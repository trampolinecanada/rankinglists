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70EF084D-78CA-1648-80BA-A1799177E0FB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'TRA-M'!$A$1:$TV$27</definedName>
    <definedName name="_xlnm._FilterDatabase" localSheetId="2" hidden="1">'TRA-W'!$A$1:$TV$15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Z32" i="21" l="1"/>
  <c r="OY32" i="21"/>
  <c r="OW32" i="21"/>
  <c r="OV32" i="21"/>
  <c r="OU32" i="2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8" i="21"/>
  <c r="OY28" i="21"/>
  <c r="OW28" i="21"/>
  <c r="OV28" i="21"/>
  <c r="OU28" i="21"/>
  <c r="OT28" i="21"/>
  <c r="OZ26" i="21"/>
  <c r="OY26" i="21"/>
  <c r="OW26" i="21"/>
  <c r="OV26" i="21"/>
  <c r="OU26" i="21"/>
  <c r="OT26" i="21"/>
  <c r="OZ27" i="21"/>
  <c r="OY27" i="21"/>
  <c r="OW27" i="21"/>
  <c r="OV27" i="21"/>
  <c r="OU27" i="21"/>
  <c r="OT27" i="21"/>
  <c r="OZ25" i="21"/>
  <c r="OY25" i="21"/>
  <c r="OW25" i="21"/>
  <c r="OV25" i="21"/>
  <c r="OU25" i="21"/>
  <c r="OX25" i="21" s="1"/>
  <c r="OT25" i="21"/>
  <c r="OZ24" i="21"/>
  <c r="OY24" i="21"/>
  <c r="OW24" i="21"/>
  <c r="OV24" i="21"/>
  <c r="OU24" i="21"/>
  <c r="PA24" i="21" s="1"/>
  <c r="OT24" i="21"/>
  <c r="OZ23" i="21"/>
  <c r="OY23" i="21"/>
  <c r="OW23" i="21"/>
  <c r="OV23" i="21"/>
  <c r="OU23" i="2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OT19" i="21"/>
  <c r="OZ18" i="21"/>
  <c r="OY18" i="21"/>
  <c r="OW18" i="21"/>
  <c r="OV18" i="21"/>
  <c r="OU18" i="21"/>
  <c r="OT18" i="21"/>
  <c r="OZ17" i="21"/>
  <c r="OY17" i="21"/>
  <c r="OW17" i="21"/>
  <c r="OV17" i="21"/>
  <c r="OU17" i="21"/>
  <c r="PA17" i="21" s="1"/>
  <c r="OT17" i="21"/>
  <c r="OZ16" i="21"/>
  <c r="OY16" i="21"/>
  <c r="OW16" i="21"/>
  <c r="OV16" i="21"/>
  <c r="OU16" i="21"/>
  <c r="OT16" i="21"/>
  <c r="OZ15" i="21"/>
  <c r="OY15" i="21"/>
  <c r="OW15" i="21"/>
  <c r="OV15" i="21"/>
  <c r="OU15" i="21"/>
  <c r="OT15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OT14" i="21"/>
  <c r="OZ11" i="21"/>
  <c r="OY11" i="21"/>
  <c r="OW11" i="21"/>
  <c r="OV11" i="21"/>
  <c r="OU11" i="21"/>
  <c r="OX11" i="21" s="1"/>
  <c r="OT11" i="21"/>
  <c r="OZ10" i="21"/>
  <c r="OY10" i="21"/>
  <c r="OW10" i="21"/>
  <c r="OV10" i="21"/>
  <c r="OU10" i="21"/>
  <c r="OT10" i="21"/>
  <c r="OZ9" i="21"/>
  <c r="OY9" i="21"/>
  <c r="OW9" i="21"/>
  <c r="OV9" i="21"/>
  <c r="OU9" i="21"/>
  <c r="OT9" i="21"/>
  <c r="OZ7" i="21"/>
  <c r="OY7" i="21"/>
  <c r="OW7" i="21"/>
  <c r="OV7" i="21"/>
  <c r="OU7" i="21"/>
  <c r="OT7" i="21"/>
  <c r="OZ8" i="21"/>
  <c r="OY8" i="21"/>
  <c r="OW8" i="21"/>
  <c r="OV8" i="21"/>
  <c r="OU8" i="21"/>
  <c r="OT8" i="21"/>
  <c r="OZ6" i="21"/>
  <c r="OY6" i="21"/>
  <c r="OW6" i="21"/>
  <c r="OV6" i="21"/>
  <c r="OU6" i="21"/>
  <c r="OT6" i="21"/>
  <c r="OZ5" i="21"/>
  <c r="OY5" i="21"/>
  <c r="OW5" i="21"/>
  <c r="OV5" i="21"/>
  <c r="OU5" i="21"/>
  <c r="OT5" i="21"/>
  <c r="OZ4" i="21"/>
  <c r="OY4" i="21"/>
  <c r="OW4" i="21"/>
  <c r="OV4" i="21"/>
  <c r="OU4" i="21"/>
  <c r="OT4" i="21"/>
  <c r="NX32" i="21"/>
  <c r="NW32" i="21"/>
  <c r="NU32" i="21"/>
  <c r="NT32" i="21"/>
  <c r="NS32" i="21"/>
  <c r="NY32" i="21" s="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W29" i="21"/>
  <c r="NU29" i="21"/>
  <c r="NT29" i="21"/>
  <c r="NS29" i="21"/>
  <c r="NR29" i="21"/>
  <c r="NX28" i="21"/>
  <c r="NW28" i="21"/>
  <c r="NU28" i="21"/>
  <c r="NT28" i="21"/>
  <c r="NS28" i="21"/>
  <c r="NR28" i="21"/>
  <c r="NX26" i="21"/>
  <c r="NW26" i="21"/>
  <c r="NU26" i="21"/>
  <c r="NT26" i="21"/>
  <c r="NS26" i="21"/>
  <c r="NR26" i="21"/>
  <c r="NX27" i="21"/>
  <c r="NW27" i="21"/>
  <c r="NU27" i="21"/>
  <c r="NT27" i="21"/>
  <c r="NS27" i="21"/>
  <c r="NY27" i="21" s="1"/>
  <c r="NR27" i="21"/>
  <c r="NX25" i="21"/>
  <c r="NW25" i="21"/>
  <c r="NU25" i="21"/>
  <c r="NT25" i="21"/>
  <c r="NS25" i="21"/>
  <c r="NV25" i="21" s="1"/>
  <c r="NR25" i="21"/>
  <c r="NX24" i="21"/>
  <c r="NW24" i="21"/>
  <c r="NU24" i="21"/>
  <c r="NT24" i="21"/>
  <c r="NS24" i="21"/>
  <c r="NR24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Y19" i="21" s="1"/>
  <c r="NR19" i="21"/>
  <c r="NX18" i="21"/>
  <c r="NW18" i="21"/>
  <c r="NU18" i="21"/>
  <c r="NT18" i="21"/>
  <c r="NS18" i="21"/>
  <c r="NV18" i="21" s="1"/>
  <c r="NR18" i="21"/>
  <c r="NX17" i="21"/>
  <c r="NW17" i="21"/>
  <c r="NU17" i="21"/>
  <c r="NT17" i="21"/>
  <c r="NS17" i="21"/>
  <c r="NR17" i="21"/>
  <c r="NX16" i="21"/>
  <c r="NW16" i="21"/>
  <c r="NU16" i="21"/>
  <c r="NT16" i="21"/>
  <c r="NS16" i="21"/>
  <c r="NR16" i="21"/>
  <c r="NX15" i="21"/>
  <c r="NW15" i="21"/>
  <c r="NU15" i="21"/>
  <c r="NT15" i="21"/>
  <c r="NS15" i="21"/>
  <c r="NR15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V11" i="21" s="1"/>
  <c r="NR11" i="21"/>
  <c r="NX10" i="21"/>
  <c r="NW10" i="21"/>
  <c r="NU10" i="21"/>
  <c r="NT10" i="21"/>
  <c r="NS10" i="21"/>
  <c r="NR10" i="21"/>
  <c r="NX9" i="21"/>
  <c r="NW9" i="21"/>
  <c r="NU9" i="21"/>
  <c r="NT9" i="21"/>
  <c r="NS9" i="21"/>
  <c r="NR9" i="21"/>
  <c r="NX7" i="21"/>
  <c r="NW7" i="21"/>
  <c r="NU7" i="21"/>
  <c r="NT7" i="21"/>
  <c r="NS7" i="21"/>
  <c r="NR7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5" i="21"/>
  <c r="NW5" i="21"/>
  <c r="NU5" i="21"/>
  <c r="NT5" i="21"/>
  <c r="NS5" i="21"/>
  <c r="NV5" i="21" s="1"/>
  <c r="NR5" i="21"/>
  <c r="NX4" i="21"/>
  <c r="NW4" i="21"/>
  <c r="NU4" i="21"/>
  <c r="NT4" i="21"/>
  <c r="NS4" i="21"/>
  <c r="NY4" i="21" s="1"/>
  <c r="NR4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8" i="21"/>
  <c r="MU28" i="21"/>
  <c r="MS28" i="21"/>
  <c r="MR28" i="21"/>
  <c r="MQ28" i="21"/>
  <c r="MP28" i="21"/>
  <c r="MV26" i="21"/>
  <c r="MU26" i="21"/>
  <c r="MS26" i="21"/>
  <c r="MR26" i="21"/>
  <c r="MQ26" i="21"/>
  <c r="MP26" i="21"/>
  <c r="MV27" i="21"/>
  <c r="MU27" i="21"/>
  <c r="MS27" i="21"/>
  <c r="MR27" i="21"/>
  <c r="MQ27" i="21"/>
  <c r="MP27" i="21"/>
  <c r="MV25" i="21"/>
  <c r="MU25" i="21"/>
  <c r="MS25" i="21"/>
  <c r="MR25" i="21"/>
  <c r="MQ25" i="21"/>
  <c r="MP25" i="21"/>
  <c r="MV24" i="21"/>
  <c r="MU24" i="21"/>
  <c r="MS24" i="21"/>
  <c r="MR24" i="21"/>
  <c r="MQ24" i="21"/>
  <c r="MP24" i="21"/>
  <c r="MV23" i="21"/>
  <c r="MU23" i="21"/>
  <c r="MS23" i="21"/>
  <c r="MR23" i="21"/>
  <c r="MQ23" i="2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7" i="21"/>
  <c r="MU17" i="21"/>
  <c r="MS17" i="21"/>
  <c r="MR17" i="21"/>
  <c r="MQ17" i="21"/>
  <c r="MP17" i="21"/>
  <c r="MV16" i="21"/>
  <c r="MU16" i="21"/>
  <c r="MS16" i="21"/>
  <c r="MR16" i="21"/>
  <c r="MQ16" i="21"/>
  <c r="MP16" i="21"/>
  <c r="MV15" i="21"/>
  <c r="MU15" i="21"/>
  <c r="MS15" i="21"/>
  <c r="MR15" i="21"/>
  <c r="MQ15" i="21"/>
  <c r="MP15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9" i="21"/>
  <c r="MU9" i="21"/>
  <c r="MS9" i="21"/>
  <c r="MR9" i="21"/>
  <c r="MQ9" i="21"/>
  <c r="MP9" i="21"/>
  <c r="MV7" i="21"/>
  <c r="MU7" i="21"/>
  <c r="MS7" i="21"/>
  <c r="MR7" i="21"/>
  <c r="MQ7" i="21"/>
  <c r="MP7" i="21"/>
  <c r="MV8" i="21"/>
  <c r="MU8" i="21"/>
  <c r="MS8" i="21"/>
  <c r="MR8" i="21"/>
  <c r="MQ8" i="21"/>
  <c r="MP8" i="21"/>
  <c r="MV6" i="21"/>
  <c r="MU6" i="21"/>
  <c r="MS6" i="21"/>
  <c r="MR6" i="21"/>
  <c r="MQ6" i="21"/>
  <c r="MT6" i="21" s="1"/>
  <c r="MP6" i="21"/>
  <c r="MV5" i="21"/>
  <c r="MU5" i="21"/>
  <c r="MS5" i="21"/>
  <c r="MR5" i="21"/>
  <c r="MQ5" i="21"/>
  <c r="MP5" i="21"/>
  <c r="MV4" i="21"/>
  <c r="MU4" i="21"/>
  <c r="MS4" i="21"/>
  <c r="MR4" i="21"/>
  <c r="MQ4" i="21"/>
  <c r="MP4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N29" i="21"/>
  <c r="LT28" i="21"/>
  <c r="LS28" i="21"/>
  <c r="LQ28" i="21"/>
  <c r="LP28" i="21"/>
  <c r="LO28" i="21"/>
  <c r="LU28" i="21" s="1"/>
  <c r="LN28" i="21"/>
  <c r="LT26" i="21"/>
  <c r="LS26" i="21"/>
  <c r="LQ26" i="21"/>
  <c r="LP26" i="21"/>
  <c r="LO26" i="21"/>
  <c r="LN26" i="21"/>
  <c r="LT27" i="21"/>
  <c r="LS27" i="21"/>
  <c r="LQ27" i="21"/>
  <c r="LP27" i="21"/>
  <c r="LO27" i="21"/>
  <c r="LN27" i="21"/>
  <c r="LT25" i="21"/>
  <c r="LS25" i="21"/>
  <c r="LQ25" i="21"/>
  <c r="LP25" i="21"/>
  <c r="LO25" i="21"/>
  <c r="LN25" i="21"/>
  <c r="LT24" i="21"/>
  <c r="LS24" i="21"/>
  <c r="LQ24" i="21"/>
  <c r="LP24" i="21"/>
  <c r="LO24" i="21"/>
  <c r="LN24" i="21"/>
  <c r="LT23" i="21"/>
  <c r="LS23" i="21"/>
  <c r="LQ23" i="21"/>
  <c r="LP23" i="21"/>
  <c r="LO23" i="2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U21" i="21" s="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7" i="21"/>
  <c r="LS17" i="21"/>
  <c r="LQ17" i="21"/>
  <c r="LP17" i="21"/>
  <c r="LO17" i="21"/>
  <c r="LN17" i="21"/>
  <c r="LT16" i="21"/>
  <c r="LS16" i="21"/>
  <c r="LQ16" i="21"/>
  <c r="LP16" i="21"/>
  <c r="LO16" i="21"/>
  <c r="LN16" i="21"/>
  <c r="LT15" i="21"/>
  <c r="LS15" i="21"/>
  <c r="LQ15" i="21"/>
  <c r="LP15" i="21"/>
  <c r="LO15" i="21"/>
  <c r="LN15" i="21"/>
  <c r="LT13" i="21"/>
  <c r="LS13" i="21"/>
  <c r="LQ13" i="21"/>
  <c r="LP13" i="21"/>
  <c r="LO13" i="21"/>
  <c r="LN13" i="21"/>
  <c r="LT12" i="21"/>
  <c r="LS12" i="21"/>
  <c r="LQ12" i="21"/>
  <c r="LP12" i="21"/>
  <c r="LO12" i="21"/>
  <c r="LR12" i="21" s="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N10" i="21"/>
  <c r="LT9" i="21"/>
  <c r="LS9" i="21"/>
  <c r="LQ9" i="21"/>
  <c r="LP9" i="21"/>
  <c r="LO9" i="21"/>
  <c r="LN9" i="21"/>
  <c r="LT7" i="21"/>
  <c r="LS7" i="21"/>
  <c r="LQ7" i="21"/>
  <c r="LP7" i="21"/>
  <c r="LO7" i="21"/>
  <c r="LN7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5" i="21"/>
  <c r="LS5" i="21"/>
  <c r="LQ5" i="21"/>
  <c r="LP5" i="21"/>
  <c r="LO5" i="21"/>
  <c r="LN5" i="21"/>
  <c r="LT4" i="21"/>
  <c r="LS4" i="21"/>
  <c r="LQ4" i="21"/>
  <c r="LP4" i="21"/>
  <c r="LO4" i="21"/>
  <c r="LN4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8" i="21"/>
  <c r="KQ28" i="21"/>
  <c r="KO28" i="21"/>
  <c r="KN28" i="21"/>
  <c r="KM28" i="21"/>
  <c r="KL28" i="21"/>
  <c r="KR26" i="21"/>
  <c r="KQ26" i="21"/>
  <c r="KO26" i="21"/>
  <c r="KN26" i="21"/>
  <c r="KM26" i="21"/>
  <c r="KL26" i="21"/>
  <c r="KR27" i="21"/>
  <c r="KQ27" i="21"/>
  <c r="KO27" i="21"/>
  <c r="KN27" i="21"/>
  <c r="KM27" i="21"/>
  <c r="KL27" i="21"/>
  <c r="KR25" i="21"/>
  <c r="KQ25" i="21"/>
  <c r="KO25" i="21"/>
  <c r="KN25" i="21"/>
  <c r="KM25" i="21"/>
  <c r="KL25" i="21"/>
  <c r="KR24" i="21"/>
  <c r="KQ24" i="21"/>
  <c r="KO24" i="21"/>
  <c r="KN24" i="21"/>
  <c r="KM24" i="21"/>
  <c r="KL24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L18" i="21"/>
  <c r="KR17" i="21"/>
  <c r="KQ17" i="21"/>
  <c r="KO17" i="21"/>
  <c r="KN17" i="21"/>
  <c r="KM17" i="21"/>
  <c r="KL17" i="21"/>
  <c r="KR16" i="21"/>
  <c r="KQ16" i="21"/>
  <c r="KO16" i="21"/>
  <c r="KN16" i="21"/>
  <c r="KM16" i="21"/>
  <c r="KL16" i="21"/>
  <c r="KR15" i="21"/>
  <c r="KQ15" i="21"/>
  <c r="KO15" i="21"/>
  <c r="KN15" i="21"/>
  <c r="KM15" i="21"/>
  <c r="KL15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L11" i="21"/>
  <c r="KR10" i="21"/>
  <c r="KQ10" i="21"/>
  <c r="KO10" i="21"/>
  <c r="KN10" i="21"/>
  <c r="KM10" i="21"/>
  <c r="KL10" i="21"/>
  <c r="KR9" i="21"/>
  <c r="KQ9" i="21"/>
  <c r="KO9" i="21"/>
  <c r="KN9" i="21"/>
  <c r="KM9" i="21"/>
  <c r="KL9" i="21"/>
  <c r="KR7" i="21"/>
  <c r="KQ7" i="21"/>
  <c r="KO7" i="21"/>
  <c r="KN7" i="21"/>
  <c r="KM7" i="21"/>
  <c r="KS7" i="21" s="1"/>
  <c r="KL7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5" i="21"/>
  <c r="KQ5" i="21"/>
  <c r="KO5" i="21"/>
  <c r="KN5" i="21"/>
  <c r="KM5" i="21"/>
  <c r="KL5" i="21"/>
  <c r="KR4" i="21"/>
  <c r="KQ4" i="21"/>
  <c r="KO4" i="21"/>
  <c r="KN4" i="21"/>
  <c r="KM4" i="21"/>
  <c r="KL4" i="21"/>
  <c r="JP32" i="21"/>
  <c r="JO32" i="21"/>
  <c r="JM32" i="21"/>
  <c r="JL32" i="21"/>
  <c r="JK32" i="2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8" i="21"/>
  <c r="JO28" i="21"/>
  <c r="JM28" i="21"/>
  <c r="JL28" i="21"/>
  <c r="JK28" i="21"/>
  <c r="JJ28" i="21"/>
  <c r="JP26" i="21"/>
  <c r="JO26" i="21"/>
  <c r="JM26" i="21"/>
  <c r="JL26" i="21"/>
  <c r="JK26" i="21"/>
  <c r="JJ26" i="21"/>
  <c r="JP27" i="21"/>
  <c r="JO27" i="21"/>
  <c r="JM27" i="21"/>
  <c r="JL27" i="21"/>
  <c r="JK27" i="21"/>
  <c r="JJ27" i="21"/>
  <c r="JP25" i="21"/>
  <c r="JO25" i="21"/>
  <c r="JM25" i="21"/>
  <c r="JL25" i="21"/>
  <c r="JK25" i="21"/>
  <c r="JJ25" i="21"/>
  <c r="JP24" i="21"/>
  <c r="JO24" i="21"/>
  <c r="JM24" i="21"/>
  <c r="JL24" i="21"/>
  <c r="JK24" i="21"/>
  <c r="JJ24" i="21"/>
  <c r="JP23" i="21"/>
  <c r="JO23" i="21"/>
  <c r="JM23" i="21"/>
  <c r="JL23" i="21"/>
  <c r="JK23" i="21"/>
  <c r="JN23" i="21" s="1"/>
  <c r="JJ23" i="21"/>
  <c r="JP22" i="21"/>
  <c r="JO22" i="21"/>
  <c r="JM22" i="21"/>
  <c r="JL22" i="21"/>
  <c r="JK22" i="21"/>
  <c r="JN22" i="21" s="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J18" i="21"/>
  <c r="JP17" i="21"/>
  <c r="JO17" i="21"/>
  <c r="JM17" i="21"/>
  <c r="JL17" i="21"/>
  <c r="JK17" i="21"/>
  <c r="JJ17" i="21"/>
  <c r="JP16" i="21"/>
  <c r="JO16" i="21"/>
  <c r="JM16" i="21"/>
  <c r="JL16" i="21"/>
  <c r="JK16" i="21"/>
  <c r="JJ16" i="21"/>
  <c r="JP15" i="21"/>
  <c r="JO15" i="21"/>
  <c r="JM15" i="21"/>
  <c r="JL15" i="21"/>
  <c r="JK15" i="21"/>
  <c r="JQ15" i="21" s="1"/>
  <c r="JJ15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J11" i="21"/>
  <c r="JP10" i="21"/>
  <c r="JO10" i="21"/>
  <c r="JM10" i="21"/>
  <c r="JL10" i="21"/>
  <c r="JK10" i="21"/>
  <c r="JJ10" i="21"/>
  <c r="JP9" i="21"/>
  <c r="JO9" i="21"/>
  <c r="JM9" i="21"/>
  <c r="JL9" i="21"/>
  <c r="JK9" i="21"/>
  <c r="JJ9" i="21"/>
  <c r="JP7" i="21"/>
  <c r="JO7" i="21"/>
  <c r="JM7" i="21"/>
  <c r="JL7" i="21"/>
  <c r="JK7" i="21"/>
  <c r="JJ7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5" i="21"/>
  <c r="JO5" i="21"/>
  <c r="JM5" i="21"/>
  <c r="JL5" i="21"/>
  <c r="JK5" i="21"/>
  <c r="JJ5" i="21"/>
  <c r="JP4" i="21"/>
  <c r="JO4" i="21"/>
  <c r="JM4" i="21"/>
  <c r="JL4" i="21"/>
  <c r="JK4" i="21"/>
  <c r="JJ4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8" i="21"/>
  <c r="IM28" i="21"/>
  <c r="IK28" i="21"/>
  <c r="IJ28" i="21"/>
  <c r="II28" i="21"/>
  <c r="IH28" i="21"/>
  <c r="IN26" i="21"/>
  <c r="IM26" i="21"/>
  <c r="IK26" i="21"/>
  <c r="IJ26" i="21"/>
  <c r="II26" i="21"/>
  <c r="IH26" i="21"/>
  <c r="IN27" i="21"/>
  <c r="IM27" i="21"/>
  <c r="IK27" i="21"/>
  <c r="IJ27" i="21"/>
  <c r="II27" i="21"/>
  <c r="IH27" i="21"/>
  <c r="IN25" i="21"/>
  <c r="IM25" i="21"/>
  <c r="IK25" i="21"/>
  <c r="IJ25" i="21"/>
  <c r="II25" i="21"/>
  <c r="IH25" i="21"/>
  <c r="IN24" i="21"/>
  <c r="IM24" i="21"/>
  <c r="IK24" i="21"/>
  <c r="IJ24" i="21"/>
  <c r="II24" i="21"/>
  <c r="IH24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7" i="21"/>
  <c r="IM17" i="21"/>
  <c r="IK17" i="21"/>
  <c r="IJ17" i="21"/>
  <c r="II17" i="21"/>
  <c r="IH17" i="21"/>
  <c r="IN16" i="21"/>
  <c r="IM16" i="21"/>
  <c r="IK16" i="21"/>
  <c r="IJ16" i="21"/>
  <c r="II16" i="21"/>
  <c r="IL16" i="21" s="1"/>
  <c r="IH16" i="21"/>
  <c r="IN15" i="21"/>
  <c r="IM15" i="21"/>
  <c r="IK15" i="21"/>
  <c r="IJ15" i="21"/>
  <c r="II15" i="21"/>
  <c r="IH15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L10" i="21" s="1"/>
  <c r="IH10" i="21"/>
  <c r="IN9" i="21"/>
  <c r="IM9" i="21"/>
  <c r="IK9" i="21"/>
  <c r="IJ9" i="21"/>
  <c r="II9" i="21"/>
  <c r="IH9" i="21"/>
  <c r="IN7" i="21"/>
  <c r="IM7" i="21"/>
  <c r="IK7" i="21"/>
  <c r="IJ7" i="21"/>
  <c r="II7" i="21"/>
  <c r="IH7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5" i="21"/>
  <c r="IM5" i="21"/>
  <c r="IK5" i="21"/>
  <c r="IJ5" i="21"/>
  <c r="II5" i="21"/>
  <c r="IH5" i="21"/>
  <c r="IN4" i="21"/>
  <c r="IM4" i="21"/>
  <c r="IK4" i="21"/>
  <c r="IJ4" i="21"/>
  <c r="II4" i="21"/>
  <c r="IH4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8" i="21"/>
  <c r="HK28" i="21"/>
  <c r="HI28" i="21"/>
  <c r="HH28" i="21"/>
  <c r="HG28" i="21"/>
  <c r="HF28" i="21"/>
  <c r="HL26" i="21"/>
  <c r="HK26" i="21"/>
  <c r="HI26" i="21"/>
  <c r="HH26" i="21"/>
  <c r="HG26" i="21"/>
  <c r="HF26" i="21"/>
  <c r="HL27" i="21"/>
  <c r="HK27" i="21"/>
  <c r="HI27" i="21"/>
  <c r="HH27" i="21"/>
  <c r="HG27" i="21"/>
  <c r="HF27" i="21"/>
  <c r="HL25" i="21"/>
  <c r="HK25" i="21"/>
  <c r="HI25" i="21"/>
  <c r="HH25" i="21"/>
  <c r="HG25" i="21"/>
  <c r="HJ25" i="21" s="1"/>
  <c r="HF25" i="21"/>
  <c r="HL24" i="21"/>
  <c r="HK24" i="21"/>
  <c r="HI24" i="21"/>
  <c r="HH24" i="21"/>
  <c r="HG24" i="21"/>
  <c r="HM24" i="21" s="1"/>
  <c r="HF24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J18" i="21" s="1"/>
  <c r="HF18" i="21"/>
  <c r="HL17" i="21"/>
  <c r="HK17" i="21"/>
  <c r="HI17" i="21"/>
  <c r="HH17" i="21"/>
  <c r="HG17" i="21"/>
  <c r="HM17" i="21" s="1"/>
  <c r="HF17" i="21"/>
  <c r="HL16" i="21"/>
  <c r="HK16" i="21"/>
  <c r="HI16" i="21"/>
  <c r="HH16" i="21"/>
  <c r="HG16" i="21"/>
  <c r="HF16" i="21"/>
  <c r="HL15" i="21"/>
  <c r="HK15" i="21"/>
  <c r="HI15" i="21"/>
  <c r="HH15" i="21"/>
  <c r="HG15" i="21"/>
  <c r="HF15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J11" i="21" s="1"/>
  <c r="HF11" i="21"/>
  <c r="HL10" i="21"/>
  <c r="HK10" i="21"/>
  <c r="HI10" i="21"/>
  <c r="HH10" i="21"/>
  <c r="HG10" i="21"/>
  <c r="HJ10" i="21" s="1"/>
  <c r="HF10" i="21"/>
  <c r="HL9" i="21"/>
  <c r="HK9" i="21"/>
  <c r="HI9" i="21"/>
  <c r="HH9" i="21"/>
  <c r="HG9" i="21"/>
  <c r="HF9" i="21"/>
  <c r="HL7" i="21"/>
  <c r="HK7" i="21"/>
  <c r="HI7" i="21"/>
  <c r="HH7" i="21"/>
  <c r="HG7" i="21"/>
  <c r="HF7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5" i="21"/>
  <c r="HK5" i="21"/>
  <c r="HI5" i="21"/>
  <c r="HH5" i="21"/>
  <c r="HG5" i="21"/>
  <c r="HF5" i="21"/>
  <c r="HL4" i="21"/>
  <c r="HK4" i="21"/>
  <c r="HI4" i="21"/>
  <c r="HH4" i="21"/>
  <c r="HG4" i="21"/>
  <c r="HF4" i="21"/>
  <c r="GJ32" i="21"/>
  <c r="GI32" i="21"/>
  <c r="GG32" i="21"/>
  <c r="GF32" i="21"/>
  <c r="GE32" i="21"/>
  <c r="GK32" i="21" s="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D29" i="21"/>
  <c r="GJ28" i="21"/>
  <c r="GI28" i="21"/>
  <c r="GG28" i="21"/>
  <c r="GF28" i="21"/>
  <c r="GE28" i="21"/>
  <c r="GD28" i="21"/>
  <c r="GJ26" i="21"/>
  <c r="GI26" i="21"/>
  <c r="GG26" i="21"/>
  <c r="GF26" i="21"/>
  <c r="GE26" i="21"/>
  <c r="GD26" i="21"/>
  <c r="GJ27" i="21"/>
  <c r="GI27" i="21"/>
  <c r="GG27" i="21"/>
  <c r="GF27" i="21"/>
  <c r="GE27" i="21"/>
  <c r="GD27" i="21"/>
  <c r="GJ25" i="21"/>
  <c r="GI25" i="21"/>
  <c r="GG25" i="21"/>
  <c r="GF25" i="21"/>
  <c r="GE25" i="21"/>
  <c r="GH25" i="21" s="1"/>
  <c r="GD25" i="21"/>
  <c r="GJ24" i="21"/>
  <c r="GI24" i="21"/>
  <c r="GG24" i="21"/>
  <c r="GF24" i="21"/>
  <c r="GE24" i="21"/>
  <c r="GD24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H18" i="21" s="1"/>
  <c r="GD18" i="21"/>
  <c r="GJ17" i="21"/>
  <c r="GI17" i="21"/>
  <c r="GG17" i="21"/>
  <c r="GF17" i="21"/>
  <c r="GE17" i="21"/>
  <c r="GD17" i="21"/>
  <c r="GJ16" i="21"/>
  <c r="GI16" i="21"/>
  <c r="GG16" i="21"/>
  <c r="GF16" i="21"/>
  <c r="GE16" i="21"/>
  <c r="GD16" i="21"/>
  <c r="GJ15" i="21"/>
  <c r="GI15" i="21"/>
  <c r="GG15" i="21"/>
  <c r="GF15" i="21"/>
  <c r="GE15" i="21"/>
  <c r="GD15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H11" i="21" s="1"/>
  <c r="GD11" i="21"/>
  <c r="GJ10" i="21"/>
  <c r="GI10" i="21"/>
  <c r="GG10" i="21"/>
  <c r="GF10" i="21"/>
  <c r="GE10" i="21"/>
  <c r="GD10" i="21"/>
  <c r="GJ9" i="21"/>
  <c r="GI9" i="21"/>
  <c r="GG9" i="21"/>
  <c r="GF9" i="21"/>
  <c r="GE9" i="21"/>
  <c r="GD9" i="21"/>
  <c r="GJ7" i="21"/>
  <c r="GI7" i="21"/>
  <c r="GG7" i="21"/>
  <c r="GF7" i="21"/>
  <c r="GE7" i="21"/>
  <c r="GD7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5" i="21"/>
  <c r="GI5" i="21"/>
  <c r="GG5" i="21"/>
  <c r="GF5" i="21"/>
  <c r="GE5" i="21"/>
  <c r="GH5" i="21" s="1"/>
  <c r="GD5" i="21"/>
  <c r="GJ4" i="21"/>
  <c r="GI4" i="21"/>
  <c r="GG4" i="21"/>
  <c r="GF4" i="21"/>
  <c r="GE4" i="21"/>
  <c r="GD4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B29" i="21"/>
  <c r="FH28" i="21"/>
  <c r="FG28" i="21"/>
  <c r="FE28" i="21"/>
  <c r="FD28" i="21"/>
  <c r="FC28" i="21"/>
  <c r="FB28" i="21"/>
  <c r="FH26" i="21"/>
  <c r="FG26" i="21"/>
  <c r="FE26" i="21"/>
  <c r="FD26" i="21"/>
  <c r="FC26" i="21"/>
  <c r="FB26" i="21"/>
  <c r="FH27" i="21"/>
  <c r="FG27" i="21"/>
  <c r="FE27" i="21"/>
  <c r="FD27" i="21"/>
  <c r="FC27" i="21"/>
  <c r="FB27" i="21"/>
  <c r="FH25" i="21"/>
  <c r="FG25" i="21"/>
  <c r="FE25" i="21"/>
  <c r="FD25" i="21"/>
  <c r="FC25" i="21"/>
  <c r="FB25" i="21"/>
  <c r="FH24" i="21"/>
  <c r="FG24" i="21"/>
  <c r="FE24" i="21"/>
  <c r="FD24" i="21"/>
  <c r="FC24" i="21"/>
  <c r="FB24" i="21"/>
  <c r="FH23" i="21"/>
  <c r="FG23" i="21"/>
  <c r="FE23" i="21"/>
  <c r="FD23" i="21"/>
  <c r="FC23" i="21"/>
  <c r="FB23" i="21"/>
  <c r="FH22" i="21"/>
  <c r="FG22" i="21"/>
  <c r="FE22" i="21"/>
  <c r="FD22" i="21"/>
  <c r="FC22" i="2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7" i="21"/>
  <c r="FG17" i="21"/>
  <c r="FE17" i="21"/>
  <c r="FD17" i="21"/>
  <c r="FC17" i="21"/>
  <c r="FB17" i="21"/>
  <c r="FH16" i="21"/>
  <c r="FG16" i="21"/>
  <c r="FE16" i="21"/>
  <c r="FD16" i="21"/>
  <c r="FC16" i="21"/>
  <c r="FB16" i="21"/>
  <c r="FH15" i="21"/>
  <c r="FG15" i="21"/>
  <c r="FE15" i="21"/>
  <c r="FD15" i="21"/>
  <c r="FC15" i="21"/>
  <c r="FB15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9" i="21"/>
  <c r="FG9" i="21"/>
  <c r="FE9" i="21"/>
  <c r="FD9" i="21"/>
  <c r="FC9" i="21"/>
  <c r="FB9" i="21"/>
  <c r="FH7" i="21"/>
  <c r="FG7" i="21"/>
  <c r="FE7" i="21"/>
  <c r="FD7" i="21"/>
  <c r="FC7" i="21"/>
  <c r="FB7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5" i="21"/>
  <c r="FG5" i="21"/>
  <c r="FE5" i="21"/>
  <c r="FD5" i="21"/>
  <c r="FC5" i="21"/>
  <c r="FB5" i="21"/>
  <c r="FH4" i="21"/>
  <c r="FG4" i="21"/>
  <c r="FE4" i="21"/>
  <c r="FD4" i="21"/>
  <c r="FC4" i="21"/>
  <c r="FB4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DZ29" i="21"/>
  <c r="EF28" i="21"/>
  <c r="EE28" i="21"/>
  <c r="EC28" i="21"/>
  <c r="EB28" i="21"/>
  <c r="EA28" i="21"/>
  <c r="DZ28" i="21"/>
  <c r="EF26" i="21"/>
  <c r="EE26" i="21"/>
  <c r="EC26" i="21"/>
  <c r="EB26" i="21"/>
  <c r="EA26" i="21"/>
  <c r="DZ26" i="21"/>
  <c r="EF27" i="21"/>
  <c r="EE27" i="21"/>
  <c r="EC27" i="21"/>
  <c r="EB27" i="21"/>
  <c r="EA27" i="21"/>
  <c r="DZ27" i="21"/>
  <c r="EF25" i="21"/>
  <c r="EE25" i="21"/>
  <c r="EC25" i="21"/>
  <c r="EB25" i="21"/>
  <c r="EA25" i="21"/>
  <c r="DZ25" i="21"/>
  <c r="EF24" i="21"/>
  <c r="EE24" i="21"/>
  <c r="EC24" i="21"/>
  <c r="EB24" i="21"/>
  <c r="EA24" i="21"/>
  <c r="DZ24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EG21" i="21" s="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7" i="21"/>
  <c r="EE17" i="21"/>
  <c r="EC17" i="21"/>
  <c r="EB17" i="21"/>
  <c r="EA17" i="21"/>
  <c r="DZ17" i="21"/>
  <c r="EF16" i="21"/>
  <c r="EE16" i="21"/>
  <c r="EC16" i="21"/>
  <c r="EB16" i="21"/>
  <c r="EA16" i="21"/>
  <c r="DZ16" i="21"/>
  <c r="EF15" i="21"/>
  <c r="EE15" i="21"/>
  <c r="EC15" i="21"/>
  <c r="EB15" i="21"/>
  <c r="EA15" i="21"/>
  <c r="DZ15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DZ10" i="21"/>
  <c r="EF9" i="21"/>
  <c r="EE9" i="21"/>
  <c r="EC9" i="21"/>
  <c r="EB9" i="21"/>
  <c r="EA9" i="21"/>
  <c r="DZ9" i="21"/>
  <c r="EF7" i="21"/>
  <c r="EE7" i="21"/>
  <c r="EC7" i="21"/>
  <c r="EB7" i="21"/>
  <c r="EA7" i="21"/>
  <c r="DZ7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5" i="21"/>
  <c r="EE5" i="21"/>
  <c r="EC5" i="21"/>
  <c r="EB5" i="21"/>
  <c r="EA5" i="21"/>
  <c r="DZ5" i="21"/>
  <c r="EF4" i="21"/>
  <c r="EE4" i="21"/>
  <c r="EC4" i="21"/>
  <c r="EB4" i="21"/>
  <c r="EA4" i="21"/>
  <c r="DZ4" i="21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4" i="19"/>
  <c r="OY34" i="19"/>
  <c r="OW34" i="19"/>
  <c r="OV34" i="19"/>
  <c r="OU34" i="19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1" i="19"/>
  <c r="OY31" i="19"/>
  <c r="OW31" i="19"/>
  <c r="OV31" i="19"/>
  <c r="OU31" i="19"/>
  <c r="OX31" i="19" s="1"/>
  <c r="OT31" i="19"/>
  <c r="OZ30" i="19"/>
  <c r="OY30" i="19"/>
  <c r="OW30" i="19"/>
  <c r="OV30" i="19"/>
  <c r="OU30" i="19"/>
  <c r="OT30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7" i="19"/>
  <c r="OY27" i="19"/>
  <c r="OW27" i="19"/>
  <c r="OV27" i="19"/>
  <c r="OU27" i="19"/>
  <c r="OX27" i="19" s="1"/>
  <c r="OT27" i="19"/>
  <c r="OZ26" i="19"/>
  <c r="OY26" i="19"/>
  <c r="OW26" i="19"/>
  <c r="OV26" i="19"/>
  <c r="OU26" i="19"/>
  <c r="OT26" i="19"/>
  <c r="OZ25" i="19"/>
  <c r="OY25" i="19"/>
  <c r="OW25" i="19"/>
  <c r="OV25" i="19"/>
  <c r="OU25" i="19"/>
  <c r="OX25" i="19" s="1"/>
  <c r="OT25" i="19"/>
  <c r="OZ24" i="19"/>
  <c r="OY24" i="19"/>
  <c r="OW24" i="19"/>
  <c r="OV24" i="19"/>
  <c r="OU24" i="19"/>
  <c r="OT24" i="19"/>
  <c r="OZ23" i="19"/>
  <c r="OY23" i="19"/>
  <c r="OW23" i="19"/>
  <c r="OV23" i="19"/>
  <c r="OU23" i="19"/>
  <c r="OT23" i="19"/>
  <c r="OZ21" i="19"/>
  <c r="OY21" i="19"/>
  <c r="OW21" i="19"/>
  <c r="OV21" i="19"/>
  <c r="OU21" i="19"/>
  <c r="OT21" i="19"/>
  <c r="OZ20" i="19"/>
  <c r="OY20" i="19"/>
  <c r="OW20" i="19"/>
  <c r="OV20" i="19"/>
  <c r="OU20" i="19"/>
  <c r="OX20" i="19" s="1"/>
  <c r="OT20" i="19"/>
  <c r="OZ19" i="19"/>
  <c r="OY19" i="19"/>
  <c r="OW19" i="19"/>
  <c r="OV19" i="19"/>
  <c r="OU19" i="19"/>
  <c r="OT19" i="19"/>
  <c r="OZ17" i="19"/>
  <c r="OY17" i="19"/>
  <c r="OW17" i="19"/>
  <c r="OV17" i="19"/>
  <c r="OU17" i="19"/>
  <c r="OT17" i="19"/>
  <c r="OZ16" i="19"/>
  <c r="OY16" i="19"/>
  <c r="OW16" i="19"/>
  <c r="OV16" i="19"/>
  <c r="OU16" i="19"/>
  <c r="OT16" i="19"/>
  <c r="OZ15" i="19"/>
  <c r="OY15" i="19"/>
  <c r="OW15" i="19"/>
  <c r="OV15" i="19"/>
  <c r="OU15" i="19"/>
  <c r="OT15" i="19"/>
  <c r="OZ14" i="19"/>
  <c r="OY14" i="19"/>
  <c r="OW14" i="19"/>
  <c r="OV14" i="19"/>
  <c r="OU14" i="19"/>
  <c r="OT14" i="19"/>
  <c r="OZ18" i="19"/>
  <c r="OY18" i="19"/>
  <c r="OW18" i="19"/>
  <c r="OV18" i="19"/>
  <c r="OU18" i="19"/>
  <c r="OT18" i="19"/>
  <c r="OZ13" i="19"/>
  <c r="OY13" i="19"/>
  <c r="OW13" i="19"/>
  <c r="OV13" i="19"/>
  <c r="OU13" i="19"/>
  <c r="OX13" i="19" s="1"/>
  <c r="OT13" i="19"/>
  <c r="OZ12" i="19"/>
  <c r="OY12" i="19"/>
  <c r="OW12" i="19"/>
  <c r="OV12" i="19"/>
  <c r="OU12" i="19"/>
  <c r="OT12" i="19"/>
  <c r="OZ11" i="19"/>
  <c r="OY11" i="19"/>
  <c r="OW11" i="19"/>
  <c r="OV11" i="19"/>
  <c r="OU11" i="19"/>
  <c r="OT11" i="19"/>
  <c r="OZ10" i="19"/>
  <c r="OY10" i="19"/>
  <c r="OW10" i="19"/>
  <c r="OV10" i="19"/>
  <c r="OU10" i="19"/>
  <c r="OT10" i="19"/>
  <c r="OZ22" i="19"/>
  <c r="OY22" i="19"/>
  <c r="OW22" i="19"/>
  <c r="OV22" i="19"/>
  <c r="OU22" i="19"/>
  <c r="OT22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7" i="19"/>
  <c r="OY7" i="19"/>
  <c r="OW7" i="19"/>
  <c r="OV7" i="19"/>
  <c r="OU7" i="19"/>
  <c r="OX7" i="19" s="1"/>
  <c r="OT7" i="19"/>
  <c r="OZ6" i="19"/>
  <c r="OY6" i="19"/>
  <c r="OW6" i="19"/>
  <c r="OV6" i="19"/>
  <c r="OU6" i="19"/>
  <c r="OT6" i="19"/>
  <c r="OZ4" i="19"/>
  <c r="OY4" i="19"/>
  <c r="OW4" i="19"/>
  <c r="OV4" i="19"/>
  <c r="OU4" i="19"/>
  <c r="OT4" i="19"/>
  <c r="OZ5" i="19"/>
  <c r="OY5" i="19"/>
  <c r="OW5" i="19"/>
  <c r="OV5" i="19"/>
  <c r="OU5" i="19"/>
  <c r="OT5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V32" i="19" s="1"/>
  <c r="NR32" i="19"/>
  <c r="NX31" i="19"/>
  <c r="NW31" i="19"/>
  <c r="NU31" i="19"/>
  <c r="NT31" i="19"/>
  <c r="NS31" i="19"/>
  <c r="NR31" i="19"/>
  <c r="NX30" i="19"/>
  <c r="NW30" i="19"/>
  <c r="NU30" i="19"/>
  <c r="NT30" i="19"/>
  <c r="NS30" i="19"/>
  <c r="NR30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7" i="19"/>
  <c r="NW27" i="19"/>
  <c r="NU27" i="19"/>
  <c r="NT27" i="19"/>
  <c r="NS27" i="19"/>
  <c r="NR27" i="19"/>
  <c r="NX26" i="19"/>
  <c r="NW26" i="19"/>
  <c r="NU26" i="19"/>
  <c r="NT26" i="19"/>
  <c r="NS26" i="19"/>
  <c r="NR26" i="19"/>
  <c r="NX25" i="19"/>
  <c r="NW25" i="19"/>
  <c r="NU25" i="19"/>
  <c r="NT25" i="19"/>
  <c r="NS25" i="19"/>
  <c r="NR25" i="19"/>
  <c r="NX24" i="19"/>
  <c r="NW24" i="19"/>
  <c r="NU24" i="19"/>
  <c r="NT24" i="19"/>
  <c r="NS24" i="19"/>
  <c r="NR24" i="19"/>
  <c r="NX23" i="19"/>
  <c r="NW23" i="19"/>
  <c r="NU23" i="19"/>
  <c r="NT23" i="19"/>
  <c r="NS23" i="19"/>
  <c r="NR23" i="19"/>
  <c r="NX21" i="19"/>
  <c r="NW21" i="19"/>
  <c r="NU21" i="19"/>
  <c r="NT21" i="19"/>
  <c r="NS21" i="19"/>
  <c r="NR21" i="19"/>
  <c r="NX20" i="19"/>
  <c r="NW20" i="19"/>
  <c r="NU20" i="19"/>
  <c r="NT20" i="19"/>
  <c r="NS20" i="19"/>
  <c r="NV20" i="19" s="1"/>
  <c r="NR20" i="19"/>
  <c r="NX19" i="19"/>
  <c r="NW19" i="19"/>
  <c r="NU19" i="19"/>
  <c r="NT19" i="19"/>
  <c r="NS19" i="19"/>
  <c r="NR19" i="19"/>
  <c r="NX17" i="19"/>
  <c r="NW17" i="19"/>
  <c r="NU17" i="19"/>
  <c r="NT17" i="19"/>
  <c r="NS17" i="19"/>
  <c r="NV17" i="19" s="1"/>
  <c r="NR17" i="19"/>
  <c r="NX16" i="19"/>
  <c r="NW16" i="19"/>
  <c r="NU16" i="19"/>
  <c r="NT16" i="19"/>
  <c r="NS16" i="19"/>
  <c r="NR16" i="19"/>
  <c r="NX15" i="19"/>
  <c r="NW15" i="19"/>
  <c r="NU15" i="19"/>
  <c r="NT15" i="19"/>
  <c r="NS15" i="19"/>
  <c r="NR15" i="19"/>
  <c r="NX14" i="19"/>
  <c r="NW14" i="19"/>
  <c r="NU14" i="19"/>
  <c r="NT14" i="19"/>
  <c r="NS14" i="19"/>
  <c r="NR14" i="19"/>
  <c r="NX18" i="19"/>
  <c r="NW18" i="19"/>
  <c r="NU18" i="19"/>
  <c r="NT18" i="19"/>
  <c r="NS18" i="19"/>
  <c r="NR18" i="19"/>
  <c r="NX13" i="19"/>
  <c r="NW13" i="19"/>
  <c r="NU13" i="19"/>
  <c r="NT13" i="19"/>
  <c r="NS13" i="19"/>
  <c r="NV13" i="19" s="1"/>
  <c r="NR13" i="19"/>
  <c r="NX12" i="19"/>
  <c r="NW12" i="19"/>
  <c r="NU12" i="19"/>
  <c r="NT12" i="19"/>
  <c r="NS12" i="19"/>
  <c r="NR12" i="19"/>
  <c r="NX11" i="19"/>
  <c r="NW11" i="19"/>
  <c r="NU11" i="19"/>
  <c r="NT11" i="19"/>
  <c r="NS11" i="19"/>
  <c r="NR11" i="19"/>
  <c r="NX10" i="19"/>
  <c r="NW10" i="19"/>
  <c r="NU10" i="19"/>
  <c r="NT10" i="19"/>
  <c r="NS10" i="19"/>
  <c r="NR10" i="19"/>
  <c r="NX22" i="19"/>
  <c r="NW22" i="19"/>
  <c r="NU22" i="19"/>
  <c r="NT22" i="19"/>
  <c r="NS22" i="19"/>
  <c r="NR22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7" i="19"/>
  <c r="NW7" i="19"/>
  <c r="NU7" i="19"/>
  <c r="NT7" i="19"/>
  <c r="NS7" i="19"/>
  <c r="NV7" i="19" s="1"/>
  <c r="NR7" i="19"/>
  <c r="NX6" i="19"/>
  <c r="NW6" i="19"/>
  <c r="NU6" i="19"/>
  <c r="NT6" i="19"/>
  <c r="NS6" i="19"/>
  <c r="NR6" i="19"/>
  <c r="NX4" i="19"/>
  <c r="NW4" i="19"/>
  <c r="NU4" i="19"/>
  <c r="NT4" i="19"/>
  <c r="NS4" i="19"/>
  <c r="NV4" i="19" s="1"/>
  <c r="NR4" i="19"/>
  <c r="NX5" i="19"/>
  <c r="NW5" i="19"/>
  <c r="NU5" i="19"/>
  <c r="NT5" i="19"/>
  <c r="NS5" i="19"/>
  <c r="NR5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4" i="19"/>
  <c r="MU34" i="19"/>
  <c r="MS34" i="19"/>
  <c r="MR34" i="19"/>
  <c r="MQ34" i="19"/>
  <c r="MT34" i="19" s="1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P32" i="19"/>
  <c r="MV31" i="19"/>
  <c r="MU31" i="19"/>
  <c r="MS31" i="19"/>
  <c r="MR31" i="19"/>
  <c r="MQ31" i="19"/>
  <c r="MP31" i="19"/>
  <c r="MV30" i="19"/>
  <c r="MU30" i="19"/>
  <c r="MS30" i="19"/>
  <c r="MR30" i="19"/>
  <c r="MQ30" i="19"/>
  <c r="MP30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7" i="19"/>
  <c r="MU27" i="19"/>
  <c r="MS27" i="19"/>
  <c r="MR27" i="19"/>
  <c r="MQ27" i="19"/>
  <c r="MT27" i="19" s="1"/>
  <c r="MP27" i="19"/>
  <c r="MV26" i="19"/>
  <c r="MU26" i="19"/>
  <c r="MS26" i="19"/>
  <c r="MR26" i="19"/>
  <c r="MQ26" i="19"/>
  <c r="MP26" i="19"/>
  <c r="MV25" i="19"/>
  <c r="MU25" i="19"/>
  <c r="MS25" i="19"/>
  <c r="MR25" i="19"/>
  <c r="MQ25" i="19"/>
  <c r="MP25" i="19"/>
  <c r="MV24" i="19"/>
  <c r="MU24" i="19"/>
  <c r="MS24" i="19"/>
  <c r="MR24" i="19"/>
  <c r="MQ24" i="19"/>
  <c r="MP24" i="19"/>
  <c r="MV23" i="19"/>
  <c r="MU23" i="19"/>
  <c r="MS23" i="19"/>
  <c r="MR23" i="19"/>
  <c r="MQ23" i="19"/>
  <c r="MP23" i="19"/>
  <c r="MV21" i="19"/>
  <c r="MU21" i="19"/>
  <c r="MS21" i="19"/>
  <c r="MR21" i="19"/>
  <c r="MQ21" i="19"/>
  <c r="MP21" i="19"/>
  <c r="MV20" i="19"/>
  <c r="MU20" i="19"/>
  <c r="MS20" i="19"/>
  <c r="MR20" i="19"/>
  <c r="MQ20" i="19"/>
  <c r="MT20" i="19" s="1"/>
  <c r="MP20" i="19"/>
  <c r="MV19" i="19"/>
  <c r="MU19" i="19"/>
  <c r="MS19" i="19"/>
  <c r="MR19" i="19"/>
  <c r="MQ19" i="19"/>
  <c r="MP19" i="19"/>
  <c r="MV17" i="19"/>
  <c r="MU17" i="19"/>
  <c r="MS17" i="19"/>
  <c r="MR17" i="19"/>
  <c r="MQ17" i="19"/>
  <c r="MT17" i="19" s="1"/>
  <c r="MP17" i="19"/>
  <c r="MV16" i="19"/>
  <c r="MU16" i="19"/>
  <c r="MS16" i="19"/>
  <c r="MR16" i="19"/>
  <c r="MQ16" i="19"/>
  <c r="MP16" i="19"/>
  <c r="MV15" i="19"/>
  <c r="MU15" i="19"/>
  <c r="MS15" i="19"/>
  <c r="MR15" i="19"/>
  <c r="MQ15" i="19"/>
  <c r="MP15" i="19"/>
  <c r="MV14" i="19"/>
  <c r="MU14" i="19"/>
  <c r="MS14" i="19"/>
  <c r="MR14" i="19"/>
  <c r="MQ14" i="19"/>
  <c r="MP14" i="19"/>
  <c r="MV18" i="19"/>
  <c r="MU18" i="19"/>
  <c r="MS18" i="19"/>
  <c r="MR18" i="19"/>
  <c r="MQ18" i="19"/>
  <c r="MP18" i="19"/>
  <c r="MV13" i="19"/>
  <c r="MU13" i="19"/>
  <c r="MS13" i="19"/>
  <c r="MR13" i="19"/>
  <c r="MQ13" i="19"/>
  <c r="MT13" i="19" s="1"/>
  <c r="MP13" i="19"/>
  <c r="MV12" i="19"/>
  <c r="MU12" i="19"/>
  <c r="MS12" i="19"/>
  <c r="MR12" i="19"/>
  <c r="MQ12" i="19"/>
  <c r="MP12" i="19"/>
  <c r="MV11" i="19"/>
  <c r="MU11" i="19"/>
  <c r="MS11" i="19"/>
  <c r="MR11" i="19"/>
  <c r="MQ11" i="19"/>
  <c r="MT11" i="19" s="1"/>
  <c r="MP11" i="19"/>
  <c r="MV10" i="19"/>
  <c r="MU10" i="19"/>
  <c r="MS10" i="19"/>
  <c r="MR10" i="19"/>
  <c r="MQ10" i="19"/>
  <c r="MP10" i="19"/>
  <c r="MV22" i="19"/>
  <c r="MU22" i="19"/>
  <c r="MS22" i="19"/>
  <c r="MR22" i="19"/>
  <c r="MQ22" i="19"/>
  <c r="MP22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7" i="19"/>
  <c r="MU7" i="19"/>
  <c r="MS7" i="19"/>
  <c r="MR7" i="19"/>
  <c r="MQ7" i="19"/>
  <c r="MT7" i="19" s="1"/>
  <c r="MP7" i="19"/>
  <c r="MV6" i="19"/>
  <c r="MU6" i="19"/>
  <c r="MS6" i="19"/>
  <c r="MR6" i="19"/>
  <c r="MQ6" i="19"/>
  <c r="MP6" i="19"/>
  <c r="MV4" i="19"/>
  <c r="MU4" i="19"/>
  <c r="MS4" i="19"/>
  <c r="MR4" i="19"/>
  <c r="MQ4" i="19"/>
  <c r="MT4" i="19" s="1"/>
  <c r="MP4" i="19"/>
  <c r="MV5" i="19"/>
  <c r="MU5" i="19"/>
  <c r="MS5" i="19"/>
  <c r="MR5" i="19"/>
  <c r="MQ5" i="19"/>
  <c r="MP5" i="19"/>
  <c r="LT36" i="19"/>
  <c r="LS36" i="19"/>
  <c r="LQ36" i="19"/>
  <c r="LP36" i="19"/>
  <c r="LO36" i="19"/>
  <c r="LN36" i="19"/>
  <c r="LT35" i="19"/>
  <c r="LS35" i="19"/>
  <c r="LQ35" i="19"/>
  <c r="LP35" i="19"/>
  <c r="LO35" i="19"/>
  <c r="LN35" i="19"/>
  <c r="LT34" i="19"/>
  <c r="LS34" i="19"/>
  <c r="LQ34" i="19"/>
  <c r="LP34" i="19"/>
  <c r="LO34" i="19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R32" i="19" s="1"/>
  <c r="LN32" i="19"/>
  <c r="LT31" i="19"/>
  <c r="LS31" i="19"/>
  <c r="LQ31" i="19"/>
  <c r="LP31" i="19"/>
  <c r="LO31" i="19"/>
  <c r="LR31" i="19" s="1"/>
  <c r="LN31" i="19"/>
  <c r="LT30" i="19"/>
  <c r="LS30" i="19"/>
  <c r="LQ30" i="19"/>
  <c r="LP30" i="19"/>
  <c r="LO30" i="19"/>
  <c r="LN30" i="19"/>
  <c r="LT29" i="19"/>
  <c r="LS29" i="19"/>
  <c r="LQ29" i="19"/>
  <c r="LP29" i="19"/>
  <c r="LO29" i="19"/>
  <c r="LN29" i="19"/>
  <c r="LT28" i="19"/>
  <c r="LS28" i="19"/>
  <c r="LQ28" i="19"/>
  <c r="LP28" i="19"/>
  <c r="LO28" i="19"/>
  <c r="LN28" i="19"/>
  <c r="LT27" i="19"/>
  <c r="LS27" i="19"/>
  <c r="LQ27" i="19"/>
  <c r="LP27" i="19"/>
  <c r="LO27" i="19"/>
  <c r="LN27" i="19"/>
  <c r="LT26" i="19"/>
  <c r="LS26" i="19"/>
  <c r="LQ26" i="19"/>
  <c r="LP26" i="19"/>
  <c r="LO26" i="19"/>
  <c r="LN26" i="19"/>
  <c r="LT25" i="19"/>
  <c r="LS25" i="19"/>
  <c r="LQ25" i="19"/>
  <c r="LP25" i="19"/>
  <c r="LO25" i="19"/>
  <c r="LR25" i="19" s="1"/>
  <c r="LN25" i="19"/>
  <c r="LT24" i="19"/>
  <c r="LS24" i="19"/>
  <c r="LQ24" i="19"/>
  <c r="LP24" i="19"/>
  <c r="LO24" i="19"/>
  <c r="LN24" i="19"/>
  <c r="LT23" i="19"/>
  <c r="LS23" i="19"/>
  <c r="LQ23" i="19"/>
  <c r="LP23" i="19"/>
  <c r="LO23" i="19"/>
  <c r="LN23" i="19"/>
  <c r="LT21" i="19"/>
  <c r="LS21" i="19"/>
  <c r="LQ21" i="19"/>
  <c r="LP21" i="19"/>
  <c r="LO21" i="19"/>
  <c r="LN21" i="19"/>
  <c r="LT20" i="19"/>
  <c r="LS20" i="19"/>
  <c r="LQ20" i="19"/>
  <c r="LP20" i="19"/>
  <c r="LO20" i="19"/>
  <c r="LR20" i="19" s="1"/>
  <c r="LN20" i="19"/>
  <c r="LT19" i="19"/>
  <c r="LS19" i="19"/>
  <c r="LQ19" i="19"/>
  <c r="LP19" i="19"/>
  <c r="LO19" i="19"/>
  <c r="LN19" i="19"/>
  <c r="LT17" i="19"/>
  <c r="LS17" i="19"/>
  <c r="LQ17" i="19"/>
  <c r="LP17" i="19"/>
  <c r="LO17" i="19"/>
  <c r="LR17" i="19" s="1"/>
  <c r="LN17" i="19"/>
  <c r="LT16" i="19"/>
  <c r="LS16" i="19"/>
  <c r="LQ16" i="19"/>
  <c r="LP16" i="19"/>
  <c r="LO16" i="19"/>
  <c r="LN16" i="19"/>
  <c r="LT15" i="19"/>
  <c r="LS15" i="19"/>
  <c r="LQ15" i="19"/>
  <c r="LP15" i="19"/>
  <c r="LO15" i="19"/>
  <c r="LN15" i="19"/>
  <c r="LT14" i="19"/>
  <c r="LS14" i="19"/>
  <c r="LQ14" i="19"/>
  <c r="LP14" i="19"/>
  <c r="LO14" i="19"/>
  <c r="LN14" i="19"/>
  <c r="LT18" i="19"/>
  <c r="LS18" i="19"/>
  <c r="LQ18" i="19"/>
  <c r="LP18" i="19"/>
  <c r="LO18" i="19"/>
  <c r="LN18" i="19"/>
  <c r="LT13" i="19"/>
  <c r="LS13" i="19"/>
  <c r="LQ13" i="19"/>
  <c r="LP13" i="19"/>
  <c r="LO13" i="19"/>
  <c r="LN13" i="19"/>
  <c r="LT12" i="19"/>
  <c r="LS12" i="19"/>
  <c r="LQ12" i="19"/>
  <c r="LP12" i="19"/>
  <c r="LO12" i="19"/>
  <c r="LN12" i="19"/>
  <c r="LT11" i="19"/>
  <c r="LS11" i="19"/>
  <c r="LQ11" i="19"/>
  <c r="LP11" i="19"/>
  <c r="LO11" i="19"/>
  <c r="LR11" i="19" s="1"/>
  <c r="LN11" i="19"/>
  <c r="LT10" i="19"/>
  <c r="LS10" i="19"/>
  <c r="LQ10" i="19"/>
  <c r="LP10" i="19"/>
  <c r="LO10" i="19"/>
  <c r="LN10" i="19"/>
  <c r="LT22" i="19"/>
  <c r="LS22" i="19"/>
  <c r="LQ22" i="19"/>
  <c r="LP22" i="19"/>
  <c r="LO22" i="19"/>
  <c r="LN22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7" i="19"/>
  <c r="LS7" i="19"/>
  <c r="LQ7" i="19"/>
  <c r="LP7" i="19"/>
  <c r="LO7" i="19"/>
  <c r="LR7" i="19" s="1"/>
  <c r="LN7" i="19"/>
  <c r="LT6" i="19"/>
  <c r="LS6" i="19"/>
  <c r="LQ6" i="19"/>
  <c r="LP6" i="19"/>
  <c r="LO6" i="19"/>
  <c r="LN6" i="19"/>
  <c r="LT4" i="19"/>
  <c r="LS4" i="19"/>
  <c r="LQ4" i="19"/>
  <c r="LP4" i="19"/>
  <c r="LO4" i="19"/>
  <c r="LR4" i="19" s="1"/>
  <c r="LN4" i="19"/>
  <c r="LT5" i="19"/>
  <c r="LS5" i="19"/>
  <c r="LQ5" i="19"/>
  <c r="LP5" i="19"/>
  <c r="LO5" i="19"/>
  <c r="LN5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4" i="19"/>
  <c r="KQ34" i="19"/>
  <c r="KO34" i="19"/>
  <c r="KN34" i="19"/>
  <c r="KM34" i="19"/>
  <c r="KP34" i="19" s="1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1" i="19"/>
  <c r="KQ31" i="19"/>
  <c r="KO31" i="19"/>
  <c r="KN31" i="19"/>
  <c r="KM31" i="19"/>
  <c r="KP31" i="19" s="1"/>
  <c r="KL31" i="19"/>
  <c r="KR30" i="19"/>
  <c r="KQ30" i="19"/>
  <c r="KO30" i="19"/>
  <c r="KN30" i="19"/>
  <c r="KM30" i="19"/>
  <c r="KL30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7" i="19"/>
  <c r="KQ27" i="19"/>
  <c r="KO27" i="19"/>
  <c r="KN27" i="19"/>
  <c r="KM27" i="19"/>
  <c r="KP27" i="19" s="1"/>
  <c r="KL27" i="19"/>
  <c r="KR26" i="19"/>
  <c r="KQ26" i="19"/>
  <c r="KO26" i="19"/>
  <c r="KN26" i="19"/>
  <c r="KM26" i="19"/>
  <c r="KL26" i="19"/>
  <c r="KR25" i="19"/>
  <c r="KQ25" i="19"/>
  <c r="KO25" i="19"/>
  <c r="KN25" i="19"/>
  <c r="KM25" i="19"/>
  <c r="KL25" i="19"/>
  <c r="KR24" i="19"/>
  <c r="KQ24" i="19"/>
  <c r="KO24" i="19"/>
  <c r="KN24" i="19"/>
  <c r="KM24" i="19"/>
  <c r="KL24" i="19"/>
  <c r="KR23" i="19"/>
  <c r="KQ23" i="19"/>
  <c r="KO23" i="19"/>
  <c r="KN23" i="19"/>
  <c r="KM23" i="19"/>
  <c r="KL23" i="19"/>
  <c r="KR21" i="19"/>
  <c r="KQ21" i="19"/>
  <c r="KO21" i="19"/>
  <c r="KN21" i="19"/>
  <c r="KM21" i="19"/>
  <c r="KL21" i="19"/>
  <c r="KR20" i="19"/>
  <c r="KQ20" i="19"/>
  <c r="KO20" i="19"/>
  <c r="KN20" i="19"/>
  <c r="KM20" i="19"/>
  <c r="KL20" i="19"/>
  <c r="KR19" i="19"/>
  <c r="KQ19" i="19"/>
  <c r="KO19" i="19"/>
  <c r="KN19" i="19"/>
  <c r="KM19" i="19"/>
  <c r="KL19" i="19"/>
  <c r="KR17" i="19"/>
  <c r="KQ17" i="19"/>
  <c r="KO17" i="19"/>
  <c r="KN17" i="19"/>
  <c r="KM17" i="19"/>
  <c r="KL17" i="19"/>
  <c r="KR16" i="19"/>
  <c r="KQ16" i="19"/>
  <c r="KO16" i="19"/>
  <c r="KN16" i="19"/>
  <c r="KM16" i="19"/>
  <c r="KL16" i="19"/>
  <c r="KR15" i="19"/>
  <c r="KQ15" i="19"/>
  <c r="KO15" i="19"/>
  <c r="KN15" i="19"/>
  <c r="KM15" i="19"/>
  <c r="KL15" i="19"/>
  <c r="KR14" i="19"/>
  <c r="KQ14" i="19"/>
  <c r="KO14" i="19"/>
  <c r="KN14" i="19"/>
  <c r="KM14" i="19"/>
  <c r="KL14" i="19"/>
  <c r="KR18" i="19"/>
  <c r="KQ18" i="19"/>
  <c r="KO18" i="19"/>
  <c r="KN18" i="19"/>
  <c r="KM18" i="19"/>
  <c r="KL18" i="19"/>
  <c r="KR13" i="19"/>
  <c r="KQ13" i="19"/>
  <c r="KO13" i="19"/>
  <c r="KN13" i="19"/>
  <c r="KM13" i="19"/>
  <c r="KL13" i="19"/>
  <c r="KR12" i="19"/>
  <c r="KQ12" i="19"/>
  <c r="KO12" i="19"/>
  <c r="KN12" i="19"/>
  <c r="KM12" i="19"/>
  <c r="KL12" i="19"/>
  <c r="KR11" i="19"/>
  <c r="KQ11" i="19"/>
  <c r="KO11" i="19"/>
  <c r="KN11" i="19"/>
  <c r="KM11" i="19"/>
  <c r="KP11" i="19" s="1"/>
  <c r="KL11" i="19"/>
  <c r="KR10" i="19"/>
  <c r="KQ10" i="19"/>
  <c r="KO10" i="19"/>
  <c r="KN10" i="19"/>
  <c r="KM10" i="19"/>
  <c r="KL10" i="19"/>
  <c r="KR22" i="19"/>
  <c r="KQ22" i="19"/>
  <c r="KO22" i="19"/>
  <c r="KN22" i="19"/>
  <c r="KM22" i="19"/>
  <c r="KL22" i="19"/>
  <c r="KR8" i="19"/>
  <c r="KQ8" i="19"/>
  <c r="KO8" i="19"/>
  <c r="KN8" i="19"/>
  <c r="KM8" i="19"/>
  <c r="KL8" i="19"/>
  <c r="KR9" i="19"/>
  <c r="KQ9" i="19"/>
  <c r="KO9" i="19"/>
  <c r="KN9" i="19"/>
  <c r="KM9" i="19"/>
  <c r="KS9" i="19" s="1"/>
  <c r="KL9" i="19"/>
  <c r="KR7" i="19"/>
  <c r="KQ7" i="19"/>
  <c r="KO7" i="19"/>
  <c r="KN7" i="19"/>
  <c r="KM7" i="19"/>
  <c r="KL7" i="19"/>
  <c r="KR6" i="19"/>
  <c r="KQ6" i="19"/>
  <c r="KO6" i="19"/>
  <c r="KN6" i="19"/>
  <c r="KM6" i="19"/>
  <c r="KL6" i="19"/>
  <c r="KR4" i="19"/>
  <c r="KQ4" i="19"/>
  <c r="KO4" i="19"/>
  <c r="KN4" i="19"/>
  <c r="KM4" i="19"/>
  <c r="KP4" i="19" s="1"/>
  <c r="KL4" i="19"/>
  <c r="KR5" i="19"/>
  <c r="KQ5" i="19"/>
  <c r="KO5" i="19"/>
  <c r="KN5" i="19"/>
  <c r="KM5" i="19"/>
  <c r="KL5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4" i="19"/>
  <c r="JO34" i="19"/>
  <c r="JM34" i="19"/>
  <c r="JL34" i="19"/>
  <c r="JK34" i="19"/>
  <c r="JN34" i="19" s="1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N32" i="19" s="1"/>
  <c r="JJ32" i="19"/>
  <c r="JP31" i="19"/>
  <c r="JO31" i="19"/>
  <c r="JM31" i="19"/>
  <c r="JL31" i="19"/>
  <c r="JK31" i="19"/>
  <c r="JN31" i="19" s="1"/>
  <c r="JJ31" i="19"/>
  <c r="JP30" i="19"/>
  <c r="JO30" i="19"/>
  <c r="JM30" i="19"/>
  <c r="JL30" i="19"/>
  <c r="JK30" i="19"/>
  <c r="JJ30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7" i="19"/>
  <c r="JO27" i="19"/>
  <c r="JM27" i="19"/>
  <c r="JL27" i="19"/>
  <c r="JK27" i="19"/>
  <c r="JN27" i="19" s="1"/>
  <c r="JJ27" i="19"/>
  <c r="JP26" i="19"/>
  <c r="JO26" i="19"/>
  <c r="JM26" i="19"/>
  <c r="JL26" i="19"/>
  <c r="JK26" i="19"/>
  <c r="JJ26" i="19"/>
  <c r="JP25" i="19"/>
  <c r="JO25" i="19"/>
  <c r="JM25" i="19"/>
  <c r="JL25" i="19"/>
  <c r="JK25" i="19"/>
  <c r="JN25" i="19" s="1"/>
  <c r="JJ25" i="19"/>
  <c r="JP24" i="19"/>
  <c r="JO24" i="19"/>
  <c r="JM24" i="19"/>
  <c r="JL24" i="19"/>
  <c r="JK24" i="19"/>
  <c r="JN24" i="19" s="1"/>
  <c r="JJ24" i="19"/>
  <c r="JP23" i="19"/>
  <c r="JO23" i="19"/>
  <c r="JM23" i="19"/>
  <c r="JL23" i="19"/>
  <c r="JK23" i="19"/>
  <c r="JJ23" i="19"/>
  <c r="JP21" i="19"/>
  <c r="JO21" i="19"/>
  <c r="JM21" i="19"/>
  <c r="JL21" i="19"/>
  <c r="JK21" i="19"/>
  <c r="JJ21" i="19"/>
  <c r="JP20" i="19"/>
  <c r="JO20" i="19"/>
  <c r="JM20" i="19"/>
  <c r="JL20" i="19"/>
  <c r="JK20" i="19"/>
  <c r="JN20" i="19" s="1"/>
  <c r="JJ20" i="19"/>
  <c r="JP19" i="19"/>
  <c r="JO19" i="19"/>
  <c r="JM19" i="19"/>
  <c r="JL19" i="19"/>
  <c r="JK19" i="19"/>
  <c r="JJ19" i="19"/>
  <c r="JP17" i="19"/>
  <c r="JO17" i="19"/>
  <c r="JM17" i="19"/>
  <c r="JL17" i="19"/>
  <c r="JK17" i="19"/>
  <c r="JJ17" i="19"/>
  <c r="JP16" i="19"/>
  <c r="JO16" i="19"/>
  <c r="JM16" i="19"/>
  <c r="JL16" i="19"/>
  <c r="JK16" i="19"/>
  <c r="JJ16" i="19"/>
  <c r="JP15" i="19"/>
  <c r="JO15" i="19"/>
  <c r="JM15" i="19"/>
  <c r="JL15" i="19"/>
  <c r="JK15" i="19"/>
  <c r="JJ15" i="19"/>
  <c r="JP14" i="19"/>
  <c r="JO14" i="19"/>
  <c r="JM14" i="19"/>
  <c r="JL14" i="19"/>
  <c r="JK14" i="19"/>
  <c r="JJ14" i="19"/>
  <c r="JP18" i="19"/>
  <c r="JO18" i="19"/>
  <c r="JM18" i="19"/>
  <c r="JL18" i="19"/>
  <c r="JK18" i="19"/>
  <c r="JJ18" i="19"/>
  <c r="JP13" i="19"/>
  <c r="JO13" i="19"/>
  <c r="JM13" i="19"/>
  <c r="JL13" i="19"/>
  <c r="JK13" i="19"/>
  <c r="JN13" i="19" s="1"/>
  <c r="JJ13" i="19"/>
  <c r="JP12" i="19"/>
  <c r="JO12" i="19"/>
  <c r="JM12" i="19"/>
  <c r="JL12" i="19"/>
  <c r="JK12" i="19"/>
  <c r="JJ12" i="19"/>
  <c r="JP11" i="19"/>
  <c r="JO11" i="19"/>
  <c r="JM11" i="19"/>
  <c r="JL11" i="19"/>
  <c r="JK11" i="19"/>
  <c r="JJ11" i="19"/>
  <c r="JP10" i="19"/>
  <c r="JO10" i="19"/>
  <c r="JM10" i="19"/>
  <c r="JL10" i="19"/>
  <c r="JK10" i="19"/>
  <c r="JJ10" i="19"/>
  <c r="JP22" i="19"/>
  <c r="JO22" i="19"/>
  <c r="JM22" i="19"/>
  <c r="JL22" i="19"/>
  <c r="JK22" i="19"/>
  <c r="JJ22" i="19"/>
  <c r="JP8" i="19"/>
  <c r="JO8" i="19"/>
  <c r="JM8" i="19"/>
  <c r="JL8" i="19"/>
  <c r="JK8" i="19"/>
  <c r="JJ8" i="19"/>
  <c r="JP9" i="19"/>
  <c r="JO9" i="19"/>
  <c r="JM9" i="19"/>
  <c r="JL9" i="19"/>
  <c r="JK9" i="19"/>
  <c r="JQ9" i="19" s="1"/>
  <c r="JJ9" i="19"/>
  <c r="JP7" i="19"/>
  <c r="JO7" i="19"/>
  <c r="JM7" i="19"/>
  <c r="JL7" i="19"/>
  <c r="JK7" i="19"/>
  <c r="JN7" i="19" s="1"/>
  <c r="JJ7" i="19"/>
  <c r="JP6" i="19"/>
  <c r="JO6" i="19"/>
  <c r="JM6" i="19"/>
  <c r="JL6" i="19"/>
  <c r="JK6" i="19"/>
  <c r="JJ6" i="19"/>
  <c r="JP4" i="19"/>
  <c r="JO4" i="19"/>
  <c r="JM4" i="19"/>
  <c r="JL4" i="19"/>
  <c r="JK4" i="19"/>
  <c r="JJ4" i="19"/>
  <c r="JP5" i="19"/>
  <c r="JO5" i="19"/>
  <c r="JM5" i="19"/>
  <c r="JL5" i="19"/>
  <c r="JK5" i="19"/>
  <c r="JJ5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4" i="19"/>
  <c r="IM34" i="19"/>
  <c r="IK34" i="19"/>
  <c r="IJ34" i="19"/>
  <c r="II34" i="19"/>
  <c r="IL34" i="19" s="1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L32" i="19" s="1"/>
  <c r="IH32" i="19"/>
  <c r="IN31" i="19"/>
  <c r="IM31" i="19"/>
  <c r="IK31" i="19"/>
  <c r="IJ31" i="19"/>
  <c r="II31" i="19"/>
  <c r="IH31" i="19"/>
  <c r="IN30" i="19"/>
  <c r="IM30" i="19"/>
  <c r="IK30" i="19"/>
  <c r="IJ30" i="19"/>
  <c r="II30" i="19"/>
  <c r="IH30" i="19"/>
  <c r="IN29" i="19"/>
  <c r="IM29" i="19"/>
  <c r="IK29" i="19"/>
  <c r="IJ29" i="19"/>
  <c r="II29" i="19"/>
  <c r="IH29" i="19"/>
  <c r="IN28" i="19"/>
  <c r="IM28" i="19"/>
  <c r="IK28" i="19"/>
  <c r="IJ28" i="19"/>
  <c r="II28" i="19"/>
  <c r="IH28" i="19"/>
  <c r="IN27" i="19"/>
  <c r="IM27" i="19"/>
  <c r="IK27" i="19"/>
  <c r="IJ27" i="19"/>
  <c r="II27" i="19"/>
  <c r="IL27" i="19" s="1"/>
  <c r="IH27" i="19"/>
  <c r="IN26" i="19"/>
  <c r="IM26" i="19"/>
  <c r="IK26" i="19"/>
  <c r="IJ26" i="19"/>
  <c r="II26" i="19"/>
  <c r="IH26" i="19"/>
  <c r="IN25" i="19"/>
  <c r="IM25" i="19"/>
  <c r="IK25" i="19"/>
  <c r="IJ25" i="19"/>
  <c r="II25" i="19"/>
  <c r="IL25" i="19" s="1"/>
  <c r="IH25" i="19"/>
  <c r="IN24" i="19"/>
  <c r="IM24" i="19"/>
  <c r="IK24" i="19"/>
  <c r="IJ24" i="19"/>
  <c r="II24" i="19"/>
  <c r="IH24" i="19"/>
  <c r="IN23" i="19"/>
  <c r="IM23" i="19"/>
  <c r="IK23" i="19"/>
  <c r="IJ23" i="19"/>
  <c r="II23" i="19"/>
  <c r="IH23" i="19"/>
  <c r="IN21" i="19"/>
  <c r="IM21" i="19"/>
  <c r="IK21" i="19"/>
  <c r="IJ21" i="19"/>
  <c r="II21" i="19"/>
  <c r="IH21" i="19"/>
  <c r="IN20" i="19"/>
  <c r="IM20" i="19"/>
  <c r="IK20" i="19"/>
  <c r="IJ20" i="19"/>
  <c r="II20" i="19"/>
  <c r="IH20" i="19"/>
  <c r="IN19" i="19"/>
  <c r="IM19" i="19"/>
  <c r="IK19" i="19"/>
  <c r="IJ19" i="19"/>
  <c r="II19" i="19"/>
  <c r="IH19" i="19"/>
  <c r="IN17" i="19"/>
  <c r="IM17" i="19"/>
  <c r="IK17" i="19"/>
  <c r="IJ17" i="19"/>
  <c r="II17" i="19"/>
  <c r="IL17" i="19" s="1"/>
  <c r="IH17" i="19"/>
  <c r="IN16" i="19"/>
  <c r="IM16" i="19"/>
  <c r="IK16" i="19"/>
  <c r="IJ16" i="19"/>
  <c r="II16" i="19"/>
  <c r="IH16" i="19"/>
  <c r="IN15" i="19"/>
  <c r="IM15" i="19"/>
  <c r="IK15" i="19"/>
  <c r="IJ15" i="19"/>
  <c r="II15" i="19"/>
  <c r="IH15" i="19"/>
  <c r="IN14" i="19"/>
  <c r="IM14" i="19"/>
  <c r="IK14" i="19"/>
  <c r="IJ14" i="19"/>
  <c r="II14" i="19"/>
  <c r="IH14" i="19"/>
  <c r="IN18" i="19"/>
  <c r="IM18" i="19"/>
  <c r="IK18" i="19"/>
  <c r="IJ18" i="19"/>
  <c r="II18" i="19"/>
  <c r="IH18" i="19"/>
  <c r="IN13" i="19"/>
  <c r="IM13" i="19"/>
  <c r="IK13" i="19"/>
  <c r="IJ13" i="19"/>
  <c r="II13" i="19"/>
  <c r="IH13" i="19"/>
  <c r="IN12" i="19"/>
  <c r="IM12" i="19"/>
  <c r="IK12" i="19"/>
  <c r="IJ12" i="19"/>
  <c r="II12" i="19"/>
  <c r="IH12" i="19"/>
  <c r="IN11" i="19"/>
  <c r="IM11" i="19"/>
  <c r="IK11" i="19"/>
  <c r="IJ11" i="19"/>
  <c r="II11" i="19"/>
  <c r="IL11" i="19" s="1"/>
  <c r="IH11" i="19"/>
  <c r="IN10" i="19"/>
  <c r="IM10" i="19"/>
  <c r="IK10" i="19"/>
  <c r="IJ10" i="19"/>
  <c r="II10" i="19"/>
  <c r="IH10" i="19"/>
  <c r="IN22" i="19"/>
  <c r="IM22" i="19"/>
  <c r="IK22" i="19"/>
  <c r="IJ22" i="19"/>
  <c r="II22" i="19"/>
  <c r="IH22" i="19"/>
  <c r="IN8" i="19"/>
  <c r="IM8" i="19"/>
  <c r="IK8" i="19"/>
  <c r="IJ8" i="19"/>
  <c r="II8" i="19"/>
  <c r="IH8" i="19"/>
  <c r="IN9" i="19"/>
  <c r="IM9" i="19"/>
  <c r="IK9" i="19"/>
  <c r="IJ9" i="19"/>
  <c r="II9" i="19"/>
  <c r="IH9" i="19"/>
  <c r="IN7" i="19"/>
  <c r="IM7" i="19"/>
  <c r="IK7" i="19"/>
  <c r="IJ7" i="19"/>
  <c r="II7" i="19"/>
  <c r="IH7" i="19"/>
  <c r="IN6" i="19"/>
  <c r="IM6" i="19"/>
  <c r="IK6" i="19"/>
  <c r="IJ6" i="19"/>
  <c r="II6" i="19"/>
  <c r="IO6" i="19" s="1"/>
  <c r="IH6" i="19"/>
  <c r="IN4" i="19"/>
  <c r="IM4" i="19"/>
  <c r="IK4" i="19"/>
  <c r="IJ4" i="19"/>
  <c r="II4" i="19"/>
  <c r="IH4" i="19"/>
  <c r="IN5" i="19"/>
  <c r="IM5" i="19"/>
  <c r="IK5" i="19"/>
  <c r="IJ5" i="19"/>
  <c r="II5" i="19"/>
  <c r="IH5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4" i="19"/>
  <c r="HK34" i="19"/>
  <c r="HI34" i="19"/>
  <c r="HH34" i="19"/>
  <c r="HG34" i="19"/>
  <c r="HF34" i="19"/>
  <c r="HL33" i="19"/>
  <c r="HK33" i="19"/>
  <c r="HI33" i="19"/>
  <c r="HH33" i="19"/>
  <c r="HG33" i="19"/>
  <c r="HF33" i="19"/>
  <c r="HL32" i="19"/>
  <c r="HK32" i="19"/>
  <c r="HI32" i="19"/>
  <c r="HH32" i="19"/>
  <c r="HG32" i="19"/>
  <c r="HF32" i="19"/>
  <c r="HL31" i="19"/>
  <c r="HK31" i="19"/>
  <c r="HI31" i="19"/>
  <c r="HH31" i="19"/>
  <c r="HG31" i="19"/>
  <c r="HF31" i="19"/>
  <c r="HL30" i="19"/>
  <c r="HK30" i="19"/>
  <c r="HI30" i="19"/>
  <c r="HH30" i="19"/>
  <c r="HG30" i="19"/>
  <c r="HF30" i="19"/>
  <c r="HL29" i="19"/>
  <c r="HK29" i="19"/>
  <c r="HI29" i="19"/>
  <c r="HH29" i="19"/>
  <c r="HG29" i="19"/>
  <c r="HF29" i="19"/>
  <c r="HL28" i="19"/>
  <c r="HK28" i="19"/>
  <c r="HI28" i="19"/>
  <c r="HH28" i="19"/>
  <c r="HG28" i="19"/>
  <c r="HF28" i="19"/>
  <c r="HL27" i="19"/>
  <c r="HK27" i="19"/>
  <c r="HI27" i="19"/>
  <c r="HH27" i="19"/>
  <c r="HG27" i="19"/>
  <c r="HF27" i="19"/>
  <c r="HL26" i="19"/>
  <c r="HK26" i="19"/>
  <c r="HI26" i="19"/>
  <c r="HH26" i="19"/>
  <c r="HG26" i="19"/>
  <c r="HF26" i="19"/>
  <c r="HL25" i="19"/>
  <c r="HK25" i="19"/>
  <c r="HI25" i="19"/>
  <c r="HH25" i="19"/>
  <c r="HG25" i="19"/>
  <c r="HJ25" i="19" s="1"/>
  <c r="HF25" i="19"/>
  <c r="HL24" i="19"/>
  <c r="HK24" i="19"/>
  <c r="HI24" i="19"/>
  <c r="HH24" i="19"/>
  <c r="HG24" i="19"/>
  <c r="HF24" i="19"/>
  <c r="HL23" i="19"/>
  <c r="HK23" i="19"/>
  <c r="HI23" i="19"/>
  <c r="HH23" i="19"/>
  <c r="HG23" i="19"/>
  <c r="HF23" i="19"/>
  <c r="HL21" i="19"/>
  <c r="HK21" i="19"/>
  <c r="HI21" i="19"/>
  <c r="HH21" i="19"/>
  <c r="HG21" i="19"/>
  <c r="HF21" i="19"/>
  <c r="HL20" i="19"/>
  <c r="HK20" i="19"/>
  <c r="HI20" i="19"/>
  <c r="HH20" i="19"/>
  <c r="HG20" i="19"/>
  <c r="HF20" i="19"/>
  <c r="HL19" i="19"/>
  <c r="HK19" i="19"/>
  <c r="HI19" i="19"/>
  <c r="HH19" i="19"/>
  <c r="HG19" i="19"/>
  <c r="HF19" i="19"/>
  <c r="HL17" i="19"/>
  <c r="HK17" i="19"/>
  <c r="HI17" i="19"/>
  <c r="HH17" i="19"/>
  <c r="HG17" i="19"/>
  <c r="HF17" i="19"/>
  <c r="HL16" i="19"/>
  <c r="HK16" i="19"/>
  <c r="HI16" i="19"/>
  <c r="HH16" i="19"/>
  <c r="HG16" i="19"/>
  <c r="HF16" i="19"/>
  <c r="HL15" i="19"/>
  <c r="HK15" i="19"/>
  <c r="HI15" i="19"/>
  <c r="HH15" i="19"/>
  <c r="HG15" i="19"/>
  <c r="HF15" i="19"/>
  <c r="HL14" i="19"/>
  <c r="HK14" i="19"/>
  <c r="HI14" i="19"/>
  <c r="HH14" i="19"/>
  <c r="HG14" i="19"/>
  <c r="HF14" i="19"/>
  <c r="HL18" i="19"/>
  <c r="HK18" i="19"/>
  <c r="HI18" i="19"/>
  <c r="HH18" i="19"/>
  <c r="HG18" i="19"/>
  <c r="HF18" i="19"/>
  <c r="HL13" i="19"/>
  <c r="HK13" i="19"/>
  <c r="HI13" i="19"/>
  <c r="HH13" i="19"/>
  <c r="HG13" i="19"/>
  <c r="HJ13" i="19" s="1"/>
  <c r="HF13" i="19"/>
  <c r="HL12" i="19"/>
  <c r="HK12" i="19"/>
  <c r="HI12" i="19"/>
  <c r="HH12" i="19"/>
  <c r="HG12" i="19"/>
  <c r="HJ12" i="19" s="1"/>
  <c r="HF12" i="19"/>
  <c r="HL11" i="19"/>
  <c r="HK11" i="19"/>
  <c r="HI11" i="19"/>
  <c r="HH11" i="19"/>
  <c r="HG11" i="19"/>
  <c r="HF11" i="19"/>
  <c r="HL10" i="19"/>
  <c r="HK10" i="19"/>
  <c r="HI10" i="19"/>
  <c r="HH10" i="19"/>
  <c r="HG10" i="19"/>
  <c r="HF10" i="19"/>
  <c r="HL22" i="19"/>
  <c r="HK22" i="19"/>
  <c r="HI22" i="19"/>
  <c r="HH22" i="19"/>
  <c r="HG22" i="19"/>
  <c r="HF22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F4" i="19"/>
  <c r="HL5" i="19"/>
  <c r="HK5" i="19"/>
  <c r="HI5" i="19"/>
  <c r="HH5" i="19"/>
  <c r="HG5" i="19"/>
  <c r="HF5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4" i="19"/>
  <c r="GI34" i="19"/>
  <c r="GG34" i="19"/>
  <c r="GF34" i="19"/>
  <c r="GE34" i="19"/>
  <c r="GD34" i="19"/>
  <c r="GJ33" i="19"/>
  <c r="GI33" i="19"/>
  <c r="GG33" i="19"/>
  <c r="GF33" i="19"/>
  <c r="GE33" i="19"/>
  <c r="GD33" i="19"/>
  <c r="GJ32" i="19"/>
  <c r="GI32" i="19"/>
  <c r="GG32" i="19"/>
  <c r="GF32" i="19"/>
  <c r="GE32" i="19"/>
  <c r="GH32" i="19" s="1"/>
  <c r="GD32" i="19"/>
  <c r="GJ31" i="19"/>
  <c r="GI31" i="19"/>
  <c r="GG31" i="19"/>
  <c r="GF31" i="19"/>
  <c r="GE31" i="19"/>
  <c r="GD31" i="19"/>
  <c r="GJ30" i="19"/>
  <c r="GI30" i="19"/>
  <c r="GG30" i="19"/>
  <c r="GF30" i="19"/>
  <c r="GE30" i="19"/>
  <c r="GD30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7" i="19"/>
  <c r="GI27" i="19"/>
  <c r="GG27" i="19"/>
  <c r="GF27" i="19"/>
  <c r="GE27" i="19"/>
  <c r="GD27" i="19"/>
  <c r="GJ26" i="19"/>
  <c r="GI26" i="19"/>
  <c r="GG26" i="19"/>
  <c r="GF26" i="19"/>
  <c r="GE26" i="19"/>
  <c r="GD26" i="19"/>
  <c r="GJ25" i="19"/>
  <c r="GI25" i="19"/>
  <c r="GG25" i="19"/>
  <c r="GF25" i="19"/>
  <c r="GE25" i="19"/>
  <c r="GH25" i="19" s="1"/>
  <c r="GD25" i="19"/>
  <c r="GJ24" i="19"/>
  <c r="GI24" i="19"/>
  <c r="GG24" i="19"/>
  <c r="GF24" i="19"/>
  <c r="GE24" i="19"/>
  <c r="GD24" i="19"/>
  <c r="GJ23" i="19"/>
  <c r="GI23" i="19"/>
  <c r="GG23" i="19"/>
  <c r="GF23" i="19"/>
  <c r="GE23" i="19"/>
  <c r="GD23" i="19"/>
  <c r="GJ21" i="19"/>
  <c r="GI21" i="19"/>
  <c r="GG21" i="19"/>
  <c r="GF21" i="19"/>
  <c r="GE21" i="19"/>
  <c r="GD21" i="19"/>
  <c r="GJ20" i="19"/>
  <c r="GI20" i="19"/>
  <c r="GG20" i="19"/>
  <c r="GF20" i="19"/>
  <c r="GE20" i="19"/>
  <c r="GH20" i="19" s="1"/>
  <c r="GD20" i="19"/>
  <c r="GJ19" i="19"/>
  <c r="GI19" i="19"/>
  <c r="GG19" i="19"/>
  <c r="GF19" i="19"/>
  <c r="GE19" i="19"/>
  <c r="GD19" i="19"/>
  <c r="GJ17" i="19"/>
  <c r="GI17" i="19"/>
  <c r="GG17" i="19"/>
  <c r="GF17" i="19"/>
  <c r="GE17" i="19"/>
  <c r="GH17" i="19" s="1"/>
  <c r="GD17" i="19"/>
  <c r="GJ16" i="19"/>
  <c r="GI16" i="19"/>
  <c r="GG16" i="19"/>
  <c r="GF16" i="19"/>
  <c r="GE16" i="19"/>
  <c r="GD16" i="19"/>
  <c r="GJ15" i="19"/>
  <c r="GI15" i="19"/>
  <c r="GG15" i="19"/>
  <c r="GF15" i="19"/>
  <c r="GE15" i="19"/>
  <c r="GD15" i="19"/>
  <c r="GJ14" i="19"/>
  <c r="GI14" i="19"/>
  <c r="GG14" i="19"/>
  <c r="GF14" i="19"/>
  <c r="GE14" i="19"/>
  <c r="GD14" i="19"/>
  <c r="GJ18" i="19"/>
  <c r="GI18" i="19"/>
  <c r="GG18" i="19"/>
  <c r="GF18" i="19"/>
  <c r="GE18" i="19"/>
  <c r="GD18" i="19"/>
  <c r="GJ13" i="19"/>
  <c r="GI13" i="19"/>
  <c r="GG13" i="19"/>
  <c r="GF13" i="19"/>
  <c r="GE13" i="19"/>
  <c r="GH13" i="19" s="1"/>
  <c r="GD13" i="19"/>
  <c r="GJ12" i="19"/>
  <c r="GI12" i="19"/>
  <c r="GG12" i="19"/>
  <c r="GF12" i="19"/>
  <c r="GE12" i="19"/>
  <c r="GD12" i="19"/>
  <c r="GJ11" i="19"/>
  <c r="GI11" i="19"/>
  <c r="GG11" i="19"/>
  <c r="GF11" i="19"/>
  <c r="GE11" i="19"/>
  <c r="GD11" i="19"/>
  <c r="GJ10" i="19"/>
  <c r="GI10" i="19"/>
  <c r="GG10" i="19"/>
  <c r="GF10" i="19"/>
  <c r="GE10" i="19"/>
  <c r="GD10" i="19"/>
  <c r="GJ22" i="19"/>
  <c r="GI22" i="19"/>
  <c r="GG22" i="19"/>
  <c r="GF22" i="19"/>
  <c r="GE22" i="19"/>
  <c r="GD22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GJ5" i="19"/>
  <c r="GI5" i="19"/>
  <c r="GG5" i="19"/>
  <c r="GF5" i="19"/>
  <c r="GE5" i="19"/>
  <c r="GD5" i="19"/>
  <c r="FH36" i="19"/>
  <c r="FG36" i="19"/>
  <c r="FE36" i="19"/>
  <c r="FD36" i="19"/>
  <c r="FC36" i="19"/>
  <c r="FB36" i="19"/>
  <c r="FH35" i="19"/>
  <c r="FG35" i="19"/>
  <c r="FE35" i="19"/>
  <c r="FD35" i="19"/>
  <c r="FC35" i="19"/>
  <c r="FB35" i="19"/>
  <c r="FH34" i="19"/>
  <c r="FG34" i="19"/>
  <c r="FE34" i="19"/>
  <c r="FD34" i="19"/>
  <c r="FC34" i="19"/>
  <c r="FB34" i="19"/>
  <c r="FH33" i="19"/>
  <c r="FG33" i="19"/>
  <c r="FE33" i="19"/>
  <c r="FD33" i="19"/>
  <c r="FC33" i="19"/>
  <c r="FI33" i="19" s="1"/>
  <c r="FB33" i="19"/>
  <c r="FH32" i="19"/>
  <c r="FG32" i="19"/>
  <c r="FE32" i="19"/>
  <c r="FD32" i="19"/>
  <c r="FC32" i="19"/>
  <c r="FB32" i="19"/>
  <c r="FH31" i="19"/>
  <c r="FG31" i="19"/>
  <c r="FE31" i="19"/>
  <c r="FD31" i="19"/>
  <c r="FC31" i="19"/>
  <c r="FF31" i="19" s="1"/>
  <c r="FB31" i="19"/>
  <c r="FH30" i="19"/>
  <c r="FG30" i="19"/>
  <c r="FE30" i="19"/>
  <c r="FD30" i="19"/>
  <c r="FC30" i="19"/>
  <c r="FB30" i="19"/>
  <c r="FH29" i="19"/>
  <c r="FG29" i="19"/>
  <c r="FE29" i="19"/>
  <c r="FD29" i="19"/>
  <c r="FC29" i="19"/>
  <c r="FB29" i="19"/>
  <c r="FH28" i="19"/>
  <c r="FG28" i="19"/>
  <c r="FE28" i="19"/>
  <c r="FD28" i="19"/>
  <c r="FC28" i="19"/>
  <c r="FB28" i="19"/>
  <c r="FH27" i="19"/>
  <c r="FG27" i="19"/>
  <c r="FE27" i="19"/>
  <c r="FD27" i="19"/>
  <c r="FC27" i="19"/>
  <c r="FB27" i="19"/>
  <c r="FH26" i="19"/>
  <c r="FG26" i="19"/>
  <c r="FE26" i="19"/>
  <c r="FD26" i="19"/>
  <c r="FC26" i="19"/>
  <c r="FI26" i="19" s="1"/>
  <c r="FB26" i="19"/>
  <c r="FH25" i="19"/>
  <c r="FG25" i="19"/>
  <c r="FE25" i="19"/>
  <c r="FD25" i="19"/>
  <c r="FC25" i="19"/>
  <c r="FB25" i="19"/>
  <c r="FH24" i="19"/>
  <c r="FG24" i="19"/>
  <c r="FE24" i="19"/>
  <c r="FD24" i="19"/>
  <c r="FC24" i="19"/>
  <c r="FF24" i="19" s="1"/>
  <c r="FB24" i="19"/>
  <c r="FH23" i="19"/>
  <c r="FG23" i="19"/>
  <c r="FE23" i="19"/>
  <c r="FD23" i="19"/>
  <c r="FC23" i="19"/>
  <c r="FB23" i="19"/>
  <c r="FH21" i="19"/>
  <c r="FG21" i="19"/>
  <c r="FE21" i="19"/>
  <c r="FD21" i="19"/>
  <c r="FC21" i="19"/>
  <c r="FB21" i="19"/>
  <c r="FH20" i="19"/>
  <c r="FG20" i="19"/>
  <c r="FE20" i="19"/>
  <c r="FD20" i="19"/>
  <c r="FC20" i="19"/>
  <c r="FB20" i="19"/>
  <c r="FH19" i="19"/>
  <c r="FG19" i="19"/>
  <c r="FE19" i="19"/>
  <c r="FD19" i="19"/>
  <c r="FC19" i="19"/>
  <c r="FB19" i="19"/>
  <c r="FH17" i="19"/>
  <c r="FG17" i="19"/>
  <c r="FE17" i="19"/>
  <c r="FD17" i="19"/>
  <c r="FC17" i="19"/>
  <c r="FB17" i="19"/>
  <c r="FH16" i="19"/>
  <c r="FG16" i="19"/>
  <c r="FE16" i="19"/>
  <c r="FD16" i="19"/>
  <c r="FC16" i="19"/>
  <c r="FB16" i="19"/>
  <c r="FH15" i="19"/>
  <c r="FG15" i="19"/>
  <c r="FE15" i="19"/>
  <c r="FD15" i="19"/>
  <c r="FC15" i="19"/>
  <c r="FB15" i="19"/>
  <c r="FH14" i="19"/>
  <c r="FG14" i="19"/>
  <c r="FE14" i="19"/>
  <c r="FD14" i="19"/>
  <c r="FC14" i="19"/>
  <c r="FB14" i="19"/>
  <c r="FH18" i="19"/>
  <c r="FG18" i="19"/>
  <c r="FE18" i="19"/>
  <c r="FD18" i="19"/>
  <c r="FC18" i="19"/>
  <c r="FB18" i="19"/>
  <c r="FH13" i="19"/>
  <c r="FG13" i="19"/>
  <c r="FE13" i="19"/>
  <c r="FD13" i="19"/>
  <c r="FC13" i="19"/>
  <c r="FB13" i="19"/>
  <c r="FH12" i="19"/>
  <c r="FG12" i="19"/>
  <c r="FE12" i="19"/>
  <c r="FD12" i="19"/>
  <c r="FC12" i="19"/>
  <c r="FB12" i="19"/>
  <c r="FH11" i="19"/>
  <c r="FG11" i="19"/>
  <c r="FE11" i="19"/>
  <c r="FD11" i="19"/>
  <c r="FC11" i="19"/>
  <c r="FB11" i="19"/>
  <c r="FH10" i="19"/>
  <c r="FG10" i="19"/>
  <c r="FE10" i="19"/>
  <c r="FD10" i="19"/>
  <c r="FC10" i="19"/>
  <c r="FB10" i="19"/>
  <c r="FH22" i="19"/>
  <c r="FG22" i="19"/>
  <c r="FE22" i="19"/>
  <c r="FD22" i="19"/>
  <c r="FC22" i="19"/>
  <c r="FB22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FH5" i="19"/>
  <c r="FG5" i="19"/>
  <c r="FE5" i="19"/>
  <c r="FD5" i="19"/>
  <c r="FC5" i="19"/>
  <c r="FB5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1" i="19"/>
  <c r="EE31" i="19"/>
  <c r="EC31" i="19"/>
  <c r="EB31" i="19"/>
  <c r="EA31" i="19"/>
  <c r="DZ31" i="19"/>
  <c r="EF30" i="19"/>
  <c r="EE30" i="19"/>
  <c r="EC30" i="19"/>
  <c r="EB30" i="19"/>
  <c r="EA30" i="19"/>
  <c r="DZ30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7" i="19"/>
  <c r="EE27" i="19"/>
  <c r="EC27" i="19"/>
  <c r="EB27" i="19"/>
  <c r="EA27" i="19"/>
  <c r="DZ27" i="19"/>
  <c r="EF26" i="19"/>
  <c r="EE26" i="19"/>
  <c r="EC26" i="19"/>
  <c r="EB26" i="19"/>
  <c r="EA26" i="19"/>
  <c r="DZ26" i="19"/>
  <c r="EF25" i="19"/>
  <c r="EE25" i="19"/>
  <c r="EC25" i="19"/>
  <c r="EB25" i="19"/>
  <c r="EA25" i="19"/>
  <c r="DZ25" i="19"/>
  <c r="EF24" i="19"/>
  <c r="EE24" i="19"/>
  <c r="EC24" i="19"/>
  <c r="EB24" i="19"/>
  <c r="EA24" i="19"/>
  <c r="DZ24" i="19"/>
  <c r="EF23" i="19"/>
  <c r="EE23" i="19"/>
  <c r="EC23" i="19"/>
  <c r="EB23" i="19"/>
  <c r="EA23" i="19"/>
  <c r="DZ23" i="19"/>
  <c r="EF21" i="19"/>
  <c r="EE21" i="19"/>
  <c r="EC21" i="19"/>
  <c r="EB21" i="19"/>
  <c r="EA21" i="19"/>
  <c r="DZ21" i="19"/>
  <c r="EF20" i="19"/>
  <c r="EE20" i="19"/>
  <c r="EC20" i="19"/>
  <c r="EB20" i="19"/>
  <c r="EA20" i="19"/>
  <c r="DZ20" i="19"/>
  <c r="EF19" i="19"/>
  <c r="EE19" i="19"/>
  <c r="EC19" i="19"/>
  <c r="EB19" i="19"/>
  <c r="EA19" i="19"/>
  <c r="DZ19" i="19"/>
  <c r="EF17" i="19"/>
  <c r="EE17" i="19"/>
  <c r="EC17" i="19"/>
  <c r="EB17" i="19"/>
  <c r="EA17" i="19"/>
  <c r="DZ17" i="19"/>
  <c r="EF16" i="19"/>
  <c r="EE16" i="19"/>
  <c r="EC16" i="19"/>
  <c r="EB16" i="19"/>
  <c r="EA16" i="19"/>
  <c r="DZ16" i="19"/>
  <c r="EF15" i="19"/>
  <c r="EE15" i="19"/>
  <c r="EC15" i="19"/>
  <c r="EB15" i="19"/>
  <c r="EA15" i="19"/>
  <c r="EG15" i="19" s="1"/>
  <c r="DZ15" i="19"/>
  <c r="EF14" i="19"/>
  <c r="EE14" i="19"/>
  <c r="EC14" i="19"/>
  <c r="EB14" i="19"/>
  <c r="EA14" i="19"/>
  <c r="DZ14" i="19"/>
  <c r="EF18" i="19"/>
  <c r="EE18" i="19"/>
  <c r="EC18" i="19"/>
  <c r="EB18" i="19"/>
  <c r="EA18" i="19"/>
  <c r="DZ18" i="19"/>
  <c r="EF13" i="19"/>
  <c r="EE13" i="19"/>
  <c r="EC13" i="19"/>
  <c r="EB13" i="19"/>
  <c r="EA13" i="19"/>
  <c r="DZ13" i="19"/>
  <c r="EF12" i="19"/>
  <c r="EE12" i="19"/>
  <c r="EC12" i="19"/>
  <c r="EB12" i="19"/>
  <c r="EA12" i="19"/>
  <c r="DZ12" i="19"/>
  <c r="EF11" i="19"/>
  <c r="EE11" i="19"/>
  <c r="EC11" i="19"/>
  <c r="EB11" i="19"/>
  <c r="EA11" i="19"/>
  <c r="DZ11" i="19"/>
  <c r="EF10" i="19"/>
  <c r="EE10" i="19"/>
  <c r="EC10" i="19"/>
  <c r="EB10" i="19"/>
  <c r="EA10" i="19"/>
  <c r="DZ10" i="19"/>
  <c r="EF22" i="19"/>
  <c r="EE22" i="19"/>
  <c r="EC22" i="19"/>
  <c r="EB22" i="19"/>
  <c r="EA22" i="19"/>
  <c r="DZ22" i="19"/>
  <c r="EF8" i="19"/>
  <c r="EE8" i="19"/>
  <c r="EC8" i="19"/>
  <c r="EB8" i="19"/>
  <c r="EA8" i="19"/>
  <c r="DZ8" i="19"/>
  <c r="EF9" i="19"/>
  <c r="EE9" i="19"/>
  <c r="EC9" i="19"/>
  <c r="EB9" i="19"/>
  <c r="EA9" i="19"/>
  <c r="DZ9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EF5" i="19"/>
  <c r="EE5" i="19"/>
  <c r="EC5" i="19"/>
  <c r="EB5" i="19"/>
  <c r="EA5" i="19"/>
  <c r="DZ5" i="19"/>
  <c r="OZ18" i="27"/>
  <c r="OY18" i="27"/>
  <c r="OW18" i="27"/>
  <c r="OV18" i="27"/>
  <c r="OU18" i="27"/>
  <c r="OT18" i="27"/>
  <c r="OZ17" i="27"/>
  <c r="OY17" i="27"/>
  <c r="OW17" i="27"/>
  <c r="OV17" i="27"/>
  <c r="OU17" i="27"/>
  <c r="OT17" i="27"/>
  <c r="OZ16" i="27"/>
  <c r="OY16" i="27"/>
  <c r="OW16" i="27"/>
  <c r="OV16" i="27"/>
  <c r="OU16" i="27"/>
  <c r="OT16" i="27"/>
  <c r="OZ14" i="27"/>
  <c r="OY14" i="27"/>
  <c r="OW14" i="27"/>
  <c r="OV14" i="27"/>
  <c r="OU14" i="27"/>
  <c r="OX14" i="27" s="1"/>
  <c r="OT14" i="27"/>
  <c r="OZ15" i="27"/>
  <c r="OY15" i="27"/>
  <c r="OW15" i="27"/>
  <c r="OV15" i="27"/>
  <c r="OU15" i="27"/>
  <c r="OT15" i="27"/>
  <c r="OZ13" i="27"/>
  <c r="OY13" i="27"/>
  <c r="OW13" i="27"/>
  <c r="OV13" i="27"/>
  <c r="OU13" i="27"/>
  <c r="OX13" i="27" s="1"/>
  <c r="OT13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9" i="27"/>
  <c r="OY9" i="27"/>
  <c r="OW9" i="27"/>
  <c r="OV9" i="27"/>
  <c r="OU9" i="27"/>
  <c r="OT9" i="27"/>
  <c r="OZ8" i="27"/>
  <c r="OY8" i="27"/>
  <c r="OW8" i="27"/>
  <c r="OV8" i="27"/>
  <c r="OU8" i="27"/>
  <c r="OT8" i="27"/>
  <c r="OZ7" i="27"/>
  <c r="OY7" i="27"/>
  <c r="OW7" i="27"/>
  <c r="OV7" i="27"/>
  <c r="OU7" i="27"/>
  <c r="OT7" i="27"/>
  <c r="OZ10" i="27"/>
  <c r="OY10" i="27"/>
  <c r="OW10" i="27"/>
  <c r="OV10" i="27"/>
  <c r="OU10" i="27"/>
  <c r="OT10" i="27"/>
  <c r="OZ6" i="27"/>
  <c r="OY6" i="27"/>
  <c r="OW6" i="27"/>
  <c r="OV6" i="27"/>
  <c r="OU6" i="27"/>
  <c r="OX6" i="27" s="1"/>
  <c r="OT6" i="27"/>
  <c r="OZ5" i="27"/>
  <c r="OY5" i="27"/>
  <c r="OW5" i="27"/>
  <c r="OV5" i="27"/>
  <c r="OU5" i="27"/>
  <c r="OT5" i="27"/>
  <c r="OZ4" i="27"/>
  <c r="OY4" i="27"/>
  <c r="OW4" i="27"/>
  <c r="OV4" i="27"/>
  <c r="OU4" i="27"/>
  <c r="OT4" i="27"/>
  <c r="NX18" i="27"/>
  <c r="NW18" i="27"/>
  <c r="NU18" i="27"/>
  <c r="NT18" i="27"/>
  <c r="NS18" i="27"/>
  <c r="NR18" i="27"/>
  <c r="NX17" i="27"/>
  <c r="NW17" i="27"/>
  <c r="NU17" i="27"/>
  <c r="NT17" i="27"/>
  <c r="NS17" i="27"/>
  <c r="NR17" i="27"/>
  <c r="NX16" i="27"/>
  <c r="NW16" i="27"/>
  <c r="NU16" i="27"/>
  <c r="NT16" i="27"/>
  <c r="NS16" i="27"/>
  <c r="NR16" i="27"/>
  <c r="NX14" i="27"/>
  <c r="NW14" i="27"/>
  <c r="NU14" i="27"/>
  <c r="NT14" i="27"/>
  <c r="NS14" i="27"/>
  <c r="NR14" i="27"/>
  <c r="NX15" i="27"/>
  <c r="NW15" i="27"/>
  <c r="NU15" i="27"/>
  <c r="NT15" i="27"/>
  <c r="NS15" i="27"/>
  <c r="NY15" i="27" s="1"/>
  <c r="NR15" i="27"/>
  <c r="NX13" i="27"/>
  <c r="NW13" i="27"/>
  <c r="NU13" i="27"/>
  <c r="NT13" i="27"/>
  <c r="NS13" i="27"/>
  <c r="NR13" i="27"/>
  <c r="NX12" i="27"/>
  <c r="NW12" i="27"/>
  <c r="NU12" i="27"/>
  <c r="NT12" i="27"/>
  <c r="NS12" i="27"/>
  <c r="NV12" i="27" s="1"/>
  <c r="NR12" i="27"/>
  <c r="NX11" i="27"/>
  <c r="NW11" i="27"/>
  <c r="NU11" i="27"/>
  <c r="NT11" i="27"/>
  <c r="NS11" i="27"/>
  <c r="NR11" i="27"/>
  <c r="NX9" i="27"/>
  <c r="NW9" i="27"/>
  <c r="NU9" i="27"/>
  <c r="NT9" i="27"/>
  <c r="NS9" i="27"/>
  <c r="NR9" i="27"/>
  <c r="NX8" i="27"/>
  <c r="NW8" i="27"/>
  <c r="NU8" i="27"/>
  <c r="NT8" i="27"/>
  <c r="NS8" i="27"/>
  <c r="NV8" i="27" s="1"/>
  <c r="NR8" i="27"/>
  <c r="NX7" i="27"/>
  <c r="NW7" i="27"/>
  <c r="NU7" i="27"/>
  <c r="NT7" i="27"/>
  <c r="NS7" i="27"/>
  <c r="NR7" i="27"/>
  <c r="NX10" i="27"/>
  <c r="NW10" i="27"/>
  <c r="NU10" i="27"/>
  <c r="NT10" i="27"/>
  <c r="NS10" i="27"/>
  <c r="NR10" i="27"/>
  <c r="NX6" i="27"/>
  <c r="NW6" i="27"/>
  <c r="NU6" i="27"/>
  <c r="NT6" i="27"/>
  <c r="NS6" i="27"/>
  <c r="NR6" i="27"/>
  <c r="NX5" i="27"/>
  <c r="NW5" i="27"/>
  <c r="NU5" i="27"/>
  <c r="NT5" i="27"/>
  <c r="NS5" i="27"/>
  <c r="NV5" i="27" s="1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P18" i="27"/>
  <c r="MV17" i="27"/>
  <c r="MU17" i="27"/>
  <c r="MS17" i="27"/>
  <c r="MR17" i="27"/>
  <c r="MQ17" i="27"/>
  <c r="MP17" i="27"/>
  <c r="MV16" i="27"/>
  <c r="MU16" i="27"/>
  <c r="MS16" i="27"/>
  <c r="MR16" i="27"/>
  <c r="MQ16" i="27"/>
  <c r="MP16" i="27"/>
  <c r="MV14" i="27"/>
  <c r="MU14" i="27"/>
  <c r="MS14" i="27"/>
  <c r="MR14" i="27"/>
  <c r="MQ14" i="27"/>
  <c r="MT14" i="27" s="1"/>
  <c r="MP14" i="27"/>
  <c r="MV15" i="27"/>
  <c r="MU15" i="27"/>
  <c r="MS15" i="27"/>
  <c r="MR15" i="27"/>
  <c r="MQ15" i="27"/>
  <c r="MP15" i="27"/>
  <c r="MV13" i="27"/>
  <c r="MU13" i="27"/>
  <c r="MS13" i="27"/>
  <c r="MR13" i="27"/>
  <c r="MQ13" i="27"/>
  <c r="MT13" i="27" s="1"/>
  <c r="MP13" i="27"/>
  <c r="MV12" i="27"/>
  <c r="MU12" i="27"/>
  <c r="MS12" i="27"/>
  <c r="MR12" i="27"/>
  <c r="MQ12" i="27"/>
  <c r="MP12" i="27"/>
  <c r="MV11" i="27"/>
  <c r="MU11" i="27"/>
  <c r="MS11" i="27"/>
  <c r="MR11" i="27"/>
  <c r="MQ11" i="27"/>
  <c r="MP11" i="27"/>
  <c r="MV9" i="27"/>
  <c r="MU9" i="27"/>
  <c r="MS9" i="27"/>
  <c r="MR9" i="27"/>
  <c r="MQ9" i="27"/>
  <c r="MP9" i="27"/>
  <c r="MV8" i="27"/>
  <c r="MU8" i="27"/>
  <c r="MS8" i="27"/>
  <c r="MR8" i="27"/>
  <c r="MQ8" i="27"/>
  <c r="MP8" i="27"/>
  <c r="MV7" i="27"/>
  <c r="MU7" i="27"/>
  <c r="MS7" i="27"/>
  <c r="MR7" i="27"/>
  <c r="MQ7" i="27"/>
  <c r="MT7" i="27" s="1"/>
  <c r="MP7" i="27"/>
  <c r="MV10" i="27"/>
  <c r="MU10" i="27"/>
  <c r="MS10" i="27"/>
  <c r="MR10" i="27"/>
  <c r="MQ10" i="27"/>
  <c r="MP10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P4" i="27"/>
  <c r="LT18" i="27"/>
  <c r="LS18" i="27"/>
  <c r="LQ18" i="27"/>
  <c r="LP18" i="27"/>
  <c r="LO18" i="27"/>
  <c r="LN18" i="27"/>
  <c r="LT17" i="27"/>
  <c r="LS17" i="27"/>
  <c r="LQ17" i="27"/>
  <c r="LP17" i="27"/>
  <c r="LO17" i="27"/>
  <c r="LN17" i="27"/>
  <c r="LT16" i="27"/>
  <c r="LS16" i="27"/>
  <c r="LQ16" i="27"/>
  <c r="LP16" i="27"/>
  <c r="LO16" i="27"/>
  <c r="LN16" i="27"/>
  <c r="LT14" i="27"/>
  <c r="LS14" i="27"/>
  <c r="LQ14" i="27"/>
  <c r="LP14" i="27"/>
  <c r="LO14" i="27"/>
  <c r="LN14" i="27"/>
  <c r="LT15" i="27"/>
  <c r="LS15" i="27"/>
  <c r="LQ15" i="27"/>
  <c r="LP15" i="27"/>
  <c r="LO15" i="27"/>
  <c r="LN15" i="27"/>
  <c r="LT13" i="27"/>
  <c r="LS13" i="27"/>
  <c r="LQ13" i="27"/>
  <c r="LP13" i="27"/>
  <c r="LO13" i="27"/>
  <c r="LN13" i="27"/>
  <c r="LT12" i="27"/>
  <c r="LS12" i="27"/>
  <c r="LQ12" i="27"/>
  <c r="LP12" i="27"/>
  <c r="LO12" i="27"/>
  <c r="LR12" i="27" s="1"/>
  <c r="LN12" i="27"/>
  <c r="LT11" i="27"/>
  <c r="LS11" i="27"/>
  <c r="LQ11" i="27"/>
  <c r="LP11" i="27"/>
  <c r="LO11" i="27"/>
  <c r="LN11" i="27"/>
  <c r="LT9" i="27"/>
  <c r="LS9" i="27"/>
  <c r="LQ9" i="27"/>
  <c r="LP9" i="27"/>
  <c r="LO9" i="27"/>
  <c r="LN9" i="27"/>
  <c r="LT8" i="27"/>
  <c r="LS8" i="27"/>
  <c r="LQ8" i="27"/>
  <c r="LP8" i="27"/>
  <c r="LO8" i="27"/>
  <c r="LN8" i="27"/>
  <c r="LT7" i="27"/>
  <c r="LS7" i="27"/>
  <c r="LQ7" i="27"/>
  <c r="LP7" i="27"/>
  <c r="LO7" i="27"/>
  <c r="LN7" i="27"/>
  <c r="LT10" i="27"/>
  <c r="LS10" i="27"/>
  <c r="LQ10" i="27"/>
  <c r="LP10" i="27"/>
  <c r="LO10" i="27"/>
  <c r="LN10" i="27"/>
  <c r="LT6" i="27"/>
  <c r="LS6" i="27"/>
  <c r="LQ6" i="27"/>
  <c r="LP6" i="27"/>
  <c r="LO6" i="27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L18" i="27"/>
  <c r="KR17" i="27"/>
  <c r="KQ17" i="27"/>
  <c r="KO17" i="27"/>
  <c r="KN17" i="27"/>
  <c r="KM17" i="27"/>
  <c r="KL17" i="27"/>
  <c r="KR16" i="27"/>
  <c r="KQ16" i="27"/>
  <c r="KO16" i="27"/>
  <c r="KN16" i="27"/>
  <c r="KM16" i="27"/>
  <c r="KL16" i="27"/>
  <c r="KR14" i="27"/>
  <c r="KQ14" i="27"/>
  <c r="KO14" i="27"/>
  <c r="KN14" i="27"/>
  <c r="KM14" i="27"/>
  <c r="KP14" i="27" s="1"/>
  <c r="KL14" i="27"/>
  <c r="KR15" i="27"/>
  <c r="KQ15" i="27"/>
  <c r="KO15" i="27"/>
  <c r="KN15" i="27"/>
  <c r="KM15" i="27"/>
  <c r="KL15" i="27"/>
  <c r="KR13" i="27"/>
  <c r="KQ13" i="27"/>
  <c r="KO13" i="27"/>
  <c r="KN13" i="27"/>
  <c r="KM13" i="27"/>
  <c r="KL13" i="27"/>
  <c r="KR12" i="27"/>
  <c r="KQ12" i="27"/>
  <c r="KO12" i="27"/>
  <c r="KN12" i="27"/>
  <c r="KM12" i="27"/>
  <c r="KL12" i="27"/>
  <c r="KR11" i="27"/>
  <c r="KQ11" i="27"/>
  <c r="KO11" i="27"/>
  <c r="KN11" i="27"/>
  <c r="KM11" i="27"/>
  <c r="KL11" i="27"/>
  <c r="KR9" i="27"/>
  <c r="KQ9" i="27"/>
  <c r="KO9" i="27"/>
  <c r="KN9" i="27"/>
  <c r="KM9" i="27"/>
  <c r="KL9" i="27"/>
  <c r="KR8" i="27"/>
  <c r="KQ8" i="27"/>
  <c r="KO8" i="27"/>
  <c r="KN8" i="27"/>
  <c r="KM8" i="27"/>
  <c r="KL8" i="27"/>
  <c r="KR7" i="27"/>
  <c r="KQ7" i="27"/>
  <c r="KO7" i="27"/>
  <c r="KN7" i="27"/>
  <c r="KM7" i="27"/>
  <c r="KP7" i="27" s="1"/>
  <c r="KL7" i="27"/>
  <c r="KR10" i="27"/>
  <c r="KQ10" i="27"/>
  <c r="KO10" i="27"/>
  <c r="KN10" i="27"/>
  <c r="KM10" i="27"/>
  <c r="KL10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Q18" i="27" s="1"/>
  <c r="JJ18" i="27"/>
  <c r="JP17" i="27"/>
  <c r="JO17" i="27"/>
  <c r="JM17" i="27"/>
  <c r="JL17" i="27"/>
  <c r="JK17" i="27"/>
  <c r="JJ17" i="27"/>
  <c r="JP16" i="27"/>
  <c r="JO16" i="27"/>
  <c r="JM16" i="27"/>
  <c r="JL16" i="27"/>
  <c r="JK16" i="27"/>
  <c r="JJ16" i="27"/>
  <c r="JP14" i="27"/>
  <c r="JO14" i="27"/>
  <c r="JM14" i="27"/>
  <c r="JL14" i="27"/>
  <c r="JK14" i="27"/>
  <c r="JJ14" i="27"/>
  <c r="JP15" i="27"/>
  <c r="JO15" i="27"/>
  <c r="JM15" i="27"/>
  <c r="JL15" i="27"/>
  <c r="JK15" i="27"/>
  <c r="JJ15" i="27"/>
  <c r="JP13" i="27"/>
  <c r="JO13" i="27"/>
  <c r="JM13" i="27"/>
  <c r="JL13" i="27"/>
  <c r="JK13" i="27"/>
  <c r="JJ13" i="27"/>
  <c r="JP12" i="27"/>
  <c r="JO12" i="27"/>
  <c r="JM12" i="27"/>
  <c r="JL12" i="27"/>
  <c r="JK12" i="27"/>
  <c r="JJ12" i="27"/>
  <c r="JP11" i="27"/>
  <c r="JO11" i="27"/>
  <c r="JM11" i="27"/>
  <c r="JL11" i="27"/>
  <c r="JK11" i="27"/>
  <c r="JQ11" i="27" s="1"/>
  <c r="JJ11" i="27"/>
  <c r="JP9" i="27"/>
  <c r="JO9" i="27"/>
  <c r="JM9" i="27"/>
  <c r="JL9" i="27"/>
  <c r="JK9" i="27"/>
  <c r="JJ9" i="27"/>
  <c r="JP8" i="27"/>
  <c r="JO8" i="27"/>
  <c r="JM8" i="27"/>
  <c r="JL8" i="27"/>
  <c r="JK8" i="27"/>
  <c r="JJ8" i="27"/>
  <c r="JP7" i="27"/>
  <c r="JO7" i="27"/>
  <c r="JM7" i="27"/>
  <c r="JL7" i="27"/>
  <c r="JK7" i="27"/>
  <c r="JJ7" i="27"/>
  <c r="JP10" i="27"/>
  <c r="JO10" i="27"/>
  <c r="JM10" i="27"/>
  <c r="JL10" i="27"/>
  <c r="JK10" i="27"/>
  <c r="JJ10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Q4" i="27" s="1"/>
  <c r="JJ4" i="27"/>
  <c r="IN18" i="27"/>
  <c r="IM18" i="27"/>
  <c r="IK18" i="27"/>
  <c r="IJ18" i="27"/>
  <c r="II18" i="27"/>
  <c r="IH18" i="27"/>
  <c r="IN17" i="27"/>
  <c r="IM17" i="27"/>
  <c r="IK17" i="27"/>
  <c r="IJ17" i="27"/>
  <c r="II17" i="27"/>
  <c r="IH17" i="27"/>
  <c r="IN16" i="27"/>
  <c r="IM16" i="27"/>
  <c r="IK16" i="27"/>
  <c r="IJ16" i="27"/>
  <c r="II16" i="27"/>
  <c r="IH16" i="27"/>
  <c r="IN14" i="27"/>
  <c r="IM14" i="27"/>
  <c r="IK14" i="27"/>
  <c r="IJ14" i="27"/>
  <c r="II14" i="27"/>
  <c r="IL14" i="27" s="1"/>
  <c r="IH14" i="27"/>
  <c r="IN15" i="27"/>
  <c r="IM15" i="27"/>
  <c r="IK15" i="27"/>
  <c r="IJ15" i="27"/>
  <c r="II15" i="27"/>
  <c r="IH15" i="27"/>
  <c r="IN13" i="27"/>
  <c r="IM13" i="27"/>
  <c r="IK13" i="27"/>
  <c r="IJ13" i="27"/>
  <c r="II13" i="27"/>
  <c r="IH13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9" i="27"/>
  <c r="IM9" i="27"/>
  <c r="IK9" i="27"/>
  <c r="IJ9" i="27"/>
  <c r="II9" i="27"/>
  <c r="IH9" i="27"/>
  <c r="IN8" i="27"/>
  <c r="IM8" i="27"/>
  <c r="IK8" i="27"/>
  <c r="IJ8" i="27"/>
  <c r="II8" i="27"/>
  <c r="IH8" i="27"/>
  <c r="IN7" i="27"/>
  <c r="IM7" i="27"/>
  <c r="IK7" i="27"/>
  <c r="IJ7" i="27"/>
  <c r="II7" i="27"/>
  <c r="IL7" i="27" s="1"/>
  <c r="IH7" i="27"/>
  <c r="IN10" i="27"/>
  <c r="IM10" i="27"/>
  <c r="IK10" i="27"/>
  <c r="IJ10" i="27"/>
  <c r="II10" i="27"/>
  <c r="IH10" i="27"/>
  <c r="IN6" i="27"/>
  <c r="IM6" i="27"/>
  <c r="IK6" i="27"/>
  <c r="IJ6" i="27"/>
  <c r="II6" i="27"/>
  <c r="IH6" i="27"/>
  <c r="IN5" i="27"/>
  <c r="IM5" i="27"/>
  <c r="IK5" i="27"/>
  <c r="IJ5" i="27"/>
  <c r="II5" i="27"/>
  <c r="IO5" i="27" s="1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F18" i="27"/>
  <c r="HL17" i="27"/>
  <c r="HK17" i="27"/>
  <c r="HI17" i="27"/>
  <c r="HH17" i="27"/>
  <c r="HG17" i="27"/>
  <c r="HF17" i="27"/>
  <c r="HL16" i="27"/>
  <c r="HK16" i="27"/>
  <c r="HI16" i="27"/>
  <c r="HH16" i="27"/>
  <c r="HG16" i="27"/>
  <c r="HF16" i="27"/>
  <c r="HL14" i="27"/>
  <c r="HK14" i="27"/>
  <c r="HI14" i="27"/>
  <c r="HH14" i="27"/>
  <c r="HG14" i="27"/>
  <c r="HF14" i="27"/>
  <c r="HL15" i="27"/>
  <c r="HK15" i="27"/>
  <c r="HI15" i="27"/>
  <c r="HH15" i="27"/>
  <c r="HG15" i="27"/>
  <c r="HF15" i="27"/>
  <c r="HL13" i="27"/>
  <c r="HK13" i="27"/>
  <c r="HI13" i="27"/>
  <c r="HH13" i="27"/>
  <c r="HG13" i="27"/>
  <c r="HJ13" i="27" s="1"/>
  <c r="HF13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9" i="27"/>
  <c r="HK9" i="27"/>
  <c r="HI9" i="27"/>
  <c r="HH9" i="27"/>
  <c r="HG9" i="27"/>
  <c r="HF9" i="27"/>
  <c r="HL8" i="27"/>
  <c r="HK8" i="27"/>
  <c r="HI8" i="27"/>
  <c r="HH8" i="27"/>
  <c r="HG8" i="27"/>
  <c r="HF8" i="27"/>
  <c r="HL7" i="27"/>
  <c r="HK7" i="27"/>
  <c r="HI7" i="27"/>
  <c r="HH7" i="27"/>
  <c r="HG7" i="27"/>
  <c r="HF7" i="27"/>
  <c r="HL10" i="27"/>
  <c r="HK10" i="27"/>
  <c r="HI10" i="27"/>
  <c r="HH10" i="27"/>
  <c r="HG10" i="27"/>
  <c r="HF10" i="27"/>
  <c r="HL6" i="27"/>
  <c r="HK6" i="27"/>
  <c r="HI6" i="27"/>
  <c r="HH6" i="27"/>
  <c r="HG6" i="27"/>
  <c r="HJ6" i="27" s="1"/>
  <c r="HF6" i="27"/>
  <c r="HL5" i="27"/>
  <c r="HK5" i="27"/>
  <c r="HI5" i="27"/>
  <c r="HH5" i="27"/>
  <c r="HG5" i="27"/>
  <c r="HF5" i="27"/>
  <c r="HL4" i="27"/>
  <c r="HK4" i="27"/>
  <c r="HI4" i="27"/>
  <c r="HH4" i="27"/>
  <c r="HG4" i="27"/>
  <c r="HF4" i="27"/>
  <c r="GJ18" i="27"/>
  <c r="GI18" i="27"/>
  <c r="GG18" i="27"/>
  <c r="GF18" i="27"/>
  <c r="GE18" i="27"/>
  <c r="GD18" i="27"/>
  <c r="GJ17" i="27"/>
  <c r="GI17" i="27"/>
  <c r="GG17" i="27"/>
  <c r="GF17" i="27"/>
  <c r="GE17" i="27"/>
  <c r="GD17" i="27"/>
  <c r="GJ16" i="27"/>
  <c r="GI16" i="27"/>
  <c r="GG16" i="27"/>
  <c r="GF16" i="27"/>
  <c r="GE16" i="27"/>
  <c r="GD16" i="27"/>
  <c r="GJ14" i="27"/>
  <c r="GI14" i="27"/>
  <c r="GG14" i="27"/>
  <c r="GF14" i="27"/>
  <c r="GE14" i="27"/>
  <c r="GD14" i="27"/>
  <c r="GJ15" i="27"/>
  <c r="GI15" i="27"/>
  <c r="GG15" i="27"/>
  <c r="GF15" i="27"/>
  <c r="GE15" i="27"/>
  <c r="GK15" i="27" s="1"/>
  <c r="GD15" i="27"/>
  <c r="GJ13" i="27"/>
  <c r="GI13" i="27"/>
  <c r="GG13" i="27"/>
  <c r="GF13" i="27"/>
  <c r="GE13" i="27"/>
  <c r="GH13" i="27" s="1"/>
  <c r="GD13" i="27"/>
  <c r="GJ12" i="27"/>
  <c r="GI12" i="27"/>
  <c r="GG12" i="27"/>
  <c r="GF12" i="27"/>
  <c r="GE12" i="27"/>
  <c r="GD12" i="27"/>
  <c r="GJ11" i="27"/>
  <c r="GI11" i="27"/>
  <c r="GG11" i="27"/>
  <c r="GF11" i="27"/>
  <c r="GE11" i="27"/>
  <c r="GD11" i="27"/>
  <c r="GJ9" i="27"/>
  <c r="GI9" i="27"/>
  <c r="GG9" i="27"/>
  <c r="GF9" i="27"/>
  <c r="GE9" i="27"/>
  <c r="GD9" i="27"/>
  <c r="GJ8" i="27"/>
  <c r="GI8" i="27"/>
  <c r="GG8" i="27"/>
  <c r="GF8" i="27"/>
  <c r="GE8" i="27"/>
  <c r="GD8" i="27"/>
  <c r="GJ7" i="27"/>
  <c r="GI7" i="27"/>
  <c r="GG7" i="27"/>
  <c r="GF7" i="27"/>
  <c r="GE7" i="27"/>
  <c r="GD7" i="27"/>
  <c r="GJ10" i="27"/>
  <c r="GI10" i="27"/>
  <c r="GG10" i="27"/>
  <c r="GF10" i="27"/>
  <c r="GE10" i="27"/>
  <c r="GD10" i="27"/>
  <c r="GJ6" i="27"/>
  <c r="GI6" i="27"/>
  <c r="GG6" i="27"/>
  <c r="GF6" i="27"/>
  <c r="GE6" i="27"/>
  <c r="GH6" i="27" s="1"/>
  <c r="GD6" i="27"/>
  <c r="GJ5" i="27"/>
  <c r="GI5" i="27"/>
  <c r="GG5" i="27"/>
  <c r="GF5" i="27"/>
  <c r="GE5" i="27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B18" i="27"/>
  <c r="FH17" i="27"/>
  <c r="FG17" i="27"/>
  <c r="FE17" i="27"/>
  <c r="FD17" i="27"/>
  <c r="FC17" i="27"/>
  <c r="FB17" i="27"/>
  <c r="FH16" i="27"/>
  <c r="FG16" i="27"/>
  <c r="FE16" i="27"/>
  <c r="FD16" i="27"/>
  <c r="FC16" i="27"/>
  <c r="FB16" i="27"/>
  <c r="FH14" i="27"/>
  <c r="FG14" i="27"/>
  <c r="FE14" i="27"/>
  <c r="FD14" i="27"/>
  <c r="FC14" i="27"/>
  <c r="FF14" i="27" s="1"/>
  <c r="FB14" i="27"/>
  <c r="FH15" i="27"/>
  <c r="FG15" i="27"/>
  <c r="FE15" i="27"/>
  <c r="FD15" i="27"/>
  <c r="FC15" i="27"/>
  <c r="FB15" i="27"/>
  <c r="FH13" i="27"/>
  <c r="FG13" i="27"/>
  <c r="FE13" i="27"/>
  <c r="FD13" i="27"/>
  <c r="FC13" i="27"/>
  <c r="FF13" i="27" s="1"/>
  <c r="FB13" i="27"/>
  <c r="FH12" i="27"/>
  <c r="FG12" i="27"/>
  <c r="FE12" i="27"/>
  <c r="FD12" i="27"/>
  <c r="FC12" i="27"/>
  <c r="FB12" i="27"/>
  <c r="FH11" i="27"/>
  <c r="FG11" i="27"/>
  <c r="FE11" i="27"/>
  <c r="FD11" i="27"/>
  <c r="FC11" i="27"/>
  <c r="FB11" i="27"/>
  <c r="FH9" i="27"/>
  <c r="FG9" i="27"/>
  <c r="FE9" i="27"/>
  <c r="FD9" i="27"/>
  <c r="FC9" i="27"/>
  <c r="FB9" i="27"/>
  <c r="FH8" i="27"/>
  <c r="FG8" i="27"/>
  <c r="FE8" i="27"/>
  <c r="FD8" i="27"/>
  <c r="FC8" i="27"/>
  <c r="FB8" i="27"/>
  <c r="FH7" i="27"/>
  <c r="FG7" i="27"/>
  <c r="FE7" i="27"/>
  <c r="FD7" i="27"/>
  <c r="FC7" i="27"/>
  <c r="FB7" i="27"/>
  <c r="FH10" i="27"/>
  <c r="FG10" i="27"/>
  <c r="FE10" i="27"/>
  <c r="FD10" i="27"/>
  <c r="FC10" i="27"/>
  <c r="FB10" i="27"/>
  <c r="FH6" i="27"/>
  <c r="FG6" i="27"/>
  <c r="FE6" i="27"/>
  <c r="FD6" i="27"/>
  <c r="FC6" i="27"/>
  <c r="FB6" i="27"/>
  <c r="FH5" i="27"/>
  <c r="FG5" i="27"/>
  <c r="FE5" i="27"/>
  <c r="FD5" i="27"/>
  <c r="FC5" i="27"/>
  <c r="FB5" i="27"/>
  <c r="FH4" i="27"/>
  <c r="FG4" i="27"/>
  <c r="FE4" i="27"/>
  <c r="FD4" i="27"/>
  <c r="FC4" i="27"/>
  <c r="FB4" i="27"/>
  <c r="EF18" i="27"/>
  <c r="EE18" i="27"/>
  <c r="EC18" i="27"/>
  <c r="EB18" i="27"/>
  <c r="EA18" i="27"/>
  <c r="DZ18" i="27"/>
  <c r="EF17" i="27"/>
  <c r="EE17" i="27"/>
  <c r="EC17" i="27"/>
  <c r="EB17" i="27"/>
  <c r="EA17" i="27"/>
  <c r="DZ17" i="27"/>
  <c r="EF16" i="27"/>
  <c r="EE16" i="27"/>
  <c r="EC16" i="27"/>
  <c r="EB16" i="27"/>
  <c r="EA16" i="27"/>
  <c r="DZ16" i="27"/>
  <c r="EF14" i="27"/>
  <c r="EE14" i="27"/>
  <c r="EC14" i="27"/>
  <c r="EB14" i="27"/>
  <c r="EA14" i="27"/>
  <c r="ED14" i="27" s="1"/>
  <c r="DZ14" i="27"/>
  <c r="EF15" i="27"/>
  <c r="EE15" i="27"/>
  <c r="EC15" i="27"/>
  <c r="EB15" i="27"/>
  <c r="EA15" i="27"/>
  <c r="DZ15" i="27"/>
  <c r="EF13" i="27"/>
  <c r="EE13" i="27"/>
  <c r="EC13" i="27"/>
  <c r="EB13" i="27"/>
  <c r="EA13" i="27"/>
  <c r="DZ13" i="27"/>
  <c r="EF12" i="27"/>
  <c r="EE12" i="27"/>
  <c r="EC12" i="27"/>
  <c r="EB12" i="27"/>
  <c r="EA12" i="27"/>
  <c r="ED12" i="27" s="1"/>
  <c r="DZ12" i="27"/>
  <c r="EF11" i="27"/>
  <c r="EE11" i="27"/>
  <c r="EC11" i="27"/>
  <c r="EB11" i="27"/>
  <c r="EA11" i="27"/>
  <c r="DZ11" i="27"/>
  <c r="EF9" i="27"/>
  <c r="EE9" i="27"/>
  <c r="EC9" i="27"/>
  <c r="EB9" i="27"/>
  <c r="EA9" i="27"/>
  <c r="DZ9" i="27"/>
  <c r="EF8" i="27"/>
  <c r="EE8" i="27"/>
  <c r="EC8" i="27"/>
  <c r="EB8" i="27"/>
  <c r="EA8" i="27"/>
  <c r="DZ8" i="27"/>
  <c r="EF7" i="27"/>
  <c r="EE7" i="27"/>
  <c r="EC7" i="27"/>
  <c r="EB7" i="27"/>
  <c r="EA7" i="27"/>
  <c r="ED7" i="27" s="1"/>
  <c r="DZ7" i="27"/>
  <c r="EF10" i="27"/>
  <c r="EE10" i="27"/>
  <c r="EC10" i="27"/>
  <c r="EB10" i="27"/>
  <c r="EA10" i="27"/>
  <c r="DZ10" i="27"/>
  <c r="EF6" i="27"/>
  <c r="EE6" i="27"/>
  <c r="EC6" i="27"/>
  <c r="EB6" i="27"/>
  <c r="EA6" i="27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20" i="26"/>
  <c r="OY20" i="26"/>
  <c r="OW20" i="26"/>
  <c r="OV20" i="26"/>
  <c r="OU20" i="26"/>
  <c r="OT20" i="26"/>
  <c r="OZ19" i="26"/>
  <c r="OY19" i="26"/>
  <c r="OW19" i="26"/>
  <c r="OV19" i="26"/>
  <c r="OU19" i="26"/>
  <c r="OT19" i="26"/>
  <c r="OZ18" i="26"/>
  <c r="OY18" i="26"/>
  <c r="OW18" i="26"/>
  <c r="OV18" i="26"/>
  <c r="OU18" i="26"/>
  <c r="OT18" i="26"/>
  <c r="OZ17" i="26"/>
  <c r="OY17" i="26"/>
  <c r="OW17" i="26"/>
  <c r="OV17" i="26"/>
  <c r="OU17" i="26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X14" i="26" s="1"/>
  <c r="OT14" i="26"/>
  <c r="OZ13" i="26"/>
  <c r="OY13" i="26"/>
  <c r="OW13" i="26"/>
  <c r="OV13" i="26"/>
  <c r="OU13" i="26"/>
  <c r="OT13" i="26"/>
  <c r="OZ11" i="26"/>
  <c r="OY11" i="26"/>
  <c r="OW11" i="26"/>
  <c r="OV11" i="26"/>
  <c r="OU11" i="26"/>
  <c r="OT11" i="26"/>
  <c r="OZ10" i="26"/>
  <c r="OY10" i="26"/>
  <c r="OW10" i="26"/>
  <c r="OV10" i="26"/>
  <c r="OU10" i="26"/>
  <c r="OT10" i="26"/>
  <c r="OZ8" i="26"/>
  <c r="OY8" i="26"/>
  <c r="OW8" i="26"/>
  <c r="OV8" i="26"/>
  <c r="OU8" i="26"/>
  <c r="OT8" i="26"/>
  <c r="OZ12" i="26"/>
  <c r="OY12" i="26"/>
  <c r="OW12" i="26"/>
  <c r="OV12" i="26"/>
  <c r="OU12" i="26"/>
  <c r="OT12" i="26"/>
  <c r="OZ9" i="26"/>
  <c r="OY9" i="26"/>
  <c r="OW9" i="26"/>
  <c r="OV9" i="26"/>
  <c r="OU9" i="26"/>
  <c r="OT9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0" i="26"/>
  <c r="NW20" i="26"/>
  <c r="NU20" i="26"/>
  <c r="NT20" i="26"/>
  <c r="NS20" i="26"/>
  <c r="NR20" i="26"/>
  <c r="NX19" i="26"/>
  <c r="NW19" i="26"/>
  <c r="NU19" i="26"/>
  <c r="NT19" i="26"/>
  <c r="NS19" i="26"/>
  <c r="NR19" i="26"/>
  <c r="NX18" i="26"/>
  <c r="NW18" i="26"/>
  <c r="NU18" i="26"/>
  <c r="NT18" i="26"/>
  <c r="NS18" i="26"/>
  <c r="NR18" i="26"/>
  <c r="NX17" i="26"/>
  <c r="NW17" i="26"/>
  <c r="NU17" i="26"/>
  <c r="NT17" i="26"/>
  <c r="NS17" i="26"/>
  <c r="NV17" i="26" s="1"/>
  <c r="NR17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1" i="26"/>
  <c r="NW11" i="26"/>
  <c r="NU11" i="26"/>
  <c r="NT11" i="26"/>
  <c r="NS11" i="26"/>
  <c r="NR11" i="26"/>
  <c r="NX10" i="26"/>
  <c r="NW10" i="26"/>
  <c r="NU10" i="26"/>
  <c r="NT10" i="26"/>
  <c r="NS10" i="26"/>
  <c r="NR10" i="26"/>
  <c r="NX8" i="26"/>
  <c r="NW8" i="26"/>
  <c r="NU8" i="26"/>
  <c r="NT8" i="26"/>
  <c r="NS8" i="26"/>
  <c r="NV8" i="26" s="1"/>
  <c r="NR8" i="26"/>
  <c r="NX12" i="26"/>
  <c r="NW12" i="26"/>
  <c r="NU12" i="26"/>
  <c r="NT12" i="26"/>
  <c r="NS12" i="26"/>
  <c r="NR12" i="26"/>
  <c r="NX9" i="26"/>
  <c r="NW9" i="26"/>
  <c r="NU9" i="26"/>
  <c r="NT9" i="26"/>
  <c r="NS9" i="26"/>
  <c r="NR9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0" i="26"/>
  <c r="MU20" i="26"/>
  <c r="MS20" i="26"/>
  <c r="MR20" i="26"/>
  <c r="MQ20" i="26"/>
  <c r="MW20" i="26" s="1"/>
  <c r="MP20" i="26"/>
  <c r="MV19" i="26"/>
  <c r="MU19" i="26"/>
  <c r="MS19" i="26"/>
  <c r="MR19" i="26"/>
  <c r="MQ19" i="26"/>
  <c r="MP19" i="26"/>
  <c r="MV18" i="26"/>
  <c r="MU18" i="26"/>
  <c r="MS18" i="26"/>
  <c r="MR18" i="26"/>
  <c r="MQ18" i="26"/>
  <c r="MP18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W13" i="26" s="1"/>
  <c r="MP13" i="26"/>
  <c r="MV11" i="26"/>
  <c r="MU11" i="26"/>
  <c r="MS11" i="26"/>
  <c r="MR11" i="26"/>
  <c r="MQ11" i="26"/>
  <c r="MP11" i="26"/>
  <c r="MV10" i="26"/>
  <c r="MU10" i="26"/>
  <c r="MS10" i="26"/>
  <c r="MR10" i="26"/>
  <c r="MQ10" i="26"/>
  <c r="MP10" i="26"/>
  <c r="MV8" i="26"/>
  <c r="MU8" i="26"/>
  <c r="MS8" i="26"/>
  <c r="MR8" i="26"/>
  <c r="MQ8" i="26"/>
  <c r="MP8" i="26"/>
  <c r="MV12" i="26"/>
  <c r="MU12" i="26"/>
  <c r="MS12" i="26"/>
  <c r="MR12" i="26"/>
  <c r="MQ12" i="26"/>
  <c r="MP12" i="26"/>
  <c r="MV9" i="26"/>
  <c r="MU9" i="26"/>
  <c r="MS9" i="26"/>
  <c r="MR9" i="26"/>
  <c r="MQ9" i="26"/>
  <c r="MP9" i="26"/>
  <c r="MV7" i="26"/>
  <c r="MU7" i="26"/>
  <c r="MS7" i="26"/>
  <c r="MR7" i="26"/>
  <c r="MQ7" i="26"/>
  <c r="MP7" i="26"/>
  <c r="MV6" i="26"/>
  <c r="MU6" i="26"/>
  <c r="MS6" i="26"/>
  <c r="MR6" i="26"/>
  <c r="MQ6" i="26"/>
  <c r="MW6" i="26" s="1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0" i="26"/>
  <c r="LS20" i="26"/>
  <c r="LQ20" i="26"/>
  <c r="LP20" i="26"/>
  <c r="LO20" i="26"/>
  <c r="LN20" i="26"/>
  <c r="LT19" i="26"/>
  <c r="LS19" i="26"/>
  <c r="LQ19" i="26"/>
  <c r="LP19" i="26"/>
  <c r="LO19" i="26"/>
  <c r="LN19" i="26"/>
  <c r="LT18" i="26"/>
  <c r="LS18" i="26"/>
  <c r="LQ18" i="26"/>
  <c r="LP18" i="26"/>
  <c r="LO18" i="26"/>
  <c r="LN18" i="26"/>
  <c r="LT17" i="26"/>
  <c r="LS17" i="26"/>
  <c r="LQ17" i="26"/>
  <c r="LP17" i="26"/>
  <c r="LO17" i="26"/>
  <c r="LN17" i="26"/>
  <c r="LT16" i="26"/>
  <c r="LS16" i="26"/>
  <c r="LQ16" i="26"/>
  <c r="LP16" i="26"/>
  <c r="LO16" i="26"/>
  <c r="LU16" i="26" s="1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1" i="26"/>
  <c r="LS11" i="26"/>
  <c r="LQ11" i="26"/>
  <c r="LP11" i="26"/>
  <c r="LO11" i="26"/>
  <c r="LN11" i="26"/>
  <c r="LT10" i="26"/>
  <c r="LS10" i="26"/>
  <c r="LQ10" i="26"/>
  <c r="LP10" i="26"/>
  <c r="LO10" i="26"/>
  <c r="LN10" i="26"/>
  <c r="LT8" i="26"/>
  <c r="LS8" i="26"/>
  <c r="LQ8" i="26"/>
  <c r="LP8" i="26"/>
  <c r="LO8" i="26"/>
  <c r="LN8" i="26"/>
  <c r="LT12" i="26"/>
  <c r="LS12" i="26"/>
  <c r="LQ12" i="26"/>
  <c r="LP12" i="26"/>
  <c r="LO12" i="26"/>
  <c r="LN12" i="26"/>
  <c r="LT9" i="26"/>
  <c r="LS9" i="26"/>
  <c r="LQ9" i="26"/>
  <c r="LP9" i="26"/>
  <c r="LO9" i="26"/>
  <c r="LN9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0" i="26"/>
  <c r="KQ20" i="26"/>
  <c r="KO20" i="26"/>
  <c r="KN20" i="26"/>
  <c r="KM20" i="26"/>
  <c r="KL20" i="26"/>
  <c r="KR19" i="26"/>
  <c r="KQ19" i="26"/>
  <c r="KO19" i="26"/>
  <c r="KN19" i="26"/>
  <c r="KM19" i="26"/>
  <c r="KL19" i="26"/>
  <c r="KR18" i="26"/>
  <c r="KQ18" i="26"/>
  <c r="KO18" i="26"/>
  <c r="KN18" i="26"/>
  <c r="KM18" i="26"/>
  <c r="KL18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3" i="26"/>
  <c r="KQ13" i="26"/>
  <c r="KO13" i="26"/>
  <c r="KN13" i="26"/>
  <c r="KM13" i="26"/>
  <c r="KL13" i="26"/>
  <c r="KR11" i="26"/>
  <c r="KQ11" i="26"/>
  <c r="KO11" i="26"/>
  <c r="KN11" i="26"/>
  <c r="KM11" i="26"/>
  <c r="KL11" i="26"/>
  <c r="KR10" i="26"/>
  <c r="KQ10" i="26"/>
  <c r="KO10" i="26"/>
  <c r="KN10" i="26"/>
  <c r="KM10" i="26"/>
  <c r="KL10" i="26"/>
  <c r="KR8" i="26"/>
  <c r="KQ8" i="26"/>
  <c r="KO8" i="26"/>
  <c r="KN8" i="26"/>
  <c r="KM8" i="26"/>
  <c r="KL8" i="26"/>
  <c r="KR12" i="26"/>
  <c r="KQ12" i="26"/>
  <c r="KO12" i="26"/>
  <c r="KN12" i="26"/>
  <c r="KM12" i="26"/>
  <c r="KL12" i="26"/>
  <c r="KR9" i="26"/>
  <c r="KQ9" i="26"/>
  <c r="KO9" i="26"/>
  <c r="KN9" i="26"/>
  <c r="KM9" i="26"/>
  <c r="KL9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0" i="26"/>
  <c r="JO20" i="26"/>
  <c r="JM20" i="26"/>
  <c r="JL20" i="26"/>
  <c r="JK20" i="26"/>
  <c r="JJ20" i="26"/>
  <c r="JP19" i="26"/>
  <c r="JO19" i="26"/>
  <c r="JM19" i="26"/>
  <c r="JL19" i="26"/>
  <c r="JK19" i="26"/>
  <c r="JJ19" i="26"/>
  <c r="JP18" i="26"/>
  <c r="JO18" i="26"/>
  <c r="JM18" i="26"/>
  <c r="JL18" i="26"/>
  <c r="JK18" i="26"/>
  <c r="JJ18" i="26"/>
  <c r="JP17" i="26"/>
  <c r="JO17" i="26"/>
  <c r="JM17" i="26"/>
  <c r="JL17" i="26"/>
  <c r="JK17" i="26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N15" i="26" s="1"/>
  <c r="JJ15" i="26"/>
  <c r="JP14" i="26"/>
  <c r="JO14" i="26"/>
  <c r="JM14" i="26"/>
  <c r="JL14" i="26"/>
  <c r="JK14" i="26"/>
  <c r="JJ14" i="26"/>
  <c r="JP13" i="26"/>
  <c r="JO13" i="26"/>
  <c r="JM13" i="26"/>
  <c r="JL13" i="26"/>
  <c r="JK13" i="26"/>
  <c r="JJ13" i="26"/>
  <c r="JP11" i="26"/>
  <c r="JO11" i="26"/>
  <c r="JM11" i="26"/>
  <c r="JL11" i="26"/>
  <c r="JK11" i="26"/>
  <c r="JJ11" i="26"/>
  <c r="JP10" i="26"/>
  <c r="JO10" i="26"/>
  <c r="JM10" i="26"/>
  <c r="JL10" i="26"/>
  <c r="JK10" i="26"/>
  <c r="JJ10" i="26"/>
  <c r="JP8" i="26"/>
  <c r="JO8" i="26"/>
  <c r="JM8" i="26"/>
  <c r="JL8" i="26"/>
  <c r="JK8" i="26"/>
  <c r="JJ8" i="26"/>
  <c r="JP12" i="26"/>
  <c r="JO12" i="26"/>
  <c r="JM12" i="26"/>
  <c r="JL12" i="26"/>
  <c r="JK12" i="26"/>
  <c r="JJ12" i="26"/>
  <c r="JP9" i="26"/>
  <c r="JO9" i="26"/>
  <c r="JM9" i="26"/>
  <c r="JL9" i="26"/>
  <c r="JK9" i="26"/>
  <c r="JN9" i="26" s="1"/>
  <c r="JJ9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0" i="26"/>
  <c r="IM20" i="26"/>
  <c r="IK20" i="26"/>
  <c r="IJ20" i="26"/>
  <c r="II20" i="26"/>
  <c r="IH20" i="26"/>
  <c r="IN19" i="26"/>
  <c r="IM19" i="26"/>
  <c r="IK19" i="26"/>
  <c r="IJ19" i="26"/>
  <c r="II19" i="26"/>
  <c r="IH19" i="26"/>
  <c r="IN18" i="26"/>
  <c r="IM18" i="26"/>
  <c r="IK18" i="26"/>
  <c r="IJ18" i="26"/>
  <c r="II18" i="26"/>
  <c r="IO18" i="26" s="1"/>
  <c r="IH18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3" i="26"/>
  <c r="IM13" i="26"/>
  <c r="IK13" i="26"/>
  <c r="IJ13" i="26"/>
  <c r="II13" i="26"/>
  <c r="IH13" i="26"/>
  <c r="IN11" i="26"/>
  <c r="IM11" i="26"/>
  <c r="IK11" i="26"/>
  <c r="IJ11" i="26"/>
  <c r="II11" i="26"/>
  <c r="IH11" i="26"/>
  <c r="IN10" i="26"/>
  <c r="IM10" i="26"/>
  <c r="IK10" i="26"/>
  <c r="IJ10" i="26"/>
  <c r="II10" i="26"/>
  <c r="IL10" i="26" s="1"/>
  <c r="IH10" i="26"/>
  <c r="IN8" i="26"/>
  <c r="IM8" i="26"/>
  <c r="IK8" i="26"/>
  <c r="IJ8" i="26"/>
  <c r="II8" i="26"/>
  <c r="IH8" i="26"/>
  <c r="IN12" i="26"/>
  <c r="IM12" i="26"/>
  <c r="IK12" i="26"/>
  <c r="IJ12" i="26"/>
  <c r="II12" i="26"/>
  <c r="IH12" i="26"/>
  <c r="IN9" i="26"/>
  <c r="IM9" i="26"/>
  <c r="IK9" i="26"/>
  <c r="IJ9" i="26"/>
  <c r="II9" i="26"/>
  <c r="IH9" i="26"/>
  <c r="IN7" i="26"/>
  <c r="IM7" i="26"/>
  <c r="IK7" i="26"/>
  <c r="IJ7" i="26"/>
  <c r="II7" i="26"/>
  <c r="IL7" i="26" s="1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O4" i="26" s="1"/>
  <c r="IH4" i="26"/>
  <c r="HL20" i="26"/>
  <c r="HK20" i="26"/>
  <c r="HI20" i="26"/>
  <c r="HH20" i="26"/>
  <c r="HG20" i="26"/>
  <c r="HF20" i="26"/>
  <c r="HL19" i="26"/>
  <c r="HK19" i="26"/>
  <c r="HI19" i="26"/>
  <c r="HH19" i="26"/>
  <c r="HG19" i="26"/>
  <c r="HF19" i="26"/>
  <c r="HL18" i="26"/>
  <c r="HK18" i="26"/>
  <c r="HI18" i="26"/>
  <c r="HH18" i="26"/>
  <c r="HG18" i="26"/>
  <c r="HF18" i="26"/>
  <c r="HL17" i="26"/>
  <c r="HK17" i="26"/>
  <c r="HI17" i="26"/>
  <c r="HH17" i="26"/>
  <c r="HG17" i="26"/>
  <c r="HJ17" i="26" s="1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1" i="26"/>
  <c r="HK11" i="26"/>
  <c r="HI11" i="26"/>
  <c r="HH11" i="26"/>
  <c r="HG11" i="26"/>
  <c r="HF11" i="26"/>
  <c r="HL10" i="26"/>
  <c r="HK10" i="26"/>
  <c r="HI10" i="26"/>
  <c r="HH10" i="26"/>
  <c r="HG10" i="26"/>
  <c r="HF10" i="26"/>
  <c r="HL8" i="26"/>
  <c r="HK8" i="26"/>
  <c r="HI8" i="26"/>
  <c r="HH8" i="26"/>
  <c r="HG8" i="26"/>
  <c r="HJ8" i="26" s="1"/>
  <c r="HF8" i="26"/>
  <c r="HL12" i="26"/>
  <c r="HK12" i="26"/>
  <c r="HI12" i="26"/>
  <c r="HH12" i="26"/>
  <c r="HG12" i="26"/>
  <c r="HF12" i="26"/>
  <c r="HL9" i="26"/>
  <c r="HK9" i="26"/>
  <c r="HI9" i="26"/>
  <c r="HH9" i="26"/>
  <c r="HG9" i="26"/>
  <c r="HF9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0" i="26"/>
  <c r="GI20" i="26"/>
  <c r="GG20" i="26"/>
  <c r="GF20" i="26"/>
  <c r="GE20" i="26"/>
  <c r="GK20" i="26" s="1"/>
  <c r="GD20" i="26"/>
  <c r="GJ19" i="26"/>
  <c r="GI19" i="26"/>
  <c r="GG19" i="26"/>
  <c r="GF19" i="26"/>
  <c r="GE19" i="26"/>
  <c r="GD19" i="26"/>
  <c r="GJ18" i="26"/>
  <c r="GI18" i="26"/>
  <c r="GG18" i="26"/>
  <c r="GF18" i="26"/>
  <c r="GE18" i="26"/>
  <c r="GD18" i="26"/>
  <c r="GJ17" i="26"/>
  <c r="GI17" i="26"/>
  <c r="GG17" i="26"/>
  <c r="GF17" i="26"/>
  <c r="GE17" i="26"/>
  <c r="GH17" i="26" s="1"/>
  <c r="GD17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K13" i="26" s="1"/>
  <c r="GD13" i="26"/>
  <c r="GJ11" i="26"/>
  <c r="GI11" i="26"/>
  <c r="GG11" i="26"/>
  <c r="GF11" i="26"/>
  <c r="GE11" i="26"/>
  <c r="GD11" i="26"/>
  <c r="GJ10" i="26"/>
  <c r="GI10" i="26"/>
  <c r="GG10" i="26"/>
  <c r="GF10" i="26"/>
  <c r="GE10" i="26"/>
  <c r="GD10" i="26"/>
  <c r="GJ8" i="26"/>
  <c r="GI8" i="26"/>
  <c r="GG8" i="26"/>
  <c r="GF8" i="26"/>
  <c r="GE8" i="26"/>
  <c r="GD8" i="26"/>
  <c r="GJ12" i="26"/>
  <c r="GI12" i="26"/>
  <c r="GG12" i="26"/>
  <c r="GF12" i="26"/>
  <c r="GE12" i="26"/>
  <c r="GD12" i="26"/>
  <c r="GJ9" i="26"/>
  <c r="GI9" i="26"/>
  <c r="GG9" i="26"/>
  <c r="GF9" i="26"/>
  <c r="GE9" i="26"/>
  <c r="GD9" i="26"/>
  <c r="GJ7" i="26"/>
  <c r="GI7" i="26"/>
  <c r="GG7" i="26"/>
  <c r="GF7" i="26"/>
  <c r="GE7" i="26"/>
  <c r="GD7" i="26"/>
  <c r="GJ6" i="26"/>
  <c r="GI6" i="26"/>
  <c r="GG6" i="26"/>
  <c r="GF6" i="26"/>
  <c r="GE6" i="26"/>
  <c r="GK6" i="26" s="1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0" i="26"/>
  <c r="FG20" i="26"/>
  <c r="FE20" i="26"/>
  <c r="FD20" i="26"/>
  <c r="FC20" i="26"/>
  <c r="FB20" i="26"/>
  <c r="FH19" i="26"/>
  <c r="FG19" i="26"/>
  <c r="FE19" i="26"/>
  <c r="FD19" i="26"/>
  <c r="FC19" i="26"/>
  <c r="FB19" i="26"/>
  <c r="FH18" i="26"/>
  <c r="FG18" i="26"/>
  <c r="FE18" i="26"/>
  <c r="FD18" i="26"/>
  <c r="FC18" i="26"/>
  <c r="FB18" i="26"/>
  <c r="FH17" i="26"/>
  <c r="FG17" i="26"/>
  <c r="FE17" i="26"/>
  <c r="FD17" i="26"/>
  <c r="FC17" i="26"/>
  <c r="FB17" i="26"/>
  <c r="FH16" i="26"/>
  <c r="FG16" i="26"/>
  <c r="FE16" i="26"/>
  <c r="FD16" i="26"/>
  <c r="FC16" i="26"/>
  <c r="FI16" i="26" s="1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1" i="26"/>
  <c r="FG11" i="26"/>
  <c r="FE11" i="26"/>
  <c r="FD11" i="26"/>
  <c r="FC11" i="26"/>
  <c r="FB11" i="26"/>
  <c r="FH10" i="26"/>
  <c r="FG10" i="26"/>
  <c r="FE10" i="26"/>
  <c r="FD10" i="26"/>
  <c r="FC10" i="26"/>
  <c r="FB10" i="26"/>
  <c r="FH8" i="26"/>
  <c r="FG8" i="26"/>
  <c r="FE8" i="26"/>
  <c r="FD8" i="26"/>
  <c r="FC8" i="26"/>
  <c r="FB8" i="26"/>
  <c r="FH12" i="26"/>
  <c r="FG12" i="26"/>
  <c r="FE12" i="26"/>
  <c r="FD12" i="26"/>
  <c r="FC12" i="26"/>
  <c r="FI12" i="26" s="1"/>
  <c r="FB12" i="26"/>
  <c r="FH9" i="26"/>
  <c r="FG9" i="26"/>
  <c r="FE9" i="26"/>
  <c r="FD9" i="26"/>
  <c r="FC9" i="26"/>
  <c r="FB9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0" i="26"/>
  <c r="EE20" i="26"/>
  <c r="EC20" i="26"/>
  <c r="EB20" i="26"/>
  <c r="EA20" i="26"/>
  <c r="DZ20" i="26"/>
  <c r="EF19" i="26"/>
  <c r="EE19" i="26"/>
  <c r="EC19" i="26"/>
  <c r="EB19" i="26"/>
  <c r="EA19" i="26"/>
  <c r="DZ19" i="26"/>
  <c r="EF18" i="26"/>
  <c r="EE18" i="26"/>
  <c r="EC18" i="26"/>
  <c r="EB18" i="26"/>
  <c r="EA18" i="26"/>
  <c r="DZ18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1" i="26"/>
  <c r="EE11" i="26"/>
  <c r="EC11" i="26"/>
  <c r="EB11" i="26"/>
  <c r="EA11" i="26"/>
  <c r="DZ11" i="26"/>
  <c r="EF10" i="26"/>
  <c r="EE10" i="26"/>
  <c r="EC10" i="26"/>
  <c r="EB10" i="26"/>
  <c r="EA10" i="26"/>
  <c r="DZ10" i="26"/>
  <c r="EF8" i="26"/>
  <c r="EE8" i="26"/>
  <c r="EC8" i="26"/>
  <c r="EB8" i="26"/>
  <c r="EA8" i="26"/>
  <c r="DZ8" i="26"/>
  <c r="EF12" i="26"/>
  <c r="EE12" i="26"/>
  <c r="EC12" i="26"/>
  <c r="EB12" i="26"/>
  <c r="EA12" i="26"/>
  <c r="EG12" i="26" s="1"/>
  <c r="DZ12" i="26"/>
  <c r="EF9" i="26"/>
  <c r="EE9" i="26"/>
  <c r="EC9" i="26"/>
  <c r="EB9" i="26"/>
  <c r="EA9" i="26"/>
  <c r="DZ9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5" i="4"/>
  <c r="RK25" i="4"/>
  <c r="RJ25" i="4"/>
  <c r="RI25" i="4"/>
  <c r="RH25" i="4"/>
  <c r="RG25" i="4"/>
  <c r="RE25" i="4"/>
  <c r="RD25" i="4"/>
  <c r="RC25" i="4"/>
  <c r="RB25" i="4"/>
  <c r="RF25" i="4" s="1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1" i="4"/>
  <c r="RK11" i="4"/>
  <c r="RJ11" i="4"/>
  <c r="RI11" i="4"/>
  <c r="RH11" i="4"/>
  <c r="RG11" i="4"/>
  <c r="RE11" i="4"/>
  <c r="RD11" i="4"/>
  <c r="RC11" i="4"/>
  <c r="RB11" i="4"/>
  <c r="RF11" i="4" s="1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X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24" i="4"/>
  <c r="OU24" i="4"/>
  <c r="OT24" i="4"/>
  <c r="OS24" i="4"/>
  <c r="OR24" i="4"/>
  <c r="OQ24" i="4"/>
  <c r="OO24" i="4"/>
  <c r="ON24" i="4"/>
  <c r="OM24" i="4"/>
  <c r="OL24" i="4"/>
  <c r="OP24" i="4" s="1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P17" i="4" s="1"/>
  <c r="OK17" i="4"/>
  <c r="OJ17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NN27" i="4"/>
  <c r="NM27" i="4"/>
  <c r="NL27" i="4"/>
  <c r="NK27" i="4"/>
  <c r="NJ27" i="4"/>
  <c r="NI27" i="4"/>
  <c r="NG27" i="4"/>
  <c r="NF27" i="4"/>
  <c r="NE27" i="4"/>
  <c r="ND27" i="4"/>
  <c r="NH27" i="4" s="1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Z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Z15" i="4" s="1"/>
  <c r="LU15" i="4"/>
  <c r="LT15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R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R26" i="4" s="1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4" i="4"/>
  <c r="JO14" i="4"/>
  <c r="JN14" i="4"/>
  <c r="JM14" i="4"/>
  <c r="JL14" i="4"/>
  <c r="JK14" i="4"/>
  <c r="JI14" i="4"/>
  <c r="JH14" i="4"/>
  <c r="JG14" i="4"/>
  <c r="JF14" i="4"/>
  <c r="JJ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IB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IB20" i="4" s="1"/>
  <c r="HW20" i="4"/>
  <c r="HV20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L17" i="4" s="1"/>
  <c r="FG17" i="4"/>
  <c r="FF17" i="4"/>
  <c r="FR15" i="4"/>
  <c r="FQ15" i="4"/>
  <c r="FP15" i="4"/>
  <c r="FO15" i="4"/>
  <c r="FN15" i="4"/>
  <c r="FM15" i="4"/>
  <c r="FK15" i="4"/>
  <c r="FJ15" i="4"/>
  <c r="FI15" i="4"/>
  <c r="FH15" i="4"/>
  <c r="FL15" i="4" s="1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ED27" i="4" s="1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5" i="4"/>
  <c r="EI5" i="4"/>
  <c r="EH5" i="4"/>
  <c r="EG5" i="4"/>
  <c r="EF5" i="4"/>
  <c r="EE5" i="4"/>
  <c r="EC5" i="4"/>
  <c r="EB5" i="4"/>
  <c r="EA5" i="4"/>
  <c r="DZ5" i="4"/>
  <c r="ED5" i="4" s="1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AP32" i="21"/>
  <c r="AQ32" i="21"/>
  <c r="AR32" i="21"/>
  <c r="AS32" i="21"/>
  <c r="AU32" i="21"/>
  <c r="AV32" i="21"/>
  <c r="BS32" i="21"/>
  <c r="BT32" i="21"/>
  <c r="BU32" i="21"/>
  <c r="BV32" i="21"/>
  <c r="BX32" i="21"/>
  <c r="BY32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AP30" i="21"/>
  <c r="AQ30" i="21"/>
  <c r="AR30" i="21"/>
  <c r="AS30" i="21"/>
  <c r="AU30" i="21"/>
  <c r="AV30" i="21"/>
  <c r="BS30" i="21"/>
  <c r="BT30" i="21"/>
  <c r="BU30" i="21"/>
  <c r="BV30" i="21"/>
  <c r="BX30" i="21"/>
  <c r="BY30" i="21"/>
  <c r="CV30" i="21"/>
  <c r="CW30" i="21"/>
  <c r="CX30" i="21"/>
  <c r="CZ30" i="21" s="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AP25" i="21"/>
  <c r="AQ25" i="21"/>
  <c r="AR25" i="21"/>
  <c r="AS25" i="21"/>
  <c r="AU25" i="21"/>
  <c r="AV25" i="21"/>
  <c r="BS25" i="21"/>
  <c r="BT25" i="21"/>
  <c r="BU25" i="21"/>
  <c r="BV25" i="21"/>
  <c r="BX25" i="21"/>
  <c r="BY25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AP32" i="19"/>
  <c r="AQ32" i="19"/>
  <c r="AR32" i="19"/>
  <c r="AT32" i="19" s="1"/>
  <c r="AS32" i="19"/>
  <c r="AU32" i="19"/>
  <c r="AV32" i="19"/>
  <c r="BS32" i="19"/>
  <c r="BT32" i="19"/>
  <c r="BU32" i="19"/>
  <c r="BV32" i="19"/>
  <c r="BX32" i="19"/>
  <c r="BY32" i="19"/>
  <c r="CV32" i="19"/>
  <c r="CW32" i="19"/>
  <c r="CX32" i="19"/>
  <c r="CY32" i="19"/>
  <c r="DA32" i="19"/>
  <c r="DB32" i="19"/>
  <c r="DC32" i="19" s="1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AP28" i="19"/>
  <c r="AQ28" i="19"/>
  <c r="AR28" i="19"/>
  <c r="AS28" i="19"/>
  <c r="AU28" i="19"/>
  <c r="AV28" i="19"/>
  <c r="BS28" i="19"/>
  <c r="BT28" i="19"/>
  <c r="BU28" i="19"/>
  <c r="BV28" i="19"/>
  <c r="BX28" i="19"/>
  <c r="BY28" i="19"/>
  <c r="CV28" i="19"/>
  <c r="CW28" i="19"/>
  <c r="CX28" i="19"/>
  <c r="CY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AT25" i="21" l="1"/>
  <c r="PZ32" i="21"/>
  <c r="ED10" i="21"/>
  <c r="FF16" i="21"/>
  <c r="FF23" i="21"/>
  <c r="GH29" i="21"/>
  <c r="NV29" i="21"/>
  <c r="CZ28" i="19"/>
  <c r="FF5" i="19"/>
  <c r="JN4" i="19"/>
  <c r="JN11" i="19"/>
  <c r="KP7" i="19"/>
  <c r="KP13" i="19"/>
  <c r="KP20" i="19"/>
  <c r="MT25" i="19"/>
  <c r="MT32" i="19"/>
  <c r="NV27" i="19"/>
  <c r="KP13" i="27"/>
  <c r="KP8" i="27"/>
  <c r="LR7" i="27"/>
  <c r="LR14" i="27"/>
  <c r="NV6" i="27"/>
  <c r="NV13" i="27"/>
  <c r="OX5" i="27"/>
  <c r="ED6" i="27"/>
  <c r="ED13" i="27"/>
  <c r="FF5" i="27"/>
  <c r="JN7" i="27"/>
  <c r="JN14" i="27"/>
  <c r="LR6" i="27"/>
  <c r="LR13" i="27"/>
  <c r="MT12" i="27"/>
  <c r="ED10" i="26"/>
  <c r="FF9" i="26"/>
  <c r="JN8" i="26"/>
  <c r="JN17" i="26"/>
  <c r="KP14" i="26"/>
  <c r="MT15" i="26"/>
  <c r="OX5" i="21"/>
  <c r="PA14" i="21"/>
  <c r="PA19" i="21"/>
  <c r="PA27" i="21"/>
  <c r="ED16" i="21"/>
  <c r="FF22" i="21"/>
  <c r="FF29" i="21"/>
  <c r="IL5" i="21"/>
  <c r="JN11" i="21"/>
  <c r="JN18" i="21"/>
  <c r="LR16" i="21"/>
  <c r="LR23" i="21"/>
  <c r="MT15" i="21"/>
  <c r="PA4" i="21"/>
  <c r="PA32" i="21"/>
  <c r="OX16" i="21"/>
  <c r="OX23" i="21"/>
  <c r="KP11" i="21"/>
  <c r="KP18" i="21"/>
  <c r="LR10" i="21"/>
  <c r="MT9" i="21"/>
  <c r="MT23" i="21"/>
  <c r="ED29" i="21"/>
  <c r="IL25" i="21"/>
  <c r="JN10" i="21"/>
  <c r="LR29" i="21"/>
  <c r="NY29" i="21"/>
  <c r="EG9" i="21"/>
  <c r="FI7" i="21"/>
  <c r="FI15" i="21"/>
  <c r="GK28" i="21"/>
  <c r="JQ32" i="21"/>
  <c r="KS24" i="21"/>
  <c r="LU9" i="21"/>
  <c r="MW7" i="21"/>
  <c r="PA6" i="21"/>
  <c r="FI34" i="19"/>
  <c r="GK10" i="19"/>
  <c r="GK16" i="19"/>
  <c r="IO9" i="19"/>
  <c r="IO18" i="19"/>
  <c r="JQ22" i="19"/>
  <c r="JQ15" i="19"/>
  <c r="OX34" i="19"/>
  <c r="AW32" i="19"/>
  <c r="FI28" i="19"/>
  <c r="FI36" i="19"/>
  <c r="GK22" i="19"/>
  <c r="GK15" i="19"/>
  <c r="HJ4" i="19"/>
  <c r="HJ11" i="19"/>
  <c r="HJ17" i="19"/>
  <c r="HM26" i="19"/>
  <c r="HM33" i="19"/>
  <c r="IL7" i="19"/>
  <c r="IL13" i="19"/>
  <c r="IO28" i="19"/>
  <c r="JQ23" i="19"/>
  <c r="KP25" i="19"/>
  <c r="LR27" i="19"/>
  <c r="LR34" i="19"/>
  <c r="NY24" i="19"/>
  <c r="NY31" i="19"/>
  <c r="OX4" i="19"/>
  <c r="OX11" i="19"/>
  <c r="OX17" i="19"/>
  <c r="NY5" i="19"/>
  <c r="NY10" i="19"/>
  <c r="NY16" i="19"/>
  <c r="EG9" i="19"/>
  <c r="EG18" i="19"/>
  <c r="GK26" i="19"/>
  <c r="GK33" i="19"/>
  <c r="HM28" i="19"/>
  <c r="LU36" i="19"/>
  <c r="MW22" i="19"/>
  <c r="MW15" i="19"/>
  <c r="MW24" i="19"/>
  <c r="MW31" i="19"/>
  <c r="CZ32" i="19"/>
  <c r="FI16" i="27"/>
  <c r="GH7" i="27"/>
  <c r="GH14" i="27"/>
  <c r="HM10" i="27"/>
  <c r="HM15" i="27"/>
  <c r="IL6" i="27"/>
  <c r="KS11" i="27"/>
  <c r="KS18" i="27"/>
  <c r="MW16" i="27"/>
  <c r="NV7" i="27"/>
  <c r="NV14" i="27"/>
  <c r="PA15" i="27"/>
  <c r="GK5" i="27"/>
  <c r="HM4" i="27"/>
  <c r="HM18" i="27"/>
  <c r="JQ8" i="27"/>
  <c r="JQ16" i="27"/>
  <c r="PA4" i="27"/>
  <c r="PA18" i="27"/>
  <c r="GK12" i="27"/>
  <c r="FI4" i="27"/>
  <c r="FI11" i="27"/>
  <c r="FI18" i="27"/>
  <c r="HM8" i="27"/>
  <c r="HM16" i="27"/>
  <c r="JQ10" i="27"/>
  <c r="MW4" i="27"/>
  <c r="MW11" i="27"/>
  <c r="MW18" i="27"/>
  <c r="PA8" i="27"/>
  <c r="PA13" i="26"/>
  <c r="PA20" i="26"/>
  <c r="IL14" i="26"/>
  <c r="JQ10" i="26"/>
  <c r="JQ18" i="26"/>
  <c r="KP9" i="26"/>
  <c r="KP15" i="26"/>
  <c r="MW12" i="26"/>
  <c r="OX8" i="26"/>
  <c r="OX17" i="26"/>
  <c r="ED6" i="4"/>
  <c r="ED26" i="4"/>
  <c r="EK26" i="4" s="1"/>
  <c r="FL16" i="4"/>
  <c r="FS16" i="4" s="1"/>
  <c r="FL23" i="4"/>
  <c r="FS23" i="4" s="1"/>
  <c r="GT5" i="4"/>
  <c r="HA5" i="4" s="1"/>
  <c r="GT12" i="4"/>
  <c r="HA12" i="4" s="1"/>
  <c r="GT19" i="4"/>
  <c r="GT27" i="4"/>
  <c r="IB10" i="4"/>
  <c r="IB15" i="4"/>
  <c r="II15" i="4" s="1"/>
  <c r="IB24" i="4"/>
  <c r="II24" i="4" s="1"/>
  <c r="JJ7" i="4"/>
  <c r="JQ7" i="4" s="1"/>
  <c r="JJ13" i="4"/>
  <c r="JQ13" i="4" s="1"/>
  <c r="KR4" i="4"/>
  <c r="KY4" i="4" s="1"/>
  <c r="KR11" i="4"/>
  <c r="KR17" i="4"/>
  <c r="KY17" i="4" s="1"/>
  <c r="KR25" i="4"/>
  <c r="LZ8" i="4"/>
  <c r="MG8" i="4" s="1"/>
  <c r="LZ14" i="4"/>
  <c r="LZ22" i="4"/>
  <c r="MG22" i="4" s="1"/>
  <c r="NH6" i="4"/>
  <c r="NH20" i="4"/>
  <c r="NH18" i="4"/>
  <c r="NH26" i="4"/>
  <c r="NO26" i="4" s="1"/>
  <c r="OP9" i="4"/>
  <c r="OW9" i="4" s="1"/>
  <c r="OP16" i="4"/>
  <c r="OW16" i="4" s="1"/>
  <c r="OP23" i="4"/>
  <c r="OW23" i="4" s="1"/>
  <c r="PX5" i="4"/>
  <c r="QE5" i="4" s="1"/>
  <c r="ED20" i="4"/>
  <c r="EK20" i="4" s="1"/>
  <c r="ED18" i="4"/>
  <c r="FL9" i="4"/>
  <c r="FS9" i="4" s="1"/>
  <c r="EK5" i="4"/>
  <c r="ED10" i="4"/>
  <c r="EK10" i="4" s="1"/>
  <c r="ED15" i="4"/>
  <c r="EK15" i="4" s="1"/>
  <c r="ED24" i="4"/>
  <c r="FL7" i="4"/>
  <c r="FL13" i="4"/>
  <c r="FL21" i="4"/>
  <c r="FS21" i="4" s="1"/>
  <c r="GT4" i="4"/>
  <c r="GT11" i="4"/>
  <c r="GT17" i="4"/>
  <c r="HA17" i="4" s="1"/>
  <c r="GT25" i="4"/>
  <c r="HA25" i="4" s="1"/>
  <c r="IB8" i="4"/>
  <c r="II8" i="4" s="1"/>
  <c r="IB14" i="4"/>
  <c r="II14" i="4" s="1"/>
  <c r="IB22" i="4"/>
  <c r="II22" i="4" s="1"/>
  <c r="JJ6" i="4"/>
  <c r="JQ6" i="4" s="1"/>
  <c r="JJ20" i="4"/>
  <c r="JQ20" i="4" s="1"/>
  <c r="JJ18" i="4"/>
  <c r="JQ18" i="4" s="1"/>
  <c r="JJ26" i="4"/>
  <c r="KR9" i="4"/>
  <c r="KR16" i="4"/>
  <c r="KR23" i="4"/>
  <c r="KY23" i="4" s="1"/>
  <c r="LZ5" i="4"/>
  <c r="MG5" i="4" s="1"/>
  <c r="LZ12" i="4"/>
  <c r="MG12" i="4" s="1"/>
  <c r="LZ19" i="4"/>
  <c r="MG19" i="4" s="1"/>
  <c r="LZ27" i="4"/>
  <c r="MG27" i="4" s="1"/>
  <c r="NH10" i="4"/>
  <c r="NO10" i="4" s="1"/>
  <c r="NH15" i="4"/>
  <c r="NO15" i="4" s="1"/>
  <c r="NH24" i="4"/>
  <c r="NO24" i="4" s="1"/>
  <c r="OP7" i="4"/>
  <c r="OW7" i="4" s="1"/>
  <c r="OP13" i="4"/>
  <c r="OW13" i="4" s="1"/>
  <c r="OP21" i="4"/>
  <c r="OW21" i="4" s="1"/>
  <c r="PX4" i="4"/>
  <c r="PX11" i="4"/>
  <c r="PX17" i="4"/>
  <c r="PX25" i="4"/>
  <c r="QE25" i="4" s="1"/>
  <c r="RF8" i="4"/>
  <c r="RM8" i="4" s="1"/>
  <c r="RF14" i="4"/>
  <c r="RM14" i="4" s="1"/>
  <c r="RF22" i="4"/>
  <c r="RM22" i="4" s="1"/>
  <c r="EK7" i="4"/>
  <c r="EK13" i="4"/>
  <c r="EK21" i="4"/>
  <c r="FS17" i="4"/>
  <c r="FS25" i="4"/>
  <c r="HA22" i="4"/>
  <c r="II6" i="4"/>
  <c r="II20" i="4"/>
  <c r="II18" i="4"/>
  <c r="II26" i="4"/>
  <c r="JQ9" i="4"/>
  <c r="JQ16" i="4"/>
  <c r="JQ23" i="4"/>
  <c r="KY5" i="4"/>
  <c r="KY12" i="4"/>
  <c r="KY19" i="4"/>
  <c r="KY27" i="4"/>
  <c r="MG10" i="4"/>
  <c r="MG15" i="4"/>
  <c r="MG24" i="4"/>
  <c r="NO7" i="4"/>
  <c r="NO13" i="4"/>
  <c r="NO21" i="4"/>
  <c r="OW4" i="4"/>
  <c r="OW11" i="4"/>
  <c r="OW17" i="4"/>
  <c r="OW25" i="4"/>
  <c r="QE8" i="4"/>
  <c r="QE14" i="4"/>
  <c r="QE22" i="4"/>
  <c r="RM6" i="4"/>
  <c r="RM20" i="4"/>
  <c r="RM18" i="4"/>
  <c r="RM26" i="4"/>
  <c r="II11" i="4"/>
  <c r="II25" i="4"/>
  <c r="JQ8" i="4"/>
  <c r="JQ14" i="4"/>
  <c r="JQ22" i="4"/>
  <c r="KY6" i="4"/>
  <c r="KY20" i="4"/>
  <c r="KY18" i="4"/>
  <c r="KY26" i="4"/>
  <c r="MG9" i="4"/>
  <c r="MG16" i="4"/>
  <c r="MG23" i="4"/>
  <c r="NO5" i="4"/>
  <c r="NO12" i="4"/>
  <c r="NO19" i="4"/>
  <c r="NO27" i="4"/>
  <c r="OW10" i="4"/>
  <c r="OW15" i="4"/>
  <c r="OW24" i="4"/>
  <c r="QE7" i="4"/>
  <c r="QE13" i="4"/>
  <c r="QE21" i="4"/>
  <c r="RM4" i="4"/>
  <c r="RM11" i="4"/>
  <c r="RM17" i="4"/>
  <c r="RM25" i="4"/>
  <c r="EK19" i="4"/>
  <c r="EK27" i="4"/>
  <c r="II4" i="4"/>
  <c r="EK12" i="4"/>
  <c r="FS24" i="4"/>
  <c r="HA13" i="4"/>
  <c r="HA21" i="4"/>
  <c r="PX12" i="4"/>
  <c r="QE12" i="4" s="1"/>
  <c r="FS15" i="4"/>
  <c r="II17" i="4"/>
  <c r="FS10" i="4"/>
  <c r="HA7" i="4"/>
  <c r="ED4" i="4"/>
  <c r="EK4" i="4" s="1"/>
  <c r="ED11" i="4"/>
  <c r="EK11" i="4" s="1"/>
  <c r="ED17" i="4"/>
  <c r="EK17" i="4" s="1"/>
  <c r="ED25" i="4"/>
  <c r="EK25" i="4" s="1"/>
  <c r="FL8" i="4"/>
  <c r="FS8" i="4" s="1"/>
  <c r="FL14" i="4"/>
  <c r="FL22" i="4"/>
  <c r="GT6" i="4"/>
  <c r="GT20" i="4"/>
  <c r="HA20" i="4" s="1"/>
  <c r="GT18" i="4"/>
  <c r="HA18" i="4" s="1"/>
  <c r="GT26" i="4"/>
  <c r="HA26" i="4" s="1"/>
  <c r="IB9" i="4"/>
  <c r="II9" i="4" s="1"/>
  <c r="IB16" i="4"/>
  <c r="II16" i="4" s="1"/>
  <c r="IB23" i="4"/>
  <c r="JJ5" i="4"/>
  <c r="JQ5" i="4" s="1"/>
  <c r="JJ12" i="4"/>
  <c r="JQ12" i="4" s="1"/>
  <c r="JJ19" i="4"/>
  <c r="JQ19" i="4" s="1"/>
  <c r="JJ27" i="4"/>
  <c r="JQ27" i="4" s="1"/>
  <c r="KR10" i="4"/>
  <c r="KY10" i="4" s="1"/>
  <c r="KR15" i="4"/>
  <c r="KR24" i="4"/>
  <c r="LZ7" i="4"/>
  <c r="LZ13" i="4"/>
  <c r="MG13" i="4" s="1"/>
  <c r="LZ21" i="4"/>
  <c r="NH4" i="4"/>
  <c r="NO4" i="4" s="1"/>
  <c r="NH11" i="4"/>
  <c r="NO11" i="4" s="1"/>
  <c r="NH17" i="4"/>
  <c r="NO17" i="4" s="1"/>
  <c r="NH25" i="4"/>
  <c r="NO25" i="4" s="1"/>
  <c r="OP8" i="4"/>
  <c r="OP14" i="4"/>
  <c r="OW14" i="4" s="1"/>
  <c r="OP22" i="4"/>
  <c r="PX6" i="4"/>
  <c r="QE6" i="4" s="1"/>
  <c r="PX20" i="4"/>
  <c r="QE20" i="4" s="1"/>
  <c r="PX18" i="4"/>
  <c r="PX26" i="4"/>
  <c r="RF9" i="4"/>
  <c r="RF16" i="4"/>
  <c r="RM16" i="4" s="1"/>
  <c r="RF23" i="4"/>
  <c r="RM23" i="4" s="1"/>
  <c r="PA7" i="21"/>
  <c r="PA15" i="21"/>
  <c r="OX22" i="21"/>
  <c r="OX29" i="21"/>
  <c r="ED5" i="21"/>
  <c r="ED27" i="21"/>
  <c r="FF11" i="21"/>
  <c r="FF18" i="21"/>
  <c r="FF25" i="21"/>
  <c r="IL29" i="21"/>
  <c r="LR5" i="21"/>
  <c r="MT11" i="21"/>
  <c r="MT18" i="21"/>
  <c r="MT25" i="21"/>
  <c r="NV10" i="21"/>
  <c r="HJ7" i="27"/>
  <c r="FF7" i="27"/>
  <c r="FI10" i="27"/>
  <c r="FI15" i="27"/>
  <c r="HM5" i="27"/>
  <c r="KS16" i="27"/>
  <c r="MW10" i="27"/>
  <c r="PA17" i="27"/>
  <c r="ED7" i="26"/>
  <c r="ED14" i="26"/>
  <c r="FI10" i="26"/>
  <c r="FI18" i="26"/>
  <c r="GH9" i="26"/>
  <c r="GH15" i="26"/>
  <c r="IO12" i="26"/>
  <c r="KP17" i="26"/>
  <c r="LU7" i="26"/>
  <c r="LU14" i="26"/>
  <c r="MW4" i="26"/>
  <c r="MW10" i="26"/>
  <c r="MW18" i="26"/>
  <c r="NV9" i="26"/>
  <c r="NV15" i="26"/>
  <c r="ED8" i="26"/>
  <c r="ED17" i="26"/>
  <c r="HJ9" i="26"/>
  <c r="HJ15" i="26"/>
  <c r="LR8" i="26"/>
  <c r="LR17" i="26"/>
  <c r="MT7" i="26"/>
  <c r="MT14" i="26"/>
  <c r="PA8" i="26"/>
  <c r="PA17" i="26"/>
  <c r="EG6" i="26"/>
  <c r="EG13" i="26"/>
  <c r="EG20" i="26"/>
  <c r="FF8" i="26"/>
  <c r="FF17" i="26"/>
  <c r="HM10" i="26"/>
  <c r="HM15" i="26"/>
  <c r="HM18" i="26"/>
  <c r="IL9" i="26"/>
  <c r="IL15" i="26"/>
  <c r="KS12" i="26"/>
  <c r="KS16" i="26"/>
  <c r="LU6" i="26"/>
  <c r="MT8" i="26"/>
  <c r="MT17" i="26"/>
  <c r="NY14" i="26"/>
  <c r="PA4" i="26"/>
  <c r="PA10" i="26"/>
  <c r="PA18" i="26"/>
  <c r="EG4" i="26"/>
  <c r="EG18" i="26"/>
  <c r="HM12" i="26"/>
  <c r="HM16" i="26"/>
  <c r="IO6" i="26"/>
  <c r="IO13" i="26"/>
  <c r="IO20" i="26"/>
  <c r="KS7" i="26"/>
  <c r="PA12" i="26"/>
  <c r="PA16" i="26"/>
  <c r="ED9" i="22"/>
  <c r="EK9" i="22" s="1"/>
  <c r="JJ12" i="22"/>
  <c r="JQ12" i="22" s="1"/>
  <c r="NH9" i="22"/>
  <c r="KR4" i="22"/>
  <c r="KR10" i="22"/>
  <c r="KY10" i="22" s="1"/>
  <c r="JQ6" i="22"/>
  <c r="JQ11" i="22"/>
  <c r="IB12" i="22"/>
  <c r="II12" i="22" s="1"/>
  <c r="JJ5" i="22"/>
  <c r="JQ5" i="22" s="1"/>
  <c r="JJ13" i="22"/>
  <c r="JQ13" i="22" s="1"/>
  <c r="RF12" i="22"/>
  <c r="RM12" i="22" s="1"/>
  <c r="JJ4" i="22"/>
  <c r="JQ4" i="22" s="1"/>
  <c r="JJ10" i="22"/>
  <c r="JQ10" i="22" s="1"/>
  <c r="KY25" i="4"/>
  <c r="MG14" i="4"/>
  <c r="NO6" i="4"/>
  <c r="NO18" i="4"/>
  <c r="KY11" i="4"/>
  <c r="HA19" i="4"/>
  <c r="EK6" i="4"/>
  <c r="EK18" i="4"/>
  <c r="NO20" i="4"/>
  <c r="ED16" i="4"/>
  <c r="EK16" i="4" s="1"/>
  <c r="FL19" i="4"/>
  <c r="FS19" i="4" s="1"/>
  <c r="KR22" i="4"/>
  <c r="KY22" i="4" s="1"/>
  <c r="NH9" i="4"/>
  <c r="NO9" i="4" s="1"/>
  <c r="NH23" i="4"/>
  <c r="NO23" i="4" s="1"/>
  <c r="OP12" i="4"/>
  <c r="OP19" i="4"/>
  <c r="OP27" i="4"/>
  <c r="OW27" i="4" s="1"/>
  <c r="PX10" i="4"/>
  <c r="PX15" i="4"/>
  <c r="QE15" i="4" s="1"/>
  <c r="PX24" i="4"/>
  <c r="QE24" i="4" s="1"/>
  <c r="RF7" i="4"/>
  <c r="RM7" i="4" s="1"/>
  <c r="RF13" i="4"/>
  <c r="RM13" i="4" s="1"/>
  <c r="RF21" i="4"/>
  <c r="RM21" i="4" s="1"/>
  <c r="HA27" i="4"/>
  <c r="ED9" i="4"/>
  <c r="EK9" i="4" s="1"/>
  <c r="FL5" i="4"/>
  <c r="FS5" i="4" s="1"/>
  <c r="FL27" i="4"/>
  <c r="FS27" i="4" s="1"/>
  <c r="GT24" i="4"/>
  <c r="HA24" i="4" s="1"/>
  <c r="IB7" i="4"/>
  <c r="IB13" i="4"/>
  <c r="II13" i="4" s="1"/>
  <c r="JJ11" i="4"/>
  <c r="JQ11" i="4" s="1"/>
  <c r="JJ25" i="4"/>
  <c r="JQ25" i="4" s="1"/>
  <c r="KR14" i="4"/>
  <c r="KY14" i="4" s="1"/>
  <c r="LZ6" i="4"/>
  <c r="MG6" i="4" s="1"/>
  <c r="LZ20" i="4"/>
  <c r="MG20" i="4" s="1"/>
  <c r="LZ18" i="4"/>
  <c r="MG18" i="4" s="1"/>
  <c r="LZ26" i="4"/>
  <c r="MG26" i="4" s="1"/>
  <c r="NH16" i="4"/>
  <c r="NO16" i="4" s="1"/>
  <c r="II10" i="4"/>
  <c r="ED23" i="4"/>
  <c r="EK23" i="4" s="1"/>
  <c r="GT10" i="4"/>
  <c r="HA10" i="4" s="1"/>
  <c r="GT15" i="4"/>
  <c r="HA15" i="4" s="1"/>
  <c r="IB21" i="4"/>
  <c r="II21" i="4" s="1"/>
  <c r="JJ4" i="4"/>
  <c r="JQ4" i="4" s="1"/>
  <c r="JJ17" i="4"/>
  <c r="JQ17" i="4" s="1"/>
  <c r="KR8" i="4"/>
  <c r="KY8" i="4" s="1"/>
  <c r="OP5" i="4"/>
  <c r="OW5" i="4" s="1"/>
  <c r="KS18" i="19"/>
  <c r="KS36" i="19"/>
  <c r="LU22" i="19"/>
  <c r="LU15" i="19"/>
  <c r="FI6" i="19"/>
  <c r="FI12" i="19"/>
  <c r="FI19" i="19"/>
  <c r="GK36" i="19"/>
  <c r="HM22" i="19"/>
  <c r="HM15" i="19"/>
  <c r="KS23" i="19"/>
  <c r="KS30" i="19"/>
  <c r="LU10" i="19"/>
  <c r="EG30" i="19"/>
  <c r="FI10" i="19"/>
  <c r="FI16" i="19"/>
  <c r="HM9" i="19"/>
  <c r="KS28" i="19"/>
  <c r="LU23" i="19"/>
  <c r="MW10" i="19"/>
  <c r="MW16" i="19"/>
  <c r="GH21" i="19"/>
  <c r="GH27" i="19"/>
  <c r="FF21" i="19"/>
  <c r="GK13" i="19"/>
  <c r="GK7" i="19"/>
  <c r="EG6" i="19"/>
  <c r="GK9" i="19"/>
  <c r="GK20" i="19"/>
  <c r="GK23" i="19"/>
  <c r="GK30" i="19"/>
  <c r="NY15" i="19"/>
  <c r="NY23" i="19"/>
  <c r="AT34" i="19"/>
  <c r="GK18" i="19"/>
  <c r="EG24" i="19"/>
  <c r="EG31" i="19"/>
  <c r="GK6" i="19"/>
  <c r="GK12" i="19"/>
  <c r="HM36" i="19"/>
  <c r="IO22" i="19"/>
  <c r="IO15" i="19"/>
  <c r="IO23" i="19"/>
  <c r="IO30" i="19"/>
  <c r="FF35" i="19"/>
  <c r="CZ34" i="19"/>
  <c r="GH35" i="19"/>
  <c r="FL9" i="22"/>
  <c r="FS9" i="22" s="1"/>
  <c r="KR12" i="22"/>
  <c r="KY12" i="22" s="1"/>
  <c r="OP9" i="22"/>
  <c r="OW9" i="22" s="1"/>
  <c r="ED6" i="22"/>
  <c r="ED11" i="22"/>
  <c r="EK11" i="22" s="1"/>
  <c r="IB5" i="22"/>
  <c r="II5" i="22" s="1"/>
  <c r="IB13" i="22"/>
  <c r="II13" i="22" s="1"/>
  <c r="LZ4" i="22"/>
  <c r="MG4" i="22" s="1"/>
  <c r="LZ10" i="22"/>
  <c r="MG10" i="22" s="1"/>
  <c r="NH6" i="22"/>
  <c r="NO6" i="22" s="1"/>
  <c r="NH11" i="22"/>
  <c r="NO11" i="22" s="1"/>
  <c r="FL5" i="22"/>
  <c r="FS5" i="22" s="1"/>
  <c r="FL13" i="22"/>
  <c r="FS13" i="22" s="1"/>
  <c r="KR9" i="22"/>
  <c r="KY9" i="22" s="1"/>
  <c r="GT5" i="22"/>
  <c r="HA5" i="22" s="1"/>
  <c r="GT13" i="22"/>
  <c r="HA13" i="22" s="1"/>
  <c r="IB6" i="22"/>
  <c r="II6" i="22" s="1"/>
  <c r="IB11" i="22"/>
  <c r="II11" i="22" s="1"/>
  <c r="LZ9" i="22"/>
  <c r="MG9" i="22" s="1"/>
  <c r="RF6" i="22"/>
  <c r="RM6" i="22" s="1"/>
  <c r="RF11" i="22"/>
  <c r="RM11" i="22" s="1"/>
  <c r="OP5" i="22"/>
  <c r="OW5" i="22" s="1"/>
  <c r="OP13" i="22"/>
  <c r="OW13" i="22" s="1"/>
  <c r="PX5" i="22"/>
  <c r="QE5" i="22" s="1"/>
  <c r="PX13" i="22"/>
  <c r="QE13" i="22" s="1"/>
  <c r="RF5" i="22"/>
  <c r="RM5" i="22" s="1"/>
  <c r="RF13" i="22"/>
  <c r="RM13" i="22" s="1"/>
  <c r="NO9" i="22"/>
  <c r="KY4" i="22"/>
  <c r="GT8" i="22"/>
  <c r="HA8" i="22" s="1"/>
  <c r="GT15" i="22"/>
  <c r="HA15" i="22" s="1"/>
  <c r="KR8" i="22"/>
  <c r="KY8" i="22" s="1"/>
  <c r="KR15" i="22"/>
  <c r="KY15" i="22" s="1"/>
  <c r="LZ8" i="22"/>
  <c r="MG8" i="22" s="1"/>
  <c r="LZ15" i="22"/>
  <c r="MG15" i="22" s="1"/>
  <c r="PX8" i="22"/>
  <c r="QE8" i="22" s="1"/>
  <c r="PX15" i="22"/>
  <c r="QE15" i="22" s="1"/>
  <c r="ED7" i="22"/>
  <c r="EK7" i="22" s="1"/>
  <c r="FL7" i="22"/>
  <c r="FS7" i="22" s="1"/>
  <c r="FL14" i="22"/>
  <c r="FS14" i="22" s="1"/>
  <c r="GT7" i="22"/>
  <c r="HA7" i="22" s="1"/>
  <c r="GT14" i="22"/>
  <c r="HA14" i="22" s="1"/>
  <c r="IB7" i="22"/>
  <c r="II7" i="22" s="1"/>
  <c r="IB14" i="22"/>
  <c r="II14" i="22" s="1"/>
  <c r="LZ7" i="22"/>
  <c r="MG7" i="22" s="1"/>
  <c r="LZ14" i="22"/>
  <c r="MG14" i="22" s="1"/>
  <c r="NH7" i="22"/>
  <c r="NO7" i="22" s="1"/>
  <c r="NH14" i="22"/>
  <c r="NO14" i="22" s="1"/>
  <c r="OP7" i="22"/>
  <c r="OW7" i="22" s="1"/>
  <c r="OP14" i="22"/>
  <c r="OW14" i="22" s="1"/>
  <c r="PX7" i="22"/>
  <c r="QE7" i="22" s="1"/>
  <c r="PX14" i="22"/>
  <c r="QE14" i="22" s="1"/>
  <c r="RF7" i="22"/>
  <c r="RM7" i="22" s="1"/>
  <c r="RF14" i="22"/>
  <c r="RM14" i="22" s="1"/>
  <c r="ED5" i="22"/>
  <c r="EK5" i="22" s="1"/>
  <c r="ED13" i="22"/>
  <c r="EK13" i="22" s="1"/>
  <c r="FL4" i="22"/>
  <c r="FS4" i="22" s="1"/>
  <c r="FL10" i="22"/>
  <c r="FS10" i="22" s="1"/>
  <c r="GT12" i="22"/>
  <c r="HA12" i="22" s="1"/>
  <c r="JJ8" i="22"/>
  <c r="JQ8" i="22" s="1"/>
  <c r="JJ15" i="22"/>
  <c r="JQ15" i="22" s="1"/>
  <c r="LZ6" i="22"/>
  <c r="MG6" i="22" s="1"/>
  <c r="LZ11" i="22"/>
  <c r="MG11" i="22" s="1"/>
  <c r="NH5" i="22"/>
  <c r="NO5" i="22" s="1"/>
  <c r="NH13" i="22"/>
  <c r="NO13" i="22" s="1"/>
  <c r="OP4" i="22"/>
  <c r="OW4" i="22" s="1"/>
  <c r="OP10" i="22"/>
  <c r="OW10" i="22" s="1"/>
  <c r="PX12" i="22"/>
  <c r="QE12" i="22" s="1"/>
  <c r="ED4" i="22"/>
  <c r="EK4" i="22" s="1"/>
  <c r="ED10" i="22"/>
  <c r="EK10" i="22" s="1"/>
  <c r="FL12" i="22"/>
  <c r="FS12" i="22" s="1"/>
  <c r="GT9" i="22"/>
  <c r="IB8" i="22"/>
  <c r="II8" i="22" s="1"/>
  <c r="IB15" i="22"/>
  <c r="II15" i="22" s="1"/>
  <c r="KR6" i="22"/>
  <c r="KY6" i="22" s="1"/>
  <c r="KR11" i="22"/>
  <c r="KY11" i="22" s="1"/>
  <c r="NH4" i="22"/>
  <c r="NO4" i="22" s="1"/>
  <c r="NH10" i="22"/>
  <c r="NO10" i="22" s="1"/>
  <c r="OP12" i="22"/>
  <c r="OW12" i="22" s="1"/>
  <c r="PX9" i="22"/>
  <c r="QE9" i="22" s="1"/>
  <c r="RF8" i="22"/>
  <c r="RM8" i="22" s="1"/>
  <c r="RF15" i="22"/>
  <c r="RM15" i="22" s="1"/>
  <c r="ED25" i="21"/>
  <c r="FF10" i="21"/>
  <c r="FI17" i="21"/>
  <c r="FI24" i="21"/>
  <c r="HM7" i="21"/>
  <c r="HJ29" i="21"/>
  <c r="IO13" i="21"/>
  <c r="IO21" i="21"/>
  <c r="KP5" i="21"/>
  <c r="LU18" i="21"/>
  <c r="LR25" i="21"/>
  <c r="MT10" i="21"/>
  <c r="MW24" i="21"/>
  <c r="NY9" i="21"/>
  <c r="NV16" i="21"/>
  <c r="NV23" i="21"/>
  <c r="HM30" i="21"/>
  <c r="IO22" i="21"/>
  <c r="JQ13" i="21"/>
  <c r="JQ21" i="21"/>
  <c r="LU14" i="21"/>
  <c r="JN25" i="21"/>
  <c r="KS15" i="21"/>
  <c r="JQ11" i="21"/>
  <c r="JQ18" i="21"/>
  <c r="NY12" i="21"/>
  <c r="AW32" i="21"/>
  <c r="FI9" i="21"/>
  <c r="FI30" i="21"/>
  <c r="GK5" i="21"/>
  <c r="GK7" i="21"/>
  <c r="GK15" i="21"/>
  <c r="GK22" i="21"/>
  <c r="HM18" i="21"/>
  <c r="HM21" i="21"/>
  <c r="HM25" i="21"/>
  <c r="IO6" i="21"/>
  <c r="LU19" i="21"/>
  <c r="MW4" i="21"/>
  <c r="NY17" i="21"/>
  <c r="NY24" i="21"/>
  <c r="EG22" i="21"/>
  <c r="JQ19" i="21"/>
  <c r="FI28" i="21"/>
  <c r="GK6" i="21"/>
  <c r="HM14" i="21"/>
  <c r="HM19" i="21"/>
  <c r="HM27" i="21"/>
  <c r="IO32" i="21"/>
  <c r="LU17" i="21"/>
  <c r="ED6" i="21"/>
  <c r="HJ20" i="19"/>
  <c r="HJ27" i="19"/>
  <c r="HJ34" i="19"/>
  <c r="IO29" i="19"/>
  <c r="KP8" i="19"/>
  <c r="LR8" i="19"/>
  <c r="LR21" i="19"/>
  <c r="IL20" i="19"/>
  <c r="HM34" i="19"/>
  <c r="OX8" i="19"/>
  <c r="IO7" i="19"/>
  <c r="LR13" i="19"/>
  <c r="AT28" i="19"/>
  <c r="FI25" i="19"/>
  <c r="HM32" i="19"/>
  <c r="IO13" i="19"/>
  <c r="KS20" i="19"/>
  <c r="KS27" i="19"/>
  <c r="NV34" i="19"/>
  <c r="FI32" i="19"/>
  <c r="KS34" i="19"/>
  <c r="KS11" i="19"/>
  <c r="KS17" i="19"/>
  <c r="KS25" i="19"/>
  <c r="LU7" i="19"/>
  <c r="NY13" i="19"/>
  <c r="NY20" i="19"/>
  <c r="GH24" i="19"/>
  <c r="GH31" i="19"/>
  <c r="HJ19" i="19"/>
  <c r="IO12" i="19"/>
  <c r="NY27" i="19"/>
  <c r="NY30" i="19"/>
  <c r="NY36" i="19"/>
  <c r="PA22" i="19"/>
  <c r="PA15" i="19"/>
  <c r="PA23" i="19"/>
  <c r="PA30" i="19"/>
  <c r="PA36" i="19"/>
  <c r="HM16" i="19"/>
  <c r="HM24" i="19"/>
  <c r="HM31" i="19"/>
  <c r="IO5" i="19"/>
  <c r="IO19" i="19"/>
  <c r="IO26" i="19"/>
  <c r="IO33" i="19"/>
  <c r="JQ33" i="19"/>
  <c r="KS6" i="19"/>
  <c r="KS12" i="19"/>
  <c r="KS19" i="19"/>
  <c r="KS26" i="19"/>
  <c r="KS33" i="19"/>
  <c r="LU9" i="19"/>
  <c r="LU28" i="19"/>
  <c r="NY4" i="19"/>
  <c r="NY9" i="19"/>
  <c r="NY11" i="19"/>
  <c r="NY18" i="19"/>
  <c r="NY17" i="19"/>
  <c r="ED7" i="19"/>
  <c r="ED13" i="19"/>
  <c r="ED20" i="19"/>
  <c r="ED27" i="19"/>
  <c r="ED34" i="19"/>
  <c r="FF7" i="19"/>
  <c r="FF13" i="19"/>
  <c r="FF20" i="19"/>
  <c r="FF27" i="19"/>
  <c r="FF34" i="19"/>
  <c r="GH7" i="19"/>
  <c r="IO10" i="19"/>
  <c r="NY28" i="19"/>
  <c r="PA9" i="19"/>
  <c r="PA18" i="19"/>
  <c r="GK4" i="19"/>
  <c r="IO16" i="19"/>
  <c r="JQ16" i="19"/>
  <c r="KS5" i="19"/>
  <c r="KS10" i="19"/>
  <c r="KS16" i="19"/>
  <c r="LU12" i="19"/>
  <c r="LU19" i="19"/>
  <c r="LU26" i="19"/>
  <c r="MW33" i="19"/>
  <c r="NY6" i="19"/>
  <c r="NY12" i="19"/>
  <c r="NY19" i="19"/>
  <c r="NY26" i="19"/>
  <c r="PZ32" i="19"/>
  <c r="MW26" i="19"/>
  <c r="ED4" i="19"/>
  <c r="ED11" i="19"/>
  <c r="ED17" i="19"/>
  <c r="ED25" i="19"/>
  <c r="ED32" i="19"/>
  <c r="FF17" i="19"/>
  <c r="FF25" i="19"/>
  <c r="GH34" i="19"/>
  <c r="HJ7" i="19"/>
  <c r="LR5" i="19"/>
  <c r="NY33" i="19"/>
  <c r="PA6" i="19"/>
  <c r="PA12" i="19"/>
  <c r="IO35" i="19"/>
  <c r="OX14" i="19"/>
  <c r="LR35" i="19"/>
  <c r="OX21" i="19"/>
  <c r="MW8" i="19"/>
  <c r="NY25" i="19"/>
  <c r="EG29" i="19"/>
  <c r="GK17" i="19"/>
  <c r="GK27" i="19"/>
  <c r="HM14" i="19"/>
  <c r="HJ26" i="19"/>
  <c r="IO11" i="19"/>
  <c r="IO20" i="19"/>
  <c r="JN21" i="19"/>
  <c r="LU4" i="19"/>
  <c r="LU13" i="19"/>
  <c r="MW14" i="19"/>
  <c r="NY34" i="19"/>
  <c r="PA35" i="19"/>
  <c r="ED35" i="19"/>
  <c r="FI8" i="19"/>
  <c r="GK25" i="19"/>
  <c r="GK34" i="19"/>
  <c r="IO17" i="19"/>
  <c r="IO27" i="19"/>
  <c r="JN29" i="19"/>
  <c r="LU11" i="19"/>
  <c r="LU20" i="19"/>
  <c r="MW21" i="19"/>
  <c r="NY32" i="19"/>
  <c r="PA7" i="19"/>
  <c r="KS32" i="19"/>
  <c r="PZ34" i="19"/>
  <c r="EG7" i="19"/>
  <c r="EG22" i="19"/>
  <c r="FF14" i="19"/>
  <c r="GK5" i="19"/>
  <c r="GK19" i="19"/>
  <c r="GK28" i="19"/>
  <c r="GK32" i="19"/>
  <c r="HM21" i="19"/>
  <c r="HJ33" i="19"/>
  <c r="IO25" i="19"/>
  <c r="IO34" i="19"/>
  <c r="IO36" i="19"/>
  <c r="JN17" i="19"/>
  <c r="JN35" i="19"/>
  <c r="KS24" i="19"/>
  <c r="LU6" i="19"/>
  <c r="LU18" i="19"/>
  <c r="LU17" i="19"/>
  <c r="LU27" i="19"/>
  <c r="LU30" i="19"/>
  <c r="MW29" i="19"/>
  <c r="PA4" i="19"/>
  <c r="PA13" i="19"/>
  <c r="LR29" i="19"/>
  <c r="EG14" i="19"/>
  <c r="GK11" i="19"/>
  <c r="OX29" i="19"/>
  <c r="EG4" i="19"/>
  <c r="EG13" i="19"/>
  <c r="HM4" i="19"/>
  <c r="HM7" i="19"/>
  <c r="IO32" i="19"/>
  <c r="JQ7" i="19"/>
  <c r="LU25" i="19"/>
  <c r="LU34" i="19"/>
  <c r="MW35" i="19"/>
  <c r="NV28" i="19"/>
  <c r="PA11" i="19"/>
  <c r="PA20" i="19"/>
  <c r="JN8" i="19"/>
  <c r="DC34" i="19"/>
  <c r="AW34" i="19"/>
  <c r="EG11" i="19"/>
  <c r="EG20" i="19"/>
  <c r="EG23" i="19"/>
  <c r="FF4" i="19"/>
  <c r="FF11" i="19"/>
  <c r="FF29" i="19"/>
  <c r="HM29" i="19"/>
  <c r="JQ4" i="19"/>
  <c r="JQ13" i="19"/>
  <c r="KP14" i="19"/>
  <c r="LU32" i="19"/>
  <c r="MW7" i="19"/>
  <c r="NY8" i="19"/>
  <c r="PA17" i="19"/>
  <c r="PA27" i="19"/>
  <c r="EG17" i="19"/>
  <c r="EG27" i="19"/>
  <c r="HM6" i="19"/>
  <c r="HM11" i="19"/>
  <c r="HM13" i="19"/>
  <c r="JQ11" i="19"/>
  <c r="JQ20" i="19"/>
  <c r="KP21" i="19"/>
  <c r="MW4" i="19"/>
  <c r="MW13" i="19"/>
  <c r="NY14" i="19"/>
  <c r="PA25" i="19"/>
  <c r="PA34" i="19"/>
  <c r="ED21" i="19"/>
  <c r="EG12" i="19"/>
  <c r="EG25" i="19"/>
  <c r="EG34" i="19"/>
  <c r="EG36" i="19"/>
  <c r="FI22" i="19"/>
  <c r="GH8" i="19"/>
  <c r="HM35" i="19"/>
  <c r="IO24" i="19"/>
  <c r="JQ6" i="19"/>
  <c r="JQ18" i="19"/>
  <c r="JQ17" i="19"/>
  <c r="JQ27" i="19"/>
  <c r="JQ30" i="19"/>
  <c r="KP29" i="19"/>
  <c r="LU16" i="19"/>
  <c r="LU33" i="19"/>
  <c r="MW9" i="19"/>
  <c r="MW11" i="19"/>
  <c r="MW20" i="19"/>
  <c r="MW23" i="19"/>
  <c r="NY21" i="19"/>
  <c r="PA5" i="19"/>
  <c r="PA19" i="19"/>
  <c r="PA28" i="19"/>
  <c r="PA32" i="19"/>
  <c r="EG8" i="19"/>
  <c r="EG5" i="19"/>
  <c r="EG19" i="19"/>
  <c r="EG28" i="19"/>
  <c r="EG32" i="19"/>
  <c r="FI13" i="19"/>
  <c r="FI15" i="19"/>
  <c r="FF32" i="19"/>
  <c r="GH14" i="19"/>
  <c r="HM5" i="19"/>
  <c r="HM12" i="19"/>
  <c r="HM18" i="19"/>
  <c r="HM17" i="19"/>
  <c r="HM20" i="19"/>
  <c r="HM23" i="19"/>
  <c r="HJ32" i="19"/>
  <c r="IO8" i="19"/>
  <c r="IO31" i="19"/>
  <c r="JQ12" i="19"/>
  <c r="JQ25" i="19"/>
  <c r="JQ34" i="19"/>
  <c r="JQ36" i="19"/>
  <c r="KP17" i="19"/>
  <c r="KP35" i="19"/>
  <c r="LU24" i="19"/>
  <c r="MW6" i="19"/>
  <c r="MW18" i="19"/>
  <c r="MW17" i="19"/>
  <c r="MW27" i="19"/>
  <c r="MW30" i="19"/>
  <c r="NV11" i="19"/>
  <c r="PA10" i="19"/>
  <c r="PA26" i="19"/>
  <c r="IO4" i="19"/>
  <c r="JN14" i="19"/>
  <c r="FI9" i="19"/>
  <c r="FI11" i="19"/>
  <c r="FI20" i="19"/>
  <c r="FI23" i="19"/>
  <c r="HJ6" i="19"/>
  <c r="IO14" i="19"/>
  <c r="JQ5" i="19"/>
  <c r="JQ19" i="19"/>
  <c r="JQ28" i="19"/>
  <c r="JQ32" i="19"/>
  <c r="KS7" i="19"/>
  <c r="KS22" i="19"/>
  <c r="MW12" i="19"/>
  <c r="MW25" i="19"/>
  <c r="MW34" i="19"/>
  <c r="MW36" i="19"/>
  <c r="NY29" i="19"/>
  <c r="PA16" i="19"/>
  <c r="PA33" i="19"/>
  <c r="HM8" i="19"/>
  <c r="EG10" i="19"/>
  <c r="EG26" i="19"/>
  <c r="EG16" i="19"/>
  <c r="EG33" i="19"/>
  <c r="FI18" i="19"/>
  <c r="FI17" i="19"/>
  <c r="FI27" i="19"/>
  <c r="FI30" i="19"/>
  <c r="GH11" i="19"/>
  <c r="GH29" i="19"/>
  <c r="HM10" i="19"/>
  <c r="HM19" i="19"/>
  <c r="HM25" i="19"/>
  <c r="HM27" i="19"/>
  <c r="HM30" i="19"/>
  <c r="IL4" i="19"/>
  <c r="IO21" i="19"/>
  <c r="JQ10" i="19"/>
  <c r="JQ26" i="19"/>
  <c r="KS4" i="19"/>
  <c r="KS13" i="19"/>
  <c r="KS15" i="19"/>
  <c r="KP32" i="19"/>
  <c r="LR14" i="19"/>
  <c r="MW5" i="19"/>
  <c r="MW19" i="19"/>
  <c r="MW28" i="19"/>
  <c r="MW32" i="19"/>
  <c r="NY7" i="19"/>
  <c r="NY22" i="19"/>
  <c r="NV25" i="19"/>
  <c r="NY35" i="19"/>
  <c r="OX24" i="19"/>
  <c r="GH9" i="27"/>
  <c r="MW7" i="27"/>
  <c r="MT9" i="27"/>
  <c r="OX7" i="27"/>
  <c r="KS7" i="27"/>
  <c r="KS14" i="27"/>
  <c r="MW14" i="27"/>
  <c r="FI7" i="27"/>
  <c r="NV9" i="27"/>
  <c r="KS6" i="27"/>
  <c r="KS13" i="27"/>
  <c r="FF12" i="27"/>
  <c r="MW15" i="27"/>
  <c r="EG4" i="27"/>
  <c r="EG11" i="27"/>
  <c r="EG18" i="27"/>
  <c r="GK4" i="27"/>
  <c r="IO8" i="27"/>
  <c r="IO13" i="27"/>
  <c r="IO16" i="27"/>
  <c r="KS10" i="27"/>
  <c r="MW5" i="27"/>
  <c r="FI14" i="27"/>
  <c r="HJ17" i="27"/>
  <c r="HJ14" i="27"/>
  <c r="IO10" i="27"/>
  <c r="IO15" i="27"/>
  <c r="JN6" i="27"/>
  <c r="KP5" i="27"/>
  <c r="KP12" i="27"/>
  <c r="LU4" i="27"/>
  <c r="LU11" i="27"/>
  <c r="LU18" i="27"/>
  <c r="NY4" i="27"/>
  <c r="LR9" i="27"/>
  <c r="ED17" i="27"/>
  <c r="FI8" i="27"/>
  <c r="FI13" i="27"/>
  <c r="HM7" i="27"/>
  <c r="HM11" i="27"/>
  <c r="IO12" i="27"/>
  <c r="JN13" i="27"/>
  <c r="KS15" i="27"/>
  <c r="LR17" i="27"/>
  <c r="MW8" i="27"/>
  <c r="MW13" i="27"/>
  <c r="PA7" i="27"/>
  <c r="PA11" i="27"/>
  <c r="HM6" i="27"/>
  <c r="HM14" i="27"/>
  <c r="PA6" i="27"/>
  <c r="PA14" i="27"/>
  <c r="GK17" i="27"/>
  <c r="HM13" i="27"/>
  <c r="JQ7" i="27"/>
  <c r="NY17" i="27"/>
  <c r="PA13" i="27"/>
  <c r="IO9" i="27"/>
  <c r="JQ6" i="27"/>
  <c r="JQ14" i="27"/>
  <c r="PA10" i="27"/>
  <c r="PA16" i="27"/>
  <c r="JQ9" i="27"/>
  <c r="JQ17" i="27"/>
  <c r="ED9" i="27"/>
  <c r="IO17" i="27"/>
  <c r="JQ13" i="27"/>
  <c r="LU7" i="27"/>
  <c r="MW6" i="27"/>
  <c r="EG6" i="27"/>
  <c r="EG14" i="27"/>
  <c r="KP9" i="27"/>
  <c r="LU6" i="27"/>
  <c r="LU14" i="27"/>
  <c r="EG8" i="27"/>
  <c r="EG13" i="27"/>
  <c r="GK7" i="27"/>
  <c r="GK11" i="27"/>
  <c r="HJ12" i="27"/>
  <c r="IL13" i="27"/>
  <c r="JQ15" i="27"/>
  <c r="KP17" i="27"/>
  <c r="LU8" i="27"/>
  <c r="LU13" i="27"/>
  <c r="NY7" i="27"/>
  <c r="NY11" i="27"/>
  <c r="OX12" i="27"/>
  <c r="FI6" i="27"/>
  <c r="EG10" i="27"/>
  <c r="EG16" i="27"/>
  <c r="FI9" i="27"/>
  <c r="GK6" i="27"/>
  <c r="GK14" i="27"/>
  <c r="GK18" i="27"/>
  <c r="IO4" i="27"/>
  <c r="JQ5" i="27"/>
  <c r="LU10" i="27"/>
  <c r="LU16" i="27"/>
  <c r="NY6" i="27"/>
  <c r="NY14" i="27"/>
  <c r="NY18" i="27"/>
  <c r="EG7" i="27"/>
  <c r="EG15" i="27"/>
  <c r="FI17" i="27"/>
  <c r="GK8" i="27"/>
  <c r="GK13" i="27"/>
  <c r="IO7" i="27"/>
  <c r="IO11" i="27"/>
  <c r="JQ12" i="27"/>
  <c r="LU15" i="27"/>
  <c r="MT17" i="27"/>
  <c r="NY13" i="27"/>
  <c r="ED5" i="27"/>
  <c r="FF6" i="27"/>
  <c r="GK10" i="27"/>
  <c r="GK16" i="27"/>
  <c r="HJ9" i="27"/>
  <c r="IO6" i="27"/>
  <c r="IO14" i="27"/>
  <c r="IO18" i="27"/>
  <c r="KS4" i="27"/>
  <c r="LR5" i="27"/>
  <c r="MT6" i="27"/>
  <c r="NY10" i="27"/>
  <c r="NY16" i="27"/>
  <c r="PA9" i="27"/>
  <c r="GH8" i="26"/>
  <c r="KS19" i="26"/>
  <c r="MW8" i="26"/>
  <c r="MW17" i="26"/>
  <c r="KP8" i="26"/>
  <c r="JQ15" i="26"/>
  <c r="PA9" i="26"/>
  <c r="ED5" i="26"/>
  <c r="MW16" i="26"/>
  <c r="FI7" i="26"/>
  <c r="FI14" i="26"/>
  <c r="GK4" i="26"/>
  <c r="GK10" i="26"/>
  <c r="GK18" i="26"/>
  <c r="JQ12" i="26"/>
  <c r="JQ16" i="26"/>
  <c r="KS6" i="26"/>
  <c r="KS13" i="26"/>
  <c r="KS20" i="26"/>
  <c r="NY6" i="26"/>
  <c r="NY13" i="26"/>
  <c r="NY20" i="26"/>
  <c r="PA15" i="26"/>
  <c r="IL5" i="26"/>
  <c r="GH11" i="26"/>
  <c r="ED9" i="26"/>
  <c r="ED15" i="26"/>
  <c r="GK12" i="26"/>
  <c r="GK16" i="26"/>
  <c r="HM17" i="26"/>
  <c r="HM20" i="26"/>
  <c r="IL8" i="26"/>
  <c r="IL17" i="26"/>
  <c r="JQ7" i="26"/>
  <c r="JQ14" i="26"/>
  <c r="KS4" i="26"/>
  <c r="KS10" i="26"/>
  <c r="KS18" i="26"/>
  <c r="LR9" i="26"/>
  <c r="LR15" i="26"/>
  <c r="NY4" i="26"/>
  <c r="OX9" i="26"/>
  <c r="OX15" i="26"/>
  <c r="GK8" i="26"/>
  <c r="HM5" i="26"/>
  <c r="HJ14" i="26"/>
  <c r="KS9" i="26"/>
  <c r="KS17" i="26"/>
  <c r="LR11" i="26"/>
  <c r="OX7" i="26"/>
  <c r="MW15" i="26"/>
  <c r="EG8" i="26"/>
  <c r="FI5" i="26"/>
  <c r="GK9" i="26"/>
  <c r="GK17" i="26"/>
  <c r="JQ5" i="26"/>
  <c r="KS15" i="26"/>
  <c r="LR19" i="26"/>
  <c r="FF11" i="26"/>
  <c r="GK15" i="26"/>
  <c r="IO9" i="26"/>
  <c r="IO17" i="26"/>
  <c r="JN11" i="26"/>
  <c r="IO8" i="26"/>
  <c r="EG9" i="26"/>
  <c r="EG17" i="26"/>
  <c r="IO15" i="26"/>
  <c r="JQ19" i="26"/>
  <c r="NY8" i="26"/>
  <c r="OX5" i="26"/>
  <c r="NY9" i="26"/>
  <c r="NY17" i="26"/>
  <c r="PA11" i="26"/>
  <c r="NV5" i="26"/>
  <c r="EG16" i="26"/>
  <c r="GK7" i="26"/>
  <c r="HM6" i="26"/>
  <c r="HM19" i="26"/>
  <c r="IO16" i="26"/>
  <c r="LU8" i="26"/>
  <c r="LU13" i="26"/>
  <c r="MT5" i="26"/>
  <c r="NY10" i="26"/>
  <c r="NY15" i="26"/>
  <c r="OX19" i="26"/>
  <c r="HJ10" i="26"/>
  <c r="MW9" i="26"/>
  <c r="FI19" i="26"/>
  <c r="HM11" i="26"/>
  <c r="FI6" i="26"/>
  <c r="GK14" i="26"/>
  <c r="JQ6" i="26"/>
  <c r="LU4" i="26"/>
  <c r="LU9" i="26"/>
  <c r="LU17" i="26"/>
  <c r="LU20" i="26"/>
  <c r="MT11" i="26"/>
  <c r="NY12" i="26"/>
  <c r="NY18" i="26"/>
  <c r="ED11" i="26"/>
  <c r="IL11" i="26"/>
  <c r="ED19" i="26"/>
  <c r="IL19" i="26"/>
  <c r="NV11" i="26"/>
  <c r="FI8" i="26"/>
  <c r="FI13" i="26"/>
  <c r="HM4" i="26"/>
  <c r="HM8" i="26"/>
  <c r="JQ8" i="26"/>
  <c r="JQ13" i="26"/>
  <c r="KS5" i="26"/>
  <c r="LU10" i="26"/>
  <c r="LU15" i="26"/>
  <c r="MW19" i="26"/>
  <c r="NY16" i="26"/>
  <c r="GH19" i="26"/>
  <c r="KS8" i="26"/>
  <c r="LU5" i="26"/>
  <c r="NV19" i="26"/>
  <c r="GH4" i="26"/>
  <c r="FI4" i="26"/>
  <c r="FI9" i="26"/>
  <c r="FI17" i="26"/>
  <c r="FI20" i="26"/>
  <c r="GH5" i="26"/>
  <c r="HM9" i="26"/>
  <c r="HM13" i="26"/>
  <c r="JQ4" i="26"/>
  <c r="JQ9" i="26"/>
  <c r="JQ17" i="26"/>
  <c r="JQ20" i="26"/>
  <c r="KS11" i="26"/>
  <c r="LU12" i="26"/>
  <c r="LU18" i="26"/>
  <c r="MT9" i="26"/>
  <c r="NY7" i="26"/>
  <c r="PA6" i="26"/>
  <c r="HA9" i="22"/>
  <c r="EK6" i="22"/>
  <c r="ED8" i="22"/>
  <c r="EK8" i="22" s="1"/>
  <c r="ED15" i="22"/>
  <c r="EK15" i="22" s="1"/>
  <c r="FL6" i="22"/>
  <c r="FS6" i="22" s="1"/>
  <c r="FL11" i="22"/>
  <c r="FS11" i="22" s="1"/>
  <c r="GT4" i="22"/>
  <c r="HA4" i="22" s="1"/>
  <c r="GT10" i="22"/>
  <c r="HA10" i="22" s="1"/>
  <c r="IB9" i="22"/>
  <c r="II9" i="22" s="1"/>
  <c r="JJ7" i="22"/>
  <c r="JQ7" i="22" s="1"/>
  <c r="JJ14" i="22"/>
  <c r="JQ14" i="22" s="1"/>
  <c r="KR5" i="22"/>
  <c r="KY5" i="22" s="1"/>
  <c r="KR13" i="22"/>
  <c r="KY13" i="22" s="1"/>
  <c r="LZ12" i="22"/>
  <c r="MG12" i="22" s="1"/>
  <c r="NH8" i="22"/>
  <c r="NO8" i="22" s="1"/>
  <c r="NH15" i="22"/>
  <c r="NO15" i="22" s="1"/>
  <c r="OP6" i="22"/>
  <c r="OW6" i="22" s="1"/>
  <c r="OP11" i="22"/>
  <c r="OW11" i="22" s="1"/>
  <c r="PX4" i="22"/>
  <c r="QE4" i="22" s="1"/>
  <c r="PX10" i="22"/>
  <c r="QE10" i="22" s="1"/>
  <c r="RF9" i="22"/>
  <c r="RM9" i="22" s="1"/>
  <c r="ED14" i="22"/>
  <c r="EK14" i="22" s="1"/>
  <c r="ED12" i="22"/>
  <c r="EK12" i="22" s="1"/>
  <c r="FL8" i="22"/>
  <c r="FS8" i="22" s="1"/>
  <c r="FL15" i="22"/>
  <c r="FS15" i="22" s="1"/>
  <c r="GT11" i="22"/>
  <c r="HA11" i="22" s="1"/>
  <c r="IB4" i="22"/>
  <c r="II4" i="22" s="1"/>
  <c r="IB10" i="22"/>
  <c r="II10" i="22" s="1"/>
  <c r="JJ9" i="22"/>
  <c r="JQ9" i="22" s="1"/>
  <c r="KR7" i="22"/>
  <c r="KY7" i="22" s="1"/>
  <c r="KR14" i="22"/>
  <c r="KY14" i="22" s="1"/>
  <c r="LZ5" i="22"/>
  <c r="MG5" i="22" s="1"/>
  <c r="LZ13" i="22"/>
  <c r="MG13" i="22" s="1"/>
  <c r="NH12" i="22"/>
  <c r="NO12" i="22" s="1"/>
  <c r="OP8" i="22"/>
  <c r="OW8" i="22" s="1"/>
  <c r="OP15" i="22"/>
  <c r="OW15" i="22" s="1"/>
  <c r="PX6" i="22"/>
  <c r="QE6" i="22" s="1"/>
  <c r="PX11" i="22"/>
  <c r="QE11" i="22" s="1"/>
  <c r="RF4" i="22"/>
  <c r="RM4" i="22" s="1"/>
  <c r="RF10" i="22"/>
  <c r="RM10" i="22" s="1"/>
  <c r="JJ21" i="4"/>
  <c r="JQ21" i="4" s="1"/>
  <c r="PX19" i="4"/>
  <c r="QE19" i="4" s="1"/>
  <c r="PX27" i="4"/>
  <c r="QE27" i="4" s="1"/>
  <c r="RF10" i="4"/>
  <c r="RM10" i="4" s="1"/>
  <c r="RF15" i="4"/>
  <c r="RM15" i="4" s="1"/>
  <c r="RF24" i="4"/>
  <c r="RM24" i="4" s="1"/>
  <c r="QE26" i="4"/>
  <c r="JQ26" i="4"/>
  <c r="FS22" i="4"/>
  <c r="KY15" i="4"/>
  <c r="MG21" i="4"/>
  <c r="KY9" i="4"/>
  <c r="QE11" i="4"/>
  <c r="QE17" i="4"/>
  <c r="II7" i="4"/>
  <c r="OW12" i="4"/>
  <c r="OW19" i="4"/>
  <c r="QE10" i="4"/>
  <c r="HA6" i="4"/>
  <c r="OW8" i="4"/>
  <c r="OW22" i="4"/>
  <c r="EK24" i="4"/>
  <c r="QE18" i="4"/>
  <c r="QE4" i="4"/>
  <c r="ED22" i="4"/>
  <c r="EK22" i="4" s="1"/>
  <c r="FL18" i="4"/>
  <c r="FS18" i="4" s="1"/>
  <c r="GT23" i="4"/>
  <c r="HA23" i="4" s="1"/>
  <c r="IB5" i="4"/>
  <c r="II5" i="4" s="1"/>
  <c r="IB12" i="4"/>
  <c r="II12" i="4" s="1"/>
  <c r="IB19" i="4"/>
  <c r="II19" i="4" s="1"/>
  <c r="IB27" i="4"/>
  <c r="II27" i="4" s="1"/>
  <c r="JJ10" i="4"/>
  <c r="JQ10" i="4" s="1"/>
  <c r="JJ15" i="4"/>
  <c r="JQ15" i="4" s="1"/>
  <c r="JJ24" i="4"/>
  <c r="JQ24" i="4" s="1"/>
  <c r="KR7" i="4"/>
  <c r="KY7" i="4" s="1"/>
  <c r="KR13" i="4"/>
  <c r="KY13" i="4" s="1"/>
  <c r="KR21" i="4"/>
  <c r="KY21" i="4" s="1"/>
  <c r="LZ4" i="4"/>
  <c r="MG4" i="4" s="1"/>
  <c r="LZ11" i="4"/>
  <c r="MG11" i="4" s="1"/>
  <c r="LZ17" i="4"/>
  <c r="MG17" i="4" s="1"/>
  <c r="LZ25" i="4"/>
  <c r="MG25" i="4" s="1"/>
  <c r="NH8" i="4"/>
  <c r="NO8" i="4" s="1"/>
  <c r="NH14" i="4"/>
  <c r="NO14" i="4" s="1"/>
  <c r="NH22" i="4"/>
  <c r="NO22" i="4" s="1"/>
  <c r="OP6" i="4"/>
  <c r="OW6" i="4" s="1"/>
  <c r="OP20" i="4"/>
  <c r="OW20" i="4" s="1"/>
  <c r="OP18" i="4"/>
  <c r="OW18" i="4" s="1"/>
  <c r="OP26" i="4"/>
  <c r="OW26" i="4" s="1"/>
  <c r="PX9" i="4"/>
  <c r="QE9" i="4" s="1"/>
  <c r="PX16" i="4"/>
  <c r="QE16" i="4" s="1"/>
  <c r="PX23" i="4"/>
  <c r="QE23" i="4" s="1"/>
  <c r="RF5" i="4"/>
  <c r="RM5" i="4" s="1"/>
  <c r="RF12" i="4"/>
  <c r="RM12" i="4" s="1"/>
  <c r="RF19" i="4"/>
  <c r="RM19" i="4" s="1"/>
  <c r="RF27" i="4"/>
  <c r="RM27" i="4" s="1"/>
  <c r="FS14" i="4"/>
  <c r="II23" i="4"/>
  <c r="KY24" i="4"/>
  <c r="MG7" i="4"/>
  <c r="RM9" i="4"/>
  <c r="FS7" i="4"/>
  <c r="FS13" i="4"/>
  <c r="HA4" i="4"/>
  <c r="HA11" i="4"/>
  <c r="KY16" i="4"/>
  <c r="ED8" i="4"/>
  <c r="EK8" i="4" s="1"/>
  <c r="ED14" i="4"/>
  <c r="EK14" i="4" s="1"/>
  <c r="FL6" i="4"/>
  <c r="FS6" i="4" s="1"/>
  <c r="FL26" i="4"/>
  <c r="FS26" i="4" s="1"/>
  <c r="HM16" i="21"/>
  <c r="HM23" i="21"/>
  <c r="KS31" i="21"/>
  <c r="MW5" i="21"/>
  <c r="ED11" i="21"/>
  <c r="ED18" i="21"/>
  <c r="FF5" i="21"/>
  <c r="FI19" i="21"/>
  <c r="FI23" i="21"/>
  <c r="FI27" i="21"/>
  <c r="GK12" i="21"/>
  <c r="HJ5" i="21"/>
  <c r="IO4" i="21"/>
  <c r="IL11" i="21"/>
  <c r="IL18" i="21"/>
  <c r="JN5" i="21"/>
  <c r="JQ14" i="21"/>
  <c r="JQ25" i="21"/>
  <c r="JQ28" i="21"/>
  <c r="KS6" i="21"/>
  <c r="KS22" i="21"/>
  <c r="KP29" i="21"/>
  <c r="LR8" i="21"/>
  <c r="MT22" i="21"/>
  <c r="MT29" i="21"/>
  <c r="NY25" i="21"/>
  <c r="IO29" i="21"/>
  <c r="GK9" i="21"/>
  <c r="GH16" i="21"/>
  <c r="GH23" i="21"/>
  <c r="GK30" i="21"/>
  <c r="MT26" i="21"/>
  <c r="NY23" i="21"/>
  <c r="IO11" i="21"/>
  <c r="IO18" i="21"/>
  <c r="PA20" i="21"/>
  <c r="ED30" i="21"/>
  <c r="GK25" i="21"/>
  <c r="IL8" i="21"/>
  <c r="IO25" i="21"/>
  <c r="KP25" i="21"/>
  <c r="KP10" i="21"/>
  <c r="EG14" i="21"/>
  <c r="EG28" i="21"/>
  <c r="FI6" i="21"/>
  <c r="IO14" i="21"/>
  <c r="IO16" i="21"/>
  <c r="IO19" i="21"/>
  <c r="JQ6" i="21"/>
  <c r="KS30" i="21"/>
  <c r="LU7" i="21"/>
  <c r="LU31" i="21"/>
  <c r="MW30" i="21"/>
  <c r="OX18" i="21"/>
  <c r="MW10" i="21"/>
  <c r="FF20" i="21"/>
  <c r="GK14" i="21"/>
  <c r="GK16" i="21"/>
  <c r="GK19" i="21"/>
  <c r="GK23" i="21"/>
  <c r="GK27" i="21"/>
  <c r="HM4" i="21"/>
  <c r="IO27" i="21"/>
  <c r="JN29" i="21"/>
  <c r="KS11" i="21"/>
  <c r="KS13" i="21"/>
  <c r="LU22" i="21"/>
  <c r="MW13" i="21"/>
  <c r="NY5" i="21"/>
  <c r="NY7" i="21"/>
  <c r="NY15" i="21"/>
  <c r="FI5" i="21"/>
  <c r="FI4" i="21"/>
  <c r="FI29" i="21"/>
  <c r="FI32" i="21"/>
  <c r="HM29" i="21"/>
  <c r="HM32" i="21"/>
  <c r="IO17" i="21"/>
  <c r="JQ4" i="21"/>
  <c r="KS18" i="21"/>
  <c r="KS21" i="21"/>
  <c r="KS28" i="21"/>
  <c r="MW28" i="21"/>
  <c r="EG31" i="21"/>
  <c r="LR11" i="21"/>
  <c r="GK29" i="21"/>
  <c r="AT30" i="21"/>
  <c r="GH10" i="21"/>
  <c r="GK17" i="21"/>
  <c r="GK24" i="21"/>
  <c r="HJ16" i="21"/>
  <c r="HJ23" i="21"/>
  <c r="KS14" i="21"/>
  <c r="LR20" i="21"/>
  <c r="LR26" i="21"/>
  <c r="MT5" i="21"/>
  <c r="NY6" i="21"/>
  <c r="PA11" i="21"/>
  <c r="PA13" i="21"/>
  <c r="IO23" i="21"/>
  <c r="JQ16" i="21"/>
  <c r="LU8" i="21"/>
  <c r="FI10" i="21"/>
  <c r="HM5" i="21"/>
  <c r="JQ23" i="21"/>
  <c r="JQ29" i="21"/>
  <c r="KS16" i="21"/>
  <c r="KS25" i="21"/>
  <c r="LU11" i="21"/>
  <c r="LR18" i="21"/>
  <c r="LU26" i="21"/>
  <c r="MT12" i="21"/>
  <c r="NY10" i="21"/>
  <c r="NV17" i="21"/>
  <c r="PA18" i="21"/>
  <c r="OX31" i="21"/>
  <c r="EG8" i="21"/>
  <c r="EG11" i="21"/>
  <c r="ED26" i="21"/>
  <c r="GK10" i="21"/>
  <c r="HM15" i="21"/>
  <c r="HM28" i="21"/>
  <c r="IO5" i="21"/>
  <c r="IO7" i="21"/>
  <c r="IO24" i="21"/>
  <c r="IO30" i="21"/>
  <c r="JQ17" i="21"/>
  <c r="JQ27" i="21"/>
  <c r="KS19" i="21"/>
  <c r="KS23" i="21"/>
  <c r="KS29" i="21"/>
  <c r="KS32" i="21"/>
  <c r="LU13" i="21"/>
  <c r="MT20" i="21"/>
  <c r="NY22" i="21"/>
  <c r="NY28" i="21"/>
  <c r="NY30" i="21"/>
  <c r="OX10" i="21"/>
  <c r="PA16" i="21"/>
  <c r="PA21" i="21"/>
  <c r="EG13" i="21"/>
  <c r="ED23" i="21"/>
  <c r="FF6" i="21"/>
  <c r="FF12" i="21"/>
  <c r="GK4" i="21"/>
  <c r="HM6" i="21"/>
  <c r="HM10" i="21"/>
  <c r="HM22" i="21"/>
  <c r="IO15" i="21"/>
  <c r="IO28" i="21"/>
  <c r="JQ5" i="21"/>
  <c r="JQ7" i="21"/>
  <c r="JQ24" i="21"/>
  <c r="JQ30" i="21"/>
  <c r="KS17" i="21"/>
  <c r="KS27" i="21"/>
  <c r="NV24" i="21"/>
  <c r="PA5" i="21"/>
  <c r="PA25" i="21"/>
  <c r="LU16" i="21"/>
  <c r="MT16" i="21"/>
  <c r="MT31" i="21"/>
  <c r="NV4" i="21"/>
  <c r="OX14" i="21"/>
  <c r="PA23" i="21"/>
  <c r="FF26" i="21"/>
  <c r="GK20" i="21"/>
  <c r="HM12" i="21"/>
  <c r="JQ10" i="21"/>
  <c r="LU5" i="21"/>
  <c r="NY20" i="21"/>
  <c r="NV28" i="21"/>
  <c r="PA29" i="21"/>
  <c r="OX26" i="21"/>
  <c r="EG18" i="21"/>
  <c r="IO10" i="21"/>
  <c r="KS5" i="21"/>
  <c r="EG16" i="21"/>
  <c r="EG5" i="21"/>
  <c r="EG19" i="21"/>
  <c r="EG25" i="21"/>
  <c r="FF31" i="21"/>
  <c r="GK26" i="21"/>
  <c r="HM20" i="21"/>
  <c r="IL12" i="21"/>
  <c r="KS10" i="21"/>
  <c r="LU25" i="21"/>
  <c r="MT8" i="21"/>
  <c r="MW11" i="21"/>
  <c r="PA10" i="21"/>
  <c r="OX19" i="21"/>
  <c r="EG7" i="21"/>
  <c r="ED14" i="21"/>
  <c r="EG17" i="21"/>
  <c r="EG23" i="21"/>
  <c r="GK31" i="21"/>
  <c r="HM9" i="21"/>
  <c r="HM26" i="21"/>
  <c r="IL20" i="21"/>
  <c r="JN12" i="21"/>
  <c r="KS4" i="21"/>
  <c r="LU6" i="21"/>
  <c r="LU23" i="21"/>
  <c r="MW18" i="21"/>
  <c r="MW21" i="21"/>
  <c r="NY26" i="21"/>
  <c r="PA30" i="21"/>
  <c r="JN8" i="21"/>
  <c r="LU20" i="21"/>
  <c r="EG20" i="21"/>
  <c r="EG6" i="21"/>
  <c r="EG27" i="21"/>
  <c r="EG29" i="21"/>
  <c r="FF8" i="21"/>
  <c r="FI11" i="21"/>
  <c r="FI13" i="21"/>
  <c r="HM31" i="21"/>
  <c r="IO9" i="21"/>
  <c r="IL26" i="21"/>
  <c r="JN20" i="21"/>
  <c r="KS12" i="21"/>
  <c r="LU4" i="21"/>
  <c r="LU10" i="21"/>
  <c r="LU15" i="21"/>
  <c r="LU27" i="21"/>
  <c r="LU29" i="21"/>
  <c r="LU32" i="21"/>
  <c r="MW14" i="21"/>
  <c r="MW16" i="21"/>
  <c r="MW25" i="21"/>
  <c r="NY8" i="21"/>
  <c r="NY11" i="21"/>
  <c r="NY13" i="21"/>
  <c r="OX6" i="21"/>
  <c r="OX27" i="21"/>
  <c r="PA28" i="21"/>
  <c r="KP16" i="21"/>
  <c r="KS8" i="21"/>
  <c r="KP23" i="21"/>
  <c r="OX8" i="21"/>
  <c r="DC32" i="21"/>
  <c r="EG4" i="21"/>
  <c r="EG10" i="21"/>
  <c r="EG15" i="21"/>
  <c r="ED19" i="21"/>
  <c r="EG24" i="21"/>
  <c r="EG32" i="21"/>
  <c r="FI18" i="21"/>
  <c r="FI21" i="21"/>
  <c r="GK8" i="21"/>
  <c r="GK11" i="21"/>
  <c r="GK13" i="21"/>
  <c r="IL31" i="21"/>
  <c r="JQ9" i="21"/>
  <c r="JN26" i="21"/>
  <c r="KS20" i="21"/>
  <c r="LU24" i="21"/>
  <c r="MW19" i="21"/>
  <c r="MW23" i="21"/>
  <c r="MW29" i="21"/>
  <c r="MW32" i="21"/>
  <c r="NY31" i="21"/>
  <c r="OX12" i="21"/>
  <c r="ED12" i="21"/>
  <c r="CZ32" i="21"/>
  <c r="EG30" i="21"/>
  <c r="FI14" i="21"/>
  <c r="FI16" i="21"/>
  <c r="FI25" i="21"/>
  <c r="GK18" i="21"/>
  <c r="GK21" i="21"/>
  <c r="HM8" i="21"/>
  <c r="HM11" i="21"/>
  <c r="HM13" i="21"/>
  <c r="IL23" i="21"/>
  <c r="JN16" i="21"/>
  <c r="JN31" i="21"/>
  <c r="KS9" i="21"/>
  <c r="KS26" i="21"/>
  <c r="LU12" i="21"/>
  <c r="LU30" i="21"/>
  <c r="MW17" i="21"/>
  <c r="MW27" i="21"/>
  <c r="NY14" i="21"/>
  <c r="NY16" i="21"/>
  <c r="NY18" i="21"/>
  <c r="NY21" i="21"/>
  <c r="PA9" i="21"/>
  <c r="OX30" i="21"/>
  <c r="GH4" i="19"/>
  <c r="FI7" i="19"/>
  <c r="FI4" i="19"/>
  <c r="FF15" i="26"/>
  <c r="FI15" i="26"/>
  <c r="EG15" i="26"/>
  <c r="GT6" i="22"/>
  <c r="HA6" i="22" s="1"/>
  <c r="FL20" i="4"/>
  <c r="FS20" i="4" s="1"/>
  <c r="GT9" i="4"/>
  <c r="HA9" i="4" s="1"/>
  <c r="GT16" i="4"/>
  <c r="HA16" i="4" s="1"/>
  <c r="GT8" i="4"/>
  <c r="HA8" i="4" s="1"/>
  <c r="GT14" i="4"/>
  <c r="HA14" i="4" s="1"/>
  <c r="FL12" i="4"/>
  <c r="FS12" i="4" s="1"/>
  <c r="FL11" i="4"/>
  <c r="FS11" i="4" s="1"/>
  <c r="FL4" i="4"/>
  <c r="FS4" i="4" s="1"/>
  <c r="OX20" i="21"/>
  <c r="OX9" i="21"/>
  <c r="OX15" i="21"/>
  <c r="PA8" i="21"/>
  <c r="PA12" i="21"/>
  <c r="PA26" i="21"/>
  <c r="PA31" i="21"/>
  <c r="OX4" i="21"/>
  <c r="OX17" i="21"/>
  <c r="OX24" i="21"/>
  <c r="OX28" i="21"/>
  <c r="PA22" i="21"/>
  <c r="OX7" i="21"/>
  <c r="OX13" i="21"/>
  <c r="OX21" i="21"/>
  <c r="OX32" i="21"/>
  <c r="NV8" i="21"/>
  <c r="NV12" i="21"/>
  <c r="NV20" i="21"/>
  <c r="NV26" i="21"/>
  <c r="NV31" i="21"/>
  <c r="NV9" i="21"/>
  <c r="NV15" i="21"/>
  <c r="NV22" i="21"/>
  <c r="NV6" i="21"/>
  <c r="NV14" i="21"/>
  <c r="NV19" i="21"/>
  <c r="NV27" i="21"/>
  <c r="NV30" i="21"/>
  <c r="NV7" i="21"/>
  <c r="NV13" i="21"/>
  <c r="NV21" i="21"/>
  <c r="NV32" i="21"/>
  <c r="MW8" i="21"/>
  <c r="MW12" i="21"/>
  <c r="MW20" i="21"/>
  <c r="MW26" i="21"/>
  <c r="MW31" i="21"/>
  <c r="MT4" i="21"/>
  <c r="MT17" i="21"/>
  <c r="MT24" i="21"/>
  <c r="MT28" i="21"/>
  <c r="MW9" i="21"/>
  <c r="MW15" i="21"/>
  <c r="MW22" i="21"/>
  <c r="MT14" i="21"/>
  <c r="MT19" i="21"/>
  <c r="MT27" i="21"/>
  <c r="MT30" i="21"/>
  <c r="MT7" i="21"/>
  <c r="MT13" i="21"/>
  <c r="MT21" i="21"/>
  <c r="MT32" i="21"/>
  <c r="MW6" i="21"/>
  <c r="LR31" i="21"/>
  <c r="LR9" i="21"/>
  <c r="LR15" i="21"/>
  <c r="LR22" i="21"/>
  <c r="LR4" i="21"/>
  <c r="LR17" i="21"/>
  <c r="LR24" i="21"/>
  <c r="LR28" i="21"/>
  <c r="LR6" i="21"/>
  <c r="LR14" i="21"/>
  <c r="LR19" i="21"/>
  <c r="LR27" i="21"/>
  <c r="LR30" i="21"/>
  <c r="LR7" i="21"/>
  <c r="LR13" i="21"/>
  <c r="LR21" i="21"/>
  <c r="LR32" i="21"/>
  <c r="KP8" i="21"/>
  <c r="KP12" i="21"/>
  <c r="KP20" i="21"/>
  <c r="KP26" i="21"/>
  <c r="KP31" i="21"/>
  <c r="KP9" i="21"/>
  <c r="KP15" i="21"/>
  <c r="KP22" i="21"/>
  <c r="KP4" i="21"/>
  <c r="KP17" i="21"/>
  <c r="KP24" i="21"/>
  <c r="KP28" i="21"/>
  <c r="KP6" i="21"/>
  <c r="KP14" i="21"/>
  <c r="KP19" i="21"/>
  <c r="KP27" i="21"/>
  <c r="KP30" i="21"/>
  <c r="KP7" i="21"/>
  <c r="KP13" i="21"/>
  <c r="KP21" i="21"/>
  <c r="KP32" i="21"/>
  <c r="JN9" i="21"/>
  <c r="JN15" i="21"/>
  <c r="JQ8" i="21"/>
  <c r="JQ12" i="21"/>
  <c r="JQ20" i="21"/>
  <c r="JQ26" i="21"/>
  <c r="JQ31" i="21"/>
  <c r="JN4" i="21"/>
  <c r="JN17" i="21"/>
  <c r="JN24" i="21"/>
  <c r="JN28" i="21"/>
  <c r="JQ22" i="21"/>
  <c r="JN6" i="21"/>
  <c r="JN14" i="21"/>
  <c r="JN19" i="21"/>
  <c r="JN27" i="21"/>
  <c r="JN30" i="21"/>
  <c r="JN7" i="21"/>
  <c r="JN13" i="21"/>
  <c r="JN21" i="21"/>
  <c r="JN32" i="21"/>
  <c r="IO8" i="21"/>
  <c r="IO12" i="21"/>
  <c r="IO20" i="21"/>
  <c r="IO26" i="21"/>
  <c r="IO31" i="21"/>
  <c r="IL9" i="21"/>
  <c r="IL15" i="21"/>
  <c r="IL4" i="21"/>
  <c r="IL17" i="21"/>
  <c r="IL24" i="21"/>
  <c r="IL28" i="21"/>
  <c r="IL22" i="21"/>
  <c r="IL6" i="21"/>
  <c r="IL14" i="21"/>
  <c r="IL19" i="21"/>
  <c r="IL27" i="21"/>
  <c r="IL30" i="21"/>
  <c r="IL7" i="21"/>
  <c r="IL13" i="21"/>
  <c r="IL21" i="21"/>
  <c r="IL32" i="21"/>
  <c r="HJ8" i="21"/>
  <c r="HJ12" i="21"/>
  <c r="HJ20" i="21"/>
  <c r="HJ26" i="21"/>
  <c r="HJ31" i="21"/>
  <c r="HJ9" i="21"/>
  <c r="HJ15" i="21"/>
  <c r="HJ22" i="21"/>
  <c r="HJ4" i="21"/>
  <c r="HJ17" i="21"/>
  <c r="HJ24" i="21"/>
  <c r="HJ28" i="21"/>
  <c r="HJ6" i="21"/>
  <c r="HJ14" i="21"/>
  <c r="HJ19" i="21"/>
  <c r="HJ27" i="21"/>
  <c r="HJ30" i="21"/>
  <c r="HJ7" i="21"/>
  <c r="HJ13" i="21"/>
  <c r="HJ21" i="21"/>
  <c r="HJ32" i="21"/>
  <c r="GH8" i="21"/>
  <c r="GH12" i="21"/>
  <c r="GH20" i="21"/>
  <c r="GH26" i="21"/>
  <c r="GH31" i="21"/>
  <c r="GH9" i="21"/>
  <c r="GH15" i="21"/>
  <c r="GH22" i="21"/>
  <c r="GH4" i="21"/>
  <c r="GH17" i="21"/>
  <c r="GH24" i="21"/>
  <c r="GH28" i="21"/>
  <c r="GH6" i="21"/>
  <c r="GH14" i="21"/>
  <c r="GH19" i="21"/>
  <c r="GH27" i="21"/>
  <c r="GH30" i="21"/>
  <c r="GH7" i="21"/>
  <c r="GH13" i="21"/>
  <c r="GH21" i="21"/>
  <c r="GH32" i="21"/>
  <c r="FF9" i="21"/>
  <c r="FF15" i="21"/>
  <c r="FI8" i="21"/>
  <c r="FI12" i="21"/>
  <c r="FI20" i="21"/>
  <c r="FI26" i="21"/>
  <c r="FI31" i="21"/>
  <c r="FF4" i="21"/>
  <c r="FF17" i="21"/>
  <c r="FF24" i="21"/>
  <c r="FF28" i="21"/>
  <c r="FI22" i="21"/>
  <c r="FF14" i="21"/>
  <c r="FF19" i="21"/>
  <c r="FF27" i="21"/>
  <c r="FF30" i="21"/>
  <c r="FF7" i="21"/>
  <c r="FF13" i="21"/>
  <c r="FF21" i="21"/>
  <c r="FF32" i="21"/>
  <c r="ED8" i="21"/>
  <c r="ED20" i="21"/>
  <c r="ED31" i="21"/>
  <c r="ED9" i="21"/>
  <c r="ED15" i="21"/>
  <c r="ED22" i="21"/>
  <c r="EG12" i="21"/>
  <c r="EG26" i="21"/>
  <c r="ED4" i="21"/>
  <c r="ED17" i="21"/>
  <c r="ED24" i="21"/>
  <c r="ED28" i="21"/>
  <c r="ED7" i="21"/>
  <c r="ED13" i="21"/>
  <c r="ED21" i="21"/>
  <c r="ED32" i="21"/>
  <c r="QC34" i="19"/>
  <c r="OX35" i="19"/>
  <c r="OX5" i="19"/>
  <c r="OX10" i="19"/>
  <c r="OX16" i="19"/>
  <c r="PA8" i="19"/>
  <c r="PA14" i="19"/>
  <c r="PA21" i="19"/>
  <c r="PA29" i="19"/>
  <c r="OX6" i="19"/>
  <c r="OX12" i="19"/>
  <c r="OX19" i="19"/>
  <c r="OX26" i="19"/>
  <c r="OX33" i="19"/>
  <c r="PA24" i="19"/>
  <c r="PA31" i="19"/>
  <c r="OX28" i="19"/>
  <c r="OX18" i="19"/>
  <c r="OX9" i="19"/>
  <c r="OX22" i="19"/>
  <c r="OX15" i="19"/>
  <c r="OX23" i="19"/>
  <c r="OX30" i="19"/>
  <c r="OX36" i="19"/>
  <c r="NV8" i="19"/>
  <c r="NV14" i="19"/>
  <c r="NV21" i="19"/>
  <c r="NV29" i="19"/>
  <c r="NV35" i="19"/>
  <c r="NV5" i="19"/>
  <c r="NV10" i="19"/>
  <c r="NV16" i="19"/>
  <c r="NV24" i="19"/>
  <c r="NV31" i="19"/>
  <c r="NV6" i="19"/>
  <c r="NV12" i="19"/>
  <c r="NV19" i="19"/>
  <c r="NV26" i="19"/>
  <c r="NV33" i="19"/>
  <c r="NV9" i="19"/>
  <c r="NV18" i="19"/>
  <c r="NV22" i="19"/>
  <c r="NV15" i="19"/>
  <c r="NV23" i="19"/>
  <c r="NV30" i="19"/>
  <c r="NV36" i="19"/>
  <c r="MT8" i="19"/>
  <c r="MT14" i="19"/>
  <c r="MT21" i="19"/>
  <c r="MT29" i="19"/>
  <c r="MT35" i="19"/>
  <c r="MT5" i="19"/>
  <c r="MT10" i="19"/>
  <c r="MT16" i="19"/>
  <c r="MT24" i="19"/>
  <c r="MT31" i="19"/>
  <c r="MT6" i="19"/>
  <c r="MT12" i="19"/>
  <c r="MT19" i="19"/>
  <c r="MT26" i="19"/>
  <c r="MT33" i="19"/>
  <c r="MT9" i="19"/>
  <c r="MT18" i="19"/>
  <c r="MT28" i="19"/>
  <c r="MT22" i="19"/>
  <c r="MT15" i="19"/>
  <c r="MT23" i="19"/>
  <c r="MT30" i="19"/>
  <c r="MT36" i="19"/>
  <c r="LU8" i="19"/>
  <c r="LU14" i="19"/>
  <c r="LU21" i="19"/>
  <c r="LU29" i="19"/>
  <c r="LU35" i="19"/>
  <c r="LR24" i="19"/>
  <c r="LR6" i="19"/>
  <c r="LR12" i="19"/>
  <c r="LR19" i="19"/>
  <c r="LR26" i="19"/>
  <c r="LR33" i="19"/>
  <c r="LR10" i="19"/>
  <c r="LR16" i="19"/>
  <c r="LU5" i="19"/>
  <c r="LU31" i="19"/>
  <c r="LR9" i="19"/>
  <c r="LR18" i="19"/>
  <c r="LR28" i="19"/>
  <c r="LR22" i="19"/>
  <c r="LR15" i="19"/>
  <c r="LR23" i="19"/>
  <c r="LR30" i="19"/>
  <c r="LR36" i="19"/>
  <c r="KP16" i="19"/>
  <c r="KS8" i="19"/>
  <c r="KS14" i="19"/>
  <c r="KS21" i="19"/>
  <c r="KS29" i="19"/>
  <c r="KS35" i="19"/>
  <c r="KP5" i="19"/>
  <c r="KP24" i="19"/>
  <c r="KP6" i="19"/>
  <c r="KP12" i="19"/>
  <c r="KP19" i="19"/>
  <c r="KP26" i="19"/>
  <c r="KP33" i="19"/>
  <c r="KP10" i="19"/>
  <c r="KS31" i="19"/>
  <c r="KP9" i="19"/>
  <c r="KP28" i="19"/>
  <c r="KP18" i="19"/>
  <c r="KP22" i="19"/>
  <c r="KP15" i="19"/>
  <c r="KP23" i="19"/>
  <c r="KP30" i="19"/>
  <c r="KP36" i="19"/>
  <c r="JQ8" i="19"/>
  <c r="JQ14" i="19"/>
  <c r="JQ21" i="19"/>
  <c r="JQ29" i="19"/>
  <c r="JQ35" i="19"/>
  <c r="JN5" i="19"/>
  <c r="JN10" i="19"/>
  <c r="JN16" i="19"/>
  <c r="JN6" i="19"/>
  <c r="JN12" i="19"/>
  <c r="JN19" i="19"/>
  <c r="JN26" i="19"/>
  <c r="JN33" i="19"/>
  <c r="JQ24" i="19"/>
  <c r="JQ31" i="19"/>
  <c r="JN18" i="19"/>
  <c r="JN28" i="19"/>
  <c r="JN22" i="19"/>
  <c r="JN15" i="19"/>
  <c r="JN23" i="19"/>
  <c r="JN30" i="19"/>
  <c r="JN36" i="19"/>
  <c r="JN9" i="19"/>
  <c r="IL8" i="19"/>
  <c r="IL14" i="19"/>
  <c r="IL21" i="19"/>
  <c r="IL29" i="19"/>
  <c r="IL35" i="19"/>
  <c r="IL5" i="19"/>
  <c r="IL10" i="19"/>
  <c r="IL16" i="19"/>
  <c r="IL24" i="19"/>
  <c r="IL31" i="19"/>
  <c r="IL6" i="19"/>
  <c r="IL12" i="19"/>
  <c r="IL19" i="19"/>
  <c r="IL26" i="19"/>
  <c r="IL33" i="19"/>
  <c r="IL9" i="19"/>
  <c r="IL18" i="19"/>
  <c r="IL28" i="19"/>
  <c r="IL22" i="19"/>
  <c r="IL15" i="19"/>
  <c r="IL23" i="19"/>
  <c r="IL30" i="19"/>
  <c r="IL36" i="19"/>
  <c r="HJ8" i="19"/>
  <c r="HJ14" i="19"/>
  <c r="HJ21" i="19"/>
  <c r="HJ29" i="19"/>
  <c r="HJ35" i="19"/>
  <c r="HJ5" i="19"/>
  <c r="HJ10" i="19"/>
  <c r="HJ16" i="19"/>
  <c r="HJ24" i="19"/>
  <c r="HJ31" i="19"/>
  <c r="HJ9" i="19"/>
  <c r="HJ18" i="19"/>
  <c r="HJ28" i="19"/>
  <c r="HJ22" i="19"/>
  <c r="HJ15" i="19"/>
  <c r="HJ23" i="19"/>
  <c r="HJ30" i="19"/>
  <c r="HJ36" i="19"/>
  <c r="GK8" i="19"/>
  <c r="GK14" i="19"/>
  <c r="GK21" i="19"/>
  <c r="GK29" i="19"/>
  <c r="GK35" i="19"/>
  <c r="GH5" i="19"/>
  <c r="GH10" i="19"/>
  <c r="GH16" i="19"/>
  <c r="GH6" i="19"/>
  <c r="GH12" i="19"/>
  <c r="GH19" i="19"/>
  <c r="GH26" i="19"/>
  <c r="GH33" i="19"/>
  <c r="GK24" i="19"/>
  <c r="GK31" i="19"/>
  <c r="GH9" i="19"/>
  <c r="GH18" i="19"/>
  <c r="GH28" i="19"/>
  <c r="GH22" i="19"/>
  <c r="GH15" i="19"/>
  <c r="GH23" i="19"/>
  <c r="GH30" i="19"/>
  <c r="GH36" i="19"/>
  <c r="FF8" i="19"/>
  <c r="FF16" i="19"/>
  <c r="FI14" i="19"/>
  <c r="FI21" i="19"/>
  <c r="FI29" i="19"/>
  <c r="FI35" i="19"/>
  <c r="FF6" i="19"/>
  <c r="FF12" i="19"/>
  <c r="FF19" i="19"/>
  <c r="FF26" i="19"/>
  <c r="FF33" i="19"/>
  <c r="FF10" i="19"/>
  <c r="FI5" i="19"/>
  <c r="FI24" i="19"/>
  <c r="FI31" i="19"/>
  <c r="FF18" i="19"/>
  <c r="FF28" i="19"/>
  <c r="FF22" i="19"/>
  <c r="FF15" i="19"/>
  <c r="FF23" i="19"/>
  <c r="FF30" i="19"/>
  <c r="FF36" i="19"/>
  <c r="FF9" i="19"/>
  <c r="ED8" i="19"/>
  <c r="ED14" i="19"/>
  <c r="ED5" i="19"/>
  <c r="ED10" i="19"/>
  <c r="ED16" i="19"/>
  <c r="ED24" i="19"/>
  <c r="ED31" i="19"/>
  <c r="ED29" i="19"/>
  <c r="EG21" i="19"/>
  <c r="EG35" i="19"/>
  <c r="ED6" i="19"/>
  <c r="ED12" i="19"/>
  <c r="ED19" i="19"/>
  <c r="ED26" i="19"/>
  <c r="ED33" i="19"/>
  <c r="ED9" i="19"/>
  <c r="ED18" i="19"/>
  <c r="ED28" i="19"/>
  <c r="ED22" i="19"/>
  <c r="ED15" i="19"/>
  <c r="ED23" i="19"/>
  <c r="ED30" i="19"/>
  <c r="ED36" i="19"/>
  <c r="OX9" i="27"/>
  <c r="OX17" i="27"/>
  <c r="OX10" i="27"/>
  <c r="OX15" i="27"/>
  <c r="PA5" i="27"/>
  <c r="PA12" i="27"/>
  <c r="OX8" i="27"/>
  <c r="OX16" i="27"/>
  <c r="OX4" i="27"/>
  <c r="OX11" i="27"/>
  <c r="OX18" i="27"/>
  <c r="NV17" i="27"/>
  <c r="NY9" i="27"/>
  <c r="NV10" i="27"/>
  <c r="NV15" i="27"/>
  <c r="NY5" i="27"/>
  <c r="NY12" i="27"/>
  <c r="NV16" i="27"/>
  <c r="NV4" i="27"/>
  <c r="NV11" i="27"/>
  <c r="NV18" i="27"/>
  <c r="NY8" i="27"/>
  <c r="MT5" i="27"/>
  <c r="MW17" i="27"/>
  <c r="MT10" i="27"/>
  <c r="MT15" i="27"/>
  <c r="MW12" i="27"/>
  <c r="MT8" i="27"/>
  <c r="MT16" i="27"/>
  <c r="MW9" i="27"/>
  <c r="MT4" i="27"/>
  <c r="MT11" i="27"/>
  <c r="MT18" i="27"/>
  <c r="LU9" i="27"/>
  <c r="LU17" i="27"/>
  <c r="LR10" i="27"/>
  <c r="LR15" i="27"/>
  <c r="LU5" i="27"/>
  <c r="LU12" i="27"/>
  <c r="LR16" i="27"/>
  <c r="LR4" i="27"/>
  <c r="LR11" i="27"/>
  <c r="LR18" i="27"/>
  <c r="LR8" i="27"/>
  <c r="KS9" i="27"/>
  <c r="KS17" i="27"/>
  <c r="KP10" i="27"/>
  <c r="KP15" i="27"/>
  <c r="KS5" i="27"/>
  <c r="KS12" i="27"/>
  <c r="KP16" i="27"/>
  <c r="KP4" i="27"/>
  <c r="KP11" i="27"/>
  <c r="KP18" i="27"/>
  <c r="KS8" i="27"/>
  <c r="JN9" i="27"/>
  <c r="JN17" i="27"/>
  <c r="JN5" i="27"/>
  <c r="JN12" i="27"/>
  <c r="JN10" i="27"/>
  <c r="JN15" i="27"/>
  <c r="JN8" i="27"/>
  <c r="JN16" i="27"/>
  <c r="JN4" i="27"/>
  <c r="JN11" i="27"/>
  <c r="JN18" i="27"/>
  <c r="IL9" i="27"/>
  <c r="IL17" i="27"/>
  <c r="IL5" i="27"/>
  <c r="IL12" i="27"/>
  <c r="IL10" i="27"/>
  <c r="IL15" i="27"/>
  <c r="IL8" i="27"/>
  <c r="IL16" i="27"/>
  <c r="IL4" i="27"/>
  <c r="IL11" i="27"/>
  <c r="IL18" i="27"/>
  <c r="HM9" i="27"/>
  <c r="HM17" i="27"/>
  <c r="HJ10" i="27"/>
  <c r="HJ15" i="27"/>
  <c r="HJ5" i="27"/>
  <c r="HM12" i="27"/>
  <c r="HJ8" i="27"/>
  <c r="HJ16" i="27"/>
  <c r="HJ4" i="27"/>
  <c r="HJ11" i="27"/>
  <c r="HJ18" i="27"/>
  <c r="GH17" i="27"/>
  <c r="GH5" i="27"/>
  <c r="GH12" i="27"/>
  <c r="GK9" i="27"/>
  <c r="GH10" i="27"/>
  <c r="GH15" i="27"/>
  <c r="GH8" i="27"/>
  <c r="GH16" i="27"/>
  <c r="GH4" i="27"/>
  <c r="GH11" i="27"/>
  <c r="GH18" i="27"/>
  <c r="FF17" i="27"/>
  <c r="FI5" i="27"/>
  <c r="FI12" i="27"/>
  <c r="FF10" i="27"/>
  <c r="FF8" i="27"/>
  <c r="FF9" i="27"/>
  <c r="FF15" i="27"/>
  <c r="FF16" i="27"/>
  <c r="FF4" i="27"/>
  <c r="FF11" i="27"/>
  <c r="FF18" i="27"/>
  <c r="EG9" i="27"/>
  <c r="EG17" i="27"/>
  <c r="ED10" i="27"/>
  <c r="ED15" i="27"/>
  <c r="EG5" i="27"/>
  <c r="EG12" i="27"/>
  <c r="ED8" i="27"/>
  <c r="ED16" i="27"/>
  <c r="ED4" i="27"/>
  <c r="ED11" i="27"/>
  <c r="ED18" i="27"/>
  <c r="PA5" i="26"/>
  <c r="OX12" i="26"/>
  <c r="OX16" i="26"/>
  <c r="PA7" i="26"/>
  <c r="PA14" i="26"/>
  <c r="OX11" i="26"/>
  <c r="OX4" i="26"/>
  <c r="OX10" i="26"/>
  <c r="OX18" i="26"/>
  <c r="PA19" i="26"/>
  <c r="OX6" i="26"/>
  <c r="OX13" i="26"/>
  <c r="OX20" i="26"/>
  <c r="NV7" i="26"/>
  <c r="NV14" i="26"/>
  <c r="NY5" i="26"/>
  <c r="NY11" i="26"/>
  <c r="NY19" i="26"/>
  <c r="NV12" i="26"/>
  <c r="NV16" i="26"/>
  <c r="NV4" i="26"/>
  <c r="NV10" i="26"/>
  <c r="NV18" i="26"/>
  <c r="NV6" i="26"/>
  <c r="NV13" i="26"/>
  <c r="NV20" i="26"/>
  <c r="MT19" i="26"/>
  <c r="MW5" i="26"/>
  <c r="MW11" i="26"/>
  <c r="MT12" i="26"/>
  <c r="MT16" i="26"/>
  <c r="MW7" i="26"/>
  <c r="MW14" i="26"/>
  <c r="MT4" i="26"/>
  <c r="MT10" i="26"/>
  <c r="MT18" i="26"/>
  <c r="MT6" i="26"/>
  <c r="MT13" i="26"/>
  <c r="MT20" i="26"/>
  <c r="LR5" i="26"/>
  <c r="LR7" i="26"/>
  <c r="LR14" i="26"/>
  <c r="LU11" i="26"/>
  <c r="LU19" i="26"/>
  <c r="LR12" i="26"/>
  <c r="LR16" i="26"/>
  <c r="LR4" i="26"/>
  <c r="LR10" i="26"/>
  <c r="LR18" i="26"/>
  <c r="LR6" i="26"/>
  <c r="LR13" i="26"/>
  <c r="LR20" i="26"/>
  <c r="KP5" i="26"/>
  <c r="KP11" i="26"/>
  <c r="KP19" i="26"/>
  <c r="KP7" i="26"/>
  <c r="KP12" i="26"/>
  <c r="KP16" i="26"/>
  <c r="KS14" i="26"/>
  <c r="KP4" i="26"/>
  <c r="KP10" i="26"/>
  <c r="KP18" i="26"/>
  <c r="KP6" i="26"/>
  <c r="KP13" i="26"/>
  <c r="KP20" i="26"/>
  <c r="JN5" i="26"/>
  <c r="JN19" i="26"/>
  <c r="JN14" i="26"/>
  <c r="JQ11" i="26"/>
  <c r="JN12" i="26"/>
  <c r="JN16" i="26"/>
  <c r="JN7" i="26"/>
  <c r="JN4" i="26"/>
  <c r="JN10" i="26"/>
  <c r="JN18" i="26"/>
  <c r="JN6" i="26"/>
  <c r="JN13" i="26"/>
  <c r="JN20" i="26"/>
  <c r="IO5" i="26"/>
  <c r="IO11" i="26"/>
  <c r="IO19" i="26"/>
  <c r="IL12" i="26"/>
  <c r="IL16" i="26"/>
  <c r="IO7" i="26"/>
  <c r="IO14" i="26"/>
  <c r="IL4" i="26"/>
  <c r="IL18" i="26"/>
  <c r="IL6" i="26"/>
  <c r="IL13" i="26"/>
  <c r="IL20" i="26"/>
  <c r="IO10" i="26"/>
  <c r="HJ5" i="26"/>
  <c r="HJ11" i="26"/>
  <c r="HJ19" i="26"/>
  <c r="HJ12" i="26"/>
  <c r="HJ16" i="26"/>
  <c r="HM7" i="26"/>
  <c r="HM14" i="26"/>
  <c r="HJ4" i="26"/>
  <c r="HJ18" i="26"/>
  <c r="HJ6" i="26"/>
  <c r="HJ13" i="26"/>
  <c r="HJ20" i="26"/>
  <c r="GH7" i="26"/>
  <c r="GH14" i="26"/>
  <c r="GK5" i="26"/>
  <c r="GK11" i="26"/>
  <c r="GK19" i="26"/>
  <c r="GH12" i="26"/>
  <c r="GH16" i="26"/>
  <c r="GH10" i="26"/>
  <c r="GH18" i="26"/>
  <c r="GH6" i="26"/>
  <c r="GH13" i="26"/>
  <c r="GH20" i="26"/>
  <c r="FF5" i="26"/>
  <c r="FF19" i="26"/>
  <c r="FF7" i="26"/>
  <c r="FF14" i="26"/>
  <c r="FI11" i="26"/>
  <c r="FF12" i="26"/>
  <c r="FF16" i="26"/>
  <c r="FF18" i="26"/>
  <c r="FF4" i="26"/>
  <c r="FF10" i="26"/>
  <c r="FF6" i="26"/>
  <c r="FF13" i="26"/>
  <c r="FF20" i="26"/>
  <c r="EG5" i="26"/>
  <c r="EG11" i="26"/>
  <c r="EG19" i="26"/>
  <c r="ED12" i="26"/>
  <c r="ED16" i="26"/>
  <c r="EG7" i="26"/>
  <c r="EG14" i="26"/>
  <c r="ED4" i="26"/>
  <c r="ED18" i="26"/>
  <c r="ED6" i="26"/>
  <c r="ED13" i="26"/>
  <c r="ED20" i="26"/>
  <c r="EG10" i="26"/>
  <c r="CZ24" i="21"/>
  <c r="CZ25" i="21"/>
  <c r="QC30" i="21"/>
  <c r="AW25" i="21"/>
  <c r="DC25" i="21"/>
  <c r="QC32" i="21"/>
  <c r="PZ25" i="21"/>
  <c r="AW30" i="21"/>
  <c r="DC30" i="21"/>
  <c r="AT32" i="21"/>
  <c r="PZ24" i="21"/>
  <c r="QY30" i="21"/>
  <c r="AW24" i="21"/>
  <c r="PZ30" i="21"/>
  <c r="AW28" i="19"/>
  <c r="DC28" i="19"/>
  <c r="QC32" i="19"/>
  <c r="PZ28" i="19"/>
  <c r="L28" i="19"/>
  <c r="M28" i="19" s="1"/>
  <c r="DC24" i="21"/>
  <c r="QC25" i="21"/>
  <c r="L24" i="21"/>
  <c r="M24" i="21" s="1"/>
  <c r="QC24" i="21"/>
  <c r="AT24" i="21"/>
  <c r="QY32" i="19"/>
  <c r="RB34" i="19"/>
  <c r="QY24" i="21"/>
  <c r="QY32" i="21"/>
  <c r="RE32" i="21"/>
  <c r="BW32" i="21"/>
  <c r="RA32" i="21"/>
  <c r="I32" i="21"/>
  <c r="RB32" i="21"/>
  <c r="QZ32" i="21"/>
  <c r="H32" i="21"/>
  <c r="P32" i="21"/>
  <c r="Q32" i="21" s="1"/>
  <c r="BZ32" i="21"/>
  <c r="RD32" i="21"/>
  <c r="N32" i="21"/>
  <c r="L32" i="21"/>
  <c r="RD30" i="21"/>
  <c r="QZ30" i="21"/>
  <c r="RA30" i="21"/>
  <c r="I30" i="21"/>
  <c r="BW30" i="21"/>
  <c r="RB30" i="21"/>
  <c r="H30" i="21"/>
  <c r="P30" i="21"/>
  <c r="Q30" i="21" s="1"/>
  <c r="RE30" i="21"/>
  <c r="N30" i="21"/>
  <c r="BZ30" i="21"/>
  <c r="L30" i="21"/>
  <c r="QY25" i="21"/>
  <c r="RD25" i="21"/>
  <c r="QZ25" i="21"/>
  <c r="BW25" i="21"/>
  <c r="RB25" i="21"/>
  <c r="RA25" i="21"/>
  <c r="RE25" i="21"/>
  <c r="I25" i="21"/>
  <c r="H25" i="21"/>
  <c r="P25" i="21"/>
  <c r="Q25" i="21" s="1"/>
  <c r="BZ25" i="21"/>
  <c r="N25" i="21"/>
  <c r="L25" i="21"/>
  <c r="RD24" i="21"/>
  <c r="QZ24" i="21"/>
  <c r="I24" i="21"/>
  <c r="RB24" i="21"/>
  <c r="RA24" i="21"/>
  <c r="H24" i="21"/>
  <c r="P24" i="21"/>
  <c r="Q24" i="21" s="1"/>
  <c r="RE24" i="21"/>
  <c r="BW24" i="21"/>
  <c r="N24" i="21"/>
  <c r="BZ24" i="21"/>
  <c r="QZ34" i="19"/>
  <c r="RE34" i="19"/>
  <c r="QY34" i="19"/>
  <c r="BZ34" i="19"/>
  <c r="RA34" i="19"/>
  <c r="I34" i="19"/>
  <c r="H34" i="19"/>
  <c r="P34" i="19"/>
  <c r="Q34" i="19" s="1"/>
  <c r="RD34" i="19"/>
  <c r="N34" i="19"/>
  <c r="BW34" i="19"/>
  <c r="L34" i="19"/>
  <c r="RD32" i="19"/>
  <c r="QZ32" i="19"/>
  <c r="I32" i="19"/>
  <c r="BW32" i="19"/>
  <c r="RA32" i="19"/>
  <c r="RB32" i="19"/>
  <c r="H32" i="19"/>
  <c r="P32" i="19"/>
  <c r="Q32" i="19" s="1"/>
  <c r="L32" i="19"/>
  <c r="RE32" i="19"/>
  <c r="N32" i="19"/>
  <c r="BZ32" i="19"/>
  <c r="QC28" i="19"/>
  <c r="QY28" i="19"/>
  <c r="RD28" i="19"/>
  <c r="QZ28" i="19"/>
  <c r="I28" i="19"/>
  <c r="RA28" i="19"/>
  <c r="RB28" i="19"/>
  <c r="H28" i="19"/>
  <c r="P28" i="19"/>
  <c r="Q28" i="19" s="1"/>
  <c r="RE28" i="19"/>
  <c r="N28" i="19"/>
  <c r="BZ28" i="19"/>
  <c r="BW28" i="19"/>
  <c r="BY22" i="21"/>
  <c r="BX22" i="21"/>
  <c r="BV22" i="21"/>
  <c r="BU22" i="21"/>
  <c r="BT22" i="21"/>
  <c r="BS22" i="21"/>
  <c r="BY31" i="21"/>
  <c r="BX31" i="21"/>
  <c r="BV31" i="21"/>
  <c r="BU31" i="21"/>
  <c r="BT31" i="21"/>
  <c r="BS31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27" i="21"/>
  <c r="BX27" i="21"/>
  <c r="BV27" i="21"/>
  <c r="BU27" i="21"/>
  <c r="BT27" i="21"/>
  <c r="BS27" i="21"/>
  <c r="BY13" i="21"/>
  <c r="BX13" i="21"/>
  <c r="BV13" i="21"/>
  <c r="BU13" i="21"/>
  <c r="BT13" i="21"/>
  <c r="BS13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4" i="21"/>
  <c r="BX14" i="21"/>
  <c r="BV14" i="21"/>
  <c r="BU14" i="21"/>
  <c r="BT14" i="21"/>
  <c r="BS14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6" i="21"/>
  <c r="BX6" i="21"/>
  <c r="BV6" i="21"/>
  <c r="BU6" i="21"/>
  <c r="BT6" i="21"/>
  <c r="BS6" i="21"/>
  <c r="BY8" i="21"/>
  <c r="BX8" i="21"/>
  <c r="BV8" i="21"/>
  <c r="BU8" i="21"/>
  <c r="BT8" i="21"/>
  <c r="BS8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31" i="21"/>
  <c r="AU31" i="21"/>
  <c r="AS31" i="21"/>
  <c r="AR31" i="21"/>
  <c r="AQ31" i="21"/>
  <c r="AP31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27" i="21"/>
  <c r="AU27" i="21"/>
  <c r="AS27" i="21"/>
  <c r="AR27" i="21"/>
  <c r="AQ27" i="21"/>
  <c r="AP27" i="21"/>
  <c r="AV13" i="21"/>
  <c r="AU13" i="21"/>
  <c r="AS13" i="21"/>
  <c r="AR13" i="21"/>
  <c r="AQ13" i="21"/>
  <c r="AP13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4" i="21"/>
  <c r="AU14" i="21"/>
  <c r="AS14" i="21"/>
  <c r="AR14" i="21"/>
  <c r="AQ14" i="21"/>
  <c r="AP14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6" i="21"/>
  <c r="AU6" i="21"/>
  <c r="AS6" i="21"/>
  <c r="AR6" i="21"/>
  <c r="AQ6" i="21"/>
  <c r="AP6" i="21"/>
  <c r="AV8" i="21"/>
  <c r="AU8" i="21"/>
  <c r="AS8" i="21"/>
  <c r="AR8" i="21"/>
  <c r="AQ8" i="21"/>
  <c r="AP8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35" i="19"/>
  <c r="BX35" i="19"/>
  <c r="BV35" i="19"/>
  <c r="BU35" i="19"/>
  <c r="BT35" i="19"/>
  <c r="BS35" i="19"/>
  <c r="BY36" i="19"/>
  <c r="BX36" i="19"/>
  <c r="BV36" i="19"/>
  <c r="BU36" i="19"/>
  <c r="BT36" i="19"/>
  <c r="BS36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S23" i="19"/>
  <c r="BY26" i="19"/>
  <c r="BX26" i="19"/>
  <c r="BV26" i="19"/>
  <c r="BU26" i="19"/>
  <c r="BT26" i="19"/>
  <c r="BS26" i="19"/>
  <c r="BY27" i="19"/>
  <c r="BX27" i="19"/>
  <c r="BV27" i="19"/>
  <c r="BU27" i="19"/>
  <c r="BT27" i="19"/>
  <c r="BS27" i="19"/>
  <c r="BY21" i="19"/>
  <c r="BX21" i="19"/>
  <c r="BV21" i="19"/>
  <c r="BU21" i="19"/>
  <c r="BT21" i="19"/>
  <c r="BS21" i="19"/>
  <c r="BY19" i="19"/>
  <c r="BX19" i="19"/>
  <c r="BV19" i="19"/>
  <c r="BU19" i="19"/>
  <c r="BT19" i="19"/>
  <c r="BS19" i="19"/>
  <c r="BY33" i="19"/>
  <c r="BX33" i="19"/>
  <c r="BV33" i="19"/>
  <c r="BU33" i="19"/>
  <c r="BT33" i="19"/>
  <c r="BS33" i="19"/>
  <c r="BY30" i="19"/>
  <c r="BX30" i="19"/>
  <c r="BV30" i="19"/>
  <c r="BU30" i="19"/>
  <c r="BT30" i="19"/>
  <c r="BS30" i="19"/>
  <c r="BY8" i="19"/>
  <c r="BX8" i="19"/>
  <c r="BV8" i="19"/>
  <c r="BU8" i="19"/>
  <c r="BT8" i="19"/>
  <c r="BS8" i="19"/>
  <c r="BY17" i="19"/>
  <c r="BX17" i="19"/>
  <c r="BV17" i="19"/>
  <c r="BU17" i="19"/>
  <c r="BT17" i="19"/>
  <c r="BS17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18" i="19"/>
  <c r="BX18" i="19"/>
  <c r="BV18" i="19"/>
  <c r="BU18" i="19"/>
  <c r="BT18" i="19"/>
  <c r="BS18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20" i="19"/>
  <c r="BX20" i="19"/>
  <c r="BV20" i="19"/>
  <c r="BU20" i="19"/>
  <c r="BT20" i="19"/>
  <c r="BS20" i="19"/>
  <c r="BY6" i="19"/>
  <c r="BX6" i="19"/>
  <c r="BV6" i="19"/>
  <c r="BU6" i="19"/>
  <c r="BT6" i="19"/>
  <c r="BS6" i="19"/>
  <c r="BY22" i="19"/>
  <c r="BX22" i="19"/>
  <c r="BV22" i="19"/>
  <c r="BU22" i="19"/>
  <c r="BT22" i="19"/>
  <c r="BS2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13" i="19"/>
  <c r="BX13" i="19"/>
  <c r="BV13" i="19"/>
  <c r="BU13" i="19"/>
  <c r="BT13" i="19"/>
  <c r="BS13" i="19"/>
  <c r="BY5" i="19"/>
  <c r="BX5" i="19"/>
  <c r="BV5" i="19"/>
  <c r="BU5" i="19"/>
  <c r="BT5" i="19"/>
  <c r="BS5" i="19"/>
  <c r="AV31" i="19"/>
  <c r="AU31" i="19"/>
  <c r="AS31" i="19"/>
  <c r="AR31" i="19"/>
  <c r="AQ31" i="19"/>
  <c r="AP31" i="19"/>
  <c r="AV35" i="19"/>
  <c r="AU35" i="19"/>
  <c r="AS35" i="19"/>
  <c r="AR35" i="19"/>
  <c r="AQ35" i="19"/>
  <c r="AP35" i="19"/>
  <c r="AV36" i="19"/>
  <c r="AU36" i="19"/>
  <c r="AS36" i="19"/>
  <c r="AR36" i="19"/>
  <c r="AQ36" i="19"/>
  <c r="AP36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6" i="19"/>
  <c r="AU26" i="19"/>
  <c r="AS26" i="19"/>
  <c r="AR26" i="19"/>
  <c r="AQ26" i="19"/>
  <c r="AP26" i="19"/>
  <c r="AV27" i="19"/>
  <c r="AU27" i="19"/>
  <c r="AS27" i="19"/>
  <c r="AR27" i="19"/>
  <c r="AQ27" i="19"/>
  <c r="AP27" i="19"/>
  <c r="AV21" i="19"/>
  <c r="AU21" i="19"/>
  <c r="AS21" i="19"/>
  <c r="AR21" i="19"/>
  <c r="AQ21" i="19"/>
  <c r="AP21" i="19"/>
  <c r="AV19" i="19"/>
  <c r="AU19" i="19"/>
  <c r="AS19" i="19"/>
  <c r="AR19" i="19"/>
  <c r="AQ19" i="19"/>
  <c r="AP19" i="19"/>
  <c r="AV33" i="19"/>
  <c r="AU33" i="19"/>
  <c r="AS33" i="19"/>
  <c r="AR33" i="19"/>
  <c r="AQ33" i="19"/>
  <c r="AP33" i="19"/>
  <c r="AV30" i="19"/>
  <c r="AU30" i="19"/>
  <c r="AS30" i="19"/>
  <c r="AR30" i="19"/>
  <c r="AQ30" i="19"/>
  <c r="AP30" i="19"/>
  <c r="AV8" i="19"/>
  <c r="AU8" i="19"/>
  <c r="AS8" i="19"/>
  <c r="AR8" i="19"/>
  <c r="AQ8" i="19"/>
  <c r="AP8" i="19"/>
  <c r="AV17" i="19"/>
  <c r="AU17" i="19"/>
  <c r="AS17" i="19"/>
  <c r="AR17" i="19"/>
  <c r="AQ17" i="19"/>
  <c r="AP17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18" i="19"/>
  <c r="AU18" i="19"/>
  <c r="AS18" i="19"/>
  <c r="AR18" i="19"/>
  <c r="AQ18" i="19"/>
  <c r="AP18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20" i="19"/>
  <c r="AU20" i="19"/>
  <c r="AS20" i="19"/>
  <c r="AR20" i="19"/>
  <c r="AQ20" i="19"/>
  <c r="AP20" i="19"/>
  <c r="AV6" i="19"/>
  <c r="AU6" i="19"/>
  <c r="AS6" i="19"/>
  <c r="AR6" i="19"/>
  <c r="AQ6" i="19"/>
  <c r="AP6" i="19"/>
  <c r="AV22" i="19"/>
  <c r="AU22" i="19"/>
  <c r="AS22" i="19"/>
  <c r="AR22" i="19"/>
  <c r="AQ22" i="19"/>
  <c r="AP2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13" i="19"/>
  <c r="AU13" i="19"/>
  <c r="AS13" i="19"/>
  <c r="AR13" i="19"/>
  <c r="AQ13" i="19"/>
  <c r="AP13" i="19"/>
  <c r="AV5" i="19"/>
  <c r="AU5" i="19"/>
  <c r="AS5" i="19"/>
  <c r="AR5" i="19"/>
  <c r="AQ5" i="19"/>
  <c r="AP5" i="19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16" i="27"/>
  <c r="BX16" i="27"/>
  <c r="BV16" i="27"/>
  <c r="BU16" i="27"/>
  <c r="BT16" i="27"/>
  <c r="BS16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10" i="27"/>
  <c r="BX10" i="27"/>
  <c r="BV10" i="27"/>
  <c r="BU10" i="27"/>
  <c r="BT10" i="27"/>
  <c r="BS10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16" i="27"/>
  <c r="AU16" i="27"/>
  <c r="AS16" i="27"/>
  <c r="AR16" i="27"/>
  <c r="AQ16" i="27"/>
  <c r="AP16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10" i="27"/>
  <c r="AU10" i="27"/>
  <c r="AS10" i="27"/>
  <c r="AR10" i="27"/>
  <c r="AQ10" i="27"/>
  <c r="AP10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6" i="26"/>
  <c r="BX16" i="26"/>
  <c r="BV16" i="26"/>
  <c r="BU16" i="26"/>
  <c r="BT16" i="26"/>
  <c r="BS16" i="26"/>
  <c r="BY18" i="26"/>
  <c r="BX18" i="26"/>
  <c r="BV18" i="26"/>
  <c r="BU18" i="26"/>
  <c r="BT18" i="26"/>
  <c r="BS18" i="26"/>
  <c r="BY8" i="26"/>
  <c r="BX8" i="26"/>
  <c r="BV8" i="26"/>
  <c r="BU8" i="26"/>
  <c r="BT8" i="26"/>
  <c r="BS8" i="26"/>
  <c r="BY15" i="26"/>
  <c r="BX15" i="26"/>
  <c r="BV15" i="26"/>
  <c r="BU15" i="26"/>
  <c r="BT15" i="26"/>
  <c r="BS15" i="26"/>
  <c r="BY13" i="26"/>
  <c r="BX13" i="26"/>
  <c r="BV13" i="26"/>
  <c r="BU13" i="26"/>
  <c r="BT13" i="26"/>
  <c r="BS13" i="26"/>
  <c r="BY11" i="26"/>
  <c r="BX11" i="26"/>
  <c r="BV11" i="26"/>
  <c r="BU11" i="26"/>
  <c r="BT11" i="26"/>
  <c r="BS11" i="26"/>
  <c r="BY19" i="26"/>
  <c r="BX19" i="26"/>
  <c r="BV19" i="26"/>
  <c r="BU19" i="26"/>
  <c r="BT19" i="26"/>
  <c r="BS19" i="26"/>
  <c r="BY14" i="26"/>
  <c r="BX14" i="26"/>
  <c r="BV14" i="26"/>
  <c r="BU14" i="26"/>
  <c r="BT14" i="26"/>
  <c r="BS14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2" i="26"/>
  <c r="BX12" i="26"/>
  <c r="BV12" i="26"/>
  <c r="BU12" i="26"/>
  <c r="BT12" i="26"/>
  <c r="BS12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6" i="26"/>
  <c r="AU16" i="26"/>
  <c r="AS16" i="26"/>
  <c r="AR16" i="26"/>
  <c r="AQ16" i="26"/>
  <c r="AP16" i="26"/>
  <c r="AV18" i="26"/>
  <c r="AU18" i="26"/>
  <c r="AS18" i="26"/>
  <c r="AR18" i="26"/>
  <c r="AQ18" i="26"/>
  <c r="AP18" i="26"/>
  <c r="AV8" i="26"/>
  <c r="AU8" i="26"/>
  <c r="AS8" i="26"/>
  <c r="AR8" i="26"/>
  <c r="AQ8" i="26"/>
  <c r="AP8" i="26"/>
  <c r="AV15" i="26"/>
  <c r="AU15" i="26"/>
  <c r="AS15" i="26"/>
  <c r="AR15" i="26"/>
  <c r="AQ15" i="26"/>
  <c r="AP15" i="26"/>
  <c r="AV13" i="26"/>
  <c r="AU13" i="26"/>
  <c r="AS13" i="26"/>
  <c r="AR13" i="26"/>
  <c r="AQ13" i="26"/>
  <c r="AP13" i="26"/>
  <c r="AV11" i="26"/>
  <c r="AU11" i="26"/>
  <c r="AS11" i="26"/>
  <c r="AR11" i="26"/>
  <c r="AQ11" i="26"/>
  <c r="AP11" i="26"/>
  <c r="AV19" i="26"/>
  <c r="AU19" i="26"/>
  <c r="AS19" i="26"/>
  <c r="AR19" i="26"/>
  <c r="AQ19" i="26"/>
  <c r="AP19" i="26"/>
  <c r="AV14" i="26"/>
  <c r="AU14" i="26"/>
  <c r="AS14" i="26"/>
  <c r="AR14" i="26"/>
  <c r="AQ14" i="26"/>
  <c r="AP14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2" i="26"/>
  <c r="AU12" i="26"/>
  <c r="AS12" i="26"/>
  <c r="AR12" i="26"/>
  <c r="AQ12" i="26"/>
  <c r="AP12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V13" i="22" s="1"/>
  <c r="BQ13" i="22"/>
  <c r="BP13" i="22"/>
  <c r="BY15" i="22"/>
  <c r="BX15" i="22"/>
  <c r="BW15" i="22"/>
  <c r="BU15" i="22"/>
  <c r="BT15" i="22"/>
  <c r="BS15" i="22"/>
  <c r="BR15" i="22"/>
  <c r="BV15" i="22" s="1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0" i="22"/>
  <c r="BX10" i="22"/>
  <c r="BW10" i="22"/>
  <c r="BU10" i="22"/>
  <c r="BT10" i="22"/>
  <c r="BS10" i="22"/>
  <c r="BR10" i="22"/>
  <c r="BV10" i="22" s="1"/>
  <c r="BQ10" i="22"/>
  <c r="BP10" i="22"/>
  <c r="BY12" i="22"/>
  <c r="BX12" i="22"/>
  <c r="BW12" i="22"/>
  <c r="BU12" i="22"/>
  <c r="BT12" i="22"/>
  <c r="BS12" i="22"/>
  <c r="BR12" i="22"/>
  <c r="BV12" i="22" s="1"/>
  <c r="BQ12" i="22"/>
  <c r="BP12" i="22"/>
  <c r="BY9" i="22"/>
  <c r="BX9" i="22"/>
  <c r="BW9" i="22"/>
  <c r="BU9" i="22"/>
  <c r="BT9" i="22"/>
  <c r="BS9" i="22"/>
  <c r="BR9" i="22"/>
  <c r="BV9" i="22" s="1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7" i="4"/>
  <c r="BX27" i="4"/>
  <c r="BW27" i="4"/>
  <c r="BU27" i="4"/>
  <c r="BT27" i="4"/>
  <c r="BS27" i="4"/>
  <c r="BR27" i="4"/>
  <c r="BV27" i="4" s="1"/>
  <c r="BQ27" i="4"/>
  <c r="BP27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8" i="4"/>
  <c r="BX8" i="4"/>
  <c r="BW8" i="4"/>
  <c r="BU8" i="4"/>
  <c r="BT8" i="4"/>
  <c r="BS8" i="4"/>
  <c r="BR8" i="4"/>
  <c r="BQ8" i="4"/>
  <c r="BP8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U22" i="4" s="1"/>
  <c r="AP22" i="4"/>
  <c r="AO22" i="4"/>
  <c r="AX26" i="4"/>
  <c r="AW26" i="4"/>
  <c r="AV26" i="4"/>
  <c r="AT26" i="4"/>
  <c r="AS26" i="4"/>
  <c r="AR26" i="4"/>
  <c r="AQ26" i="4"/>
  <c r="AU26" i="4" s="1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7" i="4"/>
  <c r="AW27" i="4"/>
  <c r="AV27" i="4"/>
  <c r="AT27" i="4"/>
  <c r="AS27" i="4"/>
  <c r="AR27" i="4"/>
  <c r="AQ27" i="4"/>
  <c r="AP27" i="4"/>
  <c r="AO27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9" i="4"/>
  <c r="AW19" i="4"/>
  <c r="AV19" i="4"/>
  <c r="AT19" i="4"/>
  <c r="AS19" i="4"/>
  <c r="AR19" i="4"/>
  <c r="AQ19" i="4"/>
  <c r="AU19" i="4" s="1"/>
  <c r="AP19" i="4"/>
  <c r="AO19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U17" i="4" s="1"/>
  <c r="AP17" i="4"/>
  <c r="AO17" i="4"/>
  <c r="AX20" i="4"/>
  <c r="AW20" i="4"/>
  <c r="AV20" i="4"/>
  <c r="AT20" i="4"/>
  <c r="AS20" i="4"/>
  <c r="AR20" i="4"/>
  <c r="AQ20" i="4"/>
  <c r="AU20" i="4" s="1"/>
  <c r="AP20" i="4"/>
  <c r="AO20" i="4"/>
  <c r="AX8" i="4"/>
  <c r="AW8" i="4"/>
  <c r="AV8" i="4"/>
  <c r="AT8" i="4"/>
  <c r="AS8" i="4"/>
  <c r="AR8" i="4"/>
  <c r="AQ8" i="4"/>
  <c r="AP8" i="4"/>
  <c r="AO8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AT15" i="21" l="1"/>
  <c r="BW16" i="26"/>
  <c r="BZ13" i="27"/>
  <c r="BW4" i="26"/>
  <c r="BW14" i="26"/>
  <c r="AT28" i="21"/>
  <c r="AT7" i="21"/>
  <c r="AT26" i="21"/>
  <c r="AT4" i="21"/>
  <c r="BW14" i="19"/>
  <c r="BW19" i="19"/>
  <c r="AT18" i="27"/>
  <c r="AW16" i="27"/>
  <c r="BW18" i="26"/>
  <c r="AT4" i="26"/>
  <c r="AT16" i="26"/>
  <c r="AY17" i="4"/>
  <c r="AU23" i="4"/>
  <c r="AY23" i="4" s="1"/>
  <c r="BZ21" i="4"/>
  <c r="BZ26" i="4"/>
  <c r="BV4" i="4"/>
  <c r="BZ4" i="4" s="1"/>
  <c r="BV18" i="4"/>
  <c r="BZ18" i="4" s="1"/>
  <c r="AY22" i="4"/>
  <c r="AU11" i="4"/>
  <c r="AY11" i="4" s="1"/>
  <c r="AU24" i="4"/>
  <c r="AY24" i="4" s="1"/>
  <c r="BV5" i="4"/>
  <c r="BZ5" i="4" s="1"/>
  <c r="RF28" i="19"/>
  <c r="AW18" i="19"/>
  <c r="AW30" i="19"/>
  <c r="AW35" i="19"/>
  <c r="BW6" i="19"/>
  <c r="AW9" i="27"/>
  <c r="AW8" i="27"/>
  <c r="BZ10" i="27"/>
  <c r="AT16" i="27"/>
  <c r="AW13" i="26"/>
  <c r="AT17" i="26"/>
  <c r="AU5" i="22"/>
  <c r="AY5" i="22" s="1"/>
  <c r="AU9" i="22"/>
  <c r="AY9" i="22" s="1"/>
  <c r="BZ12" i="22"/>
  <c r="BV15" i="4"/>
  <c r="BZ15" i="4" s="1"/>
  <c r="AU7" i="4"/>
  <c r="AY7" i="4" s="1"/>
  <c r="AU27" i="4"/>
  <c r="AY27" i="4" s="1"/>
  <c r="AU12" i="4"/>
  <c r="AY12" i="4" s="1"/>
  <c r="BV17" i="4"/>
  <c r="BZ17" i="4" s="1"/>
  <c r="AU14" i="4"/>
  <c r="AY14" i="4" s="1"/>
  <c r="K32" i="21"/>
  <c r="J32" i="21" s="1"/>
  <c r="A32" i="21" s="1" a="1"/>
  <c r="A32" i="21" s="1"/>
  <c r="K25" i="21"/>
  <c r="J25" i="21" s="1"/>
  <c r="A25" i="21" s="1" a="1"/>
  <c r="A25" i="21" s="1"/>
  <c r="BZ16" i="21"/>
  <c r="RF34" i="19"/>
  <c r="K34" i="19"/>
  <c r="J34" i="19" s="1"/>
  <c r="BW9" i="19"/>
  <c r="BW12" i="19"/>
  <c r="BW24" i="19"/>
  <c r="BZ5" i="19"/>
  <c r="BW20" i="19"/>
  <c r="BZ16" i="19"/>
  <c r="K32" i="19"/>
  <c r="J32" i="19" s="1"/>
  <c r="A32" i="19" s="1" a="1"/>
  <c r="A32" i="19" s="1"/>
  <c r="BW13" i="19"/>
  <c r="BW17" i="19"/>
  <c r="BW27" i="19"/>
  <c r="AW21" i="19"/>
  <c r="BZ11" i="27"/>
  <c r="AT15" i="27"/>
  <c r="AW10" i="27"/>
  <c r="AW4" i="27"/>
  <c r="AW18" i="27"/>
  <c r="BW16" i="27"/>
  <c r="BW18" i="27"/>
  <c r="AW6" i="27"/>
  <c r="BW14" i="27"/>
  <c r="AW12" i="27"/>
  <c r="BZ5" i="27"/>
  <c r="AW7" i="27"/>
  <c r="BW7" i="27"/>
  <c r="BZ17" i="27"/>
  <c r="AT14" i="27"/>
  <c r="BW15" i="27"/>
  <c r="AW11" i="27"/>
  <c r="BZ16" i="27"/>
  <c r="BZ12" i="27"/>
  <c r="BZ4" i="27"/>
  <c r="BZ7" i="27"/>
  <c r="BZ18" i="27"/>
  <c r="AW5" i="27"/>
  <c r="BZ8" i="27"/>
  <c r="BZ15" i="27"/>
  <c r="AW13" i="27"/>
  <c r="BZ6" i="27"/>
  <c r="AW15" i="27"/>
  <c r="AT17" i="27"/>
  <c r="AT7" i="27"/>
  <c r="BZ9" i="27"/>
  <c r="AW15" i="26"/>
  <c r="BW9" i="26"/>
  <c r="BW8" i="26"/>
  <c r="BZ7" i="26"/>
  <c r="AT14" i="26"/>
  <c r="AT9" i="26"/>
  <c r="AT8" i="26"/>
  <c r="BZ5" i="26"/>
  <c r="AW10" i="26"/>
  <c r="AW20" i="26"/>
  <c r="AW18" i="26"/>
  <c r="BZ12" i="26"/>
  <c r="AW12" i="26"/>
  <c r="BW15" i="26"/>
  <c r="AW6" i="26"/>
  <c r="BZ11" i="26"/>
  <c r="AT11" i="26"/>
  <c r="BZ17" i="26"/>
  <c r="BZ6" i="26"/>
  <c r="BZ4" i="26"/>
  <c r="AW4" i="26"/>
  <c r="AW7" i="26"/>
  <c r="BZ14" i="26"/>
  <c r="BZ13" i="26"/>
  <c r="AW14" i="26"/>
  <c r="BZ9" i="26"/>
  <c r="BZ16" i="26"/>
  <c r="AW5" i="26"/>
  <c r="AW9" i="26"/>
  <c r="AW16" i="26"/>
  <c r="BZ19" i="26"/>
  <c r="BZ8" i="26"/>
  <c r="AW19" i="26"/>
  <c r="AW8" i="26"/>
  <c r="BZ10" i="26"/>
  <c r="BW20" i="26"/>
  <c r="AU14" i="22"/>
  <c r="AY14" i="22" s="1"/>
  <c r="BZ10" i="22"/>
  <c r="BV5" i="22"/>
  <c r="BZ5" i="22" s="1"/>
  <c r="BZ9" i="22"/>
  <c r="AU10" i="22"/>
  <c r="AY10" i="22" s="1"/>
  <c r="BZ13" i="22"/>
  <c r="BZ14" i="22"/>
  <c r="AU13" i="22"/>
  <c r="AY13" i="22" s="1"/>
  <c r="AU8" i="22"/>
  <c r="AY8" i="22" s="1"/>
  <c r="AU12" i="22"/>
  <c r="AY12" i="22" s="1"/>
  <c r="BV8" i="22"/>
  <c r="BZ8" i="22" s="1"/>
  <c r="AU15" i="22"/>
  <c r="AY15" i="22" s="1"/>
  <c r="AU11" i="22"/>
  <c r="AY11" i="22" s="1"/>
  <c r="BV11" i="22"/>
  <c r="BZ11" i="22" s="1"/>
  <c r="AU4" i="22"/>
  <c r="AY4" i="22" s="1"/>
  <c r="BV4" i="22"/>
  <c r="BZ4" i="22" s="1"/>
  <c r="AU6" i="22"/>
  <c r="AY6" i="22" s="1"/>
  <c r="BV6" i="22"/>
  <c r="BZ6" i="22" s="1"/>
  <c r="AU7" i="22"/>
  <c r="AY7" i="22" s="1"/>
  <c r="BV7" i="22"/>
  <c r="BZ7" i="22" s="1"/>
  <c r="BZ15" i="22"/>
  <c r="BV9" i="4"/>
  <c r="BZ9" i="4" s="1"/>
  <c r="BZ23" i="4"/>
  <c r="AY26" i="4"/>
  <c r="AU4" i="4"/>
  <c r="AY4" i="4" s="1"/>
  <c r="AU16" i="4"/>
  <c r="AY16" i="4" s="1"/>
  <c r="BV6" i="4"/>
  <c r="BZ6" i="4" s="1"/>
  <c r="AY15" i="4"/>
  <c r="BV12" i="4"/>
  <c r="BZ12" i="4" s="1"/>
  <c r="AY20" i="4"/>
  <c r="AU13" i="4"/>
  <c r="AY13" i="4" s="1"/>
  <c r="BV8" i="4"/>
  <c r="BZ8" i="4" s="1"/>
  <c r="BV14" i="4"/>
  <c r="BZ14" i="4" s="1"/>
  <c r="BV22" i="4"/>
  <c r="BZ22" i="4" s="1"/>
  <c r="AU8" i="4"/>
  <c r="AY8" i="4" s="1"/>
  <c r="AU9" i="4"/>
  <c r="AY9" i="4" s="1"/>
  <c r="AU18" i="4"/>
  <c r="AY18" i="4" s="1"/>
  <c r="BV10" i="4"/>
  <c r="BZ10" i="4" s="1"/>
  <c r="AU10" i="4"/>
  <c r="AY10" i="4" s="1"/>
  <c r="BV7" i="4"/>
  <c r="BZ7" i="4" s="1"/>
  <c r="BV16" i="4"/>
  <c r="BZ16" i="4" s="1"/>
  <c r="AU21" i="4"/>
  <c r="AY21" i="4" s="1"/>
  <c r="BZ27" i="4"/>
  <c r="BZ25" i="4"/>
  <c r="AU6" i="4"/>
  <c r="AY6" i="4" s="1"/>
  <c r="AU25" i="4"/>
  <c r="AY25" i="4" s="1"/>
  <c r="BV19" i="4"/>
  <c r="BZ19" i="4" s="1"/>
  <c r="AY19" i="4"/>
  <c r="BV11" i="4"/>
  <c r="BZ11" i="4" s="1"/>
  <c r="AU5" i="4"/>
  <c r="AY5" i="4" s="1"/>
  <c r="BV20" i="4"/>
  <c r="BZ20" i="4" s="1"/>
  <c r="BV13" i="4"/>
  <c r="BZ13" i="4" s="1"/>
  <c r="BV24" i="4"/>
  <c r="BZ24" i="4" s="1"/>
  <c r="RC32" i="21"/>
  <c r="DE30" i="21"/>
  <c r="RC30" i="21"/>
  <c r="DE25" i="21"/>
  <c r="RF32" i="21"/>
  <c r="DE32" i="21"/>
  <c r="M32" i="21"/>
  <c r="DD32" i="21"/>
  <c r="O32" i="21"/>
  <c r="BW15" i="21"/>
  <c r="BW28" i="21"/>
  <c r="K30" i="21"/>
  <c r="J30" i="21" s="1"/>
  <c r="RF25" i="21"/>
  <c r="RF30" i="21"/>
  <c r="AT16" i="21"/>
  <c r="BW7" i="21"/>
  <c r="BW27" i="21"/>
  <c r="BW17" i="21"/>
  <c r="M30" i="21"/>
  <c r="DD30" i="21"/>
  <c r="O30" i="21"/>
  <c r="BZ13" i="21"/>
  <c r="BZ29" i="21"/>
  <c r="AW9" i="21"/>
  <c r="AW18" i="21"/>
  <c r="AT29" i="21"/>
  <c r="RC24" i="21"/>
  <c r="BZ20" i="21"/>
  <c r="BW4" i="21"/>
  <c r="RC25" i="21"/>
  <c r="BZ6" i="21"/>
  <c r="AT27" i="21"/>
  <c r="M25" i="21"/>
  <c r="DD25" i="21"/>
  <c r="O25" i="21"/>
  <c r="BW8" i="21"/>
  <c r="AT31" i="21"/>
  <c r="BW10" i="21"/>
  <c r="BW26" i="21"/>
  <c r="AT17" i="21"/>
  <c r="AW4" i="21"/>
  <c r="BZ7" i="21"/>
  <c r="BZ21" i="21"/>
  <c r="BZ22" i="21"/>
  <c r="BZ4" i="21"/>
  <c r="AW7" i="21"/>
  <c r="RF24" i="21"/>
  <c r="AW5" i="21"/>
  <c r="AW26" i="21"/>
  <c r="AW19" i="21"/>
  <c r="AW22" i="21"/>
  <c r="BZ11" i="21"/>
  <c r="BZ9" i="21"/>
  <c r="DE24" i="21"/>
  <c r="DD24" i="21"/>
  <c r="O24" i="21"/>
  <c r="K24" i="21"/>
  <c r="J24" i="21" s="1"/>
  <c r="AW6" i="21"/>
  <c r="BZ31" i="21"/>
  <c r="AW10" i="21"/>
  <c r="AW11" i="21"/>
  <c r="AW15" i="21"/>
  <c r="AW27" i="21"/>
  <c r="AW21" i="21"/>
  <c r="BZ5" i="21"/>
  <c r="BZ10" i="21"/>
  <c r="BZ26" i="21"/>
  <c r="BZ19" i="21"/>
  <c r="AW17" i="21"/>
  <c r="BZ15" i="21"/>
  <c r="BZ27" i="21"/>
  <c r="BZ17" i="21"/>
  <c r="AW28" i="21"/>
  <c r="AW13" i="21"/>
  <c r="BZ18" i="21"/>
  <c r="BZ28" i="21"/>
  <c r="AW8" i="21"/>
  <c r="AW23" i="21"/>
  <c r="AW14" i="21"/>
  <c r="BZ23" i="21"/>
  <c r="AW12" i="21"/>
  <c r="BZ14" i="21"/>
  <c r="AT10" i="21"/>
  <c r="AT20" i="21"/>
  <c r="BZ12" i="21"/>
  <c r="RC34" i="19"/>
  <c r="RC28" i="19"/>
  <c r="RC32" i="19"/>
  <c r="DE34" i="19"/>
  <c r="M34" i="19"/>
  <c r="DD34" i="19"/>
  <c r="O34" i="19"/>
  <c r="AT6" i="19"/>
  <c r="AT14" i="19"/>
  <c r="AT19" i="19"/>
  <c r="AT35" i="19"/>
  <c r="K28" i="19"/>
  <c r="J28" i="19" s="1"/>
  <c r="A28" i="19" s="1" a="1"/>
  <c r="A28" i="19" s="1"/>
  <c r="RF32" i="19"/>
  <c r="AW25" i="19"/>
  <c r="AT36" i="19"/>
  <c r="BZ22" i="19"/>
  <c r="DE32" i="19"/>
  <c r="DD32" i="19"/>
  <c r="O32" i="19"/>
  <c r="M32" i="19"/>
  <c r="BZ10" i="19"/>
  <c r="BW35" i="19"/>
  <c r="AW24" i="19"/>
  <c r="AW33" i="19"/>
  <c r="AT11" i="19"/>
  <c r="AT27" i="19"/>
  <c r="AT29" i="19"/>
  <c r="BZ23" i="19"/>
  <c r="CZ26" i="19"/>
  <c r="AT9" i="19"/>
  <c r="AT12" i="19"/>
  <c r="AT33" i="19"/>
  <c r="DE28" i="19"/>
  <c r="DD28" i="19"/>
  <c r="O28" i="19"/>
  <c r="AT22" i="19"/>
  <c r="AT16" i="19"/>
  <c r="AW15" i="19"/>
  <c r="BW11" i="19"/>
  <c r="AW7" i="19"/>
  <c r="BW29" i="19"/>
  <c r="AT13" i="19"/>
  <c r="AW23" i="19"/>
  <c r="BZ4" i="19"/>
  <c r="BW33" i="19"/>
  <c r="BW31" i="19"/>
  <c r="BZ6" i="19"/>
  <c r="AT17" i="19"/>
  <c r="BZ9" i="19"/>
  <c r="BZ14" i="19"/>
  <c r="BZ8" i="19"/>
  <c r="BZ12" i="19"/>
  <c r="BZ19" i="19"/>
  <c r="BZ26" i="19"/>
  <c r="AW4" i="19"/>
  <c r="AT31" i="19"/>
  <c r="BZ15" i="19"/>
  <c r="BZ21" i="19"/>
  <c r="BZ24" i="19"/>
  <c r="BZ35" i="19"/>
  <c r="AW6" i="19"/>
  <c r="AW10" i="19"/>
  <c r="AT24" i="19"/>
  <c r="BZ7" i="19"/>
  <c r="AW5" i="19"/>
  <c r="AW9" i="19"/>
  <c r="AW14" i="19"/>
  <c r="AW8" i="19"/>
  <c r="BZ18" i="19"/>
  <c r="BZ25" i="19"/>
  <c r="BZ33" i="19"/>
  <c r="AW20" i="19"/>
  <c r="AW12" i="19"/>
  <c r="AW19" i="19"/>
  <c r="AW26" i="19"/>
  <c r="BZ30" i="19"/>
  <c r="BZ36" i="19"/>
  <c r="PZ26" i="19"/>
  <c r="BW14" i="21"/>
  <c r="BW12" i="21"/>
  <c r="BW20" i="21"/>
  <c r="BW31" i="21"/>
  <c r="BW16" i="21"/>
  <c r="BW23" i="21"/>
  <c r="BW9" i="21"/>
  <c r="BW18" i="21"/>
  <c r="BW13" i="21"/>
  <c r="BW29" i="21"/>
  <c r="BW5" i="21"/>
  <c r="BW11" i="21"/>
  <c r="BZ8" i="21"/>
  <c r="BW6" i="21"/>
  <c r="BW19" i="21"/>
  <c r="BW21" i="21"/>
  <c r="BW22" i="21"/>
  <c r="AT14" i="21"/>
  <c r="AT12" i="21"/>
  <c r="AW20" i="21"/>
  <c r="AT5" i="21"/>
  <c r="AT11" i="21"/>
  <c r="AT23" i="21"/>
  <c r="AW31" i="21"/>
  <c r="AT9" i="21"/>
  <c r="AT18" i="21"/>
  <c r="AT13" i="21"/>
  <c r="AW16" i="21"/>
  <c r="AW29" i="21"/>
  <c r="AT6" i="21"/>
  <c r="AT19" i="21"/>
  <c r="AT21" i="21"/>
  <c r="AT22" i="21"/>
  <c r="AT8" i="21"/>
  <c r="BW7" i="19"/>
  <c r="BW18" i="19"/>
  <c r="BW30" i="19"/>
  <c r="BW23" i="19"/>
  <c r="BZ13" i="19"/>
  <c r="BZ11" i="19"/>
  <c r="BZ17" i="19"/>
  <c r="BZ27" i="19"/>
  <c r="BZ29" i="19"/>
  <c r="BZ31" i="19"/>
  <c r="BW22" i="19"/>
  <c r="BW15" i="19"/>
  <c r="BW25" i="19"/>
  <c r="BW36" i="19"/>
  <c r="BW5" i="19"/>
  <c r="BW16" i="19"/>
  <c r="BW21" i="19"/>
  <c r="BW4" i="19"/>
  <c r="BW10" i="19"/>
  <c r="BW8" i="19"/>
  <c r="BW26" i="19"/>
  <c r="BZ20" i="19"/>
  <c r="AT7" i="19"/>
  <c r="AT18" i="19"/>
  <c r="AT30" i="19"/>
  <c r="AT23" i="19"/>
  <c r="AW13" i="19"/>
  <c r="AW11" i="19"/>
  <c r="AW17" i="19"/>
  <c r="AW27" i="19"/>
  <c r="AW29" i="19"/>
  <c r="AW31" i="19"/>
  <c r="AT15" i="19"/>
  <c r="AT25" i="19"/>
  <c r="AT5" i="19"/>
  <c r="AT21" i="19"/>
  <c r="AW22" i="19"/>
  <c r="AW36" i="19"/>
  <c r="AT4" i="19"/>
  <c r="AT10" i="19"/>
  <c r="AT8" i="19"/>
  <c r="AT26" i="19"/>
  <c r="AT20" i="19"/>
  <c r="AW16" i="19"/>
  <c r="BW5" i="27"/>
  <c r="BW17" i="27"/>
  <c r="BW9" i="27"/>
  <c r="BW6" i="27"/>
  <c r="BW4" i="27"/>
  <c r="BW8" i="27"/>
  <c r="BZ14" i="27"/>
  <c r="BW13" i="27"/>
  <c r="BW11" i="27"/>
  <c r="BW10" i="27"/>
  <c r="BW12" i="27"/>
  <c r="AT5" i="27"/>
  <c r="AT9" i="27"/>
  <c r="AT6" i="27"/>
  <c r="AT13" i="27"/>
  <c r="AW17" i="27"/>
  <c r="AT4" i="27"/>
  <c r="AW14" i="27"/>
  <c r="AT11" i="27"/>
  <c r="AT10" i="27"/>
  <c r="AT12" i="27"/>
  <c r="AT8" i="27"/>
  <c r="BW12" i="26"/>
  <c r="BZ15" i="26"/>
  <c r="BW11" i="26"/>
  <c r="BW10" i="26"/>
  <c r="BW5" i="26"/>
  <c r="BW19" i="26"/>
  <c r="BZ18" i="26"/>
  <c r="BW6" i="26"/>
  <c r="BW17" i="26"/>
  <c r="BW7" i="26"/>
  <c r="BW13" i="26"/>
  <c r="BZ20" i="26"/>
  <c r="AT12" i="26"/>
  <c r="AT15" i="26"/>
  <c r="AT6" i="26"/>
  <c r="AW11" i="26"/>
  <c r="AW17" i="26"/>
  <c r="AT10" i="26"/>
  <c r="AT18" i="26"/>
  <c r="AT20" i="26"/>
  <c r="AT5" i="26"/>
  <c r="AT19" i="26"/>
  <c r="AT7" i="26"/>
  <c r="AT13" i="26"/>
  <c r="CZ23" i="19"/>
  <c r="CZ20" i="26"/>
  <c r="CZ14" i="27"/>
  <c r="CZ22" i="21"/>
  <c r="CZ29" i="19"/>
  <c r="PZ23" i="19"/>
  <c r="PZ14" i="27"/>
  <c r="CZ17" i="27"/>
  <c r="PZ17" i="27"/>
  <c r="CZ7" i="21"/>
  <c r="PZ22" i="21"/>
  <c r="PZ29" i="19"/>
  <c r="PZ24" i="19"/>
  <c r="CZ24" i="19"/>
  <c r="CZ17" i="26"/>
  <c r="PZ17" i="26"/>
  <c r="PZ20" i="26"/>
  <c r="DC22" i="21"/>
  <c r="PZ13" i="21"/>
  <c r="PZ12" i="21"/>
  <c r="CZ19" i="21"/>
  <c r="L22" i="21"/>
  <c r="M22" i="21" s="1"/>
  <c r="QC13" i="21"/>
  <c r="PZ19" i="21"/>
  <c r="QY7" i="21"/>
  <c r="RD7" i="21"/>
  <c r="QY12" i="21"/>
  <c r="RD13" i="21"/>
  <c r="QC19" i="21"/>
  <c r="QZ12" i="21"/>
  <c r="QY20" i="21"/>
  <c r="RD22" i="21"/>
  <c r="RE22" i="21"/>
  <c r="P22" i="21"/>
  <c r="Q22" i="21" s="1"/>
  <c r="PZ7" i="21"/>
  <c r="QC22" i="21"/>
  <c r="RB12" i="21"/>
  <c r="I13" i="21"/>
  <c r="PZ20" i="21"/>
  <c r="QC12" i="21"/>
  <c r="DC19" i="21"/>
  <c r="L19" i="21"/>
  <c r="M19" i="21" s="1"/>
  <c r="P20" i="21"/>
  <c r="DE20" i="21" s="1"/>
  <c r="P13" i="21"/>
  <c r="Q13" i="21" s="1"/>
  <c r="QZ20" i="21"/>
  <c r="CZ12" i="21"/>
  <c r="P19" i="21"/>
  <c r="Q19" i="21" s="1"/>
  <c r="RD19" i="21"/>
  <c r="QY14" i="27"/>
  <c r="QY17" i="27"/>
  <c r="QY20" i="26"/>
  <c r="QY17" i="26"/>
  <c r="CZ13" i="21"/>
  <c r="QY22" i="21"/>
  <c r="H20" i="21"/>
  <c r="P7" i="21"/>
  <c r="Q7" i="21" s="1"/>
  <c r="RA7" i="21"/>
  <c r="RA12" i="21"/>
  <c r="H13" i="21"/>
  <c r="QZ7" i="21"/>
  <c r="DC13" i="21"/>
  <c r="I12" i="21"/>
  <c r="QZ13" i="21"/>
  <c r="QZ19" i="21"/>
  <c r="RB22" i="21"/>
  <c r="QY19" i="21"/>
  <c r="I22" i="21"/>
  <c r="H12" i="21"/>
  <c r="RA20" i="21"/>
  <c r="N20" i="21"/>
  <c r="RB7" i="21"/>
  <c r="P12" i="21"/>
  <c r="Q12" i="21" s="1"/>
  <c r="DC7" i="21"/>
  <c r="QY13" i="21"/>
  <c r="L7" i="21"/>
  <c r="M7" i="21" s="1"/>
  <c r="RE19" i="21"/>
  <c r="QZ22" i="21"/>
  <c r="H22" i="21"/>
  <c r="RB20" i="21"/>
  <c r="CZ20" i="21"/>
  <c r="H7" i="21"/>
  <c r="RE13" i="21"/>
  <c r="N7" i="21"/>
  <c r="DC12" i="21"/>
  <c r="RA13" i="21"/>
  <c r="H19" i="21"/>
  <c r="RA19" i="21"/>
  <c r="RD20" i="21"/>
  <c r="RD12" i="21"/>
  <c r="N12" i="21"/>
  <c r="I19" i="21"/>
  <c r="L20" i="21"/>
  <c r="I20" i="21"/>
  <c r="L12" i="21"/>
  <c r="RA22" i="21"/>
  <c r="N22" i="21"/>
  <c r="I7" i="21"/>
  <c r="RB13" i="21"/>
  <c r="QC20" i="21"/>
  <c r="L13" i="21"/>
  <c r="RB19" i="21"/>
  <c r="RE20" i="21"/>
  <c r="DC20" i="21"/>
  <c r="QC7" i="21"/>
  <c r="N19" i="21"/>
  <c r="N13" i="21"/>
  <c r="RE7" i="21"/>
  <c r="RE12" i="21"/>
  <c r="QY26" i="19"/>
  <c r="RB26" i="19"/>
  <c r="QC26" i="19"/>
  <c r="RA26" i="19"/>
  <c r="P26" i="19"/>
  <c r="Q26" i="19" s="1"/>
  <c r="DC26" i="19"/>
  <c r="QZ26" i="19"/>
  <c r="RD26" i="19"/>
  <c r="I26" i="19"/>
  <c r="H26" i="19"/>
  <c r="N26" i="19"/>
  <c r="L26" i="19"/>
  <c r="RE26" i="19"/>
  <c r="RB23" i="19"/>
  <c r="QZ23" i="19"/>
  <c r="QY29" i="19"/>
  <c r="QY23" i="19"/>
  <c r="QC23" i="19"/>
  <c r="P23" i="19"/>
  <c r="Q23" i="19" s="1"/>
  <c r="RA23" i="19"/>
  <c r="L23" i="19"/>
  <c r="M23" i="19" s="1"/>
  <c r="RD23" i="19"/>
  <c r="I23" i="19"/>
  <c r="H23" i="19"/>
  <c r="N23" i="19"/>
  <c r="RE23" i="19"/>
  <c r="DC23" i="19"/>
  <c r="QZ29" i="19"/>
  <c r="RB24" i="19"/>
  <c r="QZ24" i="19"/>
  <c r="QY24" i="19"/>
  <c r="QC24" i="19"/>
  <c r="P24" i="19"/>
  <c r="Q24" i="19" s="1"/>
  <c r="DC24" i="19"/>
  <c r="RA24" i="19"/>
  <c r="H24" i="19"/>
  <c r="RD24" i="19"/>
  <c r="I24" i="19"/>
  <c r="N24" i="19"/>
  <c r="L24" i="19"/>
  <c r="RE24" i="19"/>
  <c r="RB29" i="19"/>
  <c r="QC29" i="19"/>
  <c r="P29" i="19"/>
  <c r="Q29" i="19" s="1"/>
  <c r="DC29" i="19"/>
  <c r="RA29" i="19"/>
  <c r="RD29" i="19"/>
  <c r="H29" i="19"/>
  <c r="I29" i="19"/>
  <c r="N29" i="19"/>
  <c r="L29" i="19"/>
  <c r="RE29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7" i="27"/>
  <c r="QZ17" i="27"/>
  <c r="QC17" i="27"/>
  <c r="P17" i="27"/>
  <c r="Q17" i="27" s="1"/>
  <c r="L17" i="27"/>
  <c r="M17" i="27" s="1"/>
  <c r="RA17" i="27"/>
  <c r="RD17" i="27"/>
  <c r="I17" i="27"/>
  <c r="H17" i="27"/>
  <c r="N17" i="27"/>
  <c r="RE17" i="27"/>
  <c r="DC17" i="27"/>
  <c r="RB17" i="26"/>
  <c r="QZ20" i="26"/>
  <c r="QZ17" i="26"/>
  <c r="P17" i="26"/>
  <c r="Q17" i="26" s="1"/>
  <c r="QC17" i="26"/>
  <c r="DC17" i="26"/>
  <c r="RA17" i="26"/>
  <c r="RD17" i="26"/>
  <c r="I17" i="26"/>
  <c r="H17" i="26"/>
  <c r="N17" i="26"/>
  <c r="L17" i="26"/>
  <c r="RE17" i="26"/>
  <c r="RB20" i="26"/>
  <c r="QC20" i="26"/>
  <c r="P20" i="26"/>
  <c r="DE20" i="26" s="1"/>
  <c r="DC20" i="26"/>
  <c r="RA20" i="26"/>
  <c r="N20" i="26"/>
  <c r="DD20" i="26" s="1"/>
  <c r="RD20" i="26"/>
  <c r="H20" i="26"/>
  <c r="I20" i="26"/>
  <c r="L20" i="26"/>
  <c r="M20" i="26" s="1"/>
  <c r="RE20" i="26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24" i="21" l="1"/>
  <c r="O20" i="21"/>
  <c r="R25" i="21"/>
  <c r="T25" i="21" s="1"/>
  <c r="R30" i="21"/>
  <c r="S30" i="21" s="1"/>
  <c r="R32" i="21"/>
  <c r="F32" i="21" s="1"/>
  <c r="R34" i="19"/>
  <c r="S34" i="19" s="1"/>
  <c r="B32" i="21" a="1"/>
  <c r="B32" i="21" s="1"/>
  <c r="F30" i="21"/>
  <c r="A30" i="21" a="1"/>
  <c r="A30" i="21" s="1"/>
  <c r="B30" i="21" a="1"/>
  <c r="B30" i="21" s="1"/>
  <c r="T30" i="21"/>
  <c r="B25" i="21" a="1"/>
  <c r="B25" i="21" s="1"/>
  <c r="F25" i="21"/>
  <c r="S25" i="21"/>
  <c r="F24" i="21"/>
  <c r="A24" i="21" a="1"/>
  <c r="A24" i="21" s="1"/>
  <c r="B24" i="21" a="1"/>
  <c r="B24" i="21" s="1"/>
  <c r="S24" i="21"/>
  <c r="T24" i="21"/>
  <c r="R28" i="19"/>
  <c r="F28" i="19" s="1"/>
  <c r="A34" i="19" a="1"/>
  <c r="A34" i="19" s="1"/>
  <c r="B34" i="19" a="1"/>
  <c r="B34" i="19" s="1"/>
  <c r="R32" i="19"/>
  <c r="T32" i="19" s="1"/>
  <c r="B32" i="19" a="1"/>
  <c r="B32" i="19" s="1"/>
  <c r="B28" i="19" a="1"/>
  <c r="B28" i="19" s="1"/>
  <c r="DE17" i="26"/>
  <c r="Q20" i="21"/>
  <c r="DE13" i="21"/>
  <c r="K26" i="19"/>
  <c r="J26" i="19" s="1"/>
  <c r="K23" i="19"/>
  <c r="J23" i="19" s="1"/>
  <c r="A23" i="19" s="1" a="1"/>
  <c r="A23" i="19" s="1"/>
  <c r="PZ9" i="26"/>
  <c r="PZ10" i="26"/>
  <c r="DD20" i="21"/>
  <c r="R20" i="21" s="1"/>
  <c r="K7" i="21"/>
  <c r="J7" i="21" s="1"/>
  <c r="PZ15" i="21"/>
  <c r="RC12" i="21"/>
  <c r="K13" i="21"/>
  <c r="J13" i="21" s="1"/>
  <c r="A13" i="21" s="1" a="1"/>
  <c r="A13" i="21" s="1"/>
  <c r="RC17" i="27"/>
  <c r="K14" i="27"/>
  <c r="J14" i="27" s="1"/>
  <c r="DE7" i="21"/>
  <c r="K12" i="21"/>
  <c r="J12" i="21" s="1"/>
  <c r="K19" i="21"/>
  <c r="J19" i="21" s="1"/>
  <c r="DE22" i="21"/>
  <c r="DE19" i="21"/>
  <c r="RF7" i="21"/>
  <c r="RF20" i="21"/>
  <c r="RC7" i="21"/>
  <c r="K22" i="21"/>
  <c r="J22" i="21" s="1"/>
  <c r="RC20" i="21"/>
  <c r="K20" i="21"/>
  <c r="J20" i="21" s="1"/>
  <c r="RF12" i="21"/>
  <c r="K29" i="19"/>
  <c r="J29" i="19" s="1"/>
  <c r="A29" i="19" s="1" a="1"/>
  <c r="A29" i="19" s="1"/>
  <c r="DE29" i="19"/>
  <c r="K24" i="19"/>
  <c r="J24" i="19" s="1"/>
  <c r="A24" i="19" s="1" a="1"/>
  <c r="A24" i="19" s="1"/>
  <c r="RC14" i="27"/>
  <c r="K17" i="27"/>
  <c r="J17" i="27" s="1"/>
  <c r="RC17" i="26"/>
  <c r="RC20" i="26"/>
  <c r="K17" i="26"/>
  <c r="J17" i="26" s="1"/>
  <c r="K20" i="26"/>
  <c r="J20" i="26" s="1"/>
  <c r="RC19" i="21"/>
  <c r="RC13" i="21"/>
  <c r="RF19" i="21"/>
  <c r="DD7" i="21"/>
  <c r="O7" i="21"/>
  <c r="RF22" i="21"/>
  <c r="DE12" i="21"/>
  <c r="RF13" i="21"/>
  <c r="DD12" i="21"/>
  <c r="O12" i="21"/>
  <c r="RC22" i="21"/>
  <c r="DD22" i="21"/>
  <c r="O22" i="21"/>
  <c r="O13" i="21"/>
  <c r="DD13" i="21"/>
  <c r="M12" i="21"/>
  <c r="M13" i="21"/>
  <c r="O19" i="21"/>
  <c r="DD19" i="21"/>
  <c r="M20" i="21"/>
  <c r="PZ10" i="21"/>
  <c r="PZ6" i="21"/>
  <c r="RC26" i="19"/>
  <c r="DE26" i="19"/>
  <c r="RF26" i="19"/>
  <c r="DE23" i="19"/>
  <c r="RC24" i="19"/>
  <c r="DD26" i="19"/>
  <c r="O26" i="19"/>
  <c r="M26" i="19"/>
  <c r="RC23" i="19"/>
  <c r="RC29" i="19"/>
  <c r="RF23" i="19"/>
  <c r="DD23" i="19"/>
  <c r="O23" i="19"/>
  <c r="RF24" i="19"/>
  <c r="DE24" i="19"/>
  <c r="DD24" i="19"/>
  <c r="O24" i="19"/>
  <c r="M24" i="19"/>
  <c r="PZ10" i="19"/>
  <c r="CZ33" i="19"/>
  <c r="RF29" i="19"/>
  <c r="DD29" i="19"/>
  <c r="O29" i="19"/>
  <c r="M29" i="19"/>
  <c r="PZ33" i="19"/>
  <c r="RF14" i="27"/>
  <c r="DE14" i="27"/>
  <c r="RF17" i="27"/>
  <c r="DE17" i="27"/>
  <c r="DD14" i="27"/>
  <c r="O14" i="27"/>
  <c r="M14" i="27"/>
  <c r="DD17" i="27"/>
  <c r="O17" i="27"/>
  <c r="RF17" i="26"/>
  <c r="R20" i="26"/>
  <c r="RF20" i="26"/>
  <c r="DD17" i="26"/>
  <c r="O17" i="26"/>
  <c r="M17" i="26"/>
  <c r="Q20" i="26"/>
  <c r="O20" i="26"/>
  <c r="CW15" i="4"/>
  <c r="DA15" i="4" s="1"/>
  <c r="CZ15" i="21"/>
  <c r="CZ6" i="21"/>
  <c r="CZ10" i="21"/>
  <c r="QY6" i="21"/>
  <c r="QY15" i="21"/>
  <c r="QY12" i="26"/>
  <c r="CZ11" i="19"/>
  <c r="CZ10" i="19"/>
  <c r="TN15" i="4"/>
  <c r="PZ11" i="19"/>
  <c r="QY33" i="19"/>
  <c r="CZ18" i="19"/>
  <c r="PZ18" i="27"/>
  <c r="CZ10" i="26"/>
  <c r="PZ18" i="19"/>
  <c r="CZ5" i="19"/>
  <c r="PZ5" i="19"/>
  <c r="QY11" i="19"/>
  <c r="RD33" i="19"/>
  <c r="PZ6" i="27"/>
  <c r="CZ6" i="27"/>
  <c r="CZ18" i="27"/>
  <c r="RB12" i="26"/>
  <c r="PZ12" i="26"/>
  <c r="CZ9" i="26"/>
  <c r="CZ12" i="26"/>
  <c r="QY9" i="26"/>
  <c r="RD12" i="26"/>
  <c r="SN9" i="22"/>
  <c r="SU9" i="22" s="1"/>
  <c r="TQ9" i="22"/>
  <c r="CW9" i="22"/>
  <c r="DA9" i="22" s="1"/>
  <c r="TN8" i="4"/>
  <c r="SN8" i="4"/>
  <c r="SU8" i="4" s="1"/>
  <c r="SN15" i="4"/>
  <c r="SU15" i="4" s="1"/>
  <c r="TQ15" i="4"/>
  <c r="CW8" i="4"/>
  <c r="DA8" i="4" s="1"/>
  <c r="QZ15" i="21"/>
  <c r="RD15" i="21"/>
  <c r="RB15" i="21"/>
  <c r="RB33" i="19"/>
  <c r="QY10" i="19"/>
  <c r="QZ6" i="27"/>
  <c r="RB18" i="27"/>
  <c r="QY18" i="27"/>
  <c r="QZ18" i="27"/>
  <c r="QY6" i="27"/>
  <c r="QY10" i="26"/>
  <c r="QZ12" i="26"/>
  <c r="TQ8" i="4"/>
  <c r="QC15" i="21"/>
  <c r="P15" i="21"/>
  <c r="Q15" i="21" s="1"/>
  <c r="DC15" i="21"/>
  <c r="RA15" i="21"/>
  <c r="I15" i="21"/>
  <c r="H15" i="21"/>
  <c r="N15" i="21"/>
  <c r="L15" i="21"/>
  <c r="RE15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0" i="19"/>
  <c r="QZ11" i="19"/>
  <c r="QY18" i="19"/>
  <c r="RB10" i="19"/>
  <c r="QC10" i="19"/>
  <c r="P10" i="19"/>
  <c r="Q10" i="19" s="1"/>
  <c r="DC10" i="19"/>
  <c r="RA10" i="19"/>
  <c r="RD10" i="19"/>
  <c r="I10" i="19"/>
  <c r="H10" i="19"/>
  <c r="N10" i="19"/>
  <c r="L10" i="19"/>
  <c r="RE10" i="19"/>
  <c r="QZ18" i="19"/>
  <c r="RB11" i="19"/>
  <c r="QY5" i="19"/>
  <c r="QC11" i="19"/>
  <c r="P11" i="19"/>
  <c r="Q11" i="19" s="1"/>
  <c r="DC11" i="19"/>
  <c r="RA11" i="19"/>
  <c r="RD11" i="19"/>
  <c r="I11" i="19"/>
  <c r="H11" i="19"/>
  <c r="N11" i="19"/>
  <c r="L11" i="19"/>
  <c r="RE11" i="19"/>
  <c r="QZ5" i="19"/>
  <c r="RB18" i="19"/>
  <c r="QC18" i="19"/>
  <c r="DC18" i="19"/>
  <c r="P18" i="19"/>
  <c r="Q18" i="19" s="1"/>
  <c r="RA18" i="19"/>
  <c r="RD18" i="19"/>
  <c r="I18" i="19"/>
  <c r="H18" i="19"/>
  <c r="N18" i="19"/>
  <c r="L18" i="19"/>
  <c r="RE18" i="19"/>
  <c r="RB5" i="19"/>
  <c r="QC5" i="19"/>
  <c r="P5" i="19"/>
  <c r="Q5" i="19" s="1"/>
  <c r="DC5" i="19"/>
  <c r="RA5" i="19"/>
  <c r="RD5" i="19"/>
  <c r="I5" i="19"/>
  <c r="H5" i="19"/>
  <c r="N5" i="19"/>
  <c r="L5" i="19"/>
  <c r="RE5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2" i="26"/>
  <c r="DC12" i="26"/>
  <c r="RA12" i="26"/>
  <c r="P12" i="26"/>
  <c r="DE12" i="26" s="1"/>
  <c r="I12" i="26"/>
  <c r="H12" i="26"/>
  <c r="N12" i="26"/>
  <c r="L12" i="26"/>
  <c r="RE12" i="26"/>
  <c r="RB10" i="26"/>
  <c r="QZ9" i="26"/>
  <c r="QZ10" i="26"/>
  <c r="QC10" i="26"/>
  <c r="P10" i="26"/>
  <c r="Q10" i="26" s="1"/>
  <c r="RA10" i="26"/>
  <c r="L10" i="26"/>
  <c r="M10" i="26" s="1"/>
  <c r="RD10" i="26"/>
  <c r="I10" i="26"/>
  <c r="H10" i="26"/>
  <c r="N10" i="26"/>
  <c r="RE10" i="26"/>
  <c r="DC10" i="26"/>
  <c r="RB9" i="26"/>
  <c r="QC9" i="26"/>
  <c r="P9" i="26"/>
  <c r="Q9" i="26" s="1"/>
  <c r="DC9" i="26"/>
  <c r="RA9" i="26"/>
  <c r="RD9" i="26"/>
  <c r="I9" i="26"/>
  <c r="H9" i="26"/>
  <c r="N9" i="26"/>
  <c r="L9" i="26"/>
  <c r="RE9" i="26"/>
  <c r="TN9" i="22"/>
  <c r="TU9" i="22"/>
  <c r="N9" i="22"/>
  <c r="O9" i="22" s="1"/>
  <c r="H9" i="22"/>
  <c r="K9" i="22"/>
  <c r="I9" i="22"/>
  <c r="T9" i="22"/>
  <c r="U9" i="22" s="1"/>
  <c r="R9" i="22"/>
  <c r="S9" i="22" s="1"/>
  <c r="P9" i="22"/>
  <c r="L9" i="22"/>
  <c r="N15" i="4"/>
  <c r="O15" i="4" s="1"/>
  <c r="TU15" i="4"/>
  <c r="R15" i="4"/>
  <c r="S15" i="4" s="1"/>
  <c r="H15" i="4"/>
  <c r="K15" i="4"/>
  <c r="T15" i="4"/>
  <c r="U15" i="4" s="1"/>
  <c r="P15" i="4"/>
  <c r="L15" i="4"/>
  <c r="I15" i="4"/>
  <c r="N8" i="4"/>
  <c r="O8" i="4" s="1"/>
  <c r="TU8" i="4"/>
  <c r="R8" i="4"/>
  <c r="S8" i="4" s="1"/>
  <c r="I8" i="4"/>
  <c r="H8" i="4"/>
  <c r="T8" i="4"/>
  <c r="U8" i="4" s="1"/>
  <c r="P8" i="4"/>
  <c r="K8" i="4"/>
  <c r="L8" i="4"/>
  <c r="T34" i="19" l="1"/>
  <c r="F34" i="19"/>
  <c r="F32" i="19"/>
  <c r="T32" i="21"/>
  <c r="S32" i="21"/>
  <c r="S32" i="19"/>
  <c r="S28" i="19"/>
  <c r="T28" i="19"/>
  <c r="T20" i="21"/>
  <c r="S20" i="21"/>
  <c r="S20" i="26"/>
  <c r="T20" i="26"/>
  <c r="R17" i="26"/>
  <c r="F17" i="26" s="1"/>
  <c r="R7" i="21"/>
  <c r="R12" i="21"/>
  <c r="R19" i="21"/>
  <c r="R22" i="21"/>
  <c r="A20" i="21" a="1"/>
  <c r="A20" i="21" s="1"/>
  <c r="B20" i="21" a="1"/>
  <c r="B20" i="21" s="1"/>
  <c r="F20" i="21"/>
  <c r="R14" i="27"/>
  <c r="K15" i="21"/>
  <c r="J15" i="21" s="1"/>
  <c r="B15" i="21" s="1" a="1"/>
  <c r="B15" i="21" s="1"/>
  <c r="B12" i="21" a="1"/>
  <c r="B12" i="21" s="1"/>
  <c r="A12" i="21" a="1"/>
  <c r="A12" i="21" s="1"/>
  <c r="B13" i="21" a="1"/>
  <c r="B13" i="21" s="1"/>
  <c r="R13" i="21"/>
  <c r="B22" i="21" a="1"/>
  <c r="B22" i="21" s="1"/>
  <c r="A22" i="21" a="1"/>
  <c r="A22" i="21" s="1"/>
  <c r="A19" i="21" a="1"/>
  <c r="A19" i="21" s="1"/>
  <c r="B19" i="21" a="1"/>
  <c r="B19" i="21" s="1"/>
  <c r="K6" i="21"/>
  <c r="J6" i="21" s="1"/>
  <c r="R29" i="19"/>
  <c r="R26" i="19"/>
  <c r="A26" i="19" a="1"/>
  <c r="A26" i="19" s="1"/>
  <c r="B26" i="19" a="1"/>
  <c r="B26" i="19" s="1"/>
  <c r="B23" i="19" a="1"/>
  <c r="B23" i="19" s="1"/>
  <c r="R23" i="19"/>
  <c r="R24" i="19"/>
  <c r="B24" i="19" a="1"/>
  <c r="B24" i="19" s="1"/>
  <c r="B29" i="19" a="1"/>
  <c r="B29" i="19" s="1"/>
  <c r="R17" i="27"/>
  <c r="A14" i="27" a="1"/>
  <c r="A14" i="27" s="1"/>
  <c r="B14" i="27" a="1"/>
  <c r="B14" i="27" s="1"/>
  <c r="A17" i="27" a="1"/>
  <c r="A17" i="27" s="1"/>
  <c r="B17" i="27" a="1"/>
  <c r="B17" i="27" s="1"/>
  <c r="F20" i="26"/>
  <c r="K10" i="21"/>
  <c r="J10" i="21" s="1"/>
  <c r="Q10" i="21"/>
  <c r="TR15" i="4"/>
  <c r="TV15" i="4" s="1"/>
  <c r="RC15" i="21"/>
  <c r="K10" i="19"/>
  <c r="J10" i="19" s="1"/>
  <c r="RC6" i="27"/>
  <c r="K18" i="27"/>
  <c r="J18" i="27" s="1"/>
  <c r="TR8" i="4"/>
  <c r="TV8" i="4" s="1"/>
  <c r="K11" i="19"/>
  <c r="J11" i="19" s="1"/>
  <c r="RC18" i="19"/>
  <c r="K33" i="19"/>
  <c r="J33" i="19" s="1"/>
  <c r="RC18" i="27"/>
  <c r="K6" i="27"/>
  <c r="J6" i="27" s="1"/>
  <c r="K12" i="26"/>
  <c r="J12" i="26" s="1"/>
  <c r="DE10" i="26"/>
  <c r="Q12" i="26"/>
  <c r="TR9" i="22"/>
  <c r="TV9" i="22" s="1"/>
  <c r="DE15" i="21"/>
  <c r="RF10" i="21"/>
  <c r="RC33" i="19"/>
  <c r="RC10" i="19"/>
  <c r="DE33" i="19"/>
  <c r="RF33" i="19"/>
  <c r="RC11" i="19"/>
  <c r="DE18" i="27"/>
  <c r="RC12" i="26"/>
  <c r="RF12" i="26"/>
  <c r="K10" i="26"/>
  <c r="J10" i="26" s="1"/>
  <c r="RF15" i="21"/>
  <c r="DD15" i="21"/>
  <c r="O15" i="21"/>
  <c r="M15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1" i="19"/>
  <c r="DE18" i="19"/>
  <c r="DE10" i="19"/>
  <c r="RF10" i="19"/>
  <c r="DD10" i="19"/>
  <c r="O10" i="19"/>
  <c r="M10" i="19"/>
  <c r="RC5" i="19"/>
  <c r="RF11" i="19"/>
  <c r="K18" i="19"/>
  <c r="J18" i="19" s="1"/>
  <c r="DD11" i="19"/>
  <c r="O11" i="19"/>
  <c r="M11" i="19"/>
  <c r="K5" i="19"/>
  <c r="J5" i="19" s="1"/>
  <c r="RF18" i="19"/>
  <c r="DD18" i="19"/>
  <c r="O18" i="19"/>
  <c r="M18" i="19"/>
  <c r="DE5" i="19"/>
  <c r="RF5" i="19"/>
  <c r="DD5" i="19"/>
  <c r="O5" i="19"/>
  <c r="M5" i="19"/>
  <c r="RF18" i="27"/>
  <c r="DD18" i="27"/>
  <c r="O18" i="27"/>
  <c r="M18" i="27"/>
  <c r="DE6" i="27"/>
  <c r="RF6" i="27"/>
  <c r="DD6" i="27"/>
  <c r="O6" i="27"/>
  <c r="M6" i="27"/>
  <c r="DD12" i="26"/>
  <c r="O12" i="26"/>
  <c r="M12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J9" i="22"/>
  <c r="B9" i="22" s="1" a="1"/>
  <c r="B9" i="22" s="1"/>
  <c r="M9" i="22"/>
  <c r="Q9" i="22"/>
  <c r="DC9" i="22"/>
  <c r="DB9" i="22"/>
  <c r="J15" i="4"/>
  <c r="A15" i="4" s="1" a="1"/>
  <c r="A15" i="4" s="1"/>
  <c r="M15" i="4"/>
  <c r="Q15" i="4"/>
  <c r="DC15" i="4"/>
  <c r="DB15" i="4"/>
  <c r="M8" i="4"/>
  <c r="J8" i="4"/>
  <c r="Q8" i="4"/>
  <c r="DC8" i="4"/>
  <c r="DB8" i="4"/>
  <c r="T7" i="21" l="1"/>
  <c r="S7" i="21"/>
  <c r="F13" i="21"/>
  <c r="S13" i="21"/>
  <c r="T13" i="21"/>
  <c r="S19" i="21"/>
  <c r="T19" i="21"/>
  <c r="S22" i="21"/>
  <c r="T22" i="21"/>
  <c r="S12" i="21"/>
  <c r="T12" i="21"/>
  <c r="F22" i="21"/>
  <c r="T10" i="21"/>
  <c r="S10" i="21"/>
  <c r="F7" i="21"/>
  <c r="F19" i="21"/>
  <c r="T26" i="19"/>
  <c r="S26" i="19"/>
  <c r="S29" i="19"/>
  <c r="T29" i="19"/>
  <c r="F24" i="19"/>
  <c r="S24" i="19"/>
  <c r="T24" i="19"/>
  <c r="S23" i="19"/>
  <c r="T23" i="19"/>
  <c r="S14" i="27"/>
  <c r="T14" i="27"/>
  <c r="F14" i="27"/>
  <c r="T17" i="27"/>
  <c r="S17" i="27"/>
  <c r="S17" i="26"/>
  <c r="T17" i="26"/>
  <c r="F12" i="21"/>
  <c r="F26" i="19"/>
  <c r="F29" i="19"/>
  <c r="F17" i="27"/>
  <c r="F23" i="19"/>
  <c r="A15" i="21" a="1"/>
  <c r="A15" i="21" s="1"/>
  <c r="R15" i="21"/>
  <c r="R33" i="19"/>
  <c r="R18" i="27"/>
  <c r="R12" i="26"/>
  <c r="R9" i="26"/>
  <c r="R6" i="21"/>
  <c r="R11" i="19"/>
  <c r="R6" i="27"/>
  <c r="V9" i="22"/>
  <c r="X9" i="22" s="1"/>
  <c r="V8" i="4"/>
  <c r="W8" i="4" s="1"/>
  <c r="F10" i="21"/>
  <c r="R10" i="19"/>
  <c r="R18" i="19"/>
  <c r="R5" i="19"/>
  <c r="R10" i="26"/>
  <c r="A9" i="22" a="1"/>
  <c r="A9" i="22" s="1"/>
  <c r="V15" i="4"/>
  <c r="X15" i="4" s="1"/>
  <c r="B15" i="4" a="1"/>
  <c r="B15" i="4" s="1"/>
  <c r="W15" i="4" l="1"/>
  <c r="T15" i="21"/>
  <c r="S15" i="21"/>
  <c r="F6" i="21"/>
  <c r="S6" i="21"/>
  <c r="T6" i="21"/>
  <c r="F5" i="19"/>
  <c r="S5" i="19"/>
  <c r="T5" i="19"/>
  <c r="S33" i="19"/>
  <c r="T33" i="19"/>
  <c r="S18" i="19"/>
  <c r="T18" i="19"/>
  <c r="S10" i="19"/>
  <c r="T10" i="19"/>
  <c r="T11" i="19"/>
  <c r="S11" i="19"/>
  <c r="S6" i="27"/>
  <c r="T6" i="27"/>
  <c r="S18" i="27"/>
  <c r="T18" i="27"/>
  <c r="T9" i="26"/>
  <c r="S9" i="26"/>
  <c r="S12" i="26"/>
  <c r="T12" i="26"/>
  <c r="S10" i="26"/>
  <c r="T10" i="26"/>
  <c r="F15" i="4"/>
  <c r="F18" i="27"/>
  <c r="F33" i="19"/>
  <c r="F12" i="26"/>
  <c r="F8" i="4"/>
  <c r="F15" i="21"/>
  <c r="F9" i="22"/>
  <c r="F11" i="19"/>
  <c r="F10" i="19"/>
  <c r="F9" i="26"/>
  <c r="W9" i="22"/>
  <c r="F6" i="27"/>
  <c r="X8" i="4"/>
  <c r="F10" i="26"/>
  <c r="F18" i="19"/>
  <c r="CQ21" i="4" l="1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P7" i="27" l="1"/>
  <c r="Q7" i="27" s="1"/>
  <c r="P18" i="21"/>
  <c r="Q18" i="21" s="1"/>
  <c r="DC7" i="27"/>
  <c r="CW21" i="4"/>
  <c r="DA21" i="4" s="1"/>
  <c r="PZ7" i="27"/>
  <c r="SN21" i="4"/>
  <c r="SU21" i="4" s="1"/>
  <c r="TU21" i="4"/>
  <c r="TQ21" i="4"/>
  <c r="TN21" i="4"/>
  <c r="L21" i="4"/>
  <c r="M21" i="4" s="1"/>
  <c r="T21" i="4"/>
  <c r="U21" i="4" s="1"/>
  <c r="K21" i="4"/>
  <c r="R21" i="4"/>
  <c r="S21" i="4" s="1"/>
  <c r="I21" i="4"/>
  <c r="P21" i="4"/>
  <c r="H21" i="4"/>
  <c r="N21" i="4"/>
  <c r="RD7" i="27"/>
  <c r="QY7" i="27"/>
  <c r="QC7" i="27"/>
  <c r="RB7" i="27"/>
  <c r="CZ7" i="27"/>
  <c r="RA7" i="27"/>
  <c r="RE7" i="27"/>
  <c r="QZ7" i="27"/>
  <c r="H7" i="27"/>
  <c r="N7" i="27"/>
  <c r="I7" i="27"/>
  <c r="L7" i="27"/>
  <c r="PZ18" i="21"/>
  <c r="QC18" i="21"/>
  <c r="RD18" i="21"/>
  <c r="RB18" i="21"/>
  <c r="CZ18" i="21"/>
  <c r="QZ18" i="21"/>
  <c r="QY18" i="21"/>
  <c r="RA18" i="21"/>
  <c r="RE18" i="21"/>
  <c r="I18" i="21"/>
  <c r="H18" i="21"/>
  <c r="DC18" i="21"/>
  <c r="N18" i="21"/>
  <c r="L18" i="21"/>
  <c r="PZ28" i="21"/>
  <c r="QC28" i="21"/>
  <c r="RD27" i="21"/>
  <c r="N29" i="21"/>
  <c r="QY28" i="21"/>
  <c r="RD36" i="19"/>
  <c r="QY36" i="19"/>
  <c r="PZ36" i="19"/>
  <c r="P31" i="19"/>
  <c r="Q31" i="19" s="1"/>
  <c r="QY27" i="21"/>
  <c r="PZ27" i="21"/>
  <c r="QC29" i="21"/>
  <c r="PZ16" i="21"/>
  <c r="RD28" i="21"/>
  <c r="DC29" i="21"/>
  <c r="CZ28" i="21"/>
  <c r="RB28" i="21"/>
  <c r="RE28" i="21"/>
  <c r="P28" i="21"/>
  <c r="Q28" i="21" s="1"/>
  <c r="RA28" i="21"/>
  <c r="QZ28" i="21"/>
  <c r="I28" i="21"/>
  <c r="DC28" i="21"/>
  <c r="N28" i="21"/>
  <c r="L28" i="21"/>
  <c r="H28" i="21"/>
  <c r="P29" i="21"/>
  <c r="Q29" i="21" s="1"/>
  <c r="QY29" i="21"/>
  <c r="PZ29" i="21"/>
  <c r="DC27" i="21"/>
  <c r="P27" i="21"/>
  <c r="Q27" i="21" s="1"/>
  <c r="CZ29" i="21"/>
  <c r="RD29" i="21"/>
  <c r="RB29" i="21"/>
  <c r="RA29" i="21"/>
  <c r="QZ29" i="21"/>
  <c r="RE29" i="21"/>
  <c r="H29" i="21"/>
  <c r="I29" i="21"/>
  <c r="L29" i="21"/>
  <c r="CZ27" i="21"/>
  <c r="N27" i="21"/>
  <c r="RA27" i="21"/>
  <c r="QZ27" i="21"/>
  <c r="RE27" i="21"/>
  <c r="H27" i="21"/>
  <c r="L27" i="21"/>
  <c r="M27" i="21" s="1"/>
  <c r="RB27" i="21"/>
  <c r="QC27" i="21"/>
  <c r="I27" i="21"/>
  <c r="P16" i="21"/>
  <c r="Q16" i="21" s="1"/>
  <c r="QC16" i="21"/>
  <c r="RA16" i="21"/>
  <c r="CZ16" i="21"/>
  <c r="QZ16" i="21"/>
  <c r="QY16" i="21"/>
  <c r="RB16" i="21"/>
  <c r="RD16" i="21"/>
  <c r="RE16" i="21"/>
  <c r="H16" i="21"/>
  <c r="I16" i="21"/>
  <c r="DC16" i="21"/>
  <c r="N16" i="21"/>
  <c r="L16" i="21"/>
  <c r="DC31" i="19"/>
  <c r="DC36" i="19"/>
  <c r="RA31" i="19"/>
  <c r="QY31" i="19"/>
  <c r="PZ31" i="19"/>
  <c r="CZ31" i="19"/>
  <c r="RD31" i="19"/>
  <c r="N31" i="19"/>
  <c r="QZ31" i="19"/>
  <c r="L31" i="19"/>
  <c r="M31" i="19" s="1"/>
  <c r="H31" i="19"/>
  <c r="RB31" i="19"/>
  <c r="QC31" i="19"/>
  <c r="I31" i="19"/>
  <c r="RE31" i="19"/>
  <c r="P36" i="19"/>
  <c r="Q36" i="19" s="1"/>
  <c r="QC36" i="19"/>
  <c r="CZ36" i="19"/>
  <c r="H36" i="19"/>
  <c r="RB36" i="19"/>
  <c r="RA36" i="19"/>
  <c r="QZ36" i="19"/>
  <c r="RE36" i="19"/>
  <c r="N36" i="19"/>
  <c r="I36" i="19"/>
  <c r="L36" i="19"/>
  <c r="CW11" i="4"/>
  <c r="DA11" i="4" s="1"/>
  <c r="SN11" i="4"/>
  <c r="SU11" i="4" s="1"/>
  <c r="TU11" i="4"/>
  <c r="TQ11" i="4"/>
  <c r="TN11" i="4"/>
  <c r="L11" i="4"/>
  <c r="M11" i="4" s="1"/>
  <c r="K11" i="4"/>
  <c r="P11" i="4"/>
  <c r="Q11" i="4" s="1"/>
  <c r="R11" i="4"/>
  <c r="S11" i="4" s="1"/>
  <c r="I11" i="4"/>
  <c r="H11" i="4"/>
  <c r="N11" i="4"/>
  <c r="T11" i="4"/>
  <c r="U11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O36" i="19" l="1"/>
  <c r="O7" i="27"/>
  <c r="O27" i="21"/>
  <c r="O28" i="21"/>
  <c r="O31" i="19"/>
  <c r="DE7" i="27"/>
  <c r="TR21" i="4"/>
  <c r="TV21" i="4" s="1"/>
  <c r="DE18" i="21"/>
  <c r="K7" i="27"/>
  <c r="J7" i="27" s="1"/>
  <c r="O21" i="4"/>
  <c r="DB21" i="4"/>
  <c r="DC21" i="4"/>
  <c r="Q21" i="4"/>
  <c r="J21" i="4"/>
  <c r="RC7" i="27"/>
  <c r="RF7" i="27"/>
  <c r="DD7" i="27"/>
  <c r="M7" i="27"/>
  <c r="DD27" i="21"/>
  <c r="O16" i="21"/>
  <c r="RC18" i="21"/>
  <c r="O29" i="21"/>
  <c r="K18" i="21"/>
  <c r="J18" i="21" s="1"/>
  <c r="RF18" i="21"/>
  <c r="M18" i="21"/>
  <c r="O18" i="21"/>
  <c r="DD18" i="21"/>
  <c r="RC28" i="21"/>
  <c r="DD29" i="21"/>
  <c r="DE31" i="19"/>
  <c r="DE29" i="21"/>
  <c r="DE28" i="21"/>
  <c r="K28" i="21"/>
  <c r="J28" i="21" s="1"/>
  <c r="A28" i="21" s="1" a="1"/>
  <c r="A28" i="21" s="1"/>
  <c r="RC36" i="19"/>
  <c r="RF27" i="21"/>
  <c r="RC29" i="21"/>
  <c r="RC31" i="19"/>
  <c r="RF31" i="19"/>
  <c r="DE27" i="21"/>
  <c r="RC16" i="21"/>
  <c r="RF28" i="21"/>
  <c r="M28" i="21"/>
  <c r="DD28" i="21"/>
  <c r="K29" i="21"/>
  <c r="J29" i="21" s="1"/>
  <c r="RF29" i="21"/>
  <c r="M29" i="21"/>
  <c r="K27" i="21"/>
  <c r="J27" i="21" s="1"/>
  <c r="A27" i="21" s="1" a="1"/>
  <c r="A27" i="21" s="1"/>
  <c r="K16" i="21"/>
  <c r="J16" i="21" s="1"/>
  <c r="A16" i="21" s="1" a="1"/>
  <c r="A16" i="21" s="1"/>
  <c r="RC27" i="21"/>
  <c r="RF16" i="21"/>
  <c r="DE16" i="21"/>
  <c r="M16" i="21"/>
  <c r="DD16" i="21"/>
  <c r="DD31" i="19"/>
  <c r="K31" i="19"/>
  <c r="J31" i="19" s="1"/>
  <c r="A31" i="19" s="1" a="1"/>
  <c r="A31" i="19" s="1"/>
  <c r="DE36" i="19"/>
  <c r="DD36" i="19"/>
  <c r="RF36" i="19"/>
  <c r="K36" i="19"/>
  <c r="J36" i="19" s="1"/>
  <c r="M36" i="19"/>
  <c r="TR11" i="4"/>
  <c r="TV11" i="4" s="1"/>
  <c r="DC11" i="4"/>
  <c r="DB11" i="4"/>
  <c r="O11" i="4"/>
  <c r="J11" i="4"/>
  <c r="PZ14" i="21"/>
  <c r="PZ23" i="21"/>
  <c r="QC14" i="19"/>
  <c r="RD14" i="19"/>
  <c r="QY14" i="19"/>
  <c r="PZ16" i="27"/>
  <c r="QC13" i="27"/>
  <c r="SN23" i="4"/>
  <c r="SU23" i="4" s="1"/>
  <c r="CW15" i="22"/>
  <c r="DA15" i="22" s="1"/>
  <c r="PZ31" i="21"/>
  <c r="RD14" i="21"/>
  <c r="P14" i="19"/>
  <c r="Q14" i="19" s="1"/>
  <c r="P11" i="27"/>
  <c r="Q11" i="27" s="1"/>
  <c r="QC11" i="27"/>
  <c r="QC16" i="27"/>
  <c r="PZ14" i="26"/>
  <c r="RD16" i="26"/>
  <c r="RD15" i="26"/>
  <c r="RB15" i="26"/>
  <c r="DC18" i="26"/>
  <c r="CW25" i="4"/>
  <c r="DA25" i="4" s="1"/>
  <c r="SN18" i="4"/>
  <c r="SU18" i="4" s="1"/>
  <c r="SN10" i="4"/>
  <c r="SU10" i="4" s="1"/>
  <c r="RA21" i="21"/>
  <c r="PZ21" i="21"/>
  <c r="P21" i="21"/>
  <c r="DE21" i="21" s="1"/>
  <c r="RA31" i="21"/>
  <c r="QC23" i="21"/>
  <c r="RD23" i="21"/>
  <c r="QY23" i="21"/>
  <c r="RA14" i="21"/>
  <c r="RD11" i="27"/>
  <c r="QY11" i="27"/>
  <c r="RA13" i="27"/>
  <c r="PZ11" i="27"/>
  <c r="RB13" i="27"/>
  <c r="N16" i="27"/>
  <c r="QZ13" i="27"/>
  <c r="RD13" i="27"/>
  <c r="QZ16" i="27"/>
  <c r="I13" i="27"/>
  <c r="PZ13" i="27"/>
  <c r="CZ11" i="27"/>
  <c r="RA15" i="26"/>
  <c r="CZ15" i="26"/>
  <c r="RA16" i="26"/>
  <c r="P18" i="26"/>
  <c r="DE18" i="26" s="1"/>
  <c r="QC14" i="26"/>
  <c r="DC14" i="26"/>
  <c r="RD18" i="26"/>
  <c r="CW12" i="22"/>
  <c r="DA12" i="22" s="1"/>
  <c r="TQ14" i="4"/>
  <c r="TQ23" i="4"/>
  <c r="CW14" i="4"/>
  <c r="DA14" i="4" s="1"/>
  <c r="TQ10" i="4"/>
  <c r="TU23" i="4"/>
  <c r="I23" i="4"/>
  <c r="TN25" i="4"/>
  <c r="SN14" i="4"/>
  <c r="SU14" i="4" s="1"/>
  <c r="SN25" i="4"/>
  <c r="SU25" i="4" s="1"/>
  <c r="N10" i="4"/>
  <c r="O10" i="4" s="1"/>
  <c r="SN15" i="22"/>
  <c r="SU15" i="22" s="1"/>
  <c r="SN12" i="22"/>
  <c r="SU12" i="22" s="1"/>
  <c r="CZ14" i="21"/>
  <c r="P14" i="21"/>
  <c r="Q14" i="21" s="1"/>
  <c r="P17" i="21"/>
  <c r="Q17" i="21" s="1"/>
  <c r="DC17" i="21"/>
  <c r="RD17" i="21"/>
  <c r="QY17" i="21"/>
  <c r="P23" i="21"/>
  <c r="Q23" i="21" s="1"/>
  <c r="QZ14" i="21"/>
  <c r="RB21" i="21"/>
  <c r="QY14" i="21"/>
  <c r="CZ21" i="21"/>
  <c r="RB23" i="21"/>
  <c r="RE14" i="21"/>
  <c r="QY31" i="21"/>
  <c r="RA23" i="21"/>
  <c r="H14" i="21"/>
  <c r="RB14" i="21"/>
  <c r="QC14" i="21"/>
  <c r="I14" i="21"/>
  <c r="DC14" i="21"/>
  <c r="N14" i="21"/>
  <c r="L14" i="21"/>
  <c r="I31" i="21"/>
  <c r="QZ23" i="21"/>
  <c r="RE31" i="21"/>
  <c r="RD31" i="21"/>
  <c r="QZ21" i="21"/>
  <c r="QC21" i="21"/>
  <c r="RE23" i="21"/>
  <c r="RA17" i="21"/>
  <c r="CZ23" i="21"/>
  <c r="RE17" i="21"/>
  <c r="CZ17" i="21"/>
  <c r="H21" i="21"/>
  <c r="RB31" i="21"/>
  <c r="QC31" i="21"/>
  <c r="CZ31" i="21"/>
  <c r="P31" i="21"/>
  <c r="DE31" i="21" s="1"/>
  <c r="PZ17" i="21"/>
  <c r="L17" i="21"/>
  <c r="M17" i="21" s="1"/>
  <c r="RD21" i="21"/>
  <c r="QY21" i="21"/>
  <c r="I21" i="21"/>
  <c r="H23" i="21"/>
  <c r="QZ31" i="21"/>
  <c r="H17" i="21"/>
  <c r="RE21" i="21"/>
  <c r="I23" i="21"/>
  <c r="DC31" i="21"/>
  <c r="N31" i="21"/>
  <c r="RB17" i="21"/>
  <c r="QC17" i="21"/>
  <c r="I17" i="21"/>
  <c r="DC21" i="21"/>
  <c r="N21" i="21"/>
  <c r="L31" i="21"/>
  <c r="QZ17" i="21"/>
  <c r="DC23" i="21"/>
  <c r="N23" i="21"/>
  <c r="N17" i="21"/>
  <c r="L21" i="21"/>
  <c r="H31" i="21"/>
  <c r="L23" i="21"/>
  <c r="CZ14" i="19"/>
  <c r="RB14" i="19"/>
  <c r="RE14" i="19"/>
  <c r="PZ14" i="19"/>
  <c r="RA14" i="19"/>
  <c r="QZ14" i="19"/>
  <c r="I14" i="19"/>
  <c r="H14" i="19"/>
  <c r="DC14" i="19"/>
  <c r="N14" i="19"/>
  <c r="L14" i="19"/>
  <c r="H16" i="27"/>
  <c r="RE11" i="27"/>
  <c r="CZ16" i="27"/>
  <c r="I16" i="27"/>
  <c r="RB11" i="27"/>
  <c r="DC16" i="27"/>
  <c r="QY13" i="27"/>
  <c r="RD16" i="27"/>
  <c r="RB16" i="27"/>
  <c r="QZ11" i="27"/>
  <c r="RE16" i="27"/>
  <c r="CZ13" i="27"/>
  <c r="P13" i="27"/>
  <c r="DE13" i="27" s="1"/>
  <c r="RA16" i="27"/>
  <c r="RA11" i="27"/>
  <c r="I11" i="27"/>
  <c r="H13" i="27"/>
  <c r="QY16" i="27"/>
  <c r="H11" i="27"/>
  <c r="DC13" i="27"/>
  <c r="N13" i="27"/>
  <c r="L16" i="27"/>
  <c r="DC11" i="27"/>
  <c r="N11" i="27"/>
  <c r="RE13" i="27"/>
  <c r="L13" i="27"/>
  <c r="P16" i="27"/>
  <c r="L11" i="27"/>
  <c r="QY15" i="26"/>
  <c r="CZ18" i="26"/>
  <c r="N18" i="26"/>
  <c r="RE15" i="26"/>
  <c r="P15" i="26"/>
  <c r="DE15" i="26" s="1"/>
  <c r="P16" i="26"/>
  <c r="Q16" i="26" s="1"/>
  <c r="QY14" i="26"/>
  <c r="QZ16" i="26"/>
  <c r="N16" i="26"/>
  <c r="RE18" i="26"/>
  <c r="RB18" i="26"/>
  <c r="PZ15" i="26"/>
  <c r="RE16" i="26"/>
  <c r="H18" i="26"/>
  <c r="P14" i="26"/>
  <c r="Q14" i="26" s="1"/>
  <c r="QZ15" i="26"/>
  <c r="PZ16" i="26"/>
  <c r="I18" i="26"/>
  <c r="L18" i="26"/>
  <c r="M18" i="26" s="1"/>
  <c r="DC16" i="26"/>
  <c r="RB14" i="26"/>
  <c r="RD14" i="26"/>
  <c r="QY16" i="26"/>
  <c r="RE14" i="26"/>
  <c r="QZ14" i="26"/>
  <c r="QC18" i="26"/>
  <c r="RA14" i="26"/>
  <c r="H14" i="26"/>
  <c r="RA18" i="26"/>
  <c r="QZ18" i="26"/>
  <c r="CZ14" i="26"/>
  <c r="N14" i="26"/>
  <c r="QC15" i="26"/>
  <c r="I15" i="26"/>
  <c r="L16" i="26"/>
  <c r="H15" i="26"/>
  <c r="CZ16" i="26"/>
  <c r="QY18" i="26"/>
  <c r="PZ18" i="26"/>
  <c r="I14" i="26"/>
  <c r="DC15" i="26"/>
  <c r="N15" i="26"/>
  <c r="RB16" i="26"/>
  <c r="QC16" i="26"/>
  <c r="I16" i="26"/>
  <c r="H16" i="26"/>
  <c r="L15" i="26"/>
  <c r="L14" i="26"/>
  <c r="TN12" i="22"/>
  <c r="R12" i="22"/>
  <c r="S12" i="22" s="1"/>
  <c r="N12" i="22"/>
  <c r="O12" i="22" s="1"/>
  <c r="TQ15" i="22"/>
  <c r="L12" i="22"/>
  <c r="M12" i="22" s="1"/>
  <c r="TU12" i="22"/>
  <c r="T15" i="22"/>
  <c r="U15" i="22" s="1"/>
  <c r="TQ12" i="22"/>
  <c r="P15" i="22"/>
  <c r="Q15" i="22" s="1"/>
  <c r="N15" i="22"/>
  <c r="TU15" i="22"/>
  <c r="TN15" i="22"/>
  <c r="TL15" i="22"/>
  <c r="H15" i="22"/>
  <c r="I12" i="22"/>
  <c r="K12" i="22"/>
  <c r="P12" i="22"/>
  <c r="Q12" i="22" s="1"/>
  <c r="L15" i="22"/>
  <c r="K15" i="22"/>
  <c r="R15" i="22"/>
  <c r="S15" i="22" s="1"/>
  <c r="I15" i="22"/>
  <c r="T12" i="22"/>
  <c r="U12" i="22" s="1"/>
  <c r="H12" i="22"/>
  <c r="TU26" i="4"/>
  <c r="R23" i="4"/>
  <c r="S23" i="4" s="1"/>
  <c r="L14" i="4"/>
  <c r="M14" i="4" s="1"/>
  <c r="TU10" i="4"/>
  <c r="R14" i="4"/>
  <c r="S14" i="4" s="1"/>
  <c r="CW26" i="4"/>
  <c r="DA26" i="4" s="1"/>
  <c r="T10" i="4"/>
  <c r="U10" i="4" s="1"/>
  <c r="TU18" i="4"/>
  <c r="R18" i="4"/>
  <c r="S18" i="4" s="1"/>
  <c r="TN26" i="4"/>
  <c r="CW10" i="4"/>
  <c r="DA10" i="4" s="1"/>
  <c r="I14" i="4"/>
  <c r="L25" i="4"/>
  <c r="M25" i="4" s="1"/>
  <c r="P14" i="4"/>
  <c r="Q14" i="4" s="1"/>
  <c r="I26" i="4"/>
  <c r="TQ26" i="4"/>
  <c r="TQ25" i="4"/>
  <c r="TU14" i="4"/>
  <c r="I18" i="4"/>
  <c r="TQ18" i="4"/>
  <c r="L10" i="4"/>
  <c r="M10" i="4" s="1"/>
  <c r="TN14" i="4"/>
  <c r="CW23" i="4"/>
  <c r="DA23" i="4" s="1"/>
  <c r="TN18" i="4"/>
  <c r="CW18" i="4"/>
  <c r="DA18" i="4" s="1"/>
  <c r="H18" i="4"/>
  <c r="N14" i="4"/>
  <c r="O14" i="4" s="1"/>
  <c r="T26" i="4"/>
  <c r="U26" i="4" s="1"/>
  <c r="H25" i="4"/>
  <c r="T23" i="4"/>
  <c r="U23" i="4" s="1"/>
  <c r="H10" i="4"/>
  <c r="K23" i="4"/>
  <c r="SN26" i="4"/>
  <c r="SU26" i="4" s="1"/>
  <c r="H26" i="4"/>
  <c r="P25" i="4"/>
  <c r="Q25" i="4" s="1"/>
  <c r="H23" i="4"/>
  <c r="K26" i="4"/>
  <c r="L18" i="4"/>
  <c r="R26" i="4"/>
  <c r="S26" i="4" s="1"/>
  <c r="TN10" i="4"/>
  <c r="P18" i="4"/>
  <c r="Q18" i="4" s="1"/>
  <c r="TU25" i="4"/>
  <c r="R25" i="4"/>
  <c r="S25" i="4" s="1"/>
  <c r="K25" i="4"/>
  <c r="T25" i="4"/>
  <c r="U25" i="4" s="1"/>
  <c r="N25" i="4"/>
  <c r="TN23" i="4"/>
  <c r="K14" i="4"/>
  <c r="T14" i="4"/>
  <c r="U14" i="4" s="1"/>
  <c r="P10" i="4"/>
  <c r="Q10" i="4" s="1"/>
  <c r="L26" i="4"/>
  <c r="N26" i="4"/>
  <c r="P26" i="4"/>
  <c r="Q26" i="4" s="1"/>
  <c r="N23" i="4"/>
  <c r="P23" i="4"/>
  <c r="Q23" i="4" s="1"/>
  <c r="H14" i="4"/>
  <c r="K18" i="4"/>
  <c r="T18" i="4"/>
  <c r="U18" i="4" s="1"/>
  <c r="N18" i="4"/>
  <c r="I25" i="4"/>
  <c r="L23" i="4"/>
  <c r="R10" i="4"/>
  <c r="S10" i="4" s="1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8" i="21" l="1"/>
  <c r="R7" i="27"/>
  <c r="V21" i="4"/>
  <c r="F21" i="4" s="1"/>
  <c r="A21" i="4" a="1"/>
  <c r="A21" i="4" s="1"/>
  <c r="B21" i="4" a="1"/>
  <c r="B21" i="4" s="1"/>
  <c r="R27" i="21"/>
  <c r="O14" i="21"/>
  <c r="O17" i="21"/>
  <c r="O31" i="21"/>
  <c r="R31" i="19"/>
  <c r="A18" i="21" a="1"/>
  <c r="A18" i="21" s="1"/>
  <c r="B18" i="21" a="1"/>
  <c r="B18" i="21" s="1"/>
  <c r="RC13" i="27"/>
  <c r="O11" i="27"/>
  <c r="O23" i="21"/>
  <c r="O21" i="21"/>
  <c r="O13" i="27"/>
  <c r="O18" i="26"/>
  <c r="O14" i="19"/>
  <c r="DD16" i="27"/>
  <c r="O16" i="27"/>
  <c r="O16" i="26"/>
  <c r="O15" i="26"/>
  <c r="O14" i="26"/>
  <c r="R28" i="21"/>
  <c r="R29" i="21"/>
  <c r="TR18" i="4"/>
  <c r="TV18" i="4" s="1"/>
  <c r="B28" i="21" a="1"/>
  <c r="B28" i="21" s="1"/>
  <c r="R16" i="21"/>
  <c r="B29" i="21" a="1"/>
  <c r="B29" i="21" s="1"/>
  <c r="A29" i="21" a="1"/>
  <c r="A29" i="21" s="1"/>
  <c r="B27" i="21" a="1"/>
  <c r="B27" i="21" s="1"/>
  <c r="B16" i="21" a="1"/>
  <c r="B16" i="21" s="1"/>
  <c r="R36" i="19"/>
  <c r="B31" i="19" a="1"/>
  <c r="B31" i="19" s="1"/>
  <c r="A36" i="19" a="1"/>
  <c r="A36" i="19" s="1"/>
  <c r="B36" i="19" a="1"/>
  <c r="B36" i="19" s="1"/>
  <c r="V11" i="4"/>
  <c r="F11" i="4" s="1"/>
  <c r="DE14" i="19"/>
  <c r="DD14" i="26"/>
  <c r="TR23" i="4"/>
  <c r="TV23" i="4" s="1"/>
  <c r="Q21" i="21"/>
  <c r="DE23" i="21"/>
  <c r="RC31" i="21"/>
  <c r="RC16" i="27"/>
  <c r="RC16" i="26"/>
  <c r="TR14" i="4"/>
  <c r="TV14" i="4" s="1"/>
  <c r="TR10" i="4"/>
  <c r="TV10" i="4" s="1"/>
  <c r="DE14" i="21"/>
  <c r="DE17" i="21"/>
  <c r="RF13" i="27"/>
  <c r="K16" i="27"/>
  <c r="J16" i="27" s="1"/>
  <c r="RC15" i="26"/>
  <c r="TR26" i="4"/>
  <c r="TV26" i="4" s="1"/>
  <c r="TR15" i="22"/>
  <c r="TV15" i="22" s="1"/>
  <c r="RF14" i="21"/>
  <c r="RC14" i="19"/>
  <c r="DE11" i="27"/>
  <c r="RF11" i="27"/>
  <c r="Q13" i="27"/>
  <c r="Q31" i="21"/>
  <c r="K14" i="21"/>
  <c r="J14" i="21" s="1"/>
  <c r="A14" i="21" s="1" a="1"/>
  <c r="A14" i="21" s="1"/>
  <c r="K17" i="21"/>
  <c r="J17" i="21" s="1"/>
  <c r="A17" i="21" s="1" a="1"/>
  <c r="A17" i="21" s="1"/>
  <c r="K21" i="21"/>
  <c r="J21" i="21" s="1"/>
  <c r="B21" i="21" s="1" a="1"/>
  <c r="B21" i="21" s="1"/>
  <c r="RC14" i="21"/>
  <c r="K31" i="21"/>
  <c r="J31" i="21" s="1"/>
  <c r="RC21" i="21"/>
  <c r="RF31" i="21"/>
  <c r="RF23" i="21"/>
  <c r="K14" i="19"/>
  <c r="J14" i="19" s="1"/>
  <c r="K13" i="27"/>
  <c r="J13" i="27" s="1"/>
  <c r="RC11" i="27"/>
  <c r="RF16" i="27"/>
  <c r="K11" i="27"/>
  <c r="RF16" i="26"/>
  <c r="K14" i="26"/>
  <c r="J14" i="26" s="1"/>
  <c r="DE16" i="26"/>
  <c r="Q18" i="26"/>
  <c r="K18" i="26"/>
  <c r="J18" i="26" s="1"/>
  <c r="DD18" i="26"/>
  <c r="R18" i="26" s="1"/>
  <c r="Q15" i="26"/>
  <c r="RF14" i="26"/>
  <c r="K15" i="26"/>
  <c r="J15" i="26" s="1"/>
  <c r="B15" i="26" s="1" a="1"/>
  <c r="B15" i="26" s="1"/>
  <c r="TR12" i="22"/>
  <c r="TV12" i="22" s="1"/>
  <c r="DB14" i="4"/>
  <c r="J23" i="4"/>
  <c r="A23" i="4" s="1" a="1"/>
  <c r="A23" i="4" s="1"/>
  <c r="TR25" i="4"/>
  <c r="TV25" i="4" s="1"/>
  <c r="DB10" i="4"/>
  <c r="K23" i="21"/>
  <c r="J23" i="21" s="1"/>
  <c r="B23" i="21" s="1" a="1"/>
  <c r="B23" i="21" s="1"/>
  <c r="RF21" i="21"/>
  <c r="M14" i="21"/>
  <c r="DD14" i="21"/>
  <c r="RC23" i="21"/>
  <c r="M23" i="21"/>
  <c r="DD17" i="21"/>
  <c r="RF17" i="21"/>
  <c r="RC17" i="21"/>
  <c r="M31" i="21"/>
  <c r="DD31" i="21"/>
  <c r="DD23" i="21"/>
  <c r="DD21" i="21"/>
  <c r="M21" i="21"/>
  <c r="RF14" i="19"/>
  <c r="DD14" i="19"/>
  <c r="M14" i="19"/>
  <c r="J11" i="27"/>
  <c r="M11" i="27"/>
  <c r="DD11" i="27"/>
  <c r="DD13" i="27"/>
  <c r="DE16" i="27"/>
  <c r="Q16" i="27"/>
  <c r="M16" i="27"/>
  <c r="M13" i="27"/>
  <c r="RC18" i="26"/>
  <c r="RF18" i="26"/>
  <c r="K16" i="26"/>
  <c r="J16" i="26" s="1"/>
  <c r="RC14" i="26"/>
  <c r="DE14" i="26"/>
  <c r="RF15" i="26"/>
  <c r="DD16" i="26"/>
  <c r="DD15" i="26"/>
  <c r="M14" i="26"/>
  <c r="M16" i="26"/>
  <c r="M15" i="26"/>
  <c r="DB12" i="22"/>
  <c r="J15" i="22"/>
  <c r="B15" i="22" s="1" a="1"/>
  <c r="B15" i="22" s="1"/>
  <c r="DB15" i="22"/>
  <c r="O15" i="22"/>
  <c r="J12" i="22"/>
  <c r="DC15" i="22"/>
  <c r="DC12" i="22"/>
  <c r="M15" i="22"/>
  <c r="J26" i="4"/>
  <c r="B26" i="4" s="1" a="1"/>
  <c r="B26" i="4" s="1"/>
  <c r="J18" i="4"/>
  <c r="A18" i="4" s="1" a="1"/>
  <c r="A18" i="4" s="1"/>
  <c r="DC14" i="4"/>
  <c r="J10" i="4"/>
  <c r="J14" i="4"/>
  <c r="A14" i="4" s="1" a="1"/>
  <c r="A14" i="4" s="1"/>
  <c r="DC26" i="4"/>
  <c r="DC25" i="4"/>
  <c r="O26" i="4"/>
  <c r="DB26" i="4"/>
  <c r="M26" i="4"/>
  <c r="M23" i="4"/>
  <c r="O18" i="4"/>
  <c r="DB18" i="4"/>
  <c r="DC23" i="4"/>
  <c r="DC10" i="4"/>
  <c r="M18" i="4"/>
  <c r="J25" i="4"/>
  <c r="O23" i="4"/>
  <c r="DB23" i="4"/>
  <c r="DC18" i="4"/>
  <c r="DB25" i="4"/>
  <c r="O25" i="4"/>
  <c r="RD13" i="26"/>
  <c r="DC4" i="21"/>
  <c r="PZ16" i="19"/>
  <c r="QY13" i="26"/>
  <c r="CW8" i="22"/>
  <c r="DA8" i="22" s="1"/>
  <c r="PZ4" i="21"/>
  <c r="QC4" i="21"/>
  <c r="PZ17" i="19"/>
  <c r="QC17" i="19"/>
  <c r="RD10" i="27"/>
  <c r="QY10" i="27"/>
  <c r="PZ10" i="27"/>
  <c r="QC10" i="27"/>
  <c r="QC13" i="26"/>
  <c r="SN5" i="22"/>
  <c r="SU5" i="22" s="1"/>
  <c r="CW13" i="4"/>
  <c r="DA13" i="4" s="1"/>
  <c r="P16" i="19"/>
  <c r="Q16" i="19" s="1"/>
  <c r="QY17" i="19"/>
  <c r="P17" i="19"/>
  <c r="Q17" i="19" s="1"/>
  <c r="P10" i="27"/>
  <c r="Q10" i="27" s="1"/>
  <c r="CZ13" i="26"/>
  <c r="P13" i="26"/>
  <c r="Q13" i="26" s="1"/>
  <c r="P5" i="22"/>
  <c r="CW5" i="22"/>
  <c r="DA5" i="22" s="1"/>
  <c r="TN8" i="22"/>
  <c r="P27" i="4"/>
  <c r="CW27" i="4"/>
  <c r="DA27" i="4" s="1"/>
  <c r="CW5" i="4"/>
  <c r="DA5" i="4" s="1"/>
  <c r="TQ13" i="4"/>
  <c r="TN27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7" i="19"/>
  <c r="QZ17" i="19"/>
  <c r="RB17" i="19"/>
  <c r="RD17" i="19"/>
  <c r="RA17" i="19"/>
  <c r="RE17" i="19"/>
  <c r="H17" i="19"/>
  <c r="I17" i="19"/>
  <c r="DC17" i="19"/>
  <c r="N17" i="19"/>
  <c r="L17" i="19"/>
  <c r="PZ35" i="19"/>
  <c r="P35" i="19"/>
  <c r="Q35" i="19" s="1"/>
  <c r="CZ16" i="19"/>
  <c r="QC35" i="19"/>
  <c r="QC16" i="19"/>
  <c r="RA16" i="19"/>
  <c r="QZ16" i="19"/>
  <c r="RD16" i="19"/>
  <c r="QY16" i="19"/>
  <c r="RE16" i="19"/>
  <c r="H16" i="19"/>
  <c r="RB16" i="19"/>
  <c r="I16" i="19"/>
  <c r="DC16" i="19"/>
  <c r="N16" i="19"/>
  <c r="L16" i="19"/>
  <c r="PZ7" i="19"/>
  <c r="PZ22" i="19"/>
  <c r="PZ30" i="19"/>
  <c r="RD35" i="19"/>
  <c r="QY35" i="19"/>
  <c r="CZ35" i="19"/>
  <c r="RA35" i="19"/>
  <c r="RE35" i="19"/>
  <c r="RB35" i="19"/>
  <c r="QZ35" i="19"/>
  <c r="I35" i="19"/>
  <c r="H35" i="19"/>
  <c r="DC35" i="19"/>
  <c r="N35" i="19"/>
  <c r="L35" i="19"/>
  <c r="P7" i="19"/>
  <c r="Q7" i="19" s="1"/>
  <c r="RB30" i="19"/>
  <c r="RD7" i="19"/>
  <c r="QY7" i="19"/>
  <c r="QC30" i="19"/>
  <c r="CZ30" i="19"/>
  <c r="P30" i="19"/>
  <c r="Q30" i="19" s="1"/>
  <c r="RA30" i="19"/>
  <c r="DC30" i="19"/>
  <c r="RE30" i="19"/>
  <c r="RD30" i="19"/>
  <c r="QY30" i="19"/>
  <c r="QZ30" i="19"/>
  <c r="H30" i="19"/>
  <c r="I30" i="19"/>
  <c r="N30" i="19"/>
  <c r="L30" i="19"/>
  <c r="QC7" i="19"/>
  <c r="RD22" i="19"/>
  <c r="QY22" i="19"/>
  <c r="P22" i="19"/>
  <c r="Q22" i="19" s="1"/>
  <c r="CZ7" i="19"/>
  <c r="RB7" i="19"/>
  <c r="RA7" i="19"/>
  <c r="RE7" i="19"/>
  <c r="QZ7" i="19"/>
  <c r="I7" i="19"/>
  <c r="DC7" i="19"/>
  <c r="N7" i="19"/>
  <c r="H7" i="19"/>
  <c r="L7" i="19"/>
  <c r="RB22" i="19"/>
  <c r="QC22" i="19"/>
  <c r="CZ22" i="19"/>
  <c r="RE22" i="19"/>
  <c r="QZ22" i="19"/>
  <c r="RA22" i="19"/>
  <c r="I22" i="19"/>
  <c r="H22" i="19"/>
  <c r="DC22" i="19"/>
  <c r="N22" i="19"/>
  <c r="L22" i="19"/>
  <c r="CZ10" i="27"/>
  <c r="RE10" i="27"/>
  <c r="QZ10" i="27"/>
  <c r="RA10" i="27"/>
  <c r="RB10" i="27"/>
  <c r="H10" i="27"/>
  <c r="I10" i="27"/>
  <c r="DC10" i="27"/>
  <c r="N10" i="27"/>
  <c r="L10" i="27"/>
  <c r="PZ13" i="26"/>
  <c r="RB13" i="26"/>
  <c r="RA13" i="26"/>
  <c r="RE13" i="26"/>
  <c r="QZ13" i="26"/>
  <c r="I13" i="26"/>
  <c r="H13" i="26"/>
  <c r="DC13" i="26"/>
  <c r="N13" i="26"/>
  <c r="L13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7" i="4"/>
  <c r="SU27" i="4" s="1"/>
  <c r="L27" i="4"/>
  <c r="M27" i="4" s="1"/>
  <c r="TU27" i="4"/>
  <c r="TQ27" i="4"/>
  <c r="R27" i="4"/>
  <c r="S27" i="4" s="1"/>
  <c r="I27" i="4"/>
  <c r="K27" i="4"/>
  <c r="H27" i="4"/>
  <c r="N27" i="4"/>
  <c r="T27" i="4"/>
  <c r="U27" i="4" s="1"/>
  <c r="P5" i="4"/>
  <c r="TN5" i="4"/>
  <c r="SN13" i="4"/>
  <c r="SU13" i="4" s="1"/>
  <c r="TN13" i="4"/>
  <c r="TU13" i="4"/>
  <c r="R13" i="4"/>
  <c r="S13" i="4" s="1"/>
  <c r="L13" i="4"/>
  <c r="M13" i="4" s="1"/>
  <c r="K13" i="4"/>
  <c r="I13" i="4"/>
  <c r="P13" i="4"/>
  <c r="Q13" i="4" s="1"/>
  <c r="H13" i="4"/>
  <c r="N13" i="4"/>
  <c r="T13" i="4"/>
  <c r="U13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29" i="21" l="1"/>
  <c r="T29" i="21"/>
  <c r="T27" i="21"/>
  <c r="S27" i="21"/>
  <c r="F28" i="21"/>
  <c r="T28" i="21"/>
  <c r="S28" i="21"/>
  <c r="F16" i="21"/>
  <c r="S16" i="21"/>
  <c r="T16" i="21"/>
  <c r="F18" i="21"/>
  <c r="S18" i="21"/>
  <c r="T18" i="21"/>
  <c r="S36" i="19"/>
  <c r="T36" i="19"/>
  <c r="T31" i="19"/>
  <c r="S31" i="19"/>
  <c r="T7" i="27"/>
  <c r="S7" i="27"/>
  <c r="S18" i="26"/>
  <c r="T18" i="26"/>
  <c r="F7" i="27"/>
  <c r="F27" i="21"/>
  <c r="F31" i="19"/>
  <c r="X21" i="4"/>
  <c r="W21" i="4"/>
  <c r="DC8" i="22"/>
  <c r="Q8" i="22"/>
  <c r="DC5" i="22"/>
  <c r="Q5" i="22"/>
  <c r="DC5" i="4"/>
  <c r="Q5" i="4"/>
  <c r="DC27" i="4"/>
  <c r="Q27" i="4"/>
  <c r="O13" i="26"/>
  <c r="F29" i="21"/>
  <c r="O4" i="21"/>
  <c r="R16" i="27"/>
  <c r="O7" i="19"/>
  <c r="O35" i="19"/>
  <c r="O16" i="19"/>
  <c r="O17" i="19"/>
  <c r="O30" i="19"/>
  <c r="O22" i="19"/>
  <c r="O10" i="27"/>
  <c r="R14" i="26"/>
  <c r="F36" i="19"/>
  <c r="R13" i="27"/>
  <c r="W11" i="4"/>
  <c r="X11" i="4"/>
  <c r="R23" i="21"/>
  <c r="R15" i="26"/>
  <c r="R21" i="21"/>
  <c r="R14" i="21"/>
  <c r="R17" i="21"/>
  <c r="R31" i="21"/>
  <c r="V14" i="4"/>
  <c r="X14" i="4" s="1"/>
  <c r="B31" i="21" a="1"/>
  <c r="B31" i="21" s="1"/>
  <c r="A31" i="21" a="1"/>
  <c r="A31" i="21" s="1"/>
  <c r="R16" i="26"/>
  <c r="R11" i="27"/>
  <c r="A23" i="21" a="1"/>
  <c r="A23" i="21" s="1"/>
  <c r="R14" i="19"/>
  <c r="B23" i="4" a="1"/>
  <c r="B23" i="4" s="1"/>
  <c r="B14" i="21" a="1"/>
  <c r="B14" i="21" s="1"/>
  <c r="A21" i="21" a="1"/>
  <c r="A21" i="21" s="1"/>
  <c r="V10" i="4"/>
  <c r="F10" i="4" s="1"/>
  <c r="V12" i="22"/>
  <c r="F12" i="22" s="1"/>
  <c r="B17" i="21" a="1"/>
  <c r="B17" i="21" s="1"/>
  <c r="F18" i="26"/>
  <c r="A15" i="26" a="1"/>
  <c r="A15" i="26" s="1"/>
  <c r="B16" i="26" a="1"/>
  <c r="B16" i="26" s="1"/>
  <c r="A16" i="26" a="1"/>
  <c r="A16" i="26" s="1"/>
  <c r="A18" i="26" a="1"/>
  <c r="A18" i="26" s="1"/>
  <c r="B18" i="26" a="1"/>
  <c r="B18" i="26" s="1"/>
  <c r="A15" i="22" a="1"/>
  <c r="A15" i="22" s="1"/>
  <c r="V15" i="22"/>
  <c r="A26" i="4" a="1"/>
  <c r="A26" i="4" s="1"/>
  <c r="B18" i="4" a="1"/>
  <c r="B18" i="4" s="1"/>
  <c r="V26" i="4"/>
  <c r="W26" i="4" s="1"/>
  <c r="V18" i="4"/>
  <c r="F18" i="4" s="1"/>
  <c r="B14" i="4" a="1"/>
  <c r="B14" i="4" s="1"/>
  <c r="V23" i="4"/>
  <c r="W23" i="4" s="1"/>
  <c r="V25" i="4"/>
  <c r="A25" i="4" a="1"/>
  <c r="A25" i="4" s="1"/>
  <c r="B25" i="4" a="1"/>
  <c r="B25" i="4" s="1"/>
  <c r="DE16" i="19"/>
  <c r="DE10" i="27"/>
  <c r="DB5" i="22"/>
  <c r="K13" i="26"/>
  <c r="J13" i="26" s="1"/>
  <c r="B13" i="26" s="1" a="1"/>
  <c r="B13" i="26" s="1"/>
  <c r="K4" i="21"/>
  <c r="J4" i="21" s="1"/>
  <c r="RF4" i="21"/>
  <c r="K17" i="19"/>
  <c r="J17" i="19" s="1"/>
  <c r="K16" i="19"/>
  <c r="J16" i="19" s="1"/>
  <c r="K10" i="27"/>
  <c r="J10" i="27" s="1"/>
  <c r="DE13" i="26"/>
  <c r="TR8" i="22"/>
  <c r="TV8" i="22" s="1"/>
  <c r="O5" i="22"/>
  <c r="DE4" i="21"/>
  <c r="DE17" i="19"/>
  <c r="RF17" i="19"/>
  <c r="RC17" i="19"/>
  <c r="DE30" i="19"/>
  <c r="RC10" i="27"/>
  <c r="RF10" i="27"/>
  <c r="RC13" i="26"/>
  <c r="RF13" i="26"/>
  <c r="TR13" i="4"/>
  <c r="TV13" i="4" s="1"/>
  <c r="TR27" i="4"/>
  <c r="TV27" i="4" s="1"/>
  <c r="TR5" i="4"/>
  <c r="TV5" i="4" s="1"/>
  <c r="RC4" i="21"/>
  <c r="DD4" i="21"/>
  <c r="M4" i="21"/>
  <c r="M17" i="19"/>
  <c r="DD17" i="19"/>
  <c r="DE22" i="19"/>
  <c r="K35" i="19"/>
  <c r="J35" i="19" s="1"/>
  <c r="DE35" i="19"/>
  <c r="RF16" i="19"/>
  <c r="RC16" i="19"/>
  <c r="DD16" i="19"/>
  <c r="M16" i="19"/>
  <c r="K7" i="19"/>
  <c r="J7" i="19" s="1"/>
  <c r="RF30" i="19"/>
  <c r="K30" i="19"/>
  <c r="J30" i="19" s="1"/>
  <c r="DE7" i="19"/>
  <c r="RF35" i="19"/>
  <c r="RC35" i="19"/>
  <c r="M35" i="19"/>
  <c r="DD35" i="19"/>
  <c r="RC30" i="19"/>
  <c r="DD30" i="19"/>
  <c r="M30" i="19"/>
  <c r="RF22" i="19"/>
  <c r="K22" i="19"/>
  <c r="J22" i="19" s="1"/>
  <c r="RC7" i="19"/>
  <c r="RF7" i="19"/>
  <c r="M7" i="19"/>
  <c r="DD7" i="19"/>
  <c r="RC22" i="19"/>
  <c r="M22" i="19"/>
  <c r="DD22" i="19"/>
  <c r="M10" i="27"/>
  <c r="DD10" i="27"/>
  <c r="M13" i="26"/>
  <c r="DD13" i="26"/>
  <c r="J8" i="22"/>
  <c r="DB8" i="22"/>
  <c r="O8" i="22"/>
  <c r="J5" i="22"/>
  <c r="TR5" i="22"/>
  <c r="TV5" i="22" s="1"/>
  <c r="J27" i="4"/>
  <c r="A27" i="4" s="1" a="1"/>
  <c r="A27" i="4" s="1"/>
  <c r="DB27" i="4"/>
  <c r="O27" i="4"/>
  <c r="DC13" i="4"/>
  <c r="J13" i="4"/>
  <c r="O13" i="4"/>
  <c r="DB13" i="4"/>
  <c r="J5" i="4"/>
  <c r="O5" i="4"/>
  <c r="DB5" i="4"/>
  <c r="F23" i="21" l="1"/>
  <c r="S23" i="21"/>
  <c r="T23" i="21"/>
  <c r="F21" i="21"/>
  <c r="S21" i="21"/>
  <c r="T21" i="21"/>
  <c r="F14" i="21"/>
  <c r="S14" i="21"/>
  <c r="T14" i="21"/>
  <c r="F31" i="21"/>
  <c r="S31" i="21"/>
  <c r="T31" i="21"/>
  <c r="F17" i="21"/>
  <c r="S17" i="21"/>
  <c r="T17" i="21"/>
  <c r="F14" i="19"/>
  <c r="T14" i="19"/>
  <c r="S14" i="19"/>
  <c r="F11" i="27"/>
  <c r="S11" i="27"/>
  <c r="T11" i="27"/>
  <c r="F13" i="27"/>
  <c r="T13" i="27"/>
  <c r="S13" i="27"/>
  <c r="F16" i="27"/>
  <c r="S16" i="27"/>
  <c r="T16" i="27"/>
  <c r="S14" i="26"/>
  <c r="T14" i="26"/>
  <c r="F15" i="26"/>
  <c r="S15" i="26"/>
  <c r="T15" i="26"/>
  <c r="S16" i="26"/>
  <c r="T16" i="26"/>
  <c r="V8" i="22"/>
  <c r="X8" i="22" s="1"/>
  <c r="V27" i="4"/>
  <c r="F27" i="4" s="1"/>
  <c r="V5" i="22"/>
  <c r="X5" i="22" s="1"/>
  <c r="V5" i="4"/>
  <c r="X5" i="4" s="1"/>
  <c r="F14" i="26"/>
  <c r="W14" i="4"/>
  <c r="F14" i="4"/>
  <c r="F16" i="26"/>
  <c r="W10" i="4"/>
  <c r="X10" i="4"/>
  <c r="W12" i="22"/>
  <c r="X12" i="22"/>
  <c r="R16" i="19"/>
  <c r="X15" i="22"/>
  <c r="W15" i="22"/>
  <c r="F15" i="22"/>
  <c r="F23" i="4"/>
  <c r="X23" i="4"/>
  <c r="X26" i="4"/>
  <c r="F26" i="4"/>
  <c r="W18" i="4"/>
  <c r="X18" i="4"/>
  <c r="W25" i="4"/>
  <c r="X25" i="4"/>
  <c r="F25" i="4"/>
  <c r="R10" i="27"/>
  <c r="R13" i="26"/>
  <c r="R17" i="19"/>
  <c r="R35" i="19"/>
  <c r="V13" i="4"/>
  <c r="W13" i="4" s="1"/>
  <c r="R4" i="21"/>
  <c r="R7" i="19"/>
  <c r="R30" i="19"/>
  <c r="R22" i="19"/>
  <c r="A13" i="26" a="1"/>
  <c r="A13" i="26" s="1"/>
  <c r="B27" i="4" a="1"/>
  <c r="B27" i="4" s="1"/>
  <c r="A13" i="4" a="1"/>
  <c r="A13" i="4" s="1"/>
  <c r="B13" i="4" a="1"/>
  <c r="B13" i="4" s="1"/>
  <c r="X27" i="4" l="1"/>
  <c r="W27" i="4"/>
  <c r="W8" i="22"/>
  <c r="F8" i="22"/>
  <c r="T4" i="21"/>
  <c r="S4" i="21"/>
  <c r="F16" i="19"/>
  <c r="T16" i="19"/>
  <c r="S16" i="19"/>
  <c r="S17" i="19"/>
  <c r="T17" i="19"/>
  <c r="F22" i="19"/>
  <c r="T22" i="19"/>
  <c r="S22" i="19"/>
  <c r="S30" i="19"/>
  <c r="T30" i="19"/>
  <c r="S7" i="19"/>
  <c r="T7" i="19"/>
  <c r="F35" i="19"/>
  <c r="S35" i="19"/>
  <c r="T35" i="19"/>
  <c r="S10" i="27"/>
  <c r="T10" i="27"/>
  <c r="F13" i="26"/>
  <c r="S13" i="26"/>
  <c r="T13" i="26"/>
  <c r="W5" i="22"/>
  <c r="F5" i="22"/>
  <c r="W5" i="4"/>
  <c r="F5" i="4"/>
  <c r="F10" i="27"/>
  <c r="X13" i="4"/>
  <c r="F17" i="19"/>
  <c r="F13" i="4"/>
  <c r="F7" i="19"/>
  <c r="F4" i="21"/>
  <c r="F30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C12" i="19" l="1"/>
  <c r="QC19" i="26"/>
  <c r="DC19" i="26"/>
  <c r="DC12" i="19"/>
  <c r="P19" i="26"/>
  <c r="Q19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19" i="26"/>
  <c r="PZ19" i="26"/>
  <c r="RE19" i="26"/>
  <c r="RD19" i="26"/>
  <c r="CZ19" i="26"/>
  <c r="RA19" i="26"/>
  <c r="N19" i="26"/>
  <c r="QZ19" i="26"/>
  <c r="H19" i="26"/>
  <c r="L19" i="26"/>
  <c r="M19" i="26" s="1"/>
  <c r="RB19" i="26"/>
  <c r="I19" i="26"/>
  <c r="O19" i="26" l="1"/>
  <c r="RF12" i="19"/>
  <c r="RF19" i="26"/>
  <c r="DE19" i="26"/>
  <c r="K12" i="19"/>
  <c r="J12" i="19" s="1"/>
  <c r="DD12" i="19"/>
  <c r="Q12" i="19"/>
  <c r="K19" i="26"/>
  <c r="J19" i="26" s="1"/>
  <c r="DD19" i="26"/>
  <c r="RC12" i="19"/>
  <c r="RC19" i="26"/>
  <c r="R19" i="26" l="1"/>
  <c r="R12" i="19"/>
  <c r="F12" i="19" l="1"/>
  <c r="S12" i="19"/>
  <c r="T12" i="19"/>
  <c r="F19" i="26"/>
  <c r="S19" i="26"/>
  <c r="T19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2" i="27"/>
  <c r="QC5" i="26"/>
  <c r="DC12" i="27"/>
  <c r="I12" i="27"/>
  <c r="H12" i="27"/>
  <c r="I5" i="26"/>
  <c r="H5" i="26"/>
  <c r="H11" i="22"/>
  <c r="H10" i="22"/>
  <c r="I11" i="22"/>
  <c r="I10" i="22"/>
  <c r="I24" i="4"/>
  <c r="I16" i="4"/>
  <c r="H24" i="4"/>
  <c r="H16" i="4"/>
  <c r="PZ5" i="26"/>
  <c r="PZ12" i="27"/>
  <c r="P12" i="27"/>
  <c r="DE12" i="27" s="1"/>
  <c r="RD12" i="27"/>
  <c r="QY12" i="27"/>
  <c r="QY5" i="26"/>
  <c r="SN10" i="22"/>
  <c r="SU10" i="22" s="1"/>
  <c r="CW11" i="22"/>
  <c r="DA11" i="22" s="1"/>
  <c r="CW10" i="22"/>
  <c r="DA10" i="22" s="1"/>
  <c r="SN16" i="4"/>
  <c r="SU16" i="4" s="1"/>
  <c r="N10" i="22"/>
  <c r="O10" i="22" s="1"/>
  <c r="TU10" i="22"/>
  <c r="TN10" i="22"/>
  <c r="T10" i="22"/>
  <c r="U10" i="22" s="1"/>
  <c r="TQ10" i="22"/>
  <c r="L10" i="22"/>
  <c r="M10" i="22" s="1"/>
  <c r="R10" i="22"/>
  <c r="S10" i="22" s="1"/>
  <c r="K10" i="22"/>
  <c r="P10" i="22"/>
  <c r="Q10" i="22" s="1"/>
  <c r="SN11" i="22"/>
  <c r="SU11" i="22" s="1"/>
  <c r="TU11" i="22"/>
  <c r="TQ11" i="22"/>
  <c r="TN11" i="22"/>
  <c r="T11" i="22"/>
  <c r="U11" i="22" s="1"/>
  <c r="N11" i="22"/>
  <c r="O11" i="22" s="1"/>
  <c r="L11" i="22"/>
  <c r="M11" i="22" s="1"/>
  <c r="K11" i="22"/>
  <c r="R11" i="22"/>
  <c r="S11" i="22" s="1"/>
  <c r="P11" i="22"/>
  <c r="Q11" i="22" s="1"/>
  <c r="CW16" i="4"/>
  <c r="DA16" i="4" s="1"/>
  <c r="CW24" i="4"/>
  <c r="DA24" i="4" s="1"/>
  <c r="SN24" i="4"/>
  <c r="SU24" i="4" s="1"/>
  <c r="TN16" i="4"/>
  <c r="TU16" i="4"/>
  <c r="TQ16" i="4"/>
  <c r="R16" i="4"/>
  <c r="S16" i="4" s="1"/>
  <c r="N16" i="4"/>
  <c r="O16" i="4" s="1"/>
  <c r="T16" i="4"/>
  <c r="U16" i="4" s="1"/>
  <c r="L16" i="4"/>
  <c r="M16" i="4" s="1"/>
  <c r="K16" i="4"/>
  <c r="P16" i="4"/>
  <c r="Q16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2" i="27"/>
  <c r="RA12" i="27"/>
  <c r="QZ12" i="27"/>
  <c r="RB12" i="27"/>
  <c r="N12" i="27"/>
  <c r="L12" i="27"/>
  <c r="M12" i="27" s="1"/>
  <c r="CZ12" i="27"/>
  <c r="QZ5" i="26"/>
  <c r="RA5" i="26"/>
  <c r="RD5" i="26"/>
  <c r="CZ5" i="26"/>
  <c r="P5" i="26"/>
  <c r="DE5" i="26" s="1"/>
  <c r="N5" i="26"/>
  <c r="RE5" i="26"/>
  <c r="L5" i="26"/>
  <c r="M5" i="26" s="1"/>
  <c r="RB5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O12" i="27" l="1"/>
  <c r="O5" i="26"/>
  <c r="RF12" i="27"/>
  <c r="QC26" i="21"/>
  <c r="RF5" i="26"/>
  <c r="DC26" i="21"/>
  <c r="I26" i="21"/>
  <c r="H26" i="21"/>
  <c r="RD26" i="21"/>
  <c r="J10" i="22"/>
  <c r="J24" i="4"/>
  <c r="TR24" i="4"/>
  <c r="TV24" i="4" s="1"/>
  <c r="Q12" i="27"/>
  <c r="DD12" i="27"/>
  <c r="RC5" i="26"/>
  <c r="TR10" i="22"/>
  <c r="TV10" i="22" s="1"/>
  <c r="DC10" i="22"/>
  <c r="DB10" i="22"/>
  <c r="TR11" i="22"/>
  <c r="TV11" i="22" s="1"/>
  <c r="DC11" i="22"/>
  <c r="DB11" i="22"/>
  <c r="J11" i="22"/>
  <c r="TR16" i="4"/>
  <c r="TV16" i="4" s="1"/>
  <c r="J16" i="4"/>
  <c r="DC16" i="4"/>
  <c r="DB16" i="4"/>
  <c r="DC24" i="4"/>
  <c r="O24" i="4"/>
  <c r="DB24" i="4"/>
  <c r="RC12" i="27"/>
  <c r="K12" i="27"/>
  <c r="DD5" i="26"/>
  <c r="R5" i="26" s="1"/>
  <c r="K5" i="26"/>
  <c r="Q5" i="26"/>
  <c r="PZ26" i="21"/>
  <c r="RE26" i="21"/>
  <c r="P26" i="21"/>
  <c r="Q26" i="21" s="1"/>
  <c r="RA26" i="21"/>
  <c r="QZ26" i="21"/>
  <c r="RB26" i="21"/>
  <c r="QY26" i="21"/>
  <c r="N26" i="21"/>
  <c r="L26" i="21"/>
  <c r="M26" i="21" s="1"/>
  <c r="CZ26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6" i="21"/>
  <c r="O26" i="21"/>
  <c r="A11" i="22" a="1"/>
  <c r="A11" i="22" s="1"/>
  <c r="B11" i="22" a="1"/>
  <c r="B11" i="22" s="1"/>
  <c r="A10" i="22" a="1"/>
  <c r="A10" i="22" s="1"/>
  <c r="B10" i="22" a="1"/>
  <c r="B10" i="22" s="1"/>
  <c r="A24" i="4" a="1"/>
  <c r="A24" i="4" s="1"/>
  <c r="B24" i="4" a="1"/>
  <c r="B24" i="4" s="1"/>
  <c r="A16" i="4" a="1"/>
  <c r="A16" i="4" s="1"/>
  <c r="B16" i="4" a="1"/>
  <c r="B16" i="4" s="1"/>
  <c r="QC5" i="21"/>
  <c r="RF26" i="21"/>
  <c r="QC19" i="19"/>
  <c r="QC4" i="26"/>
  <c r="DC4" i="26"/>
  <c r="DC5" i="21"/>
  <c r="DC19" i="19"/>
  <c r="H19" i="19"/>
  <c r="I5" i="21"/>
  <c r="H5" i="21"/>
  <c r="RC26" i="21"/>
  <c r="I19" i="19"/>
  <c r="I4" i="26"/>
  <c r="H4" i="26"/>
  <c r="J5" i="26"/>
  <c r="B5" i="26" s="1" a="1"/>
  <c r="B5" i="26" s="1"/>
  <c r="R12" i="27"/>
  <c r="K26" i="21"/>
  <c r="V10" i="22"/>
  <c r="V11" i="22"/>
  <c r="X11" i="22" s="1"/>
  <c r="V16" i="4"/>
  <c r="W16" i="4" s="1"/>
  <c r="V24" i="4"/>
  <c r="W24" i="4" s="1"/>
  <c r="F5" i="26"/>
  <c r="DE26" i="21"/>
  <c r="RD19" i="19"/>
  <c r="P19" i="19"/>
  <c r="DE19" i="19" s="1"/>
  <c r="QY19" i="19"/>
  <c r="PZ19" i="19"/>
  <c r="PZ4" i="26"/>
  <c r="PZ5" i="21"/>
  <c r="P5" i="21"/>
  <c r="Q5" i="21" s="1"/>
  <c r="QY5" i="21"/>
  <c r="QZ5" i="21"/>
  <c r="RA5" i="21"/>
  <c r="CZ5" i="21"/>
  <c r="N5" i="21"/>
  <c r="RD5" i="21"/>
  <c r="RE5" i="21"/>
  <c r="L5" i="21"/>
  <c r="M5" i="21" s="1"/>
  <c r="RB5" i="21"/>
  <c r="RE19" i="19"/>
  <c r="RB19" i="19"/>
  <c r="RA19" i="19"/>
  <c r="N19" i="19"/>
  <c r="QZ19" i="19"/>
  <c r="L19" i="19"/>
  <c r="CZ19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2" i="27" l="1"/>
  <c r="S12" i="27"/>
  <c r="T12" i="27"/>
  <c r="O5" i="21"/>
  <c r="O19" i="19"/>
  <c r="O4" i="26"/>
  <c r="F10" i="22"/>
  <c r="X10" i="22"/>
  <c r="RF5" i="21"/>
  <c r="RF19" i="19"/>
  <c r="RF4" i="26"/>
  <c r="J26" i="21"/>
  <c r="J12" i="27"/>
  <c r="R26" i="21"/>
  <c r="W10" i="22"/>
  <c r="W11" i="22"/>
  <c r="F11" i="22"/>
  <c r="F16" i="4"/>
  <c r="X16" i="4"/>
  <c r="F24" i="4"/>
  <c r="X24" i="4"/>
  <c r="Q19" i="19"/>
  <c r="DE5" i="21"/>
  <c r="DD5" i="21"/>
  <c r="RC5" i="21"/>
  <c r="K5" i="21"/>
  <c r="DD19" i="19"/>
  <c r="R19" i="19" s="1"/>
  <c r="RC19" i="19"/>
  <c r="K19" i="19"/>
  <c r="M19" i="19"/>
  <c r="K4" i="26"/>
  <c r="RC4" i="26"/>
  <c r="DD4" i="26"/>
  <c r="R4" i="26" s="1"/>
  <c r="Q4" i="26"/>
  <c r="F26" i="21" l="1"/>
  <c r="T26" i="21"/>
  <c r="S26" i="21"/>
  <c r="T19" i="19"/>
  <c r="S19" i="19"/>
  <c r="T4" i="26"/>
  <c r="S4" i="26"/>
  <c r="A26" i="21" a="1"/>
  <c r="A26" i="21" s="1"/>
  <c r="B26" i="21" a="1"/>
  <c r="B26" i="21" s="1"/>
  <c r="A12" i="27" a="1"/>
  <c r="A12" i="27" s="1"/>
  <c r="B12" i="27" a="1"/>
  <c r="B12" i="27" s="1"/>
  <c r="J5" i="21"/>
  <c r="J4" i="26"/>
  <c r="R5" i="21"/>
  <c r="F19" i="19"/>
  <c r="F4" i="26"/>
  <c r="S5" i="21" l="1"/>
  <c r="T5" i="21"/>
  <c r="B4" i="26" a="1"/>
  <c r="B4" i="26" s="1"/>
  <c r="J19" i="19"/>
  <c r="F5" i="21"/>
  <c r="CQ7" i="22" l="1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7" i="22" l="1"/>
  <c r="H7" i="22"/>
  <c r="I6" i="4"/>
  <c r="H6" i="4"/>
  <c r="P7" i="22"/>
  <c r="Q7" i="22" s="1"/>
  <c r="CW6" i="4"/>
  <c r="DA6" i="4" s="1"/>
  <c r="SN7" i="22"/>
  <c r="SU7" i="22" s="1"/>
  <c r="CW7" i="22"/>
  <c r="DA7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Q6" i="4" s="1"/>
  <c r="J7" i="22" l="1"/>
  <c r="J6" i="4"/>
  <c r="M7" i="22"/>
  <c r="TR6" i="4"/>
  <c r="TV6" i="4" s="1"/>
  <c r="M6" i="4"/>
  <c r="TR7" i="22"/>
  <c r="TV7" i="22" s="1"/>
  <c r="DC7" i="22"/>
  <c r="DB7" i="22"/>
  <c r="DB6" i="4"/>
  <c r="DC6" i="4"/>
  <c r="V6" i="4" l="1"/>
  <c r="F6" i="4" s="1"/>
  <c r="V7" i="22"/>
  <c r="W7" i="22" l="1"/>
  <c r="X7" i="22"/>
  <c r="F7" i="22"/>
  <c r="W6" i="4"/>
  <c r="X6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8" i="27"/>
  <c r="I8" i="27"/>
  <c r="DC8" i="27"/>
  <c r="I4" i="27"/>
  <c r="H4" i="27"/>
  <c r="H8" i="27"/>
  <c r="PZ8" i="27"/>
  <c r="QY8" i="27"/>
  <c r="RD4" i="27"/>
  <c r="QY4" i="27"/>
  <c r="PZ4" i="27"/>
  <c r="RA8" i="27"/>
  <c r="QZ8" i="27"/>
  <c r="P8" i="27"/>
  <c r="DE8" i="27" s="1"/>
  <c r="RD8" i="27"/>
  <c r="CZ8" i="27"/>
  <c r="N8" i="27"/>
  <c r="RE8" i="27"/>
  <c r="L8" i="27"/>
  <c r="M8" i="27" s="1"/>
  <c r="RB8" i="27"/>
  <c r="P4" i="27"/>
  <c r="Q4" i="27" s="1"/>
  <c r="QZ4" i="27"/>
  <c r="RA4" i="27"/>
  <c r="CZ4" i="27"/>
  <c r="N4" i="27"/>
  <c r="RE4" i="27"/>
  <c r="L4" i="27"/>
  <c r="RB4" i="27"/>
  <c r="M4" i="27" l="1"/>
  <c r="O4" i="27"/>
  <c r="DD8" i="27"/>
  <c r="R8" i="27" s="1"/>
  <c r="O8" i="27"/>
  <c r="RF8" i="27"/>
  <c r="RF4" i="27"/>
  <c r="RC8" i="27"/>
  <c r="DE4" i="27"/>
  <c r="RC4" i="27"/>
  <c r="Q8" i="27"/>
  <c r="K8" i="27"/>
  <c r="DD4" i="27"/>
  <c r="K4" i="27"/>
  <c r="T8" i="27" l="1"/>
  <c r="S8" i="27"/>
  <c r="J8" i="27"/>
  <c r="R4" i="27"/>
  <c r="F8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13" i="19"/>
  <c r="CW13" i="19"/>
  <c r="CX13" i="19"/>
  <c r="CY13" i="19"/>
  <c r="DA13" i="19"/>
  <c r="DB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D17" i="4"/>
  <c r="TP17" i="4" s="1"/>
  <c r="TE17" i="4"/>
  <c r="TF17" i="4"/>
  <c r="TG17" i="4"/>
  <c r="TH17" i="4"/>
  <c r="TS17" i="4" s="1"/>
  <c r="TI17" i="4"/>
  <c r="TT17" i="4" s="1"/>
  <c r="TJ17" i="4"/>
  <c r="B4" i="27" l="1" a="1"/>
  <c r="B4" i="27" s="1"/>
  <c r="H15" i="27"/>
  <c r="QC11" i="21"/>
  <c r="QC8" i="21"/>
  <c r="H15" i="19"/>
  <c r="QC13" i="19"/>
  <c r="QC9" i="19"/>
  <c r="QC15" i="19"/>
  <c r="QC27" i="19"/>
  <c r="QC15" i="27"/>
  <c r="DC6" i="26"/>
  <c r="DC7" i="26"/>
  <c r="QC6" i="26"/>
  <c r="QC7" i="26"/>
  <c r="QC11" i="26"/>
  <c r="DC11" i="26"/>
  <c r="H11" i="21"/>
  <c r="H8" i="21"/>
  <c r="DC11" i="21"/>
  <c r="DC8" i="21"/>
  <c r="DC15" i="19"/>
  <c r="DC9" i="19"/>
  <c r="DC27" i="19"/>
  <c r="DC13" i="19"/>
  <c r="DC15" i="27"/>
  <c r="H9" i="19"/>
  <c r="H13" i="19"/>
  <c r="I11" i="21"/>
  <c r="I8" i="21"/>
  <c r="I15" i="19"/>
  <c r="I13" i="19"/>
  <c r="I27" i="19"/>
  <c r="H27" i="19"/>
  <c r="I9" i="19"/>
  <c r="I15" i="27"/>
  <c r="I6" i="26"/>
  <c r="I7" i="26"/>
  <c r="H11" i="26"/>
  <c r="H6" i="26"/>
  <c r="H7" i="26"/>
  <c r="I11" i="26"/>
  <c r="H4" i="22"/>
  <c r="I13" i="22"/>
  <c r="I6" i="22"/>
  <c r="I14" i="22"/>
  <c r="H13" i="22"/>
  <c r="H6" i="22"/>
  <c r="H14" i="22"/>
  <c r="I4" i="22"/>
  <c r="I4" i="4"/>
  <c r="H19" i="4"/>
  <c r="H20" i="4"/>
  <c r="H4" i="4"/>
  <c r="H22" i="4"/>
  <c r="H7" i="4"/>
  <c r="I19" i="4"/>
  <c r="I17" i="4"/>
  <c r="I20" i="4"/>
  <c r="I22" i="4"/>
  <c r="I7" i="4"/>
  <c r="H17" i="4"/>
  <c r="CW6" i="22"/>
  <c r="DA6" i="22" s="1"/>
  <c r="P6" i="22"/>
  <c r="Q6" i="22" s="1"/>
  <c r="P13" i="22"/>
  <c r="Q13" i="22" s="1"/>
  <c r="P14" i="22"/>
  <c r="Q14" i="22" s="1"/>
  <c r="P4" i="22"/>
  <c r="Q4" i="22" s="1"/>
  <c r="PZ6" i="26"/>
  <c r="CW22" i="4"/>
  <c r="DA22" i="4" s="1"/>
  <c r="PZ7" i="26"/>
  <c r="QY7" i="26"/>
  <c r="CW14" i="22"/>
  <c r="DA14" i="22" s="1"/>
  <c r="CW7" i="4"/>
  <c r="DA7" i="4" s="1"/>
  <c r="RA7" i="26"/>
  <c r="CZ7" i="26"/>
  <c r="QZ7" i="26"/>
  <c r="CW19" i="4"/>
  <c r="DA19" i="4" s="1"/>
  <c r="CW17" i="4"/>
  <c r="DA17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7" i="19"/>
  <c r="QY27" i="19"/>
  <c r="PZ27" i="19"/>
  <c r="SN7" i="4"/>
  <c r="SU7" i="4" s="1"/>
  <c r="TQ7" i="4"/>
  <c r="SN22" i="4"/>
  <c r="SU22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2" i="4"/>
  <c r="TN22" i="4"/>
  <c r="TU22" i="4"/>
  <c r="T22" i="4"/>
  <c r="U22" i="4" s="1"/>
  <c r="N22" i="4"/>
  <c r="O22" i="4" s="1"/>
  <c r="L22" i="4"/>
  <c r="K22" i="4"/>
  <c r="R22" i="4"/>
  <c r="S22" i="4" s="1"/>
  <c r="P22" i="4"/>
  <c r="Q22" i="4" s="1"/>
  <c r="RA27" i="19"/>
  <c r="RE27" i="19"/>
  <c r="P27" i="19"/>
  <c r="DE27" i="19" s="1"/>
  <c r="QZ27" i="19"/>
  <c r="RB27" i="19"/>
  <c r="N27" i="19"/>
  <c r="L27" i="19"/>
  <c r="CZ27" i="19"/>
  <c r="SN14" i="22"/>
  <c r="SU14" i="22" s="1"/>
  <c r="TN14" i="22"/>
  <c r="TU14" i="22"/>
  <c r="R14" i="22"/>
  <c r="S14" i="22" s="1"/>
  <c r="TQ14" i="22"/>
  <c r="N14" i="22"/>
  <c r="O14" i="22" s="1"/>
  <c r="L14" i="22"/>
  <c r="K14" i="22"/>
  <c r="T14" i="22"/>
  <c r="U14" i="22" s="1"/>
  <c r="T13" i="22"/>
  <c r="U13" i="22" s="1"/>
  <c r="T4" i="22"/>
  <c r="U4" i="22" s="1"/>
  <c r="T6" i="22"/>
  <c r="U6" i="22" s="1"/>
  <c r="T17" i="4"/>
  <c r="U17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15" i="19"/>
  <c r="RA13" i="19"/>
  <c r="CZ13" i="19"/>
  <c r="RD11" i="26"/>
  <c r="QY11" i="26"/>
  <c r="SN4" i="22"/>
  <c r="SU4" i="22" s="1"/>
  <c r="N4" i="22"/>
  <c r="O4" i="22" s="1"/>
  <c r="RD13" i="19"/>
  <c r="CZ11" i="26"/>
  <c r="SN6" i="22"/>
  <c r="SU6" i="22" s="1"/>
  <c r="SN13" i="22"/>
  <c r="SU13" i="22" s="1"/>
  <c r="SN19" i="4"/>
  <c r="SU19" i="4" s="1"/>
  <c r="P4" i="4"/>
  <c r="SN20" i="4"/>
  <c r="SU20" i="4" s="1"/>
  <c r="P17" i="4"/>
  <c r="P20" i="4"/>
  <c r="SN17" i="4"/>
  <c r="SU17" i="4" s="1"/>
  <c r="P19" i="4"/>
  <c r="Q19" i="4" s="1"/>
  <c r="SN4" i="4"/>
  <c r="SU4" i="4" s="1"/>
  <c r="CZ8" i="21"/>
  <c r="P11" i="21"/>
  <c r="Q11" i="21" s="1"/>
  <c r="QY11" i="21"/>
  <c r="RD8" i="21"/>
  <c r="RA11" i="21"/>
  <c r="RD11" i="21"/>
  <c r="RE11" i="21"/>
  <c r="RE8" i="21"/>
  <c r="QZ11" i="21"/>
  <c r="L13" i="19"/>
  <c r="M13" i="19" s="1"/>
  <c r="RA15" i="19"/>
  <c r="RD15" i="19"/>
  <c r="RE13" i="19"/>
  <c r="N13" i="19"/>
  <c r="P15" i="19"/>
  <c r="DE15" i="19" s="1"/>
  <c r="L15" i="19"/>
  <c r="M15" i="19" s="1"/>
  <c r="CZ15" i="27"/>
  <c r="RA15" i="27"/>
  <c r="RD15" i="27"/>
  <c r="QY15" i="27"/>
  <c r="PZ15" i="27"/>
  <c r="RA11" i="26"/>
  <c r="CW13" i="22"/>
  <c r="DA13" i="22" s="1"/>
  <c r="TN13" i="22"/>
  <c r="TU4" i="22"/>
  <c r="TU13" i="22"/>
  <c r="TU6" i="22"/>
  <c r="N13" i="22"/>
  <c r="TN19" i="4"/>
  <c r="TQ17" i="4"/>
  <c r="CW4" i="4"/>
  <c r="DA4" i="4" s="1"/>
  <c r="TN17" i="4"/>
  <c r="TU20" i="4"/>
  <c r="TQ4" i="4"/>
  <c r="TO17" i="4"/>
  <c r="TQ19" i="4"/>
  <c r="TQ20" i="4"/>
  <c r="TU4" i="4"/>
  <c r="TN20" i="4"/>
  <c r="TN4" i="4"/>
  <c r="TU19" i="4"/>
  <c r="N20" i="4"/>
  <c r="L20" i="4"/>
  <c r="N17" i="4"/>
  <c r="K20" i="4"/>
  <c r="PZ11" i="21"/>
  <c r="CZ11" i="21"/>
  <c r="L11" i="21"/>
  <c r="N11" i="21"/>
  <c r="P8" i="21"/>
  <c r="QY8" i="21"/>
  <c r="RB8" i="21"/>
  <c r="RA8" i="21"/>
  <c r="RB11" i="21"/>
  <c r="QZ8" i="21"/>
  <c r="N8" i="21"/>
  <c r="L8" i="21"/>
  <c r="PZ8" i="21"/>
  <c r="RB15" i="19"/>
  <c r="RE15" i="19"/>
  <c r="QZ15" i="19"/>
  <c r="PZ15" i="19"/>
  <c r="QY15" i="19"/>
  <c r="N15" i="19"/>
  <c r="PZ13" i="19"/>
  <c r="QZ13" i="19"/>
  <c r="QY13" i="19"/>
  <c r="RB13" i="19"/>
  <c r="P13" i="19"/>
  <c r="L15" i="27"/>
  <c r="N15" i="27"/>
  <c r="RE15" i="27"/>
  <c r="RB15" i="27"/>
  <c r="P15" i="27"/>
  <c r="QZ15" i="27"/>
  <c r="PZ11" i="26"/>
  <c r="RE11" i="26"/>
  <c r="P11" i="26"/>
  <c r="QZ11" i="26"/>
  <c r="N11" i="26"/>
  <c r="RB11" i="26"/>
  <c r="L11" i="26"/>
  <c r="R13" i="22"/>
  <c r="S13" i="22" s="1"/>
  <c r="K6" i="22"/>
  <c r="R6" i="22"/>
  <c r="S6" i="22" s="1"/>
  <c r="TQ4" i="22"/>
  <c r="L6" i="22"/>
  <c r="L13" i="22"/>
  <c r="K13" i="22"/>
  <c r="TQ13" i="22"/>
  <c r="TQ6" i="22"/>
  <c r="R4" i="22"/>
  <c r="S4" i="22" s="1"/>
  <c r="N6" i="22"/>
  <c r="TN4" i="22"/>
  <c r="TN6" i="22"/>
  <c r="CW4" i="22"/>
  <c r="DA4" i="22" s="1"/>
  <c r="L4" i="22"/>
  <c r="K4" i="22"/>
  <c r="R17" i="4"/>
  <c r="S17" i="4" s="1"/>
  <c r="TU17" i="4"/>
  <c r="L17" i="4"/>
  <c r="N4" i="4"/>
  <c r="K17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7" i="4"/>
  <c r="Q17" i="4"/>
  <c r="DC4" i="4"/>
  <c r="Q4" i="4"/>
  <c r="DC20" i="4"/>
  <c r="Q20" i="4"/>
  <c r="O8" i="21"/>
  <c r="O13" i="19"/>
  <c r="O11" i="26"/>
  <c r="O7" i="26"/>
  <c r="DD27" i="19"/>
  <c r="R27" i="19" s="1"/>
  <c r="O27" i="19"/>
  <c r="O9" i="19"/>
  <c r="O15" i="19"/>
  <c r="O15" i="27"/>
  <c r="RF11" i="21"/>
  <c r="RF15" i="19"/>
  <c r="RF6" i="26"/>
  <c r="RF7" i="26"/>
  <c r="RF8" i="21"/>
  <c r="RF13" i="19"/>
  <c r="RF9" i="19"/>
  <c r="RF27" i="19"/>
  <c r="RF15" i="27"/>
  <c r="RF11" i="26"/>
  <c r="J13" i="22"/>
  <c r="J17" i="4"/>
  <c r="J20" i="4"/>
  <c r="J22" i="4"/>
  <c r="DC13" i="22"/>
  <c r="DC6" i="22"/>
  <c r="DC4" i="22"/>
  <c r="M14" i="22"/>
  <c r="M22" i="4"/>
  <c r="M20" i="4"/>
  <c r="M7" i="4"/>
  <c r="RC9" i="19"/>
  <c r="Q27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7" i="19"/>
  <c r="Q9" i="19"/>
  <c r="DB22" i="4"/>
  <c r="TR22" i="4"/>
  <c r="TV22" i="4" s="1"/>
  <c r="J7" i="4"/>
  <c r="DC7" i="4"/>
  <c r="DB7" i="4"/>
  <c r="DC22" i="4"/>
  <c r="DB19" i="4"/>
  <c r="M27" i="19"/>
  <c r="K27" i="19"/>
  <c r="K9" i="19"/>
  <c r="TR14" i="22"/>
  <c r="TV14" i="22" s="1"/>
  <c r="DB14" i="22"/>
  <c r="DC14" i="22"/>
  <c r="DD13" i="19"/>
  <c r="DD9" i="19"/>
  <c r="DB17" i="4"/>
  <c r="DB4" i="4"/>
  <c r="DE11" i="21"/>
  <c r="Q15" i="19"/>
  <c r="DB4" i="22"/>
  <c r="DB6" i="22"/>
  <c r="DB13" i="22"/>
  <c r="DB20" i="4"/>
  <c r="TR17" i="4"/>
  <c r="TV17" i="4" s="1"/>
  <c r="O13" i="22"/>
  <c r="O6" i="22"/>
  <c r="TR4" i="4"/>
  <c r="TV4" i="4" s="1"/>
  <c r="TR20" i="4"/>
  <c r="TV20" i="4" s="1"/>
  <c r="TR19" i="4"/>
  <c r="TV19" i="4" s="1"/>
  <c r="O4" i="4"/>
  <c r="DC19" i="4"/>
  <c r="O20" i="4"/>
  <c r="O17" i="4"/>
  <c r="O19" i="4"/>
  <c r="RC11" i="21"/>
  <c r="K11" i="21"/>
  <c r="K8" i="21"/>
  <c r="K15" i="19"/>
  <c r="K13" i="19"/>
  <c r="TR13" i="22"/>
  <c r="TV13" i="22" s="1"/>
  <c r="TR4" i="22"/>
  <c r="TV4" i="22" s="1"/>
  <c r="TR6" i="22"/>
  <c r="TV6" i="22" s="1"/>
  <c r="J6" i="22"/>
  <c r="J19" i="4"/>
  <c r="J4" i="4"/>
  <c r="DD8" i="21"/>
  <c r="DE8" i="21"/>
  <c r="Q8" i="21"/>
  <c r="DD11" i="21"/>
  <c r="M8" i="21"/>
  <c r="M11" i="21"/>
  <c r="RC8" i="21"/>
  <c r="DD15" i="19"/>
  <c r="RC13" i="19"/>
  <c r="DE13" i="19"/>
  <c r="Q13" i="19"/>
  <c r="RC15" i="19"/>
  <c r="K15" i="27"/>
  <c r="RC15" i="27"/>
  <c r="DE15" i="27"/>
  <c r="Q15" i="27"/>
  <c r="DD15" i="27"/>
  <c r="M15" i="27"/>
  <c r="RC11" i="26"/>
  <c r="K11" i="26"/>
  <c r="Q11" i="26"/>
  <c r="DE11" i="26"/>
  <c r="DD11" i="26"/>
  <c r="M11" i="26"/>
  <c r="M6" i="22"/>
  <c r="M13" i="22"/>
  <c r="J4" i="22"/>
  <c r="M4" i="22"/>
  <c r="M4" i="4"/>
  <c r="M19" i="4"/>
  <c r="M17" i="4"/>
  <c r="S27" i="19" l="1"/>
  <c r="T27" i="19"/>
  <c r="V17" i="4"/>
  <c r="X17" i="4" s="1"/>
  <c r="V4" i="4"/>
  <c r="X4" i="4" s="1"/>
  <c r="B4" i="22" a="1"/>
  <c r="B4" i="22" s="1"/>
  <c r="A13" i="22" a="1"/>
  <c r="A13" i="22" s="1"/>
  <c r="B13" i="22" a="1"/>
  <c r="B13" i="22" s="1"/>
  <c r="A17" i="4" a="1"/>
  <c r="A17" i="4" s="1"/>
  <c r="B17" i="4" a="1"/>
  <c r="B17" i="4" s="1"/>
  <c r="A19" i="4" a="1"/>
  <c r="A19" i="4" s="1"/>
  <c r="B19" i="4" a="1"/>
  <c r="B19" i="4" s="1"/>
  <c r="A22" i="4" a="1"/>
  <c r="A22" i="4" s="1"/>
  <c r="B22" i="4" a="1"/>
  <c r="B22" i="4" s="1"/>
  <c r="J11" i="21"/>
  <c r="B11" i="21" s="1" a="1"/>
  <c r="B11" i="21" s="1"/>
  <c r="J27" i="19"/>
  <c r="J15" i="19"/>
  <c r="J13" i="19"/>
  <c r="J9" i="19"/>
  <c r="J11" i="26"/>
  <c r="J6" i="26"/>
  <c r="J7" i="26"/>
  <c r="J14" i="22"/>
  <c r="V4" i="22"/>
  <c r="V6" i="22"/>
  <c r="F4" i="4"/>
  <c r="F17" i="4"/>
  <c r="R6" i="26"/>
  <c r="R7" i="26"/>
  <c r="V22" i="4"/>
  <c r="F22" i="4" s="1"/>
  <c r="R9" i="19"/>
  <c r="R13" i="19"/>
  <c r="V7" i="4"/>
  <c r="F7" i="4" s="1"/>
  <c r="F27" i="19"/>
  <c r="V14" i="22"/>
  <c r="R15" i="19"/>
  <c r="R11" i="21"/>
  <c r="V19" i="4"/>
  <c r="X19" i="4" s="1"/>
  <c r="R11" i="26"/>
  <c r="V20" i="4"/>
  <c r="F20" i="4" s="1"/>
  <c r="R8" i="21"/>
  <c r="R15" i="27"/>
  <c r="V13" i="22"/>
  <c r="W17" i="4" l="1"/>
  <c r="S11" i="21"/>
  <c r="T11" i="21"/>
  <c r="S8" i="21"/>
  <c r="T8" i="21"/>
  <c r="F15" i="19"/>
  <c r="S15" i="19"/>
  <c r="T15" i="19"/>
  <c r="S13" i="19"/>
  <c r="T13" i="19"/>
  <c r="F9" i="19"/>
  <c r="S9" i="19"/>
  <c r="T9" i="19"/>
  <c r="T15" i="27"/>
  <c r="S15" i="27"/>
  <c r="F11" i="26"/>
  <c r="S11" i="26"/>
  <c r="T11" i="26"/>
  <c r="F7" i="26"/>
  <c r="S7" i="26"/>
  <c r="T7" i="26"/>
  <c r="F6" i="26"/>
  <c r="S6" i="26"/>
  <c r="T6" i="26"/>
  <c r="W4" i="4"/>
  <c r="B11" i="26" a="1"/>
  <c r="B11" i="26" s="1"/>
  <c r="F13" i="22"/>
  <c r="X13" i="22"/>
  <c r="F14" i="22"/>
  <c r="X14" i="22"/>
  <c r="W6" i="22"/>
  <c r="X6" i="22"/>
  <c r="F4" i="22"/>
  <c r="X4" i="22"/>
  <c r="A27" i="19" a="1"/>
  <c r="A27" i="19" s="1"/>
  <c r="B27" i="19" a="1"/>
  <c r="B27" i="19" s="1"/>
  <c r="A14" i="22" a="1"/>
  <c r="A14" i="22" s="1"/>
  <c r="B14" i="22" a="1"/>
  <c r="B14" i="22" s="1"/>
  <c r="F6" i="22"/>
  <c r="A11" i="21" a="1"/>
  <c r="A11" i="21" s="1"/>
  <c r="J8" i="21"/>
  <c r="J15" i="27"/>
  <c r="W4" i="22"/>
  <c r="X22" i="4"/>
  <c r="W22" i="4"/>
  <c r="F19" i="4"/>
  <c r="X7" i="4"/>
  <c r="F13" i="19"/>
  <c r="W7" i="4"/>
  <c r="W14" i="22"/>
  <c r="W19" i="4"/>
  <c r="F11" i="21"/>
  <c r="F8" i="21"/>
  <c r="X20" i="4"/>
  <c r="W20" i="4"/>
  <c r="F15" i="27"/>
  <c r="W13" i="22"/>
  <c r="A8" i="22" l="1" a="1"/>
  <c r="A8" i="22" s="1"/>
  <c r="B8" i="22" a="1"/>
  <c r="B8" i="22" s="1"/>
  <c r="B12" i="22" a="1"/>
  <c r="B12" i="22" s="1"/>
  <c r="A12" i="22" a="1"/>
  <c r="A12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D9" i="27"/>
  <c r="QB9" i="27"/>
  <c r="QA9" i="27"/>
  <c r="PY9" i="27"/>
  <c r="PX9" i="27"/>
  <c r="PW9" i="27"/>
  <c r="PV9" i="27"/>
  <c r="DB9" i="27"/>
  <c r="DA9" i="27"/>
  <c r="CY9" i="27"/>
  <c r="CX9" i="27"/>
  <c r="CW9" i="27"/>
  <c r="CV9" i="27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D8" i="26"/>
  <c r="QB8" i="26"/>
  <c r="QA8" i="26"/>
  <c r="PY8" i="26"/>
  <c r="PX8" i="26"/>
  <c r="PW8" i="26"/>
  <c r="PV8" i="26"/>
  <c r="DB8" i="26"/>
  <c r="DA8" i="26"/>
  <c r="CY8" i="26"/>
  <c r="CX8" i="26"/>
  <c r="CW8" i="26"/>
  <c r="CV8" i="26"/>
  <c r="DC8" i="26" l="1"/>
  <c r="H9" i="27"/>
  <c r="H5" i="27"/>
  <c r="QC9" i="27"/>
  <c r="QC5" i="27"/>
  <c r="QC8" i="26"/>
  <c r="I9" i="27"/>
  <c r="DC9" i="27"/>
  <c r="I5" i="27"/>
  <c r="DC5" i="27"/>
  <c r="H8" i="26"/>
  <c r="I8" i="26"/>
  <c r="PZ5" i="27"/>
  <c r="QY8" i="26"/>
  <c r="CZ8" i="26"/>
  <c r="PZ8" i="26"/>
  <c r="P9" i="27"/>
  <c r="Q9" i="27" s="1"/>
  <c r="QY5" i="27"/>
  <c r="RD5" i="27"/>
  <c r="P5" i="27"/>
  <c r="Q5" i="27" s="1"/>
  <c r="RA5" i="27"/>
  <c r="L9" i="27"/>
  <c r="M9" i="27" s="1"/>
  <c r="QZ9" i="27"/>
  <c r="RA9" i="27"/>
  <c r="L5" i="27"/>
  <c r="M5" i="27" s="1"/>
  <c r="RB9" i="27"/>
  <c r="RD9" i="27"/>
  <c r="RA8" i="26"/>
  <c r="P8" i="26"/>
  <c r="Q8" i="26" s="1"/>
  <c r="QZ8" i="26"/>
  <c r="RE8" i="26"/>
  <c r="RB8" i="26"/>
  <c r="RD8" i="26"/>
  <c r="CZ9" i="27"/>
  <c r="QZ5" i="27"/>
  <c r="N5" i="27"/>
  <c r="RB5" i="27"/>
  <c r="CZ5" i="27"/>
  <c r="N9" i="27"/>
  <c r="RE9" i="27"/>
  <c r="QY9" i="27"/>
  <c r="PZ9" i="27"/>
  <c r="RE5" i="27"/>
  <c r="L8" i="26"/>
  <c r="N8" i="26"/>
  <c r="O8" i="26" l="1"/>
  <c r="O9" i="27"/>
  <c r="O5" i="27"/>
  <c r="RF9" i="27"/>
  <c r="RF5" i="27"/>
  <c r="RF8" i="26"/>
  <c r="DE5" i="27"/>
  <c r="RC9" i="27"/>
  <c r="DE9" i="27"/>
  <c r="K5" i="27"/>
  <c r="K9" i="27"/>
  <c r="RC8" i="26"/>
  <c r="DE8" i="26"/>
  <c r="DD5" i="27"/>
  <c r="RC5" i="27"/>
  <c r="DD9" i="27"/>
  <c r="DD8" i="26"/>
  <c r="M8" i="26"/>
  <c r="K8" i="26"/>
  <c r="J9" i="27" l="1"/>
  <c r="J5" i="27"/>
  <c r="R9" i="27"/>
  <c r="R5" i="27"/>
  <c r="R8" i="26"/>
  <c r="T5" i="27" l="1"/>
  <c r="S5" i="27"/>
  <c r="S9" i="27"/>
  <c r="T9" i="27"/>
  <c r="S8" i="26"/>
  <c r="T8" i="26"/>
  <c r="J8" i="26"/>
  <c r="F9" i="27"/>
  <c r="F5" i="27"/>
  <c r="A6" i="27" s="1" a="1"/>
  <c r="A6" i="27" s="1"/>
  <c r="F8" i="26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B6" i="27" l="1" a="1"/>
  <c r="B6" i="27" s="1"/>
  <c r="B17" i="26" a="1"/>
  <c r="B17" i="26" s="1"/>
  <c r="B20" i="26" a="1"/>
  <c r="B20" i="26" s="1"/>
  <c r="A20" i="26" a="1"/>
  <c r="A20" i="26" s="1"/>
  <c r="A17" i="26" a="1"/>
  <c r="A17" i="26" s="1"/>
  <c r="B18" i="27" a="1"/>
  <c r="B18" i="27" s="1"/>
  <c r="A18" i="27" a="1"/>
  <c r="A18" i="27" s="1"/>
  <c r="B12" i="26" a="1"/>
  <c r="B12" i="26" s="1"/>
  <c r="A12" i="26" a="1"/>
  <c r="A12" i="26" s="1"/>
  <c r="B10" i="26" a="1"/>
  <c r="B10" i="26" s="1"/>
  <c r="A10" i="26" a="1"/>
  <c r="A10" i="26" s="1"/>
  <c r="B9" i="26" a="1"/>
  <c r="B9" i="26" s="1"/>
  <c r="A9" i="26" a="1"/>
  <c r="A9" i="26" s="1"/>
  <c r="B7" i="27" a="1"/>
  <c r="B7" i="27" s="1"/>
  <c r="B5" i="27" a="1"/>
  <c r="B5" i="27" s="1"/>
  <c r="A7" i="27" a="1"/>
  <c r="A7" i="27" s="1"/>
  <c r="A13" i="27" a="1"/>
  <c r="A13" i="27" s="1"/>
  <c r="B16" i="27" a="1"/>
  <c r="B16" i="27" s="1"/>
  <c r="A19" i="26" a="1"/>
  <c r="A19" i="26" s="1"/>
  <c r="B19" i="26" a="1"/>
  <c r="B19" i="26" s="1"/>
  <c r="A6" i="26" a="1"/>
  <c r="A6" i="26" s="1"/>
  <c r="B6" i="26" a="1"/>
  <c r="B6" i="26" s="1"/>
  <c r="B13" i="27" a="1"/>
  <c r="B13" i="27" s="1"/>
  <c r="A16" i="27" a="1"/>
  <c r="A16" i="27" s="1"/>
  <c r="B11" i="27" a="1"/>
  <c r="B11" i="27" s="1"/>
  <c r="A11" i="27" a="1"/>
  <c r="A11" i="27" s="1"/>
  <c r="A14" i="26" a="1"/>
  <c r="A14" i="26" s="1"/>
  <c r="B14" i="26" a="1"/>
  <c r="B14" i="26" s="1"/>
  <c r="B10" i="27" a="1"/>
  <c r="B10" i="27" s="1"/>
  <c r="A10" i="27" a="1"/>
  <c r="A10" i="27" s="1"/>
  <c r="B15" i="27" a="1"/>
  <c r="B15" i="27" s="1"/>
  <c r="B8" i="27" a="1"/>
  <c r="B8" i="27" s="1"/>
  <c r="B9" i="27" a="1"/>
  <c r="B9" i="27" s="1"/>
  <c r="A8" i="26" a="1"/>
  <c r="A8" i="26" s="1"/>
  <c r="B8" i="26" a="1"/>
  <c r="B8" i="26" s="1"/>
  <c r="B7" i="26" a="1"/>
  <c r="B7" i="26" s="1"/>
  <c r="QC25" i="19"/>
  <c r="DC25" i="19"/>
  <c r="A15" i="27" a="1"/>
  <c r="A15" i="27" s="1"/>
  <c r="A9" i="27" a="1"/>
  <c r="A9" i="27" s="1"/>
  <c r="I25" i="19"/>
  <c r="H25" i="19"/>
  <c r="A8" i="27" a="1"/>
  <c r="A8" i="27" s="1"/>
  <c r="A4" i="27" a="1"/>
  <c r="A4" i="27" s="1"/>
  <c r="A5" i="27" a="1"/>
  <c r="A5" i="27" s="1"/>
  <c r="A5" i="26" a="1"/>
  <c r="A5" i="26" s="1"/>
  <c r="A4" i="26" a="1"/>
  <c r="A4" i="26" s="1"/>
  <c r="A11" i="26" a="1"/>
  <c r="A11" i="26" s="1"/>
  <c r="A7" i="26" a="1"/>
  <c r="A7" i="26" s="1"/>
  <c r="PZ25" i="19"/>
  <c r="QY25" i="19"/>
  <c r="P25" i="19"/>
  <c r="RD25" i="19"/>
  <c r="CZ25" i="19"/>
  <c r="RA25" i="19"/>
  <c r="RE25" i="19"/>
  <c r="QZ25" i="19"/>
  <c r="N25" i="19"/>
  <c r="L25" i="19"/>
  <c r="RB25" i="19"/>
  <c r="O25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25" i="19"/>
  <c r="DD25" i="19"/>
  <c r="Q25" i="19"/>
  <c r="DE2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25" i="19"/>
  <c r="RC25" i="19"/>
  <c r="M25" i="19"/>
  <c r="J25" i="19" l="1"/>
  <c r="R25" i="19"/>
  <c r="S25" i="19" l="1"/>
  <c r="T25" i="19"/>
  <c r="F25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C20" i="19" l="1"/>
  <c r="QC8" i="19"/>
  <c r="DC20" i="19"/>
  <c r="DC8" i="19"/>
  <c r="I20" i="19"/>
  <c r="I8" i="19"/>
  <c r="H20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20" i="19"/>
  <c r="QY20" i="19"/>
  <c r="PZ20" i="19"/>
  <c r="P20" i="19"/>
  <c r="DE20" i="19" s="1"/>
  <c r="CZ20" i="19"/>
  <c r="QZ20" i="19"/>
  <c r="RA20" i="19"/>
  <c r="RE20" i="19"/>
  <c r="N20" i="19"/>
  <c r="L20" i="19"/>
  <c r="M20" i="19" s="1"/>
  <c r="RB20" i="19"/>
  <c r="O8" i="19" l="1"/>
  <c r="DD20" i="19"/>
  <c r="R20" i="19" s="1"/>
  <c r="O20" i="19"/>
  <c r="RF8" i="19"/>
  <c r="RF20" i="19"/>
  <c r="Q8" i="19"/>
  <c r="DE8" i="19"/>
  <c r="DD8" i="19"/>
  <c r="K8" i="19"/>
  <c r="Q20" i="19"/>
  <c r="RC8" i="19"/>
  <c r="M8" i="19"/>
  <c r="K20" i="19"/>
  <c r="RC20" i="19"/>
  <c r="S20" i="19" l="1"/>
  <c r="T20" i="19"/>
  <c r="R8" i="19"/>
  <c r="F20" i="19"/>
  <c r="S8" i="19" l="1"/>
  <c r="T8" i="19"/>
  <c r="J20" i="19"/>
  <c r="J8" i="19"/>
  <c r="F8" i="19"/>
  <c r="CV9" i="21" l="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C9" i="21" l="1"/>
  <c r="DC9" i="21"/>
  <c r="I9" i="21"/>
  <c r="H9" i="21"/>
  <c r="P9" i="21"/>
  <c r="DE9" i="21" s="1"/>
  <c r="RD9" i="21"/>
  <c r="QY9" i="21"/>
  <c r="PZ9" i="21"/>
  <c r="CZ9" i="21"/>
  <c r="RA9" i="21"/>
  <c r="QZ9" i="21"/>
  <c r="RE9" i="21"/>
  <c r="N9" i="21"/>
  <c r="L9" i="21"/>
  <c r="RB9" i="21"/>
  <c r="O9" i="21" l="1"/>
  <c r="RF9" i="21"/>
  <c r="DD9" i="21"/>
  <c r="M9" i="21"/>
  <c r="K9" i="21"/>
  <c r="Q9" i="21"/>
  <c r="RC9" i="21"/>
  <c r="R9" i="21" l="1"/>
  <c r="S9" i="21" l="1"/>
  <c r="T9" i="21"/>
  <c r="J9" i="21"/>
  <c r="F9" i="21"/>
  <c r="A4" i="22" l="1" a="1"/>
  <c r="A4" i="22" s="1"/>
  <c r="B7" i="22" a="1"/>
  <c r="B7" i="22" s="1"/>
  <c r="B6" i="22" a="1"/>
  <c r="B6" i="22" s="1"/>
  <c r="A7" i="22" a="1"/>
  <c r="A7" i="22" s="1"/>
  <c r="A6" i="22" a="1"/>
  <c r="A6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I12" i="4" l="1"/>
  <c r="H12" i="4"/>
  <c r="T12" i="4"/>
  <c r="U12" i="4" s="1"/>
  <c r="P12" i="4"/>
  <c r="Q12" i="4" s="1"/>
  <c r="R12" i="4"/>
  <c r="S12" i="4" s="1"/>
  <c r="SN12" i="4"/>
  <c r="SU12" i="4" s="1"/>
  <c r="CW12" i="4"/>
  <c r="DA12" i="4" s="1"/>
  <c r="TQ12" i="4"/>
  <c r="TU12" i="4"/>
  <c r="N12" i="4"/>
  <c r="L12" i="4"/>
  <c r="K12" i="4"/>
  <c r="TN12" i="4"/>
  <c r="DB12" i="4" l="1"/>
  <c r="DC12" i="4"/>
  <c r="O12" i="4"/>
  <c r="TR12" i="4"/>
  <c r="TV12" i="4" s="1"/>
  <c r="M12" i="4"/>
  <c r="J12" i="4" l="1"/>
  <c r="V12" i="4"/>
  <c r="X12" i="4" s="1"/>
  <c r="A12" i="4" l="1" a="1"/>
  <c r="A12" i="4" s="1"/>
  <c r="B12" i="4" a="1"/>
  <c r="B12" i="4" s="1"/>
  <c r="F12" i="4"/>
  <c r="W12" i="4"/>
  <c r="PY4" i="19"/>
  <c r="PY21" i="19"/>
  <c r="PY6" i="19"/>
  <c r="CY4" i="19"/>
  <c r="CY21" i="19"/>
  <c r="CY6" i="19"/>
  <c r="PX6" i="19"/>
  <c r="PX21" i="19"/>
  <c r="PX4" i="19"/>
  <c r="CX6" i="19"/>
  <c r="CX21" i="19"/>
  <c r="CX4" i="19"/>
  <c r="CV21" i="19"/>
  <c r="CW21" i="19"/>
  <c r="DA21" i="19"/>
  <c r="DB21" i="19"/>
  <c r="PV21" i="19"/>
  <c r="PW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4" i="19"/>
  <c r="CW4" i="19"/>
  <c r="DA4" i="19"/>
  <c r="DB4" i="19"/>
  <c r="PV4" i="19"/>
  <c r="PW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D6" i="19"/>
  <c r="QB6" i="19"/>
  <c r="QA6" i="19"/>
  <c r="PW6" i="19"/>
  <c r="PV6" i="19"/>
  <c r="DB6" i="19"/>
  <c r="DA6" i="19"/>
  <c r="CW6" i="19"/>
  <c r="CV6" i="19"/>
  <c r="QC4" i="19" l="1"/>
  <c r="QC6" i="19"/>
  <c r="QC21" i="19"/>
  <c r="I4" i="19"/>
  <c r="DC4" i="19"/>
  <c r="DC21" i="19"/>
  <c r="DC6" i="19"/>
  <c r="I21" i="19"/>
  <c r="H4" i="19"/>
  <c r="H21" i="19"/>
  <c r="H6" i="19"/>
  <c r="I6" i="19"/>
  <c r="CZ21" i="19"/>
  <c r="PZ21" i="19"/>
  <c r="CZ4" i="19"/>
  <c r="PZ6" i="19"/>
  <c r="PZ4" i="19"/>
  <c r="CZ6" i="19"/>
  <c r="RB21" i="19"/>
  <c r="RB4" i="19"/>
  <c r="RB6" i="19"/>
  <c r="RD4" i="19"/>
  <c r="RA4" i="19"/>
  <c r="QY4" i="19"/>
  <c r="P4" i="19"/>
  <c r="DE4" i="19" s="1"/>
  <c r="QZ4" i="19"/>
  <c r="P21" i="19"/>
  <c r="DE21" i="19" s="1"/>
  <c r="RE4" i="19"/>
  <c r="L4" i="19"/>
  <c r="RA21" i="19"/>
  <c r="QZ21" i="19"/>
  <c r="RD21" i="19"/>
  <c r="QY21" i="19"/>
  <c r="N21" i="19"/>
  <c r="L21" i="19"/>
  <c r="RE21" i="19"/>
  <c r="N4" i="19"/>
  <c r="P6" i="19"/>
  <c r="DE6" i="19" s="1"/>
  <c r="QY6" i="19"/>
  <c r="QZ6" i="19"/>
  <c r="RE6" i="19"/>
  <c r="RD6" i="19"/>
  <c r="L6" i="19"/>
  <c r="RA6" i="19"/>
  <c r="N6" i="19"/>
  <c r="DD21" i="19" l="1"/>
  <c r="R21" i="19" s="1"/>
  <c r="O21" i="19"/>
  <c r="DD4" i="19"/>
  <c r="O4" i="19"/>
  <c r="DD6" i="19"/>
  <c r="O6" i="19"/>
  <c r="RF4" i="19"/>
  <c r="RF21" i="19"/>
  <c r="RF6" i="19"/>
  <c r="Q6" i="19"/>
  <c r="Q4" i="19"/>
  <c r="K4" i="19"/>
  <c r="K21" i="19"/>
  <c r="M6" i="19"/>
  <c r="M4" i="19"/>
  <c r="RC21" i="19"/>
  <c r="K6" i="19"/>
  <c r="RC6" i="19"/>
  <c r="RC4" i="19"/>
  <c r="Q21" i="19"/>
  <c r="M21" i="19"/>
  <c r="S21" i="19" l="1"/>
  <c r="T21" i="19"/>
  <c r="F21" i="19"/>
  <c r="R4" i="19"/>
  <c r="R6" i="19"/>
  <c r="S6" i="19" l="1"/>
  <c r="T6" i="19"/>
  <c r="S4" i="19"/>
  <c r="T4" i="19"/>
  <c r="J6" i="19"/>
  <c r="J21" i="19"/>
  <c r="J4" i="19"/>
  <c r="B13" i="19" s="1" a="1"/>
  <c r="B13" i="19" s="1"/>
  <c r="F4" i="19"/>
  <c r="F6" i="19"/>
  <c r="A7" i="21" l="1" a="1"/>
  <c r="A7" i="21" s="1"/>
  <c r="B7" i="21" a="1"/>
  <c r="B7" i="21" s="1"/>
  <c r="B10" i="21" a="1"/>
  <c r="B10" i="21" s="1"/>
  <c r="A9" i="21" a="1"/>
  <c r="A9" i="21" s="1"/>
  <c r="B9" i="21" a="1"/>
  <c r="B9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0" i="19" a="1"/>
  <c r="B10" i="19" s="1"/>
  <c r="A5" i="19" a="1"/>
  <c r="A5" i="19" s="1"/>
  <c r="A11" i="19" a="1"/>
  <c r="A11" i="19" s="1"/>
  <c r="A10" i="19" a="1"/>
  <c r="A10" i="19" s="1"/>
  <c r="A18" i="19" a="1"/>
  <c r="A18" i="19" s="1"/>
  <c r="B5" i="19" a="1"/>
  <c r="B5" i="19" s="1"/>
  <c r="B11" i="19" a="1"/>
  <c r="B11" i="19" s="1"/>
  <c r="B18" i="19" a="1"/>
  <c r="B18" i="19" s="1"/>
  <c r="B12" i="19" a="1"/>
  <c r="B12" i="19" s="1"/>
  <c r="A12" i="19" a="1"/>
  <c r="A12" i="19" s="1"/>
  <c r="A14" i="19" a="1"/>
  <c r="A14" i="19" s="1"/>
  <c r="B14" i="19" a="1"/>
  <c r="B14" i="19" s="1"/>
  <c r="B8" i="21" a="1"/>
  <c r="B8" i="21" s="1"/>
  <c r="A4" i="21" a="1"/>
  <c r="A4" i="21" s="1"/>
  <c r="B4" i="21" a="1"/>
  <c r="B4" i="21" s="1"/>
  <c r="B22" i="19" a="1"/>
  <c r="B22" i="19" s="1"/>
  <c r="A22" i="19" a="1"/>
  <c r="A22" i="19" s="1"/>
  <c r="A7" i="19" a="1"/>
  <c r="A7" i="19" s="1"/>
  <c r="A35" i="19" a="1"/>
  <c r="A35" i="19" s="1"/>
  <c r="B17" i="19" a="1"/>
  <c r="B17" i="19" s="1"/>
  <c r="B7" i="19" a="1"/>
  <c r="B7" i="19" s="1"/>
  <c r="B35" i="19" a="1"/>
  <c r="B35" i="19" s="1"/>
  <c r="A30" i="19" a="1"/>
  <c r="A30" i="19" s="1"/>
  <c r="B30" i="19" a="1"/>
  <c r="B30" i="19" s="1"/>
  <c r="A17" i="19" a="1"/>
  <c r="A17" i="19" s="1"/>
  <c r="B16" i="19" a="1"/>
  <c r="B16" i="19" s="1"/>
  <c r="A16" i="19" a="1"/>
  <c r="A16" i="19" s="1"/>
  <c r="B5" i="21" a="1"/>
  <c r="B5" i="21" s="1"/>
  <c r="B6" i="19" a="1"/>
  <c r="B6" i="19" s="1"/>
  <c r="B21" i="19" a="1"/>
  <c r="B21" i="19" s="1"/>
  <c r="B9" i="19" a="1"/>
  <c r="B9" i="19" s="1"/>
  <c r="B15" i="19" a="1"/>
  <c r="B15" i="19" s="1"/>
  <c r="B20" i="19" a="1"/>
  <c r="B20" i="19" s="1"/>
  <c r="B19" i="19" a="1"/>
  <c r="B19" i="19" s="1"/>
  <c r="B8" i="19" a="1"/>
  <c r="B8" i="19" s="1"/>
  <c r="B25" i="19" a="1"/>
  <c r="B25" i="19" s="1"/>
  <c r="B4" i="19" a="1"/>
  <c r="B4" i="19" s="1"/>
  <c r="A4" i="19" a="1"/>
  <c r="A4" i="19" s="1"/>
  <c r="A21" i="19" a="1"/>
  <c r="A21" i="19" s="1"/>
  <c r="A6" i="19" a="1"/>
  <c r="A6" i="19" s="1"/>
  <c r="A8" i="21" a="1"/>
  <c r="A8" i="21" s="1"/>
  <c r="A5" i="21" a="1"/>
  <c r="A5" i="21" s="1"/>
  <c r="A19" i="19" a="1"/>
  <c r="A19" i="19" s="1"/>
  <c r="A15" i="19" a="1"/>
  <c r="A15" i="19" s="1"/>
  <c r="A25" i="19" a="1"/>
  <c r="A25" i="19" s="1"/>
  <c r="A13" i="19" a="1"/>
  <c r="A13" i="19" s="1"/>
  <c r="A20" i="19" a="1"/>
  <c r="A20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U9" i="4"/>
  <c r="CR9" i="4"/>
  <c r="CQ9" i="4"/>
  <c r="SN9" i="4" l="1"/>
  <c r="SU9" i="4" s="1"/>
  <c r="SZ9" i="4" l="1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9" i="4"/>
  <c r="CT9" i="4"/>
  <c r="CV9" i="4"/>
  <c r="CX9" i="4"/>
  <c r="CZ9" i="4"/>
  <c r="I9" i="4" l="1"/>
  <c r="H9" i="4"/>
  <c r="T9" i="4"/>
  <c r="U9" i="4" s="1"/>
  <c r="P9" i="4"/>
  <c r="Q9" i="4" s="1"/>
  <c r="R9" i="4"/>
  <c r="S9" i="4" s="1"/>
  <c r="L9" i="4"/>
  <c r="N9" i="4"/>
  <c r="K9" i="4"/>
  <c r="TQ9" i="4"/>
  <c r="TU9" i="4"/>
  <c r="CW9" i="4"/>
  <c r="DA9" i="4" s="1"/>
  <c r="SW9" i="4"/>
  <c r="SX9" i="4"/>
  <c r="TL9" i="4" s="1"/>
  <c r="SY9" i="4"/>
  <c r="TM9" i="4" s="1"/>
  <c r="SV9" i="4"/>
  <c r="J9" i="4" l="1"/>
  <c r="M9" i="4"/>
  <c r="DB9" i="4"/>
  <c r="DC9" i="4"/>
  <c r="TN9" i="4"/>
  <c r="TR9" i="4" s="1"/>
  <c r="TV9" i="4" s="1"/>
  <c r="O9" i="4"/>
  <c r="V9" i="4" l="1"/>
  <c r="X9" i="4" s="1"/>
  <c r="F9" i="4" l="1"/>
  <c r="B5" i="4" s="1" a="1"/>
  <c r="B5" i="4" s="1"/>
  <c r="W9" i="4"/>
  <c r="B8" i="4" l="1" a="1"/>
  <c r="B8" i="4" s="1"/>
  <c r="A8" i="4" a="1"/>
  <c r="A8" i="4" s="1"/>
  <c r="B11" i="4" a="1"/>
  <c r="B11" i="4" s="1"/>
  <c r="B10" i="4" a="1"/>
  <c r="B10" i="4" s="1"/>
  <c r="A10" i="4" a="1"/>
  <c r="A10" i="4" s="1"/>
  <c r="A11" i="4" a="1"/>
  <c r="A11" i="4" s="1"/>
  <c r="A5" i="4" a="1"/>
  <c r="A5" i="4" s="1"/>
  <c r="B9" i="4" a="1"/>
  <c r="B9" i="4" s="1"/>
  <c r="A9" i="4" a="1"/>
  <c r="A9" i="4" s="1"/>
  <c r="B7" i="4" a="1"/>
  <c r="B7" i="4" s="1"/>
  <c r="A7" i="4" a="1"/>
  <c r="A7" i="4" s="1"/>
  <c r="B6" i="4" a="1"/>
  <c r="B6" i="4" s="1"/>
  <c r="B4" i="4" a="1"/>
  <c r="B4" i="4" s="1"/>
  <c r="B20" i="4" a="1"/>
  <c r="B20" i="4" s="1"/>
  <c r="A4" i="4" a="1"/>
  <c r="A4" i="4" s="1"/>
  <c r="A6" i="4" a="1"/>
  <c r="A6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<sst xmlns="http://schemas.openxmlformats.org/spreadsheetml/2006/main" count="3978" uniqueCount="202">
  <si>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</si>
  <si>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</si>
  <si>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</si>
  <si>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</si>
  <si>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</si>
  <si>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</si>
  <si>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</si>
  <si>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</si>
  <si>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</si>
  <si>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</si>
  <si>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</si>
  <si>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</si>
  <si>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</si>
  <si>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</si>
  <si>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</si>
  <si>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</si>
  <si>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</si>
  <si>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</si>
  <si>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</si>
  <si>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</si>
  <si>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</si>
  <si>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</si>
  <si>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</si>
  <si>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</si>
  <si>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</si>
  <si>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</si>
  <si>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</si>
  <si>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</si>
  <si>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</si>
  <si>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</si>
  <si>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</si>
  <si>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</si>
  <si>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</si>
  <si>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</si>
  <si>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</si>
  <si>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</si>
  <si>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</si>
  <si>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</si>
  <si>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</si>
  <si>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</si>
  <si>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</si>
  <si>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</si>
  <si>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</si>
  <si>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</si>
  <si>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</si>
  <si>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</si>
  <si>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</si>
  <si>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</si>
  <si>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</si>
  <si>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</si>
  <si>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</si>
  <si>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</si>
  <si>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</si>
  <si>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</si>
  <si>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</si>
  <si>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</si>
  <si>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</si>
  <si>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</si>
  <si>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</si>
  <si>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</si>
  <si>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</si>
  <si>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</si>
  <si>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</si>
  <si>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</si>
  <si>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</si>
  <si>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</si>
  <si>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</si>
  <si>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</si>
  <si>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</si>
  <si>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</si>
  <si>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</si>
  <si>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</si>
  <si>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</si>
  <si>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</si>
  <si>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</si>
  <si>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</si>
  <si>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</si>
  <si>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</si>
  <si>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</si>
  <si>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</si>
  <si>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</si>
  <si>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</si>
  <si>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</si>
  <si>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</si>
  <si>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</si>
  <si>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</si>
  <si>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</si>
  <si>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</si>
  <si>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</si>
  <si>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</si>
  <si>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</si>
  <si>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</si>
  <si>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</si>
  <si>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</si>
  <si>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</si>
  <si>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</si>
  <si>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</si>
  <si>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</si>
  <si>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</si>
  <si>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</si>
  <si>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</si>
  <si>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</si>
  <si>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</si>
  <si>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</si>
  <si>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</si>
  <si>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</si>
  <si>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BOISSEAU, Mathilde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</si>
  <si>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</si>
  <si>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</si>
  <si>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</si>
  <si>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</si>
  <si>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</si>
  <si>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</si>
  <si>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</si>
  <si>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</si>
  <si>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</si>
  <si>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</si>
  <si>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</si>
  <si>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</si>
  <si>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</si>
  <si>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</si>
  <si>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</si>
  <si>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</si>
  <si>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</si>
  <si>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</si>
  <si>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</si>
  <si>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</si>
  <si>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</si>
  <si>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</si>
  <si>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</si>
  <si>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</si>
  <si>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</si>
  <si>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</si>
  <si>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</si>
  <si>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</si>
  <si>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</si>
  <si>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</si>
  <si>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</si>
  <si>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</si>
  <si>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</si>
  <si>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WILLIMOTT, Amy</t>
  </si>
  <si>
    <t>JANEVSKI, Léa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</si>
  <si>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</si>
  <si>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</si>
  <si>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</si>
  <si>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</si>
  <si>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</si>
  <si>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</si>
  <si>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</si>
  <si>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</si>
  <si>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</si>
  <si>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</si>
  <si>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</si>
  <si>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</si>
  <si>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</si>
  <si>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</si>
  <si>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</si>
  <si>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</si>
  <si>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</si>
  <si>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</si>
  <si>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</si>
  <si>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</si>
  <si>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</si>
  <si>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</si>
  <si>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</si>
  <si>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</si>
  <si>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</si>
  <si>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</si>
  <si>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</si>
  <si>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</si>
  <si>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</si>
  <si>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</si>
  <si>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</si>
  <si>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</si>
  <si>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</si>
  <si>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</si>
  <si>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</si>
  <si>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</si>
  <si>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</si>
  <si>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</si>
  <si>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</si>
  <si>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</si>
  <si>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</si>
  <si>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</si>
  <si>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</si>
  <si>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</si>
  <si>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</si>
  <si>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</si>
  <si>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</si>
  <si>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</si>
  <si>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</si>
  <si>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</si>
  <si>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</si>
  <si>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</si>
  <si>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</si>
  <si>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</si>
  <si>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</si>
  <si>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</si>
  <si>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 (July 6)</t>
  </si>
  <si>
    <t>2025 Coimbra Gym Fest (July 6)</t>
  </si>
  <si>
    <t>2025 Junior Pan Am Games</t>
  </si>
  <si>
    <t>2025 Junior Pan Am Games (Aug 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</si>
</sst>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COUTURE, Joey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GIBBS, Gavin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LOISELLE, Hector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BISSONNETTE, Emeric</v>
      </c>
      <c r="D13" s="14" t="str">
        <f>IF(B13&gt;MAX('TUM-M'!B:B),"",INDEX('TUM-M'!J:J,MATCH(B13,'TUM-M'!B:B,0)))</f>
        <v>No DD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BERGERON, Ella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BURKHART, Sofia</v>
      </c>
      <c r="D16" s="13" t="str">
        <f>IF(B16&gt;MAX('TUM-W'!B:B),"",INDEX('TUM-W'!J:J,MATCH(B16,'TUM-W'!B:B,0)))</f>
        <v>No DD</v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BERGERON, Ella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MALLAIS, Rylan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BISHOP, Brody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BLOOM, Tristan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KOCAK, Jonas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WEHAGE, Connor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HOWELL, Kayla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KWASNIAK, Alicja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45890</v>
      </c>
      <c r="C34" s="66"/>
    </row>
    <row r="35" spans="1:3" x14ac:dyDescent="0.2">
      <c r="B35" t="s">
        <v>200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187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88</v>
      </c>
      <c r="D4" s="4" t="s">
        <v>6</v>
      </c>
      <c r="E4" s="4">
        <v>2005</v>
      </c>
      <c r="F4" s="9">
        <f t="shared" ref="F4:F27" si="0">SUM(L4:V4)+SUM(L4:T4)*0.0000001+SUM(L4)*0.0000000000001</f>
        <v>201.13002008800567</v>
      </c>
      <c r="G4" s="64" t="s">
        <v>46</v>
      </c>
      <c r="H4" s="3" t="str">
        <f t="shared" ref="H4:H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 t="shared" ref="I4:I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 t="shared" ref="J4:J27" si="3"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 t="shared" ref="K4:K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56.529999999999994</v>
      </c>
      <c r="M4" s="8" t="str">
        <f t="shared" ref="M4:M27" si="5"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56.26</v>
      </c>
      <c r="O4" s="8" t="str">
        <f t="shared" ref="O4:O27" si="6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56.36</v>
      </c>
      <c r="Q4" s="8" t="str">
        <f t="shared" ref="Q4:Q27" si="7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27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 t="shared" ref="S4:S27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27" si="10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15.83</v>
      </c>
      <c r="U4" s="8" t="str">
        <f t="shared" ref="U4:U27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>
        <f t="shared" ref="V4:V27" si="12">IF(MAX(DB4,DC4)&gt;0,MAX(DB4,DC4),"")</f>
        <v>0.25000000000000711</v>
      </c>
      <c r="W4" s="11" t="str">
        <f t="shared" ref="W4:W27" si="13">IF(V4="","",IF(V4=DB4,"("&amp;DB$2&amp;")",IF(V4=DC4,"("&amp;DC$2&amp;")")))</f>
        <v>(Optional)</v>
      </c>
      <c r="X4" s="8" t="str">
        <f t="shared" ref="X4:X27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16.8</v>
      </c>
      <c r="Z4" s="22">
        <v>9.5</v>
      </c>
      <c r="AA4" s="22">
        <v>14.2</v>
      </c>
      <c r="AB4" s="22">
        <v>15.76</v>
      </c>
      <c r="AC4" s="22">
        <v>0</v>
      </c>
      <c r="AD4" s="22">
        <v>16.899999999999999</v>
      </c>
      <c r="AE4" s="22">
        <v>9.4</v>
      </c>
      <c r="AF4" s="22">
        <v>14.4</v>
      </c>
      <c r="AG4" s="22">
        <v>15.83</v>
      </c>
      <c r="AH4" s="22">
        <v>0</v>
      </c>
      <c r="AI4" s="22">
        <v>17</v>
      </c>
      <c r="AJ4" s="22">
        <v>9.3000000000000007</v>
      </c>
      <c r="AK4" s="22">
        <v>14.4</v>
      </c>
      <c r="AL4" s="22">
        <v>15.66</v>
      </c>
      <c r="AM4" s="22">
        <v>0</v>
      </c>
      <c r="AN4" s="27"/>
      <c r="AO4" s="38">
        <f t="shared" ref="AO4:AO27" si="15">IF(AA4&gt;0,AA4,"")</f>
        <v>14.2</v>
      </c>
      <c r="AP4" s="38">
        <f t="shared" ref="AP4:AP27" si="16">IF(AB4&gt;0,AB4,"")</f>
        <v>15.76</v>
      </c>
      <c r="AQ4" s="40">
        <f t="shared" ref="AQ4:AQ27" si="17">IF(SUM(Y4:AB4)-AC4&gt;0,SUM(Y4:AB4)-AC4,"")</f>
        <v>56.26</v>
      </c>
      <c r="AR4" s="40">
        <f t="shared" ref="AR4:AR27" si="18">IF(AF4&gt;0,AF4,"")</f>
        <v>14.4</v>
      </c>
      <c r="AS4" s="40">
        <f t="shared" ref="AS4:AS27" si="19">IF(AG4&gt;0,AG4,"")</f>
        <v>15.83</v>
      </c>
      <c r="AT4" s="40">
        <f t="shared" ref="AT4:AT27" si="20">IF(SUM(AD4:AG4)-AH4&gt;0,SUM(AD4:AG4)-AH4,"")</f>
        <v>56.529999999999994</v>
      </c>
      <c r="AU4" s="40">
        <f t="shared" ref="AU4:AU27" si="21">IF(AQ4="","",MAX(AQ4,AT4))</f>
        <v>56.529999999999994</v>
      </c>
      <c r="AV4" s="40">
        <f t="shared" ref="AV4:AV27" si="22">IF(AK4&gt;0,AK4,"")</f>
        <v>14.4</v>
      </c>
      <c r="AW4" s="40">
        <f t="shared" ref="AW4:AW27" si="23">IF(AL4&gt;0,AL4,"")</f>
        <v>15.66</v>
      </c>
      <c r="AX4" s="40">
        <f t="shared" ref="AX4:AX27" si="24">IF(SUM(AI4:AL4)-AM4&gt;0,SUM(AI4:AL4)-AM4,"")</f>
        <v>56.36</v>
      </c>
      <c r="AY4" s="40">
        <f t="shared" ref="AY4:AY27" si="25">IF(SUM(AU4,AX4)&gt;0,SUM(AU4,AX4),"")</f>
        <v>112.88999999999999</v>
      </c>
      <c r="AZ4" s="26">
        <v>12.9</v>
      </c>
      <c r="BA4" s="26">
        <v>7.9</v>
      </c>
      <c r="BB4" s="26">
        <v>14.2</v>
      </c>
      <c r="BC4" s="26">
        <v>13.71</v>
      </c>
      <c r="BD4" s="26">
        <v>0</v>
      </c>
      <c r="BE4" s="26">
        <v>13</v>
      </c>
      <c r="BF4" s="26">
        <v>8.6999999999999993</v>
      </c>
      <c r="BG4" s="26">
        <v>15.1</v>
      </c>
      <c r="BH4" s="26">
        <v>15.19</v>
      </c>
      <c r="BI4" s="26">
        <v>0</v>
      </c>
      <c r="BJ4" s="26">
        <v>15.3</v>
      </c>
      <c r="BK4" s="26">
        <v>9.3000000000000007</v>
      </c>
      <c r="BL4" s="26">
        <v>14.7</v>
      </c>
      <c r="BM4" s="26">
        <v>15.29</v>
      </c>
      <c r="BN4" s="26">
        <v>0</v>
      </c>
      <c r="BO4" s="28"/>
      <c r="BP4" s="39">
        <f t="shared" ref="BP4:BP27" si="26">IF(BB4&gt;0,BB4,"")</f>
        <v>14.2</v>
      </c>
      <c r="BQ4" s="39">
        <f t="shared" ref="BQ4:BQ27" si="27">IF(BC4&gt;0,BC4,"")</f>
        <v>13.71</v>
      </c>
      <c r="BR4" s="11">
        <f t="shared" ref="BR4:BR27" si="28">IF(SUM(AZ4:BC4)-BD4&gt;0,SUM(AZ4:BC4)-BD4,"")</f>
        <v>48.71</v>
      </c>
      <c r="BS4" s="11">
        <f t="shared" ref="BS4:BS27" si="29">IF(BG4&gt;0,BG4,"")</f>
        <v>15.1</v>
      </c>
      <c r="BT4" s="11">
        <f t="shared" ref="BT4:BT27" si="30">IF(BH4&gt;0,BH4,"")</f>
        <v>15.19</v>
      </c>
      <c r="BU4" s="11">
        <f t="shared" ref="BU4:BU27" si="31">IF(SUM(BE4:BH4)-BI4&gt;0,SUM(BE4:BH4)-BI4,"")</f>
        <v>51.989999999999995</v>
      </c>
      <c r="BV4" s="11">
        <f t="shared" ref="BV4:BV27" si="32">IF(BR4="","",MAX(BR4,BU4))</f>
        <v>51.989999999999995</v>
      </c>
      <c r="BW4" s="11">
        <f t="shared" ref="BW4:BW27" si="33">IF(BL4&gt;0,BL4,"")</f>
        <v>14.7</v>
      </c>
      <c r="BX4" s="11">
        <f t="shared" ref="BX4:BX27" si="34">IF(BM4&gt;0,BM4,"")</f>
        <v>15.29</v>
      </c>
      <c r="BY4" s="11">
        <f t="shared" ref="BY4:BY27" si="35">IF(SUM(BJ4:BM4)-BN4&gt;0,SUM(BJ4:BM4)-BN4,"")</f>
        <v>54.589999999999996</v>
      </c>
      <c r="BZ4" s="11">
        <f t="shared" ref="BZ4:BZ27" si="36">IF(SUM(BV4,BY4)&gt;0,SUM(BV4,BY4),"")</f>
        <v>106.57999999999998</v>
      </c>
      <c r="CA4" s="22">
        <v>15.8</v>
      </c>
      <c r="CB4" s="22">
        <v>9</v>
      </c>
      <c r="CC4" s="22">
        <v>15.9</v>
      </c>
      <c r="CD4" s="22">
        <v>15.33</v>
      </c>
      <c r="CE4" s="22">
        <v>0</v>
      </c>
      <c r="CF4" s="22">
        <v>6.8</v>
      </c>
      <c r="CG4" s="22">
        <v>3.6</v>
      </c>
      <c r="CH4" s="22">
        <v>6.9</v>
      </c>
      <c r="CI4" s="22">
        <v>6.43</v>
      </c>
      <c r="CJ4" s="22">
        <v>0</v>
      </c>
      <c r="CK4" s="22">
        <v>15.5</v>
      </c>
      <c r="CL4" s="22">
        <v>9.5</v>
      </c>
      <c r="CM4" s="22">
        <v>13.9</v>
      </c>
      <c r="CN4" s="22">
        <v>15.04</v>
      </c>
      <c r="CO4" s="22">
        <v>0.6</v>
      </c>
      <c r="CP4" s="27"/>
      <c r="CQ4" s="38">
        <f t="shared" ref="CQ4:CQ27" si="37">IF(CC4&gt;0,CC4,"")</f>
        <v>15.9</v>
      </c>
      <c r="CR4" s="38">
        <f t="shared" ref="CR4:CR27" si="38">IF(CD4&gt;0,CD4,"")</f>
        <v>15.33</v>
      </c>
      <c r="CS4" s="40">
        <f t="shared" ref="CS4:CS27" si="39">IF(SUM(CA4:CD4)-CE4&gt;0,SUM(CA4:CD4)-CE4,"")</f>
        <v>56.03</v>
      </c>
      <c r="CT4" s="40">
        <f t="shared" ref="CT4:CT27" si="40">IF(CH4&gt;0,CH4,"")</f>
        <v>6.9</v>
      </c>
      <c r="CU4" s="40">
        <f t="shared" ref="CU4:CU27" si="41">IF(CI4&gt;0,CI4,"")</f>
        <v>6.43</v>
      </c>
      <c r="CV4" s="40">
        <f t="shared" ref="CV4:CV27" si="42">IF(SUM(CF4:CI4)-CJ4&gt;0,SUM(CF4:CI4)-CJ4,"")</f>
        <v>23.73</v>
      </c>
      <c r="CW4" s="40">
        <f t="shared" ref="CW4:CW27" si="43">IF(CS4="","",MAX(CS4,CV4))</f>
        <v>56.03</v>
      </c>
      <c r="CX4" s="40">
        <f t="shared" ref="CX4:CX27" si="44">IF(CM4&gt;0,CM4,"")</f>
        <v>13.9</v>
      </c>
      <c r="CY4" s="40">
        <f t="shared" ref="CY4:CY27" si="45">IF(CN4&gt;0,CN4,"")</f>
        <v>15.04</v>
      </c>
      <c r="CZ4" s="40">
        <f t="shared" ref="CZ4:CZ27" si="46">IF(SUM(CK4:CN4)-CO4&gt;0,SUM(CK4:CN4)-CO4,"")</f>
        <v>53.339999999999996</v>
      </c>
      <c r="DA4" s="40">
        <f t="shared" ref="DA4:DA27" si="47">IF(SUM(CW4,CZ4)&gt;0,SUM(CW4,CZ4),"")</f>
        <v>109.37</v>
      </c>
      <c r="DB4" s="50">
        <f t="shared" ref="DB4:DB27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 t="shared" ref="DC4:DC27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50">IF(DF4&gt;0,DF4,"")</f>
        <v>15.5</v>
      </c>
      <c r="DY4" s="40">
        <f t="shared" ref="DY4:DY27" si="51">IF(DG4&gt;0,DG4,"")</f>
        <v>15.27</v>
      </c>
      <c r="DZ4" s="40">
        <f t="shared" ref="DZ4:DZ27" si="52">IF(SUM(DD4:DG4)-DH4&gt;0,SUM(DD4:DG4)-DH4,"")</f>
        <v>53.269999999999996</v>
      </c>
      <c r="EA4" s="40">
        <f t="shared" ref="EA4:EA27" si="53">IF(DK4&gt;0,DK4,"")</f>
        <v>3.5</v>
      </c>
      <c r="EB4" s="40">
        <f t="shared" ref="EB4:EB27" si="54">IF(DL4&gt;0,DL4,"")</f>
        <v>3.22</v>
      </c>
      <c r="EC4" s="40">
        <f t="shared" ref="EC4:EC27" si="55">IF(SUM(DI4:DL4)-DM4&gt;0,SUM(DI4:DL4)-DM4,"")</f>
        <v>11.32</v>
      </c>
      <c r="ED4" s="40">
        <f t="shared" ref="ED4:ED27" si="56">IF(MAX(DZ4,EC4)&gt;0,MAX(DZ4,EC4),"")</f>
        <v>53.269999999999996</v>
      </c>
      <c r="EE4" s="40" t="str">
        <f t="shared" ref="EE4:EE27" si="57">IF(DP4&gt;0,DP4,"")</f>
        <v/>
      </c>
      <c r="EF4" s="40" t="str">
        <f t="shared" ref="EF4:EF27" si="58">IF(DQ4&gt;0,DQ4,"")</f>
        <v/>
      </c>
      <c r="EG4" s="40" t="str">
        <f t="shared" ref="EG4:EG27" si="59">IF(SUM(DN4:DQ4)-DR4&gt;0,SUM(DN4:DQ4)-DR4,"")</f>
        <v/>
      </c>
      <c r="EH4" s="40" t="str">
        <f t="shared" ref="EH4:EH27" si="60">IF(DU4&gt;0,DU4,"")</f>
        <v/>
      </c>
      <c r="EI4" s="40" t="str">
        <f t="shared" ref="EI4:EI27" si="61">IF(DV4&gt;0,DV4,"")</f>
        <v/>
      </c>
      <c r="EJ4" s="40" t="str">
        <f t="shared" ref="EJ4:EJ27" si="62">IF(SUM(DS4:DV4)-DW4&gt;0,SUM(DS4:DV4)-DW4,"")</f>
        <v/>
      </c>
      <c r="EK4" s="40">
        <f t="shared" ref="EK4:EK27" si="63"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27" si="64">IF(EN4&gt;0,EN4,"")</f>
        <v>14.9</v>
      </c>
      <c r="FG4" s="11">
        <f t="shared" ref="FG4:FG27" si="65">IF(EO4&gt;0,EO4,"")</f>
        <v>15.44</v>
      </c>
      <c r="FH4" s="11">
        <f t="shared" ref="FH4:FH27" si="66">IF(SUM(EL4:EO4)-EP4&gt;0,SUM(EL4:EO4)-EP4,"")</f>
        <v>54.839999999999996</v>
      </c>
      <c r="FI4" s="11">
        <f t="shared" ref="FI4:FI27" si="67">IF(ES4&gt;0,ES4,"")</f>
        <v>15.3</v>
      </c>
      <c r="FJ4" s="11">
        <f t="shared" ref="FJ4:FJ27" si="68">IF(ET4&gt;0,ET4,"")</f>
        <v>15.81</v>
      </c>
      <c r="FK4" s="11">
        <f t="shared" ref="FK4:FK27" si="69">IF(SUM(EQ4:ET4)-EU4&gt;0,SUM(EQ4:ET4)-EU4,"")</f>
        <v>56.510000000000005</v>
      </c>
      <c r="FL4" s="11">
        <f t="shared" ref="FL4:FL27" si="70">IF(MAX(FH4,FK4)&gt;0,MAX(FH4,FK4),"")</f>
        <v>56.510000000000005</v>
      </c>
      <c r="FM4" s="11" t="str">
        <f t="shared" ref="FM4:FM27" si="71">IF(EX4&gt;0,EX4,"")</f>
        <v/>
      </c>
      <c r="FN4" s="11" t="str">
        <f t="shared" ref="FN4:FN27" si="72">IF(EY4&gt;0,EY4,"")</f>
        <v/>
      </c>
      <c r="FO4" s="11" t="str">
        <f t="shared" ref="FO4:FO27" si="73">IF(SUM(EV4:EY4)-EZ4&gt;0,SUM(EV4:EY4)-EZ4,"")</f>
        <v/>
      </c>
      <c r="FP4" s="11" t="str">
        <f t="shared" ref="FP4:FP27" si="74">IF(FC4&gt;0,FC4,"")</f>
        <v/>
      </c>
      <c r="FQ4" s="11" t="str">
        <f t="shared" ref="FQ4:FQ27" si="75">IF(FD4&gt;0,FD4,"")</f>
        <v/>
      </c>
      <c r="FR4" s="11" t="str">
        <f t="shared" ref="FR4:FR27" si="76">IF(SUM(FA4:FD4)-FE4&gt;0,SUM(FA4:FD4)-FE4,"")</f>
        <v/>
      </c>
      <c r="FS4" s="11">
        <f t="shared" ref="FS4:FS27" si="77"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7" si="78">IF(FV4&gt;0,FV4,"")</f>
        <v/>
      </c>
      <c r="GO4" s="40" t="str">
        <f t="shared" ref="GO4:GO27" si="79">IF(FW4&gt;0,FW4,"")</f>
        <v/>
      </c>
      <c r="GP4" s="40" t="str">
        <f t="shared" ref="GP4:GP27" si="80">IF(SUM(FT4:FW4)-FX4&gt;0,SUM(FT4:FW4)-FX4,"")</f>
        <v/>
      </c>
      <c r="GQ4" s="40" t="str">
        <f t="shared" ref="GQ4:GQ27" si="81">IF(GA4&gt;0,GA4,"")</f>
        <v/>
      </c>
      <c r="GR4" s="40" t="str">
        <f t="shared" ref="GR4:GR27" si="82">IF(GB4&gt;0,GB4,"")</f>
        <v/>
      </c>
      <c r="GS4" s="40" t="str">
        <f t="shared" ref="GS4:GS27" si="83">IF(SUM(FY4:GB4)-GC4&gt;0,SUM(FY4:GB4)-GC4,"")</f>
        <v/>
      </c>
      <c r="GT4" s="40" t="str">
        <f t="shared" ref="GT4:GT27" si="84">IF(MAX(GP4,GS4)&gt;0,MAX(GP4,GS4),"")</f>
        <v/>
      </c>
      <c r="GU4" s="40" t="str">
        <f t="shared" ref="GU4:GU27" si="85">IF(GF4&gt;0,GF4,"")</f>
        <v/>
      </c>
      <c r="GV4" s="40" t="str">
        <f t="shared" ref="GV4:GV27" si="86">IF(GG4&gt;0,GG4,"")</f>
        <v/>
      </c>
      <c r="GW4" s="40" t="str">
        <f t="shared" ref="GW4:GW27" si="87">IF(SUM(GD4:GG4)-GH4&gt;0,SUM(GD4:GG4)-GH4,"")</f>
        <v/>
      </c>
      <c r="GX4" s="40" t="str">
        <f t="shared" ref="GX4:GX27" si="88">IF(GK4&gt;0,GK4,"")</f>
        <v/>
      </c>
      <c r="GY4" s="40" t="str">
        <f t="shared" ref="GY4:GY27" si="89">IF(GL4&gt;0,GL4,"")</f>
        <v/>
      </c>
      <c r="GZ4" s="40" t="str">
        <f t="shared" ref="GZ4:GZ27" si="90">IF(SUM(GI4:GL4)-GM4&gt;0,SUM(GI4:GL4)-GM4,"")</f>
        <v/>
      </c>
      <c r="HA4" s="40" t="str">
        <f t="shared" ref="HA4:HA27" si="91">IF(SUM(GT4,GW4,GZ4)&gt;0,SUM(GT4,GW4,GZ4),"")</f>
        <v/>
      </c>
      <c r="HB4" s="18"/>
      <c r="HC4" s="18"/>
      <c r="HD4" s="18"/>
      <c r="HE4" s="18"/>
      <c r="HF4" s="18"/>
      <c r="HG4" s="18">
        <v>16.399999999999999</v>
      </c>
      <c r="HH4" s="18">
        <v>9.4</v>
      </c>
      <c r="HI4" s="18">
        <v>14.9</v>
      </c>
      <c r="HJ4" s="18">
        <v>15.56</v>
      </c>
      <c r="HK4" s="18">
        <v>0</v>
      </c>
      <c r="HL4" s="18"/>
      <c r="HM4" s="18"/>
      <c r="HN4" s="18"/>
      <c r="HO4" s="18"/>
      <c r="HP4" s="18"/>
      <c r="HQ4" s="18">
        <v>16.2</v>
      </c>
      <c r="HR4" s="18">
        <v>8.6</v>
      </c>
      <c r="HS4" s="18">
        <v>14.9</v>
      </c>
      <c r="HT4" s="18">
        <v>15.23</v>
      </c>
      <c r="HU4" s="18">
        <v>0</v>
      </c>
      <c r="HV4" s="11" t="str">
        <f t="shared" ref="HV4:HV27" si="92">IF(HD4&gt;0,HD4,"")</f>
        <v/>
      </c>
      <c r="HW4" s="11" t="str">
        <f t="shared" ref="HW4:HW27" si="93">IF(HE4&gt;0,HE4,"")</f>
        <v/>
      </c>
      <c r="HX4" s="11" t="str">
        <f t="shared" ref="HX4:HX27" si="94">IF(SUM(HB4:HE4)-HF4&gt;0,SUM(HB4:HE4)-HF4,"")</f>
        <v/>
      </c>
      <c r="HY4" s="11">
        <f t="shared" ref="HY4:HY27" si="95">IF(HI4&gt;0,HI4,"")</f>
        <v>14.9</v>
      </c>
      <c r="HZ4" s="11">
        <f t="shared" ref="HZ4:HZ27" si="96">IF(HJ4&gt;0,HJ4,"")</f>
        <v>15.56</v>
      </c>
      <c r="IA4" s="11">
        <f t="shared" ref="IA4:IA27" si="97">IF(SUM(HG4:HJ4)-HK4&gt;0,SUM(HG4:HJ4)-HK4,"")</f>
        <v>56.26</v>
      </c>
      <c r="IB4" s="11">
        <f t="shared" ref="IB4:IB27" si="98">IF(MAX(HX4,IA4)&gt;0,MAX(HX4,IA4),"")</f>
        <v>56.26</v>
      </c>
      <c r="IC4" s="11" t="str">
        <f t="shared" ref="IC4:IC27" si="99">IF(HN4&gt;0,HN4,"")</f>
        <v/>
      </c>
      <c r="ID4" s="11" t="str">
        <f t="shared" ref="ID4:ID27" si="100">IF(HO4&gt;0,HO4,"")</f>
        <v/>
      </c>
      <c r="IE4" s="11" t="str">
        <f t="shared" ref="IE4:IE27" si="101">IF(SUM(HL4:HO4)-HP4&gt;0,SUM(HL4:HO4)-HP4,"")</f>
        <v/>
      </c>
      <c r="IF4" s="11">
        <f t="shared" ref="IF4:IF27" si="102">IF(HS4&gt;0,HS4,"")</f>
        <v>14.9</v>
      </c>
      <c r="IG4" s="11">
        <f t="shared" ref="IG4:IG27" si="103">IF(HT4&gt;0,HT4,"")</f>
        <v>15.23</v>
      </c>
      <c r="IH4" s="11">
        <f t="shared" ref="IH4:IH27" si="104">IF(SUM(HQ4:HT4)-HU4&gt;0,SUM(HQ4:HT4)-HU4,"")</f>
        <v>54.929999999999993</v>
      </c>
      <c r="II4" s="11">
        <f t="shared" ref="II4:II27" si="105">IF(SUM(IB4,IE4,IH4)&gt;0,SUM(IB4,IE4,IH4),"")</f>
        <v>111.19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27" si="106">IF(IL4&gt;0,IL4,"")</f>
        <v/>
      </c>
      <c r="JE4" s="40" t="str">
        <f t="shared" ref="JE4:JE27" si="107">IF(IM4&gt;0,IM4,"")</f>
        <v/>
      </c>
      <c r="JF4" s="40" t="str">
        <f t="shared" ref="JF4:JF27" si="108">IF(SUM(IJ4:IM4)-IN4&gt;0,SUM(IJ4:IM4)-IN4,"")</f>
        <v/>
      </c>
      <c r="JG4" s="40" t="str">
        <f t="shared" ref="JG4:JG27" si="109">IF(IQ4&gt;0,IQ4,"")</f>
        <v/>
      </c>
      <c r="JH4" s="40" t="str">
        <f t="shared" ref="JH4:JH27" si="110">IF(IR4&gt;0,IR4,"")</f>
        <v/>
      </c>
      <c r="JI4" s="40" t="str">
        <f t="shared" ref="JI4:JI27" si="111">IF(SUM(IO4:IR4)-IS4&gt;0,SUM(IO4:IR4)-IS4,"")</f>
        <v/>
      </c>
      <c r="JJ4" s="40" t="str">
        <f t="shared" ref="JJ4:JJ27" si="112">IF(MAX(JF4,JI4)&gt;0,MAX(JF4,JI4),"")</f>
        <v/>
      </c>
      <c r="JK4" s="40" t="str">
        <f t="shared" ref="JK4:JK27" si="113">IF(IV4&gt;0,IV4,"")</f>
        <v/>
      </c>
      <c r="JL4" s="40" t="str">
        <f t="shared" ref="JL4:JL27" si="114">IF(IW4&gt;0,IW4,"")</f>
        <v/>
      </c>
      <c r="JM4" s="40" t="str">
        <f t="shared" ref="JM4:JM27" si="115">IF(SUM(IT4:IW4)-IX4&gt;0,SUM(IT4:IW4)-IX4,"")</f>
        <v/>
      </c>
      <c r="JN4" s="40" t="str">
        <f t="shared" ref="JN4:JN27" si="116">IF(JA4&gt;0,JA4,"")</f>
        <v/>
      </c>
      <c r="JO4" s="40" t="str">
        <f t="shared" ref="JO4:JO27" si="117">IF(JB4&gt;0,JB4,"")</f>
        <v/>
      </c>
      <c r="JP4" s="40" t="str">
        <f t="shared" ref="JP4:JP27" si="118">IF(SUM(IY4:JB4)-JC4&gt;0,SUM(IY4:JB4)-JC4,"")</f>
        <v/>
      </c>
      <c r="JQ4" s="40" t="str">
        <f t="shared" ref="JQ4:JQ27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7" si="120">IF(JT4&gt;0,JT4,"")</f>
        <v/>
      </c>
      <c r="KM4" s="11" t="str">
        <f t="shared" ref="KM4:KM27" si="121">IF(JU4&gt;0,JU4,"")</f>
        <v/>
      </c>
      <c r="KN4" s="11" t="str">
        <f t="shared" ref="KN4:KN27" si="122">IF(SUM(JR4:JU4)-JV4&gt;0,SUM(JR4:JU4)-JV4,"")</f>
        <v/>
      </c>
      <c r="KO4" s="11" t="str">
        <f t="shared" ref="KO4:KO27" si="123">IF(JY4&gt;0,JY4,"")</f>
        <v/>
      </c>
      <c r="KP4" s="11" t="str">
        <f t="shared" ref="KP4:KP27" si="124">IF(JZ4&gt;0,JZ4,"")</f>
        <v/>
      </c>
      <c r="KQ4" s="11" t="str">
        <f t="shared" ref="KQ4:KQ27" si="125">IF(SUM(JW4:JZ4)-KA4&gt;0,SUM(JW4:JZ4)-KA4,"")</f>
        <v/>
      </c>
      <c r="KR4" s="11" t="str">
        <f t="shared" ref="KR4:KR27" si="126">IF(MAX(KN4,KQ4)&gt;0,MAX(KN4,KQ4),"")</f>
        <v/>
      </c>
      <c r="KS4" s="11" t="str">
        <f t="shared" ref="KS4:KS27" si="127">IF(KD4&gt;0,KD4,"")</f>
        <v/>
      </c>
      <c r="KT4" s="11" t="str">
        <f t="shared" ref="KT4:KT27" si="128">IF(KE4&gt;0,KE4,"")</f>
        <v/>
      </c>
      <c r="KU4" s="11" t="str">
        <f t="shared" ref="KU4:KU27" si="129">IF(SUM(KB4:KE4)-KF4&gt;0,SUM(KB4:KE4)-KF4,"")</f>
        <v/>
      </c>
      <c r="KV4" s="11" t="str">
        <f t="shared" ref="KV4:KV27" si="130">IF(KI4&gt;0,KI4,"")</f>
        <v/>
      </c>
      <c r="KW4" s="11" t="str">
        <f t="shared" ref="KW4:KW27" si="131">IF(KJ4&gt;0,KJ4,"")</f>
        <v/>
      </c>
      <c r="KX4" s="11" t="str">
        <f t="shared" ref="KX4:KX27" si="132">IF(SUM(KG4:KJ4)-KK4&gt;0,SUM(KG4:KJ4)-KK4,"")</f>
        <v/>
      </c>
      <c r="KY4" s="11" t="str">
        <f t="shared" ref="KY4:KY27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7" si="134">IF(LB4&gt;0,LB4,"")</f>
        <v/>
      </c>
      <c r="LU4" s="40" t="str">
        <f t="shared" ref="LU4:LU27" si="135">IF(LC4&gt;0,LC4,"")</f>
        <v/>
      </c>
      <c r="LV4" s="40" t="str">
        <f t="shared" ref="LV4:LV27" si="136">IF(SUM(KZ4:LC4)-LD4&gt;0,SUM(KZ4:LC4)-LD4,"")</f>
        <v/>
      </c>
      <c r="LW4" s="40" t="str">
        <f t="shared" ref="LW4:LW27" si="137">IF(LG4&gt;0,LG4,"")</f>
        <v/>
      </c>
      <c r="LX4" s="40" t="str">
        <f t="shared" ref="LX4:LX27" si="138">IF(LH4&gt;0,LH4,"")</f>
        <v/>
      </c>
      <c r="LY4" s="40" t="str">
        <f t="shared" ref="LY4:LY27" si="139">IF(SUM(LE4:LH4)-LI4&gt;0,SUM(LE4:LH4)-LI4,"")</f>
        <v/>
      </c>
      <c r="LZ4" s="40" t="str">
        <f t="shared" ref="LZ4:LZ27" si="140">IF(MAX(LV4,LY4)&gt;0,MAX(LV4,LY4),"")</f>
        <v/>
      </c>
      <c r="MA4" s="40" t="str">
        <f t="shared" ref="MA4:MA27" si="141">IF(LL4&gt;0,LL4,"")</f>
        <v/>
      </c>
      <c r="MB4" s="40" t="str">
        <f t="shared" ref="MB4:MB27" si="142">IF(LM4&gt;0,LM4,"")</f>
        <v/>
      </c>
      <c r="MC4" s="40" t="str">
        <f t="shared" ref="MC4:MC27" si="143">IF(SUM(LJ4:LM4)-LN4&gt;0,SUM(LJ4:LM4)-LN4,"")</f>
        <v/>
      </c>
      <c r="MD4" s="40" t="str">
        <f t="shared" ref="MD4:MD27" si="144">IF(LQ4&gt;0,LQ4,"")</f>
        <v/>
      </c>
      <c r="ME4" s="40" t="str">
        <f t="shared" ref="ME4:ME27" si="145">IF(LR4&gt;0,LR4,"")</f>
        <v/>
      </c>
      <c r="MF4" s="40" t="str">
        <f t="shared" ref="MF4:MF27" si="146">IF(SUM(LO4:LR4)-LS4&gt;0,SUM(LO4:LR4)-LS4,"")</f>
        <v/>
      </c>
      <c r="MG4" s="40" t="str">
        <f t="shared" ref="MG4:MG27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48">IF(MJ4&gt;0,MJ4,"")</f>
        <v/>
      </c>
      <c r="NC4" s="11" t="str">
        <f t="shared" ref="NC4:NC27" si="149">IF(MK4&gt;0,MK4,"")</f>
        <v/>
      </c>
      <c r="ND4" s="11" t="str">
        <f t="shared" ref="ND4:ND27" si="150">IF(SUM(MH4:MK4)-ML4&gt;0,SUM(MH4:MK4)-ML4,"")</f>
        <v/>
      </c>
      <c r="NE4" s="11" t="str">
        <f t="shared" ref="NE4:NE27" si="151">IF(MO4&gt;0,MO4,"")</f>
        <v/>
      </c>
      <c r="NF4" s="11" t="str">
        <f t="shared" ref="NF4:NF27" si="152">IF(MP4&gt;0,MP4,"")</f>
        <v/>
      </c>
      <c r="NG4" s="11" t="str">
        <f t="shared" ref="NG4:NG27" si="153">IF(SUM(MM4:MP4)-MQ4&gt;0,SUM(MM4:MP4)-MQ4,"")</f>
        <v/>
      </c>
      <c r="NH4" s="11" t="str">
        <f t="shared" ref="NH4:NH27" si="154">IF(MAX(ND4,NG4)&gt;0,MAX(ND4,NG4),"")</f>
        <v/>
      </c>
      <c r="NI4" s="11" t="str">
        <f t="shared" ref="NI4:NI27" si="155">IF(MT4&gt;0,MT4,"")</f>
        <v/>
      </c>
      <c r="NJ4" s="11" t="str">
        <f t="shared" ref="NJ4:NJ27" si="156">IF(MU4&gt;0,MU4,"")</f>
        <v/>
      </c>
      <c r="NK4" s="11" t="str">
        <f t="shared" ref="NK4:NK27" si="157">IF(SUM(MR4:MU4)-MV4&gt;0,SUM(MR4:MU4)-MV4,"")</f>
        <v/>
      </c>
      <c r="NL4" s="11" t="str">
        <f t="shared" ref="NL4:NL27" si="158">IF(MY4&gt;0,MY4,"")</f>
        <v/>
      </c>
      <c r="NM4" s="11" t="str">
        <f t="shared" ref="NM4:NM27" si="159">IF(MZ4&gt;0,MZ4,"")</f>
        <v/>
      </c>
      <c r="NN4" s="11" t="str">
        <f t="shared" ref="NN4:NN27" si="160">IF(SUM(MW4:MZ4)-NA4&gt;0,SUM(MW4:MZ4)-NA4,"")</f>
        <v/>
      </c>
      <c r="NO4" s="11" t="str">
        <f t="shared" ref="NO4:NO27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62">IF(NR4&gt;0,NR4,"")</f>
        <v/>
      </c>
      <c r="OK4" s="40" t="str">
        <f t="shared" ref="OK4:OK27" si="163">IF(NS4&gt;0,NS4,"")</f>
        <v/>
      </c>
      <c r="OL4" s="40" t="str">
        <f t="shared" ref="OL4:OL27" si="164">IF(SUM(NP4:NS4)-NT4&gt;0,SUM(NP4:NS4)-NT4,"")</f>
        <v/>
      </c>
      <c r="OM4" s="40" t="str">
        <f t="shared" ref="OM4:OM27" si="165">IF(NW4&gt;0,NW4,"")</f>
        <v/>
      </c>
      <c r="ON4" s="40" t="str">
        <f t="shared" ref="ON4:ON27" si="166">IF(NX4&gt;0,NX4,"")</f>
        <v/>
      </c>
      <c r="OO4" s="40" t="str">
        <f t="shared" ref="OO4:OO27" si="167">IF(SUM(NU4:NX4)-NY4&gt;0,SUM(NU4:NX4)-NY4,"")</f>
        <v/>
      </c>
      <c r="OP4" s="40" t="str">
        <f t="shared" ref="OP4:OP27" si="168">IF(MAX(OL4,OO4)&gt;0,MAX(OL4,OO4),"")</f>
        <v/>
      </c>
      <c r="OQ4" s="40" t="str">
        <f t="shared" ref="OQ4:OQ27" si="169">IF(OB4&gt;0,OB4,"")</f>
        <v/>
      </c>
      <c r="OR4" s="40" t="str">
        <f t="shared" ref="OR4:OR27" si="170">IF(OC4&gt;0,OC4,"")</f>
        <v/>
      </c>
      <c r="OS4" s="40" t="str">
        <f t="shared" ref="OS4:OS27" si="171">IF(SUM(NZ4:OC4)-OD4&gt;0,SUM(NZ4:OC4)-OD4,"")</f>
        <v/>
      </c>
      <c r="OT4" s="40" t="str">
        <f t="shared" ref="OT4:OT27" si="172">IF(OG4&gt;0,OG4,"")</f>
        <v/>
      </c>
      <c r="OU4" s="40" t="str">
        <f t="shared" ref="OU4:OU27" si="173">IF(OH4&gt;0,OH4,"")</f>
        <v/>
      </c>
      <c r="OV4" s="40" t="str">
        <f t="shared" ref="OV4:OV27" si="174">IF(SUM(OE4:OH4)-OI4&gt;0,SUM(OE4:OH4)-OI4,"")</f>
        <v/>
      </c>
      <c r="OW4" s="40" t="str">
        <f t="shared" ref="OW4:OW27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6">IF(OZ4&gt;0,OZ4,"")</f>
        <v/>
      </c>
      <c r="PS4" s="11" t="str">
        <f t="shared" ref="PS4:PS27" si="177">IF(PA4&gt;0,PA4,"")</f>
        <v/>
      </c>
      <c r="PT4" s="11" t="str">
        <f t="shared" ref="PT4:PT27" si="178">IF(SUM(OX4:PA4)-PB4&gt;0,SUM(OX4:PA4)-PB4,"")</f>
        <v/>
      </c>
      <c r="PU4" s="11" t="str">
        <f t="shared" ref="PU4:PU27" si="179">IF(PE4&gt;0,PE4,"")</f>
        <v/>
      </c>
      <c r="PV4" s="11" t="str">
        <f t="shared" ref="PV4:PV27" si="180">IF(PF4&gt;0,PF4,"")</f>
        <v/>
      </c>
      <c r="PW4" s="11" t="str">
        <f t="shared" ref="PW4:PW27" si="181">IF(SUM(PC4:PF4)-PG4&gt;0,SUM(PC4:PF4)-PG4,"")</f>
        <v/>
      </c>
      <c r="PX4" s="11" t="str">
        <f t="shared" ref="PX4:PX27" si="182">IF(MAX(PT4,PW4)&gt;0,MAX(PT4,PW4),"")</f>
        <v/>
      </c>
      <c r="PY4" s="11" t="str">
        <f t="shared" ref="PY4:PY27" si="183">IF(PJ4&gt;0,PJ4,"")</f>
        <v/>
      </c>
      <c r="PZ4" s="11" t="str">
        <f t="shared" ref="PZ4:PZ27" si="184">IF(PK4&gt;0,PK4,"")</f>
        <v/>
      </c>
      <c r="QA4" s="11" t="str">
        <f t="shared" ref="QA4:QA27" si="185">IF(SUM(PH4:PK4)-PL4&gt;0,SUM(PH4:PK4)-PL4,"")</f>
        <v/>
      </c>
      <c r="QB4" s="11" t="str">
        <f t="shared" ref="QB4:QB27" si="186">IF(PO4&gt;0,PO4,"")</f>
        <v/>
      </c>
      <c r="QC4" s="11" t="str">
        <f t="shared" ref="QC4:QC27" si="187">IF(PP4&gt;0,PP4,"")</f>
        <v/>
      </c>
      <c r="QD4" s="11" t="str">
        <f t="shared" ref="QD4:QD27" si="188">IF(SUM(PM4:PP4)-PQ4&gt;0,SUM(PM4:PP4)-PQ4,"")</f>
        <v/>
      </c>
      <c r="QE4" s="11" t="str">
        <f t="shared" ref="QE4:QE27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90">IF(QH4&gt;0,QH4,"")</f>
        <v/>
      </c>
      <c r="RA4" s="40" t="str">
        <f t="shared" ref="RA4:RA27" si="191">IF(QI4&gt;0,QI4,"")</f>
        <v/>
      </c>
      <c r="RB4" s="40" t="str">
        <f t="shared" ref="RB4:RB27" si="192">IF(SUM(QF4:QI4)-QJ4&gt;0,SUM(QF4:QI4)-QJ4,"")</f>
        <v/>
      </c>
      <c r="RC4" s="40" t="str">
        <f t="shared" ref="RC4:RC27" si="193">IF(QM4&gt;0,QM4,"")</f>
        <v/>
      </c>
      <c r="RD4" s="40" t="str">
        <f t="shared" ref="RD4:RD27" si="194">IF(QN4&gt;0,QN4,"")</f>
        <v/>
      </c>
      <c r="RE4" s="40" t="str">
        <f t="shared" ref="RE4:RE27" si="195">IF(SUM(QK4:QN4)-QO4&gt;0,SUM(QK4:QN4)-QO4,"")</f>
        <v/>
      </c>
      <c r="RF4" s="40" t="str">
        <f t="shared" ref="RF4:RF27" si="196">IF(MAX(RB4,RE4)&gt;0,MAX(RB4,RE4),"")</f>
        <v/>
      </c>
      <c r="RG4" s="40" t="str">
        <f t="shared" ref="RG4:RG27" si="197">IF(QR4&gt;0,QR4,"")</f>
        <v/>
      </c>
      <c r="RH4" s="40" t="str">
        <f t="shared" ref="RH4:RH27" si="198">IF(QS4&gt;0,QS4,"")</f>
        <v/>
      </c>
      <c r="RI4" s="40" t="str">
        <f t="shared" ref="RI4:RI27" si="199">IF(SUM(QP4:QS4)-QT4&gt;0,SUM(QP4:QS4)-QT4,"")</f>
        <v/>
      </c>
      <c r="RJ4" s="40" t="str">
        <f t="shared" ref="RJ4:RJ27" si="200">IF(QW4&gt;0,QW4,"")</f>
        <v/>
      </c>
      <c r="RK4" s="40" t="str">
        <f t="shared" ref="RK4:RK27" si="201">IF(QX4&gt;0,QX4,"")</f>
        <v/>
      </c>
      <c r="RL4" s="40" t="str">
        <f t="shared" ref="RL4:RL27" si="202">IF(SUM(QU4:QX4)-QY4&gt;0,SUM(QU4:QX4)-QY4,"")</f>
        <v/>
      </c>
      <c r="RM4" s="40" t="str">
        <f t="shared" ref="RM4:RM27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204">IF(RP4&gt;0,RP4,"")</f>
        <v/>
      </c>
      <c r="SI4" s="11" t="str">
        <f t="shared" ref="SI4:SI27" si="205">IF(RQ4&gt;0,RQ4,"")</f>
        <v/>
      </c>
      <c r="SJ4" s="11" t="str">
        <f t="shared" ref="SJ4:SJ27" si="206">IF(SUM(RN4:RQ4)-RR4&gt;0,SUM(RN4:RQ4)-RR4,"")</f>
        <v/>
      </c>
      <c r="SK4" s="11" t="str">
        <f t="shared" ref="SK4:SK27" si="207">IF(RU4&gt;0,RU4,"")</f>
        <v/>
      </c>
      <c r="SL4" s="11" t="str">
        <f t="shared" ref="SL4:SL27" si="208">IF(RV4&gt;0,RV4,"")</f>
        <v/>
      </c>
      <c r="SM4" s="11" t="str">
        <f t="shared" ref="SM4:SM27" si="209">IF(SUM(RS4:RV4)-RW4&gt;0,SUM(RS4:RV4)-RW4,"")</f>
        <v/>
      </c>
      <c r="SN4" s="11" t="str">
        <f t="shared" ref="SN4:SN27" si="210">IF(MAX(SJ4,SM4)&gt;0,MAX(SJ4,SM4),"")</f>
        <v/>
      </c>
      <c r="SO4" s="11" t="str">
        <f t="shared" ref="SO4:SO27" si="211">IF(RZ4&gt;0,RZ4,"")</f>
        <v/>
      </c>
      <c r="SP4" s="11" t="str">
        <f t="shared" ref="SP4:SP27" si="212">IF(SA4&gt;0,SA4,"")</f>
        <v/>
      </c>
      <c r="SQ4" s="11" t="str">
        <f t="shared" ref="SQ4:SQ27" si="213">IF(SUM(RX4:SA4)-SB4&gt;0,SUM(RX4:SA4)-SB4,"")</f>
        <v/>
      </c>
      <c r="SR4" s="11" t="str">
        <f t="shared" ref="SR4:SR27" si="214">IF(SE4&gt;0,SE4,"")</f>
        <v/>
      </c>
      <c r="SS4" s="11" t="str">
        <f t="shared" ref="SS4:SS27" si="215">IF(SF4&gt;0,SF4,"")</f>
        <v/>
      </c>
      <c r="ST4" s="11" t="str">
        <f t="shared" ref="ST4:ST27" si="216">IF(SUM(SC4:SF4)-SG4&gt;0,SUM(SC4:SF4)-SG4,"")</f>
        <v/>
      </c>
      <c r="SU4" s="11" t="str">
        <f t="shared" ref="SU4:SU27" si="217">IF(SUM(SN4,SQ4,ST4)&gt;0,SUM(SN4,SQ4,ST4),"")</f>
        <v/>
      </c>
      <c r="SV4" s="22">
        <f t="shared" ref="SV4:SV27" si="218">IF($CP4="P",CA4,(CA4+AZ4)/2)</f>
        <v>14.350000000000001</v>
      </c>
      <c r="SW4" s="22">
        <f t="shared" ref="SW4:SW27" si="219">IF($CP4="P",CB4,(CB4+BA4)/2)</f>
        <v>8.4499999999999993</v>
      </c>
      <c r="SX4" s="22">
        <f t="shared" ref="SX4:SX27" si="220">IF($CP4="P",CC4,(CC4+BB4)/2)</f>
        <v>15.05</v>
      </c>
      <c r="SY4" s="22">
        <f t="shared" ref="SY4:SY27" si="221">IF($CP4="P",CD4,(CD4+BC4)/2)</f>
        <v>14.52</v>
      </c>
      <c r="SZ4" s="22">
        <f t="shared" ref="SZ4:SZ27" si="222">IF($CP4="P",CE4,(CE4+BD4)/2)</f>
        <v>0</v>
      </c>
      <c r="TA4" s="22">
        <f t="shared" ref="TA4:TA27" si="223">IF($CP4="P",CF4,(CF4+BE4)/2)</f>
        <v>9.9</v>
      </c>
      <c r="TB4" s="22">
        <f t="shared" ref="TB4:TB27" si="224">IF($CP4="P",CG4,(CG4+BF4)/2)</f>
        <v>6.1499999999999995</v>
      </c>
      <c r="TC4" s="22">
        <f t="shared" ref="TC4:TC27" si="225">IF($CP4="P",CH4,(CH4+BG4)/2)</f>
        <v>11</v>
      </c>
      <c r="TD4" s="22">
        <f t="shared" ref="TD4:TD27" si="226">IF($CP4="P",CI4,(CI4+BH4)/2)</f>
        <v>10.809999999999999</v>
      </c>
      <c r="TE4" s="22">
        <f t="shared" ref="TE4:TE27" si="227">IF($CP4="P",CJ4,(CJ4+BI4)/2)</f>
        <v>0</v>
      </c>
      <c r="TF4" s="22">
        <f t="shared" ref="TF4:TF27" si="228">IF($CP4="P",CK4,(CK4+BJ4)/2)</f>
        <v>15.4</v>
      </c>
      <c r="TG4" s="22">
        <f t="shared" ref="TG4:TG27" si="229">IF($CP4="P",CL4,(CL4+BK4)/2)</f>
        <v>9.4</v>
      </c>
      <c r="TH4" s="22">
        <f t="shared" ref="TH4:TH27" si="230">IF($CP4="P",CM4,(CM4+BL4)/2)</f>
        <v>14.3</v>
      </c>
      <c r="TI4" s="22">
        <f t="shared" ref="TI4:TI27" si="231">IF($CP4="P",CN4,(CN4+BM4)/2)</f>
        <v>15.164999999999999</v>
      </c>
      <c r="TJ4" s="22">
        <f t="shared" ref="TJ4:TJ27" si="232">IF($CP4="P",CO4,(CO4+BN4)/2)</f>
        <v>0.3</v>
      </c>
      <c r="TK4" s="27" t="s">
        <v>46</v>
      </c>
      <c r="TL4" s="40">
        <f t="shared" ref="TL4:TL27" si="233">IF(SX4&gt;0,SX4,"")</f>
        <v>15.05</v>
      </c>
      <c r="TM4" s="40">
        <f t="shared" ref="TM4:TM27" si="234">IF(SY4&gt;0,SY4,"")</f>
        <v>14.52</v>
      </c>
      <c r="TN4" s="40">
        <f t="shared" ref="TN4:TN27" si="235">IF(SUM(SV4:SY4)-SZ4&gt;0,SUM(SV4:SY4)-SZ4,"")</f>
        <v>52.370000000000005</v>
      </c>
      <c r="TO4" s="40">
        <f t="shared" ref="TO4:TO27" si="236">IF(TC4&gt;0,TC4,"")</f>
        <v>11</v>
      </c>
      <c r="TP4" s="40">
        <f t="shared" ref="TP4:TP27" si="237">IF(TD4&gt;0,TD4,"")</f>
        <v>10.809999999999999</v>
      </c>
      <c r="TQ4" s="40">
        <f t="shared" ref="TQ4:TQ27" si="238">IF(SUM(TA4:TD4)-TE4&gt;0,SUM(TA4:TD4)-TE4,"")</f>
        <v>37.86</v>
      </c>
      <c r="TR4" s="40">
        <f t="shared" ref="TR4:TR27" si="239">IF(MAX(TN4,TQ4)&gt;0,MAX(TN4,TQ4),"")</f>
        <v>52.370000000000005</v>
      </c>
      <c r="TS4" s="40">
        <f t="shared" ref="TS4:TS27" si="240">IF(TH4&gt;0,TH4,"")</f>
        <v>14.3</v>
      </c>
      <c r="TT4" s="40">
        <f t="shared" ref="TT4:TT27" si="241">IF(TI4&gt;0,TI4,"")</f>
        <v>15.164999999999999</v>
      </c>
      <c r="TU4" s="40">
        <f t="shared" ref="TU4:TU27" si="242">IF(SUM(TF4:TI4)-TJ4&gt;0,SUM(TF4:TI4)-TJ4,"")</f>
        <v>53.965000000000003</v>
      </c>
      <c r="TV4" s="40">
        <f t="shared" ref="TV4:TV27" si="243">IF(SUM(TR4,TU4)&gt;0,SUM(TR4,TU4),"")</f>
        <v>106.33500000000001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>1</v>
      </c>
      <c r="C5" s="5" t="s">
        <v>126</v>
      </c>
      <c r="D5" s="4" t="s">
        <v>4</v>
      </c>
      <c r="E5" s="4">
        <v>2007</v>
      </c>
      <c r="F5" s="9">
        <f t="shared" si="0"/>
        <v>199.69001955200559</v>
      </c>
      <c r="G5" s="64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56.019999999999996</v>
      </c>
      <c r="M5" s="8" t="str">
        <f t="shared" si="5"/>
        <v>2025 Nationals</v>
      </c>
      <c r="N5" s="8">
        <f>IF(COUNT(AQ5,AT5,BR5,BU5,CS5,CV5)&gt;1,LARGE((AQ5,AT5,BR5,BU5,CS5,CV5),2),0)</f>
        <v>55.410000000000004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51.910000000000004</v>
      </c>
      <c r="Q5" s="8" t="str">
        <f t="shared" si="7"/>
        <v>2024 3rd Domestic Trial</v>
      </c>
      <c r="R5" s="8">
        <f t="shared" si="8"/>
        <v>15.5</v>
      </c>
      <c r="S5" s="8" t="str">
        <f t="shared" si="9"/>
        <v>2025 Nationals</v>
      </c>
      <c r="T5" s="8">
        <f t="shared" si="10"/>
        <v>16.68</v>
      </c>
      <c r="U5" s="8" t="str">
        <f t="shared" si="11"/>
        <v>2025 Coimbra Gym Fest (July 6)</v>
      </c>
      <c r="V5" s="8">
        <f t="shared" si="12"/>
        <v>4.1700000000000017</v>
      </c>
      <c r="W5" s="11" t="str">
        <f t="shared" si="13"/>
        <v>(Optional)</v>
      </c>
      <c r="X5" s="8" t="str">
        <f t="shared" si="14"/>
        <v>2025 Coimbra Gym Fest (July 6)</v>
      </c>
      <c r="Y5" s="22">
        <v>11.9</v>
      </c>
      <c r="Z5" s="22">
        <v>6.2</v>
      </c>
      <c r="AA5" s="22">
        <v>10.3</v>
      </c>
      <c r="AB5" s="22">
        <v>12.19</v>
      </c>
      <c r="AC5" s="22">
        <v>0</v>
      </c>
      <c r="AD5" s="22">
        <v>15.3</v>
      </c>
      <c r="AE5" s="22">
        <v>7.9</v>
      </c>
      <c r="AF5" s="22">
        <v>13.2</v>
      </c>
      <c r="AG5" s="22">
        <v>15.51</v>
      </c>
      <c r="AH5" s="22">
        <v>0</v>
      </c>
      <c r="AI5" s="22">
        <v>14.2</v>
      </c>
      <c r="AJ5" s="22">
        <v>7.2</v>
      </c>
      <c r="AK5" s="22">
        <v>11.7</v>
      </c>
      <c r="AL5" s="22">
        <v>13.91</v>
      </c>
      <c r="AM5" s="22">
        <v>0</v>
      </c>
      <c r="AN5" s="27"/>
      <c r="AO5" s="38">
        <f t="shared" si="15"/>
        <v>10.3</v>
      </c>
      <c r="AP5" s="38">
        <f t="shared" si="16"/>
        <v>12.19</v>
      </c>
      <c r="AQ5" s="40">
        <f t="shared" si="17"/>
        <v>40.590000000000003</v>
      </c>
      <c r="AR5" s="40">
        <f t="shared" si="18"/>
        <v>13.2</v>
      </c>
      <c r="AS5" s="40">
        <f t="shared" si="19"/>
        <v>15.51</v>
      </c>
      <c r="AT5" s="40">
        <f t="shared" si="20"/>
        <v>51.910000000000004</v>
      </c>
      <c r="AU5" s="40">
        <f t="shared" si="21"/>
        <v>51.910000000000004</v>
      </c>
      <c r="AV5" s="40">
        <f t="shared" si="22"/>
        <v>11.7</v>
      </c>
      <c r="AW5" s="40">
        <f t="shared" si="23"/>
        <v>13.91</v>
      </c>
      <c r="AX5" s="40">
        <f t="shared" si="24"/>
        <v>47.009999999999991</v>
      </c>
      <c r="AY5" s="40">
        <f t="shared" si="25"/>
        <v>98.919999999999987</v>
      </c>
      <c r="AZ5" s="26">
        <v>16</v>
      </c>
      <c r="BA5" s="26">
        <v>9.3000000000000007</v>
      </c>
      <c r="BB5" s="26">
        <v>14.4</v>
      </c>
      <c r="BC5" s="26">
        <v>15.81</v>
      </c>
      <c r="BD5" s="26">
        <v>0.1</v>
      </c>
      <c r="BE5" s="26">
        <v>1.6</v>
      </c>
      <c r="BF5" s="26">
        <v>1</v>
      </c>
      <c r="BG5" s="26">
        <v>2</v>
      </c>
      <c r="BH5" s="26">
        <v>1.67</v>
      </c>
      <c r="BI5" s="26">
        <v>0</v>
      </c>
      <c r="BJ5" s="26">
        <v>7.3</v>
      </c>
      <c r="BK5" s="26">
        <v>4.4000000000000004</v>
      </c>
      <c r="BL5" s="26">
        <v>7.6</v>
      </c>
      <c r="BM5" s="26">
        <v>7.8</v>
      </c>
      <c r="BN5" s="26">
        <v>0</v>
      </c>
      <c r="BO5" s="28"/>
      <c r="BP5" s="39">
        <f t="shared" si="26"/>
        <v>14.4</v>
      </c>
      <c r="BQ5" s="39">
        <f t="shared" si="27"/>
        <v>15.81</v>
      </c>
      <c r="BR5" s="11">
        <f t="shared" si="28"/>
        <v>55.410000000000004</v>
      </c>
      <c r="BS5" s="11">
        <f t="shared" si="29"/>
        <v>2</v>
      </c>
      <c r="BT5" s="11">
        <f t="shared" si="30"/>
        <v>1.67</v>
      </c>
      <c r="BU5" s="11">
        <f t="shared" si="31"/>
        <v>6.27</v>
      </c>
      <c r="BV5" s="11">
        <f t="shared" si="32"/>
        <v>55.410000000000004</v>
      </c>
      <c r="BW5" s="11">
        <f t="shared" si="33"/>
        <v>7.6</v>
      </c>
      <c r="BX5" s="11">
        <f t="shared" si="34"/>
        <v>7.8</v>
      </c>
      <c r="BY5" s="11">
        <f t="shared" si="35"/>
        <v>27.099999999999998</v>
      </c>
      <c r="BZ5" s="11">
        <f t="shared" si="36"/>
        <v>82.51</v>
      </c>
      <c r="CA5" s="22">
        <v>12.1</v>
      </c>
      <c r="CB5" s="22">
        <v>7.2</v>
      </c>
      <c r="CC5" s="22">
        <v>12.3</v>
      </c>
      <c r="CD5" s="22">
        <v>13.37</v>
      </c>
      <c r="CE5" s="22">
        <v>0</v>
      </c>
      <c r="CF5" s="22">
        <v>14.9</v>
      </c>
      <c r="CG5" s="22">
        <v>9.1</v>
      </c>
      <c r="CH5" s="22">
        <v>15.5</v>
      </c>
      <c r="CI5" s="22">
        <v>16.52</v>
      </c>
      <c r="CJ5" s="22">
        <v>0</v>
      </c>
      <c r="CK5" s="22">
        <v>3.5</v>
      </c>
      <c r="CL5" s="22">
        <v>1.8</v>
      </c>
      <c r="CM5" s="22">
        <v>3.5</v>
      </c>
      <c r="CN5" s="22">
        <v>3.55</v>
      </c>
      <c r="CO5" s="22">
        <v>0</v>
      </c>
      <c r="CP5" s="27"/>
      <c r="CQ5" s="38">
        <f t="shared" si="37"/>
        <v>12.3</v>
      </c>
      <c r="CR5" s="38">
        <f t="shared" si="38"/>
        <v>13.37</v>
      </c>
      <c r="CS5" s="40">
        <f t="shared" si="39"/>
        <v>44.97</v>
      </c>
      <c r="CT5" s="40">
        <f t="shared" si="40"/>
        <v>15.5</v>
      </c>
      <c r="CU5" s="40">
        <f t="shared" si="41"/>
        <v>16.52</v>
      </c>
      <c r="CV5" s="40">
        <f t="shared" si="42"/>
        <v>56.019999999999996</v>
      </c>
      <c r="CW5" s="40">
        <f t="shared" si="43"/>
        <v>56.019999999999996</v>
      </c>
      <c r="CX5" s="40">
        <f t="shared" si="44"/>
        <v>3.5</v>
      </c>
      <c r="CY5" s="40">
        <f t="shared" si="45"/>
        <v>3.55</v>
      </c>
      <c r="CZ5" s="40">
        <f t="shared" si="46"/>
        <v>12.350000000000001</v>
      </c>
      <c r="DA5" s="40">
        <f t="shared" si="47"/>
        <v>68.37</v>
      </c>
      <c r="DB5" s="50">
        <f t="shared" si="48"/>
        <v>4.1700000000000017</v>
      </c>
      <c r="DC5" s="50">
        <f t="shared" si="49"/>
        <v>3.3999999999999986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 t="shared" si="78"/>
        <v>15.3</v>
      </c>
      <c r="GO5" s="40">
        <f t="shared" si="79"/>
        <v>16.68</v>
      </c>
      <c r="GP5" s="40">
        <f t="shared" si="80"/>
        <v>56.080000000000005</v>
      </c>
      <c r="GQ5" s="40">
        <f t="shared" si="81"/>
        <v>14.5</v>
      </c>
      <c r="GR5" s="40">
        <f t="shared" si="82"/>
        <v>16.47</v>
      </c>
      <c r="GS5" s="40">
        <f t="shared" si="83"/>
        <v>53.87</v>
      </c>
      <c r="GT5" s="40">
        <f t="shared" si="84"/>
        <v>56.080000000000005</v>
      </c>
      <c r="GU5" s="40">
        <f t="shared" si="85"/>
        <v>3.5</v>
      </c>
      <c r="GV5" s="40">
        <f t="shared" si="86"/>
        <v>3.52</v>
      </c>
      <c r="GW5" s="40">
        <f t="shared" si="87"/>
        <v>11.62</v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67.7</v>
      </c>
      <c r="HB5" s="18"/>
      <c r="HC5" s="18"/>
      <c r="HD5" s="18"/>
      <c r="HE5" s="18"/>
      <c r="HF5" s="18"/>
      <c r="HG5" s="18">
        <v>14.3</v>
      </c>
      <c r="HH5" s="18">
        <v>9.1</v>
      </c>
      <c r="HI5" s="18">
        <v>15.3</v>
      </c>
      <c r="HJ5" s="18">
        <v>16.239999999999998</v>
      </c>
      <c r="HK5" s="18">
        <v>0</v>
      </c>
      <c r="HL5" s="18"/>
      <c r="HM5" s="18"/>
      <c r="HN5" s="18"/>
      <c r="HO5" s="18"/>
      <c r="HP5" s="18"/>
      <c r="HQ5" s="18">
        <v>15.4</v>
      </c>
      <c r="HR5" s="18">
        <v>9.1999999999999993</v>
      </c>
      <c r="HS5" s="18">
        <v>14.4</v>
      </c>
      <c r="HT5" s="18">
        <v>16.309999999999999</v>
      </c>
      <c r="HU5" s="18">
        <v>0</v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>
        <f t="shared" si="95"/>
        <v>15.3</v>
      </c>
      <c r="HZ5" s="11">
        <f t="shared" si="96"/>
        <v>16.239999999999998</v>
      </c>
      <c r="IA5" s="11">
        <f t="shared" si="97"/>
        <v>54.94</v>
      </c>
      <c r="IB5" s="11">
        <f t="shared" si="98"/>
        <v>54.94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>
        <f t="shared" si="102"/>
        <v>14.4</v>
      </c>
      <c r="IG5" s="11">
        <f t="shared" si="103"/>
        <v>16.309999999999999</v>
      </c>
      <c r="IH5" s="11">
        <f t="shared" si="104"/>
        <v>55.31</v>
      </c>
      <c r="II5" s="11">
        <f t="shared" si="105"/>
        <v>110.25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14.05</v>
      </c>
      <c r="SW5" s="22">
        <f t="shared" si="219"/>
        <v>8.25</v>
      </c>
      <c r="SX5" s="22">
        <f t="shared" si="220"/>
        <v>13.350000000000001</v>
      </c>
      <c r="SY5" s="22">
        <f t="shared" si="221"/>
        <v>14.59</v>
      </c>
      <c r="SZ5" s="22">
        <f t="shared" si="222"/>
        <v>0.05</v>
      </c>
      <c r="TA5" s="22">
        <f t="shared" si="223"/>
        <v>8.25</v>
      </c>
      <c r="TB5" s="22">
        <f t="shared" si="224"/>
        <v>5.05</v>
      </c>
      <c r="TC5" s="22">
        <f t="shared" si="225"/>
        <v>8.75</v>
      </c>
      <c r="TD5" s="22">
        <f t="shared" si="226"/>
        <v>9.0949999999999989</v>
      </c>
      <c r="TE5" s="22">
        <f t="shared" si="227"/>
        <v>0</v>
      </c>
      <c r="TF5" s="22">
        <f t="shared" si="228"/>
        <v>5.4</v>
      </c>
      <c r="TG5" s="22">
        <f t="shared" si="229"/>
        <v>3.1</v>
      </c>
      <c r="TH5" s="22">
        <f t="shared" si="230"/>
        <v>5.55</v>
      </c>
      <c r="TI5" s="22">
        <f t="shared" si="231"/>
        <v>5.6749999999999998</v>
      </c>
      <c r="TJ5" s="22">
        <f t="shared" si="232"/>
        <v>0</v>
      </c>
      <c r="TK5" s="27" t="s">
        <v>46</v>
      </c>
      <c r="TL5" s="40">
        <f t="shared" si="233"/>
        <v>13.350000000000001</v>
      </c>
      <c r="TM5" s="40">
        <f t="shared" si="234"/>
        <v>14.59</v>
      </c>
      <c r="TN5" s="40">
        <f t="shared" si="235"/>
        <v>50.190000000000012</v>
      </c>
      <c r="TO5" s="40">
        <f t="shared" si="236"/>
        <v>8.75</v>
      </c>
      <c r="TP5" s="40">
        <f t="shared" si="237"/>
        <v>9.0949999999999989</v>
      </c>
      <c r="TQ5" s="40">
        <f t="shared" si="238"/>
        <v>31.145</v>
      </c>
      <c r="TR5" s="40">
        <f t="shared" si="239"/>
        <v>50.190000000000012</v>
      </c>
      <c r="TS5" s="40">
        <f t="shared" si="240"/>
        <v>5.55</v>
      </c>
      <c r="TT5" s="40">
        <f t="shared" si="241"/>
        <v>5.6749999999999998</v>
      </c>
      <c r="TU5" s="40">
        <f t="shared" si="242"/>
        <v>19.725000000000001</v>
      </c>
      <c r="TV5" s="40">
        <f t="shared" si="243"/>
        <v>69.91500000000002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t="str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/>
      </c>
      <c r="C6" s="5" t="s">
        <v>112</v>
      </c>
      <c r="D6" s="4" t="s">
        <v>6</v>
      </c>
      <c r="E6" s="4">
        <v>2006</v>
      </c>
      <c r="F6" s="9">
        <f t="shared" si="0"/>
        <v>198.80001962300562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56.190000000000005</v>
      </c>
      <c r="M6" s="8" t="str">
        <f t="shared" si="5"/>
        <v>2024 3rd Domestic Trial</v>
      </c>
      <c r="N6" s="8">
        <f>IF(COUNT(AQ6,AT6,BR6,BU6,CS6,CV6)&gt;1,LARGE((AQ6,AT6,BR6,BU6,CS6,CV6),2),0)</f>
        <v>50.3</v>
      </c>
      <c r="O6" s="8" t="str">
        <f t="shared" si="6"/>
        <v>2025 Nationals</v>
      </c>
      <c r="P6" s="8">
        <f>IF(COUNT(AQ6,AT6,BR6,BU6,CS6,CV6)&gt;2,MAX(AX6,BY6,CZ6,LARGE((AQ6,AT6,BR6,BU6,CS6,CV6),3)),IF(MAX(AX6,BY6,CZ6)&gt;0,MAX(AX6,BY6,CZ6),0))</f>
        <v>57.120000000000005</v>
      </c>
      <c r="Q6" s="8" t="str">
        <f t="shared" si="7"/>
        <v>2024 3rd Domestic Trial</v>
      </c>
      <c r="R6" s="8">
        <f t="shared" si="8"/>
        <v>16.2</v>
      </c>
      <c r="S6" s="8" t="str">
        <f t="shared" si="9"/>
        <v>2024 3rd Domestic Trial</v>
      </c>
      <c r="T6" s="8">
        <f t="shared" si="10"/>
        <v>16.420000000000002</v>
      </c>
      <c r="U6" s="8" t="str">
        <f t="shared" si="11"/>
        <v>2024 3rd Domestic Trial</v>
      </c>
      <c r="V6" s="8">
        <f t="shared" si="12"/>
        <v>2.5700000000000003</v>
      </c>
      <c r="W6" s="11" t="str">
        <f t="shared" si="13"/>
        <v>(Optional)</v>
      </c>
      <c r="X6" s="8" t="str">
        <f t="shared" si="14"/>
        <v>2025 World Cup ITA (April 5)</v>
      </c>
      <c r="Y6" s="22">
        <v>3.1</v>
      </c>
      <c r="Z6" s="22">
        <v>1.8</v>
      </c>
      <c r="AA6" s="22">
        <v>3.8</v>
      </c>
      <c r="AB6" s="22">
        <v>3.5</v>
      </c>
      <c r="AC6" s="22">
        <v>0</v>
      </c>
      <c r="AD6" s="22">
        <v>15</v>
      </c>
      <c r="AE6" s="22">
        <v>9</v>
      </c>
      <c r="AF6" s="22">
        <v>16.2</v>
      </c>
      <c r="AG6" s="22">
        <v>15.99</v>
      </c>
      <c r="AH6" s="22">
        <v>0</v>
      </c>
      <c r="AI6" s="22">
        <v>16</v>
      </c>
      <c r="AJ6" s="22">
        <v>8.5</v>
      </c>
      <c r="AK6" s="22">
        <v>16.2</v>
      </c>
      <c r="AL6" s="22">
        <v>16.420000000000002</v>
      </c>
      <c r="AM6" s="22">
        <v>0</v>
      </c>
      <c r="AN6" s="27"/>
      <c r="AO6" s="38">
        <f t="shared" si="15"/>
        <v>3.8</v>
      </c>
      <c r="AP6" s="38">
        <f t="shared" si="16"/>
        <v>3.5</v>
      </c>
      <c r="AQ6" s="40">
        <f t="shared" si="17"/>
        <v>12.2</v>
      </c>
      <c r="AR6" s="40">
        <f t="shared" si="18"/>
        <v>16.2</v>
      </c>
      <c r="AS6" s="40">
        <f t="shared" si="19"/>
        <v>15.99</v>
      </c>
      <c r="AT6" s="40">
        <f t="shared" si="20"/>
        <v>56.190000000000005</v>
      </c>
      <c r="AU6" s="40">
        <f t="shared" si="21"/>
        <v>56.190000000000005</v>
      </c>
      <c r="AV6" s="40">
        <f t="shared" si="22"/>
        <v>16.2</v>
      </c>
      <c r="AW6" s="40">
        <f t="shared" si="23"/>
        <v>16.420000000000002</v>
      </c>
      <c r="AX6" s="40">
        <f t="shared" si="24"/>
        <v>57.120000000000005</v>
      </c>
      <c r="AY6" s="40">
        <f t="shared" si="25"/>
        <v>113.31</v>
      </c>
      <c r="AZ6" s="26">
        <v>1.6</v>
      </c>
      <c r="BA6" s="26">
        <v>1</v>
      </c>
      <c r="BB6" s="26">
        <v>2</v>
      </c>
      <c r="BC6" s="26">
        <v>1.72</v>
      </c>
      <c r="BD6" s="26">
        <v>0</v>
      </c>
      <c r="BE6" s="26">
        <v>9.8000000000000007</v>
      </c>
      <c r="BF6" s="26">
        <v>5.9</v>
      </c>
      <c r="BG6" s="26">
        <v>9</v>
      </c>
      <c r="BH6" s="26">
        <v>11.15</v>
      </c>
      <c r="BI6" s="26">
        <v>0</v>
      </c>
      <c r="BJ6" s="26"/>
      <c r="BK6" s="26"/>
      <c r="BL6" s="26"/>
      <c r="BM6" s="26"/>
      <c r="BN6" s="26"/>
      <c r="BO6" s="28"/>
      <c r="BP6" s="39">
        <f t="shared" si="26"/>
        <v>2</v>
      </c>
      <c r="BQ6" s="39">
        <f t="shared" si="27"/>
        <v>1.72</v>
      </c>
      <c r="BR6" s="11">
        <f t="shared" si="28"/>
        <v>6.3199999999999994</v>
      </c>
      <c r="BS6" s="11">
        <f t="shared" si="29"/>
        <v>9</v>
      </c>
      <c r="BT6" s="11">
        <f t="shared" si="30"/>
        <v>11.15</v>
      </c>
      <c r="BU6" s="11">
        <f t="shared" si="31"/>
        <v>35.85</v>
      </c>
      <c r="BV6" s="11">
        <f t="shared" si="32"/>
        <v>35.85</v>
      </c>
      <c r="BW6" s="11" t="str">
        <f t="shared" si="33"/>
        <v/>
      </c>
      <c r="BX6" s="11" t="str">
        <f t="shared" si="34"/>
        <v/>
      </c>
      <c r="BY6" s="11" t="str">
        <f t="shared" si="35"/>
        <v/>
      </c>
      <c r="BZ6" s="11">
        <f t="shared" si="36"/>
        <v>35.85</v>
      </c>
      <c r="CA6" s="22">
        <v>12</v>
      </c>
      <c r="CB6" s="22">
        <v>6.3</v>
      </c>
      <c r="CC6" s="22">
        <v>11</v>
      </c>
      <c r="CD6" s="22">
        <v>11.13</v>
      </c>
      <c r="CE6" s="22">
        <v>0</v>
      </c>
      <c r="CF6" s="22">
        <v>14.7</v>
      </c>
      <c r="CG6" s="22">
        <v>7.6</v>
      </c>
      <c r="CH6" s="22">
        <v>13.8</v>
      </c>
      <c r="CI6" s="22">
        <v>14.2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11</v>
      </c>
      <c r="CR6" s="38">
        <f t="shared" si="38"/>
        <v>11.13</v>
      </c>
      <c r="CS6" s="40">
        <f t="shared" si="39"/>
        <v>40.43</v>
      </c>
      <c r="CT6" s="40">
        <f t="shared" si="40"/>
        <v>13.8</v>
      </c>
      <c r="CU6" s="40">
        <f t="shared" si="41"/>
        <v>14.2</v>
      </c>
      <c r="CV6" s="40">
        <f t="shared" si="42"/>
        <v>50.3</v>
      </c>
      <c r="CW6" s="40">
        <f t="shared" si="43"/>
        <v>50.3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50.3</v>
      </c>
      <c r="DB6" s="50">
        <f t="shared" si="48"/>
        <v>2.5700000000000003</v>
      </c>
      <c r="DC6" s="50" t="str">
        <f t="shared" si="49"/>
        <v/>
      </c>
      <c r="DD6" s="17">
        <v>14.3</v>
      </c>
      <c r="DE6" s="17">
        <v>8.6999999999999993</v>
      </c>
      <c r="DF6" s="17">
        <v>14.8</v>
      </c>
      <c r="DG6" s="17">
        <v>15.07</v>
      </c>
      <c r="DH6" s="17">
        <v>0</v>
      </c>
      <c r="DI6" s="17">
        <v>13.8</v>
      </c>
      <c r="DJ6" s="17">
        <v>8.6999999999999993</v>
      </c>
      <c r="DK6" s="17">
        <v>14.4</v>
      </c>
      <c r="DL6" s="17">
        <v>15.35</v>
      </c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 t="shared" si="50"/>
        <v>14.8</v>
      </c>
      <c r="DY6" s="40">
        <f t="shared" si="51"/>
        <v>15.07</v>
      </c>
      <c r="DZ6" s="40">
        <f t="shared" si="52"/>
        <v>52.87</v>
      </c>
      <c r="EA6" s="40">
        <f t="shared" si="53"/>
        <v>14.4</v>
      </c>
      <c r="EB6" s="40">
        <f t="shared" si="54"/>
        <v>15.35</v>
      </c>
      <c r="EC6" s="40">
        <f t="shared" si="55"/>
        <v>52.25</v>
      </c>
      <c r="ED6" s="40">
        <f t="shared" si="56"/>
        <v>52.87</v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>
        <f t="shared" si="63"/>
        <v>52.87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6.8</v>
      </c>
      <c r="SW6" s="22">
        <f t="shared" si="219"/>
        <v>3.65</v>
      </c>
      <c r="SX6" s="22">
        <f t="shared" si="220"/>
        <v>6.5</v>
      </c>
      <c r="SY6" s="22">
        <f t="shared" si="221"/>
        <v>6.4250000000000007</v>
      </c>
      <c r="SZ6" s="22">
        <f t="shared" si="222"/>
        <v>0</v>
      </c>
      <c r="TA6" s="22">
        <f t="shared" si="223"/>
        <v>12.25</v>
      </c>
      <c r="TB6" s="22">
        <f t="shared" si="224"/>
        <v>6.75</v>
      </c>
      <c r="TC6" s="22">
        <f t="shared" si="225"/>
        <v>11.4</v>
      </c>
      <c r="TD6" s="22">
        <f t="shared" si="226"/>
        <v>12.675000000000001</v>
      </c>
      <c r="TE6" s="22">
        <f t="shared" si="227"/>
        <v>0</v>
      </c>
      <c r="TF6" s="22">
        <f t="shared" si="228"/>
        <v>0</v>
      </c>
      <c r="TG6" s="22">
        <f t="shared" si="229"/>
        <v>0</v>
      </c>
      <c r="TH6" s="22">
        <f t="shared" si="230"/>
        <v>0</v>
      </c>
      <c r="TI6" s="22">
        <f t="shared" si="231"/>
        <v>0</v>
      </c>
      <c r="TJ6" s="22">
        <f t="shared" si="232"/>
        <v>0</v>
      </c>
      <c r="TK6" s="27" t="s">
        <v>46</v>
      </c>
      <c r="TL6" s="40">
        <f t="shared" si="233"/>
        <v>6.5</v>
      </c>
      <c r="TM6" s="40">
        <f t="shared" si="234"/>
        <v>6.4250000000000007</v>
      </c>
      <c r="TN6" s="40">
        <f t="shared" si="235"/>
        <v>23.375</v>
      </c>
      <c r="TO6" s="40">
        <f t="shared" si="236"/>
        <v>11.4</v>
      </c>
      <c r="TP6" s="40">
        <f t="shared" si="237"/>
        <v>12.675000000000001</v>
      </c>
      <c r="TQ6" s="40">
        <f t="shared" si="238"/>
        <v>43.075000000000003</v>
      </c>
      <c r="TR6" s="40">
        <f t="shared" si="239"/>
        <v>43.075000000000003</v>
      </c>
      <c r="TS6" s="40" t="str">
        <f t="shared" si="240"/>
        <v/>
      </c>
      <c r="TT6" s="40" t="str">
        <f t="shared" si="241"/>
        <v/>
      </c>
      <c r="TU6" s="40" t="str">
        <f t="shared" si="242"/>
        <v/>
      </c>
      <c r="TV6" s="40">
        <f t="shared" si="243"/>
        <v>43.075000000000003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105</v>
      </c>
      <c r="D7" s="4" t="s">
        <v>6</v>
      </c>
      <c r="E7" s="4">
        <v>2006</v>
      </c>
      <c r="F7" s="9">
        <f t="shared" si="0"/>
        <v>194.57001945700549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54.92</v>
      </c>
      <c r="M7" s="8" t="str">
        <f t="shared" si="5"/>
        <v>2025 Elite Canada</v>
      </c>
      <c r="N7" s="8">
        <f>IF(COUNT(AQ7,AT7,BR7,BU7,CS7,CV7)&gt;1,LARGE((AQ7,AT7,BR7,BU7,CS7,CV7),2),0)</f>
        <v>54.11</v>
      </c>
      <c r="O7" s="8" t="str">
        <f t="shared" si="6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7"/>
        <v>2025 Elite Canada</v>
      </c>
      <c r="R7" s="8">
        <f t="shared" si="8"/>
        <v>15.1</v>
      </c>
      <c r="S7" s="8" t="str">
        <f t="shared" si="9"/>
        <v>2025 Nationals</v>
      </c>
      <c r="T7" s="8">
        <f t="shared" si="10"/>
        <v>16.03</v>
      </c>
      <c r="U7" s="8" t="str">
        <f t="shared" si="11"/>
        <v>2024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13.4</v>
      </c>
      <c r="Z7" s="22">
        <v>7.9</v>
      </c>
      <c r="AA7" s="22">
        <v>12.8</v>
      </c>
      <c r="AB7" s="22">
        <v>14.64</v>
      </c>
      <c r="AC7" s="22">
        <v>0</v>
      </c>
      <c r="AD7" s="22">
        <v>14.1</v>
      </c>
      <c r="AE7" s="22">
        <v>9.6</v>
      </c>
      <c r="AF7" s="22">
        <v>14.4</v>
      </c>
      <c r="AG7" s="22">
        <v>16.010000000000002</v>
      </c>
      <c r="AH7" s="22">
        <v>0</v>
      </c>
      <c r="AI7" s="22">
        <v>14.4</v>
      </c>
      <c r="AJ7" s="22">
        <v>9</v>
      </c>
      <c r="AK7" s="22">
        <v>14.4</v>
      </c>
      <c r="AL7" s="22">
        <v>16.03</v>
      </c>
      <c r="AM7" s="22">
        <v>0</v>
      </c>
      <c r="AN7" s="27"/>
      <c r="AO7" s="38">
        <f t="shared" si="15"/>
        <v>12.8</v>
      </c>
      <c r="AP7" s="38">
        <f t="shared" si="16"/>
        <v>14.64</v>
      </c>
      <c r="AQ7" s="40">
        <f t="shared" si="17"/>
        <v>48.74</v>
      </c>
      <c r="AR7" s="40">
        <f t="shared" si="18"/>
        <v>14.4</v>
      </c>
      <c r="AS7" s="40">
        <f t="shared" si="19"/>
        <v>16.010000000000002</v>
      </c>
      <c r="AT7" s="40">
        <f t="shared" si="20"/>
        <v>54.11</v>
      </c>
      <c r="AU7" s="40">
        <f t="shared" si="21"/>
        <v>54.11</v>
      </c>
      <c r="AV7" s="40">
        <f t="shared" si="22"/>
        <v>14.4</v>
      </c>
      <c r="AW7" s="40">
        <f t="shared" si="23"/>
        <v>16.03</v>
      </c>
      <c r="AX7" s="40">
        <f t="shared" si="24"/>
        <v>53.83</v>
      </c>
      <c r="AY7" s="40">
        <f t="shared" si="25"/>
        <v>107.94</v>
      </c>
      <c r="AZ7" s="26">
        <v>15.5</v>
      </c>
      <c r="BA7" s="26">
        <v>9.1999999999999993</v>
      </c>
      <c r="BB7" s="26">
        <v>14.9</v>
      </c>
      <c r="BC7" s="26">
        <v>15.32</v>
      </c>
      <c r="BD7" s="26">
        <v>0</v>
      </c>
      <c r="BE7" s="26">
        <v>14.1</v>
      </c>
      <c r="BF7" s="26">
        <v>9.1999999999999993</v>
      </c>
      <c r="BG7" s="26">
        <v>13.7</v>
      </c>
      <c r="BH7" s="26">
        <v>15.55</v>
      </c>
      <c r="BI7" s="26">
        <v>0.8</v>
      </c>
      <c r="BJ7" s="26">
        <v>14.8</v>
      </c>
      <c r="BK7" s="26">
        <v>9.3000000000000007</v>
      </c>
      <c r="BL7" s="26">
        <v>14.9</v>
      </c>
      <c r="BM7" s="26">
        <v>15.41</v>
      </c>
      <c r="BN7" s="26">
        <v>0</v>
      </c>
      <c r="BO7" s="28"/>
      <c r="BP7" s="39">
        <f t="shared" si="26"/>
        <v>14.9</v>
      </c>
      <c r="BQ7" s="39">
        <f t="shared" si="27"/>
        <v>15.32</v>
      </c>
      <c r="BR7" s="11">
        <f t="shared" si="28"/>
        <v>54.92</v>
      </c>
      <c r="BS7" s="11">
        <f t="shared" si="29"/>
        <v>13.7</v>
      </c>
      <c r="BT7" s="11">
        <f t="shared" si="30"/>
        <v>15.55</v>
      </c>
      <c r="BU7" s="11">
        <f t="shared" si="31"/>
        <v>51.75</v>
      </c>
      <c r="BV7" s="11">
        <f t="shared" si="32"/>
        <v>54.92</v>
      </c>
      <c r="BW7" s="11">
        <f t="shared" si="33"/>
        <v>14.9</v>
      </c>
      <c r="BX7" s="11">
        <f t="shared" si="34"/>
        <v>15.41</v>
      </c>
      <c r="BY7" s="11">
        <f t="shared" si="35"/>
        <v>54.41</v>
      </c>
      <c r="BZ7" s="11">
        <f t="shared" si="36"/>
        <v>109.33</v>
      </c>
      <c r="CA7" s="22">
        <v>2.7</v>
      </c>
      <c r="CB7" s="22">
        <v>1.9</v>
      </c>
      <c r="CC7" s="22">
        <v>3.5</v>
      </c>
      <c r="CD7" s="22">
        <v>3.26</v>
      </c>
      <c r="CE7" s="22">
        <v>0</v>
      </c>
      <c r="CF7" s="22">
        <v>10.9</v>
      </c>
      <c r="CG7" s="22">
        <v>9.1999999999999993</v>
      </c>
      <c r="CH7" s="22">
        <v>15.1</v>
      </c>
      <c r="CI7" s="22">
        <v>15.1</v>
      </c>
      <c r="CJ7" s="22">
        <v>0</v>
      </c>
      <c r="CK7" s="22"/>
      <c r="CL7" s="22"/>
      <c r="CM7" s="22"/>
      <c r="CN7" s="22"/>
      <c r="CO7" s="22"/>
      <c r="CP7" s="27"/>
      <c r="CQ7" s="38">
        <f t="shared" si="37"/>
        <v>3.5</v>
      </c>
      <c r="CR7" s="38">
        <f t="shared" si="38"/>
        <v>3.26</v>
      </c>
      <c r="CS7" s="40">
        <f t="shared" si="39"/>
        <v>11.36</v>
      </c>
      <c r="CT7" s="40">
        <f t="shared" si="40"/>
        <v>15.1</v>
      </c>
      <c r="CU7" s="40">
        <f t="shared" si="41"/>
        <v>15.1</v>
      </c>
      <c r="CV7" s="40">
        <f t="shared" si="42"/>
        <v>50.300000000000004</v>
      </c>
      <c r="CW7" s="40">
        <f t="shared" si="43"/>
        <v>50.300000000000004</v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>
        <f t="shared" si="47"/>
        <v>50.300000000000004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 t="shared" si="78"/>
        <v>14.7</v>
      </c>
      <c r="GO7" s="40">
        <f t="shared" si="79"/>
        <v>15.66</v>
      </c>
      <c r="GP7" s="40">
        <f t="shared" si="80"/>
        <v>51.36</v>
      </c>
      <c r="GQ7" s="40">
        <f t="shared" si="81"/>
        <v>14.9</v>
      </c>
      <c r="GR7" s="40">
        <f t="shared" si="82"/>
        <v>15.38</v>
      </c>
      <c r="GS7" s="40">
        <f t="shared" si="83"/>
        <v>51.480000000000004</v>
      </c>
      <c r="GT7" s="40">
        <f t="shared" si="84"/>
        <v>51.480000000000004</v>
      </c>
      <c r="GU7" s="40">
        <f t="shared" si="85"/>
        <v>2</v>
      </c>
      <c r="GV7" s="40">
        <f t="shared" si="86"/>
        <v>1.75</v>
      </c>
      <c r="GW7" s="40">
        <f t="shared" si="87"/>
        <v>6.05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9.1</v>
      </c>
      <c r="SW7" s="22">
        <f t="shared" si="219"/>
        <v>5.55</v>
      </c>
      <c r="SX7" s="22">
        <f t="shared" si="220"/>
        <v>9.1999999999999993</v>
      </c>
      <c r="SY7" s="22">
        <f t="shared" si="221"/>
        <v>9.2899999999999991</v>
      </c>
      <c r="SZ7" s="22">
        <f t="shared" si="222"/>
        <v>0</v>
      </c>
      <c r="TA7" s="22">
        <f t="shared" si="223"/>
        <v>12.5</v>
      </c>
      <c r="TB7" s="22">
        <f t="shared" si="224"/>
        <v>9.1999999999999993</v>
      </c>
      <c r="TC7" s="22">
        <f t="shared" si="225"/>
        <v>14.399999999999999</v>
      </c>
      <c r="TD7" s="22">
        <f t="shared" si="226"/>
        <v>15.324999999999999</v>
      </c>
      <c r="TE7" s="22">
        <f t="shared" si="227"/>
        <v>0.4</v>
      </c>
      <c r="TF7" s="22">
        <f t="shared" si="228"/>
        <v>7.4</v>
      </c>
      <c r="TG7" s="22">
        <f t="shared" si="229"/>
        <v>4.6500000000000004</v>
      </c>
      <c r="TH7" s="22">
        <f t="shared" si="230"/>
        <v>7.45</v>
      </c>
      <c r="TI7" s="22">
        <f t="shared" si="231"/>
        <v>7.7050000000000001</v>
      </c>
      <c r="TJ7" s="22">
        <f t="shared" si="232"/>
        <v>0</v>
      </c>
      <c r="TK7" s="27" t="s">
        <v>46</v>
      </c>
      <c r="TL7" s="40">
        <f t="shared" si="233"/>
        <v>9.1999999999999993</v>
      </c>
      <c r="TM7" s="40">
        <f t="shared" si="234"/>
        <v>9.2899999999999991</v>
      </c>
      <c r="TN7" s="40">
        <f t="shared" si="235"/>
        <v>33.14</v>
      </c>
      <c r="TO7" s="40">
        <f t="shared" si="236"/>
        <v>14.399999999999999</v>
      </c>
      <c r="TP7" s="40">
        <f t="shared" si="237"/>
        <v>15.324999999999999</v>
      </c>
      <c r="TQ7" s="40">
        <f t="shared" si="238"/>
        <v>51.024999999999999</v>
      </c>
      <c r="TR7" s="40">
        <f t="shared" si="239"/>
        <v>51.024999999999999</v>
      </c>
      <c r="TS7" s="40">
        <f t="shared" si="240"/>
        <v>7.45</v>
      </c>
      <c r="TT7" s="40">
        <f t="shared" si="241"/>
        <v>7.7050000000000001</v>
      </c>
      <c r="TU7" s="40">
        <f t="shared" si="242"/>
        <v>27.204999999999998</v>
      </c>
      <c r="TV7" s="40">
        <f t="shared" si="243"/>
        <v>78.22999999999999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t="str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/>
      </c>
      <c r="C8" s="5" t="s">
        <v>161</v>
      </c>
      <c r="D8" s="4" t="s">
        <v>6</v>
      </c>
      <c r="E8" s="4">
        <v>2008</v>
      </c>
      <c r="F8" s="9">
        <f t="shared" si="0"/>
        <v>193.33001933300557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55.58</v>
      </c>
      <c r="M8" s="8" t="str">
        <f t="shared" si="5"/>
        <v>2025 Nationals</v>
      </c>
      <c r="N8" s="8">
        <f>IF(COUNT(AQ8,AT8,BR8,BU8,CS8,CV8)&gt;1,LARGE((AQ8,AT8,BR8,BU8,CS8,CV8),2),0)</f>
        <v>50.71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54.57</v>
      </c>
      <c r="Q8" s="8" t="str">
        <f t="shared" si="7"/>
        <v>2025 Nationals</v>
      </c>
      <c r="R8" s="8">
        <f t="shared" si="8"/>
        <v>15.9</v>
      </c>
      <c r="S8" s="8" t="str">
        <f t="shared" si="9"/>
        <v>2025 Nationals</v>
      </c>
      <c r="T8" s="8">
        <f t="shared" si="10"/>
        <v>16.57</v>
      </c>
      <c r="U8" s="8" t="str">
        <f t="shared" si="11"/>
        <v>2024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18</v>
      </c>
      <c r="Z8" s="22">
        <v>9.4</v>
      </c>
      <c r="AA8" s="22">
        <v>0</v>
      </c>
      <c r="AB8" s="22">
        <v>16.57</v>
      </c>
      <c r="AC8" s="22">
        <v>0</v>
      </c>
      <c r="AD8" s="22">
        <v>13.5</v>
      </c>
      <c r="AE8" s="22">
        <v>8.5</v>
      </c>
      <c r="AF8" s="22">
        <v>12.8</v>
      </c>
      <c r="AG8" s="22">
        <v>14.32</v>
      </c>
      <c r="AH8" s="22">
        <v>0</v>
      </c>
      <c r="AI8" s="22">
        <v>14.7</v>
      </c>
      <c r="AJ8" s="22">
        <v>8.8000000000000007</v>
      </c>
      <c r="AK8" s="22">
        <v>14.4</v>
      </c>
      <c r="AL8" s="22">
        <v>15.99</v>
      </c>
      <c r="AM8" s="22">
        <v>0</v>
      </c>
      <c r="AN8" s="27"/>
      <c r="AO8" s="38" t="str">
        <f t="shared" si="15"/>
        <v/>
      </c>
      <c r="AP8" s="38">
        <f t="shared" si="16"/>
        <v>16.57</v>
      </c>
      <c r="AQ8" s="40">
        <f t="shared" si="17"/>
        <v>43.97</v>
      </c>
      <c r="AR8" s="40">
        <f t="shared" si="18"/>
        <v>12.8</v>
      </c>
      <c r="AS8" s="40">
        <f t="shared" si="19"/>
        <v>14.32</v>
      </c>
      <c r="AT8" s="40">
        <f t="shared" si="20"/>
        <v>49.12</v>
      </c>
      <c r="AU8" s="40">
        <f t="shared" si="21"/>
        <v>49.12</v>
      </c>
      <c r="AV8" s="40">
        <f t="shared" si="22"/>
        <v>14.4</v>
      </c>
      <c r="AW8" s="40">
        <f t="shared" si="23"/>
        <v>15.99</v>
      </c>
      <c r="AX8" s="40">
        <f t="shared" si="24"/>
        <v>53.89</v>
      </c>
      <c r="AY8" s="40">
        <f t="shared" si="25"/>
        <v>103.00999999999999</v>
      </c>
      <c r="AZ8" s="26">
        <v>14</v>
      </c>
      <c r="BA8" s="26">
        <v>9.1999999999999993</v>
      </c>
      <c r="BB8" s="26">
        <v>13.4</v>
      </c>
      <c r="BC8" s="26">
        <v>15.21</v>
      </c>
      <c r="BD8" s="26">
        <v>1.1000000000000001</v>
      </c>
      <c r="BE8" s="26">
        <v>4.7</v>
      </c>
      <c r="BF8" s="26">
        <v>3</v>
      </c>
      <c r="BG8" s="26">
        <v>5</v>
      </c>
      <c r="BH8" s="26">
        <v>5.03</v>
      </c>
      <c r="BI8" s="26">
        <v>0</v>
      </c>
      <c r="BJ8" s="26">
        <v>7.6</v>
      </c>
      <c r="BK8" s="26">
        <v>5.3</v>
      </c>
      <c r="BL8" s="26">
        <v>6.9</v>
      </c>
      <c r="BM8" s="26">
        <v>9.18</v>
      </c>
      <c r="BN8" s="26">
        <v>0</v>
      </c>
      <c r="BO8" s="28"/>
      <c r="BP8" s="39">
        <f t="shared" si="26"/>
        <v>13.4</v>
      </c>
      <c r="BQ8" s="39">
        <f t="shared" si="27"/>
        <v>15.21</v>
      </c>
      <c r="BR8" s="11">
        <f t="shared" si="28"/>
        <v>50.71</v>
      </c>
      <c r="BS8" s="11">
        <f t="shared" si="29"/>
        <v>5</v>
      </c>
      <c r="BT8" s="11">
        <f t="shared" si="30"/>
        <v>5.03</v>
      </c>
      <c r="BU8" s="11">
        <f t="shared" si="31"/>
        <v>17.73</v>
      </c>
      <c r="BV8" s="11">
        <f t="shared" si="32"/>
        <v>50.71</v>
      </c>
      <c r="BW8" s="11">
        <f t="shared" si="33"/>
        <v>6.9</v>
      </c>
      <c r="BX8" s="11">
        <f t="shared" si="34"/>
        <v>9.18</v>
      </c>
      <c r="BY8" s="11">
        <f t="shared" si="35"/>
        <v>28.979999999999997</v>
      </c>
      <c r="BZ8" s="11">
        <f t="shared" si="36"/>
        <v>79.69</v>
      </c>
      <c r="CA8" s="22">
        <v>5.7</v>
      </c>
      <c r="CB8" s="22">
        <v>3.7</v>
      </c>
      <c r="CC8" s="22">
        <v>6.9</v>
      </c>
      <c r="CD8" s="22">
        <v>6.48</v>
      </c>
      <c r="CE8" s="22">
        <v>0</v>
      </c>
      <c r="CF8" s="22">
        <v>14.7</v>
      </c>
      <c r="CG8" s="22">
        <v>9.3000000000000007</v>
      </c>
      <c r="CH8" s="22">
        <v>15.9</v>
      </c>
      <c r="CI8" s="22">
        <v>15.68</v>
      </c>
      <c r="CJ8" s="22">
        <v>0</v>
      </c>
      <c r="CK8" s="22">
        <v>15.3</v>
      </c>
      <c r="CL8" s="22">
        <v>9.1999999999999993</v>
      </c>
      <c r="CM8" s="22">
        <v>14.9</v>
      </c>
      <c r="CN8" s="22">
        <v>15.17</v>
      </c>
      <c r="CO8" s="22">
        <v>0</v>
      </c>
      <c r="CP8" s="27"/>
      <c r="CQ8" s="38">
        <f t="shared" si="37"/>
        <v>6.9</v>
      </c>
      <c r="CR8" s="38">
        <f t="shared" si="38"/>
        <v>6.48</v>
      </c>
      <c r="CS8" s="40">
        <f t="shared" si="39"/>
        <v>22.78</v>
      </c>
      <c r="CT8" s="40">
        <f t="shared" si="40"/>
        <v>15.9</v>
      </c>
      <c r="CU8" s="40">
        <f t="shared" si="41"/>
        <v>15.68</v>
      </c>
      <c r="CV8" s="40">
        <f t="shared" si="42"/>
        <v>55.58</v>
      </c>
      <c r="CW8" s="40">
        <f t="shared" si="43"/>
        <v>55.58</v>
      </c>
      <c r="CX8" s="40">
        <f t="shared" si="44"/>
        <v>14.9</v>
      </c>
      <c r="CY8" s="40">
        <f t="shared" si="45"/>
        <v>15.17</v>
      </c>
      <c r="CZ8" s="40">
        <f t="shared" si="46"/>
        <v>54.57</v>
      </c>
      <c r="DA8" s="40">
        <f t="shared" si="47"/>
        <v>110.15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9.85</v>
      </c>
      <c r="SW8" s="22">
        <f t="shared" si="219"/>
        <v>6.4499999999999993</v>
      </c>
      <c r="SX8" s="22">
        <f t="shared" si="220"/>
        <v>10.15</v>
      </c>
      <c r="SY8" s="22">
        <f t="shared" si="221"/>
        <v>10.845000000000001</v>
      </c>
      <c r="SZ8" s="22">
        <f t="shared" si="222"/>
        <v>0.55000000000000004</v>
      </c>
      <c r="TA8" s="22">
        <f t="shared" si="223"/>
        <v>9.6999999999999993</v>
      </c>
      <c r="TB8" s="22">
        <f t="shared" si="224"/>
        <v>6.15</v>
      </c>
      <c r="TC8" s="22">
        <f t="shared" si="225"/>
        <v>10.45</v>
      </c>
      <c r="TD8" s="22">
        <f t="shared" si="226"/>
        <v>10.355</v>
      </c>
      <c r="TE8" s="22">
        <f t="shared" si="227"/>
        <v>0</v>
      </c>
      <c r="TF8" s="22">
        <f t="shared" si="228"/>
        <v>11.45</v>
      </c>
      <c r="TG8" s="22">
        <f t="shared" si="229"/>
        <v>7.25</v>
      </c>
      <c r="TH8" s="22">
        <f t="shared" si="230"/>
        <v>10.9</v>
      </c>
      <c r="TI8" s="22">
        <f t="shared" si="231"/>
        <v>12.175000000000001</v>
      </c>
      <c r="TJ8" s="22">
        <f t="shared" si="232"/>
        <v>0</v>
      </c>
      <c r="TK8" s="27" t="s">
        <v>46</v>
      </c>
      <c r="TL8" s="40">
        <f t="shared" si="233"/>
        <v>10.15</v>
      </c>
      <c r="TM8" s="40">
        <f t="shared" si="234"/>
        <v>10.845000000000001</v>
      </c>
      <c r="TN8" s="40">
        <f t="shared" si="235"/>
        <v>36.744999999999997</v>
      </c>
      <c r="TO8" s="40">
        <f t="shared" si="236"/>
        <v>10.45</v>
      </c>
      <c r="TP8" s="40">
        <f t="shared" si="237"/>
        <v>10.355</v>
      </c>
      <c r="TQ8" s="40">
        <f t="shared" si="238"/>
        <v>36.655000000000001</v>
      </c>
      <c r="TR8" s="40">
        <f t="shared" si="239"/>
        <v>36.744999999999997</v>
      </c>
      <c r="TS8" s="40">
        <f t="shared" si="240"/>
        <v>10.9</v>
      </c>
      <c r="TT8" s="40">
        <f t="shared" si="241"/>
        <v>12.175000000000001</v>
      </c>
      <c r="TU8" s="40">
        <f t="shared" si="242"/>
        <v>41.775000000000006</v>
      </c>
      <c r="TV8" s="40">
        <f t="shared" si="243"/>
        <v>78.52000000000001</v>
      </c>
    </row>
    <row r="9" spans="1:542" x14ac:dyDescent="0.2">
      <c r="A9" s="4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>6</v>
      </c>
      <c r="B9" s="4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>3</v>
      </c>
      <c r="C9" s="5" t="s">
        <v>94</v>
      </c>
      <c r="D9" s="4" t="s">
        <v>3</v>
      </c>
      <c r="E9" s="4">
        <v>2005</v>
      </c>
      <c r="F9" s="9">
        <f t="shared" si="0"/>
        <v>191.24001912400539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53.7</v>
      </c>
      <c r="M9" s="8" t="str">
        <f t="shared" si="5"/>
        <v>2024 3rd Domestic Trial</v>
      </c>
      <c r="N9" s="8">
        <f>IF(COUNT(AQ9,AT9,BR9,BU9,CS9,CV9)&gt;1,LARGE((AQ9,AT9,BR9,BU9,CS9,CV9),2),0)</f>
        <v>52.44</v>
      </c>
      <c r="O9" s="8" t="str">
        <f t="shared" si="6"/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 t="shared" si="7"/>
        <v>2024 3rd Domestic Trial</v>
      </c>
      <c r="R9" s="8">
        <f t="shared" si="8"/>
        <v>14.1</v>
      </c>
      <c r="S9" s="8" t="str">
        <f t="shared" si="9"/>
        <v>2025 Nationals</v>
      </c>
      <c r="T9" s="8">
        <f t="shared" si="10"/>
        <v>16.399999999999999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14.9</v>
      </c>
      <c r="Z9" s="22">
        <v>9.1999999999999993</v>
      </c>
      <c r="AA9" s="22">
        <v>12.2</v>
      </c>
      <c r="AB9" s="22">
        <v>16.14</v>
      </c>
      <c r="AC9" s="22">
        <v>0</v>
      </c>
      <c r="AD9" s="22">
        <v>14.4</v>
      </c>
      <c r="AE9" s="22">
        <v>9.3000000000000007</v>
      </c>
      <c r="AF9" s="22">
        <v>13.7</v>
      </c>
      <c r="AG9" s="22">
        <v>16.3</v>
      </c>
      <c r="AH9" s="22">
        <v>0</v>
      </c>
      <c r="AI9" s="22">
        <v>15.2</v>
      </c>
      <c r="AJ9" s="22">
        <v>9.3000000000000007</v>
      </c>
      <c r="AK9" s="22">
        <v>13.7</v>
      </c>
      <c r="AL9" s="22">
        <v>16.399999999999999</v>
      </c>
      <c r="AM9" s="22">
        <v>0</v>
      </c>
      <c r="AN9" s="27"/>
      <c r="AO9" s="38">
        <f t="shared" si="15"/>
        <v>12.2</v>
      </c>
      <c r="AP9" s="38">
        <f t="shared" si="16"/>
        <v>16.14</v>
      </c>
      <c r="AQ9" s="40">
        <f t="shared" si="17"/>
        <v>52.44</v>
      </c>
      <c r="AR9" s="40">
        <f t="shared" si="18"/>
        <v>13.7</v>
      </c>
      <c r="AS9" s="40">
        <f t="shared" si="19"/>
        <v>16.3</v>
      </c>
      <c r="AT9" s="40">
        <f t="shared" si="20"/>
        <v>53.7</v>
      </c>
      <c r="AU9" s="40">
        <f t="shared" si="21"/>
        <v>53.7</v>
      </c>
      <c r="AV9" s="40">
        <f t="shared" si="22"/>
        <v>13.7</v>
      </c>
      <c r="AW9" s="40">
        <f t="shared" si="23"/>
        <v>16.399999999999999</v>
      </c>
      <c r="AX9" s="40">
        <f t="shared" si="24"/>
        <v>54.6</v>
      </c>
      <c r="AY9" s="40">
        <f t="shared" si="25"/>
        <v>108.30000000000001</v>
      </c>
      <c r="AZ9" s="26">
        <v>13.1</v>
      </c>
      <c r="BA9" s="26">
        <v>9</v>
      </c>
      <c r="BB9" s="26">
        <v>12.5</v>
      </c>
      <c r="BC9" s="26">
        <v>15.37</v>
      </c>
      <c r="BD9" s="26">
        <v>2.4</v>
      </c>
      <c r="BE9" s="26">
        <v>14</v>
      </c>
      <c r="BF9" s="26">
        <v>8.9</v>
      </c>
      <c r="BG9" s="26">
        <v>13.9</v>
      </c>
      <c r="BH9" s="26">
        <v>15.55</v>
      </c>
      <c r="BI9" s="26">
        <v>0.6</v>
      </c>
      <c r="BJ9" s="26">
        <v>1.6</v>
      </c>
      <c r="BK9" s="26">
        <v>1</v>
      </c>
      <c r="BL9" s="26">
        <v>2</v>
      </c>
      <c r="BM9" s="26">
        <v>1.72</v>
      </c>
      <c r="BN9" s="26">
        <v>0</v>
      </c>
      <c r="BO9" s="28"/>
      <c r="BP9" s="39">
        <f t="shared" si="26"/>
        <v>12.5</v>
      </c>
      <c r="BQ9" s="39">
        <f t="shared" si="27"/>
        <v>15.37</v>
      </c>
      <c r="BR9" s="11">
        <f t="shared" si="28"/>
        <v>47.57</v>
      </c>
      <c r="BS9" s="11">
        <f t="shared" si="29"/>
        <v>13.9</v>
      </c>
      <c r="BT9" s="11">
        <f t="shared" si="30"/>
        <v>15.55</v>
      </c>
      <c r="BU9" s="11">
        <f t="shared" si="31"/>
        <v>51.749999999999993</v>
      </c>
      <c r="BV9" s="11">
        <f t="shared" si="32"/>
        <v>51.749999999999993</v>
      </c>
      <c r="BW9" s="11">
        <f t="shared" si="33"/>
        <v>2</v>
      </c>
      <c r="BX9" s="11">
        <f t="shared" si="34"/>
        <v>1.72</v>
      </c>
      <c r="BY9" s="11">
        <f t="shared" si="35"/>
        <v>6.3199999999999994</v>
      </c>
      <c r="BZ9" s="11">
        <f t="shared" si="36"/>
        <v>58.069999999999993</v>
      </c>
      <c r="CA9" s="22">
        <v>12.8</v>
      </c>
      <c r="CB9" s="22">
        <v>9.1</v>
      </c>
      <c r="CC9" s="22">
        <v>14.1</v>
      </c>
      <c r="CD9" s="22">
        <v>15.41</v>
      </c>
      <c r="CE9" s="22">
        <v>0.4</v>
      </c>
      <c r="CF9" s="22">
        <v>12.3</v>
      </c>
      <c r="CG9" s="22">
        <v>9.5</v>
      </c>
      <c r="CH9" s="22">
        <v>11.1</v>
      </c>
      <c r="CI9" s="22">
        <v>15.73</v>
      </c>
      <c r="CJ9" s="22">
        <v>3.4</v>
      </c>
      <c r="CK9" s="22">
        <v>14.3</v>
      </c>
      <c r="CL9" s="22">
        <v>9</v>
      </c>
      <c r="CM9" s="22">
        <v>13.1</v>
      </c>
      <c r="CN9" s="22">
        <v>15.58</v>
      </c>
      <c r="CO9" s="22">
        <v>1.4</v>
      </c>
      <c r="CP9" s="27"/>
      <c r="CQ9" s="38">
        <f t="shared" si="37"/>
        <v>14.1</v>
      </c>
      <c r="CR9" s="38">
        <f t="shared" si="38"/>
        <v>15.41</v>
      </c>
      <c r="CS9" s="40">
        <f t="shared" si="39"/>
        <v>51.01</v>
      </c>
      <c r="CT9" s="40">
        <f t="shared" si="40"/>
        <v>11.1</v>
      </c>
      <c r="CU9" s="40">
        <f t="shared" si="41"/>
        <v>15.73</v>
      </c>
      <c r="CV9" s="40">
        <f t="shared" si="42"/>
        <v>45.23</v>
      </c>
      <c r="CW9" s="40">
        <f t="shared" si="43"/>
        <v>51.01</v>
      </c>
      <c r="CX9" s="40">
        <f t="shared" si="44"/>
        <v>13.1</v>
      </c>
      <c r="CY9" s="40">
        <f t="shared" si="45"/>
        <v>15.58</v>
      </c>
      <c r="CZ9" s="40">
        <f t="shared" si="46"/>
        <v>50.58</v>
      </c>
      <c r="DA9" s="40">
        <f t="shared" si="47"/>
        <v>101.59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>
        <v>14</v>
      </c>
      <c r="FU9" s="17">
        <v>9.5</v>
      </c>
      <c r="FV9" s="17">
        <v>12.9</v>
      </c>
      <c r="FW9" s="17">
        <v>15.91</v>
      </c>
      <c r="FX9" s="17">
        <v>0</v>
      </c>
      <c r="FY9" s="17">
        <v>12.7</v>
      </c>
      <c r="FZ9" s="17">
        <v>9.4</v>
      </c>
      <c r="GA9" s="17">
        <v>12.9</v>
      </c>
      <c r="GB9" s="17">
        <v>15.75</v>
      </c>
      <c r="GC9" s="17">
        <v>0</v>
      </c>
      <c r="GD9" s="17">
        <v>13.6</v>
      </c>
      <c r="GE9" s="17">
        <v>9.6999999999999993</v>
      </c>
      <c r="GF9" s="17">
        <v>12.9</v>
      </c>
      <c r="GG9" s="17">
        <v>16.010000000000002</v>
      </c>
      <c r="GH9" s="17">
        <v>0</v>
      </c>
      <c r="GI9" s="17"/>
      <c r="GJ9" s="17"/>
      <c r="GK9" s="17"/>
      <c r="GL9" s="17"/>
      <c r="GM9" s="17"/>
      <c r="GN9" s="40">
        <f t="shared" si="78"/>
        <v>12.9</v>
      </c>
      <c r="GO9" s="40">
        <f t="shared" si="79"/>
        <v>15.91</v>
      </c>
      <c r="GP9" s="40">
        <f t="shared" si="80"/>
        <v>52.31</v>
      </c>
      <c r="GQ9" s="40">
        <f t="shared" si="81"/>
        <v>12.9</v>
      </c>
      <c r="GR9" s="40">
        <f t="shared" si="82"/>
        <v>15.75</v>
      </c>
      <c r="GS9" s="40">
        <f t="shared" si="83"/>
        <v>50.75</v>
      </c>
      <c r="GT9" s="40">
        <f t="shared" si="84"/>
        <v>52.31</v>
      </c>
      <c r="GU9" s="40">
        <f t="shared" si="85"/>
        <v>12.9</v>
      </c>
      <c r="GV9" s="40">
        <f t="shared" si="86"/>
        <v>16.010000000000002</v>
      </c>
      <c r="GW9" s="40">
        <f t="shared" si="87"/>
        <v>52.209999999999994</v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>
        <f t="shared" si="91"/>
        <v>104.52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12.95</v>
      </c>
      <c r="SW9" s="22">
        <f t="shared" si="219"/>
        <v>9.0500000000000007</v>
      </c>
      <c r="SX9" s="22">
        <f t="shared" si="220"/>
        <v>13.3</v>
      </c>
      <c r="SY9" s="22">
        <f t="shared" si="221"/>
        <v>15.39</v>
      </c>
      <c r="SZ9" s="22">
        <f t="shared" si="222"/>
        <v>1.4</v>
      </c>
      <c r="TA9" s="22">
        <f t="shared" si="223"/>
        <v>13.15</v>
      </c>
      <c r="TB9" s="22">
        <f t="shared" si="224"/>
        <v>9.1999999999999993</v>
      </c>
      <c r="TC9" s="22">
        <f t="shared" si="225"/>
        <v>12.5</v>
      </c>
      <c r="TD9" s="22">
        <f t="shared" si="226"/>
        <v>15.64</v>
      </c>
      <c r="TE9" s="22">
        <f t="shared" si="227"/>
        <v>2</v>
      </c>
      <c r="TF9" s="22">
        <f t="shared" si="228"/>
        <v>7.95</v>
      </c>
      <c r="TG9" s="22">
        <f t="shared" si="229"/>
        <v>5</v>
      </c>
      <c r="TH9" s="22">
        <f t="shared" si="230"/>
        <v>7.55</v>
      </c>
      <c r="TI9" s="22">
        <f t="shared" si="231"/>
        <v>8.65</v>
      </c>
      <c r="TJ9" s="22">
        <f t="shared" si="232"/>
        <v>0.7</v>
      </c>
      <c r="TK9" s="27" t="s">
        <v>46</v>
      </c>
      <c r="TL9" s="40">
        <f t="shared" si="233"/>
        <v>13.3</v>
      </c>
      <c r="TM9" s="40">
        <f t="shared" si="234"/>
        <v>15.39</v>
      </c>
      <c r="TN9" s="40">
        <f t="shared" si="235"/>
        <v>49.29</v>
      </c>
      <c r="TO9" s="40">
        <f t="shared" si="236"/>
        <v>12.5</v>
      </c>
      <c r="TP9" s="40">
        <f t="shared" si="237"/>
        <v>15.64</v>
      </c>
      <c r="TQ9" s="40">
        <f t="shared" si="238"/>
        <v>48.49</v>
      </c>
      <c r="TR9" s="40">
        <f t="shared" si="239"/>
        <v>49.29</v>
      </c>
      <c r="TS9" s="40">
        <f t="shared" si="240"/>
        <v>7.55</v>
      </c>
      <c r="TT9" s="40">
        <f t="shared" si="241"/>
        <v>8.65</v>
      </c>
      <c r="TU9" s="40">
        <f t="shared" si="242"/>
        <v>28.45</v>
      </c>
      <c r="TV9" s="40">
        <f t="shared" si="243"/>
        <v>77.739999999999995</v>
      </c>
    </row>
    <row r="10" spans="1:542" x14ac:dyDescent="0.2">
      <c r="A10" s="4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>7</v>
      </c>
      <c r="B10" s="4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>4</v>
      </c>
      <c r="C10" s="5" t="s">
        <v>136</v>
      </c>
      <c r="D10" s="4" t="s">
        <v>6</v>
      </c>
      <c r="E10" s="4">
        <v>2005</v>
      </c>
      <c r="F10" s="9">
        <f t="shared" si="0"/>
        <v>190.40001904000547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54.440000000000005</v>
      </c>
      <c r="M10" s="8" t="str">
        <f t="shared" si="5"/>
        <v>2025 Elite Canada</v>
      </c>
      <c r="N10" s="8">
        <f>IF(COUNT(AQ10,AT10,BR10,BU10,CS10,CV10)&gt;1,LARGE((AQ10,AT10,BR10,BU10,CS10,CV10),2),0)</f>
        <v>53.64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52.28</v>
      </c>
      <c r="Q10" s="8" t="str">
        <f t="shared" si="7"/>
        <v>2025 Nationals</v>
      </c>
      <c r="R10" s="8">
        <f t="shared" si="8"/>
        <v>14</v>
      </c>
      <c r="S10" s="8" t="str">
        <f t="shared" si="9"/>
        <v>2025 Nationals</v>
      </c>
      <c r="T10" s="8">
        <f t="shared" si="10"/>
        <v>16.04</v>
      </c>
      <c r="U10" s="8" t="str">
        <f t="shared" si="11"/>
        <v>2024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14.8</v>
      </c>
      <c r="Z10" s="22">
        <v>9.3000000000000007</v>
      </c>
      <c r="AA10" s="22">
        <v>13.5</v>
      </c>
      <c r="AB10" s="22">
        <v>16.04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>
        <f t="shared" si="15"/>
        <v>13.5</v>
      </c>
      <c r="AP10" s="38">
        <f t="shared" si="16"/>
        <v>16.04</v>
      </c>
      <c r="AQ10" s="40">
        <f t="shared" si="17"/>
        <v>53.64</v>
      </c>
      <c r="AR10" s="40" t="str">
        <f t="shared" si="18"/>
        <v/>
      </c>
      <c r="AS10" s="40" t="str">
        <f t="shared" si="19"/>
        <v/>
      </c>
      <c r="AT10" s="40" t="str">
        <f t="shared" si="20"/>
        <v/>
      </c>
      <c r="AU10" s="40">
        <f t="shared" si="21"/>
        <v>53.64</v>
      </c>
      <c r="AV10" s="40" t="str">
        <f t="shared" si="22"/>
        <v/>
      </c>
      <c r="AW10" s="40" t="str">
        <f t="shared" si="23"/>
        <v/>
      </c>
      <c r="AX10" s="40" t="str">
        <f t="shared" si="24"/>
        <v/>
      </c>
      <c r="AY10" s="40">
        <f t="shared" si="25"/>
        <v>53.64</v>
      </c>
      <c r="AZ10" s="26">
        <v>12.5</v>
      </c>
      <c r="BA10" s="26">
        <v>9.4</v>
      </c>
      <c r="BB10" s="26">
        <v>13.4</v>
      </c>
      <c r="BC10" s="26">
        <v>15.26</v>
      </c>
      <c r="BD10" s="26">
        <v>0</v>
      </c>
      <c r="BE10" s="26">
        <v>15.4</v>
      </c>
      <c r="BF10" s="26">
        <v>9.6999999999999993</v>
      </c>
      <c r="BG10" s="26">
        <v>13.8</v>
      </c>
      <c r="BH10" s="26">
        <v>15.54</v>
      </c>
      <c r="BI10" s="26">
        <v>0</v>
      </c>
      <c r="BJ10" s="26">
        <v>12.6</v>
      </c>
      <c r="BK10" s="26">
        <v>7.8</v>
      </c>
      <c r="BL10" s="26">
        <v>12.3</v>
      </c>
      <c r="BM10" s="26">
        <v>13.72</v>
      </c>
      <c r="BN10" s="26">
        <v>0</v>
      </c>
      <c r="BO10" s="28"/>
      <c r="BP10" s="39">
        <f t="shared" si="26"/>
        <v>13.4</v>
      </c>
      <c r="BQ10" s="39">
        <f t="shared" si="27"/>
        <v>15.26</v>
      </c>
      <c r="BR10" s="11">
        <f t="shared" si="28"/>
        <v>50.559999999999995</v>
      </c>
      <c r="BS10" s="11">
        <f t="shared" si="29"/>
        <v>13.8</v>
      </c>
      <c r="BT10" s="11">
        <f t="shared" si="30"/>
        <v>15.54</v>
      </c>
      <c r="BU10" s="11">
        <f t="shared" si="31"/>
        <v>54.440000000000005</v>
      </c>
      <c r="BV10" s="11">
        <f t="shared" si="32"/>
        <v>54.440000000000005</v>
      </c>
      <c r="BW10" s="11">
        <f t="shared" si="33"/>
        <v>12.3</v>
      </c>
      <c r="BX10" s="11">
        <f t="shared" si="34"/>
        <v>13.72</v>
      </c>
      <c r="BY10" s="11">
        <f t="shared" si="35"/>
        <v>46.42</v>
      </c>
      <c r="BZ10" s="11">
        <f t="shared" si="36"/>
        <v>100.86000000000001</v>
      </c>
      <c r="CA10" s="22">
        <v>13.3</v>
      </c>
      <c r="CB10" s="22">
        <v>9</v>
      </c>
      <c r="CC10" s="22">
        <v>14</v>
      </c>
      <c r="CD10" s="22">
        <v>15.31</v>
      </c>
      <c r="CE10" s="22">
        <v>0</v>
      </c>
      <c r="CF10" s="22">
        <v>13.4</v>
      </c>
      <c r="CG10" s="22">
        <v>8.1999999999999993</v>
      </c>
      <c r="CH10" s="22">
        <v>10.3</v>
      </c>
      <c r="CI10" s="22">
        <v>13.58</v>
      </c>
      <c r="CJ10" s="22">
        <v>0</v>
      </c>
      <c r="CK10" s="22">
        <v>13.9</v>
      </c>
      <c r="CL10" s="22">
        <v>9.1999999999999993</v>
      </c>
      <c r="CM10" s="22">
        <v>14</v>
      </c>
      <c r="CN10" s="22">
        <v>15.18</v>
      </c>
      <c r="CO10" s="22">
        <v>0</v>
      </c>
      <c r="CP10" s="27"/>
      <c r="CQ10" s="38">
        <f t="shared" si="37"/>
        <v>14</v>
      </c>
      <c r="CR10" s="38">
        <f t="shared" si="38"/>
        <v>15.31</v>
      </c>
      <c r="CS10" s="40">
        <f t="shared" si="39"/>
        <v>51.61</v>
      </c>
      <c r="CT10" s="40">
        <f t="shared" si="40"/>
        <v>10.3</v>
      </c>
      <c r="CU10" s="40">
        <f t="shared" si="41"/>
        <v>13.58</v>
      </c>
      <c r="CV10" s="40">
        <f t="shared" si="42"/>
        <v>45.480000000000004</v>
      </c>
      <c r="CW10" s="40">
        <f t="shared" si="43"/>
        <v>51.61</v>
      </c>
      <c r="CX10" s="40">
        <f t="shared" si="44"/>
        <v>14</v>
      </c>
      <c r="CY10" s="40">
        <f t="shared" si="45"/>
        <v>15.18</v>
      </c>
      <c r="CZ10" s="40">
        <f t="shared" si="46"/>
        <v>52.28</v>
      </c>
      <c r="DA10" s="40">
        <f t="shared" si="47"/>
        <v>103.89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12.9</v>
      </c>
      <c r="SW10" s="22">
        <f t="shared" si="219"/>
        <v>9.1999999999999993</v>
      </c>
      <c r="SX10" s="22">
        <f t="shared" si="220"/>
        <v>13.7</v>
      </c>
      <c r="SY10" s="22">
        <f t="shared" si="221"/>
        <v>15.285</v>
      </c>
      <c r="SZ10" s="22">
        <f t="shared" si="222"/>
        <v>0</v>
      </c>
      <c r="TA10" s="22">
        <f t="shared" si="223"/>
        <v>14.4</v>
      </c>
      <c r="TB10" s="22">
        <f t="shared" si="224"/>
        <v>8.9499999999999993</v>
      </c>
      <c r="TC10" s="22">
        <f t="shared" si="225"/>
        <v>12.05</v>
      </c>
      <c r="TD10" s="22">
        <f t="shared" si="226"/>
        <v>14.559999999999999</v>
      </c>
      <c r="TE10" s="22">
        <f t="shared" si="227"/>
        <v>0</v>
      </c>
      <c r="TF10" s="22">
        <f t="shared" si="228"/>
        <v>13.25</v>
      </c>
      <c r="TG10" s="22">
        <f t="shared" si="229"/>
        <v>8.5</v>
      </c>
      <c r="TH10" s="22">
        <f t="shared" si="230"/>
        <v>13.15</v>
      </c>
      <c r="TI10" s="22">
        <f t="shared" si="231"/>
        <v>14.45</v>
      </c>
      <c r="TJ10" s="22">
        <f t="shared" si="232"/>
        <v>0</v>
      </c>
      <c r="TK10" s="27" t="s">
        <v>46</v>
      </c>
      <c r="TL10" s="40">
        <f t="shared" si="233"/>
        <v>13.7</v>
      </c>
      <c r="TM10" s="40">
        <f t="shared" si="234"/>
        <v>15.285</v>
      </c>
      <c r="TN10" s="40">
        <f t="shared" si="235"/>
        <v>51.084999999999994</v>
      </c>
      <c r="TO10" s="40">
        <f t="shared" si="236"/>
        <v>12.05</v>
      </c>
      <c r="TP10" s="40">
        <f t="shared" si="237"/>
        <v>14.559999999999999</v>
      </c>
      <c r="TQ10" s="40">
        <f t="shared" si="238"/>
        <v>49.960000000000008</v>
      </c>
      <c r="TR10" s="40">
        <f t="shared" si="239"/>
        <v>51.084999999999994</v>
      </c>
      <c r="TS10" s="40">
        <f t="shared" si="240"/>
        <v>13.15</v>
      </c>
      <c r="TT10" s="40">
        <f t="shared" si="241"/>
        <v>14.45</v>
      </c>
      <c r="TU10" s="40">
        <f t="shared" si="242"/>
        <v>49.349999999999994</v>
      </c>
      <c r="TV10" s="40">
        <f t="shared" si="243"/>
        <v>100.43499999999999</v>
      </c>
    </row>
    <row r="11" spans="1:542" x14ac:dyDescent="0.2">
      <c r="A11" s="4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>8</v>
      </c>
      <c r="B11" s="4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>5</v>
      </c>
      <c r="C11" s="5" t="s">
        <v>152</v>
      </c>
      <c r="D11" s="4" t="s">
        <v>3</v>
      </c>
      <c r="E11" s="4">
        <v>2007</v>
      </c>
      <c r="F11" s="9">
        <f t="shared" si="0"/>
        <v>189.15001891500538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53.67</v>
      </c>
      <c r="M11" s="8" t="str">
        <f t="shared" si="5"/>
        <v>2024 3rd Domestic Trial</v>
      </c>
      <c r="N11" s="8">
        <f>IF(COUNT(AQ11,AT11,BR11,BU11,CS11,CV11)&gt;1,LARGE((AQ11,AT11,BR11,BU11,CS11,CV11),2),0)</f>
        <v>50.37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54.74</v>
      </c>
      <c r="Q11" s="8" t="str">
        <f t="shared" si="7"/>
        <v>2025 Elite Canada</v>
      </c>
      <c r="R11" s="8">
        <f t="shared" si="8"/>
        <v>15.1</v>
      </c>
      <c r="S11" s="8" t="str">
        <f t="shared" si="9"/>
        <v>2025 Elite Canada</v>
      </c>
      <c r="T11" s="8">
        <f t="shared" si="10"/>
        <v>15.27</v>
      </c>
      <c r="U11" s="8" t="str">
        <f t="shared" si="11"/>
        <v>2025 Elite Canada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15.6</v>
      </c>
      <c r="Z11" s="22">
        <v>9.1999999999999993</v>
      </c>
      <c r="AA11" s="22">
        <v>13.6</v>
      </c>
      <c r="AB11" s="22">
        <v>15.27</v>
      </c>
      <c r="AC11" s="22">
        <v>0</v>
      </c>
      <c r="AD11" s="22">
        <v>14.8</v>
      </c>
      <c r="AE11" s="22">
        <v>8.4</v>
      </c>
      <c r="AF11" s="22">
        <v>11.3</v>
      </c>
      <c r="AG11" s="22">
        <v>15.09</v>
      </c>
      <c r="AH11" s="22">
        <v>0</v>
      </c>
      <c r="AI11" s="22">
        <v>13.7</v>
      </c>
      <c r="AJ11" s="22">
        <v>8.1999999999999993</v>
      </c>
      <c r="AK11" s="22">
        <v>10.9</v>
      </c>
      <c r="AL11" s="22">
        <v>13.71</v>
      </c>
      <c r="AM11" s="22">
        <v>0</v>
      </c>
      <c r="AN11" s="27"/>
      <c r="AO11" s="38">
        <f t="shared" si="15"/>
        <v>13.6</v>
      </c>
      <c r="AP11" s="38">
        <f t="shared" si="16"/>
        <v>15.27</v>
      </c>
      <c r="AQ11" s="40">
        <f t="shared" si="17"/>
        <v>53.67</v>
      </c>
      <c r="AR11" s="40">
        <f t="shared" si="18"/>
        <v>11.3</v>
      </c>
      <c r="AS11" s="40">
        <f t="shared" si="19"/>
        <v>15.09</v>
      </c>
      <c r="AT11" s="40">
        <f t="shared" si="20"/>
        <v>49.59</v>
      </c>
      <c r="AU11" s="40">
        <f t="shared" si="21"/>
        <v>53.67</v>
      </c>
      <c r="AV11" s="40">
        <f t="shared" si="22"/>
        <v>10.9</v>
      </c>
      <c r="AW11" s="40">
        <f t="shared" si="23"/>
        <v>13.71</v>
      </c>
      <c r="AX11" s="40">
        <f t="shared" si="24"/>
        <v>46.51</v>
      </c>
      <c r="AY11" s="40">
        <f t="shared" si="25"/>
        <v>100.18</v>
      </c>
      <c r="AZ11" s="26">
        <v>12.2</v>
      </c>
      <c r="BA11" s="26">
        <v>8.4</v>
      </c>
      <c r="BB11" s="26">
        <v>12.8</v>
      </c>
      <c r="BC11" s="26">
        <v>13.33</v>
      </c>
      <c r="BD11" s="26">
        <v>0.2</v>
      </c>
      <c r="BE11" s="26">
        <v>15.2</v>
      </c>
      <c r="BF11" s="26">
        <v>9.1999999999999993</v>
      </c>
      <c r="BG11" s="26">
        <v>12.6</v>
      </c>
      <c r="BH11" s="26">
        <v>15.27</v>
      </c>
      <c r="BI11" s="26">
        <v>1.9</v>
      </c>
      <c r="BJ11" s="26">
        <v>15.3</v>
      </c>
      <c r="BK11" s="26">
        <v>9.1</v>
      </c>
      <c r="BL11" s="26">
        <v>15.1</v>
      </c>
      <c r="BM11" s="26">
        <v>15.24</v>
      </c>
      <c r="BN11" s="26">
        <v>0</v>
      </c>
      <c r="BO11" s="28"/>
      <c r="BP11" s="39">
        <f t="shared" si="26"/>
        <v>12.8</v>
      </c>
      <c r="BQ11" s="39">
        <f t="shared" si="27"/>
        <v>13.33</v>
      </c>
      <c r="BR11" s="11">
        <f t="shared" si="28"/>
        <v>46.53</v>
      </c>
      <c r="BS11" s="11">
        <f t="shared" si="29"/>
        <v>12.6</v>
      </c>
      <c r="BT11" s="11">
        <f t="shared" si="30"/>
        <v>15.27</v>
      </c>
      <c r="BU11" s="11">
        <f t="shared" si="31"/>
        <v>50.37</v>
      </c>
      <c r="BV11" s="11">
        <f t="shared" si="32"/>
        <v>50.37</v>
      </c>
      <c r="BW11" s="11">
        <f t="shared" si="33"/>
        <v>15.1</v>
      </c>
      <c r="BX11" s="11">
        <f t="shared" si="34"/>
        <v>15.24</v>
      </c>
      <c r="BY11" s="11">
        <f t="shared" si="35"/>
        <v>54.74</v>
      </c>
      <c r="BZ11" s="11">
        <f t="shared" si="36"/>
        <v>105.11</v>
      </c>
      <c r="CA11" s="22">
        <v>11.8</v>
      </c>
      <c r="CB11" s="22">
        <v>8.6999999999999993</v>
      </c>
      <c r="CC11" s="22">
        <v>10.5</v>
      </c>
      <c r="CD11" s="22">
        <v>15.53</v>
      </c>
      <c r="CE11" s="22">
        <v>4</v>
      </c>
      <c r="CF11" s="22">
        <v>10.4</v>
      </c>
      <c r="CG11" s="22">
        <v>8.4</v>
      </c>
      <c r="CH11" s="22">
        <v>9.6999999999999993</v>
      </c>
      <c r="CI11" s="22">
        <v>13.32</v>
      </c>
      <c r="CJ11" s="22">
        <v>0</v>
      </c>
      <c r="CK11" s="22"/>
      <c r="CL11" s="22"/>
      <c r="CM11" s="22"/>
      <c r="CN11" s="22"/>
      <c r="CO11" s="22"/>
      <c r="CP11" s="27"/>
      <c r="CQ11" s="38">
        <f t="shared" si="37"/>
        <v>10.5</v>
      </c>
      <c r="CR11" s="38">
        <f t="shared" si="38"/>
        <v>15.53</v>
      </c>
      <c r="CS11" s="40">
        <f t="shared" si="39"/>
        <v>42.53</v>
      </c>
      <c r="CT11" s="40">
        <f t="shared" si="40"/>
        <v>9.6999999999999993</v>
      </c>
      <c r="CU11" s="40">
        <f t="shared" si="41"/>
        <v>13.32</v>
      </c>
      <c r="CV11" s="40">
        <f t="shared" si="42"/>
        <v>41.82</v>
      </c>
      <c r="CW11" s="40">
        <f t="shared" si="43"/>
        <v>42.53</v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>
        <f t="shared" si="47"/>
        <v>42.53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>
        <v>1.5</v>
      </c>
      <c r="FU11" s="17">
        <v>1</v>
      </c>
      <c r="FV11" s="17">
        <v>2</v>
      </c>
      <c r="FW11" s="17">
        <v>1.65</v>
      </c>
      <c r="FX11" s="17">
        <v>0</v>
      </c>
      <c r="FY11" s="17">
        <v>2.4</v>
      </c>
      <c r="FZ11" s="17">
        <v>1.6</v>
      </c>
      <c r="GA11" s="17">
        <v>3.5</v>
      </c>
      <c r="GB11" s="17">
        <v>3.19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 t="shared" si="78"/>
        <v>2</v>
      </c>
      <c r="GO11" s="40">
        <f t="shared" si="79"/>
        <v>1.65</v>
      </c>
      <c r="GP11" s="40">
        <f t="shared" si="80"/>
        <v>6.15</v>
      </c>
      <c r="GQ11" s="40">
        <f t="shared" si="81"/>
        <v>3.5</v>
      </c>
      <c r="GR11" s="40">
        <f t="shared" si="82"/>
        <v>3.19</v>
      </c>
      <c r="GS11" s="40">
        <f t="shared" si="83"/>
        <v>10.69</v>
      </c>
      <c r="GT11" s="40">
        <f t="shared" si="84"/>
        <v>10.69</v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>
        <f t="shared" si="91"/>
        <v>10.69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12</v>
      </c>
      <c r="SW11" s="22">
        <f t="shared" si="219"/>
        <v>8.5500000000000007</v>
      </c>
      <c r="SX11" s="22">
        <f t="shared" si="220"/>
        <v>11.65</v>
      </c>
      <c r="SY11" s="22">
        <f t="shared" si="221"/>
        <v>14.43</v>
      </c>
      <c r="SZ11" s="22">
        <f t="shared" si="222"/>
        <v>2.1</v>
      </c>
      <c r="TA11" s="22">
        <f t="shared" si="223"/>
        <v>12.8</v>
      </c>
      <c r="TB11" s="22">
        <f t="shared" si="224"/>
        <v>8.8000000000000007</v>
      </c>
      <c r="TC11" s="22">
        <f t="shared" si="225"/>
        <v>11.149999999999999</v>
      </c>
      <c r="TD11" s="22">
        <f t="shared" si="226"/>
        <v>14.295</v>
      </c>
      <c r="TE11" s="22">
        <f t="shared" si="227"/>
        <v>0.95</v>
      </c>
      <c r="TF11" s="22">
        <f t="shared" si="228"/>
        <v>7.65</v>
      </c>
      <c r="TG11" s="22">
        <f t="shared" si="229"/>
        <v>4.55</v>
      </c>
      <c r="TH11" s="22">
        <f t="shared" si="230"/>
        <v>7.55</v>
      </c>
      <c r="TI11" s="22">
        <f t="shared" si="231"/>
        <v>7.62</v>
      </c>
      <c r="TJ11" s="22">
        <f t="shared" si="232"/>
        <v>0</v>
      </c>
      <c r="TK11" s="27" t="s">
        <v>46</v>
      </c>
      <c r="TL11" s="40">
        <f t="shared" si="233"/>
        <v>11.65</v>
      </c>
      <c r="TM11" s="40">
        <f t="shared" si="234"/>
        <v>14.43</v>
      </c>
      <c r="TN11" s="40">
        <f t="shared" si="235"/>
        <v>44.53</v>
      </c>
      <c r="TO11" s="40">
        <f t="shared" si="236"/>
        <v>11.149999999999999</v>
      </c>
      <c r="TP11" s="40">
        <f t="shared" si="237"/>
        <v>14.295</v>
      </c>
      <c r="TQ11" s="40">
        <f t="shared" si="238"/>
        <v>46.094999999999999</v>
      </c>
      <c r="TR11" s="40">
        <f t="shared" si="239"/>
        <v>46.094999999999999</v>
      </c>
      <c r="TS11" s="40">
        <f t="shared" si="240"/>
        <v>7.55</v>
      </c>
      <c r="TT11" s="40">
        <f t="shared" si="241"/>
        <v>7.62</v>
      </c>
      <c r="TU11" s="40">
        <f t="shared" si="242"/>
        <v>27.37</v>
      </c>
      <c r="TV11" s="40">
        <f t="shared" si="243"/>
        <v>73.465000000000003</v>
      </c>
    </row>
    <row r="12" spans="1:542" x14ac:dyDescent="0.2">
      <c r="A12" s="4" t="str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/>
      </c>
      <c r="B12" s="4" t="str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/>
      </c>
      <c r="C12" s="5" t="s">
        <v>95</v>
      </c>
      <c r="D12" s="4" t="s">
        <v>5</v>
      </c>
      <c r="E12" s="4">
        <v>2005</v>
      </c>
      <c r="F12" s="9">
        <f t="shared" si="0"/>
        <v>188.97001889700527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52.489999999999995</v>
      </c>
      <c r="M12" s="8" t="str">
        <f t="shared" si="5"/>
        <v>2025 Nationals</v>
      </c>
      <c r="N12" s="8">
        <f>IF(COUNT(AQ12,AT12,BR12,BU12,CS12,CV12)&gt;1,LARGE((AQ12,AT12,BR12,BU12,CS12,CV12),2),0)</f>
        <v>52.05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53.38000000000001</v>
      </c>
      <c r="Q12" s="8" t="str">
        <f t="shared" si="7"/>
        <v>2025 Nationals</v>
      </c>
      <c r="R12" s="8">
        <f t="shared" si="8"/>
        <v>15.3</v>
      </c>
      <c r="S12" s="8" t="str">
        <f t="shared" si="9"/>
        <v>2025 Coimbra Gym Fest (July 6)</v>
      </c>
      <c r="T12" s="8">
        <f t="shared" si="10"/>
        <v>15.75</v>
      </c>
      <c r="U12" s="8" t="str">
        <f t="shared" si="11"/>
        <v>2025 Elite Canada</v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10</v>
      </c>
      <c r="Z12" s="22">
        <v>6.4</v>
      </c>
      <c r="AA12" s="22">
        <v>8.1999999999999993</v>
      </c>
      <c r="AB12" s="22">
        <v>10.86</v>
      </c>
      <c r="AC12" s="22">
        <v>0</v>
      </c>
      <c r="AD12" s="22">
        <v>4.3</v>
      </c>
      <c r="AE12" s="22">
        <v>2.2999999999999998</v>
      </c>
      <c r="AF12" s="22">
        <v>12.5</v>
      </c>
      <c r="AG12" s="22">
        <v>5.15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8.1999999999999993</v>
      </c>
      <c r="AP12" s="38">
        <f t="shared" si="16"/>
        <v>10.86</v>
      </c>
      <c r="AQ12" s="40">
        <f t="shared" si="17"/>
        <v>35.459999999999994</v>
      </c>
      <c r="AR12" s="40">
        <f t="shared" si="18"/>
        <v>12.5</v>
      </c>
      <c r="AS12" s="40">
        <f t="shared" si="19"/>
        <v>5.15</v>
      </c>
      <c r="AT12" s="40">
        <f t="shared" si="20"/>
        <v>24.25</v>
      </c>
      <c r="AU12" s="40">
        <f t="shared" si="21"/>
        <v>35.459999999999994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35.459999999999994</v>
      </c>
      <c r="AZ12" s="26">
        <v>11.8</v>
      </c>
      <c r="BA12" s="26">
        <v>9.6</v>
      </c>
      <c r="BB12" s="26">
        <v>14.9</v>
      </c>
      <c r="BC12" s="26">
        <v>15.75</v>
      </c>
      <c r="BD12" s="26">
        <v>0</v>
      </c>
      <c r="BE12" s="26">
        <v>2.7</v>
      </c>
      <c r="BF12" s="26">
        <v>1.8</v>
      </c>
      <c r="BG12" s="26">
        <v>3.3</v>
      </c>
      <c r="BH12" s="26">
        <v>3.33</v>
      </c>
      <c r="BI12" s="26">
        <v>0</v>
      </c>
      <c r="BJ12" s="26">
        <v>12.3</v>
      </c>
      <c r="BK12" s="26">
        <v>8.4</v>
      </c>
      <c r="BL12" s="26">
        <v>13.2</v>
      </c>
      <c r="BM12" s="26">
        <v>14.33</v>
      </c>
      <c r="BN12" s="26">
        <v>0</v>
      </c>
      <c r="BO12" s="28"/>
      <c r="BP12" s="39">
        <f t="shared" si="26"/>
        <v>14.9</v>
      </c>
      <c r="BQ12" s="39">
        <f t="shared" si="27"/>
        <v>15.75</v>
      </c>
      <c r="BR12" s="11">
        <f t="shared" si="28"/>
        <v>52.05</v>
      </c>
      <c r="BS12" s="11">
        <f t="shared" si="29"/>
        <v>3.3</v>
      </c>
      <c r="BT12" s="11">
        <f t="shared" si="30"/>
        <v>3.33</v>
      </c>
      <c r="BU12" s="11">
        <f t="shared" si="31"/>
        <v>11.129999999999999</v>
      </c>
      <c r="BV12" s="11">
        <f t="shared" si="32"/>
        <v>52.05</v>
      </c>
      <c r="BW12" s="11">
        <f t="shared" si="33"/>
        <v>13.2</v>
      </c>
      <c r="BX12" s="11">
        <f t="shared" si="34"/>
        <v>14.33</v>
      </c>
      <c r="BY12" s="11">
        <f t="shared" si="35"/>
        <v>48.230000000000004</v>
      </c>
      <c r="BZ12" s="11">
        <f t="shared" si="36"/>
        <v>100.28</v>
      </c>
      <c r="CA12" s="22">
        <v>10.1</v>
      </c>
      <c r="CB12" s="22">
        <v>7.7</v>
      </c>
      <c r="CC12" s="22">
        <v>12.6</v>
      </c>
      <c r="CD12" s="22">
        <v>13.81</v>
      </c>
      <c r="CE12" s="22">
        <v>0</v>
      </c>
      <c r="CF12" s="22">
        <v>13.1</v>
      </c>
      <c r="CG12" s="22">
        <v>9</v>
      </c>
      <c r="CH12" s="22">
        <v>14.7</v>
      </c>
      <c r="CI12" s="22">
        <v>15.69</v>
      </c>
      <c r="CJ12" s="22">
        <v>0</v>
      </c>
      <c r="CK12" s="22">
        <v>14.4</v>
      </c>
      <c r="CL12" s="22">
        <v>8.8000000000000007</v>
      </c>
      <c r="CM12" s="22">
        <v>14.7</v>
      </c>
      <c r="CN12" s="22">
        <v>15.48</v>
      </c>
      <c r="CO12" s="22">
        <v>0</v>
      </c>
      <c r="CP12" s="27"/>
      <c r="CQ12" s="38">
        <f t="shared" si="37"/>
        <v>12.6</v>
      </c>
      <c r="CR12" s="38">
        <f t="shared" si="38"/>
        <v>13.81</v>
      </c>
      <c r="CS12" s="40">
        <f t="shared" si="39"/>
        <v>44.21</v>
      </c>
      <c r="CT12" s="40">
        <f t="shared" si="40"/>
        <v>14.7</v>
      </c>
      <c r="CU12" s="40">
        <f t="shared" si="41"/>
        <v>15.69</v>
      </c>
      <c r="CV12" s="40">
        <f t="shared" si="42"/>
        <v>52.489999999999995</v>
      </c>
      <c r="CW12" s="40">
        <f t="shared" si="43"/>
        <v>52.489999999999995</v>
      </c>
      <c r="CX12" s="40">
        <f t="shared" si="44"/>
        <v>14.7</v>
      </c>
      <c r="CY12" s="40">
        <f t="shared" si="45"/>
        <v>15.48</v>
      </c>
      <c r="CZ12" s="40">
        <f t="shared" si="46"/>
        <v>53.38000000000001</v>
      </c>
      <c r="DA12" s="40">
        <f t="shared" si="47"/>
        <v>105.87</v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>
        <v>11.3</v>
      </c>
      <c r="FU12" s="17">
        <v>8.8000000000000007</v>
      </c>
      <c r="FV12" s="17">
        <v>14.7</v>
      </c>
      <c r="FW12" s="17">
        <v>15.45</v>
      </c>
      <c r="FX12" s="17">
        <v>0</v>
      </c>
      <c r="FY12" s="17">
        <v>11.9</v>
      </c>
      <c r="FZ12" s="17">
        <v>9.1999999999999993</v>
      </c>
      <c r="GA12" s="17">
        <v>15.3</v>
      </c>
      <c r="GB12" s="17">
        <v>15.51</v>
      </c>
      <c r="GC12" s="17">
        <v>0</v>
      </c>
      <c r="GD12" s="17">
        <v>6.4</v>
      </c>
      <c r="GE12" s="17">
        <v>4.4000000000000004</v>
      </c>
      <c r="GF12" s="17">
        <v>8</v>
      </c>
      <c r="GG12" s="17">
        <v>8.09</v>
      </c>
      <c r="GH12" s="17">
        <v>0.2</v>
      </c>
      <c r="GI12" s="17"/>
      <c r="GJ12" s="17"/>
      <c r="GK12" s="17"/>
      <c r="GL12" s="17"/>
      <c r="GM12" s="17"/>
      <c r="GN12" s="40">
        <f t="shared" si="78"/>
        <v>14.7</v>
      </c>
      <c r="GO12" s="40">
        <f t="shared" si="79"/>
        <v>15.45</v>
      </c>
      <c r="GP12" s="40">
        <f t="shared" si="80"/>
        <v>50.25</v>
      </c>
      <c r="GQ12" s="40">
        <f t="shared" si="81"/>
        <v>15.3</v>
      </c>
      <c r="GR12" s="40">
        <f t="shared" si="82"/>
        <v>15.51</v>
      </c>
      <c r="GS12" s="40">
        <f t="shared" si="83"/>
        <v>51.910000000000004</v>
      </c>
      <c r="GT12" s="40">
        <f t="shared" si="84"/>
        <v>51.910000000000004</v>
      </c>
      <c r="GU12" s="40">
        <f t="shared" si="85"/>
        <v>8</v>
      </c>
      <c r="GV12" s="40">
        <f t="shared" si="86"/>
        <v>8.09</v>
      </c>
      <c r="GW12" s="40">
        <f t="shared" si="87"/>
        <v>26.69</v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>
        <f t="shared" si="91"/>
        <v>78.600000000000009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10.95</v>
      </c>
      <c r="SW12" s="22">
        <f t="shared" si="219"/>
        <v>8.65</v>
      </c>
      <c r="SX12" s="22">
        <f t="shared" si="220"/>
        <v>13.75</v>
      </c>
      <c r="SY12" s="22">
        <f t="shared" si="221"/>
        <v>14.780000000000001</v>
      </c>
      <c r="SZ12" s="22">
        <f t="shared" si="222"/>
        <v>0</v>
      </c>
      <c r="TA12" s="22">
        <f t="shared" si="223"/>
        <v>7.9</v>
      </c>
      <c r="TB12" s="22">
        <f t="shared" si="224"/>
        <v>5.4</v>
      </c>
      <c r="TC12" s="22">
        <f t="shared" si="225"/>
        <v>9</v>
      </c>
      <c r="TD12" s="22">
        <f t="shared" si="226"/>
        <v>9.51</v>
      </c>
      <c r="TE12" s="22">
        <f t="shared" si="227"/>
        <v>0</v>
      </c>
      <c r="TF12" s="22">
        <f t="shared" si="228"/>
        <v>13.350000000000001</v>
      </c>
      <c r="TG12" s="22">
        <f t="shared" si="229"/>
        <v>8.6000000000000014</v>
      </c>
      <c r="TH12" s="22">
        <f t="shared" si="230"/>
        <v>13.95</v>
      </c>
      <c r="TI12" s="22">
        <f t="shared" si="231"/>
        <v>14.905000000000001</v>
      </c>
      <c r="TJ12" s="22">
        <f t="shared" si="232"/>
        <v>0</v>
      </c>
      <c r="TK12" s="27" t="s">
        <v>46</v>
      </c>
      <c r="TL12" s="40">
        <f t="shared" si="233"/>
        <v>13.75</v>
      </c>
      <c r="TM12" s="40">
        <f t="shared" si="234"/>
        <v>14.780000000000001</v>
      </c>
      <c r="TN12" s="40">
        <f t="shared" si="235"/>
        <v>48.13</v>
      </c>
      <c r="TO12" s="40">
        <f t="shared" si="236"/>
        <v>9</v>
      </c>
      <c r="TP12" s="40">
        <f t="shared" si="237"/>
        <v>9.51</v>
      </c>
      <c r="TQ12" s="40">
        <f t="shared" si="238"/>
        <v>31.810000000000002</v>
      </c>
      <c r="TR12" s="40">
        <f t="shared" si="239"/>
        <v>48.13</v>
      </c>
      <c r="TS12" s="40">
        <f t="shared" si="240"/>
        <v>13.95</v>
      </c>
      <c r="TT12" s="40">
        <f t="shared" si="241"/>
        <v>14.905000000000001</v>
      </c>
      <c r="TU12" s="40">
        <f t="shared" si="242"/>
        <v>50.805000000000007</v>
      </c>
      <c r="TV12" s="40">
        <f t="shared" si="243"/>
        <v>98.935000000000002</v>
      </c>
    </row>
    <row r="13" spans="1:542" x14ac:dyDescent="0.2">
      <c r="A13" s="4" t="str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/>
      </c>
      <c r="B13" s="4" t="str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/>
      </c>
      <c r="C13" s="5" t="s">
        <v>127</v>
      </c>
      <c r="D13" s="4" t="s">
        <v>4</v>
      </c>
      <c r="E13" s="4">
        <v>2007</v>
      </c>
      <c r="F13" s="9">
        <f t="shared" si="0"/>
        <v>184.32001843200524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52.320000000000007</v>
      </c>
      <c r="M13" s="8" t="str">
        <f t="shared" si="5"/>
        <v>2024 3rd Domestic Trial</v>
      </c>
      <c r="N13" s="8">
        <f>IF(COUNT(AQ13,AT13,BR13,BU13,CS13,CV13)&gt;1,LARGE((AQ13,AT13,BR13,BU13,CS13,CV13),2),0)</f>
        <v>51.67</v>
      </c>
      <c r="O13" s="8" t="str">
        <f t="shared" si="6"/>
        <v>2025 Nationals</v>
      </c>
      <c r="P13" s="8">
        <f>IF(COUNT(AQ13,AT13,BR13,BU13,CS13,CV13)&gt;2,MAX(AX13,BY13,CZ13,LARGE((AQ13,AT13,BR13,BU13,CS13,CV13),3)),IF(MAX(AX13,BY13,CZ13)&gt;0,MAX(AX13,BY13,CZ13),0))</f>
        <v>49.86</v>
      </c>
      <c r="Q13" s="8" t="str">
        <f t="shared" si="7"/>
        <v>2025 Nationals</v>
      </c>
      <c r="R13" s="8">
        <f t="shared" si="8"/>
        <v>14.9</v>
      </c>
      <c r="S13" s="8" t="str">
        <f t="shared" si="9"/>
        <v>2025 Nationals</v>
      </c>
      <c r="T13" s="8">
        <f t="shared" si="10"/>
        <v>15.57</v>
      </c>
      <c r="U13" s="8" t="str">
        <f t="shared" si="11"/>
        <v>2025 Nationals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12.1</v>
      </c>
      <c r="Z13" s="22">
        <v>7.8</v>
      </c>
      <c r="AA13" s="22">
        <v>10.199999999999999</v>
      </c>
      <c r="AB13" s="22">
        <v>13.86</v>
      </c>
      <c r="AC13" s="22">
        <v>0</v>
      </c>
      <c r="AD13" s="22">
        <v>14.9</v>
      </c>
      <c r="AE13" s="22">
        <v>8.8000000000000007</v>
      </c>
      <c r="AF13" s="22">
        <v>12.7</v>
      </c>
      <c r="AG13" s="22">
        <v>15.92</v>
      </c>
      <c r="AH13" s="22">
        <v>0</v>
      </c>
      <c r="AI13" s="22">
        <v>12.5</v>
      </c>
      <c r="AJ13" s="22">
        <v>7.4</v>
      </c>
      <c r="AK13" s="22">
        <v>11.3</v>
      </c>
      <c r="AL13" s="22">
        <v>13.03</v>
      </c>
      <c r="AM13" s="22">
        <v>0</v>
      </c>
      <c r="AN13" s="27"/>
      <c r="AO13" s="38">
        <f t="shared" si="15"/>
        <v>10.199999999999999</v>
      </c>
      <c r="AP13" s="38">
        <f t="shared" si="16"/>
        <v>13.86</v>
      </c>
      <c r="AQ13" s="40">
        <f t="shared" si="17"/>
        <v>43.959999999999994</v>
      </c>
      <c r="AR13" s="40">
        <f t="shared" si="18"/>
        <v>12.7</v>
      </c>
      <c r="AS13" s="40">
        <f t="shared" si="19"/>
        <v>15.92</v>
      </c>
      <c r="AT13" s="40">
        <f t="shared" si="20"/>
        <v>52.320000000000007</v>
      </c>
      <c r="AU13" s="40">
        <f t="shared" si="21"/>
        <v>52.320000000000007</v>
      </c>
      <c r="AV13" s="40">
        <f t="shared" si="22"/>
        <v>11.3</v>
      </c>
      <c r="AW13" s="40">
        <f t="shared" si="23"/>
        <v>13.03</v>
      </c>
      <c r="AX13" s="40">
        <f t="shared" si="24"/>
        <v>44.23</v>
      </c>
      <c r="AY13" s="40">
        <f t="shared" si="25"/>
        <v>96.550000000000011</v>
      </c>
      <c r="AZ13" s="26">
        <v>11.3</v>
      </c>
      <c r="BA13" s="26">
        <v>7.7</v>
      </c>
      <c r="BB13" s="26">
        <v>11.7</v>
      </c>
      <c r="BC13" s="26">
        <v>12.46</v>
      </c>
      <c r="BD13" s="26">
        <v>0</v>
      </c>
      <c r="BE13" s="26">
        <v>2.8</v>
      </c>
      <c r="BF13" s="26">
        <v>1.7</v>
      </c>
      <c r="BG13" s="26">
        <v>3.3</v>
      </c>
      <c r="BH13" s="26">
        <v>3.3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6"/>
        <v>11.7</v>
      </c>
      <c r="BQ13" s="39">
        <f t="shared" si="27"/>
        <v>12.46</v>
      </c>
      <c r="BR13" s="11">
        <f t="shared" si="28"/>
        <v>43.16</v>
      </c>
      <c r="BS13" s="11">
        <f t="shared" si="29"/>
        <v>3.3</v>
      </c>
      <c r="BT13" s="11">
        <f t="shared" si="30"/>
        <v>3.3</v>
      </c>
      <c r="BU13" s="11">
        <f t="shared" si="31"/>
        <v>11.1</v>
      </c>
      <c r="BV13" s="11">
        <f t="shared" si="32"/>
        <v>43.16</v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>
        <f t="shared" si="36"/>
        <v>43.16</v>
      </c>
      <c r="CA13" s="22">
        <v>12.1</v>
      </c>
      <c r="CB13" s="22">
        <v>9.1</v>
      </c>
      <c r="CC13" s="22">
        <v>14.9</v>
      </c>
      <c r="CD13" s="22">
        <v>15.57</v>
      </c>
      <c r="CE13" s="22">
        <v>0</v>
      </c>
      <c r="CF13" s="22">
        <v>12.1</v>
      </c>
      <c r="CG13" s="22">
        <v>8.6999999999999993</v>
      </c>
      <c r="CH13" s="22">
        <v>14</v>
      </c>
      <c r="CI13" s="22">
        <v>15.56</v>
      </c>
      <c r="CJ13" s="22">
        <v>0.5</v>
      </c>
      <c r="CK13" s="22">
        <v>1.2</v>
      </c>
      <c r="CL13" s="22">
        <v>1</v>
      </c>
      <c r="CM13" s="22">
        <v>2</v>
      </c>
      <c r="CN13" s="22">
        <v>1.68</v>
      </c>
      <c r="CO13" s="22">
        <v>0.2</v>
      </c>
      <c r="CP13" s="27"/>
      <c r="CQ13" s="38">
        <f t="shared" si="37"/>
        <v>14.9</v>
      </c>
      <c r="CR13" s="38">
        <f t="shared" si="38"/>
        <v>15.57</v>
      </c>
      <c r="CS13" s="40">
        <f t="shared" si="39"/>
        <v>51.67</v>
      </c>
      <c r="CT13" s="40">
        <f t="shared" si="40"/>
        <v>14</v>
      </c>
      <c r="CU13" s="40">
        <f t="shared" si="41"/>
        <v>15.56</v>
      </c>
      <c r="CV13" s="40">
        <f t="shared" si="42"/>
        <v>49.86</v>
      </c>
      <c r="CW13" s="40">
        <f t="shared" si="43"/>
        <v>51.67</v>
      </c>
      <c r="CX13" s="40">
        <f t="shared" si="44"/>
        <v>2</v>
      </c>
      <c r="CY13" s="40">
        <f t="shared" si="45"/>
        <v>1.68</v>
      </c>
      <c r="CZ13" s="40">
        <f t="shared" si="46"/>
        <v>5.68</v>
      </c>
      <c r="DA13" s="40">
        <f t="shared" si="47"/>
        <v>57.35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11.7</v>
      </c>
      <c r="SW13" s="22">
        <f t="shared" si="219"/>
        <v>8.4</v>
      </c>
      <c r="SX13" s="22">
        <f t="shared" si="220"/>
        <v>13.3</v>
      </c>
      <c r="SY13" s="22">
        <f t="shared" si="221"/>
        <v>14.015000000000001</v>
      </c>
      <c r="SZ13" s="22">
        <f t="shared" si="222"/>
        <v>0</v>
      </c>
      <c r="TA13" s="22">
        <f t="shared" si="223"/>
        <v>7.4499999999999993</v>
      </c>
      <c r="TB13" s="22">
        <f t="shared" si="224"/>
        <v>5.1999999999999993</v>
      </c>
      <c r="TC13" s="22">
        <f t="shared" si="225"/>
        <v>8.65</v>
      </c>
      <c r="TD13" s="22">
        <f t="shared" si="226"/>
        <v>9.43</v>
      </c>
      <c r="TE13" s="22">
        <f t="shared" si="227"/>
        <v>0.25</v>
      </c>
      <c r="TF13" s="22">
        <f t="shared" si="228"/>
        <v>0.6</v>
      </c>
      <c r="TG13" s="22">
        <f t="shared" si="229"/>
        <v>0.5</v>
      </c>
      <c r="TH13" s="22">
        <f t="shared" si="230"/>
        <v>1</v>
      </c>
      <c r="TI13" s="22">
        <f t="shared" si="231"/>
        <v>0.84</v>
      </c>
      <c r="TJ13" s="22">
        <f t="shared" si="232"/>
        <v>0.1</v>
      </c>
      <c r="TK13" s="27" t="s">
        <v>46</v>
      </c>
      <c r="TL13" s="40">
        <f t="shared" si="233"/>
        <v>13.3</v>
      </c>
      <c r="TM13" s="40">
        <f t="shared" si="234"/>
        <v>14.015000000000001</v>
      </c>
      <c r="TN13" s="40">
        <f t="shared" si="235"/>
        <v>47.415000000000006</v>
      </c>
      <c r="TO13" s="40">
        <f t="shared" si="236"/>
        <v>8.65</v>
      </c>
      <c r="TP13" s="40">
        <f t="shared" si="237"/>
        <v>9.43</v>
      </c>
      <c r="TQ13" s="40">
        <f t="shared" si="238"/>
        <v>30.479999999999997</v>
      </c>
      <c r="TR13" s="40">
        <f t="shared" si="239"/>
        <v>47.415000000000006</v>
      </c>
      <c r="TS13" s="40">
        <f t="shared" si="240"/>
        <v>1</v>
      </c>
      <c r="TT13" s="40">
        <f t="shared" si="241"/>
        <v>0.84</v>
      </c>
      <c r="TU13" s="40">
        <f t="shared" si="242"/>
        <v>2.84</v>
      </c>
      <c r="TV13" s="40">
        <f t="shared" si="243"/>
        <v>50.25500000000001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115</v>
      </c>
      <c r="D14" s="4" t="s">
        <v>5</v>
      </c>
      <c r="E14" s="4">
        <v>2006</v>
      </c>
      <c r="F14" s="9">
        <f t="shared" si="0"/>
        <v>181.99001819900516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51.33</v>
      </c>
      <c r="M14" s="8" t="str">
        <f t="shared" si="5"/>
        <v>2025 Elite Canada</v>
      </c>
      <c r="N14" s="8">
        <f>IF(COUNT(AQ14,AT14,BR14,BU14,CS14,CV14)&gt;1,LARGE((AQ14,AT14,BR14,BU14,CS14,CV14),2),0)</f>
        <v>50.49</v>
      </c>
      <c r="O14" s="8" t="str">
        <f t="shared" si="6"/>
        <v>2025 Nationals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 t="shared" si="7"/>
        <v>2025 Elite Canada</v>
      </c>
      <c r="R14" s="8">
        <f t="shared" si="8"/>
        <v>14.5</v>
      </c>
      <c r="S14" s="8" t="str">
        <f t="shared" si="9"/>
        <v>2025 Nationals</v>
      </c>
      <c r="T14" s="8">
        <f t="shared" si="10"/>
        <v>14.39</v>
      </c>
      <c r="U14" s="8" t="str">
        <f t="shared" si="11"/>
        <v>2025 Nationals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14.8</v>
      </c>
      <c r="Z14" s="22">
        <v>9.1</v>
      </c>
      <c r="AA14" s="22">
        <v>11.2</v>
      </c>
      <c r="AB14" s="22">
        <v>14.33</v>
      </c>
      <c r="AC14" s="22">
        <v>0</v>
      </c>
      <c r="AD14" s="22">
        <v>11.7</v>
      </c>
      <c r="AE14" s="22">
        <v>8.9</v>
      </c>
      <c r="AF14" s="22">
        <v>10.7</v>
      </c>
      <c r="AG14" s="22">
        <v>14.38</v>
      </c>
      <c r="AH14" s="22">
        <v>0</v>
      </c>
      <c r="AI14" s="22">
        <v>4.2</v>
      </c>
      <c r="AJ14" s="22">
        <v>2.8</v>
      </c>
      <c r="AK14" s="22">
        <v>4</v>
      </c>
      <c r="AL14" s="22">
        <v>4.63</v>
      </c>
      <c r="AM14" s="22">
        <v>0</v>
      </c>
      <c r="AN14" s="27"/>
      <c r="AO14" s="38">
        <f t="shared" si="15"/>
        <v>11.2</v>
      </c>
      <c r="AP14" s="38">
        <f t="shared" si="16"/>
        <v>14.33</v>
      </c>
      <c r="AQ14" s="40">
        <f t="shared" si="17"/>
        <v>49.429999999999993</v>
      </c>
      <c r="AR14" s="40">
        <f t="shared" si="18"/>
        <v>10.7</v>
      </c>
      <c r="AS14" s="40">
        <f t="shared" si="19"/>
        <v>14.38</v>
      </c>
      <c r="AT14" s="40">
        <f t="shared" si="20"/>
        <v>45.68</v>
      </c>
      <c r="AU14" s="40">
        <f t="shared" si="21"/>
        <v>49.429999999999993</v>
      </c>
      <c r="AV14" s="40">
        <f t="shared" si="22"/>
        <v>4</v>
      </c>
      <c r="AW14" s="40">
        <f t="shared" si="23"/>
        <v>4.63</v>
      </c>
      <c r="AX14" s="40">
        <f t="shared" si="24"/>
        <v>15.629999999999999</v>
      </c>
      <c r="AY14" s="40">
        <f t="shared" si="25"/>
        <v>65.059999999999988</v>
      </c>
      <c r="AZ14" s="26">
        <v>11.9</v>
      </c>
      <c r="BA14" s="26">
        <v>9</v>
      </c>
      <c r="BB14" s="26">
        <v>12.6</v>
      </c>
      <c r="BC14" s="26">
        <v>13.67</v>
      </c>
      <c r="BD14" s="26">
        <v>0</v>
      </c>
      <c r="BE14" s="26">
        <v>13.8</v>
      </c>
      <c r="BF14" s="26">
        <v>9.5</v>
      </c>
      <c r="BG14" s="26">
        <v>13.8</v>
      </c>
      <c r="BH14" s="26">
        <v>14.23</v>
      </c>
      <c r="BI14" s="26">
        <v>0</v>
      </c>
      <c r="BJ14" s="26">
        <v>13.5</v>
      </c>
      <c r="BK14" s="26">
        <v>9.5</v>
      </c>
      <c r="BL14" s="26">
        <v>13.8</v>
      </c>
      <c r="BM14" s="26">
        <v>14.48</v>
      </c>
      <c r="BN14" s="26">
        <v>0</v>
      </c>
      <c r="BO14" s="28"/>
      <c r="BP14" s="39">
        <f t="shared" si="26"/>
        <v>12.6</v>
      </c>
      <c r="BQ14" s="39">
        <f t="shared" si="27"/>
        <v>13.67</v>
      </c>
      <c r="BR14" s="11">
        <f t="shared" si="28"/>
        <v>47.17</v>
      </c>
      <c r="BS14" s="11">
        <f t="shared" si="29"/>
        <v>13.8</v>
      </c>
      <c r="BT14" s="11">
        <f t="shared" si="30"/>
        <v>14.23</v>
      </c>
      <c r="BU14" s="11">
        <f t="shared" si="31"/>
        <v>51.33</v>
      </c>
      <c r="BV14" s="11">
        <f t="shared" si="32"/>
        <v>51.33</v>
      </c>
      <c r="BW14" s="11">
        <f t="shared" si="33"/>
        <v>13.8</v>
      </c>
      <c r="BX14" s="11">
        <f t="shared" si="34"/>
        <v>14.48</v>
      </c>
      <c r="BY14" s="11">
        <f t="shared" si="35"/>
        <v>51.28</v>
      </c>
      <c r="BZ14" s="11">
        <f t="shared" si="36"/>
        <v>102.61</v>
      </c>
      <c r="CA14" s="22">
        <v>2.6</v>
      </c>
      <c r="CB14" s="22">
        <v>1.8</v>
      </c>
      <c r="CC14" s="22">
        <v>3.5</v>
      </c>
      <c r="CD14" s="22">
        <v>3.06</v>
      </c>
      <c r="CE14" s="22">
        <v>0.2</v>
      </c>
      <c r="CF14" s="22">
        <v>12.4</v>
      </c>
      <c r="CG14" s="22">
        <v>9.1999999999999993</v>
      </c>
      <c r="CH14" s="22">
        <v>14.5</v>
      </c>
      <c r="CI14" s="22">
        <v>14.39</v>
      </c>
      <c r="CJ14" s="22">
        <v>0</v>
      </c>
      <c r="CK14" s="22">
        <v>1.4</v>
      </c>
      <c r="CL14" s="22">
        <v>1</v>
      </c>
      <c r="CM14" s="22">
        <v>2</v>
      </c>
      <c r="CN14" s="22">
        <v>1.59</v>
      </c>
      <c r="CO14" s="22">
        <v>0</v>
      </c>
      <c r="CP14" s="27"/>
      <c r="CQ14" s="38">
        <f t="shared" si="37"/>
        <v>3.5</v>
      </c>
      <c r="CR14" s="38">
        <f t="shared" si="38"/>
        <v>3.06</v>
      </c>
      <c r="CS14" s="40">
        <f t="shared" si="39"/>
        <v>10.760000000000002</v>
      </c>
      <c r="CT14" s="40">
        <f t="shared" si="40"/>
        <v>14.5</v>
      </c>
      <c r="CU14" s="40">
        <f t="shared" si="41"/>
        <v>14.39</v>
      </c>
      <c r="CV14" s="40">
        <f t="shared" si="42"/>
        <v>50.49</v>
      </c>
      <c r="CW14" s="40">
        <f t="shared" si="43"/>
        <v>50.49</v>
      </c>
      <c r="CX14" s="40">
        <f t="shared" si="44"/>
        <v>2</v>
      </c>
      <c r="CY14" s="40">
        <f t="shared" si="45"/>
        <v>1.59</v>
      </c>
      <c r="CZ14" s="40">
        <f t="shared" si="46"/>
        <v>5.99</v>
      </c>
      <c r="DA14" s="40">
        <f t="shared" si="47"/>
        <v>56.480000000000004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7.25</v>
      </c>
      <c r="SW14" s="22">
        <f t="shared" si="219"/>
        <v>5.4</v>
      </c>
      <c r="SX14" s="22">
        <f t="shared" si="220"/>
        <v>8.0500000000000007</v>
      </c>
      <c r="SY14" s="22">
        <f t="shared" si="221"/>
        <v>8.3650000000000002</v>
      </c>
      <c r="SZ14" s="22">
        <f t="shared" si="222"/>
        <v>0.1</v>
      </c>
      <c r="TA14" s="22">
        <f t="shared" si="223"/>
        <v>13.100000000000001</v>
      </c>
      <c r="TB14" s="22">
        <f t="shared" si="224"/>
        <v>9.35</v>
      </c>
      <c r="TC14" s="22">
        <f t="shared" si="225"/>
        <v>14.15</v>
      </c>
      <c r="TD14" s="22">
        <f t="shared" si="226"/>
        <v>14.31</v>
      </c>
      <c r="TE14" s="22">
        <f t="shared" si="227"/>
        <v>0</v>
      </c>
      <c r="TF14" s="22">
        <f t="shared" si="228"/>
        <v>7.45</v>
      </c>
      <c r="TG14" s="22">
        <f t="shared" si="229"/>
        <v>5.25</v>
      </c>
      <c r="TH14" s="22">
        <f t="shared" si="230"/>
        <v>7.9</v>
      </c>
      <c r="TI14" s="22">
        <f t="shared" si="231"/>
        <v>8.0350000000000001</v>
      </c>
      <c r="TJ14" s="22">
        <f t="shared" si="232"/>
        <v>0</v>
      </c>
      <c r="TK14" s="27" t="s">
        <v>46</v>
      </c>
      <c r="TL14" s="40">
        <f t="shared" si="233"/>
        <v>8.0500000000000007</v>
      </c>
      <c r="TM14" s="40">
        <f t="shared" si="234"/>
        <v>8.3650000000000002</v>
      </c>
      <c r="TN14" s="40">
        <f t="shared" si="235"/>
        <v>28.965000000000003</v>
      </c>
      <c r="TO14" s="40">
        <f t="shared" si="236"/>
        <v>14.15</v>
      </c>
      <c r="TP14" s="40">
        <f t="shared" si="237"/>
        <v>14.31</v>
      </c>
      <c r="TQ14" s="40">
        <f t="shared" si="238"/>
        <v>50.910000000000004</v>
      </c>
      <c r="TR14" s="40">
        <f t="shared" si="239"/>
        <v>50.910000000000004</v>
      </c>
      <c r="TS14" s="40">
        <f t="shared" si="240"/>
        <v>7.9</v>
      </c>
      <c r="TT14" s="40">
        <f t="shared" si="241"/>
        <v>8.0350000000000001</v>
      </c>
      <c r="TU14" s="40">
        <f t="shared" si="242"/>
        <v>28.635000000000002</v>
      </c>
      <c r="TV14" s="40">
        <f t="shared" si="243"/>
        <v>79.545000000000002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162</v>
      </c>
      <c r="D15" s="4" t="s">
        <v>4</v>
      </c>
      <c r="E15" s="4">
        <v>2008</v>
      </c>
      <c r="F15" s="9">
        <f t="shared" si="0"/>
        <v>181.160017665005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49.97</v>
      </c>
      <c r="M15" s="8" t="str">
        <f t="shared" si="5"/>
        <v>2025 Elite Canada</v>
      </c>
      <c r="N15" s="8">
        <f>IF(COUNT(AQ15,AT15,BR15,BU15,CS15,CV15)&gt;1,LARGE((AQ15,AT15,BR15,BU15,CS15,CV15),2),0)</f>
        <v>47.010000000000005</v>
      </c>
      <c r="O15" s="8" t="str">
        <f t="shared" si="6"/>
        <v>2025 Nationals</v>
      </c>
      <c r="P15" s="8">
        <f>IF(COUNT(AQ15,AT15,BR15,BU15,CS15,CV15)&gt;2,MAX(AX15,BY15,CZ15,LARGE((AQ15,AT15,BR15,BU15,CS15,CV15),3)),IF(MAX(AX15,BY15,CZ15)&gt;0,MAX(AX15,BY15,CZ15),0))</f>
        <v>50.15</v>
      </c>
      <c r="Q15" s="8" t="str">
        <f t="shared" si="7"/>
        <v>2025 Nationals</v>
      </c>
      <c r="R15" s="8">
        <f t="shared" si="8"/>
        <v>14.5</v>
      </c>
      <c r="S15" s="8" t="str">
        <f t="shared" si="9"/>
        <v>2025 Nationals</v>
      </c>
      <c r="T15" s="8">
        <f t="shared" si="10"/>
        <v>15.02</v>
      </c>
      <c r="U15" s="8" t="str">
        <f t="shared" si="11"/>
        <v>2025 Coimbra Gym Fest (July 6)</v>
      </c>
      <c r="V15" s="8">
        <f t="shared" si="12"/>
        <v>4.5099999999999909</v>
      </c>
      <c r="W15" s="11" t="str">
        <f t="shared" si="13"/>
        <v>(Optional)</v>
      </c>
      <c r="X15" s="8" t="str">
        <f t="shared" si="14"/>
        <v>2025 Coimbra Gym Fest (July 6)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5"/>
        <v/>
      </c>
      <c r="AP15" s="38" t="str">
        <f t="shared" si="16"/>
        <v/>
      </c>
      <c r="AQ15" s="40" t="str">
        <f t="shared" si="17"/>
        <v/>
      </c>
      <c r="AR15" s="40" t="str">
        <f t="shared" si="18"/>
        <v/>
      </c>
      <c r="AS15" s="40" t="str">
        <f t="shared" si="19"/>
        <v/>
      </c>
      <c r="AT15" s="40" t="str">
        <f t="shared" si="20"/>
        <v/>
      </c>
      <c r="AU15" s="40" t="str">
        <f t="shared" si="21"/>
        <v/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 t="str">
        <f t="shared" si="25"/>
        <v/>
      </c>
      <c r="AZ15" s="26">
        <v>13.3</v>
      </c>
      <c r="BA15" s="26">
        <v>9.1</v>
      </c>
      <c r="BB15" s="26">
        <v>12.9</v>
      </c>
      <c r="BC15" s="26">
        <v>14.67</v>
      </c>
      <c r="BD15" s="26">
        <v>0</v>
      </c>
      <c r="BE15" s="26">
        <v>5.8</v>
      </c>
      <c r="BF15" s="26">
        <v>3.9</v>
      </c>
      <c r="BG15" s="26">
        <v>5.2</v>
      </c>
      <c r="BH15" s="26">
        <v>6.03</v>
      </c>
      <c r="BI15" s="26">
        <v>0</v>
      </c>
      <c r="BJ15" s="26">
        <v>1.3</v>
      </c>
      <c r="BK15" s="26">
        <v>1</v>
      </c>
      <c r="BL15" s="26">
        <v>2</v>
      </c>
      <c r="BM15" s="26">
        <v>1.63</v>
      </c>
      <c r="BN15" s="26">
        <v>0.2</v>
      </c>
      <c r="BO15" s="28"/>
      <c r="BP15" s="39">
        <f t="shared" si="26"/>
        <v>12.9</v>
      </c>
      <c r="BQ15" s="39">
        <f t="shared" si="27"/>
        <v>14.67</v>
      </c>
      <c r="BR15" s="11">
        <f t="shared" si="28"/>
        <v>49.97</v>
      </c>
      <c r="BS15" s="11">
        <f t="shared" si="29"/>
        <v>5.2</v>
      </c>
      <c r="BT15" s="11">
        <f t="shared" si="30"/>
        <v>6.03</v>
      </c>
      <c r="BU15" s="11">
        <f t="shared" si="31"/>
        <v>20.93</v>
      </c>
      <c r="BV15" s="11">
        <f t="shared" si="32"/>
        <v>49.97</v>
      </c>
      <c r="BW15" s="11">
        <f t="shared" si="33"/>
        <v>2</v>
      </c>
      <c r="BX15" s="11">
        <f t="shared" si="34"/>
        <v>1.63</v>
      </c>
      <c r="BY15" s="11">
        <f t="shared" si="35"/>
        <v>5.7299999999999995</v>
      </c>
      <c r="BZ15" s="11">
        <f t="shared" si="36"/>
        <v>55.699999999999996</v>
      </c>
      <c r="CA15" s="22">
        <v>11.1</v>
      </c>
      <c r="CB15" s="22">
        <v>9.6</v>
      </c>
      <c r="CC15" s="22">
        <v>11.7</v>
      </c>
      <c r="CD15" s="22">
        <v>13.88</v>
      </c>
      <c r="CE15" s="22">
        <v>0.6</v>
      </c>
      <c r="CF15" s="22">
        <v>11.9</v>
      </c>
      <c r="CG15" s="22">
        <v>8.8000000000000007</v>
      </c>
      <c r="CH15" s="22">
        <v>12.1</v>
      </c>
      <c r="CI15" s="22">
        <v>14.61</v>
      </c>
      <c r="CJ15" s="22">
        <v>0.4</v>
      </c>
      <c r="CK15" s="22">
        <v>12.4</v>
      </c>
      <c r="CL15" s="22">
        <v>9</v>
      </c>
      <c r="CM15" s="22">
        <v>14.5</v>
      </c>
      <c r="CN15" s="22">
        <v>14.25</v>
      </c>
      <c r="CO15" s="22">
        <v>0</v>
      </c>
      <c r="CP15" s="27"/>
      <c r="CQ15" s="38">
        <f t="shared" si="37"/>
        <v>11.7</v>
      </c>
      <c r="CR15" s="38">
        <f t="shared" si="38"/>
        <v>13.88</v>
      </c>
      <c r="CS15" s="40">
        <f t="shared" si="39"/>
        <v>45.68</v>
      </c>
      <c r="CT15" s="40">
        <f t="shared" si="40"/>
        <v>12.1</v>
      </c>
      <c r="CU15" s="40">
        <f t="shared" si="41"/>
        <v>14.61</v>
      </c>
      <c r="CV15" s="40">
        <f t="shared" si="42"/>
        <v>47.010000000000005</v>
      </c>
      <c r="CW15" s="40">
        <f t="shared" si="43"/>
        <v>47.010000000000005</v>
      </c>
      <c r="CX15" s="40">
        <f t="shared" si="44"/>
        <v>14.5</v>
      </c>
      <c r="CY15" s="40">
        <f t="shared" si="45"/>
        <v>14.25</v>
      </c>
      <c r="CZ15" s="40">
        <f t="shared" si="46"/>
        <v>50.15</v>
      </c>
      <c r="DA15" s="40">
        <f t="shared" si="47"/>
        <v>97.16</v>
      </c>
      <c r="DB15" s="50">
        <f t="shared" si="48"/>
        <v>4.5099999999999909</v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>
        <v>11.6</v>
      </c>
      <c r="FU15" s="17">
        <v>9.1999999999999993</v>
      </c>
      <c r="FV15" s="17">
        <v>14.5</v>
      </c>
      <c r="FW15" s="17">
        <v>14.97</v>
      </c>
      <c r="FX15" s="17">
        <v>0</v>
      </c>
      <c r="FY15" s="17">
        <v>12.5</v>
      </c>
      <c r="FZ15" s="17">
        <v>9.5</v>
      </c>
      <c r="GA15" s="17">
        <v>14.5</v>
      </c>
      <c r="GB15" s="17">
        <v>15.02</v>
      </c>
      <c r="GC15" s="17">
        <v>0</v>
      </c>
      <c r="GD15" s="17">
        <v>4.0999999999999996</v>
      </c>
      <c r="GE15" s="17">
        <v>2.8</v>
      </c>
      <c r="GF15" s="17">
        <v>5</v>
      </c>
      <c r="GG15" s="17">
        <v>4.92</v>
      </c>
      <c r="GH15" s="17">
        <v>0</v>
      </c>
      <c r="GI15" s="17"/>
      <c r="GJ15" s="17"/>
      <c r="GK15" s="17"/>
      <c r="GL15" s="17"/>
      <c r="GM15" s="17"/>
      <c r="GN15" s="40">
        <f t="shared" si="78"/>
        <v>14.5</v>
      </c>
      <c r="GO15" s="40">
        <f t="shared" si="79"/>
        <v>14.97</v>
      </c>
      <c r="GP15" s="40">
        <f t="shared" si="80"/>
        <v>50.269999999999996</v>
      </c>
      <c r="GQ15" s="40">
        <f t="shared" si="81"/>
        <v>14.5</v>
      </c>
      <c r="GR15" s="40">
        <f t="shared" si="82"/>
        <v>15.02</v>
      </c>
      <c r="GS15" s="40">
        <f t="shared" si="83"/>
        <v>51.519999999999996</v>
      </c>
      <c r="GT15" s="40">
        <f t="shared" si="84"/>
        <v>51.519999999999996</v>
      </c>
      <c r="GU15" s="40">
        <f t="shared" si="85"/>
        <v>5</v>
      </c>
      <c r="GV15" s="40">
        <f t="shared" si="86"/>
        <v>4.92</v>
      </c>
      <c r="GW15" s="40">
        <f t="shared" si="87"/>
        <v>16.82</v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>
        <f t="shared" si="91"/>
        <v>68.34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12.2</v>
      </c>
      <c r="SW15" s="22">
        <f t="shared" si="219"/>
        <v>9.35</v>
      </c>
      <c r="SX15" s="22">
        <f t="shared" si="220"/>
        <v>12.3</v>
      </c>
      <c r="SY15" s="22">
        <f t="shared" si="221"/>
        <v>14.275</v>
      </c>
      <c r="SZ15" s="22">
        <f t="shared" si="222"/>
        <v>0.3</v>
      </c>
      <c r="TA15" s="22">
        <f t="shared" si="223"/>
        <v>8.85</v>
      </c>
      <c r="TB15" s="22">
        <f t="shared" si="224"/>
        <v>6.3500000000000005</v>
      </c>
      <c r="TC15" s="22">
        <f t="shared" si="225"/>
        <v>8.65</v>
      </c>
      <c r="TD15" s="22">
        <f t="shared" si="226"/>
        <v>10.32</v>
      </c>
      <c r="TE15" s="22">
        <f t="shared" si="227"/>
        <v>0.2</v>
      </c>
      <c r="TF15" s="22">
        <f t="shared" si="228"/>
        <v>6.8500000000000005</v>
      </c>
      <c r="TG15" s="22">
        <f t="shared" si="229"/>
        <v>5</v>
      </c>
      <c r="TH15" s="22">
        <f t="shared" si="230"/>
        <v>8.25</v>
      </c>
      <c r="TI15" s="22">
        <f t="shared" si="231"/>
        <v>7.9399999999999995</v>
      </c>
      <c r="TJ15" s="22">
        <f t="shared" si="232"/>
        <v>0.1</v>
      </c>
      <c r="TK15" s="27" t="s">
        <v>46</v>
      </c>
      <c r="TL15" s="40">
        <f t="shared" si="233"/>
        <v>12.3</v>
      </c>
      <c r="TM15" s="40">
        <f t="shared" si="234"/>
        <v>14.275</v>
      </c>
      <c r="TN15" s="40">
        <f t="shared" si="235"/>
        <v>47.824999999999996</v>
      </c>
      <c r="TO15" s="40">
        <f t="shared" si="236"/>
        <v>8.65</v>
      </c>
      <c r="TP15" s="40">
        <f t="shared" si="237"/>
        <v>10.32</v>
      </c>
      <c r="TQ15" s="40">
        <f t="shared" si="238"/>
        <v>33.97</v>
      </c>
      <c r="TR15" s="40">
        <f t="shared" si="239"/>
        <v>47.824999999999996</v>
      </c>
      <c r="TS15" s="40">
        <f t="shared" si="240"/>
        <v>8.25</v>
      </c>
      <c r="TT15" s="40">
        <f t="shared" si="241"/>
        <v>7.9399999999999995</v>
      </c>
      <c r="TU15" s="40">
        <f t="shared" si="242"/>
        <v>27.939999999999998</v>
      </c>
      <c r="TV15" s="40">
        <f t="shared" si="243"/>
        <v>75.764999999999986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119</v>
      </c>
      <c r="D16" s="4" t="s">
        <v>118</v>
      </c>
      <c r="E16" s="4">
        <v>2006</v>
      </c>
      <c r="F16" s="9">
        <f t="shared" si="0"/>
        <v>180.15001801500512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51.03</v>
      </c>
      <c r="M16" s="8" t="str">
        <f t="shared" si="5"/>
        <v>2024 3rd Domestic Trial</v>
      </c>
      <c r="N16" s="8">
        <f>IF(COUNT(AQ16,AT16,BR16,BU16,CS16,CV16)&gt;1,LARGE((AQ16,AT16,BR16,BU16,CS16,CV16),2),0)</f>
        <v>50.410000000000004</v>
      </c>
      <c r="O16" s="8" t="str">
        <f t="shared" si="6"/>
        <v>2024 3rd Domestic Trial</v>
      </c>
      <c r="P16" s="8">
        <f>IF(COUNT(AQ16,AT16,BR16,BU16,CS16,CV16)&gt;2,MAX(AX16,BY16,CZ16,LARGE((AQ16,AT16,BR16,BU16,CS16,CV16),3)),IF(MAX(AX16,BY16,CZ16)&gt;0,MAX(AX16,BY16,CZ16),0))</f>
        <v>49.580000000000005</v>
      </c>
      <c r="Q16" s="8" t="str">
        <f t="shared" si="7"/>
        <v>2024 3rd Domestic Trial</v>
      </c>
      <c r="R16" s="8">
        <f t="shared" si="8"/>
        <v>13.5</v>
      </c>
      <c r="S16" s="8" t="str">
        <f t="shared" si="9"/>
        <v>2024 3rd Domestic Trial</v>
      </c>
      <c r="T16" s="8">
        <f t="shared" si="10"/>
        <v>15.63</v>
      </c>
      <c r="U16" s="8" t="str">
        <f t="shared" si="11"/>
        <v>2024 3rd Domestic Trial</v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12.6</v>
      </c>
      <c r="Z16" s="22">
        <v>9.3000000000000007</v>
      </c>
      <c r="AA16" s="22">
        <v>13.5</v>
      </c>
      <c r="AB16" s="22">
        <v>15.63</v>
      </c>
      <c r="AC16" s="22">
        <v>0</v>
      </c>
      <c r="AD16" s="22">
        <v>12.63</v>
      </c>
      <c r="AE16" s="22">
        <v>8.9</v>
      </c>
      <c r="AF16" s="22">
        <v>13.5</v>
      </c>
      <c r="AG16" s="22">
        <v>15.38</v>
      </c>
      <c r="AH16" s="22">
        <v>0</v>
      </c>
      <c r="AI16" s="22">
        <v>11.4</v>
      </c>
      <c r="AJ16" s="22">
        <v>9.3000000000000007</v>
      </c>
      <c r="AK16" s="22">
        <v>13.5</v>
      </c>
      <c r="AL16" s="22">
        <v>15.38</v>
      </c>
      <c r="AM16" s="22">
        <v>0</v>
      </c>
      <c r="AN16" s="27"/>
      <c r="AO16" s="38">
        <f t="shared" si="15"/>
        <v>13.5</v>
      </c>
      <c r="AP16" s="38">
        <f t="shared" si="16"/>
        <v>15.63</v>
      </c>
      <c r="AQ16" s="40">
        <f t="shared" si="17"/>
        <v>51.03</v>
      </c>
      <c r="AR16" s="40">
        <f t="shared" si="18"/>
        <v>13.5</v>
      </c>
      <c r="AS16" s="40">
        <f t="shared" si="19"/>
        <v>15.38</v>
      </c>
      <c r="AT16" s="40">
        <f t="shared" si="20"/>
        <v>50.410000000000004</v>
      </c>
      <c r="AU16" s="40">
        <f t="shared" si="21"/>
        <v>51.03</v>
      </c>
      <c r="AV16" s="40">
        <f t="shared" si="22"/>
        <v>13.5</v>
      </c>
      <c r="AW16" s="40">
        <f t="shared" si="23"/>
        <v>15.38</v>
      </c>
      <c r="AX16" s="40">
        <f t="shared" si="24"/>
        <v>49.580000000000005</v>
      </c>
      <c r="AY16" s="40">
        <f t="shared" si="25"/>
        <v>100.61000000000001</v>
      </c>
      <c r="AZ16" s="26">
        <v>6.3</v>
      </c>
      <c r="BA16" s="26">
        <v>5.7</v>
      </c>
      <c r="BB16" s="26">
        <v>9.3000000000000007</v>
      </c>
      <c r="BC16" s="26">
        <v>9.1300000000000008</v>
      </c>
      <c r="BD16" s="26">
        <v>0</v>
      </c>
      <c r="BE16" s="26">
        <v>6.2</v>
      </c>
      <c r="BF16" s="26">
        <v>5.2</v>
      </c>
      <c r="BG16" s="26">
        <v>7.8</v>
      </c>
      <c r="BH16" s="26">
        <v>9.14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6"/>
        <v>9.3000000000000007</v>
      </c>
      <c r="BQ16" s="39">
        <f t="shared" si="27"/>
        <v>9.1300000000000008</v>
      </c>
      <c r="BR16" s="11">
        <f t="shared" si="28"/>
        <v>30.43</v>
      </c>
      <c r="BS16" s="11">
        <f t="shared" si="29"/>
        <v>7.8</v>
      </c>
      <c r="BT16" s="11">
        <f t="shared" si="30"/>
        <v>9.14</v>
      </c>
      <c r="BU16" s="11">
        <f t="shared" si="31"/>
        <v>28.34</v>
      </c>
      <c r="BV16" s="11">
        <f t="shared" si="32"/>
        <v>30.43</v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>
        <f t="shared" si="36"/>
        <v>30.43</v>
      </c>
      <c r="CA16" s="22">
        <v>3.1</v>
      </c>
      <c r="CB16" s="22">
        <v>2.8</v>
      </c>
      <c r="CC16" s="22">
        <v>3</v>
      </c>
      <c r="CD16" s="22">
        <v>4.47</v>
      </c>
      <c r="CE16" s="22">
        <v>0</v>
      </c>
      <c r="CF16" s="22">
        <v>8.1</v>
      </c>
      <c r="CG16" s="22">
        <v>7.3</v>
      </c>
      <c r="CH16" s="22">
        <v>10.199999999999999</v>
      </c>
      <c r="CI16" s="22">
        <v>11.55</v>
      </c>
      <c r="CJ16" s="22">
        <v>0</v>
      </c>
      <c r="CK16" s="22">
        <v>1</v>
      </c>
      <c r="CL16" s="22">
        <v>0.8</v>
      </c>
      <c r="CM16" s="22">
        <v>2</v>
      </c>
      <c r="CN16" s="22">
        <v>1.53</v>
      </c>
      <c r="CO16" s="22">
        <v>0</v>
      </c>
      <c r="CP16" s="27"/>
      <c r="CQ16" s="38">
        <f t="shared" si="37"/>
        <v>3</v>
      </c>
      <c r="CR16" s="38">
        <f t="shared" si="38"/>
        <v>4.47</v>
      </c>
      <c r="CS16" s="40">
        <f t="shared" si="39"/>
        <v>13.370000000000001</v>
      </c>
      <c r="CT16" s="40">
        <f t="shared" si="40"/>
        <v>10.199999999999999</v>
      </c>
      <c r="CU16" s="40">
        <f t="shared" si="41"/>
        <v>11.55</v>
      </c>
      <c r="CV16" s="40">
        <f t="shared" si="42"/>
        <v>37.15</v>
      </c>
      <c r="CW16" s="40">
        <f t="shared" si="43"/>
        <v>37.15</v>
      </c>
      <c r="CX16" s="40">
        <f t="shared" si="44"/>
        <v>2</v>
      </c>
      <c r="CY16" s="40">
        <f t="shared" si="45"/>
        <v>1.53</v>
      </c>
      <c r="CZ16" s="40">
        <f t="shared" si="46"/>
        <v>5.33</v>
      </c>
      <c r="DA16" s="40">
        <f t="shared" si="47"/>
        <v>42.48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4.7</v>
      </c>
      <c r="SW16" s="22">
        <f t="shared" si="219"/>
        <v>4.25</v>
      </c>
      <c r="SX16" s="22">
        <f t="shared" si="220"/>
        <v>6.15</v>
      </c>
      <c r="SY16" s="22">
        <f t="shared" si="221"/>
        <v>6.8000000000000007</v>
      </c>
      <c r="SZ16" s="22">
        <f t="shared" si="222"/>
        <v>0</v>
      </c>
      <c r="TA16" s="22">
        <f t="shared" si="223"/>
        <v>7.15</v>
      </c>
      <c r="TB16" s="22">
        <f t="shared" si="224"/>
        <v>6.25</v>
      </c>
      <c r="TC16" s="22">
        <f t="shared" si="225"/>
        <v>9</v>
      </c>
      <c r="TD16" s="22">
        <f t="shared" si="226"/>
        <v>10.345000000000001</v>
      </c>
      <c r="TE16" s="22">
        <f t="shared" si="227"/>
        <v>0</v>
      </c>
      <c r="TF16" s="22">
        <f t="shared" si="228"/>
        <v>0.5</v>
      </c>
      <c r="TG16" s="22">
        <f t="shared" si="229"/>
        <v>0.4</v>
      </c>
      <c r="TH16" s="22">
        <f t="shared" si="230"/>
        <v>1</v>
      </c>
      <c r="TI16" s="22">
        <f t="shared" si="231"/>
        <v>0.76500000000000001</v>
      </c>
      <c r="TJ16" s="22">
        <f t="shared" si="232"/>
        <v>0</v>
      </c>
      <c r="TK16" s="27" t="s">
        <v>46</v>
      </c>
      <c r="TL16" s="40">
        <f t="shared" si="233"/>
        <v>6.15</v>
      </c>
      <c r="TM16" s="40">
        <f t="shared" si="234"/>
        <v>6.8000000000000007</v>
      </c>
      <c r="TN16" s="40">
        <f t="shared" si="235"/>
        <v>21.9</v>
      </c>
      <c r="TO16" s="40">
        <f t="shared" si="236"/>
        <v>9</v>
      </c>
      <c r="TP16" s="40">
        <f t="shared" si="237"/>
        <v>10.345000000000001</v>
      </c>
      <c r="TQ16" s="40">
        <f t="shared" si="238"/>
        <v>32.744999999999997</v>
      </c>
      <c r="TR16" s="40">
        <f t="shared" si="239"/>
        <v>32.744999999999997</v>
      </c>
      <c r="TS16" s="40">
        <f t="shared" si="240"/>
        <v>1</v>
      </c>
      <c r="TT16" s="40">
        <f t="shared" si="241"/>
        <v>0.76500000000000001</v>
      </c>
      <c r="TU16" s="40">
        <f t="shared" si="242"/>
        <v>2.665</v>
      </c>
      <c r="TV16" s="40">
        <f t="shared" si="243"/>
        <v>35.409999999999997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89</v>
      </c>
      <c r="D17" s="4" t="s">
        <v>4</v>
      </c>
      <c r="E17" s="4">
        <v>2004</v>
      </c>
      <c r="F17" s="9">
        <f t="shared" si="0"/>
        <v>172.4000172400051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50.97</v>
      </c>
      <c r="M17" s="8" t="str">
        <f t="shared" si="5"/>
        <v>2025 Elite Canada</v>
      </c>
      <c r="N17" s="8">
        <f>IF(COUNT(AQ17,AT17,BR17,BU17,CS17,CV17)&gt;1,LARGE((AQ17,AT17,BR17,BU17,CS17,CV17),2),0)</f>
        <v>36.21</v>
      </c>
      <c r="O17" s="8" t="str">
        <f t="shared" si="6"/>
        <v>2025 Elite Canada</v>
      </c>
      <c r="P17" s="8">
        <f>IF(COUNT(AQ17,AT17,BR17,BU17,CS17,CV17)&gt;2,MAX(AX17,BY17,CZ17,LARGE((AQ17,AT17,BR17,BU17,CS17,CV17),3)),IF(MAX(AX17,BY17,CZ17)&gt;0,MAX(AX17,BY17,CZ17),0))</f>
        <v>53.91</v>
      </c>
      <c r="Q17" s="8" t="str">
        <f t="shared" si="7"/>
        <v>2025 Elite Canada</v>
      </c>
      <c r="R17" s="8">
        <f t="shared" si="8"/>
        <v>14.9</v>
      </c>
      <c r="S17" s="8" t="str">
        <f t="shared" si="9"/>
        <v>2025 Elite Canada</v>
      </c>
      <c r="T17" s="8">
        <f t="shared" si="10"/>
        <v>16.41</v>
      </c>
      <c r="U17" s="8" t="str">
        <f t="shared" si="11"/>
        <v>2025 Elite Canada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5"/>
        <v/>
      </c>
      <c r="AP17" s="38" t="str">
        <f t="shared" si="16"/>
        <v/>
      </c>
      <c r="AQ17" s="40" t="str">
        <f t="shared" si="17"/>
        <v/>
      </c>
      <c r="AR17" s="40" t="str">
        <f t="shared" si="18"/>
        <v/>
      </c>
      <c r="AS17" s="40" t="str">
        <f t="shared" si="19"/>
        <v/>
      </c>
      <c r="AT17" s="40" t="str">
        <f t="shared" si="20"/>
        <v/>
      </c>
      <c r="AU17" s="40" t="str">
        <f t="shared" si="21"/>
        <v/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 t="str">
        <f t="shared" si="25"/>
        <v/>
      </c>
      <c r="AZ17" s="26">
        <v>11.3</v>
      </c>
      <c r="BA17" s="26">
        <v>9.5</v>
      </c>
      <c r="BB17" s="26">
        <v>14.5</v>
      </c>
      <c r="BC17" s="26">
        <v>15.67</v>
      </c>
      <c r="BD17" s="26">
        <v>0</v>
      </c>
      <c r="BE17" s="26">
        <v>8.3000000000000007</v>
      </c>
      <c r="BF17" s="26">
        <v>6.2</v>
      </c>
      <c r="BG17" s="26">
        <v>10.4</v>
      </c>
      <c r="BH17" s="26">
        <v>11.31</v>
      </c>
      <c r="BI17" s="26">
        <v>0</v>
      </c>
      <c r="BJ17" s="26">
        <v>12.9</v>
      </c>
      <c r="BK17" s="26">
        <v>9.6999999999999993</v>
      </c>
      <c r="BL17" s="26">
        <v>14.9</v>
      </c>
      <c r="BM17" s="26">
        <v>16.41</v>
      </c>
      <c r="BN17" s="26">
        <v>0</v>
      </c>
      <c r="BO17" s="28"/>
      <c r="BP17" s="39">
        <f t="shared" si="26"/>
        <v>14.5</v>
      </c>
      <c r="BQ17" s="39">
        <f t="shared" si="27"/>
        <v>15.67</v>
      </c>
      <c r="BR17" s="11">
        <f t="shared" si="28"/>
        <v>50.97</v>
      </c>
      <c r="BS17" s="11">
        <f t="shared" si="29"/>
        <v>10.4</v>
      </c>
      <c r="BT17" s="11">
        <f t="shared" si="30"/>
        <v>11.31</v>
      </c>
      <c r="BU17" s="11">
        <f t="shared" si="31"/>
        <v>36.21</v>
      </c>
      <c r="BV17" s="11">
        <f t="shared" si="32"/>
        <v>50.97</v>
      </c>
      <c r="BW17" s="11">
        <f t="shared" si="33"/>
        <v>14.9</v>
      </c>
      <c r="BX17" s="11">
        <f t="shared" si="34"/>
        <v>16.41</v>
      </c>
      <c r="BY17" s="11">
        <f t="shared" si="35"/>
        <v>53.91</v>
      </c>
      <c r="BZ17" s="11">
        <f t="shared" si="36"/>
        <v>104.88</v>
      </c>
      <c r="CA17" s="22">
        <v>2.6</v>
      </c>
      <c r="CB17" s="22">
        <v>1.8</v>
      </c>
      <c r="CC17" s="22">
        <v>3.3</v>
      </c>
      <c r="CD17" s="22">
        <v>3.4</v>
      </c>
      <c r="CE17" s="22">
        <v>0</v>
      </c>
      <c r="CF17" s="22">
        <v>7.9</v>
      </c>
      <c r="CG17" s="22">
        <v>6.5</v>
      </c>
      <c r="CH17" s="22">
        <v>10.6</v>
      </c>
      <c r="CI17" s="22">
        <v>11.15</v>
      </c>
      <c r="CJ17" s="22">
        <v>0</v>
      </c>
      <c r="CK17" s="22"/>
      <c r="CL17" s="22"/>
      <c r="CM17" s="22"/>
      <c r="CN17" s="22"/>
      <c r="CO17" s="22"/>
      <c r="CP17" s="27"/>
      <c r="CQ17" s="38">
        <f t="shared" si="37"/>
        <v>3.3</v>
      </c>
      <c r="CR17" s="38">
        <f t="shared" si="38"/>
        <v>3.4</v>
      </c>
      <c r="CS17" s="40">
        <f t="shared" si="39"/>
        <v>11.1</v>
      </c>
      <c r="CT17" s="40">
        <f t="shared" si="40"/>
        <v>10.6</v>
      </c>
      <c r="CU17" s="40">
        <f t="shared" si="41"/>
        <v>11.15</v>
      </c>
      <c r="CV17" s="40">
        <f t="shared" si="42"/>
        <v>36.15</v>
      </c>
      <c r="CW17" s="40">
        <f t="shared" si="43"/>
        <v>36.15</v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>
        <f t="shared" si="47"/>
        <v>36.15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6.95</v>
      </c>
      <c r="SW17" s="22">
        <f t="shared" si="219"/>
        <v>5.65</v>
      </c>
      <c r="SX17" s="22">
        <f t="shared" si="220"/>
        <v>8.9</v>
      </c>
      <c r="SY17" s="22">
        <f t="shared" si="221"/>
        <v>9.5350000000000001</v>
      </c>
      <c r="SZ17" s="22">
        <f t="shared" si="222"/>
        <v>0</v>
      </c>
      <c r="TA17" s="22">
        <f t="shared" si="223"/>
        <v>8.1000000000000014</v>
      </c>
      <c r="TB17" s="22">
        <f t="shared" si="224"/>
        <v>6.35</v>
      </c>
      <c r="TC17" s="22">
        <f t="shared" si="225"/>
        <v>10.5</v>
      </c>
      <c r="TD17" s="22">
        <f t="shared" si="226"/>
        <v>11.23</v>
      </c>
      <c r="TE17" s="22">
        <f t="shared" si="227"/>
        <v>0</v>
      </c>
      <c r="TF17" s="22">
        <f t="shared" si="228"/>
        <v>6.45</v>
      </c>
      <c r="TG17" s="22">
        <f t="shared" si="229"/>
        <v>4.8499999999999996</v>
      </c>
      <c r="TH17" s="22">
        <f t="shared" si="230"/>
        <v>7.45</v>
      </c>
      <c r="TI17" s="22">
        <f t="shared" si="231"/>
        <v>8.2050000000000001</v>
      </c>
      <c r="TJ17" s="22">
        <f t="shared" si="232"/>
        <v>0</v>
      </c>
      <c r="TK17" s="27" t="s">
        <v>46</v>
      </c>
      <c r="TL17" s="40">
        <f t="shared" si="233"/>
        <v>8.9</v>
      </c>
      <c r="TM17" s="40">
        <f t="shared" si="234"/>
        <v>9.5350000000000001</v>
      </c>
      <c r="TN17" s="40">
        <f t="shared" si="235"/>
        <v>31.035</v>
      </c>
      <c r="TO17" s="40">
        <f t="shared" si="236"/>
        <v>10.5</v>
      </c>
      <c r="TP17" s="40">
        <f t="shared" si="237"/>
        <v>11.23</v>
      </c>
      <c r="TQ17" s="40">
        <f t="shared" si="238"/>
        <v>36.180000000000007</v>
      </c>
      <c r="TR17" s="40">
        <f t="shared" si="239"/>
        <v>36.180000000000007</v>
      </c>
      <c r="TS17" s="40">
        <f t="shared" si="240"/>
        <v>7.45</v>
      </c>
      <c r="TT17" s="40">
        <f t="shared" si="241"/>
        <v>8.2050000000000001</v>
      </c>
      <c r="TU17" s="40">
        <f t="shared" si="242"/>
        <v>26.954999999999998</v>
      </c>
      <c r="TV17" s="40">
        <f t="shared" si="243"/>
        <v>63.135000000000005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134</v>
      </c>
      <c r="D18" s="4" t="s">
        <v>5</v>
      </c>
      <c r="E18" s="4">
        <v>2007</v>
      </c>
      <c r="F18" s="9">
        <f t="shared" si="0"/>
        <v>163.01501630150509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50.75</v>
      </c>
      <c r="M18" s="8" t="str">
        <f t="shared" si="5"/>
        <v>2024 3rd Domestic Trial</v>
      </c>
      <c r="N18" s="8">
        <f>IF(COUNT(AQ18,AT18,BR18,BU18,CS18,CV18)&gt;1,LARGE((AQ18,AT18,BR18,BU18,CS18,CV18),2),0)</f>
        <v>49.954999999999998</v>
      </c>
      <c r="O18" s="8" t="str">
        <f t="shared" si="6"/>
        <v>2025 Elite Canada</v>
      </c>
      <c r="P18" s="8">
        <f>IF(COUNT(AQ18,AT18,BR18,BU18,CS18,CV18)&gt;2,MAX(AX18,BY18,CZ18,LARGE((AQ18,AT18,BR18,BU18,CS18,CV18),3)),IF(MAX(AX18,BY18,CZ18)&gt;0,MAX(AX18,BY18,CZ18),0))</f>
        <v>50.31</v>
      </c>
      <c r="Q18" s="8" t="str">
        <f t="shared" si="7"/>
        <v>2024 3rd Domestic Trial</v>
      </c>
      <c r="R18" s="8">
        <f t="shared" si="8"/>
        <v>12</v>
      </c>
      <c r="S18" s="8" t="str">
        <f t="shared" si="9"/>
        <v>2024 3rd Domestic Trial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13.7</v>
      </c>
      <c r="Z18" s="22">
        <v>9.1</v>
      </c>
      <c r="AA18" s="22">
        <v>11.8</v>
      </c>
      <c r="AB18" s="22">
        <v>14.5</v>
      </c>
      <c r="AC18" s="22">
        <v>0</v>
      </c>
      <c r="AD18" s="22">
        <v>14.5</v>
      </c>
      <c r="AE18" s="22">
        <v>9.3000000000000007</v>
      </c>
      <c r="AF18" s="22">
        <v>12</v>
      </c>
      <c r="AG18" s="22">
        <v>14.95</v>
      </c>
      <c r="AH18" s="22">
        <v>0</v>
      </c>
      <c r="AI18" s="22">
        <v>14.6</v>
      </c>
      <c r="AJ18" s="22">
        <v>9.4</v>
      </c>
      <c r="AK18" s="22">
        <v>11.4</v>
      </c>
      <c r="AL18" s="22">
        <v>14.91</v>
      </c>
      <c r="AM18" s="22">
        <v>0</v>
      </c>
      <c r="AN18" s="27"/>
      <c r="AO18" s="38">
        <f t="shared" si="15"/>
        <v>11.8</v>
      </c>
      <c r="AP18" s="38">
        <f t="shared" si="16"/>
        <v>14.5</v>
      </c>
      <c r="AQ18" s="40">
        <f t="shared" si="17"/>
        <v>49.099999999999994</v>
      </c>
      <c r="AR18" s="40">
        <f t="shared" si="18"/>
        <v>12</v>
      </c>
      <c r="AS18" s="40">
        <f t="shared" si="19"/>
        <v>14.95</v>
      </c>
      <c r="AT18" s="40">
        <f t="shared" si="20"/>
        <v>50.75</v>
      </c>
      <c r="AU18" s="40">
        <f t="shared" si="21"/>
        <v>50.75</v>
      </c>
      <c r="AV18" s="40">
        <f t="shared" si="22"/>
        <v>11.4</v>
      </c>
      <c r="AW18" s="40">
        <f t="shared" si="23"/>
        <v>14.91</v>
      </c>
      <c r="AX18" s="40">
        <f t="shared" si="24"/>
        <v>50.31</v>
      </c>
      <c r="AY18" s="40">
        <f t="shared" si="25"/>
        <v>101.06</v>
      </c>
      <c r="AZ18" s="26">
        <v>13.75</v>
      </c>
      <c r="BA18" s="26">
        <v>9.0500000000000007</v>
      </c>
      <c r="BB18" s="26">
        <v>11.65</v>
      </c>
      <c r="BC18" s="26">
        <v>14.015000000000001</v>
      </c>
      <c r="BD18" s="26">
        <v>0</v>
      </c>
      <c r="BE18" s="26">
        <v>14.45</v>
      </c>
      <c r="BF18" s="26">
        <v>9.3000000000000007</v>
      </c>
      <c r="BG18" s="26">
        <v>11.65</v>
      </c>
      <c r="BH18" s="26">
        <v>14.555</v>
      </c>
      <c r="BI18" s="26">
        <v>0</v>
      </c>
      <c r="BJ18" s="26">
        <v>7.3</v>
      </c>
      <c r="BK18" s="26">
        <v>4.7</v>
      </c>
      <c r="BL18" s="26">
        <v>5.7</v>
      </c>
      <c r="BM18" s="26">
        <v>7.4550000000000001</v>
      </c>
      <c r="BN18" s="26">
        <v>0</v>
      </c>
      <c r="BO18" s="28" t="s">
        <v>46</v>
      </c>
      <c r="BP18" s="39">
        <f t="shared" si="26"/>
        <v>11.65</v>
      </c>
      <c r="BQ18" s="39">
        <f t="shared" si="27"/>
        <v>14.015000000000001</v>
      </c>
      <c r="BR18" s="11">
        <f t="shared" si="28"/>
        <v>48.465000000000003</v>
      </c>
      <c r="BS18" s="11">
        <f t="shared" si="29"/>
        <v>11.65</v>
      </c>
      <c r="BT18" s="11">
        <f t="shared" si="30"/>
        <v>14.555</v>
      </c>
      <c r="BU18" s="11">
        <f t="shared" si="31"/>
        <v>49.954999999999998</v>
      </c>
      <c r="BV18" s="11">
        <f t="shared" si="32"/>
        <v>49.954999999999998</v>
      </c>
      <c r="BW18" s="11">
        <f t="shared" si="33"/>
        <v>5.7</v>
      </c>
      <c r="BX18" s="11">
        <f t="shared" si="34"/>
        <v>7.4550000000000001</v>
      </c>
      <c r="BY18" s="11">
        <f t="shared" si="35"/>
        <v>25.155000000000001</v>
      </c>
      <c r="BZ18" s="11">
        <f t="shared" si="36"/>
        <v>75.11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6.875</v>
      </c>
      <c r="SW18" s="22">
        <f t="shared" si="219"/>
        <v>4.5250000000000004</v>
      </c>
      <c r="SX18" s="22">
        <f t="shared" si="220"/>
        <v>5.8250000000000002</v>
      </c>
      <c r="SY18" s="22">
        <f t="shared" si="221"/>
        <v>7.0075000000000003</v>
      </c>
      <c r="SZ18" s="22">
        <f t="shared" si="222"/>
        <v>0</v>
      </c>
      <c r="TA18" s="22">
        <f t="shared" si="223"/>
        <v>7.2249999999999996</v>
      </c>
      <c r="TB18" s="22">
        <f t="shared" si="224"/>
        <v>4.6500000000000004</v>
      </c>
      <c r="TC18" s="22">
        <f t="shared" si="225"/>
        <v>5.8250000000000002</v>
      </c>
      <c r="TD18" s="22">
        <f t="shared" si="226"/>
        <v>7.2774999999999999</v>
      </c>
      <c r="TE18" s="22">
        <f t="shared" si="227"/>
        <v>0</v>
      </c>
      <c r="TF18" s="22">
        <f t="shared" si="228"/>
        <v>3.65</v>
      </c>
      <c r="TG18" s="22">
        <f t="shared" si="229"/>
        <v>2.35</v>
      </c>
      <c r="TH18" s="22">
        <f t="shared" si="230"/>
        <v>2.85</v>
      </c>
      <c r="TI18" s="22">
        <f t="shared" si="231"/>
        <v>3.7275</v>
      </c>
      <c r="TJ18" s="22">
        <f t="shared" si="232"/>
        <v>0</v>
      </c>
      <c r="TK18" s="27" t="s">
        <v>46</v>
      </c>
      <c r="TL18" s="40">
        <f t="shared" si="233"/>
        <v>5.8250000000000002</v>
      </c>
      <c r="TM18" s="40">
        <f t="shared" si="234"/>
        <v>7.0075000000000003</v>
      </c>
      <c r="TN18" s="40">
        <f t="shared" si="235"/>
        <v>24.232500000000002</v>
      </c>
      <c r="TO18" s="40">
        <f t="shared" si="236"/>
        <v>5.8250000000000002</v>
      </c>
      <c r="TP18" s="40">
        <f t="shared" si="237"/>
        <v>7.2774999999999999</v>
      </c>
      <c r="TQ18" s="40">
        <f t="shared" si="238"/>
        <v>24.977499999999999</v>
      </c>
      <c r="TR18" s="40">
        <f t="shared" si="239"/>
        <v>24.977499999999999</v>
      </c>
      <c r="TS18" s="40">
        <f t="shared" si="240"/>
        <v>2.85</v>
      </c>
      <c r="TT18" s="40">
        <f t="shared" si="241"/>
        <v>3.7275</v>
      </c>
      <c r="TU18" s="40">
        <f t="shared" si="242"/>
        <v>12.577500000000001</v>
      </c>
      <c r="TV18" s="40">
        <f t="shared" si="243"/>
        <v>37.555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108</v>
      </c>
      <c r="D19" s="4" t="s">
        <v>3</v>
      </c>
      <c r="E19" s="4">
        <v>2006</v>
      </c>
      <c r="F19" s="9">
        <f t="shared" si="0"/>
        <v>157.23001572300487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48.949999999999996</v>
      </c>
      <c r="M19" s="8" t="str">
        <f t="shared" si="5"/>
        <v>2025 Elite Canada</v>
      </c>
      <c r="N19" s="8">
        <f>IF(COUNT(AQ19,AT19,BR19,BU19,CS19,CV19)&gt;1,LARGE((AQ19,AT19,BR19,BU19,CS19,CV19),2),0)</f>
        <v>45.269999999999996</v>
      </c>
      <c r="O19" s="8" t="str">
        <f t="shared" si="6"/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 t="shared" si="7"/>
        <v>2025 Elite Canada</v>
      </c>
      <c r="R19" s="8">
        <f t="shared" si="8"/>
        <v>14.1</v>
      </c>
      <c r="S19" s="8" t="str">
        <f t="shared" si="9"/>
        <v>2025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 t="shared" si="15"/>
        <v/>
      </c>
      <c r="AP19" s="38" t="str">
        <f t="shared" si="16"/>
        <v/>
      </c>
      <c r="AQ19" s="40" t="str">
        <f t="shared" si="17"/>
        <v/>
      </c>
      <c r="AR19" s="40" t="str">
        <f t="shared" si="18"/>
        <v/>
      </c>
      <c r="AS19" s="40" t="str">
        <f t="shared" si="19"/>
        <v/>
      </c>
      <c r="AT19" s="40" t="str">
        <f t="shared" si="20"/>
        <v/>
      </c>
      <c r="AU19" s="40" t="str">
        <f t="shared" si="21"/>
        <v/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 t="str">
        <f t="shared" si="25"/>
        <v/>
      </c>
      <c r="AZ19" s="26">
        <v>11.6</v>
      </c>
      <c r="BA19" s="26">
        <v>9.1</v>
      </c>
      <c r="BB19" s="26">
        <v>14.1</v>
      </c>
      <c r="BC19" s="26">
        <v>14.15</v>
      </c>
      <c r="BD19" s="26">
        <v>0</v>
      </c>
      <c r="BE19" s="26">
        <v>1</v>
      </c>
      <c r="BF19" s="26">
        <v>0.8</v>
      </c>
      <c r="BG19" s="26">
        <v>2</v>
      </c>
      <c r="BH19" s="26">
        <v>1.6</v>
      </c>
      <c r="BI19" s="26">
        <v>0</v>
      </c>
      <c r="BJ19" s="26">
        <v>12.4</v>
      </c>
      <c r="BK19" s="26">
        <v>9.4</v>
      </c>
      <c r="BL19" s="26">
        <v>12.7</v>
      </c>
      <c r="BM19" s="26">
        <v>14.41</v>
      </c>
      <c r="BN19" s="26">
        <v>0</v>
      </c>
      <c r="BO19" s="28"/>
      <c r="BP19" s="39">
        <f t="shared" si="26"/>
        <v>14.1</v>
      </c>
      <c r="BQ19" s="39">
        <f t="shared" si="27"/>
        <v>14.15</v>
      </c>
      <c r="BR19" s="11">
        <f t="shared" si="28"/>
        <v>48.949999999999996</v>
      </c>
      <c r="BS19" s="11">
        <f t="shared" si="29"/>
        <v>2</v>
      </c>
      <c r="BT19" s="11">
        <f t="shared" si="30"/>
        <v>1.6</v>
      </c>
      <c r="BU19" s="11">
        <f t="shared" si="31"/>
        <v>5.4</v>
      </c>
      <c r="BV19" s="11">
        <f t="shared" si="32"/>
        <v>48.949999999999996</v>
      </c>
      <c r="BW19" s="11">
        <f t="shared" si="33"/>
        <v>12.7</v>
      </c>
      <c r="BX19" s="11">
        <f t="shared" si="34"/>
        <v>14.41</v>
      </c>
      <c r="BY19" s="11">
        <f t="shared" si="35"/>
        <v>48.91</v>
      </c>
      <c r="BZ19" s="11">
        <f t="shared" si="36"/>
        <v>97.859999999999985</v>
      </c>
      <c r="CA19" s="22">
        <v>11.9</v>
      </c>
      <c r="CB19" s="22">
        <v>8.5</v>
      </c>
      <c r="CC19" s="22">
        <v>11.3</v>
      </c>
      <c r="CD19" s="22">
        <v>14.57</v>
      </c>
      <c r="CE19" s="22">
        <v>1</v>
      </c>
      <c r="CF19" s="22">
        <v>1.2</v>
      </c>
      <c r="CG19" s="22">
        <v>0.8</v>
      </c>
      <c r="CH19" s="22">
        <v>1.7</v>
      </c>
      <c r="CI19" s="22">
        <v>1.67</v>
      </c>
      <c r="CJ19" s="22">
        <v>0</v>
      </c>
      <c r="CK19" s="22">
        <v>11.8</v>
      </c>
      <c r="CL19" s="22">
        <v>8.3000000000000007</v>
      </c>
      <c r="CM19" s="22">
        <v>14.1</v>
      </c>
      <c r="CN19" s="22">
        <v>14.52</v>
      </c>
      <c r="CO19" s="22">
        <v>0</v>
      </c>
      <c r="CP19" s="27"/>
      <c r="CQ19" s="38">
        <f t="shared" si="37"/>
        <v>11.3</v>
      </c>
      <c r="CR19" s="38">
        <f t="shared" si="38"/>
        <v>14.57</v>
      </c>
      <c r="CS19" s="40">
        <f t="shared" si="39"/>
        <v>45.269999999999996</v>
      </c>
      <c r="CT19" s="40">
        <f t="shared" si="40"/>
        <v>1.7</v>
      </c>
      <c r="CU19" s="40">
        <f t="shared" si="41"/>
        <v>1.67</v>
      </c>
      <c r="CV19" s="40">
        <f t="shared" si="42"/>
        <v>5.37</v>
      </c>
      <c r="CW19" s="40">
        <f t="shared" si="43"/>
        <v>45.269999999999996</v>
      </c>
      <c r="CX19" s="40">
        <f t="shared" si="44"/>
        <v>14.1</v>
      </c>
      <c r="CY19" s="40">
        <f t="shared" si="45"/>
        <v>14.52</v>
      </c>
      <c r="CZ19" s="40">
        <f t="shared" si="46"/>
        <v>48.72</v>
      </c>
      <c r="DA19" s="40">
        <f t="shared" si="47"/>
        <v>93.99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11.75</v>
      </c>
      <c r="SW19" s="22">
        <f t="shared" si="219"/>
        <v>8.8000000000000007</v>
      </c>
      <c r="SX19" s="22">
        <f t="shared" si="220"/>
        <v>12.7</v>
      </c>
      <c r="SY19" s="22">
        <f t="shared" si="221"/>
        <v>14.36</v>
      </c>
      <c r="SZ19" s="22">
        <f t="shared" si="222"/>
        <v>0.5</v>
      </c>
      <c r="TA19" s="22">
        <f t="shared" si="223"/>
        <v>1.1000000000000001</v>
      </c>
      <c r="TB19" s="22">
        <f t="shared" si="224"/>
        <v>0.8</v>
      </c>
      <c r="TC19" s="22">
        <f t="shared" si="225"/>
        <v>1.85</v>
      </c>
      <c r="TD19" s="22">
        <f t="shared" si="226"/>
        <v>1.635</v>
      </c>
      <c r="TE19" s="22">
        <f t="shared" si="227"/>
        <v>0</v>
      </c>
      <c r="TF19" s="22">
        <f t="shared" si="228"/>
        <v>12.100000000000001</v>
      </c>
      <c r="TG19" s="22">
        <f t="shared" si="229"/>
        <v>8.8500000000000014</v>
      </c>
      <c r="TH19" s="22">
        <f t="shared" si="230"/>
        <v>13.399999999999999</v>
      </c>
      <c r="TI19" s="22">
        <f t="shared" si="231"/>
        <v>14.465</v>
      </c>
      <c r="TJ19" s="22">
        <f t="shared" si="232"/>
        <v>0</v>
      </c>
      <c r="TK19" s="27" t="s">
        <v>46</v>
      </c>
      <c r="TL19" s="40">
        <f t="shared" si="233"/>
        <v>12.7</v>
      </c>
      <c r="TM19" s="40">
        <f t="shared" si="234"/>
        <v>14.36</v>
      </c>
      <c r="TN19" s="40">
        <f t="shared" si="235"/>
        <v>47.11</v>
      </c>
      <c r="TO19" s="40">
        <f t="shared" si="236"/>
        <v>1.85</v>
      </c>
      <c r="TP19" s="40">
        <f t="shared" si="237"/>
        <v>1.635</v>
      </c>
      <c r="TQ19" s="40">
        <f t="shared" si="238"/>
        <v>5.3849999999999998</v>
      </c>
      <c r="TR19" s="40">
        <f t="shared" si="239"/>
        <v>47.11</v>
      </c>
      <c r="TS19" s="40">
        <f t="shared" si="240"/>
        <v>13.399999999999999</v>
      </c>
      <c r="TT19" s="40">
        <f t="shared" si="241"/>
        <v>14.465</v>
      </c>
      <c r="TU19" s="40">
        <f t="shared" si="242"/>
        <v>48.814999999999998</v>
      </c>
      <c r="TV19" s="40">
        <f t="shared" si="243"/>
        <v>95.924999999999997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93</v>
      </c>
      <c r="D20" s="4" t="s">
        <v>3</v>
      </c>
      <c r="E20" s="4">
        <v>2005</v>
      </c>
      <c r="F20" s="9">
        <f t="shared" si="0"/>
        <v>156.84001568400529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52.61</v>
      </c>
      <c r="M20" s="8" t="str">
        <f t="shared" si="5"/>
        <v>2025 Nationals</v>
      </c>
      <c r="N20" s="8">
        <f>IF(COUNT(AQ20,AT20,BR20,BU20,CS20,CV20)&gt;1,LARGE((AQ20,AT20,BR20,BU20,CS20,CV20),2),0)</f>
        <v>21.73</v>
      </c>
      <c r="O20" s="8" t="str">
        <f t="shared" si="6"/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 t="shared" si="7"/>
        <v>2025 Nationals</v>
      </c>
      <c r="R20" s="8">
        <f t="shared" si="8"/>
        <v>14.6</v>
      </c>
      <c r="S20" s="8" t="str">
        <f t="shared" si="9"/>
        <v>2025 Nationals</v>
      </c>
      <c r="T20" s="8">
        <f t="shared" si="10"/>
        <v>15.05</v>
      </c>
      <c r="U20" s="8" t="str">
        <f t="shared" si="11"/>
        <v>2025 Nationals</v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5"/>
        <v/>
      </c>
      <c r="AP20" s="38" t="str">
        <f t="shared" si="16"/>
        <v/>
      </c>
      <c r="AQ20" s="40" t="str">
        <f t="shared" si="17"/>
        <v/>
      </c>
      <c r="AR20" s="40" t="str">
        <f t="shared" si="18"/>
        <v/>
      </c>
      <c r="AS20" s="40" t="str">
        <f t="shared" si="19"/>
        <v/>
      </c>
      <c r="AT20" s="40" t="str">
        <f t="shared" si="20"/>
        <v/>
      </c>
      <c r="AU20" s="40" t="str">
        <f t="shared" si="21"/>
        <v/>
      </c>
      <c r="AV20" s="40" t="str">
        <f t="shared" si="22"/>
        <v/>
      </c>
      <c r="AW20" s="40" t="str">
        <f t="shared" si="23"/>
        <v/>
      </c>
      <c r="AX20" s="40" t="str">
        <f t="shared" si="24"/>
        <v/>
      </c>
      <c r="AY20" s="40" t="str">
        <f t="shared" si="25"/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6"/>
        <v>4.7</v>
      </c>
      <c r="BQ20" s="39">
        <f t="shared" si="27"/>
        <v>4.66</v>
      </c>
      <c r="BR20" s="11">
        <f t="shared" si="28"/>
        <v>16.260000000000002</v>
      </c>
      <c r="BS20" s="11">
        <f t="shared" si="29"/>
        <v>6.4</v>
      </c>
      <c r="BT20" s="11">
        <f t="shared" si="30"/>
        <v>6.33</v>
      </c>
      <c r="BU20" s="11">
        <f t="shared" si="31"/>
        <v>21.73</v>
      </c>
      <c r="BV20" s="11">
        <f t="shared" si="32"/>
        <v>21.73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 t="shared" si="37"/>
        <v>14.6</v>
      </c>
      <c r="CR20" s="38">
        <f t="shared" si="38"/>
        <v>15.01</v>
      </c>
      <c r="CS20" s="40">
        <f t="shared" si="39"/>
        <v>52.61</v>
      </c>
      <c r="CT20" s="40">
        <f t="shared" si="40"/>
        <v>2</v>
      </c>
      <c r="CU20" s="40">
        <f t="shared" si="41"/>
        <v>1.64</v>
      </c>
      <c r="CV20" s="40">
        <f t="shared" si="42"/>
        <v>5.84</v>
      </c>
      <c r="CW20" s="40">
        <f t="shared" si="43"/>
        <v>52.61</v>
      </c>
      <c r="CX20" s="40">
        <f t="shared" si="44"/>
        <v>14.6</v>
      </c>
      <c r="CY20" s="40">
        <f t="shared" si="45"/>
        <v>15.05</v>
      </c>
      <c r="CZ20" s="40">
        <f t="shared" si="46"/>
        <v>52.850000000000009</v>
      </c>
      <c r="DA20" s="40">
        <f t="shared" si="47"/>
        <v>105.46000000000001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8.85</v>
      </c>
      <c r="SW20" s="22">
        <f t="shared" si="219"/>
        <v>6.1</v>
      </c>
      <c r="SX20" s="22">
        <f t="shared" si="220"/>
        <v>9.65</v>
      </c>
      <c r="SY20" s="22">
        <f t="shared" si="221"/>
        <v>9.8350000000000009</v>
      </c>
      <c r="SZ20" s="22">
        <f t="shared" si="222"/>
        <v>0</v>
      </c>
      <c r="TA20" s="22">
        <f t="shared" si="223"/>
        <v>3.4499999999999997</v>
      </c>
      <c r="TB20" s="22">
        <f t="shared" si="224"/>
        <v>2.15</v>
      </c>
      <c r="TC20" s="22">
        <f t="shared" si="225"/>
        <v>4.2</v>
      </c>
      <c r="TD20" s="22">
        <f t="shared" si="226"/>
        <v>3.9849999999999999</v>
      </c>
      <c r="TE20" s="22">
        <f t="shared" si="227"/>
        <v>0</v>
      </c>
      <c r="TF20" s="22">
        <f t="shared" si="228"/>
        <v>6.95</v>
      </c>
      <c r="TG20" s="22">
        <f t="shared" si="229"/>
        <v>4.6500000000000004</v>
      </c>
      <c r="TH20" s="22">
        <f t="shared" si="230"/>
        <v>7.3</v>
      </c>
      <c r="TI20" s="22">
        <f t="shared" si="231"/>
        <v>7.5250000000000004</v>
      </c>
      <c r="TJ20" s="22">
        <f t="shared" si="232"/>
        <v>0</v>
      </c>
      <c r="TK20" s="27" t="s">
        <v>46</v>
      </c>
      <c r="TL20" s="40">
        <f t="shared" si="233"/>
        <v>9.65</v>
      </c>
      <c r="TM20" s="40">
        <f t="shared" si="234"/>
        <v>9.8350000000000009</v>
      </c>
      <c r="TN20" s="40">
        <f t="shared" si="235"/>
        <v>34.435000000000002</v>
      </c>
      <c r="TO20" s="40">
        <f t="shared" si="236"/>
        <v>4.2</v>
      </c>
      <c r="TP20" s="40">
        <f t="shared" si="237"/>
        <v>3.9849999999999999</v>
      </c>
      <c r="TQ20" s="40">
        <f t="shared" si="238"/>
        <v>13.785</v>
      </c>
      <c r="TR20" s="40">
        <f t="shared" si="239"/>
        <v>34.435000000000002</v>
      </c>
      <c r="TS20" s="40">
        <f t="shared" si="240"/>
        <v>7.3</v>
      </c>
      <c r="TT20" s="40">
        <f t="shared" si="241"/>
        <v>7.5250000000000004</v>
      </c>
      <c r="TU20" s="40">
        <f t="shared" si="242"/>
        <v>26.425000000000004</v>
      </c>
      <c r="TV20" s="40">
        <f t="shared" si="243"/>
        <v>60.860000000000007</v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153</v>
      </c>
      <c r="D21" s="4" t="s">
        <v>6</v>
      </c>
      <c r="E21" s="4">
        <v>2006</v>
      </c>
      <c r="F21" s="9">
        <f t="shared" si="0"/>
        <v>147.0500147050048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47.989999999999995</v>
      </c>
      <c r="M21" s="8" t="str">
        <f t="shared" si="5"/>
        <v>2024 3rd Domestic Trial</v>
      </c>
      <c r="N21" s="8">
        <f>IF(COUNT(AQ21,AT21,BR21,BU21,CS21,CV21)&gt;1,LARGE((AQ21,AT21,BR21,BU21,CS21,CV21),2),0)</f>
        <v>40.04</v>
      </c>
      <c r="O21" s="8" t="str">
        <f t="shared" si="6"/>
        <v>2024 3rd Domestic Trial</v>
      </c>
      <c r="P21" s="8">
        <f>IF(COUNT(AQ21,AT21,BR21,BU21,CS21,CV21)&gt;2,MAX(AX21,BY21,CZ21,LARGE((AQ21,AT21,BR21,BU21,CS21,CV21),3)),IF(MAX(AX21,BY21,CZ21)&gt;0,MAX(AX21,BY21,CZ21),0))</f>
        <v>48.819999999999993</v>
      </c>
      <c r="Q21" s="8" t="str">
        <f t="shared" si="7"/>
        <v>2024 3rd Domestic Trial</v>
      </c>
      <c r="R21" s="8">
        <f t="shared" si="8"/>
        <v>10.199999999999999</v>
      </c>
      <c r="S21" s="8" t="str">
        <f t="shared" si="9"/>
        <v>2024 3rd Domestic Trial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11.7</v>
      </c>
      <c r="Z21" s="22">
        <v>8</v>
      </c>
      <c r="AA21" s="22">
        <v>7.5</v>
      </c>
      <c r="AB21" s="22">
        <v>12.84</v>
      </c>
      <c r="AC21" s="22">
        <v>0</v>
      </c>
      <c r="AD21" s="22">
        <v>13.2</v>
      </c>
      <c r="AE21" s="22">
        <v>9.5</v>
      </c>
      <c r="AF21" s="22">
        <v>10.199999999999999</v>
      </c>
      <c r="AG21" s="22">
        <v>15.09</v>
      </c>
      <c r="AH21" s="22">
        <v>0</v>
      </c>
      <c r="AI21" s="22">
        <v>14</v>
      </c>
      <c r="AJ21" s="22">
        <v>9.6</v>
      </c>
      <c r="AK21" s="22">
        <v>10.199999999999999</v>
      </c>
      <c r="AL21" s="22">
        <v>15.02</v>
      </c>
      <c r="AM21" s="22">
        <v>0</v>
      </c>
      <c r="AN21" s="27"/>
      <c r="AO21" s="38">
        <f t="shared" si="15"/>
        <v>7.5</v>
      </c>
      <c r="AP21" s="38">
        <f t="shared" si="16"/>
        <v>12.84</v>
      </c>
      <c r="AQ21" s="40">
        <f t="shared" si="17"/>
        <v>40.04</v>
      </c>
      <c r="AR21" s="40">
        <f t="shared" si="18"/>
        <v>10.199999999999999</v>
      </c>
      <c r="AS21" s="40">
        <f t="shared" si="19"/>
        <v>15.09</v>
      </c>
      <c r="AT21" s="40">
        <f t="shared" si="20"/>
        <v>47.989999999999995</v>
      </c>
      <c r="AU21" s="40">
        <f t="shared" si="21"/>
        <v>47.989999999999995</v>
      </c>
      <c r="AV21" s="40">
        <f t="shared" si="22"/>
        <v>10.199999999999999</v>
      </c>
      <c r="AW21" s="40">
        <f t="shared" si="23"/>
        <v>15.02</v>
      </c>
      <c r="AX21" s="40">
        <f t="shared" si="24"/>
        <v>48.819999999999993</v>
      </c>
      <c r="AY21" s="40">
        <f t="shared" si="25"/>
        <v>96.809999999999988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109</v>
      </c>
      <c r="D22" s="4" t="s">
        <v>6</v>
      </c>
      <c r="E22" s="4">
        <v>2004</v>
      </c>
      <c r="F22" s="9">
        <f t="shared" si="0"/>
        <v>140.14001401400441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43.96</v>
      </c>
      <c r="M22" s="8" t="str">
        <f t="shared" si="5"/>
        <v>2025 Elite Canada</v>
      </c>
      <c r="N22" s="8">
        <f>IF(COUNT(AQ22,AT22,BR22,BU22,CS22,CV22)&gt;1,LARGE((AQ22,AT22,BR22,BU22,CS22,CV22),2),0)</f>
        <v>36.6</v>
      </c>
      <c r="O22" s="8" t="str">
        <f t="shared" si="6"/>
        <v>2025 Elite Canada</v>
      </c>
      <c r="P22" s="8">
        <f>IF(COUNT(AQ22,AT22,BR22,BU22,CS22,CV22)&gt;2,MAX(AX22,BY22,CZ22,LARGE((AQ22,AT22,BR22,BU22,CS22,CV22),3)),IF(MAX(AX22,BY22,CZ22)&gt;0,MAX(AX22,BY22,CZ22),0))</f>
        <v>48.080000000000005</v>
      </c>
      <c r="Q22" s="8" t="str">
        <f t="shared" si="7"/>
        <v>2025 Elite Canada</v>
      </c>
      <c r="R22" s="8">
        <f t="shared" si="8"/>
        <v>11.5</v>
      </c>
      <c r="S22" s="8" t="str">
        <f t="shared" si="9"/>
        <v>2025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 t="str">
        <f t="shared" si="25"/>
        <v/>
      </c>
      <c r="AZ22" s="26">
        <v>13.4</v>
      </c>
      <c r="BA22" s="26">
        <v>8.8000000000000007</v>
      </c>
      <c r="BB22" s="26">
        <v>9.9</v>
      </c>
      <c r="BC22" s="26">
        <v>14.26</v>
      </c>
      <c r="BD22" s="26">
        <v>2.4</v>
      </c>
      <c r="BE22" s="26">
        <v>9.6</v>
      </c>
      <c r="BF22" s="26">
        <v>6.4</v>
      </c>
      <c r="BG22" s="26">
        <v>9.6999999999999993</v>
      </c>
      <c r="BH22" s="26">
        <v>10.9</v>
      </c>
      <c r="BI22" s="26">
        <v>0</v>
      </c>
      <c r="BJ22" s="26">
        <v>13.8</v>
      </c>
      <c r="BK22" s="26">
        <v>8.4</v>
      </c>
      <c r="BL22" s="26">
        <v>11.5</v>
      </c>
      <c r="BM22" s="26">
        <v>15.18</v>
      </c>
      <c r="BN22" s="26">
        <v>0.8</v>
      </c>
      <c r="BO22" s="28"/>
      <c r="BP22" s="39">
        <f t="shared" si="26"/>
        <v>9.9</v>
      </c>
      <c r="BQ22" s="39">
        <f t="shared" si="27"/>
        <v>14.26</v>
      </c>
      <c r="BR22" s="11">
        <f t="shared" si="28"/>
        <v>43.96</v>
      </c>
      <c r="BS22" s="11">
        <f t="shared" si="29"/>
        <v>9.6999999999999993</v>
      </c>
      <c r="BT22" s="11">
        <f t="shared" si="30"/>
        <v>10.9</v>
      </c>
      <c r="BU22" s="11">
        <f t="shared" si="31"/>
        <v>36.6</v>
      </c>
      <c r="BV22" s="11">
        <f t="shared" si="32"/>
        <v>43.96</v>
      </c>
      <c r="BW22" s="11">
        <f t="shared" si="33"/>
        <v>11.5</v>
      </c>
      <c r="BX22" s="11">
        <f t="shared" si="34"/>
        <v>15.18</v>
      </c>
      <c r="BY22" s="11">
        <f t="shared" si="35"/>
        <v>48.080000000000005</v>
      </c>
      <c r="BZ22" s="11">
        <f t="shared" si="36"/>
        <v>92.04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6.7</v>
      </c>
      <c r="SW22" s="22">
        <f t="shared" si="219"/>
        <v>4.4000000000000004</v>
      </c>
      <c r="SX22" s="22">
        <f t="shared" si="220"/>
        <v>4.95</v>
      </c>
      <c r="SY22" s="22">
        <f t="shared" si="221"/>
        <v>7.13</v>
      </c>
      <c r="SZ22" s="22">
        <f t="shared" si="222"/>
        <v>1.2</v>
      </c>
      <c r="TA22" s="22">
        <f t="shared" si="223"/>
        <v>4.8</v>
      </c>
      <c r="TB22" s="22">
        <f t="shared" si="224"/>
        <v>3.2</v>
      </c>
      <c r="TC22" s="22">
        <f t="shared" si="225"/>
        <v>4.8499999999999996</v>
      </c>
      <c r="TD22" s="22">
        <f t="shared" si="226"/>
        <v>5.45</v>
      </c>
      <c r="TE22" s="22">
        <f t="shared" si="227"/>
        <v>0</v>
      </c>
      <c r="TF22" s="22">
        <f t="shared" si="228"/>
        <v>6.9</v>
      </c>
      <c r="TG22" s="22">
        <f t="shared" si="229"/>
        <v>4.2</v>
      </c>
      <c r="TH22" s="22">
        <f t="shared" si="230"/>
        <v>5.75</v>
      </c>
      <c r="TI22" s="22">
        <f t="shared" si="231"/>
        <v>7.59</v>
      </c>
      <c r="TJ22" s="22">
        <f t="shared" si="232"/>
        <v>0.4</v>
      </c>
      <c r="TK22" s="27" t="s">
        <v>46</v>
      </c>
      <c r="TL22" s="40">
        <f t="shared" si="233"/>
        <v>4.95</v>
      </c>
      <c r="TM22" s="40">
        <f t="shared" si="234"/>
        <v>7.13</v>
      </c>
      <c r="TN22" s="40">
        <f t="shared" si="235"/>
        <v>21.98</v>
      </c>
      <c r="TO22" s="40">
        <f t="shared" si="236"/>
        <v>4.8499999999999996</v>
      </c>
      <c r="TP22" s="40">
        <f t="shared" si="237"/>
        <v>5.45</v>
      </c>
      <c r="TQ22" s="40">
        <f t="shared" si="238"/>
        <v>18.3</v>
      </c>
      <c r="TR22" s="40">
        <f t="shared" si="239"/>
        <v>21.98</v>
      </c>
      <c r="TS22" s="40">
        <f t="shared" si="240"/>
        <v>5.75</v>
      </c>
      <c r="TT22" s="40">
        <f t="shared" si="241"/>
        <v>7.59</v>
      </c>
      <c r="TU22" s="40">
        <f t="shared" si="242"/>
        <v>24.040000000000003</v>
      </c>
      <c r="TV22" s="40">
        <f t="shared" si="243"/>
        <v>46.02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135</v>
      </c>
      <c r="D23" s="4" t="s">
        <v>5</v>
      </c>
      <c r="E23" s="4">
        <v>2007</v>
      </c>
      <c r="F23" s="9">
        <f t="shared" si="0"/>
        <v>137.64001376400503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50.280000000000008</v>
      </c>
      <c r="M23" s="8" t="str">
        <f t="shared" si="5"/>
        <v>2024 3rd Domestic Trial</v>
      </c>
      <c r="N23" s="8">
        <f>IF(COUNT(AQ23,AT23,BR23,BU23,CS23,CV23)&gt;1,LARGE((AQ23,AT23,BR23,BU23,CS23,CV23),2),0)</f>
        <v>26.1</v>
      </c>
      <c r="O23" s="8" t="str">
        <f t="shared" si="6"/>
        <v>2024 3rd Domestic Trial</v>
      </c>
      <c r="P23" s="8">
        <f>IF(COUNT(AQ23,AT23,BR23,BU23,CS23,CV23)&gt;2,MAX(AX23,BY23,CZ23,LARGE((AQ23,AT23,BR23,BU23,CS23,CV23),3)),IF(MAX(AX23,BY23,CZ23)&gt;0,MAX(AX23,BY23,CZ23),0))</f>
        <v>49.06</v>
      </c>
      <c r="Q23" s="8" t="str">
        <f t="shared" si="7"/>
        <v>2025 Nationals</v>
      </c>
      <c r="R23" s="8">
        <f t="shared" si="8"/>
        <v>12.2</v>
      </c>
      <c r="S23" s="8" t="str">
        <f t="shared" si="9"/>
        <v>2024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7.1</v>
      </c>
      <c r="Z23" s="22">
        <v>4.5999999999999996</v>
      </c>
      <c r="AA23" s="22">
        <v>6.5</v>
      </c>
      <c r="AB23" s="22">
        <v>7.9</v>
      </c>
      <c r="AC23" s="22">
        <v>0</v>
      </c>
      <c r="AD23" s="22">
        <v>13.9</v>
      </c>
      <c r="AE23" s="22">
        <v>8.8000000000000007</v>
      </c>
      <c r="AF23" s="22">
        <v>12.2</v>
      </c>
      <c r="AG23" s="22">
        <v>15.38</v>
      </c>
      <c r="AH23" s="22">
        <v>0</v>
      </c>
      <c r="AI23" s="22">
        <v>7.8</v>
      </c>
      <c r="AJ23" s="22">
        <v>4.5</v>
      </c>
      <c r="AK23" s="22">
        <v>6.5</v>
      </c>
      <c r="AL23" s="22">
        <v>7.94</v>
      </c>
      <c r="AM23" s="22">
        <v>0</v>
      </c>
      <c r="AN23" s="27"/>
      <c r="AO23" s="38">
        <f t="shared" si="15"/>
        <v>6.5</v>
      </c>
      <c r="AP23" s="38">
        <f t="shared" si="16"/>
        <v>7.9</v>
      </c>
      <c r="AQ23" s="40">
        <f t="shared" si="17"/>
        <v>26.1</v>
      </c>
      <c r="AR23" s="40">
        <f t="shared" si="18"/>
        <v>12.2</v>
      </c>
      <c r="AS23" s="40">
        <f t="shared" si="19"/>
        <v>15.38</v>
      </c>
      <c r="AT23" s="40">
        <f t="shared" si="20"/>
        <v>50.280000000000008</v>
      </c>
      <c r="AU23" s="40">
        <f t="shared" si="21"/>
        <v>50.280000000000008</v>
      </c>
      <c r="AV23" s="40">
        <f t="shared" si="22"/>
        <v>6.5</v>
      </c>
      <c r="AW23" s="40">
        <f t="shared" si="23"/>
        <v>7.94</v>
      </c>
      <c r="AX23" s="40">
        <f t="shared" si="24"/>
        <v>26.740000000000002</v>
      </c>
      <c r="AY23" s="40">
        <f t="shared" si="25"/>
        <v>77.02000000000001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6"/>
        <v/>
      </c>
      <c r="BQ23" s="39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 t="str">
        <f t="shared" si="36"/>
        <v/>
      </c>
      <c r="CA23" s="22">
        <v>1.5</v>
      </c>
      <c r="CB23" s="22">
        <v>0.8</v>
      </c>
      <c r="CC23" s="22">
        <v>1.5</v>
      </c>
      <c r="CD23" s="22">
        <v>1.5</v>
      </c>
      <c r="CE23" s="22">
        <v>0</v>
      </c>
      <c r="CF23" s="22">
        <v>1.4</v>
      </c>
      <c r="CG23" s="22">
        <v>0.8</v>
      </c>
      <c r="CH23" s="22">
        <v>1.5</v>
      </c>
      <c r="CI23" s="22">
        <v>1.51</v>
      </c>
      <c r="CJ23" s="22">
        <v>0</v>
      </c>
      <c r="CK23" s="22">
        <v>14.4</v>
      </c>
      <c r="CL23" s="22">
        <v>9</v>
      </c>
      <c r="CM23" s="22">
        <v>11.8</v>
      </c>
      <c r="CN23" s="22">
        <v>14.36</v>
      </c>
      <c r="CO23" s="22">
        <v>0.5</v>
      </c>
      <c r="CP23" s="27"/>
      <c r="CQ23" s="38">
        <f t="shared" si="37"/>
        <v>1.5</v>
      </c>
      <c r="CR23" s="38">
        <f t="shared" si="38"/>
        <v>1.5</v>
      </c>
      <c r="CS23" s="40">
        <f t="shared" si="39"/>
        <v>5.3</v>
      </c>
      <c r="CT23" s="40">
        <f t="shared" si="40"/>
        <v>1.5</v>
      </c>
      <c r="CU23" s="40">
        <f t="shared" si="41"/>
        <v>1.51</v>
      </c>
      <c r="CV23" s="40">
        <f t="shared" si="42"/>
        <v>5.21</v>
      </c>
      <c r="CW23" s="40">
        <f t="shared" si="43"/>
        <v>5.3</v>
      </c>
      <c r="CX23" s="40">
        <f t="shared" si="44"/>
        <v>11.8</v>
      </c>
      <c r="CY23" s="40">
        <f t="shared" si="45"/>
        <v>14.36</v>
      </c>
      <c r="CZ23" s="40">
        <f t="shared" si="46"/>
        <v>49.06</v>
      </c>
      <c r="DA23" s="40">
        <f t="shared" si="47"/>
        <v>54.36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0.75</v>
      </c>
      <c r="SW23" s="22">
        <f t="shared" si="219"/>
        <v>0.4</v>
      </c>
      <c r="SX23" s="22">
        <f t="shared" si="220"/>
        <v>0.75</v>
      </c>
      <c r="SY23" s="22">
        <f t="shared" si="221"/>
        <v>0.75</v>
      </c>
      <c r="SZ23" s="22">
        <f t="shared" si="222"/>
        <v>0</v>
      </c>
      <c r="TA23" s="22">
        <f t="shared" si="223"/>
        <v>0.7</v>
      </c>
      <c r="TB23" s="22">
        <f t="shared" si="224"/>
        <v>0.4</v>
      </c>
      <c r="TC23" s="22">
        <f t="shared" si="225"/>
        <v>0.75</v>
      </c>
      <c r="TD23" s="22">
        <f t="shared" si="226"/>
        <v>0.755</v>
      </c>
      <c r="TE23" s="22">
        <f t="shared" si="227"/>
        <v>0</v>
      </c>
      <c r="TF23" s="22">
        <f t="shared" si="228"/>
        <v>7.2</v>
      </c>
      <c r="TG23" s="22">
        <f t="shared" si="229"/>
        <v>4.5</v>
      </c>
      <c r="TH23" s="22">
        <f t="shared" si="230"/>
        <v>5.9</v>
      </c>
      <c r="TI23" s="22">
        <f t="shared" si="231"/>
        <v>7.18</v>
      </c>
      <c r="TJ23" s="22">
        <f t="shared" si="232"/>
        <v>0.25</v>
      </c>
      <c r="TK23" s="27" t="s">
        <v>46</v>
      </c>
      <c r="TL23" s="40">
        <f t="shared" si="233"/>
        <v>0.75</v>
      </c>
      <c r="TM23" s="40">
        <f t="shared" si="234"/>
        <v>0.75</v>
      </c>
      <c r="TN23" s="40">
        <f t="shared" si="235"/>
        <v>2.65</v>
      </c>
      <c r="TO23" s="40">
        <f t="shared" si="236"/>
        <v>0.75</v>
      </c>
      <c r="TP23" s="40">
        <f t="shared" si="237"/>
        <v>0.755</v>
      </c>
      <c r="TQ23" s="40">
        <f t="shared" si="238"/>
        <v>2.605</v>
      </c>
      <c r="TR23" s="40">
        <f t="shared" si="239"/>
        <v>2.65</v>
      </c>
      <c r="TS23" s="40">
        <f t="shared" si="240"/>
        <v>5.9</v>
      </c>
      <c r="TT23" s="40">
        <f t="shared" si="241"/>
        <v>7.18</v>
      </c>
      <c r="TU23" s="40">
        <f t="shared" si="242"/>
        <v>24.53</v>
      </c>
      <c r="TV23" s="40">
        <f t="shared" si="243"/>
        <v>27.18</v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97</v>
      </c>
      <c r="D24" s="4" t="s">
        <v>4</v>
      </c>
      <c r="E24" s="4">
        <v>2005</v>
      </c>
      <c r="F24" s="9">
        <f t="shared" si="0"/>
        <v>134.56001345600453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45.129999999999995</v>
      </c>
      <c r="M24" s="8" t="str">
        <f t="shared" si="5"/>
        <v>2025 Elite Canada</v>
      </c>
      <c r="N24" s="8">
        <f>IF(COUNT(AQ24,AT24,BR24,BU24,CS24,CV24)&gt;1,LARGE((AQ24,AT24,BR24,BU24,CS24,CV24),2),0)</f>
        <v>43.16</v>
      </c>
      <c r="O24" s="8" t="str">
        <f t="shared" si="6"/>
        <v>2024 3rd Domestic Trial</v>
      </c>
      <c r="P24" s="8">
        <f>IF(COUNT(AQ24,AT24,BR24,BU24,CS24,CV24)&gt;2,MAX(AX24,BY24,CZ24,LARGE((AQ24,AT24,BR24,BU24,CS24,CV24),3)),IF(MAX(AX24,BY24,CZ24)&gt;0,MAX(AX24,BY24,CZ24),0))</f>
        <v>35.47</v>
      </c>
      <c r="Q24" s="8" t="str">
        <f t="shared" si="7"/>
        <v>2025 Elite Canada</v>
      </c>
      <c r="R24" s="8">
        <f t="shared" si="8"/>
        <v>10.8</v>
      </c>
      <c r="S24" s="8" t="str">
        <f t="shared" si="9"/>
        <v>2024 3rd Domestic Trial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7.4</v>
      </c>
      <c r="Z24" s="22">
        <v>4.4000000000000004</v>
      </c>
      <c r="AA24" s="22">
        <v>6.9</v>
      </c>
      <c r="AB24" s="22">
        <v>8.5299999999999994</v>
      </c>
      <c r="AC24" s="22">
        <v>0</v>
      </c>
      <c r="AD24" s="22">
        <v>11.6</v>
      </c>
      <c r="AE24" s="22">
        <v>7.3</v>
      </c>
      <c r="AF24" s="22">
        <v>10.8</v>
      </c>
      <c r="AG24" s="22">
        <v>13.46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5"/>
        <v>6.9</v>
      </c>
      <c r="AP24" s="38">
        <f t="shared" si="16"/>
        <v>8.5299999999999994</v>
      </c>
      <c r="AQ24" s="40">
        <f t="shared" si="17"/>
        <v>27.230000000000004</v>
      </c>
      <c r="AR24" s="40">
        <f t="shared" si="18"/>
        <v>10.8</v>
      </c>
      <c r="AS24" s="40">
        <f t="shared" si="19"/>
        <v>13.46</v>
      </c>
      <c r="AT24" s="40">
        <f t="shared" si="20"/>
        <v>43.16</v>
      </c>
      <c r="AU24" s="40">
        <f t="shared" si="21"/>
        <v>43.16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43.16</v>
      </c>
      <c r="AZ24" s="26">
        <v>8.8000000000000007</v>
      </c>
      <c r="BA24" s="26">
        <v>6.55</v>
      </c>
      <c r="BB24" s="26">
        <v>8.3500000000000014</v>
      </c>
      <c r="BC24" s="26">
        <v>11.77</v>
      </c>
      <c r="BD24" s="26">
        <v>0</v>
      </c>
      <c r="BE24" s="26">
        <v>11.95</v>
      </c>
      <c r="BF24" s="26">
        <v>8.1</v>
      </c>
      <c r="BG24" s="26">
        <v>10.65</v>
      </c>
      <c r="BH24" s="26">
        <v>14.43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8" t="s">
        <v>46</v>
      </c>
      <c r="BP24" s="39">
        <f t="shared" si="26"/>
        <v>8.3500000000000014</v>
      </c>
      <c r="BQ24" s="39">
        <f t="shared" si="27"/>
        <v>11.77</v>
      </c>
      <c r="BR24" s="11">
        <f t="shared" si="28"/>
        <v>35.47</v>
      </c>
      <c r="BS24" s="11">
        <f t="shared" si="29"/>
        <v>10.65</v>
      </c>
      <c r="BT24" s="11">
        <f t="shared" si="30"/>
        <v>14.43</v>
      </c>
      <c r="BU24" s="11">
        <f t="shared" si="31"/>
        <v>45.129999999999995</v>
      </c>
      <c r="BV24" s="11">
        <f t="shared" si="32"/>
        <v>45.129999999999995</v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>
        <f t="shared" si="36"/>
        <v>45.129999999999995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4.4000000000000004</v>
      </c>
      <c r="SW24" s="22">
        <f t="shared" si="219"/>
        <v>3.2749999999999999</v>
      </c>
      <c r="SX24" s="22">
        <f t="shared" si="220"/>
        <v>4.1750000000000007</v>
      </c>
      <c r="SY24" s="22">
        <f t="shared" si="221"/>
        <v>5.8849999999999998</v>
      </c>
      <c r="SZ24" s="22">
        <f t="shared" si="222"/>
        <v>0</v>
      </c>
      <c r="TA24" s="22">
        <f t="shared" si="223"/>
        <v>5.9749999999999996</v>
      </c>
      <c r="TB24" s="22">
        <f t="shared" si="224"/>
        <v>4.05</v>
      </c>
      <c r="TC24" s="22">
        <f t="shared" si="225"/>
        <v>5.3250000000000002</v>
      </c>
      <c r="TD24" s="22">
        <f t="shared" si="226"/>
        <v>7.2149999999999999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>
        <f t="shared" si="233"/>
        <v>4.1750000000000007</v>
      </c>
      <c r="TM24" s="40">
        <f t="shared" si="234"/>
        <v>5.8849999999999998</v>
      </c>
      <c r="TN24" s="40">
        <f t="shared" si="235"/>
        <v>17.734999999999999</v>
      </c>
      <c r="TO24" s="40">
        <f t="shared" si="236"/>
        <v>5.3250000000000002</v>
      </c>
      <c r="TP24" s="40">
        <f t="shared" si="237"/>
        <v>7.2149999999999999</v>
      </c>
      <c r="TQ24" s="40">
        <f t="shared" si="238"/>
        <v>22.564999999999998</v>
      </c>
      <c r="TR24" s="40">
        <f t="shared" si="239"/>
        <v>22.564999999999998</v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>
        <f t="shared" si="243"/>
        <v>22.564999999999998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137</v>
      </c>
      <c r="D25" s="4" t="s">
        <v>5</v>
      </c>
      <c r="E25" s="4">
        <v>2007</v>
      </c>
      <c r="F25" s="9">
        <f t="shared" si="0"/>
        <v>113.07001130700475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47.58</v>
      </c>
      <c r="M25" s="8" t="str">
        <f t="shared" si="5"/>
        <v>2024 3rd Domestic Trial</v>
      </c>
      <c r="N25" s="8">
        <f>IF(COUNT(AQ25,AT25,BR25,BU25,CS25,CV25)&gt;1,LARGE((AQ25,AT25,BR25,BU25,CS25,CV25),2),0)</f>
        <v>20.55</v>
      </c>
      <c r="O25" s="8" t="str">
        <f t="shared" si="6"/>
        <v>2024 3rd Domestic Trial</v>
      </c>
      <c r="P25" s="8">
        <f>IF(COUNT(AQ25,AT25,BR25,BU25,CS25,CV25)&gt;2,MAX(AX25,BY25,CZ25,LARGE((AQ25,AT25,BR25,BU25,CS25,CV25),3)),IF(MAX(AX25,BY25,CZ25)&gt;0,MAX(AX25,BY25,CZ25),0))</f>
        <v>34.14</v>
      </c>
      <c r="Q25" s="8" t="str">
        <f t="shared" si="7"/>
        <v>2024 3rd Domestic Trial</v>
      </c>
      <c r="R25" s="8">
        <f t="shared" si="8"/>
        <v>10.8</v>
      </c>
      <c r="S25" s="8" t="str">
        <f t="shared" si="9"/>
        <v>2024 3rd Domestic Trial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5.3</v>
      </c>
      <c r="Z25" s="22">
        <v>3.7</v>
      </c>
      <c r="AA25" s="22">
        <v>5.6</v>
      </c>
      <c r="AB25" s="22">
        <v>5.95</v>
      </c>
      <c r="AC25" s="22">
        <v>0</v>
      </c>
      <c r="AD25" s="22">
        <v>12.7</v>
      </c>
      <c r="AE25" s="22">
        <v>9.3000000000000007</v>
      </c>
      <c r="AF25" s="22">
        <v>10.8</v>
      </c>
      <c r="AG25" s="22">
        <v>14.78</v>
      </c>
      <c r="AH25" s="22">
        <v>0</v>
      </c>
      <c r="AI25" s="22">
        <v>9.1</v>
      </c>
      <c r="AJ25" s="22">
        <v>6.4</v>
      </c>
      <c r="AK25" s="22">
        <v>8.3000000000000007</v>
      </c>
      <c r="AL25" s="22">
        <v>10.34</v>
      </c>
      <c r="AM25" s="22">
        <v>0</v>
      </c>
      <c r="AN25" s="27"/>
      <c r="AO25" s="38">
        <f t="shared" si="15"/>
        <v>5.6</v>
      </c>
      <c r="AP25" s="38">
        <f t="shared" si="16"/>
        <v>5.95</v>
      </c>
      <c r="AQ25" s="40">
        <f t="shared" si="17"/>
        <v>20.55</v>
      </c>
      <c r="AR25" s="40">
        <f t="shared" si="18"/>
        <v>10.8</v>
      </c>
      <c r="AS25" s="40">
        <f t="shared" si="19"/>
        <v>14.78</v>
      </c>
      <c r="AT25" s="40">
        <f t="shared" si="20"/>
        <v>47.58</v>
      </c>
      <c r="AU25" s="40">
        <f t="shared" si="21"/>
        <v>47.58</v>
      </c>
      <c r="AV25" s="40">
        <f t="shared" si="22"/>
        <v>8.3000000000000007</v>
      </c>
      <c r="AW25" s="40">
        <f t="shared" si="23"/>
        <v>10.34</v>
      </c>
      <c r="AX25" s="40">
        <f t="shared" si="24"/>
        <v>34.14</v>
      </c>
      <c r="AY25" s="40">
        <f t="shared" si="25"/>
        <v>81.72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138</v>
      </c>
      <c r="D26" s="4" t="s">
        <v>6</v>
      </c>
      <c r="E26" s="4">
        <v>2007</v>
      </c>
      <c r="F26" s="9">
        <f t="shared" si="0"/>
        <v>97.640009764001675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16.8</v>
      </c>
      <c r="M26" s="8" t="str">
        <f t="shared" si="5"/>
        <v>2025 Nationals</v>
      </c>
      <c r="N26" s="8">
        <f>IF(COUNT(AQ26,AT26,BR26,BU26,CS26,CV26)&gt;1,LARGE((AQ26,AT26,BR26,BU26,CS26,CV26),2),0)</f>
        <v>16.5</v>
      </c>
      <c r="O26" s="8" t="str">
        <f t="shared" si="6"/>
        <v>2025 Nationals</v>
      </c>
      <c r="P26" s="8">
        <f>IF(COUNT(AQ26,AT26,BR26,BU26,CS26,CV26)&gt;2,MAX(AX26,BY26,CZ26,LARGE((AQ26,AT26,BR26,BU26,CS26,CV26),3)),IF(MAX(AX26,BY26,CZ26)&gt;0,MAX(AX26,BY26,CZ26),0))</f>
        <v>51.84</v>
      </c>
      <c r="Q26" s="8" t="str">
        <f t="shared" si="7"/>
        <v>2025 Nationals</v>
      </c>
      <c r="R26" s="8">
        <f t="shared" si="8"/>
        <v>12.5</v>
      </c>
      <c r="S26" s="8" t="str">
        <f t="shared" si="9"/>
        <v>2025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5"/>
        <v/>
      </c>
      <c r="AP26" s="38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 t="str">
        <f t="shared" si="25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5</v>
      </c>
      <c r="CB26" s="22">
        <v>2.6</v>
      </c>
      <c r="CC26" s="22">
        <v>3.8</v>
      </c>
      <c r="CD26" s="22">
        <v>5.0999999999999996</v>
      </c>
      <c r="CE26" s="22">
        <v>0</v>
      </c>
      <c r="CF26" s="22">
        <v>5.2</v>
      </c>
      <c r="CG26" s="22">
        <v>2.8</v>
      </c>
      <c r="CH26" s="22">
        <v>3.8</v>
      </c>
      <c r="CI26" s="22">
        <v>5</v>
      </c>
      <c r="CJ26" s="22">
        <v>0</v>
      </c>
      <c r="CK26" s="22">
        <v>15.8</v>
      </c>
      <c r="CL26" s="22">
        <v>8.6999999999999993</v>
      </c>
      <c r="CM26" s="22">
        <v>12.5</v>
      </c>
      <c r="CN26" s="22">
        <v>14.84</v>
      </c>
      <c r="CO26" s="22">
        <v>0</v>
      </c>
      <c r="CP26" s="27"/>
      <c r="CQ26" s="38">
        <f t="shared" si="37"/>
        <v>3.8</v>
      </c>
      <c r="CR26" s="38">
        <f t="shared" si="38"/>
        <v>5.0999999999999996</v>
      </c>
      <c r="CS26" s="40">
        <f t="shared" si="39"/>
        <v>16.5</v>
      </c>
      <c r="CT26" s="40">
        <f t="shared" si="40"/>
        <v>3.8</v>
      </c>
      <c r="CU26" s="40">
        <f t="shared" si="41"/>
        <v>5</v>
      </c>
      <c r="CV26" s="40">
        <f t="shared" si="42"/>
        <v>16.8</v>
      </c>
      <c r="CW26" s="40">
        <f t="shared" si="43"/>
        <v>16.8</v>
      </c>
      <c r="CX26" s="40">
        <f t="shared" si="44"/>
        <v>12.5</v>
      </c>
      <c r="CY26" s="40">
        <f t="shared" si="45"/>
        <v>14.84</v>
      </c>
      <c r="CZ26" s="40">
        <f t="shared" si="46"/>
        <v>51.84</v>
      </c>
      <c r="DA26" s="40">
        <f t="shared" si="47"/>
        <v>68.64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2.5</v>
      </c>
      <c r="SW26" s="22">
        <f t="shared" si="219"/>
        <v>1.3</v>
      </c>
      <c r="SX26" s="22">
        <f t="shared" si="220"/>
        <v>1.9</v>
      </c>
      <c r="SY26" s="22">
        <f t="shared" si="221"/>
        <v>2.5499999999999998</v>
      </c>
      <c r="SZ26" s="22">
        <f t="shared" si="222"/>
        <v>0</v>
      </c>
      <c r="TA26" s="22">
        <f t="shared" si="223"/>
        <v>2.6</v>
      </c>
      <c r="TB26" s="22">
        <f t="shared" si="224"/>
        <v>1.4</v>
      </c>
      <c r="TC26" s="22">
        <f t="shared" si="225"/>
        <v>1.9</v>
      </c>
      <c r="TD26" s="22">
        <f t="shared" si="226"/>
        <v>2.5</v>
      </c>
      <c r="TE26" s="22">
        <f t="shared" si="227"/>
        <v>0</v>
      </c>
      <c r="TF26" s="22">
        <f t="shared" si="228"/>
        <v>7.9</v>
      </c>
      <c r="TG26" s="22">
        <f t="shared" si="229"/>
        <v>4.3499999999999996</v>
      </c>
      <c r="TH26" s="22">
        <f t="shared" si="230"/>
        <v>6.25</v>
      </c>
      <c r="TI26" s="22">
        <f t="shared" si="231"/>
        <v>7.42</v>
      </c>
      <c r="TJ26" s="22">
        <f t="shared" si="232"/>
        <v>0</v>
      </c>
      <c r="TK26" s="27" t="s">
        <v>46</v>
      </c>
      <c r="TL26" s="40">
        <f t="shared" si="233"/>
        <v>1.9</v>
      </c>
      <c r="TM26" s="40">
        <f t="shared" si="234"/>
        <v>2.5499999999999998</v>
      </c>
      <c r="TN26" s="40">
        <f t="shared" si="235"/>
        <v>8.25</v>
      </c>
      <c r="TO26" s="40">
        <f t="shared" si="236"/>
        <v>1.9</v>
      </c>
      <c r="TP26" s="40">
        <f t="shared" si="237"/>
        <v>2.5</v>
      </c>
      <c r="TQ26" s="40">
        <f t="shared" si="238"/>
        <v>8.4</v>
      </c>
      <c r="TR26" s="40">
        <f t="shared" si="239"/>
        <v>8.4</v>
      </c>
      <c r="TS26" s="40">
        <f t="shared" si="240"/>
        <v>6.25</v>
      </c>
      <c r="TT26" s="40">
        <f t="shared" si="241"/>
        <v>7.42</v>
      </c>
      <c r="TU26" s="40">
        <f t="shared" si="242"/>
        <v>25.92</v>
      </c>
      <c r="TV26" s="40">
        <f t="shared" si="243"/>
        <v>34.32</v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128</v>
      </c>
      <c r="D27" s="4" t="s">
        <v>3</v>
      </c>
      <c r="E27" s="4">
        <v>2007</v>
      </c>
      <c r="F27" s="9">
        <f t="shared" si="0"/>
        <v>83.330008333003946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39.559999999999995</v>
      </c>
      <c r="M27" s="8" t="str">
        <f t="shared" si="5"/>
        <v>2024 3rd Domestic Trial</v>
      </c>
      <c r="N27" s="8">
        <f>IF(COUNT(AQ27,AT27,BR27,BU27,CS27,CV27)&gt;1,LARGE((AQ27,AT27,BR27,BU27,CS27,CV27),2),0)</f>
        <v>34.47</v>
      </c>
      <c r="O27" s="8" t="str">
        <f t="shared" si="6"/>
        <v>2024 3rd Domestic Trial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7"/>
        <v/>
      </c>
      <c r="R27" s="8">
        <f t="shared" si="8"/>
        <v>9.3000000000000007</v>
      </c>
      <c r="S27" s="8" t="str">
        <f t="shared" si="9"/>
        <v>2024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9</v>
      </c>
      <c r="Z27" s="22">
        <v>5.6</v>
      </c>
      <c r="AA27" s="22">
        <v>9.3000000000000007</v>
      </c>
      <c r="AB27" s="22">
        <v>10.57</v>
      </c>
      <c r="AC27" s="22">
        <v>0</v>
      </c>
      <c r="AD27" s="22">
        <v>17.7</v>
      </c>
      <c r="AE27" s="22">
        <v>9.6999999999999993</v>
      </c>
      <c r="AF27" s="22">
        <v>5.9</v>
      </c>
      <c r="AG27" s="22">
        <v>6.26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5"/>
        <v>9.3000000000000007</v>
      </c>
      <c r="AP27" s="38">
        <f t="shared" si="16"/>
        <v>10.57</v>
      </c>
      <c r="AQ27" s="40">
        <f t="shared" si="17"/>
        <v>34.47</v>
      </c>
      <c r="AR27" s="40">
        <f t="shared" si="18"/>
        <v>5.9</v>
      </c>
      <c r="AS27" s="40">
        <f t="shared" si="19"/>
        <v>6.26</v>
      </c>
      <c r="AT27" s="40">
        <f t="shared" si="20"/>
        <v>39.559999999999995</v>
      </c>
      <c r="AU27" s="40">
        <f t="shared" si="21"/>
        <v>39.559999999999995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39.559999999999995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 t="str">
        <f t="shared" si="243"/>
        <v/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13.5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14.5</v>
      </c>
      <c r="FF30" s="5"/>
      <c r="FG30" s="5"/>
      <c r="FP30" s="2"/>
      <c r="FQ30" s="2"/>
      <c r="FS30" s="53">
        <v>14.5</v>
      </c>
      <c r="GN30" s="5"/>
      <c r="GO30" s="5"/>
      <c r="GX30" s="2"/>
      <c r="GY30" s="2"/>
      <c r="HA30" s="53">
        <v>14.5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52.8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54</v>
      </c>
      <c r="FF34" s="5"/>
      <c r="FG34" s="5"/>
      <c r="FP34" s="2"/>
      <c r="FQ34" s="2"/>
      <c r="FS34" s="57">
        <v>54</v>
      </c>
      <c r="GN34" s="5"/>
      <c r="GO34" s="5"/>
      <c r="GX34" s="2"/>
      <c r="GY34" s="2"/>
      <c r="HA34" s="57">
        <v>54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H1:H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7">
    <cfRule type="expression" dxfId="434" priority="22" stopIfTrue="1">
      <formula>IF($AN4&lt;&gt;"",1,0)</formula>
    </cfRule>
  </conditionalFormatting>
  <conditionalFormatting sqref="AZ4:BZ27">
    <cfRule type="expression" dxfId="433" priority="210" stopIfTrue="1">
      <formula>IF($BO4&lt;&gt;"",1,0)</formula>
    </cfRule>
  </conditionalFormatting>
  <conditionalFormatting sqref="CA4:DA27">
    <cfRule type="expression" dxfId="432" priority="206" stopIfTrue="1">
      <formula>IF($CP4&lt;&gt;"",1,0)</formula>
    </cfRule>
  </conditionalFormatting>
  <conditionalFormatting sqref="BW38:BW1048576 BP1:BP1048576 BS1:BS1048576 BW1:BW36">
    <cfRule type="cellIs" dxfId="431" priority="52632" operator="between">
      <formula>$BZ$33</formula>
      <formula>1000</formula>
    </cfRule>
    <cfRule type="cellIs" dxfId="430" priority="52633" operator="between">
      <formula>$BZ$32</formula>
      <formula>$BZ$33</formula>
    </cfRule>
    <cfRule type="cellIs" dxfId="429" priority="52634" operator="between">
      <formula>$BZ$31</formula>
      <formula>$BZ$32</formula>
    </cfRule>
    <cfRule type="cellIs" dxfId="428" priority="52635" operator="between">
      <formula>$BZ$30</formula>
      <formula>$BZ$31</formula>
    </cfRule>
  </conditionalFormatting>
  <conditionalFormatting sqref="CX38:CX1048576 CQ1:CQ1048576 CT1:CT1048576 CX1:CX36">
    <cfRule type="cellIs" dxfId="427" priority="51509" operator="between">
      <formula>$DA$33</formula>
      <formula>1000</formula>
    </cfRule>
    <cfRule type="cellIs" dxfId="426" priority="51510" operator="between">
      <formula>$DA$32</formula>
      <formula>$DA$33</formula>
    </cfRule>
    <cfRule type="cellIs" dxfId="425" priority="51511" operator="between">
      <formula>$DA$31</formula>
      <formula>$DA$32</formula>
    </cfRule>
    <cfRule type="cellIs" dxfId="424" priority="51512" operator="between">
      <formula>$DA$30</formula>
      <formula>$DA$31</formula>
    </cfRule>
  </conditionalFormatting>
  <conditionalFormatting sqref="EH38:EH1048576 DX1:DX1048576 EA1:EA1048576 EE1:EE1048576 EH1:EH36">
    <cfRule type="cellIs" dxfId="423" priority="52660" operator="between">
      <formula>$EK$33</formula>
      <formula>1000</formula>
    </cfRule>
    <cfRule type="cellIs" dxfId="422" priority="52661" operator="between">
      <formula>$EK$32</formula>
      <formula>$EK$33</formula>
    </cfRule>
    <cfRule type="cellIs" dxfId="421" priority="52662" operator="between">
      <formula>$EK$31</formula>
      <formula>$EK$32</formula>
    </cfRule>
    <cfRule type="cellIs" dxfId="420" priority="52663" operator="between">
      <formula>$EK$30</formula>
      <formula>$EK$31</formula>
    </cfRule>
  </conditionalFormatting>
  <conditionalFormatting sqref="FP38:FP1048576 FF1:FF1048576 FI1:FI1048576 FM1:FM1048576 FP1:FP36">
    <cfRule type="cellIs" dxfId="419" priority="190" operator="between">
      <formula>$FS$33</formula>
      <formula>1000</formula>
    </cfRule>
    <cfRule type="cellIs" dxfId="418" priority="191" operator="between">
      <formula>$FS$32</formula>
      <formula>$FS$33</formula>
    </cfRule>
    <cfRule type="cellIs" dxfId="417" priority="192" operator="between">
      <formula>$FS$31</formula>
      <formula>$FS$32</formula>
    </cfRule>
    <cfRule type="cellIs" dxfId="416" priority="193" operator="between">
      <formula>$FS$30</formula>
      <formula>$FS$31</formula>
    </cfRule>
  </conditionalFormatting>
  <conditionalFormatting sqref="IF38:IF1048576 HV1:HV1048576 HY1:HY1048576 IC1:IC1048576 IF1:IF36">
    <cfRule type="cellIs" dxfId="415" priority="158" operator="between">
      <formula>$II$33</formula>
      <formula>1000</formula>
    </cfRule>
    <cfRule type="cellIs" dxfId="414" priority="159" operator="between">
      <formula>$II$32</formula>
      <formula>$II$33</formula>
    </cfRule>
    <cfRule type="cellIs" dxfId="413" priority="160" operator="between">
      <formula>$II$31</formula>
      <formula>$II$32</formula>
    </cfRule>
    <cfRule type="cellIs" dxfId="412" priority="161" operator="between">
      <formula>$II$30</formula>
      <formula>$II$31</formula>
    </cfRule>
  </conditionalFormatting>
  <conditionalFormatting sqref="AW37 AO1:AO1048576 AR1:AR1048576 AV1:AV1048576">
    <cfRule type="cellIs" dxfId="411" priority="23" operator="between">
      <formula>$AY$33</formula>
      <formula>1000</formula>
    </cfRule>
    <cfRule type="cellIs" dxfId="410" priority="24" operator="between">
      <formula>$AY$32</formula>
      <formula>$AY$33</formula>
    </cfRule>
    <cfRule type="cellIs" dxfId="409" priority="25" operator="between">
      <formula>$AY$31</formula>
      <formula>$AY$32</formula>
    </cfRule>
    <cfRule type="cellIs" dxfId="408" priority="51275" operator="between">
      <formula>$AY$30</formula>
      <formula>$AY$31</formula>
    </cfRule>
  </conditionalFormatting>
  <conditionalFormatting sqref="BW37">
    <cfRule type="cellIs" dxfId="407" priority="18" operator="between">
      <formula>$AY$33</formula>
      <formula>1000</formula>
    </cfRule>
    <cfRule type="cellIs" dxfId="406" priority="19" operator="between">
      <formula>$AY$32</formula>
      <formula>$AY$33</formula>
    </cfRule>
    <cfRule type="cellIs" dxfId="405" priority="20" operator="between">
      <formula>$AY$31</formula>
      <formula>$AY$32</formula>
    </cfRule>
    <cfRule type="cellIs" dxfId="404" priority="21" operator="between">
      <formula>$AY$30</formula>
      <formula>$AY$31</formula>
    </cfRule>
  </conditionalFormatting>
  <conditionalFormatting sqref="CX37">
    <cfRule type="cellIs" dxfId="403" priority="14" operator="between">
      <formula>$AY$33</formula>
      <formula>1000</formula>
    </cfRule>
    <cfRule type="cellIs" dxfId="402" priority="15" operator="between">
      <formula>$AY$32</formula>
      <formula>$AY$33</formula>
    </cfRule>
    <cfRule type="cellIs" dxfId="401" priority="16" operator="between">
      <formula>$AY$31</formula>
      <formula>$AY$32</formula>
    </cfRule>
    <cfRule type="cellIs" dxfId="400" priority="17" operator="between">
      <formula>$AY$30</formula>
      <formula>$AY$31</formula>
    </cfRule>
  </conditionalFormatting>
  <conditionalFormatting sqref="EH37">
    <cfRule type="cellIs" dxfId="399" priority="10" operator="between">
      <formula>$AY$33</formula>
      <formula>1000</formula>
    </cfRule>
    <cfRule type="cellIs" dxfId="398" priority="11" operator="between">
      <formula>$AY$32</formula>
      <formula>$AY$33</formula>
    </cfRule>
    <cfRule type="cellIs" dxfId="397" priority="12" operator="between">
      <formula>$AY$31</formula>
      <formula>$AY$32</formula>
    </cfRule>
    <cfRule type="cellIs" dxfId="396" priority="13" operator="between">
      <formula>$AY$30</formula>
      <formula>$AY$31</formula>
    </cfRule>
  </conditionalFormatting>
  <conditionalFormatting sqref="FP37">
    <cfRule type="cellIs" dxfId="395" priority="6" operator="between">
      <formula>$AY$33</formula>
      <formula>1000</formula>
    </cfRule>
    <cfRule type="cellIs" dxfId="394" priority="7" operator="between">
      <formula>$AY$32</formula>
      <formula>$AY$33</formula>
    </cfRule>
    <cfRule type="cellIs" dxfId="393" priority="8" operator="between">
      <formula>$AY$31</formula>
      <formula>$AY$32</formula>
    </cfRule>
    <cfRule type="cellIs" dxfId="392" priority="9" operator="between">
      <formula>$AY$30</formula>
      <formula>$AY$31</formula>
    </cfRule>
  </conditionalFormatting>
  <conditionalFormatting sqref="IF37">
    <cfRule type="cellIs" dxfId="391" priority="2" operator="between">
      <formula>$AY$33</formula>
      <formula>1000</formula>
    </cfRule>
    <cfRule type="cellIs" dxfId="390" priority="3" operator="between">
      <formula>$AY$32</formula>
      <formula>$AY$33</formula>
    </cfRule>
    <cfRule type="cellIs" dxfId="389" priority="4" operator="between">
      <formula>$AY$31</formula>
      <formula>$AY$32</formula>
    </cfRule>
    <cfRule type="cellIs" dxfId="388" priority="5" operator="between">
      <formula>$AY$30</formula>
      <formula>$AY$31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14567" operator="between">
      <formula>AY$37</formula>
      <formula>1000</formula>
    </cfRule>
    <cfRule type="cellIs" dxfId="381" priority="21456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14579" operator="between">
      <formula>EK$37</formula>
      <formula>1000</formula>
    </cfRule>
    <cfRule type="cellIs" dxfId="379" priority="214580" operator="between">
      <formula>EK$36</formula>
      <formula>EK$37</formula>
    </cfRule>
  </conditionalFormatting>
  <conditionalFormatting sqref="AQ1:AQ1048576 AT1:AT1048576 AX1:AX1048576">
    <cfRule type="cellIs" dxfId="378" priority="214651" operator="between">
      <formula>$AY$37</formula>
      <formula>1000</formula>
    </cfRule>
    <cfRule type="cellIs" dxfId="377" priority="214652" operator="between">
      <formula>$AY$36</formula>
      <formula>$AY$37</formula>
    </cfRule>
    <cfRule type="cellIs" dxfId="376" priority="214653" operator="between">
      <formula>$AY$35</formula>
      <formula>$AY$36</formula>
    </cfRule>
    <cfRule type="cellIs" dxfId="375" priority="214654" operator="between">
      <formula>$AY$34</formula>
      <formula>$AY$35</formula>
    </cfRule>
  </conditionalFormatting>
  <conditionalFormatting sqref="BR1:BR1048576 BU1:BU1048576 BY1:BY1048576">
    <cfRule type="cellIs" dxfId="374" priority="214687" operator="between">
      <formula>$BZ$37</formula>
      <formula>1000</formula>
    </cfRule>
    <cfRule type="cellIs" dxfId="373" priority="214688" operator="between">
      <formula>$BZ$36</formula>
      <formula>$BZ$37</formula>
    </cfRule>
    <cfRule type="cellIs" dxfId="372" priority="214689" operator="between">
      <formula>$BZ$35</formula>
      <formula>$BZ$36</formula>
    </cfRule>
    <cfRule type="cellIs" dxfId="371" priority="214690" operator="between">
      <formula>$BZ$34</formula>
      <formula>$BZ$35</formula>
    </cfRule>
  </conditionalFormatting>
  <conditionalFormatting sqref="CS1:CS1048576 CV1:CV1048576 CZ1:CZ1048576">
    <cfRule type="cellIs" dxfId="370" priority="214723" operator="between">
      <formula>$DA$37</formula>
      <formula>1000</formula>
    </cfRule>
    <cfRule type="cellIs" dxfId="369" priority="214724" operator="between">
      <formula>$DA$36</formula>
      <formula>$DA$37</formula>
    </cfRule>
    <cfRule type="cellIs" dxfId="368" priority="214725" operator="between">
      <formula>$DA$35</formula>
      <formula>$DA$36</formula>
    </cfRule>
    <cfRule type="cellIs" dxfId="367" priority="214726" operator="between">
      <formula>$DA$34</formula>
      <formula>$DA$35</formula>
    </cfRule>
  </conditionalFormatting>
  <conditionalFormatting sqref="NB1:NB1048576 NE1:NE1048576 NI1:NI1048576 NL1:NL1048576">
    <cfRule type="cellIs" dxfId="366" priority="214759" operator="between">
      <formula>$NO$30</formula>
      <formula>$NO$31</formula>
    </cfRule>
  </conditionalFormatting>
  <conditionalFormatting sqref="DZ1:DZ1048576 EC1:EC1048576 EG1:EG1048576 EJ1:EJ1048576">
    <cfRule type="cellIs" dxfId="365" priority="214771" operator="between">
      <formula>$EK$37</formula>
      <formula>1000</formula>
    </cfRule>
    <cfRule type="cellIs" dxfId="364" priority="214772" operator="between">
      <formula>$EK$36</formula>
      <formula>$EK$37</formula>
    </cfRule>
    <cfRule type="cellIs" dxfId="363" priority="214773" operator="between">
      <formula>$EK$35</formula>
      <formula>$EK$36</formula>
    </cfRule>
    <cfRule type="cellIs" dxfId="362" priority="214774" operator="between">
      <formula>$EK$34</formula>
      <formula>$EK$35</formula>
    </cfRule>
  </conditionalFormatting>
  <conditionalFormatting sqref="FH1:FH1048576 FK1:FK1048576 FO1:FO1048576 FR1:FR1048576">
    <cfRule type="cellIs" dxfId="361" priority="214819" operator="between">
      <formula>$FS$37</formula>
      <formula>1000</formula>
    </cfRule>
    <cfRule type="cellIs" dxfId="360" priority="214820" operator="between">
      <formula>$FS$36</formula>
      <formula>$FS$37</formula>
    </cfRule>
    <cfRule type="cellIs" dxfId="359" priority="214821" operator="between">
      <formula>$FS$35</formula>
      <formula>$FS$36</formula>
    </cfRule>
    <cfRule type="cellIs" dxfId="358" priority="214822" operator="between">
      <formula>$FS$34</formula>
      <formula>$FS$35</formula>
    </cfRule>
  </conditionalFormatting>
  <conditionalFormatting sqref="GN1:GN1048576 GQ1:GQ1048576 GU1:GU1048576 GX1:GX1048576">
    <cfRule type="cellIs" dxfId="357" priority="214867" operator="between">
      <formula>$HA$33</formula>
      <formula>1000</formula>
    </cfRule>
    <cfRule type="cellIs" dxfId="356" priority="214868" operator="between">
      <formula>$HA$32</formula>
      <formula>$HA$33</formula>
    </cfRule>
    <cfRule type="cellIs" dxfId="355" priority="214869" operator="between">
      <formula>$HA$31</formula>
      <formula>$HA$32</formula>
    </cfRule>
    <cfRule type="cellIs" dxfId="354" priority="214870" operator="between">
      <formula>$HA$30</formula>
      <formula>$HA$31</formula>
    </cfRule>
  </conditionalFormatting>
  <conditionalFormatting sqref="GP1:GP1048576 GS1:GS1048576 GW1:GW1048576 GZ1:GZ1048576">
    <cfRule type="cellIs" dxfId="353" priority="214915" operator="between">
      <formula>$HA$37</formula>
      <formula>1000</formula>
    </cfRule>
    <cfRule type="cellIs" dxfId="352" priority="214916" operator="between">
      <formula>$HA$36</formula>
      <formula>$HA$37</formula>
    </cfRule>
    <cfRule type="cellIs" dxfId="351" priority="214917" operator="between">
      <formula>$HA$35</formula>
      <formula>$HA$36</formula>
    </cfRule>
    <cfRule type="cellIs" dxfId="350" priority="214918" operator="between">
      <formula>$HA$34</formula>
      <formula>$HA$35</formula>
    </cfRule>
  </conditionalFormatting>
  <conditionalFormatting sqref="HX1:HX1048576 IA1:IA1048576 IE1:IE1048576 IH1:IH1048576">
    <cfRule type="cellIs" dxfId="349" priority="214963" operator="between">
      <formula>$II$37</formula>
      <formula>1000</formula>
    </cfRule>
    <cfRule type="cellIs" dxfId="348" priority="214964" operator="between">
      <formula>$II$36</formula>
      <formula>$II$37</formula>
    </cfRule>
    <cfRule type="cellIs" dxfId="347" priority="214965" operator="between">
      <formula>$II$35</formula>
      <formula>$II$36</formula>
    </cfRule>
    <cfRule type="cellIs" dxfId="346" priority="214966" operator="between">
      <formula>$II$34</formula>
      <formula>$II$35</formula>
    </cfRule>
  </conditionalFormatting>
  <conditionalFormatting sqref="JD1:JD1048576 JG1:JG1048576 JK1:JK1048576 JN1:JN1048576">
    <cfRule type="cellIs" dxfId="345" priority="215011" operator="between">
      <formula>$JQ$33</formula>
      <formula>1000</formula>
    </cfRule>
    <cfRule type="cellIs" dxfId="344" priority="215012" operator="between">
      <formula>$JQ$32</formula>
      <formula>$JQ$33</formula>
    </cfRule>
    <cfRule type="cellIs" dxfId="343" priority="215013" operator="between">
      <formula>$JQ$31</formula>
      <formula>$JQ$32</formula>
    </cfRule>
    <cfRule type="cellIs" dxfId="342" priority="215014" operator="between">
      <formula>$JQ$30</formula>
      <formula>$JQ$31</formula>
    </cfRule>
  </conditionalFormatting>
  <conditionalFormatting sqref="JF1:JF1048576 JI1:JI1048576 JM1:JM1048576 JP1:JP1048576">
    <cfRule type="cellIs" dxfId="341" priority="215059" operator="between">
      <formula>$JQ$37</formula>
      <formula>1000</formula>
    </cfRule>
    <cfRule type="cellIs" dxfId="340" priority="215060" operator="between">
      <formula>$JQ$36</formula>
      <formula>$JQ$37</formula>
    </cfRule>
    <cfRule type="cellIs" dxfId="339" priority="215061" operator="between">
      <formula>$JQ$35</formula>
      <formula>$JQ$36</formula>
    </cfRule>
    <cfRule type="cellIs" dxfId="338" priority="215062" operator="between">
      <formula>$JQ$34</formula>
      <formula>$JQ$35</formula>
    </cfRule>
  </conditionalFormatting>
  <conditionalFormatting sqref="KL1:KL1048576 KO1:KO1048576 KS1:KS1048576 KV1:KV1048576">
    <cfRule type="cellIs" dxfId="337" priority="215107" operator="between">
      <formula>$KY$33</formula>
      <formula>1000</formula>
    </cfRule>
    <cfRule type="cellIs" dxfId="336" priority="215108" operator="between">
      <formula>$KY$32</formula>
      <formula>$KY$33</formula>
    </cfRule>
    <cfRule type="cellIs" dxfId="335" priority="215109" operator="between">
      <formula>$KY$31</formula>
      <formula>$KY$32</formula>
    </cfRule>
    <cfRule type="cellIs" dxfId="334" priority="215110" operator="between">
      <formula>$KY$30</formula>
      <formula>$KY$31</formula>
    </cfRule>
  </conditionalFormatting>
  <conditionalFormatting sqref="KN1:KN1048576 KQ1:KQ1048576 KU1:KU1048576 KX1:KX1048576">
    <cfRule type="cellIs" dxfId="333" priority="215155" operator="between">
      <formula>$KY$37</formula>
      <formula>1000</formula>
    </cfRule>
    <cfRule type="cellIs" dxfId="332" priority="215156" operator="between">
      <formula>$KY$36</formula>
      <formula>$KY$37</formula>
    </cfRule>
    <cfRule type="cellIs" dxfId="331" priority="215157" operator="between">
      <formula>$KY$35</formula>
      <formula>$KY$36</formula>
    </cfRule>
    <cfRule type="cellIs" dxfId="330" priority="215158" operator="between">
      <formula>$KY$34</formula>
      <formula>$KY$35</formula>
    </cfRule>
  </conditionalFormatting>
  <conditionalFormatting sqref="LT1:LT1048576 LW1:LW1048576 MA1:MA1048576 MD1:MD1048576">
    <cfRule type="cellIs" dxfId="329" priority="215203" operator="between">
      <formula>$MG$33</formula>
      <formula>1000</formula>
    </cfRule>
    <cfRule type="cellIs" dxfId="328" priority="215204" operator="between">
      <formula>$MG$32</formula>
      <formula>$MG$33</formula>
    </cfRule>
    <cfRule type="cellIs" dxfId="327" priority="215205" operator="between">
      <formula>$MG$31</formula>
      <formula>$MG$32</formula>
    </cfRule>
    <cfRule type="cellIs" dxfId="326" priority="215206" operator="between">
      <formula>$MG$30</formula>
      <formula>$MG$31</formula>
    </cfRule>
  </conditionalFormatting>
  <conditionalFormatting sqref="LV1:LV1048576 LY1:LY1048576 MC1:MC1048576 MF1:MF1048576">
    <cfRule type="cellIs" dxfId="325" priority="215251" operator="between">
      <formula>$MG$37</formula>
      <formula>1000</formula>
    </cfRule>
    <cfRule type="cellIs" dxfId="324" priority="215252" operator="between">
      <formula>$MG$36</formula>
      <formula>$MG$37</formula>
    </cfRule>
    <cfRule type="cellIs" dxfId="323" priority="215253" operator="between">
      <formula>$MG$35</formula>
      <formula>$MG$36</formula>
    </cfRule>
    <cfRule type="cellIs" dxfId="322" priority="215254" operator="between">
      <formula>$MG$34</formula>
      <formula>$MG$35</formula>
    </cfRule>
  </conditionalFormatting>
  <conditionalFormatting sqref="NB1:NB1048576 NE1:NE1048576 NI1:NI1048576">
    <cfRule type="cellIs" dxfId="321" priority="215299" operator="between">
      <formula>$NO$33</formula>
      <formula>1000</formula>
    </cfRule>
    <cfRule type="cellIs" dxfId="320" priority="215300" operator="between">
      <formula>$NO$32</formula>
      <formula>$NO$33</formula>
    </cfRule>
    <cfRule type="cellIs" dxfId="319" priority="215301" operator="between">
      <formula>$NO$31</formula>
      <formula>$NO$32</formula>
    </cfRule>
  </conditionalFormatting>
  <conditionalFormatting sqref="ND1:ND1048576 NG1:NG1048576 NK1:NK1048576 NN1:NN1048576">
    <cfRule type="cellIs" dxfId="318" priority="215326" operator="between">
      <formula>$NO$37</formula>
      <formula>1000</formula>
    </cfRule>
    <cfRule type="cellIs" dxfId="317" priority="215327" operator="between">
      <formula>$NO$36</formula>
      <formula>$NO$37</formula>
    </cfRule>
    <cfRule type="cellIs" dxfId="316" priority="215328" operator="between">
      <formula>$NO$35</formula>
      <formula>$NO$36</formula>
    </cfRule>
    <cfRule type="cellIs" dxfId="315" priority="215329" operator="between">
      <formula>$NO$34</formula>
      <formula>$NO$35</formula>
    </cfRule>
  </conditionalFormatting>
  <conditionalFormatting sqref="OJ1:OJ1048576 OM1:OM1048576 OQ1:OQ1048576 OT1:OT1048576">
    <cfRule type="cellIs" dxfId="314" priority="215374" operator="between">
      <formula>$OW$33</formula>
      <formula>1000</formula>
    </cfRule>
    <cfRule type="cellIs" dxfId="313" priority="215375" operator="between">
      <formula>$OW$32</formula>
      <formula>$OW$33</formula>
    </cfRule>
    <cfRule type="cellIs" dxfId="312" priority="215376" operator="between">
      <formula>$OW$31</formula>
      <formula>$OW$32</formula>
    </cfRule>
    <cfRule type="cellIs" dxfId="311" priority="215377" operator="between">
      <formula>$OW$30</formula>
      <formula>$OW$31</formula>
    </cfRule>
  </conditionalFormatting>
  <conditionalFormatting sqref="OL1:OL1048576 OO1:OO1048576 OS1:OS1048576 OV1:OV1048576">
    <cfRule type="cellIs" dxfId="310" priority="215422" operator="between">
      <formula>$OW$37</formula>
      <formula>1000</formula>
    </cfRule>
    <cfRule type="cellIs" dxfId="309" priority="215423" operator="between">
      <formula>$OW$36</formula>
      <formula>$OW$37</formula>
    </cfRule>
    <cfRule type="cellIs" dxfId="308" priority="215424" operator="between">
      <formula>$OW$35</formula>
      <formula>$OW$36</formula>
    </cfRule>
    <cfRule type="cellIs" dxfId="307" priority="215425" operator="between">
      <formula>$OW$34</formula>
      <formula>$OW$35</formula>
    </cfRule>
  </conditionalFormatting>
  <conditionalFormatting sqref="PR1:PR1048576 PU1:PU1048576 PY1:PY1048576 QB1:QB1048576">
    <cfRule type="cellIs" dxfId="306" priority="215470" operator="between">
      <formula>$QE$33</formula>
      <formula>1000</formula>
    </cfRule>
    <cfRule type="cellIs" dxfId="305" priority="215471" operator="between">
      <formula>$QE$32</formula>
      <formula>$QE$33</formula>
    </cfRule>
    <cfRule type="cellIs" dxfId="304" priority="215472" operator="between">
      <formula>$QE$31</formula>
      <formula>$QE$32</formula>
    </cfRule>
    <cfRule type="cellIs" dxfId="303" priority="215473" operator="between">
      <formula>$QE$30</formula>
      <formula>$QE$31</formula>
    </cfRule>
  </conditionalFormatting>
  <conditionalFormatting sqref="PT1:PT1048576 PW1:PW1048576 QA1:QA1048576 QD1:QD1048576">
    <cfRule type="cellIs" dxfId="302" priority="215518" operator="between">
      <formula>$QE$37</formula>
      <formula>1000</formula>
    </cfRule>
    <cfRule type="cellIs" dxfId="301" priority="215519" operator="between">
      <formula>$QE$36</formula>
      <formula>$QE$37</formula>
    </cfRule>
    <cfRule type="cellIs" dxfId="300" priority="215520" operator="between">
      <formula>$QE$35</formula>
      <formula>$QE$36</formula>
    </cfRule>
    <cfRule type="cellIs" dxfId="299" priority="215521" operator="between">
      <formula>$QE$34</formula>
      <formula>$QE$35</formula>
    </cfRule>
  </conditionalFormatting>
  <conditionalFormatting sqref="QZ1:QZ1048576 RC1:RC1048576 RG1:RG1048576 RJ1:RJ1048576">
    <cfRule type="cellIs" dxfId="298" priority="215566" operator="between">
      <formula>$RM$33</formula>
      <formula>1000</formula>
    </cfRule>
    <cfRule type="cellIs" dxfId="297" priority="215567" operator="between">
      <formula>$RM$32</formula>
      <formula>$RM$33</formula>
    </cfRule>
    <cfRule type="cellIs" dxfId="296" priority="215568" operator="between">
      <formula>$RM$31</formula>
      <formula>$RM$32</formula>
    </cfRule>
    <cfRule type="cellIs" dxfId="295" priority="215569" operator="between">
      <formula>$RM$30</formula>
      <formula>$RM$31</formula>
    </cfRule>
  </conditionalFormatting>
  <conditionalFormatting sqref="RB1:RB1048576 RE1:RE1048576 RI1:RI1048576 RL1:RL1048576">
    <cfRule type="cellIs" dxfId="294" priority="215614" operator="between">
      <formula>$RM$37</formula>
      <formula>1000</formula>
    </cfRule>
    <cfRule type="cellIs" dxfId="293" priority="215615" operator="between">
      <formula>$RM$36</formula>
      <formula>$RM$37</formula>
    </cfRule>
    <cfRule type="cellIs" dxfId="292" priority="215616" operator="between">
      <formula>$RM$35</formula>
      <formula>$RM$36</formula>
    </cfRule>
    <cfRule type="cellIs" dxfId="291" priority="215617" operator="between">
      <formula>$RM$34</formula>
      <formula>$RM$35</formula>
    </cfRule>
  </conditionalFormatting>
  <conditionalFormatting sqref="SH1:SH1048576 SK1:SK1048576 SO1:SO1048576 SR1:SR1048576">
    <cfRule type="cellIs" dxfId="290" priority="215662" operator="between">
      <formula>$SU$33</formula>
      <formula>1000</formula>
    </cfRule>
    <cfRule type="cellIs" dxfId="289" priority="215663" operator="between">
      <formula>$SU$32</formula>
      <formula>$SU$33</formula>
    </cfRule>
    <cfRule type="cellIs" dxfId="288" priority="215664" operator="between">
      <formula>$SU$31</formula>
      <formula>$SU$32</formula>
    </cfRule>
    <cfRule type="cellIs" dxfId="287" priority="215665" operator="between">
      <formula>$SU$30</formula>
      <formula>$SU$31</formula>
    </cfRule>
  </conditionalFormatting>
  <conditionalFormatting sqref="SJ1:SJ1048576 SM1:SM1048576 SQ1:SQ1048576 ST1:ST1048576">
    <cfRule type="cellIs" dxfId="286" priority="215710" operator="between">
      <formula>$SU$37</formula>
      <formula>1000</formula>
    </cfRule>
    <cfRule type="cellIs" dxfId="285" priority="215711" operator="between">
      <formula>$SU$36</formula>
      <formula>$SU$37</formula>
    </cfRule>
    <cfRule type="cellIs" dxfId="284" priority="215712" operator="between">
      <formula>$SU$35</formula>
      <formula>$SU$36</formula>
    </cfRule>
    <cfRule type="cellIs" dxfId="283" priority="215713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188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201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DD"),SUMPRODUCT((J$4:J$16&lt;&gt;"")*(J$4:J$16&lt;&gt;"No DD")*(F$4:F$16&gt;F4))+1,IF(J4="No DD",SUMPRODUCT((J$4:J$16="No DD")*(F$4:F$16&gt;F4))+1+SUMPRODUCT((J$4:J$16&lt;&gt;"")*(J$4:J$16&lt;&gt;"No DD")),""))</f>
        <v>1</v>
      </c>
      <c r="B4" s="4" t="str" cm="1">
        <f t="array" ref="B4">IF(AND(J4&lt;&gt;"",J4&lt;&gt;"No DD",G4=""),SUMPRODUCT((J$4:J$16&lt;&gt;"")*(J$4:J$16&lt;&gt;"No DD")*(G$4:G$16="")*(F$4:F$16&gt;F4))+1,IF(J4="No DD",SUMPRODUCT((J$4:J$16="No DD")*(F$4:F$16&gt;F4)*(G$4:G$16=""))+1+SUMPRODUCT((J$4:J$16&lt;&gt;"")*(G$4:G$16="")*(J$4:J$16&lt;&gt;"No DD")),""))</f>
        <v/>
      </c>
      <c r="C4" s="5" t="s">
        <v>90</v>
      </c>
      <c r="D4" s="4" t="s">
        <v>3</v>
      </c>
      <c r="E4" s="4">
        <v>2004</v>
      </c>
      <c r="F4" s="9">
        <f t="shared" ref="F4:F15" si="0">SUM(L4:V4)+SUM(L4:T4)*0.0000001+SUM(L4)*0.0000000000001</f>
        <v>184.94001838000514</v>
      </c>
      <c r="G4" s="64" t="s">
        <v>46</v>
      </c>
      <c r="H4" s="3" t="str">
        <f t="shared" ref="H4:H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I4" s="3" t="str">
        <f t="shared" ref="I4:I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),"P","")</f>
        <v>P</v>
      </c>
      <c r="J4" s="36" t="str">
        <f t="shared" ref="J4:J15" si="3">IF(AND(I4="P",H4=""),"No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Excellence",IF(K4="P","Worlds Team",IF(H4="P","National Team","")))))</f>
        <v>National Team</v>
      </c>
      <c r="K4" s="3" t="str">
        <f t="shared" ref="K4:K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P","")</f>
        <v/>
      </c>
      <c r="L4" s="8">
        <f>IF(COUNT(AQ4,AT4,BR4,BU4,CS4,CV4)&gt;0,LARGE((AQ4,AT4,BR4,BU4,CS4,CV4),1),0)</f>
        <v>51.6</v>
      </c>
      <c r="M4" s="8" t="str">
        <f t="shared" ref="M4:M15" si="5">IF(L4="","",IF(OR(L4=CS4,L4=CV4),$CA$1,IF(OR(L4=BR4,L4=BU4),$AZ$1,IF(OR(L4=AQ4,L4=AT4),$Y$1,""))))</f>
        <v>2025 Nationals</v>
      </c>
      <c r="N4" s="8">
        <f>IF(COUNT(AQ4,AT4,BR4,BU4,CS4,CV4)&gt;1,LARGE((AQ4,AT4,BR4,BU4,CS4,CV4),2),0)</f>
        <v>51.150000000000006</v>
      </c>
      <c r="O4" s="8" t="str">
        <f t="shared" ref="O4:O15" si="6">IF(N4="","",IF(OR(N4=CS4,N4=CV4),$CA$1,IF(OR(N4=BR4,N4=BU4),$AZ$1,IF(OR(N4=AQ4,N4=AT4),$Y$1,""))))</f>
        <v>2025 Elite Canada</v>
      </c>
      <c r="P4" s="8">
        <f>IF(COUNT(AQ4,AT4,BR4,BU4,CS4,CV4)&gt;2,MAX(AX4,BY4,CZ4,LARGE((AQ4,AT4,BR4,BU4,CS4,CV4),3)),IF(MAX(AX4,BY4,CZ4)&gt;0,MAX(AX4,BY4,CZ4),0))</f>
        <v>51.269999999999996</v>
      </c>
      <c r="Q4" s="8" t="str">
        <f t="shared" ref="Q4:Q15" si="7">IF(P4="","",IF(P4=CZ4,$CA$1,IF(P4=BY4,$AZ$1,IF(P4=AX4,$Y$1,IF(OR(P4=CS4,P4=CV4,P4=CZ4),$CA$1,IF(OR(P4=BR4,P4=BU4,P4=BY4),$AZ$1,IF(OR(P4=AQ4,P4=AT4,P4=AX4),$Y$1,"")))))))</f>
        <v>2025 Nationals</v>
      </c>
      <c r="R4" s="8">
        <f t="shared" ref="R4:R15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14.5</v>
      </c>
      <c r="S4" s="8" t="str">
        <f t="shared" ref="S4:S15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 t="shared" ref="T4:T15" si="10">IF(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&gt;0,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,0)</f>
        <v>15.28</v>
      </c>
      <c r="U4" s="8" t="str">
        <f t="shared" ref="U4:U15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2025 World Cup ITA (April 6)</v>
      </c>
      <c r="V4" s="8">
        <f t="shared" ref="V4:V15" si="12">IF(MAX(DB4,DC4)&gt;0,MAX(DB4,DC4),"")</f>
        <v>1.1399999999999935</v>
      </c>
      <c r="W4" s="11" t="str">
        <f t="shared" ref="W4:W15" si="13">IF(V4="","",IF(V4=DB4,"("&amp;DB$2&amp;")",IF(V4=DC4,"("&amp;DC$2&amp;")")))</f>
        <v>(Optional)</v>
      </c>
      <c r="X4" s="8" t="str">
        <f t="shared" ref="X4:X15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Junior Pan Am Games (Aug 12)</v>
      </c>
      <c r="Y4" s="22">
        <v>9.3999999999999986</v>
      </c>
      <c r="Z4" s="22">
        <v>5.75</v>
      </c>
      <c r="AA4" s="22">
        <v>9.25</v>
      </c>
      <c r="AB4" s="22">
        <v>9.6649999999999991</v>
      </c>
      <c r="AC4" s="22">
        <v>0</v>
      </c>
      <c r="AD4" s="22">
        <v>12.45</v>
      </c>
      <c r="AE4" s="22">
        <v>9.3000000000000007</v>
      </c>
      <c r="AF4" s="22">
        <v>13.3</v>
      </c>
      <c r="AG4" s="22">
        <v>14.62</v>
      </c>
      <c r="AH4" s="22">
        <v>0</v>
      </c>
      <c r="AI4" s="22">
        <v>10.5</v>
      </c>
      <c r="AJ4" s="22">
        <v>6.85</v>
      </c>
      <c r="AK4" s="22">
        <v>10.6</v>
      </c>
      <c r="AL4" s="22">
        <v>11.315</v>
      </c>
      <c r="AM4" s="22">
        <v>0</v>
      </c>
      <c r="AN4" s="27" t="s">
        <v>46</v>
      </c>
      <c r="AO4" s="38">
        <f t="shared" ref="AO4:AO15" si="15">IF(AA4&gt;0,AA4,"")</f>
        <v>9.25</v>
      </c>
      <c r="AP4" s="38">
        <f t="shared" ref="AP4:AP15" si="16">IF(AB4&gt;0,AB4,"")</f>
        <v>9.6649999999999991</v>
      </c>
      <c r="AQ4" s="40">
        <f t="shared" ref="AQ4:AQ15" si="17">IF(SUM(Y4:AB4)-AC4&gt;0,SUM(Y4:AB4)-AC4,"")</f>
        <v>34.064999999999998</v>
      </c>
      <c r="AR4" s="40">
        <f t="shared" ref="AR4:AR15" si="18">IF(AF4&gt;0,AF4,"")</f>
        <v>13.3</v>
      </c>
      <c r="AS4" s="40">
        <f t="shared" ref="AS4:AS15" si="19">IF(AG4&gt;0,AG4,"")</f>
        <v>14.62</v>
      </c>
      <c r="AT4" s="40">
        <f t="shared" ref="AT4:AT15" si="20">IF(SUM(AD4:AG4)-AH4&gt;0,SUM(AD4:AG4)-AH4,"")</f>
        <v>49.669999999999995</v>
      </c>
      <c r="AU4" s="40">
        <f t="shared" ref="AU4:AU15" si="21">IF(AQ4="","",MAX(AQ4,AT4))</f>
        <v>49.669999999999995</v>
      </c>
      <c r="AV4" s="40">
        <f t="shared" ref="AV4:AV15" si="22">IF(AK4&gt;0,AK4,"")</f>
        <v>10.6</v>
      </c>
      <c r="AW4" s="40">
        <f t="shared" ref="AW4:AW15" si="23">IF(AL4&gt;0,AL4,"")</f>
        <v>11.315</v>
      </c>
      <c r="AX4" s="40">
        <f t="shared" ref="AX4:AX15" si="24">IF(SUM(AI4:AL4)-AM4&gt;0,SUM(AI4:AL4)-AM4,"")</f>
        <v>39.265000000000001</v>
      </c>
      <c r="AY4" s="40">
        <f t="shared" ref="AY4:AY15" si="25">IF(SUM(AU4,AX4)&gt;0,SUM(AU4,AX4),"")</f>
        <v>88.935000000000002</v>
      </c>
      <c r="AZ4" s="26">
        <v>14</v>
      </c>
      <c r="BA4" s="26">
        <v>8.6999999999999993</v>
      </c>
      <c r="BB4" s="26">
        <v>13.9</v>
      </c>
      <c r="BC4" s="26">
        <v>14.55</v>
      </c>
      <c r="BD4" s="26">
        <v>0</v>
      </c>
      <c r="BE4" s="26">
        <v>1.4</v>
      </c>
      <c r="BF4" s="26">
        <v>0.9</v>
      </c>
      <c r="BG4" s="26">
        <v>2</v>
      </c>
      <c r="BH4" s="26">
        <v>1.55</v>
      </c>
      <c r="BI4" s="26">
        <v>0</v>
      </c>
      <c r="BJ4" s="26">
        <v>12.5</v>
      </c>
      <c r="BK4" s="26">
        <v>9.3000000000000007</v>
      </c>
      <c r="BL4" s="26">
        <v>14.3</v>
      </c>
      <c r="BM4" s="26">
        <v>14.79</v>
      </c>
      <c r="BN4" s="26">
        <v>0</v>
      </c>
      <c r="BO4" s="28"/>
      <c r="BP4" s="39">
        <f t="shared" ref="BP4:BP15" si="26">IF(BB4&gt;0,BB4,"")</f>
        <v>13.9</v>
      </c>
      <c r="BQ4" s="39">
        <f t="shared" ref="BQ4:BQ15" si="27">IF(BC4&gt;0,BC4,"")</f>
        <v>14.55</v>
      </c>
      <c r="BR4" s="11">
        <f t="shared" ref="BR4:BR15" si="28">IF(SUM(AZ4:BC4)-BD4&gt;0,SUM(AZ4:BC4)-BD4,"")</f>
        <v>51.150000000000006</v>
      </c>
      <c r="BS4" s="11">
        <f t="shared" ref="BS4:BS15" si="29">IF(BG4&gt;0,BG4,"")</f>
        <v>2</v>
      </c>
      <c r="BT4" s="11">
        <f t="shared" ref="BT4:BT15" si="30">IF(BH4&gt;0,BH4,"")</f>
        <v>1.55</v>
      </c>
      <c r="BU4" s="11">
        <f t="shared" ref="BU4:BU15" si="31">IF(SUM(BE4:BH4)-BI4&gt;0,SUM(BE4:BH4)-BI4,"")</f>
        <v>5.85</v>
      </c>
      <c r="BV4" s="11">
        <f t="shared" ref="BV4:BV15" si="32">IF(BR4="","",MAX(BR4,BU4))</f>
        <v>51.150000000000006</v>
      </c>
      <c r="BW4" s="11">
        <f t="shared" ref="BW4:BW15" si="33">IF(BL4&gt;0,BL4,"")</f>
        <v>14.3</v>
      </c>
      <c r="BX4" s="11">
        <f t="shared" ref="BX4:BX15" si="34">IF(BM4&gt;0,BM4,"")</f>
        <v>14.79</v>
      </c>
      <c r="BY4" s="11">
        <f t="shared" ref="BY4:BY15" si="35">IF(SUM(BJ4:BM4)-BN4&gt;0,SUM(BJ4:BM4)-BN4,"")</f>
        <v>50.89</v>
      </c>
      <c r="BZ4" s="11">
        <f t="shared" ref="BZ4:BZ15" si="36">IF(SUM(BV4,BY4)&gt;0,SUM(BV4,BY4),"")</f>
        <v>102.04</v>
      </c>
      <c r="CA4" s="22">
        <v>11.8</v>
      </c>
      <c r="CB4" s="22">
        <v>9.4</v>
      </c>
      <c r="CC4" s="22">
        <v>11.3</v>
      </c>
      <c r="CD4" s="22">
        <v>14.35</v>
      </c>
      <c r="CE4" s="22">
        <v>1.4</v>
      </c>
      <c r="CF4" s="22">
        <v>13</v>
      </c>
      <c r="CG4" s="22">
        <v>9.1999999999999993</v>
      </c>
      <c r="CH4" s="22">
        <v>14.5</v>
      </c>
      <c r="CI4" s="22">
        <v>14.9</v>
      </c>
      <c r="CJ4" s="22">
        <v>0</v>
      </c>
      <c r="CK4" s="22">
        <v>13.1</v>
      </c>
      <c r="CL4" s="22">
        <v>9.1999999999999993</v>
      </c>
      <c r="CM4" s="22">
        <v>14.1</v>
      </c>
      <c r="CN4" s="22">
        <v>14.87</v>
      </c>
      <c r="CO4" s="22">
        <v>0</v>
      </c>
      <c r="CP4" s="27"/>
      <c r="CQ4" s="38">
        <f t="shared" ref="CQ4:CQ15" si="37">IF(CC4&gt;0,CC4,"")</f>
        <v>11.3</v>
      </c>
      <c r="CR4" s="38">
        <f t="shared" ref="CR4:CR15" si="38">IF(CD4&gt;0,CD4,"")</f>
        <v>14.35</v>
      </c>
      <c r="CS4" s="40">
        <f t="shared" ref="CS4:CS15" si="39">IF(SUM(CA4:CD4)-CE4&gt;0,SUM(CA4:CD4)-CE4,"")</f>
        <v>45.45</v>
      </c>
      <c r="CT4" s="40">
        <f t="shared" ref="CT4:CT15" si="40">IF(CH4&gt;0,CH4,"")</f>
        <v>14.5</v>
      </c>
      <c r="CU4" s="40">
        <f t="shared" ref="CU4:CU15" si="41">IF(CI4&gt;0,CI4,"")</f>
        <v>14.9</v>
      </c>
      <c r="CV4" s="40">
        <f t="shared" ref="CV4:CV15" si="42">IF(SUM(CF4:CI4)-CJ4&gt;0,SUM(CF4:CI4)-CJ4,"")</f>
        <v>51.6</v>
      </c>
      <c r="CW4" s="40">
        <f t="shared" ref="CW4:CW15" si="43">IF(CS4="","",MAX(CS4,CV4))</f>
        <v>51.6</v>
      </c>
      <c r="CX4" s="40">
        <f t="shared" ref="CX4:CX15" si="44">IF(CM4&gt;0,CM4,"")</f>
        <v>14.1</v>
      </c>
      <c r="CY4" s="40">
        <f t="shared" ref="CY4:CY15" si="45">IF(CN4&gt;0,CN4,"")</f>
        <v>14.87</v>
      </c>
      <c r="CZ4" s="40">
        <f t="shared" ref="CZ4:CZ15" si="46">IF(SUM(CK4:CN4)-CO4&gt;0,SUM(CK4:CN4)-CO4,"")</f>
        <v>51.269999999999996</v>
      </c>
      <c r="DA4" s="40">
        <f t="shared" ref="DA4:DA15" si="47">IF(SUM(CW4,CZ4)&gt;0,SUM(CW4,CZ4),"")</f>
        <v>102.87</v>
      </c>
      <c r="DB4" s="50">
        <f t="shared" ref="DB4:DB15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1.1399999999999935</v>
      </c>
      <c r="DC4" s="50">
        <f t="shared" ref="DC4:DC15" si="49">IF(MAX(EG4,EJ4,FO4,FR4,GW4,GZ4,IE4,IH4,JM4,JP4,KU4,KX4,MC4,MF4,NK4,NN4,OS4,OV4,QA4,QD4,RI4,RL4,SQ4,ST4)-IF(P4="",0,P4)&gt;0.001,MAX(EG4,EJ4,FO4,FR4,GW4,GZ4,IE4,IH4,JM4,JP4,KU4,KX4,MC4,MF4,NK4,NN4,OS4,OV4,QA4,QD4,RI4,RL4,SQ4,ST4)-IF(P4="",0,P4),"")</f>
        <v>0.51000000000000512</v>
      </c>
      <c r="DD4" s="17">
        <v>13.4</v>
      </c>
      <c r="DE4" s="17">
        <v>8.6</v>
      </c>
      <c r="DF4" s="17">
        <v>14.5</v>
      </c>
      <c r="DG4" s="17">
        <v>15.28</v>
      </c>
      <c r="DH4" s="17">
        <v>0</v>
      </c>
      <c r="DI4" s="17">
        <v>9.8000000000000007</v>
      </c>
      <c r="DJ4" s="17">
        <v>6.2</v>
      </c>
      <c r="DK4" s="17">
        <v>10.199999999999999</v>
      </c>
      <c r="DL4" s="17">
        <v>10.88</v>
      </c>
      <c r="DM4" s="17">
        <v>0</v>
      </c>
      <c r="DN4" s="17">
        <v>4</v>
      </c>
      <c r="DO4" s="17">
        <v>2.6</v>
      </c>
      <c r="DP4" s="17">
        <v>4.5999999999999996</v>
      </c>
      <c r="DQ4" s="17">
        <v>4.58</v>
      </c>
      <c r="DR4" s="17">
        <v>0</v>
      </c>
      <c r="DS4" s="17"/>
      <c r="DT4" s="17"/>
      <c r="DU4" s="17"/>
      <c r="DV4" s="17"/>
      <c r="DW4" s="17"/>
      <c r="DX4" s="40">
        <f t="shared" ref="DX4:DX15" si="50">IF(DF4&gt;0,DF4,"")</f>
        <v>14.5</v>
      </c>
      <c r="DY4" s="40">
        <f t="shared" ref="DY4:DY15" si="51">IF(DG4&gt;0,DG4,"")</f>
        <v>15.28</v>
      </c>
      <c r="DZ4" s="40">
        <f t="shared" ref="DZ4:DZ15" si="52">IF(SUM(DD4:DG4)-DH4&gt;0,SUM(DD4:DG4)-DH4,"")</f>
        <v>51.78</v>
      </c>
      <c r="EA4" s="40">
        <f t="shared" ref="EA4:EA15" si="53">IF(DK4&gt;0,DK4,"")</f>
        <v>10.199999999999999</v>
      </c>
      <c r="EB4" s="40">
        <f t="shared" ref="EB4:EB15" si="54">IF(DL4&gt;0,DL4,"")</f>
        <v>10.88</v>
      </c>
      <c r="EC4" s="40">
        <f t="shared" ref="EC4:EC15" si="55">IF(SUM(DI4:DL4)-DM4&gt;0,SUM(DI4:DL4)-DM4,"")</f>
        <v>37.08</v>
      </c>
      <c r="ED4" s="40">
        <f t="shared" ref="ED4:ED15" si="56">IF(MAX(DZ4,EC4)&gt;0,MAX(DZ4,EC4),"")</f>
        <v>51.78</v>
      </c>
      <c r="EE4" s="40">
        <f t="shared" ref="EE4:EE15" si="57">IF(DP4&gt;0,DP4,"")</f>
        <v>4.5999999999999996</v>
      </c>
      <c r="EF4" s="40">
        <f t="shared" ref="EF4:EF15" si="58">IF(DQ4&gt;0,DQ4,"")</f>
        <v>4.58</v>
      </c>
      <c r="EG4" s="40">
        <f t="shared" ref="EG4:EG15" si="59">IF(SUM(DN4:DQ4)-DR4&gt;0,SUM(DN4:DQ4)-DR4,"")</f>
        <v>15.78</v>
      </c>
      <c r="EH4" s="40" t="str">
        <f t="shared" ref="EH4:EH15" si="60">IF(DU4&gt;0,DU4,"")</f>
        <v/>
      </c>
      <c r="EI4" s="40" t="str">
        <f t="shared" ref="EI4:EI15" si="61">IF(DV4&gt;0,DV4,"")</f>
        <v/>
      </c>
      <c r="EJ4" s="40" t="str">
        <f t="shared" ref="EJ4:EJ15" si="62">IF(SUM(DS4:DV4)-DW4&gt;0,SUM(DS4:DV4)-DW4,"")</f>
        <v/>
      </c>
      <c r="EK4" s="40">
        <f t="shared" ref="EK4:EK15" si="63">IF(SUM(ED4,EG4,EJ4)&gt;0,SUM(ED4,EG4,EJ4),"")</f>
        <v>67.56</v>
      </c>
      <c r="EL4" s="18">
        <v>10.4</v>
      </c>
      <c r="EM4" s="18">
        <v>8.6</v>
      </c>
      <c r="EN4" s="18">
        <v>14.1</v>
      </c>
      <c r="EO4" s="18">
        <v>14.96</v>
      </c>
      <c r="EP4" s="18">
        <v>0</v>
      </c>
      <c r="EQ4" s="18">
        <v>12.9</v>
      </c>
      <c r="ER4" s="18">
        <v>9.1999999999999993</v>
      </c>
      <c r="ES4" s="18">
        <v>13.9</v>
      </c>
      <c r="ET4" s="18">
        <v>15.01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 t="shared" ref="FF4:FF15" si="64">IF(EN4&gt;0,EN4,"")</f>
        <v>14.1</v>
      </c>
      <c r="FG4" s="11">
        <f t="shared" ref="FG4:FG15" si="65">IF(EO4&gt;0,EO4,"")</f>
        <v>14.96</v>
      </c>
      <c r="FH4" s="11">
        <f t="shared" ref="FH4:FH15" si="66">IF(SUM(EL4:EO4)-EP4&gt;0,SUM(EL4:EO4)-EP4,"")</f>
        <v>48.06</v>
      </c>
      <c r="FI4" s="11">
        <f t="shared" ref="FI4:FI15" si="67">IF(ES4&gt;0,ES4,"")</f>
        <v>13.9</v>
      </c>
      <c r="FJ4" s="11">
        <f t="shared" ref="FJ4:FJ15" si="68">IF(ET4&gt;0,ET4,"")</f>
        <v>15.01</v>
      </c>
      <c r="FK4" s="11">
        <f t="shared" ref="FK4:FK15" si="69">IF(SUM(EQ4:ET4)-EU4&gt;0,SUM(EQ4:ET4)-EU4,"")</f>
        <v>51.01</v>
      </c>
      <c r="FL4" s="11">
        <f t="shared" ref="FL4:FL15" si="70">IF(MAX(FH4,FK4)&gt;0,MAX(FH4,FK4),"")</f>
        <v>51.01</v>
      </c>
      <c r="FM4" s="11" t="str">
        <f t="shared" ref="FM4:FM15" si="71">IF(EX4&gt;0,EX4,"")</f>
        <v/>
      </c>
      <c r="FN4" s="11" t="str">
        <f t="shared" ref="FN4:FN15" si="72">IF(EY4&gt;0,EY4,"")</f>
        <v/>
      </c>
      <c r="FO4" s="11" t="str">
        <f t="shared" ref="FO4:FO15" si="73">IF(SUM(EV4:EY4)-EZ4&gt;0,SUM(EV4:EY4)-EZ4,"")</f>
        <v/>
      </c>
      <c r="FP4" s="11" t="str">
        <f t="shared" ref="FP4:FP15" si="74">IF(FC4&gt;0,FC4,"")</f>
        <v/>
      </c>
      <c r="FQ4" s="11" t="str">
        <f t="shared" ref="FQ4:FQ15" si="75">IF(FD4&gt;0,FD4,"")</f>
        <v/>
      </c>
      <c r="FR4" s="11" t="str">
        <f t="shared" ref="FR4:FR15" si="76">IF(SUM(FA4:FD4)-FE4&gt;0,SUM(FA4:FD4)-FE4,"")</f>
        <v/>
      </c>
      <c r="FS4" s="11">
        <f t="shared" ref="FS4:FS15" si="77">IF(SUM(FL4,FO4,FR4)&gt;0,SUM(FL4,FO4,FR4),"")</f>
        <v>51.01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5" si="78">IF(FV4&gt;0,FV4,"")</f>
        <v/>
      </c>
      <c r="GO4" s="40" t="str">
        <f t="shared" ref="GO4:GO15" si="79">IF(FW4&gt;0,FW4,"")</f>
        <v/>
      </c>
      <c r="GP4" s="40" t="str">
        <f t="shared" ref="GP4:GP15" si="80">IF(SUM(FT4:FW4)-FX4&gt;0,SUM(FT4:FW4)-FX4,"")</f>
        <v/>
      </c>
      <c r="GQ4" s="40" t="str">
        <f t="shared" ref="GQ4:GQ15" si="81">IF(GA4&gt;0,GA4,"")</f>
        <v/>
      </c>
      <c r="GR4" s="40" t="str">
        <f t="shared" ref="GR4:GR15" si="82">IF(GB4&gt;0,GB4,"")</f>
        <v/>
      </c>
      <c r="GS4" s="40" t="str">
        <f t="shared" ref="GS4:GS15" si="83">IF(SUM(FY4:GB4)-GC4&gt;0,SUM(FY4:GB4)-GC4,"")</f>
        <v/>
      </c>
      <c r="GT4" s="40" t="str">
        <f t="shared" ref="GT4:GT15" si="84">IF(MAX(GP4,GS4)&gt;0,MAX(GP4,GS4),"")</f>
        <v/>
      </c>
      <c r="GU4" s="40" t="str">
        <f t="shared" ref="GU4:GU15" si="85">IF(GF4&gt;0,GF4,"")</f>
        <v/>
      </c>
      <c r="GV4" s="40" t="str">
        <f t="shared" ref="GV4:GV15" si="86">IF(GG4&gt;0,GG4,"")</f>
        <v/>
      </c>
      <c r="GW4" s="40" t="str">
        <f t="shared" ref="GW4:GW15" si="87">IF(SUM(GD4:GG4)-GH4&gt;0,SUM(GD4:GG4)-GH4,"")</f>
        <v/>
      </c>
      <c r="GX4" s="40" t="str">
        <f t="shared" ref="GX4:GX15" si="88">IF(GK4&gt;0,GK4,"")</f>
        <v/>
      </c>
      <c r="GY4" s="40" t="str">
        <f t="shared" ref="GY4:GY15" si="89">IF(GL4&gt;0,GL4,"")</f>
        <v/>
      </c>
      <c r="GZ4" s="40" t="str">
        <f t="shared" ref="GZ4:GZ15" si="90">IF(SUM(GI4:GL4)-GM4&gt;0,SUM(GI4:GL4)-GM4,"")</f>
        <v/>
      </c>
      <c r="HA4" s="40" t="str">
        <f t="shared" ref="HA4:HA15" si="91">IF(SUM(GT4,GW4,GZ4)&gt;0,SUM(GT4,GW4,GZ4),"")</f>
        <v/>
      </c>
      <c r="HB4" s="18"/>
      <c r="HC4" s="18"/>
      <c r="HD4" s="18"/>
      <c r="HE4" s="18"/>
      <c r="HF4" s="18"/>
      <c r="HG4" s="18">
        <v>13.6</v>
      </c>
      <c r="HH4" s="18">
        <v>9.6</v>
      </c>
      <c r="HI4" s="18">
        <v>14.1</v>
      </c>
      <c r="HJ4" s="18">
        <v>14.99</v>
      </c>
      <c r="HK4" s="18">
        <v>0</v>
      </c>
      <c r="HL4" s="18"/>
      <c r="HM4" s="18"/>
      <c r="HN4" s="18"/>
      <c r="HO4" s="18"/>
      <c r="HP4" s="18"/>
      <c r="HQ4" s="18">
        <v>13.7</v>
      </c>
      <c r="HR4" s="18">
        <v>9.1</v>
      </c>
      <c r="HS4" s="18">
        <v>14.1</v>
      </c>
      <c r="HT4" s="18">
        <v>14.88</v>
      </c>
      <c r="HU4" s="18">
        <v>0</v>
      </c>
      <c r="HV4" s="11" t="str">
        <f t="shared" ref="HV4:HV15" si="92">IF(HD4&gt;0,HD4,"")</f>
        <v/>
      </c>
      <c r="HW4" s="11" t="str">
        <f t="shared" ref="HW4:HW15" si="93">IF(HE4&gt;0,HE4,"")</f>
        <v/>
      </c>
      <c r="HX4" s="11" t="str">
        <f t="shared" ref="HX4:HX15" si="94">IF(SUM(HB4:HE4)-HF4&gt;0,SUM(HB4:HE4)-HF4,"")</f>
        <v/>
      </c>
      <c r="HY4" s="11">
        <f t="shared" ref="HY4:HY15" si="95">IF(HI4&gt;0,HI4,"")</f>
        <v>14.1</v>
      </c>
      <c r="HZ4" s="11">
        <f t="shared" ref="HZ4:HZ15" si="96">IF(HJ4&gt;0,HJ4,"")</f>
        <v>14.99</v>
      </c>
      <c r="IA4" s="11">
        <f t="shared" ref="IA4:IA15" si="97">IF(SUM(HG4:HJ4)-HK4&gt;0,SUM(HG4:HJ4)-HK4,"")</f>
        <v>52.29</v>
      </c>
      <c r="IB4" s="11">
        <f t="shared" ref="IB4:IB15" si="98">IF(MAX(HX4,IA4)&gt;0,MAX(HX4,IA4),"")</f>
        <v>52.29</v>
      </c>
      <c r="IC4" s="11" t="str">
        <f t="shared" ref="IC4:IC15" si="99">IF(HN4&gt;0,HN4,"")</f>
        <v/>
      </c>
      <c r="ID4" s="11" t="str">
        <f t="shared" ref="ID4:ID15" si="100">IF(HO4&gt;0,HO4,"")</f>
        <v/>
      </c>
      <c r="IE4" s="11" t="str">
        <f t="shared" ref="IE4:IE15" si="101">IF(SUM(HL4:HO4)-HP4&gt;0,SUM(HL4:HO4)-HP4,"")</f>
        <v/>
      </c>
      <c r="IF4" s="11">
        <f t="shared" ref="IF4:IF15" si="102">IF(HS4&gt;0,HS4,"")</f>
        <v>14.1</v>
      </c>
      <c r="IG4" s="11">
        <f t="shared" ref="IG4:IG15" si="103">IF(HT4&gt;0,HT4,"")</f>
        <v>14.88</v>
      </c>
      <c r="IH4" s="11">
        <f t="shared" ref="IH4:IH15" si="104">IF(SUM(HQ4:HT4)-HU4&gt;0,SUM(HQ4:HT4)-HU4,"")</f>
        <v>51.78</v>
      </c>
      <c r="II4" s="11">
        <f t="shared" ref="II4:II15" si="105">IF(SUM(IB4,IE4,IH4)&gt;0,SUM(IB4,IE4,IH4),"")</f>
        <v>104.07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5" si="106">IF(IL4&gt;0,IL4,"")</f>
        <v/>
      </c>
      <c r="JE4" s="40" t="str">
        <f t="shared" ref="JE4:JE15" si="107">IF(IM4&gt;0,IM4,"")</f>
        <v/>
      </c>
      <c r="JF4" s="40" t="str">
        <f t="shared" ref="JF4:JF15" si="108">IF(SUM(IJ4:IM4)-IN4&gt;0,SUM(IJ4:IM4)-IN4,"")</f>
        <v/>
      </c>
      <c r="JG4" s="40" t="str">
        <f t="shared" ref="JG4:JG15" si="109">IF(IQ4&gt;0,IQ4,"")</f>
        <v/>
      </c>
      <c r="JH4" s="40" t="str">
        <f t="shared" ref="JH4:JH15" si="110">IF(IR4&gt;0,IR4,"")</f>
        <v/>
      </c>
      <c r="JI4" s="40" t="str">
        <f t="shared" ref="JI4:JI15" si="111">IF(SUM(IO4:IR4)-IS4&gt;0,SUM(IO4:IR4)-IS4,"")</f>
        <v/>
      </c>
      <c r="JJ4" s="40" t="str">
        <f t="shared" ref="JJ4:JJ15" si="112">IF(MAX(JF4,JI4)&gt;0,MAX(JF4,JI4),"")</f>
        <v/>
      </c>
      <c r="JK4" s="40" t="str">
        <f t="shared" ref="JK4:JK15" si="113">IF(IV4&gt;0,IV4,"")</f>
        <v/>
      </c>
      <c r="JL4" s="40" t="str">
        <f t="shared" ref="JL4:JL15" si="114">IF(IW4&gt;0,IW4,"")</f>
        <v/>
      </c>
      <c r="JM4" s="40" t="str">
        <f t="shared" ref="JM4:JM15" si="115">IF(SUM(IT4:IW4)-IX4&gt;0,SUM(IT4:IW4)-IX4,"")</f>
        <v/>
      </c>
      <c r="JN4" s="40" t="str">
        <f t="shared" ref="JN4:JN15" si="116">IF(JA4&gt;0,JA4,"")</f>
        <v/>
      </c>
      <c r="JO4" s="40" t="str">
        <f t="shared" ref="JO4:JO15" si="117">IF(JB4&gt;0,JB4,"")</f>
        <v/>
      </c>
      <c r="JP4" s="40" t="str">
        <f t="shared" ref="JP4:JP15" si="118">IF(SUM(IY4:JB4)-JC4&gt;0,SUM(IY4:JB4)-JC4,"")</f>
        <v/>
      </c>
      <c r="JQ4" s="40" t="str">
        <f t="shared" ref="JQ4:JQ15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0">IF(JT4&gt;0,JT4,"")</f>
        <v/>
      </c>
      <c r="KM4" s="11" t="str">
        <f t="shared" ref="KM4:KM15" si="121">IF(JU4&gt;0,JU4,"")</f>
        <v/>
      </c>
      <c r="KN4" s="11" t="str">
        <f t="shared" ref="KN4:KN15" si="122">IF(SUM(JR4:JU4)-JV4&gt;0,SUM(JR4:JU4)-JV4,"")</f>
        <v/>
      </c>
      <c r="KO4" s="11" t="str">
        <f t="shared" ref="KO4:KO15" si="123">IF(JY4&gt;0,JY4,"")</f>
        <v/>
      </c>
      <c r="KP4" s="11" t="str">
        <f t="shared" ref="KP4:KP15" si="124">IF(JZ4&gt;0,JZ4,"")</f>
        <v/>
      </c>
      <c r="KQ4" s="11" t="str">
        <f t="shared" ref="KQ4:KQ15" si="125">IF(SUM(JW4:JZ4)-KA4&gt;0,SUM(JW4:JZ4)-KA4,"")</f>
        <v/>
      </c>
      <c r="KR4" s="11" t="str">
        <f t="shared" ref="KR4:KR15" si="126">IF(MAX(KN4,KQ4)&gt;0,MAX(KN4,KQ4),"")</f>
        <v/>
      </c>
      <c r="KS4" s="11" t="str">
        <f t="shared" ref="KS4:KS15" si="127">IF(KD4&gt;0,KD4,"")</f>
        <v/>
      </c>
      <c r="KT4" s="11" t="str">
        <f t="shared" ref="KT4:KT15" si="128">IF(KE4&gt;0,KE4,"")</f>
        <v/>
      </c>
      <c r="KU4" s="11" t="str">
        <f t="shared" ref="KU4:KU15" si="129">IF(SUM(KB4:KE4)-KF4&gt;0,SUM(KB4:KE4)-KF4,"")</f>
        <v/>
      </c>
      <c r="KV4" s="11" t="str">
        <f t="shared" ref="KV4:KV15" si="130">IF(KI4&gt;0,KI4,"")</f>
        <v/>
      </c>
      <c r="KW4" s="11" t="str">
        <f t="shared" ref="KW4:KW15" si="131">IF(KJ4&gt;0,KJ4,"")</f>
        <v/>
      </c>
      <c r="KX4" s="11" t="str">
        <f t="shared" ref="KX4:KX15" si="132">IF(SUM(KG4:KJ4)-KK4&gt;0,SUM(KG4:KJ4)-KK4,"")</f>
        <v/>
      </c>
      <c r="KY4" s="11" t="str">
        <f t="shared" ref="KY4:KY15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15" si="134">IF(LB4&gt;0,LB4,"")</f>
        <v/>
      </c>
      <c r="LU4" s="40" t="str">
        <f t="shared" ref="LU4:LU15" si="135">IF(LC4&gt;0,LC4,"")</f>
        <v/>
      </c>
      <c r="LV4" s="40" t="str">
        <f t="shared" ref="LV4:LV15" si="136">IF(SUM(KZ4:LC4)-LD4&gt;0,SUM(KZ4:LC4)-LD4,"")</f>
        <v/>
      </c>
      <c r="LW4" s="40" t="str">
        <f t="shared" ref="LW4:LW15" si="137">IF(LG4&gt;0,LG4,"")</f>
        <v/>
      </c>
      <c r="LX4" s="40" t="str">
        <f t="shared" ref="LX4:LX15" si="138">IF(LH4&gt;0,LH4,"")</f>
        <v/>
      </c>
      <c r="LY4" s="40" t="str">
        <f t="shared" ref="LY4:LY15" si="139">IF(SUM(LE4:LH4)-LI4&gt;0,SUM(LE4:LH4)-LI4,"")</f>
        <v/>
      </c>
      <c r="LZ4" s="40" t="str">
        <f t="shared" ref="LZ4:LZ15" si="140">IF(MAX(LV4,LY4)&gt;0,MAX(LV4,LY4),"")</f>
        <v/>
      </c>
      <c r="MA4" s="40" t="str">
        <f t="shared" ref="MA4:MA15" si="141">IF(LL4&gt;0,LL4,"")</f>
        <v/>
      </c>
      <c r="MB4" s="40" t="str">
        <f t="shared" ref="MB4:MB15" si="142">IF(LM4&gt;0,LM4,"")</f>
        <v/>
      </c>
      <c r="MC4" s="40" t="str">
        <f t="shared" ref="MC4:MC15" si="143">IF(SUM(LJ4:LM4)-LN4&gt;0,SUM(LJ4:LM4)-LN4,"")</f>
        <v/>
      </c>
      <c r="MD4" s="40" t="str">
        <f t="shared" ref="MD4:MD15" si="144">IF(LQ4&gt;0,LQ4,"")</f>
        <v/>
      </c>
      <c r="ME4" s="40" t="str">
        <f t="shared" ref="ME4:ME15" si="145">IF(LR4&gt;0,LR4,"")</f>
        <v/>
      </c>
      <c r="MF4" s="40" t="str">
        <f t="shared" ref="MF4:MF15" si="146">IF(SUM(LO4:LR4)-LS4&gt;0,SUM(LO4:LR4)-LS4,"")</f>
        <v/>
      </c>
      <c r="MG4" s="40" t="str">
        <f t="shared" ref="MG4:MG15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15" si="148">IF(MJ4&gt;0,MJ4,"")</f>
        <v/>
      </c>
      <c r="NC4" s="11" t="str">
        <f t="shared" ref="NC4:NC15" si="149">IF(MK4&gt;0,MK4,"")</f>
        <v/>
      </c>
      <c r="ND4" s="11" t="str">
        <f t="shared" ref="ND4:ND15" si="150">IF(SUM(MH4:MK4)-ML4&gt;0,SUM(MH4:MK4)-ML4,"")</f>
        <v/>
      </c>
      <c r="NE4" s="11" t="str">
        <f t="shared" ref="NE4:NE15" si="151">IF(MO4&gt;0,MO4,"")</f>
        <v/>
      </c>
      <c r="NF4" s="11" t="str">
        <f t="shared" ref="NF4:NF15" si="152">IF(MP4&gt;0,MP4,"")</f>
        <v/>
      </c>
      <c r="NG4" s="11" t="str">
        <f t="shared" ref="NG4:NG15" si="153">IF(SUM(MM4:MP4)-MQ4&gt;0,SUM(MM4:MP4)-MQ4,"")</f>
        <v/>
      </c>
      <c r="NH4" s="11" t="str">
        <f t="shared" ref="NH4:NH15" si="154">IF(MAX(ND4,NG4)&gt;0,MAX(ND4,NG4),"")</f>
        <v/>
      </c>
      <c r="NI4" s="11" t="str">
        <f t="shared" ref="NI4:NI15" si="155">IF(MT4&gt;0,MT4,"")</f>
        <v/>
      </c>
      <c r="NJ4" s="11" t="str">
        <f t="shared" ref="NJ4:NJ15" si="156">IF(MU4&gt;0,MU4,"")</f>
        <v/>
      </c>
      <c r="NK4" s="11" t="str">
        <f t="shared" ref="NK4:NK15" si="157">IF(SUM(MR4:MU4)-MV4&gt;0,SUM(MR4:MU4)-MV4,"")</f>
        <v/>
      </c>
      <c r="NL4" s="11" t="str">
        <f t="shared" ref="NL4:NL15" si="158">IF(MY4&gt;0,MY4,"")</f>
        <v/>
      </c>
      <c r="NM4" s="11" t="str">
        <f t="shared" ref="NM4:NM15" si="159">IF(MZ4&gt;0,MZ4,"")</f>
        <v/>
      </c>
      <c r="NN4" s="11" t="str">
        <f t="shared" ref="NN4:NN15" si="160">IF(SUM(MW4:MZ4)-NA4&gt;0,SUM(MW4:MZ4)-NA4,"")</f>
        <v/>
      </c>
      <c r="NO4" s="11" t="str">
        <f t="shared" ref="NO4:NO15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2">IF(NR4&gt;0,NR4,"")</f>
        <v/>
      </c>
      <c r="OK4" s="40" t="str">
        <f t="shared" ref="OK4:OK15" si="163">IF(NS4&gt;0,NS4,"")</f>
        <v/>
      </c>
      <c r="OL4" s="40" t="str">
        <f t="shared" ref="OL4:OL15" si="164">IF(SUM(NP4:NS4)-NT4&gt;0,SUM(NP4:NS4)-NT4,"")</f>
        <v/>
      </c>
      <c r="OM4" s="40" t="str">
        <f t="shared" ref="OM4:OM15" si="165">IF(NW4&gt;0,NW4,"")</f>
        <v/>
      </c>
      <c r="ON4" s="40" t="str">
        <f t="shared" ref="ON4:ON15" si="166">IF(NX4&gt;0,NX4,"")</f>
        <v/>
      </c>
      <c r="OO4" s="40" t="str">
        <f t="shared" ref="OO4:OO15" si="167">IF(SUM(NU4:NX4)-NY4&gt;0,SUM(NU4:NX4)-NY4,"")</f>
        <v/>
      </c>
      <c r="OP4" s="40" t="str">
        <f t="shared" ref="OP4:OP15" si="168">IF(MAX(OL4,OO4)&gt;0,MAX(OL4,OO4),"")</f>
        <v/>
      </c>
      <c r="OQ4" s="40" t="str">
        <f t="shared" ref="OQ4:OQ15" si="169">IF(OB4&gt;0,OB4,"")</f>
        <v/>
      </c>
      <c r="OR4" s="40" t="str">
        <f t="shared" ref="OR4:OR15" si="170">IF(OC4&gt;0,OC4,"")</f>
        <v/>
      </c>
      <c r="OS4" s="40" t="str">
        <f t="shared" ref="OS4:OS15" si="171">IF(SUM(NZ4:OC4)-OD4&gt;0,SUM(NZ4:OC4)-OD4,"")</f>
        <v/>
      </c>
      <c r="OT4" s="40" t="str">
        <f t="shared" ref="OT4:OT15" si="172">IF(OG4&gt;0,OG4,"")</f>
        <v/>
      </c>
      <c r="OU4" s="40" t="str">
        <f t="shared" ref="OU4:OU15" si="173">IF(OH4&gt;0,OH4,"")</f>
        <v/>
      </c>
      <c r="OV4" s="40" t="str">
        <f t="shared" ref="OV4:OV15" si="174">IF(SUM(OE4:OH4)-OI4&gt;0,SUM(OE4:OH4)-OI4,"")</f>
        <v/>
      </c>
      <c r="OW4" s="40" t="str">
        <f t="shared" ref="OW4:OW15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6">IF(OZ4&gt;0,OZ4,"")</f>
        <v/>
      </c>
      <c r="PS4" s="11" t="str">
        <f t="shared" ref="PS4:PS15" si="177">IF(PA4&gt;0,PA4,"")</f>
        <v/>
      </c>
      <c r="PT4" s="11" t="str">
        <f t="shared" ref="PT4:PT15" si="178">IF(SUM(OX4:PA4)-PB4&gt;0,SUM(OX4:PA4)-PB4,"")</f>
        <v/>
      </c>
      <c r="PU4" s="11" t="str">
        <f t="shared" ref="PU4:PU15" si="179">IF(PE4&gt;0,PE4,"")</f>
        <v/>
      </c>
      <c r="PV4" s="11" t="str">
        <f t="shared" ref="PV4:PV15" si="180">IF(PF4&gt;0,PF4,"")</f>
        <v/>
      </c>
      <c r="PW4" s="11" t="str">
        <f t="shared" ref="PW4:PW15" si="181">IF(SUM(PC4:PF4)-PG4&gt;0,SUM(PC4:PF4)-PG4,"")</f>
        <v/>
      </c>
      <c r="PX4" s="11" t="str">
        <f t="shared" ref="PX4:PX15" si="182">IF(MAX(PT4,PW4)&gt;0,MAX(PT4,PW4),"")</f>
        <v/>
      </c>
      <c r="PY4" s="11" t="str">
        <f t="shared" ref="PY4:PY15" si="183">IF(PJ4&gt;0,PJ4,"")</f>
        <v/>
      </c>
      <c r="PZ4" s="11" t="str">
        <f t="shared" ref="PZ4:PZ15" si="184">IF(PK4&gt;0,PK4,"")</f>
        <v/>
      </c>
      <c r="QA4" s="11" t="str">
        <f t="shared" ref="QA4:QA15" si="185">IF(SUM(PH4:PK4)-PL4&gt;0,SUM(PH4:PK4)-PL4,"")</f>
        <v/>
      </c>
      <c r="QB4" s="11" t="str">
        <f t="shared" ref="QB4:QB15" si="186">IF(PO4&gt;0,PO4,"")</f>
        <v/>
      </c>
      <c r="QC4" s="11" t="str">
        <f t="shared" ref="QC4:QC15" si="187">IF(PP4&gt;0,PP4,"")</f>
        <v/>
      </c>
      <c r="QD4" s="11" t="str">
        <f t="shared" ref="QD4:QD15" si="188">IF(SUM(PM4:PP4)-PQ4&gt;0,SUM(PM4:PP4)-PQ4,"")</f>
        <v/>
      </c>
      <c r="QE4" s="11" t="str">
        <f t="shared" ref="QE4:QE15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0">IF(QH4&gt;0,QH4,"")</f>
        <v/>
      </c>
      <c r="RA4" s="40" t="str">
        <f t="shared" ref="RA4:RA15" si="191">IF(QI4&gt;0,QI4,"")</f>
        <v/>
      </c>
      <c r="RB4" s="40" t="str">
        <f t="shared" ref="RB4:RB15" si="192">IF(SUM(QF4:QI4)-QJ4&gt;0,SUM(QF4:QI4)-QJ4,"")</f>
        <v/>
      </c>
      <c r="RC4" s="40" t="str">
        <f t="shared" ref="RC4:RC15" si="193">IF(QM4&gt;0,QM4,"")</f>
        <v/>
      </c>
      <c r="RD4" s="40" t="str">
        <f t="shared" ref="RD4:RD15" si="194">IF(QN4&gt;0,QN4,"")</f>
        <v/>
      </c>
      <c r="RE4" s="40" t="str">
        <f t="shared" ref="RE4:RE15" si="195">IF(SUM(QK4:QN4)-QO4&gt;0,SUM(QK4:QN4)-QO4,"")</f>
        <v/>
      </c>
      <c r="RF4" s="40" t="str">
        <f t="shared" ref="RF4:RF15" si="196">IF(MAX(RB4,RE4)&gt;0,MAX(RB4,RE4),"")</f>
        <v/>
      </c>
      <c r="RG4" s="40" t="str">
        <f t="shared" ref="RG4:RG15" si="197">IF(QR4&gt;0,QR4,"")</f>
        <v/>
      </c>
      <c r="RH4" s="40" t="str">
        <f t="shared" ref="RH4:RH15" si="198">IF(QS4&gt;0,QS4,"")</f>
        <v/>
      </c>
      <c r="RI4" s="40" t="str">
        <f t="shared" ref="RI4:RI15" si="199">IF(SUM(QP4:QS4)-QT4&gt;0,SUM(QP4:QS4)-QT4,"")</f>
        <v/>
      </c>
      <c r="RJ4" s="40" t="str">
        <f t="shared" ref="RJ4:RJ15" si="200">IF(QW4&gt;0,QW4,"")</f>
        <v/>
      </c>
      <c r="RK4" s="40" t="str">
        <f t="shared" ref="RK4:RK15" si="201">IF(QX4&gt;0,QX4,"")</f>
        <v/>
      </c>
      <c r="RL4" s="40" t="str">
        <f t="shared" ref="RL4:RL15" si="202">IF(SUM(QU4:QX4)-QY4&gt;0,SUM(QU4:QX4)-QY4,"")</f>
        <v/>
      </c>
      <c r="RM4" s="40" t="str">
        <f t="shared" ref="RM4:RM15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4">IF(RP4&gt;0,RP4,"")</f>
        <v/>
      </c>
      <c r="SI4" s="11" t="str">
        <f t="shared" ref="SI4:SI15" si="205">IF(RQ4&gt;0,RQ4,"")</f>
        <v/>
      </c>
      <c r="SJ4" s="11" t="str">
        <f t="shared" ref="SJ4:SJ15" si="206">IF(SUM(RN4:RQ4)-RR4&gt;0,SUM(RN4:RQ4)-RR4,"")</f>
        <v/>
      </c>
      <c r="SK4" s="11" t="str">
        <f t="shared" ref="SK4:SK15" si="207">IF(RU4&gt;0,RU4,"")</f>
        <v/>
      </c>
      <c r="SL4" s="11" t="str">
        <f t="shared" ref="SL4:SL15" si="208">IF(RV4&gt;0,RV4,"")</f>
        <v/>
      </c>
      <c r="SM4" s="11" t="str">
        <f t="shared" ref="SM4:SM15" si="209">IF(SUM(RS4:RV4)-RW4&gt;0,SUM(RS4:RV4)-RW4,"")</f>
        <v/>
      </c>
      <c r="SN4" s="11" t="str">
        <f t="shared" ref="SN4:SN15" si="210">IF(MAX(SJ4,SM4)&gt;0,MAX(SJ4,SM4),"")</f>
        <v/>
      </c>
      <c r="SO4" s="11" t="str">
        <f t="shared" ref="SO4:SO15" si="211">IF(RZ4&gt;0,RZ4,"")</f>
        <v/>
      </c>
      <c r="SP4" s="11" t="str">
        <f t="shared" ref="SP4:SP15" si="212">IF(SA4&gt;0,SA4,"")</f>
        <v/>
      </c>
      <c r="SQ4" s="11" t="str">
        <f t="shared" ref="SQ4:SQ15" si="213">IF(SUM(RX4:SA4)-SB4&gt;0,SUM(RX4:SA4)-SB4,"")</f>
        <v/>
      </c>
      <c r="SR4" s="11" t="str">
        <f t="shared" ref="SR4:SR15" si="214">IF(SE4&gt;0,SE4,"")</f>
        <v/>
      </c>
      <c r="SS4" s="11" t="str">
        <f t="shared" ref="SS4:SS15" si="215">IF(SF4&gt;0,SF4,"")</f>
        <v/>
      </c>
      <c r="ST4" s="11" t="str">
        <f t="shared" ref="ST4:ST15" si="216">IF(SUM(SC4:SF4)-SG4&gt;0,SUM(SC4:SF4)-SG4,"")</f>
        <v/>
      </c>
      <c r="SU4" s="11" t="str">
        <f t="shared" ref="SU4:SU15" si="217">IF(SUM(SN4,SQ4,ST4)&gt;0,SUM(SN4,SQ4,ST4),"")</f>
        <v/>
      </c>
      <c r="SV4" s="22">
        <f t="shared" ref="SV4:SV15" si="218">IF($CP4="P",CA4,(CA4+AZ4)/2)</f>
        <v>12.9</v>
      </c>
      <c r="SW4" s="22">
        <f t="shared" ref="SW4:SW15" si="219">IF($CP4="P",CB4,(CB4+BA4)/2)</f>
        <v>9.0500000000000007</v>
      </c>
      <c r="SX4" s="22">
        <f t="shared" ref="SX4:SX15" si="220">IF($CP4="P",CC4,(CC4+BB4)/2)</f>
        <v>12.600000000000001</v>
      </c>
      <c r="SY4" s="22">
        <f t="shared" ref="SY4:SY15" si="221">IF($CP4="P",CD4,(CD4+BC4)/2)</f>
        <v>14.45</v>
      </c>
      <c r="SZ4" s="22">
        <f t="shared" ref="SZ4:SZ15" si="222">IF($CP4="P",CE4,(CE4+BD4)/2)</f>
        <v>0.7</v>
      </c>
      <c r="TA4" s="22">
        <f t="shared" ref="TA4:TA15" si="223">IF($CP4="P",CF4,(CF4+BE4)/2)</f>
        <v>7.2</v>
      </c>
      <c r="TB4" s="22">
        <f t="shared" ref="TB4:TB15" si="224">IF($CP4="P",CG4,(CG4+BF4)/2)</f>
        <v>5.05</v>
      </c>
      <c r="TC4" s="22">
        <f t="shared" ref="TC4:TC15" si="225">IF($CP4="P",CH4,(CH4+BG4)/2)</f>
        <v>8.25</v>
      </c>
      <c r="TD4" s="22">
        <f t="shared" ref="TD4:TD15" si="226">IF($CP4="P",CI4,(CI4+BH4)/2)</f>
        <v>8.2249999999999996</v>
      </c>
      <c r="TE4" s="22">
        <f t="shared" ref="TE4:TE15" si="227">IF($CP4="P",CJ4,(CJ4+BI4)/2)</f>
        <v>0</v>
      </c>
      <c r="TF4" s="22">
        <f t="shared" ref="TF4:TF15" si="228">IF($CP4="P",CK4,(CK4+BJ4)/2)</f>
        <v>12.8</v>
      </c>
      <c r="TG4" s="22">
        <f t="shared" ref="TG4:TG15" si="229">IF($CP4="P",CL4,(CL4+BK4)/2)</f>
        <v>9.25</v>
      </c>
      <c r="TH4" s="22">
        <f t="shared" ref="TH4:TH15" si="230">IF($CP4="P",CM4,(CM4+BL4)/2)</f>
        <v>14.2</v>
      </c>
      <c r="TI4" s="22">
        <f t="shared" ref="TI4:TI15" si="231">IF($CP4="P",CN4,(CN4+BM4)/2)</f>
        <v>14.829999999999998</v>
      </c>
      <c r="TJ4" s="22">
        <f t="shared" ref="TJ4:TJ15" si="232">IF($CP4="P",CO4,(CO4+BN4)/2)</f>
        <v>0</v>
      </c>
      <c r="TK4" s="27" t="s">
        <v>46</v>
      </c>
      <c r="TL4" s="40">
        <f t="shared" ref="TL4:TL15" si="233">IF(SX4&gt;0,SX4,"")</f>
        <v>12.600000000000001</v>
      </c>
      <c r="TM4" s="40">
        <f t="shared" ref="TM4:TM15" si="234">IF(SY4&gt;0,SY4,"")</f>
        <v>14.45</v>
      </c>
      <c r="TN4" s="40">
        <f t="shared" ref="TN4:TN15" si="235">IF(SUM(SV4:SY4)-SZ4&gt;0,SUM(SV4:SY4)-SZ4,"")</f>
        <v>48.3</v>
      </c>
      <c r="TO4" s="40">
        <f t="shared" ref="TO4:TO15" si="236">IF(TC4&gt;0,TC4,"")</f>
        <v>8.25</v>
      </c>
      <c r="TP4" s="40">
        <f t="shared" ref="TP4:TP15" si="237">IF(TD4&gt;0,TD4,"")</f>
        <v>8.2249999999999996</v>
      </c>
      <c r="TQ4" s="40">
        <f t="shared" ref="TQ4:TQ15" si="238">IF(SUM(TA4:TD4)-TE4&gt;0,SUM(TA4:TD4)-TE4,"")</f>
        <v>28.725000000000001</v>
      </c>
      <c r="TR4" s="40">
        <f t="shared" ref="TR4:TR15" si="239">IF(MAX(TN4,TQ4)&gt;0,MAX(TN4,TQ4),"")</f>
        <v>48.3</v>
      </c>
      <c r="TS4" s="40">
        <f t="shared" ref="TS4:TS15" si="240">IF(TH4&gt;0,TH4,"")</f>
        <v>14.2</v>
      </c>
      <c r="TT4" s="40">
        <f t="shared" ref="TT4:TT15" si="241">IF(TI4&gt;0,TI4,"")</f>
        <v>14.829999999999998</v>
      </c>
      <c r="TU4" s="40">
        <f t="shared" ref="TU4:TU15" si="242">IF(SUM(TF4:TI4)-TJ4&gt;0,SUM(TF4:TI4)-TJ4,"")</f>
        <v>51.08</v>
      </c>
      <c r="TV4" s="40">
        <f t="shared" ref="TV4:TV15" si="243">IF(SUM(TR4,TU4)&gt;0,SUM(TR4,TU4),"")</f>
        <v>99.38</v>
      </c>
    </row>
    <row r="5" spans="1:542" x14ac:dyDescent="0.2">
      <c r="A5" s="4" cm="1">
        <f t="array" ref="A5">IF(AND(J5&lt;&gt;"",J5&lt;&gt;"No DD"),SUMPRODUCT((J$4:J$16&lt;&gt;"")*(J$4:J$16&lt;&gt;"No DD")*(F$4:F$16&gt;F5))+1,IF(J5="No DD",SUMPRODUCT((J$4:J$16="No DD")*(F$4:F$16&gt;F5))+1+SUMPRODUCT((J$4:J$16&lt;&gt;"")*(J$4:J$16&lt;&gt;"No DD")),""))</f>
        <v>2</v>
      </c>
      <c r="B5" s="4" t="str" cm="1">
        <f t="array" ref="B5">IF(AND(J5&lt;&gt;"",J5&lt;&gt;"No DD",G5=""),SUMPRODUCT((J$4:J$16&lt;&gt;"")*(J$4:J$16&lt;&gt;"No DD")*(G$4:G$16="")*(F$4:F$16&gt;F5))+1,IF(J5="No DD",SUMPRODUCT((J$4:J$16="No DD")*(F$4:F$16&gt;F5)*(G$4:G$16=""))+1+SUMPRODUCT((J$4:J$16&lt;&gt;"")*(G$4:G$16="")*(J$4:J$16&lt;&gt;"No DD")),""))</f>
        <v/>
      </c>
      <c r="C5" s="5" t="s">
        <v>129</v>
      </c>
      <c r="D5" s="4" t="s">
        <v>6</v>
      </c>
      <c r="E5" s="4">
        <v>2007</v>
      </c>
      <c r="F5" s="9">
        <f t="shared" si="0"/>
        <v>184.49001844400522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52.15</v>
      </c>
      <c r="M5" s="8" t="str">
        <f t="shared" si="5"/>
        <v>2025 Nationals</v>
      </c>
      <c r="N5" s="8">
        <f>IF(COUNT(AQ5,AT5,BR5,BU5,CS5,CV5)&gt;1,LARGE((AQ5,AT5,BR5,BU5,CS5,CV5),2),0)</f>
        <v>51.489999999999995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51.86999999999999</v>
      </c>
      <c r="Q5" s="8" t="str">
        <f t="shared" si="7"/>
        <v>2025 Nationals</v>
      </c>
      <c r="R5" s="8">
        <f t="shared" si="8"/>
        <v>14.3</v>
      </c>
      <c r="S5" s="8" t="str">
        <f t="shared" si="9"/>
        <v>2025 Nationals</v>
      </c>
      <c r="T5" s="8">
        <f t="shared" si="10"/>
        <v>14.63</v>
      </c>
      <c r="U5" s="8" t="str">
        <f t="shared" si="11"/>
        <v>2024 3rd Domestic Trial</v>
      </c>
      <c r="V5" s="8">
        <f t="shared" si="12"/>
        <v>5.0000000000004263E-2</v>
      </c>
      <c r="W5" s="11" t="str">
        <f t="shared" si="13"/>
        <v>(Optional)</v>
      </c>
      <c r="X5" s="8" t="str">
        <f t="shared" si="14"/>
        <v>2025 World Cup POR (July 6)</v>
      </c>
      <c r="Y5" s="22">
        <v>4.4000000000000004</v>
      </c>
      <c r="Z5" s="22">
        <v>2.5</v>
      </c>
      <c r="AA5" s="22">
        <v>4.2</v>
      </c>
      <c r="AB5" s="22">
        <v>4.68</v>
      </c>
      <c r="AC5" s="22">
        <v>0</v>
      </c>
      <c r="AD5" s="22">
        <v>13.6</v>
      </c>
      <c r="AE5" s="22">
        <v>8.3000000000000007</v>
      </c>
      <c r="AF5" s="22">
        <v>11.9</v>
      </c>
      <c r="AG5" s="22">
        <v>13.44</v>
      </c>
      <c r="AH5" s="22">
        <v>0</v>
      </c>
      <c r="AI5" s="22">
        <v>14.5</v>
      </c>
      <c r="AJ5" s="22">
        <v>9.1</v>
      </c>
      <c r="AK5" s="22">
        <v>13.5</v>
      </c>
      <c r="AL5" s="22">
        <v>14.63</v>
      </c>
      <c r="AM5" s="22">
        <v>0</v>
      </c>
      <c r="AN5" s="27"/>
      <c r="AO5" s="38">
        <f t="shared" si="15"/>
        <v>4.2</v>
      </c>
      <c r="AP5" s="38">
        <f t="shared" si="16"/>
        <v>4.68</v>
      </c>
      <c r="AQ5" s="40">
        <f t="shared" si="17"/>
        <v>15.780000000000001</v>
      </c>
      <c r="AR5" s="40">
        <f t="shared" si="18"/>
        <v>11.9</v>
      </c>
      <c r="AS5" s="40">
        <f t="shared" si="19"/>
        <v>13.44</v>
      </c>
      <c r="AT5" s="40">
        <f t="shared" si="20"/>
        <v>47.239999999999995</v>
      </c>
      <c r="AU5" s="40">
        <f t="shared" si="21"/>
        <v>47.239999999999995</v>
      </c>
      <c r="AV5" s="40">
        <f t="shared" si="22"/>
        <v>13.5</v>
      </c>
      <c r="AW5" s="40">
        <f t="shared" si="23"/>
        <v>14.63</v>
      </c>
      <c r="AX5" s="40">
        <f t="shared" si="24"/>
        <v>51.730000000000004</v>
      </c>
      <c r="AY5" s="40">
        <f t="shared" si="25"/>
        <v>98.97</v>
      </c>
      <c r="AZ5" s="26">
        <v>13.5</v>
      </c>
      <c r="BA5" s="26">
        <v>9.1</v>
      </c>
      <c r="BB5" s="26">
        <v>12.4</v>
      </c>
      <c r="BC5" s="26">
        <v>14.35</v>
      </c>
      <c r="BD5" s="26">
        <v>0.3</v>
      </c>
      <c r="BE5" s="26">
        <v>14.8</v>
      </c>
      <c r="BF5" s="26">
        <v>9.1999999999999993</v>
      </c>
      <c r="BG5" s="26">
        <v>13.4</v>
      </c>
      <c r="BH5" s="26">
        <v>14.09</v>
      </c>
      <c r="BI5" s="26">
        <v>0</v>
      </c>
      <c r="BJ5" s="26">
        <v>13.7</v>
      </c>
      <c r="BK5" s="26">
        <v>9.1999999999999993</v>
      </c>
      <c r="BL5" s="26">
        <v>14.3</v>
      </c>
      <c r="BM5" s="26">
        <v>14.26</v>
      </c>
      <c r="BN5" s="26">
        <v>0</v>
      </c>
      <c r="BO5" s="28"/>
      <c r="BP5" s="39">
        <f t="shared" si="26"/>
        <v>12.4</v>
      </c>
      <c r="BQ5" s="39">
        <f t="shared" si="27"/>
        <v>14.35</v>
      </c>
      <c r="BR5" s="11">
        <f t="shared" si="28"/>
        <v>49.050000000000004</v>
      </c>
      <c r="BS5" s="11">
        <f t="shared" si="29"/>
        <v>13.4</v>
      </c>
      <c r="BT5" s="11">
        <f t="shared" si="30"/>
        <v>14.09</v>
      </c>
      <c r="BU5" s="11">
        <f t="shared" si="31"/>
        <v>51.489999999999995</v>
      </c>
      <c r="BV5" s="11">
        <f t="shared" si="32"/>
        <v>51.489999999999995</v>
      </c>
      <c r="BW5" s="11">
        <f t="shared" si="33"/>
        <v>14.3</v>
      </c>
      <c r="BX5" s="11">
        <f t="shared" si="34"/>
        <v>14.26</v>
      </c>
      <c r="BY5" s="11">
        <f t="shared" si="35"/>
        <v>51.46</v>
      </c>
      <c r="BZ5" s="11">
        <f t="shared" si="36"/>
        <v>102.94999999999999</v>
      </c>
      <c r="CA5" s="22">
        <v>14.1</v>
      </c>
      <c r="CB5" s="22">
        <v>9.6999999999999993</v>
      </c>
      <c r="CC5" s="22">
        <v>10.8</v>
      </c>
      <c r="CD5" s="22">
        <v>14.25</v>
      </c>
      <c r="CE5" s="22">
        <v>1.9</v>
      </c>
      <c r="CF5" s="22">
        <v>14.6</v>
      </c>
      <c r="CG5" s="22">
        <v>9.1</v>
      </c>
      <c r="CH5" s="22">
        <v>14.3</v>
      </c>
      <c r="CI5" s="22">
        <v>14.15</v>
      </c>
      <c r="CJ5" s="22">
        <v>0</v>
      </c>
      <c r="CK5" s="22">
        <v>13.7</v>
      </c>
      <c r="CL5" s="22">
        <v>9.6</v>
      </c>
      <c r="CM5" s="22">
        <v>14.3</v>
      </c>
      <c r="CN5" s="22">
        <v>14.27</v>
      </c>
      <c r="CO5" s="22">
        <v>0</v>
      </c>
      <c r="CP5" s="27"/>
      <c r="CQ5" s="38">
        <f t="shared" si="37"/>
        <v>10.8</v>
      </c>
      <c r="CR5" s="38">
        <f t="shared" si="38"/>
        <v>14.25</v>
      </c>
      <c r="CS5" s="40">
        <f t="shared" si="39"/>
        <v>46.949999999999996</v>
      </c>
      <c r="CT5" s="40">
        <f t="shared" si="40"/>
        <v>14.3</v>
      </c>
      <c r="CU5" s="40">
        <f t="shared" si="41"/>
        <v>14.15</v>
      </c>
      <c r="CV5" s="40">
        <f t="shared" si="42"/>
        <v>52.15</v>
      </c>
      <c r="CW5" s="40">
        <f t="shared" si="43"/>
        <v>52.15</v>
      </c>
      <c r="CX5" s="40">
        <f t="shared" si="44"/>
        <v>14.3</v>
      </c>
      <c r="CY5" s="40">
        <f t="shared" si="45"/>
        <v>14.27</v>
      </c>
      <c r="CZ5" s="40">
        <f t="shared" si="46"/>
        <v>51.86999999999999</v>
      </c>
      <c r="DA5" s="40">
        <f t="shared" si="47"/>
        <v>104.01999999999998</v>
      </c>
      <c r="DB5" s="50">
        <f t="shared" si="48"/>
        <v>5.0000000000004263E-2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>
        <v>13.5</v>
      </c>
      <c r="EM5" s="18">
        <v>9.3000000000000007</v>
      </c>
      <c r="EN5" s="18">
        <v>14.3</v>
      </c>
      <c r="EO5" s="18">
        <v>14.44</v>
      </c>
      <c r="EP5" s="18">
        <v>0</v>
      </c>
      <c r="EQ5" s="18">
        <v>13.3</v>
      </c>
      <c r="ER5" s="18">
        <v>9.3000000000000007</v>
      </c>
      <c r="ES5" s="18">
        <v>14.3</v>
      </c>
      <c r="ET5" s="18">
        <v>14.25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4"/>
        <v>14.3</v>
      </c>
      <c r="FG5" s="11">
        <f t="shared" si="65"/>
        <v>14.44</v>
      </c>
      <c r="FH5" s="11">
        <f t="shared" si="66"/>
        <v>51.54</v>
      </c>
      <c r="FI5" s="11">
        <f t="shared" si="67"/>
        <v>14.3</v>
      </c>
      <c r="FJ5" s="11">
        <f t="shared" si="68"/>
        <v>14.25</v>
      </c>
      <c r="FK5" s="11">
        <f t="shared" si="69"/>
        <v>51.150000000000006</v>
      </c>
      <c r="FL5" s="11">
        <f t="shared" si="70"/>
        <v>51.54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>
        <f t="shared" si="77"/>
        <v>51.54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>
        <v>14</v>
      </c>
      <c r="HH5" s="18">
        <v>9.6</v>
      </c>
      <c r="HI5" s="18">
        <v>13.4</v>
      </c>
      <c r="HJ5" s="18">
        <v>14.48</v>
      </c>
      <c r="HK5" s="18">
        <v>0</v>
      </c>
      <c r="HL5" s="18"/>
      <c r="HM5" s="18"/>
      <c r="HN5" s="18"/>
      <c r="HO5" s="18"/>
      <c r="HP5" s="18"/>
      <c r="HQ5" s="18">
        <v>13.5</v>
      </c>
      <c r="HR5" s="18">
        <v>9.3000000000000007</v>
      </c>
      <c r="HS5" s="18">
        <v>14.3</v>
      </c>
      <c r="HT5" s="18">
        <v>14.37</v>
      </c>
      <c r="HU5" s="18">
        <v>0</v>
      </c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>
        <f t="shared" si="95"/>
        <v>13.4</v>
      </c>
      <c r="HZ5" s="11">
        <f t="shared" si="96"/>
        <v>14.48</v>
      </c>
      <c r="IA5" s="11">
        <f t="shared" si="97"/>
        <v>51.480000000000004</v>
      </c>
      <c r="IB5" s="11">
        <f t="shared" si="98"/>
        <v>51.480000000000004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>
        <f t="shared" si="102"/>
        <v>14.3</v>
      </c>
      <c r="IG5" s="11">
        <f t="shared" si="103"/>
        <v>14.37</v>
      </c>
      <c r="IH5" s="11">
        <f t="shared" si="104"/>
        <v>51.47</v>
      </c>
      <c r="II5" s="11">
        <f t="shared" si="105"/>
        <v>102.95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13.8</v>
      </c>
      <c r="SW5" s="22">
        <f t="shared" si="219"/>
        <v>9.3999999999999986</v>
      </c>
      <c r="SX5" s="22">
        <f t="shared" si="220"/>
        <v>11.600000000000001</v>
      </c>
      <c r="SY5" s="22">
        <f t="shared" si="221"/>
        <v>14.3</v>
      </c>
      <c r="SZ5" s="22">
        <f t="shared" si="222"/>
        <v>1.0999999999999999</v>
      </c>
      <c r="TA5" s="22">
        <f t="shared" si="223"/>
        <v>14.7</v>
      </c>
      <c r="TB5" s="22">
        <f t="shared" si="224"/>
        <v>9.1499999999999986</v>
      </c>
      <c r="TC5" s="22">
        <f t="shared" si="225"/>
        <v>13.850000000000001</v>
      </c>
      <c r="TD5" s="22">
        <f t="shared" si="226"/>
        <v>14.120000000000001</v>
      </c>
      <c r="TE5" s="22">
        <f t="shared" si="227"/>
        <v>0</v>
      </c>
      <c r="TF5" s="22">
        <f t="shared" si="228"/>
        <v>13.7</v>
      </c>
      <c r="TG5" s="22">
        <f t="shared" si="229"/>
        <v>9.3999999999999986</v>
      </c>
      <c r="TH5" s="22">
        <f t="shared" si="230"/>
        <v>14.3</v>
      </c>
      <c r="TI5" s="22">
        <f t="shared" si="231"/>
        <v>14.265000000000001</v>
      </c>
      <c r="TJ5" s="22">
        <f t="shared" si="232"/>
        <v>0</v>
      </c>
      <c r="TK5" s="27" t="s">
        <v>46</v>
      </c>
      <c r="TL5" s="40">
        <f t="shared" si="233"/>
        <v>11.600000000000001</v>
      </c>
      <c r="TM5" s="40">
        <f t="shared" si="234"/>
        <v>14.3</v>
      </c>
      <c r="TN5" s="40">
        <f t="shared" si="235"/>
        <v>47.999999999999993</v>
      </c>
      <c r="TO5" s="40">
        <f t="shared" si="236"/>
        <v>13.850000000000001</v>
      </c>
      <c r="TP5" s="40">
        <f t="shared" si="237"/>
        <v>14.120000000000001</v>
      </c>
      <c r="TQ5" s="40">
        <f t="shared" si="238"/>
        <v>51.820000000000007</v>
      </c>
      <c r="TR5" s="40">
        <f t="shared" si="239"/>
        <v>51.820000000000007</v>
      </c>
      <c r="TS5" s="40">
        <f t="shared" si="240"/>
        <v>14.3</v>
      </c>
      <c r="TT5" s="40">
        <f t="shared" si="241"/>
        <v>14.265000000000001</v>
      </c>
      <c r="TU5" s="40">
        <f t="shared" si="242"/>
        <v>51.664999999999999</v>
      </c>
      <c r="TV5" s="40">
        <f t="shared" si="243"/>
        <v>103.48500000000001</v>
      </c>
    </row>
    <row r="6" spans="1:542" x14ac:dyDescent="0.2">
      <c r="A6" s="4" cm="1">
        <f t="array" ref="A6">IF(AND(J6&lt;&gt;"",J6&lt;&gt;"No DD"),SUMPRODUCT((J$4:J$16&lt;&gt;"")*(J$4:J$16&lt;&gt;"No DD")*(F$4:F$16&gt;F6))+1,IF(J6="No DD",SUMPRODUCT((J$4:J$16="No DD")*(F$4:F$16&gt;F6))+1+SUMPRODUCT((J$4:J$16&lt;&gt;"")*(J$4:J$16&lt;&gt;"No DD")),""))</f>
        <v>3</v>
      </c>
      <c r="B6" s="4" cm="1">
        <f t="array" ref="B6">IF(AND(J6&lt;&gt;"",J6&lt;&gt;"No DD",G6=""),SUMPRODUCT((J$4:J$16&lt;&gt;"")*(J$4:J$16&lt;&gt;"No DD")*(G$4:G$16="")*(F$4:F$16&gt;F6))+1,IF(J6="No DD",SUMPRODUCT((J$4:J$16="No DD")*(F$4:F$16&gt;F6)*(G$4:G$16=""))+1+SUMPRODUCT((J$4:J$16&lt;&gt;"")*(G$4:G$16="")*(J$4:J$16&lt;&gt;"No DD")),""))</f>
        <v>1</v>
      </c>
      <c r="C6" s="5" t="s">
        <v>96</v>
      </c>
      <c r="D6" s="4" t="s">
        <v>3</v>
      </c>
      <c r="E6" s="4">
        <v>2004</v>
      </c>
      <c r="F6" s="9">
        <f t="shared" si="0"/>
        <v>175.75001741600505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50.72</v>
      </c>
      <c r="M6" s="8" t="str">
        <f t="shared" si="5"/>
        <v>2024 3rd Domestic Trial</v>
      </c>
      <c r="N6" s="8">
        <f>IF(COUNT(AQ6,AT6,BR6,BU6,CS6,CV6)&gt;1,LARGE((AQ6,AT6,BR6,BU6,CS6,CV6),2),0)</f>
        <v>48.08</v>
      </c>
      <c r="O6" s="8" t="str">
        <f t="shared" si="6"/>
        <v>2025 Elite Canada</v>
      </c>
      <c r="P6" s="8">
        <f>IF(COUNT(AQ6,AT6,BR6,BU6,CS6,CV6)&gt;2,MAX(AX6,BY6,CZ6,LARGE((AQ6,AT6,BR6,BU6,CS6,CV6),3)),IF(MAX(AX6,BY6,CZ6)&gt;0,MAX(AX6,BY6,CZ6),0))</f>
        <v>49.04</v>
      </c>
      <c r="Q6" s="8" t="str">
        <f t="shared" si="7"/>
        <v>2024 3rd Domestic Trial</v>
      </c>
      <c r="R6" s="8">
        <f t="shared" si="8"/>
        <v>11.6</v>
      </c>
      <c r="S6" s="8" t="str">
        <f t="shared" si="9"/>
        <v>2025 Elite Canada</v>
      </c>
      <c r="T6" s="8">
        <f t="shared" si="10"/>
        <v>14.72</v>
      </c>
      <c r="U6" s="8" t="str">
        <f t="shared" si="11"/>
        <v>2024 3rd Domestic Trial</v>
      </c>
      <c r="V6" s="8">
        <f t="shared" si="12"/>
        <v>1.5900000000000034</v>
      </c>
      <c r="W6" s="11" t="str">
        <f t="shared" si="13"/>
        <v>(Optional)</v>
      </c>
      <c r="X6" s="8" t="str">
        <f t="shared" si="14"/>
        <v>2025 Coimbra Gym Fest (July 6)</v>
      </c>
      <c r="Y6" s="22">
        <v>14.3</v>
      </c>
      <c r="Z6" s="22">
        <v>8.6</v>
      </c>
      <c r="AA6" s="22">
        <v>10.1</v>
      </c>
      <c r="AB6" s="22">
        <v>14.37</v>
      </c>
      <c r="AC6" s="22">
        <v>1.1000000000000001</v>
      </c>
      <c r="AD6" s="22">
        <v>15.3</v>
      </c>
      <c r="AE6" s="22">
        <v>9.4</v>
      </c>
      <c r="AF6" s="22">
        <v>11.3</v>
      </c>
      <c r="AG6" s="22">
        <v>14.72</v>
      </c>
      <c r="AH6" s="22">
        <v>0</v>
      </c>
      <c r="AI6" s="22">
        <v>15.2</v>
      </c>
      <c r="AJ6" s="22">
        <v>9.1999999999999993</v>
      </c>
      <c r="AK6" s="22">
        <v>10.6</v>
      </c>
      <c r="AL6" s="22">
        <v>14.64</v>
      </c>
      <c r="AM6" s="22">
        <v>0.6</v>
      </c>
      <c r="AN6" s="27"/>
      <c r="AO6" s="38">
        <f t="shared" si="15"/>
        <v>10.1</v>
      </c>
      <c r="AP6" s="38">
        <f t="shared" si="16"/>
        <v>14.37</v>
      </c>
      <c r="AQ6" s="40">
        <f t="shared" si="17"/>
        <v>46.269999999999996</v>
      </c>
      <c r="AR6" s="40">
        <f t="shared" si="18"/>
        <v>11.3</v>
      </c>
      <c r="AS6" s="40">
        <f t="shared" si="19"/>
        <v>14.72</v>
      </c>
      <c r="AT6" s="40">
        <f t="shared" si="20"/>
        <v>50.72</v>
      </c>
      <c r="AU6" s="40">
        <f t="shared" si="21"/>
        <v>50.72</v>
      </c>
      <c r="AV6" s="40">
        <f t="shared" si="22"/>
        <v>10.6</v>
      </c>
      <c r="AW6" s="40">
        <f t="shared" si="23"/>
        <v>14.64</v>
      </c>
      <c r="AX6" s="40">
        <f t="shared" si="24"/>
        <v>49.04</v>
      </c>
      <c r="AY6" s="40">
        <f t="shared" si="25"/>
        <v>99.759999999999991</v>
      </c>
      <c r="AZ6" s="26">
        <v>14</v>
      </c>
      <c r="BA6" s="26">
        <v>9.4</v>
      </c>
      <c r="BB6" s="26">
        <v>10.9</v>
      </c>
      <c r="BC6" s="26">
        <v>13.78</v>
      </c>
      <c r="BD6" s="26">
        <v>0</v>
      </c>
      <c r="BE6" s="26">
        <v>13</v>
      </c>
      <c r="BF6" s="26">
        <v>9.3000000000000007</v>
      </c>
      <c r="BG6" s="26">
        <v>9.6</v>
      </c>
      <c r="BH6" s="26">
        <v>14.01</v>
      </c>
      <c r="BI6" s="26">
        <v>1.2</v>
      </c>
      <c r="BJ6" s="26">
        <v>13.2</v>
      </c>
      <c r="BK6" s="26">
        <v>9.1</v>
      </c>
      <c r="BL6" s="26">
        <v>11.6</v>
      </c>
      <c r="BM6" s="26">
        <v>13.87</v>
      </c>
      <c r="BN6" s="26">
        <v>0</v>
      </c>
      <c r="BO6" s="28"/>
      <c r="BP6" s="39">
        <f t="shared" si="26"/>
        <v>10.9</v>
      </c>
      <c r="BQ6" s="39">
        <f t="shared" si="27"/>
        <v>13.78</v>
      </c>
      <c r="BR6" s="11">
        <f t="shared" si="28"/>
        <v>48.08</v>
      </c>
      <c r="BS6" s="11">
        <f t="shared" si="29"/>
        <v>9.6</v>
      </c>
      <c r="BT6" s="11">
        <f t="shared" si="30"/>
        <v>14.01</v>
      </c>
      <c r="BU6" s="11">
        <f t="shared" si="31"/>
        <v>44.709999999999994</v>
      </c>
      <c r="BV6" s="11">
        <f t="shared" si="32"/>
        <v>48.08</v>
      </c>
      <c r="BW6" s="11">
        <f t="shared" si="33"/>
        <v>11.6</v>
      </c>
      <c r="BX6" s="11">
        <f t="shared" si="34"/>
        <v>13.87</v>
      </c>
      <c r="BY6" s="11">
        <f t="shared" si="35"/>
        <v>47.769999999999996</v>
      </c>
      <c r="BZ6" s="11">
        <f t="shared" si="36"/>
        <v>95.85</v>
      </c>
      <c r="CA6" s="22">
        <v>2</v>
      </c>
      <c r="CB6" s="22">
        <v>1.4</v>
      </c>
      <c r="CC6" s="22">
        <v>2</v>
      </c>
      <c r="CD6" s="22">
        <v>2.87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12</v>
      </c>
      <c r="CL6" s="22">
        <v>8.9</v>
      </c>
      <c r="CM6" s="22">
        <v>10.6</v>
      </c>
      <c r="CN6" s="22">
        <v>13.7</v>
      </c>
      <c r="CO6" s="22">
        <v>0.2</v>
      </c>
      <c r="CP6" s="27"/>
      <c r="CQ6" s="38">
        <f t="shared" si="37"/>
        <v>2</v>
      </c>
      <c r="CR6" s="38">
        <f t="shared" si="38"/>
        <v>2.87</v>
      </c>
      <c r="CS6" s="40">
        <f t="shared" si="39"/>
        <v>8.27</v>
      </c>
      <c r="CT6" s="40" t="str">
        <f t="shared" si="40"/>
        <v/>
      </c>
      <c r="CU6" s="40" t="str">
        <f t="shared" si="41"/>
        <v/>
      </c>
      <c r="CV6" s="40" t="str">
        <f t="shared" si="42"/>
        <v/>
      </c>
      <c r="CW6" s="40">
        <f t="shared" si="43"/>
        <v>8.27</v>
      </c>
      <c r="CX6" s="40">
        <f t="shared" si="44"/>
        <v>10.6</v>
      </c>
      <c r="CY6" s="40">
        <f t="shared" si="45"/>
        <v>13.7</v>
      </c>
      <c r="CZ6" s="40">
        <f t="shared" si="46"/>
        <v>45</v>
      </c>
      <c r="DA6" s="40">
        <f t="shared" si="47"/>
        <v>53.269999999999996</v>
      </c>
      <c r="DB6" s="50">
        <f t="shared" si="48"/>
        <v>1.5900000000000034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>
        <v>13.7</v>
      </c>
      <c r="FU6" s="17">
        <v>9.4</v>
      </c>
      <c r="FV6" s="17">
        <v>11.4</v>
      </c>
      <c r="FW6" s="17">
        <v>14.3</v>
      </c>
      <c r="FX6" s="17">
        <v>0</v>
      </c>
      <c r="FY6" s="17">
        <v>14.2</v>
      </c>
      <c r="FZ6" s="17">
        <v>9.5</v>
      </c>
      <c r="GA6" s="17">
        <v>11.4</v>
      </c>
      <c r="GB6" s="17">
        <v>14.57</v>
      </c>
      <c r="GC6" s="17">
        <v>0</v>
      </c>
      <c r="GD6" s="17">
        <v>13.7</v>
      </c>
      <c r="GE6" s="17">
        <v>8.9</v>
      </c>
      <c r="GF6" s="17">
        <v>11.4</v>
      </c>
      <c r="GG6" s="17">
        <v>14.37</v>
      </c>
      <c r="GH6" s="17">
        <v>0</v>
      </c>
      <c r="GI6" s="17"/>
      <c r="GJ6" s="17"/>
      <c r="GK6" s="17"/>
      <c r="GL6" s="17"/>
      <c r="GM6" s="17"/>
      <c r="GN6" s="40">
        <f t="shared" si="78"/>
        <v>11.4</v>
      </c>
      <c r="GO6" s="40">
        <f t="shared" si="79"/>
        <v>14.3</v>
      </c>
      <c r="GP6" s="40">
        <f t="shared" si="80"/>
        <v>48.8</v>
      </c>
      <c r="GQ6" s="40">
        <f t="shared" si="81"/>
        <v>11.4</v>
      </c>
      <c r="GR6" s="40">
        <f t="shared" si="82"/>
        <v>14.57</v>
      </c>
      <c r="GS6" s="40">
        <f t="shared" si="83"/>
        <v>49.67</v>
      </c>
      <c r="GT6" s="40">
        <f t="shared" si="84"/>
        <v>49.67</v>
      </c>
      <c r="GU6" s="40">
        <f t="shared" si="85"/>
        <v>11.4</v>
      </c>
      <c r="GV6" s="40">
        <f t="shared" si="86"/>
        <v>14.37</v>
      </c>
      <c r="GW6" s="40">
        <f t="shared" si="87"/>
        <v>48.37</v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>
        <f t="shared" si="91"/>
        <v>98.039999999999992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8</v>
      </c>
      <c r="SW6" s="22">
        <f t="shared" si="219"/>
        <v>5.4</v>
      </c>
      <c r="SX6" s="22">
        <f t="shared" si="220"/>
        <v>6.45</v>
      </c>
      <c r="SY6" s="22">
        <f t="shared" si="221"/>
        <v>8.3249999999999993</v>
      </c>
      <c r="SZ6" s="22">
        <f t="shared" si="222"/>
        <v>0</v>
      </c>
      <c r="TA6" s="22">
        <f t="shared" si="223"/>
        <v>6.5</v>
      </c>
      <c r="TB6" s="22">
        <f t="shared" si="224"/>
        <v>4.6500000000000004</v>
      </c>
      <c r="TC6" s="22">
        <f t="shared" si="225"/>
        <v>4.8</v>
      </c>
      <c r="TD6" s="22">
        <f t="shared" si="226"/>
        <v>7.0049999999999999</v>
      </c>
      <c r="TE6" s="22">
        <f t="shared" si="227"/>
        <v>0.6</v>
      </c>
      <c r="TF6" s="22">
        <f t="shared" si="228"/>
        <v>12.6</v>
      </c>
      <c r="TG6" s="22">
        <f t="shared" si="229"/>
        <v>9</v>
      </c>
      <c r="TH6" s="22">
        <f t="shared" si="230"/>
        <v>11.1</v>
      </c>
      <c r="TI6" s="22">
        <f t="shared" si="231"/>
        <v>13.785</v>
      </c>
      <c r="TJ6" s="22">
        <f t="shared" si="232"/>
        <v>0.1</v>
      </c>
      <c r="TK6" s="27" t="s">
        <v>46</v>
      </c>
      <c r="TL6" s="40">
        <f t="shared" si="233"/>
        <v>6.45</v>
      </c>
      <c r="TM6" s="40">
        <f t="shared" si="234"/>
        <v>8.3249999999999993</v>
      </c>
      <c r="TN6" s="40">
        <f t="shared" si="235"/>
        <v>28.175000000000001</v>
      </c>
      <c r="TO6" s="40">
        <f t="shared" si="236"/>
        <v>4.8</v>
      </c>
      <c r="TP6" s="40">
        <f t="shared" si="237"/>
        <v>7.0049999999999999</v>
      </c>
      <c r="TQ6" s="40">
        <f t="shared" si="238"/>
        <v>22.354999999999997</v>
      </c>
      <c r="TR6" s="40">
        <f t="shared" si="239"/>
        <v>28.175000000000001</v>
      </c>
      <c r="TS6" s="40">
        <f t="shared" si="240"/>
        <v>11.1</v>
      </c>
      <c r="TT6" s="40">
        <f t="shared" si="241"/>
        <v>13.785</v>
      </c>
      <c r="TU6" s="40">
        <f t="shared" si="242"/>
        <v>46.384999999999998</v>
      </c>
      <c r="TV6" s="40">
        <f t="shared" si="243"/>
        <v>74.56</v>
      </c>
    </row>
    <row r="7" spans="1:542" x14ac:dyDescent="0.2">
      <c r="A7" s="4" cm="1">
        <f t="array" ref="A7">IF(AND(J7&lt;&gt;"",J7&lt;&gt;"No DD"),SUMPRODUCT((J$4:J$16&lt;&gt;"")*(J$4:J$16&lt;&gt;"No DD")*(F$4:F$16&gt;F7))+1,IF(J7="No DD",SUMPRODUCT((J$4:J$16="No DD")*(F$4:F$16&gt;F7))+1+SUMPRODUCT((J$4:J$16&lt;&gt;"")*(J$4:J$16&lt;&gt;"No DD")),""))</f>
        <v>4</v>
      </c>
      <c r="B7" s="4" cm="1">
        <f t="array" ref="B7">IF(AND(J7&lt;&gt;"",J7&lt;&gt;"No DD",G7=""),SUMPRODUCT((J$4:J$16&lt;&gt;"")*(J$4:J$16&lt;&gt;"No DD")*(G$4:G$16="")*(F$4:F$16&gt;F7))+1,IF(J7="No DD",SUMPRODUCT((J$4:J$16="No DD")*(F$4:F$16&gt;F7)*(G$4:G$16=""))+1+SUMPRODUCT((J$4:J$16&lt;&gt;"")*(G$4:G$16="")*(J$4:J$16&lt;&gt;"No DD")),""))</f>
        <v>2</v>
      </c>
      <c r="C7" s="5" t="s">
        <v>113</v>
      </c>
      <c r="D7" s="4" t="s">
        <v>3</v>
      </c>
      <c r="E7" s="4">
        <v>2006</v>
      </c>
      <c r="F7" s="9">
        <f t="shared" si="0"/>
        <v>174.87001739900504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50.180000000000007</v>
      </c>
      <c r="M7" s="8" t="str">
        <f t="shared" si="5"/>
        <v>2025 Nationals</v>
      </c>
      <c r="N7" s="8">
        <f>IF(COUNT(AQ7,AT7,BR7,BU7,CS7,CV7)&gt;1,LARGE((AQ7,AT7,BR7,BU7,CS7,CV7),2),0)</f>
        <v>48.39</v>
      </c>
      <c r="O7" s="8" t="str">
        <f t="shared" si="6"/>
        <v>2025 Elite Canada</v>
      </c>
      <c r="P7" s="8">
        <f>IF(COUNT(AQ7,AT7,BR7,BU7,CS7,CV7)&gt;2,MAX(AX7,BY7,CZ7,LARGE((AQ7,AT7,BR7,BU7,CS7,CV7),3)),IF(MAX(AX7,BY7,CZ7)&gt;0,MAX(AX7,BY7,CZ7),0))</f>
        <v>48.699999999999996</v>
      </c>
      <c r="Q7" s="8" t="str">
        <f t="shared" si="7"/>
        <v>2025 Nationals</v>
      </c>
      <c r="R7" s="8">
        <f t="shared" si="8"/>
        <v>12.7</v>
      </c>
      <c r="S7" s="8" t="str">
        <f t="shared" si="9"/>
        <v>2025 Nationals</v>
      </c>
      <c r="T7" s="8">
        <f t="shared" si="10"/>
        <v>14.02</v>
      </c>
      <c r="U7" s="8" t="str">
        <f t="shared" si="11"/>
        <v>2025 Elite Canada</v>
      </c>
      <c r="V7" s="8">
        <f t="shared" si="12"/>
        <v>0.87999999999999545</v>
      </c>
      <c r="W7" s="11" t="str">
        <f t="shared" si="13"/>
        <v>(Optional)</v>
      </c>
      <c r="X7" s="8" t="str">
        <f t="shared" si="14"/>
        <v>2025 Coimbra Gym Fest (July 6)</v>
      </c>
      <c r="Y7" s="22">
        <v>13.55</v>
      </c>
      <c r="Z7" s="22">
        <v>9.3000000000000007</v>
      </c>
      <c r="AA7" s="22">
        <v>11.7</v>
      </c>
      <c r="AB7" s="22">
        <v>13.84</v>
      </c>
      <c r="AC7" s="22">
        <v>0</v>
      </c>
      <c r="AD7" s="22">
        <v>8.4</v>
      </c>
      <c r="AE7" s="22">
        <v>5.1999999999999993</v>
      </c>
      <c r="AF7" s="22">
        <v>7.2</v>
      </c>
      <c r="AG7" s="22">
        <v>8.26</v>
      </c>
      <c r="AH7" s="22">
        <v>0</v>
      </c>
      <c r="AI7" s="22">
        <v>11.8</v>
      </c>
      <c r="AJ7" s="22">
        <v>8.85</v>
      </c>
      <c r="AK7" s="22">
        <v>12</v>
      </c>
      <c r="AL7" s="22">
        <v>14.02</v>
      </c>
      <c r="AM7" s="22">
        <v>0.1</v>
      </c>
      <c r="AN7" s="27" t="s">
        <v>46</v>
      </c>
      <c r="AO7" s="38">
        <f t="shared" si="15"/>
        <v>11.7</v>
      </c>
      <c r="AP7" s="38">
        <f t="shared" si="16"/>
        <v>13.84</v>
      </c>
      <c r="AQ7" s="40">
        <f t="shared" si="17"/>
        <v>48.39</v>
      </c>
      <c r="AR7" s="40">
        <f t="shared" si="18"/>
        <v>7.2</v>
      </c>
      <c r="AS7" s="40">
        <f t="shared" si="19"/>
        <v>8.26</v>
      </c>
      <c r="AT7" s="40">
        <f t="shared" si="20"/>
        <v>29.060000000000002</v>
      </c>
      <c r="AU7" s="40">
        <f t="shared" si="21"/>
        <v>48.39</v>
      </c>
      <c r="AV7" s="40">
        <f t="shared" si="22"/>
        <v>12</v>
      </c>
      <c r="AW7" s="40">
        <f t="shared" si="23"/>
        <v>14.02</v>
      </c>
      <c r="AX7" s="40">
        <f t="shared" si="24"/>
        <v>46.57</v>
      </c>
      <c r="AY7" s="40">
        <f t="shared" si="25"/>
        <v>94.960000000000008</v>
      </c>
      <c r="AZ7" s="26">
        <v>13.55</v>
      </c>
      <c r="BA7" s="26">
        <v>9.3000000000000007</v>
      </c>
      <c r="BB7" s="26">
        <v>11.7</v>
      </c>
      <c r="BC7" s="26">
        <v>13.84</v>
      </c>
      <c r="BD7" s="26">
        <v>0</v>
      </c>
      <c r="BE7" s="26">
        <v>8.4</v>
      </c>
      <c r="BF7" s="26">
        <v>5.1999999999999993</v>
      </c>
      <c r="BG7" s="26">
        <v>7.2</v>
      </c>
      <c r="BH7" s="26">
        <v>8.26</v>
      </c>
      <c r="BI7" s="26">
        <v>0</v>
      </c>
      <c r="BJ7" s="26">
        <v>11.8</v>
      </c>
      <c r="BK7" s="26">
        <v>8.85</v>
      </c>
      <c r="BL7" s="26">
        <v>12</v>
      </c>
      <c r="BM7" s="26">
        <v>14.02</v>
      </c>
      <c r="BN7" s="26">
        <v>0.1</v>
      </c>
      <c r="BO7" s="28" t="s">
        <v>46</v>
      </c>
      <c r="BP7" s="39">
        <f t="shared" si="26"/>
        <v>11.7</v>
      </c>
      <c r="BQ7" s="39">
        <f t="shared" si="27"/>
        <v>13.84</v>
      </c>
      <c r="BR7" s="11">
        <f t="shared" si="28"/>
        <v>48.39</v>
      </c>
      <c r="BS7" s="11">
        <f t="shared" si="29"/>
        <v>7.2</v>
      </c>
      <c r="BT7" s="11">
        <f t="shared" si="30"/>
        <v>8.26</v>
      </c>
      <c r="BU7" s="11">
        <f t="shared" si="31"/>
        <v>29.060000000000002</v>
      </c>
      <c r="BV7" s="11">
        <f t="shared" si="32"/>
        <v>48.39</v>
      </c>
      <c r="BW7" s="11">
        <f t="shared" si="33"/>
        <v>12</v>
      </c>
      <c r="BX7" s="11">
        <f t="shared" si="34"/>
        <v>14.02</v>
      </c>
      <c r="BY7" s="11">
        <f t="shared" si="35"/>
        <v>46.57</v>
      </c>
      <c r="BZ7" s="11">
        <f t="shared" si="36"/>
        <v>94.960000000000008</v>
      </c>
      <c r="CA7" s="22">
        <v>14.4</v>
      </c>
      <c r="CB7" s="22">
        <v>9.3000000000000007</v>
      </c>
      <c r="CC7" s="22">
        <v>12.7</v>
      </c>
      <c r="CD7" s="22">
        <v>13.78</v>
      </c>
      <c r="CE7" s="22">
        <v>0</v>
      </c>
      <c r="CF7" s="22">
        <v>2.9</v>
      </c>
      <c r="CG7" s="22">
        <v>1.8</v>
      </c>
      <c r="CH7" s="22">
        <v>3</v>
      </c>
      <c r="CI7" s="22">
        <v>3</v>
      </c>
      <c r="CJ7" s="22">
        <v>0</v>
      </c>
      <c r="CK7" s="22">
        <v>12.8</v>
      </c>
      <c r="CL7" s="22">
        <v>9.1999999999999993</v>
      </c>
      <c r="CM7" s="22">
        <v>12.5</v>
      </c>
      <c r="CN7" s="22">
        <v>14.4</v>
      </c>
      <c r="CO7" s="22">
        <v>0.2</v>
      </c>
      <c r="CP7" s="27"/>
      <c r="CQ7" s="38">
        <f t="shared" si="37"/>
        <v>12.7</v>
      </c>
      <c r="CR7" s="38">
        <f t="shared" si="38"/>
        <v>13.78</v>
      </c>
      <c r="CS7" s="40">
        <f t="shared" si="39"/>
        <v>50.180000000000007</v>
      </c>
      <c r="CT7" s="40">
        <f t="shared" si="40"/>
        <v>3</v>
      </c>
      <c r="CU7" s="40">
        <f t="shared" si="41"/>
        <v>3</v>
      </c>
      <c r="CV7" s="40">
        <f t="shared" si="42"/>
        <v>10.7</v>
      </c>
      <c r="CW7" s="40">
        <f t="shared" si="43"/>
        <v>50.180000000000007</v>
      </c>
      <c r="CX7" s="40">
        <f t="shared" si="44"/>
        <v>12.5</v>
      </c>
      <c r="CY7" s="40">
        <f t="shared" si="45"/>
        <v>14.4</v>
      </c>
      <c r="CZ7" s="40">
        <f t="shared" si="46"/>
        <v>48.699999999999996</v>
      </c>
      <c r="DA7" s="40">
        <f t="shared" si="47"/>
        <v>98.88</v>
      </c>
      <c r="DB7" s="50">
        <f t="shared" si="48"/>
        <v>0.87999999999999545</v>
      </c>
      <c r="DC7" s="50">
        <f t="shared" si="49"/>
        <v>0.25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13.7</v>
      </c>
      <c r="FU7" s="17">
        <v>9</v>
      </c>
      <c r="FV7" s="17">
        <v>12.7</v>
      </c>
      <c r="FW7" s="17">
        <v>13.87</v>
      </c>
      <c r="FX7" s="17">
        <v>0</v>
      </c>
      <c r="FY7" s="17">
        <v>11.7</v>
      </c>
      <c r="FZ7" s="17">
        <v>7.2</v>
      </c>
      <c r="GA7" s="17">
        <v>8.3000000000000007</v>
      </c>
      <c r="GB7" s="17">
        <v>11.08</v>
      </c>
      <c r="GC7" s="17">
        <v>0.2</v>
      </c>
      <c r="GD7" s="17">
        <v>13.3</v>
      </c>
      <c r="GE7" s="17">
        <v>9.1</v>
      </c>
      <c r="GF7" s="17">
        <v>12.7</v>
      </c>
      <c r="GG7" s="17">
        <v>13.85</v>
      </c>
      <c r="GH7" s="17">
        <v>0</v>
      </c>
      <c r="GI7" s="17"/>
      <c r="GJ7" s="17"/>
      <c r="GK7" s="17"/>
      <c r="GL7" s="17"/>
      <c r="GM7" s="17"/>
      <c r="GN7" s="40">
        <f t="shared" si="78"/>
        <v>12.7</v>
      </c>
      <c r="GO7" s="40">
        <f t="shared" si="79"/>
        <v>13.87</v>
      </c>
      <c r="GP7" s="40">
        <f t="shared" si="80"/>
        <v>49.269999999999996</v>
      </c>
      <c r="GQ7" s="40">
        <f t="shared" si="81"/>
        <v>8.3000000000000007</v>
      </c>
      <c r="GR7" s="40">
        <f t="shared" si="82"/>
        <v>11.08</v>
      </c>
      <c r="GS7" s="40">
        <f t="shared" si="83"/>
        <v>38.08</v>
      </c>
      <c r="GT7" s="40">
        <f t="shared" si="84"/>
        <v>49.269999999999996</v>
      </c>
      <c r="GU7" s="40">
        <f t="shared" si="85"/>
        <v>12.7</v>
      </c>
      <c r="GV7" s="40">
        <f t="shared" si="86"/>
        <v>13.85</v>
      </c>
      <c r="GW7" s="40">
        <f t="shared" si="87"/>
        <v>48.949999999999996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98.22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13.975000000000001</v>
      </c>
      <c r="SW7" s="22">
        <f t="shared" si="219"/>
        <v>9.3000000000000007</v>
      </c>
      <c r="SX7" s="22">
        <f t="shared" si="220"/>
        <v>12.2</v>
      </c>
      <c r="SY7" s="22">
        <f t="shared" si="221"/>
        <v>13.809999999999999</v>
      </c>
      <c r="SZ7" s="22">
        <f t="shared" si="222"/>
        <v>0</v>
      </c>
      <c r="TA7" s="22">
        <f t="shared" si="223"/>
        <v>5.65</v>
      </c>
      <c r="TB7" s="22">
        <f t="shared" si="224"/>
        <v>3.4999999999999996</v>
      </c>
      <c r="TC7" s="22">
        <f t="shared" si="225"/>
        <v>5.0999999999999996</v>
      </c>
      <c r="TD7" s="22">
        <f t="shared" si="226"/>
        <v>5.63</v>
      </c>
      <c r="TE7" s="22">
        <f t="shared" si="227"/>
        <v>0</v>
      </c>
      <c r="TF7" s="22">
        <f t="shared" si="228"/>
        <v>12.3</v>
      </c>
      <c r="TG7" s="22">
        <f t="shared" si="229"/>
        <v>9.0249999999999986</v>
      </c>
      <c r="TH7" s="22">
        <f t="shared" si="230"/>
        <v>12.25</v>
      </c>
      <c r="TI7" s="22">
        <f t="shared" si="231"/>
        <v>14.21</v>
      </c>
      <c r="TJ7" s="22">
        <f t="shared" si="232"/>
        <v>0.15000000000000002</v>
      </c>
      <c r="TK7" s="27" t="s">
        <v>46</v>
      </c>
      <c r="TL7" s="40">
        <f t="shared" si="233"/>
        <v>12.2</v>
      </c>
      <c r="TM7" s="40">
        <f t="shared" si="234"/>
        <v>13.809999999999999</v>
      </c>
      <c r="TN7" s="40">
        <f t="shared" si="235"/>
        <v>49.284999999999997</v>
      </c>
      <c r="TO7" s="40">
        <f t="shared" si="236"/>
        <v>5.0999999999999996</v>
      </c>
      <c r="TP7" s="40">
        <f t="shared" si="237"/>
        <v>5.63</v>
      </c>
      <c r="TQ7" s="40">
        <f t="shared" si="238"/>
        <v>19.88</v>
      </c>
      <c r="TR7" s="40">
        <f t="shared" si="239"/>
        <v>49.284999999999997</v>
      </c>
      <c r="TS7" s="40">
        <f t="shared" si="240"/>
        <v>12.25</v>
      </c>
      <c r="TT7" s="40">
        <f t="shared" si="241"/>
        <v>14.21</v>
      </c>
      <c r="TU7" s="40">
        <f t="shared" si="242"/>
        <v>47.635000000000005</v>
      </c>
      <c r="TV7" s="40">
        <f t="shared" si="243"/>
        <v>96.92</v>
      </c>
    </row>
    <row r="8" spans="1:542" x14ac:dyDescent="0.2">
      <c r="A8" s="4" cm="1">
        <f t="array" ref="A8">IF(AND(J8&lt;&gt;"",J8&lt;&gt;"No DD"),SUMPRODUCT((J$4:J$16&lt;&gt;"")*(J$4:J$16&lt;&gt;"No DD")*(F$4:F$16&gt;F8))+1,IF(J8="No DD",SUMPRODUCT((J$4:J$16="No DD")*(F$4:F$16&gt;F8))+1+SUMPRODUCT((J$4:J$16&lt;&gt;"")*(J$4:J$16&lt;&gt;"No DD")),""))</f>
        <v>5</v>
      </c>
      <c r="B8" s="4" cm="1">
        <f t="array" ref="B8">IF(AND(J8&lt;&gt;"",J8&lt;&gt;"No DD",G8=""),SUMPRODUCT((J$4:J$16&lt;&gt;"")*(J$4:J$16&lt;&gt;"No DD")*(G$4:G$16="")*(F$4:F$16&gt;F8))+1,IF(J8="No DD",SUMPRODUCT((J$4:J$16="No DD")*(F$4:F$16&gt;F8)*(G$4:G$16=""))+1+SUMPRODUCT((J$4:J$16&lt;&gt;"")*(G$4:G$16="")*(J$4:J$16&lt;&gt;"No DD")),""))</f>
        <v>3</v>
      </c>
      <c r="C8" s="5" t="s">
        <v>130</v>
      </c>
      <c r="D8" s="4" t="s">
        <v>5</v>
      </c>
      <c r="E8" s="4">
        <v>2007</v>
      </c>
      <c r="F8" s="9">
        <f t="shared" si="0"/>
        <v>158.465015846505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50.1</v>
      </c>
      <c r="M8" s="8" t="str">
        <f t="shared" si="5"/>
        <v>2025 Nationals</v>
      </c>
      <c r="N8" s="8">
        <f>IF(COUNT(AQ8,AT8,BR8,BU8,CS8,CV8)&gt;1,LARGE((AQ8,AT8,BR8,BU8,CS8,CV8),2),0)</f>
        <v>47.01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34.754999999999995</v>
      </c>
      <c r="Q8" s="8" t="str">
        <f t="shared" si="7"/>
        <v>2024 3rd Domestic Trial</v>
      </c>
      <c r="R8" s="8">
        <f t="shared" si="8"/>
        <v>12.7</v>
      </c>
      <c r="S8" s="8" t="str">
        <f t="shared" si="9"/>
        <v>2025 Nationals</v>
      </c>
      <c r="T8" s="8">
        <f t="shared" si="10"/>
        <v>13.9</v>
      </c>
      <c r="U8" s="8" t="str">
        <f t="shared" si="11"/>
        <v>2025 Nationals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10.899999999999999</v>
      </c>
      <c r="Z8" s="22">
        <v>6.1499999999999995</v>
      </c>
      <c r="AA8" s="22">
        <v>8</v>
      </c>
      <c r="AB8" s="22">
        <v>9.7050000000000001</v>
      </c>
      <c r="AC8" s="22">
        <v>0</v>
      </c>
      <c r="AD8" s="22">
        <v>9.6000000000000014</v>
      </c>
      <c r="AE8" s="22">
        <v>6</v>
      </c>
      <c r="AF8" s="22">
        <v>7.05</v>
      </c>
      <c r="AG8" s="22">
        <v>8.9250000000000007</v>
      </c>
      <c r="AH8" s="22">
        <v>0</v>
      </c>
      <c r="AI8" s="22">
        <v>7.4</v>
      </c>
      <c r="AJ8" s="22">
        <v>4.4000000000000004</v>
      </c>
      <c r="AK8" s="22">
        <v>5.8</v>
      </c>
      <c r="AL8" s="22">
        <v>6.8650000000000002</v>
      </c>
      <c r="AM8" s="22">
        <v>0</v>
      </c>
      <c r="AN8" s="27" t="s">
        <v>46</v>
      </c>
      <c r="AO8" s="38">
        <f t="shared" si="15"/>
        <v>8</v>
      </c>
      <c r="AP8" s="38">
        <f t="shared" si="16"/>
        <v>9.7050000000000001</v>
      </c>
      <c r="AQ8" s="40">
        <f t="shared" si="17"/>
        <v>34.754999999999995</v>
      </c>
      <c r="AR8" s="40">
        <f t="shared" si="18"/>
        <v>7.05</v>
      </c>
      <c r="AS8" s="40">
        <f t="shared" si="19"/>
        <v>8.9250000000000007</v>
      </c>
      <c r="AT8" s="40">
        <f t="shared" si="20"/>
        <v>31.575000000000003</v>
      </c>
      <c r="AU8" s="40">
        <f t="shared" si="21"/>
        <v>34.754999999999995</v>
      </c>
      <c r="AV8" s="40">
        <f t="shared" si="22"/>
        <v>5.8</v>
      </c>
      <c r="AW8" s="40">
        <f t="shared" si="23"/>
        <v>6.8650000000000002</v>
      </c>
      <c r="AX8" s="40">
        <f t="shared" si="24"/>
        <v>24.465000000000003</v>
      </c>
      <c r="AY8" s="40">
        <f t="shared" si="25"/>
        <v>59.22</v>
      </c>
      <c r="AZ8" s="26">
        <v>13.7</v>
      </c>
      <c r="BA8" s="26">
        <v>9.3000000000000007</v>
      </c>
      <c r="BB8" s="26">
        <v>10.3</v>
      </c>
      <c r="BC8" s="26">
        <v>14.21</v>
      </c>
      <c r="BD8" s="26">
        <v>0.5</v>
      </c>
      <c r="BE8" s="26">
        <v>7.4</v>
      </c>
      <c r="BF8" s="26">
        <v>4.8</v>
      </c>
      <c r="BG8" s="26">
        <v>5.8</v>
      </c>
      <c r="BH8" s="26">
        <v>7.22</v>
      </c>
      <c r="BI8" s="26">
        <v>0</v>
      </c>
      <c r="BJ8" s="26">
        <v>6</v>
      </c>
      <c r="BK8" s="26">
        <v>3.7</v>
      </c>
      <c r="BL8" s="26">
        <v>4.7</v>
      </c>
      <c r="BM8" s="26">
        <v>5.71</v>
      </c>
      <c r="BN8" s="26">
        <v>0</v>
      </c>
      <c r="BO8" s="28"/>
      <c r="BP8" s="39">
        <f t="shared" si="26"/>
        <v>10.3</v>
      </c>
      <c r="BQ8" s="39">
        <f t="shared" si="27"/>
        <v>14.21</v>
      </c>
      <c r="BR8" s="11">
        <f t="shared" si="28"/>
        <v>47.01</v>
      </c>
      <c r="BS8" s="11">
        <f t="shared" si="29"/>
        <v>5.8</v>
      </c>
      <c r="BT8" s="11">
        <f t="shared" si="30"/>
        <v>7.22</v>
      </c>
      <c r="BU8" s="11">
        <f t="shared" si="31"/>
        <v>25.22</v>
      </c>
      <c r="BV8" s="11">
        <f t="shared" si="32"/>
        <v>47.01</v>
      </c>
      <c r="BW8" s="11">
        <f t="shared" si="33"/>
        <v>4.7</v>
      </c>
      <c r="BX8" s="11">
        <f t="shared" si="34"/>
        <v>5.71</v>
      </c>
      <c r="BY8" s="11">
        <f t="shared" si="35"/>
        <v>20.11</v>
      </c>
      <c r="BZ8" s="11">
        <f t="shared" si="36"/>
        <v>67.12</v>
      </c>
      <c r="CA8" s="22">
        <v>7.4</v>
      </c>
      <c r="CB8" s="22">
        <v>4.5999999999999996</v>
      </c>
      <c r="CC8" s="22">
        <v>6</v>
      </c>
      <c r="CD8" s="22">
        <v>7.15</v>
      </c>
      <c r="CE8" s="22">
        <v>0</v>
      </c>
      <c r="CF8" s="22">
        <v>14.6</v>
      </c>
      <c r="CG8" s="22">
        <v>8.9</v>
      </c>
      <c r="CH8" s="22">
        <v>12.7</v>
      </c>
      <c r="CI8" s="22">
        <v>13.9</v>
      </c>
      <c r="CJ8" s="22">
        <v>0</v>
      </c>
      <c r="CK8" s="22">
        <v>4.5999999999999996</v>
      </c>
      <c r="CL8" s="22">
        <v>2.9</v>
      </c>
      <c r="CM8" s="22">
        <v>3.6</v>
      </c>
      <c r="CN8" s="22">
        <v>4.32</v>
      </c>
      <c r="CO8" s="22">
        <v>0</v>
      </c>
      <c r="CP8" s="27"/>
      <c r="CQ8" s="38">
        <f t="shared" si="37"/>
        <v>6</v>
      </c>
      <c r="CR8" s="38">
        <f t="shared" si="38"/>
        <v>7.15</v>
      </c>
      <c r="CS8" s="40">
        <f t="shared" si="39"/>
        <v>25.15</v>
      </c>
      <c r="CT8" s="40">
        <f t="shared" si="40"/>
        <v>12.7</v>
      </c>
      <c r="CU8" s="40">
        <f t="shared" si="41"/>
        <v>13.9</v>
      </c>
      <c r="CV8" s="40">
        <f t="shared" si="42"/>
        <v>50.1</v>
      </c>
      <c r="CW8" s="40">
        <f t="shared" si="43"/>
        <v>50.1</v>
      </c>
      <c r="CX8" s="40">
        <f t="shared" si="44"/>
        <v>3.6</v>
      </c>
      <c r="CY8" s="40">
        <f t="shared" si="45"/>
        <v>4.32</v>
      </c>
      <c r="CZ8" s="40">
        <f t="shared" si="46"/>
        <v>15.42</v>
      </c>
      <c r="DA8" s="40">
        <f t="shared" si="47"/>
        <v>65.52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10.55</v>
      </c>
      <c r="SW8" s="22">
        <f t="shared" si="219"/>
        <v>6.95</v>
      </c>
      <c r="SX8" s="22">
        <f t="shared" si="220"/>
        <v>8.15</v>
      </c>
      <c r="SY8" s="22">
        <f t="shared" si="221"/>
        <v>10.68</v>
      </c>
      <c r="SZ8" s="22">
        <f t="shared" si="222"/>
        <v>0.25</v>
      </c>
      <c r="TA8" s="22">
        <f t="shared" si="223"/>
        <v>11</v>
      </c>
      <c r="TB8" s="22">
        <f t="shared" si="224"/>
        <v>6.85</v>
      </c>
      <c r="TC8" s="22">
        <f t="shared" si="225"/>
        <v>9.25</v>
      </c>
      <c r="TD8" s="22">
        <f t="shared" si="226"/>
        <v>10.56</v>
      </c>
      <c r="TE8" s="22">
        <f t="shared" si="227"/>
        <v>0</v>
      </c>
      <c r="TF8" s="22">
        <f t="shared" si="228"/>
        <v>5.3</v>
      </c>
      <c r="TG8" s="22">
        <f t="shared" si="229"/>
        <v>3.3</v>
      </c>
      <c r="TH8" s="22">
        <f t="shared" si="230"/>
        <v>4.1500000000000004</v>
      </c>
      <c r="TI8" s="22">
        <f t="shared" si="231"/>
        <v>5.0150000000000006</v>
      </c>
      <c r="TJ8" s="22">
        <f t="shared" si="232"/>
        <v>0</v>
      </c>
      <c r="TK8" s="27" t="s">
        <v>46</v>
      </c>
      <c r="TL8" s="40">
        <f t="shared" si="233"/>
        <v>8.15</v>
      </c>
      <c r="TM8" s="40">
        <f t="shared" si="234"/>
        <v>10.68</v>
      </c>
      <c r="TN8" s="40">
        <f t="shared" si="235"/>
        <v>36.08</v>
      </c>
      <c r="TO8" s="40">
        <f t="shared" si="236"/>
        <v>9.25</v>
      </c>
      <c r="TP8" s="40">
        <f t="shared" si="237"/>
        <v>10.56</v>
      </c>
      <c r="TQ8" s="40">
        <f t="shared" si="238"/>
        <v>37.660000000000004</v>
      </c>
      <c r="TR8" s="40">
        <f t="shared" si="239"/>
        <v>37.660000000000004</v>
      </c>
      <c r="TS8" s="40">
        <f t="shared" si="240"/>
        <v>4.1500000000000004</v>
      </c>
      <c r="TT8" s="40">
        <f t="shared" si="241"/>
        <v>5.0150000000000006</v>
      </c>
      <c r="TU8" s="40">
        <f t="shared" si="242"/>
        <v>17.765000000000001</v>
      </c>
      <c r="TV8" s="40">
        <f t="shared" si="243"/>
        <v>55.425000000000004</v>
      </c>
    </row>
    <row r="9" spans="1:542" x14ac:dyDescent="0.2">
      <c r="A9" s="4" t="str" cm="1">
        <f t="array" ref="A9">IF(AND(J9&lt;&gt;"",J9&lt;&gt;"No DD"),SUMPRODUCT((J$4:J$16&lt;&gt;"")*(J$4:J$16&lt;&gt;"No DD")*(F$4:F$16&gt;F9))+1,IF(J9="No DD",SUMPRODUCT((J$4:J$16="No DD")*(F$4:F$16&gt;F9))+1+SUMPRODUCT((J$4:J$16&lt;&gt;"")*(J$4:J$16&lt;&gt;"No DD")),""))</f>
        <v/>
      </c>
      <c r="B9" s="4" t="str" cm="1">
        <f t="array" ref="B9">IF(AND(J9&lt;&gt;"",J9&lt;&gt;"No DD",G9=""),SUMPRODUCT((J$4:J$16&lt;&gt;"")*(J$4:J$16&lt;&gt;"No DD")*(G$4:G$16="")*(F$4:F$16&gt;F9))+1,IF(J9="No DD",SUMPRODUCT((J$4:J$16="No DD")*(F$4:F$16&gt;F9)*(G$4:G$16=""))+1+SUMPRODUCT((J$4:J$16&lt;&gt;"")*(G$4:G$16="")*(J$4:J$16&lt;&gt;"No DD")),""))</f>
        <v/>
      </c>
      <c r="C9" s="5" t="s">
        <v>163</v>
      </c>
      <c r="D9" s="4" t="s">
        <v>5</v>
      </c>
      <c r="E9" s="4">
        <v>2008</v>
      </c>
      <c r="F9" s="9">
        <f t="shared" si="0"/>
        <v>171.02001710200486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48.58</v>
      </c>
      <c r="M9" s="8" t="str">
        <f t="shared" si="5"/>
        <v>2025 Nationals</v>
      </c>
      <c r="N9" s="8">
        <f>IF(COUNT(AQ9,AT9,BR9,BU9,CS9,CV9)&gt;1,LARGE((AQ9,AT9,BR9,BU9,CS9,CV9),2),0)</f>
        <v>47.410000000000004</v>
      </c>
      <c r="O9" s="8" t="str">
        <f t="shared" si="6"/>
        <v>2025 Nationals</v>
      </c>
      <c r="P9" s="8">
        <f>IF(COUNT(AQ9,AT9,BR9,BU9,CS9,CV9)&gt;2,MAX(AX9,BY9,CZ9,LARGE((AQ9,AT9,BR9,BU9,CS9,CV9),3)),IF(MAX(AX9,BY9,CZ9)&gt;0,MAX(AX9,BY9,CZ9),0))</f>
        <v>48.21</v>
      </c>
      <c r="Q9" s="8" t="str">
        <f t="shared" si="7"/>
        <v>2025 Nationals</v>
      </c>
      <c r="R9" s="8">
        <f t="shared" si="8"/>
        <v>12.7</v>
      </c>
      <c r="S9" s="8" t="str">
        <f t="shared" si="9"/>
        <v>2025 Nationals</v>
      </c>
      <c r="T9" s="8">
        <f t="shared" si="10"/>
        <v>14.12</v>
      </c>
      <c r="U9" s="8" t="str">
        <f t="shared" si="11"/>
        <v>2024 3rd Domestic Trial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16.899999999999999</v>
      </c>
      <c r="Z9" s="22">
        <v>9.4</v>
      </c>
      <c r="AA9" s="22">
        <v>0</v>
      </c>
      <c r="AB9" s="22">
        <v>14.12</v>
      </c>
      <c r="AC9" s="22">
        <v>0</v>
      </c>
      <c r="AD9" s="22">
        <v>7</v>
      </c>
      <c r="AE9" s="22">
        <v>4.3</v>
      </c>
      <c r="AF9" s="22">
        <v>4.7</v>
      </c>
      <c r="AG9" s="22">
        <v>6.95</v>
      </c>
      <c r="AH9" s="22">
        <v>0</v>
      </c>
      <c r="AI9" s="22">
        <v>4.9000000000000004</v>
      </c>
      <c r="AJ9" s="22">
        <v>3</v>
      </c>
      <c r="AK9" s="22">
        <v>2.9</v>
      </c>
      <c r="AL9" s="22">
        <v>4.1500000000000004</v>
      </c>
      <c r="AM9" s="22">
        <v>0</v>
      </c>
      <c r="AN9" s="27"/>
      <c r="AO9" s="38" t="str">
        <f t="shared" si="15"/>
        <v/>
      </c>
      <c r="AP9" s="38">
        <f t="shared" si="16"/>
        <v>14.12</v>
      </c>
      <c r="AQ9" s="40">
        <f t="shared" si="17"/>
        <v>40.419999999999995</v>
      </c>
      <c r="AR9" s="40">
        <f t="shared" si="18"/>
        <v>4.7</v>
      </c>
      <c r="AS9" s="40">
        <f t="shared" si="19"/>
        <v>6.95</v>
      </c>
      <c r="AT9" s="40">
        <f t="shared" si="20"/>
        <v>22.95</v>
      </c>
      <c r="AU9" s="40">
        <f t="shared" si="21"/>
        <v>40.419999999999995</v>
      </c>
      <c r="AV9" s="40">
        <f t="shared" si="22"/>
        <v>2.9</v>
      </c>
      <c r="AW9" s="40">
        <f t="shared" si="23"/>
        <v>4.1500000000000004</v>
      </c>
      <c r="AX9" s="40">
        <f t="shared" si="24"/>
        <v>14.950000000000001</v>
      </c>
      <c r="AY9" s="40">
        <f t="shared" si="25"/>
        <v>55.37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 t="shared" si="26"/>
        <v/>
      </c>
      <c r="BQ9" s="39" t="str">
        <f t="shared" si="27"/>
        <v/>
      </c>
      <c r="BR9" s="11" t="str">
        <f t="shared" si="28"/>
        <v/>
      </c>
      <c r="BS9" s="11" t="str">
        <f t="shared" si="29"/>
        <v/>
      </c>
      <c r="BT9" s="11" t="str">
        <f t="shared" si="30"/>
        <v/>
      </c>
      <c r="BU9" s="11" t="str">
        <f t="shared" si="31"/>
        <v/>
      </c>
      <c r="BV9" s="11" t="str">
        <f t="shared" si="32"/>
        <v/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 t="str">
        <f t="shared" si="36"/>
        <v/>
      </c>
      <c r="CA9" s="22">
        <v>12</v>
      </c>
      <c r="CB9" s="22">
        <v>9</v>
      </c>
      <c r="CC9" s="22">
        <v>12.7</v>
      </c>
      <c r="CD9" s="22">
        <v>13.71</v>
      </c>
      <c r="CE9" s="22">
        <v>0</v>
      </c>
      <c r="CF9" s="22">
        <v>13</v>
      </c>
      <c r="CG9" s="22">
        <v>9.4</v>
      </c>
      <c r="CH9" s="22">
        <v>12.5</v>
      </c>
      <c r="CI9" s="22">
        <v>13.68</v>
      </c>
      <c r="CJ9" s="22">
        <v>0</v>
      </c>
      <c r="CK9" s="22">
        <v>13.5</v>
      </c>
      <c r="CL9" s="22">
        <v>8.6999999999999993</v>
      </c>
      <c r="CM9" s="22">
        <v>12.7</v>
      </c>
      <c r="CN9" s="22">
        <v>13.31</v>
      </c>
      <c r="CO9" s="22">
        <v>0</v>
      </c>
      <c r="CP9" s="27"/>
      <c r="CQ9" s="38">
        <f t="shared" si="37"/>
        <v>12.7</v>
      </c>
      <c r="CR9" s="38">
        <f t="shared" si="38"/>
        <v>13.71</v>
      </c>
      <c r="CS9" s="40">
        <f t="shared" si="39"/>
        <v>47.410000000000004</v>
      </c>
      <c r="CT9" s="40">
        <f t="shared" si="40"/>
        <v>12.5</v>
      </c>
      <c r="CU9" s="40">
        <f t="shared" si="41"/>
        <v>13.68</v>
      </c>
      <c r="CV9" s="40">
        <f t="shared" si="42"/>
        <v>48.58</v>
      </c>
      <c r="CW9" s="40">
        <f t="shared" si="43"/>
        <v>48.58</v>
      </c>
      <c r="CX9" s="40">
        <f t="shared" si="44"/>
        <v>12.7</v>
      </c>
      <c r="CY9" s="40">
        <f t="shared" si="45"/>
        <v>13.31</v>
      </c>
      <c r="CZ9" s="40">
        <f t="shared" si="46"/>
        <v>48.21</v>
      </c>
      <c r="DA9" s="40">
        <f t="shared" si="47"/>
        <v>96.789999999999992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6</v>
      </c>
      <c r="SW9" s="22">
        <f t="shared" si="219"/>
        <v>4.5</v>
      </c>
      <c r="SX9" s="22">
        <f t="shared" si="220"/>
        <v>6.35</v>
      </c>
      <c r="SY9" s="22">
        <f t="shared" si="221"/>
        <v>6.8550000000000004</v>
      </c>
      <c r="SZ9" s="22">
        <f t="shared" si="222"/>
        <v>0</v>
      </c>
      <c r="TA9" s="22">
        <f t="shared" si="223"/>
        <v>6.5</v>
      </c>
      <c r="TB9" s="22">
        <f t="shared" si="224"/>
        <v>4.7</v>
      </c>
      <c r="TC9" s="22">
        <f t="shared" si="225"/>
        <v>6.25</v>
      </c>
      <c r="TD9" s="22">
        <f t="shared" si="226"/>
        <v>6.84</v>
      </c>
      <c r="TE9" s="22">
        <f t="shared" si="227"/>
        <v>0</v>
      </c>
      <c r="TF9" s="22">
        <f t="shared" si="228"/>
        <v>6.75</v>
      </c>
      <c r="TG9" s="22">
        <f t="shared" si="229"/>
        <v>4.3499999999999996</v>
      </c>
      <c r="TH9" s="22">
        <f t="shared" si="230"/>
        <v>6.35</v>
      </c>
      <c r="TI9" s="22">
        <f t="shared" si="231"/>
        <v>6.6550000000000002</v>
      </c>
      <c r="TJ9" s="22">
        <f t="shared" si="232"/>
        <v>0</v>
      </c>
      <c r="TK9" s="27" t="s">
        <v>46</v>
      </c>
      <c r="TL9" s="40">
        <f t="shared" si="233"/>
        <v>6.35</v>
      </c>
      <c r="TM9" s="40">
        <f t="shared" si="234"/>
        <v>6.8550000000000004</v>
      </c>
      <c r="TN9" s="40">
        <f t="shared" si="235"/>
        <v>23.705000000000002</v>
      </c>
      <c r="TO9" s="40">
        <f t="shared" si="236"/>
        <v>6.25</v>
      </c>
      <c r="TP9" s="40">
        <f t="shared" si="237"/>
        <v>6.84</v>
      </c>
      <c r="TQ9" s="40">
        <f t="shared" si="238"/>
        <v>24.29</v>
      </c>
      <c r="TR9" s="40">
        <f t="shared" si="239"/>
        <v>24.29</v>
      </c>
      <c r="TS9" s="40">
        <f t="shared" si="240"/>
        <v>6.35</v>
      </c>
      <c r="TT9" s="40">
        <f t="shared" si="241"/>
        <v>6.6550000000000002</v>
      </c>
      <c r="TU9" s="40">
        <f t="shared" si="242"/>
        <v>24.105</v>
      </c>
      <c r="TV9" s="40">
        <f t="shared" si="243"/>
        <v>48.394999999999996</v>
      </c>
    </row>
    <row r="10" spans="1:542" x14ac:dyDescent="0.2">
      <c r="A10" s="4" t="str" cm="1">
        <f t="array" ref="A10">IF(AND(J10&lt;&gt;"",J10&lt;&gt;"No DD"),SUMPRODUCT((J$4:J$16&lt;&gt;"")*(J$4:J$16&lt;&gt;"No DD")*(F$4:F$16&gt;F10))+1,IF(J10="No DD",SUMPRODUCT((J$4:J$16="No DD")*(F$4:F$16&gt;F10))+1+SUMPRODUCT((J$4:J$16&lt;&gt;"")*(J$4:J$16&lt;&gt;"No DD")),""))</f>
        <v/>
      </c>
      <c r="B10" s="4" t="str" cm="1">
        <f t="array" ref="B10">IF(AND(J10&lt;&gt;"",J10&lt;&gt;"No DD",G10=""),SUMPRODUCT((J$4:J$16&lt;&gt;"")*(J$4:J$16&lt;&gt;"No DD")*(G$4:G$16="")*(F$4:F$16&gt;F10))+1,IF(J10="No DD",SUMPRODUCT((J$4:J$16="No DD")*(F$4:F$16&gt;F10)*(G$4:G$16=""))+1+SUMPRODUCT((J$4:J$16&lt;&gt;"")*(G$4:G$16="")*(J$4:J$16&lt;&gt;"No DD")),""))</f>
        <v/>
      </c>
      <c r="C10" s="5" t="s">
        <v>121</v>
      </c>
      <c r="D10" s="4" t="s">
        <v>4</v>
      </c>
      <c r="E10" s="4">
        <v>2006</v>
      </c>
      <c r="F10" s="9">
        <f t="shared" si="0"/>
        <v>150.47001504700467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46.540000000000006</v>
      </c>
      <c r="M10" s="8" t="str">
        <f t="shared" si="5"/>
        <v>2024 3rd Domestic Trial</v>
      </c>
      <c r="N10" s="8">
        <f>IF(COUNT(AQ10,AT10,BR10,BU10,CS10,CV10)&gt;1,LARGE((AQ10,AT10,BR10,BU10,CS10,CV10),2),0)</f>
        <v>46.379999999999995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46.95</v>
      </c>
      <c r="Q10" s="8" t="str">
        <f t="shared" si="7"/>
        <v>2024 3rd Domestic Trial</v>
      </c>
      <c r="R10" s="8">
        <f t="shared" si="8"/>
        <v>10.6</v>
      </c>
      <c r="S10" s="8" t="str">
        <f t="shared" si="9"/>
        <v>2024 3rd Domestic Trial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13.6</v>
      </c>
      <c r="Z10" s="22">
        <v>9.4</v>
      </c>
      <c r="AA10" s="22">
        <v>9.3000000000000007</v>
      </c>
      <c r="AB10" s="22">
        <v>14.08</v>
      </c>
      <c r="AC10" s="22">
        <v>0</v>
      </c>
      <c r="AD10" s="22">
        <v>13</v>
      </c>
      <c r="AE10" s="22">
        <v>9.1</v>
      </c>
      <c r="AF10" s="22">
        <v>10.1</v>
      </c>
      <c r="AG10" s="22">
        <v>14.34</v>
      </c>
      <c r="AH10" s="22">
        <v>0</v>
      </c>
      <c r="AI10" s="22">
        <v>12.7</v>
      </c>
      <c r="AJ10" s="22">
        <v>9.1</v>
      </c>
      <c r="AK10" s="22">
        <v>10.6</v>
      </c>
      <c r="AL10" s="22">
        <v>14.55</v>
      </c>
      <c r="AM10" s="22">
        <v>0</v>
      </c>
      <c r="AN10" s="27"/>
      <c r="AO10" s="38">
        <f t="shared" si="15"/>
        <v>9.3000000000000007</v>
      </c>
      <c r="AP10" s="38">
        <f t="shared" si="16"/>
        <v>14.08</v>
      </c>
      <c r="AQ10" s="40">
        <f t="shared" si="17"/>
        <v>46.379999999999995</v>
      </c>
      <c r="AR10" s="40">
        <f t="shared" si="18"/>
        <v>10.1</v>
      </c>
      <c r="AS10" s="40">
        <f t="shared" si="19"/>
        <v>14.34</v>
      </c>
      <c r="AT10" s="40">
        <f t="shared" si="20"/>
        <v>46.540000000000006</v>
      </c>
      <c r="AU10" s="40">
        <f t="shared" si="21"/>
        <v>46.540000000000006</v>
      </c>
      <c r="AV10" s="40">
        <f t="shared" si="22"/>
        <v>10.6</v>
      </c>
      <c r="AW10" s="40">
        <f t="shared" si="23"/>
        <v>14.55</v>
      </c>
      <c r="AX10" s="40">
        <f t="shared" si="24"/>
        <v>46.95</v>
      </c>
      <c r="AY10" s="40">
        <f t="shared" si="25"/>
        <v>93.490000000000009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 t="shared" si="26"/>
        <v/>
      </c>
      <c r="BQ10" s="39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 t="str">
        <f t="shared" si="36"/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0</v>
      </c>
      <c r="SW10" s="22">
        <f t="shared" si="219"/>
        <v>0</v>
      </c>
      <c r="SX10" s="22">
        <f t="shared" si="220"/>
        <v>0</v>
      </c>
      <c r="SY10" s="22">
        <f t="shared" si="221"/>
        <v>0</v>
      </c>
      <c r="SZ10" s="22">
        <f t="shared" si="222"/>
        <v>0</v>
      </c>
      <c r="TA10" s="22">
        <f t="shared" si="223"/>
        <v>0</v>
      </c>
      <c r="TB10" s="22">
        <f t="shared" si="224"/>
        <v>0</v>
      </c>
      <c r="TC10" s="22">
        <f t="shared" si="225"/>
        <v>0</v>
      </c>
      <c r="TD10" s="22">
        <f t="shared" si="226"/>
        <v>0</v>
      </c>
      <c r="TE10" s="22">
        <f t="shared" si="227"/>
        <v>0</v>
      </c>
      <c r="TF10" s="22">
        <f t="shared" si="228"/>
        <v>0</v>
      </c>
      <c r="TG10" s="22">
        <f t="shared" si="229"/>
        <v>0</v>
      </c>
      <c r="TH10" s="22">
        <f t="shared" si="230"/>
        <v>0</v>
      </c>
      <c r="TI10" s="22">
        <f t="shared" si="231"/>
        <v>0</v>
      </c>
      <c r="TJ10" s="22">
        <f t="shared" si="232"/>
        <v>0</v>
      </c>
      <c r="TK10" s="27" t="s">
        <v>46</v>
      </c>
      <c r="TL10" s="40" t="str">
        <f t="shared" si="233"/>
        <v/>
      </c>
      <c r="TM10" s="40" t="str">
        <f t="shared" si="234"/>
        <v/>
      </c>
      <c r="TN10" s="40" t="str">
        <f t="shared" si="235"/>
        <v/>
      </c>
      <c r="TO10" s="40" t="str">
        <f t="shared" si="236"/>
        <v/>
      </c>
      <c r="TP10" s="40" t="str">
        <f t="shared" si="237"/>
        <v/>
      </c>
      <c r="TQ10" s="40" t="str">
        <f t="shared" si="238"/>
        <v/>
      </c>
      <c r="TR10" s="40" t="str">
        <f t="shared" si="239"/>
        <v/>
      </c>
      <c r="TS10" s="40" t="str">
        <f t="shared" si="240"/>
        <v/>
      </c>
      <c r="TT10" s="40" t="str">
        <f t="shared" si="241"/>
        <v/>
      </c>
      <c r="TU10" s="40" t="str">
        <f t="shared" si="242"/>
        <v/>
      </c>
      <c r="TV10" s="40" t="str">
        <f t="shared" si="243"/>
        <v/>
      </c>
    </row>
    <row r="11" spans="1:542" x14ac:dyDescent="0.2">
      <c r="A11" s="4" t="str" cm="1">
        <f t="array" ref="A11">IF(AND(J11&lt;&gt;"",J11&lt;&gt;"No DD"),SUMPRODUCT((J$4:J$16&lt;&gt;"")*(J$4:J$16&lt;&gt;"No DD")*(F$4:F$16&gt;F11))+1,IF(J11="No DD",SUMPRODUCT((J$4:J$16="No DD")*(F$4:F$16&gt;F11))+1+SUMPRODUCT((J$4:J$16&lt;&gt;"")*(J$4:J$16&lt;&gt;"No DD")),""))</f>
        <v/>
      </c>
      <c r="B11" s="4" t="str" cm="1">
        <f t="array" ref="B11">IF(AND(J11&lt;&gt;"",J11&lt;&gt;"No DD",G11=""),SUMPRODUCT((J$4:J$16&lt;&gt;"")*(J$4:J$16&lt;&gt;"No DD")*(G$4:G$16="")*(F$4:F$16&gt;F11))+1,IF(J11="No DD",SUMPRODUCT((J$4:J$16="No DD")*(F$4:F$16&gt;F11)*(G$4:G$16=""))+1+SUMPRODUCT((J$4:J$16&lt;&gt;"")*(G$4:G$16="")*(J$4:J$16&lt;&gt;"No DD")),""))</f>
        <v/>
      </c>
      <c r="C11" s="5" t="s">
        <v>120</v>
      </c>
      <c r="D11" s="4" t="s">
        <v>4</v>
      </c>
      <c r="E11" s="4">
        <v>2004</v>
      </c>
      <c r="F11" s="9">
        <f t="shared" si="0"/>
        <v>137.30001373000454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45.38</v>
      </c>
      <c r="M11" s="8" t="str">
        <f t="shared" si="5"/>
        <v>2024 3rd Domestic Trial</v>
      </c>
      <c r="N11" s="8">
        <f>IF(COUNT(AQ11,AT11,BR11,BU11,CS11,CV11)&gt;1,LARGE((AQ11,AT11,BR11,BU11,CS11,CV11),2),0)</f>
        <v>41.37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41.45</v>
      </c>
      <c r="Q11" s="8" t="str">
        <f t="shared" si="7"/>
        <v>2025 Elite Canada</v>
      </c>
      <c r="R11" s="8">
        <f t="shared" si="8"/>
        <v>9.1</v>
      </c>
      <c r="S11" s="8" t="str">
        <f t="shared" si="9"/>
        <v>2025 Elite Canada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14.8</v>
      </c>
      <c r="Z11" s="22">
        <v>8.9</v>
      </c>
      <c r="AA11" s="22">
        <v>9.1</v>
      </c>
      <c r="AB11" s="22">
        <v>14.68</v>
      </c>
      <c r="AC11" s="22">
        <v>2.1</v>
      </c>
      <c r="AD11" s="22">
        <v>3.2</v>
      </c>
      <c r="AE11" s="22">
        <v>1.8</v>
      </c>
      <c r="AF11" s="22">
        <v>2.7</v>
      </c>
      <c r="AG11" s="22">
        <v>3.1</v>
      </c>
      <c r="AH11" s="22">
        <v>0</v>
      </c>
      <c r="AI11" s="22">
        <v>3.2</v>
      </c>
      <c r="AJ11" s="22">
        <v>1.6</v>
      </c>
      <c r="AK11" s="22">
        <v>2.7</v>
      </c>
      <c r="AL11" s="22">
        <v>3.12</v>
      </c>
      <c r="AM11" s="22">
        <v>0</v>
      </c>
      <c r="AN11" s="27"/>
      <c r="AO11" s="38">
        <f t="shared" si="15"/>
        <v>9.1</v>
      </c>
      <c r="AP11" s="38">
        <f t="shared" si="16"/>
        <v>14.68</v>
      </c>
      <c r="AQ11" s="40">
        <f t="shared" si="17"/>
        <v>45.38</v>
      </c>
      <c r="AR11" s="40">
        <f t="shared" si="18"/>
        <v>2.7</v>
      </c>
      <c r="AS11" s="40">
        <f t="shared" si="19"/>
        <v>3.1</v>
      </c>
      <c r="AT11" s="40">
        <f t="shared" si="20"/>
        <v>10.8</v>
      </c>
      <c r="AU11" s="40">
        <f t="shared" si="21"/>
        <v>45.38</v>
      </c>
      <c r="AV11" s="40">
        <f t="shared" si="22"/>
        <v>2.7</v>
      </c>
      <c r="AW11" s="40">
        <f t="shared" si="23"/>
        <v>3.12</v>
      </c>
      <c r="AX11" s="40">
        <f t="shared" si="24"/>
        <v>10.620000000000001</v>
      </c>
      <c r="AY11" s="40">
        <f t="shared" si="25"/>
        <v>56</v>
      </c>
      <c r="AZ11" s="26">
        <v>6.3</v>
      </c>
      <c r="BA11" s="26">
        <v>4.7</v>
      </c>
      <c r="BB11" s="26">
        <v>5.8</v>
      </c>
      <c r="BC11" s="26">
        <v>6.75</v>
      </c>
      <c r="BD11" s="26">
        <v>0</v>
      </c>
      <c r="BE11" s="26">
        <v>12.7</v>
      </c>
      <c r="BF11" s="26">
        <v>8.6</v>
      </c>
      <c r="BG11" s="26">
        <v>7.6</v>
      </c>
      <c r="BH11" s="26">
        <v>12.47</v>
      </c>
      <c r="BI11" s="26">
        <v>0</v>
      </c>
      <c r="BJ11" s="26">
        <v>13.7</v>
      </c>
      <c r="BK11" s="26">
        <v>8.9</v>
      </c>
      <c r="BL11" s="26">
        <v>9.1</v>
      </c>
      <c r="BM11" s="26">
        <v>13.35</v>
      </c>
      <c r="BN11" s="26">
        <v>3.6</v>
      </c>
      <c r="BO11" s="28"/>
      <c r="BP11" s="39">
        <f t="shared" si="26"/>
        <v>5.8</v>
      </c>
      <c r="BQ11" s="39">
        <f t="shared" si="27"/>
        <v>6.75</v>
      </c>
      <c r="BR11" s="11">
        <f t="shared" si="28"/>
        <v>23.55</v>
      </c>
      <c r="BS11" s="11">
        <f t="shared" si="29"/>
        <v>7.6</v>
      </c>
      <c r="BT11" s="11">
        <f t="shared" si="30"/>
        <v>12.47</v>
      </c>
      <c r="BU11" s="11">
        <f t="shared" si="31"/>
        <v>41.37</v>
      </c>
      <c r="BV11" s="11">
        <f t="shared" si="32"/>
        <v>41.37</v>
      </c>
      <c r="BW11" s="11">
        <f t="shared" si="33"/>
        <v>9.1</v>
      </c>
      <c r="BX11" s="11">
        <f t="shared" si="34"/>
        <v>13.35</v>
      </c>
      <c r="BY11" s="11">
        <f t="shared" si="35"/>
        <v>41.45</v>
      </c>
      <c r="BZ11" s="11">
        <f t="shared" si="36"/>
        <v>82.82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3.15</v>
      </c>
      <c r="SW11" s="22">
        <f t="shared" si="219"/>
        <v>2.35</v>
      </c>
      <c r="SX11" s="22">
        <f t="shared" si="220"/>
        <v>2.9</v>
      </c>
      <c r="SY11" s="22">
        <f t="shared" si="221"/>
        <v>3.375</v>
      </c>
      <c r="SZ11" s="22">
        <f t="shared" si="222"/>
        <v>0</v>
      </c>
      <c r="TA11" s="22">
        <f t="shared" si="223"/>
        <v>6.35</v>
      </c>
      <c r="TB11" s="22">
        <f t="shared" si="224"/>
        <v>4.3</v>
      </c>
      <c r="TC11" s="22">
        <f t="shared" si="225"/>
        <v>3.8</v>
      </c>
      <c r="TD11" s="22">
        <f t="shared" si="226"/>
        <v>6.2350000000000003</v>
      </c>
      <c r="TE11" s="22">
        <f t="shared" si="227"/>
        <v>0</v>
      </c>
      <c r="TF11" s="22">
        <f t="shared" si="228"/>
        <v>6.85</v>
      </c>
      <c r="TG11" s="22">
        <f t="shared" si="229"/>
        <v>4.45</v>
      </c>
      <c r="TH11" s="22">
        <f t="shared" si="230"/>
        <v>4.55</v>
      </c>
      <c r="TI11" s="22">
        <f t="shared" si="231"/>
        <v>6.6749999999999998</v>
      </c>
      <c r="TJ11" s="22">
        <f t="shared" si="232"/>
        <v>1.8</v>
      </c>
      <c r="TK11" s="27" t="s">
        <v>46</v>
      </c>
      <c r="TL11" s="40">
        <f t="shared" si="233"/>
        <v>2.9</v>
      </c>
      <c r="TM11" s="40">
        <f t="shared" si="234"/>
        <v>3.375</v>
      </c>
      <c r="TN11" s="40">
        <f t="shared" si="235"/>
        <v>11.775</v>
      </c>
      <c r="TO11" s="40">
        <f t="shared" si="236"/>
        <v>3.8</v>
      </c>
      <c r="TP11" s="40">
        <f t="shared" si="237"/>
        <v>6.2350000000000003</v>
      </c>
      <c r="TQ11" s="40">
        <f t="shared" si="238"/>
        <v>20.684999999999999</v>
      </c>
      <c r="TR11" s="40">
        <f t="shared" si="239"/>
        <v>20.684999999999999</v>
      </c>
      <c r="TS11" s="40">
        <f t="shared" si="240"/>
        <v>4.55</v>
      </c>
      <c r="TT11" s="40">
        <f t="shared" si="241"/>
        <v>6.6749999999999998</v>
      </c>
      <c r="TU11" s="40">
        <f t="shared" si="242"/>
        <v>20.725000000000001</v>
      </c>
      <c r="TV11" s="40">
        <f t="shared" si="243"/>
        <v>41.41</v>
      </c>
    </row>
    <row r="12" spans="1:542" x14ac:dyDescent="0.2">
      <c r="A12" s="4" t="str" cm="1">
        <f t="array" ref="A12">IF(AND(J12&lt;&gt;"",J12&lt;&gt;"No DD"),SUMPRODUCT((J$4:J$16&lt;&gt;"")*(J$4:J$16&lt;&gt;"No DD")*(F$4:F$16&gt;F12))+1,IF(J12="No DD",SUMPRODUCT((J$4:J$16="No DD")*(F$4:F$16&gt;F12))+1+SUMPRODUCT((J$4:J$16&lt;&gt;"")*(J$4:J$16&lt;&gt;"No DD")),""))</f>
        <v/>
      </c>
      <c r="B12" s="4" t="str" cm="1">
        <f t="array" ref="B12">IF(AND(J12&lt;&gt;"",J12&lt;&gt;"No DD",G12=""),SUMPRODUCT((J$4:J$16&lt;&gt;"")*(J$4:J$16&lt;&gt;"No DD")*(G$4:G$16="")*(F$4:F$16&gt;F12))+1,IF(J12="No DD",SUMPRODUCT((J$4:J$16="No DD")*(F$4:F$16&gt;F12)*(G$4:G$16=""))+1+SUMPRODUCT((J$4:J$16&lt;&gt;"")*(G$4:G$16="")*(J$4:J$16&lt;&gt;"No DD")),""))</f>
        <v/>
      </c>
      <c r="C12" s="5" t="s">
        <v>140</v>
      </c>
      <c r="D12" s="4" t="s">
        <v>6</v>
      </c>
      <c r="E12" s="4">
        <v>2006</v>
      </c>
      <c r="F12" s="9">
        <f t="shared" si="0"/>
        <v>135.07001350700483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48.18</v>
      </c>
      <c r="M12" s="8" t="str">
        <f t="shared" si="5"/>
        <v>2024 3rd Domestic Trial</v>
      </c>
      <c r="N12" s="8">
        <f>IF(COUNT(AQ12,AT12,BR12,BU12,CS12,CV12)&gt;1,LARGE((AQ12,AT12,BR12,BU12,CS12,CV12),2),0)</f>
        <v>30.04</v>
      </c>
      <c r="O12" s="8" t="str">
        <f t="shared" si="6"/>
        <v>2024 3rd Domestic Trial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 t="shared" si="7"/>
        <v>2024 3rd Domestic Trial</v>
      </c>
      <c r="R12" s="8">
        <f t="shared" si="8"/>
        <v>9.1</v>
      </c>
      <c r="S12" s="8" t="str">
        <f t="shared" si="9"/>
        <v>2024 3rd Domestic Trial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9.3000000000000007</v>
      </c>
      <c r="Z12" s="22">
        <v>5.6</v>
      </c>
      <c r="AA12" s="22">
        <v>5.5</v>
      </c>
      <c r="AB12" s="22">
        <v>9.64</v>
      </c>
      <c r="AC12" s="22">
        <v>0</v>
      </c>
      <c r="AD12" s="22">
        <v>15.7</v>
      </c>
      <c r="AE12" s="22">
        <v>9.1999999999999993</v>
      </c>
      <c r="AF12" s="22">
        <v>9.1</v>
      </c>
      <c r="AG12" s="22">
        <v>14.18</v>
      </c>
      <c r="AH12" s="22">
        <v>0</v>
      </c>
      <c r="AI12" s="22">
        <v>16</v>
      </c>
      <c r="AJ12" s="22">
        <v>9.1</v>
      </c>
      <c r="AK12" s="22">
        <v>8.5</v>
      </c>
      <c r="AL12" s="22">
        <v>14.45</v>
      </c>
      <c r="AM12" s="22">
        <v>0.3</v>
      </c>
      <c r="AN12" s="27"/>
      <c r="AO12" s="38">
        <f t="shared" si="15"/>
        <v>5.5</v>
      </c>
      <c r="AP12" s="38">
        <f t="shared" si="16"/>
        <v>9.64</v>
      </c>
      <c r="AQ12" s="40">
        <f t="shared" si="17"/>
        <v>30.04</v>
      </c>
      <c r="AR12" s="40">
        <f t="shared" si="18"/>
        <v>9.1</v>
      </c>
      <c r="AS12" s="40">
        <f t="shared" si="19"/>
        <v>14.18</v>
      </c>
      <c r="AT12" s="40">
        <f t="shared" si="20"/>
        <v>48.18</v>
      </c>
      <c r="AU12" s="40">
        <f t="shared" si="21"/>
        <v>48.18</v>
      </c>
      <c r="AV12" s="40">
        <f t="shared" si="22"/>
        <v>8.5</v>
      </c>
      <c r="AW12" s="40">
        <f t="shared" si="23"/>
        <v>14.45</v>
      </c>
      <c r="AX12" s="40">
        <f t="shared" si="24"/>
        <v>47.75</v>
      </c>
      <c r="AY12" s="40">
        <f t="shared" si="25"/>
        <v>95.93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0</v>
      </c>
      <c r="SW12" s="22">
        <f t="shared" si="219"/>
        <v>0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0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 t="str">
        <f t="shared" si="233"/>
        <v/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 t="str">
        <f t="shared" si="237"/>
        <v/>
      </c>
      <c r="TQ12" s="40" t="str">
        <f t="shared" si="238"/>
        <v/>
      </c>
      <c r="TR12" s="40" t="str">
        <f t="shared" si="239"/>
        <v/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 t="str">
        <f t="shared" si="243"/>
        <v/>
      </c>
    </row>
    <row r="13" spans="1:542" x14ac:dyDescent="0.2">
      <c r="A13" s="4" t="str" cm="1">
        <f t="array" ref="A13">IF(AND(J13&lt;&gt;"",J13&lt;&gt;"No DD"),SUMPRODUCT((J$4:J$16&lt;&gt;"")*(J$4:J$16&lt;&gt;"No DD")*(F$4:F$16&gt;F13))+1,IF(J13="No DD",SUMPRODUCT((J$4:J$16="No DD")*(F$4:F$16&gt;F13))+1+SUMPRODUCT((J$4:J$16&lt;&gt;"")*(J$4:J$16&lt;&gt;"No DD")),""))</f>
        <v/>
      </c>
      <c r="B13" s="4" t="str" cm="1">
        <f t="array" ref="B13">IF(AND(J13&lt;&gt;"",J13&lt;&gt;"No DD",G13=""),SUMPRODUCT((J$4:J$16&lt;&gt;"")*(J$4:J$16&lt;&gt;"No DD")*(G$4:G$16="")*(F$4:F$16&gt;F13))+1,IF(J13="No DD",SUMPRODUCT((J$4:J$16="No DD")*(F$4:F$16&gt;F13)*(G$4:G$16=""))+1+SUMPRODUCT((J$4:J$16&lt;&gt;"")*(G$4:G$16="")*(J$4:J$16&lt;&gt;"No DD")),""))</f>
        <v/>
      </c>
      <c r="C13" s="5" t="s">
        <v>139</v>
      </c>
      <c r="D13" s="4" t="s">
        <v>6</v>
      </c>
      <c r="E13" s="4">
        <v>2007</v>
      </c>
      <c r="F13" s="9">
        <f t="shared" si="0"/>
        <v>128.40001284000468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46.58</v>
      </c>
      <c r="M13" s="8" t="str">
        <f t="shared" si="5"/>
        <v>2024 3rd Domestic Trial</v>
      </c>
      <c r="N13" s="8">
        <f>IF(COUNT(AQ13,AT13,BR13,BU13,CS13,CV13)&gt;1,LARGE((AQ13,AT13,BR13,BU13,CS13,CV13),2),0)</f>
        <v>43.17</v>
      </c>
      <c r="O13" s="8" t="str">
        <f t="shared" si="6"/>
        <v>2024 3rd Domestic Trial</v>
      </c>
      <c r="P13" s="8">
        <f>IF(COUNT(AQ13,AT13,BR13,BU13,CS13,CV13)&gt;2,MAX(AX13,BY13,CZ13,LARGE((AQ13,AT13,BR13,BU13,CS13,CV13),3)),IF(MAX(AX13,BY13,CZ13)&gt;0,MAX(AX13,BY13,CZ13),0))</f>
        <v>29.25</v>
      </c>
      <c r="Q13" s="8" t="str">
        <f t="shared" si="7"/>
        <v>2024 3rd Domestic Trial</v>
      </c>
      <c r="R13" s="8">
        <f t="shared" si="8"/>
        <v>9.4</v>
      </c>
      <c r="S13" s="8" t="str">
        <f t="shared" si="9"/>
        <v>2024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12.8</v>
      </c>
      <c r="Z13" s="22">
        <v>8.6999999999999993</v>
      </c>
      <c r="AA13" s="22">
        <v>9.1999999999999993</v>
      </c>
      <c r="AB13" s="22">
        <v>12.47</v>
      </c>
      <c r="AC13" s="22">
        <v>0</v>
      </c>
      <c r="AD13" s="22">
        <v>14.1</v>
      </c>
      <c r="AE13" s="22">
        <v>9</v>
      </c>
      <c r="AF13" s="22">
        <v>9.4</v>
      </c>
      <c r="AG13" s="22">
        <v>14.08</v>
      </c>
      <c r="AH13" s="22">
        <v>0</v>
      </c>
      <c r="AI13" s="22">
        <v>8.1999999999999993</v>
      </c>
      <c r="AJ13" s="22">
        <v>5.6</v>
      </c>
      <c r="AK13" s="22">
        <v>6.7</v>
      </c>
      <c r="AL13" s="22">
        <v>8.75</v>
      </c>
      <c r="AM13" s="22">
        <v>0</v>
      </c>
      <c r="AN13" s="27"/>
      <c r="AO13" s="38">
        <f t="shared" si="15"/>
        <v>9.1999999999999993</v>
      </c>
      <c r="AP13" s="38">
        <f t="shared" si="16"/>
        <v>12.47</v>
      </c>
      <c r="AQ13" s="40">
        <f t="shared" si="17"/>
        <v>43.17</v>
      </c>
      <c r="AR13" s="40">
        <f t="shared" si="18"/>
        <v>9.4</v>
      </c>
      <c r="AS13" s="40">
        <f t="shared" si="19"/>
        <v>14.08</v>
      </c>
      <c r="AT13" s="40">
        <f t="shared" si="20"/>
        <v>46.58</v>
      </c>
      <c r="AU13" s="40">
        <f t="shared" si="21"/>
        <v>46.58</v>
      </c>
      <c r="AV13" s="40">
        <f t="shared" si="22"/>
        <v>6.7</v>
      </c>
      <c r="AW13" s="40">
        <f t="shared" si="23"/>
        <v>8.75</v>
      </c>
      <c r="AX13" s="40">
        <f t="shared" si="24"/>
        <v>29.25</v>
      </c>
      <c r="AY13" s="40">
        <f t="shared" si="25"/>
        <v>75.83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0</v>
      </c>
      <c r="SW13" s="22">
        <f t="shared" si="219"/>
        <v>0</v>
      </c>
      <c r="SX13" s="22">
        <f t="shared" si="220"/>
        <v>0</v>
      </c>
      <c r="SY13" s="22">
        <f t="shared" si="221"/>
        <v>0</v>
      </c>
      <c r="SZ13" s="22">
        <f t="shared" si="222"/>
        <v>0</v>
      </c>
      <c r="TA13" s="22">
        <f t="shared" si="223"/>
        <v>0</v>
      </c>
      <c r="TB13" s="22">
        <f t="shared" si="224"/>
        <v>0</v>
      </c>
      <c r="TC13" s="22">
        <f t="shared" si="225"/>
        <v>0</v>
      </c>
      <c r="TD13" s="22">
        <f t="shared" si="226"/>
        <v>0</v>
      </c>
      <c r="TE13" s="22">
        <f t="shared" si="227"/>
        <v>0</v>
      </c>
      <c r="TF13" s="22">
        <f t="shared" si="228"/>
        <v>0</v>
      </c>
      <c r="TG13" s="22">
        <f t="shared" si="229"/>
        <v>0</v>
      </c>
      <c r="TH13" s="22">
        <f t="shared" si="230"/>
        <v>0</v>
      </c>
      <c r="TI13" s="22">
        <f t="shared" si="231"/>
        <v>0</v>
      </c>
      <c r="TJ13" s="22">
        <f t="shared" si="232"/>
        <v>0</v>
      </c>
      <c r="TK13" s="27" t="s">
        <v>46</v>
      </c>
      <c r="TL13" s="40" t="str">
        <f t="shared" si="233"/>
        <v/>
      </c>
      <c r="TM13" s="40" t="str">
        <f t="shared" si="234"/>
        <v/>
      </c>
      <c r="TN13" s="40" t="str">
        <f t="shared" si="235"/>
        <v/>
      </c>
      <c r="TO13" s="40" t="str">
        <f t="shared" si="236"/>
        <v/>
      </c>
      <c r="TP13" s="40" t="str">
        <f t="shared" si="237"/>
        <v/>
      </c>
      <c r="TQ13" s="40" t="str">
        <f t="shared" si="238"/>
        <v/>
      </c>
      <c r="TR13" s="40" t="str">
        <f t="shared" si="239"/>
        <v/>
      </c>
      <c r="TS13" s="40" t="str">
        <f t="shared" si="240"/>
        <v/>
      </c>
      <c r="TT13" s="40" t="str">
        <f t="shared" si="241"/>
        <v/>
      </c>
      <c r="TU13" s="40" t="str">
        <f t="shared" si="242"/>
        <v/>
      </c>
      <c r="TV13" s="40" t="str">
        <f t="shared" si="243"/>
        <v/>
      </c>
    </row>
    <row r="14" spans="1:542" x14ac:dyDescent="0.2">
      <c r="A14" s="4" t="str" cm="1">
        <f t="array" ref="A14">IF(AND(J14&lt;&gt;"",J14&lt;&gt;"No DD"),SUMPRODUCT((J$4:J$16&lt;&gt;"")*(J$4:J$16&lt;&gt;"No DD")*(F$4:F$16&gt;F14))+1,IF(J14="No DD",SUMPRODUCT((J$4:J$16="No DD")*(F$4:F$16&gt;F14))+1+SUMPRODUCT((J$4:J$16&lt;&gt;"")*(J$4:J$16&lt;&gt;"No DD")),""))</f>
        <v/>
      </c>
      <c r="B14" s="4" t="str" cm="1">
        <f t="array" ref="B14">IF(AND(J14&lt;&gt;"",J14&lt;&gt;"No DD",G14=""),SUMPRODUCT((J$4:J$16&lt;&gt;"")*(J$4:J$16&lt;&gt;"No DD")*(G$4:G$16="")*(F$4:F$16&gt;F14))+1,IF(J14="No DD",SUMPRODUCT((J$4:J$16="No DD")*(F$4:F$16&gt;F14)*(G$4:G$16=""))+1+SUMPRODUCT((J$4:J$16&lt;&gt;"")*(G$4:G$16="")*(J$4:J$16&lt;&gt;"No DD")),""))</f>
        <v/>
      </c>
      <c r="C14" s="5" t="s">
        <v>106</v>
      </c>
      <c r="D14" s="4" t="s">
        <v>6</v>
      </c>
      <c r="E14" s="4">
        <v>2004</v>
      </c>
      <c r="F14" s="9">
        <f t="shared" si="0"/>
        <v>121.09001210900334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33.340000000000003</v>
      </c>
      <c r="M14" s="8" t="str">
        <f t="shared" si="5"/>
        <v>2024 3rd Domestic Trial</v>
      </c>
      <c r="N14" s="8">
        <f>IF(COUNT(AQ14,AT14,BR14,BU14,CS14,CV14)&gt;1,LARGE((AQ14,AT14,BR14,BU14,CS14,CV14),2),0)</f>
        <v>32.04</v>
      </c>
      <c r="O14" s="8" t="str">
        <f t="shared" si="6"/>
        <v>2024 3rd Domestic Trial</v>
      </c>
      <c r="P14" s="8">
        <f>IF(COUNT(AQ14,AT14,BR14,BU14,CS14,CV14)&gt;2,MAX(AX14,BY14,CZ14,LARGE((AQ14,AT14,BR14,BU14,CS14,CV14),3)),IF(MAX(AX14,BY14,CZ14)&gt;0,MAX(AX14,BY14,CZ14),0))</f>
        <v>46.71</v>
      </c>
      <c r="Q14" s="8" t="str">
        <f t="shared" si="7"/>
        <v>2024 3rd Domestic Trial</v>
      </c>
      <c r="R14" s="8">
        <f t="shared" si="8"/>
        <v>9</v>
      </c>
      <c r="S14" s="8" t="str">
        <f t="shared" si="9"/>
        <v>2024 3rd Domestic Trial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10.3</v>
      </c>
      <c r="Z14" s="22">
        <v>6.1</v>
      </c>
      <c r="AA14" s="22">
        <v>5.9</v>
      </c>
      <c r="AB14" s="22">
        <v>9.74</v>
      </c>
      <c r="AC14" s="22">
        <v>0</v>
      </c>
      <c r="AD14" s="22">
        <v>10.4</v>
      </c>
      <c r="AE14" s="22">
        <v>6.3</v>
      </c>
      <c r="AF14" s="22">
        <v>6.8</v>
      </c>
      <c r="AG14" s="22">
        <v>9.84</v>
      </c>
      <c r="AH14" s="22">
        <v>0</v>
      </c>
      <c r="AI14" s="22">
        <v>14.9</v>
      </c>
      <c r="AJ14" s="22">
        <v>8.6</v>
      </c>
      <c r="AK14" s="22">
        <v>9</v>
      </c>
      <c r="AL14" s="22">
        <v>14.21</v>
      </c>
      <c r="AM14" s="22">
        <v>0</v>
      </c>
      <c r="AN14" s="27"/>
      <c r="AO14" s="38">
        <f t="shared" si="15"/>
        <v>5.9</v>
      </c>
      <c r="AP14" s="38">
        <f t="shared" si="16"/>
        <v>9.74</v>
      </c>
      <c r="AQ14" s="40">
        <f t="shared" si="17"/>
        <v>32.04</v>
      </c>
      <c r="AR14" s="40">
        <f t="shared" si="18"/>
        <v>6.8</v>
      </c>
      <c r="AS14" s="40">
        <f t="shared" si="19"/>
        <v>9.84</v>
      </c>
      <c r="AT14" s="40">
        <f t="shared" si="20"/>
        <v>33.340000000000003</v>
      </c>
      <c r="AU14" s="40">
        <f t="shared" si="21"/>
        <v>33.340000000000003</v>
      </c>
      <c r="AV14" s="40">
        <f t="shared" si="22"/>
        <v>9</v>
      </c>
      <c r="AW14" s="40">
        <f t="shared" si="23"/>
        <v>14.21</v>
      </c>
      <c r="AX14" s="40">
        <f t="shared" si="24"/>
        <v>46.71</v>
      </c>
      <c r="AY14" s="40">
        <f t="shared" si="25"/>
        <v>80.050000000000011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7"/>
        <v/>
      </c>
      <c r="CR14" s="38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40" t="str">
        <f t="shared" si="46"/>
        <v/>
      </c>
      <c r="DA14" s="40" t="str">
        <f t="shared" si="47"/>
        <v/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</v>
      </c>
      <c r="SW14" s="22">
        <f t="shared" si="219"/>
        <v>0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0</v>
      </c>
      <c r="TE14" s="22">
        <f t="shared" si="227"/>
        <v>0</v>
      </c>
      <c r="TF14" s="22">
        <f t="shared" si="228"/>
        <v>0</v>
      </c>
      <c r="TG14" s="22">
        <f t="shared" si="229"/>
        <v>0</v>
      </c>
      <c r="TH14" s="22">
        <f t="shared" si="230"/>
        <v>0</v>
      </c>
      <c r="TI14" s="22">
        <f t="shared" si="231"/>
        <v>0</v>
      </c>
      <c r="TJ14" s="22">
        <f t="shared" si="232"/>
        <v>0</v>
      </c>
      <c r="TK14" s="27" t="s">
        <v>46</v>
      </c>
      <c r="TL14" s="40" t="str">
        <f t="shared" si="233"/>
        <v/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 t="str">
        <f t="shared" si="237"/>
        <v/>
      </c>
      <c r="TQ14" s="40" t="str">
        <f t="shared" si="238"/>
        <v/>
      </c>
      <c r="TR14" s="40" t="str">
        <f t="shared" si="239"/>
        <v/>
      </c>
      <c r="TS14" s="40" t="str">
        <f t="shared" si="240"/>
        <v/>
      </c>
      <c r="TT14" s="40" t="str">
        <f t="shared" si="241"/>
        <v/>
      </c>
      <c r="TU14" s="40" t="str">
        <f t="shared" si="242"/>
        <v/>
      </c>
      <c r="TV14" s="40" t="str">
        <f t="shared" si="243"/>
        <v/>
      </c>
    </row>
    <row r="15" spans="1:542" x14ac:dyDescent="0.2">
      <c r="A15" s="4" t="str" cm="1">
        <f t="array" ref="A15">IF(AND(J15&lt;&gt;"",J15&lt;&gt;"No DD"),SUMPRODUCT((J$4:J$16&lt;&gt;"")*(J$4:J$16&lt;&gt;"No DD")*(F$4:F$16&gt;F15))+1,IF(J15="No DD",SUMPRODUCT((J$4:J$16="No DD")*(F$4:F$16&gt;F15))+1+SUMPRODUCT((J$4:J$16&lt;&gt;"")*(J$4:J$16&lt;&gt;"No DD")),""))</f>
        <v/>
      </c>
      <c r="B15" s="4" t="str" cm="1">
        <f t="array" ref="B15">IF(AND(J15&lt;&gt;"",J15&lt;&gt;"No DD",G15=""),SUMPRODUCT((J$4:J$16&lt;&gt;"")*(J$4:J$16&lt;&gt;"No DD")*(G$4:G$16="")*(F$4:F$16&gt;F15))+1,IF(J15="No DD",SUMPRODUCT((J$4:J$16="No DD")*(F$4:F$16&gt;F15)*(G$4:G$16=""))+1+SUMPRODUCT((J$4:J$16&lt;&gt;"")*(G$4:G$16="")*(J$4:J$16&lt;&gt;"No DD")),""))</f>
        <v/>
      </c>
      <c r="C15" s="5" t="s">
        <v>141</v>
      </c>
      <c r="D15" s="4" t="s">
        <v>6</v>
      </c>
      <c r="E15" s="4">
        <v>2006</v>
      </c>
      <c r="F15" s="9">
        <f t="shared" si="0"/>
        <v>64.940006494004635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46.38</v>
      </c>
      <c r="M15" s="8" t="str">
        <f t="shared" si="5"/>
        <v>2024 3rd Domestic Trial</v>
      </c>
      <c r="N15" s="8">
        <f>IF(COUNT(AQ15,AT15,BR15,BU15,CS15,CV15)&gt;1,LARGE((AQ15,AT15,BR15,BU15,CS15,CV15),2),0)</f>
        <v>5.0999999999999996</v>
      </c>
      <c r="O15" s="8" t="str">
        <f t="shared" si="6"/>
        <v>2024 3rd Domestic Trial</v>
      </c>
      <c r="P15" s="8">
        <f>IF(COUNT(AQ15,AT15,BR15,BU15,CS15,CV15)&gt;2,MAX(AX15,BY15,CZ15,LARGE((AQ15,AT15,BR15,BU15,CS15,CV15),3)),IF(MAX(AX15,BY15,CZ15)&gt;0,MAX(AX15,BY15,CZ15),0))</f>
        <v>4.96</v>
      </c>
      <c r="Q15" s="8" t="str">
        <f t="shared" si="7"/>
        <v>2024 3rd Domestic Trial</v>
      </c>
      <c r="R15" s="8">
        <f t="shared" si="8"/>
        <v>8.5</v>
      </c>
      <c r="S15" s="8" t="str">
        <f t="shared" si="9"/>
        <v>2024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1.4</v>
      </c>
      <c r="Z15" s="22">
        <v>0.9</v>
      </c>
      <c r="AA15" s="22">
        <v>1.3</v>
      </c>
      <c r="AB15" s="22">
        <v>1.5</v>
      </c>
      <c r="AC15" s="22">
        <v>0</v>
      </c>
      <c r="AD15" s="22">
        <v>15.1</v>
      </c>
      <c r="AE15" s="22">
        <v>9.1999999999999993</v>
      </c>
      <c r="AF15" s="22">
        <v>8.5</v>
      </c>
      <c r="AG15" s="22">
        <v>13.88</v>
      </c>
      <c r="AH15" s="22">
        <v>0.3</v>
      </c>
      <c r="AI15" s="22">
        <v>1.4</v>
      </c>
      <c r="AJ15" s="22">
        <v>0.8</v>
      </c>
      <c r="AK15" s="22">
        <v>1.3</v>
      </c>
      <c r="AL15" s="22">
        <v>1.46</v>
      </c>
      <c r="AM15" s="22">
        <v>0</v>
      </c>
      <c r="AN15" s="27"/>
      <c r="AO15" s="38">
        <f t="shared" si="15"/>
        <v>1.3</v>
      </c>
      <c r="AP15" s="38">
        <f t="shared" si="16"/>
        <v>1.5</v>
      </c>
      <c r="AQ15" s="40">
        <f t="shared" si="17"/>
        <v>5.0999999999999996</v>
      </c>
      <c r="AR15" s="40">
        <f t="shared" si="18"/>
        <v>8.5</v>
      </c>
      <c r="AS15" s="40">
        <f t="shared" si="19"/>
        <v>13.88</v>
      </c>
      <c r="AT15" s="40">
        <f t="shared" si="20"/>
        <v>46.38</v>
      </c>
      <c r="AU15" s="40">
        <f t="shared" si="21"/>
        <v>46.38</v>
      </c>
      <c r="AV15" s="40">
        <f t="shared" si="22"/>
        <v>1.3</v>
      </c>
      <c r="AW15" s="40">
        <f t="shared" si="23"/>
        <v>1.46</v>
      </c>
      <c r="AX15" s="40">
        <f t="shared" si="24"/>
        <v>4.96</v>
      </c>
      <c r="AY15" s="40">
        <f t="shared" si="25"/>
        <v>51.34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 t="shared" si="26"/>
        <v/>
      </c>
      <c r="BQ15" s="39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 t="str">
        <f t="shared" si="36"/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0</v>
      </c>
      <c r="SW15" s="22">
        <f t="shared" si="219"/>
        <v>0</v>
      </c>
      <c r="SX15" s="22">
        <f t="shared" si="220"/>
        <v>0</v>
      </c>
      <c r="SY15" s="22">
        <f t="shared" si="221"/>
        <v>0</v>
      </c>
      <c r="SZ15" s="22">
        <f t="shared" si="222"/>
        <v>0</v>
      </c>
      <c r="TA15" s="22">
        <f t="shared" si="223"/>
        <v>0</v>
      </c>
      <c r="TB15" s="22">
        <f t="shared" si="224"/>
        <v>0</v>
      </c>
      <c r="TC15" s="22">
        <f t="shared" si="225"/>
        <v>0</v>
      </c>
      <c r="TD15" s="22">
        <f t="shared" si="226"/>
        <v>0</v>
      </c>
      <c r="TE15" s="22">
        <f t="shared" si="227"/>
        <v>0</v>
      </c>
      <c r="TF15" s="22">
        <f t="shared" si="228"/>
        <v>0</v>
      </c>
      <c r="TG15" s="22">
        <f t="shared" si="229"/>
        <v>0</v>
      </c>
      <c r="TH15" s="22">
        <f t="shared" si="230"/>
        <v>0</v>
      </c>
      <c r="TI15" s="22">
        <f t="shared" si="231"/>
        <v>0</v>
      </c>
      <c r="TJ15" s="22">
        <f t="shared" si="232"/>
        <v>0</v>
      </c>
      <c r="TK15" s="27" t="s">
        <v>46</v>
      </c>
      <c r="TL15" s="40" t="str">
        <f t="shared" si="233"/>
        <v/>
      </c>
      <c r="TM15" s="40" t="str">
        <f t="shared" si="234"/>
        <v/>
      </c>
      <c r="TN15" s="40" t="str">
        <f t="shared" si="235"/>
        <v/>
      </c>
      <c r="TO15" s="40" t="str">
        <f t="shared" si="236"/>
        <v/>
      </c>
      <c r="TP15" s="40" t="str">
        <f t="shared" si="237"/>
        <v/>
      </c>
      <c r="TQ15" s="40" t="str">
        <f t="shared" si="238"/>
        <v/>
      </c>
      <c r="TR15" s="40" t="str">
        <f t="shared" si="239"/>
        <v/>
      </c>
      <c r="TS15" s="40" t="str">
        <f t="shared" si="240"/>
        <v/>
      </c>
      <c r="TT15" s="40" t="str">
        <f t="shared" si="241"/>
        <v/>
      </c>
      <c r="TU15" s="40" t="str">
        <f t="shared" si="242"/>
        <v/>
      </c>
      <c r="TV15" s="40" t="str">
        <f t="shared" si="243"/>
        <v/>
      </c>
    </row>
    <row r="16" spans="1:542" x14ac:dyDescent="0.2">
      <c r="C16" s="5"/>
      <c r="E16" s="1"/>
    </row>
    <row r="17" spans="1:544" x14ac:dyDescent="0.2">
      <c r="I17" s="36"/>
      <c r="K17" s="36"/>
    </row>
    <row r="18" spans="1:544" x14ac:dyDescent="0.2">
      <c r="C18" s="23" t="s">
        <v>44</v>
      </c>
      <c r="D18" s="5"/>
      <c r="I18" s="3"/>
      <c r="AR18" s="41"/>
      <c r="AS18" s="41"/>
      <c r="AT18" s="41"/>
      <c r="AV18" s="32"/>
      <c r="AW18" s="32"/>
      <c r="AY18" s="53">
        <v>11.2</v>
      </c>
      <c r="BS18" s="41"/>
      <c r="BT18" s="41"/>
      <c r="BU18" s="41"/>
      <c r="BW18" s="32"/>
      <c r="BX18" s="32"/>
      <c r="BZ18" s="53">
        <v>12.7</v>
      </c>
      <c r="CT18" s="41"/>
      <c r="CU18" s="41"/>
      <c r="CV18" s="41"/>
      <c r="CX18" s="32"/>
      <c r="CY18" s="32"/>
      <c r="DA18" s="53">
        <v>12.7</v>
      </c>
      <c r="DX18" s="5"/>
      <c r="DY18" s="5"/>
      <c r="EH18" s="2"/>
      <c r="EI18" s="2"/>
      <c r="EK18" s="53">
        <v>12.7</v>
      </c>
      <c r="FF18" s="5"/>
      <c r="FG18" s="5"/>
      <c r="FP18" s="2"/>
      <c r="FQ18" s="2"/>
      <c r="FS18" s="53">
        <v>12.7</v>
      </c>
      <c r="GN18" s="5"/>
      <c r="GO18" s="5"/>
      <c r="GX18" s="2"/>
      <c r="GY18" s="2"/>
      <c r="HA18" s="53">
        <v>12.7</v>
      </c>
      <c r="HV18" s="5"/>
      <c r="HW18" s="5"/>
      <c r="IF18" s="2"/>
      <c r="IG18" s="2"/>
      <c r="II18" s="53">
        <v>12.7</v>
      </c>
      <c r="JD18" s="5"/>
      <c r="JE18" s="5"/>
      <c r="JN18" s="2"/>
      <c r="JO18" s="2"/>
      <c r="JQ18" s="53">
        <v>12.7</v>
      </c>
      <c r="KL18" s="5"/>
      <c r="KM18" s="5"/>
      <c r="KV18" s="2"/>
      <c r="KW18" s="2"/>
      <c r="KY18" s="53">
        <v>12.7</v>
      </c>
      <c r="LT18" s="5"/>
      <c r="LU18" s="5"/>
      <c r="MD18" s="2"/>
      <c r="ME18" s="2"/>
      <c r="MG18" s="53">
        <v>12.7</v>
      </c>
      <c r="NB18" s="5"/>
      <c r="NC18" s="5"/>
      <c r="NL18" s="2"/>
      <c r="NM18" s="2"/>
      <c r="NO18" s="53">
        <v>12.7</v>
      </c>
      <c r="OJ18" s="5"/>
      <c r="OK18" s="5"/>
      <c r="OT18" s="2"/>
      <c r="OU18" s="2"/>
      <c r="OW18" s="53">
        <v>12.7</v>
      </c>
      <c r="PR18" s="5"/>
      <c r="PS18" s="5"/>
      <c r="QB18" s="2"/>
      <c r="QC18" s="2"/>
      <c r="QE18" s="53">
        <v>12.7</v>
      </c>
      <c r="QZ18" s="5"/>
      <c r="RA18" s="5"/>
      <c r="RJ18" s="2"/>
      <c r="RK18" s="2"/>
      <c r="RM18" s="53">
        <v>12.7</v>
      </c>
      <c r="SH18" s="5"/>
      <c r="SI18" s="5"/>
      <c r="SR18" s="2"/>
      <c r="SS18" s="2"/>
      <c r="SU18" s="53">
        <v>12.7</v>
      </c>
    </row>
    <row r="19" spans="1:544" hidden="1" x14ac:dyDescent="0.2">
      <c r="C19" s="30" t="s">
        <v>43</v>
      </c>
      <c r="D19" s="5"/>
      <c r="X19" s="2"/>
      <c r="AR19" s="41"/>
      <c r="AS19" s="41"/>
      <c r="AT19" s="41"/>
      <c r="AV19" s="32"/>
      <c r="AW19" s="32"/>
      <c r="AY19" s="54">
        <v>1000</v>
      </c>
      <c r="BS19" s="41"/>
      <c r="BT19" s="41"/>
      <c r="BU19" s="41"/>
      <c r="BW19" s="32"/>
      <c r="BX19" s="32"/>
      <c r="BZ19" s="54">
        <v>1000</v>
      </c>
      <c r="CT19" s="41"/>
      <c r="CU19" s="41"/>
      <c r="CV19" s="41"/>
      <c r="CX19" s="32"/>
      <c r="CY19" s="32"/>
      <c r="DA19" s="54">
        <v>1000</v>
      </c>
      <c r="DX19" s="5"/>
      <c r="DY19" s="5"/>
      <c r="EH19" s="2"/>
      <c r="EI19" s="2"/>
      <c r="EK19" s="54">
        <v>1000</v>
      </c>
      <c r="FF19" s="5"/>
      <c r="FG19" s="5"/>
      <c r="FP19" s="2"/>
      <c r="FQ19" s="2"/>
      <c r="FS19" s="54">
        <v>1000</v>
      </c>
      <c r="GN19" s="5"/>
      <c r="GO19" s="5"/>
      <c r="GX19" s="2"/>
      <c r="GY19" s="2"/>
      <c r="HA19" s="54">
        <v>1000</v>
      </c>
      <c r="HV19" s="5"/>
      <c r="HW19" s="5"/>
      <c r="IF19" s="2"/>
      <c r="IG19" s="2"/>
      <c r="II19" s="54">
        <v>1000</v>
      </c>
      <c r="JD19" s="5"/>
      <c r="JE19" s="5"/>
      <c r="JN19" s="2"/>
      <c r="JO19" s="2"/>
      <c r="JQ19" s="54">
        <v>1000</v>
      </c>
      <c r="KL19" s="5"/>
      <c r="KM19" s="5"/>
      <c r="KV19" s="2"/>
      <c r="KW19" s="2"/>
      <c r="KY19" s="54">
        <v>1000</v>
      </c>
      <c r="LT19" s="5"/>
      <c r="LU19" s="5"/>
      <c r="MD19" s="2"/>
      <c r="ME19" s="2"/>
      <c r="MG19" s="54">
        <v>1000</v>
      </c>
      <c r="NB19" s="5"/>
      <c r="NC19" s="5"/>
      <c r="NL19" s="2"/>
      <c r="NM19" s="2"/>
      <c r="NO19" s="54">
        <v>1000</v>
      </c>
      <c r="OJ19" s="5"/>
      <c r="OK19" s="5"/>
      <c r="OT19" s="2"/>
      <c r="OU19" s="2"/>
      <c r="OW19" s="54">
        <v>1000</v>
      </c>
      <c r="PR19" s="5"/>
      <c r="PS19" s="5"/>
      <c r="QB19" s="2"/>
      <c r="QC19" s="2"/>
      <c r="QE19" s="54">
        <v>1000</v>
      </c>
      <c r="QZ19" s="5"/>
      <c r="RA19" s="5"/>
      <c r="RJ19" s="2"/>
      <c r="RK19" s="2"/>
      <c r="RM19" s="54">
        <v>1000</v>
      </c>
      <c r="SH19" s="5"/>
      <c r="SI19" s="5"/>
      <c r="SR19" s="2"/>
      <c r="SS19" s="2"/>
      <c r="SU19" s="54">
        <v>1000</v>
      </c>
    </row>
    <row r="20" spans="1:544" hidden="1" x14ac:dyDescent="0.2">
      <c r="A20" s="5"/>
      <c r="B20" s="5"/>
      <c r="C20" s="31" t="s">
        <v>55</v>
      </c>
      <c r="D20" s="5"/>
      <c r="F20" s="2"/>
      <c r="G20" s="64"/>
      <c r="AR20" s="41"/>
      <c r="AS20" s="41"/>
      <c r="AT20" s="41"/>
      <c r="AU20" s="32"/>
      <c r="AV20" s="32"/>
      <c r="AW20" s="32"/>
      <c r="AX20" s="32"/>
      <c r="AY20" s="55">
        <v>1000</v>
      </c>
      <c r="BS20" s="41"/>
      <c r="BT20" s="41"/>
      <c r="BU20" s="41"/>
      <c r="BW20" s="32"/>
      <c r="BX20" s="32"/>
      <c r="BZ20" s="55">
        <v>1000</v>
      </c>
      <c r="CT20" s="41"/>
      <c r="CU20" s="41"/>
      <c r="CV20" s="41"/>
      <c r="CW20" s="32"/>
      <c r="CX20" s="32"/>
      <c r="CY20" s="32"/>
      <c r="CZ20" s="32"/>
      <c r="DA20" s="55">
        <v>1000</v>
      </c>
      <c r="DX20" s="5"/>
      <c r="DY20" s="5"/>
      <c r="EH20" s="2"/>
      <c r="EI20" s="2"/>
      <c r="EK20" s="55">
        <v>1000</v>
      </c>
      <c r="FF20" s="5"/>
      <c r="FG20" s="5"/>
      <c r="FP20" s="2"/>
      <c r="FQ20" s="2"/>
      <c r="FS20" s="55">
        <v>1000</v>
      </c>
      <c r="GN20" s="5"/>
      <c r="GO20" s="5"/>
      <c r="GX20" s="2"/>
      <c r="GY20" s="2"/>
      <c r="HA20" s="55">
        <v>1000</v>
      </c>
      <c r="HV20" s="5"/>
      <c r="HW20" s="5"/>
      <c r="IF20" s="2"/>
      <c r="IG20" s="2"/>
      <c r="II20" s="55">
        <v>1000</v>
      </c>
      <c r="JD20" s="5"/>
      <c r="JE20" s="5"/>
      <c r="JN20" s="2"/>
      <c r="JO20" s="2"/>
      <c r="JQ20" s="55">
        <v>1000</v>
      </c>
      <c r="KL20" s="5"/>
      <c r="KM20" s="5"/>
      <c r="KV20" s="2"/>
      <c r="KW20" s="2"/>
      <c r="KY20" s="55">
        <v>1000</v>
      </c>
      <c r="LT20" s="5"/>
      <c r="LU20" s="5"/>
      <c r="MD20" s="2"/>
      <c r="ME20" s="2"/>
      <c r="MG20" s="55">
        <v>1000</v>
      </c>
      <c r="NB20" s="5"/>
      <c r="NC20" s="5"/>
      <c r="NL20" s="2"/>
      <c r="NM20" s="2"/>
      <c r="NO20" s="55">
        <v>1000</v>
      </c>
      <c r="OJ20" s="5"/>
      <c r="OK20" s="5"/>
      <c r="OT20" s="2"/>
      <c r="OU20" s="2"/>
      <c r="OW20" s="55">
        <v>1000</v>
      </c>
      <c r="PR20" s="5"/>
      <c r="PS20" s="5"/>
      <c r="QB20" s="2"/>
      <c r="QC20" s="2"/>
      <c r="QE20" s="55">
        <v>1000</v>
      </c>
      <c r="QZ20" s="5"/>
      <c r="RA20" s="5"/>
      <c r="RJ20" s="2"/>
      <c r="RK20" s="2"/>
      <c r="RM20" s="55">
        <v>1000</v>
      </c>
      <c r="SH20" s="5"/>
      <c r="SI20" s="5"/>
      <c r="SR20" s="2"/>
      <c r="SS20" s="2"/>
      <c r="SU20" s="55">
        <v>1000</v>
      </c>
    </row>
    <row r="21" spans="1:544" hidden="1" x14ac:dyDescent="0.2">
      <c r="A21" s="5"/>
      <c r="B21" s="5"/>
      <c r="C21" s="35" t="s">
        <v>60</v>
      </c>
      <c r="D21" s="5"/>
      <c r="F21" s="2"/>
      <c r="G21" s="64"/>
      <c r="AR21" s="41"/>
      <c r="AS21" s="41"/>
      <c r="AT21" s="41"/>
      <c r="AU21" s="32"/>
      <c r="AV21" s="32"/>
      <c r="AW21" s="32"/>
      <c r="AX21" s="32"/>
      <c r="AY21" s="56">
        <v>1000</v>
      </c>
      <c r="BS21" s="41"/>
      <c r="BT21" s="41"/>
      <c r="BU21" s="41"/>
      <c r="BW21" s="32"/>
      <c r="BX21" s="32"/>
      <c r="BZ21" s="56">
        <v>1000</v>
      </c>
      <c r="CT21" s="41"/>
      <c r="CU21" s="41"/>
      <c r="CV21" s="41"/>
      <c r="CW21" s="32"/>
      <c r="CX21" s="32"/>
      <c r="CY21" s="32"/>
      <c r="CZ21" s="32"/>
      <c r="DA21" s="56">
        <v>1000</v>
      </c>
      <c r="DX21" s="5"/>
      <c r="DY21" s="5"/>
      <c r="EH21" s="2"/>
      <c r="EI21" s="2"/>
      <c r="EK21" s="56">
        <v>1000</v>
      </c>
      <c r="FF21" s="5"/>
      <c r="FG21" s="5"/>
      <c r="FP21" s="2"/>
      <c r="FQ21" s="2"/>
      <c r="FS21" s="56">
        <v>1000</v>
      </c>
      <c r="GN21" s="5"/>
      <c r="GO21" s="5"/>
      <c r="GX21" s="2"/>
      <c r="GY21" s="2"/>
      <c r="HA21" s="56">
        <v>1000</v>
      </c>
      <c r="HV21" s="5"/>
      <c r="HW21" s="5"/>
      <c r="IF21" s="2"/>
      <c r="IG21" s="2"/>
      <c r="II21" s="56">
        <v>1000</v>
      </c>
      <c r="JD21" s="5"/>
      <c r="JE21" s="5"/>
      <c r="JN21" s="2"/>
      <c r="JO21" s="2"/>
      <c r="JQ21" s="56">
        <v>1000</v>
      </c>
      <c r="KL21" s="5"/>
      <c r="KM21" s="5"/>
      <c r="KV21" s="2"/>
      <c r="KW21" s="2"/>
      <c r="KY21" s="56">
        <v>1000</v>
      </c>
      <c r="LT21" s="5"/>
      <c r="LU21" s="5"/>
      <c r="MD21" s="2"/>
      <c r="ME21" s="2"/>
      <c r="MG21" s="56">
        <v>1000</v>
      </c>
      <c r="NB21" s="5"/>
      <c r="NC21" s="5"/>
      <c r="NL21" s="2"/>
      <c r="NM21" s="2"/>
      <c r="NO21" s="56">
        <v>1000</v>
      </c>
      <c r="OJ21" s="5"/>
      <c r="OK21" s="5"/>
      <c r="OT21" s="2"/>
      <c r="OU21" s="2"/>
      <c r="OW21" s="56">
        <v>1000</v>
      </c>
      <c r="PR21" s="5"/>
      <c r="PS21" s="5"/>
      <c r="QB21" s="2"/>
      <c r="QC21" s="2"/>
      <c r="QE21" s="56">
        <v>1000</v>
      </c>
      <c r="QZ21" s="5"/>
      <c r="RA21" s="5"/>
      <c r="RJ21" s="2"/>
      <c r="RK21" s="2"/>
      <c r="RM21" s="56">
        <v>1000</v>
      </c>
      <c r="SH21" s="5"/>
      <c r="SI21" s="5"/>
      <c r="SR21" s="2"/>
      <c r="SS21" s="2"/>
      <c r="SU21" s="56">
        <v>1000</v>
      </c>
    </row>
    <row r="22" spans="1:544" x14ac:dyDescent="0.2">
      <c r="A22" s="5"/>
      <c r="B22" s="5"/>
      <c r="C22" s="34" t="s">
        <v>41</v>
      </c>
      <c r="D22" s="5"/>
      <c r="AR22" s="41"/>
      <c r="AS22" s="41"/>
      <c r="AT22" s="41"/>
      <c r="AU22" s="32"/>
      <c r="AV22" s="32"/>
      <c r="AW22" s="32"/>
      <c r="AX22" s="32"/>
      <c r="AY22" s="57">
        <v>48.3</v>
      </c>
      <c r="BS22" s="41"/>
      <c r="BT22" s="41"/>
      <c r="BU22" s="41"/>
      <c r="BW22" s="32"/>
      <c r="BX22" s="32"/>
      <c r="BZ22" s="57">
        <v>50</v>
      </c>
      <c r="CT22" s="41"/>
      <c r="CU22" s="41"/>
      <c r="CV22" s="41"/>
      <c r="CW22" s="32"/>
      <c r="CX22" s="32"/>
      <c r="CY22" s="32"/>
      <c r="CZ22" s="32"/>
      <c r="DA22" s="57">
        <v>50</v>
      </c>
      <c r="DX22" s="5"/>
      <c r="DY22" s="5"/>
      <c r="EH22" s="2"/>
      <c r="EI22" s="2"/>
      <c r="EK22" s="57">
        <v>50</v>
      </c>
      <c r="FF22" s="5"/>
      <c r="FG22" s="5"/>
      <c r="FP22" s="2"/>
      <c r="FQ22" s="2"/>
      <c r="FS22" s="57">
        <v>50</v>
      </c>
      <c r="GN22" s="5"/>
      <c r="GO22" s="5"/>
      <c r="GX22" s="2"/>
      <c r="GY22" s="2"/>
      <c r="HA22" s="57">
        <v>50</v>
      </c>
      <c r="HV22" s="5"/>
      <c r="HW22" s="5"/>
      <c r="IF22" s="2"/>
      <c r="IG22" s="2"/>
      <c r="II22" s="57">
        <v>50</v>
      </c>
      <c r="JD22" s="5"/>
      <c r="JE22" s="5"/>
      <c r="JN22" s="2"/>
      <c r="JO22" s="2"/>
      <c r="JQ22" s="57">
        <v>50</v>
      </c>
      <c r="KL22" s="5"/>
      <c r="KM22" s="5"/>
      <c r="KV22" s="2"/>
      <c r="KW22" s="2"/>
      <c r="KY22" s="57">
        <v>50</v>
      </c>
      <c r="LT22" s="5"/>
      <c r="LU22" s="5"/>
      <c r="MD22" s="2"/>
      <c r="ME22" s="2"/>
      <c r="MG22" s="57">
        <v>50</v>
      </c>
      <c r="NB22" s="5"/>
      <c r="NC22" s="5"/>
      <c r="NL22" s="2"/>
      <c r="NM22" s="2"/>
      <c r="NO22" s="57">
        <v>50</v>
      </c>
      <c r="OJ22" s="5"/>
      <c r="OK22" s="5"/>
      <c r="OT22" s="2"/>
      <c r="OU22" s="2"/>
      <c r="OW22" s="57">
        <v>50</v>
      </c>
      <c r="PR22" s="5"/>
      <c r="PS22" s="5"/>
      <c r="QB22" s="2"/>
      <c r="QC22" s="2"/>
      <c r="QE22" s="57">
        <v>50</v>
      </c>
      <c r="QZ22" s="5"/>
      <c r="RA22" s="5"/>
      <c r="RJ22" s="2"/>
      <c r="RK22" s="2"/>
      <c r="RM22" s="57">
        <v>50</v>
      </c>
      <c r="SH22" s="5"/>
      <c r="SI22" s="5"/>
      <c r="SR22" s="2"/>
      <c r="SS22" s="2"/>
      <c r="SU22" s="57">
        <v>50</v>
      </c>
    </row>
    <row r="23" spans="1:544" hidden="1" x14ac:dyDescent="0.2">
      <c r="A23" s="5"/>
      <c r="B23" s="5"/>
      <c r="C23" s="24" t="s">
        <v>42</v>
      </c>
      <c r="D23" s="5"/>
      <c r="AR23" s="41"/>
      <c r="AS23" s="41"/>
      <c r="AT23" s="41"/>
      <c r="AU23" s="32"/>
      <c r="AV23" s="32"/>
      <c r="AW23" s="32"/>
      <c r="AX23" s="32"/>
      <c r="AY23" s="58">
        <v>1000</v>
      </c>
      <c r="BS23" s="41"/>
      <c r="BT23" s="41"/>
      <c r="BU23" s="41"/>
      <c r="BW23" s="32"/>
      <c r="BX23" s="32"/>
      <c r="BZ23" s="58">
        <v>1000</v>
      </c>
      <c r="CT23" s="41"/>
      <c r="CU23" s="41"/>
      <c r="CV23" s="41"/>
      <c r="CW23" s="32"/>
      <c r="CX23" s="32"/>
      <c r="CY23" s="32"/>
      <c r="CZ23" s="32"/>
      <c r="DA23" s="58">
        <v>1000</v>
      </c>
      <c r="DX23" s="5"/>
      <c r="DY23" s="5"/>
      <c r="EH23" s="2"/>
      <c r="EI23" s="2"/>
      <c r="EK23" s="58">
        <v>1000</v>
      </c>
      <c r="FF23" s="5"/>
      <c r="FG23" s="5"/>
      <c r="FP23" s="2"/>
      <c r="FQ23" s="2"/>
      <c r="FS23" s="58">
        <v>1000</v>
      </c>
      <c r="GN23" s="5"/>
      <c r="GO23" s="5"/>
      <c r="GX23" s="2"/>
      <c r="GY23" s="2"/>
      <c r="HA23" s="58">
        <v>1000</v>
      </c>
      <c r="HV23" s="5"/>
      <c r="HW23" s="5"/>
      <c r="IF23" s="2"/>
      <c r="IG23" s="2"/>
      <c r="II23" s="58">
        <v>1000</v>
      </c>
      <c r="JD23" s="5"/>
      <c r="JE23" s="5"/>
      <c r="JN23" s="2"/>
      <c r="JO23" s="2"/>
      <c r="JQ23" s="58">
        <v>1000</v>
      </c>
      <c r="KL23" s="5"/>
      <c r="KM23" s="5"/>
      <c r="KV23" s="2"/>
      <c r="KW23" s="2"/>
      <c r="KY23" s="58">
        <v>1000</v>
      </c>
      <c r="LT23" s="5"/>
      <c r="LU23" s="5"/>
      <c r="MD23" s="2"/>
      <c r="ME23" s="2"/>
      <c r="MG23" s="58">
        <v>1000</v>
      </c>
      <c r="NB23" s="5"/>
      <c r="NC23" s="5"/>
      <c r="NL23" s="2"/>
      <c r="NM23" s="2"/>
      <c r="NO23" s="58">
        <v>1000</v>
      </c>
      <c r="OJ23" s="5"/>
      <c r="OK23" s="5"/>
      <c r="OT23" s="2"/>
      <c r="OU23" s="2"/>
      <c r="OW23" s="58">
        <v>1000</v>
      </c>
      <c r="PR23" s="5"/>
      <c r="PS23" s="5"/>
      <c r="QB23" s="2"/>
      <c r="QC23" s="2"/>
      <c r="QE23" s="58">
        <v>1000</v>
      </c>
      <c r="QZ23" s="5"/>
      <c r="RA23" s="5"/>
      <c r="RJ23" s="2"/>
      <c r="RK23" s="2"/>
      <c r="RM23" s="58">
        <v>1000</v>
      </c>
      <c r="SH23" s="5"/>
      <c r="SI23" s="5"/>
      <c r="SR23" s="2"/>
      <c r="SS23" s="2"/>
      <c r="SU23" s="58">
        <v>1000</v>
      </c>
    </row>
    <row r="24" spans="1:544" hidden="1" x14ac:dyDescent="0.2">
      <c r="A24" s="5"/>
      <c r="B24" s="5"/>
      <c r="C24" s="33" t="s">
        <v>54</v>
      </c>
      <c r="D24" s="5"/>
      <c r="AR24" s="41"/>
      <c r="AS24" s="41"/>
      <c r="AT24" s="41"/>
      <c r="AU24" s="32"/>
      <c r="AV24" s="32"/>
      <c r="AW24" s="32"/>
      <c r="AX24" s="32"/>
      <c r="AY24" s="59">
        <v>1000</v>
      </c>
      <c r="BS24" s="41"/>
      <c r="BT24" s="41"/>
      <c r="BU24" s="41"/>
      <c r="BW24" s="32"/>
      <c r="BX24" s="32"/>
      <c r="BZ24" s="59">
        <v>1000</v>
      </c>
      <c r="CT24" s="41"/>
      <c r="CU24" s="41"/>
      <c r="CV24" s="41"/>
      <c r="CW24" s="32"/>
      <c r="CX24" s="32"/>
      <c r="CY24" s="32"/>
      <c r="CZ24" s="32"/>
      <c r="DA24" s="59">
        <v>1000</v>
      </c>
      <c r="DX24" s="5"/>
      <c r="DY24" s="5"/>
      <c r="EH24" s="2"/>
      <c r="EI24" s="2"/>
      <c r="EJ24" s="37"/>
      <c r="EK24" s="59">
        <v>1000</v>
      </c>
      <c r="FF24" s="5"/>
      <c r="FG24" s="5"/>
      <c r="FP24" s="2"/>
      <c r="FQ24" s="2"/>
      <c r="FR24" s="37"/>
      <c r="FS24" s="59">
        <v>1000</v>
      </c>
      <c r="GN24" s="5"/>
      <c r="GO24" s="5"/>
      <c r="GX24" s="2"/>
      <c r="GY24" s="2"/>
      <c r="GZ24" s="37"/>
      <c r="HA24" s="59">
        <v>1000</v>
      </c>
      <c r="HV24" s="5"/>
      <c r="HW24" s="5"/>
      <c r="IF24" s="2"/>
      <c r="IG24" s="2"/>
      <c r="IH24" s="37"/>
      <c r="II24" s="59">
        <v>1000</v>
      </c>
      <c r="JD24" s="5"/>
      <c r="JE24" s="5"/>
      <c r="JN24" s="2"/>
      <c r="JO24" s="2"/>
      <c r="JP24" s="37"/>
      <c r="JQ24" s="59">
        <v>1000</v>
      </c>
      <c r="KL24" s="5"/>
      <c r="KM24" s="5"/>
      <c r="KV24" s="2"/>
      <c r="KW24" s="2"/>
      <c r="KX24" s="37"/>
      <c r="KY24" s="59">
        <v>1000</v>
      </c>
      <c r="LT24" s="5"/>
      <c r="LU24" s="5"/>
      <c r="MD24" s="2"/>
      <c r="ME24" s="2"/>
      <c r="MF24" s="37"/>
      <c r="MG24" s="59">
        <v>1000</v>
      </c>
      <c r="NB24" s="5"/>
      <c r="NC24" s="5"/>
      <c r="NL24" s="2"/>
      <c r="NM24" s="2"/>
      <c r="NN24" s="37"/>
      <c r="NO24" s="59">
        <v>1000</v>
      </c>
      <c r="OJ24" s="5"/>
      <c r="OK24" s="5"/>
      <c r="OT24" s="2"/>
      <c r="OU24" s="2"/>
      <c r="OV24" s="37"/>
      <c r="OW24" s="59">
        <v>1000</v>
      </c>
      <c r="PR24" s="5"/>
      <c r="PS24" s="5"/>
      <c r="QB24" s="2"/>
      <c r="QC24" s="2"/>
      <c r="QD24" s="37"/>
      <c r="QE24" s="59">
        <v>1000</v>
      </c>
      <c r="QZ24" s="5"/>
      <c r="RA24" s="5"/>
      <c r="RJ24" s="2"/>
      <c r="RK24" s="2"/>
      <c r="RL24" s="37"/>
      <c r="RM24" s="59">
        <v>1000</v>
      </c>
      <c r="SH24" s="5"/>
      <c r="SI24" s="5"/>
      <c r="SR24" s="2"/>
      <c r="SS24" s="2"/>
      <c r="ST24" s="37"/>
      <c r="SU24" s="59">
        <v>1000</v>
      </c>
    </row>
    <row r="25" spans="1:544" hidden="1" x14ac:dyDescent="0.2">
      <c r="A25" s="5"/>
      <c r="B25" s="5"/>
      <c r="C25" s="25" t="s">
        <v>27</v>
      </c>
      <c r="D25" s="5"/>
      <c r="AR25" s="41"/>
      <c r="AS25" s="41"/>
      <c r="AT25" s="41"/>
      <c r="AU25" s="32"/>
      <c r="AV25" s="41"/>
      <c r="AW25" s="41"/>
      <c r="AX25" s="32"/>
      <c r="AY25" s="60">
        <v>1000</v>
      </c>
      <c r="BS25" s="41"/>
      <c r="BT25" s="41"/>
      <c r="BU25" s="41"/>
      <c r="BW25" s="41"/>
      <c r="BX25" s="32"/>
      <c r="BZ25" s="60">
        <v>1000</v>
      </c>
      <c r="CT25" s="41"/>
      <c r="CU25" s="41"/>
      <c r="CV25" s="41"/>
      <c r="CW25" s="32"/>
      <c r="CX25" s="41"/>
      <c r="CY25" s="32"/>
      <c r="CZ25" s="32"/>
      <c r="DA25" s="60">
        <v>1000</v>
      </c>
      <c r="DX25" s="5"/>
      <c r="DY25" s="5"/>
      <c r="EH25" s="41"/>
      <c r="EI25" s="2"/>
      <c r="EK25" s="60">
        <v>1000</v>
      </c>
      <c r="FF25" s="5"/>
      <c r="FG25" s="5"/>
      <c r="FP25" s="41"/>
      <c r="FQ25" s="2"/>
      <c r="FS25" s="60">
        <v>1000</v>
      </c>
      <c r="GN25" s="5"/>
      <c r="GO25" s="5"/>
      <c r="GX25" s="2"/>
      <c r="GY25" s="2"/>
      <c r="HA25" s="60">
        <v>1000</v>
      </c>
      <c r="HV25" s="5"/>
      <c r="HW25" s="5"/>
      <c r="IF25" s="41"/>
      <c r="IG25" s="2"/>
      <c r="II25" s="60">
        <v>1000</v>
      </c>
      <c r="JD25" s="5"/>
      <c r="JE25" s="5"/>
      <c r="JN25" s="2"/>
      <c r="JO25" s="2"/>
      <c r="JQ25" s="60">
        <v>1000</v>
      </c>
      <c r="KL25" s="5"/>
      <c r="KM25" s="5"/>
      <c r="KV25" s="2"/>
      <c r="KW25" s="2"/>
      <c r="KY25" s="60">
        <v>1000</v>
      </c>
      <c r="LT25" s="5"/>
      <c r="LU25" s="5"/>
      <c r="MD25" s="2"/>
      <c r="ME25" s="2"/>
      <c r="MG25" s="60">
        <v>1000</v>
      </c>
      <c r="NB25" s="5"/>
      <c r="NC25" s="5"/>
      <c r="NL25" s="2"/>
      <c r="NM25" s="2"/>
      <c r="NO25" s="60">
        <v>1000</v>
      </c>
      <c r="OJ25" s="5"/>
      <c r="OK25" s="5"/>
      <c r="OT25" s="2"/>
      <c r="OU25" s="2"/>
      <c r="OW25" s="60">
        <v>1000</v>
      </c>
      <c r="PR25" s="5"/>
      <c r="PS25" s="5"/>
      <c r="QB25" s="2"/>
      <c r="QC25" s="2"/>
      <c r="QE25" s="60">
        <v>1000</v>
      </c>
      <c r="QZ25" s="5"/>
      <c r="RA25" s="5"/>
      <c r="RJ25" s="2"/>
      <c r="RK25" s="2"/>
      <c r="RM25" s="60">
        <v>1000</v>
      </c>
      <c r="SH25" s="5"/>
      <c r="SI25" s="5"/>
      <c r="SR25" s="2"/>
      <c r="SS25" s="2"/>
      <c r="SU25" s="60">
        <v>1000</v>
      </c>
    </row>
    <row r="26" spans="1:544" s="36" customFormat="1" x14ac:dyDescent="0.2">
      <c r="A26"/>
      <c r="B26"/>
      <c r="C26" s="29" t="s">
        <v>47</v>
      </c>
      <c r="D26" s="2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x14ac:dyDescent="0.2">
      <c r="A27" s="5"/>
      <c r="B27" s="5"/>
      <c r="C27" s="5"/>
      <c r="D27" s="20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 s="5"/>
      <c r="B28" s="5"/>
      <c r="C28" s="5"/>
      <c r="D28" s="20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 s="5"/>
      <c r="B29" s="5"/>
      <c r="C29" s="5"/>
      <c r="D29" s="20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 s="65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 s="65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TV1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5">
      <sortCondition descending="1" ref="H1:H16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5">
    <cfRule type="expression" dxfId="275" priority="23" stopIfTrue="1">
      <formula>IF($AN4&lt;&gt;"",1,0)</formula>
    </cfRule>
  </conditionalFormatting>
  <conditionalFormatting sqref="AZ4:BZ15">
    <cfRule type="expression" dxfId="274" priority="36" stopIfTrue="1">
      <formula>IF($BO4&lt;&gt;"",1,0)</formula>
    </cfRule>
  </conditionalFormatting>
  <conditionalFormatting sqref="CA4:DA15">
    <cfRule type="expression" dxfId="273" priority="35" stopIfTrue="1">
      <formula>IF($CP4&lt;&gt;"",1,0)</formula>
    </cfRule>
  </conditionalFormatting>
  <conditionalFormatting sqref="BW26:BW1048576 BP1:BP1048576 BS1:BS1048576 BW1:BW24">
    <cfRule type="cellIs" dxfId="272" priority="48" operator="between">
      <formula>$BZ$21</formula>
      <formula>1000</formula>
    </cfRule>
    <cfRule type="cellIs" dxfId="271" priority="49" operator="between">
      <formula>$BZ$20</formula>
      <formula>$BZ$21</formula>
    </cfRule>
    <cfRule type="cellIs" dxfId="270" priority="50" operator="between">
      <formula>$BZ$19</formula>
      <formula>$BZ$20</formula>
    </cfRule>
    <cfRule type="cellIs" dxfId="269" priority="51" operator="between">
      <formula>$BZ$18</formula>
      <formula>$BZ$19</formula>
    </cfRule>
  </conditionalFormatting>
  <conditionalFormatting sqref="CX26:CX1048576 CQ1:CQ1048576 CT1:CT1048576 CX1:CX24">
    <cfRule type="cellIs" dxfId="268" priority="44" operator="between">
      <formula>$DA$21</formula>
      <formula>1000</formula>
    </cfRule>
    <cfRule type="cellIs" dxfId="267" priority="45" operator="between">
      <formula>$DA$20</formula>
      <formula>$DA$21</formula>
    </cfRule>
    <cfRule type="cellIs" dxfId="266" priority="46" operator="between">
      <formula>$DA$19</formula>
      <formula>$DA$20</formula>
    </cfRule>
    <cfRule type="cellIs" dxfId="265" priority="47" operator="between">
      <formula>$DA$18</formula>
      <formula>$DA$19</formula>
    </cfRule>
  </conditionalFormatting>
  <conditionalFormatting sqref="EH26:EH1048576 DX1:DX1048576 EA1:EA1048576 EE1:EE1048576 EH1:EH24">
    <cfRule type="cellIs" dxfId="264" priority="55" operator="between">
      <formula>$EK$21</formula>
      <formula>1000</formula>
    </cfRule>
    <cfRule type="cellIs" dxfId="263" priority="56" operator="between">
      <formula>$EK$20</formula>
      <formula>$EK$21</formula>
    </cfRule>
    <cfRule type="cellIs" dxfId="262" priority="57" operator="between">
      <formula>$EK$19</formula>
      <formula>$EK$20</formula>
    </cfRule>
    <cfRule type="cellIs" dxfId="261" priority="58" operator="between">
      <formula>$EK$18</formula>
      <formula>$EK$19</formula>
    </cfRule>
  </conditionalFormatting>
  <conditionalFormatting sqref="FP26:FP1048576 FF1:FF1048576 FI1:FI1048576 FM1:FM1048576 FP1:FP24">
    <cfRule type="cellIs" dxfId="260" priority="31" operator="between">
      <formula>$FS$21</formula>
      <formula>1000</formula>
    </cfRule>
    <cfRule type="cellIs" dxfId="259" priority="32" operator="between">
      <formula>$FS$20</formula>
      <formula>$FS$21</formula>
    </cfRule>
    <cfRule type="cellIs" dxfId="258" priority="33" operator="between">
      <formula>$FS$19</formula>
      <formula>$FS$20</formula>
    </cfRule>
    <cfRule type="cellIs" dxfId="257" priority="34" operator="between">
      <formula>$FS$18</formula>
      <formula>$FS$19</formula>
    </cfRule>
  </conditionalFormatting>
  <conditionalFormatting sqref="IF26:IF1048576 HV1:HV1048576 HY1:HY1048576 IC1:IC1048576 IF1:IF24">
    <cfRule type="cellIs" dxfId="256" priority="27" operator="between">
      <formula>$II$21</formula>
      <formula>1000</formula>
    </cfRule>
    <cfRule type="cellIs" dxfId="255" priority="28" operator="between">
      <formula>$II$20</formula>
      <formula>$II$21</formula>
    </cfRule>
    <cfRule type="cellIs" dxfId="254" priority="29" operator="between">
      <formula>$II$19</formula>
      <formula>$II$20</formula>
    </cfRule>
    <cfRule type="cellIs" dxfId="253" priority="30" operator="between">
      <formula>$II$18</formula>
      <formula>$II$19</formula>
    </cfRule>
  </conditionalFormatting>
  <conditionalFormatting sqref="AW25 AO1:AO1048576 AR1:AR1048576 AV1:AV1048576">
    <cfRule type="cellIs" dxfId="252" priority="24" operator="between">
      <formula>$AY$21</formula>
      <formula>1000</formula>
    </cfRule>
    <cfRule type="cellIs" dxfId="251" priority="25" operator="between">
      <formula>$AY$20</formula>
      <formula>$AY$21</formula>
    </cfRule>
    <cfRule type="cellIs" dxfId="250" priority="26" operator="between">
      <formula>$AY$19</formula>
      <formula>$AY$20</formula>
    </cfRule>
    <cfRule type="cellIs" dxfId="249" priority="43" operator="between">
      <formula>$AY$18</formula>
      <formula>$AY$19</formula>
    </cfRule>
  </conditionalFormatting>
  <conditionalFormatting sqref="BW25">
    <cfRule type="cellIs" dxfId="248" priority="19" operator="between">
      <formula>$AY$21</formula>
      <formula>1000</formula>
    </cfRule>
    <cfRule type="cellIs" dxfId="247" priority="20" operator="between">
      <formula>$AY$20</formula>
      <formula>$AY$21</formula>
    </cfRule>
    <cfRule type="cellIs" dxfId="246" priority="21" operator="between">
      <formula>$AY$19</formula>
      <formula>$AY$20</formula>
    </cfRule>
    <cfRule type="cellIs" dxfId="245" priority="22" operator="between">
      <formula>$AY$18</formula>
      <formula>$AY$19</formula>
    </cfRule>
  </conditionalFormatting>
  <conditionalFormatting sqref="CX25">
    <cfRule type="cellIs" dxfId="244" priority="15" operator="between">
      <formula>$AY$21</formula>
      <formula>1000</formula>
    </cfRule>
    <cfRule type="cellIs" dxfId="243" priority="16" operator="between">
      <formula>$AY$20</formula>
      <formula>$AY$21</formula>
    </cfRule>
    <cfRule type="cellIs" dxfId="242" priority="17" operator="between">
      <formula>$AY$19</formula>
      <formula>$AY$20</formula>
    </cfRule>
    <cfRule type="cellIs" dxfId="241" priority="18" operator="between">
      <formula>$AY$18</formula>
      <formula>$AY$19</formula>
    </cfRule>
  </conditionalFormatting>
  <conditionalFormatting sqref="EH25">
    <cfRule type="cellIs" dxfId="240" priority="11" operator="between">
      <formula>$AY$21</formula>
      <formula>1000</formula>
    </cfRule>
    <cfRule type="cellIs" dxfId="239" priority="12" operator="between">
      <formula>$AY$20</formula>
      <formula>$AY$21</formula>
    </cfRule>
    <cfRule type="cellIs" dxfId="238" priority="13" operator="between">
      <formula>$AY$19</formula>
      <formula>$AY$20</formula>
    </cfRule>
    <cfRule type="cellIs" dxfId="237" priority="14" operator="between">
      <formula>$AY$18</formula>
      <formula>$AY$19</formula>
    </cfRule>
  </conditionalFormatting>
  <conditionalFormatting sqref="FP25">
    <cfRule type="cellIs" dxfId="236" priority="7" operator="between">
      <formula>$AY$21</formula>
      <formula>1000</formula>
    </cfRule>
    <cfRule type="cellIs" dxfId="235" priority="8" operator="between">
      <formula>$AY$20</formula>
      <formula>$AY$21</formula>
    </cfRule>
    <cfRule type="cellIs" dxfId="234" priority="9" operator="between">
      <formula>$AY$19</formula>
      <formula>$AY$20</formula>
    </cfRule>
    <cfRule type="cellIs" dxfId="233" priority="10" operator="between">
      <formula>$AY$18</formula>
      <formula>$AY$19</formula>
    </cfRule>
  </conditionalFormatting>
  <conditionalFormatting sqref="IF25">
    <cfRule type="cellIs" dxfId="232" priority="3" operator="between">
      <formula>$AY$21</formula>
      <formula>1000</formula>
    </cfRule>
    <cfRule type="cellIs" dxfId="231" priority="4" operator="between">
      <formula>$AY$20</formula>
      <formula>$AY$21</formula>
    </cfRule>
    <cfRule type="cellIs" dxfId="230" priority="5" operator="between">
      <formula>$AY$19</formula>
      <formula>$AY$20</formula>
    </cfRule>
    <cfRule type="cellIs" dxfId="229" priority="6" operator="between">
      <formula>$AY$18</formula>
      <formula>$AY$19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52437" operator="between">
      <formula>AY$25</formula>
      <formula>1000</formula>
    </cfRule>
    <cfRule type="cellIs" dxfId="223" priority="252438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52449" operator="between">
      <formula>EK$25</formula>
      <formula>1000</formula>
    </cfRule>
    <cfRule type="cellIs" dxfId="221" priority="252450" operator="between">
      <formula>EK$24</formula>
      <formula>EK$25</formula>
    </cfRule>
  </conditionalFormatting>
  <conditionalFormatting sqref="AQ1:AQ1048576 AT1:AT1048576 AX1:AX1048576">
    <cfRule type="cellIs" dxfId="220" priority="252521" operator="between">
      <formula>$AY$25</formula>
      <formula>1000</formula>
    </cfRule>
    <cfRule type="cellIs" dxfId="219" priority="252522" operator="between">
      <formula>$AY$24</formula>
      <formula>$AY$25</formula>
    </cfRule>
    <cfRule type="cellIs" dxfId="218" priority="252523" operator="between">
      <formula>$AY$23</formula>
      <formula>$AY$24</formula>
    </cfRule>
    <cfRule type="cellIs" dxfId="217" priority="252524" operator="between">
      <formula>$AY$22</formula>
      <formula>$AY$23</formula>
    </cfRule>
  </conditionalFormatting>
  <conditionalFormatting sqref="BR1:BR1048576 BU1:BU1048576 BY1:BY1048576">
    <cfRule type="cellIs" dxfId="216" priority="252557" operator="between">
      <formula>$BZ$25</formula>
      <formula>1000</formula>
    </cfRule>
    <cfRule type="cellIs" dxfId="215" priority="252558" operator="between">
      <formula>$BZ$24</formula>
      <formula>$BZ$25</formula>
    </cfRule>
    <cfRule type="cellIs" dxfId="214" priority="252559" operator="between">
      <formula>$BZ$23</formula>
      <formula>$BZ$24</formula>
    </cfRule>
    <cfRule type="cellIs" dxfId="213" priority="252560" operator="between">
      <formula>$BZ$22</formula>
      <formula>$BZ$23</formula>
    </cfRule>
  </conditionalFormatting>
  <conditionalFormatting sqref="CS1:CS1048576 CV1:CV1048576 CZ1:CZ1048576">
    <cfRule type="cellIs" dxfId="212" priority="252593" operator="between">
      <formula>$DA$25</formula>
      <formula>1000</formula>
    </cfRule>
    <cfRule type="cellIs" dxfId="211" priority="252594" operator="between">
      <formula>$DA$24</formula>
      <formula>$DA$25</formula>
    </cfRule>
    <cfRule type="cellIs" dxfId="210" priority="252595" operator="between">
      <formula>$DA$23</formula>
      <formula>$DA$24</formula>
    </cfRule>
    <cfRule type="cellIs" dxfId="209" priority="252596" operator="between">
      <formula>$DA$22</formula>
      <formula>$DA$23</formula>
    </cfRule>
  </conditionalFormatting>
  <conditionalFormatting sqref="NB1:NB1048576 NE1:NE1048576 NI1:NI1048576 NL1:NL1048576">
    <cfRule type="cellIs" dxfId="208" priority="252629" operator="between">
      <formula>$NO$18</formula>
      <formula>$NO$19</formula>
    </cfRule>
  </conditionalFormatting>
  <conditionalFormatting sqref="DZ1:DZ1048576 EC1:EC1048576 EG1:EG1048576 EJ1:EJ1048576">
    <cfRule type="cellIs" dxfId="207" priority="252641" operator="between">
      <formula>$EK$25</formula>
      <formula>1000</formula>
    </cfRule>
    <cfRule type="cellIs" dxfId="206" priority="252642" operator="between">
      <formula>$EK$24</formula>
      <formula>$EK$25</formula>
    </cfRule>
    <cfRule type="cellIs" dxfId="205" priority="252643" operator="between">
      <formula>$EK$23</formula>
      <formula>$EK$24</formula>
    </cfRule>
    <cfRule type="cellIs" dxfId="204" priority="252644" operator="between">
      <formula>$EK$22</formula>
      <formula>$EK$23</formula>
    </cfRule>
  </conditionalFormatting>
  <conditionalFormatting sqref="FH1:FH1048576 FK1:FK1048576 FO1:FO1048576 FR1:FR1048576">
    <cfRule type="cellIs" dxfId="203" priority="252689" operator="between">
      <formula>$FS$25</formula>
      <formula>1000</formula>
    </cfRule>
    <cfRule type="cellIs" dxfId="202" priority="252690" operator="between">
      <formula>$FS$24</formula>
      <formula>$FS$25</formula>
    </cfRule>
    <cfRule type="cellIs" dxfId="201" priority="252691" operator="between">
      <formula>$FS$23</formula>
      <formula>$FS$24</formula>
    </cfRule>
    <cfRule type="cellIs" dxfId="200" priority="252692" operator="between">
      <formula>$FS$22</formula>
      <formula>$FS$23</formula>
    </cfRule>
  </conditionalFormatting>
  <conditionalFormatting sqref="GN1:GN1048576 GQ1:GQ1048576 GU1:GU1048576 GX1:GX1048576">
    <cfRule type="cellIs" dxfId="199" priority="252737" operator="between">
      <formula>$HA$21</formula>
      <formula>1000</formula>
    </cfRule>
    <cfRule type="cellIs" dxfId="198" priority="252738" operator="between">
      <formula>$HA$20</formula>
      <formula>$HA$21</formula>
    </cfRule>
    <cfRule type="cellIs" dxfId="197" priority="252739" operator="between">
      <formula>$HA$19</formula>
      <formula>$HA$20</formula>
    </cfRule>
    <cfRule type="cellIs" dxfId="196" priority="252740" operator="between">
      <formula>$HA$18</formula>
      <formula>$HA$19</formula>
    </cfRule>
  </conditionalFormatting>
  <conditionalFormatting sqref="GP1:GP1048576 GS1:GS1048576 GW1:GW1048576 GZ1:GZ1048576">
    <cfRule type="cellIs" dxfId="195" priority="252785" operator="between">
      <formula>$HA$25</formula>
      <formula>1000</formula>
    </cfRule>
    <cfRule type="cellIs" dxfId="194" priority="252786" operator="between">
      <formula>$HA$24</formula>
      <formula>$HA$25</formula>
    </cfRule>
    <cfRule type="cellIs" dxfId="193" priority="252787" operator="between">
      <formula>$HA$23</formula>
      <formula>$HA$24</formula>
    </cfRule>
    <cfRule type="cellIs" dxfId="192" priority="252788" operator="between">
      <formula>$HA$22</formula>
      <formula>$HA$23</formula>
    </cfRule>
  </conditionalFormatting>
  <conditionalFormatting sqref="HX1:HX1048576 IA1:IA1048576 IE1:IE1048576 IH1:IH1048576">
    <cfRule type="cellIs" dxfId="191" priority="252833" operator="between">
      <formula>$II$25</formula>
      <formula>1000</formula>
    </cfRule>
    <cfRule type="cellIs" dxfId="190" priority="252834" operator="between">
      <formula>$II$24</formula>
      <formula>$II$25</formula>
    </cfRule>
    <cfRule type="cellIs" dxfId="189" priority="252835" operator="between">
      <formula>$II$23</formula>
      <formula>$II$24</formula>
    </cfRule>
    <cfRule type="cellIs" dxfId="188" priority="252836" operator="between">
      <formula>$II$22</formula>
      <formula>$II$23</formula>
    </cfRule>
  </conditionalFormatting>
  <conditionalFormatting sqref="JD1:JD1048576 JG1:JG1048576 JK1:JK1048576 JN1:JN1048576">
    <cfRule type="cellIs" dxfId="187" priority="252881" operator="between">
      <formula>$JQ$21</formula>
      <formula>1000</formula>
    </cfRule>
    <cfRule type="cellIs" dxfId="186" priority="252882" operator="between">
      <formula>$JQ$20</formula>
      <formula>$JQ$21</formula>
    </cfRule>
    <cfRule type="cellIs" dxfId="185" priority="252883" operator="between">
      <formula>$JQ$19</formula>
      <formula>$JQ$20</formula>
    </cfRule>
    <cfRule type="cellIs" dxfId="184" priority="252884" operator="between">
      <formula>$JQ$18</formula>
      <formula>$JQ$19</formula>
    </cfRule>
  </conditionalFormatting>
  <conditionalFormatting sqref="JF1:JF1048576 JI1:JI1048576 JM1:JM1048576 JP1:JP1048576">
    <cfRule type="cellIs" dxfId="183" priority="252929" operator="between">
      <formula>$JQ$25</formula>
      <formula>1000</formula>
    </cfRule>
    <cfRule type="cellIs" dxfId="182" priority="252930" operator="between">
      <formula>$JQ$24</formula>
      <formula>$JQ$25</formula>
    </cfRule>
    <cfRule type="cellIs" dxfId="181" priority="252931" operator="between">
      <formula>$JQ$23</formula>
      <formula>$JQ$24</formula>
    </cfRule>
    <cfRule type="cellIs" dxfId="180" priority="252932" operator="between">
      <formula>$JQ$22</formula>
      <formula>$JQ$23</formula>
    </cfRule>
  </conditionalFormatting>
  <conditionalFormatting sqref="KL1:KL1048576 KO1:KO1048576 KS1:KS1048576 KV1:KV1048576">
    <cfRule type="cellIs" dxfId="179" priority="252977" operator="between">
      <formula>$KY$21</formula>
      <formula>1000</formula>
    </cfRule>
    <cfRule type="cellIs" dxfId="178" priority="252978" operator="between">
      <formula>$KY$20</formula>
      <formula>$KY$21</formula>
    </cfRule>
    <cfRule type="cellIs" dxfId="177" priority="252979" operator="between">
      <formula>$KY$19</formula>
      <formula>$KY$20</formula>
    </cfRule>
    <cfRule type="cellIs" dxfId="176" priority="252980" operator="between">
      <formula>$KY$18</formula>
      <formula>$KY$19</formula>
    </cfRule>
  </conditionalFormatting>
  <conditionalFormatting sqref="KN1:KN1048576 KQ1:KQ1048576 KU1:KU1048576 KX1:KX1048576">
    <cfRule type="cellIs" dxfId="175" priority="253025" operator="between">
      <formula>$KY$25</formula>
      <formula>1000</formula>
    </cfRule>
    <cfRule type="cellIs" dxfId="174" priority="253026" operator="between">
      <formula>$KY$24</formula>
      <formula>$KY$25</formula>
    </cfRule>
    <cfRule type="cellIs" dxfId="173" priority="253027" operator="between">
      <formula>$KY$23</formula>
      <formula>$KY$24</formula>
    </cfRule>
    <cfRule type="cellIs" dxfId="172" priority="253028" operator="between">
      <formula>$KY$22</formula>
      <formula>$KY$23</formula>
    </cfRule>
  </conditionalFormatting>
  <conditionalFormatting sqref="LT1:LT1048576 LW1:LW1048576 MA1:MA1048576 MD1:MD1048576">
    <cfRule type="cellIs" dxfId="171" priority="253073" operator="between">
      <formula>$MG$21</formula>
      <formula>1000</formula>
    </cfRule>
    <cfRule type="cellIs" dxfId="170" priority="253074" operator="between">
      <formula>$MG$20</formula>
      <formula>$MG$21</formula>
    </cfRule>
    <cfRule type="cellIs" dxfId="169" priority="253075" operator="between">
      <formula>$MG$19</formula>
      <formula>$MG$20</formula>
    </cfRule>
    <cfRule type="cellIs" dxfId="168" priority="253076" operator="between">
      <formula>$MG$18</formula>
      <formula>$MG$19</formula>
    </cfRule>
  </conditionalFormatting>
  <conditionalFormatting sqref="LV1:LV1048576 LY1:LY1048576 MC1:MC1048576 MF1:MF1048576">
    <cfRule type="cellIs" dxfId="167" priority="253121" operator="between">
      <formula>$MG$25</formula>
      <formula>1000</formula>
    </cfRule>
    <cfRule type="cellIs" dxfId="166" priority="253122" operator="between">
      <formula>$MG$24</formula>
      <formula>$MG$25</formula>
    </cfRule>
    <cfRule type="cellIs" dxfId="165" priority="253123" operator="between">
      <formula>$MG$23</formula>
      <formula>$MG$24</formula>
    </cfRule>
    <cfRule type="cellIs" dxfId="164" priority="253124" operator="between">
      <formula>$MG$22</formula>
      <formula>$MG$23</formula>
    </cfRule>
  </conditionalFormatting>
  <conditionalFormatting sqref="NB1:NB1048576 NE1:NE1048576 NI1:NI1048576">
    <cfRule type="cellIs" dxfId="163" priority="253169" operator="between">
      <formula>$NO$21</formula>
      <formula>1000</formula>
    </cfRule>
    <cfRule type="cellIs" dxfId="162" priority="253170" operator="between">
      <formula>$NO$20</formula>
      <formula>$NO$21</formula>
    </cfRule>
    <cfRule type="cellIs" dxfId="161" priority="253171" operator="between">
      <formula>$NO$19</formula>
      <formula>$NO$20</formula>
    </cfRule>
  </conditionalFormatting>
  <conditionalFormatting sqref="ND1:ND1048576 NG1:NG1048576 NK1:NK1048576 NN1:NN1048576">
    <cfRule type="cellIs" dxfId="160" priority="253196" operator="between">
      <formula>$NO$25</formula>
      <formula>1000</formula>
    </cfRule>
    <cfRule type="cellIs" dxfId="159" priority="253197" operator="between">
      <formula>$NO$24</formula>
      <formula>$NO$25</formula>
    </cfRule>
    <cfRule type="cellIs" dxfId="158" priority="253198" operator="between">
      <formula>$NO$23</formula>
      <formula>$NO$24</formula>
    </cfRule>
    <cfRule type="cellIs" dxfId="157" priority="253199" operator="between">
      <formula>$NO$22</formula>
      <formula>$NO$23</formula>
    </cfRule>
  </conditionalFormatting>
  <conditionalFormatting sqref="OJ1:OJ1048576 OM1:OM1048576 OQ1:OQ1048576 OT1:OT1048576">
    <cfRule type="cellIs" dxfId="156" priority="253244" operator="between">
      <formula>$OW$21</formula>
      <formula>1000</formula>
    </cfRule>
    <cfRule type="cellIs" dxfId="155" priority="253245" operator="between">
      <formula>$OW$20</formula>
      <formula>$OW$21</formula>
    </cfRule>
    <cfRule type="cellIs" dxfId="154" priority="253246" operator="between">
      <formula>$OW$19</formula>
      <formula>$OW$20</formula>
    </cfRule>
    <cfRule type="cellIs" dxfId="153" priority="253247" operator="between">
      <formula>$OW$18</formula>
      <formula>$OW$19</formula>
    </cfRule>
  </conditionalFormatting>
  <conditionalFormatting sqref="OL1:OL1048576 OO1:OO1048576 OS1:OS1048576 OV1:OV1048576">
    <cfRule type="cellIs" dxfId="152" priority="253292" operator="between">
      <formula>$OW$25</formula>
      <formula>1000</formula>
    </cfRule>
    <cfRule type="cellIs" dxfId="151" priority="253293" operator="between">
      <formula>$OW$24</formula>
      <formula>$OW$25</formula>
    </cfRule>
    <cfRule type="cellIs" dxfId="150" priority="253294" operator="between">
      <formula>$OW$23</formula>
      <formula>$OW$24</formula>
    </cfRule>
    <cfRule type="cellIs" dxfId="149" priority="253295" operator="between">
      <formula>$OW$22</formula>
      <formula>$OW$23</formula>
    </cfRule>
  </conditionalFormatting>
  <conditionalFormatting sqref="PR1:PR1048576 PU1:PU1048576 PY1:PY1048576 QB1:QB1048576">
    <cfRule type="cellIs" dxfId="148" priority="253340" operator="between">
      <formula>$QE$21</formula>
      <formula>1000</formula>
    </cfRule>
    <cfRule type="cellIs" dxfId="147" priority="253341" operator="between">
      <formula>$QE$20</formula>
      <formula>$QE$21</formula>
    </cfRule>
    <cfRule type="cellIs" dxfId="146" priority="253342" operator="between">
      <formula>$QE$19</formula>
      <formula>$QE$20</formula>
    </cfRule>
    <cfRule type="cellIs" dxfId="145" priority="253343" operator="between">
      <formula>$QE$18</formula>
      <formula>$QE$19</formula>
    </cfRule>
  </conditionalFormatting>
  <conditionalFormatting sqref="PT1:PT1048576 PW1:PW1048576 QA1:QA1048576 QD1:QD1048576">
    <cfRule type="cellIs" dxfId="144" priority="253388" operator="between">
      <formula>$QE$25</formula>
      <formula>1000</formula>
    </cfRule>
    <cfRule type="cellIs" dxfId="143" priority="253389" operator="between">
      <formula>$QE$24</formula>
      <formula>$QE$25</formula>
    </cfRule>
    <cfRule type="cellIs" dxfId="142" priority="253390" operator="between">
      <formula>$QE$23</formula>
      <formula>$QE$24</formula>
    </cfRule>
    <cfRule type="cellIs" dxfId="141" priority="253391" operator="between">
      <formula>$QE$22</formula>
      <formula>$QE$23</formula>
    </cfRule>
  </conditionalFormatting>
  <conditionalFormatting sqref="QZ1:QZ1048576 RC1:RC1048576 RG1:RG1048576 RJ1:RJ1048576">
    <cfRule type="cellIs" dxfId="140" priority="253436" operator="between">
      <formula>$RM$21</formula>
      <formula>1000</formula>
    </cfRule>
    <cfRule type="cellIs" dxfId="139" priority="253437" operator="between">
      <formula>$RM$20</formula>
      <formula>$RM$21</formula>
    </cfRule>
    <cfRule type="cellIs" dxfId="138" priority="253438" operator="between">
      <formula>$RM$19</formula>
      <formula>$RM$20</formula>
    </cfRule>
    <cfRule type="cellIs" dxfId="137" priority="253439" operator="between">
      <formula>$RM$18</formula>
      <formula>$RM$19</formula>
    </cfRule>
  </conditionalFormatting>
  <conditionalFormatting sqref="RB1:RB1048576 RE1:RE1048576 RI1:RI1048576 RL1:RL1048576">
    <cfRule type="cellIs" dxfId="136" priority="253484" operator="between">
      <formula>$RM$25</formula>
      <formula>1000</formula>
    </cfRule>
    <cfRule type="cellIs" dxfId="135" priority="253485" operator="between">
      <formula>$RM$24</formula>
      <formula>$RM$25</formula>
    </cfRule>
    <cfRule type="cellIs" dxfId="134" priority="253486" operator="between">
      <formula>$RM$23</formula>
      <formula>$RM$24</formula>
    </cfRule>
    <cfRule type="cellIs" dxfId="133" priority="253487" operator="between">
      <formula>$RM$22</formula>
      <formula>$RM$23</formula>
    </cfRule>
  </conditionalFormatting>
  <conditionalFormatting sqref="SH1:SH1048576 SK1:SK1048576 SO1:SO1048576 SR1:SR1048576">
    <cfRule type="cellIs" dxfId="132" priority="253532" operator="between">
      <formula>$SU$21</formula>
      <formula>1000</formula>
    </cfRule>
    <cfRule type="cellIs" dxfId="131" priority="253533" operator="between">
      <formula>$SU$20</formula>
      <formula>$SU$21</formula>
    </cfRule>
    <cfRule type="cellIs" dxfId="130" priority="253534" operator="between">
      <formula>$SU$19</formula>
      <formula>$SU$20</formula>
    </cfRule>
    <cfRule type="cellIs" dxfId="129" priority="253535" operator="between">
      <formula>$SU$18</formula>
      <formula>$SU$19</formula>
    </cfRule>
  </conditionalFormatting>
  <conditionalFormatting sqref="SJ1:SJ1048576 SM1:SM1048576 SQ1:SQ1048576 ST1:ST1048576">
    <cfRule type="cellIs" dxfId="128" priority="253580" operator="between">
      <formula>$SU$25</formula>
      <formula>1000</formula>
    </cfRule>
    <cfRule type="cellIs" dxfId="127" priority="253581" operator="between">
      <formula>$SU$24</formula>
      <formula>$SU$25</formula>
    </cfRule>
    <cfRule type="cellIs" dxfId="126" priority="253582" operator="between">
      <formula>$SU$23</formula>
      <formula>$SU$24</formula>
    </cfRule>
    <cfRule type="cellIs" dxfId="125" priority="253583" operator="between">
      <formula>$SU$22</formula>
      <formula>$SU$23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114</v>
      </c>
      <c r="D4" s="4" t="s">
        <v>3</v>
      </c>
      <c r="E4" s="4">
        <v>2006</v>
      </c>
      <c r="F4" s="9">
        <f t="shared" ref="F4:F20" si="0">SUM(L4:R4)+SUM(L4:O4)*0.0000001+SUM(L4)*0.0000000000001</f>
        <v>159.80001050000536</v>
      </c>
      <c r="G4" s="64" t="s">
        <v>46</v>
      </c>
      <c r="H4" s="3" t="str">
        <f t="shared" ref="H4:H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 t="shared" ref="I4:I20" si="2"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 t="shared" ref="J4:J20" si="3"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 t="shared" ref="K4:K20" si="4"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 t="shared" ref="M4:M20" si="5">IF(L4=0,"",IF(L4=CW4,$CA$1,IF(L4=BT4,$AX$1,IF(L4=AQ4,$U$1,""))))</f>
        <v>2025 Elite Canada</v>
      </c>
      <c r="N4" s="8">
        <f>IF(COUNT(AQ4,BT4,CW4)&gt;1,LARGE((AQ4,BT4,CW4),2),0)</f>
        <v>51.6</v>
      </c>
      <c r="O4" s="8" t="str">
        <f t="shared" ref="O4:O20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20" si="7">IF(MAX(AV4,BY4,DB4)&gt;0,MAX(AV4,BY4,DB4),0)</f>
        <v>54.8</v>
      </c>
      <c r="Q4" s="8" t="str">
        <f t="shared" ref="Q4:Q20" si="8">IF(P4=0,"",IF(P4=DB4,$CA$1,IF(P4=BY4,$AX$1,IF(P4=AV4,$U$1,""))))</f>
        <v>2025 Nationals</v>
      </c>
      <c r="R4" s="8" t="str">
        <f t="shared" ref="R4:R20" si="9">IF(MAX(DD4:DE4)&gt;0,MAX(DD4:DE4),"")</f>
        <v/>
      </c>
      <c r="S4" s="11" t="str">
        <f t="shared" ref="S4:S20" si="10">IF(R4="","",IF(R4=DD4,"("&amp;DD$2&amp;")",IF(R4=DE4,"("&amp;DE$2&amp;")")))</f>
        <v/>
      </c>
      <c r="T4" s="8" t="str">
        <f t="shared" ref="T4:T20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</v>
      </c>
      <c r="V4" s="19">
        <v>8.5</v>
      </c>
      <c r="W4" s="19">
        <v>0</v>
      </c>
      <c r="X4" s="19">
        <v>0</v>
      </c>
      <c r="Y4" s="19">
        <v>18.3</v>
      </c>
      <c r="Z4" s="19">
        <v>6.5</v>
      </c>
      <c r="AA4" s="19">
        <v>0</v>
      </c>
      <c r="AB4" s="19">
        <v>0</v>
      </c>
      <c r="AC4" s="19">
        <v>18.3</v>
      </c>
      <c r="AD4" s="19">
        <v>8.5</v>
      </c>
      <c r="AE4" s="19">
        <v>0</v>
      </c>
      <c r="AF4" s="19">
        <v>0</v>
      </c>
      <c r="AG4" s="19">
        <v>18.399999999999999</v>
      </c>
      <c r="AH4" s="19">
        <v>8.5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 t="shared" ref="AP4:AP20" si="12">IF(SUM(V4,Z4)&gt;0,SUM(V4,Z4),"")</f>
        <v>15</v>
      </c>
      <c r="AQ4" s="40">
        <f t="shared" ref="AQ4:AQ20" si="13">IF(SUM(U4:V4,X4:Z4,AB4)-W4-AA4&gt;0,SUM(U4:V4,X4:Z4,AB4)-W4-AA4,"")</f>
        <v>51.6</v>
      </c>
      <c r="AR4" s="40">
        <f t="shared" ref="AR4:AR20" si="14">IF(SUM(AC4:AD4,AF4)-AE4&gt;0,SUM(AC4:AD4,AF4)-AE4,"")</f>
        <v>26.8</v>
      </c>
      <c r="AS4" s="40">
        <f t="shared" ref="AS4:AS20" si="15">IF(SUM(V4,Z4,AD4)&gt;0,SUM(V4,Z4,AD4),"")</f>
        <v>23.5</v>
      </c>
      <c r="AT4" s="40">
        <f t="shared" ref="AT4:AT20" si="16">IF(SUM(AQ4,AR4)&gt;0,SUM(AQ4,AR4),"")</f>
        <v>78.400000000000006</v>
      </c>
      <c r="AU4" s="40">
        <f t="shared" ref="AU4:AU20" si="17">IF(SUM(AH4,AL4)&gt;0,SUM(AH4,AL4),"")</f>
        <v>16.2</v>
      </c>
      <c r="AV4" s="40">
        <f t="shared" ref="AV4:AV20" si="18">IF(SUM(AG4:AH4,AJ4:AL4,AN4)-SUM(AI4,AM4)&gt;0,SUM(AG4:AH4,AJ4:AL4,AN4)-SUM(AI4,AM4),"")</f>
        <v>52.8</v>
      </c>
      <c r="AW4" s="40">
        <f t="shared" ref="AW4:AW20" si="19">IF(SUM(AQ4,AR4,AV4)&gt;0,SUM(AQ4,AR4,AV4),"")</f>
        <v>131.19999999999999</v>
      </c>
      <c r="AX4" s="18">
        <v>18.399999999999999</v>
      </c>
      <c r="AY4" s="18">
        <v>8.5</v>
      </c>
      <c r="AZ4" s="18">
        <v>0.2</v>
      </c>
      <c r="BA4" s="18">
        <v>0</v>
      </c>
      <c r="BB4" s="18">
        <v>18.5</v>
      </c>
      <c r="BC4" s="18">
        <v>8.1999999999999993</v>
      </c>
      <c r="BD4" s="18">
        <v>0</v>
      </c>
      <c r="BE4" s="18">
        <v>0</v>
      </c>
      <c r="BF4" s="18"/>
      <c r="BG4" s="18"/>
      <c r="BH4" s="18"/>
      <c r="BI4" s="18"/>
      <c r="BJ4" s="18">
        <v>18.8</v>
      </c>
      <c r="BK4" s="18">
        <v>8.5</v>
      </c>
      <c r="BL4" s="18">
        <v>0.2</v>
      </c>
      <c r="BM4" s="18">
        <v>0</v>
      </c>
      <c r="BN4" s="18">
        <v>18.7</v>
      </c>
      <c r="BO4" s="18">
        <v>8.8000000000000007</v>
      </c>
      <c r="BP4" s="18">
        <v>0</v>
      </c>
      <c r="BQ4" s="18">
        <v>0</v>
      </c>
      <c r="BR4" s="28"/>
      <c r="BS4" s="11">
        <f t="shared" ref="BS4:BS20" si="20">IF(SUM(AY4,BC4)&gt;0,SUM(AY4,BC4),"")</f>
        <v>16.7</v>
      </c>
      <c r="BT4" s="11">
        <f t="shared" ref="BT4:BT20" si="21">IF(SUM(AX4:AY4,BA4:BC4,BE4)-AZ4-BD4&gt;0,SUM(AX4:AY4,BA4:BC4,BE4)-AZ4-BD4,"")</f>
        <v>53.399999999999991</v>
      </c>
      <c r="BU4" s="11" t="str">
        <f t="shared" ref="BU4:BU20" si="22">IF(SUM(BF4:BG4,BI4)-BH4&gt;0,SUM(BF4:BG4,BI4)-BH4,"")</f>
        <v/>
      </c>
      <c r="BV4" s="11">
        <f t="shared" ref="BV4:BV20" si="23">IF(SUM(AY4,BC4,BG4)&gt;0,SUM(AY4,BC4,BG4),"")</f>
        <v>16.7</v>
      </c>
      <c r="BW4" s="11">
        <f t="shared" ref="BW4:BW20" si="24">IF(SUM(BT4,BU4)&gt;0,SUM(BT4,BU4),"")</f>
        <v>53.399999999999991</v>
      </c>
      <c r="BX4" s="11">
        <f t="shared" ref="BX4:BX20" si="25">IF(SUM(BK4,BO4)&gt;0,SUM(BK4,BO4),"")</f>
        <v>17.3</v>
      </c>
      <c r="BY4" s="11">
        <f t="shared" ref="BY4:BY20" si="26">IF(SUM(BJ4:BK4,BM4:BO4,BQ4)-SUM(BL4,BP4)&gt;0,SUM(BJ4:BK4,BM4:BO4,BQ4)-SUM(BL4,BP4),"")</f>
        <v>54.599999999999994</v>
      </c>
      <c r="BZ4" s="11">
        <f t="shared" ref="BZ4:BZ20" si="27">IF(SUM(BT4,BU4,BY4)&gt;0,SUM(BT4,BU4,BY4),"")</f>
        <v>107.99999999999999</v>
      </c>
      <c r="CA4" s="19">
        <v>18.399999999999999</v>
      </c>
      <c r="CB4" s="19">
        <v>7.3</v>
      </c>
      <c r="CC4" s="19">
        <v>0</v>
      </c>
      <c r="CD4" s="19">
        <v>0</v>
      </c>
      <c r="CE4" s="19">
        <v>17.899999999999999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18.600000000000001</v>
      </c>
      <c r="CN4" s="19">
        <v>8.8000000000000007</v>
      </c>
      <c r="CO4" s="19">
        <v>0</v>
      </c>
      <c r="CP4" s="19">
        <v>0</v>
      </c>
      <c r="CQ4" s="19">
        <v>18.100000000000001</v>
      </c>
      <c r="CR4" s="19">
        <v>9.3000000000000007</v>
      </c>
      <c r="CS4" s="19">
        <v>0</v>
      </c>
      <c r="CT4" s="19">
        <v>0</v>
      </c>
      <c r="CU4" s="27"/>
      <c r="CV4" s="40">
        <f t="shared" ref="CV4:CV20" si="28">IF(SUM(CB4,CF4)&gt;0,SUM(CB4,CF4),"")</f>
        <v>14.2</v>
      </c>
      <c r="CW4" s="40">
        <f t="shared" ref="CW4:CW20" si="29">IF(SUM(CA4:CB4,CD4:CF4,CH4)-CC4-CG4&gt;0,SUM(CA4:CB4,CD4:CF4,CH4)-CC4-CG4,"")</f>
        <v>50.499999999999993</v>
      </c>
      <c r="CX4" s="40" t="str">
        <f t="shared" ref="CX4:CX20" si="30">IF(SUM(CI4:CJ4,CL4)-CK4&gt;0,SUM(CI4:CJ4,CL4)-CK4,"")</f>
        <v/>
      </c>
      <c r="CY4" s="40">
        <f t="shared" ref="CY4:CY20" si="31">IF(SUM(CB4,CF4,CJ4)&gt;0,SUM(CB4,CF4,CJ4),"")</f>
        <v>14.2</v>
      </c>
      <c r="CZ4" s="40">
        <f t="shared" ref="CZ4:CZ20" si="32">IF(SUM(CW4,CX4)&gt;0,SUM(CW4,CX4),"")</f>
        <v>50.499999999999993</v>
      </c>
      <c r="DA4" s="40">
        <f t="shared" ref="DA4:DA20" si="33">IF(SUM(CN4,CR4)&gt;0,SUM(CN4,CR4),"")</f>
        <v>18.100000000000001</v>
      </c>
      <c r="DB4" s="40">
        <f t="shared" ref="DB4:DB20" si="34">IF(SUM(CM4:CN4,CP4:CR4,CT4)-SUM(CO4,CS4)&gt;0,SUM(CM4:CN4,CP4:CR4,CT4)-SUM(CO4,CS4),"")</f>
        <v>54.8</v>
      </c>
      <c r="DC4" s="40">
        <f t="shared" ref="DC4:DC20" si="35">IF(SUM(CW4,CX4,DB4)&gt;0,SUM(CW4,CX4,DB4),"")</f>
        <v>105.29999999999998</v>
      </c>
      <c r="DD4" s="50" t="str">
        <f t="shared" ref="DD4:DD20" si="36">IF(MAX(EA4,FC4,GE4,HG4,II4,JK4,KM4,LO4,MQ4,NS4,OU4,PW4)-IF(N4="",0,N4)&gt;0.001,MAX(EA4,FC4,GE4,HG4,II4,JK4,KM4,LO4,MQ4,NS4,OU4,PW4)-IF(N4="",0,N4),"")</f>
        <v/>
      </c>
      <c r="DE4" s="50" t="str">
        <f t="shared" ref="DE4:DE20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8">IF(SUM(DG4,DK4)&gt;0,SUM(DG4,DK4),"")</f>
        <v/>
      </c>
      <c r="EA4" s="40" t="str">
        <f t="shared" ref="EA4:EA20" si="39">IF(SUM(DF4:DG4,DI4:DK4,DM4)-DH4-DL4&gt;0,SUM(DF4:DG4,DI4:DK4,DM4)-DH4-DL4,"")</f>
        <v/>
      </c>
      <c r="EB4" s="40" t="str">
        <f t="shared" ref="EB4:EB20" si="40">IF(SUM(DN4:DO4,DQ4)-DP4&gt;0,SUM(DN4:DO4,DQ4)-DP4,"")</f>
        <v/>
      </c>
      <c r="EC4" s="40" t="str">
        <f t="shared" ref="EC4:EC20" si="41">IF(SUM(DG4,DK4,DO4)&gt;0,SUM(DG4,DK4,DO4),"")</f>
        <v/>
      </c>
      <c r="ED4" s="40" t="str">
        <f t="shared" ref="ED4:ED20" si="42">IF(SUM(EA4,EB4)&gt;0,SUM(EA4,EB4),"")</f>
        <v/>
      </c>
      <c r="EE4" s="40" t="str">
        <f t="shared" ref="EE4:EE20" si="43">IF(SUM(DS4,DW4)&gt;0,SUM(DS4,DW4),"")</f>
        <v/>
      </c>
      <c r="EF4" s="40" t="str">
        <f t="shared" ref="EF4:EF20" si="44">IF(SUM(DR4:DS4,DU4:DW4,DY4)-SUM(DT4,DX4)&gt;0,SUM(DR4:DS4,DU4:DW4,DY4)-SUM(DT4,DX4),"")</f>
        <v/>
      </c>
      <c r="EG4" s="40" t="str">
        <f t="shared" ref="EG4:EG20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0" si="46">IF(SUM(EI4,EM4)&gt;0,SUM(EI4,EM4),"")</f>
        <v/>
      </c>
      <c r="FC4" s="11" t="str">
        <f t="shared" ref="FC4:FC20" si="47">IF(SUM(EH4:EI4,EK4:EM4,EO4)-EJ4-EN4&gt;0,SUM(EH4:EI4,EK4:EM4,EO4)-EJ4-EN4,"")</f>
        <v/>
      </c>
      <c r="FD4" s="11" t="str">
        <f t="shared" ref="FD4:FD20" si="48">IF(SUM(EP4:EQ4,ES4)-ER4&gt;0,SUM(EP4:EQ4,ES4)-ER4,"")</f>
        <v/>
      </c>
      <c r="FE4" s="11" t="str">
        <f t="shared" ref="FE4:FE20" si="49">IF(SUM(EI4,EM4,EQ4)&gt;0,SUM(EI4,EM4,EQ4),"")</f>
        <v/>
      </c>
      <c r="FF4" s="11" t="str">
        <f t="shared" ref="FF4:FF20" si="50">IF(SUM(FC4,FD4)&gt;0,SUM(FC4,FD4),"")</f>
        <v/>
      </c>
      <c r="FG4" s="11" t="str">
        <f t="shared" ref="FG4:FG20" si="51">IF(SUM(EU4,EY4)&gt;0,SUM(EU4,EY4),"")</f>
        <v/>
      </c>
      <c r="FH4" s="11" t="str">
        <f t="shared" ref="FH4:FH20" si="52">IF(SUM(ET4:EU4,EW4:EY4,FA4)-SUM(EV4,EZ4)&gt;0,SUM(ET4:EU4,EW4:EY4,FA4)-SUM(EV4,EZ4),"")</f>
        <v/>
      </c>
      <c r="FI4" s="11" t="str">
        <f t="shared" ref="FI4:FI20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4">IF(SUM(FK4,FO4)&gt;0,SUM(FK4,FO4),"")</f>
        <v/>
      </c>
      <c r="GE4" s="40" t="str">
        <f t="shared" ref="GE4:GE20" si="55">IF(SUM(FJ4:FK4,FM4:FO4,FQ4)-FL4-FP4&gt;0,SUM(FJ4:FK4,FM4:FO4,FQ4)-FL4-FP4,"")</f>
        <v/>
      </c>
      <c r="GF4" s="40" t="str">
        <f t="shared" ref="GF4:GF20" si="56">IF(SUM(FR4:FS4,FU4)-FT4&gt;0,SUM(FR4:FS4,FU4)-FT4,"")</f>
        <v/>
      </c>
      <c r="GG4" s="40" t="str">
        <f t="shared" ref="GG4:GG20" si="57">IF(SUM(FK4,FO4,FS4)&gt;0,SUM(FK4,FO4,FS4),"")</f>
        <v/>
      </c>
      <c r="GH4" s="40" t="str">
        <f t="shared" ref="GH4:GH20" si="58">IF(SUM(GE4,GF4)&gt;0,SUM(GE4,GF4),"")</f>
        <v/>
      </c>
      <c r="GI4" s="40" t="str">
        <f t="shared" ref="GI4:GI20" si="59">IF(SUM(FW4,GA4)&gt;0,SUM(FW4,GA4),"")</f>
        <v/>
      </c>
      <c r="GJ4" s="40" t="str">
        <f t="shared" ref="GJ4:GJ20" si="60">IF(SUM(FV4:FW4,FY4:GA4,GC4)-SUM(FX4,GB4)&gt;0,SUM(FV4:FW4,FY4:GA4,GC4)-SUM(FX4,GB4),"")</f>
        <v/>
      </c>
      <c r="GK4" s="40" t="str">
        <f t="shared" ref="GK4:GK20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62">IF(SUM(GM4,GQ4)&gt;0,SUM(GM4,GQ4),"")</f>
        <v/>
      </c>
      <c r="HG4" s="11" t="str">
        <f t="shared" ref="HG4:HG20" si="63">IF(SUM(GL4:GM4,GO4:GQ4,GS4)-GN4-GR4&gt;0,SUM(GL4:GM4,GO4:GQ4,GS4)-GN4-GR4,"")</f>
        <v/>
      </c>
      <c r="HH4" s="11" t="str">
        <f t="shared" ref="HH4:HH20" si="64">IF(SUM(GT4:GU4,GW4)-GV4&gt;0,SUM(GT4:GU4,GW4)-GV4,"")</f>
        <v/>
      </c>
      <c r="HI4" s="11" t="str">
        <f t="shared" ref="HI4:HI20" si="65">IF(SUM(GM4,GQ4,GU4)&gt;0,SUM(GM4,GQ4,GU4),"")</f>
        <v/>
      </c>
      <c r="HJ4" s="11" t="str">
        <f t="shared" ref="HJ4:HJ20" si="66">IF(SUM(HG4,HH4)&gt;0,SUM(HG4,HH4),"")</f>
        <v/>
      </c>
      <c r="HK4" s="11" t="str">
        <f t="shared" ref="HK4:HK20" si="67">IF(SUM(GY4,HC4)&gt;0,SUM(GY4,HC4),"")</f>
        <v/>
      </c>
      <c r="HL4" s="11" t="str">
        <f t="shared" ref="HL4:HL20" si="68">IF(SUM(GX4:GY4,HA4:HC4,HE4)-SUM(GZ4,HD4)&gt;0,SUM(GX4:GY4,HA4:HC4,HE4)-SUM(GZ4,HD4),"")</f>
        <v/>
      </c>
      <c r="HM4" s="11" t="str">
        <f t="shared" ref="HM4:HM20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70">IF(SUM(HO4,HS4)&gt;0,SUM(HO4,HS4),"")</f>
        <v/>
      </c>
      <c r="II4" s="40" t="str">
        <f t="shared" ref="II4:II20" si="71">IF(SUM(HN4:HO4,HQ4:HS4,HU4)-HP4-HT4&gt;0,SUM(HN4:HO4,HQ4:HS4,HU4)-HP4-HT4,"")</f>
        <v/>
      </c>
      <c r="IJ4" s="40" t="str">
        <f t="shared" ref="IJ4:IJ20" si="72">IF(SUM(HV4:HW4,HY4)-HX4&gt;0,SUM(HV4:HW4,HY4)-HX4,"")</f>
        <v/>
      </c>
      <c r="IK4" s="40" t="str">
        <f t="shared" ref="IK4:IK20" si="73">IF(SUM(HO4,HS4,HW4)&gt;0,SUM(HO4,HS4,HW4),"")</f>
        <v/>
      </c>
      <c r="IL4" s="40" t="str">
        <f t="shared" ref="IL4:IL20" si="74">IF(SUM(II4,IJ4)&gt;0,SUM(II4,IJ4),"")</f>
        <v/>
      </c>
      <c r="IM4" s="40" t="str">
        <f t="shared" ref="IM4:IM20" si="75">IF(SUM(IA4,IE4)&gt;0,SUM(IA4,IE4),"")</f>
        <v/>
      </c>
      <c r="IN4" s="40" t="str">
        <f t="shared" ref="IN4:IN20" si="76">IF(SUM(HZ4:IA4,IC4:IE4,IG4)-SUM(IB4,IF4)&gt;0,SUM(HZ4:IA4,IC4:IE4,IG4)-SUM(IB4,IF4),"")</f>
        <v/>
      </c>
      <c r="IO4" s="40" t="str">
        <f t="shared" ref="IO4:IO20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8">IF(SUM(IQ4,IU4)&gt;0,SUM(IQ4,IU4),"")</f>
        <v/>
      </c>
      <c r="JK4" s="11" t="str">
        <f t="shared" ref="JK4:JK20" si="79">IF(SUM(IP4:IQ4,IS4:IU4,IW4)-IR4-IV4&gt;0,SUM(IP4:IQ4,IS4:IU4,IW4)-IR4-IV4,"")</f>
        <v/>
      </c>
      <c r="JL4" s="11" t="str">
        <f t="shared" ref="JL4:JL20" si="80">IF(SUM(IX4:IY4,JA4)-IZ4&gt;0,SUM(IX4:IY4,JA4)-IZ4,"")</f>
        <v/>
      </c>
      <c r="JM4" s="11" t="str">
        <f t="shared" ref="JM4:JM20" si="81">IF(SUM(IQ4,IU4,IY4)&gt;0,SUM(IQ4,IU4,IY4),"")</f>
        <v/>
      </c>
      <c r="JN4" s="11" t="str">
        <f t="shared" ref="JN4:JN20" si="82">IF(SUM(JK4,JL4)&gt;0,SUM(JK4,JL4),"")</f>
        <v/>
      </c>
      <c r="JO4" s="11" t="str">
        <f t="shared" ref="JO4:JO20" si="83">IF(SUM(JC4,JG4)&gt;0,SUM(JC4,JG4),"")</f>
        <v/>
      </c>
      <c r="JP4" s="11" t="str">
        <f t="shared" ref="JP4:JP20" si="84">IF(SUM(JB4:JC4,JE4:JG4,JI4)-SUM(JD4,JH4)&gt;0,SUM(JB4:JC4,JE4:JG4,JI4)-SUM(JD4,JH4),"")</f>
        <v/>
      </c>
      <c r="JQ4" s="11" t="str">
        <f t="shared" ref="JQ4:JQ20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6">IF(SUM(JS4,JW4)&gt;0,SUM(JS4,JW4),"")</f>
        <v/>
      </c>
      <c r="KM4" s="40" t="str">
        <f t="shared" ref="KM4:KM20" si="87">IF(SUM(JR4:JS4,JU4:JW4,JY4)-JT4-JX4&gt;0,SUM(JR4:JS4,JU4:JW4,JY4)-JT4-JX4,"")</f>
        <v/>
      </c>
      <c r="KN4" s="40" t="str">
        <f t="shared" ref="KN4:KN20" si="88">IF(SUM(JZ4:KA4,KC4)-KB4&gt;0,SUM(JZ4:KA4,KC4)-KB4,"")</f>
        <v/>
      </c>
      <c r="KO4" s="40" t="str">
        <f t="shared" ref="KO4:KO20" si="89">IF(SUM(JS4,JW4,KA4)&gt;0,SUM(JS4,JW4,KA4),"")</f>
        <v/>
      </c>
      <c r="KP4" s="40" t="str">
        <f t="shared" ref="KP4:KP20" si="90">IF(SUM(KM4,KN4)&gt;0,SUM(KM4,KN4),"")</f>
        <v/>
      </c>
      <c r="KQ4" s="40" t="str">
        <f t="shared" ref="KQ4:KQ20" si="91">IF(SUM(KE4,KI4)&gt;0,SUM(KE4,KI4),"")</f>
        <v/>
      </c>
      <c r="KR4" s="40" t="str">
        <f t="shared" ref="KR4:KR20" si="92">IF(SUM(KD4:KE4,KG4:KI4,KK4)-SUM(KF4,KJ4)&gt;0,SUM(KD4:KE4,KG4:KI4,KK4)-SUM(KF4,KJ4),"")</f>
        <v/>
      </c>
      <c r="KS4" s="40" t="str">
        <f t="shared" ref="KS4:KS20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4">IF(SUM(KU4,KY4)&gt;0,SUM(KU4,KY4),"")</f>
        <v/>
      </c>
      <c r="LO4" s="11" t="str">
        <f t="shared" ref="LO4:LO20" si="95">IF(SUM(KT4:KU4,KW4:KY4,LA4)-KV4-KZ4&gt;0,SUM(KT4:KU4,KW4:KY4,LA4)-KV4-KZ4,"")</f>
        <v/>
      </c>
      <c r="LP4" s="11" t="str">
        <f t="shared" ref="LP4:LP20" si="96">IF(SUM(LB4:LC4,LE4)-LD4&gt;0,SUM(LB4:LC4,LE4)-LD4,"")</f>
        <v/>
      </c>
      <c r="LQ4" s="11" t="str">
        <f t="shared" ref="LQ4:LQ20" si="97">IF(SUM(KU4,KY4,LC4)&gt;0,SUM(KU4,KY4,LC4),"")</f>
        <v/>
      </c>
      <c r="LR4" s="11" t="str">
        <f t="shared" ref="LR4:LR20" si="98">IF(SUM(LO4,LP4)&gt;0,SUM(LO4,LP4),"")</f>
        <v/>
      </c>
      <c r="LS4" s="11" t="str">
        <f t="shared" ref="LS4:LS20" si="99">IF(SUM(LG4,LK4)&gt;0,SUM(LG4,LK4),"")</f>
        <v/>
      </c>
      <c r="LT4" s="11" t="str">
        <f t="shared" ref="LT4:LT20" si="100">IF(SUM(LF4:LG4,LI4:LK4,LM4)-SUM(LH4,LL4)&gt;0,SUM(LF4:LG4,LI4:LK4,LM4)-SUM(LH4,LL4),"")</f>
        <v/>
      </c>
      <c r="LU4" s="11" t="str">
        <f t="shared" ref="LU4:LU20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102">IF(SUM(LW4,MA4)&gt;0,SUM(LW4,MA4),"")</f>
        <v/>
      </c>
      <c r="MQ4" s="40" t="str">
        <f t="shared" ref="MQ4:MQ20" si="103">IF(SUM(LV4:LW4,LY4:MA4,MC4)-LX4-MB4&gt;0,SUM(LV4:LW4,LY4:MA4,MC4)-LX4-MB4,"")</f>
        <v/>
      </c>
      <c r="MR4" s="40" t="str">
        <f t="shared" ref="MR4:MR20" si="104">IF(SUM(MD4:ME4,MG4)-MF4&gt;0,SUM(MD4:ME4,MG4)-MF4,"")</f>
        <v/>
      </c>
      <c r="MS4" s="40" t="str">
        <f t="shared" ref="MS4:MS20" si="105">IF(SUM(LW4,MA4,ME4)&gt;0,SUM(LW4,MA4,ME4),"")</f>
        <v/>
      </c>
      <c r="MT4" s="40" t="str">
        <f t="shared" ref="MT4:MT20" si="106">IF(SUM(MQ4,MR4)&gt;0,SUM(MQ4,MR4),"")</f>
        <v/>
      </c>
      <c r="MU4" s="40" t="str">
        <f t="shared" ref="MU4:MU20" si="107">IF(SUM(MI4,MM4)&gt;0,SUM(MI4,MM4),"")</f>
        <v/>
      </c>
      <c r="MV4" s="40" t="str">
        <f t="shared" ref="MV4:MV20" si="108">IF(SUM(MH4:MI4,MK4:MM4,MO4)-SUM(MJ4,MN4)&gt;0,SUM(MH4:MI4,MK4:MM4,MO4)-SUM(MJ4,MN4),"")</f>
        <v/>
      </c>
      <c r="MW4" s="40" t="str">
        <f t="shared" ref="MW4:MW20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10">IF(SUM(MY4,NC4)&gt;0,SUM(MY4,NC4),"")</f>
        <v/>
      </c>
      <c r="NS4" s="11" t="str">
        <f t="shared" ref="NS4:NS20" si="111">IF(SUM(MX4:MY4,NA4:NC4,NE4)-MZ4-ND4&gt;0,SUM(MX4:MY4,NA4:NC4,NE4)-MZ4-ND4,"")</f>
        <v/>
      </c>
      <c r="NT4" s="11" t="str">
        <f t="shared" ref="NT4:NT20" si="112">IF(SUM(NF4:NG4,NI4)-NH4&gt;0,SUM(NF4:NG4,NI4)-NH4,"")</f>
        <v/>
      </c>
      <c r="NU4" s="11" t="str">
        <f t="shared" ref="NU4:NU20" si="113">IF(SUM(MY4,NC4,NG4)&gt;0,SUM(MY4,NC4,NG4),"")</f>
        <v/>
      </c>
      <c r="NV4" s="11" t="str">
        <f t="shared" ref="NV4:NV20" si="114">IF(SUM(NS4,NT4)&gt;0,SUM(NS4,NT4),"")</f>
        <v/>
      </c>
      <c r="NW4" s="11" t="str">
        <f t="shared" ref="NW4:NW20" si="115">IF(SUM(NK4,NO4)&gt;0,SUM(NK4,NO4),"")</f>
        <v/>
      </c>
      <c r="NX4" s="11" t="str">
        <f t="shared" ref="NX4:NX20" si="116">IF(SUM(NJ4:NK4,NM4:NO4,NQ4)-SUM(NL4,NP4)&gt;0,SUM(NJ4:NK4,NM4:NO4,NQ4)-SUM(NL4,NP4),"")</f>
        <v/>
      </c>
      <c r="NY4" s="11" t="str">
        <f t="shared" ref="NY4:NY20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8">IF(SUM(OA4,OE4)&gt;0,SUM(OA4,OE4),"")</f>
        <v/>
      </c>
      <c r="OU4" s="40" t="str">
        <f t="shared" ref="OU4:OU20" si="119">IF(SUM(NZ4:OA4,OC4:OE4,OG4)-OB4-OF4&gt;0,SUM(NZ4:OA4,OC4:OE4,OG4)-OB4-OF4,"")</f>
        <v/>
      </c>
      <c r="OV4" s="40" t="str">
        <f t="shared" ref="OV4:OV20" si="120">IF(SUM(OH4:OI4,OK4)-OJ4&gt;0,SUM(OH4:OI4,OK4)-OJ4,"")</f>
        <v/>
      </c>
      <c r="OW4" s="40" t="str">
        <f t="shared" ref="OW4:OW20" si="121">IF(SUM(OA4,OE4,OI4)&gt;0,SUM(OA4,OE4,OI4),"")</f>
        <v/>
      </c>
      <c r="OX4" s="40" t="str">
        <f t="shared" ref="OX4:OX20" si="122">IF(SUM(OU4,OV4)&gt;0,SUM(OU4,OV4),"")</f>
        <v/>
      </c>
      <c r="OY4" s="40" t="str">
        <f t="shared" ref="OY4:OY20" si="123">IF(SUM(OM4,OQ4)&gt;0,SUM(OM4,OQ4),"")</f>
        <v/>
      </c>
      <c r="OZ4" s="40" t="str">
        <f t="shared" ref="OZ4:OZ20" si="124">IF(SUM(OL4:OM4,OO4:OQ4,OS4)-SUM(ON4,OR4)&gt;0,SUM(OL4:OM4,OO4:OQ4,OS4)-SUM(ON4,OR4),"")</f>
        <v/>
      </c>
      <c r="PA4" s="40" t="str">
        <f t="shared" ref="PA4:PA20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6">IF(SUM(PC4,PG4)&gt;0,SUM(PC4,PG4),"")</f>
        <v/>
      </c>
      <c r="PW4" s="11" t="str">
        <f t="shared" ref="PW4:PW20" si="127">IF(SUM(PB4:PC4,PE4:PG4,PI4)-PD4-PH4&gt;0,SUM(PB4:PC4,PE4:PG4,PI4)-PD4-PH4,"")</f>
        <v/>
      </c>
      <c r="PX4" s="11" t="str">
        <f t="shared" ref="PX4:PX20" si="128">IF(SUM(PJ4:PK4,PM4)-PL4&gt;0,SUM(PJ4:PK4,PM4)-PL4,"")</f>
        <v/>
      </c>
      <c r="PY4" s="11" t="str">
        <f t="shared" ref="PY4:PY20" si="129">IF(SUM(PC4,PG4,PK4)&gt;0,SUM(PC4,PG4,PK4),"")</f>
        <v/>
      </c>
      <c r="PZ4" s="11" t="str">
        <f t="shared" ref="PZ4:PZ20" si="130">IF(SUM(PW4,PX4)&gt;0,SUM(PW4,PX4),"")</f>
        <v/>
      </c>
      <c r="QA4" s="11" t="str">
        <f t="shared" ref="QA4:QA20" si="131">IF(SUM(PO4,PS4)&gt;0,SUM(PO4,PS4),"")</f>
        <v/>
      </c>
      <c r="QB4" s="11" t="str">
        <f t="shared" ref="QB4:QB20" si="132">IF(SUM(PN4:PO4,PQ4:PS4,PU4)-SUM(PP4,PT4)&gt;0,SUM(PN4:PO4,PQ4:PS4,PU4)-SUM(PP4,PT4),"")</f>
        <v/>
      </c>
      <c r="QC4" s="11" t="str">
        <f t="shared" ref="QC4:QC20" si="133">IF(SUM(PW4,PX4,QB4)&gt;0,SUM(PW4,PX4,QB4),"")</f>
        <v/>
      </c>
      <c r="QD4" s="22">
        <f t="shared" ref="QD4:QD20" si="134">IF($CU4="P",CA4,(CA4+AX4)/2)</f>
        <v>18.399999999999999</v>
      </c>
      <c r="QE4" s="22">
        <f t="shared" ref="QE4:QE20" si="135">IF($CU4="P",CB4,(CB4+AY4)/2)</f>
        <v>7.9</v>
      </c>
      <c r="QF4" s="22">
        <f t="shared" ref="QF4:QF20" si="136">IF($CU4="P",CC4,(CC4+AZ4)/2)</f>
        <v>0.1</v>
      </c>
      <c r="QG4" s="22">
        <f t="shared" ref="QG4:QG20" si="137">IF($CU4="P",CD4,(CD4+BA4)/2)</f>
        <v>0</v>
      </c>
      <c r="QH4" s="22">
        <f t="shared" ref="QH4:QH20" si="138">IF($CU4="P",CE4,(CE4+BB4)/2)</f>
        <v>18.2</v>
      </c>
      <c r="QI4" s="22">
        <f t="shared" ref="QI4:QI20" si="139">IF($CU4="P",CF4,(CF4+BC4)/2)</f>
        <v>7.55</v>
      </c>
      <c r="QJ4" s="22">
        <f t="shared" ref="QJ4:QJ20" si="140">IF($CU4="P",CG4,(CG4+BD4)/2)</f>
        <v>0</v>
      </c>
      <c r="QK4" s="22">
        <f t="shared" ref="QK4:QK20" si="141">IF($CU4="P",CH4,(CH4+BE4)/2)</f>
        <v>0</v>
      </c>
      <c r="QL4" s="22">
        <f t="shared" ref="QL4:QL20" si="142">IF($CU4="P",CI4,(CI4+BF4)/2)</f>
        <v>0</v>
      </c>
      <c r="QM4" s="22">
        <f t="shared" ref="QM4:QM20" si="143">IF($CU4="P",CJ4,(CJ4+BG4)/2)</f>
        <v>0</v>
      </c>
      <c r="QN4" s="22">
        <f t="shared" ref="QN4:QN20" si="144">IF($CU4="P",CK4,(CK4+BH4)/2)</f>
        <v>0</v>
      </c>
      <c r="QO4" s="22">
        <f t="shared" ref="QO4:QO20" si="145">IF($CU4="P",CL4,(CL4+BI4)/2)</f>
        <v>0</v>
      </c>
      <c r="QP4" s="22">
        <f t="shared" ref="QP4:QP20" si="146">IF($CU4="P",CM4,(CM4+BJ4)/2)</f>
        <v>18.700000000000003</v>
      </c>
      <c r="QQ4" s="22">
        <f t="shared" ref="QQ4:QQ20" si="147">IF($CU4="P",CN4,(CN4+BK4)/2)</f>
        <v>8.65</v>
      </c>
      <c r="QR4" s="22">
        <f t="shared" ref="QR4:QR20" si="148">IF($CU4="P",CO4,(CO4+BL4)/2)</f>
        <v>0.1</v>
      </c>
      <c r="QS4" s="22">
        <f t="shared" ref="QS4:QS20" si="149">IF($CU4="P",CP4,(CP4+BM4)/2)</f>
        <v>0</v>
      </c>
      <c r="QT4" s="22">
        <f t="shared" ref="QT4:QT20" si="150">IF($CU4="P",CQ4,(CQ4+BN4)/2)</f>
        <v>18.399999999999999</v>
      </c>
      <c r="QU4" s="22">
        <f t="shared" ref="QU4:QU20" si="151">IF($CU4="P",CR4,(CR4+BO4)/2)</f>
        <v>9.0500000000000007</v>
      </c>
      <c r="QV4" s="22">
        <f t="shared" ref="QV4:QV20" si="152">IF($CU4="P",CS4,(CS4+BP4)/2)</f>
        <v>0</v>
      </c>
      <c r="QW4" s="22">
        <f t="shared" ref="QW4:QW20" si="153">IF($CU4="P",CT4,(CT4+BQ4)/2)</f>
        <v>0</v>
      </c>
      <c r="QX4" s="27" t="s">
        <v>46</v>
      </c>
      <c r="QY4" s="40">
        <f t="shared" ref="QY4:QY20" si="154">IF(SUM(QE4,QI4)&gt;0,SUM(QE4,QI4),"")</f>
        <v>15.45</v>
      </c>
      <c r="QZ4" s="40">
        <f t="shared" ref="QZ4:QZ20" si="155">IF(SUM(QD4:QE4,QG4:QI4,QK4)-QF4-QJ4&gt;0,SUM(QD4:QE4,QG4:QI4,QK4)-QF4-QJ4,"")</f>
        <v>51.949999999999996</v>
      </c>
      <c r="RA4" s="40" t="str">
        <f t="shared" ref="RA4:RA20" si="156">IF(SUM(QL4:QM4,QO4)-QN4&gt;0,SUM(QL4:QM4,QO4)-QN4,"")</f>
        <v/>
      </c>
      <c r="RB4" s="40">
        <f t="shared" ref="RB4:RB20" si="157">IF(SUM(QE4,QI4,QM4)&gt;0,SUM(QE4,QI4,QM4),"")</f>
        <v>15.45</v>
      </c>
      <c r="RC4" s="40">
        <f t="shared" ref="RC4:RC20" si="158">IF(SUM(QZ4,RA4)&gt;0,SUM(QZ4,RA4),"")</f>
        <v>51.949999999999996</v>
      </c>
      <c r="RD4" s="40">
        <f t="shared" ref="RD4:RD20" si="159">IF(SUM(QQ4,QU4)&gt;0,SUM(QQ4,QU4),"")</f>
        <v>17.700000000000003</v>
      </c>
      <c r="RE4" s="40">
        <f t="shared" ref="RE4:RE20" si="160">IF(SUM(QP4:QQ4,QS4:QU4,QW4)-SUM(QR4,QV4)&gt;0,SUM(QP4:QQ4,QS4:QU4,QW4)-SUM(QR4,QV4),"")</f>
        <v>54.699999999999996</v>
      </c>
      <c r="RF4" s="40">
        <f t="shared" ref="RF4:RF20" si="161">IF(SUM(QZ4,RA4,RE4)&gt;0,SUM(QZ4,RA4,RE4),"")</f>
        <v>106.64999999999999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116</v>
      </c>
      <c r="D5" s="4" t="s">
        <v>6</v>
      </c>
      <c r="E5" s="4">
        <v>2006</v>
      </c>
      <c r="F5" s="9">
        <f t="shared" si="0"/>
        <v>157.90001035000518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51.900000000000006</v>
      </c>
      <c r="M5" s="8" t="str">
        <f t="shared" si="5"/>
        <v>2024 3rd Domestic Trial</v>
      </c>
      <c r="N5" s="8">
        <f>IF(COUNT(AQ5,BT5,CW5)&gt;1,LARGE((AQ5,BT5,CW5),2),0)</f>
        <v>51.6</v>
      </c>
      <c r="O5" s="8" t="str">
        <f t="shared" si="6"/>
        <v>2025 Nationals</v>
      </c>
      <c r="P5" s="8">
        <f t="shared" si="7"/>
        <v>53.5</v>
      </c>
      <c r="Q5" s="8" t="str">
        <f t="shared" si="8"/>
        <v>2025 Elite Canada</v>
      </c>
      <c r="R5" s="8">
        <f t="shared" si="9"/>
        <v>0.89999999999999147</v>
      </c>
      <c r="S5" s="11" t="str">
        <f t="shared" si="10"/>
        <v>(Q1)</v>
      </c>
      <c r="T5" s="8" t="str">
        <f t="shared" si="11"/>
        <v>2025 World Cup POR (July 6)</v>
      </c>
      <c r="U5" s="19">
        <v>18.100000000000001</v>
      </c>
      <c r="V5" s="19">
        <v>7.5</v>
      </c>
      <c r="W5" s="19">
        <v>0</v>
      </c>
      <c r="X5" s="19">
        <v>0</v>
      </c>
      <c r="Y5" s="19">
        <v>18.8</v>
      </c>
      <c r="Z5" s="19">
        <v>7.5</v>
      </c>
      <c r="AA5" s="19">
        <v>0</v>
      </c>
      <c r="AB5" s="19">
        <v>0</v>
      </c>
      <c r="AC5" s="19">
        <v>18.3</v>
      </c>
      <c r="AD5" s="19">
        <v>7.3</v>
      </c>
      <c r="AE5" s="19">
        <v>0</v>
      </c>
      <c r="AF5" s="19">
        <v>0</v>
      </c>
      <c r="AG5" s="19">
        <v>18.3</v>
      </c>
      <c r="AH5" s="19">
        <v>7.5</v>
      </c>
      <c r="AI5" s="19">
        <v>0.2</v>
      </c>
      <c r="AJ5" s="19">
        <v>0</v>
      </c>
      <c r="AK5" s="19">
        <v>18.3</v>
      </c>
      <c r="AL5" s="19">
        <v>6.9</v>
      </c>
      <c r="AM5" s="19">
        <v>0</v>
      </c>
      <c r="AN5" s="19">
        <v>0</v>
      </c>
      <c r="AO5" s="27"/>
      <c r="AP5" s="40">
        <f t="shared" si="12"/>
        <v>15</v>
      </c>
      <c r="AQ5" s="40">
        <f t="shared" si="13"/>
        <v>51.900000000000006</v>
      </c>
      <c r="AR5" s="40">
        <f t="shared" si="14"/>
        <v>25.6</v>
      </c>
      <c r="AS5" s="40">
        <f t="shared" si="15"/>
        <v>22.3</v>
      </c>
      <c r="AT5" s="40">
        <f t="shared" si="16"/>
        <v>77.5</v>
      </c>
      <c r="AU5" s="40">
        <f t="shared" si="17"/>
        <v>14.4</v>
      </c>
      <c r="AV5" s="40">
        <f t="shared" si="18"/>
        <v>50.8</v>
      </c>
      <c r="AW5" s="40">
        <f t="shared" si="19"/>
        <v>128.30000000000001</v>
      </c>
      <c r="AX5" s="18">
        <v>17.3</v>
      </c>
      <c r="AY5" s="18">
        <v>6.7</v>
      </c>
      <c r="AZ5" s="18">
        <v>0</v>
      </c>
      <c r="BA5" s="18">
        <v>0</v>
      </c>
      <c r="BB5" s="18">
        <v>18.7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18.3</v>
      </c>
      <c r="BK5" s="18">
        <v>8.3000000000000007</v>
      </c>
      <c r="BL5" s="18">
        <v>0</v>
      </c>
      <c r="BM5" s="18">
        <v>0</v>
      </c>
      <c r="BN5" s="18">
        <v>19</v>
      </c>
      <c r="BO5" s="18">
        <v>7.9</v>
      </c>
      <c r="BP5" s="18">
        <v>0</v>
      </c>
      <c r="BQ5" s="18">
        <v>0</v>
      </c>
      <c r="BR5" s="28"/>
      <c r="BS5" s="11">
        <f t="shared" si="20"/>
        <v>14.600000000000001</v>
      </c>
      <c r="BT5" s="11">
        <f t="shared" si="21"/>
        <v>50.6</v>
      </c>
      <c r="BU5" s="11" t="str">
        <f t="shared" si="22"/>
        <v/>
      </c>
      <c r="BV5" s="11">
        <f t="shared" si="23"/>
        <v>14.600000000000001</v>
      </c>
      <c r="BW5" s="11">
        <f t="shared" si="24"/>
        <v>50.6</v>
      </c>
      <c r="BX5" s="11">
        <f t="shared" si="25"/>
        <v>16.200000000000003</v>
      </c>
      <c r="BY5" s="11">
        <f t="shared" si="26"/>
        <v>53.5</v>
      </c>
      <c r="BZ5" s="11">
        <f t="shared" si="27"/>
        <v>104.1</v>
      </c>
      <c r="CA5" s="19">
        <v>18.399999999999999</v>
      </c>
      <c r="CB5" s="19">
        <v>6.5</v>
      </c>
      <c r="CC5" s="19">
        <v>0</v>
      </c>
      <c r="CD5" s="19">
        <v>0</v>
      </c>
      <c r="CE5" s="19">
        <v>18.8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16.600000000000001</v>
      </c>
      <c r="CN5" s="19">
        <v>4.5</v>
      </c>
      <c r="CO5" s="19">
        <v>0</v>
      </c>
      <c r="CP5" s="19">
        <v>0</v>
      </c>
      <c r="CQ5" s="19">
        <v>17.2</v>
      </c>
      <c r="CR5" s="19">
        <v>8.3000000000000007</v>
      </c>
      <c r="CS5" s="19">
        <v>0</v>
      </c>
      <c r="CT5" s="19">
        <v>0</v>
      </c>
      <c r="CU5" s="27"/>
      <c r="CV5" s="40">
        <f t="shared" si="28"/>
        <v>14.4</v>
      </c>
      <c r="CW5" s="40">
        <f t="shared" si="29"/>
        <v>51.6</v>
      </c>
      <c r="CX5" s="40" t="str">
        <f t="shared" si="30"/>
        <v/>
      </c>
      <c r="CY5" s="40">
        <f t="shared" si="31"/>
        <v>14.4</v>
      </c>
      <c r="CZ5" s="40">
        <f t="shared" si="32"/>
        <v>51.6</v>
      </c>
      <c r="DA5" s="40">
        <f t="shared" si="33"/>
        <v>12.8</v>
      </c>
      <c r="DB5" s="40">
        <f t="shared" si="34"/>
        <v>46.599999999999994</v>
      </c>
      <c r="DC5" s="40">
        <f t="shared" si="35"/>
        <v>98.199999999999989</v>
      </c>
      <c r="DD5" s="50">
        <f t="shared" si="36"/>
        <v>0.89999999999999147</v>
      </c>
      <c r="DE5" s="50" t="str">
        <f t="shared" si="37"/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 t="shared" si="38"/>
        <v>16.200000000000003</v>
      </c>
      <c r="EA5" s="40">
        <f t="shared" si="39"/>
        <v>52.499999999999993</v>
      </c>
      <c r="EB5" s="40">
        <f t="shared" si="40"/>
        <v>21.1</v>
      </c>
      <c r="EC5" s="40">
        <f t="shared" si="41"/>
        <v>20.700000000000003</v>
      </c>
      <c r="ED5" s="40">
        <f t="shared" si="42"/>
        <v>73.599999999999994</v>
      </c>
      <c r="EE5" s="40" t="str">
        <f t="shared" si="43"/>
        <v/>
      </c>
      <c r="EF5" s="40" t="str">
        <f t="shared" si="44"/>
        <v/>
      </c>
      <c r="EG5" s="40">
        <f t="shared" si="45"/>
        <v>73.599999999999994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17.850000000000001</v>
      </c>
      <c r="QE5" s="22">
        <f t="shared" si="135"/>
        <v>6.6</v>
      </c>
      <c r="QF5" s="22">
        <f t="shared" si="136"/>
        <v>0</v>
      </c>
      <c r="QG5" s="22">
        <f t="shared" si="137"/>
        <v>0</v>
      </c>
      <c r="QH5" s="22">
        <f t="shared" si="138"/>
        <v>18.75</v>
      </c>
      <c r="QI5" s="22">
        <f t="shared" si="139"/>
        <v>7.9</v>
      </c>
      <c r="QJ5" s="22">
        <f t="shared" si="140"/>
        <v>0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17.450000000000003</v>
      </c>
      <c r="QQ5" s="22">
        <f t="shared" si="147"/>
        <v>6.4</v>
      </c>
      <c r="QR5" s="22">
        <f t="shared" si="148"/>
        <v>0</v>
      </c>
      <c r="QS5" s="22">
        <f t="shared" si="149"/>
        <v>0</v>
      </c>
      <c r="QT5" s="22">
        <f t="shared" si="150"/>
        <v>18.100000000000001</v>
      </c>
      <c r="QU5" s="22">
        <f t="shared" si="151"/>
        <v>8.1000000000000014</v>
      </c>
      <c r="QV5" s="22">
        <f t="shared" si="152"/>
        <v>0</v>
      </c>
      <c r="QW5" s="22">
        <f t="shared" si="153"/>
        <v>0</v>
      </c>
      <c r="QX5" s="27" t="s">
        <v>46</v>
      </c>
      <c r="QY5" s="40">
        <f t="shared" si="154"/>
        <v>14.5</v>
      </c>
      <c r="QZ5" s="40">
        <f t="shared" si="155"/>
        <v>51.1</v>
      </c>
      <c r="RA5" s="40" t="str">
        <f t="shared" si="156"/>
        <v/>
      </c>
      <c r="RB5" s="40">
        <f t="shared" si="157"/>
        <v>14.5</v>
      </c>
      <c r="RC5" s="40">
        <f t="shared" si="158"/>
        <v>51.1</v>
      </c>
      <c r="RD5" s="40">
        <f t="shared" si="159"/>
        <v>14.500000000000002</v>
      </c>
      <c r="RE5" s="40">
        <f t="shared" si="160"/>
        <v>50.050000000000004</v>
      </c>
      <c r="RF5" s="40">
        <f t="shared" si="161"/>
        <v>101.15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 t="shared" si="0"/>
        <v>143.00000956000483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48.3</v>
      </c>
      <c r="M6" s="8" t="str">
        <f t="shared" si="5"/>
        <v>2025 Elite Canada</v>
      </c>
      <c r="N6" s="8">
        <f>IF(COUNT(AQ6,BT6,CW6)&gt;1,LARGE((AQ6,BT6,CW6),2),0)</f>
        <v>47.3</v>
      </c>
      <c r="O6" s="8" t="str">
        <f t="shared" si="6"/>
        <v>2024 3rd Domestic Trial</v>
      </c>
      <c r="P6" s="8">
        <f t="shared" si="7"/>
        <v>46.800000000000004</v>
      </c>
      <c r="Q6" s="8" t="str">
        <f t="shared" si="8"/>
        <v>2025 Nationals</v>
      </c>
      <c r="R6" s="8">
        <f t="shared" si="9"/>
        <v>0.59999999999999432</v>
      </c>
      <c r="S6" s="11" t="str">
        <f t="shared" si="10"/>
        <v>(Q1)</v>
      </c>
      <c r="T6" s="8" t="str">
        <f t="shared" si="11"/>
        <v>2025 World Cup POR (July 6)</v>
      </c>
      <c r="U6" s="19">
        <v>17.5</v>
      </c>
      <c r="V6" s="19">
        <v>6.3</v>
      </c>
      <c r="W6" s="19">
        <v>0</v>
      </c>
      <c r="X6" s="19">
        <v>0.3</v>
      </c>
      <c r="Y6" s="19">
        <v>17.600000000000001</v>
      </c>
      <c r="Z6" s="19">
        <v>5.3</v>
      </c>
      <c r="AA6" s="19">
        <v>0</v>
      </c>
      <c r="AB6" s="19">
        <v>0.3</v>
      </c>
      <c r="AC6" s="19">
        <v>17.3</v>
      </c>
      <c r="AD6" s="19">
        <v>6.3</v>
      </c>
      <c r="AE6" s="19">
        <v>0</v>
      </c>
      <c r="AF6" s="19">
        <v>0.3</v>
      </c>
      <c r="AG6" s="19">
        <v>15.2</v>
      </c>
      <c r="AH6" s="19">
        <v>3.1</v>
      </c>
      <c r="AI6" s="19">
        <v>0.3</v>
      </c>
      <c r="AJ6" s="19">
        <v>0.3</v>
      </c>
      <c r="AK6" s="19">
        <v>17</v>
      </c>
      <c r="AL6" s="19">
        <v>6.1</v>
      </c>
      <c r="AM6" s="19">
        <v>0</v>
      </c>
      <c r="AN6" s="19">
        <v>0.3</v>
      </c>
      <c r="AO6" s="27"/>
      <c r="AP6" s="40">
        <f t="shared" si="12"/>
        <v>11.6</v>
      </c>
      <c r="AQ6" s="40">
        <f t="shared" si="13"/>
        <v>47.3</v>
      </c>
      <c r="AR6" s="40">
        <f t="shared" si="14"/>
        <v>23.900000000000002</v>
      </c>
      <c r="AS6" s="40">
        <f t="shared" si="15"/>
        <v>17.899999999999999</v>
      </c>
      <c r="AT6" s="40">
        <f t="shared" si="16"/>
        <v>71.2</v>
      </c>
      <c r="AU6" s="40">
        <f t="shared" si="17"/>
        <v>9.1999999999999993</v>
      </c>
      <c r="AV6" s="40">
        <f t="shared" si="18"/>
        <v>41.7</v>
      </c>
      <c r="AW6" s="40">
        <f t="shared" si="19"/>
        <v>112.9</v>
      </c>
      <c r="AX6" s="18">
        <v>18.3</v>
      </c>
      <c r="AY6" s="18">
        <v>6.5</v>
      </c>
      <c r="AZ6" s="18">
        <v>0</v>
      </c>
      <c r="BA6" s="18">
        <v>0</v>
      </c>
      <c r="BB6" s="18">
        <v>18</v>
      </c>
      <c r="BC6" s="18">
        <v>5.5</v>
      </c>
      <c r="BD6" s="18">
        <v>0</v>
      </c>
      <c r="BE6" s="18">
        <v>0</v>
      </c>
      <c r="BF6" s="18"/>
      <c r="BG6" s="18"/>
      <c r="BH6" s="18"/>
      <c r="BI6" s="18"/>
      <c r="BJ6" s="18">
        <v>16.600000000000001</v>
      </c>
      <c r="BK6" s="18">
        <v>3.3</v>
      </c>
      <c r="BL6" s="18">
        <v>0</v>
      </c>
      <c r="BM6" s="18">
        <v>0</v>
      </c>
      <c r="BN6" s="18">
        <v>14.9</v>
      </c>
      <c r="BO6" s="18">
        <v>6.1</v>
      </c>
      <c r="BP6" s="18">
        <v>0.2</v>
      </c>
      <c r="BQ6" s="18">
        <v>0</v>
      </c>
      <c r="BR6" s="28"/>
      <c r="BS6" s="11">
        <f t="shared" si="20"/>
        <v>12</v>
      </c>
      <c r="BT6" s="11">
        <f t="shared" si="21"/>
        <v>48.3</v>
      </c>
      <c r="BU6" s="11" t="str">
        <f t="shared" si="22"/>
        <v/>
      </c>
      <c r="BV6" s="11">
        <f t="shared" si="23"/>
        <v>12</v>
      </c>
      <c r="BW6" s="11">
        <f t="shared" si="24"/>
        <v>48.3</v>
      </c>
      <c r="BX6" s="11">
        <f t="shared" si="25"/>
        <v>9.3999999999999986</v>
      </c>
      <c r="BY6" s="11">
        <f t="shared" si="26"/>
        <v>40.700000000000003</v>
      </c>
      <c r="BZ6" s="11">
        <f t="shared" si="27"/>
        <v>89</v>
      </c>
      <c r="CA6" s="19">
        <v>13.7</v>
      </c>
      <c r="CB6" s="19">
        <v>5.0999999999999996</v>
      </c>
      <c r="CC6" s="19">
        <v>2.4</v>
      </c>
      <c r="CD6" s="19">
        <v>0</v>
      </c>
      <c r="CE6" s="19">
        <v>15.1</v>
      </c>
      <c r="CF6" s="19">
        <v>6.5</v>
      </c>
      <c r="CG6" s="19">
        <v>0.2</v>
      </c>
      <c r="CH6" s="19">
        <v>0</v>
      </c>
      <c r="CI6" s="19"/>
      <c r="CJ6" s="19"/>
      <c r="CK6" s="19"/>
      <c r="CL6" s="19"/>
      <c r="CM6" s="19">
        <v>18.3</v>
      </c>
      <c r="CN6" s="19">
        <v>6.5</v>
      </c>
      <c r="CO6" s="19">
        <v>0</v>
      </c>
      <c r="CP6" s="19">
        <v>0</v>
      </c>
      <c r="CQ6" s="19">
        <v>16.899999999999999</v>
      </c>
      <c r="CR6" s="19">
        <v>5.0999999999999996</v>
      </c>
      <c r="CS6" s="19">
        <v>0</v>
      </c>
      <c r="CT6" s="19">
        <v>0</v>
      </c>
      <c r="CU6" s="27"/>
      <c r="CV6" s="40">
        <f t="shared" si="28"/>
        <v>11.6</v>
      </c>
      <c r="CW6" s="40">
        <f t="shared" si="29"/>
        <v>37.799999999999997</v>
      </c>
      <c r="CX6" s="40" t="str">
        <f t="shared" si="30"/>
        <v/>
      </c>
      <c r="CY6" s="40">
        <f t="shared" si="31"/>
        <v>11.6</v>
      </c>
      <c r="CZ6" s="40">
        <f t="shared" si="32"/>
        <v>37.799999999999997</v>
      </c>
      <c r="DA6" s="40">
        <f t="shared" si="33"/>
        <v>11.6</v>
      </c>
      <c r="DB6" s="40">
        <f t="shared" si="34"/>
        <v>46.800000000000004</v>
      </c>
      <c r="DC6" s="40">
        <f t="shared" si="35"/>
        <v>84.6</v>
      </c>
      <c r="DD6" s="50">
        <f t="shared" si="36"/>
        <v>0.59999999999999432</v>
      </c>
      <c r="DE6" s="50" t="str">
        <f t="shared" si="37"/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 t="shared" si="38"/>
        <v>13.2</v>
      </c>
      <c r="EA6" s="40">
        <f t="shared" si="39"/>
        <v>47.899999999999991</v>
      </c>
      <c r="EB6" s="40" t="str">
        <f t="shared" si="40"/>
        <v/>
      </c>
      <c r="EC6" s="40">
        <f t="shared" si="41"/>
        <v>13.2</v>
      </c>
      <c r="ED6" s="40">
        <f t="shared" si="42"/>
        <v>47.899999999999991</v>
      </c>
      <c r="EE6" s="40" t="str">
        <f t="shared" si="43"/>
        <v/>
      </c>
      <c r="EF6" s="40" t="str">
        <f t="shared" si="44"/>
        <v/>
      </c>
      <c r="EG6" s="40">
        <f t="shared" si="45"/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5.8</v>
      </c>
      <c r="QF6" s="22">
        <f t="shared" si="136"/>
        <v>1.2</v>
      </c>
      <c r="QG6" s="22">
        <f t="shared" si="137"/>
        <v>0</v>
      </c>
      <c r="QH6" s="22">
        <f t="shared" si="138"/>
        <v>16.55</v>
      </c>
      <c r="QI6" s="22">
        <f t="shared" si="139"/>
        <v>6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17.450000000000003</v>
      </c>
      <c r="QQ6" s="22">
        <f t="shared" si="147"/>
        <v>4.9000000000000004</v>
      </c>
      <c r="QR6" s="22">
        <f t="shared" si="148"/>
        <v>0</v>
      </c>
      <c r="QS6" s="22">
        <f t="shared" si="149"/>
        <v>0</v>
      </c>
      <c r="QT6" s="22">
        <f t="shared" si="150"/>
        <v>15.899999999999999</v>
      </c>
      <c r="QU6" s="22">
        <f t="shared" si="151"/>
        <v>5.6</v>
      </c>
      <c r="QV6" s="22">
        <f t="shared" si="152"/>
        <v>0.1</v>
      </c>
      <c r="QW6" s="22">
        <f t="shared" si="153"/>
        <v>0</v>
      </c>
      <c r="QX6" s="27" t="s">
        <v>46</v>
      </c>
      <c r="QY6" s="40">
        <f t="shared" si="154"/>
        <v>11.8</v>
      </c>
      <c r="QZ6" s="40">
        <f t="shared" si="155"/>
        <v>43.05</v>
      </c>
      <c r="RA6" s="40" t="str">
        <f t="shared" si="156"/>
        <v/>
      </c>
      <c r="RB6" s="40">
        <f t="shared" si="157"/>
        <v>11.8</v>
      </c>
      <c r="RC6" s="40">
        <f t="shared" si="158"/>
        <v>43.05</v>
      </c>
      <c r="RD6" s="40">
        <f t="shared" si="159"/>
        <v>10.5</v>
      </c>
      <c r="RE6" s="40">
        <f t="shared" si="160"/>
        <v>43.75</v>
      </c>
      <c r="RF6" s="40">
        <f t="shared" si="161"/>
        <v>86.8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 t="shared" si="0"/>
        <v>136.00000890000464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46.4</v>
      </c>
      <c r="M7" s="8" t="str">
        <f t="shared" si="5"/>
        <v>2025 Elite Canada</v>
      </c>
      <c r="N7" s="8">
        <f>IF(COUNT(AQ7,BT7,CW7)&gt;1,LARGE((AQ7,BT7,CW7),2),0)</f>
        <v>42.6</v>
      </c>
      <c r="O7" s="8" t="str">
        <f t="shared" si="6"/>
        <v>2025 Nationals</v>
      </c>
      <c r="P7" s="8">
        <f t="shared" si="7"/>
        <v>47</v>
      </c>
      <c r="Q7" s="8" t="str">
        <f t="shared" si="8"/>
        <v>2025 Elite Canada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16.8</v>
      </c>
      <c r="V7" s="19">
        <v>5</v>
      </c>
      <c r="W7" s="19">
        <v>0.5</v>
      </c>
      <c r="X7" s="19">
        <v>0</v>
      </c>
      <c r="Y7" s="19">
        <v>16.7</v>
      </c>
      <c r="Z7" s="19">
        <v>2.6</v>
      </c>
      <c r="AA7" s="19">
        <v>3</v>
      </c>
      <c r="AB7" s="19">
        <v>0</v>
      </c>
      <c r="AC7" s="19">
        <v>16.899999999999999</v>
      </c>
      <c r="AD7" s="19">
        <v>5.2</v>
      </c>
      <c r="AE7" s="19">
        <v>0</v>
      </c>
      <c r="AF7" s="19">
        <v>0</v>
      </c>
      <c r="AG7" s="19">
        <v>16.5</v>
      </c>
      <c r="AH7" s="19">
        <v>5.2</v>
      </c>
      <c r="AI7" s="19">
        <v>0</v>
      </c>
      <c r="AJ7" s="19">
        <v>0</v>
      </c>
      <c r="AK7" s="19">
        <v>17.100000000000001</v>
      </c>
      <c r="AL7" s="19">
        <v>5</v>
      </c>
      <c r="AM7" s="19">
        <v>0</v>
      </c>
      <c r="AN7" s="19">
        <v>0</v>
      </c>
      <c r="AO7" s="27"/>
      <c r="AP7" s="40">
        <f t="shared" si="12"/>
        <v>7.6</v>
      </c>
      <c r="AQ7" s="40">
        <f t="shared" si="13"/>
        <v>37.6</v>
      </c>
      <c r="AR7" s="40">
        <f t="shared" si="14"/>
        <v>22.099999999999998</v>
      </c>
      <c r="AS7" s="40">
        <f t="shared" si="15"/>
        <v>12.8</v>
      </c>
      <c r="AT7" s="40">
        <f t="shared" si="16"/>
        <v>59.7</v>
      </c>
      <c r="AU7" s="40">
        <f t="shared" si="17"/>
        <v>10.199999999999999</v>
      </c>
      <c r="AV7" s="40">
        <f t="shared" si="18"/>
        <v>43.8</v>
      </c>
      <c r="AW7" s="40">
        <f t="shared" si="19"/>
        <v>103.5</v>
      </c>
      <c r="AX7" s="18">
        <v>17.600000000000001</v>
      </c>
      <c r="AY7" s="18">
        <v>5.8</v>
      </c>
      <c r="AZ7" s="18">
        <v>0</v>
      </c>
      <c r="BA7" s="18">
        <v>0</v>
      </c>
      <c r="BB7" s="18">
        <v>17.100000000000001</v>
      </c>
      <c r="BC7" s="18">
        <v>5.9</v>
      </c>
      <c r="BD7" s="18">
        <v>0</v>
      </c>
      <c r="BE7" s="18">
        <v>0</v>
      </c>
      <c r="BF7" s="18"/>
      <c r="BG7" s="18"/>
      <c r="BH7" s="18"/>
      <c r="BI7" s="18"/>
      <c r="BJ7" s="18">
        <v>18.2</v>
      </c>
      <c r="BK7" s="18">
        <v>5.8</v>
      </c>
      <c r="BL7" s="18">
        <v>0</v>
      </c>
      <c r="BM7" s="18">
        <v>0</v>
      </c>
      <c r="BN7" s="18">
        <v>17.3</v>
      </c>
      <c r="BO7" s="18">
        <v>5.7</v>
      </c>
      <c r="BP7" s="18">
        <v>0</v>
      </c>
      <c r="BQ7" s="18">
        <v>0</v>
      </c>
      <c r="BR7" s="28"/>
      <c r="BS7" s="11">
        <f t="shared" si="20"/>
        <v>11.7</v>
      </c>
      <c r="BT7" s="11">
        <f t="shared" si="21"/>
        <v>46.4</v>
      </c>
      <c r="BU7" s="11" t="str">
        <f t="shared" si="22"/>
        <v/>
      </c>
      <c r="BV7" s="11">
        <f t="shared" si="23"/>
        <v>11.7</v>
      </c>
      <c r="BW7" s="11">
        <f t="shared" si="24"/>
        <v>46.4</v>
      </c>
      <c r="BX7" s="11">
        <f t="shared" si="25"/>
        <v>11.5</v>
      </c>
      <c r="BY7" s="11">
        <f t="shared" si="26"/>
        <v>47</v>
      </c>
      <c r="BZ7" s="11">
        <f t="shared" si="27"/>
        <v>93.4</v>
      </c>
      <c r="CA7" s="19">
        <v>14.4</v>
      </c>
      <c r="CB7" s="19">
        <v>6.1</v>
      </c>
      <c r="CC7" s="19">
        <v>0.2</v>
      </c>
      <c r="CD7" s="19">
        <v>0</v>
      </c>
      <c r="CE7" s="19">
        <v>17.2</v>
      </c>
      <c r="CF7" s="19">
        <v>5.2</v>
      </c>
      <c r="CG7" s="19">
        <v>0.1</v>
      </c>
      <c r="CH7" s="19">
        <v>0</v>
      </c>
      <c r="CI7" s="19"/>
      <c r="CJ7" s="19"/>
      <c r="CK7" s="19"/>
      <c r="CL7" s="19"/>
      <c r="CM7" s="19">
        <v>16.7</v>
      </c>
      <c r="CN7" s="19">
        <v>5.3</v>
      </c>
      <c r="CO7" s="19">
        <v>0.2</v>
      </c>
      <c r="CP7" s="19">
        <v>0</v>
      </c>
      <c r="CQ7" s="19">
        <v>17.7</v>
      </c>
      <c r="CR7" s="19">
        <v>3.2</v>
      </c>
      <c r="CS7" s="19">
        <v>1</v>
      </c>
      <c r="CT7" s="19">
        <v>0</v>
      </c>
      <c r="CU7" s="27"/>
      <c r="CV7" s="40">
        <f t="shared" si="28"/>
        <v>11.3</v>
      </c>
      <c r="CW7" s="40">
        <f t="shared" si="29"/>
        <v>42.6</v>
      </c>
      <c r="CX7" s="40" t="str">
        <f t="shared" si="30"/>
        <v/>
      </c>
      <c r="CY7" s="40">
        <f t="shared" si="31"/>
        <v>11.3</v>
      </c>
      <c r="CZ7" s="40">
        <f t="shared" si="32"/>
        <v>42.6</v>
      </c>
      <c r="DA7" s="40">
        <f t="shared" si="33"/>
        <v>8.5</v>
      </c>
      <c r="DB7" s="40">
        <f t="shared" si="34"/>
        <v>41.7</v>
      </c>
      <c r="DC7" s="40">
        <f t="shared" si="35"/>
        <v>84.300000000000011</v>
      </c>
      <c r="DD7" s="50" t="str">
        <f t="shared" si="36"/>
        <v/>
      </c>
      <c r="DE7" s="50" t="str">
        <f t="shared" si="37"/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8"/>
        <v>9.4</v>
      </c>
      <c r="EA7" s="40">
        <f t="shared" si="39"/>
        <v>41.9</v>
      </c>
      <c r="EB7" s="40" t="str">
        <f t="shared" si="40"/>
        <v/>
      </c>
      <c r="EC7" s="40">
        <f t="shared" si="41"/>
        <v>9.4</v>
      </c>
      <c r="ED7" s="40">
        <f t="shared" si="42"/>
        <v>41.9</v>
      </c>
      <c r="EE7" s="40" t="str">
        <f t="shared" si="43"/>
        <v/>
      </c>
      <c r="EF7" s="40" t="str">
        <f t="shared" si="44"/>
        <v/>
      </c>
      <c r="EG7" s="40">
        <f t="shared" si="45"/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16</v>
      </c>
      <c r="QE7" s="22">
        <f t="shared" si="135"/>
        <v>5.9499999999999993</v>
      </c>
      <c r="QF7" s="22">
        <f t="shared" si="136"/>
        <v>0.1</v>
      </c>
      <c r="QG7" s="22">
        <f t="shared" si="137"/>
        <v>0</v>
      </c>
      <c r="QH7" s="22">
        <f t="shared" si="138"/>
        <v>17.149999999999999</v>
      </c>
      <c r="QI7" s="22">
        <f t="shared" si="139"/>
        <v>5.5500000000000007</v>
      </c>
      <c r="QJ7" s="22">
        <f t="shared" si="140"/>
        <v>0.05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17.45</v>
      </c>
      <c r="QQ7" s="22">
        <f t="shared" si="147"/>
        <v>5.55</v>
      </c>
      <c r="QR7" s="22">
        <f t="shared" si="148"/>
        <v>0.1</v>
      </c>
      <c r="QS7" s="22">
        <f t="shared" si="149"/>
        <v>0</v>
      </c>
      <c r="QT7" s="22">
        <f t="shared" si="150"/>
        <v>17.5</v>
      </c>
      <c r="QU7" s="22">
        <f t="shared" si="151"/>
        <v>4.45</v>
      </c>
      <c r="QV7" s="22">
        <f t="shared" si="152"/>
        <v>0.5</v>
      </c>
      <c r="QW7" s="22">
        <f t="shared" si="153"/>
        <v>0</v>
      </c>
      <c r="QX7" s="27" t="s">
        <v>46</v>
      </c>
      <c r="QY7" s="40">
        <f t="shared" si="154"/>
        <v>11.5</v>
      </c>
      <c r="QZ7" s="40">
        <f t="shared" si="155"/>
        <v>44.499999999999993</v>
      </c>
      <c r="RA7" s="40" t="str">
        <f t="shared" si="156"/>
        <v/>
      </c>
      <c r="RB7" s="40">
        <f t="shared" si="157"/>
        <v>11.5</v>
      </c>
      <c r="RC7" s="40">
        <f t="shared" si="158"/>
        <v>44.499999999999993</v>
      </c>
      <c r="RD7" s="40">
        <f t="shared" si="159"/>
        <v>10</v>
      </c>
      <c r="RE7" s="40">
        <f t="shared" si="160"/>
        <v>44.35</v>
      </c>
      <c r="RF7" s="40">
        <f t="shared" si="161"/>
        <v>88.85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97</v>
      </c>
      <c r="D8" s="4" t="s">
        <v>4</v>
      </c>
      <c r="E8" s="4">
        <v>2005</v>
      </c>
      <c r="F8" s="9">
        <f t="shared" si="0"/>
        <v>132.60000897000461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46</v>
      </c>
      <c r="M8" s="8" t="str">
        <f t="shared" si="5"/>
        <v>2025 Nationals</v>
      </c>
      <c r="N8" s="8">
        <f>IF(COUNT(AQ8,BT8,CW8)&gt;1,LARGE((AQ8,BT8,CW8),2),0)</f>
        <v>43.7</v>
      </c>
      <c r="O8" s="8" t="str">
        <f t="shared" si="6"/>
        <v>2024 3rd Domestic Trial</v>
      </c>
      <c r="P8" s="8">
        <f t="shared" si="7"/>
        <v>42.9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16.100000000000001</v>
      </c>
      <c r="V8" s="19">
        <v>5.5</v>
      </c>
      <c r="W8" s="19">
        <v>0</v>
      </c>
      <c r="X8" s="19">
        <v>0.3</v>
      </c>
      <c r="Y8" s="19">
        <v>16.2</v>
      </c>
      <c r="Z8" s="19">
        <v>5</v>
      </c>
      <c r="AA8" s="19">
        <v>0</v>
      </c>
      <c r="AB8" s="19">
        <v>0.6</v>
      </c>
      <c r="AC8" s="19">
        <v>15.3</v>
      </c>
      <c r="AD8" s="19">
        <v>5.5</v>
      </c>
      <c r="AE8" s="19">
        <v>0</v>
      </c>
      <c r="AF8" s="19">
        <v>0.3</v>
      </c>
      <c r="AG8" s="19">
        <v>15.8</v>
      </c>
      <c r="AH8" s="19">
        <v>5.5</v>
      </c>
      <c r="AI8" s="19">
        <v>0</v>
      </c>
      <c r="AJ8" s="19">
        <v>0.3</v>
      </c>
      <c r="AK8" s="19">
        <v>15.9</v>
      </c>
      <c r="AL8" s="19">
        <v>4.8</v>
      </c>
      <c r="AM8" s="19">
        <v>0</v>
      </c>
      <c r="AN8" s="19">
        <v>0.6</v>
      </c>
      <c r="AO8" s="27"/>
      <c r="AP8" s="40">
        <f t="shared" si="12"/>
        <v>10.5</v>
      </c>
      <c r="AQ8" s="40">
        <f t="shared" si="13"/>
        <v>43.7</v>
      </c>
      <c r="AR8" s="40">
        <f t="shared" si="14"/>
        <v>21.1</v>
      </c>
      <c r="AS8" s="40">
        <f t="shared" si="15"/>
        <v>16</v>
      </c>
      <c r="AT8" s="40">
        <f t="shared" si="16"/>
        <v>64.800000000000011</v>
      </c>
      <c r="AU8" s="40">
        <f t="shared" si="17"/>
        <v>10.3</v>
      </c>
      <c r="AV8" s="40">
        <f t="shared" si="18"/>
        <v>42.9</v>
      </c>
      <c r="AW8" s="40">
        <f t="shared" si="19"/>
        <v>107.70000000000002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>
        <v>16.8</v>
      </c>
      <c r="CB8" s="19">
        <v>5.7</v>
      </c>
      <c r="CC8" s="19">
        <v>0</v>
      </c>
      <c r="CD8" s="19">
        <v>0.7</v>
      </c>
      <c r="CE8" s="19">
        <v>16.8</v>
      </c>
      <c r="CF8" s="19">
        <v>5.3</v>
      </c>
      <c r="CG8" s="19">
        <v>0</v>
      </c>
      <c r="CH8" s="19">
        <v>0.7</v>
      </c>
      <c r="CI8" s="19"/>
      <c r="CJ8" s="19"/>
      <c r="CK8" s="19"/>
      <c r="CL8" s="19"/>
      <c r="CM8" s="19">
        <v>15.8</v>
      </c>
      <c r="CN8" s="19">
        <v>3.1</v>
      </c>
      <c r="CO8" s="19">
        <v>0</v>
      </c>
      <c r="CP8" s="19">
        <v>0.7</v>
      </c>
      <c r="CQ8" s="19">
        <v>16.600000000000001</v>
      </c>
      <c r="CR8" s="19">
        <v>5.3</v>
      </c>
      <c r="CS8" s="19">
        <v>0</v>
      </c>
      <c r="CT8" s="19">
        <v>0.7</v>
      </c>
      <c r="CU8" s="27"/>
      <c r="CV8" s="40">
        <f t="shared" si="28"/>
        <v>11</v>
      </c>
      <c r="CW8" s="40">
        <f t="shared" si="29"/>
        <v>46</v>
      </c>
      <c r="CX8" s="40" t="str">
        <f t="shared" si="30"/>
        <v/>
      </c>
      <c r="CY8" s="40">
        <f t="shared" si="31"/>
        <v>11</v>
      </c>
      <c r="CZ8" s="40">
        <f t="shared" si="32"/>
        <v>46</v>
      </c>
      <c r="DA8" s="40">
        <f t="shared" si="33"/>
        <v>8.4</v>
      </c>
      <c r="DB8" s="40">
        <f t="shared" si="34"/>
        <v>42.2</v>
      </c>
      <c r="DC8" s="40">
        <f t="shared" si="35"/>
        <v>88.2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8.4</v>
      </c>
      <c r="QE8" s="22">
        <f t="shared" si="135"/>
        <v>2.85</v>
      </c>
      <c r="QF8" s="22">
        <f t="shared" si="136"/>
        <v>0</v>
      </c>
      <c r="QG8" s="22">
        <f t="shared" si="137"/>
        <v>0.35</v>
      </c>
      <c r="QH8" s="22">
        <f t="shared" si="138"/>
        <v>8.4</v>
      </c>
      <c r="QI8" s="22">
        <f t="shared" si="139"/>
        <v>2.65</v>
      </c>
      <c r="QJ8" s="22">
        <f t="shared" si="140"/>
        <v>0</v>
      </c>
      <c r="QK8" s="22">
        <f t="shared" si="141"/>
        <v>0.35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7.9</v>
      </c>
      <c r="QQ8" s="22">
        <f t="shared" si="147"/>
        <v>1.55</v>
      </c>
      <c r="QR8" s="22">
        <f t="shared" si="148"/>
        <v>0</v>
      </c>
      <c r="QS8" s="22">
        <f t="shared" si="149"/>
        <v>0.35</v>
      </c>
      <c r="QT8" s="22">
        <f t="shared" si="150"/>
        <v>8.3000000000000007</v>
      </c>
      <c r="QU8" s="22">
        <f t="shared" si="151"/>
        <v>2.65</v>
      </c>
      <c r="QV8" s="22">
        <f t="shared" si="152"/>
        <v>0</v>
      </c>
      <c r="QW8" s="22">
        <f t="shared" si="153"/>
        <v>0.35</v>
      </c>
      <c r="QX8" s="27" t="s">
        <v>46</v>
      </c>
      <c r="QY8" s="40">
        <f t="shared" si="154"/>
        <v>5.5</v>
      </c>
      <c r="QZ8" s="40">
        <f t="shared" si="155"/>
        <v>23</v>
      </c>
      <c r="RA8" s="40" t="str">
        <f t="shared" si="156"/>
        <v/>
      </c>
      <c r="RB8" s="40">
        <f t="shared" si="157"/>
        <v>5.5</v>
      </c>
      <c r="RC8" s="40">
        <f t="shared" si="158"/>
        <v>23</v>
      </c>
      <c r="RD8" s="40">
        <f t="shared" si="159"/>
        <v>4.2</v>
      </c>
      <c r="RE8" s="40">
        <f t="shared" si="160"/>
        <v>21.1</v>
      </c>
      <c r="RF8" s="40">
        <f t="shared" si="161"/>
        <v>44.1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165</v>
      </c>
      <c r="D9" s="4" t="s">
        <v>4</v>
      </c>
      <c r="E9" s="4">
        <v>2008</v>
      </c>
      <c r="F9" s="9">
        <f t="shared" si="0"/>
        <v>131.50000865000445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44.3</v>
      </c>
      <c r="M9" s="8" t="str">
        <f t="shared" si="5"/>
        <v>2025 Nationals</v>
      </c>
      <c r="N9" s="8">
        <f>IF(COUNT(AQ9,BT9,CW9)&gt;1,LARGE((AQ9,BT9,CW9),2),0)</f>
        <v>42.199999999999996</v>
      </c>
      <c r="O9" s="8" t="str">
        <f t="shared" si="6"/>
        <v>2025 Elite Canada</v>
      </c>
      <c r="P9" s="8">
        <f t="shared" si="7"/>
        <v>45</v>
      </c>
      <c r="Q9" s="8" t="str">
        <f t="shared" si="8"/>
        <v>2025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15</v>
      </c>
      <c r="V9" s="19">
        <v>7.2</v>
      </c>
      <c r="W9" s="19">
        <v>2</v>
      </c>
      <c r="X9" s="19">
        <v>0.6</v>
      </c>
      <c r="Y9" s="19">
        <v>13.5</v>
      </c>
      <c r="Z9" s="19">
        <v>6.8</v>
      </c>
      <c r="AA9" s="19">
        <v>0.2</v>
      </c>
      <c r="AB9" s="19">
        <v>0.6</v>
      </c>
      <c r="AC9" s="19">
        <v>15.1</v>
      </c>
      <c r="AD9" s="19">
        <v>8.1999999999999993</v>
      </c>
      <c r="AE9" s="19">
        <v>0</v>
      </c>
      <c r="AF9" s="19">
        <v>0.6</v>
      </c>
      <c r="AG9" s="19">
        <v>15.4</v>
      </c>
      <c r="AH9" s="19">
        <v>7.5</v>
      </c>
      <c r="AI9" s="19">
        <v>0.4</v>
      </c>
      <c r="AJ9" s="19">
        <v>0.6</v>
      </c>
      <c r="AK9" s="19">
        <v>13.8</v>
      </c>
      <c r="AL9" s="19">
        <v>7</v>
      </c>
      <c r="AM9" s="19">
        <v>0</v>
      </c>
      <c r="AN9" s="19">
        <v>0.6</v>
      </c>
      <c r="AO9" s="27"/>
      <c r="AP9" s="40">
        <f t="shared" si="12"/>
        <v>14</v>
      </c>
      <c r="AQ9" s="40">
        <f t="shared" si="13"/>
        <v>41.499999999999993</v>
      </c>
      <c r="AR9" s="40">
        <f t="shared" si="14"/>
        <v>23.9</v>
      </c>
      <c r="AS9" s="40">
        <f t="shared" si="15"/>
        <v>22.2</v>
      </c>
      <c r="AT9" s="40">
        <f t="shared" si="16"/>
        <v>65.399999999999991</v>
      </c>
      <c r="AU9" s="40">
        <f t="shared" si="17"/>
        <v>14.5</v>
      </c>
      <c r="AV9" s="40">
        <f t="shared" si="18"/>
        <v>44.5</v>
      </c>
      <c r="AW9" s="40">
        <f t="shared" si="19"/>
        <v>109.89999999999999</v>
      </c>
      <c r="AX9" s="18">
        <v>15.3</v>
      </c>
      <c r="AY9" s="18">
        <v>6.6</v>
      </c>
      <c r="AZ9" s="18">
        <v>0.2</v>
      </c>
      <c r="BA9" s="18">
        <v>0</v>
      </c>
      <c r="BB9" s="18">
        <v>15.1</v>
      </c>
      <c r="BC9" s="18">
        <v>5.4</v>
      </c>
      <c r="BD9" s="18">
        <v>0</v>
      </c>
      <c r="BE9" s="18">
        <v>0</v>
      </c>
      <c r="BF9" s="18"/>
      <c r="BG9" s="18"/>
      <c r="BH9" s="18"/>
      <c r="BI9" s="18"/>
      <c r="BJ9" s="18">
        <v>16.3</v>
      </c>
      <c r="BK9" s="18">
        <v>5.7</v>
      </c>
      <c r="BL9" s="18">
        <v>0</v>
      </c>
      <c r="BM9" s="18">
        <v>0</v>
      </c>
      <c r="BN9" s="18">
        <v>15.4</v>
      </c>
      <c r="BO9" s="18">
        <v>4</v>
      </c>
      <c r="BP9" s="18">
        <v>0</v>
      </c>
      <c r="BQ9" s="18">
        <v>0</v>
      </c>
      <c r="BR9" s="28"/>
      <c r="BS9" s="11">
        <f t="shared" si="20"/>
        <v>12</v>
      </c>
      <c r="BT9" s="11">
        <f t="shared" si="21"/>
        <v>42.199999999999996</v>
      </c>
      <c r="BU9" s="11" t="str">
        <f t="shared" si="22"/>
        <v/>
      </c>
      <c r="BV9" s="11">
        <f t="shared" si="23"/>
        <v>12</v>
      </c>
      <c r="BW9" s="11">
        <f t="shared" si="24"/>
        <v>42.199999999999996</v>
      </c>
      <c r="BX9" s="11">
        <f t="shared" si="25"/>
        <v>9.6999999999999993</v>
      </c>
      <c r="BY9" s="11">
        <f t="shared" si="26"/>
        <v>41.4</v>
      </c>
      <c r="BZ9" s="11">
        <f t="shared" si="27"/>
        <v>83.6</v>
      </c>
      <c r="CA9" s="19">
        <v>16.399999999999999</v>
      </c>
      <c r="CB9" s="19">
        <v>5.7</v>
      </c>
      <c r="CC9" s="19">
        <v>0</v>
      </c>
      <c r="CD9" s="19">
        <v>0</v>
      </c>
      <c r="CE9" s="19">
        <v>15.6</v>
      </c>
      <c r="CF9" s="19">
        <v>6.6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5.7</v>
      </c>
      <c r="CO9" s="19">
        <v>0</v>
      </c>
      <c r="CP9" s="19">
        <v>0</v>
      </c>
      <c r="CQ9" s="19">
        <v>16</v>
      </c>
      <c r="CR9" s="19">
        <v>6.8</v>
      </c>
      <c r="CS9" s="19">
        <v>0</v>
      </c>
      <c r="CT9" s="19">
        <v>0</v>
      </c>
      <c r="CU9" s="27"/>
      <c r="CV9" s="40">
        <f t="shared" si="28"/>
        <v>12.3</v>
      </c>
      <c r="CW9" s="40">
        <f t="shared" si="29"/>
        <v>44.3</v>
      </c>
      <c r="CX9" s="40" t="str">
        <f t="shared" si="30"/>
        <v/>
      </c>
      <c r="CY9" s="40">
        <f t="shared" si="31"/>
        <v>12.3</v>
      </c>
      <c r="CZ9" s="40">
        <f t="shared" si="32"/>
        <v>44.3</v>
      </c>
      <c r="DA9" s="40">
        <f t="shared" si="33"/>
        <v>12.5</v>
      </c>
      <c r="DB9" s="40">
        <f t="shared" si="34"/>
        <v>45</v>
      </c>
      <c r="DC9" s="40">
        <f t="shared" si="35"/>
        <v>89.3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15.85</v>
      </c>
      <c r="QE9" s="22">
        <f t="shared" si="135"/>
        <v>6.15</v>
      </c>
      <c r="QF9" s="22">
        <f t="shared" si="136"/>
        <v>0.1</v>
      </c>
      <c r="QG9" s="22">
        <f t="shared" si="137"/>
        <v>0</v>
      </c>
      <c r="QH9" s="22">
        <f t="shared" si="138"/>
        <v>15.35</v>
      </c>
      <c r="QI9" s="22">
        <f t="shared" si="139"/>
        <v>6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16.399999999999999</v>
      </c>
      <c r="QQ9" s="22">
        <f t="shared" si="147"/>
        <v>5.7</v>
      </c>
      <c r="QR9" s="22">
        <f t="shared" si="148"/>
        <v>0</v>
      </c>
      <c r="QS9" s="22">
        <f t="shared" si="149"/>
        <v>0</v>
      </c>
      <c r="QT9" s="22">
        <f t="shared" si="150"/>
        <v>15.7</v>
      </c>
      <c r="QU9" s="22">
        <f t="shared" si="151"/>
        <v>5.4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12.15</v>
      </c>
      <c r="QZ9" s="40">
        <f t="shared" si="155"/>
        <v>43.25</v>
      </c>
      <c r="RA9" s="40" t="str">
        <f t="shared" si="156"/>
        <v/>
      </c>
      <c r="RB9" s="40">
        <f t="shared" si="157"/>
        <v>12.15</v>
      </c>
      <c r="RC9" s="40">
        <f t="shared" si="158"/>
        <v>43.25</v>
      </c>
      <c r="RD9" s="40">
        <f t="shared" si="159"/>
        <v>11.100000000000001</v>
      </c>
      <c r="RE9" s="40">
        <f t="shared" si="160"/>
        <v>43.199999999999996</v>
      </c>
      <c r="RF9" s="40">
        <f t="shared" si="161"/>
        <v>86.449999999999989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166</v>
      </c>
      <c r="D10" s="4" t="s">
        <v>3</v>
      </c>
      <c r="E10" s="4">
        <v>2008</v>
      </c>
      <c r="F10" s="9">
        <f t="shared" si="0"/>
        <v>131.10000859000431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43.099999999999994</v>
      </c>
      <c r="M10" s="8" t="str">
        <f t="shared" si="5"/>
        <v>2024 3rd Domestic Trial</v>
      </c>
      <c r="N10" s="8">
        <f>IF(COUNT(AQ10,BT10,CW10)&gt;1,LARGE((AQ10,BT10,CW10),2),0)</f>
        <v>42.8</v>
      </c>
      <c r="O10" s="8" t="str">
        <f t="shared" si="6"/>
        <v>2025 Elite Canada</v>
      </c>
      <c r="P10" s="8">
        <f t="shared" si="7"/>
        <v>45.199999999999996</v>
      </c>
      <c r="Q10" s="8" t="str">
        <f t="shared" si="8"/>
        <v>2024 3rd Domestic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16.100000000000001</v>
      </c>
      <c r="V10" s="19">
        <v>5.9</v>
      </c>
      <c r="W10" s="19">
        <v>0</v>
      </c>
      <c r="X10" s="19">
        <v>0.3</v>
      </c>
      <c r="Y10" s="19">
        <v>15.6</v>
      </c>
      <c r="Z10" s="19">
        <v>5.3</v>
      </c>
      <c r="AA10" s="19">
        <v>0.4</v>
      </c>
      <c r="AB10" s="19">
        <v>0.3</v>
      </c>
      <c r="AC10" s="19">
        <v>16.8</v>
      </c>
      <c r="AD10" s="19">
        <v>5.7</v>
      </c>
      <c r="AE10" s="19">
        <v>0</v>
      </c>
      <c r="AF10" s="19">
        <v>0.3</v>
      </c>
      <c r="AG10" s="19">
        <v>16.899999999999999</v>
      </c>
      <c r="AH10" s="19">
        <v>5.9</v>
      </c>
      <c r="AI10" s="19">
        <v>0</v>
      </c>
      <c r="AJ10" s="19">
        <v>0.3</v>
      </c>
      <c r="AK10" s="19">
        <v>16.3</v>
      </c>
      <c r="AL10" s="19">
        <v>5.5</v>
      </c>
      <c r="AM10" s="19">
        <v>0</v>
      </c>
      <c r="AN10" s="19">
        <v>0.3</v>
      </c>
      <c r="AO10" s="27"/>
      <c r="AP10" s="40">
        <f t="shared" si="12"/>
        <v>11.2</v>
      </c>
      <c r="AQ10" s="40">
        <f t="shared" si="13"/>
        <v>43.099999999999994</v>
      </c>
      <c r="AR10" s="40">
        <f t="shared" si="14"/>
        <v>22.8</v>
      </c>
      <c r="AS10" s="40">
        <f t="shared" si="15"/>
        <v>16.899999999999999</v>
      </c>
      <c r="AT10" s="40">
        <f t="shared" si="16"/>
        <v>65.899999999999991</v>
      </c>
      <c r="AU10" s="40">
        <f t="shared" si="17"/>
        <v>11.4</v>
      </c>
      <c r="AV10" s="40">
        <f t="shared" si="18"/>
        <v>45.199999999999996</v>
      </c>
      <c r="AW10" s="40">
        <f t="shared" si="19"/>
        <v>111.1</v>
      </c>
      <c r="AX10" s="18">
        <v>17.3</v>
      </c>
      <c r="AY10" s="18">
        <v>5.5</v>
      </c>
      <c r="AZ10" s="18">
        <v>0</v>
      </c>
      <c r="BA10" s="18">
        <v>0</v>
      </c>
      <c r="BB10" s="18">
        <v>14.3</v>
      </c>
      <c r="BC10" s="18">
        <v>5.9</v>
      </c>
      <c r="BD10" s="18">
        <v>0.2</v>
      </c>
      <c r="BE10" s="18">
        <v>0</v>
      </c>
      <c r="BF10" s="18"/>
      <c r="BG10" s="18"/>
      <c r="BH10" s="18"/>
      <c r="BI10" s="18"/>
      <c r="BJ10" s="18">
        <v>14.2</v>
      </c>
      <c r="BK10" s="18">
        <v>3.2</v>
      </c>
      <c r="BL10" s="18">
        <v>0</v>
      </c>
      <c r="BM10" s="18">
        <v>0</v>
      </c>
      <c r="BN10" s="18">
        <v>15.9</v>
      </c>
      <c r="BO10" s="18">
        <v>5.5</v>
      </c>
      <c r="BP10" s="18">
        <v>0</v>
      </c>
      <c r="BQ10" s="18">
        <v>0</v>
      </c>
      <c r="BR10" s="28"/>
      <c r="BS10" s="11">
        <f t="shared" si="20"/>
        <v>11.4</v>
      </c>
      <c r="BT10" s="11">
        <f t="shared" si="21"/>
        <v>42.8</v>
      </c>
      <c r="BU10" s="11" t="str">
        <f t="shared" si="22"/>
        <v/>
      </c>
      <c r="BV10" s="11">
        <f t="shared" si="23"/>
        <v>11.4</v>
      </c>
      <c r="BW10" s="11">
        <f t="shared" si="24"/>
        <v>42.8</v>
      </c>
      <c r="BX10" s="11">
        <f t="shared" si="25"/>
        <v>8.6999999999999993</v>
      </c>
      <c r="BY10" s="11">
        <f t="shared" si="26"/>
        <v>38.799999999999997</v>
      </c>
      <c r="BZ10" s="11">
        <f t="shared" si="27"/>
        <v>81.599999999999994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8"/>
        <v/>
      </c>
      <c r="CW10" s="40" t="str">
        <f t="shared" si="29"/>
        <v/>
      </c>
      <c r="CX10" s="40" t="str">
        <f t="shared" si="30"/>
        <v/>
      </c>
      <c r="CY10" s="40" t="str">
        <f t="shared" si="31"/>
        <v/>
      </c>
      <c r="CZ10" s="40" t="str">
        <f t="shared" si="32"/>
        <v/>
      </c>
      <c r="DA10" s="40" t="str">
        <f t="shared" si="33"/>
        <v/>
      </c>
      <c r="DB10" s="40" t="str">
        <f t="shared" si="34"/>
        <v/>
      </c>
      <c r="DC10" s="40" t="str">
        <f t="shared" si="35"/>
        <v/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8.65</v>
      </c>
      <c r="QE10" s="22">
        <f t="shared" si="135"/>
        <v>2.75</v>
      </c>
      <c r="QF10" s="22">
        <f t="shared" si="136"/>
        <v>0</v>
      </c>
      <c r="QG10" s="22">
        <f t="shared" si="137"/>
        <v>0</v>
      </c>
      <c r="QH10" s="22">
        <f t="shared" si="138"/>
        <v>7.15</v>
      </c>
      <c r="QI10" s="22">
        <f t="shared" si="139"/>
        <v>2.95</v>
      </c>
      <c r="QJ10" s="22">
        <f t="shared" si="140"/>
        <v>0.1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7.1</v>
      </c>
      <c r="QQ10" s="22">
        <f t="shared" si="147"/>
        <v>1.6</v>
      </c>
      <c r="QR10" s="22">
        <f t="shared" si="148"/>
        <v>0</v>
      </c>
      <c r="QS10" s="22">
        <f t="shared" si="149"/>
        <v>0</v>
      </c>
      <c r="QT10" s="22">
        <f t="shared" si="150"/>
        <v>7.95</v>
      </c>
      <c r="QU10" s="22">
        <f t="shared" si="151"/>
        <v>2.75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5.7</v>
      </c>
      <c r="QZ10" s="40">
        <f t="shared" si="155"/>
        <v>21.4</v>
      </c>
      <c r="RA10" s="40" t="str">
        <f t="shared" si="156"/>
        <v/>
      </c>
      <c r="RB10" s="40">
        <f t="shared" si="157"/>
        <v>5.7</v>
      </c>
      <c r="RC10" s="40">
        <f t="shared" si="158"/>
        <v>21.4</v>
      </c>
      <c r="RD10" s="40">
        <f t="shared" si="159"/>
        <v>4.3499999999999996</v>
      </c>
      <c r="RE10" s="40">
        <f t="shared" si="160"/>
        <v>19.399999999999999</v>
      </c>
      <c r="RF10" s="40">
        <f t="shared" si="161"/>
        <v>40.799999999999997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87</v>
      </c>
      <c r="D11" s="4" t="s">
        <v>4</v>
      </c>
      <c r="E11" s="4">
        <v>2004</v>
      </c>
      <c r="F11" s="9">
        <f t="shared" si="0"/>
        <v>73.350007335004889</v>
      </c>
      <c r="G11" s="64" t="s">
        <v>46</v>
      </c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48.899999999999991</v>
      </c>
      <c r="M11" s="8" t="str">
        <f t="shared" si="5"/>
        <v>2025 Elite Canada</v>
      </c>
      <c r="N11" s="8">
        <f>IF(COUNT(AQ11,BT11,CW11)&gt;1,LARGE((AQ11,BT11,CW11),2),0)</f>
        <v>24.449999999999996</v>
      </c>
      <c r="O11" s="8" t="str">
        <f t="shared" si="6"/>
        <v>2025 Nationals</v>
      </c>
      <c r="P11" s="8">
        <f t="shared" si="7"/>
        <v>0</v>
      </c>
      <c r="Q11" s="8" t="str">
        <f t="shared" si="8"/>
        <v/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2"/>
        <v/>
      </c>
      <c r="AQ11" s="40" t="str">
        <f t="shared" si="13"/>
        <v/>
      </c>
      <c r="AR11" s="40" t="str">
        <f t="shared" si="14"/>
        <v/>
      </c>
      <c r="AS11" s="40" t="str">
        <f t="shared" si="15"/>
        <v/>
      </c>
      <c r="AT11" s="40" t="str">
        <f t="shared" si="16"/>
        <v/>
      </c>
      <c r="AU11" s="40" t="str">
        <f t="shared" si="17"/>
        <v/>
      </c>
      <c r="AV11" s="40" t="str">
        <f t="shared" si="18"/>
        <v/>
      </c>
      <c r="AW11" s="40" t="str">
        <f t="shared" si="19"/>
        <v/>
      </c>
      <c r="AX11" s="18">
        <v>17.7</v>
      </c>
      <c r="AY11" s="18">
        <v>6.5</v>
      </c>
      <c r="AZ11" s="18">
        <v>0</v>
      </c>
      <c r="BA11" s="18">
        <v>0</v>
      </c>
      <c r="BB11" s="18">
        <v>17.399999999999999</v>
      </c>
      <c r="BC11" s="18">
        <v>7.3</v>
      </c>
      <c r="BD11" s="18">
        <v>0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13.8</v>
      </c>
      <c r="BT11" s="11">
        <f t="shared" si="21"/>
        <v>48.899999999999991</v>
      </c>
      <c r="BU11" s="11" t="str">
        <f t="shared" si="22"/>
        <v/>
      </c>
      <c r="BV11" s="11">
        <f t="shared" si="23"/>
        <v>13.8</v>
      </c>
      <c r="BW11" s="11">
        <f t="shared" si="24"/>
        <v>48.899999999999991</v>
      </c>
      <c r="BX11" s="11" t="str">
        <f t="shared" si="25"/>
        <v/>
      </c>
      <c r="BY11" s="11" t="str">
        <f t="shared" si="26"/>
        <v/>
      </c>
      <c r="BZ11" s="11">
        <f t="shared" si="27"/>
        <v>48.899999999999991</v>
      </c>
      <c r="CA11" s="19">
        <v>8.85</v>
      </c>
      <c r="CB11" s="19">
        <v>3.25</v>
      </c>
      <c r="CC11" s="19">
        <v>0</v>
      </c>
      <c r="CD11" s="19">
        <v>0</v>
      </c>
      <c r="CE11" s="19">
        <v>8.6999999999999993</v>
      </c>
      <c r="CF11" s="19">
        <v>3.65</v>
      </c>
      <c r="CG11" s="19">
        <v>0</v>
      </c>
      <c r="CH11" s="19">
        <v>0</v>
      </c>
      <c r="CI11" s="19"/>
      <c r="CJ11" s="19"/>
      <c r="CK11" s="19"/>
      <c r="CL11" s="19"/>
      <c r="CM11" s="19">
        <v>0</v>
      </c>
      <c r="CN11" s="19">
        <v>0</v>
      </c>
      <c r="CO11" s="19">
        <v>0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7" t="s">
        <v>46</v>
      </c>
      <c r="CV11" s="40">
        <f t="shared" si="28"/>
        <v>6.9</v>
      </c>
      <c r="CW11" s="40">
        <f t="shared" si="29"/>
        <v>24.449999999999996</v>
      </c>
      <c r="CX11" s="40" t="str">
        <f t="shared" si="30"/>
        <v/>
      </c>
      <c r="CY11" s="40">
        <f t="shared" si="31"/>
        <v>6.9</v>
      </c>
      <c r="CZ11" s="40">
        <f t="shared" si="32"/>
        <v>24.449999999999996</v>
      </c>
      <c r="DA11" s="40" t="str">
        <f t="shared" si="33"/>
        <v/>
      </c>
      <c r="DB11" s="40" t="str">
        <f t="shared" si="34"/>
        <v/>
      </c>
      <c r="DC11" s="40">
        <f t="shared" si="35"/>
        <v>24.449999999999996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8.85</v>
      </c>
      <c r="QE11" s="22">
        <f t="shared" si="135"/>
        <v>3.25</v>
      </c>
      <c r="QF11" s="22">
        <f t="shared" si="136"/>
        <v>0</v>
      </c>
      <c r="QG11" s="22">
        <f t="shared" si="137"/>
        <v>0</v>
      </c>
      <c r="QH11" s="22">
        <f t="shared" si="138"/>
        <v>8.6999999999999993</v>
      </c>
      <c r="QI11" s="22">
        <f t="shared" si="139"/>
        <v>3.65</v>
      </c>
      <c r="QJ11" s="22">
        <f t="shared" si="140"/>
        <v>0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7" t="s">
        <v>46</v>
      </c>
      <c r="QY11" s="40">
        <f t="shared" si="154"/>
        <v>6.9</v>
      </c>
      <c r="QZ11" s="40">
        <f t="shared" si="155"/>
        <v>24.449999999999996</v>
      </c>
      <c r="RA11" s="40" t="str">
        <f t="shared" si="156"/>
        <v/>
      </c>
      <c r="RB11" s="40">
        <f t="shared" si="157"/>
        <v>6.9</v>
      </c>
      <c r="RC11" s="40">
        <f t="shared" si="158"/>
        <v>24.449999999999996</v>
      </c>
      <c r="RD11" s="40" t="str">
        <f t="shared" si="159"/>
        <v/>
      </c>
      <c r="RE11" s="40" t="str">
        <f t="shared" si="160"/>
        <v/>
      </c>
      <c r="RF11" s="40">
        <f t="shared" si="161"/>
        <v>24.449999999999996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162</v>
      </c>
      <c r="D12" s="4" t="s">
        <v>4</v>
      </c>
      <c r="E12" s="4">
        <v>2008</v>
      </c>
      <c r="F12" s="9">
        <f t="shared" si="0"/>
        <v>130.70000873000436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43.8</v>
      </c>
      <c r="M12" s="8" t="str">
        <f t="shared" si="5"/>
        <v>2025 Nationals</v>
      </c>
      <c r="N12" s="8">
        <f>IF(COUNT(AQ12,BT12,CW12)&gt;1,LARGE((AQ12,BT12,CW12),2),0)</f>
        <v>43.5</v>
      </c>
      <c r="O12" s="8" t="str">
        <f t="shared" si="6"/>
        <v>2025 Elite Canada</v>
      </c>
      <c r="P12" s="8">
        <f t="shared" si="7"/>
        <v>43.4</v>
      </c>
      <c r="Q12" s="8" t="str">
        <f t="shared" si="8"/>
        <v>2025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16.3</v>
      </c>
      <c r="AY12" s="18">
        <v>5.4</v>
      </c>
      <c r="AZ12" s="18">
        <v>0</v>
      </c>
      <c r="BA12" s="18">
        <v>0</v>
      </c>
      <c r="BB12" s="18">
        <v>15.5</v>
      </c>
      <c r="BC12" s="18">
        <v>6.3</v>
      </c>
      <c r="BD12" s="18">
        <v>0</v>
      </c>
      <c r="BE12" s="18">
        <v>0</v>
      </c>
      <c r="BF12" s="18"/>
      <c r="BG12" s="18"/>
      <c r="BH12" s="18"/>
      <c r="BI12" s="18"/>
      <c r="BJ12" s="18">
        <v>15.3</v>
      </c>
      <c r="BK12" s="18">
        <v>5.4</v>
      </c>
      <c r="BL12" s="18">
        <v>0</v>
      </c>
      <c r="BM12" s="18">
        <v>0</v>
      </c>
      <c r="BN12" s="18">
        <v>15</v>
      </c>
      <c r="BO12" s="18">
        <v>6.3</v>
      </c>
      <c r="BP12" s="18">
        <v>0</v>
      </c>
      <c r="BQ12" s="18">
        <v>0</v>
      </c>
      <c r="BR12" s="28"/>
      <c r="BS12" s="11">
        <f t="shared" si="20"/>
        <v>11.7</v>
      </c>
      <c r="BT12" s="11">
        <f t="shared" si="21"/>
        <v>43.5</v>
      </c>
      <c r="BU12" s="11" t="str">
        <f t="shared" si="22"/>
        <v/>
      </c>
      <c r="BV12" s="11">
        <f t="shared" si="23"/>
        <v>11.7</v>
      </c>
      <c r="BW12" s="11">
        <f t="shared" si="24"/>
        <v>43.5</v>
      </c>
      <c r="BX12" s="11">
        <f t="shared" si="25"/>
        <v>11.7</v>
      </c>
      <c r="BY12" s="11">
        <f t="shared" si="26"/>
        <v>42</v>
      </c>
      <c r="BZ12" s="11">
        <f t="shared" si="27"/>
        <v>85.5</v>
      </c>
      <c r="CA12" s="19">
        <v>15.9</v>
      </c>
      <c r="CB12" s="19">
        <v>5.4</v>
      </c>
      <c r="CC12" s="19">
        <v>0</v>
      </c>
      <c r="CD12" s="19">
        <v>0</v>
      </c>
      <c r="CE12" s="19">
        <v>16.2</v>
      </c>
      <c r="CF12" s="19">
        <v>6.3</v>
      </c>
      <c r="CG12" s="19">
        <v>0</v>
      </c>
      <c r="CH12" s="19">
        <v>0</v>
      </c>
      <c r="CI12" s="19"/>
      <c r="CJ12" s="19"/>
      <c r="CK12" s="19"/>
      <c r="CL12" s="19"/>
      <c r="CM12" s="19">
        <v>15.2</v>
      </c>
      <c r="CN12" s="19">
        <v>6.5</v>
      </c>
      <c r="CO12" s="19">
        <v>0.4</v>
      </c>
      <c r="CP12" s="19">
        <v>0.7</v>
      </c>
      <c r="CQ12" s="19">
        <v>15.3</v>
      </c>
      <c r="CR12" s="19">
        <v>6.3</v>
      </c>
      <c r="CS12" s="19">
        <v>0.2</v>
      </c>
      <c r="CT12" s="19">
        <v>0</v>
      </c>
      <c r="CU12" s="27"/>
      <c r="CV12" s="40">
        <f t="shared" si="28"/>
        <v>11.7</v>
      </c>
      <c r="CW12" s="40">
        <f t="shared" si="29"/>
        <v>43.8</v>
      </c>
      <c r="CX12" s="40" t="str">
        <f t="shared" si="30"/>
        <v/>
      </c>
      <c r="CY12" s="40">
        <f t="shared" si="31"/>
        <v>11.7</v>
      </c>
      <c r="CZ12" s="40">
        <f t="shared" si="32"/>
        <v>43.8</v>
      </c>
      <c r="DA12" s="40">
        <f t="shared" si="33"/>
        <v>12.8</v>
      </c>
      <c r="DB12" s="40">
        <f t="shared" si="34"/>
        <v>43.4</v>
      </c>
      <c r="DC12" s="40">
        <f t="shared" si="35"/>
        <v>87.199999999999989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16.100000000000001</v>
      </c>
      <c r="QE12" s="22">
        <f t="shared" si="135"/>
        <v>5.4</v>
      </c>
      <c r="QF12" s="22">
        <f t="shared" si="136"/>
        <v>0</v>
      </c>
      <c r="QG12" s="22">
        <f t="shared" si="137"/>
        <v>0</v>
      </c>
      <c r="QH12" s="22">
        <f t="shared" si="138"/>
        <v>15.85</v>
      </c>
      <c r="QI12" s="22">
        <f t="shared" si="139"/>
        <v>6.3</v>
      </c>
      <c r="QJ12" s="22">
        <f t="shared" si="140"/>
        <v>0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15.25</v>
      </c>
      <c r="QQ12" s="22">
        <f t="shared" si="147"/>
        <v>5.95</v>
      </c>
      <c r="QR12" s="22">
        <f t="shared" si="148"/>
        <v>0.2</v>
      </c>
      <c r="QS12" s="22">
        <f t="shared" si="149"/>
        <v>0.35</v>
      </c>
      <c r="QT12" s="22">
        <f t="shared" si="150"/>
        <v>15.15</v>
      </c>
      <c r="QU12" s="22">
        <f t="shared" si="151"/>
        <v>6.3</v>
      </c>
      <c r="QV12" s="22">
        <f t="shared" si="152"/>
        <v>0.1</v>
      </c>
      <c r="QW12" s="22">
        <f t="shared" si="153"/>
        <v>0</v>
      </c>
      <c r="QX12" s="27" t="s">
        <v>46</v>
      </c>
      <c r="QY12" s="40">
        <f t="shared" si="154"/>
        <v>11.7</v>
      </c>
      <c r="QZ12" s="40">
        <f t="shared" si="155"/>
        <v>43.65</v>
      </c>
      <c r="RA12" s="40" t="str">
        <f t="shared" si="156"/>
        <v/>
      </c>
      <c r="RB12" s="40">
        <f t="shared" si="157"/>
        <v>11.7</v>
      </c>
      <c r="RC12" s="40">
        <f t="shared" si="158"/>
        <v>43.65</v>
      </c>
      <c r="RD12" s="40">
        <f t="shared" si="159"/>
        <v>12.25</v>
      </c>
      <c r="RE12" s="40">
        <f t="shared" si="160"/>
        <v>42.7</v>
      </c>
      <c r="RF12" s="40">
        <f t="shared" si="161"/>
        <v>86.35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131</v>
      </c>
      <c r="D13" s="4" t="s">
        <v>5</v>
      </c>
      <c r="E13" s="4">
        <v>2007</v>
      </c>
      <c r="F13" s="9">
        <f t="shared" si="0"/>
        <v>129.0000085400043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42.70000000000001</v>
      </c>
      <c r="M13" s="8" t="str">
        <f t="shared" si="5"/>
        <v>2025 Nationals</v>
      </c>
      <c r="N13" s="8">
        <f>IF(COUNT(AQ13,BT13,CW13)&gt;1,LARGE((AQ13,BT13,CW13),2),0)</f>
        <v>42.70000000000001</v>
      </c>
      <c r="O13" s="8" t="str">
        <f t="shared" si="6"/>
        <v>2025 Elite Canada</v>
      </c>
      <c r="P13" s="8">
        <f t="shared" si="7"/>
        <v>43.600000000000009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11</v>
      </c>
      <c r="V13" s="19">
        <v>2.9</v>
      </c>
      <c r="W13" s="19">
        <v>0</v>
      </c>
      <c r="X13" s="19">
        <v>0.3</v>
      </c>
      <c r="Y13" s="19">
        <v>11.9</v>
      </c>
      <c r="Z13" s="19">
        <v>2.6</v>
      </c>
      <c r="AA13" s="19">
        <v>0</v>
      </c>
      <c r="AB13" s="19">
        <v>0.3</v>
      </c>
      <c r="AC13" s="19">
        <v>15.8</v>
      </c>
      <c r="AD13" s="19">
        <v>3.5</v>
      </c>
      <c r="AE13" s="19">
        <v>0.4</v>
      </c>
      <c r="AF13" s="19">
        <v>0.3</v>
      </c>
      <c r="AG13" s="19">
        <v>15.4</v>
      </c>
      <c r="AH13" s="19">
        <v>2.9</v>
      </c>
      <c r="AI13" s="19">
        <v>0</v>
      </c>
      <c r="AJ13" s="19">
        <v>0.3</v>
      </c>
      <c r="AK13" s="19">
        <v>16.399999999999999</v>
      </c>
      <c r="AL13" s="19">
        <v>3.6</v>
      </c>
      <c r="AM13" s="19">
        <v>0</v>
      </c>
      <c r="AN13" s="19">
        <v>0</v>
      </c>
      <c r="AO13" s="27"/>
      <c r="AP13" s="40">
        <f t="shared" si="12"/>
        <v>5.5</v>
      </c>
      <c r="AQ13" s="40">
        <f t="shared" si="13"/>
        <v>29.000000000000004</v>
      </c>
      <c r="AR13" s="40">
        <f t="shared" si="14"/>
        <v>19.200000000000003</v>
      </c>
      <c r="AS13" s="40">
        <f t="shared" si="15"/>
        <v>9</v>
      </c>
      <c r="AT13" s="40">
        <f t="shared" si="16"/>
        <v>48.2</v>
      </c>
      <c r="AU13" s="40">
        <f t="shared" si="17"/>
        <v>6.5</v>
      </c>
      <c r="AV13" s="40">
        <f t="shared" si="18"/>
        <v>38.6</v>
      </c>
      <c r="AW13" s="40">
        <f t="shared" si="19"/>
        <v>86.800000000000011</v>
      </c>
      <c r="AX13" s="18">
        <v>16.100000000000001</v>
      </c>
      <c r="AY13" s="18">
        <v>4</v>
      </c>
      <c r="AZ13" s="18">
        <v>0</v>
      </c>
      <c r="BA13" s="18">
        <v>0.7</v>
      </c>
      <c r="BB13" s="18">
        <v>16.100000000000001</v>
      </c>
      <c r="BC13" s="18">
        <v>5.0999999999999996</v>
      </c>
      <c r="BD13" s="18">
        <v>0</v>
      </c>
      <c r="BE13" s="18">
        <v>0.7</v>
      </c>
      <c r="BF13" s="18"/>
      <c r="BG13" s="18"/>
      <c r="BH13" s="18"/>
      <c r="BI13" s="18"/>
      <c r="BJ13" s="18">
        <v>15.2</v>
      </c>
      <c r="BK13" s="18">
        <v>4.0999999999999996</v>
      </c>
      <c r="BL13" s="18">
        <v>0</v>
      </c>
      <c r="BM13" s="18">
        <v>0</v>
      </c>
      <c r="BN13" s="18">
        <v>16.100000000000001</v>
      </c>
      <c r="BO13" s="18">
        <v>3.2</v>
      </c>
      <c r="BP13" s="18">
        <v>0.7</v>
      </c>
      <c r="BQ13" s="18">
        <v>0</v>
      </c>
      <c r="BR13" s="28"/>
      <c r="BS13" s="11">
        <f t="shared" si="20"/>
        <v>9.1</v>
      </c>
      <c r="BT13" s="11">
        <f t="shared" si="21"/>
        <v>42.70000000000001</v>
      </c>
      <c r="BU13" s="11" t="str">
        <f t="shared" si="22"/>
        <v/>
      </c>
      <c r="BV13" s="11">
        <f t="shared" si="23"/>
        <v>9.1</v>
      </c>
      <c r="BW13" s="11">
        <f t="shared" si="24"/>
        <v>42.70000000000001</v>
      </c>
      <c r="BX13" s="11">
        <f t="shared" si="25"/>
        <v>7.3</v>
      </c>
      <c r="BY13" s="11">
        <f t="shared" si="26"/>
        <v>37.9</v>
      </c>
      <c r="BZ13" s="11">
        <f t="shared" si="27"/>
        <v>80.600000000000009</v>
      </c>
      <c r="CA13" s="19">
        <v>16.100000000000001</v>
      </c>
      <c r="CB13" s="19">
        <v>3.3</v>
      </c>
      <c r="CC13" s="19">
        <v>0</v>
      </c>
      <c r="CD13" s="19">
        <v>0.7</v>
      </c>
      <c r="CE13" s="19">
        <v>16.8</v>
      </c>
      <c r="CF13" s="19">
        <v>5.0999999999999996</v>
      </c>
      <c r="CG13" s="19">
        <v>0</v>
      </c>
      <c r="CH13" s="19">
        <v>0.7</v>
      </c>
      <c r="CI13" s="19"/>
      <c r="CJ13" s="19"/>
      <c r="CK13" s="19"/>
      <c r="CL13" s="19"/>
      <c r="CM13" s="19">
        <v>15.9</v>
      </c>
      <c r="CN13" s="19">
        <v>5.0999999999999996</v>
      </c>
      <c r="CO13" s="19">
        <v>0</v>
      </c>
      <c r="CP13" s="19">
        <v>0.7</v>
      </c>
      <c r="CQ13" s="19">
        <v>17</v>
      </c>
      <c r="CR13" s="19">
        <v>4.2</v>
      </c>
      <c r="CS13" s="19">
        <v>0</v>
      </c>
      <c r="CT13" s="19">
        <v>0.7</v>
      </c>
      <c r="CU13" s="27"/>
      <c r="CV13" s="40">
        <f t="shared" si="28"/>
        <v>8.3999999999999986</v>
      </c>
      <c r="CW13" s="40">
        <f t="shared" si="29"/>
        <v>42.70000000000001</v>
      </c>
      <c r="CX13" s="40" t="str">
        <f t="shared" si="30"/>
        <v/>
      </c>
      <c r="CY13" s="40">
        <f t="shared" si="31"/>
        <v>8.3999999999999986</v>
      </c>
      <c r="CZ13" s="40">
        <f t="shared" si="32"/>
        <v>42.70000000000001</v>
      </c>
      <c r="DA13" s="40">
        <f t="shared" si="33"/>
        <v>9.3000000000000007</v>
      </c>
      <c r="DB13" s="40">
        <f t="shared" si="34"/>
        <v>43.600000000000009</v>
      </c>
      <c r="DC13" s="40">
        <f t="shared" si="35"/>
        <v>86.300000000000011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3.65</v>
      </c>
      <c r="QF13" s="22">
        <f t="shared" si="136"/>
        <v>0</v>
      </c>
      <c r="QG13" s="22">
        <f t="shared" si="137"/>
        <v>0.7</v>
      </c>
      <c r="QH13" s="22">
        <f t="shared" si="138"/>
        <v>16.450000000000003</v>
      </c>
      <c r="QI13" s="22">
        <f t="shared" si="139"/>
        <v>5.0999999999999996</v>
      </c>
      <c r="QJ13" s="22">
        <f t="shared" si="140"/>
        <v>0</v>
      </c>
      <c r="QK13" s="22">
        <f t="shared" si="141"/>
        <v>0.7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15.55</v>
      </c>
      <c r="QQ13" s="22">
        <f t="shared" si="147"/>
        <v>4.5999999999999996</v>
      </c>
      <c r="QR13" s="22">
        <f t="shared" si="148"/>
        <v>0</v>
      </c>
      <c r="QS13" s="22">
        <f t="shared" si="149"/>
        <v>0.35</v>
      </c>
      <c r="QT13" s="22">
        <f t="shared" si="150"/>
        <v>16.55</v>
      </c>
      <c r="QU13" s="22">
        <f t="shared" si="151"/>
        <v>3.7</v>
      </c>
      <c r="QV13" s="22">
        <f t="shared" si="152"/>
        <v>0.35</v>
      </c>
      <c r="QW13" s="22">
        <f t="shared" si="153"/>
        <v>0.35</v>
      </c>
      <c r="QX13" s="27" t="s">
        <v>46</v>
      </c>
      <c r="QY13" s="40">
        <f t="shared" si="154"/>
        <v>8.75</v>
      </c>
      <c r="QZ13" s="40">
        <f t="shared" si="155"/>
        <v>42.70000000000001</v>
      </c>
      <c r="RA13" s="40" t="str">
        <f t="shared" si="156"/>
        <v/>
      </c>
      <c r="RB13" s="40">
        <f t="shared" si="157"/>
        <v>8.75</v>
      </c>
      <c r="RC13" s="40">
        <f t="shared" si="158"/>
        <v>42.70000000000001</v>
      </c>
      <c r="RD13" s="40">
        <f t="shared" si="159"/>
        <v>8.3000000000000007</v>
      </c>
      <c r="RE13" s="40">
        <f t="shared" si="160"/>
        <v>40.75</v>
      </c>
      <c r="RF13" s="40">
        <f t="shared" si="161"/>
        <v>83.450000000000017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142</v>
      </c>
      <c r="D14" s="4" t="s">
        <v>3</v>
      </c>
      <c r="E14" s="4">
        <v>2007</v>
      </c>
      <c r="F14" s="9">
        <f t="shared" si="0"/>
        <v>126.4000083300043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42.9</v>
      </c>
      <c r="M14" s="8" t="str">
        <f t="shared" si="5"/>
        <v>2025 Elite Canada</v>
      </c>
      <c r="N14" s="8">
        <f>IF(COUNT(AQ14,BT14,CW14)&gt;1,LARGE((AQ14,BT14,CW14),2),0)</f>
        <v>40.4</v>
      </c>
      <c r="O14" s="8" t="str">
        <f t="shared" si="6"/>
        <v>2025 Nationals</v>
      </c>
      <c r="P14" s="8">
        <f t="shared" si="7"/>
        <v>43.1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15.4</v>
      </c>
      <c r="AY14" s="18">
        <v>5.6</v>
      </c>
      <c r="AZ14" s="18">
        <v>0</v>
      </c>
      <c r="BA14" s="18">
        <v>0</v>
      </c>
      <c r="BB14" s="18">
        <v>16.5</v>
      </c>
      <c r="BC14" s="18">
        <v>5.4</v>
      </c>
      <c r="BD14" s="18">
        <v>0</v>
      </c>
      <c r="BE14" s="18">
        <v>0</v>
      </c>
      <c r="BF14" s="18"/>
      <c r="BG14" s="18"/>
      <c r="BH14" s="18"/>
      <c r="BI14" s="18"/>
      <c r="BJ14" s="18">
        <v>15.9</v>
      </c>
      <c r="BK14" s="18">
        <v>5.6</v>
      </c>
      <c r="BL14" s="18">
        <v>0</v>
      </c>
      <c r="BM14" s="18">
        <v>0</v>
      </c>
      <c r="BN14" s="18">
        <v>16.2</v>
      </c>
      <c r="BO14" s="18">
        <v>5.4</v>
      </c>
      <c r="BP14" s="18">
        <v>0</v>
      </c>
      <c r="BQ14" s="18">
        <v>0</v>
      </c>
      <c r="BR14" s="28"/>
      <c r="BS14" s="11">
        <f t="shared" si="20"/>
        <v>11</v>
      </c>
      <c r="BT14" s="11">
        <f t="shared" si="21"/>
        <v>42.9</v>
      </c>
      <c r="BU14" s="11" t="str">
        <f t="shared" si="22"/>
        <v/>
      </c>
      <c r="BV14" s="11">
        <f t="shared" si="23"/>
        <v>11</v>
      </c>
      <c r="BW14" s="11">
        <f t="shared" si="24"/>
        <v>42.9</v>
      </c>
      <c r="BX14" s="11">
        <f t="shared" si="25"/>
        <v>11</v>
      </c>
      <c r="BY14" s="11">
        <f t="shared" si="26"/>
        <v>43.1</v>
      </c>
      <c r="BZ14" s="11">
        <f t="shared" si="27"/>
        <v>86</v>
      </c>
      <c r="CA14" s="19">
        <v>15.7</v>
      </c>
      <c r="CB14" s="19">
        <v>3.4</v>
      </c>
      <c r="CC14" s="19">
        <v>0</v>
      </c>
      <c r="CD14" s="19">
        <v>0</v>
      </c>
      <c r="CE14" s="19">
        <v>15.9</v>
      </c>
      <c r="CF14" s="19">
        <v>5.4</v>
      </c>
      <c r="CG14" s="19">
        <v>0</v>
      </c>
      <c r="CH14" s="19">
        <v>0</v>
      </c>
      <c r="CI14" s="19"/>
      <c r="CJ14" s="19"/>
      <c r="CK14" s="19"/>
      <c r="CL14" s="19"/>
      <c r="CM14" s="19">
        <v>16.5</v>
      </c>
      <c r="CN14" s="19">
        <v>4.9000000000000004</v>
      </c>
      <c r="CO14" s="19">
        <v>0</v>
      </c>
      <c r="CP14" s="19">
        <v>0</v>
      </c>
      <c r="CQ14" s="19">
        <v>16.5</v>
      </c>
      <c r="CR14" s="19">
        <v>4.4000000000000004</v>
      </c>
      <c r="CS14" s="19">
        <v>0</v>
      </c>
      <c r="CT14" s="19">
        <v>0</v>
      </c>
      <c r="CU14" s="27"/>
      <c r="CV14" s="40">
        <f t="shared" si="28"/>
        <v>8.8000000000000007</v>
      </c>
      <c r="CW14" s="40">
        <f t="shared" si="29"/>
        <v>40.4</v>
      </c>
      <c r="CX14" s="40" t="str">
        <f t="shared" si="30"/>
        <v/>
      </c>
      <c r="CY14" s="40">
        <f t="shared" si="31"/>
        <v>8.8000000000000007</v>
      </c>
      <c r="CZ14" s="40">
        <f t="shared" si="32"/>
        <v>40.4</v>
      </c>
      <c r="DA14" s="40">
        <f t="shared" si="33"/>
        <v>9.3000000000000007</v>
      </c>
      <c r="DB14" s="40">
        <f t="shared" si="34"/>
        <v>42.3</v>
      </c>
      <c r="DC14" s="40">
        <f t="shared" si="35"/>
        <v>82.699999999999989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15.55</v>
      </c>
      <c r="QE14" s="22">
        <f t="shared" si="135"/>
        <v>4.5</v>
      </c>
      <c r="QF14" s="22">
        <f t="shared" si="136"/>
        <v>0</v>
      </c>
      <c r="QG14" s="22">
        <f t="shared" si="137"/>
        <v>0</v>
      </c>
      <c r="QH14" s="22">
        <f t="shared" si="138"/>
        <v>16.2</v>
      </c>
      <c r="QI14" s="22">
        <f t="shared" si="139"/>
        <v>5.4</v>
      </c>
      <c r="QJ14" s="22">
        <f t="shared" si="140"/>
        <v>0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16.2</v>
      </c>
      <c r="QQ14" s="22">
        <f t="shared" si="147"/>
        <v>5.25</v>
      </c>
      <c r="QR14" s="22">
        <f t="shared" si="148"/>
        <v>0</v>
      </c>
      <c r="QS14" s="22">
        <f t="shared" si="149"/>
        <v>0</v>
      </c>
      <c r="QT14" s="22">
        <f t="shared" si="150"/>
        <v>16.350000000000001</v>
      </c>
      <c r="QU14" s="22">
        <f t="shared" si="151"/>
        <v>4.9000000000000004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9.9</v>
      </c>
      <c r="QZ14" s="40">
        <f t="shared" si="155"/>
        <v>41.65</v>
      </c>
      <c r="RA14" s="40" t="str">
        <f t="shared" si="156"/>
        <v/>
      </c>
      <c r="RB14" s="40">
        <f t="shared" si="157"/>
        <v>9.9</v>
      </c>
      <c r="RC14" s="40">
        <f t="shared" si="158"/>
        <v>41.65</v>
      </c>
      <c r="RD14" s="40">
        <f t="shared" si="159"/>
        <v>10.15</v>
      </c>
      <c r="RE14" s="40">
        <f t="shared" si="160"/>
        <v>42.699999999999996</v>
      </c>
      <c r="RF14" s="40">
        <f t="shared" si="161"/>
        <v>84.35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133</v>
      </c>
      <c r="D15" s="4" t="s">
        <v>4</v>
      </c>
      <c r="E15" s="4">
        <v>2007</v>
      </c>
      <c r="F15" s="9">
        <f t="shared" si="0"/>
        <v>122.80000816000414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41.599999999999994</v>
      </c>
      <c r="M15" s="8" t="str">
        <f t="shared" si="5"/>
        <v>2025 Nationals</v>
      </c>
      <c r="N15" s="8">
        <f>IF(COUNT(AQ15,BT15,CW15)&gt;1,LARGE((AQ15,BT15,CW15),2),0)</f>
        <v>39.999999999999993</v>
      </c>
      <c r="O15" s="8" t="str">
        <f t="shared" si="6"/>
        <v>2025 Elite Canada</v>
      </c>
      <c r="P15" s="8">
        <f t="shared" si="7"/>
        <v>41.199999999999996</v>
      </c>
      <c r="Q15" s="8" t="str">
        <f t="shared" si="8"/>
        <v>2025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15.4</v>
      </c>
      <c r="V15" s="19">
        <v>4.5999999999999996</v>
      </c>
      <c r="W15" s="19">
        <v>0</v>
      </c>
      <c r="X15" s="19">
        <v>0.6</v>
      </c>
      <c r="Y15" s="19">
        <v>15.6</v>
      </c>
      <c r="Z15" s="19">
        <v>3.9</v>
      </c>
      <c r="AA15" s="19">
        <v>2</v>
      </c>
      <c r="AB15" s="19">
        <v>0.6</v>
      </c>
      <c r="AC15" s="19">
        <v>15</v>
      </c>
      <c r="AD15" s="19">
        <v>2.6</v>
      </c>
      <c r="AE15" s="19">
        <v>0</v>
      </c>
      <c r="AF15" s="19">
        <v>0.6</v>
      </c>
      <c r="AG15" s="19">
        <v>15.6</v>
      </c>
      <c r="AH15" s="19">
        <v>4.5999999999999996</v>
      </c>
      <c r="AI15" s="19">
        <v>0</v>
      </c>
      <c r="AJ15" s="19">
        <v>0.6</v>
      </c>
      <c r="AK15" s="19">
        <v>15.3</v>
      </c>
      <c r="AL15" s="19">
        <v>3.9</v>
      </c>
      <c r="AM15" s="19">
        <v>0</v>
      </c>
      <c r="AN15" s="19">
        <v>0.6</v>
      </c>
      <c r="AO15" s="27"/>
      <c r="AP15" s="40">
        <f t="shared" si="12"/>
        <v>8.5</v>
      </c>
      <c r="AQ15" s="40">
        <f t="shared" si="13"/>
        <v>38.700000000000003</v>
      </c>
      <c r="AR15" s="40">
        <f t="shared" si="14"/>
        <v>18.200000000000003</v>
      </c>
      <c r="AS15" s="40">
        <f t="shared" si="15"/>
        <v>11.1</v>
      </c>
      <c r="AT15" s="40">
        <f t="shared" si="16"/>
        <v>56.900000000000006</v>
      </c>
      <c r="AU15" s="40">
        <f t="shared" si="17"/>
        <v>8.5</v>
      </c>
      <c r="AV15" s="40">
        <f t="shared" si="18"/>
        <v>40.6</v>
      </c>
      <c r="AW15" s="40">
        <f t="shared" si="19"/>
        <v>97.5</v>
      </c>
      <c r="AX15" s="18">
        <v>15.2</v>
      </c>
      <c r="AY15" s="18">
        <v>4.5999999999999996</v>
      </c>
      <c r="AZ15" s="18">
        <v>0</v>
      </c>
      <c r="BA15" s="18">
        <v>0</v>
      </c>
      <c r="BB15" s="18">
        <v>15.4</v>
      </c>
      <c r="BC15" s="18">
        <v>4.8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4.8</v>
      </c>
      <c r="BL15" s="18">
        <v>0.2</v>
      </c>
      <c r="BM15" s="18">
        <v>0</v>
      </c>
      <c r="BN15" s="18">
        <v>15.5</v>
      </c>
      <c r="BO15" s="18">
        <v>5.3</v>
      </c>
      <c r="BP15" s="18">
        <v>0.4</v>
      </c>
      <c r="BQ15" s="18">
        <v>0</v>
      </c>
      <c r="BR15" s="28"/>
      <c r="BS15" s="11">
        <f t="shared" si="20"/>
        <v>9.3999999999999986</v>
      </c>
      <c r="BT15" s="11">
        <f t="shared" si="21"/>
        <v>39.999999999999993</v>
      </c>
      <c r="BU15" s="11" t="str">
        <f t="shared" si="22"/>
        <v/>
      </c>
      <c r="BV15" s="11">
        <f t="shared" si="23"/>
        <v>9.3999999999999986</v>
      </c>
      <c r="BW15" s="11">
        <f t="shared" si="24"/>
        <v>39.999999999999993</v>
      </c>
      <c r="BX15" s="11">
        <f t="shared" si="25"/>
        <v>10.1</v>
      </c>
      <c r="BY15" s="11">
        <f t="shared" si="26"/>
        <v>40.4</v>
      </c>
      <c r="BZ15" s="11">
        <f t="shared" si="27"/>
        <v>80.399999999999991</v>
      </c>
      <c r="CA15" s="19">
        <v>16</v>
      </c>
      <c r="CB15" s="19">
        <v>4.8</v>
      </c>
      <c r="CC15" s="19">
        <v>0</v>
      </c>
      <c r="CD15" s="19">
        <v>0</v>
      </c>
      <c r="CE15" s="19">
        <v>15.5</v>
      </c>
      <c r="CF15" s="19">
        <v>5.3</v>
      </c>
      <c r="CG15" s="19">
        <v>0</v>
      </c>
      <c r="CH15" s="19">
        <v>0</v>
      </c>
      <c r="CI15" s="19"/>
      <c r="CJ15" s="19"/>
      <c r="CK15" s="19"/>
      <c r="CL15" s="19"/>
      <c r="CM15" s="19">
        <v>15.7</v>
      </c>
      <c r="CN15" s="19">
        <v>4.8</v>
      </c>
      <c r="CO15" s="19">
        <v>0.2</v>
      </c>
      <c r="CP15" s="19">
        <v>0</v>
      </c>
      <c r="CQ15" s="19">
        <v>15.6</v>
      </c>
      <c r="CR15" s="19">
        <v>5.3</v>
      </c>
      <c r="CS15" s="19">
        <v>0</v>
      </c>
      <c r="CT15" s="19">
        <v>0</v>
      </c>
      <c r="CU15" s="27"/>
      <c r="CV15" s="40">
        <f t="shared" si="28"/>
        <v>10.1</v>
      </c>
      <c r="CW15" s="40">
        <f t="shared" si="29"/>
        <v>41.599999999999994</v>
      </c>
      <c r="CX15" s="40" t="str">
        <f t="shared" si="30"/>
        <v/>
      </c>
      <c r="CY15" s="40">
        <f t="shared" si="31"/>
        <v>10.1</v>
      </c>
      <c r="CZ15" s="40">
        <f t="shared" si="32"/>
        <v>41.599999999999994</v>
      </c>
      <c r="DA15" s="40">
        <f t="shared" si="33"/>
        <v>10.1</v>
      </c>
      <c r="DB15" s="40">
        <f t="shared" si="34"/>
        <v>41.199999999999996</v>
      </c>
      <c r="DC15" s="40">
        <f t="shared" si="35"/>
        <v>82.799999999999983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15.6</v>
      </c>
      <c r="QE15" s="22">
        <f t="shared" si="135"/>
        <v>4.6999999999999993</v>
      </c>
      <c r="QF15" s="22">
        <f t="shared" si="136"/>
        <v>0</v>
      </c>
      <c r="QG15" s="22">
        <f t="shared" si="137"/>
        <v>0</v>
      </c>
      <c r="QH15" s="22">
        <f t="shared" si="138"/>
        <v>15.45</v>
      </c>
      <c r="QI15" s="22">
        <f t="shared" si="139"/>
        <v>5.05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15.55</v>
      </c>
      <c r="QQ15" s="22">
        <f t="shared" si="147"/>
        <v>4.8</v>
      </c>
      <c r="QR15" s="22">
        <f t="shared" si="148"/>
        <v>0.2</v>
      </c>
      <c r="QS15" s="22">
        <f t="shared" si="149"/>
        <v>0</v>
      </c>
      <c r="QT15" s="22">
        <f t="shared" si="150"/>
        <v>15.55</v>
      </c>
      <c r="QU15" s="22">
        <f t="shared" si="151"/>
        <v>5.3</v>
      </c>
      <c r="QV15" s="22">
        <f t="shared" si="152"/>
        <v>0.2</v>
      </c>
      <c r="QW15" s="22">
        <f t="shared" si="153"/>
        <v>0</v>
      </c>
      <c r="QX15" s="27" t="s">
        <v>46</v>
      </c>
      <c r="QY15" s="40">
        <f t="shared" si="154"/>
        <v>9.75</v>
      </c>
      <c r="QZ15" s="40">
        <f t="shared" si="155"/>
        <v>40.799999999999997</v>
      </c>
      <c r="RA15" s="40" t="str">
        <f t="shared" si="156"/>
        <v/>
      </c>
      <c r="RB15" s="40">
        <f t="shared" si="157"/>
        <v>9.75</v>
      </c>
      <c r="RC15" s="40">
        <f t="shared" si="158"/>
        <v>40.799999999999997</v>
      </c>
      <c r="RD15" s="40">
        <f t="shared" si="159"/>
        <v>10.1</v>
      </c>
      <c r="RE15" s="40">
        <f t="shared" si="160"/>
        <v>40.800000000000004</v>
      </c>
      <c r="RF15" s="40">
        <f t="shared" si="161"/>
        <v>81.599999999999994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95</v>
      </c>
      <c r="D16" s="4" t="s">
        <v>5</v>
      </c>
      <c r="E16" s="4">
        <v>2005</v>
      </c>
      <c r="F16" s="9">
        <f t="shared" si="0"/>
        <v>120.3000079700044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44.1</v>
      </c>
      <c r="M16" s="8" t="str">
        <f t="shared" si="5"/>
        <v>2025 Nationals</v>
      </c>
      <c r="N16" s="8">
        <f>IF(COUNT(AQ16,BT16,CW16)&gt;1,LARGE((AQ16,BT16,CW16),2),0)</f>
        <v>35.599999999999994</v>
      </c>
      <c r="O16" s="8" t="str">
        <f t="shared" si="6"/>
        <v>2025 Elite Canada</v>
      </c>
      <c r="P16" s="8">
        <f t="shared" si="7"/>
        <v>40.600000000000009</v>
      </c>
      <c r="Q16" s="8" t="str">
        <f t="shared" si="8"/>
        <v>2025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9.6999999999999993</v>
      </c>
      <c r="V16" s="19">
        <v>2.4</v>
      </c>
      <c r="W16" s="19">
        <v>0</v>
      </c>
      <c r="X16" s="19">
        <v>0.3</v>
      </c>
      <c r="Y16" s="19">
        <v>13.8</v>
      </c>
      <c r="Z16" s="19">
        <v>2.1</v>
      </c>
      <c r="AA16" s="19">
        <v>5.4</v>
      </c>
      <c r="AB16" s="19">
        <v>0.3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4.5</v>
      </c>
      <c r="AQ16" s="40">
        <f t="shared" si="13"/>
        <v>23.200000000000003</v>
      </c>
      <c r="AR16" s="40" t="str">
        <f t="shared" si="14"/>
        <v/>
      </c>
      <c r="AS16" s="40">
        <f t="shared" si="15"/>
        <v>4.5</v>
      </c>
      <c r="AT16" s="40">
        <f t="shared" si="16"/>
        <v>23.200000000000003</v>
      </c>
      <c r="AU16" s="40" t="str">
        <f t="shared" si="17"/>
        <v/>
      </c>
      <c r="AV16" s="40" t="str">
        <f t="shared" si="18"/>
        <v/>
      </c>
      <c r="AW16" s="40">
        <f t="shared" si="19"/>
        <v>23.200000000000003</v>
      </c>
      <c r="AX16" s="18">
        <v>14</v>
      </c>
      <c r="AY16" s="18">
        <v>4.2</v>
      </c>
      <c r="AZ16" s="18">
        <v>0.4</v>
      </c>
      <c r="BA16" s="18">
        <v>0.7</v>
      </c>
      <c r="BB16" s="18">
        <v>14.2</v>
      </c>
      <c r="BC16" s="18">
        <v>3.5</v>
      </c>
      <c r="BD16" s="18">
        <v>0.6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7.7</v>
      </c>
      <c r="BT16" s="11">
        <f t="shared" si="21"/>
        <v>35.599999999999994</v>
      </c>
      <c r="BU16" s="11" t="str">
        <f t="shared" si="22"/>
        <v/>
      </c>
      <c r="BV16" s="11">
        <f t="shared" si="23"/>
        <v>7.7</v>
      </c>
      <c r="BW16" s="11">
        <f t="shared" si="24"/>
        <v>35.599999999999994</v>
      </c>
      <c r="BX16" s="11" t="str">
        <f t="shared" si="25"/>
        <v/>
      </c>
      <c r="BY16" s="11" t="str">
        <f t="shared" si="26"/>
        <v/>
      </c>
      <c r="BZ16" s="11">
        <f t="shared" si="27"/>
        <v>35.599999999999994</v>
      </c>
      <c r="CA16" s="19">
        <v>15.9</v>
      </c>
      <c r="CB16" s="19">
        <v>6</v>
      </c>
      <c r="CC16" s="19">
        <v>0</v>
      </c>
      <c r="CD16" s="19">
        <v>0.7</v>
      </c>
      <c r="CE16" s="19">
        <v>15.3</v>
      </c>
      <c r="CF16" s="19">
        <v>5.5</v>
      </c>
      <c r="CG16" s="19">
        <v>0</v>
      </c>
      <c r="CH16" s="19">
        <v>0.7</v>
      </c>
      <c r="CI16" s="19"/>
      <c r="CJ16" s="19"/>
      <c r="CK16" s="19"/>
      <c r="CL16" s="19"/>
      <c r="CM16" s="19">
        <v>15.3</v>
      </c>
      <c r="CN16" s="19">
        <v>5.7</v>
      </c>
      <c r="CO16" s="19">
        <v>0</v>
      </c>
      <c r="CP16" s="19">
        <v>0.7</v>
      </c>
      <c r="CQ16" s="19">
        <v>14</v>
      </c>
      <c r="CR16" s="19">
        <v>4.5999999999999996</v>
      </c>
      <c r="CS16" s="19">
        <v>0.4</v>
      </c>
      <c r="CT16" s="19">
        <v>0.7</v>
      </c>
      <c r="CU16" s="27"/>
      <c r="CV16" s="40">
        <f t="shared" si="28"/>
        <v>11.5</v>
      </c>
      <c r="CW16" s="40">
        <f t="shared" si="29"/>
        <v>44.1</v>
      </c>
      <c r="CX16" s="40" t="str">
        <f t="shared" si="30"/>
        <v/>
      </c>
      <c r="CY16" s="40">
        <f t="shared" si="31"/>
        <v>11.5</v>
      </c>
      <c r="CZ16" s="40">
        <f t="shared" si="32"/>
        <v>44.1</v>
      </c>
      <c r="DA16" s="40">
        <f t="shared" si="33"/>
        <v>10.3</v>
      </c>
      <c r="DB16" s="40">
        <f t="shared" si="34"/>
        <v>40.600000000000009</v>
      </c>
      <c r="DC16" s="40">
        <f t="shared" si="35"/>
        <v>84.700000000000017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14.95</v>
      </c>
      <c r="QE16" s="22">
        <f t="shared" si="135"/>
        <v>5.0999999999999996</v>
      </c>
      <c r="QF16" s="22">
        <f t="shared" si="136"/>
        <v>0.2</v>
      </c>
      <c r="QG16" s="22">
        <f t="shared" si="137"/>
        <v>0.7</v>
      </c>
      <c r="QH16" s="22">
        <f t="shared" si="138"/>
        <v>14.75</v>
      </c>
      <c r="QI16" s="22">
        <f t="shared" si="139"/>
        <v>4.5</v>
      </c>
      <c r="QJ16" s="22">
        <f t="shared" si="140"/>
        <v>0.3</v>
      </c>
      <c r="QK16" s="22">
        <f t="shared" si="141"/>
        <v>0.35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7.65</v>
      </c>
      <c r="QQ16" s="22">
        <f t="shared" si="147"/>
        <v>2.85</v>
      </c>
      <c r="QR16" s="22">
        <f t="shared" si="148"/>
        <v>0</v>
      </c>
      <c r="QS16" s="22">
        <f t="shared" si="149"/>
        <v>0.35</v>
      </c>
      <c r="QT16" s="22">
        <f t="shared" si="150"/>
        <v>7</v>
      </c>
      <c r="QU16" s="22">
        <f t="shared" si="151"/>
        <v>2.2999999999999998</v>
      </c>
      <c r="QV16" s="22">
        <f t="shared" si="152"/>
        <v>0.2</v>
      </c>
      <c r="QW16" s="22">
        <f t="shared" si="153"/>
        <v>0.35</v>
      </c>
      <c r="QX16" s="27" t="s">
        <v>46</v>
      </c>
      <c r="QY16" s="40">
        <f t="shared" si="154"/>
        <v>9.6</v>
      </c>
      <c r="QZ16" s="40">
        <f t="shared" si="155"/>
        <v>39.85</v>
      </c>
      <c r="RA16" s="40" t="str">
        <f t="shared" si="156"/>
        <v/>
      </c>
      <c r="RB16" s="40">
        <f t="shared" si="157"/>
        <v>9.6</v>
      </c>
      <c r="RC16" s="40">
        <f t="shared" si="158"/>
        <v>39.85</v>
      </c>
      <c r="RD16" s="40">
        <f t="shared" si="159"/>
        <v>5.15</v>
      </c>
      <c r="RE16" s="40">
        <f t="shared" si="160"/>
        <v>20.300000000000004</v>
      </c>
      <c r="RF16" s="40">
        <f t="shared" si="161"/>
        <v>60.150000000000006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175</v>
      </c>
      <c r="D17" s="4" t="s">
        <v>4</v>
      </c>
      <c r="E17" s="4">
        <v>2004</v>
      </c>
      <c r="F17" s="9">
        <f t="shared" si="0"/>
        <v>120.20000766000385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38.699999999999996</v>
      </c>
      <c r="M17" s="8" t="str">
        <f t="shared" si="5"/>
        <v>2025 Elite Canada</v>
      </c>
      <c r="N17" s="8">
        <f>IF(COUNT(AQ17,BT17,CW17)&gt;1,LARGE((AQ17,BT17,CW17),2),0)</f>
        <v>37.9</v>
      </c>
      <c r="O17" s="8" t="str">
        <f t="shared" si="6"/>
        <v>2025 Nationals</v>
      </c>
      <c r="P17" s="8">
        <f t="shared" si="7"/>
        <v>43.599999999999994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14.2</v>
      </c>
      <c r="AY17" s="18">
        <v>5.3</v>
      </c>
      <c r="AZ17" s="18">
        <v>0.2</v>
      </c>
      <c r="BA17" s="18">
        <v>0</v>
      </c>
      <c r="BB17" s="18">
        <v>15.6</v>
      </c>
      <c r="BC17" s="18">
        <v>4</v>
      </c>
      <c r="BD17" s="18">
        <v>0.2</v>
      </c>
      <c r="BE17" s="18">
        <v>0</v>
      </c>
      <c r="BF17" s="18"/>
      <c r="BG17" s="18"/>
      <c r="BH17" s="18"/>
      <c r="BI17" s="18"/>
      <c r="BJ17" s="18">
        <v>15.7</v>
      </c>
      <c r="BK17" s="18">
        <v>6.2</v>
      </c>
      <c r="BL17" s="18">
        <v>0</v>
      </c>
      <c r="BM17" s="18">
        <v>0</v>
      </c>
      <c r="BN17" s="18">
        <v>16.399999999999999</v>
      </c>
      <c r="BO17" s="18">
        <v>5.3</v>
      </c>
      <c r="BP17" s="18">
        <v>0</v>
      </c>
      <c r="BQ17" s="18">
        <v>0</v>
      </c>
      <c r="BR17" s="28"/>
      <c r="BS17" s="11">
        <f t="shared" si="20"/>
        <v>9.3000000000000007</v>
      </c>
      <c r="BT17" s="11">
        <f t="shared" si="21"/>
        <v>38.699999999999996</v>
      </c>
      <c r="BU17" s="11" t="str">
        <f t="shared" si="22"/>
        <v/>
      </c>
      <c r="BV17" s="11">
        <f t="shared" si="23"/>
        <v>9.3000000000000007</v>
      </c>
      <c r="BW17" s="11">
        <f t="shared" si="24"/>
        <v>38.699999999999996</v>
      </c>
      <c r="BX17" s="11">
        <f t="shared" si="25"/>
        <v>11.5</v>
      </c>
      <c r="BY17" s="11">
        <f t="shared" si="26"/>
        <v>43.599999999999994</v>
      </c>
      <c r="BZ17" s="11">
        <f t="shared" si="27"/>
        <v>82.299999999999983</v>
      </c>
      <c r="CA17" s="19">
        <v>16.100000000000001</v>
      </c>
      <c r="CB17" s="19">
        <v>4.5999999999999996</v>
      </c>
      <c r="CC17" s="19">
        <v>0.2</v>
      </c>
      <c r="CD17" s="19">
        <v>0</v>
      </c>
      <c r="CE17" s="19">
        <v>15.5</v>
      </c>
      <c r="CF17" s="19">
        <v>3.9</v>
      </c>
      <c r="CG17" s="19">
        <v>2</v>
      </c>
      <c r="CH17" s="19">
        <v>0</v>
      </c>
      <c r="CI17" s="19"/>
      <c r="CJ17" s="19"/>
      <c r="CK17" s="19"/>
      <c r="CL17" s="19"/>
      <c r="CM17" s="19">
        <v>14.8</v>
      </c>
      <c r="CN17" s="19">
        <v>2.9</v>
      </c>
      <c r="CO17" s="19">
        <v>0</v>
      </c>
      <c r="CP17" s="19">
        <v>0.7</v>
      </c>
      <c r="CQ17" s="19"/>
      <c r="CR17" s="19"/>
      <c r="CS17" s="19"/>
      <c r="CT17" s="19"/>
      <c r="CU17" s="27"/>
      <c r="CV17" s="40">
        <f t="shared" si="28"/>
        <v>8.5</v>
      </c>
      <c r="CW17" s="40">
        <f t="shared" si="29"/>
        <v>37.9</v>
      </c>
      <c r="CX17" s="40" t="str">
        <f t="shared" si="30"/>
        <v/>
      </c>
      <c r="CY17" s="40">
        <f t="shared" si="31"/>
        <v>8.5</v>
      </c>
      <c r="CZ17" s="40">
        <f t="shared" si="32"/>
        <v>37.9</v>
      </c>
      <c r="DA17" s="40">
        <f t="shared" si="33"/>
        <v>2.9</v>
      </c>
      <c r="DB17" s="40">
        <f t="shared" si="34"/>
        <v>18.399999999999999</v>
      </c>
      <c r="DC17" s="40">
        <f t="shared" si="35"/>
        <v>56.3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15.15</v>
      </c>
      <c r="QE17" s="22">
        <f t="shared" si="135"/>
        <v>4.9499999999999993</v>
      </c>
      <c r="QF17" s="22">
        <f t="shared" si="136"/>
        <v>0.2</v>
      </c>
      <c r="QG17" s="22">
        <f t="shared" si="137"/>
        <v>0</v>
      </c>
      <c r="QH17" s="22">
        <f t="shared" si="138"/>
        <v>15.55</v>
      </c>
      <c r="QI17" s="22">
        <f t="shared" si="139"/>
        <v>3.95</v>
      </c>
      <c r="QJ17" s="22">
        <f t="shared" si="140"/>
        <v>1.1000000000000001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15.25</v>
      </c>
      <c r="QQ17" s="22">
        <f t="shared" si="147"/>
        <v>4.55</v>
      </c>
      <c r="QR17" s="22">
        <f t="shared" si="148"/>
        <v>0</v>
      </c>
      <c r="QS17" s="22">
        <f t="shared" si="149"/>
        <v>0.35</v>
      </c>
      <c r="QT17" s="22">
        <f t="shared" si="150"/>
        <v>8.1999999999999993</v>
      </c>
      <c r="QU17" s="22">
        <f t="shared" si="151"/>
        <v>2.65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8.8999999999999986</v>
      </c>
      <c r="QZ17" s="40">
        <f t="shared" si="155"/>
        <v>38.300000000000004</v>
      </c>
      <c r="RA17" s="40" t="str">
        <f t="shared" si="156"/>
        <v/>
      </c>
      <c r="RB17" s="40">
        <f t="shared" si="157"/>
        <v>8.8999999999999986</v>
      </c>
      <c r="RC17" s="40">
        <f t="shared" si="158"/>
        <v>38.300000000000004</v>
      </c>
      <c r="RD17" s="40">
        <f t="shared" si="159"/>
        <v>7.1999999999999993</v>
      </c>
      <c r="RE17" s="40">
        <f t="shared" si="160"/>
        <v>31</v>
      </c>
      <c r="RF17" s="40">
        <f t="shared" si="161"/>
        <v>69.300000000000011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137</v>
      </c>
      <c r="D18" s="4" t="s">
        <v>5</v>
      </c>
      <c r="E18" s="4">
        <v>2007</v>
      </c>
      <c r="F18" s="9">
        <f t="shared" si="0"/>
        <v>118.80000785000401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40.1</v>
      </c>
      <c r="M18" s="8" t="str">
        <f t="shared" si="5"/>
        <v>2025 Elite Canada</v>
      </c>
      <c r="N18" s="8">
        <f>IF(COUNT(AQ18,BT18,CW18)&gt;1,LARGE((AQ18,BT18,CW18),2),0)</f>
        <v>38.4</v>
      </c>
      <c r="O18" s="8" t="str">
        <f t="shared" si="6"/>
        <v>2025 Nationals</v>
      </c>
      <c r="P18" s="8">
        <f t="shared" si="7"/>
        <v>40.299999999999997</v>
      </c>
      <c r="Q18" s="8" t="str">
        <f t="shared" si="8"/>
        <v>2025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15.9</v>
      </c>
      <c r="V18" s="19">
        <v>3.3</v>
      </c>
      <c r="W18" s="19">
        <v>0</v>
      </c>
      <c r="X18" s="19">
        <v>0</v>
      </c>
      <c r="Y18" s="19">
        <v>15.2</v>
      </c>
      <c r="Z18" s="19">
        <v>2</v>
      </c>
      <c r="AA18" s="19">
        <v>0</v>
      </c>
      <c r="AB18" s="19">
        <v>0.3</v>
      </c>
      <c r="AC18" s="19">
        <v>15.6</v>
      </c>
      <c r="AD18" s="19">
        <v>3.3</v>
      </c>
      <c r="AE18" s="19">
        <v>0.2</v>
      </c>
      <c r="AF18" s="19">
        <v>0.3</v>
      </c>
      <c r="AG18" s="19">
        <v>14.2</v>
      </c>
      <c r="AH18" s="19">
        <v>3.5</v>
      </c>
      <c r="AI18" s="19">
        <v>0</v>
      </c>
      <c r="AJ18" s="19">
        <v>0</v>
      </c>
      <c r="AK18" s="19">
        <v>15.9</v>
      </c>
      <c r="AL18" s="19">
        <v>4</v>
      </c>
      <c r="AM18" s="19">
        <v>0</v>
      </c>
      <c r="AN18" s="19">
        <v>0.3</v>
      </c>
      <c r="AO18" s="27"/>
      <c r="AP18" s="40">
        <f t="shared" si="12"/>
        <v>5.3</v>
      </c>
      <c r="AQ18" s="40">
        <f t="shared" si="13"/>
        <v>36.699999999999996</v>
      </c>
      <c r="AR18" s="40">
        <f t="shared" si="14"/>
        <v>19</v>
      </c>
      <c r="AS18" s="40">
        <f t="shared" si="15"/>
        <v>8.6</v>
      </c>
      <c r="AT18" s="40">
        <f t="shared" si="16"/>
        <v>55.699999999999996</v>
      </c>
      <c r="AU18" s="40">
        <f t="shared" si="17"/>
        <v>7.5</v>
      </c>
      <c r="AV18" s="40">
        <f t="shared" si="18"/>
        <v>37.9</v>
      </c>
      <c r="AW18" s="40">
        <f t="shared" si="19"/>
        <v>93.6</v>
      </c>
      <c r="AX18" s="18">
        <v>16</v>
      </c>
      <c r="AY18" s="18">
        <v>4.2</v>
      </c>
      <c r="AZ18" s="18">
        <v>0</v>
      </c>
      <c r="BA18" s="18">
        <v>0</v>
      </c>
      <c r="BB18" s="18">
        <v>15.9</v>
      </c>
      <c r="BC18" s="18">
        <v>4</v>
      </c>
      <c r="BD18" s="18">
        <v>0</v>
      </c>
      <c r="BE18" s="18">
        <v>0</v>
      </c>
      <c r="BF18" s="18"/>
      <c r="BG18" s="18"/>
      <c r="BH18" s="18"/>
      <c r="BI18" s="18"/>
      <c r="BJ18" s="18">
        <v>16</v>
      </c>
      <c r="BK18" s="18">
        <v>4.2</v>
      </c>
      <c r="BL18" s="18">
        <v>0</v>
      </c>
      <c r="BM18" s="18">
        <v>0</v>
      </c>
      <c r="BN18" s="18">
        <v>16.100000000000001</v>
      </c>
      <c r="BO18" s="18">
        <v>4</v>
      </c>
      <c r="BP18" s="18">
        <v>0</v>
      </c>
      <c r="BQ18" s="18">
        <v>0</v>
      </c>
      <c r="BR18" s="28"/>
      <c r="BS18" s="11">
        <f t="shared" si="20"/>
        <v>8.1999999999999993</v>
      </c>
      <c r="BT18" s="11">
        <f t="shared" si="21"/>
        <v>40.1</v>
      </c>
      <c r="BU18" s="11" t="str">
        <f t="shared" si="22"/>
        <v/>
      </c>
      <c r="BV18" s="11">
        <f t="shared" si="23"/>
        <v>8.1999999999999993</v>
      </c>
      <c r="BW18" s="11">
        <f t="shared" si="24"/>
        <v>40.1</v>
      </c>
      <c r="BX18" s="11">
        <f t="shared" si="25"/>
        <v>8.1999999999999993</v>
      </c>
      <c r="BY18" s="11">
        <f t="shared" si="26"/>
        <v>40.299999999999997</v>
      </c>
      <c r="BZ18" s="11">
        <f t="shared" si="27"/>
        <v>80.400000000000006</v>
      </c>
      <c r="CA18" s="19">
        <v>15.7</v>
      </c>
      <c r="CB18" s="19">
        <v>2</v>
      </c>
      <c r="CC18" s="19">
        <v>0</v>
      </c>
      <c r="CD18" s="19">
        <v>0</v>
      </c>
      <c r="CE18" s="19">
        <v>16.7</v>
      </c>
      <c r="CF18" s="19">
        <v>4</v>
      </c>
      <c r="CG18" s="19">
        <v>0</v>
      </c>
      <c r="CH18" s="19">
        <v>0</v>
      </c>
      <c r="CI18" s="19"/>
      <c r="CJ18" s="19"/>
      <c r="CK18" s="19"/>
      <c r="CL18" s="19"/>
      <c r="CM18" s="19">
        <v>16.2</v>
      </c>
      <c r="CN18" s="19">
        <v>4.2</v>
      </c>
      <c r="CO18" s="19">
        <v>0</v>
      </c>
      <c r="CP18" s="19">
        <v>0</v>
      </c>
      <c r="CQ18" s="19">
        <v>14.3</v>
      </c>
      <c r="CR18" s="19">
        <v>4</v>
      </c>
      <c r="CS18" s="19">
        <v>0.2</v>
      </c>
      <c r="CT18" s="19">
        <v>0</v>
      </c>
      <c r="CU18" s="27"/>
      <c r="CV18" s="40">
        <f t="shared" si="28"/>
        <v>6</v>
      </c>
      <c r="CW18" s="40">
        <f t="shared" si="29"/>
        <v>38.4</v>
      </c>
      <c r="CX18" s="40" t="str">
        <f t="shared" si="30"/>
        <v/>
      </c>
      <c r="CY18" s="40">
        <f t="shared" si="31"/>
        <v>6</v>
      </c>
      <c r="CZ18" s="40">
        <f t="shared" si="32"/>
        <v>38.4</v>
      </c>
      <c r="DA18" s="40">
        <f t="shared" si="33"/>
        <v>8.1999999999999993</v>
      </c>
      <c r="DB18" s="40">
        <f t="shared" si="34"/>
        <v>38.5</v>
      </c>
      <c r="DC18" s="40">
        <f t="shared" si="35"/>
        <v>76.900000000000006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15.85</v>
      </c>
      <c r="QE18" s="22">
        <f t="shared" si="135"/>
        <v>3.1</v>
      </c>
      <c r="QF18" s="22">
        <f t="shared" si="136"/>
        <v>0</v>
      </c>
      <c r="QG18" s="22">
        <f t="shared" si="137"/>
        <v>0</v>
      </c>
      <c r="QH18" s="22">
        <f t="shared" si="138"/>
        <v>16.3</v>
      </c>
      <c r="QI18" s="22">
        <f t="shared" si="139"/>
        <v>4</v>
      </c>
      <c r="QJ18" s="22">
        <f t="shared" si="140"/>
        <v>0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16.100000000000001</v>
      </c>
      <c r="QQ18" s="22">
        <f t="shared" si="147"/>
        <v>4.2</v>
      </c>
      <c r="QR18" s="22">
        <f t="shared" si="148"/>
        <v>0</v>
      </c>
      <c r="QS18" s="22">
        <f t="shared" si="149"/>
        <v>0</v>
      </c>
      <c r="QT18" s="22">
        <f t="shared" si="150"/>
        <v>15.200000000000001</v>
      </c>
      <c r="QU18" s="22">
        <f t="shared" si="151"/>
        <v>4</v>
      </c>
      <c r="QV18" s="22">
        <f t="shared" si="152"/>
        <v>0.1</v>
      </c>
      <c r="QW18" s="22">
        <f t="shared" si="153"/>
        <v>0</v>
      </c>
      <c r="QX18" s="27" t="s">
        <v>46</v>
      </c>
      <c r="QY18" s="40">
        <f t="shared" si="154"/>
        <v>7.1</v>
      </c>
      <c r="QZ18" s="40">
        <f t="shared" si="155"/>
        <v>39.25</v>
      </c>
      <c r="RA18" s="40" t="str">
        <f t="shared" si="156"/>
        <v/>
      </c>
      <c r="RB18" s="40">
        <f t="shared" si="157"/>
        <v>7.1</v>
      </c>
      <c r="RC18" s="40">
        <f t="shared" si="158"/>
        <v>39.25</v>
      </c>
      <c r="RD18" s="40">
        <f t="shared" si="159"/>
        <v>8.1999999999999993</v>
      </c>
      <c r="RE18" s="40">
        <f t="shared" si="160"/>
        <v>39.4</v>
      </c>
      <c r="RF18" s="40">
        <f t="shared" si="161"/>
        <v>78.650000000000006</v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122</v>
      </c>
      <c r="D19" s="4" t="s">
        <v>4</v>
      </c>
      <c r="E19" s="4">
        <v>2005</v>
      </c>
      <c r="F19" s="9">
        <f t="shared" si="0"/>
        <v>118.20000763000391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38.9</v>
      </c>
      <c r="M19" s="8" t="str">
        <f t="shared" si="5"/>
        <v>2025 Nationals</v>
      </c>
      <c r="N19" s="8">
        <f>IF(COUNT(AQ19,BT19,CW19)&gt;1,LARGE((AQ19,BT19,CW19),2),0)</f>
        <v>37.400000000000006</v>
      </c>
      <c r="O19" s="8" t="str">
        <f t="shared" si="6"/>
        <v>2024 3rd Domestic Trial</v>
      </c>
      <c r="P19" s="8">
        <f t="shared" si="7"/>
        <v>41.900000000000006</v>
      </c>
      <c r="Q19" s="8" t="str">
        <f t="shared" si="8"/>
        <v>2024 3rd Domestic Trial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15.9</v>
      </c>
      <c r="V19" s="19">
        <v>4.5999999999999996</v>
      </c>
      <c r="W19" s="19">
        <v>0.2</v>
      </c>
      <c r="X19" s="19">
        <v>0.6</v>
      </c>
      <c r="Y19" s="19">
        <v>14.8</v>
      </c>
      <c r="Z19" s="19">
        <v>3.5</v>
      </c>
      <c r="AA19" s="19">
        <v>2.4</v>
      </c>
      <c r="AB19" s="19">
        <v>0.6</v>
      </c>
      <c r="AC19" s="19">
        <v>15.6</v>
      </c>
      <c r="AD19" s="19">
        <v>4.5999999999999996</v>
      </c>
      <c r="AE19" s="19">
        <v>0</v>
      </c>
      <c r="AF19" s="19">
        <v>0.6</v>
      </c>
      <c r="AG19" s="19">
        <v>15.5</v>
      </c>
      <c r="AH19" s="19">
        <v>4.5999999999999996</v>
      </c>
      <c r="AI19" s="19">
        <v>0</v>
      </c>
      <c r="AJ19" s="19">
        <v>0.6</v>
      </c>
      <c r="AK19" s="19">
        <v>16</v>
      </c>
      <c r="AL19" s="19">
        <v>4.5999999999999996</v>
      </c>
      <c r="AM19" s="19">
        <v>0</v>
      </c>
      <c r="AN19" s="19">
        <v>0.6</v>
      </c>
      <c r="AO19" s="27"/>
      <c r="AP19" s="40">
        <f t="shared" si="12"/>
        <v>8.1</v>
      </c>
      <c r="AQ19" s="40">
        <f t="shared" si="13"/>
        <v>37.400000000000006</v>
      </c>
      <c r="AR19" s="40">
        <f t="shared" si="14"/>
        <v>20.8</v>
      </c>
      <c r="AS19" s="40">
        <f t="shared" si="15"/>
        <v>12.7</v>
      </c>
      <c r="AT19" s="40">
        <f t="shared" si="16"/>
        <v>58.2</v>
      </c>
      <c r="AU19" s="40">
        <f t="shared" si="17"/>
        <v>9.1999999999999993</v>
      </c>
      <c r="AV19" s="40">
        <f t="shared" si="18"/>
        <v>41.900000000000006</v>
      </c>
      <c r="AW19" s="40">
        <f t="shared" si="19"/>
        <v>100.10000000000001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>
        <v>15.7</v>
      </c>
      <c r="CB19" s="19">
        <v>4.8</v>
      </c>
      <c r="CC19" s="19">
        <v>0.2</v>
      </c>
      <c r="CD19" s="19">
        <v>0</v>
      </c>
      <c r="CE19" s="19">
        <v>14.4</v>
      </c>
      <c r="CF19" s="19">
        <v>4.2</v>
      </c>
      <c r="CG19" s="19">
        <v>0</v>
      </c>
      <c r="CH19" s="19">
        <v>0</v>
      </c>
      <c r="CI19" s="19"/>
      <c r="CJ19" s="19"/>
      <c r="CK19" s="19"/>
      <c r="CL19" s="19"/>
      <c r="CM19" s="19">
        <v>16.100000000000001</v>
      </c>
      <c r="CN19" s="19">
        <v>4.8</v>
      </c>
      <c r="CO19" s="19">
        <v>0</v>
      </c>
      <c r="CP19" s="19">
        <v>0</v>
      </c>
      <c r="CQ19" s="19">
        <v>15.6</v>
      </c>
      <c r="CR19" s="19">
        <v>5.3</v>
      </c>
      <c r="CS19" s="19">
        <v>0</v>
      </c>
      <c r="CT19" s="19">
        <v>0</v>
      </c>
      <c r="CU19" s="27"/>
      <c r="CV19" s="40">
        <f t="shared" si="28"/>
        <v>9</v>
      </c>
      <c r="CW19" s="40">
        <f t="shared" si="29"/>
        <v>38.9</v>
      </c>
      <c r="CX19" s="40" t="str">
        <f t="shared" si="30"/>
        <v/>
      </c>
      <c r="CY19" s="40">
        <f t="shared" si="31"/>
        <v>9</v>
      </c>
      <c r="CZ19" s="40">
        <f t="shared" si="32"/>
        <v>38.9</v>
      </c>
      <c r="DA19" s="40">
        <f t="shared" si="33"/>
        <v>10.1</v>
      </c>
      <c r="DB19" s="40">
        <f t="shared" si="34"/>
        <v>41.8</v>
      </c>
      <c r="DC19" s="40">
        <f t="shared" si="35"/>
        <v>80.699999999999989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7.85</v>
      </c>
      <c r="QE19" s="22">
        <f t="shared" si="135"/>
        <v>2.4</v>
      </c>
      <c r="QF19" s="22">
        <f t="shared" si="136"/>
        <v>0.1</v>
      </c>
      <c r="QG19" s="22">
        <f t="shared" si="137"/>
        <v>0</v>
      </c>
      <c r="QH19" s="22">
        <f t="shared" si="138"/>
        <v>7.2</v>
      </c>
      <c r="QI19" s="22">
        <f t="shared" si="139"/>
        <v>2.1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8.0500000000000007</v>
      </c>
      <c r="QQ19" s="22">
        <f t="shared" si="147"/>
        <v>2.4</v>
      </c>
      <c r="QR19" s="22">
        <f t="shared" si="148"/>
        <v>0</v>
      </c>
      <c r="QS19" s="22">
        <f t="shared" si="149"/>
        <v>0</v>
      </c>
      <c r="QT19" s="22">
        <f t="shared" si="150"/>
        <v>7.8</v>
      </c>
      <c r="QU19" s="22">
        <f t="shared" si="151"/>
        <v>2.65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4.5</v>
      </c>
      <c r="QZ19" s="40">
        <f t="shared" si="155"/>
        <v>19.45</v>
      </c>
      <c r="RA19" s="40" t="str">
        <f t="shared" si="156"/>
        <v/>
      </c>
      <c r="RB19" s="40">
        <f t="shared" si="157"/>
        <v>4.5</v>
      </c>
      <c r="RC19" s="40">
        <f t="shared" si="158"/>
        <v>19.45</v>
      </c>
      <c r="RD19" s="40">
        <f t="shared" si="159"/>
        <v>5.05</v>
      </c>
      <c r="RE19" s="40">
        <f t="shared" si="160"/>
        <v>20.9</v>
      </c>
      <c r="RF19" s="40">
        <f t="shared" si="161"/>
        <v>40.349999999999994</v>
      </c>
    </row>
    <row r="20" spans="1:474" x14ac:dyDescent="0.2">
      <c r="A20" s="4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>9</v>
      </c>
      <c r="B20" s="4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>4</v>
      </c>
      <c r="C20" s="5" t="s">
        <v>174</v>
      </c>
      <c r="D20" s="4" t="s">
        <v>6</v>
      </c>
      <c r="E20" s="4">
        <v>2007</v>
      </c>
      <c r="F20" s="9">
        <f t="shared" si="0"/>
        <v>89.600004470004464</v>
      </c>
      <c r="G20" s="64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IF(COUNT(AQ20,BT20,CW20)&gt;0,LARGE((AQ20,BT20,CW20),1),0)</f>
        <v>44.7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44.899999999999991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</v>
      </c>
      <c r="AY20" s="18">
        <v>4.3</v>
      </c>
      <c r="AZ20" s="18">
        <v>0</v>
      </c>
      <c r="BA20" s="18">
        <v>0</v>
      </c>
      <c r="BB20" s="18">
        <v>18.100000000000001</v>
      </c>
      <c r="BC20" s="18">
        <v>4.3</v>
      </c>
      <c r="BD20" s="18">
        <v>0</v>
      </c>
      <c r="BE20" s="18">
        <v>0</v>
      </c>
      <c r="BF20" s="18"/>
      <c r="BG20" s="18"/>
      <c r="BH20" s="18"/>
      <c r="BI20" s="18"/>
      <c r="BJ20" s="18">
        <v>17.899999999999999</v>
      </c>
      <c r="BK20" s="18">
        <v>4.0999999999999996</v>
      </c>
      <c r="BL20" s="18">
        <v>0.2</v>
      </c>
      <c r="BM20" s="18">
        <v>0</v>
      </c>
      <c r="BN20" s="18">
        <v>18.8</v>
      </c>
      <c r="BO20" s="18">
        <v>4.3</v>
      </c>
      <c r="BP20" s="18">
        <v>0</v>
      </c>
      <c r="BQ20" s="18">
        <v>0</v>
      </c>
      <c r="BR20" s="28"/>
      <c r="BS20" s="11">
        <f t="shared" si="20"/>
        <v>8.6</v>
      </c>
      <c r="BT20" s="11">
        <f t="shared" si="21"/>
        <v>44.7</v>
      </c>
      <c r="BU20" s="11" t="str">
        <f t="shared" si="22"/>
        <v/>
      </c>
      <c r="BV20" s="11">
        <f t="shared" si="23"/>
        <v>8.6</v>
      </c>
      <c r="BW20" s="11">
        <f t="shared" si="24"/>
        <v>44.7</v>
      </c>
      <c r="BX20" s="11">
        <f t="shared" si="25"/>
        <v>8.3999999999999986</v>
      </c>
      <c r="BY20" s="11">
        <f t="shared" si="26"/>
        <v>44.899999999999991</v>
      </c>
      <c r="BZ20" s="11">
        <f t="shared" si="27"/>
        <v>89.6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8"/>
        <v/>
      </c>
      <c r="CW20" s="40" t="str">
        <f t="shared" si="29"/>
        <v/>
      </c>
      <c r="CX20" s="40" t="str">
        <f t="shared" si="30"/>
        <v/>
      </c>
      <c r="CY20" s="40" t="str">
        <f t="shared" si="31"/>
        <v/>
      </c>
      <c r="CZ20" s="40" t="str">
        <f t="shared" si="32"/>
        <v/>
      </c>
      <c r="DA20" s="40" t="str">
        <f t="shared" si="33"/>
        <v/>
      </c>
      <c r="DB20" s="40" t="str">
        <f t="shared" si="34"/>
        <v/>
      </c>
      <c r="DC20" s="40" t="str">
        <f t="shared" si="35"/>
        <v/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9</v>
      </c>
      <c r="QE20" s="22">
        <f t="shared" si="135"/>
        <v>2.15</v>
      </c>
      <c r="QF20" s="22">
        <f t="shared" si="136"/>
        <v>0</v>
      </c>
      <c r="QG20" s="22">
        <f t="shared" si="137"/>
        <v>0</v>
      </c>
      <c r="QH20" s="22">
        <f t="shared" si="138"/>
        <v>9.0500000000000007</v>
      </c>
      <c r="QI20" s="22">
        <f t="shared" si="139"/>
        <v>2.15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8.9499999999999993</v>
      </c>
      <c r="QQ20" s="22">
        <f t="shared" si="147"/>
        <v>2.0499999999999998</v>
      </c>
      <c r="QR20" s="22">
        <f t="shared" si="148"/>
        <v>0.1</v>
      </c>
      <c r="QS20" s="22">
        <f t="shared" si="149"/>
        <v>0</v>
      </c>
      <c r="QT20" s="22">
        <f t="shared" si="150"/>
        <v>9.4</v>
      </c>
      <c r="QU20" s="22">
        <f t="shared" si="151"/>
        <v>2.15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4.3</v>
      </c>
      <c r="QZ20" s="40">
        <f t="shared" si="155"/>
        <v>22.35</v>
      </c>
      <c r="RA20" s="40" t="str">
        <f t="shared" si="156"/>
        <v/>
      </c>
      <c r="RB20" s="40">
        <f t="shared" si="157"/>
        <v>4.3</v>
      </c>
      <c r="RC20" s="40">
        <f t="shared" si="158"/>
        <v>22.35</v>
      </c>
      <c r="RD20" s="40">
        <f t="shared" si="159"/>
        <v>4.1999999999999993</v>
      </c>
      <c r="RE20" s="40">
        <f t="shared" si="160"/>
        <v>22.449999999999996</v>
      </c>
      <c r="RF20" s="40">
        <f t="shared" si="161"/>
        <v>44.8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9.5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43.9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198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110</v>
      </c>
      <c r="D4" s="4" t="s">
        <v>4</v>
      </c>
      <c r="E4" s="4">
        <v>2006</v>
      </c>
      <c r="F4" s="9">
        <f t="shared" ref="F4:F18" si="0">SUM(L4:R4)+SUM(L4:O4)*0.0000001+SUM(L4)*0.0000000000001</f>
        <v>137.90000911000462</v>
      </c>
      <c r="G4" s="64" t="s">
        <v>46</v>
      </c>
      <c r="H4" s="3" t="str">
        <f t="shared" ref="H4:H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 t="shared" ref="I4:I18" si="2"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 t="shared" ref="J4:J18" si="3"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 t="shared" ref="K4:K18" si="4"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 t="shared" ref="M4:M18" si="5">IF(L4=0,"",IF(L4=CW4,$CA$1,IF(L4=BT4,$AX$1,IF(L4=AQ4,$U$1,""))))</f>
        <v>2025 Nationals</v>
      </c>
      <c r="N4" s="8">
        <f>IF(COUNT(AQ4,BT4,CW4)&gt;1,LARGE((AQ4,BT4,CW4),2),0)</f>
        <v>45.000000000000007</v>
      </c>
      <c r="O4" s="8" t="str">
        <f t="shared" ref="O4:O18" si="6">IF(N4=0,"",IF(AND(N4=L4,N4=AQ4,N4=BT4),$U$1,IF(AND(N4=L4,N4=AQ4,N4=CW4),$U$1,IF(AND(N4=L4,N4=BT4,N4=CW4),$AX$1,IF(N4=CW4,$CA$1,IF(N4=BT4,$AX$1,IF(N4=AQ4,$U$1,"")))))))</f>
        <v>2025 Elite Canada</v>
      </c>
      <c r="P4" s="8">
        <f t="shared" ref="P4:P18" si="7">IF(MAX(AV4,BY4,DB4)&gt;0,MAX(AV4,BY4,DB4),0)</f>
        <v>46.800000000000004</v>
      </c>
      <c r="Q4" s="8" t="str">
        <f t="shared" ref="Q4:Q18" si="8">IF(P4=0,"",IF(P4=DB4,$CA$1,IF(P4=BY4,$AX$1,IF(P4=AV4,$U$1,""))))</f>
        <v>2025 Elite Canada</v>
      </c>
      <c r="R4" s="8" t="str">
        <f t="shared" ref="R4:R18" si="9">IF(MAX(DD4:DE4)&gt;0,MAX(DD4:DE4),"")</f>
        <v/>
      </c>
      <c r="S4" s="11" t="str">
        <f t="shared" ref="S4:S18" si="10">IF(R4="","",IF(R4=DD4,"("&amp;DD$2&amp;")",IF(R4=DE4,"("&amp;DE$2&amp;")")))</f>
        <v/>
      </c>
      <c r="T4" s="8" t="str">
        <f t="shared" ref="T4:T18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16.2</v>
      </c>
      <c r="V4" s="19">
        <v>3.6</v>
      </c>
      <c r="W4" s="19">
        <v>0.2</v>
      </c>
      <c r="X4" s="19">
        <v>0</v>
      </c>
      <c r="Y4" s="19">
        <v>16.3</v>
      </c>
      <c r="Z4" s="19">
        <v>3.9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18.100000000000001</v>
      </c>
      <c r="AH4" s="19">
        <v>3.6</v>
      </c>
      <c r="AI4" s="19">
        <v>0</v>
      </c>
      <c r="AJ4" s="19">
        <v>0</v>
      </c>
      <c r="AK4" s="19">
        <v>17.100000000000001</v>
      </c>
      <c r="AL4" s="19">
        <v>4.0999999999999996</v>
      </c>
      <c r="AM4" s="19">
        <v>0</v>
      </c>
      <c r="AN4" s="19">
        <v>0.3</v>
      </c>
      <c r="AO4" s="27"/>
      <c r="AP4" s="40">
        <f t="shared" ref="AP4:AP18" si="12">IF(SUM(V4,Z4)&gt;0,SUM(V4,Z4),"")</f>
        <v>7.5</v>
      </c>
      <c r="AQ4" s="40">
        <f t="shared" ref="AQ4:AQ18" si="13">IF(SUM(U4:V4,X4:Z4,AB4)-W4-AA4&gt;0,SUM(U4:V4,X4:Z4,AB4)-W4-AA4,"")</f>
        <v>40.099999999999994</v>
      </c>
      <c r="AR4" s="40">
        <f t="shared" ref="AR4:AR18" si="14">IF(SUM(AC4:AD4,AF4)-AE4&gt;0,SUM(AC4:AD4,AF4)-AE4,"")</f>
        <v>22.200000000000003</v>
      </c>
      <c r="AS4" s="40">
        <f t="shared" ref="AS4:AS18" si="15">IF(SUM(V4,Z4,AD4)&gt;0,SUM(V4,Z4,AD4),"")</f>
        <v>12.3</v>
      </c>
      <c r="AT4" s="40">
        <f t="shared" ref="AT4:AT18" si="16">IF(SUM(AQ4,AR4)&gt;0,SUM(AQ4,AR4),"")</f>
        <v>62.3</v>
      </c>
      <c r="AU4" s="40">
        <f t="shared" ref="AU4:AU18" si="17">IF(SUM(AH4,AL4)&gt;0,SUM(AH4,AL4),"")</f>
        <v>7.6999999999999993</v>
      </c>
      <c r="AV4" s="40">
        <f t="shared" ref="AV4:AV18" si="18">IF(SUM(AG4:AH4,AJ4:AL4,AN4)-SUM(AI4,AM4)&gt;0,SUM(AG4:AH4,AJ4:AL4,AN4)-SUM(AI4,AM4),"")</f>
        <v>43.2</v>
      </c>
      <c r="AW4" s="40">
        <f t="shared" ref="AW4:AW18" si="19">IF(SUM(AQ4,AR4,AV4)&gt;0,SUM(AQ4,AR4,AV4),"")</f>
        <v>105.5</v>
      </c>
      <c r="AX4" s="18">
        <v>17.7</v>
      </c>
      <c r="AY4" s="18">
        <v>4.3</v>
      </c>
      <c r="AZ4" s="18">
        <v>0</v>
      </c>
      <c r="BA4" s="18">
        <v>0.7</v>
      </c>
      <c r="BB4" s="18">
        <v>15.5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18.100000000000001</v>
      </c>
      <c r="BK4" s="18">
        <v>4.3</v>
      </c>
      <c r="BL4" s="18">
        <v>0</v>
      </c>
      <c r="BM4" s="18">
        <v>0.7</v>
      </c>
      <c r="BN4" s="18">
        <v>16.899999999999999</v>
      </c>
      <c r="BO4" s="18">
        <v>6.1</v>
      </c>
      <c r="BP4" s="18">
        <v>0</v>
      </c>
      <c r="BQ4" s="18">
        <v>0.7</v>
      </c>
      <c r="BR4" s="28"/>
      <c r="BS4" s="11">
        <f t="shared" ref="BS4:BS18" si="20">IF(SUM(AY4,BC4)&gt;0,SUM(AY4,BC4),"")</f>
        <v>10.399999999999999</v>
      </c>
      <c r="BT4" s="11">
        <f t="shared" ref="BT4:BT18" si="21">IF(SUM(AX4:AY4,BA4:BC4,BE4)-AZ4-BD4&gt;0,SUM(AX4:AY4,BA4:BC4,BE4)-AZ4-BD4,"")</f>
        <v>45.000000000000007</v>
      </c>
      <c r="BU4" s="11" t="str">
        <f t="shared" ref="BU4:BU18" si="22">IF(SUM(BF4:BG4,BI4)-BH4&gt;0,SUM(BF4:BG4,BI4)-BH4,"")</f>
        <v/>
      </c>
      <c r="BV4" s="11">
        <f t="shared" ref="BV4:BV18" si="23">IF(SUM(AY4,BC4,BG4)&gt;0,SUM(AY4,BC4,BG4),"")</f>
        <v>10.399999999999999</v>
      </c>
      <c r="BW4" s="11">
        <f t="shared" ref="BW4:BW18" si="24">IF(SUM(BT4,BU4)&gt;0,SUM(BT4,BU4),"")</f>
        <v>45.000000000000007</v>
      </c>
      <c r="BX4" s="11">
        <f t="shared" ref="BX4:BX18" si="25">IF(SUM(BK4,BO4)&gt;0,SUM(BK4,BO4),"")</f>
        <v>10.399999999999999</v>
      </c>
      <c r="BY4" s="11">
        <f t="shared" ref="BY4:BY18" si="26">IF(SUM(BJ4:BK4,BM4:BO4,BQ4)-SUM(BL4,BP4)&gt;0,SUM(BJ4:BK4,BM4:BO4,BQ4)-SUM(BL4,BP4),"")</f>
        <v>46.800000000000004</v>
      </c>
      <c r="BZ4" s="11">
        <f t="shared" ref="BZ4:BZ18" si="27">IF(SUM(BT4,BU4,BY4)&gt;0,SUM(BT4,BU4,BY4),"")</f>
        <v>91.800000000000011</v>
      </c>
      <c r="CA4" s="19">
        <v>17.5</v>
      </c>
      <c r="CB4" s="19">
        <v>4.3</v>
      </c>
      <c r="CC4" s="19">
        <v>0</v>
      </c>
      <c r="CD4" s="19">
        <v>0.7</v>
      </c>
      <c r="CE4" s="19">
        <v>16.8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17.7</v>
      </c>
      <c r="CN4" s="19">
        <v>4.3</v>
      </c>
      <c r="CO4" s="19">
        <v>0</v>
      </c>
      <c r="CP4" s="19">
        <v>0.7</v>
      </c>
      <c r="CQ4" s="19">
        <v>16.8</v>
      </c>
      <c r="CR4" s="19">
        <v>6.1</v>
      </c>
      <c r="CS4" s="19">
        <v>0</v>
      </c>
      <c r="CT4" s="19">
        <v>0.7</v>
      </c>
      <c r="CU4" s="27"/>
      <c r="CV4" s="40">
        <f t="shared" ref="CV4:CV18" si="28">IF(SUM(CB4,CF4)&gt;0,SUM(CB4,CF4),"")</f>
        <v>10.399999999999999</v>
      </c>
      <c r="CW4" s="40">
        <f t="shared" ref="CW4:CW18" si="29">IF(SUM(CA4:CB4,CD4:CF4,CH4)-CC4-CG4&gt;0,SUM(CA4:CB4,CD4:CF4,CH4)-CC4-CG4,"")</f>
        <v>46.1</v>
      </c>
      <c r="CX4" s="40" t="str">
        <f t="shared" ref="CX4:CX18" si="30">IF(SUM(CI4:CJ4,CL4)-CK4&gt;0,SUM(CI4:CJ4,CL4)-CK4,"")</f>
        <v/>
      </c>
      <c r="CY4" s="40">
        <f t="shared" ref="CY4:CY18" si="31">IF(SUM(CB4,CF4,CJ4)&gt;0,SUM(CB4,CF4,CJ4),"")</f>
        <v>10.399999999999999</v>
      </c>
      <c r="CZ4" s="40">
        <f t="shared" ref="CZ4:CZ18" si="32">IF(SUM(CW4,CX4)&gt;0,SUM(CW4,CX4),"")</f>
        <v>46.1</v>
      </c>
      <c r="DA4" s="40">
        <f t="shared" ref="DA4:DA18" si="33">IF(SUM(CN4,CR4)&gt;0,SUM(CN4,CR4),"")</f>
        <v>10.399999999999999</v>
      </c>
      <c r="DB4" s="40">
        <f t="shared" ref="DB4:DB18" si="34">IF(SUM(CM4:CN4,CP4:CR4,CT4)-SUM(CO4,CS4)&gt;0,SUM(CM4:CN4,CP4:CR4,CT4)-SUM(CO4,CS4),"")</f>
        <v>46.300000000000004</v>
      </c>
      <c r="DC4" s="40">
        <f t="shared" ref="DC4:DC18" si="35">IF(SUM(CW4,CX4,DB4)&gt;0,SUM(CW4,CX4,DB4),"")</f>
        <v>92.4</v>
      </c>
      <c r="DD4" s="50" t="str">
        <f t="shared" ref="DD4:DD18" si="36">IF(MAX(EA4,FC4,GE4,HG4,II4,JK4,KM4,LO4,MQ4,NS4,OU4,PW4)-IF(N4="",0,N4)&gt;0.001,MAX(EA4,FC4,GE4,HG4,II4,JK4,KM4,LO4,MQ4,NS4,OU4,PW4)-IF(N4="",0,N4),"")</f>
        <v/>
      </c>
      <c r="DE4" s="50" t="str">
        <f t="shared" ref="DE4:DE18" si="37"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 t="shared" ref="DZ4:DZ18" si="38">IF(SUM(DG4,DK4)&gt;0,SUM(DG4,DK4),"")</f>
        <v>9.3999999999999986</v>
      </c>
      <c r="EA4" s="40">
        <f t="shared" ref="EA4:EA18" si="39">IF(SUM(DF4:DG4,DI4:DK4,DM4)-DH4-DL4&gt;0,SUM(DF4:DG4,DI4:DK4,DM4)-DH4-DL4,"")</f>
        <v>44.699999999999996</v>
      </c>
      <c r="EB4" s="40" t="str">
        <f t="shared" ref="EB4:EB18" si="40">IF(SUM(DN4:DO4,DQ4)-DP4&gt;0,SUM(DN4:DO4,DQ4)-DP4,"")</f>
        <v/>
      </c>
      <c r="EC4" s="40">
        <f t="shared" ref="EC4:EC18" si="41">IF(SUM(DG4,DK4,DO4)&gt;0,SUM(DG4,DK4,DO4),"")</f>
        <v>9.3999999999999986</v>
      </c>
      <c r="ED4" s="40">
        <f t="shared" ref="ED4:ED18" si="42">IF(SUM(EA4,EB4)&gt;0,SUM(EA4,EB4),"")</f>
        <v>44.699999999999996</v>
      </c>
      <c r="EE4" s="40" t="str">
        <f t="shared" ref="EE4:EE18" si="43">IF(SUM(DS4,DW4)&gt;0,SUM(DS4,DW4),"")</f>
        <v/>
      </c>
      <c r="EF4" s="40" t="str">
        <f t="shared" ref="EF4:EF18" si="44">IF(SUM(DR4:DS4,DU4:DW4,DY4)-SUM(DT4,DX4)&gt;0,SUM(DR4:DS4,DU4:DW4,DY4)-SUM(DT4,DX4),"")</f>
        <v/>
      </c>
      <c r="EG4" s="40">
        <f t="shared" ref="EG4:EG18" si="45">IF(SUM(EA4,EB4,EF4)&gt;0,SUM(EA4,EB4,EF4),"")</f>
        <v>44.699999999999996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18" si="46">IF(SUM(EI4,EM4)&gt;0,SUM(EI4,EM4),"")</f>
        <v/>
      </c>
      <c r="FC4" s="11" t="str">
        <f t="shared" ref="FC4:FC18" si="47">IF(SUM(EH4:EI4,EK4:EM4,EO4)-EJ4-EN4&gt;0,SUM(EH4:EI4,EK4:EM4,EO4)-EJ4-EN4,"")</f>
        <v/>
      </c>
      <c r="FD4" s="11" t="str">
        <f t="shared" ref="FD4:FD18" si="48">IF(SUM(EP4:EQ4,ES4)-ER4&gt;0,SUM(EP4:EQ4,ES4)-ER4,"")</f>
        <v/>
      </c>
      <c r="FE4" s="11" t="str">
        <f t="shared" ref="FE4:FE18" si="49">IF(SUM(EI4,EM4,EQ4)&gt;0,SUM(EI4,EM4,EQ4),"")</f>
        <v/>
      </c>
      <c r="FF4" s="11" t="str">
        <f t="shared" ref="FF4:FF18" si="50">IF(SUM(FC4,FD4)&gt;0,SUM(FC4,FD4),"")</f>
        <v/>
      </c>
      <c r="FG4" s="11" t="str">
        <f t="shared" ref="FG4:FG18" si="51">IF(SUM(EU4,EY4)&gt;0,SUM(EU4,EY4),"")</f>
        <v/>
      </c>
      <c r="FH4" s="11" t="str">
        <f t="shared" ref="FH4:FH18" si="52">IF(SUM(ET4:EU4,EW4:EY4,FA4)-SUM(EV4,EZ4)&gt;0,SUM(ET4:EU4,EW4:EY4,FA4)-SUM(EV4,EZ4),"")</f>
        <v/>
      </c>
      <c r="FI4" s="11" t="str">
        <f t="shared" ref="FI4:FI18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18" si="54">IF(SUM(FK4,FO4)&gt;0,SUM(FK4,FO4),"")</f>
        <v/>
      </c>
      <c r="GE4" s="40" t="str">
        <f t="shared" ref="GE4:GE18" si="55">IF(SUM(FJ4:FK4,FM4:FO4,FQ4)-FL4-FP4&gt;0,SUM(FJ4:FK4,FM4:FO4,FQ4)-FL4-FP4,"")</f>
        <v/>
      </c>
      <c r="GF4" s="40" t="str">
        <f t="shared" ref="GF4:GF18" si="56">IF(SUM(FR4:FS4,FU4)-FT4&gt;0,SUM(FR4:FS4,FU4)-FT4,"")</f>
        <v/>
      </c>
      <c r="GG4" s="40" t="str">
        <f t="shared" ref="GG4:GG18" si="57">IF(SUM(FK4,FO4,FS4)&gt;0,SUM(FK4,FO4,FS4),"")</f>
        <v/>
      </c>
      <c r="GH4" s="40" t="str">
        <f t="shared" ref="GH4:GH18" si="58">IF(SUM(GE4,GF4)&gt;0,SUM(GE4,GF4),"")</f>
        <v/>
      </c>
      <c r="GI4" s="40" t="str">
        <f t="shared" ref="GI4:GI18" si="59">IF(SUM(FW4,GA4)&gt;0,SUM(FW4,GA4),"")</f>
        <v/>
      </c>
      <c r="GJ4" s="40" t="str">
        <f t="shared" ref="GJ4:GJ18" si="60">IF(SUM(FV4:FW4,FY4:GA4,GC4)-SUM(FX4,GB4)&gt;0,SUM(FV4:FW4,FY4:GA4,GC4)-SUM(FX4,GB4),"")</f>
        <v/>
      </c>
      <c r="GK4" s="40" t="str">
        <f t="shared" ref="GK4:GK18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18" si="62">IF(SUM(GM4,GQ4)&gt;0,SUM(GM4,GQ4),"")</f>
        <v/>
      </c>
      <c r="HG4" s="11" t="str">
        <f t="shared" ref="HG4:HG18" si="63">IF(SUM(GL4:GM4,GO4:GQ4,GS4)-GN4-GR4&gt;0,SUM(GL4:GM4,GO4:GQ4,GS4)-GN4-GR4,"")</f>
        <v/>
      </c>
      <c r="HH4" s="11" t="str">
        <f t="shared" ref="HH4:HH18" si="64">IF(SUM(GT4:GU4,GW4)-GV4&gt;0,SUM(GT4:GU4,GW4)-GV4,"")</f>
        <v/>
      </c>
      <c r="HI4" s="11" t="str">
        <f t="shared" ref="HI4:HI18" si="65">IF(SUM(GM4,GQ4,GU4)&gt;0,SUM(GM4,GQ4,GU4),"")</f>
        <v/>
      </c>
      <c r="HJ4" s="11" t="str">
        <f t="shared" ref="HJ4:HJ18" si="66">IF(SUM(HG4,HH4)&gt;0,SUM(HG4,HH4),"")</f>
        <v/>
      </c>
      <c r="HK4" s="11" t="str">
        <f t="shared" ref="HK4:HK18" si="67">IF(SUM(GY4,HC4)&gt;0,SUM(GY4,HC4),"")</f>
        <v/>
      </c>
      <c r="HL4" s="11" t="str">
        <f t="shared" ref="HL4:HL18" si="68">IF(SUM(GX4:GY4,HA4:HC4,HE4)-SUM(GZ4,HD4)&gt;0,SUM(GX4:GY4,HA4:HC4,HE4)-SUM(GZ4,HD4),"")</f>
        <v/>
      </c>
      <c r="HM4" s="11" t="str">
        <f t="shared" ref="HM4:HM18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18" si="70">IF(SUM(HO4,HS4)&gt;0,SUM(HO4,HS4),"")</f>
        <v/>
      </c>
      <c r="II4" s="40" t="str">
        <f t="shared" ref="II4:II18" si="71">IF(SUM(HN4:HO4,HQ4:HS4,HU4)-HP4-HT4&gt;0,SUM(HN4:HO4,HQ4:HS4,HU4)-HP4-HT4,"")</f>
        <v/>
      </c>
      <c r="IJ4" s="40" t="str">
        <f t="shared" ref="IJ4:IJ18" si="72">IF(SUM(HV4:HW4,HY4)-HX4&gt;0,SUM(HV4:HW4,HY4)-HX4,"")</f>
        <v/>
      </c>
      <c r="IK4" s="40" t="str">
        <f t="shared" ref="IK4:IK18" si="73">IF(SUM(HO4,HS4,HW4)&gt;0,SUM(HO4,HS4,HW4),"")</f>
        <v/>
      </c>
      <c r="IL4" s="40" t="str">
        <f t="shared" ref="IL4:IL18" si="74">IF(SUM(II4,IJ4)&gt;0,SUM(II4,IJ4),"")</f>
        <v/>
      </c>
      <c r="IM4" s="40" t="str">
        <f t="shared" ref="IM4:IM18" si="75">IF(SUM(IA4,IE4)&gt;0,SUM(IA4,IE4),"")</f>
        <v/>
      </c>
      <c r="IN4" s="40" t="str">
        <f t="shared" ref="IN4:IN18" si="76">IF(SUM(HZ4:IA4,IC4:IE4,IG4)-SUM(IB4,IF4)&gt;0,SUM(HZ4:IA4,IC4:IE4,IG4)-SUM(IB4,IF4),"")</f>
        <v/>
      </c>
      <c r="IO4" s="40" t="str">
        <f t="shared" ref="IO4:IO18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18" si="78">IF(SUM(IQ4,IU4)&gt;0,SUM(IQ4,IU4),"")</f>
        <v/>
      </c>
      <c r="JK4" s="11" t="str">
        <f t="shared" ref="JK4:JK18" si="79">IF(SUM(IP4:IQ4,IS4:IU4,IW4)-IR4-IV4&gt;0,SUM(IP4:IQ4,IS4:IU4,IW4)-IR4-IV4,"")</f>
        <v/>
      </c>
      <c r="JL4" s="11" t="str">
        <f t="shared" ref="JL4:JL18" si="80">IF(SUM(IX4:IY4,JA4)-IZ4&gt;0,SUM(IX4:IY4,JA4)-IZ4,"")</f>
        <v/>
      </c>
      <c r="JM4" s="11" t="str">
        <f t="shared" ref="JM4:JM18" si="81">IF(SUM(IQ4,IU4,IY4)&gt;0,SUM(IQ4,IU4,IY4),"")</f>
        <v/>
      </c>
      <c r="JN4" s="11" t="str">
        <f t="shared" ref="JN4:JN18" si="82">IF(SUM(JK4,JL4)&gt;0,SUM(JK4,JL4),"")</f>
        <v/>
      </c>
      <c r="JO4" s="11" t="str">
        <f t="shared" ref="JO4:JO18" si="83">IF(SUM(JC4,JG4)&gt;0,SUM(JC4,JG4),"")</f>
        <v/>
      </c>
      <c r="JP4" s="11" t="str">
        <f t="shared" ref="JP4:JP18" si="84">IF(SUM(JB4:JC4,JE4:JG4,JI4)-SUM(JD4,JH4)&gt;0,SUM(JB4:JC4,JE4:JG4,JI4)-SUM(JD4,JH4),"")</f>
        <v/>
      </c>
      <c r="JQ4" s="11" t="str">
        <f t="shared" ref="JQ4:JQ18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18" si="86">IF(SUM(JS4,JW4)&gt;0,SUM(JS4,JW4),"")</f>
        <v/>
      </c>
      <c r="KM4" s="40" t="str">
        <f t="shared" ref="KM4:KM18" si="87">IF(SUM(JR4:JS4,JU4:JW4,JY4)-JT4-JX4&gt;0,SUM(JR4:JS4,JU4:JW4,JY4)-JT4-JX4,"")</f>
        <v/>
      </c>
      <c r="KN4" s="40" t="str">
        <f t="shared" ref="KN4:KN18" si="88">IF(SUM(JZ4:KA4,KC4)-KB4&gt;0,SUM(JZ4:KA4,KC4)-KB4,"")</f>
        <v/>
      </c>
      <c r="KO4" s="40" t="str">
        <f t="shared" ref="KO4:KO18" si="89">IF(SUM(JS4,JW4,KA4)&gt;0,SUM(JS4,JW4,KA4),"")</f>
        <v/>
      </c>
      <c r="KP4" s="40" t="str">
        <f t="shared" ref="KP4:KP18" si="90">IF(SUM(KM4,KN4)&gt;0,SUM(KM4,KN4),"")</f>
        <v/>
      </c>
      <c r="KQ4" s="40" t="str">
        <f t="shared" ref="KQ4:KQ18" si="91">IF(SUM(KE4,KI4)&gt;0,SUM(KE4,KI4),"")</f>
        <v/>
      </c>
      <c r="KR4" s="40" t="str">
        <f t="shared" ref="KR4:KR18" si="92">IF(SUM(KD4:KE4,KG4:KI4,KK4)-SUM(KF4,KJ4)&gt;0,SUM(KD4:KE4,KG4:KI4,KK4)-SUM(KF4,KJ4),"")</f>
        <v/>
      </c>
      <c r="KS4" s="40" t="str">
        <f t="shared" ref="KS4:KS18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18" si="94">IF(SUM(KU4,KY4)&gt;0,SUM(KU4,KY4),"")</f>
        <v/>
      </c>
      <c r="LO4" s="11" t="str">
        <f t="shared" ref="LO4:LO18" si="95">IF(SUM(KT4:KU4,KW4:KY4,LA4)-KV4-KZ4&gt;0,SUM(KT4:KU4,KW4:KY4,LA4)-KV4-KZ4,"")</f>
        <v/>
      </c>
      <c r="LP4" s="11" t="str">
        <f t="shared" ref="LP4:LP18" si="96">IF(SUM(LB4:LC4,LE4)-LD4&gt;0,SUM(LB4:LC4,LE4)-LD4,"")</f>
        <v/>
      </c>
      <c r="LQ4" s="11" t="str">
        <f t="shared" ref="LQ4:LQ18" si="97">IF(SUM(KU4,KY4,LC4)&gt;0,SUM(KU4,KY4,LC4),"")</f>
        <v/>
      </c>
      <c r="LR4" s="11" t="str">
        <f t="shared" ref="LR4:LR18" si="98">IF(SUM(LO4,LP4)&gt;0,SUM(LO4,LP4),"")</f>
        <v/>
      </c>
      <c r="LS4" s="11" t="str">
        <f t="shared" ref="LS4:LS18" si="99">IF(SUM(LG4,LK4)&gt;0,SUM(LG4,LK4),"")</f>
        <v/>
      </c>
      <c r="LT4" s="11" t="str">
        <f t="shared" ref="LT4:LT18" si="100">IF(SUM(LF4:LG4,LI4:LK4,LM4)-SUM(LH4,LL4)&gt;0,SUM(LF4:LG4,LI4:LK4,LM4)-SUM(LH4,LL4),"")</f>
        <v/>
      </c>
      <c r="LU4" s="11" t="str">
        <f t="shared" ref="LU4:LU18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18" si="102">IF(SUM(LW4,MA4)&gt;0,SUM(LW4,MA4),"")</f>
        <v/>
      </c>
      <c r="MQ4" s="40" t="str">
        <f t="shared" ref="MQ4:MQ18" si="103">IF(SUM(LV4:LW4,LY4:MA4,MC4)-LX4-MB4&gt;0,SUM(LV4:LW4,LY4:MA4,MC4)-LX4-MB4,"")</f>
        <v/>
      </c>
      <c r="MR4" s="40" t="str">
        <f t="shared" ref="MR4:MR18" si="104">IF(SUM(MD4:ME4,MG4)-MF4&gt;0,SUM(MD4:ME4,MG4)-MF4,"")</f>
        <v/>
      </c>
      <c r="MS4" s="40" t="str">
        <f t="shared" ref="MS4:MS18" si="105">IF(SUM(LW4,MA4,ME4)&gt;0,SUM(LW4,MA4,ME4),"")</f>
        <v/>
      </c>
      <c r="MT4" s="40" t="str">
        <f t="shared" ref="MT4:MT18" si="106">IF(SUM(MQ4,MR4)&gt;0,SUM(MQ4,MR4),"")</f>
        <v/>
      </c>
      <c r="MU4" s="40" t="str">
        <f t="shared" ref="MU4:MU18" si="107">IF(SUM(MI4,MM4)&gt;0,SUM(MI4,MM4),"")</f>
        <v/>
      </c>
      <c r="MV4" s="40" t="str">
        <f t="shared" ref="MV4:MV18" si="108">IF(SUM(MH4:MI4,MK4:MM4,MO4)-SUM(MJ4,MN4)&gt;0,SUM(MH4:MI4,MK4:MM4,MO4)-SUM(MJ4,MN4),"")</f>
        <v/>
      </c>
      <c r="MW4" s="40" t="str">
        <f t="shared" ref="MW4:MW18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18" si="110">IF(SUM(MY4,NC4)&gt;0,SUM(MY4,NC4),"")</f>
        <v/>
      </c>
      <c r="NS4" s="11" t="str">
        <f t="shared" ref="NS4:NS18" si="111">IF(SUM(MX4:MY4,NA4:NC4,NE4)-MZ4-ND4&gt;0,SUM(MX4:MY4,NA4:NC4,NE4)-MZ4-ND4,"")</f>
        <v/>
      </c>
      <c r="NT4" s="11" t="str">
        <f t="shared" ref="NT4:NT18" si="112">IF(SUM(NF4:NG4,NI4)-NH4&gt;0,SUM(NF4:NG4,NI4)-NH4,"")</f>
        <v/>
      </c>
      <c r="NU4" s="11" t="str">
        <f t="shared" ref="NU4:NU18" si="113">IF(SUM(MY4,NC4,NG4)&gt;0,SUM(MY4,NC4,NG4),"")</f>
        <v/>
      </c>
      <c r="NV4" s="11" t="str">
        <f t="shared" ref="NV4:NV18" si="114">IF(SUM(NS4,NT4)&gt;0,SUM(NS4,NT4),"")</f>
        <v/>
      </c>
      <c r="NW4" s="11" t="str">
        <f t="shared" ref="NW4:NW18" si="115">IF(SUM(NK4,NO4)&gt;0,SUM(NK4,NO4),"")</f>
        <v/>
      </c>
      <c r="NX4" s="11" t="str">
        <f t="shared" ref="NX4:NX18" si="116">IF(SUM(NJ4:NK4,NM4:NO4,NQ4)-SUM(NL4,NP4)&gt;0,SUM(NJ4:NK4,NM4:NO4,NQ4)-SUM(NL4,NP4),"")</f>
        <v/>
      </c>
      <c r="NY4" s="11" t="str">
        <f t="shared" ref="NY4:NY18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18" si="118">IF(SUM(OA4,OE4)&gt;0,SUM(OA4,OE4),"")</f>
        <v/>
      </c>
      <c r="OU4" s="40" t="str">
        <f t="shared" ref="OU4:OU18" si="119">IF(SUM(NZ4:OA4,OC4:OE4,OG4)-OB4-OF4&gt;0,SUM(NZ4:OA4,OC4:OE4,OG4)-OB4-OF4,"")</f>
        <v/>
      </c>
      <c r="OV4" s="40" t="str">
        <f t="shared" ref="OV4:OV18" si="120">IF(SUM(OH4:OI4,OK4)-OJ4&gt;0,SUM(OH4:OI4,OK4)-OJ4,"")</f>
        <v/>
      </c>
      <c r="OW4" s="40" t="str">
        <f t="shared" ref="OW4:OW18" si="121">IF(SUM(OA4,OE4,OI4)&gt;0,SUM(OA4,OE4,OI4),"")</f>
        <v/>
      </c>
      <c r="OX4" s="40" t="str">
        <f t="shared" ref="OX4:OX18" si="122">IF(SUM(OU4,OV4)&gt;0,SUM(OU4,OV4),"")</f>
        <v/>
      </c>
      <c r="OY4" s="40" t="str">
        <f t="shared" ref="OY4:OY18" si="123">IF(SUM(OM4,OQ4)&gt;0,SUM(OM4,OQ4),"")</f>
        <v/>
      </c>
      <c r="OZ4" s="40" t="str">
        <f t="shared" ref="OZ4:OZ18" si="124">IF(SUM(OL4:OM4,OO4:OQ4,OS4)-SUM(ON4,OR4)&gt;0,SUM(OL4:OM4,OO4:OQ4,OS4)-SUM(ON4,OR4),"")</f>
        <v/>
      </c>
      <c r="PA4" s="40" t="str">
        <f t="shared" ref="PA4:PA18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18" si="126">IF(SUM(PC4,PG4)&gt;0,SUM(PC4,PG4),"")</f>
        <v/>
      </c>
      <c r="PW4" s="11" t="str">
        <f t="shared" ref="PW4:PW18" si="127">IF(SUM(PB4:PC4,PE4:PG4,PI4)-PD4-PH4&gt;0,SUM(PB4:PC4,PE4:PG4,PI4)-PD4-PH4,"")</f>
        <v/>
      </c>
      <c r="PX4" s="11" t="str">
        <f t="shared" ref="PX4:PX18" si="128">IF(SUM(PJ4:PK4,PM4)-PL4&gt;0,SUM(PJ4:PK4,PM4)-PL4,"")</f>
        <v/>
      </c>
      <c r="PY4" s="11" t="str">
        <f t="shared" ref="PY4:PY18" si="129">IF(SUM(PC4,PG4,PK4)&gt;0,SUM(PC4,PG4,PK4),"")</f>
        <v/>
      </c>
      <c r="PZ4" s="11" t="str">
        <f t="shared" ref="PZ4:PZ18" si="130">IF(SUM(PW4,PX4)&gt;0,SUM(PW4,PX4),"")</f>
        <v/>
      </c>
      <c r="QA4" s="11" t="str">
        <f t="shared" ref="QA4:QA18" si="131">IF(SUM(PO4,PS4)&gt;0,SUM(PO4,PS4),"")</f>
        <v/>
      </c>
      <c r="QB4" s="11" t="str">
        <f t="shared" ref="QB4:QB18" si="132">IF(SUM(PN4:PO4,PQ4:PS4,PU4)-SUM(PP4,PT4)&gt;0,SUM(PN4:PO4,PQ4:PS4,PU4)-SUM(PP4,PT4),"")</f>
        <v/>
      </c>
      <c r="QC4" s="11" t="str">
        <f t="shared" ref="QC4:QC18" si="133">IF(SUM(PW4,PX4,QB4)&gt;0,SUM(PW4,PX4,QB4),"")</f>
        <v/>
      </c>
      <c r="QD4" s="22">
        <f t="shared" ref="QD4:QD18" si="134">IF($CU4="P",CA4,(CA4+AX4)/2)</f>
        <v>17.600000000000001</v>
      </c>
      <c r="QE4" s="22">
        <f t="shared" ref="QE4:QE18" si="135">IF($CU4="P",CB4,(CB4+AY4)/2)</f>
        <v>4.3</v>
      </c>
      <c r="QF4" s="22">
        <f t="shared" ref="QF4:QF18" si="136">IF($CU4="P",CC4,(CC4+AZ4)/2)</f>
        <v>0</v>
      </c>
      <c r="QG4" s="22">
        <f t="shared" ref="QG4:QG18" si="137">IF($CU4="P",CD4,(CD4+BA4)/2)</f>
        <v>0.7</v>
      </c>
      <c r="QH4" s="22">
        <f t="shared" ref="QH4:QH18" si="138">IF($CU4="P",CE4,(CE4+BB4)/2)</f>
        <v>16.149999999999999</v>
      </c>
      <c r="QI4" s="22">
        <f t="shared" ref="QI4:QI18" si="139">IF($CU4="P",CF4,(CF4+BC4)/2)</f>
        <v>6.1</v>
      </c>
      <c r="QJ4" s="22">
        <f t="shared" ref="QJ4:QJ18" si="140">IF($CU4="P",CG4,(CG4+BD4)/2)</f>
        <v>0</v>
      </c>
      <c r="QK4" s="22">
        <f t="shared" ref="QK4:QK18" si="141">IF($CU4="P",CH4,(CH4+BE4)/2)</f>
        <v>0.7</v>
      </c>
      <c r="QL4" s="22">
        <f t="shared" ref="QL4:QL18" si="142">IF($CU4="P",CI4,(CI4+BF4)/2)</f>
        <v>0</v>
      </c>
      <c r="QM4" s="22">
        <f t="shared" ref="QM4:QM18" si="143">IF($CU4="P",CJ4,(CJ4+BG4)/2)</f>
        <v>0</v>
      </c>
      <c r="QN4" s="22">
        <f t="shared" ref="QN4:QN18" si="144">IF($CU4="P",CK4,(CK4+BH4)/2)</f>
        <v>0</v>
      </c>
      <c r="QO4" s="22">
        <f t="shared" ref="QO4:QO18" si="145">IF($CU4="P",CL4,(CL4+BI4)/2)</f>
        <v>0</v>
      </c>
      <c r="QP4" s="22">
        <f t="shared" ref="QP4:QP18" si="146">IF($CU4="P",CM4,(CM4+BJ4)/2)</f>
        <v>17.899999999999999</v>
      </c>
      <c r="QQ4" s="22">
        <f t="shared" ref="QQ4:QQ18" si="147">IF($CU4="P",CN4,(CN4+BK4)/2)</f>
        <v>4.3</v>
      </c>
      <c r="QR4" s="22">
        <f t="shared" ref="QR4:QR18" si="148">IF($CU4="P",CO4,(CO4+BL4)/2)</f>
        <v>0</v>
      </c>
      <c r="QS4" s="22">
        <f t="shared" ref="QS4:QS18" si="149">IF($CU4="P",CP4,(CP4+BM4)/2)</f>
        <v>0.7</v>
      </c>
      <c r="QT4" s="22">
        <f t="shared" ref="QT4:QT18" si="150">IF($CU4="P",CQ4,(CQ4+BN4)/2)</f>
        <v>16.850000000000001</v>
      </c>
      <c r="QU4" s="22">
        <f t="shared" ref="QU4:QU18" si="151">IF($CU4="P",CR4,(CR4+BO4)/2)</f>
        <v>6.1</v>
      </c>
      <c r="QV4" s="22">
        <f t="shared" ref="QV4:QV18" si="152">IF($CU4="P",CS4,(CS4+BP4)/2)</f>
        <v>0</v>
      </c>
      <c r="QW4" s="22">
        <f t="shared" ref="QW4:QW18" si="153">IF($CU4="P",CT4,(CT4+BQ4)/2)</f>
        <v>0.7</v>
      </c>
      <c r="QX4" s="27" t="s">
        <v>46</v>
      </c>
      <c r="QY4" s="40">
        <f t="shared" ref="QY4:QY18" si="154">IF(SUM(QE4,QI4)&gt;0,SUM(QE4,QI4),"")</f>
        <v>10.399999999999999</v>
      </c>
      <c r="QZ4" s="40">
        <f t="shared" ref="QZ4:QZ18" si="155">IF(SUM(QD4:QE4,QG4:QI4,QK4)-QF4-QJ4&gt;0,SUM(QD4:QE4,QG4:QI4,QK4)-QF4-QJ4,"")</f>
        <v>45.550000000000004</v>
      </c>
      <c r="RA4" s="40" t="str">
        <f t="shared" ref="RA4:RA18" si="156">IF(SUM(QL4:QM4,QO4)-QN4&gt;0,SUM(QL4:QM4,QO4)-QN4,"")</f>
        <v/>
      </c>
      <c r="RB4" s="40">
        <f t="shared" ref="RB4:RB18" si="157">IF(SUM(QE4,QI4,QM4)&gt;0,SUM(QE4,QI4,QM4),"")</f>
        <v>10.399999999999999</v>
      </c>
      <c r="RC4" s="40">
        <f t="shared" ref="RC4:RC18" si="158">IF(SUM(QZ4,RA4)&gt;0,SUM(QZ4,RA4),"")</f>
        <v>45.550000000000004</v>
      </c>
      <c r="RD4" s="40">
        <f t="shared" ref="RD4:RD18" si="159">IF(SUM(QQ4,QU4)&gt;0,SUM(QQ4,QU4),"")</f>
        <v>10.399999999999999</v>
      </c>
      <c r="RE4" s="40">
        <f t="shared" ref="RE4:RE18" si="160">IF(SUM(QP4:QQ4,QS4:QU4,QW4)-SUM(QR4,QV4)&gt;0,SUM(QP4:QQ4,QS4:QU4,QW4)-SUM(QR4,QV4),"")</f>
        <v>46.550000000000004</v>
      </c>
      <c r="RF4" s="40">
        <f t="shared" ref="RF4:RF18" si="161"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44</v>
      </c>
      <c r="M5" s="8" t="str">
        <f t="shared" si="5"/>
        <v>2025 Elite Canada</v>
      </c>
      <c r="N5" s="8">
        <f>IF(COUNT(AQ5,BT5,CW5)&gt;1,LARGE((AQ5,BT5,CW5),2),0)</f>
        <v>39.400000000000006</v>
      </c>
      <c r="O5" s="8" t="str">
        <f t="shared" si="6"/>
        <v>2024 3rd Domestic Trial</v>
      </c>
      <c r="P5" s="8">
        <f t="shared" si="7"/>
        <v>44.5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16.100000000000001</v>
      </c>
      <c r="V5" s="19">
        <v>4.3</v>
      </c>
      <c r="W5" s="19">
        <v>0</v>
      </c>
      <c r="X5" s="19">
        <v>0.3</v>
      </c>
      <c r="Y5" s="19">
        <v>15.5</v>
      </c>
      <c r="Z5" s="19">
        <v>2.6</v>
      </c>
      <c r="AA5" s="19">
        <v>0</v>
      </c>
      <c r="AB5" s="19">
        <v>0.6</v>
      </c>
      <c r="AC5" s="19">
        <v>13.5</v>
      </c>
      <c r="AD5" s="19">
        <v>3.5</v>
      </c>
      <c r="AE5" s="19">
        <v>0.3</v>
      </c>
      <c r="AF5" s="19">
        <v>0.6</v>
      </c>
      <c r="AG5" s="19">
        <v>17.100000000000001</v>
      </c>
      <c r="AH5" s="19">
        <v>4.3</v>
      </c>
      <c r="AI5" s="19">
        <v>0</v>
      </c>
      <c r="AJ5" s="19">
        <v>0.3</v>
      </c>
      <c r="AK5" s="19">
        <v>16.600000000000001</v>
      </c>
      <c r="AL5" s="19">
        <v>4.0999999999999996</v>
      </c>
      <c r="AM5" s="19">
        <v>0</v>
      </c>
      <c r="AN5" s="19">
        <v>0.3</v>
      </c>
      <c r="AO5" s="27"/>
      <c r="AP5" s="40">
        <f t="shared" si="12"/>
        <v>6.9</v>
      </c>
      <c r="AQ5" s="40">
        <f t="shared" si="13"/>
        <v>39.400000000000006</v>
      </c>
      <c r="AR5" s="40">
        <f t="shared" si="14"/>
        <v>17.3</v>
      </c>
      <c r="AS5" s="40">
        <f t="shared" si="15"/>
        <v>10.4</v>
      </c>
      <c r="AT5" s="40">
        <f t="shared" si="16"/>
        <v>56.7</v>
      </c>
      <c r="AU5" s="40">
        <f t="shared" si="17"/>
        <v>8.3999999999999986</v>
      </c>
      <c r="AV5" s="40">
        <f t="shared" si="18"/>
        <v>42.7</v>
      </c>
      <c r="AW5" s="40">
        <f t="shared" si="19"/>
        <v>99.4</v>
      </c>
      <c r="AX5" s="18">
        <v>16.399999999999999</v>
      </c>
      <c r="AY5" s="18">
        <v>4.3</v>
      </c>
      <c r="AZ5" s="18">
        <v>0.2</v>
      </c>
      <c r="BA5" s="18">
        <v>0.7</v>
      </c>
      <c r="BB5" s="18">
        <v>17.600000000000001</v>
      </c>
      <c r="BC5" s="18">
        <v>4.5</v>
      </c>
      <c r="BD5" s="18">
        <v>0</v>
      </c>
      <c r="BE5" s="18">
        <v>0.7</v>
      </c>
      <c r="BF5" s="18"/>
      <c r="BG5" s="18"/>
      <c r="BH5" s="18"/>
      <c r="BI5" s="18"/>
      <c r="BJ5" s="18">
        <v>17.7</v>
      </c>
      <c r="BK5" s="18">
        <v>4.5</v>
      </c>
      <c r="BL5" s="18">
        <v>0</v>
      </c>
      <c r="BM5" s="18">
        <v>0.7</v>
      </c>
      <c r="BN5" s="18">
        <v>16.8</v>
      </c>
      <c r="BO5" s="18">
        <v>4.3</v>
      </c>
      <c r="BP5" s="18">
        <v>0.2</v>
      </c>
      <c r="BQ5" s="18">
        <v>0.7</v>
      </c>
      <c r="BR5" s="28"/>
      <c r="BS5" s="11">
        <f t="shared" si="20"/>
        <v>8.8000000000000007</v>
      </c>
      <c r="BT5" s="11">
        <f t="shared" si="21"/>
        <v>44</v>
      </c>
      <c r="BU5" s="11" t="str">
        <f t="shared" si="22"/>
        <v/>
      </c>
      <c r="BV5" s="11">
        <f t="shared" si="23"/>
        <v>8.8000000000000007</v>
      </c>
      <c r="BW5" s="11">
        <f t="shared" si="24"/>
        <v>44</v>
      </c>
      <c r="BX5" s="11">
        <f t="shared" si="25"/>
        <v>8.8000000000000007</v>
      </c>
      <c r="BY5" s="11">
        <f t="shared" si="26"/>
        <v>44.5</v>
      </c>
      <c r="BZ5" s="11">
        <f t="shared" si="27"/>
        <v>88.5</v>
      </c>
      <c r="CA5" s="19">
        <v>15.4</v>
      </c>
      <c r="CB5" s="19">
        <v>1.9</v>
      </c>
      <c r="CC5" s="19">
        <v>0</v>
      </c>
      <c r="CD5" s="19">
        <v>0</v>
      </c>
      <c r="CE5" s="19">
        <v>16.7</v>
      </c>
      <c r="CF5" s="19">
        <v>4.3</v>
      </c>
      <c r="CG5" s="19">
        <v>0</v>
      </c>
      <c r="CH5" s="19">
        <v>0.7</v>
      </c>
      <c r="CI5" s="19"/>
      <c r="CJ5" s="19"/>
      <c r="CK5" s="19"/>
      <c r="CL5" s="19"/>
      <c r="CM5" s="19">
        <v>15.6</v>
      </c>
      <c r="CN5" s="19">
        <v>1.9</v>
      </c>
      <c r="CO5" s="19">
        <v>0</v>
      </c>
      <c r="CP5" s="19">
        <v>0</v>
      </c>
      <c r="CQ5" s="19">
        <v>17.7</v>
      </c>
      <c r="CR5" s="19">
        <v>3.6</v>
      </c>
      <c r="CS5" s="19">
        <v>0</v>
      </c>
      <c r="CT5" s="19">
        <v>0.7</v>
      </c>
      <c r="CU5" s="27"/>
      <c r="CV5" s="40">
        <f t="shared" si="28"/>
        <v>6.1999999999999993</v>
      </c>
      <c r="CW5" s="40">
        <f t="shared" si="29"/>
        <v>39</v>
      </c>
      <c r="CX5" s="40" t="str">
        <f t="shared" si="30"/>
        <v/>
      </c>
      <c r="CY5" s="40">
        <f t="shared" si="31"/>
        <v>6.1999999999999993</v>
      </c>
      <c r="CZ5" s="40">
        <f t="shared" si="32"/>
        <v>39</v>
      </c>
      <c r="DA5" s="40">
        <f t="shared" si="33"/>
        <v>5.5</v>
      </c>
      <c r="DB5" s="40">
        <f t="shared" si="34"/>
        <v>39.500000000000007</v>
      </c>
      <c r="DC5" s="40">
        <f t="shared" si="35"/>
        <v>78.5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15.899999999999999</v>
      </c>
      <c r="QE5" s="22">
        <f t="shared" si="135"/>
        <v>3.0999999999999996</v>
      </c>
      <c r="QF5" s="22">
        <f t="shared" si="136"/>
        <v>0.1</v>
      </c>
      <c r="QG5" s="22">
        <f t="shared" si="137"/>
        <v>0.35</v>
      </c>
      <c r="QH5" s="22">
        <f t="shared" si="138"/>
        <v>17.149999999999999</v>
      </c>
      <c r="QI5" s="22">
        <f t="shared" si="139"/>
        <v>4.4000000000000004</v>
      </c>
      <c r="QJ5" s="22">
        <f t="shared" si="140"/>
        <v>0</v>
      </c>
      <c r="QK5" s="22">
        <f t="shared" si="141"/>
        <v>0.7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16.649999999999999</v>
      </c>
      <c r="QQ5" s="22">
        <f t="shared" si="147"/>
        <v>3.2</v>
      </c>
      <c r="QR5" s="22">
        <f t="shared" si="148"/>
        <v>0</v>
      </c>
      <c r="QS5" s="22">
        <f t="shared" si="149"/>
        <v>0.35</v>
      </c>
      <c r="QT5" s="22">
        <f t="shared" si="150"/>
        <v>17.25</v>
      </c>
      <c r="QU5" s="22">
        <f t="shared" si="151"/>
        <v>3.95</v>
      </c>
      <c r="QV5" s="22">
        <f t="shared" si="152"/>
        <v>0.1</v>
      </c>
      <c r="QW5" s="22">
        <f t="shared" si="153"/>
        <v>0.7</v>
      </c>
      <c r="QX5" s="27" t="s">
        <v>46</v>
      </c>
      <c r="QY5" s="40">
        <f t="shared" si="154"/>
        <v>7.5</v>
      </c>
      <c r="QZ5" s="40">
        <f t="shared" si="155"/>
        <v>41.5</v>
      </c>
      <c r="RA5" s="40" t="str">
        <f t="shared" si="156"/>
        <v/>
      </c>
      <c r="RB5" s="40">
        <f t="shared" si="157"/>
        <v>7.5</v>
      </c>
      <c r="RC5" s="40">
        <f t="shared" si="158"/>
        <v>41.5</v>
      </c>
      <c r="RD5" s="40">
        <f t="shared" si="159"/>
        <v>7.15</v>
      </c>
      <c r="RE5" s="40">
        <f t="shared" si="160"/>
        <v>42.000000000000007</v>
      </c>
      <c r="RF5" s="40">
        <f t="shared" si="161"/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167</v>
      </c>
      <c r="D6" s="4" t="s">
        <v>4</v>
      </c>
      <c r="E6" s="4">
        <v>2008</v>
      </c>
      <c r="F6" s="9">
        <f t="shared" si="0"/>
        <v>125.0000079500041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41</v>
      </c>
      <c r="M6" s="8" t="str">
        <f t="shared" si="5"/>
        <v>2025 Nationals</v>
      </c>
      <c r="N6" s="8">
        <f>IF(COUNT(AQ6,BT6,CW6)&gt;1,LARGE((AQ6,BT6,CW6),2),0)</f>
        <v>38.5</v>
      </c>
      <c r="O6" s="8" t="str">
        <f t="shared" si="6"/>
        <v>2025 Elite Canada</v>
      </c>
      <c r="P6" s="8">
        <f t="shared" si="7"/>
        <v>45.5</v>
      </c>
      <c r="Q6" s="8" t="str">
        <f t="shared" si="8"/>
        <v>2025 Elite Canada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9.9</v>
      </c>
      <c r="V6" s="19">
        <v>2.4</v>
      </c>
      <c r="W6" s="19">
        <v>0</v>
      </c>
      <c r="X6" s="19">
        <v>0.3</v>
      </c>
      <c r="Y6" s="19">
        <v>16.5</v>
      </c>
      <c r="Z6" s="19">
        <v>1.8</v>
      </c>
      <c r="AA6" s="19">
        <v>1</v>
      </c>
      <c r="AB6" s="19">
        <v>0</v>
      </c>
      <c r="AC6" s="19">
        <v>9.8000000000000007</v>
      </c>
      <c r="AD6" s="19">
        <v>2.4</v>
      </c>
      <c r="AE6" s="19">
        <v>0</v>
      </c>
      <c r="AF6" s="19">
        <v>0.3</v>
      </c>
      <c r="AG6" s="19">
        <v>9.9</v>
      </c>
      <c r="AH6" s="19">
        <v>2.4</v>
      </c>
      <c r="AI6" s="19">
        <v>0</v>
      </c>
      <c r="AJ6" s="19">
        <v>0.3</v>
      </c>
      <c r="AK6" s="19">
        <v>14.3</v>
      </c>
      <c r="AL6" s="19">
        <v>2.1</v>
      </c>
      <c r="AM6" s="19">
        <v>1</v>
      </c>
      <c r="AN6" s="19">
        <v>0</v>
      </c>
      <c r="AO6" s="27"/>
      <c r="AP6" s="40">
        <f t="shared" si="12"/>
        <v>4.2</v>
      </c>
      <c r="AQ6" s="40">
        <f t="shared" si="13"/>
        <v>29.900000000000002</v>
      </c>
      <c r="AR6" s="40">
        <f t="shared" si="14"/>
        <v>12.500000000000002</v>
      </c>
      <c r="AS6" s="40">
        <f t="shared" si="15"/>
        <v>6.6</v>
      </c>
      <c r="AT6" s="40">
        <f t="shared" si="16"/>
        <v>42.400000000000006</v>
      </c>
      <c r="AU6" s="40">
        <f t="shared" si="17"/>
        <v>4.5</v>
      </c>
      <c r="AV6" s="40">
        <f t="shared" si="18"/>
        <v>28.000000000000004</v>
      </c>
      <c r="AW6" s="40">
        <f t="shared" si="19"/>
        <v>70.400000000000006</v>
      </c>
      <c r="AX6" s="18">
        <v>16.5</v>
      </c>
      <c r="AY6" s="18">
        <v>3.5</v>
      </c>
      <c r="AZ6" s="18">
        <v>0.1</v>
      </c>
      <c r="BA6" s="18">
        <v>0</v>
      </c>
      <c r="BB6" s="18">
        <v>14.3</v>
      </c>
      <c r="BC6" s="18">
        <v>4</v>
      </c>
      <c r="BD6" s="18">
        <v>0.4</v>
      </c>
      <c r="BE6" s="18">
        <v>0.7</v>
      </c>
      <c r="BF6" s="18"/>
      <c r="BG6" s="18"/>
      <c r="BH6" s="18"/>
      <c r="BI6" s="18"/>
      <c r="BJ6" s="18">
        <v>16.399999999999999</v>
      </c>
      <c r="BK6" s="18">
        <v>6.3</v>
      </c>
      <c r="BL6" s="18">
        <v>0</v>
      </c>
      <c r="BM6" s="18">
        <v>0.7</v>
      </c>
      <c r="BN6" s="18">
        <v>17.600000000000001</v>
      </c>
      <c r="BO6" s="18">
        <v>3.8</v>
      </c>
      <c r="BP6" s="18">
        <v>0</v>
      </c>
      <c r="BQ6" s="18">
        <v>0.7</v>
      </c>
      <c r="BR6" s="28"/>
      <c r="BS6" s="11">
        <f t="shared" si="20"/>
        <v>7.5</v>
      </c>
      <c r="BT6" s="11">
        <f t="shared" si="21"/>
        <v>38.5</v>
      </c>
      <c r="BU6" s="11" t="str">
        <f t="shared" si="22"/>
        <v/>
      </c>
      <c r="BV6" s="11">
        <f t="shared" si="23"/>
        <v>7.5</v>
      </c>
      <c r="BW6" s="11">
        <f t="shared" si="24"/>
        <v>38.5</v>
      </c>
      <c r="BX6" s="11">
        <f t="shared" si="25"/>
        <v>10.1</v>
      </c>
      <c r="BY6" s="11">
        <f t="shared" si="26"/>
        <v>45.5</v>
      </c>
      <c r="BZ6" s="11">
        <f t="shared" si="27"/>
        <v>84</v>
      </c>
      <c r="CA6" s="19">
        <v>15.5</v>
      </c>
      <c r="CB6" s="19">
        <v>3.4</v>
      </c>
      <c r="CC6" s="19">
        <v>0.2</v>
      </c>
      <c r="CD6" s="19">
        <v>0.7</v>
      </c>
      <c r="CE6" s="19">
        <v>17.100000000000001</v>
      </c>
      <c r="CF6" s="19">
        <v>3.8</v>
      </c>
      <c r="CG6" s="19">
        <v>0</v>
      </c>
      <c r="CH6" s="19">
        <v>0.7</v>
      </c>
      <c r="CI6" s="19"/>
      <c r="CJ6" s="19"/>
      <c r="CK6" s="19"/>
      <c r="CL6" s="19"/>
      <c r="CM6" s="19">
        <v>14.8</v>
      </c>
      <c r="CN6" s="19">
        <v>6.1</v>
      </c>
      <c r="CO6" s="19">
        <v>0</v>
      </c>
      <c r="CP6" s="19">
        <v>0.7</v>
      </c>
      <c r="CQ6" s="19">
        <v>16.100000000000001</v>
      </c>
      <c r="CR6" s="19">
        <v>1.2</v>
      </c>
      <c r="CS6" s="19">
        <v>0</v>
      </c>
      <c r="CT6" s="19">
        <v>0</v>
      </c>
      <c r="CU6" s="27"/>
      <c r="CV6" s="40">
        <f t="shared" si="28"/>
        <v>7.1999999999999993</v>
      </c>
      <c r="CW6" s="40">
        <f t="shared" si="29"/>
        <v>41</v>
      </c>
      <c r="CX6" s="40" t="str">
        <f t="shared" si="30"/>
        <v/>
      </c>
      <c r="CY6" s="40">
        <f t="shared" si="31"/>
        <v>7.1999999999999993</v>
      </c>
      <c r="CZ6" s="40">
        <f t="shared" si="32"/>
        <v>41</v>
      </c>
      <c r="DA6" s="40">
        <f t="shared" si="33"/>
        <v>7.3</v>
      </c>
      <c r="DB6" s="40">
        <f t="shared" si="34"/>
        <v>38.900000000000006</v>
      </c>
      <c r="DC6" s="40">
        <f t="shared" si="35"/>
        <v>79.900000000000006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16</v>
      </c>
      <c r="QE6" s="22">
        <f t="shared" si="135"/>
        <v>3.45</v>
      </c>
      <c r="QF6" s="22">
        <f t="shared" si="136"/>
        <v>0.15000000000000002</v>
      </c>
      <c r="QG6" s="22">
        <f t="shared" si="137"/>
        <v>0.35</v>
      </c>
      <c r="QH6" s="22">
        <f t="shared" si="138"/>
        <v>15.700000000000001</v>
      </c>
      <c r="QI6" s="22">
        <f t="shared" si="139"/>
        <v>3.9</v>
      </c>
      <c r="QJ6" s="22">
        <f t="shared" si="140"/>
        <v>0.2</v>
      </c>
      <c r="QK6" s="22">
        <f t="shared" si="141"/>
        <v>0.7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15.6</v>
      </c>
      <c r="QQ6" s="22">
        <f t="shared" si="147"/>
        <v>6.1999999999999993</v>
      </c>
      <c r="QR6" s="22">
        <f t="shared" si="148"/>
        <v>0</v>
      </c>
      <c r="QS6" s="22">
        <f t="shared" si="149"/>
        <v>0.7</v>
      </c>
      <c r="QT6" s="22">
        <f t="shared" si="150"/>
        <v>16.850000000000001</v>
      </c>
      <c r="QU6" s="22">
        <f t="shared" si="151"/>
        <v>2.5</v>
      </c>
      <c r="QV6" s="22">
        <f t="shared" si="152"/>
        <v>0</v>
      </c>
      <c r="QW6" s="22">
        <f t="shared" si="153"/>
        <v>0.35</v>
      </c>
      <c r="QX6" s="27" t="s">
        <v>46</v>
      </c>
      <c r="QY6" s="40">
        <f t="shared" si="154"/>
        <v>7.35</v>
      </c>
      <c r="QZ6" s="40">
        <f t="shared" si="155"/>
        <v>39.75</v>
      </c>
      <c r="RA6" s="40" t="str">
        <f t="shared" si="156"/>
        <v/>
      </c>
      <c r="RB6" s="40">
        <f t="shared" si="157"/>
        <v>7.35</v>
      </c>
      <c r="RC6" s="40">
        <f t="shared" si="158"/>
        <v>39.75</v>
      </c>
      <c r="RD6" s="40">
        <f t="shared" si="159"/>
        <v>8.6999999999999993</v>
      </c>
      <c r="RE6" s="40">
        <f t="shared" si="160"/>
        <v>42.199999999999996</v>
      </c>
      <c r="RF6" s="40">
        <f t="shared" si="161"/>
        <v>81.949999999999989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>1</v>
      </c>
      <c r="C7" s="5" t="s">
        <v>117</v>
      </c>
      <c r="D7" s="4" t="s">
        <v>3</v>
      </c>
      <c r="E7" s="4">
        <v>2005</v>
      </c>
      <c r="F7" s="9">
        <f t="shared" si="0"/>
        <v>124.80000817000429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43.1</v>
      </c>
      <c r="M7" s="8" t="str">
        <f t="shared" si="5"/>
        <v>2024 3rd Domestic Trial</v>
      </c>
      <c r="N7" s="8">
        <f>IF(COUNT(AQ7,BT7,CW7)&gt;1,LARGE((AQ7,BT7,CW7),2),0)</f>
        <v>38.599999999999994</v>
      </c>
      <c r="O7" s="8" t="str">
        <f t="shared" si="6"/>
        <v>2025 Elite Canada</v>
      </c>
      <c r="P7" s="8">
        <f t="shared" si="7"/>
        <v>43.1</v>
      </c>
      <c r="Q7" s="8" t="str">
        <f t="shared" si="8"/>
        <v>2024 3rd Domestic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17.100000000000001</v>
      </c>
      <c r="V7" s="19">
        <v>4.0999999999999996</v>
      </c>
      <c r="W7" s="19">
        <v>0</v>
      </c>
      <c r="X7" s="19">
        <v>0.3</v>
      </c>
      <c r="Y7" s="19">
        <v>17.399999999999999</v>
      </c>
      <c r="Z7" s="19">
        <v>3.9</v>
      </c>
      <c r="AA7" s="19">
        <v>0</v>
      </c>
      <c r="AB7" s="19">
        <v>0.3</v>
      </c>
      <c r="AC7" s="19">
        <v>16.7</v>
      </c>
      <c r="AD7" s="19">
        <v>3.9</v>
      </c>
      <c r="AE7" s="19">
        <v>0</v>
      </c>
      <c r="AF7" s="19">
        <v>0.6</v>
      </c>
      <c r="AG7" s="19">
        <v>17.100000000000001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 t="shared" si="12"/>
        <v>8</v>
      </c>
      <c r="AQ7" s="40">
        <f t="shared" si="13"/>
        <v>43.1</v>
      </c>
      <c r="AR7" s="40">
        <f t="shared" si="14"/>
        <v>21.2</v>
      </c>
      <c r="AS7" s="40">
        <f t="shared" si="15"/>
        <v>11.9</v>
      </c>
      <c r="AT7" s="40">
        <f t="shared" si="16"/>
        <v>64.3</v>
      </c>
      <c r="AU7" s="40">
        <f t="shared" si="17"/>
        <v>8</v>
      </c>
      <c r="AV7" s="40">
        <f t="shared" si="18"/>
        <v>43.1</v>
      </c>
      <c r="AW7" s="40">
        <f t="shared" si="19"/>
        <v>107.4</v>
      </c>
      <c r="AX7" s="18">
        <v>16.2</v>
      </c>
      <c r="AY7" s="18">
        <v>3.9</v>
      </c>
      <c r="AZ7" s="18">
        <v>0</v>
      </c>
      <c r="BA7" s="18">
        <v>0</v>
      </c>
      <c r="BB7" s="18">
        <v>14.6</v>
      </c>
      <c r="BC7" s="18">
        <v>4.0999999999999996</v>
      </c>
      <c r="BD7" s="18">
        <v>0.2</v>
      </c>
      <c r="BE7" s="18">
        <v>0</v>
      </c>
      <c r="BF7" s="18"/>
      <c r="BG7" s="18"/>
      <c r="BH7" s="18"/>
      <c r="BI7" s="18"/>
      <c r="BJ7" s="18">
        <v>14.3</v>
      </c>
      <c r="BK7" s="18">
        <v>4.5999999999999996</v>
      </c>
      <c r="BL7" s="18">
        <v>0</v>
      </c>
      <c r="BM7" s="18">
        <v>0</v>
      </c>
      <c r="BN7" s="18">
        <v>16.3</v>
      </c>
      <c r="BO7" s="18">
        <v>4.0999999999999996</v>
      </c>
      <c r="BP7" s="18">
        <v>0</v>
      </c>
      <c r="BQ7" s="18">
        <v>0</v>
      </c>
      <c r="BR7" s="28"/>
      <c r="BS7" s="11">
        <f t="shared" si="20"/>
        <v>8</v>
      </c>
      <c r="BT7" s="11">
        <f t="shared" si="21"/>
        <v>38.599999999999994</v>
      </c>
      <c r="BU7" s="11" t="str">
        <f t="shared" si="22"/>
        <v/>
      </c>
      <c r="BV7" s="11">
        <f t="shared" si="23"/>
        <v>8</v>
      </c>
      <c r="BW7" s="11">
        <f t="shared" si="24"/>
        <v>38.599999999999994</v>
      </c>
      <c r="BX7" s="11">
        <f t="shared" si="25"/>
        <v>8.6999999999999993</v>
      </c>
      <c r="BY7" s="11">
        <f t="shared" si="26"/>
        <v>39.300000000000004</v>
      </c>
      <c r="BZ7" s="11">
        <f t="shared" si="27"/>
        <v>77.900000000000006</v>
      </c>
      <c r="CA7" s="19">
        <v>14.5</v>
      </c>
      <c r="CB7" s="19">
        <v>4.5999999999999996</v>
      </c>
      <c r="CC7" s="19">
        <v>0</v>
      </c>
      <c r="CD7" s="19">
        <v>0</v>
      </c>
      <c r="CE7" s="19">
        <v>14.5</v>
      </c>
      <c r="CF7" s="19">
        <v>4.8</v>
      </c>
      <c r="CG7" s="19">
        <v>0</v>
      </c>
      <c r="CH7" s="19">
        <v>0</v>
      </c>
      <c r="CI7" s="19"/>
      <c r="CJ7" s="19"/>
      <c r="CK7" s="19"/>
      <c r="CL7" s="19"/>
      <c r="CM7" s="19">
        <v>16.399999999999999</v>
      </c>
      <c r="CN7" s="19">
        <v>4.5999999999999996</v>
      </c>
      <c r="CO7" s="19">
        <v>0</v>
      </c>
      <c r="CP7" s="19">
        <v>0</v>
      </c>
      <c r="CQ7" s="19">
        <v>16.600000000000001</v>
      </c>
      <c r="CR7" s="19">
        <v>4.8</v>
      </c>
      <c r="CS7" s="19">
        <v>0</v>
      </c>
      <c r="CT7" s="19">
        <v>0</v>
      </c>
      <c r="CU7" s="27"/>
      <c r="CV7" s="40">
        <f t="shared" si="28"/>
        <v>9.3999999999999986</v>
      </c>
      <c r="CW7" s="40">
        <f t="shared" si="29"/>
        <v>38.4</v>
      </c>
      <c r="CX7" s="40" t="str">
        <f t="shared" si="30"/>
        <v/>
      </c>
      <c r="CY7" s="40">
        <f t="shared" si="31"/>
        <v>9.3999999999999986</v>
      </c>
      <c r="CZ7" s="40">
        <f t="shared" si="32"/>
        <v>38.4</v>
      </c>
      <c r="DA7" s="40">
        <f t="shared" si="33"/>
        <v>9.3999999999999986</v>
      </c>
      <c r="DB7" s="40">
        <f t="shared" si="34"/>
        <v>42.4</v>
      </c>
      <c r="DC7" s="40">
        <f t="shared" si="35"/>
        <v>80.8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15.35</v>
      </c>
      <c r="QE7" s="22">
        <f t="shared" si="135"/>
        <v>4.25</v>
      </c>
      <c r="QF7" s="22">
        <f t="shared" si="136"/>
        <v>0</v>
      </c>
      <c r="QG7" s="22">
        <f t="shared" si="137"/>
        <v>0</v>
      </c>
      <c r="QH7" s="22">
        <f t="shared" si="138"/>
        <v>14.55</v>
      </c>
      <c r="QI7" s="22">
        <f t="shared" si="139"/>
        <v>4.4499999999999993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15.35</v>
      </c>
      <c r="QQ7" s="22">
        <f t="shared" si="147"/>
        <v>4.5999999999999996</v>
      </c>
      <c r="QR7" s="22">
        <f t="shared" si="148"/>
        <v>0</v>
      </c>
      <c r="QS7" s="22">
        <f t="shared" si="149"/>
        <v>0</v>
      </c>
      <c r="QT7" s="22">
        <f t="shared" si="150"/>
        <v>16.450000000000003</v>
      </c>
      <c r="QU7" s="22">
        <f t="shared" si="151"/>
        <v>4.4499999999999993</v>
      </c>
      <c r="QV7" s="22">
        <f t="shared" si="152"/>
        <v>0</v>
      </c>
      <c r="QW7" s="22">
        <f t="shared" si="153"/>
        <v>0</v>
      </c>
      <c r="QX7" s="27" t="s">
        <v>46</v>
      </c>
      <c r="QY7" s="40">
        <f t="shared" si="154"/>
        <v>8.6999999999999993</v>
      </c>
      <c r="QZ7" s="40">
        <f t="shared" si="155"/>
        <v>38.500000000000007</v>
      </c>
      <c r="RA7" s="40" t="str">
        <f t="shared" si="156"/>
        <v/>
      </c>
      <c r="RB7" s="40">
        <f t="shared" si="157"/>
        <v>8.6999999999999993</v>
      </c>
      <c r="RC7" s="40">
        <f t="shared" si="158"/>
        <v>38.500000000000007</v>
      </c>
      <c r="RD7" s="40">
        <f t="shared" si="159"/>
        <v>9.0499999999999989</v>
      </c>
      <c r="RE7" s="40">
        <f t="shared" si="160"/>
        <v>40.850000000000009</v>
      </c>
      <c r="RF7" s="40">
        <f t="shared" si="161"/>
        <v>79.350000000000023</v>
      </c>
    </row>
    <row r="8" spans="1:474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2</v>
      </c>
      <c r="C8" s="5" t="s">
        <v>111</v>
      </c>
      <c r="D8" s="4" t="s">
        <v>4</v>
      </c>
      <c r="E8" s="4">
        <v>2005</v>
      </c>
      <c r="F8" s="9">
        <f t="shared" si="0"/>
        <v>116.50000739000399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40.099999999999994</v>
      </c>
      <c r="M8" s="8" t="str">
        <f t="shared" si="5"/>
        <v>2024 3rd Domestic Trial</v>
      </c>
      <c r="N8" s="8">
        <f>IF(COUNT(AQ8,BT8,CW8)&gt;1,LARGE((AQ8,BT8,CW8),2),0)</f>
        <v>33.799999999999997</v>
      </c>
      <c r="O8" s="8" t="str">
        <f t="shared" si="6"/>
        <v>2025 Elite Canada</v>
      </c>
      <c r="P8" s="8">
        <f t="shared" si="7"/>
        <v>42.599999999999994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16.899999999999999</v>
      </c>
      <c r="V8" s="19">
        <v>4.3</v>
      </c>
      <c r="W8" s="19">
        <v>0.2</v>
      </c>
      <c r="X8" s="19">
        <v>0.3</v>
      </c>
      <c r="Y8" s="19">
        <v>15</v>
      </c>
      <c r="Z8" s="19">
        <v>3.9</v>
      </c>
      <c r="AA8" s="19">
        <v>0.4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17.2</v>
      </c>
      <c r="AH8" s="19">
        <v>4.0999999999999996</v>
      </c>
      <c r="AI8" s="19">
        <v>0</v>
      </c>
      <c r="AJ8" s="19">
        <v>0.3</v>
      </c>
      <c r="AK8" s="19">
        <v>16.399999999999999</v>
      </c>
      <c r="AL8" s="19">
        <v>4.3</v>
      </c>
      <c r="AM8" s="19">
        <v>0</v>
      </c>
      <c r="AN8" s="19">
        <v>0.3</v>
      </c>
      <c r="AO8" s="27"/>
      <c r="AP8" s="40">
        <f t="shared" si="12"/>
        <v>8.1999999999999993</v>
      </c>
      <c r="AQ8" s="40">
        <f t="shared" si="13"/>
        <v>40.099999999999994</v>
      </c>
      <c r="AR8" s="40">
        <f t="shared" si="14"/>
        <v>18.3</v>
      </c>
      <c r="AS8" s="40">
        <f t="shared" si="15"/>
        <v>10.1</v>
      </c>
      <c r="AT8" s="40">
        <f t="shared" si="16"/>
        <v>58.399999999999991</v>
      </c>
      <c r="AU8" s="40">
        <f t="shared" si="17"/>
        <v>8.3999999999999986</v>
      </c>
      <c r="AV8" s="40">
        <f t="shared" si="18"/>
        <v>42.599999999999994</v>
      </c>
      <c r="AW8" s="40">
        <f t="shared" si="19"/>
        <v>100.99999999999999</v>
      </c>
      <c r="AX8" s="18">
        <v>16.100000000000001</v>
      </c>
      <c r="AY8" s="18">
        <v>4.2</v>
      </c>
      <c r="AZ8" s="18">
        <v>0.2</v>
      </c>
      <c r="BA8" s="18">
        <v>0</v>
      </c>
      <c r="BB8" s="18">
        <v>10.6</v>
      </c>
      <c r="BC8" s="18">
        <v>2.4</v>
      </c>
      <c r="BD8" s="18">
        <v>0</v>
      </c>
      <c r="BE8" s="18">
        <v>0.7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 t="shared" si="20"/>
        <v>6.6</v>
      </c>
      <c r="BT8" s="11">
        <f t="shared" si="21"/>
        <v>33.799999999999997</v>
      </c>
      <c r="BU8" s="11" t="str">
        <f t="shared" si="22"/>
        <v/>
      </c>
      <c r="BV8" s="11">
        <f t="shared" si="23"/>
        <v>6.6</v>
      </c>
      <c r="BW8" s="11">
        <f t="shared" si="24"/>
        <v>33.799999999999997</v>
      </c>
      <c r="BX8" s="11" t="str">
        <f t="shared" si="25"/>
        <v/>
      </c>
      <c r="BY8" s="11" t="str">
        <f t="shared" si="26"/>
        <v/>
      </c>
      <c r="BZ8" s="11">
        <f t="shared" si="27"/>
        <v>33.799999999999997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28"/>
        <v/>
      </c>
      <c r="CW8" s="40" t="str">
        <f t="shared" si="29"/>
        <v/>
      </c>
      <c r="CX8" s="40" t="str">
        <f t="shared" si="30"/>
        <v/>
      </c>
      <c r="CY8" s="40" t="str">
        <f t="shared" si="31"/>
        <v/>
      </c>
      <c r="CZ8" s="40" t="str">
        <f t="shared" si="32"/>
        <v/>
      </c>
      <c r="DA8" s="40" t="str">
        <f t="shared" si="33"/>
        <v/>
      </c>
      <c r="DB8" s="40" t="str">
        <f t="shared" si="34"/>
        <v/>
      </c>
      <c r="DC8" s="40" t="str">
        <f t="shared" si="35"/>
        <v/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8.0500000000000007</v>
      </c>
      <c r="QE8" s="22">
        <f t="shared" si="135"/>
        <v>2.1</v>
      </c>
      <c r="QF8" s="22">
        <f t="shared" si="136"/>
        <v>0.1</v>
      </c>
      <c r="QG8" s="22">
        <f t="shared" si="137"/>
        <v>0</v>
      </c>
      <c r="QH8" s="22">
        <f t="shared" si="138"/>
        <v>5.3</v>
      </c>
      <c r="QI8" s="22">
        <f t="shared" si="139"/>
        <v>1.2</v>
      </c>
      <c r="QJ8" s="22">
        <f t="shared" si="140"/>
        <v>0</v>
      </c>
      <c r="QK8" s="22">
        <f t="shared" si="141"/>
        <v>0.35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0</v>
      </c>
      <c r="QQ8" s="22">
        <f t="shared" si="147"/>
        <v>0</v>
      </c>
      <c r="QR8" s="22">
        <f t="shared" si="148"/>
        <v>0</v>
      </c>
      <c r="QS8" s="22">
        <f t="shared" si="149"/>
        <v>0</v>
      </c>
      <c r="QT8" s="22">
        <f t="shared" si="150"/>
        <v>0</v>
      </c>
      <c r="QU8" s="22">
        <f t="shared" si="151"/>
        <v>0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3.3</v>
      </c>
      <c r="QZ8" s="40">
        <f t="shared" si="155"/>
        <v>16.899999999999999</v>
      </c>
      <c r="RA8" s="40" t="str">
        <f t="shared" si="156"/>
        <v/>
      </c>
      <c r="RB8" s="40">
        <f t="shared" si="157"/>
        <v>3.3</v>
      </c>
      <c r="RC8" s="40">
        <f t="shared" si="158"/>
        <v>16.899999999999999</v>
      </c>
      <c r="RD8" s="40" t="str">
        <f t="shared" si="159"/>
        <v/>
      </c>
      <c r="RE8" s="40" t="str">
        <f t="shared" si="160"/>
        <v/>
      </c>
      <c r="RF8" s="40">
        <f t="shared" si="161"/>
        <v>16.899999999999999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98</v>
      </c>
      <c r="D9" s="4" t="s">
        <v>6</v>
      </c>
      <c r="E9" s="4">
        <v>2005</v>
      </c>
      <c r="F9" s="9">
        <f t="shared" si="0"/>
        <v>126.60000842000423</v>
      </c>
      <c r="G9" s="64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IF(COUNT(AQ9,BT9,CW9)&gt;0,LARGE((AQ9,BT9,CW9),1),0)</f>
        <v>42.300000000000004</v>
      </c>
      <c r="M9" s="8" t="str">
        <f t="shared" si="5"/>
        <v>2025 Nationals</v>
      </c>
      <c r="N9" s="8">
        <f>IF(COUNT(AQ9,BT9,CW9)&gt;1,LARGE((AQ9,BT9,CW9),2),0)</f>
        <v>41.9</v>
      </c>
      <c r="O9" s="8" t="str">
        <f t="shared" si="6"/>
        <v>2025 Elite Canada</v>
      </c>
      <c r="P9" s="8">
        <f t="shared" si="7"/>
        <v>42.4</v>
      </c>
      <c r="Q9" s="8" t="str">
        <f t="shared" si="8"/>
        <v>2025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16.899999999999999</v>
      </c>
      <c r="AY9" s="18">
        <v>4.0999999999999996</v>
      </c>
      <c r="AZ9" s="18">
        <v>0</v>
      </c>
      <c r="BA9" s="18">
        <v>0</v>
      </c>
      <c r="BB9" s="18">
        <v>17</v>
      </c>
      <c r="BC9" s="18">
        <v>3.9</v>
      </c>
      <c r="BD9" s="18">
        <v>0</v>
      </c>
      <c r="BE9" s="18">
        <v>0</v>
      </c>
      <c r="BF9" s="18"/>
      <c r="BG9" s="18"/>
      <c r="BH9" s="18"/>
      <c r="BI9" s="18"/>
      <c r="BJ9" s="18">
        <v>16.8</v>
      </c>
      <c r="BK9" s="18">
        <v>4.0999999999999996</v>
      </c>
      <c r="BL9" s="18">
        <v>0</v>
      </c>
      <c r="BM9" s="18">
        <v>0</v>
      </c>
      <c r="BN9" s="18">
        <v>14.8</v>
      </c>
      <c r="BO9" s="18">
        <v>4.5999999999999996</v>
      </c>
      <c r="BP9" s="18">
        <v>0</v>
      </c>
      <c r="BQ9" s="18">
        <v>0</v>
      </c>
      <c r="BR9" s="28"/>
      <c r="BS9" s="11">
        <f t="shared" si="20"/>
        <v>8</v>
      </c>
      <c r="BT9" s="11">
        <f t="shared" si="21"/>
        <v>41.9</v>
      </c>
      <c r="BU9" s="11" t="str">
        <f t="shared" si="22"/>
        <v/>
      </c>
      <c r="BV9" s="11">
        <f t="shared" si="23"/>
        <v>8</v>
      </c>
      <c r="BW9" s="11">
        <f t="shared" si="24"/>
        <v>41.9</v>
      </c>
      <c r="BX9" s="11">
        <f t="shared" si="25"/>
        <v>8.6999999999999993</v>
      </c>
      <c r="BY9" s="11">
        <f t="shared" si="26"/>
        <v>40.300000000000004</v>
      </c>
      <c r="BZ9" s="11">
        <f t="shared" si="27"/>
        <v>82.2</v>
      </c>
      <c r="CA9" s="19">
        <v>16.899999999999999</v>
      </c>
      <c r="CB9" s="19">
        <v>4.0999999999999996</v>
      </c>
      <c r="CC9" s="19">
        <v>0</v>
      </c>
      <c r="CD9" s="19">
        <v>0</v>
      </c>
      <c r="CE9" s="19">
        <v>16.7</v>
      </c>
      <c r="CF9" s="19">
        <v>4.5999999999999996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4.8</v>
      </c>
      <c r="CO9" s="19">
        <v>0</v>
      </c>
      <c r="CP9" s="19">
        <v>0</v>
      </c>
      <c r="CQ9" s="19">
        <v>16.5</v>
      </c>
      <c r="CR9" s="19">
        <v>4.5999999999999996</v>
      </c>
      <c r="CS9" s="19">
        <v>0</v>
      </c>
      <c r="CT9" s="19">
        <v>0</v>
      </c>
      <c r="CU9" s="27"/>
      <c r="CV9" s="40">
        <f t="shared" si="28"/>
        <v>8.6999999999999993</v>
      </c>
      <c r="CW9" s="40">
        <f t="shared" si="29"/>
        <v>42.300000000000004</v>
      </c>
      <c r="CX9" s="40" t="str">
        <f t="shared" si="30"/>
        <v/>
      </c>
      <c r="CY9" s="40">
        <f t="shared" si="31"/>
        <v>8.6999999999999993</v>
      </c>
      <c r="CZ9" s="40">
        <f t="shared" si="32"/>
        <v>42.300000000000004</v>
      </c>
      <c r="DA9" s="40">
        <f t="shared" si="33"/>
        <v>9.3999999999999986</v>
      </c>
      <c r="DB9" s="40">
        <f t="shared" si="34"/>
        <v>42.4</v>
      </c>
      <c r="DC9" s="40">
        <f t="shared" si="35"/>
        <v>84.7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16.899999999999999</v>
      </c>
      <c r="QE9" s="22">
        <f t="shared" si="135"/>
        <v>4.0999999999999996</v>
      </c>
      <c r="QF9" s="22">
        <f t="shared" si="136"/>
        <v>0</v>
      </c>
      <c r="QG9" s="22">
        <f t="shared" si="137"/>
        <v>0</v>
      </c>
      <c r="QH9" s="22">
        <f t="shared" si="138"/>
        <v>16.850000000000001</v>
      </c>
      <c r="QI9" s="22">
        <f t="shared" si="139"/>
        <v>4.25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16.649999999999999</v>
      </c>
      <c r="QQ9" s="22">
        <f t="shared" si="147"/>
        <v>4.4499999999999993</v>
      </c>
      <c r="QR9" s="22">
        <f t="shared" si="148"/>
        <v>0</v>
      </c>
      <c r="QS9" s="22">
        <f t="shared" si="149"/>
        <v>0</v>
      </c>
      <c r="QT9" s="22">
        <f t="shared" si="150"/>
        <v>15.65</v>
      </c>
      <c r="QU9" s="22">
        <f t="shared" si="151"/>
        <v>4.5999999999999996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8.35</v>
      </c>
      <c r="QZ9" s="40">
        <f t="shared" si="155"/>
        <v>42.1</v>
      </c>
      <c r="RA9" s="40" t="str">
        <f t="shared" si="156"/>
        <v/>
      </c>
      <c r="RB9" s="40">
        <f t="shared" si="157"/>
        <v>8.35</v>
      </c>
      <c r="RC9" s="40">
        <f t="shared" si="158"/>
        <v>42.1</v>
      </c>
      <c r="RD9" s="40">
        <f t="shared" si="159"/>
        <v>9.0499999999999989</v>
      </c>
      <c r="RE9" s="40">
        <f t="shared" si="160"/>
        <v>41.35</v>
      </c>
      <c r="RF9" s="40">
        <f t="shared" si="161"/>
        <v>83.45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132</v>
      </c>
      <c r="D10" s="4" t="s">
        <v>3</v>
      </c>
      <c r="E10" s="4">
        <v>2007</v>
      </c>
      <c r="F10" s="9">
        <f t="shared" si="0"/>
        <v>123.70000820000418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IF(COUNT(AQ10,BT10,CW10)&gt;0,LARGE((AQ10,BT10,CW10),1),0)</f>
        <v>41.9</v>
      </c>
      <c r="M10" s="8" t="str">
        <f t="shared" si="5"/>
        <v>2025 Nationals</v>
      </c>
      <c r="N10" s="8">
        <f>IF(COUNT(AQ10,BT10,CW10)&gt;1,LARGE((AQ10,BT10,CW10),2),0)</f>
        <v>40.1</v>
      </c>
      <c r="O10" s="8" t="str">
        <f t="shared" si="6"/>
        <v>2025 Elite Canada</v>
      </c>
      <c r="P10" s="8">
        <f t="shared" si="7"/>
        <v>41.699999999999996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11.7</v>
      </c>
      <c r="V10" s="19">
        <v>3</v>
      </c>
      <c r="W10" s="19">
        <v>0</v>
      </c>
      <c r="X10" s="19">
        <v>0.6</v>
      </c>
      <c r="Y10" s="19">
        <v>16.399999999999999</v>
      </c>
      <c r="Z10" s="19">
        <v>4.5999999999999996</v>
      </c>
      <c r="AA10" s="19">
        <v>0</v>
      </c>
      <c r="AB10" s="19">
        <v>0.6</v>
      </c>
      <c r="AC10" s="19">
        <v>16.2</v>
      </c>
      <c r="AD10" s="19">
        <v>4.5999999999999996</v>
      </c>
      <c r="AE10" s="19">
        <v>0</v>
      </c>
      <c r="AF10" s="19">
        <v>0.6</v>
      </c>
      <c r="AG10" s="19">
        <v>16.3</v>
      </c>
      <c r="AH10" s="19">
        <v>4.4000000000000004</v>
      </c>
      <c r="AI10" s="19">
        <v>0.2</v>
      </c>
      <c r="AJ10" s="19">
        <v>0.44999999999999996</v>
      </c>
      <c r="AK10" s="19">
        <v>16.25</v>
      </c>
      <c r="AL10" s="19">
        <v>3.5999999999999996</v>
      </c>
      <c r="AM10" s="19">
        <v>0</v>
      </c>
      <c r="AN10" s="19">
        <v>0.6</v>
      </c>
      <c r="AO10" s="27" t="s">
        <v>46</v>
      </c>
      <c r="AP10" s="40">
        <f t="shared" si="12"/>
        <v>7.6</v>
      </c>
      <c r="AQ10" s="40">
        <f t="shared" si="13"/>
        <v>36.9</v>
      </c>
      <c r="AR10" s="40">
        <f t="shared" si="14"/>
        <v>21.4</v>
      </c>
      <c r="AS10" s="40">
        <f t="shared" si="15"/>
        <v>12.2</v>
      </c>
      <c r="AT10" s="40">
        <f t="shared" si="16"/>
        <v>58.3</v>
      </c>
      <c r="AU10" s="40">
        <f t="shared" si="17"/>
        <v>8</v>
      </c>
      <c r="AV10" s="40">
        <f t="shared" si="18"/>
        <v>41.400000000000006</v>
      </c>
      <c r="AW10" s="40">
        <f t="shared" si="19"/>
        <v>99.7</v>
      </c>
      <c r="AX10" s="18">
        <v>15.3</v>
      </c>
      <c r="AY10" s="18">
        <v>4.2</v>
      </c>
      <c r="AZ10" s="18">
        <v>0.4</v>
      </c>
      <c r="BA10" s="18">
        <v>0.7</v>
      </c>
      <c r="BB10" s="18">
        <v>15.7</v>
      </c>
      <c r="BC10" s="18">
        <v>4.5999999999999996</v>
      </c>
      <c r="BD10" s="18">
        <v>0</v>
      </c>
      <c r="BE10" s="18">
        <v>0</v>
      </c>
      <c r="BF10" s="18"/>
      <c r="BG10" s="18"/>
      <c r="BH10" s="18"/>
      <c r="BI10" s="18"/>
      <c r="BJ10" s="18">
        <v>15.6</v>
      </c>
      <c r="BK10" s="18">
        <v>4.0999999999999996</v>
      </c>
      <c r="BL10" s="18">
        <v>0</v>
      </c>
      <c r="BM10" s="18">
        <v>0.7</v>
      </c>
      <c r="BN10" s="18">
        <v>16.399999999999999</v>
      </c>
      <c r="BO10" s="18">
        <v>4.8</v>
      </c>
      <c r="BP10" s="18">
        <v>0</v>
      </c>
      <c r="BQ10" s="18">
        <v>0</v>
      </c>
      <c r="BR10" s="28"/>
      <c r="BS10" s="11">
        <f t="shared" si="20"/>
        <v>8.8000000000000007</v>
      </c>
      <c r="BT10" s="11">
        <f t="shared" si="21"/>
        <v>40.1</v>
      </c>
      <c r="BU10" s="11" t="str">
        <f t="shared" si="22"/>
        <v/>
      </c>
      <c r="BV10" s="11">
        <f t="shared" si="23"/>
        <v>8.8000000000000007</v>
      </c>
      <c r="BW10" s="11">
        <f t="shared" si="24"/>
        <v>40.1</v>
      </c>
      <c r="BX10" s="11">
        <f t="shared" si="25"/>
        <v>8.8999999999999986</v>
      </c>
      <c r="BY10" s="11">
        <f t="shared" si="26"/>
        <v>41.599999999999994</v>
      </c>
      <c r="BZ10" s="11">
        <f t="shared" si="27"/>
        <v>81.699999999999989</v>
      </c>
      <c r="CA10" s="19">
        <v>16.399999999999999</v>
      </c>
      <c r="CB10" s="19">
        <v>4.2</v>
      </c>
      <c r="CC10" s="19">
        <v>0</v>
      </c>
      <c r="CD10" s="19">
        <v>0.7</v>
      </c>
      <c r="CE10" s="19">
        <v>16</v>
      </c>
      <c r="CF10" s="19">
        <v>4.5999999999999996</v>
      </c>
      <c r="CG10" s="19">
        <v>0</v>
      </c>
      <c r="CH10" s="19">
        <v>0</v>
      </c>
      <c r="CI10" s="19"/>
      <c r="CJ10" s="19"/>
      <c r="CK10" s="19"/>
      <c r="CL10" s="19"/>
      <c r="CM10" s="19">
        <v>16.2</v>
      </c>
      <c r="CN10" s="19">
        <v>3.3</v>
      </c>
      <c r="CO10" s="19">
        <v>0</v>
      </c>
      <c r="CP10" s="19">
        <v>0.7</v>
      </c>
      <c r="CQ10" s="19">
        <v>16.7</v>
      </c>
      <c r="CR10" s="19">
        <v>4.8</v>
      </c>
      <c r="CS10" s="19">
        <v>0</v>
      </c>
      <c r="CT10" s="19">
        <v>0</v>
      </c>
      <c r="CU10" s="27"/>
      <c r="CV10" s="40">
        <f t="shared" si="28"/>
        <v>8.8000000000000007</v>
      </c>
      <c r="CW10" s="40">
        <f t="shared" si="29"/>
        <v>41.9</v>
      </c>
      <c r="CX10" s="40" t="str">
        <f t="shared" si="30"/>
        <v/>
      </c>
      <c r="CY10" s="40">
        <f t="shared" si="31"/>
        <v>8.8000000000000007</v>
      </c>
      <c r="CZ10" s="40">
        <f t="shared" si="32"/>
        <v>41.9</v>
      </c>
      <c r="DA10" s="40">
        <f t="shared" si="33"/>
        <v>8.1</v>
      </c>
      <c r="DB10" s="40">
        <f t="shared" si="34"/>
        <v>41.699999999999996</v>
      </c>
      <c r="DC10" s="40">
        <f t="shared" si="35"/>
        <v>83.6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15.85</v>
      </c>
      <c r="QE10" s="22">
        <f t="shared" si="135"/>
        <v>4.2</v>
      </c>
      <c r="QF10" s="22">
        <f t="shared" si="136"/>
        <v>0.2</v>
      </c>
      <c r="QG10" s="22">
        <f t="shared" si="137"/>
        <v>0.7</v>
      </c>
      <c r="QH10" s="22">
        <f t="shared" si="138"/>
        <v>15.85</v>
      </c>
      <c r="QI10" s="22">
        <f t="shared" si="139"/>
        <v>4.5999999999999996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15.899999999999999</v>
      </c>
      <c r="QQ10" s="22">
        <f t="shared" si="147"/>
        <v>3.6999999999999997</v>
      </c>
      <c r="QR10" s="22">
        <f t="shared" si="148"/>
        <v>0</v>
      </c>
      <c r="QS10" s="22">
        <f t="shared" si="149"/>
        <v>0.7</v>
      </c>
      <c r="QT10" s="22">
        <f t="shared" si="150"/>
        <v>16.549999999999997</v>
      </c>
      <c r="QU10" s="22">
        <f t="shared" si="151"/>
        <v>4.8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8.8000000000000007</v>
      </c>
      <c r="QZ10" s="40">
        <f t="shared" si="155"/>
        <v>41</v>
      </c>
      <c r="RA10" s="40" t="str">
        <f t="shared" si="156"/>
        <v/>
      </c>
      <c r="RB10" s="40">
        <f t="shared" si="157"/>
        <v>8.8000000000000007</v>
      </c>
      <c r="RC10" s="40">
        <f t="shared" si="158"/>
        <v>41</v>
      </c>
      <c r="RD10" s="40">
        <f t="shared" si="159"/>
        <v>8.5</v>
      </c>
      <c r="RE10" s="40">
        <f t="shared" si="160"/>
        <v>41.649999999999991</v>
      </c>
      <c r="RF10" s="40">
        <f t="shared" si="161"/>
        <v>82.649999999999991</v>
      </c>
    </row>
    <row r="11" spans="1:474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6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143</v>
      </c>
      <c r="D11" s="4" t="s">
        <v>3</v>
      </c>
      <c r="E11" s="4">
        <v>2007</v>
      </c>
      <c r="F11" s="9">
        <f t="shared" si="0"/>
        <v>123.20000826000427</v>
      </c>
      <c r="G11" s="64"/>
      <c r="H11" s="3" t="str">
        <f t="shared" si="1"/>
        <v/>
      </c>
      <c r="I11" s="3" t="str">
        <f t="shared" si="2"/>
        <v>P</v>
      </c>
      <c r="J11" s="36" t="str">
        <f t="shared" si="3"/>
        <v>No DD</v>
      </c>
      <c r="K11" s="3" t="str">
        <f t="shared" si="4"/>
        <v/>
      </c>
      <c r="L11" s="8">
        <f>IF(COUNT(AQ11,BT11,CW11)&gt;0,LARGE((AQ11,BT11,CW11),1),0)</f>
        <v>42.8</v>
      </c>
      <c r="M11" s="8" t="str">
        <f t="shared" si="5"/>
        <v>2024 3rd Domestic Trial</v>
      </c>
      <c r="N11" s="8">
        <f>IF(COUNT(AQ11,BT11,CW11)&gt;1,LARGE((AQ11,BT11,CW11),2),0)</f>
        <v>39.799999999999997</v>
      </c>
      <c r="O11" s="8" t="str">
        <f t="shared" si="6"/>
        <v>2025 Nationals</v>
      </c>
      <c r="P11" s="8">
        <f t="shared" si="7"/>
        <v>40.599999999999994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</v>
      </c>
      <c r="V11" s="19">
        <v>3.4</v>
      </c>
      <c r="W11" s="19">
        <v>0.2</v>
      </c>
      <c r="X11" s="19">
        <v>0</v>
      </c>
      <c r="Y11" s="19">
        <v>17.399999999999999</v>
      </c>
      <c r="Z11" s="19">
        <v>3.6</v>
      </c>
      <c r="AA11" s="19">
        <v>0</v>
      </c>
      <c r="AB11" s="19">
        <v>0.6</v>
      </c>
      <c r="AC11" s="19">
        <v>17.100000000000001</v>
      </c>
      <c r="AD11" s="19">
        <v>3.6</v>
      </c>
      <c r="AE11" s="19">
        <v>0</v>
      </c>
      <c r="AF11" s="19">
        <v>0.6</v>
      </c>
      <c r="AG11" s="19">
        <v>17.3</v>
      </c>
      <c r="AH11" s="19">
        <v>3.4</v>
      </c>
      <c r="AI11" s="19">
        <v>0.2</v>
      </c>
      <c r="AJ11" s="19">
        <v>0</v>
      </c>
      <c r="AK11" s="19">
        <v>15.8</v>
      </c>
      <c r="AL11" s="19">
        <v>3.3</v>
      </c>
      <c r="AM11" s="19">
        <v>0.4</v>
      </c>
      <c r="AN11" s="19">
        <v>0.6</v>
      </c>
      <c r="AO11" s="27"/>
      <c r="AP11" s="40">
        <f t="shared" si="12"/>
        <v>7</v>
      </c>
      <c r="AQ11" s="40">
        <f t="shared" si="13"/>
        <v>42.8</v>
      </c>
      <c r="AR11" s="40">
        <f t="shared" si="14"/>
        <v>21.300000000000004</v>
      </c>
      <c r="AS11" s="40">
        <f t="shared" si="15"/>
        <v>10.6</v>
      </c>
      <c r="AT11" s="40">
        <f t="shared" si="16"/>
        <v>64.099999999999994</v>
      </c>
      <c r="AU11" s="40">
        <f t="shared" si="17"/>
        <v>6.6999999999999993</v>
      </c>
      <c r="AV11" s="40">
        <f t="shared" si="18"/>
        <v>39.799999999999997</v>
      </c>
      <c r="AW11" s="40">
        <f t="shared" si="19"/>
        <v>103.89999999999999</v>
      </c>
      <c r="AX11" s="18">
        <v>14.5</v>
      </c>
      <c r="AY11" s="18">
        <v>1.6</v>
      </c>
      <c r="AZ11" s="18">
        <v>0</v>
      </c>
      <c r="BA11" s="18">
        <v>0</v>
      </c>
      <c r="BB11" s="18">
        <v>16.3</v>
      </c>
      <c r="BC11" s="18">
        <v>1.2</v>
      </c>
      <c r="BD11" s="18">
        <v>0.2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2.8</v>
      </c>
      <c r="BT11" s="11">
        <f t="shared" si="21"/>
        <v>33.400000000000006</v>
      </c>
      <c r="BU11" s="11" t="str">
        <f t="shared" si="22"/>
        <v/>
      </c>
      <c r="BV11" s="11">
        <f t="shared" si="23"/>
        <v>2.8</v>
      </c>
      <c r="BW11" s="11">
        <f t="shared" si="24"/>
        <v>33.400000000000006</v>
      </c>
      <c r="BX11" s="11" t="str">
        <f t="shared" si="25"/>
        <v/>
      </c>
      <c r="BY11" s="11" t="str">
        <f t="shared" si="26"/>
        <v/>
      </c>
      <c r="BZ11" s="11">
        <f t="shared" si="27"/>
        <v>33.400000000000006</v>
      </c>
      <c r="CA11" s="19">
        <v>16.7</v>
      </c>
      <c r="CB11" s="19">
        <v>3.4</v>
      </c>
      <c r="CC11" s="19">
        <v>0.2</v>
      </c>
      <c r="CD11" s="19">
        <v>0</v>
      </c>
      <c r="CE11" s="19">
        <v>16.8</v>
      </c>
      <c r="CF11" s="19">
        <v>3.1</v>
      </c>
      <c r="CG11" s="19">
        <v>0</v>
      </c>
      <c r="CH11" s="19">
        <v>0</v>
      </c>
      <c r="CI11" s="19"/>
      <c r="CJ11" s="19"/>
      <c r="CK11" s="19"/>
      <c r="CL11" s="19"/>
      <c r="CM11" s="19">
        <v>17.100000000000001</v>
      </c>
      <c r="CN11" s="19">
        <v>3.4</v>
      </c>
      <c r="CO11" s="19">
        <v>0</v>
      </c>
      <c r="CP11" s="19">
        <v>0</v>
      </c>
      <c r="CQ11" s="19">
        <v>17.3</v>
      </c>
      <c r="CR11" s="19">
        <v>2.9</v>
      </c>
      <c r="CS11" s="19">
        <v>0.1</v>
      </c>
      <c r="CT11" s="19">
        <v>0</v>
      </c>
      <c r="CU11" s="27"/>
      <c r="CV11" s="40">
        <f t="shared" si="28"/>
        <v>6.5</v>
      </c>
      <c r="CW11" s="40">
        <f t="shared" si="29"/>
        <v>39.799999999999997</v>
      </c>
      <c r="CX11" s="40" t="str">
        <f t="shared" si="30"/>
        <v/>
      </c>
      <c r="CY11" s="40">
        <f t="shared" si="31"/>
        <v>6.5</v>
      </c>
      <c r="CZ11" s="40">
        <f t="shared" si="32"/>
        <v>39.799999999999997</v>
      </c>
      <c r="DA11" s="40">
        <f t="shared" si="33"/>
        <v>6.3</v>
      </c>
      <c r="DB11" s="40">
        <f t="shared" si="34"/>
        <v>40.599999999999994</v>
      </c>
      <c r="DC11" s="40">
        <f t="shared" si="35"/>
        <v>80.399999999999991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15.6</v>
      </c>
      <c r="QE11" s="22">
        <f t="shared" si="135"/>
        <v>2.5</v>
      </c>
      <c r="QF11" s="22">
        <f t="shared" si="136"/>
        <v>0.1</v>
      </c>
      <c r="QG11" s="22">
        <f t="shared" si="137"/>
        <v>0</v>
      </c>
      <c r="QH11" s="22">
        <f t="shared" si="138"/>
        <v>16.55</v>
      </c>
      <c r="QI11" s="22">
        <f t="shared" si="139"/>
        <v>2.15</v>
      </c>
      <c r="QJ11" s="22">
        <f t="shared" si="140"/>
        <v>0.1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8.5500000000000007</v>
      </c>
      <c r="QQ11" s="22">
        <f t="shared" si="147"/>
        <v>1.7</v>
      </c>
      <c r="QR11" s="22">
        <f t="shared" si="148"/>
        <v>0</v>
      </c>
      <c r="QS11" s="22">
        <f t="shared" si="149"/>
        <v>0</v>
      </c>
      <c r="QT11" s="22">
        <f t="shared" si="150"/>
        <v>8.65</v>
      </c>
      <c r="QU11" s="22">
        <f t="shared" si="151"/>
        <v>1.45</v>
      </c>
      <c r="QV11" s="22">
        <f t="shared" si="152"/>
        <v>0.05</v>
      </c>
      <c r="QW11" s="22">
        <f t="shared" si="153"/>
        <v>0</v>
      </c>
      <c r="QX11" s="27" t="s">
        <v>46</v>
      </c>
      <c r="QY11" s="40">
        <f t="shared" si="154"/>
        <v>4.6500000000000004</v>
      </c>
      <c r="QZ11" s="40">
        <f t="shared" si="155"/>
        <v>36.6</v>
      </c>
      <c r="RA11" s="40" t="str">
        <f t="shared" si="156"/>
        <v/>
      </c>
      <c r="RB11" s="40">
        <f t="shared" si="157"/>
        <v>4.6500000000000004</v>
      </c>
      <c r="RC11" s="40">
        <f t="shared" si="158"/>
        <v>36.6</v>
      </c>
      <c r="RD11" s="40">
        <f t="shared" si="159"/>
        <v>3.15</v>
      </c>
      <c r="RE11" s="40">
        <f t="shared" si="160"/>
        <v>20.299999999999997</v>
      </c>
      <c r="RF11" s="40">
        <f t="shared" si="161"/>
        <v>56.9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151</v>
      </c>
      <c r="D12" s="4" t="s">
        <v>4</v>
      </c>
      <c r="E12" s="4">
        <v>2005</v>
      </c>
      <c r="F12" s="9">
        <f t="shared" si="0"/>
        <v>123.20000816000419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41.999999999999993</v>
      </c>
      <c r="M12" s="8" t="str">
        <f t="shared" si="5"/>
        <v>2024 3rd Domestic Trial</v>
      </c>
      <c r="N12" s="8">
        <f>IF(COUNT(AQ12,BT12,CW12)&gt;1,LARGE((AQ12,BT12,CW12),2),0)</f>
        <v>39.599999999999994</v>
      </c>
      <c r="O12" s="8" t="str">
        <f t="shared" si="6"/>
        <v>2025 Nationals</v>
      </c>
      <c r="P12" s="8">
        <f t="shared" si="7"/>
        <v>41.6</v>
      </c>
      <c r="Q12" s="8" t="str">
        <f t="shared" si="8"/>
        <v>2024 3rd Domestic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16.899999999999999</v>
      </c>
      <c r="Z12" s="19">
        <v>4.0999999999999996</v>
      </c>
      <c r="AA12" s="19">
        <v>0</v>
      </c>
      <c r="AB12" s="19">
        <v>0.3</v>
      </c>
      <c r="AC12" s="19">
        <v>16.8</v>
      </c>
      <c r="AD12" s="19">
        <v>4.0999999999999996</v>
      </c>
      <c r="AE12" s="19">
        <v>0</v>
      </c>
      <c r="AF12" s="19">
        <v>0.3</v>
      </c>
      <c r="AG12" s="19">
        <v>16.7</v>
      </c>
      <c r="AH12" s="19">
        <v>3.9</v>
      </c>
      <c r="AI12" s="19">
        <v>0</v>
      </c>
      <c r="AJ12" s="19">
        <v>0.3</v>
      </c>
      <c r="AK12" s="19">
        <v>16.3</v>
      </c>
      <c r="AL12" s="19">
        <v>4.0999999999999996</v>
      </c>
      <c r="AM12" s="19">
        <v>0</v>
      </c>
      <c r="AN12" s="19">
        <v>0.3</v>
      </c>
      <c r="AO12" s="27"/>
      <c r="AP12" s="40">
        <f t="shared" si="12"/>
        <v>8</v>
      </c>
      <c r="AQ12" s="40">
        <f t="shared" si="13"/>
        <v>41.999999999999993</v>
      </c>
      <c r="AR12" s="40">
        <f t="shared" si="14"/>
        <v>21.2</v>
      </c>
      <c r="AS12" s="40">
        <f t="shared" si="15"/>
        <v>12.1</v>
      </c>
      <c r="AT12" s="40">
        <f t="shared" si="16"/>
        <v>63.199999999999989</v>
      </c>
      <c r="AU12" s="40">
        <f t="shared" si="17"/>
        <v>8</v>
      </c>
      <c r="AV12" s="40">
        <f t="shared" si="18"/>
        <v>41.6</v>
      </c>
      <c r="AW12" s="40">
        <f t="shared" si="19"/>
        <v>104.79999999999998</v>
      </c>
      <c r="AX12" s="18">
        <v>16.899999999999999</v>
      </c>
      <c r="AY12" s="18">
        <v>3.9</v>
      </c>
      <c r="AZ12" s="18">
        <v>0</v>
      </c>
      <c r="BA12" s="18">
        <v>0</v>
      </c>
      <c r="BB12" s="18">
        <v>16.399999999999999</v>
      </c>
      <c r="BC12" s="18">
        <v>1.9</v>
      </c>
      <c r="BD12" s="18">
        <v>1</v>
      </c>
      <c r="BE12" s="18">
        <v>0</v>
      </c>
      <c r="BF12" s="18"/>
      <c r="BG12" s="18"/>
      <c r="BH12" s="18"/>
      <c r="BI12" s="18"/>
      <c r="BJ12" s="18">
        <v>16</v>
      </c>
      <c r="BK12" s="18">
        <v>4.0999999999999996</v>
      </c>
      <c r="BL12" s="18">
        <v>0.2</v>
      </c>
      <c r="BM12" s="18">
        <v>0</v>
      </c>
      <c r="BN12" s="18">
        <v>16.600000000000001</v>
      </c>
      <c r="BO12" s="18">
        <v>3.9</v>
      </c>
      <c r="BP12" s="18">
        <v>0</v>
      </c>
      <c r="BQ12" s="18">
        <v>0</v>
      </c>
      <c r="BR12" s="28"/>
      <c r="BS12" s="11">
        <f t="shared" si="20"/>
        <v>5.8</v>
      </c>
      <c r="BT12" s="11">
        <f t="shared" si="21"/>
        <v>38.099999999999994</v>
      </c>
      <c r="BU12" s="11" t="str">
        <f t="shared" si="22"/>
        <v/>
      </c>
      <c r="BV12" s="11">
        <f t="shared" si="23"/>
        <v>5.8</v>
      </c>
      <c r="BW12" s="11">
        <f t="shared" si="24"/>
        <v>38.099999999999994</v>
      </c>
      <c r="BX12" s="11">
        <f t="shared" si="25"/>
        <v>8</v>
      </c>
      <c r="BY12" s="11">
        <f t="shared" si="26"/>
        <v>40.4</v>
      </c>
      <c r="BZ12" s="11">
        <f t="shared" si="27"/>
        <v>78.5</v>
      </c>
      <c r="CA12" s="19">
        <v>16.5</v>
      </c>
      <c r="CB12" s="19">
        <v>3.9</v>
      </c>
      <c r="CC12" s="19">
        <v>0</v>
      </c>
      <c r="CD12" s="19">
        <v>0</v>
      </c>
      <c r="CE12" s="19">
        <v>16.600000000000001</v>
      </c>
      <c r="CF12" s="19">
        <v>2.8</v>
      </c>
      <c r="CG12" s="19">
        <v>0.2</v>
      </c>
      <c r="CH12" s="19">
        <v>0</v>
      </c>
      <c r="CI12" s="19"/>
      <c r="CJ12" s="19"/>
      <c r="CK12" s="19"/>
      <c r="CL12" s="19"/>
      <c r="CM12" s="19">
        <v>16.399999999999999</v>
      </c>
      <c r="CN12" s="19">
        <v>3.9</v>
      </c>
      <c r="CO12" s="19">
        <v>0</v>
      </c>
      <c r="CP12" s="19">
        <v>0</v>
      </c>
      <c r="CQ12" s="19">
        <v>15.7</v>
      </c>
      <c r="CR12" s="19">
        <v>1.9</v>
      </c>
      <c r="CS12" s="19">
        <v>0</v>
      </c>
      <c r="CT12" s="19">
        <v>0</v>
      </c>
      <c r="CU12" s="27"/>
      <c r="CV12" s="40">
        <f t="shared" si="28"/>
        <v>6.6999999999999993</v>
      </c>
      <c r="CW12" s="40">
        <f t="shared" si="29"/>
        <v>39.599999999999994</v>
      </c>
      <c r="CX12" s="40" t="str">
        <f t="shared" si="30"/>
        <v/>
      </c>
      <c r="CY12" s="40">
        <f t="shared" si="31"/>
        <v>6.6999999999999993</v>
      </c>
      <c r="CZ12" s="40">
        <f t="shared" si="32"/>
        <v>39.599999999999994</v>
      </c>
      <c r="DA12" s="40">
        <f t="shared" si="33"/>
        <v>5.8</v>
      </c>
      <c r="DB12" s="40">
        <f t="shared" si="34"/>
        <v>37.9</v>
      </c>
      <c r="DC12" s="40">
        <f t="shared" si="35"/>
        <v>77.5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16.7</v>
      </c>
      <c r="QE12" s="22">
        <f t="shared" si="135"/>
        <v>3.9</v>
      </c>
      <c r="QF12" s="22">
        <f t="shared" si="136"/>
        <v>0</v>
      </c>
      <c r="QG12" s="22">
        <f t="shared" si="137"/>
        <v>0</v>
      </c>
      <c r="QH12" s="22">
        <f t="shared" si="138"/>
        <v>16.5</v>
      </c>
      <c r="QI12" s="22">
        <f t="shared" si="139"/>
        <v>2.3499999999999996</v>
      </c>
      <c r="QJ12" s="22">
        <f t="shared" si="140"/>
        <v>0.6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16.2</v>
      </c>
      <c r="QQ12" s="22">
        <f t="shared" si="147"/>
        <v>4</v>
      </c>
      <c r="QR12" s="22">
        <f t="shared" si="148"/>
        <v>0.1</v>
      </c>
      <c r="QS12" s="22">
        <f t="shared" si="149"/>
        <v>0</v>
      </c>
      <c r="QT12" s="22">
        <f t="shared" si="150"/>
        <v>16.149999999999999</v>
      </c>
      <c r="QU12" s="22">
        <f t="shared" si="151"/>
        <v>2.9</v>
      </c>
      <c r="QV12" s="22">
        <f t="shared" si="152"/>
        <v>0</v>
      </c>
      <c r="QW12" s="22">
        <f t="shared" si="153"/>
        <v>0</v>
      </c>
      <c r="QX12" s="27" t="s">
        <v>46</v>
      </c>
      <c r="QY12" s="40">
        <f t="shared" si="154"/>
        <v>6.25</v>
      </c>
      <c r="QZ12" s="40">
        <f t="shared" si="155"/>
        <v>38.849999999999994</v>
      </c>
      <c r="RA12" s="40" t="str">
        <f t="shared" si="156"/>
        <v/>
      </c>
      <c r="RB12" s="40">
        <f t="shared" si="157"/>
        <v>6.25</v>
      </c>
      <c r="RC12" s="40">
        <f t="shared" si="158"/>
        <v>38.849999999999994</v>
      </c>
      <c r="RD12" s="40">
        <f t="shared" si="159"/>
        <v>6.9</v>
      </c>
      <c r="RE12" s="40">
        <f t="shared" si="160"/>
        <v>39.149999999999991</v>
      </c>
      <c r="RF12" s="40">
        <f t="shared" si="161"/>
        <v>77.999999999999986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145</v>
      </c>
      <c r="D13" s="4" t="s">
        <v>6</v>
      </c>
      <c r="E13" s="4">
        <v>2006</v>
      </c>
      <c r="F13" s="9">
        <f t="shared" si="0"/>
        <v>122.10000817000413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41.4</v>
      </c>
      <c r="M13" s="8" t="str">
        <f t="shared" si="5"/>
        <v>2025 Nationals</v>
      </c>
      <c r="N13" s="8">
        <f>IF(COUNT(AQ13,BT13,CW13)&gt;1,LARGE((AQ13,BT13,CW13),2),0)</f>
        <v>40.299999999999997</v>
      </c>
      <c r="O13" s="8" t="str">
        <f t="shared" si="6"/>
        <v>2025 Elite Canada</v>
      </c>
      <c r="P13" s="8">
        <f t="shared" si="7"/>
        <v>40.4</v>
      </c>
      <c r="Q13" s="8" t="str">
        <f t="shared" si="8"/>
        <v>2025 Elite Canada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14.9</v>
      </c>
      <c r="V13" s="19">
        <v>2.1</v>
      </c>
      <c r="W13" s="19">
        <v>2.9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>
        <v>16.2</v>
      </c>
      <c r="AD13" s="19">
        <v>4.0999999999999996</v>
      </c>
      <c r="AE13" s="19">
        <v>0.2</v>
      </c>
      <c r="AF13" s="19">
        <v>0.3</v>
      </c>
      <c r="AG13" s="19">
        <v>15.6</v>
      </c>
      <c r="AH13" s="19">
        <v>1.9</v>
      </c>
      <c r="AI13" s="19">
        <v>0</v>
      </c>
      <c r="AJ13" s="19">
        <v>0.3</v>
      </c>
      <c r="AK13" s="19">
        <v>16.2</v>
      </c>
      <c r="AL13" s="19">
        <v>1.6</v>
      </c>
      <c r="AM13" s="19">
        <v>1.4</v>
      </c>
      <c r="AN13" s="19">
        <v>0</v>
      </c>
      <c r="AO13" s="27"/>
      <c r="AP13" s="40">
        <f t="shared" si="12"/>
        <v>4</v>
      </c>
      <c r="AQ13" s="40">
        <f t="shared" si="13"/>
        <v>32.4</v>
      </c>
      <c r="AR13" s="40">
        <f t="shared" si="14"/>
        <v>20.399999999999999</v>
      </c>
      <c r="AS13" s="40">
        <f t="shared" si="15"/>
        <v>8.1</v>
      </c>
      <c r="AT13" s="40">
        <f t="shared" si="16"/>
        <v>52.8</v>
      </c>
      <c r="AU13" s="40">
        <f t="shared" si="17"/>
        <v>3.5</v>
      </c>
      <c r="AV13" s="40">
        <f t="shared" si="18"/>
        <v>34.200000000000003</v>
      </c>
      <c r="AW13" s="40">
        <f t="shared" si="19"/>
        <v>87</v>
      </c>
      <c r="AX13" s="18">
        <v>15.9</v>
      </c>
      <c r="AY13" s="18">
        <v>4.0999999999999996</v>
      </c>
      <c r="AZ13" s="18">
        <v>0</v>
      </c>
      <c r="BA13" s="18">
        <v>0</v>
      </c>
      <c r="BB13" s="18">
        <v>16.399999999999999</v>
      </c>
      <c r="BC13" s="18">
        <v>3.9</v>
      </c>
      <c r="BD13" s="18">
        <v>0</v>
      </c>
      <c r="BE13" s="18">
        <v>0</v>
      </c>
      <c r="BF13" s="18"/>
      <c r="BG13" s="18"/>
      <c r="BH13" s="18"/>
      <c r="BI13" s="18"/>
      <c r="BJ13" s="18">
        <v>15.5</v>
      </c>
      <c r="BK13" s="18">
        <v>4.5999999999999996</v>
      </c>
      <c r="BL13" s="18">
        <v>0</v>
      </c>
      <c r="BM13" s="18">
        <v>0</v>
      </c>
      <c r="BN13" s="18">
        <v>16.2</v>
      </c>
      <c r="BO13" s="18">
        <v>4.0999999999999996</v>
      </c>
      <c r="BP13" s="18">
        <v>0</v>
      </c>
      <c r="BQ13" s="18">
        <v>0</v>
      </c>
      <c r="BR13" s="28"/>
      <c r="BS13" s="11">
        <f t="shared" si="20"/>
        <v>8</v>
      </c>
      <c r="BT13" s="11">
        <f t="shared" si="21"/>
        <v>40.299999999999997</v>
      </c>
      <c r="BU13" s="11" t="str">
        <f t="shared" si="22"/>
        <v/>
      </c>
      <c r="BV13" s="11">
        <f t="shared" si="23"/>
        <v>8</v>
      </c>
      <c r="BW13" s="11">
        <f t="shared" si="24"/>
        <v>40.299999999999997</v>
      </c>
      <c r="BX13" s="11">
        <f t="shared" si="25"/>
        <v>8.6999999999999993</v>
      </c>
      <c r="BY13" s="11">
        <f t="shared" si="26"/>
        <v>40.4</v>
      </c>
      <c r="BZ13" s="11">
        <f t="shared" si="27"/>
        <v>80.699999999999989</v>
      </c>
      <c r="CA13" s="19">
        <v>16.3</v>
      </c>
      <c r="CB13" s="19">
        <v>4.0999999999999996</v>
      </c>
      <c r="CC13" s="19">
        <v>0</v>
      </c>
      <c r="CD13" s="19">
        <v>0</v>
      </c>
      <c r="CE13" s="19">
        <v>17.100000000000001</v>
      </c>
      <c r="CF13" s="19">
        <v>3.9</v>
      </c>
      <c r="CG13" s="19">
        <v>0</v>
      </c>
      <c r="CH13" s="19">
        <v>0</v>
      </c>
      <c r="CI13" s="19"/>
      <c r="CJ13" s="19"/>
      <c r="CK13" s="19"/>
      <c r="CL13" s="19"/>
      <c r="CM13" s="19">
        <v>13.7</v>
      </c>
      <c r="CN13" s="19">
        <v>1.8</v>
      </c>
      <c r="CO13" s="19">
        <v>0</v>
      </c>
      <c r="CP13" s="19">
        <v>0</v>
      </c>
      <c r="CQ13" s="19">
        <v>14.6</v>
      </c>
      <c r="CR13" s="19">
        <v>2.8</v>
      </c>
      <c r="CS13" s="19">
        <v>0.6</v>
      </c>
      <c r="CT13" s="19">
        <v>0</v>
      </c>
      <c r="CU13" s="27"/>
      <c r="CV13" s="40">
        <f t="shared" si="28"/>
        <v>8</v>
      </c>
      <c r="CW13" s="40">
        <f t="shared" si="29"/>
        <v>41.4</v>
      </c>
      <c r="CX13" s="40" t="str">
        <f t="shared" si="30"/>
        <v/>
      </c>
      <c r="CY13" s="40">
        <f t="shared" si="31"/>
        <v>8</v>
      </c>
      <c r="CZ13" s="40">
        <f t="shared" si="32"/>
        <v>41.4</v>
      </c>
      <c r="DA13" s="40">
        <f t="shared" si="33"/>
        <v>4.5999999999999996</v>
      </c>
      <c r="DB13" s="40">
        <f t="shared" si="34"/>
        <v>32.299999999999997</v>
      </c>
      <c r="DC13" s="40">
        <f t="shared" si="35"/>
        <v>73.699999999999989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16.100000000000001</v>
      </c>
      <c r="QE13" s="22">
        <f t="shared" si="135"/>
        <v>4.0999999999999996</v>
      </c>
      <c r="QF13" s="22">
        <f t="shared" si="136"/>
        <v>0</v>
      </c>
      <c r="QG13" s="22">
        <f t="shared" si="137"/>
        <v>0</v>
      </c>
      <c r="QH13" s="22">
        <f t="shared" si="138"/>
        <v>16.75</v>
      </c>
      <c r="QI13" s="22">
        <f t="shared" si="139"/>
        <v>3.9</v>
      </c>
      <c r="QJ13" s="22">
        <f t="shared" si="140"/>
        <v>0</v>
      </c>
      <c r="QK13" s="22">
        <f t="shared" si="141"/>
        <v>0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14.6</v>
      </c>
      <c r="QQ13" s="22">
        <f t="shared" si="147"/>
        <v>3.1999999999999997</v>
      </c>
      <c r="QR13" s="22">
        <f t="shared" si="148"/>
        <v>0</v>
      </c>
      <c r="QS13" s="22">
        <f t="shared" si="149"/>
        <v>0</v>
      </c>
      <c r="QT13" s="22">
        <f t="shared" si="150"/>
        <v>15.399999999999999</v>
      </c>
      <c r="QU13" s="22">
        <f t="shared" si="151"/>
        <v>3.4499999999999997</v>
      </c>
      <c r="QV13" s="22">
        <f t="shared" si="152"/>
        <v>0.3</v>
      </c>
      <c r="QW13" s="22">
        <f t="shared" si="153"/>
        <v>0</v>
      </c>
      <c r="QX13" s="27" t="s">
        <v>46</v>
      </c>
      <c r="QY13" s="40">
        <f t="shared" si="154"/>
        <v>8</v>
      </c>
      <c r="QZ13" s="40">
        <f t="shared" si="155"/>
        <v>40.85</v>
      </c>
      <c r="RA13" s="40" t="str">
        <f t="shared" si="156"/>
        <v/>
      </c>
      <c r="RB13" s="40">
        <f t="shared" si="157"/>
        <v>8</v>
      </c>
      <c r="RC13" s="40">
        <f t="shared" si="158"/>
        <v>40.85</v>
      </c>
      <c r="RD13" s="40">
        <f t="shared" si="159"/>
        <v>6.6499999999999995</v>
      </c>
      <c r="RE13" s="40">
        <f t="shared" si="160"/>
        <v>36.350000000000009</v>
      </c>
      <c r="RF13" s="40">
        <f t="shared" si="161"/>
        <v>77.200000000000017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177</v>
      </c>
      <c r="D14" s="4" t="s">
        <v>4</v>
      </c>
      <c r="E14" s="4">
        <v>2008</v>
      </c>
      <c r="F14" s="9">
        <f t="shared" si="0"/>
        <v>117.60000790000397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39.79999999999999</v>
      </c>
      <c r="M14" s="8" t="str">
        <f t="shared" si="5"/>
        <v>2024 3rd Domestic Trial</v>
      </c>
      <c r="N14" s="8">
        <f>IF(COUNT(AQ14,BT14,CW14)&gt;1,LARGE((AQ14,BT14,CW14),2),0)</f>
        <v>39.199999999999996</v>
      </c>
      <c r="O14" s="8" t="str">
        <f t="shared" si="6"/>
        <v>2025 Elite Canada</v>
      </c>
      <c r="P14" s="8">
        <f t="shared" si="7"/>
        <v>38.6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15.5</v>
      </c>
      <c r="V14" s="19">
        <v>3.7</v>
      </c>
      <c r="W14" s="19">
        <v>0.2</v>
      </c>
      <c r="X14" s="19">
        <v>0.6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15.8</v>
      </c>
      <c r="AH14" s="19">
        <v>3.5</v>
      </c>
      <c r="AI14" s="19">
        <v>0.2</v>
      </c>
      <c r="AJ14" s="19">
        <v>0.6</v>
      </c>
      <c r="AK14" s="19">
        <v>15.4</v>
      </c>
      <c r="AL14" s="19">
        <v>3.2</v>
      </c>
      <c r="AM14" s="19">
        <v>0.4</v>
      </c>
      <c r="AN14" s="19">
        <v>0.6</v>
      </c>
      <c r="AO14" s="27"/>
      <c r="AP14" s="40">
        <f t="shared" si="12"/>
        <v>7.6</v>
      </c>
      <c r="AQ14" s="40">
        <f t="shared" si="13"/>
        <v>39.79999999999999</v>
      </c>
      <c r="AR14" s="40" t="str">
        <f t="shared" si="14"/>
        <v/>
      </c>
      <c r="AS14" s="40">
        <f t="shared" si="15"/>
        <v>7.6</v>
      </c>
      <c r="AT14" s="40">
        <f t="shared" si="16"/>
        <v>39.79999999999999</v>
      </c>
      <c r="AU14" s="40">
        <f t="shared" si="17"/>
        <v>6.7</v>
      </c>
      <c r="AV14" s="40">
        <f t="shared" si="18"/>
        <v>38.500000000000007</v>
      </c>
      <c r="AW14" s="40">
        <f t="shared" si="19"/>
        <v>78.3</v>
      </c>
      <c r="AX14" s="18">
        <v>16.3</v>
      </c>
      <c r="AY14" s="18">
        <v>3.4</v>
      </c>
      <c r="AZ14" s="18">
        <v>0.2</v>
      </c>
      <c r="BA14" s="18">
        <v>0</v>
      </c>
      <c r="BB14" s="18">
        <v>15.1</v>
      </c>
      <c r="BC14" s="18">
        <v>4.5999999999999996</v>
      </c>
      <c r="BD14" s="18">
        <v>0</v>
      </c>
      <c r="BE14" s="18">
        <v>0</v>
      </c>
      <c r="BF14" s="18"/>
      <c r="BG14" s="18"/>
      <c r="BH14" s="18"/>
      <c r="BI14" s="18"/>
      <c r="BJ14" s="18">
        <v>15.1</v>
      </c>
      <c r="BK14" s="18">
        <v>3.4</v>
      </c>
      <c r="BL14" s="18">
        <v>0</v>
      </c>
      <c r="BM14" s="18">
        <v>0</v>
      </c>
      <c r="BN14" s="18">
        <v>15.5</v>
      </c>
      <c r="BO14" s="18">
        <v>4.5999999999999996</v>
      </c>
      <c r="BP14" s="18">
        <v>0</v>
      </c>
      <c r="BQ14" s="18">
        <v>0</v>
      </c>
      <c r="BR14" s="28"/>
      <c r="BS14" s="11">
        <f t="shared" si="20"/>
        <v>8</v>
      </c>
      <c r="BT14" s="11">
        <f t="shared" si="21"/>
        <v>39.199999999999996</v>
      </c>
      <c r="BU14" s="11" t="str">
        <f t="shared" si="22"/>
        <v/>
      </c>
      <c r="BV14" s="11">
        <f t="shared" si="23"/>
        <v>8</v>
      </c>
      <c r="BW14" s="11">
        <f t="shared" si="24"/>
        <v>39.199999999999996</v>
      </c>
      <c r="BX14" s="11">
        <f t="shared" si="25"/>
        <v>8</v>
      </c>
      <c r="BY14" s="11">
        <f t="shared" si="26"/>
        <v>38.6</v>
      </c>
      <c r="BZ14" s="11">
        <f t="shared" si="27"/>
        <v>77.8</v>
      </c>
      <c r="CA14" s="19">
        <v>15.6</v>
      </c>
      <c r="CB14" s="19">
        <v>1.2</v>
      </c>
      <c r="CC14" s="19">
        <v>0</v>
      </c>
      <c r="CD14" s="19">
        <v>0</v>
      </c>
      <c r="CE14" s="19">
        <v>15</v>
      </c>
      <c r="CF14" s="19">
        <v>4.5999999999999996</v>
      </c>
      <c r="CG14" s="19">
        <v>0.2</v>
      </c>
      <c r="CH14" s="19">
        <v>0</v>
      </c>
      <c r="CI14" s="19"/>
      <c r="CJ14" s="19"/>
      <c r="CK14" s="19"/>
      <c r="CL14" s="19"/>
      <c r="CM14" s="19">
        <v>14.6</v>
      </c>
      <c r="CN14" s="19">
        <v>3.4</v>
      </c>
      <c r="CO14" s="19">
        <v>0</v>
      </c>
      <c r="CP14" s="19">
        <v>0</v>
      </c>
      <c r="CQ14" s="19">
        <v>15.2</v>
      </c>
      <c r="CR14" s="19">
        <v>2.6</v>
      </c>
      <c r="CS14" s="19">
        <v>0</v>
      </c>
      <c r="CT14" s="19">
        <v>0</v>
      </c>
      <c r="CU14" s="27"/>
      <c r="CV14" s="40">
        <f t="shared" si="28"/>
        <v>5.8</v>
      </c>
      <c r="CW14" s="40">
        <f t="shared" si="29"/>
        <v>36.199999999999996</v>
      </c>
      <c r="CX14" s="40" t="str">
        <f t="shared" si="30"/>
        <v/>
      </c>
      <c r="CY14" s="40">
        <f t="shared" si="31"/>
        <v>5.8</v>
      </c>
      <c r="CZ14" s="40">
        <f t="shared" si="32"/>
        <v>36.199999999999996</v>
      </c>
      <c r="DA14" s="40">
        <f t="shared" si="33"/>
        <v>6</v>
      </c>
      <c r="DB14" s="40">
        <f t="shared" si="34"/>
        <v>35.800000000000004</v>
      </c>
      <c r="DC14" s="40">
        <f t="shared" si="35"/>
        <v>72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15.95</v>
      </c>
      <c r="QE14" s="22">
        <f t="shared" si="135"/>
        <v>2.2999999999999998</v>
      </c>
      <c r="QF14" s="22">
        <f t="shared" si="136"/>
        <v>0.1</v>
      </c>
      <c r="QG14" s="22">
        <f t="shared" si="137"/>
        <v>0</v>
      </c>
      <c r="QH14" s="22">
        <f t="shared" si="138"/>
        <v>15.05</v>
      </c>
      <c r="QI14" s="22">
        <f t="shared" si="139"/>
        <v>4.5999999999999996</v>
      </c>
      <c r="QJ14" s="22">
        <f t="shared" si="140"/>
        <v>0.1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14.85</v>
      </c>
      <c r="QQ14" s="22">
        <f t="shared" si="147"/>
        <v>3.4</v>
      </c>
      <c r="QR14" s="22">
        <f t="shared" si="148"/>
        <v>0</v>
      </c>
      <c r="QS14" s="22">
        <f t="shared" si="149"/>
        <v>0</v>
      </c>
      <c r="QT14" s="22">
        <f t="shared" si="150"/>
        <v>15.35</v>
      </c>
      <c r="QU14" s="22">
        <f t="shared" si="151"/>
        <v>3.5999999999999996</v>
      </c>
      <c r="QV14" s="22">
        <f t="shared" si="152"/>
        <v>0</v>
      </c>
      <c r="QW14" s="22">
        <f t="shared" si="153"/>
        <v>0</v>
      </c>
      <c r="QX14" s="27" t="s">
        <v>46</v>
      </c>
      <c r="QY14" s="40">
        <f t="shared" si="154"/>
        <v>6.8999999999999995</v>
      </c>
      <c r="QZ14" s="40">
        <f t="shared" si="155"/>
        <v>37.699999999999996</v>
      </c>
      <c r="RA14" s="40" t="str">
        <f t="shared" si="156"/>
        <v/>
      </c>
      <c r="RB14" s="40">
        <f t="shared" si="157"/>
        <v>6.8999999999999995</v>
      </c>
      <c r="RC14" s="40">
        <f t="shared" si="158"/>
        <v>37.699999999999996</v>
      </c>
      <c r="RD14" s="40">
        <f t="shared" si="159"/>
        <v>7</v>
      </c>
      <c r="RE14" s="40">
        <f t="shared" si="160"/>
        <v>37.200000000000003</v>
      </c>
      <c r="RF14" s="40">
        <f t="shared" si="161"/>
        <v>74.900000000000006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63</v>
      </c>
      <c r="D15" s="4" t="s">
        <v>5</v>
      </c>
      <c r="E15" s="4">
        <v>2004</v>
      </c>
      <c r="F15" s="9">
        <f t="shared" si="0"/>
        <v>115.20000768000394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39.200000000000003</v>
      </c>
      <c r="M15" s="8" t="str">
        <f t="shared" si="5"/>
        <v>2025 Elite Canada</v>
      </c>
      <c r="N15" s="8">
        <f>IF(COUNT(AQ15,BT15,CW15)&gt;1,LARGE((AQ15,BT15,CW15),2),0)</f>
        <v>37.6</v>
      </c>
      <c r="O15" s="8" t="str">
        <f t="shared" si="6"/>
        <v>2025 Nationals</v>
      </c>
      <c r="P15" s="8">
        <f t="shared" si="7"/>
        <v>38.4</v>
      </c>
      <c r="Q15" s="8" t="str">
        <f t="shared" si="8"/>
        <v>2025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2"/>
        <v/>
      </c>
      <c r="AQ15" s="40" t="str">
        <f t="shared" si="13"/>
        <v/>
      </c>
      <c r="AR15" s="40" t="str">
        <f t="shared" si="14"/>
        <v/>
      </c>
      <c r="AS15" s="40" t="str">
        <f t="shared" si="15"/>
        <v/>
      </c>
      <c r="AT15" s="40" t="str">
        <f t="shared" si="16"/>
        <v/>
      </c>
      <c r="AU15" s="40" t="str">
        <f t="shared" si="17"/>
        <v/>
      </c>
      <c r="AV15" s="40" t="str">
        <f t="shared" si="18"/>
        <v/>
      </c>
      <c r="AW15" s="40" t="str">
        <f t="shared" si="19"/>
        <v/>
      </c>
      <c r="AX15" s="18">
        <v>16.8</v>
      </c>
      <c r="AY15" s="18">
        <v>3.5</v>
      </c>
      <c r="AZ15" s="18">
        <v>0.5</v>
      </c>
      <c r="BA15" s="18">
        <v>0.7</v>
      </c>
      <c r="BB15" s="18">
        <v>14.6</v>
      </c>
      <c r="BC15" s="18">
        <v>4.0999999999999996</v>
      </c>
      <c r="BD15" s="18">
        <v>0</v>
      </c>
      <c r="BE15" s="18">
        <v>0</v>
      </c>
      <c r="BF15" s="18"/>
      <c r="BG15" s="18"/>
      <c r="BH15" s="18"/>
      <c r="BI15" s="18"/>
      <c r="BJ15" s="18">
        <v>16.899999999999999</v>
      </c>
      <c r="BK15" s="18">
        <v>3.8</v>
      </c>
      <c r="BL15" s="18">
        <v>0.4</v>
      </c>
      <c r="BM15" s="18">
        <v>0.7</v>
      </c>
      <c r="BN15" s="18">
        <v>15.5</v>
      </c>
      <c r="BO15" s="18">
        <v>1.9</v>
      </c>
      <c r="BP15" s="18">
        <v>0</v>
      </c>
      <c r="BQ15" s="18">
        <v>0</v>
      </c>
      <c r="BR15" s="28"/>
      <c r="BS15" s="11">
        <f t="shared" si="20"/>
        <v>7.6</v>
      </c>
      <c r="BT15" s="11">
        <f t="shared" si="21"/>
        <v>39.200000000000003</v>
      </c>
      <c r="BU15" s="11" t="str">
        <f t="shared" si="22"/>
        <v/>
      </c>
      <c r="BV15" s="11">
        <f t="shared" si="23"/>
        <v>7.6</v>
      </c>
      <c r="BW15" s="11">
        <f t="shared" si="24"/>
        <v>39.200000000000003</v>
      </c>
      <c r="BX15" s="11">
        <f t="shared" si="25"/>
        <v>5.6999999999999993</v>
      </c>
      <c r="BY15" s="11">
        <f t="shared" si="26"/>
        <v>38.4</v>
      </c>
      <c r="BZ15" s="11">
        <f t="shared" si="27"/>
        <v>77.599999999999994</v>
      </c>
      <c r="CA15" s="19">
        <v>16.100000000000001</v>
      </c>
      <c r="CB15" s="19">
        <v>3.8</v>
      </c>
      <c r="CC15" s="19">
        <v>0.4</v>
      </c>
      <c r="CD15" s="19">
        <v>0.7</v>
      </c>
      <c r="CE15" s="19">
        <v>15.5</v>
      </c>
      <c r="CF15" s="19">
        <v>1.9</v>
      </c>
      <c r="CG15" s="19">
        <v>0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5.6999999999999993</v>
      </c>
      <c r="CW15" s="40">
        <f t="shared" si="29"/>
        <v>37.6</v>
      </c>
      <c r="CX15" s="40" t="str">
        <f t="shared" si="30"/>
        <v/>
      </c>
      <c r="CY15" s="40">
        <f t="shared" si="31"/>
        <v>5.6999999999999993</v>
      </c>
      <c r="CZ15" s="40">
        <f t="shared" si="32"/>
        <v>37.6</v>
      </c>
      <c r="DA15" s="40" t="str">
        <f t="shared" si="33"/>
        <v/>
      </c>
      <c r="DB15" s="40" t="str">
        <f t="shared" si="34"/>
        <v/>
      </c>
      <c r="DC15" s="40">
        <f t="shared" si="35"/>
        <v>37.6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16.450000000000003</v>
      </c>
      <c r="QE15" s="22">
        <f t="shared" si="135"/>
        <v>3.65</v>
      </c>
      <c r="QF15" s="22">
        <f t="shared" si="136"/>
        <v>0.45</v>
      </c>
      <c r="QG15" s="22">
        <f t="shared" si="137"/>
        <v>0.7</v>
      </c>
      <c r="QH15" s="22">
        <f t="shared" si="138"/>
        <v>15.05</v>
      </c>
      <c r="QI15" s="22">
        <f t="shared" si="139"/>
        <v>3</v>
      </c>
      <c r="QJ15" s="22">
        <f t="shared" si="140"/>
        <v>0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8.4499999999999993</v>
      </c>
      <c r="QQ15" s="22">
        <f t="shared" si="147"/>
        <v>1.9</v>
      </c>
      <c r="QR15" s="22">
        <f t="shared" si="148"/>
        <v>0.2</v>
      </c>
      <c r="QS15" s="22">
        <f t="shared" si="149"/>
        <v>0.35</v>
      </c>
      <c r="QT15" s="22">
        <f t="shared" si="150"/>
        <v>7.75</v>
      </c>
      <c r="QU15" s="22">
        <f t="shared" si="151"/>
        <v>0.95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6.65</v>
      </c>
      <c r="QZ15" s="40">
        <f t="shared" si="155"/>
        <v>38.4</v>
      </c>
      <c r="RA15" s="40" t="str">
        <f t="shared" si="156"/>
        <v/>
      </c>
      <c r="RB15" s="40">
        <f t="shared" si="157"/>
        <v>6.65</v>
      </c>
      <c r="RC15" s="40">
        <f t="shared" si="158"/>
        <v>38.4</v>
      </c>
      <c r="RD15" s="40">
        <f t="shared" si="159"/>
        <v>2.8499999999999996</v>
      </c>
      <c r="RE15" s="40">
        <f t="shared" si="160"/>
        <v>19.2</v>
      </c>
      <c r="RF15" s="40">
        <f t="shared" si="161"/>
        <v>57.599999999999994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144</v>
      </c>
      <c r="D16" s="4" t="s">
        <v>4</v>
      </c>
      <c r="E16" s="4">
        <v>2004</v>
      </c>
      <c r="F16" s="9">
        <f t="shared" si="0"/>
        <v>115.10000730000395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39.6</v>
      </c>
      <c r="M16" s="8" t="str">
        <f t="shared" si="5"/>
        <v>2025 Nationals</v>
      </c>
      <c r="N16" s="8">
        <f>IF(COUNT(AQ16,BT16,CW16)&gt;1,LARGE((AQ16,BT16,CW16),2),0)</f>
        <v>33.4</v>
      </c>
      <c r="O16" s="8" t="str">
        <f t="shared" si="6"/>
        <v>2024 3rd Domestic Trial</v>
      </c>
      <c r="P16" s="8">
        <f t="shared" si="7"/>
        <v>42.1</v>
      </c>
      <c r="Q16" s="8" t="str">
        <f t="shared" si="8"/>
        <v>2025 Nationals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14.4</v>
      </c>
      <c r="V16" s="19">
        <v>3.4</v>
      </c>
      <c r="W16" s="19">
        <v>0.6</v>
      </c>
      <c r="X16" s="19">
        <v>0.3</v>
      </c>
      <c r="Y16" s="19">
        <v>15</v>
      </c>
      <c r="Z16" s="19">
        <v>4.3</v>
      </c>
      <c r="AA16" s="19">
        <v>4</v>
      </c>
      <c r="AB16" s="19">
        <v>0.6</v>
      </c>
      <c r="AC16" s="19">
        <v>14.6</v>
      </c>
      <c r="AD16" s="19">
        <v>3.3</v>
      </c>
      <c r="AE16" s="19">
        <v>0.3</v>
      </c>
      <c r="AF16" s="19">
        <v>0.3</v>
      </c>
      <c r="AG16" s="19">
        <v>14.9</v>
      </c>
      <c r="AH16" s="19">
        <v>2.9</v>
      </c>
      <c r="AI16" s="19">
        <v>0</v>
      </c>
      <c r="AJ16" s="19">
        <v>0.3</v>
      </c>
      <c r="AK16" s="19">
        <v>14.1</v>
      </c>
      <c r="AL16" s="19">
        <v>3.9</v>
      </c>
      <c r="AM16" s="19">
        <v>0.4</v>
      </c>
      <c r="AN16" s="19">
        <v>0.6</v>
      </c>
      <c r="AO16" s="27"/>
      <c r="AP16" s="40">
        <f t="shared" si="12"/>
        <v>7.6999999999999993</v>
      </c>
      <c r="AQ16" s="40">
        <f t="shared" si="13"/>
        <v>33.4</v>
      </c>
      <c r="AR16" s="40">
        <f t="shared" si="14"/>
        <v>17.899999999999999</v>
      </c>
      <c r="AS16" s="40">
        <f t="shared" si="15"/>
        <v>11</v>
      </c>
      <c r="AT16" s="40">
        <f t="shared" si="16"/>
        <v>51.3</v>
      </c>
      <c r="AU16" s="40">
        <f t="shared" si="17"/>
        <v>6.8</v>
      </c>
      <c r="AV16" s="40">
        <f t="shared" si="18"/>
        <v>36.300000000000004</v>
      </c>
      <c r="AW16" s="40">
        <f t="shared" si="19"/>
        <v>87.6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16.600000000000001</v>
      </c>
      <c r="CB16" s="19">
        <v>6.1</v>
      </c>
      <c r="CC16" s="19">
        <v>0</v>
      </c>
      <c r="CD16" s="19">
        <v>0.7</v>
      </c>
      <c r="CE16" s="19">
        <v>17.100000000000001</v>
      </c>
      <c r="CF16" s="19">
        <v>2.1</v>
      </c>
      <c r="CG16" s="19">
        <v>3</v>
      </c>
      <c r="CH16" s="19">
        <v>0</v>
      </c>
      <c r="CI16" s="19"/>
      <c r="CJ16" s="19"/>
      <c r="CK16" s="19"/>
      <c r="CL16" s="19"/>
      <c r="CM16" s="19">
        <v>16.899999999999999</v>
      </c>
      <c r="CN16" s="19">
        <v>6.1</v>
      </c>
      <c r="CO16" s="19">
        <v>0</v>
      </c>
      <c r="CP16" s="19">
        <v>0.7</v>
      </c>
      <c r="CQ16" s="19">
        <v>17.5</v>
      </c>
      <c r="CR16" s="19">
        <v>2.1</v>
      </c>
      <c r="CS16" s="19">
        <v>1.2</v>
      </c>
      <c r="CT16" s="19">
        <v>0</v>
      </c>
      <c r="CU16" s="27"/>
      <c r="CV16" s="40">
        <f t="shared" si="28"/>
        <v>8.1999999999999993</v>
      </c>
      <c r="CW16" s="40">
        <f t="shared" si="29"/>
        <v>39.6</v>
      </c>
      <c r="CX16" s="40" t="str">
        <f t="shared" si="30"/>
        <v/>
      </c>
      <c r="CY16" s="40">
        <f t="shared" si="31"/>
        <v>8.1999999999999993</v>
      </c>
      <c r="CZ16" s="40">
        <f t="shared" si="32"/>
        <v>39.6</v>
      </c>
      <c r="DA16" s="40">
        <f t="shared" si="33"/>
        <v>8.1999999999999993</v>
      </c>
      <c r="DB16" s="40">
        <f t="shared" si="34"/>
        <v>42.1</v>
      </c>
      <c r="DC16" s="40">
        <f t="shared" si="35"/>
        <v>81.7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8.3000000000000007</v>
      </c>
      <c r="QE16" s="22">
        <f t="shared" si="135"/>
        <v>3.05</v>
      </c>
      <c r="QF16" s="22">
        <f t="shared" si="136"/>
        <v>0</v>
      </c>
      <c r="QG16" s="22">
        <f t="shared" si="137"/>
        <v>0.35</v>
      </c>
      <c r="QH16" s="22">
        <f t="shared" si="138"/>
        <v>8.5500000000000007</v>
      </c>
      <c r="QI16" s="22">
        <f t="shared" si="139"/>
        <v>1.05</v>
      </c>
      <c r="QJ16" s="22">
        <f t="shared" si="140"/>
        <v>1.5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8.4499999999999993</v>
      </c>
      <c r="QQ16" s="22">
        <f t="shared" si="147"/>
        <v>3.05</v>
      </c>
      <c r="QR16" s="22">
        <f t="shared" si="148"/>
        <v>0</v>
      </c>
      <c r="QS16" s="22">
        <f t="shared" si="149"/>
        <v>0.35</v>
      </c>
      <c r="QT16" s="22">
        <f t="shared" si="150"/>
        <v>8.75</v>
      </c>
      <c r="QU16" s="22">
        <f t="shared" si="151"/>
        <v>1.05</v>
      </c>
      <c r="QV16" s="22">
        <f t="shared" si="152"/>
        <v>0.6</v>
      </c>
      <c r="QW16" s="22">
        <f t="shared" si="153"/>
        <v>0</v>
      </c>
      <c r="QX16" s="27" t="s">
        <v>46</v>
      </c>
      <c r="QY16" s="40">
        <f t="shared" si="154"/>
        <v>4.0999999999999996</v>
      </c>
      <c r="QZ16" s="40">
        <f t="shared" si="155"/>
        <v>19.8</v>
      </c>
      <c r="RA16" s="40" t="str">
        <f t="shared" si="156"/>
        <v/>
      </c>
      <c r="RB16" s="40">
        <f t="shared" si="157"/>
        <v>4.0999999999999996</v>
      </c>
      <c r="RC16" s="40">
        <f t="shared" si="158"/>
        <v>19.8</v>
      </c>
      <c r="RD16" s="40">
        <f t="shared" si="159"/>
        <v>4.0999999999999996</v>
      </c>
      <c r="RE16" s="40">
        <f t="shared" si="160"/>
        <v>21.05</v>
      </c>
      <c r="RF16" s="40">
        <f t="shared" si="161"/>
        <v>40.85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176</v>
      </c>
      <c r="D17" s="4" t="s">
        <v>6</v>
      </c>
      <c r="E17" s="4">
        <v>2004</v>
      </c>
      <c r="F17" s="9">
        <f t="shared" si="0"/>
        <v>112.30000734000372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37.100000000000009</v>
      </c>
      <c r="M17" s="8" t="str">
        <f t="shared" si="5"/>
        <v>2025 Nationals</v>
      </c>
      <c r="N17" s="8">
        <f>IF(COUNT(AQ17,BT17,CW17)&gt;1,LARGE((AQ17,BT17,CW17),2),0)</f>
        <v>36.299999999999997</v>
      </c>
      <c r="O17" s="8" t="str">
        <f t="shared" si="6"/>
        <v>2025 Elite Canada</v>
      </c>
      <c r="P17" s="8">
        <f t="shared" si="7"/>
        <v>38.9</v>
      </c>
      <c r="Q17" s="8" t="str">
        <f t="shared" si="8"/>
        <v>2025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15.7</v>
      </c>
      <c r="AY17" s="18">
        <v>1.5</v>
      </c>
      <c r="AZ17" s="18">
        <v>0</v>
      </c>
      <c r="BA17" s="18">
        <v>0</v>
      </c>
      <c r="BB17" s="18">
        <v>16.899999999999999</v>
      </c>
      <c r="BC17" s="18">
        <v>2.6</v>
      </c>
      <c r="BD17" s="18">
        <v>0.4</v>
      </c>
      <c r="BE17" s="18">
        <v>0</v>
      </c>
      <c r="BF17" s="18"/>
      <c r="BG17" s="18"/>
      <c r="BH17" s="18"/>
      <c r="BI17" s="18"/>
      <c r="BJ17" s="18">
        <v>16.3</v>
      </c>
      <c r="BK17" s="18">
        <v>3.7</v>
      </c>
      <c r="BL17" s="18">
        <v>0.2</v>
      </c>
      <c r="BM17" s="18">
        <v>0</v>
      </c>
      <c r="BN17" s="18">
        <v>15.5</v>
      </c>
      <c r="BO17" s="18">
        <v>3.6</v>
      </c>
      <c r="BP17" s="18">
        <v>0</v>
      </c>
      <c r="BQ17" s="18">
        <v>0</v>
      </c>
      <c r="BR17" s="28"/>
      <c r="BS17" s="11">
        <f t="shared" si="20"/>
        <v>4.0999999999999996</v>
      </c>
      <c r="BT17" s="11">
        <f t="shared" si="21"/>
        <v>36.299999999999997</v>
      </c>
      <c r="BU17" s="11" t="str">
        <f t="shared" si="22"/>
        <v/>
      </c>
      <c r="BV17" s="11">
        <f t="shared" si="23"/>
        <v>4.0999999999999996</v>
      </c>
      <c r="BW17" s="11">
        <f t="shared" si="24"/>
        <v>36.299999999999997</v>
      </c>
      <c r="BX17" s="11">
        <f t="shared" si="25"/>
        <v>7.3000000000000007</v>
      </c>
      <c r="BY17" s="11">
        <f t="shared" si="26"/>
        <v>38.9</v>
      </c>
      <c r="BZ17" s="11">
        <f t="shared" si="27"/>
        <v>75.199999999999989</v>
      </c>
      <c r="CA17" s="19">
        <v>17.100000000000001</v>
      </c>
      <c r="CB17" s="19">
        <v>2.5</v>
      </c>
      <c r="CC17" s="19">
        <v>0.5</v>
      </c>
      <c r="CD17" s="19">
        <v>0</v>
      </c>
      <c r="CE17" s="19">
        <v>16.3</v>
      </c>
      <c r="CF17" s="19">
        <v>1.7</v>
      </c>
      <c r="CG17" s="19">
        <v>0</v>
      </c>
      <c r="CH17" s="19">
        <v>0</v>
      </c>
      <c r="CI17" s="19"/>
      <c r="CJ17" s="19"/>
      <c r="CK17" s="19"/>
      <c r="CL17" s="19"/>
      <c r="CM17" s="19">
        <v>17.100000000000001</v>
      </c>
      <c r="CN17" s="19">
        <v>2.5</v>
      </c>
      <c r="CO17" s="19">
        <v>0.5</v>
      </c>
      <c r="CP17" s="19">
        <v>0</v>
      </c>
      <c r="CQ17" s="19">
        <v>17.399999999999999</v>
      </c>
      <c r="CR17" s="19">
        <v>2.2999999999999998</v>
      </c>
      <c r="CS17" s="19">
        <v>0.7</v>
      </c>
      <c r="CT17" s="19">
        <v>0</v>
      </c>
      <c r="CU17" s="27"/>
      <c r="CV17" s="40">
        <f t="shared" si="28"/>
        <v>4.2</v>
      </c>
      <c r="CW17" s="40">
        <f t="shared" si="29"/>
        <v>37.100000000000009</v>
      </c>
      <c r="CX17" s="40" t="str">
        <f t="shared" si="30"/>
        <v/>
      </c>
      <c r="CY17" s="40">
        <f t="shared" si="31"/>
        <v>4.2</v>
      </c>
      <c r="CZ17" s="40">
        <f t="shared" si="32"/>
        <v>37.100000000000009</v>
      </c>
      <c r="DA17" s="40">
        <f t="shared" si="33"/>
        <v>4.8</v>
      </c>
      <c r="DB17" s="40">
        <f t="shared" si="34"/>
        <v>38.099999999999994</v>
      </c>
      <c r="DC17" s="40">
        <f t="shared" si="35"/>
        <v>75.2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16.399999999999999</v>
      </c>
      <c r="QE17" s="22">
        <f t="shared" si="135"/>
        <v>2</v>
      </c>
      <c r="QF17" s="22">
        <f t="shared" si="136"/>
        <v>0.25</v>
      </c>
      <c r="QG17" s="22">
        <f t="shared" si="137"/>
        <v>0</v>
      </c>
      <c r="QH17" s="22">
        <f t="shared" si="138"/>
        <v>16.600000000000001</v>
      </c>
      <c r="QI17" s="22">
        <f t="shared" si="139"/>
        <v>2.15</v>
      </c>
      <c r="QJ17" s="22">
        <f t="shared" si="140"/>
        <v>0.2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16.700000000000003</v>
      </c>
      <c r="QQ17" s="22">
        <f t="shared" si="147"/>
        <v>3.1</v>
      </c>
      <c r="QR17" s="22">
        <f t="shared" si="148"/>
        <v>0.35</v>
      </c>
      <c r="QS17" s="22">
        <f t="shared" si="149"/>
        <v>0</v>
      </c>
      <c r="QT17" s="22">
        <f t="shared" si="150"/>
        <v>16.45</v>
      </c>
      <c r="QU17" s="22">
        <f t="shared" si="151"/>
        <v>2.95</v>
      </c>
      <c r="QV17" s="22">
        <f t="shared" si="152"/>
        <v>0.35</v>
      </c>
      <c r="QW17" s="22">
        <f t="shared" si="153"/>
        <v>0</v>
      </c>
      <c r="QX17" s="27" t="s">
        <v>46</v>
      </c>
      <c r="QY17" s="40">
        <f t="shared" si="154"/>
        <v>4.1500000000000004</v>
      </c>
      <c r="QZ17" s="40">
        <f t="shared" si="155"/>
        <v>36.699999999999996</v>
      </c>
      <c r="RA17" s="40" t="str">
        <f t="shared" si="156"/>
        <v/>
      </c>
      <c r="RB17" s="40">
        <f t="shared" si="157"/>
        <v>4.1500000000000004</v>
      </c>
      <c r="RC17" s="40">
        <f t="shared" si="158"/>
        <v>36.699999999999996</v>
      </c>
      <c r="RD17" s="40">
        <f t="shared" si="159"/>
        <v>6.0500000000000007</v>
      </c>
      <c r="RE17" s="40">
        <f t="shared" si="160"/>
        <v>38.5</v>
      </c>
      <c r="RF17" s="40">
        <f t="shared" si="161"/>
        <v>75.199999999999989</v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168</v>
      </c>
      <c r="D18" s="4" t="s">
        <v>3</v>
      </c>
      <c r="E18" s="4">
        <v>2008</v>
      </c>
      <c r="F18" s="9">
        <f t="shared" si="0"/>
        <v>97.500006120003292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32.999999999999993</v>
      </c>
      <c r="M18" s="8" t="str">
        <f t="shared" si="5"/>
        <v>2025 Elite Canada</v>
      </c>
      <c r="N18" s="8">
        <f>IF(COUNT(AQ18,BT18,CW18)&gt;1,LARGE((AQ18,BT18,CW18),2),0)</f>
        <v>28.200000000000003</v>
      </c>
      <c r="O18" s="8" t="str">
        <f t="shared" si="6"/>
        <v>2024 3rd Domestic Trial</v>
      </c>
      <c r="P18" s="8">
        <f t="shared" si="7"/>
        <v>36.299999999999997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17</v>
      </c>
      <c r="V18" s="19">
        <v>3.2</v>
      </c>
      <c r="W18" s="19">
        <v>2.2000000000000002</v>
      </c>
      <c r="X18" s="19">
        <v>0.3</v>
      </c>
      <c r="Y18" s="19">
        <v>8.6</v>
      </c>
      <c r="Z18" s="19">
        <v>1.2</v>
      </c>
      <c r="AA18" s="19">
        <v>0.2</v>
      </c>
      <c r="AB18" s="19">
        <v>0.3</v>
      </c>
      <c r="AC18" s="19">
        <v>15.5</v>
      </c>
      <c r="AD18" s="19">
        <v>2.8</v>
      </c>
      <c r="AE18" s="19">
        <v>1</v>
      </c>
      <c r="AF18" s="19">
        <v>0.3</v>
      </c>
      <c r="AG18" s="19">
        <v>16.7</v>
      </c>
      <c r="AH18" s="19">
        <v>2.8</v>
      </c>
      <c r="AI18" s="19">
        <v>0.6</v>
      </c>
      <c r="AJ18" s="19">
        <v>0.3</v>
      </c>
      <c r="AK18" s="19">
        <v>14.9</v>
      </c>
      <c r="AL18" s="19">
        <v>1.9</v>
      </c>
      <c r="AM18" s="19">
        <v>0</v>
      </c>
      <c r="AN18" s="19">
        <v>0.3</v>
      </c>
      <c r="AO18" s="27"/>
      <c r="AP18" s="40">
        <f t="shared" si="12"/>
        <v>4.4000000000000004</v>
      </c>
      <c r="AQ18" s="40">
        <f t="shared" si="13"/>
        <v>28.200000000000003</v>
      </c>
      <c r="AR18" s="40">
        <f t="shared" si="14"/>
        <v>17.600000000000001</v>
      </c>
      <c r="AS18" s="40">
        <f t="shared" si="15"/>
        <v>7.2</v>
      </c>
      <c r="AT18" s="40">
        <f t="shared" si="16"/>
        <v>45.800000000000004</v>
      </c>
      <c r="AU18" s="40">
        <f t="shared" si="17"/>
        <v>4.6999999999999993</v>
      </c>
      <c r="AV18" s="40">
        <f t="shared" si="18"/>
        <v>36.299999999999997</v>
      </c>
      <c r="AW18" s="40">
        <f t="shared" si="19"/>
        <v>82.1</v>
      </c>
      <c r="AX18" s="18">
        <v>15.7</v>
      </c>
      <c r="AY18" s="18">
        <v>1.9</v>
      </c>
      <c r="AZ18" s="18">
        <v>0</v>
      </c>
      <c r="BA18" s="18">
        <v>0</v>
      </c>
      <c r="BB18" s="18">
        <v>16</v>
      </c>
      <c r="BC18" s="18">
        <v>2.4</v>
      </c>
      <c r="BD18" s="18">
        <v>3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4.3</v>
      </c>
      <c r="BT18" s="11">
        <f t="shared" si="21"/>
        <v>32.999999999999993</v>
      </c>
      <c r="BU18" s="11" t="str">
        <f t="shared" si="22"/>
        <v/>
      </c>
      <c r="BV18" s="11">
        <f t="shared" si="23"/>
        <v>4.3</v>
      </c>
      <c r="BW18" s="11">
        <f t="shared" si="24"/>
        <v>32.999999999999993</v>
      </c>
      <c r="BX18" s="11" t="str">
        <f t="shared" si="25"/>
        <v/>
      </c>
      <c r="BY18" s="11" t="str">
        <f t="shared" si="26"/>
        <v/>
      </c>
      <c r="BZ18" s="11">
        <f t="shared" si="27"/>
        <v>32.999999999999993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8"/>
        <v/>
      </c>
      <c r="CW18" s="40" t="str">
        <f t="shared" si="29"/>
        <v/>
      </c>
      <c r="CX18" s="40" t="str">
        <f t="shared" si="30"/>
        <v/>
      </c>
      <c r="CY18" s="40" t="str">
        <f t="shared" si="31"/>
        <v/>
      </c>
      <c r="CZ18" s="40" t="str">
        <f t="shared" si="32"/>
        <v/>
      </c>
      <c r="DA18" s="40" t="str">
        <f t="shared" si="33"/>
        <v/>
      </c>
      <c r="DB18" s="40" t="str">
        <f t="shared" si="34"/>
        <v/>
      </c>
      <c r="DC18" s="40" t="str">
        <f t="shared" si="35"/>
        <v/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7.85</v>
      </c>
      <c r="QE18" s="22">
        <f t="shared" si="135"/>
        <v>0.95</v>
      </c>
      <c r="QF18" s="22">
        <f t="shared" si="136"/>
        <v>0</v>
      </c>
      <c r="QG18" s="22">
        <f t="shared" si="137"/>
        <v>0</v>
      </c>
      <c r="QH18" s="22">
        <f t="shared" si="138"/>
        <v>8</v>
      </c>
      <c r="QI18" s="22">
        <f t="shared" si="139"/>
        <v>1.2</v>
      </c>
      <c r="QJ18" s="22">
        <f t="shared" si="140"/>
        <v>1.5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2.15</v>
      </c>
      <c r="QZ18" s="40">
        <f t="shared" si="155"/>
        <v>16.499999999999996</v>
      </c>
      <c r="RA18" s="40" t="str">
        <f t="shared" si="156"/>
        <v/>
      </c>
      <c r="RB18" s="40">
        <f t="shared" si="157"/>
        <v>2.15</v>
      </c>
      <c r="RC18" s="40">
        <f t="shared" si="158"/>
        <v>16.499999999999996</v>
      </c>
      <c r="RD18" s="40" t="str">
        <f t="shared" si="159"/>
        <v/>
      </c>
      <c r="RE18" s="40" t="str">
        <f t="shared" si="160"/>
        <v/>
      </c>
      <c r="RF18" s="40">
        <f t="shared" si="161"/>
        <v>16.499999999999996</v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42.1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18">
      <sortCondition descending="1" ref="H1:H19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198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95</v>
      </c>
      <c r="D4" s="4" t="s">
        <v>5</v>
      </c>
      <c r="E4" s="4">
        <v>2005</v>
      </c>
      <c r="F4" s="9">
        <f t="shared" ref="F4:F36" si="0">SUM(L4:R4)+SUM(L4:O4)*0.0000001+SUM(L4)*0.0000000000001</f>
        <v>161.00001057000529</v>
      </c>
      <c r="G4" s="64" t="s">
        <v>46</v>
      </c>
      <c r="H4" s="3" t="str">
        <f t="shared" ref="H4:H36" si="1"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DZ4&gt;=EG$39,EA4&gt;=EG$43,DZ4&lt;&gt;""),AND(EE4&gt;=EG$39,EF4&gt;=EG$43,EE4&lt;&gt;""),AND(FB4&gt;=FI$39,FC4&gt;=FI$43,FB4&lt;&gt;""),AND(FG4&gt;=FI$39,FH4&gt;=FI$43,FG4&lt;&gt;""),AND(GD4&gt;=GK$39,GE4&gt;=GK$43,GD4&lt;&gt;""),AND(GI4&gt;=GK$39,GJ4&gt;=GK$43,GI4&lt;&gt;""),AND(HF4&gt;=HM$39,HG4&gt;=HM$43,HF4&lt;&gt;""),AND(HK4&gt;=HM$39,HL4&gt;=HM$43,HK4&lt;&gt;""),AND(IH4&gt;=IO$39,II4&gt;=IO$43,IH4&lt;&gt;""),AND(IM4&gt;=IO$39,IN4&gt;=IO$43,IM4&lt;&gt;""),AND(JJ4&gt;=JQ$39,JK4&gt;=JQ$43,JJ4&lt;&gt;""),AND(JO4&gt;=JQ$39,JP4&gt;=JQ$43,JO4&lt;&gt;""),AND(KL4&gt;=KS$39,KM4&gt;=KS$43,KL4&lt;&gt;""),AND(KQ4&gt;=KS$39,KR4&gt;=KS$43,KQ4&lt;&gt;""),AND(LN4&gt;=LU$39,LO4&gt;=LU$43,LN4&lt;&gt;""),AND(LS4&gt;=LU$39,LT4&gt;=LU$43,LS4&lt;&gt;""),AND(MP4&gt;=MW$39,MQ4&gt;=MW$43,MP4&lt;&gt;""),AND(MU4&gt;=MW$39,MV4&gt;=MW$43,MU4&lt;&gt;""),AND(NR4&gt;=NY$39,NS4&gt;=NY$43,NR4&lt;&gt;""),AND(NW4&gt;=NY$39,NX4&gt;=NY$43,NW4&lt;&gt;""),AND(OT4&gt;=PA$39,OU4&gt;=PA$43,OT4&lt;&gt;""),AND(OY4&gt;=PA$39,OZ4&gt;=PA$43,OY4&lt;&gt;""),AND(PV4&gt;=QC$39,PW4&gt;=QC$43,PV4&lt;&gt;""),AND(QA4&gt;=QC$39,QB4&gt;=QC$43,QA4&lt;&gt;"")),"P","")</f>
        <v>P</v>
      </c>
      <c r="I4" s="3" t="str">
        <f t="shared" ref="I4:I36" si="2">IF(OR(AND(AQ4&gt;=AW$43,AQ4&lt;&gt;"",AO4=""),AND(AV4&gt;=AW$43,AV4&lt;&gt;"",AO4=""),AND(BT4&gt;=BZ$43,BT4&lt;&gt;"",BR4=""),AND(BY4&gt;=BZ$43,BY4&lt;&gt;"",BR4=""),AND(CW4&gt;=DC$43,CW4&lt;&gt;"",CU4=""),AND(DB4&gt;=DC$43,DB4&lt;&gt;"",CU4=""),AND(EA4&gt;=EG$43,EA4&lt;&gt;""),AND(EF4&gt;=EG$43,EF4&lt;&gt;""),AND(FC4&gt;=FI$43,FC4&lt;&gt;""),AND(FH4&gt;=FI$43,FH4&lt;&gt;""),AND(GE4&gt;=GK$43,GE4&lt;&gt;""),AND(GJ4&gt;=GK$43,GJ4&lt;&gt;""),AND(HG4&gt;=HM$43,HG4&lt;&gt;""),AND(HL4&gt;=HM$43,HL4&lt;&gt;""),AND(II4&gt;=IO$43,II4&lt;&gt;""),AND(IN4&gt;=IO$43,IN4&lt;&gt;""),AND(JK4&gt;=JQ$43,JK4&lt;&gt;""),AND(JP4&gt;=JQ$43,JP4&lt;&gt;""),AND(KM4&gt;=KS$43,KM4&lt;&gt;""),AND(KR4&gt;=KS$43,KR4&lt;&gt;""),AND(LO4&gt;=LU$43,LO4&lt;&gt;""),AND(LT4&gt;=LU$43,LT4&lt;&gt;""),AND(MQ4&gt;=MW$43,MQ4&lt;&gt;""),AND(MV4&gt;=MW$43,MV4&lt;&gt;""),AND(NS4&gt;=NY$43,NS4&lt;&gt;""),AND(NX4&gt;=NY$43,NX4&lt;&gt;""),AND(OU4&gt;=PA$43,OU4&lt;&gt;""),AND(OZ4&gt;=PA$43,OZ4&lt;&gt;""),AND(PW4&gt;=QC$43,PW4&lt;&gt;""),AND(QB4&gt;=QC$43,QB4&lt;&gt;"")),"P","")</f>
        <v>P</v>
      </c>
      <c r="J4" s="36" t="str">
        <f t="shared" ref="J4:J36" si="3">IF(AND(I4="P",H4=""),"No DD",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Merit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Excellence",IF(K4="P","Worlds Team",IF(H4="P","National Team","")))))</f>
        <v>National Team</v>
      </c>
      <c r="K4" s="3" t="str">
        <f t="shared" ref="K4:K36" si="4">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P","")</f>
        <v/>
      </c>
      <c r="L4" s="8">
        <f>IF(COUNT(AQ4,BT4,CW4)&gt;0,LARGE((AQ4,BT4,CW4),1),0)</f>
        <v>53.099999999999994</v>
      </c>
      <c r="M4" s="8" t="str">
        <f t="shared" ref="M4:M36" si="5">IF(L4=0,"",IF(L4=CW4,$CA$1,IF(L4=BT4,$AX$1,IF(L4=AQ4,$U$1,""))))</f>
        <v>2024 3rd Domestic Trial</v>
      </c>
      <c r="N4" s="8">
        <f>IF(COUNT(AQ4,BT4,CW4)&gt;1,LARGE((AQ4,BT4,CW4),2),0)</f>
        <v>52.600000000000009</v>
      </c>
      <c r="O4" s="8" t="str">
        <f t="shared" ref="O4:O36" si="6">IF(N4=0,"",IF(AND(N4=L4,N4=AQ4,N4=BT4),$U$1,IF(AND(N4=L4,N4=AQ4,N4=CW4),$U$1,IF(AND(N4=L4,N4=BT4,N4=CW4),$AX$1,IF(N4=CW4,$CA$1,IF(N4=BT4,$AX$1,IF(N4=AQ4,$U$1,"")))))))</f>
        <v>2025 Elite Canada</v>
      </c>
      <c r="P4" s="8">
        <f t="shared" ref="P4:P36" si="7">IF(MAX(AV4,BY4,DB4)&gt;0,MAX(AV4,BY4,DB4),0)</f>
        <v>54</v>
      </c>
      <c r="Q4" s="8" t="str">
        <f t="shared" ref="Q4:Q36" si="8">IF(P4=0,"",IF(P4=DB4,$CA$1,IF(P4=BY4,$AX$1,IF(P4=AV4,$U$1,""))))</f>
        <v>2025 Elite Canada</v>
      </c>
      <c r="R4" s="8">
        <f t="shared" ref="R4:R36" si="9">IF(MAX(DD4:DE4)&gt;0,MAX(DD4:DE4),"")</f>
        <v>1.2999999999999829</v>
      </c>
      <c r="S4" s="11" t="str">
        <f t="shared" ref="S4:S36" si="10">IF(R4="","",IF(R4=DD4,"("&amp;DD$2&amp;")",IF(R4=DE4,"("&amp;DE$2&amp;")")))</f>
        <v>(Q1)</v>
      </c>
      <c r="T4" s="8" t="str">
        <f t="shared" ref="T4:T36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POR (July 6)</v>
      </c>
      <c r="U4" s="19">
        <v>18.5</v>
      </c>
      <c r="V4" s="19">
        <v>8.4</v>
      </c>
      <c r="W4" s="19">
        <v>0.6</v>
      </c>
      <c r="X4" s="19">
        <v>0.3</v>
      </c>
      <c r="Y4" s="19">
        <v>18.899999999999999</v>
      </c>
      <c r="Z4" s="19">
        <v>7.6</v>
      </c>
      <c r="AA4" s="19">
        <v>0</v>
      </c>
      <c r="AB4" s="19">
        <v>0</v>
      </c>
      <c r="AC4" s="19">
        <v>18.399999999999999</v>
      </c>
      <c r="AD4" s="19">
        <v>8.1</v>
      </c>
      <c r="AE4" s="19">
        <v>0</v>
      </c>
      <c r="AF4" s="19">
        <v>0.3</v>
      </c>
      <c r="AG4" s="19">
        <v>18.399999999999999</v>
      </c>
      <c r="AH4" s="19">
        <v>8.4</v>
      </c>
      <c r="AI4" s="19">
        <v>0.8</v>
      </c>
      <c r="AJ4" s="19">
        <v>0.3</v>
      </c>
      <c r="AK4" s="19">
        <v>18.8</v>
      </c>
      <c r="AL4" s="19">
        <v>8</v>
      </c>
      <c r="AM4" s="19">
        <v>0.2</v>
      </c>
      <c r="AN4" s="19">
        <v>0</v>
      </c>
      <c r="AO4" s="27"/>
      <c r="AP4" s="40">
        <f t="shared" ref="AP4:AP36" si="12">IF(SUM(V4,Z4)&gt;0,SUM(V4,Z4),"")</f>
        <v>16</v>
      </c>
      <c r="AQ4" s="40">
        <f t="shared" ref="AQ4:AQ36" si="13">IF(SUM(U4:V4,X4:Z4,AB4)-W4-AA4&gt;0,SUM(U4:V4,X4:Z4,AB4)-W4-AA4,"")</f>
        <v>53.099999999999994</v>
      </c>
      <c r="AR4" s="40">
        <f t="shared" ref="AR4:AR36" si="14">IF(SUM(AC4:AD4,AF4)-AE4&gt;0,SUM(AC4:AD4,AF4)-AE4,"")</f>
        <v>26.8</v>
      </c>
      <c r="AS4" s="40">
        <f t="shared" ref="AS4:AS36" si="15">IF(SUM(V4,Z4,AD4)&gt;0,SUM(V4,Z4,AD4),"")</f>
        <v>24.1</v>
      </c>
      <c r="AT4" s="40">
        <f t="shared" ref="AT4:AT36" si="16">IF(SUM(AQ4,AR4)&gt;0,SUM(AQ4,AR4),"")</f>
        <v>79.899999999999991</v>
      </c>
      <c r="AU4" s="40">
        <f t="shared" ref="AU4:AU36" si="17">IF(SUM(AH4,AL4)&gt;0,SUM(AH4,AL4),"")</f>
        <v>16.399999999999999</v>
      </c>
      <c r="AV4" s="40">
        <f t="shared" ref="AV4:AV36" si="18">IF(SUM(AG4:AH4,AJ4:AL4,AN4)-SUM(AI4,AM4)&gt;0,SUM(AG4:AH4,AJ4:AL4,AN4)-SUM(AI4,AM4),"")</f>
        <v>52.9</v>
      </c>
      <c r="AW4" s="40">
        <f t="shared" ref="AW4:AW36" si="19">IF(SUM(AQ4,AR4,AV4)&gt;0,SUM(AQ4,AR4,AV4),"")</f>
        <v>132.79999999999998</v>
      </c>
      <c r="AX4" s="18">
        <v>18.2</v>
      </c>
      <c r="AY4" s="18">
        <v>8.4</v>
      </c>
      <c r="AZ4" s="18">
        <v>0.8</v>
      </c>
      <c r="BA4" s="18">
        <v>0.3</v>
      </c>
      <c r="BB4" s="18">
        <v>18.5</v>
      </c>
      <c r="BC4" s="18">
        <v>8</v>
      </c>
      <c r="BD4" s="18">
        <v>0</v>
      </c>
      <c r="BE4" s="18">
        <v>0</v>
      </c>
      <c r="BF4" s="18"/>
      <c r="BG4" s="18"/>
      <c r="BH4" s="18"/>
      <c r="BI4" s="18"/>
      <c r="BJ4" s="18">
        <v>18.100000000000001</v>
      </c>
      <c r="BK4" s="18">
        <v>8.5</v>
      </c>
      <c r="BL4" s="18">
        <v>0.2</v>
      </c>
      <c r="BM4" s="18">
        <v>0.3</v>
      </c>
      <c r="BN4" s="18">
        <v>18.8</v>
      </c>
      <c r="BO4" s="18">
        <v>8.8000000000000007</v>
      </c>
      <c r="BP4" s="18">
        <v>0.6</v>
      </c>
      <c r="BQ4" s="18">
        <v>0.3</v>
      </c>
      <c r="BR4" s="28"/>
      <c r="BS4" s="11">
        <f t="shared" ref="BS4:BS36" si="20">IF(SUM(AY4,BC4)&gt;0,SUM(AY4,BC4),"")</f>
        <v>16.399999999999999</v>
      </c>
      <c r="BT4" s="11">
        <f t="shared" ref="BT4:BT36" si="21">IF(SUM(AX4:AY4,BA4:BC4,BE4)-AZ4-BD4&gt;0,SUM(AX4:AY4,BA4:BC4,BE4)-AZ4-BD4,"")</f>
        <v>52.600000000000009</v>
      </c>
      <c r="BU4" s="11" t="str">
        <f t="shared" ref="BU4:BU36" si="22">IF(SUM(BF4:BG4,BI4)-BH4&gt;0,SUM(BF4:BG4,BI4)-BH4,"")</f>
        <v/>
      </c>
      <c r="BV4" s="11">
        <f t="shared" ref="BV4:BV36" si="23">IF(SUM(AY4,BC4,BG4)&gt;0,SUM(AY4,BC4,BG4),"")</f>
        <v>16.399999999999999</v>
      </c>
      <c r="BW4" s="11">
        <f t="shared" ref="BW4:BW36" si="24">IF(SUM(BT4,BU4)&gt;0,SUM(BT4,BU4),"")</f>
        <v>52.600000000000009</v>
      </c>
      <c r="BX4" s="11">
        <f t="shared" ref="BX4:BX36" si="25">IF(SUM(BK4,BO4)&gt;0,SUM(BK4,BO4),"")</f>
        <v>17.3</v>
      </c>
      <c r="BY4" s="11">
        <f t="shared" ref="BY4:BY36" si="26">IF(SUM(BJ4:BK4,BM4:BO4,BQ4)-SUM(BL4,BP4)&gt;0,SUM(BJ4:BK4,BM4:BO4,BQ4)-SUM(BL4,BP4),"")</f>
        <v>54</v>
      </c>
      <c r="BZ4" s="11">
        <f t="shared" ref="BZ4:BZ36" si="27">IF(SUM(BT4,BU4,BY4)&gt;0,SUM(BT4,BU4,BY4),"")</f>
        <v>106.60000000000001</v>
      </c>
      <c r="CA4" s="19">
        <v>18.2</v>
      </c>
      <c r="CB4" s="19">
        <v>8.5</v>
      </c>
      <c r="CC4" s="19">
        <v>0.8</v>
      </c>
      <c r="CD4" s="19">
        <v>0.3</v>
      </c>
      <c r="CE4" s="19">
        <v>18.2</v>
      </c>
      <c r="CF4" s="19">
        <v>6.4</v>
      </c>
      <c r="CG4" s="19">
        <v>0.4</v>
      </c>
      <c r="CH4" s="19">
        <v>0</v>
      </c>
      <c r="CI4" s="19"/>
      <c r="CJ4" s="19"/>
      <c r="CK4" s="19"/>
      <c r="CL4" s="19"/>
      <c r="CM4" s="19">
        <v>0</v>
      </c>
      <c r="CN4" s="19">
        <v>0</v>
      </c>
      <c r="CO4" s="19">
        <v>0</v>
      </c>
      <c r="CP4" s="19">
        <v>0</v>
      </c>
      <c r="CQ4" s="19">
        <v>18.100000000000001</v>
      </c>
      <c r="CR4" s="19">
        <v>7.6</v>
      </c>
      <c r="CS4" s="19">
        <v>0</v>
      </c>
      <c r="CT4" s="19">
        <v>0</v>
      </c>
      <c r="CU4" s="27"/>
      <c r="CV4" s="40">
        <f t="shared" ref="CV4:CV36" si="28">IF(SUM(CB4,CF4)&gt;0,SUM(CB4,CF4),"")</f>
        <v>14.9</v>
      </c>
      <c r="CW4" s="40">
        <f t="shared" ref="CW4:CW36" si="29">IF(SUM(CA4:CB4,CD4:CF4,CH4)-CC4-CG4&gt;0,SUM(CA4:CB4,CD4:CF4,CH4)-CC4-CG4,"")</f>
        <v>50.400000000000006</v>
      </c>
      <c r="CX4" s="40" t="str">
        <f t="shared" ref="CX4:CX36" si="30">IF(SUM(CI4:CJ4,CL4)-CK4&gt;0,SUM(CI4:CJ4,CL4)-CK4,"")</f>
        <v/>
      </c>
      <c r="CY4" s="40">
        <f t="shared" ref="CY4:CY36" si="31">IF(SUM(CB4,CF4,CJ4)&gt;0,SUM(CB4,CF4,CJ4),"")</f>
        <v>14.9</v>
      </c>
      <c r="CZ4" s="40">
        <f t="shared" ref="CZ4:CZ36" si="32">IF(SUM(CW4,CX4)&gt;0,SUM(CW4,CX4),"")</f>
        <v>50.400000000000006</v>
      </c>
      <c r="DA4" s="40">
        <f t="shared" ref="DA4:DA36" si="33">IF(SUM(CN4,CR4)&gt;0,SUM(CN4,CR4),"")</f>
        <v>7.6</v>
      </c>
      <c r="DB4" s="40">
        <f t="shared" ref="DB4:DB36" si="34">IF(SUM(CM4:CN4,CP4:CR4,CT4)-SUM(CO4,CS4)&gt;0,SUM(CM4:CN4,CP4:CR4,CT4)-SUM(CO4,CS4),"")</f>
        <v>25.700000000000003</v>
      </c>
      <c r="DC4" s="40">
        <f t="shared" ref="DC4:DC36" si="35">IF(SUM(CW4,CX4,DB4)&gt;0,SUM(CW4,CX4,DB4),"")</f>
        <v>76.100000000000009</v>
      </c>
      <c r="DD4" s="50">
        <f t="shared" ref="DD4:DD36" si="36">IF(MAX(EA4,FC4,GE4,HG4,II4,JK4,KM4,LO4,MQ4,NS4,OU4,PW4)-IF(N4="",0,N4)&gt;0.001,MAX(EA4,FC4,GE4,HG4,II4,JK4,KM4,LO4,MQ4,NS4,OU4,PW4)-IF(N4="",0,N4),"")</f>
        <v>1.2999999999999829</v>
      </c>
      <c r="DE4" s="50" t="str">
        <f t="shared" ref="DE4:DE36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6" si="38">IF(SUM(DG4,DK4)&gt;0,SUM(DG4,DK4),"")</f>
        <v/>
      </c>
      <c r="EA4" s="40" t="str">
        <f t="shared" ref="EA4:EA36" si="39">IF(SUM(DF4:DG4,DI4:DK4,DM4)-DH4-DL4&gt;0,SUM(DF4:DG4,DI4:DK4,DM4)-DH4-DL4,"")</f>
        <v/>
      </c>
      <c r="EB4" s="40" t="str">
        <f t="shared" ref="EB4:EB36" si="40">IF(SUM(DN4:DO4,DQ4)-DP4&gt;0,SUM(DN4:DO4,DQ4)-DP4,"")</f>
        <v/>
      </c>
      <c r="EC4" s="40" t="str">
        <f t="shared" ref="EC4:EC36" si="41">IF(SUM(DG4,DK4,DO4)&gt;0,SUM(DG4,DK4,DO4),"")</f>
        <v/>
      </c>
      <c r="ED4" s="40" t="str">
        <f t="shared" ref="ED4:ED36" si="42">IF(SUM(EA4,EB4)&gt;0,SUM(EA4,EB4),"")</f>
        <v/>
      </c>
      <c r="EE4" s="40" t="str">
        <f t="shared" ref="EE4:EE36" si="43">IF(SUM(DS4,DW4)&gt;0,SUM(DS4,DW4),"")</f>
        <v/>
      </c>
      <c r="EF4" s="40" t="str">
        <f t="shared" ref="EF4:EF36" si="44">IF(SUM(DR4:DS4,DU4:DW4,DY4)-SUM(DT4,DX4)&gt;0,SUM(DR4:DS4,DU4:DW4,DY4)-SUM(DT4,DX4),"")</f>
        <v/>
      </c>
      <c r="EG4" s="40" t="str">
        <f t="shared" ref="EG4:EG36" si="45">IF(SUM(EA4,EB4,EF4)&gt;0,SUM(EA4,EB4,EF4),"")</f>
        <v/>
      </c>
      <c r="EH4" s="18">
        <v>18.399999999999999</v>
      </c>
      <c r="EI4" s="18">
        <v>8.8000000000000007</v>
      </c>
      <c r="EJ4" s="18">
        <v>0.6</v>
      </c>
      <c r="EK4" s="18">
        <v>0</v>
      </c>
      <c r="EL4" s="18">
        <v>18.899999999999999</v>
      </c>
      <c r="EM4" s="18">
        <v>8.4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36" si="46">IF(SUM(EI4,EM4)&gt;0,SUM(EI4,EM4),"")</f>
        <v>17.200000000000003</v>
      </c>
      <c r="FC4" s="11">
        <f t="shared" ref="FC4:FC36" si="47">IF(SUM(EH4:EI4,EK4:EM4,EO4)-EJ4-EN4&gt;0,SUM(EH4:EI4,EK4:EM4,EO4)-EJ4-EN4,"")</f>
        <v>53.899999999999991</v>
      </c>
      <c r="FD4" s="11" t="str">
        <f t="shared" ref="FD4:FD36" si="48">IF(SUM(EP4:EQ4,ES4)-ER4&gt;0,SUM(EP4:EQ4,ES4)-ER4,"")</f>
        <v/>
      </c>
      <c r="FE4" s="11">
        <f t="shared" ref="FE4:FE36" si="49">IF(SUM(EI4,EM4,EQ4)&gt;0,SUM(EI4,EM4,EQ4),"")</f>
        <v>17.200000000000003</v>
      </c>
      <c r="FF4" s="11">
        <f t="shared" ref="FF4:FF36" si="50">IF(SUM(FC4,FD4)&gt;0,SUM(FC4,FD4),"")</f>
        <v>53.899999999999991</v>
      </c>
      <c r="FG4" s="11" t="str">
        <f t="shared" ref="FG4:FG36" si="51">IF(SUM(EU4,EY4)&gt;0,SUM(EU4,EY4),"")</f>
        <v/>
      </c>
      <c r="FH4" s="11" t="str">
        <f t="shared" ref="FH4:FH36" si="52">IF(SUM(ET4:EU4,EW4:EY4,FA4)-SUM(EV4,EZ4)&gt;0,SUM(ET4:EU4,EW4:EY4,FA4)-SUM(EV4,EZ4),"")</f>
        <v/>
      </c>
      <c r="FI4" s="11">
        <f t="shared" ref="FI4:FI36" si="53">IF(SUM(FC4,FD4,FH4)&gt;0,SUM(FC4,FD4,FH4),"")</f>
        <v>53.899999999999991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6" si="54">IF(SUM(FK4,FO4)&gt;0,SUM(FK4,FO4),"")</f>
        <v/>
      </c>
      <c r="GE4" s="40" t="str">
        <f t="shared" ref="GE4:GE36" si="55">IF(SUM(FJ4:FK4,FM4:FO4,FQ4)-FL4-FP4&gt;0,SUM(FJ4:FK4,FM4:FO4,FQ4)-FL4-FP4,"")</f>
        <v/>
      </c>
      <c r="GF4" s="40" t="str">
        <f t="shared" ref="GF4:GF36" si="56">IF(SUM(FR4:FS4,FU4)-FT4&gt;0,SUM(FR4:FS4,FU4)-FT4,"")</f>
        <v/>
      </c>
      <c r="GG4" s="40" t="str">
        <f t="shared" ref="GG4:GG36" si="57">IF(SUM(FK4,FO4,FS4)&gt;0,SUM(FK4,FO4,FS4),"")</f>
        <v/>
      </c>
      <c r="GH4" s="40" t="str">
        <f t="shared" ref="GH4:GH36" si="58">IF(SUM(GE4,GF4)&gt;0,SUM(GE4,GF4),"")</f>
        <v/>
      </c>
      <c r="GI4" s="40" t="str">
        <f t="shared" ref="GI4:GI36" si="59">IF(SUM(FW4,GA4)&gt;0,SUM(FW4,GA4),"")</f>
        <v/>
      </c>
      <c r="GJ4" s="40" t="str">
        <f t="shared" ref="GJ4:GJ36" si="60">IF(SUM(FV4:FW4,FY4:GA4,GC4)-SUM(FX4,GB4)&gt;0,SUM(FV4:FW4,FY4:GA4,GC4)-SUM(FX4,GB4),"")</f>
        <v/>
      </c>
      <c r="GK4" s="40" t="str">
        <f t="shared" ref="GK4:GK36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6" si="62">IF(SUM(GM4,GQ4)&gt;0,SUM(GM4,GQ4),"")</f>
        <v/>
      </c>
      <c r="HG4" s="11" t="str">
        <f t="shared" ref="HG4:HG36" si="63">IF(SUM(GL4:GM4,GO4:GQ4,GS4)-GN4-GR4&gt;0,SUM(GL4:GM4,GO4:GQ4,GS4)-GN4-GR4,"")</f>
        <v/>
      </c>
      <c r="HH4" s="11" t="str">
        <f t="shared" ref="HH4:HH36" si="64">IF(SUM(GT4:GU4,GW4)-GV4&gt;0,SUM(GT4:GU4,GW4)-GV4,"")</f>
        <v/>
      </c>
      <c r="HI4" s="11" t="str">
        <f t="shared" ref="HI4:HI36" si="65">IF(SUM(GM4,GQ4,GU4)&gt;0,SUM(GM4,GQ4,GU4),"")</f>
        <v/>
      </c>
      <c r="HJ4" s="11" t="str">
        <f t="shared" ref="HJ4:HJ36" si="66">IF(SUM(HG4,HH4)&gt;0,SUM(HG4,HH4),"")</f>
        <v/>
      </c>
      <c r="HK4" s="11" t="str">
        <f t="shared" ref="HK4:HK36" si="67">IF(SUM(GY4,HC4)&gt;0,SUM(GY4,HC4),"")</f>
        <v/>
      </c>
      <c r="HL4" s="11" t="str">
        <f t="shared" ref="HL4:HL36" si="68">IF(SUM(GX4:GY4,HA4:HC4,HE4)-SUM(GZ4,HD4)&gt;0,SUM(GX4:GY4,HA4:HC4,HE4)-SUM(GZ4,HD4),"")</f>
        <v/>
      </c>
      <c r="HM4" s="11" t="str">
        <f t="shared" ref="HM4:HM36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6" si="70">IF(SUM(HO4,HS4)&gt;0,SUM(HO4,HS4),"")</f>
        <v/>
      </c>
      <c r="II4" s="40" t="str">
        <f t="shared" ref="II4:II36" si="71">IF(SUM(HN4:HO4,HQ4:HS4,HU4)-HP4-HT4&gt;0,SUM(HN4:HO4,HQ4:HS4,HU4)-HP4-HT4,"")</f>
        <v/>
      </c>
      <c r="IJ4" s="40" t="str">
        <f t="shared" ref="IJ4:IJ36" si="72">IF(SUM(HV4:HW4,HY4)-HX4&gt;0,SUM(HV4:HW4,HY4)-HX4,"")</f>
        <v/>
      </c>
      <c r="IK4" s="40" t="str">
        <f t="shared" ref="IK4:IK36" si="73">IF(SUM(HO4,HS4,HW4)&gt;0,SUM(HO4,HS4,HW4),"")</f>
        <v/>
      </c>
      <c r="IL4" s="40" t="str">
        <f t="shared" ref="IL4:IL36" si="74">IF(SUM(II4,IJ4)&gt;0,SUM(II4,IJ4),"")</f>
        <v/>
      </c>
      <c r="IM4" s="40" t="str">
        <f t="shared" ref="IM4:IM36" si="75">IF(SUM(IA4,IE4)&gt;0,SUM(IA4,IE4),"")</f>
        <v/>
      </c>
      <c r="IN4" s="40" t="str">
        <f t="shared" ref="IN4:IN36" si="76">IF(SUM(HZ4:IA4,IC4:IE4,IG4)-SUM(IB4,IF4)&gt;0,SUM(HZ4:IA4,IC4:IE4,IG4)-SUM(IB4,IF4),"")</f>
        <v/>
      </c>
      <c r="IO4" s="40" t="str">
        <f t="shared" ref="IO4:IO36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6" si="78">IF(SUM(IQ4,IU4)&gt;0,SUM(IQ4,IU4),"")</f>
        <v/>
      </c>
      <c r="JK4" s="11" t="str">
        <f t="shared" ref="JK4:JK36" si="79">IF(SUM(IP4:IQ4,IS4:IU4,IW4)-IR4-IV4&gt;0,SUM(IP4:IQ4,IS4:IU4,IW4)-IR4-IV4,"")</f>
        <v/>
      </c>
      <c r="JL4" s="11" t="str">
        <f t="shared" ref="JL4:JL36" si="80">IF(SUM(IX4:IY4,JA4)-IZ4&gt;0,SUM(IX4:IY4,JA4)-IZ4,"")</f>
        <v/>
      </c>
      <c r="JM4" s="11" t="str">
        <f t="shared" ref="JM4:JM36" si="81">IF(SUM(IQ4,IU4,IY4)&gt;0,SUM(IQ4,IU4,IY4),"")</f>
        <v/>
      </c>
      <c r="JN4" s="11" t="str">
        <f t="shared" ref="JN4:JN36" si="82">IF(SUM(JK4,JL4)&gt;0,SUM(JK4,JL4),"")</f>
        <v/>
      </c>
      <c r="JO4" s="11" t="str">
        <f t="shared" ref="JO4:JO36" si="83">IF(SUM(JC4,JG4)&gt;0,SUM(JC4,JG4),"")</f>
        <v/>
      </c>
      <c r="JP4" s="11" t="str">
        <f t="shared" ref="JP4:JP36" si="84">IF(SUM(JB4:JC4,JE4:JG4,JI4)-SUM(JD4,JH4)&gt;0,SUM(JB4:JC4,JE4:JG4,JI4)-SUM(JD4,JH4),"")</f>
        <v/>
      </c>
      <c r="JQ4" s="11" t="str">
        <f t="shared" ref="JQ4:JQ36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6" si="86">IF(SUM(JS4,JW4)&gt;0,SUM(JS4,JW4),"")</f>
        <v/>
      </c>
      <c r="KM4" s="40" t="str">
        <f t="shared" ref="KM4:KM36" si="87">IF(SUM(JR4:JS4,JU4:JW4,JY4)-JT4-JX4&gt;0,SUM(JR4:JS4,JU4:JW4,JY4)-JT4-JX4,"")</f>
        <v/>
      </c>
      <c r="KN4" s="40" t="str">
        <f t="shared" ref="KN4:KN36" si="88">IF(SUM(JZ4:KA4,KC4)-KB4&gt;0,SUM(JZ4:KA4,KC4)-KB4,"")</f>
        <v/>
      </c>
      <c r="KO4" s="40" t="str">
        <f t="shared" ref="KO4:KO36" si="89">IF(SUM(JS4,JW4,KA4)&gt;0,SUM(JS4,JW4,KA4),"")</f>
        <v/>
      </c>
      <c r="KP4" s="40" t="str">
        <f t="shared" ref="KP4:KP36" si="90">IF(SUM(KM4,KN4)&gt;0,SUM(KM4,KN4),"")</f>
        <v/>
      </c>
      <c r="KQ4" s="40" t="str">
        <f t="shared" ref="KQ4:KQ36" si="91">IF(SUM(KE4,KI4)&gt;0,SUM(KE4,KI4),"")</f>
        <v/>
      </c>
      <c r="KR4" s="40" t="str">
        <f t="shared" ref="KR4:KR36" si="92">IF(SUM(KD4:KE4,KG4:KI4,KK4)-SUM(KF4,KJ4)&gt;0,SUM(KD4:KE4,KG4:KI4,KK4)-SUM(KF4,KJ4),"")</f>
        <v/>
      </c>
      <c r="KS4" s="40" t="str">
        <f t="shared" ref="KS4:KS36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6" si="94">IF(SUM(KU4,KY4)&gt;0,SUM(KU4,KY4),"")</f>
        <v/>
      </c>
      <c r="LO4" s="11" t="str">
        <f t="shared" ref="LO4:LO36" si="95">IF(SUM(KT4:KU4,KW4:KY4,LA4)-KV4-KZ4&gt;0,SUM(KT4:KU4,KW4:KY4,LA4)-KV4-KZ4,"")</f>
        <v/>
      </c>
      <c r="LP4" s="11" t="str">
        <f t="shared" ref="LP4:LP36" si="96">IF(SUM(LB4:LC4,LE4)-LD4&gt;0,SUM(LB4:LC4,LE4)-LD4,"")</f>
        <v/>
      </c>
      <c r="LQ4" s="11" t="str">
        <f t="shared" ref="LQ4:LQ36" si="97">IF(SUM(KU4,KY4,LC4)&gt;0,SUM(KU4,KY4,LC4),"")</f>
        <v/>
      </c>
      <c r="LR4" s="11" t="str">
        <f t="shared" ref="LR4:LR36" si="98">IF(SUM(LO4,LP4)&gt;0,SUM(LO4,LP4),"")</f>
        <v/>
      </c>
      <c r="LS4" s="11" t="str">
        <f t="shared" ref="LS4:LS36" si="99">IF(SUM(LG4,LK4)&gt;0,SUM(LG4,LK4),"")</f>
        <v/>
      </c>
      <c r="LT4" s="11" t="str">
        <f t="shared" ref="LT4:LT36" si="100">IF(SUM(LF4:LG4,LI4:LK4,LM4)-SUM(LH4,LL4)&gt;0,SUM(LF4:LG4,LI4:LK4,LM4)-SUM(LH4,LL4),"")</f>
        <v/>
      </c>
      <c r="LU4" s="11" t="str">
        <f t="shared" ref="LU4:LU36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6" si="102">IF(SUM(LW4,MA4)&gt;0,SUM(LW4,MA4),"")</f>
        <v/>
      </c>
      <c r="MQ4" s="40" t="str">
        <f t="shared" ref="MQ4:MQ36" si="103">IF(SUM(LV4:LW4,LY4:MA4,MC4)-LX4-MB4&gt;0,SUM(LV4:LW4,LY4:MA4,MC4)-LX4-MB4,"")</f>
        <v/>
      </c>
      <c r="MR4" s="40" t="str">
        <f t="shared" ref="MR4:MR36" si="104">IF(SUM(MD4:ME4,MG4)-MF4&gt;0,SUM(MD4:ME4,MG4)-MF4,"")</f>
        <v/>
      </c>
      <c r="MS4" s="40" t="str">
        <f t="shared" ref="MS4:MS36" si="105">IF(SUM(LW4,MA4,ME4)&gt;0,SUM(LW4,MA4,ME4),"")</f>
        <v/>
      </c>
      <c r="MT4" s="40" t="str">
        <f t="shared" ref="MT4:MT36" si="106">IF(SUM(MQ4,MR4)&gt;0,SUM(MQ4,MR4),"")</f>
        <v/>
      </c>
      <c r="MU4" s="40" t="str">
        <f t="shared" ref="MU4:MU36" si="107">IF(SUM(MI4,MM4)&gt;0,SUM(MI4,MM4),"")</f>
        <v/>
      </c>
      <c r="MV4" s="40" t="str">
        <f t="shared" ref="MV4:MV36" si="108">IF(SUM(MH4:MI4,MK4:MM4,MO4)-SUM(MJ4,MN4)&gt;0,SUM(MH4:MI4,MK4:MM4,MO4)-SUM(MJ4,MN4),"")</f>
        <v/>
      </c>
      <c r="MW4" s="40" t="str">
        <f t="shared" ref="MW4:MW36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6" si="110">IF(SUM(MY4,NC4)&gt;0,SUM(MY4,NC4),"")</f>
        <v/>
      </c>
      <c r="NS4" s="11" t="str">
        <f t="shared" ref="NS4:NS36" si="111">IF(SUM(MX4:MY4,NA4:NC4,NE4)-MZ4-ND4&gt;0,SUM(MX4:MY4,NA4:NC4,NE4)-MZ4-ND4,"")</f>
        <v/>
      </c>
      <c r="NT4" s="11" t="str">
        <f t="shared" ref="NT4:NT36" si="112">IF(SUM(NF4:NG4,NI4)-NH4&gt;0,SUM(NF4:NG4,NI4)-NH4,"")</f>
        <v/>
      </c>
      <c r="NU4" s="11" t="str">
        <f t="shared" ref="NU4:NU36" si="113">IF(SUM(MY4,NC4,NG4)&gt;0,SUM(MY4,NC4,NG4),"")</f>
        <v/>
      </c>
      <c r="NV4" s="11" t="str">
        <f t="shared" ref="NV4:NV36" si="114">IF(SUM(NS4,NT4)&gt;0,SUM(NS4,NT4),"")</f>
        <v/>
      </c>
      <c r="NW4" s="11" t="str">
        <f t="shared" ref="NW4:NW36" si="115">IF(SUM(NK4,NO4)&gt;0,SUM(NK4,NO4),"")</f>
        <v/>
      </c>
      <c r="NX4" s="11" t="str">
        <f t="shared" ref="NX4:NX36" si="116">IF(SUM(NJ4:NK4,NM4:NO4,NQ4)-SUM(NL4,NP4)&gt;0,SUM(NJ4:NK4,NM4:NO4,NQ4)-SUM(NL4,NP4),"")</f>
        <v/>
      </c>
      <c r="NY4" s="11" t="str">
        <f t="shared" ref="NY4:NY36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6" si="118">IF(SUM(OA4,OE4)&gt;0,SUM(OA4,OE4),"")</f>
        <v/>
      </c>
      <c r="OU4" s="40" t="str">
        <f t="shared" ref="OU4:OU36" si="119">IF(SUM(NZ4:OA4,OC4:OE4,OG4)-OB4-OF4&gt;0,SUM(NZ4:OA4,OC4:OE4,OG4)-OB4-OF4,"")</f>
        <v/>
      </c>
      <c r="OV4" s="40" t="str">
        <f t="shared" ref="OV4:OV36" si="120">IF(SUM(OH4:OI4,OK4)-OJ4&gt;0,SUM(OH4:OI4,OK4)-OJ4,"")</f>
        <v/>
      </c>
      <c r="OW4" s="40" t="str">
        <f t="shared" ref="OW4:OW36" si="121">IF(SUM(OA4,OE4,OI4)&gt;0,SUM(OA4,OE4,OI4),"")</f>
        <v/>
      </c>
      <c r="OX4" s="40" t="str">
        <f t="shared" ref="OX4:OX36" si="122">IF(SUM(OU4,OV4)&gt;0,SUM(OU4,OV4),"")</f>
        <v/>
      </c>
      <c r="OY4" s="40" t="str">
        <f t="shared" ref="OY4:OY36" si="123">IF(SUM(OM4,OQ4)&gt;0,SUM(OM4,OQ4),"")</f>
        <v/>
      </c>
      <c r="OZ4" s="40" t="str">
        <f t="shared" ref="OZ4:OZ36" si="124">IF(SUM(OL4:OM4,OO4:OQ4,OS4)-SUM(ON4,OR4)&gt;0,SUM(OL4:OM4,OO4:OQ4,OS4)-SUM(ON4,OR4),"")</f>
        <v/>
      </c>
      <c r="PA4" s="40" t="str">
        <f t="shared" ref="PA4:PA36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6" si="126">IF(SUM(PC4,PG4)&gt;0,SUM(PC4,PG4),"")</f>
        <v/>
      </c>
      <c r="PW4" s="11" t="str">
        <f t="shared" ref="PW4:PW36" si="127">IF(SUM(PB4:PC4,PE4:PG4,PI4)-PD4-PH4&gt;0,SUM(PB4:PC4,PE4:PG4,PI4)-PD4-PH4,"")</f>
        <v/>
      </c>
      <c r="PX4" s="11" t="str">
        <f t="shared" ref="PX4:PX36" si="128">IF(SUM(PJ4:PK4,PM4)-PL4&gt;0,SUM(PJ4:PK4,PM4)-PL4,"")</f>
        <v/>
      </c>
      <c r="PY4" s="11" t="str">
        <f t="shared" ref="PY4:PY36" si="129">IF(SUM(PC4,PG4,PK4)&gt;0,SUM(PC4,PG4,PK4),"")</f>
        <v/>
      </c>
      <c r="PZ4" s="11" t="str">
        <f t="shared" ref="PZ4:PZ36" si="130">IF(SUM(PW4,PX4)&gt;0,SUM(PW4,PX4),"")</f>
        <v/>
      </c>
      <c r="QA4" s="11" t="str">
        <f t="shared" ref="QA4:QA36" si="131">IF(SUM(PO4,PS4)&gt;0,SUM(PO4,PS4),"")</f>
        <v/>
      </c>
      <c r="QB4" s="11" t="str">
        <f t="shared" ref="QB4:QB36" si="132">IF(SUM(PN4:PO4,PQ4:PS4,PU4)-SUM(PP4,PT4)&gt;0,SUM(PN4:PO4,PQ4:PS4,PU4)-SUM(PP4,PT4),"")</f>
        <v/>
      </c>
      <c r="QC4" s="11" t="str">
        <f t="shared" ref="QC4:QC36" si="133">IF(SUM(PW4,PX4,QB4)&gt;0,SUM(PW4,PX4,QB4),"")</f>
        <v/>
      </c>
      <c r="QD4" s="22">
        <f t="shared" ref="QD4:QD36" si="134">IF($CU4="P",CA4,(CA4+AX4)/2)</f>
        <v>18.2</v>
      </c>
      <c r="QE4" s="22">
        <f t="shared" ref="QE4:QE36" si="135">IF($CU4="P",CB4,(CB4+AY4)/2)</f>
        <v>8.4499999999999993</v>
      </c>
      <c r="QF4" s="22">
        <f t="shared" ref="QF4:QF36" si="136">IF($CU4="P",CC4,(CC4+AZ4)/2)</f>
        <v>0.8</v>
      </c>
      <c r="QG4" s="22">
        <f t="shared" ref="QG4:QG36" si="137">IF($CU4="P",CD4,(CD4+BA4)/2)</f>
        <v>0.3</v>
      </c>
      <c r="QH4" s="22">
        <f t="shared" ref="QH4:QH36" si="138">IF($CU4="P",CE4,(CE4+BB4)/2)</f>
        <v>18.350000000000001</v>
      </c>
      <c r="QI4" s="22">
        <f t="shared" ref="QI4:QI36" si="139">IF($CU4="P",CF4,(CF4+BC4)/2)</f>
        <v>7.2</v>
      </c>
      <c r="QJ4" s="22">
        <f t="shared" ref="QJ4:QJ36" si="140">IF($CU4="P",CG4,(CG4+BD4)/2)</f>
        <v>0.2</v>
      </c>
      <c r="QK4" s="22">
        <f t="shared" ref="QK4:QK36" si="141">IF($CU4="P",CH4,(CH4+BE4)/2)</f>
        <v>0</v>
      </c>
      <c r="QL4" s="22">
        <f t="shared" ref="QL4:QL36" si="142">IF($CU4="P",CI4,(CI4+BF4)/2)</f>
        <v>0</v>
      </c>
      <c r="QM4" s="22">
        <f t="shared" ref="QM4:QM36" si="143">IF($CU4="P",CJ4,(CJ4+BG4)/2)</f>
        <v>0</v>
      </c>
      <c r="QN4" s="22">
        <f t="shared" ref="QN4:QN36" si="144">IF($CU4="P",CK4,(CK4+BH4)/2)</f>
        <v>0</v>
      </c>
      <c r="QO4" s="22">
        <f t="shared" ref="QO4:QO36" si="145">IF($CU4="P",CL4,(CL4+BI4)/2)</f>
        <v>0</v>
      </c>
      <c r="QP4" s="22">
        <f t="shared" ref="QP4:QP36" si="146">IF($CU4="P",CM4,(CM4+BJ4)/2)</f>
        <v>9.0500000000000007</v>
      </c>
      <c r="QQ4" s="22">
        <f t="shared" ref="QQ4:QQ36" si="147">IF($CU4="P",CN4,(CN4+BK4)/2)</f>
        <v>4.25</v>
      </c>
      <c r="QR4" s="22">
        <f t="shared" ref="QR4:QR36" si="148">IF($CU4="P",CO4,(CO4+BL4)/2)</f>
        <v>0.1</v>
      </c>
      <c r="QS4" s="22">
        <f t="shared" ref="QS4:QS36" si="149">IF($CU4="P",CP4,(CP4+BM4)/2)</f>
        <v>0.15</v>
      </c>
      <c r="QT4" s="22">
        <f t="shared" ref="QT4:QT36" si="150">IF($CU4="P",CQ4,(CQ4+BN4)/2)</f>
        <v>18.450000000000003</v>
      </c>
      <c r="QU4" s="22">
        <f t="shared" ref="QU4:QU36" si="151">IF($CU4="P",CR4,(CR4+BO4)/2)</f>
        <v>8.1999999999999993</v>
      </c>
      <c r="QV4" s="22">
        <f t="shared" ref="QV4:QV36" si="152">IF($CU4="P",CS4,(CS4+BP4)/2)</f>
        <v>0.3</v>
      </c>
      <c r="QW4" s="22">
        <f t="shared" ref="QW4:QW36" si="153">IF($CU4="P",CT4,(CT4+BQ4)/2)</f>
        <v>0.15</v>
      </c>
      <c r="QX4" s="27" t="s">
        <v>46</v>
      </c>
      <c r="QY4" s="40">
        <f t="shared" ref="QY4:QY36" si="154">IF(SUM(QE4,QI4)&gt;0,SUM(QE4,QI4),"")</f>
        <v>15.649999999999999</v>
      </c>
      <c r="QZ4" s="40">
        <f t="shared" ref="QZ4:QZ36" si="155">IF(SUM(QD4:QE4,QG4:QI4,QK4)-QF4-QJ4&gt;0,SUM(QD4:QE4,QG4:QI4,QK4)-QF4-QJ4,"")</f>
        <v>51.5</v>
      </c>
      <c r="RA4" s="40" t="str">
        <f t="shared" ref="RA4:RA36" si="156">IF(SUM(QL4:QM4,QO4)-QN4&gt;0,SUM(QL4:QM4,QO4)-QN4,"")</f>
        <v/>
      </c>
      <c r="RB4" s="40">
        <f t="shared" ref="RB4:RB36" si="157">IF(SUM(QE4,QI4,QM4)&gt;0,SUM(QE4,QI4,QM4),"")</f>
        <v>15.649999999999999</v>
      </c>
      <c r="RC4" s="40">
        <f t="shared" ref="RC4:RC36" si="158">IF(SUM(QZ4,RA4)&gt;0,SUM(QZ4,RA4),"")</f>
        <v>51.5</v>
      </c>
      <c r="RD4" s="40">
        <f t="shared" ref="RD4:RD36" si="159">IF(SUM(QQ4,QU4)&gt;0,SUM(QQ4,QU4),"")</f>
        <v>12.45</v>
      </c>
      <c r="RE4" s="40">
        <f t="shared" ref="RE4:RE36" si="160">IF(SUM(QP4:QQ4,QS4:QU4,QW4)-SUM(QR4,QV4)&gt;0,SUM(QP4:QQ4,QS4:QU4,QW4)-SUM(QR4,QV4),"")</f>
        <v>39.850000000000009</v>
      </c>
      <c r="RF4" s="40">
        <f t="shared" ref="RF4:RF36" si="161">IF(SUM(QZ4,RA4,RE4)&gt;0,SUM(QZ4,RA4,RE4),"")</f>
        <v>91.350000000000009</v>
      </c>
    </row>
    <row r="5" spans="1:474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162</v>
      </c>
      <c r="D5" s="4" t="s">
        <v>4</v>
      </c>
      <c r="E5" s="4">
        <v>2008</v>
      </c>
      <c r="F5" s="9">
        <f t="shared" si="0"/>
        <v>160.40001076000544</v>
      </c>
      <c r="G5" s="65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54.199999999999996</v>
      </c>
      <c r="M5" s="8" t="str">
        <f t="shared" si="5"/>
        <v>2025 Elite Canada</v>
      </c>
      <c r="N5" s="8">
        <f>IF(COUNT(AQ5,BT5,CW5)&gt;1,LARGE((AQ5,BT5,CW5),2),0)</f>
        <v>53.4</v>
      </c>
      <c r="O5" s="8" t="str">
        <f t="shared" si="6"/>
        <v>2025 Nationals</v>
      </c>
      <c r="P5" s="8">
        <f t="shared" si="7"/>
        <v>52.499999999999993</v>
      </c>
      <c r="Q5" s="8" t="str">
        <f t="shared" si="8"/>
        <v>2025 Elite Canada</v>
      </c>
      <c r="R5" s="8">
        <f t="shared" si="9"/>
        <v>0.30000000000000426</v>
      </c>
      <c r="S5" s="11" t="str">
        <f t="shared" si="10"/>
        <v>(Q1)</v>
      </c>
      <c r="T5" s="8" t="str">
        <f t="shared" si="11"/>
        <v>2025 World Cup ITA (April 6)</v>
      </c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 t="str">
        <f t="shared" si="12"/>
        <v/>
      </c>
      <c r="AQ5" s="40" t="str">
        <f t="shared" si="13"/>
        <v/>
      </c>
      <c r="AR5" s="40" t="str">
        <f t="shared" si="14"/>
        <v/>
      </c>
      <c r="AS5" s="40" t="str">
        <f t="shared" si="15"/>
        <v/>
      </c>
      <c r="AT5" s="40" t="str">
        <f t="shared" si="16"/>
        <v/>
      </c>
      <c r="AU5" s="40" t="str">
        <f t="shared" si="17"/>
        <v/>
      </c>
      <c r="AV5" s="40" t="str">
        <f t="shared" si="18"/>
        <v/>
      </c>
      <c r="AW5" s="40" t="str">
        <f t="shared" si="19"/>
        <v/>
      </c>
      <c r="AX5" s="18">
        <v>19</v>
      </c>
      <c r="AY5" s="18">
        <v>8.4</v>
      </c>
      <c r="AZ5" s="18">
        <v>0</v>
      </c>
      <c r="BA5" s="18">
        <v>0</v>
      </c>
      <c r="BB5" s="18">
        <v>18.600000000000001</v>
      </c>
      <c r="BC5" s="18">
        <v>8.1</v>
      </c>
      <c r="BD5" s="18">
        <v>0.2</v>
      </c>
      <c r="BE5" s="18">
        <v>0.3</v>
      </c>
      <c r="BF5" s="18"/>
      <c r="BG5" s="18"/>
      <c r="BH5" s="18"/>
      <c r="BI5" s="18"/>
      <c r="BJ5" s="18">
        <v>19</v>
      </c>
      <c r="BK5" s="18">
        <v>8.4</v>
      </c>
      <c r="BL5" s="18">
        <v>0.6</v>
      </c>
      <c r="BM5" s="18">
        <v>0</v>
      </c>
      <c r="BN5" s="18">
        <v>18.399999999999999</v>
      </c>
      <c r="BO5" s="18">
        <v>7.3</v>
      </c>
      <c r="BP5" s="18">
        <v>0</v>
      </c>
      <c r="BQ5" s="18">
        <v>0</v>
      </c>
      <c r="BR5" s="28"/>
      <c r="BS5" s="11">
        <f t="shared" si="20"/>
        <v>16.5</v>
      </c>
      <c r="BT5" s="11">
        <f t="shared" si="21"/>
        <v>54.199999999999996</v>
      </c>
      <c r="BU5" s="11" t="str">
        <f t="shared" si="22"/>
        <v/>
      </c>
      <c r="BV5" s="11">
        <f t="shared" si="23"/>
        <v>16.5</v>
      </c>
      <c r="BW5" s="11">
        <f t="shared" si="24"/>
        <v>54.199999999999996</v>
      </c>
      <c r="BX5" s="11">
        <f t="shared" si="25"/>
        <v>15.7</v>
      </c>
      <c r="BY5" s="11">
        <f t="shared" si="26"/>
        <v>52.499999999999993</v>
      </c>
      <c r="BZ5" s="11">
        <f t="shared" si="27"/>
        <v>106.69999999999999</v>
      </c>
      <c r="CA5" s="19">
        <v>19.100000000000001</v>
      </c>
      <c r="CB5" s="19">
        <v>8.4</v>
      </c>
      <c r="CC5" s="19">
        <v>0</v>
      </c>
      <c r="CD5" s="19">
        <v>0</v>
      </c>
      <c r="CE5" s="19">
        <v>18.600000000000001</v>
      </c>
      <c r="CF5" s="19">
        <v>7.3</v>
      </c>
      <c r="CG5" s="19">
        <v>0</v>
      </c>
      <c r="CH5" s="19">
        <v>0</v>
      </c>
      <c r="CI5" s="19"/>
      <c r="CJ5" s="19"/>
      <c r="CK5" s="19"/>
      <c r="CL5" s="19"/>
      <c r="CM5" s="19">
        <v>18.7</v>
      </c>
      <c r="CN5" s="19">
        <v>7.6</v>
      </c>
      <c r="CO5" s="19">
        <v>0</v>
      </c>
      <c r="CP5" s="19">
        <v>0</v>
      </c>
      <c r="CQ5" s="19">
        <v>15.1</v>
      </c>
      <c r="CR5" s="19">
        <v>5.0999999999999996</v>
      </c>
      <c r="CS5" s="19">
        <v>0</v>
      </c>
      <c r="CT5" s="19">
        <v>0.3</v>
      </c>
      <c r="CU5" s="27"/>
      <c r="CV5" s="40">
        <f t="shared" si="28"/>
        <v>15.7</v>
      </c>
      <c r="CW5" s="40">
        <f t="shared" si="29"/>
        <v>53.4</v>
      </c>
      <c r="CX5" s="40" t="str">
        <f t="shared" si="30"/>
        <v/>
      </c>
      <c r="CY5" s="40">
        <f t="shared" si="31"/>
        <v>15.7</v>
      </c>
      <c r="CZ5" s="40">
        <f t="shared" si="32"/>
        <v>53.4</v>
      </c>
      <c r="DA5" s="40">
        <f t="shared" si="33"/>
        <v>12.7</v>
      </c>
      <c r="DB5" s="40">
        <f t="shared" si="34"/>
        <v>46.8</v>
      </c>
      <c r="DC5" s="40">
        <f t="shared" si="35"/>
        <v>100.19999999999999</v>
      </c>
      <c r="DD5" s="50">
        <f t="shared" si="36"/>
        <v>0.30000000000000426</v>
      </c>
      <c r="DE5" s="50" t="str">
        <f t="shared" si="37"/>
        <v/>
      </c>
      <c r="DF5" s="17">
        <v>18.8</v>
      </c>
      <c r="DG5" s="17">
        <v>8.4</v>
      </c>
      <c r="DH5" s="17">
        <v>0</v>
      </c>
      <c r="DI5" s="17">
        <v>0</v>
      </c>
      <c r="DJ5" s="17">
        <v>18.399999999999999</v>
      </c>
      <c r="DK5" s="17">
        <v>8.1</v>
      </c>
      <c r="DL5" s="17">
        <v>0</v>
      </c>
      <c r="DM5" s="17">
        <v>0</v>
      </c>
      <c r="DN5" s="17">
        <v>17.8</v>
      </c>
      <c r="DO5" s="17">
        <v>9.3000000000000007</v>
      </c>
      <c r="DP5" s="17">
        <v>0.8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 t="shared" si="38"/>
        <v>16.5</v>
      </c>
      <c r="EA5" s="40">
        <f t="shared" si="39"/>
        <v>53.7</v>
      </c>
      <c r="EB5" s="40">
        <f t="shared" si="40"/>
        <v>26.3</v>
      </c>
      <c r="EC5" s="40">
        <f t="shared" si="41"/>
        <v>25.8</v>
      </c>
      <c r="ED5" s="40">
        <f t="shared" si="42"/>
        <v>80</v>
      </c>
      <c r="EE5" s="40" t="str">
        <f t="shared" si="43"/>
        <v/>
      </c>
      <c r="EF5" s="40" t="str">
        <f t="shared" si="44"/>
        <v/>
      </c>
      <c r="EG5" s="40">
        <f t="shared" si="45"/>
        <v>80</v>
      </c>
      <c r="EH5" s="18">
        <v>16.600000000000001</v>
      </c>
      <c r="EI5" s="18">
        <v>9.1999999999999993</v>
      </c>
      <c r="EJ5" s="18">
        <v>0.8</v>
      </c>
      <c r="EK5" s="18">
        <v>0</v>
      </c>
      <c r="EL5" s="18">
        <v>18</v>
      </c>
      <c r="EM5" s="18">
        <v>8.9</v>
      </c>
      <c r="EN5" s="18">
        <v>0.8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6"/>
        <v>18.100000000000001</v>
      </c>
      <c r="FC5" s="11">
        <f t="shared" si="47"/>
        <v>51.1</v>
      </c>
      <c r="FD5" s="11" t="str">
        <f t="shared" si="48"/>
        <v/>
      </c>
      <c r="FE5" s="11">
        <f t="shared" si="49"/>
        <v>18.100000000000001</v>
      </c>
      <c r="FF5" s="11">
        <f t="shared" si="50"/>
        <v>51.1</v>
      </c>
      <c r="FG5" s="11" t="str">
        <f t="shared" si="51"/>
        <v/>
      </c>
      <c r="FH5" s="11" t="str">
        <f t="shared" si="52"/>
        <v/>
      </c>
      <c r="FI5" s="11">
        <f t="shared" si="53"/>
        <v>51.1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19.05</v>
      </c>
      <c r="QE5" s="22">
        <f t="shared" si="135"/>
        <v>8.4</v>
      </c>
      <c r="QF5" s="22">
        <f t="shared" si="136"/>
        <v>0</v>
      </c>
      <c r="QG5" s="22">
        <f t="shared" si="137"/>
        <v>0</v>
      </c>
      <c r="QH5" s="22">
        <f t="shared" si="138"/>
        <v>18.600000000000001</v>
      </c>
      <c r="QI5" s="22">
        <f t="shared" si="139"/>
        <v>7.6999999999999993</v>
      </c>
      <c r="QJ5" s="22">
        <f t="shared" si="140"/>
        <v>0.1</v>
      </c>
      <c r="QK5" s="22">
        <f t="shared" si="141"/>
        <v>0.15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18.850000000000001</v>
      </c>
      <c r="QQ5" s="22">
        <f t="shared" si="147"/>
        <v>8</v>
      </c>
      <c r="QR5" s="22">
        <f t="shared" si="148"/>
        <v>0.3</v>
      </c>
      <c r="QS5" s="22">
        <f t="shared" si="149"/>
        <v>0</v>
      </c>
      <c r="QT5" s="22">
        <f t="shared" si="150"/>
        <v>16.75</v>
      </c>
      <c r="QU5" s="22">
        <f t="shared" si="151"/>
        <v>6.1999999999999993</v>
      </c>
      <c r="QV5" s="22">
        <f t="shared" si="152"/>
        <v>0</v>
      </c>
      <c r="QW5" s="22">
        <f t="shared" si="153"/>
        <v>0.15</v>
      </c>
      <c r="QX5" s="27" t="s">
        <v>46</v>
      </c>
      <c r="QY5" s="40">
        <f t="shared" si="154"/>
        <v>16.100000000000001</v>
      </c>
      <c r="QZ5" s="40">
        <f t="shared" si="155"/>
        <v>53.8</v>
      </c>
      <c r="RA5" s="40" t="str">
        <f t="shared" si="156"/>
        <v/>
      </c>
      <c r="RB5" s="40">
        <f t="shared" si="157"/>
        <v>16.100000000000001</v>
      </c>
      <c r="RC5" s="40">
        <f t="shared" si="158"/>
        <v>53.8</v>
      </c>
      <c r="RD5" s="40">
        <f t="shared" si="159"/>
        <v>14.2</v>
      </c>
      <c r="RE5" s="40">
        <f t="shared" si="160"/>
        <v>49.65</v>
      </c>
      <c r="RF5" s="40">
        <f t="shared" si="161"/>
        <v>103.44999999999999</v>
      </c>
    </row>
    <row r="6" spans="1:474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89</v>
      </c>
      <c r="D6" s="4" t="s">
        <v>4</v>
      </c>
      <c r="E6" s="4">
        <v>2004</v>
      </c>
      <c r="F6" s="9">
        <f t="shared" si="0"/>
        <v>158.4000105300054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54.399999999999991</v>
      </c>
      <c r="M6" s="8" t="str">
        <f t="shared" si="5"/>
        <v>2025 Nationals</v>
      </c>
      <c r="N6" s="8">
        <f>IF(COUNT(AQ6,BT6,CW6)&gt;1,LARGE((AQ6,BT6,CW6),2),0)</f>
        <v>50.900000000000006</v>
      </c>
      <c r="O6" s="8" t="str">
        <f t="shared" si="6"/>
        <v>2025 Elite Canada</v>
      </c>
      <c r="P6" s="8">
        <f t="shared" si="7"/>
        <v>53.099999999999994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16.399999999999999</v>
      </c>
      <c r="V6" s="19">
        <v>8.4</v>
      </c>
      <c r="W6" s="19">
        <v>1</v>
      </c>
      <c r="X6" s="19">
        <v>0</v>
      </c>
      <c r="Y6" s="19">
        <v>16.2</v>
      </c>
      <c r="Z6" s="19">
        <v>7.2</v>
      </c>
      <c r="AA6" s="19">
        <v>1</v>
      </c>
      <c r="AB6" s="19">
        <v>0</v>
      </c>
      <c r="AC6" s="19">
        <v>19.2</v>
      </c>
      <c r="AD6" s="19">
        <v>5.6</v>
      </c>
      <c r="AE6" s="19">
        <v>0.4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12"/>
        <v>15.600000000000001</v>
      </c>
      <c r="AQ6" s="40">
        <f t="shared" si="13"/>
        <v>46.2</v>
      </c>
      <c r="AR6" s="40">
        <f t="shared" si="14"/>
        <v>24.4</v>
      </c>
      <c r="AS6" s="40">
        <f t="shared" si="15"/>
        <v>21.200000000000003</v>
      </c>
      <c r="AT6" s="40">
        <f t="shared" si="16"/>
        <v>70.599999999999994</v>
      </c>
      <c r="AU6" s="40" t="str">
        <f t="shared" si="17"/>
        <v/>
      </c>
      <c r="AV6" s="40" t="str">
        <f t="shared" si="18"/>
        <v/>
      </c>
      <c r="AW6" s="40">
        <f t="shared" si="19"/>
        <v>70.599999999999994</v>
      </c>
      <c r="AX6" s="18">
        <v>18.399999999999999</v>
      </c>
      <c r="AY6" s="18">
        <v>8</v>
      </c>
      <c r="AZ6" s="18">
        <v>0.2</v>
      </c>
      <c r="BA6" s="18">
        <v>0</v>
      </c>
      <c r="BB6" s="18">
        <v>17.8</v>
      </c>
      <c r="BC6" s="18">
        <v>7.7</v>
      </c>
      <c r="BD6" s="18">
        <v>0.8</v>
      </c>
      <c r="BE6" s="18">
        <v>0</v>
      </c>
      <c r="BF6" s="18"/>
      <c r="BG6" s="18"/>
      <c r="BH6" s="18"/>
      <c r="BI6" s="18"/>
      <c r="BJ6" s="18">
        <v>18.100000000000001</v>
      </c>
      <c r="BK6" s="18">
        <v>7.2</v>
      </c>
      <c r="BL6" s="18">
        <v>0.6</v>
      </c>
      <c r="BM6" s="18">
        <v>0</v>
      </c>
      <c r="BN6" s="18">
        <v>17.899999999999999</v>
      </c>
      <c r="BO6" s="18">
        <v>7.7</v>
      </c>
      <c r="BP6" s="18">
        <v>0.8</v>
      </c>
      <c r="BQ6" s="18">
        <v>0</v>
      </c>
      <c r="BR6" s="28"/>
      <c r="BS6" s="11">
        <f t="shared" si="20"/>
        <v>15.7</v>
      </c>
      <c r="BT6" s="11">
        <f t="shared" si="21"/>
        <v>50.900000000000006</v>
      </c>
      <c r="BU6" s="11" t="str">
        <f t="shared" si="22"/>
        <v/>
      </c>
      <c r="BV6" s="11">
        <f t="shared" si="23"/>
        <v>15.7</v>
      </c>
      <c r="BW6" s="11">
        <f t="shared" si="24"/>
        <v>50.900000000000006</v>
      </c>
      <c r="BX6" s="11">
        <f t="shared" si="25"/>
        <v>14.9</v>
      </c>
      <c r="BY6" s="11">
        <f t="shared" si="26"/>
        <v>49.500000000000007</v>
      </c>
      <c r="BZ6" s="11">
        <f t="shared" si="27"/>
        <v>100.4</v>
      </c>
      <c r="CA6" s="19">
        <v>19</v>
      </c>
      <c r="CB6" s="19">
        <v>8.4</v>
      </c>
      <c r="CC6" s="19">
        <v>0</v>
      </c>
      <c r="CD6" s="19">
        <v>0</v>
      </c>
      <c r="CE6" s="19">
        <v>18</v>
      </c>
      <c r="CF6" s="19">
        <v>8.6999999999999993</v>
      </c>
      <c r="CG6" s="19">
        <v>0</v>
      </c>
      <c r="CH6" s="19">
        <v>0.3</v>
      </c>
      <c r="CI6" s="19"/>
      <c r="CJ6" s="19"/>
      <c r="CK6" s="19"/>
      <c r="CL6" s="19"/>
      <c r="CM6" s="19">
        <v>18.7</v>
      </c>
      <c r="CN6" s="19">
        <v>8.4</v>
      </c>
      <c r="CO6" s="19">
        <v>1</v>
      </c>
      <c r="CP6" s="19">
        <v>0</v>
      </c>
      <c r="CQ6" s="19">
        <v>18.2</v>
      </c>
      <c r="CR6" s="19">
        <v>8.6999999999999993</v>
      </c>
      <c r="CS6" s="19">
        <v>0.2</v>
      </c>
      <c r="CT6" s="19">
        <v>0.3</v>
      </c>
      <c r="CU6" s="27"/>
      <c r="CV6" s="40">
        <f t="shared" si="28"/>
        <v>17.100000000000001</v>
      </c>
      <c r="CW6" s="40">
        <f t="shared" si="29"/>
        <v>54.399999999999991</v>
      </c>
      <c r="CX6" s="40" t="str">
        <f t="shared" si="30"/>
        <v/>
      </c>
      <c r="CY6" s="40">
        <f t="shared" si="31"/>
        <v>17.100000000000001</v>
      </c>
      <c r="CZ6" s="40">
        <f t="shared" si="32"/>
        <v>54.399999999999991</v>
      </c>
      <c r="DA6" s="40">
        <f t="shared" si="33"/>
        <v>17.100000000000001</v>
      </c>
      <c r="DB6" s="40">
        <f t="shared" si="34"/>
        <v>53.099999999999994</v>
      </c>
      <c r="DC6" s="40">
        <f t="shared" si="35"/>
        <v>107.49999999999999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18.7</v>
      </c>
      <c r="QE6" s="22">
        <f t="shared" si="135"/>
        <v>8.1999999999999993</v>
      </c>
      <c r="QF6" s="22">
        <f t="shared" si="136"/>
        <v>0.1</v>
      </c>
      <c r="QG6" s="22">
        <f t="shared" si="137"/>
        <v>0</v>
      </c>
      <c r="QH6" s="22">
        <f t="shared" si="138"/>
        <v>17.899999999999999</v>
      </c>
      <c r="QI6" s="22">
        <f t="shared" si="139"/>
        <v>8.1999999999999993</v>
      </c>
      <c r="QJ6" s="22">
        <f t="shared" si="140"/>
        <v>0.4</v>
      </c>
      <c r="QK6" s="22">
        <f t="shared" si="141"/>
        <v>0.15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18.399999999999999</v>
      </c>
      <c r="QQ6" s="22">
        <f t="shared" si="147"/>
        <v>7.8000000000000007</v>
      </c>
      <c r="QR6" s="22">
        <f t="shared" si="148"/>
        <v>0.8</v>
      </c>
      <c r="QS6" s="22">
        <f t="shared" si="149"/>
        <v>0</v>
      </c>
      <c r="QT6" s="22">
        <f t="shared" si="150"/>
        <v>18.049999999999997</v>
      </c>
      <c r="QU6" s="22">
        <f t="shared" si="151"/>
        <v>8.1999999999999993</v>
      </c>
      <c r="QV6" s="22">
        <f t="shared" si="152"/>
        <v>0.5</v>
      </c>
      <c r="QW6" s="22">
        <f t="shared" si="153"/>
        <v>0.15</v>
      </c>
      <c r="QX6" s="27" t="s">
        <v>46</v>
      </c>
      <c r="QY6" s="40">
        <f t="shared" si="154"/>
        <v>16.399999999999999</v>
      </c>
      <c r="QZ6" s="40">
        <f t="shared" si="155"/>
        <v>52.65</v>
      </c>
      <c r="RA6" s="40" t="str">
        <f t="shared" si="156"/>
        <v/>
      </c>
      <c r="RB6" s="40">
        <f t="shared" si="157"/>
        <v>16.399999999999999</v>
      </c>
      <c r="RC6" s="40">
        <f t="shared" si="158"/>
        <v>52.65</v>
      </c>
      <c r="RD6" s="40">
        <f t="shared" si="159"/>
        <v>16</v>
      </c>
      <c r="RE6" s="40">
        <f t="shared" si="160"/>
        <v>51.300000000000004</v>
      </c>
      <c r="RF6" s="40">
        <f t="shared" si="161"/>
        <v>103.95</v>
      </c>
    </row>
    <row r="7" spans="1:474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t="str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/>
      </c>
      <c r="C7" s="5" t="s">
        <v>133</v>
      </c>
      <c r="D7" s="4" t="s">
        <v>4</v>
      </c>
      <c r="E7" s="4">
        <v>2007</v>
      </c>
      <c r="F7" s="9">
        <f t="shared" si="0"/>
        <v>158.10001058000532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53.099999999999994</v>
      </c>
      <c r="M7" s="8" t="str">
        <f t="shared" si="5"/>
        <v>2025 Nationals</v>
      </c>
      <c r="N7" s="8">
        <f>IF(COUNT(AQ7,BT7,CW7)&gt;1,LARGE((AQ7,BT7,CW7),2),0)</f>
        <v>52.7</v>
      </c>
      <c r="O7" s="8" t="str">
        <f t="shared" si="6"/>
        <v>2025 Elite Canada</v>
      </c>
      <c r="P7" s="8">
        <f t="shared" si="7"/>
        <v>52.300000000000004</v>
      </c>
      <c r="Q7" s="8" t="str">
        <f t="shared" si="8"/>
        <v>2025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18.7</v>
      </c>
      <c r="V7" s="19">
        <v>7.2</v>
      </c>
      <c r="W7" s="19">
        <v>0.8</v>
      </c>
      <c r="X7" s="19">
        <v>0</v>
      </c>
      <c r="Y7" s="19">
        <v>18.899999999999999</v>
      </c>
      <c r="Z7" s="19">
        <v>8.4</v>
      </c>
      <c r="AA7" s="19">
        <v>0</v>
      </c>
      <c r="AB7" s="19">
        <v>0</v>
      </c>
      <c r="AC7" s="19">
        <v>18.5</v>
      </c>
      <c r="AD7" s="19">
        <v>7.7</v>
      </c>
      <c r="AE7" s="19">
        <v>0</v>
      </c>
      <c r="AF7" s="19">
        <v>0</v>
      </c>
      <c r="AG7" s="19">
        <v>17.399999999999999</v>
      </c>
      <c r="AH7" s="19">
        <v>4</v>
      </c>
      <c r="AI7" s="19">
        <v>0</v>
      </c>
      <c r="AJ7" s="19">
        <v>0</v>
      </c>
      <c r="AK7" s="19">
        <v>18.2</v>
      </c>
      <c r="AL7" s="19">
        <v>6</v>
      </c>
      <c r="AM7" s="19">
        <v>0</v>
      </c>
      <c r="AN7" s="19">
        <v>0</v>
      </c>
      <c r="AO7" s="27"/>
      <c r="AP7" s="40">
        <f t="shared" si="12"/>
        <v>15.600000000000001</v>
      </c>
      <c r="AQ7" s="40">
        <f t="shared" si="13"/>
        <v>52.4</v>
      </c>
      <c r="AR7" s="40">
        <f t="shared" si="14"/>
        <v>26.2</v>
      </c>
      <c r="AS7" s="40">
        <f t="shared" si="15"/>
        <v>23.3</v>
      </c>
      <c r="AT7" s="40">
        <f t="shared" si="16"/>
        <v>78.599999999999994</v>
      </c>
      <c r="AU7" s="40">
        <f t="shared" si="17"/>
        <v>10</v>
      </c>
      <c r="AV7" s="40">
        <f t="shared" si="18"/>
        <v>45.599999999999994</v>
      </c>
      <c r="AW7" s="40">
        <f t="shared" si="19"/>
        <v>124.19999999999999</v>
      </c>
      <c r="AX7" s="18">
        <v>18.600000000000001</v>
      </c>
      <c r="AY7" s="18">
        <v>8.4</v>
      </c>
      <c r="AZ7" s="18">
        <v>0</v>
      </c>
      <c r="BA7" s="18">
        <v>0</v>
      </c>
      <c r="BB7" s="18">
        <v>18.2</v>
      </c>
      <c r="BC7" s="18">
        <v>7.7</v>
      </c>
      <c r="BD7" s="18">
        <v>0.2</v>
      </c>
      <c r="BE7" s="18">
        <v>0</v>
      </c>
      <c r="BF7" s="18"/>
      <c r="BG7" s="18"/>
      <c r="BH7" s="18"/>
      <c r="BI7" s="18"/>
      <c r="BJ7" s="18">
        <v>18.600000000000001</v>
      </c>
      <c r="BK7" s="18">
        <v>8.4</v>
      </c>
      <c r="BL7" s="18">
        <v>0.6</v>
      </c>
      <c r="BM7" s="18">
        <v>0</v>
      </c>
      <c r="BN7" s="18">
        <v>18.2</v>
      </c>
      <c r="BO7" s="18">
        <v>7.7</v>
      </c>
      <c r="BP7" s="18">
        <v>0.2</v>
      </c>
      <c r="BQ7" s="18">
        <v>0</v>
      </c>
      <c r="BR7" s="28"/>
      <c r="BS7" s="11">
        <f t="shared" si="20"/>
        <v>16.100000000000001</v>
      </c>
      <c r="BT7" s="11">
        <f t="shared" si="21"/>
        <v>52.7</v>
      </c>
      <c r="BU7" s="11" t="str">
        <f t="shared" si="22"/>
        <v/>
      </c>
      <c r="BV7" s="11">
        <f t="shared" si="23"/>
        <v>16.100000000000001</v>
      </c>
      <c r="BW7" s="11">
        <f t="shared" si="24"/>
        <v>52.7</v>
      </c>
      <c r="BX7" s="11">
        <f t="shared" si="25"/>
        <v>16.100000000000001</v>
      </c>
      <c r="BY7" s="11">
        <f t="shared" si="26"/>
        <v>52.100000000000009</v>
      </c>
      <c r="BZ7" s="11">
        <f t="shared" si="27"/>
        <v>104.80000000000001</v>
      </c>
      <c r="CA7" s="19">
        <v>19</v>
      </c>
      <c r="CB7" s="19">
        <v>8.4</v>
      </c>
      <c r="CC7" s="19">
        <v>0.2</v>
      </c>
      <c r="CD7" s="19">
        <v>0</v>
      </c>
      <c r="CE7" s="19">
        <v>18.2</v>
      </c>
      <c r="CF7" s="19">
        <v>7.7</v>
      </c>
      <c r="CG7" s="19">
        <v>0</v>
      </c>
      <c r="CH7" s="19">
        <v>0</v>
      </c>
      <c r="CI7" s="19"/>
      <c r="CJ7" s="19"/>
      <c r="CK7" s="19"/>
      <c r="CL7" s="19"/>
      <c r="CM7" s="19">
        <v>18.7</v>
      </c>
      <c r="CN7" s="19">
        <v>8.4</v>
      </c>
      <c r="CO7" s="19">
        <v>0.8</v>
      </c>
      <c r="CP7" s="19">
        <v>0</v>
      </c>
      <c r="CQ7" s="19">
        <v>18.5</v>
      </c>
      <c r="CR7" s="19">
        <v>7.7</v>
      </c>
      <c r="CS7" s="19">
        <v>0.2</v>
      </c>
      <c r="CT7" s="19">
        <v>0</v>
      </c>
      <c r="CU7" s="27"/>
      <c r="CV7" s="40">
        <f t="shared" si="28"/>
        <v>16.100000000000001</v>
      </c>
      <c r="CW7" s="40">
        <f t="shared" si="29"/>
        <v>53.099999999999994</v>
      </c>
      <c r="CX7" s="40" t="str">
        <f t="shared" si="30"/>
        <v/>
      </c>
      <c r="CY7" s="40">
        <f t="shared" si="31"/>
        <v>16.100000000000001</v>
      </c>
      <c r="CZ7" s="40">
        <f t="shared" si="32"/>
        <v>53.099999999999994</v>
      </c>
      <c r="DA7" s="40">
        <f t="shared" si="33"/>
        <v>16.100000000000001</v>
      </c>
      <c r="DB7" s="40">
        <f t="shared" si="34"/>
        <v>52.300000000000004</v>
      </c>
      <c r="DC7" s="40">
        <f t="shared" si="35"/>
        <v>105.4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>
        <v>18.399999999999999</v>
      </c>
      <c r="EI7" s="18">
        <v>5.2</v>
      </c>
      <c r="EJ7" s="18">
        <v>0.6</v>
      </c>
      <c r="EK7" s="18">
        <v>0</v>
      </c>
      <c r="EL7" s="18">
        <v>19</v>
      </c>
      <c r="EM7" s="18">
        <v>8.4</v>
      </c>
      <c r="EN7" s="18">
        <v>0</v>
      </c>
      <c r="EO7" s="18">
        <v>0</v>
      </c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>
        <f t="shared" si="46"/>
        <v>13.600000000000001</v>
      </c>
      <c r="FC7" s="11">
        <f t="shared" si="47"/>
        <v>50.399999999999991</v>
      </c>
      <c r="FD7" s="11" t="str">
        <f t="shared" si="48"/>
        <v/>
      </c>
      <c r="FE7" s="11">
        <f t="shared" si="49"/>
        <v>13.600000000000001</v>
      </c>
      <c r="FF7" s="11">
        <f t="shared" si="50"/>
        <v>50.399999999999991</v>
      </c>
      <c r="FG7" s="11" t="str">
        <f t="shared" si="51"/>
        <v/>
      </c>
      <c r="FH7" s="11" t="str">
        <f t="shared" si="52"/>
        <v/>
      </c>
      <c r="FI7" s="11">
        <f t="shared" si="53"/>
        <v>50.399999999999991</v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18.8</v>
      </c>
      <c r="QE7" s="22">
        <f t="shared" si="135"/>
        <v>8.4</v>
      </c>
      <c r="QF7" s="22">
        <f t="shared" si="136"/>
        <v>0.1</v>
      </c>
      <c r="QG7" s="22">
        <f t="shared" si="137"/>
        <v>0</v>
      </c>
      <c r="QH7" s="22">
        <f t="shared" si="138"/>
        <v>18.2</v>
      </c>
      <c r="QI7" s="22">
        <f t="shared" si="139"/>
        <v>7.7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18.649999999999999</v>
      </c>
      <c r="QQ7" s="22">
        <f t="shared" si="147"/>
        <v>8.4</v>
      </c>
      <c r="QR7" s="22">
        <f t="shared" si="148"/>
        <v>0.7</v>
      </c>
      <c r="QS7" s="22">
        <f t="shared" si="149"/>
        <v>0</v>
      </c>
      <c r="QT7" s="22">
        <f t="shared" si="150"/>
        <v>18.350000000000001</v>
      </c>
      <c r="QU7" s="22">
        <f t="shared" si="151"/>
        <v>7.7</v>
      </c>
      <c r="QV7" s="22">
        <f t="shared" si="152"/>
        <v>0.2</v>
      </c>
      <c r="QW7" s="22">
        <f t="shared" si="153"/>
        <v>0</v>
      </c>
      <c r="QX7" s="27" t="s">
        <v>46</v>
      </c>
      <c r="QY7" s="40">
        <f t="shared" si="154"/>
        <v>16.100000000000001</v>
      </c>
      <c r="QZ7" s="40">
        <f t="shared" si="155"/>
        <v>52.900000000000006</v>
      </c>
      <c r="RA7" s="40" t="str">
        <f t="shared" si="156"/>
        <v/>
      </c>
      <c r="RB7" s="40">
        <f t="shared" si="157"/>
        <v>16.100000000000001</v>
      </c>
      <c r="RC7" s="40">
        <f t="shared" si="158"/>
        <v>52.900000000000006</v>
      </c>
      <c r="RD7" s="40">
        <f t="shared" si="159"/>
        <v>16.100000000000001</v>
      </c>
      <c r="RE7" s="40">
        <f t="shared" si="160"/>
        <v>52.2</v>
      </c>
      <c r="RF7" s="40">
        <f t="shared" si="161"/>
        <v>105.10000000000001</v>
      </c>
    </row>
    <row r="8" spans="1:474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t="str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/>
      </c>
      <c r="C8" s="5" t="s">
        <v>97</v>
      </c>
      <c r="D8" s="4" t="s">
        <v>4</v>
      </c>
      <c r="E8" s="4">
        <v>2005</v>
      </c>
      <c r="F8" s="9">
        <f t="shared" si="0"/>
        <v>155.90001053000532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53.1</v>
      </c>
      <c r="M8" s="8" t="str">
        <f t="shared" si="5"/>
        <v>2024 3rd Domestic Trial</v>
      </c>
      <c r="N8" s="8">
        <f>IF(COUNT(AQ8,BT8,CW8)&gt;1,LARGE((AQ8,BT8,CW8),2),0)</f>
        <v>52.199999999999996</v>
      </c>
      <c r="O8" s="8" t="str">
        <f t="shared" si="6"/>
        <v>2025 Nationals</v>
      </c>
      <c r="P8" s="8">
        <f t="shared" si="7"/>
        <v>50.6</v>
      </c>
      <c r="Q8" s="8" t="str">
        <f t="shared" si="8"/>
        <v>2024 3rd Domestic Trial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18.899999999999999</v>
      </c>
      <c r="V8" s="19">
        <v>7.7</v>
      </c>
      <c r="W8" s="19">
        <v>0</v>
      </c>
      <c r="X8" s="19">
        <v>0.3</v>
      </c>
      <c r="Y8" s="19">
        <v>19</v>
      </c>
      <c r="Z8" s="19">
        <v>7.2</v>
      </c>
      <c r="AA8" s="19">
        <v>0</v>
      </c>
      <c r="AB8" s="19">
        <v>0</v>
      </c>
      <c r="AC8" s="19">
        <v>18.600000000000001</v>
      </c>
      <c r="AD8" s="19">
        <v>7.2</v>
      </c>
      <c r="AE8" s="19">
        <v>0.6</v>
      </c>
      <c r="AF8" s="19">
        <v>0</v>
      </c>
      <c r="AG8" s="19">
        <v>18.5</v>
      </c>
      <c r="AH8" s="19">
        <v>6.9</v>
      </c>
      <c r="AI8" s="19">
        <v>0.2</v>
      </c>
      <c r="AJ8" s="19">
        <v>0</v>
      </c>
      <c r="AK8" s="19">
        <v>18.399999999999999</v>
      </c>
      <c r="AL8" s="19">
        <v>7.2</v>
      </c>
      <c r="AM8" s="19">
        <v>0.2</v>
      </c>
      <c r="AN8" s="19">
        <v>0</v>
      </c>
      <c r="AO8" s="27"/>
      <c r="AP8" s="40">
        <f t="shared" si="12"/>
        <v>14.9</v>
      </c>
      <c r="AQ8" s="40">
        <f t="shared" si="13"/>
        <v>53.1</v>
      </c>
      <c r="AR8" s="40">
        <f t="shared" si="14"/>
        <v>25.2</v>
      </c>
      <c r="AS8" s="40">
        <f t="shared" si="15"/>
        <v>22.1</v>
      </c>
      <c r="AT8" s="40">
        <f t="shared" si="16"/>
        <v>78.3</v>
      </c>
      <c r="AU8" s="40">
        <f t="shared" si="17"/>
        <v>14.100000000000001</v>
      </c>
      <c r="AV8" s="40">
        <f t="shared" si="18"/>
        <v>50.6</v>
      </c>
      <c r="AW8" s="40">
        <f t="shared" si="19"/>
        <v>128.9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0"/>
        <v/>
      </c>
      <c r="BT8" s="11" t="str">
        <f t="shared" si="21"/>
        <v/>
      </c>
      <c r="BU8" s="11" t="str">
        <f t="shared" si="22"/>
        <v/>
      </c>
      <c r="BV8" s="11" t="str">
        <f t="shared" si="23"/>
        <v/>
      </c>
      <c r="BW8" s="11" t="str">
        <f t="shared" si="24"/>
        <v/>
      </c>
      <c r="BX8" s="11" t="str">
        <f t="shared" si="25"/>
        <v/>
      </c>
      <c r="BY8" s="11" t="str">
        <f t="shared" si="26"/>
        <v/>
      </c>
      <c r="BZ8" s="11" t="str">
        <f t="shared" si="27"/>
        <v/>
      </c>
      <c r="CA8" s="19">
        <v>18.8</v>
      </c>
      <c r="CB8" s="19">
        <v>8.4</v>
      </c>
      <c r="CC8" s="19">
        <v>0</v>
      </c>
      <c r="CD8" s="19">
        <v>0</v>
      </c>
      <c r="CE8" s="19">
        <v>16.8</v>
      </c>
      <c r="CF8" s="19">
        <v>8.1</v>
      </c>
      <c r="CG8" s="19">
        <v>0.2</v>
      </c>
      <c r="CH8" s="19">
        <v>0.3</v>
      </c>
      <c r="CI8" s="19"/>
      <c r="CJ8" s="19"/>
      <c r="CK8" s="19"/>
      <c r="CL8" s="19"/>
      <c r="CM8" s="19">
        <v>16.3</v>
      </c>
      <c r="CN8" s="19">
        <v>7.6</v>
      </c>
      <c r="CO8" s="19">
        <v>1</v>
      </c>
      <c r="CP8" s="19">
        <v>0</v>
      </c>
      <c r="CQ8" s="19">
        <v>18.399999999999999</v>
      </c>
      <c r="CR8" s="19">
        <v>8.1</v>
      </c>
      <c r="CS8" s="19">
        <v>0.2</v>
      </c>
      <c r="CT8" s="19">
        <v>0.3</v>
      </c>
      <c r="CU8" s="27"/>
      <c r="CV8" s="40">
        <f t="shared" si="28"/>
        <v>16.5</v>
      </c>
      <c r="CW8" s="40">
        <f t="shared" si="29"/>
        <v>52.199999999999996</v>
      </c>
      <c r="CX8" s="40" t="str">
        <f t="shared" si="30"/>
        <v/>
      </c>
      <c r="CY8" s="40">
        <f t="shared" si="31"/>
        <v>16.5</v>
      </c>
      <c r="CZ8" s="40">
        <f t="shared" si="32"/>
        <v>52.199999999999996</v>
      </c>
      <c r="DA8" s="40">
        <f t="shared" si="33"/>
        <v>15.7</v>
      </c>
      <c r="DB8" s="40">
        <f t="shared" si="34"/>
        <v>49.499999999999993</v>
      </c>
      <c r="DC8" s="40">
        <f t="shared" si="35"/>
        <v>101.69999999999999</v>
      </c>
      <c r="DD8" s="50" t="str">
        <f t="shared" si="36"/>
        <v/>
      </c>
      <c r="DE8" s="50" t="str">
        <f t="shared" si="37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9.4</v>
      </c>
      <c r="QE8" s="22">
        <f t="shared" si="135"/>
        <v>4.2</v>
      </c>
      <c r="QF8" s="22">
        <f t="shared" si="136"/>
        <v>0</v>
      </c>
      <c r="QG8" s="22">
        <f t="shared" si="137"/>
        <v>0</v>
      </c>
      <c r="QH8" s="22">
        <f t="shared" si="138"/>
        <v>8.4</v>
      </c>
      <c r="QI8" s="22">
        <f t="shared" si="139"/>
        <v>4.05</v>
      </c>
      <c r="QJ8" s="22">
        <f t="shared" si="140"/>
        <v>0.1</v>
      </c>
      <c r="QK8" s="22">
        <f t="shared" si="141"/>
        <v>0.15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8.15</v>
      </c>
      <c r="QQ8" s="22">
        <f t="shared" si="147"/>
        <v>3.8</v>
      </c>
      <c r="QR8" s="22">
        <f t="shared" si="148"/>
        <v>0.5</v>
      </c>
      <c r="QS8" s="22">
        <f t="shared" si="149"/>
        <v>0</v>
      </c>
      <c r="QT8" s="22">
        <f t="shared" si="150"/>
        <v>9.1999999999999993</v>
      </c>
      <c r="QU8" s="22">
        <f t="shared" si="151"/>
        <v>4.05</v>
      </c>
      <c r="QV8" s="22">
        <f t="shared" si="152"/>
        <v>0.1</v>
      </c>
      <c r="QW8" s="22">
        <f t="shared" si="153"/>
        <v>0.15</v>
      </c>
      <c r="QX8" s="27" t="s">
        <v>46</v>
      </c>
      <c r="QY8" s="40">
        <f t="shared" si="154"/>
        <v>8.25</v>
      </c>
      <c r="QZ8" s="40">
        <f t="shared" si="155"/>
        <v>26.099999999999998</v>
      </c>
      <c r="RA8" s="40" t="str">
        <f t="shared" si="156"/>
        <v/>
      </c>
      <c r="RB8" s="40">
        <f t="shared" si="157"/>
        <v>8.25</v>
      </c>
      <c r="RC8" s="40">
        <f t="shared" si="158"/>
        <v>26.099999999999998</v>
      </c>
      <c r="RD8" s="40">
        <f t="shared" si="159"/>
        <v>7.85</v>
      </c>
      <c r="RE8" s="40">
        <f t="shared" si="160"/>
        <v>24.749999999999996</v>
      </c>
      <c r="RF8" s="40">
        <f t="shared" si="161"/>
        <v>50.849999999999994</v>
      </c>
    </row>
    <row r="9" spans="1:474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1</v>
      </c>
      <c r="C9" s="5" t="s">
        <v>105</v>
      </c>
      <c r="D9" s="4" t="s">
        <v>6</v>
      </c>
      <c r="E9" s="4">
        <v>2006</v>
      </c>
      <c r="F9" s="9">
        <f t="shared" si="0"/>
        <v>155.60001051000529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52.999999999999993</v>
      </c>
      <c r="M9" s="8" t="str">
        <f t="shared" si="5"/>
        <v>2025 Elite Canada</v>
      </c>
      <c r="N9" s="8">
        <f>IF(COUNT(AQ9,BT9,CW9)&gt;1,LARGE((AQ9,BT9,CW9),2),0)</f>
        <v>52.099999999999994</v>
      </c>
      <c r="O9" s="8" t="str">
        <f t="shared" si="6"/>
        <v>2024 3rd Domestic Trial</v>
      </c>
      <c r="P9" s="8">
        <f t="shared" si="7"/>
        <v>50.499999999999993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</v>
      </c>
      <c r="V9" s="19">
        <v>8.4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18.8</v>
      </c>
      <c r="AD9" s="19">
        <v>7.3</v>
      </c>
      <c r="AE9" s="19">
        <v>0</v>
      </c>
      <c r="AF9" s="19">
        <v>0</v>
      </c>
      <c r="AG9" s="19">
        <v>17.2</v>
      </c>
      <c r="AH9" s="19">
        <v>4</v>
      </c>
      <c r="AI9" s="19">
        <v>0</v>
      </c>
      <c r="AJ9" s="19">
        <v>0</v>
      </c>
      <c r="AK9" s="19">
        <v>18.2</v>
      </c>
      <c r="AL9" s="19">
        <v>7.3</v>
      </c>
      <c r="AM9" s="19">
        <v>0</v>
      </c>
      <c r="AN9" s="19">
        <v>0</v>
      </c>
      <c r="AO9" s="27"/>
      <c r="AP9" s="40">
        <f t="shared" si="12"/>
        <v>14.4</v>
      </c>
      <c r="AQ9" s="40">
        <f t="shared" si="13"/>
        <v>52.099999999999994</v>
      </c>
      <c r="AR9" s="40">
        <f t="shared" si="14"/>
        <v>26.1</v>
      </c>
      <c r="AS9" s="40">
        <f t="shared" si="15"/>
        <v>21.7</v>
      </c>
      <c r="AT9" s="40">
        <f t="shared" si="16"/>
        <v>78.199999999999989</v>
      </c>
      <c r="AU9" s="40">
        <f t="shared" si="17"/>
        <v>11.3</v>
      </c>
      <c r="AV9" s="40">
        <f t="shared" si="18"/>
        <v>46.699999999999996</v>
      </c>
      <c r="AW9" s="40">
        <f t="shared" si="19"/>
        <v>124.89999999999998</v>
      </c>
      <c r="AX9" s="18">
        <v>19.2</v>
      </c>
      <c r="AY9" s="18">
        <v>8.4</v>
      </c>
      <c r="AZ9" s="18">
        <v>0.6</v>
      </c>
      <c r="BA9" s="18">
        <v>0</v>
      </c>
      <c r="BB9" s="18">
        <v>18.7</v>
      </c>
      <c r="BC9" s="18">
        <v>7.3</v>
      </c>
      <c r="BD9" s="18">
        <v>0</v>
      </c>
      <c r="BE9" s="18">
        <v>0</v>
      </c>
      <c r="BF9" s="18"/>
      <c r="BG9" s="18"/>
      <c r="BH9" s="18"/>
      <c r="BI9" s="18"/>
      <c r="BJ9" s="18">
        <v>18.7</v>
      </c>
      <c r="BK9" s="18">
        <v>6</v>
      </c>
      <c r="BL9" s="18">
        <v>1.4</v>
      </c>
      <c r="BM9" s="18">
        <v>0</v>
      </c>
      <c r="BN9" s="18">
        <v>17.899999999999999</v>
      </c>
      <c r="BO9" s="18">
        <v>9.6</v>
      </c>
      <c r="BP9" s="18">
        <v>0.6</v>
      </c>
      <c r="BQ9" s="18">
        <v>0.3</v>
      </c>
      <c r="BR9" s="28"/>
      <c r="BS9" s="11">
        <f t="shared" si="20"/>
        <v>15.7</v>
      </c>
      <c r="BT9" s="11">
        <f t="shared" si="21"/>
        <v>52.999999999999993</v>
      </c>
      <c r="BU9" s="11" t="str">
        <f t="shared" si="22"/>
        <v/>
      </c>
      <c r="BV9" s="11">
        <f t="shared" si="23"/>
        <v>15.7</v>
      </c>
      <c r="BW9" s="11">
        <f t="shared" si="24"/>
        <v>52.999999999999993</v>
      </c>
      <c r="BX9" s="11">
        <f t="shared" si="25"/>
        <v>15.6</v>
      </c>
      <c r="BY9" s="11">
        <f t="shared" si="26"/>
        <v>50.499999999999993</v>
      </c>
      <c r="BZ9" s="11">
        <f t="shared" si="27"/>
        <v>103.49999999999999</v>
      </c>
      <c r="CA9" s="19">
        <v>18.2</v>
      </c>
      <c r="CB9" s="19">
        <v>8.4</v>
      </c>
      <c r="CC9" s="19">
        <v>0.8</v>
      </c>
      <c r="CD9" s="19">
        <v>0</v>
      </c>
      <c r="CE9" s="19">
        <v>15.4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12</v>
      </c>
      <c r="CW9" s="40">
        <f t="shared" si="29"/>
        <v>44.800000000000004</v>
      </c>
      <c r="CX9" s="40" t="str">
        <f t="shared" si="30"/>
        <v/>
      </c>
      <c r="CY9" s="40">
        <f t="shared" si="31"/>
        <v>12</v>
      </c>
      <c r="CZ9" s="40">
        <f t="shared" si="32"/>
        <v>44.800000000000004</v>
      </c>
      <c r="DA9" s="40" t="str">
        <f t="shared" si="33"/>
        <v/>
      </c>
      <c r="DB9" s="40" t="str">
        <f t="shared" si="34"/>
        <v/>
      </c>
      <c r="DC9" s="40">
        <f t="shared" si="35"/>
        <v>44.800000000000004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18.7</v>
      </c>
      <c r="QE9" s="22">
        <f t="shared" si="135"/>
        <v>8.4</v>
      </c>
      <c r="QF9" s="22">
        <f t="shared" si="136"/>
        <v>0.7</v>
      </c>
      <c r="QG9" s="22">
        <f t="shared" si="137"/>
        <v>0</v>
      </c>
      <c r="QH9" s="22">
        <f t="shared" si="138"/>
        <v>17.05</v>
      </c>
      <c r="QI9" s="22">
        <f t="shared" si="139"/>
        <v>5.45</v>
      </c>
      <c r="QJ9" s="22">
        <f t="shared" si="140"/>
        <v>0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9.35</v>
      </c>
      <c r="QQ9" s="22">
        <f t="shared" si="147"/>
        <v>3</v>
      </c>
      <c r="QR9" s="22">
        <f t="shared" si="148"/>
        <v>0.7</v>
      </c>
      <c r="QS9" s="22">
        <f t="shared" si="149"/>
        <v>0</v>
      </c>
      <c r="QT9" s="22">
        <f t="shared" si="150"/>
        <v>8.9499999999999993</v>
      </c>
      <c r="QU9" s="22">
        <f t="shared" si="151"/>
        <v>4.8</v>
      </c>
      <c r="QV9" s="22">
        <f t="shared" si="152"/>
        <v>0.3</v>
      </c>
      <c r="QW9" s="22">
        <f t="shared" si="153"/>
        <v>0.15</v>
      </c>
      <c r="QX9" s="27" t="s">
        <v>46</v>
      </c>
      <c r="QY9" s="40">
        <f t="shared" si="154"/>
        <v>13.850000000000001</v>
      </c>
      <c r="QZ9" s="40">
        <f t="shared" si="155"/>
        <v>48.900000000000006</v>
      </c>
      <c r="RA9" s="40" t="str">
        <f t="shared" si="156"/>
        <v/>
      </c>
      <c r="RB9" s="40">
        <f t="shared" si="157"/>
        <v>13.850000000000001</v>
      </c>
      <c r="RC9" s="40">
        <f t="shared" si="158"/>
        <v>48.900000000000006</v>
      </c>
      <c r="RD9" s="40">
        <f t="shared" si="159"/>
        <v>7.8</v>
      </c>
      <c r="RE9" s="40">
        <f t="shared" si="160"/>
        <v>25.249999999999996</v>
      </c>
      <c r="RF9" s="40">
        <f t="shared" si="161"/>
        <v>74.150000000000006</v>
      </c>
    </row>
    <row r="10" spans="1:474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2</v>
      </c>
      <c r="C10" s="5" t="s">
        <v>170</v>
      </c>
      <c r="D10" s="4" t="s">
        <v>3</v>
      </c>
      <c r="E10" s="4">
        <v>2008</v>
      </c>
      <c r="F10" s="9">
        <f t="shared" si="0"/>
        <v>153.30001020000512</v>
      </c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51.3</v>
      </c>
      <c r="M10" s="8" t="str">
        <f t="shared" si="5"/>
        <v>2025 Nationals</v>
      </c>
      <c r="N10" s="8">
        <f>IF(COUNT(AQ10,BT10,CW10)&gt;1,LARGE((AQ10,BT10,CW10),2),0)</f>
        <v>50.7</v>
      </c>
      <c r="O10" s="8" t="str">
        <f t="shared" si="6"/>
        <v>2025 Elite Canada</v>
      </c>
      <c r="P10" s="8">
        <f t="shared" si="7"/>
        <v>51.300000000000004</v>
      </c>
      <c r="Q10" s="8" t="str">
        <f t="shared" si="8"/>
        <v>2025 Nationals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18.2</v>
      </c>
      <c r="V10" s="19">
        <v>6</v>
      </c>
      <c r="W10" s="19">
        <v>0.2</v>
      </c>
      <c r="X10" s="19">
        <v>0</v>
      </c>
      <c r="Y10" s="19">
        <v>19</v>
      </c>
      <c r="Z10" s="19">
        <v>6.4</v>
      </c>
      <c r="AA10" s="19">
        <v>0.2</v>
      </c>
      <c r="AB10" s="19">
        <v>0</v>
      </c>
      <c r="AC10" s="19">
        <v>17.399999999999999</v>
      </c>
      <c r="AD10" s="19">
        <v>3.2</v>
      </c>
      <c r="AE10" s="19">
        <v>0</v>
      </c>
      <c r="AF10" s="19">
        <v>0</v>
      </c>
      <c r="AG10" s="19">
        <v>19</v>
      </c>
      <c r="AH10" s="19">
        <v>6.8</v>
      </c>
      <c r="AI10" s="19">
        <v>0.2</v>
      </c>
      <c r="AJ10" s="19">
        <v>0</v>
      </c>
      <c r="AK10" s="19">
        <v>19.2</v>
      </c>
      <c r="AL10" s="19">
        <v>6.4</v>
      </c>
      <c r="AM10" s="19">
        <v>0</v>
      </c>
      <c r="AN10" s="19">
        <v>0</v>
      </c>
      <c r="AO10" s="27"/>
      <c r="AP10" s="40">
        <f t="shared" si="12"/>
        <v>12.4</v>
      </c>
      <c r="AQ10" s="40">
        <f t="shared" si="13"/>
        <v>49.199999999999996</v>
      </c>
      <c r="AR10" s="40">
        <f t="shared" si="14"/>
        <v>20.599999999999998</v>
      </c>
      <c r="AS10" s="40">
        <f t="shared" si="15"/>
        <v>15.600000000000001</v>
      </c>
      <c r="AT10" s="40">
        <f t="shared" si="16"/>
        <v>69.8</v>
      </c>
      <c r="AU10" s="40">
        <f t="shared" si="17"/>
        <v>13.2</v>
      </c>
      <c r="AV10" s="40">
        <f t="shared" si="18"/>
        <v>51.199999999999996</v>
      </c>
      <c r="AW10" s="40">
        <f t="shared" si="19"/>
        <v>121</v>
      </c>
      <c r="AX10" s="18">
        <v>19</v>
      </c>
      <c r="AY10" s="18">
        <v>6.8</v>
      </c>
      <c r="AZ10" s="18">
        <v>0</v>
      </c>
      <c r="BA10" s="18">
        <v>0</v>
      </c>
      <c r="BB10" s="18">
        <v>19.100000000000001</v>
      </c>
      <c r="BC10" s="18">
        <v>6.4</v>
      </c>
      <c r="BD10" s="18">
        <v>0.6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16.3</v>
      </c>
      <c r="BO10" s="18">
        <v>6</v>
      </c>
      <c r="BP10" s="18">
        <v>0.2</v>
      </c>
      <c r="BQ10" s="18">
        <v>0</v>
      </c>
      <c r="BR10" s="28"/>
      <c r="BS10" s="11">
        <f t="shared" si="20"/>
        <v>13.2</v>
      </c>
      <c r="BT10" s="11">
        <f t="shared" si="21"/>
        <v>50.7</v>
      </c>
      <c r="BU10" s="11" t="str">
        <f t="shared" si="22"/>
        <v/>
      </c>
      <c r="BV10" s="11">
        <f t="shared" si="23"/>
        <v>13.2</v>
      </c>
      <c r="BW10" s="11">
        <f t="shared" si="24"/>
        <v>50.7</v>
      </c>
      <c r="BX10" s="11">
        <f t="shared" si="25"/>
        <v>6</v>
      </c>
      <c r="BY10" s="11">
        <f t="shared" si="26"/>
        <v>22.1</v>
      </c>
      <c r="BZ10" s="11">
        <f t="shared" si="27"/>
        <v>72.800000000000011</v>
      </c>
      <c r="CA10" s="19">
        <v>18.899999999999999</v>
      </c>
      <c r="CB10" s="19">
        <v>7.2</v>
      </c>
      <c r="CC10" s="19">
        <v>0</v>
      </c>
      <c r="CD10" s="19">
        <v>0</v>
      </c>
      <c r="CE10" s="19">
        <v>18.600000000000001</v>
      </c>
      <c r="CF10" s="19">
        <v>6.8</v>
      </c>
      <c r="CG10" s="19">
        <v>0.2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7.2</v>
      </c>
      <c r="CO10" s="19">
        <v>0.8</v>
      </c>
      <c r="CP10" s="19">
        <v>0</v>
      </c>
      <c r="CQ10" s="19">
        <v>18.899999999999999</v>
      </c>
      <c r="CR10" s="19">
        <v>7.6</v>
      </c>
      <c r="CS10" s="19">
        <v>0.2</v>
      </c>
      <c r="CT10" s="19">
        <v>0</v>
      </c>
      <c r="CU10" s="27"/>
      <c r="CV10" s="40">
        <f t="shared" si="28"/>
        <v>14</v>
      </c>
      <c r="CW10" s="40">
        <f t="shared" si="29"/>
        <v>51.3</v>
      </c>
      <c r="CX10" s="40" t="str">
        <f t="shared" si="30"/>
        <v/>
      </c>
      <c r="CY10" s="40">
        <f t="shared" si="31"/>
        <v>14</v>
      </c>
      <c r="CZ10" s="40">
        <f t="shared" si="32"/>
        <v>51.3</v>
      </c>
      <c r="DA10" s="40">
        <f t="shared" si="33"/>
        <v>14.8</v>
      </c>
      <c r="DB10" s="40">
        <f t="shared" si="34"/>
        <v>51.300000000000004</v>
      </c>
      <c r="DC10" s="40">
        <f t="shared" si="35"/>
        <v>102.6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18.95</v>
      </c>
      <c r="QE10" s="22">
        <f t="shared" si="135"/>
        <v>7</v>
      </c>
      <c r="QF10" s="22">
        <f t="shared" si="136"/>
        <v>0</v>
      </c>
      <c r="QG10" s="22">
        <f t="shared" si="137"/>
        <v>0</v>
      </c>
      <c r="QH10" s="22">
        <f t="shared" si="138"/>
        <v>18.850000000000001</v>
      </c>
      <c r="QI10" s="22">
        <f t="shared" si="139"/>
        <v>6.6</v>
      </c>
      <c r="QJ10" s="22">
        <f t="shared" si="140"/>
        <v>0.4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9.3000000000000007</v>
      </c>
      <c r="QQ10" s="22">
        <f t="shared" si="147"/>
        <v>3.6</v>
      </c>
      <c r="QR10" s="22">
        <f t="shared" si="148"/>
        <v>0.4</v>
      </c>
      <c r="QS10" s="22">
        <f t="shared" si="149"/>
        <v>0</v>
      </c>
      <c r="QT10" s="22">
        <f t="shared" si="150"/>
        <v>17.600000000000001</v>
      </c>
      <c r="QU10" s="22">
        <f t="shared" si="151"/>
        <v>6.8</v>
      </c>
      <c r="QV10" s="22">
        <f t="shared" si="152"/>
        <v>0.2</v>
      </c>
      <c r="QW10" s="22">
        <f t="shared" si="153"/>
        <v>0</v>
      </c>
      <c r="QX10" s="27" t="s">
        <v>46</v>
      </c>
      <c r="QY10" s="40">
        <f t="shared" si="154"/>
        <v>13.6</v>
      </c>
      <c r="QZ10" s="40">
        <f t="shared" si="155"/>
        <v>51</v>
      </c>
      <c r="RA10" s="40" t="str">
        <f t="shared" si="156"/>
        <v/>
      </c>
      <c r="RB10" s="40">
        <f t="shared" si="157"/>
        <v>13.6</v>
      </c>
      <c r="RC10" s="40">
        <f t="shared" si="158"/>
        <v>51</v>
      </c>
      <c r="RD10" s="40">
        <f t="shared" si="159"/>
        <v>10.4</v>
      </c>
      <c r="RE10" s="40">
        <f t="shared" si="160"/>
        <v>36.699999999999996</v>
      </c>
      <c r="RF10" s="40">
        <f t="shared" si="161"/>
        <v>87.699999999999989</v>
      </c>
    </row>
    <row r="11" spans="1:474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>3</v>
      </c>
      <c r="C11" s="5" t="s">
        <v>169</v>
      </c>
      <c r="D11" s="4" t="s">
        <v>5</v>
      </c>
      <c r="E11" s="4">
        <v>2008</v>
      </c>
      <c r="F11" s="9">
        <f t="shared" si="0"/>
        <v>152.50001013000511</v>
      </c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51.2</v>
      </c>
      <c r="M11" s="8" t="str">
        <f t="shared" si="5"/>
        <v>2024 3rd Domestic Trial</v>
      </c>
      <c r="N11" s="8">
        <f>IF(COUNT(AQ11,BT11,CW11)&gt;1,LARGE((AQ11,BT11,CW11),2),0)</f>
        <v>50.099999999999994</v>
      </c>
      <c r="O11" s="8" t="str">
        <f t="shared" si="6"/>
        <v>2025 Nationals</v>
      </c>
      <c r="P11" s="8">
        <f t="shared" si="7"/>
        <v>51.2</v>
      </c>
      <c r="Q11" s="8" t="str">
        <f t="shared" si="8"/>
        <v>2024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7.2</v>
      </c>
      <c r="W11" s="19">
        <v>0</v>
      </c>
      <c r="X11" s="19">
        <v>0</v>
      </c>
      <c r="Y11" s="19">
        <v>18.600000000000001</v>
      </c>
      <c r="Z11" s="19">
        <v>6.8</v>
      </c>
      <c r="AA11" s="19">
        <v>0</v>
      </c>
      <c r="AB11" s="19">
        <v>0</v>
      </c>
      <c r="AC11" s="19">
        <v>18.2</v>
      </c>
      <c r="AD11" s="19">
        <v>6.9</v>
      </c>
      <c r="AE11" s="19">
        <v>0</v>
      </c>
      <c r="AF11" s="19">
        <v>0</v>
      </c>
      <c r="AG11" s="19">
        <v>18.7</v>
      </c>
      <c r="AH11" s="19">
        <v>7.3</v>
      </c>
      <c r="AI11" s="19">
        <v>0</v>
      </c>
      <c r="AJ11" s="19">
        <v>0</v>
      </c>
      <c r="AK11" s="19">
        <v>18.399999999999999</v>
      </c>
      <c r="AL11" s="19">
        <v>7.6</v>
      </c>
      <c r="AM11" s="19">
        <v>0.8</v>
      </c>
      <c r="AN11" s="19">
        <v>0</v>
      </c>
      <c r="AO11" s="27"/>
      <c r="AP11" s="40">
        <f t="shared" si="12"/>
        <v>14</v>
      </c>
      <c r="AQ11" s="40">
        <f t="shared" si="13"/>
        <v>51.2</v>
      </c>
      <c r="AR11" s="40">
        <f t="shared" si="14"/>
        <v>25.1</v>
      </c>
      <c r="AS11" s="40">
        <f t="shared" si="15"/>
        <v>20.9</v>
      </c>
      <c r="AT11" s="40">
        <f t="shared" si="16"/>
        <v>76.300000000000011</v>
      </c>
      <c r="AU11" s="40">
        <f t="shared" si="17"/>
        <v>14.899999999999999</v>
      </c>
      <c r="AV11" s="40">
        <f t="shared" si="18"/>
        <v>51.2</v>
      </c>
      <c r="AW11" s="40">
        <f t="shared" si="19"/>
        <v>127.50000000000001</v>
      </c>
      <c r="AX11" s="18">
        <v>18.600000000000001</v>
      </c>
      <c r="AY11" s="18">
        <v>7.2</v>
      </c>
      <c r="AZ11" s="18">
        <v>0.6</v>
      </c>
      <c r="BA11" s="18">
        <v>0</v>
      </c>
      <c r="BB11" s="18">
        <v>18.100000000000001</v>
      </c>
      <c r="BC11" s="18">
        <v>5.2</v>
      </c>
      <c r="BD11" s="18">
        <v>1.8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12.4</v>
      </c>
      <c r="BT11" s="11">
        <f t="shared" si="21"/>
        <v>46.70000000000001</v>
      </c>
      <c r="BU11" s="11" t="str">
        <f t="shared" si="22"/>
        <v/>
      </c>
      <c r="BV11" s="11">
        <f t="shared" si="23"/>
        <v>12.4</v>
      </c>
      <c r="BW11" s="11">
        <f t="shared" si="24"/>
        <v>46.70000000000001</v>
      </c>
      <c r="BX11" s="11" t="str">
        <f t="shared" si="25"/>
        <v/>
      </c>
      <c r="BY11" s="11" t="str">
        <f t="shared" si="26"/>
        <v/>
      </c>
      <c r="BZ11" s="11">
        <f t="shared" si="27"/>
        <v>46.70000000000001</v>
      </c>
      <c r="CA11" s="19">
        <v>18.899999999999999</v>
      </c>
      <c r="CB11" s="19">
        <v>7.2</v>
      </c>
      <c r="CC11" s="19">
        <v>0.2</v>
      </c>
      <c r="CD11" s="19">
        <v>0</v>
      </c>
      <c r="CE11" s="19">
        <v>18.399999999999999</v>
      </c>
      <c r="CF11" s="19">
        <v>6.8</v>
      </c>
      <c r="CG11" s="19">
        <v>1</v>
      </c>
      <c r="CH11" s="19">
        <v>0</v>
      </c>
      <c r="CI11" s="19"/>
      <c r="CJ11" s="19"/>
      <c r="CK11" s="19"/>
      <c r="CL11" s="19"/>
      <c r="CM11" s="19">
        <v>17.8</v>
      </c>
      <c r="CN11" s="19">
        <v>5.2</v>
      </c>
      <c r="CO11" s="19">
        <v>1</v>
      </c>
      <c r="CP11" s="19">
        <v>0</v>
      </c>
      <c r="CQ11" s="19">
        <v>16.5</v>
      </c>
      <c r="CR11" s="19">
        <v>7.2</v>
      </c>
      <c r="CS11" s="19">
        <v>0.8</v>
      </c>
      <c r="CT11" s="19">
        <v>0</v>
      </c>
      <c r="CU11" s="27"/>
      <c r="CV11" s="40">
        <f t="shared" si="28"/>
        <v>14</v>
      </c>
      <c r="CW11" s="40">
        <f t="shared" si="29"/>
        <v>50.099999999999994</v>
      </c>
      <c r="CX11" s="40" t="str">
        <f t="shared" si="30"/>
        <v/>
      </c>
      <c r="CY11" s="40">
        <f t="shared" si="31"/>
        <v>14</v>
      </c>
      <c r="CZ11" s="40">
        <f t="shared" si="32"/>
        <v>50.099999999999994</v>
      </c>
      <c r="DA11" s="40">
        <f t="shared" si="33"/>
        <v>12.4</v>
      </c>
      <c r="DB11" s="40">
        <f t="shared" si="34"/>
        <v>44.900000000000006</v>
      </c>
      <c r="DC11" s="40">
        <f t="shared" si="35"/>
        <v>95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18.75</v>
      </c>
      <c r="QE11" s="22">
        <f t="shared" si="135"/>
        <v>7.2</v>
      </c>
      <c r="QF11" s="22">
        <f t="shared" si="136"/>
        <v>0.4</v>
      </c>
      <c r="QG11" s="22">
        <f t="shared" si="137"/>
        <v>0</v>
      </c>
      <c r="QH11" s="22">
        <f t="shared" si="138"/>
        <v>18.25</v>
      </c>
      <c r="QI11" s="22">
        <f t="shared" si="139"/>
        <v>6</v>
      </c>
      <c r="QJ11" s="22">
        <f t="shared" si="140"/>
        <v>1.4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8.9</v>
      </c>
      <c r="QQ11" s="22">
        <f t="shared" si="147"/>
        <v>2.6</v>
      </c>
      <c r="QR11" s="22">
        <f t="shared" si="148"/>
        <v>0.5</v>
      </c>
      <c r="QS11" s="22">
        <f t="shared" si="149"/>
        <v>0</v>
      </c>
      <c r="QT11" s="22">
        <f t="shared" si="150"/>
        <v>8.25</v>
      </c>
      <c r="QU11" s="22">
        <f t="shared" si="151"/>
        <v>3.6</v>
      </c>
      <c r="QV11" s="22">
        <f t="shared" si="152"/>
        <v>0.4</v>
      </c>
      <c r="QW11" s="22">
        <f t="shared" si="153"/>
        <v>0</v>
      </c>
      <c r="QX11" s="27" t="s">
        <v>46</v>
      </c>
      <c r="QY11" s="40">
        <f t="shared" si="154"/>
        <v>13.2</v>
      </c>
      <c r="QZ11" s="40">
        <f t="shared" si="155"/>
        <v>48.400000000000006</v>
      </c>
      <c r="RA11" s="40" t="str">
        <f t="shared" si="156"/>
        <v/>
      </c>
      <c r="RB11" s="40">
        <f t="shared" si="157"/>
        <v>13.2</v>
      </c>
      <c r="RC11" s="40">
        <f t="shared" si="158"/>
        <v>48.400000000000006</v>
      </c>
      <c r="RD11" s="40">
        <f t="shared" si="159"/>
        <v>6.2</v>
      </c>
      <c r="RE11" s="40">
        <f t="shared" si="160"/>
        <v>22.450000000000003</v>
      </c>
      <c r="RF11" s="40">
        <f t="shared" si="161"/>
        <v>70.850000000000009</v>
      </c>
    </row>
    <row r="12" spans="1:474" x14ac:dyDescent="0.2">
      <c r="A12" s="4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>9</v>
      </c>
      <c r="B12" s="4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>4</v>
      </c>
      <c r="C12" s="5" t="s">
        <v>160</v>
      </c>
      <c r="D12" s="4" t="s">
        <v>31</v>
      </c>
      <c r="E12" s="4">
        <v>2007</v>
      </c>
      <c r="F12" s="9">
        <f t="shared" si="0"/>
        <v>152.00001016000508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50.999999999999993</v>
      </c>
      <c r="M12" s="8" t="str">
        <f t="shared" si="5"/>
        <v>2025 Elite Canada</v>
      </c>
      <c r="N12" s="8">
        <f>IF(COUNT(AQ12,BT12,CW12)&gt;1,LARGE((AQ12,BT12,CW12),2),0)</f>
        <v>50.599999999999994</v>
      </c>
      <c r="O12" s="8" t="str">
        <f t="shared" si="6"/>
        <v>2025 Nationals</v>
      </c>
      <c r="P12" s="8">
        <f t="shared" si="7"/>
        <v>50.4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18.7</v>
      </c>
      <c r="V12" s="19">
        <v>5.6</v>
      </c>
      <c r="W12" s="19">
        <v>0.2</v>
      </c>
      <c r="X12" s="19">
        <v>0</v>
      </c>
      <c r="Y12" s="19">
        <v>18.8</v>
      </c>
      <c r="Z12" s="19">
        <v>6</v>
      </c>
      <c r="AA12" s="19">
        <v>0</v>
      </c>
      <c r="AB12" s="19">
        <v>0</v>
      </c>
      <c r="AC12" s="19">
        <v>18.8</v>
      </c>
      <c r="AD12" s="19">
        <v>4</v>
      </c>
      <c r="AE12" s="19">
        <v>0</v>
      </c>
      <c r="AF12" s="19">
        <v>0</v>
      </c>
      <c r="AG12" s="19">
        <v>19</v>
      </c>
      <c r="AH12" s="19">
        <v>5.6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7"/>
      <c r="AP12" s="40">
        <f t="shared" si="12"/>
        <v>11.6</v>
      </c>
      <c r="AQ12" s="40">
        <f t="shared" si="13"/>
        <v>48.899999999999991</v>
      </c>
      <c r="AR12" s="40">
        <f t="shared" si="14"/>
        <v>22.8</v>
      </c>
      <c r="AS12" s="40">
        <f t="shared" si="15"/>
        <v>15.6</v>
      </c>
      <c r="AT12" s="40">
        <f t="shared" si="16"/>
        <v>71.699999999999989</v>
      </c>
      <c r="AU12" s="40">
        <f t="shared" si="17"/>
        <v>11.6</v>
      </c>
      <c r="AV12" s="40">
        <f t="shared" si="18"/>
        <v>48.6</v>
      </c>
      <c r="AW12" s="40">
        <f t="shared" si="19"/>
        <v>120.29999999999998</v>
      </c>
      <c r="AX12" s="18">
        <v>18.8</v>
      </c>
      <c r="AY12" s="18">
        <v>7.2</v>
      </c>
      <c r="AZ12" s="18">
        <v>0.2</v>
      </c>
      <c r="BA12" s="18">
        <v>0</v>
      </c>
      <c r="BB12" s="18">
        <v>18.600000000000001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18.5</v>
      </c>
      <c r="BK12" s="18">
        <v>7.2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 t="shared" si="20"/>
        <v>14</v>
      </c>
      <c r="BT12" s="11">
        <f t="shared" si="21"/>
        <v>50.999999999999993</v>
      </c>
      <c r="BU12" s="11" t="str">
        <f t="shared" si="22"/>
        <v/>
      </c>
      <c r="BV12" s="11">
        <f t="shared" si="23"/>
        <v>14</v>
      </c>
      <c r="BW12" s="11">
        <f t="shared" si="24"/>
        <v>50.999999999999993</v>
      </c>
      <c r="BX12" s="11">
        <f t="shared" si="25"/>
        <v>14</v>
      </c>
      <c r="BY12" s="11">
        <f t="shared" si="26"/>
        <v>50.4</v>
      </c>
      <c r="BZ12" s="11">
        <f t="shared" si="27"/>
        <v>101.39999999999999</v>
      </c>
      <c r="CA12" s="19">
        <v>18.600000000000001</v>
      </c>
      <c r="CB12" s="19">
        <v>7.2</v>
      </c>
      <c r="CC12" s="19">
        <v>0.2</v>
      </c>
      <c r="CD12" s="19">
        <v>0</v>
      </c>
      <c r="CE12" s="19">
        <v>18.399999999999999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18.600000000000001</v>
      </c>
      <c r="CN12" s="19">
        <v>6.8</v>
      </c>
      <c r="CO12" s="19">
        <v>0</v>
      </c>
      <c r="CP12" s="19">
        <v>0</v>
      </c>
      <c r="CQ12" s="19">
        <v>18.5</v>
      </c>
      <c r="CR12" s="19">
        <v>6.8</v>
      </c>
      <c r="CS12" s="19">
        <v>0.6</v>
      </c>
      <c r="CT12" s="19">
        <v>0</v>
      </c>
      <c r="CU12" s="27"/>
      <c r="CV12" s="40">
        <f t="shared" si="28"/>
        <v>14</v>
      </c>
      <c r="CW12" s="40">
        <f t="shared" si="29"/>
        <v>50.599999999999994</v>
      </c>
      <c r="CX12" s="40" t="str">
        <f t="shared" si="30"/>
        <v/>
      </c>
      <c r="CY12" s="40">
        <f t="shared" si="31"/>
        <v>14</v>
      </c>
      <c r="CZ12" s="40">
        <f t="shared" si="32"/>
        <v>50.599999999999994</v>
      </c>
      <c r="DA12" s="40">
        <f t="shared" si="33"/>
        <v>13.6</v>
      </c>
      <c r="DB12" s="40">
        <f t="shared" si="34"/>
        <v>50.1</v>
      </c>
      <c r="DC12" s="40">
        <f t="shared" si="35"/>
        <v>100.69999999999999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18.700000000000003</v>
      </c>
      <c r="QE12" s="22">
        <f t="shared" si="135"/>
        <v>7.2</v>
      </c>
      <c r="QF12" s="22">
        <f t="shared" si="136"/>
        <v>0.2</v>
      </c>
      <c r="QG12" s="22">
        <f t="shared" si="137"/>
        <v>0</v>
      </c>
      <c r="QH12" s="22">
        <f t="shared" si="138"/>
        <v>18.5</v>
      </c>
      <c r="QI12" s="22">
        <f t="shared" si="139"/>
        <v>6.8</v>
      </c>
      <c r="QJ12" s="22">
        <f t="shared" si="140"/>
        <v>0.2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18.55</v>
      </c>
      <c r="QQ12" s="22">
        <f t="shared" si="147"/>
        <v>7</v>
      </c>
      <c r="QR12" s="22">
        <f t="shared" si="148"/>
        <v>0</v>
      </c>
      <c r="QS12" s="22">
        <f t="shared" si="149"/>
        <v>0</v>
      </c>
      <c r="QT12" s="22">
        <f t="shared" si="150"/>
        <v>18.5</v>
      </c>
      <c r="QU12" s="22">
        <f t="shared" si="151"/>
        <v>6.8</v>
      </c>
      <c r="QV12" s="22">
        <f t="shared" si="152"/>
        <v>0.6</v>
      </c>
      <c r="QW12" s="22">
        <f t="shared" si="153"/>
        <v>0</v>
      </c>
      <c r="QX12" s="27" t="s">
        <v>46</v>
      </c>
      <c r="QY12" s="40">
        <f t="shared" si="154"/>
        <v>14</v>
      </c>
      <c r="QZ12" s="40">
        <f t="shared" si="155"/>
        <v>50.8</v>
      </c>
      <c r="RA12" s="40" t="str">
        <f t="shared" si="156"/>
        <v/>
      </c>
      <c r="RB12" s="40">
        <f t="shared" si="157"/>
        <v>14</v>
      </c>
      <c r="RC12" s="40">
        <f t="shared" si="158"/>
        <v>50.8</v>
      </c>
      <c r="RD12" s="40">
        <f t="shared" si="159"/>
        <v>13.8</v>
      </c>
      <c r="RE12" s="40">
        <f t="shared" si="160"/>
        <v>50.249999999999993</v>
      </c>
      <c r="RF12" s="40">
        <f t="shared" si="161"/>
        <v>101.04999999999998</v>
      </c>
    </row>
    <row r="13" spans="1:474" x14ac:dyDescent="0.2">
      <c r="A13" s="4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>10</v>
      </c>
      <c r="B13" s="4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>5</v>
      </c>
      <c r="C13" s="5" t="s">
        <v>87</v>
      </c>
      <c r="D13" s="4" t="s">
        <v>4</v>
      </c>
      <c r="E13" s="4">
        <v>2004</v>
      </c>
      <c r="F13" s="9">
        <f t="shared" si="0"/>
        <v>151.55000963500484</v>
      </c>
      <c r="G13" s="64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48.2</v>
      </c>
      <c r="M13" s="8" t="str">
        <f t="shared" si="5"/>
        <v>2025 Elite Canada</v>
      </c>
      <c r="N13" s="8">
        <f>IF(COUNT(AQ13,BT13,CW13)&gt;1,LARGE((AQ13,BT13,CW13),2),0)</f>
        <v>48.150000000000006</v>
      </c>
      <c r="O13" s="8" t="str">
        <f t="shared" si="6"/>
        <v>2025 Nationals</v>
      </c>
      <c r="P13" s="8">
        <f t="shared" si="7"/>
        <v>55.2</v>
      </c>
      <c r="Q13" s="8" t="str">
        <f t="shared" si="8"/>
        <v>2024 3rd Domestic Trial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17.2</v>
      </c>
      <c r="V13" s="19">
        <v>3.6</v>
      </c>
      <c r="W13" s="19">
        <v>0</v>
      </c>
      <c r="X13" s="19">
        <v>0</v>
      </c>
      <c r="Y13" s="19">
        <v>18.600000000000001</v>
      </c>
      <c r="Z13" s="19">
        <v>9.1999999999999993</v>
      </c>
      <c r="AA13" s="19">
        <v>0.8</v>
      </c>
      <c r="AB13" s="19">
        <v>0.3</v>
      </c>
      <c r="AC13" s="19">
        <v>18.100000000000001</v>
      </c>
      <c r="AD13" s="19">
        <v>9.3000000000000007</v>
      </c>
      <c r="AE13" s="19">
        <v>0.6</v>
      </c>
      <c r="AF13" s="19">
        <v>0.3</v>
      </c>
      <c r="AG13" s="19">
        <v>18.399999999999999</v>
      </c>
      <c r="AH13" s="19">
        <v>8.9</v>
      </c>
      <c r="AI13" s="19">
        <v>0.8</v>
      </c>
      <c r="AJ13" s="19">
        <v>0.3</v>
      </c>
      <c r="AK13" s="19">
        <v>19.100000000000001</v>
      </c>
      <c r="AL13" s="19">
        <v>9.1999999999999993</v>
      </c>
      <c r="AM13" s="19">
        <v>0.2</v>
      </c>
      <c r="AN13" s="19">
        <v>0.3</v>
      </c>
      <c r="AO13" s="27"/>
      <c r="AP13" s="40">
        <f t="shared" si="12"/>
        <v>12.799999999999999</v>
      </c>
      <c r="AQ13" s="40">
        <f t="shared" si="13"/>
        <v>48.100000000000009</v>
      </c>
      <c r="AR13" s="40">
        <f t="shared" si="14"/>
        <v>27.1</v>
      </c>
      <c r="AS13" s="40">
        <f t="shared" si="15"/>
        <v>22.1</v>
      </c>
      <c r="AT13" s="40">
        <f t="shared" si="16"/>
        <v>75.200000000000017</v>
      </c>
      <c r="AU13" s="40">
        <f t="shared" si="17"/>
        <v>18.100000000000001</v>
      </c>
      <c r="AV13" s="40">
        <f t="shared" si="18"/>
        <v>55.2</v>
      </c>
      <c r="AW13" s="40">
        <f t="shared" si="19"/>
        <v>130.40000000000003</v>
      </c>
      <c r="AX13" s="18">
        <v>15.3</v>
      </c>
      <c r="AY13" s="18">
        <v>4</v>
      </c>
      <c r="AZ13" s="18">
        <v>0</v>
      </c>
      <c r="BA13" s="18">
        <v>0</v>
      </c>
      <c r="BB13" s="18">
        <v>18.3</v>
      </c>
      <c r="BC13" s="18">
        <v>10</v>
      </c>
      <c r="BD13" s="18">
        <v>0</v>
      </c>
      <c r="BE13" s="18">
        <v>0.6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14</v>
      </c>
      <c r="BT13" s="11">
        <f t="shared" si="21"/>
        <v>48.2</v>
      </c>
      <c r="BU13" s="11" t="str">
        <f t="shared" si="22"/>
        <v/>
      </c>
      <c r="BV13" s="11">
        <f t="shared" si="23"/>
        <v>14</v>
      </c>
      <c r="BW13" s="11">
        <f t="shared" si="24"/>
        <v>48.2</v>
      </c>
      <c r="BX13" s="11" t="str">
        <f t="shared" si="25"/>
        <v/>
      </c>
      <c r="BY13" s="11" t="str">
        <f t="shared" si="26"/>
        <v/>
      </c>
      <c r="BZ13" s="11">
        <f t="shared" si="27"/>
        <v>48.2</v>
      </c>
      <c r="CA13" s="19">
        <v>16.25</v>
      </c>
      <c r="CB13" s="19">
        <v>3.8</v>
      </c>
      <c r="CC13" s="19">
        <v>0</v>
      </c>
      <c r="CD13" s="19">
        <v>0</v>
      </c>
      <c r="CE13" s="19">
        <v>18.450000000000003</v>
      </c>
      <c r="CF13" s="19">
        <v>9.6</v>
      </c>
      <c r="CG13" s="19">
        <v>0.4</v>
      </c>
      <c r="CH13" s="19">
        <v>0.44999999999999996</v>
      </c>
      <c r="CI13" s="19"/>
      <c r="CJ13" s="19"/>
      <c r="CK13" s="19"/>
      <c r="CL13" s="19"/>
      <c r="CM13" s="19">
        <v>9.1999999999999993</v>
      </c>
      <c r="CN13" s="19">
        <v>4.45</v>
      </c>
      <c r="CO13" s="19">
        <v>0.4</v>
      </c>
      <c r="CP13" s="19">
        <v>0.15</v>
      </c>
      <c r="CQ13" s="19">
        <v>9.5500000000000007</v>
      </c>
      <c r="CR13" s="19">
        <v>4.5999999999999996</v>
      </c>
      <c r="CS13" s="19">
        <v>0.1</v>
      </c>
      <c r="CT13" s="19">
        <v>0.15</v>
      </c>
      <c r="CU13" s="27" t="s">
        <v>46</v>
      </c>
      <c r="CV13" s="40">
        <f t="shared" si="28"/>
        <v>13.399999999999999</v>
      </c>
      <c r="CW13" s="40">
        <f t="shared" si="29"/>
        <v>48.150000000000006</v>
      </c>
      <c r="CX13" s="40" t="str">
        <f t="shared" si="30"/>
        <v/>
      </c>
      <c r="CY13" s="40">
        <f t="shared" si="31"/>
        <v>13.399999999999999</v>
      </c>
      <c r="CZ13" s="40">
        <f t="shared" si="32"/>
        <v>48.150000000000006</v>
      </c>
      <c r="DA13" s="40">
        <f t="shared" si="33"/>
        <v>9.0500000000000007</v>
      </c>
      <c r="DB13" s="40">
        <f t="shared" si="34"/>
        <v>27.6</v>
      </c>
      <c r="DC13" s="40">
        <f t="shared" si="35"/>
        <v>75.75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16.25</v>
      </c>
      <c r="QE13" s="22">
        <f t="shared" si="135"/>
        <v>3.8</v>
      </c>
      <c r="QF13" s="22">
        <f t="shared" si="136"/>
        <v>0</v>
      </c>
      <c r="QG13" s="22">
        <f t="shared" si="137"/>
        <v>0</v>
      </c>
      <c r="QH13" s="22">
        <f t="shared" si="138"/>
        <v>18.450000000000003</v>
      </c>
      <c r="QI13" s="22">
        <f t="shared" si="139"/>
        <v>9.6</v>
      </c>
      <c r="QJ13" s="22">
        <f t="shared" si="140"/>
        <v>0.4</v>
      </c>
      <c r="QK13" s="22">
        <f t="shared" si="141"/>
        <v>0.44999999999999996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9.1999999999999993</v>
      </c>
      <c r="QQ13" s="22">
        <f t="shared" si="147"/>
        <v>4.45</v>
      </c>
      <c r="QR13" s="22">
        <f t="shared" si="148"/>
        <v>0.4</v>
      </c>
      <c r="QS13" s="22">
        <f t="shared" si="149"/>
        <v>0.15</v>
      </c>
      <c r="QT13" s="22">
        <f t="shared" si="150"/>
        <v>9.5500000000000007</v>
      </c>
      <c r="QU13" s="22">
        <f t="shared" si="151"/>
        <v>4.5999999999999996</v>
      </c>
      <c r="QV13" s="22">
        <f t="shared" si="152"/>
        <v>0.1</v>
      </c>
      <c r="QW13" s="22">
        <f t="shared" si="153"/>
        <v>0.15</v>
      </c>
      <c r="QX13" s="27" t="s">
        <v>46</v>
      </c>
      <c r="QY13" s="40">
        <f t="shared" si="154"/>
        <v>13.399999999999999</v>
      </c>
      <c r="QZ13" s="40">
        <f t="shared" si="155"/>
        <v>48.150000000000006</v>
      </c>
      <c r="RA13" s="40" t="str">
        <f t="shared" si="156"/>
        <v/>
      </c>
      <c r="RB13" s="40">
        <f t="shared" si="157"/>
        <v>13.399999999999999</v>
      </c>
      <c r="RC13" s="40">
        <f t="shared" si="158"/>
        <v>48.150000000000006</v>
      </c>
      <c r="RD13" s="40">
        <f t="shared" si="159"/>
        <v>9.0500000000000007</v>
      </c>
      <c r="RE13" s="40">
        <f t="shared" si="160"/>
        <v>27.6</v>
      </c>
      <c r="RF13" s="40">
        <f t="shared" si="161"/>
        <v>75.75</v>
      </c>
    </row>
    <row r="14" spans="1:474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11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6</v>
      </c>
      <c r="C14" s="5" t="s">
        <v>146</v>
      </c>
      <c r="D14" s="4" t="s">
        <v>92</v>
      </c>
      <c r="E14" s="4">
        <v>2007</v>
      </c>
      <c r="F14" s="9">
        <f t="shared" si="0"/>
        <v>149.30000989000499</v>
      </c>
      <c r="G14" s="64"/>
      <c r="H14" s="3" t="str">
        <f t="shared" si="1"/>
        <v>P</v>
      </c>
      <c r="I14" s="3" t="str">
        <f t="shared" si="2"/>
        <v>P</v>
      </c>
      <c r="J14" s="36" t="str">
        <f t="shared" si="3"/>
        <v>National Team</v>
      </c>
      <c r="K14" s="3" t="str">
        <f t="shared" si="4"/>
        <v/>
      </c>
      <c r="L14" s="8">
        <f>IF(COUNT(AQ14,BT14,CW14)&gt;0,LARGE((AQ14,BT14,CW14),1),0)</f>
        <v>49.999999999999993</v>
      </c>
      <c r="M14" s="8" t="str">
        <f t="shared" si="5"/>
        <v>2025 Elite Canada</v>
      </c>
      <c r="N14" s="8">
        <f>IF(COUNT(AQ14,BT14,CW14)&gt;1,LARGE((AQ14,BT14,CW14),2),0)</f>
        <v>48.9</v>
      </c>
      <c r="O14" s="8" t="str">
        <f t="shared" si="6"/>
        <v>2024 3rd Domestic Trial</v>
      </c>
      <c r="P14" s="8">
        <f t="shared" si="7"/>
        <v>50.4</v>
      </c>
      <c r="Q14" s="8" t="str">
        <f t="shared" si="8"/>
        <v>2025 Elite Canada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18.7</v>
      </c>
      <c r="V14" s="19">
        <v>6</v>
      </c>
      <c r="W14" s="19">
        <v>0.6</v>
      </c>
      <c r="X14" s="19">
        <v>0</v>
      </c>
      <c r="Y14" s="19">
        <v>18.8</v>
      </c>
      <c r="Z14" s="19">
        <v>6</v>
      </c>
      <c r="AA14" s="19">
        <v>0</v>
      </c>
      <c r="AB14" s="19">
        <v>0</v>
      </c>
      <c r="AC14" s="19">
        <v>18.600000000000001</v>
      </c>
      <c r="AD14" s="19">
        <v>5.6</v>
      </c>
      <c r="AE14" s="19">
        <v>0.2</v>
      </c>
      <c r="AF14" s="19">
        <v>0</v>
      </c>
      <c r="AG14" s="19">
        <v>18.8</v>
      </c>
      <c r="AH14" s="19">
        <v>6</v>
      </c>
      <c r="AI14" s="19">
        <v>0.2</v>
      </c>
      <c r="AJ14" s="19">
        <v>0</v>
      </c>
      <c r="AK14" s="19">
        <v>18.600000000000001</v>
      </c>
      <c r="AL14" s="19">
        <v>5.6</v>
      </c>
      <c r="AM14" s="19">
        <v>0.6</v>
      </c>
      <c r="AN14" s="19">
        <v>0</v>
      </c>
      <c r="AO14" s="27"/>
      <c r="AP14" s="40">
        <f t="shared" si="12"/>
        <v>12</v>
      </c>
      <c r="AQ14" s="40">
        <f t="shared" si="13"/>
        <v>48.9</v>
      </c>
      <c r="AR14" s="40">
        <f t="shared" si="14"/>
        <v>24.000000000000004</v>
      </c>
      <c r="AS14" s="40">
        <f t="shared" si="15"/>
        <v>17.600000000000001</v>
      </c>
      <c r="AT14" s="40">
        <f t="shared" si="16"/>
        <v>72.900000000000006</v>
      </c>
      <c r="AU14" s="40">
        <f t="shared" si="17"/>
        <v>11.6</v>
      </c>
      <c r="AV14" s="40">
        <f t="shared" si="18"/>
        <v>48.20000000000001</v>
      </c>
      <c r="AW14" s="40">
        <f t="shared" si="19"/>
        <v>121.10000000000002</v>
      </c>
      <c r="AX14" s="18">
        <v>18.600000000000001</v>
      </c>
      <c r="AY14" s="18">
        <v>6.8</v>
      </c>
      <c r="AZ14" s="18">
        <v>0.2</v>
      </c>
      <c r="BA14" s="18">
        <v>0</v>
      </c>
      <c r="BB14" s="18">
        <v>18.600000000000001</v>
      </c>
      <c r="BC14" s="18">
        <v>6.4</v>
      </c>
      <c r="BD14" s="18">
        <v>0.2</v>
      </c>
      <c r="BE14" s="18">
        <v>0</v>
      </c>
      <c r="BF14" s="18"/>
      <c r="BG14" s="18"/>
      <c r="BH14" s="18"/>
      <c r="BI14" s="18"/>
      <c r="BJ14" s="18">
        <v>18.5</v>
      </c>
      <c r="BK14" s="18">
        <v>6.8</v>
      </c>
      <c r="BL14" s="18">
        <v>0.2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8"/>
      <c r="BS14" s="11">
        <f t="shared" si="20"/>
        <v>13.2</v>
      </c>
      <c r="BT14" s="11">
        <f t="shared" si="21"/>
        <v>49.999999999999993</v>
      </c>
      <c r="BU14" s="11" t="str">
        <f t="shared" si="22"/>
        <v/>
      </c>
      <c r="BV14" s="11">
        <f t="shared" si="23"/>
        <v>13.2</v>
      </c>
      <c r="BW14" s="11">
        <f t="shared" si="24"/>
        <v>49.999999999999993</v>
      </c>
      <c r="BX14" s="11">
        <f t="shared" si="25"/>
        <v>13.2</v>
      </c>
      <c r="BY14" s="11">
        <f t="shared" si="26"/>
        <v>50.4</v>
      </c>
      <c r="BZ14" s="11">
        <f t="shared" si="27"/>
        <v>100.39999999999999</v>
      </c>
      <c r="CA14" s="19">
        <v>18</v>
      </c>
      <c r="CB14" s="19">
        <v>5.2</v>
      </c>
      <c r="CC14" s="19">
        <v>0</v>
      </c>
      <c r="CD14" s="19">
        <v>0</v>
      </c>
      <c r="CE14" s="19">
        <v>15.2</v>
      </c>
      <c r="CF14" s="19">
        <v>2.8</v>
      </c>
      <c r="CG14" s="19">
        <v>0</v>
      </c>
      <c r="CH14" s="19">
        <v>0</v>
      </c>
      <c r="CI14" s="19"/>
      <c r="CJ14" s="19"/>
      <c r="CK14" s="19"/>
      <c r="CL14" s="19"/>
      <c r="CM14" s="19">
        <v>17.899999999999999</v>
      </c>
      <c r="CN14" s="19">
        <v>5.2</v>
      </c>
      <c r="CO14" s="19">
        <v>1</v>
      </c>
      <c r="CP14" s="19">
        <v>0</v>
      </c>
      <c r="CQ14" s="19">
        <v>18</v>
      </c>
      <c r="CR14" s="19">
        <v>6.4</v>
      </c>
      <c r="CS14" s="19">
        <v>0.2</v>
      </c>
      <c r="CT14" s="19">
        <v>0</v>
      </c>
      <c r="CU14" s="27"/>
      <c r="CV14" s="40">
        <f t="shared" si="28"/>
        <v>8</v>
      </c>
      <c r="CW14" s="40">
        <f t="shared" si="29"/>
        <v>41.199999999999996</v>
      </c>
      <c r="CX14" s="40" t="str">
        <f t="shared" si="30"/>
        <v/>
      </c>
      <c r="CY14" s="40">
        <f t="shared" si="31"/>
        <v>8</v>
      </c>
      <c r="CZ14" s="40">
        <f t="shared" si="32"/>
        <v>41.199999999999996</v>
      </c>
      <c r="DA14" s="40">
        <f t="shared" si="33"/>
        <v>11.600000000000001</v>
      </c>
      <c r="DB14" s="40">
        <f t="shared" si="34"/>
        <v>46.29999999999999</v>
      </c>
      <c r="DC14" s="40">
        <f t="shared" si="35"/>
        <v>87.499999999999986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18.3</v>
      </c>
      <c r="QE14" s="22">
        <f t="shared" si="135"/>
        <v>6</v>
      </c>
      <c r="QF14" s="22">
        <f t="shared" si="136"/>
        <v>0.1</v>
      </c>
      <c r="QG14" s="22">
        <f t="shared" si="137"/>
        <v>0</v>
      </c>
      <c r="QH14" s="22">
        <f t="shared" si="138"/>
        <v>16.899999999999999</v>
      </c>
      <c r="QI14" s="22">
        <f t="shared" si="139"/>
        <v>4.5999999999999996</v>
      </c>
      <c r="QJ14" s="22">
        <f t="shared" si="140"/>
        <v>0.1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18.2</v>
      </c>
      <c r="QQ14" s="22">
        <f t="shared" si="147"/>
        <v>6</v>
      </c>
      <c r="QR14" s="22">
        <f t="shared" si="148"/>
        <v>0.6</v>
      </c>
      <c r="QS14" s="22">
        <f t="shared" si="149"/>
        <v>0</v>
      </c>
      <c r="QT14" s="22">
        <f t="shared" si="150"/>
        <v>18.45</v>
      </c>
      <c r="QU14" s="22">
        <f t="shared" si="151"/>
        <v>6.4</v>
      </c>
      <c r="QV14" s="22">
        <f t="shared" si="152"/>
        <v>0.1</v>
      </c>
      <c r="QW14" s="22">
        <f t="shared" si="153"/>
        <v>0</v>
      </c>
      <c r="QX14" s="27" t="s">
        <v>46</v>
      </c>
      <c r="QY14" s="40">
        <f t="shared" si="154"/>
        <v>10.6</v>
      </c>
      <c r="QZ14" s="40">
        <f t="shared" si="155"/>
        <v>45.6</v>
      </c>
      <c r="RA14" s="40" t="str">
        <f t="shared" si="156"/>
        <v/>
      </c>
      <c r="RB14" s="40">
        <f t="shared" si="157"/>
        <v>10.6</v>
      </c>
      <c r="RC14" s="40">
        <f t="shared" si="158"/>
        <v>45.6</v>
      </c>
      <c r="RD14" s="40">
        <f t="shared" si="159"/>
        <v>12.4</v>
      </c>
      <c r="RE14" s="40">
        <f t="shared" si="160"/>
        <v>48.349999999999994</v>
      </c>
      <c r="RF14" s="40">
        <f t="shared" si="161"/>
        <v>93.949999999999989</v>
      </c>
    </row>
    <row r="15" spans="1:474" x14ac:dyDescent="0.2">
      <c r="A15" s="4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>12</v>
      </c>
      <c r="B15" s="4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>7</v>
      </c>
      <c r="C15" s="5" t="s">
        <v>137</v>
      </c>
      <c r="D15" s="4" t="s">
        <v>5</v>
      </c>
      <c r="E15" s="4">
        <v>2007</v>
      </c>
      <c r="F15" s="9">
        <f t="shared" si="0"/>
        <v>149.00000992000503</v>
      </c>
      <c r="G15" s="64"/>
      <c r="H15" s="3" t="str">
        <f t="shared" si="1"/>
        <v>P</v>
      </c>
      <c r="I15" s="3" t="str">
        <f t="shared" si="2"/>
        <v>P</v>
      </c>
      <c r="J15" s="36" t="str">
        <f t="shared" si="3"/>
        <v>National Team</v>
      </c>
      <c r="K15" s="3" t="str">
        <f t="shared" si="4"/>
        <v/>
      </c>
      <c r="L15" s="8">
        <f>IF(COUNT(AQ15,BT15,CW15)&gt;0,LARGE((AQ15,BT15,CW15),1),0)</f>
        <v>50.4</v>
      </c>
      <c r="M15" s="8" t="str">
        <f t="shared" si="5"/>
        <v>2024 3rd Domestic Trial</v>
      </c>
      <c r="N15" s="8">
        <f>IF(COUNT(AQ15,BT15,CW15)&gt;1,LARGE((AQ15,BT15,CW15),2),0)</f>
        <v>48.8</v>
      </c>
      <c r="O15" s="8" t="str">
        <f t="shared" si="6"/>
        <v>2025 Nationals</v>
      </c>
      <c r="P15" s="8">
        <f t="shared" si="7"/>
        <v>49.800000000000004</v>
      </c>
      <c r="Q15" s="8" t="str">
        <f t="shared" si="8"/>
        <v>2024 3rd Domestic Trial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18.7</v>
      </c>
      <c r="V15" s="19">
        <v>6.8</v>
      </c>
      <c r="W15" s="19">
        <v>0</v>
      </c>
      <c r="X15" s="19">
        <v>0</v>
      </c>
      <c r="Y15" s="19">
        <v>18.5</v>
      </c>
      <c r="Z15" s="19">
        <v>6.4</v>
      </c>
      <c r="AA15" s="19">
        <v>0</v>
      </c>
      <c r="AB15" s="19">
        <v>0</v>
      </c>
      <c r="AC15" s="19">
        <v>18.399999999999999</v>
      </c>
      <c r="AD15" s="19">
        <v>6</v>
      </c>
      <c r="AE15" s="19">
        <v>0</v>
      </c>
      <c r="AF15" s="19">
        <v>0</v>
      </c>
      <c r="AG15" s="19">
        <v>18.8</v>
      </c>
      <c r="AH15" s="19">
        <v>6.8</v>
      </c>
      <c r="AI15" s="19">
        <v>0.6</v>
      </c>
      <c r="AJ15" s="19">
        <v>0</v>
      </c>
      <c r="AK15" s="19">
        <v>18.600000000000001</v>
      </c>
      <c r="AL15" s="19">
        <v>6.4</v>
      </c>
      <c r="AM15" s="19">
        <v>0.2</v>
      </c>
      <c r="AN15" s="19">
        <v>0</v>
      </c>
      <c r="AO15" s="27"/>
      <c r="AP15" s="40">
        <f t="shared" si="12"/>
        <v>13.2</v>
      </c>
      <c r="AQ15" s="40">
        <f t="shared" si="13"/>
        <v>50.4</v>
      </c>
      <c r="AR15" s="40">
        <f t="shared" si="14"/>
        <v>24.4</v>
      </c>
      <c r="AS15" s="40">
        <f t="shared" si="15"/>
        <v>19.2</v>
      </c>
      <c r="AT15" s="40">
        <f t="shared" si="16"/>
        <v>74.8</v>
      </c>
      <c r="AU15" s="40">
        <f t="shared" si="17"/>
        <v>13.2</v>
      </c>
      <c r="AV15" s="40">
        <f t="shared" si="18"/>
        <v>49.800000000000004</v>
      </c>
      <c r="AW15" s="40">
        <f t="shared" si="19"/>
        <v>124.6</v>
      </c>
      <c r="AX15" s="18">
        <v>18.2</v>
      </c>
      <c r="AY15" s="18">
        <v>6.4</v>
      </c>
      <c r="AZ15" s="18">
        <v>0.6</v>
      </c>
      <c r="BA15" s="18">
        <v>0</v>
      </c>
      <c r="BB15" s="18">
        <v>17.8</v>
      </c>
      <c r="BC15" s="18">
        <v>6</v>
      </c>
      <c r="BD15" s="18">
        <v>1.6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12.4</v>
      </c>
      <c r="BT15" s="11">
        <f t="shared" si="21"/>
        <v>46.2</v>
      </c>
      <c r="BU15" s="11" t="str">
        <f t="shared" si="22"/>
        <v/>
      </c>
      <c r="BV15" s="11">
        <f t="shared" si="23"/>
        <v>12.4</v>
      </c>
      <c r="BW15" s="11">
        <f t="shared" si="24"/>
        <v>46.2</v>
      </c>
      <c r="BX15" s="11" t="str">
        <f t="shared" si="25"/>
        <v/>
      </c>
      <c r="BY15" s="11" t="str">
        <f t="shared" si="26"/>
        <v/>
      </c>
      <c r="BZ15" s="11">
        <f t="shared" si="27"/>
        <v>46.2</v>
      </c>
      <c r="CA15" s="19">
        <v>18.600000000000001</v>
      </c>
      <c r="CB15" s="19">
        <v>7.2</v>
      </c>
      <c r="CC15" s="19">
        <v>0.2</v>
      </c>
      <c r="CD15" s="19">
        <v>0</v>
      </c>
      <c r="CE15" s="19">
        <v>18</v>
      </c>
      <c r="CF15" s="19">
        <v>6</v>
      </c>
      <c r="CG15" s="19">
        <v>0.8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13.2</v>
      </c>
      <c r="CW15" s="40">
        <f t="shared" si="29"/>
        <v>48.8</v>
      </c>
      <c r="CX15" s="40" t="str">
        <f t="shared" si="30"/>
        <v/>
      </c>
      <c r="CY15" s="40">
        <f t="shared" si="31"/>
        <v>13.2</v>
      </c>
      <c r="CZ15" s="40">
        <f t="shared" si="32"/>
        <v>48.8</v>
      </c>
      <c r="DA15" s="40" t="str">
        <f t="shared" si="33"/>
        <v/>
      </c>
      <c r="DB15" s="40" t="str">
        <f t="shared" si="34"/>
        <v/>
      </c>
      <c r="DC15" s="40">
        <f t="shared" si="35"/>
        <v>48.8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18.399999999999999</v>
      </c>
      <c r="QE15" s="22">
        <f t="shared" si="135"/>
        <v>6.8000000000000007</v>
      </c>
      <c r="QF15" s="22">
        <f t="shared" si="136"/>
        <v>0.4</v>
      </c>
      <c r="QG15" s="22">
        <f t="shared" si="137"/>
        <v>0</v>
      </c>
      <c r="QH15" s="22">
        <f t="shared" si="138"/>
        <v>17.899999999999999</v>
      </c>
      <c r="QI15" s="22">
        <f t="shared" si="139"/>
        <v>6</v>
      </c>
      <c r="QJ15" s="22">
        <f t="shared" si="140"/>
        <v>1.2000000000000002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0</v>
      </c>
      <c r="QQ15" s="22">
        <f t="shared" si="147"/>
        <v>0</v>
      </c>
      <c r="QR15" s="22">
        <f t="shared" si="148"/>
        <v>0</v>
      </c>
      <c r="QS15" s="22">
        <f t="shared" si="149"/>
        <v>0</v>
      </c>
      <c r="QT15" s="22">
        <f t="shared" si="150"/>
        <v>0</v>
      </c>
      <c r="QU15" s="22">
        <f t="shared" si="151"/>
        <v>0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12.8</v>
      </c>
      <c r="QZ15" s="40">
        <f t="shared" si="155"/>
        <v>47.499999999999993</v>
      </c>
      <c r="RA15" s="40" t="str">
        <f t="shared" si="156"/>
        <v/>
      </c>
      <c r="RB15" s="40">
        <f t="shared" si="157"/>
        <v>12.8</v>
      </c>
      <c r="RC15" s="40">
        <f t="shared" si="158"/>
        <v>47.499999999999993</v>
      </c>
      <c r="RD15" s="40" t="str">
        <f t="shared" si="159"/>
        <v/>
      </c>
      <c r="RE15" s="40" t="str">
        <f t="shared" si="160"/>
        <v/>
      </c>
      <c r="RF15" s="40">
        <f t="shared" si="161"/>
        <v>47.499999999999993</v>
      </c>
    </row>
    <row r="16" spans="1:474" x14ac:dyDescent="0.2">
      <c r="A16" s="4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>13</v>
      </c>
      <c r="B16" s="4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>8</v>
      </c>
      <c r="C16" s="5" t="s">
        <v>135</v>
      </c>
      <c r="D16" s="4" t="s">
        <v>5</v>
      </c>
      <c r="E16" s="4">
        <v>2007</v>
      </c>
      <c r="F16" s="9">
        <f t="shared" si="0"/>
        <v>148.30000985000504</v>
      </c>
      <c r="G16" s="64"/>
      <c r="H16" s="3" t="str">
        <f t="shared" si="1"/>
        <v>P</v>
      </c>
      <c r="I16" s="3" t="str">
        <f t="shared" si="2"/>
        <v>P</v>
      </c>
      <c r="J16" s="36" t="str">
        <f t="shared" si="3"/>
        <v>National Team</v>
      </c>
      <c r="K16" s="3" t="str">
        <f t="shared" si="4"/>
        <v/>
      </c>
      <c r="L16" s="8">
        <f>IF(COUNT(AQ16,BT16,CW16)&gt;0,LARGE((AQ16,BT16,CW16),1),0)</f>
        <v>50.4</v>
      </c>
      <c r="M16" s="8" t="str">
        <f t="shared" si="5"/>
        <v>2024 3rd Domestic Trial</v>
      </c>
      <c r="N16" s="8">
        <f>IF(COUNT(AQ16,BT16,CW16)&gt;1,LARGE((AQ16,BT16,CW16),2),0)</f>
        <v>48.099999999999994</v>
      </c>
      <c r="O16" s="8" t="str">
        <f t="shared" si="6"/>
        <v>2025 Elite Canada</v>
      </c>
      <c r="P16" s="8">
        <f t="shared" si="7"/>
        <v>49.800000000000004</v>
      </c>
      <c r="Q16" s="8" t="str">
        <f t="shared" si="8"/>
        <v>2024 3rd Domestic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18.8</v>
      </c>
      <c r="V16" s="19">
        <v>6</v>
      </c>
      <c r="W16" s="19">
        <v>0.2</v>
      </c>
      <c r="X16" s="19">
        <v>0</v>
      </c>
      <c r="Y16" s="19">
        <v>18.8</v>
      </c>
      <c r="Z16" s="19">
        <v>7.2</v>
      </c>
      <c r="AA16" s="19">
        <v>0.2</v>
      </c>
      <c r="AB16" s="19">
        <v>0</v>
      </c>
      <c r="AC16" s="19">
        <v>18.600000000000001</v>
      </c>
      <c r="AD16" s="19">
        <v>5.6</v>
      </c>
      <c r="AE16" s="19">
        <v>0.4</v>
      </c>
      <c r="AF16" s="19">
        <v>0</v>
      </c>
      <c r="AG16" s="19">
        <v>19</v>
      </c>
      <c r="AH16" s="19">
        <v>6</v>
      </c>
      <c r="AI16" s="19">
        <v>0</v>
      </c>
      <c r="AJ16" s="19">
        <v>0</v>
      </c>
      <c r="AK16" s="19">
        <v>18.399999999999999</v>
      </c>
      <c r="AL16" s="19">
        <v>7.2</v>
      </c>
      <c r="AM16" s="19">
        <v>0.8</v>
      </c>
      <c r="AN16" s="19">
        <v>0</v>
      </c>
      <c r="AO16" s="27"/>
      <c r="AP16" s="40">
        <f t="shared" si="12"/>
        <v>13.2</v>
      </c>
      <c r="AQ16" s="40">
        <f t="shared" si="13"/>
        <v>50.4</v>
      </c>
      <c r="AR16" s="40">
        <f t="shared" si="14"/>
        <v>23.800000000000004</v>
      </c>
      <c r="AS16" s="40">
        <f t="shared" si="15"/>
        <v>18.799999999999997</v>
      </c>
      <c r="AT16" s="40">
        <f t="shared" si="16"/>
        <v>74.2</v>
      </c>
      <c r="AU16" s="40">
        <f t="shared" si="17"/>
        <v>13.2</v>
      </c>
      <c r="AV16" s="40">
        <f t="shared" si="18"/>
        <v>49.800000000000004</v>
      </c>
      <c r="AW16" s="40">
        <f t="shared" si="19"/>
        <v>124</v>
      </c>
      <c r="AX16" s="18">
        <v>18</v>
      </c>
      <c r="AY16" s="18">
        <v>6.8</v>
      </c>
      <c r="AZ16" s="18">
        <v>0.2</v>
      </c>
      <c r="BA16" s="18">
        <v>0</v>
      </c>
      <c r="BB16" s="18">
        <v>18.3</v>
      </c>
      <c r="BC16" s="18">
        <v>6.4</v>
      </c>
      <c r="BD16" s="18">
        <v>1.2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 t="shared" si="20"/>
        <v>13.2</v>
      </c>
      <c r="BT16" s="11">
        <f t="shared" si="21"/>
        <v>48.099999999999994</v>
      </c>
      <c r="BU16" s="11" t="str">
        <f t="shared" si="22"/>
        <v/>
      </c>
      <c r="BV16" s="11">
        <f t="shared" si="23"/>
        <v>13.2</v>
      </c>
      <c r="BW16" s="11">
        <f t="shared" si="24"/>
        <v>48.099999999999994</v>
      </c>
      <c r="BX16" s="11" t="str">
        <f t="shared" si="25"/>
        <v/>
      </c>
      <c r="BY16" s="11" t="str">
        <f t="shared" si="26"/>
        <v/>
      </c>
      <c r="BZ16" s="11">
        <f t="shared" si="27"/>
        <v>48.099999999999994</v>
      </c>
      <c r="CA16" s="19">
        <v>16.8</v>
      </c>
      <c r="CB16" s="19">
        <v>6.8</v>
      </c>
      <c r="CC16" s="19">
        <v>0.8</v>
      </c>
      <c r="CD16" s="19">
        <v>0</v>
      </c>
      <c r="CE16" s="19">
        <v>18.3</v>
      </c>
      <c r="CF16" s="19">
        <v>5.6</v>
      </c>
      <c r="CG16" s="19">
        <v>1.8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8"/>
        <v>12.399999999999999</v>
      </c>
      <c r="CW16" s="40">
        <f t="shared" si="29"/>
        <v>44.900000000000013</v>
      </c>
      <c r="CX16" s="40" t="str">
        <f t="shared" si="30"/>
        <v/>
      </c>
      <c r="CY16" s="40">
        <f t="shared" si="31"/>
        <v>12.399999999999999</v>
      </c>
      <c r="CZ16" s="40">
        <f t="shared" si="32"/>
        <v>44.900000000000013</v>
      </c>
      <c r="DA16" s="40" t="str">
        <f t="shared" si="33"/>
        <v/>
      </c>
      <c r="DB16" s="40" t="str">
        <f t="shared" si="34"/>
        <v/>
      </c>
      <c r="DC16" s="40">
        <f t="shared" si="35"/>
        <v>44.900000000000013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17.399999999999999</v>
      </c>
      <c r="QE16" s="22">
        <f t="shared" si="135"/>
        <v>6.8</v>
      </c>
      <c r="QF16" s="22">
        <f t="shared" si="136"/>
        <v>0.5</v>
      </c>
      <c r="QG16" s="22">
        <f t="shared" si="137"/>
        <v>0</v>
      </c>
      <c r="QH16" s="22">
        <f t="shared" si="138"/>
        <v>18.3</v>
      </c>
      <c r="QI16" s="22">
        <f t="shared" si="139"/>
        <v>6</v>
      </c>
      <c r="QJ16" s="22">
        <f t="shared" si="140"/>
        <v>1.5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0</v>
      </c>
      <c r="QQ16" s="22">
        <f t="shared" si="147"/>
        <v>0</v>
      </c>
      <c r="QR16" s="22">
        <f t="shared" si="148"/>
        <v>0</v>
      </c>
      <c r="QS16" s="22">
        <f t="shared" si="149"/>
        <v>0</v>
      </c>
      <c r="QT16" s="22">
        <f t="shared" si="150"/>
        <v>0</v>
      </c>
      <c r="QU16" s="22">
        <f t="shared" si="151"/>
        <v>0</v>
      </c>
      <c r="QV16" s="22">
        <f t="shared" si="152"/>
        <v>0</v>
      </c>
      <c r="QW16" s="22">
        <f t="shared" si="153"/>
        <v>0</v>
      </c>
      <c r="QX16" s="27" t="s">
        <v>46</v>
      </c>
      <c r="QY16" s="40">
        <f t="shared" si="154"/>
        <v>12.8</v>
      </c>
      <c r="QZ16" s="40">
        <f t="shared" si="155"/>
        <v>46.5</v>
      </c>
      <c r="RA16" s="40" t="str">
        <f t="shared" si="156"/>
        <v/>
      </c>
      <c r="RB16" s="40">
        <f t="shared" si="157"/>
        <v>12.8</v>
      </c>
      <c r="RC16" s="40">
        <f t="shared" si="158"/>
        <v>46.5</v>
      </c>
      <c r="RD16" s="40" t="str">
        <f t="shared" si="159"/>
        <v/>
      </c>
      <c r="RE16" s="40" t="str">
        <f t="shared" si="160"/>
        <v/>
      </c>
      <c r="RF16" s="40">
        <f t="shared" si="161"/>
        <v>46.5</v>
      </c>
    </row>
    <row r="17" spans="1:474" x14ac:dyDescent="0.2">
      <c r="A17" s="4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>14</v>
      </c>
      <c r="B17" s="4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>9</v>
      </c>
      <c r="C17" s="5" t="s">
        <v>127</v>
      </c>
      <c r="D17" s="4" t="s">
        <v>4</v>
      </c>
      <c r="E17" s="4">
        <v>2007</v>
      </c>
      <c r="F17" s="9">
        <f t="shared" si="0"/>
        <v>148.00000975000512</v>
      </c>
      <c r="G17" s="64"/>
      <c r="H17" s="3" t="str">
        <f t="shared" si="1"/>
        <v>P</v>
      </c>
      <c r="I17" s="3" t="str">
        <f t="shared" si="2"/>
        <v>P</v>
      </c>
      <c r="J17" s="36" t="str">
        <f t="shared" si="3"/>
        <v>National Team</v>
      </c>
      <c r="K17" s="3" t="str">
        <f t="shared" si="4"/>
        <v/>
      </c>
      <c r="L17" s="8">
        <f>IF(COUNT(AQ17,BT17,CW17)&gt;0,LARGE((AQ17,BT17,CW17),1),0)</f>
        <v>51.099999999999994</v>
      </c>
      <c r="M17" s="8" t="str">
        <f t="shared" si="5"/>
        <v>2024 3rd Domestic Trial</v>
      </c>
      <c r="N17" s="8">
        <f>IF(COUNT(AQ17,BT17,CW17)&gt;1,LARGE((AQ17,BT17,CW17),2),0)</f>
        <v>46.4</v>
      </c>
      <c r="O17" s="8" t="str">
        <f t="shared" si="6"/>
        <v>2025 Elite Canada</v>
      </c>
      <c r="P17" s="8">
        <f t="shared" si="7"/>
        <v>50.5</v>
      </c>
      <c r="Q17" s="8" t="str">
        <f t="shared" si="8"/>
        <v>2024 3rd Domestic Trial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18.899999999999999</v>
      </c>
      <c r="V17" s="19">
        <v>7.2</v>
      </c>
      <c r="W17" s="19">
        <v>0.6</v>
      </c>
      <c r="X17" s="19">
        <v>0</v>
      </c>
      <c r="Y17" s="19">
        <v>18.8</v>
      </c>
      <c r="Z17" s="19">
        <v>6.8</v>
      </c>
      <c r="AA17" s="19">
        <v>0</v>
      </c>
      <c r="AB17" s="19">
        <v>0</v>
      </c>
      <c r="AC17" s="19">
        <v>18.7</v>
      </c>
      <c r="AD17" s="19">
        <v>6</v>
      </c>
      <c r="AE17" s="19">
        <v>0</v>
      </c>
      <c r="AF17" s="19">
        <v>0</v>
      </c>
      <c r="AG17" s="19">
        <v>18.7</v>
      </c>
      <c r="AH17" s="19">
        <v>7.2</v>
      </c>
      <c r="AI17" s="19">
        <v>0.6</v>
      </c>
      <c r="AJ17" s="19">
        <v>0</v>
      </c>
      <c r="AK17" s="19">
        <v>18.600000000000001</v>
      </c>
      <c r="AL17" s="19">
        <v>6.8</v>
      </c>
      <c r="AM17" s="19">
        <v>0.2</v>
      </c>
      <c r="AN17" s="19">
        <v>0</v>
      </c>
      <c r="AO17" s="27"/>
      <c r="AP17" s="40">
        <f t="shared" si="12"/>
        <v>14</v>
      </c>
      <c r="AQ17" s="40">
        <f t="shared" si="13"/>
        <v>51.099999999999994</v>
      </c>
      <c r="AR17" s="40">
        <f t="shared" si="14"/>
        <v>24.7</v>
      </c>
      <c r="AS17" s="40">
        <f t="shared" si="15"/>
        <v>20</v>
      </c>
      <c r="AT17" s="40">
        <f t="shared" si="16"/>
        <v>75.8</v>
      </c>
      <c r="AU17" s="40">
        <f t="shared" si="17"/>
        <v>14</v>
      </c>
      <c r="AV17" s="40">
        <f t="shared" si="18"/>
        <v>50.5</v>
      </c>
      <c r="AW17" s="40">
        <f t="shared" si="19"/>
        <v>126.3</v>
      </c>
      <c r="AX17" s="18">
        <v>19</v>
      </c>
      <c r="AY17" s="18">
        <v>7.2</v>
      </c>
      <c r="AZ17" s="18">
        <v>0.2</v>
      </c>
      <c r="BA17" s="18">
        <v>0</v>
      </c>
      <c r="BB17" s="18">
        <v>16.2</v>
      </c>
      <c r="BC17" s="18">
        <v>6</v>
      </c>
      <c r="BD17" s="18">
        <v>1.8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13.2</v>
      </c>
      <c r="BT17" s="11">
        <f t="shared" si="21"/>
        <v>46.4</v>
      </c>
      <c r="BU17" s="11" t="str">
        <f t="shared" si="22"/>
        <v/>
      </c>
      <c r="BV17" s="11">
        <f t="shared" si="23"/>
        <v>13.2</v>
      </c>
      <c r="BW17" s="11">
        <f t="shared" si="24"/>
        <v>46.4</v>
      </c>
      <c r="BX17" s="11" t="str">
        <f t="shared" si="25"/>
        <v/>
      </c>
      <c r="BY17" s="11" t="str">
        <f t="shared" si="26"/>
        <v/>
      </c>
      <c r="BZ17" s="11">
        <f t="shared" si="27"/>
        <v>46.4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 t="shared" si="28"/>
        <v/>
      </c>
      <c r="CW17" s="40" t="str">
        <f t="shared" si="29"/>
        <v/>
      </c>
      <c r="CX17" s="40" t="str">
        <f t="shared" si="30"/>
        <v/>
      </c>
      <c r="CY17" s="40" t="str">
        <f t="shared" si="31"/>
        <v/>
      </c>
      <c r="CZ17" s="40" t="str">
        <f t="shared" si="32"/>
        <v/>
      </c>
      <c r="DA17" s="40" t="str">
        <f t="shared" si="33"/>
        <v/>
      </c>
      <c r="DB17" s="40" t="str">
        <f t="shared" si="34"/>
        <v/>
      </c>
      <c r="DC17" s="40" t="str">
        <f t="shared" si="35"/>
        <v/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9.5</v>
      </c>
      <c r="QE17" s="22">
        <f t="shared" si="135"/>
        <v>3.6</v>
      </c>
      <c r="QF17" s="22">
        <f t="shared" si="136"/>
        <v>0.1</v>
      </c>
      <c r="QG17" s="22">
        <f t="shared" si="137"/>
        <v>0</v>
      </c>
      <c r="QH17" s="22">
        <f t="shared" si="138"/>
        <v>8.1</v>
      </c>
      <c r="QI17" s="22">
        <f t="shared" si="139"/>
        <v>3</v>
      </c>
      <c r="QJ17" s="22">
        <f t="shared" si="140"/>
        <v>0.9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0</v>
      </c>
      <c r="QQ17" s="22">
        <f t="shared" si="147"/>
        <v>0</v>
      </c>
      <c r="QR17" s="22">
        <f t="shared" si="148"/>
        <v>0</v>
      </c>
      <c r="QS17" s="22">
        <f t="shared" si="149"/>
        <v>0</v>
      </c>
      <c r="QT17" s="22">
        <f t="shared" si="150"/>
        <v>0</v>
      </c>
      <c r="QU17" s="22">
        <f t="shared" si="151"/>
        <v>0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6.6</v>
      </c>
      <c r="QZ17" s="40">
        <f t="shared" si="155"/>
        <v>23.2</v>
      </c>
      <c r="RA17" s="40" t="str">
        <f t="shared" si="156"/>
        <v/>
      </c>
      <c r="RB17" s="40">
        <f t="shared" si="157"/>
        <v>6.6</v>
      </c>
      <c r="RC17" s="40">
        <f t="shared" si="158"/>
        <v>23.2</v>
      </c>
      <c r="RD17" s="40" t="str">
        <f t="shared" si="159"/>
        <v/>
      </c>
      <c r="RE17" s="40" t="str">
        <f t="shared" si="160"/>
        <v/>
      </c>
      <c r="RF17" s="40">
        <f t="shared" si="161"/>
        <v>23.2</v>
      </c>
    </row>
    <row r="18" spans="1:474" x14ac:dyDescent="0.2">
      <c r="A18" s="4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>15</v>
      </c>
      <c r="B18" s="4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>10</v>
      </c>
      <c r="C18" s="5" t="s">
        <v>165</v>
      </c>
      <c r="D18" s="4" t="s">
        <v>4</v>
      </c>
      <c r="E18" s="4">
        <v>2008</v>
      </c>
      <c r="F18" s="9">
        <f t="shared" si="0"/>
        <v>140.95000948000509</v>
      </c>
      <c r="H18" s="3" t="str">
        <f t="shared" si="1"/>
        <v>P</v>
      </c>
      <c r="I18" s="3" t="str">
        <f t="shared" si="2"/>
        <v>P</v>
      </c>
      <c r="J18" s="36" t="str">
        <f t="shared" si="3"/>
        <v>National Team</v>
      </c>
      <c r="K18" s="3" t="str">
        <f t="shared" si="4"/>
        <v/>
      </c>
      <c r="L18" s="8">
        <f>IF(COUNT(AQ18,BT18,CW18)&gt;0,LARGE((AQ18,BT18,CW18),1),0)</f>
        <v>51.1</v>
      </c>
      <c r="M18" s="8" t="str">
        <f t="shared" si="5"/>
        <v>2024 3rd Domestic Trial</v>
      </c>
      <c r="N18" s="8">
        <f>IF(COUNT(AQ18,BT18,CW18)&gt;1,LARGE((AQ18,BT18,CW18),2),0)</f>
        <v>43.699999999999996</v>
      </c>
      <c r="O18" s="8" t="str">
        <f t="shared" si="6"/>
        <v>2025 Nationals</v>
      </c>
      <c r="P18" s="8">
        <f t="shared" si="7"/>
        <v>46.15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16.7</v>
      </c>
      <c r="V18" s="19">
        <v>8.1</v>
      </c>
      <c r="W18" s="19">
        <v>0</v>
      </c>
      <c r="X18" s="19">
        <v>0</v>
      </c>
      <c r="Y18" s="19">
        <v>18.7</v>
      </c>
      <c r="Z18" s="19">
        <v>8.4</v>
      </c>
      <c r="AA18" s="19">
        <v>0.8</v>
      </c>
      <c r="AB18" s="19">
        <v>0</v>
      </c>
      <c r="AC18" s="19">
        <v>18.399999999999999</v>
      </c>
      <c r="AD18" s="19">
        <v>8.1</v>
      </c>
      <c r="AE18" s="19">
        <v>0</v>
      </c>
      <c r="AF18" s="19">
        <v>0</v>
      </c>
      <c r="AG18" s="19">
        <v>19</v>
      </c>
      <c r="AH18" s="19">
        <v>8.4</v>
      </c>
      <c r="AI18" s="19">
        <v>0</v>
      </c>
      <c r="AJ18" s="19">
        <v>0</v>
      </c>
      <c r="AK18" s="19">
        <v>18.75</v>
      </c>
      <c r="AL18" s="19">
        <v>0</v>
      </c>
      <c r="AM18" s="19">
        <v>0</v>
      </c>
      <c r="AN18" s="19">
        <v>0</v>
      </c>
      <c r="AO18" s="27"/>
      <c r="AP18" s="40">
        <f t="shared" si="12"/>
        <v>16.5</v>
      </c>
      <c r="AQ18" s="40">
        <f t="shared" si="13"/>
        <v>51.1</v>
      </c>
      <c r="AR18" s="40">
        <f t="shared" si="14"/>
        <v>26.5</v>
      </c>
      <c r="AS18" s="40">
        <f t="shared" si="15"/>
        <v>24.6</v>
      </c>
      <c r="AT18" s="40">
        <f t="shared" si="16"/>
        <v>77.599999999999994</v>
      </c>
      <c r="AU18" s="40">
        <f t="shared" si="17"/>
        <v>8.4</v>
      </c>
      <c r="AV18" s="40">
        <f t="shared" si="18"/>
        <v>46.15</v>
      </c>
      <c r="AW18" s="40">
        <f t="shared" si="19"/>
        <v>123.75</v>
      </c>
      <c r="AX18" s="18">
        <v>0</v>
      </c>
      <c r="AY18" s="18">
        <v>0</v>
      </c>
      <c r="AZ18" s="18">
        <v>0</v>
      </c>
      <c r="BA18" s="18">
        <v>0</v>
      </c>
      <c r="BB18" s="18">
        <v>18.2</v>
      </c>
      <c r="BC18" s="18">
        <v>8.1</v>
      </c>
      <c r="BD18" s="18">
        <v>0.2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0"/>
        <v>8.1</v>
      </c>
      <c r="BT18" s="11">
        <f t="shared" si="21"/>
        <v>26.099999999999998</v>
      </c>
      <c r="BU18" s="11" t="str">
        <f t="shared" si="22"/>
        <v/>
      </c>
      <c r="BV18" s="11">
        <f t="shared" si="23"/>
        <v>8.1</v>
      </c>
      <c r="BW18" s="11">
        <f t="shared" si="24"/>
        <v>26.099999999999998</v>
      </c>
      <c r="BX18" s="11" t="str">
        <f t="shared" si="25"/>
        <v/>
      </c>
      <c r="BY18" s="11" t="str">
        <f t="shared" si="26"/>
        <v/>
      </c>
      <c r="BZ18" s="11">
        <f t="shared" si="27"/>
        <v>26.099999999999998</v>
      </c>
      <c r="CA18" s="19">
        <v>15.4</v>
      </c>
      <c r="CB18" s="19">
        <v>2.8</v>
      </c>
      <c r="CC18" s="19">
        <v>0</v>
      </c>
      <c r="CD18" s="19">
        <v>0</v>
      </c>
      <c r="CE18" s="19">
        <v>18.100000000000001</v>
      </c>
      <c r="CF18" s="19">
        <v>8</v>
      </c>
      <c r="CG18" s="19">
        <v>0.6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10.8</v>
      </c>
      <c r="CW18" s="40">
        <f t="shared" si="29"/>
        <v>43.699999999999996</v>
      </c>
      <c r="CX18" s="40" t="str">
        <f t="shared" si="30"/>
        <v/>
      </c>
      <c r="CY18" s="40">
        <f t="shared" si="31"/>
        <v>10.8</v>
      </c>
      <c r="CZ18" s="40">
        <f t="shared" si="32"/>
        <v>43.699999999999996</v>
      </c>
      <c r="DA18" s="40" t="str">
        <f t="shared" si="33"/>
        <v/>
      </c>
      <c r="DB18" s="40" t="str">
        <f t="shared" si="34"/>
        <v/>
      </c>
      <c r="DC18" s="40">
        <f t="shared" si="35"/>
        <v>43.699999999999996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7.7</v>
      </c>
      <c r="QE18" s="22">
        <f t="shared" si="135"/>
        <v>1.4</v>
      </c>
      <c r="QF18" s="22">
        <f t="shared" si="136"/>
        <v>0</v>
      </c>
      <c r="QG18" s="22">
        <f t="shared" si="137"/>
        <v>0</v>
      </c>
      <c r="QH18" s="22">
        <f t="shared" si="138"/>
        <v>18.149999999999999</v>
      </c>
      <c r="QI18" s="22">
        <f t="shared" si="139"/>
        <v>8.0500000000000007</v>
      </c>
      <c r="QJ18" s="22">
        <f t="shared" si="140"/>
        <v>0.4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0</v>
      </c>
      <c r="QQ18" s="22">
        <f t="shared" si="147"/>
        <v>0</v>
      </c>
      <c r="QR18" s="22">
        <f t="shared" si="148"/>
        <v>0</v>
      </c>
      <c r="QS18" s="22">
        <f t="shared" si="149"/>
        <v>0</v>
      </c>
      <c r="QT18" s="22">
        <f t="shared" si="150"/>
        <v>0</v>
      </c>
      <c r="QU18" s="22">
        <f t="shared" si="151"/>
        <v>0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9.4500000000000011</v>
      </c>
      <c r="QZ18" s="40">
        <f t="shared" si="155"/>
        <v>34.9</v>
      </c>
      <c r="RA18" s="40" t="str">
        <f t="shared" si="156"/>
        <v/>
      </c>
      <c r="RB18" s="40">
        <f t="shared" si="157"/>
        <v>9.4500000000000011</v>
      </c>
      <c r="RC18" s="40">
        <f t="shared" si="158"/>
        <v>34.9</v>
      </c>
      <c r="RD18" s="40" t="str">
        <f t="shared" si="159"/>
        <v/>
      </c>
      <c r="RE18" s="40" t="str">
        <f t="shared" si="160"/>
        <v/>
      </c>
      <c r="RF18" s="40">
        <f t="shared" si="161"/>
        <v>34.9</v>
      </c>
    </row>
    <row r="19" spans="1:474" x14ac:dyDescent="0.2">
      <c r="A19" s="4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>16</v>
      </c>
      <c r="B19" s="4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>11</v>
      </c>
      <c r="C19" s="5" t="s">
        <v>115</v>
      </c>
      <c r="D19" s="4" t="s">
        <v>5</v>
      </c>
      <c r="E19" s="4">
        <v>2006</v>
      </c>
      <c r="F19" s="9">
        <f t="shared" si="0"/>
        <v>99.000009900004983</v>
      </c>
      <c r="G19" s="64"/>
      <c r="H19" s="3" t="str">
        <f t="shared" si="1"/>
        <v>P</v>
      </c>
      <c r="I19" s="3" t="str">
        <f t="shared" si="2"/>
        <v>P</v>
      </c>
      <c r="J19" s="36" t="str">
        <f t="shared" si="3"/>
        <v>National Team</v>
      </c>
      <c r="K19" s="3" t="str">
        <f t="shared" si="4"/>
        <v/>
      </c>
      <c r="L19" s="8">
        <f>IF(COUNT(AQ19,BT19,CW19)&gt;0,LARGE((AQ19,BT19,CW19),1),0)</f>
        <v>49.900000000000006</v>
      </c>
      <c r="M19" s="8" t="str">
        <f t="shared" si="5"/>
        <v>2025 Nationals</v>
      </c>
      <c r="N19" s="8">
        <f>IF(COUNT(AQ19,BT19,CW19)&gt;1,LARGE((AQ19,BT19,CW19),2),0)</f>
        <v>49.099999999999994</v>
      </c>
      <c r="O19" s="8" t="str">
        <f t="shared" si="6"/>
        <v>2024 3rd Domestic Trial</v>
      </c>
      <c r="P19" s="8">
        <f t="shared" si="7"/>
        <v>0</v>
      </c>
      <c r="Q19" s="8" t="str">
        <f t="shared" si="8"/>
        <v/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18.7</v>
      </c>
      <c r="V19" s="19">
        <v>6</v>
      </c>
      <c r="W19" s="19">
        <v>0</v>
      </c>
      <c r="X19" s="19">
        <v>0</v>
      </c>
      <c r="Y19" s="19">
        <v>18.600000000000001</v>
      </c>
      <c r="Z19" s="19">
        <v>6</v>
      </c>
      <c r="AA19" s="19">
        <v>0.2</v>
      </c>
      <c r="AB19" s="19">
        <v>0</v>
      </c>
      <c r="AC19" s="19">
        <v>17.100000000000001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12</v>
      </c>
      <c r="AQ19" s="40">
        <f t="shared" si="13"/>
        <v>49.099999999999994</v>
      </c>
      <c r="AR19" s="40">
        <f t="shared" si="14"/>
        <v>20.3</v>
      </c>
      <c r="AS19" s="40">
        <f t="shared" si="15"/>
        <v>15.2</v>
      </c>
      <c r="AT19" s="40">
        <f t="shared" si="16"/>
        <v>69.399999999999991</v>
      </c>
      <c r="AU19" s="40" t="str">
        <f t="shared" si="17"/>
        <v/>
      </c>
      <c r="AV19" s="40" t="str">
        <f t="shared" si="18"/>
        <v/>
      </c>
      <c r="AW19" s="40">
        <f t="shared" si="19"/>
        <v>69.399999999999991</v>
      </c>
      <c r="AX19" s="18">
        <v>17.7</v>
      </c>
      <c r="AY19" s="18">
        <v>5.6</v>
      </c>
      <c r="AZ19" s="18">
        <v>1.6</v>
      </c>
      <c r="BA19" s="18">
        <v>0</v>
      </c>
      <c r="BB19" s="18">
        <v>18.7</v>
      </c>
      <c r="BC19" s="18">
        <v>7.2</v>
      </c>
      <c r="BD19" s="18">
        <v>0.8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0"/>
        <v>12.8</v>
      </c>
      <c r="BT19" s="11">
        <f t="shared" si="21"/>
        <v>46.800000000000004</v>
      </c>
      <c r="BU19" s="11" t="str">
        <f t="shared" si="22"/>
        <v/>
      </c>
      <c r="BV19" s="11">
        <f t="shared" si="23"/>
        <v>12.8</v>
      </c>
      <c r="BW19" s="11">
        <f t="shared" si="24"/>
        <v>46.800000000000004</v>
      </c>
      <c r="BX19" s="11" t="str">
        <f t="shared" si="25"/>
        <v/>
      </c>
      <c r="BY19" s="11" t="str">
        <f t="shared" si="26"/>
        <v/>
      </c>
      <c r="BZ19" s="11">
        <f t="shared" si="27"/>
        <v>46.800000000000004</v>
      </c>
      <c r="CA19" s="19">
        <v>18.2</v>
      </c>
      <c r="CB19" s="19">
        <v>8</v>
      </c>
      <c r="CC19" s="19">
        <v>0.8</v>
      </c>
      <c r="CD19" s="19">
        <v>0</v>
      </c>
      <c r="CE19" s="19">
        <v>18</v>
      </c>
      <c r="CF19" s="19">
        <v>7.3</v>
      </c>
      <c r="CG19" s="19">
        <v>0.8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15.3</v>
      </c>
      <c r="CW19" s="40">
        <f t="shared" si="29"/>
        <v>49.900000000000006</v>
      </c>
      <c r="CX19" s="40" t="str">
        <f t="shared" si="30"/>
        <v/>
      </c>
      <c r="CY19" s="40">
        <f t="shared" si="31"/>
        <v>15.3</v>
      </c>
      <c r="CZ19" s="40">
        <f t="shared" si="32"/>
        <v>49.900000000000006</v>
      </c>
      <c r="DA19" s="40" t="str">
        <f t="shared" si="33"/>
        <v/>
      </c>
      <c r="DB19" s="40" t="str">
        <f t="shared" si="34"/>
        <v/>
      </c>
      <c r="DC19" s="40">
        <f t="shared" si="35"/>
        <v>49.900000000000006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17.95</v>
      </c>
      <c r="QE19" s="22">
        <f t="shared" si="135"/>
        <v>6.8</v>
      </c>
      <c r="QF19" s="22">
        <f t="shared" si="136"/>
        <v>1.2000000000000002</v>
      </c>
      <c r="QG19" s="22">
        <f t="shared" si="137"/>
        <v>0</v>
      </c>
      <c r="QH19" s="22">
        <f t="shared" si="138"/>
        <v>18.350000000000001</v>
      </c>
      <c r="QI19" s="22">
        <f t="shared" si="139"/>
        <v>7.25</v>
      </c>
      <c r="QJ19" s="22">
        <f t="shared" si="140"/>
        <v>0.8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14.05</v>
      </c>
      <c r="QZ19" s="40">
        <f t="shared" si="155"/>
        <v>48.35</v>
      </c>
      <c r="RA19" s="40" t="str">
        <f t="shared" si="156"/>
        <v/>
      </c>
      <c r="RB19" s="40">
        <f t="shared" si="157"/>
        <v>14.05</v>
      </c>
      <c r="RC19" s="40">
        <f t="shared" si="158"/>
        <v>48.35</v>
      </c>
      <c r="RD19" s="40" t="str">
        <f t="shared" si="159"/>
        <v/>
      </c>
      <c r="RE19" s="40" t="str">
        <f t="shared" si="160"/>
        <v/>
      </c>
      <c r="RF19" s="40">
        <f t="shared" si="161"/>
        <v>48.35</v>
      </c>
    </row>
    <row r="20" spans="1:474" x14ac:dyDescent="0.2">
      <c r="A20" s="4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>17</v>
      </c>
      <c r="B20" s="4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>12</v>
      </c>
      <c r="C20" s="5" t="s">
        <v>99</v>
      </c>
      <c r="D20" s="4" t="s">
        <v>92</v>
      </c>
      <c r="E20" s="4">
        <v>2005</v>
      </c>
      <c r="F20" s="9">
        <f t="shared" si="0"/>
        <v>94.700009470005114</v>
      </c>
      <c r="G20" s="64"/>
      <c r="H20" s="3" t="str">
        <f t="shared" si="1"/>
        <v>P</v>
      </c>
      <c r="I20" s="3" t="str">
        <f t="shared" si="2"/>
        <v>P</v>
      </c>
      <c r="J20" s="36" t="str">
        <f t="shared" si="3"/>
        <v>National Team</v>
      </c>
      <c r="K20" s="3" t="str">
        <f t="shared" si="4"/>
        <v/>
      </c>
      <c r="L20" s="8">
        <f>IF(COUNT(AQ20,BT20,CW20)&gt;0,LARGE((AQ20,BT20,CW20),1),0)</f>
        <v>51.3</v>
      </c>
      <c r="M20" s="8" t="str">
        <f t="shared" si="5"/>
        <v>2024 3rd Domestic Trial</v>
      </c>
      <c r="N20" s="8">
        <f>IF(COUNT(AQ20,BT20,CW20)&gt;1,LARGE((AQ20,BT20,CW20),2),0)</f>
        <v>43.4</v>
      </c>
      <c r="O20" s="8" t="str">
        <f t="shared" si="6"/>
        <v>2025 Elite Canada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18.899999999999999</v>
      </c>
      <c r="V20" s="19">
        <v>8</v>
      </c>
      <c r="W20" s="19">
        <v>0.6</v>
      </c>
      <c r="X20" s="19">
        <v>0.3</v>
      </c>
      <c r="Y20" s="19">
        <v>18.5</v>
      </c>
      <c r="Z20" s="19">
        <v>6.8</v>
      </c>
      <c r="AA20" s="19">
        <v>0.6</v>
      </c>
      <c r="AB20" s="19">
        <v>0</v>
      </c>
      <c r="AC20" s="19">
        <v>17.600000000000001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2"/>
        <v>14.8</v>
      </c>
      <c r="AQ20" s="40">
        <f t="shared" si="13"/>
        <v>51.3</v>
      </c>
      <c r="AR20" s="40">
        <f t="shared" si="14"/>
        <v>20</v>
      </c>
      <c r="AS20" s="40">
        <f t="shared" si="15"/>
        <v>17.2</v>
      </c>
      <c r="AT20" s="40">
        <f t="shared" si="16"/>
        <v>71.3</v>
      </c>
      <c r="AU20" s="40" t="str">
        <f t="shared" si="17"/>
        <v/>
      </c>
      <c r="AV20" s="40" t="str">
        <f t="shared" si="18"/>
        <v/>
      </c>
      <c r="AW20" s="40">
        <f t="shared" si="19"/>
        <v>71.3</v>
      </c>
      <c r="AX20" s="18">
        <v>15.4</v>
      </c>
      <c r="AY20" s="18">
        <v>2.8</v>
      </c>
      <c r="AZ20" s="18">
        <v>0</v>
      </c>
      <c r="BA20" s="18">
        <v>0</v>
      </c>
      <c r="BB20" s="18">
        <v>18.2</v>
      </c>
      <c r="BC20" s="18">
        <v>7.2</v>
      </c>
      <c r="BD20" s="18">
        <v>0.2</v>
      </c>
      <c r="BE20" s="18">
        <v>0</v>
      </c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0"/>
        <v>10</v>
      </c>
      <c r="BT20" s="11">
        <f t="shared" si="21"/>
        <v>43.4</v>
      </c>
      <c r="BU20" s="11" t="str">
        <f t="shared" si="22"/>
        <v/>
      </c>
      <c r="BV20" s="11">
        <f t="shared" si="23"/>
        <v>10</v>
      </c>
      <c r="BW20" s="11">
        <f t="shared" si="24"/>
        <v>43.4</v>
      </c>
      <c r="BX20" s="11" t="str">
        <f t="shared" si="25"/>
        <v/>
      </c>
      <c r="BY20" s="11" t="str">
        <f t="shared" si="26"/>
        <v/>
      </c>
      <c r="BZ20" s="11">
        <f t="shared" si="27"/>
        <v>43.4</v>
      </c>
      <c r="CA20" s="19">
        <v>16.7</v>
      </c>
      <c r="CB20" s="19">
        <v>8</v>
      </c>
      <c r="CC20" s="19">
        <v>0.2</v>
      </c>
      <c r="CD20" s="19">
        <v>0.3</v>
      </c>
      <c r="CE20" s="19">
        <v>15.2</v>
      </c>
      <c r="CF20" s="19">
        <v>3.2</v>
      </c>
      <c r="CG20" s="19">
        <v>0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11.2</v>
      </c>
      <c r="CW20" s="40">
        <f t="shared" si="29"/>
        <v>43.2</v>
      </c>
      <c r="CX20" s="40" t="str">
        <f t="shared" si="30"/>
        <v/>
      </c>
      <c r="CY20" s="40">
        <f t="shared" si="31"/>
        <v>11.2</v>
      </c>
      <c r="CZ20" s="40">
        <f t="shared" si="32"/>
        <v>43.2</v>
      </c>
      <c r="DA20" s="40" t="str">
        <f t="shared" si="33"/>
        <v/>
      </c>
      <c r="DB20" s="40" t="str">
        <f t="shared" si="34"/>
        <v/>
      </c>
      <c r="DC20" s="40">
        <f t="shared" si="35"/>
        <v>43.2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16.05</v>
      </c>
      <c r="QE20" s="22">
        <f t="shared" si="135"/>
        <v>5.4</v>
      </c>
      <c r="QF20" s="22">
        <f t="shared" si="136"/>
        <v>0.1</v>
      </c>
      <c r="QG20" s="22">
        <f t="shared" si="137"/>
        <v>0.15</v>
      </c>
      <c r="QH20" s="22">
        <f t="shared" si="138"/>
        <v>16.7</v>
      </c>
      <c r="QI20" s="22">
        <f t="shared" si="139"/>
        <v>5.2</v>
      </c>
      <c r="QJ20" s="22">
        <f t="shared" si="140"/>
        <v>0.1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7" t="s">
        <v>46</v>
      </c>
      <c r="QY20" s="40">
        <f t="shared" si="154"/>
        <v>10.600000000000001</v>
      </c>
      <c r="QZ20" s="40">
        <f t="shared" si="155"/>
        <v>43.3</v>
      </c>
      <c r="RA20" s="40" t="str">
        <f t="shared" si="156"/>
        <v/>
      </c>
      <c r="RB20" s="40">
        <f t="shared" si="157"/>
        <v>10.600000000000001</v>
      </c>
      <c r="RC20" s="40">
        <f t="shared" si="158"/>
        <v>43.3</v>
      </c>
      <c r="RD20" s="40" t="str">
        <f t="shared" si="159"/>
        <v/>
      </c>
      <c r="RE20" s="40" t="str">
        <f t="shared" si="160"/>
        <v/>
      </c>
      <c r="RF20" s="40">
        <f t="shared" si="161"/>
        <v>43.3</v>
      </c>
    </row>
    <row r="21" spans="1:474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94</v>
      </c>
      <c r="D21" s="4" t="s">
        <v>3</v>
      </c>
      <c r="E21" s="4">
        <v>2005</v>
      </c>
      <c r="F21" s="9">
        <f t="shared" si="0"/>
        <v>151.80001013000512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51.2</v>
      </c>
      <c r="M21" s="8" t="str">
        <f t="shared" si="5"/>
        <v>2025 Nationals</v>
      </c>
      <c r="N21" s="8">
        <f>IF(COUNT(AQ21,BT21,CW21)&gt;1,LARGE((AQ21,BT21,CW21),2),0)</f>
        <v>50.099999999999994</v>
      </c>
      <c r="O21" s="8" t="str">
        <f t="shared" si="6"/>
        <v>2025 Elite Canada</v>
      </c>
      <c r="P21" s="8">
        <f t="shared" si="7"/>
        <v>50.5</v>
      </c>
      <c r="Q21" s="8" t="str">
        <f t="shared" si="8"/>
        <v>2025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19</v>
      </c>
      <c r="V21" s="19">
        <v>7.2</v>
      </c>
      <c r="W21" s="19">
        <v>0</v>
      </c>
      <c r="X21" s="19">
        <v>0</v>
      </c>
      <c r="Y21" s="19">
        <v>17.3</v>
      </c>
      <c r="Z21" s="19">
        <v>3.2</v>
      </c>
      <c r="AA21" s="19">
        <v>0</v>
      </c>
      <c r="AB21" s="19">
        <v>0</v>
      </c>
      <c r="AC21" s="19">
        <v>16.8</v>
      </c>
      <c r="AD21" s="19">
        <v>6.9</v>
      </c>
      <c r="AE21" s="19">
        <v>0.2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2"/>
        <v>10.4</v>
      </c>
      <c r="AQ21" s="40">
        <f t="shared" si="13"/>
        <v>46.7</v>
      </c>
      <c r="AR21" s="40">
        <f t="shared" si="14"/>
        <v>23.500000000000004</v>
      </c>
      <c r="AS21" s="40">
        <f t="shared" si="15"/>
        <v>17.3</v>
      </c>
      <c r="AT21" s="40">
        <f t="shared" si="16"/>
        <v>70.2</v>
      </c>
      <c r="AU21" s="40" t="str">
        <f t="shared" si="17"/>
        <v/>
      </c>
      <c r="AV21" s="40" t="str">
        <f t="shared" si="18"/>
        <v/>
      </c>
      <c r="AW21" s="40">
        <f t="shared" si="19"/>
        <v>70.2</v>
      </c>
      <c r="AX21" s="18">
        <v>18.600000000000001</v>
      </c>
      <c r="AY21" s="18">
        <v>7.2</v>
      </c>
      <c r="AZ21" s="18">
        <v>0.8</v>
      </c>
      <c r="BA21" s="18">
        <v>0</v>
      </c>
      <c r="BB21" s="18">
        <v>18.5</v>
      </c>
      <c r="BC21" s="18">
        <v>6.8</v>
      </c>
      <c r="BD21" s="18">
        <v>0.2</v>
      </c>
      <c r="BE21" s="18">
        <v>0</v>
      </c>
      <c r="BF21" s="18"/>
      <c r="BG21" s="18"/>
      <c r="BH21" s="18"/>
      <c r="BI21" s="18"/>
      <c r="BJ21" s="18">
        <v>19.2</v>
      </c>
      <c r="BK21" s="18">
        <v>7.2</v>
      </c>
      <c r="BL21" s="18">
        <v>0</v>
      </c>
      <c r="BM21" s="18">
        <v>0</v>
      </c>
      <c r="BN21" s="18">
        <v>18.100000000000001</v>
      </c>
      <c r="BO21" s="18">
        <v>6.8</v>
      </c>
      <c r="BP21" s="18">
        <v>0.8</v>
      </c>
      <c r="BQ21" s="18">
        <v>0</v>
      </c>
      <c r="BR21" s="28"/>
      <c r="BS21" s="11">
        <f t="shared" si="20"/>
        <v>14</v>
      </c>
      <c r="BT21" s="11">
        <f t="shared" si="21"/>
        <v>50.099999999999994</v>
      </c>
      <c r="BU21" s="11" t="str">
        <f t="shared" si="22"/>
        <v/>
      </c>
      <c r="BV21" s="11">
        <f t="shared" si="23"/>
        <v>14</v>
      </c>
      <c r="BW21" s="11">
        <f t="shared" si="24"/>
        <v>50.099999999999994</v>
      </c>
      <c r="BX21" s="11">
        <f t="shared" si="25"/>
        <v>14</v>
      </c>
      <c r="BY21" s="11">
        <f t="shared" si="26"/>
        <v>50.5</v>
      </c>
      <c r="BZ21" s="11">
        <f t="shared" si="27"/>
        <v>100.6</v>
      </c>
      <c r="CA21" s="19">
        <v>18.8</v>
      </c>
      <c r="CB21" s="19">
        <v>8</v>
      </c>
      <c r="CC21" s="19">
        <v>0</v>
      </c>
      <c r="CD21" s="19">
        <v>0.3</v>
      </c>
      <c r="CE21" s="19">
        <v>18.100000000000001</v>
      </c>
      <c r="CF21" s="19">
        <v>6.8</v>
      </c>
      <c r="CG21" s="19">
        <v>0.8</v>
      </c>
      <c r="CH21" s="19">
        <v>0</v>
      </c>
      <c r="CI21" s="19"/>
      <c r="CJ21" s="19"/>
      <c r="CK21" s="19"/>
      <c r="CL21" s="19"/>
      <c r="CM21" s="19">
        <v>15.4</v>
      </c>
      <c r="CN21" s="19">
        <v>2.8</v>
      </c>
      <c r="CO21" s="19">
        <v>0</v>
      </c>
      <c r="CP21" s="19">
        <v>0</v>
      </c>
      <c r="CQ21" s="19">
        <v>18.7</v>
      </c>
      <c r="CR21" s="19">
        <v>6.8</v>
      </c>
      <c r="CS21" s="19">
        <v>0.2</v>
      </c>
      <c r="CT21" s="19">
        <v>0</v>
      </c>
      <c r="CU21" s="27"/>
      <c r="CV21" s="40">
        <f t="shared" si="28"/>
        <v>14.8</v>
      </c>
      <c r="CW21" s="40">
        <f t="shared" si="29"/>
        <v>51.2</v>
      </c>
      <c r="CX21" s="40" t="str">
        <f t="shared" si="30"/>
        <v/>
      </c>
      <c r="CY21" s="40">
        <f t="shared" si="31"/>
        <v>14.8</v>
      </c>
      <c r="CZ21" s="40">
        <f t="shared" si="32"/>
        <v>51.2</v>
      </c>
      <c r="DA21" s="40">
        <f t="shared" si="33"/>
        <v>9.6</v>
      </c>
      <c r="DB21" s="40">
        <f t="shared" si="34"/>
        <v>43.499999999999993</v>
      </c>
      <c r="DC21" s="40">
        <f t="shared" si="35"/>
        <v>94.699999999999989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18.700000000000003</v>
      </c>
      <c r="QE21" s="22">
        <f t="shared" si="135"/>
        <v>7.6</v>
      </c>
      <c r="QF21" s="22">
        <f t="shared" si="136"/>
        <v>0.4</v>
      </c>
      <c r="QG21" s="22">
        <f t="shared" si="137"/>
        <v>0.15</v>
      </c>
      <c r="QH21" s="22">
        <f t="shared" si="138"/>
        <v>18.3</v>
      </c>
      <c r="QI21" s="22">
        <f t="shared" si="139"/>
        <v>6.8</v>
      </c>
      <c r="QJ21" s="22">
        <f t="shared" si="140"/>
        <v>0.5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17.3</v>
      </c>
      <c r="QQ21" s="22">
        <f t="shared" si="147"/>
        <v>5</v>
      </c>
      <c r="QR21" s="22">
        <f t="shared" si="148"/>
        <v>0</v>
      </c>
      <c r="QS21" s="22">
        <f t="shared" si="149"/>
        <v>0</v>
      </c>
      <c r="QT21" s="22">
        <f t="shared" si="150"/>
        <v>18.399999999999999</v>
      </c>
      <c r="QU21" s="22">
        <f t="shared" si="151"/>
        <v>6.8</v>
      </c>
      <c r="QV21" s="22">
        <f t="shared" si="152"/>
        <v>0.5</v>
      </c>
      <c r="QW21" s="22">
        <f t="shared" si="153"/>
        <v>0</v>
      </c>
      <c r="QX21" s="27" t="s">
        <v>46</v>
      </c>
      <c r="QY21" s="40">
        <f t="shared" si="154"/>
        <v>14.399999999999999</v>
      </c>
      <c r="QZ21" s="40">
        <f t="shared" si="155"/>
        <v>50.65</v>
      </c>
      <c r="RA21" s="40" t="str">
        <f t="shared" si="156"/>
        <v/>
      </c>
      <c r="RB21" s="40">
        <f t="shared" si="157"/>
        <v>14.399999999999999</v>
      </c>
      <c r="RC21" s="40">
        <f t="shared" si="158"/>
        <v>50.65</v>
      </c>
      <c r="RD21" s="40">
        <f t="shared" si="159"/>
        <v>11.8</v>
      </c>
      <c r="RE21" s="40">
        <f t="shared" si="160"/>
        <v>47</v>
      </c>
      <c r="RF21" s="40">
        <f t="shared" si="161"/>
        <v>97.65</v>
      </c>
    </row>
    <row r="22" spans="1:474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131</v>
      </c>
      <c r="D22" s="4" t="s">
        <v>5</v>
      </c>
      <c r="E22" s="4">
        <v>2007</v>
      </c>
      <c r="F22" s="9">
        <f t="shared" si="0"/>
        <v>146.90000961000501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49.999999999999993</v>
      </c>
      <c r="M22" s="8" t="str">
        <f t="shared" si="5"/>
        <v>2025 Elite Canada</v>
      </c>
      <c r="N22" s="8">
        <f>IF(COUNT(AQ22,BT22,CW22)&gt;1,LARGE((AQ22,BT22,CW22),2),0)</f>
        <v>46.099999999999994</v>
      </c>
      <c r="O22" s="8" t="str">
        <f t="shared" si="6"/>
        <v>2025 Nationals</v>
      </c>
      <c r="P22" s="8">
        <f t="shared" si="7"/>
        <v>50.800000000000004</v>
      </c>
      <c r="Q22" s="8" t="str">
        <f t="shared" si="8"/>
        <v>2025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0</v>
      </c>
      <c r="V22" s="19">
        <v>0</v>
      </c>
      <c r="W22" s="19">
        <v>0</v>
      </c>
      <c r="X22" s="19">
        <v>0</v>
      </c>
      <c r="Y22" s="19">
        <v>17.600000000000001</v>
      </c>
      <c r="Z22" s="19">
        <v>4</v>
      </c>
      <c r="AA22" s="19">
        <v>0</v>
      </c>
      <c r="AB22" s="19">
        <v>0</v>
      </c>
      <c r="AC22" s="19">
        <v>18.399999999999999</v>
      </c>
      <c r="AD22" s="19">
        <v>6</v>
      </c>
      <c r="AE22" s="19">
        <v>0.6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 t="shared" si="12"/>
        <v>4</v>
      </c>
      <c r="AQ22" s="40">
        <f t="shared" si="13"/>
        <v>21.6</v>
      </c>
      <c r="AR22" s="40">
        <f t="shared" si="14"/>
        <v>23.799999999999997</v>
      </c>
      <c r="AS22" s="40">
        <f t="shared" si="15"/>
        <v>10</v>
      </c>
      <c r="AT22" s="40">
        <f t="shared" si="16"/>
        <v>45.4</v>
      </c>
      <c r="AU22" s="40" t="str">
        <f t="shared" si="17"/>
        <v/>
      </c>
      <c r="AV22" s="40" t="str">
        <f t="shared" si="18"/>
        <v/>
      </c>
      <c r="AW22" s="40">
        <f t="shared" si="19"/>
        <v>45.4</v>
      </c>
      <c r="AX22" s="18">
        <v>18.899999999999999</v>
      </c>
      <c r="AY22" s="18">
        <v>6.4</v>
      </c>
      <c r="AZ22" s="18">
        <v>0.4</v>
      </c>
      <c r="BA22" s="18">
        <v>0</v>
      </c>
      <c r="BB22" s="18">
        <v>18.600000000000001</v>
      </c>
      <c r="BC22" s="18">
        <v>6.8</v>
      </c>
      <c r="BD22" s="18">
        <v>0.6</v>
      </c>
      <c r="BE22" s="18">
        <v>0.3</v>
      </c>
      <c r="BF22" s="18"/>
      <c r="BG22" s="18"/>
      <c r="BH22" s="18"/>
      <c r="BI22" s="18"/>
      <c r="BJ22" s="18">
        <v>16.8</v>
      </c>
      <c r="BK22" s="18">
        <v>9.3000000000000007</v>
      </c>
      <c r="BL22" s="18">
        <v>1</v>
      </c>
      <c r="BM22" s="18">
        <v>0.3</v>
      </c>
      <c r="BN22" s="18">
        <v>18.7</v>
      </c>
      <c r="BO22" s="18">
        <v>7.2</v>
      </c>
      <c r="BP22" s="18">
        <v>0.8</v>
      </c>
      <c r="BQ22" s="18">
        <v>0.3</v>
      </c>
      <c r="BR22" s="28"/>
      <c r="BS22" s="11">
        <f t="shared" si="20"/>
        <v>13.2</v>
      </c>
      <c r="BT22" s="11">
        <f t="shared" si="21"/>
        <v>49.999999999999993</v>
      </c>
      <c r="BU22" s="11" t="str">
        <f t="shared" si="22"/>
        <v/>
      </c>
      <c r="BV22" s="11">
        <f t="shared" si="23"/>
        <v>13.2</v>
      </c>
      <c r="BW22" s="11">
        <f t="shared" si="24"/>
        <v>49.999999999999993</v>
      </c>
      <c r="BX22" s="11">
        <f t="shared" si="25"/>
        <v>16.5</v>
      </c>
      <c r="BY22" s="11">
        <f t="shared" si="26"/>
        <v>50.800000000000004</v>
      </c>
      <c r="BZ22" s="11">
        <f t="shared" si="27"/>
        <v>100.8</v>
      </c>
      <c r="CA22" s="19">
        <v>18.3</v>
      </c>
      <c r="CB22" s="19">
        <v>9.3000000000000007</v>
      </c>
      <c r="CC22" s="19">
        <v>0.2</v>
      </c>
      <c r="CD22" s="19">
        <v>0.3</v>
      </c>
      <c r="CE22" s="19">
        <v>15.6</v>
      </c>
      <c r="CF22" s="19">
        <v>2.8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12.100000000000001</v>
      </c>
      <c r="CW22" s="40">
        <f t="shared" si="29"/>
        <v>46.099999999999994</v>
      </c>
      <c r="CX22" s="40" t="str">
        <f t="shared" si="30"/>
        <v/>
      </c>
      <c r="CY22" s="40">
        <f t="shared" si="31"/>
        <v>12.100000000000001</v>
      </c>
      <c r="CZ22" s="40">
        <f t="shared" si="32"/>
        <v>46.099999999999994</v>
      </c>
      <c r="DA22" s="40" t="str">
        <f t="shared" si="33"/>
        <v/>
      </c>
      <c r="DB22" s="40" t="str">
        <f t="shared" si="34"/>
        <v/>
      </c>
      <c r="DC22" s="40">
        <f t="shared" si="35"/>
        <v>46.099999999999994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18.600000000000001</v>
      </c>
      <c r="QE22" s="22">
        <f t="shared" si="135"/>
        <v>7.8500000000000005</v>
      </c>
      <c r="QF22" s="22">
        <f t="shared" si="136"/>
        <v>0.30000000000000004</v>
      </c>
      <c r="QG22" s="22">
        <f t="shared" si="137"/>
        <v>0.15</v>
      </c>
      <c r="QH22" s="22">
        <f t="shared" si="138"/>
        <v>17.100000000000001</v>
      </c>
      <c r="QI22" s="22">
        <f t="shared" si="139"/>
        <v>4.8</v>
      </c>
      <c r="QJ22" s="22">
        <f t="shared" si="140"/>
        <v>0.3</v>
      </c>
      <c r="QK22" s="22">
        <f t="shared" si="141"/>
        <v>0.15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8.4</v>
      </c>
      <c r="QQ22" s="22">
        <f t="shared" si="147"/>
        <v>4.6500000000000004</v>
      </c>
      <c r="QR22" s="22">
        <f t="shared" si="148"/>
        <v>0.5</v>
      </c>
      <c r="QS22" s="22">
        <f t="shared" si="149"/>
        <v>0.15</v>
      </c>
      <c r="QT22" s="22">
        <f t="shared" si="150"/>
        <v>9.35</v>
      </c>
      <c r="QU22" s="22">
        <f t="shared" si="151"/>
        <v>3.6</v>
      </c>
      <c r="QV22" s="22">
        <f t="shared" si="152"/>
        <v>0.4</v>
      </c>
      <c r="QW22" s="22">
        <f t="shared" si="153"/>
        <v>0.15</v>
      </c>
      <c r="QX22" s="27" t="s">
        <v>46</v>
      </c>
      <c r="QY22" s="40">
        <f t="shared" si="154"/>
        <v>12.65</v>
      </c>
      <c r="QZ22" s="40">
        <f t="shared" si="155"/>
        <v>48.050000000000004</v>
      </c>
      <c r="RA22" s="40" t="str">
        <f t="shared" si="156"/>
        <v/>
      </c>
      <c r="RB22" s="40">
        <f t="shared" si="157"/>
        <v>12.65</v>
      </c>
      <c r="RC22" s="40">
        <f t="shared" si="158"/>
        <v>48.050000000000004</v>
      </c>
      <c r="RD22" s="40">
        <f t="shared" si="159"/>
        <v>8.25</v>
      </c>
      <c r="RE22" s="40">
        <f t="shared" si="160"/>
        <v>25.400000000000002</v>
      </c>
      <c r="RF22" s="40">
        <f t="shared" si="161"/>
        <v>73.45</v>
      </c>
    </row>
    <row r="23" spans="1:474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180</v>
      </c>
      <c r="D23" s="4" t="s">
        <v>3</v>
      </c>
      <c r="E23" s="4">
        <v>2008</v>
      </c>
      <c r="F23" s="9">
        <f t="shared" si="0"/>
        <v>141.8000093100047</v>
      </c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46.9</v>
      </c>
      <c r="M23" s="8" t="str">
        <f t="shared" si="5"/>
        <v>2024 3rd Domestic Trial</v>
      </c>
      <c r="N23" s="8">
        <f>IF(COUNT(AQ23,BT23,CW23)&gt;1,LARGE((AQ23,BT23,CW23),2),0)</f>
        <v>46.20000000000001</v>
      </c>
      <c r="O23" s="8" t="str">
        <f t="shared" si="6"/>
        <v>2025 Nationals</v>
      </c>
      <c r="P23" s="8">
        <f t="shared" si="7"/>
        <v>48.699999999999996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</v>
      </c>
      <c r="V23" s="19">
        <v>5.6</v>
      </c>
      <c r="W23" s="19">
        <v>0.6</v>
      </c>
      <c r="X23" s="19">
        <v>0</v>
      </c>
      <c r="Y23" s="19">
        <v>18.7</v>
      </c>
      <c r="Z23" s="19">
        <v>5.2</v>
      </c>
      <c r="AA23" s="19">
        <v>0</v>
      </c>
      <c r="AB23" s="19">
        <v>0</v>
      </c>
      <c r="AC23" s="19"/>
      <c r="AD23" s="19"/>
      <c r="AE23" s="19"/>
      <c r="AF23" s="19"/>
      <c r="AG23" s="19">
        <v>18.399999999999999</v>
      </c>
      <c r="AH23" s="19">
        <v>4.3</v>
      </c>
      <c r="AI23" s="19">
        <v>0.2</v>
      </c>
      <c r="AJ23" s="19">
        <v>0</v>
      </c>
      <c r="AK23" s="19">
        <v>18.7</v>
      </c>
      <c r="AL23" s="19">
        <v>4.8</v>
      </c>
      <c r="AM23" s="19">
        <v>0</v>
      </c>
      <c r="AN23" s="19">
        <v>0</v>
      </c>
      <c r="AO23" s="27"/>
      <c r="AP23" s="40">
        <f t="shared" si="12"/>
        <v>10.8</v>
      </c>
      <c r="AQ23" s="40">
        <f t="shared" si="13"/>
        <v>46.9</v>
      </c>
      <c r="AR23" s="40" t="str">
        <f t="shared" si="14"/>
        <v/>
      </c>
      <c r="AS23" s="40">
        <f t="shared" si="15"/>
        <v>10.8</v>
      </c>
      <c r="AT23" s="40">
        <f t="shared" si="16"/>
        <v>46.9</v>
      </c>
      <c r="AU23" s="40">
        <f t="shared" si="17"/>
        <v>9.1</v>
      </c>
      <c r="AV23" s="40">
        <f t="shared" si="18"/>
        <v>45.999999999999993</v>
      </c>
      <c r="AW23" s="40">
        <f t="shared" si="19"/>
        <v>92.899999999999991</v>
      </c>
      <c r="AX23" s="18">
        <v>15.4</v>
      </c>
      <c r="AY23" s="18">
        <v>2.4</v>
      </c>
      <c r="AZ23" s="18">
        <v>0</v>
      </c>
      <c r="BA23" s="18">
        <v>0</v>
      </c>
      <c r="BB23" s="18">
        <v>15.3</v>
      </c>
      <c r="BC23" s="18">
        <v>2.8</v>
      </c>
      <c r="BD23" s="18">
        <v>0</v>
      </c>
      <c r="BE23" s="18">
        <v>0</v>
      </c>
      <c r="BF23" s="18"/>
      <c r="BG23" s="18"/>
      <c r="BH23" s="18"/>
      <c r="BI23" s="18"/>
      <c r="BJ23" s="18">
        <v>18.2</v>
      </c>
      <c r="BK23" s="18">
        <v>6</v>
      </c>
      <c r="BL23" s="18">
        <v>0.6</v>
      </c>
      <c r="BM23" s="18">
        <v>0</v>
      </c>
      <c r="BN23" s="18">
        <v>15.4</v>
      </c>
      <c r="BO23" s="18">
        <v>2.8</v>
      </c>
      <c r="BP23" s="18">
        <v>0</v>
      </c>
      <c r="BQ23" s="18">
        <v>0</v>
      </c>
      <c r="BR23" s="28"/>
      <c r="BS23" s="11">
        <f t="shared" si="20"/>
        <v>5.1999999999999993</v>
      </c>
      <c r="BT23" s="11">
        <f t="shared" si="21"/>
        <v>35.9</v>
      </c>
      <c r="BU23" s="11" t="str">
        <f t="shared" si="22"/>
        <v/>
      </c>
      <c r="BV23" s="11">
        <f t="shared" si="23"/>
        <v>5.1999999999999993</v>
      </c>
      <c r="BW23" s="11">
        <f t="shared" si="24"/>
        <v>35.9</v>
      </c>
      <c r="BX23" s="11">
        <f t="shared" si="25"/>
        <v>8.8000000000000007</v>
      </c>
      <c r="BY23" s="11">
        <f t="shared" si="26"/>
        <v>41.8</v>
      </c>
      <c r="BZ23" s="11">
        <f t="shared" si="27"/>
        <v>77.699999999999989</v>
      </c>
      <c r="CA23" s="19">
        <v>16.5</v>
      </c>
      <c r="CB23" s="19">
        <v>6.8</v>
      </c>
      <c r="CC23" s="19">
        <v>0.8</v>
      </c>
      <c r="CD23" s="19">
        <v>0</v>
      </c>
      <c r="CE23" s="19">
        <v>18.100000000000001</v>
      </c>
      <c r="CF23" s="19">
        <v>6.4</v>
      </c>
      <c r="CG23" s="19">
        <v>0.8</v>
      </c>
      <c r="CH23" s="19">
        <v>0</v>
      </c>
      <c r="CI23" s="19"/>
      <c r="CJ23" s="19"/>
      <c r="CK23" s="19"/>
      <c r="CL23" s="19"/>
      <c r="CM23" s="19">
        <v>18.3</v>
      </c>
      <c r="CN23" s="19">
        <v>6.8</v>
      </c>
      <c r="CO23" s="19">
        <v>0.8</v>
      </c>
      <c r="CP23" s="19">
        <v>0</v>
      </c>
      <c r="CQ23" s="19">
        <v>18.2</v>
      </c>
      <c r="CR23" s="19">
        <v>6.4</v>
      </c>
      <c r="CS23" s="19">
        <v>0.2</v>
      </c>
      <c r="CT23" s="19">
        <v>0</v>
      </c>
      <c r="CU23" s="27"/>
      <c r="CV23" s="40">
        <f t="shared" si="28"/>
        <v>13.2</v>
      </c>
      <c r="CW23" s="40">
        <f t="shared" si="29"/>
        <v>46.20000000000001</v>
      </c>
      <c r="CX23" s="40" t="str">
        <f t="shared" si="30"/>
        <v/>
      </c>
      <c r="CY23" s="40">
        <f t="shared" si="31"/>
        <v>13.2</v>
      </c>
      <c r="CZ23" s="40">
        <f t="shared" si="32"/>
        <v>46.20000000000001</v>
      </c>
      <c r="DA23" s="40">
        <f t="shared" si="33"/>
        <v>13.2</v>
      </c>
      <c r="DB23" s="40">
        <f t="shared" si="34"/>
        <v>48.699999999999996</v>
      </c>
      <c r="DC23" s="40">
        <f t="shared" si="35"/>
        <v>94.9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15.95</v>
      </c>
      <c r="QE23" s="22">
        <f t="shared" si="135"/>
        <v>4.5999999999999996</v>
      </c>
      <c r="QF23" s="22">
        <f t="shared" si="136"/>
        <v>0.4</v>
      </c>
      <c r="QG23" s="22">
        <f t="shared" si="137"/>
        <v>0</v>
      </c>
      <c r="QH23" s="22">
        <f t="shared" si="138"/>
        <v>16.700000000000003</v>
      </c>
      <c r="QI23" s="22">
        <f t="shared" si="139"/>
        <v>4.5999999999999996</v>
      </c>
      <c r="QJ23" s="22">
        <f t="shared" si="140"/>
        <v>0.4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18.25</v>
      </c>
      <c r="QQ23" s="22">
        <f t="shared" si="147"/>
        <v>6.4</v>
      </c>
      <c r="QR23" s="22">
        <f t="shared" si="148"/>
        <v>0.7</v>
      </c>
      <c r="QS23" s="22">
        <f t="shared" si="149"/>
        <v>0</v>
      </c>
      <c r="QT23" s="22">
        <f t="shared" si="150"/>
        <v>16.8</v>
      </c>
      <c r="QU23" s="22">
        <f t="shared" si="151"/>
        <v>4.5999999999999996</v>
      </c>
      <c r="QV23" s="22">
        <f t="shared" si="152"/>
        <v>0.1</v>
      </c>
      <c r="QW23" s="22">
        <f t="shared" si="153"/>
        <v>0</v>
      </c>
      <c r="QX23" s="27" t="s">
        <v>46</v>
      </c>
      <c r="QY23" s="40">
        <f t="shared" si="154"/>
        <v>9.1999999999999993</v>
      </c>
      <c r="QZ23" s="40">
        <f t="shared" si="155"/>
        <v>41.050000000000004</v>
      </c>
      <c r="RA23" s="40" t="str">
        <f t="shared" si="156"/>
        <v/>
      </c>
      <c r="RB23" s="40">
        <f t="shared" si="157"/>
        <v>9.1999999999999993</v>
      </c>
      <c r="RC23" s="40">
        <f t="shared" si="158"/>
        <v>41.050000000000004</v>
      </c>
      <c r="RD23" s="40">
        <f t="shared" si="159"/>
        <v>11</v>
      </c>
      <c r="RE23" s="40">
        <f t="shared" si="160"/>
        <v>45.250000000000007</v>
      </c>
      <c r="RF23" s="40">
        <f t="shared" si="161"/>
        <v>86.300000000000011</v>
      </c>
    </row>
    <row r="24" spans="1:474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179</v>
      </c>
      <c r="D24" s="4" t="s">
        <v>4</v>
      </c>
      <c r="E24" s="4">
        <v>2008</v>
      </c>
      <c r="F24" s="9">
        <f t="shared" si="0"/>
        <v>138.20000914000468</v>
      </c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46.5</v>
      </c>
      <c r="M24" s="8" t="str">
        <f t="shared" si="5"/>
        <v>2025 Nationals</v>
      </c>
      <c r="N24" s="8">
        <f>IF(COUNT(AQ24,BT24,CW24)&gt;1,LARGE((AQ24,BT24,CW24),2),0)</f>
        <v>44.9</v>
      </c>
      <c r="O24" s="8" t="str">
        <f t="shared" si="6"/>
        <v>2025 Elite Canada</v>
      </c>
      <c r="P24" s="8">
        <f t="shared" si="7"/>
        <v>46.800000000000004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17.2</v>
      </c>
      <c r="V24" s="19">
        <v>2.4</v>
      </c>
      <c r="W24" s="19">
        <v>0</v>
      </c>
      <c r="X24" s="19">
        <v>0</v>
      </c>
      <c r="Y24" s="19">
        <v>17.600000000000001</v>
      </c>
      <c r="Z24" s="19">
        <v>0.7</v>
      </c>
      <c r="AA24" s="19">
        <v>0</v>
      </c>
      <c r="AB24" s="19">
        <v>0</v>
      </c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2"/>
        <v>3.0999999999999996</v>
      </c>
      <c r="AQ24" s="40">
        <f t="shared" si="13"/>
        <v>37.900000000000006</v>
      </c>
      <c r="AR24" s="40" t="str">
        <f t="shared" si="14"/>
        <v/>
      </c>
      <c r="AS24" s="40">
        <f t="shared" si="15"/>
        <v>3.0999999999999996</v>
      </c>
      <c r="AT24" s="40">
        <f t="shared" si="16"/>
        <v>37.900000000000006</v>
      </c>
      <c r="AU24" s="40" t="str">
        <f t="shared" si="17"/>
        <v/>
      </c>
      <c r="AV24" s="40" t="str">
        <f t="shared" si="18"/>
        <v/>
      </c>
      <c r="AW24" s="40">
        <f t="shared" si="19"/>
        <v>37.900000000000006</v>
      </c>
      <c r="AX24" s="18">
        <v>16.600000000000001</v>
      </c>
      <c r="AY24" s="18">
        <v>6</v>
      </c>
      <c r="AZ24" s="18">
        <v>0.2</v>
      </c>
      <c r="BA24" s="18">
        <v>0</v>
      </c>
      <c r="BB24" s="18">
        <v>18.5</v>
      </c>
      <c r="BC24" s="18">
        <v>4.3</v>
      </c>
      <c r="BD24" s="18">
        <v>0.3</v>
      </c>
      <c r="BE24" s="18">
        <v>0</v>
      </c>
      <c r="BF24" s="18"/>
      <c r="BG24" s="18"/>
      <c r="BH24" s="18"/>
      <c r="BI24" s="18"/>
      <c r="BJ24" s="18">
        <v>18.100000000000001</v>
      </c>
      <c r="BK24" s="18">
        <v>6</v>
      </c>
      <c r="BL24" s="18">
        <v>0.6</v>
      </c>
      <c r="BM24" s="18">
        <v>0</v>
      </c>
      <c r="BN24" s="18">
        <v>18.399999999999999</v>
      </c>
      <c r="BO24" s="18">
        <v>4.3</v>
      </c>
      <c r="BP24" s="18">
        <v>0.9</v>
      </c>
      <c r="BQ24" s="18">
        <v>0</v>
      </c>
      <c r="BR24" s="28"/>
      <c r="BS24" s="11">
        <f t="shared" si="20"/>
        <v>10.3</v>
      </c>
      <c r="BT24" s="11">
        <f t="shared" si="21"/>
        <v>44.9</v>
      </c>
      <c r="BU24" s="11" t="str">
        <f t="shared" si="22"/>
        <v/>
      </c>
      <c r="BV24" s="11">
        <f t="shared" si="23"/>
        <v>10.3</v>
      </c>
      <c r="BW24" s="11">
        <f t="shared" si="24"/>
        <v>44.9</v>
      </c>
      <c r="BX24" s="11">
        <f t="shared" si="25"/>
        <v>10.3</v>
      </c>
      <c r="BY24" s="11">
        <f t="shared" si="26"/>
        <v>45.3</v>
      </c>
      <c r="BZ24" s="11">
        <f t="shared" si="27"/>
        <v>90.199999999999989</v>
      </c>
      <c r="CA24" s="19">
        <v>18.100000000000001</v>
      </c>
      <c r="CB24" s="19">
        <v>4.8</v>
      </c>
      <c r="CC24" s="19">
        <v>0.2</v>
      </c>
      <c r="CD24" s="19">
        <v>0</v>
      </c>
      <c r="CE24" s="19">
        <v>18.2</v>
      </c>
      <c r="CF24" s="19">
        <v>5.6</v>
      </c>
      <c r="CG24" s="19">
        <v>0</v>
      </c>
      <c r="CH24" s="19">
        <v>0</v>
      </c>
      <c r="CI24" s="19"/>
      <c r="CJ24" s="19"/>
      <c r="CK24" s="19"/>
      <c r="CL24" s="19"/>
      <c r="CM24" s="19">
        <v>18.100000000000001</v>
      </c>
      <c r="CN24" s="19">
        <v>6</v>
      </c>
      <c r="CO24" s="19">
        <v>0.6</v>
      </c>
      <c r="CP24" s="19">
        <v>0</v>
      </c>
      <c r="CQ24" s="19">
        <v>17.899999999999999</v>
      </c>
      <c r="CR24" s="19">
        <v>5.6</v>
      </c>
      <c r="CS24" s="19">
        <v>0.2</v>
      </c>
      <c r="CT24" s="19">
        <v>0</v>
      </c>
      <c r="CU24" s="27"/>
      <c r="CV24" s="40">
        <f t="shared" si="28"/>
        <v>10.399999999999999</v>
      </c>
      <c r="CW24" s="40">
        <f t="shared" si="29"/>
        <v>46.5</v>
      </c>
      <c r="CX24" s="40" t="str">
        <f t="shared" si="30"/>
        <v/>
      </c>
      <c r="CY24" s="40">
        <f t="shared" si="31"/>
        <v>10.399999999999999</v>
      </c>
      <c r="CZ24" s="40">
        <f t="shared" si="32"/>
        <v>46.5</v>
      </c>
      <c r="DA24" s="40">
        <f t="shared" si="33"/>
        <v>11.6</v>
      </c>
      <c r="DB24" s="40">
        <f t="shared" si="34"/>
        <v>46.800000000000004</v>
      </c>
      <c r="DC24" s="40">
        <f t="shared" si="35"/>
        <v>93.300000000000011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17.350000000000001</v>
      </c>
      <c r="QE24" s="22">
        <f t="shared" si="135"/>
        <v>5.4</v>
      </c>
      <c r="QF24" s="22">
        <f t="shared" si="136"/>
        <v>0.2</v>
      </c>
      <c r="QG24" s="22">
        <f t="shared" si="137"/>
        <v>0</v>
      </c>
      <c r="QH24" s="22">
        <f t="shared" si="138"/>
        <v>18.350000000000001</v>
      </c>
      <c r="QI24" s="22">
        <f t="shared" si="139"/>
        <v>4.9499999999999993</v>
      </c>
      <c r="QJ24" s="22">
        <f t="shared" si="140"/>
        <v>0.15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18.100000000000001</v>
      </c>
      <c r="QQ24" s="22">
        <f t="shared" si="147"/>
        <v>6</v>
      </c>
      <c r="QR24" s="22">
        <f t="shared" si="148"/>
        <v>0.6</v>
      </c>
      <c r="QS24" s="22">
        <f t="shared" si="149"/>
        <v>0</v>
      </c>
      <c r="QT24" s="22">
        <f t="shared" si="150"/>
        <v>18.149999999999999</v>
      </c>
      <c r="QU24" s="22">
        <f t="shared" si="151"/>
        <v>4.9499999999999993</v>
      </c>
      <c r="QV24" s="22">
        <f t="shared" si="152"/>
        <v>0.55000000000000004</v>
      </c>
      <c r="QW24" s="22">
        <f t="shared" si="153"/>
        <v>0</v>
      </c>
      <c r="QX24" s="27" t="s">
        <v>46</v>
      </c>
      <c r="QY24" s="40">
        <f t="shared" si="154"/>
        <v>10.35</v>
      </c>
      <c r="QZ24" s="40">
        <f t="shared" si="155"/>
        <v>45.699999999999996</v>
      </c>
      <c r="RA24" s="40" t="str">
        <f t="shared" si="156"/>
        <v/>
      </c>
      <c r="RB24" s="40">
        <f t="shared" si="157"/>
        <v>10.35</v>
      </c>
      <c r="RC24" s="40">
        <f t="shared" si="158"/>
        <v>45.699999999999996</v>
      </c>
      <c r="RD24" s="40">
        <f t="shared" si="159"/>
        <v>10.95</v>
      </c>
      <c r="RE24" s="40">
        <f t="shared" si="160"/>
        <v>46.050000000000004</v>
      </c>
      <c r="RF24" s="40">
        <f t="shared" si="161"/>
        <v>91.75</v>
      </c>
    </row>
    <row r="25" spans="1:474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109</v>
      </c>
      <c r="D25" s="4" t="s">
        <v>6</v>
      </c>
      <c r="E25" s="4">
        <v>2004</v>
      </c>
      <c r="F25" s="9">
        <f t="shared" si="0"/>
        <v>135.6000085500049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49.2</v>
      </c>
      <c r="M25" s="8" t="str">
        <f t="shared" si="5"/>
        <v>2025 Elite Canada</v>
      </c>
      <c r="N25" s="8">
        <f>IF(COUNT(AQ25,BT25,CW25)&gt;1,LARGE((AQ25,BT25,CW25),2),0)</f>
        <v>36.299999999999997</v>
      </c>
      <c r="O25" s="8" t="str">
        <f t="shared" si="6"/>
        <v>2025 Nationals</v>
      </c>
      <c r="P25" s="8">
        <f t="shared" si="7"/>
        <v>50.1</v>
      </c>
      <c r="Q25" s="8" t="str">
        <f t="shared" si="8"/>
        <v>2025 Elite Canada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>
        <v>18.600000000000001</v>
      </c>
      <c r="AY25" s="18">
        <v>6.8</v>
      </c>
      <c r="AZ25" s="18">
        <v>0.8</v>
      </c>
      <c r="BA25" s="18">
        <v>0</v>
      </c>
      <c r="BB25" s="18">
        <v>18</v>
      </c>
      <c r="BC25" s="18">
        <v>6.8</v>
      </c>
      <c r="BD25" s="18">
        <v>0.2</v>
      </c>
      <c r="BE25" s="18">
        <v>0</v>
      </c>
      <c r="BF25" s="18"/>
      <c r="BG25" s="18"/>
      <c r="BH25" s="18"/>
      <c r="BI25" s="18"/>
      <c r="BJ25" s="18">
        <v>19.100000000000001</v>
      </c>
      <c r="BK25" s="18">
        <v>6.8</v>
      </c>
      <c r="BL25" s="18">
        <v>0</v>
      </c>
      <c r="BM25" s="18">
        <v>0</v>
      </c>
      <c r="BN25" s="18">
        <v>18</v>
      </c>
      <c r="BO25" s="18">
        <v>6.8</v>
      </c>
      <c r="BP25" s="18">
        <v>0.6</v>
      </c>
      <c r="BQ25" s="18">
        <v>0</v>
      </c>
      <c r="BR25" s="28"/>
      <c r="BS25" s="11">
        <f t="shared" si="20"/>
        <v>13.6</v>
      </c>
      <c r="BT25" s="11">
        <f t="shared" si="21"/>
        <v>49.2</v>
      </c>
      <c r="BU25" s="11" t="str">
        <f t="shared" si="22"/>
        <v/>
      </c>
      <c r="BV25" s="11">
        <f t="shared" si="23"/>
        <v>13.6</v>
      </c>
      <c r="BW25" s="11">
        <f t="shared" si="24"/>
        <v>49.2</v>
      </c>
      <c r="BX25" s="11">
        <f t="shared" si="25"/>
        <v>13.6</v>
      </c>
      <c r="BY25" s="11">
        <f t="shared" si="26"/>
        <v>50.1</v>
      </c>
      <c r="BZ25" s="11">
        <f t="shared" si="27"/>
        <v>99.300000000000011</v>
      </c>
      <c r="CA25" s="19">
        <v>15.7</v>
      </c>
      <c r="CB25" s="19">
        <v>2.4</v>
      </c>
      <c r="CC25" s="19">
        <v>0</v>
      </c>
      <c r="CD25" s="19">
        <v>0</v>
      </c>
      <c r="CE25" s="19">
        <v>15.4</v>
      </c>
      <c r="CF25" s="19">
        <v>2.8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5.1999999999999993</v>
      </c>
      <c r="CW25" s="40">
        <f t="shared" si="29"/>
        <v>36.299999999999997</v>
      </c>
      <c r="CX25" s="40" t="str">
        <f t="shared" si="30"/>
        <v/>
      </c>
      <c r="CY25" s="40">
        <f t="shared" si="31"/>
        <v>5.1999999999999993</v>
      </c>
      <c r="CZ25" s="40">
        <f t="shared" si="32"/>
        <v>36.299999999999997</v>
      </c>
      <c r="DA25" s="40" t="str">
        <f t="shared" si="33"/>
        <v/>
      </c>
      <c r="DB25" s="40" t="str">
        <f t="shared" si="34"/>
        <v/>
      </c>
      <c r="DC25" s="40">
        <f t="shared" si="35"/>
        <v>36.299999999999997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17.149999999999999</v>
      </c>
      <c r="QE25" s="22">
        <f t="shared" si="135"/>
        <v>4.5999999999999996</v>
      </c>
      <c r="QF25" s="22">
        <f t="shared" si="136"/>
        <v>0.4</v>
      </c>
      <c r="QG25" s="22">
        <f t="shared" si="137"/>
        <v>0</v>
      </c>
      <c r="QH25" s="22">
        <f t="shared" si="138"/>
        <v>16.7</v>
      </c>
      <c r="QI25" s="22">
        <f t="shared" si="139"/>
        <v>4.8</v>
      </c>
      <c r="QJ25" s="22">
        <f t="shared" si="140"/>
        <v>0.1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9.5500000000000007</v>
      </c>
      <c r="QQ25" s="22">
        <f t="shared" si="147"/>
        <v>3.4</v>
      </c>
      <c r="QR25" s="22">
        <f t="shared" si="148"/>
        <v>0</v>
      </c>
      <c r="QS25" s="22">
        <f t="shared" si="149"/>
        <v>0</v>
      </c>
      <c r="QT25" s="22">
        <f t="shared" si="150"/>
        <v>9</v>
      </c>
      <c r="QU25" s="22">
        <f t="shared" si="151"/>
        <v>3.4</v>
      </c>
      <c r="QV25" s="22">
        <f t="shared" si="152"/>
        <v>0.3</v>
      </c>
      <c r="QW25" s="22">
        <f t="shared" si="153"/>
        <v>0</v>
      </c>
      <c r="QX25" s="27" t="s">
        <v>46</v>
      </c>
      <c r="QY25" s="40">
        <f t="shared" si="154"/>
        <v>9.3999999999999986</v>
      </c>
      <c r="QZ25" s="40">
        <f t="shared" si="155"/>
        <v>42.75</v>
      </c>
      <c r="RA25" s="40" t="str">
        <f t="shared" si="156"/>
        <v/>
      </c>
      <c r="RB25" s="40">
        <f t="shared" si="157"/>
        <v>9.3999999999999986</v>
      </c>
      <c r="RC25" s="40">
        <f t="shared" si="158"/>
        <v>42.75</v>
      </c>
      <c r="RD25" s="40">
        <f t="shared" si="159"/>
        <v>6.8</v>
      </c>
      <c r="RE25" s="40">
        <f t="shared" si="160"/>
        <v>25.05</v>
      </c>
      <c r="RF25" s="40">
        <f t="shared" si="161"/>
        <v>67.8</v>
      </c>
    </row>
    <row r="26" spans="1:474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181</v>
      </c>
      <c r="D26" s="4" t="s">
        <v>5</v>
      </c>
      <c r="E26" s="4">
        <v>2008</v>
      </c>
      <c r="F26" s="9">
        <f t="shared" si="0"/>
        <v>132.80000883000446</v>
      </c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44.2</v>
      </c>
      <c r="M26" s="8" t="str">
        <f t="shared" si="5"/>
        <v>2024 3rd Domestic Trial</v>
      </c>
      <c r="N26" s="8">
        <f>IF(COUNT(AQ26,BT26,CW26)&gt;1,LARGE((AQ26,BT26,CW26),2),0)</f>
        <v>44.1</v>
      </c>
      <c r="O26" s="8" t="str">
        <f t="shared" si="6"/>
        <v>2025 Elite Canada</v>
      </c>
      <c r="P26" s="8">
        <f t="shared" si="7"/>
        <v>44.5</v>
      </c>
      <c r="Q26" s="8" t="str">
        <f t="shared" si="8"/>
        <v>2024 3rd Domestic Trial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4.4000000000000004</v>
      </c>
      <c r="W26" s="19">
        <v>0</v>
      </c>
      <c r="X26" s="19">
        <v>0</v>
      </c>
      <c r="Y26" s="19">
        <v>18.600000000000001</v>
      </c>
      <c r="Z26" s="19">
        <v>3.6</v>
      </c>
      <c r="AA26" s="19">
        <v>0</v>
      </c>
      <c r="AB26" s="19">
        <v>0</v>
      </c>
      <c r="AC26" s="19"/>
      <c r="AD26" s="19"/>
      <c r="AE26" s="19"/>
      <c r="AF26" s="19"/>
      <c r="AG26" s="19">
        <v>18.2</v>
      </c>
      <c r="AH26" s="19">
        <v>4.3</v>
      </c>
      <c r="AI26" s="19">
        <v>0.2</v>
      </c>
      <c r="AJ26" s="19">
        <v>0</v>
      </c>
      <c r="AK26" s="19">
        <v>18.5</v>
      </c>
      <c r="AL26" s="19">
        <v>3.7</v>
      </c>
      <c r="AM26" s="19">
        <v>0</v>
      </c>
      <c r="AN26" s="19">
        <v>0</v>
      </c>
      <c r="AO26" s="27"/>
      <c r="AP26" s="40">
        <f t="shared" si="12"/>
        <v>8</v>
      </c>
      <c r="AQ26" s="40">
        <f t="shared" si="13"/>
        <v>44.2</v>
      </c>
      <c r="AR26" s="40" t="str">
        <f t="shared" si="14"/>
        <v/>
      </c>
      <c r="AS26" s="40">
        <f t="shared" si="15"/>
        <v>8</v>
      </c>
      <c r="AT26" s="40">
        <f t="shared" si="16"/>
        <v>44.2</v>
      </c>
      <c r="AU26" s="40">
        <f t="shared" si="17"/>
        <v>8</v>
      </c>
      <c r="AV26" s="40">
        <f t="shared" si="18"/>
        <v>44.5</v>
      </c>
      <c r="AW26" s="40">
        <f t="shared" si="19"/>
        <v>88.7</v>
      </c>
      <c r="AX26" s="18">
        <v>17.600000000000001</v>
      </c>
      <c r="AY26" s="18">
        <v>4.4000000000000004</v>
      </c>
      <c r="AZ26" s="18">
        <v>0.8</v>
      </c>
      <c r="BA26" s="18">
        <v>0</v>
      </c>
      <c r="BB26" s="18">
        <v>18.899999999999999</v>
      </c>
      <c r="BC26" s="18">
        <v>4.3</v>
      </c>
      <c r="BD26" s="18">
        <v>0.3</v>
      </c>
      <c r="BE26" s="18">
        <v>0</v>
      </c>
      <c r="BF26" s="18"/>
      <c r="BG26" s="18"/>
      <c r="BH26" s="18"/>
      <c r="BI26" s="18"/>
      <c r="BJ26" s="18">
        <v>17.600000000000001</v>
      </c>
      <c r="BK26" s="18">
        <v>4.8</v>
      </c>
      <c r="BL26" s="18">
        <v>0.6</v>
      </c>
      <c r="BM26" s="18">
        <v>0</v>
      </c>
      <c r="BN26" s="18">
        <v>15.1</v>
      </c>
      <c r="BO26" s="18">
        <v>2.4</v>
      </c>
      <c r="BP26" s="18">
        <v>0</v>
      </c>
      <c r="BQ26" s="18">
        <v>0</v>
      </c>
      <c r="BR26" s="28"/>
      <c r="BS26" s="11">
        <f t="shared" si="20"/>
        <v>8.6999999999999993</v>
      </c>
      <c r="BT26" s="11">
        <f t="shared" si="21"/>
        <v>44.1</v>
      </c>
      <c r="BU26" s="11" t="str">
        <f t="shared" si="22"/>
        <v/>
      </c>
      <c r="BV26" s="11">
        <f t="shared" si="23"/>
        <v>8.6999999999999993</v>
      </c>
      <c r="BW26" s="11">
        <f t="shared" si="24"/>
        <v>44.1</v>
      </c>
      <c r="BX26" s="11">
        <f t="shared" si="25"/>
        <v>7.1999999999999993</v>
      </c>
      <c r="BY26" s="11">
        <f t="shared" si="26"/>
        <v>39.299999999999997</v>
      </c>
      <c r="BZ26" s="11">
        <f t="shared" si="27"/>
        <v>83.4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8"/>
        <v/>
      </c>
      <c r="CW26" s="40" t="str">
        <f t="shared" si="29"/>
        <v/>
      </c>
      <c r="CX26" s="40" t="str">
        <f t="shared" si="30"/>
        <v/>
      </c>
      <c r="CY26" s="40" t="str">
        <f t="shared" si="31"/>
        <v/>
      </c>
      <c r="CZ26" s="40" t="str">
        <f t="shared" si="32"/>
        <v/>
      </c>
      <c r="DA26" s="40" t="str">
        <f t="shared" si="33"/>
        <v/>
      </c>
      <c r="DB26" s="40" t="str">
        <f t="shared" si="34"/>
        <v/>
      </c>
      <c r="DC26" s="40" t="str">
        <f t="shared" si="35"/>
        <v/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8.8000000000000007</v>
      </c>
      <c r="QE26" s="22">
        <f t="shared" si="135"/>
        <v>2.2000000000000002</v>
      </c>
      <c r="QF26" s="22">
        <f t="shared" si="136"/>
        <v>0.4</v>
      </c>
      <c r="QG26" s="22">
        <f t="shared" si="137"/>
        <v>0</v>
      </c>
      <c r="QH26" s="22">
        <f t="shared" si="138"/>
        <v>9.4499999999999993</v>
      </c>
      <c r="QI26" s="22">
        <f t="shared" si="139"/>
        <v>2.15</v>
      </c>
      <c r="QJ26" s="22">
        <f t="shared" si="140"/>
        <v>0.15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8.8000000000000007</v>
      </c>
      <c r="QQ26" s="22">
        <f t="shared" si="147"/>
        <v>2.4</v>
      </c>
      <c r="QR26" s="22">
        <f t="shared" si="148"/>
        <v>0.3</v>
      </c>
      <c r="QS26" s="22">
        <f t="shared" si="149"/>
        <v>0</v>
      </c>
      <c r="QT26" s="22">
        <f t="shared" si="150"/>
        <v>7.55</v>
      </c>
      <c r="QU26" s="22">
        <f t="shared" si="151"/>
        <v>1.2</v>
      </c>
      <c r="QV26" s="22">
        <f t="shared" si="152"/>
        <v>0</v>
      </c>
      <c r="QW26" s="22">
        <f t="shared" si="153"/>
        <v>0</v>
      </c>
      <c r="QX26" s="27" t="s">
        <v>46</v>
      </c>
      <c r="QY26" s="40">
        <f t="shared" si="154"/>
        <v>4.3499999999999996</v>
      </c>
      <c r="QZ26" s="40">
        <f t="shared" si="155"/>
        <v>22.05</v>
      </c>
      <c r="RA26" s="40" t="str">
        <f t="shared" si="156"/>
        <v/>
      </c>
      <c r="RB26" s="40">
        <f t="shared" si="157"/>
        <v>4.3499999999999996</v>
      </c>
      <c r="RC26" s="40">
        <f t="shared" si="158"/>
        <v>22.05</v>
      </c>
      <c r="RD26" s="40">
        <f t="shared" si="159"/>
        <v>3.5999999999999996</v>
      </c>
      <c r="RE26" s="40">
        <f t="shared" si="160"/>
        <v>19.649999999999999</v>
      </c>
      <c r="RF26" s="40">
        <f t="shared" si="161"/>
        <v>41.7</v>
      </c>
    </row>
    <row r="27" spans="1:474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4</v>
      </c>
      <c r="E27" s="4">
        <v>2005</v>
      </c>
      <c r="F27" s="9">
        <f t="shared" si="0"/>
        <v>131.40000859000443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44.400000000000006</v>
      </c>
      <c r="M27" s="8" t="str">
        <f t="shared" si="5"/>
        <v>2025 Nationals</v>
      </c>
      <c r="N27" s="8">
        <f>IF(COUNT(AQ27,BT27,CW27)&gt;1,LARGE((AQ27,BT27,CW27),2),0)</f>
        <v>41.500000000000007</v>
      </c>
      <c r="O27" s="8" t="str">
        <f t="shared" si="6"/>
        <v>2025 Elite Canada</v>
      </c>
      <c r="P27" s="8">
        <f t="shared" si="7"/>
        <v>45.5</v>
      </c>
      <c r="Q27" s="8" t="str">
        <f t="shared" si="8"/>
        <v>2025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15.1</v>
      </c>
      <c r="AY27" s="18">
        <v>3.2</v>
      </c>
      <c r="AZ27" s="18">
        <v>0</v>
      </c>
      <c r="BA27" s="18">
        <v>0</v>
      </c>
      <c r="BB27" s="18">
        <v>18.8</v>
      </c>
      <c r="BC27" s="18">
        <v>5.2</v>
      </c>
      <c r="BD27" s="18">
        <v>0.8</v>
      </c>
      <c r="BE27" s="18">
        <v>0</v>
      </c>
      <c r="BF27" s="18"/>
      <c r="BG27" s="18"/>
      <c r="BH27" s="18"/>
      <c r="BI27" s="18"/>
      <c r="BJ27" s="18">
        <v>18.100000000000001</v>
      </c>
      <c r="BK27" s="18">
        <v>6.4</v>
      </c>
      <c r="BL27" s="18">
        <v>0.8</v>
      </c>
      <c r="BM27" s="18">
        <v>0</v>
      </c>
      <c r="BN27" s="18">
        <v>17.399999999999999</v>
      </c>
      <c r="BO27" s="18">
        <v>5.2</v>
      </c>
      <c r="BP27" s="18">
        <v>0.8</v>
      </c>
      <c r="BQ27" s="18">
        <v>0</v>
      </c>
      <c r="BR27" s="28"/>
      <c r="BS27" s="11">
        <f t="shared" si="20"/>
        <v>8.4</v>
      </c>
      <c r="BT27" s="11">
        <f t="shared" si="21"/>
        <v>41.500000000000007</v>
      </c>
      <c r="BU27" s="11" t="str">
        <f t="shared" si="22"/>
        <v/>
      </c>
      <c r="BV27" s="11">
        <f t="shared" si="23"/>
        <v>8.4</v>
      </c>
      <c r="BW27" s="11">
        <f t="shared" si="24"/>
        <v>41.500000000000007</v>
      </c>
      <c r="BX27" s="11">
        <f t="shared" si="25"/>
        <v>11.600000000000001</v>
      </c>
      <c r="BY27" s="11">
        <f t="shared" si="26"/>
        <v>45.5</v>
      </c>
      <c r="BZ27" s="11">
        <f t="shared" si="27"/>
        <v>87</v>
      </c>
      <c r="CA27" s="19">
        <v>16.600000000000001</v>
      </c>
      <c r="CB27" s="19">
        <v>4.4000000000000004</v>
      </c>
      <c r="CC27" s="19">
        <v>0.8</v>
      </c>
      <c r="CD27" s="19">
        <v>0</v>
      </c>
      <c r="CE27" s="19">
        <v>18.600000000000001</v>
      </c>
      <c r="CF27" s="19">
        <v>5.6</v>
      </c>
      <c r="CG27" s="19">
        <v>0</v>
      </c>
      <c r="CH27" s="19">
        <v>0</v>
      </c>
      <c r="CI27" s="19"/>
      <c r="CJ27" s="19"/>
      <c r="CK27" s="19"/>
      <c r="CL27" s="19"/>
      <c r="CM27" s="19">
        <v>15.1</v>
      </c>
      <c r="CN27" s="19">
        <v>2.4</v>
      </c>
      <c r="CO27" s="19">
        <v>0</v>
      </c>
      <c r="CP27" s="19">
        <v>0</v>
      </c>
      <c r="CQ27" s="19">
        <v>18.600000000000001</v>
      </c>
      <c r="CR27" s="19">
        <v>1.3</v>
      </c>
      <c r="CS27" s="19">
        <v>4.2</v>
      </c>
      <c r="CT27" s="19">
        <v>0</v>
      </c>
      <c r="CU27" s="27"/>
      <c r="CV27" s="40">
        <f t="shared" si="28"/>
        <v>10</v>
      </c>
      <c r="CW27" s="40">
        <f t="shared" si="29"/>
        <v>44.400000000000006</v>
      </c>
      <c r="CX27" s="40" t="str">
        <f t="shared" si="30"/>
        <v/>
      </c>
      <c r="CY27" s="40">
        <f t="shared" si="31"/>
        <v>10</v>
      </c>
      <c r="CZ27" s="40">
        <f t="shared" si="32"/>
        <v>44.400000000000006</v>
      </c>
      <c r="DA27" s="40">
        <f t="shared" si="33"/>
        <v>3.7</v>
      </c>
      <c r="DB27" s="40">
        <f t="shared" si="34"/>
        <v>33.199999999999996</v>
      </c>
      <c r="DC27" s="40">
        <f t="shared" si="35"/>
        <v>77.599999999999994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15.850000000000001</v>
      </c>
      <c r="QE27" s="22">
        <f t="shared" si="135"/>
        <v>3.8000000000000003</v>
      </c>
      <c r="QF27" s="22">
        <f t="shared" si="136"/>
        <v>0.4</v>
      </c>
      <c r="QG27" s="22">
        <f t="shared" si="137"/>
        <v>0</v>
      </c>
      <c r="QH27" s="22">
        <f t="shared" si="138"/>
        <v>18.700000000000003</v>
      </c>
      <c r="QI27" s="22">
        <f t="shared" si="139"/>
        <v>5.4</v>
      </c>
      <c r="QJ27" s="22">
        <f t="shared" si="140"/>
        <v>0.4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16.600000000000001</v>
      </c>
      <c r="QQ27" s="22">
        <f t="shared" si="147"/>
        <v>4.4000000000000004</v>
      </c>
      <c r="QR27" s="22">
        <f t="shared" si="148"/>
        <v>0.4</v>
      </c>
      <c r="QS27" s="22">
        <f t="shared" si="149"/>
        <v>0</v>
      </c>
      <c r="QT27" s="22">
        <f t="shared" si="150"/>
        <v>18</v>
      </c>
      <c r="QU27" s="22">
        <f t="shared" si="151"/>
        <v>3.25</v>
      </c>
      <c r="QV27" s="22">
        <f t="shared" si="152"/>
        <v>2.5</v>
      </c>
      <c r="QW27" s="22">
        <f t="shared" si="153"/>
        <v>0</v>
      </c>
      <c r="QX27" s="27" t="s">
        <v>46</v>
      </c>
      <c r="QY27" s="40">
        <f t="shared" si="154"/>
        <v>9.2000000000000011</v>
      </c>
      <c r="QZ27" s="40">
        <f t="shared" si="155"/>
        <v>42.95000000000001</v>
      </c>
      <c r="RA27" s="40" t="str">
        <f t="shared" si="156"/>
        <v/>
      </c>
      <c r="RB27" s="40">
        <f t="shared" si="157"/>
        <v>9.2000000000000011</v>
      </c>
      <c r="RC27" s="40">
        <f t="shared" si="158"/>
        <v>42.95000000000001</v>
      </c>
      <c r="RD27" s="40">
        <f t="shared" si="159"/>
        <v>7.65</v>
      </c>
      <c r="RE27" s="40">
        <f t="shared" si="160"/>
        <v>39.35</v>
      </c>
      <c r="RF27" s="40">
        <f t="shared" si="161"/>
        <v>82.300000000000011</v>
      </c>
    </row>
    <row r="28" spans="1:474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191</v>
      </c>
      <c r="D28" s="4" t="s">
        <v>5</v>
      </c>
      <c r="E28" s="4">
        <v>2007</v>
      </c>
      <c r="F28" s="9">
        <f t="shared" si="0"/>
        <v>97.500004860004864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48.6</v>
      </c>
      <c r="M28" s="8" t="str">
        <f t="shared" si="5"/>
        <v>2025 Nationals</v>
      </c>
      <c r="N28" s="8">
        <f>IF(COUNT(AQ28,BT28,CW28)&gt;1,LARGE((AQ28,BT28,CW28),2),0)</f>
        <v>0</v>
      </c>
      <c r="O28" s="8" t="str">
        <f t="shared" si="6"/>
        <v/>
      </c>
      <c r="P28" s="8">
        <f t="shared" si="7"/>
        <v>48.9</v>
      </c>
      <c r="Q28" s="8" t="str">
        <f t="shared" si="8"/>
        <v>2025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19</v>
      </c>
      <c r="CB28" s="19">
        <v>5.2</v>
      </c>
      <c r="CC28" s="19">
        <v>0.8</v>
      </c>
      <c r="CD28" s="19">
        <v>0</v>
      </c>
      <c r="CE28" s="19">
        <v>18.8</v>
      </c>
      <c r="CF28" s="19">
        <v>6.4</v>
      </c>
      <c r="CG28" s="19">
        <v>0</v>
      </c>
      <c r="CH28" s="19">
        <v>0</v>
      </c>
      <c r="CI28" s="19"/>
      <c r="CJ28" s="19"/>
      <c r="CK28" s="19"/>
      <c r="CL28" s="19"/>
      <c r="CM28" s="19">
        <v>19.100000000000001</v>
      </c>
      <c r="CN28" s="19">
        <v>5.2</v>
      </c>
      <c r="CO28" s="19">
        <v>0.4</v>
      </c>
      <c r="CP28" s="19">
        <v>0</v>
      </c>
      <c r="CQ28" s="19">
        <v>18.8</v>
      </c>
      <c r="CR28" s="19">
        <v>6.4</v>
      </c>
      <c r="CS28" s="19">
        <v>0.2</v>
      </c>
      <c r="CT28" s="19">
        <v>0</v>
      </c>
      <c r="CU28" s="27"/>
      <c r="CV28" s="40">
        <f t="shared" si="28"/>
        <v>11.600000000000001</v>
      </c>
      <c r="CW28" s="40">
        <f t="shared" si="29"/>
        <v>48.6</v>
      </c>
      <c r="CX28" s="40" t="str">
        <f t="shared" si="30"/>
        <v/>
      </c>
      <c r="CY28" s="40">
        <f t="shared" si="31"/>
        <v>11.600000000000001</v>
      </c>
      <c r="CZ28" s="40">
        <f t="shared" si="32"/>
        <v>48.6</v>
      </c>
      <c r="DA28" s="40">
        <f t="shared" si="33"/>
        <v>11.600000000000001</v>
      </c>
      <c r="DB28" s="40">
        <f t="shared" si="34"/>
        <v>48.9</v>
      </c>
      <c r="DC28" s="40">
        <f t="shared" si="35"/>
        <v>97.5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9.5</v>
      </c>
      <c r="QE28" s="22">
        <f t="shared" si="135"/>
        <v>2.6</v>
      </c>
      <c r="QF28" s="22">
        <f t="shared" si="136"/>
        <v>0.4</v>
      </c>
      <c r="QG28" s="22">
        <f t="shared" si="137"/>
        <v>0</v>
      </c>
      <c r="QH28" s="22">
        <f t="shared" si="138"/>
        <v>9.4</v>
      </c>
      <c r="QI28" s="22">
        <f t="shared" si="139"/>
        <v>3.2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9.5500000000000007</v>
      </c>
      <c r="QQ28" s="22">
        <f t="shared" si="147"/>
        <v>2.6</v>
      </c>
      <c r="QR28" s="22">
        <f t="shared" si="148"/>
        <v>0.2</v>
      </c>
      <c r="QS28" s="22">
        <f t="shared" si="149"/>
        <v>0</v>
      </c>
      <c r="QT28" s="22">
        <f t="shared" si="150"/>
        <v>9.4</v>
      </c>
      <c r="QU28" s="22">
        <f t="shared" si="151"/>
        <v>3.2</v>
      </c>
      <c r="QV28" s="22">
        <f t="shared" si="152"/>
        <v>0.1</v>
      </c>
      <c r="QW28" s="22">
        <f t="shared" si="153"/>
        <v>0</v>
      </c>
      <c r="QX28" s="27" t="s">
        <v>46</v>
      </c>
      <c r="QY28" s="40">
        <f t="shared" si="154"/>
        <v>5.8000000000000007</v>
      </c>
      <c r="QZ28" s="40">
        <f t="shared" si="155"/>
        <v>24.3</v>
      </c>
      <c r="RA28" s="40" t="str">
        <f t="shared" si="156"/>
        <v/>
      </c>
      <c r="RB28" s="40">
        <f t="shared" si="157"/>
        <v>5.8000000000000007</v>
      </c>
      <c r="RC28" s="40">
        <f t="shared" si="158"/>
        <v>24.3</v>
      </c>
      <c r="RD28" s="40">
        <f t="shared" si="159"/>
        <v>5.8000000000000007</v>
      </c>
      <c r="RE28" s="40">
        <f t="shared" si="160"/>
        <v>24.45</v>
      </c>
      <c r="RF28" s="40">
        <f t="shared" si="161"/>
        <v>48.75</v>
      </c>
    </row>
    <row r="29" spans="1:474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178</v>
      </c>
      <c r="D29" s="4" t="s">
        <v>5</v>
      </c>
      <c r="E29" s="4">
        <v>2005</v>
      </c>
      <c r="F29" s="9">
        <f t="shared" si="0"/>
        <v>93.200004650004644</v>
      </c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46.5</v>
      </c>
      <c r="M29" s="8" t="str">
        <f t="shared" si="5"/>
        <v>2025 Elite Canada</v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46.7</v>
      </c>
      <c r="Q29" s="8" t="str">
        <f t="shared" si="8"/>
        <v>2025 Elite Canada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>
        <v>18.7</v>
      </c>
      <c r="AY29" s="18">
        <v>4.4000000000000004</v>
      </c>
      <c r="AZ29" s="18">
        <v>0.2</v>
      </c>
      <c r="BA29" s="18">
        <v>0</v>
      </c>
      <c r="BB29" s="18">
        <v>18.399999999999999</v>
      </c>
      <c r="BC29" s="18">
        <v>5.2</v>
      </c>
      <c r="BD29" s="18">
        <v>0</v>
      </c>
      <c r="BE29" s="18">
        <v>0</v>
      </c>
      <c r="BF29" s="18"/>
      <c r="BG29" s="18"/>
      <c r="BH29" s="18"/>
      <c r="BI29" s="18"/>
      <c r="BJ29" s="18">
        <v>18.8</v>
      </c>
      <c r="BK29" s="18">
        <v>5.2</v>
      </c>
      <c r="BL29" s="18">
        <v>0.2</v>
      </c>
      <c r="BM29" s="18">
        <v>0</v>
      </c>
      <c r="BN29" s="18">
        <v>18.5</v>
      </c>
      <c r="BO29" s="18">
        <v>5.2</v>
      </c>
      <c r="BP29" s="18">
        <v>0.8</v>
      </c>
      <c r="BQ29" s="18">
        <v>0</v>
      </c>
      <c r="BR29" s="28"/>
      <c r="BS29" s="11">
        <f t="shared" si="20"/>
        <v>9.6000000000000014</v>
      </c>
      <c r="BT29" s="11">
        <f t="shared" si="21"/>
        <v>46.5</v>
      </c>
      <c r="BU29" s="11" t="str">
        <f t="shared" si="22"/>
        <v/>
      </c>
      <c r="BV29" s="11">
        <f t="shared" si="23"/>
        <v>9.6000000000000014</v>
      </c>
      <c r="BW29" s="11">
        <f t="shared" si="24"/>
        <v>46.5</v>
      </c>
      <c r="BX29" s="11">
        <f t="shared" si="25"/>
        <v>10.4</v>
      </c>
      <c r="BY29" s="11">
        <f t="shared" si="26"/>
        <v>46.7</v>
      </c>
      <c r="BZ29" s="11">
        <f t="shared" si="27"/>
        <v>93.2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9.35</v>
      </c>
      <c r="QE29" s="22">
        <f t="shared" si="135"/>
        <v>2.2000000000000002</v>
      </c>
      <c r="QF29" s="22">
        <f t="shared" si="136"/>
        <v>0.1</v>
      </c>
      <c r="QG29" s="22">
        <f t="shared" si="137"/>
        <v>0</v>
      </c>
      <c r="QH29" s="22">
        <f t="shared" si="138"/>
        <v>9.1999999999999993</v>
      </c>
      <c r="QI29" s="22">
        <f t="shared" si="139"/>
        <v>2.6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9.4</v>
      </c>
      <c r="QQ29" s="22">
        <f t="shared" si="147"/>
        <v>2.6</v>
      </c>
      <c r="QR29" s="22">
        <f t="shared" si="148"/>
        <v>0.1</v>
      </c>
      <c r="QS29" s="22">
        <f t="shared" si="149"/>
        <v>0</v>
      </c>
      <c r="QT29" s="22">
        <f t="shared" si="150"/>
        <v>9.25</v>
      </c>
      <c r="QU29" s="22">
        <f t="shared" si="151"/>
        <v>2.6</v>
      </c>
      <c r="QV29" s="22">
        <f t="shared" si="152"/>
        <v>0.4</v>
      </c>
      <c r="QW29" s="22">
        <f t="shared" si="153"/>
        <v>0</v>
      </c>
      <c r="QX29" s="27" t="s">
        <v>46</v>
      </c>
      <c r="QY29" s="40">
        <f t="shared" si="154"/>
        <v>4.8000000000000007</v>
      </c>
      <c r="QZ29" s="40">
        <f t="shared" si="155"/>
        <v>23.25</v>
      </c>
      <c r="RA29" s="40" t="str">
        <f t="shared" si="156"/>
        <v/>
      </c>
      <c r="RB29" s="40">
        <f t="shared" si="157"/>
        <v>4.8000000000000007</v>
      </c>
      <c r="RC29" s="40">
        <f t="shared" si="158"/>
        <v>23.25</v>
      </c>
      <c r="RD29" s="40">
        <f t="shared" si="159"/>
        <v>5.2</v>
      </c>
      <c r="RE29" s="40">
        <f t="shared" si="160"/>
        <v>23.35</v>
      </c>
      <c r="RF29" s="40">
        <f t="shared" si="161"/>
        <v>46.6</v>
      </c>
    </row>
    <row r="30" spans="1:474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126</v>
      </c>
      <c r="D30" s="4" t="s">
        <v>4</v>
      </c>
      <c r="E30" s="4">
        <v>2007</v>
      </c>
      <c r="F30" s="9">
        <f t="shared" si="0"/>
        <v>92.300009230004648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46.5</v>
      </c>
      <c r="M30" s="8" t="str">
        <f t="shared" si="5"/>
        <v>2025 Elite Canada</v>
      </c>
      <c r="N30" s="8">
        <f>IF(COUNT(AQ30,BT30,CW30)&gt;1,LARGE((AQ30,BT30,CW30),2),0)</f>
        <v>45.8</v>
      </c>
      <c r="O30" s="8" t="str">
        <f t="shared" si="6"/>
        <v>2024 3rd Domestic Trial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19.2</v>
      </c>
      <c r="V30" s="19">
        <v>6</v>
      </c>
      <c r="W30" s="19">
        <v>0</v>
      </c>
      <c r="X30" s="19">
        <v>0</v>
      </c>
      <c r="Y30" s="19">
        <v>17.399999999999999</v>
      </c>
      <c r="Z30" s="19">
        <v>3.2</v>
      </c>
      <c r="AA30" s="19">
        <v>0</v>
      </c>
      <c r="AB30" s="19">
        <v>0</v>
      </c>
      <c r="AC30" s="19">
        <v>18.899999999999999</v>
      </c>
      <c r="AD30" s="19">
        <v>6.4</v>
      </c>
      <c r="AE30" s="19">
        <v>0.6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 t="shared" si="12"/>
        <v>9.1999999999999993</v>
      </c>
      <c r="AQ30" s="40">
        <f t="shared" si="13"/>
        <v>45.8</v>
      </c>
      <c r="AR30" s="40">
        <f t="shared" si="14"/>
        <v>24.699999999999996</v>
      </c>
      <c r="AS30" s="40">
        <f t="shared" si="15"/>
        <v>15.6</v>
      </c>
      <c r="AT30" s="40">
        <f t="shared" si="16"/>
        <v>70.5</v>
      </c>
      <c r="AU30" s="40" t="str">
        <f t="shared" si="17"/>
        <v/>
      </c>
      <c r="AV30" s="40" t="str">
        <f t="shared" si="18"/>
        <v/>
      </c>
      <c r="AW30" s="40">
        <f t="shared" si="19"/>
        <v>70.5</v>
      </c>
      <c r="AX30" s="18">
        <v>18.899999999999999</v>
      </c>
      <c r="AY30" s="18">
        <v>5.6</v>
      </c>
      <c r="AZ30" s="18">
        <v>1.6</v>
      </c>
      <c r="BA30" s="18">
        <v>0</v>
      </c>
      <c r="BB30" s="18">
        <v>19</v>
      </c>
      <c r="BC30" s="18">
        <v>5.6</v>
      </c>
      <c r="BD30" s="18">
        <v>1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 t="shared" si="20"/>
        <v>11.2</v>
      </c>
      <c r="BT30" s="11">
        <f t="shared" si="21"/>
        <v>46.5</v>
      </c>
      <c r="BU30" s="11" t="str">
        <f t="shared" si="22"/>
        <v/>
      </c>
      <c r="BV30" s="11">
        <f t="shared" si="23"/>
        <v>11.2</v>
      </c>
      <c r="BW30" s="11">
        <f t="shared" si="24"/>
        <v>46.5</v>
      </c>
      <c r="BX30" s="11" t="str">
        <f t="shared" si="25"/>
        <v/>
      </c>
      <c r="BY30" s="11" t="str">
        <f t="shared" si="26"/>
        <v/>
      </c>
      <c r="BZ30" s="11">
        <f t="shared" si="27"/>
        <v>46.5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9.4499999999999993</v>
      </c>
      <c r="QE30" s="22">
        <f t="shared" si="135"/>
        <v>2.8</v>
      </c>
      <c r="QF30" s="22">
        <f t="shared" si="136"/>
        <v>0.8</v>
      </c>
      <c r="QG30" s="22">
        <f t="shared" si="137"/>
        <v>0</v>
      </c>
      <c r="QH30" s="22">
        <f t="shared" si="138"/>
        <v>9.5</v>
      </c>
      <c r="QI30" s="22">
        <f t="shared" si="139"/>
        <v>2.8</v>
      </c>
      <c r="QJ30" s="22">
        <f t="shared" si="140"/>
        <v>0.5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7" t="s">
        <v>46</v>
      </c>
      <c r="QY30" s="40">
        <f t="shared" si="154"/>
        <v>5.6</v>
      </c>
      <c r="QZ30" s="40">
        <f t="shared" si="155"/>
        <v>23.25</v>
      </c>
      <c r="RA30" s="40" t="str">
        <f t="shared" si="156"/>
        <v/>
      </c>
      <c r="RB30" s="40">
        <f t="shared" si="157"/>
        <v>5.6</v>
      </c>
      <c r="RC30" s="40">
        <f t="shared" si="158"/>
        <v>23.25</v>
      </c>
      <c r="RD30" s="40" t="str">
        <f t="shared" si="159"/>
        <v/>
      </c>
      <c r="RE30" s="40" t="str">
        <f t="shared" si="160"/>
        <v/>
      </c>
      <c r="RF30" s="40">
        <f t="shared" si="161"/>
        <v>23.25</v>
      </c>
    </row>
    <row r="31" spans="1:474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154</v>
      </c>
      <c r="D31" s="4" t="s">
        <v>3</v>
      </c>
      <c r="E31" s="4">
        <v>2006</v>
      </c>
      <c r="F31" s="9">
        <f t="shared" si="0"/>
        <v>90.200004720004713</v>
      </c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47.199999999999996</v>
      </c>
      <c r="M31" s="8" t="str">
        <f t="shared" si="5"/>
        <v>2025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43</v>
      </c>
      <c r="Q31" s="8" t="str">
        <f t="shared" si="8"/>
        <v>2025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>
        <v>18.2</v>
      </c>
      <c r="CB31" s="19">
        <v>5.2</v>
      </c>
      <c r="CC31" s="19">
        <v>0.2</v>
      </c>
      <c r="CD31" s="19">
        <v>0</v>
      </c>
      <c r="CE31" s="19">
        <v>18.399999999999999</v>
      </c>
      <c r="CF31" s="19">
        <v>5.6</v>
      </c>
      <c r="CG31" s="19">
        <v>0</v>
      </c>
      <c r="CH31" s="19">
        <v>0</v>
      </c>
      <c r="CI31" s="19"/>
      <c r="CJ31" s="19"/>
      <c r="CK31" s="19"/>
      <c r="CL31" s="19"/>
      <c r="CM31" s="19">
        <v>18.3</v>
      </c>
      <c r="CN31" s="19">
        <v>5.2</v>
      </c>
      <c r="CO31" s="19">
        <v>0</v>
      </c>
      <c r="CP31" s="19">
        <v>0</v>
      </c>
      <c r="CQ31" s="19">
        <v>18.5</v>
      </c>
      <c r="CR31" s="19">
        <v>2</v>
      </c>
      <c r="CS31" s="19">
        <v>1</v>
      </c>
      <c r="CT31" s="19">
        <v>0</v>
      </c>
      <c r="CU31" s="27"/>
      <c r="CV31" s="40">
        <f t="shared" si="28"/>
        <v>10.8</v>
      </c>
      <c r="CW31" s="40">
        <f t="shared" si="29"/>
        <v>47.199999999999996</v>
      </c>
      <c r="CX31" s="40" t="str">
        <f t="shared" si="30"/>
        <v/>
      </c>
      <c r="CY31" s="40">
        <f t="shared" si="31"/>
        <v>10.8</v>
      </c>
      <c r="CZ31" s="40">
        <f t="shared" si="32"/>
        <v>47.199999999999996</v>
      </c>
      <c r="DA31" s="40">
        <f t="shared" si="33"/>
        <v>7.2</v>
      </c>
      <c r="DB31" s="40">
        <f t="shared" si="34"/>
        <v>43</v>
      </c>
      <c r="DC31" s="40">
        <f t="shared" si="35"/>
        <v>90.199999999999989</v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9.1</v>
      </c>
      <c r="QE31" s="22">
        <f t="shared" si="135"/>
        <v>2.6</v>
      </c>
      <c r="QF31" s="22">
        <f t="shared" si="136"/>
        <v>0.1</v>
      </c>
      <c r="QG31" s="22">
        <f t="shared" si="137"/>
        <v>0</v>
      </c>
      <c r="QH31" s="22">
        <f t="shared" si="138"/>
        <v>9.1999999999999993</v>
      </c>
      <c r="QI31" s="22">
        <f t="shared" si="139"/>
        <v>2.8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9.15</v>
      </c>
      <c r="QQ31" s="22">
        <f t="shared" si="147"/>
        <v>2.6</v>
      </c>
      <c r="QR31" s="22">
        <f t="shared" si="148"/>
        <v>0</v>
      </c>
      <c r="QS31" s="22">
        <f t="shared" si="149"/>
        <v>0</v>
      </c>
      <c r="QT31" s="22">
        <f t="shared" si="150"/>
        <v>9.25</v>
      </c>
      <c r="QU31" s="22">
        <f t="shared" si="151"/>
        <v>1</v>
      </c>
      <c r="QV31" s="22">
        <f t="shared" si="152"/>
        <v>0.5</v>
      </c>
      <c r="QW31" s="22">
        <f t="shared" si="153"/>
        <v>0</v>
      </c>
      <c r="QX31" s="27" t="s">
        <v>46</v>
      </c>
      <c r="QY31" s="40">
        <f t="shared" si="154"/>
        <v>5.4</v>
      </c>
      <c r="QZ31" s="40">
        <f t="shared" si="155"/>
        <v>23.599999999999998</v>
      </c>
      <c r="RA31" s="40" t="str">
        <f t="shared" si="156"/>
        <v/>
      </c>
      <c r="RB31" s="40">
        <f t="shared" si="157"/>
        <v>5.4</v>
      </c>
      <c r="RC31" s="40">
        <f t="shared" si="158"/>
        <v>23.599999999999998</v>
      </c>
      <c r="RD31" s="40">
        <f t="shared" si="159"/>
        <v>3.6</v>
      </c>
      <c r="RE31" s="40">
        <f t="shared" si="160"/>
        <v>21.5</v>
      </c>
      <c r="RF31" s="40">
        <f t="shared" si="161"/>
        <v>45.099999999999994</v>
      </c>
    </row>
    <row r="32" spans="1:474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192</v>
      </c>
      <c r="D32" s="4" t="s">
        <v>3</v>
      </c>
      <c r="E32" s="4">
        <v>2006</v>
      </c>
      <c r="F32" s="9">
        <f t="shared" si="0"/>
        <v>87.800004530004543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45.300000000000011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42.5</v>
      </c>
      <c r="Q32" s="8" t="str">
        <f t="shared" si="8"/>
        <v>2025 Nationals</v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18.3</v>
      </c>
      <c r="CB32" s="19">
        <v>5.2</v>
      </c>
      <c r="CC32" s="19">
        <v>0.8</v>
      </c>
      <c r="CD32" s="19">
        <v>0</v>
      </c>
      <c r="CE32" s="19">
        <v>18.2</v>
      </c>
      <c r="CF32" s="19">
        <v>5.2</v>
      </c>
      <c r="CG32" s="19">
        <v>0.8</v>
      </c>
      <c r="CH32" s="19">
        <v>0</v>
      </c>
      <c r="CI32" s="19"/>
      <c r="CJ32" s="19"/>
      <c r="CK32" s="19"/>
      <c r="CL32" s="19"/>
      <c r="CM32" s="19">
        <v>18.600000000000001</v>
      </c>
      <c r="CN32" s="19">
        <v>5.2</v>
      </c>
      <c r="CO32" s="19">
        <v>0.2</v>
      </c>
      <c r="CP32" s="19">
        <v>0</v>
      </c>
      <c r="CQ32" s="19">
        <v>18.3</v>
      </c>
      <c r="CR32" s="19">
        <v>2.4</v>
      </c>
      <c r="CS32" s="19">
        <v>1.8</v>
      </c>
      <c r="CT32" s="19">
        <v>0</v>
      </c>
      <c r="CU32" s="27"/>
      <c r="CV32" s="40">
        <f t="shared" si="28"/>
        <v>10.4</v>
      </c>
      <c r="CW32" s="40">
        <f t="shared" si="29"/>
        <v>45.300000000000011</v>
      </c>
      <c r="CX32" s="40" t="str">
        <f t="shared" si="30"/>
        <v/>
      </c>
      <c r="CY32" s="40">
        <f t="shared" si="31"/>
        <v>10.4</v>
      </c>
      <c r="CZ32" s="40">
        <f t="shared" si="32"/>
        <v>45.300000000000011</v>
      </c>
      <c r="DA32" s="40">
        <f t="shared" si="33"/>
        <v>7.6</v>
      </c>
      <c r="DB32" s="40">
        <f t="shared" si="34"/>
        <v>42.5</v>
      </c>
      <c r="DC32" s="40">
        <f t="shared" si="35"/>
        <v>87.800000000000011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9.15</v>
      </c>
      <c r="QE32" s="22">
        <f t="shared" si="135"/>
        <v>2.6</v>
      </c>
      <c r="QF32" s="22">
        <f t="shared" si="136"/>
        <v>0.4</v>
      </c>
      <c r="QG32" s="22">
        <f t="shared" si="137"/>
        <v>0</v>
      </c>
      <c r="QH32" s="22">
        <f t="shared" si="138"/>
        <v>9.1</v>
      </c>
      <c r="QI32" s="22">
        <f t="shared" si="139"/>
        <v>2.6</v>
      </c>
      <c r="QJ32" s="22">
        <f t="shared" si="140"/>
        <v>0.4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9.3000000000000007</v>
      </c>
      <c r="QQ32" s="22">
        <f t="shared" si="147"/>
        <v>2.6</v>
      </c>
      <c r="QR32" s="22">
        <f t="shared" si="148"/>
        <v>0.1</v>
      </c>
      <c r="QS32" s="22">
        <f t="shared" si="149"/>
        <v>0</v>
      </c>
      <c r="QT32" s="22">
        <f t="shared" si="150"/>
        <v>9.15</v>
      </c>
      <c r="QU32" s="22">
        <f t="shared" si="151"/>
        <v>1.2</v>
      </c>
      <c r="QV32" s="22">
        <f t="shared" si="152"/>
        <v>0.9</v>
      </c>
      <c r="QW32" s="22">
        <f t="shared" si="153"/>
        <v>0</v>
      </c>
      <c r="QX32" s="27" t="s">
        <v>46</v>
      </c>
      <c r="QY32" s="40">
        <f t="shared" si="154"/>
        <v>5.2</v>
      </c>
      <c r="QZ32" s="40">
        <f t="shared" si="155"/>
        <v>22.650000000000006</v>
      </c>
      <c r="RA32" s="40" t="str">
        <f t="shared" si="156"/>
        <v/>
      </c>
      <c r="RB32" s="40">
        <f t="shared" si="157"/>
        <v>5.2</v>
      </c>
      <c r="RC32" s="40">
        <f t="shared" si="158"/>
        <v>22.650000000000006</v>
      </c>
      <c r="RD32" s="40">
        <f t="shared" si="159"/>
        <v>3.8</v>
      </c>
      <c r="RE32" s="40">
        <f t="shared" si="160"/>
        <v>21.25</v>
      </c>
      <c r="RF32" s="40">
        <f t="shared" si="161"/>
        <v>43.900000000000006</v>
      </c>
    </row>
    <row r="33" spans="1:47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171</v>
      </c>
      <c r="D33" s="4" t="s">
        <v>4</v>
      </c>
      <c r="E33" s="4">
        <v>2008</v>
      </c>
      <c r="F33" s="9">
        <f t="shared" si="0"/>
        <v>83.200008320004429</v>
      </c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44.300000000000004</v>
      </c>
      <c r="M33" s="8" t="str">
        <f t="shared" si="5"/>
        <v>2025 Elite Canada</v>
      </c>
      <c r="N33" s="8">
        <f>IF(COUNT(AQ33,BT33,CW33)&gt;1,LARGE((AQ33,BT33,CW33),2),0)</f>
        <v>38.899999999999991</v>
      </c>
      <c r="O33" s="8" t="str">
        <f t="shared" si="6"/>
        <v>2025 Nationals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>
        <v>18.600000000000001</v>
      </c>
      <c r="AY33" s="18">
        <v>7.3</v>
      </c>
      <c r="AZ33" s="18">
        <v>0</v>
      </c>
      <c r="BA33" s="18">
        <v>0</v>
      </c>
      <c r="BB33" s="18">
        <v>15.2</v>
      </c>
      <c r="BC33" s="18">
        <v>3.2</v>
      </c>
      <c r="BD33" s="18">
        <v>0</v>
      </c>
      <c r="BE33" s="18">
        <v>0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 t="shared" si="20"/>
        <v>10.5</v>
      </c>
      <c r="BT33" s="11">
        <f t="shared" si="21"/>
        <v>44.300000000000004</v>
      </c>
      <c r="BU33" s="11" t="str">
        <f t="shared" si="22"/>
        <v/>
      </c>
      <c r="BV33" s="11">
        <f t="shared" si="23"/>
        <v>10.5</v>
      </c>
      <c r="BW33" s="11">
        <f t="shared" si="24"/>
        <v>44.300000000000004</v>
      </c>
      <c r="BX33" s="11" t="str">
        <f t="shared" si="25"/>
        <v/>
      </c>
      <c r="BY33" s="11" t="str">
        <f t="shared" si="26"/>
        <v/>
      </c>
      <c r="BZ33" s="11">
        <f t="shared" si="27"/>
        <v>44.300000000000004</v>
      </c>
      <c r="CA33" s="19">
        <v>15.2</v>
      </c>
      <c r="CB33" s="19">
        <v>3.2</v>
      </c>
      <c r="CC33" s="19">
        <v>0</v>
      </c>
      <c r="CD33" s="19">
        <v>0</v>
      </c>
      <c r="CE33" s="19">
        <v>15.4</v>
      </c>
      <c r="CF33" s="19">
        <v>4.8</v>
      </c>
      <c r="CG33" s="19">
        <v>0</v>
      </c>
      <c r="CH33" s="19">
        <v>0.3</v>
      </c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8</v>
      </c>
      <c r="CW33" s="40">
        <f t="shared" si="29"/>
        <v>38.899999999999991</v>
      </c>
      <c r="CX33" s="40" t="str">
        <f t="shared" si="30"/>
        <v/>
      </c>
      <c r="CY33" s="40">
        <f t="shared" si="31"/>
        <v>8</v>
      </c>
      <c r="CZ33" s="40">
        <f t="shared" si="32"/>
        <v>38.899999999999991</v>
      </c>
      <c r="DA33" s="40" t="str">
        <f t="shared" si="33"/>
        <v/>
      </c>
      <c r="DB33" s="40" t="str">
        <f t="shared" si="34"/>
        <v/>
      </c>
      <c r="DC33" s="40">
        <f t="shared" si="35"/>
        <v>38.899999999999991</v>
      </c>
      <c r="DD33" s="50" t="str">
        <f t="shared" si="36"/>
        <v/>
      </c>
      <c r="DE33" s="50" t="str">
        <f t="shared" si="37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22">
        <f t="shared" si="134"/>
        <v>16.899999999999999</v>
      </c>
      <c r="QE33" s="22">
        <f t="shared" si="135"/>
        <v>5.25</v>
      </c>
      <c r="QF33" s="22">
        <f t="shared" si="136"/>
        <v>0</v>
      </c>
      <c r="QG33" s="22">
        <f t="shared" si="137"/>
        <v>0</v>
      </c>
      <c r="QH33" s="22">
        <f t="shared" si="138"/>
        <v>15.3</v>
      </c>
      <c r="QI33" s="22">
        <f t="shared" si="139"/>
        <v>4</v>
      </c>
      <c r="QJ33" s="22">
        <f t="shared" si="140"/>
        <v>0</v>
      </c>
      <c r="QK33" s="22">
        <f t="shared" si="141"/>
        <v>0.15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7" t="s">
        <v>46</v>
      </c>
      <c r="QY33" s="40">
        <f t="shared" si="154"/>
        <v>9.25</v>
      </c>
      <c r="QZ33" s="40">
        <f t="shared" si="155"/>
        <v>41.6</v>
      </c>
      <c r="RA33" s="40" t="str">
        <f t="shared" si="156"/>
        <v/>
      </c>
      <c r="RB33" s="40">
        <f t="shared" si="157"/>
        <v>9.25</v>
      </c>
      <c r="RC33" s="40">
        <f t="shared" si="158"/>
        <v>41.6</v>
      </c>
      <c r="RD33" s="40" t="str">
        <f t="shared" si="159"/>
        <v/>
      </c>
      <c r="RE33" s="40" t="str">
        <f t="shared" si="160"/>
        <v/>
      </c>
      <c r="RF33" s="40">
        <f t="shared" si="161"/>
        <v>41.6</v>
      </c>
    </row>
    <row r="34" spans="1:47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193</v>
      </c>
      <c r="D34" s="4" t="s">
        <v>5</v>
      </c>
      <c r="E34" s="4">
        <v>2008</v>
      </c>
      <c r="F34" s="9">
        <f t="shared" si="0"/>
        <v>80.200003540003522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35.399999999999991</v>
      </c>
      <c r="M34" s="8" t="str">
        <f t="shared" si="5"/>
        <v>2025 Nationals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44.8</v>
      </c>
      <c r="Q34" s="8" t="str">
        <f t="shared" si="8"/>
        <v>2025 Nationals</v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15</v>
      </c>
      <c r="CB34" s="19">
        <v>2.4</v>
      </c>
      <c r="CC34" s="19">
        <v>0</v>
      </c>
      <c r="CD34" s="19">
        <v>0</v>
      </c>
      <c r="CE34" s="19">
        <v>15.2</v>
      </c>
      <c r="CF34" s="19">
        <v>2.8</v>
      </c>
      <c r="CG34" s="19">
        <v>0</v>
      </c>
      <c r="CH34" s="19">
        <v>0</v>
      </c>
      <c r="CI34" s="19"/>
      <c r="CJ34" s="19"/>
      <c r="CK34" s="19"/>
      <c r="CL34" s="19"/>
      <c r="CM34" s="19">
        <v>18.100000000000001</v>
      </c>
      <c r="CN34" s="19">
        <v>4.4000000000000004</v>
      </c>
      <c r="CO34" s="19">
        <v>0.8</v>
      </c>
      <c r="CP34" s="19">
        <v>0</v>
      </c>
      <c r="CQ34" s="19">
        <v>18.3</v>
      </c>
      <c r="CR34" s="19">
        <v>5.6</v>
      </c>
      <c r="CS34" s="19">
        <v>0.8</v>
      </c>
      <c r="CT34" s="19">
        <v>0</v>
      </c>
      <c r="CU34" s="27"/>
      <c r="CV34" s="40">
        <f t="shared" si="28"/>
        <v>5.1999999999999993</v>
      </c>
      <c r="CW34" s="40">
        <f t="shared" si="29"/>
        <v>35.399999999999991</v>
      </c>
      <c r="CX34" s="40" t="str">
        <f t="shared" si="30"/>
        <v/>
      </c>
      <c r="CY34" s="40">
        <f t="shared" si="31"/>
        <v>5.1999999999999993</v>
      </c>
      <c r="CZ34" s="40">
        <f t="shared" si="32"/>
        <v>35.399999999999991</v>
      </c>
      <c r="DA34" s="40">
        <f t="shared" si="33"/>
        <v>10</v>
      </c>
      <c r="DB34" s="40">
        <f t="shared" si="34"/>
        <v>44.8</v>
      </c>
      <c r="DC34" s="40">
        <f t="shared" si="35"/>
        <v>80.199999999999989</v>
      </c>
      <c r="DD34" s="50" t="str">
        <f t="shared" si="36"/>
        <v/>
      </c>
      <c r="DE34" s="50" t="str">
        <f t="shared" si="37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8"/>
        <v/>
      </c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6"/>
        <v/>
      </c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4"/>
        <v/>
      </c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2"/>
        <v/>
      </c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70"/>
        <v/>
      </c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8"/>
        <v/>
      </c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6"/>
        <v/>
      </c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4"/>
        <v/>
      </c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2"/>
        <v/>
      </c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10"/>
        <v/>
      </c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8"/>
        <v/>
      </c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6"/>
        <v/>
      </c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22">
        <f t="shared" si="134"/>
        <v>7.5</v>
      </c>
      <c r="QE34" s="22">
        <f t="shared" si="135"/>
        <v>1.2</v>
      </c>
      <c r="QF34" s="22">
        <f t="shared" si="136"/>
        <v>0</v>
      </c>
      <c r="QG34" s="22">
        <f t="shared" si="137"/>
        <v>0</v>
      </c>
      <c r="QH34" s="22">
        <f t="shared" si="138"/>
        <v>7.6</v>
      </c>
      <c r="QI34" s="22">
        <f t="shared" si="139"/>
        <v>1.4</v>
      </c>
      <c r="QJ34" s="22">
        <f t="shared" si="140"/>
        <v>0</v>
      </c>
      <c r="QK34" s="22">
        <f t="shared" si="141"/>
        <v>0</v>
      </c>
      <c r="QL34" s="22">
        <f t="shared" si="142"/>
        <v>0</v>
      </c>
      <c r="QM34" s="22">
        <f t="shared" si="143"/>
        <v>0</v>
      </c>
      <c r="QN34" s="22">
        <f t="shared" si="144"/>
        <v>0</v>
      </c>
      <c r="QO34" s="22">
        <f t="shared" si="145"/>
        <v>0</v>
      </c>
      <c r="QP34" s="22">
        <f t="shared" si="146"/>
        <v>9.0500000000000007</v>
      </c>
      <c r="QQ34" s="22">
        <f t="shared" si="147"/>
        <v>2.2000000000000002</v>
      </c>
      <c r="QR34" s="22">
        <f t="shared" si="148"/>
        <v>0.4</v>
      </c>
      <c r="QS34" s="22">
        <f t="shared" si="149"/>
        <v>0</v>
      </c>
      <c r="QT34" s="22">
        <f t="shared" si="150"/>
        <v>9.15</v>
      </c>
      <c r="QU34" s="22">
        <f t="shared" si="151"/>
        <v>2.8</v>
      </c>
      <c r="QV34" s="22">
        <f t="shared" si="152"/>
        <v>0.4</v>
      </c>
      <c r="QW34" s="22">
        <f t="shared" si="153"/>
        <v>0</v>
      </c>
      <c r="QX34" s="27" t="s">
        <v>46</v>
      </c>
      <c r="QY34" s="40">
        <f t="shared" si="154"/>
        <v>2.5999999999999996</v>
      </c>
      <c r="QZ34" s="40">
        <f t="shared" si="155"/>
        <v>17.699999999999996</v>
      </c>
      <c r="RA34" s="40" t="str">
        <f t="shared" si="156"/>
        <v/>
      </c>
      <c r="RB34" s="40">
        <f t="shared" si="157"/>
        <v>2.5999999999999996</v>
      </c>
      <c r="RC34" s="40">
        <f t="shared" si="158"/>
        <v>17.699999999999996</v>
      </c>
      <c r="RD34" s="40">
        <f t="shared" si="159"/>
        <v>5</v>
      </c>
      <c r="RE34" s="40">
        <f t="shared" si="160"/>
        <v>22.4</v>
      </c>
      <c r="RF34" s="40">
        <f t="shared" si="161"/>
        <v>40.099999999999994</v>
      </c>
    </row>
    <row r="35" spans="1:47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134</v>
      </c>
      <c r="D35" s="4" t="s">
        <v>5</v>
      </c>
      <c r="E35" s="4">
        <v>2007</v>
      </c>
      <c r="F35" s="9">
        <f t="shared" si="0"/>
        <v>46.300004630004629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46.3</v>
      </c>
      <c r="M35" s="8" t="str">
        <f t="shared" si="5"/>
        <v>2024 3rd Domestic Trial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>
        <v>16.7</v>
      </c>
      <c r="V35" s="19">
        <v>6</v>
      </c>
      <c r="W35" s="19">
        <v>1</v>
      </c>
      <c r="X35" s="19">
        <v>0</v>
      </c>
      <c r="Y35" s="19">
        <v>18.8</v>
      </c>
      <c r="Z35" s="19">
        <v>6.4</v>
      </c>
      <c r="AA35" s="19">
        <v>0.6</v>
      </c>
      <c r="AB35" s="19">
        <v>0</v>
      </c>
      <c r="AC35" s="19">
        <v>18.8</v>
      </c>
      <c r="AD35" s="19">
        <v>5.6</v>
      </c>
      <c r="AE35" s="19">
        <v>0.4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 t="shared" si="12"/>
        <v>12.4</v>
      </c>
      <c r="AQ35" s="40">
        <f t="shared" si="13"/>
        <v>46.3</v>
      </c>
      <c r="AR35" s="40">
        <f t="shared" si="14"/>
        <v>24</v>
      </c>
      <c r="AS35" s="40">
        <f t="shared" si="15"/>
        <v>18</v>
      </c>
      <c r="AT35" s="40">
        <f t="shared" si="16"/>
        <v>70.3</v>
      </c>
      <c r="AU35" s="40" t="str">
        <f t="shared" si="17"/>
        <v/>
      </c>
      <c r="AV35" s="40" t="str">
        <f t="shared" si="18"/>
        <v/>
      </c>
      <c r="AW35" s="40">
        <f t="shared" si="19"/>
        <v>70.3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8"/>
        <v/>
      </c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6"/>
        <v/>
      </c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4"/>
        <v/>
      </c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2"/>
        <v/>
      </c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70"/>
        <v/>
      </c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8"/>
        <v/>
      </c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6"/>
        <v/>
      </c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4"/>
        <v/>
      </c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2"/>
        <v/>
      </c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10"/>
        <v/>
      </c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8"/>
        <v/>
      </c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6"/>
        <v/>
      </c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22">
        <f t="shared" si="134"/>
        <v>0</v>
      </c>
      <c r="QE35" s="22">
        <f t="shared" si="135"/>
        <v>0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7" t="s">
        <v>46</v>
      </c>
      <c r="QY35" s="40" t="str">
        <f t="shared" si="154"/>
        <v/>
      </c>
      <c r="QZ35" s="40" t="str">
        <f t="shared" si="155"/>
        <v/>
      </c>
      <c r="RA35" s="40" t="str">
        <f t="shared" si="156"/>
        <v/>
      </c>
      <c r="RB35" s="40" t="str">
        <f t="shared" si="157"/>
        <v/>
      </c>
      <c r="RC35" s="40" t="str">
        <f t="shared" si="158"/>
        <v/>
      </c>
      <c r="RD35" s="40" t="str">
        <f t="shared" si="159"/>
        <v/>
      </c>
      <c r="RE35" s="40" t="str">
        <f t="shared" si="160"/>
        <v/>
      </c>
      <c r="RF35" s="40" t="str">
        <f t="shared" si="161"/>
        <v/>
      </c>
    </row>
    <row r="36" spans="1:47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153</v>
      </c>
      <c r="D36" s="4" t="s">
        <v>6</v>
      </c>
      <c r="E36" s="4">
        <v>2006</v>
      </c>
      <c r="F36" s="9">
        <f t="shared" si="0"/>
        <v>36.100003610003604</v>
      </c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36.099999999999994</v>
      </c>
      <c r="M36" s="8" t="str">
        <f t="shared" si="5"/>
        <v>2025 Elite Canada</v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>
        <v>15.6</v>
      </c>
      <c r="AY36" s="18">
        <v>2.4</v>
      </c>
      <c r="AZ36" s="18">
        <v>0</v>
      </c>
      <c r="BA36" s="18">
        <v>0</v>
      </c>
      <c r="BB36" s="18">
        <v>15.3</v>
      </c>
      <c r="BC36" s="18">
        <v>2.8</v>
      </c>
      <c r="BD36" s="18">
        <v>0</v>
      </c>
      <c r="BE36" s="18">
        <v>0</v>
      </c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 t="shared" si="20"/>
        <v>5.1999999999999993</v>
      </c>
      <c r="BT36" s="11">
        <f t="shared" si="21"/>
        <v>36.099999999999994</v>
      </c>
      <c r="BU36" s="11" t="str">
        <f t="shared" si="22"/>
        <v/>
      </c>
      <c r="BV36" s="11">
        <f t="shared" si="23"/>
        <v>5.1999999999999993</v>
      </c>
      <c r="BW36" s="11">
        <f t="shared" si="24"/>
        <v>36.099999999999994</v>
      </c>
      <c r="BX36" s="11" t="str">
        <f t="shared" si="25"/>
        <v/>
      </c>
      <c r="BY36" s="11" t="str">
        <f t="shared" si="26"/>
        <v/>
      </c>
      <c r="BZ36" s="11">
        <f t="shared" si="27"/>
        <v>36.099999999999994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8"/>
        <v/>
      </c>
      <c r="CW36" s="40" t="str">
        <f t="shared" si="29"/>
        <v/>
      </c>
      <c r="CX36" s="40" t="str">
        <f t="shared" si="30"/>
        <v/>
      </c>
      <c r="CY36" s="40" t="str">
        <f t="shared" si="31"/>
        <v/>
      </c>
      <c r="CZ36" s="40" t="str">
        <f t="shared" si="32"/>
        <v/>
      </c>
      <c r="DA36" s="40" t="str">
        <f t="shared" si="33"/>
        <v/>
      </c>
      <c r="DB36" s="40" t="str">
        <f t="shared" si="34"/>
        <v/>
      </c>
      <c r="DC36" s="40" t="str">
        <f t="shared" si="35"/>
        <v/>
      </c>
      <c r="DD36" s="50" t="str">
        <f t="shared" si="36"/>
        <v/>
      </c>
      <c r="DE36" s="50" t="str">
        <f t="shared" si="37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8"/>
        <v/>
      </c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6"/>
        <v/>
      </c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4"/>
        <v/>
      </c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2"/>
        <v/>
      </c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70"/>
        <v/>
      </c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8"/>
        <v/>
      </c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6"/>
        <v/>
      </c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4"/>
        <v/>
      </c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2"/>
        <v/>
      </c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10"/>
        <v/>
      </c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8"/>
        <v/>
      </c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6"/>
        <v/>
      </c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22">
        <f t="shared" si="134"/>
        <v>7.8</v>
      </c>
      <c r="QE36" s="22">
        <f t="shared" si="135"/>
        <v>1.2</v>
      </c>
      <c r="QF36" s="22">
        <f t="shared" si="136"/>
        <v>0</v>
      </c>
      <c r="QG36" s="22">
        <f t="shared" si="137"/>
        <v>0</v>
      </c>
      <c r="QH36" s="22">
        <f t="shared" si="138"/>
        <v>7.65</v>
      </c>
      <c r="QI36" s="22">
        <f t="shared" si="139"/>
        <v>1.4</v>
      </c>
      <c r="QJ36" s="22">
        <f t="shared" si="140"/>
        <v>0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7" t="s">
        <v>46</v>
      </c>
      <c r="QY36" s="40">
        <f t="shared" si="154"/>
        <v>2.5999999999999996</v>
      </c>
      <c r="QZ36" s="40">
        <f t="shared" si="155"/>
        <v>18.049999999999997</v>
      </c>
      <c r="RA36" s="40" t="str">
        <f t="shared" si="156"/>
        <v/>
      </c>
      <c r="RB36" s="40">
        <f t="shared" si="157"/>
        <v>2.5999999999999996</v>
      </c>
      <c r="RC36" s="40">
        <f t="shared" si="158"/>
        <v>18.049999999999997</v>
      </c>
      <c r="RD36" s="40" t="str">
        <f t="shared" si="159"/>
        <v/>
      </c>
      <c r="RE36" s="40" t="str">
        <f t="shared" si="160"/>
        <v/>
      </c>
      <c r="RF36" s="40">
        <f t="shared" si="161"/>
        <v>18.049999999999997</v>
      </c>
    </row>
    <row r="37" spans="1:474" ht="17" x14ac:dyDescent="0.2">
      <c r="R37" s="10"/>
      <c r="S37" s="10"/>
      <c r="T37" s="10"/>
    </row>
    <row r="38" spans="1:474" ht="17" x14ac:dyDescent="0.2">
      <c r="R38" s="10"/>
      <c r="S38" s="10"/>
      <c r="T38" s="10"/>
    </row>
    <row r="39" spans="1:474" ht="17" x14ac:dyDescent="0.2">
      <c r="C39" s="23" t="s">
        <v>44</v>
      </c>
      <c r="R39" s="10"/>
      <c r="S39" s="10"/>
      <c r="T39" s="10"/>
      <c r="AP39" s="4"/>
      <c r="AW39" s="42">
        <v>11.2</v>
      </c>
      <c r="BS39" s="4"/>
      <c r="BZ39" s="42">
        <v>14.8</v>
      </c>
      <c r="CV39" s="4"/>
      <c r="DC39" s="42">
        <v>14.8</v>
      </c>
      <c r="DZ39" s="4"/>
      <c r="EG39" s="42">
        <v>14.8</v>
      </c>
      <c r="FB39" s="4"/>
      <c r="FI39" s="42">
        <v>14.8</v>
      </c>
      <c r="GD39" s="4"/>
      <c r="GK39" s="42">
        <v>14.8</v>
      </c>
      <c r="HF39" s="4"/>
      <c r="HM39" s="42">
        <v>14.8</v>
      </c>
      <c r="IH39" s="4"/>
      <c r="IO39" s="42">
        <v>14.8</v>
      </c>
      <c r="JJ39" s="4"/>
      <c r="JQ39" s="42">
        <v>14.8</v>
      </c>
      <c r="KL39" s="4"/>
      <c r="KS39" s="42">
        <v>14.8</v>
      </c>
      <c r="LN39" s="4"/>
      <c r="LU39" s="42">
        <v>14.8</v>
      </c>
      <c r="MP39" s="4"/>
      <c r="MW39" s="42">
        <v>14.8</v>
      </c>
      <c r="NR39" s="4"/>
      <c r="NY39" s="42">
        <v>14.8</v>
      </c>
      <c r="OT39" s="4"/>
      <c r="PA39" s="42">
        <v>14.8</v>
      </c>
      <c r="PV39" s="4"/>
      <c r="QC39" s="42">
        <v>14.8</v>
      </c>
    </row>
    <row r="40" spans="1:474" ht="17" hidden="1" x14ac:dyDescent="0.2">
      <c r="C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DZ40" s="4"/>
      <c r="EG40" s="51">
        <v>1000</v>
      </c>
      <c r="FB40" s="4"/>
      <c r="FI40" s="51">
        <v>1000</v>
      </c>
      <c r="GD40" s="4"/>
      <c r="GK40" s="51">
        <v>1000</v>
      </c>
      <c r="HF40" s="4"/>
      <c r="HM40" s="51">
        <v>1000</v>
      </c>
      <c r="IH40" s="4"/>
      <c r="IO40" s="51">
        <v>1000</v>
      </c>
      <c r="JJ40" s="4"/>
      <c r="JQ40" s="51">
        <v>1000</v>
      </c>
      <c r="KL40" s="4"/>
      <c r="KS40" s="51">
        <v>1000</v>
      </c>
      <c r="LN40" s="4"/>
      <c r="LU40" s="51">
        <v>1000</v>
      </c>
      <c r="MP40" s="4"/>
      <c r="MW40" s="51">
        <v>1000</v>
      </c>
      <c r="NR40" s="4"/>
      <c r="NY40" s="51">
        <v>1000</v>
      </c>
      <c r="OT40" s="4"/>
      <c r="PA40" s="51">
        <v>1000</v>
      </c>
      <c r="PV40" s="4"/>
      <c r="QC40" s="51">
        <v>1000</v>
      </c>
    </row>
    <row r="41" spans="1:474" ht="17" hidden="1" x14ac:dyDescent="0.2">
      <c r="A41" s="5"/>
      <c r="B41" s="5"/>
      <c r="C41" s="31" t="s">
        <v>55</v>
      </c>
      <c r="D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DZ41" s="4"/>
      <c r="EG41" s="43">
        <v>1000</v>
      </c>
      <c r="FB41" s="4"/>
      <c r="FI41" s="43">
        <v>1000</v>
      </c>
      <c r="GD41" s="4"/>
      <c r="GK41" s="43">
        <v>1000</v>
      </c>
      <c r="HF41" s="4"/>
      <c r="HM41" s="43">
        <v>1000</v>
      </c>
      <c r="IH41" s="4"/>
      <c r="IO41" s="43">
        <v>1000</v>
      </c>
      <c r="JJ41" s="4"/>
      <c r="JQ41" s="43">
        <v>1000</v>
      </c>
      <c r="KL41" s="4"/>
      <c r="KS41" s="43">
        <v>1000</v>
      </c>
      <c r="LN41" s="4"/>
      <c r="LU41" s="43">
        <v>1000</v>
      </c>
      <c r="MP41" s="4"/>
      <c r="MW41" s="43">
        <v>1000</v>
      </c>
      <c r="NR41" s="4"/>
      <c r="NY41" s="43">
        <v>1000</v>
      </c>
      <c r="OT41" s="4"/>
      <c r="PA41" s="43">
        <v>1000</v>
      </c>
      <c r="PV41" s="4"/>
      <c r="QC41" s="43">
        <v>1000</v>
      </c>
    </row>
    <row r="42" spans="1:474" ht="17" hidden="1" x14ac:dyDescent="0.2">
      <c r="A42" s="5"/>
      <c r="B42" s="5"/>
      <c r="C42" s="35" t="s">
        <v>60</v>
      </c>
      <c r="D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DZ42" s="4"/>
      <c r="EG42" s="62">
        <v>1000</v>
      </c>
      <c r="FB42" s="4"/>
      <c r="FI42" s="62">
        <v>1000</v>
      </c>
      <c r="GD42" s="4"/>
      <c r="GK42" s="62">
        <v>1000</v>
      </c>
      <c r="HF42" s="4"/>
      <c r="HM42" s="62">
        <v>1000</v>
      </c>
      <c r="IH42" s="4"/>
      <c r="IO42" s="62">
        <v>1000</v>
      </c>
      <c r="JJ42" s="4"/>
      <c r="JQ42" s="62">
        <v>1000</v>
      </c>
      <c r="KL42" s="4"/>
      <c r="KS42" s="62">
        <v>1000</v>
      </c>
      <c r="LN42" s="4"/>
      <c r="LU42" s="62">
        <v>1000</v>
      </c>
      <c r="MP42" s="4"/>
      <c r="MW42" s="62">
        <v>1000</v>
      </c>
      <c r="NR42" s="4"/>
      <c r="NY42" s="62">
        <v>1000</v>
      </c>
      <c r="OT42" s="4"/>
      <c r="PA42" s="62">
        <v>1000</v>
      </c>
      <c r="PV42" s="4"/>
      <c r="QC42" s="62">
        <v>1000</v>
      </c>
    </row>
    <row r="43" spans="1:474" ht="17" x14ac:dyDescent="0.2">
      <c r="A43" s="5"/>
      <c r="B43" s="5"/>
      <c r="C43" s="34" t="s">
        <v>41</v>
      </c>
      <c r="D43" s="20"/>
      <c r="R43" s="10"/>
      <c r="S43" s="10"/>
      <c r="T43" s="10"/>
      <c r="AP43" s="4"/>
      <c r="AW43" s="63">
        <v>48</v>
      </c>
      <c r="BS43" s="4"/>
      <c r="BZ43" s="63">
        <v>51.6</v>
      </c>
      <c r="CV43" s="4"/>
      <c r="DC43" s="63">
        <v>51.6</v>
      </c>
      <c r="DZ43" s="4"/>
      <c r="EG43" s="63">
        <v>51.6</v>
      </c>
      <c r="FB43" s="4"/>
      <c r="FI43" s="63">
        <v>51.6</v>
      </c>
      <c r="GD43" s="4"/>
      <c r="GK43" s="63">
        <v>51.6</v>
      </c>
      <c r="HF43" s="4"/>
      <c r="HM43" s="63">
        <v>51.6</v>
      </c>
      <c r="IH43" s="4"/>
      <c r="IO43" s="63">
        <v>51.6</v>
      </c>
      <c r="JJ43" s="4"/>
      <c r="JQ43" s="63">
        <v>51.6</v>
      </c>
      <c r="KL43" s="4"/>
      <c r="KS43" s="63">
        <v>51.6</v>
      </c>
      <c r="LN43" s="4"/>
      <c r="LU43" s="63">
        <v>51.6</v>
      </c>
      <c r="MP43" s="4"/>
      <c r="MW43" s="63">
        <v>51.6</v>
      </c>
      <c r="NR43" s="4"/>
      <c r="NY43" s="63">
        <v>51.6</v>
      </c>
      <c r="OT43" s="4"/>
      <c r="PA43" s="63">
        <v>51.6</v>
      </c>
      <c r="PV43" s="4"/>
      <c r="QC43" s="63">
        <v>51.6</v>
      </c>
    </row>
    <row r="44" spans="1:474" ht="17" hidden="1" x14ac:dyDescent="0.2">
      <c r="A44" s="5"/>
      <c r="B44" s="5"/>
      <c r="C44" s="24" t="s">
        <v>42</v>
      </c>
      <c r="D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DZ44" s="4"/>
      <c r="EG44" s="46">
        <v>1000</v>
      </c>
      <c r="FB44" s="4"/>
      <c r="FI44" s="46">
        <v>1000</v>
      </c>
      <c r="GD44" s="4"/>
      <c r="GK44" s="46">
        <v>1000</v>
      </c>
      <c r="HF44" s="4"/>
      <c r="HM44" s="46">
        <v>1000</v>
      </c>
      <c r="IH44" s="4"/>
      <c r="IO44" s="46">
        <v>1000</v>
      </c>
      <c r="JJ44" s="4"/>
      <c r="JQ44" s="46">
        <v>1000</v>
      </c>
      <c r="KL44" s="4"/>
      <c r="KS44" s="46">
        <v>1000</v>
      </c>
      <c r="LN44" s="4"/>
      <c r="LU44" s="46">
        <v>1000</v>
      </c>
      <c r="MP44" s="4"/>
      <c r="MW44" s="46">
        <v>1000</v>
      </c>
      <c r="NR44" s="4"/>
      <c r="NY44" s="46">
        <v>1000</v>
      </c>
      <c r="OT44" s="4"/>
      <c r="PA44" s="46">
        <v>1000</v>
      </c>
      <c r="PV44" s="4"/>
      <c r="QC44" s="46">
        <v>1000</v>
      </c>
    </row>
    <row r="45" spans="1:474" ht="17" hidden="1" x14ac:dyDescent="0.2">
      <c r="A45" s="5"/>
      <c r="B45" s="5"/>
      <c r="C45" s="33" t="s">
        <v>54</v>
      </c>
      <c r="D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DZ45" s="4"/>
      <c r="EG45" s="47">
        <v>1000</v>
      </c>
      <c r="FB45" s="4"/>
      <c r="FI45" s="47">
        <v>1000</v>
      </c>
      <c r="GD45" s="4"/>
      <c r="GK45" s="47">
        <v>1000</v>
      </c>
      <c r="HF45" s="4"/>
      <c r="HM45" s="47">
        <v>1000</v>
      </c>
      <c r="IH45" s="4"/>
      <c r="IO45" s="47">
        <v>1000</v>
      </c>
      <c r="JJ45" s="4"/>
      <c r="JQ45" s="47">
        <v>1000</v>
      </c>
      <c r="KL45" s="4"/>
      <c r="KS45" s="47">
        <v>1000</v>
      </c>
      <c r="LN45" s="4"/>
      <c r="LU45" s="47">
        <v>1000</v>
      </c>
      <c r="MP45" s="4"/>
      <c r="MW45" s="47">
        <v>1000</v>
      </c>
      <c r="NR45" s="4"/>
      <c r="NY45" s="47">
        <v>1000</v>
      </c>
      <c r="OT45" s="4"/>
      <c r="PA45" s="47">
        <v>1000</v>
      </c>
      <c r="PV45" s="4"/>
      <c r="QC45" s="47">
        <v>1000</v>
      </c>
    </row>
    <row r="46" spans="1:474" ht="17" hidden="1" x14ac:dyDescent="0.2">
      <c r="A46" s="5"/>
      <c r="B46" s="5"/>
      <c r="C46" s="25" t="s">
        <v>27</v>
      </c>
      <c r="D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DZ46" s="4"/>
      <c r="EG46" s="48">
        <v>1000</v>
      </c>
      <c r="FB46" s="4"/>
      <c r="FI46" s="48">
        <v>1000</v>
      </c>
      <c r="GD46" s="4"/>
      <c r="GK46" s="48">
        <v>1000</v>
      </c>
      <c r="HF46" s="4"/>
      <c r="HM46" s="48">
        <v>1000</v>
      </c>
      <c r="IH46" s="4"/>
      <c r="IO46" s="48">
        <v>1000</v>
      </c>
      <c r="JJ46" s="4"/>
      <c r="JQ46" s="48">
        <v>1000</v>
      </c>
      <c r="KL46" s="4"/>
      <c r="KS46" s="48">
        <v>1000</v>
      </c>
      <c r="LN46" s="4"/>
      <c r="LU46" s="48">
        <v>1000</v>
      </c>
      <c r="MP46" s="4"/>
      <c r="MW46" s="48">
        <v>1000</v>
      </c>
      <c r="NR46" s="4"/>
      <c r="NY46" s="48">
        <v>1000</v>
      </c>
      <c r="OT46" s="4"/>
      <c r="PA46" s="48">
        <v>1000</v>
      </c>
      <c r="PV46" s="4"/>
      <c r="QC46" s="48">
        <v>1000</v>
      </c>
    </row>
    <row r="47" spans="1:474" x14ac:dyDescent="0.2">
      <c r="C47" s="29" t="s">
        <v>47</v>
      </c>
      <c r="D47" s="2"/>
    </row>
    <row r="48" spans="1:474" x14ac:dyDescent="0.2">
      <c r="A48" s="5"/>
      <c r="B48" s="5"/>
      <c r="C48" s="5"/>
      <c r="D48" s="20"/>
      <c r="QE48" s="2"/>
      <c r="QF48" s="2"/>
      <c r="QG48" s="2"/>
      <c r="QH48" s="2"/>
      <c r="QI48" s="2"/>
      <c r="QJ48" s="2"/>
      <c r="QK48" s="2"/>
      <c r="QL48" s="2"/>
      <c r="QM48" s="2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20"/>
    </row>
    <row r="51" spans="1:4" x14ac:dyDescent="0.2">
      <c r="A51" s="5"/>
      <c r="B51" s="5"/>
      <c r="C51" s="5"/>
      <c r="D51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6">
      <sortCondition descending="1" ref="H1:H37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</mergeCells>
  <conditionalFormatting sqref="U4:AW36">
    <cfRule type="expression" dxfId="59" priority="7" stopIfTrue="1">
      <formula>IF($AO4&lt;&gt;"",1,0)</formula>
    </cfRule>
  </conditionalFormatting>
  <conditionalFormatting sqref="AX4:BZ36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6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7:AT1048576 BW47:BW1048576 ED47:ED1048576 FF47:FF1048576 BW1:BW45 CZ1:CZ1048576 ED1:ED45 FF1:FF45 GH1:GH1048576 HJ1:HJ1048576 IL1:IL1048576 JN1:JN1048576 KP1:KP1048576 LR1:LR1048576 MT1:MT1048576 NV1:NV1048576 OX1:OX1048576 PZ1:PZ1048576 AT1:AT45">
    <cfRule type="cellIs" dxfId="46" priority="59088" operator="between">
      <formula>AW$46</formula>
      <formula>1000</formula>
    </cfRule>
    <cfRule type="cellIs" dxfId="45" priority="59089" operator="between">
      <formula>AW$45</formula>
      <formula>AW$46</formula>
    </cfRule>
    <cfRule type="cellIs" dxfId="44" priority="59090" operator="between">
      <formula>AW$44</formula>
      <formula>AW$45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54403" operator="between">
      <formula>AW$39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54448" operator="between">
      <formula>AW$43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54493" operator="between">
      <formula>AW$39</formula>
      <formula>AW$40</formula>
    </cfRule>
    <cfRule type="cellIs" dxfId="39" priority="254494" operator="between">
      <formula>AW$40</formula>
      <formula>AW$41</formula>
    </cfRule>
    <cfRule type="cellIs" dxfId="38" priority="254495" operator="between">
      <formula>AW$41</formula>
      <formula>AW$42</formula>
    </cfRule>
    <cfRule type="cellIs" dxfId="37" priority="254496" operator="between">
      <formula>AW$42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54673" operator="between">
      <formula>AW$43</formula>
      <formula>AW$44</formula>
    </cfRule>
    <cfRule type="cellIs" dxfId="35" priority="254674" operator="between">
      <formula>AW$44</formula>
      <formula>AW$45</formula>
    </cfRule>
    <cfRule type="cellIs" dxfId="34" priority="254675" operator="between">
      <formula>AW$45</formula>
      <formula>AW$46</formula>
    </cfRule>
    <cfRule type="cellIs" dxfId="33" priority="254676" operator="between">
      <formula>AW$46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54853" operator="between">
      <formula>AW$42</formula>
      <formula>1000</formula>
    </cfRule>
    <cfRule type="cellIs" dxfId="31" priority="254854" operator="between">
      <formula>AW$41</formula>
      <formula>AW$42</formula>
    </cfRule>
    <cfRule type="cellIs" dxfId="30" priority="254855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187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DD"),SUMPRODUCT((J$4:J$33&lt;&gt;"")*(J$4:J$33&lt;&gt;"No DD")*(F$4:F$33&gt;F4))+1,IF(J4="No DD",SUMPRODUCT((J$4:J$33="No DD")*(F$4:F$33&gt;F4))+1+SUMPRODUCT((J$4:J$33&lt;&gt;"")*(J$4:J$33&lt;&gt;"No DD")),""))</f>
        <v>1</v>
      </c>
      <c r="B4" s="4" t="str" cm="1">
        <f t="array" ref="B4">IF(AND(J4&lt;&gt;"",J4&lt;&gt;"No DD",G4=""),SUMPRODUCT((J$4:J$33&lt;&gt;"")*(J$4:J$33&lt;&gt;"No DD")*(G$4:G$33="")*(F$4:F$33&gt;F4))+1,IF(J4="No DD",SUMPRODUCT((J$4:J$33="No DD")*(F$4:F$33&gt;F4)*(G$4:G$33=""))+1+SUMPRODUCT((J$4:J$33&lt;&gt;"")*(G$4:G$33="")*(J$4:J$33&lt;&gt;"No DD")),""))</f>
        <v/>
      </c>
      <c r="C4" s="5" t="s">
        <v>130</v>
      </c>
      <c r="D4" s="4" t="s">
        <v>5</v>
      </c>
      <c r="E4" s="4">
        <v>2007</v>
      </c>
      <c r="F4" s="9">
        <f t="shared" ref="F4:F32" si="0">SUM(L4:R4)+SUM(L4:O4)*0.0000001+SUM(L4)*0.0000000000001</f>
        <v>153.70001023500515</v>
      </c>
      <c r="G4" s="64" t="s">
        <v>46</v>
      </c>
      <c r="H4" s="3" t="str">
        <f t="shared" ref="H4:H32" si="1">IF(OR(AND(AP4&gt;=AW$35,AQ4&gt;=AW$39,AP4&lt;&gt;"",AO4=""),AND(AU4&gt;=AW$35,AV4&gt;=AW$39,AU4&lt;&gt;"",AO4=""),AND(BS4&gt;=BZ$35,BT4&gt;=BZ$39,BS4&lt;&gt;"",BR4=""),AND(BX4&gt;=BZ$35,BY4&gt;=BZ$39,BX4&lt;&gt;"",BR4=""),AND(CV4&gt;=DC$35,CW4&gt;=DC$39,CV4&lt;&gt;"",CU4=""),AND(DA4&gt;=DC$35,DB4&gt;=DC$39,DA4&lt;&gt;""),AND(DZ4&gt;=EG$35,EA4&gt;=EG$39,DZ4&lt;&gt;""),AND(EE4&gt;=EG$35,EF4&gt;=EG$39,EE4&lt;&gt;""),AND(FB4&gt;=FI$35,FC4&gt;=FI$39,FB4&lt;&gt;""),AND(FG4&gt;=FI$35,FH4&gt;=FI$39,FG4&lt;&gt;""),AND(GD4&gt;=GK$35,GE4&gt;=GK$39,GD4&lt;&gt;""),AND(GI4&gt;=GK$35,GJ4&gt;=GK$39,GI4&lt;&gt;""),AND(HF4&gt;=HM$35,HG4&gt;=HM$39,HF4&lt;&gt;""),AND(HK4&gt;=HM$35,HL4&gt;=HM$39,HK4&lt;&gt;""),AND(IH4&gt;=IO$35,II4&gt;=IO$39,IH4&lt;&gt;""),AND(IM4&gt;=IO$35,IN4&gt;=IO$39,IM4&lt;&gt;""),AND(JJ4&gt;=JQ$35,JK4&gt;=JQ$39,JJ4&lt;&gt;""),AND(JO4&gt;=JQ$35,JP4&gt;=JQ$39,JO4&lt;&gt;""),AND(KL4&gt;=KS$35,KM4&gt;=KS$39,KL4&lt;&gt;""),AND(KQ4&gt;=KS$35,KR4&gt;=KS$39,KQ4&lt;&gt;""),AND(LN4&gt;=LU$35,LO4&gt;=LU$39,LN4&lt;&gt;""),AND(LS4&gt;=LU$35,LT4&gt;=LU$39,LS4&lt;&gt;""),AND(MP4&gt;=MW$35,MQ4&gt;=MW$39,MP4&lt;&gt;""),AND(MU4&gt;=MW$35,MV4&gt;=MW$39,MU4&lt;&gt;""),AND(NR4&gt;=NY$35,NS4&gt;=NY$39,NR4&lt;&gt;""),AND(NW4&gt;=NY$35,NX4&gt;=NY$39,NW4&lt;&gt;""),AND(OT4&gt;=PA$35,OU4&gt;=PA$39,OT4&lt;&gt;""),AND(OY4&gt;=PA$35,OZ4&gt;=PA$39,OY4&lt;&gt;""),AND(PV4&gt;=QC$35,PW4&gt;=QC$39,PV4&lt;&gt;""),AND(QA4&gt;=QC$35,QB4&gt;=QC$39,QA4&lt;&gt;"")),"P","")</f>
        <v>P</v>
      </c>
      <c r="I4" s="3" t="str">
        <f t="shared" ref="I4:I32" si="2">IF(OR(AND(AQ4&gt;=AW$39,AQ4&lt;&gt;"",AO4=""),AND(AV4&gt;=AW$39,AV4&lt;&gt;"",AO4=""),AND(BT4&gt;=BZ$39,BT4&lt;&gt;"",BR4=""),AND(BY4&gt;=BZ$39,BY4&lt;&gt;"",BR4=""),AND(CW4&gt;=DC$39,CW4&lt;&gt;"",CU4=""),AND(DB4&gt;=DC$39,DB4&lt;&gt;"",CU4=""),AND(EA4&gt;=EG$39,EA4&lt;&gt;""),AND(EF4&gt;=EG$39,EF4&lt;&gt;""),AND(FC4&gt;=FI$39,FC4&lt;&gt;""),AND(FH4&gt;=FI$39,FH4&lt;&gt;""),AND(GE4&gt;=GK$39,GE4&lt;&gt;""),AND(GJ4&gt;=GK$39,GJ4&lt;&gt;""),AND(HG4&gt;=HM$39,HG4&lt;&gt;""),AND(HL4&gt;=HM$39,HL4&lt;&gt;""),AND(II4&gt;=IO$39,II4&lt;&gt;""),AND(IN4&gt;=IO$39,IN4&lt;&gt;""),AND(JK4&gt;=JQ$39,JK4&lt;&gt;""),AND(JP4&gt;=JQ$39,JP4&lt;&gt;""),AND(KM4&gt;=KS$39,KM4&lt;&gt;""),AND(KR4&gt;=KS$39,KR4&lt;&gt;""),AND(LO4&gt;=LU$39,LO4&lt;&gt;""),AND(LT4&gt;=LU$39,LT4&lt;&gt;""),AND(MQ4&gt;=MW$39,MQ4&lt;&gt;""),AND(MV4&gt;=MW$39,MV4&lt;&gt;""),AND(NS4&gt;=NY$39,NS4&lt;&gt;""),AND(NX4&gt;=NY$39,NX4&lt;&gt;""),AND(OU4&gt;=PA$39,OU4&lt;&gt;""),AND(OZ4&gt;=PA$39,OZ4&lt;&gt;""),AND(PW4&gt;=QC$39,PW4&lt;&gt;""),AND(QB4&gt;=QC$39,QB4&lt;&gt;"")),"P","")</f>
        <v>P</v>
      </c>
      <c r="J4" s="36" t="str">
        <f t="shared" ref="J4:J32" si="3">IF(AND(I4="P",H4=""),"No DD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Merit",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Excellence",IF(K4="P","Worlds Team",IF(H4="P","National Team","")))))</f>
        <v>National Team</v>
      </c>
      <c r="K4" s="3" t="str">
        <f t="shared" ref="K4:K32" si="4">IF(OR(AND(AS4&gt;=AW$36,AT4&gt;=AW$40,AS4&lt;&gt;"",AO4=""),AND(BV4&gt;=BZ$36,BW4&gt;=BZ$40,BV4&lt;&gt;"",BR4=""),AND(CY4&gt;=DC$36,CZ4&gt;=DC$40,CY4&lt;&gt;"",CU4=""),AND(EC4&gt;=EG$36,ED4&gt;=EG$40,EC4&lt;&gt;""),AND(FE4&gt;=FI$36,FF4&gt;=FI$40,FE4&lt;&gt;""),AND(GG4&gt;=GK$36,GH4&gt;=GK$40,GG4&lt;&gt;""),AND(HI4&gt;=HM$36,HJ4&gt;=HM$40,HI4&lt;&gt;""),AND(IK4&gt;=IO$36,IL4&gt;=IO$40,IK4&lt;&gt;""),AND(JM4&gt;=JQ$36,JN4&gt;=JQ$40,JM4&lt;&gt;""),AND(KO4&gt;=KS$36,KP4&gt;=KS$40,KO4&lt;&gt;""),AND(LQ4&gt;=LU$36,LR4&gt;=LU$40,LQ4&lt;&gt;""),AND(MS4&gt;=MW$36,MT4&gt;=MW$40,MS4&lt;&gt;""),AND(NU4&gt;=NY$36,NV4&gt;=NY$40,NU4&lt;&gt;""),AND(OW4&gt;=PA$36,OX4&gt;=PA$40,OW4&lt;&gt;""),AND(PY4&gt;=QC$36,PZ4&gt;=QC$40,PY4&lt;&gt;"")),"P","")</f>
        <v/>
      </c>
      <c r="L4" s="8">
        <f>IF(COUNT(AQ4,BT4,CW4)&gt;0,LARGE((AQ4,BT4,CW4),1),0)</f>
        <v>51.7</v>
      </c>
      <c r="M4" s="8" t="str">
        <f t="shared" ref="M4:M32" si="5">IF(L4=0,"",IF(L4=CW4,$CA$1,IF(L4=BT4,$AX$1,IF(L4=AQ4,$U$1,""))))</f>
        <v>2025 Nationals</v>
      </c>
      <c r="N4" s="8">
        <f>IF(COUNT(AQ4,BT4,CW4)&gt;1,LARGE((AQ4,BT4,CW4),2),0)</f>
        <v>50.65</v>
      </c>
      <c r="O4" s="8" t="str">
        <f t="shared" ref="O4:O32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32" si="7">IF(MAX(AV4,BY4,DB4)&gt;0,MAX(AV4,BY4,DB4),0)</f>
        <v>51.35</v>
      </c>
      <c r="Q4" s="8" t="str">
        <f t="shared" ref="Q4:Q32" si="8">IF(P4=0,"",IF(P4=DB4,$CA$1,IF(P4=BY4,$AX$1,IF(P4=AV4,$U$1,""))))</f>
        <v>2024 3rd Domestic Trial</v>
      </c>
      <c r="R4" s="8" t="str">
        <f t="shared" ref="R4:R32" si="9">IF(MAX(DD4:DE4)&gt;0,MAX(DD4:DE4),"")</f>
        <v/>
      </c>
      <c r="S4" s="11" t="str">
        <f t="shared" ref="S4:S32" si="10">IF(R4="","",IF(R4=DD4,"("&amp;DD$2&amp;")",IF(R4=DE4,"("&amp;DE$2&amp;")")))</f>
        <v/>
      </c>
      <c r="T4" s="8" t="str">
        <f t="shared" ref="T4:T32" si="11"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18.899999999999999</v>
      </c>
      <c r="V4" s="19">
        <v>6.8</v>
      </c>
      <c r="W4" s="19">
        <v>0</v>
      </c>
      <c r="X4" s="19">
        <v>0.3</v>
      </c>
      <c r="Y4" s="19">
        <v>18.55</v>
      </c>
      <c r="Z4" s="19">
        <v>6.4</v>
      </c>
      <c r="AA4" s="19">
        <v>0.3</v>
      </c>
      <c r="AB4" s="19">
        <v>0</v>
      </c>
      <c r="AC4" s="19">
        <v>18.299999999999997</v>
      </c>
      <c r="AD4" s="19">
        <v>5.6</v>
      </c>
      <c r="AE4" s="19">
        <v>0.6</v>
      </c>
      <c r="AF4" s="19">
        <v>0.3</v>
      </c>
      <c r="AG4" s="19">
        <v>18.899999999999999</v>
      </c>
      <c r="AH4" s="19">
        <v>6.8</v>
      </c>
      <c r="AI4" s="19">
        <v>0</v>
      </c>
      <c r="AJ4" s="19">
        <v>0.3</v>
      </c>
      <c r="AK4" s="19">
        <v>18.95</v>
      </c>
      <c r="AL4" s="19">
        <v>6.4</v>
      </c>
      <c r="AM4" s="19">
        <v>0</v>
      </c>
      <c r="AN4" s="19">
        <v>0</v>
      </c>
      <c r="AO4" s="27" t="s">
        <v>46</v>
      </c>
      <c r="AP4" s="40">
        <f t="shared" ref="AP4:AP32" si="12">IF(SUM(V4,Z4)&gt;0,SUM(V4,Z4),"")</f>
        <v>13.2</v>
      </c>
      <c r="AQ4" s="40">
        <f t="shared" ref="AQ4:AQ32" si="13">IF(SUM(U4:V4,X4:Z4,AB4)-W4-AA4&gt;0,SUM(U4:V4,X4:Z4,AB4)-W4-AA4,"")</f>
        <v>50.65</v>
      </c>
      <c r="AR4" s="40">
        <f t="shared" ref="AR4:AR32" si="14">IF(SUM(AC4:AD4,AF4)-AE4&gt;0,SUM(AC4:AD4,AF4)-AE4,"")</f>
        <v>23.599999999999998</v>
      </c>
      <c r="AS4" s="40">
        <f t="shared" ref="AS4:AS32" si="15">IF(SUM(V4,Z4,AD4)&gt;0,SUM(V4,Z4,AD4),"")</f>
        <v>18.799999999999997</v>
      </c>
      <c r="AT4" s="40">
        <f t="shared" ref="AT4:AT32" si="16">IF(SUM(AQ4,AR4)&gt;0,SUM(AQ4,AR4),"")</f>
        <v>74.25</v>
      </c>
      <c r="AU4" s="40">
        <f t="shared" ref="AU4:AU32" si="17">IF(SUM(AH4,AL4)&gt;0,SUM(AH4,AL4),"")</f>
        <v>13.2</v>
      </c>
      <c r="AV4" s="40">
        <f t="shared" ref="AV4:AV32" si="18">IF(SUM(AG4:AH4,AJ4:AL4,AN4)-SUM(AI4,AM4)&gt;0,SUM(AG4:AH4,AJ4:AL4,AN4)-SUM(AI4,AM4),"")</f>
        <v>51.35</v>
      </c>
      <c r="AW4" s="40">
        <f t="shared" ref="AW4:AW32" si="19">IF(SUM(AQ4,AR4,AV4)&gt;0,SUM(AQ4,AR4,AV4),"")</f>
        <v>125.6</v>
      </c>
      <c r="AX4" s="18">
        <v>18.760000000000002</v>
      </c>
      <c r="AY4" s="18">
        <v>6.8</v>
      </c>
      <c r="AZ4" s="18">
        <v>0.8</v>
      </c>
      <c r="BA4" s="18">
        <v>0.3</v>
      </c>
      <c r="BB4" s="18">
        <v>18.399999999999999</v>
      </c>
      <c r="BC4" s="18">
        <v>4.8</v>
      </c>
      <c r="BD4" s="18">
        <v>0</v>
      </c>
      <c r="BE4" s="18">
        <v>0</v>
      </c>
      <c r="BF4" s="18"/>
      <c r="BG4" s="18"/>
      <c r="BH4" s="18"/>
      <c r="BI4" s="18"/>
      <c r="BJ4" s="18">
        <v>18.2</v>
      </c>
      <c r="BK4" s="18">
        <v>7.2</v>
      </c>
      <c r="BL4" s="18">
        <v>0.2</v>
      </c>
      <c r="BM4" s="18">
        <v>0.3</v>
      </c>
      <c r="BN4" s="18">
        <v>18.600000000000001</v>
      </c>
      <c r="BO4" s="18">
        <v>6</v>
      </c>
      <c r="BP4" s="18">
        <v>0</v>
      </c>
      <c r="BQ4" s="18">
        <v>0</v>
      </c>
      <c r="BR4" s="28"/>
      <c r="BS4" s="11">
        <f t="shared" ref="BS4:BS32" si="20">IF(SUM(AY4,BC4)&gt;0,SUM(AY4,BC4),"")</f>
        <v>11.6</v>
      </c>
      <c r="BT4" s="11">
        <f t="shared" ref="BT4:BT32" si="21">IF(SUM(AX4:AY4,BA4:BC4,BE4)-AZ4-BD4&gt;0,SUM(AX4:AY4,BA4:BC4,BE4)-AZ4-BD4,"")</f>
        <v>48.260000000000005</v>
      </c>
      <c r="BU4" s="11" t="str">
        <f t="shared" ref="BU4:BU32" si="22">IF(SUM(BF4:BG4,BI4)-BH4&gt;0,SUM(BF4:BG4,BI4)-BH4,"")</f>
        <v/>
      </c>
      <c r="BV4" s="11">
        <f t="shared" ref="BV4:BV32" si="23">IF(SUM(AY4,BC4,BG4)&gt;0,SUM(AY4,BC4,BG4),"")</f>
        <v>11.6</v>
      </c>
      <c r="BW4" s="11">
        <f t="shared" ref="BW4:BW32" si="24">IF(SUM(BT4,BU4)&gt;0,SUM(BT4,BU4),"")</f>
        <v>48.260000000000005</v>
      </c>
      <c r="BX4" s="11">
        <f t="shared" ref="BX4:BX32" si="25">IF(SUM(BK4,BO4)&gt;0,SUM(BK4,BO4),"")</f>
        <v>13.2</v>
      </c>
      <c r="BY4" s="11">
        <f t="shared" ref="BY4:BY32" si="26">IF(SUM(BJ4:BK4,BM4:BO4,BQ4)-SUM(BL4,BP4)&gt;0,SUM(BJ4:BK4,BM4:BO4,BQ4)-SUM(BL4,BP4),"")</f>
        <v>50.099999999999994</v>
      </c>
      <c r="BZ4" s="11">
        <f t="shared" ref="BZ4:BZ32" si="27">IF(SUM(BT4,BU4,BY4)&gt;0,SUM(BT4,BU4,BY4),"")</f>
        <v>98.36</v>
      </c>
      <c r="CA4" s="19">
        <v>19.100000000000001</v>
      </c>
      <c r="CB4" s="19">
        <v>7.2</v>
      </c>
      <c r="CC4" s="19">
        <v>0</v>
      </c>
      <c r="CD4" s="19">
        <v>0.3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7.2</v>
      </c>
      <c r="CO4" s="19">
        <v>0.6</v>
      </c>
      <c r="CP4" s="19">
        <v>0.3</v>
      </c>
      <c r="CQ4" s="19">
        <v>18.399999999999999</v>
      </c>
      <c r="CR4" s="19">
        <v>5.2</v>
      </c>
      <c r="CS4" s="19">
        <v>0</v>
      </c>
      <c r="CT4" s="19">
        <v>0.3</v>
      </c>
      <c r="CU4" s="27"/>
      <c r="CV4" s="40">
        <f t="shared" ref="CV4:CV32" si="28">IF(SUM(CB4,CF4)&gt;0,SUM(CB4,CF4),"")</f>
        <v>13.2</v>
      </c>
      <c r="CW4" s="40">
        <f t="shared" ref="CW4:CW32" si="29">IF(SUM(CA4:CB4,CD4:CF4,CH4)-CC4-CG4&gt;0,SUM(CA4:CB4,CD4:CF4,CH4)-CC4-CG4,"")</f>
        <v>51.7</v>
      </c>
      <c r="CX4" s="40" t="str">
        <f t="shared" ref="CX4:CX32" si="30">IF(SUM(CI4:CJ4,CL4)-CK4&gt;0,SUM(CI4:CJ4,CL4)-CK4,"")</f>
        <v/>
      </c>
      <c r="CY4" s="40">
        <f t="shared" ref="CY4:CY32" si="31">IF(SUM(CB4,CF4,CJ4)&gt;0,SUM(CB4,CF4,CJ4),"")</f>
        <v>13.2</v>
      </c>
      <c r="CZ4" s="40">
        <f t="shared" ref="CZ4:CZ32" si="32">IF(SUM(CW4,CX4)&gt;0,SUM(CW4,CX4),"")</f>
        <v>51.7</v>
      </c>
      <c r="DA4" s="40">
        <f t="shared" ref="DA4:DA32" si="33">IF(SUM(CN4,CR4)&gt;0,SUM(CN4,CR4),"")</f>
        <v>12.4</v>
      </c>
      <c r="DB4" s="40">
        <f t="shared" ref="DB4:DB32" si="34">IF(SUM(CM4:CN4,CP4:CR4,CT4)-SUM(CO4,CS4)&gt;0,SUM(CM4:CN4,CP4:CR4,CT4)-SUM(CO4,CS4),"")</f>
        <v>49.9</v>
      </c>
      <c r="DC4" s="40">
        <f t="shared" ref="DC4:DC32" si="35">IF(SUM(CW4,CX4,DB4)&gt;0,SUM(CW4,CX4,DB4),"")</f>
        <v>101.6</v>
      </c>
      <c r="DD4" s="50" t="str">
        <f t="shared" ref="DD4:DD32" si="36">IF(MAX(EA4,FC4,GE4,HG4,II4,JK4,KM4,LO4,MQ4,NS4,OU4,PW4)-IF(N4="",0,N4)&gt;0.001,MAX(EA4,FC4,GE4,HG4,II4,JK4,KM4,LO4,MQ4,NS4,OU4,PW4)-IF(N4="",0,N4),"")</f>
        <v/>
      </c>
      <c r="DE4" s="50" t="str">
        <f t="shared" ref="DE4:DE32" si="37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2" si="38">IF(SUM(DG4,DK4)&gt;0,SUM(DG4,DK4),"")</f>
        <v/>
      </c>
      <c r="EA4" s="40" t="str">
        <f t="shared" ref="EA4:EA32" si="39">IF(SUM(DF4:DG4,DI4:DK4,DM4)-DH4-DL4&gt;0,SUM(DF4:DG4,DI4:DK4,DM4)-DH4-DL4,"")</f>
        <v/>
      </c>
      <c r="EB4" s="40" t="str">
        <f t="shared" ref="EB4:EB32" si="40">IF(SUM(DN4:DO4,DQ4)-DP4&gt;0,SUM(DN4:DO4,DQ4)-DP4,"")</f>
        <v/>
      </c>
      <c r="EC4" s="40" t="str">
        <f t="shared" ref="EC4:EC32" si="41">IF(SUM(DG4,DK4,DO4)&gt;0,SUM(DG4,DK4,DO4),"")</f>
        <v/>
      </c>
      <c r="ED4" s="40" t="str">
        <f t="shared" ref="ED4:ED32" si="42">IF(SUM(EA4,EB4)&gt;0,SUM(EA4,EB4),"")</f>
        <v/>
      </c>
      <c r="EE4" s="40" t="str">
        <f t="shared" ref="EE4:EE32" si="43">IF(SUM(DS4,DW4)&gt;0,SUM(DS4,DW4),"")</f>
        <v/>
      </c>
      <c r="EF4" s="40" t="str">
        <f t="shared" ref="EF4:EF32" si="44">IF(SUM(DR4:DS4,DU4:DW4,DY4)-SUM(DT4,DX4)&gt;0,SUM(DR4:DS4,DU4:DW4,DY4)-SUM(DT4,DX4),"")</f>
        <v/>
      </c>
      <c r="EG4" s="40" t="str">
        <f t="shared" ref="EG4:EG32" si="45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32" si="46">IF(SUM(EI4,EM4)&gt;0,SUM(EI4,EM4),"")</f>
        <v/>
      </c>
      <c r="FC4" s="11" t="str">
        <f t="shared" ref="FC4:FC32" si="47">IF(SUM(EH4:EI4,EK4:EM4,EO4)-EJ4-EN4&gt;0,SUM(EH4:EI4,EK4:EM4,EO4)-EJ4-EN4,"")</f>
        <v/>
      </c>
      <c r="FD4" s="11" t="str">
        <f t="shared" ref="FD4:FD32" si="48">IF(SUM(EP4:EQ4,ES4)-ER4&gt;0,SUM(EP4:EQ4,ES4)-ER4,"")</f>
        <v/>
      </c>
      <c r="FE4" s="11" t="str">
        <f t="shared" ref="FE4:FE32" si="49">IF(SUM(EI4,EM4,EQ4)&gt;0,SUM(EI4,EM4,EQ4),"")</f>
        <v/>
      </c>
      <c r="FF4" s="11" t="str">
        <f t="shared" ref="FF4:FF32" si="50">IF(SUM(FC4,FD4)&gt;0,SUM(FC4,FD4),"")</f>
        <v/>
      </c>
      <c r="FG4" s="11" t="str">
        <f t="shared" ref="FG4:FG32" si="51">IF(SUM(EU4,EY4)&gt;0,SUM(EU4,EY4),"")</f>
        <v/>
      </c>
      <c r="FH4" s="11" t="str">
        <f t="shared" ref="FH4:FH32" si="52">IF(SUM(ET4:EU4,EW4:EY4,FA4)-SUM(EV4,EZ4)&gt;0,SUM(ET4:EU4,EW4:EY4,FA4)-SUM(EV4,EZ4),"")</f>
        <v/>
      </c>
      <c r="FI4" s="11" t="str">
        <f t="shared" ref="FI4:FI32" si="53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2" si="54">IF(SUM(FK4,FO4)&gt;0,SUM(FK4,FO4),"")</f>
        <v/>
      </c>
      <c r="GE4" s="40" t="str">
        <f t="shared" ref="GE4:GE32" si="55">IF(SUM(FJ4:FK4,FM4:FO4,FQ4)-FL4-FP4&gt;0,SUM(FJ4:FK4,FM4:FO4,FQ4)-FL4-FP4,"")</f>
        <v/>
      </c>
      <c r="GF4" s="40" t="str">
        <f t="shared" ref="GF4:GF32" si="56">IF(SUM(FR4:FS4,FU4)-FT4&gt;0,SUM(FR4:FS4,FU4)-FT4,"")</f>
        <v/>
      </c>
      <c r="GG4" s="40" t="str">
        <f t="shared" ref="GG4:GG32" si="57">IF(SUM(FK4,FO4,FS4)&gt;0,SUM(FK4,FO4,FS4),"")</f>
        <v/>
      </c>
      <c r="GH4" s="40" t="str">
        <f t="shared" ref="GH4:GH32" si="58">IF(SUM(GE4,GF4)&gt;0,SUM(GE4,GF4),"")</f>
        <v/>
      </c>
      <c r="GI4" s="40" t="str">
        <f t="shared" ref="GI4:GI32" si="59">IF(SUM(FW4,GA4)&gt;0,SUM(FW4,GA4),"")</f>
        <v/>
      </c>
      <c r="GJ4" s="40" t="str">
        <f t="shared" ref="GJ4:GJ32" si="60">IF(SUM(FV4:FW4,FY4:GA4,GC4)-SUM(FX4,GB4)&gt;0,SUM(FV4:FW4,FY4:GA4,GC4)-SUM(FX4,GB4),"")</f>
        <v/>
      </c>
      <c r="GK4" s="40" t="str">
        <f t="shared" ref="GK4:GK32" si="61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2" si="62">IF(SUM(GM4,GQ4)&gt;0,SUM(GM4,GQ4),"")</f>
        <v/>
      </c>
      <c r="HG4" s="11" t="str">
        <f t="shared" ref="HG4:HG32" si="63">IF(SUM(GL4:GM4,GO4:GQ4,GS4)-GN4-GR4&gt;0,SUM(GL4:GM4,GO4:GQ4,GS4)-GN4-GR4,"")</f>
        <v/>
      </c>
      <c r="HH4" s="11" t="str">
        <f t="shared" ref="HH4:HH32" si="64">IF(SUM(GT4:GU4,GW4)-GV4&gt;0,SUM(GT4:GU4,GW4)-GV4,"")</f>
        <v/>
      </c>
      <c r="HI4" s="11" t="str">
        <f t="shared" ref="HI4:HI32" si="65">IF(SUM(GM4,GQ4,GU4)&gt;0,SUM(GM4,GQ4,GU4),"")</f>
        <v/>
      </c>
      <c r="HJ4" s="11" t="str">
        <f t="shared" ref="HJ4:HJ32" si="66">IF(SUM(HG4,HH4)&gt;0,SUM(HG4,HH4),"")</f>
        <v/>
      </c>
      <c r="HK4" s="11" t="str">
        <f t="shared" ref="HK4:HK32" si="67">IF(SUM(GY4,HC4)&gt;0,SUM(GY4,HC4),"")</f>
        <v/>
      </c>
      <c r="HL4" s="11" t="str">
        <f t="shared" ref="HL4:HL32" si="68">IF(SUM(GX4:GY4,HA4:HC4,HE4)-SUM(GZ4,HD4)&gt;0,SUM(GX4:GY4,HA4:HC4,HE4)-SUM(GZ4,HD4),"")</f>
        <v/>
      </c>
      <c r="HM4" s="11" t="str">
        <f t="shared" ref="HM4:HM32" si="69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2" si="70">IF(SUM(HO4,HS4)&gt;0,SUM(HO4,HS4),"")</f>
        <v/>
      </c>
      <c r="II4" s="40" t="str">
        <f t="shared" ref="II4:II32" si="71">IF(SUM(HN4:HO4,HQ4:HS4,HU4)-HP4-HT4&gt;0,SUM(HN4:HO4,HQ4:HS4,HU4)-HP4-HT4,"")</f>
        <v/>
      </c>
      <c r="IJ4" s="40" t="str">
        <f t="shared" ref="IJ4:IJ32" si="72">IF(SUM(HV4:HW4,HY4)-HX4&gt;0,SUM(HV4:HW4,HY4)-HX4,"")</f>
        <v/>
      </c>
      <c r="IK4" s="40" t="str">
        <f t="shared" ref="IK4:IK32" si="73">IF(SUM(HO4,HS4,HW4)&gt;0,SUM(HO4,HS4,HW4),"")</f>
        <v/>
      </c>
      <c r="IL4" s="40" t="str">
        <f t="shared" ref="IL4:IL32" si="74">IF(SUM(II4,IJ4)&gt;0,SUM(II4,IJ4),"")</f>
        <v/>
      </c>
      <c r="IM4" s="40" t="str">
        <f t="shared" ref="IM4:IM32" si="75">IF(SUM(IA4,IE4)&gt;0,SUM(IA4,IE4),"")</f>
        <v/>
      </c>
      <c r="IN4" s="40" t="str">
        <f t="shared" ref="IN4:IN32" si="76">IF(SUM(HZ4:IA4,IC4:IE4,IG4)-SUM(IB4,IF4)&gt;0,SUM(HZ4:IA4,IC4:IE4,IG4)-SUM(IB4,IF4),"")</f>
        <v/>
      </c>
      <c r="IO4" s="40" t="str">
        <f t="shared" ref="IO4:IO32" si="77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2" si="78">IF(SUM(IQ4,IU4)&gt;0,SUM(IQ4,IU4),"")</f>
        <v/>
      </c>
      <c r="JK4" s="11" t="str">
        <f t="shared" ref="JK4:JK32" si="79">IF(SUM(IP4:IQ4,IS4:IU4,IW4)-IR4-IV4&gt;0,SUM(IP4:IQ4,IS4:IU4,IW4)-IR4-IV4,"")</f>
        <v/>
      </c>
      <c r="JL4" s="11" t="str">
        <f t="shared" ref="JL4:JL32" si="80">IF(SUM(IX4:IY4,JA4)-IZ4&gt;0,SUM(IX4:IY4,JA4)-IZ4,"")</f>
        <v/>
      </c>
      <c r="JM4" s="11" t="str">
        <f t="shared" ref="JM4:JM32" si="81">IF(SUM(IQ4,IU4,IY4)&gt;0,SUM(IQ4,IU4,IY4),"")</f>
        <v/>
      </c>
      <c r="JN4" s="11" t="str">
        <f t="shared" ref="JN4:JN32" si="82">IF(SUM(JK4,JL4)&gt;0,SUM(JK4,JL4),"")</f>
        <v/>
      </c>
      <c r="JO4" s="11" t="str">
        <f t="shared" ref="JO4:JO32" si="83">IF(SUM(JC4,JG4)&gt;0,SUM(JC4,JG4),"")</f>
        <v/>
      </c>
      <c r="JP4" s="11" t="str">
        <f t="shared" ref="JP4:JP32" si="84">IF(SUM(JB4:JC4,JE4:JG4,JI4)-SUM(JD4,JH4)&gt;0,SUM(JB4:JC4,JE4:JG4,JI4)-SUM(JD4,JH4),"")</f>
        <v/>
      </c>
      <c r="JQ4" s="11" t="str">
        <f t="shared" ref="JQ4:JQ32" si="85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2" si="86">IF(SUM(JS4,JW4)&gt;0,SUM(JS4,JW4),"")</f>
        <v/>
      </c>
      <c r="KM4" s="40" t="str">
        <f t="shared" ref="KM4:KM32" si="87">IF(SUM(JR4:JS4,JU4:JW4,JY4)-JT4-JX4&gt;0,SUM(JR4:JS4,JU4:JW4,JY4)-JT4-JX4,"")</f>
        <v/>
      </c>
      <c r="KN4" s="40" t="str">
        <f t="shared" ref="KN4:KN32" si="88">IF(SUM(JZ4:KA4,KC4)-KB4&gt;0,SUM(JZ4:KA4,KC4)-KB4,"")</f>
        <v/>
      </c>
      <c r="KO4" s="40" t="str">
        <f t="shared" ref="KO4:KO32" si="89">IF(SUM(JS4,JW4,KA4)&gt;0,SUM(JS4,JW4,KA4),"")</f>
        <v/>
      </c>
      <c r="KP4" s="40" t="str">
        <f t="shared" ref="KP4:KP32" si="90">IF(SUM(KM4,KN4)&gt;0,SUM(KM4,KN4),"")</f>
        <v/>
      </c>
      <c r="KQ4" s="40" t="str">
        <f t="shared" ref="KQ4:KQ32" si="91">IF(SUM(KE4,KI4)&gt;0,SUM(KE4,KI4),"")</f>
        <v/>
      </c>
      <c r="KR4" s="40" t="str">
        <f t="shared" ref="KR4:KR32" si="92">IF(SUM(KD4:KE4,KG4:KI4,KK4)-SUM(KF4,KJ4)&gt;0,SUM(KD4:KE4,KG4:KI4,KK4)-SUM(KF4,KJ4),"")</f>
        <v/>
      </c>
      <c r="KS4" s="40" t="str">
        <f t="shared" ref="KS4:KS32" si="93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2" si="94">IF(SUM(KU4,KY4)&gt;0,SUM(KU4,KY4),"")</f>
        <v/>
      </c>
      <c r="LO4" s="11" t="str">
        <f t="shared" ref="LO4:LO32" si="95">IF(SUM(KT4:KU4,KW4:KY4,LA4)-KV4-KZ4&gt;0,SUM(KT4:KU4,KW4:KY4,LA4)-KV4-KZ4,"")</f>
        <v/>
      </c>
      <c r="LP4" s="11" t="str">
        <f t="shared" ref="LP4:LP32" si="96">IF(SUM(LB4:LC4,LE4)-LD4&gt;0,SUM(LB4:LC4,LE4)-LD4,"")</f>
        <v/>
      </c>
      <c r="LQ4" s="11" t="str">
        <f t="shared" ref="LQ4:LQ32" si="97">IF(SUM(KU4,KY4,LC4)&gt;0,SUM(KU4,KY4,LC4),"")</f>
        <v/>
      </c>
      <c r="LR4" s="11" t="str">
        <f t="shared" ref="LR4:LR32" si="98">IF(SUM(LO4,LP4)&gt;0,SUM(LO4,LP4),"")</f>
        <v/>
      </c>
      <c r="LS4" s="11" t="str">
        <f t="shared" ref="LS4:LS32" si="99">IF(SUM(LG4,LK4)&gt;0,SUM(LG4,LK4),"")</f>
        <v/>
      </c>
      <c r="LT4" s="11" t="str">
        <f t="shared" ref="LT4:LT32" si="100">IF(SUM(LF4:LG4,LI4:LK4,LM4)-SUM(LH4,LL4)&gt;0,SUM(LF4:LG4,LI4:LK4,LM4)-SUM(LH4,LL4),"")</f>
        <v/>
      </c>
      <c r="LU4" s="11" t="str">
        <f t="shared" ref="LU4:LU32" si="101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2" si="102">IF(SUM(LW4,MA4)&gt;0,SUM(LW4,MA4),"")</f>
        <v/>
      </c>
      <c r="MQ4" s="40" t="str">
        <f t="shared" ref="MQ4:MQ32" si="103">IF(SUM(LV4:LW4,LY4:MA4,MC4)-LX4-MB4&gt;0,SUM(LV4:LW4,LY4:MA4,MC4)-LX4-MB4,"")</f>
        <v/>
      </c>
      <c r="MR4" s="40" t="str">
        <f t="shared" ref="MR4:MR32" si="104">IF(SUM(MD4:ME4,MG4)-MF4&gt;0,SUM(MD4:ME4,MG4)-MF4,"")</f>
        <v/>
      </c>
      <c r="MS4" s="40" t="str">
        <f t="shared" ref="MS4:MS32" si="105">IF(SUM(LW4,MA4,ME4)&gt;0,SUM(LW4,MA4,ME4),"")</f>
        <v/>
      </c>
      <c r="MT4" s="40" t="str">
        <f t="shared" ref="MT4:MT32" si="106">IF(SUM(MQ4,MR4)&gt;0,SUM(MQ4,MR4),"")</f>
        <v/>
      </c>
      <c r="MU4" s="40" t="str">
        <f t="shared" ref="MU4:MU32" si="107">IF(SUM(MI4,MM4)&gt;0,SUM(MI4,MM4),"")</f>
        <v/>
      </c>
      <c r="MV4" s="40" t="str">
        <f t="shared" ref="MV4:MV32" si="108">IF(SUM(MH4:MI4,MK4:MM4,MO4)-SUM(MJ4,MN4)&gt;0,SUM(MH4:MI4,MK4:MM4,MO4)-SUM(MJ4,MN4),"")</f>
        <v/>
      </c>
      <c r="MW4" s="40" t="str">
        <f t="shared" ref="MW4:MW32" si="109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2" si="110">IF(SUM(MY4,NC4)&gt;0,SUM(MY4,NC4),"")</f>
        <v/>
      </c>
      <c r="NS4" s="11" t="str">
        <f t="shared" ref="NS4:NS32" si="111">IF(SUM(MX4:MY4,NA4:NC4,NE4)-MZ4-ND4&gt;0,SUM(MX4:MY4,NA4:NC4,NE4)-MZ4-ND4,"")</f>
        <v/>
      </c>
      <c r="NT4" s="11" t="str">
        <f t="shared" ref="NT4:NT32" si="112">IF(SUM(NF4:NG4,NI4)-NH4&gt;0,SUM(NF4:NG4,NI4)-NH4,"")</f>
        <v/>
      </c>
      <c r="NU4" s="11" t="str">
        <f t="shared" ref="NU4:NU32" si="113">IF(SUM(MY4,NC4,NG4)&gt;0,SUM(MY4,NC4,NG4),"")</f>
        <v/>
      </c>
      <c r="NV4" s="11" t="str">
        <f t="shared" ref="NV4:NV32" si="114">IF(SUM(NS4,NT4)&gt;0,SUM(NS4,NT4),"")</f>
        <v/>
      </c>
      <c r="NW4" s="11" t="str">
        <f t="shared" ref="NW4:NW32" si="115">IF(SUM(NK4,NO4)&gt;0,SUM(NK4,NO4),"")</f>
        <v/>
      </c>
      <c r="NX4" s="11" t="str">
        <f t="shared" ref="NX4:NX32" si="116">IF(SUM(NJ4:NK4,NM4:NO4,NQ4)-SUM(NL4,NP4)&gt;0,SUM(NJ4:NK4,NM4:NO4,NQ4)-SUM(NL4,NP4),"")</f>
        <v/>
      </c>
      <c r="NY4" s="11" t="str">
        <f t="shared" ref="NY4:NY32" si="117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2" si="118">IF(SUM(OA4,OE4)&gt;0,SUM(OA4,OE4),"")</f>
        <v/>
      </c>
      <c r="OU4" s="40" t="str">
        <f t="shared" ref="OU4:OU32" si="119">IF(SUM(NZ4:OA4,OC4:OE4,OG4)-OB4-OF4&gt;0,SUM(NZ4:OA4,OC4:OE4,OG4)-OB4-OF4,"")</f>
        <v/>
      </c>
      <c r="OV4" s="40" t="str">
        <f t="shared" ref="OV4:OV32" si="120">IF(SUM(OH4:OI4,OK4)-OJ4&gt;0,SUM(OH4:OI4,OK4)-OJ4,"")</f>
        <v/>
      </c>
      <c r="OW4" s="40" t="str">
        <f t="shared" ref="OW4:OW32" si="121">IF(SUM(OA4,OE4,OI4)&gt;0,SUM(OA4,OE4,OI4),"")</f>
        <v/>
      </c>
      <c r="OX4" s="40" t="str">
        <f t="shared" ref="OX4:OX32" si="122">IF(SUM(OU4,OV4)&gt;0,SUM(OU4,OV4),"")</f>
        <v/>
      </c>
      <c r="OY4" s="40" t="str">
        <f t="shared" ref="OY4:OY32" si="123">IF(SUM(OM4,OQ4)&gt;0,SUM(OM4,OQ4),"")</f>
        <v/>
      </c>
      <c r="OZ4" s="40" t="str">
        <f t="shared" ref="OZ4:OZ32" si="124">IF(SUM(OL4:OM4,OO4:OQ4,OS4)-SUM(ON4,OR4)&gt;0,SUM(OL4:OM4,OO4:OQ4,OS4)-SUM(ON4,OR4),"")</f>
        <v/>
      </c>
      <c r="PA4" s="40" t="str">
        <f t="shared" ref="PA4:PA32" si="125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2" si="126">IF(SUM(PC4,PG4)&gt;0,SUM(PC4,PG4),"")</f>
        <v/>
      </c>
      <c r="PW4" s="11" t="str">
        <f t="shared" ref="PW4:PW32" si="127">IF(SUM(PB4:PC4,PE4:PG4,PI4)-PD4-PH4&gt;0,SUM(PB4:PC4,PE4:PG4,PI4)-PD4-PH4,"")</f>
        <v/>
      </c>
      <c r="PX4" s="11" t="str">
        <f t="shared" ref="PX4:PX32" si="128">IF(SUM(PJ4:PK4,PM4)-PL4&gt;0,SUM(PJ4:PK4,PM4)-PL4,"")</f>
        <v/>
      </c>
      <c r="PY4" s="11" t="str">
        <f t="shared" ref="PY4:PY32" si="129">IF(SUM(PC4,PG4,PK4)&gt;0,SUM(PC4,PG4,PK4),"")</f>
        <v/>
      </c>
      <c r="PZ4" s="11" t="str">
        <f t="shared" ref="PZ4:PZ32" si="130">IF(SUM(PW4,PX4)&gt;0,SUM(PW4,PX4),"")</f>
        <v/>
      </c>
      <c r="QA4" s="11" t="str">
        <f t="shared" ref="QA4:QA32" si="131">IF(SUM(PO4,PS4)&gt;0,SUM(PO4,PS4),"")</f>
        <v/>
      </c>
      <c r="QB4" s="11" t="str">
        <f t="shared" ref="QB4:QB32" si="132">IF(SUM(PN4:PO4,PQ4:PS4,PU4)-SUM(PP4,PT4)&gt;0,SUM(PN4:PO4,PQ4:PS4,PU4)-SUM(PP4,PT4),"")</f>
        <v/>
      </c>
      <c r="QC4" s="11" t="str">
        <f t="shared" ref="QC4:QC32" si="133">IF(SUM(PW4,PX4,QB4)&gt;0,SUM(PW4,PX4,QB4),"")</f>
        <v/>
      </c>
      <c r="QD4" s="22">
        <f t="shared" ref="QD4:QD32" si="134">IF($CU4="P",CA4,(CA4+AX4)/2)</f>
        <v>18.93</v>
      </c>
      <c r="QE4" s="22">
        <f t="shared" ref="QE4:QE32" si="135">IF($CU4="P",CB4,(CB4+AY4)/2)</f>
        <v>7</v>
      </c>
      <c r="QF4" s="22">
        <f t="shared" ref="QF4:QF32" si="136">IF($CU4="P",CC4,(CC4+AZ4)/2)</f>
        <v>0.4</v>
      </c>
      <c r="QG4" s="22">
        <f t="shared" ref="QG4:QG32" si="137">IF($CU4="P",CD4,(CD4+BA4)/2)</f>
        <v>0.3</v>
      </c>
      <c r="QH4" s="22">
        <f t="shared" ref="QH4:QH32" si="138">IF($CU4="P",CE4,(CE4+BB4)/2)</f>
        <v>18.75</v>
      </c>
      <c r="QI4" s="22">
        <f t="shared" ref="QI4:QI32" si="139">IF($CU4="P",CF4,(CF4+BC4)/2)</f>
        <v>5.4</v>
      </c>
      <c r="QJ4" s="22">
        <f t="shared" ref="QJ4:QJ32" si="140">IF($CU4="P",CG4,(CG4+BD4)/2)</f>
        <v>0</v>
      </c>
      <c r="QK4" s="22">
        <f t="shared" ref="QK4:QK32" si="141">IF($CU4="P",CH4,(CH4+BE4)/2)</f>
        <v>0</v>
      </c>
      <c r="QL4" s="22">
        <f t="shared" ref="QL4:QL32" si="142">IF($CU4="P",CI4,(CI4+BF4)/2)</f>
        <v>0</v>
      </c>
      <c r="QM4" s="22">
        <f t="shared" ref="QM4:QM32" si="143">IF($CU4="P",CJ4,(CJ4+BG4)/2)</f>
        <v>0</v>
      </c>
      <c r="QN4" s="22">
        <f t="shared" ref="QN4:QN32" si="144">IF($CU4="P",CK4,(CK4+BH4)/2)</f>
        <v>0</v>
      </c>
      <c r="QO4" s="22">
        <f t="shared" ref="QO4:QO32" si="145">IF($CU4="P",CL4,(CL4+BI4)/2)</f>
        <v>0</v>
      </c>
      <c r="QP4" s="22">
        <f t="shared" ref="QP4:QP32" si="146">IF($CU4="P",CM4,(CM4+BJ4)/2)</f>
        <v>18.649999999999999</v>
      </c>
      <c r="QQ4" s="22">
        <f t="shared" ref="QQ4:QQ32" si="147">IF($CU4="P",CN4,(CN4+BK4)/2)</f>
        <v>7.2</v>
      </c>
      <c r="QR4" s="22">
        <f t="shared" ref="QR4:QR32" si="148">IF($CU4="P",CO4,(CO4+BL4)/2)</f>
        <v>0.4</v>
      </c>
      <c r="QS4" s="22">
        <f t="shared" ref="QS4:QS32" si="149">IF($CU4="P",CP4,(CP4+BM4)/2)</f>
        <v>0.3</v>
      </c>
      <c r="QT4" s="22">
        <f t="shared" ref="QT4:QT32" si="150">IF($CU4="P",CQ4,(CQ4+BN4)/2)</f>
        <v>18.5</v>
      </c>
      <c r="QU4" s="22">
        <f t="shared" ref="QU4:QU32" si="151">IF($CU4="P",CR4,(CR4+BO4)/2)</f>
        <v>5.6</v>
      </c>
      <c r="QV4" s="22">
        <f t="shared" ref="QV4:QV32" si="152">IF($CU4="P",CS4,(CS4+BP4)/2)</f>
        <v>0</v>
      </c>
      <c r="QW4" s="22">
        <f t="shared" ref="QW4:QW32" si="153">IF($CU4="P",CT4,(CT4+BQ4)/2)</f>
        <v>0.15</v>
      </c>
      <c r="QX4" s="27" t="s">
        <v>46</v>
      </c>
      <c r="QY4" s="40">
        <f t="shared" ref="QY4:QY32" si="154">IF(SUM(QE4,QI4)&gt;0,SUM(QE4,QI4),"")</f>
        <v>12.4</v>
      </c>
      <c r="QZ4" s="40">
        <f t="shared" ref="QZ4:QZ32" si="155">IF(SUM(QD4:QE4,QG4:QI4,QK4)-QF4-QJ4&gt;0,SUM(QD4:QE4,QG4:QI4,QK4)-QF4-QJ4,"")</f>
        <v>49.980000000000004</v>
      </c>
      <c r="RA4" s="40" t="str">
        <f t="shared" ref="RA4:RA32" si="156">IF(SUM(QL4:QM4,QO4)-QN4&gt;0,SUM(QL4:QM4,QO4)-QN4,"")</f>
        <v/>
      </c>
      <c r="RB4" s="40">
        <f t="shared" ref="RB4:RB32" si="157">IF(SUM(QE4,QI4,QM4)&gt;0,SUM(QE4,QI4,QM4),"")</f>
        <v>12.4</v>
      </c>
      <c r="RC4" s="40">
        <f t="shared" ref="RC4:RC32" si="158">IF(SUM(QZ4,RA4)&gt;0,SUM(QZ4,RA4),"")</f>
        <v>49.980000000000004</v>
      </c>
      <c r="RD4" s="40">
        <f t="shared" ref="RD4:RD32" si="159">IF(SUM(QQ4,QU4)&gt;0,SUM(QQ4,QU4),"")</f>
        <v>12.8</v>
      </c>
      <c r="RE4" s="40">
        <f t="shared" ref="RE4:RE32" si="160">IF(SUM(QP4:QQ4,QS4:QU4,QW4)-SUM(QR4,QV4)&gt;0,SUM(QP4:QQ4,QS4:QU4,QW4)-SUM(QR4,QV4),"")</f>
        <v>50</v>
      </c>
      <c r="RF4" s="40">
        <f t="shared" ref="RF4:RF32" si="161">IF(SUM(QZ4,RA4,RE4)&gt;0,SUM(QZ4,RA4,RE4),"")</f>
        <v>99.98</v>
      </c>
    </row>
    <row r="5" spans="1:474" x14ac:dyDescent="0.2">
      <c r="A5" s="4" cm="1">
        <f t="array" ref="A5">IF(AND(J5&lt;&gt;"",J5&lt;&gt;"No DD"),SUMPRODUCT((J$4:J$33&lt;&gt;"")*(J$4:J$33&lt;&gt;"No DD")*(F$4:F$33&gt;F5))+1,IF(J5="No DD",SUMPRODUCT((J$4:J$33="No DD")*(F$4:F$33&gt;F5))+1+SUMPRODUCT((J$4:J$33&lt;&gt;"")*(J$4:J$33&lt;&gt;"No DD")),""))</f>
        <v>2</v>
      </c>
      <c r="B5" s="4" t="str" cm="1">
        <f t="array" ref="B5">IF(AND(J5&lt;&gt;"",J5&lt;&gt;"No DD",G5=""),SUMPRODUCT((J$4:J$33&lt;&gt;"")*(J$4:J$33&lt;&gt;"No DD")*(G$4:G$33="")*(F$4:F$33&gt;F5))+1,IF(J5="No DD",SUMPRODUCT((J$4:J$33="No DD")*(F$4:F$33&gt;F5)*(G$4:G$33=""))+1+SUMPRODUCT((J$4:J$33&lt;&gt;"")*(G$4:G$33="")*(J$4:J$33&lt;&gt;"No DD")),""))</f>
        <v/>
      </c>
      <c r="C5" s="5" t="s">
        <v>111</v>
      </c>
      <c r="D5" s="4" t="s">
        <v>4</v>
      </c>
      <c r="E5" s="4">
        <v>2005</v>
      </c>
      <c r="F5" s="9">
        <f t="shared" si="0"/>
        <v>150.75001002500505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50.599999999999994</v>
      </c>
      <c r="M5" s="8" t="str">
        <f t="shared" si="5"/>
        <v>2024 3rd Domestic Trial</v>
      </c>
      <c r="N5" s="8">
        <f>IF(COUNT(AQ5,BT5,CW5)&gt;1,LARGE((AQ5,BT5,CW5),2),0)</f>
        <v>49.65</v>
      </c>
      <c r="O5" s="8" t="str">
        <f t="shared" si="6"/>
        <v>2025 Nationals</v>
      </c>
      <c r="P5" s="8">
        <f t="shared" si="7"/>
        <v>50.5</v>
      </c>
      <c r="Q5" s="8" t="str">
        <f t="shared" si="8"/>
        <v>2025 Elite Canada</v>
      </c>
      <c r="R5" s="8" t="str">
        <f t="shared" si="9"/>
        <v/>
      </c>
      <c r="S5" s="11" t="str">
        <f t="shared" si="10"/>
        <v/>
      </c>
      <c r="T5" s="8" t="str">
        <f t="shared" si="11"/>
        <v/>
      </c>
      <c r="U5" s="19">
        <v>18.7</v>
      </c>
      <c r="V5" s="19">
        <v>6.8</v>
      </c>
      <c r="W5" s="19">
        <v>0.6</v>
      </c>
      <c r="X5" s="19">
        <v>0.3</v>
      </c>
      <c r="Y5" s="19">
        <v>19</v>
      </c>
      <c r="Z5" s="19">
        <v>6.4</v>
      </c>
      <c r="AA5" s="19">
        <v>0</v>
      </c>
      <c r="AB5" s="19">
        <v>0</v>
      </c>
      <c r="AC5" s="19">
        <v>18.600000000000001</v>
      </c>
      <c r="AD5" s="19">
        <v>5.2</v>
      </c>
      <c r="AE5" s="19">
        <v>0.6</v>
      </c>
      <c r="AF5" s="19">
        <v>0</v>
      </c>
      <c r="AG5" s="19">
        <v>18.2</v>
      </c>
      <c r="AH5" s="19">
        <v>6.8</v>
      </c>
      <c r="AI5" s="19">
        <v>0.2</v>
      </c>
      <c r="AJ5" s="19">
        <v>0.3</v>
      </c>
      <c r="AK5" s="19">
        <v>18.399999999999999</v>
      </c>
      <c r="AL5" s="19">
        <v>6.4</v>
      </c>
      <c r="AM5" s="19">
        <v>0.6</v>
      </c>
      <c r="AN5" s="19">
        <v>0</v>
      </c>
      <c r="AO5" s="27"/>
      <c r="AP5" s="40">
        <f t="shared" si="12"/>
        <v>13.2</v>
      </c>
      <c r="AQ5" s="40">
        <f t="shared" si="13"/>
        <v>50.599999999999994</v>
      </c>
      <c r="AR5" s="40">
        <f t="shared" si="14"/>
        <v>23.2</v>
      </c>
      <c r="AS5" s="40">
        <f t="shared" si="15"/>
        <v>18.399999999999999</v>
      </c>
      <c r="AT5" s="40">
        <f t="shared" si="16"/>
        <v>73.8</v>
      </c>
      <c r="AU5" s="40">
        <f t="shared" si="17"/>
        <v>13.2</v>
      </c>
      <c r="AV5" s="40">
        <f t="shared" si="18"/>
        <v>49.300000000000004</v>
      </c>
      <c r="AW5" s="40">
        <f t="shared" si="19"/>
        <v>123.1</v>
      </c>
      <c r="AX5" s="18">
        <v>18.399999999999999</v>
      </c>
      <c r="AY5" s="18">
        <v>6</v>
      </c>
      <c r="AZ5" s="18">
        <v>0.2</v>
      </c>
      <c r="BA5" s="18">
        <v>0.3</v>
      </c>
      <c r="BB5" s="18">
        <v>18.600000000000001</v>
      </c>
      <c r="BC5" s="18">
        <v>6.4</v>
      </c>
      <c r="BD5" s="18">
        <v>0.8</v>
      </c>
      <c r="BE5" s="18">
        <v>0</v>
      </c>
      <c r="BF5" s="18"/>
      <c r="BG5" s="18"/>
      <c r="BH5" s="18"/>
      <c r="BI5" s="18"/>
      <c r="BJ5" s="18">
        <v>18.600000000000001</v>
      </c>
      <c r="BK5" s="18">
        <v>6.8</v>
      </c>
      <c r="BL5" s="18">
        <v>0.2</v>
      </c>
      <c r="BM5" s="18">
        <v>0.3</v>
      </c>
      <c r="BN5" s="18">
        <v>18.600000000000001</v>
      </c>
      <c r="BO5" s="18">
        <v>6.4</v>
      </c>
      <c r="BP5" s="18">
        <v>0</v>
      </c>
      <c r="BQ5" s="18">
        <v>0</v>
      </c>
      <c r="BR5" s="28"/>
      <c r="BS5" s="11">
        <f t="shared" si="20"/>
        <v>12.4</v>
      </c>
      <c r="BT5" s="11">
        <f t="shared" si="21"/>
        <v>48.699999999999996</v>
      </c>
      <c r="BU5" s="11" t="str">
        <f t="shared" si="22"/>
        <v/>
      </c>
      <c r="BV5" s="11">
        <f t="shared" si="23"/>
        <v>12.4</v>
      </c>
      <c r="BW5" s="11">
        <f t="shared" si="24"/>
        <v>48.699999999999996</v>
      </c>
      <c r="BX5" s="11">
        <f t="shared" si="25"/>
        <v>13.2</v>
      </c>
      <c r="BY5" s="11">
        <f t="shared" si="26"/>
        <v>50.5</v>
      </c>
      <c r="BZ5" s="11">
        <f t="shared" si="27"/>
        <v>99.199999999999989</v>
      </c>
      <c r="CA5" s="19">
        <v>18.549999999999997</v>
      </c>
      <c r="CB5" s="19">
        <v>6.4</v>
      </c>
      <c r="CC5" s="19">
        <v>0.4</v>
      </c>
      <c r="CD5" s="19">
        <v>0.3</v>
      </c>
      <c r="CE5" s="19">
        <v>18.8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18.399999999999999</v>
      </c>
      <c r="CN5" s="19">
        <v>6.8</v>
      </c>
      <c r="CO5" s="19">
        <v>0.2</v>
      </c>
      <c r="CP5" s="19">
        <v>0.3</v>
      </c>
      <c r="CQ5" s="19">
        <v>18.5</v>
      </c>
      <c r="CR5" s="19">
        <v>6.4</v>
      </c>
      <c r="CS5" s="19">
        <v>0.3</v>
      </c>
      <c r="CT5" s="19">
        <v>0</v>
      </c>
      <c r="CU5" s="27" t="s">
        <v>46</v>
      </c>
      <c r="CV5" s="40">
        <f t="shared" si="28"/>
        <v>12.8</v>
      </c>
      <c r="CW5" s="40">
        <f t="shared" si="29"/>
        <v>49.65</v>
      </c>
      <c r="CX5" s="40" t="str">
        <f t="shared" si="30"/>
        <v/>
      </c>
      <c r="CY5" s="40">
        <f t="shared" si="31"/>
        <v>12.8</v>
      </c>
      <c r="CZ5" s="40">
        <f t="shared" si="32"/>
        <v>49.65</v>
      </c>
      <c r="DA5" s="40">
        <f t="shared" si="33"/>
        <v>13.2</v>
      </c>
      <c r="DB5" s="40">
        <f t="shared" si="34"/>
        <v>49.9</v>
      </c>
      <c r="DC5" s="40">
        <f t="shared" si="35"/>
        <v>99.55</v>
      </c>
      <c r="DD5" s="50" t="str">
        <f t="shared" si="36"/>
        <v/>
      </c>
      <c r="DE5" s="50" t="str">
        <f t="shared" si="37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22">
        <f t="shared" si="134"/>
        <v>18.549999999999997</v>
      </c>
      <c r="QE5" s="22">
        <f t="shared" si="135"/>
        <v>6.4</v>
      </c>
      <c r="QF5" s="22">
        <f t="shared" si="136"/>
        <v>0.4</v>
      </c>
      <c r="QG5" s="22">
        <f t="shared" si="137"/>
        <v>0.3</v>
      </c>
      <c r="QH5" s="22">
        <f t="shared" si="138"/>
        <v>18.8</v>
      </c>
      <c r="QI5" s="22">
        <f t="shared" si="139"/>
        <v>6.4</v>
      </c>
      <c r="QJ5" s="22">
        <f t="shared" si="140"/>
        <v>0.4</v>
      </c>
      <c r="QK5" s="22">
        <f t="shared" si="141"/>
        <v>0</v>
      </c>
      <c r="QL5" s="22">
        <f t="shared" si="142"/>
        <v>0</v>
      </c>
      <c r="QM5" s="22">
        <f t="shared" si="143"/>
        <v>0</v>
      </c>
      <c r="QN5" s="22">
        <f t="shared" si="144"/>
        <v>0</v>
      </c>
      <c r="QO5" s="22">
        <f t="shared" si="145"/>
        <v>0</v>
      </c>
      <c r="QP5" s="22">
        <f t="shared" si="146"/>
        <v>18.399999999999999</v>
      </c>
      <c r="QQ5" s="22">
        <f t="shared" si="147"/>
        <v>6.8</v>
      </c>
      <c r="QR5" s="22">
        <f t="shared" si="148"/>
        <v>0.2</v>
      </c>
      <c r="QS5" s="22">
        <f t="shared" si="149"/>
        <v>0.3</v>
      </c>
      <c r="QT5" s="22">
        <f t="shared" si="150"/>
        <v>18.5</v>
      </c>
      <c r="QU5" s="22">
        <f t="shared" si="151"/>
        <v>6.4</v>
      </c>
      <c r="QV5" s="22">
        <f t="shared" si="152"/>
        <v>0.3</v>
      </c>
      <c r="QW5" s="22">
        <f t="shared" si="153"/>
        <v>0</v>
      </c>
      <c r="QX5" s="27" t="s">
        <v>46</v>
      </c>
      <c r="QY5" s="40">
        <f t="shared" si="154"/>
        <v>12.8</v>
      </c>
      <c r="QZ5" s="40">
        <f t="shared" si="155"/>
        <v>49.65</v>
      </c>
      <c r="RA5" s="40" t="str">
        <f t="shared" si="156"/>
        <v/>
      </c>
      <c r="RB5" s="40">
        <f t="shared" si="157"/>
        <v>12.8</v>
      </c>
      <c r="RC5" s="40">
        <f t="shared" si="158"/>
        <v>49.65</v>
      </c>
      <c r="RD5" s="40">
        <f t="shared" si="159"/>
        <v>13.2</v>
      </c>
      <c r="RE5" s="40">
        <f t="shared" si="160"/>
        <v>49.9</v>
      </c>
      <c r="RF5" s="40">
        <f t="shared" si="161"/>
        <v>99.55</v>
      </c>
    </row>
    <row r="6" spans="1:474" x14ac:dyDescent="0.2">
      <c r="A6" s="4" cm="1">
        <f t="array" ref="A6">IF(AND(J6&lt;&gt;"",J6&lt;&gt;"No DD"),SUMPRODUCT((J$4:J$33&lt;&gt;"")*(J$4:J$33&lt;&gt;"No DD")*(F$4:F$33&gt;F6))+1,IF(J6="No DD",SUMPRODUCT((J$4:J$33="No DD")*(F$4:F$33&gt;F6))+1+SUMPRODUCT((J$4:J$33&lt;&gt;"")*(J$4:J$33&lt;&gt;"No DD")),""))</f>
        <v>3</v>
      </c>
      <c r="B6" s="4" cm="1">
        <f t="array" ref="B6">IF(AND(J6&lt;&gt;"",J6&lt;&gt;"No DD",G6=""),SUMPRODUCT((J$4:J$33&lt;&gt;"")*(J$4:J$33&lt;&gt;"No DD")*(G$4:G$33="")*(F$4:F$33&gt;F6))+1,IF(J6="No DD",SUMPRODUCT((J$4:J$33="No DD")*(F$4:F$33&gt;F6)*(G$4:G$33=""))+1+SUMPRODUCT((J$4:J$33&lt;&gt;"")*(G$4:G$33="")*(J$4:J$33&lt;&gt;"No DD")),""))</f>
        <v>1</v>
      </c>
      <c r="C6" s="5" t="s">
        <v>163</v>
      </c>
      <c r="D6" s="4" t="s">
        <v>5</v>
      </c>
      <c r="E6" s="4">
        <v>2008</v>
      </c>
      <c r="F6" s="9">
        <f t="shared" si="0"/>
        <v>143.70000924000493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49.499999999999993</v>
      </c>
      <c r="M6" s="8" t="str">
        <f t="shared" si="5"/>
        <v>2025 Nationals</v>
      </c>
      <c r="N6" s="8">
        <f>IF(COUNT(AQ6,BT6,CW6)&gt;1,LARGE((AQ6,BT6,CW6),2),0)</f>
        <v>42.900000000000006</v>
      </c>
      <c r="O6" s="8" t="str">
        <f t="shared" si="6"/>
        <v>2024 3rd Domestic Trial</v>
      </c>
      <c r="P6" s="8">
        <f t="shared" si="7"/>
        <v>51.3</v>
      </c>
      <c r="Q6" s="8" t="str">
        <f t="shared" si="8"/>
        <v>2025 Nationals</v>
      </c>
      <c r="R6" s="8" t="str">
        <f t="shared" si="9"/>
        <v/>
      </c>
      <c r="S6" s="11" t="str">
        <f t="shared" si="10"/>
        <v/>
      </c>
      <c r="T6" s="8" t="str">
        <f t="shared" si="11"/>
        <v/>
      </c>
      <c r="U6" s="19">
        <v>17.8</v>
      </c>
      <c r="V6" s="19">
        <v>4.4000000000000004</v>
      </c>
      <c r="W6" s="19">
        <v>0.6</v>
      </c>
      <c r="X6" s="19">
        <v>0</v>
      </c>
      <c r="Y6" s="19">
        <v>19</v>
      </c>
      <c r="Z6" s="19">
        <v>3.1</v>
      </c>
      <c r="AA6" s="19">
        <v>0.8</v>
      </c>
      <c r="AB6" s="19">
        <v>0</v>
      </c>
      <c r="AC6" s="19">
        <v>16.2</v>
      </c>
      <c r="AD6" s="19">
        <v>2.8</v>
      </c>
      <c r="AE6" s="19">
        <v>1.2</v>
      </c>
      <c r="AF6" s="19">
        <v>0</v>
      </c>
      <c r="AG6" s="19">
        <v>17.8</v>
      </c>
      <c r="AH6" s="19">
        <v>5.6</v>
      </c>
      <c r="AI6" s="19">
        <v>1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7"/>
      <c r="AP6" s="40">
        <f t="shared" si="12"/>
        <v>7.5</v>
      </c>
      <c r="AQ6" s="40">
        <f t="shared" si="13"/>
        <v>42.900000000000006</v>
      </c>
      <c r="AR6" s="40">
        <f t="shared" si="14"/>
        <v>17.8</v>
      </c>
      <c r="AS6" s="40">
        <f t="shared" si="15"/>
        <v>10.3</v>
      </c>
      <c r="AT6" s="40">
        <f t="shared" si="16"/>
        <v>60.7</v>
      </c>
      <c r="AU6" s="40">
        <f t="shared" si="17"/>
        <v>8</v>
      </c>
      <c r="AV6" s="40">
        <f t="shared" si="18"/>
        <v>41.999999999999993</v>
      </c>
      <c r="AW6" s="40">
        <f t="shared" si="19"/>
        <v>102.69999999999999</v>
      </c>
      <c r="AX6" s="18">
        <v>18.7</v>
      </c>
      <c r="AY6" s="18">
        <v>5.2</v>
      </c>
      <c r="AZ6" s="18">
        <v>0</v>
      </c>
      <c r="BA6" s="18">
        <v>0</v>
      </c>
      <c r="BB6" s="18">
        <v>15.2</v>
      </c>
      <c r="BC6" s="18">
        <v>0</v>
      </c>
      <c r="BD6" s="18">
        <v>0</v>
      </c>
      <c r="BE6" s="18">
        <v>0</v>
      </c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20"/>
        <v>5.2</v>
      </c>
      <c r="BT6" s="11">
        <f t="shared" si="21"/>
        <v>39.099999999999994</v>
      </c>
      <c r="BU6" s="11" t="str">
        <f t="shared" si="22"/>
        <v/>
      </c>
      <c r="BV6" s="11">
        <f t="shared" si="23"/>
        <v>5.2</v>
      </c>
      <c r="BW6" s="11">
        <f t="shared" si="24"/>
        <v>39.099999999999994</v>
      </c>
      <c r="BX6" s="11" t="str">
        <f t="shared" si="25"/>
        <v/>
      </c>
      <c r="BY6" s="11" t="str">
        <f t="shared" si="26"/>
        <v/>
      </c>
      <c r="BZ6" s="11">
        <f t="shared" si="27"/>
        <v>39.099999999999994</v>
      </c>
      <c r="CA6" s="19">
        <v>18.5</v>
      </c>
      <c r="CB6" s="19">
        <v>6</v>
      </c>
      <c r="CC6" s="19">
        <v>0.2</v>
      </c>
      <c r="CD6" s="19">
        <v>0.3</v>
      </c>
      <c r="CE6" s="19">
        <v>18.7</v>
      </c>
      <c r="CF6" s="19">
        <v>6.4</v>
      </c>
      <c r="CG6" s="19">
        <v>0.2</v>
      </c>
      <c r="CH6" s="19">
        <v>0</v>
      </c>
      <c r="CI6" s="19"/>
      <c r="CJ6" s="19"/>
      <c r="CK6" s="19"/>
      <c r="CL6" s="19"/>
      <c r="CM6" s="19">
        <v>18.600000000000001</v>
      </c>
      <c r="CN6" s="19">
        <v>7.2</v>
      </c>
      <c r="CO6" s="19">
        <v>0</v>
      </c>
      <c r="CP6" s="19">
        <v>0.3</v>
      </c>
      <c r="CQ6" s="19">
        <v>18.3</v>
      </c>
      <c r="CR6" s="19">
        <v>6.8</v>
      </c>
      <c r="CS6" s="19">
        <v>0.2</v>
      </c>
      <c r="CT6" s="19">
        <v>0.3</v>
      </c>
      <c r="CU6" s="27"/>
      <c r="CV6" s="40">
        <f t="shared" si="28"/>
        <v>12.4</v>
      </c>
      <c r="CW6" s="40">
        <f t="shared" si="29"/>
        <v>49.499999999999993</v>
      </c>
      <c r="CX6" s="40" t="str">
        <f t="shared" si="30"/>
        <v/>
      </c>
      <c r="CY6" s="40">
        <f t="shared" si="31"/>
        <v>12.4</v>
      </c>
      <c r="CZ6" s="40">
        <f t="shared" si="32"/>
        <v>49.499999999999993</v>
      </c>
      <c r="DA6" s="40">
        <f t="shared" si="33"/>
        <v>14</v>
      </c>
      <c r="DB6" s="40">
        <f t="shared" si="34"/>
        <v>51.3</v>
      </c>
      <c r="DC6" s="40">
        <f t="shared" si="35"/>
        <v>100.79999999999998</v>
      </c>
      <c r="DD6" s="50" t="str">
        <f t="shared" si="36"/>
        <v/>
      </c>
      <c r="DE6" s="50" t="str">
        <f t="shared" si="37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40" t="str">
        <f t="shared" si="44"/>
        <v/>
      </c>
      <c r="EG6" s="40" t="str">
        <f t="shared" si="45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 t="str">
        <f t="shared" si="92"/>
        <v/>
      </c>
      <c r="KS6" s="40" t="str">
        <f t="shared" si="93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22">
        <f t="shared" si="134"/>
        <v>18.600000000000001</v>
      </c>
      <c r="QE6" s="22">
        <f t="shared" si="135"/>
        <v>5.6</v>
      </c>
      <c r="QF6" s="22">
        <f t="shared" si="136"/>
        <v>0.1</v>
      </c>
      <c r="QG6" s="22">
        <f t="shared" si="137"/>
        <v>0.15</v>
      </c>
      <c r="QH6" s="22">
        <f t="shared" si="138"/>
        <v>16.95</v>
      </c>
      <c r="QI6" s="22">
        <f t="shared" si="139"/>
        <v>3.2</v>
      </c>
      <c r="QJ6" s="22">
        <f t="shared" si="140"/>
        <v>0.1</v>
      </c>
      <c r="QK6" s="22">
        <f t="shared" si="141"/>
        <v>0</v>
      </c>
      <c r="QL6" s="22">
        <f t="shared" si="142"/>
        <v>0</v>
      </c>
      <c r="QM6" s="22">
        <f t="shared" si="143"/>
        <v>0</v>
      </c>
      <c r="QN6" s="22">
        <f t="shared" si="144"/>
        <v>0</v>
      </c>
      <c r="QO6" s="22">
        <f t="shared" si="145"/>
        <v>0</v>
      </c>
      <c r="QP6" s="22">
        <f t="shared" si="146"/>
        <v>9.3000000000000007</v>
      </c>
      <c r="QQ6" s="22">
        <f t="shared" si="147"/>
        <v>3.6</v>
      </c>
      <c r="QR6" s="22">
        <f t="shared" si="148"/>
        <v>0</v>
      </c>
      <c r="QS6" s="22">
        <f t="shared" si="149"/>
        <v>0.15</v>
      </c>
      <c r="QT6" s="22">
        <f t="shared" si="150"/>
        <v>9.15</v>
      </c>
      <c r="QU6" s="22">
        <f t="shared" si="151"/>
        <v>3.4</v>
      </c>
      <c r="QV6" s="22">
        <f t="shared" si="152"/>
        <v>0.1</v>
      </c>
      <c r="QW6" s="22">
        <f t="shared" si="153"/>
        <v>0.15</v>
      </c>
      <c r="QX6" s="27" t="s">
        <v>46</v>
      </c>
      <c r="QY6" s="40">
        <f t="shared" si="154"/>
        <v>8.8000000000000007</v>
      </c>
      <c r="QZ6" s="40">
        <f t="shared" si="155"/>
        <v>44.3</v>
      </c>
      <c r="RA6" s="40" t="str">
        <f t="shared" si="156"/>
        <v/>
      </c>
      <c r="RB6" s="40">
        <f t="shared" si="157"/>
        <v>8.8000000000000007</v>
      </c>
      <c r="RC6" s="40">
        <f t="shared" si="158"/>
        <v>44.3</v>
      </c>
      <c r="RD6" s="40">
        <f t="shared" si="159"/>
        <v>7</v>
      </c>
      <c r="RE6" s="40">
        <f t="shared" si="160"/>
        <v>25.65</v>
      </c>
      <c r="RF6" s="40">
        <f t="shared" si="161"/>
        <v>69.949999999999989</v>
      </c>
    </row>
    <row r="7" spans="1:474" x14ac:dyDescent="0.2">
      <c r="A7" s="4" cm="1">
        <f t="array" ref="A7">IF(AND(J7&lt;&gt;"",J7&lt;&gt;"No DD"),SUMPRODUCT((J$4:J$33&lt;&gt;"")*(J$4:J$33&lt;&gt;"No DD")*(F$4:F$33&gt;F7))+1,IF(J7="No DD",SUMPRODUCT((J$4:J$33="No DD")*(F$4:F$33&gt;F7))+1+SUMPRODUCT((J$4:J$33&lt;&gt;"")*(J$4:J$33&lt;&gt;"No DD")),""))</f>
        <v>4</v>
      </c>
      <c r="B7" s="4" cm="1">
        <f t="array" ref="B7">IF(AND(J7&lt;&gt;"",J7&lt;&gt;"No DD",G7=""),SUMPRODUCT((J$4:J$33&lt;&gt;"")*(J$4:J$33&lt;&gt;"No DD")*(G$4:G$33="")*(F$4:F$33&gt;F7))+1,IF(J7="No DD",SUMPRODUCT((J$4:J$33="No DD")*(F$4:F$33&gt;F7)*(G$4:G$33=""))+1+SUMPRODUCT((J$4:J$33&lt;&gt;"")*(G$4:G$33="")*(J$4:J$33&lt;&gt;"No DD")),""))</f>
        <v>2</v>
      </c>
      <c r="C7" s="5" t="s">
        <v>186</v>
      </c>
      <c r="D7" s="4" t="s">
        <v>5</v>
      </c>
      <c r="E7" s="4">
        <v>2008</v>
      </c>
      <c r="F7" s="9">
        <f t="shared" si="0"/>
        <v>141.60000940000472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47.2</v>
      </c>
      <c r="M7" s="8" t="str">
        <f t="shared" si="5"/>
        <v>2025 Elite Canada</v>
      </c>
      <c r="N7" s="8">
        <f>IF(COUNT(AQ7,BT7,CW7)&gt;1,LARGE((AQ7,BT7,CW7),2),0)</f>
        <v>46.8</v>
      </c>
      <c r="O7" s="8" t="str">
        <f t="shared" si="6"/>
        <v>2025 Nationals</v>
      </c>
      <c r="P7" s="8">
        <f t="shared" si="7"/>
        <v>47.6</v>
      </c>
      <c r="Q7" s="8" t="str">
        <f t="shared" si="8"/>
        <v>2025 Nationals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2"/>
        <v/>
      </c>
      <c r="AQ7" s="40" t="str">
        <f t="shared" si="13"/>
        <v/>
      </c>
      <c r="AR7" s="40" t="str">
        <f t="shared" si="14"/>
        <v/>
      </c>
      <c r="AS7" s="40" t="str">
        <f t="shared" si="15"/>
        <v/>
      </c>
      <c r="AT7" s="40" t="str">
        <f t="shared" si="16"/>
        <v/>
      </c>
      <c r="AU7" s="40" t="str">
        <f t="shared" si="17"/>
        <v/>
      </c>
      <c r="AV7" s="40" t="str">
        <f t="shared" si="18"/>
        <v/>
      </c>
      <c r="AW7" s="40" t="str">
        <f t="shared" si="19"/>
        <v/>
      </c>
      <c r="AX7" s="18">
        <v>18.600000000000001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</v>
      </c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>
        <f t="shared" si="20"/>
        <v>10.4</v>
      </c>
      <c r="BT7" s="11">
        <f t="shared" si="21"/>
        <v>47.2</v>
      </c>
      <c r="BU7" s="11" t="str">
        <f t="shared" si="22"/>
        <v/>
      </c>
      <c r="BV7" s="11">
        <f t="shared" si="23"/>
        <v>10.4</v>
      </c>
      <c r="BW7" s="11">
        <f t="shared" si="24"/>
        <v>47.2</v>
      </c>
      <c r="BX7" s="11" t="str">
        <f t="shared" si="25"/>
        <v/>
      </c>
      <c r="BY7" s="11" t="str">
        <f t="shared" si="26"/>
        <v/>
      </c>
      <c r="BZ7" s="11">
        <f t="shared" si="27"/>
        <v>47.2</v>
      </c>
      <c r="CA7" s="19">
        <v>18.100000000000001</v>
      </c>
      <c r="CB7" s="19">
        <v>5.2</v>
      </c>
      <c r="CC7" s="19">
        <v>0.2</v>
      </c>
      <c r="CD7" s="19">
        <v>0</v>
      </c>
      <c r="CE7" s="19">
        <v>18.3</v>
      </c>
      <c r="CF7" s="19">
        <v>5.6</v>
      </c>
      <c r="CG7" s="19">
        <v>0.2</v>
      </c>
      <c r="CH7" s="19">
        <v>0</v>
      </c>
      <c r="CI7" s="19"/>
      <c r="CJ7" s="19"/>
      <c r="CK7" s="19"/>
      <c r="CL7" s="19"/>
      <c r="CM7" s="19">
        <v>18.2</v>
      </c>
      <c r="CN7" s="19">
        <v>6</v>
      </c>
      <c r="CO7" s="19">
        <v>0.6</v>
      </c>
      <c r="CP7" s="19">
        <v>0</v>
      </c>
      <c r="CQ7" s="19">
        <v>18.600000000000001</v>
      </c>
      <c r="CR7" s="19">
        <v>5.6</v>
      </c>
      <c r="CS7" s="19">
        <v>0.2</v>
      </c>
      <c r="CT7" s="19">
        <v>0</v>
      </c>
      <c r="CU7" s="27"/>
      <c r="CV7" s="40">
        <f t="shared" si="28"/>
        <v>10.8</v>
      </c>
      <c r="CW7" s="40">
        <f t="shared" si="29"/>
        <v>46.8</v>
      </c>
      <c r="CX7" s="40" t="str">
        <f t="shared" si="30"/>
        <v/>
      </c>
      <c r="CY7" s="40">
        <f t="shared" si="31"/>
        <v>10.8</v>
      </c>
      <c r="CZ7" s="40">
        <f t="shared" si="32"/>
        <v>46.8</v>
      </c>
      <c r="DA7" s="40">
        <f t="shared" si="33"/>
        <v>11.6</v>
      </c>
      <c r="DB7" s="40">
        <f t="shared" si="34"/>
        <v>47.6</v>
      </c>
      <c r="DC7" s="40">
        <f t="shared" si="35"/>
        <v>94.4</v>
      </c>
      <c r="DD7" s="50" t="str">
        <f t="shared" si="36"/>
        <v/>
      </c>
      <c r="DE7" s="50" t="str">
        <f t="shared" si="37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22">
        <f t="shared" si="134"/>
        <v>18.350000000000001</v>
      </c>
      <c r="QE7" s="22">
        <f t="shared" si="135"/>
        <v>5.2</v>
      </c>
      <c r="QF7" s="22">
        <f t="shared" si="136"/>
        <v>0.1</v>
      </c>
      <c r="QG7" s="22">
        <f t="shared" si="137"/>
        <v>0</v>
      </c>
      <c r="QH7" s="22">
        <f t="shared" si="138"/>
        <v>18.25</v>
      </c>
      <c r="QI7" s="22">
        <f t="shared" si="139"/>
        <v>5.4</v>
      </c>
      <c r="QJ7" s="22">
        <f t="shared" si="140"/>
        <v>0.1</v>
      </c>
      <c r="QK7" s="22">
        <f t="shared" si="141"/>
        <v>0</v>
      </c>
      <c r="QL7" s="22">
        <f t="shared" si="142"/>
        <v>0</v>
      </c>
      <c r="QM7" s="22">
        <f t="shared" si="143"/>
        <v>0</v>
      </c>
      <c r="QN7" s="22">
        <f t="shared" si="144"/>
        <v>0</v>
      </c>
      <c r="QO7" s="22">
        <f t="shared" si="145"/>
        <v>0</v>
      </c>
      <c r="QP7" s="22">
        <f t="shared" si="146"/>
        <v>9.1</v>
      </c>
      <c r="QQ7" s="22">
        <f t="shared" si="147"/>
        <v>3</v>
      </c>
      <c r="QR7" s="22">
        <f t="shared" si="148"/>
        <v>0.3</v>
      </c>
      <c r="QS7" s="22">
        <f t="shared" si="149"/>
        <v>0</v>
      </c>
      <c r="QT7" s="22">
        <f t="shared" si="150"/>
        <v>9.3000000000000007</v>
      </c>
      <c r="QU7" s="22">
        <f t="shared" si="151"/>
        <v>2.8</v>
      </c>
      <c r="QV7" s="22">
        <f t="shared" si="152"/>
        <v>0.1</v>
      </c>
      <c r="QW7" s="22">
        <f t="shared" si="153"/>
        <v>0</v>
      </c>
      <c r="QX7" s="27" t="s">
        <v>46</v>
      </c>
      <c r="QY7" s="40">
        <f t="shared" si="154"/>
        <v>10.600000000000001</v>
      </c>
      <c r="QZ7" s="40">
        <f t="shared" si="155"/>
        <v>46.999999999999993</v>
      </c>
      <c r="RA7" s="40" t="str">
        <f t="shared" si="156"/>
        <v/>
      </c>
      <c r="RB7" s="40">
        <f t="shared" si="157"/>
        <v>10.600000000000001</v>
      </c>
      <c r="RC7" s="40">
        <f t="shared" si="158"/>
        <v>46.999999999999993</v>
      </c>
      <c r="RD7" s="40">
        <f t="shared" si="159"/>
        <v>5.8</v>
      </c>
      <c r="RE7" s="40">
        <f t="shared" si="160"/>
        <v>23.8</v>
      </c>
      <c r="RF7" s="40">
        <f t="shared" si="161"/>
        <v>70.8</v>
      </c>
    </row>
    <row r="8" spans="1:474" x14ac:dyDescent="0.2">
      <c r="A8" s="4" cm="1">
        <f t="array" ref="A8">IF(AND(J8&lt;&gt;"",J8&lt;&gt;"No DD"),SUMPRODUCT((J$4:J$33&lt;&gt;"")*(J$4:J$33&lt;&gt;"No DD")*(F$4:F$33&gt;F8))+1,IF(J8="No DD",SUMPRODUCT((J$4:J$33="No DD")*(F$4:F$33&gt;F8))+1+SUMPRODUCT((J$4:J$33&lt;&gt;"")*(J$4:J$33&lt;&gt;"No DD")),""))</f>
        <v>5</v>
      </c>
      <c r="B8" s="4" cm="1">
        <f t="array" ref="B8">IF(AND(J8&lt;&gt;"",J8&lt;&gt;"No DD",G8=""),SUMPRODUCT((J$4:J$33&lt;&gt;"")*(J$4:J$33&lt;&gt;"No DD")*(G$4:G$33="")*(F$4:F$33&gt;F8))+1,IF(J8="No DD",SUMPRODUCT((J$4:J$33="No DD")*(F$4:F$33&gt;F8)*(G$4:G$33=""))+1+SUMPRODUCT((J$4:J$33&lt;&gt;"")*(G$4:G$33="")*(J$4:J$33&lt;&gt;"No DD")),""))</f>
        <v>3</v>
      </c>
      <c r="C8" s="5" t="s">
        <v>63</v>
      </c>
      <c r="D8" s="4" t="s">
        <v>5</v>
      </c>
      <c r="E8" s="4">
        <v>2004</v>
      </c>
      <c r="F8" s="9">
        <f t="shared" si="0"/>
        <v>139.10000950000511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51.1</v>
      </c>
      <c r="M8" s="8" t="str">
        <f t="shared" si="5"/>
        <v>2025 Elite Canada</v>
      </c>
      <c r="N8" s="8">
        <f>IF(COUNT(AQ8,BT8,CW8)&gt;1,LARGE((AQ8,BT8,CW8),2),0)</f>
        <v>43.9</v>
      </c>
      <c r="O8" s="8" t="str">
        <f t="shared" si="6"/>
        <v>2025 Nationals</v>
      </c>
      <c r="P8" s="8">
        <f t="shared" si="7"/>
        <v>44.099999999999994</v>
      </c>
      <c r="Q8" s="8" t="str">
        <f t="shared" si="8"/>
        <v>2025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18.399999999999999</v>
      </c>
      <c r="V8" s="19">
        <v>6.8</v>
      </c>
      <c r="W8" s="19">
        <v>0</v>
      </c>
      <c r="X8" s="19">
        <v>0.3</v>
      </c>
      <c r="Y8" s="19">
        <v>0</v>
      </c>
      <c r="Z8" s="19">
        <v>0</v>
      </c>
      <c r="AA8" s="19">
        <v>0</v>
      </c>
      <c r="AB8" s="19">
        <v>0</v>
      </c>
      <c r="AC8" s="19">
        <v>19.100000000000001</v>
      </c>
      <c r="AD8" s="19">
        <v>5.6</v>
      </c>
      <c r="AE8" s="19">
        <v>0.6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2"/>
        <v>6.8</v>
      </c>
      <c r="AQ8" s="40">
        <f t="shared" si="13"/>
        <v>25.5</v>
      </c>
      <c r="AR8" s="40">
        <f t="shared" si="14"/>
        <v>24.1</v>
      </c>
      <c r="AS8" s="40">
        <f t="shared" si="15"/>
        <v>12.399999999999999</v>
      </c>
      <c r="AT8" s="40">
        <f t="shared" si="16"/>
        <v>49.6</v>
      </c>
      <c r="AU8" s="40" t="str">
        <f t="shared" si="17"/>
        <v/>
      </c>
      <c r="AV8" s="40" t="str">
        <f t="shared" si="18"/>
        <v/>
      </c>
      <c r="AW8" s="40">
        <f t="shared" si="19"/>
        <v>49.6</v>
      </c>
      <c r="AX8" s="18">
        <v>19</v>
      </c>
      <c r="AY8" s="18">
        <v>6.8</v>
      </c>
      <c r="AZ8" s="18">
        <v>0.2</v>
      </c>
      <c r="BA8" s="18">
        <v>0.3</v>
      </c>
      <c r="BB8" s="18">
        <v>18.8</v>
      </c>
      <c r="BC8" s="18">
        <v>6.4</v>
      </c>
      <c r="BD8" s="18">
        <v>0</v>
      </c>
      <c r="BE8" s="18">
        <v>0</v>
      </c>
      <c r="BF8" s="18"/>
      <c r="BG8" s="18"/>
      <c r="BH8" s="18"/>
      <c r="BI8" s="18"/>
      <c r="BJ8" s="18">
        <v>18.8</v>
      </c>
      <c r="BK8" s="18">
        <v>6.8</v>
      </c>
      <c r="BL8" s="18">
        <v>0.2</v>
      </c>
      <c r="BM8" s="18">
        <v>0.3</v>
      </c>
      <c r="BN8" s="18">
        <v>15.6</v>
      </c>
      <c r="BO8" s="18">
        <v>2.8</v>
      </c>
      <c r="BP8" s="18">
        <v>0</v>
      </c>
      <c r="BQ8" s="18">
        <v>0</v>
      </c>
      <c r="BR8" s="28"/>
      <c r="BS8" s="11">
        <f t="shared" si="20"/>
        <v>13.2</v>
      </c>
      <c r="BT8" s="11">
        <f t="shared" si="21"/>
        <v>51.1</v>
      </c>
      <c r="BU8" s="11" t="str">
        <f t="shared" si="22"/>
        <v/>
      </c>
      <c r="BV8" s="11">
        <f t="shared" si="23"/>
        <v>13.2</v>
      </c>
      <c r="BW8" s="11">
        <f t="shared" si="24"/>
        <v>51.1</v>
      </c>
      <c r="BX8" s="11">
        <f t="shared" si="25"/>
        <v>9.6</v>
      </c>
      <c r="BY8" s="11">
        <f t="shared" si="26"/>
        <v>44.099999999999994</v>
      </c>
      <c r="BZ8" s="11">
        <f t="shared" si="27"/>
        <v>95.199999999999989</v>
      </c>
      <c r="CA8" s="19">
        <v>15.7</v>
      </c>
      <c r="CB8" s="19">
        <v>2.4</v>
      </c>
      <c r="CC8" s="19">
        <v>0</v>
      </c>
      <c r="CD8" s="19">
        <v>0</v>
      </c>
      <c r="CE8" s="19">
        <v>18.3</v>
      </c>
      <c r="CF8" s="19">
        <v>7.2</v>
      </c>
      <c r="CG8" s="19">
        <v>0</v>
      </c>
      <c r="CH8" s="19">
        <v>0.3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 t="shared" si="28"/>
        <v>9.6</v>
      </c>
      <c r="CW8" s="40">
        <f t="shared" si="29"/>
        <v>43.9</v>
      </c>
      <c r="CX8" s="40" t="str">
        <f t="shared" si="30"/>
        <v/>
      </c>
      <c r="CY8" s="40">
        <f t="shared" si="31"/>
        <v>9.6</v>
      </c>
      <c r="CZ8" s="40">
        <f t="shared" si="32"/>
        <v>43.9</v>
      </c>
      <c r="DA8" s="40" t="str">
        <f t="shared" si="33"/>
        <v/>
      </c>
      <c r="DB8" s="40" t="str">
        <f t="shared" si="34"/>
        <v/>
      </c>
      <c r="DC8" s="40">
        <f t="shared" si="35"/>
        <v>43.9</v>
      </c>
      <c r="DD8" s="50" t="str">
        <f t="shared" si="36"/>
        <v/>
      </c>
      <c r="DE8" s="50" t="str">
        <f t="shared" si="37"/>
        <v/>
      </c>
      <c r="DF8" s="17">
        <v>15.6</v>
      </c>
      <c r="DG8" s="17">
        <v>2.4</v>
      </c>
      <c r="DH8" s="17">
        <v>0</v>
      </c>
      <c r="DI8" s="17">
        <v>0</v>
      </c>
      <c r="DJ8" s="17">
        <v>18.7</v>
      </c>
      <c r="DK8" s="17">
        <v>6.4</v>
      </c>
      <c r="DL8" s="17">
        <v>0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>
        <f t="shared" si="38"/>
        <v>8.8000000000000007</v>
      </c>
      <c r="EA8" s="40">
        <f t="shared" si="39"/>
        <v>43.1</v>
      </c>
      <c r="EB8" s="40" t="str">
        <f t="shared" si="40"/>
        <v/>
      </c>
      <c r="EC8" s="40">
        <f t="shared" si="41"/>
        <v>8.8000000000000007</v>
      </c>
      <c r="ED8" s="40">
        <f t="shared" si="42"/>
        <v>43.1</v>
      </c>
      <c r="EE8" s="40" t="str">
        <f t="shared" si="43"/>
        <v/>
      </c>
      <c r="EF8" s="40" t="str">
        <f t="shared" si="44"/>
        <v/>
      </c>
      <c r="EG8" s="40">
        <f t="shared" si="45"/>
        <v>43.1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22">
        <f t="shared" si="134"/>
        <v>17.350000000000001</v>
      </c>
      <c r="QE8" s="22">
        <f t="shared" si="135"/>
        <v>4.5999999999999996</v>
      </c>
      <c r="QF8" s="22">
        <f t="shared" si="136"/>
        <v>0.1</v>
      </c>
      <c r="QG8" s="22">
        <f t="shared" si="137"/>
        <v>0.15</v>
      </c>
      <c r="QH8" s="22">
        <f t="shared" si="138"/>
        <v>18.55</v>
      </c>
      <c r="QI8" s="22">
        <f t="shared" si="139"/>
        <v>6.8000000000000007</v>
      </c>
      <c r="QJ8" s="22">
        <f t="shared" si="140"/>
        <v>0</v>
      </c>
      <c r="QK8" s="22">
        <f t="shared" si="141"/>
        <v>0.15</v>
      </c>
      <c r="QL8" s="22">
        <f t="shared" si="142"/>
        <v>0</v>
      </c>
      <c r="QM8" s="22">
        <f t="shared" si="143"/>
        <v>0</v>
      </c>
      <c r="QN8" s="22">
        <f t="shared" si="144"/>
        <v>0</v>
      </c>
      <c r="QO8" s="22">
        <f t="shared" si="145"/>
        <v>0</v>
      </c>
      <c r="QP8" s="22">
        <f t="shared" si="146"/>
        <v>9.4</v>
      </c>
      <c r="QQ8" s="22">
        <f t="shared" si="147"/>
        <v>3.4</v>
      </c>
      <c r="QR8" s="22">
        <f t="shared" si="148"/>
        <v>0.1</v>
      </c>
      <c r="QS8" s="22">
        <f t="shared" si="149"/>
        <v>0.15</v>
      </c>
      <c r="QT8" s="22">
        <f t="shared" si="150"/>
        <v>7.8</v>
      </c>
      <c r="QU8" s="22">
        <f t="shared" si="151"/>
        <v>1.4</v>
      </c>
      <c r="QV8" s="22">
        <f t="shared" si="152"/>
        <v>0</v>
      </c>
      <c r="QW8" s="22">
        <f t="shared" si="153"/>
        <v>0</v>
      </c>
      <c r="QX8" s="27" t="s">
        <v>46</v>
      </c>
      <c r="QY8" s="40">
        <f t="shared" si="154"/>
        <v>11.4</v>
      </c>
      <c r="QZ8" s="40">
        <f t="shared" si="155"/>
        <v>47.5</v>
      </c>
      <c r="RA8" s="40" t="str">
        <f t="shared" si="156"/>
        <v/>
      </c>
      <c r="RB8" s="40">
        <f t="shared" si="157"/>
        <v>11.4</v>
      </c>
      <c r="RC8" s="40">
        <f t="shared" si="158"/>
        <v>47.5</v>
      </c>
      <c r="RD8" s="40">
        <f t="shared" si="159"/>
        <v>4.8</v>
      </c>
      <c r="RE8" s="40">
        <f t="shared" si="160"/>
        <v>22.049999999999997</v>
      </c>
      <c r="RF8" s="40">
        <f t="shared" si="161"/>
        <v>69.55</v>
      </c>
    </row>
    <row r="9" spans="1:474" x14ac:dyDescent="0.2">
      <c r="A9" s="4" cm="1">
        <f t="array" ref="A9">IF(AND(J9&lt;&gt;"",J9&lt;&gt;"No DD"),SUMPRODUCT((J$4:J$33&lt;&gt;"")*(J$4:J$33&lt;&gt;"No DD")*(F$4:F$33&gt;F9))+1,IF(J9="No DD",SUMPRODUCT((J$4:J$33="No DD")*(F$4:F$33&gt;F9))+1+SUMPRODUCT((J$4:J$33&lt;&gt;"")*(J$4:J$33&lt;&gt;"No DD")),""))</f>
        <v>6</v>
      </c>
      <c r="B9" s="4" cm="1">
        <f t="array" ref="B9">IF(AND(J9&lt;&gt;"",J9&lt;&gt;"No DD",G9=""),SUMPRODUCT((J$4:J$33&lt;&gt;"")*(J$4:J$33&lt;&gt;"No DD")*(G$4:G$33="")*(F$4:F$33&gt;F9))+1,IF(J9="No DD",SUMPRODUCT((J$4:J$33="No DD")*(F$4:F$33&gt;F9)*(G$4:G$33=""))+1+SUMPRODUCT((J$4:J$33&lt;&gt;"")*(G$4:G$33="")*(J$4:J$33&lt;&gt;"No DD")),""))</f>
        <v>4</v>
      </c>
      <c r="C9" s="5" t="s">
        <v>101</v>
      </c>
      <c r="D9" s="4" t="s">
        <v>31</v>
      </c>
      <c r="E9" s="4">
        <v>2005</v>
      </c>
      <c r="F9" s="9">
        <f t="shared" si="0"/>
        <v>138.00000913000471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47.1</v>
      </c>
      <c r="M9" s="8" t="str">
        <f t="shared" si="5"/>
        <v>2025 Elite Canada</v>
      </c>
      <c r="N9" s="8">
        <f>IF(COUNT(AQ9,BT9,CW9)&gt;1,LARGE((AQ9,BT9,CW9),2),0)</f>
        <v>44.199999999999996</v>
      </c>
      <c r="O9" s="8" t="str">
        <f t="shared" si="6"/>
        <v>2025 Nationals</v>
      </c>
      <c r="P9" s="8">
        <f t="shared" si="7"/>
        <v>46.7</v>
      </c>
      <c r="Q9" s="8" t="str">
        <f t="shared" si="8"/>
        <v>2025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2"/>
        <v/>
      </c>
      <c r="AQ9" s="40" t="str">
        <f t="shared" si="13"/>
        <v/>
      </c>
      <c r="AR9" s="40" t="str">
        <f t="shared" si="14"/>
        <v/>
      </c>
      <c r="AS9" s="40" t="str">
        <f t="shared" si="15"/>
        <v/>
      </c>
      <c r="AT9" s="40" t="str">
        <f t="shared" si="16"/>
        <v/>
      </c>
      <c r="AU9" s="40" t="str">
        <f t="shared" si="17"/>
        <v/>
      </c>
      <c r="AV9" s="40" t="str">
        <f t="shared" si="18"/>
        <v/>
      </c>
      <c r="AW9" s="40" t="str">
        <f t="shared" si="19"/>
        <v/>
      </c>
      <c r="AX9" s="18">
        <v>18.3</v>
      </c>
      <c r="AY9" s="18">
        <v>5.6</v>
      </c>
      <c r="AZ9" s="18">
        <v>0.6</v>
      </c>
      <c r="BA9" s="18">
        <v>0.3</v>
      </c>
      <c r="BB9" s="18">
        <v>18.5</v>
      </c>
      <c r="BC9" s="18">
        <v>5.2</v>
      </c>
      <c r="BD9" s="18">
        <v>0.2</v>
      </c>
      <c r="BE9" s="18">
        <v>0</v>
      </c>
      <c r="BF9" s="18"/>
      <c r="BG9" s="18"/>
      <c r="BH9" s="18"/>
      <c r="BI9" s="18"/>
      <c r="BJ9" s="18">
        <v>18.5</v>
      </c>
      <c r="BK9" s="18">
        <v>5.6</v>
      </c>
      <c r="BL9" s="18">
        <v>0.6</v>
      </c>
      <c r="BM9" s="18">
        <v>0.3</v>
      </c>
      <c r="BN9" s="18">
        <v>17.7</v>
      </c>
      <c r="BO9" s="18">
        <v>5.2</v>
      </c>
      <c r="BP9" s="18">
        <v>0</v>
      </c>
      <c r="BQ9" s="18">
        <v>0</v>
      </c>
      <c r="BR9" s="28"/>
      <c r="BS9" s="11">
        <f t="shared" si="20"/>
        <v>10.8</v>
      </c>
      <c r="BT9" s="11">
        <f t="shared" si="21"/>
        <v>47.1</v>
      </c>
      <c r="BU9" s="11" t="str">
        <f t="shared" si="22"/>
        <v/>
      </c>
      <c r="BV9" s="11">
        <f t="shared" si="23"/>
        <v>10.8</v>
      </c>
      <c r="BW9" s="11">
        <f t="shared" si="24"/>
        <v>47.1</v>
      </c>
      <c r="BX9" s="11">
        <f t="shared" si="25"/>
        <v>10.8</v>
      </c>
      <c r="BY9" s="11">
        <f t="shared" si="26"/>
        <v>46.7</v>
      </c>
      <c r="BZ9" s="11">
        <f t="shared" si="27"/>
        <v>93.800000000000011</v>
      </c>
      <c r="CA9" s="19">
        <v>16.399999999999999</v>
      </c>
      <c r="CB9" s="19">
        <v>4.8</v>
      </c>
      <c r="CC9" s="19">
        <v>0.8</v>
      </c>
      <c r="CD9" s="19">
        <v>0</v>
      </c>
      <c r="CE9" s="19">
        <v>18.399999999999999</v>
      </c>
      <c r="CF9" s="19">
        <v>5.6</v>
      </c>
      <c r="CG9" s="19">
        <v>0.2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 t="shared" si="28"/>
        <v>10.399999999999999</v>
      </c>
      <c r="CW9" s="40">
        <f t="shared" si="29"/>
        <v>44.199999999999996</v>
      </c>
      <c r="CX9" s="40" t="str">
        <f t="shared" si="30"/>
        <v/>
      </c>
      <c r="CY9" s="40">
        <f t="shared" si="31"/>
        <v>10.399999999999999</v>
      </c>
      <c r="CZ9" s="40">
        <f t="shared" si="32"/>
        <v>44.199999999999996</v>
      </c>
      <c r="DA9" s="40" t="str">
        <f t="shared" si="33"/>
        <v/>
      </c>
      <c r="DB9" s="40" t="str">
        <f t="shared" si="34"/>
        <v/>
      </c>
      <c r="DC9" s="40">
        <f t="shared" si="35"/>
        <v>44.199999999999996</v>
      </c>
      <c r="DD9" s="50" t="str">
        <f t="shared" si="36"/>
        <v/>
      </c>
      <c r="DE9" s="50" t="str">
        <f t="shared" si="37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22">
        <f t="shared" si="134"/>
        <v>17.350000000000001</v>
      </c>
      <c r="QE9" s="22">
        <f t="shared" si="135"/>
        <v>5.1999999999999993</v>
      </c>
      <c r="QF9" s="22">
        <f t="shared" si="136"/>
        <v>0.7</v>
      </c>
      <c r="QG9" s="22">
        <f t="shared" si="137"/>
        <v>0.15</v>
      </c>
      <c r="QH9" s="22">
        <f t="shared" si="138"/>
        <v>18.45</v>
      </c>
      <c r="QI9" s="22">
        <f t="shared" si="139"/>
        <v>5.4</v>
      </c>
      <c r="QJ9" s="22">
        <f t="shared" si="140"/>
        <v>0.2</v>
      </c>
      <c r="QK9" s="22">
        <f t="shared" si="141"/>
        <v>0</v>
      </c>
      <c r="QL9" s="22">
        <f t="shared" si="142"/>
        <v>0</v>
      </c>
      <c r="QM9" s="22">
        <f t="shared" si="143"/>
        <v>0</v>
      </c>
      <c r="QN9" s="22">
        <f t="shared" si="144"/>
        <v>0</v>
      </c>
      <c r="QO9" s="22">
        <f t="shared" si="145"/>
        <v>0</v>
      </c>
      <c r="QP9" s="22">
        <f t="shared" si="146"/>
        <v>9.25</v>
      </c>
      <c r="QQ9" s="22">
        <f t="shared" si="147"/>
        <v>2.8</v>
      </c>
      <c r="QR9" s="22">
        <f t="shared" si="148"/>
        <v>0.3</v>
      </c>
      <c r="QS9" s="22">
        <f t="shared" si="149"/>
        <v>0.15</v>
      </c>
      <c r="QT9" s="22">
        <f t="shared" si="150"/>
        <v>8.85</v>
      </c>
      <c r="QU9" s="22">
        <f t="shared" si="151"/>
        <v>2.6</v>
      </c>
      <c r="QV9" s="22">
        <f t="shared" si="152"/>
        <v>0</v>
      </c>
      <c r="QW9" s="22">
        <f t="shared" si="153"/>
        <v>0</v>
      </c>
      <c r="QX9" s="27" t="s">
        <v>46</v>
      </c>
      <c r="QY9" s="40">
        <f t="shared" si="154"/>
        <v>10.6</v>
      </c>
      <c r="QZ9" s="40">
        <f t="shared" si="155"/>
        <v>45.649999999999991</v>
      </c>
      <c r="RA9" s="40" t="str">
        <f t="shared" si="156"/>
        <v/>
      </c>
      <c r="RB9" s="40">
        <f t="shared" si="157"/>
        <v>10.6</v>
      </c>
      <c r="RC9" s="40">
        <f t="shared" si="158"/>
        <v>45.649999999999991</v>
      </c>
      <c r="RD9" s="40">
        <f t="shared" si="159"/>
        <v>5.4</v>
      </c>
      <c r="RE9" s="40">
        <f t="shared" si="160"/>
        <v>23.35</v>
      </c>
      <c r="RF9" s="40">
        <f t="shared" si="161"/>
        <v>69</v>
      </c>
    </row>
    <row r="10" spans="1:474" x14ac:dyDescent="0.2">
      <c r="A10" s="4" cm="1">
        <f t="array" ref="A10">IF(AND(J10&lt;&gt;"",J10&lt;&gt;"No DD"),SUMPRODUCT((J$4:J$33&lt;&gt;"")*(J$4:J$33&lt;&gt;"No DD")*(F$4:F$33&gt;F10))+1,IF(J10="No DD",SUMPRODUCT((J$4:J$33="No DD")*(F$4:F$33&gt;F10))+1+SUMPRODUCT((J$4:J$33&lt;&gt;"")*(J$4:J$33&lt;&gt;"No DD")),""))</f>
        <v>7</v>
      </c>
      <c r="B10" s="4" cm="1">
        <f t="array" ref="B10">IF(AND(J10&lt;&gt;"",J10&lt;&gt;"No DD",G10=""),SUMPRODUCT((J$4:J$33&lt;&gt;"")*(J$4:J$33&lt;&gt;"No DD")*(G$4:G$33="")*(F$4:F$33&gt;F10))+1,IF(J10="No DD",SUMPRODUCT((J$4:J$33="No DD")*(F$4:F$33&gt;F10)*(G$4:G$33=""))+1+SUMPRODUCT((J$4:J$33&lt;&gt;"")*(G$4:G$33="")*(J$4:J$33&lt;&gt;"No DD")),""))</f>
        <v>5</v>
      </c>
      <c r="C10" s="5" t="s">
        <v>164</v>
      </c>
      <c r="D10" s="4" t="s">
        <v>4</v>
      </c>
      <c r="E10" s="4">
        <v>2008</v>
      </c>
      <c r="F10" s="9">
        <f t="shared" si="0"/>
        <v>119.80000814000486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48.5</v>
      </c>
      <c r="M10" s="8" t="str">
        <f t="shared" si="5"/>
        <v>2025 Elite Canada</v>
      </c>
      <c r="N10" s="8">
        <f>IF(COUNT(AQ10,BT10,CW10)&gt;1,LARGE((AQ10,BT10,CW10),2),0)</f>
        <v>32.9</v>
      </c>
      <c r="O10" s="8" t="str">
        <f t="shared" si="6"/>
        <v>2025 Nationals</v>
      </c>
      <c r="P10" s="8">
        <f t="shared" si="7"/>
        <v>38.400000000000006</v>
      </c>
      <c r="Q10" s="8" t="str">
        <f t="shared" si="8"/>
        <v>2025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2"/>
        <v/>
      </c>
      <c r="AQ10" s="40" t="str">
        <f t="shared" si="13"/>
        <v/>
      </c>
      <c r="AR10" s="40" t="str">
        <f t="shared" si="14"/>
        <v/>
      </c>
      <c r="AS10" s="40" t="str">
        <f t="shared" si="15"/>
        <v/>
      </c>
      <c r="AT10" s="40" t="str">
        <f t="shared" si="16"/>
        <v/>
      </c>
      <c r="AU10" s="40" t="str">
        <f t="shared" si="17"/>
        <v/>
      </c>
      <c r="AV10" s="40" t="str">
        <f t="shared" si="18"/>
        <v/>
      </c>
      <c r="AW10" s="40" t="str">
        <f t="shared" si="19"/>
        <v/>
      </c>
      <c r="AX10" s="18">
        <v>18.8</v>
      </c>
      <c r="AY10" s="18">
        <v>5.6</v>
      </c>
      <c r="AZ10" s="18">
        <v>0</v>
      </c>
      <c r="BA10" s="18">
        <v>0</v>
      </c>
      <c r="BB10" s="18">
        <v>18.5</v>
      </c>
      <c r="BC10" s="18">
        <v>5.6</v>
      </c>
      <c r="BD10" s="18">
        <v>0</v>
      </c>
      <c r="BE10" s="18">
        <v>0</v>
      </c>
      <c r="BF10" s="18"/>
      <c r="BG10" s="18"/>
      <c r="BH10" s="18"/>
      <c r="BI10" s="18"/>
      <c r="BJ10" s="18">
        <v>16.600000000000001</v>
      </c>
      <c r="BK10" s="18">
        <v>4.8</v>
      </c>
      <c r="BL10" s="18">
        <v>0.8</v>
      </c>
      <c r="BM10" s="18">
        <v>0</v>
      </c>
      <c r="BN10" s="18">
        <v>15.4</v>
      </c>
      <c r="BO10" s="18">
        <v>2.4</v>
      </c>
      <c r="BP10" s="18">
        <v>0</v>
      </c>
      <c r="BQ10" s="18">
        <v>0</v>
      </c>
      <c r="BR10" s="28"/>
      <c r="BS10" s="11">
        <f t="shared" si="20"/>
        <v>11.2</v>
      </c>
      <c r="BT10" s="11">
        <f t="shared" si="21"/>
        <v>48.5</v>
      </c>
      <c r="BU10" s="11" t="str">
        <f t="shared" si="22"/>
        <v/>
      </c>
      <c r="BV10" s="11">
        <f t="shared" si="23"/>
        <v>11.2</v>
      </c>
      <c r="BW10" s="11">
        <f t="shared" si="24"/>
        <v>48.5</v>
      </c>
      <c r="BX10" s="11">
        <f t="shared" si="25"/>
        <v>7.1999999999999993</v>
      </c>
      <c r="BY10" s="11">
        <f t="shared" si="26"/>
        <v>38.400000000000006</v>
      </c>
      <c r="BZ10" s="11">
        <f t="shared" si="27"/>
        <v>86.9</v>
      </c>
      <c r="CA10" s="19">
        <v>15.2</v>
      </c>
      <c r="CB10" s="19">
        <v>2.4</v>
      </c>
      <c r="CC10" s="19">
        <v>0</v>
      </c>
      <c r="CD10" s="19">
        <v>0</v>
      </c>
      <c r="CE10" s="19">
        <v>15.3</v>
      </c>
      <c r="CF10" s="19">
        <v>0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2.4</v>
      </c>
      <c r="CW10" s="40">
        <f t="shared" si="29"/>
        <v>32.9</v>
      </c>
      <c r="CX10" s="40" t="str">
        <f t="shared" si="30"/>
        <v/>
      </c>
      <c r="CY10" s="40">
        <f t="shared" si="31"/>
        <v>2.4</v>
      </c>
      <c r="CZ10" s="40">
        <f t="shared" si="32"/>
        <v>32.9</v>
      </c>
      <c r="DA10" s="40" t="str">
        <f t="shared" si="33"/>
        <v/>
      </c>
      <c r="DB10" s="40" t="str">
        <f t="shared" si="34"/>
        <v/>
      </c>
      <c r="DC10" s="40">
        <f t="shared" si="35"/>
        <v>32.9</v>
      </c>
      <c r="DD10" s="50" t="str">
        <f t="shared" si="36"/>
        <v/>
      </c>
      <c r="DE10" s="50" t="str">
        <f t="shared" si="37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22">
        <f t="shared" si="134"/>
        <v>17</v>
      </c>
      <c r="QE10" s="22">
        <f t="shared" si="135"/>
        <v>4</v>
      </c>
      <c r="QF10" s="22">
        <f t="shared" si="136"/>
        <v>0</v>
      </c>
      <c r="QG10" s="22">
        <f t="shared" si="137"/>
        <v>0</v>
      </c>
      <c r="QH10" s="22">
        <f t="shared" si="138"/>
        <v>16.899999999999999</v>
      </c>
      <c r="QI10" s="22">
        <f t="shared" si="139"/>
        <v>2.8</v>
      </c>
      <c r="QJ10" s="22">
        <f t="shared" si="140"/>
        <v>0</v>
      </c>
      <c r="QK10" s="22">
        <f t="shared" si="141"/>
        <v>0</v>
      </c>
      <c r="QL10" s="22">
        <f t="shared" si="142"/>
        <v>0</v>
      </c>
      <c r="QM10" s="22">
        <f t="shared" si="143"/>
        <v>0</v>
      </c>
      <c r="QN10" s="22">
        <f t="shared" si="144"/>
        <v>0</v>
      </c>
      <c r="QO10" s="22">
        <f t="shared" si="145"/>
        <v>0</v>
      </c>
      <c r="QP10" s="22">
        <f t="shared" si="146"/>
        <v>8.3000000000000007</v>
      </c>
      <c r="QQ10" s="22">
        <f t="shared" si="147"/>
        <v>2.4</v>
      </c>
      <c r="QR10" s="22">
        <f t="shared" si="148"/>
        <v>0.4</v>
      </c>
      <c r="QS10" s="22">
        <f t="shared" si="149"/>
        <v>0</v>
      </c>
      <c r="QT10" s="22">
        <f t="shared" si="150"/>
        <v>7.7</v>
      </c>
      <c r="QU10" s="22">
        <f t="shared" si="151"/>
        <v>1.2</v>
      </c>
      <c r="QV10" s="22">
        <f t="shared" si="152"/>
        <v>0</v>
      </c>
      <c r="QW10" s="22">
        <f t="shared" si="153"/>
        <v>0</v>
      </c>
      <c r="QX10" s="27" t="s">
        <v>46</v>
      </c>
      <c r="QY10" s="40">
        <f t="shared" si="154"/>
        <v>6.8</v>
      </c>
      <c r="QZ10" s="40">
        <f t="shared" si="155"/>
        <v>40.699999999999996</v>
      </c>
      <c r="RA10" s="40" t="str">
        <f t="shared" si="156"/>
        <v/>
      </c>
      <c r="RB10" s="40">
        <f t="shared" si="157"/>
        <v>6.8</v>
      </c>
      <c r="RC10" s="40">
        <f t="shared" si="158"/>
        <v>40.699999999999996</v>
      </c>
      <c r="RD10" s="40">
        <f t="shared" si="159"/>
        <v>3.5999999999999996</v>
      </c>
      <c r="RE10" s="40">
        <f t="shared" si="160"/>
        <v>19.200000000000003</v>
      </c>
      <c r="RF10" s="40">
        <f t="shared" si="161"/>
        <v>59.9</v>
      </c>
    </row>
    <row r="11" spans="1:474" x14ac:dyDescent="0.2">
      <c r="A11" s="4" t="str" cm="1">
        <f t="array" ref="A11">IF(AND(J11&lt;&gt;"",J11&lt;&gt;"No DD"),SUMPRODUCT((J$4:J$33&lt;&gt;"")*(J$4:J$33&lt;&gt;"No DD")*(F$4:F$33&gt;F11))+1,IF(J11="No DD",SUMPRODUCT((J$4:J$33="No DD")*(F$4:F$33&gt;F11))+1+SUMPRODUCT((J$4:J$33&lt;&gt;"")*(J$4:J$33&lt;&gt;"No DD")),""))</f>
        <v/>
      </c>
      <c r="B11" s="4" t="str" cm="1">
        <f t="array" ref="B11">IF(AND(J11&lt;&gt;"",J11&lt;&gt;"No DD",G11=""),SUMPRODUCT((J$4:J$33&lt;&gt;"")*(J$4:J$33&lt;&gt;"No DD")*(G$4:G$33="")*(F$4:F$33&gt;F11))+1,IF(J11="No DD",SUMPRODUCT((J$4:J$33="No DD")*(F$4:F$33&gt;F11)*(G$4:G$33=""))+1+SUMPRODUCT((J$4:J$33&lt;&gt;"")*(G$4:G$33="")*(J$4:J$33&lt;&gt;"No DD")),""))</f>
        <v/>
      </c>
      <c r="C11" s="5" t="s">
        <v>100</v>
      </c>
      <c r="D11" s="4" t="s">
        <v>5</v>
      </c>
      <c r="E11" s="4">
        <v>2005</v>
      </c>
      <c r="F11" s="9">
        <f t="shared" si="0"/>
        <v>139.50000928000466</v>
      </c>
      <c r="G11" s="64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IF(COUNT(AQ11,BT11,CW11)&gt;0,LARGE((AQ11,BT11,CW11),1),0)</f>
        <v>46.6</v>
      </c>
      <c r="M11" s="8" t="str">
        <f t="shared" si="5"/>
        <v>2025 Nationals</v>
      </c>
      <c r="N11" s="8">
        <f>IF(COUNT(AQ11,BT11,CW11)&gt;1,LARGE((AQ11,BT11,CW11),2),0)</f>
        <v>46.199999999999996</v>
      </c>
      <c r="O11" s="8" t="str">
        <f t="shared" si="6"/>
        <v>2025 Elite Canada</v>
      </c>
      <c r="P11" s="8">
        <f t="shared" si="7"/>
        <v>46.7</v>
      </c>
      <c r="Q11" s="8" t="str">
        <f t="shared" si="8"/>
        <v>2025 Nationals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16.2</v>
      </c>
      <c r="V11" s="19">
        <v>5.2</v>
      </c>
      <c r="W11" s="19">
        <v>0.2</v>
      </c>
      <c r="X11" s="19">
        <v>0.3</v>
      </c>
      <c r="Y11" s="19">
        <v>17.2</v>
      </c>
      <c r="Z11" s="19">
        <v>2.4</v>
      </c>
      <c r="AA11" s="19">
        <v>0</v>
      </c>
      <c r="AB11" s="19">
        <v>0</v>
      </c>
      <c r="AC11" s="19">
        <v>16.600000000000001</v>
      </c>
      <c r="AD11" s="19">
        <v>3</v>
      </c>
      <c r="AE11" s="19">
        <v>0.2</v>
      </c>
      <c r="AF11" s="19">
        <v>0</v>
      </c>
      <c r="AG11" s="19">
        <v>17.2</v>
      </c>
      <c r="AH11" s="19">
        <v>2.8</v>
      </c>
      <c r="AI11" s="19">
        <v>0</v>
      </c>
      <c r="AJ11" s="19">
        <v>0.3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 t="shared" si="12"/>
        <v>7.6</v>
      </c>
      <c r="AQ11" s="40">
        <f t="shared" si="13"/>
        <v>41.099999999999994</v>
      </c>
      <c r="AR11" s="40">
        <f t="shared" si="14"/>
        <v>19.400000000000002</v>
      </c>
      <c r="AS11" s="40">
        <f t="shared" si="15"/>
        <v>10.6</v>
      </c>
      <c r="AT11" s="40">
        <f t="shared" si="16"/>
        <v>60.5</v>
      </c>
      <c r="AU11" s="40">
        <f t="shared" si="17"/>
        <v>5.1999999999999993</v>
      </c>
      <c r="AV11" s="40">
        <f t="shared" si="18"/>
        <v>39.9</v>
      </c>
      <c r="AW11" s="40">
        <f t="shared" si="19"/>
        <v>100.4</v>
      </c>
      <c r="AX11" s="18">
        <v>18.3</v>
      </c>
      <c r="AY11" s="18">
        <v>4.8</v>
      </c>
      <c r="AZ11" s="18">
        <v>0</v>
      </c>
      <c r="BA11" s="18">
        <v>0.3</v>
      </c>
      <c r="BB11" s="18">
        <v>18.600000000000001</v>
      </c>
      <c r="BC11" s="18">
        <v>4.8</v>
      </c>
      <c r="BD11" s="18">
        <v>0.6</v>
      </c>
      <c r="BE11" s="18">
        <v>0</v>
      </c>
      <c r="BF11" s="18"/>
      <c r="BG11" s="18"/>
      <c r="BH11" s="18"/>
      <c r="BI11" s="18"/>
      <c r="BJ11" s="18">
        <v>18.100000000000001</v>
      </c>
      <c r="BK11" s="18">
        <v>4.8</v>
      </c>
      <c r="BL11" s="18">
        <v>0</v>
      </c>
      <c r="BM11" s="18">
        <v>0.3</v>
      </c>
      <c r="BN11" s="18">
        <v>18.100000000000001</v>
      </c>
      <c r="BO11" s="18">
        <v>4.8</v>
      </c>
      <c r="BP11" s="18">
        <v>0</v>
      </c>
      <c r="BQ11" s="18">
        <v>0</v>
      </c>
      <c r="BR11" s="28"/>
      <c r="BS11" s="11">
        <f t="shared" si="20"/>
        <v>9.6</v>
      </c>
      <c r="BT11" s="11">
        <f t="shared" si="21"/>
        <v>46.199999999999996</v>
      </c>
      <c r="BU11" s="11" t="str">
        <f t="shared" si="22"/>
        <v/>
      </c>
      <c r="BV11" s="11">
        <f t="shared" si="23"/>
        <v>9.6</v>
      </c>
      <c r="BW11" s="11">
        <f t="shared" si="24"/>
        <v>46.199999999999996</v>
      </c>
      <c r="BX11" s="11">
        <f t="shared" si="25"/>
        <v>9.6</v>
      </c>
      <c r="BY11" s="11">
        <f t="shared" si="26"/>
        <v>46.1</v>
      </c>
      <c r="BZ11" s="11">
        <f t="shared" si="27"/>
        <v>92.3</v>
      </c>
      <c r="CA11" s="19">
        <v>18.3</v>
      </c>
      <c r="CB11" s="19">
        <v>5.2</v>
      </c>
      <c r="CC11" s="19">
        <v>0.6</v>
      </c>
      <c r="CD11" s="19">
        <v>0</v>
      </c>
      <c r="CE11" s="19">
        <v>18.5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>
        <v>18.5</v>
      </c>
      <c r="CN11" s="19">
        <v>5.2</v>
      </c>
      <c r="CO11" s="19">
        <v>0.2</v>
      </c>
      <c r="CP11" s="19">
        <v>0</v>
      </c>
      <c r="CQ11" s="19">
        <v>18.2</v>
      </c>
      <c r="CR11" s="19">
        <v>5.2</v>
      </c>
      <c r="CS11" s="19">
        <v>0.2</v>
      </c>
      <c r="CT11" s="19">
        <v>0</v>
      </c>
      <c r="CU11" s="27"/>
      <c r="CV11" s="40">
        <f t="shared" si="28"/>
        <v>10.4</v>
      </c>
      <c r="CW11" s="40">
        <f t="shared" si="29"/>
        <v>46.6</v>
      </c>
      <c r="CX11" s="40" t="str">
        <f t="shared" si="30"/>
        <v/>
      </c>
      <c r="CY11" s="40">
        <f t="shared" si="31"/>
        <v>10.4</v>
      </c>
      <c r="CZ11" s="40">
        <f t="shared" si="32"/>
        <v>46.6</v>
      </c>
      <c r="DA11" s="40">
        <f t="shared" si="33"/>
        <v>10.4</v>
      </c>
      <c r="DB11" s="40">
        <f t="shared" si="34"/>
        <v>46.7</v>
      </c>
      <c r="DC11" s="40">
        <f t="shared" si="35"/>
        <v>93.300000000000011</v>
      </c>
      <c r="DD11" s="50" t="str">
        <f t="shared" si="36"/>
        <v/>
      </c>
      <c r="DE11" s="50" t="str">
        <f t="shared" si="37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22">
        <f t="shared" si="134"/>
        <v>18.3</v>
      </c>
      <c r="QE11" s="22">
        <f t="shared" si="135"/>
        <v>5</v>
      </c>
      <c r="QF11" s="22">
        <f t="shared" si="136"/>
        <v>0.3</v>
      </c>
      <c r="QG11" s="22">
        <f t="shared" si="137"/>
        <v>0.15</v>
      </c>
      <c r="QH11" s="22">
        <f t="shared" si="138"/>
        <v>18.55</v>
      </c>
      <c r="QI11" s="22">
        <f t="shared" si="139"/>
        <v>5</v>
      </c>
      <c r="QJ11" s="22">
        <f t="shared" si="140"/>
        <v>0.3</v>
      </c>
      <c r="QK11" s="22">
        <f t="shared" si="141"/>
        <v>0</v>
      </c>
      <c r="QL11" s="22">
        <f t="shared" si="142"/>
        <v>0</v>
      </c>
      <c r="QM11" s="22">
        <f t="shared" si="143"/>
        <v>0</v>
      </c>
      <c r="QN11" s="22">
        <f t="shared" si="144"/>
        <v>0</v>
      </c>
      <c r="QO11" s="22">
        <f t="shared" si="145"/>
        <v>0</v>
      </c>
      <c r="QP11" s="22">
        <f t="shared" si="146"/>
        <v>18.3</v>
      </c>
      <c r="QQ11" s="22">
        <f t="shared" si="147"/>
        <v>5</v>
      </c>
      <c r="QR11" s="22">
        <f t="shared" si="148"/>
        <v>0.1</v>
      </c>
      <c r="QS11" s="22">
        <f t="shared" si="149"/>
        <v>0.15</v>
      </c>
      <c r="QT11" s="22">
        <f t="shared" si="150"/>
        <v>18.149999999999999</v>
      </c>
      <c r="QU11" s="22">
        <f t="shared" si="151"/>
        <v>5</v>
      </c>
      <c r="QV11" s="22">
        <f t="shared" si="152"/>
        <v>0.1</v>
      </c>
      <c r="QW11" s="22">
        <f t="shared" si="153"/>
        <v>0</v>
      </c>
      <c r="QX11" s="27" t="s">
        <v>46</v>
      </c>
      <c r="QY11" s="40">
        <f t="shared" si="154"/>
        <v>10</v>
      </c>
      <c r="QZ11" s="40">
        <f t="shared" si="155"/>
        <v>46.400000000000006</v>
      </c>
      <c r="RA11" s="40" t="str">
        <f t="shared" si="156"/>
        <v/>
      </c>
      <c r="RB11" s="40">
        <f t="shared" si="157"/>
        <v>10</v>
      </c>
      <c r="RC11" s="40">
        <f t="shared" si="158"/>
        <v>46.400000000000006</v>
      </c>
      <c r="RD11" s="40">
        <f t="shared" si="159"/>
        <v>10</v>
      </c>
      <c r="RE11" s="40">
        <f t="shared" si="160"/>
        <v>46.399999999999991</v>
      </c>
      <c r="RF11" s="40">
        <f t="shared" si="161"/>
        <v>92.8</v>
      </c>
    </row>
    <row r="12" spans="1:474" x14ac:dyDescent="0.2">
      <c r="A12" s="4" t="str" cm="1">
        <f t="array" ref="A12">IF(AND(J12&lt;&gt;"",J12&lt;&gt;"No DD"),SUMPRODUCT((J$4:J$33&lt;&gt;"")*(J$4:J$33&lt;&gt;"No DD")*(F$4:F$33&gt;F12))+1,IF(J12="No DD",SUMPRODUCT((J$4:J$33="No DD")*(F$4:F$33&gt;F12))+1+SUMPRODUCT((J$4:J$33&lt;&gt;"")*(J$4:J$33&lt;&gt;"No DD")),""))</f>
        <v/>
      </c>
      <c r="B12" s="4" t="str" cm="1">
        <f t="array" ref="B12">IF(AND(J12&lt;&gt;"",J12&lt;&gt;"No DD",G12=""),SUMPRODUCT((J$4:J$33&lt;&gt;"")*(J$4:J$33&lt;&gt;"No DD")*(G$4:G$33="")*(F$4:F$33&gt;F12))+1,IF(J12="No DD",SUMPRODUCT((J$4:J$33="No DD")*(F$4:F$33&gt;F12)*(G$4:G$33=""))+1+SUMPRODUCT((J$4:J$33&lt;&gt;"")*(G$4:G$33="")*(J$4:J$33&lt;&gt;"No DD")),""))</f>
        <v/>
      </c>
      <c r="C12" s="5" t="s">
        <v>182</v>
      </c>
      <c r="D12" s="4" t="s">
        <v>31</v>
      </c>
      <c r="E12" s="4">
        <v>2007</v>
      </c>
      <c r="F12" s="9">
        <f t="shared" si="0"/>
        <v>134.90000895000452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45.099999999999994</v>
      </c>
      <c r="M12" s="8" t="str">
        <f t="shared" si="5"/>
        <v>2025 Elite Canada</v>
      </c>
      <c r="N12" s="8">
        <f>IF(COUNT(AQ12,BT12,CW12)&gt;1,LARGE((AQ12,BT12,CW12),2),0)</f>
        <v>44.4</v>
      </c>
      <c r="O12" s="8" t="str">
        <f t="shared" si="6"/>
        <v>2025 Nationals</v>
      </c>
      <c r="P12" s="8">
        <f t="shared" si="7"/>
        <v>45.4</v>
      </c>
      <c r="Q12" s="8" t="str">
        <f t="shared" si="8"/>
        <v>2025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18.3</v>
      </c>
      <c r="AY12" s="18">
        <v>4.8</v>
      </c>
      <c r="AZ12" s="18">
        <v>1</v>
      </c>
      <c r="BA12" s="18">
        <v>0.3</v>
      </c>
      <c r="BB12" s="18">
        <v>18.100000000000001</v>
      </c>
      <c r="BC12" s="18">
        <v>4.8</v>
      </c>
      <c r="BD12" s="18">
        <v>0.2</v>
      </c>
      <c r="BE12" s="18">
        <v>0</v>
      </c>
      <c r="BF12" s="18"/>
      <c r="BG12" s="18"/>
      <c r="BH12" s="18"/>
      <c r="BI12" s="18"/>
      <c r="BJ12" s="18">
        <v>18.3</v>
      </c>
      <c r="BK12" s="18">
        <v>5.2</v>
      </c>
      <c r="BL12" s="18">
        <v>0.8</v>
      </c>
      <c r="BM12" s="18">
        <v>0.3</v>
      </c>
      <c r="BN12" s="18">
        <v>18.2</v>
      </c>
      <c r="BO12" s="18">
        <v>4.4000000000000004</v>
      </c>
      <c r="BP12" s="18">
        <v>0.2</v>
      </c>
      <c r="BQ12" s="18">
        <v>0</v>
      </c>
      <c r="BR12" s="28"/>
      <c r="BS12" s="11">
        <f t="shared" si="20"/>
        <v>9.6</v>
      </c>
      <c r="BT12" s="11">
        <f t="shared" si="21"/>
        <v>45.099999999999994</v>
      </c>
      <c r="BU12" s="11" t="str">
        <f t="shared" si="22"/>
        <v/>
      </c>
      <c r="BV12" s="11">
        <f t="shared" si="23"/>
        <v>9.6</v>
      </c>
      <c r="BW12" s="11">
        <f t="shared" si="24"/>
        <v>45.099999999999994</v>
      </c>
      <c r="BX12" s="11">
        <f t="shared" si="25"/>
        <v>9.6000000000000014</v>
      </c>
      <c r="BY12" s="11">
        <f t="shared" si="26"/>
        <v>45.4</v>
      </c>
      <c r="BZ12" s="11">
        <f t="shared" si="27"/>
        <v>90.5</v>
      </c>
      <c r="CA12" s="19">
        <v>18</v>
      </c>
      <c r="CB12" s="19">
        <v>5.6</v>
      </c>
      <c r="CC12" s="19">
        <v>0.2</v>
      </c>
      <c r="CD12" s="19">
        <v>0</v>
      </c>
      <c r="CE12" s="19">
        <v>16.2</v>
      </c>
      <c r="CF12" s="19">
        <v>5.6</v>
      </c>
      <c r="CG12" s="19">
        <v>0.8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8"/>
        <v>11.2</v>
      </c>
      <c r="CW12" s="40">
        <f t="shared" si="29"/>
        <v>44.4</v>
      </c>
      <c r="CX12" s="40" t="str">
        <f t="shared" si="30"/>
        <v/>
      </c>
      <c r="CY12" s="40">
        <f t="shared" si="31"/>
        <v>11.2</v>
      </c>
      <c r="CZ12" s="40">
        <f t="shared" si="32"/>
        <v>44.4</v>
      </c>
      <c r="DA12" s="40" t="str">
        <f t="shared" si="33"/>
        <v/>
      </c>
      <c r="DB12" s="40" t="str">
        <f t="shared" si="34"/>
        <v/>
      </c>
      <c r="DC12" s="40">
        <f t="shared" si="35"/>
        <v>44.4</v>
      </c>
      <c r="DD12" s="50" t="str">
        <f t="shared" si="36"/>
        <v/>
      </c>
      <c r="DE12" s="50" t="str">
        <f t="shared" si="37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22">
        <f t="shared" si="134"/>
        <v>18.149999999999999</v>
      </c>
      <c r="QE12" s="22">
        <f t="shared" si="135"/>
        <v>5.1999999999999993</v>
      </c>
      <c r="QF12" s="22">
        <f t="shared" si="136"/>
        <v>0.6</v>
      </c>
      <c r="QG12" s="22">
        <f t="shared" si="137"/>
        <v>0.15</v>
      </c>
      <c r="QH12" s="22">
        <f t="shared" si="138"/>
        <v>17.149999999999999</v>
      </c>
      <c r="QI12" s="22">
        <f t="shared" si="139"/>
        <v>5.1999999999999993</v>
      </c>
      <c r="QJ12" s="22">
        <f t="shared" si="140"/>
        <v>0.5</v>
      </c>
      <c r="QK12" s="22">
        <f t="shared" si="141"/>
        <v>0</v>
      </c>
      <c r="QL12" s="22">
        <f t="shared" si="142"/>
        <v>0</v>
      </c>
      <c r="QM12" s="22">
        <f t="shared" si="143"/>
        <v>0</v>
      </c>
      <c r="QN12" s="22">
        <f t="shared" si="144"/>
        <v>0</v>
      </c>
      <c r="QO12" s="22">
        <f t="shared" si="145"/>
        <v>0</v>
      </c>
      <c r="QP12" s="22">
        <f t="shared" si="146"/>
        <v>9.15</v>
      </c>
      <c r="QQ12" s="22">
        <f t="shared" si="147"/>
        <v>2.6</v>
      </c>
      <c r="QR12" s="22">
        <f t="shared" si="148"/>
        <v>0.4</v>
      </c>
      <c r="QS12" s="22">
        <f t="shared" si="149"/>
        <v>0.15</v>
      </c>
      <c r="QT12" s="22">
        <f t="shared" si="150"/>
        <v>9.1</v>
      </c>
      <c r="QU12" s="22">
        <f t="shared" si="151"/>
        <v>2.2000000000000002</v>
      </c>
      <c r="QV12" s="22">
        <f t="shared" si="152"/>
        <v>0.1</v>
      </c>
      <c r="QW12" s="22">
        <f t="shared" si="153"/>
        <v>0</v>
      </c>
      <c r="QX12" s="27" t="s">
        <v>46</v>
      </c>
      <c r="QY12" s="40">
        <f t="shared" si="154"/>
        <v>10.399999999999999</v>
      </c>
      <c r="QZ12" s="40">
        <f t="shared" si="155"/>
        <v>44.749999999999993</v>
      </c>
      <c r="RA12" s="40" t="str">
        <f t="shared" si="156"/>
        <v/>
      </c>
      <c r="RB12" s="40">
        <f t="shared" si="157"/>
        <v>10.399999999999999</v>
      </c>
      <c r="RC12" s="40">
        <f t="shared" si="158"/>
        <v>44.749999999999993</v>
      </c>
      <c r="RD12" s="40">
        <f t="shared" si="159"/>
        <v>4.8000000000000007</v>
      </c>
      <c r="RE12" s="40">
        <f t="shared" si="160"/>
        <v>22.7</v>
      </c>
      <c r="RF12" s="40">
        <f t="shared" si="161"/>
        <v>67.449999999999989</v>
      </c>
    </row>
    <row r="13" spans="1:474" x14ac:dyDescent="0.2">
      <c r="A13" s="4" t="str" cm="1">
        <f t="array" ref="A13">IF(AND(J13&lt;&gt;"",J13&lt;&gt;"No DD"),SUMPRODUCT((J$4:J$33&lt;&gt;"")*(J$4:J$33&lt;&gt;"No DD")*(F$4:F$33&gt;F13))+1,IF(J13="No DD",SUMPRODUCT((J$4:J$33="No DD")*(F$4:F$33&gt;F13))+1+SUMPRODUCT((J$4:J$33&lt;&gt;"")*(J$4:J$33&lt;&gt;"No DD")),""))</f>
        <v/>
      </c>
      <c r="B13" s="4" t="str" cm="1">
        <f t="array" ref="B13">IF(AND(J13&lt;&gt;"",J13&lt;&gt;"No DD",G13=""),SUMPRODUCT((J$4:J$33&lt;&gt;"")*(J$4:J$33&lt;&gt;"No DD")*(G$4:G$33="")*(F$4:F$33&gt;F13))+1,IF(J13="No DD",SUMPRODUCT((J$4:J$33="No DD")*(F$4:F$33&gt;F13)*(G$4:G$33=""))+1+SUMPRODUCT((J$4:J$33&lt;&gt;"")*(G$4:G$33="")*(J$4:J$33&lt;&gt;"No DD")),""))</f>
        <v/>
      </c>
      <c r="C13" s="5" t="s">
        <v>121</v>
      </c>
      <c r="D13" s="4" t="s">
        <v>4</v>
      </c>
      <c r="E13" s="4">
        <v>2006</v>
      </c>
      <c r="F13" s="9">
        <f t="shared" si="0"/>
        <v>134.70000887000452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45.399999999999991</v>
      </c>
      <c r="M13" s="8" t="str">
        <f t="shared" si="5"/>
        <v>2025 Nationals</v>
      </c>
      <c r="N13" s="8">
        <f>IF(COUNT(AQ13,BT13,CW13)&gt;1,LARGE((AQ13,BT13,CW13),2),0)</f>
        <v>43.3</v>
      </c>
      <c r="O13" s="8" t="str">
        <f t="shared" si="6"/>
        <v>2025 Elite Canada</v>
      </c>
      <c r="P13" s="8">
        <f t="shared" si="7"/>
        <v>46</v>
      </c>
      <c r="Q13" s="8" t="str">
        <f t="shared" si="8"/>
        <v>2025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2"/>
        <v/>
      </c>
      <c r="AQ13" s="40" t="str">
        <f t="shared" si="13"/>
        <v/>
      </c>
      <c r="AR13" s="40" t="str">
        <f t="shared" si="14"/>
        <v/>
      </c>
      <c r="AS13" s="40" t="str">
        <f t="shared" si="15"/>
        <v/>
      </c>
      <c r="AT13" s="40" t="str">
        <f t="shared" si="16"/>
        <v/>
      </c>
      <c r="AU13" s="40" t="str">
        <f t="shared" si="17"/>
        <v/>
      </c>
      <c r="AV13" s="40" t="str">
        <f t="shared" si="18"/>
        <v/>
      </c>
      <c r="AW13" s="40" t="str">
        <f t="shared" si="19"/>
        <v/>
      </c>
      <c r="AX13" s="18">
        <v>18.399999999999999</v>
      </c>
      <c r="AY13" s="18">
        <v>3.5</v>
      </c>
      <c r="AZ13" s="18">
        <v>0.2</v>
      </c>
      <c r="BA13" s="18">
        <v>0</v>
      </c>
      <c r="BB13" s="18">
        <v>18</v>
      </c>
      <c r="BC13" s="18">
        <v>4.4000000000000004</v>
      </c>
      <c r="BD13" s="18">
        <v>0.8</v>
      </c>
      <c r="BE13" s="18">
        <v>0</v>
      </c>
      <c r="BF13" s="18"/>
      <c r="BG13" s="18"/>
      <c r="BH13" s="18"/>
      <c r="BI13" s="18"/>
      <c r="BJ13" s="18">
        <v>18.3</v>
      </c>
      <c r="BK13" s="18">
        <v>3.5</v>
      </c>
      <c r="BL13" s="18">
        <v>0.2</v>
      </c>
      <c r="BM13" s="18">
        <v>0</v>
      </c>
      <c r="BN13" s="18">
        <v>17.7</v>
      </c>
      <c r="BO13" s="18">
        <v>4.4000000000000004</v>
      </c>
      <c r="BP13" s="18">
        <v>0.2</v>
      </c>
      <c r="BQ13" s="18">
        <v>0</v>
      </c>
      <c r="BR13" s="28"/>
      <c r="BS13" s="11">
        <f t="shared" si="20"/>
        <v>7.9</v>
      </c>
      <c r="BT13" s="11">
        <f t="shared" si="21"/>
        <v>43.3</v>
      </c>
      <c r="BU13" s="11" t="str">
        <f t="shared" si="22"/>
        <v/>
      </c>
      <c r="BV13" s="11">
        <f t="shared" si="23"/>
        <v>7.9</v>
      </c>
      <c r="BW13" s="11">
        <f t="shared" si="24"/>
        <v>43.3</v>
      </c>
      <c r="BX13" s="11">
        <f t="shared" si="25"/>
        <v>7.9</v>
      </c>
      <c r="BY13" s="11">
        <f t="shared" si="26"/>
        <v>43.5</v>
      </c>
      <c r="BZ13" s="11">
        <f t="shared" si="27"/>
        <v>86.8</v>
      </c>
      <c r="CA13" s="19">
        <v>18.100000000000001</v>
      </c>
      <c r="CB13" s="19">
        <v>4.8</v>
      </c>
      <c r="CC13" s="19">
        <v>0.6</v>
      </c>
      <c r="CD13" s="19">
        <v>0</v>
      </c>
      <c r="CE13" s="19">
        <v>18.399999999999999</v>
      </c>
      <c r="CF13" s="19">
        <v>4.4000000000000004</v>
      </c>
      <c r="CG13" s="19">
        <v>0</v>
      </c>
      <c r="CH13" s="19">
        <v>0.3</v>
      </c>
      <c r="CI13" s="19"/>
      <c r="CJ13" s="19"/>
      <c r="CK13" s="19"/>
      <c r="CL13" s="19"/>
      <c r="CM13" s="19">
        <v>18.2</v>
      </c>
      <c r="CN13" s="19">
        <v>5.2</v>
      </c>
      <c r="CO13" s="19">
        <v>0.2</v>
      </c>
      <c r="CP13" s="19">
        <v>0</v>
      </c>
      <c r="CQ13" s="19">
        <v>18.3</v>
      </c>
      <c r="CR13" s="19">
        <v>4.8</v>
      </c>
      <c r="CS13" s="19">
        <v>0.6</v>
      </c>
      <c r="CT13" s="19">
        <v>0.3</v>
      </c>
      <c r="CU13" s="27"/>
      <c r="CV13" s="40">
        <f t="shared" si="28"/>
        <v>9.1999999999999993</v>
      </c>
      <c r="CW13" s="40">
        <f t="shared" si="29"/>
        <v>45.399999999999991</v>
      </c>
      <c r="CX13" s="40" t="str">
        <f t="shared" si="30"/>
        <v/>
      </c>
      <c r="CY13" s="40">
        <f t="shared" si="31"/>
        <v>9.1999999999999993</v>
      </c>
      <c r="CZ13" s="40">
        <f t="shared" si="32"/>
        <v>45.399999999999991</v>
      </c>
      <c r="DA13" s="40">
        <f t="shared" si="33"/>
        <v>10</v>
      </c>
      <c r="DB13" s="40">
        <f t="shared" si="34"/>
        <v>46</v>
      </c>
      <c r="DC13" s="40">
        <f t="shared" si="35"/>
        <v>91.399999999999991</v>
      </c>
      <c r="DD13" s="50" t="str">
        <f t="shared" si="36"/>
        <v/>
      </c>
      <c r="DE13" s="50" t="str">
        <f t="shared" si="37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22">
        <f t="shared" si="134"/>
        <v>18.25</v>
      </c>
      <c r="QE13" s="22">
        <f t="shared" si="135"/>
        <v>4.1500000000000004</v>
      </c>
      <c r="QF13" s="22">
        <f t="shared" si="136"/>
        <v>0.4</v>
      </c>
      <c r="QG13" s="22">
        <f t="shared" si="137"/>
        <v>0</v>
      </c>
      <c r="QH13" s="22">
        <f t="shared" si="138"/>
        <v>18.2</v>
      </c>
      <c r="QI13" s="22">
        <f t="shared" si="139"/>
        <v>4.4000000000000004</v>
      </c>
      <c r="QJ13" s="22">
        <f t="shared" si="140"/>
        <v>0.4</v>
      </c>
      <c r="QK13" s="22">
        <f t="shared" si="141"/>
        <v>0.15</v>
      </c>
      <c r="QL13" s="22">
        <f t="shared" si="142"/>
        <v>0</v>
      </c>
      <c r="QM13" s="22">
        <f t="shared" si="143"/>
        <v>0</v>
      </c>
      <c r="QN13" s="22">
        <f t="shared" si="144"/>
        <v>0</v>
      </c>
      <c r="QO13" s="22">
        <f t="shared" si="145"/>
        <v>0</v>
      </c>
      <c r="QP13" s="22">
        <f t="shared" si="146"/>
        <v>18.25</v>
      </c>
      <c r="QQ13" s="22">
        <f t="shared" si="147"/>
        <v>4.3499999999999996</v>
      </c>
      <c r="QR13" s="22">
        <f t="shared" si="148"/>
        <v>0.2</v>
      </c>
      <c r="QS13" s="22">
        <f t="shared" si="149"/>
        <v>0</v>
      </c>
      <c r="QT13" s="22">
        <f t="shared" si="150"/>
        <v>18</v>
      </c>
      <c r="QU13" s="22">
        <f t="shared" si="151"/>
        <v>4.5999999999999996</v>
      </c>
      <c r="QV13" s="22">
        <f t="shared" si="152"/>
        <v>0.4</v>
      </c>
      <c r="QW13" s="22">
        <f t="shared" si="153"/>
        <v>0.15</v>
      </c>
      <c r="QX13" s="27" t="s">
        <v>46</v>
      </c>
      <c r="QY13" s="40">
        <f t="shared" si="154"/>
        <v>8.5500000000000007</v>
      </c>
      <c r="QZ13" s="40">
        <f t="shared" si="155"/>
        <v>44.349999999999994</v>
      </c>
      <c r="RA13" s="40" t="str">
        <f t="shared" si="156"/>
        <v/>
      </c>
      <c r="RB13" s="40">
        <f t="shared" si="157"/>
        <v>8.5500000000000007</v>
      </c>
      <c r="RC13" s="40">
        <f t="shared" si="158"/>
        <v>44.349999999999994</v>
      </c>
      <c r="RD13" s="40">
        <f t="shared" si="159"/>
        <v>8.9499999999999993</v>
      </c>
      <c r="RE13" s="40">
        <f t="shared" si="160"/>
        <v>44.75</v>
      </c>
      <c r="RF13" s="40">
        <f t="shared" si="161"/>
        <v>89.1</v>
      </c>
    </row>
    <row r="14" spans="1:474" x14ac:dyDescent="0.2">
      <c r="A14" s="4" t="str" cm="1">
        <f t="array" ref="A14">IF(AND(J14&lt;&gt;"",J14&lt;&gt;"No DD"),SUMPRODUCT((J$4:J$33&lt;&gt;"")*(J$4:J$33&lt;&gt;"No DD")*(F$4:F$33&gt;F14))+1,IF(J14="No DD",SUMPRODUCT((J$4:J$33="No DD")*(F$4:F$33&gt;F14))+1+SUMPRODUCT((J$4:J$33&lt;&gt;"")*(J$4:J$33&lt;&gt;"No DD")),""))</f>
        <v/>
      </c>
      <c r="B14" s="4" t="str" cm="1">
        <f t="array" ref="B14">IF(AND(J14&lt;&gt;"",J14&lt;&gt;"No DD",G14=""),SUMPRODUCT((J$4:J$33&lt;&gt;"")*(J$4:J$33&lt;&gt;"No DD")*(G$4:G$33="")*(F$4:F$33&gt;F14))+1,IF(J14="No DD",SUMPRODUCT((J$4:J$33="No DD")*(F$4:F$33&gt;F14)*(G$4:G$33=""))+1+SUMPRODUCT((J$4:J$33&lt;&gt;"")*(G$4:G$33="")*(J$4:J$33&lt;&gt;"No DD")),""))</f>
        <v/>
      </c>
      <c r="C14" s="5" t="s">
        <v>151</v>
      </c>
      <c r="D14" s="4" t="s">
        <v>31</v>
      </c>
      <c r="E14" s="4">
        <v>2005</v>
      </c>
      <c r="F14" s="9">
        <f t="shared" si="0"/>
        <v>134.60000888000457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45.8</v>
      </c>
      <c r="M14" s="8" t="str">
        <f t="shared" si="5"/>
        <v>2025 Nationals</v>
      </c>
      <c r="N14" s="8">
        <f>IF(COUNT(AQ14,BT14,CW14)&gt;1,LARGE((AQ14,BT14,CW14),2),0)</f>
        <v>42.999999999999993</v>
      </c>
      <c r="O14" s="8" t="str">
        <f t="shared" si="6"/>
        <v>2024 3rd Domestic Trial</v>
      </c>
      <c r="P14" s="8">
        <f t="shared" si="7"/>
        <v>45.800000000000011</v>
      </c>
      <c r="Q14" s="8" t="str">
        <f t="shared" si="8"/>
        <v>2024 3rd Domestic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18.100000000000001</v>
      </c>
      <c r="V14" s="19">
        <v>4.8</v>
      </c>
      <c r="W14" s="19">
        <v>0.2</v>
      </c>
      <c r="X14" s="19">
        <v>0</v>
      </c>
      <c r="Y14" s="19">
        <v>17.2</v>
      </c>
      <c r="Z14" s="19">
        <v>2.8</v>
      </c>
      <c r="AA14" s="19">
        <v>0</v>
      </c>
      <c r="AB14" s="19">
        <v>0.3</v>
      </c>
      <c r="AC14" s="19">
        <v>19</v>
      </c>
      <c r="AD14" s="19">
        <v>4.3</v>
      </c>
      <c r="AE14" s="19">
        <v>0.6</v>
      </c>
      <c r="AF14" s="19">
        <v>0</v>
      </c>
      <c r="AG14" s="19">
        <v>18.2</v>
      </c>
      <c r="AH14" s="19">
        <v>4.8</v>
      </c>
      <c r="AI14" s="19">
        <v>0.6</v>
      </c>
      <c r="AJ14" s="19">
        <v>0.3</v>
      </c>
      <c r="AK14" s="19">
        <v>18.100000000000001</v>
      </c>
      <c r="AL14" s="19">
        <v>5.2</v>
      </c>
      <c r="AM14" s="19">
        <v>0.2</v>
      </c>
      <c r="AN14" s="19">
        <v>0</v>
      </c>
      <c r="AO14" s="27"/>
      <c r="AP14" s="40">
        <f t="shared" si="12"/>
        <v>7.6</v>
      </c>
      <c r="AQ14" s="40">
        <f t="shared" si="13"/>
        <v>42.999999999999993</v>
      </c>
      <c r="AR14" s="40">
        <f t="shared" si="14"/>
        <v>22.7</v>
      </c>
      <c r="AS14" s="40">
        <f t="shared" si="15"/>
        <v>11.899999999999999</v>
      </c>
      <c r="AT14" s="40">
        <f t="shared" si="16"/>
        <v>65.699999999999989</v>
      </c>
      <c r="AU14" s="40">
        <f t="shared" si="17"/>
        <v>10</v>
      </c>
      <c r="AV14" s="40">
        <f t="shared" si="18"/>
        <v>45.800000000000011</v>
      </c>
      <c r="AW14" s="40">
        <f t="shared" si="19"/>
        <v>111.5</v>
      </c>
      <c r="AX14" s="18">
        <v>15.2</v>
      </c>
      <c r="AY14" s="18">
        <v>2.8</v>
      </c>
      <c r="AZ14" s="18">
        <v>0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18.100000000000001</v>
      </c>
      <c r="BK14" s="18">
        <v>5.2</v>
      </c>
      <c r="BL14" s="18">
        <v>0.8</v>
      </c>
      <c r="BM14" s="18">
        <v>0.3</v>
      </c>
      <c r="BN14" s="18">
        <v>17.8</v>
      </c>
      <c r="BO14" s="18">
        <v>5.6</v>
      </c>
      <c r="BP14" s="18">
        <v>0.6</v>
      </c>
      <c r="BQ14" s="18">
        <v>0</v>
      </c>
      <c r="BR14" s="28"/>
      <c r="BS14" s="11">
        <f t="shared" si="20"/>
        <v>8.3999999999999986</v>
      </c>
      <c r="BT14" s="11">
        <f t="shared" si="21"/>
        <v>41.6</v>
      </c>
      <c r="BU14" s="11" t="str">
        <f t="shared" si="22"/>
        <v/>
      </c>
      <c r="BV14" s="11">
        <f t="shared" si="23"/>
        <v>8.3999999999999986</v>
      </c>
      <c r="BW14" s="11">
        <f t="shared" si="24"/>
        <v>41.6</v>
      </c>
      <c r="BX14" s="11">
        <f t="shared" si="25"/>
        <v>10.8</v>
      </c>
      <c r="BY14" s="11">
        <f t="shared" si="26"/>
        <v>45.600000000000009</v>
      </c>
      <c r="BZ14" s="11">
        <f t="shared" si="27"/>
        <v>87.200000000000017</v>
      </c>
      <c r="CA14" s="19">
        <v>18</v>
      </c>
      <c r="CB14" s="19">
        <v>4.8</v>
      </c>
      <c r="CC14" s="19">
        <v>0.6</v>
      </c>
      <c r="CD14" s="19">
        <v>0.3</v>
      </c>
      <c r="CE14" s="19">
        <v>17.899999999999999</v>
      </c>
      <c r="CF14" s="19">
        <v>5.6</v>
      </c>
      <c r="CG14" s="19">
        <v>0.2</v>
      </c>
      <c r="CH14" s="19">
        <v>0</v>
      </c>
      <c r="CI14" s="19"/>
      <c r="CJ14" s="19"/>
      <c r="CK14" s="19"/>
      <c r="CL14" s="19"/>
      <c r="CM14" s="19">
        <v>16.100000000000001</v>
      </c>
      <c r="CN14" s="19">
        <v>5.2</v>
      </c>
      <c r="CO14" s="19">
        <v>1</v>
      </c>
      <c r="CP14" s="19">
        <v>0</v>
      </c>
      <c r="CQ14" s="19">
        <v>17.8</v>
      </c>
      <c r="CR14" s="19">
        <v>4.8</v>
      </c>
      <c r="CS14" s="19">
        <v>0.6</v>
      </c>
      <c r="CT14" s="19">
        <v>0.3</v>
      </c>
      <c r="CU14" s="27"/>
      <c r="CV14" s="40">
        <f t="shared" si="28"/>
        <v>10.399999999999999</v>
      </c>
      <c r="CW14" s="40">
        <f t="shared" si="29"/>
        <v>45.8</v>
      </c>
      <c r="CX14" s="40" t="str">
        <f t="shared" si="30"/>
        <v/>
      </c>
      <c r="CY14" s="40">
        <f t="shared" si="31"/>
        <v>10.399999999999999</v>
      </c>
      <c r="CZ14" s="40">
        <f t="shared" si="32"/>
        <v>45.8</v>
      </c>
      <c r="DA14" s="40">
        <f t="shared" si="33"/>
        <v>10</v>
      </c>
      <c r="DB14" s="40">
        <f t="shared" si="34"/>
        <v>42.599999999999994</v>
      </c>
      <c r="DC14" s="40">
        <f t="shared" si="35"/>
        <v>88.399999999999991</v>
      </c>
      <c r="DD14" s="50" t="str">
        <f t="shared" si="36"/>
        <v/>
      </c>
      <c r="DE14" s="50" t="str">
        <f t="shared" si="37"/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22">
        <f t="shared" si="134"/>
        <v>16.600000000000001</v>
      </c>
      <c r="QE14" s="22">
        <f t="shared" si="135"/>
        <v>3.8</v>
      </c>
      <c r="QF14" s="22">
        <f t="shared" si="136"/>
        <v>0.3</v>
      </c>
      <c r="QG14" s="22">
        <f t="shared" si="137"/>
        <v>0.3</v>
      </c>
      <c r="QH14" s="22">
        <f t="shared" si="138"/>
        <v>17.899999999999999</v>
      </c>
      <c r="QI14" s="22">
        <f t="shared" si="139"/>
        <v>5.6</v>
      </c>
      <c r="QJ14" s="22">
        <f t="shared" si="140"/>
        <v>0.2</v>
      </c>
      <c r="QK14" s="22">
        <f t="shared" si="141"/>
        <v>0</v>
      </c>
      <c r="QL14" s="22">
        <f t="shared" si="142"/>
        <v>0</v>
      </c>
      <c r="QM14" s="22">
        <f t="shared" si="143"/>
        <v>0</v>
      </c>
      <c r="QN14" s="22">
        <f t="shared" si="144"/>
        <v>0</v>
      </c>
      <c r="QO14" s="22">
        <f t="shared" si="145"/>
        <v>0</v>
      </c>
      <c r="QP14" s="22">
        <f t="shared" si="146"/>
        <v>17.100000000000001</v>
      </c>
      <c r="QQ14" s="22">
        <f t="shared" si="147"/>
        <v>5.2</v>
      </c>
      <c r="QR14" s="22">
        <f t="shared" si="148"/>
        <v>0.9</v>
      </c>
      <c r="QS14" s="22">
        <f t="shared" si="149"/>
        <v>0.15</v>
      </c>
      <c r="QT14" s="22">
        <f t="shared" si="150"/>
        <v>17.8</v>
      </c>
      <c r="QU14" s="22">
        <f t="shared" si="151"/>
        <v>5.1999999999999993</v>
      </c>
      <c r="QV14" s="22">
        <f t="shared" si="152"/>
        <v>0.6</v>
      </c>
      <c r="QW14" s="22">
        <f t="shared" si="153"/>
        <v>0.15</v>
      </c>
      <c r="QX14" s="27" t="s">
        <v>46</v>
      </c>
      <c r="QY14" s="40">
        <f t="shared" si="154"/>
        <v>9.3999999999999986</v>
      </c>
      <c r="QZ14" s="40">
        <f t="shared" si="155"/>
        <v>43.7</v>
      </c>
      <c r="RA14" s="40" t="str">
        <f t="shared" si="156"/>
        <v/>
      </c>
      <c r="RB14" s="40">
        <f t="shared" si="157"/>
        <v>9.3999999999999986</v>
      </c>
      <c r="RC14" s="40">
        <f t="shared" si="158"/>
        <v>43.7</v>
      </c>
      <c r="RD14" s="40">
        <f t="shared" si="159"/>
        <v>10.399999999999999</v>
      </c>
      <c r="RE14" s="40">
        <f t="shared" si="160"/>
        <v>44.1</v>
      </c>
      <c r="RF14" s="40">
        <f t="shared" si="161"/>
        <v>87.800000000000011</v>
      </c>
    </row>
    <row r="15" spans="1:474" x14ac:dyDescent="0.2">
      <c r="A15" s="4" t="str" cm="1">
        <f t="array" ref="A15">IF(AND(J15&lt;&gt;"",J15&lt;&gt;"No DD"),SUMPRODUCT((J$4:J$33&lt;&gt;"")*(J$4:J$33&lt;&gt;"No DD")*(F$4:F$33&gt;F15))+1,IF(J15="No DD",SUMPRODUCT((J$4:J$33="No DD")*(F$4:F$33&gt;F15))+1+SUMPRODUCT((J$4:J$33&lt;&gt;"")*(J$4:J$33&lt;&gt;"No DD")),""))</f>
        <v/>
      </c>
      <c r="B15" s="4" t="str" cm="1">
        <f t="array" ref="B15">IF(AND(J15&lt;&gt;"",J15&lt;&gt;"No DD",G15=""),SUMPRODUCT((J$4:J$33&lt;&gt;"")*(J$4:J$33&lt;&gt;"No DD")*(G$4:G$33="")*(F$4:F$33&gt;F15))+1,IF(J15="No DD",SUMPRODUCT((J$4:J$33="No DD")*(F$4:F$33&gt;F15)*(G$4:G$33=""))+1+SUMPRODUCT((J$4:J$33&lt;&gt;"")*(G$4:G$33="")*(J$4:J$33&lt;&gt;"No DD")),""))</f>
        <v/>
      </c>
      <c r="C15" s="5" t="s">
        <v>172</v>
      </c>
      <c r="D15" s="4" t="s">
        <v>5</v>
      </c>
      <c r="E15" s="4">
        <v>2008</v>
      </c>
      <c r="F15" s="9">
        <f t="shared" si="0"/>
        <v>132.20000867000442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44.1</v>
      </c>
      <c r="M15" s="8" t="str">
        <f t="shared" si="5"/>
        <v>2025 Nationals</v>
      </c>
      <c r="N15" s="8">
        <f>IF(COUNT(AQ15,BT15,CW15)&gt;1,LARGE((AQ15,BT15,CW15),2),0)</f>
        <v>42.6</v>
      </c>
      <c r="O15" s="8" t="str">
        <f t="shared" si="6"/>
        <v>2024 3rd Domestic Trial</v>
      </c>
      <c r="P15" s="8">
        <f t="shared" si="7"/>
        <v>45.500000000000007</v>
      </c>
      <c r="Q15" s="8" t="str">
        <f t="shared" si="8"/>
        <v>2024 3rd Domestic Trial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18.2</v>
      </c>
      <c r="Z15" s="19">
        <v>5.2</v>
      </c>
      <c r="AA15" s="19">
        <v>0.6</v>
      </c>
      <c r="AB15" s="19">
        <v>0</v>
      </c>
      <c r="AC15" s="19">
        <v>18.7</v>
      </c>
      <c r="AD15" s="19">
        <v>2.8</v>
      </c>
      <c r="AE15" s="19">
        <v>0</v>
      </c>
      <c r="AF15" s="19">
        <v>0</v>
      </c>
      <c r="AG15" s="19">
        <v>16.8</v>
      </c>
      <c r="AH15" s="19">
        <v>5.2</v>
      </c>
      <c r="AI15" s="19">
        <v>0.2</v>
      </c>
      <c r="AJ15" s="19">
        <v>0</v>
      </c>
      <c r="AK15" s="19">
        <v>18.7</v>
      </c>
      <c r="AL15" s="19">
        <v>5.2</v>
      </c>
      <c r="AM15" s="19">
        <v>0.2</v>
      </c>
      <c r="AN15" s="19">
        <v>0</v>
      </c>
      <c r="AO15" s="27"/>
      <c r="AP15" s="40">
        <f t="shared" si="12"/>
        <v>7.6</v>
      </c>
      <c r="AQ15" s="40">
        <f t="shared" si="13"/>
        <v>42.6</v>
      </c>
      <c r="AR15" s="40">
        <f t="shared" si="14"/>
        <v>21.5</v>
      </c>
      <c r="AS15" s="40">
        <f t="shared" si="15"/>
        <v>10.399999999999999</v>
      </c>
      <c r="AT15" s="40">
        <f t="shared" si="16"/>
        <v>64.099999999999994</v>
      </c>
      <c r="AU15" s="40">
        <f t="shared" si="17"/>
        <v>10.4</v>
      </c>
      <c r="AV15" s="40">
        <f t="shared" si="18"/>
        <v>45.500000000000007</v>
      </c>
      <c r="AW15" s="40">
        <f t="shared" si="19"/>
        <v>109.6</v>
      </c>
      <c r="AX15" s="18">
        <v>15.2</v>
      </c>
      <c r="AY15" s="18">
        <v>2.4</v>
      </c>
      <c r="AZ15" s="18">
        <v>0</v>
      </c>
      <c r="BA15" s="18">
        <v>0</v>
      </c>
      <c r="BB15" s="18">
        <v>15.2</v>
      </c>
      <c r="BC15" s="18">
        <v>0</v>
      </c>
      <c r="BD15" s="18">
        <v>0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 t="shared" si="20"/>
        <v>2.4</v>
      </c>
      <c r="BT15" s="11">
        <f t="shared" si="21"/>
        <v>32.799999999999997</v>
      </c>
      <c r="BU15" s="11" t="str">
        <f t="shared" si="22"/>
        <v/>
      </c>
      <c r="BV15" s="11">
        <f t="shared" si="23"/>
        <v>2.4</v>
      </c>
      <c r="BW15" s="11">
        <f t="shared" si="24"/>
        <v>32.799999999999997</v>
      </c>
      <c r="BX15" s="11" t="str">
        <f t="shared" si="25"/>
        <v/>
      </c>
      <c r="BY15" s="11" t="str">
        <f t="shared" si="26"/>
        <v/>
      </c>
      <c r="BZ15" s="11">
        <f t="shared" si="27"/>
        <v>32.799999999999997</v>
      </c>
      <c r="CA15" s="19">
        <v>16.600000000000001</v>
      </c>
      <c r="CB15" s="19">
        <v>6</v>
      </c>
      <c r="CC15" s="19">
        <v>0.6</v>
      </c>
      <c r="CD15" s="19">
        <v>0</v>
      </c>
      <c r="CE15" s="19">
        <v>18.3</v>
      </c>
      <c r="CF15" s="19">
        <v>4.8</v>
      </c>
      <c r="CG15" s="19">
        <v>1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 t="shared" si="28"/>
        <v>10.8</v>
      </c>
      <c r="CW15" s="40">
        <f t="shared" si="29"/>
        <v>44.1</v>
      </c>
      <c r="CX15" s="40" t="str">
        <f t="shared" si="30"/>
        <v/>
      </c>
      <c r="CY15" s="40">
        <f t="shared" si="31"/>
        <v>10.8</v>
      </c>
      <c r="CZ15" s="40">
        <f t="shared" si="32"/>
        <v>44.1</v>
      </c>
      <c r="DA15" s="40" t="str">
        <f t="shared" si="33"/>
        <v/>
      </c>
      <c r="DB15" s="40" t="str">
        <f t="shared" si="34"/>
        <v/>
      </c>
      <c r="DC15" s="40">
        <f t="shared" si="35"/>
        <v>44.1</v>
      </c>
      <c r="DD15" s="50" t="str">
        <f t="shared" si="36"/>
        <v/>
      </c>
      <c r="DE15" s="50" t="str">
        <f t="shared" si="37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22">
        <f t="shared" si="134"/>
        <v>15.9</v>
      </c>
      <c r="QE15" s="22">
        <f t="shared" si="135"/>
        <v>4.2</v>
      </c>
      <c r="QF15" s="22">
        <f t="shared" si="136"/>
        <v>0.3</v>
      </c>
      <c r="QG15" s="22">
        <f t="shared" si="137"/>
        <v>0</v>
      </c>
      <c r="QH15" s="22">
        <f t="shared" si="138"/>
        <v>16.75</v>
      </c>
      <c r="QI15" s="22">
        <f t="shared" si="139"/>
        <v>2.4</v>
      </c>
      <c r="QJ15" s="22">
        <f t="shared" si="140"/>
        <v>0.5</v>
      </c>
      <c r="QK15" s="22">
        <f t="shared" si="141"/>
        <v>0</v>
      </c>
      <c r="QL15" s="22">
        <f t="shared" si="142"/>
        <v>0</v>
      </c>
      <c r="QM15" s="22">
        <f t="shared" si="143"/>
        <v>0</v>
      </c>
      <c r="QN15" s="22">
        <f t="shared" si="144"/>
        <v>0</v>
      </c>
      <c r="QO15" s="22">
        <f t="shared" si="145"/>
        <v>0</v>
      </c>
      <c r="QP15" s="22">
        <f t="shared" si="146"/>
        <v>0</v>
      </c>
      <c r="QQ15" s="22">
        <f t="shared" si="147"/>
        <v>0</v>
      </c>
      <c r="QR15" s="22">
        <f t="shared" si="148"/>
        <v>0</v>
      </c>
      <c r="QS15" s="22">
        <f t="shared" si="149"/>
        <v>0</v>
      </c>
      <c r="QT15" s="22">
        <f t="shared" si="150"/>
        <v>0</v>
      </c>
      <c r="QU15" s="22">
        <f t="shared" si="151"/>
        <v>0</v>
      </c>
      <c r="QV15" s="22">
        <f t="shared" si="152"/>
        <v>0</v>
      </c>
      <c r="QW15" s="22">
        <f t="shared" si="153"/>
        <v>0</v>
      </c>
      <c r="QX15" s="27" t="s">
        <v>46</v>
      </c>
      <c r="QY15" s="40">
        <f t="shared" si="154"/>
        <v>6.6</v>
      </c>
      <c r="QZ15" s="40">
        <f t="shared" si="155"/>
        <v>38.450000000000003</v>
      </c>
      <c r="RA15" s="40" t="str">
        <f t="shared" si="156"/>
        <v/>
      </c>
      <c r="RB15" s="40">
        <f t="shared" si="157"/>
        <v>6.6</v>
      </c>
      <c r="RC15" s="40">
        <f t="shared" si="158"/>
        <v>38.450000000000003</v>
      </c>
      <c r="RD15" s="40" t="str">
        <f t="shared" si="159"/>
        <v/>
      </c>
      <c r="RE15" s="40" t="str">
        <f t="shared" si="160"/>
        <v/>
      </c>
      <c r="RF15" s="40">
        <f t="shared" si="161"/>
        <v>38.450000000000003</v>
      </c>
    </row>
    <row r="16" spans="1:474" x14ac:dyDescent="0.2">
      <c r="A16" s="4" t="str" cm="1">
        <f t="array" ref="A16">IF(AND(J16&lt;&gt;"",J16&lt;&gt;"No DD"),SUMPRODUCT((J$4:J$33&lt;&gt;"")*(J$4:J$33&lt;&gt;"No DD")*(F$4:F$33&gt;F16))+1,IF(J16="No DD",SUMPRODUCT((J$4:J$33="No DD")*(F$4:F$33&gt;F16))+1+SUMPRODUCT((J$4:J$33&lt;&gt;"")*(J$4:J$33&lt;&gt;"No DD")),""))</f>
        <v/>
      </c>
      <c r="B16" s="4" t="str" cm="1">
        <f t="array" ref="B16">IF(AND(J16&lt;&gt;"",J16&lt;&gt;"No DD",G16=""),SUMPRODUCT((J$4:J$33&lt;&gt;"")*(J$4:J$33&lt;&gt;"No DD")*(G$4:G$33="")*(F$4:F$33&gt;F16))+1,IF(J16="No DD",SUMPRODUCT((J$4:J$33="No DD")*(F$4:F$33&gt;F16)*(G$4:G$33=""))+1+SUMPRODUCT((J$4:J$33&lt;&gt;"")*(G$4:G$33="")*(J$4:J$33&lt;&gt;"No DD")),""))</f>
        <v/>
      </c>
      <c r="C16" s="5" t="s">
        <v>139</v>
      </c>
      <c r="D16" s="4" t="s">
        <v>6</v>
      </c>
      <c r="E16" s="4">
        <v>2007</v>
      </c>
      <c r="F16" s="9">
        <f t="shared" si="0"/>
        <v>131.60000876000439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44</v>
      </c>
      <c r="M16" s="8" t="str">
        <f t="shared" si="5"/>
        <v>2025 Nationals</v>
      </c>
      <c r="N16" s="8">
        <f>IF(COUNT(AQ16,BT16,CW16)&gt;1,LARGE((AQ16,BT16,CW16),2),0)</f>
        <v>43.6</v>
      </c>
      <c r="O16" s="8" t="str">
        <f t="shared" si="6"/>
        <v>2025 Elite Canada</v>
      </c>
      <c r="P16" s="8">
        <f t="shared" si="7"/>
        <v>44</v>
      </c>
      <c r="Q16" s="8" t="str">
        <f t="shared" si="8"/>
        <v>2025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18.8</v>
      </c>
      <c r="Z16" s="19">
        <v>3</v>
      </c>
      <c r="AA16" s="19">
        <v>0</v>
      </c>
      <c r="AB16" s="19">
        <v>0</v>
      </c>
      <c r="AC16" s="19">
        <v>18.899999999999999</v>
      </c>
      <c r="AD16" s="19">
        <v>3.4</v>
      </c>
      <c r="AE16" s="19">
        <v>0.6</v>
      </c>
      <c r="AF16" s="19">
        <v>0</v>
      </c>
      <c r="AG16" s="19">
        <v>18.8</v>
      </c>
      <c r="AH16" s="19">
        <v>3.5</v>
      </c>
      <c r="AI16" s="19">
        <v>0.2</v>
      </c>
      <c r="AJ16" s="19">
        <v>0</v>
      </c>
      <c r="AK16" s="19">
        <v>18.600000000000001</v>
      </c>
      <c r="AL16" s="19">
        <v>3</v>
      </c>
      <c r="AM16" s="19">
        <v>0.6</v>
      </c>
      <c r="AN16" s="19">
        <v>0</v>
      </c>
      <c r="AO16" s="27"/>
      <c r="AP16" s="40">
        <f t="shared" si="12"/>
        <v>3.7</v>
      </c>
      <c r="AQ16" s="40">
        <f t="shared" si="13"/>
        <v>39.9</v>
      </c>
      <c r="AR16" s="40">
        <f t="shared" si="14"/>
        <v>21.699999999999996</v>
      </c>
      <c r="AS16" s="40">
        <f t="shared" si="15"/>
        <v>7.1</v>
      </c>
      <c r="AT16" s="40">
        <f t="shared" si="16"/>
        <v>61.599999999999994</v>
      </c>
      <c r="AU16" s="40">
        <f t="shared" si="17"/>
        <v>6.5</v>
      </c>
      <c r="AV16" s="40">
        <f t="shared" si="18"/>
        <v>43.100000000000009</v>
      </c>
      <c r="AW16" s="40">
        <f t="shared" si="19"/>
        <v>104.7</v>
      </c>
      <c r="AX16" s="18">
        <v>18.8</v>
      </c>
      <c r="AY16" s="18">
        <v>3.5</v>
      </c>
      <c r="AZ16" s="18">
        <v>0</v>
      </c>
      <c r="BA16" s="18">
        <v>0</v>
      </c>
      <c r="BB16" s="18">
        <v>18.3</v>
      </c>
      <c r="BC16" s="18">
        <v>3.6</v>
      </c>
      <c r="BD16" s="18">
        <v>0.6</v>
      </c>
      <c r="BE16" s="18">
        <v>0</v>
      </c>
      <c r="BF16" s="18"/>
      <c r="BG16" s="18"/>
      <c r="BH16" s="18"/>
      <c r="BI16" s="18"/>
      <c r="BJ16" s="18">
        <v>18.399999999999999</v>
      </c>
      <c r="BK16" s="18">
        <v>3.5</v>
      </c>
      <c r="BL16" s="18">
        <v>0</v>
      </c>
      <c r="BM16" s="18">
        <v>0</v>
      </c>
      <c r="BN16" s="18">
        <v>18.5</v>
      </c>
      <c r="BO16" s="18">
        <v>3.6</v>
      </c>
      <c r="BP16" s="18">
        <v>0</v>
      </c>
      <c r="BQ16" s="18">
        <v>0</v>
      </c>
      <c r="BR16" s="28"/>
      <c r="BS16" s="11">
        <f t="shared" si="20"/>
        <v>7.1</v>
      </c>
      <c r="BT16" s="11">
        <f t="shared" si="21"/>
        <v>43.6</v>
      </c>
      <c r="BU16" s="11" t="str">
        <f t="shared" si="22"/>
        <v/>
      </c>
      <c r="BV16" s="11">
        <f t="shared" si="23"/>
        <v>7.1</v>
      </c>
      <c r="BW16" s="11">
        <f t="shared" si="24"/>
        <v>43.6</v>
      </c>
      <c r="BX16" s="11">
        <f t="shared" si="25"/>
        <v>7.1</v>
      </c>
      <c r="BY16" s="11">
        <f t="shared" si="26"/>
        <v>44</v>
      </c>
      <c r="BZ16" s="11">
        <f t="shared" si="27"/>
        <v>87.6</v>
      </c>
      <c r="CA16" s="19">
        <v>18.2</v>
      </c>
      <c r="CB16" s="19">
        <v>3.5</v>
      </c>
      <c r="CC16" s="19">
        <v>0.2</v>
      </c>
      <c r="CD16" s="19">
        <v>0</v>
      </c>
      <c r="CE16" s="19">
        <v>19</v>
      </c>
      <c r="CF16" s="19">
        <v>3.5</v>
      </c>
      <c r="CG16" s="19">
        <v>0</v>
      </c>
      <c r="CH16" s="19">
        <v>0</v>
      </c>
      <c r="CI16" s="19"/>
      <c r="CJ16" s="19"/>
      <c r="CK16" s="19"/>
      <c r="CL16" s="19"/>
      <c r="CM16" s="19">
        <v>15.4</v>
      </c>
      <c r="CN16" s="19">
        <v>0.7</v>
      </c>
      <c r="CO16" s="19">
        <v>0</v>
      </c>
      <c r="CP16" s="19">
        <v>0</v>
      </c>
      <c r="CQ16" s="19">
        <v>18.899999999999999</v>
      </c>
      <c r="CR16" s="19">
        <v>2.7</v>
      </c>
      <c r="CS16" s="19">
        <v>1</v>
      </c>
      <c r="CT16" s="19">
        <v>0</v>
      </c>
      <c r="CU16" s="27"/>
      <c r="CV16" s="40">
        <f t="shared" si="28"/>
        <v>7</v>
      </c>
      <c r="CW16" s="40">
        <f t="shared" si="29"/>
        <v>44</v>
      </c>
      <c r="CX16" s="40" t="str">
        <f t="shared" si="30"/>
        <v/>
      </c>
      <c r="CY16" s="40">
        <f t="shared" si="31"/>
        <v>7</v>
      </c>
      <c r="CZ16" s="40">
        <f t="shared" si="32"/>
        <v>44</v>
      </c>
      <c r="DA16" s="40">
        <f t="shared" si="33"/>
        <v>3.4000000000000004</v>
      </c>
      <c r="DB16" s="40">
        <f t="shared" si="34"/>
        <v>36.700000000000003</v>
      </c>
      <c r="DC16" s="40">
        <f t="shared" si="35"/>
        <v>80.7</v>
      </c>
      <c r="DD16" s="50" t="str">
        <f t="shared" si="36"/>
        <v/>
      </c>
      <c r="DE16" s="50" t="str">
        <f t="shared" si="37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22">
        <f t="shared" si="134"/>
        <v>18.5</v>
      </c>
      <c r="QE16" s="22">
        <f t="shared" si="135"/>
        <v>3.5</v>
      </c>
      <c r="QF16" s="22">
        <f t="shared" si="136"/>
        <v>0.1</v>
      </c>
      <c r="QG16" s="22">
        <f t="shared" si="137"/>
        <v>0</v>
      </c>
      <c r="QH16" s="22">
        <f t="shared" si="138"/>
        <v>18.649999999999999</v>
      </c>
      <c r="QI16" s="22">
        <f t="shared" si="139"/>
        <v>3.55</v>
      </c>
      <c r="QJ16" s="22">
        <f t="shared" si="140"/>
        <v>0.3</v>
      </c>
      <c r="QK16" s="22">
        <f t="shared" si="141"/>
        <v>0</v>
      </c>
      <c r="QL16" s="22">
        <f t="shared" si="142"/>
        <v>0</v>
      </c>
      <c r="QM16" s="22">
        <f t="shared" si="143"/>
        <v>0</v>
      </c>
      <c r="QN16" s="22">
        <f t="shared" si="144"/>
        <v>0</v>
      </c>
      <c r="QO16" s="22">
        <f t="shared" si="145"/>
        <v>0</v>
      </c>
      <c r="QP16" s="22">
        <f t="shared" si="146"/>
        <v>16.899999999999999</v>
      </c>
      <c r="QQ16" s="22">
        <f t="shared" si="147"/>
        <v>2.1</v>
      </c>
      <c r="QR16" s="22">
        <f t="shared" si="148"/>
        <v>0</v>
      </c>
      <c r="QS16" s="22">
        <f t="shared" si="149"/>
        <v>0</v>
      </c>
      <c r="QT16" s="22">
        <f t="shared" si="150"/>
        <v>18.7</v>
      </c>
      <c r="QU16" s="22">
        <f t="shared" si="151"/>
        <v>3.1500000000000004</v>
      </c>
      <c r="QV16" s="22">
        <f t="shared" si="152"/>
        <v>0.5</v>
      </c>
      <c r="QW16" s="22">
        <f t="shared" si="153"/>
        <v>0</v>
      </c>
      <c r="QX16" s="27" t="s">
        <v>46</v>
      </c>
      <c r="QY16" s="40">
        <f t="shared" si="154"/>
        <v>7.05</v>
      </c>
      <c r="QZ16" s="40">
        <f t="shared" si="155"/>
        <v>43.8</v>
      </c>
      <c r="RA16" s="40" t="str">
        <f t="shared" si="156"/>
        <v/>
      </c>
      <c r="RB16" s="40">
        <f t="shared" si="157"/>
        <v>7.05</v>
      </c>
      <c r="RC16" s="40">
        <f t="shared" si="158"/>
        <v>43.8</v>
      </c>
      <c r="RD16" s="40">
        <f t="shared" si="159"/>
        <v>5.25</v>
      </c>
      <c r="RE16" s="40">
        <f t="shared" si="160"/>
        <v>40.35</v>
      </c>
      <c r="RF16" s="40">
        <f t="shared" si="161"/>
        <v>84.15</v>
      </c>
    </row>
    <row r="17" spans="1:474" x14ac:dyDescent="0.2">
      <c r="A17" s="4" t="str" cm="1">
        <f t="array" ref="A17">IF(AND(J17&lt;&gt;"",J17&lt;&gt;"No DD"),SUMPRODUCT((J$4:J$33&lt;&gt;"")*(J$4:J$33&lt;&gt;"No DD")*(F$4:F$33&gt;F17))+1,IF(J17="No DD",SUMPRODUCT((J$4:J$33="No DD")*(F$4:F$33&gt;F17))+1+SUMPRODUCT((J$4:J$33&lt;&gt;"")*(J$4:J$33&lt;&gt;"No DD")),""))</f>
        <v/>
      </c>
      <c r="B17" s="4" t="str" cm="1">
        <f t="array" ref="B17">IF(AND(J17&lt;&gt;"",J17&lt;&gt;"No DD",G17=""),SUMPRODUCT((J$4:J$33&lt;&gt;"")*(J$4:J$33&lt;&gt;"No DD")*(G$4:G$33="")*(F$4:F$33&gt;F17))+1,IF(J17="No DD",SUMPRODUCT((J$4:J$33="No DD")*(F$4:F$33&gt;F17)*(G$4:G$33=""))+1+SUMPRODUCT((J$4:J$33&lt;&gt;"")*(G$4:G$33="")*(J$4:J$33&lt;&gt;"No DD")),""))</f>
        <v/>
      </c>
      <c r="C17" s="5" t="s">
        <v>149</v>
      </c>
      <c r="D17" s="4" t="s">
        <v>5</v>
      </c>
      <c r="E17" s="4">
        <v>2006</v>
      </c>
      <c r="F17" s="9">
        <f t="shared" si="0"/>
        <v>128.50000841000443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44.399999999999991</v>
      </c>
      <c r="M17" s="8" t="str">
        <f t="shared" si="5"/>
        <v>2025 Nationals</v>
      </c>
      <c r="N17" s="8">
        <f>IF(COUNT(AQ17,BT17,CW17)&gt;1,LARGE((AQ17,BT17,CW17),2),0)</f>
        <v>39.700000000000003</v>
      </c>
      <c r="O17" s="8" t="str">
        <f t="shared" si="6"/>
        <v>2025 Elite Canada</v>
      </c>
      <c r="P17" s="8">
        <f t="shared" si="7"/>
        <v>44.400000000000006</v>
      </c>
      <c r="Q17" s="8" t="str">
        <f t="shared" si="8"/>
        <v>2025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18.2</v>
      </c>
      <c r="AY17" s="18">
        <v>5.2</v>
      </c>
      <c r="AZ17" s="18">
        <v>0.2</v>
      </c>
      <c r="BA17" s="18">
        <v>0</v>
      </c>
      <c r="BB17" s="18">
        <v>15.8</v>
      </c>
      <c r="BC17" s="18">
        <v>0.7</v>
      </c>
      <c r="BD17" s="18">
        <v>0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 t="shared" si="20"/>
        <v>5.9</v>
      </c>
      <c r="BT17" s="11">
        <f t="shared" si="21"/>
        <v>39.700000000000003</v>
      </c>
      <c r="BU17" s="11" t="str">
        <f t="shared" si="22"/>
        <v/>
      </c>
      <c r="BV17" s="11">
        <f t="shared" si="23"/>
        <v>5.9</v>
      </c>
      <c r="BW17" s="11">
        <f t="shared" si="24"/>
        <v>39.700000000000003</v>
      </c>
      <c r="BX17" s="11" t="str">
        <f t="shared" si="25"/>
        <v/>
      </c>
      <c r="BY17" s="11" t="str">
        <f t="shared" si="26"/>
        <v/>
      </c>
      <c r="BZ17" s="11">
        <f t="shared" si="27"/>
        <v>39.700000000000003</v>
      </c>
      <c r="CA17" s="19">
        <v>17.7</v>
      </c>
      <c r="CB17" s="19">
        <v>5.2</v>
      </c>
      <c r="CC17" s="19">
        <v>0</v>
      </c>
      <c r="CD17" s="19">
        <v>0</v>
      </c>
      <c r="CE17" s="19">
        <v>18.2</v>
      </c>
      <c r="CF17" s="19">
        <v>3.5</v>
      </c>
      <c r="CG17" s="19">
        <v>0.2</v>
      </c>
      <c r="CH17" s="19">
        <v>0</v>
      </c>
      <c r="CI17" s="19"/>
      <c r="CJ17" s="19"/>
      <c r="CK17" s="19"/>
      <c r="CL17" s="19"/>
      <c r="CM17" s="19">
        <v>17.8</v>
      </c>
      <c r="CN17" s="19">
        <v>5.2</v>
      </c>
      <c r="CO17" s="19">
        <v>0.8</v>
      </c>
      <c r="CP17" s="19">
        <v>0</v>
      </c>
      <c r="CQ17" s="19">
        <v>18.7</v>
      </c>
      <c r="CR17" s="19">
        <v>3.5</v>
      </c>
      <c r="CS17" s="19">
        <v>0</v>
      </c>
      <c r="CT17" s="19">
        <v>0</v>
      </c>
      <c r="CU17" s="27"/>
      <c r="CV17" s="40">
        <f t="shared" si="28"/>
        <v>8.6999999999999993</v>
      </c>
      <c r="CW17" s="40">
        <f t="shared" si="29"/>
        <v>44.399999999999991</v>
      </c>
      <c r="CX17" s="40" t="str">
        <f t="shared" si="30"/>
        <v/>
      </c>
      <c r="CY17" s="40">
        <f t="shared" si="31"/>
        <v>8.6999999999999993</v>
      </c>
      <c r="CZ17" s="40">
        <f t="shared" si="32"/>
        <v>44.399999999999991</v>
      </c>
      <c r="DA17" s="40">
        <f t="shared" si="33"/>
        <v>8.6999999999999993</v>
      </c>
      <c r="DB17" s="40">
        <f t="shared" si="34"/>
        <v>44.400000000000006</v>
      </c>
      <c r="DC17" s="40">
        <f t="shared" si="35"/>
        <v>88.8</v>
      </c>
      <c r="DD17" s="50" t="str">
        <f t="shared" si="36"/>
        <v/>
      </c>
      <c r="DE17" s="50" t="str">
        <f t="shared" si="37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22">
        <f t="shared" si="134"/>
        <v>17.95</v>
      </c>
      <c r="QE17" s="22">
        <f t="shared" si="135"/>
        <v>5.2</v>
      </c>
      <c r="QF17" s="22">
        <f t="shared" si="136"/>
        <v>0.1</v>
      </c>
      <c r="QG17" s="22">
        <f t="shared" si="137"/>
        <v>0</v>
      </c>
      <c r="QH17" s="22">
        <f t="shared" si="138"/>
        <v>17</v>
      </c>
      <c r="QI17" s="22">
        <f t="shared" si="139"/>
        <v>2.1</v>
      </c>
      <c r="QJ17" s="22">
        <f t="shared" si="140"/>
        <v>0.1</v>
      </c>
      <c r="QK17" s="22">
        <f t="shared" si="141"/>
        <v>0</v>
      </c>
      <c r="QL17" s="22">
        <f t="shared" si="142"/>
        <v>0</v>
      </c>
      <c r="QM17" s="22">
        <f t="shared" si="143"/>
        <v>0</v>
      </c>
      <c r="QN17" s="22">
        <f t="shared" si="144"/>
        <v>0</v>
      </c>
      <c r="QO17" s="22">
        <f t="shared" si="145"/>
        <v>0</v>
      </c>
      <c r="QP17" s="22">
        <f t="shared" si="146"/>
        <v>8.9</v>
      </c>
      <c r="QQ17" s="22">
        <f t="shared" si="147"/>
        <v>2.6</v>
      </c>
      <c r="QR17" s="22">
        <f t="shared" si="148"/>
        <v>0.4</v>
      </c>
      <c r="QS17" s="22">
        <f t="shared" si="149"/>
        <v>0</v>
      </c>
      <c r="QT17" s="22">
        <f t="shared" si="150"/>
        <v>9.35</v>
      </c>
      <c r="QU17" s="22">
        <f t="shared" si="151"/>
        <v>1.75</v>
      </c>
      <c r="QV17" s="22">
        <f t="shared" si="152"/>
        <v>0</v>
      </c>
      <c r="QW17" s="22">
        <f t="shared" si="153"/>
        <v>0</v>
      </c>
      <c r="QX17" s="27" t="s">
        <v>46</v>
      </c>
      <c r="QY17" s="40">
        <f t="shared" si="154"/>
        <v>7.3000000000000007</v>
      </c>
      <c r="QZ17" s="40">
        <f t="shared" si="155"/>
        <v>42.05</v>
      </c>
      <c r="RA17" s="40" t="str">
        <f t="shared" si="156"/>
        <v/>
      </c>
      <c r="RB17" s="40">
        <f t="shared" si="157"/>
        <v>7.3000000000000007</v>
      </c>
      <c r="RC17" s="40">
        <f t="shared" si="158"/>
        <v>42.05</v>
      </c>
      <c r="RD17" s="40">
        <f t="shared" si="159"/>
        <v>4.3499999999999996</v>
      </c>
      <c r="RE17" s="40">
        <f t="shared" si="160"/>
        <v>22.200000000000003</v>
      </c>
      <c r="RF17" s="40">
        <f t="shared" si="161"/>
        <v>64.25</v>
      </c>
    </row>
    <row r="18" spans="1:474" x14ac:dyDescent="0.2">
      <c r="A18" s="4" t="str" cm="1">
        <f t="array" ref="A18">IF(AND(J18&lt;&gt;"",J18&lt;&gt;"No DD"),SUMPRODUCT((J$4:J$33&lt;&gt;"")*(J$4:J$33&lt;&gt;"No DD")*(F$4:F$33&gt;F18))+1,IF(J18="No DD",SUMPRODUCT((J$4:J$33="No DD")*(F$4:F$33&gt;F18))+1+SUMPRODUCT((J$4:J$33&lt;&gt;"")*(J$4:J$33&lt;&gt;"No DD")),""))</f>
        <v/>
      </c>
      <c r="B18" s="4" t="str" cm="1">
        <f t="array" ref="B18">IF(AND(J18&lt;&gt;"",J18&lt;&gt;"No DD",G18=""),SUMPRODUCT((J$4:J$33&lt;&gt;"")*(J$4:J$33&lt;&gt;"No DD")*(G$4:G$33="")*(F$4:F$33&gt;F18))+1,IF(J18="No DD",SUMPRODUCT((J$4:J$33="No DD")*(F$4:F$33&gt;F18)*(G$4:G$33=""))+1+SUMPRODUCT((J$4:J$33&lt;&gt;"")*(G$4:G$33="")*(J$4:J$33&lt;&gt;"No DD")),""))</f>
        <v/>
      </c>
      <c r="C18" s="5" t="s">
        <v>158</v>
      </c>
      <c r="D18" s="4" t="s">
        <v>92</v>
      </c>
      <c r="E18" s="4">
        <v>2004</v>
      </c>
      <c r="F18" s="9">
        <f t="shared" si="0"/>
        <v>127.5000088200045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44.9</v>
      </c>
      <c r="M18" s="8" t="str">
        <f t="shared" si="5"/>
        <v>2025 Elite Canada</v>
      </c>
      <c r="N18" s="8">
        <f>IF(COUNT(AQ18,BT18,CW18)&gt;1,LARGE((AQ18,BT18,CW18),2),0)</f>
        <v>43.300000000000004</v>
      </c>
      <c r="O18" s="8" t="str">
        <f t="shared" si="6"/>
        <v>2025 Nationals</v>
      </c>
      <c r="P18" s="8">
        <f t="shared" si="7"/>
        <v>39.299999999999997</v>
      </c>
      <c r="Q18" s="8" t="str">
        <f t="shared" si="8"/>
        <v>2024 3rd Domestic Trial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18.2</v>
      </c>
      <c r="V18" s="19">
        <v>4.4000000000000004</v>
      </c>
      <c r="W18" s="19">
        <v>0.6</v>
      </c>
      <c r="X18" s="19">
        <v>0</v>
      </c>
      <c r="Y18" s="19">
        <v>17.7</v>
      </c>
      <c r="Z18" s="19">
        <v>0.7</v>
      </c>
      <c r="AA18" s="19">
        <v>0</v>
      </c>
      <c r="AB18" s="19">
        <v>0</v>
      </c>
      <c r="AC18" s="19">
        <v>18.399999999999999</v>
      </c>
      <c r="AD18" s="19">
        <v>3.5</v>
      </c>
      <c r="AE18" s="19">
        <v>0</v>
      </c>
      <c r="AF18" s="19">
        <v>0</v>
      </c>
      <c r="AG18" s="19">
        <v>17.899999999999999</v>
      </c>
      <c r="AH18" s="19">
        <v>4.4000000000000004</v>
      </c>
      <c r="AI18" s="19">
        <v>0.8</v>
      </c>
      <c r="AJ18" s="19">
        <v>0</v>
      </c>
      <c r="AK18" s="19">
        <v>18.3</v>
      </c>
      <c r="AL18" s="19">
        <v>0.7</v>
      </c>
      <c r="AM18" s="19">
        <v>1.2</v>
      </c>
      <c r="AN18" s="19">
        <v>0</v>
      </c>
      <c r="AO18" s="27"/>
      <c r="AP18" s="40">
        <f t="shared" si="12"/>
        <v>5.1000000000000005</v>
      </c>
      <c r="AQ18" s="40">
        <f t="shared" si="13"/>
        <v>40.4</v>
      </c>
      <c r="AR18" s="40">
        <f t="shared" si="14"/>
        <v>21.9</v>
      </c>
      <c r="AS18" s="40">
        <f t="shared" si="15"/>
        <v>8.6000000000000014</v>
      </c>
      <c r="AT18" s="40">
        <f t="shared" si="16"/>
        <v>62.3</v>
      </c>
      <c r="AU18" s="40">
        <f t="shared" si="17"/>
        <v>5.1000000000000005</v>
      </c>
      <c r="AV18" s="40">
        <f t="shared" si="18"/>
        <v>39.299999999999997</v>
      </c>
      <c r="AW18" s="40">
        <f t="shared" si="19"/>
        <v>101.6</v>
      </c>
      <c r="AX18" s="18">
        <v>18.2</v>
      </c>
      <c r="AY18" s="18">
        <v>4.4000000000000004</v>
      </c>
      <c r="AZ18" s="18">
        <v>0.2</v>
      </c>
      <c r="BA18" s="18">
        <v>0</v>
      </c>
      <c r="BB18" s="18">
        <v>19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>
        <v>18</v>
      </c>
      <c r="BK18" s="18">
        <v>4.4000000000000004</v>
      </c>
      <c r="BL18" s="18">
        <v>0.2</v>
      </c>
      <c r="BM18" s="18">
        <v>0</v>
      </c>
      <c r="BN18" s="18">
        <v>15.6</v>
      </c>
      <c r="BO18" s="18">
        <v>0.7</v>
      </c>
      <c r="BP18" s="18">
        <v>0</v>
      </c>
      <c r="BQ18" s="18">
        <v>0</v>
      </c>
      <c r="BR18" s="28"/>
      <c r="BS18" s="11">
        <f t="shared" si="20"/>
        <v>7.9</v>
      </c>
      <c r="BT18" s="11">
        <f t="shared" si="21"/>
        <v>44.9</v>
      </c>
      <c r="BU18" s="11" t="str">
        <f t="shared" si="22"/>
        <v/>
      </c>
      <c r="BV18" s="11">
        <f t="shared" si="23"/>
        <v>7.9</v>
      </c>
      <c r="BW18" s="11">
        <f t="shared" si="24"/>
        <v>44.9</v>
      </c>
      <c r="BX18" s="11">
        <f t="shared" si="25"/>
        <v>5.1000000000000005</v>
      </c>
      <c r="BY18" s="11">
        <f t="shared" si="26"/>
        <v>38.5</v>
      </c>
      <c r="BZ18" s="11">
        <f t="shared" si="27"/>
        <v>83.4</v>
      </c>
      <c r="CA18" s="19">
        <v>18.100000000000001</v>
      </c>
      <c r="CB18" s="19">
        <v>4.4000000000000004</v>
      </c>
      <c r="CC18" s="19">
        <v>0.8</v>
      </c>
      <c r="CD18" s="19">
        <v>0</v>
      </c>
      <c r="CE18" s="19">
        <v>18.899999999999999</v>
      </c>
      <c r="CF18" s="19">
        <v>3.1</v>
      </c>
      <c r="CG18" s="19">
        <v>0.4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8"/>
        <v>7.5</v>
      </c>
      <c r="CW18" s="40">
        <f t="shared" si="29"/>
        <v>43.300000000000004</v>
      </c>
      <c r="CX18" s="40" t="str">
        <f t="shared" si="30"/>
        <v/>
      </c>
      <c r="CY18" s="40">
        <f t="shared" si="31"/>
        <v>7.5</v>
      </c>
      <c r="CZ18" s="40">
        <f t="shared" si="32"/>
        <v>43.300000000000004</v>
      </c>
      <c r="DA18" s="40" t="str">
        <f t="shared" si="33"/>
        <v/>
      </c>
      <c r="DB18" s="40" t="str">
        <f t="shared" si="34"/>
        <v/>
      </c>
      <c r="DC18" s="40">
        <f t="shared" si="35"/>
        <v>43.300000000000004</v>
      </c>
      <c r="DD18" s="50" t="str">
        <f t="shared" si="36"/>
        <v/>
      </c>
      <c r="DE18" s="50" t="str">
        <f t="shared" si="37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22">
        <f t="shared" si="134"/>
        <v>18.149999999999999</v>
      </c>
      <c r="QE18" s="22">
        <f t="shared" si="135"/>
        <v>4.4000000000000004</v>
      </c>
      <c r="QF18" s="22">
        <f t="shared" si="136"/>
        <v>0.5</v>
      </c>
      <c r="QG18" s="22">
        <f t="shared" si="137"/>
        <v>0</v>
      </c>
      <c r="QH18" s="22">
        <f t="shared" si="138"/>
        <v>18.95</v>
      </c>
      <c r="QI18" s="22">
        <f t="shared" si="139"/>
        <v>3.3</v>
      </c>
      <c r="QJ18" s="22">
        <f t="shared" si="140"/>
        <v>0.2</v>
      </c>
      <c r="QK18" s="22">
        <f t="shared" si="141"/>
        <v>0</v>
      </c>
      <c r="QL18" s="22">
        <f t="shared" si="142"/>
        <v>0</v>
      </c>
      <c r="QM18" s="22">
        <f t="shared" si="143"/>
        <v>0</v>
      </c>
      <c r="QN18" s="22">
        <f t="shared" si="144"/>
        <v>0</v>
      </c>
      <c r="QO18" s="22">
        <f t="shared" si="145"/>
        <v>0</v>
      </c>
      <c r="QP18" s="22">
        <f t="shared" si="146"/>
        <v>9</v>
      </c>
      <c r="QQ18" s="22">
        <f t="shared" si="147"/>
        <v>2.2000000000000002</v>
      </c>
      <c r="QR18" s="22">
        <f t="shared" si="148"/>
        <v>0.1</v>
      </c>
      <c r="QS18" s="22">
        <f t="shared" si="149"/>
        <v>0</v>
      </c>
      <c r="QT18" s="22">
        <f t="shared" si="150"/>
        <v>7.8</v>
      </c>
      <c r="QU18" s="22">
        <f t="shared" si="151"/>
        <v>0.35</v>
      </c>
      <c r="QV18" s="22">
        <f t="shared" si="152"/>
        <v>0</v>
      </c>
      <c r="QW18" s="22">
        <f t="shared" si="153"/>
        <v>0</v>
      </c>
      <c r="QX18" s="27" t="s">
        <v>46</v>
      </c>
      <c r="QY18" s="40">
        <f t="shared" si="154"/>
        <v>7.7</v>
      </c>
      <c r="QZ18" s="40">
        <f t="shared" si="155"/>
        <v>44.099999999999994</v>
      </c>
      <c r="RA18" s="40" t="str">
        <f t="shared" si="156"/>
        <v/>
      </c>
      <c r="RB18" s="40">
        <f t="shared" si="157"/>
        <v>7.7</v>
      </c>
      <c r="RC18" s="40">
        <f t="shared" si="158"/>
        <v>44.099999999999994</v>
      </c>
      <c r="RD18" s="40">
        <f t="shared" si="159"/>
        <v>2.5500000000000003</v>
      </c>
      <c r="RE18" s="40">
        <f t="shared" si="160"/>
        <v>19.25</v>
      </c>
      <c r="RF18" s="40">
        <f t="shared" si="161"/>
        <v>63.349999999999994</v>
      </c>
    </row>
    <row r="19" spans="1:474" x14ac:dyDescent="0.2">
      <c r="A19" s="4" t="str" cm="1">
        <f t="array" ref="A19">IF(AND(J19&lt;&gt;"",J19&lt;&gt;"No DD"),SUMPRODUCT((J$4:J$33&lt;&gt;"")*(J$4:J$33&lt;&gt;"No DD")*(F$4:F$33&gt;F19))+1,IF(J19="No DD",SUMPRODUCT((J$4:J$33="No DD")*(F$4:F$33&gt;F19))+1+SUMPRODUCT((J$4:J$33&lt;&gt;"")*(J$4:J$33&lt;&gt;"No DD")),""))</f>
        <v/>
      </c>
      <c r="B19" s="4" t="str" cm="1">
        <f t="array" ref="B19">IF(AND(J19&lt;&gt;"",J19&lt;&gt;"No DD",G19=""),SUMPRODUCT((J$4:J$33&lt;&gt;"")*(J$4:J$33&lt;&gt;"No DD")*(G$4:G$33="")*(F$4:F$33&gt;F19))+1,IF(J19="No DD",SUMPRODUCT((J$4:J$33="No DD")*(F$4:F$33&gt;F19)*(G$4:G$33=""))+1+SUMPRODUCT((J$4:J$33&lt;&gt;"")*(G$4:G$33="")*(J$4:J$33&lt;&gt;"No DD")),""))</f>
        <v/>
      </c>
      <c r="C19" s="5" t="s">
        <v>184</v>
      </c>
      <c r="D19" s="4" t="s">
        <v>4</v>
      </c>
      <c r="E19" s="4">
        <v>2005</v>
      </c>
      <c r="F19" s="9">
        <f t="shared" si="0"/>
        <v>127.50000831000443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44.2</v>
      </c>
      <c r="M19" s="8" t="str">
        <f t="shared" si="5"/>
        <v>2025 Elite Canada</v>
      </c>
      <c r="N19" s="8">
        <f>IF(COUNT(AQ19,BT19,CW19)&gt;1,LARGE((AQ19,BT19,CW19),2),0)</f>
        <v>38.900000000000006</v>
      </c>
      <c r="O19" s="8" t="str">
        <f t="shared" si="6"/>
        <v>2025 Nationals</v>
      </c>
      <c r="P19" s="8">
        <f t="shared" si="7"/>
        <v>44.400000000000006</v>
      </c>
      <c r="Q19" s="8" t="str">
        <f t="shared" si="8"/>
        <v>2025 Elite Canada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>
        <v>18.3</v>
      </c>
      <c r="AY19" s="18">
        <v>3.5</v>
      </c>
      <c r="AZ19" s="18">
        <v>0</v>
      </c>
      <c r="BA19" s="18">
        <v>0</v>
      </c>
      <c r="BB19" s="18">
        <v>18.899999999999999</v>
      </c>
      <c r="BC19" s="18">
        <v>3.5</v>
      </c>
      <c r="BD19" s="18">
        <v>0</v>
      </c>
      <c r="BE19" s="18">
        <v>0</v>
      </c>
      <c r="BF19" s="18"/>
      <c r="BG19" s="18"/>
      <c r="BH19" s="18"/>
      <c r="BI19" s="18"/>
      <c r="BJ19" s="18">
        <v>18.3</v>
      </c>
      <c r="BK19" s="18">
        <v>3.5</v>
      </c>
      <c r="BL19" s="18">
        <v>0</v>
      </c>
      <c r="BM19" s="18">
        <v>0</v>
      </c>
      <c r="BN19" s="18">
        <v>19.100000000000001</v>
      </c>
      <c r="BO19" s="18">
        <v>3.5</v>
      </c>
      <c r="BP19" s="18">
        <v>0</v>
      </c>
      <c r="BQ19" s="18">
        <v>0</v>
      </c>
      <c r="BR19" s="28"/>
      <c r="BS19" s="11">
        <f t="shared" si="20"/>
        <v>7</v>
      </c>
      <c r="BT19" s="11">
        <f t="shared" si="21"/>
        <v>44.2</v>
      </c>
      <c r="BU19" s="11" t="str">
        <f t="shared" si="22"/>
        <v/>
      </c>
      <c r="BV19" s="11">
        <f t="shared" si="23"/>
        <v>7</v>
      </c>
      <c r="BW19" s="11">
        <f t="shared" si="24"/>
        <v>44.2</v>
      </c>
      <c r="BX19" s="11">
        <f t="shared" si="25"/>
        <v>7</v>
      </c>
      <c r="BY19" s="11">
        <f t="shared" si="26"/>
        <v>44.400000000000006</v>
      </c>
      <c r="BZ19" s="11">
        <f t="shared" si="27"/>
        <v>88.600000000000009</v>
      </c>
      <c r="CA19" s="19">
        <v>15.4</v>
      </c>
      <c r="CB19" s="19">
        <v>0.7</v>
      </c>
      <c r="CC19" s="19">
        <v>0</v>
      </c>
      <c r="CD19" s="19">
        <v>0</v>
      </c>
      <c r="CE19" s="19">
        <v>19.3</v>
      </c>
      <c r="CF19" s="19">
        <v>3.5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8"/>
        <v>4.2</v>
      </c>
      <c r="CW19" s="40">
        <f t="shared" si="29"/>
        <v>38.900000000000006</v>
      </c>
      <c r="CX19" s="40" t="str">
        <f t="shared" si="30"/>
        <v/>
      </c>
      <c r="CY19" s="40">
        <f t="shared" si="31"/>
        <v>4.2</v>
      </c>
      <c r="CZ19" s="40">
        <f t="shared" si="32"/>
        <v>38.900000000000006</v>
      </c>
      <c r="DA19" s="40" t="str">
        <f t="shared" si="33"/>
        <v/>
      </c>
      <c r="DB19" s="40" t="str">
        <f t="shared" si="34"/>
        <v/>
      </c>
      <c r="DC19" s="40">
        <f t="shared" si="35"/>
        <v>38.900000000000006</v>
      </c>
      <c r="DD19" s="50" t="str">
        <f t="shared" si="36"/>
        <v/>
      </c>
      <c r="DE19" s="50" t="str">
        <f t="shared" si="37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22">
        <f t="shared" si="134"/>
        <v>16.850000000000001</v>
      </c>
      <c r="QE19" s="22">
        <f t="shared" si="135"/>
        <v>2.1</v>
      </c>
      <c r="QF19" s="22">
        <f t="shared" si="136"/>
        <v>0</v>
      </c>
      <c r="QG19" s="22">
        <f t="shared" si="137"/>
        <v>0</v>
      </c>
      <c r="QH19" s="22">
        <f t="shared" si="138"/>
        <v>19.100000000000001</v>
      </c>
      <c r="QI19" s="22">
        <f t="shared" si="139"/>
        <v>3.5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9.15</v>
      </c>
      <c r="QQ19" s="22">
        <f t="shared" si="147"/>
        <v>1.75</v>
      </c>
      <c r="QR19" s="22">
        <f t="shared" si="148"/>
        <v>0</v>
      </c>
      <c r="QS19" s="22">
        <f t="shared" si="149"/>
        <v>0</v>
      </c>
      <c r="QT19" s="22">
        <f t="shared" si="150"/>
        <v>9.5500000000000007</v>
      </c>
      <c r="QU19" s="22">
        <f t="shared" si="151"/>
        <v>1.75</v>
      </c>
      <c r="QV19" s="22">
        <f t="shared" si="152"/>
        <v>0</v>
      </c>
      <c r="QW19" s="22">
        <f t="shared" si="153"/>
        <v>0</v>
      </c>
      <c r="QX19" s="27" t="s">
        <v>46</v>
      </c>
      <c r="QY19" s="40">
        <f t="shared" si="154"/>
        <v>5.6</v>
      </c>
      <c r="QZ19" s="40">
        <f t="shared" si="155"/>
        <v>41.550000000000004</v>
      </c>
      <c r="RA19" s="40" t="str">
        <f t="shared" si="156"/>
        <v/>
      </c>
      <c r="RB19" s="40">
        <f t="shared" si="157"/>
        <v>5.6</v>
      </c>
      <c r="RC19" s="40">
        <f t="shared" si="158"/>
        <v>41.550000000000004</v>
      </c>
      <c r="RD19" s="40">
        <f t="shared" si="159"/>
        <v>3.5</v>
      </c>
      <c r="RE19" s="40">
        <f t="shared" si="160"/>
        <v>22.200000000000003</v>
      </c>
      <c r="RF19" s="40">
        <f t="shared" si="161"/>
        <v>63.750000000000007</v>
      </c>
    </row>
    <row r="20" spans="1:474" x14ac:dyDescent="0.2">
      <c r="A20" s="4" t="str" cm="1">
        <f t="array" ref="A20">IF(AND(J20&lt;&gt;"",J20&lt;&gt;"No DD"),SUMPRODUCT((J$4:J$33&lt;&gt;"")*(J$4:J$33&lt;&gt;"No DD")*(F$4:F$33&gt;F20))+1,IF(J20="No DD",SUMPRODUCT((J$4:J$33="No DD")*(F$4:F$33&gt;F20))+1+SUMPRODUCT((J$4:J$33&lt;&gt;"")*(J$4:J$33&lt;&gt;"No DD")),""))</f>
        <v/>
      </c>
      <c r="B20" s="4" t="str" cm="1">
        <f t="array" ref="B20">IF(AND(J20&lt;&gt;"",J20&lt;&gt;"No DD",G20=""),SUMPRODUCT((J$4:J$33&lt;&gt;"")*(J$4:J$33&lt;&gt;"No DD")*(G$4:G$33="")*(F$4:F$33&gt;F20))+1,IF(J20="No DD",SUMPRODUCT((J$4:J$33="No DD")*(F$4:F$33&gt;F20)*(G$4:G$33=""))+1+SUMPRODUCT((J$4:J$33&lt;&gt;"")*(G$4:G$33="")*(J$4:J$33&lt;&gt;"No DD")),""))</f>
        <v/>
      </c>
      <c r="C20" s="5" t="s">
        <v>183</v>
      </c>
      <c r="D20" s="4" t="s">
        <v>4</v>
      </c>
      <c r="E20" s="4">
        <v>2008</v>
      </c>
      <c r="F20" s="9">
        <f t="shared" si="0"/>
        <v>127.1000082100044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44.1</v>
      </c>
      <c r="M20" s="8" t="str">
        <f t="shared" si="5"/>
        <v>2025 Nationals</v>
      </c>
      <c r="N20" s="8">
        <f>IF(COUNT(AQ20,BT20,CW20)&gt;1,LARGE((AQ20,BT20,CW20),2),0)</f>
        <v>38</v>
      </c>
      <c r="O20" s="8" t="str">
        <f t="shared" si="6"/>
        <v>2025 Elite Canada</v>
      </c>
      <c r="P20" s="8">
        <f t="shared" si="7"/>
        <v>45</v>
      </c>
      <c r="Q20" s="8" t="str">
        <f t="shared" si="8"/>
        <v>2025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18.5</v>
      </c>
      <c r="AY20" s="18">
        <v>3.1</v>
      </c>
      <c r="AZ20" s="18">
        <v>1</v>
      </c>
      <c r="BA20" s="18">
        <v>0</v>
      </c>
      <c r="BB20" s="18">
        <v>15</v>
      </c>
      <c r="BC20" s="18">
        <v>2.4</v>
      </c>
      <c r="BD20" s="18">
        <v>0</v>
      </c>
      <c r="BE20" s="18">
        <v>0</v>
      </c>
      <c r="BF20" s="18"/>
      <c r="BG20" s="18"/>
      <c r="BH20" s="18"/>
      <c r="BI20" s="18"/>
      <c r="BJ20" s="18">
        <v>18.7</v>
      </c>
      <c r="BK20" s="18">
        <v>3.5</v>
      </c>
      <c r="BL20" s="18">
        <v>0</v>
      </c>
      <c r="BM20" s="18">
        <v>0</v>
      </c>
      <c r="BN20" s="18">
        <v>18</v>
      </c>
      <c r="BO20" s="18">
        <v>4.8</v>
      </c>
      <c r="BP20" s="18">
        <v>0</v>
      </c>
      <c r="BQ20" s="18">
        <v>0</v>
      </c>
      <c r="BR20" s="28"/>
      <c r="BS20" s="11">
        <f t="shared" si="20"/>
        <v>5.5</v>
      </c>
      <c r="BT20" s="11">
        <f t="shared" si="21"/>
        <v>38</v>
      </c>
      <c r="BU20" s="11" t="str">
        <f t="shared" si="22"/>
        <v/>
      </c>
      <c r="BV20" s="11">
        <f t="shared" si="23"/>
        <v>5.5</v>
      </c>
      <c r="BW20" s="11">
        <f t="shared" si="24"/>
        <v>38</v>
      </c>
      <c r="BX20" s="11">
        <f t="shared" si="25"/>
        <v>8.3000000000000007</v>
      </c>
      <c r="BY20" s="11">
        <f t="shared" si="26"/>
        <v>45</v>
      </c>
      <c r="BZ20" s="11">
        <f t="shared" si="27"/>
        <v>83</v>
      </c>
      <c r="CA20" s="19">
        <v>18.5</v>
      </c>
      <c r="CB20" s="19">
        <v>3.5</v>
      </c>
      <c r="CC20" s="19">
        <v>0</v>
      </c>
      <c r="CD20" s="19">
        <v>0</v>
      </c>
      <c r="CE20" s="19">
        <v>17.7</v>
      </c>
      <c r="CF20" s="19">
        <v>4.4000000000000004</v>
      </c>
      <c r="CG20" s="19">
        <v>0</v>
      </c>
      <c r="CH20" s="19">
        <v>0</v>
      </c>
      <c r="CI20" s="19"/>
      <c r="CJ20" s="19"/>
      <c r="CK20" s="19"/>
      <c r="CL20" s="19"/>
      <c r="CM20" s="19">
        <v>18.899999999999999</v>
      </c>
      <c r="CN20" s="19">
        <v>3.5</v>
      </c>
      <c r="CO20" s="19">
        <v>0</v>
      </c>
      <c r="CP20" s="19">
        <v>0</v>
      </c>
      <c r="CQ20" s="19">
        <v>18</v>
      </c>
      <c r="CR20" s="19">
        <v>4.4000000000000004</v>
      </c>
      <c r="CS20" s="19">
        <v>0.6</v>
      </c>
      <c r="CT20" s="19">
        <v>0</v>
      </c>
      <c r="CU20" s="27"/>
      <c r="CV20" s="40">
        <f t="shared" si="28"/>
        <v>7.9</v>
      </c>
      <c r="CW20" s="40">
        <f t="shared" si="29"/>
        <v>44.1</v>
      </c>
      <c r="CX20" s="40" t="str">
        <f t="shared" si="30"/>
        <v/>
      </c>
      <c r="CY20" s="40">
        <f t="shared" si="31"/>
        <v>7.9</v>
      </c>
      <c r="CZ20" s="40">
        <f t="shared" si="32"/>
        <v>44.1</v>
      </c>
      <c r="DA20" s="40">
        <f t="shared" si="33"/>
        <v>7.9</v>
      </c>
      <c r="DB20" s="40">
        <f t="shared" si="34"/>
        <v>44.199999999999996</v>
      </c>
      <c r="DC20" s="40">
        <f t="shared" si="35"/>
        <v>88.3</v>
      </c>
      <c r="DD20" s="50" t="str">
        <f t="shared" si="36"/>
        <v/>
      </c>
      <c r="DE20" s="50" t="str">
        <f t="shared" si="37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22">
        <f t="shared" si="134"/>
        <v>18.5</v>
      </c>
      <c r="QE20" s="22">
        <f t="shared" si="135"/>
        <v>3.3</v>
      </c>
      <c r="QF20" s="22">
        <f t="shared" si="136"/>
        <v>0.5</v>
      </c>
      <c r="QG20" s="22">
        <f t="shared" si="137"/>
        <v>0</v>
      </c>
      <c r="QH20" s="22">
        <f t="shared" si="138"/>
        <v>16.350000000000001</v>
      </c>
      <c r="QI20" s="22">
        <f t="shared" si="139"/>
        <v>3.4000000000000004</v>
      </c>
      <c r="QJ20" s="22">
        <f t="shared" si="140"/>
        <v>0</v>
      </c>
      <c r="QK20" s="22">
        <f t="shared" si="141"/>
        <v>0</v>
      </c>
      <c r="QL20" s="22">
        <f t="shared" si="142"/>
        <v>0</v>
      </c>
      <c r="QM20" s="22">
        <f t="shared" si="143"/>
        <v>0</v>
      </c>
      <c r="QN20" s="22">
        <f t="shared" si="144"/>
        <v>0</v>
      </c>
      <c r="QO20" s="22">
        <f t="shared" si="145"/>
        <v>0</v>
      </c>
      <c r="QP20" s="22">
        <f t="shared" si="146"/>
        <v>18.799999999999997</v>
      </c>
      <c r="QQ20" s="22">
        <f t="shared" si="147"/>
        <v>3.5</v>
      </c>
      <c r="QR20" s="22">
        <f t="shared" si="148"/>
        <v>0</v>
      </c>
      <c r="QS20" s="22">
        <f t="shared" si="149"/>
        <v>0</v>
      </c>
      <c r="QT20" s="22">
        <f t="shared" si="150"/>
        <v>18</v>
      </c>
      <c r="QU20" s="22">
        <f t="shared" si="151"/>
        <v>4.5999999999999996</v>
      </c>
      <c r="QV20" s="22">
        <f t="shared" si="152"/>
        <v>0.3</v>
      </c>
      <c r="QW20" s="22">
        <f t="shared" si="153"/>
        <v>0</v>
      </c>
      <c r="QX20" s="27" t="s">
        <v>46</v>
      </c>
      <c r="QY20" s="40">
        <f t="shared" si="154"/>
        <v>6.7</v>
      </c>
      <c r="QZ20" s="40">
        <f t="shared" si="155"/>
        <v>41.050000000000004</v>
      </c>
      <c r="RA20" s="40" t="str">
        <f t="shared" si="156"/>
        <v/>
      </c>
      <c r="RB20" s="40">
        <f t="shared" si="157"/>
        <v>6.7</v>
      </c>
      <c r="RC20" s="40">
        <f t="shared" si="158"/>
        <v>41.050000000000004</v>
      </c>
      <c r="RD20" s="40">
        <f t="shared" si="159"/>
        <v>8.1</v>
      </c>
      <c r="RE20" s="40">
        <f t="shared" si="160"/>
        <v>44.6</v>
      </c>
      <c r="RF20" s="40">
        <f t="shared" si="161"/>
        <v>85.65</v>
      </c>
    </row>
    <row r="21" spans="1:474" x14ac:dyDescent="0.2">
      <c r="A21" s="4" t="str" cm="1">
        <f t="array" ref="A21">IF(AND(J21&lt;&gt;"",J21&lt;&gt;"No DD"),SUMPRODUCT((J$4:J$33&lt;&gt;"")*(J$4:J$33&lt;&gt;"No DD")*(F$4:F$33&gt;F21))+1,IF(J21="No DD",SUMPRODUCT((J$4:J$33="No DD")*(F$4:F$33&gt;F21))+1+SUMPRODUCT((J$4:J$33&lt;&gt;"")*(J$4:J$33&lt;&gt;"No DD")),""))</f>
        <v/>
      </c>
      <c r="B21" s="4" t="str" cm="1">
        <f t="array" ref="B21">IF(AND(J21&lt;&gt;"",J21&lt;&gt;"No DD",G21=""),SUMPRODUCT((J$4:J$33&lt;&gt;"")*(J$4:J$33&lt;&gt;"No DD")*(G$4:G$33="")*(F$4:F$33&gt;F21))+1,IF(J21="No DD",SUMPRODUCT((J$4:J$33="No DD")*(F$4:F$33&gt;F21)*(G$4:G$33=""))+1+SUMPRODUCT((J$4:J$33&lt;&gt;"")*(G$4:G$33="")*(J$4:J$33&lt;&gt;"No DD")),""))</f>
        <v/>
      </c>
      <c r="C21" s="5" t="s">
        <v>148</v>
      </c>
      <c r="D21" s="4" t="s">
        <v>4</v>
      </c>
      <c r="E21" s="4">
        <v>2007</v>
      </c>
      <c r="F21" s="9">
        <f t="shared" si="0"/>
        <v>122.40000827000449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44.9</v>
      </c>
      <c r="M21" s="8" t="str">
        <f t="shared" si="5"/>
        <v>2025 Nationals</v>
      </c>
      <c r="N21" s="8">
        <f>IF(COUNT(AQ21,BT21,CW21)&gt;1,LARGE((AQ21,BT21,CW21),2),0)</f>
        <v>37.800000000000004</v>
      </c>
      <c r="O21" s="8" t="str">
        <f t="shared" si="6"/>
        <v>2025 Elite Canada</v>
      </c>
      <c r="P21" s="8">
        <f t="shared" si="7"/>
        <v>39.699999999999996</v>
      </c>
      <c r="Q21" s="8" t="str">
        <f t="shared" si="8"/>
        <v>2025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>
        <v>18.399999999999999</v>
      </c>
      <c r="AY21" s="18">
        <v>3.2</v>
      </c>
      <c r="AZ21" s="18">
        <v>0.3</v>
      </c>
      <c r="BA21" s="18">
        <v>0</v>
      </c>
      <c r="BB21" s="18">
        <v>15.8</v>
      </c>
      <c r="BC21" s="18">
        <v>0.7</v>
      </c>
      <c r="BD21" s="18">
        <v>0</v>
      </c>
      <c r="BE21" s="18">
        <v>0</v>
      </c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20"/>
        <v>3.9000000000000004</v>
      </c>
      <c r="BT21" s="11">
        <f t="shared" si="21"/>
        <v>37.800000000000004</v>
      </c>
      <c r="BU21" s="11" t="str">
        <f t="shared" si="22"/>
        <v/>
      </c>
      <c r="BV21" s="11">
        <f t="shared" si="23"/>
        <v>3.9000000000000004</v>
      </c>
      <c r="BW21" s="11">
        <f t="shared" si="24"/>
        <v>37.800000000000004</v>
      </c>
      <c r="BX21" s="11" t="str">
        <f t="shared" si="25"/>
        <v/>
      </c>
      <c r="BY21" s="11" t="str">
        <f t="shared" si="26"/>
        <v/>
      </c>
      <c r="BZ21" s="11">
        <f t="shared" si="27"/>
        <v>37.800000000000004</v>
      </c>
      <c r="CA21" s="19">
        <v>18.899999999999999</v>
      </c>
      <c r="CB21" s="19">
        <v>3.5</v>
      </c>
      <c r="CC21" s="19">
        <v>0</v>
      </c>
      <c r="CD21" s="19">
        <v>0</v>
      </c>
      <c r="CE21" s="19">
        <v>18.3</v>
      </c>
      <c r="CF21" s="19">
        <v>4.4000000000000004</v>
      </c>
      <c r="CG21" s="19">
        <v>0.2</v>
      </c>
      <c r="CH21" s="19">
        <v>0</v>
      </c>
      <c r="CI21" s="19"/>
      <c r="CJ21" s="19"/>
      <c r="CK21" s="19"/>
      <c r="CL21" s="19"/>
      <c r="CM21" s="19">
        <v>19.3</v>
      </c>
      <c r="CN21" s="19">
        <v>3.5</v>
      </c>
      <c r="CO21" s="19">
        <v>0.6</v>
      </c>
      <c r="CP21" s="19">
        <v>0</v>
      </c>
      <c r="CQ21" s="19">
        <v>15.1</v>
      </c>
      <c r="CR21" s="19">
        <v>2.4</v>
      </c>
      <c r="CS21" s="19">
        <v>0</v>
      </c>
      <c r="CT21" s="19">
        <v>0</v>
      </c>
      <c r="CU21" s="27"/>
      <c r="CV21" s="40">
        <f t="shared" si="28"/>
        <v>7.9</v>
      </c>
      <c r="CW21" s="40">
        <f t="shared" si="29"/>
        <v>44.9</v>
      </c>
      <c r="CX21" s="40" t="str">
        <f t="shared" si="30"/>
        <v/>
      </c>
      <c r="CY21" s="40">
        <f t="shared" si="31"/>
        <v>7.9</v>
      </c>
      <c r="CZ21" s="40">
        <f t="shared" si="32"/>
        <v>44.9</v>
      </c>
      <c r="DA21" s="40">
        <f t="shared" si="33"/>
        <v>5.9</v>
      </c>
      <c r="DB21" s="40">
        <f t="shared" si="34"/>
        <v>39.699999999999996</v>
      </c>
      <c r="DC21" s="40">
        <f t="shared" si="35"/>
        <v>84.6</v>
      </c>
      <c r="DD21" s="50" t="str">
        <f t="shared" si="36"/>
        <v/>
      </c>
      <c r="DE21" s="50" t="str">
        <f t="shared" si="37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22">
        <f t="shared" si="134"/>
        <v>18.649999999999999</v>
      </c>
      <c r="QE21" s="22">
        <f t="shared" si="135"/>
        <v>3.35</v>
      </c>
      <c r="QF21" s="22">
        <f t="shared" si="136"/>
        <v>0.15</v>
      </c>
      <c r="QG21" s="22">
        <f t="shared" si="137"/>
        <v>0</v>
      </c>
      <c r="QH21" s="22">
        <f t="shared" si="138"/>
        <v>17.05</v>
      </c>
      <c r="QI21" s="22">
        <f t="shared" si="139"/>
        <v>2.5500000000000003</v>
      </c>
      <c r="QJ21" s="22">
        <f t="shared" si="140"/>
        <v>0.1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9.65</v>
      </c>
      <c r="QQ21" s="22">
        <f t="shared" si="147"/>
        <v>1.75</v>
      </c>
      <c r="QR21" s="22">
        <f t="shared" si="148"/>
        <v>0.3</v>
      </c>
      <c r="QS21" s="22">
        <f t="shared" si="149"/>
        <v>0</v>
      </c>
      <c r="QT21" s="22">
        <f t="shared" si="150"/>
        <v>7.55</v>
      </c>
      <c r="QU21" s="22">
        <f t="shared" si="151"/>
        <v>1.2</v>
      </c>
      <c r="QV21" s="22">
        <f t="shared" si="152"/>
        <v>0</v>
      </c>
      <c r="QW21" s="22">
        <f t="shared" si="153"/>
        <v>0</v>
      </c>
      <c r="QX21" s="27" t="s">
        <v>46</v>
      </c>
      <c r="QY21" s="40">
        <f t="shared" si="154"/>
        <v>5.9</v>
      </c>
      <c r="QZ21" s="40">
        <f t="shared" si="155"/>
        <v>41.349999999999994</v>
      </c>
      <c r="RA21" s="40" t="str">
        <f t="shared" si="156"/>
        <v/>
      </c>
      <c r="RB21" s="40">
        <f t="shared" si="157"/>
        <v>5.9</v>
      </c>
      <c r="RC21" s="40">
        <f t="shared" si="158"/>
        <v>41.349999999999994</v>
      </c>
      <c r="RD21" s="40">
        <f t="shared" si="159"/>
        <v>2.95</v>
      </c>
      <c r="RE21" s="40">
        <f t="shared" si="160"/>
        <v>19.849999999999998</v>
      </c>
      <c r="RF21" s="40">
        <f t="shared" si="161"/>
        <v>61.199999999999989</v>
      </c>
    </row>
    <row r="22" spans="1:474" x14ac:dyDescent="0.2">
      <c r="A22" s="4" t="str" cm="1">
        <f t="array" ref="A22">IF(AND(J22&lt;&gt;"",J22&lt;&gt;"No DD"),SUMPRODUCT((J$4:J$33&lt;&gt;"")*(J$4:J$33&lt;&gt;"No DD")*(F$4:F$33&gt;F22))+1,IF(J22="No DD",SUMPRODUCT((J$4:J$33="No DD")*(F$4:F$33&gt;F22))+1+SUMPRODUCT((J$4:J$33&lt;&gt;"")*(J$4:J$33&lt;&gt;"No DD")),""))</f>
        <v/>
      </c>
      <c r="B22" s="4" t="str" cm="1">
        <f t="array" ref="B22">IF(AND(J22&lt;&gt;"",J22&lt;&gt;"No DD",G22=""),SUMPRODUCT((J$4:J$33&lt;&gt;"")*(J$4:J$33&lt;&gt;"No DD")*(G$4:G$33="")*(F$4:F$33&gt;F22))+1,IF(J22="No DD",SUMPRODUCT((J$4:J$33="No DD")*(F$4:F$33&gt;F22)*(G$4:G$33=""))+1+SUMPRODUCT((J$4:J$33&lt;&gt;"")*(G$4:G$33="")*(J$4:J$33&lt;&gt;"No DD")),""))</f>
        <v/>
      </c>
      <c r="C22" s="5" t="s">
        <v>185</v>
      </c>
      <c r="D22" s="4" t="s">
        <v>3</v>
      </c>
      <c r="E22" s="4">
        <v>2008</v>
      </c>
      <c r="F22" s="9">
        <f t="shared" si="0"/>
        <v>107.70000627000462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46.1</v>
      </c>
      <c r="M22" s="8" t="str">
        <f t="shared" si="5"/>
        <v>2025 Nationals</v>
      </c>
      <c r="N22" s="8">
        <f>IF(COUNT(AQ22,BT22,CW22)&gt;1,LARGE((AQ22,BT22,CW22),2),0)</f>
        <v>16.600000000000001</v>
      </c>
      <c r="O22" s="8" t="str">
        <f t="shared" si="6"/>
        <v>2025 Elite Canada</v>
      </c>
      <c r="P22" s="8">
        <f t="shared" si="7"/>
        <v>45.000000000000007</v>
      </c>
      <c r="Q22" s="8" t="str">
        <f t="shared" si="8"/>
        <v>2025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>
        <v>15.4</v>
      </c>
      <c r="AY22" s="18">
        <v>1.2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0</v>
      </c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 t="shared" si="20"/>
        <v>1.2</v>
      </c>
      <c r="BT22" s="11">
        <f t="shared" si="21"/>
        <v>16.600000000000001</v>
      </c>
      <c r="BU22" s="11" t="str">
        <f t="shared" si="22"/>
        <v/>
      </c>
      <c r="BV22" s="11">
        <f t="shared" si="23"/>
        <v>1.2</v>
      </c>
      <c r="BW22" s="11">
        <f t="shared" si="24"/>
        <v>16.600000000000001</v>
      </c>
      <c r="BX22" s="11" t="str">
        <f t="shared" si="25"/>
        <v/>
      </c>
      <c r="BY22" s="11" t="str">
        <f t="shared" si="26"/>
        <v/>
      </c>
      <c r="BZ22" s="11">
        <f t="shared" si="27"/>
        <v>16.600000000000001</v>
      </c>
      <c r="CA22" s="19">
        <v>18.399999999999999</v>
      </c>
      <c r="CB22" s="19">
        <v>3.6</v>
      </c>
      <c r="CC22" s="19">
        <v>0</v>
      </c>
      <c r="CD22" s="19">
        <v>0</v>
      </c>
      <c r="CE22" s="19">
        <v>18.899999999999999</v>
      </c>
      <c r="CF22" s="19">
        <v>5.2</v>
      </c>
      <c r="CG22" s="19">
        <v>0</v>
      </c>
      <c r="CH22" s="19">
        <v>0</v>
      </c>
      <c r="CI22" s="19"/>
      <c r="CJ22" s="19"/>
      <c r="CK22" s="19"/>
      <c r="CL22" s="19"/>
      <c r="CM22" s="19">
        <v>18.600000000000001</v>
      </c>
      <c r="CN22" s="19">
        <v>3.6</v>
      </c>
      <c r="CO22" s="19">
        <v>0</v>
      </c>
      <c r="CP22" s="19">
        <v>0</v>
      </c>
      <c r="CQ22" s="19">
        <v>18.399999999999999</v>
      </c>
      <c r="CR22" s="19">
        <v>5.2</v>
      </c>
      <c r="CS22" s="19">
        <v>0.8</v>
      </c>
      <c r="CT22" s="19">
        <v>0</v>
      </c>
      <c r="CU22" s="27"/>
      <c r="CV22" s="40">
        <f t="shared" si="28"/>
        <v>8.8000000000000007</v>
      </c>
      <c r="CW22" s="40">
        <f t="shared" si="29"/>
        <v>46.1</v>
      </c>
      <c r="CX22" s="40" t="str">
        <f t="shared" si="30"/>
        <v/>
      </c>
      <c r="CY22" s="40">
        <f t="shared" si="31"/>
        <v>8.8000000000000007</v>
      </c>
      <c r="CZ22" s="40">
        <f t="shared" si="32"/>
        <v>46.1</v>
      </c>
      <c r="DA22" s="40">
        <f t="shared" si="33"/>
        <v>8.8000000000000007</v>
      </c>
      <c r="DB22" s="40">
        <f t="shared" si="34"/>
        <v>45.000000000000007</v>
      </c>
      <c r="DC22" s="40">
        <f t="shared" si="35"/>
        <v>91.100000000000009</v>
      </c>
      <c r="DD22" s="50" t="str">
        <f t="shared" si="36"/>
        <v/>
      </c>
      <c r="DE22" s="50" t="str">
        <f t="shared" si="37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22">
        <f t="shared" si="134"/>
        <v>16.899999999999999</v>
      </c>
      <c r="QE22" s="22">
        <f t="shared" si="135"/>
        <v>2.4</v>
      </c>
      <c r="QF22" s="22">
        <f t="shared" si="136"/>
        <v>0</v>
      </c>
      <c r="QG22" s="22">
        <f t="shared" si="137"/>
        <v>0</v>
      </c>
      <c r="QH22" s="22">
        <f t="shared" si="138"/>
        <v>9.4499999999999993</v>
      </c>
      <c r="QI22" s="22">
        <f t="shared" si="139"/>
        <v>2.6</v>
      </c>
      <c r="QJ22" s="22">
        <f t="shared" si="140"/>
        <v>0</v>
      </c>
      <c r="QK22" s="22">
        <f t="shared" si="141"/>
        <v>0</v>
      </c>
      <c r="QL22" s="22">
        <f t="shared" si="142"/>
        <v>0</v>
      </c>
      <c r="QM22" s="22">
        <f t="shared" si="143"/>
        <v>0</v>
      </c>
      <c r="QN22" s="22">
        <f t="shared" si="144"/>
        <v>0</v>
      </c>
      <c r="QO22" s="22">
        <f t="shared" si="145"/>
        <v>0</v>
      </c>
      <c r="QP22" s="22">
        <f t="shared" si="146"/>
        <v>9.3000000000000007</v>
      </c>
      <c r="QQ22" s="22">
        <f t="shared" si="147"/>
        <v>1.8</v>
      </c>
      <c r="QR22" s="22">
        <f t="shared" si="148"/>
        <v>0</v>
      </c>
      <c r="QS22" s="22">
        <f t="shared" si="149"/>
        <v>0</v>
      </c>
      <c r="QT22" s="22">
        <f t="shared" si="150"/>
        <v>9.1999999999999993</v>
      </c>
      <c r="QU22" s="22">
        <f t="shared" si="151"/>
        <v>2.6</v>
      </c>
      <c r="QV22" s="22">
        <f t="shared" si="152"/>
        <v>0.4</v>
      </c>
      <c r="QW22" s="22">
        <f t="shared" si="153"/>
        <v>0</v>
      </c>
      <c r="QX22" s="27" t="s">
        <v>46</v>
      </c>
      <c r="QY22" s="40">
        <f t="shared" si="154"/>
        <v>5</v>
      </c>
      <c r="QZ22" s="40">
        <f t="shared" si="155"/>
        <v>31.349999999999998</v>
      </c>
      <c r="RA22" s="40" t="str">
        <f t="shared" si="156"/>
        <v/>
      </c>
      <c r="RB22" s="40">
        <f t="shared" si="157"/>
        <v>5</v>
      </c>
      <c r="RC22" s="40">
        <f t="shared" si="158"/>
        <v>31.349999999999998</v>
      </c>
      <c r="RD22" s="40">
        <f t="shared" si="159"/>
        <v>4.4000000000000004</v>
      </c>
      <c r="RE22" s="40">
        <f t="shared" si="160"/>
        <v>22.500000000000004</v>
      </c>
      <c r="RF22" s="40">
        <f t="shared" si="161"/>
        <v>53.85</v>
      </c>
    </row>
    <row r="23" spans="1:474" x14ac:dyDescent="0.2">
      <c r="A23" s="4" t="str" cm="1">
        <f t="array" ref="A23">IF(AND(J23&lt;&gt;"",J23&lt;&gt;"No DD"),SUMPRODUCT((J$4:J$33&lt;&gt;"")*(J$4:J$33&lt;&gt;"No DD")*(F$4:F$33&gt;F23))+1,IF(J23="No DD",SUMPRODUCT((J$4:J$33="No DD")*(F$4:F$33&gt;F23))+1+SUMPRODUCT((J$4:J$33&lt;&gt;"")*(J$4:J$33&lt;&gt;"No DD")),""))</f>
        <v/>
      </c>
      <c r="B23" s="4" t="str" cm="1">
        <f t="array" ref="B23">IF(AND(J23&lt;&gt;"",J23&lt;&gt;"No DD",G23=""),SUMPRODUCT((J$4:J$33&lt;&gt;"")*(J$4:J$33&lt;&gt;"No DD")*(G$4:G$33="")*(F$4:F$33&gt;F23))+1,IF(J23="No DD",SUMPRODUCT((J$4:J$33="No DD")*(F$4:F$33&gt;F23)*(G$4:G$33=""))+1+SUMPRODUCT((J$4:J$33&lt;&gt;"")*(G$4:G$33="")*(J$4:J$33&lt;&gt;"No DD")),""))</f>
        <v/>
      </c>
      <c r="C23" s="5" t="s">
        <v>102</v>
      </c>
      <c r="D23" s="4" t="s">
        <v>4</v>
      </c>
      <c r="E23" s="4">
        <v>2005</v>
      </c>
      <c r="F23" s="9">
        <f t="shared" si="0"/>
        <v>94.200007710004371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43.800000000000004</v>
      </c>
      <c r="M23" s="8" t="str">
        <f t="shared" si="5"/>
        <v>2025 Nationals</v>
      </c>
      <c r="N23" s="8">
        <f>IF(COUNT(AQ23,BT23,CW23)&gt;1,LARGE((AQ23,BT23,CW23),2),0)</f>
        <v>33.299999999999997</v>
      </c>
      <c r="O23" s="8" t="str">
        <f t="shared" si="6"/>
        <v>2025 Elite Canada</v>
      </c>
      <c r="P23" s="8">
        <f t="shared" si="7"/>
        <v>17.100000000000001</v>
      </c>
      <c r="Q23" s="8" t="str">
        <f t="shared" si="8"/>
        <v>2025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>
        <v>15.2</v>
      </c>
      <c r="AY23" s="18">
        <v>2</v>
      </c>
      <c r="AZ23" s="18">
        <v>0</v>
      </c>
      <c r="BA23" s="18">
        <v>0</v>
      </c>
      <c r="BB23" s="18">
        <v>15.2</v>
      </c>
      <c r="BC23" s="18">
        <v>0.9</v>
      </c>
      <c r="BD23" s="18">
        <v>0</v>
      </c>
      <c r="BE23" s="18">
        <v>0</v>
      </c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 t="shared" si="20"/>
        <v>2.9</v>
      </c>
      <c r="BT23" s="11">
        <f t="shared" si="21"/>
        <v>33.299999999999997</v>
      </c>
      <c r="BU23" s="11" t="str">
        <f t="shared" si="22"/>
        <v/>
      </c>
      <c r="BV23" s="11">
        <f t="shared" si="23"/>
        <v>2.9</v>
      </c>
      <c r="BW23" s="11">
        <f t="shared" si="24"/>
        <v>33.299999999999997</v>
      </c>
      <c r="BX23" s="11" t="str">
        <f t="shared" si="25"/>
        <v/>
      </c>
      <c r="BY23" s="11" t="str">
        <f t="shared" si="26"/>
        <v/>
      </c>
      <c r="BZ23" s="11">
        <f t="shared" si="27"/>
        <v>33.299999999999997</v>
      </c>
      <c r="CA23" s="19">
        <v>18.2</v>
      </c>
      <c r="CB23" s="19">
        <v>4.4000000000000004</v>
      </c>
      <c r="CC23" s="19">
        <v>0.2</v>
      </c>
      <c r="CD23" s="19">
        <v>0</v>
      </c>
      <c r="CE23" s="19">
        <v>18.3</v>
      </c>
      <c r="CF23" s="19">
        <v>3.7</v>
      </c>
      <c r="CG23" s="19">
        <v>0.6</v>
      </c>
      <c r="CH23" s="19">
        <v>0</v>
      </c>
      <c r="CI23" s="19"/>
      <c r="CJ23" s="19"/>
      <c r="CK23" s="19"/>
      <c r="CL23" s="19"/>
      <c r="CM23" s="19">
        <v>0</v>
      </c>
      <c r="CN23" s="19">
        <v>0</v>
      </c>
      <c r="CO23" s="19">
        <v>0</v>
      </c>
      <c r="CP23" s="19">
        <v>0</v>
      </c>
      <c r="CQ23" s="19">
        <v>15.1</v>
      </c>
      <c r="CR23" s="19">
        <v>2</v>
      </c>
      <c r="CS23" s="19">
        <v>0</v>
      </c>
      <c r="CT23" s="19">
        <v>0</v>
      </c>
      <c r="CU23" s="27"/>
      <c r="CV23" s="40">
        <f t="shared" si="28"/>
        <v>8.1000000000000014</v>
      </c>
      <c r="CW23" s="40">
        <f t="shared" si="29"/>
        <v>43.800000000000004</v>
      </c>
      <c r="CX23" s="40" t="str">
        <f t="shared" si="30"/>
        <v/>
      </c>
      <c r="CY23" s="40">
        <f t="shared" si="31"/>
        <v>8.1000000000000014</v>
      </c>
      <c r="CZ23" s="40">
        <f t="shared" si="32"/>
        <v>43.800000000000004</v>
      </c>
      <c r="DA23" s="40">
        <f t="shared" si="33"/>
        <v>2</v>
      </c>
      <c r="DB23" s="40">
        <f t="shared" si="34"/>
        <v>17.100000000000001</v>
      </c>
      <c r="DC23" s="40">
        <f t="shared" si="35"/>
        <v>60.900000000000006</v>
      </c>
      <c r="DD23" s="50" t="str">
        <f t="shared" si="36"/>
        <v/>
      </c>
      <c r="DE23" s="50" t="str">
        <f t="shared" si="37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22">
        <f t="shared" si="134"/>
        <v>16.7</v>
      </c>
      <c r="QE23" s="22">
        <f t="shared" si="135"/>
        <v>3.2</v>
      </c>
      <c r="QF23" s="22">
        <f t="shared" si="136"/>
        <v>0.1</v>
      </c>
      <c r="QG23" s="22">
        <f t="shared" si="137"/>
        <v>0</v>
      </c>
      <c r="QH23" s="22">
        <f t="shared" si="138"/>
        <v>16.75</v>
      </c>
      <c r="QI23" s="22">
        <f t="shared" si="139"/>
        <v>2.3000000000000003</v>
      </c>
      <c r="QJ23" s="22">
        <f t="shared" si="140"/>
        <v>0.3</v>
      </c>
      <c r="QK23" s="22">
        <f t="shared" si="141"/>
        <v>0</v>
      </c>
      <c r="QL23" s="22">
        <f t="shared" si="142"/>
        <v>0</v>
      </c>
      <c r="QM23" s="22">
        <f t="shared" si="143"/>
        <v>0</v>
      </c>
      <c r="QN23" s="22">
        <f t="shared" si="144"/>
        <v>0</v>
      </c>
      <c r="QO23" s="22">
        <f t="shared" si="145"/>
        <v>0</v>
      </c>
      <c r="QP23" s="22">
        <f t="shared" si="146"/>
        <v>0</v>
      </c>
      <c r="QQ23" s="22">
        <f t="shared" si="147"/>
        <v>0</v>
      </c>
      <c r="QR23" s="22">
        <f t="shared" si="148"/>
        <v>0</v>
      </c>
      <c r="QS23" s="22">
        <f t="shared" si="149"/>
        <v>0</v>
      </c>
      <c r="QT23" s="22">
        <f t="shared" si="150"/>
        <v>7.55</v>
      </c>
      <c r="QU23" s="22">
        <f t="shared" si="151"/>
        <v>1</v>
      </c>
      <c r="QV23" s="22">
        <f t="shared" si="152"/>
        <v>0</v>
      </c>
      <c r="QW23" s="22">
        <f t="shared" si="153"/>
        <v>0</v>
      </c>
      <c r="QX23" s="27" t="s">
        <v>46</v>
      </c>
      <c r="QY23" s="40">
        <f t="shared" si="154"/>
        <v>5.5</v>
      </c>
      <c r="QZ23" s="40">
        <f t="shared" si="155"/>
        <v>38.549999999999997</v>
      </c>
      <c r="RA23" s="40" t="str">
        <f t="shared" si="156"/>
        <v/>
      </c>
      <c r="RB23" s="40">
        <f t="shared" si="157"/>
        <v>5.5</v>
      </c>
      <c r="RC23" s="40">
        <f t="shared" si="158"/>
        <v>38.549999999999997</v>
      </c>
      <c r="RD23" s="40">
        <f t="shared" si="159"/>
        <v>1</v>
      </c>
      <c r="RE23" s="40">
        <f t="shared" si="160"/>
        <v>8.5500000000000007</v>
      </c>
      <c r="RF23" s="40">
        <f t="shared" si="161"/>
        <v>47.099999999999994</v>
      </c>
    </row>
    <row r="24" spans="1:474" x14ac:dyDescent="0.2">
      <c r="A24" s="4" t="str" cm="1">
        <f t="array" ref="A24">IF(AND(J24&lt;&gt;"",J24&lt;&gt;"No DD"),SUMPRODUCT((J$4:J$33&lt;&gt;"")*(J$4:J$33&lt;&gt;"No DD")*(F$4:F$33&gt;F24))+1,IF(J24="No DD",SUMPRODUCT((J$4:J$33="No DD")*(F$4:F$33&gt;F24))+1+SUMPRODUCT((J$4:J$33&lt;&gt;"")*(J$4:J$33&lt;&gt;"No DD")),""))</f>
        <v/>
      </c>
      <c r="B24" s="4" t="str" cm="1">
        <f t="array" ref="B24">IF(AND(J24&lt;&gt;"",J24&lt;&gt;"No DD",G24=""),SUMPRODUCT((J$4:J$33&lt;&gt;"")*(J$4:J$33&lt;&gt;"No DD")*(G$4:G$33="")*(F$4:F$33&gt;F24))+1,IF(J24="No DD",SUMPRODUCT((J$4:J$33="No DD")*(F$4:F$33&gt;F24)*(G$4:G$33=""))+1+SUMPRODUCT((J$4:J$33&lt;&gt;"")*(G$4:G$33="")*(J$4:J$33&lt;&gt;"No DD")),""))</f>
        <v/>
      </c>
      <c r="C24" s="5" t="s">
        <v>194</v>
      </c>
      <c r="D24" s="4" t="s">
        <v>4</v>
      </c>
      <c r="E24" s="4">
        <v>2008</v>
      </c>
      <c r="F24" s="9">
        <f t="shared" si="0"/>
        <v>91.20000453000452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45.3</v>
      </c>
      <c r="M24" s="8" t="str">
        <f t="shared" si="5"/>
        <v>2025 Nationals</v>
      </c>
      <c r="N24" s="8">
        <f>IF(COUNT(AQ24,BT24,CW24)&gt;1,LARGE((AQ24,BT24,CW24),2),0)</f>
        <v>0</v>
      </c>
      <c r="O24" s="8" t="str">
        <f t="shared" si="6"/>
        <v/>
      </c>
      <c r="P24" s="8">
        <f t="shared" si="7"/>
        <v>45.9</v>
      </c>
      <c r="Q24" s="8" t="str">
        <f t="shared" si="8"/>
        <v>2025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18.3</v>
      </c>
      <c r="CB24" s="19">
        <v>5.2</v>
      </c>
      <c r="CC24" s="19">
        <v>0</v>
      </c>
      <c r="CD24" s="19">
        <v>0</v>
      </c>
      <c r="CE24" s="19">
        <v>18.8</v>
      </c>
      <c r="CF24" s="19">
        <v>3.6</v>
      </c>
      <c r="CG24" s="19">
        <v>0.6</v>
      </c>
      <c r="CH24" s="19">
        <v>0</v>
      </c>
      <c r="CI24" s="19"/>
      <c r="CJ24" s="19"/>
      <c r="CK24" s="19"/>
      <c r="CL24" s="19"/>
      <c r="CM24" s="19">
        <v>18.399999999999999</v>
      </c>
      <c r="CN24" s="19">
        <v>5.2</v>
      </c>
      <c r="CO24" s="19">
        <v>0</v>
      </c>
      <c r="CP24" s="19">
        <v>0</v>
      </c>
      <c r="CQ24" s="19">
        <v>18.899999999999999</v>
      </c>
      <c r="CR24" s="19">
        <v>4</v>
      </c>
      <c r="CS24" s="19">
        <v>0.6</v>
      </c>
      <c r="CT24" s="19">
        <v>0</v>
      </c>
      <c r="CU24" s="27"/>
      <c r="CV24" s="40">
        <f t="shared" si="28"/>
        <v>8.8000000000000007</v>
      </c>
      <c r="CW24" s="40">
        <f t="shared" si="29"/>
        <v>45.3</v>
      </c>
      <c r="CX24" s="40" t="str">
        <f t="shared" si="30"/>
        <v/>
      </c>
      <c r="CY24" s="40">
        <f t="shared" si="31"/>
        <v>8.8000000000000007</v>
      </c>
      <c r="CZ24" s="40">
        <f t="shared" si="32"/>
        <v>45.3</v>
      </c>
      <c r="DA24" s="40">
        <f t="shared" si="33"/>
        <v>9.1999999999999993</v>
      </c>
      <c r="DB24" s="40">
        <f t="shared" si="34"/>
        <v>45.9</v>
      </c>
      <c r="DC24" s="40">
        <f t="shared" si="35"/>
        <v>91.199999999999989</v>
      </c>
      <c r="DD24" s="50" t="str">
        <f t="shared" si="36"/>
        <v/>
      </c>
      <c r="DE24" s="50" t="str">
        <f t="shared" si="37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22">
        <f t="shared" si="134"/>
        <v>9.15</v>
      </c>
      <c r="QE24" s="22">
        <f t="shared" si="135"/>
        <v>2.6</v>
      </c>
      <c r="QF24" s="22">
        <f t="shared" si="136"/>
        <v>0</v>
      </c>
      <c r="QG24" s="22">
        <f t="shared" si="137"/>
        <v>0</v>
      </c>
      <c r="QH24" s="22">
        <f t="shared" si="138"/>
        <v>9.4</v>
      </c>
      <c r="QI24" s="22">
        <f t="shared" si="139"/>
        <v>1.8</v>
      </c>
      <c r="QJ24" s="22">
        <f t="shared" si="140"/>
        <v>0.3</v>
      </c>
      <c r="QK24" s="22">
        <f t="shared" si="141"/>
        <v>0</v>
      </c>
      <c r="QL24" s="22">
        <f t="shared" si="142"/>
        <v>0</v>
      </c>
      <c r="QM24" s="22">
        <f t="shared" si="143"/>
        <v>0</v>
      </c>
      <c r="QN24" s="22">
        <f t="shared" si="144"/>
        <v>0</v>
      </c>
      <c r="QO24" s="22">
        <f t="shared" si="145"/>
        <v>0</v>
      </c>
      <c r="QP24" s="22">
        <f t="shared" si="146"/>
        <v>9.1999999999999993</v>
      </c>
      <c r="QQ24" s="22">
        <f t="shared" si="147"/>
        <v>2.6</v>
      </c>
      <c r="QR24" s="22">
        <f t="shared" si="148"/>
        <v>0</v>
      </c>
      <c r="QS24" s="22">
        <f t="shared" si="149"/>
        <v>0</v>
      </c>
      <c r="QT24" s="22">
        <f t="shared" si="150"/>
        <v>9.4499999999999993</v>
      </c>
      <c r="QU24" s="22">
        <f t="shared" si="151"/>
        <v>2</v>
      </c>
      <c r="QV24" s="22">
        <f t="shared" si="152"/>
        <v>0.3</v>
      </c>
      <c r="QW24" s="22">
        <f t="shared" si="153"/>
        <v>0</v>
      </c>
      <c r="QX24" s="27" t="s">
        <v>46</v>
      </c>
      <c r="QY24" s="40">
        <f t="shared" si="154"/>
        <v>4.4000000000000004</v>
      </c>
      <c r="QZ24" s="40">
        <f t="shared" si="155"/>
        <v>22.65</v>
      </c>
      <c r="RA24" s="40" t="str">
        <f t="shared" si="156"/>
        <v/>
      </c>
      <c r="RB24" s="40">
        <f t="shared" si="157"/>
        <v>4.4000000000000004</v>
      </c>
      <c r="RC24" s="40">
        <f t="shared" si="158"/>
        <v>22.65</v>
      </c>
      <c r="RD24" s="40">
        <f t="shared" si="159"/>
        <v>4.5999999999999996</v>
      </c>
      <c r="RE24" s="40">
        <f t="shared" si="160"/>
        <v>22.95</v>
      </c>
      <c r="RF24" s="40">
        <f t="shared" si="161"/>
        <v>45.599999999999994</v>
      </c>
    </row>
    <row r="25" spans="1:474" x14ac:dyDescent="0.2">
      <c r="A25" s="4" t="str" cm="1">
        <f t="array" ref="A25">IF(AND(J25&lt;&gt;"",J25&lt;&gt;"No DD"),SUMPRODUCT((J$4:J$33&lt;&gt;"")*(J$4:J$33&lt;&gt;"No DD")*(F$4:F$33&gt;F25))+1,IF(J25="No DD",SUMPRODUCT((J$4:J$33="No DD")*(F$4:F$33&gt;F25))+1+SUMPRODUCT((J$4:J$33&lt;&gt;"")*(J$4:J$33&lt;&gt;"No DD")),""))</f>
        <v/>
      </c>
      <c r="B25" s="4" t="str" cm="1">
        <f t="array" ref="B25">IF(AND(J25&lt;&gt;"",J25&lt;&gt;"No DD",G25=""),SUMPRODUCT((J$4:J$33&lt;&gt;"")*(J$4:J$33&lt;&gt;"No DD")*(G$4:G$33="")*(F$4:F$33&gt;F25))+1,IF(J25="No DD",SUMPRODUCT((J$4:J$33="No DD")*(F$4:F$33&gt;F25)*(G$4:G$33=""))+1+SUMPRODUCT((J$4:J$33&lt;&gt;"")*(G$4:G$33="")*(J$4:J$33&lt;&gt;"No DD")),""))</f>
        <v/>
      </c>
      <c r="C25" s="5" t="s">
        <v>195</v>
      </c>
      <c r="D25" s="4" t="s">
        <v>5</v>
      </c>
      <c r="E25" s="4">
        <v>2007</v>
      </c>
      <c r="F25" s="9">
        <f t="shared" si="0"/>
        <v>84.900004450004459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44.5</v>
      </c>
      <c r="M25" s="8" t="str">
        <f t="shared" si="5"/>
        <v>2025 Nationals</v>
      </c>
      <c r="N25" s="8">
        <f>IF(COUNT(AQ25,BT25,CW25)&gt;1,LARGE((AQ25,BT25,CW25),2),0)</f>
        <v>0</v>
      </c>
      <c r="O25" s="8" t="str">
        <f t="shared" si="6"/>
        <v/>
      </c>
      <c r="P25" s="8">
        <f t="shared" si="7"/>
        <v>40.4</v>
      </c>
      <c r="Q25" s="8" t="str">
        <f t="shared" si="8"/>
        <v>2025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>
        <v>17.899999999999999</v>
      </c>
      <c r="CB25" s="19">
        <v>4.4000000000000004</v>
      </c>
      <c r="CC25" s="19">
        <v>0.8</v>
      </c>
      <c r="CD25" s="19">
        <v>0</v>
      </c>
      <c r="CE25" s="19">
        <v>19.5</v>
      </c>
      <c r="CF25" s="19">
        <v>3.5</v>
      </c>
      <c r="CG25" s="19">
        <v>0</v>
      </c>
      <c r="CH25" s="19">
        <v>0</v>
      </c>
      <c r="CI25" s="19"/>
      <c r="CJ25" s="19"/>
      <c r="CK25" s="19"/>
      <c r="CL25" s="19"/>
      <c r="CM25" s="19">
        <v>15.2</v>
      </c>
      <c r="CN25" s="19">
        <v>2.4</v>
      </c>
      <c r="CO25" s="19">
        <v>0</v>
      </c>
      <c r="CP25" s="19">
        <v>0</v>
      </c>
      <c r="CQ25" s="19">
        <v>19.3</v>
      </c>
      <c r="CR25" s="19">
        <v>3.5</v>
      </c>
      <c r="CS25" s="19">
        <v>0</v>
      </c>
      <c r="CT25" s="19">
        <v>0</v>
      </c>
      <c r="CU25" s="27"/>
      <c r="CV25" s="40">
        <f t="shared" si="28"/>
        <v>7.9</v>
      </c>
      <c r="CW25" s="40">
        <f t="shared" si="29"/>
        <v>44.5</v>
      </c>
      <c r="CX25" s="40" t="str">
        <f t="shared" si="30"/>
        <v/>
      </c>
      <c r="CY25" s="40">
        <f t="shared" si="31"/>
        <v>7.9</v>
      </c>
      <c r="CZ25" s="40">
        <f t="shared" si="32"/>
        <v>44.5</v>
      </c>
      <c r="DA25" s="40">
        <f t="shared" si="33"/>
        <v>5.9</v>
      </c>
      <c r="DB25" s="40">
        <f t="shared" si="34"/>
        <v>40.4</v>
      </c>
      <c r="DC25" s="40">
        <f t="shared" si="35"/>
        <v>84.9</v>
      </c>
      <c r="DD25" s="50" t="str">
        <f t="shared" si="36"/>
        <v/>
      </c>
      <c r="DE25" s="50" t="str">
        <f t="shared" si="37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22">
        <f t="shared" si="134"/>
        <v>8.9499999999999993</v>
      </c>
      <c r="QE25" s="22">
        <f t="shared" si="135"/>
        <v>2.2000000000000002</v>
      </c>
      <c r="QF25" s="22">
        <f t="shared" si="136"/>
        <v>0.4</v>
      </c>
      <c r="QG25" s="22">
        <f t="shared" si="137"/>
        <v>0</v>
      </c>
      <c r="QH25" s="22">
        <f t="shared" si="138"/>
        <v>9.75</v>
      </c>
      <c r="QI25" s="22">
        <f t="shared" si="139"/>
        <v>1.75</v>
      </c>
      <c r="QJ25" s="22">
        <f t="shared" si="140"/>
        <v>0</v>
      </c>
      <c r="QK25" s="22">
        <f t="shared" si="141"/>
        <v>0</v>
      </c>
      <c r="QL25" s="22">
        <f t="shared" si="142"/>
        <v>0</v>
      </c>
      <c r="QM25" s="22">
        <f t="shared" si="143"/>
        <v>0</v>
      </c>
      <c r="QN25" s="22">
        <f t="shared" si="144"/>
        <v>0</v>
      </c>
      <c r="QO25" s="22">
        <f t="shared" si="145"/>
        <v>0</v>
      </c>
      <c r="QP25" s="22">
        <f t="shared" si="146"/>
        <v>7.6</v>
      </c>
      <c r="QQ25" s="22">
        <f t="shared" si="147"/>
        <v>1.2</v>
      </c>
      <c r="QR25" s="22">
        <f t="shared" si="148"/>
        <v>0</v>
      </c>
      <c r="QS25" s="22">
        <f t="shared" si="149"/>
        <v>0</v>
      </c>
      <c r="QT25" s="22">
        <f t="shared" si="150"/>
        <v>9.65</v>
      </c>
      <c r="QU25" s="22">
        <f t="shared" si="151"/>
        <v>1.75</v>
      </c>
      <c r="QV25" s="22">
        <f t="shared" si="152"/>
        <v>0</v>
      </c>
      <c r="QW25" s="22">
        <f t="shared" si="153"/>
        <v>0</v>
      </c>
      <c r="QX25" s="27" t="s">
        <v>46</v>
      </c>
      <c r="QY25" s="40">
        <f t="shared" si="154"/>
        <v>3.95</v>
      </c>
      <c r="QZ25" s="40">
        <f t="shared" si="155"/>
        <v>22.25</v>
      </c>
      <c r="RA25" s="40" t="str">
        <f t="shared" si="156"/>
        <v/>
      </c>
      <c r="RB25" s="40">
        <f t="shared" si="157"/>
        <v>3.95</v>
      </c>
      <c r="RC25" s="40">
        <f t="shared" si="158"/>
        <v>22.25</v>
      </c>
      <c r="RD25" s="40">
        <f t="shared" si="159"/>
        <v>2.95</v>
      </c>
      <c r="RE25" s="40">
        <f t="shared" si="160"/>
        <v>20.2</v>
      </c>
      <c r="RF25" s="40">
        <f t="shared" si="161"/>
        <v>42.45</v>
      </c>
    </row>
    <row r="26" spans="1:474" x14ac:dyDescent="0.2">
      <c r="A26" s="4" t="str" cm="1">
        <f t="array" ref="A26">IF(AND(J26&lt;&gt;"",J26&lt;&gt;"No DD"),SUMPRODUCT((J$4:J$33&lt;&gt;"")*(J$4:J$33&lt;&gt;"No DD")*(F$4:F$33&gt;F26))+1,IF(J26="No DD",SUMPRODUCT((J$4:J$33="No DD")*(F$4:F$33&gt;F26))+1+SUMPRODUCT((J$4:J$33&lt;&gt;"")*(J$4:J$33&lt;&gt;"No DD")),""))</f>
        <v/>
      </c>
      <c r="B26" s="4" t="str" cm="1">
        <f t="array" ref="B26">IF(AND(J26&lt;&gt;"",J26&lt;&gt;"No DD",G26=""),SUMPRODUCT((J$4:J$33&lt;&gt;"")*(J$4:J$33&lt;&gt;"No DD")*(G$4:G$33="")*(F$4:F$33&gt;F26))+1,IF(J26="No DD",SUMPRODUCT((J$4:J$33="No DD")*(F$4:F$33&gt;F26)*(G$4:G$33=""))+1+SUMPRODUCT((J$4:J$33&lt;&gt;"")*(G$4:G$33="")*(J$4:J$33&lt;&gt;"No DD")),""))</f>
        <v/>
      </c>
      <c r="C26" s="5" t="s">
        <v>107</v>
      </c>
      <c r="D26" s="4" t="s">
        <v>31</v>
      </c>
      <c r="E26" s="4">
        <v>2006</v>
      </c>
      <c r="F26" s="9">
        <f t="shared" si="0"/>
        <v>76.700007670004354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43.599999999999994</v>
      </c>
      <c r="M26" s="8" t="str">
        <f t="shared" si="5"/>
        <v>2025 Nationals</v>
      </c>
      <c r="N26" s="8">
        <f>IF(COUNT(AQ26,BT26,CW26)&gt;1,LARGE((AQ26,BT26,CW26),2),0)</f>
        <v>33.1</v>
      </c>
      <c r="O26" s="8" t="str">
        <f t="shared" si="6"/>
        <v>2025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>
        <v>15.6</v>
      </c>
      <c r="AY26" s="18">
        <v>1.2</v>
      </c>
      <c r="AZ26" s="18">
        <v>0</v>
      </c>
      <c r="BA26" s="18">
        <v>0</v>
      </c>
      <c r="BB26" s="18">
        <v>15.4</v>
      </c>
      <c r="BC26" s="18">
        <v>0.9</v>
      </c>
      <c r="BD26" s="18">
        <v>0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0"/>
        <v>2.1</v>
      </c>
      <c r="BT26" s="11">
        <f t="shared" si="21"/>
        <v>33.1</v>
      </c>
      <c r="BU26" s="11" t="str">
        <f t="shared" si="22"/>
        <v/>
      </c>
      <c r="BV26" s="11">
        <f t="shared" si="23"/>
        <v>2.1</v>
      </c>
      <c r="BW26" s="11">
        <f t="shared" si="24"/>
        <v>33.1</v>
      </c>
      <c r="BX26" s="11" t="str">
        <f t="shared" si="25"/>
        <v/>
      </c>
      <c r="BY26" s="11" t="str">
        <f t="shared" si="26"/>
        <v/>
      </c>
      <c r="BZ26" s="11">
        <f t="shared" si="27"/>
        <v>33.1</v>
      </c>
      <c r="CA26" s="19">
        <v>18.600000000000001</v>
      </c>
      <c r="CB26" s="19">
        <v>3.6</v>
      </c>
      <c r="CC26" s="19">
        <v>0.2</v>
      </c>
      <c r="CD26" s="19">
        <v>0</v>
      </c>
      <c r="CE26" s="19">
        <v>18.3</v>
      </c>
      <c r="CF26" s="19">
        <v>3.9</v>
      </c>
      <c r="CG26" s="19">
        <v>0.6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28"/>
        <v>7.5</v>
      </c>
      <c r="CW26" s="40">
        <f t="shared" si="29"/>
        <v>43.599999999999994</v>
      </c>
      <c r="CX26" s="40" t="str">
        <f t="shared" si="30"/>
        <v/>
      </c>
      <c r="CY26" s="40">
        <f t="shared" si="31"/>
        <v>7.5</v>
      </c>
      <c r="CZ26" s="40">
        <f t="shared" si="32"/>
        <v>43.599999999999994</v>
      </c>
      <c r="DA26" s="40" t="str">
        <f t="shared" si="33"/>
        <v/>
      </c>
      <c r="DB26" s="40" t="str">
        <f t="shared" si="34"/>
        <v/>
      </c>
      <c r="DC26" s="40">
        <f t="shared" si="35"/>
        <v>43.599999999999994</v>
      </c>
      <c r="DD26" s="50" t="str">
        <f t="shared" si="36"/>
        <v/>
      </c>
      <c r="DE26" s="50" t="str">
        <f t="shared" si="37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22">
        <f t="shared" si="134"/>
        <v>17.100000000000001</v>
      </c>
      <c r="QE26" s="22">
        <f t="shared" si="135"/>
        <v>2.4</v>
      </c>
      <c r="QF26" s="22">
        <f t="shared" si="136"/>
        <v>0.1</v>
      </c>
      <c r="QG26" s="22">
        <f t="shared" si="137"/>
        <v>0</v>
      </c>
      <c r="QH26" s="22">
        <f t="shared" si="138"/>
        <v>16.850000000000001</v>
      </c>
      <c r="QI26" s="22">
        <f t="shared" si="139"/>
        <v>2.4</v>
      </c>
      <c r="QJ26" s="22">
        <f t="shared" si="140"/>
        <v>0.3</v>
      </c>
      <c r="QK26" s="22">
        <f t="shared" si="141"/>
        <v>0</v>
      </c>
      <c r="QL26" s="22">
        <f t="shared" si="142"/>
        <v>0</v>
      </c>
      <c r="QM26" s="22">
        <f t="shared" si="143"/>
        <v>0</v>
      </c>
      <c r="QN26" s="22">
        <f t="shared" si="144"/>
        <v>0</v>
      </c>
      <c r="QO26" s="22">
        <f t="shared" si="145"/>
        <v>0</v>
      </c>
      <c r="QP26" s="22">
        <f t="shared" si="146"/>
        <v>0</v>
      </c>
      <c r="QQ26" s="22">
        <f t="shared" si="147"/>
        <v>0</v>
      </c>
      <c r="QR26" s="22">
        <f t="shared" si="148"/>
        <v>0</v>
      </c>
      <c r="QS26" s="22">
        <f t="shared" si="149"/>
        <v>0</v>
      </c>
      <c r="QT26" s="22">
        <f t="shared" si="150"/>
        <v>0</v>
      </c>
      <c r="QU26" s="22">
        <f t="shared" si="151"/>
        <v>0</v>
      </c>
      <c r="QV26" s="22">
        <f t="shared" si="152"/>
        <v>0</v>
      </c>
      <c r="QW26" s="22">
        <f t="shared" si="153"/>
        <v>0</v>
      </c>
      <c r="QX26" s="27" t="s">
        <v>46</v>
      </c>
      <c r="QY26" s="40">
        <f t="shared" si="154"/>
        <v>4.8</v>
      </c>
      <c r="QZ26" s="40">
        <f t="shared" si="155"/>
        <v>38.35</v>
      </c>
      <c r="RA26" s="40" t="str">
        <f t="shared" si="156"/>
        <v/>
      </c>
      <c r="RB26" s="40">
        <f t="shared" si="157"/>
        <v>4.8</v>
      </c>
      <c r="RC26" s="40">
        <f t="shared" si="158"/>
        <v>38.35</v>
      </c>
      <c r="RD26" s="40" t="str">
        <f t="shared" si="159"/>
        <v/>
      </c>
      <c r="RE26" s="40" t="str">
        <f t="shared" si="160"/>
        <v/>
      </c>
      <c r="RF26" s="40">
        <f t="shared" si="161"/>
        <v>38.35</v>
      </c>
    </row>
    <row r="27" spans="1:474" x14ac:dyDescent="0.2">
      <c r="A27" s="4" t="str" cm="1">
        <f t="array" ref="A27">IF(AND(J27&lt;&gt;"",J27&lt;&gt;"No DD"),SUMPRODUCT((J$4:J$33&lt;&gt;"")*(J$4:J$33&lt;&gt;"No DD")*(F$4:F$33&gt;F27))+1,IF(J27="No DD",SUMPRODUCT((J$4:J$33="No DD")*(F$4:F$33&gt;F27))+1+SUMPRODUCT((J$4:J$33&lt;&gt;"")*(J$4:J$33&lt;&gt;"No DD")),""))</f>
        <v/>
      </c>
      <c r="B27" s="4" t="str" cm="1">
        <f t="array" ref="B27">IF(AND(J27&lt;&gt;"",J27&lt;&gt;"No DD",G27=""),SUMPRODUCT((J$4:J$33&lt;&gt;"")*(J$4:J$33&lt;&gt;"No DD")*(G$4:G$33="")*(F$4:F$33&gt;F27))+1,IF(J27="No DD",SUMPRODUCT((J$4:J$33="No DD")*(F$4:F$33&gt;F27)*(G$4:G$33=""))+1+SUMPRODUCT((J$4:J$33&lt;&gt;"")*(G$4:G$33="")*(J$4:J$33&lt;&gt;"No DD")),""))</f>
        <v/>
      </c>
      <c r="C27" s="5" t="s">
        <v>155</v>
      </c>
      <c r="D27" s="4" t="s">
        <v>31</v>
      </c>
      <c r="E27" s="4">
        <v>2005</v>
      </c>
      <c r="F27" s="9">
        <f t="shared" si="0"/>
        <v>66.900006690003423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34.1</v>
      </c>
      <c r="M27" s="8" t="str">
        <f t="shared" si="5"/>
        <v>2025 Nationals</v>
      </c>
      <c r="N27" s="8">
        <f>IF(COUNT(AQ27,BT27,CW27)&gt;1,LARGE((AQ27,BT27,CW27),2),0)</f>
        <v>32.800000000000004</v>
      </c>
      <c r="O27" s="8" t="str">
        <f t="shared" si="6"/>
        <v>2025 Elite Canada</v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15.6</v>
      </c>
      <c r="AY27" s="18">
        <v>1.2</v>
      </c>
      <c r="AZ27" s="18">
        <v>0</v>
      </c>
      <c r="BA27" s="18">
        <v>0</v>
      </c>
      <c r="BB27" s="18">
        <v>15.3</v>
      </c>
      <c r="BC27" s="18">
        <v>0.7</v>
      </c>
      <c r="BD27" s="18">
        <v>0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 t="shared" si="20"/>
        <v>1.9</v>
      </c>
      <c r="BT27" s="11">
        <f t="shared" si="21"/>
        <v>32.800000000000004</v>
      </c>
      <c r="BU27" s="11" t="str">
        <f t="shared" si="22"/>
        <v/>
      </c>
      <c r="BV27" s="11">
        <f t="shared" si="23"/>
        <v>1.9</v>
      </c>
      <c r="BW27" s="11">
        <f t="shared" si="24"/>
        <v>32.800000000000004</v>
      </c>
      <c r="BX27" s="11" t="str">
        <f t="shared" si="25"/>
        <v/>
      </c>
      <c r="BY27" s="11" t="str">
        <f t="shared" si="26"/>
        <v/>
      </c>
      <c r="BZ27" s="11">
        <f t="shared" si="27"/>
        <v>32.800000000000004</v>
      </c>
      <c r="CA27" s="19">
        <v>15.5</v>
      </c>
      <c r="CB27" s="19">
        <v>1.2</v>
      </c>
      <c r="CC27" s="19">
        <v>0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8"/>
        <v>3.5999999999999996</v>
      </c>
      <c r="CW27" s="40">
        <f t="shared" si="29"/>
        <v>34.1</v>
      </c>
      <c r="CX27" s="40" t="str">
        <f t="shared" si="30"/>
        <v/>
      </c>
      <c r="CY27" s="40">
        <f t="shared" si="31"/>
        <v>3.5999999999999996</v>
      </c>
      <c r="CZ27" s="40">
        <f t="shared" si="32"/>
        <v>34.1</v>
      </c>
      <c r="DA27" s="40" t="str">
        <f t="shared" si="33"/>
        <v/>
      </c>
      <c r="DB27" s="40" t="str">
        <f t="shared" si="34"/>
        <v/>
      </c>
      <c r="DC27" s="40">
        <f t="shared" si="35"/>
        <v>34.1</v>
      </c>
      <c r="DD27" s="50" t="str">
        <f t="shared" si="36"/>
        <v/>
      </c>
      <c r="DE27" s="50" t="str">
        <f t="shared" si="37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22">
        <f t="shared" si="134"/>
        <v>15.55</v>
      </c>
      <c r="QE27" s="22">
        <f t="shared" si="135"/>
        <v>1.2</v>
      </c>
      <c r="QF27" s="22">
        <f t="shared" si="136"/>
        <v>0</v>
      </c>
      <c r="QG27" s="22">
        <f t="shared" si="137"/>
        <v>0</v>
      </c>
      <c r="QH27" s="22">
        <f t="shared" si="138"/>
        <v>15.15</v>
      </c>
      <c r="QI27" s="22">
        <f t="shared" si="139"/>
        <v>1.5499999999999998</v>
      </c>
      <c r="QJ27" s="22">
        <f t="shared" si="140"/>
        <v>0</v>
      </c>
      <c r="QK27" s="22">
        <f t="shared" si="141"/>
        <v>0</v>
      </c>
      <c r="QL27" s="22">
        <f t="shared" si="142"/>
        <v>0</v>
      </c>
      <c r="QM27" s="22">
        <f t="shared" si="143"/>
        <v>0</v>
      </c>
      <c r="QN27" s="22">
        <f t="shared" si="144"/>
        <v>0</v>
      </c>
      <c r="QO27" s="22">
        <f t="shared" si="145"/>
        <v>0</v>
      </c>
      <c r="QP27" s="22">
        <f t="shared" si="146"/>
        <v>0</v>
      </c>
      <c r="QQ27" s="22">
        <f t="shared" si="147"/>
        <v>0</v>
      </c>
      <c r="QR27" s="22">
        <f t="shared" si="148"/>
        <v>0</v>
      </c>
      <c r="QS27" s="22">
        <f t="shared" si="149"/>
        <v>0</v>
      </c>
      <c r="QT27" s="22">
        <f t="shared" si="150"/>
        <v>0</v>
      </c>
      <c r="QU27" s="22">
        <f t="shared" si="151"/>
        <v>0</v>
      </c>
      <c r="QV27" s="22">
        <f t="shared" si="152"/>
        <v>0</v>
      </c>
      <c r="QW27" s="22">
        <f t="shared" si="153"/>
        <v>0</v>
      </c>
      <c r="QX27" s="27" t="s">
        <v>46</v>
      </c>
      <c r="QY27" s="40">
        <f t="shared" si="154"/>
        <v>2.75</v>
      </c>
      <c r="QZ27" s="40">
        <f t="shared" si="155"/>
        <v>33.449999999999996</v>
      </c>
      <c r="RA27" s="40" t="str">
        <f t="shared" si="156"/>
        <v/>
      </c>
      <c r="RB27" s="40">
        <f t="shared" si="157"/>
        <v>2.75</v>
      </c>
      <c r="RC27" s="40">
        <f t="shared" si="158"/>
        <v>33.449999999999996</v>
      </c>
      <c r="RD27" s="40" t="str">
        <f t="shared" si="159"/>
        <v/>
      </c>
      <c r="RE27" s="40" t="str">
        <f t="shared" si="160"/>
        <v/>
      </c>
      <c r="RF27" s="40">
        <f t="shared" si="161"/>
        <v>33.449999999999996</v>
      </c>
    </row>
    <row r="28" spans="1:474" x14ac:dyDescent="0.2">
      <c r="A28" s="4" t="str" cm="1">
        <f t="array" ref="A28">IF(AND(J28&lt;&gt;"",J28&lt;&gt;"No DD"),SUMPRODUCT((J$4:J$33&lt;&gt;"")*(J$4:J$33&lt;&gt;"No DD")*(F$4:F$33&gt;F28))+1,IF(J28="No DD",SUMPRODUCT((J$4:J$33="No DD")*(F$4:F$33&gt;F28))+1+SUMPRODUCT((J$4:J$33&lt;&gt;"")*(J$4:J$33&lt;&gt;"No DD")),""))</f>
        <v/>
      </c>
      <c r="B28" s="4" t="str" cm="1">
        <f t="array" ref="B28">IF(AND(J28&lt;&gt;"",J28&lt;&gt;"No DD",G28=""),SUMPRODUCT((J$4:J$33&lt;&gt;"")*(J$4:J$33&lt;&gt;"No DD")*(G$4:G$33="")*(F$4:F$33&gt;F28))+1,IF(J28="No DD",SUMPRODUCT((J$4:J$33="No DD")*(F$4:F$33&gt;F28)*(G$4:G$33=""))+1+SUMPRODUCT((J$4:J$33&lt;&gt;"")*(G$4:G$33="")*(J$4:J$33&lt;&gt;"No DD")),""))</f>
        <v/>
      </c>
      <c r="C28" s="5" t="s">
        <v>157</v>
      </c>
      <c r="D28" s="4" t="s">
        <v>4</v>
      </c>
      <c r="E28" s="4">
        <v>2006</v>
      </c>
      <c r="F28" s="9">
        <f t="shared" si="0"/>
        <v>43.500004350004346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43.5</v>
      </c>
      <c r="M28" s="8" t="str">
        <f t="shared" si="5"/>
        <v>2025 Nationals</v>
      </c>
      <c r="N28" s="8">
        <f>IF(COUNT(AQ28,BT28,CW28)&gt;1,LARGE((AQ28,BT28,CW28),2),0)</f>
        <v>0</v>
      </c>
      <c r="O28" s="8" t="str">
        <f t="shared" si="6"/>
        <v/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18.5</v>
      </c>
      <c r="CB28" s="19">
        <v>4.4000000000000004</v>
      </c>
      <c r="CC28" s="19">
        <v>0.8</v>
      </c>
      <c r="CD28" s="19">
        <v>0</v>
      </c>
      <c r="CE28" s="19">
        <v>18</v>
      </c>
      <c r="CF28" s="19">
        <v>3.6</v>
      </c>
      <c r="CG28" s="19">
        <v>0.2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8"/>
        <v>8</v>
      </c>
      <c r="CW28" s="40">
        <f t="shared" si="29"/>
        <v>43.5</v>
      </c>
      <c r="CX28" s="40" t="str">
        <f t="shared" si="30"/>
        <v/>
      </c>
      <c r="CY28" s="40">
        <f t="shared" si="31"/>
        <v>8</v>
      </c>
      <c r="CZ28" s="40">
        <f t="shared" si="32"/>
        <v>43.5</v>
      </c>
      <c r="DA28" s="40" t="str">
        <f t="shared" si="33"/>
        <v/>
      </c>
      <c r="DB28" s="40" t="str">
        <f t="shared" si="34"/>
        <v/>
      </c>
      <c r="DC28" s="40">
        <f t="shared" si="35"/>
        <v>43.5</v>
      </c>
      <c r="DD28" s="50" t="str">
        <f t="shared" si="36"/>
        <v/>
      </c>
      <c r="DE28" s="50" t="str">
        <f t="shared" si="37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4"/>
        <v/>
      </c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22">
        <f t="shared" si="134"/>
        <v>9.25</v>
      </c>
      <c r="QE28" s="22">
        <f t="shared" si="135"/>
        <v>2.2000000000000002</v>
      </c>
      <c r="QF28" s="22">
        <f t="shared" si="136"/>
        <v>0.4</v>
      </c>
      <c r="QG28" s="22">
        <f t="shared" si="137"/>
        <v>0</v>
      </c>
      <c r="QH28" s="22">
        <f t="shared" si="138"/>
        <v>9</v>
      </c>
      <c r="QI28" s="22">
        <f t="shared" si="139"/>
        <v>1.8</v>
      </c>
      <c r="QJ28" s="22">
        <f t="shared" si="140"/>
        <v>0.1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7" t="s">
        <v>46</v>
      </c>
      <c r="QY28" s="40">
        <f t="shared" si="154"/>
        <v>4</v>
      </c>
      <c r="QZ28" s="40">
        <f t="shared" si="155"/>
        <v>21.75</v>
      </c>
      <c r="RA28" s="40" t="str">
        <f t="shared" si="156"/>
        <v/>
      </c>
      <c r="RB28" s="40">
        <f t="shared" si="157"/>
        <v>4</v>
      </c>
      <c r="RC28" s="40">
        <f t="shared" si="158"/>
        <v>21.75</v>
      </c>
      <c r="RD28" s="40" t="str">
        <f t="shared" si="159"/>
        <v/>
      </c>
      <c r="RE28" s="40" t="str">
        <f t="shared" si="160"/>
        <v/>
      </c>
      <c r="RF28" s="40">
        <f t="shared" si="161"/>
        <v>21.75</v>
      </c>
    </row>
    <row r="29" spans="1:474" x14ac:dyDescent="0.2">
      <c r="A29" s="4" t="str" cm="1">
        <f t="array" ref="A29">IF(AND(J29&lt;&gt;"",J29&lt;&gt;"No DD"),SUMPRODUCT((J$4:J$33&lt;&gt;"")*(J$4:J$33&lt;&gt;"No DD")*(F$4:F$33&gt;F29))+1,IF(J29="No DD",SUMPRODUCT((J$4:J$33="No DD")*(F$4:F$33&gt;F29))+1+SUMPRODUCT((J$4:J$33&lt;&gt;"")*(J$4:J$33&lt;&gt;"No DD")),""))</f>
        <v/>
      </c>
      <c r="B29" s="4" t="str" cm="1">
        <f t="array" ref="B29">IF(AND(J29&lt;&gt;"",J29&lt;&gt;"No DD",G29=""),SUMPRODUCT((J$4:J$33&lt;&gt;"")*(J$4:J$33&lt;&gt;"No DD")*(G$4:G$33="")*(F$4:F$33&gt;F29))+1,IF(J29="No DD",SUMPRODUCT((J$4:J$33="No DD")*(F$4:F$33&gt;F29)*(G$4:G$33=""))+1+SUMPRODUCT((J$4:J$33&lt;&gt;"")*(G$4:G$33="")*(J$4:J$33&lt;&gt;"No DD")),""))</f>
        <v/>
      </c>
      <c r="C29" s="5" t="s">
        <v>156</v>
      </c>
      <c r="D29" s="4" t="s">
        <v>3</v>
      </c>
      <c r="E29" s="4">
        <v>2006</v>
      </c>
      <c r="F29" s="9">
        <f t="shared" si="0"/>
        <v>43.300004330004334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43.300000000000004</v>
      </c>
      <c r="M29" s="8" t="str">
        <f t="shared" si="5"/>
        <v>2025 Nationals</v>
      </c>
      <c r="N29" s="8">
        <f>IF(COUNT(AQ29,BT29,CW29)&gt;1,LARGE((AQ29,BT29,CW29),2),0)</f>
        <v>0</v>
      </c>
      <c r="O29" s="8" t="str">
        <f t="shared" si="6"/>
        <v/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40" t="str">
        <f t="shared" si="18"/>
        <v/>
      </c>
      <c r="AW29" s="40" t="str">
        <f t="shared" si="19"/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>
        <v>19.100000000000001</v>
      </c>
      <c r="CB29" s="19">
        <v>3.1</v>
      </c>
      <c r="CC29" s="19">
        <v>0.6</v>
      </c>
      <c r="CD29" s="19">
        <v>0</v>
      </c>
      <c r="CE29" s="19">
        <v>18.8</v>
      </c>
      <c r="CF29" s="19">
        <v>3.2</v>
      </c>
      <c r="CG29" s="19">
        <v>0.3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 t="shared" si="28"/>
        <v>6.3000000000000007</v>
      </c>
      <c r="CW29" s="40">
        <f t="shared" si="29"/>
        <v>43.300000000000004</v>
      </c>
      <c r="CX29" s="40" t="str">
        <f t="shared" si="30"/>
        <v/>
      </c>
      <c r="CY29" s="40">
        <f t="shared" si="31"/>
        <v>6.3000000000000007</v>
      </c>
      <c r="CZ29" s="40">
        <f t="shared" si="32"/>
        <v>43.300000000000004</v>
      </c>
      <c r="DA29" s="40" t="str">
        <f t="shared" si="33"/>
        <v/>
      </c>
      <c r="DB29" s="40" t="str">
        <f t="shared" si="34"/>
        <v/>
      </c>
      <c r="DC29" s="40">
        <f t="shared" si="35"/>
        <v>43.300000000000004</v>
      </c>
      <c r="DD29" s="50" t="str">
        <f t="shared" si="36"/>
        <v/>
      </c>
      <c r="DE29" s="50" t="str">
        <f t="shared" si="37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22">
        <f t="shared" si="134"/>
        <v>9.5500000000000007</v>
      </c>
      <c r="QE29" s="22">
        <f t="shared" si="135"/>
        <v>1.55</v>
      </c>
      <c r="QF29" s="22">
        <f t="shared" si="136"/>
        <v>0.3</v>
      </c>
      <c r="QG29" s="22">
        <f t="shared" si="137"/>
        <v>0</v>
      </c>
      <c r="QH29" s="22">
        <f t="shared" si="138"/>
        <v>9.4</v>
      </c>
      <c r="QI29" s="22">
        <f t="shared" si="139"/>
        <v>1.6</v>
      </c>
      <c r="QJ29" s="22">
        <f t="shared" si="140"/>
        <v>0.15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7" t="s">
        <v>46</v>
      </c>
      <c r="QY29" s="40">
        <f t="shared" si="154"/>
        <v>3.1500000000000004</v>
      </c>
      <c r="QZ29" s="40">
        <f t="shared" si="155"/>
        <v>21.650000000000002</v>
      </c>
      <c r="RA29" s="40" t="str">
        <f t="shared" si="156"/>
        <v/>
      </c>
      <c r="RB29" s="40">
        <f t="shared" si="157"/>
        <v>3.1500000000000004</v>
      </c>
      <c r="RC29" s="40">
        <f t="shared" si="158"/>
        <v>21.650000000000002</v>
      </c>
      <c r="RD29" s="40" t="str">
        <f t="shared" si="159"/>
        <v/>
      </c>
      <c r="RE29" s="40" t="str">
        <f t="shared" si="160"/>
        <v/>
      </c>
      <c r="RF29" s="40">
        <f t="shared" si="161"/>
        <v>21.650000000000002</v>
      </c>
    </row>
    <row r="30" spans="1:474" x14ac:dyDescent="0.2">
      <c r="A30" s="4" t="str" cm="1">
        <f t="array" ref="A30">IF(AND(J30&lt;&gt;"",J30&lt;&gt;"No DD"),SUMPRODUCT((J$4:J$33&lt;&gt;"")*(J$4:J$33&lt;&gt;"No DD")*(F$4:F$33&gt;F30))+1,IF(J30="No DD",SUMPRODUCT((J$4:J$33="No DD")*(F$4:F$33&gt;F30))+1+SUMPRODUCT((J$4:J$33&lt;&gt;"")*(J$4:J$33&lt;&gt;"No DD")),""))</f>
        <v/>
      </c>
      <c r="B30" s="4" t="str" cm="1">
        <f t="array" ref="B30">IF(AND(J30&lt;&gt;"",J30&lt;&gt;"No DD",G30=""),SUMPRODUCT((J$4:J$33&lt;&gt;"")*(J$4:J$33&lt;&gt;"No DD")*(G$4:G$33="")*(F$4:F$33&gt;F30))+1,IF(J30="No DD",SUMPRODUCT((J$4:J$33="No DD")*(F$4:F$33&gt;F30)*(G$4:G$33=""))+1+SUMPRODUCT((J$4:J$33&lt;&gt;"")*(G$4:G$33="")*(J$4:J$33&lt;&gt;"No DD")),""))</f>
        <v/>
      </c>
      <c r="C30" s="5" t="s">
        <v>196</v>
      </c>
      <c r="D30" s="4" t="s">
        <v>4</v>
      </c>
      <c r="E30" s="4">
        <v>2006</v>
      </c>
      <c r="F30" s="9">
        <f t="shared" si="0"/>
        <v>42.700004270004271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42.7</v>
      </c>
      <c r="M30" s="8" t="str">
        <f t="shared" si="5"/>
        <v>2025 Nationals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17.3</v>
      </c>
      <c r="CB30" s="19">
        <v>3.5</v>
      </c>
      <c r="CC30" s="19">
        <v>0.6</v>
      </c>
      <c r="CD30" s="19">
        <v>0</v>
      </c>
      <c r="CE30" s="19">
        <v>18.899999999999999</v>
      </c>
      <c r="CF30" s="19">
        <v>3.6</v>
      </c>
      <c r="CG30" s="19">
        <v>0</v>
      </c>
      <c r="CH30" s="19">
        <v>0</v>
      </c>
      <c r="CI30" s="19"/>
      <c r="CJ30" s="19"/>
      <c r="CK30" s="19"/>
      <c r="CL30" s="19"/>
      <c r="CM30" s="19" t="s">
        <v>190</v>
      </c>
      <c r="CN30" s="19" t="s">
        <v>190</v>
      </c>
      <c r="CO30" s="19" t="s">
        <v>190</v>
      </c>
      <c r="CP30" s="19" t="s">
        <v>190</v>
      </c>
      <c r="CQ30" s="19" t="s">
        <v>190</v>
      </c>
      <c r="CR30" s="19" t="s">
        <v>190</v>
      </c>
      <c r="CS30" s="19" t="s">
        <v>190</v>
      </c>
      <c r="CT30" s="19" t="s">
        <v>190</v>
      </c>
      <c r="CU30" s="27"/>
      <c r="CV30" s="40">
        <f t="shared" si="28"/>
        <v>7.1</v>
      </c>
      <c r="CW30" s="40">
        <f t="shared" si="29"/>
        <v>42.7</v>
      </c>
      <c r="CX30" s="40" t="str">
        <f t="shared" si="30"/>
        <v/>
      </c>
      <c r="CY30" s="40">
        <f t="shared" si="31"/>
        <v>7.1</v>
      </c>
      <c r="CZ30" s="40">
        <f t="shared" si="32"/>
        <v>42.7</v>
      </c>
      <c r="DA30" s="40" t="str">
        <f t="shared" si="33"/>
        <v/>
      </c>
      <c r="DB30" s="40" t="str">
        <f t="shared" si="34"/>
        <v/>
      </c>
      <c r="DC30" s="40">
        <f t="shared" si="35"/>
        <v>42.7</v>
      </c>
      <c r="DD30" s="50" t="str">
        <f t="shared" si="36"/>
        <v/>
      </c>
      <c r="DE30" s="50" t="str">
        <f t="shared" si="37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22">
        <f t="shared" si="134"/>
        <v>8.65</v>
      </c>
      <c r="QE30" s="22">
        <f t="shared" si="135"/>
        <v>1.75</v>
      </c>
      <c r="QF30" s="22">
        <f t="shared" si="136"/>
        <v>0.3</v>
      </c>
      <c r="QG30" s="22">
        <f t="shared" si="137"/>
        <v>0</v>
      </c>
      <c r="QH30" s="22">
        <f t="shared" si="138"/>
        <v>9.4499999999999993</v>
      </c>
      <c r="QI30" s="22">
        <f t="shared" si="139"/>
        <v>1.8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 t="e">
        <f t="shared" si="146"/>
        <v>#VALUE!</v>
      </c>
      <c r="QQ30" s="22" t="e">
        <f t="shared" si="147"/>
        <v>#VALUE!</v>
      </c>
      <c r="QR30" s="22" t="e">
        <f t="shared" si="148"/>
        <v>#VALUE!</v>
      </c>
      <c r="QS30" s="22" t="e">
        <f t="shared" si="149"/>
        <v>#VALUE!</v>
      </c>
      <c r="QT30" s="22" t="e">
        <f t="shared" si="150"/>
        <v>#VALUE!</v>
      </c>
      <c r="QU30" s="22" t="e">
        <f t="shared" si="151"/>
        <v>#VALUE!</v>
      </c>
      <c r="QV30" s="22" t="e">
        <f t="shared" si="152"/>
        <v>#VALUE!</v>
      </c>
      <c r="QW30" s="22" t="e">
        <f t="shared" si="153"/>
        <v>#VALUE!</v>
      </c>
      <c r="QX30" s="27" t="s">
        <v>46</v>
      </c>
      <c r="QY30" s="40">
        <f t="shared" si="154"/>
        <v>3.55</v>
      </c>
      <c r="QZ30" s="40">
        <f t="shared" si="155"/>
        <v>21.35</v>
      </c>
      <c r="RA30" s="40" t="str">
        <f t="shared" si="156"/>
        <v/>
      </c>
      <c r="RB30" s="40">
        <f t="shared" si="157"/>
        <v>3.55</v>
      </c>
      <c r="RC30" s="40">
        <f t="shared" si="158"/>
        <v>21.35</v>
      </c>
      <c r="RD30" s="40" t="e">
        <f t="shared" si="159"/>
        <v>#VALUE!</v>
      </c>
      <c r="RE30" s="40" t="e">
        <f t="shared" si="160"/>
        <v>#VALUE!</v>
      </c>
      <c r="RF30" s="40" t="e">
        <f t="shared" si="161"/>
        <v>#VALUE!</v>
      </c>
    </row>
    <row r="31" spans="1:474" x14ac:dyDescent="0.2">
      <c r="A31" s="4" t="str" cm="1">
        <f t="array" ref="A31">IF(AND(J31&lt;&gt;"",J31&lt;&gt;"No DD"),SUMPRODUCT((J$4:J$33&lt;&gt;"")*(J$4:J$33&lt;&gt;"No DD")*(F$4:F$33&gt;F31))+1,IF(J31="No DD",SUMPRODUCT((J$4:J$33="No DD")*(F$4:F$33&gt;F31))+1+SUMPRODUCT((J$4:J$33&lt;&gt;"")*(J$4:J$33&lt;&gt;"No DD")),""))</f>
        <v/>
      </c>
      <c r="B31" s="4" t="str" cm="1">
        <f t="array" ref="B31">IF(AND(J31&lt;&gt;"",J31&lt;&gt;"No DD",G31=""),SUMPRODUCT((J$4:J$33&lt;&gt;"")*(J$4:J$33&lt;&gt;"No DD")*(G$4:G$33="")*(F$4:F$33&gt;F31))+1,IF(J31="No DD",SUMPRODUCT((J$4:J$33="No DD")*(F$4:F$33&gt;F31)*(G$4:G$33=""))+1+SUMPRODUCT((J$4:J$33&lt;&gt;"")*(G$4:G$33="")*(J$4:J$33&lt;&gt;"No DD")),""))</f>
        <v/>
      </c>
      <c r="C31" s="5" t="s">
        <v>150</v>
      </c>
      <c r="D31" s="4" t="s">
        <v>5</v>
      </c>
      <c r="E31" s="4">
        <v>2005</v>
      </c>
      <c r="F31" s="9">
        <f t="shared" si="0"/>
        <v>36.300003630003637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36.300000000000004</v>
      </c>
      <c r="M31" s="8" t="str">
        <f t="shared" si="5"/>
        <v>2025 Elite Canada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>
        <v>18</v>
      </c>
      <c r="AY31" s="18">
        <v>2.7</v>
      </c>
      <c r="AZ31" s="18">
        <v>1</v>
      </c>
      <c r="BA31" s="18">
        <v>0</v>
      </c>
      <c r="BB31" s="18">
        <v>15.4</v>
      </c>
      <c r="BC31" s="18">
        <v>1.2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20"/>
        <v>3.9000000000000004</v>
      </c>
      <c r="BT31" s="11">
        <f t="shared" si="21"/>
        <v>36.300000000000004</v>
      </c>
      <c r="BU31" s="11" t="str">
        <f t="shared" si="22"/>
        <v/>
      </c>
      <c r="BV31" s="11">
        <f t="shared" si="23"/>
        <v>3.9000000000000004</v>
      </c>
      <c r="BW31" s="11">
        <f t="shared" si="24"/>
        <v>36.300000000000004</v>
      </c>
      <c r="BX31" s="11" t="str">
        <f t="shared" si="25"/>
        <v/>
      </c>
      <c r="BY31" s="11" t="str">
        <f t="shared" si="26"/>
        <v/>
      </c>
      <c r="BZ31" s="11">
        <f t="shared" si="27"/>
        <v>36.300000000000004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22">
        <f t="shared" si="134"/>
        <v>9</v>
      </c>
      <c r="QE31" s="22">
        <f t="shared" si="135"/>
        <v>1.35</v>
      </c>
      <c r="QF31" s="22">
        <f t="shared" si="136"/>
        <v>0.5</v>
      </c>
      <c r="QG31" s="22">
        <f t="shared" si="137"/>
        <v>0</v>
      </c>
      <c r="QH31" s="22">
        <f t="shared" si="138"/>
        <v>7.7</v>
      </c>
      <c r="QI31" s="22">
        <f t="shared" si="139"/>
        <v>0.6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0</v>
      </c>
      <c r="QN31" s="22">
        <f t="shared" si="144"/>
        <v>0</v>
      </c>
      <c r="QO31" s="22">
        <f t="shared" si="145"/>
        <v>0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7" t="s">
        <v>46</v>
      </c>
      <c r="QY31" s="40">
        <f t="shared" si="154"/>
        <v>1.9500000000000002</v>
      </c>
      <c r="QZ31" s="40">
        <f t="shared" si="155"/>
        <v>18.150000000000002</v>
      </c>
      <c r="RA31" s="40" t="str">
        <f t="shared" si="156"/>
        <v/>
      </c>
      <c r="RB31" s="40">
        <f t="shared" si="157"/>
        <v>1.9500000000000002</v>
      </c>
      <c r="RC31" s="40">
        <f t="shared" si="158"/>
        <v>18.150000000000002</v>
      </c>
      <c r="RD31" s="40" t="str">
        <f t="shared" si="159"/>
        <v/>
      </c>
      <c r="RE31" s="40" t="str">
        <f t="shared" si="160"/>
        <v/>
      </c>
      <c r="RF31" s="40">
        <f t="shared" si="161"/>
        <v>18.150000000000002</v>
      </c>
    </row>
    <row r="32" spans="1:474" x14ac:dyDescent="0.2">
      <c r="A32" s="4" t="str" cm="1">
        <f t="array" ref="A32">IF(AND(J32&lt;&gt;"",J32&lt;&gt;"No DD"),SUMPRODUCT((J$4:J$33&lt;&gt;"")*(J$4:J$33&lt;&gt;"No DD")*(F$4:F$33&gt;F32))+1,IF(J32="No DD",SUMPRODUCT((J$4:J$33="No DD")*(F$4:F$33&gt;F32))+1+SUMPRODUCT((J$4:J$33&lt;&gt;"")*(J$4:J$33&lt;&gt;"No DD")),""))</f>
        <v/>
      </c>
      <c r="B32" s="4" t="str" cm="1">
        <f t="array" ref="B32">IF(AND(J32&lt;&gt;"",J32&lt;&gt;"No DD",G32=""),SUMPRODUCT((J$4:J$33&lt;&gt;"")*(J$4:J$33&lt;&gt;"No DD")*(G$4:G$33="")*(F$4:F$33&gt;F32))+1,IF(J32="No DD",SUMPRODUCT((J$4:J$33="No DD")*(F$4:F$33&gt;F32)*(G$4:G$33=""))+1+SUMPRODUCT((J$4:J$33&lt;&gt;"")*(G$4:G$33="")*(J$4:J$33&lt;&gt;"No DD")),""))</f>
        <v/>
      </c>
      <c r="C32" s="5" t="s">
        <v>197</v>
      </c>
      <c r="D32" s="4" t="s">
        <v>4</v>
      </c>
      <c r="E32" s="4">
        <v>2007</v>
      </c>
      <c r="F32" s="9">
        <f t="shared" si="0"/>
        <v>32.700003270003265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32.699999999999996</v>
      </c>
      <c r="M32" s="8" t="str">
        <f t="shared" si="5"/>
        <v>2025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>
        <v>15.3</v>
      </c>
      <c r="CB32" s="19">
        <v>2.4</v>
      </c>
      <c r="CC32" s="19">
        <v>0</v>
      </c>
      <c r="CD32" s="19">
        <v>0</v>
      </c>
      <c r="CE32" s="19">
        <v>15.2</v>
      </c>
      <c r="CF32" s="19">
        <v>0</v>
      </c>
      <c r="CG32" s="19">
        <v>0.2</v>
      </c>
      <c r="CH32" s="19">
        <v>0</v>
      </c>
      <c r="CI32" s="19"/>
      <c r="CJ32" s="19"/>
      <c r="CK32" s="19"/>
      <c r="CL32" s="19"/>
      <c r="CM32" s="19" t="s">
        <v>190</v>
      </c>
      <c r="CN32" s="19" t="s">
        <v>190</v>
      </c>
      <c r="CO32" s="19" t="s">
        <v>190</v>
      </c>
      <c r="CP32" s="19" t="s">
        <v>190</v>
      </c>
      <c r="CQ32" s="19" t="s">
        <v>190</v>
      </c>
      <c r="CR32" s="19" t="s">
        <v>190</v>
      </c>
      <c r="CS32" s="19" t="s">
        <v>190</v>
      </c>
      <c r="CT32" s="19" t="s">
        <v>190</v>
      </c>
      <c r="CU32" s="27"/>
      <c r="CV32" s="40">
        <f t="shared" si="28"/>
        <v>2.4</v>
      </c>
      <c r="CW32" s="40">
        <f t="shared" si="29"/>
        <v>32.699999999999996</v>
      </c>
      <c r="CX32" s="40" t="str">
        <f t="shared" si="30"/>
        <v/>
      </c>
      <c r="CY32" s="40">
        <f t="shared" si="31"/>
        <v>2.4</v>
      </c>
      <c r="CZ32" s="40">
        <f t="shared" si="32"/>
        <v>32.699999999999996</v>
      </c>
      <c r="DA32" s="40" t="str">
        <f t="shared" si="33"/>
        <v/>
      </c>
      <c r="DB32" s="40" t="str">
        <f t="shared" si="34"/>
        <v/>
      </c>
      <c r="DC32" s="40">
        <f t="shared" si="35"/>
        <v>32.699999999999996</v>
      </c>
      <c r="DD32" s="50" t="str">
        <f t="shared" si="36"/>
        <v/>
      </c>
      <c r="DE32" s="50" t="str">
        <f t="shared" si="37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22">
        <f t="shared" si="134"/>
        <v>7.65</v>
      </c>
      <c r="QE32" s="22">
        <f t="shared" si="135"/>
        <v>1.2</v>
      </c>
      <c r="QF32" s="22">
        <f t="shared" si="136"/>
        <v>0</v>
      </c>
      <c r="QG32" s="22">
        <f t="shared" si="137"/>
        <v>0</v>
      </c>
      <c r="QH32" s="22">
        <f t="shared" si="138"/>
        <v>7.6</v>
      </c>
      <c r="QI32" s="22">
        <f t="shared" si="139"/>
        <v>0</v>
      </c>
      <c r="QJ32" s="22">
        <f t="shared" si="140"/>
        <v>0.1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 t="e">
        <f t="shared" si="146"/>
        <v>#VALUE!</v>
      </c>
      <c r="QQ32" s="22" t="e">
        <f t="shared" si="147"/>
        <v>#VALUE!</v>
      </c>
      <c r="QR32" s="22" t="e">
        <f t="shared" si="148"/>
        <v>#VALUE!</v>
      </c>
      <c r="QS32" s="22" t="e">
        <f t="shared" si="149"/>
        <v>#VALUE!</v>
      </c>
      <c r="QT32" s="22" t="e">
        <f t="shared" si="150"/>
        <v>#VALUE!</v>
      </c>
      <c r="QU32" s="22" t="e">
        <f t="shared" si="151"/>
        <v>#VALUE!</v>
      </c>
      <c r="QV32" s="22" t="e">
        <f t="shared" si="152"/>
        <v>#VALUE!</v>
      </c>
      <c r="QW32" s="22" t="e">
        <f t="shared" si="153"/>
        <v>#VALUE!</v>
      </c>
      <c r="QX32" s="27" t="s">
        <v>46</v>
      </c>
      <c r="QY32" s="40">
        <f t="shared" si="154"/>
        <v>1.2</v>
      </c>
      <c r="QZ32" s="40">
        <f t="shared" si="155"/>
        <v>16.349999999999998</v>
      </c>
      <c r="RA32" s="40" t="str">
        <f t="shared" si="156"/>
        <v/>
      </c>
      <c r="RB32" s="40">
        <f t="shared" si="157"/>
        <v>1.2</v>
      </c>
      <c r="RC32" s="40">
        <f t="shared" si="158"/>
        <v>16.349999999999998</v>
      </c>
      <c r="RD32" s="40" t="e">
        <f t="shared" si="159"/>
        <v>#VALUE!</v>
      </c>
      <c r="RE32" s="40" t="e">
        <f t="shared" si="160"/>
        <v>#VALUE!</v>
      </c>
      <c r="RF32" s="40" t="e">
        <f t="shared" si="161"/>
        <v>#VALUE!</v>
      </c>
    </row>
    <row r="33" spans="1:455" ht="17" x14ac:dyDescent="0.2">
      <c r="G33" s="64"/>
      <c r="R33" s="10"/>
      <c r="S33" s="10"/>
      <c r="T33" s="10"/>
    </row>
    <row r="34" spans="1:455" ht="17" x14ac:dyDescent="0.2">
      <c r="G34" s="64"/>
      <c r="R34" s="10"/>
      <c r="S34" s="10"/>
      <c r="T34" s="10"/>
    </row>
    <row r="35" spans="1:455" ht="17" x14ac:dyDescent="0.2">
      <c r="C35" s="23" t="s">
        <v>44</v>
      </c>
      <c r="G35" s="64"/>
      <c r="R35" s="10"/>
      <c r="S35" s="10"/>
      <c r="T35" s="10"/>
      <c r="AP35" s="4"/>
      <c r="AW35" s="42">
        <v>9.6</v>
      </c>
      <c r="BS35" s="4"/>
      <c r="BZ35" s="42">
        <v>10.4</v>
      </c>
      <c r="CV35" s="4"/>
      <c r="DC35" s="42">
        <v>10.4</v>
      </c>
      <c r="DZ35" s="4"/>
      <c r="EG35" s="42">
        <v>10.4</v>
      </c>
      <c r="FB35" s="4"/>
      <c r="FI35" s="42">
        <v>10.4</v>
      </c>
      <c r="GD35" s="4"/>
      <c r="GK35" s="42">
        <v>10.4</v>
      </c>
      <c r="HF35" s="4"/>
      <c r="HM35" s="42">
        <v>10.4</v>
      </c>
      <c r="IH35" s="4"/>
      <c r="IO35" s="42">
        <v>10.4</v>
      </c>
      <c r="JJ35" s="4"/>
      <c r="JQ35" s="42">
        <v>10.4</v>
      </c>
      <c r="KL35" s="4"/>
      <c r="KS35" s="42">
        <v>10.4</v>
      </c>
      <c r="LN35" s="4"/>
      <c r="LU35" s="42">
        <v>10.4</v>
      </c>
      <c r="MP35" s="4"/>
      <c r="MW35" s="42">
        <v>10.4</v>
      </c>
      <c r="NR35" s="4"/>
      <c r="NY35" s="42">
        <v>10.4</v>
      </c>
      <c r="OT35" s="4"/>
      <c r="PA35" s="42">
        <v>10.4</v>
      </c>
      <c r="PV35" s="4"/>
      <c r="QC35" s="42">
        <v>10.4</v>
      </c>
    </row>
    <row r="36" spans="1:455" ht="17" hidden="1" x14ac:dyDescent="0.2">
      <c r="C36" s="30" t="s">
        <v>43</v>
      </c>
      <c r="G36" s="64"/>
      <c r="R36" s="10"/>
      <c r="S36" s="10"/>
      <c r="T36" s="10"/>
      <c r="AP36" s="4"/>
      <c r="AW36" s="51">
        <v>1000</v>
      </c>
      <c r="BS36" s="4"/>
      <c r="BZ36" s="51">
        <v>1000</v>
      </c>
      <c r="CV36" s="4"/>
      <c r="DC36" s="51">
        <v>1000</v>
      </c>
      <c r="DZ36" s="4"/>
      <c r="EG36" s="51">
        <v>1000</v>
      </c>
      <c r="FB36" s="4"/>
      <c r="FI36" s="51">
        <v>1000</v>
      </c>
      <c r="GD36" s="4"/>
      <c r="GK36" s="51">
        <v>1000</v>
      </c>
      <c r="HF36" s="4"/>
      <c r="HM36" s="51">
        <v>1000</v>
      </c>
      <c r="IH36" s="4"/>
      <c r="IO36" s="51">
        <v>1000</v>
      </c>
      <c r="JJ36" s="4"/>
      <c r="JQ36" s="51">
        <v>1000</v>
      </c>
      <c r="KL36" s="4"/>
      <c r="KS36" s="51">
        <v>1000</v>
      </c>
      <c r="LN36" s="4"/>
      <c r="LU36" s="51">
        <v>1000</v>
      </c>
      <c r="MP36" s="4"/>
      <c r="MW36" s="51">
        <v>1000</v>
      </c>
      <c r="NR36" s="4"/>
      <c r="NY36" s="51">
        <v>1000</v>
      </c>
      <c r="OT36" s="4"/>
      <c r="PA36" s="51">
        <v>1000</v>
      </c>
      <c r="PV36" s="4"/>
      <c r="QC36" s="51">
        <v>1000</v>
      </c>
    </row>
    <row r="37" spans="1:455" ht="17" hidden="1" x14ac:dyDescent="0.2">
      <c r="A37" s="5"/>
      <c r="B37" s="5"/>
      <c r="C37" s="31" t="s">
        <v>55</v>
      </c>
      <c r="D37" s="20"/>
      <c r="G37" s="64"/>
      <c r="R37" s="10"/>
      <c r="S37" s="10"/>
      <c r="T37" s="10"/>
      <c r="AP37" s="4"/>
      <c r="AW37" s="43">
        <v>1000</v>
      </c>
      <c r="BS37" s="4"/>
      <c r="BZ37" s="43">
        <v>1000</v>
      </c>
      <c r="CV37" s="4"/>
      <c r="DC37" s="43">
        <v>1000</v>
      </c>
      <c r="DZ37" s="4"/>
      <c r="EG37" s="43">
        <v>1000</v>
      </c>
      <c r="FB37" s="4"/>
      <c r="FI37" s="43">
        <v>1000</v>
      </c>
      <c r="GD37" s="4"/>
      <c r="GK37" s="43">
        <v>1000</v>
      </c>
      <c r="HF37" s="4"/>
      <c r="HM37" s="43">
        <v>1000</v>
      </c>
      <c r="IH37" s="4"/>
      <c r="IO37" s="43">
        <v>1000</v>
      </c>
      <c r="JJ37" s="4"/>
      <c r="JQ37" s="43">
        <v>1000</v>
      </c>
      <c r="KL37" s="4"/>
      <c r="KS37" s="43">
        <v>1000</v>
      </c>
      <c r="LN37" s="4"/>
      <c r="LU37" s="43">
        <v>1000</v>
      </c>
      <c r="MP37" s="4"/>
      <c r="MW37" s="43">
        <v>1000</v>
      </c>
      <c r="NR37" s="4"/>
      <c r="NY37" s="43">
        <v>1000</v>
      </c>
      <c r="OT37" s="4"/>
      <c r="PA37" s="43">
        <v>1000</v>
      </c>
      <c r="PV37" s="4"/>
      <c r="QC37" s="43">
        <v>1000</v>
      </c>
    </row>
    <row r="38" spans="1:455" ht="17" hidden="1" x14ac:dyDescent="0.2">
      <c r="A38" s="5"/>
      <c r="B38" s="5"/>
      <c r="C38" s="35" t="s">
        <v>60</v>
      </c>
      <c r="D38" s="20"/>
      <c r="G38" s="64"/>
      <c r="R38" s="10"/>
      <c r="S38" s="10"/>
      <c r="T38" s="10"/>
      <c r="AP38" s="4"/>
      <c r="AW38" s="62">
        <v>1000</v>
      </c>
      <c r="BS38" s="4"/>
      <c r="BZ38" s="62">
        <v>1000</v>
      </c>
      <c r="CV38" s="4"/>
      <c r="DC38" s="62">
        <v>1000</v>
      </c>
      <c r="DZ38" s="4"/>
      <c r="EG38" s="62">
        <v>1000</v>
      </c>
      <c r="FB38" s="4"/>
      <c r="FI38" s="62">
        <v>1000</v>
      </c>
      <c r="GD38" s="4"/>
      <c r="GK38" s="62">
        <v>1000</v>
      </c>
      <c r="HF38" s="4"/>
      <c r="HM38" s="62">
        <v>1000</v>
      </c>
      <c r="IH38" s="4"/>
      <c r="IO38" s="62">
        <v>1000</v>
      </c>
      <c r="JJ38" s="4"/>
      <c r="JQ38" s="62">
        <v>1000</v>
      </c>
      <c r="KL38" s="4"/>
      <c r="KS38" s="62">
        <v>1000</v>
      </c>
      <c r="LN38" s="4"/>
      <c r="LU38" s="62">
        <v>1000</v>
      </c>
      <c r="MP38" s="4"/>
      <c r="MW38" s="62">
        <v>1000</v>
      </c>
      <c r="NR38" s="4"/>
      <c r="NY38" s="62">
        <v>1000</v>
      </c>
      <c r="OT38" s="4"/>
      <c r="PA38" s="62">
        <v>1000</v>
      </c>
      <c r="PV38" s="4"/>
      <c r="QC38" s="62">
        <v>1000</v>
      </c>
    </row>
    <row r="39" spans="1:455" ht="17" x14ac:dyDescent="0.2">
      <c r="A39" s="5"/>
      <c r="B39" s="5"/>
      <c r="C39" s="34" t="s">
        <v>41</v>
      </c>
      <c r="D39" s="20"/>
      <c r="G39" s="64"/>
      <c r="R39" s="10"/>
      <c r="S39" s="10"/>
      <c r="T39" s="10"/>
      <c r="AP39" s="4"/>
      <c r="AW39" s="63">
        <v>46.5</v>
      </c>
      <c r="BS39" s="4"/>
      <c r="BZ39" s="63">
        <v>46.8</v>
      </c>
      <c r="CV39" s="4"/>
      <c r="DC39" s="63">
        <v>46.8</v>
      </c>
      <c r="DZ39" s="4"/>
      <c r="EG39" s="63">
        <v>46.8</v>
      </c>
      <c r="FB39" s="4"/>
      <c r="FI39" s="63">
        <v>46.8</v>
      </c>
      <c r="GD39" s="4"/>
      <c r="GK39" s="63">
        <v>46.8</v>
      </c>
      <c r="HF39" s="4"/>
      <c r="HM39" s="63">
        <v>46.8</v>
      </c>
      <c r="IH39" s="4"/>
      <c r="IO39" s="63">
        <v>46.8</v>
      </c>
      <c r="JJ39" s="4"/>
      <c r="JQ39" s="63">
        <v>46.8</v>
      </c>
      <c r="KL39" s="4"/>
      <c r="KS39" s="63">
        <v>46.8</v>
      </c>
      <c r="LN39" s="4"/>
      <c r="LU39" s="63">
        <v>46.8</v>
      </c>
      <c r="MP39" s="4"/>
      <c r="MW39" s="63">
        <v>46.8</v>
      </c>
      <c r="NR39" s="4"/>
      <c r="NY39" s="63">
        <v>46.8</v>
      </c>
      <c r="OT39" s="4"/>
      <c r="PA39" s="63">
        <v>46.8</v>
      </c>
      <c r="PV39" s="4"/>
      <c r="QC39" s="63">
        <v>46.8</v>
      </c>
    </row>
    <row r="40" spans="1:455" ht="17" hidden="1" x14ac:dyDescent="0.2">
      <c r="A40" s="5"/>
      <c r="B40" s="5"/>
      <c r="C40" s="24" t="s">
        <v>42</v>
      </c>
      <c r="D40" s="20"/>
      <c r="R40" s="10"/>
      <c r="S40" s="10"/>
      <c r="T40" s="10"/>
      <c r="AP40" s="4"/>
      <c r="AW40" s="46">
        <v>1000</v>
      </c>
      <c r="BS40" s="4"/>
      <c r="BZ40" s="46">
        <v>1000</v>
      </c>
      <c r="CV40" s="4"/>
      <c r="DC40" s="46">
        <v>1000</v>
      </c>
      <c r="DZ40" s="4"/>
      <c r="EG40" s="46">
        <v>1000</v>
      </c>
      <c r="FB40" s="4"/>
      <c r="FI40" s="46">
        <v>1000</v>
      </c>
      <c r="GD40" s="4"/>
      <c r="GK40" s="46">
        <v>1000</v>
      </c>
      <c r="HF40" s="4"/>
      <c r="HM40" s="46">
        <v>1000</v>
      </c>
      <c r="IH40" s="4"/>
      <c r="IO40" s="46">
        <v>1000</v>
      </c>
      <c r="JJ40" s="4"/>
      <c r="JQ40" s="46">
        <v>1000</v>
      </c>
      <c r="KL40" s="4"/>
      <c r="KS40" s="46">
        <v>1000</v>
      </c>
      <c r="LN40" s="4"/>
      <c r="LU40" s="46">
        <v>1000</v>
      </c>
      <c r="MP40" s="4"/>
      <c r="MW40" s="46">
        <v>1000</v>
      </c>
      <c r="NR40" s="4"/>
      <c r="NY40" s="46">
        <v>1000</v>
      </c>
      <c r="OT40" s="4"/>
      <c r="PA40" s="46">
        <v>1000</v>
      </c>
      <c r="PV40" s="4"/>
      <c r="QC40" s="46">
        <v>1000</v>
      </c>
    </row>
    <row r="41" spans="1:455" ht="17" hidden="1" x14ac:dyDescent="0.2">
      <c r="A41" s="5"/>
      <c r="B41" s="5"/>
      <c r="C41" s="33" t="s">
        <v>54</v>
      </c>
      <c r="D41" s="20"/>
      <c r="R41" s="10"/>
      <c r="S41" s="10"/>
      <c r="T41" s="10"/>
      <c r="AP41" s="4"/>
      <c r="AW41" s="47">
        <v>1000</v>
      </c>
      <c r="BS41" s="4"/>
      <c r="BZ41" s="47">
        <v>1000</v>
      </c>
      <c r="CV41" s="4"/>
      <c r="DC41" s="47">
        <v>1000</v>
      </c>
      <c r="DZ41" s="4"/>
      <c r="EG41" s="47">
        <v>1000</v>
      </c>
      <c r="FB41" s="4"/>
      <c r="FI41" s="47">
        <v>1000</v>
      </c>
      <c r="GD41" s="4"/>
      <c r="GK41" s="47">
        <v>1000</v>
      </c>
      <c r="HF41" s="4"/>
      <c r="HM41" s="47">
        <v>1000</v>
      </c>
      <c r="IH41" s="4"/>
      <c r="IO41" s="47">
        <v>1000</v>
      </c>
      <c r="JJ41" s="4"/>
      <c r="JQ41" s="47">
        <v>1000</v>
      </c>
      <c r="KL41" s="4"/>
      <c r="KS41" s="47">
        <v>1000</v>
      </c>
      <c r="LN41" s="4"/>
      <c r="LU41" s="47">
        <v>1000</v>
      </c>
      <c r="MP41" s="4"/>
      <c r="MW41" s="47">
        <v>1000</v>
      </c>
      <c r="NR41" s="4"/>
      <c r="NY41" s="47">
        <v>1000</v>
      </c>
      <c r="OT41" s="4"/>
      <c r="PA41" s="47">
        <v>1000</v>
      </c>
      <c r="PV41" s="4"/>
      <c r="QC41" s="47">
        <v>1000</v>
      </c>
    </row>
    <row r="42" spans="1:455" ht="17" hidden="1" x14ac:dyDescent="0.2">
      <c r="A42" s="5"/>
      <c r="B42" s="5"/>
      <c r="C42" s="25" t="s">
        <v>27</v>
      </c>
      <c r="D42" s="20"/>
      <c r="R42" s="10"/>
      <c r="S42" s="10"/>
      <c r="T42" s="10"/>
      <c r="AP42" s="4"/>
      <c r="AW42" s="48">
        <v>1000</v>
      </c>
      <c r="BS42" s="4"/>
      <c r="BZ42" s="48">
        <v>1000</v>
      </c>
      <c r="CV42" s="4"/>
      <c r="DC42" s="48">
        <v>1000</v>
      </c>
      <c r="DZ42" s="4"/>
      <c r="EG42" s="48">
        <v>1000</v>
      </c>
      <c r="FB42" s="4"/>
      <c r="FI42" s="48">
        <v>1000</v>
      </c>
      <c r="GD42" s="4"/>
      <c r="GK42" s="48">
        <v>1000</v>
      </c>
      <c r="HF42" s="4"/>
      <c r="HM42" s="48">
        <v>1000</v>
      </c>
      <c r="IH42" s="4"/>
      <c r="IO42" s="48">
        <v>1000</v>
      </c>
      <c r="JJ42" s="4"/>
      <c r="JQ42" s="48">
        <v>1000</v>
      </c>
      <c r="KL42" s="4"/>
      <c r="KS42" s="48">
        <v>1000</v>
      </c>
      <c r="LN42" s="4"/>
      <c r="LU42" s="48">
        <v>1000</v>
      </c>
      <c r="MP42" s="4"/>
      <c r="MW42" s="48">
        <v>1000</v>
      </c>
      <c r="NR42" s="4"/>
      <c r="NY42" s="48">
        <v>1000</v>
      </c>
      <c r="OT42" s="4"/>
      <c r="PA42" s="48">
        <v>1000</v>
      </c>
      <c r="PV42" s="4"/>
      <c r="QC42" s="48">
        <v>1000</v>
      </c>
    </row>
    <row r="43" spans="1:455" x14ac:dyDescent="0.2">
      <c r="C43" s="29" t="s">
        <v>47</v>
      </c>
      <c r="D43" s="2"/>
    </row>
    <row r="44" spans="1:455" x14ac:dyDescent="0.2">
      <c r="A44" s="5"/>
      <c r="B44" s="5"/>
      <c r="C44" s="5"/>
      <c r="D44" s="20"/>
      <c r="G44" s="64"/>
      <c r="QE44" s="2"/>
      <c r="QF44" s="2"/>
      <c r="QG44" s="2"/>
      <c r="QH44" s="2"/>
      <c r="QI44" s="2"/>
      <c r="QJ44" s="2"/>
      <c r="QK44" s="2"/>
      <c r="QL44" s="2"/>
      <c r="QM44" s="2"/>
    </row>
    <row r="45" spans="1:455" x14ac:dyDescent="0.2">
      <c r="A45" s="5"/>
      <c r="B45" s="5"/>
      <c r="C45" s="5"/>
      <c r="D45" s="20"/>
      <c r="G45" s="64"/>
    </row>
    <row r="46" spans="1:455" x14ac:dyDescent="0.2">
      <c r="A46" s="5"/>
      <c r="B46" s="5"/>
      <c r="C46" s="5"/>
      <c r="D46" s="20"/>
    </row>
    <row r="47" spans="1:455" x14ac:dyDescent="0.2">
      <c r="A47" s="5"/>
      <c r="B47" s="5"/>
      <c r="C47" s="5"/>
      <c r="D47" s="5"/>
    </row>
    <row r="49" spans="8:8" x14ac:dyDescent="0.2">
      <c r="H49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2">
      <sortCondition descending="1" ref="H1:H33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</mergeCells>
  <conditionalFormatting sqref="U4:AW32">
    <cfRule type="expression" dxfId="29" priority="7" stopIfTrue="1">
      <formula>IF($AO4&lt;&gt;"",1,0)</formula>
    </cfRule>
  </conditionalFormatting>
  <conditionalFormatting sqref="AX4:BZ32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2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3:AT1048576 BW43:BW1048576 ED43:ED1048576 BW1:BW41 CZ1:CZ1048576 ED1:ED41 FF1:FF1048576 GH1:GH1048576 HJ1:HJ1048576 IL1:IL1048576 JN1:JN1048576 KP1:KP1048576 LR1:LR1048576 MT1:MT1048576 NV1:NV1048576 OX1:OX1048576 PZ1:PZ1048576 AT1:AT41">
    <cfRule type="cellIs" dxfId="16" priority="60354" operator="between">
      <formula>AW$42</formula>
      <formula>1000</formula>
    </cfRule>
    <cfRule type="cellIs" dxfId="15" priority="60355" operator="between">
      <formula>AW$41</formula>
      <formula>AW$42</formula>
    </cfRule>
    <cfRule type="cellIs" dxfId="14" priority="60356" operator="between">
      <formula>AW$40</formula>
      <formula>AW$41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7339" operator="between">
      <formula>AW$35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7384" operator="between">
      <formula>AW$39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7429" operator="between">
      <formula>AW$35</formula>
      <formula>AW$36</formula>
    </cfRule>
    <cfRule type="cellIs" dxfId="9" priority="247430" operator="between">
      <formula>AW$36</formula>
      <formula>AW$37</formula>
    </cfRule>
    <cfRule type="cellIs" dxfId="8" priority="247431" operator="between">
      <formula>AW$37</formula>
      <formula>AW$38</formula>
    </cfRule>
    <cfRule type="cellIs" dxfId="7" priority="247432" operator="between">
      <formula>AW$38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7609" operator="between">
      <formula>AW$39</formula>
      <formula>AW$40</formula>
    </cfRule>
    <cfRule type="cellIs" dxfId="5" priority="247610" operator="between">
      <formula>AW$40</formula>
      <formula>AW$41</formula>
    </cfRule>
    <cfRule type="cellIs" dxfId="4" priority="247611" operator="between">
      <formula>AW$41</formula>
      <formula>AW$42</formula>
    </cfRule>
    <cfRule type="cellIs" dxfId="3" priority="247612" operator="between">
      <formula>AW$42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7789" operator="between">
      <formula>AW$38</formula>
      <formula>1000</formula>
    </cfRule>
    <cfRule type="cellIs" dxfId="1" priority="247790" operator="between">
      <formula>AW$37</formula>
      <formula>AW$38</formula>
    </cfRule>
    <cfRule type="cellIs" dxfId="0" priority="247791" operator="between">
      <formula>AW$36</formula>
      <formula>AW$37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2025-08-21T12:44:27Z</dcterms:modified>
</cp:coreProperties>
</file>