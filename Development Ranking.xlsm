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12" codeName="{7AA9133B-0738-3967-A58A-2178011A57A6}"/>
  <workbookPr codeName="ThisWorkbook"/>
  <mc:AlternateContent xmlns:mc="http://schemas.openxmlformats.org/markup-compatibility/2006">
    <mc:Choice Requires="x15">
      <x15ac:absPath xmlns:x15ac="http://schemas.microsoft.com/office/spreadsheetml/2010/11/ac" url="/Users/trevorstirling/Library/CloudStorage/Dropbox/Documents/Trampoline/Websites/Trampoline Canada Website/Ranking Lists/"/>
    </mc:Choice>
  </mc:AlternateContent>
  <xr:revisionPtr revIDLastSave="0" documentId="13_ncr:1_{AAA3743A-09BA-8542-A5EA-A404BAEFCB4F}" xr6:coauthVersionLast="47" xr6:coauthVersionMax="47" xr10:uidLastSave="{00000000-0000-0000-0000-000000000000}"/>
  <bookViews>
    <workbookView xWindow="0" yWindow="500" windowWidth="33600" windowHeight="20500" tabRatio="500" xr2:uid="{00000000-000D-0000-FFFF-FFFF00000000}"/>
  </bookViews>
  <sheets>
    <sheet name="Info" sheetId="11" r:id="rId1"/>
    <sheet name="TRA-M" sheetId="4" r:id="rId2"/>
    <sheet name="TRA-W" sheetId="22" r:id="rId3"/>
    <sheet name="TUM-M" sheetId="26" r:id="rId4"/>
    <sheet name="TUM-W" sheetId="27" r:id="rId5"/>
    <sheet name="DMT-M" sheetId="19" r:id="rId6"/>
    <sheet name="DMT-W" sheetId="21" r:id="rId7"/>
  </sheets>
  <definedNames>
    <definedName name="_xlnm._FilterDatabase" localSheetId="5" hidden="1">'DMT-M'!$A$1:$RG$6</definedName>
    <definedName name="_xlnm._FilterDatabase" localSheetId="6" hidden="1">'DMT-W'!$A$1:$RG$12</definedName>
    <definedName name="_xlnm._FilterDatabase" localSheetId="1" hidden="1">'TRA-M'!$A$1:$TT$29</definedName>
    <definedName name="_xlnm._FilterDatabase" localSheetId="2" hidden="1">'TRA-W'!$A$1:$TT$27</definedName>
    <definedName name="_xlnm._FilterDatabase" localSheetId="3" hidden="1">'TUM-M'!$A$1:$RG$13</definedName>
    <definedName name="_xlnm._FilterDatabase" localSheetId="4" hidden="1">'TUM-W'!$A$1:$RG$16</definedName>
  </definedNames>
  <calcPr calcId="191029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PA26" i="21" l="1"/>
  <c r="OZ26" i="21"/>
  <c r="OX26" i="21"/>
  <c r="OW26" i="21"/>
  <c r="OV26" i="21"/>
  <c r="PB26" i="21" s="1"/>
  <c r="OU26" i="21"/>
  <c r="PA25" i="21"/>
  <c r="OZ25" i="21"/>
  <c r="OX25" i="21"/>
  <c r="OW25" i="21"/>
  <c r="OV25" i="21"/>
  <c r="OU25" i="21"/>
  <c r="PA24" i="21"/>
  <c r="OZ24" i="21"/>
  <c r="OX24" i="21"/>
  <c r="OW24" i="21"/>
  <c r="OV24" i="21"/>
  <c r="OU24" i="21"/>
  <c r="PA23" i="21"/>
  <c r="OZ23" i="21"/>
  <c r="OX23" i="21"/>
  <c r="OW23" i="21"/>
  <c r="OV23" i="21"/>
  <c r="OU23" i="21"/>
  <c r="PA22" i="21"/>
  <c r="OZ22" i="21"/>
  <c r="OX22" i="21"/>
  <c r="OW22" i="21"/>
  <c r="OV22" i="21"/>
  <c r="PB22" i="21" s="1"/>
  <c r="OU22" i="21"/>
  <c r="PA21" i="21"/>
  <c r="OZ21" i="21"/>
  <c r="OX21" i="21"/>
  <c r="OW21" i="21"/>
  <c r="OV21" i="21"/>
  <c r="OU21" i="21"/>
  <c r="PA20" i="21"/>
  <c r="OZ20" i="21"/>
  <c r="OX20" i="21"/>
  <c r="OW20" i="21"/>
  <c r="OV20" i="21"/>
  <c r="OU20" i="21"/>
  <c r="PA19" i="21"/>
  <c r="OZ19" i="21"/>
  <c r="OX19" i="21"/>
  <c r="OW19" i="21"/>
  <c r="OV19" i="21"/>
  <c r="PB19" i="21" s="1"/>
  <c r="OU19" i="21"/>
  <c r="PA18" i="21"/>
  <c r="OZ18" i="21"/>
  <c r="OX18" i="21"/>
  <c r="OW18" i="21"/>
  <c r="OV18" i="21"/>
  <c r="PB18" i="21" s="1"/>
  <c r="OU18" i="21"/>
  <c r="PA17" i="21"/>
  <c r="OZ17" i="21"/>
  <c r="OX17" i="21"/>
  <c r="OW17" i="21"/>
  <c r="OV17" i="21"/>
  <c r="OU17" i="21"/>
  <c r="PA16" i="21"/>
  <c r="OZ16" i="21"/>
  <c r="OX16" i="21"/>
  <c r="OW16" i="21"/>
  <c r="OV16" i="21"/>
  <c r="OU16" i="21"/>
  <c r="PA15" i="21"/>
  <c r="OZ15" i="21"/>
  <c r="OX15" i="21"/>
  <c r="OW15" i="21"/>
  <c r="OV15" i="21"/>
  <c r="PB15" i="21" s="1"/>
  <c r="OU15" i="21"/>
  <c r="PA14" i="21"/>
  <c r="OZ14" i="21"/>
  <c r="OX14" i="21"/>
  <c r="OW14" i="21"/>
  <c r="OV14" i="21"/>
  <c r="PB14" i="21" s="1"/>
  <c r="OU14" i="21"/>
  <c r="PA13" i="21"/>
  <c r="OZ13" i="21"/>
  <c r="OX13" i="21"/>
  <c r="OW13" i="21"/>
  <c r="OV13" i="21"/>
  <c r="OU13" i="21"/>
  <c r="PA12" i="21"/>
  <c r="OZ12" i="21"/>
  <c r="OX12" i="21"/>
  <c r="OW12" i="21"/>
  <c r="OV12" i="21"/>
  <c r="OU12" i="21"/>
  <c r="PA11" i="21"/>
  <c r="OZ11" i="21"/>
  <c r="OX11" i="21"/>
  <c r="OW11" i="21"/>
  <c r="OV11" i="21"/>
  <c r="PB11" i="21" s="1"/>
  <c r="OU11" i="21"/>
  <c r="PA10" i="21"/>
  <c r="OZ10" i="21"/>
  <c r="OX10" i="21"/>
  <c r="OW10" i="21"/>
  <c r="OV10" i="21"/>
  <c r="PB10" i="21" s="1"/>
  <c r="OU10" i="21"/>
  <c r="PA9" i="21"/>
  <c r="OZ9" i="21"/>
  <c r="OX9" i="21"/>
  <c r="OW9" i="21"/>
  <c r="OV9" i="21"/>
  <c r="OU9" i="21"/>
  <c r="PA8" i="21"/>
  <c r="OZ8" i="21"/>
  <c r="OX8" i="21"/>
  <c r="OW8" i="21"/>
  <c r="OV8" i="21"/>
  <c r="OU8" i="21"/>
  <c r="PA7" i="21"/>
  <c r="OZ7" i="21"/>
  <c r="OX7" i="21"/>
  <c r="OW7" i="21"/>
  <c r="OV7" i="21"/>
  <c r="PB7" i="21" s="1"/>
  <c r="OU7" i="21"/>
  <c r="PA6" i="21"/>
  <c r="OZ6" i="21"/>
  <c r="OX6" i="21"/>
  <c r="OW6" i="21"/>
  <c r="OV6" i="21"/>
  <c r="PB6" i="21" s="1"/>
  <c r="OU6" i="21"/>
  <c r="PA5" i="21"/>
  <c r="OZ5" i="21"/>
  <c r="OX5" i="21"/>
  <c r="OW5" i="21"/>
  <c r="OV5" i="21"/>
  <c r="OU5" i="21"/>
  <c r="PA4" i="21"/>
  <c r="OZ4" i="21"/>
  <c r="OX4" i="21"/>
  <c r="OW4" i="21"/>
  <c r="OV4" i="21"/>
  <c r="OU4" i="21"/>
  <c r="NY26" i="21"/>
  <c r="NX26" i="21"/>
  <c r="NV26" i="21"/>
  <c r="NU26" i="21"/>
  <c r="NT26" i="21"/>
  <c r="NZ26" i="21" s="1"/>
  <c r="NS26" i="21"/>
  <c r="NY25" i="21"/>
  <c r="NX25" i="21"/>
  <c r="NV25" i="21"/>
  <c r="NU25" i="21"/>
  <c r="NT25" i="21"/>
  <c r="NZ25" i="21" s="1"/>
  <c r="NS25" i="21"/>
  <c r="NY24" i="21"/>
  <c r="NX24" i="21"/>
  <c r="NV24" i="21"/>
  <c r="NU24" i="21"/>
  <c r="NT24" i="21"/>
  <c r="NS24" i="21"/>
  <c r="NY23" i="21"/>
  <c r="NX23" i="21"/>
  <c r="NV23" i="21"/>
  <c r="NU23" i="21"/>
  <c r="NT23" i="21"/>
  <c r="NS23" i="21"/>
  <c r="NY22" i="21"/>
  <c r="NX22" i="21"/>
  <c r="NV22" i="21"/>
  <c r="NU22" i="21"/>
  <c r="NT22" i="21"/>
  <c r="NZ22" i="21" s="1"/>
  <c r="NS22" i="21"/>
  <c r="NY21" i="21"/>
  <c r="NX21" i="21"/>
  <c r="NV21" i="21"/>
  <c r="NU21" i="21"/>
  <c r="NT21" i="21"/>
  <c r="NZ21" i="21" s="1"/>
  <c r="NS21" i="21"/>
  <c r="NY20" i="21"/>
  <c r="NX20" i="21"/>
  <c r="NV20" i="21"/>
  <c r="NU20" i="21"/>
  <c r="NT20" i="21"/>
  <c r="NS20" i="21"/>
  <c r="NY19" i="21"/>
  <c r="NX19" i="21"/>
  <c r="NV19" i="21"/>
  <c r="NU19" i="21"/>
  <c r="NT19" i="21"/>
  <c r="NS19" i="21"/>
  <c r="NY18" i="21"/>
  <c r="NX18" i="21"/>
  <c r="NV18" i="21"/>
  <c r="NU18" i="21"/>
  <c r="NT18" i="21"/>
  <c r="NZ18" i="21" s="1"/>
  <c r="NS18" i="21"/>
  <c r="NY17" i="21"/>
  <c r="NX17" i="21"/>
  <c r="NV17" i="21"/>
  <c r="NU17" i="21"/>
  <c r="NT17" i="21"/>
  <c r="NZ17" i="21" s="1"/>
  <c r="NS17" i="21"/>
  <c r="NY16" i="21"/>
  <c r="NX16" i="21"/>
  <c r="NV16" i="21"/>
  <c r="NU16" i="21"/>
  <c r="NT16" i="21"/>
  <c r="NS16" i="21"/>
  <c r="NY15" i="21"/>
  <c r="NX15" i="21"/>
  <c r="NV15" i="21"/>
  <c r="NU15" i="21"/>
  <c r="NT15" i="21"/>
  <c r="NS15" i="21"/>
  <c r="NY14" i="21"/>
  <c r="NX14" i="21"/>
  <c r="NV14" i="21"/>
  <c r="NU14" i="21"/>
  <c r="NT14" i="21"/>
  <c r="NZ14" i="21" s="1"/>
  <c r="NS14" i="21"/>
  <c r="NY13" i="21"/>
  <c r="NX13" i="21"/>
  <c r="NV13" i="21"/>
  <c r="NU13" i="21"/>
  <c r="NT13" i="21"/>
  <c r="NZ13" i="21" s="1"/>
  <c r="NS13" i="21"/>
  <c r="NY12" i="21"/>
  <c r="NX12" i="21"/>
  <c r="NV12" i="21"/>
  <c r="NU12" i="21"/>
  <c r="NT12" i="21"/>
  <c r="NS12" i="21"/>
  <c r="NY11" i="21"/>
  <c r="NX11" i="21"/>
  <c r="NV11" i="21"/>
  <c r="NU11" i="21"/>
  <c r="NT11" i="21"/>
  <c r="NS11" i="21"/>
  <c r="NY10" i="21"/>
  <c r="NX10" i="21"/>
  <c r="NV10" i="21"/>
  <c r="NU10" i="21"/>
  <c r="NT10" i="21"/>
  <c r="NZ10" i="21" s="1"/>
  <c r="NS10" i="21"/>
  <c r="NY9" i="21"/>
  <c r="NX9" i="21"/>
  <c r="NV9" i="21"/>
  <c r="NU9" i="21"/>
  <c r="NT9" i="21"/>
  <c r="NZ9" i="21" s="1"/>
  <c r="NS9" i="21"/>
  <c r="NY8" i="21"/>
  <c r="NX8" i="21"/>
  <c r="NV8" i="21"/>
  <c r="NU8" i="21"/>
  <c r="NT8" i="21"/>
  <c r="NS8" i="21"/>
  <c r="NY7" i="21"/>
  <c r="NX7" i="21"/>
  <c r="NV7" i="21"/>
  <c r="NU7" i="21"/>
  <c r="NT7" i="21"/>
  <c r="NS7" i="21"/>
  <c r="NY6" i="21"/>
  <c r="NX6" i="21"/>
  <c r="NV6" i="21"/>
  <c r="NU6" i="21"/>
  <c r="NT6" i="21"/>
  <c r="NZ6" i="21" s="1"/>
  <c r="NS6" i="21"/>
  <c r="NY5" i="21"/>
  <c r="NX5" i="21"/>
  <c r="NV5" i="21"/>
  <c r="NU5" i="21"/>
  <c r="NT5" i="21"/>
  <c r="NZ5" i="21" s="1"/>
  <c r="NS5" i="21"/>
  <c r="NY4" i="21"/>
  <c r="NX4" i="21"/>
  <c r="NV4" i="21"/>
  <c r="NU4" i="21"/>
  <c r="NT4" i="21"/>
  <c r="NS4" i="21"/>
  <c r="MW26" i="21"/>
  <c r="MV26" i="21"/>
  <c r="MT26" i="21"/>
  <c r="MS26" i="21"/>
  <c r="MR26" i="21"/>
  <c r="MQ26" i="21"/>
  <c r="MW25" i="21"/>
  <c r="MV25" i="21"/>
  <c r="MT25" i="21"/>
  <c r="MS25" i="21"/>
  <c r="MR25" i="21"/>
  <c r="MX25" i="21" s="1"/>
  <c r="MQ25" i="21"/>
  <c r="MW24" i="21"/>
  <c r="MV24" i="21"/>
  <c r="MT24" i="21"/>
  <c r="MS24" i="21"/>
  <c r="MR24" i="21"/>
  <c r="MX24" i="21" s="1"/>
  <c r="MQ24" i="21"/>
  <c r="MW23" i="21"/>
  <c r="MV23" i="21"/>
  <c r="MT23" i="21"/>
  <c r="MS23" i="21"/>
  <c r="MR23" i="21"/>
  <c r="MQ23" i="21"/>
  <c r="MW22" i="21"/>
  <c r="MV22" i="21"/>
  <c r="MT22" i="21"/>
  <c r="MS22" i="21"/>
  <c r="MR22" i="21"/>
  <c r="MQ22" i="21"/>
  <c r="MW21" i="21"/>
  <c r="MV21" i="21"/>
  <c r="MT21" i="21"/>
  <c r="MS21" i="21"/>
  <c r="MR21" i="21"/>
  <c r="MX21" i="21" s="1"/>
  <c r="MQ21" i="21"/>
  <c r="MW20" i="21"/>
  <c r="MV20" i="21"/>
  <c r="MT20" i="21"/>
  <c r="MS20" i="21"/>
  <c r="MR20" i="21"/>
  <c r="MX20" i="21" s="1"/>
  <c r="MQ20" i="21"/>
  <c r="MW19" i="21"/>
  <c r="MV19" i="21"/>
  <c r="MT19" i="21"/>
  <c r="MS19" i="21"/>
  <c r="MR19" i="21"/>
  <c r="MQ19" i="21"/>
  <c r="MW18" i="21"/>
  <c r="MV18" i="21"/>
  <c r="MT18" i="21"/>
  <c r="MS18" i="21"/>
  <c r="MR18" i="21"/>
  <c r="MQ18" i="21"/>
  <c r="MW17" i="21"/>
  <c r="MV17" i="21"/>
  <c r="MT17" i="21"/>
  <c r="MS17" i="21"/>
  <c r="MR17" i="21"/>
  <c r="MX17" i="21" s="1"/>
  <c r="MQ17" i="21"/>
  <c r="MW16" i="21"/>
  <c r="MV16" i="21"/>
  <c r="MT16" i="21"/>
  <c r="MS16" i="21"/>
  <c r="MR16" i="21"/>
  <c r="MX16" i="21" s="1"/>
  <c r="MQ16" i="21"/>
  <c r="MW15" i="21"/>
  <c r="MV15" i="21"/>
  <c r="MT15" i="21"/>
  <c r="MS15" i="21"/>
  <c r="MR15" i="21"/>
  <c r="MQ15" i="21"/>
  <c r="MW14" i="21"/>
  <c r="MV14" i="21"/>
  <c r="MT14" i="21"/>
  <c r="MS14" i="21"/>
  <c r="MR14" i="21"/>
  <c r="MQ14" i="21"/>
  <c r="MW13" i="21"/>
  <c r="MV13" i="21"/>
  <c r="MT13" i="21"/>
  <c r="MS13" i="21"/>
  <c r="MR13" i="21"/>
  <c r="MX13" i="21" s="1"/>
  <c r="MQ13" i="21"/>
  <c r="MW12" i="21"/>
  <c r="MV12" i="21"/>
  <c r="MT12" i="21"/>
  <c r="MS12" i="21"/>
  <c r="MR12" i="21"/>
  <c r="MX12" i="21" s="1"/>
  <c r="MQ12" i="21"/>
  <c r="MW11" i="21"/>
  <c r="MV11" i="21"/>
  <c r="MT11" i="21"/>
  <c r="MS11" i="21"/>
  <c r="MR11" i="21"/>
  <c r="MQ11" i="21"/>
  <c r="MW10" i="21"/>
  <c r="MV10" i="21"/>
  <c r="MT10" i="21"/>
  <c r="MS10" i="21"/>
  <c r="MR10" i="21"/>
  <c r="MQ10" i="21"/>
  <c r="MW9" i="21"/>
  <c r="MV9" i="21"/>
  <c r="MT9" i="21"/>
  <c r="MS9" i="21"/>
  <c r="MR9" i="21"/>
  <c r="MX9" i="21" s="1"/>
  <c r="MQ9" i="21"/>
  <c r="MW8" i="21"/>
  <c r="MV8" i="21"/>
  <c r="MT8" i="21"/>
  <c r="MS8" i="21"/>
  <c r="MR8" i="21"/>
  <c r="MX8" i="21" s="1"/>
  <c r="MQ8" i="21"/>
  <c r="MW7" i="21"/>
  <c r="MV7" i="21"/>
  <c r="MT7" i="21"/>
  <c r="MS7" i="21"/>
  <c r="MR7" i="21"/>
  <c r="MQ7" i="21"/>
  <c r="MW6" i="21"/>
  <c r="MV6" i="21"/>
  <c r="MT6" i="21"/>
  <c r="MS6" i="21"/>
  <c r="MR6" i="21"/>
  <c r="MQ6" i="21"/>
  <c r="MW5" i="21"/>
  <c r="MV5" i="21"/>
  <c r="MT5" i="21"/>
  <c r="MS5" i="21"/>
  <c r="MR5" i="21"/>
  <c r="MX5" i="21" s="1"/>
  <c r="MQ5" i="21"/>
  <c r="MW4" i="21"/>
  <c r="MV4" i="21"/>
  <c r="MT4" i="21"/>
  <c r="MS4" i="21"/>
  <c r="MR4" i="21"/>
  <c r="MX4" i="21" s="1"/>
  <c r="MQ4" i="21"/>
  <c r="LU26" i="21"/>
  <c r="LT26" i="21"/>
  <c r="LR26" i="21"/>
  <c r="LQ26" i="21"/>
  <c r="LP26" i="21"/>
  <c r="LO26" i="21"/>
  <c r="LU25" i="21"/>
  <c r="LT25" i="21"/>
  <c r="LR25" i="21"/>
  <c r="LQ25" i="21"/>
  <c r="LP25" i="21"/>
  <c r="LO25" i="21"/>
  <c r="LU24" i="21"/>
  <c r="LT24" i="21"/>
  <c r="LR24" i="21"/>
  <c r="LQ24" i="21"/>
  <c r="LP24" i="21"/>
  <c r="LV24" i="21" s="1"/>
  <c r="LO24" i="21"/>
  <c r="LU23" i="21"/>
  <c r="LT23" i="21"/>
  <c r="LR23" i="21"/>
  <c r="LQ23" i="21"/>
  <c r="LP23" i="21"/>
  <c r="LV23" i="21" s="1"/>
  <c r="LO23" i="21"/>
  <c r="LU22" i="21"/>
  <c r="LT22" i="21"/>
  <c r="LR22" i="21"/>
  <c r="LQ22" i="21"/>
  <c r="LP22" i="21"/>
  <c r="LO22" i="21"/>
  <c r="LU21" i="21"/>
  <c r="LT21" i="21"/>
  <c r="LR21" i="21"/>
  <c r="LQ21" i="21"/>
  <c r="LP21" i="21"/>
  <c r="LO21" i="21"/>
  <c r="LU20" i="21"/>
  <c r="LT20" i="21"/>
  <c r="LR20" i="21"/>
  <c r="LQ20" i="21"/>
  <c r="LP20" i="21"/>
  <c r="LV20" i="21" s="1"/>
  <c r="LO20" i="21"/>
  <c r="LU19" i="21"/>
  <c r="LT19" i="21"/>
  <c r="LR19" i="21"/>
  <c r="LQ19" i="21"/>
  <c r="LP19" i="21"/>
  <c r="LV19" i="21" s="1"/>
  <c r="LO19" i="21"/>
  <c r="LU18" i="21"/>
  <c r="LT18" i="21"/>
  <c r="LR18" i="21"/>
  <c r="LQ18" i="21"/>
  <c r="LP18" i="21"/>
  <c r="LO18" i="21"/>
  <c r="LU17" i="21"/>
  <c r="LT17" i="21"/>
  <c r="LR17" i="21"/>
  <c r="LQ17" i="21"/>
  <c r="LP17" i="21"/>
  <c r="LO17" i="21"/>
  <c r="LU16" i="21"/>
  <c r="LT16" i="21"/>
  <c r="LR16" i="21"/>
  <c r="LQ16" i="21"/>
  <c r="LP16" i="21"/>
  <c r="LV16" i="21" s="1"/>
  <c r="LO16" i="21"/>
  <c r="LU15" i="21"/>
  <c r="LT15" i="21"/>
  <c r="LR15" i="21"/>
  <c r="LQ15" i="21"/>
  <c r="LP15" i="21"/>
  <c r="LV15" i="21" s="1"/>
  <c r="LO15" i="21"/>
  <c r="LU14" i="21"/>
  <c r="LT14" i="21"/>
  <c r="LR14" i="21"/>
  <c r="LQ14" i="21"/>
  <c r="LP14" i="21"/>
  <c r="LO14" i="21"/>
  <c r="LU13" i="21"/>
  <c r="LT13" i="21"/>
  <c r="LR13" i="21"/>
  <c r="LQ13" i="21"/>
  <c r="LP13" i="21"/>
  <c r="LO13" i="21"/>
  <c r="LU12" i="21"/>
  <c r="LT12" i="21"/>
  <c r="LR12" i="21"/>
  <c r="LQ12" i="21"/>
  <c r="LP12" i="21"/>
  <c r="LV12" i="21" s="1"/>
  <c r="LO12" i="21"/>
  <c r="LU11" i="21"/>
  <c r="LT11" i="21"/>
  <c r="LR11" i="21"/>
  <c r="LQ11" i="21"/>
  <c r="LP11" i="21"/>
  <c r="LV11" i="21" s="1"/>
  <c r="LO11" i="21"/>
  <c r="LU10" i="21"/>
  <c r="LT10" i="21"/>
  <c r="LR10" i="21"/>
  <c r="LQ10" i="21"/>
  <c r="LP10" i="21"/>
  <c r="LO10" i="21"/>
  <c r="LU9" i="21"/>
  <c r="LT9" i="21"/>
  <c r="LR9" i="21"/>
  <c r="LQ9" i="21"/>
  <c r="LP9" i="21"/>
  <c r="LO9" i="21"/>
  <c r="LU8" i="21"/>
  <c r="LT8" i="21"/>
  <c r="LR8" i="21"/>
  <c r="LQ8" i="21"/>
  <c r="LP8" i="21"/>
  <c r="LV8" i="21" s="1"/>
  <c r="LO8" i="21"/>
  <c r="LU7" i="21"/>
  <c r="LT7" i="21"/>
  <c r="LR7" i="21"/>
  <c r="LQ7" i="21"/>
  <c r="LP7" i="21"/>
  <c r="LV7" i="21" s="1"/>
  <c r="LO7" i="21"/>
  <c r="LU6" i="21"/>
  <c r="LT6" i="21"/>
  <c r="LR6" i="21"/>
  <c r="LQ6" i="21"/>
  <c r="LP6" i="21"/>
  <c r="LO6" i="21"/>
  <c r="LU5" i="21"/>
  <c r="LT5" i="21"/>
  <c r="LR5" i="21"/>
  <c r="LQ5" i="21"/>
  <c r="LP5" i="21"/>
  <c r="LO5" i="21"/>
  <c r="LU4" i="21"/>
  <c r="LT4" i="21"/>
  <c r="LR4" i="21"/>
  <c r="LQ4" i="21"/>
  <c r="LP4" i="21"/>
  <c r="LV4" i="21" s="1"/>
  <c r="LO4" i="21"/>
  <c r="KS26" i="21"/>
  <c r="KR26" i="21"/>
  <c r="KP26" i="21"/>
  <c r="KO26" i="21"/>
  <c r="KN26" i="21"/>
  <c r="KT26" i="21" s="1"/>
  <c r="KM26" i="21"/>
  <c r="KS25" i="21"/>
  <c r="KR25" i="21"/>
  <c r="KP25" i="21"/>
  <c r="KO25" i="21"/>
  <c r="KN25" i="21"/>
  <c r="KM25" i="21"/>
  <c r="KS24" i="21"/>
  <c r="KR24" i="21"/>
  <c r="KP24" i="21"/>
  <c r="KO24" i="21"/>
  <c r="KN24" i="21"/>
  <c r="KM24" i="21"/>
  <c r="KS23" i="21"/>
  <c r="KR23" i="21"/>
  <c r="KP23" i="21"/>
  <c r="KO23" i="21"/>
  <c r="KN23" i="21"/>
  <c r="KT23" i="21" s="1"/>
  <c r="KM23" i="21"/>
  <c r="KS22" i="21"/>
  <c r="KR22" i="21"/>
  <c r="KP22" i="21"/>
  <c r="KO22" i="21"/>
  <c r="KN22" i="21"/>
  <c r="KT22" i="21" s="1"/>
  <c r="KM22" i="21"/>
  <c r="KS21" i="21"/>
  <c r="KR21" i="21"/>
  <c r="KP21" i="21"/>
  <c r="KO21" i="21"/>
  <c r="KN21" i="21"/>
  <c r="KM21" i="21"/>
  <c r="KS20" i="21"/>
  <c r="KR20" i="21"/>
  <c r="KP20" i="21"/>
  <c r="KO20" i="21"/>
  <c r="KN20" i="21"/>
  <c r="KM20" i="21"/>
  <c r="KS19" i="21"/>
  <c r="KR19" i="21"/>
  <c r="KP19" i="21"/>
  <c r="KO19" i="21"/>
  <c r="KN19" i="21"/>
  <c r="KT19" i="21" s="1"/>
  <c r="KM19" i="21"/>
  <c r="KS18" i="21"/>
  <c r="KR18" i="21"/>
  <c r="KP18" i="21"/>
  <c r="KO18" i="21"/>
  <c r="KN18" i="21"/>
  <c r="KT18" i="21" s="1"/>
  <c r="KM18" i="21"/>
  <c r="KS17" i="21"/>
  <c r="KR17" i="21"/>
  <c r="KP17" i="21"/>
  <c r="KO17" i="21"/>
  <c r="KN17" i="21"/>
  <c r="KM17" i="21"/>
  <c r="KS16" i="21"/>
  <c r="KR16" i="21"/>
  <c r="KP16" i="21"/>
  <c r="KO16" i="21"/>
  <c r="KN16" i="21"/>
  <c r="KM16" i="21"/>
  <c r="KS15" i="21"/>
  <c r="KR15" i="21"/>
  <c r="KP15" i="21"/>
  <c r="KO15" i="21"/>
  <c r="KN15" i="21"/>
  <c r="KT15" i="21" s="1"/>
  <c r="KM15" i="21"/>
  <c r="KS14" i="21"/>
  <c r="KR14" i="21"/>
  <c r="KP14" i="21"/>
  <c r="KO14" i="21"/>
  <c r="KN14" i="21"/>
  <c r="KT14" i="21" s="1"/>
  <c r="KM14" i="21"/>
  <c r="KS13" i="21"/>
  <c r="KR13" i="21"/>
  <c r="KP13" i="21"/>
  <c r="KO13" i="21"/>
  <c r="KN13" i="21"/>
  <c r="KM13" i="21"/>
  <c r="KS12" i="21"/>
  <c r="KR12" i="21"/>
  <c r="KP12" i="21"/>
  <c r="KO12" i="21"/>
  <c r="KN12" i="21"/>
  <c r="KM12" i="21"/>
  <c r="KS11" i="21"/>
  <c r="KR11" i="21"/>
  <c r="KP11" i="21"/>
  <c r="KO11" i="21"/>
  <c r="KN11" i="21"/>
  <c r="KT11" i="21" s="1"/>
  <c r="KM11" i="21"/>
  <c r="KS10" i="21"/>
  <c r="KR10" i="21"/>
  <c r="KP10" i="21"/>
  <c r="KO10" i="21"/>
  <c r="KN10" i="21"/>
  <c r="KT10" i="21" s="1"/>
  <c r="KM10" i="21"/>
  <c r="KS9" i="21"/>
  <c r="KR9" i="21"/>
  <c r="KP9" i="21"/>
  <c r="KO9" i="21"/>
  <c r="KN9" i="21"/>
  <c r="KM9" i="21"/>
  <c r="KS8" i="21"/>
  <c r="KR8" i="21"/>
  <c r="KP8" i="21"/>
  <c r="KO8" i="21"/>
  <c r="KN8" i="21"/>
  <c r="KM8" i="21"/>
  <c r="KS7" i="21"/>
  <c r="KR7" i="21"/>
  <c r="KP7" i="21"/>
  <c r="KO7" i="21"/>
  <c r="KN7" i="21"/>
  <c r="KT7" i="21" s="1"/>
  <c r="KM7" i="21"/>
  <c r="KS6" i="21"/>
  <c r="KR6" i="21"/>
  <c r="KP6" i="21"/>
  <c r="KO6" i="21"/>
  <c r="KN6" i="21"/>
  <c r="KT6" i="21" s="1"/>
  <c r="KM6" i="21"/>
  <c r="KS5" i="21"/>
  <c r="KR5" i="21"/>
  <c r="KP5" i="21"/>
  <c r="KO5" i="21"/>
  <c r="KN5" i="21"/>
  <c r="KM5" i="21"/>
  <c r="KS4" i="21"/>
  <c r="KR4" i="21"/>
  <c r="KP4" i="21"/>
  <c r="KO4" i="21"/>
  <c r="KN4" i="21"/>
  <c r="KM4" i="21"/>
  <c r="JQ26" i="21"/>
  <c r="JP26" i="21"/>
  <c r="JN26" i="21"/>
  <c r="JM26" i="21"/>
  <c r="JL26" i="21"/>
  <c r="JR26" i="21" s="1"/>
  <c r="JK26" i="21"/>
  <c r="JQ25" i="21"/>
  <c r="JP25" i="21"/>
  <c r="JN25" i="21"/>
  <c r="JM25" i="21"/>
  <c r="JL25" i="21"/>
  <c r="JR25" i="21" s="1"/>
  <c r="JK25" i="21"/>
  <c r="JQ24" i="21"/>
  <c r="JP24" i="21"/>
  <c r="JN24" i="21"/>
  <c r="JM24" i="21"/>
  <c r="JL24" i="21"/>
  <c r="JK24" i="21"/>
  <c r="JQ23" i="21"/>
  <c r="JP23" i="21"/>
  <c r="JN23" i="21"/>
  <c r="JM23" i="21"/>
  <c r="JL23" i="21"/>
  <c r="JK23" i="21"/>
  <c r="JQ22" i="21"/>
  <c r="JP22" i="21"/>
  <c r="JN22" i="21"/>
  <c r="JM22" i="21"/>
  <c r="JL22" i="21"/>
  <c r="JR22" i="21" s="1"/>
  <c r="JK22" i="21"/>
  <c r="JQ21" i="21"/>
  <c r="JP21" i="21"/>
  <c r="JN21" i="21"/>
  <c r="JM21" i="21"/>
  <c r="JL21" i="21"/>
  <c r="JR21" i="21" s="1"/>
  <c r="JK21" i="21"/>
  <c r="JQ20" i="21"/>
  <c r="JP20" i="21"/>
  <c r="JN20" i="21"/>
  <c r="JM20" i="21"/>
  <c r="JL20" i="21"/>
  <c r="JK20" i="21"/>
  <c r="JQ19" i="21"/>
  <c r="JP19" i="21"/>
  <c r="JN19" i="21"/>
  <c r="JM19" i="21"/>
  <c r="JL19" i="21"/>
  <c r="JK19" i="21"/>
  <c r="JQ18" i="21"/>
  <c r="JP18" i="21"/>
  <c r="JN18" i="21"/>
  <c r="JM18" i="21"/>
  <c r="JL18" i="21"/>
  <c r="JR18" i="21" s="1"/>
  <c r="JK18" i="21"/>
  <c r="JQ17" i="21"/>
  <c r="JP17" i="21"/>
  <c r="JN17" i="21"/>
  <c r="JM17" i="21"/>
  <c r="JL17" i="21"/>
  <c r="JR17" i="21" s="1"/>
  <c r="JK17" i="21"/>
  <c r="JQ16" i="21"/>
  <c r="JP16" i="21"/>
  <c r="JN16" i="21"/>
  <c r="JM16" i="21"/>
  <c r="JL16" i="21"/>
  <c r="JK16" i="21"/>
  <c r="JQ15" i="21"/>
  <c r="JP15" i="21"/>
  <c r="JN15" i="21"/>
  <c r="JM15" i="21"/>
  <c r="JL15" i="21"/>
  <c r="JK15" i="21"/>
  <c r="JQ14" i="21"/>
  <c r="JP14" i="21"/>
  <c r="JN14" i="21"/>
  <c r="JM14" i="21"/>
  <c r="JL14" i="21"/>
  <c r="JR14" i="21" s="1"/>
  <c r="JK14" i="21"/>
  <c r="JQ13" i="21"/>
  <c r="JP13" i="21"/>
  <c r="JN13" i="21"/>
  <c r="JM13" i="21"/>
  <c r="JL13" i="21"/>
  <c r="JR13" i="21" s="1"/>
  <c r="JK13" i="21"/>
  <c r="JQ12" i="21"/>
  <c r="JP12" i="21"/>
  <c r="JN12" i="21"/>
  <c r="JM12" i="21"/>
  <c r="JL12" i="21"/>
  <c r="JK12" i="21"/>
  <c r="JQ11" i="21"/>
  <c r="JP11" i="21"/>
  <c r="JN11" i="21"/>
  <c r="JM11" i="21"/>
  <c r="JL11" i="21"/>
  <c r="JK11" i="21"/>
  <c r="JQ10" i="21"/>
  <c r="JP10" i="21"/>
  <c r="JN10" i="21"/>
  <c r="JM10" i="21"/>
  <c r="JL10" i="21"/>
  <c r="JR10" i="21" s="1"/>
  <c r="JK10" i="21"/>
  <c r="JQ9" i="21"/>
  <c r="JP9" i="21"/>
  <c r="JN9" i="21"/>
  <c r="JM9" i="21"/>
  <c r="JL9" i="21"/>
  <c r="JR9" i="21" s="1"/>
  <c r="JK9" i="21"/>
  <c r="JQ8" i="21"/>
  <c r="JP8" i="21"/>
  <c r="JN8" i="21"/>
  <c r="JM8" i="21"/>
  <c r="JL8" i="21"/>
  <c r="JK8" i="21"/>
  <c r="JQ7" i="21"/>
  <c r="JP7" i="21"/>
  <c r="JN7" i="21"/>
  <c r="JM7" i="21"/>
  <c r="JL7" i="21"/>
  <c r="JK7" i="21"/>
  <c r="JQ6" i="21"/>
  <c r="JP6" i="21"/>
  <c r="JN6" i="21"/>
  <c r="JM6" i="21"/>
  <c r="JL6" i="21"/>
  <c r="JR6" i="21" s="1"/>
  <c r="JK6" i="21"/>
  <c r="JQ5" i="21"/>
  <c r="JP5" i="21"/>
  <c r="JN5" i="21"/>
  <c r="JM5" i="21"/>
  <c r="JL5" i="21"/>
  <c r="JR5" i="21" s="1"/>
  <c r="JK5" i="21"/>
  <c r="JQ4" i="21"/>
  <c r="JP4" i="21"/>
  <c r="JN4" i="21"/>
  <c r="JM4" i="21"/>
  <c r="JL4" i="21"/>
  <c r="JK4" i="21"/>
  <c r="IO26" i="21"/>
  <c r="IN26" i="21"/>
  <c r="IL26" i="21"/>
  <c r="IK26" i="21"/>
  <c r="IJ26" i="21"/>
  <c r="II26" i="21"/>
  <c r="IO25" i="21"/>
  <c r="IN25" i="21"/>
  <c r="IL25" i="21"/>
  <c r="IK25" i="21"/>
  <c r="IJ25" i="21"/>
  <c r="IP25" i="21" s="1"/>
  <c r="II25" i="21"/>
  <c r="IO24" i="21"/>
  <c r="IN24" i="21"/>
  <c r="IL24" i="21"/>
  <c r="IK24" i="21"/>
  <c r="IJ24" i="21"/>
  <c r="IP24" i="21" s="1"/>
  <c r="II24" i="21"/>
  <c r="IO23" i="21"/>
  <c r="IN23" i="21"/>
  <c r="IL23" i="21"/>
  <c r="IK23" i="21"/>
  <c r="IJ23" i="21"/>
  <c r="II23" i="21"/>
  <c r="IO22" i="21"/>
  <c r="IN22" i="21"/>
  <c r="IL22" i="21"/>
  <c r="IK22" i="21"/>
  <c r="IJ22" i="21"/>
  <c r="II22" i="21"/>
  <c r="IO21" i="21"/>
  <c r="IN21" i="21"/>
  <c r="IL21" i="21"/>
  <c r="IK21" i="21"/>
  <c r="IJ21" i="21"/>
  <c r="IP21" i="21" s="1"/>
  <c r="II21" i="21"/>
  <c r="IO20" i="21"/>
  <c r="IN20" i="21"/>
  <c r="IL20" i="21"/>
  <c r="IK20" i="21"/>
  <c r="IJ20" i="21"/>
  <c r="IP20" i="21" s="1"/>
  <c r="II20" i="21"/>
  <c r="IO19" i="21"/>
  <c r="IN19" i="21"/>
  <c r="IL19" i="21"/>
  <c r="IK19" i="21"/>
  <c r="IJ19" i="21"/>
  <c r="II19" i="21"/>
  <c r="IO18" i="21"/>
  <c r="IN18" i="21"/>
  <c r="IL18" i="21"/>
  <c r="IK18" i="21"/>
  <c r="IJ18" i="21"/>
  <c r="II18" i="21"/>
  <c r="IO17" i="21"/>
  <c r="IN17" i="21"/>
  <c r="IL17" i="21"/>
  <c r="IK17" i="21"/>
  <c r="IJ17" i="21"/>
  <c r="IP17" i="21" s="1"/>
  <c r="II17" i="21"/>
  <c r="IO16" i="21"/>
  <c r="IN16" i="21"/>
  <c r="IL16" i="21"/>
  <c r="IK16" i="21"/>
  <c r="IJ16" i="21"/>
  <c r="IP16" i="21" s="1"/>
  <c r="II16" i="21"/>
  <c r="IO15" i="21"/>
  <c r="IN15" i="21"/>
  <c r="IL15" i="21"/>
  <c r="IK15" i="21"/>
  <c r="IJ15" i="21"/>
  <c r="II15" i="21"/>
  <c r="IO14" i="21"/>
  <c r="IN14" i="21"/>
  <c r="IL14" i="21"/>
  <c r="IK14" i="21"/>
  <c r="IJ14" i="21"/>
  <c r="II14" i="21"/>
  <c r="IO13" i="21"/>
  <c r="IN13" i="21"/>
  <c r="IL13" i="21"/>
  <c r="IK13" i="21"/>
  <c r="IJ13" i="21"/>
  <c r="IP13" i="21" s="1"/>
  <c r="II13" i="21"/>
  <c r="IO12" i="21"/>
  <c r="IN12" i="21"/>
  <c r="IL12" i="21"/>
  <c r="IK12" i="21"/>
  <c r="IJ12" i="21"/>
  <c r="IP12" i="21" s="1"/>
  <c r="II12" i="21"/>
  <c r="IO11" i="21"/>
  <c r="IN11" i="21"/>
  <c r="IL11" i="21"/>
  <c r="IK11" i="21"/>
  <c r="IJ11" i="21"/>
  <c r="II11" i="21"/>
  <c r="IO10" i="21"/>
  <c r="IN10" i="21"/>
  <c r="IL10" i="21"/>
  <c r="IK10" i="21"/>
  <c r="IJ10" i="21"/>
  <c r="II10" i="21"/>
  <c r="IO9" i="21"/>
  <c r="IN9" i="21"/>
  <c r="IL9" i="21"/>
  <c r="IK9" i="21"/>
  <c r="IJ9" i="21"/>
  <c r="IP9" i="21" s="1"/>
  <c r="II9" i="21"/>
  <c r="IO8" i="21"/>
  <c r="IN8" i="21"/>
  <c r="IL8" i="21"/>
  <c r="IK8" i="21"/>
  <c r="IJ8" i="21"/>
  <c r="IP8" i="21" s="1"/>
  <c r="II8" i="21"/>
  <c r="IO7" i="21"/>
  <c r="IN7" i="21"/>
  <c r="IL7" i="21"/>
  <c r="IK7" i="21"/>
  <c r="IJ7" i="21"/>
  <c r="II7" i="21"/>
  <c r="IO6" i="21"/>
  <c r="IN6" i="21"/>
  <c r="IL6" i="21"/>
  <c r="IK6" i="21"/>
  <c r="IJ6" i="21"/>
  <c r="II6" i="21"/>
  <c r="IO5" i="21"/>
  <c r="IN5" i="21"/>
  <c r="IL5" i="21"/>
  <c r="IK5" i="21"/>
  <c r="IJ5" i="21"/>
  <c r="IP5" i="21" s="1"/>
  <c r="II5" i="21"/>
  <c r="IO4" i="21"/>
  <c r="IN4" i="21"/>
  <c r="IL4" i="21"/>
  <c r="IK4" i="21"/>
  <c r="IJ4" i="21"/>
  <c r="IP4" i="21" s="1"/>
  <c r="II4" i="21"/>
  <c r="HM26" i="21"/>
  <c r="HL26" i="21"/>
  <c r="HJ26" i="21"/>
  <c r="HI26" i="21"/>
  <c r="HH26" i="21"/>
  <c r="HG26" i="21"/>
  <c r="HM25" i="21"/>
  <c r="HL25" i="21"/>
  <c r="HJ25" i="21"/>
  <c r="HI25" i="21"/>
  <c r="HH25" i="21"/>
  <c r="HG25" i="21"/>
  <c r="HM24" i="21"/>
  <c r="HL24" i="21"/>
  <c r="HJ24" i="21"/>
  <c r="HI24" i="21"/>
  <c r="HH24" i="21"/>
  <c r="HN24" i="21" s="1"/>
  <c r="HG24" i="21"/>
  <c r="HM23" i="21"/>
  <c r="HL23" i="21"/>
  <c r="HJ23" i="21"/>
  <c r="HI23" i="21"/>
  <c r="HH23" i="21"/>
  <c r="HN23" i="21" s="1"/>
  <c r="HG23" i="21"/>
  <c r="HM22" i="21"/>
  <c r="HL22" i="21"/>
  <c r="HJ22" i="21"/>
  <c r="HI22" i="21"/>
  <c r="HH22" i="21"/>
  <c r="HG22" i="21"/>
  <c r="HM21" i="21"/>
  <c r="HL21" i="21"/>
  <c r="HJ21" i="21"/>
  <c r="HI21" i="21"/>
  <c r="HH21" i="21"/>
  <c r="HG21" i="21"/>
  <c r="HM20" i="21"/>
  <c r="HL20" i="21"/>
  <c r="HJ20" i="21"/>
  <c r="HI20" i="21"/>
  <c r="HH20" i="21"/>
  <c r="HN20" i="21" s="1"/>
  <c r="HG20" i="21"/>
  <c r="HM19" i="21"/>
  <c r="HL19" i="21"/>
  <c r="HJ19" i="21"/>
  <c r="HI19" i="21"/>
  <c r="HH19" i="21"/>
  <c r="HN19" i="21" s="1"/>
  <c r="HG19" i="21"/>
  <c r="HM18" i="21"/>
  <c r="HL18" i="21"/>
  <c r="HJ18" i="21"/>
  <c r="HI18" i="21"/>
  <c r="HH18" i="21"/>
  <c r="HG18" i="21"/>
  <c r="HM17" i="21"/>
  <c r="HL17" i="21"/>
  <c r="HJ17" i="21"/>
  <c r="HI17" i="21"/>
  <c r="HH17" i="21"/>
  <c r="HG17" i="21"/>
  <c r="HM16" i="21"/>
  <c r="HL16" i="21"/>
  <c r="HJ16" i="21"/>
  <c r="HI16" i="21"/>
  <c r="HH16" i="21"/>
  <c r="HN16" i="21" s="1"/>
  <c r="HG16" i="21"/>
  <c r="HM15" i="21"/>
  <c r="HL15" i="21"/>
  <c r="HJ15" i="21"/>
  <c r="HI15" i="21"/>
  <c r="HH15" i="21"/>
  <c r="HN15" i="21" s="1"/>
  <c r="HG15" i="21"/>
  <c r="HM14" i="21"/>
  <c r="HL14" i="21"/>
  <c r="HJ14" i="21"/>
  <c r="HI14" i="21"/>
  <c r="HH14" i="21"/>
  <c r="HG14" i="21"/>
  <c r="HM13" i="21"/>
  <c r="HL13" i="21"/>
  <c r="HJ13" i="21"/>
  <c r="HI13" i="21"/>
  <c r="HH13" i="21"/>
  <c r="HG13" i="21"/>
  <c r="HM12" i="21"/>
  <c r="HL12" i="21"/>
  <c r="HJ12" i="21"/>
  <c r="HI12" i="21"/>
  <c r="HH12" i="21"/>
  <c r="HN12" i="21" s="1"/>
  <c r="HG12" i="21"/>
  <c r="HM11" i="21"/>
  <c r="HL11" i="21"/>
  <c r="HJ11" i="21"/>
  <c r="HI11" i="21"/>
  <c r="HH11" i="21"/>
  <c r="HN11" i="21" s="1"/>
  <c r="HG11" i="21"/>
  <c r="HM10" i="21"/>
  <c r="HL10" i="21"/>
  <c r="HJ10" i="21"/>
  <c r="HI10" i="21"/>
  <c r="HH10" i="21"/>
  <c r="HG10" i="21"/>
  <c r="HM9" i="21"/>
  <c r="HL9" i="21"/>
  <c r="HJ9" i="21"/>
  <c r="HI9" i="21"/>
  <c r="HH9" i="21"/>
  <c r="HG9" i="21"/>
  <c r="HM8" i="21"/>
  <c r="HL8" i="21"/>
  <c r="HJ8" i="21"/>
  <c r="HI8" i="21"/>
  <c r="HH8" i="21"/>
  <c r="HN8" i="21" s="1"/>
  <c r="HG8" i="21"/>
  <c r="HM7" i="21"/>
  <c r="HL7" i="21"/>
  <c r="HJ7" i="21"/>
  <c r="HI7" i="21"/>
  <c r="HH7" i="21"/>
  <c r="HN7" i="21" s="1"/>
  <c r="HG7" i="21"/>
  <c r="HM6" i="21"/>
  <c r="HL6" i="21"/>
  <c r="HJ6" i="21"/>
  <c r="HI6" i="21"/>
  <c r="HH6" i="21"/>
  <c r="HG6" i="21"/>
  <c r="HM5" i="21"/>
  <c r="HL5" i="21"/>
  <c r="HJ5" i="21"/>
  <c r="HI5" i="21"/>
  <c r="HH5" i="21"/>
  <c r="HG5" i="21"/>
  <c r="HM4" i="21"/>
  <c r="HL4" i="21"/>
  <c r="HJ4" i="21"/>
  <c r="HI4" i="21"/>
  <c r="HH4" i="21"/>
  <c r="HN4" i="21" s="1"/>
  <c r="HG4" i="21"/>
  <c r="GK26" i="21"/>
  <c r="GJ26" i="21"/>
  <c r="GH26" i="21"/>
  <c r="GG26" i="21"/>
  <c r="GF26" i="21"/>
  <c r="GL26" i="21" s="1"/>
  <c r="GE26" i="21"/>
  <c r="GK25" i="21"/>
  <c r="GJ25" i="21"/>
  <c r="GH25" i="21"/>
  <c r="GG25" i="21"/>
  <c r="GF25" i="21"/>
  <c r="GE25" i="21"/>
  <c r="GK24" i="21"/>
  <c r="GJ24" i="21"/>
  <c r="GH24" i="21"/>
  <c r="GG24" i="21"/>
  <c r="GF24" i="21"/>
  <c r="GE24" i="21"/>
  <c r="GK23" i="21"/>
  <c r="GJ23" i="21"/>
  <c r="GH23" i="21"/>
  <c r="GG23" i="21"/>
  <c r="GF23" i="21"/>
  <c r="GL23" i="21" s="1"/>
  <c r="GE23" i="21"/>
  <c r="GK22" i="21"/>
  <c r="GJ22" i="21"/>
  <c r="GH22" i="21"/>
  <c r="GG22" i="21"/>
  <c r="GF22" i="21"/>
  <c r="GL22" i="21" s="1"/>
  <c r="GE22" i="21"/>
  <c r="GK21" i="21"/>
  <c r="GJ21" i="21"/>
  <c r="GH21" i="21"/>
  <c r="GG21" i="21"/>
  <c r="GF21" i="21"/>
  <c r="GE21" i="21"/>
  <c r="GK20" i="21"/>
  <c r="GJ20" i="21"/>
  <c r="GH20" i="21"/>
  <c r="GG20" i="21"/>
  <c r="GF20" i="21"/>
  <c r="GE20" i="21"/>
  <c r="GK19" i="21"/>
  <c r="GJ19" i="21"/>
  <c r="GH19" i="21"/>
  <c r="GG19" i="21"/>
  <c r="GF19" i="21"/>
  <c r="GL19" i="21" s="1"/>
  <c r="GE19" i="21"/>
  <c r="GK18" i="21"/>
  <c r="GJ18" i="21"/>
  <c r="GH18" i="21"/>
  <c r="GG18" i="21"/>
  <c r="GF18" i="21"/>
  <c r="GL18" i="21" s="1"/>
  <c r="GE18" i="21"/>
  <c r="GK17" i="21"/>
  <c r="GJ17" i="21"/>
  <c r="GH17" i="21"/>
  <c r="GG17" i="21"/>
  <c r="GF17" i="21"/>
  <c r="GE17" i="21"/>
  <c r="GK16" i="21"/>
  <c r="GJ16" i="21"/>
  <c r="GH16" i="21"/>
  <c r="GG16" i="21"/>
  <c r="GF16" i="21"/>
  <c r="GE16" i="21"/>
  <c r="GK15" i="21"/>
  <c r="GJ15" i="21"/>
  <c r="GH15" i="21"/>
  <c r="GG15" i="21"/>
  <c r="GF15" i="21"/>
  <c r="GL15" i="21" s="1"/>
  <c r="GE15" i="21"/>
  <c r="GK14" i="21"/>
  <c r="GJ14" i="21"/>
  <c r="GH14" i="21"/>
  <c r="GG14" i="21"/>
  <c r="GF14" i="21"/>
  <c r="GL14" i="21" s="1"/>
  <c r="GE14" i="21"/>
  <c r="GK13" i="21"/>
  <c r="GJ13" i="21"/>
  <c r="GH13" i="21"/>
  <c r="GG13" i="21"/>
  <c r="GF13" i="21"/>
  <c r="GE13" i="21"/>
  <c r="GK12" i="21"/>
  <c r="GJ12" i="21"/>
  <c r="GH12" i="21"/>
  <c r="GG12" i="21"/>
  <c r="GF12" i="21"/>
  <c r="GE12" i="21"/>
  <c r="GK11" i="21"/>
  <c r="GJ11" i="21"/>
  <c r="GH11" i="21"/>
  <c r="GG11" i="21"/>
  <c r="GF11" i="21"/>
  <c r="GL11" i="21" s="1"/>
  <c r="GE11" i="21"/>
  <c r="GK10" i="21"/>
  <c r="GJ10" i="21"/>
  <c r="GH10" i="21"/>
  <c r="GG10" i="21"/>
  <c r="GF10" i="21"/>
  <c r="GL10" i="21" s="1"/>
  <c r="GE10" i="21"/>
  <c r="GK9" i="21"/>
  <c r="GJ9" i="21"/>
  <c r="GH9" i="21"/>
  <c r="GG9" i="21"/>
  <c r="GF9" i="21"/>
  <c r="GE9" i="21"/>
  <c r="GK8" i="21"/>
  <c r="GJ8" i="21"/>
  <c r="GH8" i="21"/>
  <c r="GG8" i="21"/>
  <c r="GF8" i="21"/>
  <c r="GE8" i="21"/>
  <c r="GK7" i="21"/>
  <c r="GJ7" i="21"/>
  <c r="GH7" i="21"/>
  <c r="GG7" i="21"/>
  <c r="GF7" i="21"/>
  <c r="GL7" i="21" s="1"/>
  <c r="GE7" i="21"/>
  <c r="GK6" i="21"/>
  <c r="GJ6" i="21"/>
  <c r="GH6" i="21"/>
  <c r="GG6" i="21"/>
  <c r="GF6" i="21"/>
  <c r="GL6" i="21" s="1"/>
  <c r="GE6" i="21"/>
  <c r="GK5" i="21"/>
  <c r="GJ5" i="21"/>
  <c r="GH5" i="21"/>
  <c r="GG5" i="21"/>
  <c r="GF5" i="21"/>
  <c r="GE5" i="21"/>
  <c r="GK4" i="21"/>
  <c r="GJ4" i="21"/>
  <c r="GH4" i="21"/>
  <c r="GG4" i="21"/>
  <c r="GF4" i="21"/>
  <c r="GE4" i="21"/>
  <c r="FI26" i="21"/>
  <c r="FH26" i="21"/>
  <c r="FF26" i="21"/>
  <c r="FE26" i="21"/>
  <c r="FD26" i="21"/>
  <c r="FJ26" i="21" s="1"/>
  <c r="FC26" i="21"/>
  <c r="FI25" i="21"/>
  <c r="FH25" i="21"/>
  <c r="FF25" i="21"/>
  <c r="FE25" i="21"/>
  <c r="FD25" i="21"/>
  <c r="FJ25" i="21" s="1"/>
  <c r="FC25" i="21"/>
  <c r="FI24" i="21"/>
  <c r="FH24" i="21"/>
  <c r="FF24" i="21"/>
  <c r="FE24" i="21"/>
  <c r="FD24" i="21"/>
  <c r="FC24" i="21"/>
  <c r="FI23" i="21"/>
  <c r="FH23" i="21"/>
  <c r="FF23" i="21"/>
  <c r="FE23" i="21"/>
  <c r="FD23" i="21"/>
  <c r="FC23" i="21"/>
  <c r="FI22" i="21"/>
  <c r="FH22" i="21"/>
  <c r="FF22" i="21"/>
  <c r="FE22" i="21"/>
  <c r="FD22" i="21"/>
  <c r="FJ22" i="21" s="1"/>
  <c r="FC22" i="21"/>
  <c r="FI21" i="21"/>
  <c r="FH21" i="21"/>
  <c r="FF21" i="21"/>
  <c r="FE21" i="21"/>
  <c r="FD21" i="21"/>
  <c r="FJ21" i="21" s="1"/>
  <c r="FC21" i="21"/>
  <c r="FI20" i="21"/>
  <c r="FH20" i="21"/>
  <c r="FF20" i="21"/>
  <c r="FE20" i="21"/>
  <c r="FD20" i="21"/>
  <c r="FC20" i="21"/>
  <c r="FI19" i="21"/>
  <c r="FH19" i="21"/>
  <c r="FF19" i="21"/>
  <c r="FE19" i="21"/>
  <c r="FD19" i="21"/>
  <c r="FC19" i="21"/>
  <c r="FI18" i="21"/>
  <c r="FH18" i="21"/>
  <c r="FF18" i="21"/>
  <c r="FE18" i="21"/>
  <c r="FD18" i="21"/>
  <c r="FJ18" i="21" s="1"/>
  <c r="FC18" i="21"/>
  <c r="FI17" i="21"/>
  <c r="FH17" i="21"/>
  <c r="FF17" i="21"/>
  <c r="FE17" i="21"/>
  <c r="FD17" i="21"/>
  <c r="FJ17" i="21" s="1"/>
  <c r="FC17" i="21"/>
  <c r="FI16" i="21"/>
  <c r="FH16" i="21"/>
  <c r="FF16" i="21"/>
  <c r="FE16" i="21"/>
  <c r="FD16" i="21"/>
  <c r="FC16" i="21"/>
  <c r="FI15" i="21"/>
  <c r="FH15" i="21"/>
  <c r="FF15" i="21"/>
  <c r="FE15" i="21"/>
  <c r="FD15" i="21"/>
  <c r="FC15" i="21"/>
  <c r="FI14" i="21"/>
  <c r="FH14" i="21"/>
  <c r="FF14" i="21"/>
  <c r="FE14" i="21"/>
  <c r="FD14" i="21"/>
  <c r="FJ14" i="21" s="1"/>
  <c r="FC14" i="21"/>
  <c r="FI13" i="21"/>
  <c r="FH13" i="21"/>
  <c r="FF13" i="21"/>
  <c r="FE13" i="21"/>
  <c r="FD13" i="21"/>
  <c r="FJ13" i="21" s="1"/>
  <c r="FC13" i="21"/>
  <c r="FI12" i="21"/>
  <c r="FH12" i="21"/>
  <c r="FF12" i="21"/>
  <c r="FE12" i="21"/>
  <c r="FD12" i="21"/>
  <c r="FC12" i="21"/>
  <c r="FI11" i="21"/>
  <c r="FH11" i="21"/>
  <c r="FF11" i="21"/>
  <c r="FE11" i="21"/>
  <c r="FD11" i="21"/>
  <c r="FC11" i="21"/>
  <c r="FI10" i="21"/>
  <c r="FH10" i="21"/>
  <c r="FF10" i="21"/>
  <c r="FE10" i="21"/>
  <c r="FD10" i="21"/>
  <c r="FJ10" i="21" s="1"/>
  <c r="FC10" i="21"/>
  <c r="FI9" i="21"/>
  <c r="FH9" i="21"/>
  <c r="FF9" i="21"/>
  <c r="FE9" i="21"/>
  <c r="FD9" i="21"/>
  <c r="FJ9" i="21" s="1"/>
  <c r="FC9" i="21"/>
  <c r="FI8" i="21"/>
  <c r="FH8" i="21"/>
  <c r="FF8" i="21"/>
  <c r="FE8" i="21"/>
  <c r="FD8" i="21"/>
  <c r="FC8" i="21"/>
  <c r="FI7" i="21"/>
  <c r="FH7" i="21"/>
  <c r="FF7" i="21"/>
  <c r="FE7" i="21"/>
  <c r="FD7" i="21"/>
  <c r="FC7" i="21"/>
  <c r="FI6" i="21"/>
  <c r="FH6" i="21"/>
  <c r="FF6" i="21"/>
  <c r="FE6" i="21"/>
  <c r="FD6" i="21"/>
  <c r="FJ6" i="21" s="1"/>
  <c r="FC6" i="21"/>
  <c r="FI5" i="21"/>
  <c r="FH5" i="21"/>
  <c r="FF5" i="21"/>
  <c r="FE5" i="21"/>
  <c r="FD5" i="21"/>
  <c r="FJ5" i="21" s="1"/>
  <c r="FC5" i="21"/>
  <c r="FI4" i="21"/>
  <c r="FH4" i="21"/>
  <c r="FF4" i="21"/>
  <c r="FE4" i="21"/>
  <c r="FD4" i="21"/>
  <c r="FC4" i="21"/>
  <c r="EG26" i="21"/>
  <c r="EF26" i="21"/>
  <c r="ED26" i="21"/>
  <c r="EC26" i="21"/>
  <c r="EB26" i="21"/>
  <c r="EA26" i="21"/>
  <c r="EG25" i="21"/>
  <c r="EF25" i="21"/>
  <c r="ED25" i="21"/>
  <c r="EC25" i="21"/>
  <c r="EB25" i="21"/>
  <c r="EH25" i="21" s="1"/>
  <c r="EA25" i="21"/>
  <c r="EG24" i="21"/>
  <c r="EF24" i="21"/>
  <c r="ED24" i="21"/>
  <c r="EC24" i="21"/>
  <c r="EB24" i="21"/>
  <c r="EH24" i="21" s="1"/>
  <c r="EA24" i="21"/>
  <c r="EG23" i="21"/>
  <c r="EF23" i="21"/>
  <c r="ED23" i="21"/>
  <c r="EC23" i="21"/>
  <c r="EB23" i="21"/>
  <c r="EA23" i="21"/>
  <c r="EG22" i="21"/>
  <c r="EF22" i="21"/>
  <c r="ED22" i="21"/>
  <c r="EC22" i="21"/>
  <c r="EB22" i="21"/>
  <c r="EA22" i="21"/>
  <c r="EG21" i="21"/>
  <c r="EF21" i="21"/>
  <c r="ED21" i="21"/>
  <c r="EC21" i="21"/>
  <c r="EB21" i="21"/>
  <c r="EH21" i="21" s="1"/>
  <c r="EA21" i="21"/>
  <c r="EG20" i="21"/>
  <c r="EF20" i="21"/>
  <c r="ED20" i="21"/>
  <c r="EC20" i="21"/>
  <c r="EB20" i="21"/>
  <c r="EH20" i="21" s="1"/>
  <c r="EA20" i="21"/>
  <c r="EG19" i="21"/>
  <c r="EF19" i="21"/>
  <c r="ED19" i="21"/>
  <c r="EC19" i="21"/>
  <c r="EB19" i="21"/>
  <c r="EA19" i="21"/>
  <c r="EG18" i="21"/>
  <c r="EF18" i="21"/>
  <c r="ED18" i="21"/>
  <c r="EC18" i="21"/>
  <c r="EB18" i="21"/>
  <c r="EA18" i="21"/>
  <c r="EG17" i="21"/>
  <c r="EF17" i="21"/>
  <c r="ED17" i="21"/>
  <c r="EC17" i="21"/>
  <c r="EB17" i="21"/>
  <c r="EH17" i="21" s="1"/>
  <c r="EA17" i="21"/>
  <c r="EG16" i="21"/>
  <c r="EF16" i="21"/>
  <c r="ED16" i="21"/>
  <c r="EC16" i="21"/>
  <c r="EB16" i="21"/>
  <c r="EH16" i="21" s="1"/>
  <c r="EA16" i="21"/>
  <c r="EG15" i="21"/>
  <c r="EF15" i="21"/>
  <c r="ED15" i="21"/>
  <c r="EC15" i="21"/>
  <c r="EB15" i="21"/>
  <c r="EA15" i="21"/>
  <c r="EG14" i="21"/>
  <c r="EF14" i="21"/>
  <c r="ED14" i="21"/>
  <c r="EC14" i="21"/>
  <c r="EB14" i="21"/>
  <c r="EA14" i="21"/>
  <c r="EG13" i="21"/>
  <c r="EF13" i="21"/>
  <c r="ED13" i="21"/>
  <c r="EC13" i="21"/>
  <c r="EB13" i="21"/>
  <c r="EH13" i="21" s="1"/>
  <c r="EA13" i="21"/>
  <c r="EG12" i="21"/>
  <c r="EF12" i="21"/>
  <c r="ED12" i="21"/>
  <c r="EC12" i="21"/>
  <c r="EB12" i="21"/>
  <c r="EH12" i="21" s="1"/>
  <c r="EA12" i="21"/>
  <c r="EG11" i="21"/>
  <c r="EF11" i="21"/>
  <c r="ED11" i="21"/>
  <c r="EC11" i="21"/>
  <c r="EB11" i="21"/>
  <c r="EA11" i="21"/>
  <c r="EG10" i="21"/>
  <c r="EF10" i="21"/>
  <c r="ED10" i="21"/>
  <c r="EC10" i="21"/>
  <c r="EB10" i="21"/>
  <c r="EA10" i="21"/>
  <c r="EG9" i="21"/>
  <c r="EF9" i="21"/>
  <c r="ED9" i="21"/>
  <c r="EC9" i="21"/>
  <c r="EB9" i="21"/>
  <c r="EH9" i="21" s="1"/>
  <c r="EA9" i="21"/>
  <c r="EG8" i="21"/>
  <c r="EF8" i="21"/>
  <c r="ED8" i="21"/>
  <c r="EC8" i="21"/>
  <c r="EB8" i="21"/>
  <c r="EH8" i="21" s="1"/>
  <c r="EA8" i="21"/>
  <c r="EG7" i="21"/>
  <c r="EF7" i="21"/>
  <c r="ED7" i="21"/>
  <c r="EC7" i="21"/>
  <c r="EB7" i="21"/>
  <c r="EA7" i="21"/>
  <c r="EG6" i="21"/>
  <c r="EF6" i="21"/>
  <c r="ED6" i="21"/>
  <c r="EC6" i="21"/>
  <c r="EB6" i="21"/>
  <c r="EA6" i="21"/>
  <c r="EG5" i="21"/>
  <c r="EF5" i="21"/>
  <c r="ED5" i="21"/>
  <c r="EC5" i="21"/>
  <c r="EB5" i="21"/>
  <c r="EH5" i="21" s="1"/>
  <c r="EA5" i="21"/>
  <c r="EG4" i="21"/>
  <c r="EF4" i="21"/>
  <c r="ED4" i="21"/>
  <c r="EC4" i="21"/>
  <c r="EB4" i="21"/>
  <c r="EH4" i="21" s="1"/>
  <c r="EA4" i="21"/>
  <c r="PA36" i="19"/>
  <c r="OZ36" i="19"/>
  <c r="OX36" i="19"/>
  <c r="OW36" i="19"/>
  <c r="OV36" i="19"/>
  <c r="PB36" i="19" s="1"/>
  <c r="OU36" i="19"/>
  <c r="PA34" i="19"/>
  <c r="OZ34" i="19"/>
  <c r="OX34" i="19"/>
  <c r="OW34" i="19"/>
  <c r="OV34" i="19"/>
  <c r="OU34" i="19"/>
  <c r="PA33" i="19"/>
  <c r="OZ33" i="19"/>
  <c r="OX33" i="19"/>
  <c r="OW33" i="19"/>
  <c r="OV33" i="19"/>
  <c r="OU33" i="19"/>
  <c r="PA32" i="19"/>
  <c r="OZ32" i="19"/>
  <c r="OX32" i="19"/>
  <c r="OW32" i="19"/>
  <c r="OV32" i="19"/>
  <c r="OU32" i="19"/>
  <c r="PA35" i="19"/>
  <c r="OZ35" i="19"/>
  <c r="OX35" i="19"/>
  <c r="OW35" i="19"/>
  <c r="OV35" i="19"/>
  <c r="OU35" i="19"/>
  <c r="PA30" i="19"/>
  <c r="OZ30" i="19"/>
  <c r="OX30" i="19"/>
  <c r="OW30" i="19"/>
  <c r="OV30" i="19"/>
  <c r="OU30" i="19"/>
  <c r="PA29" i="19"/>
  <c r="OZ29" i="19"/>
  <c r="OX29" i="19"/>
  <c r="OW29" i="19"/>
  <c r="OV29" i="19"/>
  <c r="PB29" i="19" s="1"/>
  <c r="OU29" i="19"/>
  <c r="PA28" i="19"/>
  <c r="OZ28" i="19"/>
  <c r="OX28" i="19"/>
  <c r="OW28" i="19"/>
  <c r="OV28" i="19"/>
  <c r="OU28" i="19"/>
  <c r="PA27" i="19"/>
  <c r="OZ27" i="19"/>
  <c r="OX27" i="19"/>
  <c r="OW27" i="19"/>
  <c r="OV27" i="19"/>
  <c r="OU27" i="19"/>
  <c r="PA26" i="19"/>
  <c r="OZ26" i="19"/>
  <c r="OX26" i="19"/>
  <c r="OW26" i="19"/>
  <c r="OV26" i="19"/>
  <c r="OU26" i="19"/>
  <c r="PA25" i="19"/>
  <c r="OZ25" i="19"/>
  <c r="OX25" i="19"/>
  <c r="OW25" i="19"/>
  <c r="OV25" i="19"/>
  <c r="PB25" i="19" s="1"/>
  <c r="OU25" i="19"/>
  <c r="PA24" i="19"/>
  <c r="OZ24" i="19"/>
  <c r="OX24" i="19"/>
  <c r="OW24" i="19"/>
  <c r="OV24" i="19"/>
  <c r="OU24" i="19"/>
  <c r="PA23" i="19"/>
  <c r="OZ23" i="19"/>
  <c r="OX23" i="19"/>
  <c r="OW23" i="19"/>
  <c r="OV23" i="19"/>
  <c r="OU23" i="19"/>
  <c r="PA22" i="19"/>
  <c r="OZ22" i="19"/>
  <c r="OX22" i="19"/>
  <c r="OW22" i="19"/>
  <c r="OV22" i="19"/>
  <c r="OU22" i="19"/>
  <c r="PA21" i="19"/>
  <c r="OZ21" i="19"/>
  <c r="OX21" i="19"/>
  <c r="OW21" i="19"/>
  <c r="OV21" i="19"/>
  <c r="PB21" i="19" s="1"/>
  <c r="OU21" i="19"/>
  <c r="PA20" i="19"/>
  <c r="OZ20" i="19"/>
  <c r="OX20" i="19"/>
  <c r="OW20" i="19"/>
  <c r="OV20" i="19"/>
  <c r="OU20" i="19"/>
  <c r="PA31" i="19"/>
  <c r="OZ31" i="19"/>
  <c r="OX31" i="19"/>
  <c r="OW31" i="19"/>
  <c r="OV31" i="19"/>
  <c r="OU31" i="19"/>
  <c r="PA19" i="19"/>
  <c r="OZ19" i="19"/>
  <c r="OX19" i="19"/>
  <c r="OW19" i="19"/>
  <c r="OV19" i="19"/>
  <c r="OU19" i="19"/>
  <c r="PA18" i="19"/>
  <c r="OZ18" i="19"/>
  <c r="OX18" i="19"/>
  <c r="OW18" i="19"/>
  <c r="OV18" i="19"/>
  <c r="PB18" i="19" s="1"/>
  <c r="OU18" i="19"/>
  <c r="PA17" i="19"/>
  <c r="OZ17" i="19"/>
  <c r="OX17" i="19"/>
  <c r="OW17" i="19"/>
  <c r="OV17" i="19"/>
  <c r="OU17" i="19"/>
  <c r="PA16" i="19"/>
  <c r="OZ16" i="19"/>
  <c r="OX16" i="19"/>
  <c r="OW16" i="19"/>
  <c r="OV16" i="19"/>
  <c r="OU16" i="19"/>
  <c r="PA15" i="19"/>
  <c r="OZ15" i="19"/>
  <c r="OX15" i="19"/>
  <c r="OW15" i="19"/>
  <c r="OV15" i="19"/>
  <c r="OU15" i="19"/>
  <c r="PA14" i="19"/>
  <c r="OZ14" i="19"/>
  <c r="OX14" i="19"/>
  <c r="OW14" i="19"/>
  <c r="OV14" i="19"/>
  <c r="PB14" i="19" s="1"/>
  <c r="OU14" i="19"/>
  <c r="PA12" i="19"/>
  <c r="OZ12" i="19"/>
  <c r="OX12" i="19"/>
  <c r="OW12" i="19"/>
  <c r="OV12" i="19"/>
  <c r="OU12" i="19"/>
  <c r="PA11" i="19"/>
  <c r="OZ11" i="19"/>
  <c r="OX11" i="19"/>
  <c r="OW11" i="19"/>
  <c r="OV11" i="19"/>
  <c r="OU11" i="19"/>
  <c r="PA13" i="19"/>
  <c r="OZ13" i="19"/>
  <c r="OX13" i="19"/>
  <c r="OW13" i="19"/>
  <c r="OV13" i="19"/>
  <c r="OU13" i="19"/>
  <c r="PA10" i="19"/>
  <c r="OZ10" i="19"/>
  <c r="OX10" i="19"/>
  <c r="OW10" i="19"/>
  <c r="OV10" i="19"/>
  <c r="PB10" i="19" s="1"/>
  <c r="OU10" i="19"/>
  <c r="PA9" i="19"/>
  <c r="OZ9" i="19"/>
  <c r="OX9" i="19"/>
  <c r="OW9" i="19"/>
  <c r="OV9" i="19"/>
  <c r="OU9" i="19"/>
  <c r="PA8" i="19"/>
  <c r="OZ8" i="19"/>
  <c r="OX8" i="19"/>
  <c r="OW8" i="19"/>
  <c r="OV8" i="19"/>
  <c r="OU8" i="19"/>
  <c r="PA7" i="19"/>
  <c r="OZ7" i="19"/>
  <c r="OX7" i="19"/>
  <c r="OW7" i="19"/>
  <c r="OV7" i="19"/>
  <c r="OU7" i="19"/>
  <c r="PA6" i="19"/>
  <c r="OZ6" i="19"/>
  <c r="OX6" i="19"/>
  <c r="OW6" i="19"/>
  <c r="OV6" i="19"/>
  <c r="PB6" i="19" s="1"/>
  <c r="OU6" i="19"/>
  <c r="PA5" i="19"/>
  <c r="OZ5" i="19"/>
  <c r="OX5" i="19"/>
  <c r="OW5" i="19"/>
  <c r="OV5" i="19"/>
  <c r="OU5" i="19"/>
  <c r="PA4" i="19"/>
  <c r="OZ4" i="19"/>
  <c r="OX4" i="19"/>
  <c r="OW4" i="19"/>
  <c r="OV4" i="19"/>
  <c r="OU4" i="19"/>
  <c r="NY36" i="19"/>
  <c r="NX36" i="19"/>
  <c r="NV36" i="19"/>
  <c r="NU36" i="19"/>
  <c r="NT36" i="19"/>
  <c r="NS36" i="19"/>
  <c r="NY34" i="19"/>
  <c r="NX34" i="19"/>
  <c r="NV34" i="19"/>
  <c r="NU34" i="19"/>
  <c r="NT34" i="19"/>
  <c r="NZ34" i="19" s="1"/>
  <c r="NS34" i="19"/>
  <c r="NY33" i="19"/>
  <c r="NX33" i="19"/>
  <c r="NV33" i="19"/>
  <c r="NU33" i="19"/>
  <c r="NT33" i="19"/>
  <c r="NS33" i="19"/>
  <c r="NY32" i="19"/>
  <c r="NX32" i="19"/>
  <c r="NV32" i="19"/>
  <c r="NU32" i="19"/>
  <c r="NT32" i="19"/>
  <c r="NS32" i="19"/>
  <c r="NY35" i="19"/>
  <c r="NX35" i="19"/>
  <c r="NV35" i="19"/>
  <c r="NU35" i="19"/>
  <c r="NT35" i="19"/>
  <c r="NS35" i="19"/>
  <c r="NY30" i="19"/>
  <c r="NX30" i="19"/>
  <c r="NV30" i="19"/>
  <c r="NU30" i="19"/>
  <c r="NT30" i="19"/>
  <c r="NZ30" i="19" s="1"/>
  <c r="NS30" i="19"/>
  <c r="NY29" i="19"/>
  <c r="NX29" i="19"/>
  <c r="NV29" i="19"/>
  <c r="NU29" i="19"/>
  <c r="NT29" i="19"/>
  <c r="NS29" i="19"/>
  <c r="NY28" i="19"/>
  <c r="NX28" i="19"/>
  <c r="NV28" i="19"/>
  <c r="NU28" i="19"/>
  <c r="NT28" i="19"/>
  <c r="NS28" i="19"/>
  <c r="NY27" i="19"/>
  <c r="NX27" i="19"/>
  <c r="NV27" i="19"/>
  <c r="NU27" i="19"/>
  <c r="NT27" i="19"/>
  <c r="NS27" i="19"/>
  <c r="NY26" i="19"/>
  <c r="NX26" i="19"/>
  <c r="NV26" i="19"/>
  <c r="NU26" i="19"/>
  <c r="NT26" i="19"/>
  <c r="NZ26" i="19" s="1"/>
  <c r="NS26" i="19"/>
  <c r="NY25" i="19"/>
  <c r="NX25" i="19"/>
  <c r="NV25" i="19"/>
  <c r="NU25" i="19"/>
  <c r="NT25" i="19"/>
  <c r="NS25" i="19"/>
  <c r="NY24" i="19"/>
  <c r="NX24" i="19"/>
  <c r="NV24" i="19"/>
  <c r="NU24" i="19"/>
  <c r="NT24" i="19"/>
  <c r="NS24" i="19"/>
  <c r="NY23" i="19"/>
  <c r="NX23" i="19"/>
  <c r="NV23" i="19"/>
  <c r="NU23" i="19"/>
  <c r="NT23" i="19"/>
  <c r="NS23" i="19"/>
  <c r="NY22" i="19"/>
  <c r="NX22" i="19"/>
  <c r="NV22" i="19"/>
  <c r="NU22" i="19"/>
  <c r="NT22" i="19"/>
  <c r="NZ22" i="19" s="1"/>
  <c r="NS22" i="19"/>
  <c r="NY21" i="19"/>
  <c r="NX21" i="19"/>
  <c r="NV21" i="19"/>
  <c r="NU21" i="19"/>
  <c r="NT21" i="19"/>
  <c r="NS21" i="19"/>
  <c r="NY20" i="19"/>
  <c r="NX20" i="19"/>
  <c r="NV20" i="19"/>
  <c r="NU20" i="19"/>
  <c r="NT20" i="19"/>
  <c r="NS20" i="19"/>
  <c r="NY31" i="19"/>
  <c r="NX31" i="19"/>
  <c r="NV31" i="19"/>
  <c r="NU31" i="19"/>
  <c r="NT31" i="19"/>
  <c r="NS31" i="19"/>
  <c r="NY19" i="19"/>
  <c r="NX19" i="19"/>
  <c r="NV19" i="19"/>
  <c r="NU19" i="19"/>
  <c r="NT19" i="19"/>
  <c r="NZ19" i="19" s="1"/>
  <c r="NS19" i="19"/>
  <c r="NY18" i="19"/>
  <c r="NX18" i="19"/>
  <c r="NV18" i="19"/>
  <c r="NU18" i="19"/>
  <c r="NT18" i="19"/>
  <c r="NS18" i="19"/>
  <c r="NY17" i="19"/>
  <c r="NX17" i="19"/>
  <c r="NV17" i="19"/>
  <c r="NU17" i="19"/>
  <c r="NT17" i="19"/>
  <c r="NS17" i="19"/>
  <c r="NY16" i="19"/>
  <c r="NX16" i="19"/>
  <c r="NV16" i="19"/>
  <c r="NU16" i="19"/>
  <c r="NT16" i="19"/>
  <c r="NS16" i="19"/>
  <c r="NY15" i="19"/>
  <c r="NX15" i="19"/>
  <c r="NV15" i="19"/>
  <c r="NU15" i="19"/>
  <c r="NT15" i="19"/>
  <c r="NZ15" i="19" s="1"/>
  <c r="NS15" i="19"/>
  <c r="NY14" i="19"/>
  <c r="NX14" i="19"/>
  <c r="NV14" i="19"/>
  <c r="NU14" i="19"/>
  <c r="NT14" i="19"/>
  <c r="NS14" i="19"/>
  <c r="NY12" i="19"/>
  <c r="NX12" i="19"/>
  <c r="NV12" i="19"/>
  <c r="NU12" i="19"/>
  <c r="NT12" i="19"/>
  <c r="NS12" i="19"/>
  <c r="NY11" i="19"/>
  <c r="NX11" i="19"/>
  <c r="NV11" i="19"/>
  <c r="NU11" i="19"/>
  <c r="NT11" i="19"/>
  <c r="NS11" i="19"/>
  <c r="NY13" i="19"/>
  <c r="NX13" i="19"/>
  <c r="NV13" i="19"/>
  <c r="NU13" i="19"/>
  <c r="NT13" i="19"/>
  <c r="NZ13" i="19" s="1"/>
  <c r="NS13" i="19"/>
  <c r="NY10" i="19"/>
  <c r="NX10" i="19"/>
  <c r="NV10" i="19"/>
  <c r="NU10" i="19"/>
  <c r="NT10" i="19"/>
  <c r="NS10" i="19"/>
  <c r="NY9" i="19"/>
  <c r="NX9" i="19"/>
  <c r="NV9" i="19"/>
  <c r="NU9" i="19"/>
  <c r="NT9" i="19"/>
  <c r="NS9" i="19"/>
  <c r="NY8" i="19"/>
  <c r="NX8" i="19"/>
  <c r="NV8" i="19"/>
  <c r="NU8" i="19"/>
  <c r="NT8" i="19"/>
  <c r="NS8" i="19"/>
  <c r="NY7" i="19"/>
  <c r="NX7" i="19"/>
  <c r="NV7" i="19"/>
  <c r="NU7" i="19"/>
  <c r="NT7" i="19"/>
  <c r="NZ7" i="19" s="1"/>
  <c r="NS7" i="19"/>
  <c r="NY6" i="19"/>
  <c r="NX6" i="19"/>
  <c r="NV6" i="19"/>
  <c r="NU6" i="19"/>
  <c r="NT6" i="19"/>
  <c r="NS6" i="19"/>
  <c r="NY5" i="19"/>
  <c r="NX5" i="19"/>
  <c r="NV5" i="19"/>
  <c r="NU5" i="19"/>
  <c r="NT5" i="19"/>
  <c r="NS5" i="19"/>
  <c r="NY4" i="19"/>
  <c r="NX4" i="19"/>
  <c r="NV4" i="19"/>
  <c r="NU4" i="19"/>
  <c r="NT4" i="19"/>
  <c r="NS4" i="19"/>
  <c r="MW36" i="19"/>
  <c r="MV36" i="19"/>
  <c r="MT36" i="19"/>
  <c r="MS36" i="19"/>
  <c r="MR36" i="19"/>
  <c r="MX36" i="19" s="1"/>
  <c r="MQ36" i="19"/>
  <c r="MW34" i="19"/>
  <c r="MV34" i="19"/>
  <c r="MT34" i="19"/>
  <c r="MS34" i="19"/>
  <c r="MR34" i="19"/>
  <c r="MQ34" i="19"/>
  <c r="MW33" i="19"/>
  <c r="MV33" i="19"/>
  <c r="MT33" i="19"/>
  <c r="MS33" i="19"/>
  <c r="MR33" i="19"/>
  <c r="MQ33" i="19"/>
  <c r="MW32" i="19"/>
  <c r="MV32" i="19"/>
  <c r="MT32" i="19"/>
  <c r="MS32" i="19"/>
  <c r="MR32" i="19"/>
  <c r="MQ32" i="19"/>
  <c r="MW35" i="19"/>
  <c r="MV35" i="19"/>
  <c r="MT35" i="19"/>
  <c r="MS35" i="19"/>
  <c r="MR35" i="19"/>
  <c r="MX35" i="19" s="1"/>
  <c r="MQ35" i="19"/>
  <c r="MW30" i="19"/>
  <c r="MV30" i="19"/>
  <c r="MT30" i="19"/>
  <c r="MS30" i="19"/>
  <c r="MR30" i="19"/>
  <c r="MQ30" i="19"/>
  <c r="MW29" i="19"/>
  <c r="MV29" i="19"/>
  <c r="MT29" i="19"/>
  <c r="MS29" i="19"/>
  <c r="MR29" i="19"/>
  <c r="MQ29" i="19"/>
  <c r="MW28" i="19"/>
  <c r="MV28" i="19"/>
  <c r="MT28" i="19"/>
  <c r="MS28" i="19"/>
  <c r="MR28" i="19"/>
  <c r="MQ28" i="19"/>
  <c r="MW27" i="19"/>
  <c r="MV27" i="19"/>
  <c r="MT27" i="19"/>
  <c r="MS27" i="19"/>
  <c r="MR27" i="19"/>
  <c r="MX27" i="19" s="1"/>
  <c r="MQ27" i="19"/>
  <c r="MW26" i="19"/>
  <c r="MV26" i="19"/>
  <c r="MT26" i="19"/>
  <c r="MS26" i="19"/>
  <c r="MR26" i="19"/>
  <c r="MQ26" i="19"/>
  <c r="MW25" i="19"/>
  <c r="MV25" i="19"/>
  <c r="MT25" i="19"/>
  <c r="MS25" i="19"/>
  <c r="MR25" i="19"/>
  <c r="MQ25" i="19"/>
  <c r="MW24" i="19"/>
  <c r="MV24" i="19"/>
  <c r="MT24" i="19"/>
  <c r="MS24" i="19"/>
  <c r="MR24" i="19"/>
  <c r="MQ24" i="19"/>
  <c r="MW23" i="19"/>
  <c r="MV23" i="19"/>
  <c r="MT23" i="19"/>
  <c r="MS23" i="19"/>
  <c r="MR23" i="19"/>
  <c r="MX23" i="19" s="1"/>
  <c r="MQ23" i="19"/>
  <c r="MW22" i="19"/>
  <c r="MV22" i="19"/>
  <c r="MT22" i="19"/>
  <c r="MS22" i="19"/>
  <c r="MR22" i="19"/>
  <c r="MQ22" i="19"/>
  <c r="MW21" i="19"/>
  <c r="MV21" i="19"/>
  <c r="MT21" i="19"/>
  <c r="MS21" i="19"/>
  <c r="MR21" i="19"/>
  <c r="MQ21" i="19"/>
  <c r="MW20" i="19"/>
  <c r="MV20" i="19"/>
  <c r="MT20" i="19"/>
  <c r="MS20" i="19"/>
  <c r="MR20" i="19"/>
  <c r="MQ20" i="19"/>
  <c r="MW31" i="19"/>
  <c r="MV31" i="19"/>
  <c r="MT31" i="19"/>
  <c r="MS31" i="19"/>
  <c r="MR31" i="19"/>
  <c r="MX31" i="19" s="1"/>
  <c r="MQ31" i="19"/>
  <c r="MW19" i="19"/>
  <c r="MV19" i="19"/>
  <c r="MT19" i="19"/>
  <c r="MS19" i="19"/>
  <c r="MR19" i="19"/>
  <c r="MQ19" i="19"/>
  <c r="MW18" i="19"/>
  <c r="MV18" i="19"/>
  <c r="MT18" i="19"/>
  <c r="MS18" i="19"/>
  <c r="MR18" i="19"/>
  <c r="MQ18" i="19"/>
  <c r="MW17" i="19"/>
  <c r="MV17" i="19"/>
  <c r="MT17" i="19"/>
  <c r="MS17" i="19"/>
  <c r="MR17" i="19"/>
  <c r="MQ17" i="19"/>
  <c r="MW16" i="19"/>
  <c r="MV16" i="19"/>
  <c r="MT16" i="19"/>
  <c r="MS16" i="19"/>
  <c r="MR16" i="19"/>
  <c r="MX16" i="19" s="1"/>
  <c r="MQ16" i="19"/>
  <c r="MW15" i="19"/>
  <c r="MV15" i="19"/>
  <c r="MT15" i="19"/>
  <c r="MS15" i="19"/>
  <c r="MR15" i="19"/>
  <c r="MQ15" i="19"/>
  <c r="MW14" i="19"/>
  <c r="MV14" i="19"/>
  <c r="MT14" i="19"/>
  <c r="MS14" i="19"/>
  <c r="MR14" i="19"/>
  <c r="MQ14" i="19"/>
  <c r="MW12" i="19"/>
  <c r="MV12" i="19"/>
  <c r="MT12" i="19"/>
  <c r="MS12" i="19"/>
  <c r="MR12" i="19"/>
  <c r="MQ12" i="19"/>
  <c r="MW11" i="19"/>
  <c r="MV11" i="19"/>
  <c r="MT11" i="19"/>
  <c r="MS11" i="19"/>
  <c r="MR11" i="19"/>
  <c r="MX11" i="19" s="1"/>
  <c r="MQ11" i="19"/>
  <c r="MW13" i="19"/>
  <c r="MV13" i="19"/>
  <c r="MT13" i="19"/>
  <c r="MS13" i="19"/>
  <c r="MR13" i="19"/>
  <c r="MQ13" i="19"/>
  <c r="MW10" i="19"/>
  <c r="MV10" i="19"/>
  <c r="MT10" i="19"/>
  <c r="MS10" i="19"/>
  <c r="MR10" i="19"/>
  <c r="MQ10" i="19"/>
  <c r="MW9" i="19"/>
  <c r="MV9" i="19"/>
  <c r="MT9" i="19"/>
  <c r="MS9" i="19"/>
  <c r="MR9" i="19"/>
  <c r="MQ9" i="19"/>
  <c r="MW8" i="19"/>
  <c r="MV8" i="19"/>
  <c r="MT8" i="19"/>
  <c r="MS8" i="19"/>
  <c r="MR8" i="19"/>
  <c r="MX8" i="19" s="1"/>
  <c r="MQ8" i="19"/>
  <c r="MW7" i="19"/>
  <c r="MV7" i="19"/>
  <c r="MT7" i="19"/>
  <c r="MS7" i="19"/>
  <c r="MR7" i="19"/>
  <c r="MQ7" i="19"/>
  <c r="MW6" i="19"/>
  <c r="MV6" i="19"/>
  <c r="MT6" i="19"/>
  <c r="MS6" i="19"/>
  <c r="MR6" i="19"/>
  <c r="MQ6" i="19"/>
  <c r="MW5" i="19"/>
  <c r="MV5" i="19"/>
  <c r="MT5" i="19"/>
  <c r="MS5" i="19"/>
  <c r="MR5" i="19"/>
  <c r="MQ5" i="19"/>
  <c r="MW4" i="19"/>
  <c r="MV4" i="19"/>
  <c r="MT4" i="19"/>
  <c r="MS4" i="19"/>
  <c r="MR4" i="19"/>
  <c r="MX4" i="19" s="1"/>
  <c r="MQ4" i="19"/>
  <c r="LU36" i="19"/>
  <c r="LT36" i="19"/>
  <c r="LR36" i="19"/>
  <c r="LQ36" i="19"/>
  <c r="LP36" i="19"/>
  <c r="LO36" i="19"/>
  <c r="LU34" i="19"/>
  <c r="LT34" i="19"/>
  <c r="LR34" i="19"/>
  <c r="LQ34" i="19"/>
  <c r="LP34" i="19"/>
  <c r="LO34" i="19"/>
  <c r="LU33" i="19"/>
  <c r="LT33" i="19"/>
  <c r="LR33" i="19"/>
  <c r="LQ33" i="19"/>
  <c r="LP33" i="19"/>
  <c r="LO33" i="19"/>
  <c r="LU32" i="19"/>
  <c r="LT32" i="19"/>
  <c r="LR32" i="19"/>
  <c r="LQ32" i="19"/>
  <c r="LP32" i="19"/>
  <c r="LV32" i="19" s="1"/>
  <c r="LO32" i="19"/>
  <c r="LU35" i="19"/>
  <c r="LT35" i="19"/>
  <c r="LR35" i="19"/>
  <c r="LQ35" i="19"/>
  <c r="LP35" i="19"/>
  <c r="LO35" i="19"/>
  <c r="LU30" i="19"/>
  <c r="LT30" i="19"/>
  <c r="LR30" i="19"/>
  <c r="LQ30" i="19"/>
  <c r="LP30" i="19"/>
  <c r="LO30" i="19"/>
  <c r="LU29" i="19"/>
  <c r="LT29" i="19"/>
  <c r="LR29" i="19"/>
  <c r="LQ29" i="19"/>
  <c r="LP29" i="19"/>
  <c r="LO29" i="19"/>
  <c r="LU28" i="19"/>
  <c r="LT28" i="19"/>
  <c r="LR28" i="19"/>
  <c r="LQ28" i="19"/>
  <c r="LP28" i="19"/>
  <c r="LV28" i="19" s="1"/>
  <c r="LO28" i="19"/>
  <c r="LU27" i="19"/>
  <c r="LT27" i="19"/>
  <c r="LR27" i="19"/>
  <c r="LQ27" i="19"/>
  <c r="LP27" i="19"/>
  <c r="LO27" i="19"/>
  <c r="LU26" i="19"/>
  <c r="LT26" i="19"/>
  <c r="LR26" i="19"/>
  <c r="LQ26" i="19"/>
  <c r="LP26" i="19"/>
  <c r="LO26" i="19"/>
  <c r="LU25" i="19"/>
  <c r="LT25" i="19"/>
  <c r="LR25" i="19"/>
  <c r="LQ25" i="19"/>
  <c r="LP25" i="19"/>
  <c r="LO25" i="19"/>
  <c r="LU24" i="19"/>
  <c r="LT24" i="19"/>
  <c r="LR24" i="19"/>
  <c r="LQ24" i="19"/>
  <c r="LP24" i="19"/>
  <c r="LV24" i="19" s="1"/>
  <c r="LO24" i="19"/>
  <c r="LU23" i="19"/>
  <c r="LT23" i="19"/>
  <c r="LR23" i="19"/>
  <c r="LQ23" i="19"/>
  <c r="LP23" i="19"/>
  <c r="LO23" i="19"/>
  <c r="LU22" i="19"/>
  <c r="LT22" i="19"/>
  <c r="LR22" i="19"/>
  <c r="LQ22" i="19"/>
  <c r="LP22" i="19"/>
  <c r="LO22" i="19"/>
  <c r="LU21" i="19"/>
  <c r="LT21" i="19"/>
  <c r="LR21" i="19"/>
  <c r="LQ21" i="19"/>
  <c r="LP21" i="19"/>
  <c r="LO21" i="19"/>
  <c r="LU20" i="19"/>
  <c r="LT20" i="19"/>
  <c r="LR20" i="19"/>
  <c r="LQ20" i="19"/>
  <c r="LP20" i="19"/>
  <c r="LV20" i="19" s="1"/>
  <c r="LO20" i="19"/>
  <c r="LU31" i="19"/>
  <c r="LT31" i="19"/>
  <c r="LR31" i="19"/>
  <c r="LQ31" i="19"/>
  <c r="LP31" i="19"/>
  <c r="LO31" i="19"/>
  <c r="LU19" i="19"/>
  <c r="LT19" i="19"/>
  <c r="LR19" i="19"/>
  <c r="LQ19" i="19"/>
  <c r="LP19" i="19"/>
  <c r="LO19" i="19"/>
  <c r="LU18" i="19"/>
  <c r="LT18" i="19"/>
  <c r="LR18" i="19"/>
  <c r="LQ18" i="19"/>
  <c r="LP18" i="19"/>
  <c r="LO18" i="19"/>
  <c r="LU17" i="19"/>
  <c r="LT17" i="19"/>
  <c r="LR17" i="19"/>
  <c r="LQ17" i="19"/>
  <c r="LP17" i="19"/>
  <c r="LV17" i="19" s="1"/>
  <c r="LO17" i="19"/>
  <c r="LU16" i="19"/>
  <c r="LT16" i="19"/>
  <c r="LR16" i="19"/>
  <c r="LQ16" i="19"/>
  <c r="LP16" i="19"/>
  <c r="LO16" i="19"/>
  <c r="LU15" i="19"/>
  <c r="LT15" i="19"/>
  <c r="LR15" i="19"/>
  <c r="LQ15" i="19"/>
  <c r="LP15" i="19"/>
  <c r="LO15" i="19"/>
  <c r="LU14" i="19"/>
  <c r="LT14" i="19"/>
  <c r="LR14" i="19"/>
  <c r="LQ14" i="19"/>
  <c r="LP14" i="19"/>
  <c r="LO14" i="19"/>
  <c r="LU12" i="19"/>
  <c r="LT12" i="19"/>
  <c r="LR12" i="19"/>
  <c r="LQ12" i="19"/>
  <c r="LP12" i="19"/>
  <c r="LV12" i="19" s="1"/>
  <c r="LO12" i="19"/>
  <c r="LU11" i="19"/>
  <c r="LT11" i="19"/>
  <c r="LR11" i="19"/>
  <c r="LQ11" i="19"/>
  <c r="LP11" i="19"/>
  <c r="LO11" i="19"/>
  <c r="LU13" i="19"/>
  <c r="LT13" i="19"/>
  <c r="LR13" i="19"/>
  <c r="LQ13" i="19"/>
  <c r="LP13" i="19"/>
  <c r="LO13" i="19"/>
  <c r="LU10" i="19"/>
  <c r="LT10" i="19"/>
  <c r="LR10" i="19"/>
  <c r="LQ10" i="19"/>
  <c r="LP10" i="19"/>
  <c r="LO10" i="19"/>
  <c r="LU9" i="19"/>
  <c r="LT9" i="19"/>
  <c r="LR9" i="19"/>
  <c r="LQ9" i="19"/>
  <c r="LP9" i="19"/>
  <c r="LV9" i="19" s="1"/>
  <c r="LO9" i="19"/>
  <c r="LU8" i="19"/>
  <c r="LT8" i="19"/>
  <c r="LR8" i="19"/>
  <c r="LQ8" i="19"/>
  <c r="LP8" i="19"/>
  <c r="LO8" i="19"/>
  <c r="LU7" i="19"/>
  <c r="LT7" i="19"/>
  <c r="LR7" i="19"/>
  <c r="LQ7" i="19"/>
  <c r="LP7" i="19"/>
  <c r="LO7" i="19"/>
  <c r="LU6" i="19"/>
  <c r="LT6" i="19"/>
  <c r="LR6" i="19"/>
  <c r="LQ6" i="19"/>
  <c r="LP6" i="19"/>
  <c r="LO6" i="19"/>
  <c r="LU5" i="19"/>
  <c r="LT5" i="19"/>
  <c r="LR5" i="19"/>
  <c r="LQ5" i="19"/>
  <c r="LP5" i="19"/>
  <c r="LV5" i="19" s="1"/>
  <c r="LO5" i="19"/>
  <c r="LU4" i="19"/>
  <c r="LT4" i="19"/>
  <c r="LR4" i="19"/>
  <c r="LQ4" i="19"/>
  <c r="LP4" i="19"/>
  <c r="LO4" i="19"/>
  <c r="KS36" i="19"/>
  <c r="KR36" i="19"/>
  <c r="KP36" i="19"/>
  <c r="KO36" i="19"/>
  <c r="KN36" i="19"/>
  <c r="KM36" i="19"/>
  <c r="KS34" i="19"/>
  <c r="KR34" i="19"/>
  <c r="KP34" i="19"/>
  <c r="KO34" i="19"/>
  <c r="KN34" i="19"/>
  <c r="KM34" i="19"/>
  <c r="KS33" i="19"/>
  <c r="KR33" i="19"/>
  <c r="KP33" i="19"/>
  <c r="KO33" i="19"/>
  <c r="KN33" i="19"/>
  <c r="KT33" i="19" s="1"/>
  <c r="KM33" i="19"/>
  <c r="KS32" i="19"/>
  <c r="KR32" i="19"/>
  <c r="KP32" i="19"/>
  <c r="KO32" i="19"/>
  <c r="KN32" i="19"/>
  <c r="KM32" i="19"/>
  <c r="KS35" i="19"/>
  <c r="KR35" i="19"/>
  <c r="KP35" i="19"/>
  <c r="KO35" i="19"/>
  <c r="KN35" i="19"/>
  <c r="KM35" i="19"/>
  <c r="KS30" i="19"/>
  <c r="KR30" i="19"/>
  <c r="KP30" i="19"/>
  <c r="KO30" i="19"/>
  <c r="KN30" i="19"/>
  <c r="KM30" i="19"/>
  <c r="KS29" i="19"/>
  <c r="KR29" i="19"/>
  <c r="KP29" i="19"/>
  <c r="KO29" i="19"/>
  <c r="KN29" i="19"/>
  <c r="KT29" i="19" s="1"/>
  <c r="KM29" i="19"/>
  <c r="KS28" i="19"/>
  <c r="KR28" i="19"/>
  <c r="KP28" i="19"/>
  <c r="KO28" i="19"/>
  <c r="KN28" i="19"/>
  <c r="KM28" i="19"/>
  <c r="KS27" i="19"/>
  <c r="KR27" i="19"/>
  <c r="KP27" i="19"/>
  <c r="KO27" i="19"/>
  <c r="KN27" i="19"/>
  <c r="KM27" i="19"/>
  <c r="KS26" i="19"/>
  <c r="KR26" i="19"/>
  <c r="KP26" i="19"/>
  <c r="KO26" i="19"/>
  <c r="KN26" i="19"/>
  <c r="KM26" i="19"/>
  <c r="KS25" i="19"/>
  <c r="KR25" i="19"/>
  <c r="KP25" i="19"/>
  <c r="KO25" i="19"/>
  <c r="KN25" i="19"/>
  <c r="KT25" i="19" s="1"/>
  <c r="KM25" i="19"/>
  <c r="KS24" i="19"/>
  <c r="KR24" i="19"/>
  <c r="KP24" i="19"/>
  <c r="KO24" i="19"/>
  <c r="KN24" i="19"/>
  <c r="KM24" i="19"/>
  <c r="KS23" i="19"/>
  <c r="KR23" i="19"/>
  <c r="KP23" i="19"/>
  <c r="KO23" i="19"/>
  <c r="KN23" i="19"/>
  <c r="KM23" i="19"/>
  <c r="KS22" i="19"/>
  <c r="KR22" i="19"/>
  <c r="KP22" i="19"/>
  <c r="KO22" i="19"/>
  <c r="KN22" i="19"/>
  <c r="KM22" i="19"/>
  <c r="KS21" i="19"/>
  <c r="KR21" i="19"/>
  <c r="KP21" i="19"/>
  <c r="KO21" i="19"/>
  <c r="KN21" i="19"/>
  <c r="KT21" i="19" s="1"/>
  <c r="KM21" i="19"/>
  <c r="KS20" i="19"/>
  <c r="KR20" i="19"/>
  <c r="KP20" i="19"/>
  <c r="KO20" i="19"/>
  <c r="KN20" i="19"/>
  <c r="KM20" i="19"/>
  <c r="KS31" i="19"/>
  <c r="KR31" i="19"/>
  <c r="KP31" i="19"/>
  <c r="KO31" i="19"/>
  <c r="KN31" i="19"/>
  <c r="KM31" i="19"/>
  <c r="KS19" i="19"/>
  <c r="KR19" i="19"/>
  <c r="KP19" i="19"/>
  <c r="KO19" i="19"/>
  <c r="KN19" i="19"/>
  <c r="KM19" i="19"/>
  <c r="KS18" i="19"/>
  <c r="KR18" i="19"/>
  <c r="KP18" i="19"/>
  <c r="KO18" i="19"/>
  <c r="KN18" i="19"/>
  <c r="KT18" i="19" s="1"/>
  <c r="KM18" i="19"/>
  <c r="KS17" i="19"/>
  <c r="KR17" i="19"/>
  <c r="KP17" i="19"/>
  <c r="KO17" i="19"/>
  <c r="KN17" i="19"/>
  <c r="KM17" i="19"/>
  <c r="KS16" i="19"/>
  <c r="KR16" i="19"/>
  <c r="KP16" i="19"/>
  <c r="KO16" i="19"/>
  <c r="KN16" i="19"/>
  <c r="KM16" i="19"/>
  <c r="KS15" i="19"/>
  <c r="KR15" i="19"/>
  <c r="KP15" i="19"/>
  <c r="KO15" i="19"/>
  <c r="KN15" i="19"/>
  <c r="KM15" i="19"/>
  <c r="KS14" i="19"/>
  <c r="KR14" i="19"/>
  <c r="KP14" i="19"/>
  <c r="KO14" i="19"/>
  <c r="KN14" i="19"/>
  <c r="KT14" i="19" s="1"/>
  <c r="KM14" i="19"/>
  <c r="KS12" i="19"/>
  <c r="KR12" i="19"/>
  <c r="KP12" i="19"/>
  <c r="KO12" i="19"/>
  <c r="KN12" i="19"/>
  <c r="KM12" i="19"/>
  <c r="KS11" i="19"/>
  <c r="KR11" i="19"/>
  <c r="KP11" i="19"/>
  <c r="KO11" i="19"/>
  <c r="KN11" i="19"/>
  <c r="KM11" i="19"/>
  <c r="KS13" i="19"/>
  <c r="KR13" i="19"/>
  <c r="KP13" i="19"/>
  <c r="KO13" i="19"/>
  <c r="KN13" i="19"/>
  <c r="KM13" i="19"/>
  <c r="KS10" i="19"/>
  <c r="KR10" i="19"/>
  <c r="KP10" i="19"/>
  <c r="KO10" i="19"/>
  <c r="KN10" i="19"/>
  <c r="KT10" i="19" s="1"/>
  <c r="KM10" i="19"/>
  <c r="KS9" i="19"/>
  <c r="KR9" i="19"/>
  <c r="KP9" i="19"/>
  <c r="KO9" i="19"/>
  <c r="KN9" i="19"/>
  <c r="KM9" i="19"/>
  <c r="KS8" i="19"/>
  <c r="KR8" i="19"/>
  <c r="KP8" i="19"/>
  <c r="KO8" i="19"/>
  <c r="KN8" i="19"/>
  <c r="KM8" i="19"/>
  <c r="KS7" i="19"/>
  <c r="KR7" i="19"/>
  <c r="KP7" i="19"/>
  <c r="KO7" i="19"/>
  <c r="KN7" i="19"/>
  <c r="KM7" i="19"/>
  <c r="KS6" i="19"/>
  <c r="KR6" i="19"/>
  <c r="KP6" i="19"/>
  <c r="KO6" i="19"/>
  <c r="KN6" i="19"/>
  <c r="KT6" i="19" s="1"/>
  <c r="KM6" i="19"/>
  <c r="KS5" i="19"/>
  <c r="KR5" i="19"/>
  <c r="KP5" i="19"/>
  <c r="KO5" i="19"/>
  <c r="KN5" i="19"/>
  <c r="KM5" i="19"/>
  <c r="KS4" i="19"/>
  <c r="KR4" i="19"/>
  <c r="KP4" i="19"/>
  <c r="KO4" i="19"/>
  <c r="KN4" i="19"/>
  <c r="KM4" i="19"/>
  <c r="JQ36" i="19"/>
  <c r="JP36" i="19"/>
  <c r="JN36" i="19"/>
  <c r="JM36" i="19"/>
  <c r="JL36" i="19"/>
  <c r="JK36" i="19"/>
  <c r="JQ34" i="19"/>
  <c r="JP34" i="19"/>
  <c r="JN34" i="19"/>
  <c r="JM34" i="19"/>
  <c r="JL34" i="19"/>
  <c r="JR34" i="19" s="1"/>
  <c r="JK34" i="19"/>
  <c r="JQ33" i="19"/>
  <c r="JP33" i="19"/>
  <c r="JN33" i="19"/>
  <c r="JM33" i="19"/>
  <c r="JL33" i="19"/>
  <c r="JK33" i="19"/>
  <c r="JQ32" i="19"/>
  <c r="JP32" i="19"/>
  <c r="JN32" i="19"/>
  <c r="JM32" i="19"/>
  <c r="JL32" i="19"/>
  <c r="JK32" i="19"/>
  <c r="JQ35" i="19"/>
  <c r="JP35" i="19"/>
  <c r="JN35" i="19"/>
  <c r="JM35" i="19"/>
  <c r="JL35" i="19"/>
  <c r="JK35" i="19"/>
  <c r="JQ30" i="19"/>
  <c r="JP30" i="19"/>
  <c r="JN30" i="19"/>
  <c r="JM30" i="19"/>
  <c r="JL30" i="19"/>
  <c r="JR30" i="19" s="1"/>
  <c r="JK30" i="19"/>
  <c r="JQ29" i="19"/>
  <c r="JP29" i="19"/>
  <c r="JN29" i="19"/>
  <c r="JM29" i="19"/>
  <c r="JL29" i="19"/>
  <c r="JK29" i="19"/>
  <c r="JQ28" i="19"/>
  <c r="JP28" i="19"/>
  <c r="JN28" i="19"/>
  <c r="JM28" i="19"/>
  <c r="JL28" i="19"/>
  <c r="JK28" i="19"/>
  <c r="JQ27" i="19"/>
  <c r="JP27" i="19"/>
  <c r="JN27" i="19"/>
  <c r="JM27" i="19"/>
  <c r="JL27" i="19"/>
  <c r="JK27" i="19"/>
  <c r="JQ26" i="19"/>
  <c r="JP26" i="19"/>
  <c r="JN26" i="19"/>
  <c r="JM26" i="19"/>
  <c r="JL26" i="19"/>
  <c r="JR26" i="19" s="1"/>
  <c r="JK26" i="19"/>
  <c r="JQ25" i="19"/>
  <c r="JP25" i="19"/>
  <c r="JN25" i="19"/>
  <c r="JM25" i="19"/>
  <c r="JL25" i="19"/>
  <c r="JK25" i="19"/>
  <c r="JQ24" i="19"/>
  <c r="JP24" i="19"/>
  <c r="JN24" i="19"/>
  <c r="JM24" i="19"/>
  <c r="JL24" i="19"/>
  <c r="JK24" i="19"/>
  <c r="JQ23" i="19"/>
  <c r="JP23" i="19"/>
  <c r="JN23" i="19"/>
  <c r="JM23" i="19"/>
  <c r="JL23" i="19"/>
  <c r="JK23" i="19"/>
  <c r="JQ22" i="19"/>
  <c r="JP22" i="19"/>
  <c r="JN22" i="19"/>
  <c r="JM22" i="19"/>
  <c r="JL22" i="19"/>
  <c r="JR22" i="19" s="1"/>
  <c r="JK22" i="19"/>
  <c r="JQ21" i="19"/>
  <c r="JP21" i="19"/>
  <c r="JN21" i="19"/>
  <c r="JM21" i="19"/>
  <c r="JL21" i="19"/>
  <c r="JK21" i="19"/>
  <c r="JQ20" i="19"/>
  <c r="JP20" i="19"/>
  <c r="JN20" i="19"/>
  <c r="JM20" i="19"/>
  <c r="JL20" i="19"/>
  <c r="JK20" i="19"/>
  <c r="JQ31" i="19"/>
  <c r="JP31" i="19"/>
  <c r="JN31" i="19"/>
  <c r="JM31" i="19"/>
  <c r="JL31" i="19"/>
  <c r="JK31" i="19"/>
  <c r="JQ19" i="19"/>
  <c r="JP19" i="19"/>
  <c r="JN19" i="19"/>
  <c r="JM19" i="19"/>
  <c r="JL19" i="19"/>
  <c r="JR19" i="19" s="1"/>
  <c r="JK19" i="19"/>
  <c r="JQ18" i="19"/>
  <c r="JP18" i="19"/>
  <c r="JN18" i="19"/>
  <c r="JM18" i="19"/>
  <c r="JL18" i="19"/>
  <c r="JK18" i="19"/>
  <c r="JQ17" i="19"/>
  <c r="JP17" i="19"/>
  <c r="JN17" i="19"/>
  <c r="JM17" i="19"/>
  <c r="JL17" i="19"/>
  <c r="JK17" i="19"/>
  <c r="JQ16" i="19"/>
  <c r="JP16" i="19"/>
  <c r="JN16" i="19"/>
  <c r="JM16" i="19"/>
  <c r="JL16" i="19"/>
  <c r="JK16" i="19"/>
  <c r="JQ15" i="19"/>
  <c r="JP15" i="19"/>
  <c r="JN15" i="19"/>
  <c r="JM15" i="19"/>
  <c r="JL15" i="19"/>
  <c r="JR15" i="19" s="1"/>
  <c r="JK15" i="19"/>
  <c r="JQ14" i="19"/>
  <c r="JP14" i="19"/>
  <c r="JN14" i="19"/>
  <c r="JM14" i="19"/>
  <c r="JL14" i="19"/>
  <c r="JK14" i="19"/>
  <c r="JQ12" i="19"/>
  <c r="JP12" i="19"/>
  <c r="JN12" i="19"/>
  <c r="JM12" i="19"/>
  <c r="JL12" i="19"/>
  <c r="JK12" i="19"/>
  <c r="JQ11" i="19"/>
  <c r="JP11" i="19"/>
  <c r="JN11" i="19"/>
  <c r="JM11" i="19"/>
  <c r="JL11" i="19"/>
  <c r="JK11" i="19"/>
  <c r="JQ13" i="19"/>
  <c r="JP13" i="19"/>
  <c r="JN13" i="19"/>
  <c r="JM13" i="19"/>
  <c r="JL13" i="19"/>
  <c r="JR13" i="19" s="1"/>
  <c r="JK13" i="19"/>
  <c r="JQ10" i="19"/>
  <c r="JP10" i="19"/>
  <c r="JN10" i="19"/>
  <c r="JM10" i="19"/>
  <c r="JL10" i="19"/>
  <c r="JK10" i="19"/>
  <c r="JQ9" i="19"/>
  <c r="JP9" i="19"/>
  <c r="JN9" i="19"/>
  <c r="JM9" i="19"/>
  <c r="JL9" i="19"/>
  <c r="JK9" i="19"/>
  <c r="JQ8" i="19"/>
  <c r="JP8" i="19"/>
  <c r="JN8" i="19"/>
  <c r="JM8" i="19"/>
  <c r="JL8" i="19"/>
  <c r="JK8" i="19"/>
  <c r="JQ7" i="19"/>
  <c r="JP7" i="19"/>
  <c r="JN7" i="19"/>
  <c r="JM7" i="19"/>
  <c r="JL7" i="19"/>
  <c r="JR7" i="19" s="1"/>
  <c r="JK7" i="19"/>
  <c r="JQ6" i="19"/>
  <c r="JP6" i="19"/>
  <c r="JN6" i="19"/>
  <c r="JM6" i="19"/>
  <c r="JL6" i="19"/>
  <c r="JK6" i="19"/>
  <c r="JQ5" i="19"/>
  <c r="JP5" i="19"/>
  <c r="JN5" i="19"/>
  <c r="JM5" i="19"/>
  <c r="JL5" i="19"/>
  <c r="JK5" i="19"/>
  <c r="JQ4" i="19"/>
  <c r="JP4" i="19"/>
  <c r="JN4" i="19"/>
  <c r="JM4" i="19"/>
  <c r="JL4" i="19"/>
  <c r="JK4" i="19"/>
  <c r="IO36" i="19"/>
  <c r="IN36" i="19"/>
  <c r="IL36" i="19"/>
  <c r="IK36" i="19"/>
  <c r="IJ36" i="19"/>
  <c r="IP36" i="19" s="1"/>
  <c r="II36" i="19"/>
  <c r="IO34" i="19"/>
  <c r="IN34" i="19"/>
  <c r="IL34" i="19"/>
  <c r="IK34" i="19"/>
  <c r="IJ34" i="19"/>
  <c r="II34" i="19"/>
  <c r="IO33" i="19"/>
  <c r="IN33" i="19"/>
  <c r="IL33" i="19"/>
  <c r="IK33" i="19"/>
  <c r="IJ33" i="19"/>
  <c r="II33" i="19"/>
  <c r="IO32" i="19"/>
  <c r="IN32" i="19"/>
  <c r="IL32" i="19"/>
  <c r="IK32" i="19"/>
  <c r="IJ32" i="19"/>
  <c r="II32" i="19"/>
  <c r="IO35" i="19"/>
  <c r="IN35" i="19"/>
  <c r="IL35" i="19"/>
  <c r="IK35" i="19"/>
  <c r="IJ35" i="19"/>
  <c r="IP35" i="19" s="1"/>
  <c r="II35" i="19"/>
  <c r="IO30" i="19"/>
  <c r="IN30" i="19"/>
  <c r="IL30" i="19"/>
  <c r="IK30" i="19"/>
  <c r="IJ30" i="19"/>
  <c r="II30" i="19"/>
  <c r="IO29" i="19"/>
  <c r="IN29" i="19"/>
  <c r="IL29" i="19"/>
  <c r="IK29" i="19"/>
  <c r="IJ29" i="19"/>
  <c r="II29" i="19"/>
  <c r="IO28" i="19"/>
  <c r="IN28" i="19"/>
  <c r="IL28" i="19"/>
  <c r="IK28" i="19"/>
  <c r="IJ28" i="19"/>
  <c r="II28" i="19"/>
  <c r="IO27" i="19"/>
  <c r="IN27" i="19"/>
  <c r="IL27" i="19"/>
  <c r="IK27" i="19"/>
  <c r="IJ27" i="19"/>
  <c r="IP27" i="19" s="1"/>
  <c r="II27" i="19"/>
  <c r="IO26" i="19"/>
  <c r="IN26" i="19"/>
  <c r="IL26" i="19"/>
  <c r="IK26" i="19"/>
  <c r="IJ26" i="19"/>
  <c r="II26" i="19"/>
  <c r="IO25" i="19"/>
  <c r="IN25" i="19"/>
  <c r="IL25" i="19"/>
  <c r="IK25" i="19"/>
  <c r="IJ25" i="19"/>
  <c r="II25" i="19"/>
  <c r="IO24" i="19"/>
  <c r="IN24" i="19"/>
  <c r="IL24" i="19"/>
  <c r="IK24" i="19"/>
  <c r="IJ24" i="19"/>
  <c r="II24" i="19"/>
  <c r="IO23" i="19"/>
  <c r="IN23" i="19"/>
  <c r="IL23" i="19"/>
  <c r="IK23" i="19"/>
  <c r="IJ23" i="19"/>
  <c r="IP23" i="19" s="1"/>
  <c r="II23" i="19"/>
  <c r="IO22" i="19"/>
  <c r="IN22" i="19"/>
  <c r="IL22" i="19"/>
  <c r="IK22" i="19"/>
  <c r="IJ22" i="19"/>
  <c r="IP22" i="19" s="1"/>
  <c r="II22" i="19"/>
  <c r="IO21" i="19"/>
  <c r="IN21" i="19"/>
  <c r="IL21" i="19"/>
  <c r="IK21" i="19"/>
  <c r="IJ21" i="19"/>
  <c r="II21" i="19"/>
  <c r="IO20" i="19"/>
  <c r="IN20" i="19"/>
  <c r="IL20" i="19"/>
  <c r="IK20" i="19"/>
  <c r="IJ20" i="19"/>
  <c r="II20" i="19"/>
  <c r="IO31" i="19"/>
  <c r="IN31" i="19"/>
  <c r="IL31" i="19"/>
  <c r="IK31" i="19"/>
  <c r="IJ31" i="19"/>
  <c r="IP31" i="19" s="1"/>
  <c r="II31" i="19"/>
  <c r="IO19" i="19"/>
  <c r="IN19" i="19"/>
  <c r="IL19" i="19"/>
  <c r="IK19" i="19"/>
  <c r="IJ19" i="19"/>
  <c r="IP19" i="19" s="1"/>
  <c r="II19" i="19"/>
  <c r="IO18" i="19"/>
  <c r="IN18" i="19"/>
  <c r="IL18" i="19"/>
  <c r="IK18" i="19"/>
  <c r="IJ18" i="19"/>
  <c r="II18" i="19"/>
  <c r="IO17" i="19"/>
  <c r="IN17" i="19"/>
  <c r="IL17" i="19"/>
  <c r="IK17" i="19"/>
  <c r="IJ17" i="19"/>
  <c r="II17" i="19"/>
  <c r="IO16" i="19"/>
  <c r="IN16" i="19"/>
  <c r="IL16" i="19"/>
  <c r="IK16" i="19"/>
  <c r="IJ16" i="19"/>
  <c r="IP16" i="19" s="1"/>
  <c r="II16" i="19"/>
  <c r="IO15" i="19"/>
  <c r="IN15" i="19"/>
  <c r="IL15" i="19"/>
  <c r="IK15" i="19"/>
  <c r="IJ15" i="19"/>
  <c r="IP15" i="19" s="1"/>
  <c r="II15" i="19"/>
  <c r="IO14" i="19"/>
  <c r="IN14" i="19"/>
  <c r="IL14" i="19"/>
  <c r="IK14" i="19"/>
  <c r="IJ14" i="19"/>
  <c r="II14" i="19"/>
  <c r="IO12" i="19"/>
  <c r="IN12" i="19"/>
  <c r="IL12" i="19"/>
  <c r="IK12" i="19"/>
  <c r="IJ12" i="19"/>
  <c r="II12" i="19"/>
  <c r="IO11" i="19"/>
  <c r="IN11" i="19"/>
  <c r="IL11" i="19"/>
  <c r="IK11" i="19"/>
  <c r="IJ11" i="19"/>
  <c r="IP11" i="19" s="1"/>
  <c r="II11" i="19"/>
  <c r="IO13" i="19"/>
  <c r="IN13" i="19"/>
  <c r="IL13" i="19"/>
  <c r="IK13" i="19"/>
  <c r="IJ13" i="19"/>
  <c r="IP13" i="19" s="1"/>
  <c r="II13" i="19"/>
  <c r="IO10" i="19"/>
  <c r="IN10" i="19"/>
  <c r="IL10" i="19"/>
  <c r="IK10" i="19"/>
  <c r="IJ10" i="19"/>
  <c r="II10" i="19"/>
  <c r="IO9" i="19"/>
  <c r="IN9" i="19"/>
  <c r="IL9" i="19"/>
  <c r="IK9" i="19"/>
  <c r="IJ9" i="19"/>
  <c r="II9" i="19"/>
  <c r="IO8" i="19"/>
  <c r="IN8" i="19"/>
  <c r="IL8" i="19"/>
  <c r="IK8" i="19"/>
  <c r="IJ8" i="19"/>
  <c r="IP8" i="19" s="1"/>
  <c r="II8" i="19"/>
  <c r="IO7" i="19"/>
  <c r="IN7" i="19"/>
  <c r="IL7" i="19"/>
  <c r="IK7" i="19"/>
  <c r="IJ7" i="19"/>
  <c r="IP7" i="19" s="1"/>
  <c r="II7" i="19"/>
  <c r="IO6" i="19"/>
  <c r="IN6" i="19"/>
  <c r="IL6" i="19"/>
  <c r="IK6" i="19"/>
  <c r="IJ6" i="19"/>
  <c r="II6" i="19"/>
  <c r="IO5" i="19"/>
  <c r="IN5" i="19"/>
  <c r="IL5" i="19"/>
  <c r="IK5" i="19"/>
  <c r="IJ5" i="19"/>
  <c r="II5" i="19"/>
  <c r="IO4" i="19"/>
  <c r="IN4" i="19"/>
  <c r="IL4" i="19"/>
  <c r="IK4" i="19"/>
  <c r="IJ4" i="19"/>
  <c r="IP4" i="19" s="1"/>
  <c r="II4" i="19"/>
  <c r="HM36" i="19"/>
  <c r="HL36" i="19"/>
  <c r="HJ36" i="19"/>
  <c r="HI36" i="19"/>
  <c r="HH36" i="19"/>
  <c r="HN36" i="19" s="1"/>
  <c r="HG36" i="19"/>
  <c r="HM34" i="19"/>
  <c r="HL34" i="19"/>
  <c r="HJ34" i="19"/>
  <c r="HI34" i="19"/>
  <c r="HH34" i="19"/>
  <c r="HG34" i="19"/>
  <c r="HM33" i="19"/>
  <c r="HL33" i="19"/>
  <c r="HJ33" i="19"/>
  <c r="HI33" i="19"/>
  <c r="HH33" i="19"/>
  <c r="HG33" i="19"/>
  <c r="HM32" i="19"/>
  <c r="HL32" i="19"/>
  <c r="HJ32" i="19"/>
  <c r="HI32" i="19"/>
  <c r="HH32" i="19"/>
  <c r="HN32" i="19" s="1"/>
  <c r="HG32" i="19"/>
  <c r="HM35" i="19"/>
  <c r="HL35" i="19"/>
  <c r="HJ35" i="19"/>
  <c r="HI35" i="19"/>
  <c r="HH35" i="19"/>
  <c r="HN35" i="19" s="1"/>
  <c r="HG35" i="19"/>
  <c r="HM30" i="19"/>
  <c r="HL30" i="19"/>
  <c r="HJ30" i="19"/>
  <c r="HI30" i="19"/>
  <c r="HH30" i="19"/>
  <c r="HG30" i="19"/>
  <c r="HM29" i="19"/>
  <c r="HL29" i="19"/>
  <c r="HJ29" i="19"/>
  <c r="HI29" i="19"/>
  <c r="HH29" i="19"/>
  <c r="HG29" i="19"/>
  <c r="HM28" i="19"/>
  <c r="HL28" i="19"/>
  <c r="HJ28" i="19"/>
  <c r="HI28" i="19"/>
  <c r="HH28" i="19"/>
  <c r="HN28" i="19" s="1"/>
  <c r="HG28" i="19"/>
  <c r="HM27" i="19"/>
  <c r="HL27" i="19"/>
  <c r="HJ27" i="19"/>
  <c r="HI27" i="19"/>
  <c r="HH27" i="19"/>
  <c r="HN27" i="19" s="1"/>
  <c r="HG27" i="19"/>
  <c r="HM26" i="19"/>
  <c r="HL26" i="19"/>
  <c r="HJ26" i="19"/>
  <c r="HI26" i="19"/>
  <c r="HH26" i="19"/>
  <c r="HG26" i="19"/>
  <c r="HM25" i="19"/>
  <c r="HL25" i="19"/>
  <c r="HJ25" i="19"/>
  <c r="HI25" i="19"/>
  <c r="HH25" i="19"/>
  <c r="HG25" i="19"/>
  <c r="HM24" i="19"/>
  <c r="HL24" i="19"/>
  <c r="HJ24" i="19"/>
  <c r="HI24" i="19"/>
  <c r="HH24" i="19"/>
  <c r="HN24" i="19" s="1"/>
  <c r="HG24" i="19"/>
  <c r="HM23" i="19"/>
  <c r="HL23" i="19"/>
  <c r="HJ23" i="19"/>
  <c r="HI23" i="19"/>
  <c r="HH23" i="19"/>
  <c r="HN23" i="19" s="1"/>
  <c r="HG23" i="19"/>
  <c r="HM22" i="19"/>
  <c r="HL22" i="19"/>
  <c r="HJ22" i="19"/>
  <c r="HI22" i="19"/>
  <c r="HH22" i="19"/>
  <c r="HG22" i="19"/>
  <c r="HM21" i="19"/>
  <c r="HL21" i="19"/>
  <c r="HJ21" i="19"/>
  <c r="HI21" i="19"/>
  <c r="HH21" i="19"/>
  <c r="HG21" i="19"/>
  <c r="HM20" i="19"/>
  <c r="HL20" i="19"/>
  <c r="HJ20" i="19"/>
  <c r="HI20" i="19"/>
  <c r="HH20" i="19"/>
  <c r="HN20" i="19" s="1"/>
  <c r="HG20" i="19"/>
  <c r="HM31" i="19"/>
  <c r="HL31" i="19"/>
  <c r="HJ31" i="19"/>
  <c r="HI31" i="19"/>
  <c r="HH31" i="19"/>
  <c r="HN31" i="19" s="1"/>
  <c r="HG31" i="19"/>
  <c r="HM19" i="19"/>
  <c r="HL19" i="19"/>
  <c r="HJ19" i="19"/>
  <c r="HI19" i="19"/>
  <c r="HH19" i="19"/>
  <c r="HG19" i="19"/>
  <c r="HM18" i="19"/>
  <c r="HL18" i="19"/>
  <c r="HJ18" i="19"/>
  <c r="HI18" i="19"/>
  <c r="HH18" i="19"/>
  <c r="HG18" i="19"/>
  <c r="HM17" i="19"/>
  <c r="HL17" i="19"/>
  <c r="HJ17" i="19"/>
  <c r="HI17" i="19"/>
  <c r="HH17" i="19"/>
  <c r="HN17" i="19" s="1"/>
  <c r="HG17" i="19"/>
  <c r="HM16" i="19"/>
  <c r="HL16" i="19"/>
  <c r="HJ16" i="19"/>
  <c r="HI16" i="19"/>
  <c r="HH16" i="19"/>
  <c r="HN16" i="19" s="1"/>
  <c r="HG16" i="19"/>
  <c r="HM15" i="19"/>
  <c r="HL15" i="19"/>
  <c r="HJ15" i="19"/>
  <c r="HI15" i="19"/>
  <c r="HH15" i="19"/>
  <c r="HG15" i="19"/>
  <c r="HM14" i="19"/>
  <c r="HL14" i="19"/>
  <c r="HJ14" i="19"/>
  <c r="HI14" i="19"/>
  <c r="HH14" i="19"/>
  <c r="HG14" i="19"/>
  <c r="HM12" i="19"/>
  <c r="HL12" i="19"/>
  <c r="HJ12" i="19"/>
  <c r="HI12" i="19"/>
  <c r="HH12" i="19"/>
  <c r="HN12" i="19" s="1"/>
  <c r="HG12" i="19"/>
  <c r="HM11" i="19"/>
  <c r="HL11" i="19"/>
  <c r="HJ11" i="19"/>
  <c r="HI11" i="19"/>
  <c r="HH11" i="19"/>
  <c r="HN11" i="19" s="1"/>
  <c r="HG11" i="19"/>
  <c r="HM13" i="19"/>
  <c r="HL13" i="19"/>
  <c r="HJ13" i="19"/>
  <c r="HI13" i="19"/>
  <c r="HH13" i="19"/>
  <c r="HG13" i="19"/>
  <c r="HM10" i="19"/>
  <c r="HL10" i="19"/>
  <c r="HJ10" i="19"/>
  <c r="HI10" i="19"/>
  <c r="HH10" i="19"/>
  <c r="HG10" i="19"/>
  <c r="HM9" i="19"/>
  <c r="HL9" i="19"/>
  <c r="HJ9" i="19"/>
  <c r="HI9" i="19"/>
  <c r="HH9" i="19"/>
  <c r="HN9" i="19" s="1"/>
  <c r="HG9" i="19"/>
  <c r="HM8" i="19"/>
  <c r="HL8" i="19"/>
  <c r="HJ8" i="19"/>
  <c r="HI8" i="19"/>
  <c r="HH8" i="19"/>
  <c r="HN8" i="19" s="1"/>
  <c r="HG8" i="19"/>
  <c r="HM7" i="19"/>
  <c r="HL7" i="19"/>
  <c r="HJ7" i="19"/>
  <c r="HI7" i="19"/>
  <c r="HH7" i="19"/>
  <c r="HG7" i="19"/>
  <c r="HM6" i="19"/>
  <c r="HL6" i="19"/>
  <c r="HJ6" i="19"/>
  <c r="HI6" i="19"/>
  <c r="HH6" i="19"/>
  <c r="HG6" i="19"/>
  <c r="HM5" i="19"/>
  <c r="HL5" i="19"/>
  <c r="HJ5" i="19"/>
  <c r="HI5" i="19"/>
  <c r="HH5" i="19"/>
  <c r="HN5" i="19" s="1"/>
  <c r="HG5" i="19"/>
  <c r="HM4" i="19"/>
  <c r="HL4" i="19"/>
  <c r="HJ4" i="19"/>
  <c r="HI4" i="19"/>
  <c r="HH4" i="19"/>
  <c r="HN4" i="19" s="1"/>
  <c r="HG4" i="19"/>
  <c r="GK36" i="19"/>
  <c r="GJ36" i="19"/>
  <c r="GH36" i="19"/>
  <c r="GG36" i="19"/>
  <c r="GF36" i="19"/>
  <c r="GE36" i="19"/>
  <c r="GK34" i="19"/>
  <c r="GJ34" i="19"/>
  <c r="GH34" i="19"/>
  <c r="GG34" i="19"/>
  <c r="GF34" i="19"/>
  <c r="GE34" i="19"/>
  <c r="GK33" i="19"/>
  <c r="GJ33" i="19"/>
  <c r="GH33" i="19"/>
  <c r="GG33" i="19"/>
  <c r="GF33" i="19"/>
  <c r="GL33" i="19" s="1"/>
  <c r="GE33" i="19"/>
  <c r="GK32" i="19"/>
  <c r="GJ32" i="19"/>
  <c r="GH32" i="19"/>
  <c r="GG32" i="19"/>
  <c r="GF32" i="19"/>
  <c r="GL32" i="19" s="1"/>
  <c r="GE32" i="19"/>
  <c r="GK35" i="19"/>
  <c r="GJ35" i="19"/>
  <c r="GH35" i="19"/>
  <c r="GG35" i="19"/>
  <c r="GF35" i="19"/>
  <c r="GE35" i="19"/>
  <c r="GK30" i="19"/>
  <c r="GJ30" i="19"/>
  <c r="GH30" i="19"/>
  <c r="GG30" i="19"/>
  <c r="GF30" i="19"/>
  <c r="GE30" i="19"/>
  <c r="GK29" i="19"/>
  <c r="GJ29" i="19"/>
  <c r="GH29" i="19"/>
  <c r="GG29" i="19"/>
  <c r="GF29" i="19"/>
  <c r="GL29" i="19" s="1"/>
  <c r="GE29" i="19"/>
  <c r="GK28" i="19"/>
  <c r="GJ28" i="19"/>
  <c r="GH28" i="19"/>
  <c r="GG28" i="19"/>
  <c r="GF28" i="19"/>
  <c r="GL28" i="19" s="1"/>
  <c r="GE28" i="19"/>
  <c r="GK27" i="19"/>
  <c r="GJ27" i="19"/>
  <c r="GH27" i="19"/>
  <c r="GG27" i="19"/>
  <c r="GF27" i="19"/>
  <c r="GE27" i="19"/>
  <c r="GK26" i="19"/>
  <c r="GJ26" i="19"/>
  <c r="GH26" i="19"/>
  <c r="GG26" i="19"/>
  <c r="GF26" i="19"/>
  <c r="GE26" i="19"/>
  <c r="GK25" i="19"/>
  <c r="GJ25" i="19"/>
  <c r="GH25" i="19"/>
  <c r="GG25" i="19"/>
  <c r="GF25" i="19"/>
  <c r="GL25" i="19" s="1"/>
  <c r="GE25" i="19"/>
  <c r="GK24" i="19"/>
  <c r="GJ24" i="19"/>
  <c r="GH24" i="19"/>
  <c r="GG24" i="19"/>
  <c r="GF24" i="19"/>
  <c r="GL24" i="19" s="1"/>
  <c r="GE24" i="19"/>
  <c r="GK23" i="19"/>
  <c r="GJ23" i="19"/>
  <c r="GH23" i="19"/>
  <c r="GG23" i="19"/>
  <c r="GF23" i="19"/>
  <c r="GE23" i="19"/>
  <c r="GK22" i="19"/>
  <c r="GJ22" i="19"/>
  <c r="GH22" i="19"/>
  <c r="GG22" i="19"/>
  <c r="GF22" i="19"/>
  <c r="GE22" i="19"/>
  <c r="GK21" i="19"/>
  <c r="GJ21" i="19"/>
  <c r="GH21" i="19"/>
  <c r="GG21" i="19"/>
  <c r="GF21" i="19"/>
  <c r="GL21" i="19" s="1"/>
  <c r="GE21" i="19"/>
  <c r="GK20" i="19"/>
  <c r="GJ20" i="19"/>
  <c r="GH20" i="19"/>
  <c r="GG20" i="19"/>
  <c r="GF20" i="19"/>
  <c r="GL20" i="19" s="1"/>
  <c r="GE20" i="19"/>
  <c r="GK31" i="19"/>
  <c r="GJ31" i="19"/>
  <c r="GH31" i="19"/>
  <c r="GG31" i="19"/>
  <c r="GF31" i="19"/>
  <c r="GE31" i="19"/>
  <c r="GK19" i="19"/>
  <c r="GJ19" i="19"/>
  <c r="GH19" i="19"/>
  <c r="GG19" i="19"/>
  <c r="GF19" i="19"/>
  <c r="GE19" i="19"/>
  <c r="GK18" i="19"/>
  <c r="GJ18" i="19"/>
  <c r="GH18" i="19"/>
  <c r="GG18" i="19"/>
  <c r="GF18" i="19"/>
  <c r="GL18" i="19" s="1"/>
  <c r="GE18" i="19"/>
  <c r="GK17" i="19"/>
  <c r="GJ17" i="19"/>
  <c r="GH17" i="19"/>
  <c r="GG17" i="19"/>
  <c r="GF17" i="19"/>
  <c r="GL17" i="19" s="1"/>
  <c r="GE17" i="19"/>
  <c r="GK16" i="19"/>
  <c r="GJ16" i="19"/>
  <c r="GH16" i="19"/>
  <c r="GG16" i="19"/>
  <c r="GF16" i="19"/>
  <c r="GE16" i="19"/>
  <c r="GK15" i="19"/>
  <c r="GJ15" i="19"/>
  <c r="GH15" i="19"/>
  <c r="GG15" i="19"/>
  <c r="GF15" i="19"/>
  <c r="GE15" i="19"/>
  <c r="GK14" i="19"/>
  <c r="GJ14" i="19"/>
  <c r="GH14" i="19"/>
  <c r="GG14" i="19"/>
  <c r="GF14" i="19"/>
  <c r="GL14" i="19" s="1"/>
  <c r="GE14" i="19"/>
  <c r="GK12" i="19"/>
  <c r="GJ12" i="19"/>
  <c r="GH12" i="19"/>
  <c r="GG12" i="19"/>
  <c r="GF12" i="19"/>
  <c r="GL12" i="19" s="1"/>
  <c r="GE12" i="19"/>
  <c r="GK11" i="19"/>
  <c r="GJ11" i="19"/>
  <c r="GH11" i="19"/>
  <c r="GG11" i="19"/>
  <c r="GF11" i="19"/>
  <c r="GE11" i="19"/>
  <c r="GK13" i="19"/>
  <c r="GJ13" i="19"/>
  <c r="GH13" i="19"/>
  <c r="GG13" i="19"/>
  <c r="GF13" i="19"/>
  <c r="GE13" i="19"/>
  <c r="GK10" i="19"/>
  <c r="GJ10" i="19"/>
  <c r="GH10" i="19"/>
  <c r="GG10" i="19"/>
  <c r="GF10" i="19"/>
  <c r="GL10" i="19" s="1"/>
  <c r="GE10" i="19"/>
  <c r="GK9" i="19"/>
  <c r="GJ9" i="19"/>
  <c r="GH9" i="19"/>
  <c r="GG9" i="19"/>
  <c r="GF9" i="19"/>
  <c r="GL9" i="19" s="1"/>
  <c r="GE9" i="19"/>
  <c r="GK8" i="19"/>
  <c r="GJ8" i="19"/>
  <c r="GH8" i="19"/>
  <c r="GG8" i="19"/>
  <c r="GF8" i="19"/>
  <c r="GE8" i="19"/>
  <c r="GK7" i="19"/>
  <c r="GJ7" i="19"/>
  <c r="GH7" i="19"/>
  <c r="GG7" i="19"/>
  <c r="GF7" i="19"/>
  <c r="GE7" i="19"/>
  <c r="GK6" i="19"/>
  <c r="GJ6" i="19"/>
  <c r="GH6" i="19"/>
  <c r="GG6" i="19"/>
  <c r="GF6" i="19"/>
  <c r="GL6" i="19" s="1"/>
  <c r="GE6" i="19"/>
  <c r="GK5" i="19"/>
  <c r="GJ5" i="19"/>
  <c r="GH5" i="19"/>
  <c r="GG5" i="19"/>
  <c r="GF5" i="19"/>
  <c r="GL5" i="19" s="1"/>
  <c r="GE5" i="19"/>
  <c r="GK4" i="19"/>
  <c r="GJ4" i="19"/>
  <c r="GH4" i="19"/>
  <c r="GG4" i="19"/>
  <c r="GF4" i="19"/>
  <c r="GE4" i="19"/>
  <c r="FI36" i="19"/>
  <c r="FH36" i="19"/>
  <c r="FF36" i="19"/>
  <c r="FE36" i="19"/>
  <c r="FD36" i="19"/>
  <c r="FC36" i="19"/>
  <c r="FI34" i="19"/>
  <c r="FH34" i="19"/>
  <c r="FF34" i="19"/>
  <c r="FE34" i="19"/>
  <c r="FD34" i="19"/>
  <c r="FJ34" i="19" s="1"/>
  <c r="FC34" i="19"/>
  <c r="FI33" i="19"/>
  <c r="FH33" i="19"/>
  <c r="FF33" i="19"/>
  <c r="FE33" i="19"/>
  <c r="FD33" i="19"/>
  <c r="FJ33" i="19" s="1"/>
  <c r="FC33" i="19"/>
  <c r="FI32" i="19"/>
  <c r="FH32" i="19"/>
  <c r="FF32" i="19"/>
  <c r="FE32" i="19"/>
  <c r="FD32" i="19"/>
  <c r="FC32" i="19"/>
  <c r="FI35" i="19"/>
  <c r="FH35" i="19"/>
  <c r="FF35" i="19"/>
  <c r="FE35" i="19"/>
  <c r="FD35" i="19"/>
  <c r="FC35" i="19"/>
  <c r="FI30" i="19"/>
  <c r="FH30" i="19"/>
  <c r="FF30" i="19"/>
  <c r="FE30" i="19"/>
  <c r="FD30" i="19"/>
  <c r="FJ30" i="19" s="1"/>
  <c r="FC30" i="19"/>
  <c r="FI29" i="19"/>
  <c r="FH29" i="19"/>
  <c r="FF29" i="19"/>
  <c r="FE29" i="19"/>
  <c r="FD29" i="19"/>
  <c r="FJ29" i="19" s="1"/>
  <c r="FC29" i="19"/>
  <c r="FI28" i="19"/>
  <c r="FH28" i="19"/>
  <c r="FF28" i="19"/>
  <c r="FE28" i="19"/>
  <c r="FD28" i="19"/>
  <c r="FC28" i="19"/>
  <c r="FI27" i="19"/>
  <c r="FH27" i="19"/>
  <c r="FF27" i="19"/>
  <c r="FE27" i="19"/>
  <c r="FD27" i="19"/>
  <c r="FC27" i="19"/>
  <c r="FI26" i="19"/>
  <c r="FH26" i="19"/>
  <c r="FF26" i="19"/>
  <c r="FE26" i="19"/>
  <c r="FD26" i="19"/>
  <c r="FJ26" i="19" s="1"/>
  <c r="FC26" i="19"/>
  <c r="FI25" i="19"/>
  <c r="FH25" i="19"/>
  <c r="FF25" i="19"/>
  <c r="FE25" i="19"/>
  <c r="FD25" i="19"/>
  <c r="FJ25" i="19" s="1"/>
  <c r="FC25" i="19"/>
  <c r="FI24" i="19"/>
  <c r="FH24" i="19"/>
  <c r="FF24" i="19"/>
  <c r="FE24" i="19"/>
  <c r="FD24" i="19"/>
  <c r="FC24" i="19"/>
  <c r="FI23" i="19"/>
  <c r="FH23" i="19"/>
  <c r="FF23" i="19"/>
  <c r="FE23" i="19"/>
  <c r="FD23" i="19"/>
  <c r="FC23" i="19"/>
  <c r="FI22" i="19"/>
  <c r="FH22" i="19"/>
  <c r="FF22" i="19"/>
  <c r="FE22" i="19"/>
  <c r="FD22" i="19"/>
  <c r="FJ22" i="19" s="1"/>
  <c r="FC22" i="19"/>
  <c r="FI21" i="19"/>
  <c r="FH21" i="19"/>
  <c r="FF21" i="19"/>
  <c r="FE21" i="19"/>
  <c r="FD21" i="19"/>
  <c r="FJ21" i="19" s="1"/>
  <c r="FC21" i="19"/>
  <c r="FI20" i="19"/>
  <c r="FH20" i="19"/>
  <c r="FF20" i="19"/>
  <c r="FE20" i="19"/>
  <c r="FD20" i="19"/>
  <c r="FC20" i="19"/>
  <c r="FI31" i="19"/>
  <c r="FH31" i="19"/>
  <c r="FF31" i="19"/>
  <c r="FE31" i="19"/>
  <c r="FD31" i="19"/>
  <c r="FC31" i="19"/>
  <c r="FI19" i="19"/>
  <c r="FH19" i="19"/>
  <c r="FF19" i="19"/>
  <c r="FE19" i="19"/>
  <c r="FD19" i="19"/>
  <c r="FJ19" i="19" s="1"/>
  <c r="FC19" i="19"/>
  <c r="FI18" i="19"/>
  <c r="FH18" i="19"/>
  <c r="FF18" i="19"/>
  <c r="FE18" i="19"/>
  <c r="FD18" i="19"/>
  <c r="FJ18" i="19" s="1"/>
  <c r="FC18" i="19"/>
  <c r="FI17" i="19"/>
  <c r="FH17" i="19"/>
  <c r="FF17" i="19"/>
  <c r="FE17" i="19"/>
  <c r="FD17" i="19"/>
  <c r="FC17" i="19"/>
  <c r="FI16" i="19"/>
  <c r="FH16" i="19"/>
  <c r="FF16" i="19"/>
  <c r="FE16" i="19"/>
  <c r="FD16" i="19"/>
  <c r="FC16" i="19"/>
  <c r="FI15" i="19"/>
  <c r="FH15" i="19"/>
  <c r="FF15" i="19"/>
  <c r="FE15" i="19"/>
  <c r="FD15" i="19"/>
  <c r="FJ15" i="19" s="1"/>
  <c r="FC15" i="19"/>
  <c r="FI14" i="19"/>
  <c r="FH14" i="19"/>
  <c r="FF14" i="19"/>
  <c r="FE14" i="19"/>
  <c r="FD14" i="19"/>
  <c r="FJ14" i="19" s="1"/>
  <c r="FC14" i="19"/>
  <c r="FI12" i="19"/>
  <c r="FH12" i="19"/>
  <c r="FF12" i="19"/>
  <c r="FE12" i="19"/>
  <c r="FD12" i="19"/>
  <c r="FC12" i="19"/>
  <c r="FI11" i="19"/>
  <c r="FH11" i="19"/>
  <c r="FF11" i="19"/>
  <c r="FE11" i="19"/>
  <c r="FD11" i="19"/>
  <c r="FC11" i="19"/>
  <c r="FI13" i="19"/>
  <c r="FH13" i="19"/>
  <c r="FF13" i="19"/>
  <c r="FE13" i="19"/>
  <c r="FD13" i="19"/>
  <c r="FJ13" i="19" s="1"/>
  <c r="FC13" i="19"/>
  <c r="FI10" i="19"/>
  <c r="FH10" i="19"/>
  <c r="FF10" i="19"/>
  <c r="FE10" i="19"/>
  <c r="FD10" i="19"/>
  <c r="FJ10" i="19" s="1"/>
  <c r="FC10" i="19"/>
  <c r="FI9" i="19"/>
  <c r="FH9" i="19"/>
  <c r="FF9" i="19"/>
  <c r="FE9" i="19"/>
  <c r="FD9" i="19"/>
  <c r="FC9" i="19"/>
  <c r="FI8" i="19"/>
  <c r="FH8" i="19"/>
  <c r="FF8" i="19"/>
  <c r="FE8" i="19"/>
  <c r="FD8" i="19"/>
  <c r="FC8" i="19"/>
  <c r="FI7" i="19"/>
  <c r="FH7" i="19"/>
  <c r="FF7" i="19"/>
  <c r="FE7" i="19"/>
  <c r="FD7" i="19"/>
  <c r="FJ7" i="19" s="1"/>
  <c r="FC7" i="19"/>
  <c r="FI6" i="19"/>
  <c r="FH6" i="19"/>
  <c r="FF6" i="19"/>
  <c r="FE6" i="19"/>
  <c r="FD6" i="19"/>
  <c r="FJ6" i="19" s="1"/>
  <c r="FC6" i="19"/>
  <c r="FI5" i="19"/>
  <c r="FH5" i="19"/>
  <c r="FF5" i="19"/>
  <c r="FE5" i="19"/>
  <c r="FD5" i="19"/>
  <c r="FC5" i="19"/>
  <c r="FI4" i="19"/>
  <c r="FH4" i="19"/>
  <c r="FF4" i="19"/>
  <c r="FE4" i="19"/>
  <c r="FD4" i="19"/>
  <c r="FC4" i="19"/>
  <c r="EG36" i="19"/>
  <c r="EF36" i="19"/>
  <c r="ED36" i="19"/>
  <c r="EC36" i="19"/>
  <c r="EB36" i="19"/>
  <c r="EH36" i="19" s="1"/>
  <c r="EA36" i="19"/>
  <c r="EG34" i="19"/>
  <c r="EF34" i="19"/>
  <c r="ED34" i="19"/>
  <c r="EC34" i="19"/>
  <c r="EB34" i="19"/>
  <c r="EH34" i="19" s="1"/>
  <c r="EA34" i="19"/>
  <c r="EG33" i="19"/>
  <c r="EF33" i="19"/>
  <c r="ED33" i="19"/>
  <c r="EC33" i="19"/>
  <c r="EB33" i="19"/>
  <c r="EA33" i="19"/>
  <c r="EG32" i="19"/>
  <c r="EF32" i="19"/>
  <c r="ED32" i="19"/>
  <c r="EC32" i="19"/>
  <c r="EB32" i="19"/>
  <c r="EA32" i="19"/>
  <c r="EG35" i="19"/>
  <c r="EF35" i="19"/>
  <c r="ED35" i="19"/>
  <c r="EC35" i="19"/>
  <c r="EB35" i="19"/>
  <c r="EH35" i="19" s="1"/>
  <c r="EA35" i="19"/>
  <c r="EG30" i="19"/>
  <c r="EF30" i="19"/>
  <c r="ED30" i="19"/>
  <c r="EC30" i="19"/>
  <c r="EB30" i="19"/>
  <c r="EH30" i="19" s="1"/>
  <c r="EA30" i="19"/>
  <c r="EG29" i="19"/>
  <c r="EF29" i="19"/>
  <c r="ED29" i="19"/>
  <c r="EC29" i="19"/>
  <c r="EB29" i="19"/>
  <c r="EA29" i="19"/>
  <c r="EG28" i="19"/>
  <c r="EF28" i="19"/>
  <c r="ED28" i="19"/>
  <c r="EC28" i="19"/>
  <c r="EB28" i="19"/>
  <c r="EA28" i="19"/>
  <c r="EG27" i="19"/>
  <c r="EF27" i="19"/>
  <c r="ED27" i="19"/>
  <c r="EC27" i="19"/>
  <c r="EB27" i="19"/>
  <c r="EH27" i="19" s="1"/>
  <c r="EA27" i="19"/>
  <c r="EG26" i="19"/>
  <c r="EF26" i="19"/>
  <c r="ED26" i="19"/>
  <c r="EC26" i="19"/>
  <c r="EB26" i="19"/>
  <c r="EH26" i="19" s="1"/>
  <c r="EA26" i="19"/>
  <c r="EG25" i="19"/>
  <c r="EF25" i="19"/>
  <c r="ED25" i="19"/>
  <c r="EC25" i="19"/>
  <c r="EB25" i="19"/>
  <c r="EA25" i="19"/>
  <c r="EG24" i="19"/>
  <c r="EF24" i="19"/>
  <c r="ED24" i="19"/>
  <c r="EC24" i="19"/>
  <c r="EB24" i="19"/>
  <c r="EA24" i="19"/>
  <c r="EG23" i="19"/>
  <c r="EF23" i="19"/>
  <c r="ED23" i="19"/>
  <c r="EC23" i="19"/>
  <c r="EB23" i="19"/>
  <c r="EH23" i="19" s="1"/>
  <c r="EA23" i="19"/>
  <c r="EG22" i="19"/>
  <c r="EF22" i="19"/>
  <c r="ED22" i="19"/>
  <c r="EC22" i="19"/>
  <c r="EB22" i="19"/>
  <c r="EH22" i="19" s="1"/>
  <c r="EA22" i="19"/>
  <c r="EG21" i="19"/>
  <c r="EF21" i="19"/>
  <c r="ED21" i="19"/>
  <c r="EC21" i="19"/>
  <c r="EB21" i="19"/>
  <c r="EA21" i="19"/>
  <c r="EG20" i="19"/>
  <c r="EF20" i="19"/>
  <c r="ED20" i="19"/>
  <c r="EC20" i="19"/>
  <c r="EB20" i="19"/>
  <c r="EA20" i="19"/>
  <c r="EG31" i="19"/>
  <c r="EF31" i="19"/>
  <c r="ED31" i="19"/>
  <c r="EC31" i="19"/>
  <c r="EB31" i="19"/>
  <c r="EH31" i="19" s="1"/>
  <c r="EA31" i="19"/>
  <c r="EG19" i="19"/>
  <c r="EF19" i="19"/>
  <c r="ED19" i="19"/>
  <c r="EC19" i="19"/>
  <c r="EB19" i="19"/>
  <c r="EH19" i="19" s="1"/>
  <c r="EA19" i="19"/>
  <c r="EG18" i="19"/>
  <c r="EF18" i="19"/>
  <c r="ED18" i="19"/>
  <c r="EC18" i="19"/>
  <c r="EB18" i="19"/>
  <c r="EA18" i="19"/>
  <c r="EG17" i="19"/>
  <c r="EF17" i="19"/>
  <c r="ED17" i="19"/>
  <c r="EC17" i="19"/>
  <c r="EB17" i="19"/>
  <c r="EA17" i="19"/>
  <c r="EG16" i="19"/>
  <c r="EF16" i="19"/>
  <c r="ED16" i="19"/>
  <c r="EC16" i="19"/>
  <c r="EB16" i="19"/>
  <c r="EH16" i="19" s="1"/>
  <c r="EA16" i="19"/>
  <c r="EG15" i="19"/>
  <c r="EF15" i="19"/>
  <c r="ED15" i="19"/>
  <c r="EC15" i="19"/>
  <c r="EB15" i="19"/>
  <c r="EH15" i="19" s="1"/>
  <c r="EA15" i="19"/>
  <c r="EG14" i="19"/>
  <c r="EF14" i="19"/>
  <c r="ED14" i="19"/>
  <c r="EC14" i="19"/>
  <c r="EB14" i="19"/>
  <c r="EA14" i="19"/>
  <c r="EG12" i="19"/>
  <c r="EF12" i="19"/>
  <c r="ED12" i="19"/>
  <c r="EC12" i="19"/>
  <c r="EB12" i="19"/>
  <c r="EA12" i="19"/>
  <c r="EG11" i="19"/>
  <c r="EF11" i="19"/>
  <c r="ED11" i="19"/>
  <c r="EC11" i="19"/>
  <c r="EB11" i="19"/>
  <c r="EH11" i="19" s="1"/>
  <c r="EA11" i="19"/>
  <c r="EG13" i="19"/>
  <c r="EF13" i="19"/>
  <c r="ED13" i="19"/>
  <c r="EC13" i="19"/>
  <c r="EB13" i="19"/>
  <c r="EH13" i="19" s="1"/>
  <c r="EA13" i="19"/>
  <c r="EG10" i="19"/>
  <c r="EF10" i="19"/>
  <c r="ED10" i="19"/>
  <c r="EC10" i="19"/>
  <c r="EB10" i="19"/>
  <c r="EA10" i="19"/>
  <c r="EG9" i="19"/>
  <c r="EF9" i="19"/>
  <c r="ED9" i="19"/>
  <c r="EC9" i="19"/>
  <c r="EB9" i="19"/>
  <c r="EA9" i="19"/>
  <c r="EG8" i="19"/>
  <c r="EF8" i="19"/>
  <c r="ED8" i="19"/>
  <c r="EC8" i="19"/>
  <c r="EB8" i="19"/>
  <c r="EH8" i="19" s="1"/>
  <c r="EA8" i="19"/>
  <c r="EG7" i="19"/>
  <c r="EF7" i="19"/>
  <c r="ED7" i="19"/>
  <c r="EC7" i="19"/>
  <c r="EB7" i="19"/>
  <c r="EH7" i="19" s="1"/>
  <c r="EA7" i="19"/>
  <c r="EG6" i="19"/>
  <c r="EF6" i="19"/>
  <c r="ED6" i="19"/>
  <c r="EC6" i="19"/>
  <c r="EB6" i="19"/>
  <c r="EA6" i="19"/>
  <c r="EG5" i="19"/>
  <c r="EF5" i="19"/>
  <c r="ED5" i="19"/>
  <c r="EC5" i="19"/>
  <c r="EB5" i="19"/>
  <c r="EA5" i="19"/>
  <c r="EG4" i="19"/>
  <c r="EF4" i="19"/>
  <c r="ED4" i="19"/>
  <c r="EC4" i="19"/>
  <c r="EB4" i="19"/>
  <c r="EH4" i="19" s="1"/>
  <c r="EA4" i="19"/>
  <c r="PA23" i="27"/>
  <c r="OZ23" i="27"/>
  <c r="OX23" i="27"/>
  <c r="OW23" i="27"/>
  <c r="OV23" i="27"/>
  <c r="PB23" i="27" s="1"/>
  <c r="OU23" i="27"/>
  <c r="PA22" i="27"/>
  <c r="OZ22" i="27"/>
  <c r="OX22" i="27"/>
  <c r="OW22" i="27"/>
  <c r="OV22" i="27"/>
  <c r="PB22" i="27" s="1"/>
  <c r="OU22" i="27"/>
  <c r="PA21" i="27"/>
  <c r="OZ21" i="27"/>
  <c r="OX21" i="27"/>
  <c r="OW21" i="27"/>
  <c r="OV21" i="27"/>
  <c r="OU21" i="27"/>
  <c r="PA20" i="27"/>
  <c r="OZ20" i="27"/>
  <c r="OX20" i="27"/>
  <c r="OW20" i="27"/>
  <c r="OV20" i="27"/>
  <c r="OU20" i="27"/>
  <c r="PA19" i="27"/>
  <c r="OZ19" i="27"/>
  <c r="OX19" i="27"/>
  <c r="OW19" i="27"/>
  <c r="OV19" i="27"/>
  <c r="PB19" i="27" s="1"/>
  <c r="OU19" i="27"/>
  <c r="PA18" i="27"/>
  <c r="OZ18" i="27"/>
  <c r="OX18" i="27"/>
  <c r="OW18" i="27"/>
  <c r="OV18" i="27"/>
  <c r="PB18" i="27" s="1"/>
  <c r="OU18" i="27"/>
  <c r="PA17" i="27"/>
  <c r="OZ17" i="27"/>
  <c r="OX17" i="27"/>
  <c r="OW17" i="27"/>
  <c r="OV17" i="27"/>
  <c r="PB17" i="27" s="1"/>
  <c r="OU17" i="27"/>
  <c r="PA16" i="27"/>
  <c r="OZ16" i="27"/>
  <c r="OX16" i="27"/>
  <c r="OW16" i="27"/>
  <c r="OV16" i="27"/>
  <c r="OU16" i="27"/>
  <c r="PA15" i="27"/>
  <c r="OZ15" i="27"/>
  <c r="OX15" i="27"/>
  <c r="OW15" i="27"/>
  <c r="OV15" i="27"/>
  <c r="PB15" i="27" s="1"/>
  <c r="OU15" i="27"/>
  <c r="PA14" i="27"/>
  <c r="OZ14" i="27"/>
  <c r="OX14" i="27"/>
  <c r="OW14" i="27"/>
  <c r="OV14" i="27"/>
  <c r="OU14" i="27"/>
  <c r="PA13" i="27"/>
  <c r="OZ13" i="27"/>
  <c r="OX13" i="27"/>
  <c r="OW13" i="27"/>
  <c r="OV13" i="27"/>
  <c r="PB13" i="27" s="1"/>
  <c r="OU13" i="27"/>
  <c r="PA12" i="27"/>
  <c r="OZ12" i="27"/>
  <c r="OX12" i="27"/>
  <c r="OW12" i="27"/>
  <c r="OV12" i="27"/>
  <c r="OU12" i="27"/>
  <c r="PA11" i="27"/>
  <c r="OZ11" i="27"/>
  <c r="OX11" i="27"/>
  <c r="OW11" i="27"/>
  <c r="OV11" i="27"/>
  <c r="OU11" i="27"/>
  <c r="PA10" i="27"/>
  <c r="OZ10" i="27"/>
  <c r="OX10" i="27"/>
  <c r="OW10" i="27"/>
  <c r="OV10" i="27"/>
  <c r="OU10" i="27"/>
  <c r="PA9" i="27"/>
  <c r="OZ9" i="27"/>
  <c r="OX9" i="27"/>
  <c r="OW9" i="27"/>
  <c r="OV9" i="27"/>
  <c r="PB9" i="27" s="1"/>
  <c r="OU9" i="27"/>
  <c r="PA8" i="27"/>
  <c r="OZ8" i="27"/>
  <c r="OX8" i="27"/>
  <c r="OW8" i="27"/>
  <c r="OV8" i="27"/>
  <c r="OU8" i="27"/>
  <c r="PA7" i="27"/>
  <c r="OZ7" i="27"/>
  <c r="OX7" i="27"/>
  <c r="OW7" i="27"/>
  <c r="OV7" i="27"/>
  <c r="OU7" i="27"/>
  <c r="PA6" i="27"/>
  <c r="OZ6" i="27"/>
  <c r="OX6" i="27"/>
  <c r="OW6" i="27"/>
  <c r="OV6" i="27"/>
  <c r="OU6" i="27"/>
  <c r="PA5" i="27"/>
  <c r="OZ5" i="27"/>
  <c r="OX5" i="27"/>
  <c r="OW5" i="27"/>
  <c r="OV5" i="27"/>
  <c r="PB5" i="27" s="1"/>
  <c r="OU5" i="27"/>
  <c r="PA4" i="27"/>
  <c r="OZ4" i="27"/>
  <c r="OX4" i="27"/>
  <c r="OW4" i="27"/>
  <c r="OV4" i="27"/>
  <c r="OU4" i="27"/>
  <c r="NY23" i="27"/>
  <c r="NX23" i="27"/>
  <c r="NV23" i="27"/>
  <c r="NU23" i="27"/>
  <c r="NT23" i="27"/>
  <c r="NS23" i="27"/>
  <c r="NY22" i="27"/>
  <c r="NX22" i="27"/>
  <c r="NV22" i="27"/>
  <c r="NU22" i="27"/>
  <c r="NT22" i="27"/>
  <c r="NS22" i="27"/>
  <c r="NY21" i="27"/>
  <c r="NX21" i="27"/>
  <c r="NV21" i="27"/>
  <c r="NU21" i="27"/>
  <c r="NT21" i="27"/>
  <c r="NZ21" i="27" s="1"/>
  <c r="NS21" i="27"/>
  <c r="NY20" i="27"/>
  <c r="NX20" i="27"/>
  <c r="NV20" i="27"/>
  <c r="NU20" i="27"/>
  <c r="NT20" i="27"/>
  <c r="NS20" i="27"/>
  <c r="NY19" i="27"/>
  <c r="NX19" i="27"/>
  <c r="NV19" i="27"/>
  <c r="NU19" i="27"/>
  <c r="NT19" i="27"/>
  <c r="NS19" i="27"/>
  <c r="NY18" i="27"/>
  <c r="NX18" i="27"/>
  <c r="NV18" i="27"/>
  <c r="NU18" i="27"/>
  <c r="NT18" i="27"/>
  <c r="NS18" i="27"/>
  <c r="NY17" i="27"/>
  <c r="NX17" i="27"/>
  <c r="NV17" i="27"/>
  <c r="NU17" i="27"/>
  <c r="NT17" i="27"/>
  <c r="NZ17" i="27" s="1"/>
  <c r="NS17" i="27"/>
  <c r="NY16" i="27"/>
  <c r="NX16" i="27"/>
  <c r="NV16" i="27"/>
  <c r="NU16" i="27"/>
  <c r="NT16" i="27"/>
  <c r="NZ16" i="27" s="1"/>
  <c r="NS16" i="27"/>
  <c r="NY15" i="27"/>
  <c r="NX15" i="27"/>
  <c r="NV15" i="27"/>
  <c r="NU15" i="27"/>
  <c r="NT15" i="27"/>
  <c r="NS15" i="27"/>
  <c r="NY14" i="27"/>
  <c r="NX14" i="27"/>
  <c r="NV14" i="27"/>
  <c r="NU14" i="27"/>
  <c r="NT14" i="27"/>
  <c r="NS14" i="27"/>
  <c r="NY13" i="27"/>
  <c r="NX13" i="27"/>
  <c r="NV13" i="27"/>
  <c r="NU13" i="27"/>
  <c r="NT13" i="27"/>
  <c r="NZ13" i="27" s="1"/>
  <c r="NS13" i="27"/>
  <c r="NY12" i="27"/>
  <c r="NX12" i="27"/>
  <c r="NV12" i="27"/>
  <c r="NU12" i="27"/>
  <c r="NT12" i="27"/>
  <c r="NZ12" i="27" s="1"/>
  <c r="NS12" i="27"/>
  <c r="NY11" i="27"/>
  <c r="NX11" i="27"/>
  <c r="NV11" i="27"/>
  <c r="NU11" i="27"/>
  <c r="NT11" i="27"/>
  <c r="NS11" i="27"/>
  <c r="NY10" i="27"/>
  <c r="NX10" i="27"/>
  <c r="NV10" i="27"/>
  <c r="NU10" i="27"/>
  <c r="NT10" i="27"/>
  <c r="NS10" i="27"/>
  <c r="NY9" i="27"/>
  <c r="NX9" i="27"/>
  <c r="NV9" i="27"/>
  <c r="NU9" i="27"/>
  <c r="NT9" i="27"/>
  <c r="NZ9" i="27" s="1"/>
  <c r="NS9" i="27"/>
  <c r="NY8" i="27"/>
  <c r="NX8" i="27"/>
  <c r="NV8" i="27"/>
  <c r="NU8" i="27"/>
  <c r="NT8" i="27"/>
  <c r="NZ8" i="27" s="1"/>
  <c r="NS8" i="27"/>
  <c r="NY7" i="27"/>
  <c r="NX7" i="27"/>
  <c r="NV7" i="27"/>
  <c r="NU7" i="27"/>
  <c r="NT7" i="27"/>
  <c r="NS7" i="27"/>
  <c r="NY6" i="27"/>
  <c r="NX6" i="27"/>
  <c r="NV6" i="27"/>
  <c r="NU6" i="27"/>
  <c r="NT6" i="27"/>
  <c r="NS6" i="27"/>
  <c r="NY5" i="27"/>
  <c r="NX5" i="27"/>
  <c r="NV5" i="27"/>
  <c r="NU5" i="27"/>
  <c r="NT5" i="27"/>
  <c r="NZ5" i="27" s="1"/>
  <c r="NS5" i="27"/>
  <c r="NY4" i="27"/>
  <c r="NX4" i="27"/>
  <c r="NV4" i="27"/>
  <c r="NU4" i="27"/>
  <c r="NT4" i="27"/>
  <c r="NZ4" i="27" s="1"/>
  <c r="NS4" i="27"/>
  <c r="MW23" i="27"/>
  <c r="MV23" i="27"/>
  <c r="MT23" i="27"/>
  <c r="MS23" i="27"/>
  <c r="MR23" i="27"/>
  <c r="MQ23" i="27"/>
  <c r="MW22" i="27"/>
  <c r="MV22" i="27"/>
  <c r="MT22" i="27"/>
  <c r="MS22" i="27"/>
  <c r="MR22" i="27"/>
  <c r="MQ22" i="27"/>
  <c r="MW21" i="27"/>
  <c r="MV21" i="27"/>
  <c r="MT21" i="27"/>
  <c r="MS21" i="27"/>
  <c r="MR21" i="27"/>
  <c r="MX21" i="27" s="1"/>
  <c r="MQ21" i="27"/>
  <c r="MW20" i="27"/>
  <c r="MV20" i="27"/>
  <c r="MT20" i="27"/>
  <c r="MS20" i="27"/>
  <c r="MR20" i="27"/>
  <c r="MX20" i="27" s="1"/>
  <c r="MQ20" i="27"/>
  <c r="MW19" i="27"/>
  <c r="MV19" i="27"/>
  <c r="MT19" i="27"/>
  <c r="MS19" i="27"/>
  <c r="MR19" i="27"/>
  <c r="MQ19" i="27"/>
  <c r="MW18" i="27"/>
  <c r="MV18" i="27"/>
  <c r="MT18" i="27"/>
  <c r="MS18" i="27"/>
  <c r="MR18" i="27"/>
  <c r="MQ18" i="27"/>
  <c r="MW17" i="27"/>
  <c r="MV17" i="27"/>
  <c r="MT17" i="27"/>
  <c r="MS17" i="27"/>
  <c r="MR17" i="27"/>
  <c r="MX17" i="27" s="1"/>
  <c r="MQ17" i="27"/>
  <c r="MW16" i="27"/>
  <c r="MV16" i="27"/>
  <c r="MT16" i="27"/>
  <c r="MS16" i="27"/>
  <c r="MR16" i="27"/>
  <c r="MQ16" i="27"/>
  <c r="MW15" i="27"/>
  <c r="MV15" i="27"/>
  <c r="MT15" i="27"/>
  <c r="MS15" i="27"/>
  <c r="MR15" i="27"/>
  <c r="MQ15" i="27"/>
  <c r="MW14" i="27"/>
  <c r="MV14" i="27"/>
  <c r="MT14" i="27"/>
  <c r="MS14" i="27"/>
  <c r="MR14" i="27"/>
  <c r="MQ14" i="27"/>
  <c r="MW13" i="27"/>
  <c r="MV13" i="27"/>
  <c r="MT13" i="27"/>
  <c r="MS13" i="27"/>
  <c r="MR13" i="27"/>
  <c r="MX13" i="27" s="1"/>
  <c r="MQ13" i="27"/>
  <c r="MW12" i="27"/>
  <c r="MV12" i="27"/>
  <c r="MT12" i="27"/>
  <c r="MS12" i="27"/>
  <c r="MR12" i="27"/>
  <c r="MQ12" i="27"/>
  <c r="MW11" i="27"/>
  <c r="MV11" i="27"/>
  <c r="MT11" i="27"/>
  <c r="MS11" i="27"/>
  <c r="MR11" i="27"/>
  <c r="MQ11" i="27"/>
  <c r="MW10" i="27"/>
  <c r="MV10" i="27"/>
  <c r="MT10" i="27"/>
  <c r="MS10" i="27"/>
  <c r="MR10" i="27"/>
  <c r="MQ10" i="27"/>
  <c r="MW9" i="27"/>
  <c r="MV9" i="27"/>
  <c r="MT9" i="27"/>
  <c r="MS9" i="27"/>
  <c r="MR9" i="27"/>
  <c r="MX9" i="27" s="1"/>
  <c r="MQ9" i="27"/>
  <c r="MW8" i="27"/>
  <c r="MV8" i="27"/>
  <c r="MT8" i="27"/>
  <c r="MS8" i="27"/>
  <c r="MR8" i="27"/>
  <c r="MQ8" i="27"/>
  <c r="MW7" i="27"/>
  <c r="MV7" i="27"/>
  <c r="MT7" i="27"/>
  <c r="MS7" i="27"/>
  <c r="MR7" i="27"/>
  <c r="MQ7" i="27"/>
  <c r="MW6" i="27"/>
  <c r="MV6" i="27"/>
  <c r="MT6" i="27"/>
  <c r="MS6" i="27"/>
  <c r="MR6" i="27"/>
  <c r="MQ6" i="27"/>
  <c r="MW5" i="27"/>
  <c r="MV5" i="27"/>
  <c r="MT5" i="27"/>
  <c r="MS5" i="27"/>
  <c r="MR5" i="27"/>
  <c r="MX5" i="27" s="1"/>
  <c r="MQ5" i="27"/>
  <c r="MW4" i="27"/>
  <c r="MV4" i="27"/>
  <c r="MT4" i="27"/>
  <c r="MS4" i="27"/>
  <c r="MR4" i="27"/>
  <c r="MQ4" i="27"/>
  <c r="LU23" i="27"/>
  <c r="LT23" i="27"/>
  <c r="LR23" i="27"/>
  <c r="LQ23" i="27"/>
  <c r="LP23" i="27"/>
  <c r="LO23" i="27"/>
  <c r="LU22" i="27"/>
  <c r="LT22" i="27"/>
  <c r="LR22" i="27"/>
  <c r="LQ22" i="27"/>
  <c r="LP22" i="27"/>
  <c r="LO22" i="27"/>
  <c r="LU21" i="27"/>
  <c r="LT21" i="27"/>
  <c r="LR21" i="27"/>
  <c r="LQ21" i="27"/>
  <c r="LP21" i="27"/>
  <c r="LV21" i="27" s="1"/>
  <c r="LO21" i="27"/>
  <c r="LU20" i="27"/>
  <c r="LT20" i="27"/>
  <c r="LR20" i="27"/>
  <c r="LQ20" i="27"/>
  <c r="LP20" i="27"/>
  <c r="LO20" i="27"/>
  <c r="LU19" i="27"/>
  <c r="LT19" i="27"/>
  <c r="LR19" i="27"/>
  <c r="LQ19" i="27"/>
  <c r="LP19" i="27"/>
  <c r="LO19" i="27"/>
  <c r="LU18" i="27"/>
  <c r="LT18" i="27"/>
  <c r="LR18" i="27"/>
  <c r="LQ18" i="27"/>
  <c r="LP18" i="27"/>
  <c r="LO18" i="27"/>
  <c r="LU17" i="27"/>
  <c r="LT17" i="27"/>
  <c r="LR17" i="27"/>
  <c r="LQ17" i="27"/>
  <c r="LP17" i="27"/>
  <c r="LV17" i="27" s="1"/>
  <c r="LO17" i="27"/>
  <c r="LU16" i="27"/>
  <c r="LT16" i="27"/>
  <c r="LR16" i="27"/>
  <c r="LQ16" i="27"/>
  <c r="LP16" i="27"/>
  <c r="LO16" i="27"/>
  <c r="LU15" i="27"/>
  <c r="LT15" i="27"/>
  <c r="LR15" i="27"/>
  <c r="LQ15" i="27"/>
  <c r="LP15" i="27"/>
  <c r="LO15" i="27"/>
  <c r="LU14" i="27"/>
  <c r="LT14" i="27"/>
  <c r="LR14" i="27"/>
  <c r="LQ14" i="27"/>
  <c r="LP14" i="27"/>
  <c r="LO14" i="27"/>
  <c r="LU13" i="27"/>
  <c r="LT13" i="27"/>
  <c r="LR13" i="27"/>
  <c r="LQ13" i="27"/>
  <c r="LP13" i="27"/>
  <c r="LV13" i="27" s="1"/>
  <c r="LO13" i="27"/>
  <c r="LU12" i="27"/>
  <c r="LT12" i="27"/>
  <c r="LR12" i="27"/>
  <c r="LQ12" i="27"/>
  <c r="LP12" i="27"/>
  <c r="LO12" i="27"/>
  <c r="LU11" i="27"/>
  <c r="LT11" i="27"/>
  <c r="LR11" i="27"/>
  <c r="LQ11" i="27"/>
  <c r="LP11" i="27"/>
  <c r="LO11" i="27"/>
  <c r="LU10" i="27"/>
  <c r="LT10" i="27"/>
  <c r="LR10" i="27"/>
  <c r="LQ10" i="27"/>
  <c r="LP10" i="27"/>
  <c r="LO10" i="27"/>
  <c r="LU9" i="27"/>
  <c r="LT9" i="27"/>
  <c r="LR9" i="27"/>
  <c r="LQ9" i="27"/>
  <c r="LP9" i="27"/>
  <c r="LV9" i="27" s="1"/>
  <c r="LO9" i="27"/>
  <c r="LU8" i="27"/>
  <c r="LT8" i="27"/>
  <c r="LR8" i="27"/>
  <c r="LQ8" i="27"/>
  <c r="LP8" i="27"/>
  <c r="LO8" i="27"/>
  <c r="LU7" i="27"/>
  <c r="LT7" i="27"/>
  <c r="LR7" i="27"/>
  <c r="LQ7" i="27"/>
  <c r="LP7" i="27"/>
  <c r="LO7" i="27"/>
  <c r="LU6" i="27"/>
  <c r="LT6" i="27"/>
  <c r="LR6" i="27"/>
  <c r="LQ6" i="27"/>
  <c r="LP6" i="27"/>
  <c r="LV6" i="27" s="1"/>
  <c r="LO6" i="27"/>
  <c r="LU5" i="27"/>
  <c r="LT5" i="27"/>
  <c r="LR5" i="27"/>
  <c r="LQ5" i="27"/>
  <c r="LP5" i="27"/>
  <c r="LV5" i="27" s="1"/>
  <c r="LO5" i="27"/>
  <c r="LU4" i="27"/>
  <c r="LT4" i="27"/>
  <c r="LR4" i="27"/>
  <c r="LQ4" i="27"/>
  <c r="LP4" i="27"/>
  <c r="LO4" i="27"/>
  <c r="KS23" i="27"/>
  <c r="KR23" i="27"/>
  <c r="KP23" i="27"/>
  <c r="KO23" i="27"/>
  <c r="KN23" i="27"/>
  <c r="KM23" i="27"/>
  <c r="KS22" i="27"/>
  <c r="KR22" i="27"/>
  <c r="KP22" i="27"/>
  <c r="KO22" i="27"/>
  <c r="KN22" i="27"/>
  <c r="KT22" i="27" s="1"/>
  <c r="KM22" i="27"/>
  <c r="KS21" i="27"/>
  <c r="KR21" i="27"/>
  <c r="KP21" i="27"/>
  <c r="KO21" i="27"/>
  <c r="KN21" i="27"/>
  <c r="KT21" i="27" s="1"/>
  <c r="KM21" i="27"/>
  <c r="KS20" i="27"/>
  <c r="KR20" i="27"/>
  <c r="KP20" i="27"/>
  <c r="KO20" i="27"/>
  <c r="KN20" i="27"/>
  <c r="KM20" i="27"/>
  <c r="KS19" i="27"/>
  <c r="KR19" i="27"/>
  <c r="KP19" i="27"/>
  <c r="KO19" i="27"/>
  <c r="KN19" i="27"/>
  <c r="KM19" i="27"/>
  <c r="KS18" i="27"/>
  <c r="KR18" i="27"/>
  <c r="KP18" i="27"/>
  <c r="KO18" i="27"/>
  <c r="KN18" i="27"/>
  <c r="KT18" i="27" s="1"/>
  <c r="KM18" i="27"/>
  <c r="KS17" i="27"/>
  <c r="KR17" i="27"/>
  <c r="KP17" i="27"/>
  <c r="KO17" i="27"/>
  <c r="KN17" i="27"/>
  <c r="KT17" i="27" s="1"/>
  <c r="KM17" i="27"/>
  <c r="KS16" i="27"/>
  <c r="KR16" i="27"/>
  <c r="KP16" i="27"/>
  <c r="KO16" i="27"/>
  <c r="KN16" i="27"/>
  <c r="KM16" i="27"/>
  <c r="KS15" i="27"/>
  <c r="KR15" i="27"/>
  <c r="KP15" i="27"/>
  <c r="KO15" i="27"/>
  <c r="KN15" i="27"/>
  <c r="KM15" i="27"/>
  <c r="KS14" i="27"/>
  <c r="KR14" i="27"/>
  <c r="KP14" i="27"/>
  <c r="KO14" i="27"/>
  <c r="KN14" i="27"/>
  <c r="KT14" i="27" s="1"/>
  <c r="KM14" i="27"/>
  <c r="KS13" i="27"/>
  <c r="KR13" i="27"/>
  <c r="KP13" i="27"/>
  <c r="KO13" i="27"/>
  <c r="KN13" i="27"/>
  <c r="KT13" i="27" s="1"/>
  <c r="KM13" i="27"/>
  <c r="KS12" i="27"/>
  <c r="KR12" i="27"/>
  <c r="KP12" i="27"/>
  <c r="KO12" i="27"/>
  <c r="KN12" i="27"/>
  <c r="KM12" i="27"/>
  <c r="KS11" i="27"/>
  <c r="KR11" i="27"/>
  <c r="KP11" i="27"/>
  <c r="KO11" i="27"/>
  <c r="KN11" i="27"/>
  <c r="KM11" i="27"/>
  <c r="KS10" i="27"/>
  <c r="KR10" i="27"/>
  <c r="KP10" i="27"/>
  <c r="KO10" i="27"/>
  <c r="KN10" i="27"/>
  <c r="KT10" i="27" s="1"/>
  <c r="KM10" i="27"/>
  <c r="KS9" i="27"/>
  <c r="KR9" i="27"/>
  <c r="KP9" i="27"/>
  <c r="KO9" i="27"/>
  <c r="KN9" i="27"/>
  <c r="KT9" i="27" s="1"/>
  <c r="KM9" i="27"/>
  <c r="KS8" i="27"/>
  <c r="KR8" i="27"/>
  <c r="KP8" i="27"/>
  <c r="KO8" i="27"/>
  <c r="KN8" i="27"/>
  <c r="KM8" i="27"/>
  <c r="KS7" i="27"/>
  <c r="KR7" i="27"/>
  <c r="KP7" i="27"/>
  <c r="KO7" i="27"/>
  <c r="KN7" i="27"/>
  <c r="KM7" i="27"/>
  <c r="KS6" i="27"/>
  <c r="KR6" i="27"/>
  <c r="KP6" i="27"/>
  <c r="KO6" i="27"/>
  <c r="KN6" i="27"/>
  <c r="KM6" i="27"/>
  <c r="KS5" i="27"/>
  <c r="KR5" i="27"/>
  <c r="KP5" i="27"/>
  <c r="KO5" i="27"/>
  <c r="KN5" i="27"/>
  <c r="KT5" i="27" s="1"/>
  <c r="KM5" i="27"/>
  <c r="KS4" i="27"/>
  <c r="KR4" i="27"/>
  <c r="KP4" i="27"/>
  <c r="KO4" i="27"/>
  <c r="KN4" i="27"/>
  <c r="KM4" i="27"/>
  <c r="JQ23" i="27"/>
  <c r="JP23" i="27"/>
  <c r="JN23" i="27"/>
  <c r="JM23" i="27"/>
  <c r="JL23" i="27"/>
  <c r="JK23" i="27"/>
  <c r="JQ22" i="27"/>
  <c r="JP22" i="27"/>
  <c r="JN22" i="27"/>
  <c r="JM22" i="27"/>
  <c r="JL22" i="27"/>
  <c r="JK22" i="27"/>
  <c r="JQ21" i="27"/>
  <c r="JP21" i="27"/>
  <c r="JN21" i="27"/>
  <c r="JM21" i="27"/>
  <c r="JL21" i="27"/>
  <c r="JR21" i="27" s="1"/>
  <c r="JK21" i="27"/>
  <c r="JQ20" i="27"/>
  <c r="JP20" i="27"/>
  <c r="JN20" i="27"/>
  <c r="JM20" i="27"/>
  <c r="JL20" i="27"/>
  <c r="JK20" i="27"/>
  <c r="JQ19" i="27"/>
  <c r="JP19" i="27"/>
  <c r="JN19" i="27"/>
  <c r="JM19" i="27"/>
  <c r="JL19" i="27"/>
  <c r="JK19" i="27"/>
  <c r="JQ18" i="27"/>
  <c r="JP18" i="27"/>
  <c r="JN18" i="27"/>
  <c r="JM18" i="27"/>
  <c r="JL18" i="27"/>
  <c r="JK18" i="27"/>
  <c r="JQ17" i="27"/>
  <c r="JP17" i="27"/>
  <c r="JN17" i="27"/>
  <c r="JM17" i="27"/>
  <c r="JL17" i="27"/>
  <c r="JR17" i="27" s="1"/>
  <c r="JK17" i="27"/>
  <c r="JQ16" i="27"/>
  <c r="JP16" i="27"/>
  <c r="JN16" i="27"/>
  <c r="JM16" i="27"/>
  <c r="JL16" i="27"/>
  <c r="JK16" i="27"/>
  <c r="JQ15" i="27"/>
  <c r="JP15" i="27"/>
  <c r="JN15" i="27"/>
  <c r="JM15" i="27"/>
  <c r="JL15" i="27"/>
  <c r="JK15" i="27"/>
  <c r="JQ14" i="27"/>
  <c r="JP14" i="27"/>
  <c r="JN14" i="27"/>
  <c r="JM14" i="27"/>
  <c r="JL14" i="27"/>
  <c r="JK14" i="27"/>
  <c r="JQ13" i="27"/>
  <c r="JP13" i="27"/>
  <c r="JN13" i="27"/>
  <c r="JM13" i="27"/>
  <c r="JL13" i="27"/>
  <c r="JR13" i="27" s="1"/>
  <c r="JK13" i="27"/>
  <c r="JQ12" i="27"/>
  <c r="JP12" i="27"/>
  <c r="JN12" i="27"/>
  <c r="JM12" i="27"/>
  <c r="JL12" i="27"/>
  <c r="JK12" i="27"/>
  <c r="JQ11" i="27"/>
  <c r="JP11" i="27"/>
  <c r="JN11" i="27"/>
  <c r="JM11" i="27"/>
  <c r="JL11" i="27"/>
  <c r="JK11" i="27"/>
  <c r="JQ10" i="27"/>
  <c r="JP10" i="27"/>
  <c r="JN10" i="27"/>
  <c r="JM10" i="27"/>
  <c r="JL10" i="27"/>
  <c r="JK10" i="27"/>
  <c r="JQ9" i="27"/>
  <c r="JP9" i="27"/>
  <c r="JN9" i="27"/>
  <c r="JM9" i="27"/>
  <c r="JL9" i="27"/>
  <c r="JR9" i="27" s="1"/>
  <c r="JK9" i="27"/>
  <c r="JQ8" i="27"/>
  <c r="JP8" i="27"/>
  <c r="JN8" i="27"/>
  <c r="JM8" i="27"/>
  <c r="JL8" i="27"/>
  <c r="JK8" i="27"/>
  <c r="JQ7" i="27"/>
  <c r="JP7" i="27"/>
  <c r="JN7" i="27"/>
  <c r="JM7" i="27"/>
  <c r="JL7" i="27"/>
  <c r="JK7" i="27"/>
  <c r="JQ6" i="27"/>
  <c r="JP6" i="27"/>
  <c r="JN6" i="27"/>
  <c r="JM6" i="27"/>
  <c r="JL6" i="27"/>
  <c r="JK6" i="27"/>
  <c r="JQ5" i="27"/>
  <c r="JP5" i="27"/>
  <c r="JN5" i="27"/>
  <c r="JM5" i="27"/>
  <c r="JL5" i="27"/>
  <c r="JR5" i="27" s="1"/>
  <c r="JK5" i="27"/>
  <c r="JQ4" i="27"/>
  <c r="JP4" i="27"/>
  <c r="JN4" i="27"/>
  <c r="JM4" i="27"/>
  <c r="JL4" i="27"/>
  <c r="JK4" i="27"/>
  <c r="IO23" i="27"/>
  <c r="IN23" i="27"/>
  <c r="IL23" i="27"/>
  <c r="IK23" i="27"/>
  <c r="IJ23" i="27"/>
  <c r="II23" i="27"/>
  <c r="IO22" i="27"/>
  <c r="IN22" i="27"/>
  <c r="IL22" i="27"/>
  <c r="IK22" i="27"/>
  <c r="IJ22" i="27"/>
  <c r="II22" i="27"/>
  <c r="IO21" i="27"/>
  <c r="IN21" i="27"/>
  <c r="IL21" i="27"/>
  <c r="IK21" i="27"/>
  <c r="IJ21" i="27"/>
  <c r="IP21" i="27" s="1"/>
  <c r="II21" i="27"/>
  <c r="IO20" i="27"/>
  <c r="IN20" i="27"/>
  <c r="IL20" i="27"/>
  <c r="IK20" i="27"/>
  <c r="IJ20" i="27"/>
  <c r="II20" i="27"/>
  <c r="IO19" i="27"/>
  <c r="IN19" i="27"/>
  <c r="IL19" i="27"/>
  <c r="IK19" i="27"/>
  <c r="IJ19" i="27"/>
  <c r="II19" i="27"/>
  <c r="IO18" i="27"/>
  <c r="IN18" i="27"/>
  <c r="IL18" i="27"/>
  <c r="IK18" i="27"/>
  <c r="IJ18" i="27"/>
  <c r="II18" i="27"/>
  <c r="IO17" i="27"/>
  <c r="IN17" i="27"/>
  <c r="IL17" i="27"/>
  <c r="IK17" i="27"/>
  <c r="IJ17" i="27"/>
  <c r="IP17" i="27" s="1"/>
  <c r="II17" i="27"/>
  <c r="IO16" i="27"/>
  <c r="IN16" i="27"/>
  <c r="IL16" i="27"/>
  <c r="IK16" i="27"/>
  <c r="IJ16" i="27"/>
  <c r="II16" i="27"/>
  <c r="IO15" i="27"/>
  <c r="IN15" i="27"/>
  <c r="IL15" i="27"/>
  <c r="IK15" i="27"/>
  <c r="IJ15" i="27"/>
  <c r="II15" i="27"/>
  <c r="IO14" i="27"/>
  <c r="IN14" i="27"/>
  <c r="IL14" i="27"/>
  <c r="IK14" i="27"/>
  <c r="IJ14" i="27"/>
  <c r="II14" i="27"/>
  <c r="IO13" i="27"/>
  <c r="IN13" i="27"/>
  <c r="IL13" i="27"/>
  <c r="IK13" i="27"/>
  <c r="IJ13" i="27"/>
  <c r="IP13" i="27" s="1"/>
  <c r="II13" i="27"/>
  <c r="IO12" i="27"/>
  <c r="IN12" i="27"/>
  <c r="IL12" i="27"/>
  <c r="IK12" i="27"/>
  <c r="IJ12" i="27"/>
  <c r="II12" i="27"/>
  <c r="IO11" i="27"/>
  <c r="IN11" i="27"/>
  <c r="IL11" i="27"/>
  <c r="IK11" i="27"/>
  <c r="IJ11" i="27"/>
  <c r="II11" i="27"/>
  <c r="IO10" i="27"/>
  <c r="IN10" i="27"/>
  <c r="IL10" i="27"/>
  <c r="IK10" i="27"/>
  <c r="IJ10" i="27"/>
  <c r="II10" i="27"/>
  <c r="IO9" i="27"/>
  <c r="IN9" i="27"/>
  <c r="IL9" i="27"/>
  <c r="IK9" i="27"/>
  <c r="IJ9" i="27"/>
  <c r="IP9" i="27" s="1"/>
  <c r="II9" i="27"/>
  <c r="IO8" i="27"/>
  <c r="IN8" i="27"/>
  <c r="IL8" i="27"/>
  <c r="IK8" i="27"/>
  <c r="IJ8" i="27"/>
  <c r="II8" i="27"/>
  <c r="IO7" i="27"/>
  <c r="IN7" i="27"/>
  <c r="IL7" i="27"/>
  <c r="IK7" i="27"/>
  <c r="IJ7" i="27"/>
  <c r="II7" i="27"/>
  <c r="IO6" i="27"/>
  <c r="IN6" i="27"/>
  <c r="IL6" i="27"/>
  <c r="IK6" i="27"/>
  <c r="IJ6" i="27"/>
  <c r="II6" i="27"/>
  <c r="IO5" i="27"/>
  <c r="IN5" i="27"/>
  <c r="IL5" i="27"/>
  <c r="IK5" i="27"/>
  <c r="IJ5" i="27"/>
  <c r="IP5" i="27" s="1"/>
  <c r="II5" i="27"/>
  <c r="IO4" i="27"/>
  <c r="IN4" i="27"/>
  <c r="IL4" i="27"/>
  <c r="IK4" i="27"/>
  <c r="IJ4" i="27"/>
  <c r="II4" i="27"/>
  <c r="HM23" i="27"/>
  <c r="HL23" i="27"/>
  <c r="HJ23" i="27"/>
  <c r="HI23" i="27"/>
  <c r="HH23" i="27"/>
  <c r="HG23" i="27"/>
  <c r="HM22" i="27"/>
  <c r="HL22" i="27"/>
  <c r="HJ22" i="27"/>
  <c r="HI22" i="27"/>
  <c r="HH22" i="27"/>
  <c r="HG22" i="27"/>
  <c r="HM21" i="27"/>
  <c r="HL21" i="27"/>
  <c r="HJ21" i="27"/>
  <c r="HI21" i="27"/>
  <c r="HH21" i="27"/>
  <c r="HN21" i="27" s="1"/>
  <c r="HG21" i="27"/>
  <c r="HM20" i="27"/>
  <c r="HL20" i="27"/>
  <c r="HJ20" i="27"/>
  <c r="HI20" i="27"/>
  <c r="HH20" i="27"/>
  <c r="HG20" i="27"/>
  <c r="HM19" i="27"/>
  <c r="HL19" i="27"/>
  <c r="HJ19" i="27"/>
  <c r="HI19" i="27"/>
  <c r="HH19" i="27"/>
  <c r="HG19" i="27"/>
  <c r="HM18" i="27"/>
  <c r="HL18" i="27"/>
  <c r="HJ18" i="27"/>
  <c r="HI18" i="27"/>
  <c r="HH18" i="27"/>
  <c r="HG18" i="27"/>
  <c r="HM17" i="27"/>
  <c r="HL17" i="27"/>
  <c r="HJ17" i="27"/>
  <c r="HI17" i="27"/>
  <c r="HH17" i="27"/>
  <c r="HN17" i="27" s="1"/>
  <c r="HG17" i="27"/>
  <c r="HM16" i="27"/>
  <c r="HL16" i="27"/>
  <c r="HJ16" i="27"/>
  <c r="HI16" i="27"/>
  <c r="HH16" i="27"/>
  <c r="HG16" i="27"/>
  <c r="HM15" i="27"/>
  <c r="HL15" i="27"/>
  <c r="HJ15" i="27"/>
  <c r="HI15" i="27"/>
  <c r="HH15" i="27"/>
  <c r="HG15" i="27"/>
  <c r="HM14" i="27"/>
  <c r="HL14" i="27"/>
  <c r="HJ14" i="27"/>
  <c r="HI14" i="27"/>
  <c r="HH14" i="27"/>
  <c r="HG14" i="27"/>
  <c r="HM13" i="27"/>
  <c r="HL13" i="27"/>
  <c r="HJ13" i="27"/>
  <c r="HI13" i="27"/>
  <c r="HH13" i="27"/>
  <c r="HN13" i="27" s="1"/>
  <c r="HG13" i="27"/>
  <c r="HM12" i="27"/>
  <c r="HL12" i="27"/>
  <c r="HJ12" i="27"/>
  <c r="HI12" i="27"/>
  <c r="HH12" i="27"/>
  <c r="HG12" i="27"/>
  <c r="HM11" i="27"/>
  <c r="HL11" i="27"/>
  <c r="HJ11" i="27"/>
  <c r="HI11" i="27"/>
  <c r="HH11" i="27"/>
  <c r="HG11" i="27"/>
  <c r="HM10" i="27"/>
  <c r="HL10" i="27"/>
  <c r="HJ10" i="27"/>
  <c r="HI10" i="27"/>
  <c r="HH10" i="27"/>
  <c r="HG10" i="27"/>
  <c r="HM9" i="27"/>
  <c r="HL9" i="27"/>
  <c r="HJ9" i="27"/>
  <c r="HI9" i="27"/>
  <c r="HH9" i="27"/>
  <c r="HN9" i="27" s="1"/>
  <c r="HG9" i="27"/>
  <c r="HM8" i="27"/>
  <c r="HL8" i="27"/>
  <c r="HJ8" i="27"/>
  <c r="HI8" i="27"/>
  <c r="HH8" i="27"/>
  <c r="HG8" i="27"/>
  <c r="HM7" i="27"/>
  <c r="HL7" i="27"/>
  <c r="HJ7" i="27"/>
  <c r="HI7" i="27"/>
  <c r="HH7" i="27"/>
  <c r="HG7" i="27"/>
  <c r="HM6" i="27"/>
  <c r="HL6" i="27"/>
  <c r="HJ6" i="27"/>
  <c r="HI6" i="27"/>
  <c r="HH6" i="27"/>
  <c r="HG6" i="27"/>
  <c r="HM5" i="27"/>
  <c r="HL5" i="27"/>
  <c r="HJ5" i="27"/>
  <c r="HI5" i="27"/>
  <c r="HH5" i="27"/>
  <c r="HN5" i="27" s="1"/>
  <c r="HG5" i="27"/>
  <c r="HM4" i="27"/>
  <c r="HL4" i="27"/>
  <c r="HJ4" i="27"/>
  <c r="HI4" i="27"/>
  <c r="HH4" i="27"/>
  <c r="HG4" i="27"/>
  <c r="GK23" i="27"/>
  <c r="GJ23" i="27"/>
  <c r="GH23" i="27"/>
  <c r="GG23" i="27"/>
  <c r="GF23" i="27"/>
  <c r="GE23" i="27"/>
  <c r="GK22" i="27"/>
  <c r="GJ22" i="27"/>
  <c r="GH22" i="27"/>
  <c r="GG22" i="27"/>
  <c r="GF22" i="27"/>
  <c r="GE22" i="27"/>
  <c r="GK21" i="27"/>
  <c r="GJ21" i="27"/>
  <c r="GH21" i="27"/>
  <c r="GG21" i="27"/>
  <c r="GF21" i="27"/>
  <c r="GL21" i="27" s="1"/>
  <c r="GE21" i="27"/>
  <c r="GK20" i="27"/>
  <c r="GJ20" i="27"/>
  <c r="GH20" i="27"/>
  <c r="GG20" i="27"/>
  <c r="GF20" i="27"/>
  <c r="GE20" i="27"/>
  <c r="GK19" i="27"/>
  <c r="GJ19" i="27"/>
  <c r="GH19" i="27"/>
  <c r="GG19" i="27"/>
  <c r="GF19" i="27"/>
  <c r="GE19" i="27"/>
  <c r="GK18" i="27"/>
  <c r="GJ18" i="27"/>
  <c r="GH18" i="27"/>
  <c r="GG18" i="27"/>
  <c r="GF18" i="27"/>
  <c r="GE18" i="27"/>
  <c r="GK17" i="27"/>
  <c r="GJ17" i="27"/>
  <c r="GH17" i="27"/>
  <c r="GG17" i="27"/>
  <c r="GF17" i="27"/>
  <c r="GL17" i="27" s="1"/>
  <c r="GE17" i="27"/>
  <c r="GK16" i="27"/>
  <c r="GJ16" i="27"/>
  <c r="GH16" i="27"/>
  <c r="GG16" i="27"/>
  <c r="GF16" i="27"/>
  <c r="GE16" i="27"/>
  <c r="GK15" i="27"/>
  <c r="GJ15" i="27"/>
  <c r="GH15" i="27"/>
  <c r="GG15" i="27"/>
  <c r="GF15" i="27"/>
  <c r="GE15" i="27"/>
  <c r="GK14" i="27"/>
  <c r="GJ14" i="27"/>
  <c r="GH14" i="27"/>
  <c r="GG14" i="27"/>
  <c r="GF14" i="27"/>
  <c r="GE14" i="27"/>
  <c r="GK13" i="27"/>
  <c r="GJ13" i="27"/>
  <c r="GH13" i="27"/>
  <c r="GG13" i="27"/>
  <c r="GF13" i="27"/>
  <c r="GL13" i="27" s="1"/>
  <c r="GE13" i="27"/>
  <c r="GK12" i="27"/>
  <c r="GJ12" i="27"/>
  <c r="GH12" i="27"/>
  <c r="GG12" i="27"/>
  <c r="GF12" i="27"/>
  <c r="GE12" i="27"/>
  <c r="GK11" i="27"/>
  <c r="GJ11" i="27"/>
  <c r="GH11" i="27"/>
  <c r="GG11" i="27"/>
  <c r="GF11" i="27"/>
  <c r="GE11" i="27"/>
  <c r="GK10" i="27"/>
  <c r="GJ10" i="27"/>
  <c r="GH10" i="27"/>
  <c r="GG10" i="27"/>
  <c r="GF10" i="27"/>
  <c r="GE10" i="27"/>
  <c r="GK9" i="27"/>
  <c r="GJ9" i="27"/>
  <c r="GH9" i="27"/>
  <c r="GG9" i="27"/>
  <c r="GF9" i="27"/>
  <c r="GL9" i="27" s="1"/>
  <c r="GE9" i="27"/>
  <c r="GK8" i="27"/>
  <c r="GJ8" i="27"/>
  <c r="GH8" i="27"/>
  <c r="GG8" i="27"/>
  <c r="GF8" i="27"/>
  <c r="GE8" i="27"/>
  <c r="GK7" i="27"/>
  <c r="GJ7" i="27"/>
  <c r="GH7" i="27"/>
  <c r="GG7" i="27"/>
  <c r="GF7" i="27"/>
  <c r="GE7" i="27"/>
  <c r="GK6" i="27"/>
  <c r="GJ6" i="27"/>
  <c r="GH6" i="27"/>
  <c r="GG6" i="27"/>
  <c r="GF6" i="27"/>
  <c r="GE6" i="27"/>
  <c r="GK5" i="27"/>
  <c r="GJ5" i="27"/>
  <c r="GH5" i="27"/>
  <c r="GG5" i="27"/>
  <c r="GF5" i="27"/>
  <c r="GL5" i="27" s="1"/>
  <c r="GE5" i="27"/>
  <c r="GK4" i="27"/>
  <c r="GJ4" i="27"/>
  <c r="GH4" i="27"/>
  <c r="GG4" i="27"/>
  <c r="GF4" i="27"/>
  <c r="GE4" i="27"/>
  <c r="FI23" i="27"/>
  <c r="FH23" i="27"/>
  <c r="FF23" i="27"/>
  <c r="FE23" i="27"/>
  <c r="FG23" i="27" s="1"/>
  <c r="FD23" i="27"/>
  <c r="FC23" i="27"/>
  <c r="FI22" i="27"/>
  <c r="FH22" i="27"/>
  <c r="FF22" i="27"/>
  <c r="FE22" i="27"/>
  <c r="FD22" i="27"/>
  <c r="FC22" i="27"/>
  <c r="FI21" i="27"/>
  <c r="FH21" i="27"/>
  <c r="FF21" i="27"/>
  <c r="FE21" i="27"/>
  <c r="FD21" i="27"/>
  <c r="FC21" i="27"/>
  <c r="FI20" i="27"/>
  <c r="FH20" i="27"/>
  <c r="FF20" i="27"/>
  <c r="FE20" i="27"/>
  <c r="FD20" i="27"/>
  <c r="FC20" i="27"/>
  <c r="FI19" i="27"/>
  <c r="FH19" i="27"/>
  <c r="FF19" i="27"/>
  <c r="FE19" i="27"/>
  <c r="FG19" i="27" s="1"/>
  <c r="FD19" i="27"/>
  <c r="FC19" i="27"/>
  <c r="FI18" i="27"/>
  <c r="FH18" i="27"/>
  <c r="FF18" i="27"/>
  <c r="FE18" i="27"/>
  <c r="FD18" i="27"/>
  <c r="FC18" i="27"/>
  <c r="FI17" i="27"/>
  <c r="FH17" i="27"/>
  <c r="FF17" i="27"/>
  <c r="FE17" i="27"/>
  <c r="FG17" i="27" s="1"/>
  <c r="FD17" i="27"/>
  <c r="FC17" i="27"/>
  <c r="FI16" i="27"/>
  <c r="FH16" i="27"/>
  <c r="FF16" i="27"/>
  <c r="FE16" i="27"/>
  <c r="FD16" i="27"/>
  <c r="FC16" i="27"/>
  <c r="FI15" i="27"/>
  <c r="FH15" i="27"/>
  <c r="FF15" i="27"/>
  <c r="FE15" i="27"/>
  <c r="FD15" i="27"/>
  <c r="FC15" i="27"/>
  <c r="FI14" i="27"/>
  <c r="FH14" i="27"/>
  <c r="FF14" i="27"/>
  <c r="FE14" i="27"/>
  <c r="FD14" i="27"/>
  <c r="FC14" i="27"/>
  <c r="FI13" i="27"/>
  <c r="FH13" i="27"/>
  <c r="FF13" i="27"/>
  <c r="FE13" i="27"/>
  <c r="FD13" i="27"/>
  <c r="FC13" i="27"/>
  <c r="FI12" i="27"/>
  <c r="FH12" i="27"/>
  <c r="FF12" i="27"/>
  <c r="FE12" i="27"/>
  <c r="FD12" i="27"/>
  <c r="FJ12" i="27" s="1"/>
  <c r="FC12" i="27"/>
  <c r="FI11" i="27"/>
  <c r="FH11" i="27"/>
  <c r="FF11" i="27"/>
  <c r="FE11" i="27"/>
  <c r="FD11" i="27"/>
  <c r="FC11" i="27"/>
  <c r="FI10" i="27"/>
  <c r="FH10" i="27"/>
  <c r="FF10" i="27"/>
  <c r="FE10" i="27"/>
  <c r="FD10" i="27"/>
  <c r="FC10" i="27"/>
  <c r="FI9" i="27"/>
  <c r="FH9" i="27"/>
  <c r="FF9" i="27"/>
  <c r="FE9" i="27"/>
  <c r="FD9" i="27"/>
  <c r="FC9" i="27"/>
  <c r="FI8" i="27"/>
  <c r="FH8" i="27"/>
  <c r="FF8" i="27"/>
  <c r="FE8" i="27"/>
  <c r="FD8" i="27"/>
  <c r="FC8" i="27"/>
  <c r="FI7" i="27"/>
  <c r="FH7" i="27"/>
  <c r="FF7" i="27"/>
  <c r="FE7" i="27"/>
  <c r="FG7" i="27" s="1"/>
  <c r="FD7" i="27"/>
  <c r="FC7" i="27"/>
  <c r="FI6" i="27"/>
  <c r="FH6" i="27"/>
  <c r="FF6" i="27"/>
  <c r="FE6" i="27"/>
  <c r="FD6" i="27"/>
  <c r="FC6" i="27"/>
  <c r="FI5" i="27"/>
  <c r="FH5" i="27"/>
  <c r="FF5" i="27"/>
  <c r="FE5" i="27"/>
  <c r="FD5" i="27"/>
  <c r="FC5" i="27"/>
  <c r="FI4" i="27"/>
  <c r="FH4" i="27"/>
  <c r="FF4" i="27"/>
  <c r="FE4" i="27"/>
  <c r="FD4" i="27"/>
  <c r="FC4" i="27"/>
  <c r="EG23" i="27"/>
  <c r="EF23" i="27"/>
  <c r="ED23" i="27"/>
  <c r="EC23" i="27"/>
  <c r="EB23" i="27"/>
  <c r="EA23" i="27"/>
  <c r="EG22" i="27"/>
  <c r="EF22" i="27"/>
  <c r="ED22" i="27"/>
  <c r="EC22" i="27"/>
  <c r="EB22" i="27"/>
  <c r="EA22" i="27"/>
  <c r="EG21" i="27"/>
  <c r="EF21" i="27"/>
  <c r="ED21" i="27"/>
  <c r="EC21" i="27"/>
  <c r="EB21" i="27"/>
  <c r="EA21" i="27"/>
  <c r="EG20" i="27"/>
  <c r="EF20" i="27"/>
  <c r="ED20" i="27"/>
  <c r="EC20" i="27"/>
  <c r="EB20" i="27"/>
  <c r="EA20" i="27"/>
  <c r="EG19" i="27"/>
  <c r="EF19" i="27"/>
  <c r="ED19" i="27"/>
  <c r="EC19" i="27"/>
  <c r="EB19" i="27"/>
  <c r="EA19" i="27"/>
  <c r="EG18" i="27"/>
  <c r="EF18" i="27"/>
  <c r="ED18" i="27"/>
  <c r="EC18" i="27"/>
  <c r="EB18" i="27"/>
  <c r="EA18" i="27"/>
  <c r="EG17" i="27"/>
  <c r="EF17" i="27"/>
  <c r="ED17" i="27"/>
  <c r="EC17" i="27"/>
  <c r="EB17" i="27"/>
  <c r="EA17" i="27"/>
  <c r="EG16" i="27"/>
  <c r="EF16" i="27"/>
  <c r="ED16" i="27"/>
  <c r="EC16" i="27"/>
  <c r="EB16" i="27"/>
  <c r="EA16" i="27"/>
  <c r="EG15" i="27"/>
  <c r="EF15" i="27"/>
  <c r="ED15" i="27"/>
  <c r="EC15" i="27"/>
  <c r="EB15" i="27"/>
  <c r="EA15" i="27"/>
  <c r="EG14" i="27"/>
  <c r="EF14" i="27"/>
  <c r="ED14" i="27"/>
  <c r="EC14" i="27"/>
  <c r="EB14" i="27"/>
  <c r="EA14" i="27"/>
  <c r="EG13" i="27"/>
  <c r="EF13" i="27"/>
  <c r="ED13" i="27"/>
  <c r="EC13" i="27"/>
  <c r="EB13" i="27"/>
  <c r="EA13" i="27"/>
  <c r="EG12" i="27"/>
  <c r="EF12" i="27"/>
  <c r="ED12" i="27"/>
  <c r="EC12" i="27"/>
  <c r="EB12" i="27"/>
  <c r="EA12" i="27"/>
  <c r="EG11" i="27"/>
  <c r="EF11" i="27"/>
  <c r="ED11" i="27"/>
  <c r="EC11" i="27"/>
  <c r="EB11" i="27"/>
  <c r="EA11" i="27"/>
  <c r="EG10" i="27"/>
  <c r="EF10" i="27"/>
  <c r="ED10" i="27"/>
  <c r="EC10" i="27"/>
  <c r="EB10" i="27"/>
  <c r="EA10" i="27"/>
  <c r="EG9" i="27"/>
  <c r="EF9" i="27"/>
  <c r="ED9" i="27"/>
  <c r="EC9" i="27"/>
  <c r="EB9" i="27"/>
  <c r="EA9" i="27"/>
  <c r="EG8" i="27"/>
  <c r="EF8" i="27"/>
  <c r="ED8" i="27"/>
  <c r="EC8" i="27"/>
  <c r="EB8" i="27"/>
  <c r="EA8" i="27"/>
  <c r="EG7" i="27"/>
  <c r="EF7" i="27"/>
  <c r="ED7" i="27"/>
  <c r="EC7" i="27"/>
  <c r="EB7" i="27"/>
  <c r="EA7" i="27"/>
  <c r="EG6" i="27"/>
  <c r="EF6" i="27"/>
  <c r="ED6" i="27"/>
  <c r="EC6" i="27"/>
  <c r="EB6" i="27"/>
  <c r="EA6" i="27"/>
  <c r="EG5" i="27"/>
  <c r="EF5" i="27"/>
  <c r="ED5" i="27"/>
  <c r="EC5" i="27"/>
  <c r="EB5" i="27"/>
  <c r="EA5" i="27"/>
  <c r="EG4" i="27"/>
  <c r="EF4" i="27"/>
  <c r="ED4" i="27"/>
  <c r="EC4" i="27"/>
  <c r="EB4" i="27"/>
  <c r="EA4" i="27"/>
  <c r="PA17" i="26"/>
  <c r="OZ17" i="26"/>
  <c r="OX17" i="26"/>
  <c r="OW17" i="26"/>
  <c r="OV17" i="26"/>
  <c r="PB17" i="26" s="1"/>
  <c r="OU17" i="26"/>
  <c r="PA16" i="26"/>
  <c r="OZ16" i="26"/>
  <c r="OX16" i="26"/>
  <c r="OW16" i="26"/>
  <c r="OV16" i="26"/>
  <c r="PB16" i="26" s="1"/>
  <c r="OU16" i="26"/>
  <c r="PA15" i="26"/>
  <c r="OZ15" i="26"/>
  <c r="OX15" i="26"/>
  <c r="OW15" i="26"/>
  <c r="OV15" i="26"/>
  <c r="OU15" i="26"/>
  <c r="PA14" i="26"/>
  <c r="OZ14" i="26"/>
  <c r="OX14" i="26"/>
  <c r="OW14" i="26"/>
  <c r="OV14" i="26"/>
  <c r="OU14" i="26"/>
  <c r="PA13" i="26"/>
  <c r="OZ13" i="26"/>
  <c r="OX13" i="26"/>
  <c r="OW13" i="26"/>
  <c r="OV13" i="26"/>
  <c r="OU13" i="26"/>
  <c r="PA12" i="26"/>
  <c r="OZ12" i="26"/>
  <c r="OX12" i="26"/>
  <c r="OW12" i="26"/>
  <c r="OV12" i="26"/>
  <c r="PB12" i="26" s="1"/>
  <c r="OU12" i="26"/>
  <c r="PA11" i="26"/>
  <c r="OZ11" i="26"/>
  <c r="OX11" i="26"/>
  <c r="OW11" i="26"/>
  <c r="OV11" i="26"/>
  <c r="PB11" i="26" s="1"/>
  <c r="OU11" i="26"/>
  <c r="PA10" i="26"/>
  <c r="OZ10" i="26"/>
  <c r="OX10" i="26"/>
  <c r="OW10" i="26"/>
  <c r="OV10" i="26"/>
  <c r="OU10" i="26"/>
  <c r="PA9" i="26"/>
  <c r="OZ9" i="26"/>
  <c r="OX9" i="26"/>
  <c r="OW9" i="26"/>
  <c r="OV9" i="26"/>
  <c r="OU9" i="26"/>
  <c r="PA8" i="26"/>
  <c r="OZ8" i="26"/>
  <c r="OX8" i="26"/>
  <c r="OW8" i="26"/>
  <c r="OV8" i="26"/>
  <c r="PB8" i="26" s="1"/>
  <c r="OU8" i="26"/>
  <c r="PA7" i="26"/>
  <c r="OZ7" i="26"/>
  <c r="OX7" i="26"/>
  <c r="OW7" i="26"/>
  <c r="OV7" i="26"/>
  <c r="PB7" i="26" s="1"/>
  <c r="OU7" i="26"/>
  <c r="PA6" i="26"/>
  <c r="OZ6" i="26"/>
  <c r="OX6" i="26"/>
  <c r="OW6" i="26"/>
  <c r="OV6" i="26"/>
  <c r="OU6" i="26"/>
  <c r="PA5" i="26"/>
  <c r="OZ5" i="26"/>
  <c r="OX5" i="26"/>
  <c r="OW5" i="26"/>
  <c r="OV5" i="26"/>
  <c r="OU5" i="26"/>
  <c r="PA4" i="26"/>
  <c r="OZ4" i="26"/>
  <c r="OX4" i="26"/>
  <c r="OW4" i="26"/>
  <c r="OV4" i="26"/>
  <c r="PB4" i="26" s="1"/>
  <c r="OU4" i="26"/>
  <c r="NY17" i="26"/>
  <c r="NX17" i="26"/>
  <c r="NV17" i="26"/>
  <c r="NU17" i="26"/>
  <c r="NT17" i="26"/>
  <c r="NZ17" i="26" s="1"/>
  <c r="NS17" i="26"/>
  <c r="NY16" i="26"/>
  <c r="NX16" i="26"/>
  <c r="NV16" i="26"/>
  <c r="NU16" i="26"/>
  <c r="NT16" i="26"/>
  <c r="NS16" i="26"/>
  <c r="NY15" i="26"/>
  <c r="NX15" i="26"/>
  <c r="NV15" i="26"/>
  <c r="NU15" i="26"/>
  <c r="NT15" i="26"/>
  <c r="NS15" i="26"/>
  <c r="NY14" i="26"/>
  <c r="NX14" i="26"/>
  <c r="NV14" i="26"/>
  <c r="NU14" i="26"/>
  <c r="NT14" i="26"/>
  <c r="NZ14" i="26" s="1"/>
  <c r="NS14" i="26"/>
  <c r="NY13" i="26"/>
  <c r="NX13" i="26"/>
  <c r="NV13" i="26"/>
  <c r="NU13" i="26"/>
  <c r="NT13" i="26"/>
  <c r="NS13" i="26"/>
  <c r="NY12" i="26"/>
  <c r="NX12" i="26"/>
  <c r="NV12" i="26"/>
  <c r="NU12" i="26"/>
  <c r="NT12" i="26"/>
  <c r="NS12" i="26"/>
  <c r="NY11" i="26"/>
  <c r="NX11" i="26"/>
  <c r="NV11" i="26"/>
  <c r="NU11" i="26"/>
  <c r="NT11" i="26"/>
  <c r="NS11" i="26"/>
  <c r="NY10" i="26"/>
  <c r="NX10" i="26"/>
  <c r="NV10" i="26"/>
  <c r="NU10" i="26"/>
  <c r="NT10" i="26"/>
  <c r="NZ10" i="26" s="1"/>
  <c r="NS10" i="26"/>
  <c r="NY9" i="26"/>
  <c r="NX9" i="26"/>
  <c r="NV9" i="26"/>
  <c r="NU9" i="26"/>
  <c r="NT9" i="26"/>
  <c r="NS9" i="26"/>
  <c r="NY8" i="26"/>
  <c r="NX8" i="26"/>
  <c r="NV8" i="26"/>
  <c r="NU8" i="26"/>
  <c r="NT8" i="26"/>
  <c r="NS8" i="26"/>
  <c r="NY7" i="26"/>
  <c r="NX7" i="26"/>
  <c r="NV7" i="26"/>
  <c r="NU7" i="26"/>
  <c r="NT7" i="26"/>
  <c r="NS7" i="26"/>
  <c r="NY6" i="26"/>
  <c r="NX6" i="26"/>
  <c r="NV6" i="26"/>
  <c r="NU6" i="26"/>
  <c r="NT6" i="26"/>
  <c r="NZ6" i="26" s="1"/>
  <c r="NS6" i="26"/>
  <c r="NY5" i="26"/>
  <c r="NX5" i="26"/>
  <c r="NV5" i="26"/>
  <c r="NU5" i="26"/>
  <c r="NT5" i="26"/>
  <c r="NS5" i="26"/>
  <c r="NY4" i="26"/>
  <c r="NX4" i="26"/>
  <c r="NV4" i="26"/>
  <c r="NU4" i="26"/>
  <c r="NT4" i="26"/>
  <c r="NS4" i="26"/>
  <c r="MW17" i="26"/>
  <c r="MV17" i="26"/>
  <c r="MT17" i="26"/>
  <c r="MS17" i="26"/>
  <c r="MR17" i="26"/>
  <c r="MQ17" i="26"/>
  <c r="MW16" i="26"/>
  <c r="MV16" i="26"/>
  <c r="MT16" i="26"/>
  <c r="MS16" i="26"/>
  <c r="MR16" i="26"/>
  <c r="MX16" i="26" s="1"/>
  <c r="MQ16" i="26"/>
  <c r="MW15" i="26"/>
  <c r="MV15" i="26"/>
  <c r="MT15" i="26"/>
  <c r="MS15" i="26"/>
  <c r="MR15" i="26"/>
  <c r="MQ15" i="26"/>
  <c r="MW14" i="26"/>
  <c r="MV14" i="26"/>
  <c r="MT14" i="26"/>
  <c r="MS14" i="26"/>
  <c r="MR14" i="26"/>
  <c r="MQ14" i="26"/>
  <c r="MW13" i="26"/>
  <c r="MV13" i="26"/>
  <c r="MT13" i="26"/>
  <c r="MS13" i="26"/>
  <c r="MR13" i="26"/>
  <c r="MQ13" i="26"/>
  <c r="MW12" i="26"/>
  <c r="MV12" i="26"/>
  <c r="MT12" i="26"/>
  <c r="MS12" i="26"/>
  <c r="MR12" i="26"/>
  <c r="MX12" i="26" s="1"/>
  <c r="MQ12" i="26"/>
  <c r="MW11" i="26"/>
  <c r="MV11" i="26"/>
  <c r="MT11" i="26"/>
  <c r="MS11" i="26"/>
  <c r="MR11" i="26"/>
  <c r="MQ11" i="26"/>
  <c r="MW10" i="26"/>
  <c r="MV10" i="26"/>
  <c r="MT10" i="26"/>
  <c r="MS10" i="26"/>
  <c r="MR10" i="26"/>
  <c r="MQ10" i="26"/>
  <c r="MW9" i="26"/>
  <c r="MV9" i="26"/>
  <c r="MT9" i="26"/>
  <c r="MS9" i="26"/>
  <c r="MR9" i="26"/>
  <c r="MQ9" i="26"/>
  <c r="MW8" i="26"/>
  <c r="MV8" i="26"/>
  <c r="MT8" i="26"/>
  <c r="MS8" i="26"/>
  <c r="MR8" i="26"/>
  <c r="MX8" i="26" s="1"/>
  <c r="MQ8" i="26"/>
  <c r="MW7" i="26"/>
  <c r="MV7" i="26"/>
  <c r="MT7" i="26"/>
  <c r="MS7" i="26"/>
  <c r="MR7" i="26"/>
  <c r="MQ7" i="26"/>
  <c r="MW6" i="26"/>
  <c r="MV6" i="26"/>
  <c r="MT6" i="26"/>
  <c r="MS6" i="26"/>
  <c r="MR6" i="26"/>
  <c r="MQ6" i="26"/>
  <c r="MW5" i="26"/>
  <c r="MV5" i="26"/>
  <c r="MT5" i="26"/>
  <c r="MS5" i="26"/>
  <c r="MR5" i="26"/>
  <c r="MQ5" i="26"/>
  <c r="MW4" i="26"/>
  <c r="MV4" i="26"/>
  <c r="MT4" i="26"/>
  <c r="MS4" i="26"/>
  <c r="MR4" i="26"/>
  <c r="MX4" i="26" s="1"/>
  <c r="MQ4" i="26"/>
  <c r="LU17" i="26"/>
  <c r="LT17" i="26"/>
  <c r="LR17" i="26"/>
  <c r="LQ17" i="26"/>
  <c r="LP17" i="26"/>
  <c r="LO17" i="26"/>
  <c r="LU16" i="26"/>
  <c r="LT16" i="26"/>
  <c r="LR16" i="26"/>
  <c r="LQ16" i="26"/>
  <c r="LP16" i="26"/>
  <c r="LO16" i="26"/>
  <c r="LU15" i="26"/>
  <c r="LT15" i="26"/>
  <c r="LR15" i="26"/>
  <c r="LQ15" i="26"/>
  <c r="LP15" i="26"/>
  <c r="LO15" i="26"/>
  <c r="LU14" i="26"/>
  <c r="LT14" i="26"/>
  <c r="LR14" i="26"/>
  <c r="LQ14" i="26"/>
  <c r="LP14" i="26"/>
  <c r="LV14" i="26" s="1"/>
  <c r="LO14" i="26"/>
  <c r="LU13" i="26"/>
  <c r="LT13" i="26"/>
  <c r="LR13" i="26"/>
  <c r="LQ13" i="26"/>
  <c r="LP13" i="26"/>
  <c r="LO13" i="26"/>
  <c r="LU12" i="26"/>
  <c r="LT12" i="26"/>
  <c r="LR12" i="26"/>
  <c r="LQ12" i="26"/>
  <c r="LP12" i="26"/>
  <c r="LO12" i="26"/>
  <c r="LU11" i="26"/>
  <c r="LT11" i="26"/>
  <c r="LR11" i="26"/>
  <c r="LQ11" i="26"/>
  <c r="LP11" i="26"/>
  <c r="LO11" i="26"/>
  <c r="LU10" i="26"/>
  <c r="LT10" i="26"/>
  <c r="LR10" i="26"/>
  <c r="LQ10" i="26"/>
  <c r="LP10" i="26"/>
  <c r="LV10" i="26" s="1"/>
  <c r="LO10" i="26"/>
  <c r="LU9" i="26"/>
  <c r="LT9" i="26"/>
  <c r="LR9" i="26"/>
  <c r="LQ9" i="26"/>
  <c r="LP9" i="26"/>
  <c r="LO9" i="26"/>
  <c r="LU8" i="26"/>
  <c r="LT8" i="26"/>
  <c r="LR8" i="26"/>
  <c r="LQ8" i="26"/>
  <c r="LP8" i="26"/>
  <c r="LO8" i="26"/>
  <c r="LU7" i="26"/>
  <c r="LT7" i="26"/>
  <c r="LR7" i="26"/>
  <c r="LQ7" i="26"/>
  <c r="LP7" i="26"/>
  <c r="LO7" i="26"/>
  <c r="LU6" i="26"/>
  <c r="LT6" i="26"/>
  <c r="LR6" i="26"/>
  <c r="LQ6" i="26"/>
  <c r="LP6" i="26"/>
  <c r="LV6" i="26" s="1"/>
  <c r="LO6" i="26"/>
  <c r="LU5" i="26"/>
  <c r="LT5" i="26"/>
  <c r="LR5" i="26"/>
  <c r="LQ5" i="26"/>
  <c r="LP5" i="26"/>
  <c r="LO5" i="26"/>
  <c r="LU4" i="26"/>
  <c r="LT4" i="26"/>
  <c r="LR4" i="26"/>
  <c r="LQ4" i="26"/>
  <c r="LP4" i="26"/>
  <c r="LO4" i="26"/>
  <c r="KS17" i="26"/>
  <c r="KR17" i="26"/>
  <c r="KP17" i="26"/>
  <c r="KO17" i="26"/>
  <c r="KN17" i="26"/>
  <c r="KM17" i="26"/>
  <c r="KS16" i="26"/>
  <c r="KR16" i="26"/>
  <c r="KP16" i="26"/>
  <c r="KO16" i="26"/>
  <c r="KN16" i="26"/>
  <c r="KT16" i="26" s="1"/>
  <c r="KM16" i="26"/>
  <c r="KS15" i="26"/>
  <c r="KR15" i="26"/>
  <c r="KP15" i="26"/>
  <c r="KO15" i="26"/>
  <c r="KN15" i="26"/>
  <c r="KM15" i="26"/>
  <c r="KS14" i="26"/>
  <c r="KR14" i="26"/>
  <c r="KP14" i="26"/>
  <c r="KO14" i="26"/>
  <c r="KN14" i="26"/>
  <c r="KM14" i="26"/>
  <c r="KS13" i="26"/>
  <c r="KR13" i="26"/>
  <c r="KP13" i="26"/>
  <c r="KO13" i="26"/>
  <c r="KN13" i="26"/>
  <c r="KM13" i="26"/>
  <c r="KS12" i="26"/>
  <c r="KR12" i="26"/>
  <c r="KP12" i="26"/>
  <c r="KO12" i="26"/>
  <c r="KN12" i="26"/>
  <c r="KT12" i="26" s="1"/>
  <c r="KM12" i="26"/>
  <c r="KS11" i="26"/>
  <c r="KR11" i="26"/>
  <c r="KP11" i="26"/>
  <c r="KO11" i="26"/>
  <c r="KN11" i="26"/>
  <c r="KM11" i="26"/>
  <c r="KS10" i="26"/>
  <c r="KR10" i="26"/>
  <c r="KP10" i="26"/>
  <c r="KO10" i="26"/>
  <c r="KN10" i="26"/>
  <c r="KM10" i="26"/>
  <c r="KS9" i="26"/>
  <c r="KR9" i="26"/>
  <c r="KP9" i="26"/>
  <c r="KO9" i="26"/>
  <c r="KN9" i="26"/>
  <c r="KM9" i="26"/>
  <c r="KS8" i="26"/>
  <c r="KR8" i="26"/>
  <c r="KP8" i="26"/>
  <c r="KO8" i="26"/>
  <c r="KN8" i="26"/>
  <c r="KT8" i="26" s="1"/>
  <c r="KM8" i="26"/>
  <c r="KS7" i="26"/>
  <c r="KR7" i="26"/>
  <c r="KP7" i="26"/>
  <c r="KO7" i="26"/>
  <c r="KN7" i="26"/>
  <c r="KM7" i="26"/>
  <c r="KS6" i="26"/>
  <c r="KR6" i="26"/>
  <c r="KP6" i="26"/>
  <c r="KO6" i="26"/>
  <c r="KN6" i="26"/>
  <c r="KM6" i="26"/>
  <c r="KS5" i="26"/>
  <c r="KR5" i="26"/>
  <c r="KP5" i="26"/>
  <c r="KO5" i="26"/>
  <c r="KN5" i="26"/>
  <c r="KM5" i="26"/>
  <c r="KS4" i="26"/>
  <c r="KR4" i="26"/>
  <c r="KP4" i="26"/>
  <c r="KO4" i="26"/>
  <c r="KN4" i="26"/>
  <c r="KT4" i="26" s="1"/>
  <c r="KM4" i="26"/>
  <c r="JQ17" i="26"/>
  <c r="JP17" i="26"/>
  <c r="JN17" i="26"/>
  <c r="JM17" i="26"/>
  <c r="JL17" i="26"/>
  <c r="JK17" i="26"/>
  <c r="JQ16" i="26"/>
  <c r="JP16" i="26"/>
  <c r="JN16" i="26"/>
  <c r="JM16" i="26"/>
  <c r="JL16" i="26"/>
  <c r="JK16" i="26"/>
  <c r="JQ15" i="26"/>
  <c r="JP15" i="26"/>
  <c r="JN15" i="26"/>
  <c r="JM15" i="26"/>
  <c r="JL15" i="26"/>
  <c r="JK15" i="26"/>
  <c r="JQ14" i="26"/>
  <c r="JP14" i="26"/>
  <c r="JN14" i="26"/>
  <c r="JM14" i="26"/>
  <c r="JL14" i="26"/>
  <c r="JR14" i="26" s="1"/>
  <c r="JK14" i="26"/>
  <c r="JQ13" i="26"/>
  <c r="JP13" i="26"/>
  <c r="JN13" i="26"/>
  <c r="JM13" i="26"/>
  <c r="JL13" i="26"/>
  <c r="JO13" i="26" s="1"/>
  <c r="JK13" i="26"/>
  <c r="JQ12" i="26"/>
  <c r="JP12" i="26"/>
  <c r="JN12" i="26"/>
  <c r="JM12" i="26"/>
  <c r="JL12" i="26"/>
  <c r="JK12" i="26"/>
  <c r="JQ11" i="26"/>
  <c r="JP11" i="26"/>
  <c r="JN11" i="26"/>
  <c r="JM11" i="26"/>
  <c r="JL11" i="26"/>
  <c r="JK11" i="26"/>
  <c r="JQ10" i="26"/>
  <c r="JP10" i="26"/>
  <c r="JN10" i="26"/>
  <c r="JM10" i="26"/>
  <c r="JL10" i="26"/>
  <c r="JK10" i="26"/>
  <c r="JQ9" i="26"/>
  <c r="JP9" i="26"/>
  <c r="JN9" i="26"/>
  <c r="JM9" i="26"/>
  <c r="JL9" i="26"/>
  <c r="JK9" i="26"/>
  <c r="JQ8" i="26"/>
  <c r="JP8" i="26"/>
  <c r="JN8" i="26"/>
  <c r="JM8" i="26"/>
  <c r="JL8" i="26"/>
  <c r="JK8" i="26"/>
  <c r="JQ7" i="26"/>
  <c r="JP7" i="26"/>
  <c r="JN7" i="26"/>
  <c r="JM7" i="26"/>
  <c r="JL7" i="26"/>
  <c r="JK7" i="26"/>
  <c r="JQ6" i="26"/>
  <c r="JP6" i="26"/>
  <c r="JN6" i="26"/>
  <c r="JM6" i="26"/>
  <c r="JL6" i="26"/>
  <c r="JK6" i="26"/>
  <c r="JQ5" i="26"/>
  <c r="JP5" i="26"/>
  <c r="JN5" i="26"/>
  <c r="JM5" i="26"/>
  <c r="JL5" i="26"/>
  <c r="JK5" i="26"/>
  <c r="JQ4" i="26"/>
  <c r="JP4" i="26"/>
  <c r="JN4" i="26"/>
  <c r="JM4" i="26"/>
  <c r="JL4" i="26"/>
  <c r="JK4" i="26"/>
  <c r="IO17" i="26"/>
  <c r="IN17" i="26"/>
  <c r="IL17" i="26"/>
  <c r="IK17" i="26"/>
  <c r="IJ17" i="26"/>
  <c r="IP17" i="26" s="1"/>
  <c r="II17" i="26"/>
  <c r="IO16" i="26"/>
  <c r="IN16" i="26"/>
  <c r="IL16" i="26"/>
  <c r="IK16" i="26"/>
  <c r="IJ16" i="26"/>
  <c r="II16" i="26"/>
  <c r="IO15" i="26"/>
  <c r="IN15" i="26"/>
  <c r="IL15" i="26"/>
  <c r="IK15" i="26"/>
  <c r="IJ15" i="26"/>
  <c r="II15" i="26"/>
  <c r="IO14" i="26"/>
  <c r="IN14" i="26"/>
  <c r="IL14" i="26"/>
  <c r="IK14" i="26"/>
  <c r="IJ14" i="26"/>
  <c r="II14" i="26"/>
  <c r="IO13" i="26"/>
  <c r="IN13" i="26"/>
  <c r="IL13" i="26"/>
  <c r="IK13" i="26"/>
  <c r="IJ13" i="26"/>
  <c r="IP13" i="26" s="1"/>
  <c r="II13" i="26"/>
  <c r="IO12" i="26"/>
  <c r="IN12" i="26"/>
  <c r="IL12" i="26"/>
  <c r="IK12" i="26"/>
  <c r="IJ12" i="26"/>
  <c r="II12" i="26"/>
  <c r="IO11" i="26"/>
  <c r="IN11" i="26"/>
  <c r="IL11" i="26"/>
  <c r="IK11" i="26"/>
  <c r="IJ11" i="26"/>
  <c r="II11" i="26"/>
  <c r="IO10" i="26"/>
  <c r="IN10" i="26"/>
  <c r="IL10" i="26"/>
  <c r="IK10" i="26"/>
  <c r="IJ10" i="26"/>
  <c r="II10" i="26"/>
  <c r="IO9" i="26"/>
  <c r="IN9" i="26"/>
  <c r="IL9" i="26"/>
  <c r="IK9" i="26"/>
  <c r="IJ9" i="26"/>
  <c r="IP9" i="26" s="1"/>
  <c r="II9" i="26"/>
  <c r="IO8" i="26"/>
  <c r="IN8" i="26"/>
  <c r="IL8" i="26"/>
  <c r="IK8" i="26"/>
  <c r="IJ8" i="26"/>
  <c r="II8" i="26"/>
  <c r="IO7" i="26"/>
  <c r="IN7" i="26"/>
  <c r="IL7" i="26"/>
  <c r="IK7" i="26"/>
  <c r="IJ7" i="26"/>
  <c r="II7" i="26"/>
  <c r="IO6" i="26"/>
  <c r="IN6" i="26"/>
  <c r="IL6" i="26"/>
  <c r="IK6" i="26"/>
  <c r="IJ6" i="26"/>
  <c r="II6" i="26"/>
  <c r="IO5" i="26"/>
  <c r="IN5" i="26"/>
  <c r="IL5" i="26"/>
  <c r="IK5" i="26"/>
  <c r="IJ5" i="26"/>
  <c r="IP5" i="26" s="1"/>
  <c r="II5" i="26"/>
  <c r="IO4" i="26"/>
  <c r="IN4" i="26"/>
  <c r="IL4" i="26"/>
  <c r="IK4" i="26"/>
  <c r="IJ4" i="26"/>
  <c r="II4" i="26"/>
  <c r="HM17" i="26"/>
  <c r="HL17" i="26"/>
  <c r="HJ17" i="26"/>
  <c r="HI17" i="26"/>
  <c r="HH17" i="26"/>
  <c r="HG17" i="26"/>
  <c r="HM16" i="26"/>
  <c r="HL16" i="26"/>
  <c r="HJ16" i="26"/>
  <c r="HI16" i="26"/>
  <c r="HH16" i="26"/>
  <c r="HG16" i="26"/>
  <c r="HM15" i="26"/>
  <c r="HL15" i="26"/>
  <c r="HJ15" i="26"/>
  <c r="HI15" i="26"/>
  <c r="HH15" i="26"/>
  <c r="HN15" i="26" s="1"/>
  <c r="HG15" i="26"/>
  <c r="HM14" i="26"/>
  <c r="HL14" i="26"/>
  <c r="HJ14" i="26"/>
  <c r="HI14" i="26"/>
  <c r="HH14" i="26"/>
  <c r="HG14" i="26"/>
  <c r="HM13" i="26"/>
  <c r="HL13" i="26"/>
  <c r="HJ13" i="26"/>
  <c r="HI13" i="26"/>
  <c r="HH13" i="26"/>
  <c r="HG13" i="26"/>
  <c r="HM12" i="26"/>
  <c r="HL12" i="26"/>
  <c r="HJ12" i="26"/>
  <c r="HI12" i="26"/>
  <c r="HH12" i="26"/>
  <c r="HG12" i="26"/>
  <c r="HM11" i="26"/>
  <c r="HL11" i="26"/>
  <c r="HJ11" i="26"/>
  <c r="HI11" i="26"/>
  <c r="HH11" i="26"/>
  <c r="HN11" i="26" s="1"/>
  <c r="HG11" i="26"/>
  <c r="HM10" i="26"/>
  <c r="HL10" i="26"/>
  <c r="HJ10" i="26"/>
  <c r="HI10" i="26"/>
  <c r="HH10" i="26"/>
  <c r="HG10" i="26"/>
  <c r="HM9" i="26"/>
  <c r="HL9" i="26"/>
  <c r="HJ9" i="26"/>
  <c r="HI9" i="26"/>
  <c r="HH9" i="26"/>
  <c r="HG9" i="26"/>
  <c r="HM8" i="26"/>
  <c r="HL8" i="26"/>
  <c r="HJ8" i="26"/>
  <c r="HI8" i="26"/>
  <c r="HH8" i="26"/>
  <c r="HG8" i="26"/>
  <c r="HM7" i="26"/>
  <c r="HL7" i="26"/>
  <c r="HJ7" i="26"/>
  <c r="HI7" i="26"/>
  <c r="HH7" i="26"/>
  <c r="HN7" i="26" s="1"/>
  <c r="HG7" i="26"/>
  <c r="HM6" i="26"/>
  <c r="HL6" i="26"/>
  <c r="HJ6" i="26"/>
  <c r="HI6" i="26"/>
  <c r="HH6" i="26"/>
  <c r="HG6" i="26"/>
  <c r="HM5" i="26"/>
  <c r="HL5" i="26"/>
  <c r="HJ5" i="26"/>
  <c r="HI5" i="26"/>
  <c r="HH5" i="26"/>
  <c r="HG5" i="26"/>
  <c r="HM4" i="26"/>
  <c r="HL4" i="26"/>
  <c r="HJ4" i="26"/>
  <c r="HI4" i="26"/>
  <c r="HH4" i="26"/>
  <c r="HG4" i="26"/>
  <c r="GK17" i="26"/>
  <c r="GJ17" i="26"/>
  <c r="GH17" i="26"/>
  <c r="GG17" i="26"/>
  <c r="GF17" i="26"/>
  <c r="GE17" i="26"/>
  <c r="GK16" i="26"/>
  <c r="GJ16" i="26"/>
  <c r="GH16" i="26"/>
  <c r="GG16" i="26"/>
  <c r="GF16" i="26"/>
  <c r="GE16" i="26"/>
  <c r="GK15" i="26"/>
  <c r="GJ15" i="26"/>
  <c r="GH15" i="26"/>
  <c r="GG15" i="26"/>
  <c r="GF15" i="26"/>
  <c r="GE15" i="26"/>
  <c r="GK14" i="26"/>
  <c r="GJ14" i="26"/>
  <c r="GH14" i="26"/>
  <c r="GG14" i="26"/>
  <c r="GF14" i="26"/>
  <c r="GE14" i="26"/>
  <c r="GK13" i="26"/>
  <c r="GJ13" i="26"/>
  <c r="GH13" i="26"/>
  <c r="GG13" i="26"/>
  <c r="GF13" i="26"/>
  <c r="GE13" i="26"/>
  <c r="GK12" i="26"/>
  <c r="GJ12" i="26"/>
  <c r="GH12" i="26"/>
  <c r="GG12" i="26"/>
  <c r="GF12" i="26"/>
  <c r="GE12" i="26"/>
  <c r="GK11" i="26"/>
  <c r="GJ11" i="26"/>
  <c r="GH11" i="26"/>
  <c r="GG11" i="26"/>
  <c r="GF11" i="26"/>
  <c r="GE11" i="26"/>
  <c r="GK10" i="26"/>
  <c r="GJ10" i="26"/>
  <c r="GH10" i="26"/>
  <c r="GG10" i="26"/>
  <c r="GF10" i="26"/>
  <c r="GE10" i="26"/>
  <c r="GK9" i="26"/>
  <c r="GJ9" i="26"/>
  <c r="GH9" i="26"/>
  <c r="GG9" i="26"/>
  <c r="GF9" i="26"/>
  <c r="GE9" i="26"/>
  <c r="GK8" i="26"/>
  <c r="GJ8" i="26"/>
  <c r="GH8" i="26"/>
  <c r="GG8" i="26"/>
  <c r="GF8" i="26"/>
  <c r="GE8" i="26"/>
  <c r="GK7" i="26"/>
  <c r="GJ7" i="26"/>
  <c r="GH7" i="26"/>
  <c r="GG7" i="26"/>
  <c r="GF7" i="26"/>
  <c r="GE7" i="26"/>
  <c r="GK6" i="26"/>
  <c r="GJ6" i="26"/>
  <c r="GH6" i="26"/>
  <c r="GG6" i="26"/>
  <c r="GF6" i="26"/>
  <c r="GE6" i="26"/>
  <c r="GK5" i="26"/>
  <c r="GJ5" i="26"/>
  <c r="GH5" i="26"/>
  <c r="GG5" i="26"/>
  <c r="GF5" i="26"/>
  <c r="GE5" i="26"/>
  <c r="GK4" i="26"/>
  <c r="GJ4" i="26"/>
  <c r="GH4" i="26"/>
  <c r="GG4" i="26"/>
  <c r="GF4" i="26"/>
  <c r="GE4" i="26"/>
  <c r="FI17" i="26"/>
  <c r="FH17" i="26"/>
  <c r="FF17" i="26"/>
  <c r="FE17" i="26"/>
  <c r="FD17" i="26"/>
  <c r="FC17" i="26"/>
  <c r="FI16" i="26"/>
  <c r="FH16" i="26"/>
  <c r="FF16" i="26"/>
  <c r="FE16" i="26"/>
  <c r="FD16" i="26"/>
  <c r="FC16" i="26"/>
  <c r="FI15" i="26"/>
  <c r="FH15" i="26"/>
  <c r="FF15" i="26"/>
  <c r="FE15" i="26"/>
  <c r="FD15" i="26"/>
  <c r="FC15" i="26"/>
  <c r="FI14" i="26"/>
  <c r="FH14" i="26"/>
  <c r="FF14" i="26"/>
  <c r="FE14" i="26"/>
  <c r="FD14" i="26"/>
  <c r="FC14" i="26"/>
  <c r="FI13" i="26"/>
  <c r="FH13" i="26"/>
  <c r="FF13" i="26"/>
  <c r="FE13" i="26"/>
  <c r="FD13" i="26"/>
  <c r="FC13" i="26"/>
  <c r="FI12" i="26"/>
  <c r="FH12" i="26"/>
  <c r="FF12" i="26"/>
  <c r="FE12" i="26"/>
  <c r="FD12" i="26"/>
  <c r="FC12" i="26"/>
  <c r="FI11" i="26"/>
  <c r="FH11" i="26"/>
  <c r="FF11" i="26"/>
  <c r="FE11" i="26"/>
  <c r="FD11" i="26"/>
  <c r="FC11" i="26"/>
  <c r="FI10" i="26"/>
  <c r="FH10" i="26"/>
  <c r="FF10" i="26"/>
  <c r="FE10" i="26"/>
  <c r="FD10" i="26"/>
  <c r="FC10" i="26"/>
  <c r="FI9" i="26"/>
  <c r="FH9" i="26"/>
  <c r="FF9" i="26"/>
  <c r="FE9" i="26"/>
  <c r="FD9" i="26"/>
  <c r="FC9" i="26"/>
  <c r="FI8" i="26"/>
  <c r="FH8" i="26"/>
  <c r="FF8" i="26"/>
  <c r="FE8" i="26"/>
  <c r="FD8" i="26"/>
  <c r="FC8" i="26"/>
  <c r="FI7" i="26"/>
  <c r="FH7" i="26"/>
  <c r="FF7" i="26"/>
  <c r="FE7" i="26"/>
  <c r="FD7" i="26"/>
  <c r="FC7" i="26"/>
  <c r="FI6" i="26"/>
  <c r="FH6" i="26"/>
  <c r="FF6" i="26"/>
  <c r="FE6" i="26"/>
  <c r="FD6" i="26"/>
  <c r="FC6" i="26"/>
  <c r="FI5" i="26"/>
  <c r="FH5" i="26"/>
  <c r="FF5" i="26"/>
  <c r="FE5" i="26"/>
  <c r="FD5" i="26"/>
  <c r="FC5" i="26"/>
  <c r="FI4" i="26"/>
  <c r="FH4" i="26"/>
  <c r="FF4" i="26"/>
  <c r="FE4" i="26"/>
  <c r="FD4" i="26"/>
  <c r="FC4" i="26"/>
  <c r="EG17" i="26"/>
  <c r="EF17" i="26"/>
  <c r="ED17" i="26"/>
  <c r="EC17" i="26"/>
  <c r="EB17" i="26"/>
  <c r="EA17" i="26"/>
  <c r="EG16" i="26"/>
  <c r="EF16" i="26"/>
  <c r="ED16" i="26"/>
  <c r="EC16" i="26"/>
  <c r="EB16" i="26"/>
  <c r="EA16" i="26"/>
  <c r="EG15" i="26"/>
  <c r="EF15" i="26"/>
  <c r="ED15" i="26"/>
  <c r="EC15" i="26"/>
  <c r="EB15" i="26"/>
  <c r="EA15" i="26"/>
  <c r="EG14" i="26"/>
  <c r="EF14" i="26"/>
  <c r="ED14" i="26"/>
  <c r="EC14" i="26"/>
  <c r="EB14" i="26"/>
  <c r="EA14" i="26"/>
  <c r="EG13" i="26"/>
  <c r="EF13" i="26"/>
  <c r="ED13" i="26"/>
  <c r="EC13" i="26"/>
  <c r="EB13" i="26"/>
  <c r="EA13" i="26"/>
  <c r="EG12" i="26"/>
  <c r="EF12" i="26"/>
  <c r="ED12" i="26"/>
  <c r="EC12" i="26"/>
  <c r="EB12" i="26"/>
  <c r="EA12" i="26"/>
  <c r="EG11" i="26"/>
  <c r="EF11" i="26"/>
  <c r="ED11" i="26"/>
  <c r="EC11" i="26"/>
  <c r="EB11" i="26"/>
  <c r="EA11" i="26"/>
  <c r="EG10" i="26"/>
  <c r="EF10" i="26"/>
  <c r="ED10" i="26"/>
  <c r="EC10" i="26"/>
  <c r="EB10" i="26"/>
  <c r="EA10" i="26"/>
  <c r="EG9" i="26"/>
  <c r="EF9" i="26"/>
  <c r="ED9" i="26"/>
  <c r="EC9" i="26"/>
  <c r="EB9" i="26"/>
  <c r="EA9" i="26"/>
  <c r="EG8" i="26"/>
  <c r="EF8" i="26"/>
  <c r="ED8" i="26"/>
  <c r="EC8" i="26"/>
  <c r="EB8" i="26"/>
  <c r="EA8" i="26"/>
  <c r="EG7" i="26"/>
  <c r="EF7" i="26"/>
  <c r="ED7" i="26"/>
  <c r="EC7" i="26"/>
  <c r="EB7" i="26"/>
  <c r="EA7" i="26"/>
  <c r="EG6" i="26"/>
  <c r="EF6" i="26"/>
  <c r="ED6" i="26"/>
  <c r="EC6" i="26"/>
  <c r="EB6" i="26"/>
  <c r="EA6" i="26"/>
  <c r="EG5" i="26"/>
  <c r="EF5" i="26"/>
  <c r="ED5" i="26"/>
  <c r="EC5" i="26"/>
  <c r="EB5" i="26"/>
  <c r="EA5" i="26"/>
  <c r="EG4" i="26"/>
  <c r="EF4" i="26"/>
  <c r="ED4" i="26"/>
  <c r="EC4" i="26"/>
  <c r="EB4" i="26"/>
  <c r="EA4" i="26"/>
  <c r="AP26" i="21"/>
  <c r="AQ26" i="21"/>
  <c r="AR26" i="21"/>
  <c r="AS26" i="21"/>
  <c r="AU26" i="21"/>
  <c r="AV26" i="21"/>
  <c r="BS26" i="21"/>
  <c r="BT26" i="21"/>
  <c r="BU26" i="21"/>
  <c r="BV26" i="21"/>
  <c r="BX26" i="21"/>
  <c r="BY26" i="21"/>
  <c r="CV26" i="21"/>
  <c r="CW26" i="21"/>
  <c r="CX26" i="21"/>
  <c r="CY26" i="21"/>
  <c r="DA26" i="21"/>
  <c r="DB26" i="21"/>
  <c r="PW26" i="21"/>
  <c r="PX26" i="21"/>
  <c r="PY26" i="21"/>
  <c r="PZ26" i="21"/>
  <c r="QB26" i="21"/>
  <c r="QC26" i="21"/>
  <c r="QE26" i="21"/>
  <c r="QF26" i="21"/>
  <c r="QG26" i="21"/>
  <c r="QH26" i="21"/>
  <c r="QI26" i="21"/>
  <c r="QJ26" i="21"/>
  <c r="QK26" i="21"/>
  <c r="QL26" i="21"/>
  <c r="QM26" i="21"/>
  <c r="QN26" i="21"/>
  <c r="QO26" i="21"/>
  <c r="QP26" i="21"/>
  <c r="QQ26" i="21"/>
  <c r="QR26" i="21"/>
  <c r="QS26" i="21"/>
  <c r="QT26" i="21"/>
  <c r="QU26" i="21"/>
  <c r="QV26" i="21"/>
  <c r="QW26" i="21"/>
  <c r="QX26" i="21"/>
  <c r="AP20" i="21"/>
  <c r="AQ20" i="21"/>
  <c r="AR20" i="21"/>
  <c r="AS20" i="21"/>
  <c r="AU20" i="21"/>
  <c r="AV20" i="21"/>
  <c r="BS20" i="21"/>
  <c r="BT20" i="21"/>
  <c r="BU20" i="21"/>
  <c r="BV20" i="21"/>
  <c r="BX20" i="21"/>
  <c r="BY20" i="21"/>
  <c r="CV20" i="21"/>
  <c r="CW20" i="21"/>
  <c r="CX20" i="21"/>
  <c r="CY20" i="21"/>
  <c r="DA20" i="21"/>
  <c r="DB20" i="21"/>
  <c r="PW20" i="21"/>
  <c r="PX20" i="21"/>
  <c r="PY20" i="21"/>
  <c r="PZ20" i="21"/>
  <c r="QB20" i="21"/>
  <c r="QC20" i="21"/>
  <c r="QE20" i="21"/>
  <c r="QF20" i="21"/>
  <c r="QG20" i="21"/>
  <c r="QH20" i="21"/>
  <c r="QI20" i="21"/>
  <c r="QJ20" i="21"/>
  <c r="QK20" i="21"/>
  <c r="QL20" i="21"/>
  <c r="QM20" i="21"/>
  <c r="QN20" i="21"/>
  <c r="QO20" i="21"/>
  <c r="QP20" i="21"/>
  <c r="QQ20" i="21"/>
  <c r="QR20" i="21"/>
  <c r="QS20" i="21"/>
  <c r="QT20" i="21"/>
  <c r="QU20" i="21"/>
  <c r="QV20" i="21"/>
  <c r="QW20" i="21"/>
  <c r="QX20" i="21"/>
  <c r="AP12" i="21"/>
  <c r="AQ12" i="21"/>
  <c r="AR12" i="21"/>
  <c r="AS12" i="21"/>
  <c r="AU12" i="21"/>
  <c r="AV12" i="21"/>
  <c r="BS12" i="21"/>
  <c r="BT12" i="21"/>
  <c r="BU12" i="21"/>
  <c r="BV12" i="21"/>
  <c r="BX12" i="21"/>
  <c r="BY12" i="21"/>
  <c r="CV12" i="21"/>
  <c r="CW12" i="21"/>
  <c r="CX12" i="21"/>
  <c r="CY12" i="21"/>
  <c r="DA12" i="21"/>
  <c r="DB12" i="21"/>
  <c r="PW12" i="21"/>
  <c r="PX12" i="21"/>
  <c r="PY12" i="21"/>
  <c r="PZ12" i="21"/>
  <c r="QB12" i="21"/>
  <c r="QC12" i="21"/>
  <c r="QE12" i="21"/>
  <c r="QF12" i="21"/>
  <c r="QG12" i="21"/>
  <c r="QH12" i="21"/>
  <c r="QI12" i="21"/>
  <c r="QJ12" i="21"/>
  <c r="QK12" i="21"/>
  <c r="QL12" i="21"/>
  <c r="QM12" i="21"/>
  <c r="QN12" i="21"/>
  <c r="QO12" i="21"/>
  <c r="QP12" i="21"/>
  <c r="QQ12" i="21"/>
  <c r="QR12" i="21"/>
  <c r="QS12" i="21"/>
  <c r="QT12" i="21"/>
  <c r="QU12" i="21"/>
  <c r="QV12" i="21"/>
  <c r="QW12" i="21"/>
  <c r="QX12" i="21"/>
  <c r="AP9" i="21"/>
  <c r="AQ9" i="21"/>
  <c r="AR9" i="21"/>
  <c r="AS9" i="21"/>
  <c r="AU9" i="21"/>
  <c r="AV9" i="21"/>
  <c r="BS9" i="21"/>
  <c r="BT9" i="21"/>
  <c r="BU9" i="21"/>
  <c r="BV9" i="21"/>
  <c r="BX9" i="21"/>
  <c r="BY9" i="21"/>
  <c r="CV9" i="21"/>
  <c r="CW9" i="21"/>
  <c r="CX9" i="21"/>
  <c r="CY9" i="21"/>
  <c r="DA9" i="21"/>
  <c r="DB9" i="21"/>
  <c r="PW9" i="21"/>
  <c r="PX9" i="21"/>
  <c r="PY9" i="21"/>
  <c r="PZ9" i="21"/>
  <c r="QB9" i="21"/>
  <c r="QC9" i="21"/>
  <c r="QE9" i="21"/>
  <c r="QF9" i="21"/>
  <c r="QG9" i="21"/>
  <c r="QH9" i="21"/>
  <c r="QI9" i="21"/>
  <c r="QJ9" i="21"/>
  <c r="QK9" i="21"/>
  <c r="QL9" i="21"/>
  <c r="QM9" i="21"/>
  <c r="QN9" i="21"/>
  <c r="QO9" i="21"/>
  <c r="QP9" i="21"/>
  <c r="QQ9" i="21"/>
  <c r="QR9" i="21"/>
  <c r="QS9" i="21"/>
  <c r="QT9" i="21"/>
  <c r="QU9" i="21"/>
  <c r="QV9" i="21"/>
  <c r="QW9" i="21"/>
  <c r="QX9" i="21"/>
  <c r="AP26" i="19"/>
  <c r="AQ26" i="19"/>
  <c r="AR26" i="19"/>
  <c r="AS26" i="19"/>
  <c r="AU26" i="19"/>
  <c r="AV26" i="19"/>
  <c r="BS26" i="19"/>
  <c r="BT26" i="19"/>
  <c r="BU26" i="19"/>
  <c r="BV26" i="19"/>
  <c r="BX26" i="19"/>
  <c r="BY26" i="19"/>
  <c r="CV26" i="19"/>
  <c r="CW26" i="19"/>
  <c r="CX26" i="19"/>
  <c r="CY26" i="19"/>
  <c r="DA26" i="19"/>
  <c r="DB26" i="19"/>
  <c r="PW26" i="19"/>
  <c r="PX26" i="19"/>
  <c r="PY26" i="19"/>
  <c r="PZ26" i="19"/>
  <c r="QB26" i="19"/>
  <c r="QC26" i="19"/>
  <c r="QE26" i="19"/>
  <c r="QF26" i="19"/>
  <c r="QG26" i="19"/>
  <c r="QH26" i="19"/>
  <c r="QI26" i="19"/>
  <c r="QJ26" i="19"/>
  <c r="QK26" i="19"/>
  <c r="QL26" i="19"/>
  <c r="QM26" i="19"/>
  <c r="QN26" i="19"/>
  <c r="QO26" i="19"/>
  <c r="QP26" i="19"/>
  <c r="QQ26" i="19"/>
  <c r="QR26" i="19"/>
  <c r="QS26" i="19"/>
  <c r="QT26" i="19"/>
  <c r="QU26" i="19"/>
  <c r="QV26" i="19"/>
  <c r="QW26" i="19"/>
  <c r="QX26" i="19"/>
  <c r="AP24" i="19"/>
  <c r="AQ24" i="19"/>
  <c r="AR24" i="19"/>
  <c r="AS24" i="19"/>
  <c r="AU24" i="19"/>
  <c r="AV24" i="19"/>
  <c r="BS24" i="19"/>
  <c r="BT24" i="19"/>
  <c r="BU24" i="19"/>
  <c r="BV24" i="19"/>
  <c r="BX24" i="19"/>
  <c r="BY24" i="19"/>
  <c r="CV24" i="19"/>
  <c r="CW24" i="19"/>
  <c r="CX24" i="19"/>
  <c r="CY24" i="19"/>
  <c r="DA24" i="19"/>
  <c r="DB24" i="19"/>
  <c r="PW24" i="19"/>
  <c r="PX24" i="19"/>
  <c r="PY24" i="19"/>
  <c r="PZ24" i="19"/>
  <c r="QB24" i="19"/>
  <c r="QC24" i="19"/>
  <c r="QE24" i="19"/>
  <c r="QF24" i="19"/>
  <c r="QG24" i="19"/>
  <c r="QH24" i="19"/>
  <c r="QI24" i="19"/>
  <c r="QJ24" i="19"/>
  <c r="QK24" i="19"/>
  <c r="QL24" i="19"/>
  <c r="QM24" i="19"/>
  <c r="QN24" i="19"/>
  <c r="QO24" i="19"/>
  <c r="QP24" i="19"/>
  <c r="QQ24" i="19"/>
  <c r="QR24" i="19"/>
  <c r="QS24" i="19"/>
  <c r="QT24" i="19"/>
  <c r="QU24" i="19"/>
  <c r="QV24" i="19"/>
  <c r="QW24" i="19"/>
  <c r="QX24" i="19"/>
  <c r="AP30" i="19"/>
  <c r="AQ30" i="19"/>
  <c r="AR30" i="19"/>
  <c r="AS30" i="19"/>
  <c r="AU30" i="19"/>
  <c r="AV30" i="19"/>
  <c r="BS30" i="19"/>
  <c r="BT30" i="19"/>
  <c r="BU30" i="19"/>
  <c r="BV30" i="19"/>
  <c r="BX30" i="19"/>
  <c r="BY30" i="19"/>
  <c r="CV30" i="19"/>
  <c r="CW30" i="19"/>
  <c r="CX30" i="19"/>
  <c r="CY30" i="19"/>
  <c r="DA30" i="19"/>
  <c r="DB30" i="19"/>
  <c r="PW30" i="19"/>
  <c r="PX30" i="19"/>
  <c r="PY30" i="19"/>
  <c r="PZ30" i="19"/>
  <c r="QB30" i="19"/>
  <c r="QC30" i="19"/>
  <c r="QE30" i="19"/>
  <c r="QF30" i="19"/>
  <c r="QG30" i="19"/>
  <c r="QH30" i="19"/>
  <c r="QI30" i="19"/>
  <c r="QJ30" i="19"/>
  <c r="QK30" i="19"/>
  <c r="QL30" i="19"/>
  <c r="QM30" i="19"/>
  <c r="QN30" i="19"/>
  <c r="QO30" i="19"/>
  <c r="QP30" i="19"/>
  <c r="QQ30" i="19"/>
  <c r="QR30" i="19"/>
  <c r="QS30" i="19"/>
  <c r="QT30" i="19"/>
  <c r="QU30" i="19"/>
  <c r="QV30" i="19"/>
  <c r="QW30" i="19"/>
  <c r="QX30" i="19"/>
  <c r="AP17" i="19"/>
  <c r="AQ17" i="19"/>
  <c r="AR17" i="19"/>
  <c r="AS17" i="19"/>
  <c r="AU17" i="19"/>
  <c r="AV17" i="19"/>
  <c r="BS17" i="19"/>
  <c r="BT17" i="19"/>
  <c r="BU17" i="19"/>
  <c r="BV17" i="19"/>
  <c r="BX17" i="19"/>
  <c r="BY17" i="19"/>
  <c r="CV17" i="19"/>
  <c r="CW17" i="19"/>
  <c r="CX17" i="19"/>
  <c r="CY17" i="19"/>
  <c r="DA17" i="19"/>
  <c r="DB17" i="19"/>
  <c r="PW17" i="19"/>
  <c r="PX17" i="19"/>
  <c r="PY17" i="19"/>
  <c r="PZ17" i="19"/>
  <c r="QB17" i="19"/>
  <c r="QC17" i="19"/>
  <c r="QE17" i="19"/>
  <c r="QF17" i="19"/>
  <c r="QG17" i="19"/>
  <c r="QH17" i="19"/>
  <c r="QI17" i="19"/>
  <c r="QJ17" i="19"/>
  <c r="QK17" i="19"/>
  <c r="QL17" i="19"/>
  <c r="QM17" i="19"/>
  <c r="QN17" i="19"/>
  <c r="QO17" i="19"/>
  <c r="QP17" i="19"/>
  <c r="QQ17" i="19"/>
  <c r="QR17" i="19"/>
  <c r="QS17" i="19"/>
  <c r="QT17" i="19"/>
  <c r="QU17" i="19"/>
  <c r="QV17" i="19"/>
  <c r="QW17" i="19"/>
  <c r="QX17" i="19"/>
  <c r="AP5" i="26"/>
  <c r="AQ5" i="26"/>
  <c r="AR5" i="26"/>
  <c r="AS5" i="26"/>
  <c r="AU5" i="26"/>
  <c r="AV5" i="26"/>
  <c r="BS5" i="26"/>
  <c r="BT5" i="26"/>
  <c r="BU5" i="26"/>
  <c r="BV5" i="26"/>
  <c r="BX5" i="26"/>
  <c r="BY5" i="26"/>
  <c r="CV5" i="26"/>
  <c r="CW5" i="26"/>
  <c r="CX5" i="26"/>
  <c r="CY5" i="26"/>
  <c r="DA5" i="26"/>
  <c r="DB5" i="26"/>
  <c r="PW5" i="26"/>
  <c r="PX5" i="26"/>
  <c r="PY5" i="26"/>
  <c r="PZ5" i="26"/>
  <c r="QB5" i="26"/>
  <c r="QC5" i="26"/>
  <c r="QE5" i="26"/>
  <c r="QF5" i="26"/>
  <c r="QG5" i="26"/>
  <c r="QH5" i="26"/>
  <c r="QI5" i="26"/>
  <c r="QJ5" i="26"/>
  <c r="QK5" i="26"/>
  <c r="QL5" i="26"/>
  <c r="QM5" i="26"/>
  <c r="QN5" i="26"/>
  <c r="QO5" i="26"/>
  <c r="QP5" i="26"/>
  <c r="QQ5" i="26"/>
  <c r="QR5" i="26"/>
  <c r="QS5" i="26"/>
  <c r="QT5" i="26"/>
  <c r="QU5" i="26"/>
  <c r="QV5" i="26"/>
  <c r="QW5" i="26"/>
  <c r="QX5" i="26"/>
  <c r="PB23" i="21" l="1"/>
  <c r="AT26" i="21"/>
  <c r="IP26" i="19"/>
  <c r="IP30" i="19"/>
  <c r="IP34" i="19"/>
  <c r="FG11" i="27"/>
  <c r="EH6" i="27"/>
  <c r="EH10" i="27"/>
  <c r="EH14" i="27"/>
  <c r="EH18" i="27"/>
  <c r="EH22" i="27"/>
  <c r="FJ6" i="27"/>
  <c r="FJ22" i="27"/>
  <c r="LV10" i="27"/>
  <c r="FG13" i="27"/>
  <c r="PB21" i="27"/>
  <c r="FJ16" i="27"/>
  <c r="FJ20" i="27"/>
  <c r="NZ20" i="27"/>
  <c r="PB4" i="27"/>
  <c r="PB8" i="27"/>
  <c r="PB12" i="27"/>
  <c r="FG15" i="27"/>
  <c r="FJ10" i="27"/>
  <c r="FG5" i="27"/>
  <c r="LV14" i="27"/>
  <c r="LV18" i="27"/>
  <c r="LV22" i="27"/>
  <c r="MX6" i="27"/>
  <c r="MX10" i="27"/>
  <c r="FJ4" i="27"/>
  <c r="FG21" i="27"/>
  <c r="JR5" i="26"/>
  <c r="JR9" i="26"/>
  <c r="JO6" i="26"/>
  <c r="JO10" i="26"/>
  <c r="BW26" i="21"/>
  <c r="EH7" i="21"/>
  <c r="EH11" i="21"/>
  <c r="EH15" i="21"/>
  <c r="EH19" i="21"/>
  <c r="EH23" i="21"/>
  <c r="FJ4" i="21"/>
  <c r="FJ8" i="21"/>
  <c r="FJ12" i="21"/>
  <c r="FJ16" i="21"/>
  <c r="FJ20" i="21"/>
  <c r="FJ24" i="21"/>
  <c r="GL5" i="21"/>
  <c r="GL9" i="21"/>
  <c r="GL13" i="21"/>
  <c r="GL17" i="21"/>
  <c r="GL21" i="21"/>
  <c r="GL25" i="21"/>
  <c r="HN6" i="21"/>
  <c r="HN10" i="21"/>
  <c r="HN14" i="21"/>
  <c r="HN18" i="21"/>
  <c r="HN22" i="21"/>
  <c r="HN26" i="21"/>
  <c r="IP7" i="21"/>
  <c r="IP11" i="21"/>
  <c r="IP15" i="21"/>
  <c r="IP19" i="21"/>
  <c r="IP23" i="21"/>
  <c r="JR4" i="21"/>
  <c r="JR8" i="21"/>
  <c r="JR12" i="21"/>
  <c r="JR16" i="21"/>
  <c r="JR20" i="21"/>
  <c r="JR24" i="21"/>
  <c r="KT5" i="21"/>
  <c r="KT9" i="21"/>
  <c r="KT13" i="21"/>
  <c r="KT17" i="21"/>
  <c r="KT21" i="21"/>
  <c r="KT25" i="21"/>
  <c r="LV6" i="21"/>
  <c r="LV10" i="21"/>
  <c r="LV14" i="21"/>
  <c r="LV18" i="21"/>
  <c r="LV22" i="21"/>
  <c r="LV26" i="21"/>
  <c r="MX7" i="21"/>
  <c r="MX11" i="21"/>
  <c r="MX15" i="21"/>
  <c r="MX19" i="21"/>
  <c r="MX23" i="21"/>
  <c r="NZ4" i="21"/>
  <c r="NZ8" i="21"/>
  <c r="NZ12" i="21"/>
  <c r="NZ16" i="21"/>
  <c r="NZ20" i="21"/>
  <c r="NZ24" i="21"/>
  <c r="PB5" i="21"/>
  <c r="PB9" i="21"/>
  <c r="PB13" i="21"/>
  <c r="PB17" i="21"/>
  <c r="PB21" i="21"/>
  <c r="PB25" i="21"/>
  <c r="EH6" i="21"/>
  <c r="EH10" i="21"/>
  <c r="EH14" i="21"/>
  <c r="EH18" i="21"/>
  <c r="EH22" i="21"/>
  <c r="EH26" i="21"/>
  <c r="FJ7" i="21"/>
  <c r="FJ11" i="21"/>
  <c r="FJ15" i="21"/>
  <c r="FJ19" i="21"/>
  <c r="FJ23" i="21"/>
  <c r="GL4" i="21"/>
  <c r="GL8" i="21"/>
  <c r="GL12" i="21"/>
  <c r="GL16" i="21"/>
  <c r="GL20" i="21"/>
  <c r="GL24" i="21"/>
  <c r="HN5" i="21"/>
  <c r="HN9" i="21"/>
  <c r="HN13" i="21"/>
  <c r="HN17" i="21"/>
  <c r="HN21" i="21"/>
  <c r="HN25" i="21"/>
  <c r="IP6" i="21"/>
  <c r="IP10" i="21"/>
  <c r="IP14" i="21"/>
  <c r="IP18" i="21"/>
  <c r="IP22" i="21"/>
  <c r="IP26" i="21"/>
  <c r="JR7" i="21"/>
  <c r="JR11" i="21"/>
  <c r="JR15" i="21"/>
  <c r="JR19" i="21"/>
  <c r="JR23" i="21"/>
  <c r="KT4" i="21"/>
  <c r="KT8" i="21"/>
  <c r="KT12" i="21"/>
  <c r="KT16" i="21"/>
  <c r="KT20" i="21"/>
  <c r="KT24" i="21"/>
  <c r="LV5" i="21"/>
  <c r="LV9" i="21"/>
  <c r="LV13" i="21"/>
  <c r="LV17" i="21"/>
  <c r="LV21" i="21"/>
  <c r="LV25" i="21"/>
  <c r="MX6" i="21"/>
  <c r="MX10" i="21"/>
  <c r="MX14" i="21"/>
  <c r="MX18" i="21"/>
  <c r="MX22" i="21"/>
  <c r="MX26" i="21"/>
  <c r="NZ7" i="21"/>
  <c r="NZ11" i="21"/>
  <c r="NZ15" i="21"/>
  <c r="NZ19" i="21"/>
  <c r="NZ23" i="21"/>
  <c r="PB4" i="21"/>
  <c r="PB8" i="21"/>
  <c r="PB12" i="21"/>
  <c r="PB16" i="21"/>
  <c r="PB20" i="21"/>
  <c r="PB24" i="21"/>
  <c r="JR6" i="19"/>
  <c r="JR10" i="19"/>
  <c r="JR14" i="19"/>
  <c r="JR18" i="19"/>
  <c r="JR21" i="19"/>
  <c r="JR25" i="19"/>
  <c r="JR29" i="19"/>
  <c r="JR33" i="19"/>
  <c r="KT5" i="19"/>
  <c r="KT9" i="19"/>
  <c r="KT12" i="19"/>
  <c r="KT17" i="19"/>
  <c r="KT20" i="19"/>
  <c r="KT24" i="19"/>
  <c r="KT28" i="19"/>
  <c r="KT32" i="19"/>
  <c r="LV4" i="19"/>
  <c r="LV8" i="19"/>
  <c r="LV11" i="19"/>
  <c r="LV16" i="19"/>
  <c r="LV31" i="19"/>
  <c r="LV23" i="19"/>
  <c r="LV27" i="19"/>
  <c r="LV35" i="19"/>
  <c r="LV36" i="19"/>
  <c r="MX7" i="19"/>
  <c r="MX13" i="19"/>
  <c r="MX15" i="19"/>
  <c r="MX19" i="19"/>
  <c r="MX22" i="19"/>
  <c r="MX26" i="19"/>
  <c r="MX30" i="19"/>
  <c r="MX34" i="19"/>
  <c r="NZ6" i="19"/>
  <c r="NZ10" i="19"/>
  <c r="NZ14" i="19"/>
  <c r="NZ18" i="19"/>
  <c r="NZ21" i="19"/>
  <c r="NZ25" i="19"/>
  <c r="NZ29" i="19"/>
  <c r="NZ33" i="19"/>
  <c r="PB5" i="19"/>
  <c r="PB9" i="19"/>
  <c r="PB12" i="19"/>
  <c r="PB17" i="19"/>
  <c r="PB20" i="19"/>
  <c r="PB24" i="19"/>
  <c r="PB28" i="19"/>
  <c r="PB32" i="19"/>
  <c r="EH10" i="19"/>
  <c r="EH18" i="19"/>
  <c r="EH21" i="19"/>
  <c r="EH6" i="19"/>
  <c r="EH14" i="19"/>
  <c r="RE26" i="19"/>
  <c r="EH5" i="19"/>
  <c r="EH9" i="19"/>
  <c r="EH12" i="19"/>
  <c r="EH17" i="19"/>
  <c r="EH20" i="19"/>
  <c r="EH24" i="19"/>
  <c r="EH28" i="19"/>
  <c r="EH32" i="19"/>
  <c r="FJ4" i="19"/>
  <c r="PB33" i="19"/>
  <c r="EH25" i="19"/>
  <c r="EH29" i="19"/>
  <c r="EH33" i="19"/>
  <c r="FJ5" i="19"/>
  <c r="FJ9" i="19"/>
  <c r="FJ12" i="19"/>
  <c r="FJ17" i="19"/>
  <c r="FJ20" i="19"/>
  <c r="FJ24" i="19"/>
  <c r="FJ28" i="19"/>
  <c r="FJ32" i="19"/>
  <c r="GL4" i="19"/>
  <c r="GL8" i="19"/>
  <c r="GL11" i="19"/>
  <c r="GL16" i="19"/>
  <c r="GL31" i="19"/>
  <c r="GL23" i="19"/>
  <c r="GL27" i="19"/>
  <c r="GL35" i="19"/>
  <c r="GL36" i="19"/>
  <c r="HN7" i="19"/>
  <c r="HN13" i="19"/>
  <c r="HN15" i="19"/>
  <c r="HN19" i="19"/>
  <c r="HN22" i="19"/>
  <c r="HN26" i="19"/>
  <c r="HN30" i="19"/>
  <c r="HN34" i="19"/>
  <c r="IP6" i="19"/>
  <c r="IP10" i="19"/>
  <c r="IP14" i="19"/>
  <c r="IP18" i="19"/>
  <c r="IP21" i="19"/>
  <c r="IP25" i="19"/>
  <c r="IP29" i="19"/>
  <c r="IP33" i="19"/>
  <c r="JR5" i="19"/>
  <c r="JR9" i="19"/>
  <c r="JR12" i="19"/>
  <c r="JR17" i="19"/>
  <c r="JR20" i="19"/>
  <c r="JR24" i="19"/>
  <c r="JR28" i="19"/>
  <c r="JR32" i="19"/>
  <c r="KT4" i="19"/>
  <c r="KT8" i="19"/>
  <c r="KT11" i="19"/>
  <c r="KT16" i="19"/>
  <c r="KT31" i="19"/>
  <c r="KT23" i="19"/>
  <c r="KT27" i="19"/>
  <c r="KT35" i="19"/>
  <c r="KT36" i="19"/>
  <c r="LV7" i="19"/>
  <c r="LV13" i="19"/>
  <c r="LV15" i="19"/>
  <c r="LV19" i="19"/>
  <c r="LV22" i="19"/>
  <c r="LV26" i="19"/>
  <c r="LV30" i="19"/>
  <c r="LV34" i="19"/>
  <c r="MX6" i="19"/>
  <c r="MX10" i="19"/>
  <c r="MX14" i="19"/>
  <c r="MX18" i="19"/>
  <c r="MX21" i="19"/>
  <c r="MX25" i="19"/>
  <c r="MX29" i="19"/>
  <c r="MX33" i="19"/>
  <c r="NZ5" i="19"/>
  <c r="NZ9" i="19"/>
  <c r="NZ12" i="19"/>
  <c r="NZ17" i="19"/>
  <c r="NZ20" i="19"/>
  <c r="NZ24" i="19"/>
  <c r="NZ28" i="19"/>
  <c r="NZ32" i="19"/>
  <c r="PB4" i="19"/>
  <c r="PB8" i="19"/>
  <c r="PB11" i="19"/>
  <c r="PB16" i="19"/>
  <c r="PB31" i="19"/>
  <c r="PB23" i="19"/>
  <c r="PB27" i="19"/>
  <c r="PB35" i="19"/>
  <c r="FJ8" i="19"/>
  <c r="FJ11" i="19"/>
  <c r="FJ16" i="19"/>
  <c r="FJ31" i="19"/>
  <c r="FJ23" i="19"/>
  <c r="FJ27" i="19"/>
  <c r="FJ35" i="19"/>
  <c r="FJ36" i="19"/>
  <c r="GL7" i="19"/>
  <c r="GL13" i="19"/>
  <c r="GL15" i="19"/>
  <c r="GL19" i="19"/>
  <c r="GL22" i="19"/>
  <c r="GL26" i="19"/>
  <c r="GL30" i="19"/>
  <c r="GL34" i="19"/>
  <c r="HN6" i="19"/>
  <c r="HN10" i="19"/>
  <c r="HN14" i="19"/>
  <c r="HN18" i="19"/>
  <c r="HN21" i="19"/>
  <c r="HN25" i="19"/>
  <c r="HN29" i="19"/>
  <c r="HN33" i="19"/>
  <c r="IP5" i="19"/>
  <c r="IP9" i="19"/>
  <c r="IP12" i="19"/>
  <c r="IP17" i="19"/>
  <c r="IP20" i="19"/>
  <c r="IP24" i="19"/>
  <c r="IP28" i="19"/>
  <c r="IP32" i="19"/>
  <c r="JR4" i="19"/>
  <c r="JR8" i="19"/>
  <c r="JR11" i="19"/>
  <c r="JR16" i="19"/>
  <c r="JR31" i="19"/>
  <c r="JR23" i="19"/>
  <c r="JR27" i="19"/>
  <c r="JR35" i="19"/>
  <c r="JR36" i="19"/>
  <c r="KT7" i="19"/>
  <c r="KT13" i="19"/>
  <c r="KT15" i="19"/>
  <c r="KT19" i="19"/>
  <c r="KT22" i="19"/>
  <c r="KT26" i="19"/>
  <c r="KT30" i="19"/>
  <c r="KT34" i="19"/>
  <c r="LV6" i="19"/>
  <c r="LV10" i="19"/>
  <c r="LV14" i="19"/>
  <c r="LV18" i="19"/>
  <c r="LV21" i="19"/>
  <c r="LV25" i="19"/>
  <c r="LV29" i="19"/>
  <c r="LV33" i="19"/>
  <c r="MX5" i="19"/>
  <c r="MX9" i="19"/>
  <c r="MX12" i="19"/>
  <c r="MX17" i="19"/>
  <c r="MX20" i="19"/>
  <c r="MX24" i="19"/>
  <c r="MX28" i="19"/>
  <c r="MX32" i="19"/>
  <c r="NZ4" i="19"/>
  <c r="NZ8" i="19"/>
  <c r="NZ11" i="19"/>
  <c r="NZ16" i="19"/>
  <c r="NZ31" i="19"/>
  <c r="NZ23" i="19"/>
  <c r="NZ27" i="19"/>
  <c r="NZ35" i="19"/>
  <c r="NZ36" i="19"/>
  <c r="PB7" i="19"/>
  <c r="PB13" i="19"/>
  <c r="PB15" i="19"/>
  <c r="PB19" i="19"/>
  <c r="PB22" i="19"/>
  <c r="PB26" i="19"/>
  <c r="PB30" i="19"/>
  <c r="PB34" i="19"/>
  <c r="FJ14" i="27"/>
  <c r="GL4" i="27"/>
  <c r="GL8" i="27"/>
  <c r="GL12" i="27"/>
  <c r="GL16" i="27"/>
  <c r="GL20" i="27"/>
  <c r="HN4" i="27"/>
  <c r="HN8" i="27"/>
  <c r="HN12" i="27"/>
  <c r="HN16" i="27"/>
  <c r="HN20" i="27"/>
  <c r="IP4" i="27"/>
  <c r="IP8" i="27"/>
  <c r="IP12" i="27"/>
  <c r="IP16" i="27"/>
  <c r="IP20" i="27"/>
  <c r="JR4" i="27"/>
  <c r="JR8" i="27"/>
  <c r="JR12" i="27"/>
  <c r="JR16" i="27"/>
  <c r="JR20" i="27"/>
  <c r="KT4" i="27"/>
  <c r="PB16" i="27"/>
  <c r="FG9" i="27"/>
  <c r="FJ18" i="27"/>
  <c r="EH7" i="27"/>
  <c r="EH11" i="27"/>
  <c r="EH15" i="27"/>
  <c r="EH19" i="27"/>
  <c r="EH23" i="27"/>
  <c r="FJ8" i="27"/>
  <c r="MX14" i="27"/>
  <c r="MX18" i="27"/>
  <c r="MX22" i="27"/>
  <c r="NZ6" i="27"/>
  <c r="NZ10" i="27"/>
  <c r="NZ14" i="27"/>
  <c r="NZ18" i="27"/>
  <c r="NZ22" i="27"/>
  <c r="PB14" i="27"/>
  <c r="FG4" i="27"/>
  <c r="FJ9" i="27"/>
  <c r="FG12" i="27"/>
  <c r="FJ17" i="27"/>
  <c r="FG20" i="27"/>
  <c r="KT8" i="27"/>
  <c r="KT12" i="27"/>
  <c r="KT16" i="27"/>
  <c r="KT20" i="27"/>
  <c r="LV4" i="27"/>
  <c r="LV8" i="27"/>
  <c r="LV12" i="27"/>
  <c r="LV16" i="27"/>
  <c r="LV20" i="27"/>
  <c r="MX4" i="27"/>
  <c r="MX8" i="27"/>
  <c r="MX12" i="27"/>
  <c r="MX16" i="27"/>
  <c r="PB20" i="27"/>
  <c r="FJ7" i="27"/>
  <c r="FG10" i="27"/>
  <c r="FJ15" i="27"/>
  <c r="FG18" i="27"/>
  <c r="FJ23" i="27"/>
  <c r="EH5" i="27"/>
  <c r="EH9" i="27"/>
  <c r="EH13" i="27"/>
  <c r="EH17" i="27"/>
  <c r="EH21" i="27"/>
  <c r="GL7" i="27"/>
  <c r="GL11" i="27"/>
  <c r="GL15" i="27"/>
  <c r="GL19" i="27"/>
  <c r="GL23" i="27"/>
  <c r="HN7" i="27"/>
  <c r="HN11" i="27"/>
  <c r="HN15" i="27"/>
  <c r="HN19" i="27"/>
  <c r="HN23" i="27"/>
  <c r="IP7" i="27"/>
  <c r="IP11" i="27"/>
  <c r="IP15" i="27"/>
  <c r="IP19" i="27"/>
  <c r="IP23" i="27"/>
  <c r="JR7" i="27"/>
  <c r="JR11" i="27"/>
  <c r="JR15" i="27"/>
  <c r="JR19" i="27"/>
  <c r="JR23" i="27"/>
  <c r="KT7" i="27"/>
  <c r="KT11" i="27"/>
  <c r="KT15" i="27"/>
  <c r="KT19" i="27"/>
  <c r="KT23" i="27"/>
  <c r="LV7" i="27"/>
  <c r="LV11" i="27"/>
  <c r="LV15" i="27"/>
  <c r="LV19" i="27"/>
  <c r="LV23" i="27"/>
  <c r="MX7" i="27"/>
  <c r="MX11" i="27"/>
  <c r="MX15" i="27"/>
  <c r="MX19" i="27"/>
  <c r="MX23" i="27"/>
  <c r="NZ7" i="27"/>
  <c r="NZ11" i="27"/>
  <c r="NZ15" i="27"/>
  <c r="NZ19" i="27"/>
  <c r="NZ23" i="27"/>
  <c r="PB7" i="27"/>
  <c r="PB11" i="27"/>
  <c r="FJ5" i="27"/>
  <c r="FG8" i="27"/>
  <c r="FJ13" i="27"/>
  <c r="FG16" i="27"/>
  <c r="FJ21" i="27"/>
  <c r="EH4" i="27"/>
  <c r="EH8" i="27"/>
  <c r="EH12" i="27"/>
  <c r="EH16" i="27"/>
  <c r="EH20" i="27"/>
  <c r="GL6" i="27"/>
  <c r="GL10" i="27"/>
  <c r="GL14" i="27"/>
  <c r="GL18" i="27"/>
  <c r="GL22" i="27"/>
  <c r="HN6" i="27"/>
  <c r="HN10" i="27"/>
  <c r="HN14" i="27"/>
  <c r="HN18" i="27"/>
  <c r="HN22" i="27"/>
  <c r="IP6" i="27"/>
  <c r="IP10" i="27"/>
  <c r="IP14" i="27"/>
  <c r="IP18" i="27"/>
  <c r="IP22" i="27"/>
  <c r="JR6" i="27"/>
  <c r="JR10" i="27"/>
  <c r="JR14" i="27"/>
  <c r="JR18" i="27"/>
  <c r="JR22" i="27"/>
  <c r="KT6" i="27"/>
  <c r="PB6" i="27"/>
  <c r="PB10" i="27"/>
  <c r="FG6" i="27"/>
  <c r="FJ11" i="27"/>
  <c r="FG14" i="27"/>
  <c r="FJ19" i="27"/>
  <c r="FG22" i="27"/>
  <c r="EH7" i="26"/>
  <c r="FJ9" i="26"/>
  <c r="FJ17" i="26"/>
  <c r="GL7" i="26"/>
  <c r="GL11" i="26"/>
  <c r="GL15" i="26"/>
  <c r="HN5" i="26"/>
  <c r="JR15" i="26"/>
  <c r="JR17" i="26"/>
  <c r="KT7" i="26"/>
  <c r="KT11" i="26"/>
  <c r="KT15" i="26"/>
  <c r="LV5" i="26"/>
  <c r="LV9" i="26"/>
  <c r="LV13" i="26"/>
  <c r="LV17" i="26"/>
  <c r="MX7" i="26"/>
  <c r="MX11" i="26"/>
  <c r="MX15" i="26"/>
  <c r="NZ5" i="26"/>
  <c r="NZ9" i="26"/>
  <c r="NZ13" i="26"/>
  <c r="PB15" i="26"/>
  <c r="EH11" i="26"/>
  <c r="EH15" i="26"/>
  <c r="FJ5" i="26"/>
  <c r="FJ13" i="26"/>
  <c r="EH6" i="26"/>
  <c r="EH10" i="26"/>
  <c r="EH14" i="26"/>
  <c r="FJ4" i="26"/>
  <c r="FJ8" i="26"/>
  <c r="FJ12" i="26"/>
  <c r="FJ16" i="26"/>
  <c r="GL6" i="26"/>
  <c r="GL10" i="26"/>
  <c r="GL14" i="26"/>
  <c r="HN4" i="26"/>
  <c r="HN8" i="26"/>
  <c r="HN12" i="26"/>
  <c r="HN16" i="26"/>
  <c r="IP6" i="26"/>
  <c r="IP10" i="26"/>
  <c r="IP14" i="26"/>
  <c r="JO4" i="26"/>
  <c r="JR6" i="26"/>
  <c r="JO8" i="26"/>
  <c r="JR10" i="26"/>
  <c r="JO12" i="26"/>
  <c r="JO7" i="26"/>
  <c r="JO11" i="26"/>
  <c r="EH5" i="26"/>
  <c r="FJ11" i="26"/>
  <c r="GL5" i="26"/>
  <c r="GL9" i="26"/>
  <c r="GL17" i="26"/>
  <c r="EH13" i="26"/>
  <c r="FJ7" i="26"/>
  <c r="FJ15" i="26"/>
  <c r="GL13" i="26"/>
  <c r="EH9" i="26"/>
  <c r="EH4" i="26"/>
  <c r="FJ6" i="26"/>
  <c r="FJ10" i="26"/>
  <c r="GL4" i="26"/>
  <c r="GL12" i="26"/>
  <c r="GL16" i="26"/>
  <c r="HN6" i="26"/>
  <c r="HN10" i="26"/>
  <c r="HN14" i="26"/>
  <c r="IP4" i="26"/>
  <c r="IP8" i="26"/>
  <c r="IP12" i="26"/>
  <c r="IP16" i="26"/>
  <c r="JR4" i="26"/>
  <c r="JR8" i="26"/>
  <c r="JR13" i="26"/>
  <c r="JR16" i="26"/>
  <c r="KT6" i="26"/>
  <c r="KT10" i="26"/>
  <c r="KT14" i="26"/>
  <c r="LV4" i="26"/>
  <c r="LV8" i="26"/>
  <c r="LV12" i="26"/>
  <c r="LV16" i="26"/>
  <c r="MX6" i="26"/>
  <c r="MX10" i="26"/>
  <c r="MX14" i="26"/>
  <c r="NZ4" i="26"/>
  <c r="NZ8" i="26"/>
  <c r="NZ12" i="26"/>
  <c r="NZ16" i="26"/>
  <c r="PB6" i="26"/>
  <c r="PB10" i="26"/>
  <c r="PB14" i="26"/>
  <c r="EH17" i="26"/>
  <c r="EH8" i="26"/>
  <c r="EH12" i="26"/>
  <c r="EH16" i="26"/>
  <c r="FJ14" i="26"/>
  <c r="GL8" i="26"/>
  <c r="JR12" i="26"/>
  <c r="JO15" i="26"/>
  <c r="HN9" i="26"/>
  <c r="HN13" i="26"/>
  <c r="HN17" i="26"/>
  <c r="IP7" i="26"/>
  <c r="IP11" i="26"/>
  <c r="IP15" i="26"/>
  <c r="JO5" i="26"/>
  <c r="JR7" i="26"/>
  <c r="JO9" i="26"/>
  <c r="JR11" i="26"/>
  <c r="JO14" i="26"/>
  <c r="KT5" i="26"/>
  <c r="KT9" i="26"/>
  <c r="KT13" i="26"/>
  <c r="KT17" i="26"/>
  <c r="LV7" i="26"/>
  <c r="LV11" i="26"/>
  <c r="LV15" i="26"/>
  <c r="MX5" i="26"/>
  <c r="MX9" i="26"/>
  <c r="MX13" i="26"/>
  <c r="MX17" i="26"/>
  <c r="NZ7" i="26"/>
  <c r="NZ11" i="26"/>
  <c r="NZ15" i="26"/>
  <c r="PB5" i="26"/>
  <c r="PB9" i="26"/>
  <c r="PB13" i="26"/>
  <c r="OY4" i="21"/>
  <c r="OY5" i="21"/>
  <c r="OY6" i="21"/>
  <c r="OY7" i="21"/>
  <c r="OY8" i="21"/>
  <c r="OY9" i="21"/>
  <c r="OY10" i="21"/>
  <c r="OY11" i="21"/>
  <c r="OY12" i="21"/>
  <c r="OY13" i="21"/>
  <c r="OY14" i="21"/>
  <c r="OY15" i="21"/>
  <c r="OY16" i="21"/>
  <c r="OY17" i="21"/>
  <c r="OY18" i="21"/>
  <c r="OY19" i="21"/>
  <c r="OY20" i="21"/>
  <c r="OY21" i="21"/>
  <c r="OY22" i="21"/>
  <c r="OY23" i="21"/>
  <c r="OY24" i="21"/>
  <c r="OY25" i="21"/>
  <c r="OY26" i="21"/>
  <c r="NW4" i="21"/>
  <c r="NW5" i="21"/>
  <c r="NW6" i="21"/>
  <c r="NW7" i="21"/>
  <c r="NW8" i="21"/>
  <c r="NW9" i="21"/>
  <c r="NW10" i="21"/>
  <c r="NW11" i="21"/>
  <c r="NW12" i="21"/>
  <c r="NW13" i="21"/>
  <c r="NW14" i="21"/>
  <c r="NW15" i="21"/>
  <c r="NW16" i="21"/>
  <c r="NW17" i="21"/>
  <c r="NW18" i="21"/>
  <c r="NW19" i="21"/>
  <c r="NW20" i="21"/>
  <c r="NW21" i="21"/>
  <c r="NW22" i="21"/>
  <c r="NW23" i="21"/>
  <c r="NW24" i="21"/>
  <c r="NW25" i="21"/>
  <c r="NW26" i="21"/>
  <c r="MU4" i="21"/>
  <c r="MU5" i="21"/>
  <c r="MU6" i="21"/>
  <c r="MU7" i="21"/>
  <c r="MU8" i="21"/>
  <c r="MU9" i="21"/>
  <c r="MU10" i="21"/>
  <c r="MU11" i="21"/>
  <c r="MU12" i="21"/>
  <c r="MU13" i="21"/>
  <c r="MU14" i="21"/>
  <c r="MU15" i="21"/>
  <c r="MU16" i="21"/>
  <c r="MU17" i="21"/>
  <c r="MU18" i="21"/>
  <c r="MU19" i="21"/>
  <c r="MU20" i="21"/>
  <c r="MU21" i="21"/>
  <c r="MU22" i="21"/>
  <c r="MU23" i="21"/>
  <c r="MU24" i="21"/>
  <c r="MU25" i="21"/>
  <c r="MU26" i="21"/>
  <c r="LS4" i="21"/>
  <c r="LS5" i="21"/>
  <c r="LS6" i="21"/>
  <c r="LS7" i="21"/>
  <c r="LS8" i="21"/>
  <c r="LS9" i="21"/>
  <c r="LS10" i="21"/>
  <c r="LS11" i="21"/>
  <c r="LS12" i="21"/>
  <c r="LS13" i="21"/>
  <c r="LS14" i="21"/>
  <c r="LS15" i="21"/>
  <c r="LS16" i="21"/>
  <c r="LS17" i="21"/>
  <c r="LS18" i="21"/>
  <c r="LS19" i="21"/>
  <c r="LS20" i="21"/>
  <c r="LS21" i="21"/>
  <c r="LS22" i="21"/>
  <c r="LS23" i="21"/>
  <c r="LS24" i="21"/>
  <c r="LS25" i="21"/>
  <c r="LS26" i="21"/>
  <c r="KQ4" i="21"/>
  <c r="KQ5" i="21"/>
  <c r="KQ6" i="21"/>
  <c r="KQ7" i="21"/>
  <c r="KQ8" i="21"/>
  <c r="KQ9" i="21"/>
  <c r="KQ10" i="21"/>
  <c r="KQ11" i="21"/>
  <c r="KQ12" i="21"/>
  <c r="KQ13" i="21"/>
  <c r="KQ14" i="21"/>
  <c r="KQ15" i="21"/>
  <c r="KQ16" i="21"/>
  <c r="KQ17" i="21"/>
  <c r="KQ18" i="21"/>
  <c r="KQ19" i="21"/>
  <c r="KQ20" i="21"/>
  <c r="KQ21" i="21"/>
  <c r="KQ22" i="21"/>
  <c r="KQ23" i="21"/>
  <c r="KQ24" i="21"/>
  <c r="KQ25" i="21"/>
  <c r="KQ26" i="21"/>
  <c r="JO4" i="21"/>
  <c r="JO5" i="21"/>
  <c r="JO6" i="21"/>
  <c r="JO7" i="21"/>
  <c r="JO8" i="21"/>
  <c r="JO9" i="21"/>
  <c r="JO10" i="21"/>
  <c r="JO11" i="21"/>
  <c r="JO12" i="21"/>
  <c r="JO13" i="21"/>
  <c r="JO14" i="21"/>
  <c r="JO15" i="21"/>
  <c r="JO16" i="21"/>
  <c r="JO17" i="21"/>
  <c r="JO18" i="21"/>
  <c r="JO19" i="21"/>
  <c r="JO20" i="21"/>
  <c r="JO21" i="21"/>
  <c r="JO22" i="21"/>
  <c r="JO23" i="21"/>
  <c r="JO24" i="21"/>
  <c r="JO25" i="21"/>
  <c r="JO26" i="21"/>
  <c r="IM4" i="21"/>
  <c r="IM5" i="21"/>
  <c r="IM6" i="21"/>
  <c r="IM7" i="21"/>
  <c r="IM8" i="21"/>
  <c r="IM9" i="21"/>
  <c r="IM10" i="21"/>
  <c r="IM11" i="21"/>
  <c r="IM12" i="21"/>
  <c r="IM13" i="21"/>
  <c r="IM14" i="21"/>
  <c r="IM15" i="21"/>
  <c r="IM16" i="21"/>
  <c r="IM17" i="21"/>
  <c r="IM18" i="21"/>
  <c r="IM19" i="21"/>
  <c r="IM20" i="21"/>
  <c r="IM21" i="21"/>
  <c r="IM22" i="21"/>
  <c r="IM23" i="21"/>
  <c r="IM24" i="21"/>
  <c r="IM25" i="21"/>
  <c r="IM26" i="21"/>
  <c r="HK4" i="21"/>
  <c r="HK5" i="21"/>
  <c r="HK6" i="21"/>
  <c r="HK7" i="21"/>
  <c r="HK8" i="21"/>
  <c r="HK9" i="21"/>
  <c r="HK10" i="21"/>
  <c r="HK11" i="21"/>
  <c r="HK12" i="21"/>
  <c r="HK13" i="21"/>
  <c r="HK14" i="21"/>
  <c r="HK15" i="21"/>
  <c r="HK16" i="21"/>
  <c r="HK17" i="21"/>
  <c r="HK18" i="21"/>
  <c r="HK19" i="21"/>
  <c r="HK20" i="21"/>
  <c r="HK21" i="21"/>
  <c r="HK22" i="21"/>
  <c r="HK23" i="21"/>
  <c r="HK24" i="21"/>
  <c r="HK25" i="21"/>
  <c r="HK26" i="21"/>
  <c r="GI4" i="21"/>
  <c r="GI5" i="21"/>
  <c r="GI6" i="21"/>
  <c r="GI7" i="21"/>
  <c r="GI8" i="21"/>
  <c r="GI9" i="21"/>
  <c r="GI10" i="21"/>
  <c r="GI11" i="21"/>
  <c r="GI12" i="21"/>
  <c r="GI13" i="21"/>
  <c r="GI14" i="21"/>
  <c r="GI15" i="21"/>
  <c r="GI16" i="21"/>
  <c r="GI17" i="21"/>
  <c r="GI18" i="21"/>
  <c r="GI19" i="21"/>
  <c r="GI20" i="21"/>
  <c r="GI21" i="21"/>
  <c r="GI22" i="21"/>
  <c r="GI23" i="21"/>
  <c r="GI24" i="21"/>
  <c r="GI25" i="21"/>
  <c r="GI26" i="21"/>
  <c r="FG4" i="21"/>
  <c r="FG5" i="21"/>
  <c r="FG6" i="21"/>
  <c r="FG7" i="21"/>
  <c r="FG8" i="21"/>
  <c r="FG9" i="21"/>
  <c r="FG10" i="21"/>
  <c r="FG11" i="21"/>
  <c r="FG12" i="21"/>
  <c r="FG13" i="21"/>
  <c r="FG14" i="21"/>
  <c r="FG15" i="21"/>
  <c r="FG16" i="21"/>
  <c r="FG17" i="21"/>
  <c r="FG18" i="21"/>
  <c r="FG19" i="21"/>
  <c r="FG20" i="21"/>
  <c r="FG21" i="21"/>
  <c r="FG22" i="21"/>
  <c r="FG23" i="21"/>
  <c r="FG24" i="21"/>
  <c r="FG25" i="21"/>
  <c r="FG26" i="21"/>
  <c r="EE4" i="21"/>
  <c r="EE5" i="21"/>
  <c r="EE6" i="21"/>
  <c r="EE7" i="21"/>
  <c r="EE8" i="21"/>
  <c r="EE9" i="21"/>
  <c r="EE10" i="21"/>
  <c r="EE11" i="21"/>
  <c r="EE12" i="21"/>
  <c r="EE13" i="21"/>
  <c r="EE14" i="21"/>
  <c r="EE15" i="21"/>
  <c r="EE16" i="21"/>
  <c r="EE17" i="21"/>
  <c r="EE18" i="21"/>
  <c r="EE19" i="21"/>
  <c r="EE20" i="21"/>
  <c r="EE21" i="21"/>
  <c r="EE22" i="21"/>
  <c r="EE23" i="21"/>
  <c r="EE24" i="21"/>
  <c r="EE25" i="21"/>
  <c r="EE26" i="21"/>
  <c r="OY4" i="19"/>
  <c r="OY5" i="19"/>
  <c r="OY6" i="19"/>
  <c r="OY7" i="19"/>
  <c r="OY8" i="19"/>
  <c r="OY9" i="19"/>
  <c r="OY10" i="19"/>
  <c r="OY13" i="19"/>
  <c r="OY11" i="19"/>
  <c r="OY12" i="19"/>
  <c r="OY14" i="19"/>
  <c r="OY15" i="19"/>
  <c r="OY16" i="19"/>
  <c r="OY17" i="19"/>
  <c r="OY18" i="19"/>
  <c r="OY19" i="19"/>
  <c r="OY31" i="19"/>
  <c r="OY20" i="19"/>
  <c r="OY21" i="19"/>
  <c r="OY22" i="19"/>
  <c r="OY23" i="19"/>
  <c r="OY24" i="19"/>
  <c r="OY25" i="19"/>
  <c r="OY26" i="19"/>
  <c r="OY27" i="19"/>
  <c r="OY28" i="19"/>
  <c r="OY29" i="19"/>
  <c r="OY30" i="19"/>
  <c r="OY35" i="19"/>
  <c r="OY32" i="19"/>
  <c r="OY33" i="19"/>
  <c r="OY34" i="19"/>
  <c r="OY36" i="19"/>
  <c r="NW4" i="19"/>
  <c r="NW5" i="19"/>
  <c r="NW6" i="19"/>
  <c r="NW7" i="19"/>
  <c r="NW8" i="19"/>
  <c r="NW9" i="19"/>
  <c r="NW10" i="19"/>
  <c r="NW13" i="19"/>
  <c r="NW11" i="19"/>
  <c r="NW12" i="19"/>
  <c r="NW14" i="19"/>
  <c r="NW15" i="19"/>
  <c r="NW16" i="19"/>
  <c r="NW17" i="19"/>
  <c r="NW18" i="19"/>
  <c r="NW19" i="19"/>
  <c r="NW31" i="19"/>
  <c r="NW20" i="19"/>
  <c r="NW21" i="19"/>
  <c r="NW22" i="19"/>
  <c r="NW23" i="19"/>
  <c r="NW24" i="19"/>
  <c r="NW25" i="19"/>
  <c r="NW26" i="19"/>
  <c r="NW27" i="19"/>
  <c r="NW28" i="19"/>
  <c r="NW29" i="19"/>
  <c r="NW30" i="19"/>
  <c r="NW35" i="19"/>
  <c r="NW32" i="19"/>
  <c r="NW33" i="19"/>
  <c r="NW34" i="19"/>
  <c r="NW36" i="19"/>
  <c r="MU4" i="19"/>
  <c r="MU5" i="19"/>
  <c r="MU6" i="19"/>
  <c r="MU7" i="19"/>
  <c r="MU8" i="19"/>
  <c r="MU9" i="19"/>
  <c r="MU10" i="19"/>
  <c r="MU13" i="19"/>
  <c r="MU11" i="19"/>
  <c r="MU12" i="19"/>
  <c r="MU14" i="19"/>
  <c r="MU15" i="19"/>
  <c r="MU16" i="19"/>
  <c r="MU17" i="19"/>
  <c r="MU18" i="19"/>
  <c r="MU19" i="19"/>
  <c r="MU31" i="19"/>
  <c r="MU20" i="19"/>
  <c r="MU21" i="19"/>
  <c r="MU22" i="19"/>
  <c r="MU23" i="19"/>
  <c r="MU24" i="19"/>
  <c r="MU25" i="19"/>
  <c r="MU26" i="19"/>
  <c r="MU27" i="19"/>
  <c r="MU28" i="19"/>
  <c r="MU29" i="19"/>
  <c r="MU30" i="19"/>
  <c r="MU35" i="19"/>
  <c r="MU32" i="19"/>
  <c r="MU33" i="19"/>
  <c r="MU34" i="19"/>
  <c r="MU36" i="19"/>
  <c r="LS4" i="19"/>
  <c r="LS5" i="19"/>
  <c r="LS6" i="19"/>
  <c r="LS7" i="19"/>
  <c r="LS8" i="19"/>
  <c r="LS9" i="19"/>
  <c r="LS10" i="19"/>
  <c r="LS13" i="19"/>
  <c r="LS11" i="19"/>
  <c r="LS12" i="19"/>
  <c r="LS14" i="19"/>
  <c r="LS15" i="19"/>
  <c r="LS16" i="19"/>
  <c r="LS17" i="19"/>
  <c r="LS18" i="19"/>
  <c r="LS19" i="19"/>
  <c r="LS31" i="19"/>
  <c r="LS20" i="19"/>
  <c r="LS21" i="19"/>
  <c r="LS22" i="19"/>
  <c r="LS23" i="19"/>
  <c r="LS24" i="19"/>
  <c r="LS25" i="19"/>
  <c r="LS26" i="19"/>
  <c r="LS27" i="19"/>
  <c r="LS28" i="19"/>
  <c r="LS29" i="19"/>
  <c r="LS30" i="19"/>
  <c r="LS35" i="19"/>
  <c r="LS32" i="19"/>
  <c r="LS33" i="19"/>
  <c r="LS34" i="19"/>
  <c r="LS36" i="19"/>
  <c r="KQ4" i="19"/>
  <c r="KQ5" i="19"/>
  <c r="KQ6" i="19"/>
  <c r="KQ7" i="19"/>
  <c r="KQ8" i="19"/>
  <c r="KQ9" i="19"/>
  <c r="KQ10" i="19"/>
  <c r="KQ13" i="19"/>
  <c r="KQ11" i="19"/>
  <c r="KQ12" i="19"/>
  <c r="KQ14" i="19"/>
  <c r="KQ15" i="19"/>
  <c r="KQ16" i="19"/>
  <c r="KQ17" i="19"/>
  <c r="KQ18" i="19"/>
  <c r="KQ19" i="19"/>
  <c r="KQ31" i="19"/>
  <c r="KQ20" i="19"/>
  <c r="KQ21" i="19"/>
  <c r="KQ22" i="19"/>
  <c r="KQ23" i="19"/>
  <c r="KQ24" i="19"/>
  <c r="KQ25" i="19"/>
  <c r="KQ26" i="19"/>
  <c r="KQ27" i="19"/>
  <c r="KQ28" i="19"/>
  <c r="KQ29" i="19"/>
  <c r="KQ30" i="19"/>
  <c r="KQ35" i="19"/>
  <c r="KQ32" i="19"/>
  <c r="KQ33" i="19"/>
  <c r="KQ34" i="19"/>
  <c r="KQ36" i="19"/>
  <c r="JO4" i="19"/>
  <c r="JO5" i="19"/>
  <c r="JO6" i="19"/>
  <c r="JO7" i="19"/>
  <c r="JO8" i="19"/>
  <c r="JO9" i="19"/>
  <c r="JO10" i="19"/>
  <c r="JO13" i="19"/>
  <c r="JO11" i="19"/>
  <c r="JO12" i="19"/>
  <c r="JO14" i="19"/>
  <c r="JO15" i="19"/>
  <c r="JO16" i="19"/>
  <c r="JO17" i="19"/>
  <c r="JO18" i="19"/>
  <c r="JO19" i="19"/>
  <c r="JO31" i="19"/>
  <c r="JO20" i="19"/>
  <c r="JO21" i="19"/>
  <c r="JO22" i="19"/>
  <c r="JO23" i="19"/>
  <c r="JO24" i="19"/>
  <c r="JO25" i="19"/>
  <c r="JO26" i="19"/>
  <c r="JO27" i="19"/>
  <c r="JO28" i="19"/>
  <c r="JO29" i="19"/>
  <c r="JO30" i="19"/>
  <c r="JO35" i="19"/>
  <c r="JO32" i="19"/>
  <c r="JO33" i="19"/>
  <c r="JO34" i="19"/>
  <c r="JO36" i="19"/>
  <c r="IM4" i="19"/>
  <c r="IM5" i="19"/>
  <c r="IM6" i="19"/>
  <c r="IM7" i="19"/>
  <c r="IM8" i="19"/>
  <c r="IM9" i="19"/>
  <c r="IM10" i="19"/>
  <c r="IM13" i="19"/>
  <c r="IM11" i="19"/>
  <c r="IM12" i="19"/>
  <c r="IM14" i="19"/>
  <c r="IM15" i="19"/>
  <c r="IM16" i="19"/>
  <c r="IM17" i="19"/>
  <c r="IM18" i="19"/>
  <c r="IM19" i="19"/>
  <c r="IM31" i="19"/>
  <c r="IM20" i="19"/>
  <c r="IM21" i="19"/>
  <c r="IM22" i="19"/>
  <c r="IM23" i="19"/>
  <c r="IM24" i="19"/>
  <c r="IM25" i="19"/>
  <c r="IM26" i="19"/>
  <c r="IM27" i="19"/>
  <c r="IM28" i="19"/>
  <c r="IM29" i="19"/>
  <c r="IM30" i="19"/>
  <c r="IM35" i="19"/>
  <c r="IM32" i="19"/>
  <c r="IM33" i="19"/>
  <c r="IM34" i="19"/>
  <c r="IM36" i="19"/>
  <c r="HK4" i="19"/>
  <c r="HK5" i="19"/>
  <c r="HK6" i="19"/>
  <c r="HK7" i="19"/>
  <c r="HK8" i="19"/>
  <c r="HK9" i="19"/>
  <c r="HK10" i="19"/>
  <c r="HK13" i="19"/>
  <c r="HK11" i="19"/>
  <c r="HK12" i="19"/>
  <c r="HK14" i="19"/>
  <c r="HK15" i="19"/>
  <c r="HK16" i="19"/>
  <c r="HK17" i="19"/>
  <c r="HK18" i="19"/>
  <c r="HK19" i="19"/>
  <c r="HK31" i="19"/>
  <c r="HK20" i="19"/>
  <c r="HK21" i="19"/>
  <c r="HK22" i="19"/>
  <c r="HK23" i="19"/>
  <c r="HK24" i="19"/>
  <c r="HK25" i="19"/>
  <c r="HK26" i="19"/>
  <c r="HK27" i="19"/>
  <c r="HK28" i="19"/>
  <c r="HK29" i="19"/>
  <c r="HK30" i="19"/>
  <c r="HK35" i="19"/>
  <c r="HK32" i="19"/>
  <c r="HK33" i="19"/>
  <c r="HK34" i="19"/>
  <c r="HK36" i="19"/>
  <c r="GI4" i="19"/>
  <c r="GI5" i="19"/>
  <c r="GI6" i="19"/>
  <c r="GI7" i="19"/>
  <c r="GI8" i="19"/>
  <c r="GI9" i="19"/>
  <c r="GI10" i="19"/>
  <c r="GI13" i="19"/>
  <c r="GI11" i="19"/>
  <c r="GI12" i="19"/>
  <c r="GI14" i="19"/>
  <c r="GI15" i="19"/>
  <c r="GI16" i="19"/>
  <c r="GI17" i="19"/>
  <c r="GI18" i="19"/>
  <c r="GI19" i="19"/>
  <c r="GI31" i="19"/>
  <c r="GI20" i="19"/>
  <c r="GI21" i="19"/>
  <c r="GI22" i="19"/>
  <c r="GI23" i="19"/>
  <c r="GI24" i="19"/>
  <c r="GI25" i="19"/>
  <c r="GI26" i="19"/>
  <c r="GI27" i="19"/>
  <c r="GI28" i="19"/>
  <c r="GI29" i="19"/>
  <c r="GI30" i="19"/>
  <c r="GI35" i="19"/>
  <c r="GI32" i="19"/>
  <c r="GI33" i="19"/>
  <c r="GI34" i="19"/>
  <c r="GI36" i="19"/>
  <c r="FG4" i="19"/>
  <c r="FG5" i="19"/>
  <c r="FG6" i="19"/>
  <c r="FG7" i="19"/>
  <c r="FG8" i="19"/>
  <c r="FG9" i="19"/>
  <c r="FG10" i="19"/>
  <c r="FG13" i="19"/>
  <c r="FG11" i="19"/>
  <c r="FG12" i="19"/>
  <c r="FG14" i="19"/>
  <c r="FG15" i="19"/>
  <c r="FG16" i="19"/>
  <c r="FG17" i="19"/>
  <c r="FG18" i="19"/>
  <c r="FG19" i="19"/>
  <c r="FG31" i="19"/>
  <c r="FG20" i="19"/>
  <c r="FG21" i="19"/>
  <c r="FG22" i="19"/>
  <c r="FG23" i="19"/>
  <c r="FG24" i="19"/>
  <c r="FG25" i="19"/>
  <c r="FG26" i="19"/>
  <c r="FG27" i="19"/>
  <c r="FG28" i="19"/>
  <c r="FG29" i="19"/>
  <c r="FG30" i="19"/>
  <c r="FG35" i="19"/>
  <c r="FG32" i="19"/>
  <c r="FG33" i="19"/>
  <c r="FG34" i="19"/>
  <c r="FG36" i="19"/>
  <c r="EE4" i="19"/>
  <c r="EE5" i="19"/>
  <c r="EE6" i="19"/>
  <c r="EE7" i="19"/>
  <c r="EE8" i="19"/>
  <c r="EE9" i="19"/>
  <c r="EE10" i="19"/>
  <c r="EE13" i="19"/>
  <c r="EE11" i="19"/>
  <c r="EE12" i="19"/>
  <c r="EE14" i="19"/>
  <c r="EE15" i="19"/>
  <c r="EE16" i="19"/>
  <c r="EE17" i="19"/>
  <c r="EE18" i="19"/>
  <c r="EE19" i="19"/>
  <c r="EE31" i="19"/>
  <c r="EE20" i="19"/>
  <c r="EE21" i="19"/>
  <c r="EE22" i="19"/>
  <c r="EE23" i="19"/>
  <c r="EE24" i="19"/>
  <c r="EE25" i="19"/>
  <c r="EE26" i="19"/>
  <c r="EE27" i="19"/>
  <c r="EE28" i="19"/>
  <c r="EE29" i="19"/>
  <c r="EE30" i="19"/>
  <c r="EE35" i="19"/>
  <c r="EE32" i="19"/>
  <c r="EE33" i="19"/>
  <c r="EE34" i="19"/>
  <c r="EE36" i="19"/>
  <c r="OY4" i="27"/>
  <c r="OY5" i="27"/>
  <c r="OY6" i="27"/>
  <c r="OY7" i="27"/>
  <c r="OY8" i="27"/>
  <c r="OY9" i="27"/>
  <c r="OY10" i="27"/>
  <c r="OY11" i="27"/>
  <c r="OY12" i="27"/>
  <c r="OY13" i="27"/>
  <c r="OY14" i="27"/>
  <c r="OY15" i="27"/>
  <c r="OY16" i="27"/>
  <c r="OY17" i="27"/>
  <c r="OY18" i="27"/>
  <c r="OY19" i="27"/>
  <c r="OY20" i="27"/>
  <c r="OY21" i="27"/>
  <c r="OY22" i="27"/>
  <c r="OY23" i="27"/>
  <c r="NW4" i="27"/>
  <c r="NW5" i="27"/>
  <c r="NW6" i="27"/>
  <c r="NW7" i="27"/>
  <c r="NW8" i="27"/>
  <c r="NW9" i="27"/>
  <c r="NW10" i="27"/>
  <c r="NW11" i="27"/>
  <c r="NW12" i="27"/>
  <c r="NW13" i="27"/>
  <c r="NW14" i="27"/>
  <c r="NW15" i="27"/>
  <c r="NW16" i="27"/>
  <c r="NW17" i="27"/>
  <c r="NW18" i="27"/>
  <c r="NW19" i="27"/>
  <c r="NW20" i="27"/>
  <c r="NW21" i="27"/>
  <c r="NW22" i="27"/>
  <c r="NW23" i="27"/>
  <c r="MU4" i="27"/>
  <c r="MU5" i="27"/>
  <c r="MU6" i="27"/>
  <c r="MU7" i="27"/>
  <c r="MU8" i="27"/>
  <c r="MU9" i="27"/>
  <c r="MU10" i="27"/>
  <c r="MU11" i="27"/>
  <c r="MU12" i="27"/>
  <c r="MU13" i="27"/>
  <c r="MU14" i="27"/>
  <c r="MU15" i="27"/>
  <c r="MU16" i="27"/>
  <c r="MU17" i="27"/>
  <c r="MU18" i="27"/>
  <c r="MU19" i="27"/>
  <c r="MU20" i="27"/>
  <c r="MU21" i="27"/>
  <c r="MU22" i="27"/>
  <c r="MU23" i="27"/>
  <c r="LS4" i="27"/>
  <c r="LS5" i="27"/>
  <c r="LS6" i="27"/>
  <c r="LS7" i="27"/>
  <c r="LS8" i="27"/>
  <c r="LS9" i="27"/>
  <c r="LS10" i="27"/>
  <c r="LS11" i="27"/>
  <c r="LS12" i="27"/>
  <c r="LS13" i="27"/>
  <c r="LS14" i="27"/>
  <c r="LS15" i="27"/>
  <c r="LS16" i="27"/>
  <c r="LS17" i="27"/>
  <c r="LS18" i="27"/>
  <c r="LS19" i="27"/>
  <c r="LS20" i="27"/>
  <c r="LS21" i="27"/>
  <c r="LS22" i="27"/>
  <c r="LS23" i="27"/>
  <c r="KQ4" i="27"/>
  <c r="KQ5" i="27"/>
  <c r="KQ6" i="27"/>
  <c r="KQ7" i="27"/>
  <c r="KQ8" i="27"/>
  <c r="KQ9" i="27"/>
  <c r="KQ10" i="27"/>
  <c r="KQ11" i="27"/>
  <c r="KQ12" i="27"/>
  <c r="KQ13" i="27"/>
  <c r="KQ14" i="27"/>
  <c r="KQ15" i="27"/>
  <c r="KQ16" i="27"/>
  <c r="KQ17" i="27"/>
  <c r="KQ18" i="27"/>
  <c r="KQ19" i="27"/>
  <c r="KQ20" i="27"/>
  <c r="KQ21" i="27"/>
  <c r="KQ22" i="27"/>
  <c r="KQ23" i="27"/>
  <c r="JO4" i="27"/>
  <c r="JO5" i="27"/>
  <c r="JO6" i="27"/>
  <c r="JO7" i="27"/>
  <c r="JO8" i="27"/>
  <c r="JO9" i="27"/>
  <c r="JO10" i="27"/>
  <c r="JO11" i="27"/>
  <c r="JO12" i="27"/>
  <c r="JO13" i="27"/>
  <c r="JO14" i="27"/>
  <c r="JO15" i="27"/>
  <c r="JO16" i="27"/>
  <c r="JO17" i="27"/>
  <c r="JO18" i="27"/>
  <c r="JO19" i="27"/>
  <c r="JO20" i="27"/>
  <c r="JO21" i="27"/>
  <c r="JO22" i="27"/>
  <c r="JO23" i="27"/>
  <c r="IM4" i="27"/>
  <c r="IM5" i="27"/>
  <c r="IM6" i="27"/>
  <c r="IM7" i="27"/>
  <c r="IM8" i="27"/>
  <c r="IM9" i="27"/>
  <c r="IM10" i="27"/>
  <c r="IM11" i="27"/>
  <c r="IM12" i="27"/>
  <c r="IM13" i="27"/>
  <c r="IM14" i="27"/>
  <c r="IM15" i="27"/>
  <c r="IM16" i="27"/>
  <c r="IM17" i="27"/>
  <c r="IM18" i="27"/>
  <c r="IM19" i="27"/>
  <c r="IM20" i="27"/>
  <c r="IM21" i="27"/>
  <c r="IM22" i="27"/>
  <c r="IM23" i="27"/>
  <c r="HK4" i="27"/>
  <c r="HK5" i="27"/>
  <c r="HK6" i="27"/>
  <c r="HK7" i="27"/>
  <c r="HK8" i="27"/>
  <c r="HK9" i="27"/>
  <c r="HK10" i="27"/>
  <c r="HK11" i="27"/>
  <c r="HK12" i="27"/>
  <c r="HK13" i="27"/>
  <c r="HK14" i="27"/>
  <c r="HK15" i="27"/>
  <c r="HK16" i="27"/>
  <c r="HK17" i="27"/>
  <c r="HK18" i="27"/>
  <c r="HK19" i="27"/>
  <c r="HK20" i="27"/>
  <c r="HK21" i="27"/>
  <c r="HK22" i="27"/>
  <c r="HK23" i="27"/>
  <c r="GI4" i="27"/>
  <c r="GI5" i="27"/>
  <c r="GI6" i="27"/>
  <c r="GI7" i="27"/>
  <c r="GI8" i="27"/>
  <c r="GI9" i="27"/>
  <c r="GI10" i="27"/>
  <c r="GI11" i="27"/>
  <c r="GI12" i="27"/>
  <c r="GI13" i="27"/>
  <c r="GI14" i="27"/>
  <c r="GI15" i="27"/>
  <c r="GI16" i="27"/>
  <c r="GI17" i="27"/>
  <c r="GI18" i="27"/>
  <c r="GI19" i="27"/>
  <c r="GI20" i="27"/>
  <c r="GI21" i="27"/>
  <c r="GI22" i="27"/>
  <c r="GI23" i="27"/>
  <c r="EE4" i="27"/>
  <c r="EE5" i="27"/>
  <c r="EE6" i="27"/>
  <c r="EE7" i="27"/>
  <c r="EE8" i="27"/>
  <c r="EE9" i="27"/>
  <c r="EE10" i="27"/>
  <c r="EE11" i="27"/>
  <c r="EE12" i="27"/>
  <c r="EE13" i="27"/>
  <c r="EE14" i="27"/>
  <c r="EE15" i="27"/>
  <c r="EE16" i="27"/>
  <c r="EE17" i="27"/>
  <c r="EE18" i="27"/>
  <c r="EE19" i="27"/>
  <c r="EE20" i="27"/>
  <c r="EE21" i="27"/>
  <c r="EE22" i="27"/>
  <c r="EE23" i="27"/>
  <c r="OY4" i="26"/>
  <c r="OY5" i="26"/>
  <c r="OY6" i="26"/>
  <c r="OY7" i="26"/>
  <c r="OY8" i="26"/>
  <c r="OY9" i="26"/>
  <c r="OY10" i="26"/>
  <c r="OY11" i="26"/>
  <c r="OY12" i="26"/>
  <c r="OY13" i="26"/>
  <c r="OY14" i="26"/>
  <c r="OY15" i="26"/>
  <c r="OY16" i="26"/>
  <c r="OY17" i="26"/>
  <c r="NW4" i="26"/>
  <c r="NW5" i="26"/>
  <c r="NW6" i="26"/>
  <c r="NW7" i="26"/>
  <c r="NW8" i="26"/>
  <c r="NW9" i="26"/>
  <c r="NW10" i="26"/>
  <c r="NW11" i="26"/>
  <c r="NW12" i="26"/>
  <c r="NW13" i="26"/>
  <c r="NW14" i="26"/>
  <c r="NW15" i="26"/>
  <c r="NW16" i="26"/>
  <c r="NW17" i="26"/>
  <c r="MU4" i="26"/>
  <c r="MU5" i="26"/>
  <c r="MU6" i="26"/>
  <c r="MU7" i="26"/>
  <c r="MU8" i="26"/>
  <c r="MU9" i="26"/>
  <c r="MU10" i="26"/>
  <c r="MU11" i="26"/>
  <c r="MU12" i="26"/>
  <c r="MU13" i="26"/>
  <c r="MU14" i="26"/>
  <c r="MU15" i="26"/>
  <c r="MU16" i="26"/>
  <c r="MU17" i="26"/>
  <c r="LS4" i="26"/>
  <c r="LS5" i="26"/>
  <c r="LS6" i="26"/>
  <c r="LS7" i="26"/>
  <c r="LS8" i="26"/>
  <c r="LS9" i="26"/>
  <c r="LS10" i="26"/>
  <c r="LS11" i="26"/>
  <c r="LS12" i="26"/>
  <c r="LS13" i="26"/>
  <c r="LS14" i="26"/>
  <c r="LS15" i="26"/>
  <c r="LS16" i="26"/>
  <c r="LS17" i="26"/>
  <c r="KQ4" i="26"/>
  <c r="KQ5" i="26"/>
  <c r="KQ6" i="26"/>
  <c r="KQ7" i="26"/>
  <c r="KQ8" i="26"/>
  <c r="KQ9" i="26"/>
  <c r="KQ10" i="26"/>
  <c r="KQ11" i="26"/>
  <c r="KQ12" i="26"/>
  <c r="KQ13" i="26"/>
  <c r="KQ14" i="26"/>
  <c r="KQ15" i="26"/>
  <c r="KQ16" i="26"/>
  <c r="KQ17" i="26"/>
  <c r="JO16" i="26"/>
  <c r="JO17" i="26"/>
  <c r="IM4" i="26"/>
  <c r="IM5" i="26"/>
  <c r="IM6" i="26"/>
  <c r="IM7" i="26"/>
  <c r="IM8" i="26"/>
  <c r="IM9" i="26"/>
  <c r="IM10" i="26"/>
  <c r="IM11" i="26"/>
  <c r="IM12" i="26"/>
  <c r="IM13" i="26"/>
  <c r="IM14" i="26"/>
  <c r="IM15" i="26"/>
  <c r="IM16" i="26"/>
  <c r="IM17" i="26"/>
  <c r="HK4" i="26"/>
  <c r="HK5" i="26"/>
  <c r="HK6" i="26"/>
  <c r="HK7" i="26"/>
  <c r="HK8" i="26"/>
  <c r="HK9" i="26"/>
  <c r="HK10" i="26"/>
  <c r="HK11" i="26"/>
  <c r="HK12" i="26"/>
  <c r="HK13" i="26"/>
  <c r="HK14" i="26"/>
  <c r="HK15" i="26"/>
  <c r="HK16" i="26"/>
  <c r="HK17" i="26"/>
  <c r="GI4" i="26"/>
  <c r="GI5" i="26"/>
  <c r="GI6" i="26"/>
  <c r="GI7" i="26"/>
  <c r="GI8" i="26"/>
  <c r="GI9" i="26"/>
  <c r="GI10" i="26"/>
  <c r="GI11" i="26"/>
  <c r="GI12" i="26"/>
  <c r="GI13" i="26"/>
  <c r="GI14" i="26"/>
  <c r="GI15" i="26"/>
  <c r="GI16" i="26"/>
  <c r="GI17" i="26"/>
  <c r="FG4" i="26"/>
  <c r="FG5" i="26"/>
  <c r="FG6" i="26"/>
  <c r="FG7" i="26"/>
  <c r="FG8" i="26"/>
  <c r="FG9" i="26"/>
  <c r="FG10" i="26"/>
  <c r="FG11" i="26"/>
  <c r="FG12" i="26"/>
  <c r="FG13" i="26"/>
  <c r="FG14" i="26"/>
  <c r="FG15" i="26"/>
  <c r="FG16" i="26"/>
  <c r="FG17" i="26"/>
  <c r="EE4" i="26"/>
  <c r="EE5" i="26"/>
  <c r="EE6" i="26"/>
  <c r="EE7" i="26"/>
  <c r="EE8" i="26"/>
  <c r="EE9" i="26"/>
  <c r="EE10" i="26"/>
  <c r="EE11" i="26"/>
  <c r="EE12" i="26"/>
  <c r="EE13" i="26"/>
  <c r="EE14" i="26"/>
  <c r="EE15" i="26"/>
  <c r="EE16" i="26"/>
  <c r="EE17" i="26"/>
  <c r="BW9" i="21"/>
  <c r="AT9" i="21"/>
  <c r="BW12" i="21"/>
  <c r="DC26" i="19"/>
  <c r="P26" i="19"/>
  <c r="DF26" i="19" s="1"/>
  <c r="RE30" i="19"/>
  <c r="BZ30" i="19"/>
  <c r="DC24" i="19"/>
  <c r="QZ26" i="19"/>
  <c r="QA26" i="19"/>
  <c r="AT12" i="21"/>
  <c r="BZ20" i="21"/>
  <c r="QA26" i="21"/>
  <c r="DC26" i="21"/>
  <c r="P26" i="21"/>
  <c r="DF26" i="21" s="1"/>
  <c r="DC20" i="21"/>
  <c r="AT24" i="19"/>
  <c r="BZ26" i="19"/>
  <c r="QA5" i="26"/>
  <c r="BZ5" i="26"/>
  <c r="DC5" i="26"/>
  <c r="RA26" i="21"/>
  <c r="P20" i="21"/>
  <c r="Q20" i="21" s="1"/>
  <c r="RE26" i="21"/>
  <c r="QZ26" i="21"/>
  <c r="DC12" i="21"/>
  <c r="RB26" i="21"/>
  <c r="DC9" i="21"/>
  <c r="CZ26" i="21"/>
  <c r="L26" i="21"/>
  <c r="DD26" i="21" s="1"/>
  <c r="N26" i="21"/>
  <c r="DE26" i="21" s="1"/>
  <c r="RF26" i="21"/>
  <c r="BZ26" i="21"/>
  <c r="J26" i="21"/>
  <c r="K26" i="21" s="1"/>
  <c r="Q26" i="21"/>
  <c r="RC26" i="21"/>
  <c r="QD26" i="21"/>
  <c r="G26" i="21"/>
  <c r="F26" i="21"/>
  <c r="AW26" i="21"/>
  <c r="QA12" i="21"/>
  <c r="QA20" i="21"/>
  <c r="QA9" i="21"/>
  <c r="P9" i="21"/>
  <c r="Q9" i="21" s="1"/>
  <c r="P12" i="21"/>
  <c r="DF12" i="21" s="1"/>
  <c r="QZ9" i="21"/>
  <c r="QZ12" i="21"/>
  <c r="QZ20" i="21"/>
  <c r="RF20" i="21"/>
  <c r="RE20" i="21"/>
  <c r="CZ20" i="21"/>
  <c r="RA20" i="21"/>
  <c r="BW20" i="21"/>
  <c r="N20" i="21"/>
  <c r="DE20" i="21" s="1"/>
  <c r="L20" i="21"/>
  <c r="M20" i="21" s="1"/>
  <c r="RB20" i="21"/>
  <c r="AT20" i="21"/>
  <c r="F20" i="21"/>
  <c r="J20" i="21"/>
  <c r="K20" i="21" s="1"/>
  <c r="RC20" i="21"/>
  <c r="QD20" i="21"/>
  <c r="G20" i="21"/>
  <c r="AW20" i="21"/>
  <c r="RB12" i="21"/>
  <c r="RA12" i="21"/>
  <c r="RE12" i="21"/>
  <c r="CZ12" i="21"/>
  <c r="N12" i="21"/>
  <c r="O12" i="21" s="1"/>
  <c r="L12" i="21"/>
  <c r="M12" i="21" s="1"/>
  <c r="RF12" i="21"/>
  <c r="BZ12" i="21"/>
  <c r="J12" i="21"/>
  <c r="K12" i="21" s="1"/>
  <c r="RC12" i="21"/>
  <c r="QD12" i="21"/>
  <c r="G12" i="21"/>
  <c r="F12" i="21"/>
  <c r="AW12" i="21"/>
  <c r="RA9" i="21"/>
  <c r="RB9" i="21"/>
  <c r="CZ9" i="21"/>
  <c r="L9" i="21"/>
  <c r="M9" i="21" s="1"/>
  <c r="RE9" i="21"/>
  <c r="N9" i="21"/>
  <c r="DE9" i="21" s="1"/>
  <c r="RF9" i="21"/>
  <c r="BZ9" i="21"/>
  <c r="F9" i="21"/>
  <c r="J9" i="21"/>
  <c r="K9" i="21" s="1"/>
  <c r="RC9" i="21"/>
  <c r="QD9" i="21"/>
  <c r="G9" i="21"/>
  <c r="AW9" i="21"/>
  <c r="DC30" i="19"/>
  <c r="RF26" i="19"/>
  <c r="RC26" i="19"/>
  <c r="N26" i="19"/>
  <c r="DE26" i="19" s="1"/>
  <c r="RB26" i="19"/>
  <c r="L26" i="19"/>
  <c r="M26" i="19" s="1"/>
  <c r="RA26" i="19"/>
  <c r="F26" i="19"/>
  <c r="J26" i="19"/>
  <c r="CZ26" i="19"/>
  <c r="BW26" i="19"/>
  <c r="AT26" i="19"/>
  <c r="QD26" i="19"/>
  <c r="G26" i="19"/>
  <c r="AW26" i="19"/>
  <c r="AT17" i="19"/>
  <c r="DC17" i="19"/>
  <c r="BW24" i="19"/>
  <c r="QA24" i="19"/>
  <c r="RB24" i="19"/>
  <c r="RA24" i="19"/>
  <c r="RE24" i="19"/>
  <c r="QZ24" i="19"/>
  <c r="CZ24" i="19"/>
  <c r="N24" i="19"/>
  <c r="DE24" i="19" s="1"/>
  <c r="L24" i="19"/>
  <c r="M24" i="19" s="1"/>
  <c r="RF24" i="19"/>
  <c r="BZ24" i="19"/>
  <c r="F24" i="19"/>
  <c r="G24" i="19"/>
  <c r="J24" i="19"/>
  <c r="K24" i="19" s="1"/>
  <c r="P24" i="19"/>
  <c r="RC24" i="19"/>
  <c r="QD24" i="19"/>
  <c r="AW24" i="19"/>
  <c r="QA17" i="19"/>
  <c r="BW17" i="19"/>
  <c r="RE17" i="19"/>
  <c r="QZ17" i="19"/>
  <c r="QA30" i="19"/>
  <c r="RF30" i="19"/>
  <c r="P30" i="19"/>
  <c r="DF30" i="19" s="1"/>
  <c r="RB30" i="19"/>
  <c r="RA30" i="19"/>
  <c r="QZ30" i="19"/>
  <c r="L30" i="19"/>
  <c r="M30" i="19" s="1"/>
  <c r="N30" i="19"/>
  <c r="O30" i="19" s="1"/>
  <c r="F30" i="19"/>
  <c r="J30" i="19"/>
  <c r="K30" i="19" s="1"/>
  <c r="CZ30" i="19"/>
  <c r="BW30" i="19"/>
  <c r="AT30" i="19"/>
  <c r="RC30" i="19"/>
  <c r="QD30" i="19"/>
  <c r="G30" i="19"/>
  <c r="AW30" i="19"/>
  <c r="RB17" i="19"/>
  <c r="RA17" i="19"/>
  <c r="P17" i="19"/>
  <c r="DF17" i="19" s="1"/>
  <c r="CZ17" i="19"/>
  <c r="L17" i="19"/>
  <c r="M17" i="19" s="1"/>
  <c r="N17" i="19"/>
  <c r="DE17" i="19" s="1"/>
  <c r="RF17" i="19"/>
  <c r="BZ17" i="19"/>
  <c r="F17" i="19"/>
  <c r="J17" i="19"/>
  <c r="K17" i="19" s="1"/>
  <c r="RC17" i="19"/>
  <c r="QD17" i="19"/>
  <c r="G17" i="19"/>
  <c r="AW17" i="19"/>
  <c r="QZ5" i="26"/>
  <c r="RE5" i="26"/>
  <c r="RF5" i="26"/>
  <c r="CZ5" i="26"/>
  <c r="RB5" i="26"/>
  <c r="P5" i="26"/>
  <c r="DF5" i="26" s="1"/>
  <c r="BW5" i="26"/>
  <c r="N5" i="26"/>
  <c r="DE5" i="26" s="1"/>
  <c r="L5" i="26"/>
  <c r="M5" i="26" s="1"/>
  <c r="RA5" i="26"/>
  <c r="AT5" i="26"/>
  <c r="J5" i="26"/>
  <c r="K5" i="26" s="1"/>
  <c r="RC5" i="26"/>
  <c r="QD5" i="26"/>
  <c r="G5" i="26"/>
  <c r="F5" i="26"/>
  <c r="AW5" i="26"/>
  <c r="RG26" i="21" l="1"/>
  <c r="RD24" i="19"/>
  <c r="Q26" i="19"/>
  <c r="Q30" i="19"/>
  <c r="DF20" i="21"/>
  <c r="M26" i="21"/>
  <c r="RD26" i="21"/>
  <c r="I12" i="21"/>
  <c r="H12" i="21" s="1"/>
  <c r="RD20" i="21"/>
  <c r="RG20" i="21"/>
  <c r="I26" i="21"/>
  <c r="H26" i="21" s="1"/>
  <c r="RG12" i="21"/>
  <c r="RG26" i="19"/>
  <c r="O26" i="19"/>
  <c r="DF9" i="21"/>
  <c r="DD9" i="21"/>
  <c r="RD9" i="21"/>
  <c r="RD12" i="21"/>
  <c r="A26" i="21"/>
  <c r="O26" i="21"/>
  <c r="R26" i="21"/>
  <c r="Q12" i="21"/>
  <c r="I20" i="21"/>
  <c r="H20" i="21" s="1"/>
  <c r="O20" i="21"/>
  <c r="DD20" i="21"/>
  <c r="A20" i="21"/>
  <c r="I9" i="21"/>
  <c r="H9" i="21" s="1"/>
  <c r="RG9" i="21"/>
  <c r="DD12" i="21"/>
  <c r="DE12" i="21"/>
  <c r="A12" i="21"/>
  <c r="O9" i="21"/>
  <c r="DD26" i="19"/>
  <c r="R26" i="19" s="1"/>
  <c r="RD26" i="19"/>
  <c r="I26" i="19"/>
  <c r="H26" i="19" s="1"/>
  <c r="K26" i="19"/>
  <c r="A26" i="19"/>
  <c r="RG24" i="19"/>
  <c r="I17" i="19"/>
  <c r="H17" i="19" s="1"/>
  <c r="RG30" i="19"/>
  <c r="O24" i="19"/>
  <c r="I24" i="19"/>
  <c r="H24" i="19" s="1"/>
  <c r="A24" i="19"/>
  <c r="DD24" i="19"/>
  <c r="Q24" i="19"/>
  <c r="DF24" i="19"/>
  <c r="DD17" i="19"/>
  <c r="R17" i="19" s="1"/>
  <c r="I30" i="19"/>
  <c r="H30" i="19" s="1"/>
  <c r="RG17" i="19"/>
  <c r="DE30" i="19"/>
  <c r="RD30" i="19"/>
  <c r="DD30" i="19"/>
  <c r="A30" i="19"/>
  <c r="RD17" i="19"/>
  <c r="Q17" i="19"/>
  <c r="O17" i="19"/>
  <c r="RG5" i="26"/>
  <c r="I5" i="26"/>
  <c r="H5" i="26" s="1"/>
  <c r="RD5" i="26"/>
  <c r="DD5" i="26"/>
  <c r="R5" i="26" s="1"/>
  <c r="Q5" i="26"/>
  <c r="O5" i="26"/>
  <c r="R20" i="21" l="1"/>
  <c r="R9" i="21"/>
  <c r="T9" i="21" s="1"/>
  <c r="R12" i="21"/>
  <c r="E12" i="21" s="1"/>
  <c r="T26" i="21"/>
  <c r="S26" i="21"/>
  <c r="E26" i="21"/>
  <c r="E20" i="21"/>
  <c r="T20" i="21"/>
  <c r="S20" i="21"/>
  <c r="E9" i="21"/>
  <c r="E26" i="19"/>
  <c r="T26" i="19"/>
  <c r="S26" i="19"/>
  <c r="E17" i="19"/>
  <c r="R24" i="19"/>
  <c r="T24" i="19" s="1"/>
  <c r="R30" i="19"/>
  <c r="E30" i="19" s="1"/>
  <c r="T17" i="19"/>
  <c r="S17" i="19"/>
  <c r="T5" i="26"/>
  <c r="S5" i="26"/>
  <c r="E5" i="26"/>
  <c r="S9" i="21" l="1"/>
  <c r="S12" i="21"/>
  <c r="T12" i="21"/>
  <c r="S24" i="19"/>
  <c r="E24" i="19"/>
  <c r="T30" i="19"/>
  <c r="S30" i="19"/>
  <c r="AM7" i="22" l="1"/>
  <c r="AN7" i="22"/>
  <c r="AO7" i="22"/>
  <c r="AP7" i="22"/>
  <c r="AQ7" i="22"/>
  <c r="AR7" i="22"/>
  <c r="AT7" i="22"/>
  <c r="AU7" i="22"/>
  <c r="AV7" i="22"/>
  <c r="BN7" i="22"/>
  <c r="BO7" i="22"/>
  <c r="BP7" i="22"/>
  <c r="BQ7" i="22"/>
  <c r="BR7" i="22"/>
  <c r="BS7" i="22"/>
  <c r="BU7" i="22"/>
  <c r="BV7" i="22"/>
  <c r="BW7" i="22"/>
  <c r="CO7" i="22"/>
  <c r="CP7" i="22"/>
  <c r="CQ7" i="22"/>
  <c r="CR7" i="22"/>
  <c r="CS7" i="22"/>
  <c r="CT7" i="22"/>
  <c r="CV7" i="22"/>
  <c r="CW7" i="22"/>
  <c r="CX7" i="22"/>
  <c r="DV7" i="22"/>
  <c r="DW7" i="22"/>
  <c r="DX7" i="22"/>
  <c r="EB7" i="22" s="1"/>
  <c r="DY7" i="22"/>
  <c r="DZ7" i="22"/>
  <c r="EA7" i="22"/>
  <c r="EC7" i="22"/>
  <c r="ED7" i="22"/>
  <c r="EE7" i="22"/>
  <c r="EF7" i="22"/>
  <c r="EG7" i="22"/>
  <c r="EH7" i="22"/>
  <c r="FD7" i="22"/>
  <c r="FE7" i="22"/>
  <c r="FF7" i="22"/>
  <c r="FG7" i="22"/>
  <c r="FH7" i="22"/>
  <c r="FI7" i="22"/>
  <c r="FK7" i="22"/>
  <c r="FL7" i="22"/>
  <c r="FM7" i="22"/>
  <c r="FN7" i="22"/>
  <c r="FO7" i="22"/>
  <c r="FP7" i="22"/>
  <c r="GL7" i="22"/>
  <c r="GM7" i="22"/>
  <c r="GN7" i="22"/>
  <c r="GR7" i="22" s="1"/>
  <c r="GO7" i="22"/>
  <c r="GP7" i="22"/>
  <c r="GQ7" i="22"/>
  <c r="GS7" i="22"/>
  <c r="GT7" i="22"/>
  <c r="GU7" i="22"/>
  <c r="GV7" i="22"/>
  <c r="GW7" i="22"/>
  <c r="GX7" i="22"/>
  <c r="HT7" i="22"/>
  <c r="HU7" i="22"/>
  <c r="HV7" i="22"/>
  <c r="HW7" i="22"/>
  <c r="HX7" i="22"/>
  <c r="HY7" i="22"/>
  <c r="HZ7" i="22"/>
  <c r="IA7" i="22"/>
  <c r="IB7" i="22"/>
  <c r="IC7" i="22"/>
  <c r="ID7" i="22"/>
  <c r="IE7" i="22"/>
  <c r="IF7" i="22"/>
  <c r="JB7" i="22"/>
  <c r="JC7" i="22"/>
  <c r="JD7" i="22"/>
  <c r="JH7" i="22" s="1"/>
  <c r="JE7" i="22"/>
  <c r="JF7" i="22"/>
  <c r="JG7" i="22"/>
  <c r="JI7" i="22"/>
  <c r="JJ7" i="22"/>
  <c r="JK7" i="22"/>
  <c r="JL7" i="22"/>
  <c r="JM7" i="22"/>
  <c r="JN7" i="22"/>
  <c r="KJ7" i="22"/>
  <c r="KK7" i="22"/>
  <c r="KL7" i="22"/>
  <c r="KM7" i="22"/>
  <c r="KN7" i="22"/>
  <c r="KO7" i="22"/>
  <c r="KQ7" i="22"/>
  <c r="KR7" i="22"/>
  <c r="KS7" i="22"/>
  <c r="KT7" i="22"/>
  <c r="KU7" i="22"/>
  <c r="KV7" i="22"/>
  <c r="LR7" i="22"/>
  <c r="LS7" i="22"/>
  <c r="LT7" i="22"/>
  <c r="LX7" i="22" s="1"/>
  <c r="LU7" i="22"/>
  <c r="LV7" i="22"/>
  <c r="LW7" i="22"/>
  <c r="LY7" i="22"/>
  <c r="LZ7" i="22"/>
  <c r="MA7" i="22"/>
  <c r="MB7" i="22"/>
  <c r="MC7" i="22"/>
  <c r="MD7" i="22"/>
  <c r="MZ7" i="22"/>
  <c r="NA7" i="22"/>
  <c r="NB7" i="22"/>
  <c r="NC7" i="22"/>
  <c r="ND7" i="22"/>
  <c r="NE7" i="22"/>
  <c r="NG7" i="22"/>
  <c r="NH7" i="22"/>
  <c r="NI7" i="22"/>
  <c r="NJ7" i="22"/>
  <c r="NK7" i="22"/>
  <c r="NL7" i="22"/>
  <c r="OH7" i="22"/>
  <c r="OI7" i="22"/>
  <c r="OJ7" i="22"/>
  <c r="ON7" i="22" s="1"/>
  <c r="OK7" i="22"/>
  <c r="OL7" i="22"/>
  <c r="OM7" i="22"/>
  <c r="OO7" i="22"/>
  <c r="OP7" i="22"/>
  <c r="OQ7" i="22"/>
  <c r="OR7" i="22"/>
  <c r="OS7" i="22"/>
  <c r="OT7" i="22"/>
  <c r="PP7" i="22"/>
  <c r="PQ7" i="22"/>
  <c r="PR7" i="22"/>
  <c r="PS7" i="22"/>
  <c r="PT7" i="22"/>
  <c r="PU7" i="22"/>
  <c r="PW7" i="22"/>
  <c r="PX7" i="22"/>
  <c r="PY7" i="22"/>
  <c r="PZ7" i="22"/>
  <c r="QA7" i="22"/>
  <c r="QB7" i="22"/>
  <c r="QX7" i="22"/>
  <c r="QY7" i="22"/>
  <c r="QZ7" i="22"/>
  <c r="RA7" i="22"/>
  <c r="RB7" i="22"/>
  <c r="RC7" i="22"/>
  <c r="RE7" i="22"/>
  <c r="RF7" i="22"/>
  <c r="RG7" i="22"/>
  <c r="RH7" i="22"/>
  <c r="RI7" i="22"/>
  <c r="RJ7" i="22"/>
  <c r="SF7" i="22"/>
  <c r="SG7" i="22"/>
  <c r="SH7" i="22"/>
  <c r="SI7" i="22"/>
  <c r="SJ7" i="22"/>
  <c r="SK7" i="22"/>
  <c r="SM7" i="22"/>
  <c r="SN7" i="22"/>
  <c r="SO7" i="22"/>
  <c r="SP7" i="22"/>
  <c r="SQ7" i="22"/>
  <c r="SR7" i="22"/>
  <c r="ST7" i="22"/>
  <c r="SU7" i="22"/>
  <c r="SV7" i="22"/>
  <c r="TJ7" i="22" s="1"/>
  <c r="SW7" i="22"/>
  <c r="TK7" i="22" s="1"/>
  <c r="SX7" i="22"/>
  <c r="SY7" i="22"/>
  <c r="SZ7" i="22"/>
  <c r="TA7" i="22"/>
  <c r="TM7" i="22" s="1"/>
  <c r="TB7" i="22"/>
  <c r="TN7" i="22" s="1"/>
  <c r="TC7" i="22"/>
  <c r="TD7" i="22"/>
  <c r="TE7" i="22"/>
  <c r="TF7" i="22"/>
  <c r="TQ7" i="22" s="1"/>
  <c r="TG7" i="22"/>
  <c r="TR7" i="22" s="1"/>
  <c r="TH7" i="22"/>
  <c r="AM6" i="22"/>
  <c r="AN6" i="22"/>
  <c r="AO6" i="22"/>
  <c r="AP6" i="22"/>
  <c r="AQ6" i="22"/>
  <c r="AR6" i="22"/>
  <c r="AT6" i="22"/>
  <c r="AU6" i="22"/>
  <c r="AV6" i="22"/>
  <c r="BN6" i="22"/>
  <c r="BO6" i="22"/>
  <c r="BP6" i="22"/>
  <c r="BT6" i="22" s="1"/>
  <c r="BQ6" i="22"/>
  <c r="BR6" i="22"/>
  <c r="BS6" i="22"/>
  <c r="BU6" i="22"/>
  <c r="BV6" i="22"/>
  <c r="BW6" i="22"/>
  <c r="CO6" i="22"/>
  <c r="CP6" i="22"/>
  <c r="CQ6" i="22"/>
  <c r="CR6" i="22"/>
  <c r="CS6" i="22"/>
  <c r="CT6" i="22"/>
  <c r="CV6" i="22"/>
  <c r="CW6" i="22"/>
  <c r="CX6" i="22"/>
  <c r="DV6" i="22"/>
  <c r="DW6" i="22"/>
  <c r="DX6" i="22"/>
  <c r="DY6" i="22"/>
  <c r="DZ6" i="22"/>
  <c r="EA6" i="22"/>
  <c r="EC6" i="22"/>
  <c r="ED6" i="22"/>
  <c r="EE6" i="22"/>
  <c r="EF6" i="22"/>
  <c r="EG6" i="22"/>
  <c r="EH6" i="22"/>
  <c r="FD6" i="22"/>
  <c r="FE6" i="22"/>
  <c r="FF6" i="22"/>
  <c r="FG6" i="22"/>
  <c r="FH6" i="22"/>
  <c r="FI6" i="22"/>
  <c r="FK6" i="22"/>
  <c r="FL6" i="22"/>
  <c r="FM6" i="22"/>
  <c r="FN6" i="22"/>
  <c r="FO6" i="22"/>
  <c r="FP6" i="22"/>
  <c r="GL6" i="22"/>
  <c r="GM6" i="22"/>
  <c r="GN6" i="22"/>
  <c r="GO6" i="22"/>
  <c r="GP6" i="22"/>
  <c r="GQ6" i="22"/>
  <c r="GS6" i="22"/>
  <c r="GT6" i="22"/>
  <c r="GU6" i="22"/>
  <c r="GV6" i="22"/>
  <c r="GW6" i="22"/>
  <c r="GX6" i="22"/>
  <c r="HT6" i="22"/>
  <c r="HU6" i="22"/>
  <c r="HV6" i="22"/>
  <c r="HW6" i="22"/>
  <c r="HX6" i="22"/>
  <c r="HY6" i="22"/>
  <c r="IA6" i="22"/>
  <c r="IB6" i="22"/>
  <c r="IC6" i="22"/>
  <c r="ID6" i="22"/>
  <c r="IE6" i="22"/>
  <c r="IF6" i="22"/>
  <c r="JB6" i="22"/>
  <c r="JC6" i="22"/>
  <c r="JD6" i="22"/>
  <c r="JE6" i="22"/>
  <c r="JF6" i="22"/>
  <c r="JG6" i="22"/>
  <c r="JI6" i="22"/>
  <c r="JJ6" i="22"/>
  <c r="JK6" i="22"/>
  <c r="JL6" i="22"/>
  <c r="JM6" i="22"/>
  <c r="JN6" i="22"/>
  <c r="KJ6" i="22"/>
  <c r="KK6" i="22"/>
  <c r="KL6" i="22"/>
  <c r="KM6" i="22"/>
  <c r="KN6" i="22"/>
  <c r="KO6" i="22"/>
  <c r="KQ6" i="22"/>
  <c r="KR6" i="22"/>
  <c r="KS6" i="22"/>
  <c r="KT6" i="22"/>
  <c r="KU6" i="22"/>
  <c r="KV6" i="22"/>
  <c r="LR6" i="22"/>
  <c r="LS6" i="22"/>
  <c r="LT6" i="22"/>
  <c r="LU6" i="22"/>
  <c r="LV6" i="22"/>
  <c r="LW6" i="22"/>
  <c r="LY6" i="22"/>
  <c r="LZ6" i="22"/>
  <c r="MA6" i="22"/>
  <c r="MB6" i="22"/>
  <c r="MC6" i="22"/>
  <c r="MD6" i="22"/>
  <c r="MZ6" i="22"/>
  <c r="NA6" i="22"/>
  <c r="NB6" i="22"/>
  <c r="NC6" i="22"/>
  <c r="ND6" i="22"/>
  <c r="NE6" i="22"/>
  <c r="NG6" i="22"/>
  <c r="NH6" i="22"/>
  <c r="NI6" i="22"/>
  <c r="NJ6" i="22"/>
  <c r="NK6" i="22"/>
  <c r="NL6" i="22"/>
  <c r="OH6" i="22"/>
  <c r="OI6" i="22"/>
  <c r="OJ6" i="22"/>
  <c r="OK6" i="22"/>
  <c r="OL6" i="22"/>
  <c r="OM6" i="22"/>
  <c r="OO6" i="22"/>
  <c r="OP6" i="22"/>
  <c r="OQ6" i="22"/>
  <c r="OR6" i="22"/>
  <c r="OS6" i="22"/>
  <c r="OT6" i="22"/>
  <c r="PP6" i="22"/>
  <c r="PQ6" i="22"/>
  <c r="PR6" i="22"/>
  <c r="PS6" i="22"/>
  <c r="PT6" i="22"/>
  <c r="PU6" i="22"/>
  <c r="PW6" i="22"/>
  <c r="PX6" i="22"/>
  <c r="PY6" i="22"/>
  <c r="PZ6" i="22"/>
  <c r="QA6" i="22"/>
  <c r="QB6" i="22"/>
  <c r="QX6" i="22"/>
  <c r="QY6" i="22"/>
  <c r="QZ6" i="22"/>
  <c r="RA6" i="22"/>
  <c r="RB6" i="22"/>
  <c r="RC6" i="22"/>
  <c r="RE6" i="22"/>
  <c r="RF6" i="22"/>
  <c r="RG6" i="22"/>
  <c r="RH6" i="22"/>
  <c r="RI6" i="22"/>
  <c r="RJ6" i="22"/>
  <c r="SF6" i="22"/>
  <c r="SG6" i="22"/>
  <c r="SH6" i="22"/>
  <c r="SI6" i="22"/>
  <c r="SJ6" i="22"/>
  <c r="SK6" i="22"/>
  <c r="SM6" i="22"/>
  <c r="SN6" i="22"/>
  <c r="SO6" i="22"/>
  <c r="SP6" i="22"/>
  <c r="SQ6" i="22"/>
  <c r="SR6" i="22"/>
  <c r="ST6" i="22"/>
  <c r="SU6" i="22"/>
  <c r="SV6" i="22"/>
  <c r="TJ6" i="22" s="1"/>
  <c r="SW6" i="22"/>
  <c r="TK6" i="22" s="1"/>
  <c r="SX6" i="22"/>
  <c r="SY6" i="22"/>
  <c r="SZ6" i="22"/>
  <c r="TA6" i="22"/>
  <c r="TM6" i="22" s="1"/>
  <c r="TB6" i="22"/>
  <c r="TN6" i="22" s="1"/>
  <c r="TC6" i="22"/>
  <c r="TD6" i="22"/>
  <c r="TE6" i="22"/>
  <c r="TF6" i="22"/>
  <c r="TQ6" i="22" s="1"/>
  <c r="TG6" i="22"/>
  <c r="TR6" i="22" s="1"/>
  <c r="TH6" i="22"/>
  <c r="AM8" i="4"/>
  <c r="AN8" i="4"/>
  <c r="AO8" i="4"/>
  <c r="AP8" i="4"/>
  <c r="AQ8" i="4"/>
  <c r="AR8" i="4"/>
  <c r="AT8" i="4"/>
  <c r="AU8" i="4"/>
  <c r="AV8" i="4"/>
  <c r="BN8" i="4"/>
  <c r="BO8" i="4"/>
  <c r="BP8" i="4"/>
  <c r="BT8" i="4" s="1"/>
  <c r="BQ8" i="4"/>
  <c r="BR8" i="4"/>
  <c r="BS8" i="4"/>
  <c r="BU8" i="4"/>
  <c r="BV8" i="4"/>
  <c r="BW8" i="4"/>
  <c r="CO8" i="4"/>
  <c r="CP8" i="4"/>
  <c r="CQ8" i="4"/>
  <c r="CR8" i="4"/>
  <c r="CS8" i="4"/>
  <c r="CT8" i="4"/>
  <c r="CV8" i="4"/>
  <c r="CW8" i="4"/>
  <c r="CX8" i="4"/>
  <c r="DV8" i="4"/>
  <c r="DW8" i="4"/>
  <c r="DX8" i="4"/>
  <c r="DY8" i="4"/>
  <c r="DZ8" i="4"/>
  <c r="EA8" i="4"/>
  <c r="EC8" i="4"/>
  <c r="ED8" i="4"/>
  <c r="EE8" i="4"/>
  <c r="EF8" i="4"/>
  <c r="EG8" i="4"/>
  <c r="EH8" i="4"/>
  <c r="FD8" i="4"/>
  <c r="FE8" i="4"/>
  <c r="FF8" i="4"/>
  <c r="FG8" i="4"/>
  <c r="FH8" i="4"/>
  <c r="FI8" i="4"/>
  <c r="FK8" i="4"/>
  <c r="FL8" i="4"/>
  <c r="FM8" i="4"/>
  <c r="FN8" i="4"/>
  <c r="FO8" i="4"/>
  <c r="FP8" i="4"/>
  <c r="GL8" i="4"/>
  <c r="GM8" i="4"/>
  <c r="GN8" i="4"/>
  <c r="GO8" i="4"/>
  <c r="GP8" i="4"/>
  <c r="GQ8" i="4"/>
  <c r="GS8" i="4"/>
  <c r="GT8" i="4"/>
  <c r="GU8" i="4"/>
  <c r="GV8" i="4"/>
  <c r="GW8" i="4"/>
  <c r="GX8" i="4"/>
  <c r="HT8" i="4"/>
  <c r="HU8" i="4"/>
  <c r="HV8" i="4"/>
  <c r="HW8" i="4"/>
  <c r="HX8" i="4"/>
  <c r="HY8" i="4"/>
  <c r="IA8" i="4"/>
  <c r="IB8" i="4"/>
  <c r="IC8" i="4"/>
  <c r="ID8" i="4"/>
  <c r="IE8" i="4"/>
  <c r="IF8" i="4"/>
  <c r="JB8" i="4"/>
  <c r="JC8" i="4"/>
  <c r="JD8" i="4"/>
  <c r="JE8" i="4"/>
  <c r="JF8" i="4"/>
  <c r="JG8" i="4"/>
  <c r="JI8" i="4"/>
  <c r="JJ8" i="4"/>
  <c r="JK8" i="4"/>
  <c r="JL8" i="4"/>
  <c r="JM8" i="4"/>
  <c r="JN8" i="4"/>
  <c r="KJ8" i="4"/>
  <c r="KK8" i="4"/>
  <c r="KL8" i="4"/>
  <c r="KM8" i="4"/>
  <c r="KN8" i="4"/>
  <c r="KO8" i="4"/>
  <c r="KQ8" i="4"/>
  <c r="KR8" i="4"/>
  <c r="KS8" i="4"/>
  <c r="KT8" i="4"/>
  <c r="KU8" i="4"/>
  <c r="KV8" i="4"/>
  <c r="LR8" i="4"/>
  <c r="LS8" i="4"/>
  <c r="LT8" i="4"/>
  <c r="LU8" i="4"/>
  <c r="LV8" i="4"/>
  <c r="LW8" i="4"/>
  <c r="LY8" i="4"/>
  <c r="LZ8" i="4"/>
  <c r="MA8" i="4"/>
  <c r="MB8" i="4"/>
  <c r="MC8" i="4"/>
  <c r="MD8" i="4"/>
  <c r="MZ8" i="4"/>
  <c r="NA8" i="4"/>
  <c r="NB8" i="4"/>
  <c r="NC8" i="4"/>
  <c r="ND8" i="4"/>
  <c r="NE8" i="4"/>
  <c r="NG8" i="4"/>
  <c r="NH8" i="4"/>
  <c r="NI8" i="4"/>
  <c r="NJ8" i="4"/>
  <c r="NK8" i="4"/>
  <c r="NL8" i="4"/>
  <c r="OH8" i="4"/>
  <c r="OI8" i="4"/>
  <c r="OJ8" i="4"/>
  <c r="OK8" i="4"/>
  <c r="OL8" i="4"/>
  <c r="OM8" i="4"/>
  <c r="OO8" i="4"/>
  <c r="OP8" i="4"/>
  <c r="OQ8" i="4"/>
  <c r="OR8" i="4"/>
  <c r="OS8" i="4"/>
  <c r="OT8" i="4"/>
  <c r="PP8" i="4"/>
  <c r="PQ8" i="4"/>
  <c r="PR8" i="4"/>
  <c r="PS8" i="4"/>
  <c r="PT8" i="4"/>
  <c r="PU8" i="4"/>
  <c r="PW8" i="4"/>
  <c r="PX8" i="4"/>
  <c r="PY8" i="4"/>
  <c r="PZ8" i="4"/>
  <c r="QA8" i="4"/>
  <c r="QB8" i="4"/>
  <c r="QX8" i="4"/>
  <c r="QY8" i="4"/>
  <c r="QZ8" i="4"/>
  <c r="RA8" i="4"/>
  <c r="RB8" i="4"/>
  <c r="RC8" i="4"/>
  <c r="RE8" i="4"/>
  <c r="RF8" i="4"/>
  <c r="RG8" i="4"/>
  <c r="RH8" i="4"/>
  <c r="RI8" i="4"/>
  <c r="RJ8" i="4"/>
  <c r="SF8" i="4"/>
  <c r="SG8" i="4"/>
  <c r="SH8" i="4"/>
  <c r="SI8" i="4"/>
  <c r="SJ8" i="4"/>
  <c r="SK8" i="4"/>
  <c r="SM8" i="4"/>
  <c r="SN8" i="4"/>
  <c r="SO8" i="4"/>
  <c r="SP8" i="4"/>
  <c r="SQ8" i="4"/>
  <c r="SR8" i="4"/>
  <c r="ST8" i="4"/>
  <c r="SU8" i="4"/>
  <c r="SV8" i="4"/>
  <c r="TJ8" i="4" s="1"/>
  <c r="SW8" i="4"/>
  <c r="TK8" i="4" s="1"/>
  <c r="SX8" i="4"/>
  <c r="SY8" i="4"/>
  <c r="SZ8" i="4"/>
  <c r="TA8" i="4"/>
  <c r="TM8" i="4" s="1"/>
  <c r="TB8" i="4"/>
  <c r="TN8" i="4" s="1"/>
  <c r="TC8" i="4"/>
  <c r="TD8" i="4"/>
  <c r="TE8" i="4"/>
  <c r="TF8" i="4"/>
  <c r="TQ8" i="4" s="1"/>
  <c r="TG8" i="4"/>
  <c r="TR8" i="4" s="1"/>
  <c r="TH8" i="4"/>
  <c r="IG7" i="22" l="1"/>
  <c r="NF7" i="22"/>
  <c r="NM7" i="22" s="1"/>
  <c r="OU7" i="22"/>
  <c r="NF6" i="22"/>
  <c r="NM6" i="22" s="1"/>
  <c r="HZ6" i="22"/>
  <c r="IG6" i="22" s="1"/>
  <c r="CU8" i="4"/>
  <c r="CY8" i="4" s="1"/>
  <c r="BX8" i="4"/>
  <c r="ON6" i="22"/>
  <c r="OU6" i="22" s="1"/>
  <c r="EI7" i="22"/>
  <c r="JO7" i="22"/>
  <c r="SL7" i="22"/>
  <c r="SS7" i="22" s="1"/>
  <c r="PV7" i="22"/>
  <c r="QC7" i="22" s="1"/>
  <c r="CU7" i="22"/>
  <c r="CY7" i="22" s="1"/>
  <c r="GR6" i="22"/>
  <c r="GY6" i="22" s="1"/>
  <c r="BT7" i="22"/>
  <c r="BX7" i="22" s="1"/>
  <c r="LX6" i="22"/>
  <c r="ME6" i="22" s="1"/>
  <c r="CU6" i="22"/>
  <c r="CY6" i="22" s="1"/>
  <c r="ME7" i="22"/>
  <c r="JH6" i="22"/>
  <c r="JO6" i="22" s="1"/>
  <c r="SL6" i="22"/>
  <c r="SS6" i="22" s="1"/>
  <c r="PV6" i="22"/>
  <c r="HZ8" i="4"/>
  <c r="SL8" i="4"/>
  <c r="SS8" i="4" s="1"/>
  <c r="NF8" i="4"/>
  <c r="NM8" i="4" s="1"/>
  <c r="IG8" i="4"/>
  <c r="RD8" i="4"/>
  <c r="RK8" i="4" s="1"/>
  <c r="LX8" i="4"/>
  <c r="ME8" i="4" s="1"/>
  <c r="JH8" i="4"/>
  <c r="JO8" i="4" s="1"/>
  <c r="GR8" i="4"/>
  <c r="GY8" i="4" s="1"/>
  <c r="EB8" i="4"/>
  <c r="EI8" i="4" s="1"/>
  <c r="BX6" i="22"/>
  <c r="TO7" i="22"/>
  <c r="RD7" i="22"/>
  <c r="RK7" i="22" s="1"/>
  <c r="KP7" i="22"/>
  <c r="KW7" i="22" s="1"/>
  <c r="GY7" i="22"/>
  <c r="FJ7" i="22"/>
  <c r="FQ7" i="22" s="1"/>
  <c r="TL7" i="22"/>
  <c r="TS7" i="22"/>
  <c r="I7" i="22"/>
  <c r="L7" i="22"/>
  <c r="M7" i="22" s="1"/>
  <c r="R7" i="22"/>
  <c r="S7" i="22" s="1"/>
  <c r="F7" i="22"/>
  <c r="J7" i="22"/>
  <c r="N7" i="22"/>
  <c r="G7" i="22"/>
  <c r="AS7" i="22"/>
  <c r="AW7" i="22" s="1"/>
  <c r="P7" i="22"/>
  <c r="Q7" i="22" s="1"/>
  <c r="TL6" i="22"/>
  <c r="RD6" i="22"/>
  <c r="RK6" i="22" s="1"/>
  <c r="QC6" i="22"/>
  <c r="KP6" i="22"/>
  <c r="KW6" i="22" s="1"/>
  <c r="FJ6" i="22"/>
  <c r="FQ6" i="22" s="1"/>
  <c r="EB6" i="22"/>
  <c r="EI6" i="22" s="1"/>
  <c r="TS6" i="22"/>
  <c r="TO6" i="22"/>
  <c r="L6" i="22"/>
  <c r="M6" i="22" s="1"/>
  <c r="R6" i="22"/>
  <c r="S6" i="22" s="1"/>
  <c r="F6" i="22"/>
  <c r="J6" i="22"/>
  <c r="I6" i="22"/>
  <c r="P6" i="22"/>
  <c r="Q6" i="22" s="1"/>
  <c r="G6" i="22"/>
  <c r="N6" i="22"/>
  <c r="AS6" i="22"/>
  <c r="AW6" i="22" s="1"/>
  <c r="PV8" i="4"/>
  <c r="QC8" i="4" s="1"/>
  <c r="ON8" i="4"/>
  <c r="OU8" i="4" s="1"/>
  <c r="KP8" i="4"/>
  <c r="KW8" i="4" s="1"/>
  <c r="FJ8" i="4"/>
  <c r="FQ8" i="4" s="1"/>
  <c r="TO8" i="4"/>
  <c r="TL8" i="4"/>
  <c r="TS8" i="4"/>
  <c r="L8" i="4"/>
  <c r="M8" i="4" s="1"/>
  <c r="R8" i="4"/>
  <c r="S8" i="4" s="1"/>
  <c r="J8" i="4"/>
  <c r="F8" i="4"/>
  <c r="I8" i="4"/>
  <c r="P8" i="4"/>
  <c r="Q8" i="4" s="1"/>
  <c r="G8" i="4"/>
  <c r="N8" i="4"/>
  <c r="AS8" i="4"/>
  <c r="AW8" i="4" s="1"/>
  <c r="K6" i="22" l="1"/>
  <c r="K7" i="22"/>
  <c r="TP8" i="4"/>
  <c r="K8" i="4"/>
  <c r="TP7" i="22"/>
  <c r="TT7" i="22" s="1"/>
  <c r="TP6" i="22"/>
  <c r="TT6" i="22" s="1"/>
  <c r="H7" i="22"/>
  <c r="O7" i="22"/>
  <c r="DA7" i="22"/>
  <c r="CZ7" i="22"/>
  <c r="H6" i="22"/>
  <c r="O6" i="22"/>
  <c r="DA6" i="22"/>
  <c r="CZ6" i="22"/>
  <c r="CZ8" i="4"/>
  <c r="TT8" i="4"/>
  <c r="H8" i="4"/>
  <c r="O8" i="4"/>
  <c r="DA8" i="4"/>
  <c r="T8" i="4" l="1"/>
  <c r="E8" i="4" s="1"/>
  <c r="T7" i="22"/>
  <c r="U7" i="22" s="1"/>
  <c r="T6" i="22"/>
  <c r="E6" i="22" s="1"/>
  <c r="V7" i="22"/>
  <c r="V6" i="22" l="1"/>
  <c r="E7" i="22"/>
  <c r="U6" i="22"/>
  <c r="U8" i="4"/>
  <c r="V8" i="4"/>
  <c r="AP13" i="27"/>
  <c r="AQ13" i="27"/>
  <c r="AR13" i="27"/>
  <c r="AS13" i="27"/>
  <c r="AU13" i="27"/>
  <c r="AV13" i="27"/>
  <c r="BS13" i="27"/>
  <c r="BT13" i="27"/>
  <c r="BU13" i="27"/>
  <c r="BV13" i="27"/>
  <c r="BX13" i="27"/>
  <c r="BY13" i="27"/>
  <c r="CV13" i="27"/>
  <c r="CW13" i="27"/>
  <c r="CX13" i="27"/>
  <c r="CY13" i="27"/>
  <c r="DA13" i="27"/>
  <c r="DB13" i="27"/>
  <c r="PW13" i="27"/>
  <c r="PX13" i="27"/>
  <c r="PY13" i="27"/>
  <c r="PZ13" i="27"/>
  <c r="QB13" i="27"/>
  <c r="QC13" i="27"/>
  <c r="QE13" i="27"/>
  <c r="QF13" i="27"/>
  <c r="QG13" i="27"/>
  <c r="QH13" i="27"/>
  <c r="QI13" i="27"/>
  <c r="QJ13" i="27"/>
  <c r="QK13" i="27"/>
  <c r="QL13" i="27"/>
  <c r="QM13" i="27"/>
  <c r="QN13" i="27"/>
  <c r="QO13" i="27"/>
  <c r="QP13" i="27"/>
  <c r="QQ13" i="27"/>
  <c r="QR13" i="27"/>
  <c r="QS13" i="27"/>
  <c r="QT13" i="27"/>
  <c r="QU13" i="27"/>
  <c r="QV13" i="27"/>
  <c r="QW13" i="27"/>
  <c r="QX13" i="27"/>
  <c r="AP4" i="27"/>
  <c r="AQ4" i="27"/>
  <c r="AR4" i="27"/>
  <c r="AS4" i="27"/>
  <c r="AU4" i="27"/>
  <c r="AV4" i="27"/>
  <c r="BS4" i="27"/>
  <c r="BT4" i="27"/>
  <c r="BU4" i="27"/>
  <c r="BV4" i="27"/>
  <c r="BX4" i="27"/>
  <c r="BY4" i="27"/>
  <c r="CV4" i="27"/>
  <c r="CW4" i="27"/>
  <c r="CX4" i="27"/>
  <c r="CY4" i="27"/>
  <c r="DA4" i="27"/>
  <c r="DB4" i="27"/>
  <c r="PW4" i="27"/>
  <c r="PX4" i="27"/>
  <c r="PY4" i="27"/>
  <c r="PZ4" i="27"/>
  <c r="QB4" i="27"/>
  <c r="QC4" i="27"/>
  <c r="QE4" i="27"/>
  <c r="QF4" i="27"/>
  <c r="QG4" i="27"/>
  <c r="QH4" i="27"/>
  <c r="QI4" i="27"/>
  <c r="QJ4" i="27"/>
  <c r="QK4" i="27"/>
  <c r="QL4" i="27"/>
  <c r="QM4" i="27"/>
  <c r="QN4" i="27"/>
  <c r="QO4" i="27"/>
  <c r="QP4" i="27"/>
  <c r="QQ4" i="27"/>
  <c r="QR4" i="27"/>
  <c r="QS4" i="27"/>
  <c r="QT4" i="27"/>
  <c r="QU4" i="27"/>
  <c r="QV4" i="27"/>
  <c r="QW4" i="27"/>
  <c r="QX4" i="27"/>
  <c r="DC13" i="27" l="1"/>
  <c r="BW4" i="27"/>
  <c r="QA13" i="27"/>
  <c r="AT13" i="27"/>
  <c r="BW13" i="27"/>
  <c r="DC4" i="27"/>
  <c r="QZ13" i="27"/>
  <c r="RE4" i="27"/>
  <c r="QZ4" i="27"/>
  <c r="N13" i="27"/>
  <c r="DE13" i="27" s="1"/>
  <c r="QA4" i="27"/>
  <c r="AT4" i="27"/>
  <c r="RB13" i="27"/>
  <c r="RA13" i="27"/>
  <c r="RD13" i="27" s="1"/>
  <c r="P13" i="27"/>
  <c r="DF13" i="27" s="1"/>
  <c r="RE13" i="27"/>
  <c r="CZ13" i="27"/>
  <c r="L13" i="27"/>
  <c r="DD13" i="27" s="1"/>
  <c r="RF13" i="27"/>
  <c r="BZ13" i="27"/>
  <c r="F13" i="27"/>
  <c r="J13" i="27"/>
  <c r="K13" i="27" s="1"/>
  <c r="O13" i="27"/>
  <c r="RC13" i="27"/>
  <c r="QD13" i="27"/>
  <c r="G13" i="27"/>
  <c r="AW13" i="27"/>
  <c r="P4" i="27"/>
  <c r="Q4" i="27" s="1"/>
  <c r="RA4" i="27"/>
  <c r="RB4" i="27"/>
  <c r="CZ4" i="27"/>
  <c r="L4" i="27"/>
  <c r="M4" i="27" s="1"/>
  <c r="N4" i="27"/>
  <c r="DE4" i="27" s="1"/>
  <c r="RF4" i="27"/>
  <c r="BZ4" i="27"/>
  <c r="F4" i="27"/>
  <c r="J4" i="27"/>
  <c r="K4" i="27" s="1"/>
  <c r="RC4" i="27"/>
  <c r="QD4" i="27"/>
  <c r="G4" i="27"/>
  <c r="AW4" i="27"/>
  <c r="DF4" i="27" l="1"/>
  <c r="RD4" i="27"/>
  <c r="Q13" i="27"/>
  <c r="RG13" i="27"/>
  <c r="I13" i="27"/>
  <c r="H13" i="27" s="1"/>
  <c r="RG4" i="27"/>
  <c r="M13" i="27"/>
  <c r="R13" i="27"/>
  <c r="O4" i="27"/>
  <c r="DD4" i="27"/>
  <c r="I4" i="27"/>
  <c r="H4" i="27" s="1"/>
  <c r="R4" i="27" l="1"/>
  <c r="T13" i="27"/>
  <c r="S13" i="27"/>
  <c r="E13" i="27"/>
  <c r="T4" i="27"/>
  <c r="S4" i="27"/>
  <c r="E4" i="27"/>
  <c r="AP22" i="27" l="1"/>
  <c r="AQ22" i="27"/>
  <c r="AR22" i="27"/>
  <c r="AT22" i="27" s="1"/>
  <c r="AS22" i="27"/>
  <c r="AU22" i="27"/>
  <c r="AV22" i="27"/>
  <c r="BS22" i="27"/>
  <c r="BT22" i="27"/>
  <c r="BW22" i="27" s="1"/>
  <c r="BU22" i="27"/>
  <c r="BV22" i="27"/>
  <c r="BX22" i="27"/>
  <c r="BY22" i="27"/>
  <c r="CV22" i="27"/>
  <c r="CW22" i="27"/>
  <c r="DC22" i="27" s="1"/>
  <c r="CX22" i="27"/>
  <c r="CY22" i="27"/>
  <c r="DA22" i="27"/>
  <c r="DB22" i="27"/>
  <c r="PW22" i="27"/>
  <c r="PX22" i="27"/>
  <c r="PY22" i="27"/>
  <c r="PZ22" i="27"/>
  <c r="QB22" i="27"/>
  <c r="QC22" i="27"/>
  <c r="QE22" i="27"/>
  <c r="QF22" i="27"/>
  <c r="QG22" i="27"/>
  <c r="QH22" i="27"/>
  <c r="QI22" i="27"/>
  <c r="QJ22" i="27"/>
  <c r="QK22" i="27"/>
  <c r="QL22" i="27"/>
  <c r="QM22" i="27"/>
  <c r="QN22" i="27"/>
  <c r="QO22" i="27"/>
  <c r="QP22" i="27"/>
  <c r="QQ22" i="27"/>
  <c r="QR22" i="27"/>
  <c r="QS22" i="27"/>
  <c r="QT22" i="27"/>
  <c r="QU22" i="27"/>
  <c r="QV22" i="27"/>
  <c r="QW22" i="27"/>
  <c r="QX22" i="27"/>
  <c r="AP11" i="26"/>
  <c r="AQ11" i="26"/>
  <c r="AR11" i="26"/>
  <c r="AS11" i="26"/>
  <c r="AU11" i="26"/>
  <c r="AV11" i="26"/>
  <c r="BS11" i="26"/>
  <c r="BT11" i="26"/>
  <c r="BU11" i="26"/>
  <c r="BV11" i="26"/>
  <c r="BX11" i="26"/>
  <c r="BY11" i="26"/>
  <c r="CV11" i="26"/>
  <c r="CW11" i="26"/>
  <c r="CX11" i="26"/>
  <c r="CY11" i="26"/>
  <c r="DA11" i="26"/>
  <c r="DB11" i="26"/>
  <c r="PW11" i="26"/>
  <c r="PX11" i="26"/>
  <c r="PY11" i="26"/>
  <c r="PZ11" i="26"/>
  <c r="QB11" i="26"/>
  <c r="QC11" i="26"/>
  <c r="QE11" i="26"/>
  <c r="QF11" i="26"/>
  <c r="QG11" i="26"/>
  <c r="QH11" i="26"/>
  <c r="QI11" i="26"/>
  <c r="QJ11" i="26"/>
  <c r="QK11" i="26"/>
  <c r="QL11" i="26"/>
  <c r="QM11" i="26"/>
  <c r="QN11" i="26"/>
  <c r="QO11" i="26"/>
  <c r="QP11" i="26"/>
  <c r="QQ11" i="26"/>
  <c r="QR11" i="26"/>
  <c r="QS11" i="26"/>
  <c r="QT11" i="26"/>
  <c r="QU11" i="26"/>
  <c r="QV11" i="26"/>
  <c r="QW11" i="26"/>
  <c r="QX11" i="26"/>
  <c r="AP17" i="26"/>
  <c r="AQ17" i="26"/>
  <c r="AR17" i="26"/>
  <c r="AS17" i="26"/>
  <c r="AU17" i="26"/>
  <c r="AV17" i="26"/>
  <c r="BS17" i="26"/>
  <c r="BT17" i="26"/>
  <c r="BU17" i="26"/>
  <c r="BV17" i="26"/>
  <c r="BX17" i="26"/>
  <c r="BY17" i="26"/>
  <c r="CV17" i="26"/>
  <c r="CW17" i="26"/>
  <c r="CX17" i="26"/>
  <c r="CY17" i="26"/>
  <c r="DA17" i="26"/>
  <c r="DB17" i="26"/>
  <c r="PW17" i="26"/>
  <c r="PX17" i="26"/>
  <c r="PY17" i="26"/>
  <c r="PZ17" i="26"/>
  <c r="QB17" i="26"/>
  <c r="QC17" i="26"/>
  <c r="QE17" i="26"/>
  <c r="QF17" i="26"/>
  <c r="QG17" i="26"/>
  <c r="QH17" i="26"/>
  <c r="QI17" i="26"/>
  <c r="QJ17" i="26"/>
  <c r="QK17" i="26"/>
  <c r="QL17" i="26"/>
  <c r="QM17" i="26"/>
  <c r="QN17" i="26"/>
  <c r="QO17" i="26"/>
  <c r="QP17" i="26"/>
  <c r="QQ17" i="26"/>
  <c r="QR17" i="26"/>
  <c r="QS17" i="26"/>
  <c r="QT17" i="26"/>
  <c r="QU17" i="26"/>
  <c r="QV17" i="26"/>
  <c r="QW17" i="26"/>
  <c r="QX17" i="26"/>
  <c r="AM14" i="4"/>
  <c r="AN14" i="4"/>
  <c r="AO14" i="4"/>
  <c r="AP14" i="4"/>
  <c r="AQ14" i="4"/>
  <c r="AR14" i="4"/>
  <c r="AT14" i="4"/>
  <c r="AU14" i="4"/>
  <c r="AV14" i="4"/>
  <c r="BN14" i="4"/>
  <c r="BO14" i="4"/>
  <c r="BP14" i="4"/>
  <c r="BT14" i="4" s="1"/>
  <c r="BQ14" i="4"/>
  <c r="BR14" i="4"/>
  <c r="BS14" i="4"/>
  <c r="BU14" i="4"/>
  <c r="BV14" i="4"/>
  <c r="BW14" i="4"/>
  <c r="CO14" i="4"/>
  <c r="CP14" i="4"/>
  <c r="CQ14" i="4"/>
  <c r="CR14" i="4"/>
  <c r="CS14" i="4"/>
  <c r="CT14" i="4"/>
  <c r="CV14" i="4"/>
  <c r="CW14" i="4"/>
  <c r="CX14" i="4"/>
  <c r="DV14" i="4"/>
  <c r="DW14" i="4"/>
  <c r="DX14" i="4"/>
  <c r="DY14" i="4"/>
  <c r="DZ14" i="4"/>
  <c r="EA14" i="4"/>
  <c r="EC14" i="4"/>
  <c r="ED14" i="4"/>
  <c r="EE14" i="4"/>
  <c r="EF14" i="4"/>
  <c r="EG14" i="4"/>
  <c r="EH14" i="4"/>
  <c r="FD14" i="4"/>
  <c r="FE14" i="4"/>
  <c r="FF14" i="4"/>
  <c r="FG14" i="4"/>
  <c r="FH14" i="4"/>
  <c r="FI14" i="4"/>
  <c r="FK14" i="4"/>
  <c r="FL14" i="4"/>
  <c r="FM14" i="4"/>
  <c r="FN14" i="4"/>
  <c r="FO14" i="4"/>
  <c r="FP14" i="4"/>
  <c r="GL14" i="4"/>
  <c r="GM14" i="4"/>
  <c r="GN14" i="4"/>
  <c r="GO14" i="4"/>
  <c r="GP14" i="4"/>
  <c r="GQ14" i="4"/>
  <c r="GS14" i="4"/>
  <c r="GT14" i="4"/>
  <c r="GU14" i="4"/>
  <c r="GV14" i="4"/>
  <c r="GW14" i="4"/>
  <c r="GX14" i="4"/>
  <c r="HT14" i="4"/>
  <c r="HU14" i="4"/>
  <c r="HV14" i="4"/>
  <c r="HZ14" i="4" s="1"/>
  <c r="HW14" i="4"/>
  <c r="HX14" i="4"/>
  <c r="HY14" i="4"/>
  <c r="IA14" i="4"/>
  <c r="IB14" i="4"/>
  <c r="IC14" i="4"/>
  <c r="ID14" i="4"/>
  <c r="IE14" i="4"/>
  <c r="IF14" i="4"/>
  <c r="JB14" i="4"/>
  <c r="JC14" i="4"/>
  <c r="JD14" i="4"/>
  <c r="JE14" i="4"/>
  <c r="JF14" i="4"/>
  <c r="JG14" i="4"/>
  <c r="JI14" i="4"/>
  <c r="JJ14" i="4"/>
  <c r="JK14" i="4"/>
  <c r="JL14" i="4"/>
  <c r="JM14" i="4"/>
  <c r="JN14" i="4"/>
  <c r="KJ14" i="4"/>
  <c r="KK14" i="4"/>
  <c r="KL14" i="4"/>
  <c r="KM14" i="4"/>
  <c r="KN14" i="4"/>
  <c r="KO14" i="4"/>
  <c r="KQ14" i="4"/>
  <c r="KR14" i="4"/>
  <c r="KS14" i="4"/>
  <c r="KT14" i="4"/>
  <c r="KU14" i="4"/>
  <c r="KV14" i="4"/>
  <c r="LR14" i="4"/>
  <c r="LS14" i="4"/>
  <c r="LT14" i="4"/>
  <c r="LU14" i="4"/>
  <c r="LV14" i="4"/>
  <c r="LW14" i="4"/>
  <c r="LY14" i="4"/>
  <c r="LZ14" i="4"/>
  <c r="MA14" i="4"/>
  <c r="MB14" i="4"/>
  <c r="MC14" i="4"/>
  <c r="MD14" i="4"/>
  <c r="MZ14" i="4"/>
  <c r="NA14" i="4"/>
  <c r="NB14" i="4"/>
  <c r="NC14" i="4"/>
  <c r="ND14" i="4"/>
  <c r="NE14" i="4"/>
  <c r="NG14" i="4"/>
  <c r="NH14" i="4"/>
  <c r="NI14" i="4"/>
  <c r="NJ14" i="4"/>
  <c r="NK14" i="4"/>
  <c r="NL14" i="4"/>
  <c r="OH14" i="4"/>
  <c r="OI14" i="4"/>
  <c r="OJ14" i="4"/>
  <c r="OK14" i="4"/>
  <c r="OL14" i="4"/>
  <c r="OM14" i="4"/>
  <c r="OO14" i="4"/>
  <c r="OP14" i="4"/>
  <c r="OQ14" i="4"/>
  <c r="OR14" i="4"/>
  <c r="OS14" i="4"/>
  <c r="OT14" i="4"/>
  <c r="PP14" i="4"/>
  <c r="PQ14" i="4"/>
  <c r="PR14" i="4"/>
  <c r="PS14" i="4"/>
  <c r="PT14" i="4"/>
  <c r="PU14" i="4"/>
  <c r="PW14" i="4"/>
  <c r="PX14" i="4"/>
  <c r="PY14" i="4"/>
  <c r="PZ14" i="4"/>
  <c r="QA14" i="4"/>
  <c r="QB14" i="4"/>
  <c r="QX14" i="4"/>
  <c r="QY14" i="4"/>
  <c r="QZ14" i="4"/>
  <c r="RA14" i="4"/>
  <c r="RB14" i="4"/>
  <c r="RC14" i="4"/>
  <c r="RE14" i="4"/>
  <c r="RF14" i="4"/>
  <c r="RG14" i="4"/>
  <c r="RH14" i="4"/>
  <c r="RI14" i="4"/>
  <c r="RJ14" i="4"/>
  <c r="SF14" i="4"/>
  <c r="SG14" i="4"/>
  <c r="SH14" i="4"/>
  <c r="SI14" i="4"/>
  <c r="SJ14" i="4"/>
  <c r="SK14" i="4"/>
  <c r="SM14" i="4"/>
  <c r="SN14" i="4"/>
  <c r="SO14" i="4"/>
  <c r="SP14" i="4"/>
  <c r="SQ14" i="4"/>
  <c r="SR14" i="4"/>
  <c r="ST14" i="4"/>
  <c r="SU14" i="4"/>
  <c r="SV14" i="4"/>
  <c r="TJ14" i="4" s="1"/>
  <c r="SW14" i="4"/>
  <c r="TK14" i="4" s="1"/>
  <c r="SX14" i="4"/>
  <c r="SY14" i="4"/>
  <c r="SZ14" i="4"/>
  <c r="TA14" i="4"/>
  <c r="TM14" i="4" s="1"/>
  <c r="TB14" i="4"/>
  <c r="TN14" i="4" s="1"/>
  <c r="TC14" i="4"/>
  <c r="TD14" i="4"/>
  <c r="TE14" i="4"/>
  <c r="TF14" i="4"/>
  <c r="TG14" i="4"/>
  <c r="TR14" i="4" s="1"/>
  <c r="TH14" i="4"/>
  <c r="AM27" i="4"/>
  <c r="AN27" i="4"/>
  <c r="AO27" i="4"/>
  <c r="AP27" i="4"/>
  <c r="AQ27" i="4"/>
  <c r="AR27" i="4"/>
  <c r="AT27" i="4"/>
  <c r="AU27" i="4"/>
  <c r="AV27" i="4"/>
  <c r="BN27" i="4"/>
  <c r="BO27" i="4"/>
  <c r="BP27" i="4"/>
  <c r="BT27" i="4" s="1"/>
  <c r="BQ27" i="4"/>
  <c r="BR27" i="4"/>
  <c r="BS27" i="4"/>
  <c r="BU27" i="4"/>
  <c r="BV27" i="4"/>
  <c r="BW27" i="4"/>
  <c r="CO27" i="4"/>
  <c r="CP27" i="4"/>
  <c r="CQ27" i="4"/>
  <c r="CR27" i="4"/>
  <c r="CS27" i="4"/>
  <c r="CT27" i="4"/>
  <c r="CV27" i="4"/>
  <c r="CW27" i="4"/>
  <c r="CX27" i="4"/>
  <c r="DV27" i="4"/>
  <c r="DW27" i="4"/>
  <c r="DX27" i="4"/>
  <c r="DY27" i="4"/>
  <c r="DZ27" i="4"/>
  <c r="EA27" i="4"/>
  <c r="EC27" i="4"/>
  <c r="ED27" i="4"/>
  <c r="EE27" i="4"/>
  <c r="EF27" i="4"/>
  <c r="EG27" i="4"/>
  <c r="EH27" i="4"/>
  <c r="FD27" i="4"/>
  <c r="FE27" i="4"/>
  <c r="FF27" i="4"/>
  <c r="FG27" i="4"/>
  <c r="FH27" i="4"/>
  <c r="FI27" i="4"/>
  <c r="FK27" i="4"/>
  <c r="FL27" i="4"/>
  <c r="FM27" i="4"/>
  <c r="FN27" i="4"/>
  <c r="FO27" i="4"/>
  <c r="FP27" i="4"/>
  <c r="GL27" i="4"/>
  <c r="GM27" i="4"/>
  <c r="GN27" i="4"/>
  <c r="GO27" i="4"/>
  <c r="GP27" i="4"/>
  <c r="GQ27" i="4"/>
  <c r="GS27" i="4"/>
  <c r="GT27" i="4"/>
  <c r="GU27" i="4"/>
  <c r="GV27" i="4"/>
  <c r="GW27" i="4"/>
  <c r="GX27" i="4"/>
  <c r="HT27" i="4"/>
  <c r="HU27" i="4"/>
  <c r="HV27" i="4"/>
  <c r="HW27" i="4"/>
  <c r="HX27" i="4"/>
  <c r="HY27" i="4"/>
  <c r="IA27" i="4"/>
  <c r="IB27" i="4"/>
  <c r="IC27" i="4"/>
  <c r="ID27" i="4"/>
  <c r="IE27" i="4"/>
  <c r="IF27" i="4"/>
  <c r="JB27" i="4"/>
  <c r="JC27" i="4"/>
  <c r="JD27" i="4"/>
  <c r="JE27" i="4"/>
  <c r="JF27" i="4"/>
  <c r="JG27" i="4"/>
  <c r="JI27" i="4"/>
  <c r="JJ27" i="4"/>
  <c r="JK27" i="4"/>
  <c r="JL27" i="4"/>
  <c r="JM27" i="4"/>
  <c r="JN27" i="4"/>
  <c r="KJ27" i="4"/>
  <c r="KK27" i="4"/>
  <c r="KL27" i="4"/>
  <c r="KM27" i="4"/>
  <c r="KN27" i="4"/>
  <c r="KO27" i="4"/>
  <c r="KQ27" i="4"/>
  <c r="KR27" i="4"/>
  <c r="KS27" i="4"/>
  <c r="KT27" i="4"/>
  <c r="KU27" i="4"/>
  <c r="KV27" i="4"/>
  <c r="LR27" i="4"/>
  <c r="LS27" i="4"/>
  <c r="LT27" i="4"/>
  <c r="LU27" i="4"/>
  <c r="LV27" i="4"/>
  <c r="LW27" i="4"/>
  <c r="LY27" i="4"/>
  <c r="LZ27" i="4"/>
  <c r="MA27" i="4"/>
  <c r="MB27" i="4"/>
  <c r="MC27" i="4"/>
  <c r="MD27" i="4"/>
  <c r="MZ27" i="4"/>
  <c r="NA27" i="4"/>
  <c r="NB27" i="4"/>
  <c r="NC27" i="4"/>
  <c r="ND27" i="4"/>
  <c r="NE27" i="4"/>
  <c r="NG27" i="4"/>
  <c r="NH27" i="4"/>
  <c r="NI27" i="4"/>
  <c r="NJ27" i="4"/>
  <c r="NK27" i="4"/>
  <c r="NL27" i="4"/>
  <c r="OH27" i="4"/>
  <c r="OI27" i="4"/>
  <c r="OJ27" i="4"/>
  <c r="OK27" i="4"/>
  <c r="OL27" i="4"/>
  <c r="OM27" i="4"/>
  <c r="OO27" i="4"/>
  <c r="OP27" i="4"/>
  <c r="OQ27" i="4"/>
  <c r="OR27" i="4"/>
  <c r="OS27" i="4"/>
  <c r="OT27" i="4"/>
  <c r="PP27" i="4"/>
  <c r="PQ27" i="4"/>
  <c r="PR27" i="4"/>
  <c r="PS27" i="4"/>
  <c r="PT27" i="4"/>
  <c r="PU27" i="4"/>
  <c r="PW27" i="4"/>
  <c r="PX27" i="4"/>
  <c r="PY27" i="4"/>
  <c r="PZ27" i="4"/>
  <c r="QA27" i="4"/>
  <c r="QB27" i="4"/>
  <c r="QX27" i="4"/>
  <c r="QY27" i="4"/>
  <c r="QZ27" i="4"/>
  <c r="RA27" i="4"/>
  <c r="RB27" i="4"/>
  <c r="RC27" i="4"/>
  <c r="RE27" i="4"/>
  <c r="RF27" i="4"/>
  <c r="RG27" i="4"/>
  <c r="RH27" i="4"/>
  <c r="RI27" i="4"/>
  <c r="RJ27" i="4"/>
  <c r="SF27" i="4"/>
  <c r="SG27" i="4"/>
  <c r="SH27" i="4"/>
  <c r="SI27" i="4"/>
  <c r="SJ27" i="4"/>
  <c r="SK27" i="4"/>
  <c r="SM27" i="4"/>
  <c r="SN27" i="4"/>
  <c r="SO27" i="4"/>
  <c r="SP27" i="4"/>
  <c r="SQ27" i="4"/>
  <c r="SR27" i="4"/>
  <c r="ST27" i="4"/>
  <c r="SU27" i="4"/>
  <c r="SV27" i="4"/>
  <c r="TJ27" i="4" s="1"/>
  <c r="SW27" i="4"/>
  <c r="TK27" i="4" s="1"/>
  <c r="SX27" i="4"/>
  <c r="SY27" i="4"/>
  <c r="SZ27" i="4"/>
  <c r="TA27" i="4"/>
  <c r="TM27" i="4" s="1"/>
  <c r="TB27" i="4"/>
  <c r="TN27" i="4" s="1"/>
  <c r="TC27" i="4"/>
  <c r="TD27" i="4"/>
  <c r="TE27" i="4"/>
  <c r="TF27" i="4"/>
  <c r="TG27" i="4"/>
  <c r="TR27" i="4" s="1"/>
  <c r="TH27" i="4"/>
  <c r="AM24" i="4"/>
  <c r="AN24" i="4"/>
  <c r="AO24" i="4"/>
  <c r="AP24" i="4"/>
  <c r="AQ24" i="4"/>
  <c r="AR24" i="4"/>
  <c r="AT24" i="4"/>
  <c r="AU24" i="4"/>
  <c r="AV24" i="4"/>
  <c r="BN24" i="4"/>
  <c r="BO24" i="4"/>
  <c r="BP24" i="4"/>
  <c r="BT24" i="4" s="1"/>
  <c r="BQ24" i="4"/>
  <c r="BR24" i="4"/>
  <c r="BS24" i="4"/>
  <c r="BU24" i="4"/>
  <c r="BV24" i="4"/>
  <c r="BW24" i="4"/>
  <c r="CO24" i="4"/>
  <c r="CP24" i="4"/>
  <c r="CQ24" i="4"/>
  <c r="CR24" i="4"/>
  <c r="CS24" i="4"/>
  <c r="CT24" i="4"/>
  <c r="CV24" i="4"/>
  <c r="CW24" i="4"/>
  <c r="CX24" i="4"/>
  <c r="DV24" i="4"/>
  <c r="DW24" i="4"/>
  <c r="DX24" i="4"/>
  <c r="DY24" i="4"/>
  <c r="DZ24" i="4"/>
  <c r="EA24" i="4"/>
  <c r="EC24" i="4"/>
  <c r="ED24" i="4"/>
  <c r="EE24" i="4"/>
  <c r="EF24" i="4"/>
  <c r="EG24" i="4"/>
  <c r="EH24" i="4"/>
  <c r="FD24" i="4"/>
  <c r="FE24" i="4"/>
  <c r="FF24" i="4"/>
  <c r="FG24" i="4"/>
  <c r="FH24" i="4"/>
  <c r="FI24" i="4"/>
  <c r="FK24" i="4"/>
  <c r="FL24" i="4"/>
  <c r="FM24" i="4"/>
  <c r="FN24" i="4"/>
  <c r="FO24" i="4"/>
  <c r="FP24" i="4"/>
  <c r="GL24" i="4"/>
  <c r="GM24" i="4"/>
  <c r="GN24" i="4"/>
  <c r="GO24" i="4"/>
  <c r="GP24" i="4"/>
  <c r="GQ24" i="4"/>
  <c r="GS24" i="4"/>
  <c r="GT24" i="4"/>
  <c r="GU24" i="4"/>
  <c r="GV24" i="4"/>
  <c r="GW24" i="4"/>
  <c r="GX24" i="4"/>
  <c r="HT24" i="4"/>
  <c r="HU24" i="4"/>
  <c r="HV24" i="4"/>
  <c r="HW24" i="4"/>
  <c r="HX24" i="4"/>
  <c r="HY24" i="4"/>
  <c r="IA24" i="4"/>
  <c r="IB24" i="4"/>
  <c r="IC24" i="4"/>
  <c r="ID24" i="4"/>
  <c r="IE24" i="4"/>
  <c r="IF24" i="4"/>
  <c r="JB24" i="4"/>
  <c r="JC24" i="4"/>
  <c r="JD24" i="4"/>
  <c r="JE24" i="4"/>
  <c r="JF24" i="4"/>
  <c r="JG24" i="4"/>
  <c r="JI24" i="4"/>
  <c r="JJ24" i="4"/>
  <c r="JK24" i="4"/>
  <c r="JL24" i="4"/>
  <c r="JM24" i="4"/>
  <c r="JN24" i="4"/>
  <c r="KJ24" i="4"/>
  <c r="KK24" i="4"/>
  <c r="KL24" i="4"/>
  <c r="KM24" i="4"/>
  <c r="KN24" i="4"/>
  <c r="KO24" i="4"/>
  <c r="KQ24" i="4"/>
  <c r="KR24" i="4"/>
  <c r="KS24" i="4"/>
  <c r="KT24" i="4"/>
  <c r="KU24" i="4"/>
  <c r="KV24" i="4"/>
  <c r="LR24" i="4"/>
  <c r="LS24" i="4"/>
  <c r="LT24" i="4"/>
  <c r="LU24" i="4"/>
  <c r="LV24" i="4"/>
  <c r="LW24" i="4"/>
  <c r="LY24" i="4"/>
  <c r="LZ24" i="4"/>
  <c r="MA24" i="4"/>
  <c r="MB24" i="4"/>
  <c r="MC24" i="4"/>
  <c r="MD24" i="4"/>
  <c r="MZ24" i="4"/>
  <c r="NA24" i="4"/>
  <c r="NB24" i="4"/>
  <c r="NC24" i="4"/>
  <c r="ND24" i="4"/>
  <c r="NE24" i="4"/>
  <c r="NG24" i="4"/>
  <c r="NH24" i="4"/>
  <c r="NI24" i="4"/>
  <c r="NJ24" i="4"/>
  <c r="NK24" i="4"/>
  <c r="NL24" i="4"/>
  <c r="OH24" i="4"/>
  <c r="OI24" i="4"/>
  <c r="OJ24" i="4"/>
  <c r="OK24" i="4"/>
  <c r="OL24" i="4"/>
  <c r="OM24" i="4"/>
  <c r="OO24" i="4"/>
  <c r="OP24" i="4"/>
  <c r="OQ24" i="4"/>
  <c r="OR24" i="4"/>
  <c r="OS24" i="4"/>
  <c r="OT24" i="4"/>
  <c r="PP24" i="4"/>
  <c r="PQ24" i="4"/>
  <c r="PR24" i="4"/>
  <c r="PS24" i="4"/>
  <c r="PT24" i="4"/>
  <c r="PU24" i="4"/>
  <c r="PW24" i="4"/>
  <c r="PX24" i="4"/>
  <c r="PY24" i="4"/>
  <c r="PZ24" i="4"/>
  <c r="QA24" i="4"/>
  <c r="QB24" i="4"/>
  <c r="QX24" i="4"/>
  <c r="QY24" i="4"/>
  <c r="QZ24" i="4"/>
  <c r="RA24" i="4"/>
  <c r="RB24" i="4"/>
  <c r="RC24" i="4"/>
  <c r="RE24" i="4"/>
  <c r="RF24" i="4"/>
  <c r="RG24" i="4"/>
  <c r="RH24" i="4"/>
  <c r="RI24" i="4"/>
  <c r="RJ24" i="4"/>
  <c r="SF24" i="4"/>
  <c r="SG24" i="4"/>
  <c r="SH24" i="4"/>
  <c r="SI24" i="4"/>
  <c r="SJ24" i="4"/>
  <c r="SK24" i="4"/>
  <c r="SM24" i="4"/>
  <c r="SN24" i="4"/>
  <c r="SO24" i="4"/>
  <c r="SP24" i="4"/>
  <c r="SQ24" i="4"/>
  <c r="SR24" i="4"/>
  <c r="ST24" i="4"/>
  <c r="SU24" i="4"/>
  <c r="SV24" i="4"/>
  <c r="TJ24" i="4" s="1"/>
  <c r="SW24" i="4"/>
  <c r="TK24" i="4" s="1"/>
  <c r="SX24" i="4"/>
  <c r="SY24" i="4"/>
  <c r="SZ24" i="4"/>
  <c r="TA24" i="4"/>
  <c r="TM24" i="4" s="1"/>
  <c r="TB24" i="4"/>
  <c r="TN24" i="4" s="1"/>
  <c r="TC24" i="4"/>
  <c r="TD24" i="4"/>
  <c r="TE24" i="4"/>
  <c r="TF24" i="4"/>
  <c r="TQ24" i="4" s="1"/>
  <c r="TG24" i="4"/>
  <c r="TR24" i="4" s="1"/>
  <c r="TH24" i="4"/>
  <c r="AM29" i="4"/>
  <c r="AN29" i="4"/>
  <c r="AO29" i="4"/>
  <c r="AP29" i="4"/>
  <c r="AQ29" i="4"/>
  <c r="AR29" i="4"/>
  <c r="AT29" i="4"/>
  <c r="AU29" i="4"/>
  <c r="AV29" i="4"/>
  <c r="BN29" i="4"/>
  <c r="BO29" i="4"/>
  <c r="BP29" i="4"/>
  <c r="BT29" i="4" s="1"/>
  <c r="BQ29" i="4"/>
  <c r="BR29" i="4"/>
  <c r="BS29" i="4"/>
  <c r="BU29" i="4"/>
  <c r="BV29" i="4"/>
  <c r="BW29" i="4"/>
  <c r="CO29" i="4"/>
  <c r="CP29" i="4"/>
  <c r="CQ29" i="4"/>
  <c r="CR29" i="4"/>
  <c r="CS29" i="4"/>
  <c r="CT29" i="4"/>
  <c r="CV29" i="4"/>
  <c r="CW29" i="4"/>
  <c r="CX29" i="4"/>
  <c r="DV29" i="4"/>
  <c r="DW29" i="4"/>
  <c r="DX29" i="4"/>
  <c r="DY29" i="4"/>
  <c r="DZ29" i="4"/>
  <c r="EA29" i="4"/>
  <c r="EC29" i="4"/>
  <c r="ED29" i="4"/>
  <c r="EE29" i="4"/>
  <c r="EF29" i="4"/>
  <c r="EG29" i="4"/>
  <c r="EH29" i="4"/>
  <c r="FD29" i="4"/>
  <c r="FE29" i="4"/>
  <c r="FF29" i="4"/>
  <c r="FG29" i="4"/>
  <c r="FH29" i="4"/>
  <c r="FI29" i="4"/>
  <c r="FK29" i="4"/>
  <c r="FL29" i="4"/>
  <c r="FM29" i="4"/>
  <c r="FN29" i="4"/>
  <c r="FO29" i="4"/>
  <c r="FP29" i="4"/>
  <c r="GL29" i="4"/>
  <c r="GM29" i="4"/>
  <c r="GN29" i="4"/>
  <c r="GO29" i="4"/>
  <c r="GP29" i="4"/>
  <c r="GQ29" i="4"/>
  <c r="GS29" i="4"/>
  <c r="GT29" i="4"/>
  <c r="GU29" i="4"/>
  <c r="GV29" i="4"/>
  <c r="GW29" i="4"/>
  <c r="GX29" i="4"/>
  <c r="HT29" i="4"/>
  <c r="HU29" i="4"/>
  <c r="HV29" i="4"/>
  <c r="HW29" i="4"/>
  <c r="HX29" i="4"/>
  <c r="HY29" i="4"/>
  <c r="IA29" i="4"/>
  <c r="IB29" i="4"/>
  <c r="IC29" i="4"/>
  <c r="ID29" i="4"/>
  <c r="IE29" i="4"/>
  <c r="IF29" i="4"/>
  <c r="JB29" i="4"/>
  <c r="JC29" i="4"/>
  <c r="JD29" i="4"/>
  <c r="JE29" i="4"/>
  <c r="JF29" i="4"/>
  <c r="JG29" i="4"/>
  <c r="JI29" i="4"/>
  <c r="JJ29" i="4"/>
  <c r="JK29" i="4"/>
  <c r="JL29" i="4"/>
  <c r="JM29" i="4"/>
  <c r="JN29" i="4"/>
  <c r="KJ29" i="4"/>
  <c r="KK29" i="4"/>
  <c r="KL29" i="4"/>
  <c r="KM29" i="4"/>
  <c r="KN29" i="4"/>
  <c r="KO29" i="4"/>
  <c r="KQ29" i="4"/>
  <c r="KR29" i="4"/>
  <c r="KS29" i="4"/>
  <c r="KT29" i="4"/>
  <c r="KU29" i="4"/>
  <c r="KV29" i="4"/>
  <c r="LR29" i="4"/>
  <c r="LS29" i="4"/>
  <c r="LT29" i="4"/>
  <c r="LU29" i="4"/>
  <c r="LV29" i="4"/>
  <c r="LW29" i="4"/>
  <c r="LY29" i="4"/>
  <c r="LZ29" i="4"/>
  <c r="MA29" i="4"/>
  <c r="MB29" i="4"/>
  <c r="MC29" i="4"/>
  <c r="MD29" i="4"/>
  <c r="MZ29" i="4"/>
  <c r="NA29" i="4"/>
  <c r="NB29" i="4"/>
  <c r="NC29" i="4"/>
  <c r="ND29" i="4"/>
  <c r="NE29" i="4"/>
  <c r="NG29" i="4"/>
  <c r="NH29" i="4"/>
  <c r="NI29" i="4"/>
  <c r="NJ29" i="4"/>
  <c r="NK29" i="4"/>
  <c r="NL29" i="4"/>
  <c r="OH29" i="4"/>
  <c r="OI29" i="4"/>
  <c r="OJ29" i="4"/>
  <c r="OK29" i="4"/>
  <c r="OL29" i="4"/>
  <c r="OM29" i="4"/>
  <c r="OO29" i="4"/>
  <c r="OP29" i="4"/>
  <c r="OQ29" i="4"/>
  <c r="OR29" i="4"/>
  <c r="OS29" i="4"/>
  <c r="OT29" i="4"/>
  <c r="PP29" i="4"/>
  <c r="PQ29" i="4"/>
  <c r="PR29" i="4"/>
  <c r="PS29" i="4"/>
  <c r="PT29" i="4"/>
  <c r="PU29" i="4"/>
  <c r="PW29" i="4"/>
  <c r="PX29" i="4"/>
  <c r="PY29" i="4"/>
  <c r="PZ29" i="4"/>
  <c r="QA29" i="4"/>
  <c r="QB29" i="4"/>
  <c r="QX29" i="4"/>
  <c r="QY29" i="4"/>
  <c r="QZ29" i="4"/>
  <c r="RA29" i="4"/>
  <c r="RB29" i="4"/>
  <c r="RC29" i="4"/>
  <c r="RE29" i="4"/>
  <c r="RF29" i="4"/>
  <c r="RG29" i="4"/>
  <c r="RH29" i="4"/>
  <c r="RI29" i="4"/>
  <c r="RJ29" i="4"/>
  <c r="SF29" i="4"/>
  <c r="SG29" i="4"/>
  <c r="SH29" i="4"/>
  <c r="SI29" i="4"/>
  <c r="SJ29" i="4"/>
  <c r="SK29" i="4"/>
  <c r="SM29" i="4"/>
  <c r="SN29" i="4"/>
  <c r="SO29" i="4"/>
  <c r="SP29" i="4"/>
  <c r="SQ29" i="4"/>
  <c r="SR29" i="4"/>
  <c r="ST29" i="4"/>
  <c r="SU29" i="4"/>
  <c r="SV29" i="4"/>
  <c r="TJ29" i="4" s="1"/>
  <c r="SW29" i="4"/>
  <c r="TK29" i="4" s="1"/>
  <c r="SX29" i="4"/>
  <c r="SY29" i="4"/>
  <c r="SZ29" i="4"/>
  <c r="TA29" i="4"/>
  <c r="TM29" i="4" s="1"/>
  <c r="TB29" i="4"/>
  <c r="TN29" i="4" s="1"/>
  <c r="TC29" i="4"/>
  <c r="TD29" i="4"/>
  <c r="TE29" i="4"/>
  <c r="TF29" i="4"/>
  <c r="TQ29" i="4" s="1"/>
  <c r="TG29" i="4"/>
  <c r="TR29" i="4" s="1"/>
  <c r="TH29" i="4"/>
  <c r="AM16" i="4"/>
  <c r="AN16" i="4"/>
  <c r="AO16" i="4"/>
  <c r="AP16" i="4"/>
  <c r="AQ16" i="4"/>
  <c r="AR16" i="4"/>
  <c r="AT16" i="4"/>
  <c r="AU16" i="4"/>
  <c r="AV16" i="4"/>
  <c r="BN16" i="4"/>
  <c r="BO16" i="4"/>
  <c r="BP16" i="4"/>
  <c r="BT16" i="4" s="1"/>
  <c r="BQ16" i="4"/>
  <c r="BR16" i="4"/>
  <c r="BS16" i="4"/>
  <c r="BU16" i="4"/>
  <c r="BV16" i="4"/>
  <c r="BW16" i="4"/>
  <c r="CO16" i="4"/>
  <c r="CP16" i="4"/>
  <c r="CQ16" i="4"/>
  <c r="CR16" i="4"/>
  <c r="CS16" i="4"/>
  <c r="CT16" i="4"/>
  <c r="CV16" i="4"/>
  <c r="CW16" i="4"/>
  <c r="CX16" i="4"/>
  <c r="DV16" i="4"/>
  <c r="DW16" i="4"/>
  <c r="DX16" i="4"/>
  <c r="DY16" i="4"/>
  <c r="DZ16" i="4"/>
  <c r="EA16" i="4"/>
  <c r="EC16" i="4"/>
  <c r="ED16" i="4"/>
  <c r="EE16" i="4"/>
  <c r="EF16" i="4"/>
  <c r="EG16" i="4"/>
  <c r="EH16" i="4"/>
  <c r="FD16" i="4"/>
  <c r="FE16" i="4"/>
  <c r="FF16" i="4"/>
  <c r="FG16" i="4"/>
  <c r="FH16" i="4"/>
  <c r="FI16" i="4"/>
  <c r="FK16" i="4"/>
  <c r="FL16" i="4"/>
  <c r="FM16" i="4"/>
  <c r="FN16" i="4"/>
  <c r="FO16" i="4"/>
  <c r="FP16" i="4"/>
  <c r="GL16" i="4"/>
  <c r="GM16" i="4"/>
  <c r="GN16" i="4"/>
  <c r="GO16" i="4"/>
  <c r="GP16" i="4"/>
  <c r="GQ16" i="4"/>
  <c r="GS16" i="4"/>
  <c r="GT16" i="4"/>
  <c r="GU16" i="4"/>
  <c r="GV16" i="4"/>
  <c r="GW16" i="4"/>
  <c r="GX16" i="4"/>
  <c r="HT16" i="4"/>
  <c r="HU16" i="4"/>
  <c r="HV16" i="4"/>
  <c r="HW16" i="4"/>
  <c r="HX16" i="4"/>
  <c r="HY16" i="4"/>
  <c r="IA16" i="4"/>
  <c r="IB16" i="4"/>
  <c r="IC16" i="4"/>
  <c r="ID16" i="4"/>
  <c r="IE16" i="4"/>
  <c r="IF16" i="4"/>
  <c r="JB16" i="4"/>
  <c r="JC16" i="4"/>
  <c r="JD16" i="4"/>
  <c r="JE16" i="4"/>
  <c r="JF16" i="4"/>
  <c r="JG16" i="4"/>
  <c r="JI16" i="4"/>
  <c r="JJ16" i="4"/>
  <c r="JK16" i="4"/>
  <c r="JL16" i="4"/>
  <c r="JM16" i="4"/>
  <c r="JN16" i="4"/>
  <c r="KJ16" i="4"/>
  <c r="KK16" i="4"/>
  <c r="KL16" i="4"/>
  <c r="KM16" i="4"/>
  <c r="KN16" i="4"/>
  <c r="KO16" i="4"/>
  <c r="KQ16" i="4"/>
  <c r="KR16" i="4"/>
  <c r="KS16" i="4"/>
  <c r="KT16" i="4"/>
  <c r="KU16" i="4"/>
  <c r="KV16" i="4"/>
  <c r="LR16" i="4"/>
  <c r="LS16" i="4"/>
  <c r="LT16" i="4"/>
  <c r="LU16" i="4"/>
  <c r="LV16" i="4"/>
  <c r="LW16" i="4"/>
  <c r="LY16" i="4"/>
  <c r="LZ16" i="4"/>
  <c r="MA16" i="4"/>
  <c r="MB16" i="4"/>
  <c r="MC16" i="4"/>
  <c r="MD16" i="4"/>
  <c r="MZ16" i="4"/>
  <c r="NA16" i="4"/>
  <c r="NB16" i="4"/>
  <c r="NC16" i="4"/>
  <c r="ND16" i="4"/>
  <c r="NE16" i="4"/>
  <c r="NG16" i="4"/>
  <c r="NH16" i="4"/>
  <c r="NI16" i="4"/>
  <c r="NJ16" i="4"/>
  <c r="NK16" i="4"/>
  <c r="NL16" i="4"/>
  <c r="OH16" i="4"/>
  <c r="OI16" i="4"/>
  <c r="OJ16" i="4"/>
  <c r="OK16" i="4"/>
  <c r="OL16" i="4"/>
  <c r="OM16" i="4"/>
  <c r="OO16" i="4"/>
  <c r="OP16" i="4"/>
  <c r="OQ16" i="4"/>
  <c r="OR16" i="4"/>
  <c r="OS16" i="4"/>
  <c r="OT16" i="4"/>
  <c r="PP16" i="4"/>
  <c r="PQ16" i="4"/>
  <c r="PR16" i="4"/>
  <c r="PS16" i="4"/>
  <c r="PT16" i="4"/>
  <c r="PU16" i="4"/>
  <c r="PW16" i="4"/>
  <c r="PX16" i="4"/>
  <c r="PY16" i="4"/>
  <c r="PZ16" i="4"/>
  <c r="QA16" i="4"/>
  <c r="QB16" i="4"/>
  <c r="QX16" i="4"/>
  <c r="QY16" i="4"/>
  <c r="QZ16" i="4"/>
  <c r="RA16" i="4"/>
  <c r="RB16" i="4"/>
  <c r="RC16" i="4"/>
  <c r="RE16" i="4"/>
  <c r="RF16" i="4"/>
  <c r="RG16" i="4"/>
  <c r="RH16" i="4"/>
  <c r="RI16" i="4"/>
  <c r="RJ16" i="4"/>
  <c r="SF16" i="4"/>
  <c r="SG16" i="4"/>
  <c r="SH16" i="4"/>
  <c r="SI16" i="4"/>
  <c r="SJ16" i="4"/>
  <c r="SK16" i="4"/>
  <c r="SM16" i="4"/>
  <c r="SN16" i="4"/>
  <c r="SO16" i="4"/>
  <c r="SP16" i="4"/>
  <c r="SQ16" i="4"/>
  <c r="SR16" i="4"/>
  <c r="ST16" i="4"/>
  <c r="SU16" i="4"/>
  <c r="SV16" i="4"/>
  <c r="TJ16" i="4" s="1"/>
  <c r="SW16" i="4"/>
  <c r="TK16" i="4" s="1"/>
  <c r="SX16" i="4"/>
  <c r="SY16" i="4"/>
  <c r="SZ16" i="4"/>
  <c r="TA16" i="4"/>
  <c r="TM16" i="4" s="1"/>
  <c r="TB16" i="4"/>
  <c r="TN16" i="4" s="1"/>
  <c r="TC16" i="4"/>
  <c r="TD16" i="4"/>
  <c r="TE16" i="4"/>
  <c r="TF16" i="4"/>
  <c r="TQ16" i="4" s="1"/>
  <c r="TG16" i="4"/>
  <c r="TR16" i="4" s="1"/>
  <c r="TH16" i="4"/>
  <c r="AP34" i="19"/>
  <c r="AQ34" i="19"/>
  <c r="AR34" i="19"/>
  <c r="AS34" i="19"/>
  <c r="AU34" i="19"/>
  <c r="AV34" i="19"/>
  <c r="BS34" i="19"/>
  <c r="BT34" i="19"/>
  <c r="BU34" i="19"/>
  <c r="BV34" i="19"/>
  <c r="BX34" i="19"/>
  <c r="BY34" i="19"/>
  <c r="CV34" i="19"/>
  <c r="CW34" i="19"/>
  <c r="CX34" i="19"/>
  <c r="CY34" i="19"/>
  <c r="DA34" i="19"/>
  <c r="DB34" i="19"/>
  <c r="PW34" i="19"/>
  <c r="PX34" i="19"/>
  <c r="PY34" i="19"/>
  <c r="PZ34" i="19"/>
  <c r="QB34" i="19"/>
  <c r="QC34" i="19"/>
  <c r="QE34" i="19"/>
  <c r="QF34" i="19"/>
  <c r="QG34" i="19"/>
  <c r="QH34" i="19"/>
  <c r="QI34" i="19"/>
  <c r="QJ34" i="19"/>
  <c r="QK34" i="19"/>
  <c r="QL34" i="19"/>
  <c r="QM34" i="19"/>
  <c r="QN34" i="19"/>
  <c r="QO34" i="19"/>
  <c r="QP34" i="19"/>
  <c r="QQ34" i="19"/>
  <c r="QR34" i="19"/>
  <c r="QS34" i="19"/>
  <c r="QT34" i="19"/>
  <c r="QU34" i="19"/>
  <c r="QV34" i="19"/>
  <c r="QW34" i="19"/>
  <c r="QX34" i="19"/>
  <c r="AM23" i="4"/>
  <c r="AN23" i="4"/>
  <c r="AO23" i="4"/>
  <c r="AP23" i="4"/>
  <c r="AQ23" i="4"/>
  <c r="AR23" i="4"/>
  <c r="AT23" i="4"/>
  <c r="AU23" i="4"/>
  <c r="AV23" i="4"/>
  <c r="BN23" i="4"/>
  <c r="BO23" i="4"/>
  <c r="BP23" i="4"/>
  <c r="BT23" i="4" s="1"/>
  <c r="BQ23" i="4"/>
  <c r="BR23" i="4"/>
  <c r="BS23" i="4"/>
  <c r="BU23" i="4"/>
  <c r="BV23" i="4"/>
  <c r="BW23" i="4"/>
  <c r="CO23" i="4"/>
  <c r="CP23" i="4"/>
  <c r="CQ23" i="4"/>
  <c r="CR23" i="4"/>
  <c r="CS23" i="4"/>
  <c r="CT23" i="4"/>
  <c r="CV23" i="4"/>
  <c r="CW23" i="4"/>
  <c r="CX23" i="4"/>
  <c r="DV23" i="4"/>
  <c r="DW23" i="4"/>
  <c r="DX23" i="4"/>
  <c r="DY23" i="4"/>
  <c r="DZ23" i="4"/>
  <c r="EA23" i="4"/>
  <c r="EC23" i="4"/>
  <c r="ED23" i="4"/>
  <c r="EE23" i="4"/>
  <c r="EF23" i="4"/>
  <c r="EG23" i="4"/>
  <c r="EH23" i="4"/>
  <c r="FD23" i="4"/>
  <c r="FE23" i="4"/>
  <c r="FF23" i="4"/>
  <c r="FG23" i="4"/>
  <c r="FH23" i="4"/>
  <c r="FI23" i="4"/>
  <c r="FK23" i="4"/>
  <c r="FL23" i="4"/>
  <c r="FM23" i="4"/>
  <c r="FN23" i="4"/>
  <c r="FO23" i="4"/>
  <c r="FP23" i="4"/>
  <c r="GL23" i="4"/>
  <c r="GM23" i="4"/>
  <c r="GN23" i="4"/>
  <c r="GO23" i="4"/>
  <c r="GP23" i="4"/>
  <c r="GQ23" i="4"/>
  <c r="GS23" i="4"/>
  <c r="GT23" i="4"/>
  <c r="GU23" i="4"/>
  <c r="GV23" i="4"/>
  <c r="GW23" i="4"/>
  <c r="GX23" i="4"/>
  <c r="HT23" i="4"/>
  <c r="HU23" i="4"/>
  <c r="HV23" i="4"/>
  <c r="HW23" i="4"/>
  <c r="HX23" i="4"/>
  <c r="HY23" i="4"/>
  <c r="IA23" i="4"/>
  <c r="IB23" i="4"/>
  <c r="IC23" i="4"/>
  <c r="ID23" i="4"/>
  <c r="IE23" i="4"/>
  <c r="IF23" i="4"/>
  <c r="JB23" i="4"/>
  <c r="JC23" i="4"/>
  <c r="JD23" i="4"/>
  <c r="JE23" i="4"/>
  <c r="JF23" i="4"/>
  <c r="JG23" i="4"/>
  <c r="JI23" i="4"/>
  <c r="JJ23" i="4"/>
  <c r="JK23" i="4"/>
  <c r="JL23" i="4"/>
  <c r="JM23" i="4"/>
  <c r="JN23" i="4"/>
  <c r="KJ23" i="4"/>
  <c r="KK23" i="4"/>
  <c r="KL23" i="4"/>
  <c r="KM23" i="4"/>
  <c r="KN23" i="4"/>
  <c r="KO23" i="4"/>
  <c r="KQ23" i="4"/>
  <c r="KR23" i="4"/>
  <c r="KS23" i="4"/>
  <c r="KT23" i="4"/>
  <c r="KU23" i="4"/>
  <c r="KV23" i="4"/>
  <c r="LR23" i="4"/>
  <c r="LS23" i="4"/>
  <c r="LT23" i="4"/>
  <c r="LU23" i="4"/>
  <c r="LV23" i="4"/>
  <c r="LW23" i="4"/>
  <c r="LY23" i="4"/>
  <c r="LZ23" i="4"/>
  <c r="MA23" i="4"/>
  <c r="MB23" i="4"/>
  <c r="MC23" i="4"/>
  <c r="MD23" i="4"/>
  <c r="MZ23" i="4"/>
  <c r="NA23" i="4"/>
  <c r="NB23" i="4"/>
  <c r="NC23" i="4"/>
  <c r="ND23" i="4"/>
  <c r="NE23" i="4"/>
  <c r="NG23" i="4"/>
  <c r="NH23" i="4"/>
  <c r="NI23" i="4"/>
  <c r="NJ23" i="4"/>
  <c r="NK23" i="4"/>
  <c r="NL23" i="4"/>
  <c r="OH23" i="4"/>
  <c r="OI23" i="4"/>
  <c r="OJ23" i="4"/>
  <c r="OK23" i="4"/>
  <c r="OL23" i="4"/>
  <c r="OM23" i="4"/>
  <c r="OO23" i="4"/>
  <c r="OP23" i="4"/>
  <c r="OQ23" i="4"/>
  <c r="OR23" i="4"/>
  <c r="OS23" i="4"/>
  <c r="OT23" i="4"/>
  <c r="PP23" i="4"/>
  <c r="PQ23" i="4"/>
  <c r="PR23" i="4"/>
  <c r="PS23" i="4"/>
  <c r="PT23" i="4"/>
  <c r="PU23" i="4"/>
  <c r="PW23" i="4"/>
  <c r="PX23" i="4"/>
  <c r="PY23" i="4"/>
  <c r="PZ23" i="4"/>
  <c r="QA23" i="4"/>
  <c r="QB23" i="4"/>
  <c r="QX23" i="4"/>
  <c r="QY23" i="4"/>
  <c r="QZ23" i="4"/>
  <c r="RA23" i="4"/>
  <c r="RB23" i="4"/>
  <c r="RC23" i="4"/>
  <c r="RE23" i="4"/>
  <c r="RF23" i="4"/>
  <c r="RG23" i="4"/>
  <c r="RH23" i="4"/>
  <c r="RI23" i="4"/>
  <c r="RJ23" i="4"/>
  <c r="SF23" i="4"/>
  <c r="SG23" i="4"/>
  <c r="SH23" i="4"/>
  <c r="SI23" i="4"/>
  <c r="SJ23" i="4"/>
  <c r="SK23" i="4"/>
  <c r="SM23" i="4"/>
  <c r="SN23" i="4"/>
  <c r="SO23" i="4"/>
  <c r="SP23" i="4"/>
  <c r="SQ23" i="4"/>
  <c r="SR23" i="4"/>
  <c r="ST23" i="4"/>
  <c r="SU23" i="4"/>
  <c r="SV23" i="4"/>
  <c r="TJ23" i="4" s="1"/>
  <c r="SW23" i="4"/>
  <c r="TK23" i="4" s="1"/>
  <c r="SX23" i="4"/>
  <c r="SY23" i="4"/>
  <c r="SZ23" i="4"/>
  <c r="TA23" i="4"/>
  <c r="TM23" i="4" s="1"/>
  <c r="TB23" i="4"/>
  <c r="TN23" i="4" s="1"/>
  <c r="TC23" i="4"/>
  <c r="TD23" i="4"/>
  <c r="TE23" i="4"/>
  <c r="TF23" i="4"/>
  <c r="TG23" i="4"/>
  <c r="TR23" i="4" s="1"/>
  <c r="TH23" i="4"/>
  <c r="AM23" i="22"/>
  <c r="AN23" i="22"/>
  <c r="AO23" i="22"/>
  <c r="AP23" i="22"/>
  <c r="AQ23" i="22"/>
  <c r="AR23" i="22"/>
  <c r="AT23" i="22"/>
  <c r="AU23" i="22"/>
  <c r="AV23" i="22"/>
  <c r="BN23" i="22"/>
  <c r="BO23" i="22"/>
  <c r="BP23" i="22"/>
  <c r="BT23" i="22" s="1"/>
  <c r="BQ23" i="22"/>
  <c r="BR23" i="22"/>
  <c r="BS23" i="22"/>
  <c r="BU23" i="22"/>
  <c r="BV23" i="22"/>
  <c r="BW23" i="22"/>
  <c r="CO23" i="22"/>
  <c r="CP23" i="22"/>
  <c r="CQ23" i="22"/>
  <c r="CR23" i="22"/>
  <c r="CS23" i="22"/>
  <c r="CT23" i="22"/>
  <c r="CV23" i="22"/>
  <c r="CW23" i="22"/>
  <c r="CX23" i="22"/>
  <c r="DV23" i="22"/>
  <c r="DW23" i="22"/>
  <c r="DX23" i="22"/>
  <c r="DY23" i="22"/>
  <c r="DZ23" i="22"/>
  <c r="EA23" i="22"/>
  <c r="EC23" i="22"/>
  <c r="ED23" i="22"/>
  <c r="EE23" i="22"/>
  <c r="EF23" i="22"/>
  <c r="EG23" i="22"/>
  <c r="EH23" i="22"/>
  <c r="FD23" i="22"/>
  <c r="FE23" i="22"/>
  <c r="FF23" i="22"/>
  <c r="FG23" i="22"/>
  <c r="FH23" i="22"/>
  <c r="FI23" i="22"/>
  <c r="FK23" i="22"/>
  <c r="FL23" i="22"/>
  <c r="FM23" i="22"/>
  <c r="FN23" i="22"/>
  <c r="FO23" i="22"/>
  <c r="FP23" i="22"/>
  <c r="GL23" i="22"/>
  <c r="GM23" i="22"/>
  <c r="GN23" i="22"/>
  <c r="GO23" i="22"/>
  <c r="GP23" i="22"/>
  <c r="GQ23" i="22"/>
  <c r="GS23" i="22"/>
  <c r="GT23" i="22"/>
  <c r="GU23" i="22"/>
  <c r="GV23" i="22"/>
  <c r="GW23" i="22"/>
  <c r="GX23" i="22"/>
  <c r="HT23" i="22"/>
  <c r="HU23" i="22"/>
  <c r="HV23" i="22"/>
  <c r="HW23" i="22"/>
  <c r="HX23" i="22"/>
  <c r="HY23" i="22"/>
  <c r="IA23" i="22"/>
  <c r="IB23" i="22"/>
  <c r="IC23" i="22"/>
  <c r="ID23" i="22"/>
  <c r="IE23" i="22"/>
  <c r="IF23" i="22"/>
  <c r="JB23" i="22"/>
  <c r="JC23" i="22"/>
  <c r="JD23" i="22"/>
  <c r="JE23" i="22"/>
  <c r="JF23" i="22"/>
  <c r="JG23" i="22"/>
  <c r="JI23" i="22"/>
  <c r="JJ23" i="22"/>
  <c r="JK23" i="22"/>
  <c r="JL23" i="22"/>
  <c r="JM23" i="22"/>
  <c r="JN23" i="22"/>
  <c r="KJ23" i="22"/>
  <c r="KK23" i="22"/>
  <c r="KL23" i="22"/>
  <c r="KM23" i="22"/>
  <c r="KN23" i="22"/>
  <c r="KO23" i="22"/>
  <c r="KQ23" i="22"/>
  <c r="KR23" i="22"/>
  <c r="KS23" i="22"/>
  <c r="KT23" i="22"/>
  <c r="KU23" i="22"/>
  <c r="KV23" i="22"/>
  <c r="LR23" i="22"/>
  <c r="LS23" i="22"/>
  <c r="LT23" i="22"/>
  <c r="LU23" i="22"/>
  <c r="LV23" i="22"/>
  <c r="LW23" i="22"/>
  <c r="LY23" i="22"/>
  <c r="LZ23" i="22"/>
  <c r="MA23" i="22"/>
  <c r="MB23" i="22"/>
  <c r="MC23" i="22"/>
  <c r="MD23" i="22"/>
  <c r="MZ23" i="22"/>
  <c r="NA23" i="22"/>
  <c r="NB23" i="22"/>
  <c r="NC23" i="22"/>
  <c r="ND23" i="22"/>
  <c r="NE23" i="22"/>
  <c r="NG23" i="22"/>
  <c r="NH23" i="22"/>
  <c r="NI23" i="22"/>
  <c r="NJ23" i="22"/>
  <c r="NK23" i="22"/>
  <c r="NL23" i="22"/>
  <c r="OH23" i="22"/>
  <c r="OI23" i="22"/>
  <c r="OJ23" i="22"/>
  <c r="OK23" i="22"/>
  <c r="OL23" i="22"/>
  <c r="OM23" i="22"/>
  <c r="OO23" i="22"/>
  <c r="OP23" i="22"/>
  <c r="OQ23" i="22"/>
  <c r="OR23" i="22"/>
  <c r="OS23" i="22"/>
  <c r="OT23" i="22"/>
  <c r="PP23" i="22"/>
  <c r="PQ23" i="22"/>
  <c r="PR23" i="22"/>
  <c r="PS23" i="22"/>
  <c r="PT23" i="22"/>
  <c r="PU23" i="22"/>
  <c r="PW23" i="22"/>
  <c r="PX23" i="22"/>
  <c r="PY23" i="22"/>
  <c r="PZ23" i="22"/>
  <c r="QA23" i="22"/>
  <c r="QB23" i="22"/>
  <c r="QX23" i="22"/>
  <c r="QY23" i="22"/>
  <c r="QZ23" i="22"/>
  <c r="RA23" i="22"/>
  <c r="RB23" i="22"/>
  <c r="RC23" i="22"/>
  <c r="RE23" i="22"/>
  <c r="RF23" i="22"/>
  <c r="RG23" i="22"/>
  <c r="RH23" i="22"/>
  <c r="RI23" i="22"/>
  <c r="RJ23" i="22"/>
  <c r="SF23" i="22"/>
  <c r="SG23" i="22"/>
  <c r="SH23" i="22"/>
  <c r="SI23" i="22"/>
  <c r="SJ23" i="22"/>
  <c r="SK23" i="22"/>
  <c r="SM23" i="22"/>
  <c r="SN23" i="22"/>
  <c r="SO23" i="22"/>
  <c r="SP23" i="22"/>
  <c r="SQ23" i="22"/>
  <c r="SR23" i="22"/>
  <c r="ST23" i="22"/>
  <c r="SU23" i="22"/>
  <c r="SV23" i="22"/>
  <c r="TJ23" i="22" s="1"/>
  <c r="SW23" i="22"/>
  <c r="TK23" i="22" s="1"/>
  <c r="SX23" i="22"/>
  <c r="SY23" i="22"/>
  <c r="SZ23" i="22"/>
  <c r="TA23" i="22"/>
  <c r="TM23" i="22" s="1"/>
  <c r="TB23" i="22"/>
  <c r="TN23" i="22" s="1"/>
  <c r="TC23" i="22"/>
  <c r="TD23" i="22"/>
  <c r="TE23" i="22"/>
  <c r="TF23" i="22"/>
  <c r="TQ23" i="22" s="1"/>
  <c r="TG23" i="22"/>
  <c r="TR23" i="22" s="1"/>
  <c r="TH23" i="22"/>
  <c r="AM24" i="22"/>
  <c r="AN24" i="22"/>
  <c r="AO24" i="22"/>
  <c r="AP24" i="22"/>
  <c r="AQ24" i="22"/>
  <c r="AR24" i="22"/>
  <c r="AT24" i="22"/>
  <c r="AU24" i="22"/>
  <c r="AV24" i="22"/>
  <c r="BN24" i="22"/>
  <c r="BO24" i="22"/>
  <c r="BP24" i="22"/>
  <c r="BT24" i="22" s="1"/>
  <c r="BQ24" i="22"/>
  <c r="BR24" i="22"/>
  <c r="BS24" i="22"/>
  <c r="BU24" i="22"/>
  <c r="BV24" i="22"/>
  <c r="BW24" i="22"/>
  <c r="CO24" i="22"/>
  <c r="CP24" i="22"/>
  <c r="CQ24" i="22"/>
  <c r="CR24" i="22"/>
  <c r="CS24" i="22"/>
  <c r="CT24" i="22"/>
  <c r="CV24" i="22"/>
  <c r="CW24" i="22"/>
  <c r="CX24" i="22"/>
  <c r="DV24" i="22"/>
  <c r="DW24" i="22"/>
  <c r="DX24" i="22"/>
  <c r="DY24" i="22"/>
  <c r="DZ24" i="22"/>
  <c r="EA24" i="22"/>
  <c r="EC24" i="22"/>
  <c r="ED24" i="22"/>
  <c r="EE24" i="22"/>
  <c r="EF24" i="22"/>
  <c r="EG24" i="22"/>
  <c r="EH24" i="22"/>
  <c r="FD24" i="22"/>
  <c r="FE24" i="22"/>
  <c r="FF24" i="22"/>
  <c r="FG24" i="22"/>
  <c r="FH24" i="22"/>
  <c r="FI24" i="22"/>
  <c r="FK24" i="22"/>
  <c r="FL24" i="22"/>
  <c r="FM24" i="22"/>
  <c r="FN24" i="22"/>
  <c r="FO24" i="22"/>
  <c r="FP24" i="22"/>
  <c r="GL24" i="22"/>
  <c r="GM24" i="22"/>
  <c r="GN24" i="22"/>
  <c r="GO24" i="22"/>
  <c r="GP24" i="22"/>
  <c r="GQ24" i="22"/>
  <c r="GS24" i="22"/>
  <c r="GT24" i="22"/>
  <c r="GU24" i="22"/>
  <c r="GV24" i="22"/>
  <c r="GW24" i="22"/>
  <c r="GX24" i="22"/>
  <c r="HT24" i="22"/>
  <c r="HU24" i="22"/>
  <c r="HV24" i="22"/>
  <c r="HW24" i="22"/>
  <c r="HX24" i="22"/>
  <c r="HY24" i="22"/>
  <c r="IA24" i="22"/>
  <c r="IB24" i="22"/>
  <c r="IC24" i="22"/>
  <c r="ID24" i="22"/>
  <c r="IE24" i="22"/>
  <c r="IF24" i="22"/>
  <c r="JB24" i="22"/>
  <c r="JC24" i="22"/>
  <c r="JD24" i="22"/>
  <c r="JE24" i="22"/>
  <c r="JF24" i="22"/>
  <c r="JG24" i="22"/>
  <c r="JI24" i="22"/>
  <c r="JJ24" i="22"/>
  <c r="JK24" i="22"/>
  <c r="JL24" i="22"/>
  <c r="JM24" i="22"/>
  <c r="JN24" i="22"/>
  <c r="KJ24" i="22"/>
  <c r="KK24" i="22"/>
  <c r="KL24" i="22"/>
  <c r="KM24" i="22"/>
  <c r="KN24" i="22"/>
  <c r="KO24" i="22"/>
  <c r="KQ24" i="22"/>
  <c r="KR24" i="22"/>
  <c r="KS24" i="22"/>
  <c r="KT24" i="22"/>
  <c r="KU24" i="22"/>
  <c r="KV24" i="22"/>
  <c r="LR24" i="22"/>
  <c r="LS24" i="22"/>
  <c r="LT24" i="22"/>
  <c r="LU24" i="22"/>
  <c r="LV24" i="22"/>
  <c r="LW24" i="22"/>
  <c r="LY24" i="22"/>
  <c r="LZ24" i="22"/>
  <c r="MA24" i="22"/>
  <c r="MB24" i="22"/>
  <c r="MC24" i="22"/>
  <c r="MD24" i="22"/>
  <c r="MZ24" i="22"/>
  <c r="NA24" i="22"/>
  <c r="NB24" i="22"/>
  <c r="NC24" i="22"/>
  <c r="ND24" i="22"/>
  <c r="NE24" i="22"/>
  <c r="NG24" i="22"/>
  <c r="NH24" i="22"/>
  <c r="NI24" i="22"/>
  <c r="NJ24" i="22"/>
  <c r="NK24" i="22"/>
  <c r="NL24" i="22"/>
  <c r="OH24" i="22"/>
  <c r="OI24" i="22"/>
  <c r="OJ24" i="22"/>
  <c r="OK24" i="22"/>
  <c r="OL24" i="22"/>
  <c r="OM24" i="22"/>
  <c r="OO24" i="22"/>
  <c r="OP24" i="22"/>
  <c r="OQ24" i="22"/>
  <c r="OR24" i="22"/>
  <c r="OS24" i="22"/>
  <c r="OT24" i="22"/>
  <c r="PP24" i="22"/>
  <c r="PQ24" i="22"/>
  <c r="PR24" i="22"/>
  <c r="PS24" i="22"/>
  <c r="PT24" i="22"/>
  <c r="PU24" i="22"/>
  <c r="PW24" i="22"/>
  <c r="PX24" i="22"/>
  <c r="PY24" i="22"/>
  <c r="PZ24" i="22"/>
  <c r="QA24" i="22"/>
  <c r="QB24" i="22"/>
  <c r="QX24" i="22"/>
  <c r="QY24" i="22"/>
  <c r="QZ24" i="22"/>
  <c r="RA24" i="22"/>
  <c r="RB24" i="22"/>
  <c r="RC24" i="22"/>
  <c r="RE24" i="22"/>
  <c r="RF24" i="22"/>
  <c r="RG24" i="22"/>
  <c r="RH24" i="22"/>
  <c r="RI24" i="22"/>
  <c r="RJ24" i="22"/>
  <c r="SF24" i="22"/>
  <c r="SG24" i="22"/>
  <c r="SH24" i="22"/>
  <c r="SI24" i="22"/>
  <c r="SJ24" i="22"/>
  <c r="SK24" i="22"/>
  <c r="SM24" i="22"/>
  <c r="SN24" i="22"/>
  <c r="SO24" i="22"/>
  <c r="SP24" i="22"/>
  <c r="SQ24" i="22"/>
  <c r="SR24" i="22"/>
  <c r="ST24" i="22"/>
  <c r="SU24" i="22"/>
  <c r="SV24" i="22"/>
  <c r="TJ24" i="22" s="1"/>
  <c r="SW24" i="22"/>
  <c r="TK24" i="22" s="1"/>
  <c r="SX24" i="22"/>
  <c r="SY24" i="22"/>
  <c r="SZ24" i="22"/>
  <c r="TA24" i="22"/>
  <c r="TM24" i="22" s="1"/>
  <c r="TB24" i="22"/>
  <c r="TN24" i="22" s="1"/>
  <c r="TC24" i="22"/>
  <c r="TD24" i="22"/>
  <c r="TE24" i="22"/>
  <c r="TF24" i="22"/>
  <c r="TQ24" i="22" s="1"/>
  <c r="TG24" i="22"/>
  <c r="TR24" i="22" s="1"/>
  <c r="TH24" i="22"/>
  <c r="AM18" i="22"/>
  <c r="AN18" i="22"/>
  <c r="AO18" i="22"/>
  <c r="AP18" i="22"/>
  <c r="AQ18" i="22"/>
  <c r="AR18" i="22"/>
  <c r="AT18" i="22"/>
  <c r="AU18" i="22"/>
  <c r="AV18" i="22"/>
  <c r="BN18" i="22"/>
  <c r="BO18" i="22"/>
  <c r="BP18" i="22"/>
  <c r="BT18" i="22" s="1"/>
  <c r="BQ18" i="22"/>
  <c r="BR18" i="22"/>
  <c r="BS18" i="22"/>
  <c r="BU18" i="22"/>
  <c r="BV18" i="22"/>
  <c r="BW18" i="22"/>
  <c r="CO18" i="22"/>
  <c r="CP18" i="22"/>
  <c r="CQ18" i="22"/>
  <c r="CR18" i="22"/>
  <c r="CS18" i="22"/>
  <c r="CT18" i="22"/>
  <c r="CV18" i="22"/>
  <c r="CW18" i="22"/>
  <c r="CX18" i="22"/>
  <c r="DV18" i="22"/>
  <c r="DW18" i="22"/>
  <c r="DX18" i="22"/>
  <c r="DY18" i="22"/>
  <c r="DZ18" i="22"/>
  <c r="EA18" i="22"/>
  <c r="EC18" i="22"/>
  <c r="ED18" i="22"/>
  <c r="EE18" i="22"/>
  <c r="EF18" i="22"/>
  <c r="EG18" i="22"/>
  <c r="EH18" i="22"/>
  <c r="FD18" i="22"/>
  <c r="FE18" i="22"/>
  <c r="FF18" i="22"/>
  <c r="FG18" i="22"/>
  <c r="FH18" i="22"/>
  <c r="FI18" i="22"/>
  <c r="FK18" i="22"/>
  <c r="FL18" i="22"/>
  <c r="FM18" i="22"/>
  <c r="FN18" i="22"/>
  <c r="FO18" i="22"/>
  <c r="FP18" i="22"/>
  <c r="GL18" i="22"/>
  <c r="GM18" i="22"/>
  <c r="GN18" i="22"/>
  <c r="GO18" i="22"/>
  <c r="GP18" i="22"/>
  <c r="GQ18" i="22"/>
  <c r="GS18" i="22"/>
  <c r="GT18" i="22"/>
  <c r="GU18" i="22"/>
  <c r="GV18" i="22"/>
  <c r="GW18" i="22"/>
  <c r="GX18" i="22"/>
  <c r="HT18" i="22"/>
  <c r="HU18" i="22"/>
  <c r="HV18" i="22"/>
  <c r="HW18" i="22"/>
  <c r="HX18" i="22"/>
  <c r="HY18" i="22"/>
  <c r="IA18" i="22"/>
  <c r="IB18" i="22"/>
  <c r="IC18" i="22"/>
  <c r="ID18" i="22"/>
  <c r="IE18" i="22"/>
  <c r="IF18" i="22"/>
  <c r="JB18" i="22"/>
  <c r="JC18" i="22"/>
  <c r="JD18" i="22"/>
  <c r="JE18" i="22"/>
  <c r="JF18" i="22"/>
  <c r="JG18" i="22"/>
  <c r="JI18" i="22"/>
  <c r="JJ18" i="22"/>
  <c r="JK18" i="22"/>
  <c r="JL18" i="22"/>
  <c r="JM18" i="22"/>
  <c r="JN18" i="22"/>
  <c r="KJ18" i="22"/>
  <c r="KK18" i="22"/>
  <c r="KL18" i="22"/>
  <c r="KM18" i="22"/>
  <c r="KN18" i="22"/>
  <c r="KO18" i="22"/>
  <c r="KQ18" i="22"/>
  <c r="KR18" i="22"/>
  <c r="KS18" i="22"/>
  <c r="KT18" i="22"/>
  <c r="KU18" i="22"/>
  <c r="KV18" i="22"/>
  <c r="LR18" i="22"/>
  <c r="LS18" i="22"/>
  <c r="LT18" i="22"/>
  <c r="LU18" i="22"/>
  <c r="LV18" i="22"/>
  <c r="LW18" i="22"/>
  <c r="LY18" i="22"/>
  <c r="LZ18" i="22"/>
  <c r="MA18" i="22"/>
  <c r="MB18" i="22"/>
  <c r="MC18" i="22"/>
  <c r="MD18" i="22"/>
  <c r="MZ18" i="22"/>
  <c r="NA18" i="22"/>
  <c r="NB18" i="22"/>
  <c r="NC18" i="22"/>
  <c r="ND18" i="22"/>
  <c r="NE18" i="22"/>
  <c r="NG18" i="22"/>
  <c r="NH18" i="22"/>
  <c r="NI18" i="22"/>
  <c r="NJ18" i="22"/>
  <c r="NK18" i="22"/>
  <c r="NL18" i="22"/>
  <c r="OH18" i="22"/>
  <c r="OI18" i="22"/>
  <c r="OJ18" i="22"/>
  <c r="OK18" i="22"/>
  <c r="OL18" i="22"/>
  <c r="OM18" i="22"/>
  <c r="OO18" i="22"/>
  <c r="OP18" i="22"/>
  <c r="OQ18" i="22"/>
  <c r="OR18" i="22"/>
  <c r="OS18" i="22"/>
  <c r="OT18" i="22"/>
  <c r="PP18" i="22"/>
  <c r="PQ18" i="22"/>
  <c r="PR18" i="22"/>
  <c r="PS18" i="22"/>
  <c r="PT18" i="22"/>
  <c r="PU18" i="22"/>
  <c r="PW18" i="22"/>
  <c r="PX18" i="22"/>
  <c r="PY18" i="22"/>
  <c r="PZ18" i="22"/>
  <c r="QA18" i="22"/>
  <c r="QB18" i="22"/>
  <c r="QX18" i="22"/>
  <c r="QY18" i="22"/>
  <c r="QZ18" i="22"/>
  <c r="RA18" i="22"/>
  <c r="RB18" i="22"/>
  <c r="RC18" i="22"/>
  <c r="RE18" i="22"/>
  <c r="RF18" i="22"/>
  <c r="RG18" i="22"/>
  <c r="RH18" i="22"/>
  <c r="RI18" i="22"/>
  <c r="RJ18" i="22"/>
  <c r="SF18" i="22"/>
  <c r="SG18" i="22"/>
  <c r="SH18" i="22"/>
  <c r="SI18" i="22"/>
  <c r="SJ18" i="22"/>
  <c r="SK18" i="22"/>
  <c r="SM18" i="22"/>
  <c r="SN18" i="22"/>
  <c r="SO18" i="22"/>
  <c r="SP18" i="22"/>
  <c r="SQ18" i="22"/>
  <c r="SR18" i="22"/>
  <c r="ST18" i="22"/>
  <c r="SU18" i="22"/>
  <c r="SV18" i="22"/>
  <c r="TJ18" i="22" s="1"/>
  <c r="SW18" i="22"/>
  <c r="TK18" i="22" s="1"/>
  <c r="SX18" i="22"/>
  <c r="SY18" i="22"/>
  <c r="SZ18" i="22"/>
  <c r="TA18" i="22"/>
  <c r="TM18" i="22" s="1"/>
  <c r="TB18" i="22"/>
  <c r="TN18" i="22" s="1"/>
  <c r="TC18" i="22"/>
  <c r="TD18" i="22"/>
  <c r="TE18" i="22"/>
  <c r="TF18" i="22"/>
  <c r="TQ18" i="22" s="1"/>
  <c r="TG18" i="22"/>
  <c r="TR18" i="22" s="1"/>
  <c r="TH18" i="22"/>
  <c r="BY23" i="21"/>
  <c r="BX23" i="21"/>
  <c r="BV23" i="21"/>
  <c r="BU23" i="21"/>
  <c r="BT23" i="21"/>
  <c r="BS23" i="21"/>
  <c r="BY24" i="21"/>
  <c r="BX24" i="21"/>
  <c r="BV24" i="21"/>
  <c r="BU24" i="21"/>
  <c r="BT24" i="21"/>
  <c r="BS24" i="21"/>
  <c r="BY25" i="21"/>
  <c r="BX25" i="21"/>
  <c r="BV25" i="21"/>
  <c r="BU25" i="21"/>
  <c r="BT25" i="21"/>
  <c r="BS25" i="21"/>
  <c r="BY13" i="21"/>
  <c r="BX13" i="21"/>
  <c r="BV13" i="21"/>
  <c r="BU13" i="21"/>
  <c r="BT13" i="21"/>
  <c r="BS13" i="21"/>
  <c r="BY21" i="21"/>
  <c r="BX21" i="21"/>
  <c r="BV21" i="21"/>
  <c r="BU21" i="21"/>
  <c r="BT21" i="21"/>
  <c r="BS21" i="21"/>
  <c r="BY17" i="21"/>
  <c r="BX17" i="21"/>
  <c r="BV17" i="21"/>
  <c r="BU17" i="21"/>
  <c r="BT17" i="21"/>
  <c r="BS17" i="21"/>
  <c r="BY22" i="21"/>
  <c r="BX22" i="21"/>
  <c r="BV22" i="21"/>
  <c r="BU22" i="21"/>
  <c r="BT22" i="21"/>
  <c r="BS22" i="21"/>
  <c r="BY18" i="21"/>
  <c r="BX18" i="21"/>
  <c r="BV18" i="21"/>
  <c r="BU18" i="21"/>
  <c r="BT18" i="21"/>
  <c r="BS18" i="21"/>
  <c r="BY14" i="21"/>
  <c r="BX14" i="21"/>
  <c r="BV14" i="21"/>
  <c r="BU14" i="21"/>
  <c r="BT14" i="21"/>
  <c r="BS14" i="21"/>
  <c r="BY8" i="21"/>
  <c r="BX8" i="21"/>
  <c r="BV8" i="21"/>
  <c r="BU8" i="21"/>
  <c r="BT8" i="21"/>
  <c r="BS8" i="21"/>
  <c r="BY15" i="21"/>
  <c r="BX15" i="21"/>
  <c r="BV15" i="21"/>
  <c r="BU15" i="21"/>
  <c r="BT15" i="21"/>
  <c r="BS15" i="21"/>
  <c r="BY16" i="21"/>
  <c r="BX16" i="21"/>
  <c r="BV16" i="21"/>
  <c r="BU16" i="21"/>
  <c r="BT16" i="21"/>
  <c r="BS16" i="21"/>
  <c r="BY11" i="21"/>
  <c r="BX11" i="21"/>
  <c r="BV11" i="21"/>
  <c r="BU11" i="21"/>
  <c r="BT11" i="21"/>
  <c r="BS11" i="21"/>
  <c r="BY19" i="21"/>
  <c r="BX19" i="21"/>
  <c r="BV19" i="21"/>
  <c r="BU19" i="21"/>
  <c r="BT19" i="21"/>
  <c r="BS19" i="21"/>
  <c r="BY10" i="21"/>
  <c r="BX10" i="21"/>
  <c r="BV10" i="21"/>
  <c r="BU10" i="21"/>
  <c r="BT10" i="21"/>
  <c r="BS10" i="21"/>
  <c r="BY7" i="21"/>
  <c r="BX7" i="21"/>
  <c r="BV7" i="21"/>
  <c r="BU7" i="21"/>
  <c r="BT7" i="21"/>
  <c r="BS7" i="21"/>
  <c r="BY6" i="21"/>
  <c r="BX6" i="21"/>
  <c r="BV6" i="21"/>
  <c r="BU6" i="21"/>
  <c r="BT6" i="21"/>
  <c r="BS6" i="21"/>
  <c r="BY5" i="21"/>
  <c r="BX5" i="21"/>
  <c r="BV5" i="21"/>
  <c r="BU5" i="21"/>
  <c r="BT5" i="21"/>
  <c r="BS5" i="21"/>
  <c r="BY4" i="21"/>
  <c r="BX4" i="21"/>
  <c r="BV4" i="21"/>
  <c r="BU4" i="21"/>
  <c r="BT4" i="21"/>
  <c r="BS4" i="21"/>
  <c r="AV23" i="21"/>
  <c r="AU23" i="21"/>
  <c r="AS23" i="21"/>
  <c r="AR23" i="21"/>
  <c r="AQ23" i="21"/>
  <c r="AP23" i="21"/>
  <c r="AV24" i="21"/>
  <c r="AU24" i="21"/>
  <c r="AS24" i="21"/>
  <c r="AR24" i="21"/>
  <c r="AQ24" i="21"/>
  <c r="AP24" i="21"/>
  <c r="AV25" i="21"/>
  <c r="AU25" i="21"/>
  <c r="AS25" i="21"/>
  <c r="AR25" i="21"/>
  <c r="AQ25" i="21"/>
  <c r="AP25" i="21"/>
  <c r="AV13" i="21"/>
  <c r="AU13" i="21"/>
  <c r="AS13" i="21"/>
  <c r="AR13" i="21"/>
  <c r="AQ13" i="21"/>
  <c r="AP13" i="21"/>
  <c r="AV21" i="21"/>
  <c r="AU21" i="21"/>
  <c r="AS21" i="21"/>
  <c r="AR21" i="21"/>
  <c r="AQ21" i="21"/>
  <c r="AP21" i="21"/>
  <c r="AV17" i="21"/>
  <c r="AU17" i="21"/>
  <c r="AS17" i="21"/>
  <c r="AR17" i="21"/>
  <c r="AQ17" i="21"/>
  <c r="AP17" i="21"/>
  <c r="AV22" i="21"/>
  <c r="AU22" i="21"/>
  <c r="AS22" i="21"/>
  <c r="AR22" i="21"/>
  <c r="AQ22" i="21"/>
  <c r="AP22" i="21"/>
  <c r="AV18" i="21"/>
  <c r="AU18" i="21"/>
  <c r="AS18" i="21"/>
  <c r="AR18" i="21"/>
  <c r="AQ18" i="21"/>
  <c r="AP18" i="21"/>
  <c r="AV14" i="21"/>
  <c r="AU14" i="21"/>
  <c r="AS14" i="21"/>
  <c r="AR14" i="21"/>
  <c r="AQ14" i="21"/>
  <c r="AW14" i="21" s="1"/>
  <c r="AP14" i="21"/>
  <c r="AV8" i="21"/>
  <c r="AU8" i="21"/>
  <c r="AS8" i="21"/>
  <c r="AR8" i="21"/>
  <c r="AQ8" i="21"/>
  <c r="AP8" i="21"/>
  <c r="AV15" i="21"/>
  <c r="AU15" i="21"/>
  <c r="AS15" i="21"/>
  <c r="AR15" i="21"/>
  <c r="AQ15" i="21"/>
  <c r="AP15" i="21"/>
  <c r="AV16" i="21"/>
  <c r="AU16" i="21"/>
  <c r="AS16" i="21"/>
  <c r="AR16" i="21"/>
  <c r="AQ16" i="21"/>
  <c r="AP16" i="21"/>
  <c r="AV11" i="21"/>
  <c r="AU11" i="21"/>
  <c r="AS11" i="21"/>
  <c r="AR11" i="21"/>
  <c r="AQ11" i="21"/>
  <c r="AW11" i="21" s="1"/>
  <c r="AP11" i="21"/>
  <c r="AV19" i="21"/>
  <c r="AU19" i="21"/>
  <c r="AS19" i="21"/>
  <c r="AR19" i="21"/>
  <c r="AQ19" i="21"/>
  <c r="AP19" i="21"/>
  <c r="AV10" i="21"/>
  <c r="AU10" i="21"/>
  <c r="AS10" i="21"/>
  <c r="AR10" i="21"/>
  <c r="AQ10" i="21"/>
  <c r="AP10" i="21"/>
  <c r="AV7" i="21"/>
  <c r="AU7" i="21"/>
  <c r="AS7" i="21"/>
  <c r="AR7" i="21"/>
  <c r="AQ7" i="21"/>
  <c r="AP7" i="21"/>
  <c r="AV6" i="21"/>
  <c r="AU6" i="21"/>
  <c r="AS6" i="21"/>
  <c r="AR6" i="21"/>
  <c r="AQ6" i="21"/>
  <c r="AW6" i="21" s="1"/>
  <c r="AP6" i="21"/>
  <c r="AV5" i="21"/>
  <c r="AU5" i="21"/>
  <c r="AS5" i="21"/>
  <c r="AR5" i="21"/>
  <c r="AQ5" i="21"/>
  <c r="AP5" i="21"/>
  <c r="AV4" i="21"/>
  <c r="AU4" i="21"/>
  <c r="AS4" i="21"/>
  <c r="AR4" i="21"/>
  <c r="AQ4" i="21"/>
  <c r="AP4" i="21"/>
  <c r="BY36" i="19"/>
  <c r="BX36" i="19"/>
  <c r="BV36" i="19"/>
  <c r="BU36" i="19"/>
  <c r="BT36" i="19"/>
  <c r="BS36" i="19"/>
  <c r="BY18" i="19"/>
  <c r="BX18" i="19"/>
  <c r="BV18" i="19"/>
  <c r="BU18" i="19"/>
  <c r="BT18" i="19"/>
  <c r="BS18" i="19"/>
  <c r="BY27" i="19"/>
  <c r="BX27" i="19"/>
  <c r="BV27" i="19"/>
  <c r="BU27" i="19"/>
  <c r="BT27" i="19"/>
  <c r="BS27" i="19"/>
  <c r="BY33" i="19"/>
  <c r="BX33" i="19"/>
  <c r="BV33" i="19"/>
  <c r="BU33" i="19"/>
  <c r="BT33" i="19"/>
  <c r="BS33" i="19"/>
  <c r="BY16" i="19"/>
  <c r="BX16" i="19"/>
  <c r="BV16" i="19"/>
  <c r="BU16" i="19"/>
  <c r="BT16" i="19"/>
  <c r="BS16" i="19"/>
  <c r="BY14" i="19"/>
  <c r="BX14" i="19"/>
  <c r="BV14" i="19"/>
  <c r="BU14" i="19"/>
  <c r="BT14" i="19"/>
  <c r="BS14" i="19"/>
  <c r="BY20" i="19"/>
  <c r="BX20" i="19"/>
  <c r="BV20" i="19"/>
  <c r="BU20" i="19"/>
  <c r="BT20" i="19"/>
  <c r="BS20" i="19"/>
  <c r="BY35" i="19"/>
  <c r="BX35" i="19"/>
  <c r="BV35" i="19"/>
  <c r="BU35" i="19"/>
  <c r="BT35" i="19"/>
  <c r="BS35" i="19"/>
  <c r="BY12" i="19"/>
  <c r="BX12" i="19"/>
  <c r="BV12" i="19"/>
  <c r="BU12" i="19"/>
  <c r="BT12" i="19"/>
  <c r="BS12" i="19"/>
  <c r="BY15" i="19"/>
  <c r="BX15" i="19"/>
  <c r="BV15" i="19"/>
  <c r="BU15" i="19"/>
  <c r="BT15" i="19"/>
  <c r="BS15" i="19"/>
  <c r="BY25" i="19"/>
  <c r="BX25" i="19"/>
  <c r="BV25" i="19"/>
  <c r="BU25" i="19"/>
  <c r="BT25" i="19"/>
  <c r="BS25" i="19"/>
  <c r="BY29" i="19"/>
  <c r="BX29" i="19"/>
  <c r="BV29" i="19"/>
  <c r="BU29" i="19"/>
  <c r="BT29" i="19"/>
  <c r="BS29" i="19"/>
  <c r="BY22" i="19"/>
  <c r="BX22" i="19"/>
  <c r="BV22" i="19"/>
  <c r="BU22" i="19"/>
  <c r="BT22" i="19"/>
  <c r="BS22" i="19"/>
  <c r="BY32" i="19"/>
  <c r="BX32" i="19"/>
  <c r="BV32" i="19"/>
  <c r="BU32" i="19"/>
  <c r="BT32" i="19"/>
  <c r="BS32" i="19"/>
  <c r="BY23" i="19"/>
  <c r="BX23" i="19"/>
  <c r="BV23" i="19"/>
  <c r="BU23" i="19"/>
  <c r="BT23" i="19"/>
  <c r="BS23" i="19"/>
  <c r="BY28" i="19"/>
  <c r="BX28" i="19"/>
  <c r="BV28" i="19"/>
  <c r="BU28" i="19"/>
  <c r="BT28" i="19"/>
  <c r="BS28" i="19"/>
  <c r="BY11" i="19"/>
  <c r="BX11" i="19"/>
  <c r="BV11" i="19"/>
  <c r="BU11" i="19"/>
  <c r="BT11" i="19"/>
  <c r="BS11" i="19"/>
  <c r="BY31" i="19"/>
  <c r="BX31" i="19"/>
  <c r="BV31" i="19"/>
  <c r="BU31" i="19"/>
  <c r="BT31" i="19"/>
  <c r="BS31" i="19"/>
  <c r="BY19" i="19"/>
  <c r="BX19" i="19"/>
  <c r="BV19" i="19"/>
  <c r="BU19" i="19"/>
  <c r="BT19" i="19"/>
  <c r="BS19" i="19"/>
  <c r="BY21" i="19"/>
  <c r="BX21" i="19"/>
  <c r="BV21" i="19"/>
  <c r="BU21" i="19"/>
  <c r="BT21" i="19"/>
  <c r="BS21" i="19"/>
  <c r="BY10" i="19"/>
  <c r="BX10" i="19"/>
  <c r="BV10" i="19"/>
  <c r="BU10" i="19"/>
  <c r="BT10" i="19"/>
  <c r="BS10" i="19"/>
  <c r="BY13" i="19"/>
  <c r="BX13" i="19"/>
  <c r="BV13" i="19"/>
  <c r="BU13" i="19"/>
  <c r="BT13" i="19"/>
  <c r="BS13" i="19"/>
  <c r="BY9" i="19"/>
  <c r="BX9" i="19"/>
  <c r="BV9" i="19"/>
  <c r="BU9" i="19"/>
  <c r="BT9" i="19"/>
  <c r="BS9" i="19"/>
  <c r="BY8" i="19"/>
  <c r="BX8" i="19"/>
  <c r="BV8" i="19"/>
  <c r="BU8" i="19"/>
  <c r="BT8" i="19"/>
  <c r="BS8" i="19"/>
  <c r="BY7" i="19"/>
  <c r="BX7" i="19"/>
  <c r="BV7" i="19"/>
  <c r="BU7" i="19"/>
  <c r="BT7" i="19"/>
  <c r="BS7" i="19"/>
  <c r="BY6" i="19"/>
  <c r="BX6" i="19"/>
  <c r="BV6" i="19"/>
  <c r="BU6" i="19"/>
  <c r="BT6" i="19"/>
  <c r="BS6" i="19"/>
  <c r="BY4" i="19"/>
  <c r="BX4" i="19"/>
  <c r="BV4" i="19"/>
  <c r="BU4" i="19"/>
  <c r="BT4" i="19"/>
  <c r="BS4" i="19"/>
  <c r="BY5" i="19"/>
  <c r="BX5" i="19"/>
  <c r="BV5" i="19"/>
  <c r="BU5" i="19"/>
  <c r="BT5" i="19"/>
  <c r="BS5" i="19"/>
  <c r="AV36" i="19"/>
  <c r="AU36" i="19"/>
  <c r="AS36" i="19"/>
  <c r="AR36" i="19"/>
  <c r="AQ36" i="19"/>
  <c r="AP36" i="19"/>
  <c r="AV18" i="19"/>
  <c r="AU18" i="19"/>
  <c r="AS18" i="19"/>
  <c r="AR18" i="19"/>
  <c r="AQ18" i="19"/>
  <c r="AP18" i="19"/>
  <c r="AV27" i="19"/>
  <c r="AU27" i="19"/>
  <c r="AS27" i="19"/>
  <c r="AR27" i="19"/>
  <c r="AQ27" i="19"/>
  <c r="AP27" i="19"/>
  <c r="AV33" i="19"/>
  <c r="AU33" i="19"/>
  <c r="AS33" i="19"/>
  <c r="AR33" i="19"/>
  <c r="AQ33" i="19"/>
  <c r="AP33" i="19"/>
  <c r="AV16" i="19"/>
  <c r="AU16" i="19"/>
  <c r="AS16" i="19"/>
  <c r="AR16" i="19"/>
  <c r="AQ16" i="19"/>
  <c r="AP16" i="19"/>
  <c r="AV14" i="19"/>
  <c r="AU14" i="19"/>
  <c r="AS14" i="19"/>
  <c r="AR14" i="19"/>
  <c r="AQ14" i="19"/>
  <c r="AP14" i="19"/>
  <c r="AV20" i="19"/>
  <c r="AU20" i="19"/>
  <c r="AS20" i="19"/>
  <c r="AR20" i="19"/>
  <c r="AQ20" i="19"/>
  <c r="AP20" i="19"/>
  <c r="AV35" i="19"/>
  <c r="AU35" i="19"/>
  <c r="AS35" i="19"/>
  <c r="AR35" i="19"/>
  <c r="AQ35" i="19"/>
  <c r="AP35" i="19"/>
  <c r="AV12" i="19"/>
  <c r="AU12" i="19"/>
  <c r="AS12" i="19"/>
  <c r="AR12" i="19"/>
  <c r="AQ12" i="19"/>
  <c r="AP12" i="19"/>
  <c r="AV15" i="19"/>
  <c r="AU15" i="19"/>
  <c r="AS15" i="19"/>
  <c r="AR15" i="19"/>
  <c r="AQ15" i="19"/>
  <c r="AP15" i="19"/>
  <c r="AV25" i="19"/>
  <c r="AU25" i="19"/>
  <c r="AS25" i="19"/>
  <c r="AR25" i="19"/>
  <c r="AQ25" i="19"/>
  <c r="AP25" i="19"/>
  <c r="AV29" i="19"/>
  <c r="AU29" i="19"/>
  <c r="AS29" i="19"/>
  <c r="AR29" i="19"/>
  <c r="AQ29" i="19"/>
  <c r="AP29" i="19"/>
  <c r="AV22" i="19"/>
  <c r="AU22" i="19"/>
  <c r="AS22" i="19"/>
  <c r="AR22" i="19"/>
  <c r="AQ22" i="19"/>
  <c r="AP22" i="19"/>
  <c r="AV32" i="19"/>
  <c r="AU32" i="19"/>
  <c r="AS32" i="19"/>
  <c r="AR32" i="19"/>
  <c r="AQ32" i="19"/>
  <c r="AP32" i="19"/>
  <c r="AV23" i="19"/>
  <c r="AU23" i="19"/>
  <c r="AS23" i="19"/>
  <c r="AR23" i="19"/>
  <c r="AQ23" i="19"/>
  <c r="AP23" i="19"/>
  <c r="AV28" i="19"/>
  <c r="AU28" i="19"/>
  <c r="AS28" i="19"/>
  <c r="AR28" i="19"/>
  <c r="AQ28" i="19"/>
  <c r="AP28" i="19"/>
  <c r="AV11" i="19"/>
  <c r="AU11" i="19"/>
  <c r="AS11" i="19"/>
  <c r="AR11" i="19"/>
  <c r="AQ11" i="19"/>
  <c r="AP11" i="19"/>
  <c r="AV31" i="19"/>
  <c r="AU31" i="19"/>
  <c r="AS31" i="19"/>
  <c r="AR31" i="19"/>
  <c r="AQ31" i="19"/>
  <c r="AP31" i="19"/>
  <c r="AV19" i="19"/>
  <c r="AU19" i="19"/>
  <c r="AS19" i="19"/>
  <c r="AR19" i="19"/>
  <c r="AQ19" i="19"/>
  <c r="AP19" i="19"/>
  <c r="AV21" i="19"/>
  <c r="AU21" i="19"/>
  <c r="AS21" i="19"/>
  <c r="AR21" i="19"/>
  <c r="AQ21" i="19"/>
  <c r="AP21" i="19"/>
  <c r="AV10" i="19"/>
  <c r="AU10" i="19"/>
  <c r="AS10" i="19"/>
  <c r="AR10" i="19"/>
  <c r="AQ10" i="19"/>
  <c r="AP10" i="19"/>
  <c r="AV13" i="19"/>
  <c r="AU13" i="19"/>
  <c r="AS13" i="19"/>
  <c r="AR13" i="19"/>
  <c r="AQ13" i="19"/>
  <c r="AP13" i="19"/>
  <c r="AV9" i="19"/>
  <c r="AU9" i="19"/>
  <c r="AS9" i="19"/>
  <c r="AR9" i="19"/>
  <c r="AQ9" i="19"/>
  <c r="AP9" i="19"/>
  <c r="AV8" i="19"/>
  <c r="AU8" i="19"/>
  <c r="AS8" i="19"/>
  <c r="AR8" i="19"/>
  <c r="AQ8" i="19"/>
  <c r="AP8" i="19"/>
  <c r="AV7" i="19"/>
  <c r="AU7" i="19"/>
  <c r="AS7" i="19"/>
  <c r="AR7" i="19"/>
  <c r="AQ7" i="19"/>
  <c r="AP7" i="19"/>
  <c r="AV6" i="19"/>
  <c r="AU6" i="19"/>
  <c r="AS6" i="19"/>
  <c r="AR6" i="19"/>
  <c r="AQ6" i="19"/>
  <c r="AP6" i="19"/>
  <c r="AV4" i="19"/>
  <c r="AU4" i="19"/>
  <c r="AS4" i="19"/>
  <c r="AR4" i="19"/>
  <c r="AQ4" i="19"/>
  <c r="AP4" i="19"/>
  <c r="AV5" i="19"/>
  <c r="AU5" i="19"/>
  <c r="AS5" i="19"/>
  <c r="AR5" i="19"/>
  <c r="AQ5" i="19"/>
  <c r="AP5" i="19"/>
  <c r="BY21" i="27"/>
  <c r="BX21" i="27"/>
  <c r="BV21" i="27"/>
  <c r="BU21" i="27"/>
  <c r="BT21" i="27"/>
  <c r="BS21" i="27"/>
  <c r="BY20" i="27"/>
  <c r="BX20" i="27"/>
  <c r="BV20" i="27"/>
  <c r="BU20" i="27"/>
  <c r="BT20" i="27"/>
  <c r="BS20" i="27"/>
  <c r="BY19" i="27"/>
  <c r="BX19" i="27"/>
  <c r="BV19" i="27"/>
  <c r="BU19" i="27"/>
  <c r="BT19" i="27"/>
  <c r="BS19" i="27"/>
  <c r="BY8" i="27"/>
  <c r="BX8" i="27"/>
  <c r="BV8" i="27"/>
  <c r="BU8" i="27"/>
  <c r="BT8" i="27"/>
  <c r="BS8" i="27"/>
  <c r="BY23" i="27"/>
  <c r="BX23" i="27"/>
  <c r="BV23" i="27"/>
  <c r="BU23" i="27"/>
  <c r="BT23" i="27"/>
  <c r="BS23" i="27"/>
  <c r="BY16" i="27"/>
  <c r="BX16" i="27"/>
  <c r="BV16" i="27"/>
  <c r="BU16" i="27"/>
  <c r="BT16" i="27"/>
  <c r="BS16" i="27"/>
  <c r="BY15" i="27"/>
  <c r="BX15" i="27"/>
  <c r="BV15" i="27"/>
  <c r="BU15" i="27"/>
  <c r="BT15" i="27"/>
  <c r="BS15" i="27"/>
  <c r="BY17" i="27"/>
  <c r="BX17" i="27"/>
  <c r="BV17" i="27"/>
  <c r="BU17" i="27"/>
  <c r="BT17" i="27"/>
  <c r="BS17" i="27"/>
  <c r="BY9" i="27"/>
  <c r="BX9" i="27"/>
  <c r="BV9" i="27"/>
  <c r="BU9" i="27"/>
  <c r="BT9" i="27"/>
  <c r="BS9" i="27"/>
  <c r="BY18" i="27"/>
  <c r="BX18" i="27"/>
  <c r="BV18" i="27"/>
  <c r="BU18" i="27"/>
  <c r="BT18" i="27"/>
  <c r="BS18" i="27"/>
  <c r="BY12" i="27"/>
  <c r="BX12" i="27"/>
  <c r="BV12" i="27"/>
  <c r="BU12" i="27"/>
  <c r="BT12" i="27"/>
  <c r="BS12" i="27"/>
  <c r="BY14" i="27"/>
  <c r="BX14" i="27"/>
  <c r="BV14" i="27"/>
  <c r="BU14" i="27"/>
  <c r="BT14" i="27"/>
  <c r="BS14" i="27"/>
  <c r="BY5" i="27"/>
  <c r="BX5" i="27"/>
  <c r="BV5" i="27"/>
  <c r="BU5" i="27"/>
  <c r="BT5" i="27"/>
  <c r="BS5" i="27"/>
  <c r="BY6" i="27"/>
  <c r="BX6" i="27"/>
  <c r="BV6" i="27"/>
  <c r="BU6" i="27"/>
  <c r="BT6" i="27"/>
  <c r="BS6" i="27"/>
  <c r="BY10" i="27"/>
  <c r="BX10" i="27"/>
  <c r="BV10" i="27"/>
  <c r="BU10" i="27"/>
  <c r="BT10" i="27"/>
  <c r="BS10" i="27"/>
  <c r="BY7" i="27"/>
  <c r="BX7" i="27"/>
  <c r="BV7" i="27"/>
  <c r="BU7" i="27"/>
  <c r="BT7" i="27"/>
  <c r="BS7" i="27"/>
  <c r="BY11" i="27"/>
  <c r="BX11" i="27"/>
  <c r="BV11" i="27"/>
  <c r="BU11" i="27"/>
  <c r="BT11" i="27"/>
  <c r="BS11" i="27"/>
  <c r="AV21" i="27"/>
  <c r="AU21" i="27"/>
  <c r="AS21" i="27"/>
  <c r="AR21" i="27"/>
  <c r="AQ21" i="27"/>
  <c r="AP21" i="27"/>
  <c r="AV20" i="27"/>
  <c r="AU20" i="27"/>
  <c r="AS20" i="27"/>
  <c r="AR20" i="27"/>
  <c r="AQ20" i="27"/>
  <c r="AP20" i="27"/>
  <c r="AV19" i="27"/>
  <c r="AU19" i="27"/>
  <c r="AS19" i="27"/>
  <c r="AR19" i="27"/>
  <c r="AQ19" i="27"/>
  <c r="AP19" i="27"/>
  <c r="AV8" i="27"/>
  <c r="AU8" i="27"/>
  <c r="AS8" i="27"/>
  <c r="AR8" i="27"/>
  <c r="AQ8" i="27"/>
  <c r="AP8" i="27"/>
  <c r="AV23" i="27"/>
  <c r="AU23" i="27"/>
  <c r="AS23" i="27"/>
  <c r="AR23" i="27"/>
  <c r="AQ23" i="27"/>
  <c r="AP23" i="27"/>
  <c r="AV16" i="27"/>
  <c r="AU16" i="27"/>
  <c r="AS16" i="27"/>
  <c r="AR16" i="27"/>
  <c r="AQ16" i="27"/>
  <c r="AP16" i="27"/>
  <c r="AV15" i="27"/>
  <c r="AU15" i="27"/>
  <c r="AS15" i="27"/>
  <c r="AR15" i="27"/>
  <c r="AQ15" i="27"/>
  <c r="AP15" i="27"/>
  <c r="AV17" i="27"/>
  <c r="AU17" i="27"/>
  <c r="AS17" i="27"/>
  <c r="AR17" i="27"/>
  <c r="AQ17" i="27"/>
  <c r="AP17" i="27"/>
  <c r="AV9" i="27"/>
  <c r="AU9" i="27"/>
  <c r="AS9" i="27"/>
  <c r="AR9" i="27"/>
  <c r="AQ9" i="27"/>
  <c r="AP9" i="27"/>
  <c r="AV18" i="27"/>
  <c r="AU18" i="27"/>
  <c r="AS18" i="27"/>
  <c r="AR18" i="27"/>
  <c r="AQ18" i="27"/>
  <c r="AP18" i="27"/>
  <c r="AV12" i="27"/>
  <c r="AU12" i="27"/>
  <c r="AS12" i="27"/>
  <c r="AR12" i="27"/>
  <c r="AQ12" i="27"/>
  <c r="AP12" i="27"/>
  <c r="AV14" i="27"/>
  <c r="AU14" i="27"/>
  <c r="AS14" i="27"/>
  <c r="AR14" i="27"/>
  <c r="AQ14" i="27"/>
  <c r="AP14" i="27"/>
  <c r="AV5" i="27"/>
  <c r="AU5" i="27"/>
  <c r="AS5" i="27"/>
  <c r="AR5" i="27"/>
  <c r="AQ5" i="27"/>
  <c r="AP5" i="27"/>
  <c r="AV6" i="27"/>
  <c r="AU6" i="27"/>
  <c r="AS6" i="27"/>
  <c r="AR6" i="27"/>
  <c r="AQ6" i="27"/>
  <c r="AP6" i="27"/>
  <c r="AV10" i="27"/>
  <c r="AU10" i="27"/>
  <c r="AS10" i="27"/>
  <c r="AR10" i="27"/>
  <c r="AQ10" i="27"/>
  <c r="AP10" i="27"/>
  <c r="AV7" i="27"/>
  <c r="AU7" i="27"/>
  <c r="AS7" i="27"/>
  <c r="AR7" i="27"/>
  <c r="AQ7" i="27"/>
  <c r="AP7" i="27"/>
  <c r="AV11" i="27"/>
  <c r="AU11" i="27"/>
  <c r="AS11" i="27"/>
  <c r="AR11" i="27"/>
  <c r="AQ11" i="27"/>
  <c r="AP11" i="27"/>
  <c r="BY14" i="26"/>
  <c r="BX14" i="26"/>
  <c r="BV14" i="26"/>
  <c r="BU14" i="26"/>
  <c r="BT14" i="26"/>
  <c r="BS14" i="26"/>
  <c r="BY16" i="26"/>
  <c r="BX16" i="26"/>
  <c r="BV16" i="26"/>
  <c r="BU16" i="26"/>
  <c r="BT16" i="26"/>
  <c r="BS16" i="26"/>
  <c r="BY9" i="26"/>
  <c r="BX9" i="26"/>
  <c r="BV9" i="26"/>
  <c r="BU9" i="26"/>
  <c r="BT9" i="26"/>
  <c r="BS9" i="26"/>
  <c r="BY13" i="26"/>
  <c r="BX13" i="26"/>
  <c r="BV13" i="26"/>
  <c r="BU13" i="26"/>
  <c r="BT13" i="26"/>
  <c r="BS13" i="26"/>
  <c r="BY15" i="26"/>
  <c r="BX15" i="26"/>
  <c r="BV15" i="26"/>
  <c r="BU15" i="26"/>
  <c r="BT15" i="26"/>
  <c r="BS15" i="26"/>
  <c r="BY12" i="26"/>
  <c r="BX12" i="26"/>
  <c r="BV12" i="26"/>
  <c r="BU12" i="26"/>
  <c r="BT12" i="26"/>
  <c r="BS12" i="26"/>
  <c r="BY8" i="26"/>
  <c r="BX8" i="26"/>
  <c r="BV8" i="26"/>
  <c r="BU8" i="26"/>
  <c r="BT8" i="26"/>
  <c r="BS8" i="26"/>
  <c r="BY10" i="26"/>
  <c r="BX10" i="26"/>
  <c r="BV10" i="26"/>
  <c r="BU10" i="26"/>
  <c r="BT10" i="26"/>
  <c r="BS10" i="26"/>
  <c r="BY7" i="26"/>
  <c r="BX7" i="26"/>
  <c r="BV7" i="26"/>
  <c r="BU7" i="26"/>
  <c r="BT7" i="26"/>
  <c r="BS7" i="26"/>
  <c r="BY6" i="26"/>
  <c r="BX6" i="26"/>
  <c r="BV6" i="26"/>
  <c r="BU6" i="26"/>
  <c r="BT6" i="26"/>
  <c r="BS6" i="26"/>
  <c r="BY4" i="26"/>
  <c r="BX4" i="26"/>
  <c r="BV4" i="26"/>
  <c r="BU4" i="26"/>
  <c r="BT4" i="26"/>
  <c r="BS4" i="26"/>
  <c r="AV14" i="26"/>
  <c r="AU14" i="26"/>
  <c r="AS14" i="26"/>
  <c r="AR14" i="26"/>
  <c r="AQ14" i="26"/>
  <c r="AP14" i="26"/>
  <c r="AV16" i="26"/>
  <c r="AU16" i="26"/>
  <c r="AS16" i="26"/>
  <c r="AR16" i="26"/>
  <c r="AQ16" i="26"/>
  <c r="AP16" i="26"/>
  <c r="AV9" i="26"/>
  <c r="AU9" i="26"/>
  <c r="AS9" i="26"/>
  <c r="AR9" i="26"/>
  <c r="AQ9" i="26"/>
  <c r="AP9" i="26"/>
  <c r="AV13" i="26"/>
  <c r="AU13" i="26"/>
  <c r="AS13" i="26"/>
  <c r="AR13" i="26"/>
  <c r="AQ13" i="26"/>
  <c r="AP13" i="26"/>
  <c r="AV15" i="26"/>
  <c r="AU15" i="26"/>
  <c r="AS15" i="26"/>
  <c r="AR15" i="26"/>
  <c r="AQ15" i="26"/>
  <c r="AP15" i="26"/>
  <c r="AV12" i="26"/>
  <c r="AU12" i="26"/>
  <c r="AS12" i="26"/>
  <c r="AR12" i="26"/>
  <c r="AQ12" i="26"/>
  <c r="AP12" i="26"/>
  <c r="AV8" i="26"/>
  <c r="AU8" i="26"/>
  <c r="AS8" i="26"/>
  <c r="AR8" i="26"/>
  <c r="AQ8" i="26"/>
  <c r="AP8" i="26"/>
  <c r="AV10" i="26"/>
  <c r="AU10" i="26"/>
  <c r="AS10" i="26"/>
  <c r="AR10" i="26"/>
  <c r="AQ10" i="26"/>
  <c r="AP10" i="26"/>
  <c r="AV7" i="26"/>
  <c r="AU7" i="26"/>
  <c r="AS7" i="26"/>
  <c r="AR7" i="26"/>
  <c r="AQ7" i="26"/>
  <c r="AP7" i="26"/>
  <c r="AV6" i="26"/>
  <c r="AU6" i="26"/>
  <c r="AS6" i="26"/>
  <c r="AR6" i="26"/>
  <c r="AQ6" i="26"/>
  <c r="AP6" i="26"/>
  <c r="AV4" i="26"/>
  <c r="AU4" i="26"/>
  <c r="AS4" i="26"/>
  <c r="AR4" i="26"/>
  <c r="AQ4" i="26"/>
  <c r="AP4" i="26"/>
  <c r="BW11" i="22"/>
  <c r="BV11" i="22"/>
  <c r="BU11" i="22"/>
  <c r="BS11" i="22"/>
  <c r="BR11" i="22"/>
  <c r="BQ11" i="22"/>
  <c r="BP11" i="22"/>
  <c r="BO11" i="22"/>
  <c r="BN11" i="22"/>
  <c r="BW21" i="22"/>
  <c r="BV21" i="22"/>
  <c r="BU21" i="22"/>
  <c r="BS21" i="22"/>
  <c r="BR21" i="22"/>
  <c r="BQ21" i="22"/>
  <c r="BP21" i="22"/>
  <c r="BT21" i="22" s="1"/>
  <c r="BO21" i="22"/>
  <c r="BN21" i="22"/>
  <c r="BW22" i="22"/>
  <c r="BV22" i="22"/>
  <c r="BU22" i="22"/>
  <c r="BS22" i="22"/>
  <c r="BR22" i="22"/>
  <c r="BQ22" i="22"/>
  <c r="BP22" i="22"/>
  <c r="BT22" i="22" s="1"/>
  <c r="BX22" i="22" s="1"/>
  <c r="BO22" i="22"/>
  <c r="BN22" i="22"/>
  <c r="BW16" i="22"/>
  <c r="BV16" i="22"/>
  <c r="BU16" i="22"/>
  <c r="BS16" i="22"/>
  <c r="BR16" i="22"/>
  <c r="BQ16" i="22"/>
  <c r="BP16" i="22"/>
  <c r="BT16" i="22" s="1"/>
  <c r="BO16" i="22"/>
  <c r="BN16" i="22"/>
  <c r="BW14" i="22"/>
  <c r="BV14" i="22"/>
  <c r="BU14" i="22"/>
  <c r="BS14" i="22"/>
  <c r="BR14" i="22"/>
  <c r="BQ14" i="22"/>
  <c r="BP14" i="22"/>
  <c r="BT14" i="22" s="1"/>
  <c r="BO14" i="22"/>
  <c r="BN14" i="22"/>
  <c r="BW29" i="22"/>
  <c r="BV29" i="22"/>
  <c r="BU29" i="22"/>
  <c r="BS29" i="22"/>
  <c r="BR29" i="22"/>
  <c r="BQ29" i="22"/>
  <c r="BP29" i="22"/>
  <c r="BT29" i="22" s="1"/>
  <c r="BO29" i="22"/>
  <c r="BN29" i="22"/>
  <c r="BW19" i="22"/>
  <c r="BV19" i="22"/>
  <c r="BU19" i="22"/>
  <c r="BS19" i="22"/>
  <c r="BR19" i="22"/>
  <c r="BQ19" i="22"/>
  <c r="BP19" i="22"/>
  <c r="BT19" i="22" s="1"/>
  <c r="BO19" i="22"/>
  <c r="BN19" i="22"/>
  <c r="BW28" i="22"/>
  <c r="BV28" i="22"/>
  <c r="BU28" i="22"/>
  <c r="BS28" i="22"/>
  <c r="BR28" i="22"/>
  <c r="BQ28" i="22"/>
  <c r="BP28" i="22"/>
  <c r="BT28" i="22" s="1"/>
  <c r="BO28" i="22"/>
  <c r="BN28" i="22"/>
  <c r="BW31" i="22"/>
  <c r="BV31" i="22"/>
  <c r="BU31" i="22"/>
  <c r="BS31" i="22"/>
  <c r="BR31" i="22"/>
  <c r="BQ31" i="22"/>
  <c r="BP31" i="22"/>
  <c r="BT31" i="22" s="1"/>
  <c r="BO31" i="22"/>
  <c r="BN31" i="22"/>
  <c r="BW30" i="22"/>
  <c r="BV30" i="22"/>
  <c r="BU30" i="22"/>
  <c r="BS30" i="22"/>
  <c r="BR30" i="22"/>
  <c r="BQ30" i="22"/>
  <c r="BP30" i="22"/>
  <c r="BT30" i="22" s="1"/>
  <c r="BO30" i="22"/>
  <c r="BN30" i="22"/>
  <c r="BW13" i="22"/>
  <c r="BV13" i="22"/>
  <c r="BU13" i="22"/>
  <c r="BS13" i="22"/>
  <c r="BR13" i="22"/>
  <c r="BQ13" i="22"/>
  <c r="BP13" i="22"/>
  <c r="BO13" i="22"/>
  <c r="BN13" i="22"/>
  <c r="BW15" i="22"/>
  <c r="BV15" i="22"/>
  <c r="BU15" i="22"/>
  <c r="BS15" i="22"/>
  <c r="BR15" i="22"/>
  <c r="BQ15" i="22"/>
  <c r="BP15" i="22"/>
  <c r="BT15" i="22" s="1"/>
  <c r="BO15" i="22"/>
  <c r="BN15" i="22"/>
  <c r="BW26" i="22"/>
  <c r="BV26" i="22"/>
  <c r="BU26" i="22"/>
  <c r="BS26" i="22"/>
  <c r="BR26" i="22"/>
  <c r="BQ26" i="22"/>
  <c r="BP26" i="22"/>
  <c r="BT26" i="22" s="1"/>
  <c r="BO26" i="22"/>
  <c r="BN26" i="22"/>
  <c r="BW27" i="22"/>
  <c r="BV27" i="22"/>
  <c r="BU27" i="22"/>
  <c r="BS27" i="22"/>
  <c r="BR27" i="22"/>
  <c r="BQ27" i="22"/>
  <c r="BP27" i="22"/>
  <c r="BT27" i="22" s="1"/>
  <c r="BO27" i="22"/>
  <c r="BN27" i="22"/>
  <c r="BW25" i="22"/>
  <c r="BV25" i="22"/>
  <c r="BU25" i="22"/>
  <c r="BS25" i="22"/>
  <c r="BR25" i="22"/>
  <c r="BQ25" i="22"/>
  <c r="BP25" i="22"/>
  <c r="BT25" i="22" s="1"/>
  <c r="BO25" i="22"/>
  <c r="BN25" i="22"/>
  <c r="BW12" i="22"/>
  <c r="BV12" i="22"/>
  <c r="BU12" i="22"/>
  <c r="BS12" i="22"/>
  <c r="BR12" i="22"/>
  <c r="BQ12" i="22"/>
  <c r="BP12" i="22"/>
  <c r="BO12" i="22"/>
  <c r="BN12" i="22"/>
  <c r="BW17" i="22"/>
  <c r="BV17" i="22"/>
  <c r="BU17" i="22"/>
  <c r="BS17" i="22"/>
  <c r="BR17" i="22"/>
  <c r="BQ17" i="22"/>
  <c r="BP17" i="22"/>
  <c r="BT17" i="22" s="1"/>
  <c r="BO17" i="22"/>
  <c r="BN17" i="22"/>
  <c r="BW20" i="22"/>
  <c r="BV20" i="22"/>
  <c r="BU20" i="22"/>
  <c r="BS20" i="22"/>
  <c r="BR20" i="22"/>
  <c r="BQ20" i="22"/>
  <c r="BP20" i="22"/>
  <c r="BT20" i="22" s="1"/>
  <c r="BO20" i="22"/>
  <c r="BN20" i="22"/>
  <c r="BW10" i="22"/>
  <c r="BV10" i="22"/>
  <c r="BU10" i="22"/>
  <c r="BS10" i="22"/>
  <c r="BR10" i="22"/>
  <c r="BQ10" i="22"/>
  <c r="BP10" i="22"/>
  <c r="BT10" i="22" s="1"/>
  <c r="BO10" i="22"/>
  <c r="BN10" i="22"/>
  <c r="BW9" i="22"/>
  <c r="BV9" i="22"/>
  <c r="BU9" i="22"/>
  <c r="BS9" i="22"/>
  <c r="BR9" i="22"/>
  <c r="BQ9" i="22"/>
  <c r="BP9" i="22"/>
  <c r="BO9" i="22"/>
  <c r="BN9" i="22"/>
  <c r="BW8" i="22"/>
  <c r="BV8" i="22"/>
  <c r="BU8" i="22"/>
  <c r="BS8" i="22"/>
  <c r="BR8" i="22"/>
  <c r="BQ8" i="22"/>
  <c r="BP8" i="22"/>
  <c r="BO8" i="22"/>
  <c r="BN8" i="22"/>
  <c r="BW4" i="22"/>
  <c r="BV4" i="22"/>
  <c r="BU4" i="22"/>
  <c r="BS4" i="22"/>
  <c r="BR4" i="22"/>
  <c r="BQ4" i="22"/>
  <c r="BP4" i="22"/>
  <c r="BT4" i="22" s="1"/>
  <c r="BO4" i="22"/>
  <c r="BN4" i="22"/>
  <c r="BW5" i="22"/>
  <c r="BV5" i="22"/>
  <c r="BU5" i="22"/>
  <c r="BS5" i="22"/>
  <c r="BR5" i="22"/>
  <c r="BQ5" i="22"/>
  <c r="BP5" i="22"/>
  <c r="BO5" i="22"/>
  <c r="BN5" i="22"/>
  <c r="AV11" i="22"/>
  <c r="AU11" i="22"/>
  <c r="AT11" i="22"/>
  <c r="AR11" i="22"/>
  <c r="AQ11" i="22"/>
  <c r="AP11" i="22"/>
  <c r="AO11" i="22"/>
  <c r="AN11" i="22"/>
  <c r="AM11" i="22"/>
  <c r="AV21" i="22"/>
  <c r="AU21" i="22"/>
  <c r="AT21" i="22"/>
  <c r="AR21" i="22"/>
  <c r="AQ21" i="22"/>
  <c r="AP21" i="22"/>
  <c r="AO21" i="22"/>
  <c r="AS21" i="22" s="1"/>
  <c r="AN21" i="22"/>
  <c r="AM21" i="22"/>
  <c r="AV22" i="22"/>
  <c r="AU22" i="22"/>
  <c r="AT22" i="22"/>
  <c r="AR22" i="22"/>
  <c r="AQ22" i="22"/>
  <c r="AP22" i="22"/>
  <c r="AO22" i="22"/>
  <c r="AN22" i="22"/>
  <c r="AM22" i="22"/>
  <c r="AV16" i="22"/>
  <c r="AU16" i="22"/>
  <c r="AT16" i="22"/>
  <c r="AR16" i="22"/>
  <c r="AQ16" i="22"/>
  <c r="AP16" i="22"/>
  <c r="AO16" i="22"/>
  <c r="AN16" i="22"/>
  <c r="AM16" i="22"/>
  <c r="AV14" i="22"/>
  <c r="AU14" i="22"/>
  <c r="AT14" i="22"/>
  <c r="AR14" i="22"/>
  <c r="AQ14" i="22"/>
  <c r="AP14" i="22"/>
  <c r="AO14" i="22"/>
  <c r="AN14" i="22"/>
  <c r="AM14" i="22"/>
  <c r="AV29" i="22"/>
  <c r="AU29" i="22"/>
  <c r="AT29" i="22"/>
  <c r="AR29" i="22"/>
  <c r="AQ29" i="22"/>
  <c r="AP29" i="22"/>
  <c r="AO29" i="22"/>
  <c r="AN29" i="22"/>
  <c r="AM29" i="22"/>
  <c r="AV19" i="22"/>
  <c r="AU19" i="22"/>
  <c r="AT19" i="22"/>
  <c r="AR19" i="22"/>
  <c r="AQ19" i="22"/>
  <c r="AP19" i="22"/>
  <c r="AO19" i="22"/>
  <c r="AN19" i="22"/>
  <c r="AM19" i="22"/>
  <c r="AV28" i="22"/>
  <c r="AU28" i="22"/>
  <c r="AT28" i="22"/>
  <c r="AR28" i="22"/>
  <c r="AQ28" i="22"/>
  <c r="AP28" i="22"/>
  <c r="AO28" i="22"/>
  <c r="AN28" i="22"/>
  <c r="AM28" i="22"/>
  <c r="AV31" i="22"/>
  <c r="AU31" i="22"/>
  <c r="AT31" i="22"/>
  <c r="AR31" i="22"/>
  <c r="AQ31" i="22"/>
  <c r="AP31" i="22"/>
  <c r="AO31" i="22"/>
  <c r="AN31" i="22"/>
  <c r="AM31" i="22"/>
  <c r="AV30" i="22"/>
  <c r="AU30" i="22"/>
  <c r="AT30" i="22"/>
  <c r="AR30" i="22"/>
  <c r="AQ30" i="22"/>
  <c r="AP30" i="22"/>
  <c r="AO30" i="22"/>
  <c r="AN30" i="22"/>
  <c r="AM30" i="22"/>
  <c r="AV13" i="22"/>
  <c r="AU13" i="22"/>
  <c r="AT13" i="22"/>
  <c r="AR13" i="22"/>
  <c r="AQ13" i="22"/>
  <c r="AP13" i="22"/>
  <c r="AO13" i="22"/>
  <c r="AN13" i="22"/>
  <c r="AM13" i="22"/>
  <c r="AV15" i="22"/>
  <c r="AU15" i="22"/>
  <c r="AT15" i="22"/>
  <c r="AR15" i="22"/>
  <c r="AQ15" i="22"/>
  <c r="AP15" i="22"/>
  <c r="AO15" i="22"/>
  <c r="AN15" i="22"/>
  <c r="AM15" i="22"/>
  <c r="AV26" i="22"/>
  <c r="AU26" i="22"/>
  <c r="AT26" i="22"/>
  <c r="AR26" i="22"/>
  <c r="AQ26" i="22"/>
  <c r="AP26" i="22"/>
  <c r="AO26" i="22"/>
  <c r="AN26" i="22"/>
  <c r="AM26" i="22"/>
  <c r="AV27" i="22"/>
  <c r="AU27" i="22"/>
  <c r="AT27" i="22"/>
  <c r="AR27" i="22"/>
  <c r="AQ27" i="22"/>
  <c r="AP27" i="22"/>
  <c r="AO27" i="22"/>
  <c r="AN27" i="22"/>
  <c r="AM27" i="22"/>
  <c r="AV25" i="22"/>
  <c r="AU25" i="22"/>
  <c r="AT25" i="22"/>
  <c r="AR25" i="22"/>
  <c r="AQ25" i="22"/>
  <c r="AP25" i="22"/>
  <c r="AO25" i="22"/>
  <c r="AN25" i="22"/>
  <c r="AM25" i="22"/>
  <c r="AV12" i="22"/>
  <c r="AU12" i="22"/>
  <c r="AT12" i="22"/>
  <c r="AR12" i="22"/>
  <c r="AQ12" i="22"/>
  <c r="AP12" i="22"/>
  <c r="AO12" i="22"/>
  <c r="AN12" i="22"/>
  <c r="AM12" i="22"/>
  <c r="AV17" i="22"/>
  <c r="AU17" i="22"/>
  <c r="AT17" i="22"/>
  <c r="AR17" i="22"/>
  <c r="AQ17" i="22"/>
  <c r="AP17" i="22"/>
  <c r="AO17" i="22"/>
  <c r="AN17" i="22"/>
  <c r="AM17" i="22"/>
  <c r="AV20" i="22"/>
  <c r="AU20" i="22"/>
  <c r="AT20" i="22"/>
  <c r="AR20" i="22"/>
  <c r="AQ20" i="22"/>
  <c r="AP20" i="22"/>
  <c r="AO20" i="22"/>
  <c r="AN20" i="22"/>
  <c r="AM20" i="22"/>
  <c r="AV10" i="22"/>
  <c r="AU10" i="22"/>
  <c r="AT10" i="22"/>
  <c r="AR10" i="22"/>
  <c r="AQ10" i="22"/>
  <c r="AP10" i="22"/>
  <c r="AO10" i="22"/>
  <c r="AN10" i="22"/>
  <c r="AM10" i="22"/>
  <c r="AV9" i="22"/>
  <c r="AU9" i="22"/>
  <c r="AT9" i="22"/>
  <c r="AR9" i="22"/>
  <c r="AQ9" i="22"/>
  <c r="AP9" i="22"/>
  <c r="AO9" i="22"/>
  <c r="AN9" i="22"/>
  <c r="AM9" i="22"/>
  <c r="AV8" i="22"/>
  <c r="AU8" i="22"/>
  <c r="AT8" i="22"/>
  <c r="AR8" i="22"/>
  <c r="AQ8" i="22"/>
  <c r="AP8" i="22"/>
  <c r="AO8" i="22"/>
  <c r="AN8" i="22"/>
  <c r="AM8" i="22"/>
  <c r="AV4" i="22"/>
  <c r="AU4" i="22"/>
  <c r="AT4" i="22"/>
  <c r="AR4" i="22"/>
  <c r="AQ4" i="22"/>
  <c r="AP4" i="22"/>
  <c r="AO4" i="22"/>
  <c r="AN4" i="22"/>
  <c r="AM4" i="22"/>
  <c r="AV5" i="22"/>
  <c r="AU5" i="22"/>
  <c r="AT5" i="22"/>
  <c r="AR5" i="22"/>
  <c r="AQ5" i="22"/>
  <c r="AP5" i="22"/>
  <c r="AO5" i="22"/>
  <c r="AN5" i="22"/>
  <c r="AM5" i="22"/>
  <c r="BW34" i="4"/>
  <c r="BV34" i="4"/>
  <c r="BU34" i="4"/>
  <c r="BS34" i="4"/>
  <c r="BR34" i="4"/>
  <c r="BQ34" i="4"/>
  <c r="BP34" i="4"/>
  <c r="BT34" i="4" s="1"/>
  <c r="BO34" i="4"/>
  <c r="BN34" i="4"/>
  <c r="BW32" i="4"/>
  <c r="BV32" i="4"/>
  <c r="BU32" i="4"/>
  <c r="BS32" i="4"/>
  <c r="BR32" i="4"/>
  <c r="BQ32" i="4"/>
  <c r="BP32" i="4"/>
  <c r="BT32" i="4" s="1"/>
  <c r="BO32" i="4"/>
  <c r="BN32" i="4"/>
  <c r="BW31" i="4"/>
  <c r="BV31" i="4"/>
  <c r="BU31" i="4"/>
  <c r="BS31" i="4"/>
  <c r="BR31" i="4"/>
  <c r="BQ31" i="4"/>
  <c r="BP31" i="4"/>
  <c r="BT31" i="4" s="1"/>
  <c r="BO31" i="4"/>
  <c r="BN31" i="4"/>
  <c r="BW30" i="4"/>
  <c r="BV30" i="4"/>
  <c r="BU30" i="4"/>
  <c r="BS30" i="4"/>
  <c r="BR30" i="4"/>
  <c r="BQ30" i="4"/>
  <c r="BP30" i="4"/>
  <c r="BT30" i="4" s="1"/>
  <c r="BO30" i="4"/>
  <c r="BN30" i="4"/>
  <c r="BW26" i="4"/>
  <c r="BV26" i="4"/>
  <c r="BU26" i="4"/>
  <c r="BS26" i="4"/>
  <c r="BR26" i="4"/>
  <c r="BQ26" i="4"/>
  <c r="BP26" i="4"/>
  <c r="BT26" i="4" s="1"/>
  <c r="BO26" i="4"/>
  <c r="BN26" i="4"/>
  <c r="BW22" i="4"/>
  <c r="BV22" i="4"/>
  <c r="BU22" i="4"/>
  <c r="BS22" i="4"/>
  <c r="BR22" i="4"/>
  <c r="BQ22" i="4"/>
  <c r="BP22" i="4"/>
  <c r="BT22" i="4" s="1"/>
  <c r="BO22" i="4"/>
  <c r="BN22" i="4"/>
  <c r="BW20" i="4"/>
  <c r="BV20" i="4"/>
  <c r="BU20" i="4"/>
  <c r="BS20" i="4"/>
  <c r="BR20" i="4"/>
  <c r="BQ20" i="4"/>
  <c r="BP20" i="4"/>
  <c r="BT20" i="4" s="1"/>
  <c r="BO20" i="4"/>
  <c r="BN20" i="4"/>
  <c r="BW33" i="4"/>
  <c r="BV33" i="4"/>
  <c r="BU33" i="4"/>
  <c r="BS33" i="4"/>
  <c r="BR33" i="4"/>
  <c r="BQ33" i="4"/>
  <c r="BP33" i="4"/>
  <c r="BT33" i="4" s="1"/>
  <c r="BO33" i="4"/>
  <c r="BN33" i="4"/>
  <c r="BW28" i="4"/>
  <c r="BV28" i="4"/>
  <c r="BU28" i="4"/>
  <c r="BS28" i="4"/>
  <c r="BR28" i="4"/>
  <c r="BQ28" i="4"/>
  <c r="BP28" i="4"/>
  <c r="BT28" i="4" s="1"/>
  <c r="BO28" i="4"/>
  <c r="BN28" i="4"/>
  <c r="BW18" i="4"/>
  <c r="BV18" i="4"/>
  <c r="BU18" i="4"/>
  <c r="BS18" i="4"/>
  <c r="BR18" i="4"/>
  <c r="BQ18" i="4"/>
  <c r="BP18" i="4"/>
  <c r="BT18" i="4" s="1"/>
  <c r="BO18" i="4"/>
  <c r="BN18" i="4"/>
  <c r="BW19" i="4"/>
  <c r="BV19" i="4"/>
  <c r="BU19" i="4"/>
  <c r="BS19" i="4"/>
  <c r="BR19" i="4"/>
  <c r="BQ19" i="4"/>
  <c r="BP19" i="4"/>
  <c r="BO19" i="4"/>
  <c r="BN19" i="4"/>
  <c r="BW15" i="4"/>
  <c r="BV15" i="4"/>
  <c r="BU15" i="4"/>
  <c r="BS15" i="4"/>
  <c r="BR15" i="4"/>
  <c r="BQ15" i="4"/>
  <c r="BP15" i="4"/>
  <c r="BT15" i="4" s="1"/>
  <c r="BO15" i="4"/>
  <c r="BN15" i="4"/>
  <c r="BW25" i="4"/>
  <c r="BV25" i="4"/>
  <c r="BU25" i="4"/>
  <c r="BS25" i="4"/>
  <c r="BR25" i="4"/>
  <c r="BQ25" i="4"/>
  <c r="BP25" i="4"/>
  <c r="BT25" i="4" s="1"/>
  <c r="BO25" i="4"/>
  <c r="BN25" i="4"/>
  <c r="BW17" i="4"/>
  <c r="BV17" i="4"/>
  <c r="BU17" i="4"/>
  <c r="BS17" i="4"/>
  <c r="BR17" i="4"/>
  <c r="BQ17" i="4"/>
  <c r="BP17" i="4"/>
  <c r="BT17" i="4" s="1"/>
  <c r="BO17" i="4"/>
  <c r="BN17" i="4"/>
  <c r="BW11" i="4"/>
  <c r="BV11" i="4"/>
  <c r="BU11" i="4"/>
  <c r="BS11" i="4"/>
  <c r="BR11" i="4"/>
  <c r="BQ11" i="4"/>
  <c r="BP11" i="4"/>
  <c r="BO11" i="4"/>
  <c r="BN11" i="4"/>
  <c r="BW12" i="4"/>
  <c r="BV12" i="4"/>
  <c r="BU12" i="4"/>
  <c r="BS12" i="4"/>
  <c r="BR12" i="4"/>
  <c r="BQ12" i="4"/>
  <c r="BP12" i="4"/>
  <c r="BO12" i="4"/>
  <c r="BN12" i="4"/>
  <c r="BW9" i="4"/>
  <c r="BV9" i="4"/>
  <c r="BU9" i="4"/>
  <c r="BS9" i="4"/>
  <c r="BR9" i="4"/>
  <c r="BQ9" i="4"/>
  <c r="BP9" i="4"/>
  <c r="BO9" i="4"/>
  <c r="BN9" i="4"/>
  <c r="BW7" i="4"/>
  <c r="BV7" i="4"/>
  <c r="BU7" i="4"/>
  <c r="BS7" i="4"/>
  <c r="BR7" i="4"/>
  <c r="BQ7" i="4"/>
  <c r="BP7" i="4"/>
  <c r="BO7" i="4"/>
  <c r="BN7" i="4"/>
  <c r="BW21" i="4"/>
  <c r="BV21" i="4"/>
  <c r="BU21" i="4"/>
  <c r="BS21" i="4"/>
  <c r="BR21" i="4"/>
  <c r="BQ21" i="4"/>
  <c r="BP21" i="4"/>
  <c r="BT21" i="4" s="1"/>
  <c r="BO21" i="4"/>
  <c r="BN21" i="4"/>
  <c r="BW13" i="4"/>
  <c r="BV13" i="4"/>
  <c r="BU13" i="4"/>
  <c r="BS13" i="4"/>
  <c r="BR13" i="4"/>
  <c r="BQ13" i="4"/>
  <c r="BP13" i="4"/>
  <c r="BT13" i="4" s="1"/>
  <c r="BO13" i="4"/>
  <c r="BN13" i="4"/>
  <c r="BW10" i="4"/>
  <c r="BV10" i="4"/>
  <c r="BU10" i="4"/>
  <c r="BS10" i="4"/>
  <c r="BR10" i="4"/>
  <c r="BQ10" i="4"/>
  <c r="BP10" i="4"/>
  <c r="BT10" i="4" s="1"/>
  <c r="BO10" i="4"/>
  <c r="BN10" i="4"/>
  <c r="BW6" i="4"/>
  <c r="BV6" i="4"/>
  <c r="BU6" i="4"/>
  <c r="BS6" i="4"/>
  <c r="BR6" i="4"/>
  <c r="BQ6" i="4"/>
  <c r="BP6" i="4"/>
  <c r="BO6" i="4"/>
  <c r="BN6" i="4"/>
  <c r="BW5" i="4"/>
  <c r="BV5" i="4"/>
  <c r="BU5" i="4"/>
  <c r="BS5" i="4"/>
  <c r="BR5" i="4"/>
  <c r="BQ5" i="4"/>
  <c r="BP5" i="4"/>
  <c r="BO5" i="4"/>
  <c r="BN5" i="4"/>
  <c r="BW4" i="4"/>
  <c r="BV4" i="4"/>
  <c r="BU4" i="4"/>
  <c r="BS4" i="4"/>
  <c r="BR4" i="4"/>
  <c r="BQ4" i="4"/>
  <c r="BP4" i="4"/>
  <c r="BO4" i="4"/>
  <c r="BN4" i="4"/>
  <c r="AV34" i="4"/>
  <c r="AU34" i="4"/>
  <c r="AT34" i="4"/>
  <c r="AR34" i="4"/>
  <c r="AQ34" i="4"/>
  <c r="AP34" i="4"/>
  <c r="AO34" i="4"/>
  <c r="AN34" i="4"/>
  <c r="AM34" i="4"/>
  <c r="AV32" i="4"/>
  <c r="AU32" i="4"/>
  <c r="AT32" i="4"/>
  <c r="AR32" i="4"/>
  <c r="AQ32" i="4"/>
  <c r="AP32" i="4"/>
  <c r="AO32" i="4"/>
  <c r="AN32" i="4"/>
  <c r="AM32" i="4"/>
  <c r="AV31" i="4"/>
  <c r="AU31" i="4"/>
  <c r="AT31" i="4"/>
  <c r="AR31" i="4"/>
  <c r="AQ31" i="4"/>
  <c r="AP31" i="4"/>
  <c r="AO31" i="4"/>
  <c r="AN31" i="4"/>
  <c r="AM31" i="4"/>
  <c r="AV30" i="4"/>
  <c r="AU30" i="4"/>
  <c r="AT30" i="4"/>
  <c r="AR30" i="4"/>
  <c r="AQ30" i="4"/>
  <c r="AP30" i="4"/>
  <c r="AO30" i="4"/>
  <c r="AN30" i="4"/>
  <c r="AM30" i="4"/>
  <c r="AV26" i="4"/>
  <c r="AU26" i="4"/>
  <c r="AT26" i="4"/>
  <c r="AR26" i="4"/>
  <c r="AQ26" i="4"/>
  <c r="AP26" i="4"/>
  <c r="AO26" i="4"/>
  <c r="AS26" i="4" s="1"/>
  <c r="AN26" i="4"/>
  <c r="AM26" i="4"/>
  <c r="AV22" i="4"/>
  <c r="AU22" i="4"/>
  <c r="AT22" i="4"/>
  <c r="AR22" i="4"/>
  <c r="AQ22" i="4"/>
  <c r="AP22" i="4"/>
  <c r="AO22" i="4"/>
  <c r="AN22" i="4"/>
  <c r="AM22" i="4"/>
  <c r="AV20" i="4"/>
  <c r="AU20" i="4"/>
  <c r="AT20" i="4"/>
  <c r="AR20" i="4"/>
  <c r="AQ20" i="4"/>
  <c r="AP20" i="4"/>
  <c r="AO20" i="4"/>
  <c r="AS20" i="4" s="1"/>
  <c r="AN20" i="4"/>
  <c r="AM20" i="4"/>
  <c r="AV33" i="4"/>
  <c r="AU33" i="4"/>
  <c r="AT33" i="4"/>
  <c r="AR33" i="4"/>
  <c r="AQ33" i="4"/>
  <c r="AP33" i="4"/>
  <c r="AO33" i="4"/>
  <c r="AN33" i="4"/>
  <c r="AM33" i="4"/>
  <c r="AV28" i="4"/>
  <c r="AU28" i="4"/>
  <c r="AT28" i="4"/>
  <c r="AR28" i="4"/>
  <c r="AQ28" i="4"/>
  <c r="AP28" i="4"/>
  <c r="AO28" i="4"/>
  <c r="AN28" i="4"/>
  <c r="AM28" i="4"/>
  <c r="AV18" i="4"/>
  <c r="AU18" i="4"/>
  <c r="AT18" i="4"/>
  <c r="AR18" i="4"/>
  <c r="AQ18" i="4"/>
  <c r="AP18" i="4"/>
  <c r="AO18" i="4"/>
  <c r="AN18" i="4"/>
  <c r="AM18" i="4"/>
  <c r="AV19" i="4"/>
  <c r="AU19" i="4"/>
  <c r="AT19" i="4"/>
  <c r="AR19" i="4"/>
  <c r="AQ19" i="4"/>
  <c r="AP19" i="4"/>
  <c r="AO19" i="4"/>
  <c r="AN19" i="4"/>
  <c r="AM19" i="4"/>
  <c r="AV15" i="4"/>
  <c r="AU15" i="4"/>
  <c r="AT15" i="4"/>
  <c r="AR15" i="4"/>
  <c r="AQ15" i="4"/>
  <c r="AP15" i="4"/>
  <c r="AO15" i="4"/>
  <c r="AN15" i="4"/>
  <c r="AM15" i="4"/>
  <c r="AV25" i="4"/>
  <c r="AU25" i="4"/>
  <c r="AT25" i="4"/>
  <c r="AR25" i="4"/>
  <c r="AQ25" i="4"/>
  <c r="AP25" i="4"/>
  <c r="AO25" i="4"/>
  <c r="AN25" i="4"/>
  <c r="AM25" i="4"/>
  <c r="AV17" i="4"/>
  <c r="AU17" i="4"/>
  <c r="AT17" i="4"/>
  <c r="AR17" i="4"/>
  <c r="AQ17" i="4"/>
  <c r="AP17" i="4"/>
  <c r="AO17" i="4"/>
  <c r="AN17" i="4"/>
  <c r="AM17" i="4"/>
  <c r="AV11" i="4"/>
  <c r="AU11" i="4"/>
  <c r="AT11" i="4"/>
  <c r="AR11" i="4"/>
  <c r="AQ11" i="4"/>
  <c r="AP11" i="4"/>
  <c r="AO11" i="4"/>
  <c r="AN11" i="4"/>
  <c r="AM11" i="4"/>
  <c r="AV12" i="4"/>
  <c r="AU12" i="4"/>
  <c r="AT12" i="4"/>
  <c r="AR12" i="4"/>
  <c r="AQ12" i="4"/>
  <c r="AP12" i="4"/>
  <c r="AO12" i="4"/>
  <c r="AN12" i="4"/>
  <c r="AM12" i="4"/>
  <c r="AV9" i="4"/>
  <c r="AU9" i="4"/>
  <c r="AT9" i="4"/>
  <c r="AR9" i="4"/>
  <c r="AQ9" i="4"/>
  <c r="AP9" i="4"/>
  <c r="AO9" i="4"/>
  <c r="AS9" i="4" s="1"/>
  <c r="AN9" i="4"/>
  <c r="AM9" i="4"/>
  <c r="AV7" i="4"/>
  <c r="AU7" i="4"/>
  <c r="AT7" i="4"/>
  <c r="AR7" i="4"/>
  <c r="AQ7" i="4"/>
  <c r="AP7" i="4"/>
  <c r="AO7" i="4"/>
  <c r="AN7" i="4"/>
  <c r="AM7" i="4"/>
  <c r="AV21" i="4"/>
  <c r="AU21" i="4"/>
  <c r="AT21" i="4"/>
  <c r="AR21" i="4"/>
  <c r="AQ21" i="4"/>
  <c r="AP21" i="4"/>
  <c r="AO21" i="4"/>
  <c r="AN21" i="4"/>
  <c r="AM21" i="4"/>
  <c r="AV13" i="4"/>
  <c r="AU13" i="4"/>
  <c r="AT13" i="4"/>
  <c r="AR13" i="4"/>
  <c r="AQ13" i="4"/>
  <c r="AP13" i="4"/>
  <c r="AO13" i="4"/>
  <c r="AN13" i="4"/>
  <c r="AM13" i="4"/>
  <c r="AV10" i="4"/>
  <c r="AU10" i="4"/>
  <c r="AT10" i="4"/>
  <c r="AR10" i="4"/>
  <c r="AQ10" i="4"/>
  <c r="AP10" i="4"/>
  <c r="AO10" i="4"/>
  <c r="AN10" i="4"/>
  <c r="AM10" i="4"/>
  <c r="AV6" i="4"/>
  <c r="AU6" i="4"/>
  <c r="AT6" i="4"/>
  <c r="AR6" i="4"/>
  <c r="AQ6" i="4"/>
  <c r="AP6" i="4"/>
  <c r="AO6" i="4"/>
  <c r="AN6" i="4"/>
  <c r="AM6" i="4"/>
  <c r="AV5" i="4"/>
  <c r="AU5" i="4"/>
  <c r="AT5" i="4"/>
  <c r="AR5" i="4"/>
  <c r="AQ5" i="4"/>
  <c r="AP5" i="4"/>
  <c r="AO5" i="4"/>
  <c r="AN5" i="4"/>
  <c r="AM5" i="4"/>
  <c r="AV4" i="4"/>
  <c r="AU4" i="4"/>
  <c r="AT4" i="4"/>
  <c r="AR4" i="4"/>
  <c r="AQ4" i="4"/>
  <c r="AP4" i="4"/>
  <c r="AO4" i="4"/>
  <c r="AN4" i="4"/>
  <c r="AM4" i="4"/>
  <c r="CV36" i="19"/>
  <c r="CW36" i="19"/>
  <c r="CX36" i="19"/>
  <c r="CY36" i="19"/>
  <c r="DA36" i="19"/>
  <c r="DB36" i="19"/>
  <c r="PW36" i="19"/>
  <c r="PX36" i="19"/>
  <c r="PY36" i="19"/>
  <c r="PZ36" i="19"/>
  <c r="QB36" i="19"/>
  <c r="QC36" i="19"/>
  <c r="QE36" i="19"/>
  <c r="QF36" i="19"/>
  <c r="QG36" i="19"/>
  <c r="QH36" i="19"/>
  <c r="QI36" i="19"/>
  <c r="QJ36" i="19"/>
  <c r="QK36" i="19"/>
  <c r="QL36" i="19"/>
  <c r="QM36" i="19"/>
  <c r="QN36" i="19"/>
  <c r="QO36" i="19"/>
  <c r="QP36" i="19"/>
  <c r="QQ36" i="19"/>
  <c r="QR36" i="19"/>
  <c r="QS36" i="19"/>
  <c r="QT36" i="19"/>
  <c r="QU36" i="19"/>
  <c r="QV36" i="19"/>
  <c r="QW36" i="19"/>
  <c r="QX36" i="19"/>
  <c r="CV18" i="19"/>
  <c r="CW18" i="19"/>
  <c r="CX18" i="19"/>
  <c r="CY18" i="19"/>
  <c r="DA18" i="19"/>
  <c r="DB18" i="19"/>
  <c r="PW18" i="19"/>
  <c r="PX18" i="19"/>
  <c r="PY18" i="19"/>
  <c r="PZ18" i="19"/>
  <c r="QB18" i="19"/>
  <c r="QC18" i="19"/>
  <c r="QE18" i="19"/>
  <c r="QF18" i="19"/>
  <c r="QG18" i="19"/>
  <c r="QH18" i="19"/>
  <c r="QI18" i="19"/>
  <c r="QJ18" i="19"/>
  <c r="QK18" i="19"/>
  <c r="QL18" i="19"/>
  <c r="QM18" i="19"/>
  <c r="QN18" i="19"/>
  <c r="QO18" i="19"/>
  <c r="QP18" i="19"/>
  <c r="QQ18" i="19"/>
  <c r="QR18" i="19"/>
  <c r="QS18" i="19"/>
  <c r="QT18" i="19"/>
  <c r="QU18" i="19"/>
  <c r="QV18" i="19"/>
  <c r="QW18" i="19"/>
  <c r="QX18" i="19"/>
  <c r="CV4" i="21"/>
  <c r="CW4" i="21"/>
  <c r="CX4" i="21"/>
  <c r="CY4" i="21"/>
  <c r="DA4" i="21"/>
  <c r="DB4" i="21"/>
  <c r="PW4" i="21"/>
  <c r="PX4" i="21"/>
  <c r="PY4" i="21"/>
  <c r="PZ4" i="21"/>
  <c r="QB4" i="21"/>
  <c r="QC4" i="21"/>
  <c r="QE4" i="21"/>
  <c r="QF4" i="21"/>
  <c r="QG4" i="21"/>
  <c r="QH4" i="21"/>
  <c r="QI4" i="21"/>
  <c r="QJ4" i="21"/>
  <c r="QK4" i="21"/>
  <c r="QL4" i="21"/>
  <c r="QM4" i="21"/>
  <c r="QN4" i="21"/>
  <c r="QO4" i="21"/>
  <c r="QP4" i="21"/>
  <c r="QQ4" i="21"/>
  <c r="QR4" i="21"/>
  <c r="QS4" i="21"/>
  <c r="QT4" i="21"/>
  <c r="QU4" i="21"/>
  <c r="QV4" i="21"/>
  <c r="QW4" i="21"/>
  <c r="QX4" i="21"/>
  <c r="CV5" i="21"/>
  <c r="CW5" i="21"/>
  <c r="CX5" i="21"/>
  <c r="CY5" i="21"/>
  <c r="DA5" i="21"/>
  <c r="DB5" i="21"/>
  <c r="PW5" i="21"/>
  <c r="PX5" i="21"/>
  <c r="PY5" i="21"/>
  <c r="PZ5" i="21"/>
  <c r="QB5" i="21"/>
  <c r="QC5" i="21"/>
  <c r="QE5" i="21"/>
  <c r="QF5" i="21"/>
  <c r="QG5" i="21"/>
  <c r="QH5" i="21"/>
  <c r="QI5" i="21"/>
  <c r="QJ5" i="21"/>
  <c r="QK5" i="21"/>
  <c r="QL5" i="21"/>
  <c r="QM5" i="21"/>
  <c r="QN5" i="21"/>
  <c r="QO5" i="21"/>
  <c r="QP5" i="21"/>
  <c r="QQ5" i="21"/>
  <c r="QR5" i="21"/>
  <c r="QS5" i="21"/>
  <c r="QT5" i="21"/>
  <c r="QU5" i="21"/>
  <c r="QV5" i="21"/>
  <c r="QW5" i="21"/>
  <c r="QX5" i="21"/>
  <c r="CV6" i="21"/>
  <c r="CW6" i="21"/>
  <c r="CX6" i="21"/>
  <c r="CY6" i="21"/>
  <c r="DA6" i="21"/>
  <c r="DB6" i="21"/>
  <c r="PW6" i="21"/>
  <c r="PX6" i="21"/>
  <c r="PY6" i="21"/>
  <c r="PZ6" i="21"/>
  <c r="QB6" i="21"/>
  <c r="QC6" i="21"/>
  <c r="QE6" i="21"/>
  <c r="QF6" i="21"/>
  <c r="QG6" i="21"/>
  <c r="QH6" i="21"/>
  <c r="QI6" i="21"/>
  <c r="QJ6" i="21"/>
  <c r="QK6" i="21"/>
  <c r="QL6" i="21"/>
  <c r="QM6" i="21"/>
  <c r="QN6" i="21"/>
  <c r="QO6" i="21"/>
  <c r="QP6" i="21"/>
  <c r="QQ6" i="21"/>
  <c r="QR6" i="21"/>
  <c r="QS6" i="21"/>
  <c r="QT6" i="21"/>
  <c r="QU6" i="21"/>
  <c r="QV6" i="21"/>
  <c r="QW6" i="21"/>
  <c r="QX6" i="21"/>
  <c r="CV7" i="21"/>
  <c r="CW7" i="21"/>
  <c r="CX7" i="21"/>
  <c r="CY7" i="21"/>
  <c r="DA7" i="21"/>
  <c r="DB7" i="21"/>
  <c r="PW7" i="21"/>
  <c r="PX7" i="21"/>
  <c r="PY7" i="21"/>
  <c r="PZ7" i="21"/>
  <c r="QB7" i="21"/>
  <c r="QC7" i="21"/>
  <c r="QE7" i="21"/>
  <c r="QF7" i="21"/>
  <c r="QG7" i="21"/>
  <c r="QH7" i="21"/>
  <c r="QI7" i="21"/>
  <c r="QJ7" i="21"/>
  <c r="QK7" i="21"/>
  <c r="QL7" i="21"/>
  <c r="QM7" i="21"/>
  <c r="QN7" i="21"/>
  <c r="QO7" i="21"/>
  <c r="QP7" i="21"/>
  <c r="QQ7" i="21"/>
  <c r="QR7" i="21"/>
  <c r="QS7" i="21"/>
  <c r="QT7" i="21"/>
  <c r="QU7" i="21"/>
  <c r="QV7" i="21"/>
  <c r="QW7" i="21"/>
  <c r="QX7" i="21"/>
  <c r="CV10" i="21"/>
  <c r="CW10" i="21"/>
  <c r="CX10" i="21"/>
  <c r="CY10" i="21"/>
  <c r="DA10" i="21"/>
  <c r="DB10" i="21"/>
  <c r="PW10" i="21"/>
  <c r="PX10" i="21"/>
  <c r="PY10" i="21"/>
  <c r="PZ10" i="21"/>
  <c r="QB10" i="21"/>
  <c r="QC10" i="21"/>
  <c r="QE10" i="21"/>
  <c r="QF10" i="21"/>
  <c r="QG10" i="21"/>
  <c r="QH10" i="21"/>
  <c r="QI10" i="21"/>
  <c r="QJ10" i="21"/>
  <c r="QK10" i="21"/>
  <c r="QL10" i="21"/>
  <c r="QM10" i="21"/>
  <c r="QN10" i="21"/>
  <c r="QO10" i="21"/>
  <c r="QP10" i="21"/>
  <c r="QQ10" i="21"/>
  <c r="QR10" i="21"/>
  <c r="QS10" i="21"/>
  <c r="QT10" i="21"/>
  <c r="QU10" i="21"/>
  <c r="QV10" i="21"/>
  <c r="QW10" i="21"/>
  <c r="QX10" i="21"/>
  <c r="CV19" i="21"/>
  <c r="CW19" i="21"/>
  <c r="CX19" i="21"/>
  <c r="CY19" i="21"/>
  <c r="DA19" i="21"/>
  <c r="DB19" i="21"/>
  <c r="PW19" i="21"/>
  <c r="PX19" i="21"/>
  <c r="PY19" i="21"/>
  <c r="PZ19" i="21"/>
  <c r="QB19" i="21"/>
  <c r="QC19" i="21"/>
  <c r="QE19" i="21"/>
  <c r="QF19" i="21"/>
  <c r="QG19" i="21"/>
  <c r="QH19" i="21"/>
  <c r="QI19" i="21"/>
  <c r="QJ19" i="21"/>
  <c r="QK19" i="21"/>
  <c r="QL19" i="21"/>
  <c r="QM19" i="21"/>
  <c r="QN19" i="21"/>
  <c r="QO19" i="21"/>
  <c r="QP19" i="21"/>
  <c r="QQ19" i="21"/>
  <c r="QR19" i="21"/>
  <c r="QS19" i="21"/>
  <c r="QT19" i="21"/>
  <c r="QU19" i="21"/>
  <c r="QV19" i="21"/>
  <c r="QW19" i="21"/>
  <c r="QX19" i="21"/>
  <c r="CV16" i="21"/>
  <c r="CW16" i="21"/>
  <c r="CX16" i="21"/>
  <c r="CY16" i="21"/>
  <c r="DA16" i="21"/>
  <c r="DB16" i="21"/>
  <c r="PW16" i="21"/>
  <c r="PX16" i="21"/>
  <c r="PY16" i="21"/>
  <c r="PZ16" i="21"/>
  <c r="QB16" i="21"/>
  <c r="QC16" i="21"/>
  <c r="QE16" i="21"/>
  <c r="QF16" i="21"/>
  <c r="QG16" i="21"/>
  <c r="QH16" i="21"/>
  <c r="QI16" i="21"/>
  <c r="QJ16" i="21"/>
  <c r="QK16" i="21"/>
  <c r="QL16" i="21"/>
  <c r="QM16" i="21"/>
  <c r="QN16" i="21"/>
  <c r="QO16" i="21"/>
  <c r="QP16" i="21"/>
  <c r="QQ16" i="21"/>
  <c r="QR16" i="21"/>
  <c r="QS16" i="21"/>
  <c r="QT16" i="21"/>
  <c r="QU16" i="21"/>
  <c r="QV16" i="21"/>
  <c r="QW16" i="21"/>
  <c r="QX16" i="21"/>
  <c r="CV11" i="21"/>
  <c r="CW11" i="21"/>
  <c r="CX11" i="21"/>
  <c r="CY11" i="21"/>
  <c r="DA11" i="21"/>
  <c r="DB11" i="21"/>
  <c r="PW11" i="21"/>
  <c r="PX11" i="21"/>
  <c r="PY11" i="21"/>
  <c r="PZ11" i="21"/>
  <c r="QB11" i="21"/>
  <c r="QC11" i="21"/>
  <c r="QE11" i="21"/>
  <c r="QF11" i="21"/>
  <c r="QG11" i="21"/>
  <c r="QH11" i="21"/>
  <c r="QI11" i="21"/>
  <c r="QJ11" i="21"/>
  <c r="QK11" i="21"/>
  <c r="QL11" i="21"/>
  <c r="QM11" i="21"/>
  <c r="QN11" i="21"/>
  <c r="QO11" i="21"/>
  <c r="QP11" i="21"/>
  <c r="QQ11" i="21"/>
  <c r="QR11" i="21"/>
  <c r="QS11" i="21"/>
  <c r="QT11" i="21"/>
  <c r="QU11" i="21"/>
  <c r="QV11" i="21"/>
  <c r="QW11" i="21"/>
  <c r="QX11" i="21"/>
  <c r="CV15" i="21"/>
  <c r="CW15" i="21"/>
  <c r="CX15" i="21"/>
  <c r="CY15" i="21"/>
  <c r="DA15" i="21"/>
  <c r="DB15" i="21"/>
  <c r="PW15" i="21"/>
  <c r="PX15" i="21"/>
  <c r="PY15" i="21"/>
  <c r="PZ15" i="21"/>
  <c r="QB15" i="21"/>
  <c r="QC15" i="21"/>
  <c r="QE15" i="21"/>
  <c r="QF15" i="21"/>
  <c r="QG15" i="21"/>
  <c r="QH15" i="21"/>
  <c r="QI15" i="21"/>
  <c r="QJ15" i="21"/>
  <c r="QK15" i="21"/>
  <c r="QL15" i="21"/>
  <c r="QM15" i="21"/>
  <c r="QN15" i="21"/>
  <c r="QO15" i="21"/>
  <c r="QP15" i="21"/>
  <c r="QQ15" i="21"/>
  <c r="QR15" i="21"/>
  <c r="QS15" i="21"/>
  <c r="QT15" i="21"/>
  <c r="QU15" i="21"/>
  <c r="QV15" i="21"/>
  <c r="QW15" i="21"/>
  <c r="QX15" i="21"/>
  <c r="CV8" i="21"/>
  <c r="CW8" i="21"/>
  <c r="CX8" i="21"/>
  <c r="CY8" i="21"/>
  <c r="DA8" i="21"/>
  <c r="DB8" i="21"/>
  <c r="PW8" i="21"/>
  <c r="PX8" i="21"/>
  <c r="PY8" i="21"/>
  <c r="PZ8" i="21"/>
  <c r="QB8" i="21"/>
  <c r="QC8" i="21"/>
  <c r="QE8" i="21"/>
  <c r="QF8" i="21"/>
  <c r="QG8" i="21"/>
  <c r="QH8" i="21"/>
  <c r="QI8" i="21"/>
  <c r="QJ8" i="21"/>
  <c r="QK8" i="21"/>
  <c r="QL8" i="21"/>
  <c r="QM8" i="21"/>
  <c r="QN8" i="21"/>
  <c r="QO8" i="21"/>
  <c r="QP8" i="21"/>
  <c r="QQ8" i="21"/>
  <c r="QR8" i="21"/>
  <c r="QS8" i="21"/>
  <c r="QT8" i="21"/>
  <c r="QU8" i="21"/>
  <c r="QV8" i="21"/>
  <c r="QW8" i="21"/>
  <c r="QX8" i="21"/>
  <c r="CV14" i="21"/>
  <c r="CW14" i="21"/>
  <c r="CX14" i="21"/>
  <c r="CY14" i="21"/>
  <c r="DA14" i="21"/>
  <c r="DB14" i="21"/>
  <c r="PW14" i="21"/>
  <c r="PX14" i="21"/>
  <c r="PY14" i="21"/>
  <c r="PZ14" i="21"/>
  <c r="QB14" i="21"/>
  <c r="QC14" i="21"/>
  <c r="QE14" i="21"/>
  <c r="QF14" i="21"/>
  <c r="QG14" i="21"/>
  <c r="QH14" i="21"/>
  <c r="QI14" i="21"/>
  <c r="QJ14" i="21"/>
  <c r="QK14" i="21"/>
  <c r="QL14" i="21"/>
  <c r="QM14" i="21"/>
  <c r="QN14" i="21"/>
  <c r="QO14" i="21"/>
  <c r="QP14" i="21"/>
  <c r="QQ14" i="21"/>
  <c r="QR14" i="21"/>
  <c r="QS14" i="21"/>
  <c r="QT14" i="21"/>
  <c r="QU14" i="21"/>
  <c r="QV14" i="21"/>
  <c r="QW14" i="21"/>
  <c r="QX14" i="21"/>
  <c r="CV21" i="21"/>
  <c r="CW21" i="21"/>
  <c r="CX21" i="21"/>
  <c r="CY21" i="21"/>
  <c r="DA21" i="21"/>
  <c r="DB21" i="21"/>
  <c r="PW21" i="21"/>
  <c r="PX21" i="21"/>
  <c r="PY21" i="21"/>
  <c r="PZ21" i="21"/>
  <c r="QB21" i="21"/>
  <c r="QC21" i="21"/>
  <c r="QE21" i="21"/>
  <c r="QF21" i="21"/>
  <c r="QG21" i="21"/>
  <c r="QH21" i="21"/>
  <c r="QI21" i="21"/>
  <c r="QJ21" i="21"/>
  <c r="QK21" i="21"/>
  <c r="QL21" i="21"/>
  <c r="QM21" i="21"/>
  <c r="QN21" i="21"/>
  <c r="QO21" i="21"/>
  <c r="QP21" i="21"/>
  <c r="QQ21" i="21"/>
  <c r="QR21" i="21"/>
  <c r="QS21" i="21"/>
  <c r="QT21" i="21"/>
  <c r="QU21" i="21"/>
  <c r="QV21" i="21"/>
  <c r="QW21" i="21"/>
  <c r="QX21" i="21"/>
  <c r="CV10" i="19"/>
  <c r="CW10" i="19"/>
  <c r="CX10" i="19"/>
  <c r="CY10" i="19"/>
  <c r="DA10" i="19"/>
  <c r="DB10" i="19"/>
  <c r="PW10" i="19"/>
  <c r="PX10" i="19"/>
  <c r="PY10" i="19"/>
  <c r="PZ10" i="19"/>
  <c r="QB10" i="19"/>
  <c r="QC10" i="19"/>
  <c r="QE10" i="19"/>
  <c r="QF10" i="19"/>
  <c r="QG10" i="19"/>
  <c r="QH10" i="19"/>
  <c r="QI10" i="19"/>
  <c r="QJ10" i="19"/>
  <c r="QK10" i="19"/>
  <c r="QL10" i="19"/>
  <c r="QM10" i="19"/>
  <c r="QN10" i="19"/>
  <c r="QO10" i="19"/>
  <c r="QP10" i="19"/>
  <c r="QQ10" i="19"/>
  <c r="QR10" i="19"/>
  <c r="QS10" i="19"/>
  <c r="QT10" i="19"/>
  <c r="QU10" i="19"/>
  <c r="QV10" i="19"/>
  <c r="QW10" i="19"/>
  <c r="QX10" i="19"/>
  <c r="CV13" i="19"/>
  <c r="CW13" i="19"/>
  <c r="CX13" i="19"/>
  <c r="CY13" i="19"/>
  <c r="DA13" i="19"/>
  <c r="DB13" i="19"/>
  <c r="PW13" i="19"/>
  <c r="PX13" i="19"/>
  <c r="PY13" i="19"/>
  <c r="PZ13" i="19"/>
  <c r="QB13" i="19"/>
  <c r="QC13" i="19"/>
  <c r="QE13" i="19"/>
  <c r="QF13" i="19"/>
  <c r="QG13" i="19"/>
  <c r="QH13" i="19"/>
  <c r="QI13" i="19"/>
  <c r="QJ13" i="19"/>
  <c r="QK13" i="19"/>
  <c r="QL13" i="19"/>
  <c r="QM13" i="19"/>
  <c r="QN13" i="19"/>
  <c r="QO13" i="19"/>
  <c r="QP13" i="19"/>
  <c r="QQ13" i="19"/>
  <c r="QR13" i="19"/>
  <c r="QS13" i="19"/>
  <c r="QT13" i="19"/>
  <c r="QU13" i="19"/>
  <c r="QV13" i="19"/>
  <c r="QW13" i="19"/>
  <c r="QX13" i="19"/>
  <c r="CV19" i="19"/>
  <c r="CW19" i="19"/>
  <c r="CX19" i="19"/>
  <c r="CY19" i="19"/>
  <c r="DA19" i="19"/>
  <c r="DB19" i="19"/>
  <c r="PW19" i="19"/>
  <c r="PX19" i="19"/>
  <c r="PY19" i="19"/>
  <c r="PZ19" i="19"/>
  <c r="QB19" i="19"/>
  <c r="QC19" i="19"/>
  <c r="QE19" i="19"/>
  <c r="QF19" i="19"/>
  <c r="QG19" i="19"/>
  <c r="QH19" i="19"/>
  <c r="QI19" i="19"/>
  <c r="QJ19" i="19"/>
  <c r="QK19" i="19"/>
  <c r="QL19" i="19"/>
  <c r="QM19" i="19"/>
  <c r="QN19" i="19"/>
  <c r="QO19" i="19"/>
  <c r="QP19" i="19"/>
  <c r="QQ19" i="19"/>
  <c r="QR19" i="19"/>
  <c r="QS19" i="19"/>
  <c r="QT19" i="19"/>
  <c r="QU19" i="19"/>
  <c r="QV19" i="19"/>
  <c r="QW19" i="19"/>
  <c r="QX19" i="19"/>
  <c r="CV31" i="19"/>
  <c r="CW31" i="19"/>
  <c r="CX31" i="19"/>
  <c r="CY31" i="19"/>
  <c r="DA31" i="19"/>
  <c r="DB31" i="19"/>
  <c r="PW31" i="19"/>
  <c r="PX31" i="19"/>
  <c r="PY31" i="19"/>
  <c r="PZ31" i="19"/>
  <c r="QB31" i="19"/>
  <c r="QC31" i="19"/>
  <c r="QE31" i="19"/>
  <c r="QF31" i="19"/>
  <c r="QG31" i="19"/>
  <c r="QH31" i="19"/>
  <c r="QI31" i="19"/>
  <c r="QJ31" i="19"/>
  <c r="QK31" i="19"/>
  <c r="QL31" i="19"/>
  <c r="QM31" i="19"/>
  <c r="QN31" i="19"/>
  <c r="QO31" i="19"/>
  <c r="QP31" i="19"/>
  <c r="QQ31" i="19"/>
  <c r="QR31" i="19"/>
  <c r="QS31" i="19"/>
  <c r="QT31" i="19"/>
  <c r="QU31" i="19"/>
  <c r="QV31" i="19"/>
  <c r="QW31" i="19"/>
  <c r="QX31" i="19"/>
  <c r="CV21" i="19"/>
  <c r="CW21" i="19"/>
  <c r="CX21" i="19"/>
  <c r="CY21" i="19"/>
  <c r="DA21" i="19"/>
  <c r="DB21" i="19"/>
  <c r="PW21" i="19"/>
  <c r="PX21" i="19"/>
  <c r="PY21" i="19"/>
  <c r="PZ21" i="19"/>
  <c r="QB21" i="19"/>
  <c r="QC21" i="19"/>
  <c r="QE21" i="19"/>
  <c r="QF21" i="19"/>
  <c r="QG21" i="19"/>
  <c r="QH21" i="19"/>
  <c r="QI21" i="19"/>
  <c r="QJ21" i="19"/>
  <c r="QK21" i="19"/>
  <c r="QL21" i="19"/>
  <c r="QM21" i="19"/>
  <c r="QN21" i="19"/>
  <c r="QO21" i="19"/>
  <c r="QP21" i="19"/>
  <c r="QQ21" i="19"/>
  <c r="QR21" i="19"/>
  <c r="QS21" i="19"/>
  <c r="QT21" i="19"/>
  <c r="QU21" i="19"/>
  <c r="QV21" i="19"/>
  <c r="QW21" i="19"/>
  <c r="QX21" i="19"/>
  <c r="CV11" i="19"/>
  <c r="CW11" i="19"/>
  <c r="CX11" i="19"/>
  <c r="CY11" i="19"/>
  <c r="DA11" i="19"/>
  <c r="DB11" i="19"/>
  <c r="PW11" i="19"/>
  <c r="PX11" i="19"/>
  <c r="PY11" i="19"/>
  <c r="PZ11" i="19"/>
  <c r="QB11" i="19"/>
  <c r="QC11" i="19"/>
  <c r="QE11" i="19"/>
  <c r="QF11" i="19"/>
  <c r="QG11" i="19"/>
  <c r="QH11" i="19"/>
  <c r="QI11" i="19"/>
  <c r="QJ11" i="19"/>
  <c r="QK11" i="19"/>
  <c r="QL11" i="19"/>
  <c r="QM11" i="19"/>
  <c r="QN11" i="19"/>
  <c r="QO11" i="19"/>
  <c r="QP11" i="19"/>
  <c r="QQ11" i="19"/>
  <c r="QR11" i="19"/>
  <c r="QS11" i="19"/>
  <c r="QT11" i="19"/>
  <c r="QU11" i="19"/>
  <c r="QV11" i="19"/>
  <c r="QW11" i="19"/>
  <c r="QX11" i="19"/>
  <c r="CV7" i="27"/>
  <c r="CW7" i="27"/>
  <c r="CX7" i="27"/>
  <c r="CY7" i="27"/>
  <c r="DA7" i="27"/>
  <c r="DB7" i="27"/>
  <c r="PW7" i="27"/>
  <c r="PX7" i="27"/>
  <c r="PY7" i="27"/>
  <c r="PZ7" i="27"/>
  <c r="QB7" i="27"/>
  <c r="QC7" i="27"/>
  <c r="QE7" i="27"/>
  <c r="QF7" i="27"/>
  <c r="QG7" i="27"/>
  <c r="QH7" i="27"/>
  <c r="QI7" i="27"/>
  <c r="QJ7" i="27"/>
  <c r="QK7" i="27"/>
  <c r="QL7" i="27"/>
  <c r="QM7" i="27"/>
  <c r="QN7" i="27"/>
  <c r="QO7" i="27"/>
  <c r="QP7" i="27"/>
  <c r="QQ7" i="27"/>
  <c r="QR7" i="27"/>
  <c r="QS7" i="27"/>
  <c r="QT7" i="27"/>
  <c r="QU7" i="27"/>
  <c r="QV7" i="27"/>
  <c r="QW7" i="27"/>
  <c r="QX7" i="27"/>
  <c r="CV10" i="27"/>
  <c r="CW10" i="27"/>
  <c r="CX10" i="27"/>
  <c r="CY10" i="27"/>
  <c r="DA10" i="27"/>
  <c r="DB10" i="27"/>
  <c r="PW10" i="27"/>
  <c r="PX10" i="27"/>
  <c r="PY10" i="27"/>
  <c r="PZ10" i="27"/>
  <c r="QB10" i="27"/>
  <c r="QC10" i="27"/>
  <c r="QE10" i="27"/>
  <c r="QF10" i="27"/>
  <c r="QG10" i="27"/>
  <c r="QH10" i="27"/>
  <c r="QI10" i="27"/>
  <c r="QJ10" i="27"/>
  <c r="QK10" i="27"/>
  <c r="QL10" i="27"/>
  <c r="QM10" i="27"/>
  <c r="QN10" i="27"/>
  <c r="QO10" i="27"/>
  <c r="QP10" i="27"/>
  <c r="QQ10" i="27"/>
  <c r="QR10" i="27"/>
  <c r="QS10" i="27"/>
  <c r="QT10" i="27"/>
  <c r="QU10" i="27"/>
  <c r="QV10" i="27"/>
  <c r="QW10" i="27"/>
  <c r="QX10" i="27"/>
  <c r="CV6" i="27"/>
  <c r="CW6" i="27"/>
  <c r="CX6" i="27"/>
  <c r="CY6" i="27"/>
  <c r="DA6" i="27"/>
  <c r="DB6" i="27"/>
  <c r="PW6" i="27"/>
  <c r="PX6" i="27"/>
  <c r="PY6" i="27"/>
  <c r="PZ6" i="27"/>
  <c r="QB6" i="27"/>
  <c r="QC6" i="27"/>
  <c r="QE6" i="27"/>
  <c r="QF6" i="27"/>
  <c r="QG6" i="27"/>
  <c r="QH6" i="27"/>
  <c r="QI6" i="27"/>
  <c r="QJ6" i="27"/>
  <c r="QK6" i="27"/>
  <c r="QL6" i="27"/>
  <c r="QM6" i="27"/>
  <c r="QN6" i="27"/>
  <c r="QO6" i="27"/>
  <c r="QP6" i="27"/>
  <c r="QQ6" i="27"/>
  <c r="QR6" i="27"/>
  <c r="QS6" i="27"/>
  <c r="QT6" i="27"/>
  <c r="QU6" i="27"/>
  <c r="QV6" i="27"/>
  <c r="QW6" i="27"/>
  <c r="QX6" i="27"/>
  <c r="CV5" i="27"/>
  <c r="CW5" i="27"/>
  <c r="CX5" i="27"/>
  <c r="CY5" i="27"/>
  <c r="DA5" i="27"/>
  <c r="DB5" i="27"/>
  <c r="PW5" i="27"/>
  <c r="PX5" i="27"/>
  <c r="PY5" i="27"/>
  <c r="PZ5" i="27"/>
  <c r="QB5" i="27"/>
  <c r="QC5" i="27"/>
  <c r="QE5" i="27"/>
  <c r="QF5" i="27"/>
  <c r="QG5" i="27"/>
  <c r="QH5" i="27"/>
  <c r="QI5" i="27"/>
  <c r="QJ5" i="27"/>
  <c r="QK5" i="27"/>
  <c r="QL5" i="27"/>
  <c r="QM5" i="27"/>
  <c r="QN5" i="27"/>
  <c r="QO5" i="27"/>
  <c r="QP5" i="27"/>
  <c r="QQ5" i="27"/>
  <c r="QR5" i="27"/>
  <c r="QS5" i="27"/>
  <c r="QT5" i="27"/>
  <c r="QU5" i="27"/>
  <c r="QV5" i="27"/>
  <c r="QW5" i="27"/>
  <c r="QX5" i="27"/>
  <c r="CV12" i="27"/>
  <c r="CW12" i="27"/>
  <c r="CX12" i="27"/>
  <c r="CY12" i="27"/>
  <c r="DA12" i="27"/>
  <c r="DB12" i="27"/>
  <c r="PW12" i="27"/>
  <c r="PX12" i="27"/>
  <c r="PY12" i="27"/>
  <c r="PZ12" i="27"/>
  <c r="QB12" i="27"/>
  <c r="QC12" i="27"/>
  <c r="QE12" i="27"/>
  <c r="QF12" i="27"/>
  <c r="QG12" i="27"/>
  <c r="QH12" i="27"/>
  <c r="QI12" i="27"/>
  <c r="QJ12" i="27"/>
  <c r="QK12" i="27"/>
  <c r="QL12" i="27"/>
  <c r="QM12" i="27"/>
  <c r="QN12" i="27"/>
  <c r="QO12" i="27"/>
  <c r="QP12" i="27"/>
  <c r="QQ12" i="27"/>
  <c r="QR12" i="27"/>
  <c r="QS12" i="27"/>
  <c r="QT12" i="27"/>
  <c r="QU12" i="27"/>
  <c r="QV12" i="27"/>
  <c r="QW12" i="27"/>
  <c r="QX12" i="27"/>
  <c r="CV14" i="27"/>
  <c r="CW14" i="27"/>
  <c r="CX14" i="27"/>
  <c r="CY14" i="27"/>
  <c r="DA14" i="27"/>
  <c r="DB14" i="27"/>
  <c r="PW14" i="27"/>
  <c r="PX14" i="27"/>
  <c r="PY14" i="27"/>
  <c r="PZ14" i="27"/>
  <c r="QB14" i="27"/>
  <c r="QC14" i="27"/>
  <c r="QE14" i="27"/>
  <c r="QF14" i="27"/>
  <c r="QG14" i="27"/>
  <c r="QH14" i="27"/>
  <c r="QI14" i="27"/>
  <c r="QJ14" i="27"/>
  <c r="QK14" i="27"/>
  <c r="QL14" i="27"/>
  <c r="QM14" i="27"/>
  <c r="QN14" i="27"/>
  <c r="QO14" i="27"/>
  <c r="QP14" i="27"/>
  <c r="QQ14" i="27"/>
  <c r="QR14" i="27"/>
  <c r="QS14" i="27"/>
  <c r="QT14" i="27"/>
  <c r="QU14" i="27"/>
  <c r="QV14" i="27"/>
  <c r="QW14" i="27"/>
  <c r="QX14" i="27"/>
  <c r="CV18" i="27"/>
  <c r="CW18" i="27"/>
  <c r="CX18" i="27"/>
  <c r="CY18" i="27"/>
  <c r="DA18" i="27"/>
  <c r="DB18" i="27"/>
  <c r="PW18" i="27"/>
  <c r="PX18" i="27"/>
  <c r="PY18" i="27"/>
  <c r="PZ18" i="27"/>
  <c r="QB18" i="27"/>
  <c r="QC18" i="27"/>
  <c r="QE18" i="27"/>
  <c r="QF18" i="27"/>
  <c r="QG18" i="27"/>
  <c r="QH18" i="27"/>
  <c r="QI18" i="27"/>
  <c r="QJ18" i="27"/>
  <c r="QK18" i="27"/>
  <c r="QL18" i="27"/>
  <c r="QM18" i="27"/>
  <c r="QN18" i="27"/>
  <c r="QO18" i="27"/>
  <c r="QP18" i="27"/>
  <c r="QQ18" i="27"/>
  <c r="QR18" i="27"/>
  <c r="QS18" i="27"/>
  <c r="QT18" i="27"/>
  <c r="QU18" i="27"/>
  <c r="QV18" i="27"/>
  <c r="QW18" i="27"/>
  <c r="QX18" i="27"/>
  <c r="CV9" i="27"/>
  <c r="CW9" i="27"/>
  <c r="CX9" i="27"/>
  <c r="CY9" i="27"/>
  <c r="DA9" i="27"/>
  <c r="DB9" i="27"/>
  <c r="PW9" i="27"/>
  <c r="PX9" i="27"/>
  <c r="PY9" i="27"/>
  <c r="PZ9" i="27"/>
  <c r="QB9" i="27"/>
  <c r="QC9" i="27"/>
  <c r="QE9" i="27"/>
  <c r="QF9" i="27"/>
  <c r="QG9" i="27"/>
  <c r="QH9" i="27"/>
  <c r="QI9" i="27"/>
  <c r="QJ9" i="27"/>
  <c r="QK9" i="27"/>
  <c r="QL9" i="27"/>
  <c r="QM9" i="27"/>
  <c r="QN9" i="27"/>
  <c r="QO9" i="27"/>
  <c r="QP9" i="27"/>
  <c r="QQ9" i="27"/>
  <c r="QR9" i="27"/>
  <c r="QS9" i="27"/>
  <c r="QT9" i="27"/>
  <c r="QU9" i="27"/>
  <c r="QV9" i="27"/>
  <c r="QW9" i="27"/>
  <c r="QX9" i="27"/>
  <c r="CV17" i="27"/>
  <c r="CW17" i="27"/>
  <c r="CX17" i="27"/>
  <c r="CY17" i="27"/>
  <c r="DA17" i="27"/>
  <c r="DB17" i="27"/>
  <c r="PW17" i="27"/>
  <c r="PX17" i="27"/>
  <c r="PY17" i="27"/>
  <c r="PZ17" i="27"/>
  <c r="QB17" i="27"/>
  <c r="QC17" i="27"/>
  <c r="QE17" i="27"/>
  <c r="QF17" i="27"/>
  <c r="QG17" i="27"/>
  <c r="QH17" i="27"/>
  <c r="QI17" i="27"/>
  <c r="QJ17" i="27"/>
  <c r="QK17" i="27"/>
  <c r="QL17" i="27"/>
  <c r="QM17" i="27"/>
  <c r="QN17" i="27"/>
  <c r="QO17" i="27"/>
  <c r="QP17" i="27"/>
  <c r="QQ17" i="27"/>
  <c r="QR17" i="27"/>
  <c r="QS17" i="27"/>
  <c r="QT17" i="27"/>
  <c r="QU17" i="27"/>
  <c r="QV17" i="27"/>
  <c r="QW17" i="27"/>
  <c r="QX17" i="27"/>
  <c r="CV15" i="27"/>
  <c r="CW15" i="27"/>
  <c r="CX15" i="27"/>
  <c r="CY15" i="27"/>
  <c r="DA15" i="27"/>
  <c r="DB15" i="27"/>
  <c r="PW15" i="27"/>
  <c r="PX15" i="27"/>
  <c r="PY15" i="27"/>
  <c r="PZ15" i="27"/>
  <c r="QB15" i="27"/>
  <c r="QC15" i="27"/>
  <c r="QE15" i="27"/>
  <c r="QF15" i="27"/>
  <c r="QG15" i="27"/>
  <c r="QH15" i="27"/>
  <c r="QI15" i="27"/>
  <c r="QJ15" i="27"/>
  <c r="QK15" i="27"/>
  <c r="QL15" i="27"/>
  <c r="QM15" i="27"/>
  <c r="QN15" i="27"/>
  <c r="QO15" i="27"/>
  <c r="QP15" i="27"/>
  <c r="QQ15" i="27"/>
  <c r="QR15" i="27"/>
  <c r="QS15" i="27"/>
  <c r="QT15" i="27"/>
  <c r="QU15" i="27"/>
  <c r="QV15" i="27"/>
  <c r="QW15" i="27"/>
  <c r="QX15" i="27"/>
  <c r="CV6" i="26"/>
  <c r="CW6" i="26"/>
  <c r="CX6" i="26"/>
  <c r="CY6" i="26"/>
  <c r="DA6" i="26"/>
  <c r="DB6" i="26"/>
  <c r="PW6" i="26"/>
  <c r="PX6" i="26"/>
  <c r="PY6" i="26"/>
  <c r="PZ6" i="26"/>
  <c r="QB6" i="26"/>
  <c r="QC6" i="26"/>
  <c r="QE6" i="26"/>
  <c r="QF6" i="26"/>
  <c r="QG6" i="26"/>
  <c r="QH6" i="26"/>
  <c r="QI6" i="26"/>
  <c r="QJ6" i="26"/>
  <c r="QK6" i="26"/>
  <c r="QL6" i="26"/>
  <c r="QM6" i="26"/>
  <c r="QN6" i="26"/>
  <c r="QO6" i="26"/>
  <c r="QP6" i="26"/>
  <c r="QQ6" i="26"/>
  <c r="QR6" i="26"/>
  <c r="QS6" i="26"/>
  <c r="QT6" i="26"/>
  <c r="QU6" i="26"/>
  <c r="QV6" i="26"/>
  <c r="QW6" i="26"/>
  <c r="QX6" i="26"/>
  <c r="CV7" i="26"/>
  <c r="CW7" i="26"/>
  <c r="CX7" i="26"/>
  <c r="CY7" i="26"/>
  <c r="DA7" i="26"/>
  <c r="DB7" i="26"/>
  <c r="PW7" i="26"/>
  <c r="PX7" i="26"/>
  <c r="PY7" i="26"/>
  <c r="PZ7" i="26"/>
  <c r="QB7" i="26"/>
  <c r="QC7" i="26"/>
  <c r="QE7" i="26"/>
  <c r="QF7" i="26"/>
  <c r="QG7" i="26"/>
  <c r="QH7" i="26"/>
  <c r="QI7" i="26"/>
  <c r="QJ7" i="26"/>
  <c r="QK7" i="26"/>
  <c r="QL7" i="26"/>
  <c r="QM7" i="26"/>
  <c r="QN7" i="26"/>
  <c r="QO7" i="26"/>
  <c r="QP7" i="26"/>
  <c r="QQ7" i="26"/>
  <c r="QR7" i="26"/>
  <c r="QS7" i="26"/>
  <c r="QT7" i="26"/>
  <c r="QU7" i="26"/>
  <c r="QV7" i="26"/>
  <c r="QW7" i="26"/>
  <c r="QX7" i="26"/>
  <c r="CV10" i="26"/>
  <c r="CW10" i="26"/>
  <c r="CX10" i="26"/>
  <c r="CY10" i="26"/>
  <c r="DA10" i="26"/>
  <c r="DB10" i="26"/>
  <c r="PW10" i="26"/>
  <c r="PX10" i="26"/>
  <c r="PY10" i="26"/>
  <c r="PZ10" i="26"/>
  <c r="QB10" i="26"/>
  <c r="QC10" i="26"/>
  <c r="QE10" i="26"/>
  <c r="QF10" i="26"/>
  <c r="QG10" i="26"/>
  <c r="QH10" i="26"/>
  <c r="QI10" i="26"/>
  <c r="QJ10" i="26"/>
  <c r="QK10" i="26"/>
  <c r="QL10" i="26"/>
  <c r="QM10" i="26"/>
  <c r="QN10" i="26"/>
  <c r="QO10" i="26"/>
  <c r="QP10" i="26"/>
  <c r="QQ10" i="26"/>
  <c r="QR10" i="26"/>
  <c r="QS10" i="26"/>
  <c r="QT10" i="26"/>
  <c r="QU10" i="26"/>
  <c r="QV10" i="26"/>
  <c r="QW10" i="26"/>
  <c r="QX10" i="26"/>
  <c r="CV8" i="26"/>
  <c r="CW8" i="26"/>
  <c r="CX8" i="26"/>
  <c r="CY8" i="26"/>
  <c r="DA8" i="26"/>
  <c r="DB8" i="26"/>
  <c r="PW8" i="26"/>
  <c r="PX8" i="26"/>
  <c r="PY8" i="26"/>
  <c r="PZ8" i="26"/>
  <c r="QB8" i="26"/>
  <c r="QC8" i="26"/>
  <c r="QE8" i="26"/>
  <c r="QF8" i="26"/>
  <c r="QG8" i="26"/>
  <c r="QH8" i="26"/>
  <c r="QI8" i="26"/>
  <c r="QJ8" i="26"/>
  <c r="QK8" i="26"/>
  <c r="QL8" i="26"/>
  <c r="QM8" i="26"/>
  <c r="QN8" i="26"/>
  <c r="QO8" i="26"/>
  <c r="QP8" i="26"/>
  <c r="QQ8" i="26"/>
  <c r="QR8" i="26"/>
  <c r="QS8" i="26"/>
  <c r="QT8" i="26"/>
  <c r="QU8" i="26"/>
  <c r="QV8" i="26"/>
  <c r="QW8" i="26"/>
  <c r="QX8" i="26"/>
  <c r="CV12" i="26"/>
  <c r="CW12" i="26"/>
  <c r="CX12" i="26"/>
  <c r="CY12" i="26"/>
  <c r="DA12" i="26"/>
  <c r="DB12" i="26"/>
  <c r="PW12" i="26"/>
  <c r="PX12" i="26"/>
  <c r="PY12" i="26"/>
  <c r="PZ12" i="26"/>
  <c r="QB12" i="26"/>
  <c r="QC12" i="26"/>
  <c r="QE12" i="26"/>
  <c r="QF12" i="26"/>
  <c r="QG12" i="26"/>
  <c r="QH12" i="26"/>
  <c r="QI12" i="26"/>
  <c r="QJ12" i="26"/>
  <c r="QK12" i="26"/>
  <c r="QL12" i="26"/>
  <c r="QM12" i="26"/>
  <c r="QN12" i="26"/>
  <c r="QO12" i="26"/>
  <c r="QP12" i="26"/>
  <c r="QQ12" i="26"/>
  <c r="QR12" i="26"/>
  <c r="QS12" i="26"/>
  <c r="QT12" i="26"/>
  <c r="QU12" i="26"/>
  <c r="QV12" i="26"/>
  <c r="QW12" i="26"/>
  <c r="QX12" i="26"/>
  <c r="CV15" i="26"/>
  <c r="CW15" i="26"/>
  <c r="CX15" i="26"/>
  <c r="CY15" i="26"/>
  <c r="DA15" i="26"/>
  <c r="DB15" i="26"/>
  <c r="PW15" i="26"/>
  <c r="PX15" i="26"/>
  <c r="PY15" i="26"/>
  <c r="PZ15" i="26"/>
  <c r="QB15" i="26"/>
  <c r="QC15" i="26"/>
  <c r="QE15" i="26"/>
  <c r="QF15" i="26"/>
  <c r="QG15" i="26"/>
  <c r="QH15" i="26"/>
  <c r="QI15" i="26"/>
  <c r="QJ15" i="26"/>
  <c r="QK15" i="26"/>
  <c r="QL15" i="26"/>
  <c r="QM15" i="26"/>
  <c r="QN15" i="26"/>
  <c r="QO15" i="26"/>
  <c r="QP15" i="26"/>
  <c r="QQ15" i="26"/>
  <c r="QR15" i="26"/>
  <c r="QS15" i="26"/>
  <c r="QT15" i="26"/>
  <c r="QU15" i="26"/>
  <c r="QV15" i="26"/>
  <c r="QW15" i="26"/>
  <c r="QX15" i="26"/>
  <c r="CV13" i="26"/>
  <c r="CW13" i="26"/>
  <c r="CX13" i="26"/>
  <c r="CY13" i="26"/>
  <c r="DA13" i="26"/>
  <c r="DB13" i="26"/>
  <c r="PW13" i="26"/>
  <c r="PX13" i="26"/>
  <c r="PY13" i="26"/>
  <c r="PZ13" i="26"/>
  <c r="QB13" i="26"/>
  <c r="QC13" i="26"/>
  <c r="QE13" i="26"/>
  <c r="QF13" i="26"/>
  <c r="QG13" i="26"/>
  <c r="QH13" i="26"/>
  <c r="QI13" i="26"/>
  <c r="QJ13" i="26"/>
  <c r="QK13" i="26"/>
  <c r="QL13" i="26"/>
  <c r="QM13" i="26"/>
  <c r="QN13" i="26"/>
  <c r="QO13" i="26"/>
  <c r="QP13" i="26"/>
  <c r="QQ13" i="26"/>
  <c r="QR13" i="26"/>
  <c r="QS13" i="26"/>
  <c r="QT13" i="26"/>
  <c r="QU13" i="26"/>
  <c r="QV13" i="26"/>
  <c r="QW13" i="26"/>
  <c r="QX13" i="26"/>
  <c r="CV9" i="26"/>
  <c r="CW9" i="26"/>
  <c r="CX9" i="26"/>
  <c r="CY9" i="26"/>
  <c r="DA9" i="26"/>
  <c r="DB9" i="26"/>
  <c r="PW9" i="26"/>
  <c r="PX9" i="26"/>
  <c r="PY9" i="26"/>
  <c r="PZ9" i="26"/>
  <c r="QB9" i="26"/>
  <c r="QC9" i="26"/>
  <c r="QE9" i="26"/>
  <c r="QF9" i="26"/>
  <c r="QG9" i="26"/>
  <c r="QH9" i="26"/>
  <c r="QI9" i="26"/>
  <c r="QJ9" i="26"/>
  <c r="QK9" i="26"/>
  <c r="QL9" i="26"/>
  <c r="QM9" i="26"/>
  <c r="QN9" i="26"/>
  <c r="QO9" i="26"/>
  <c r="QP9" i="26"/>
  <c r="QQ9" i="26"/>
  <c r="QR9" i="26"/>
  <c r="QS9" i="26"/>
  <c r="QT9" i="26"/>
  <c r="QU9" i="26"/>
  <c r="QV9" i="26"/>
  <c r="QW9" i="26"/>
  <c r="QX9" i="26"/>
  <c r="CO4" i="22"/>
  <c r="CP4" i="22"/>
  <c r="CQ4" i="22"/>
  <c r="CR4" i="22"/>
  <c r="CS4" i="22"/>
  <c r="CT4" i="22"/>
  <c r="CV4" i="22"/>
  <c r="CW4" i="22"/>
  <c r="CX4" i="22"/>
  <c r="DV4" i="22"/>
  <c r="DW4" i="22"/>
  <c r="DX4" i="22"/>
  <c r="DY4" i="22"/>
  <c r="DZ4" i="22"/>
  <c r="EA4" i="22"/>
  <c r="EC4" i="22"/>
  <c r="ED4" i="22"/>
  <c r="EE4" i="22"/>
  <c r="EF4" i="22"/>
  <c r="EG4" i="22"/>
  <c r="EH4" i="22"/>
  <c r="FD4" i="22"/>
  <c r="FE4" i="22"/>
  <c r="FF4" i="22"/>
  <c r="FG4" i="22"/>
  <c r="FH4" i="22"/>
  <c r="FI4" i="22"/>
  <c r="FK4" i="22"/>
  <c r="FL4" i="22"/>
  <c r="FM4" i="22"/>
  <c r="FN4" i="22"/>
  <c r="FO4" i="22"/>
  <c r="FP4" i="22"/>
  <c r="GL4" i="22"/>
  <c r="GM4" i="22"/>
  <c r="GN4" i="22"/>
  <c r="GO4" i="22"/>
  <c r="GP4" i="22"/>
  <c r="GQ4" i="22"/>
  <c r="GS4" i="22"/>
  <c r="GT4" i="22"/>
  <c r="GU4" i="22"/>
  <c r="GV4" i="22"/>
  <c r="GW4" i="22"/>
  <c r="GX4" i="22"/>
  <c r="HT4" i="22"/>
  <c r="HU4" i="22"/>
  <c r="HV4" i="22"/>
  <c r="HW4" i="22"/>
  <c r="HX4" i="22"/>
  <c r="HY4" i="22"/>
  <c r="IA4" i="22"/>
  <c r="IB4" i="22"/>
  <c r="IC4" i="22"/>
  <c r="ID4" i="22"/>
  <c r="IE4" i="22"/>
  <c r="IF4" i="22"/>
  <c r="JB4" i="22"/>
  <c r="JC4" i="22"/>
  <c r="JD4" i="22"/>
  <c r="JE4" i="22"/>
  <c r="JF4" i="22"/>
  <c r="JG4" i="22"/>
  <c r="JI4" i="22"/>
  <c r="JJ4" i="22"/>
  <c r="JK4" i="22"/>
  <c r="JL4" i="22"/>
  <c r="JM4" i="22"/>
  <c r="JN4" i="22"/>
  <c r="KJ4" i="22"/>
  <c r="KK4" i="22"/>
  <c r="KL4" i="22"/>
  <c r="KM4" i="22"/>
  <c r="KN4" i="22"/>
  <c r="KO4" i="22"/>
  <c r="KQ4" i="22"/>
  <c r="KR4" i="22"/>
  <c r="KS4" i="22"/>
  <c r="KT4" i="22"/>
  <c r="KU4" i="22"/>
  <c r="KV4" i="22"/>
  <c r="LR4" i="22"/>
  <c r="LS4" i="22"/>
  <c r="LT4" i="22"/>
  <c r="LU4" i="22"/>
  <c r="LV4" i="22"/>
  <c r="LW4" i="22"/>
  <c r="LY4" i="22"/>
  <c r="LZ4" i="22"/>
  <c r="MA4" i="22"/>
  <c r="MB4" i="22"/>
  <c r="MC4" i="22"/>
  <c r="MD4" i="22"/>
  <c r="MZ4" i="22"/>
  <c r="NA4" i="22"/>
  <c r="NB4" i="22"/>
  <c r="NC4" i="22"/>
  <c r="ND4" i="22"/>
  <c r="NE4" i="22"/>
  <c r="NG4" i="22"/>
  <c r="NH4" i="22"/>
  <c r="NI4" i="22"/>
  <c r="NJ4" i="22"/>
  <c r="NK4" i="22"/>
  <c r="NL4" i="22"/>
  <c r="OH4" i="22"/>
  <c r="OI4" i="22"/>
  <c r="OJ4" i="22"/>
  <c r="OK4" i="22"/>
  <c r="OL4" i="22"/>
  <c r="OM4" i="22"/>
  <c r="OO4" i="22"/>
  <c r="OP4" i="22"/>
  <c r="OQ4" i="22"/>
  <c r="OR4" i="22"/>
  <c r="OS4" i="22"/>
  <c r="OT4" i="22"/>
  <c r="PP4" i="22"/>
  <c r="PQ4" i="22"/>
  <c r="PR4" i="22"/>
  <c r="PS4" i="22"/>
  <c r="PT4" i="22"/>
  <c r="PU4" i="22"/>
  <c r="PW4" i="22"/>
  <c r="PX4" i="22"/>
  <c r="PY4" i="22"/>
  <c r="PZ4" i="22"/>
  <c r="QA4" i="22"/>
  <c r="QB4" i="22"/>
  <c r="QX4" i="22"/>
  <c r="QY4" i="22"/>
  <c r="QZ4" i="22"/>
  <c r="RA4" i="22"/>
  <c r="RB4" i="22"/>
  <c r="RC4" i="22"/>
  <c r="RE4" i="22"/>
  <c r="RF4" i="22"/>
  <c r="RG4" i="22"/>
  <c r="RH4" i="22"/>
  <c r="RI4" i="22"/>
  <c r="RJ4" i="22"/>
  <c r="SF4" i="22"/>
  <c r="SG4" i="22"/>
  <c r="SH4" i="22"/>
  <c r="SI4" i="22"/>
  <c r="SJ4" i="22"/>
  <c r="SK4" i="22"/>
  <c r="SM4" i="22"/>
  <c r="SN4" i="22"/>
  <c r="SO4" i="22"/>
  <c r="SP4" i="22"/>
  <c r="SQ4" i="22"/>
  <c r="SR4" i="22"/>
  <c r="ST4" i="22"/>
  <c r="SU4" i="22"/>
  <c r="SV4" i="22"/>
  <c r="TJ4" i="22" s="1"/>
  <c r="SW4" i="22"/>
  <c r="TK4" i="22" s="1"/>
  <c r="SX4" i="22"/>
  <c r="SY4" i="22"/>
  <c r="SZ4" i="22"/>
  <c r="TA4" i="22"/>
  <c r="TM4" i="22" s="1"/>
  <c r="TB4" i="22"/>
  <c r="TN4" i="22" s="1"/>
  <c r="TC4" i="22"/>
  <c r="TD4" i="22"/>
  <c r="TE4" i="22"/>
  <c r="TF4" i="22"/>
  <c r="TQ4" i="22" s="1"/>
  <c r="TG4" i="22"/>
  <c r="TR4" i="22" s="1"/>
  <c r="TH4" i="22"/>
  <c r="CO8" i="22"/>
  <c r="CP8" i="22"/>
  <c r="CQ8" i="22"/>
  <c r="CR8" i="22"/>
  <c r="CS8" i="22"/>
  <c r="CT8" i="22"/>
  <c r="CV8" i="22"/>
  <c r="CW8" i="22"/>
  <c r="CX8" i="22"/>
  <c r="DV8" i="22"/>
  <c r="DW8" i="22"/>
  <c r="DX8" i="22"/>
  <c r="DY8" i="22"/>
  <c r="DZ8" i="22"/>
  <c r="EA8" i="22"/>
  <c r="EC8" i="22"/>
  <c r="ED8" i="22"/>
  <c r="EE8" i="22"/>
  <c r="EF8" i="22"/>
  <c r="EG8" i="22"/>
  <c r="EH8" i="22"/>
  <c r="FD8" i="22"/>
  <c r="FE8" i="22"/>
  <c r="FF8" i="22"/>
  <c r="FG8" i="22"/>
  <c r="FH8" i="22"/>
  <c r="FI8" i="22"/>
  <c r="FK8" i="22"/>
  <c r="FL8" i="22"/>
  <c r="FM8" i="22"/>
  <c r="FN8" i="22"/>
  <c r="FO8" i="22"/>
  <c r="FP8" i="22"/>
  <c r="GL8" i="22"/>
  <c r="GM8" i="22"/>
  <c r="GN8" i="22"/>
  <c r="GO8" i="22"/>
  <c r="GP8" i="22"/>
  <c r="GQ8" i="22"/>
  <c r="GS8" i="22"/>
  <c r="GT8" i="22"/>
  <c r="GU8" i="22"/>
  <c r="GV8" i="22"/>
  <c r="GW8" i="22"/>
  <c r="GX8" i="22"/>
  <c r="HT8" i="22"/>
  <c r="HU8" i="22"/>
  <c r="HV8" i="22"/>
  <c r="HW8" i="22"/>
  <c r="HX8" i="22"/>
  <c r="HY8" i="22"/>
  <c r="IA8" i="22"/>
  <c r="IB8" i="22"/>
  <c r="IC8" i="22"/>
  <c r="ID8" i="22"/>
  <c r="IE8" i="22"/>
  <c r="IF8" i="22"/>
  <c r="JB8" i="22"/>
  <c r="JC8" i="22"/>
  <c r="JD8" i="22"/>
  <c r="JE8" i="22"/>
  <c r="JF8" i="22"/>
  <c r="JG8" i="22"/>
  <c r="JI8" i="22"/>
  <c r="JJ8" i="22"/>
  <c r="JK8" i="22"/>
  <c r="JL8" i="22"/>
  <c r="JM8" i="22"/>
  <c r="JN8" i="22"/>
  <c r="KJ8" i="22"/>
  <c r="KK8" i="22"/>
  <c r="KL8" i="22"/>
  <c r="KM8" i="22"/>
  <c r="KN8" i="22"/>
  <c r="KO8" i="22"/>
  <c r="KQ8" i="22"/>
  <c r="KR8" i="22"/>
  <c r="KS8" i="22"/>
  <c r="KT8" i="22"/>
  <c r="KU8" i="22"/>
  <c r="KV8" i="22"/>
  <c r="LR8" i="22"/>
  <c r="LS8" i="22"/>
  <c r="LT8" i="22"/>
  <c r="LU8" i="22"/>
  <c r="LV8" i="22"/>
  <c r="LW8" i="22"/>
  <c r="LY8" i="22"/>
  <c r="LZ8" i="22"/>
  <c r="MA8" i="22"/>
  <c r="MB8" i="22"/>
  <c r="MC8" i="22"/>
  <c r="MD8" i="22"/>
  <c r="MZ8" i="22"/>
  <c r="NA8" i="22"/>
  <c r="NB8" i="22"/>
  <c r="NC8" i="22"/>
  <c r="ND8" i="22"/>
  <c r="NE8" i="22"/>
  <c r="NG8" i="22"/>
  <c r="NH8" i="22"/>
  <c r="NI8" i="22"/>
  <c r="NJ8" i="22"/>
  <c r="NK8" i="22"/>
  <c r="NL8" i="22"/>
  <c r="OH8" i="22"/>
  <c r="OI8" i="22"/>
  <c r="OJ8" i="22"/>
  <c r="OK8" i="22"/>
  <c r="OL8" i="22"/>
  <c r="OM8" i="22"/>
  <c r="OO8" i="22"/>
  <c r="OP8" i="22"/>
  <c r="OQ8" i="22"/>
  <c r="OR8" i="22"/>
  <c r="OS8" i="22"/>
  <c r="OT8" i="22"/>
  <c r="PP8" i="22"/>
  <c r="PQ8" i="22"/>
  <c r="PR8" i="22"/>
  <c r="PS8" i="22"/>
  <c r="PT8" i="22"/>
  <c r="PU8" i="22"/>
  <c r="PW8" i="22"/>
  <c r="PX8" i="22"/>
  <c r="PY8" i="22"/>
  <c r="PZ8" i="22"/>
  <c r="QA8" i="22"/>
  <c r="QB8" i="22"/>
  <c r="QX8" i="22"/>
  <c r="QY8" i="22"/>
  <c r="QZ8" i="22"/>
  <c r="RA8" i="22"/>
  <c r="RB8" i="22"/>
  <c r="RC8" i="22"/>
  <c r="RE8" i="22"/>
  <c r="RF8" i="22"/>
  <c r="RG8" i="22"/>
  <c r="RH8" i="22"/>
  <c r="RI8" i="22"/>
  <c r="RJ8" i="22"/>
  <c r="SF8" i="22"/>
  <c r="SG8" i="22"/>
  <c r="SH8" i="22"/>
  <c r="SI8" i="22"/>
  <c r="SJ8" i="22"/>
  <c r="SK8" i="22"/>
  <c r="SM8" i="22"/>
  <c r="SN8" i="22"/>
  <c r="SO8" i="22"/>
  <c r="SP8" i="22"/>
  <c r="SQ8" i="22"/>
  <c r="SR8" i="22"/>
  <c r="ST8" i="22"/>
  <c r="SU8" i="22"/>
  <c r="SV8" i="22"/>
  <c r="TJ8" i="22" s="1"/>
  <c r="SW8" i="22"/>
  <c r="TK8" i="22" s="1"/>
  <c r="SX8" i="22"/>
  <c r="SY8" i="22"/>
  <c r="SZ8" i="22"/>
  <c r="TA8" i="22"/>
  <c r="TB8" i="22"/>
  <c r="TN8" i="22" s="1"/>
  <c r="TC8" i="22"/>
  <c r="TD8" i="22"/>
  <c r="TE8" i="22"/>
  <c r="TF8" i="22"/>
  <c r="TQ8" i="22" s="1"/>
  <c r="TG8" i="22"/>
  <c r="TR8" i="22" s="1"/>
  <c r="TH8" i="22"/>
  <c r="TM8" i="22"/>
  <c r="CO9" i="22"/>
  <c r="CP9" i="22"/>
  <c r="CQ9" i="22"/>
  <c r="CR9" i="22"/>
  <c r="CS9" i="22"/>
  <c r="CT9" i="22"/>
  <c r="CV9" i="22"/>
  <c r="CW9" i="22"/>
  <c r="CX9" i="22"/>
  <c r="DV9" i="22"/>
  <c r="DW9" i="22"/>
  <c r="DX9" i="22"/>
  <c r="DY9" i="22"/>
  <c r="DZ9" i="22"/>
  <c r="EA9" i="22"/>
  <c r="EC9" i="22"/>
  <c r="ED9" i="22"/>
  <c r="EE9" i="22"/>
  <c r="EF9" i="22"/>
  <c r="EG9" i="22"/>
  <c r="EH9" i="22"/>
  <c r="FD9" i="22"/>
  <c r="FE9" i="22"/>
  <c r="FF9" i="22"/>
  <c r="FG9" i="22"/>
  <c r="FH9" i="22"/>
  <c r="FI9" i="22"/>
  <c r="FK9" i="22"/>
  <c r="FL9" i="22"/>
  <c r="FM9" i="22"/>
  <c r="FN9" i="22"/>
  <c r="FO9" i="22"/>
  <c r="FP9" i="22"/>
  <c r="GL9" i="22"/>
  <c r="GM9" i="22"/>
  <c r="GN9" i="22"/>
  <c r="GO9" i="22"/>
  <c r="GP9" i="22"/>
  <c r="GQ9" i="22"/>
  <c r="GS9" i="22"/>
  <c r="GT9" i="22"/>
  <c r="GU9" i="22"/>
  <c r="GV9" i="22"/>
  <c r="GW9" i="22"/>
  <c r="GX9" i="22"/>
  <c r="HT9" i="22"/>
  <c r="HU9" i="22"/>
  <c r="HV9" i="22"/>
  <c r="HW9" i="22"/>
  <c r="HX9" i="22"/>
  <c r="HY9" i="22"/>
  <c r="IA9" i="22"/>
  <c r="IB9" i="22"/>
  <c r="IC9" i="22"/>
  <c r="ID9" i="22"/>
  <c r="IE9" i="22"/>
  <c r="IF9" i="22"/>
  <c r="JB9" i="22"/>
  <c r="JC9" i="22"/>
  <c r="JD9" i="22"/>
  <c r="JE9" i="22"/>
  <c r="JF9" i="22"/>
  <c r="JG9" i="22"/>
  <c r="JI9" i="22"/>
  <c r="JJ9" i="22"/>
  <c r="JK9" i="22"/>
  <c r="JL9" i="22"/>
  <c r="JM9" i="22"/>
  <c r="JN9" i="22"/>
  <c r="KJ9" i="22"/>
  <c r="KK9" i="22"/>
  <c r="KL9" i="22"/>
  <c r="KM9" i="22"/>
  <c r="KN9" i="22"/>
  <c r="KO9" i="22"/>
  <c r="KQ9" i="22"/>
  <c r="KR9" i="22"/>
  <c r="KS9" i="22"/>
  <c r="KT9" i="22"/>
  <c r="KU9" i="22"/>
  <c r="KV9" i="22"/>
  <c r="LR9" i="22"/>
  <c r="LS9" i="22"/>
  <c r="LT9" i="22"/>
  <c r="LU9" i="22"/>
  <c r="LV9" i="22"/>
  <c r="LW9" i="22"/>
  <c r="LY9" i="22"/>
  <c r="LZ9" i="22"/>
  <c r="MA9" i="22"/>
  <c r="MB9" i="22"/>
  <c r="MC9" i="22"/>
  <c r="MD9" i="22"/>
  <c r="MZ9" i="22"/>
  <c r="NA9" i="22"/>
  <c r="NB9" i="22"/>
  <c r="NC9" i="22"/>
  <c r="ND9" i="22"/>
  <c r="NE9" i="22"/>
  <c r="NG9" i="22"/>
  <c r="NH9" i="22"/>
  <c r="NI9" i="22"/>
  <c r="NJ9" i="22"/>
  <c r="NK9" i="22"/>
  <c r="NL9" i="22"/>
  <c r="OH9" i="22"/>
  <c r="OI9" i="22"/>
  <c r="OJ9" i="22"/>
  <c r="OK9" i="22"/>
  <c r="OL9" i="22"/>
  <c r="OM9" i="22"/>
  <c r="OO9" i="22"/>
  <c r="OP9" i="22"/>
  <c r="OQ9" i="22"/>
  <c r="OR9" i="22"/>
  <c r="OS9" i="22"/>
  <c r="OT9" i="22"/>
  <c r="PP9" i="22"/>
  <c r="PQ9" i="22"/>
  <c r="PR9" i="22"/>
  <c r="PS9" i="22"/>
  <c r="PT9" i="22"/>
  <c r="PU9" i="22"/>
  <c r="PW9" i="22"/>
  <c r="PX9" i="22"/>
  <c r="PY9" i="22"/>
  <c r="PZ9" i="22"/>
  <c r="QA9" i="22"/>
  <c r="QB9" i="22"/>
  <c r="QX9" i="22"/>
  <c r="QY9" i="22"/>
  <c r="QZ9" i="22"/>
  <c r="RA9" i="22"/>
  <c r="RB9" i="22"/>
  <c r="RC9" i="22"/>
  <c r="RE9" i="22"/>
  <c r="RF9" i="22"/>
  <c r="RG9" i="22"/>
  <c r="RH9" i="22"/>
  <c r="RI9" i="22"/>
  <c r="RJ9" i="22"/>
  <c r="SF9" i="22"/>
  <c r="SG9" i="22"/>
  <c r="SH9" i="22"/>
  <c r="SI9" i="22"/>
  <c r="SJ9" i="22"/>
  <c r="SK9" i="22"/>
  <c r="SM9" i="22"/>
  <c r="SN9" i="22"/>
  <c r="SO9" i="22"/>
  <c r="SP9" i="22"/>
  <c r="SQ9" i="22"/>
  <c r="SR9" i="22"/>
  <c r="ST9" i="22"/>
  <c r="SU9" i="22"/>
  <c r="SV9" i="22"/>
  <c r="TJ9" i="22" s="1"/>
  <c r="SW9" i="22"/>
  <c r="TK9" i="22" s="1"/>
  <c r="SX9" i="22"/>
  <c r="SY9" i="22"/>
  <c r="SZ9" i="22"/>
  <c r="TA9" i="22"/>
  <c r="TM9" i="22" s="1"/>
  <c r="TB9" i="22"/>
  <c r="TN9" i="22" s="1"/>
  <c r="TC9" i="22"/>
  <c r="TD9" i="22"/>
  <c r="TE9" i="22"/>
  <c r="TF9" i="22"/>
  <c r="TQ9" i="22" s="1"/>
  <c r="TG9" i="22"/>
  <c r="TR9" i="22" s="1"/>
  <c r="TH9" i="22"/>
  <c r="CO30" i="22"/>
  <c r="CP30" i="22"/>
  <c r="CQ30" i="22"/>
  <c r="CU30" i="22" s="1"/>
  <c r="CR30" i="22"/>
  <c r="CS30" i="22"/>
  <c r="CT30" i="22"/>
  <c r="CV30" i="22"/>
  <c r="CW30" i="22"/>
  <c r="CX30" i="22"/>
  <c r="DV30" i="22"/>
  <c r="DW30" i="22"/>
  <c r="DX30" i="22"/>
  <c r="DY30" i="22"/>
  <c r="DZ30" i="22"/>
  <c r="EA30" i="22"/>
  <c r="EC30" i="22"/>
  <c r="ED30" i="22"/>
  <c r="EE30" i="22"/>
  <c r="EF30" i="22"/>
  <c r="EG30" i="22"/>
  <c r="EH30" i="22"/>
  <c r="FD30" i="22"/>
  <c r="FE30" i="22"/>
  <c r="FF30" i="22"/>
  <c r="FG30" i="22"/>
  <c r="FH30" i="22"/>
  <c r="FI30" i="22"/>
  <c r="FK30" i="22"/>
  <c r="FL30" i="22"/>
  <c r="FM30" i="22"/>
  <c r="FN30" i="22"/>
  <c r="FO30" i="22"/>
  <c r="FP30" i="22"/>
  <c r="GL30" i="22"/>
  <c r="GM30" i="22"/>
  <c r="GN30" i="22"/>
  <c r="GO30" i="22"/>
  <c r="GP30" i="22"/>
  <c r="GQ30" i="22"/>
  <c r="GS30" i="22"/>
  <c r="GT30" i="22"/>
  <c r="GU30" i="22"/>
  <c r="GV30" i="22"/>
  <c r="GW30" i="22"/>
  <c r="GX30" i="22"/>
  <c r="HT30" i="22"/>
  <c r="HU30" i="22"/>
  <c r="HV30" i="22"/>
  <c r="HW30" i="22"/>
  <c r="HX30" i="22"/>
  <c r="HY30" i="22"/>
  <c r="IA30" i="22"/>
  <c r="IB30" i="22"/>
  <c r="IC30" i="22"/>
  <c r="ID30" i="22"/>
  <c r="IE30" i="22"/>
  <c r="IF30" i="22"/>
  <c r="JB30" i="22"/>
  <c r="JC30" i="22"/>
  <c r="JD30" i="22"/>
  <c r="JE30" i="22"/>
  <c r="JF30" i="22"/>
  <c r="JG30" i="22"/>
  <c r="JI30" i="22"/>
  <c r="JJ30" i="22"/>
  <c r="JK30" i="22"/>
  <c r="JL30" i="22"/>
  <c r="JM30" i="22"/>
  <c r="JN30" i="22"/>
  <c r="KJ30" i="22"/>
  <c r="KK30" i="22"/>
  <c r="KL30" i="22"/>
  <c r="KM30" i="22"/>
  <c r="KN30" i="22"/>
  <c r="KO30" i="22"/>
  <c r="KQ30" i="22"/>
  <c r="KR30" i="22"/>
  <c r="KS30" i="22"/>
  <c r="KT30" i="22"/>
  <c r="KU30" i="22"/>
  <c r="KV30" i="22"/>
  <c r="LR30" i="22"/>
  <c r="LS30" i="22"/>
  <c r="LT30" i="22"/>
  <c r="LU30" i="22"/>
  <c r="LV30" i="22"/>
  <c r="LW30" i="22"/>
  <c r="LY30" i="22"/>
  <c r="LZ30" i="22"/>
  <c r="MA30" i="22"/>
  <c r="MB30" i="22"/>
  <c r="MC30" i="22"/>
  <c r="MD30" i="22"/>
  <c r="MZ30" i="22"/>
  <c r="NA30" i="22"/>
  <c r="NB30" i="22"/>
  <c r="NC30" i="22"/>
  <c r="ND30" i="22"/>
  <c r="NE30" i="22"/>
  <c r="NG30" i="22"/>
  <c r="NH30" i="22"/>
  <c r="NI30" i="22"/>
  <c r="NJ30" i="22"/>
  <c r="NK30" i="22"/>
  <c r="NL30" i="22"/>
  <c r="OH30" i="22"/>
  <c r="OI30" i="22"/>
  <c r="OJ30" i="22"/>
  <c r="OK30" i="22"/>
  <c r="OL30" i="22"/>
  <c r="OM30" i="22"/>
  <c r="OO30" i="22"/>
  <c r="OP30" i="22"/>
  <c r="OQ30" i="22"/>
  <c r="OR30" i="22"/>
  <c r="OS30" i="22"/>
  <c r="OT30" i="22"/>
  <c r="PP30" i="22"/>
  <c r="PQ30" i="22"/>
  <c r="PR30" i="22"/>
  <c r="PS30" i="22"/>
  <c r="PT30" i="22"/>
  <c r="PU30" i="22"/>
  <c r="PW30" i="22"/>
  <c r="PX30" i="22"/>
  <c r="PY30" i="22"/>
  <c r="PZ30" i="22"/>
  <c r="QA30" i="22"/>
  <c r="QB30" i="22"/>
  <c r="QX30" i="22"/>
  <c r="QY30" i="22"/>
  <c r="QZ30" i="22"/>
  <c r="RA30" i="22"/>
  <c r="RB30" i="22"/>
  <c r="RC30" i="22"/>
  <c r="RE30" i="22"/>
  <c r="RF30" i="22"/>
  <c r="RG30" i="22"/>
  <c r="RH30" i="22"/>
  <c r="RI30" i="22"/>
  <c r="RJ30" i="22"/>
  <c r="SF30" i="22"/>
  <c r="SG30" i="22"/>
  <c r="SH30" i="22"/>
  <c r="SI30" i="22"/>
  <c r="SJ30" i="22"/>
  <c r="SK30" i="22"/>
  <c r="SM30" i="22"/>
  <c r="SN30" i="22"/>
  <c r="SO30" i="22"/>
  <c r="SP30" i="22"/>
  <c r="SQ30" i="22"/>
  <c r="SR30" i="22"/>
  <c r="ST30" i="22"/>
  <c r="SU30" i="22"/>
  <c r="SV30" i="22"/>
  <c r="TJ30" i="22" s="1"/>
  <c r="SW30" i="22"/>
  <c r="TK30" i="22" s="1"/>
  <c r="SX30" i="22"/>
  <c r="SY30" i="22"/>
  <c r="SZ30" i="22"/>
  <c r="TA30" i="22"/>
  <c r="TM30" i="22" s="1"/>
  <c r="TB30" i="22"/>
  <c r="TN30" i="22" s="1"/>
  <c r="TC30" i="22"/>
  <c r="TD30" i="22"/>
  <c r="TE30" i="22"/>
  <c r="TF30" i="22"/>
  <c r="TQ30" i="22" s="1"/>
  <c r="TG30" i="22"/>
  <c r="TR30" i="22" s="1"/>
  <c r="TH30" i="22"/>
  <c r="CO25" i="22"/>
  <c r="CP25" i="22"/>
  <c r="CQ25" i="22"/>
  <c r="CR25" i="22"/>
  <c r="CS25" i="22"/>
  <c r="CT25" i="22"/>
  <c r="CV25" i="22"/>
  <c r="CW25" i="22"/>
  <c r="CX25" i="22"/>
  <c r="DV25" i="22"/>
  <c r="DW25" i="22"/>
  <c r="DX25" i="22"/>
  <c r="DY25" i="22"/>
  <c r="DZ25" i="22"/>
  <c r="EA25" i="22"/>
  <c r="EC25" i="22"/>
  <c r="ED25" i="22"/>
  <c r="EE25" i="22"/>
  <c r="EF25" i="22"/>
  <c r="EG25" i="22"/>
  <c r="EH25" i="22"/>
  <c r="FD25" i="22"/>
  <c r="FE25" i="22"/>
  <c r="FF25" i="22"/>
  <c r="FG25" i="22"/>
  <c r="FH25" i="22"/>
  <c r="FI25" i="22"/>
  <c r="FK25" i="22"/>
  <c r="FL25" i="22"/>
  <c r="FM25" i="22"/>
  <c r="FN25" i="22"/>
  <c r="FO25" i="22"/>
  <c r="FP25" i="22"/>
  <c r="GL25" i="22"/>
  <c r="GM25" i="22"/>
  <c r="GN25" i="22"/>
  <c r="GO25" i="22"/>
  <c r="GP25" i="22"/>
  <c r="GQ25" i="22"/>
  <c r="GS25" i="22"/>
  <c r="GT25" i="22"/>
  <c r="GU25" i="22"/>
  <c r="GV25" i="22"/>
  <c r="GW25" i="22"/>
  <c r="GX25" i="22"/>
  <c r="HT25" i="22"/>
  <c r="HU25" i="22"/>
  <c r="HV25" i="22"/>
  <c r="HW25" i="22"/>
  <c r="HX25" i="22"/>
  <c r="HY25" i="22"/>
  <c r="IA25" i="22"/>
  <c r="IB25" i="22"/>
  <c r="IC25" i="22"/>
  <c r="ID25" i="22"/>
  <c r="IE25" i="22"/>
  <c r="IF25" i="22"/>
  <c r="JB25" i="22"/>
  <c r="JC25" i="22"/>
  <c r="JD25" i="22"/>
  <c r="JE25" i="22"/>
  <c r="JF25" i="22"/>
  <c r="JG25" i="22"/>
  <c r="JI25" i="22"/>
  <c r="JJ25" i="22"/>
  <c r="JK25" i="22"/>
  <c r="JL25" i="22"/>
  <c r="JM25" i="22"/>
  <c r="JN25" i="22"/>
  <c r="KJ25" i="22"/>
  <c r="KK25" i="22"/>
  <c r="KL25" i="22"/>
  <c r="KM25" i="22"/>
  <c r="KN25" i="22"/>
  <c r="KO25" i="22"/>
  <c r="KQ25" i="22"/>
  <c r="KR25" i="22"/>
  <c r="KS25" i="22"/>
  <c r="KT25" i="22"/>
  <c r="KU25" i="22"/>
  <c r="KV25" i="22"/>
  <c r="LR25" i="22"/>
  <c r="LS25" i="22"/>
  <c r="LT25" i="22"/>
  <c r="LU25" i="22"/>
  <c r="LV25" i="22"/>
  <c r="LW25" i="22"/>
  <c r="LY25" i="22"/>
  <c r="LZ25" i="22"/>
  <c r="MA25" i="22"/>
  <c r="MB25" i="22"/>
  <c r="MC25" i="22"/>
  <c r="MD25" i="22"/>
  <c r="MZ25" i="22"/>
  <c r="NA25" i="22"/>
  <c r="NB25" i="22"/>
  <c r="NC25" i="22"/>
  <c r="ND25" i="22"/>
  <c r="NE25" i="22"/>
  <c r="NG25" i="22"/>
  <c r="NH25" i="22"/>
  <c r="NI25" i="22"/>
  <c r="NJ25" i="22"/>
  <c r="NK25" i="22"/>
  <c r="NL25" i="22"/>
  <c r="OH25" i="22"/>
  <c r="OI25" i="22"/>
  <c r="OJ25" i="22"/>
  <c r="OK25" i="22"/>
  <c r="OL25" i="22"/>
  <c r="OM25" i="22"/>
  <c r="OO25" i="22"/>
  <c r="OP25" i="22"/>
  <c r="OQ25" i="22"/>
  <c r="OR25" i="22"/>
  <c r="OS25" i="22"/>
  <c r="OT25" i="22"/>
  <c r="PP25" i="22"/>
  <c r="PQ25" i="22"/>
  <c r="PR25" i="22"/>
  <c r="PS25" i="22"/>
  <c r="PT25" i="22"/>
  <c r="PU25" i="22"/>
  <c r="PW25" i="22"/>
  <c r="PX25" i="22"/>
  <c r="PY25" i="22"/>
  <c r="PZ25" i="22"/>
  <c r="QA25" i="22"/>
  <c r="QB25" i="22"/>
  <c r="QX25" i="22"/>
  <c r="QY25" i="22"/>
  <c r="QZ25" i="22"/>
  <c r="RA25" i="22"/>
  <c r="RB25" i="22"/>
  <c r="RC25" i="22"/>
  <c r="RE25" i="22"/>
  <c r="RF25" i="22"/>
  <c r="RG25" i="22"/>
  <c r="RH25" i="22"/>
  <c r="RI25" i="22"/>
  <c r="RJ25" i="22"/>
  <c r="SF25" i="22"/>
  <c r="SG25" i="22"/>
  <c r="SH25" i="22"/>
  <c r="SI25" i="22"/>
  <c r="SJ25" i="22"/>
  <c r="SK25" i="22"/>
  <c r="SM25" i="22"/>
  <c r="SN25" i="22"/>
  <c r="SO25" i="22"/>
  <c r="SP25" i="22"/>
  <c r="SQ25" i="22"/>
  <c r="SR25" i="22"/>
  <c r="ST25" i="22"/>
  <c r="SU25" i="22"/>
  <c r="SV25" i="22"/>
  <c r="SW25" i="22"/>
  <c r="TK25" i="22" s="1"/>
  <c r="SX25" i="22"/>
  <c r="SY25" i="22"/>
  <c r="SZ25" i="22"/>
  <c r="TA25" i="22"/>
  <c r="TM25" i="22" s="1"/>
  <c r="TB25" i="22"/>
  <c r="TN25" i="22" s="1"/>
  <c r="TC25" i="22"/>
  <c r="TD25" i="22"/>
  <c r="TE25" i="22"/>
  <c r="TF25" i="22"/>
  <c r="TQ25" i="22" s="1"/>
  <c r="TG25" i="22"/>
  <c r="TR25" i="22" s="1"/>
  <c r="TH25" i="22"/>
  <c r="CO26" i="22"/>
  <c r="CP26" i="22"/>
  <c r="CQ26" i="22"/>
  <c r="CU26" i="22" s="1"/>
  <c r="CR26" i="22"/>
  <c r="CS26" i="22"/>
  <c r="CT26" i="22"/>
  <c r="CV26" i="22"/>
  <c r="CW26" i="22"/>
  <c r="CX26" i="22"/>
  <c r="DV26" i="22"/>
  <c r="DW26" i="22"/>
  <c r="DX26" i="22"/>
  <c r="DY26" i="22"/>
  <c r="DZ26" i="22"/>
  <c r="EA26" i="22"/>
  <c r="EC26" i="22"/>
  <c r="ED26" i="22"/>
  <c r="EE26" i="22"/>
  <c r="EF26" i="22"/>
  <c r="EG26" i="22"/>
  <c r="EH26" i="22"/>
  <c r="FD26" i="22"/>
  <c r="FE26" i="22"/>
  <c r="FF26" i="22"/>
  <c r="FG26" i="22"/>
  <c r="FH26" i="22"/>
  <c r="FI26" i="22"/>
  <c r="FK26" i="22"/>
  <c r="FL26" i="22"/>
  <c r="FM26" i="22"/>
  <c r="FN26" i="22"/>
  <c r="FO26" i="22"/>
  <c r="FP26" i="22"/>
  <c r="GL26" i="22"/>
  <c r="GM26" i="22"/>
  <c r="GN26" i="22"/>
  <c r="GO26" i="22"/>
  <c r="GP26" i="22"/>
  <c r="GQ26" i="22"/>
  <c r="GS26" i="22"/>
  <c r="GT26" i="22"/>
  <c r="GU26" i="22"/>
  <c r="GV26" i="22"/>
  <c r="GW26" i="22"/>
  <c r="GX26" i="22"/>
  <c r="HT26" i="22"/>
  <c r="HU26" i="22"/>
  <c r="HV26" i="22"/>
  <c r="HW26" i="22"/>
  <c r="HX26" i="22"/>
  <c r="HY26" i="22"/>
  <c r="IA26" i="22"/>
  <c r="IB26" i="22"/>
  <c r="IC26" i="22"/>
  <c r="ID26" i="22"/>
  <c r="IE26" i="22"/>
  <c r="IF26" i="22"/>
  <c r="JB26" i="22"/>
  <c r="JC26" i="22"/>
  <c r="JD26" i="22"/>
  <c r="JE26" i="22"/>
  <c r="JF26" i="22"/>
  <c r="JG26" i="22"/>
  <c r="JI26" i="22"/>
  <c r="JJ26" i="22"/>
  <c r="JK26" i="22"/>
  <c r="JL26" i="22"/>
  <c r="JM26" i="22"/>
  <c r="JN26" i="22"/>
  <c r="KJ26" i="22"/>
  <c r="KK26" i="22"/>
  <c r="KL26" i="22"/>
  <c r="KM26" i="22"/>
  <c r="KN26" i="22"/>
  <c r="KO26" i="22"/>
  <c r="KQ26" i="22"/>
  <c r="KR26" i="22"/>
  <c r="KS26" i="22"/>
  <c r="KT26" i="22"/>
  <c r="KU26" i="22"/>
  <c r="KV26" i="22"/>
  <c r="LR26" i="22"/>
  <c r="LS26" i="22"/>
  <c r="LT26" i="22"/>
  <c r="LU26" i="22"/>
  <c r="LV26" i="22"/>
  <c r="LW26" i="22"/>
  <c r="LY26" i="22"/>
  <c r="LZ26" i="22"/>
  <c r="MA26" i="22"/>
  <c r="MB26" i="22"/>
  <c r="MC26" i="22"/>
  <c r="MD26" i="22"/>
  <c r="MZ26" i="22"/>
  <c r="NA26" i="22"/>
  <c r="NB26" i="22"/>
  <c r="NC26" i="22"/>
  <c r="ND26" i="22"/>
  <c r="NE26" i="22"/>
  <c r="NG26" i="22"/>
  <c r="NH26" i="22"/>
  <c r="NI26" i="22"/>
  <c r="NJ26" i="22"/>
  <c r="NK26" i="22"/>
  <c r="NL26" i="22"/>
  <c r="OH26" i="22"/>
  <c r="OI26" i="22"/>
  <c r="OJ26" i="22"/>
  <c r="OK26" i="22"/>
  <c r="OL26" i="22"/>
  <c r="OM26" i="22"/>
  <c r="OO26" i="22"/>
  <c r="OP26" i="22"/>
  <c r="OQ26" i="22"/>
  <c r="OR26" i="22"/>
  <c r="OS26" i="22"/>
  <c r="OT26" i="22"/>
  <c r="PP26" i="22"/>
  <c r="PQ26" i="22"/>
  <c r="PR26" i="22"/>
  <c r="PS26" i="22"/>
  <c r="PT26" i="22"/>
  <c r="PU26" i="22"/>
  <c r="PW26" i="22"/>
  <c r="PX26" i="22"/>
  <c r="PY26" i="22"/>
  <c r="PZ26" i="22"/>
  <c r="QA26" i="22"/>
  <c r="QB26" i="22"/>
  <c r="QX26" i="22"/>
  <c r="QY26" i="22"/>
  <c r="QZ26" i="22"/>
  <c r="RA26" i="22"/>
  <c r="RB26" i="22"/>
  <c r="RC26" i="22"/>
  <c r="RE26" i="22"/>
  <c r="RF26" i="22"/>
  <c r="RG26" i="22"/>
  <c r="RH26" i="22"/>
  <c r="RI26" i="22"/>
  <c r="RJ26" i="22"/>
  <c r="SF26" i="22"/>
  <c r="SG26" i="22"/>
  <c r="SH26" i="22"/>
  <c r="SI26" i="22"/>
  <c r="SJ26" i="22"/>
  <c r="SK26" i="22"/>
  <c r="SM26" i="22"/>
  <c r="SN26" i="22"/>
  <c r="SO26" i="22"/>
  <c r="SP26" i="22"/>
  <c r="SQ26" i="22"/>
  <c r="SR26" i="22"/>
  <c r="ST26" i="22"/>
  <c r="SU26" i="22"/>
  <c r="SV26" i="22"/>
  <c r="TJ26" i="22" s="1"/>
  <c r="SW26" i="22"/>
  <c r="TK26" i="22" s="1"/>
  <c r="SX26" i="22"/>
  <c r="SY26" i="22"/>
  <c r="SZ26" i="22"/>
  <c r="TA26" i="22"/>
  <c r="TM26" i="22" s="1"/>
  <c r="TB26" i="22"/>
  <c r="TN26" i="22" s="1"/>
  <c r="TC26" i="22"/>
  <c r="TD26" i="22"/>
  <c r="TE26" i="22"/>
  <c r="TF26" i="22"/>
  <c r="TQ26" i="22" s="1"/>
  <c r="TG26" i="22"/>
  <c r="TR26" i="22" s="1"/>
  <c r="TH26" i="22"/>
  <c r="CO12" i="22"/>
  <c r="CP12" i="22"/>
  <c r="CQ12" i="22"/>
  <c r="CR12" i="22"/>
  <c r="CS12" i="22"/>
  <c r="CT12" i="22"/>
  <c r="CV12" i="22"/>
  <c r="CW12" i="22"/>
  <c r="CX12" i="22"/>
  <c r="DV12" i="22"/>
  <c r="DW12" i="22"/>
  <c r="DX12" i="22"/>
  <c r="DY12" i="22"/>
  <c r="DZ12" i="22"/>
  <c r="EA12" i="22"/>
  <c r="EC12" i="22"/>
  <c r="ED12" i="22"/>
  <c r="EE12" i="22"/>
  <c r="EF12" i="22"/>
  <c r="EG12" i="22"/>
  <c r="EH12" i="22"/>
  <c r="FD12" i="22"/>
  <c r="FE12" i="22"/>
  <c r="FF12" i="22"/>
  <c r="FG12" i="22"/>
  <c r="FH12" i="22"/>
  <c r="FI12" i="22"/>
  <c r="FK12" i="22"/>
  <c r="FL12" i="22"/>
  <c r="FM12" i="22"/>
  <c r="FN12" i="22"/>
  <c r="FO12" i="22"/>
  <c r="FP12" i="22"/>
  <c r="GL12" i="22"/>
  <c r="GM12" i="22"/>
  <c r="GN12" i="22"/>
  <c r="GO12" i="22"/>
  <c r="GP12" i="22"/>
  <c r="GQ12" i="22"/>
  <c r="GS12" i="22"/>
  <c r="GT12" i="22"/>
  <c r="GU12" i="22"/>
  <c r="GV12" i="22"/>
  <c r="GW12" i="22"/>
  <c r="GX12" i="22"/>
  <c r="HT12" i="22"/>
  <c r="HU12" i="22"/>
  <c r="HV12" i="22"/>
  <c r="HW12" i="22"/>
  <c r="HX12" i="22"/>
  <c r="HY12" i="22"/>
  <c r="IA12" i="22"/>
  <c r="IB12" i="22"/>
  <c r="IC12" i="22"/>
  <c r="ID12" i="22"/>
  <c r="IE12" i="22"/>
  <c r="IF12" i="22"/>
  <c r="JB12" i="22"/>
  <c r="JC12" i="22"/>
  <c r="JD12" i="22"/>
  <c r="JE12" i="22"/>
  <c r="JF12" i="22"/>
  <c r="JG12" i="22"/>
  <c r="JI12" i="22"/>
  <c r="JJ12" i="22"/>
  <c r="JK12" i="22"/>
  <c r="JL12" i="22"/>
  <c r="JM12" i="22"/>
  <c r="JN12" i="22"/>
  <c r="KJ12" i="22"/>
  <c r="KK12" i="22"/>
  <c r="KL12" i="22"/>
  <c r="KM12" i="22"/>
  <c r="KN12" i="22"/>
  <c r="KO12" i="22"/>
  <c r="KQ12" i="22"/>
  <c r="KR12" i="22"/>
  <c r="KS12" i="22"/>
  <c r="KT12" i="22"/>
  <c r="KU12" i="22"/>
  <c r="KV12" i="22"/>
  <c r="LR12" i="22"/>
  <c r="LS12" i="22"/>
  <c r="LT12" i="22"/>
  <c r="LU12" i="22"/>
  <c r="LV12" i="22"/>
  <c r="LW12" i="22"/>
  <c r="LY12" i="22"/>
  <c r="LZ12" i="22"/>
  <c r="MA12" i="22"/>
  <c r="MB12" i="22"/>
  <c r="MC12" i="22"/>
  <c r="MD12" i="22"/>
  <c r="MZ12" i="22"/>
  <c r="NA12" i="22"/>
  <c r="NB12" i="22"/>
  <c r="NC12" i="22"/>
  <c r="ND12" i="22"/>
  <c r="NE12" i="22"/>
  <c r="NG12" i="22"/>
  <c r="NH12" i="22"/>
  <c r="NI12" i="22"/>
  <c r="NJ12" i="22"/>
  <c r="NK12" i="22"/>
  <c r="NL12" i="22"/>
  <c r="OH12" i="22"/>
  <c r="OI12" i="22"/>
  <c r="OJ12" i="22"/>
  <c r="OK12" i="22"/>
  <c r="OL12" i="22"/>
  <c r="OM12" i="22"/>
  <c r="OO12" i="22"/>
  <c r="OP12" i="22"/>
  <c r="OQ12" i="22"/>
  <c r="OR12" i="22"/>
  <c r="OS12" i="22"/>
  <c r="OT12" i="22"/>
  <c r="PP12" i="22"/>
  <c r="PQ12" i="22"/>
  <c r="PR12" i="22"/>
  <c r="PS12" i="22"/>
  <c r="PT12" i="22"/>
  <c r="PU12" i="22"/>
  <c r="PW12" i="22"/>
  <c r="PX12" i="22"/>
  <c r="PY12" i="22"/>
  <c r="PZ12" i="22"/>
  <c r="QA12" i="22"/>
  <c r="QB12" i="22"/>
  <c r="QX12" i="22"/>
  <c r="QY12" i="22"/>
  <c r="QZ12" i="22"/>
  <c r="RA12" i="22"/>
  <c r="RB12" i="22"/>
  <c r="RC12" i="22"/>
  <c r="RE12" i="22"/>
  <c r="RF12" i="22"/>
  <c r="RG12" i="22"/>
  <c r="RH12" i="22"/>
  <c r="RI12" i="22"/>
  <c r="RJ12" i="22"/>
  <c r="SF12" i="22"/>
  <c r="SG12" i="22"/>
  <c r="SH12" i="22"/>
  <c r="SI12" i="22"/>
  <c r="SJ12" i="22"/>
  <c r="SK12" i="22"/>
  <c r="SM12" i="22"/>
  <c r="SN12" i="22"/>
  <c r="SO12" i="22"/>
  <c r="SP12" i="22"/>
  <c r="SQ12" i="22"/>
  <c r="SR12" i="22"/>
  <c r="ST12" i="22"/>
  <c r="SU12" i="22"/>
  <c r="SV12" i="22"/>
  <c r="TJ12" i="22" s="1"/>
  <c r="SW12" i="22"/>
  <c r="TK12" i="22" s="1"/>
  <c r="SX12" i="22"/>
  <c r="SY12" i="22"/>
  <c r="SZ12" i="22"/>
  <c r="TA12" i="22"/>
  <c r="TM12" i="22" s="1"/>
  <c r="TB12" i="22"/>
  <c r="TN12" i="22" s="1"/>
  <c r="TC12" i="22"/>
  <c r="TD12" i="22"/>
  <c r="TE12" i="22"/>
  <c r="TF12" i="22"/>
  <c r="TQ12" i="22" s="1"/>
  <c r="TG12" i="22"/>
  <c r="TR12" i="22" s="1"/>
  <c r="TH12" i="22"/>
  <c r="CO17" i="22"/>
  <c r="CP17" i="22"/>
  <c r="CQ17" i="22"/>
  <c r="CU17" i="22" s="1"/>
  <c r="CR17" i="22"/>
  <c r="CS17" i="22"/>
  <c r="CT17" i="22"/>
  <c r="CV17" i="22"/>
  <c r="CW17" i="22"/>
  <c r="CX17" i="22"/>
  <c r="DV17" i="22"/>
  <c r="DW17" i="22"/>
  <c r="DX17" i="22"/>
  <c r="DY17" i="22"/>
  <c r="DZ17" i="22"/>
  <c r="EA17" i="22"/>
  <c r="EC17" i="22"/>
  <c r="ED17" i="22"/>
  <c r="EE17" i="22"/>
  <c r="EF17" i="22"/>
  <c r="EG17" i="22"/>
  <c r="EH17" i="22"/>
  <c r="FD17" i="22"/>
  <c r="FE17" i="22"/>
  <c r="FF17" i="22"/>
  <c r="FG17" i="22"/>
  <c r="FH17" i="22"/>
  <c r="FI17" i="22"/>
  <c r="FK17" i="22"/>
  <c r="FL17" i="22"/>
  <c r="FM17" i="22"/>
  <c r="FN17" i="22"/>
  <c r="FO17" i="22"/>
  <c r="FP17" i="22"/>
  <c r="GL17" i="22"/>
  <c r="GM17" i="22"/>
  <c r="GN17" i="22"/>
  <c r="GO17" i="22"/>
  <c r="GP17" i="22"/>
  <c r="GQ17" i="22"/>
  <c r="GS17" i="22"/>
  <c r="GT17" i="22"/>
  <c r="GU17" i="22"/>
  <c r="GV17" i="22"/>
  <c r="GW17" i="22"/>
  <c r="GX17" i="22"/>
  <c r="HT17" i="22"/>
  <c r="HU17" i="22"/>
  <c r="HV17" i="22"/>
  <c r="HW17" i="22"/>
  <c r="HX17" i="22"/>
  <c r="HY17" i="22"/>
  <c r="IA17" i="22"/>
  <c r="IB17" i="22"/>
  <c r="IC17" i="22"/>
  <c r="ID17" i="22"/>
  <c r="IE17" i="22"/>
  <c r="IF17" i="22"/>
  <c r="JB17" i="22"/>
  <c r="JC17" i="22"/>
  <c r="JD17" i="22"/>
  <c r="JE17" i="22"/>
  <c r="JF17" i="22"/>
  <c r="JG17" i="22"/>
  <c r="JI17" i="22"/>
  <c r="JJ17" i="22"/>
  <c r="JK17" i="22"/>
  <c r="JL17" i="22"/>
  <c r="JM17" i="22"/>
  <c r="JN17" i="22"/>
  <c r="KJ17" i="22"/>
  <c r="KK17" i="22"/>
  <c r="KL17" i="22"/>
  <c r="KM17" i="22"/>
  <c r="KN17" i="22"/>
  <c r="KO17" i="22"/>
  <c r="KQ17" i="22"/>
  <c r="KR17" i="22"/>
  <c r="KS17" i="22"/>
  <c r="KT17" i="22"/>
  <c r="KU17" i="22"/>
  <c r="KV17" i="22"/>
  <c r="LR17" i="22"/>
  <c r="LS17" i="22"/>
  <c r="LT17" i="22"/>
  <c r="LU17" i="22"/>
  <c r="LV17" i="22"/>
  <c r="LW17" i="22"/>
  <c r="LY17" i="22"/>
  <c r="LZ17" i="22"/>
  <c r="MA17" i="22"/>
  <c r="MB17" i="22"/>
  <c r="MC17" i="22"/>
  <c r="MD17" i="22"/>
  <c r="MZ17" i="22"/>
  <c r="NA17" i="22"/>
  <c r="NB17" i="22"/>
  <c r="NC17" i="22"/>
  <c r="ND17" i="22"/>
  <c r="NE17" i="22"/>
  <c r="NG17" i="22"/>
  <c r="NH17" i="22"/>
  <c r="NI17" i="22"/>
  <c r="NJ17" i="22"/>
  <c r="NK17" i="22"/>
  <c r="NL17" i="22"/>
  <c r="OH17" i="22"/>
  <c r="OI17" i="22"/>
  <c r="OJ17" i="22"/>
  <c r="OK17" i="22"/>
  <c r="OL17" i="22"/>
  <c r="OM17" i="22"/>
  <c r="OO17" i="22"/>
  <c r="OP17" i="22"/>
  <c r="OQ17" i="22"/>
  <c r="OR17" i="22"/>
  <c r="OS17" i="22"/>
  <c r="OT17" i="22"/>
  <c r="PP17" i="22"/>
  <c r="PQ17" i="22"/>
  <c r="PR17" i="22"/>
  <c r="PS17" i="22"/>
  <c r="PT17" i="22"/>
  <c r="PU17" i="22"/>
  <c r="PW17" i="22"/>
  <c r="PX17" i="22"/>
  <c r="PY17" i="22"/>
  <c r="PZ17" i="22"/>
  <c r="QA17" i="22"/>
  <c r="QB17" i="22"/>
  <c r="QX17" i="22"/>
  <c r="QY17" i="22"/>
  <c r="QZ17" i="22"/>
  <c r="RA17" i="22"/>
  <c r="RB17" i="22"/>
  <c r="RC17" i="22"/>
  <c r="RE17" i="22"/>
  <c r="RF17" i="22"/>
  <c r="RG17" i="22"/>
  <c r="RH17" i="22"/>
  <c r="RI17" i="22"/>
  <c r="RJ17" i="22"/>
  <c r="SF17" i="22"/>
  <c r="SG17" i="22"/>
  <c r="SH17" i="22"/>
  <c r="SI17" i="22"/>
  <c r="SJ17" i="22"/>
  <c r="SK17" i="22"/>
  <c r="SM17" i="22"/>
  <c r="SN17" i="22"/>
  <c r="SO17" i="22"/>
  <c r="SP17" i="22"/>
  <c r="SQ17" i="22"/>
  <c r="SR17" i="22"/>
  <c r="ST17" i="22"/>
  <c r="SU17" i="22"/>
  <c r="SV17" i="22"/>
  <c r="TJ17" i="22" s="1"/>
  <c r="SW17" i="22"/>
  <c r="TK17" i="22" s="1"/>
  <c r="SX17" i="22"/>
  <c r="SY17" i="22"/>
  <c r="SZ17" i="22"/>
  <c r="TA17" i="22"/>
  <c r="TM17" i="22" s="1"/>
  <c r="TB17" i="22"/>
  <c r="TN17" i="22" s="1"/>
  <c r="TC17" i="22"/>
  <c r="TD17" i="22"/>
  <c r="TE17" i="22"/>
  <c r="TF17" i="22"/>
  <c r="TQ17" i="22" s="1"/>
  <c r="TG17" i="22"/>
  <c r="TR17" i="22" s="1"/>
  <c r="TH17" i="22"/>
  <c r="CO10" i="22"/>
  <c r="CP10" i="22"/>
  <c r="CQ10" i="22"/>
  <c r="CR10" i="22"/>
  <c r="CS10" i="22"/>
  <c r="CT10" i="22"/>
  <c r="CV10" i="22"/>
  <c r="CW10" i="22"/>
  <c r="CX10" i="22"/>
  <c r="DV10" i="22"/>
  <c r="DW10" i="22"/>
  <c r="DX10" i="22"/>
  <c r="DY10" i="22"/>
  <c r="DZ10" i="22"/>
  <c r="EA10" i="22"/>
  <c r="EC10" i="22"/>
  <c r="ED10" i="22"/>
  <c r="EE10" i="22"/>
  <c r="EF10" i="22"/>
  <c r="EG10" i="22"/>
  <c r="EH10" i="22"/>
  <c r="FD10" i="22"/>
  <c r="FE10" i="22"/>
  <c r="FF10" i="22"/>
  <c r="FG10" i="22"/>
  <c r="FH10" i="22"/>
  <c r="FI10" i="22"/>
  <c r="FK10" i="22"/>
  <c r="FL10" i="22"/>
  <c r="FM10" i="22"/>
  <c r="FN10" i="22"/>
  <c r="FO10" i="22"/>
  <c r="FP10" i="22"/>
  <c r="GL10" i="22"/>
  <c r="GM10" i="22"/>
  <c r="GN10" i="22"/>
  <c r="GO10" i="22"/>
  <c r="GP10" i="22"/>
  <c r="GQ10" i="22"/>
  <c r="GS10" i="22"/>
  <c r="GT10" i="22"/>
  <c r="GU10" i="22"/>
  <c r="GV10" i="22"/>
  <c r="GW10" i="22"/>
  <c r="GX10" i="22"/>
  <c r="HT10" i="22"/>
  <c r="HU10" i="22"/>
  <c r="HV10" i="22"/>
  <c r="HW10" i="22"/>
  <c r="HX10" i="22"/>
  <c r="HY10" i="22"/>
  <c r="IA10" i="22"/>
  <c r="IB10" i="22"/>
  <c r="IC10" i="22"/>
  <c r="ID10" i="22"/>
  <c r="IE10" i="22"/>
  <c r="IF10" i="22"/>
  <c r="JB10" i="22"/>
  <c r="JC10" i="22"/>
  <c r="JD10" i="22"/>
  <c r="JE10" i="22"/>
  <c r="JF10" i="22"/>
  <c r="JG10" i="22"/>
  <c r="JI10" i="22"/>
  <c r="JJ10" i="22"/>
  <c r="JK10" i="22"/>
  <c r="JL10" i="22"/>
  <c r="JM10" i="22"/>
  <c r="JN10" i="22"/>
  <c r="KJ10" i="22"/>
  <c r="KK10" i="22"/>
  <c r="KL10" i="22"/>
  <c r="KM10" i="22"/>
  <c r="KN10" i="22"/>
  <c r="KO10" i="22"/>
  <c r="KQ10" i="22"/>
  <c r="KR10" i="22"/>
  <c r="KS10" i="22"/>
  <c r="KT10" i="22"/>
  <c r="KU10" i="22"/>
  <c r="KV10" i="22"/>
  <c r="LR10" i="22"/>
  <c r="LS10" i="22"/>
  <c r="LT10" i="22"/>
  <c r="LU10" i="22"/>
  <c r="LV10" i="22"/>
  <c r="LW10" i="22"/>
  <c r="LY10" i="22"/>
  <c r="LZ10" i="22"/>
  <c r="MA10" i="22"/>
  <c r="MB10" i="22"/>
  <c r="MC10" i="22"/>
  <c r="MD10" i="22"/>
  <c r="MZ10" i="22"/>
  <c r="NA10" i="22"/>
  <c r="NB10" i="22"/>
  <c r="NC10" i="22"/>
  <c r="ND10" i="22"/>
  <c r="NE10" i="22"/>
  <c r="NG10" i="22"/>
  <c r="NH10" i="22"/>
  <c r="NI10" i="22"/>
  <c r="NJ10" i="22"/>
  <c r="NK10" i="22"/>
  <c r="NL10" i="22"/>
  <c r="OH10" i="22"/>
  <c r="OI10" i="22"/>
  <c r="OJ10" i="22"/>
  <c r="OK10" i="22"/>
  <c r="OL10" i="22"/>
  <c r="OM10" i="22"/>
  <c r="OO10" i="22"/>
  <c r="OP10" i="22"/>
  <c r="OQ10" i="22"/>
  <c r="OR10" i="22"/>
  <c r="OS10" i="22"/>
  <c r="OT10" i="22"/>
  <c r="PP10" i="22"/>
  <c r="PQ10" i="22"/>
  <c r="PR10" i="22"/>
  <c r="PS10" i="22"/>
  <c r="PT10" i="22"/>
  <c r="PU10" i="22"/>
  <c r="PW10" i="22"/>
  <c r="PX10" i="22"/>
  <c r="PY10" i="22"/>
  <c r="PZ10" i="22"/>
  <c r="QA10" i="22"/>
  <c r="QB10" i="22"/>
  <c r="QX10" i="22"/>
  <c r="QY10" i="22"/>
  <c r="QZ10" i="22"/>
  <c r="RA10" i="22"/>
  <c r="RB10" i="22"/>
  <c r="RC10" i="22"/>
  <c r="RE10" i="22"/>
  <c r="RF10" i="22"/>
  <c r="RG10" i="22"/>
  <c r="RH10" i="22"/>
  <c r="RI10" i="22"/>
  <c r="RJ10" i="22"/>
  <c r="SF10" i="22"/>
  <c r="SG10" i="22"/>
  <c r="SH10" i="22"/>
  <c r="SI10" i="22"/>
  <c r="SJ10" i="22"/>
  <c r="SK10" i="22"/>
  <c r="SM10" i="22"/>
  <c r="SN10" i="22"/>
  <c r="SO10" i="22"/>
  <c r="SP10" i="22"/>
  <c r="SQ10" i="22"/>
  <c r="SR10" i="22"/>
  <c r="ST10" i="22"/>
  <c r="SU10" i="22"/>
  <c r="SV10" i="22"/>
  <c r="TJ10" i="22" s="1"/>
  <c r="SW10" i="22"/>
  <c r="TK10" i="22" s="1"/>
  <c r="SX10" i="22"/>
  <c r="SY10" i="22"/>
  <c r="SZ10" i="22"/>
  <c r="TA10" i="22"/>
  <c r="TM10" i="22" s="1"/>
  <c r="TB10" i="22"/>
  <c r="TN10" i="22" s="1"/>
  <c r="TC10" i="22"/>
  <c r="TD10" i="22"/>
  <c r="TE10" i="22"/>
  <c r="TF10" i="22"/>
  <c r="TQ10" i="22" s="1"/>
  <c r="TG10" i="22"/>
  <c r="TR10" i="22" s="1"/>
  <c r="TH10" i="22"/>
  <c r="CO20" i="22"/>
  <c r="CP20" i="22"/>
  <c r="CQ20" i="22"/>
  <c r="CU20" i="22" s="1"/>
  <c r="CR20" i="22"/>
  <c r="CS20" i="22"/>
  <c r="CT20" i="22"/>
  <c r="CV20" i="22"/>
  <c r="CW20" i="22"/>
  <c r="CX20" i="22"/>
  <c r="DV20" i="22"/>
  <c r="DW20" i="22"/>
  <c r="DX20" i="22"/>
  <c r="DY20" i="22"/>
  <c r="DZ20" i="22"/>
  <c r="EA20" i="22"/>
  <c r="EC20" i="22"/>
  <c r="ED20" i="22"/>
  <c r="EE20" i="22"/>
  <c r="EF20" i="22"/>
  <c r="EG20" i="22"/>
  <c r="EH20" i="22"/>
  <c r="FD20" i="22"/>
  <c r="FE20" i="22"/>
  <c r="FF20" i="22"/>
  <c r="FG20" i="22"/>
  <c r="FH20" i="22"/>
  <c r="FI20" i="22"/>
  <c r="FK20" i="22"/>
  <c r="FL20" i="22"/>
  <c r="FM20" i="22"/>
  <c r="FN20" i="22"/>
  <c r="FO20" i="22"/>
  <c r="FP20" i="22"/>
  <c r="GL20" i="22"/>
  <c r="GM20" i="22"/>
  <c r="GN20" i="22"/>
  <c r="GO20" i="22"/>
  <c r="GP20" i="22"/>
  <c r="GQ20" i="22"/>
  <c r="GS20" i="22"/>
  <c r="GT20" i="22"/>
  <c r="GU20" i="22"/>
  <c r="GV20" i="22"/>
  <c r="GW20" i="22"/>
  <c r="GX20" i="22"/>
  <c r="HT20" i="22"/>
  <c r="HU20" i="22"/>
  <c r="HV20" i="22"/>
  <c r="HW20" i="22"/>
  <c r="HX20" i="22"/>
  <c r="HY20" i="22"/>
  <c r="IA20" i="22"/>
  <c r="IB20" i="22"/>
  <c r="IC20" i="22"/>
  <c r="ID20" i="22"/>
  <c r="IE20" i="22"/>
  <c r="IF20" i="22"/>
  <c r="JB20" i="22"/>
  <c r="JC20" i="22"/>
  <c r="JD20" i="22"/>
  <c r="JE20" i="22"/>
  <c r="JF20" i="22"/>
  <c r="JG20" i="22"/>
  <c r="JI20" i="22"/>
  <c r="JJ20" i="22"/>
  <c r="JK20" i="22"/>
  <c r="JL20" i="22"/>
  <c r="JM20" i="22"/>
  <c r="JN20" i="22"/>
  <c r="KJ20" i="22"/>
  <c r="KK20" i="22"/>
  <c r="KL20" i="22"/>
  <c r="KM20" i="22"/>
  <c r="KN20" i="22"/>
  <c r="KO20" i="22"/>
  <c r="KQ20" i="22"/>
  <c r="KR20" i="22"/>
  <c r="KS20" i="22"/>
  <c r="KT20" i="22"/>
  <c r="KU20" i="22"/>
  <c r="KV20" i="22"/>
  <c r="LR20" i="22"/>
  <c r="LS20" i="22"/>
  <c r="LT20" i="22"/>
  <c r="LU20" i="22"/>
  <c r="LV20" i="22"/>
  <c r="LW20" i="22"/>
  <c r="LY20" i="22"/>
  <c r="LZ20" i="22"/>
  <c r="MA20" i="22"/>
  <c r="MB20" i="22"/>
  <c r="MC20" i="22"/>
  <c r="MD20" i="22"/>
  <c r="MZ20" i="22"/>
  <c r="NA20" i="22"/>
  <c r="NB20" i="22"/>
  <c r="NC20" i="22"/>
  <c r="ND20" i="22"/>
  <c r="NE20" i="22"/>
  <c r="NG20" i="22"/>
  <c r="NH20" i="22"/>
  <c r="NI20" i="22"/>
  <c r="NJ20" i="22"/>
  <c r="NK20" i="22"/>
  <c r="NL20" i="22"/>
  <c r="OH20" i="22"/>
  <c r="OI20" i="22"/>
  <c r="OJ20" i="22"/>
  <c r="OK20" i="22"/>
  <c r="OL20" i="22"/>
  <c r="OM20" i="22"/>
  <c r="OO20" i="22"/>
  <c r="OP20" i="22"/>
  <c r="OQ20" i="22"/>
  <c r="OR20" i="22"/>
  <c r="OS20" i="22"/>
  <c r="OT20" i="22"/>
  <c r="PP20" i="22"/>
  <c r="PQ20" i="22"/>
  <c r="PR20" i="22"/>
  <c r="PS20" i="22"/>
  <c r="PT20" i="22"/>
  <c r="PU20" i="22"/>
  <c r="PW20" i="22"/>
  <c r="PX20" i="22"/>
  <c r="PY20" i="22"/>
  <c r="PZ20" i="22"/>
  <c r="QA20" i="22"/>
  <c r="QB20" i="22"/>
  <c r="QX20" i="22"/>
  <c r="QY20" i="22"/>
  <c r="QZ20" i="22"/>
  <c r="RA20" i="22"/>
  <c r="RB20" i="22"/>
  <c r="RC20" i="22"/>
  <c r="RE20" i="22"/>
  <c r="RF20" i="22"/>
  <c r="RG20" i="22"/>
  <c r="RH20" i="22"/>
  <c r="RI20" i="22"/>
  <c r="RJ20" i="22"/>
  <c r="SF20" i="22"/>
  <c r="SG20" i="22"/>
  <c r="SH20" i="22"/>
  <c r="SI20" i="22"/>
  <c r="SJ20" i="22"/>
  <c r="SK20" i="22"/>
  <c r="SM20" i="22"/>
  <c r="SN20" i="22"/>
  <c r="SO20" i="22"/>
  <c r="SP20" i="22"/>
  <c r="SQ20" i="22"/>
  <c r="SR20" i="22"/>
  <c r="ST20" i="22"/>
  <c r="SU20" i="22"/>
  <c r="SV20" i="22"/>
  <c r="TJ20" i="22" s="1"/>
  <c r="SW20" i="22"/>
  <c r="TK20" i="22" s="1"/>
  <c r="SX20" i="22"/>
  <c r="SY20" i="22"/>
  <c r="SZ20" i="22"/>
  <c r="TA20" i="22"/>
  <c r="TM20" i="22" s="1"/>
  <c r="TB20" i="22"/>
  <c r="TN20" i="22" s="1"/>
  <c r="TC20" i="22"/>
  <c r="TD20" i="22"/>
  <c r="TE20" i="22"/>
  <c r="TF20" i="22"/>
  <c r="TQ20" i="22" s="1"/>
  <c r="TG20" i="22"/>
  <c r="TR20" i="22" s="1"/>
  <c r="TH20" i="22"/>
  <c r="CO27" i="22"/>
  <c r="CP27" i="22"/>
  <c r="CQ27" i="22"/>
  <c r="CR27" i="22"/>
  <c r="CS27" i="22"/>
  <c r="CT27" i="22"/>
  <c r="CV27" i="22"/>
  <c r="CW27" i="22"/>
  <c r="CX27" i="22"/>
  <c r="DV27" i="22"/>
  <c r="DW27" i="22"/>
  <c r="DX27" i="22"/>
  <c r="DY27" i="22"/>
  <c r="DZ27" i="22"/>
  <c r="EA27" i="22"/>
  <c r="EC27" i="22"/>
  <c r="ED27" i="22"/>
  <c r="EE27" i="22"/>
  <c r="EF27" i="22"/>
  <c r="EG27" i="22"/>
  <c r="EH27" i="22"/>
  <c r="FD27" i="22"/>
  <c r="FE27" i="22"/>
  <c r="FF27" i="22"/>
  <c r="FG27" i="22"/>
  <c r="FH27" i="22"/>
  <c r="FI27" i="22"/>
  <c r="FK27" i="22"/>
  <c r="FL27" i="22"/>
  <c r="FM27" i="22"/>
  <c r="FN27" i="22"/>
  <c r="FO27" i="22"/>
  <c r="FP27" i="22"/>
  <c r="GL27" i="22"/>
  <c r="GM27" i="22"/>
  <c r="GN27" i="22"/>
  <c r="GO27" i="22"/>
  <c r="GP27" i="22"/>
  <c r="GQ27" i="22"/>
  <c r="GS27" i="22"/>
  <c r="GT27" i="22"/>
  <c r="GU27" i="22"/>
  <c r="GV27" i="22"/>
  <c r="GW27" i="22"/>
  <c r="GX27" i="22"/>
  <c r="HT27" i="22"/>
  <c r="HU27" i="22"/>
  <c r="HV27" i="22"/>
  <c r="HW27" i="22"/>
  <c r="HX27" i="22"/>
  <c r="HY27" i="22"/>
  <c r="IA27" i="22"/>
  <c r="IB27" i="22"/>
  <c r="IC27" i="22"/>
  <c r="ID27" i="22"/>
  <c r="IE27" i="22"/>
  <c r="IF27" i="22"/>
  <c r="JB27" i="22"/>
  <c r="JC27" i="22"/>
  <c r="JD27" i="22"/>
  <c r="JE27" i="22"/>
  <c r="JF27" i="22"/>
  <c r="JG27" i="22"/>
  <c r="JI27" i="22"/>
  <c r="JJ27" i="22"/>
  <c r="JK27" i="22"/>
  <c r="JL27" i="22"/>
  <c r="JM27" i="22"/>
  <c r="JN27" i="22"/>
  <c r="KJ27" i="22"/>
  <c r="KK27" i="22"/>
  <c r="KL27" i="22"/>
  <c r="KM27" i="22"/>
  <c r="KN27" i="22"/>
  <c r="KO27" i="22"/>
  <c r="KQ27" i="22"/>
  <c r="KR27" i="22"/>
  <c r="KS27" i="22"/>
  <c r="KT27" i="22"/>
  <c r="KU27" i="22"/>
  <c r="KV27" i="22"/>
  <c r="LR27" i="22"/>
  <c r="LS27" i="22"/>
  <c r="LT27" i="22"/>
  <c r="LU27" i="22"/>
  <c r="LV27" i="22"/>
  <c r="LW27" i="22"/>
  <c r="LY27" i="22"/>
  <c r="LZ27" i="22"/>
  <c r="MA27" i="22"/>
  <c r="MB27" i="22"/>
  <c r="MC27" i="22"/>
  <c r="MD27" i="22"/>
  <c r="MZ27" i="22"/>
  <c r="NA27" i="22"/>
  <c r="NB27" i="22"/>
  <c r="NC27" i="22"/>
  <c r="ND27" i="22"/>
  <c r="NE27" i="22"/>
  <c r="NG27" i="22"/>
  <c r="NH27" i="22"/>
  <c r="NI27" i="22"/>
  <c r="NJ27" i="22"/>
  <c r="NK27" i="22"/>
  <c r="NL27" i="22"/>
  <c r="OH27" i="22"/>
  <c r="OI27" i="22"/>
  <c r="OJ27" i="22"/>
  <c r="OK27" i="22"/>
  <c r="OL27" i="22"/>
  <c r="OM27" i="22"/>
  <c r="OO27" i="22"/>
  <c r="OP27" i="22"/>
  <c r="OQ27" i="22"/>
  <c r="OR27" i="22"/>
  <c r="OS27" i="22"/>
  <c r="OT27" i="22"/>
  <c r="PP27" i="22"/>
  <c r="PQ27" i="22"/>
  <c r="PR27" i="22"/>
  <c r="PS27" i="22"/>
  <c r="PT27" i="22"/>
  <c r="PU27" i="22"/>
  <c r="PW27" i="22"/>
  <c r="PX27" i="22"/>
  <c r="PY27" i="22"/>
  <c r="PZ27" i="22"/>
  <c r="QA27" i="22"/>
  <c r="QB27" i="22"/>
  <c r="QX27" i="22"/>
  <c r="QY27" i="22"/>
  <c r="QZ27" i="22"/>
  <c r="RA27" i="22"/>
  <c r="RB27" i="22"/>
  <c r="RC27" i="22"/>
  <c r="RE27" i="22"/>
  <c r="RF27" i="22"/>
  <c r="RG27" i="22"/>
  <c r="RH27" i="22"/>
  <c r="RI27" i="22"/>
  <c r="RJ27" i="22"/>
  <c r="SF27" i="22"/>
  <c r="SG27" i="22"/>
  <c r="SH27" i="22"/>
  <c r="SI27" i="22"/>
  <c r="SJ27" i="22"/>
  <c r="SK27" i="22"/>
  <c r="SM27" i="22"/>
  <c r="SN27" i="22"/>
  <c r="SO27" i="22"/>
  <c r="SP27" i="22"/>
  <c r="SQ27" i="22"/>
  <c r="SR27" i="22"/>
  <c r="ST27" i="22"/>
  <c r="SU27" i="22"/>
  <c r="SV27" i="22"/>
  <c r="TJ27" i="22" s="1"/>
  <c r="SW27" i="22"/>
  <c r="TK27" i="22" s="1"/>
  <c r="SX27" i="22"/>
  <c r="SY27" i="22"/>
  <c r="SZ27" i="22"/>
  <c r="TA27" i="22"/>
  <c r="TM27" i="22" s="1"/>
  <c r="TB27" i="22"/>
  <c r="TN27" i="22" s="1"/>
  <c r="TC27" i="22"/>
  <c r="TD27" i="22"/>
  <c r="TE27" i="22"/>
  <c r="TF27" i="22"/>
  <c r="TQ27" i="22" s="1"/>
  <c r="TG27" i="22"/>
  <c r="TR27" i="22" s="1"/>
  <c r="TH27" i="22"/>
  <c r="CO15" i="22"/>
  <c r="CP15" i="22"/>
  <c r="CQ15" i="22"/>
  <c r="CR15" i="22"/>
  <c r="CS15" i="22"/>
  <c r="CT15" i="22"/>
  <c r="CV15" i="22"/>
  <c r="CW15" i="22"/>
  <c r="CX15" i="22"/>
  <c r="DV15" i="22"/>
  <c r="DW15" i="22"/>
  <c r="DX15" i="22"/>
  <c r="DY15" i="22"/>
  <c r="DZ15" i="22"/>
  <c r="EA15" i="22"/>
  <c r="EC15" i="22"/>
  <c r="ED15" i="22"/>
  <c r="EE15" i="22"/>
  <c r="EF15" i="22"/>
  <c r="EG15" i="22"/>
  <c r="EH15" i="22"/>
  <c r="FD15" i="22"/>
  <c r="FE15" i="22"/>
  <c r="FF15" i="22"/>
  <c r="FG15" i="22"/>
  <c r="FH15" i="22"/>
  <c r="FI15" i="22"/>
  <c r="FK15" i="22"/>
  <c r="FL15" i="22"/>
  <c r="FM15" i="22"/>
  <c r="FN15" i="22"/>
  <c r="FO15" i="22"/>
  <c r="FP15" i="22"/>
  <c r="GL15" i="22"/>
  <c r="GM15" i="22"/>
  <c r="GN15" i="22"/>
  <c r="GO15" i="22"/>
  <c r="GP15" i="22"/>
  <c r="GQ15" i="22"/>
  <c r="GS15" i="22"/>
  <c r="GT15" i="22"/>
  <c r="GU15" i="22"/>
  <c r="GV15" i="22"/>
  <c r="GW15" i="22"/>
  <c r="GX15" i="22"/>
  <c r="HT15" i="22"/>
  <c r="HU15" i="22"/>
  <c r="HV15" i="22"/>
  <c r="HW15" i="22"/>
  <c r="HX15" i="22"/>
  <c r="HY15" i="22"/>
  <c r="IA15" i="22"/>
  <c r="IB15" i="22"/>
  <c r="IC15" i="22"/>
  <c r="ID15" i="22"/>
  <c r="IE15" i="22"/>
  <c r="IF15" i="22"/>
  <c r="JB15" i="22"/>
  <c r="JC15" i="22"/>
  <c r="JD15" i="22"/>
  <c r="JE15" i="22"/>
  <c r="JF15" i="22"/>
  <c r="JG15" i="22"/>
  <c r="JI15" i="22"/>
  <c r="JJ15" i="22"/>
  <c r="JK15" i="22"/>
  <c r="JL15" i="22"/>
  <c r="JM15" i="22"/>
  <c r="JN15" i="22"/>
  <c r="KJ15" i="22"/>
  <c r="KK15" i="22"/>
  <c r="KL15" i="22"/>
  <c r="KM15" i="22"/>
  <c r="KN15" i="22"/>
  <c r="KO15" i="22"/>
  <c r="KQ15" i="22"/>
  <c r="KR15" i="22"/>
  <c r="KS15" i="22"/>
  <c r="KT15" i="22"/>
  <c r="KU15" i="22"/>
  <c r="KV15" i="22"/>
  <c r="LR15" i="22"/>
  <c r="LS15" i="22"/>
  <c r="LT15" i="22"/>
  <c r="LU15" i="22"/>
  <c r="LV15" i="22"/>
  <c r="LW15" i="22"/>
  <c r="LY15" i="22"/>
  <c r="LZ15" i="22"/>
  <c r="MA15" i="22"/>
  <c r="MB15" i="22"/>
  <c r="MC15" i="22"/>
  <c r="MD15" i="22"/>
  <c r="MZ15" i="22"/>
  <c r="NA15" i="22"/>
  <c r="NB15" i="22"/>
  <c r="NC15" i="22"/>
  <c r="ND15" i="22"/>
  <c r="NE15" i="22"/>
  <c r="NG15" i="22"/>
  <c r="NH15" i="22"/>
  <c r="NI15" i="22"/>
  <c r="NJ15" i="22"/>
  <c r="NK15" i="22"/>
  <c r="NL15" i="22"/>
  <c r="OH15" i="22"/>
  <c r="OI15" i="22"/>
  <c r="OJ15" i="22"/>
  <c r="OK15" i="22"/>
  <c r="OL15" i="22"/>
  <c r="OM15" i="22"/>
  <c r="OO15" i="22"/>
  <c r="OP15" i="22"/>
  <c r="OQ15" i="22"/>
  <c r="OR15" i="22"/>
  <c r="OS15" i="22"/>
  <c r="OT15" i="22"/>
  <c r="PP15" i="22"/>
  <c r="PQ15" i="22"/>
  <c r="PR15" i="22"/>
  <c r="PS15" i="22"/>
  <c r="PT15" i="22"/>
  <c r="PU15" i="22"/>
  <c r="PW15" i="22"/>
  <c r="PX15" i="22"/>
  <c r="PY15" i="22"/>
  <c r="PZ15" i="22"/>
  <c r="QA15" i="22"/>
  <c r="QB15" i="22"/>
  <c r="QX15" i="22"/>
  <c r="QY15" i="22"/>
  <c r="QZ15" i="22"/>
  <c r="RA15" i="22"/>
  <c r="RB15" i="22"/>
  <c r="RC15" i="22"/>
  <c r="RE15" i="22"/>
  <c r="RF15" i="22"/>
  <c r="RG15" i="22"/>
  <c r="RH15" i="22"/>
  <c r="RI15" i="22"/>
  <c r="RJ15" i="22"/>
  <c r="SF15" i="22"/>
  <c r="SG15" i="22"/>
  <c r="SH15" i="22"/>
  <c r="SI15" i="22"/>
  <c r="SJ15" i="22"/>
  <c r="SK15" i="22"/>
  <c r="SM15" i="22"/>
  <c r="SN15" i="22"/>
  <c r="SO15" i="22"/>
  <c r="SP15" i="22"/>
  <c r="SQ15" i="22"/>
  <c r="SR15" i="22"/>
  <c r="ST15" i="22"/>
  <c r="SU15" i="22"/>
  <c r="SV15" i="22"/>
  <c r="TJ15" i="22" s="1"/>
  <c r="SW15" i="22"/>
  <c r="TK15" i="22" s="1"/>
  <c r="SX15" i="22"/>
  <c r="SY15" i="22"/>
  <c r="SZ15" i="22"/>
  <c r="TA15" i="22"/>
  <c r="TM15" i="22" s="1"/>
  <c r="TB15" i="22"/>
  <c r="TN15" i="22" s="1"/>
  <c r="TC15" i="22"/>
  <c r="TD15" i="22"/>
  <c r="TE15" i="22"/>
  <c r="TF15" i="22"/>
  <c r="TQ15" i="22" s="1"/>
  <c r="TG15" i="22"/>
  <c r="TR15" i="22" s="1"/>
  <c r="TH15" i="22"/>
  <c r="CO13" i="22"/>
  <c r="CP13" i="22"/>
  <c r="CQ13" i="22"/>
  <c r="CR13" i="22"/>
  <c r="CS13" i="22"/>
  <c r="CT13" i="22"/>
  <c r="CV13" i="22"/>
  <c r="CW13" i="22"/>
  <c r="CX13" i="22"/>
  <c r="DV13" i="22"/>
  <c r="DW13" i="22"/>
  <c r="DX13" i="22"/>
  <c r="DY13" i="22"/>
  <c r="DZ13" i="22"/>
  <c r="EA13" i="22"/>
  <c r="EC13" i="22"/>
  <c r="ED13" i="22"/>
  <c r="EE13" i="22"/>
  <c r="EF13" i="22"/>
  <c r="EG13" i="22"/>
  <c r="EH13" i="22"/>
  <c r="FD13" i="22"/>
  <c r="FE13" i="22"/>
  <c r="FF13" i="22"/>
  <c r="FG13" i="22"/>
  <c r="FH13" i="22"/>
  <c r="FI13" i="22"/>
  <c r="FK13" i="22"/>
  <c r="FL13" i="22"/>
  <c r="FM13" i="22"/>
  <c r="FN13" i="22"/>
  <c r="FO13" i="22"/>
  <c r="FP13" i="22"/>
  <c r="GL13" i="22"/>
  <c r="GM13" i="22"/>
  <c r="GN13" i="22"/>
  <c r="GO13" i="22"/>
  <c r="GP13" i="22"/>
  <c r="GQ13" i="22"/>
  <c r="GS13" i="22"/>
  <c r="GT13" i="22"/>
  <c r="GU13" i="22"/>
  <c r="GV13" i="22"/>
  <c r="GW13" i="22"/>
  <c r="GX13" i="22"/>
  <c r="HT13" i="22"/>
  <c r="HU13" i="22"/>
  <c r="HV13" i="22"/>
  <c r="HW13" i="22"/>
  <c r="HX13" i="22"/>
  <c r="HY13" i="22"/>
  <c r="IA13" i="22"/>
  <c r="IB13" i="22"/>
  <c r="IC13" i="22"/>
  <c r="ID13" i="22"/>
  <c r="IE13" i="22"/>
  <c r="IF13" i="22"/>
  <c r="JB13" i="22"/>
  <c r="JC13" i="22"/>
  <c r="JD13" i="22"/>
  <c r="JE13" i="22"/>
  <c r="JF13" i="22"/>
  <c r="JG13" i="22"/>
  <c r="JI13" i="22"/>
  <c r="JJ13" i="22"/>
  <c r="JK13" i="22"/>
  <c r="JL13" i="22"/>
  <c r="JM13" i="22"/>
  <c r="JN13" i="22"/>
  <c r="KJ13" i="22"/>
  <c r="KK13" i="22"/>
  <c r="KL13" i="22"/>
  <c r="KM13" i="22"/>
  <c r="KN13" i="22"/>
  <c r="KO13" i="22"/>
  <c r="KQ13" i="22"/>
  <c r="KR13" i="22"/>
  <c r="KS13" i="22"/>
  <c r="KT13" i="22"/>
  <c r="KU13" i="22"/>
  <c r="KV13" i="22"/>
  <c r="LR13" i="22"/>
  <c r="LS13" i="22"/>
  <c r="LT13" i="22"/>
  <c r="LU13" i="22"/>
  <c r="LV13" i="22"/>
  <c r="LW13" i="22"/>
  <c r="LY13" i="22"/>
  <c r="LZ13" i="22"/>
  <c r="MA13" i="22"/>
  <c r="MB13" i="22"/>
  <c r="MC13" i="22"/>
  <c r="MD13" i="22"/>
  <c r="MZ13" i="22"/>
  <c r="NA13" i="22"/>
  <c r="NB13" i="22"/>
  <c r="NC13" i="22"/>
  <c r="ND13" i="22"/>
  <c r="NE13" i="22"/>
  <c r="NG13" i="22"/>
  <c r="NH13" i="22"/>
  <c r="NI13" i="22"/>
  <c r="NJ13" i="22"/>
  <c r="NK13" i="22"/>
  <c r="NL13" i="22"/>
  <c r="OH13" i="22"/>
  <c r="OI13" i="22"/>
  <c r="OJ13" i="22"/>
  <c r="OK13" i="22"/>
  <c r="OL13" i="22"/>
  <c r="OM13" i="22"/>
  <c r="OO13" i="22"/>
  <c r="OP13" i="22"/>
  <c r="OQ13" i="22"/>
  <c r="OR13" i="22"/>
  <c r="OS13" i="22"/>
  <c r="OT13" i="22"/>
  <c r="PP13" i="22"/>
  <c r="PQ13" i="22"/>
  <c r="PR13" i="22"/>
  <c r="PS13" i="22"/>
  <c r="PT13" i="22"/>
  <c r="PU13" i="22"/>
  <c r="PW13" i="22"/>
  <c r="PX13" i="22"/>
  <c r="PY13" i="22"/>
  <c r="PZ13" i="22"/>
  <c r="QA13" i="22"/>
  <c r="QB13" i="22"/>
  <c r="QX13" i="22"/>
  <c r="QY13" i="22"/>
  <c r="QZ13" i="22"/>
  <c r="RA13" i="22"/>
  <c r="RB13" i="22"/>
  <c r="RC13" i="22"/>
  <c r="RE13" i="22"/>
  <c r="RF13" i="22"/>
  <c r="RG13" i="22"/>
  <c r="RH13" i="22"/>
  <c r="RI13" i="22"/>
  <c r="RJ13" i="22"/>
  <c r="SF13" i="22"/>
  <c r="SG13" i="22"/>
  <c r="SH13" i="22"/>
  <c r="SI13" i="22"/>
  <c r="SJ13" i="22"/>
  <c r="SK13" i="22"/>
  <c r="SM13" i="22"/>
  <c r="SN13" i="22"/>
  <c r="SO13" i="22"/>
  <c r="SP13" i="22"/>
  <c r="SQ13" i="22"/>
  <c r="SR13" i="22"/>
  <c r="ST13" i="22"/>
  <c r="SU13" i="22"/>
  <c r="SV13" i="22"/>
  <c r="TJ13" i="22" s="1"/>
  <c r="SW13" i="22"/>
  <c r="TK13" i="22" s="1"/>
  <c r="SX13" i="22"/>
  <c r="SY13" i="22"/>
  <c r="SZ13" i="22"/>
  <c r="TA13" i="22"/>
  <c r="TM13" i="22" s="1"/>
  <c r="TB13" i="22"/>
  <c r="TN13" i="22" s="1"/>
  <c r="TC13" i="22"/>
  <c r="TD13" i="22"/>
  <c r="TE13" i="22"/>
  <c r="TF13" i="22"/>
  <c r="TQ13" i="22" s="1"/>
  <c r="TG13" i="22"/>
  <c r="TR13" i="22" s="1"/>
  <c r="TH13" i="22"/>
  <c r="CO31" i="22"/>
  <c r="CP31" i="22"/>
  <c r="CQ31" i="22"/>
  <c r="CU31" i="22" s="1"/>
  <c r="CR31" i="22"/>
  <c r="CS31" i="22"/>
  <c r="CT31" i="22"/>
  <c r="CV31" i="22"/>
  <c r="CW31" i="22"/>
  <c r="CX31" i="22"/>
  <c r="DV31" i="22"/>
  <c r="DW31" i="22"/>
  <c r="DX31" i="22"/>
  <c r="DY31" i="22"/>
  <c r="DZ31" i="22"/>
  <c r="EA31" i="22"/>
  <c r="EC31" i="22"/>
  <c r="ED31" i="22"/>
  <c r="EE31" i="22"/>
  <c r="EF31" i="22"/>
  <c r="EG31" i="22"/>
  <c r="EH31" i="22"/>
  <c r="FD31" i="22"/>
  <c r="FE31" i="22"/>
  <c r="FF31" i="22"/>
  <c r="FG31" i="22"/>
  <c r="FH31" i="22"/>
  <c r="FI31" i="22"/>
  <c r="FK31" i="22"/>
  <c r="FL31" i="22"/>
  <c r="FM31" i="22"/>
  <c r="FN31" i="22"/>
  <c r="FO31" i="22"/>
  <c r="FP31" i="22"/>
  <c r="GL31" i="22"/>
  <c r="GM31" i="22"/>
  <c r="GN31" i="22"/>
  <c r="GO31" i="22"/>
  <c r="GP31" i="22"/>
  <c r="GQ31" i="22"/>
  <c r="GS31" i="22"/>
  <c r="GT31" i="22"/>
  <c r="GU31" i="22"/>
  <c r="GV31" i="22"/>
  <c r="GW31" i="22"/>
  <c r="GX31" i="22"/>
  <c r="HT31" i="22"/>
  <c r="HU31" i="22"/>
  <c r="HV31" i="22"/>
  <c r="HW31" i="22"/>
  <c r="HX31" i="22"/>
  <c r="HY31" i="22"/>
  <c r="IA31" i="22"/>
  <c r="IB31" i="22"/>
  <c r="IC31" i="22"/>
  <c r="ID31" i="22"/>
  <c r="IE31" i="22"/>
  <c r="IF31" i="22"/>
  <c r="JB31" i="22"/>
  <c r="JC31" i="22"/>
  <c r="JD31" i="22"/>
  <c r="JE31" i="22"/>
  <c r="JF31" i="22"/>
  <c r="JG31" i="22"/>
  <c r="JI31" i="22"/>
  <c r="JJ31" i="22"/>
  <c r="JK31" i="22"/>
  <c r="JL31" i="22"/>
  <c r="JM31" i="22"/>
  <c r="JN31" i="22"/>
  <c r="KJ31" i="22"/>
  <c r="KK31" i="22"/>
  <c r="KL31" i="22"/>
  <c r="KM31" i="22"/>
  <c r="KN31" i="22"/>
  <c r="KO31" i="22"/>
  <c r="KQ31" i="22"/>
  <c r="KR31" i="22"/>
  <c r="KS31" i="22"/>
  <c r="KT31" i="22"/>
  <c r="KU31" i="22"/>
  <c r="KV31" i="22"/>
  <c r="LR31" i="22"/>
  <c r="LS31" i="22"/>
  <c r="LT31" i="22"/>
  <c r="LU31" i="22"/>
  <c r="LV31" i="22"/>
  <c r="LW31" i="22"/>
  <c r="LY31" i="22"/>
  <c r="LZ31" i="22"/>
  <c r="MA31" i="22"/>
  <c r="MB31" i="22"/>
  <c r="MC31" i="22"/>
  <c r="MD31" i="22"/>
  <c r="MZ31" i="22"/>
  <c r="NA31" i="22"/>
  <c r="NB31" i="22"/>
  <c r="NC31" i="22"/>
  <c r="ND31" i="22"/>
  <c r="NE31" i="22"/>
  <c r="NG31" i="22"/>
  <c r="NH31" i="22"/>
  <c r="NI31" i="22"/>
  <c r="NJ31" i="22"/>
  <c r="NK31" i="22"/>
  <c r="NL31" i="22"/>
  <c r="OH31" i="22"/>
  <c r="OI31" i="22"/>
  <c r="OJ31" i="22"/>
  <c r="OK31" i="22"/>
  <c r="OL31" i="22"/>
  <c r="OM31" i="22"/>
  <c r="OO31" i="22"/>
  <c r="OP31" i="22"/>
  <c r="OQ31" i="22"/>
  <c r="OR31" i="22"/>
  <c r="OS31" i="22"/>
  <c r="OT31" i="22"/>
  <c r="PP31" i="22"/>
  <c r="PQ31" i="22"/>
  <c r="PR31" i="22"/>
  <c r="PS31" i="22"/>
  <c r="PT31" i="22"/>
  <c r="PU31" i="22"/>
  <c r="PW31" i="22"/>
  <c r="PX31" i="22"/>
  <c r="PY31" i="22"/>
  <c r="PZ31" i="22"/>
  <c r="QA31" i="22"/>
  <c r="QB31" i="22"/>
  <c r="QX31" i="22"/>
  <c r="QY31" i="22"/>
  <c r="QZ31" i="22"/>
  <c r="RA31" i="22"/>
  <c r="RB31" i="22"/>
  <c r="RC31" i="22"/>
  <c r="RE31" i="22"/>
  <c r="RF31" i="22"/>
  <c r="RG31" i="22"/>
  <c r="RH31" i="22"/>
  <c r="RI31" i="22"/>
  <c r="RJ31" i="22"/>
  <c r="SF31" i="22"/>
  <c r="SG31" i="22"/>
  <c r="SH31" i="22"/>
  <c r="SI31" i="22"/>
  <c r="SJ31" i="22"/>
  <c r="SK31" i="22"/>
  <c r="SM31" i="22"/>
  <c r="SN31" i="22"/>
  <c r="SO31" i="22"/>
  <c r="SP31" i="22"/>
  <c r="SQ31" i="22"/>
  <c r="SR31" i="22"/>
  <c r="ST31" i="22"/>
  <c r="SU31" i="22"/>
  <c r="SV31" i="22"/>
  <c r="TJ31" i="22" s="1"/>
  <c r="SW31" i="22"/>
  <c r="TK31" i="22" s="1"/>
  <c r="SX31" i="22"/>
  <c r="SY31" i="22"/>
  <c r="SZ31" i="22"/>
  <c r="TA31" i="22"/>
  <c r="TM31" i="22" s="1"/>
  <c r="TB31" i="22"/>
  <c r="TN31" i="22" s="1"/>
  <c r="TC31" i="22"/>
  <c r="TD31" i="22"/>
  <c r="TE31" i="22"/>
  <c r="TF31" i="22"/>
  <c r="TQ31" i="22" s="1"/>
  <c r="TG31" i="22"/>
  <c r="TR31" i="22" s="1"/>
  <c r="TH31" i="22"/>
  <c r="CO28" i="22"/>
  <c r="CP28" i="22"/>
  <c r="CQ28" i="22"/>
  <c r="CR28" i="22"/>
  <c r="CS28" i="22"/>
  <c r="CT28" i="22"/>
  <c r="CV28" i="22"/>
  <c r="CW28" i="22"/>
  <c r="CX28" i="22"/>
  <c r="DV28" i="22"/>
  <c r="DW28" i="22"/>
  <c r="DX28" i="22"/>
  <c r="DY28" i="22"/>
  <c r="DZ28" i="22"/>
  <c r="EA28" i="22"/>
  <c r="EC28" i="22"/>
  <c r="ED28" i="22"/>
  <c r="EE28" i="22"/>
  <c r="EF28" i="22"/>
  <c r="EG28" i="22"/>
  <c r="EH28" i="22"/>
  <c r="FD28" i="22"/>
  <c r="FE28" i="22"/>
  <c r="FF28" i="22"/>
  <c r="FG28" i="22"/>
  <c r="FH28" i="22"/>
  <c r="FI28" i="22"/>
  <c r="FK28" i="22"/>
  <c r="FL28" i="22"/>
  <c r="FM28" i="22"/>
  <c r="FN28" i="22"/>
  <c r="FO28" i="22"/>
  <c r="FP28" i="22"/>
  <c r="GL28" i="22"/>
  <c r="GM28" i="22"/>
  <c r="GN28" i="22"/>
  <c r="GO28" i="22"/>
  <c r="GP28" i="22"/>
  <c r="GQ28" i="22"/>
  <c r="GS28" i="22"/>
  <c r="GT28" i="22"/>
  <c r="GU28" i="22"/>
  <c r="GV28" i="22"/>
  <c r="GW28" i="22"/>
  <c r="GX28" i="22"/>
  <c r="HT28" i="22"/>
  <c r="HU28" i="22"/>
  <c r="HV28" i="22"/>
  <c r="HW28" i="22"/>
  <c r="HX28" i="22"/>
  <c r="HY28" i="22"/>
  <c r="IA28" i="22"/>
  <c r="IB28" i="22"/>
  <c r="IC28" i="22"/>
  <c r="ID28" i="22"/>
  <c r="IE28" i="22"/>
  <c r="IF28" i="22"/>
  <c r="JB28" i="22"/>
  <c r="JC28" i="22"/>
  <c r="JD28" i="22"/>
  <c r="JE28" i="22"/>
  <c r="JF28" i="22"/>
  <c r="JG28" i="22"/>
  <c r="JI28" i="22"/>
  <c r="JJ28" i="22"/>
  <c r="JK28" i="22"/>
  <c r="JL28" i="22"/>
  <c r="JM28" i="22"/>
  <c r="JN28" i="22"/>
  <c r="KJ28" i="22"/>
  <c r="KK28" i="22"/>
  <c r="KL28" i="22"/>
  <c r="KM28" i="22"/>
  <c r="KN28" i="22"/>
  <c r="KO28" i="22"/>
  <c r="KQ28" i="22"/>
  <c r="KR28" i="22"/>
  <c r="KS28" i="22"/>
  <c r="KT28" i="22"/>
  <c r="KU28" i="22"/>
  <c r="KV28" i="22"/>
  <c r="LR28" i="22"/>
  <c r="LS28" i="22"/>
  <c r="LT28" i="22"/>
  <c r="LU28" i="22"/>
  <c r="LV28" i="22"/>
  <c r="LW28" i="22"/>
  <c r="LY28" i="22"/>
  <c r="LZ28" i="22"/>
  <c r="MA28" i="22"/>
  <c r="MB28" i="22"/>
  <c r="MC28" i="22"/>
  <c r="MD28" i="22"/>
  <c r="MZ28" i="22"/>
  <c r="NA28" i="22"/>
  <c r="NB28" i="22"/>
  <c r="NC28" i="22"/>
  <c r="ND28" i="22"/>
  <c r="NE28" i="22"/>
  <c r="NG28" i="22"/>
  <c r="NH28" i="22"/>
  <c r="NI28" i="22"/>
  <c r="NJ28" i="22"/>
  <c r="NK28" i="22"/>
  <c r="NL28" i="22"/>
  <c r="OH28" i="22"/>
  <c r="OI28" i="22"/>
  <c r="OJ28" i="22"/>
  <c r="OK28" i="22"/>
  <c r="OL28" i="22"/>
  <c r="OM28" i="22"/>
  <c r="OO28" i="22"/>
  <c r="OP28" i="22"/>
  <c r="OQ28" i="22"/>
  <c r="OR28" i="22"/>
  <c r="OS28" i="22"/>
  <c r="OT28" i="22"/>
  <c r="PP28" i="22"/>
  <c r="PQ28" i="22"/>
  <c r="PR28" i="22"/>
  <c r="PS28" i="22"/>
  <c r="PT28" i="22"/>
  <c r="PU28" i="22"/>
  <c r="PW28" i="22"/>
  <c r="PX28" i="22"/>
  <c r="PY28" i="22"/>
  <c r="PZ28" i="22"/>
  <c r="QA28" i="22"/>
  <c r="QB28" i="22"/>
  <c r="QX28" i="22"/>
  <c r="QY28" i="22"/>
  <c r="QZ28" i="22"/>
  <c r="RA28" i="22"/>
  <c r="RB28" i="22"/>
  <c r="RC28" i="22"/>
  <c r="RE28" i="22"/>
  <c r="RF28" i="22"/>
  <c r="RG28" i="22"/>
  <c r="RH28" i="22"/>
  <c r="RI28" i="22"/>
  <c r="RJ28" i="22"/>
  <c r="SF28" i="22"/>
  <c r="SG28" i="22"/>
  <c r="SH28" i="22"/>
  <c r="SI28" i="22"/>
  <c r="SJ28" i="22"/>
  <c r="SK28" i="22"/>
  <c r="SM28" i="22"/>
  <c r="SN28" i="22"/>
  <c r="SO28" i="22"/>
  <c r="SP28" i="22"/>
  <c r="SQ28" i="22"/>
  <c r="SR28" i="22"/>
  <c r="ST28" i="22"/>
  <c r="SU28" i="22"/>
  <c r="SV28" i="22"/>
  <c r="TJ28" i="22" s="1"/>
  <c r="SW28" i="22"/>
  <c r="TK28" i="22" s="1"/>
  <c r="SX28" i="22"/>
  <c r="SY28" i="22"/>
  <c r="SZ28" i="22"/>
  <c r="TA28" i="22"/>
  <c r="TB28" i="22"/>
  <c r="TN28" i="22" s="1"/>
  <c r="TC28" i="22"/>
  <c r="TD28" i="22"/>
  <c r="TE28" i="22"/>
  <c r="TF28" i="22"/>
  <c r="TQ28" i="22" s="1"/>
  <c r="TG28" i="22"/>
  <c r="TR28" i="22" s="1"/>
  <c r="TH28" i="22"/>
  <c r="CO19" i="22"/>
  <c r="CP19" i="22"/>
  <c r="CQ19" i="22"/>
  <c r="CR19" i="22"/>
  <c r="CS19" i="22"/>
  <c r="CT19" i="22"/>
  <c r="CV19" i="22"/>
  <c r="CW19" i="22"/>
  <c r="CX19" i="22"/>
  <c r="DV19" i="22"/>
  <c r="DW19" i="22"/>
  <c r="DX19" i="22"/>
  <c r="DY19" i="22"/>
  <c r="DZ19" i="22"/>
  <c r="EA19" i="22"/>
  <c r="EC19" i="22"/>
  <c r="ED19" i="22"/>
  <c r="EE19" i="22"/>
  <c r="EF19" i="22"/>
  <c r="EG19" i="22"/>
  <c r="EH19" i="22"/>
  <c r="FD19" i="22"/>
  <c r="FE19" i="22"/>
  <c r="FF19" i="22"/>
  <c r="FG19" i="22"/>
  <c r="FH19" i="22"/>
  <c r="FI19" i="22"/>
  <c r="FK19" i="22"/>
  <c r="FL19" i="22"/>
  <c r="FM19" i="22"/>
  <c r="FN19" i="22"/>
  <c r="FO19" i="22"/>
  <c r="FP19" i="22"/>
  <c r="GL19" i="22"/>
  <c r="GM19" i="22"/>
  <c r="GN19" i="22"/>
  <c r="GO19" i="22"/>
  <c r="GP19" i="22"/>
  <c r="GQ19" i="22"/>
  <c r="GS19" i="22"/>
  <c r="GT19" i="22"/>
  <c r="GU19" i="22"/>
  <c r="GV19" i="22"/>
  <c r="GW19" i="22"/>
  <c r="GX19" i="22"/>
  <c r="HT19" i="22"/>
  <c r="HU19" i="22"/>
  <c r="HV19" i="22"/>
  <c r="HW19" i="22"/>
  <c r="HX19" i="22"/>
  <c r="HY19" i="22"/>
  <c r="IA19" i="22"/>
  <c r="IB19" i="22"/>
  <c r="IC19" i="22"/>
  <c r="ID19" i="22"/>
  <c r="IE19" i="22"/>
  <c r="IF19" i="22"/>
  <c r="JB19" i="22"/>
  <c r="JC19" i="22"/>
  <c r="JD19" i="22"/>
  <c r="JE19" i="22"/>
  <c r="JF19" i="22"/>
  <c r="JG19" i="22"/>
  <c r="JI19" i="22"/>
  <c r="JJ19" i="22"/>
  <c r="JK19" i="22"/>
  <c r="JL19" i="22"/>
  <c r="JM19" i="22"/>
  <c r="JN19" i="22"/>
  <c r="KJ19" i="22"/>
  <c r="KK19" i="22"/>
  <c r="KL19" i="22"/>
  <c r="KM19" i="22"/>
  <c r="KN19" i="22"/>
  <c r="KO19" i="22"/>
  <c r="KQ19" i="22"/>
  <c r="KR19" i="22"/>
  <c r="KS19" i="22"/>
  <c r="KT19" i="22"/>
  <c r="KU19" i="22"/>
  <c r="KV19" i="22"/>
  <c r="LR19" i="22"/>
  <c r="LS19" i="22"/>
  <c r="LT19" i="22"/>
  <c r="LU19" i="22"/>
  <c r="LV19" i="22"/>
  <c r="LW19" i="22"/>
  <c r="LY19" i="22"/>
  <c r="LZ19" i="22"/>
  <c r="MA19" i="22"/>
  <c r="MB19" i="22"/>
  <c r="MC19" i="22"/>
  <c r="MD19" i="22"/>
  <c r="MZ19" i="22"/>
  <c r="NA19" i="22"/>
  <c r="NB19" i="22"/>
  <c r="NC19" i="22"/>
  <c r="ND19" i="22"/>
  <c r="NE19" i="22"/>
  <c r="NG19" i="22"/>
  <c r="NH19" i="22"/>
  <c r="NI19" i="22"/>
  <c r="NJ19" i="22"/>
  <c r="NK19" i="22"/>
  <c r="NL19" i="22"/>
  <c r="OH19" i="22"/>
  <c r="OI19" i="22"/>
  <c r="OJ19" i="22"/>
  <c r="OK19" i="22"/>
  <c r="OL19" i="22"/>
  <c r="OM19" i="22"/>
  <c r="OO19" i="22"/>
  <c r="OP19" i="22"/>
  <c r="OQ19" i="22"/>
  <c r="OR19" i="22"/>
  <c r="OS19" i="22"/>
  <c r="OT19" i="22"/>
  <c r="PP19" i="22"/>
  <c r="PQ19" i="22"/>
  <c r="PR19" i="22"/>
  <c r="PS19" i="22"/>
  <c r="PT19" i="22"/>
  <c r="PU19" i="22"/>
  <c r="PW19" i="22"/>
  <c r="PX19" i="22"/>
  <c r="PY19" i="22"/>
  <c r="PZ19" i="22"/>
  <c r="QA19" i="22"/>
  <c r="QB19" i="22"/>
  <c r="QX19" i="22"/>
  <c r="QY19" i="22"/>
  <c r="QZ19" i="22"/>
  <c r="RA19" i="22"/>
  <c r="RB19" i="22"/>
  <c r="RC19" i="22"/>
  <c r="RE19" i="22"/>
  <c r="RF19" i="22"/>
  <c r="RG19" i="22"/>
  <c r="RH19" i="22"/>
  <c r="RI19" i="22"/>
  <c r="RJ19" i="22"/>
  <c r="SF19" i="22"/>
  <c r="SG19" i="22"/>
  <c r="SH19" i="22"/>
  <c r="SI19" i="22"/>
  <c r="SJ19" i="22"/>
  <c r="SK19" i="22"/>
  <c r="SM19" i="22"/>
  <c r="SN19" i="22"/>
  <c r="SO19" i="22"/>
  <c r="SP19" i="22"/>
  <c r="SQ19" i="22"/>
  <c r="SR19" i="22"/>
  <c r="ST19" i="22"/>
  <c r="SU19" i="22"/>
  <c r="SV19" i="22"/>
  <c r="TJ19" i="22" s="1"/>
  <c r="SW19" i="22"/>
  <c r="TK19" i="22" s="1"/>
  <c r="SX19" i="22"/>
  <c r="SY19" i="22"/>
  <c r="SZ19" i="22"/>
  <c r="TA19" i="22"/>
  <c r="TM19" i="22" s="1"/>
  <c r="TB19" i="22"/>
  <c r="TN19" i="22" s="1"/>
  <c r="TC19" i="22"/>
  <c r="TD19" i="22"/>
  <c r="TE19" i="22"/>
  <c r="TF19" i="22"/>
  <c r="TQ19" i="22" s="1"/>
  <c r="TG19" i="22"/>
  <c r="TR19" i="22" s="1"/>
  <c r="TH19" i="22"/>
  <c r="CO29" i="22"/>
  <c r="CP29" i="22"/>
  <c r="CQ29" i="22"/>
  <c r="CU29" i="22" s="1"/>
  <c r="CR29" i="22"/>
  <c r="CS29" i="22"/>
  <c r="CT29" i="22"/>
  <c r="CV29" i="22"/>
  <c r="CW29" i="22"/>
  <c r="CX29" i="22"/>
  <c r="DV29" i="22"/>
  <c r="DW29" i="22"/>
  <c r="DX29" i="22"/>
  <c r="DY29" i="22"/>
  <c r="DZ29" i="22"/>
  <c r="EA29" i="22"/>
  <c r="EC29" i="22"/>
  <c r="ED29" i="22"/>
  <c r="EE29" i="22"/>
  <c r="EF29" i="22"/>
  <c r="EG29" i="22"/>
  <c r="EH29" i="22"/>
  <c r="FD29" i="22"/>
  <c r="FE29" i="22"/>
  <c r="FF29" i="22"/>
  <c r="FG29" i="22"/>
  <c r="FH29" i="22"/>
  <c r="FI29" i="22"/>
  <c r="FK29" i="22"/>
  <c r="FL29" i="22"/>
  <c r="FM29" i="22"/>
  <c r="FN29" i="22"/>
  <c r="FO29" i="22"/>
  <c r="FP29" i="22"/>
  <c r="GL29" i="22"/>
  <c r="GM29" i="22"/>
  <c r="GN29" i="22"/>
  <c r="GO29" i="22"/>
  <c r="GP29" i="22"/>
  <c r="GQ29" i="22"/>
  <c r="GS29" i="22"/>
  <c r="GT29" i="22"/>
  <c r="GU29" i="22"/>
  <c r="GV29" i="22"/>
  <c r="GW29" i="22"/>
  <c r="GX29" i="22"/>
  <c r="HT29" i="22"/>
  <c r="HU29" i="22"/>
  <c r="HV29" i="22"/>
  <c r="HW29" i="22"/>
  <c r="HX29" i="22"/>
  <c r="HY29" i="22"/>
  <c r="IA29" i="22"/>
  <c r="IB29" i="22"/>
  <c r="IC29" i="22"/>
  <c r="ID29" i="22"/>
  <c r="IE29" i="22"/>
  <c r="IF29" i="22"/>
  <c r="JB29" i="22"/>
  <c r="JC29" i="22"/>
  <c r="JD29" i="22"/>
  <c r="JE29" i="22"/>
  <c r="JF29" i="22"/>
  <c r="JG29" i="22"/>
  <c r="JI29" i="22"/>
  <c r="JJ29" i="22"/>
  <c r="JK29" i="22"/>
  <c r="JL29" i="22"/>
  <c r="JM29" i="22"/>
  <c r="JN29" i="22"/>
  <c r="KJ29" i="22"/>
  <c r="KK29" i="22"/>
  <c r="KL29" i="22"/>
  <c r="KM29" i="22"/>
  <c r="KN29" i="22"/>
  <c r="KO29" i="22"/>
  <c r="KQ29" i="22"/>
  <c r="KR29" i="22"/>
  <c r="KS29" i="22"/>
  <c r="KT29" i="22"/>
  <c r="KU29" i="22"/>
  <c r="KV29" i="22"/>
  <c r="LR29" i="22"/>
  <c r="LS29" i="22"/>
  <c r="LT29" i="22"/>
  <c r="LU29" i="22"/>
  <c r="LV29" i="22"/>
  <c r="LW29" i="22"/>
  <c r="LY29" i="22"/>
  <c r="LZ29" i="22"/>
  <c r="MA29" i="22"/>
  <c r="MB29" i="22"/>
  <c r="MC29" i="22"/>
  <c r="MD29" i="22"/>
  <c r="MZ29" i="22"/>
  <c r="NA29" i="22"/>
  <c r="NB29" i="22"/>
  <c r="NC29" i="22"/>
  <c r="ND29" i="22"/>
  <c r="NE29" i="22"/>
  <c r="NG29" i="22"/>
  <c r="NH29" i="22"/>
  <c r="NI29" i="22"/>
  <c r="NJ29" i="22"/>
  <c r="NK29" i="22"/>
  <c r="NL29" i="22"/>
  <c r="OH29" i="22"/>
  <c r="OI29" i="22"/>
  <c r="OJ29" i="22"/>
  <c r="OK29" i="22"/>
  <c r="OL29" i="22"/>
  <c r="OM29" i="22"/>
  <c r="OO29" i="22"/>
  <c r="OP29" i="22"/>
  <c r="OQ29" i="22"/>
  <c r="OR29" i="22"/>
  <c r="OS29" i="22"/>
  <c r="OT29" i="22"/>
  <c r="PP29" i="22"/>
  <c r="PQ29" i="22"/>
  <c r="PR29" i="22"/>
  <c r="PS29" i="22"/>
  <c r="PT29" i="22"/>
  <c r="PU29" i="22"/>
  <c r="PW29" i="22"/>
  <c r="PX29" i="22"/>
  <c r="PY29" i="22"/>
  <c r="PZ29" i="22"/>
  <c r="QA29" i="22"/>
  <c r="QB29" i="22"/>
  <c r="QX29" i="22"/>
  <c r="QY29" i="22"/>
  <c r="QZ29" i="22"/>
  <c r="RA29" i="22"/>
  <c r="RB29" i="22"/>
  <c r="RC29" i="22"/>
  <c r="RE29" i="22"/>
  <c r="RF29" i="22"/>
  <c r="RG29" i="22"/>
  <c r="RH29" i="22"/>
  <c r="RI29" i="22"/>
  <c r="RJ29" i="22"/>
  <c r="SF29" i="22"/>
  <c r="SG29" i="22"/>
  <c r="SH29" i="22"/>
  <c r="SI29" i="22"/>
  <c r="SJ29" i="22"/>
  <c r="SK29" i="22"/>
  <c r="SM29" i="22"/>
  <c r="SN29" i="22"/>
  <c r="SO29" i="22"/>
  <c r="SP29" i="22"/>
  <c r="SQ29" i="22"/>
  <c r="SR29" i="22"/>
  <c r="ST29" i="22"/>
  <c r="SU29" i="22"/>
  <c r="SV29" i="22"/>
  <c r="TJ29" i="22" s="1"/>
  <c r="SW29" i="22"/>
  <c r="TK29" i="22" s="1"/>
  <c r="SX29" i="22"/>
  <c r="SY29" i="22"/>
  <c r="SZ29" i="22"/>
  <c r="TA29" i="22"/>
  <c r="TM29" i="22" s="1"/>
  <c r="TB29" i="22"/>
  <c r="TN29" i="22" s="1"/>
  <c r="TC29" i="22"/>
  <c r="TD29" i="22"/>
  <c r="TE29" i="22"/>
  <c r="TF29" i="22"/>
  <c r="TQ29" i="22" s="1"/>
  <c r="TG29" i="22"/>
  <c r="TR29" i="22" s="1"/>
  <c r="TH29" i="22"/>
  <c r="CO14" i="22"/>
  <c r="CP14" i="22"/>
  <c r="CQ14" i="22"/>
  <c r="CR14" i="22"/>
  <c r="CS14" i="22"/>
  <c r="CT14" i="22"/>
  <c r="CV14" i="22"/>
  <c r="CW14" i="22"/>
  <c r="CX14" i="22"/>
  <c r="DV14" i="22"/>
  <c r="DW14" i="22"/>
  <c r="DX14" i="22"/>
  <c r="DY14" i="22"/>
  <c r="DZ14" i="22"/>
  <c r="EA14" i="22"/>
  <c r="EC14" i="22"/>
  <c r="ED14" i="22"/>
  <c r="EE14" i="22"/>
  <c r="EF14" i="22"/>
  <c r="EG14" i="22"/>
  <c r="EH14" i="22"/>
  <c r="FD14" i="22"/>
  <c r="FE14" i="22"/>
  <c r="FF14" i="22"/>
  <c r="FG14" i="22"/>
  <c r="FH14" i="22"/>
  <c r="FI14" i="22"/>
  <c r="FK14" i="22"/>
  <c r="FL14" i="22"/>
  <c r="FM14" i="22"/>
  <c r="FN14" i="22"/>
  <c r="FO14" i="22"/>
  <c r="FP14" i="22"/>
  <c r="GL14" i="22"/>
  <c r="GM14" i="22"/>
  <c r="GN14" i="22"/>
  <c r="GO14" i="22"/>
  <c r="GP14" i="22"/>
  <c r="GQ14" i="22"/>
  <c r="GS14" i="22"/>
  <c r="GT14" i="22"/>
  <c r="GU14" i="22"/>
  <c r="GV14" i="22"/>
  <c r="GW14" i="22"/>
  <c r="GX14" i="22"/>
  <c r="HT14" i="22"/>
  <c r="HU14" i="22"/>
  <c r="HV14" i="22"/>
  <c r="HW14" i="22"/>
  <c r="HX14" i="22"/>
  <c r="HY14" i="22"/>
  <c r="IA14" i="22"/>
  <c r="IB14" i="22"/>
  <c r="IC14" i="22"/>
  <c r="ID14" i="22"/>
  <c r="IE14" i="22"/>
  <c r="IF14" i="22"/>
  <c r="JB14" i="22"/>
  <c r="JC14" i="22"/>
  <c r="JD14" i="22"/>
  <c r="JE14" i="22"/>
  <c r="JF14" i="22"/>
  <c r="JG14" i="22"/>
  <c r="JI14" i="22"/>
  <c r="JJ14" i="22"/>
  <c r="JK14" i="22"/>
  <c r="JL14" i="22"/>
  <c r="JM14" i="22"/>
  <c r="JN14" i="22"/>
  <c r="KJ14" i="22"/>
  <c r="KK14" i="22"/>
  <c r="KL14" i="22"/>
  <c r="KM14" i="22"/>
  <c r="KN14" i="22"/>
  <c r="KO14" i="22"/>
  <c r="KQ14" i="22"/>
  <c r="KR14" i="22"/>
  <c r="KS14" i="22"/>
  <c r="KT14" i="22"/>
  <c r="KU14" i="22"/>
  <c r="KV14" i="22"/>
  <c r="LR14" i="22"/>
  <c r="LS14" i="22"/>
  <c r="LT14" i="22"/>
  <c r="LU14" i="22"/>
  <c r="LV14" i="22"/>
  <c r="LW14" i="22"/>
  <c r="LY14" i="22"/>
  <c r="LZ14" i="22"/>
  <c r="MA14" i="22"/>
  <c r="MB14" i="22"/>
  <c r="MC14" i="22"/>
  <c r="MD14" i="22"/>
  <c r="MZ14" i="22"/>
  <c r="NA14" i="22"/>
  <c r="NB14" i="22"/>
  <c r="NC14" i="22"/>
  <c r="ND14" i="22"/>
  <c r="NE14" i="22"/>
  <c r="NG14" i="22"/>
  <c r="NH14" i="22"/>
  <c r="NI14" i="22"/>
  <c r="NJ14" i="22"/>
  <c r="NK14" i="22"/>
  <c r="NL14" i="22"/>
  <c r="OH14" i="22"/>
  <c r="OI14" i="22"/>
  <c r="OJ14" i="22"/>
  <c r="OK14" i="22"/>
  <c r="OL14" i="22"/>
  <c r="OM14" i="22"/>
  <c r="OO14" i="22"/>
  <c r="OP14" i="22"/>
  <c r="OQ14" i="22"/>
  <c r="OR14" i="22"/>
  <c r="OS14" i="22"/>
  <c r="OT14" i="22"/>
  <c r="PP14" i="22"/>
  <c r="PQ14" i="22"/>
  <c r="PR14" i="22"/>
  <c r="PS14" i="22"/>
  <c r="PT14" i="22"/>
  <c r="PU14" i="22"/>
  <c r="PW14" i="22"/>
  <c r="PX14" i="22"/>
  <c r="PY14" i="22"/>
  <c r="PZ14" i="22"/>
  <c r="QA14" i="22"/>
  <c r="QB14" i="22"/>
  <c r="QX14" i="22"/>
  <c r="QY14" i="22"/>
  <c r="QZ14" i="22"/>
  <c r="RA14" i="22"/>
  <c r="RB14" i="22"/>
  <c r="RC14" i="22"/>
  <c r="RE14" i="22"/>
  <c r="RF14" i="22"/>
  <c r="RG14" i="22"/>
  <c r="RH14" i="22"/>
  <c r="RI14" i="22"/>
  <c r="RJ14" i="22"/>
  <c r="SF14" i="22"/>
  <c r="SG14" i="22"/>
  <c r="SH14" i="22"/>
  <c r="SI14" i="22"/>
  <c r="SJ14" i="22"/>
  <c r="SK14" i="22"/>
  <c r="SM14" i="22"/>
  <c r="SN14" i="22"/>
  <c r="SO14" i="22"/>
  <c r="SP14" i="22"/>
  <c r="SQ14" i="22"/>
  <c r="SR14" i="22"/>
  <c r="ST14" i="22"/>
  <c r="SU14" i="22"/>
  <c r="SV14" i="22"/>
  <c r="TJ14" i="22" s="1"/>
  <c r="SW14" i="22"/>
  <c r="TK14" i="22" s="1"/>
  <c r="SX14" i="22"/>
  <c r="SY14" i="22"/>
  <c r="SZ14" i="22"/>
  <c r="TA14" i="22"/>
  <c r="TM14" i="22" s="1"/>
  <c r="TB14" i="22"/>
  <c r="TN14" i="22" s="1"/>
  <c r="TC14" i="22"/>
  <c r="TD14" i="22"/>
  <c r="TE14" i="22"/>
  <c r="TF14" i="22"/>
  <c r="TQ14" i="22" s="1"/>
  <c r="TG14" i="22"/>
  <c r="TR14" i="22" s="1"/>
  <c r="TH14" i="22"/>
  <c r="CO16" i="22"/>
  <c r="CP16" i="22"/>
  <c r="CQ16" i="22"/>
  <c r="CR16" i="22"/>
  <c r="CS16" i="22"/>
  <c r="CT16" i="22"/>
  <c r="CV16" i="22"/>
  <c r="CW16" i="22"/>
  <c r="CX16" i="22"/>
  <c r="DV16" i="22"/>
  <c r="DW16" i="22"/>
  <c r="DX16" i="22"/>
  <c r="DY16" i="22"/>
  <c r="DZ16" i="22"/>
  <c r="EA16" i="22"/>
  <c r="EC16" i="22"/>
  <c r="ED16" i="22"/>
  <c r="EE16" i="22"/>
  <c r="EF16" i="22"/>
  <c r="EG16" i="22"/>
  <c r="EH16" i="22"/>
  <c r="FD16" i="22"/>
  <c r="FE16" i="22"/>
  <c r="FF16" i="22"/>
  <c r="FG16" i="22"/>
  <c r="FH16" i="22"/>
  <c r="FI16" i="22"/>
  <c r="FK16" i="22"/>
  <c r="FL16" i="22"/>
  <c r="FM16" i="22"/>
  <c r="FN16" i="22"/>
  <c r="FO16" i="22"/>
  <c r="FP16" i="22"/>
  <c r="GL16" i="22"/>
  <c r="GM16" i="22"/>
  <c r="GN16" i="22"/>
  <c r="GO16" i="22"/>
  <c r="GP16" i="22"/>
  <c r="GQ16" i="22"/>
  <c r="GS16" i="22"/>
  <c r="GT16" i="22"/>
  <c r="GU16" i="22"/>
  <c r="GV16" i="22"/>
  <c r="GW16" i="22"/>
  <c r="GX16" i="22"/>
  <c r="HT16" i="22"/>
  <c r="HU16" i="22"/>
  <c r="HV16" i="22"/>
  <c r="HW16" i="22"/>
  <c r="HX16" i="22"/>
  <c r="HY16" i="22"/>
  <c r="IA16" i="22"/>
  <c r="IB16" i="22"/>
  <c r="IC16" i="22"/>
  <c r="ID16" i="22"/>
  <c r="IE16" i="22"/>
  <c r="IF16" i="22"/>
  <c r="JB16" i="22"/>
  <c r="JC16" i="22"/>
  <c r="JD16" i="22"/>
  <c r="JE16" i="22"/>
  <c r="JF16" i="22"/>
  <c r="JG16" i="22"/>
  <c r="JI16" i="22"/>
  <c r="JJ16" i="22"/>
  <c r="JK16" i="22"/>
  <c r="JL16" i="22"/>
  <c r="JM16" i="22"/>
  <c r="JN16" i="22"/>
  <c r="KJ16" i="22"/>
  <c r="KK16" i="22"/>
  <c r="KL16" i="22"/>
  <c r="KM16" i="22"/>
  <c r="KN16" i="22"/>
  <c r="KO16" i="22"/>
  <c r="KQ16" i="22"/>
  <c r="KR16" i="22"/>
  <c r="KS16" i="22"/>
  <c r="KT16" i="22"/>
  <c r="KU16" i="22"/>
  <c r="KV16" i="22"/>
  <c r="LR16" i="22"/>
  <c r="LS16" i="22"/>
  <c r="LT16" i="22"/>
  <c r="LU16" i="22"/>
  <c r="LV16" i="22"/>
  <c r="LW16" i="22"/>
  <c r="LY16" i="22"/>
  <c r="LZ16" i="22"/>
  <c r="MA16" i="22"/>
  <c r="MB16" i="22"/>
  <c r="MC16" i="22"/>
  <c r="MD16" i="22"/>
  <c r="MZ16" i="22"/>
  <c r="NA16" i="22"/>
  <c r="NB16" i="22"/>
  <c r="NC16" i="22"/>
  <c r="ND16" i="22"/>
  <c r="NE16" i="22"/>
  <c r="NG16" i="22"/>
  <c r="NH16" i="22"/>
  <c r="NI16" i="22"/>
  <c r="NJ16" i="22"/>
  <c r="NK16" i="22"/>
  <c r="NL16" i="22"/>
  <c r="OH16" i="22"/>
  <c r="OI16" i="22"/>
  <c r="OJ16" i="22"/>
  <c r="OK16" i="22"/>
  <c r="OL16" i="22"/>
  <c r="OM16" i="22"/>
  <c r="OO16" i="22"/>
  <c r="OP16" i="22"/>
  <c r="OQ16" i="22"/>
  <c r="OR16" i="22"/>
  <c r="OS16" i="22"/>
  <c r="OT16" i="22"/>
  <c r="PP16" i="22"/>
  <c r="PQ16" i="22"/>
  <c r="PR16" i="22"/>
  <c r="PS16" i="22"/>
  <c r="PT16" i="22"/>
  <c r="PU16" i="22"/>
  <c r="PW16" i="22"/>
  <c r="PX16" i="22"/>
  <c r="PY16" i="22"/>
  <c r="PZ16" i="22"/>
  <c r="QA16" i="22"/>
  <c r="QB16" i="22"/>
  <c r="QX16" i="22"/>
  <c r="QY16" i="22"/>
  <c r="QZ16" i="22"/>
  <c r="RA16" i="22"/>
  <c r="RB16" i="22"/>
  <c r="RC16" i="22"/>
  <c r="RE16" i="22"/>
  <c r="RF16" i="22"/>
  <c r="RG16" i="22"/>
  <c r="RH16" i="22"/>
  <c r="RI16" i="22"/>
  <c r="RJ16" i="22"/>
  <c r="SF16" i="22"/>
  <c r="SG16" i="22"/>
  <c r="SH16" i="22"/>
  <c r="SI16" i="22"/>
  <c r="SJ16" i="22"/>
  <c r="SK16" i="22"/>
  <c r="SM16" i="22"/>
  <c r="SN16" i="22"/>
  <c r="SO16" i="22"/>
  <c r="SP16" i="22"/>
  <c r="SQ16" i="22"/>
  <c r="SR16" i="22"/>
  <c r="ST16" i="22"/>
  <c r="SU16" i="22"/>
  <c r="SV16" i="22"/>
  <c r="TJ16" i="22" s="1"/>
  <c r="SW16" i="22"/>
  <c r="TK16" i="22" s="1"/>
  <c r="SX16" i="22"/>
  <c r="SY16" i="22"/>
  <c r="SZ16" i="22"/>
  <c r="TA16" i="22"/>
  <c r="TM16" i="22" s="1"/>
  <c r="TB16" i="22"/>
  <c r="TN16" i="22" s="1"/>
  <c r="TC16" i="22"/>
  <c r="TD16" i="22"/>
  <c r="TE16" i="22"/>
  <c r="TF16" i="22"/>
  <c r="TQ16" i="22" s="1"/>
  <c r="TG16" i="22"/>
  <c r="TR16" i="22" s="1"/>
  <c r="TH16" i="22"/>
  <c r="CO22" i="22"/>
  <c r="CP22" i="22"/>
  <c r="CQ22" i="22"/>
  <c r="CR22" i="22"/>
  <c r="CS22" i="22"/>
  <c r="CT22" i="22"/>
  <c r="CV22" i="22"/>
  <c r="CW22" i="22"/>
  <c r="CX22" i="22"/>
  <c r="DV22" i="22"/>
  <c r="DW22" i="22"/>
  <c r="DX22" i="22"/>
  <c r="DY22" i="22"/>
  <c r="DZ22" i="22"/>
  <c r="EA22" i="22"/>
  <c r="EC22" i="22"/>
  <c r="ED22" i="22"/>
  <c r="EE22" i="22"/>
  <c r="EF22" i="22"/>
  <c r="EG22" i="22"/>
  <c r="EH22" i="22"/>
  <c r="FD22" i="22"/>
  <c r="FE22" i="22"/>
  <c r="FF22" i="22"/>
  <c r="FG22" i="22"/>
  <c r="FH22" i="22"/>
  <c r="FI22" i="22"/>
  <c r="FK22" i="22"/>
  <c r="FL22" i="22"/>
  <c r="FM22" i="22"/>
  <c r="FN22" i="22"/>
  <c r="FO22" i="22"/>
  <c r="FP22" i="22"/>
  <c r="GL22" i="22"/>
  <c r="GM22" i="22"/>
  <c r="GN22" i="22"/>
  <c r="GO22" i="22"/>
  <c r="GP22" i="22"/>
  <c r="GQ22" i="22"/>
  <c r="GS22" i="22"/>
  <c r="GT22" i="22"/>
  <c r="GU22" i="22"/>
  <c r="GV22" i="22"/>
  <c r="GW22" i="22"/>
  <c r="GX22" i="22"/>
  <c r="HT22" i="22"/>
  <c r="HU22" i="22"/>
  <c r="HV22" i="22"/>
  <c r="HW22" i="22"/>
  <c r="HX22" i="22"/>
  <c r="HY22" i="22"/>
  <c r="IA22" i="22"/>
  <c r="IB22" i="22"/>
  <c r="IC22" i="22"/>
  <c r="ID22" i="22"/>
  <c r="IE22" i="22"/>
  <c r="IF22" i="22"/>
  <c r="JB22" i="22"/>
  <c r="JC22" i="22"/>
  <c r="JD22" i="22"/>
  <c r="JE22" i="22"/>
  <c r="JF22" i="22"/>
  <c r="JG22" i="22"/>
  <c r="JI22" i="22"/>
  <c r="JJ22" i="22"/>
  <c r="JK22" i="22"/>
  <c r="JL22" i="22"/>
  <c r="JM22" i="22"/>
  <c r="JN22" i="22"/>
  <c r="KJ22" i="22"/>
  <c r="KK22" i="22"/>
  <c r="KL22" i="22"/>
  <c r="KM22" i="22"/>
  <c r="KN22" i="22"/>
  <c r="KO22" i="22"/>
  <c r="KQ22" i="22"/>
  <c r="KR22" i="22"/>
  <c r="KS22" i="22"/>
  <c r="KT22" i="22"/>
  <c r="KU22" i="22"/>
  <c r="KV22" i="22"/>
  <c r="LR22" i="22"/>
  <c r="LS22" i="22"/>
  <c r="LT22" i="22"/>
  <c r="LU22" i="22"/>
  <c r="LV22" i="22"/>
  <c r="LW22" i="22"/>
  <c r="LY22" i="22"/>
  <c r="LZ22" i="22"/>
  <c r="MA22" i="22"/>
  <c r="MB22" i="22"/>
  <c r="MC22" i="22"/>
  <c r="MD22" i="22"/>
  <c r="MZ22" i="22"/>
  <c r="NA22" i="22"/>
  <c r="NB22" i="22"/>
  <c r="NC22" i="22"/>
  <c r="ND22" i="22"/>
  <c r="NE22" i="22"/>
  <c r="NG22" i="22"/>
  <c r="NH22" i="22"/>
  <c r="NI22" i="22"/>
  <c r="NJ22" i="22"/>
  <c r="NK22" i="22"/>
  <c r="NL22" i="22"/>
  <c r="OH22" i="22"/>
  <c r="OI22" i="22"/>
  <c r="OJ22" i="22"/>
  <c r="OK22" i="22"/>
  <c r="OL22" i="22"/>
  <c r="OM22" i="22"/>
  <c r="OO22" i="22"/>
  <c r="OP22" i="22"/>
  <c r="OQ22" i="22"/>
  <c r="OR22" i="22"/>
  <c r="OS22" i="22"/>
  <c r="OT22" i="22"/>
  <c r="PP22" i="22"/>
  <c r="PQ22" i="22"/>
  <c r="PR22" i="22"/>
  <c r="PS22" i="22"/>
  <c r="PT22" i="22"/>
  <c r="PU22" i="22"/>
  <c r="PW22" i="22"/>
  <c r="PX22" i="22"/>
  <c r="PY22" i="22"/>
  <c r="PZ22" i="22"/>
  <c r="QA22" i="22"/>
  <c r="QB22" i="22"/>
  <c r="QX22" i="22"/>
  <c r="QY22" i="22"/>
  <c r="QZ22" i="22"/>
  <c r="RA22" i="22"/>
  <c r="RB22" i="22"/>
  <c r="RC22" i="22"/>
  <c r="RE22" i="22"/>
  <c r="RF22" i="22"/>
  <c r="RG22" i="22"/>
  <c r="RH22" i="22"/>
  <c r="RI22" i="22"/>
  <c r="RJ22" i="22"/>
  <c r="SF22" i="22"/>
  <c r="SG22" i="22"/>
  <c r="SH22" i="22"/>
  <c r="SI22" i="22"/>
  <c r="SJ22" i="22"/>
  <c r="SK22" i="22"/>
  <c r="SM22" i="22"/>
  <c r="SN22" i="22"/>
  <c r="SO22" i="22"/>
  <c r="SP22" i="22"/>
  <c r="SQ22" i="22"/>
  <c r="SR22" i="22"/>
  <c r="ST22" i="22"/>
  <c r="SU22" i="22"/>
  <c r="SV22" i="22"/>
  <c r="SW22" i="22"/>
  <c r="TK22" i="22" s="1"/>
  <c r="SX22" i="22"/>
  <c r="SY22" i="22"/>
  <c r="SZ22" i="22"/>
  <c r="TA22" i="22"/>
  <c r="TM22" i="22" s="1"/>
  <c r="TB22" i="22"/>
  <c r="TN22" i="22" s="1"/>
  <c r="TC22" i="22"/>
  <c r="TD22" i="22"/>
  <c r="TE22" i="22"/>
  <c r="TF22" i="22"/>
  <c r="TQ22" i="22" s="1"/>
  <c r="TG22" i="22"/>
  <c r="TR22" i="22" s="1"/>
  <c r="TH22" i="22"/>
  <c r="CO21" i="22"/>
  <c r="CP21" i="22"/>
  <c r="CQ21" i="22"/>
  <c r="CR21" i="22"/>
  <c r="CS21" i="22"/>
  <c r="CT21" i="22"/>
  <c r="CV21" i="22"/>
  <c r="CW21" i="22"/>
  <c r="CX21" i="22"/>
  <c r="DV21" i="22"/>
  <c r="DW21" i="22"/>
  <c r="DX21" i="22"/>
  <c r="DY21" i="22"/>
  <c r="DZ21" i="22"/>
  <c r="EA21" i="22"/>
  <c r="EC21" i="22"/>
  <c r="ED21" i="22"/>
  <c r="EE21" i="22"/>
  <c r="EF21" i="22"/>
  <c r="EG21" i="22"/>
  <c r="EH21" i="22"/>
  <c r="FD21" i="22"/>
  <c r="FE21" i="22"/>
  <c r="FF21" i="22"/>
  <c r="FG21" i="22"/>
  <c r="FH21" i="22"/>
  <c r="FI21" i="22"/>
  <c r="FK21" i="22"/>
  <c r="FL21" i="22"/>
  <c r="FM21" i="22"/>
  <c r="FN21" i="22"/>
  <c r="FO21" i="22"/>
  <c r="FP21" i="22"/>
  <c r="GL21" i="22"/>
  <c r="GM21" i="22"/>
  <c r="GN21" i="22"/>
  <c r="GO21" i="22"/>
  <c r="GP21" i="22"/>
  <c r="GQ21" i="22"/>
  <c r="GS21" i="22"/>
  <c r="GT21" i="22"/>
  <c r="GU21" i="22"/>
  <c r="GV21" i="22"/>
  <c r="GW21" i="22"/>
  <c r="GX21" i="22"/>
  <c r="HT21" i="22"/>
  <c r="HU21" i="22"/>
  <c r="HV21" i="22"/>
  <c r="HW21" i="22"/>
  <c r="HX21" i="22"/>
  <c r="HY21" i="22"/>
  <c r="IA21" i="22"/>
  <c r="IB21" i="22"/>
  <c r="IC21" i="22"/>
  <c r="ID21" i="22"/>
  <c r="IE21" i="22"/>
  <c r="IF21" i="22"/>
  <c r="JB21" i="22"/>
  <c r="JC21" i="22"/>
  <c r="JD21" i="22"/>
  <c r="JE21" i="22"/>
  <c r="JF21" i="22"/>
  <c r="JG21" i="22"/>
  <c r="JI21" i="22"/>
  <c r="JJ21" i="22"/>
  <c r="JK21" i="22"/>
  <c r="JL21" i="22"/>
  <c r="JM21" i="22"/>
  <c r="JN21" i="22"/>
  <c r="KJ21" i="22"/>
  <c r="KK21" i="22"/>
  <c r="KL21" i="22"/>
  <c r="KM21" i="22"/>
  <c r="KN21" i="22"/>
  <c r="KO21" i="22"/>
  <c r="KQ21" i="22"/>
  <c r="KR21" i="22"/>
  <c r="KS21" i="22"/>
  <c r="KT21" i="22"/>
  <c r="KU21" i="22"/>
  <c r="KV21" i="22"/>
  <c r="LR21" i="22"/>
  <c r="LS21" i="22"/>
  <c r="LT21" i="22"/>
  <c r="LU21" i="22"/>
  <c r="LV21" i="22"/>
  <c r="LW21" i="22"/>
  <c r="LY21" i="22"/>
  <c r="LZ21" i="22"/>
  <c r="MA21" i="22"/>
  <c r="MB21" i="22"/>
  <c r="MC21" i="22"/>
  <c r="MD21" i="22"/>
  <c r="MZ21" i="22"/>
  <c r="NA21" i="22"/>
  <c r="NB21" i="22"/>
  <c r="NC21" i="22"/>
  <c r="ND21" i="22"/>
  <c r="NE21" i="22"/>
  <c r="NG21" i="22"/>
  <c r="NH21" i="22"/>
  <c r="NI21" i="22"/>
  <c r="NJ21" i="22"/>
  <c r="NK21" i="22"/>
  <c r="NL21" i="22"/>
  <c r="OH21" i="22"/>
  <c r="OI21" i="22"/>
  <c r="OJ21" i="22"/>
  <c r="OK21" i="22"/>
  <c r="OL21" i="22"/>
  <c r="OM21" i="22"/>
  <c r="OO21" i="22"/>
  <c r="OP21" i="22"/>
  <c r="OQ21" i="22"/>
  <c r="OR21" i="22"/>
  <c r="OS21" i="22"/>
  <c r="OT21" i="22"/>
  <c r="PP21" i="22"/>
  <c r="PQ21" i="22"/>
  <c r="PR21" i="22"/>
  <c r="PS21" i="22"/>
  <c r="PT21" i="22"/>
  <c r="PU21" i="22"/>
  <c r="PW21" i="22"/>
  <c r="PX21" i="22"/>
  <c r="PY21" i="22"/>
  <c r="PZ21" i="22"/>
  <c r="QA21" i="22"/>
  <c r="QB21" i="22"/>
  <c r="QX21" i="22"/>
  <c r="QY21" i="22"/>
  <c r="QZ21" i="22"/>
  <c r="RA21" i="22"/>
  <c r="RB21" i="22"/>
  <c r="RC21" i="22"/>
  <c r="RE21" i="22"/>
  <c r="RF21" i="22"/>
  <c r="RG21" i="22"/>
  <c r="RH21" i="22"/>
  <c r="RI21" i="22"/>
  <c r="RJ21" i="22"/>
  <c r="SF21" i="22"/>
  <c r="SG21" i="22"/>
  <c r="SH21" i="22"/>
  <c r="SI21" i="22"/>
  <c r="SJ21" i="22"/>
  <c r="SK21" i="22"/>
  <c r="SM21" i="22"/>
  <c r="SN21" i="22"/>
  <c r="SO21" i="22"/>
  <c r="SP21" i="22"/>
  <c r="SQ21" i="22"/>
  <c r="SR21" i="22"/>
  <c r="ST21" i="22"/>
  <c r="SU21" i="22"/>
  <c r="SV21" i="22"/>
  <c r="TJ21" i="22" s="1"/>
  <c r="SW21" i="22"/>
  <c r="TK21" i="22" s="1"/>
  <c r="SX21" i="22"/>
  <c r="SY21" i="22"/>
  <c r="SZ21" i="22"/>
  <c r="TA21" i="22"/>
  <c r="TM21" i="22" s="1"/>
  <c r="TB21" i="22"/>
  <c r="TN21" i="22" s="1"/>
  <c r="TC21" i="22"/>
  <c r="TD21" i="22"/>
  <c r="TE21" i="22"/>
  <c r="TF21" i="22"/>
  <c r="TQ21" i="22" s="1"/>
  <c r="TG21" i="22"/>
  <c r="TR21" i="22" s="1"/>
  <c r="TH21" i="22"/>
  <c r="CO11" i="22"/>
  <c r="CP11" i="22"/>
  <c r="CQ11" i="22"/>
  <c r="CR11" i="22"/>
  <c r="CS11" i="22"/>
  <c r="CT11" i="22"/>
  <c r="CV11" i="22"/>
  <c r="CW11" i="22"/>
  <c r="CX11" i="22"/>
  <c r="DV11" i="22"/>
  <c r="DW11" i="22"/>
  <c r="DX11" i="22"/>
  <c r="DY11" i="22"/>
  <c r="DZ11" i="22"/>
  <c r="EA11" i="22"/>
  <c r="EC11" i="22"/>
  <c r="ED11" i="22"/>
  <c r="EE11" i="22"/>
  <c r="EF11" i="22"/>
  <c r="EG11" i="22"/>
  <c r="EH11" i="22"/>
  <c r="FD11" i="22"/>
  <c r="FE11" i="22"/>
  <c r="FF11" i="22"/>
  <c r="FG11" i="22"/>
  <c r="FH11" i="22"/>
  <c r="FI11" i="22"/>
  <c r="FK11" i="22"/>
  <c r="FL11" i="22"/>
  <c r="FM11" i="22"/>
  <c r="FN11" i="22"/>
  <c r="FO11" i="22"/>
  <c r="FP11" i="22"/>
  <c r="GL11" i="22"/>
  <c r="GM11" i="22"/>
  <c r="GN11" i="22"/>
  <c r="GO11" i="22"/>
  <c r="GP11" i="22"/>
  <c r="GQ11" i="22"/>
  <c r="GS11" i="22"/>
  <c r="GT11" i="22"/>
  <c r="GU11" i="22"/>
  <c r="GV11" i="22"/>
  <c r="GW11" i="22"/>
  <c r="GX11" i="22"/>
  <c r="HT11" i="22"/>
  <c r="HU11" i="22"/>
  <c r="HV11" i="22"/>
  <c r="HW11" i="22"/>
  <c r="HX11" i="22"/>
  <c r="HY11" i="22"/>
  <c r="IA11" i="22"/>
  <c r="IB11" i="22"/>
  <c r="IC11" i="22"/>
  <c r="ID11" i="22"/>
  <c r="IE11" i="22"/>
  <c r="IF11" i="22"/>
  <c r="JB11" i="22"/>
  <c r="JC11" i="22"/>
  <c r="JD11" i="22"/>
  <c r="JE11" i="22"/>
  <c r="JF11" i="22"/>
  <c r="JG11" i="22"/>
  <c r="JI11" i="22"/>
  <c r="JJ11" i="22"/>
  <c r="JK11" i="22"/>
  <c r="JL11" i="22"/>
  <c r="JM11" i="22"/>
  <c r="JN11" i="22"/>
  <c r="KJ11" i="22"/>
  <c r="KK11" i="22"/>
  <c r="KL11" i="22"/>
  <c r="KM11" i="22"/>
  <c r="KN11" i="22"/>
  <c r="KO11" i="22"/>
  <c r="KQ11" i="22"/>
  <c r="KR11" i="22"/>
  <c r="KS11" i="22"/>
  <c r="KT11" i="22"/>
  <c r="KU11" i="22"/>
  <c r="KV11" i="22"/>
  <c r="LR11" i="22"/>
  <c r="LS11" i="22"/>
  <c r="LT11" i="22"/>
  <c r="LU11" i="22"/>
  <c r="LV11" i="22"/>
  <c r="LW11" i="22"/>
  <c r="LY11" i="22"/>
  <c r="LZ11" i="22"/>
  <c r="MA11" i="22"/>
  <c r="MB11" i="22"/>
  <c r="MC11" i="22"/>
  <c r="MD11" i="22"/>
  <c r="MZ11" i="22"/>
  <c r="NA11" i="22"/>
  <c r="NB11" i="22"/>
  <c r="NC11" i="22"/>
  <c r="ND11" i="22"/>
  <c r="NE11" i="22"/>
  <c r="NG11" i="22"/>
  <c r="NH11" i="22"/>
  <c r="NI11" i="22"/>
  <c r="NJ11" i="22"/>
  <c r="NK11" i="22"/>
  <c r="NL11" i="22"/>
  <c r="OH11" i="22"/>
  <c r="OI11" i="22"/>
  <c r="OJ11" i="22"/>
  <c r="OK11" i="22"/>
  <c r="OL11" i="22"/>
  <c r="OM11" i="22"/>
  <c r="OO11" i="22"/>
  <c r="OP11" i="22"/>
  <c r="OQ11" i="22"/>
  <c r="OR11" i="22"/>
  <c r="OS11" i="22"/>
  <c r="OT11" i="22"/>
  <c r="PP11" i="22"/>
  <c r="PQ11" i="22"/>
  <c r="PR11" i="22"/>
  <c r="PS11" i="22"/>
  <c r="PT11" i="22"/>
  <c r="PU11" i="22"/>
  <c r="PW11" i="22"/>
  <c r="PX11" i="22"/>
  <c r="PY11" i="22"/>
  <c r="PZ11" i="22"/>
  <c r="QA11" i="22"/>
  <c r="QB11" i="22"/>
  <c r="QX11" i="22"/>
  <c r="QY11" i="22"/>
  <c r="QZ11" i="22"/>
  <c r="RA11" i="22"/>
  <c r="RB11" i="22"/>
  <c r="RC11" i="22"/>
  <c r="RE11" i="22"/>
  <c r="RF11" i="22"/>
  <c r="RG11" i="22"/>
  <c r="RH11" i="22"/>
  <c r="RI11" i="22"/>
  <c r="RJ11" i="22"/>
  <c r="SF11" i="22"/>
  <c r="SG11" i="22"/>
  <c r="SH11" i="22"/>
  <c r="SI11" i="22"/>
  <c r="SJ11" i="22"/>
  <c r="SK11" i="22"/>
  <c r="SM11" i="22"/>
  <c r="SN11" i="22"/>
  <c r="SO11" i="22"/>
  <c r="SP11" i="22"/>
  <c r="SQ11" i="22"/>
  <c r="SR11" i="22"/>
  <c r="ST11" i="22"/>
  <c r="SU11" i="22"/>
  <c r="SV11" i="22"/>
  <c r="TJ11" i="22" s="1"/>
  <c r="SW11" i="22"/>
  <c r="TK11" i="22" s="1"/>
  <c r="SX11" i="22"/>
  <c r="SY11" i="22"/>
  <c r="SZ11" i="22"/>
  <c r="TA11" i="22"/>
  <c r="TM11" i="22" s="1"/>
  <c r="TB11" i="22"/>
  <c r="TN11" i="22" s="1"/>
  <c r="TC11" i="22"/>
  <c r="TD11" i="22"/>
  <c r="TE11" i="22"/>
  <c r="TF11" i="22"/>
  <c r="TQ11" i="22" s="1"/>
  <c r="TG11" i="22"/>
  <c r="TR11" i="22" s="1"/>
  <c r="TH11" i="22"/>
  <c r="CO4" i="4"/>
  <c r="CP4" i="4"/>
  <c r="CQ4" i="4"/>
  <c r="CR4" i="4"/>
  <c r="CS4" i="4"/>
  <c r="CT4" i="4"/>
  <c r="CV4" i="4"/>
  <c r="CW4" i="4"/>
  <c r="CX4" i="4"/>
  <c r="DV4" i="4"/>
  <c r="DW4" i="4"/>
  <c r="DX4" i="4"/>
  <c r="DY4" i="4"/>
  <c r="DZ4" i="4"/>
  <c r="EA4" i="4"/>
  <c r="EC4" i="4"/>
  <c r="ED4" i="4"/>
  <c r="EE4" i="4"/>
  <c r="EF4" i="4"/>
  <c r="EG4" i="4"/>
  <c r="EH4" i="4"/>
  <c r="FD4" i="4"/>
  <c r="FE4" i="4"/>
  <c r="FF4" i="4"/>
  <c r="FG4" i="4"/>
  <c r="FH4" i="4"/>
  <c r="FI4" i="4"/>
  <c r="FK4" i="4"/>
  <c r="FL4" i="4"/>
  <c r="FM4" i="4"/>
  <c r="FN4" i="4"/>
  <c r="FO4" i="4"/>
  <c r="FP4" i="4"/>
  <c r="GL4" i="4"/>
  <c r="GM4" i="4"/>
  <c r="GN4" i="4"/>
  <c r="GO4" i="4"/>
  <c r="GP4" i="4"/>
  <c r="GQ4" i="4"/>
  <c r="GS4" i="4"/>
  <c r="GT4" i="4"/>
  <c r="GU4" i="4"/>
  <c r="GV4" i="4"/>
  <c r="GW4" i="4"/>
  <c r="GX4" i="4"/>
  <c r="HT4" i="4"/>
  <c r="HU4" i="4"/>
  <c r="HV4" i="4"/>
  <c r="HW4" i="4"/>
  <c r="HX4" i="4"/>
  <c r="HY4" i="4"/>
  <c r="IA4" i="4"/>
  <c r="IB4" i="4"/>
  <c r="IC4" i="4"/>
  <c r="ID4" i="4"/>
  <c r="IE4" i="4"/>
  <c r="IF4" i="4"/>
  <c r="JB4" i="4"/>
  <c r="JC4" i="4"/>
  <c r="JD4" i="4"/>
  <c r="JE4" i="4"/>
  <c r="JF4" i="4"/>
  <c r="JG4" i="4"/>
  <c r="JI4" i="4"/>
  <c r="JJ4" i="4"/>
  <c r="JK4" i="4"/>
  <c r="JL4" i="4"/>
  <c r="JM4" i="4"/>
  <c r="JN4" i="4"/>
  <c r="KJ4" i="4"/>
  <c r="KK4" i="4"/>
  <c r="KL4" i="4"/>
  <c r="KM4" i="4"/>
  <c r="KN4" i="4"/>
  <c r="KO4" i="4"/>
  <c r="KQ4" i="4"/>
  <c r="KR4" i="4"/>
  <c r="KS4" i="4"/>
  <c r="KT4" i="4"/>
  <c r="KU4" i="4"/>
  <c r="KV4" i="4"/>
  <c r="LR4" i="4"/>
  <c r="LS4" i="4"/>
  <c r="LT4" i="4"/>
  <c r="LU4" i="4"/>
  <c r="LV4" i="4"/>
  <c r="LW4" i="4"/>
  <c r="LY4" i="4"/>
  <c r="LZ4" i="4"/>
  <c r="MA4" i="4"/>
  <c r="MB4" i="4"/>
  <c r="MC4" i="4"/>
  <c r="MD4" i="4"/>
  <c r="MZ4" i="4"/>
  <c r="NA4" i="4"/>
  <c r="NB4" i="4"/>
  <c r="NC4" i="4"/>
  <c r="ND4" i="4"/>
  <c r="NE4" i="4"/>
  <c r="NG4" i="4"/>
  <c r="NH4" i="4"/>
  <c r="NI4" i="4"/>
  <c r="NJ4" i="4"/>
  <c r="NK4" i="4"/>
  <c r="NL4" i="4"/>
  <c r="OH4" i="4"/>
  <c r="OI4" i="4"/>
  <c r="OJ4" i="4"/>
  <c r="OK4" i="4"/>
  <c r="OL4" i="4"/>
  <c r="OM4" i="4"/>
  <c r="OO4" i="4"/>
  <c r="OP4" i="4"/>
  <c r="OQ4" i="4"/>
  <c r="OR4" i="4"/>
  <c r="OS4" i="4"/>
  <c r="OT4" i="4"/>
  <c r="PP4" i="4"/>
  <c r="PQ4" i="4"/>
  <c r="PR4" i="4"/>
  <c r="PS4" i="4"/>
  <c r="PT4" i="4"/>
  <c r="PU4" i="4"/>
  <c r="PW4" i="4"/>
  <c r="PX4" i="4"/>
  <c r="PY4" i="4"/>
  <c r="PZ4" i="4"/>
  <c r="QA4" i="4"/>
  <c r="QB4" i="4"/>
  <c r="QX4" i="4"/>
  <c r="QY4" i="4"/>
  <c r="QZ4" i="4"/>
  <c r="RA4" i="4"/>
  <c r="RB4" i="4"/>
  <c r="RC4" i="4"/>
  <c r="RE4" i="4"/>
  <c r="RF4" i="4"/>
  <c r="RG4" i="4"/>
  <c r="RH4" i="4"/>
  <c r="RI4" i="4"/>
  <c r="RJ4" i="4"/>
  <c r="SF4" i="4"/>
  <c r="SG4" i="4"/>
  <c r="SH4" i="4"/>
  <c r="SI4" i="4"/>
  <c r="SJ4" i="4"/>
  <c r="SK4" i="4"/>
  <c r="SM4" i="4"/>
  <c r="SN4" i="4"/>
  <c r="SO4" i="4"/>
  <c r="SP4" i="4"/>
  <c r="SQ4" i="4"/>
  <c r="SR4" i="4"/>
  <c r="ST4" i="4"/>
  <c r="SU4" i="4"/>
  <c r="SV4" i="4"/>
  <c r="TJ4" i="4" s="1"/>
  <c r="SW4" i="4"/>
  <c r="TK4" i="4" s="1"/>
  <c r="SX4" i="4"/>
  <c r="SY4" i="4"/>
  <c r="SZ4" i="4"/>
  <c r="TA4" i="4"/>
  <c r="TM4" i="4" s="1"/>
  <c r="TB4" i="4"/>
  <c r="TN4" i="4" s="1"/>
  <c r="TC4" i="4"/>
  <c r="TD4" i="4"/>
  <c r="TE4" i="4"/>
  <c r="TF4" i="4"/>
  <c r="TQ4" i="4" s="1"/>
  <c r="TG4" i="4"/>
  <c r="TR4" i="4" s="1"/>
  <c r="TH4" i="4"/>
  <c r="CO5" i="4"/>
  <c r="CP5" i="4"/>
  <c r="CQ5" i="4"/>
  <c r="CR5" i="4"/>
  <c r="CS5" i="4"/>
  <c r="CT5" i="4"/>
  <c r="CV5" i="4"/>
  <c r="CW5" i="4"/>
  <c r="CX5" i="4"/>
  <c r="DV5" i="4"/>
  <c r="DW5" i="4"/>
  <c r="DX5" i="4"/>
  <c r="DY5" i="4"/>
  <c r="DZ5" i="4"/>
  <c r="EA5" i="4"/>
  <c r="EC5" i="4"/>
  <c r="ED5" i="4"/>
  <c r="EE5" i="4"/>
  <c r="EF5" i="4"/>
  <c r="EG5" i="4"/>
  <c r="EH5" i="4"/>
  <c r="FD5" i="4"/>
  <c r="FE5" i="4"/>
  <c r="FF5" i="4"/>
  <c r="FG5" i="4"/>
  <c r="FH5" i="4"/>
  <c r="FI5" i="4"/>
  <c r="FK5" i="4"/>
  <c r="FL5" i="4"/>
  <c r="FM5" i="4"/>
  <c r="FN5" i="4"/>
  <c r="FO5" i="4"/>
  <c r="FP5" i="4"/>
  <c r="GL5" i="4"/>
  <c r="GM5" i="4"/>
  <c r="GN5" i="4"/>
  <c r="GO5" i="4"/>
  <c r="GP5" i="4"/>
  <c r="GQ5" i="4"/>
  <c r="GS5" i="4"/>
  <c r="GT5" i="4"/>
  <c r="GU5" i="4"/>
  <c r="GV5" i="4"/>
  <c r="GW5" i="4"/>
  <c r="GX5" i="4"/>
  <c r="HT5" i="4"/>
  <c r="HU5" i="4"/>
  <c r="HV5" i="4"/>
  <c r="HW5" i="4"/>
  <c r="HX5" i="4"/>
  <c r="HY5" i="4"/>
  <c r="IA5" i="4"/>
  <c r="IB5" i="4"/>
  <c r="IC5" i="4"/>
  <c r="ID5" i="4"/>
  <c r="IE5" i="4"/>
  <c r="IF5" i="4"/>
  <c r="JB5" i="4"/>
  <c r="JC5" i="4"/>
  <c r="JD5" i="4"/>
  <c r="JE5" i="4"/>
  <c r="JF5" i="4"/>
  <c r="JG5" i="4"/>
  <c r="JI5" i="4"/>
  <c r="JJ5" i="4"/>
  <c r="JK5" i="4"/>
  <c r="JL5" i="4"/>
  <c r="JM5" i="4"/>
  <c r="JN5" i="4"/>
  <c r="KJ5" i="4"/>
  <c r="KK5" i="4"/>
  <c r="KL5" i="4"/>
  <c r="KM5" i="4"/>
  <c r="KN5" i="4"/>
  <c r="KO5" i="4"/>
  <c r="KQ5" i="4"/>
  <c r="KR5" i="4"/>
  <c r="KS5" i="4"/>
  <c r="KT5" i="4"/>
  <c r="KU5" i="4"/>
  <c r="KV5" i="4"/>
  <c r="LR5" i="4"/>
  <c r="LS5" i="4"/>
  <c r="LT5" i="4"/>
  <c r="LU5" i="4"/>
  <c r="LV5" i="4"/>
  <c r="LW5" i="4"/>
  <c r="LY5" i="4"/>
  <c r="LZ5" i="4"/>
  <c r="MA5" i="4"/>
  <c r="MB5" i="4"/>
  <c r="MC5" i="4"/>
  <c r="MD5" i="4"/>
  <c r="MZ5" i="4"/>
  <c r="NA5" i="4"/>
  <c r="NB5" i="4"/>
  <c r="NC5" i="4"/>
  <c r="ND5" i="4"/>
  <c r="NE5" i="4"/>
  <c r="NG5" i="4"/>
  <c r="NH5" i="4"/>
  <c r="NI5" i="4"/>
  <c r="NJ5" i="4"/>
  <c r="NK5" i="4"/>
  <c r="NL5" i="4"/>
  <c r="OH5" i="4"/>
  <c r="OI5" i="4"/>
  <c r="OJ5" i="4"/>
  <c r="OK5" i="4"/>
  <c r="OL5" i="4"/>
  <c r="OM5" i="4"/>
  <c r="OO5" i="4"/>
  <c r="OP5" i="4"/>
  <c r="OQ5" i="4"/>
  <c r="OR5" i="4"/>
  <c r="OS5" i="4"/>
  <c r="OT5" i="4"/>
  <c r="PP5" i="4"/>
  <c r="PQ5" i="4"/>
  <c r="PR5" i="4"/>
  <c r="PS5" i="4"/>
  <c r="PT5" i="4"/>
  <c r="PU5" i="4"/>
  <c r="PW5" i="4"/>
  <c r="PX5" i="4"/>
  <c r="PY5" i="4"/>
  <c r="PZ5" i="4"/>
  <c r="QA5" i="4"/>
  <c r="QB5" i="4"/>
  <c r="QX5" i="4"/>
  <c r="QY5" i="4"/>
  <c r="QZ5" i="4"/>
  <c r="RA5" i="4"/>
  <c r="RB5" i="4"/>
  <c r="RC5" i="4"/>
  <c r="RE5" i="4"/>
  <c r="RF5" i="4"/>
  <c r="RG5" i="4"/>
  <c r="RH5" i="4"/>
  <c r="RI5" i="4"/>
  <c r="RJ5" i="4"/>
  <c r="SF5" i="4"/>
  <c r="SG5" i="4"/>
  <c r="SH5" i="4"/>
  <c r="SI5" i="4"/>
  <c r="SJ5" i="4"/>
  <c r="SK5" i="4"/>
  <c r="SM5" i="4"/>
  <c r="SN5" i="4"/>
  <c r="SO5" i="4"/>
  <c r="SP5" i="4"/>
  <c r="SQ5" i="4"/>
  <c r="SR5" i="4"/>
  <c r="ST5" i="4"/>
  <c r="SU5" i="4"/>
  <c r="SV5" i="4"/>
  <c r="TJ5" i="4" s="1"/>
  <c r="SW5" i="4"/>
  <c r="TK5" i="4" s="1"/>
  <c r="SX5" i="4"/>
  <c r="SY5" i="4"/>
  <c r="SZ5" i="4"/>
  <c r="TA5" i="4"/>
  <c r="TB5" i="4"/>
  <c r="TN5" i="4" s="1"/>
  <c r="TC5" i="4"/>
  <c r="TD5" i="4"/>
  <c r="TE5" i="4"/>
  <c r="TF5" i="4"/>
  <c r="TQ5" i="4" s="1"/>
  <c r="TG5" i="4"/>
  <c r="TR5" i="4" s="1"/>
  <c r="TH5" i="4"/>
  <c r="CO6" i="4"/>
  <c r="CP6" i="4"/>
  <c r="CQ6" i="4"/>
  <c r="CR6" i="4"/>
  <c r="CS6" i="4"/>
  <c r="CT6" i="4"/>
  <c r="CV6" i="4"/>
  <c r="CW6" i="4"/>
  <c r="CX6" i="4"/>
  <c r="DV6" i="4"/>
  <c r="DW6" i="4"/>
  <c r="DX6" i="4"/>
  <c r="DY6" i="4"/>
  <c r="DZ6" i="4"/>
  <c r="EA6" i="4"/>
  <c r="EC6" i="4"/>
  <c r="ED6" i="4"/>
  <c r="EE6" i="4"/>
  <c r="EF6" i="4"/>
  <c r="EG6" i="4"/>
  <c r="EH6" i="4"/>
  <c r="FD6" i="4"/>
  <c r="FE6" i="4"/>
  <c r="FF6" i="4"/>
  <c r="FG6" i="4"/>
  <c r="FH6" i="4"/>
  <c r="FI6" i="4"/>
  <c r="FK6" i="4"/>
  <c r="FL6" i="4"/>
  <c r="FM6" i="4"/>
  <c r="FN6" i="4"/>
  <c r="FO6" i="4"/>
  <c r="FP6" i="4"/>
  <c r="GL6" i="4"/>
  <c r="GM6" i="4"/>
  <c r="GN6" i="4"/>
  <c r="GO6" i="4"/>
  <c r="GP6" i="4"/>
  <c r="GQ6" i="4"/>
  <c r="GS6" i="4"/>
  <c r="GT6" i="4"/>
  <c r="GU6" i="4"/>
  <c r="GV6" i="4"/>
  <c r="GW6" i="4"/>
  <c r="GX6" i="4"/>
  <c r="HT6" i="4"/>
  <c r="HU6" i="4"/>
  <c r="HV6" i="4"/>
  <c r="HW6" i="4"/>
  <c r="HX6" i="4"/>
  <c r="HY6" i="4"/>
  <c r="IA6" i="4"/>
  <c r="IB6" i="4"/>
  <c r="IC6" i="4"/>
  <c r="ID6" i="4"/>
  <c r="IE6" i="4"/>
  <c r="IF6" i="4"/>
  <c r="JB6" i="4"/>
  <c r="JC6" i="4"/>
  <c r="JD6" i="4"/>
  <c r="JE6" i="4"/>
  <c r="JF6" i="4"/>
  <c r="JG6" i="4"/>
  <c r="JI6" i="4"/>
  <c r="JJ6" i="4"/>
  <c r="JK6" i="4"/>
  <c r="JL6" i="4"/>
  <c r="JM6" i="4"/>
  <c r="JN6" i="4"/>
  <c r="KJ6" i="4"/>
  <c r="KK6" i="4"/>
  <c r="KL6" i="4"/>
  <c r="KM6" i="4"/>
  <c r="KN6" i="4"/>
  <c r="KO6" i="4"/>
  <c r="KQ6" i="4"/>
  <c r="KR6" i="4"/>
  <c r="KS6" i="4"/>
  <c r="KT6" i="4"/>
  <c r="KU6" i="4"/>
  <c r="KV6" i="4"/>
  <c r="LR6" i="4"/>
  <c r="LS6" i="4"/>
  <c r="LT6" i="4"/>
  <c r="LU6" i="4"/>
  <c r="LV6" i="4"/>
  <c r="LW6" i="4"/>
  <c r="LY6" i="4"/>
  <c r="LZ6" i="4"/>
  <c r="MA6" i="4"/>
  <c r="MB6" i="4"/>
  <c r="MC6" i="4"/>
  <c r="MD6" i="4"/>
  <c r="MZ6" i="4"/>
  <c r="NA6" i="4"/>
  <c r="NB6" i="4"/>
  <c r="NC6" i="4"/>
  <c r="ND6" i="4"/>
  <c r="NE6" i="4"/>
  <c r="NG6" i="4"/>
  <c r="NH6" i="4"/>
  <c r="NI6" i="4"/>
  <c r="NJ6" i="4"/>
  <c r="NK6" i="4"/>
  <c r="NL6" i="4"/>
  <c r="OH6" i="4"/>
  <c r="OI6" i="4"/>
  <c r="OJ6" i="4"/>
  <c r="OK6" i="4"/>
  <c r="OL6" i="4"/>
  <c r="OM6" i="4"/>
  <c r="OO6" i="4"/>
  <c r="OP6" i="4"/>
  <c r="OQ6" i="4"/>
  <c r="OR6" i="4"/>
  <c r="OS6" i="4"/>
  <c r="OT6" i="4"/>
  <c r="PP6" i="4"/>
  <c r="PQ6" i="4"/>
  <c r="PR6" i="4"/>
  <c r="PS6" i="4"/>
  <c r="PT6" i="4"/>
  <c r="PU6" i="4"/>
  <c r="PW6" i="4"/>
  <c r="PX6" i="4"/>
  <c r="PY6" i="4"/>
  <c r="PZ6" i="4"/>
  <c r="QA6" i="4"/>
  <c r="QB6" i="4"/>
  <c r="QX6" i="4"/>
  <c r="QY6" i="4"/>
  <c r="QZ6" i="4"/>
  <c r="RA6" i="4"/>
  <c r="RB6" i="4"/>
  <c r="RC6" i="4"/>
  <c r="RE6" i="4"/>
  <c r="RF6" i="4"/>
  <c r="RG6" i="4"/>
  <c r="RH6" i="4"/>
  <c r="RI6" i="4"/>
  <c r="RJ6" i="4"/>
  <c r="SF6" i="4"/>
  <c r="SG6" i="4"/>
  <c r="SH6" i="4"/>
  <c r="SI6" i="4"/>
  <c r="SJ6" i="4"/>
  <c r="SK6" i="4"/>
  <c r="SM6" i="4"/>
  <c r="SN6" i="4"/>
  <c r="SO6" i="4"/>
  <c r="SP6" i="4"/>
  <c r="SQ6" i="4"/>
  <c r="SR6" i="4"/>
  <c r="ST6" i="4"/>
  <c r="SU6" i="4"/>
  <c r="SV6" i="4"/>
  <c r="TJ6" i="4" s="1"/>
  <c r="SW6" i="4"/>
  <c r="TK6" i="4" s="1"/>
  <c r="SX6" i="4"/>
  <c r="SY6" i="4"/>
  <c r="SZ6" i="4"/>
  <c r="TA6" i="4"/>
  <c r="TM6" i="4" s="1"/>
  <c r="TB6" i="4"/>
  <c r="TN6" i="4" s="1"/>
  <c r="TC6" i="4"/>
  <c r="TD6" i="4"/>
  <c r="TE6" i="4"/>
  <c r="TF6" i="4"/>
  <c r="TQ6" i="4" s="1"/>
  <c r="TG6" i="4"/>
  <c r="TR6" i="4" s="1"/>
  <c r="TH6" i="4"/>
  <c r="CO10" i="4"/>
  <c r="CP10" i="4"/>
  <c r="CQ10" i="4"/>
  <c r="CR10" i="4"/>
  <c r="CS10" i="4"/>
  <c r="CT10" i="4"/>
  <c r="CV10" i="4"/>
  <c r="CW10" i="4"/>
  <c r="CX10" i="4"/>
  <c r="DV10" i="4"/>
  <c r="DW10" i="4"/>
  <c r="DX10" i="4"/>
  <c r="DY10" i="4"/>
  <c r="DZ10" i="4"/>
  <c r="EA10" i="4"/>
  <c r="EC10" i="4"/>
  <c r="ED10" i="4"/>
  <c r="EE10" i="4"/>
  <c r="EF10" i="4"/>
  <c r="EG10" i="4"/>
  <c r="EH10" i="4"/>
  <c r="FD10" i="4"/>
  <c r="FE10" i="4"/>
  <c r="FF10" i="4"/>
  <c r="FG10" i="4"/>
  <c r="FH10" i="4"/>
  <c r="FI10" i="4"/>
  <c r="FK10" i="4"/>
  <c r="FL10" i="4"/>
  <c r="FM10" i="4"/>
  <c r="FN10" i="4"/>
  <c r="FO10" i="4"/>
  <c r="FP10" i="4"/>
  <c r="GL10" i="4"/>
  <c r="GM10" i="4"/>
  <c r="GN10" i="4"/>
  <c r="GO10" i="4"/>
  <c r="GP10" i="4"/>
  <c r="GQ10" i="4"/>
  <c r="GS10" i="4"/>
  <c r="GT10" i="4"/>
  <c r="GU10" i="4"/>
  <c r="GV10" i="4"/>
  <c r="GW10" i="4"/>
  <c r="GX10" i="4"/>
  <c r="HT10" i="4"/>
  <c r="HU10" i="4"/>
  <c r="HV10" i="4"/>
  <c r="HW10" i="4"/>
  <c r="HX10" i="4"/>
  <c r="HY10" i="4"/>
  <c r="IA10" i="4"/>
  <c r="IB10" i="4"/>
  <c r="IC10" i="4"/>
  <c r="ID10" i="4"/>
  <c r="IE10" i="4"/>
  <c r="IF10" i="4"/>
  <c r="JB10" i="4"/>
  <c r="JC10" i="4"/>
  <c r="JD10" i="4"/>
  <c r="JE10" i="4"/>
  <c r="JF10" i="4"/>
  <c r="JG10" i="4"/>
  <c r="JI10" i="4"/>
  <c r="JJ10" i="4"/>
  <c r="JK10" i="4"/>
  <c r="JL10" i="4"/>
  <c r="JM10" i="4"/>
  <c r="JN10" i="4"/>
  <c r="KJ10" i="4"/>
  <c r="KK10" i="4"/>
  <c r="KL10" i="4"/>
  <c r="KM10" i="4"/>
  <c r="KN10" i="4"/>
  <c r="KO10" i="4"/>
  <c r="KQ10" i="4"/>
  <c r="KR10" i="4"/>
  <c r="KS10" i="4"/>
  <c r="KT10" i="4"/>
  <c r="KU10" i="4"/>
  <c r="KV10" i="4"/>
  <c r="LR10" i="4"/>
  <c r="LS10" i="4"/>
  <c r="LT10" i="4"/>
  <c r="LU10" i="4"/>
  <c r="LV10" i="4"/>
  <c r="LW10" i="4"/>
  <c r="LY10" i="4"/>
  <c r="LZ10" i="4"/>
  <c r="MA10" i="4"/>
  <c r="MB10" i="4"/>
  <c r="MC10" i="4"/>
  <c r="MD10" i="4"/>
  <c r="MZ10" i="4"/>
  <c r="NA10" i="4"/>
  <c r="NB10" i="4"/>
  <c r="NC10" i="4"/>
  <c r="ND10" i="4"/>
  <c r="NE10" i="4"/>
  <c r="NG10" i="4"/>
  <c r="NH10" i="4"/>
  <c r="NI10" i="4"/>
  <c r="NJ10" i="4"/>
  <c r="NK10" i="4"/>
  <c r="NL10" i="4"/>
  <c r="OH10" i="4"/>
  <c r="OI10" i="4"/>
  <c r="OJ10" i="4"/>
  <c r="OK10" i="4"/>
  <c r="OL10" i="4"/>
  <c r="OM10" i="4"/>
  <c r="OO10" i="4"/>
  <c r="OP10" i="4"/>
  <c r="OQ10" i="4"/>
  <c r="OR10" i="4"/>
  <c r="OS10" i="4"/>
  <c r="OT10" i="4"/>
  <c r="PP10" i="4"/>
  <c r="PQ10" i="4"/>
  <c r="PR10" i="4"/>
  <c r="PS10" i="4"/>
  <c r="PT10" i="4"/>
  <c r="PU10" i="4"/>
  <c r="PW10" i="4"/>
  <c r="PX10" i="4"/>
  <c r="PY10" i="4"/>
  <c r="PZ10" i="4"/>
  <c r="QA10" i="4"/>
  <c r="QB10" i="4"/>
  <c r="QX10" i="4"/>
  <c r="QY10" i="4"/>
  <c r="QZ10" i="4"/>
  <c r="RA10" i="4"/>
  <c r="RB10" i="4"/>
  <c r="RC10" i="4"/>
  <c r="RE10" i="4"/>
  <c r="RF10" i="4"/>
  <c r="RG10" i="4"/>
  <c r="RH10" i="4"/>
  <c r="RI10" i="4"/>
  <c r="RJ10" i="4"/>
  <c r="SF10" i="4"/>
  <c r="SG10" i="4"/>
  <c r="SH10" i="4"/>
  <c r="SI10" i="4"/>
  <c r="SJ10" i="4"/>
  <c r="SK10" i="4"/>
  <c r="SM10" i="4"/>
  <c r="SN10" i="4"/>
  <c r="SO10" i="4"/>
  <c r="SP10" i="4"/>
  <c r="SQ10" i="4"/>
  <c r="SR10" i="4"/>
  <c r="ST10" i="4"/>
  <c r="SU10" i="4"/>
  <c r="SV10" i="4"/>
  <c r="TJ10" i="4" s="1"/>
  <c r="SW10" i="4"/>
  <c r="TK10" i="4" s="1"/>
  <c r="SX10" i="4"/>
  <c r="SY10" i="4"/>
  <c r="SZ10" i="4"/>
  <c r="TA10" i="4"/>
  <c r="TM10" i="4" s="1"/>
  <c r="TB10" i="4"/>
  <c r="TN10" i="4" s="1"/>
  <c r="TC10" i="4"/>
  <c r="TD10" i="4"/>
  <c r="TE10" i="4"/>
  <c r="TF10" i="4"/>
  <c r="TQ10" i="4" s="1"/>
  <c r="TG10" i="4"/>
  <c r="TR10" i="4" s="1"/>
  <c r="TH10" i="4"/>
  <c r="CO7" i="4"/>
  <c r="CP7" i="4"/>
  <c r="CQ7" i="4"/>
  <c r="CR7" i="4"/>
  <c r="CS7" i="4"/>
  <c r="CT7" i="4"/>
  <c r="CV7" i="4"/>
  <c r="CW7" i="4"/>
  <c r="CX7" i="4"/>
  <c r="DV7" i="4"/>
  <c r="DW7" i="4"/>
  <c r="DX7" i="4"/>
  <c r="DY7" i="4"/>
  <c r="DZ7" i="4"/>
  <c r="EA7" i="4"/>
  <c r="EC7" i="4"/>
  <c r="ED7" i="4"/>
  <c r="EE7" i="4"/>
  <c r="EF7" i="4"/>
  <c r="EG7" i="4"/>
  <c r="EH7" i="4"/>
  <c r="FD7" i="4"/>
  <c r="FE7" i="4"/>
  <c r="FF7" i="4"/>
  <c r="FG7" i="4"/>
  <c r="FH7" i="4"/>
  <c r="FI7" i="4"/>
  <c r="FK7" i="4"/>
  <c r="FL7" i="4"/>
  <c r="FM7" i="4"/>
  <c r="FN7" i="4"/>
  <c r="FO7" i="4"/>
  <c r="FP7" i="4"/>
  <c r="GL7" i="4"/>
  <c r="GM7" i="4"/>
  <c r="GN7" i="4"/>
  <c r="GO7" i="4"/>
  <c r="GP7" i="4"/>
  <c r="GQ7" i="4"/>
  <c r="GS7" i="4"/>
  <c r="GT7" i="4"/>
  <c r="GU7" i="4"/>
  <c r="GV7" i="4"/>
  <c r="GW7" i="4"/>
  <c r="GX7" i="4"/>
  <c r="HT7" i="4"/>
  <c r="HU7" i="4"/>
  <c r="HV7" i="4"/>
  <c r="HW7" i="4"/>
  <c r="HX7" i="4"/>
  <c r="HY7" i="4"/>
  <c r="IA7" i="4"/>
  <c r="IB7" i="4"/>
  <c r="IC7" i="4"/>
  <c r="ID7" i="4"/>
  <c r="IE7" i="4"/>
  <c r="IF7" i="4"/>
  <c r="JB7" i="4"/>
  <c r="JC7" i="4"/>
  <c r="JD7" i="4"/>
  <c r="JE7" i="4"/>
  <c r="JF7" i="4"/>
  <c r="JG7" i="4"/>
  <c r="JI7" i="4"/>
  <c r="JJ7" i="4"/>
  <c r="JK7" i="4"/>
  <c r="JL7" i="4"/>
  <c r="JM7" i="4"/>
  <c r="JN7" i="4"/>
  <c r="KJ7" i="4"/>
  <c r="KK7" i="4"/>
  <c r="KL7" i="4"/>
  <c r="KM7" i="4"/>
  <c r="KN7" i="4"/>
  <c r="KO7" i="4"/>
  <c r="KQ7" i="4"/>
  <c r="KR7" i="4"/>
  <c r="KS7" i="4"/>
  <c r="KT7" i="4"/>
  <c r="KU7" i="4"/>
  <c r="KV7" i="4"/>
  <c r="LR7" i="4"/>
  <c r="LS7" i="4"/>
  <c r="LT7" i="4"/>
  <c r="LU7" i="4"/>
  <c r="LV7" i="4"/>
  <c r="LW7" i="4"/>
  <c r="LY7" i="4"/>
  <c r="LZ7" i="4"/>
  <c r="MA7" i="4"/>
  <c r="MB7" i="4"/>
  <c r="MC7" i="4"/>
  <c r="MD7" i="4"/>
  <c r="MZ7" i="4"/>
  <c r="NA7" i="4"/>
  <c r="NB7" i="4"/>
  <c r="NC7" i="4"/>
  <c r="ND7" i="4"/>
  <c r="NE7" i="4"/>
  <c r="NG7" i="4"/>
  <c r="NH7" i="4"/>
  <c r="NI7" i="4"/>
  <c r="NJ7" i="4"/>
  <c r="NK7" i="4"/>
  <c r="NL7" i="4"/>
  <c r="OH7" i="4"/>
  <c r="OI7" i="4"/>
  <c r="OJ7" i="4"/>
  <c r="OK7" i="4"/>
  <c r="OL7" i="4"/>
  <c r="OM7" i="4"/>
  <c r="OO7" i="4"/>
  <c r="OP7" i="4"/>
  <c r="OQ7" i="4"/>
  <c r="OR7" i="4"/>
  <c r="OS7" i="4"/>
  <c r="OT7" i="4"/>
  <c r="PP7" i="4"/>
  <c r="PQ7" i="4"/>
  <c r="PR7" i="4"/>
  <c r="PS7" i="4"/>
  <c r="PT7" i="4"/>
  <c r="PU7" i="4"/>
  <c r="PW7" i="4"/>
  <c r="PX7" i="4"/>
  <c r="PY7" i="4"/>
  <c r="PZ7" i="4"/>
  <c r="QA7" i="4"/>
  <c r="QB7" i="4"/>
  <c r="QX7" i="4"/>
  <c r="QY7" i="4"/>
  <c r="QZ7" i="4"/>
  <c r="RA7" i="4"/>
  <c r="RB7" i="4"/>
  <c r="RC7" i="4"/>
  <c r="RE7" i="4"/>
  <c r="RF7" i="4"/>
  <c r="RG7" i="4"/>
  <c r="RH7" i="4"/>
  <c r="RI7" i="4"/>
  <c r="RJ7" i="4"/>
  <c r="SF7" i="4"/>
  <c r="SG7" i="4"/>
  <c r="SH7" i="4"/>
  <c r="SI7" i="4"/>
  <c r="SJ7" i="4"/>
  <c r="SK7" i="4"/>
  <c r="SM7" i="4"/>
  <c r="SN7" i="4"/>
  <c r="SO7" i="4"/>
  <c r="SP7" i="4"/>
  <c r="SQ7" i="4"/>
  <c r="SR7" i="4"/>
  <c r="ST7" i="4"/>
  <c r="SU7" i="4"/>
  <c r="SV7" i="4"/>
  <c r="TJ7" i="4" s="1"/>
  <c r="SW7" i="4"/>
  <c r="TK7" i="4" s="1"/>
  <c r="SX7" i="4"/>
  <c r="SY7" i="4"/>
  <c r="SZ7" i="4"/>
  <c r="TA7" i="4"/>
  <c r="TM7" i="4" s="1"/>
  <c r="TB7" i="4"/>
  <c r="TN7" i="4" s="1"/>
  <c r="TC7" i="4"/>
  <c r="TD7" i="4"/>
  <c r="TE7" i="4"/>
  <c r="TF7" i="4"/>
  <c r="TQ7" i="4" s="1"/>
  <c r="TG7" i="4"/>
  <c r="TR7" i="4" s="1"/>
  <c r="TH7" i="4"/>
  <c r="CO13" i="4"/>
  <c r="CP13" i="4"/>
  <c r="CQ13" i="4"/>
  <c r="CR13" i="4"/>
  <c r="CS13" i="4"/>
  <c r="CT13" i="4"/>
  <c r="CV13" i="4"/>
  <c r="CW13" i="4"/>
  <c r="CX13" i="4"/>
  <c r="DV13" i="4"/>
  <c r="DW13" i="4"/>
  <c r="DX13" i="4"/>
  <c r="DY13" i="4"/>
  <c r="DZ13" i="4"/>
  <c r="EA13" i="4"/>
  <c r="EC13" i="4"/>
  <c r="ED13" i="4"/>
  <c r="EE13" i="4"/>
  <c r="EF13" i="4"/>
  <c r="EG13" i="4"/>
  <c r="EH13" i="4"/>
  <c r="FD13" i="4"/>
  <c r="FE13" i="4"/>
  <c r="FF13" i="4"/>
  <c r="FG13" i="4"/>
  <c r="FH13" i="4"/>
  <c r="FI13" i="4"/>
  <c r="FK13" i="4"/>
  <c r="FL13" i="4"/>
  <c r="FM13" i="4"/>
  <c r="FN13" i="4"/>
  <c r="FO13" i="4"/>
  <c r="FP13" i="4"/>
  <c r="GL13" i="4"/>
  <c r="GM13" i="4"/>
  <c r="GN13" i="4"/>
  <c r="GO13" i="4"/>
  <c r="GP13" i="4"/>
  <c r="GQ13" i="4"/>
  <c r="GS13" i="4"/>
  <c r="GT13" i="4"/>
  <c r="GU13" i="4"/>
  <c r="GV13" i="4"/>
  <c r="GW13" i="4"/>
  <c r="GX13" i="4"/>
  <c r="HT13" i="4"/>
  <c r="HU13" i="4"/>
  <c r="HV13" i="4"/>
  <c r="HW13" i="4"/>
  <c r="HX13" i="4"/>
  <c r="HY13" i="4"/>
  <c r="IA13" i="4"/>
  <c r="IB13" i="4"/>
  <c r="IC13" i="4"/>
  <c r="ID13" i="4"/>
  <c r="IE13" i="4"/>
  <c r="IF13" i="4"/>
  <c r="JB13" i="4"/>
  <c r="JC13" i="4"/>
  <c r="JD13" i="4"/>
  <c r="JE13" i="4"/>
  <c r="JF13" i="4"/>
  <c r="JG13" i="4"/>
  <c r="JI13" i="4"/>
  <c r="JJ13" i="4"/>
  <c r="JK13" i="4"/>
  <c r="JL13" i="4"/>
  <c r="JM13" i="4"/>
  <c r="JN13" i="4"/>
  <c r="KJ13" i="4"/>
  <c r="KK13" i="4"/>
  <c r="KL13" i="4"/>
  <c r="KM13" i="4"/>
  <c r="KN13" i="4"/>
  <c r="KO13" i="4"/>
  <c r="KQ13" i="4"/>
  <c r="KR13" i="4"/>
  <c r="KS13" i="4"/>
  <c r="KT13" i="4"/>
  <c r="KU13" i="4"/>
  <c r="KV13" i="4"/>
  <c r="LR13" i="4"/>
  <c r="LS13" i="4"/>
  <c r="LT13" i="4"/>
  <c r="LU13" i="4"/>
  <c r="LV13" i="4"/>
  <c r="LW13" i="4"/>
  <c r="LY13" i="4"/>
  <c r="LZ13" i="4"/>
  <c r="MA13" i="4"/>
  <c r="MB13" i="4"/>
  <c r="MC13" i="4"/>
  <c r="MD13" i="4"/>
  <c r="MZ13" i="4"/>
  <c r="NA13" i="4"/>
  <c r="NB13" i="4"/>
  <c r="NC13" i="4"/>
  <c r="ND13" i="4"/>
  <c r="NE13" i="4"/>
  <c r="NG13" i="4"/>
  <c r="NH13" i="4"/>
  <c r="NI13" i="4"/>
  <c r="NJ13" i="4"/>
  <c r="NK13" i="4"/>
  <c r="NL13" i="4"/>
  <c r="OH13" i="4"/>
  <c r="OI13" i="4"/>
  <c r="OJ13" i="4"/>
  <c r="OK13" i="4"/>
  <c r="OL13" i="4"/>
  <c r="OM13" i="4"/>
  <c r="OO13" i="4"/>
  <c r="OP13" i="4"/>
  <c r="OQ13" i="4"/>
  <c r="OR13" i="4"/>
  <c r="OS13" i="4"/>
  <c r="OT13" i="4"/>
  <c r="PP13" i="4"/>
  <c r="PQ13" i="4"/>
  <c r="PR13" i="4"/>
  <c r="PS13" i="4"/>
  <c r="PT13" i="4"/>
  <c r="PU13" i="4"/>
  <c r="PW13" i="4"/>
  <c r="PX13" i="4"/>
  <c r="PY13" i="4"/>
  <c r="PZ13" i="4"/>
  <c r="QA13" i="4"/>
  <c r="QB13" i="4"/>
  <c r="QX13" i="4"/>
  <c r="QY13" i="4"/>
  <c r="QZ13" i="4"/>
  <c r="RA13" i="4"/>
  <c r="RB13" i="4"/>
  <c r="RC13" i="4"/>
  <c r="RE13" i="4"/>
  <c r="RF13" i="4"/>
  <c r="RG13" i="4"/>
  <c r="RH13" i="4"/>
  <c r="RI13" i="4"/>
  <c r="RJ13" i="4"/>
  <c r="SF13" i="4"/>
  <c r="SG13" i="4"/>
  <c r="SH13" i="4"/>
  <c r="SI13" i="4"/>
  <c r="SJ13" i="4"/>
  <c r="SK13" i="4"/>
  <c r="SM13" i="4"/>
  <c r="SN13" i="4"/>
  <c r="SO13" i="4"/>
  <c r="SP13" i="4"/>
  <c r="SQ13" i="4"/>
  <c r="SR13" i="4"/>
  <c r="ST13" i="4"/>
  <c r="SU13" i="4"/>
  <c r="SV13" i="4"/>
  <c r="TJ13" i="4" s="1"/>
  <c r="SW13" i="4"/>
  <c r="TK13" i="4" s="1"/>
  <c r="SX13" i="4"/>
  <c r="SY13" i="4"/>
  <c r="SZ13" i="4"/>
  <c r="TA13" i="4"/>
  <c r="TM13" i="4" s="1"/>
  <c r="TB13" i="4"/>
  <c r="TN13" i="4" s="1"/>
  <c r="TC13" i="4"/>
  <c r="TD13" i="4"/>
  <c r="TE13" i="4"/>
  <c r="TF13" i="4"/>
  <c r="TQ13" i="4" s="1"/>
  <c r="TG13" i="4"/>
  <c r="TR13" i="4" s="1"/>
  <c r="TH13" i="4"/>
  <c r="CO21" i="4"/>
  <c r="CP21" i="4"/>
  <c r="CQ21" i="4"/>
  <c r="CR21" i="4"/>
  <c r="CS21" i="4"/>
  <c r="CT21" i="4"/>
  <c r="CV21" i="4"/>
  <c r="CW21" i="4"/>
  <c r="CX21" i="4"/>
  <c r="DV21" i="4"/>
  <c r="DW21" i="4"/>
  <c r="DX21" i="4"/>
  <c r="DY21" i="4"/>
  <c r="DZ21" i="4"/>
  <c r="EA21" i="4"/>
  <c r="EC21" i="4"/>
  <c r="ED21" i="4"/>
  <c r="EE21" i="4"/>
  <c r="EF21" i="4"/>
  <c r="EG21" i="4"/>
  <c r="EH21" i="4"/>
  <c r="FD21" i="4"/>
  <c r="FE21" i="4"/>
  <c r="FF21" i="4"/>
  <c r="FG21" i="4"/>
  <c r="FH21" i="4"/>
  <c r="FI21" i="4"/>
  <c r="FK21" i="4"/>
  <c r="FL21" i="4"/>
  <c r="FM21" i="4"/>
  <c r="FN21" i="4"/>
  <c r="FO21" i="4"/>
  <c r="FP21" i="4"/>
  <c r="GL21" i="4"/>
  <c r="GM21" i="4"/>
  <c r="GN21" i="4"/>
  <c r="GO21" i="4"/>
  <c r="GP21" i="4"/>
  <c r="GQ21" i="4"/>
  <c r="GS21" i="4"/>
  <c r="GT21" i="4"/>
  <c r="GU21" i="4"/>
  <c r="GV21" i="4"/>
  <c r="GW21" i="4"/>
  <c r="GX21" i="4"/>
  <c r="HT21" i="4"/>
  <c r="HU21" i="4"/>
  <c r="HV21" i="4"/>
  <c r="HW21" i="4"/>
  <c r="HX21" i="4"/>
  <c r="HY21" i="4"/>
  <c r="IA21" i="4"/>
  <c r="IB21" i="4"/>
  <c r="IC21" i="4"/>
  <c r="ID21" i="4"/>
  <c r="IE21" i="4"/>
  <c r="IF21" i="4"/>
  <c r="JB21" i="4"/>
  <c r="JC21" i="4"/>
  <c r="JD21" i="4"/>
  <c r="JE21" i="4"/>
  <c r="JF21" i="4"/>
  <c r="JG21" i="4"/>
  <c r="JI21" i="4"/>
  <c r="JJ21" i="4"/>
  <c r="JK21" i="4"/>
  <c r="JL21" i="4"/>
  <c r="JM21" i="4"/>
  <c r="JN21" i="4"/>
  <c r="KJ21" i="4"/>
  <c r="KK21" i="4"/>
  <c r="KL21" i="4"/>
  <c r="KM21" i="4"/>
  <c r="KN21" i="4"/>
  <c r="KO21" i="4"/>
  <c r="KQ21" i="4"/>
  <c r="KR21" i="4"/>
  <c r="KS21" i="4"/>
  <c r="KT21" i="4"/>
  <c r="KU21" i="4"/>
  <c r="KV21" i="4"/>
  <c r="LR21" i="4"/>
  <c r="LS21" i="4"/>
  <c r="LT21" i="4"/>
  <c r="LU21" i="4"/>
  <c r="LV21" i="4"/>
  <c r="LW21" i="4"/>
  <c r="LY21" i="4"/>
  <c r="LZ21" i="4"/>
  <c r="MA21" i="4"/>
  <c r="MB21" i="4"/>
  <c r="MC21" i="4"/>
  <c r="MD21" i="4"/>
  <c r="MZ21" i="4"/>
  <c r="NA21" i="4"/>
  <c r="NB21" i="4"/>
  <c r="NC21" i="4"/>
  <c r="ND21" i="4"/>
  <c r="NE21" i="4"/>
  <c r="NG21" i="4"/>
  <c r="NH21" i="4"/>
  <c r="NI21" i="4"/>
  <c r="NJ21" i="4"/>
  <c r="NK21" i="4"/>
  <c r="NL21" i="4"/>
  <c r="OH21" i="4"/>
  <c r="OI21" i="4"/>
  <c r="OJ21" i="4"/>
  <c r="OK21" i="4"/>
  <c r="OL21" i="4"/>
  <c r="OM21" i="4"/>
  <c r="OO21" i="4"/>
  <c r="OP21" i="4"/>
  <c r="OQ21" i="4"/>
  <c r="OR21" i="4"/>
  <c r="OS21" i="4"/>
  <c r="OT21" i="4"/>
  <c r="PP21" i="4"/>
  <c r="PQ21" i="4"/>
  <c r="PR21" i="4"/>
  <c r="PS21" i="4"/>
  <c r="PT21" i="4"/>
  <c r="PU21" i="4"/>
  <c r="PW21" i="4"/>
  <c r="PX21" i="4"/>
  <c r="PY21" i="4"/>
  <c r="PZ21" i="4"/>
  <c r="QA21" i="4"/>
  <c r="QB21" i="4"/>
  <c r="QX21" i="4"/>
  <c r="QY21" i="4"/>
  <c r="QZ21" i="4"/>
  <c r="RA21" i="4"/>
  <c r="RB21" i="4"/>
  <c r="RC21" i="4"/>
  <c r="RE21" i="4"/>
  <c r="RF21" i="4"/>
  <c r="RG21" i="4"/>
  <c r="RH21" i="4"/>
  <c r="RI21" i="4"/>
  <c r="RJ21" i="4"/>
  <c r="SF21" i="4"/>
  <c r="SG21" i="4"/>
  <c r="SH21" i="4"/>
  <c r="SI21" i="4"/>
  <c r="SJ21" i="4"/>
  <c r="SK21" i="4"/>
  <c r="SM21" i="4"/>
  <c r="SN21" i="4"/>
  <c r="SO21" i="4"/>
  <c r="SP21" i="4"/>
  <c r="SQ21" i="4"/>
  <c r="SR21" i="4"/>
  <c r="ST21" i="4"/>
  <c r="SU21" i="4"/>
  <c r="SV21" i="4"/>
  <c r="TJ21" i="4" s="1"/>
  <c r="SW21" i="4"/>
  <c r="TK21" i="4" s="1"/>
  <c r="SX21" i="4"/>
  <c r="SY21" i="4"/>
  <c r="SZ21" i="4"/>
  <c r="TA21" i="4"/>
  <c r="TM21" i="4" s="1"/>
  <c r="TB21" i="4"/>
  <c r="TN21" i="4" s="1"/>
  <c r="TC21" i="4"/>
  <c r="TD21" i="4"/>
  <c r="TE21" i="4"/>
  <c r="TF21" i="4"/>
  <c r="TQ21" i="4" s="1"/>
  <c r="TG21" i="4"/>
  <c r="TR21" i="4" s="1"/>
  <c r="TH21" i="4"/>
  <c r="CO17" i="4"/>
  <c r="CP17" i="4"/>
  <c r="CQ17" i="4"/>
  <c r="CR17" i="4"/>
  <c r="CS17" i="4"/>
  <c r="CT17" i="4"/>
  <c r="CV17" i="4"/>
  <c r="CW17" i="4"/>
  <c r="CX17" i="4"/>
  <c r="DV17" i="4"/>
  <c r="DW17" i="4"/>
  <c r="DX17" i="4"/>
  <c r="DY17" i="4"/>
  <c r="DZ17" i="4"/>
  <c r="EA17" i="4"/>
  <c r="EC17" i="4"/>
  <c r="ED17" i="4"/>
  <c r="EE17" i="4"/>
  <c r="EF17" i="4"/>
  <c r="EG17" i="4"/>
  <c r="EH17" i="4"/>
  <c r="FD17" i="4"/>
  <c r="FE17" i="4"/>
  <c r="FF17" i="4"/>
  <c r="FG17" i="4"/>
  <c r="FH17" i="4"/>
  <c r="FI17" i="4"/>
  <c r="FK17" i="4"/>
  <c r="FL17" i="4"/>
  <c r="FM17" i="4"/>
  <c r="FN17" i="4"/>
  <c r="FO17" i="4"/>
  <c r="FP17" i="4"/>
  <c r="GL17" i="4"/>
  <c r="GM17" i="4"/>
  <c r="GN17" i="4"/>
  <c r="GO17" i="4"/>
  <c r="GP17" i="4"/>
  <c r="GQ17" i="4"/>
  <c r="GS17" i="4"/>
  <c r="GT17" i="4"/>
  <c r="GU17" i="4"/>
  <c r="GV17" i="4"/>
  <c r="GW17" i="4"/>
  <c r="GX17" i="4"/>
  <c r="HT17" i="4"/>
  <c r="HU17" i="4"/>
  <c r="HV17" i="4"/>
  <c r="HW17" i="4"/>
  <c r="HX17" i="4"/>
  <c r="HY17" i="4"/>
  <c r="IA17" i="4"/>
  <c r="IB17" i="4"/>
  <c r="IC17" i="4"/>
  <c r="ID17" i="4"/>
  <c r="IE17" i="4"/>
  <c r="IF17" i="4"/>
  <c r="JB17" i="4"/>
  <c r="JC17" i="4"/>
  <c r="JD17" i="4"/>
  <c r="JE17" i="4"/>
  <c r="JF17" i="4"/>
  <c r="JG17" i="4"/>
  <c r="JI17" i="4"/>
  <c r="JJ17" i="4"/>
  <c r="JK17" i="4"/>
  <c r="JL17" i="4"/>
  <c r="JM17" i="4"/>
  <c r="JN17" i="4"/>
  <c r="KJ17" i="4"/>
  <c r="KK17" i="4"/>
  <c r="KL17" i="4"/>
  <c r="KM17" i="4"/>
  <c r="KN17" i="4"/>
  <c r="KO17" i="4"/>
  <c r="KQ17" i="4"/>
  <c r="KR17" i="4"/>
  <c r="KS17" i="4"/>
  <c r="KT17" i="4"/>
  <c r="KU17" i="4"/>
  <c r="KV17" i="4"/>
  <c r="LR17" i="4"/>
  <c r="LS17" i="4"/>
  <c r="LT17" i="4"/>
  <c r="LU17" i="4"/>
  <c r="LV17" i="4"/>
  <c r="LW17" i="4"/>
  <c r="LY17" i="4"/>
  <c r="LZ17" i="4"/>
  <c r="MA17" i="4"/>
  <c r="MB17" i="4"/>
  <c r="MC17" i="4"/>
  <c r="MD17" i="4"/>
  <c r="MZ17" i="4"/>
  <c r="NA17" i="4"/>
  <c r="NB17" i="4"/>
  <c r="NC17" i="4"/>
  <c r="ND17" i="4"/>
  <c r="NE17" i="4"/>
  <c r="NG17" i="4"/>
  <c r="NH17" i="4"/>
  <c r="NI17" i="4"/>
  <c r="NJ17" i="4"/>
  <c r="NK17" i="4"/>
  <c r="NL17" i="4"/>
  <c r="OH17" i="4"/>
  <c r="OI17" i="4"/>
  <c r="OJ17" i="4"/>
  <c r="OK17" i="4"/>
  <c r="OL17" i="4"/>
  <c r="OM17" i="4"/>
  <c r="OO17" i="4"/>
  <c r="OP17" i="4"/>
  <c r="OQ17" i="4"/>
  <c r="OR17" i="4"/>
  <c r="OS17" i="4"/>
  <c r="OT17" i="4"/>
  <c r="PP17" i="4"/>
  <c r="PQ17" i="4"/>
  <c r="PR17" i="4"/>
  <c r="PS17" i="4"/>
  <c r="PT17" i="4"/>
  <c r="PU17" i="4"/>
  <c r="PW17" i="4"/>
  <c r="PX17" i="4"/>
  <c r="PY17" i="4"/>
  <c r="PZ17" i="4"/>
  <c r="QA17" i="4"/>
  <c r="QB17" i="4"/>
  <c r="QX17" i="4"/>
  <c r="QY17" i="4"/>
  <c r="QZ17" i="4"/>
  <c r="RA17" i="4"/>
  <c r="RB17" i="4"/>
  <c r="RC17" i="4"/>
  <c r="RE17" i="4"/>
  <c r="RF17" i="4"/>
  <c r="RG17" i="4"/>
  <c r="RH17" i="4"/>
  <c r="RI17" i="4"/>
  <c r="RJ17" i="4"/>
  <c r="SF17" i="4"/>
  <c r="SG17" i="4"/>
  <c r="SH17" i="4"/>
  <c r="SI17" i="4"/>
  <c r="SJ17" i="4"/>
  <c r="SK17" i="4"/>
  <c r="SM17" i="4"/>
  <c r="SN17" i="4"/>
  <c r="SO17" i="4"/>
  <c r="SP17" i="4"/>
  <c r="SQ17" i="4"/>
  <c r="SR17" i="4"/>
  <c r="ST17" i="4"/>
  <c r="SU17" i="4"/>
  <c r="SV17" i="4"/>
  <c r="TJ17" i="4" s="1"/>
  <c r="SW17" i="4"/>
  <c r="TK17" i="4" s="1"/>
  <c r="SX17" i="4"/>
  <c r="SY17" i="4"/>
  <c r="SZ17" i="4"/>
  <c r="TA17" i="4"/>
  <c r="TB17" i="4"/>
  <c r="TN17" i="4" s="1"/>
  <c r="TC17" i="4"/>
  <c r="TD17" i="4"/>
  <c r="TE17" i="4"/>
  <c r="TF17" i="4"/>
  <c r="TQ17" i="4" s="1"/>
  <c r="TG17" i="4"/>
  <c r="TR17" i="4" s="1"/>
  <c r="TH17" i="4"/>
  <c r="CO9" i="4"/>
  <c r="CP9" i="4"/>
  <c r="CQ9" i="4"/>
  <c r="CR9" i="4"/>
  <c r="CS9" i="4"/>
  <c r="CT9" i="4"/>
  <c r="CV9" i="4"/>
  <c r="CW9" i="4"/>
  <c r="CX9" i="4"/>
  <c r="DV9" i="4"/>
  <c r="DW9" i="4"/>
  <c r="DX9" i="4"/>
  <c r="DY9" i="4"/>
  <c r="DZ9" i="4"/>
  <c r="EA9" i="4"/>
  <c r="EC9" i="4"/>
  <c r="ED9" i="4"/>
  <c r="EE9" i="4"/>
  <c r="EF9" i="4"/>
  <c r="EG9" i="4"/>
  <c r="EH9" i="4"/>
  <c r="FD9" i="4"/>
  <c r="FE9" i="4"/>
  <c r="FF9" i="4"/>
  <c r="FG9" i="4"/>
  <c r="FH9" i="4"/>
  <c r="FI9" i="4"/>
  <c r="FK9" i="4"/>
  <c r="FL9" i="4"/>
  <c r="FM9" i="4"/>
  <c r="FN9" i="4"/>
  <c r="FO9" i="4"/>
  <c r="FP9" i="4"/>
  <c r="GL9" i="4"/>
  <c r="GM9" i="4"/>
  <c r="GN9" i="4"/>
  <c r="GO9" i="4"/>
  <c r="GP9" i="4"/>
  <c r="GQ9" i="4"/>
  <c r="GS9" i="4"/>
  <c r="GT9" i="4"/>
  <c r="GU9" i="4"/>
  <c r="GV9" i="4"/>
  <c r="GW9" i="4"/>
  <c r="GX9" i="4"/>
  <c r="HT9" i="4"/>
  <c r="HU9" i="4"/>
  <c r="HV9" i="4"/>
  <c r="HW9" i="4"/>
  <c r="HX9" i="4"/>
  <c r="HY9" i="4"/>
  <c r="IA9" i="4"/>
  <c r="IB9" i="4"/>
  <c r="IC9" i="4"/>
  <c r="ID9" i="4"/>
  <c r="IE9" i="4"/>
  <c r="IF9" i="4"/>
  <c r="JB9" i="4"/>
  <c r="JC9" i="4"/>
  <c r="JD9" i="4"/>
  <c r="JE9" i="4"/>
  <c r="JF9" i="4"/>
  <c r="JG9" i="4"/>
  <c r="JI9" i="4"/>
  <c r="JJ9" i="4"/>
  <c r="JK9" i="4"/>
  <c r="JL9" i="4"/>
  <c r="JM9" i="4"/>
  <c r="JN9" i="4"/>
  <c r="KJ9" i="4"/>
  <c r="KK9" i="4"/>
  <c r="KL9" i="4"/>
  <c r="KM9" i="4"/>
  <c r="KN9" i="4"/>
  <c r="KO9" i="4"/>
  <c r="KQ9" i="4"/>
  <c r="KR9" i="4"/>
  <c r="KS9" i="4"/>
  <c r="KT9" i="4"/>
  <c r="KU9" i="4"/>
  <c r="KV9" i="4"/>
  <c r="LR9" i="4"/>
  <c r="LS9" i="4"/>
  <c r="LT9" i="4"/>
  <c r="LU9" i="4"/>
  <c r="LV9" i="4"/>
  <c r="LW9" i="4"/>
  <c r="LY9" i="4"/>
  <c r="LZ9" i="4"/>
  <c r="MA9" i="4"/>
  <c r="MB9" i="4"/>
  <c r="MC9" i="4"/>
  <c r="MD9" i="4"/>
  <c r="MZ9" i="4"/>
  <c r="NA9" i="4"/>
  <c r="NB9" i="4"/>
  <c r="NC9" i="4"/>
  <c r="ND9" i="4"/>
  <c r="NE9" i="4"/>
  <c r="NG9" i="4"/>
  <c r="NH9" i="4"/>
  <c r="NI9" i="4"/>
  <c r="NJ9" i="4"/>
  <c r="NK9" i="4"/>
  <c r="NL9" i="4"/>
  <c r="OH9" i="4"/>
  <c r="OI9" i="4"/>
  <c r="OJ9" i="4"/>
  <c r="OK9" i="4"/>
  <c r="OL9" i="4"/>
  <c r="OM9" i="4"/>
  <c r="OO9" i="4"/>
  <c r="OP9" i="4"/>
  <c r="OQ9" i="4"/>
  <c r="OR9" i="4"/>
  <c r="OS9" i="4"/>
  <c r="OT9" i="4"/>
  <c r="PP9" i="4"/>
  <c r="PQ9" i="4"/>
  <c r="PR9" i="4"/>
  <c r="PS9" i="4"/>
  <c r="PT9" i="4"/>
  <c r="PU9" i="4"/>
  <c r="PW9" i="4"/>
  <c r="PX9" i="4"/>
  <c r="PY9" i="4"/>
  <c r="PZ9" i="4"/>
  <c r="QA9" i="4"/>
  <c r="QB9" i="4"/>
  <c r="QX9" i="4"/>
  <c r="QY9" i="4"/>
  <c r="QZ9" i="4"/>
  <c r="RA9" i="4"/>
  <c r="RB9" i="4"/>
  <c r="RC9" i="4"/>
  <c r="RE9" i="4"/>
  <c r="RF9" i="4"/>
  <c r="RG9" i="4"/>
  <c r="RH9" i="4"/>
  <c r="RI9" i="4"/>
  <c r="RJ9" i="4"/>
  <c r="SF9" i="4"/>
  <c r="SG9" i="4"/>
  <c r="SH9" i="4"/>
  <c r="SI9" i="4"/>
  <c r="SJ9" i="4"/>
  <c r="SK9" i="4"/>
  <c r="SM9" i="4"/>
  <c r="SN9" i="4"/>
  <c r="SO9" i="4"/>
  <c r="SP9" i="4"/>
  <c r="SQ9" i="4"/>
  <c r="SR9" i="4"/>
  <c r="ST9" i="4"/>
  <c r="SU9" i="4"/>
  <c r="SV9" i="4"/>
  <c r="TJ9" i="4" s="1"/>
  <c r="SW9" i="4"/>
  <c r="TK9" i="4" s="1"/>
  <c r="SX9" i="4"/>
  <c r="SY9" i="4"/>
  <c r="SZ9" i="4"/>
  <c r="TA9" i="4"/>
  <c r="TM9" i="4" s="1"/>
  <c r="TB9" i="4"/>
  <c r="TN9" i="4" s="1"/>
  <c r="TC9" i="4"/>
  <c r="TD9" i="4"/>
  <c r="TE9" i="4"/>
  <c r="TF9" i="4"/>
  <c r="TQ9" i="4" s="1"/>
  <c r="TG9" i="4"/>
  <c r="TR9" i="4" s="1"/>
  <c r="TH9" i="4"/>
  <c r="CO12" i="4"/>
  <c r="CP12" i="4"/>
  <c r="CQ12" i="4"/>
  <c r="CR12" i="4"/>
  <c r="CS12" i="4"/>
  <c r="CT12" i="4"/>
  <c r="CV12" i="4"/>
  <c r="CW12" i="4"/>
  <c r="CX12" i="4"/>
  <c r="DV12" i="4"/>
  <c r="DW12" i="4"/>
  <c r="DX12" i="4"/>
  <c r="DY12" i="4"/>
  <c r="DZ12" i="4"/>
  <c r="EA12" i="4"/>
  <c r="EC12" i="4"/>
  <c r="ED12" i="4"/>
  <c r="EE12" i="4"/>
  <c r="EF12" i="4"/>
  <c r="EG12" i="4"/>
  <c r="EH12" i="4"/>
  <c r="FD12" i="4"/>
  <c r="FE12" i="4"/>
  <c r="FF12" i="4"/>
  <c r="FG12" i="4"/>
  <c r="FH12" i="4"/>
  <c r="FI12" i="4"/>
  <c r="FK12" i="4"/>
  <c r="FL12" i="4"/>
  <c r="FM12" i="4"/>
  <c r="FN12" i="4"/>
  <c r="FO12" i="4"/>
  <c r="FP12" i="4"/>
  <c r="GL12" i="4"/>
  <c r="GM12" i="4"/>
  <c r="GN12" i="4"/>
  <c r="GO12" i="4"/>
  <c r="GP12" i="4"/>
  <c r="GQ12" i="4"/>
  <c r="GS12" i="4"/>
  <c r="GT12" i="4"/>
  <c r="GU12" i="4"/>
  <c r="GV12" i="4"/>
  <c r="GW12" i="4"/>
  <c r="GX12" i="4"/>
  <c r="HT12" i="4"/>
  <c r="HU12" i="4"/>
  <c r="HV12" i="4"/>
  <c r="HW12" i="4"/>
  <c r="HX12" i="4"/>
  <c r="HY12" i="4"/>
  <c r="IA12" i="4"/>
  <c r="IB12" i="4"/>
  <c r="IC12" i="4"/>
  <c r="ID12" i="4"/>
  <c r="IE12" i="4"/>
  <c r="IF12" i="4"/>
  <c r="JB12" i="4"/>
  <c r="JC12" i="4"/>
  <c r="JD12" i="4"/>
  <c r="JE12" i="4"/>
  <c r="JF12" i="4"/>
  <c r="JG12" i="4"/>
  <c r="JI12" i="4"/>
  <c r="JJ12" i="4"/>
  <c r="JK12" i="4"/>
  <c r="JL12" i="4"/>
  <c r="JM12" i="4"/>
  <c r="JN12" i="4"/>
  <c r="KJ12" i="4"/>
  <c r="KK12" i="4"/>
  <c r="KL12" i="4"/>
  <c r="KM12" i="4"/>
  <c r="KN12" i="4"/>
  <c r="KO12" i="4"/>
  <c r="KQ12" i="4"/>
  <c r="KR12" i="4"/>
  <c r="KS12" i="4"/>
  <c r="KT12" i="4"/>
  <c r="KU12" i="4"/>
  <c r="KV12" i="4"/>
  <c r="LR12" i="4"/>
  <c r="LS12" i="4"/>
  <c r="LT12" i="4"/>
  <c r="LU12" i="4"/>
  <c r="LV12" i="4"/>
  <c r="LW12" i="4"/>
  <c r="LY12" i="4"/>
  <c r="LZ12" i="4"/>
  <c r="MA12" i="4"/>
  <c r="MB12" i="4"/>
  <c r="MC12" i="4"/>
  <c r="MD12" i="4"/>
  <c r="MZ12" i="4"/>
  <c r="NA12" i="4"/>
  <c r="NB12" i="4"/>
  <c r="NC12" i="4"/>
  <c r="ND12" i="4"/>
  <c r="NE12" i="4"/>
  <c r="NG12" i="4"/>
  <c r="NH12" i="4"/>
  <c r="NI12" i="4"/>
  <c r="NJ12" i="4"/>
  <c r="NK12" i="4"/>
  <c r="NL12" i="4"/>
  <c r="OH12" i="4"/>
  <c r="OI12" i="4"/>
  <c r="OJ12" i="4"/>
  <c r="OK12" i="4"/>
  <c r="OL12" i="4"/>
  <c r="OM12" i="4"/>
  <c r="OO12" i="4"/>
  <c r="OP12" i="4"/>
  <c r="OQ12" i="4"/>
  <c r="OR12" i="4"/>
  <c r="OS12" i="4"/>
  <c r="OT12" i="4"/>
  <c r="PP12" i="4"/>
  <c r="PQ12" i="4"/>
  <c r="PR12" i="4"/>
  <c r="PS12" i="4"/>
  <c r="PT12" i="4"/>
  <c r="PU12" i="4"/>
  <c r="PW12" i="4"/>
  <c r="PX12" i="4"/>
  <c r="PY12" i="4"/>
  <c r="PZ12" i="4"/>
  <c r="QA12" i="4"/>
  <c r="QB12" i="4"/>
  <c r="QX12" i="4"/>
  <c r="QY12" i="4"/>
  <c r="QZ12" i="4"/>
  <c r="RA12" i="4"/>
  <c r="RB12" i="4"/>
  <c r="RC12" i="4"/>
  <c r="RE12" i="4"/>
  <c r="RF12" i="4"/>
  <c r="RG12" i="4"/>
  <c r="RH12" i="4"/>
  <c r="RI12" i="4"/>
  <c r="RJ12" i="4"/>
  <c r="SF12" i="4"/>
  <c r="SG12" i="4"/>
  <c r="SH12" i="4"/>
  <c r="SI12" i="4"/>
  <c r="SJ12" i="4"/>
  <c r="SK12" i="4"/>
  <c r="SM12" i="4"/>
  <c r="SN12" i="4"/>
  <c r="SO12" i="4"/>
  <c r="SP12" i="4"/>
  <c r="SQ12" i="4"/>
  <c r="SR12" i="4"/>
  <c r="ST12" i="4"/>
  <c r="SU12" i="4"/>
  <c r="SV12" i="4"/>
  <c r="TJ12" i="4" s="1"/>
  <c r="SW12" i="4"/>
  <c r="TK12" i="4" s="1"/>
  <c r="SX12" i="4"/>
  <c r="SY12" i="4"/>
  <c r="SZ12" i="4"/>
  <c r="TA12" i="4"/>
  <c r="TM12" i="4" s="1"/>
  <c r="TB12" i="4"/>
  <c r="TN12" i="4" s="1"/>
  <c r="TC12" i="4"/>
  <c r="TD12" i="4"/>
  <c r="TE12" i="4"/>
  <c r="TF12" i="4"/>
  <c r="TQ12" i="4" s="1"/>
  <c r="TG12" i="4"/>
  <c r="TR12" i="4" s="1"/>
  <c r="TH12" i="4"/>
  <c r="CO25" i="4"/>
  <c r="CP25" i="4"/>
  <c r="CQ25" i="4"/>
  <c r="CU25" i="4" s="1"/>
  <c r="CR25" i="4"/>
  <c r="CS25" i="4"/>
  <c r="CT25" i="4"/>
  <c r="CV25" i="4"/>
  <c r="CW25" i="4"/>
  <c r="CX25" i="4"/>
  <c r="DV25" i="4"/>
  <c r="DW25" i="4"/>
  <c r="DX25" i="4"/>
  <c r="DY25" i="4"/>
  <c r="DZ25" i="4"/>
  <c r="EA25" i="4"/>
  <c r="EC25" i="4"/>
  <c r="ED25" i="4"/>
  <c r="EE25" i="4"/>
  <c r="EF25" i="4"/>
  <c r="EG25" i="4"/>
  <c r="EH25" i="4"/>
  <c r="FD25" i="4"/>
  <c r="FE25" i="4"/>
  <c r="FF25" i="4"/>
  <c r="FG25" i="4"/>
  <c r="FH25" i="4"/>
  <c r="FI25" i="4"/>
  <c r="FK25" i="4"/>
  <c r="FL25" i="4"/>
  <c r="FM25" i="4"/>
  <c r="FN25" i="4"/>
  <c r="FO25" i="4"/>
  <c r="FP25" i="4"/>
  <c r="GL25" i="4"/>
  <c r="GM25" i="4"/>
  <c r="GN25" i="4"/>
  <c r="GO25" i="4"/>
  <c r="GP25" i="4"/>
  <c r="GQ25" i="4"/>
  <c r="GS25" i="4"/>
  <c r="GT25" i="4"/>
  <c r="GU25" i="4"/>
  <c r="GV25" i="4"/>
  <c r="GW25" i="4"/>
  <c r="GX25" i="4"/>
  <c r="HT25" i="4"/>
  <c r="HU25" i="4"/>
  <c r="HV25" i="4"/>
  <c r="HW25" i="4"/>
  <c r="HX25" i="4"/>
  <c r="HY25" i="4"/>
  <c r="IA25" i="4"/>
  <c r="IB25" i="4"/>
  <c r="IC25" i="4"/>
  <c r="ID25" i="4"/>
  <c r="IE25" i="4"/>
  <c r="IF25" i="4"/>
  <c r="JB25" i="4"/>
  <c r="JC25" i="4"/>
  <c r="JD25" i="4"/>
  <c r="JE25" i="4"/>
  <c r="JF25" i="4"/>
  <c r="JG25" i="4"/>
  <c r="JI25" i="4"/>
  <c r="JJ25" i="4"/>
  <c r="JK25" i="4"/>
  <c r="JL25" i="4"/>
  <c r="JM25" i="4"/>
  <c r="JN25" i="4"/>
  <c r="KJ25" i="4"/>
  <c r="KK25" i="4"/>
  <c r="KL25" i="4"/>
  <c r="KM25" i="4"/>
  <c r="KN25" i="4"/>
  <c r="KO25" i="4"/>
  <c r="KQ25" i="4"/>
  <c r="KR25" i="4"/>
  <c r="KS25" i="4"/>
  <c r="KT25" i="4"/>
  <c r="KU25" i="4"/>
  <c r="KV25" i="4"/>
  <c r="LR25" i="4"/>
  <c r="LS25" i="4"/>
  <c r="LT25" i="4"/>
  <c r="LU25" i="4"/>
  <c r="LV25" i="4"/>
  <c r="LW25" i="4"/>
  <c r="LY25" i="4"/>
  <c r="LZ25" i="4"/>
  <c r="MA25" i="4"/>
  <c r="MB25" i="4"/>
  <c r="MC25" i="4"/>
  <c r="MD25" i="4"/>
  <c r="MZ25" i="4"/>
  <c r="NA25" i="4"/>
  <c r="NB25" i="4"/>
  <c r="NC25" i="4"/>
  <c r="ND25" i="4"/>
  <c r="NE25" i="4"/>
  <c r="NG25" i="4"/>
  <c r="NH25" i="4"/>
  <c r="NI25" i="4"/>
  <c r="NJ25" i="4"/>
  <c r="NK25" i="4"/>
  <c r="NL25" i="4"/>
  <c r="OH25" i="4"/>
  <c r="OI25" i="4"/>
  <c r="OJ25" i="4"/>
  <c r="OK25" i="4"/>
  <c r="OL25" i="4"/>
  <c r="OM25" i="4"/>
  <c r="OO25" i="4"/>
  <c r="OP25" i="4"/>
  <c r="OQ25" i="4"/>
  <c r="OR25" i="4"/>
  <c r="OS25" i="4"/>
  <c r="OT25" i="4"/>
  <c r="PP25" i="4"/>
  <c r="PQ25" i="4"/>
  <c r="PR25" i="4"/>
  <c r="PS25" i="4"/>
  <c r="PT25" i="4"/>
  <c r="PU25" i="4"/>
  <c r="PW25" i="4"/>
  <c r="PX25" i="4"/>
  <c r="PY25" i="4"/>
  <c r="PZ25" i="4"/>
  <c r="QA25" i="4"/>
  <c r="QB25" i="4"/>
  <c r="QX25" i="4"/>
  <c r="QY25" i="4"/>
  <c r="QZ25" i="4"/>
  <c r="RA25" i="4"/>
  <c r="RB25" i="4"/>
  <c r="RC25" i="4"/>
  <c r="RE25" i="4"/>
  <c r="RF25" i="4"/>
  <c r="RG25" i="4"/>
  <c r="RH25" i="4"/>
  <c r="RI25" i="4"/>
  <c r="RJ25" i="4"/>
  <c r="SF25" i="4"/>
  <c r="SG25" i="4"/>
  <c r="SH25" i="4"/>
  <c r="SI25" i="4"/>
  <c r="SJ25" i="4"/>
  <c r="SK25" i="4"/>
  <c r="SM25" i="4"/>
  <c r="SN25" i="4"/>
  <c r="SO25" i="4"/>
  <c r="SP25" i="4"/>
  <c r="SQ25" i="4"/>
  <c r="SR25" i="4"/>
  <c r="ST25" i="4"/>
  <c r="SU25" i="4"/>
  <c r="SV25" i="4"/>
  <c r="TJ25" i="4" s="1"/>
  <c r="SW25" i="4"/>
  <c r="TK25" i="4" s="1"/>
  <c r="SX25" i="4"/>
  <c r="SY25" i="4"/>
  <c r="SZ25" i="4"/>
  <c r="TA25" i="4"/>
  <c r="TM25" i="4" s="1"/>
  <c r="TB25" i="4"/>
  <c r="TN25" i="4" s="1"/>
  <c r="TC25" i="4"/>
  <c r="TD25" i="4"/>
  <c r="TE25" i="4"/>
  <c r="TF25" i="4"/>
  <c r="TQ25" i="4" s="1"/>
  <c r="TG25" i="4"/>
  <c r="TR25" i="4" s="1"/>
  <c r="TH25" i="4"/>
  <c r="CO15" i="4"/>
  <c r="CP15" i="4"/>
  <c r="CQ15" i="4"/>
  <c r="CR15" i="4"/>
  <c r="CS15" i="4"/>
  <c r="CT15" i="4"/>
  <c r="CV15" i="4"/>
  <c r="CW15" i="4"/>
  <c r="CX15" i="4"/>
  <c r="DV15" i="4"/>
  <c r="DW15" i="4"/>
  <c r="DX15" i="4"/>
  <c r="DY15" i="4"/>
  <c r="DZ15" i="4"/>
  <c r="EA15" i="4"/>
  <c r="EC15" i="4"/>
  <c r="ED15" i="4"/>
  <c r="EE15" i="4"/>
  <c r="EF15" i="4"/>
  <c r="EG15" i="4"/>
  <c r="EH15" i="4"/>
  <c r="FD15" i="4"/>
  <c r="FE15" i="4"/>
  <c r="FF15" i="4"/>
  <c r="FG15" i="4"/>
  <c r="FH15" i="4"/>
  <c r="FI15" i="4"/>
  <c r="FK15" i="4"/>
  <c r="FL15" i="4"/>
  <c r="FM15" i="4"/>
  <c r="FN15" i="4"/>
  <c r="FO15" i="4"/>
  <c r="FP15" i="4"/>
  <c r="GL15" i="4"/>
  <c r="GM15" i="4"/>
  <c r="GN15" i="4"/>
  <c r="GO15" i="4"/>
  <c r="GP15" i="4"/>
  <c r="GQ15" i="4"/>
  <c r="GS15" i="4"/>
  <c r="GT15" i="4"/>
  <c r="GU15" i="4"/>
  <c r="GV15" i="4"/>
  <c r="GW15" i="4"/>
  <c r="GX15" i="4"/>
  <c r="HT15" i="4"/>
  <c r="HU15" i="4"/>
  <c r="HV15" i="4"/>
  <c r="HW15" i="4"/>
  <c r="HX15" i="4"/>
  <c r="HY15" i="4"/>
  <c r="IA15" i="4"/>
  <c r="IB15" i="4"/>
  <c r="IC15" i="4"/>
  <c r="ID15" i="4"/>
  <c r="IE15" i="4"/>
  <c r="IF15" i="4"/>
  <c r="JB15" i="4"/>
  <c r="JC15" i="4"/>
  <c r="JD15" i="4"/>
  <c r="JE15" i="4"/>
  <c r="JF15" i="4"/>
  <c r="JG15" i="4"/>
  <c r="JI15" i="4"/>
  <c r="JJ15" i="4"/>
  <c r="JK15" i="4"/>
  <c r="JL15" i="4"/>
  <c r="JM15" i="4"/>
  <c r="JN15" i="4"/>
  <c r="KJ15" i="4"/>
  <c r="KK15" i="4"/>
  <c r="KL15" i="4"/>
  <c r="KM15" i="4"/>
  <c r="KN15" i="4"/>
  <c r="KO15" i="4"/>
  <c r="KQ15" i="4"/>
  <c r="KR15" i="4"/>
  <c r="KS15" i="4"/>
  <c r="KT15" i="4"/>
  <c r="KU15" i="4"/>
  <c r="KV15" i="4"/>
  <c r="LR15" i="4"/>
  <c r="LS15" i="4"/>
  <c r="LT15" i="4"/>
  <c r="LU15" i="4"/>
  <c r="LV15" i="4"/>
  <c r="LW15" i="4"/>
  <c r="LY15" i="4"/>
  <c r="LZ15" i="4"/>
  <c r="MA15" i="4"/>
  <c r="MB15" i="4"/>
  <c r="MC15" i="4"/>
  <c r="MD15" i="4"/>
  <c r="MZ15" i="4"/>
  <c r="NA15" i="4"/>
  <c r="NB15" i="4"/>
  <c r="NC15" i="4"/>
  <c r="ND15" i="4"/>
  <c r="NE15" i="4"/>
  <c r="NG15" i="4"/>
  <c r="NH15" i="4"/>
  <c r="NI15" i="4"/>
  <c r="NJ15" i="4"/>
  <c r="NK15" i="4"/>
  <c r="NL15" i="4"/>
  <c r="OH15" i="4"/>
  <c r="OI15" i="4"/>
  <c r="OJ15" i="4"/>
  <c r="OK15" i="4"/>
  <c r="OL15" i="4"/>
  <c r="OM15" i="4"/>
  <c r="OO15" i="4"/>
  <c r="OP15" i="4"/>
  <c r="OQ15" i="4"/>
  <c r="OR15" i="4"/>
  <c r="OS15" i="4"/>
  <c r="OT15" i="4"/>
  <c r="PP15" i="4"/>
  <c r="PQ15" i="4"/>
  <c r="PR15" i="4"/>
  <c r="PS15" i="4"/>
  <c r="PT15" i="4"/>
  <c r="PU15" i="4"/>
  <c r="PW15" i="4"/>
  <c r="PX15" i="4"/>
  <c r="PY15" i="4"/>
  <c r="PZ15" i="4"/>
  <c r="QA15" i="4"/>
  <c r="QB15" i="4"/>
  <c r="QX15" i="4"/>
  <c r="QY15" i="4"/>
  <c r="QZ15" i="4"/>
  <c r="RA15" i="4"/>
  <c r="RB15" i="4"/>
  <c r="RC15" i="4"/>
  <c r="RE15" i="4"/>
  <c r="RF15" i="4"/>
  <c r="RG15" i="4"/>
  <c r="RH15" i="4"/>
  <c r="RI15" i="4"/>
  <c r="RJ15" i="4"/>
  <c r="SF15" i="4"/>
  <c r="SG15" i="4"/>
  <c r="SH15" i="4"/>
  <c r="SI15" i="4"/>
  <c r="SJ15" i="4"/>
  <c r="SK15" i="4"/>
  <c r="SM15" i="4"/>
  <c r="SN15" i="4"/>
  <c r="SO15" i="4"/>
  <c r="SP15" i="4"/>
  <c r="SQ15" i="4"/>
  <c r="SR15" i="4"/>
  <c r="ST15" i="4"/>
  <c r="SU15" i="4"/>
  <c r="SV15" i="4"/>
  <c r="TJ15" i="4" s="1"/>
  <c r="SW15" i="4"/>
  <c r="TK15" i="4" s="1"/>
  <c r="SX15" i="4"/>
  <c r="SY15" i="4"/>
  <c r="SZ15" i="4"/>
  <c r="TA15" i="4"/>
  <c r="TM15" i="4" s="1"/>
  <c r="TB15" i="4"/>
  <c r="TN15" i="4" s="1"/>
  <c r="TC15" i="4"/>
  <c r="TD15" i="4"/>
  <c r="TE15" i="4"/>
  <c r="TF15" i="4"/>
  <c r="TQ15" i="4" s="1"/>
  <c r="TG15" i="4"/>
  <c r="TR15" i="4" s="1"/>
  <c r="TH15" i="4"/>
  <c r="CO11" i="4"/>
  <c r="CP11" i="4"/>
  <c r="CQ11" i="4"/>
  <c r="CR11" i="4"/>
  <c r="CS11" i="4"/>
  <c r="CT11" i="4"/>
  <c r="CV11" i="4"/>
  <c r="CW11" i="4"/>
  <c r="CX11" i="4"/>
  <c r="DV11" i="4"/>
  <c r="DW11" i="4"/>
  <c r="DX11" i="4"/>
  <c r="DY11" i="4"/>
  <c r="DZ11" i="4"/>
  <c r="EA11" i="4"/>
  <c r="EC11" i="4"/>
  <c r="ED11" i="4"/>
  <c r="EE11" i="4"/>
  <c r="EF11" i="4"/>
  <c r="EG11" i="4"/>
  <c r="EH11" i="4"/>
  <c r="FD11" i="4"/>
  <c r="FE11" i="4"/>
  <c r="FF11" i="4"/>
  <c r="FG11" i="4"/>
  <c r="FH11" i="4"/>
  <c r="FI11" i="4"/>
  <c r="FK11" i="4"/>
  <c r="FL11" i="4"/>
  <c r="FM11" i="4"/>
  <c r="FN11" i="4"/>
  <c r="FO11" i="4"/>
  <c r="FP11" i="4"/>
  <c r="GL11" i="4"/>
  <c r="GM11" i="4"/>
  <c r="GN11" i="4"/>
  <c r="GO11" i="4"/>
  <c r="GP11" i="4"/>
  <c r="GQ11" i="4"/>
  <c r="GS11" i="4"/>
  <c r="GT11" i="4"/>
  <c r="GU11" i="4"/>
  <c r="GV11" i="4"/>
  <c r="GW11" i="4"/>
  <c r="GX11" i="4"/>
  <c r="HT11" i="4"/>
  <c r="HU11" i="4"/>
  <c r="HV11" i="4"/>
  <c r="HW11" i="4"/>
  <c r="HX11" i="4"/>
  <c r="HY11" i="4"/>
  <c r="IA11" i="4"/>
  <c r="IB11" i="4"/>
  <c r="IC11" i="4"/>
  <c r="ID11" i="4"/>
  <c r="IE11" i="4"/>
  <c r="IF11" i="4"/>
  <c r="JB11" i="4"/>
  <c r="JC11" i="4"/>
  <c r="JD11" i="4"/>
  <c r="JE11" i="4"/>
  <c r="JF11" i="4"/>
  <c r="JG11" i="4"/>
  <c r="JI11" i="4"/>
  <c r="JJ11" i="4"/>
  <c r="JK11" i="4"/>
  <c r="JL11" i="4"/>
  <c r="JM11" i="4"/>
  <c r="JN11" i="4"/>
  <c r="KJ11" i="4"/>
  <c r="KK11" i="4"/>
  <c r="KL11" i="4"/>
  <c r="KM11" i="4"/>
  <c r="KN11" i="4"/>
  <c r="KO11" i="4"/>
  <c r="KQ11" i="4"/>
  <c r="KR11" i="4"/>
  <c r="KS11" i="4"/>
  <c r="KT11" i="4"/>
  <c r="KU11" i="4"/>
  <c r="KV11" i="4"/>
  <c r="LR11" i="4"/>
  <c r="LS11" i="4"/>
  <c r="LT11" i="4"/>
  <c r="LU11" i="4"/>
  <c r="LV11" i="4"/>
  <c r="LW11" i="4"/>
  <c r="LY11" i="4"/>
  <c r="LZ11" i="4"/>
  <c r="MA11" i="4"/>
  <c r="MB11" i="4"/>
  <c r="MC11" i="4"/>
  <c r="MD11" i="4"/>
  <c r="MZ11" i="4"/>
  <c r="NA11" i="4"/>
  <c r="NB11" i="4"/>
  <c r="NC11" i="4"/>
  <c r="ND11" i="4"/>
  <c r="NE11" i="4"/>
  <c r="NG11" i="4"/>
  <c r="NH11" i="4"/>
  <c r="NI11" i="4"/>
  <c r="NJ11" i="4"/>
  <c r="NK11" i="4"/>
  <c r="NL11" i="4"/>
  <c r="OH11" i="4"/>
  <c r="OI11" i="4"/>
  <c r="OJ11" i="4"/>
  <c r="OK11" i="4"/>
  <c r="OL11" i="4"/>
  <c r="OM11" i="4"/>
  <c r="OO11" i="4"/>
  <c r="OP11" i="4"/>
  <c r="OQ11" i="4"/>
  <c r="OR11" i="4"/>
  <c r="OS11" i="4"/>
  <c r="OT11" i="4"/>
  <c r="PP11" i="4"/>
  <c r="PQ11" i="4"/>
  <c r="PR11" i="4"/>
  <c r="PS11" i="4"/>
  <c r="PT11" i="4"/>
  <c r="PU11" i="4"/>
  <c r="PW11" i="4"/>
  <c r="PX11" i="4"/>
  <c r="PY11" i="4"/>
  <c r="PZ11" i="4"/>
  <c r="QA11" i="4"/>
  <c r="QB11" i="4"/>
  <c r="QX11" i="4"/>
  <c r="QY11" i="4"/>
  <c r="QZ11" i="4"/>
  <c r="RA11" i="4"/>
  <c r="RB11" i="4"/>
  <c r="RC11" i="4"/>
  <c r="RE11" i="4"/>
  <c r="RF11" i="4"/>
  <c r="RG11" i="4"/>
  <c r="RH11" i="4"/>
  <c r="RI11" i="4"/>
  <c r="RJ11" i="4"/>
  <c r="SF11" i="4"/>
  <c r="SG11" i="4"/>
  <c r="SH11" i="4"/>
  <c r="SI11" i="4"/>
  <c r="SJ11" i="4"/>
  <c r="SK11" i="4"/>
  <c r="SM11" i="4"/>
  <c r="SN11" i="4"/>
  <c r="SO11" i="4"/>
  <c r="SP11" i="4"/>
  <c r="SQ11" i="4"/>
  <c r="SR11" i="4"/>
  <c r="ST11" i="4"/>
  <c r="SU11" i="4"/>
  <c r="SV11" i="4"/>
  <c r="TJ11" i="4" s="1"/>
  <c r="SW11" i="4"/>
  <c r="TK11" i="4" s="1"/>
  <c r="SX11" i="4"/>
  <c r="SY11" i="4"/>
  <c r="SZ11" i="4"/>
  <c r="TA11" i="4"/>
  <c r="TM11" i="4" s="1"/>
  <c r="TB11" i="4"/>
  <c r="TN11" i="4" s="1"/>
  <c r="TC11" i="4"/>
  <c r="TD11" i="4"/>
  <c r="TE11" i="4"/>
  <c r="TF11" i="4"/>
  <c r="TQ11" i="4" s="1"/>
  <c r="TG11" i="4"/>
  <c r="TR11" i="4" s="1"/>
  <c r="TH11" i="4"/>
  <c r="AW21" i="21" l="1"/>
  <c r="AW23" i="21"/>
  <c r="BZ7" i="21"/>
  <c r="BZ16" i="21"/>
  <c r="BZ18" i="21"/>
  <c r="AW16" i="26"/>
  <c r="BZ15" i="26"/>
  <c r="BZ14" i="26"/>
  <c r="AW7" i="19"/>
  <c r="AW10" i="19"/>
  <c r="AW11" i="19"/>
  <c r="AW22" i="19"/>
  <c r="AW12" i="19"/>
  <c r="AW16" i="19"/>
  <c r="AW36" i="19"/>
  <c r="BZ7" i="19"/>
  <c r="BZ10" i="19"/>
  <c r="BZ11" i="19"/>
  <c r="BZ22" i="19"/>
  <c r="BZ12" i="19"/>
  <c r="BZ16" i="19"/>
  <c r="CU24" i="22"/>
  <c r="NF23" i="22"/>
  <c r="NM23" i="22" s="1"/>
  <c r="BX30" i="22"/>
  <c r="ON14" i="4"/>
  <c r="LX14" i="4"/>
  <c r="BZ11" i="21"/>
  <c r="BZ14" i="21"/>
  <c r="BZ21" i="21"/>
  <c r="BZ23" i="21"/>
  <c r="QA17" i="26"/>
  <c r="AW11" i="26"/>
  <c r="CU23" i="22"/>
  <c r="CY23" i="22" s="1"/>
  <c r="ON23" i="22"/>
  <c r="BX33" i="4"/>
  <c r="JH14" i="4"/>
  <c r="JO14" i="4" s="1"/>
  <c r="AS21" i="4"/>
  <c r="AW21" i="4" s="1"/>
  <c r="NF14" i="4"/>
  <c r="NM14" i="4" s="1"/>
  <c r="CU23" i="4"/>
  <c r="CY23" i="4" s="1"/>
  <c r="CU16" i="4"/>
  <c r="CY16" i="4" s="1"/>
  <c r="GR14" i="4"/>
  <c r="GY14" i="4" s="1"/>
  <c r="EB14" i="4"/>
  <c r="QA31" i="19"/>
  <c r="RE22" i="27"/>
  <c r="QZ22" i="27"/>
  <c r="QA22" i="27"/>
  <c r="AW20" i="27"/>
  <c r="BZ7" i="27"/>
  <c r="BZ17" i="27"/>
  <c r="BZ8" i="27"/>
  <c r="BW11" i="26"/>
  <c r="AT17" i="26"/>
  <c r="AT11" i="26"/>
  <c r="QA11" i="26"/>
  <c r="QZ11" i="26"/>
  <c r="BX29" i="22"/>
  <c r="CU18" i="22"/>
  <c r="RD24" i="22"/>
  <c r="RK24" i="22" s="1"/>
  <c r="BX24" i="22"/>
  <c r="OU14" i="4"/>
  <c r="ME14" i="4"/>
  <c r="HZ27" i="4"/>
  <c r="IG27" i="4" s="1"/>
  <c r="ON27" i="4"/>
  <c r="OU27" i="4" s="1"/>
  <c r="LX27" i="4"/>
  <c r="ME27" i="4" s="1"/>
  <c r="JH27" i="4"/>
  <c r="JO27" i="4" s="1"/>
  <c r="CU29" i="4"/>
  <c r="CY29" i="4" s="1"/>
  <c r="CU14" i="4"/>
  <c r="CY14" i="4" s="1"/>
  <c r="ON24" i="4"/>
  <c r="OU24" i="4" s="1"/>
  <c r="SL14" i="4"/>
  <c r="SS14" i="4" s="1"/>
  <c r="PV14" i="4"/>
  <c r="QC14" i="4" s="1"/>
  <c r="BX14" i="4"/>
  <c r="CU24" i="4"/>
  <c r="CY24" i="4" s="1"/>
  <c r="BX24" i="4"/>
  <c r="BZ13" i="21"/>
  <c r="BZ11" i="26"/>
  <c r="BW17" i="26"/>
  <c r="AW9" i="26"/>
  <c r="BZ6" i="26"/>
  <c r="BZ12" i="26"/>
  <c r="BZ16" i="26"/>
  <c r="RB11" i="26"/>
  <c r="CZ11" i="26"/>
  <c r="RA11" i="26"/>
  <c r="N11" i="26"/>
  <c r="O11" i="26" s="1"/>
  <c r="CU22" i="22"/>
  <c r="CU16" i="22"/>
  <c r="CY16" i="22" s="1"/>
  <c r="CU14" i="22"/>
  <c r="CY14" i="22" s="1"/>
  <c r="CU15" i="22"/>
  <c r="CY15" i="22" s="1"/>
  <c r="CU10" i="22"/>
  <c r="CY10" i="22" s="1"/>
  <c r="GR23" i="22"/>
  <c r="GY23" i="22" s="1"/>
  <c r="BX27" i="22"/>
  <c r="BX29" i="4"/>
  <c r="AS11" i="4"/>
  <c r="AW11" i="4" s="1"/>
  <c r="AS15" i="4"/>
  <c r="AW15" i="4" s="1"/>
  <c r="CU15" i="4"/>
  <c r="CU21" i="4"/>
  <c r="CY21" i="4" s="1"/>
  <c r="BX27" i="4"/>
  <c r="CU21" i="22"/>
  <c r="CY21" i="22" s="1"/>
  <c r="CU19" i="22"/>
  <c r="CY19" i="22" s="1"/>
  <c r="CU27" i="4"/>
  <c r="CY27" i="4" s="1"/>
  <c r="CU17" i="4"/>
  <c r="CY17" i="4" s="1"/>
  <c r="P22" i="27"/>
  <c r="DF22" i="27" s="1"/>
  <c r="RB22" i="27"/>
  <c r="RA22" i="27"/>
  <c r="CZ22" i="27"/>
  <c r="L22" i="27"/>
  <c r="M22" i="27" s="1"/>
  <c r="N22" i="27"/>
  <c r="DE22" i="27" s="1"/>
  <c r="RF22" i="27"/>
  <c r="BZ22" i="27"/>
  <c r="F22" i="27"/>
  <c r="J22" i="27"/>
  <c r="K22" i="27" s="1"/>
  <c r="RC22" i="27"/>
  <c r="QD22" i="27"/>
  <c r="G22" i="27"/>
  <c r="AW22" i="27"/>
  <c r="BZ21" i="27"/>
  <c r="CZ17" i="27"/>
  <c r="QA12" i="27"/>
  <c r="BZ14" i="27"/>
  <c r="DC11" i="26"/>
  <c r="RE11" i="26"/>
  <c r="L11" i="26"/>
  <c r="M11" i="26" s="1"/>
  <c r="RF11" i="26"/>
  <c r="F11" i="26"/>
  <c r="J11" i="26"/>
  <c r="K11" i="26" s="1"/>
  <c r="P11" i="26"/>
  <c r="RC11" i="26"/>
  <c r="QD11" i="26"/>
  <c r="G11" i="26"/>
  <c r="DC17" i="26"/>
  <c r="RE17" i="26"/>
  <c r="QZ17" i="26"/>
  <c r="RB17" i="26"/>
  <c r="RA17" i="26"/>
  <c r="QA9" i="26"/>
  <c r="CZ17" i="26"/>
  <c r="L17" i="26"/>
  <c r="M17" i="26" s="1"/>
  <c r="N17" i="26"/>
  <c r="DE17" i="26" s="1"/>
  <c r="RF17" i="26"/>
  <c r="BZ17" i="26"/>
  <c r="F17" i="26"/>
  <c r="G17" i="26"/>
  <c r="J17" i="26"/>
  <c r="K17" i="26" s="1"/>
  <c r="P17" i="26"/>
  <c r="RC17" i="26"/>
  <c r="QD17" i="26"/>
  <c r="AW17" i="26"/>
  <c r="AW21" i="22"/>
  <c r="BX17" i="22"/>
  <c r="BX31" i="22"/>
  <c r="AS5" i="22"/>
  <c r="AW5" i="22" s="1"/>
  <c r="BT5" i="22"/>
  <c r="NF24" i="22"/>
  <c r="NM24" i="22" s="1"/>
  <c r="HZ23" i="22"/>
  <c r="IG23" i="22" s="1"/>
  <c r="AW7" i="21"/>
  <c r="AW16" i="21"/>
  <c r="AW18" i="21"/>
  <c r="AW13" i="21"/>
  <c r="BZ4" i="21"/>
  <c r="AW5" i="21"/>
  <c r="AW19" i="21"/>
  <c r="AW8" i="21"/>
  <c r="AW17" i="21"/>
  <c r="AW24" i="21"/>
  <c r="BZ6" i="21"/>
  <c r="AW4" i="21"/>
  <c r="AW10" i="21"/>
  <c r="AW15" i="21"/>
  <c r="AW22" i="21"/>
  <c r="AW25" i="21"/>
  <c r="BZ5" i="21"/>
  <c r="BZ19" i="21"/>
  <c r="BZ8" i="21"/>
  <c r="BZ17" i="21"/>
  <c r="BZ24" i="21"/>
  <c r="BZ10" i="21"/>
  <c r="BZ15" i="21"/>
  <c r="BZ22" i="21"/>
  <c r="BZ25" i="21"/>
  <c r="QD34" i="19"/>
  <c r="AW5" i="19"/>
  <c r="AW8" i="19"/>
  <c r="AW21" i="19"/>
  <c r="AW28" i="19"/>
  <c r="AW29" i="19"/>
  <c r="AW35" i="19"/>
  <c r="AW33" i="19"/>
  <c r="BZ5" i="19"/>
  <c r="BZ8" i="19"/>
  <c r="BZ21" i="19"/>
  <c r="BZ28" i="19"/>
  <c r="BZ29" i="19"/>
  <c r="BZ35" i="19"/>
  <c r="BZ33" i="19"/>
  <c r="RE34" i="19"/>
  <c r="QZ34" i="19"/>
  <c r="BZ36" i="19"/>
  <c r="BZ34" i="19"/>
  <c r="DC34" i="19"/>
  <c r="DC36" i="19"/>
  <c r="QA34" i="19"/>
  <c r="AW7" i="27"/>
  <c r="AW14" i="27"/>
  <c r="AW17" i="27"/>
  <c r="AW8" i="27"/>
  <c r="BZ6" i="27"/>
  <c r="BZ18" i="27"/>
  <c r="BZ16" i="27"/>
  <c r="BZ20" i="27"/>
  <c r="AW11" i="27"/>
  <c r="AW5" i="27"/>
  <c r="AW9" i="27"/>
  <c r="AW23" i="27"/>
  <c r="AW21" i="27"/>
  <c r="BZ10" i="27"/>
  <c r="BZ12" i="27"/>
  <c r="BZ15" i="27"/>
  <c r="AW6" i="27"/>
  <c r="AW18" i="27"/>
  <c r="AW16" i="27"/>
  <c r="AW10" i="27"/>
  <c r="AW12" i="27"/>
  <c r="AW15" i="27"/>
  <c r="AW19" i="27"/>
  <c r="BZ11" i="27"/>
  <c r="BZ5" i="27"/>
  <c r="BZ9" i="27"/>
  <c r="BZ23" i="27"/>
  <c r="BZ19" i="27"/>
  <c r="AW10" i="26"/>
  <c r="AW13" i="26"/>
  <c r="BZ4" i="26"/>
  <c r="BZ8" i="26"/>
  <c r="BZ9" i="26"/>
  <c r="AW7" i="26"/>
  <c r="AW15" i="26"/>
  <c r="BZ10" i="26"/>
  <c r="AW6" i="26"/>
  <c r="AW12" i="26"/>
  <c r="BZ7" i="26"/>
  <c r="AW4" i="26"/>
  <c r="AW8" i="26"/>
  <c r="AW14" i="26"/>
  <c r="BZ13" i="26"/>
  <c r="ON24" i="22"/>
  <c r="OU24" i="22" s="1"/>
  <c r="SL24" i="22"/>
  <c r="SS24" i="22" s="1"/>
  <c r="LX24" i="22"/>
  <c r="ME24" i="22" s="1"/>
  <c r="JH24" i="22"/>
  <c r="JO24" i="22" s="1"/>
  <c r="GR24" i="22"/>
  <c r="GY24" i="22" s="1"/>
  <c r="EB24" i="22"/>
  <c r="EI24" i="22" s="1"/>
  <c r="NF18" i="22"/>
  <c r="NM18" i="22" s="1"/>
  <c r="HZ18" i="22"/>
  <c r="IG18" i="22" s="1"/>
  <c r="HZ24" i="22"/>
  <c r="IG24" i="22" s="1"/>
  <c r="CY24" i="22"/>
  <c r="LX23" i="22"/>
  <c r="ME23" i="22" s="1"/>
  <c r="BX23" i="22"/>
  <c r="NF27" i="4"/>
  <c r="NM27" i="4" s="1"/>
  <c r="GR27" i="4"/>
  <c r="GY27" i="4" s="1"/>
  <c r="NF24" i="4"/>
  <c r="NM24" i="4" s="1"/>
  <c r="HZ24" i="4"/>
  <c r="IG24" i="4" s="1"/>
  <c r="BX16" i="4"/>
  <c r="IG14" i="4"/>
  <c r="EI14" i="4"/>
  <c r="EB27" i="4"/>
  <c r="EI27" i="4" s="1"/>
  <c r="TO14" i="4"/>
  <c r="LX24" i="4"/>
  <c r="ME24" i="4" s="1"/>
  <c r="JH24" i="4"/>
  <c r="JO24" i="4" s="1"/>
  <c r="SL27" i="4"/>
  <c r="SS27" i="4" s="1"/>
  <c r="PV27" i="4"/>
  <c r="QC27" i="4" s="1"/>
  <c r="TS14" i="4"/>
  <c r="TL14" i="4"/>
  <c r="SL29" i="4"/>
  <c r="SS29" i="4" s="1"/>
  <c r="RD14" i="4"/>
  <c r="RK14" i="4" s="1"/>
  <c r="KP14" i="4"/>
  <c r="KW14" i="4" s="1"/>
  <c r="FJ14" i="4"/>
  <c r="FQ14" i="4" s="1"/>
  <c r="TQ14" i="4"/>
  <c r="P14" i="4"/>
  <c r="Q14" i="4" s="1"/>
  <c r="G14" i="4"/>
  <c r="J14" i="4"/>
  <c r="F14" i="4"/>
  <c r="N14" i="4"/>
  <c r="AS14" i="4"/>
  <c r="AW14" i="4" s="1"/>
  <c r="L14" i="4"/>
  <c r="R14" i="4"/>
  <c r="S14" i="4" s="1"/>
  <c r="I14" i="4"/>
  <c r="SL24" i="4"/>
  <c r="SS24" i="4" s="1"/>
  <c r="PV24" i="4"/>
  <c r="QC24" i="4" s="1"/>
  <c r="TL27" i="4"/>
  <c r="GR24" i="4"/>
  <c r="GY24" i="4" s="1"/>
  <c r="EB24" i="4"/>
  <c r="EI24" i="4" s="1"/>
  <c r="TO27" i="4"/>
  <c r="BX23" i="4"/>
  <c r="RD27" i="4"/>
  <c r="RK27" i="4" s="1"/>
  <c r="KP27" i="4"/>
  <c r="KW27" i="4" s="1"/>
  <c r="FJ27" i="4"/>
  <c r="FQ27" i="4" s="1"/>
  <c r="TS27" i="4"/>
  <c r="TQ27" i="4"/>
  <c r="R27" i="4"/>
  <c r="S27" i="4" s="1"/>
  <c r="L27" i="4"/>
  <c r="M27" i="4" s="1"/>
  <c r="J27" i="4"/>
  <c r="F27" i="4"/>
  <c r="I27" i="4"/>
  <c r="P27" i="4"/>
  <c r="Q27" i="4" s="1"/>
  <c r="G27" i="4"/>
  <c r="N27" i="4"/>
  <c r="AS27" i="4"/>
  <c r="AW27" i="4" s="1"/>
  <c r="RD29" i="4"/>
  <c r="RK29" i="4" s="1"/>
  <c r="ON29" i="4"/>
  <c r="OU29" i="4" s="1"/>
  <c r="LX29" i="4"/>
  <c r="ME29" i="4" s="1"/>
  <c r="JH29" i="4"/>
  <c r="JO29" i="4" s="1"/>
  <c r="GR29" i="4"/>
  <c r="GY29" i="4" s="1"/>
  <c r="EB29" i="4"/>
  <c r="EI29" i="4" s="1"/>
  <c r="TO24" i="4"/>
  <c r="SL16" i="4"/>
  <c r="SS16" i="4" s="1"/>
  <c r="NF16" i="4"/>
  <c r="NM16" i="4" s="1"/>
  <c r="TL24" i="4"/>
  <c r="AS33" i="4"/>
  <c r="AW33" i="4" s="1"/>
  <c r="RD24" i="4"/>
  <c r="RK24" i="4" s="1"/>
  <c r="KP24" i="4"/>
  <c r="KW24" i="4" s="1"/>
  <c r="FJ24" i="4"/>
  <c r="FQ24" i="4" s="1"/>
  <c r="TS24" i="4"/>
  <c r="P24" i="4"/>
  <c r="Q24" i="4" s="1"/>
  <c r="L24" i="4"/>
  <c r="M24" i="4" s="1"/>
  <c r="J24" i="4"/>
  <c r="F24" i="4"/>
  <c r="G24" i="4"/>
  <c r="N24" i="4"/>
  <c r="AS24" i="4"/>
  <c r="AW24" i="4" s="1"/>
  <c r="R24" i="4"/>
  <c r="S24" i="4" s="1"/>
  <c r="I24" i="4"/>
  <c r="AW26" i="4"/>
  <c r="BX20" i="4"/>
  <c r="BX34" i="4"/>
  <c r="AS10" i="4"/>
  <c r="AW10" i="4" s="1"/>
  <c r="AS34" i="4"/>
  <c r="AW34" i="4" s="1"/>
  <c r="BX17" i="4"/>
  <c r="BX22" i="4"/>
  <c r="TL23" i="4"/>
  <c r="RD16" i="4"/>
  <c r="RK16" i="4" s="1"/>
  <c r="ON16" i="4"/>
  <c r="OU16" i="4" s="1"/>
  <c r="AS4" i="4"/>
  <c r="AW4" i="4" s="1"/>
  <c r="AS12" i="4"/>
  <c r="AW12" i="4" s="1"/>
  <c r="AS28" i="4"/>
  <c r="AW28" i="4" s="1"/>
  <c r="LX16" i="4"/>
  <c r="ME16" i="4" s="1"/>
  <c r="JH16" i="4"/>
  <c r="JO16" i="4" s="1"/>
  <c r="GR16" i="4"/>
  <c r="GY16" i="4" s="1"/>
  <c r="EB16" i="4"/>
  <c r="EI16" i="4" s="1"/>
  <c r="NF29" i="4"/>
  <c r="NM29" i="4" s="1"/>
  <c r="KP29" i="4"/>
  <c r="KW29" i="4" s="1"/>
  <c r="HZ29" i="4"/>
  <c r="IG29" i="4" s="1"/>
  <c r="AS5" i="4"/>
  <c r="AW5" i="4" s="1"/>
  <c r="HZ16" i="4"/>
  <c r="IG16" i="4" s="1"/>
  <c r="PV29" i="4"/>
  <c r="QC29" i="4" s="1"/>
  <c r="FJ29" i="4"/>
  <c r="FQ29" i="4" s="1"/>
  <c r="TS29" i="4"/>
  <c r="TO29" i="4"/>
  <c r="TL29" i="4"/>
  <c r="P29" i="4"/>
  <c r="Q29" i="4" s="1"/>
  <c r="L29" i="4"/>
  <c r="M29" i="4" s="1"/>
  <c r="F29" i="4"/>
  <c r="J29" i="4"/>
  <c r="I29" i="4"/>
  <c r="R29" i="4"/>
  <c r="S29" i="4" s="1"/>
  <c r="G29" i="4"/>
  <c r="N29" i="4"/>
  <c r="AS29" i="4"/>
  <c r="AW29" i="4" s="1"/>
  <c r="TO16" i="4"/>
  <c r="AS22" i="4"/>
  <c r="AW22" i="4" s="1"/>
  <c r="BT4" i="4"/>
  <c r="BX4" i="4" s="1"/>
  <c r="BT12" i="4"/>
  <c r="BX12" i="4" s="1"/>
  <c r="TL16" i="4"/>
  <c r="KP16" i="4"/>
  <c r="KW16" i="4" s="1"/>
  <c r="PV23" i="4"/>
  <c r="QC23" i="4" s="1"/>
  <c r="KP23" i="4"/>
  <c r="KW23" i="4" s="1"/>
  <c r="HZ23" i="4"/>
  <c r="IG23" i="4" s="1"/>
  <c r="AS30" i="4"/>
  <c r="AW30" i="4" s="1"/>
  <c r="PV16" i="4"/>
  <c r="QC16" i="4" s="1"/>
  <c r="FJ16" i="4"/>
  <c r="FQ16" i="4" s="1"/>
  <c r="TS16" i="4"/>
  <c r="R16" i="4"/>
  <c r="S16" i="4" s="1"/>
  <c r="L16" i="4"/>
  <c r="M16" i="4" s="1"/>
  <c r="J16" i="4"/>
  <c r="F16" i="4"/>
  <c r="I16" i="4"/>
  <c r="P16" i="4"/>
  <c r="Q16" i="4" s="1"/>
  <c r="G16" i="4"/>
  <c r="N16" i="4"/>
  <c r="AS16" i="4"/>
  <c r="AW16" i="4" s="1"/>
  <c r="BX10" i="4"/>
  <c r="BX25" i="4"/>
  <c r="BX26" i="4"/>
  <c r="TO23" i="4"/>
  <c r="BT5" i="4"/>
  <c r="BX5" i="4" s="1"/>
  <c r="BX13" i="4"/>
  <c r="BX15" i="4"/>
  <c r="BX30" i="4"/>
  <c r="AS18" i="4"/>
  <c r="AW18" i="4" s="1"/>
  <c r="BT7" i="4"/>
  <c r="BX7" i="4" s="1"/>
  <c r="BX18" i="4"/>
  <c r="BX31" i="4"/>
  <c r="RD23" i="4"/>
  <c r="RK23" i="4" s="1"/>
  <c r="ON23" i="4"/>
  <c r="OU23" i="4" s="1"/>
  <c r="LX23" i="4"/>
  <c r="ME23" i="4" s="1"/>
  <c r="JH23" i="4"/>
  <c r="JO23" i="4" s="1"/>
  <c r="AS13" i="4"/>
  <c r="AW13" i="4" s="1"/>
  <c r="AS17" i="4"/>
  <c r="AW17" i="4" s="1"/>
  <c r="AW20" i="4"/>
  <c r="AS31" i="4"/>
  <c r="AW31" i="4" s="1"/>
  <c r="BX28" i="4"/>
  <c r="BX32" i="4"/>
  <c r="SL23" i="4"/>
  <c r="SS23" i="4" s="1"/>
  <c r="NF23" i="4"/>
  <c r="NM23" i="4" s="1"/>
  <c r="GR23" i="4"/>
  <c r="GY23" i="4" s="1"/>
  <c r="EB23" i="4"/>
  <c r="EI23" i="4" s="1"/>
  <c r="RB34" i="19"/>
  <c r="RF34" i="19"/>
  <c r="P34" i="19"/>
  <c r="DF34" i="19" s="1"/>
  <c r="RA34" i="19"/>
  <c r="G34" i="19"/>
  <c r="RC34" i="19"/>
  <c r="N34" i="19"/>
  <c r="DE34" i="19" s="1"/>
  <c r="L34" i="19"/>
  <c r="DD34" i="19" s="1"/>
  <c r="F34" i="19"/>
  <c r="J34" i="19"/>
  <c r="CZ34" i="19"/>
  <c r="BW34" i="19"/>
  <c r="AT34" i="19"/>
  <c r="AW34" i="19"/>
  <c r="AW6" i="19"/>
  <c r="AW13" i="19"/>
  <c r="AW31" i="19"/>
  <c r="AW32" i="19"/>
  <c r="AW15" i="19"/>
  <c r="AW14" i="19"/>
  <c r="AW18" i="19"/>
  <c r="BZ6" i="19"/>
  <c r="BZ13" i="19"/>
  <c r="BZ31" i="19"/>
  <c r="BZ32" i="19"/>
  <c r="BZ15" i="19"/>
  <c r="BZ14" i="19"/>
  <c r="BZ18" i="19"/>
  <c r="RE36" i="19"/>
  <c r="AW4" i="19"/>
  <c r="AW9" i="19"/>
  <c r="AW19" i="19"/>
  <c r="AW23" i="19"/>
  <c r="AW25" i="19"/>
  <c r="AW20" i="19"/>
  <c r="AW27" i="19"/>
  <c r="BZ4" i="19"/>
  <c r="BZ9" i="19"/>
  <c r="BZ19" i="19"/>
  <c r="BZ23" i="19"/>
  <c r="BZ25" i="19"/>
  <c r="BZ20" i="19"/>
  <c r="BZ27" i="19"/>
  <c r="CZ36" i="19"/>
  <c r="FJ23" i="4"/>
  <c r="FQ23" i="4" s="1"/>
  <c r="TS23" i="4"/>
  <c r="TQ23" i="4"/>
  <c r="P23" i="4"/>
  <c r="Q23" i="4" s="1"/>
  <c r="G23" i="4"/>
  <c r="J23" i="4"/>
  <c r="F23" i="4"/>
  <c r="R23" i="4"/>
  <c r="S23" i="4" s="1"/>
  <c r="N23" i="4"/>
  <c r="AS23" i="4"/>
  <c r="AW23" i="4" s="1"/>
  <c r="L23" i="4"/>
  <c r="I23" i="4"/>
  <c r="R4" i="4"/>
  <c r="S4" i="4" s="1"/>
  <c r="AW9" i="4"/>
  <c r="AS19" i="4"/>
  <c r="AW19" i="4" s="1"/>
  <c r="BX21" i="4"/>
  <c r="AS25" i="4"/>
  <c r="AW25" i="4" s="1"/>
  <c r="BT11" i="4"/>
  <c r="BX11" i="4" s="1"/>
  <c r="AS7" i="4"/>
  <c r="AW7" i="4" s="1"/>
  <c r="AS6" i="4"/>
  <c r="AW6" i="4" s="1"/>
  <c r="BT9" i="4"/>
  <c r="BX9" i="4" s="1"/>
  <c r="BT19" i="4"/>
  <c r="BX19" i="4" s="1"/>
  <c r="BT6" i="4"/>
  <c r="BX6" i="4" s="1"/>
  <c r="AS32" i="4"/>
  <c r="AW32" i="4" s="1"/>
  <c r="SL23" i="22"/>
  <c r="SS23" i="22" s="1"/>
  <c r="AS8" i="22"/>
  <c r="AW8" i="22" s="1"/>
  <c r="AS29" i="22"/>
  <c r="AW29" i="22" s="1"/>
  <c r="BT8" i="22"/>
  <c r="BX8" i="22" s="1"/>
  <c r="ON18" i="22"/>
  <c r="OU18" i="22" s="1"/>
  <c r="RD23" i="22"/>
  <c r="RK23" i="22" s="1"/>
  <c r="PV23" i="22"/>
  <c r="QC23" i="22" s="1"/>
  <c r="OU23" i="22"/>
  <c r="KP23" i="22"/>
  <c r="KW23" i="22" s="1"/>
  <c r="JH23" i="22"/>
  <c r="JO23" i="22" s="1"/>
  <c r="FJ23" i="22"/>
  <c r="FQ23" i="22" s="1"/>
  <c r="EB23" i="22"/>
  <c r="EI23" i="22" s="1"/>
  <c r="TO23" i="22"/>
  <c r="TL23" i="22"/>
  <c r="TS23" i="22"/>
  <c r="P23" i="22"/>
  <c r="Q23" i="22" s="1"/>
  <c r="L23" i="22"/>
  <c r="M23" i="22" s="1"/>
  <c r="F23" i="22"/>
  <c r="R23" i="22"/>
  <c r="S23" i="22" s="1"/>
  <c r="J23" i="22"/>
  <c r="I23" i="22"/>
  <c r="G23" i="22"/>
  <c r="N23" i="22"/>
  <c r="AS23" i="22"/>
  <c r="AW23" i="22" s="1"/>
  <c r="BX15" i="22"/>
  <c r="BX10" i="22"/>
  <c r="BX16" i="22"/>
  <c r="LX18" i="22"/>
  <c r="ME18" i="22" s="1"/>
  <c r="JH18" i="22"/>
  <c r="JO18" i="22" s="1"/>
  <c r="BX18" i="22"/>
  <c r="GR18" i="22"/>
  <c r="GY18" i="22" s="1"/>
  <c r="EB18" i="22"/>
  <c r="EI18" i="22" s="1"/>
  <c r="SL18" i="22"/>
  <c r="SS18" i="22" s="1"/>
  <c r="PV18" i="22"/>
  <c r="QC18" i="22" s="1"/>
  <c r="AS11" i="22"/>
  <c r="AW11" i="22" s="1"/>
  <c r="BT11" i="22"/>
  <c r="BX11" i="22" s="1"/>
  <c r="PV24" i="22"/>
  <c r="QC24" i="22" s="1"/>
  <c r="KP24" i="22"/>
  <c r="KW24" i="22" s="1"/>
  <c r="FJ24" i="22"/>
  <c r="FQ24" i="22" s="1"/>
  <c r="TL24" i="22"/>
  <c r="TS24" i="22"/>
  <c r="P24" i="22"/>
  <c r="Q24" i="22" s="1"/>
  <c r="TO24" i="22"/>
  <c r="L24" i="22"/>
  <c r="M24" i="22" s="1"/>
  <c r="F24" i="22"/>
  <c r="R24" i="22"/>
  <c r="S24" i="22" s="1"/>
  <c r="J24" i="22"/>
  <c r="I24" i="22"/>
  <c r="G24" i="22"/>
  <c r="N24" i="22"/>
  <c r="AS24" i="22"/>
  <c r="AW24" i="22" s="1"/>
  <c r="BX5" i="22"/>
  <c r="BX25" i="22"/>
  <c r="BX21" i="22"/>
  <c r="AS12" i="22"/>
  <c r="AW12" i="22" s="1"/>
  <c r="BX4" i="22"/>
  <c r="BX28" i="22"/>
  <c r="TL18" i="22"/>
  <c r="AS4" i="22"/>
  <c r="AW4" i="22" s="1"/>
  <c r="AS10" i="22"/>
  <c r="AW10" i="22" s="1"/>
  <c r="AS13" i="22"/>
  <c r="AW13" i="22" s="1"/>
  <c r="BX26" i="22"/>
  <c r="BX19" i="22"/>
  <c r="AS20" i="22"/>
  <c r="AW20" i="22" s="1"/>
  <c r="AS30" i="22"/>
  <c r="AW30" i="22" s="1"/>
  <c r="AS16" i="22"/>
  <c r="AW16" i="22" s="1"/>
  <c r="KP30" i="22"/>
  <c r="KW30" i="22" s="1"/>
  <c r="AS17" i="22"/>
  <c r="AW17" i="22" s="1"/>
  <c r="AS31" i="22"/>
  <c r="AW31" i="22" s="1"/>
  <c r="BX20" i="22"/>
  <c r="RD18" i="22"/>
  <c r="RK18" i="22" s="1"/>
  <c r="KP18" i="22"/>
  <c r="KW18" i="22" s="1"/>
  <c r="FJ18" i="22"/>
  <c r="FQ18" i="22" s="1"/>
  <c r="CY18" i="22"/>
  <c r="TS18" i="22"/>
  <c r="P18" i="22"/>
  <c r="Q18" i="22" s="1"/>
  <c r="TO18" i="22"/>
  <c r="L18" i="22"/>
  <c r="M18" i="22" s="1"/>
  <c r="F18" i="22"/>
  <c r="J18" i="22"/>
  <c r="I18" i="22"/>
  <c r="R18" i="22"/>
  <c r="S18" i="22" s="1"/>
  <c r="G18" i="22"/>
  <c r="N18" i="22"/>
  <c r="AS18" i="22"/>
  <c r="AW18" i="22" s="1"/>
  <c r="AS27" i="22"/>
  <c r="AW27" i="22" s="1"/>
  <c r="R28" i="22"/>
  <c r="S28" i="22" s="1"/>
  <c r="AS14" i="22"/>
  <c r="AW14" i="22" s="1"/>
  <c r="AS19" i="22"/>
  <c r="AW19" i="22" s="1"/>
  <c r="BX14" i="22"/>
  <c r="AS25" i="22"/>
  <c r="AW25" i="22" s="1"/>
  <c r="BT13" i="22"/>
  <c r="BX13" i="22" s="1"/>
  <c r="AS9" i="22"/>
  <c r="AW9" i="22" s="1"/>
  <c r="AS22" i="22"/>
  <c r="AW22" i="22" s="1"/>
  <c r="BT9" i="22"/>
  <c r="BX9" i="22" s="1"/>
  <c r="AS26" i="22"/>
  <c r="AW26" i="22" s="1"/>
  <c r="BT12" i="22"/>
  <c r="BX12" i="22" s="1"/>
  <c r="AS15" i="22"/>
  <c r="AW15" i="22" s="1"/>
  <c r="AS28" i="22"/>
  <c r="AW28" i="22" s="1"/>
  <c r="BW4" i="21"/>
  <c r="BW5" i="21"/>
  <c r="BW6" i="21"/>
  <c r="BW7" i="21"/>
  <c r="BW10" i="21"/>
  <c r="BW19" i="21"/>
  <c r="BW11" i="21"/>
  <c r="BW16" i="21"/>
  <c r="BW15" i="21"/>
  <c r="BW8" i="21"/>
  <c r="BW14" i="21"/>
  <c r="BW18" i="21"/>
  <c r="BW22" i="21"/>
  <c r="BW17" i="21"/>
  <c r="BW21" i="21"/>
  <c r="BW13" i="21"/>
  <c r="BW25" i="21"/>
  <c r="BW24" i="21"/>
  <c r="BW23" i="21"/>
  <c r="AT4" i="21"/>
  <c r="AT5" i="21"/>
  <c r="AT6" i="21"/>
  <c r="AT7" i="21"/>
  <c r="AT10" i="21"/>
  <c r="AT19" i="21"/>
  <c r="AT11" i="21"/>
  <c r="AT16" i="21"/>
  <c r="AT15" i="21"/>
  <c r="AT8" i="21"/>
  <c r="AT14" i="21"/>
  <c r="AT18" i="21"/>
  <c r="AT22" i="21"/>
  <c r="AT17" i="21"/>
  <c r="AT21" i="21"/>
  <c r="AT13" i="21"/>
  <c r="AT25" i="21"/>
  <c r="AT24" i="21"/>
  <c r="AT23" i="21"/>
  <c r="BW5" i="19"/>
  <c r="BW4" i="19"/>
  <c r="BW6" i="19"/>
  <c r="BW7" i="19"/>
  <c r="BW8" i="19"/>
  <c r="BW9" i="19"/>
  <c r="BW13" i="19"/>
  <c r="BW10" i="19"/>
  <c r="BW21" i="19"/>
  <c r="BW19" i="19"/>
  <c r="BW31" i="19"/>
  <c r="BW11" i="19"/>
  <c r="BW28" i="19"/>
  <c r="BW23" i="19"/>
  <c r="BW32" i="19"/>
  <c r="BW22" i="19"/>
  <c r="BW29" i="19"/>
  <c r="BW25" i="19"/>
  <c r="BW15" i="19"/>
  <c r="BW12" i="19"/>
  <c r="BW35" i="19"/>
  <c r="BW20" i="19"/>
  <c r="BW14" i="19"/>
  <c r="BW16" i="19"/>
  <c r="BW33" i="19"/>
  <c r="BW27" i="19"/>
  <c r="BW18" i="19"/>
  <c r="BW36" i="19"/>
  <c r="AT5" i="19"/>
  <c r="AT4" i="19"/>
  <c r="AT6" i="19"/>
  <c r="AT7" i="19"/>
  <c r="AT8" i="19"/>
  <c r="AT9" i="19"/>
  <c r="AT13" i="19"/>
  <c r="AT10" i="19"/>
  <c r="AT21" i="19"/>
  <c r="AT19" i="19"/>
  <c r="AT31" i="19"/>
  <c r="AT11" i="19"/>
  <c r="AT28" i="19"/>
  <c r="AT23" i="19"/>
  <c r="AT32" i="19"/>
  <c r="AT22" i="19"/>
  <c r="AT29" i="19"/>
  <c r="AT25" i="19"/>
  <c r="AT15" i="19"/>
  <c r="AT12" i="19"/>
  <c r="AT35" i="19"/>
  <c r="AT20" i="19"/>
  <c r="AT14" i="19"/>
  <c r="AT16" i="19"/>
  <c r="AT33" i="19"/>
  <c r="AT27" i="19"/>
  <c r="AT18" i="19"/>
  <c r="AT36" i="19"/>
  <c r="BW11" i="27"/>
  <c r="BW7" i="27"/>
  <c r="BW10" i="27"/>
  <c r="BW6" i="27"/>
  <c r="BW5" i="27"/>
  <c r="BW14" i="27"/>
  <c r="BW12" i="27"/>
  <c r="BW18" i="27"/>
  <c r="BW9" i="27"/>
  <c r="BW17" i="27"/>
  <c r="BW15" i="27"/>
  <c r="BW16" i="27"/>
  <c r="BW23" i="27"/>
  <c r="BW8" i="27"/>
  <c r="BW19" i="27"/>
  <c r="BW20" i="27"/>
  <c r="BW21" i="27"/>
  <c r="AT11" i="27"/>
  <c r="AT7" i="27"/>
  <c r="AT10" i="27"/>
  <c r="AT6" i="27"/>
  <c r="AT5" i="27"/>
  <c r="AT14" i="27"/>
  <c r="AT12" i="27"/>
  <c r="AT18" i="27"/>
  <c r="AT9" i="27"/>
  <c r="AT17" i="27"/>
  <c r="AT15" i="27"/>
  <c r="AT16" i="27"/>
  <c r="AT23" i="27"/>
  <c r="AT8" i="27"/>
  <c r="AT19" i="27"/>
  <c r="AT20" i="27"/>
  <c r="AT21" i="27"/>
  <c r="BW4" i="26"/>
  <c r="BW6" i="26"/>
  <c r="BW7" i="26"/>
  <c r="BW10" i="26"/>
  <c r="BW8" i="26"/>
  <c r="BW12" i="26"/>
  <c r="BW15" i="26"/>
  <c r="BW13" i="26"/>
  <c r="BW9" i="26"/>
  <c r="BW16" i="26"/>
  <c r="BW14" i="26"/>
  <c r="AT4" i="26"/>
  <c r="AT6" i="26"/>
  <c r="AT7" i="26"/>
  <c r="AT10" i="26"/>
  <c r="AT8" i="26"/>
  <c r="AT12" i="26"/>
  <c r="AT15" i="26"/>
  <c r="AT13" i="26"/>
  <c r="AT9" i="26"/>
  <c r="AT16" i="26"/>
  <c r="AT14" i="26"/>
  <c r="R21" i="22"/>
  <c r="S21" i="22" s="1"/>
  <c r="R22" i="22"/>
  <c r="S22" i="22" s="1"/>
  <c r="R29" i="22"/>
  <c r="S29" i="22" s="1"/>
  <c r="R31" i="22"/>
  <c r="S31" i="22" s="1"/>
  <c r="R20" i="22"/>
  <c r="S20" i="22" s="1"/>
  <c r="R17" i="22"/>
  <c r="S17" i="22" s="1"/>
  <c r="R25" i="22"/>
  <c r="S25" i="22" s="1"/>
  <c r="R30" i="22"/>
  <c r="S30" i="22" s="1"/>
  <c r="R9" i="22"/>
  <c r="S9" i="22" s="1"/>
  <c r="R10" i="22"/>
  <c r="S10" i="22" s="1"/>
  <c r="R27" i="22"/>
  <c r="S27" i="22" s="1"/>
  <c r="R8" i="22"/>
  <c r="S8" i="22" s="1"/>
  <c r="R15" i="22"/>
  <c r="S15" i="22" s="1"/>
  <c r="R13" i="22"/>
  <c r="S13" i="22" s="1"/>
  <c r="R16" i="22"/>
  <c r="S16" i="22" s="1"/>
  <c r="R19" i="22"/>
  <c r="S19" i="22" s="1"/>
  <c r="R4" i="22"/>
  <c r="S4" i="22" s="1"/>
  <c r="R11" i="22"/>
  <c r="S11" i="22" s="1"/>
  <c r="R12" i="22"/>
  <c r="S12" i="22" s="1"/>
  <c r="R14" i="22"/>
  <c r="S14" i="22" s="1"/>
  <c r="R26" i="22"/>
  <c r="S26" i="22" s="1"/>
  <c r="R17" i="4"/>
  <c r="S17" i="4" s="1"/>
  <c r="R13" i="4"/>
  <c r="S13" i="4" s="1"/>
  <c r="R12" i="4"/>
  <c r="S12" i="4" s="1"/>
  <c r="R9" i="4"/>
  <c r="S9" i="4" s="1"/>
  <c r="R15" i="4"/>
  <c r="S15" i="4" s="1"/>
  <c r="R6" i="4"/>
  <c r="S6" i="4" s="1"/>
  <c r="R7" i="4"/>
  <c r="S7" i="4" s="1"/>
  <c r="R5" i="4"/>
  <c r="S5" i="4" s="1"/>
  <c r="R10" i="4"/>
  <c r="S10" i="4" s="1"/>
  <c r="R21" i="4"/>
  <c r="S21" i="4" s="1"/>
  <c r="R11" i="4"/>
  <c r="S11" i="4" s="1"/>
  <c r="R25" i="4"/>
  <c r="S25" i="4" s="1"/>
  <c r="QA36" i="19"/>
  <c r="N36" i="19"/>
  <c r="DE36" i="19" s="1"/>
  <c r="RB36" i="19"/>
  <c r="RA36" i="19"/>
  <c r="RF36" i="19"/>
  <c r="QZ36" i="19"/>
  <c r="G36" i="19"/>
  <c r="L36" i="19"/>
  <c r="M36" i="19" s="1"/>
  <c r="F36" i="19"/>
  <c r="J36" i="19"/>
  <c r="K36" i="19" s="1"/>
  <c r="P36" i="19"/>
  <c r="RC36" i="19"/>
  <c r="QD36" i="19"/>
  <c r="DC18" i="19"/>
  <c r="P18" i="19"/>
  <c r="DF18" i="19" s="1"/>
  <c r="QZ18" i="19"/>
  <c r="QA18" i="19"/>
  <c r="RB18" i="19"/>
  <c r="RA18" i="19"/>
  <c r="N18" i="19"/>
  <c r="O18" i="19" s="1"/>
  <c r="RE18" i="19"/>
  <c r="CZ18" i="19"/>
  <c r="L18" i="19"/>
  <c r="M18" i="19" s="1"/>
  <c r="RF18" i="19"/>
  <c r="J18" i="19"/>
  <c r="K18" i="19" s="1"/>
  <c r="F18" i="19"/>
  <c r="RC18" i="19"/>
  <c r="QD18" i="19"/>
  <c r="G18" i="19"/>
  <c r="QA21" i="19"/>
  <c r="QD19" i="19"/>
  <c r="RE13" i="19"/>
  <c r="QA11" i="21"/>
  <c r="QA16" i="21"/>
  <c r="N5" i="21"/>
  <c r="O5" i="21" s="1"/>
  <c r="QD21" i="21"/>
  <c r="QZ7" i="21"/>
  <c r="QD11" i="19"/>
  <c r="CZ11" i="19"/>
  <c r="RB10" i="19"/>
  <c r="CZ10" i="19"/>
  <c r="QZ31" i="19"/>
  <c r="QD13" i="19"/>
  <c r="RE12" i="27"/>
  <c r="QZ12" i="27"/>
  <c r="L7" i="27"/>
  <c r="M7" i="27" s="1"/>
  <c r="QA15" i="26"/>
  <c r="QD13" i="26"/>
  <c r="QD10" i="26"/>
  <c r="RE7" i="26"/>
  <c r="QZ7" i="26"/>
  <c r="LX28" i="22"/>
  <c r="ME28" i="22" s="1"/>
  <c r="CY17" i="22"/>
  <c r="RD9" i="22"/>
  <c r="RK9" i="22" s="1"/>
  <c r="ON9" i="22"/>
  <c r="OU9" i="22" s="1"/>
  <c r="LX9" i="22"/>
  <c r="ME9" i="22" s="1"/>
  <c r="JH9" i="22"/>
  <c r="JO9" i="22" s="1"/>
  <c r="GR9" i="22"/>
  <c r="GY9" i="22" s="1"/>
  <c r="SL4" i="22"/>
  <c r="SS4" i="22" s="1"/>
  <c r="NF4" i="22"/>
  <c r="NM4" i="22" s="1"/>
  <c r="HZ4" i="22"/>
  <c r="IG4" i="22" s="1"/>
  <c r="FJ4" i="22"/>
  <c r="FQ4" i="22" s="1"/>
  <c r="HZ25" i="22"/>
  <c r="IG25" i="22" s="1"/>
  <c r="GR19" i="22"/>
  <c r="GY19" i="22" s="1"/>
  <c r="SL15" i="22"/>
  <c r="SS15" i="22" s="1"/>
  <c r="EB27" i="22"/>
  <c r="EI27" i="22" s="1"/>
  <c r="ON31" i="22"/>
  <c r="OU31" i="22" s="1"/>
  <c r="NF27" i="22"/>
  <c r="NM27" i="22" s="1"/>
  <c r="SL20" i="22"/>
  <c r="SS20" i="22" s="1"/>
  <c r="ON11" i="22"/>
  <c r="OU11" i="22" s="1"/>
  <c r="LX11" i="22"/>
  <c r="ME11" i="22" s="1"/>
  <c r="GR11" i="22"/>
  <c r="GY11" i="22" s="1"/>
  <c r="L4" i="22"/>
  <c r="M4" i="22" s="1"/>
  <c r="JH11" i="22"/>
  <c r="JO11" i="22" s="1"/>
  <c r="EB11" i="22"/>
  <c r="EI11" i="22" s="1"/>
  <c r="ON11" i="4"/>
  <c r="OU11" i="4" s="1"/>
  <c r="RD5" i="4"/>
  <c r="RK5" i="4" s="1"/>
  <c r="LX5" i="4"/>
  <c r="ME5" i="4" s="1"/>
  <c r="NF13" i="4"/>
  <c r="NM13" i="4" s="1"/>
  <c r="ON10" i="4"/>
  <c r="OU10" i="4" s="1"/>
  <c r="CY15" i="4"/>
  <c r="QA8" i="21"/>
  <c r="DC14" i="21"/>
  <c r="P14" i="21"/>
  <c r="Q14" i="21" s="1"/>
  <c r="RE10" i="21"/>
  <c r="QA21" i="21"/>
  <c r="DC16" i="21"/>
  <c r="P16" i="21"/>
  <c r="Q16" i="21" s="1"/>
  <c r="QD31" i="19"/>
  <c r="DC13" i="19"/>
  <c r="P13" i="19"/>
  <c r="Q13" i="19" s="1"/>
  <c r="CZ19" i="19"/>
  <c r="RC13" i="19"/>
  <c r="QZ13" i="19"/>
  <c r="N11" i="19"/>
  <c r="O11" i="19" s="1"/>
  <c r="RE21" i="19"/>
  <c r="RE31" i="19"/>
  <c r="N19" i="19"/>
  <c r="O19" i="19" s="1"/>
  <c r="QD21" i="19"/>
  <c r="DC11" i="19"/>
  <c r="QZ21" i="19"/>
  <c r="DC21" i="19"/>
  <c r="P31" i="19"/>
  <c r="Q31" i="19" s="1"/>
  <c r="RE10" i="19"/>
  <c r="RE17" i="27"/>
  <c r="QZ17" i="27"/>
  <c r="RB12" i="27"/>
  <c r="RB7" i="27"/>
  <c r="DC12" i="26"/>
  <c r="RE8" i="26"/>
  <c r="RC8" i="26"/>
  <c r="QZ8" i="26"/>
  <c r="DC15" i="26"/>
  <c r="QA12" i="26"/>
  <c r="N13" i="26"/>
  <c r="O13" i="26" s="1"/>
  <c r="CZ9" i="26"/>
  <c r="CZ7" i="26"/>
  <c r="CZ10" i="26"/>
  <c r="RB15" i="26"/>
  <c r="P15" i="26"/>
  <c r="DF15" i="26" s="1"/>
  <c r="RB6" i="26"/>
  <c r="CZ6" i="26"/>
  <c r="QD9" i="26"/>
  <c r="QA13" i="26"/>
  <c r="QD15" i="26"/>
  <c r="N9" i="26"/>
  <c r="O9" i="26" s="1"/>
  <c r="RF10" i="26"/>
  <c r="RB12" i="26"/>
  <c r="RB9" i="26"/>
  <c r="QD12" i="26"/>
  <c r="RD19" i="22"/>
  <c r="RK19" i="22" s="1"/>
  <c r="GR30" i="22"/>
  <c r="GY30" i="22" s="1"/>
  <c r="N30" i="22"/>
  <c r="DA30" i="22" s="1"/>
  <c r="SL17" i="22"/>
  <c r="SS17" i="22" s="1"/>
  <c r="PV17" i="22"/>
  <c r="QC17" i="22" s="1"/>
  <c r="HZ17" i="22"/>
  <c r="IG17" i="22" s="1"/>
  <c r="EB30" i="22"/>
  <c r="EI30" i="22" s="1"/>
  <c r="RD20" i="22"/>
  <c r="RK20" i="22" s="1"/>
  <c r="ON20" i="22"/>
  <c r="OU20" i="22" s="1"/>
  <c r="LX20" i="22"/>
  <c r="ME20" i="22" s="1"/>
  <c r="JH20" i="22"/>
  <c r="JO20" i="22" s="1"/>
  <c r="SL26" i="22"/>
  <c r="SS26" i="22" s="1"/>
  <c r="HZ26" i="22"/>
  <c r="IG26" i="22" s="1"/>
  <c r="FJ26" i="22"/>
  <c r="FQ26" i="22" s="1"/>
  <c r="FJ14" i="22"/>
  <c r="FQ14" i="22" s="1"/>
  <c r="PV16" i="22"/>
  <c r="QC16" i="22" s="1"/>
  <c r="PV20" i="22"/>
  <c r="QC20" i="22" s="1"/>
  <c r="NF20" i="22"/>
  <c r="NM20" i="22" s="1"/>
  <c r="HZ20" i="22"/>
  <c r="IG20" i="22" s="1"/>
  <c r="JH26" i="22"/>
  <c r="JO26" i="22" s="1"/>
  <c r="RD25" i="22"/>
  <c r="RK25" i="22" s="1"/>
  <c r="LX19" i="22"/>
  <c r="ME19" i="22" s="1"/>
  <c r="N12" i="22"/>
  <c r="DA12" i="22" s="1"/>
  <c r="N14" i="22"/>
  <c r="DA14" i="22" s="1"/>
  <c r="N13" i="22"/>
  <c r="DA13" i="22" s="1"/>
  <c r="N25" i="22"/>
  <c r="DA25" i="22" s="1"/>
  <c r="N22" i="22"/>
  <c r="DA22" i="22" s="1"/>
  <c r="N20" i="22"/>
  <c r="DA20" i="22" s="1"/>
  <c r="NF11" i="22"/>
  <c r="NM11" i="22" s="1"/>
  <c r="N29" i="22"/>
  <c r="DA29" i="22" s="1"/>
  <c r="KP28" i="22"/>
  <c r="KW28" i="22" s="1"/>
  <c r="SL12" i="22"/>
  <c r="SS12" i="22" s="1"/>
  <c r="PV12" i="22"/>
  <c r="QC12" i="22" s="1"/>
  <c r="NF12" i="22"/>
  <c r="NM12" i="22" s="1"/>
  <c r="KP12" i="22"/>
  <c r="KW12" i="22" s="1"/>
  <c r="GR25" i="22"/>
  <c r="GY25" i="22" s="1"/>
  <c r="EB25" i="22"/>
  <c r="EI25" i="22" s="1"/>
  <c r="N21" i="22"/>
  <c r="DA21" i="22" s="1"/>
  <c r="N17" i="22"/>
  <c r="DA17" i="22" s="1"/>
  <c r="N4" i="22"/>
  <c r="DA4" i="22" s="1"/>
  <c r="N9" i="22"/>
  <c r="DA9" i="22" s="1"/>
  <c r="KP22" i="22"/>
  <c r="KW22" i="22" s="1"/>
  <c r="FJ22" i="22"/>
  <c r="FQ22" i="22" s="1"/>
  <c r="N15" i="22"/>
  <c r="DA15" i="22" s="1"/>
  <c r="RD10" i="22"/>
  <c r="RK10" i="22" s="1"/>
  <c r="LX12" i="22"/>
  <c r="ME12" i="22" s="1"/>
  <c r="KP10" i="22"/>
  <c r="KW10" i="22" s="1"/>
  <c r="N31" i="22"/>
  <c r="DA31" i="22" s="1"/>
  <c r="N26" i="22"/>
  <c r="DA26" i="22" s="1"/>
  <c r="SL29" i="22"/>
  <c r="SS29" i="22" s="1"/>
  <c r="NF29" i="22"/>
  <c r="NM29" i="22" s="1"/>
  <c r="NF19" i="22"/>
  <c r="NM19" i="22" s="1"/>
  <c r="N11" i="22"/>
  <c r="DA11" i="22" s="1"/>
  <c r="N28" i="22"/>
  <c r="DA28" i="22" s="1"/>
  <c r="N10" i="22"/>
  <c r="DA10" i="22" s="1"/>
  <c r="N8" i="22"/>
  <c r="DA8" i="22" s="1"/>
  <c r="N27" i="22"/>
  <c r="DA27" i="22" s="1"/>
  <c r="RD17" i="22"/>
  <c r="RK17" i="22" s="1"/>
  <c r="LX17" i="22"/>
  <c r="ME17" i="22" s="1"/>
  <c r="HZ9" i="22"/>
  <c r="IG9" i="22" s="1"/>
  <c r="EB4" i="22"/>
  <c r="EI4" i="22" s="1"/>
  <c r="PV10" i="4"/>
  <c r="QC10" i="4" s="1"/>
  <c r="KP10" i="4"/>
  <c r="KW10" i="4" s="1"/>
  <c r="PV5" i="4"/>
  <c r="QC5" i="4" s="1"/>
  <c r="KP5" i="4"/>
  <c r="KW5" i="4" s="1"/>
  <c r="FJ5" i="4"/>
  <c r="FQ5" i="4" s="1"/>
  <c r="HZ15" i="4"/>
  <c r="IG15" i="4" s="1"/>
  <c r="CU12" i="4"/>
  <c r="CY12" i="4" s="1"/>
  <c r="CU10" i="4"/>
  <c r="CY10" i="4" s="1"/>
  <c r="CU5" i="4"/>
  <c r="CY5" i="4" s="1"/>
  <c r="KP12" i="4"/>
  <c r="KW12" i="4" s="1"/>
  <c r="PV25" i="4"/>
  <c r="QC25" i="4" s="1"/>
  <c r="LX9" i="4"/>
  <c r="ME9" i="4" s="1"/>
  <c r="JH9" i="4"/>
  <c r="JO9" i="4" s="1"/>
  <c r="EB9" i="4"/>
  <c r="EI9" i="4" s="1"/>
  <c r="LX13" i="4"/>
  <c r="ME13" i="4" s="1"/>
  <c r="JH13" i="4"/>
  <c r="JO13" i="4" s="1"/>
  <c r="GR13" i="4"/>
  <c r="GY13" i="4" s="1"/>
  <c r="EB13" i="4"/>
  <c r="EI13" i="4" s="1"/>
  <c r="KP6" i="4"/>
  <c r="KW6" i="4" s="1"/>
  <c r="FJ6" i="4"/>
  <c r="FQ6" i="4" s="1"/>
  <c r="LX4" i="4"/>
  <c r="ME4" i="4" s="1"/>
  <c r="NF11" i="4"/>
  <c r="NM11" i="4" s="1"/>
  <c r="NF9" i="22"/>
  <c r="NM9" i="22" s="1"/>
  <c r="N19" i="22"/>
  <c r="DA19" i="22" s="1"/>
  <c r="JH14" i="22"/>
  <c r="JO14" i="22" s="1"/>
  <c r="CY29" i="22"/>
  <c r="RD16" i="22"/>
  <c r="RK16" i="22" s="1"/>
  <c r="TO29" i="22"/>
  <c r="RD29" i="22"/>
  <c r="RK29" i="22" s="1"/>
  <c r="ON29" i="22"/>
  <c r="OU29" i="22" s="1"/>
  <c r="TO15" i="22"/>
  <c r="ON15" i="22"/>
  <c r="OU15" i="22" s="1"/>
  <c r="LX15" i="22"/>
  <c r="ME15" i="22" s="1"/>
  <c r="LX16" i="22"/>
  <c r="ME16" i="22" s="1"/>
  <c r="SL25" i="22"/>
  <c r="SS25" i="22" s="1"/>
  <c r="FJ9" i="22"/>
  <c r="FQ9" i="22" s="1"/>
  <c r="RD8" i="22"/>
  <c r="RK8" i="22" s="1"/>
  <c r="GR8" i="22"/>
  <c r="GY8" i="22" s="1"/>
  <c r="JH22" i="22"/>
  <c r="JO22" i="22" s="1"/>
  <c r="GR22" i="22"/>
  <c r="GY22" i="22" s="1"/>
  <c r="HZ29" i="22"/>
  <c r="IG29" i="22" s="1"/>
  <c r="JH31" i="22"/>
  <c r="JO31" i="22" s="1"/>
  <c r="NF25" i="22"/>
  <c r="NM25" i="22" s="1"/>
  <c r="N16" i="22"/>
  <c r="DA16" i="22" s="1"/>
  <c r="RD21" i="22"/>
  <c r="RK21" i="22" s="1"/>
  <c r="LX21" i="22"/>
  <c r="ME21" i="22" s="1"/>
  <c r="GR21" i="22"/>
  <c r="GY21" i="22" s="1"/>
  <c r="SL13" i="22"/>
  <c r="SS13" i="22" s="1"/>
  <c r="HZ13" i="22"/>
  <c r="IG13" i="22" s="1"/>
  <c r="GR20" i="22"/>
  <c r="GY20" i="22" s="1"/>
  <c r="N9" i="4"/>
  <c r="O9" i="4" s="1"/>
  <c r="CU9" i="4"/>
  <c r="CY9" i="4" s="1"/>
  <c r="NF15" i="4"/>
  <c r="NM15" i="4" s="1"/>
  <c r="ON12" i="4"/>
  <c r="OU12" i="4" s="1"/>
  <c r="SL12" i="4"/>
  <c r="SS12" i="4" s="1"/>
  <c r="SL21" i="4"/>
  <c r="SS21" i="4" s="1"/>
  <c r="RD25" i="4"/>
  <c r="RK25" i="4" s="1"/>
  <c r="RD6" i="4"/>
  <c r="RK6" i="4" s="1"/>
  <c r="SL11" i="4"/>
  <c r="SS11" i="4" s="1"/>
  <c r="PV11" i="4"/>
  <c r="QC11" i="4" s="1"/>
  <c r="HZ11" i="4"/>
  <c r="IG11" i="4" s="1"/>
  <c r="N11" i="4"/>
  <c r="O11" i="4" s="1"/>
  <c r="N7" i="4"/>
  <c r="O7" i="4" s="1"/>
  <c r="N6" i="4"/>
  <c r="DA6" i="4" s="1"/>
  <c r="EB15" i="4"/>
  <c r="EI15" i="4" s="1"/>
  <c r="ON25" i="4"/>
  <c r="OU25" i="4" s="1"/>
  <c r="NF21" i="4"/>
  <c r="NM21" i="4" s="1"/>
  <c r="HZ21" i="4"/>
  <c r="IG21" i="4" s="1"/>
  <c r="SL13" i="4"/>
  <c r="SS13" i="4" s="1"/>
  <c r="ON7" i="4"/>
  <c r="OU7" i="4" s="1"/>
  <c r="JH7" i="4"/>
  <c r="JO7" i="4" s="1"/>
  <c r="EB7" i="4"/>
  <c r="EI7" i="4" s="1"/>
  <c r="ON6" i="4"/>
  <c r="OU6" i="4" s="1"/>
  <c r="JH6" i="4"/>
  <c r="JO6" i="4" s="1"/>
  <c r="EB6" i="4"/>
  <c r="EI6" i="4" s="1"/>
  <c r="JH4" i="4"/>
  <c r="JO4" i="4" s="1"/>
  <c r="GR4" i="4"/>
  <c r="GY4" i="4" s="1"/>
  <c r="EB4" i="4"/>
  <c r="EI4" i="4" s="1"/>
  <c r="SL9" i="4"/>
  <c r="SS9" i="4" s="1"/>
  <c r="PV9" i="4"/>
  <c r="QC9" i="4" s="1"/>
  <c r="NF9" i="4"/>
  <c r="NM9" i="4" s="1"/>
  <c r="RD13" i="4"/>
  <c r="RK13" i="4" s="1"/>
  <c r="CU4" i="4"/>
  <c r="CY4" i="4" s="1"/>
  <c r="N4" i="4"/>
  <c r="DA4" i="4" s="1"/>
  <c r="N25" i="4"/>
  <c r="DA25" i="4" s="1"/>
  <c r="GR11" i="4"/>
  <c r="GY11" i="4" s="1"/>
  <c r="RD9" i="4"/>
  <c r="RK9" i="4" s="1"/>
  <c r="RD17" i="4"/>
  <c r="RK17" i="4" s="1"/>
  <c r="ON17" i="4"/>
  <c r="OU17" i="4" s="1"/>
  <c r="LX17" i="4"/>
  <c r="ME17" i="4" s="1"/>
  <c r="JH17" i="4"/>
  <c r="JO17" i="4" s="1"/>
  <c r="GR17" i="4"/>
  <c r="GY17" i="4" s="1"/>
  <c r="N17" i="4"/>
  <c r="DA17" i="4" s="1"/>
  <c r="N13" i="4"/>
  <c r="DA13" i="4" s="1"/>
  <c r="N5" i="4"/>
  <c r="O5" i="4" s="1"/>
  <c r="N12" i="4"/>
  <c r="DA12" i="4" s="1"/>
  <c r="EB11" i="4"/>
  <c r="EI11" i="4" s="1"/>
  <c r="SL15" i="4"/>
  <c r="SS15" i="4" s="1"/>
  <c r="PV17" i="4"/>
  <c r="QC17" i="4" s="1"/>
  <c r="KP17" i="4"/>
  <c r="KW17" i="4" s="1"/>
  <c r="FJ17" i="4"/>
  <c r="FQ17" i="4" s="1"/>
  <c r="SL4" i="4"/>
  <c r="SS4" i="4" s="1"/>
  <c r="NF4" i="4"/>
  <c r="NM4" i="4" s="1"/>
  <c r="RD15" i="4"/>
  <c r="RK15" i="4" s="1"/>
  <c r="KP25" i="4"/>
  <c r="KW25" i="4" s="1"/>
  <c r="HZ25" i="4"/>
  <c r="IG25" i="4" s="1"/>
  <c r="FJ25" i="4"/>
  <c r="FQ25" i="4" s="1"/>
  <c r="JH12" i="4"/>
  <c r="JO12" i="4" s="1"/>
  <c r="ON21" i="4"/>
  <c r="OU21" i="4" s="1"/>
  <c r="EB21" i="4"/>
  <c r="EI21" i="4" s="1"/>
  <c r="PV7" i="4"/>
  <c r="QC7" i="4" s="1"/>
  <c r="PV6" i="4"/>
  <c r="QC6" i="4" s="1"/>
  <c r="RD4" i="4"/>
  <c r="RK4" i="4" s="1"/>
  <c r="HZ4" i="4"/>
  <c r="IG4" i="4" s="1"/>
  <c r="N15" i="4"/>
  <c r="DA15" i="4" s="1"/>
  <c r="N10" i="4"/>
  <c r="O10" i="4" s="1"/>
  <c r="TL5" i="4"/>
  <c r="KP11" i="4"/>
  <c r="KW11" i="4" s="1"/>
  <c r="PV15" i="4"/>
  <c r="QC15" i="4" s="1"/>
  <c r="LX25" i="4"/>
  <c r="ME25" i="4" s="1"/>
  <c r="RD12" i="4"/>
  <c r="RK12" i="4" s="1"/>
  <c r="SL17" i="4"/>
  <c r="SS17" i="4" s="1"/>
  <c r="PV21" i="4"/>
  <c r="QC21" i="4" s="1"/>
  <c r="KP21" i="4"/>
  <c r="KW21" i="4" s="1"/>
  <c r="FJ21" i="4"/>
  <c r="FQ21" i="4" s="1"/>
  <c r="PV13" i="4"/>
  <c r="QC13" i="4" s="1"/>
  <c r="SL7" i="4"/>
  <c r="SS7" i="4" s="1"/>
  <c r="NF7" i="4"/>
  <c r="NM7" i="4" s="1"/>
  <c r="LX6" i="4"/>
  <c r="ME6" i="4" s="1"/>
  <c r="LX12" i="4"/>
  <c r="ME12" i="4" s="1"/>
  <c r="NF17" i="4"/>
  <c r="NM17" i="4" s="1"/>
  <c r="RD10" i="4"/>
  <c r="RK10" i="4" s="1"/>
  <c r="GR6" i="4"/>
  <c r="GY6" i="4" s="1"/>
  <c r="SL5" i="4"/>
  <c r="SS5" i="4" s="1"/>
  <c r="ON5" i="4"/>
  <c r="OU5" i="4" s="1"/>
  <c r="KP15" i="4"/>
  <c r="KW15" i="4" s="1"/>
  <c r="JH25" i="4"/>
  <c r="JO25" i="4" s="1"/>
  <c r="RD11" i="4"/>
  <c r="RK11" i="4" s="1"/>
  <c r="LX15" i="4"/>
  <c r="ME15" i="4" s="1"/>
  <c r="FJ15" i="4"/>
  <c r="FQ15" i="4" s="1"/>
  <c r="SL25" i="4"/>
  <c r="SS25" i="4" s="1"/>
  <c r="EB25" i="4"/>
  <c r="EI25" i="4" s="1"/>
  <c r="NF12" i="4"/>
  <c r="NM12" i="4" s="1"/>
  <c r="GR12" i="4"/>
  <c r="GY12" i="4" s="1"/>
  <c r="EB12" i="4"/>
  <c r="EI12" i="4" s="1"/>
  <c r="KP9" i="4"/>
  <c r="KW9" i="4" s="1"/>
  <c r="HZ9" i="4"/>
  <c r="IG9" i="4" s="1"/>
  <c r="FJ9" i="4"/>
  <c r="FQ9" i="4" s="1"/>
  <c r="HZ17" i="4"/>
  <c r="IG17" i="4" s="1"/>
  <c r="KP13" i="4"/>
  <c r="KW13" i="4" s="1"/>
  <c r="HZ13" i="4"/>
  <c r="IG13" i="4" s="1"/>
  <c r="SL10" i="4"/>
  <c r="SS10" i="4" s="1"/>
  <c r="LX10" i="4"/>
  <c r="ME10" i="4" s="1"/>
  <c r="JH10" i="4"/>
  <c r="JO10" i="4" s="1"/>
  <c r="GR10" i="4"/>
  <c r="GY10" i="4" s="1"/>
  <c r="EB10" i="4"/>
  <c r="EI10" i="4" s="1"/>
  <c r="NF5" i="4"/>
  <c r="NM5" i="4" s="1"/>
  <c r="JH5" i="4"/>
  <c r="JO5" i="4" s="1"/>
  <c r="GR5" i="4"/>
  <c r="GY5" i="4" s="1"/>
  <c r="EB5" i="4"/>
  <c r="EI5" i="4" s="1"/>
  <c r="ON4" i="4"/>
  <c r="OU4" i="4" s="1"/>
  <c r="N21" i="4"/>
  <c r="GR15" i="4"/>
  <c r="GY15" i="4" s="1"/>
  <c r="CY25" i="4"/>
  <c r="HZ12" i="4"/>
  <c r="IG12" i="4" s="1"/>
  <c r="ON9" i="4"/>
  <c r="OU9" i="4" s="1"/>
  <c r="GR9" i="4"/>
  <c r="GY9" i="4" s="1"/>
  <c r="NF10" i="4"/>
  <c r="NM10" i="4" s="1"/>
  <c r="HZ10" i="4"/>
  <c r="IG10" i="4" s="1"/>
  <c r="SL6" i="4"/>
  <c r="SS6" i="4" s="1"/>
  <c r="HZ5" i="4"/>
  <c r="IG5" i="4" s="1"/>
  <c r="PV4" i="4"/>
  <c r="QC4" i="4" s="1"/>
  <c r="FJ11" i="4"/>
  <c r="FQ11" i="4" s="1"/>
  <c r="LX11" i="4"/>
  <c r="ME11" i="4" s="1"/>
  <c r="JH11" i="4"/>
  <c r="JO11" i="4" s="1"/>
  <c r="ON15" i="4"/>
  <c r="OU15" i="4" s="1"/>
  <c r="NF25" i="4"/>
  <c r="NM25" i="4" s="1"/>
  <c r="PV12" i="4"/>
  <c r="QC12" i="4" s="1"/>
  <c r="RD21" i="4"/>
  <c r="RK21" i="4" s="1"/>
  <c r="LX21" i="4"/>
  <c r="ME21" i="4" s="1"/>
  <c r="ON13" i="4"/>
  <c r="OU13" i="4" s="1"/>
  <c r="RD7" i="4"/>
  <c r="RK7" i="4" s="1"/>
  <c r="LX7" i="4"/>
  <c r="ME7" i="4" s="1"/>
  <c r="NF6" i="4"/>
  <c r="NM6" i="4" s="1"/>
  <c r="KP4" i="4"/>
  <c r="KW4" i="4" s="1"/>
  <c r="FJ4" i="4"/>
  <c r="FQ4" i="4" s="1"/>
  <c r="CZ19" i="21"/>
  <c r="RB11" i="21"/>
  <c r="QD6" i="21"/>
  <c r="N21" i="21"/>
  <c r="DE21" i="21" s="1"/>
  <c r="DC4" i="21"/>
  <c r="DC8" i="21"/>
  <c r="DC15" i="21"/>
  <c r="CZ6" i="21"/>
  <c r="RE11" i="21"/>
  <c r="QZ11" i="21"/>
  <c r="P15" i="21"/>
  <c r="Q15" i="21" s="1"/>
  <c r="N19" i="21"/>
  <c r="O19" i="21" s="1"/>
  <c r="J5" i="21"/>
  <c r="K5" i="21" s="1"/>
  <c r="N14" i="21"/>
  <c r="O14" i="21" s="1"/>
  <c r="QZ15" i="21"/>
  <c r="N16" i="21"/>
  <c r="O16" i="21" s="1"/>
  <c r="RB16" i="21"/>
  <c r="RF7" i="21"/>
  <c r="RE6" i="21"/>
  <c r="P4" i="21"/>
  <c r="Q4" i="21" s="1"/>
  <c r="RE16" i="21"/>
  <c r="QZ16" i="21"/>
  <c r="QZ10" i="21"/>
  <c r="P8" i="21"/>
  <c r="DF8" i="21" s="1"/>
  <c r="N10" i="21"/>
  <c r="O10" i="21" s="1"/>
  <c r="N7" i="21"/>
  <c r="O7" i="21" s="1"/>
  <c r="N15" i="21"/>
  <c r="O15" i="21" s="1"/>
  <c r="QA14" i="21"/>
  <c r="RB15" i="21"/>
  <c r="N6" i="21"/>
  <c r="O6" i="21" s="1"/>
  <c r="RB19" i="21"/>
  <c r="RA19" i="21"/>
  <c r="RC14" i="21"/>
  <c r="N11" i="21"/>
  <c r="O11" i="21" s="1"/>
  <c r="RB7" i="21"/>
  <c r="RB14" i="21"/>
  <c r="N8" i="21"/>
  <c r="O8" i="21" s="1"/>
  <c r="RE15" i="21"/>
  <c r="DC11" i="21"/>
  <c r="P11" i="21"/>
  <c r="Q11" i="21" s="1"/>
  <c r="P5" i="21"/>
  <c r="Q5" i="21" s="1"/>
  <c r="RE4" i="21"/>
  <c r="QA7" i="21"/>
  <c r="RA8" i="21"/>
  <c r="RE8" i="21"/>
  <c r="QZ8" i="21"/>
  <c r="QA19" i="21"/>
  <c r="RA11" i="21"/>
  <c r="RB21" i="21"/>
  <c r="RA16" i="21"/>
  <c r="QD14" i="21"/>
  <c r="RF11" i="21"/>
  <c r="J4" i="21"/>
  <c r="K4" i="21" s="1"/>
  <c r="CZ7" i="21"/>
  <c r="RA14" i="21"/>
  <c r="RF15" i="21"/>
  <c r="RF16" i="21"/>
  <c r="RE19" i="21"/>
  <c r="QZ19" i="21"/>
  <c r="F8" i="21"/>
  <c r="CZ14" i="21"/>
  <c r="CZ21" i="21"/>
  <c r="RE14" i="21"/>
  <c r="QZ14" i="21"/>
  <c r="RB8" i="21"/>
  <c r="QD8" i="21"/>
  <c r="QD15" i="21"/>
  <c r="RF19" i="21"/>
  <c r="DC19" i="21"/>
  <c r="RF6" i="21"/>
  <c r="P21" i="21"/>
  <c r="Q21" i="21" s="1"/>
  <c r="L14" i="21"/>
  <c r="M14" i="21" s="1"/>
  <c r="RA15" i="21"/>
  <c r="F19" i="21"/>
  <c r="RA7" i="21"/>
  <c r="CZ4" i="21"/>
  <c r="N4" i="21"/>
  <c r="DE4" i="21" s="1"/>
  <c r="RB4" i="21"/>
  <c r="RA21" i="21"/>
  <c r="RE21" i="21"/>
  <c r="QZ21" i="21"/>
  <c r="RF14" i="21"/>
  <c r="F14" i="21"/>
  <c r="CZ8" i="21"/>
  <c r="RE7" i="21"/>
  <c r="L4" i="21"/>
  <c r="M4" i="21" s="1"/>
  <c r="RB19" i="19"/>
  <c r="DC10" i="19"/>
  <c r="RC19" i="19"/>
  <c r="CZ21" i="19"/>
  <c r="DC19" i="19"/>
  <c r="N13" i="19"/>
  <c r="O13" i="19" s="1"/>
  <c r="N21" i="19"/>
  <c r="O21" i="19" s="1"/>
  <c r="CZ13" i="19"/>
  <c r="J10" i="19"/>
  <c r="K10" i="19" s="1"/>
  <c r="RB11" i="19"/>
  <c r="J21" i="19"/>
  <c r="K21" i="19" s="1"/>
  <c r="P19" i="19"/>
  <c r="Q19" i="19" s="1"/>
  <c r="RE11" i="19"/>
  <c r="RF21" i="19"/>
  <c r="RF10" i="19"/>
  <c r="RC21" i="19"/>
  <c r="RF13" i="19"/>
  <c r="RB13" i="19"/>
  <c r="N10" i="19"/>
  <c r="DE10" i="19" s="1"/>
  <c r="RF31" i="19"/>
  <c r="RB31" i="19"/>
  <c r="RA31" i="19"/>
  <c r="L10" i="19"/>
  <c r="M10" i="19" s="1"/>
  <c r="P11" i="19"/>
  <c r="DF11" i="19" s="1"/>
  <c r="RC31" i="19"/>
  <c r="J11" i="19"/>
  <c r="K11" i="19" s="1"/>
  <c r="L21" i="19"/>
  <c r="M21" i="19" s="1"/>
  <c r="N14" i="27"/>
  <c r="O14" i="27" s="1"/>
  <c r="RC10" i="27"/>
  <c r="RE7" i="27"/>
  <c r="QZ7" i="27"/>
  <c r="CZ9" i="27"/>
  <c r="RE18" i="27"/>
  <c r="QA17" i="27"/>
  <c r="CZ6" i="27"/>
  <c r="RE15" i="27"/>
  <c r="N9" i="27"/>
  <c r="O9" i="27" s="1"/>
  <c r="DC12" i="27"/>
  <c r="P12" i="27"/>
  <c r="Q12" i="27" s="1"/>
  <c r="N17" i="27"/>
  <c r="O17" i="27" s="1"/>
  <c r="CZ15" i="27"/>
  <c r="P15" i="27"/>
  <c r="DF15" i="27" s="1"/>
  <c r="QA14" i="27"/>
  <c r="P14" i="27"/>
  <c r="DF14" i="27" s="1"/>
  <c r="RA5" i="27"/>
  <c r="RF6" i="27"/>
  <c r="RB10" i="27"/>
  <c r="N6" i="27"/>
  <c r="DE6" i="27" s="1"/>
  <c r="J10" i="27"/>
  <c r="K10" i="27" s="1"/>
  <c r="QD9" i="27"/>
  <c r="N12" i="27"/>
  <c r="DE12" i="27" s="1"/>
  <c r="CZ12" i="27"/>
  <c r="J5" i="27"/>
  <c r="K5" i="27" s="1"/>
  <c r="RE6" i="27"/>
  <c r="QD7" i="27"/>
  <c r="DC7" i="27"/>
  <c r="P7" i="27"/>
  <c r="Q7" i="27" s="1"/>
  <c r="RB14" i="27"/>
  <c r="RB15" i="27"/>
  <c r="N15" i="27"/>
  <c r="O15" i="27" s="1"/>
  <c r="F15" i="27"/>
  <c r="N18" i="27"/>
  <c r="O18" i="27" s="1"/>
  <c r="RB9" i="27"/>
  <c r="N5" i="27"/>
  <c r="O5" i="27" s="1"/>
  <c r="J7" i="27"/>
  <c r="K7" i="27" s="1"/>
  <c r="F14" i="27"/>
  <c r="F18" i="27"/>
  <c r="RA14" i="27"/>
  <c r="RA18" i="27"/>
  <c r="QD15" i="27"/>
  <c r="RB18" i="27"/>
  <c r="QD18" i="27"/>
  <c r="P18" i="27"/>
  <c r="DF18" i="27" s="1"/>
  <c r="RE14" i="27"/>
  <c r="QZ14" i="27"/>
  <c r="RC12" i="27"/>
  <c r="F12" i="27"/>
  <c r="QD6" i="27"/>
  <c r="RF7" i="27"/>
  <c r="RA15" i="27"/>
  <c r="RE9" i="27"/>
  <c r="QZ9" i="27"/>
  <c r="QA9" i="27"/>
  <c r="RF5" i="27"/>
  <c r="RA6" i="27"/>
  <c r="G6" i="27"/>
  <c r="RB17" i="27"/>
  <c r="RA17" i="27"/>
  <c r="DC17" i="27"/>
  <c r="RC18" i="27"/>
  <c r="RB5" i="27"/>
  <c r="DC10" i="27"/>
  <c r="P10" i="27"/>
  <c r="Q10" i="27" s="1"/>
  <c r="RC7" i="27"/>
  <c r="RF15" i="27"/>
  <c r="F17" i="27"/>
  <c r="RA12" i="27"/>
  <c r="RE5" i="27"/>
  <c r="QZ5" i="27"/>
  <c r="CZ7" i="27"/>
  <c r="N7" i="27"/>
  <c r="DE7" i="27" s="1"/>
  <c r="RB7" i="26"/>
  <c r="N7" i="26"/>
  <c r="DE7" i="26" s="1"/>
  <c r="N6" i="26"/>
  <c r="O6" i="26" s="1"/>
  <c r="RF15" i="26"/>
  <c r="N15" i="26"/>
  <c r="O15" i="26" s="1"/>
  <c r="RA8" i="26"/>
  <c r="L6" i="26"/>
  <c r="M6" i="26" s="1"/>
  <c r="RB13" i="26"/>
  <c r="DC8" i="26"/>
  <c r="P10" i="26"/>
  <c r="DF10" i="26" s="1"/>
  <c r="DC13" i="26"/>
  <c r="RE12" i="26"/>
  <c r="QZ12" i="26"/>
  <c r="N12" i="26"/>
  <c r="DE12" i="26" s="1"/>
  <c r="RE10" i="26"/>
  <c r="QZ10" i="26"/>
  <c r="RF9" i="26"/>
  <c r="CZ12" i="26"/>
  <c r="J12" i="26"/>
  <c r="K12" i="26" s="1"/>
  <c r="DC6" i="26"/>
  <c r="RE13" i="26"/>
  <c r="QZ13" i="26"/>
  <c r="P13" i="26"/>
  <c r="DF13" i="26" s="1"/>
  <c r="RA13" i="26"/>
  <c r="RF13" i="26"/>
  <c r="F12" i="26"/>
  <c r="RB10" i="26"/>
  <c r="N10" i="26"/>
  <c r="DE10" i="26" s="1"/>
  <c r="RA12" i="26"/>
  <c r="P9" i="26"/>
  <c r="DF9" i="26" s="1"/>
  <c r="N8" i="26"/>
  <c r="O8" i="26" s="1"/>
  <c r="RC9" i="26"/>
  <c r="RC15" i="26"/>
  <c r="RF12" i="26"/>
  <c r="RA9" i="26"/>
  <c r="RA15" i="26"/>
  <c r="RC12" i="26"/>
  <c r="RF8" i="26"/>
  <c r="RA10" i="26"/>
  <c r="RE9" i="26"/>
  <c r="QZ9" i="26"/>
  <c r="RC13" i="26"/>
  <c r="RE15" i="26"/>
  <c r="QZ15" i="26"/>
  <c r="P12" i="26"/>
  <c r="Q12" i="26" s="1"/>
  <c r="RB8" i="26"/>
  <c r="RE6" i="26"/>
  <c r="QZ6" i="26"/>
  <c r="P6" i="26"/>
  <c r="Q6" i="26" s="1"/>
  <c r="G15" i="26"/>
  <c r="G13" i="26"/>
  <c r="F8" i="26"/>
  <c r="G7" i="26"/>
  <c r="G9" i="26"/>
  <c r="F7" i="26"/>
  <c r="J6" i="26"/>
  <c r="K6" i="26" s="1"/>
  <c r="G8" i="26"/>
  <c r="F10" i="26"/>
  <c r="KP31" i="22"/>
  <c r="KW31" i="22" s="1"/>
  <c r="KP8" i="22"/>
  <c r="KW8" i="22" s="1"/>
  <c r="JH15" i="22"/>
  <c r="JO15" i="22" s="1"/>
  <c r="FJ30" i="22"/>
  <c r="FQ30" i="22" s="1"/>
  <c r="FJ8" i="22"/>
  <c r="FQ8" i="22" s="1"/>
  <c r="JH29" i="22"/>
  <c r="JO29" i="22" s="1"/>
  <c r="RD28" i="22"/>
  <c r="RK28" i="22" s="1"/>
  <c r="RD13" i="22"/>
  <c r="RK13" i="22" s="1"/>
  <c r="LX13" i="22"/>
  <c r="ME13" i="22" s="1"/>
  <c r="GR13" i="22"/>
  <c r="GY13" i="22" s="1"/>
  <c r="KP17" i="22"/>
  <c r="KW17" i="22" s="1"/>
  <c r="FJ12" i="22"/>
  <c r="FQ12" i="22" s="1"/>
  <c r="ON8" i="22"/>
  <c r="OU8" i="22" s="1"/>
  <c r="SL11" i="22"/>
  <c r="SS11" i="22" s="1"/>
  <c r="TO21" i="22"/>
  <c r="SL21" i="22"/>
  <c r="SS21" i="22" s="1"/>
  <c r="PV21" i="22"/>
  <c r="QC21" i="22" s="1"/>
  <c r="NF21" i="22"/>
  <c r="NM21" i="22" s="1"/>
  <c r="PV14" i="22"/>
  <c r="QC14" i="22" s="1"/>
  <c r="KP14" i="22"/>
  <c r="KW14" i="22" s="1"/>
  <c r="RD31" i="22"/>
  <c r="RK31" i="22" s="1"/>
  <c r="SL27" i="22"/>
  <c r="SS27" i="22" s="1"/>
  <c r="PV27" i="22"/>
  <c r="QC27" i="22" s="1"/>
  <c r="PV10" i="22"/>
  <c r="QC10" i="22" s="1"/>
  <c r="FJ10" i="22"/>
  <c r="FQ10" i="22" s="1"/>
  <c r="FJ17" i="22"/>
  <c r="FQ17" i="22" s="1"/>
  <c r="SL9" i="22"/>
  <c r="SS9" i="22" s="1"/>
  <c r="RD4" i="22"/>
  <c r="RK4" i="22" s="1"/>
  <c r="ON4" i="22"/>
  <c r="OU4" i="22" s="1"/>
  <c r="LX4" i="22"/>
  <c r="ME4" i="22" s="1"/>
  <c r="JH4" i="22"/>
  <c r="JO4" i="22" s="1"/>
  <c r="HZ21" i="22"/>
  <c r="IG21" i="22" s="1"/>
  <c r="SL22" i="22"/>
  <c r="SS22" i="22" s="1"/>
  <c r="PV22" i="22"/>
  <c r="QC22" i="22" s="1"/>
  <c r="ON14" i="22"/>
  <c r="OU14" i="22" s="1"/>
  <c r="GR28" i="22"/>
  <c r="GY28" i="22" s="1"/>
  <c r="EB28" i="22"/>
  <c r="EI28" i="22" s="1"/>
  <c r="LX31" i="22"/>
  <c r="ME31" i="22" s="1"/>
  <c r="KP27" i="22"/>
  <c r="KW27" i="22" s="1"/>
  <c r="HZ27" i="22"/>
  <c r="IG27" i="22" s="1"/>
  <c r="ON10" i="22"/>
  <c r="OU10" i="22" s="1"/>
  <c r="JH10" i="22"/>
  <c r="JO10" i="22" s="1"/>
  <c r="GR17" i="22"/>
  <c r="GY17" i="22" s="1"/>
  <c r="RD12" i="22"/>
  <c r="RK12" i="22" s="1"/>
  <c r="PV30" i="22"/>
  <c r="QC30" i="22" s="1"/>
  <c r="CU9" i="22"/>
  <c r="CY9" i="22" s="1"/>
  <c r="ON22" i="22"/>
  <c r="OU22" i="22" s="1"/>
  <c r="NF16" i="22"/>
  <c r="NM16" i="22" s="1"/>
  <c r="KP16" i="22"/>
  <c r="KW16" i="22" s="1"/>
  <c r="HZ16" i="22"/>
  <c r="IG16" i="22" s="1"/>
  <c r="FJ16" i="22"/>
  <c r="FQ16" i="22" s="1"/>
  <c r="NF15" i="22"/>
  <c r="NM15" i="22" s="1"/>
  <c r="KP15" i="22"/>
  <c r="KW15" i="22" s="1"/>
  <c r="HZ15" i="22"/>
  <c r="IG15" i="22" s="1"/>
  <c r="FJ15" i="22"/>
  <c r="FQ15" i="22" s="1"/>
  <c r="JH27" i="22"/>
  <c r="JO27" i="22" s="1"/>
  <c r="RD26" i="22"/>
  <c r="RK26" i="22" s="1"/>
  <c r="ON26" i="22"/>
  <c r="OU26" i="22" s="1"/>
  <c r="ON30" i="22"/>
  <c r="OU30" i="22" s="1"/>
  <c r="CU8" i="22"/>
  <c r="CY8" i="22" s="1"/>
  <c r="GR16" i="22"/>
  <c r="GY16" i="22" s="1"/>
  <c r="KP29" i="22"/>
  <c r="KW29" i="22" s="1"/>
  <c r="PV28" i="22"/>
  <c r="QC28" i="22" s="1"/>
  <c r="FJ31" i="22"/>
  <c r="FQ31" i="22" s="1"/>
  <c r="CY31" i="22"/>
  <c r="NF13" i="22"/>
  <c r="NM13" i="22" s="1"/>
  <c r="JH17" i="22"/>
  <c r="JO17" i="22" s="1"/>
  <c r="GR12" i="22"/>
  <c r="GY12" i="22" s="1"/>
  <c r="NF26" i="22"/>
  <c r="NM26" i="22" s="1"/>
  <c r="JH25" i="22"/>
  <c r="JO25" i="22" s="1"/>
  <c r="CU25" i="22"/>
  <c r="CY25" i="22" s="1"/>
  <c r="SL8" i="22"/>
  <c r="SS8" i="22" s="1"/>
  <c r="PV8" i="22"/>
  <c r="QC8" i="22" s="1"/>
  <c r="NF8" i="22"/>
  <c r="NM8" i="22" s="1"/>
  <c r="FJ28" i="22"/>
  <c r="FQ28" i="22" s="1"/>
  <c r="PV31" i="22"/>
  <c r="QC31" i="22" s="1"/>
  <c r="ON27" i="22"/>
  <c r="OU27" i="22" s="1"/>
  <c r="LX8" i="22"/>
  <c r="ME8" i="22" s="1"/>
  <c r="PV11" i="22"/>
  <c r="QC11" i="22" s="1"/>
  <c r="HZ11" i="22"/>
  <c r="IG11" i="22" s="1"/>
  <c r="TS14" i="22"/>
  <c r="HZ14" i="22"/>
  <c r="IG14" i="22" s="1"/>
  <c r="EB29" i="22"/>
  <c r="EI29" i="22" s="1"/>
  <c r="GR31" i="22"/>
  <c r="GY31" i="22" s="1"/>
  <c r="EB31" i="22"/>
  <c r="EI31" i="22" s="1"/>
  <c r="FJ27" i="22"/>
  <c r="FQ27" i="22" s="1"/>
  <c r="EB20" i="22"/>
  <c r="EI20" i="22" s="1"/>
  <c r="LX10" i="22"/>
  <c r="ME10" i="22" s="1"/>
  <c r="GR10" i="22"/>
  <c r="GY10" i="22" s="1"/>
  <c r="TS17" i="22"/>
  <c r="CU12" i="22"/>
  <c r="CY12" i="22" s="1"/>
  <c r="LX26" i="22"/>
  <c r="ME26" i="22" s="1"/>
  <c r="HZ8" i="22"/>
  <c r="IG8" i="22" s="1"/>
  <c r="ON21" i="22"/>
  <c r="OU21" i="22" s="1"/>
  <c r="SL16" i="22"/>
  <c r="SS16" i="22" s="1"/>
  <c r="JH16" i="22"/>
  <c r="JO16" i="22" s="1"/>
  <c r="RD14" i="22"/>
  <c r="RK14" i="22" s="1"/>
  <c r="HZ28" i="22"/>
  <c r="IG28" i="22" s="1"/>
  <c r="SL31" i="22"/>
  <c r="SS31" i="22" s="1"/>
  <c r="CU13" i="22"/>
  <c r="CY13" i="22" s="1"/>
  <c r="EB10" i="22"/>
  <c r="EI10" i="22" s="1"/>
  <c r="ON17" i="22"/>
  <c r="OU17" i="22" s="1"/>
  <c r="HZ12" i="22"/>
  <c r="IG12" i="22" s="1"/>
  <c r="GR26" i="22"/>
  <c r="GY26" i="22" s="1"/>
  <c r="HZ30" i="22"/>
  <c r="IG30" i="22" s="1"/>
  <c r="PV9" i="22"/>
  <c r="QC9" i="22" s="1"/>
  <c r="PV4" i="22"/>
  <c r="QC4" i="22" s="1"/>
  <c r="GR4" i="22"/>
  <c r="GY4" i="22" s="1"/>
  <c r="KP11" i="22"/>
  <c r="KW11" i="22" s="1"/>
  <c r="JH21" i="22"/>
  <c r="JO21" i="22" s="1"/>
  <c r="RD22" i="22"/>
  <c r="RK22" i="22" s="1"/>
  <c r="HZ22" i="22"/>
  <c r="IG22" i="22" s="1"/>
  <c r="SL14" i="22"/>
  <c r="SS14" i="22" s="1"/>
  <c r="LX14" i="22"/>
  <c r="ME14" i="22" s="1"/>
  <c r="PV19" i="22"/>
  <c r="QC19" i="22" s="1"/>
  <c r="JH19" i="22"/>
  <c r="JO19" i="22" s="1"/>
  <c r="TS10" i="22"/>
  <c r="NF17" i="22"/>
  <c r="NM17" i="22" s="1"/>
  <c r="LX25" i="22"/>
  <c r="ME25" i="22" s="1"/>
  <c r="JH30" i="22"/>
  <c r="JO30" i="22" s="1"/>
  <c r="KP21" i="22"/>
  <c r="KW21" i="22" s="1"/>
  <c r="KP19" i="22"/>
  <c r="KW19" i="22" s="1"/>
  <c r="FJ19" i="22"/>
  <c r="FQ19" i="22" s="1"/>
  <c r="SL28" i="22"/>
  <c r="SS28" i="22" s="1"/>
  <c r="NF31" i="22"/>
  <c r="NM31" i="22" s="1"/>
  <c r="TL13" i="22"/>
  <c r="ON13" i="22"/>
  <c r="OU13" i="22" s="1"/>
  <c r="GR15" i="22"/>
  <c r="GY15" i="22" s="1"/>
  <c r="PV26" i="22"/>
  <c r="QC26" i="22" s="1"/>
  <c r="CY26" i="22"/>
  <c r="FJ25" i="22"/>
  <c r="FQ25" i="22" s="1"/>
  <c r="RD30" i="22"/>
  <c r="RK30" i="22" s="1"/>
  <c r="KP9" i="22"/>
  <c r="KW9" i="22" s="1"/>
  <c r="KP4" i="22"/>
  <c r="KW4" i="22" s="1"/>
  <c r="FJ21" i="22"/>
  <c r="FQ21" i="22" s="1"/>
  <c r="LX22" i="22"/>
  <c r="ME22" i="22" s="1"/>
  <c r="LX29" i="22"/>
  <c r="ME29" i="22" s="1"/>
  <c r="FJ29" i="22"/>
  <c r="FQ29" i="22" s="1"/>
  <c r="SL19" i="22"/>
  <c r="SS19" i="22" s="1"/>
  <c r="HZ31" i="22"/>
  <c r="IG31" i="22" s="1"/>
  <c r="PV15" i="22"/>
  <c r="QC15" i="22" s="1"/>
  <c r="FJ20" i="22"/>
  <c r="FQ20" i="22" s="1"/>
  <c r="NF10" i="22"/>
  <c r="NM10" i="22" s="1"/>
  <c r="KP26" i="22"/>
  <c r="KW26" i="22" s="1"/>
  <c r="ON25" i="22"/>
  <c r="OU25" i="22" s="1"/>
  <c r="LX30" i="22"/>
  <c r="ME30" i="22" s="1"/>
  <c r="JH8" i="22"/>
  <c r="JO8" i="22" s="1"/>
  <c r="EB26" i="22"/>
  <c r="EI26" i="22" s="1"/>
  <c r="EB15" i="22"/>
  <c r="EI15" i="22" s="1"/>
  <c r="EB22" i="22"/>
  <c r="EI22" i="22" s="1"/>
  <c r="EB21" i="22"/>
  <c r="EI21" i="22" s="1"/>
  <c r="EB16" i="22"/>
  <c r="EI16" i="22" s="1"/>
  <c r="EB14" i="22"/>
  <c r="EI14" i="22" s="1"/>
  <c r="EB17" i="22"/>
  <c r="EI17" i="22" s="1"/>
  <c r="EB9" i="22"/>
  <c r="EI9" i="22" s="1"/>
  <c r="EB19" i="22"/>
  <c r="EI19" i="22" s="1"/>
  <c r="EB13" i="22"/>
  <c r="EI13" i="22" s="1"/>
  <c r="TO27" i="22"/>
  <c r="TS12" i="22"/>
  <c r="TS9" i="22"/>
  <c r="TS16" i="22"/>
  <c r="TO11" i="22"/>
  <c r="TO30" i="22"/>
  <c r="CY30" i="22"/>
  <c r="TS4" i="22"/>
  <c r="TO16" i="22"/>
  <c r="TO20" i="22"/>
  <c r="TO10" i="22"/>
  <c r="CY22" i="22"/>
  <c r="TS13" i="22"/>
  <c r="TL8" i="22"/>
  <c r="TL15" i="22"/>
  <c r="CU11" i="22"/>
  <c r="CY11" i="22" s="1"/>
  <c r="TS11" i="22"/>
  <c r="TL22" i="22"/>
  <c r="TS26" i="22"/>
  <c r="TS29" i="22"/>
  <c r="TL20" i="22"/>
  <c r="TL19" i="22"/>
  <c r="TS27" i="22"/>
  <c r="TJ22" i="22"/>
  <c r="TO28" i="22"/>
  <c r="TL17" i="22"/>
  <c r="TO17" i="22"/>
  <c r="J25" i="22"/>
  <c r="TO9" i="22"/>
  <c r="TL9" i="22"/>
  <c r="TS22" i="22"/>
  <c r="TO31" i="22"/>
  <c r="TL27" i="22"/>
  <c r="TS8" i="22"/>
  <c r="TL16" i="22"/>
  <c r="TL14" i="22"/>
  <c r="TO19" i="22"/>
  <c r="TL31" i="22"/>
  <c r="L13" i="22"/>
  <c r="TS15" i="22"/>
  <c r="J15" i="22"/>
  <c r="TO8" i="22"/>
  <c r="G22" i="22"/>
  <c r="L12" i="22"/>
  <c r="J8" i="22"/>
  <c r="J31" i="22"/>
  <c r="I16" i="22"/>
  <c r="P29" i="22"/>
  <c r="Q29" i="22" s="1"/>
  <c r="L31" i="22"/>
  <c r="G9" i="22"/>
  <c r="KP7" i="4"/>
  <c r="KW7" i="4" s="1"/>
  <c r="JH21" i="4"/>
  <c r="JO21" i="4" s="1"/>
  <c r="JH15" i="4"/>
  <c r="JO15" i="4" s="1"/>
  <c r="HZ6" i="4"/>
  <c r="IG6" i="4" s="1"/>
  <c r="HZ7" i="4"/>
  <c r="IG7" i="4" s="1"/>
  <c r="GR7" i="4"/>
  <c r="GY7" i="4" s="1"/>
  <c r="GR25" i="4"/>
  <c r="GY25" i="4" s="1"/>
  <c r="GR21" i="4"/>
  <c r="GY21" i="4" s="1"/>
  <c r="FJ10" i="4"/>
  <c r="FQ10" i="4" s="1"/>
  <c r="FJ13" i="4"/>
  <c r="FQ13" i="4" s="1"/>
  <c r="FJ12" i="4"/>
  <c r="FQ12" i="4" s="1"/>
  <c r="EB17" i="4"/>
  <c r="EI17" i="4" s="1"/>
  <c r="TO15" i="4"/>
  <c r="TL15" i="4"/>
  <c r="TO25" i="4"/>
  <c r="CU11" i="4"/>
  <c r="CY11" i="4" s="1"/>
  <c r="TL21" i="4"/>
  <c r="L25" i="4"/>
  <c r="TO17" i="4"/>
  <c r="TO7" i="4"/>
  <c r="CU7" i="4"/>
  <c r="CY7" i="4" s="1"/>
  <c r="TO11" i="4"/>
  <c r="CU6" i="4"/>
  <c r="CY6" i="4" s="1"/>
  <c r="TL17" i="4"/>
  <c r="TS13" i="4"/>
  <c r="TS7" i="4"/>
  <c r="TO6" i="4"/>
  <c r="TM17" i="4"/>
  <c r="TL12" i="4"/>
  <c r="TO10" i="4"/>
  <c r="TS15" i="4"/>
  <c r="TO12" i="4"/>
  <c r="TO21" i="4"/>
  <c r="TO13" i="4"/>
  <c r="TL10" i="4"/>
  <c r="TS6" i="4"/>
  <c r="TS5" i="4"/>
  <c r="TS4" i="4"/>
  <c r="TO4" i="4"/>
  <c r="TL13" i="4"/>
  <c r="TL11" i="4"/>
  <c r="TS25" i="4"/>
  <c r="TS10" i="4"/>
  <c r="J10" i="4"/>
  <c r="TL6" i="4"/>
  <c r="TL4" i="4"/>
  <c r="TS12" i="4"/>
  <c r="L9" i="4"/>
  <c r="TS21" i="4"/>
  <c r="L13" i="4"/>
  <c r="TL7" i="4"/>
  <c r="TO5" i="4"/>
  <c r="J5" i="4"/>
  <c r="TS11" i="4"/>
  <c r="TL25" i="4"/>
  <c r="P25" i="4"/>
  <c r="Q25" i="4" s="1"/>
  <c r="TS9" i="4"/>
  <c r="TO9" i="4"/>
  <c r="J13" i="4"/>
  <c r="I5" i="4"/>
  <c r="F11" i="4"/>
  <c r="P15" i="4"/>
  <c r="Q15" i="4" s="1"/>
  <c r="J11" i="4"/>
  <c r="L7" i="4"/>
  <c r="F6" i="4"/>
  <c r="I12" i="4"/>
  <c r="L4" i="4"/>
  <c r="I15" i="4"/>
  <c r="P5" i="4"/>
  <c r="Q5" i="4" s="1"/>
  <c r="J15" i="4"/>
  <c r="P10" i="4"/>
  <c r="Q10" i="4" s="1"/>
  <c r="L17" i="4"/>
  <c r="F21" i="4"/>
  <c r="P4" i="4"/>
  <c r="Q4" i="4" s="1"/>
  <c r="P11" i="4"/>
  <c r="Q11" i="4" s="1"/>
  <c r="L15" i="4"/>
  <c r="G25" i="4"/>
  <c r="P12" i="4"/>
  <c r="Q12" i="4" s="1"/>
  <c r="I13" i="4"/>
  <c r="L11" i="4"/>
  <c r="G7" i="4"/>
  <c r="G10" i="4"/>
  <c r="I10" i="4"/>
  <c r="F21" i="21"/>
  <c r="F15" i="21"/>
  <c r="F11" i="21"/>
  <c r="F16" i="21"/>
  <c r="G14" i="21"/>
  <c r="J14" i="21"/>
  <c r="G7" i="21"/>
  <c r="F7" i="21"/>
  <c r="J7" i="21"/>
  <c r="RF21" i="21"/>
  <c r="RF8" i="21"/>
  <c r="G10" i="21"/>
  <c r="J10" i="21"/>
  <c r="L21" i="21"/>
  <c r="F10" i="21"/>
  <c r="RC21" i="21"/>
  <c r="L8" i="21"/>
  <c r="G6" i="21"/>
  <c r="F6" i="21"/>
  <c r="QA5" i="21"/>
  <c r="QD5" i="21"/>
  <c r="DC5" i="21"/>
  <c r="CZ5" i="21"/>
  <c r="J21" i="21"/>
  <c r="G8" i="21"/>
  <c r="J8" i="21"/>
  <c r="QA15" i="21"/>
  <c r="G19" i="21"/>
  <c r="RF10" i="21"/>
  <c r="L7" i="21"/>
  <c r="RB5" i="21"/>
  <c r="RA5" i="21"/>
  <c r="CZ15" i="21"/>
  <c r="CZ11" i="21"/>
  <c r="CZ16" i="21"/>
  <c r="QD10" i="21"/>
  <c r="QA10" i="21"/>
  <c r="CZ10" i="21"/>
  <c r="DC10" i="21"/>
  <c r="L10" i="21"/>
  <c r="RE5" i="21"/>
  <c r="RF5" i="21"/>
  <c r="QZ5" i="21"/>
  <c r="RC5" i="21"/>
  <c r="DC21" i="21"/>
  <c r="G21" i="21"/>
  <c r="G15" i="21"/>
  <c r="J15" i="21"/>
  <c r="L15" i="21"/>
  <c r="G11" i="21"/>
  <c r="J11" i="21"/>
  <c r="L11" i="21"/>
  <c r="G16" i="21"/>
  <c r="J16" i="21"/>
  <c r="L16" i="21"/>
  <c r="RB10" i="21"/>
  <c r="RA10" i="21"/>
  <c r="RC10" i="21"/>
  <c r="P6" i="21"/>
  <c r="L19" i="21"/>
  <c r="P10" i="21"/>
  <c r="QZ6" i="21"/>
  <c r="RC6" i="21"/>
  <c r="L5" i="21"/>
  <c r="F5" i="21"/>
  <c r="G5" i="21"/>
  <c r="RA4" i="21"/>
  <c r="QD11" i="21"/>
  <c r="QD16" i="21"/>
  <c r="QD19" i="21"/>
  <c r="RB6" i="21"/>
  <c r="QZ4" i="21"/>
  <c r="RC4" i="21"/>
  <c r="RC8" i="21"/>
  <c r="RC15" i="21"/>
  <c r="RC11" i="21"/>
  <c r="RC16" i="21"/>
  <c r="RC19" i="21"/>
  <c r="J19" i="21"/>
  <c r="QD7" i="21"/>
  <c r="P7" i="21"/>
  <c r="RF4" i="21"/>
  <c r="P19" i="21"/>
  <c r="RC7" i="21"/>
  <c r="DC7" i="21"/>
  <c r="RA6" i="21"/>
  <c r="L6" i="21"/>
  <c r="J6" i="21"/>
  <c r="DC6" i="21"/>
  <c r="QA6" i="21"/>
  <c r="QA4" i="21"/>
  <c r="QD4" i="21"/>
  <c r="F4" i="21"/>
  <c r="G4" i="21"/>
  <c r="F21" i="19"/>
  <c r="DC31" i="19"/>
  <c r="CZ31" i="19"/>
  <c r="RC11" i="19"/>
  <c r="J31" i="19"/>
  <c r="L19" i="19"/>
  <c r="F19" i="19"/>
  <c r="G19" i="19"/>
  <c r="RF11" i="19"/>
  <c r="F11" i="19"/>
  <c r="N31" i="19"/>
  <c r="P21" i="19"/>
  <c r="L31" i="19"/>
  <c r="G31" i="19"/>
  <c r="RA19" i="19"/>
  <c r="RA11" i="19"/>
  <c r="QA11" i="19"/>
  <c r="F31" i="19"/>
  <c r="RE19" i="19"/>
  <c r="RF19" i="19"/>
  <c r="J19" i="19"/>
  <c r="QZ11" i="19"/>
  <c r="G11" i="19"/>
  <c r="L11" i="19"/>
  <c r="RB21" i="19"/>
  <c r="RA21" i="19"/>
  <c r="L13" i="19"/>
  <c r="G13" i="19"/>
  <c r="J13" i="19"/>
  <c r="QA10" i="19"/>
  <c r="QD10" i="19"/>
  <c r="RA10" i="19"/>
  <c r="G21" i="19"/>
  <c r="QA19" i="19"/>
  <c r="F13" i="19"/>
  <c r="QZ10" i="19"/>
  <c r="RC10" i="19"/>
  <c r="P10" i="19"/>
  <c r="QZ19" i="19"/>
  <c r="RA13" i="19"/>
  <c r="QA13" i="19"/>
  <c r="G10" i="19"/>
  <c r="F10" i="19"/>
  <c r="G15" i="27"/>
  <c r="J15" i="27"/>
  <c r="G9" i="27"/>
  <c r="J9" i="27"/>
  <c r="L9" i="27"/>
  <c r="RC15" i="27"/>
  <c r="DC15" i="27"/>
  <c r="P17" i="27"/>
  <c r="CZ18" i="27"/>
  <c r="DC18" i="27"/>
  <c r="CZ14" i="27"/>
  <c r="DC14" i="27"/>
  <c r="P6" i="27"/>
  <c r="RF14" i="27"/>
  <c r="RG14" i="27" s="1"/>
  <c r="F6" i="27"/>
  <c r="RF9" i="27"/>
  <c r="RF17" i="27"/>
  <c r="RC9" i="27"/>
  <c r="DC9" i="27"/>
  <c r="P9" i="27"/>
  <c r="RA10" i="27"/>
  <c r="N10" i="27"/>
  <c r="L15" i="27"/>
  <c r="G17" i="27"/>
  <c r="J17" i="27"/>
  <c r="L17" i="27"/>
  <c r="QD14" i="27"/>
  <c r="RF12" i="27"/>
  <c r="F5" i="27"/>
  <c r="QZ6" i="27"/>
  <c r="RC6" i="27"/>
  <c r="RE10" i="27"/>
  <c r="RF10" i="27"/>
  <c r="L10" i="27"/>
  <c r="F10" i="27"/>
  <c r="G10" i="27"/>
  <c r="RA9" i="27"/>
  <c r="QA15" i="27"/>
  <c r="QD17" i="27"/>
  <c r="G18" i="27"/>
  <c r="J18" i="27"/>
  <c r="L18" i="27"/>
  <c r="RC14" i="27"/>
  <c r="G14" i="27"/>
  <c r="J14" i="27"/>
  <c r="L14" i="27"/>
  <c r="RB6" i="27"/>
  <c r="F9" i="27"/>
  <c r="QZ15" i="27"/>
  <c r="RC17" i="27"/>
  <c r="RF18" i="27"/>
  <c r="QD12" i="27"/>
  <c r="DC5" i="27"/>
  <c r="CZ5" i="27"/>
  <c r="G5" i="27"/>
  <c r="QZ18" i="27"/>
  <c r="QA18" i="27"/>
  <c r="L12" i="27"/>
  <c r="QA5" i="27"/>
  <c r="J12" i="27"/>
  <c r="P5" i="27"/>
  <c r="L6" i="27"/>
  <c r="QA10" i="27"/>
  <c r="QD5" i="27"/>
  <c r="QZ10" i="27"/>
  <c r="RA7" i="27"/>
  <c r="QA7" i="27"/>
  <c r="RC5" i="27"/>
  <c r="DC6" i="27"/>
  <c r="J6" i="27"/>
  <c r="G12" i="27"/>
  <c r="L5" i="27"/>
  <c r="QA6" i="27"/>
  <c r="QD10" i="27"/>
  <c r="CZ10" i="27"/>
  <c r="G7" i="27"/>
  <c r="F7" i="27"/>
  <c r="F13" i="26"/>
  <c r="F15" i="26"/>
  <c r="G10" i="26"/>
  <c r="QA7" i="26"/>
  <c r="L15" i="26"/>
  <c r="QA8" i="26"/>
  <c r="RC10" i="26"/>
  <c r="RF7" i="26"/>
  <c r="J8" i="26"/>
  <c r="QA6" i="26"/>
  <c r="QD6" i="26"/>
  <c r="P7" i="26"/>
  <c r="RA6" i="26"/>
  <c r="J9" i="26"/>
  <c r="J13" i="26"/>
  <c r="J15" i="26"/>
  <c r="P8" i="26"/>
  <c r="L10" i="26"/>
  <c r="QD7" i="26"/>
  <c r="RF6" i="26"/>
  <c r="RA7" i="26"/>
  <c r="DC9" i="26"/>
  <c r="L12" i="26"/>
  <c r="CZ13" i="26"/>
  <c r="CZ15" i="26"/>
  <c r="QD8" i="26"/>
  <c r="J10" i="26"/>
  <c r="L7" i="26"/>
  <c r="L9" i="26"/>
  <c r="CZ8" i="26"/>
  <c r="DC10" i="26"/>
  <c r="RC7" i="26"/>
  <c r="J7" i="26"/>
  <c r="F9" i="26"/>
  <c r="L13" i="26"/>
  <c r="G12" i="26"/>
  <c r="L8" i="26"/>
  <c r="QA10" i="26"/>
  <c r="DC7" i="26"/>
  <c r="RC6" i="26"/>
  <c r="G6" i="26"/>
  <c r="F6" i="26"/>
  <c r="L29" i="22"/>
  <c r="F29" i="22"/>
  <c r="I27" i="22"/>
  <c r="P27" i="22"/>
  <c r="Q27" i="22" s="1"/>
  <c r="P11" i="22"/>
  <c r="Q11" i="22" s="1"/>
  <c r="I21" i="22"/>
  <c r="G21" i="22"/>
  <c r="F16" i="22"/>
  <c r="J16" i="22"/>
  <c r="TO14" i="22"/>
  <c r="TS31" i="22"/>
  <c r="CU27" i="22"/>
  <c r="CY27" i="22" s="1"/>
  <c r="J27" i="22"/>
  <c r="TL11" i="22"/>
  <c r="J11" i="22"/>
  <c r="L11" i="22"/>
  <c r="P21" i="22"/>
  <c r="Q21" i="22" s="1"/>
  <c r="F21" i="22"/>
  <c r="F22" i="22"/>
  <c r="P14" i="22"/>
  <c r="Q14" i="22" s="1"/>
  <c r="I29" i="22"/>
  <c r="G28" i="22"/>
  <c r="G16" i="22"/>
  <c r="J28" i="22"/>
  <c r="L28" i="22"/>
  <c r="F28" i="22"/>
  <c r="G31" i="22"/>
  <c r="P30" i="22"/>
  <c r="Q30" i="22" s="1"/>
  <c r="G29" i="22"/>
  <c r="RD11" i="22"/>
  <c r="RK11" i="22" s="1"/>
  <c r="F11" i="22"/>
  <c r="G11" i="22"/>
  <c r="TS21" i="22"/>
  <c r="P22" i="22"/>
  <c r="Q22" i="22" s="1"/>
  <c r="PV29" i="22"/>
  <c r="QC29" i="22" s="1"/>
  <c r="I19" i="22"/>
  <c r="F31" i="22"/>
  <c r="P31" i="22"/>
  <c r="Q31" i="22" s="1"/>
  <c r="FJ11" i="22"/>
  <c r="FQ11" i="22" s="1"/>
  <c r="TO22" i="22"/>
  <c r="NF22" i="22"/>
  <c r="NM22" i="22" s="1"/>
  <c r="ON16" i="22"/>
  <c r="OU16" i="22" s="1"/>
  <c r="NF28" i="22"/>
  <c r="NM28" i="22" s="1"/>
  <c r="G15" i="22"/>
  <c r="L22" i="22"/>
  <c r="TL21" i="22"/>
  <c r="J22" i="22"/>
  <c r="J29" i="22"/>
  <c r="TS19" i="22"/>
  <c r="ON19" i="22"/>
  <c r="OU19" i="22" s="1"/>
  <c r="TM28" i="22"/>
  <c r="F15" i="22"/>
  <c r="L16" i="22"/>
  <c r="J21" i="22"/>
  <c r="I22" i="22"/>
  <c r="P16" i="22"/>
  <c r="Q16" i="22" s="1"/>
  <c r="NF14" i="22"/>
  <c r="NM14" i="22" s="1"/>
  <c r="J14" i="22"/>
  <c r="L14" i="22"/>
  <c r="TL29" i="22"/>
  <c r="GR29" i="22"/>
  <c r="GY29" i="22" s="1"/>
  <c r="G19" i="22"/>
  <c r="J19" i="22"/>
  <c r="I31" i="22"/>
  <c r="F13" i="22"/>
  <c r="P25" i="22"/>
  <c r="Q25" i="22" s="1"/>
  <c r="TS28" i="22"/>
  <c r="JH28" i="22"/>
  <c r="JO28" i="22" s="1"/>
  <c r="P28" i="22"/>
  <c r="Q28" i="22" s="1"/>
  <c r="P13" i="22"/>
  <c r="Q13" i="22" s="1"/>
  <c r="I11" i="22"/>
  <c r="L21" i="22"/>
  <c r="L19" i="22"/>
  <c r="P19" i="22"/>
  <c r="Q19" i="22" s="1"/>
  <c r="CU28" i="22"/>
  <c r="CY28" i="22" s="1"/>
  <c r="P17" i="22"/>
  <c r="Q17" i="22" s="1"/>
  <c r="I26" i="22"/>
  <c r="P26" i="22"/>
  <c r="Q26" i="22" s="1"/>
  <c r="I14" i="22"/>
  <c r="TL28" i="22"/>
  <c r="ON28" i="22"/>
  <c r="OU28" i="22" s="1"/>
  <c r="I15" i="22"/>
  <c r="P15" i="22"/>
  <c r="Q15" i="22" s="1"/>
  <c r="F10" i="22"/>
  <c r="P10" i="22"/>
  <c r="Q10" i="22" s="1"/>
  <c r="J30" i="22"/>
  <c r="JH13" i="22"/>
  <c r="JO13" i="22" s="1"/>
  <c r="G13" i="22"/>
  <c r="TS20" i="22"/>
  <c r="L20" i="22"/>
  <c r="G26" i="22"/>
  <c r="GR14" i="22"/>
  <c r="GY14" i="22" s="1"/>
  <c r="F14" i="22"/>
  <c r="G14" i="22"/>
  <c r="HZ19" i="22"/>
  <c r="IG19" i="22" s="1"/>
  <c r="F19" i="22"/>
  <c r="I28" i="22"/>
  <c r="RD15" i="22"/>
  <c r="RK15" i="22" s="1"/>
  <c r="G27" i="22"/>
  <c r="L27" i="22"/>
  <c r="KP20" i="22"/>
  <c r="KW20" i="22" s="1"/>
  <c r="G20" i="22"/>
  <c r="I10" i="22"/>
  <c r="F26" i="22"/>
  <c r="P20" i="22"/>
  <c r="Q20" i="22" s="1"/>
  <c r="F20" i="22"/>
  <c r="G17" i="22"/>
  <c r="L17" i="22"/>
  <c r="J17" i="22"/>
  <c r="I9" i="22"/>
  <c r="TO4" i="22"/>
  <c r="F4" i="22"/>
  <c r="GR27" i="22"/>
  <c r="GY27" i="22" s="1"/>
  <c r="F27" i="22"/>
  <c r="CY20" i="22"/>
  <c r="J20" i="22"/>
  <c r="I17" i="22"/>
  <c r="EB12" i="22"/>
  <c r="EI12" i="22" s="1"/>
  <c r="J26" i="22"/>
  <c r="TS25" i="22"/>
  <c r="TJ25" i="22"/>
  <c r="TL25" i="22"/>
  <c r="FJ13" i="22"/>
  <c r="FQ13" i="22" s="1"/>
  <c r="J13" i="22"/>
  <c r="L15" i="22"/>
  <c r="LX27" i="22"/>
  <c r="ME27" i="22" s="1"/>
  <c r="SL10" i="22"/>
  <c r="SS10" i="22" s="1"/>
  <c r="F17" i="22"/>
  <c r="TO12" i="22"/>
  <c r="L25" i="22"/>
  <c r="P8" i="22"/>
  <c r="Q8" i="22" s="1"/>
  <c r="F8" i="22"/>
  <c r="I8" i="22"/>
  <c r="KP13" i="22"/>
  <c r="KW13" i="22" s="1"/>
  <c r="I13" i="22"/>
  <c r="RD27" i="22"/>
  <c r="RK27" i="22" s="1"/>
  <c r="I20" i="22"/>
  <c r="TL10" i="22"/>
  <c r="TL12" i="22"/>
  <c r="G25" i="22"/>
  <c r="TO13" i="22"/>
  <c r="PV13" i="22"/>
  <c r="QC13" i="22" s="1"/>
  <c r="HZ10" i="22"/>
  <c r="IG10" i="22" s="1"/>
  <c r="L10" i="22"/>
  <c r="G10" i="22"/>
  <c r="KP25" i="22"/>
  <c r="KW25" i="22" s="1"/>
  <c r="NF30" i="22"/>
  <c r="NM30" i="22" s="1"/>
  <c r="J10" i="22"/>
  <c r="TO26" i="22"/>
  <c r="F25" i="22"/>
  <c r="I25" i="22"/>
  <c r="F30" i="22"/>
  <c r="I30" i="22"/>
  <c r="P9" i="22"/>
  <c r="Q9" i="22" s="1"/>
  <c r="P4" i="22"/>
  <c r="Q4" i="22" s="1"/>
  <c r="JH12" i="22"/>
  <c r="JO12" i="22" s="1"/>
  <c r="J12" i="22"/>
  <c r="I12" i="22"/>
  <c r="L26" i="22"/>
  <c r="TO25" i="22"/>
  <c r="PV25" i="22"/>
  <c r="QC25" i="22" s="1"/>
  <c r="EB8" i="22"/>
  <c r="EI8" i="22" s="1"/>
  <c r="G8" i="22"/>
  <c r="ON12" i="22"/>
  <c r="OU12" i="22" s="1"/>
  <c r="TS30" i="22"/>
  <c r="TL4" i="22"/>
  <c r="P12" i="22"/>
  <c r="Q12" i="22" s="1"/>
  <c r="G12" i="22"/>
  <c r="TL26" i="22"/>
  <c r="SL30" i="22"/>
  <c r="SS30" i="22" s="1"/>
  <c r="J9" i="22"/>
  <c r="L9" i="22"/>
  <c r="F9" i="22"/>
  <c r="CU4" i="22"/>
  <c r="CY4" i="22" s="1"/>
  <c r="F12" i="22"/>
  <c r="TL30" i="22"/>
  <c r="L30" i="22"/>
  <c r="G30" i="22"/>
  <c r="J4" i="22"/>
  <c r="I4" i="22"/>
  <c r="L8" i="22"/>
  <c r="G4" i="22"/>
  <c r="G15" i="4"/>
  <c r="J25" i="4"/>
  <c r="I9" i="4"/>
  <c r="F15" i="4"/>
  <c r="I25" i="4"/>
  <c r="G12" i="4"/>
  <c r="I11" i="4"/>
  <c r="TL9" i="4"/>
  <c r="P17" i="4"/>
  <c r="Q17" i="4" s="1"/>
  <c r="F25" i="4"/>
  <c r="F12" i="4"/>
  <c r="F17" i="4"/>
  <c r="G11" i="4"/>
  <c r="L12" i="4"/>
  <c r="P9" i="4"/>
  <c r="Q9" i="4" s="1"/>
  <c r="TS17" i="4"/>
  <c r="J9" i="4"/>
  <c r="F9" i="4"/>
  <c r="G9" i="4"/>
  <c r="J12" i="4"/>
  <c r="J17" i="4"/>
  <c r="F10" i="4"/>
  <c r="L6" i="4"/>
  <c r="G5" i="4"/>
  <c r="J4" i="4"/>
  <c r="I17" i="4"/>
  <c r="L21" i="4"/>
  <c r="G13" i="4"/>
  <c r="P7" i="4"/>
  <c r="Q7" i="4" s="1"/>
  <c r="J7" i="4"/>
  <c r="TM5" i="4"/>
  <c r="F5" i="4"/>
  <c r="I4" i="4"/>
  <c r="F13" i="4"/>
  <c r="I7" i="4"/>
  <c r="L10" i="4"/>
  <c r="P6" i="4"/>
  <c r="Q6" i="4" s="1"/>
  <c r="J6" i="4"/>
  <c r="G17" i="4"/>
  <c r="P21" i="4"/>
  <c r="Q21" i="4" s="1"/>
  <c r="J21" i="4"/>
  <c r="CU13" i="4"/>
  <c r="CY13" i="4" s="1"/>
  <c r="FJ7" i="4"/>
  <c r="FQ7" i="4" s="1"/>
  <c r="I6" i="4"/>
  <c r="L5" i="4"/>
  <c r="G4" i="4"/>
  <c r="I21" i="4"/>
  <c r="F4" i="4"/>
  <c r="F7" i="4"/>
  <c r="G6" i="4"/>
  <c r="G21" i="4"/>
  <c r="P13" i="4"/>
  <c r="Q13" i="4" s="1"/>
  <c r="K15" i="22" l="1"/>
  <c r="K31" i="22"/>
  <c r="K8" i="22"/>
  <c r="K25" i="22"/>
  <c r="K18" i="22"/>
  <c r="K24" i="22"/>
  <c r="K15" i="4"/>
  <c r="K14" i="4"/>
  <c r="K5" i="4"/>
  <c r="K16" i="4"/>
  <c r="K10" i="4"/>
  <c r="K13" i="4"/>
  <c r="K24" i="4"/>
  <c r="K27" i="4"/>
  <c r="K29" i="4"/>
  <c r="K11" i="4"/>
  <c r="K23" i="4"/>
  <c r="DF5" i="21"/>
  <c r="RD12" i="26"/>
  <c r="RG11" i="26"/>
  <c r="RG17" i="26"/>
  <c r="RD18" i="19"/>
  <c r="Q34" i="19"/>
  <c r="DD7" i="27"/>
  <c r="Q22" i="27"/>
  <c r="DD11" i="26"/>
  <c r="I11" i="26"/>
  <c r="H11" i="26" s="1"/>
  <c r="DE11" i="26"/>
  <c r="DE11" i="21"/>
  <c r="O7" i="26"/>
  <c r="RD11" i="26"/>
  <c r="DD22" i="27"/>
  <c r="R22" i="27" s="1"/>
  <c r="I22" i="27"/>
  <c r="H22" i="27" s="1"/>
  <c r="RD22" i="27"/>
  <c r="DD17" i="26"/>
  <c r="TP24" i="4"/>
  <c r="TT24" i="4" s="1"/>
  <c r="RG22" i="27"/>
  <c r="O22" i="27"/>
  <c r="A22" i="27"/>
  <c r="DF11" i="26"/>
  <c r="Q11" i="26"/>
  <c r="RD17" i="26"/>
  <c r="O17" i="26"/>
  <c r="I17" i="26"/>
  <c r="H17" i="26" s="1"/>
  <c r="A17" i="26"/>
  <c r="DF17" i="26"/>
  <c r="Q17" i="26"/>
  <c r="RD34" i="19"/>
  <c r="Q18" i="19"/>
  <c r="RD36" i="19"/>
  <c r="DE18" i="27"/>
  <c r="DE15" i="26"/>
  <c r="DE6" i="26"/>
  <c r="CZ19" i="22"/>
  <c r="TP24" i="22"/>
  <c r="TT24" i="22" s="1"/>
  <c r="CZ23" i="22"/>
  <c r="TP23" i="22"/>
  <c r="TT23" i="22" s="1"/>
  <c r="TP14" i="4"/>
  <c r="TT14" i="4" s="1"/>
  <c r="TP27" i="4"/>
  <c r="TT27" i="4" s="1"/>
  <c r="CZ27" i="4"/>
  <c r="A14" i="4" a="1"/>
  <c r="A14" i="4" s="1"/>
  <c r="H14" i="4"/>
  <c r="M14" i="4"/>
  <c r="CZ14" i="4"/>
  <c r="DA14" i="4"/>
  <c r="O14" i="4"/>
  <c r="CZ16" i="4"/>
  <c r="TP29" i="4"/>
  <c r="TT29" i="4" s="1"/>
  <c r="A27" i="4" a="1"/>
  <c r="A27" i="4" s="1"/>
  <c r="O27" i="4"/>
  <c r="DA27" i="4"/>
  <c r="H27" i="4"/>
  <c r="TP23" i="4"/>
  <c r="TT23" i="4" s="1"/>
  <c r="TP16" i="4"/>
  <c r="TT16" i="4" s="1"/>
  <c r="H24" i="4"/>
  <c r="A24" i="4" a="1"/>
  <c r="A24" i="4" s="1"/>
  <c r="O24" i="4"/>
  <c r="DA24" i="4"/>
  <c r="CZ24" i="4"/>
  <c r="A23" i="4" a="1"/>
  <c r="A23" i="4" s="1"/>
  <c r="H29" i="4"/>
  <c r="A29" i="4" a="1"/>
  <c r="A29" i="4" s="1"/>
  <c r="CZ29" i="4"/>
  <c r="O29" i="4"/>
  <c r="DA29" i="4"/>
  <c r="A16" i="4" a="1"/>
  <c r="A16" i="4" s="1"/>
  <c r="O16" i="4"/>
  <c r="DA16" i="4"/>
  <c r="H16" i="4"/>
  <c r="CZ21" i="4"/>
  <c r="A34" i="19"/>
  <c r="M34" i="19"/>
  <c r="O34" i="19"/>
  <c r="RG34" i="19"/>
  <c r="R34" i="19"/>
  <c r="S34" i="19" s="1"/>
  <c r="K34" i="19"/>
  <c r="I34" i="19"/>
  <c r="H34" i="19" s="1"/>
  <c r="I36" i="19"/>
  <c r="H36" i="19" s="1"/>
  <c r="I18" i="19"/>
  <c r="H18" i="19" s="1"/>
  <c r="H23" i="4"/>
  <c r="CZ23" i="4"/>
  <c r="M23" i="4"/>
  <c r="DA23" i="4"/>
  <c r="O23" i="4"/>
  <c r="CZ15" i="4"/>
  <c r="T15" i="4" s="1"/>
  <c r="H23" i="22"/>
  <c r="O23" i="22"/>
  <c r="DA23" i="22"/>
  <c r="K23" i="22"/>
  <c r="A23" i="22" a="1"/>
  <c r="A23" i="22" s="1"/>
  <c r="H24" i="22"/>
  <c r="A24" i="22" a="1"/>
  <c r="A24" i="22" s="1"/>
  <c r="O24" i="22"/>
  <c r="DA24" i="22"/>
  <c r="CZ24" i="22"/>
  <c r="O26" i="22"/>
  <c r="CZ20" i="22"/>
  <c r="TP18" i="22"/>
  <c r="TT18" i="22" s="1"/>
  <c r="CZ18" i="22"/>
  <c r="H18" i="22"/>
  <c r="A18" i="22" a="1"/>
  <c r="A18" i="22" s="1"/>
  <c r="O18" i="22"/>
  <c r="DA18" i="22"/>
  <c r="RG11" i="21"/>
  <c r="DE18" i="19"/>
  <c r="DD10" i="19"/>
  <c r="DE21" i="19"/>
  <c r="DD36" i="19"/>
  <c r="RG36" i="19"/>
  <c r="DD18" i="19"/>
  <c r="DD21" i="19"/>
  <c r="O36" i="19"/>
  <c r="Q18" i="27"/>
  <c r="DF12" i="27"/>
  <c r="CZ30" i="22"/>
  <c r="T30" i="22" s="1"/>
  <c r="CZ25" i="4"/>
  <c r="CZ17" i="4"/>
  <c r="T17" i="4" s="1"/>
  <c r="V17" i="4" s="1"/>
  <c r="CZ6" i="4"/>
  <c r="T6" i="4" s="1"/>
  <c r="TP5" i="4"/>
  <c r="TT5" i="4" s="1"/>
  <c r="CZ9" i="4"/>
  <c r="A36" i="19"/>
  <c r="DF36" i="19"/>
  <c r="Q36" i="19"/>
  <c r="RG18" i="19"/>
  <c r="DF31" i="19"/>
  <c r="DE13" i="19"/>
  <c r="DE6" i="21"/>
  <c r="DF15" i="21"/>
  <c r="DE19" i="19"/>
  <c r="O10" i="19"/>
  <c r="Q11" i="19"/>
  <c r="CZ15" i="22"/>
  <c r="T15" i="22" s="1"/>
  <c r="CZ17" i="22"/>
  <c r="CZ8" i="22"/>
  <c r="T8" i="22" s="1"/>
  <c r="CZ4" i="4"/>
  <c r="T4" i="4" s="1"/>
  <c r="V4" i="4" s="1"/>
  <c r="DA11" i="4"/>
  <c r="TP10" i="4"/>
  <c r="TT10" i="4" s="1"/>
  <c r="DE7" i="21"/>
  <c r="DE5" i="21"/>
  <c r="RD21" i="21"/>
  <c r="RG7" i="21"/>
  <c r="RG8" i="21"/>
  <c r="Q8" i="21"/>
  <c r="O21" i="21"/>
  <c r="DE16" i="21"/>
  <c r="RD11" i="21"/>
  <c r="RD19" i="21"/>
  <c r="DF16" i="21"/>
  <c r="DF4" i="21"/>
  <c r="DF14" i="21"/>
  <c r="DE10" i="21"/>
  <c r="DE15" i="21"/>
  <c r="RD8" i="21"/>
  <c r="RD7" i="21"/>
  <c r="DF13" i="19"/>
  <c r="O6" i="27"/>
  <c r="DE14" i="27"/>
  <c r="RD12" i="27"/>
  <c r="Q13" i="26"/>
  <c r="DD6" i="26"/>
  <c r="CZ27" i="22"/>
  <c r="CZ11" i="22"/>
  <c r="CZ14" i="22"/>
  <c r="T14" i="22" s="1"/>
  <c r="CZ25" i="22"/>
  <c r="CZ28" i="22"/>
  <c r="T28" i="22" s="1"/>
  <c r="CZ4" i="22"/>
  <c r="T4" i="22" s="1"/>
  <c r="CZ22" i="22"/>
  <c r="CZ26" i="22"/>
  <c r="T26" i="22" s="1"/>
  <c r="U26" i="22" s="1"/>
  <c r="O12" i="22"/>
  <c r="CZ21" i="22"/>
  <c r="CZ31" i="22"/>
  <c r="CZ16" i="22"/>
  <c r="CZ9" i="22"/>
  <c r="CZ10" i="22"/>
  <c r="TP21" i="22"/>
  <c r="TT21" i="22" s="1"/>
  <c r="TP14" i="22"/>
  <c r="TT14" i="22" s="1"/>
  <c r="CZ13" i="22"/>
  <c r="CZ29" i="22"/>
  <c r="T29" i="22" s="1"/>
  <c r="CZ12" i="22"/>
  <c r="TP15" i="22"/>
  <c r="TT15" i="22" s="1"/>
  <c r="CZ13" i="4"/>
  <c r="CZ5" i="4"/>
  <c r="TP11" i="4"/>
  <c r="TT11" i="4" s="1"/>
  <c r="TP17" i="4"/>
  <c r="TT17" i="4" s="1"/>
  <c r="CZ12" i="4"/>
  <c r="T12" i="4" s="1"/>
  <c r="V12" i="4" s="1"/>
  <c r="CZ11" i="4"/>
  <c r="CZ7" i="4"/>
  <c r="CZ10" i="4"/>
  <c r="O4" i="21"/>
  <c r="DD4" i="21"/>
  <c r="DE8" i="21"/>
  <c r="DE11" i="19"/>
  <c r="I21" i="19"/>
  <c r="H21" i="19" s="1"/>
  <c r="RG31" i="19"/>
  <c r="I31" i="19"/>
  <c r="H31" i="19" s="1"/>
  <c r="DE13" i="26"/>
  <c r="RD15" i="26"/>
  <c r="Q10" i="26"/>
  <c r="RD9" i="26"/>
  <c r="RG10" i="26"/>
  <c r="RD10" i="26"/>
  <c r="RD13" i="26"/>
  <c r="I15" i="26"/>
  <c r="H15" i="26" s="1"/>
  <c r="DF6" i="26"/>
  <c r="O12" i="26"/>
  <c r="DE9" i="26"/>
  <c r="I9" i="26"/>
  <c r="H9" i="26" s="1"/>
  <c r="Q15" i="26"/>
  <c r="RG8" i="26"/>
  <c r="TP27" i="22"/>
  <c r="TT27" i="22" s="1"/>
  <c r="O21" i="22"/>
  <c r="O4" i="22"/>
  <c r="O15" i="22"/>
  <c r="M27" i="22"/>
  <c r="M10" i="22"/>
  <c r="M15" i="22"/>
  <c r="M22" i="22"/>
  <c r="M11" i="22"/>
  <c r="M12" i="22"/>
  <c r="M25" i="22"/>
  <c r="M19" i="22"/>
  <c r="TP16" i="22"/>
  <c r="TT16" i="22" s="1"/>
  <c r="M13" i="22"/>
  <c r="M14" i="22"/>
  <c r="M16" i="22"/>
  <c r="M26" i="22"/>
  <c r="M9" i="22"/>
  <c r="M8" i="22"/>
  <c r="M30" i="22"/>
  <c r="M17" i="22"/>
  <c r="M21" i="22"/>
  <c r="M29" i="22"/>
  <c r="M31" i="22"/>
  <c r="M20" i="22"/>
  <c r="M28" i="22"/>
  <c r="TP15" i="4"/>
  <c r="TT15" i="4" s="1"/>
  <c r="O17" i="4"/>
  <c r="DA9" i="4"/>
  <c r="O6" i="4"/>
  <c r="DA10" i="4"/>
  <c r="O12" i="4"/>
  <c r="O4" i="4"/>
  <c r="TP29" i="22"/>
  <c r="TT29" i="22" s="1"/>
  <c r="TP20" i="22"/>
  <c r="TT20" i="22" s="1"/>
  <c r="TP8" i="22"/>
  <c r="TT8" i="22" s="1"/>
  <c r="TP6" i="4"/>
  <c r="TT6" i="4" s="1"/>
  <c r="O25" i="4"/>
  <c r="O15" i="4"/>
  <c r="TP13" i="4"/>
  <c r="TT13" i="4" s="1"/>
  <c r="O13" i="4"/>
  <c r="TP21" i="4"/>
  <c r="TT21" i="4" s="1"/>
  <c r="DA7" i="4"/>
  <c r="DA5" i="4"/>
  <c r="M11" i="4"/>
  <c r="M7" i="4"/>
  <c r="M25" i="4"/>
  <c r="M10" i="4"/>
  <c r="M6" i="4"/>
  <c r="TP7" i="4"/>
  <c r="TT7" i="4" s="1"/>
  <c r="DA21" i="4"/>
  <c r="O21" i="4"/>
  <c r="M12" i="4"/>
  <c r="M4" i="4"/>
  <c r="M13" i="4"/>
  <c r="M15" i="4"/>
  <c r="M17" i="4"/>
  <c r="M9" i="4"/>
  <c r="M5" i="4"/>
  <c r="M21" i="4"/>
  <c r="TP9" i="4"/>
  <c r="TT9" i="4" s="1"/>
  <c r="DF11" i="21"/>
  <c r="RD15" i="21"/>
  <c r="I21" i="21"/>
  <c r="H21" i="21" s="1"/>
  <c r="RD14" i="21"/>
  <c r="DE14" i="21"/>
  <c r="RG16" i="21"/>
  <c r="RG14" i="21"/>
  <c r="RG19" i="21"/>
  <c r="DE19" i="21"/>
  <c r="DD14" i="21"/>
  <c r="RD16" i="21"/>
  <c r="I19" i="21"/>
  <c r="H19" i="21" s="1"/>
  <c r="I15" i="21"/>
  <c r="H15" i="21" s="1"/>
  <c r="RG15" i="21"/>
  <c r="I16" i="21"/>
  <c r="H16" i="21" s="1"/>
  <c r="I8" i="21"/>
  <c r="H8" i="21" s="1"/>
  <c r="I11" i="21"/>
  <c r="H11" i="21" s="1"/>
  <c r="I7" i="21"/>
  <c r="H7" i="21" s="1"/>
  <c r="RG21" i="21"/>
  <c r="DF21" i="21"/>
  <c r="I4" i="21"/>
  <c r="H4" i="21" s="1"/>
  <c r="I6" i="21"/>
  <c r="H6" i="21" s="1"/>
  <c r="I11" i="19"/>
  <c r="H11" i="19" s="1"/>
  <c r="I13" i="19"/>
  <c r="H13" i="19" s="1"/>
  <c r="DF19" i="19"/>
  <c r="RD31" i="19"/>
  <c r="I10" i="19"/>
  <c r="H10" i="19" s="1"/>
  <c r="O12" i="27"/>
  <c r="RD14" i="27"/>
  <c r="DE9" i="27"/>
  <c r="RD17" i="27"/>
  <c r="DF7" i="27"/>
  <c r="RG18" i="27"/>
  <c r="I14" i="27"/>
  <c r="H14" i="27" s="1"/>
  <c r="DE5" i="27"/>
  <c r="RG6" i="27"/>
  <c r="RD18" i="27"/>
  <c r="DE17" i="27"/>
  <c r="I12" i="27"/>
  <c r="H12" i="27" s="1"/>
  <c r="DE15" i="27"/>
  <c r="RD15" i="27"/>
  <c r="DF10" i="27"/>
  <c r="RD5" i="27"/>
  <c r="RG5" i="27"/>
  <c r="RD6" i="27"/>
  <c r="Q14" i="27"/>
  <c r="Q15" i="27"/>
  <c r="RG12" i="27"/>
  <c r="O7" i="27"/>
  <c r="I17" i="27"/>
  <c r="H17" i="27" s="1"/>
  <c r="RG17" i="27"/>
  <c r="RG15" i="27"/>
  <c r="I6" i="27"/>
  <c r="H6" i="27" s="1"/>
  <c r="I7" i="27"/>
  <c r="H7" i="27" s="1"/>
  <c r="I12" i="26"/>
  <c r="H12" i="26" s="1"/>
  <c r="I10" i="26"/>
  <c r="H10" i="26" s="1"/>
  <c r="RG13" i="26"/>
  <c r="DE8" i="26"/>
  <c r="DF12" i="26"/>
  <c r="Q9" i="26"/>
  <c r="I13" i="26"/>
  <c r="H13" i="26" s="1"/>
  <c r="RD8" i="26"/>
  <c r="RG9" i="26"/>
  <c r="RG15" i="26"/>
  <c r="O10" i="26"/>
  <c r="RG12" i="26"/>
  <c r="I6" i="26"/>
  <c r="H6" i="26" s="1"/>
  <c r="H14" i="22"/>
  <c r="TP13" i="22"/>
  <c r="TT13" i="22" s="1"/>
  <c r="TP30" i="22"/>
  <c r="TT30" i="22" s="1"/>
  <c r="TP4" i="22"/>
  <c r="TT4" i="22" s="1"/>
  <c r="TP22" i="22"/>
  <c r="TT22" i="22" s="1"/>
  <c r="H22" i="22"/>
  <c r="TP11" i="22"/>
  <c r="TT11" i="22" s="1"/>
  <c r="TP10" i="22"/>
  <c r="TT10" i="22" s="1"/>
  <c r="TP28" i="22"/>
  <c r="TT28" i="22" s="1"/>
  <c r="TP31" i="22"/>
  <c r="TT31" i="22" s="1"/>
  <c r="TP9" i="22"/>
  <c r="TT9" i="22" s="1"/>
  <c r="H9" i="22"/>
  <c r="H10" i="22"/>
  <c r="TP17" i="22"/>
  <c r="TT17" i="22" s="1"/>
  <c r="H13" i="22"/>
  <c r="H11" i="22"/>
  <c r="H27" i="22"/>
  <c r="TP19" i="22"/>
  <c r="TT19" i="22" s="1"/>
  <c r="TP26" i="22"/>
  <c r="TT26" i="22" s="1"/>
  <c r="H30" i="22"/>
  <c r="H8" i="22"/>
  <c r="H29" i="22"/>
  <c r="H26" i="22"/>
  <c r="H28" i="22"/>
  <c r="H21" i="22"/>
  <c r="H11" i="4"/>
  <c r="H21" i="4"/>
  <c r="TP25" i="4"/>
  <c r="TT25" i="4" s="1"/>
  <c r="TP12" i="4"/>
  <c r="TT12" i="4" s="1"/>
  <c r="H6" i="4"/>
  <c r="TP4" i="4"/>
  <c r="TT4" i="4" s="1"/>
  <c r="H17" i="4"/>
  <c r="H5" i="4"/>
  <c r="H9" i="4"/>
  <c r="H10" i="4"/>
  <c r="M6" i="21"/>
  <c r="DD6" i="21"/>
  <c r="K10" i="21"/>
  <c r="K14" i="21"/>
  <c r="I10" i="21"/>
  <c r="H10" i="21" s="1"/>
  <c r="M5" i="21"/>
  <c r="DD5" i="21"/>
  <c r="DF6" i="21"/>
  <c r="Q6" i="21"/>
  <c r="K11" i="21"/>
  <c r="DD7" i="21"/>
  <c r="M7" i="21"/>
  <c r="RD4" i="21"/>
  <c r="RG4" i="21"/>
  <c r="DD16" i="21"/>
  <c r="M16" i="21"/>
  <c r="DD15" i="21"/>
  <c r="M15" i="21"/>
  <c r="K7" i="21"/>
  <c r="I5" i="21"/>
  <c r="H5" i="21" s="1"/>
  <c r="M10" i="21"/>
  <c r="DD10" i="21"/>
  <c r="I14" i="21"/>
  <c r="H14" i="21" s="1"/>
  <c r="DD21" i="21"/>
  <c r="M21" i="21"/>
  <c r="K6" i="21"/>
  <c r="K16" i="21"/>
  <c r="K15" i="21"/>
  <c r="K8" i="21"/>
  <c r="K21" i="21"/>
  <c r="DD19" i="21"/>
  <c r="M19" i="21"/>
  <c r="RD5" i="21"/>
  <c r="RG5" i="21"/>
  <c r="RG6" i="21"/>
  <c r="RD6" i="21"/>
  <c r="DF19" i="21"/>
  <c r="Q19" i="21"/>
  <c r="DF7" i="21"/>
  <c r="Q7" i="21"/>
  <c r="K19" i="21"/>
  <c r="RD10" i="21"/>
  <c r="RG10" i="21"/>
  <c r="DF10" i="21"/>
  <c r="Q10" i="21"/>
  <c r="DD11" i="21"/>
  <c r="M11" i="21"/>
  <c r="M8" i="21"/>
  <c r="DD8" i="21"/>
  <c r="M11" i="19"/>
  <c r="DD11" i="19"/>
  <c r="DD31" i="19"/>
  <c r="M31" i="19"/>
  <c r="O31" i="19"/>
  <c r="DE31" i="19"/>
  <c r="I19" i="19"/>
  <c r="H19" i="19" s="1"/>
  <c r="K31" i="19"/>
  <c r="K19" i="19"/>
  <c r="M13" i="19"/>
  <c r="DD13" i="19"/>
  <c r="DF21" i="19"/>
  <c r="Q21" i="19"/>
  <c r="K13" i="19"/>
  <c r="RG13" i="19"/>
  <c r="RD13" i="19"/>
  <c r="RG10" i="19"/>
  <c r="RD10" i="19"/>
  <c r="DF10" i="19"/>
  <c r="Q10" i="19"/>
  <c r="RD11" i="19"/>
  <c r="RG11" i="19"/>
  <c r="M19" i="19"/>
  <c r="DD19" i="19"/>
  <c r="RD21" i="19"/>
  <c r="RG21" i="19"/>
  <c r="RG19" i="19"/>
  <c r="RD19" i="19"/>
  <c r="K14" i="27"/>
  <c r="M10" i="27"/>
  <c r="DD10" i="27"/>
  <c r="Q5" i="27"/>
  <c r="DF5" i="27"/>
  <c r="DD12" i="27"/>
  <c r="M12" i="27"/>
  <c r="M18" i="27"/>
  <c r="DD18" i="27"/>
  <c r="I9" i="27"/>
  <c r="H9" i="27" s="1"/>
  <c r="I15" i="27"/>
  <c r="H15" i="27" s="1"/>
  <c r="DF17" i="27"/>
  <c r="Q17" i="27"/>
  <c r="K18" i="27"/>
  <c r="RD9" i="27"/>
  <c r="RG9" i="27"/>
  <c r="M5" i="27"/>
  <c r="DD5" i="27"/>
  <c r="K12" i="27"/>
  <c r="I18" i="27"/>
  <c r="H18" i="27" s="1"/>
  <c r="DD17" i="27"/>
  <c r="M17" i="27"/>
  <c r="M15" i="27"/>
  <c r="DD15" i="27"/>
  <c r="DF9" i="27"/>
  <c r="Q9" i="27"/>
  <c r="M9" i="27"/>
  <c r="DD9" i="27"/>
  <c r="I10" i="27"/>
  <c r="H10" i="27" s="1"/>
  <c r="K17" i="27"/>
  <c r="O10" i="27"/>
  <c r="DE10" i="27"/>
  <c r="DF6" i="27"/>
  <c r="Q6" i="27"/>
  <c r="K9" i="27"/>
  <c r="RD10" i="27"/>
  <c r="RG10" i="27"/>
  <c r="K6" i="27"/>
  <c r="RG7" i="27"/>
  <c r="RD7" i="27"/>
  <c r="M6" i="27"/>
  <c r="DD6" i="27"/>
  <c r="M14" i="27"/>
  <c r="DD14" i="27"/>
  <c r="I5" i="27"/>
  <c r="H5" i="27" s="1"/>
  <c r="K15" i="27"/>
  <c r="RD7" i="26"/>
  <c r="RG7" i="26"/>
  <c r="M10" i="26"/>
  <c r="DD10" i="26"/>
  <c r="R10" i="26" s="1"/>
  <c r="K9" i="26"/>
  <c r="M8" i="26"/>
  <c r="DD8" i="26"/>
  <c r="M13" i="26"/>
  <c r="DD13" i="26"/>
  <c r="RD6" i="26"/>
  <c r="RG6" i="26"/>
  <c r="K8" i="26"/>
  <c r="I7" i="26"/>
  <c r="H7" i="26" s="1"/>
  <c r="M9" i="26"/>
  <c r="DD9" i="26"/>
  <c r="Q7" i="26"/>
  <c r="DF7" i="26"/>
  <c r="M15" i="26"/>
  <c r="DD15" i="26"/>
  <c r="M7" i="26"/>
  <c r="DD7" i="26"/>
  <c r="I8" i="26"/>
  <c r="H8" i="26" s="1"/>
  <c r="Q8" i="26"/>
  <c r="DF8" i="26"/>
  <c r="K13" i="26"/>
  <c r="K7" i="26"/>
  <c r="DD12" i="26"/>
  <c r="M12" i="26"/>
  <c r="K10" i="26"/>
  <c r="K15" i="26"/>
  <c r="H16" i="22"/>
  <c r="K11" i="22"/>
  <c r="K10" i="22"/>
  <c r="O9" i="22"/>
  <c r="O10" i="22"/>
  <c r="H25" i="22"/>
  <c r="K17" i="22"/>
  <c r="O20" i="22"/>
  <c r="O13" i="22"/>
  <c r="O14" i="22"/>
  <c r="K19" i="22"/>
  <c r="K22" i="22"/>
  <c r="O11" i="22"/>
  <c r="K9" i="22"/>
  <c r="O30" i="22"/>
  <c r="K20" i="22"/>
  <c r="O17" i="22"/>
  <c r="O31" i="22"/>
  <c r="H19" i="22"/>
  <c r="O28" i="22"/>
  <c r="H12" i="22"/>
  <c r="TP25" i="22"/>
  <c r="TT25" i="22" s="1"/>
  <c r="O27" i="22"/>
  <c r="K21" i="22"/>
  <c r="K27" i="22"/>
  <c r="K26" i="22"/>
  <c r="E26" i="22" s="1"/>
  <c r="K13" i="22"/>
  <c r="K30" i="22"/>
  <c r="K14" i="22"/>
  <c r="O22" i="22"/>
  <c r="O29" i="22"/>
  <c r="O8" i="22"/>
  <c r="K12" i="22"/>
  <c r="H4" i="22"/>
  <c r="TP12" i="22"/>
  <c r="TT12" i="22" s="1"/>
  <c r="O16" i="22"/>
  <c r="H20" i="22"/>
  <c r="K4" i="22"/>
  <c r="E4" i="22" s="1"/>
  <c r="K29" i="22"/>
  <c r="E29" i="22" s="1"/>
  <c r="H31" i="22"/>
  <c r="O25" i="22"/>
  <c r="H17" i="22"/>
  <c r="H15" i="22"/>
  <c r="K28" i="22"/>
  <c r="E28" i="22" s="1"/>
  <c r="O19" i="22"/>
  <c r="K16" i="22"/>
  <c r="K7" i="4"/>
  <c r="H12" i="4"/>
  <c r="H25" i="4"/>
  <c r="H13" i="4"/>
  <c r="H7" i="4"/>
  <c r="K25" i="4"/>
  <c r="H15" i="4"/>
  <c r="K9" i="4"/>
  <c r="K6" i="4"/>
  <c r="E6" i="4" s="1"/>
  <c r="H4" i="4"/>
  <c r="K21" i="4"/>
  <c r="K4" i="4"/>
  <c r="E4" i="4" s="1"/>
  <c r="K17" i="4"/>
  <c r="K12" i="4"/>
  <c r="E12" i="4" s="1"/>
  <c r="R7" i="27" l="1"/>
  <c r="E14" i="22"/>
  <c r="E30" i="22"/>
  <c r="E8" i="22"/>
  <c r="E15" i="22"/>
  <c r="E17" i="22"/>
  <c r="E15" i="4"/>
  <c r="E17" i="4"/>
  <c r="E7" i="4"/>
  <c r="E16" i="4"/>
  <c r="R17" i="26"/>
  <c r="E17" i="26" s="1"/>
  <c r="R11" i="26"/>
  <c r="E11" i="26" s="1"/>
  <c r="T16" i="4"/>
  <c r="R18" i="19"/>
  <c r="E18" i="19" s="1"/>
  <c r="T23" i="22"/>
  <c r="V23" i="22" s="1"/>
  <c r="T27" i="4"/>
  <c r="V27" i="4" s="1"/>
  <c r="R18" i="27"/>
  <c r="E18" i="27" s="1"/>
  <c r="T22" i="27"/>
  <c r="S22" i="27"/>
  <c r="E22" i="27"/>
  <c r="R15" i="26"/>
  <c r="S15" i="26" s="1"/>
  <c r="R13" i="26"/>
  <c r="S13" i="26" s="1"/>
  <c r="R6" i="26"/>
  <c r="S6" i="26" s="1"/>
  <c r="R21" i="19"/>
  <c r="T21" i="19" s="1"/>
  <c r="R10" i="19"/>
  <c r="T10" i="19" s="1"/>
  <c r="T34" i="19"/>
  <c r="T14" i="4"/>
  <c r="E14" i="4" s="1"/>
  <c r="T24" i="4"/>
  <c r="E24" i="4" s="1"/>
  <c r="T29" i="4"/>
  <c r="E29" i="4" s="1"/>
  <c r="U16" i="4"/>
  <c r="V16" i="4"/>
  <c r="E34" i="19"/>
  <c r="T23" i="4"/>
  <c r="E23" i="4" s="1"/>
  <c r="T24" i="22"/>
  <c r="E24" i="22" s="1"/>
  <c r="T18" i="22"/>
  <c r="E18" i="22" s="1"/>
  <c r="R5" i="21"/>
  <c r="E5" i="21" s="1"/>
  <c r="R36" i="19"/>
  <c r="E36" i="19" s="1"/>
  <c r="R12" i="27"/>
  <c r="T12" i="27" s="1"/>
  <c r="R14" i="27"/>
  <c r="E14" i="27" s="1"/>
  <c r="R12" i="26"/>
  <c r="T12" i="26" s="1"/>
  <c r="T11" i="4"/>
  <c r="V11" i="4" s="1"/>
  <c r="R11" i="19"/>
  <c r="E11" i="19" s="1"/>
  <c r="R13" i="19"/>
  <c r="S13" i="19" s="1"/>
  <c r="R4" i="21"/>
  <c r="E4" i="21" s="1"/>
  <c r="R11" i="21"/>
  <c r="T11" i="21" s="1"/>
  <c r="R8" i="21"/>
  <c r="S8" i="21" s="1"/>
  <c r="R16" i="21"/>
  <c r="E16" i="21" s="1"/>
  <c r="R15" i="21"/>
  <c r="T15" i="21" s="1"/>
  <c r="R9" i="26"/>
  <c r="E9" i="26" s="1"/>
  <c r="T10" i="4"/>
  <c r="V10" i="4" s="1"/>
  <c r="R19" i="19"/>
  <c r="E19" i="19" s="1"/>
  <c r="S7" i="27"/>
  <c r="T7" i="27"/>
  <c r="S10" i="26"/>
  <c r="T10" i="26"/>
  <c r="T5" i="4"/>
  <c r="V5" i="4" s="1"/>
  <c r="T21" i="4"/>
  <c r="V21" i="4" s="1"/>
  <c r="T9" i="4"/>
  <c r="V9" i="4" s="1"/>
  <c r="T9" i="22"/>
  <c r="E9" i="22" s="1"/>
  <c r="T22" i="22"/>
  <c r="V22" i="22" s="1"/>
  <c r="V6" i="4"/>
  <c r="V15" i="4"/>
  <c r="U6" i="4"/>
  <c r="R14" i="21"/>
  <c r="R21" i="21"/>
  <c r="R6" i="27"/>
  <c r="R17" i="27"/>
  <c r="R15" i="27"/>
  <c r="R5" i="27"/>
  <c r="E7" i="27"/>
  <c r="R10" i="27"/>
  <c r="E10" i="26"/>
  <c r="R8" i="26"/>
  <c r="R7" i="26"/>
  <c r="E7" i="26" s="1"/>
  <c r="T21" i="22"/>
  <c r="E21" i="22" s="1"/>
  <c r="T27" i="22"/>
  <c r="U27" i="22" s="1"/>
  <c r="T11" i="22"/>
  <c r="E11" i="22" s="1"/>
  <c r="T10" i="22"/>
  <c r="E10" i="22" s="1"/>
  <c r="T31" i="22"/>
  <c r="E31" i="22" s="1"/>
  <c r="T25" i="22"/>
  <c r="E25" i="22" s="1"/>
  <c r="T17" i="22"/>
  <c r="V17" i="22" s="1"/>
  <c r="V26" i="22"/>
  <c r="T20" i="22"/>
  <c r="U20" i="22" s="1"/>
  <c r="T19" i="22"/>
  <c r="U19" i="22" s="1"/>
  <c r="T16" i="22"/>
  <c r="E16" i="22" s="1"/>
  <c r="T7" i="4"/>
  <c r="T13" i="4"/>
  <c r="E13" i="4" s="1"/>
  <c r="U15" i="4"/>
  <c r="R10" i="21"/>
  <c r="R6" i="21"/>
  <c r="R7" i="21"/>
  <c r="R19" i="21"/>
  <c r="R31" i="19"/>
  <c r="R9" i="27"/>
  <c r="U14" i="22"/>
  <c r="V14" i="22"/>
  <c r="T13" i="22"/>
  <c r="E13" i="22" s="1"/>
  <c r="U15" i="22"/>
  <c r="V15" i="22"/>
  <c r="U4" i="22"/>
  <c r="V4" i="22"/>
  <c r="U28" i="22"/>
  <c r="V28" i="22"/>
  <c r="U30" i="22"/>
  <c r="V30" i="22"/>
  <c r="U8" i="22"/>
  <c r="V8" i="22"/>
  <c r="U29" i="22"/>
  <c r="V29" i="22"/>
  <c r="T12" i="22"/>
  <c r="E12" i="22" s="1"/>
  <c r="U12" i="4"/>
  <c r="T25" i="4"/>
  <c r="E25" i="4" s="1"/>
  <c r="U4" i="4"/>
  <c r="U17" i="4"/>
  <c r="E27" i="22" l="1"/>
  <c r="E19" i="22"/>
  <c r="E20" i="22"/>
  <c r="E22" i="22"/>
  <c r="E23" i="22"/>
  <c r="E11" i="4"/>
  <c r="E21" i="4"/>
  <c r="E10" i="4"/>
  <c r="E9" i="4"/>
  <c r="E5" i="4"/>
  <c r="E27" i="4"/>
  <c r="S17" i="26"/>
  <c r="T17" i="26"/>
  <c r="S11" i="26"/>
  <c r="T11" i="26"/>
  <c r="U23" i="22"/>
  <c r="S18" i="27"/>
  <c r="T18" i="27"/>
  <c r="T18" i="19"/>
  <c r="S18" i="19"/>
  <c r="V24" i="4"/>
  <c r="U27" i="4"/>
  <c r="T16" i="21"/>
  <c r="E21" i="19"/>
  <c r="E10" i="19"/>
  <c r="S10" i="19"/>
  <c r="S21" i="19"/>
  <c r="U24" i="4"/>
  <c r="T15" i="26"/>
  <c r="E15" i="26"/>
  <c r="T6" i="26"/>
  <c r="E13" i="26"/>
  <c r="T13" i="26"/>
  <c r="E6" i="26"/>
  <c r="S12" i="26"/>
  <c r="T5" i="21"/>
  <c r="S5" i="21"/>
  <c r="T14" i="27"/>
  <c r="S14" i="27"/>
  <c r="E12" i="26"/>
  <c r="V18" i="22"/>
  <c r="U18" i="22"/>
  <c r="V24" i="22"/>
  <c r="U14" i="4"/>
  <c r="V14" i="4"/>
  <c r="U29" i="4"/>
  <c r="V29" i="4"/>
  <c r="S36" i="19"/>
  <c r="T36" i="19"/>
  <c r="U23" i="4"/>
  <c r="V23" i="4"/>
  <c r="U21" i="4"/>
  <c r="U24" i="22"/>
  <c r="T4" i="21"/>
  <c r="S4" i="21"/>
  <c r="S11" i="21"/>
  <c r="E11" i="21"/>
  <c r="E8" i="21"/>
  <c r="S16" i="21"/>
  <c r="E12" i="27"/>
  <c r="S12" i="27"/>
  <c r="T9" i="26"/>
  <c r="S9" i="26"/>
  <c r="U11" i="4"/>
  <c r="U10" i="4"/>
  <c r="S11" i="19"/>
  <c r="T11" i="19"/>
  <c r="T13" i="19"/>
  <c r="E13" i="19"/>
  <c r="T8" i="21"/>
  <c r="E15" i="21"/>
  <c r="U5" i="4"/>
  <c r="S15" i="21"/>
  <c r="U21" i="22"/>
  <c r="U22" i="22"/>
  <c r="U9" i="4"/>
  <c r="U9" i="22"/>
  <c r="V9" i="22"/>
  <c r="V10" i="22"/>
  <c r="E6" i="21"/>
  <c r="S6" i="21"/>
  <c r="T6" i="21"/>
  <c r="E10" i="21"/>
  <c r="T10" i="21"/>
  <c r="S10" i="21"/>
  <c r="E21" i="21"/>
  <c r="S21" i="21"/>
  <c r="T21" i="21"/>
  <c r="S14" i="21"/>
  <c r="T14" i="21"/>
  <c r="E14" i="21"/>
  <c r="S19" i="21"/>
  <c r="T19" i="21"/>
  <c r="E7" i="21"/>
  <c r="S7" i="21"/>
  <c r="T7" i="21"/>
  <c r="S31" i="19"/>
  <c r="T31" i="19"/>
  <c r="S19" i="19"/>
  <c r="T19" i="19"/>
  <c r="S6" i="27"/>
  <c r="T6" i="27"/>
  <c r="E6" i="27"/>
  <c r="E10" i="27"/>
  <c r="S10" i="27"/>
  <c r="T10" i="27"/>
  <c r="S5" i="27"/>
  <c r="T5" i="27"/>
  <c r="E15" i="27"/>
  <c r="T15" i="27"/>
  <c r="S15" i="27"/>
  <c r="S9" i="27"/>
  <c r="T9" i="27"/>
  <c r="E17" i="27"/>
  <c r="S17" i="27"/>
  <c r="T17" i="27"/>
  <c r="S7" i="26"/>
  <c r="T7" i="26"/>
  <c r="T8" i="26"/>
  <c r="S8" i="26"/>
  <c r="V31" i="22"/>
  <c r="V21" i="22"/>
  <c r="U11" i="22"/>
  <c r="V11" i="22"/>
  <c r="U7" i="4"/>
  <c r="V7" i="4"/>
  <c r="V13" i="4"/>
  <c r="V25" i="4"/>
  <c r="U13" i="4"/>
  <c r="E5" i="27"/>
  <c r="E8" i="26"/>
  <c r="U10" i="22"/>
  <c r="V27" i="22"/>
  <c r="U31" i="22"/>
  <c r="U25" i="22"/>
  <c r="V25" i="22"/>
  <c r="U17" i="22"/>
  <c r="V20" i="22"/>
  <c r="V19" i="22"/>
  <c r="V16" i="22"/>
  <c r="U16" i="22"/>
  <c r="E19" i="21"/>
  <c r="E31" i="19"/>
  <c r="E9" i="27"/>
  <c r="V12" i="22"/>
  <c r="U12" i="22"/>
  <c r="V13" i="22"/>
  <c r="U13" i="22"/>
  <c r="U25" i="4"/>
  <c r="QX21" i="27" l="1"/>
  <c r="QW21" i="27"/>
  <c r="QV21" i="27"/>
  <c r="QU21" i="27"/>
  <c r="QT21" i="27"/>
  <c r="QS21" i="27"/>
  <c r="QR21" i="27"/>
  <c r="QQ21" i="27"/>
  <c r="QP21" i="27"/>
  <c r="QO21" i="27"/>
  <c r="QN21" i="27"/>
  <c r="QM21" i="27"/>
  <c r="QL21" i="27"/>
  <c r="QK21" i="27"/>
  <c r="QJ21" i="27"/>
  <c r="QI21" i="27"/>
  <c r="QH21" i="27"/>
  <c r="QG21" i="27"/>
  <c r="QF21" i="27"/>
  <c r="QE21" i="27"/>
  <c r="QC21" i="27"/>
  <c r="QB21" i="27"/>
  <c r="PZ21" i="27"/>
  <c r="PY21" i="27"/>
  <c r="PX21" i="27"/>
  <c r="PW21" i="27"/>
  <c r="DB21" i="27"/>
  <c r="DA21" i="27"/>
  <c r="CY21" i="27"/>
  <c r="CX21" i="27"/>
  <c r="CW21" i="27"/>
  <c r="CV21" i="27"/>
  <c r="QX20" i="27"/>
  <c r="QW20" i="27"/>
  <c r="QV20" i="27"/>
  <c r="QU20" i="27"/>
  <c r="QT20" i="27"/>
  <c r="QS20" i="27"/>
  <c r="QR20" i="27"/>
  <c r="QQ20" i="27"/>
  <c r="QP20" i="27"/>
  <c r="QO20" i="27"/>
  <c r="QN20" i="27"/>
  <c r="QM20" i="27"/>
  <c r="QL20" i="27"/>
  <c r="QK20" i="27"/>
  <c r="QJ20" i="27"/>
  <c r="QI20" i="27"/>
  <c r="QH20" i="27"/>
  <c r="QG20" i="27"/>
  <c r="QF20" i="27"/>
  <c r="QE20" i="27"/>
  <c r="QC20" i="27"/>
  <c r="QB20" i="27"/>
  <c r="PZ20" i="27"/>
  <c r="PY20" i="27"/>
  <c r="PX20" i="27"/>
  <c r="PW20" i="27"/>
  <c r="DB20" i="27"/>
  <c r="DA20" i="27"/>
  <c r="CY20" i="27"/>
  <c r="CX20" i="27"/>
  <c r="CW20" i="27"/>
  <c r="CV20" i="27"/>
  <c r="QX11" i="27"/>
  <c r="QW11" i="27"/>
  <c r="QV11" i="27"/>
  <c r="QU11" i="27"/>
  <c r="QT11" i="27"/>
  <c r="QS11" i="27"/>
  <c r="QR11" i="27"/>
  <c r="QQ11" i="27"/>
  <c r="QP11" i="27"/>
  <c r="QO11" i="27"/>
  <c r="QN11" i="27"/>
  <c r="QM11" i="27"/>
  <c r="QL11" i="27"/>
  <c r="QK11" i="27"/>
  <c r="QJ11" i="27"/>
  <c r="QI11" i="27"/>
  <c r="QH11" i="27"/>
  <c r="QG11" i="27"/>
  <c r="QF11" i="27"/>
  <c r="QE11" i="27"/>
  <c r="QC11" i="27"/>
  <c r="QB11" i="27"/>
  <c r="PZ11" i="27"/>
  <c r="PY11" i="27"/>
  <c r="PX11" i="27"/>
  <c r="PW11" i="27"/>
  <c r="DB11" i="27"/>
  <c r="DA11" i="27"/>
  <c r="CY11" i="27"/>
  <c r="CX11" i="27"/>
  <c r="CW11" i="27"/>
  <c r="CV11" i="27"/>
  <c r="QX19" i="27"/>
  <c r="QW19" i="27"/>
  <c r="QV19" i="27"/>
  <c r="QU19" i="27"/>
  <c r="QT19" i="27"/>
  <c r="QS19" i="27"/>
  <c r="QR19" i="27"/>
  <c r="QQ19" i="27"/>
  <c r="QP19" i="27"/>
  <c r="QO19" i="27"/>
  <c r="QN19" i="27"/>
  <c r="QM19" i="27"/>
  <c r="QL19" i="27"/>
  <c r="QK19" i="27"/>
  <c r="QJ19" i="27"/>
  <c r="QI19" i="27"/>
  <c r="QH19" i="27"/>
  <c r="QG19" i="27"/>
  <c r="QF19" i="27"/>
  <c r="QE19" i="27"/>
  <c r="QC19" i="27"/>
  <c r="QB19" i="27"/>
  <c r="PZ19" i="27"/>
  <c r="PY19" i="27"/>
  <c r="PX19" i="27"/>
  <c r="PW19" i="27"/>
  <c r="DB19" i="27"/>
  <c r="DA19" i="27"/>
  <c r="CY19" i="27"/>
  <c r="CX19" i="27"/>
  <c r="CW19" i="27"/>
  <c r="CV19" i="27"/>
  <c r="QX8" i="27"/>
  <c r="QW8" i="27"/>
  <c r="QV8" i="27"/>
  <c r="QU8" i="27"/>
  <c r="QT8" i="27"/>
  <c r="QS8" i="27"/>
  <c r="QR8" i="27"/>
  <c r="QQ8" i="27"/>
  <c r="QP8" i="27"/>
  <c r="QO8" i="27"/>
  <c r="QN8" i="27"/>
  <c r="QM8" i="27"/>
  <c r="QL8" i="27"/>
  <c r="QK8" i="27"/>
  <c r="QJ8" i="27"/>
  <c r="QI8" i="27"/>
  <c r="QH8" i="27"/>
  <c r="QG8" i="27"/>
  <c r="QF8" i="27"/>
  <c r="QE8" i="27"/>
  <c r="QC8" i="27"/>
  <c r="QB8" i="27"/>
  <c r="PZ8" i="27"/>
  <c r="PY8" i="27"/>
  <c r="PX8" i="27"/>
  <c r="PW8" i="27"/>
  <c r="DB8" i="27"/>
  <c r="DA8" i="27"/>
  <c r="CY8" i="27"/>
  <c r="CX8" i="27"/>
  <c r="CW8" i="27"/>
  <c r="CV8" i="27"/>
  <c r="QX23" i="27"/>
  <c r="QW23" i="27"/>
  <c r="QV23" i="27"/>
  <c r="QU23" i="27"/>
  <c r="QT23" i="27"/>
  <c r="QS23" i="27"/>
  <c r="QR23" i="27"/>
  <c r="QQ23" i="27"/>
  <c r="QP23" i="27"/>
  <c r="QO23" i="27"/>
  <c r="QN23" i="27"/>
  <c r="QM23" i="27"/>
  <c r="QL23" i="27"/>
  <c r="QK23" i="27"/>
  <c r="QJ23" i="27"/>
  <c r="QI23" i="27"/>
  <c r="QH23" i="27"/>
  <c r="QG23" i="27"/>
  <c r="QF23" i="27"/>
  <c r="QE23" i="27"/>
  <c r="QC23" i="27"/>
  <c r="QB23" i="27"/>
  <c r="PZ23" i="27"/>
  <c r="PY23" i="27"/>
  <c r="PX23" i="27"/>
  <c r="PW23" i="27"/>
  <c r="DB23" i="27"/>
  <c r="DA23" i="27"/>
  <c r="CY23" i="27"/>
  <c r="CX23" i="27"/>
  <c r="CW23" i="27"/>
  <c r="CV23" i="27"/>
  <c r="QX16" i="27"/>
  <c r="QW16" i="27"/>
  <c r="QV16" i="27"/>
  <c r="QU16" i="27"/>
  <c r="QT16" i="27"/>
  <c r="QS16" i="27"/>
  <c r="QR16" i="27"/>
  <c r="QQ16" i="27"/>
  <c r="QP16" i="27"/>
  <c r="QO16" i="27"/>
  <c r="QN16" i="27"/>
  <c r="QM16" i="27"/>
  <c r="QL16" i="27"/>
  <c r="QK16" i="27"/>
  <c r="QJ16" i="27"/>
  <c r="QI16" i="27"/>
  <c r="QH16" i="27"/>
  <c r="QG16" i="27"/>
  <c r="QF16" i="27"/>
  <c r="QE16" i="27"/>
  <c r="QC16" i="27"/>
  <c r="QB16" i="27"/>
  <c r="PZ16" i="27"/>
  <c r="PY16" i="27"/>
  <c r="PX16" i="27"/>
  <c r="PW16" i="27"/>
  <c r="DB16" i="27"/>
  <c r="DA16" i="27"/>
  <c r="CY16" i="27"/>
  <c r="CX16" i="27"/>
  <c r="CW16" i="27"/>
  <c r="CV16" i="27"/>
  <c r="QX14" i="26"/>
  <c r="QW14" i="26"/>
  <c r="QV14" i="26"/>
  <c r="QU14" i="26"/>
  <c r="QT14" i="26"/>
  <c r="QS14" i="26"/>
  <c r="QR14" i="26"/>
  <c r="QQ14" i="26"/>
  <c r="QP14" i="26"/>
  <c r="QO14" i="26"/>
  <c r="QN14" i="26"/>
  <c r="QM14" i="26"/>
  <c r="QL14" i="26"/>
  <c r="QK14" i="26"/>
  <c r="QJ14" i="26"/>
  <c r="QI14" i="26"/>
  <c r="QH14" i="26"/>
  <c r="QG14" i="26"/>
  <c r="QF14" i="26"/>
  <c r="QE14" i="26"/>
  <c r="QC14" i="26"/>
  <c r="QB14" i="26"/>
  <c r="PZ14" i="26"/>
  <c r="PY14" i="26"/>
  <c r="PX14" i="26"/>
  <c r="PW14" i="26"/>
  <c r="DB14" i="26"/>
  <c r="DA14" i="26"/>
  <c r="CY14" i="26"/>
  <c r="CX14" i="26"/>
  <c r="CW14" i="26"/>
  <c r="CV14" i="26"/>
  <c r="QX16" i="26"/>
  <c r="QW16" i="26"/>
  <c r="QV16" i="26"/>
  <c r="QU16" i="26"/>
  <c r="QT16" i="26"/>
  <c r="QS16" i="26"/>
  <c r="QR16" i="26"/>
  <c r="QQ16" i="26"/>
  <c r="QP16" i="26"/>
  <c r="QO16" i="26"/>
  <c r="QN16" i="26"/>
  <c r="QM16" i="26"/>
  <c r="QL16" i="26"/>
  <c r="QK16" i="26"/>
  <c r="QJ16" i="26"/>
  <c r="QI16" i="26"/>
  <c r="QH16" i="26"/>
  <c r="QG16" i="26"/>
  <c r="QF16" i="26"/>
  <c r="QE16" i="26"/>
  <c r="QC16" i="26"/>
  <c r="QB16" i="26"/>
  <c r="PZ16" i="26"/>
  <c r="PY16" i="26"/>
  <c r="PX16" i="26"/>
  <c r="PW16" i="26"/>
  <c r="DB16" i="26"/>
  <c r="DA16" i="26"/>
  <c r="CY16" i="26"/>
  <c r="CX16" i="26"/>
  <c r="CW16" i="26"/>
  <c r="CV16" i="26"/>
  <c r="QX4" i="26"/>
  <c r="QW4" i="26"/>
  <c r="QV4" i="26"/>
  <c r="QU4" i="26"/>
  <c r="QT4" i="26"/>
  <c r="QS4" i="26"/>
  <c r="QR4" i="26"/>
  <c r="QQ4" i="26"/>
  <c r="QP4" i="26"/>
  <c r="QO4" i="26"/>
  <c r="QN4" i="26"/>
  <c r="QM4" i="26"/>
  <c r="QL4" i="26"/>
  <c r="QK4" i="26"/>
  <c r="QJ4" i="26"/>
  <c r="QI4" i="26"/>
  <c r="QH4" i="26"/>
  <c r="QG4" i="26"/>
  <c r="QF4" i="26"/>
  <c r="QE4" i="26"/>
  <c r="QC4" i="26"/>
  <c r="QB4" i="26"/>
  <c r="PZ4" i="26"/>
  <c r="PY4" i="26"/>
  <c r="PX4" i="26"/>
  <c r="PW4" i="26"/>
  <c r="DB4" i="26"/>
  <c r="DA4" i="26"/>
  <c r="CY4" i="26"/>
  <c r="CX4" i="26"/>
  <c r="CW4" i="26"/>
  <c r="CV4" i="26"/>
  <c r="RJ5" i="22"/>
  <c r="RI5" i="22"/>
  <c r="RH5" i="22"/>
  <c r="RG5" i="22"/>
  <c r="RF5" i="22"/>
  <c r="RE5" i="22"/>
  <c r="RC5" i="22"/>
  <c r="RB5" i="22"/>
  <c r="RA5" i="22"/>
  <c r="QZ5" i="22"/>
  <c r="QY5" i="22"/>
  <c r="QX5" i="22"/>
  <c r="QB5" i="22"/>
  <c r="QA5" i="22"/>
  <c r="PZ5" i="22"/>
  <c r="PY5" i="22"/>
  <c r="PX5" i="22"/>
  <c r="PW5" i="22"/>
  <c r="PU5" i="22"/>
  <c r="PT5" i="22"/>
  <c r="PS5" i="22"/>
  <c r="PR5" i="22"/>
  <c r="PQ5" i="22"/>
  <c r="PP5" i="22"/>
  <c r="OT5" i="22"/>
  <c r="OS5" i="22"/>
  <c r="OR5" i="22"/>
  <c r="OQ5" i="22"/>
  <c r="OP5" i="22"/>
  <c r="OO5" i="22"/>
  <c r="OM5" i="22"/>
  <c r="OL5" i="22"/>
  <c r="OK5" i="22"/>
  <c r="OJ5" i="22"/>
  <c r="OI5" i="22"/>
  <c r="OH5" i="22"/>
  <c r="NL5" i="22"/>
  <c r="NK5" i="22"/>
  <c r="NJ5" i="22"/>
  <c r="NI5" i="22"/>
  <c r="NH5" i="22"/>
  <c r="NG5" i="22"/>
  <c r="NE5" i="22"/>
  <c r="ND5" i="22"/>
  <c r="NC5" i="22"/>
  <c r="NB5" i="22"/>
  <c r="NA5" i="22"/>
  <c r="MZ5" i="22"/>
  <c r="MD5" i="22"/>
  <c r="MC5" i="22"/>
  <c r="MB5" i="22"/>
  <c r="MA5" i="22"/>
  <c r="LZ5" i="22"/>
  <c r="LY5" i="22"/>
  <c r="LW5" i="22"/>
  <c r="LV5" i="22"/>
  <c r="LU5" i="22"/>
  <c r="LT5" i="22"/>
  <c r="LS5" i="22"/>
  <c r="LR5" i="22"/>
  <c r="KV5" i="22"/>
  <c r="KU5" i="22"/>
  <c r="KT5" i="22"/>
  <c r="KS5" i="22"/>
  <c r="KR5" i="22"/>
  <c r="KQ5" i="22"/>
  <c r="KO5" i="22"/>
  <c r="KN5" i="22"/>
  <c r="KM5" i="22"/>
  <c r="KL5" i="22"/>
  <c r="KK5" i="22"/>
  <c r="KJ5" i="22"/>
  <c r="JN5" i="22"/>
  <c r="JM5" i="22"/>
  <c r="JL5" i="22"/>
  <c r="JK5" i="22"/>
  <c r="JJ5" i="22"/>
  <c r="JI5" i="22"/>
  <c r="JG5" i="22"/>
  <c r="JF5" i="22"/>
  <c r="JE5" i="22"/>
  <c r="JD5" i="22"/>
  <c r="JC5" i="22"/>
  <c r="JB5" i="22"/>
  <c r="IF5" i="22"/>
  <c r="IE5" i="22"/>
  <c r="ID5" i="22"/>
  <c r="IC5" i="22"/>
  <c r="IB5" i="22"/>
  <c r="IA5" i="22"/>
  <c r="HY5" i="22"/>
  <c r="HX5" i="22"/>
  <c r="HW5" i="22"/>
  <c r="HV5" i="22"/>
  <c r="HU5" i="22"/>
  <c r="HT5" i="22"/>
  <c r="GX5" i="22"/>
  <c r="GW5" i="22"/>
  <c r="GV5" i="22"/>
  <c r="GU5" i="22"/>
  <c r="GT5" i="22"/>
  <c r="GS5" i="22"/>
  <c r="GQ5" i="22"/>
  <c r="GP5" i="22"/>
  <c r="GO5" i="22"/>
  <c r="GN5" i="22"/>
  <c r="GM5" i="22"/>
  <c r="GL5" i="22"/>
  <c r="FP5" i="22"/>
  <c r="FO5" i="22"/>
  <c r="FN5" i="22"/>
  <c r="FM5" i="22"/>
  <c r="FL5" i="22"/>
  <c r="FK5" i="22"/>
  <c r="FI5" i="22"/>
  <c r="FH5" i="22"/>
  <c r="FG5" i="22"/>
  <c r="FF5" i="22"/>
  <c r="FE5" i="22"/>
  <c r="FD5" i="22"/>
  <c r="EH5" i="22"/>
  <c r="EG5" i="22"/>
  <c r="EF5" i="22"/>
  <c r="EE5" i="22"/>
  <c r="ED5" i="22"/>
  <c r="EC5" i="22"/>
  <c r="EA5" i="22"/>
  <c r="DZ5" i="22"/>
  <c r="DY5" i="22"/>
  <c r="DX5" i="22"/>
  <c r="DW5" i="22"/>
  <c r="DV5" i="22"/>
  <c r="RJ34" i="4"/>
  <c r="RI34" i="4"/>
  <c r="RH34" i="4"/>
  <c r="RG34" i="4"/>
  <c r="RF34" i="4"/>
  <c r="RE34" i="4"/>
  <c r="RC34" i="4"/>
  <c r="RB34" i="4"/>
  <c r="RA34" i="4"/>
  <c r="QZ34" i="4"/>
  <c r="QY34" i="4"/>
  <c r="QX34" i="4"/>
  <c r="RJ32" i="4"/>
  <c r="RI32" i="4"/>
  <c r="RH32" i="4"/>
  <c r="RG32" i="4"/>
  <c r="RF32" i="4"/>
  <c r="RE32" i="4"/>
  <c r="RC32" i="4"/>
  <c r="RB32" i="4"/>
  <c r="RA32" i="4"/>
  <c r="QZ32" i="4"/>
  <c r="QY32" i="4"/>
  <c r="QX32" i="4"/>
  <c r="RJ31" i="4"/>
  <c r="RI31" i="4"/>
  <c r="RH31" i="4"/>
  <c r="RG31" i="4"/>
  <c r="RF31" i="4"/>
  <c r="RE31" i="4"/>
  <c r="RC31" i="4"/>
  <c r="RB31" i="4"/>
  <c r="RA31" i="4"/>
  <c r="QZ31" i="4"/>
  <c r="QY31" i="4"/>
  <c r="QX31" i="4"/>
  <c r="RJ30" i="4"/>
  <c r="RI30" i="4"/>
  <c r="RH30" i="4"/>
  <c r="RG30" i="4"/>
  <c r="RF30" i="4"/>
  <c r="RE30" i="4"/>
  <c r="RC30" i="4"/>
  <c r="RB30" i="4"/>
  <c r="RA30" i="4"/>
  <c r="QZ30" i="4"/>
  <c r="QY30" i="4"/>
  <c r="QX30" i="4"/>
  <c r="RJ26" i="4"/>
  <c r="RI26" i="4"/>
  <c r="RH26" i="4"/>
  <c r="RG26" i="4"/>
  <c r="RF26" i="4"/>
  <c r="RE26" i="4"/>
  <c r="RC26" i="4"/>
  <c r="RB26" i="4"/>
  <c r="RA26" i="4"/>
  <c r="QZ26" i="4"/>
  <c r="QY26" i="4"/>
  <c r="QX26" i="4"/>
  <c r="RJ22" i="4"/>
  <c r="RI22" i="4"/>
  <c r="RH22" i="4"/>
  <c r="RG22" i="4"/>
  <c r="RF22" i="4"/>
  <c r="RE22" i="4"/>
  <c r="RC22" i="4"/>
  <c r="RB22" i="4"/>
  <c r="RA22" i="4"/>
  <c r="QZ22" i="4"/>
  <c r="QY22" i="4"/>
  <c r="QX22" i="4"/>
  <c r="RJ20" i="4"/>
  <c r="RI20" i="4"/>
  <c r="RH20" i="4"/>
  <c r="RG20" i="4"/>
  <c r="RF20" i="4"/>
  <c r="RE20" i="4"/>
  <c r="RC20" i="4"/>
  <c r="RB20" i="4"/>
  <c r="RA20" i="4"/>
  <c r="QZ20" i="4"/>
  <c r="QY20" i="4"/>
  <c r="QX20" i="4"/>
  <c r="RJ33" i="4"/>
  <c r="RI33" i="4"/>
  <c r="RH33" i="4"/>
  <c r="RG33" i="4"/>
  <c r="RF33" i="4"/>
  <c r="RE33" i="4"/>
  <c r="RC33" i="4"/>
  <c r="RB33" i="4"/>
  <c r="RA33" i="4"/>
  <c r="QZ33" i="4"/>
  <c r="QY33" i="4"/>
  <c r="QX33" i="4"/>
  <c r="RJ28" i="4"/>
  <c r="RI28" i="4"/>
  <c r="RH28" i="4"/>
  <c r="RG28" i="4"/>
  <c r="RF28" i="4"/>
  <c r="RE28" i="4"/>
  <c r="RC28" i="4"/>
  <c r="RB28" i="4"/>
  <c r="RA28" i="4"/>
  <c r="QZ28" i="4"/>
  <c r="QY28" i="4"/>
  <c r="QX28" i="4"/>
  <c r="RJ18" i="4"/>
  <c r="RI18" i="4"/>
  <c r="RH18" i="4"/>
  <c r="RG18" i="4"/>
  <c r="RF18" i="4"/>
  <c r="RE18" i="4"/>
  <c r="RC18" i="4"/>
  <c r="RB18" i="4"/>
  <c r="RA18" i="4"/>
  <c r="QZ18" i="4"/>
  <c r="QY18" i="4"/>
  <c r="QX18" i="4"/>
  <c r="RJ19" i="4"/>
  <c r="RI19" i="4"/>
  <c r="RH19" i="4"/>
  <c r="RG19" i="4"/>
  <c r="RF19" i="4"/>
  <c r="RE19" i="4"/>
  <c r="RC19" i="4"/>
  <c r="RB19" i="4"/>
  <c r="RA19" i="4"/>
  <c r="QZ19" i="4"/>
  <c r="QY19" i="4"/>
  <c r="QX19" i="4"/>
  <c r="QB34" i="4"/>
  <c r="QA34" i="4"/>
  <c r="PZ34" i="4"/>
  <c r="PY34" i="4"/>
  <c r="PX34" i="4"/>
  <c r="PW34" i="4"/>
  <c r="PU34" i="4"/>
  <c r="PT34" i="4"/>
  <c r="PS34" i="4"/>
  <c r="PR34" i="4"/>
  <c r="PQ34" i="4"/>
  <c r="PP34" i="4"/>
  <c r="QB32" i="4"/>
  <c r="QA32" i="4"/>
  <c r="PZ32" i="4"/>
  <c r="PY32" i="4"/>
  <c r="PX32" i="4"/>
  <c r="PW32" i="4"/>
  <c r="PU32" i="4"/>
  <c r="PT32" i="4"/>
  <c r="PS32" i="4"/>
  <c r="PR32" i="4"/>
  <c r="PQ32" i="4"/>
  <c r="PP32" i="4"/>
  <c r="QB31" i="4"/>
  <c r="QA31" i="4"/>
  <c r="PZ31" i="4"/>
  <c r="PY31" i="4"/>
  <c r="PX31" i="4"/>
  <c r="PW31" i="4"/>
  <c r="PU31" i="4"/>
  <c r="PT31" i="4"/>
  <c r="PS31" i="4"/>
  <c r="PR31" i="4"/>
  <c r="PQ31" i="4"/>
  <c r="PP31" i="4"/>
  <c r="QB30" i="4"/>
  <c r="QA30" i="4"/>
  <c r="PZ30" i="4"/>
  <c r="PY30" i="4"/>
  <c r="PX30" i="4"/>
  <c r="PW30" i="4"/>
  <c r="PU30" i="4"/>
  <c r="PT30" i="4"/>
  <c r="PS30" i="4"/>
  <c r="PR30" i="4"/>
  <c r="PQ30" i="4"/>
  <c r="PP30" i="4"/>
  <c r="QB26" i="4"/>
  <c r="QA26" i="4"/>
  <c r="PZ26" i="4"/>
  <c r="PY26" i="4"/>
  <c r="PX26" i="4"/>
  <c r="PW26" i="4"/>
  <c r="PU26" i="4"/>
  <c r="PT26" i="4"/>
  <c r="PS26" i="4"/>
  <c r="PR26" i="4"/>
  <c r="PQ26" i="4"/>
  <c r="PP26" i="4"/>
  <c r="QB22" i="4"/>
  <c r="QA22" i="4"/>
  <c r="PZ22" i="4"/>
  <c r="PY22" i="4"/>
  <c r="PX22" i="4"/>
  <c r="PW22" i="4"/>
  <c r="PU22" i="4"/>
  <c r="PT22" i="4"/>
  <c r="PS22" i="4"/>
  <c r="PR22" i="4"/>
  <c r="PQ22" i="4"/>
  <c r="PP22" i="4"/>
  <c r="QB20" i="4"/>
  <c r="QA20" i="4"/>
  <c r="PZ20" i="4"/>
  <c r="PY20" i="4"/>
  <c r="PX20" i="4"/>
  <c r="PW20" i="4"/>
  <c r="PU20" i="4"/>
  <c r="PT20" i="4"/>
  <c r="PS20" i="4"/>
  <c r="PR20" i="4"/>
  <c r="PQ20" i="4"/>
  <c r="PP20" i="4"/>
  <c r="QB33" i="4"/>
  <c r="QA33" i="4"/>
  <c r="PZ33" i="4"/>
  <c r="PY33" i="4"/>
  <c r="PX33" i="4"/>
  <c r="PW33" i="4"/>
  <c r="PU33" i="4"/>
  <c r="PT33" i="4"/>
  <c r="PS33" i="4"/>
  <c r="PR33" i="4"/>
  <c r="PQ33" i="4"/>
  <c r="PP33" i="4"/>
  <c r="QB28" i="4"/>
  <c r="QA28" i="4"/>
  <c r="PZ28" i="4"/>
  <c r="PY28" i="4"/>
  <c r="PX28" i="4"/>
  <c r="PW28" i="4"/>
  <c r="PU28" i="4"/>
  <c r="PT28" i="4"/>
  <c r="PS28" i="4"/>
  <c r="PR28" i="4"/>
  <c r="PQ28" i="4"/>
  <c r="PP28" i="4"/>
  <c r="QB18" i="4"/>
  <c r="QA18" i="4"/>
  <c r="PZ18" i="4"/>
  <c r="PY18" i="4"/>
  <c r="PX18" i="4"/>
  <c r="PW18" i="4"/>
  <c r="PU18" i="4"/>
  <c r="PT18" i="4"/>
  <c r="PS18" i="4"/>
  <c r="PR18" i="4"/>
  <c r="PQ18" i="4"/>
  <c r="PP18" i="4"/>
  <c r="QB19" i="4"/>
  <c r="QA19" i="4"/>
  <c r="PZ19" i="4"/>
  <c r="PY19" i="4"/>
  <c r="PX19" i="4"/>
  <c r="PW19" i="4"/>
  <c r="PU19" i="4"/>
  <c r="PT19" i="4"/>
  <c r="PS19" i="4"/>
  <c r="PR19" i="4"/>
  <c r="PQ19" i="4"/>
  <c r="PP19" i="4"/>
  <c r="OT34" i="4"/>
  <c r="OS34" i="4"/>
  <c r="OR34" i="4"/>
  <c r="OQ34" i="4"/>
  <c r="OP34" i="4"/>
  <c r="OO34" i="4"/>
  <c r="OM34" i="4"/>
  <c r="OL34" i="4"/>
  <c r="OK34" i="4"/>
  <c r="OJ34" i="4"/>
  <c r="OI34" i="4"/>
  <c r="OH34" i="4"/>
  <c r="OT32" i="4"/>
  <c r="OS32" i="4"/>
  <c r="OR32" i="4"/>
  <c r="OQ32" i="4"/>
  <c r="OP32" i="4"/>
  <c r="OO32" i="4"/>
  <c r="OM32" i="4"/>
  <c r="OL32" i="4"/>
  <c r="OK32" i="4"/>
  <c r="OJ32" i="4"/>
  <c r="OI32" i="4"/>
  <c r="OH32" i="4"/>
  <c r="OT31" i="4"/>
  <c r="OS31" i="4"/>
  <c r="OR31" i="4"/>
  <c r="OQ31" i="4"/>
  <c r="OP31" i="4"/>
  <c r="OO31" i="4"/>
  <c r="OM31" i="4"/>
  <c r="OL31" i="4"/>
  <c r="OK31" i="4"/>
  <c r="OJ31" i="4"/>
  <c r="OI31" i="4"/>
  <c r="OH31" i="4"/>
  <c r="OT30" i="4"/>
  <c r="OS30" i="4"/>
  <c r="OR30" i="4"/>
  <c r="OQ30" i="4"/>
  <c r="OP30" i="4"/>
  <c r="OO30" i="4"/>
  <c r="OM30" i="4"/>
  <c r="OL30" i="4"/>
  <c r="OK30" i="4"/>
  <c r="OJ30" i="4"/>
  <c r="OI30" i="4"/>
  <c r="OH30" i="4"/>
  <c r="OT26" i="4"/>
  <c r="OS26" i="4"/>
  <c r="OR26" i="4"/>
  <c r="OQ26" i="4"/>
  <c r="OP26" i="4"/>
  <c r="OO26" i="4"/>
  <c r="OM26" i="4"/>
  <c r="OL26" i="4"/>
  <c r="OK26" i="4"/>
  <c r="OJ26" i="4"/>
  <c r="OI26" i="4"/>
  <c r="OH26" i="4"/>
  <c r="OT22" i="4"/>
  <c r="OS22" i="4"/>
  <c r="OR22" i="4"/>
  <c r="OQ22" i="4"/>
  <c r="OP22" i="4"/>
  <c r="OO22" i="4"/>
  <c r="OM22" i="4"/>
  <c r="OL22" i="4"/>
  <c r="OK22" i="4"/>
  <c r="OJ22" i="4"/>
  <c r="OI22" i="4"/>
  <c r="OH22" i="4"/>
  <c r="OT20" i="4"/>
  <c r="OS20" i="4"/>
  <c r="OR20" i="4"/>
  <c r="OQ20" i="4"/>
  <c r="OP20" i="4"/>
  <c r="OO20" i="4"/>
  <c r="OM20" i="4"/>
  <c r="OL20" i="4"/>
  <c r="OK20" i="4"/>
  <c r="OJ20" i="4"/>
  <c r="OI20" i="4"/>
  <c r="OH20" i="4"/>
  <c r="OT33" i="4"/>
  <c r="OS33" i="4"/>
  <c r="OR33" i="4"/>
  <c r="OQ33" i="4"/>
  <c r="OP33" i="4"/>
  <c r="OO33" i="4"/>
  <c r="OM33" i="4"/>
  <c r="OL33" i="4"/>
  <c r="OK33" i="4"/>
  <c r="OJ33" i="4"/>
  <c r="OI33" i="4"/>
  <c r="OH33" i="4"/>
  <c r="OT28" i="4"/>
  <c r="OS28" i="4"/>
  <c r="OR28" i="4"/>
  <c r="OQ28" i="4"/>
  <c r="OP28" i="4"/>
  <c r="OO28" i="4"/>
  <c r="OM28" i="4"/>
  <c r="OL28" i="4"/>
  <c r="OK28" i="4"/>
  <c r="OJ28" i="4"/>
  <c r="OI28" i="4"/>
  <c r="OH28" i="4"/>
  <c r="OT18" i="4"/>
  <c r="OS18" i="4"/>
  <c r="OR18" i="4"/>
  <c r="OQ18" i="4"/>
  <c r="OP18" i="4"/>
  <c r="OO18" i="4"/>
  <c r="OM18" i="4"/>
  <c r="OL18" i="4"/>
  <c r="OK18" i="4"/>
  <c r="OJ18" i="4"/>
  <c r="OI18" i="4"/>
  <c r="OH18" i="4"/>
  <c r="OT19" i="4"/>
  <c r="OS19" i="4"/>
  <c r="OR19" i="4"/>
  <c r="OQ19" i="4"/>
  <c r="OP19" i="4"/>
  <c r="OO19" i="4"/>
  <c r="OM19" i="4"/>
  <c r="OL19" i="4"/>
  <c r="OK19" i="4"/>
  <c r="OJ19" i="4"/>
  <c r="OI19" i="4"/>
  <c r="OH19" i="4"/>
  <c r="NL34" i="4"/>
  <c r="NK34" i="4"/>
  <c r="NJ34" i="4"/>
  <c r="NI34" i="4"/>
  <c r="NH34" i="4"/>
  <c r="NG34" i="4"/>
  <c r="NE34" i="4"/>
  <c r="ND34" i="4"/>
  <c r="NC34" i="4"/>
  <c r="NB34" i="4"/>
  <c r="NA34" i="4"/>
  <c r="MZ34" i="4"/>
  <c r="NL32" i="4"/>
  <c r="NK32" i="4"/>
  <c r="NJ32" i="4"/>
  <c r="NI32" i="4"/>
  <c r="NH32" i="4"/>
  <c r="NG32" i="4"/>
  <c r="NE32" i="4"/>
  <c r="ND32" i="4"/>
  <c r="NC32" i="4"/>
  <c r="NB32" i="4"/>
  <c r="NA32" i="4"/>
  <c r="MZ32" i="4"/>
  <c r="NL31" i="4"/>
  <c r="NK31" i="4"/>
  <c r="NJ31" i="4"/>
  <c r="NI31" i="4"/>
  <c r="NH31" i="4"/>
  <c r="NG31" i="4"/>
  <c r="NE31" i="4"/>
  <c r="ND31" i="4"/>
  <c r="NC31" i="4"/>
  <c r="NB31" i="4"/>
  <c r="NA31" i="4"/>
  <c r="MZ31" i="4"/>
  <c r="NL30" i="4"/>
  <c r="NK30" i="4"/>
  <c r="NJ30" i="4"/>
  <c r="NI30" i="4"/>
  <c r="NH30" i="4"/>
  <c r="NG30" i="4"/>
  <c r="NE30" i="4"/>
  <c r="ND30" i="4"/>
  <c r="NC30" i="4"/>
  <c r="NB30" i="4"/>
  <c r="NA30" i="4"/>
  <c r="MZ30" i="4"/>
  <c r="NL26" i="4"/>
  <c r="NK26" i="4"/>
  <c r="NJ26" i="4"/>
  <c r="NI26" i="4"/>
  <c r="NH26" i="4"/>
  <c r="NG26" i="4"/>
  <c r="NE26" i="4"/>
  <c r="ND26" i="4"/>
  <c r="NC26" i="4"/>
  <c r="NB26" i="4"/>
  <c r="NA26" i="4"/>
  <c r="MZ26" i="4"/>
  <c r="NL22" i="4"/>
  <c r="NK22" i="4"/>
  <c r="NJ22" i="4"/>
  <c r="NI22" i="4"/>
  <c r="NH22" i="4"/>
  <c r="NG22" i="4"/>
  <c r="NE22" i="4"/>
  <c r="ND22" i="4"/>
  <c r="NC22" i="4"/>
  <c r="NB22" i="4"/>
  <c r="NA22" i="4"/>
  <c r="MZ22" i="4"/>
  <c r="NL20" i="4"/>
  <c r="NK20" i="4"/>
  <c r="NJ20" i="4"/>
  <c r="NI20" i="4"/>
  <c r="NH20" i="4"/>
  <c r="NG20" i="4"/>
  <c r="NE20" i="4"/>
  <c r="ND20" i="4"/>
  <c r="NC20" i="4"/>
  <c r="NB20" i="4"/>
  <c r="NA20" i="4"/>
  <c r="MZ20" i="4"/>
  <c r="NL33" i="4"/>
  <c r="NK33" i="4"/>
  <c r="NJ33" i="4"/>
  <c r="NI33" i="4"/>
  <c r="NH33" i="4"/>
  <c r="NG33" i="4"/>
  <c r="NE33" i="4"/>
  <c r="ND33" i="4"/>
  <c r="NC33" i="4"/>
  <c r="NB33" i="4"/>
  <c r="NA33" i="4"/>
  <c r="MZ33" i="4"/>
  <c r="NL28" i="4"/>
  <c r="NK28" i="4"/>
  <c r="NJ28" i="4"/>
  <c r="NI28" i="4"/>
  <c r="NH28" i="4"/>
  <c r="NG28" i="4"/>
  <c r="NE28" i="4"/>
  <c r="ND28" i="4"/>
  <c r="NC28" i="4"/>
  <c r="NB28" i="4"/>
  <c r="NA28" i="4"/>
  <c r="MZ28" i="4"/>
  <c r="NL18" i="4"/>
  <c r="NK18" i="4"/>
  <c r="NJ18" i="4"/>
  <c r="NI18" i="4"/>
  <c r="NH18" i="4"/>
  <c r="NG18" i="4"/>
  <c r="NE18" i="4"/>
  <c r="ND18" i="4"/>
  <c r="NC18" i="4"/>
  <c r="NB18" i="4"/>
  <c r="NA18" i="4"/>
  <c r="MZ18" i="4"/>
  <c r="NL19" i="4"/>
  <c r="NK19" i="4"/>
  <c r="NJ19" i="4"/>
  <c r="NI19" i="4"/>
  <c r="NH19" i="4"/>
  <c r="NG19" i="4"/>
  <c r="NE19" i="4"/>
  <c r="ND19" i="4"/>
  <c r="NC19" i="4"/>
  <c r="NB19" i="4"/>
  <c r="NA19" i="4"/>
  <c r="MZ19" i="4"/>
  <c r="MD34" i="4"/>
  <c r="MC34" i="4"/>
  <c r="MB34" i="4"/>
  <c r="MA34" i="4"/>
  <c r="LZ34" i="4"/>
  <c r="LY34" i="4"/>
  <c r="LW34" i="4"/>
  <c r="LV34" i="4"/>
  <c r="LU34" i="4"/>
  <c r="LT34" i="4"/>
  <c r="LS34" i="4"/>
  <c r="LR34" i="4"/>
  <c r="MD32" i="4"/>
  <c r="MC32" i="4"/>
  <c r="MB32" i="4"/>
  <c r="MA32" i="4"/>
  <c r="LZ32" i="4"/>
  <c r="LY32" i="4"/>
  <c r="LW32" i="4"/>
  <c r="LV32" i="4"/>
  <c r="LU32" i="4"/>
  <c r="LT32" i="4"/>
  <c r="LS32" i="4"/>
  <c r="LR32" i="4"/>
  <c r="MD31" i="4"/>
  <c r="MC31" i="4"/>
  <c r="MB31" i="4"/>
  <c r="MA31" i="4"/>
  <c r="LZ31" i="4"/>
  <c r="LY31" i="4"/>
  <c r="LW31" i="4"/>
  <c r="LV31" i="4"/>
  <c r="LU31" i="4"/>
  <c r="LT31" i="4"/>
  <c r="LS31" i="4"/>
  <c r="LR31" i="4"/>
  <c r="MD30" i="4"/>
  <c r="MC30" i="4"/>
  <c r="MB30" i="4"/>
  <c r="MA30" i="4"/>
  <c r="LZ30" i="4"/>
  <c r="LY30" i="4"/>
  <c r="LW30" i="4"/>
  <c r="LV30" i="4"/>
  <c r="LU30" i="4"/>
  <c r="LT30" i="4"/>
  <c r="LS30" i="4"/>
  <c r="LR30" i="4"/>
  <c r="MD26" i="4"/>
  <c r="MC26" i="4"/>
  <c r="MB26" i="4"/>
  <c r="MA26" i="4"/>
  <c r="LZ26" i="4"/>
  <c r="LY26" i="4"/>
  <c r="LW26" i="4"/>
  <c r="LV26" i="4"/>
  <c r="LU26" i="4"/>
  <c r="LT26" i="4"/>
  <c r="LS26" i="4"/>
  <c r="LR26" i="4"/>
  <c r="MD22" i="4"/>
  <c r="MC22" i="4"/>
  <c r="MB22" i="4"/>
  <c r="MA22" i="4"/>
  <c r="LZ22" i="4"/>
  <c r="LY22" i="4"/>
  <c r="LW22" i="4"/>
  <c r="LV22" i="4"/>
  <c r="LU22" i="4"/>
  <c r="LT22" i="4"/>
  <c r="LS22" i="4"/>
  <c r="LR22" i="4"/>
  <c r="MD20" i="4"/>
  <c r="MC20" i="4"/>
  <c r="MB20" i="4"/>
  <c r="MA20" i="4"/>
  <c r="LZ20" i="4"/>
  <c r="LY20" i="4"/>
  <c r="LW20" i="4"/>
  <c r="LV20" i="4"/>
  <c r="LU20" i="4"/>
  <c r="LT20" i="4"/>
  <c r="LS20" i="4"/>
  <c r="LR20" i="4"/>
  <c r="MD33" i="4"/>
  <c r="MC33" i="4"/>
  <c r="MB33" i="4"/>
  <c r="MA33" i="4"/>
  <c r="LZ33" i="4"/>
  <c r="LY33" i="4"/>
  <c r="LW33" i="4"/>
  <c r="LV33" i="4"/>
  <c r="LU33" i="4"/>
  <c r="LT33" i="4"/>
  <c r="LS33" i="4"/>
  <c r="LR33" i="4"/>
  <c r="MD28" i="4"/>
  <c r="MC28" i="4"/>
  <c r="MB28" i="4"/>
  <c r="MA28" i="4"/>
  <c r="LZ28" i="4"/>
  <c r="LY28" i="4"/>
  <c r="LW28" i="4"/>
  <c r="LV28" i="4"/>
  <c r="LU28" i="4"/>
  <c r="LT28" i="4"/>
  <c r="LS28" i="4"/>
  <c r="LR28" i="4"/>
  <c r="MD18" i="4"/>
  <c r="MC18" i="4"/>
  <c r="MB18" i="4"/>
  <c r="MA18" i="4"/>
  <c r="LZ18" i="4"/>
  <c r="LY18" i="4"/>
  <c r="LW18" i="4"/>
  <c r="LV18" i="4"/>
  <c r="LU18" i="4"/>
  <c r="LT18" i="4"/>
  <c r="LS18" i="4"/>
  <c r="LR18" i="4"/>
  <c r="MD19" i="4"/>
  <c r="MC19" i="4"/>
  <c r="MB19" i="4"/>
  <c r="MA19" i="4"/>
  <c r="LZ19" i="4"/>
  <c r="LY19" i="4"/>
  <c r="LW19" i="4"/>
  <c r="LV19" i="4"/>
  <c r="LU19" i="4"/>
  <c r="LT19" i="4"/>
  <c r="LS19" i="4"/>
  <c r="LR19" i="4"/>
  <c r="KV34" i="4"/>
  <c r="KU34" i="4"/>
  <c r="KT34" i="4"/>
  <c r="KS34" i="4"/>
  <c r="KR34" i="4"/>
  <c r="KQ34" i="4"/>
  <c r="KO34" i="4"/>
  <c r="KN34" i="4"/>
  <c r="KM34" i="4"/>
  <c r="KL34" i="4"/>
  <c r="KK34" i="4"/>
  <c r="KJ34" i="4"/>
  <c r="KV32" i="4"/>
  <c r="KU32" i="4"/>
  <c r="KT32" i="4"/>
  <c r="KS32" i="4"/>
  <c r="KR32" i="4"/>
  <c r="KQ32" i="4"/>
  <c r="KO32" i="4"/>
  <c r="KN32" i="4"/>
  <c r="KM32" i="4"/>
  <c r="KL32" i="4"/>
  <c r="KK32" i="4"/>
  <c r="KJ32" i="4"/>
  <c r="KV31" i="4"/>
  <c r="KU31" i="4"/>
  <c r="KT31" i="4"/>
  <c r="KS31" i="4"/>
  <c r="KR31" i="4"/>
  <c r="KQ31" i="4"/>
  <c r="KO31" i="4"/>
  <c r="KN31" i="4"/>
  <c r="KM31" i="4"/>
  <c r="KL31" i="4"/>
  <c r="KK31" i="4"/>
  <c r="KJ31" i="4"/>
  <c r="KV30" i="4"/>
  <c r="KU30" i="4"/>
  <c r="KT30" i="4"/>
  <c r="KS30" i="4"/>
  <c r="KR30" i="4"/>
  <c r="KQ30" i="4"/>
  <c r="KO30" i="4"/>
  <c r="KN30" i="4"/>
  <c r="KM30" i="4"/>
  <c r="KL30" i="4"/>
  <c r="KK30" i="4"/>
  <c r="KJ30" i="4"/>
  <c r="KV26" i="4"/>
  <c r="KU26" i="4"/>
  <c r="KT26" i="4"/>
  <c r="KS26" i="4"/>
  <c r="KR26" i="4"/>
  <c r="KQ26" i="4"/>
  <c r="KO26" i="4"/>
  <c r="KN26" i="4"/>
  <c r="KM26" i="4"/>
  <c r="KL26" i="4"/>
  <c r="KK26" i="4"/>
  <c r="KJ26" i="4"/>
  <c r="KV22" i="4"/>
  <c r="KU22" i="4"/>
  <c r="KT22" i="4"/>
  <c r="KS22" i="4"/>
  <c r="KR22" i="4"/>
  <c r="KQ22" i="4"/>
  <c r="KO22" i="4"/>
  <c r="KN22" i="4"/>
  <c r="KM22" i="4"/>
  <c r="KL22" i="4"/>
  <c r="KK22" i="4"/>
  <c r="KJ22" i="4"/>
  <c r="KV20" i="4"/>
  <c r="KU20" i="4"/>
  <c r="KT20" i="4"/>
  <c r="KS20" i="4"/>
  <c r="KR20" i="4"/>
  <c r="KQ20" i="4"/>
  <c r="KO20" i="4"/>
  <c r="KN20" i="4"/>
  <c r="KM20" i="4"/>
  <c r="KL20" i="4"/>
  <c r="KK20" i="4"/>
  <c r="KJ20" i="4"/>
  <c r="KV33" i="4"/>
  <c r="KU33" i="4"/>
  <c r="KT33" i="4"/>
  <c r="KS33" i="4"/>
  <c r="KR33" i="4"/>
  <c r="KQ33" i="4"/>
  <c r="KO33" i="4"/>
  <c r="KN33" i="4"/>
  <c r="KM33" i="4"/>
  <c r="KL33" i="4"/>
  <c r="KK33" i="4"/>
  <c r="KJ33" i="4"/>
  <c r="KV28" i="4"/>
  <c r="KU28" i="4"/>
  <c r="KT28" i="4"/>
  <c r="KS28" i="4"/>
  <c r="KR28" i="4"/>
  <c r="KQ28" i="4"/>
  <c r="KO28" i="4"/>
  <c r="KN28" i="4"/>
  <c r="KM28" i="4"/>
  <c r="KL28" i="4"/>
  <c r="KK28" i="4"/>
  <c r="KJ28" i="4"/>
  <c r="KV18" i="4"/>
  <c r="KU18" i="4"/>
  <c r="KT18" i="4"/>
  <c r="KS18" i="4"/>
  <c r="KR18" i="4"/>
  <c r="KQ18" i="4"/>
  <c r="KO18" i="4"/>
  <c r="KN18" i="4"/>
  <c r="KM18" i="4"/>
  <c r="KL18" i="4"/>
  <c r="KK18" i="4"/>
  <c r="KJ18" i="4"/>
  <c r="KV19" i="4"/>
  <c r="KU19" i="4"/>
  <c r="KT19" i="4"/>
  <c r="KS19" i="4"/>
  <c r="KR19" i="4"/>
  <c r="KQ19" i="4"/>
  <c r="KO19" i="4"/>
  <c r="KN19" i="4"/>
  <c r="KM19" i="4"/>
  <c r="KL19" i="4"/>
  <c r="KK19" i="4"/>
  <c r="KJ19" i="4"/>
  <c r="JN34" i="4"/>
  <c r="JM34" i="4"/>
  <c r="JL34" i="4"/>
  <c r="JK34" i="4"/>
  <c r="JJ34" i="4"/>
  <c r="JI34" i="4"/>
  <c r="JG34" i="4"/>
  <c r="JF34" i="4"/>
  <c r="JE34" i="4"/>
  <c r="JD34" i="4"/>
  <c r="JC34" i="4"/>
  <c r="JB34" i="4"/>
  <c r="JN32" i="4"/>
  <c r="JM32" i="4"/>
  <c r="JL32" i="4"/>
  <c r="JK32" i="4"/>
  <c r="JJ32" i="4"/>
  <c r="JI32" i="4"/>
  <c r="JG32" i="4"/>
  <c r="JF32" i="4"/>
  <c r="JE32" i="4"/>
  <c r="JD32" i="4"/>
  <c r="JC32" i="4"/>
  <c r="JB32" i="4"/>
  <c r="JN31" i="4"/>
  <c r="JM31" i="4"/>
  <c r="JL31" i="4"/>
  <c r="JK31" i="4"/>
  <c r="JJ31" i="4"/>
  <c r="JI31" i="4"/>
  <c r="JG31" i="4"/>
  <c r="JF31" i="4"/>
  <c r="JE31" i="4"/>
  <c r="JD31" i="4"/>
  <c r="JC31" i="4"/>
  <c r="JB31" i="4"/>
  <c r="JN30" i="4"/>
  <c r="JM30" i="4"/>
  <c r="JL30" i="4"/>
  <c r="JK30" i="4"/>
  <c r="JJ30" i="4"/>
  <c r="JI30" i="4"/>
  <c r="JG30" i="4"/>
  <c r="JF30" i="4"/>
  <c r="JE30" i="4"/>
  <c r="JD30" i="4"/>
  <c r="JC30" i="4"/>
  <c r="JB30" i="4"/>
  <c r="JN26" i="4"/>
  <c r="JM26" i="4"/>
  <c r="JL26" i="4"/>
  <c r="JK26" i="4"/>
  <c r="JJ26" i="4"/>
  <c r="JI26" i="4"/>
  <c r="JG26" i="4"/>
  <c r="JF26" i="4"/>
  <c r="JE26" i="4"/>
  <c r="JD26" i="4"/>
  <c r="JC26" i="4"/>
  <c r="JB26" i="4"/>
  <c r="JN22" i="4"/>
  <c r="JM22" i="4"/>
  <c r="JL22" i="4"/>
  <c r="JK22" i="4"/>
  <c r="JJ22" i="4"/>
  <c r="JI22" i="4"/>
  <c r="JG22" i="4"/>
  <c r="JF22" i="4"/>
  <c r="JE22" i="4"/>
  <c r="JD22" i="4"/>
  <c r="JC22" i="4"/>
  <c r="JB22" i="4"/>
  <c r="JN20" i="4"/>
  <c r="JM20" i="4"/>
  <c r="JL20" i="4"/>
  <c r="JK20" i="4"/>
  <c r="JJ20" i="4"/>
  <c r="JI20" i="4"/>
  <c r="JG20" i="4"/>
  <c r="JF20" i="4"/>
  <c r="JE20" i="4"/>
  <c r="JD20" i="4"/>
  <c r="JC20" i="4"/>
  <c r="JB20" i="4"/>
  <c r="JN33" i="4"/>
  <c r="JM33" i="4"/>
  <c r="JL33" i="4"/>
  <c r="JK33" i="4"/>
  <c r="JJ33" i="4"/>
  <c r="JI33" i="4"/>
  <c r="JG33" i="4"/>
  <c r="JF33" i="4"/>
  <c r="JE33" i="4"/>
  <c r="JD33" i="4"/>
  <c r="JC33" i="4"/>
  <c r="JB33" i="4"/>
  <c r="JN28" i="4"/>
  <c r="JM28" i="4"/>
  <c r="JL28" i="4"/>
  <c r="JK28" i="4"/>
  <c r="JJ28" i="4"/>
  <c r="JI28" i="4"/>
  <c r="JG28" i="4"/>
  <c r="JF28" i="4"/>
  <c r="JE28" i="4"/>
  <c r="JD28" i="4"/>
  <c r="JC28" i="4"/>
  <c r="JB28" i="4"/>
  <c r="JN18" i="4"/>
  <c r="JM18" i="4"/>
  <c r="JL18" i="4"/>
  <c r="JK18" i="4"/>
  <c r="JJ18" i="4"/>
  <c r="JI18" i="4"/>
  <c r="JG18" i="4"/>
  <c r="JF18" i="4"/>
  <c r="JE18" i="4"/>
  <c r="JD18" i="4"/>
  <c r="JC18" i="4"/>
  <c r="JB18" i="4"/>
  <c r="JN19" i="4"/>
  <c r="JM19" i="4"/>
  <c r="JL19" i="4"/>
  <c r="JK19" i="4"/>
  <c r="JJ19" i="4"/>
  <c r="JI19" i="4"/>
  <c r="JG19" i="4"/>
  <c r="JF19" i="4"/>
  <c r="JE19" i="4"/>
  <c r="JD19" i="4"/>
  <c r="JC19" i="4"/>
  <c r="JB19" i="4"/>
  <c r="IF34" i="4"/>
  <c r="IE34" i="4"/>
  <c r="ID34" i="4"/>
  <c r="IC34" i="4"/>
  <c r="IB34" i="4"/>
  <c r="IA34" i="4"/>
  <c r="HY34" i="4"/>
  <c r="HX34" i="4"/>
  <c r="HW34" i="4"/>
  <c r="HV34" i="4"/>
  <c r="HU34" i="4"/>
  <c r="HT34" i="4"/>
  <c r="IF32" i="4"/>
  <c r="IE32" i="4"/>
  <c r="ID32" i="4"/>
  <c r="IC32" i="4"/>
  <c r="IB32" i="4"/>
  <c r="IA32" i="4"/>
  <c r="HY32" i="4"/>
  <c r="HX32" i="4"/>
  <c r="HW32" i="4"/>
  <c r="HV32" i="4"/>
  <c r="HU32" i="4"/>
  <c r="HT32" i="4"/>
  <c r="IF31" i="4"/>
  <c r="IE31" i="4"/>
  <c r="ID31" i="4"/>
  <c r="IC31" i="4"/>
  <c r="IB31" i="4"/>
  <c r="IA31" i="4"/>
  <c r="HY31" i="4"/>
  <c r="HX31" i="4"/>
  <c r="HW31" i="4"/>
  <c r="HV31" i="4"/>
  <c r="HU31" i="4"/>
  <c r="HT31" i="4"/>
  <c r="IF30" i="4"/>
  <c r="IE30" i="4"/>
  <c r="ID30" i="4"/>
  <c r="IC30" i="4"/>
  <c r="IB30" i="4"/>
  <c r="IA30" i="4"/>
  <c r="HY30" i="4"/>
  <c r="HX30" i="4"/>
  <c r="HW30" i="4"/>
  <c r="HV30" i="4"/>
  <c r="HU30" i="4"/>
  <c r="HT30" i="4"/>
  <c r="IF26" i="4"/>
  <c r="IE26" i="4"/>
  <c r="ID26" i="4"/>
  <c r="IC26" i="4"/>
  <c r="IB26" i="4"/>
  <c r="IA26" i="4"/>
  <c r="HY26" i="4"/>
  <c r="HX26" i="4"/>
  <c r="HW26" i="4"/>
  <c r="HV26" i="4"/>
  <c r="HU26" i="4"/>
  <c r="HT26" i="4"/>
  <c r="IF22" i="4"/>
  <c r="IE22" i="4"/>
  <c r="ID22" i="4"/>
  <c r="IC22" i="4"/>
  <c r="IB22" i="4"/>
  <c r="IA22" i="4"/>
  <c r="HY22" i="4"/>
  <c r="HX22" i="4"/>
  <c r="HW22" i="4"/>
  <c r="HV22" i="4"/>
  <c r="HU22" i="4"/>
  <c r="HT22" i="4"/>
  <c r="IF20" i="4"/>
  <c r="IE20" i="4"/>
  <c r="ID20" i="4"/>
  <c r="IC20" i="4"/>
  <c r="IB20" i="4"/>
  <c r="IA20" i="4"/>
  <c r="HY20" i="4"/>
  <c r="HX20" i="4"/>
  <c r="HW20" i="4"/>
  <c r="HV20" i="4"/>
  <c r="HU20" i="4"/>
  <c r="HT20" i="4"/>
  <c r="IF33" i="4"/>
  <c r="IE33" i="4"/>
  <c r="ID33" i="4"/>
  <c r="IC33" i="4"/>
  <c r="IB33" i="4"/>
  <c r="IA33" i="4"/>
  <c r="HY33" i="4"/>
  <c r="HX33" i="4"/>
  <c r="HW33" i="4"/>
  <c r="HV33" i="4"/>
  <c r="HU33" i="4"/>
  <c r="HT33" i="4"/>
  <c r="IF28" i="4"/>
  <c r="IE28" i="4"/>
  <c r="ID28" i="4"/>
  <c r="IC28" i="4"/>
  <c r="IB28" i="4"/>
  <c r="IA28" i="4"/>
  <c r="HY28" i="4"/>
  <c r="HX28" i="4"/>
  <c r="HW28" i="4"/>
  <c r="HV28" i="4"/>
  <c r="HU28" i="4"/>
  <c r="HT28" i="4"/>
  <c r="IF18" i="4"/>
  <c r="IE18" i="4"/>
  <c r="ID18" i="4"/>
  <c r="IC18" i="4"/>
  <c r="IB18" i="4"/>
  <c r="IA18" i="4"/>
  <c r="HY18" i="4"/>
  <c r="HX18" i="4"/>
  <c r="HW18" i="4"/>
  <c r="HV18" i="4"/>
  <c r="HU18" i="4"/>
  <c r="HT18" i="4"/>
  <c r="IF19" i="4"/>
  <c r="IE19" i="4"/>
  <c r="ID19" i="4"/>
  <c r="IC19" i="4"/>
  <c r="IB19" i="4"/>
  <c r="IA19" i="4"/>
  <c r="HY19" i="4"/>
  <c r="HX19" i="4"/>
  <c r="HW19" i="4"/>
  <c r="HV19" i="4"/>
  <c r="HU19" i="4"/>
  <c r="HT19" i="4"/>
  <c r="GX34" i="4"/>
  <c r="GW34" i="4"/>
  <c r="GV34" i="4"/>
  <c r="GU34" i="4"/>
  <c r="GT34" i="4"/>
  <c r="GS34" i="4"/>
  <c r="GQ34" i="4"/>
  <c r="GP34" i="4"/>
  <c r="GO34" i="4"/>
  <c r="GN34" i="4"/>
  <c r="GM34" i="4"/>
  <c r="GL34" i="4"/>
  <c r="GX32" i="4"/>
  <c r="GW32" i="4"/>
  <c r="GV32" i="4"/>
  <c r="GU32" i="4"/>
  <c r="GT32" i="4"/>
  <c r="GS32" i="4"/>
  <c r="GQ32" i="4"/>
  <c r="GP32" i="4"/>
  <c r="GO32" i="4"/>
  <c r="GN32" i="4"/>
  <c r="GM32" i="4"/>
  <c r="GL32" i="4"/>
  <c r="GX31" i="4"/>
  <c r="GW31" i="4"/>
  <c r="GV31" i="4"/>
  <c r="GU31" i="4"/>
  <c r="GT31" i="4"/>
  <c r="GS31" i="4"/>
  <c r="GQ31" i="4"/>
  <c r="GP31" i="4"/>
  <c r="GO31" i="4"/>
  <c r="GN31" i="4"/>
  <c r="GM31" i="4"/>
  <c r="GL31" i="4"/>
  <c r="GX30" i="4"/>
  <c r="GW30" i="4"/>
  <c r="GV30" i="4"/>
  <c r="GU30" i="4"/>
  <c r="GT30" i="4"/>
  <c r="GS30" i="4"/>
  <c r="GQ30" i="4"/>
  <c r="GP30" i="4"/>
  <c r="GO30" i="4"/>
  <c r="GN30" i="4"/>
  <c r="GM30" i="4"/>
  <c r="GL30" i="4"/>
  <c r="GX26" i="4"/>
  <c r="GW26" i="4"/>
  <c r="GV26" i="4"/>
  <c r="GU26" i="4"/>
  <c r="GT26" i="4"/>
  <c r="GS26" i="4"/>
  <c r="GQ26" i="4"/>
  <c r="GP26" i="4"/>
  <c r="GO26" i="4"/>
  <c r="GN26" i="4"/>
  <c r="GM26" i="4"/>
  <c r="GL26" i="4"/>
  <c r="GX22" i="4"/>
  <c r="GW22" i="4"/>
  <c r="GV22" i="4"/>
  <c r="GU22" i="4"/>
  <c r="GT22" i="4"/>
  <c r="GS22" i="4"/>
  <c r="GQ22" i="4"/>
  <c r="GP22" i="4"/>
  <c r="GO22" i="4"/>
  <c r="GN22" i="4"/>
  <c r="GM22" i="4"/>
  <c r="GL22" i="4"/>
  <c r="GX20" i="4"/>
  <c r="GW20" i="4"/>
  <c r="GV20" i="4"/>
  <c r="GU20" i="4"/>
  <c r="GT20" i="4"/>
  <c r="GS20" i="4"/>
  <c r="GQ20" i="4"/>
  <c r="GP20" i="4"/>
  <c r="GO20" i="4"/>
  <c r="GN20" i="4"/>
  <c r="GM20" i="4"/>
  <c r="GL20" i="4"/>
  <c r="GX33" i="4"/>
  <c r="GW33" i="4"/>
  <c r="GV33" i="4"/>
  <c r="GU33" i="4"/>
  <c r="GT33" i="4"/>
  <c r="GS33" i="4"/>
  <c r="GQ33" i="4"/>
  <c r="GP33" i="4"/>
  <c r="GO33" i="4"/>
  <c r="GN33" i="4"/>
  <c r="GM33" i="4"/>
  <c r="GL33" i="4"/>
  <c r="GX28" i="4"/>
  <c r="GW28" i="4"/>
  <c r="GV28" i="4"/>
  <c r="GU28" i="4"/>
  <c r="GT28" i="4"/>
  <c r="GS28" i="4"/>
  <c r="GQ28" i="4"/>
  <c r="GP28" i="4"/>
  <c r="GO28" i="4"/>
  <c r="GN28" i="4"/>
  <c r="GM28" i="4"/>
  <c r="GL28" i="4"/>
  <c r="GX18" i="4"/>
  <c r="GW18" i="4"/>
  <c r="GV18" i="4"/>
  <c r="GU18" i="4"/>
  <c r="GT18" i="4"/>
  <c r="GS18" i="4"/>
  <c r="GQ18" i="4"/>
  <c r="GP18" i="4"/>
  <c r="GO18" i="4"/>
  <c r="GN18" i="4"/>
  <c r="GM18" i="4"/>
  <c r="GL18" i="4"/>
  <c r="GX19" i="4"/>
  <c r="GW19" i="4"/>
  <c r="GV19" i="4"/>
  <c r="GU19" i="4"/>
  <c r="GT19" i="4"/>
  <c r="GS19" i="4"/>
  <c r="GQ19" i="4"/>
  <c r="GP19" i="4"/>
  <c r="GO19" i="4"/>
  <c r="GN19" i="4"/>
  <c r="GM19" i="4"/>
  <c r="GL19" i="4"/>
  <c r="FP34" i="4"/>
  <c r="FO34" i="4"/>
  <c r="FN34" i="4"/>
  <c r="FM34" i="4"/>
  <c r="FL34" i="4"/>
  <c r="FK34" i="4"/>
  <c r="FI34" i="4"/>
  <c r="FH34" i="4"/>
  <c r="FG34" i="4"/>
  <c r="FF34" i="4"/>
  <c r="FE34" i="4"/>
  <c r="FD34" i="4"/>
  <c r="FP32" i="4"/>
  <c r="FO32" i="4"/>
  <c r="FN32" i="4"/>
  <c r="FM32" i="4"/>
  <c r="FL32" i="4"/>
  <c r="FK32" i="4"/>
  <c r="FI32" i="4"/>
  <c r="FH32" i="4"/>
  <c r="FG32" i="4"/>
  <c r="FF32" i="4"/>
  <c r="FE32" i="4"/>
  <c r="FD32" i="4"/>
  <c r="FP31" i="4"/>
  <c r="FO31" i="4"/>
  <c r="FN31" i="4"/>
  <c r="FM31" i="4"/>
  <c r="FL31" i="4"/>
  <c r="FK31" i="4"/>
  <c r="FI31" i="4"/>
  <c r="FH31" i="4"/>
  <c r="FG31" i="4"/>
  <c r="FF31" i="4"/>
  <c r="FE31" i="4"/>
  <c r="FD31" i="4"/>
  <c r="FP30" i="4"/>
  <c r="FO30" i="4"/>
  <c r="FN30" i="4"/>
  <c r="FM30" i="4"/>
  <c r="FL30" i="4"/>
  <c r="FK30" i="4"/>
  <c r="FI30" i="4"/>
  <c r="FH30" i="4"/>
  <c r="FG30" i="4"/>
  <c r="FF30" i="4"/>
  <c r="FE30" i="4"/>
  <c r="FD30" i="4"/>
  <c r="FP26" i="4"/>
  <c r="FO26" i="4"/>
  <c r="FN26" i="4"/>
  <c r="FM26" i="4"/>
  <c r="FL26" i="4"/>
  <c r="FK26" i="4"/>
  <c r="FI26" i="4"/>
  <c r="FH26" i="4"/>
  <c r="FG26" i="4"/>
  <c r="FF26" i="4"/>
  <c r="FE26" i="4"/>
  <c r="FD26" i="4"/>
  <c r="FP22" i="4"/>
  <c r="FO22" i="4"/>
  <c r="FN22" i="4"/>
  <c r="FM22" i="4"/>
  <c r="FL22" i="4"/>
  <c r="FK22" i="4"/>
  <c r="FI22" i="4"/>
  <c r="FH22" i="4"/>
  <c r="FG22" i="4"/>
  <c r="FF22" i="4"/>
  <c r="FE22" i="4"/>
  <c r="FD22" i="4"/>
  <c r="FP20" i="4"/>
  <c r="FO20" i="4"/>
  <c r="FN20" i="4"/>
  <c r="FM20" i="4"/>
  <c r="FL20" i="4"/>
  <c r="FK20" i="4"/>
  <c r="FI20" i="4"/>
  <c r="FH20" i="4"/>
  <c r="FG20" i="4"/>
  <c r="FF20" i="4"/>
  <c r="FE20" i="4"/>
  <c r="FD20" i="4"/>
  <c r="FP33" i="4"/>
  <c r="FO33" i="4"/>
  <c r="FN33" i="4"/>
  <c r="FM33" i="4"/>
  <c r="FL33" i="4"/>
  <c r="FK33" i="4"/>
  <c r="FI33" i="4"/>
  <c r="FH33" i="4"/>
  <c r="FG33" i="4"/>
  <c r="FF33" i="4"/>
  <c r="FE33" i="4"/>
  <c r="FD33" i="4"/>
  <c r="FP28" i="4"/>
  <c r="FO28" i="4"/>
  <c r="FN28" i="4"/>
  <c r="FM28" i="4"/>
  <c r="FL28" i="4"/>
  <c r="FK28" i="4"/>
  <c r="FI28" i="4"/>
  <c r="FH28" i="4"/>
  <c r="FG28" i="4"/>
  <c r="FF28" i="4"/>
  <c r="FE28" i="4"/>
  <c r="FD28" i="4"/>
  <c r="FP18" i="4"/>
  <c r="FO18" i="4"/>
  <c r="FN18" i="4"/>
  <c r="FM18" i="4"/>
  <c r="FL18" i="4"/>
  <c r="FK18" i="4"/>
  <c r="FI18" i="4"/>
  <c r="FH18" i="4"/>
  <c r="FG18" i="4"/>
  <c r="FF18" i="4"/>
  <c r="FE18" i="4"/>
  <c r="FD18" i="4"/>
  <c r="FP19" i="4"/>
  <c r="FO19" i="4"/>
  <c r="FN19" i="4"/>
  <c r="FM19" i="4"/>
  <c r="FL19" i="4"/>
  <c r="FK19" i="4"/>
  <c r="FI19" i="4"/>
  <c r="FH19" i="4"/>
  <c r="FG19" i="4"/>
  <c r="FF19" i="4"/>
  <c r="FE19" i="4"/>
  <c r="FD19" i="4"/>
  <c r="EH34" i="4"/>
  <c r="EG34" i="4"/>
  <c r="EF34" i="4"/>
  <c r="EE34" i="4"/>
  <c r="ED34" i="4"/>
  <c r="EC34" i="4"/>
  <c r="EA34" i="4"/>
  <c r="DZ34" i="4"/>
  <c r="DY34" i="4"/>
  <c r="DX34" i="4"/>
  <c r="DW34" i="4"/>
  <c r="DV34" i="4"/>
  <c r="EH32" i="4"/>
  <c r="EG32" i="4"/>
  <c r="EF32" i="4"/>
  <c r="EE32" i="4"/>
  <c r="ED32" i="4"/>
  <c r="EC32" i="4"/>
  <c r="EA32" i="4"/>
  <c r="DZ32" i="4"/>
  <c r="DY32" i="4"/>
  <c r="DX32" i="4"/>
  <c r="DW32" i="4"/>
  <c r="DV32" i="4"/>
  <c r="EH31" i="4"/>
  <c r="EG31" i="4"/>
  <c r="EF31" i="4"/>
  <c r="EE31" i="4"/>
  <c r="ED31" i="4"/>
  <c r="EC31" i="4"/>
  <c r="EA31" i="4"/>
  <c r="DZ31" i="4"/>
  <c r="DY31" i="4"/>
  <c r="DX31" i="4"/>
  <c r="DW31" i="4"/>
  <c r="DV31" i="4"/>
  <c r="EH30" i="4"/>
  <c r="EG30" i="4"/>
  <c r="EF30" i="4"/>
  <c r="EE30" i="4"/>
  <c r="ED30" i="4"/>
  <c r="EC30" i="4"/>
  <c r="EA30" i="4"/>
  <c r="DZ30" i="4"/>
  <c r="DY30" i="4"/>
  <c r="DX30" i="4"/>
  <c r="DW30" i="4"/>
  <c r="DV30" i="4"/>
  <c r="EH26" i="4"/>
  <c r="EG26" i="4"/>
  <c r="EF26" i="4"/>
  <c r="EE26" i="4"/>
  <c r="ED26" i="4"/>
  <c r="EC26" i="4"/>
  <c r="EA26" i="4"/>
  <c r="DZ26" i="4"/>
  <c r="DY26" i="4"/>
  <c r="DX26" i="4"/>
  <c r="DW26" i="4"/>
  <c r="DV26" i="4"/>
  <c r="EH22" i="4"/>
  <c r="EG22" i="4"/>
  <c r="EF22" i="4"/>
  <c r="EE22" i="4"/>
  <c r="ED22" i="4"/>
  <c r="EC22" i="4"/>
  <c r="EA22" i="4"/>
  <c r="DZ22" i="4"/>
  <c r="DY22" i="4"/>
  <c r="DX22" i="4"/>
  <c r="DW22" i="4"/>
  <c r="DV22" i="4"/>
  <c r="EH20" i="4"/>
  <c r="EG20" i="4"/>
  <c r="EF20" i="4"/>
  <c r="EE20" i="4"/>
  <c r="ED20" i="4"/>
  <c r="EC20" i="4"/>
  <c r="EA20" i="4"/>
  <c r="DZ20" i="4"/>
  <c r="DY20" i="4"/>
  <c r="DX20" i="4"/>
  <c r="DW20" i="4"/>
  <c r="DV20" i="4"/>
  <c r="EH33" i="4"/>
  <c r="EG33" i="4"/>
  <c r="EF33" i="4"/>
  <c r="EE33" i="4"/>
  <c r="ED33" i="4"/>
  <c r="EC33" i="4"/>
  <c r="EA33" i="4"/>
  <c r="DZ33" i="4"/>
  <c r="DY33" i="4"/>
  <c r="DX33" i="4"/>
  <c r="DW33" i="4"/>
  <c r="DV33" i="4"/>
  <c r="EH28" i="4"/>
  <c r="EG28" i="4"/>
  <c r="EF28" i="4"/>
  <c r="EE28" i="4"/>
  <c r="ED28" i="4"/>
  <c r="EC28" i="4"/>
  <c r="EA28" i="4"/>
  <c r="DZ28" i="4"/>
  <c r="DY28" i="4"/>
  <c r="DX28" i="4"/>
  <c r="DW28" i="4"/>
  <c r="DV28" i="4"/>
  <c r="EH18" i="4"/>
  <c r="EG18" i="4"/>
  <c r="EF18" i="4"/>
  <c r="EE18" i="4"/>
  <c r="ED18" i="4"/>
  <c r="EC18" i="4"/>
  <c r="EA18" i="4"/>
  <c r="DZ18" i="4"/>
  <c r="DY18" i="4"/>
  <c r="DX18" i="4"/>
  <c r="DW18" i="4"/>
  <c r="DV18" i="4"/>
  <c r="EH19" i="4"/>
  <c r="EG19" i="4"/>
  <c r="EF19" i="4"/>
  <c r="EE19" i="4"/>
  <c r="ED19" i="4"/>
  <c r="EC19" i="4"/>
  <c r="EA19" i="4"/>
  <c r="DZ19" i="4"/>
  <c r="DY19" i="4"/>
  <c r="DX19" i="4"/>
  <c r="DW19" i="4"/>
  <c r="DV19" i="4"/>
  <c r="QE4" i="19"/>
  <c r="QA16" i="26" l="1"/>
  <c r="QA8" i="27"/>
  <c r="CZ21" i="27"/>
  <c r="QD16" i="27"/>
  <c r="RC21" i="27"/>
  <c r="RE21" i="27"/>
  <c r="RD34" i="4"/>
  <c r="RK34" i="4" s="1"/>
  <c r="RD30" i="4"/>
  <c r="RK30" i="4" s="1"/>
  <c r="RD31" i="4"/>
  <c r="RK31" i="4" s="1"/>
  <c r="JH22" i="4"/>
  <c r="JO22" i="4" s="1"/>
  <c r="JH30" i="4"/>
  <c r="JO30" i="4" s="1"/>
  <c r="LX19" i="4"/>
  <c r="ME19" i="4" s="1"/>
  <c r="NF18" i="4"/>
  <c r="NM18" i="4" s="1"/>
  <c r="PV18" i="4"/>
  <c r="QC18" i="4" s="1"/>
  <c r="PV33" i="4"/>
  <c r="QC33" i="4" s="1"/>
  <c r="PV20" i="4"/>
  <c r="QC20" i="4" s="1"/>
  <c r="LX33" i="4"/>
  <c r="ME33" i="4" s="1"/>
  <c r="LX26" i="4"/>
  <c r="ME26" i="4" s="1"/>
  <c r="GR18" i="4"/>
  <c r="GY18" i="4" s="1"/>
  <c r="KP19" i="4"/>
  <c r="KW19" i="4" s="1"/>
  <c r="KP22" i="4"/>
  <c r="KW22" i="4" s="1"/>
  <c r="KP30" i="4"/>
  <c r="KW30" i="4" s="1"/>
  <c r="KP34" i="4"/>
  <c r="KW34" i="4" s="1"/>
  <c r="PV19" i="4"/>
  <c r="QC19" i="4" s="1"/>
  <c r="PV28" i="4"/>
  <c r="QC28" i="4" s="1"/>
  <c r="PV22" i="4"/>
  <c r="QC22" i="4" s="1"/>
  <c r="PV30" i="4"/>
  <c r="QC30" i="4" s="1"/>
  <c r="PV34" i="4"/>
  <c r="QC34" i="4" s="1"/>
  <c r="HZ19" i="4"/>
  <c r="IG19" i="4" s="1"/>
  <c r="FJ33" i="4"/>
  <c r="FQ33" i="4" s="1"/>
  <c r="FJ26" i="4"/>
  <c r="FQ26" i="4" s="1"/>
  <c r="FJ32" i="4"/>
  <c r="FQ32" i="4" s="1"/>
  <c r="QD21" i="27"/>
  <c r="QD11" i="27"/>
  <c r="QZ4" i="26"/>
  <c r="ON5" i="22"/>
  <c r="OU5" i="22" s="1"/>
  <c r="LX5" i="22"/>
  <c r="ME5" i="22" s="1"/>
  <c r="NF5" i="22"/>
  <c r="NM5" i="22" s="1"/>
  <c r="FJ5" i="22"/>
  <c r="FQ5" i="22" s="1"/>
  <c r="KP18" i="4"/>
  <c r="KW18" i="4" s="1"/>
  <c r="KP20" i="4"/>
  <c r="KW20" i="4" s="1"/>
  <c r="HZ22" i="4"/>
  <c r="IG22" i="4" s="1"/>
  <c r="HZ30" i="4"/>
  <c r="IG30" i="4" s="1"/>
  <c r="HZ34" i="4"/>
  <c r="IG34" i="4" s="1"/>
  <c r="JH18" i="4"/>
  <c r="JO18" i="4" s="1"/>
  <c r="JH20" i="4"/>
  <c r="JO20" i="4" s="1"/>
  <c r="EB33" i="4"/>
  <c r="EI33" i="4" s="1"/>
  <c r="EB26" i="4"/>
  <c r="EI26" i="4" s="1"/>
  <c r="EB32" i="4"/>
  <c r="EI32" i="4" s="1"/>
  <c r="GR19" i="4"/>
  <c r="GY19" i="4" s="1"/>
  <c r="GR28" i="4"/>
  <c r="GY28" i="4" s="1"/>
  <c r="GR30" i="4"/>
  <c r="GY30" i="4" s="1"/>
  <c r="GR31" i="4"/>
  <c r="GY31" i="4" s="1"/>
  <c r="HZ20" i="4"/>
  <c r="IG20" i="4" s="1"/>
  <c r="NF19" i="4"/>
  <c r="NM19" i="4" s="1"/>
  <c r="NF28" i="4"/>
  <c r="NM28" i="4" s="1"/>
  <c r="NF30" i="4"/>
  <c r="NM30" i="4" s="1"/>
  <c r="NF31" i="4"/>
  <c r="NM31" i="4" s="1"/>
  <c r="ON26" i="4"/>
  <c r="OU26" i="4" s="1"/>
  <c r="ON32" i="4"/>
  <c r="OU32" i="4" s="1"/>
  <c r="PV32" i="4"/>
  <c r="QC32" i="4" s="1"/>
  <c r="RD18" i="4"/>
  <c r="RK18" i="4" s="1"/>
  <c r="P21" i="27"/>
  <c r="Q21" i="27" s="1"/>
  <c r="QD8" i="27"/>
  <c r="QD23" i="27"/>
  <c r="QD20" i="27"/>
  <c r="P19" i="27"/>
  <c r="Q19" i="27" s="1"/>
  <c r="DC19" i="27"/>
  <c r="QD19" i="27"/>
  <c r="QA21" i="27"/>
  <c r="RB21" i="27"/>
  <c r="QA11" i="27"/>
  <c r="QZ23" i="27"/>
  <c r="RE23" i="27"/>
  <c r="RC11" i="27"/>
  <c r="RE11" i="27"/>
  <c r="N16" i="26"/>
  <c r="O16" i="26" s="1"/>
  <c r="QA4" i="26"/>
  <c r="QZ14" i="26"/>
  <c r="QD4" i="26"/>
  <c r="CZ14" i="26"/>
  <c r="QA14" i="26"/>
  <c r="GR5" i="22"/>
  <c r="GY5" i="22" s="1"/>
  <c r="KP5" i="22"/>
  <c r="KW5" i="22" s="1"/>
  <c r="JH5" i="22"/>
  <c r="JO5" i="22" s="1"/>
  <c r="EB5" i="22"/>
  <c r="EI5" i="22" s="1"/>
  <c r="HZ5" i="22"/>
  <c r="RD5" i="22"/>
  <c r="RK5" i="22" s="1"/>
  <c r="PV5" i="22"/>
  <c r="QC5" i="22" s="1"/>
  <c r="FJ19" i="4"/>
  <c r="FQ19" i="4" s="1"/>
  <c r="FJ28" i="4"/>
  <c r="FQ28" i="4" s="1"/>
  <c r="FJ22" i="4"/>
  <c r="FQ22" i="4" s="1"/>
  <c r="FJ30" i="4"/>
  <c r="FQ30" i="4" s="1"/>
  <c r="FJ34" i="4"/>
  <c r="FQ34" i="4" s="1"/>
  <c r="LX22" i="4"/>
  <c r="ME22" i="4" s="1"/>
  <c r="LX30" i="4"/>
  <c r="ME30" i="4" s="1"/>
  <c r="LX34" i="4"/>
  <c r="ME34" i="4" s="1"/>
  <c r="ON18" i="4"/>
  <c r="OU18" i="4" s="1"/>
  <c r="KP32" i="4"/>
  <c r="KW32" i="4" s="1"/>
  <c r="ON19" i="4"/>
  <c r="OU19" i="4" s="1"/>
  <c r="ON22" i="4"/>
  <c r="OU22" i="4" s="1"/>
  <c r="ON30" i="4"/>
  <c r="OU30" i="4" s="1"/>
  <c r="ON31" i="4"/>
  <c r="OU31" i="4" s="1"/>
  <c r="ON34" i="4"/>
  <c r="OU34" i="4" s="1"/>
  <c r="PV26" i="4"/>
  <c r="QC26" i="4" s="1"/>
  <c r="EB19" i="4"/>
  <c r="EI19" i="4" s="1"/>
  <c r="EB28" i="4"/>
  <c r="EI28" i="4" s="1"/>
  <c r="EB22" i="4"/>
  <c r="EI22" i="4" s="1"/>
  <c r="EB30" i="4"/>
  <c r="EI30" i="4" s="1"/>
  <c r="EB31" i="4"/>
  <c r="EI31" i="4" s="1"/>
  <c r="GR26" i="4"/>
  <c r="GY26" i="4" s="1"/>
  <c r="JH31" i="4"/>
  <c r="JO31" i="4" s="1"/>
  <c r="NF26" i="4"/>
  <c r="NM26" i="4" s="1"/>
  <c r="RD19" i="4"/>
  <c r="RK19" i="4" s="1"/>
  <c r="RD28" i="4"/>
  <c r="RK28" i="4" s="1"/>
  <c r="RD26" i="4"/>
  <c r="RK26" i="4" s="1"/>
  <c r="JH19" i="4"/>
  <c r="JO19" i="4" s="1"/>
  <c r="EB34" i="4"/>
  <c r="EI34" i="4" s="1"/>
  <c r="FJ31" i="4"/>
  <c r="FQ31" i="4" s="1"/>
  <c r="GR22" i="4"/>
  <c r="GY22" i="4" s="1"/>
  <c r="GR32" i="4"/>
  <c r="GY32" i="4" s="1"/>
  <c r="HZ28" i="4"/>
  <c r="IG28" i="4" s="1"/>
  <c r="HZ26" i="4"/>
  <c r="IG26" i="4" s="1"/>
  <c r="JH33" i="4"/>
  <c r="JO33" i="4" s="1"/>
  <c r="LX18" i="4"/>
  <c r="ME18" i="4" s="1"/>
  <c r="LX31" i="4"/>
  <c r="ME31" i="4" s="1"/>
  <c r="NF22" i="4"/>
  <c r="NM22" i="4" s="1"/>
  <c r="NF32" i="4"/>
  <c r="NM32" i="4" s="1"/>
  <c r="ON28" i="4"/>
  <c r="OU28" i="4" s="1"/>
  <c r="ON20" i="4"/>
  <c r="OU20" i="4" s="1"/>
  <c r="RD20" i="4"/>
  <c r="RK20" i="4" s="1"/>
  <c r="EB18" i="4"/>
  <c r="EI18" i="4" s="1"/>
  <c r="HZ32" i="4"/>
  <c r="IG32" i="4" s="1"/>
  <c r="JH28" i="4"/>
  <c r="JO28" i="4" s="1"/>
  <c r="JH26" i="4"/>
  <c r="JO26" i="4" s="1"/>
  <c r="KP33" i="4"/>
  <c r="KW33" i="4" s="1"/>
  <c r="EB20" i="4"/>
  <c r="EI20" i="4" s="1"/>
  <c r="FJ18" i="4"/>
  <c r="FQ18" i="4" s="1"/>
  <c r="GR34" i="4"/>
  <c r="GY34" i="4" s="1"/>
  <c r="HZ31" i="4"/>
  <c r="IG31" i="4" s="1"/>
  <c r="JH32" i="4"/>
  <c r="JO32" i="4" s="1"/>
  <c r="KP28" i="4"/>
  <c r="KW28" i="4" s="1"/>
  <c r="KP26" i="4"/>
  <c r="KW26" i="4" s="1"/>
  <c r="LX20" i="4"/>
  <c r="ME20" i="4" s="1"/>
  <c r="NF34" i="4"/>
  <c r="NM34" i="4" s="1"/>
  <c r="RD33" i="4"/>
  <c r="RK33" i="4" s="1"/>
  <c r="FJ20" i="4"/>
  <c r="FQ20" i="4" s="1"/>
  <c r="GR20" i="4"/>
  <c r="GY20" i="4" s="1"/>
  <c r="HZ18" i="4"/>
  <c r="IG18" i="4" s="1"/>
  <c r="HZ33" i="4"/>
  <c r="IG33" i="4" s="1"/>
  <c r="JH34" i="4"/>
  <c r="JO34" i="4" s="1"/>
  <c r="KP31" i="4"/>
  <c r="KW31" i="4" s="1"/>
  <c r="LX28" i="4"/>
  <c r="ME28" i="4" s="1"/>
  <c r="LX32" i="4"/>
  <c r="ME32" i="4" s="1"/>
  <c r="NF20" i="4"/>
  <c r="NM20" i="4" s="1"/>
  <c r="ON33" i="4"/>
  <c r="OU33" i="4" s="1"/>
  <c r="PV31" i="4"/>
  <c r="QC31" i="4" s="1"/>
  <c r="RD22" i="4"/>
  <c r="RK22" i="4" s="1"/>
  <c r="RD32" i="4"/>
  <c r="RK32" i="4" s="1"/>
  <c r="GR33" i="4"/>
  <c r="GY33" i="4" s="1"/>
  <c r="NF33" i="4"/>
  <c r="NM33" i="4" s="1"/>
  <c r="RB20" i="27"/>
  <c r="QZ21" i="27"/>
  <c r="RA23" i="27"/>
  <c r="RB23" i="27"/>
  <c r="DC8" i="27"/>
  <c r="RB11" i="27"/>
  <c r="N8" i="27"/>
  <c r="O8" i="27" s="1"/>
  <c r="P20" i="27"/>
  <c r="DF20" i="27" s="1"/>
  <c r="P16" i="27"/>
  <c r="Q16" i="27" s="1"/>
  <c r="QZ8" i="27"/>
  <c r="RE8" i="27"/>
  <c r="P8" i="27"/>
  <c r="Q8" i="27" s="1"/>
  <c r="RF21" i="27"/>
  <c r="RB8" i="27"/>
  <c r="RA19" i="27"/>
  <c r="RB19" i="27"/>
  <c r="F11" i="27"/>
  <c r="P11" i="27"/>
  <c r="Q11" i="27" s="1"/>
  <c r="N16" i="27"/>
  <c r="DE16" i="27" s="1"/>
  <c r="G21" i="27"/>
  <c r="L19" i="27"/>
  <c r="M19" i="27" s="1"/>
  <c r="G8" i="27"/>
  <c r="CZ20" i="27"/>
  <c r="N21" i="27"/>
  <c r="DE21" i="27" s="1"/>
  <c r="J16" i="27"/>
  <c r="K16" i="27" s="1"/>
  <c r="P23" i="27"/>
  <c r="Q23" i="27" s="1"/>
  <c r="N11" i="27"/>
  <c r="DE11" i="27" s="1"/>
  <c r="RA21" i="27"/>
  <c r="F19" i="27"/>
  <c r="G20" i="27"/>
  <c r="QA20" i="27"/>
  <c r="RA16" i="27"/>
  <c r="RB16" i="27"/>
  <c r="F8" i="27"/>
  <c r="J19" i="27"/>
  <c r="K19" i="27" s="1"/>
  <c r="QA19" i="27"/>
  <c r="N20" i="27"/>
  <c r="O20" i="27" s="1"/>
  <c r="F20" i="27"/>
  <c r="QZ20" i="27"/>
  <c r="RE20" i="27"/>
  <c r="F21" i="27"/>
  <c r="F16" i="27"/>
  <c r="J8" i="27"/>
  <c r="K8" i="27" s="1"/>
  <c r="N19" i="27"/>
  <c r="DE19" i="27" s="1"/>
  <c r="QZ19" i="27"/>
  <c r="RE19" i="27"/>
  <c r="DC11" i="27"/>
  <c r="G16" i="27"/>
  <c r="RC16" i="27"/>
  <c r="RE16" i="27"/>
  <c r="J23" i="27"/>
  <c r="K23" i="27" s="1"/>
  <c r="N23" i="27"/>
  <c r="O23" i="27" s="1"/>
  <c r="QA23" i="27"/>
  <c r="DC14" i="26"/>
  <c r="RB4" i="26"/>
  <c r="RB16" i="26"/>
  <c r="P4" i="26"/>
  <c r="Q4" i="26" s="1"/>
  <c r="F16" i="26"/>
  <c r="RB14" i="26"/>
  <c r="N14" i="26"/>
  <c r="DE14" i="26" s="1"/>
  <c r="RA4" i="26"/>
  <c r="P14" i="26"/>
  <c r="Q14" i="26" s="1"/>
  <c r="RA14" i="26"/>
  <c r="RF14" i="26"/>
  <c r="F4" i="26"/>
  <c r="RC14" i="26"/>
  <c r="RE14" i="26"/>
  <c r="P16" i="26"/>
  <c r="Q16" i="26" s="1"/>
  <c r="QZ16" i="26"/>
  <c r="RE16" i="26"/>
  <c r="F14" i="26"/>
  <c r="N4" i="26"/>
  <c r="O4" i="26" s="1"/>
  <c r="RC4" i="26"/>
  <c r="QD14" i="26"/>
  <c r="CZ16" i="26"/>
  <c r="QD16" i="26"/>
  <c r="RA20" i="27"/>
  <c r="DC16" i="27"/>
  <c r="CZ16" i="27"/>
  <c r="G23" i="27"/>
  <c r="L11" i="27"/>
  <c r="J11" i="27"/>
  <c r="RA8" i="27"/>
  <c r="RC23" i="27"/>
  <c r="L8" i="27"/>
  <c r="RC8" i="27"/>
  <c r="RC19" i="27"/>
  <c r="RC20" i="27"/>
  <c r="DC21" i="27"/>
  <c r="F23" i="27"/>
  <c r="DC23" i="27"/>
  <c r="CZ23" i="27"/>
  <c r="L23" i="27"/>
  <c r="RF23" i="27"/>
  <c r="CZ8" i="27"/>
  <c r="CZ19" i="27"/>
  <c r="RF11" i="27"/>
  <c r="QZ11" i="27"/>
  <c r="L20" i="27"/>
  <c r="J20" i="27"/>
  <c r="L16" i="27"/>
  <c r="RF16" i="27"/>
  <c r="RA11" i="27"/>
  <c r="QZ16" i="27"/>
  <c r="QA16" i="27"/>
  <c r="RF8" i="27"/>
  <c r="G19" i="27"/>
  <c r="RF19" i="27"/>
  <c r="G11" i="27"/>
  <c r="CZ11" i="27"/>
  <c r="DC20" i="27"/>
  <c r="RF20" i="27"/>
  <c r="L21" i="27"/>
  <c r="J21" i="27"/>
  <c r="RA16" i="26"/>
  <c r="L4" i="26"/>
  <c r="J4" i="26"/>
  <c r="G4" i="26"/>
  <c r="J16" i="26"/>
  <c r="DC4" i="26"/>
  <c r="CZ4" i="26"/>
  <c r="G16" i="26"/>
  <c r="J14" i="26"/>
  <c r="RF4" i="26"/>
  <c r="RE4" i="26"/>
  <c r="L16" i="26"/>
  <c r="G14" i="26"/>
  <c r="RC16" i="26"/>
  <c r="DC16" i="26"/>
  <c r="RF16" i="26"/>
  <c r="L14" i="26"/>
  <c r="DE16" i="26" l="1"/>
  <c r="DF19" i="27"/>
  <c r="RG23" i="27"/>
  <c r="RG19" i="27"/>
  <c r="I16" i="26"/>
  <c r="H16" i="26" s="1"/>
  <c r="IG5" i="22"/>
  <c r="O16" i="27"/>
  <c r="RD23" i="27"/>
  <c r="DF21" i="27"/>
  <c r="RD4" i="26"/>
  <c r="O14" i="26"/>
  <c r="RG21" i="27"/>
  <c r="RD19" i="27"/>
  <c r="Q20" i="27"/>
  <c r="DF4" i="26"/>
  <c r="RG14" i="26"/>
  <c r="RD21" i="27"/>
  <c r="O11" i="27"/>
  <c r="DE8" i="27"/>
  <c r="RG16" i="27"/>
  <c r="DF23" i="27"/>
  <c r="DF8" i="27"/>
  <c r="RD16" i="27"/>
  <c r="I23" i="27"/>
  <c r="H23" i="27" s="1"/>
  <c r="O19" i="27"/>
  <c r="DF16" i="27"/>
  <c r="O21" i="27"/>
  <c r="DE23" i="27"/>
  <c r="DF11" i="27"/>
  <c r="I20" i="27"/>
  <c r="H20" i="27" s="1"/>
  <c r="I8" i="27"/>
  <c r="H8" i="27" s="1"/>
  <c r="DE20" i="27"/>
  <c r="I16" i="27"/>
  <c r="H16" i="27" s="1"/>
  <c r="DD19" i="27"/>
  <c r="RG4" i="26"/>
  <c r="RD14" i="26"/>
  <c r="DE4" i="26"/>
  <c r="DF16" i="26"/>
  <c r="I4" i="26"/>
  <c r="H4" i="26" s="1"/>
  <c r="DF14" i="26"/>
  <c r="DD8" i="27"/>
  <c r="M8" i="27"/>
  <c r="DD23" i="27"/>
  <c r="M23" i="27"/>
  <c r="RG8" i="27"/>
  <c r="RD8" i="27"/>
  <c r="I19" i="27"/>
  <c r="H19" i="27" s="1"/>
  <c r="DD16" i="27"/>
  <c r="M16" i="27"/>
  <c r="K20" i="27"/>
  <c r="RG20" i="27"/>
  <c r="RD20" i="27"/>
  <c r="DD20" i="27"/>
  <c r="M20" i="27"/>
  <c r="I11" i="27"/>
  <c r="H11" i="27" s="1"/>
  <c r="K21" i="27"/>
  <c r="DD11" i="27"/>
  <c r="M11" i="27"/>
  <c r="DD21" i="27"/>
  <c r="M21" i="27"/>
  <c r="I21" i="27"/>
  <c r="H21" i="27" s="1"/>
  <c r="RG11" i="27"/>
  <c r="RD11" i="27"/>
  <c r="K11" i="27"/>
  <c r="M14" i="26"/>
  <c r="DD14" i="26"/>
  <c r="M16" i="26"/>
  <c r="DD16" i="26"/>
  <c r="K16" i="26"/>
  <c r="RG16" i="26"/>
  <c r="RD16" i="26"/>
  <c r="K14" i="26"/>
  <c r="DD4" i="26"/>
  <c r="M4" i="26"/>
  <c r="I14" i="26"/>
  <c r="H14" i="26" s="1"/>
  <c r="K4" i="26"/>
  <c r="R19" i="27" l="1"/>
  <c r="T19" i="27" s="1"/>
  <c r="R21" i="27"/>
  <c r="E21" i="27" s="1"/>
  <c r="R20" i="27"/>
  <c r="R16" i="27"/>
  <c r="R8" i="27"/>
  <c r="R23" i="27"/>
  <c r="R11" i="27"/>
  <c r="R4" i="26"/>
  <c r="E4" i="26" s="1"/>
  <c r="R16" i="26"/>
  <c r="R14" i="26"/>
  <c r="E19" i="27" l="1"/>
  <c r="S19" i="27"/>
  <c r="S20" i="27"/>
  <c r="T20" i="27"/>
  <c r="S11" i="27"/>
  <c r="T11" i="27"/>
  <c r="S21" i="27"/>
  <c r="T21" i="27"/>
  <c r="E23" i="27"/>
  <c r="S23" i="27"/>
  <c r="T23" i="27"/>
  <c r="E16" i="27"/>
  <c r="S16" i="27"/>
  <c r="T16" i="27"/>
  <c r="E8" i="27"/>
  <c r="S8" i="27"/>
  <c r="T8" i="27"/>
  <c r="S14" i="26"/>
  <c r="T14" i="26"/>
  <c r="E16" i="26"/>
  <c r="S16" i="26"/>
  <c r="T16" i="26"/>
  <c r="S4" i="26"/>
  <c r="T4" i="26"/>
  <c r="E20" i="27"/>
  <c r="E11" i="27"/>
  <c r="E14" i="26"/>
  <c r="A5" i="26" s="1"/>
  <c r="A21" i="27"/>
  <c r="CV28" i="19"/>
  <c r="CW28" i="19"/>
  <c r="CX28" i="19"/>
  <c r="CY28" i="19"/>
  <c r="DA28" i="19"/>
  <c r="DB28" i="19"/>
  <c r="PW28" i="19"/>
  <c r="PX28" i="19"/>
  <c r="PY28" i="19"/>
  <c r="PZ28" i="19"/>
  <c r="QB28" i="19"/>
  <c r="QC28" i="19"/>
  <c r="QE28" i="19"/>
  <c r="QF28" i="19"/>
  <c r="QG28" i="19"/>
  <c r="QH28" i="19"/>
  <c r="QI28" i="19"/>
  <c r="QJ28" i="19"/>
  <c r="QK28" i="19"/>
  <c r="QL28" i="19"/>
  <c r="QM28" i="19"/>
  <c r="QN28" i="19"/>
  <c r="QO28" i="19"/>
  <c r="QP28" i="19"/>
  <c r="QQ28" i="19"/>
  <c r="QR28" i="19"/>
  <c r="QS28" i="19"/>
  <c r="QT28" i="19"/>
  <c r="QU28" i="19"/>
  <c r="QV28" i="19"/>
  <c r="QW28" i="19"/>
  <c r="QX28" i="19"/>
  <c r="CV24" i="21"/>
  <c r="CW24" i="21"/>
  <c r="CX24" i="21"/>
  <c r="CY24" i="21"/>
  <c r="DA24" i="21"/>
  <c r="DB24" i="21"/>
  <c r="PW24" i="21"/>
  <c r="PX24" i="21"/>
  <c r="PY24" i="21"/>
  <c r="PZ24" i="21"/>
  <c r="QB24" i="21"/>
  <c r="QC24" i="21"/>
  <c r="QE24" i="21"/>
  <c r="QF24" i="21"/>
  <c r="QG24" i="21"/>
  <c r="QH24" i="21"/>
  <c r="QI24" i="21"/>
  <c r="QJ24" i="21"/>
  <c r="QK24" i="21"/>
  <c r="QL24" i="21"/>
  <c r="QM24" i="21"/>
  <c r="QN24" i="21"/>
  <c r="QO24" i="21"/>
  <c r="QP24" i="21"/>
  <c r="QQ24" i="21"/>
  <c r="QR24" i="21"/>
  <c r="QS24" i="21"/>
  <c r="QT24" i="21"/>
  <c r="QU24" i="21"/>
  <c r="QV24" i="21"/>
  <c r="QW24" i="21"/>
  <c r="QX24" i="21"/>
  <c r="A13" i="27" l="1"/>
  <c r="A4" i="27"/>
  <c r="A9" i="26"/>
  <c r="A11" i="26"/>
  <c r="A6" i="26"/>
  <c r="A15" i="26"/>
  <c r="A10" i="26"/>
  <c r="A12" i="26"/>
  <c r="A13" i="26"/>
  <c r="A7" i="26"/>
  <c r="A8" i="26"/>
  <c r="A7" i="27"/>
  <c r="A14" i="27"/>
  <c r="A12" i="27"/>
  <c r="A15" i="27"/>
  <c r="A18" i="27"/>
  <c r="A6" i="27"/>
  <c r="A5" i="27"/>
  <c r="A10" i="27"/>
  <c r="A17" i="27"/>
  <c r="A9" i="27"/>
  <c r="A11" i="27"/>
  <c r="A23" i="27"/>
  <c r="A16" i="27"/>
  <c r="A20" i="27"/>
  <c r="A8" i="27" a="1"/>
  <c r="A8" i="27" s="1"/>
  <c r="A19" i="27"/>
  <c r="A4" i="26"/>
  <c r="A16" i="26" a="1"/>
  <c r="A16" i="26" s="1"/>
  <c r="A14" i="26"/>
  <c r="RE24" i="21"/>
  <c r="QA28" i="19"/>
  <c r="QZ28" i="19"/>
  <c r="DC28" i="19"/>
  <c r="P28" i="19"/>
  <c r="N28" i="19"/>
  <c r="DE28" i="19" s="1"/>
  <c r="RE28" i="19"/>
  <c r="CZ28" i="19"/>
  <c r="RB28" i="19"/>
  <c r="RF28" i="19"/>
  <c r="RA28" i="19"/>
  <c r="L28" i="19"/>
  <c r="J28" i="19"/>
  <c r="RC28" i="19"/>
  <c r="QD28" i="19"/>
  <c r="G28" i="19"/>
  <c r="F28" i="19"/>
  <c r="DC24" i="21"/>
  <c r="P24" i="21"/>
  <c r="QA24" i="21"/>
  <c r="N24" i="21"/>
  <c r="DE24" i="21" s="1"/>
  <c r="RA24" i="21"/>
  <c r="RB24" i="21"/>
  <c r="QZ24" i="21"/>
  <c r="RF24" i="21"/>
  <c r="L24" i="21"/>
  <c r="F24" i="21"/>
  <c r="CZ24" i="21"/>
  <c r="J24" i="21"/>
  <c r="RC24" i="21"/>
  <c r="QD24" i="21"/>
  <c r="G24" i="21"/>
  <c r="Q24" i="21" l="1"/>
  <c r="DF24" i="21"/>
  <c r="M24" i="21"/>
  <c r="DD24" i="21"/>
  <c r="M28" i="19"/>
  <c r="DD28" i="19"/>
  <c r="Q28" i="19"/>
  <c r="DF28" i="19"/>
  <c r="D15" i="11"/>
  <c r="C15" i="11"/>
  <c r="D16" i="11"/>
  <c r="C16" i="11"/>
  <c r="D17" i="11"/>
  <c r="C17" i="11"/>
  <c r="D14" i="11"/>
  <c r="C14" i="11"/>
  <c r="D11" i="11"/>
  <c r="C12" i="11"/>
  <c r="D13" i="11"/>
  <c r="C13" i="11"/>
  <c r="D10" i="11"/>
  <c r="C10" i="11"/>
  <c r="C11" i="11"/>
  <c r="D12" i="11"/>
  <c r="O24" i="21"/>
  <c r="O28" i="19"/>
  <c r="RG28" i="19"/>
  <c r="I28" i="19"/>
  <c r="H28" i="19" s="1"/>
  <c r="RD28" i="19"/>
  <c r="K28" i="19"/>
  <c r="RG24" i="21"/>
  <c r="RD24" i="21"/>
  <c r="I24" i="21"/>
  <c r="H24" i="21" s="1"/>
  <c r="K24" i="21"/>
  <c r="R28" i="19" l="1"/>
  <c r="R24" i="21"/>
  <c r="E24" i="21" l="1"/>
  <c r="S24" i="21"/>
  <c r="T24" i="21"/>
  <c r="T28" i="19"/>
  <c r="S28" i="19"/>
  <c r="E28" i="19"/>
  <c r="CV14" i="19" l="1"/>
  <c r="CW14" i="19"/>
  <c r="CX14" i="19"/>
  <c r="CY14" i="19"/>
  <c r="DA14" i="19"/>
  <c r="DB14" i="19"/>
  <c r="PW14" i="19"/>
  <c r="PX14" i="19"/>
  <c r="PY14" i="19"/>
  <c r="PZ14" i="19"/>
  <c r="QB14" i="19"/>
  <c r="QC14" i="19"/>
  <c r="QE14" i="19"/>
  <c r="QF14" i="19"/>
  <c r="QG14" i="19"/>
  <c r="QH14" i="19"/>
  <c r="QI14" i="19"/>
  <c r="QJ14" i="19"/>
  <c r="QK14" i="19"/>
  <c r="QL14" i="19"/>
  <c r="QM14" i="19"/>
  <c r="QN14" i="19"/>
  <c r="QO14" i="19"/>
  <c r="QP14" i="19"/>
  <c r="QQ14" i="19"/>
  <c r="QR14" i="19"/>
  <c r="QS14" i="19"/>
  <c r="QT14" i="19"/>
  <c r="QU14" i="19"/>
  <c r="QV14" i="19"/>
  <c r="QW14" i="19"/>
  <c r="QX14" i="19"/>
  <c r="CV7" i="19"/>
  <c r="CW7" i="19"/>
  <c r="CX7" i="19"/>
  <c r="CY7" i="19"/>
  <c r="DA7" i="19"/>
  <c r="DB7" i="19"/>
  <c r="PW7" i="19"/>
  <c r="PX7" i="19"/>
  <c r="PY7" i="19"/>
  <c r="PZ7" i="19"/>
  <c r="QB7" i="19"/>
  <c r="QC7" i="19"/>
  <c r="QE7" i="19"/>
  <c r="QF7" i="19"/>
  <c r="QG7" i="19"/>
  <c r="QH7" i="19"/>
  <c r="QI7" i="19"/>
  <c r="QJ7" i="19"/>
  <c r="QK7" i="19"/>
  <c r="QL7" i="19"/>
  <c r="QM7" i="19"/>
  <c r="QN7" i="19"/>
  <c r="QO7" i="19"/>
  <c r="QP7" i="19"/>
  <c r="QQ7" i="19"/>
  <c r="QR7" i="19"/>
  <c r="QS7" i="19"/>
  <c r="QT7" i="19"/>
  <c r="QU7" i="19"/>
  <c r="QV7" i="19"/>
  <c r="QW7" i="19"/>
  <c r="QX7" i="19"/>
  <c r="CV12" i="19"/>
  <c r="CW12" i="19"/>
  <c r="CX12" i="19"/>
  <c r="CY12" i="19"/>
  <c r="DA12" i="19"/>
  <c r="DB12" i="19"/>
  <c r="PW12" i="19"/>
  <c r="PX12" i="19"/>
  <c r="PY12" i="19"/>
  <c r="PZ12" i="19"/>
  <c r="QB12" i="19"/>
  <c r="QC12" i="19"/>
  <c r="QE12" i="19"/>
  <c r="QF12" i="19"/>
  <c r="QG12" i="19"/>
  <c r="QH12" i="19"/>
  <c r="QI12" i="19"/>
  <c r="QJ12" i="19"/>
  <c r="QK12" i="19"/>
  <c r="QL12" i="19"/>
  <c r="QM12" i="19"/>
  <c r="QN12" i="19"/>
  <c r="QO12" i="19"/>
  <c r="QP12" i="19"/>
  <c r="QQ12" i="19"/>
  <c r="QR12" i="19"/>
  <c r="QS12" i="19"/>
  <c r="QT12" i="19"/>
  <c r="QU12" i="19"/>
  <c r="QV12" i="19"/>
  <c r="QW12" i="19"/>
  <c r="QX12" i="19"/>
  <c r="CV15" i="19"/>
  <c r="CW15" i="19"/>
  <c r="CX15" i="19"/>
  <c r="CY15" i="19"/>
  <c r="DA15" i="19"/>
  <c r="DB15" i="19"/>
  <c r="PW15" i="19"/>
  <c r="PX15" i="19"/>
  <c r="PY15" i="19"/>
  <c r="PZ15" i="19"/>
  <c r="QB15" i="19"/>
  <c r="QC15" i="19"/>
  <c r="QE15" i="19"/>
  <c r="QF15" i="19"/>
  <c r="QG15" i="19"/>
  <c r="QH15" i="19"/>
  <c r="QI15" i="19"/>
  <c r="QJ15" i="19"/>
  <c r="QK15" i="19"/>
  <c r="QL15" i="19"/>
  <c r="QM15" i="19"/>
  <c r="QN15" i="19"/>
  <c r="QO15" i="19"/>
  <c r="QP15" i="19"/>
  <c r="QQ15" i="19"/>
  <c r="QR15" i="19"/>
  <c r="QS15" i="19"/>
  <c r="QT15" i="19"/>
  <c r="QU15" i="19"/>
  <c r="QV15" i="19"/>
  <c r="QW15" i="19"/>
  <c r="QX15" i="19"/>
  <c r="DC14" i="19" l="1"/>
  <c r="CZ7" i="19"/>
  <c r="RE14" i="19"/>
  <c r="QZ14" i="19"/>
  <c r="P14" i="19"/>
  <c r="QA14" i="19"/>
  <c r="CZ14" i="19"/>
  <c r="N14" i="19"/>
  <c r="DE14" i="19" s="1"/>
  <c r="RB14" i="19"/>
  <c r="RA14" i="19"/>
  <c r="RF14" i="19"/>
  <c r="L14" i="19"/>
  <c r="F14" i="19"/>
  <c r="J14" i="19"/>
  <c r="RC14" i="19"/>
  <c r="QD14" i="19"/>
  <c r="G14" i="19"/>
  <c r="QZ7" i="19"/>
  <c r="DC15" i="19"/>
  <c r="RE12" i="19"/>
  <c r="QA7" i="19"/>
  <c r="RB7" i="19"/>
  <c r="RA7" i="19"/>
  <c r="P7" i="19"/>
  <c r="DF7" i="19" s="1"/>
  <c r="RF7" i="19"/>
  <c r="N7" i="19"/>
  <c r="DE7" i="19" s="1"/>
  <c r="RE7" i="19"/>
  <c r="F7" i="19"/>
  <c r="L7" i="19"/>
  <c r="DD7" i="19" s="1"/>
  <c r="J7" i="19"/>
  <c r="RC7" i="19"/>
  <c r="QD7" i="19"/>
  <c r="G7" i="19"/>
  <c r="DC7" i="19"/>
  <c r="DC12" i="19"/>
  <c r="QZ12" i="19"/>
  <c r="QA12" i="19"/>
  <c r="P12" i="19"/>
  <c r="DF12" i="19" s="1"/>
  <c r="N12" i="19"/>
  <c r="DE12" i="19" s="1"/>
  <c r="CZ12" i="19"/>
  <c r="RA12" i="19"/>
  <c r="RB12" i="19"/>
  <c r="RF12" i="19"/>
  <c r="L12" i="19"/>
  <c r="DD12" i="19" s="1"/>
  <c r="F12" i="19"/>
  <c r="J12" i="19"/>
  <c r="K12" i="19" s="1"/>
  <c r="QD12" i="19"/>
  <c r="G12" i="19"/>
  <c r="RC12" i="19"/>
  <c r="RE15" i="19"/>
  <c r="QA15" i="19"/>
  <c r="RA15" i="19"/>
  <c r="N15" i="19"/>
  <c r="DE15" i="19" s="1"/>
  <c r="CZ15" i="19"/>
  <c r="QZ15" i="19"/>
  <c r="P15" i="19"/>
  <c r="DF15" i="19" s="1"/>
  <c r="RB15" i="19"/>
  <c r="RF15" i="19"/>
  <c r="L15" i="19"/>
  <c r="DD15" i="19" s="1"/>
  <c r="F15" i="19"/>
  <c r="J15" i="19"/>
  <c r="RC15" i="19"/>
  <c r="QD15" i="19"/>
  <c r="G15" i="19"/>
  <c r="Q14" i="19" l="1"/>
  <c r="DF14" i="19"/>
  <c r="M14" i="19"/>
  <c r="DD14" i="19"/>
  <c r="O7" i="19"/>
  <c r="O14" i="19"/>
  <c r="O15" i="19"/>
  <c r="R15" i="19"/>
  <c r="O12" i="19"/>
  <c r="R12" i="19"/>
  <c r="RD7" i="19"/>
  <c r="I7" i="19"/>
  <c r="H7" i="19" s="1"/>
  <c r="I14" i="19"/>
  <c r="H14" i="19" s="1"/>
  <c r="RG7" i="19"/>
  <c r="Q12" i="19"/>
  <c r="RG12" i="19"/>
  <c r="RG14" i="19"/>
  <c r="RD15" i="19"/>
  <c r="RD14" i="19"/>
  <c r="K14" i="19"/>
  <c r="Q7" i="19"/>
  <c r="M7" i="19"/>
  <c r="R7" i="19"/>
  <c r="K7" i="19"/>
  <c r="Q15" i="19"/>
  <c r="I12" i="19"/>
  <c r="H12" i="19" s="1"/>
  <c r="RD12" i="19"/>
  <c r="RG15" i="19"/>
  <c r="M12" i="19"/>
  <c r="I15" i="19"/>
  <c r="H15" i="19" s="1"/>
  <c r="M15" i="19"/>
  <c r="K15" i="19"/>
  <c r="T7" i="19" l="1"/>
  <c r="S7" i="19"/>
  <c r="S15" i="19"/>
  <c r="T15" i="19"/>
  <c r="T12" i="19"/>
  <c r="S12" i="19"/>
  <c r="R14" i="19"/>
  <c r="E7" i="19"/>
  <c r="E12" i="19"/>
  <c r="E15" i="19"/>
  <c r="T14" i="19" l="1"/>
  <c r="S14" i="19"/>
  <c r="E14" i="19"/>
  <c r="CO30" i="4"/>
  <c r="CP30" i="4"/>
  <c r="CQ30" i="4"/>
  <c r="CR30" i="4"/>
  <c r="CS30" i="4"/>
  <c r="CT30" i="4"/>
  <c r="CV30" i="4"/>
  <c r="CW30" i="4"/>
  <c r="CX30" i="4"/>
  <c r="SF30" i="4"/>
  <c r="SG30" i="4"/>
  <c r="SH30" i="4"/>
  <c r="SI30" i="4"/>
  <c r="SJ30" i="4"/>
  <c r="SK30" i="4"/>
  <c r="SM30" i="4"/>
  <c r="SN30" i="4"/>
  <c r="SO30" i="4"/>
  <c r="SP30" i="4"/>
  <c r="SQ30" i="4"/>
  <c r="SR30" i="4"/>
  <c r="ST30" i="4"/>
  <c r="SU30" i="4"/>
  <c r="SV30" i="4"/>
  <c r="TJ30" i="4" s="1"/>
  <c r="SW30" i="4"/>
  <c r="TK30" i="4" s="1"/>
  <c r="SX30" i="4"/>
  <c r="SY30" i="4"/>
  <c r="SZ30" i="4"/>
  <c r="TA30" i="4"/>
  <c r="TM30" i="4" s="1"/>
  <c r="TB30" i="4"/>
  <c r="TN30" i="4" s="1"/>
  <c r="TC30" i="4"/>
  <c r="TD30" i="4"/>
  <c r="TE30" i="4"/>
  <c r="TF30" i="4"/>
  <c r="TQ30" i="4" s="1"/>
  <c r="TG30" i="4"/>
  <c r="TR30" i="4" s="1"/>
  <c r="TH30" i="4"/>
  <c r="R30" i="4" l="1"/>
  <c r="S30" i="4" s="1"/>
  <c r="N30" i="4"/>
  <c r="CU30" i="4"/>
  <c r="CY30" i="4" s="1"/>
  <c r="SL30" i="4"/>
  <c r="SS30" i="4" s="1"/>
  <c r="TL30" i="4"/>
  <c r="L30" i="4"/>
  <c r="CZ30" i="4" s="1"/>
  <c r="TS30" i="4"/>
  <c r="TO30" i="4"/>
  <c r="P30" i="4"/>
  <c r="Q30" i="4" s="1"/>
  <c r="J30" i="4"/>
  <c r="I30" i="4"/>
  <c r="G30" i="4"/>
  <c r="F30" i="4"/>
  <c r="K30" i="4" l="1"/>
  <c r="M30" i="4"/>
  <c r="DA30" i="4"/>
  <c r="O30" i="4"/>
  <c r="TP30" i="4"/>
  <c r="TT30" i="4" s="1"/>
  <c r="H30" i="4"/>
  <c r="T30" i="4" l="1"/>
  <c r="E30" i="4" s="1"/>
  <c r="A30" i="4" a="1"/>
  <c r="A30" i="4" s="1"/>
  <c r="V30" i="4" l="1"/>
  <c r="U30" i="4"/>
  <c r="CO28" i="4" l="1"/>
  <c r="CP28" i="4"/>
  <c r="CQ28" i="4"/>
  <c r="CR28" i="4"/>
  <c r="CS28" i="4"/>
  <c r="CT28" i="4"/>
  <c r="CV28" i="4"/>
  <c r="CW28" i="4"/>
  <c r="CX28" i="4"/>
  <c r="SF28" i="4"/>
  <c r="SG28" i="4"/>
  <c r="SH28" i="4"/>
  <c r="SI28" i="4"/>
  <c r="SJ28" i="4"/>
  <c r="SK28" i="4"/>
  <c r="SM28" i="4"/>
  <c r="SN28" i="4"/>
  <c r="SO28" i="4"/>
  <c r="SP28" i="4"/>
  <c r="SQ28" i="4"/>
  <c r="SR28" i="4"/>
  <c r="ST28" i="4"/>
  <c r="SU28" i="4"/>
  <c r="SV28" i="4"/>
  <c r="TJ28" i="4" s="1"/>
  <c r="SW28" i="4"/>
  <c r="TK28" i="4" s="1"/>
  <c r="SX28" i="4"/>
  <c r="SY28" i="4"/>
  <c r="SZ28" i="4"/>
  <c r="TA28" i="4"/>
  <c r="TM28" i="4" s="1"/>
  <c r="TB28" i="4"/>
  <c r="TN28" i="4" s="1"/>
  <c r="TC28" i="4"/>
  <c r="TD28" i="4"/>
  <c r="TE28" i="4"/>
  <c r="TF28" i="4"/>
  <c r="TQ28" i="4" s="1"/>
  <c r="TG28" i="4"/>
  <c r="TR28" i="4" s="1"/>
  <c r="TH28" i="4"/>
  <c r="R28" i="4" l="1"/>
  <c r="S28" i="4" s="1"/>
  <c r="N28" i="4"/>
  <c r="CU28" i="4"/>
  <c r="CY28" i="4" s="1"/>
  <c r="SL28" i="4"/>
  <c r="SS28" i="4" s="1"/>
  <c r="J28" i="4"/>
  <c r="TL28" i="4"/>
  <c r="P28" i="4"/>
  <c r="Q28" i="4" s="1"/>
  <c r="TO28" i="4"/>
  <c r="TS28" i="4"/>
  <c r="L28" i="4"/>
  <c r="G28" i="4"/>
  <c r="I28" i="4"/>
  <c r="F28" i="4"/>
  <c r="CV13" i="21"/>
  <c r="CW13" i="21"/>
  <c r="CX13" i="21"/>
  <c r="CY13" i="21"/>
  <c r="DA13" i="21"/>
  <c r="DB13" i="21"/>
  <c r="PW13" i="21"/>
  <c r="PX13" i="21"/>
  <c r="PY13" i="21"/>
  <c r="PZ13" i="21"/>
  <c r="QB13" i="21"/>
  <c r="QC13" i="21"/>
  <c r="QE13" i="21"/>
  <c r="QF13" i="21"/>
  <c r="QG13" i="21"/>
  <c r="QH13" i="21"/>
  <c r="QI13" i="21"/>
  <c r="QJ13" i="21"/>
  <c r="QK13" i="21"/>
  <c r="QL13" i="21"/>
  <c r="QM13" i="21"/>
  <c r="QN13" i="21"/>
  <c r="QO13" i="21"/>
  <c r="QP13" i="21"/>
  <c r="QQ13" i="21"/>
  <c r="QR13" i="21"/>
  <c r="QS13" i="21"/>
  <c r="QT13" i="21"/>
  <c r="QU13" i="21"/>
  <c r="QV13" i="21"/>
  <c r="QW13" i="21"/>
  <c r="QX13" i="21"/>
  <c r="CV23" i="19"/>
  <c r="CW23" i="19"/>
  <c r="CX23" i="19"/>
  <c r="CY23" i="19"/>
  <c r="DA23" i="19"/>
  <c r="DB23" i="19"/>
  <c r="PW23" i="19"/>
  <c r="PX23" i="19"/>
  <c r="PY23" i="19"/>
  <c r="PZ23" i="19"/>
  <c r="QB23" i="19"/>
  <c r="QC23" i="19"/>
  <c r="QE23" i="19"/>
  <c r="QF23" i="19"/>
  <c r="QG23" i="19"/>
  <c r="QH23" i="19"/>
  <c r="QI23" i="19"/>
  <c r="QJ23" i="19"/>
  <c r="QK23" i="19"/>
  <c r="QL23" i="19"/>
  <c r="QM23" i="19"/>
  <c r="QN23" i="19"/>
  <c r="QO23" i="19"/>
  <c r="QP23" i="19"/>
  <c r="QQ23" i="19"/>
  <c r="QR23" i="19"/>
  <c r="QS23" i="19"/>
  <c r="QT23" i="19"/>
  <c r="QU23" i="19"/>
  <c r="QV23" i="19"/>
  <c r="QW23" i="19"/>
  <c r="QX23" i="19"/>
  <c r="K28" i="4" l="1"/>
  <c r="CZ28" i="4"/>
  <c r="M28" i="4"/>
  <c r="DA28" i="4"/>
  <c r="O28" i="4"/>
  <c r="TP28" i="4"/>
  <c r="TT28" i="4" s="1"/>
  <c r="H28" i="4"/>
  <c r="DC13" i="21"/>
  <c r="P13" i="21"/>
  <c r="DF13" i="21" s="1"/>
  <c r="DC23" i="19"/>
  <c r="QA23" i="19"/>
  <c r="RE13" i="21"/>
  <c r="QZ13" i="21"/>
  <c r="QA13" i="21"/>
  <c r="CZ13" i="21"/>
  <c r="RB13" i="21"/>
  <c r="RA13" i="21"/>
  <c r="N13" i="21"/>
  <c r="DE13" i="21" s="1"/>
  <c r="RF13" i="21"/>
  <c r="L13" i="21"/>
  <c r="F13" i="21"/>
  <c r="J13" i="21"/>
  <c r="QD13" i="21"/>
  <c r="G13" i="21"/>
  <c r="RC13" i="21"/>
  <c r="QZ23" i="19"/>
  <c r="RE23" i="19"/>
  <c r="P23" i="19"/>
  <c r="CZ23" i="19"/>
  <c r="RB23" i="19"/>
  <c r="RA23" i="19"/>
  <c r="RF23" i="19"/>
  <c r="N23" i="19"/>
  <c r="DE23" i="19" s="1"/>
  <c r="L23" i="19"/>
  <c r="J23" i="19"/>
  <c r="K23" i="19" s="1"/>
  <c r="QD23" i="19"/>
  <c r="RC23" i="19"/>
  <c r="G23" i="19"/>
  <c r="F23" i="19"/>
  <c r="M13" i="21" l="1"/>
  <c r="DD13" i="21"/>
  <c r="Q23" i="19"/>
  <c r="DF23" i="19"/>
  <c r="M23" i="19"/>
  <c r="DD23" i="19"/>
  <c r="K13" i="21"/>
  <c r="O13" i="21"/>
  <c r="O23" i="19"/>
  <c r="RD23" i="19"/>
  <c r="T28" i="4"/>
  <c r="E28" i="4" s="1"/>
  <c r="RG13" i="21"/>
  <c r="I13" i="21"/>
  <c r="H13" i="21" s="1"/>
  <c r="Q13" i="21"/>
  <c r="RD13" i="21"/>
  <c r="RG23" i="19"/>
  <c r="I23" i="19"/>
  <c r="H23" i="19" s="1"/>
  <c r="V28" i="4" l="1"/>
  <c r="U28" i="4"/>
  <c r="R13" i="21"/>
  <c r="R23" i="19"/>
  <c r="S13" i="21" l="1"/>
  <c r="T13" i="21"/>
  <c r="T23" i="19"/>
  <c r="S23" i="19"/>
  <c r="E13" i="21"/>
  <c r="E23" i="19"/>
  <c r="TH5" i="22" l="1"/>
  <c r="TG5" i="22"/>
  <c r="TR5" i="22" s="1"/>
  <c r="TF5" i="22"/>
  <c r="TQ5" i="22" s="1"/>
  <c r="TE5" i="22"/>
  <c r="TD5" i="22"/>
  <c r="TC5" i="22"/>
  <c r="TB5" i="22"/>
  <c r="TN5" i="22" s="1"/>
  <c r="TA5" i="22"/>
  <c r="TM5" i="22" s="1"/>
  <c r="SZ5" i="22"/>
  <c r="SY5" i="22"/>
  <c r="SX5" i="22"/>
  <c r="SW5" i="22"/>
  <c r="TK5" i="22" s="1"/>
  <c r="SV5" i="22"/>
  <c r="TJ5" i="22" s="1"/>
  <c r="SU5" i="22"/>
  <c r="ST5" i="22"/>
  <c r="SR5" i="22"/>
  <c r="SQ5" i="22"/>
  <c r="SP5" i="22"/>
  <c r="SO5" i="22"/>
  <c r="SN5" i="22"/>
  <c r="SM5" i="22"/>
  <c r="SK5" i="22"/>
  <c r="SJ5" i="22"/>
  <c r="SI5" i="22"/>
  <c r="SH5" i="22"/>
  <c r="SG5" i="22"/>
  <c r="SF5" i="22"/>
  <c r="CX5" i="22"/>
  <c r="CW5" i="22"/>
  <c r="CV5" i="22"/>
  <c r="CT5" i="22"/>
  <c r="CS5" i="22"/>
  <c r="CR5" i="22"/>
  <c r="CQ5" i="22"/>
  <c r="CP5" i="22"/>
  <c r="CO5" i="22"/>
  <c r="CV29" i="19"/>
  <c r="CW29" i="19"/>
  <c r="CX29" i="19"/>
  <c r="CY29" i="19"/>
  <c r="DA29" i="19"/>
  <c r="DB29" i="19"/>
  <c r="PW29" i="19"/>
  <c r="PX29" i="19"/>
  <c r="PY29" i="19"/>
  <c r="PZ29" i="19"/>
  <c r="QB29" i="19"/>
  <c r="QC29" i="19"/>
  <c r="QE29" i="19"/>
  <c r="QF29" i="19"/>
  <c r="QG29" i="19"/>
  <c r="QH29" i="19"/>
  <c r="QI29" i="19"/>
  <c r="QJ29" i="19"/>
  <c r="QK29" i="19"/>
  <c r="QL29" i="19"/>
  <c r="QM29" i="19"/>
  <c r="QN29" i="19"/>
  <c r="QO29" i="19"/>
  <c r="QP29" i="19"/>
  <c r="QQ29" i="19"/>
  <c r="QR29" i="19"/>
  <c r="QS29" i="19"/>
  <c r="QT29" i="19"/>
  <c r="QU29" i="19"/>
  <c r="QV29" i="19"/>
  <c r="QW29" i="19"/>
  <c r="QX29" i="19"/>
  <c r="R5" i="22" l="1"/>
  <c r="S5" i="22" s="1"/>
  <c r="P5" i="22"/>
  <c r="Q5" i="22" s="1"/>
  <c r="N5" i="22"/>
  <c r="CU5" i="22"/>
  <c r="CY5" i="22" s="1"/>
  <c r="SL5" i="22"/>
  <c r="SS5" i="22" s="1"/>
  <c r="TO5" i="22"/>
  <c r="TS5" i="22"/>
  <c r="J5" i="22"/>
  <c r="TL5" i="22"/>
  <c r="F5" i="22"/>
  <c r="I5" i="22"/>
  <c r="L5" i="22"/>
  <c r="G5" i="22"/>
  <c r="QA29" i="19"/>
  <c r="CZ29" i="19"/>
  <c r="P29" i="19"/>
  <c r="DF29" i="19" s="1"/>
  <c r="RB29" i="19"/>
  <c r="RF29" i="19"/>
  <c r="RE29" i="19"/>
  <c r="N29" i="19"/>
  <c r="DE29" i="19" s="1"/>
  <c r="L29" i="19"/>
  <c r="DD29" i="19" s="1"/>
  <c r="RA29" i="19"/>
  <c r="DC29" i="19"/>
  <c r="QZ29" i="19"/>
  <c r="J29" i="19"/>
  <c r="K29" i="19" s="1"/>
  <c r="F29" i="19"/>
  <c r="RC29" i="19"/>
  <c r="QD29" i="19"/>
  <c r="G29" i="19"/>
  <c r="K5" i="22" l="1"/>
  <c r="CZ5" i="22"/>
  <c r="O5" i="22"/>
  <c r="DA5" i="22"/>
  <c r="O29" i="19"/>
  <c r="TP5" i="22"/>
  <c r="TT5" i="22" s="1"/>
  <c r="H5" i="22"/>
  <c r="M5" i="22"/>
  <c r="Q29" i="19"/>
  <c r="M29" i="19"/>
  <c r="RD29" i="19"/>
  <c r="I29" i="19"/>
  <c r="H29" i="19" s="1"/>
  <c r="RG29" i="19"/>
  <c r="T5" i="22" l="1"/>
  <c r="E5" i="22" s="1"/>
  <c r="R29" i="19"/>
  <c r="A6" i="22" l="1" a="1"/>
  <c r="A6" i="22" s="1"/>
  <c r="A7" i="22" a="1"/>
  <c r="A7" i="22" s="1"/>
  <c r="U5" i="22"/>
  <c r="V5" i="22"/>
  <c r="S29" i="19"/>
  <c r="T29" i="19"/>
  <c r="A20" i="22" a="1"/>
  <c r="A20" i="22" s="1"/>
  <c r="A8" i="22" a="1"/>
  <c r="A8" i="22" s="1"/>
  <c r="A13" i="22" a="1"/>
  <c r="A13" i="22" s="1"/>
  <c r="A16" i="22" a="1"/>
  <c r="A16" i="22" s="1"/>
  <c r="A22" i="22" a="1"/>
  <c r="A22" i="22" s="1"/>
  <c r="A28" i="22" a="1"/>
  <c r="A28" i="22" s="1"/>
  <c r="A12" i="22" a="1"/>
  <c r="A12" i="22" s="1"/>
  <c r="A25" i="22" a="1"/>
  <c r="A25" i="22" s="1"/>
  <c r="A15" i="22" a="1"/>
  <c r="A15" i="22" s="1"/>
  <c r="A11" i="22" a="1"/>
  <c r="A11" i="22" s="1"/>
  <c r="A14" i="22" a="1"/>
  <c r="A14" i="22" s="1"/>
  <c r="A10" i="22" a="1"/>
  <c r="A10" i="22" s="1"/>
  <c r="A17" i="22" a="1"/>
  <c r="A17" i="22" s="1"/>
  <c r="A30" i="22" a="1"/>
  <c r="A30" i="22" s="1"/>
  <c r="A21" i="22" a="1"/>
  <c r="A21" i="22" s="1"/>
  <c r="A19" i="22" a="1"/>
  <c r="A19" i="22" s="1"/>
  <c r="A31" i="22" a="1"/>
  <c r="A31" i="22" s="1"/>
  <c r="A26" i="22" a="1"/>
  <c r="A26" i="22" s="1"/>
  <c r="A4" i="22" a="1"/>
  <c r="A4" i="22" s="1"/>
  <c r="A27" i="22" a="1"/>
  <c r="A27" i="22" s="1"/>
  <c r="A9" i="22" a="1"/>
  <c r="A9" i="22" s="1"/>
  <c r="A29" i="22" a="1"/>
  <c r="A29" i="22" s="1"/>
  <c r="E29" i="19"/>
  <c r="CV27" i="19"/>
  <c r="CW27" i="19"/>
  <c r="CX27" i="19"/>
  <c r="CY27" i="19"/>
  <c r="DA27" i="19"/>
  <c r="DB27" i="19"/>
  <c r="PW27" i="19"/>
  <c r="PX27" i="19"/>
  <c r="PY27" i="19"/>
  <c r="PZ27" i="19"/>
  <c r="QB27" i="19"/>
  <c r="QC27" i="19"/>
  <c r="QE27" i="19"/>
  <c r="QF27" i="19"/>
  <c r="QG27" i="19"/>
  <c r="QH27" i="19"/>
  <c r="QI27" i="19"/>
  <c r="QJ27" i="19"/>
  <c r="QK27" i="19"/>
  <c r="QL27" i="19"/>
  <c r="QM27" i="19"/>
  <c r="QN27" i="19"/>
  <c r="QO27" i="19"/>
  <c r="QP27" i="19"/>
  <c r="QQ27" i="19"/>
  <c r="QR27" i="19"/>
  <c r="QS27" i="19"/>
  <c r="QT27" i="19"/>
  <c r="QU27" i="19"/>
  <c r="QV27" i="19"/>
  <c r="QW27" i="19"/>
  <c r="QX27" i="19"/>
  <c r="A5" i="22" l="1" a="1"/>
  <c r="A5" i="22" s="1"/>
  <c r="DC27" i="19"/>
  <c r="QA27" i="19"/>
  <c r="N27" i="19"/>
  <c r="DE27" i="19" s="1"/>
  <c r="RE27" i="19"/>
  <c r="CZ27" i="19"/>
  <c r="L27" i="19"/>
  <c r="DD27" i="19" s="1"/>
  <c r="RF27" i="19"/>
  <c r="RB27" i="19"/>
  <c r="RA27" i="19"/>
  <c r="QZ27" i="19"/>
  <c r="P27" i="19"/>
  <c r="DF27" i="19" s="1"/>
  <c r="F27" i="19"/>
  <c r="J27" i="19"/>
  <c r="K27" i="19" s="1"/>
  <c r="RC27" i="19"/>
  <c r="QD27" i="19"/>
  <c r="G27" i="19"/>
  <c r="O27" i="19" l="1"/>
  <c r="D6" i="11"/>
  <c r="C6" i="11"/>
  <c r="D7" i="11"/>
  <c r="C7" i="11"/>
  <c r="D8" i="11"/>
  <c r="C8" i="11"/>
  <c r="D9" i="11"/>
  <c r="C9" i="11"/>
  <c r="M27" i="19"/>
  <c r="Q27" i="19"/>
  <c r="I27" i="19"/>
  <c r="H27" i="19" s="1"/>
  <c r="RG27" i="19"/>
  <c r="RD27" i="19"/>
  <c r="A27" i="19"/>
  <c r="R27" i="19" l="1"/>
  <c r="S27" i="19" l="1"/>
  <c r="T27" i="19"/>
  <c r="E27" i="19"/>
  <c r="CO26" i="4"/>
  <c r="CP26" i="4"/>
  <c r="CQ26" i="4"/>
  <c r="CR26" i="4"/>
  <c r="CS26" i="4"/>
  <c r="CT26" i="4"/>
  <c r="CV26" i="4"/>
  <c r="CW26" i="4"/>
  <c r="CX26" i="4"/>
  <c r="SF26" i="4"/>
  <c r="SG26" i="4"/>
  <c r="SH26" i="4"/>
  <c r="SI26" i="4"/>
  <c r="SJ26" i="4"/>
  <c r="SK26" i="4"/>
  <c r="SM26" i="4"/>
  <c r="SN26" i="4"/>
  <c r="SO26" i="4"/>
  <c r="SP26" i="4"/>
  <c r="SQ26" i="4"/>
  <c r="SR26" i="4"/>
  <c r="ST26" i="4"/>
  <c r="SU26" i="4"/>
  <c r="SV26" i="4"/>
  <c r="TJ26" i="4" s="1"/>
  <c r="SW26" i="4"/>
  <c r="TK26" i="4" s="1"/>
  <c r="SX26" i="4"/>
  <c r="SY26" i="4"/>
  <c r="SZ26" i="4"/>
  <c r="TA26" i="4"/>
  <c r="TM26" i="4" s="1"/>
  <c r="TB26" i="4"/>
  <c r="TN26" i="4" s="1"/>
  <c r="TC26" i="4"/>
  <c r="TD26" i="4"/>
  <c r="TE26" i="4"/>
  <c r="TF26" i="4"/>
  <c r="TQ26" i="4" s="1"/>
  <c r="TG26" i="4"/>
  <c r="TR26" i="4" s="1"/>
  <c r="TH26" i="4"/>
  <c r="R26" i="4" l="1"/>
  <c r="S26" i="4" s="1"/>
  <c r="N26" i="4"/>
  <c r="P26" i="4"/>
  <c r="Q26" i="4" s="1"/>
  <c r="SL26" i="4"/>
  <c r="SS26" i="4" s="1"/>
  <c r="CU26" i="4"/>
  <c r="CY26" i="4" s="1"/>
  <c r="TO26" i="4"/>
  <c r="TS26" i="4"/>
  <c r="L26" i="4"/>
  <c r="F26" i="4"/>
  <c r="J26" i="4"/>
  <c r="I26" i="4"/>
  <c r="TL26" i="4"/>
  <c r="G26" i="4"/>
  <c r="CZ26" i="4" l="1"/>
  <c r="DA26" i="4"/>
  <c r="O26" i="4"/>
  <c r="M26" i="4"/>
  <c r="TP26" i="4"/>
  <c r="TT26" i="4" s="1"/>
  <c r="H26" i="4"/>
  <c r="K26" i="4"/>
  <c r="A26" i="4" a="1"/>
  <c r="A26" i="4" s="1"/>
  <c r="T26" i="4" l="1"/>
  <c r="V26" i="4" s="1"/>
  <c r="E26" i="4" l="1"/>
  <c r="U26" i="4"/>
  <c r="QX25" i="21"/>
  <c r="QW25" i="21"/>
  <c r="QV25" i="21"/>
  <c r="QU25" i="21"/>
  <c r="QT25" i="21"/>
  <c r="QS25" i="21"/>
  <c r="QR25" i="21"/>
  <c r="QQ25" i="21"/>
  <c r="QP25" i="21"/>
  <c r="QO25" i="21"/>
  <c r="QN25" i="21"/>
  <c r="QM25" i="21"/>
  <c r="QL25" i="21"/>
  <c r="QK25" i="21"/>
  <c r="QJ25" i="21"/>
  <c r="QI25" i="21"/>
  <c r="QH25" i="21"/>
  <c r="QG25" i="21"/>
  <c r="QF25" i="21"/>
  <c r="QE25" i="21"/>
  <c r="QC25" i="21"/>
  <c r="QB25" i="21"/>
  <c r="PZ25" i="21"/>
  <c r="PY25" i="21"/>
  <c r="PX25" i="21"/>
  <c r="PW25" i="21"/>
  <c r="DB25" i="21"/>
  <c r="DA25" i="21"/>
  <c r="CY25" i="21"/>
  <c r="CX25" i="21"/>
  <c r="CW25" i="21"/>
  <c r="CV25" i="21"/>
  <c r="QX18" i="21"/>
  <c r="QW18" i="21"/>
  <c r="QV18" i="21"/>
  <c r="QU18" i="21"/>
  <c r="QT18" i="21"/>
  <c r="QS18" i="21"/>
  <c r="QR18" i="21"/>
  <c r="QQ18" i="21"/>
  <c r="QP18" i="21"/>
  <c r="QO18" i="21"/>
  <c r="QN18" i="21"/>
  <c r="QM18" i="21"/>
  <c r="QL18" i="21"/>
  <c r="QK18" i="21"/>
  <c r="QJ18" i="21"/>
  <c r="QI18" i="21"/>
  <c r="QH18" i="21"/>
  <c r="QG18" i="21"/>
  <c r="QF18" i="21"/>
  <c r="QE18" i="21"/>
  <c r="QC18" i="21"/>
  <c r="QB18" i="21"/>
  <c r="PZ18" i="21"/>
  <c r="PY18" i="21"/>
  <c r="PX18" i="21"/>
  <c r="PW18" i="21"/>
  <c r="DB18" i="21"/>
  <c r="DA18" i="21"/>
  <c r="CY18" i="21"/>
  <c r="CX18" i="21"/>
  <c r="CW18" i="21"/>
  <c r="CV18" i="21"/>
  <c r="QX22" i="21"/>
  <c r="QW22" i="21"/>
  <c r="QV22" i="21"/>
  <c r="QU22" i="21"/>
  <c r="QT22" i="21"/>
  <c r="QS22" i="21"/>
  <c r="QR22" i="21"/>
  <c r="QQ22" i="21"/>
  <c r="QP22" i="21"/>
  <c r="QO22" i="21"/>
  <c r="QN22" i="21"/>
  <c r="QM22" i="21"/>
  <c r="QL22" i="21"/>
  <c r="QK22" i="21"/>
  <c r="QJ22" i="21"/>
  <c r="QI22" i="21"/>
  <c r="QH22" i="21"/>
  <c r="QG22" i="21"/>
  <c r="QF22" i="21"/>
  <c r="QE22" i="21"/>
  <c r="QC22" i="21"/>
  <c r="QB22" i="21"/>
  <c r="PZ22" i="21"/>
  <c r="PY22" i="21"/>
  <c r="PX22" i="21"/>
  <c r="PW22" i="21"/>
  <c r="DB22" i="21"/>
  <c r="DA22" i="21"/>
  <c r="CY22" i="21"/>
  <c r="CX22" i="21"/>
  <c r="CW22" i="21"/>
  <c r="CV22" i="21"/>
  <c r="QX23" i="21"/>
  <c r="QW23" i="21"/>
  <c r="QV23" i="21"/>
  <c r="QU23" i="21"/>
  <c r="QT23" i="21"/>
  <c r="QS23" i="21"/>
  <c r="QR23" i="21"/>
  <c r="QQ23" i="21"/>
  <c r="QP23" i="21"/>
  <c r="QO23" i="21"/>
  <c r="QN23" i="21"/>
  <c r="QM23" i="21"/>
  <c r="QL23" i="21"/>
  <c r="QK23" i="21"/>
  <c r="QJ23" i="21"/>
  <c r="QI23" i="21"/>
  <c r="QH23" i="21"/>
  <c r="QG23" i="21"/>
  <c r="QF23" i="21"/>
  <c r="QE23" i="21"/>
  <c r="QC23" i="21"/>
  <c r="QB23" i="21"/>
  <c r="PZ23" i="21"/>
  <c r="PY23" i="21"/>
  <c r="PX23" i="21"/>
  <c r="PW23" i="21"/>
  <c r="DB23" i="21"/>
  <c r="DA23" i="21"/>
  <c r="CY23" i="21"/>
  <c r="CX23" i="21"/>
  <c r="CW23" i="21"/>
  <c r="CV23" i="21"/>
  <c r="QX17" i="21"/>
  <c r="QW17" i="21"/>
  <c r="QV17" i="21"/>
  <c r="QU17" i="21"/>
  <c r="QT17" i="21"/>
  <c r="QS17" i="21"/>
  <c r="QR17" i="21"/>
  <c r="QQ17" i="21"/>
  <c r="QP17" i="21"/>
  <c r="QO17" i="21"/>
  <c r="QN17" i="21"/>
  <c r="QM17" i="21"/>
  <c r="QL17" i="21"/>
  <c r="QK17" i="21"/>
  <c r="QJ17" i="21"/>
  <c r="QI17" i="21"/>
  <c r="QH17" i="21"/>
  <c r="QG17" i="21"/>
  <c r="QF17" i="21"/>
  <c r="QE17" i="21"/>
  <c r="QC17" i="21"/>
  <c r="QB17" i="21"/>
  <c r="PZ17" i="21"/>
  <c r="PY17" i="21"/>
  <c r="PX17" i="21"/>
  <c r="PW17" i="21"/>
  <c r="DB17" i="21"/>
  <c r="DA17" i="21"/>
  <c r="CY17" i="21"/>
  <c r="CX17" i="21"/>
  <c r="CW17" i="21"/>
  <c r="CV17" i="21"/>
  <c r="PZ25" i="19"/>
  <c r="PZ32" i="19"/>
  <c r="PZ20" i="19"/>
  <c r="PZ16" i="19"/>
  <c r="PZ8" i="19"/>
  <c r="PZ35" i="19"/>
  <c r="PZ22" i="19"/>
  <c r="PZ33" i="19"/>
  <c r="PZ6" i="19"/>
  <c r="PZ9" i="19"/>
  <c r="PZ4" i="19"/>
  <c r="PZ5" i="19"/>
  <c r="CY25" i="19"/>
  <c r="CY32" i="19"/>
  <c r="CY20" i="19"/>
  <c r="CY16" i="19"/>
  <c r="CY8" i="19"/>
  <c r="CY35" i="19"/>
  <c r="CY22" i="19"/>
  <c r="CY33" i="19"/>
  <c r="CY6" i="19"/>
  <c r="CY9" i="19"/>
  <c r="CY4" i="19"/>
  <c r="CY5" i="19"/>
  <c r="PY4" i="19"/>
  <c r="PY9" i="19"/>
  <c r="PY6" i="19"/>
  <c r="PY33" i="19"/>
  <c r="PY22" i="19"/>
  <c r="PY35" i="19"/>
  <c r="PY8" i="19"/>
  <c r="PY16" i="19"/>
  <c r="PY20" i="19"/>
  <c r="PY32" i="19"/>
  <c r="PY25" i="19"/>
  <c r="PY5" i="19"/>
  <c r="CX5" i="19"/>
  <c r="CX4" i="19"/>
  <c r="CX9" i="19"/>
  <c r="CX6" i="19"/>
  <c r="CX33" i="19"/>
  <c r="CX22" i="19"/>
  <c r="CX35" i="19"/>
  <c r="CX8" i="19"/>
  <c r="CX16" i="19"/>
  <c r="CX20" i="19"/>
  <c r="CX32" i="19"/>
  <c r="CX25" i="19"/>
  <c r="CV33" i="19"/>
  <c r="CW33" i="19"/>
  <c r="DA33" i="19"/>
  <c r="DB33" i="19"/>
  <c r="PW33" i="19"/>
  <c r="PX33" i="19"/>
  <c r="QB33" i="19"/>
  <c r="QC33" i="19"/>
  <c r="QE33" i="19"/>
  <c r="QF33" i="19"/>
  <c r="QG33" i="19"/>
  <c r="QH33" i="19"/>
  <c r="QI33" i="19"/>
  <c r="QJ33" i="19"/>
  <c r="QK33" i="19"/>
  <c r="QL33" i="19"/>
  <c r="QM33" i="19"/>
  <c r="QN33" i="19"/>
  <c r="QO33" i="19"/>
  <c r="QP33" i="19"/>
  <c r="QQ33" i="19"/>
  <c r="QR33" i="19"/>
  <c r="QS33" i="19"/>
  <c r="QT33" i="19"/>
  <c r="QU33" i="19"/>
  <c r="QV33" i="19"/>
  <c r="QW33" i="19"/>
  <c r="QX33" i="19"/>
  <c r="CV22" i="19"/>
  <c r="CW22" i="19"/>
  <c r="DA22" i="19"/>
  <c r="DB22" i="19"/>
  <c r="PW22" i="19"/>
  <c r="PX22" i="19"/>
  <c r="QB22" i="19"/>
  <c r="QC22" i="19"/>
  <c r="QE22" i="19"/>
  <c r="QF22" i="19"/>
  <c r="QG22" i="19"/>
  <c r="QH22" i="19"/>
  <c r="QI22" i="19"/>
  <c r="QJ22" i="19"/>
  <c r="QK22" i="19"/>
  <c r="QL22" i="19"/>
  <c r="QM22" i="19"/>
  <c r="QN22" i="19"/>
  <c r="QO22" i="19"/>
  <c r="QP22" i="19"/>
  <c r="QQ22" i="19"/>
  <c r="QR22" i="19"/>
  <c r="QS22" i="19"/>
  <c r="QT22" i="19"/>
  <c r="QU22" i="19"/>
  <c r="QV22" i="19"/>
  <c r="QW22" i="19"/>
  <c r="QX22" i="19"/>
  <c r="CV35" i="19"/>
  <c r="CW35" i="19"/>
  <c r="DA35" i="19"/>
  <c r="DB35" i="19"/>
  <c r="PW35" i="19"/>
  <c r="PX35" i="19"/>
  <c r="QA35" i="19" s="1"/>
  <c r="QB35" i="19"/>
  <c r="QC35" i="19"/>
  <c r="QE35" i="19"/>
  <c r="QF35" i="19"/>
  <c r="QG35" i="19"/>
  <c r="QH35" i="19"/>
  <c r="QI35" i="19"/>
  <c r="QJ35" i="19"/>
  <c r="QK35" i="19"/>
  <c r="QL35" i="19"/>
  <c r="QM35" i="19"/>
  <c r="QN35" i="19"/>
  <c r="QO35" i="19"/>
  <c r="QP35" i="19"/>
  <c r="QQ35" i="19"/>
  <c r="QR35" i="19"/>
  <c r="QS35" i="19"/>
  <c r="QT35" i="19"/>
  <c r="QU35" i="19"/>
  <c r="QV35" i="19"/>
  <c r="QW35" i="19"/>
  <c r="QX35" i="19"/>
  <c r="CV8" i="19"/>
  <c r="CW8" i="19"/>
  <c r="DA8" i="19"/>
  <c r="DB8" i="19"/>
  <c r="PW8" i="19"/>
  <c r="PX8" i="19"/>
  <c r="QB8" i="19"/>
  <c r="QC8" i="19"/>
  <c r="QE8" i="19"/>
  <c r="QF8" i="19"/>
  <c r="QG8" i="19"/>
  <c r="QH8" i="19"/>
  <c r="QI8" i="19"/>
  <c r="QJ8" i="19"/>
  <c r="QK8" i="19"/>
  <c r="QL8" i="19"/>
  <c r="QM8" i="19"/>
  <c r="QN8" i="19"/>
  <c r="QO8" i="19"/>
  <c r="QP8" i="19"/>
  <c r="QQ8" i="19"/>
  <c r="QR8" i="19"/>
  <c r="QS8" i="19"/>
  <c r="QT8" i="19"/>
  <c r="QU8" i="19"/>
  <c r="QV8" i="19"/>
  <c r="QW8" i="19"/>
  <c r="QX8" i="19"/>
  <c r="CV16" i="19"/>
  <c r="CW16" i="19"/>
  <c r="DA16" i="19"/>
  <c r="DB16" i="19"/>
  <c r="PW16" i="19"/>
  <c r="PX16" i="19"/>
  <c r="QB16" i="19"/>
  <c r="QC16" i="19"/>
  <c r="QE16" i="19"/>
  <c r="QF16" i="19"/>
  <c r="QG16" i="19"/>
  <c r="QH16" i="19"/>
  <c r="QI16" i="19"/>
  <c r="QJ16" i="19"/>
  <c r="QK16" i="19"/>
  <c r="QL16" i="19"/>
  <c r="QM16" i="19"/>
  <c r="QN16" i="19"/>
  <c r="QO16" i="19"/>
  <c r="QP16" i="19"/>
  <c r="QQ16" i="19"/>
  <c r="QR16" i="19"/>
  <c r="QS16" i="19"/>
  <c r="QT16" i="19"/>
  <c r="QU16" i="19"/>
  <c r="QV16" i="19"/>
  <c r="QW16" i="19"/>
  <c r="QX16" i="19"/>
  <c r="CV20" i="19"/>
  <c r="CW20" i="19"/>
  <c r="DA20" i="19"/>
  <c r="DB20" i="19"/>
  <c r="PW20" i="19"/>
  <c r="PX20" i="19"/>
  <c r="QB20" i="19"/>
  <c r="QC20" i="19"/>
  <c r="QE20" i="19"/>
  <c r="QF20" i="19"/>
  <c r="QG20" i="19"/>
  <c r="QH20" i="19"/>
  <c r="QI20" i="19"/>
  <c r="QJ20" i="19"/>
  <c r="QK20" i="19"/>
  <c r="QL20" i="19"/>
  <c r="QM20" i="19"/>
  <c r="QN20" i="19"/>
  <c r="QO20" i="19"/>
  <c r="QP20" i="19"/>
  <c r="QQ20" i="19"/>
  <c r="QR20" i="19"/>
  <c r="QS20" i="19"/>
  <c r="QT20" i="19"/>
  <c r="QU20" i="19"/>
  <c r="QV20" i="19"/>
  <c r="QW20" i="19"/>
  <c r="QX20" i="19"/>
  <c r="CV32" i="19"/>
  <c r="CW32" i="19"/>
  <c r="DA32" i="19"/>
  <c r="DB32" i="19"/>
  <c r="PW32" i="19"/>
  <c r="PX32" i="19"/>
  <c r="QB32" i="19"/>
  <c r="QC32" i="19"/>
  <c r="QE32" i="19"/>
  <c r="QF32" i="19"/>
  <c r="QG32" i="19"/>
  <c r="QH32" i="19"/>
  <c r="QI32" i="19"/>
  <c r="QJ32" i="19"/>
  <c r="QK32" i="19"/>
  <c r="QL32" i="19"/>
  <c r="QM32" i="19"/>
  <c r="QN32" i="19"/>
  <c r="QO32" i="19"/>
  <c r="QP32" i="19"/>
  <c r="QQ32" i="19"/>
  <c r="QR32" i="19"/>
  <c r="QS32" i="19"/>
  <c r="QT32" i="19"/>
  <c r="QU32" i="19"/>
  <c r="QV32" i="19"/>
  <c r="QW32" i="19"/>
  <c r="QX32" i="19"/>
  <c r="CV25" i="19"/>
  <c r="CW25" i="19"/>
  <c r="DA25" i="19"/>
  <c r="DB25" i="19"/>
  <c r="PW25" i="19"/>
  <c r="PX25" i="19"/>
  <c r="QB25" i="19"/>
  <c r="QC25" i="19"/>
  <c r="QE25" i="19"/>
  <c r="QF25" i="19"/>
  <c r="QG25" i="19"/>
  <c r="QH25" i="19"/>
  <c r="QI25" i="19"/>
  <c r="QJ25" i="19"/>
  <c r="QK25" i="19"/>
  <c r="QL25" i="19"/>
  <c r="QM25" i="19"/>
  <c r="QN25" i="19"/>
  <c r="QO25" i="19"/>
  <c r="QP25" i="19"/>
  <c r="QQ25" i="19"/>
  <c r="QR25" i="19"/>
  <c r="QS25" i="19"/>
  <c r="QT25" i="19"/>
  <c r="QU25" i="19"/>
  <c r="QV25" i="19"/>
  <c r="QW25" i="19"/>
  <c r="QX25" i="19"/>
  <c r="QX6" i="19"/>
  <c r="QW6" i="19"/>
  <c r="QV6" i="19"/>
  <c r="QU6" i="19"/>
  <c r="QT6" i="19"/>
  <c r="QS6" i="19"/>
  <c r="QR6" i="19"/>
  <c r="QQ6" i="19"/>
  <c r="QP6" i="19"/>
  <c r="QO6" i="19"/>
  <c r="QN6" i="19"/>
  <c r="QM6" i="19"/>
  <c r="QL6" i="19"/>
  <c r="QK6" i="19"/>
  <c r="QJ6" i="19"/>
  <c r="QI6" i="19"/>
  <c r="QH6" i="19"/>
  <c r="QG6" i="19"/>
  <c r="QF6" i="19"/>
  <c r="QE6" i="19"/>
  <c r="QC6" i="19"/>
  <c r="QB6" i="19"/>
  <c r="PX6" i="19"/>
  <c r="PW6" i="19"/>
  <c r="DB6" i="19"/>
  <c r="DA6" i="19"/>
  <c r="CW6" i="19"/>
  <c r="CV6" i="19"/>
  <c r="QX9" i="19"/>
  <c r="QW9" i="19"/>
  <c r="QV9" i="19"/>
  <c r="QU9" i="19"/>
  <c r="QT9" i="19"/>
  <c r="QS9" i="19"/>
  <c r="QR9" i="19"/>
  <c r="QQ9" i="19"/>
  <c r="QP9" i="19"/>
  <c r="QO9" i="19"/>
  <c r="QN9" i="19"/>
  <c r="QM9" i="19"/>
  <c r="QL9" i="19"/>
  <c r="QK9" i="19"/>
  <c r="QJ9" i="19"/>
  <c r="QI9" i="19"/>
  <c r="QH9" i="19"/>
  <c r="QG9" i="19"/>
  <c r="QF9" i="19"/>
  <c r="QE9" i="19"/>
  <c r="QC9" i="19"/>
  <c r="QB9" i="19"/>
  <c r="PX9" i="19"/>
  <c r="PW9" i="19"/>
  <c r="DB9" i="19"/>
  <c r="DA9" i="19"/>
  <c r="CW9" i="19"/>
  <c r="CV9" i="19"/>
  <c r="QX4" i="19"/>
  <c r="QW4" i="19"/>
  <c r="QV4" i="19"/>
  <c r="QU4" i="19"/>
  <c r="QT4" i="19"/>
  <c r="QS4" i="19"/>
  <c r="QR4" i="19"/>
  <c r="QQ4" i="19"/>
  <c r="QP4" i="19"/>
  <c r="QO4" i="19"/>
  <c r="QN4" i="19"/>
  <c r="QM4" i="19"/>
  <c r="QL4" i="19"/>
  <c r="QK4" i="19"/>
  <c r="QJ4" i="19"/>
  <c r="QI4" i="19"/>
  <c r="QH4" i="19"/>
  <c r="QG4" i="19"/>
  <c r="QF4" i="19"/>
  <c r="QC4" i="19"/>
  <c r="QB4" i="19"/>
  <c r="PX4" i="19"/>
  <c r="PW4" i="19"/>
  <c r="DB4" i="19"/>
  <c r="DA4" i="19"/>
  <c r="CW4" i="19"/>
  <c r="CV4" i="19"/>
  <c r="QX5" i="19"/>
  <c r="QW5" i="19"/>
  <c r="QV5" i="19"/>
  <c r="QU5" i="19"/>
  <c r="QT5" i="19"/>
  <c r="QS5" i="19"/>
  <c r="QR5" i="19"/>
  <c r="QQ5" i="19"/>
  <c r="QP5" i="19"/>
  <c r="QO5" i="19"/>
  <c r="QN5" i="19"/>
  <c r="QM5" i="19"/>
  <c r="QL5" i="19"/>
  <c r="QK5" i="19"/>
  <c r="QJ5" i="19"/>
  <c r="QI5" i="19"/>
  <c r="QH5" i="19"/>
  <c r="QG5" i="19"/>
  <c r="QF5" i="19"/>
  <c r="QE5" i="19"/>
  <c r="QC5" i="19"/>
  <c r="QB5" i="19"/>
  <c r="PX5" i="19"/>
  <c r="PW5" i="19"/>
  <c r="DB5" i="19"/>
  <c r="DA5" i="19"/>
  <c r="CW5" i="19"/>
  <c r="CV5" i="19"/>
  <c r="QA16" i="19" l="1"/>
  <c r="CZ6" i="19"/>
  <c r="CZ22" i="19"/>
  <c r="QA22" i="19"/>
  <c r="QA8" i="19"/>
  <c r="QA32" i="19"/>
  <c r="CZ20" i="19"/>
  <c r="CZ4" i="19"/>
  <c r="QA4" i="19"/>
  <c r="QA9" i="19"/>
  <c r="N25" i="19"/>
  <c r="DE25" i="19" s="1"/>
  <c r="CZ25" i="19"/>
  <c r="QA33" i="19"/>
  <c r="QA5" i="19"/>
  <c r="CZ33" i="19"/>
  <c r="QZ22" i="21"/>
  <c r="P18" i="21"/>
  <c r="DF18" i="21" s="1"/>
  <c r="QZ25" i="21"/>
  <c r="RE25" i="21"/>
  <c r="QA20" i="19"/>
  <c r="QD18" i="21"/>
  <c r="CZ18" i="21"/>
  <c r="RE22" i="21"/>
  <c r="RF25" i="21"/>
  <c r="CZ35" i="19"/>
  <c r="QA18" i="21"/>
  <c r="L25" i="21"/>
  <c r="DD25" i="21" s="1"/>
  <c r="DC17" i="21"/>
  <c r="RC23" i="21"/>
  <c r="P22" i="21"/>
  <c r="DF22" i="21" s="1"/>
  <c r="DC22" i="21"/>
  <c r="L18" i="21"/>
  <c r="DD18" i="21" s="1"/>
  <c r="P23" i="21"/>
  <c r="DF23" i="21" s="1"/>
  <c r="DC23" i="21"/>
  <c r="QD23" i="21"/>
  <c r="P25" i="21"/>
  <c r="DF25" i="21" s="1"/>
  <c r="RB25" i="21"/>
  <c r="QA25" i="19"/>
  <c r="CZ32" i="19"/>
  <c r="CZ9" i="19"/>
  <c r="QA6" i="19"/>
  <c r="P17" i="21"/>
  <c r="DF17" i="21" s="1"/>
  <c r="CZ17" i="21"/>
  <c r="N22" i="21"/>
  <c r="DE22" i="21" s="1"/>
  <c r="RC18" i="21"/>
  <c r="CZ25" i="21"/>
  <c r="RE23" i="21"/>
  <c r="RA22" i="21"/>
  <c r="RB22" i="21"/>
  <c r="RA23" i="21"/>
  <c r="RB23" i="21"/>
  <c r="RF23" i="21"/>
  <c r="QA22" i="21"/>
  <c r="QA25" i="21"/>
  <c r="G23" i="21"/>
  <c r="RF18" i="21"/>
  <c r="N18" i="21"/>
  <c r="DE18" i="21" s="1"/>
  <c r="QZ18" i="21"/>
  <c r="RE18" i="21"/>
  <c r="G25" i="21"/>
  <c r="L17" i="21"/>
  <c r="DD17" i="21" s="1"/>
  <c r="RC17" i="21"/>
  <c r="RE17" i="21"/>
  <c r="CZ23" i="21"/>
  <c r="N25" i="21"/>
  <c r="DE25" i="21" s="1"/>
  <c r="QD25" i="21"/>
  <c r="N17" i="21"/>
  <c r="DE17" i="21" s="1"/>
  <c r="RB17" i="21"/>
  <c r="QD17" i="21"/>
  <c r="RF22" i="21"/>
  <c r="RB18" i="21"/>
  <c r="RC25" i="21"/>
  <c r="RF17" i="21"/>
  <c r="RC5" i="19"/>
  <c r="RC6" i="19"/>
  <c r="CZ16" i="19"/>
  <c r="RC33" i="19"/>
  <c r="CZ8" i="19"/>
  <c r="RC22" i="19"/>
  <c r="RC25" i="19"/>
  <c r="RC4" i="19"/>
  <c r="RC32" i="19"/>
  <c r="RC20" i="19"/>
  <c r="RC9" i="19"/>
  <c r="RC16" i="19"/>
  <c r="F5" i="19"/>
  <c r="RC8" i="19"/>
  <c r="G5" i="19"/>
  <c r="CZ5" i="19"/>
  <c r="RC35" i="19"/>
  <c r="G17" i="21"/>
  <c r="RA17" i="21"/>
  <c r="F22" i="21"/>
  <c r="G22" i="21"/>
  <c r="J17" i="21"/>
  <c r="F25" i="21"/>
  <c r="RA25" i="21"/>
  <c r="F17" i="21"/>
  <c r="J23" i="21"/>
  <c r="J22" i="21"/>
  <c r="L23" i="21"/>
  <c r="DD23" i="21" s="1"/>
  <c r="F23" i="21"/>
  <c r="QD22" i="21"/>
  <c r="RC22" i="21"/>
  <c r="F18" i="21"/>
  <c r="DC18" i="21"/>
  <c r="RA18" i="21"/>
  <c r="G18" i="21"/>
  <c r="DC25" i="21"/>
  <c r="QA17" i="21"/>
  <c r="QZ17" i="21"/>
  <c r="CZ22" i="21"/>
  <c r="QA23" i="21"/>
  <c r="QZ23" i="21"/>
  <c r="L22" i="21"/>
  <c r="DD22" i="21" s="1"/>
  <c r="J18" i="21"/>
  <c r="N23" i="21"/>
  <c r="DE23" i="21" s="1"/>
  <c r="J25" i="21"/>
  <c r="J5" i="19"/>
  <c r="N32" i="19"/>
  <c r="DE32" i="19" s="1"/>
  <c r="N5" i="19"/>
  <c r="DE5" i="19" s="1"/>
  <c r="DC25" i="19"/>
  <c r="QD25" i="19"/>
  <c r="QD20" i="19"/>
  <c r="N20" i="19"/>
  <c r="DE20" i="19" s="1"/>
  <c r="N9" i="19"/>
  <c r="DE9" i="19" s="1"/>
  <c r="N4" i="19"/>
  <c r="DE4" i="19" s="1"/>
  <c r="N33" i="19"/>
  <c r="DE33" i="19" s="1"/>
  <c r="N35" i="19"/>
  <c r="DE35" i="19" s="1"/>
  <c r="N22" i="19"/>
  <c r="DE22" i="19" s="1"/>
  <c r="N6" i="19"/>
  <c r="DE6" i="19" s="1"/>
  <c r="N16" i="19"/>
  <c r="DE16" i="19" s="1"/>
  <c r="N8" i="19"/>
  <c r="DE8" i="19" s="1"/>
  <c r="DC33" i="19"/>
  <c r="QD22" i="19"/>
  <c r="QD32" i="19"/>
  <c r="RE20" i="19"/>
  <c r="DC8" i="19"/>
  <c r="RB20" i="19"/>
  <c r="J32" i="19"/>
  <c r="K32" i="19" s="1"/>
  <c r="DC22" i="19"/>
  <c r="QZ20" i="19"/>
  <c r="QD33" i="19"/>
  <c r="P8" i="19"/>
  <c r="DF8" i="19" s="1"/>
  <c r="RE25" i="19"/>
  <c r="QZ25" i="19"/>
  <c r="RA8" i="19"/>
  <c r="P35" i="19"/>
  <c r="DF35" i="19" s="1"/>
  <c r="DC35" i="19"/>
  <c r="P33" i="19"/>
  <c r="DF33" i="19" s="1"/>
  <c r="RE32" i="19"/>
  <c r="P20" i="19"/>
  <c r="DF20" i="19" s="1"/>
  <c r="RB16" i="19"/>
  <c r="RB33" i="19"/>
  <c r="RA33" i="19"/>
  <c r="DC20" i="19"/>
  <c r="RE33" i="19"/>
  <c r="QZ33" i="19"/>
  <c r="RB8" i="19"/>
  <c r="QZ35" i="19"/>
  <c r="QD35" i="19"/>
  <c r="RA20" i="19"/>
  <c r="F20" i="19"/>
  <c r="G16" i="19"/>
  <c r="RF25" i="19"/>
  <c r="RB25" i="19"/>
  <c r="P25" i="19"/>
  <c r="DF25" i="19" s="1"/>
  <c r="RF35" i="19"/>
  <c r="P22" i="19"/>
  <c r="DF22" i="19" s="1"/>
  <c r="F25" i="19"/>
  <c r="RF32" i="19"/>
  <c r="RB32" i="19"/>
  <c r="RA32" i="19"/>
  <c r="RF20" i="19"/>
  <c r="J20" i="19"/>
  <c r="RA16" i="19"/>
  <c r="DC16" i="19"/>
  <c r="G35" i="19"/>
  <c r="RA25" i="19"/>
  <c r="RE16" i="19"/>
  <c r="QZ16" i="19"/>
  <c r="QD16" i="19"/>
  <c r="RB35" i="19"/>
  <c r="RA35" i="19"/>
  <c r="L25" i="19"/>
  <c r="DD25" i="19" s="1"/>
  <c r="P32" i="19"/>
  <c r="DF32" i="19" s="1"/>
  <c r="RF16" i="19"/>
  <c r="RE8" i="19"/>
  <c r="QZ8" i="19"/>
  <c r="QD8" i="19"/>
  <c r="RE35" i="19"/>
  <c r="G22" i="19"/>
  <c r="QZ32" i="19"/>
  <c r="DC32" i="19"/>
  <c r="RF8" i="19"/>
  <c r="RB22" i="19"/>
  <c r="RA22" i="19"/>
  <c r="F22" i="19"/>
  <c r="L33" i="19"/>
  <c r="DD33" i="19" s="1"/>
  <c r="RE22" i="19"/>
  <c r="QZ22" i="19"/>
  <c r="F33" i="19"/>
  <c r="G8" i="19"/>
  <c r="F16" i="19"/>
  <c r="F35" i="19"/>
  <c r="F32" i="19"/>
  <c r="F8" i="19"/>
  <c r="L22" i="19"/>
  <c r="DD22" i="19" s="1"/>
  <c r="G20" i="19"/>
  <c r="P16" i="19"/>
  <c r="DF16" i="19" s="1"/>
  <c r="L35" i="19"/>
  <c r="DD35" i="19" s="1"/>
  <c r="J33" i="19"/>
  <c r="J25" i="19"/>
  <c r="G32" i="19"/>
  <c r="L8" i="19"/>
  <c r="DD8" i="19" s="1"/>
  <c r="J22" i="19"/>
  <c r="RF33" i="19"/>
  <c r="G25" i="19"/>
  <c r="L16" i="19"/>
  <c r="DD16" i="19" s="1"/>
  <c r="J35" i="19"/>
  <c r="RF22" i="19"/>
  <c r="L20" i="19"/>
  <c r="DD20" i="19" s="1"/>
  <c r="J8" i="19"/>
  <c r="G33" i="19"/>
  <c r="L32" i="19"/>
  <c r="DD32" i="19" s="1"/>
  <c r="J16" i="19"/>
  <c r="QD6" i="19"/>
  <c r="DC9" i="19"/>
  <c r="QD9" i="19"/>
  <c r="RF6" i="19"/>
  <c r="RE6" i="19"/>
  <c r="P9" i="19"/>
  <c r="DF9" i="19" s="1"/>
  <c r="QZ4" i="19"/>
  <c r="QD5" i="19"/>
  <c r="RE5" i="19"/>
  <c r="L5" i="19"/>
  <c r="DD5" i="19" s="1"/>
  <c r="QZ9" i="19"/>
  <c r="P4" i="19"/>
  <c r="DF4" i="19" s="1"/>
  <c r="RF4" i="19"/>
  <c r="P5" i="19"/>
  <c r="DF5" i="19" s="1"/>
  <c r="DC5" i="19"/>
  <c r="J4" i="19"/>
  <c r="RA9" i="19"/>
  <c r="RF5" i="19"/>
  <c r="RF9" i="19"/>
  <c r="L6" i="19"/>
  <c r="DD6" i="19" s="1"/>
  <c r="RA4" i="19"/>
  <c r="RB4" i="19"/>
  <c r="RE9" i="19"/>
  <c r="P6" i="19"/>
  <c r="DF6" i="19" s="1"/>
  <c r="QZ5" i="19"/>
  <c r="J6" i="19"/>
  <c r="QZ6" i="19"/>
  <c r="RA5" i="19"/>
  <c r="RB5" i="19"/>
  <c r="J9" i="19"/>
  <c r="DC6" i="19"/>
  <c r="RA6" i="19"/>
  <c r="RB6" i="19"/>
  <c r="RB9" i="19"/>
  <c r="DC4" i="19"/>
  <c r="QD4" i="19"/>
  <c r="RE4" i="19"/>
  <c r="L9" i="19"/>
  <c r="DD9" i="19" s="1"/>
  <c r="L4" i="19"/>
  <c r="DD4" i="19" s="1"/>
  <c r="F6" i="19"/>
  <c r="F9" i="19"/>
  <c r="G6" i="19"/>
  <c r="F4" i="19"/>
  <c r="G9" i="19"/>
  <c r="G4" i="19"/>
  <c r="A24" i="21" l="1"/>
  <c r="O23" i="21"/>
  <c r="O18" i="21"/>
  <c r="K17" i="21"/>
  <c r="O25" i="21"/>
  <c r="O17" i="21"/>
  <c r="O22" i="21"/>
  <c r="O16" i="19"/>
  <c r="O6" i="19"/>
  <c r="O22" i="19"/>
  <c r="R22" i="19"/>
  <c r="O5" i="19"/>
  <c r="O35" i="19"/>
  <c r="O32" i="19"/>
  <c r="O33" i="19"/>
  <c r="O4" i="19"/>
  <c r="O9" i="19"/>
  <c r="O20" i="19"/>
  <c r="O8" i="19"/>
  <c r="O25" i="19"/>
  <c r="RG23" i="21"/>
  <c r="RD25" i="21"/>
  <c r="Q17" i="21"/>
  <c r="Q25" i="21"/>
  <c r="M25" i="21"/>
  <c r="Q18" i="21"/>
  <c r="R23" i="21"/>
  <c r="R17" i="21"/>
  <c r="Q22" i="21"/>
  <c r="Q4" i="19"/>
  <c r="Q9" i="19"/>
  <c r="Q33" i="19"/>
  <c r="M5" i="19"/>
  <c r="R25" i="19"/>
  <c r="M6" i="19"/>
  <c r="M33" i="19"/>
  <c r="Q20" i="19"/>
  <c r="Q32" i="19"/>
  <c r="Q8" i="19"/>
  <c r="Q6" i="19"/>
  <c r="Q35" i="19"/>
  <c r="M18" i="21"/>
  <c r="M17" i="21"/>
  <c r="I25" i="21"/>
  <c r="H25" i="21" s="1"/>
  <c r="RD17" i="21"/>
  <c r="RD23" i="21"/>
  <c r="I33" i="19"/>
  <c r="H33" i="19" s="1"/>
  <c r="I18" i="21"/>
  <c r="H18" i="21" s="1"/>
  <c r="RG22" i="21"/>
  <c r="I32" i="19"/>
  <c r="H32" i="19" s="1"/>
  <c r="I20" i="19"/>
  <c r="H20" i="19" s="1"/>
  <c r="I4" i="19"/>
  <c r="H4" i="19" s="1"/>
  <c r="I22" i="19"/>
  <c r="H22" i="19" s="1"/>
  <c r="RD22" i="21"/>
  <c r="RD32" i="19"/>
  <c r="RD6" i="19"/>
  <c r="I35" i="19"/>
  <c r="H35" i="19" s="1"/>
  <c r="A23" i="21"/>
  <c r="RG17" i="21"/>
  <c r="Q23" i="21"/>
  <c r="K22" i="21"/>
  <c r="K23" i="21"/>
  <c r="I8" i="19"/>
  <c r="H8" i="19" s="1"/>
  <c r="K4" i="19"/>
  <c r="K6" i="19"/>
  <c r="K9" i="19"/>
  <c r="K20" i="19"/>
  <c r="I25" i="19"/>
  <c r="H25" i="19" s="1"/>
  <c r="M23" i="21"/>
  <c r="RD22" i="19"/>
  <c r="I9" i="19"/>
  <c r="H9" i="19" s="1"/>
  <c r="I16" i="19"/>
  <c r="H16" i="19" s="1"/>
  <c r="I6" i="19"/>
  <c r="H6" i="19" s="1"/>
  <c r="I17" i="21"/>
  <c r="H17" i="21" s="1"/>
  <c r="I23" i="21"/>
  <c r="H23" i="21" s="1"/>
  <c r="RG25" i="21"/>
  <c r="RD33" i="19"/>
  <c r="RD4" i="19"/>
  <c r="RD16" i="19"/>
  <c r="RD9" i="19"/>
  <c r="I5" i="19"/>
  <c r="H5" i="19" s="1"/>
  <c r="RD8" i="19"/>
  <c r="RG5" i="19"/>
  <c r="RD5" i="19"/>
  <c r="RD35" i="19"/>
  <c r="RG25" i="19"/>
  <c r="RD25" i="19"/>
  <c r="RD20" i="19"/>
  <c r="I22" i="21"/>
  <c r="H22" i="21" s="1"/>
  <c r="RG18" i="21"/>
  <c r="RD18" i="21"/>
  <c r="K25" i="21"/>
  <c r="M22" i="21"/>
  <c r="K18" i="21"/>
  <c r="Q22" i="19"/>
  <c r="RG32" i="19"/>
  <c r="RG22" i="19"/>
  <c r="RG35" i="19"/>
  <c r="M25" i="19"/>
  <c r="RG16" i="19"/>
  <c r="Q25" i="19"/>
  <c r="RG8" i="19"/>
  <c r="RG33" i="19"/>
  <c r="RG20" i="19"/>
  <c r="M8" i="19"/>
  <c r="M32" i="19"/>
  <c r="M22" i="19"/>
  <c r="M20" i="19"/>
  <c r="K22" i="19"/>
  <c r="Q16" i="19"/>
  <c r="K35" i="19"/>
  <c r="M16" i="19"/>
  <c r="K16" i="19"/>
  <c r="K25" i="19"/>
  <c r="K33" i="19"/>
  <c r="K8" i="19"/>
  <c r="M35" i="19"/>
  <c r="Q5" i="19"/>
  <c r="RG6" i="19"/>
  <c r="RG4" i="19"/>
  <c r="RG9" i="19"/>
  <c r="M9" i="19"/>
  <c r="M4" i="19"/>
  <c r="K5" i="19"/>
  <c r="S17" i="21" l="1"/>
  <c r="T17" i="21"/>
  <c r="S23" i="21"/>
  <c r="T23" i="21"/>
  <c r="S25" i="19"/>
  <c r="T25" i="19"/>
  <c r="S22" i="19"/>
  <c r="T22" i="19"/>
  <c r="E17" i="21"/>
  <c r="E23" i="21"/>
  <c r="R18" i="21"/>
  <c r="R22" i="21"/>
  <c r="R5" i="19"/>
  <c r="R25" i="21"/>
  <c r="R33" i="19"/>
  <c r="E25" i="19"/>
  <c r="E22" i="19"/>
  <c r="R35" i="19"/>
  <c r="R8" i="19"/>
  <c r="R20" i="19"/>
  <c r="R32" i="19"/>
  <c r="R16" i="19"/>
  <c r="R9" i="19"/>
  <c r="R4" i="19"/>
  <c r="R6" i="19"/>
  <c r="S25" i="21" l="1"/>
  <c r="T25" i="21"/>
  <c r="E22" i="21"/>
  <c r="S22" i="21"/>
  <c r="T22" i="21"/>
  <c r="S18" i="21"/>
  <c r="T18" i="21"/>
  <c r="T8" i="19"/>
  <c r="S8" i="19"/>
  <c r="E6" i="19"/>
  <c r="S6" i="19"/>
  <c r="T6" i="19"/>
  <c r="E35" i="19"/>
  <c r="T35" i="19"/>
  <c r="S35" i="19"/>
  <c r="S4" i="19"/>
  <c r="T4" i="19"/>
  <c r="S33" i="19"/>
  <c r="T33" i="19"/>
  <c r="S32" i="19"/>
  <c r="T32" i="19"/>
  <c r="S9" i="19"/>
  <c r="T9" i="19"/>
  <c r="E16" i="19"/>
  <c r="S16" i="19"/>
  <c r="T16" i="19"/>
  <c r="E20" i="19"/>
  <c r="A18" i="19" s="1"/>
  <c r="T20" i="19"/>
  <c r="S20" i="19"/>
  <c r="S5" i="19"/>
  <c r="T5" i="19"/>
  <c r="E18" i="21"/>
  <c r="E25" i="21"/>
  <c r="E4" i="19"/>
  <c r="E5" i="19"/>
  <c r="E33" i="19"/>
  <c r="E8" i="19"/>
  <c r="E9" i="19"/>
  <c r="E32" i="19"/>
  <c r="A35" i="19"/>
  <c r="A14" i="21" l="1"/>
  <c r="A9" i="21"/>
  <c r="A17" i="19"/>
  <c r="A15" i="21"/>
  <c r="A19" i="21"/>
  <c r="A31" i="19"/>
  <c r="A21" i="19"/>
  <c r="A19" i="19"/>
  <c r="A13" i="19"/>
  <c r="A11" i="19"/>
  <c r="A10" i="19"/>
  <c r="A4" i="21"/>
  <c r="A21" i="21"/>
  <c r="A7" i="21"/>
  <c r="A8" i="21"/>
  <c r="A5" i="21"/>
  <c r="A10" i="21"/>
  <c r="A16" i="21"/>
  <c r="A6" i="21"/>
  <c r="A11" i="21"/>
  <c r="A25" i="21"/>
  <c r="A28" i="19"/>
  <c r="A22" i="19"/>
  <c r="A32" i="19"/>
  <c r="A17" i="21"/>
  <c r="A15" i="19"/>
  <c r="A14" i="19"/>
  <c r="A12" i="19"/>
  <c r="A7" i="19"/>
  <c r="A23" i="19"/>
  <c r="A13" i="21"/>
  <c r="A22" i="21"/>
  <c r="A18" i="21"/>
  <c r="A29" i="19"/>
  <c r="A5" i="19" a="1"/>
  <c r="A5" i="19" s="1"/>
  <c r="A6" i="19"/>
  <c r="A16" i="19"/>
  <c r="A20" i="19"/>
  <c r="A33" i="19"/>
  <c r="A25" i="19"/>
  <c r="A8" i="19"/>
  <c r="A4" i="19"/>
  <c r="A9" i="19"/>
  <c r="C22" i="11" l="1"/>
  <c r="C23" i="11"/>
  <c r="C24" i="11"/>
  <c r="C25" i="11"/>
  <c r="C18" i="11"/>
  <c r="C19" i="11"/>
  <c r="C20" i="11"/>
  <c r="C21" i="11"/>
  <c r="D25" i="11"/>
  <c r="D22" i="11"/>
  <c r="D23" i="11"/>
  <c r="D24" i="11"/>
  <c r="D19" i="11"/>
  <c r="D20" i="11"/>
  <c r="D21" i="11"/>
  <c r="D18" i="11"/>
  <c r="SR34" i="4"/>
  <c r="SQ34" i="4"/>
  <c r="SP34" i="4"/>
  <c r="SO34" i="4"/>
  <c r="SN34" i="4"/>
  <c r="SM34" i="4"/>
  <c r="SK34" i="4"/>
  <c r="SJ34" i="4"/>
  <c r="SI34" i="4"/>
  <c r="SH34" i="4"/>
  <c r="SG34" i="4"/>
  <c r="SF34" i="4"/>
  <c r="SR32" i="4"/>
  <c r="SQ32" i="4"/>
  <c r="SP32" i="4"/>
  <c r="SO32" i="4"/>
  <c r="SN32" i="4"/>
  <c r="SM32" i="4"/>
  <c r="SK32" i="4"/>
  <c r="SJ32" i="4"/>
  <c r="SI32" i="4"/>
  <c r="SH32" i="4"/>
  <c r="SG32" i="4"/>
  <c r="SF32" i="4"/>
  <c r="SR31" i="4"/>
  <c r="SQ31" i="4"/>
  <c r="SP31" i="4"/>
  <c r="SO31" i="4"/>
  <c r="SN31" i="4"/>
  <c r="SM31" i="4"/>
  <c r="SK31" i="4"/>
  <c r="SJ31" i="4"/>
  <c r="SI31" i="4"/>
  <c r="SH31" i="4"/>
  <c r="SG31" i="4"/>
  <c r="SF31" i="4"/>
  <c r="SR22" i="4"/>
  <c r="SQ22" i="4"/>
  <c r="SP22" i="4"/>
  <c r="SO22" i="4"/>
  <c r="SN22" i="4"/>
  <c r="SM22" i="4"/>
  <c r="SK22" i="4"/>
  <c r="SJ22" i="4"/>
  <c r="SI22" i="4"/>
  <c r="SH22" i="4"/>
  <c r="SG22" i="4"/>
  <c r="SF22" i="4"/>
  <c r="SR20" i="4"/>
  <c r="SQ20" i="4"/>
  <c r="SP20" i="4"/>
  <c r="SO20" i="4"/>
  <c r="SN20" i="4"/>
  <c r="SM20" i="4"/>
  <c r="SK20" i="4"/>
  <c r="SJ20" i="4"/>
  <c r="SI20" i="4"/>
  <c r="SH20" i="4"/>
  <c r="SG20" i="4"/>
  <c r="SF20" i="4"/>
  <c r="SR33" i="4"/>
  <c r="SQ33" i="4"/>
  <c r="SP33" i="4"/>
  <c r="SO33" i="4"/>
  <c r="SN33" i="4"/>
  <c r="SM33" i="4"/>
  <c r="SK33" i="4"/>
  <c r="SJ33" i="4"/>
  <c r="SI33" i="4"/>
  <c r="SH33" i="4"/>
  <c r="SG33" i="4"/>
  <c r="SF33" i="4"/>
  <c r="SR18" i="4"/>
  <c r="SQ18" i="4"/>
  <c r="SP18" i="4"/>
  <c r="SO18" i="4"/>
  <c r="SN18" i="4"/>
  <c r="SM18" i="4"/>
  <c r="SK18" i="4"/>
  <c r="SJ18" i="4"/>
  <c r="SI18" i="4"/>
  <c r="SH18" i="4"/>
  <c r="SG18" i="4"/>
  <c r="SF18" i="4"/>
  <c r="SR19" i="4"/>
  <c r="SQ19" i="4"/>
  <c r="SP19" i="4"/>
  <c r="SO19" i="4"/>
  <c r="SN19" i="4"/>
  <c r="SM19" i="4"/>
  <c r="SK19" i="4"/>
  <c r="SJ19" i="4"/>
  <c r="SI19" i="4"/>
  <c r="SH19" i="4"/>
  <c r="SG19" i="4"/>
  <c r="SF19" i="4"/>
  <c r="CW18" i="4"/>
  <c r="CW33" i="4"/>
  <c r="CW20" i="4"/>
  <c r="CW22" i="4"/>
  <c r="CW31" i="4"/>
  <c r="CW32" i="4"/>
  <c r="CW34" i="4"/>
  <c r="CW19" i="4"/>
  <c r="CV19" i="4"/>
  <c r="CS19" i="4"/>
  <c r="CS18" i="4"/>
  <c r="CS33" i="4"/>
  <c r="CS20" i="4"/>
  <c r="CS22" i="4"/>
  <c r="CS31" i="4"/>
  <c r="CS32" i="4"/>
  <c r="CS34" i="4"/>
  <c r="CP19" i="4"/>
  <c r="CP18" i="4"/>
  <c r="CP33" i="4"/>
  <c r="CP20" i="4"/>
  <c r="CP22" i="4"/>
  <c r="CP31" i="4"/>
  <c r="CP32" i="4"/>
  <c r="CP34" i="4"/>
  <c r="CO19" i="4"/>
  <c r="CO18" i="4"/>
  <c r="CO33" i="4"/>
  <c r="CO20" i="4"/>
  <c r="CO22" i="4"/>
  <c r="CO31" i="4"/>
  <c r="CO32" i="4"/>
  <c r="CO34" i="4"/>
  <c r="SL19" i="4" l="1"/>
  <c r="SS19" i="4" s="1"/>
  <c r="SL33" i="4"/>
  <c r="SS33" i="4" s="1"/>
  <c r="SL20" i="4"/>
  <c r="SS20" i="4" s="1"/>
  <c r="SL22" i="4"/>
  <c r="SS22" i="4" s="1"/>
  <c r="SL31" i="4"/>
  <c r="SS31" i="4" s="1"/>
  <c r="SL32" i="4"/>
  <c r="SS32" i="4" s="1"/>
  <c r="SL18" i="4"/>
  <c r="SS18" i="4" s="1"/>
  <c r="SL34" i="4"/>
  <c r="SS34" i="4" s="1"/>
  <c r="CQ34" i="4" l="1"/>
  <c r="CR34" i="4"/>
  <c r="CT34" i="4"/>
  <c r="CV34" i="4"/>
  <c r="CX34" i="4"/>
  <c r="ST34" i="4"/>
  <c r="SU34" i="4"/>
  <c r="SV34" i="4"/>
  <c r="TJ34" i="4" s="1"/>
  <c r="SW34" i="4"/>
  <c r="TK34" i="4" s="1"/>
  <c r="SX34" i="4"/>
  <c r="SY34" i="4"/>
  <c r="SZ34" i="4"/>
  <c r="TA34" i="4"/>
  <c r="TM34" i="4" s="1"/>
  <c r="TB34" i="4"/>
  <c r="TN34" i="4" s="1"/>
  <c r="TC34" i="4"/>
  <c r="TD34" i="4"/>
  <c r="TE34" i="4"/>
  <c r="TF34" i="4"/>
  <c r="TQ34" i="4" s="1"/>
  <c r="TG34" i="4"/>
  <c r="TR34" i="4" s="1"/>
  <c r="TH34" i="4"/>
  <c r="R34" i="4" l="1"/>
  <c r="S34" i="4" s="1"/>
  <c r="N34" i="4"/>
  <c r="P34" i="4"/>
  <c r="Q34" i="4" s="1"/>
  <c r="L34" i="4"/>
  <c r="J34" i="4"/>
  <c r="TS34" i="4"/>
  <c r="G34" i="4"/>
  <c r="I34" i="4"/>
  <c r="F34" i="4"/>
  <c r="TO34" i="4"/>
  <c r="TL34" i="4"/>
  <c r="CU34" i="4"/>
  <c r="CY34" i="4" s="1"/>
  <c r="CQ32" i="4"/>
  <c r="CR32" i="4"/>
  <c r="CT32" i="4"/>
  <c r="CV32" i="4"/>
  <c r="CX32" i="4"/>
  <c r="ST32" i="4"/>
  <c r="SU32" i="4"/>
  <c r="SV32" i="4"/>
  <c r="TJ32" i="4" s="1"/>
  <c r="SW32" i="4"/>
  <c r="TK32" i="4" s="1"/>
  <c r="SX32" i="4"/>
  <c r="SY32" i="4"/>
  <c r="SZ32" i="4"/>
  <c r="TA32" i="4"/>
  <c r="TM32" i="4" s="1"/>
  <c r="TB32" i="4"/>
  <c r="TN32" i="4" s="1"/>
  <c r="TC32" i="4"/>
  <c r="TD32" i="4"/>
  <c r="TE32" i="4"/>
  <c r="TF32" i="4"/>
  <c r="TQ32" i="4" s="1"/>
  <c r="TG32" i="4"/>
  <c r="TR32" i="4" s="1"/>
  <c r="TH32" i="4"/>
  <c r="CQ33" i="4"/>
  <c r="CR33" i="4"/>
  <c r="CT33" i="4"/>
  <c r="CV33" i="4"/>
  <c r="CX33" i="4"/>
  <c r="ST33" i="4"/>
  <c r="SU33" i="4"/>
  <c r="SV33" i="4"/>
  <c r="TJ33" i="4" s="1"/>
  <c r="SW33" i="4"/>
  <c r="TK33" i="4" s="1"/>
  <c r="SX33" i="4"/>
  <c r="SY33" i="4"/>
  <c r="SZ33" i="4"/>
  <c r="TA33" i="4"/>
  <c r="TM33" i="4" s="1"/>
  <c r="TB33" i="4"/>
  <c r="TN33" i="4" s="1"/>
  <c r="TC33" i="4"/>
  <c r="TD33" i="4"/>
  <c r="TE33" i="4"/>
  <c r="TF33" i="4"/>
  <c r="TQ33" i="4" s="1"/>
  <c r="TG33" i="4"/>
  <c r="TR33" i="4" s="1"/>
  <c r="TH33" i="4"/>
  <c r="N33" i="4" l="1"/>
  <c r="CZ34" i="4"/>
  <c r="R32" i="4"/>
  <c r="S32" i="4" s="1"/>
  <c r="R33" i="4"/>
  <c r="S33" i="4" s="1"/>
  <c r="N32" i="4"/>
  <c r="DA33" i="4"/>
  <c r="O33" i="4"/>
  <c r="DA34" i="4"/>
  <c r="O34" i="4"/>
  <c r="P32" i="4"/>
  <c r="Q32" i="4" s="1"/>
  <c r="P33" i="4"/>
  <c r="Q33" i="4" s="1"/>
  <c r="K34" i="4"/>
  <c r="L33" i="4"/>
  <c r="CZ33" i="4" s="1"/>
  <c r="G32" i="4"/>
  <c r="J32" i="4"/>
  <c r="I33" i="4"/>
  <c r="J33" i="4"/>
  <c r="I32" i="4"/>
  <c r="L32" i="4"/>
  <c r="F33" i="4"/>
  <c r="TP34" i="4"/>
  <c r="TT34" i="4" s="1"/>
  <c r="G33" i="4"/>
  <c r="F32" i="4"/>
  <c r="TS33" i="4"/>
  <c r="TL33" i="4"/>
  <c r="H34" i="4"/>
  <c r="TO32" i="4"/>
  <c r="M34" i="4"/>
  <c r="TS32" i="4"/>
  <c r="TO33" i="4"/>
  <c r="TL32" i="4"/>
  <c r="CU33" i="4"/>
  <c r="CY33" i="4" s="1"/>
  <c r="CU32" i="4"/>
  <c r="CY32" i="4" s="1"/>
  <c r="K32" i="4" l="1"/>
  <c r="T34" i="4"/>
  <c r="V34" i="4" s="1"/>
  <c r="CZ32" i="4"/>
  <c r="DA32" i="4"/>
  <c r="T32" i="4" s="1"/>
  <c r="V32" i="4" s="1"/>
  <c r="O32" i="4"/>
  <c r="T33" i="4"/>
  <c r="H32" i="4"/>
  <c r="TP32" i="4"/>
  <c r="TT32" i="4" s="1"/>
  <c r="K33" i="4"/>
  <c r="H33" i="4"/>
  <c r="TP33" i="4"/>
  <c r="TT33" i="4" s="1"/>
  <c r="M32" i="4"/>
  <c r="M33" i="4"/>
  <c r="E33" i="4" l="1"/>
  <c r="E32" i="4"/>
  <c r="U34" i="4"/>
  <c r="E34" i="4"/>
  <c r="V33" i="4"/>
  <c r="U33" i="4"/>
  <c r="U32" i="4"/>
  <c r="SX18" i="4" l="1"/>
  <c r="SY18" i="4"/>
  <c r="SZ18" i="4"/>
  <c r="TA18" i="4"/>
  <c r="TM18" i="4" s="1"/>
  <c r="TB18" i="4"/>
  <c r="TN18" i="4" s="1"/>
  <c r="TC18" i="4"/>
  <c r="TD18" i="4"/>
  <c r="TE18" i="4"/>
  <c r="TF18" i="4"/>
  <c r="TQ18" i="4" s="1"/>
  <c r="TG18" i="4"/>
  <c r="TR18" i="4" s="1"/>
  <c r="TH18" i="4"/>
  <c r="SX20" i="4"/>
  <c r="SY20" i="4"/>
  <c r="SZ20" i="4"/>
  <c r="TA20" i="4"/>
  <c r="TM20" i="4" s="1"/>
  <c r="TB20" i="4"/>
  <c r="TN20" i="4" s="1"/>
  <c r="TC20" i="4"/>
  <c r="TD20" i="4"/>
  <c r="TE20" i="4"/>
  <c r="TF20" i="4"/>
  <c r="TQ20" i="4" s="1"/>
  <c r="TG20" i="4"/>
  <c r="TR20" i="4" s="1"/>
  <c r="TH20" i="4"/>
  <c r="SX19" i="4"/>
  <c r="SY19" i="4"/>
  <c r="SZ19" i="4"/>
  <c r="TA19" i="4"/>
  <c r="TM19" i="4" s="1"/>
  <c r="TB19" i="4"/>
  <c r="TN19" i="4" s="1"/>
  <c r="TC19" i="4"/>
  <c r="TD19" i="4"/>
  <c r="TE19" i="4"/>
  <c r="TF19" i="4"/>
  <c r="TQ19" i="4" s="1"/>
  <c r="TG19" i="4"/>
  <c r="TR19" i="4" s="1"/>
  <c r="TH19" i="4"/>
  <c r="SX31" i="4"/>
  <c r="SY31" i="4"/>
  <c r="SZ31" i="4"/>
  <c r="TA31" i="4"/>
  <c r="TM31" i="4" s="1"/>
  <c r="TB31" i="4"/>
  <c r="TN31" i="4" s="1"/>
  <c r="TC31" i="4"/>
  <c r="TD31" i="4"/>
  <c r="TE31" i="4"/>
  <c r="TF31" i="4"/>
  <c r="TQ31" i="4" s="1"/>
  <c r="TG31" i="4"/>
  <c r="TR31" i="4" s="1"/>
  <c r="TH31" i="4"/>
  <c r="SX22" i="4"/>
  <c r="SY22" i="4"/>
  <c r="SZ22" i="4"/>
  <c r="TA22" i="4"/>
  <c r="TM22" i="4" s="1"/>
  <c r="TB22" i="4"/>
  <c r="TN22" i="4" s="1"/>
  <c r="TC22" i="4"/>
  <c r="TD22" i="4"/>
  <c r="TE22" i="4"/>
  <c r="TF22" i="4"/>
  <c r="TQ22" i="4" s="1"/>
  <c r="TG22" i="4"/>
  <c r="TR22" i="4" s="1"/>
  <c r="TH22" i="4"/>
  <c r="CQ18" i="4"/>
  <c r="CR18" i="4"/>
  <c r="CT18" i="4"/>
  <c r="CV18" i="4"/>
  <c r="CX18" i="4"/>
  <c r="CQ20" i="4"/>
  <c r="CR20" i="4"/>
  <c r="CT20" i="4"/>
  <c r="CV20" i="4"/>
  <c r="CX20" i="4"/>
  <c r="CQ19" i="4"/>
  <c r="CR19" i="4"/>
  <c r="R19" i="4" s="1"/>
  <c r="CT19" i="4"/>
  <c r="CX19" i="4"/>
  <c r="CQ31" i="4"/>
  <c r="CR31" i="4"/>
  <c r="CT31" i="4"/>
  <c r="CV31" i="4"/>
  <c r="CX31" i="4"/>
  <c r="CQ22" i="4"/>
  <c r="CR22" i="4"/>
  <c r="CT22" i="4"/>
  <c r="CV22" i="4"/>
  <c r="CX22" i="4"/>
  <c r="R22" i="4" l="1"/>
  <c r="R18" i="4"/>
  <c r="S18" i="4" s="1"/>
  <c r="R31" i="4"/>
  <c r="S31" i="4" s="1"/>
  <c r="R20" i="4"/>
  <c r="S20" i="4" s="1"/>
  <c r="N31" i="4"/>
  <c r="N18" i="4"/>
  <c r="N19" i="4"/>
  <c r="N22" i="4"/>
  <c r="N20" i="4"/>
  <c r="P20" i="4"/>
  <c r="Q20" i="4" s="1"/>
  <c r="P31" i="4"/>
  <c r="Q31" i="4" s="1"/>
  <c r="S22" i="4"/>
  <c r="P22" i="4"/>
  <c r="Q22" i="4" s="1"/>
  <c r="P18" i="4"/>
  <c r="Q18" i="4" s="1"/>
  <c r="L19" i="4"/>
  <c r="J22" i="4"/>
  <c r="L22" i="4"/>
  <c r="L18" i="4"/>
  <c r="CZ18" i="4" s="1"/>
  <c r="J18" i="4"/>
  <c r="J31" i="4"/>
  <c r="L31" i="4"/>
  <c r="J20" i="4"/>
  <c r="L20" i="4"/>
  <c r="J19" i="4"/>
  <c r="I18" i="4"/>
  <c r="G18" i="4"/>
  <c r="F18" i="4"/>
  <c r="G31" i="4"/>
  <c r="I31" i="4"/>
  <c r="F31" i="4"/>
  <c r="F20" i="4"/>
  <c r="G20" i="4"/>
  <c r="I20" i="4"/>
  <c r="I22" i="4"/>
  <c r="G22" i="4"/>
  <c r="F22" i="4"/>
  <c r="TO20" i="4"/>
  <c r="TS19" i="4"/>
  <c r="TS22" i="4"/>
  <c r="TO31" i="4"/>
  <c r="TS20" i="4"/>
  <c r="TO18" i="4"/>
  <c r="TS31" i="4"/>
  <c r="TO22" i="4"/>
  <c r="TS18" i="4"/>
  <c r="TO19" i="4"/>
  <c r="CU18" i="4"/>
  <c r="CY18" i="4" s="1"/>
  <c r="CU19" i="4"/>
  <c r="CY19" i="4" s="1"/>
  <c r="CU31" i="4"/>
  <c r="CY31" i="4" s="1"/>
  <c r="CU20" i="4"/>
  <c r="CY20" i="4" s="1"/>
  <c r="CU22" i="4"/>
  <c r="CY22" i="4" s="1"/>
  <c r="SU18" i="4"/>
  <c r="SV18" i="4"/>
  <c r="TJ18" i="4" s="1"/>
  <c r="SW18" i="4"/>
  <c r="TK18" i="4" s="1"/>
  <c r="SU20" i="4"/>
  <c r="SV20" i="4"/>
  <c r="TJ20" i="4" s="1"/>
  <c r="SW20" i="4"/>
  <c r="TK20" i="4" s="1"/>
  <c r="SU19" i="4"/>
  <c r="SV19" i="4"/>
  <c r="TJ19" i="4" s="1"/>
  <c r="SW19" i="4"/>
  <c r="TK19" i="4" s="1"/>
  <c r="SU31" i="4"/>
  <c r="SV31" i="4"/>
  <c r="TJ31" i="4" s="1"/>
  <c r="SW31" i="4"/>
  <c r="TK31" i="4" s="1"/>
  <c r="SU22" i="4"/>
  <c r="SV22" i="4"/>
  <c r="TJ22" i="4" s="1"/>
  <c r="SW22" i="4"/>
  <c r="TK22" i="4" s="1"/>
  <c r="ST18" i="4"/>
  <c r="ST20" i="4"/>
  <c r="ST19" i="4"/>
  <c r="ST31" i="4"/>
  <c r="ST22" i="4"/>
  <c r="K20" i="4" l="1"/>
  <c r="K19" i="4"/>
  <c r="K22" i="4"/>
  <c r="K31" i="4"/>
  <c r="CZ31" i="4"/>
  <c r="CZ22" i="4"/>
  <c r="CZ19" i="4"/>
  <c r="CZ20" i="4"/>
  <c r="DA19" i="4"/>
  <c r="O19" i="4"/>
  <c r="M19" i="4"/>
  <c r="DA18" i="4"/>
  <c r="T18" i="4" s="1"/>
  <c r="V18" i="4" s="1"/>
  <c r="O18" i="4"/>
  <c r="DA31" i="4"/>
  <c r="O31" i="4"/>
  <c r="DA20" i="4"/>
  <c r="O20" i="4"/>
  <c r="DA22" i="4"/>
  <c r="O22" i="4"/>
  <c r="K18" i="4"/>
  <c r="H31" i="4"/>
  <c r="H20" i="4"/>
  <c r="H18" i="4"/>
  <c r="H22" i="4"/>
  <c r="TL18" i="4"/>
  <c r="TP18" i="4" s="1"/>
  <c r="TT18" i="4" s="1"/>
  <c r="M22" i="4"/>
  <c r="M18" i="4"/>
  <c r="TL20" i="4"/>
  <c r="TP20" i="4" s="1"/>
  <c r="TT20" i="4" s="1"/>
  <c r="M20" i="4"/>
  <c r="TL19" i="4"/>
  <c r="TP19" i="4" s="1"/>
  <c r="TT19" i="4" s="1"/>
  <c r="TL22" i="4"/>
  <c r="TP22" i="4" s="1"/>
  <c r="TT22" i="4" s="1"/>
  <c r="M31" i="4"/>
  <c r="TL31" i="4"/>
  <c r="TP31" i="4" s="1"/>
  <c r="TT31" i="4" s="1"/>
  <c r="T31" i="4" l="1"/>
  <c r="V31" i="4" s="1"/>
  <c r="E18" i="4"/>
  <c r="T22" i="4"/>
  <c r="V22" i="4" s="1"/>
  <c r="T20" i="4"/>
  <c r="V20" i="4" s="1"/>
  <c r="U22" i="4"/>
  <c r="U31" i="4"/>
  <c r="U18" i="4"/>
  <c r="E31" i="4" l="1"/>
  <c r="E22" i="4"/>
  <c r="E20" i="4"/>
  <c r="U20" i="4"/>
  <c r="A34" i="4" a="1"/>
  <c r="A34" i="4" s="1"/>
  <c r="A32" i="4" a="1"/>
  <c r="A32" i="4" s="1"/>
  <c r="A31" i="4" l="1" a="1"/>
  <c r="A31" i="4" s="1"/>
  <c r="A22" i="4" l="1" a="1"/>
  <c r="A22" i="4" s="1"/>
  <c r="S19" i="4" l="1"/>
  <c r="P19" i="4"/>
  <c r="F19" i="4"/>
  <c r="G19" i="4"/>
  <c r="I19" i="4"/>
  <c r="Q19" i="4" l="1"/>
  <c r="H19" i="4"/>
  <c r="T19" i="4"/>
  <c r="E19" i="4" s="1"/>
  <c r="A8" i="4" l="1" a="1"/>
  <c r="A8" i="4" s="1"/>
  <c r="V19" i="4"/>
  <c r="U19" i="4"/>
  <c r="A28" i="4" l="1" a="1"/>
  <c r="A28" i="4" s="1"/>
  <c r="A25" i="4" a="1"/>
  <c r="A25" i="4" s="1"/>
  <c r="A5" i="4" a="1"/>
  <c r="A5" i="4" s="1"/>
  <c r="A21" i="4" a="1"/>
  <c r="A21" i="4" s="1"/>
  <c r="A6" i="4" a="1"/>
  <c r="A6" i="4" s="1"/>
  <c r="A12" i="4" a="1"/>
  <c r="A12" i="4" s="1"/>
  <c r="A7" i="4" a="1"/>
  <c r="A7" i="4" s="1"/>
  <c r="A17" i="4" a="1"/>
  <c r="A17" i="4" s="1"/>
  <c r="A15" i="4" a="1"/>
  <c r="A15" i="4" s="1"/>
  <c r="A4" i="4" a="1"/>
  <c r="A4" i="4" s="1"/>
  <c r="A11" i="4" a="1"/>
  <c r="A11" i="4" s="1"/>
  <c r="A9" i="4" a="1"/>
  <c r="A9" i="4" s="1"/>
  <c r="A10" i="4" a="1"/>
  <c r="A10" i="4" s="1"/>
  <c r="A13" i="4" a="1"/>
  <c r="A13" i="4" s="1"/>
  <c r="A20" i="4" a="1"/>
  <c r="A20" i="4" s="1"/>
  <c r="A33" i="4" a="1"/>
  <c r="A33" i="4" s="1"/>
  <c r="A19" i="4" a="1"/>
  <c r="A19" i="4" s="1"/>
  <c r="A18" i="4" a="1"/>
  <c r="A18" i="4" s="1"/>
  <c r="D4" i="11" l="1"/>
  <c r="C3" i="11"/>
  <c r="C2" i="11"/>
  <c r="C4" i="11"/>
  <c r="D5" i="11"/>
  <c r="D3" i="11"/>
  <c r="D2" i="11"/>
  <c r="C5" i="1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<sst xmlns="http://schemas.openxmlformats.org/spreadsheetml/2006/main" count="4015" uniqueCount="223">
  <si>
    <t>Province</t>
  </si>
  <si>
    <t>Rank</t>
  </si>
  <si>
    <t>Total Points</t>
  </si>
  <si>
    <t>ON</t>
  </si>
  <si>
    <t>AB</t>
  </si>
  <si>
    <t>BC</t>
  </si>
  <si>
    <t>QC</t>
  </si>
  <si>
    <t>DD</t>
  </si>
  <si>
    <t>Team Score</t>
  </si>
  <si>
    <t>Standing</t>
  </si>
  <si>
    <t>Best Final</t>
  </si>
  <si>
    <t>Best International Difference</t>
  </si>
  <si>
    <t>EX</t>
  </si>
  <si>
    <t>HD</t>
  </si>
  <si>
    <t>TOF</t>
  </si>
  <si>
    <t>Total</t>
  </si>
  <si>
    <t>Voluntary 1</t>
  </si>
  <si>
    <t>Voluntary 2</t>
  </si>
  <si>
    <t>Vol 1</t>
  </si>
  <si>
    <t>Vol 2</t>
  </si>
  <si>
    <t>Final</t>
  </si>
  <si>
    <t>Prelim</t>
  </si>
  <si>
    <t>Athlete</t>
  </si>
  <si>
    <t>Penalty</t>
  </si>
  <si>
    <t>Bonus</t>
  </si>
  <si>
    <t>Location</t>
  </si>
  <si>
    <t>Routine</t>
  </si>
  <si>
    <t>Merit Score</t>
  </si>
  <si>
    <t>Show data entry cells</t>
  </si>
  <si>
    <t>Hide data entry cells</t>
  </si>
  <si>
    <t>Sort names into correct order</t>
  </si>
  <si>
    <t>SK</t>
  </si>
  <si>
    <t>Team Members:</t>
  </si>
  <si>
    <t>TRA-M</t>
  </si>
  <si>
    <t>Member</t>
  </si>
  <si>
    <t>Last Updated:</t>
  </si>
  <si>
    <t>TRA-W</t>
  </si>
  <si>
    <t>TUM-M</t>
  </si>
  <si>
    <t>TUM-W</t>
  </si>
  <si>
    <t>DMT-M</t>
  </si>
  <si>
    <t>DMT-W</t>
  </si>
  <si>
    <t>National Team Score</t>
  </si>
  <si>
    <t>Worlds Team Score</t>
  </si>
  <si>
    <t>Worlds Team DD</t>
  </si>
  <si>
    <t>National Team DD</t>
  </si>
  <si>
    <t>Injury</t>
  </si>
  <si>
    <t>P</t>
  </si>
  <si>
    <t>Injury Score</t>
  </si>
  <si>
    <t>Year of Birth</t>
  </si>
  <si>
    <t>Select</t>
  </si>
  <si>
    <t>Delete oldest domestic trial</t>
  </si>
  <si>
    <t>Add a new athlete to:</t>
  </si>
  <si>
    <t>Best International Diff</t>
  </si>
  <si>
    <t>National Team DD and Score</t>
  </si>
  <si>
    <t>Excellence Score</t>
  </si>
  <si>
    <t>Excellence DD</t>
  </si>
  <si>
    <t>Potential Injury Score</t>
  </si>
  <si>
    <t>Finals DD</t>
  </si>
  <si>
    <t>Remove athlete:</t>
  </si>
  <si>
    <t>Delete oldest international competitions</t>
  </si>
  <si>
    <t>PILLINGER, Taylor</t>
  </si>
  <si>
    <t>LUPISH, Kieran</t>
  </si>
  <si>
    <t>Merit DD</t>
  </si>
  <si>
    <t>Vol 2 DD</t>
  </si>
  <si>
    <t>LOVE, Ethan</t>
  </si>
  <si>
    <t>NAGANO, Mariko</t>
  </si>
  <si>
    <t>BONHAM, Maja</t>
  </si>
  <si>
    <t>PEDERSEN, Mitchel</t>
  </si>
  <si>
    <t>PHANEUF, Zoe</t>
  </si>
  <si>
    <t>ZUREK, Nolan</t>
  </si>
  <si>
    <t>KARWACKI, Jordan</t>
  </si>
  <si>
    <t>Worlds Eligible</t>
  </si>
  <si>
    <t>DODD, Gavin</t>
  </si>
  <si>
    <t>BODNAR, Cassidy</t>
  </si>
  <si>
    <t>PARHAR, Jasmine</t>
  </si>
  <si>
    <t>LEVASSEUR, Nathan</t>
  </si>
  <si>
    <t>METHERAL, Hannah</t>
  </si>
  <si>
    <t>HOWELL, Kayla</t>
  </si>
  <si>
    <t>DONG, Helen</t>
  </si>
  <si>
    <t>Best Prelim Routine</t>
  </si>
  <si>
    <t>2nd Best Prelim Routine</t>
  </si>
  <si>
    <t>Best DD</t>
  </si>
  <si>
    <t>Best TOF
(with Team DD)</t>
  </si>
  <si>
    <t>Vol 1 DD</t>
  </si>
  <si>
    <t>Vol 1 TOF</t>
  </si>
  <si>
    <t>Vol 2 TOF</t>
  </si>
  <si>
    <t>Final DD</t>
  </si>
  <si>
    <t>Final TOF</t>
  </si>
  <si>
    <t>Semifinal</t>
  </si>
  <si>
    <t>Semifinal DD</t>
  </si>
  <si>
    <t>Semifinal TOF</t>
  </si>
  <si>
    <t>Q1 Pass 1</t>
  </si>
  <si>
    <t>Q1 Pass 2</t>
  </si>
  <si>
    <t>Q2</t>
  </si>
  <si>
    <t>F1</t>
  </si>
  <si>
    <t>F2</t>
  </si>
  <si>
    <t>Q1 DD</t>
  </si>
  <si>
    <t>Q1</t>
  </si>
  <si>
    <t>Finals</t>
  </si>
  <si>
    <t>Best Q1</t>
  </si>
  <si>
    <t>2nd Best Q1</t>
  </si>
  <si>
    <t>Best Q2</t>
  </si>
  <si>
    <t>Prelim DD</t>
  </si>
  <si>
    <t>THOMPSON, Justin</t>
  </si>
  <si>
    <t>SIMINIUC, Alexandra</t>
  </si>
  <si>
    <t>DYKMAN, Matvey</t>
  </si>
  <si>
    <t>BOLDIZAR, Samson</t>
  </si>
  <si>
    <t>NEUFELD, Simon</t>
  </si>
  <si>
    <t>CLOUTIER, Étienne</t>
  </si>
  <si>
    <t>2022 World Games Technical Trial #2 (May 15)</t>
  </si>
  <si>
    <t>2022 World Cup ITA (May 28)</t>
  </si>
  <si>
    <t>THOMPSON, Abby</t>
  </si>
  <si>
    <t>MEYER, Jeremy</t>
  </si>
  <si>
    <t>2022 World Cup POR (June 26)</t>
  </si>
  <si>
    <t>2022 Pan Am Championships (June 28)</t>
  </si>
  <si>
    <t>2022 Coimbra Gym Fest (June 26)</t>
  </si>
  <si>
    <t>2022 World Games (July 17)</t>
  </si>
  <si>
    <t>2022 World Games (July 16)</t>
  </si>
  <si>
    <t>2022 World Games (July 15)</t>
  </si>
  <si>
    <t>2022 Nationals</t>
  </si>
  <si>
    <t>NL</t>
  </si>
  <si>
    <t>EVSTIGNEEV, Gleb</t>
  </si>
  <si>
    <t>BONNE, Rielle</t>
  </si>
  <si>
    <t>STANNARD, Adam</t>
  </si>
  <si>
    <t>MALEK, Philo</t>
  </si>
  <si>
    <t>BOWDITCH, Courtney</t>
  </si>
  <si>
    <t>SCHOLES, Hannah</t>
  </si>
  <si>
    <t>MB</t>
  </si>
  <si>
    <t>KLASSEN, Isaiah</t>
  </si>
  <si>
    <t>2022 3rd Domestic Trial</t>
  </si>
  <si>
    <t>BIANCHET, Anthony</t>
  </si>
  <si>
    <t>IBACH, Sam</t>
  </si>
  <si>
    <t>2022 Worlds All Around Team Final (Nov 19)</t>
  </si>
  <si>
    <t>2022 Worlds (Nov 18)</t>
  </si>
  <si>
    <t>2022 Worlds (Nov 17)</t>
  </si>
  <si>
    <t>2022 Worlds All Around Team Finals (Nov 19)</t>
  </si>
  <si>
    <t>2022 Worlds Team Finals (Nov 17)</t>
  </si>
  <si>
    <t>2022 Worlds (Nov 16)</t>
  </si>
  <si>
    <t>2022 WAGC (Nov 23)</t>
  </si>
  <si>
    <t>2022 WAGC (Nov 25)</t>
  </si>
  <si>
    <t>2022 WAGC (Nov 24)</t>
  </si>
  <si>
    <t>COLLINSON, Brody</t>
  </si>
  <si>
    <t>DON, Alex</t>
  </si>
  <si>
    <t>GORDENKO-SADEVICH, Dennis</t>
  </si>
  <si>
    <t>SMITH, Haiden</t>
  </si>
  <si>
    <t>MIMEAULT, Thomas</t>
  </si>
  <si>
    <t>BOURGAULT-FOURNIER, Alexis</t>
  </si>
  <si>
    <t>THOMPSON, Derek</t>
  </si>
  <si>
    <t>FARNSWORTH, Brent</t>
  </si>
  <si>
    <t>MALLAIS, Rylan</t>
  </si>
  <si>
    <t>WALLMAN, Matthew</t>
  </si>
  <si>
    <t>REMIAS, Botond</t>
  </si>
  <si>
    <t>GIESBRECHT, Caleb</t>
  </si>
  <si>
    <t>KRAUSHAR, Sam</t>
  </si>
  <si>
    <t>KOOMAN, Spencer</t>
  </si>
  <si>
    <t>NOSSAK, Sophie</t>
  </si>
  <si>
    <t>ANDERSON, Julie</t>
  </si>
  <si>
    <t>LEBEL, Meggy</t>
  </si>
  <si>
    <t>PINNOCK, Liana</t>
  </si>
  <si>
    <t>PROBE, Celia</t>
  </si>
  <si>
    <t>KOTKAS, Katarina</t>
  </si>
  <si>
    <t>SAUVEUR, Laetiah</t>
  </si>
  <si>
    <t>BECKETT, Lindsey</t>
  </si>
  <si>
    <t>HOUGHTON, Kezia</t>
  </si>
  <si>
    <t>PAPAKYRIAKOPOULOS, Eleni</t>
  </si>
  <si>
    <t>DION, Amélia</t>
  </si>
  <si>
    <t>PEPPER, Nix</t>
  </si>
  <si>
    <t>THACKERAY, Nyla</t>
  </si>
  <si>
    <t>MCINTOSH, Cyena</t>
  </si>
  <si>
    <t>BECKETT, Aleisha</t>
  </si>
  <si>
    <t>WAX, Sophie</t>
  </si>
  <si>
    <t>RABIE, Zayden</t>
  </si>
  <si>
    <t>MACDONALD, Connor</t>
  </si>
  <si>
    <t>MOORE, Riley</t>
  </si>
  <si>
    <t>COUTURE, Joey</t>
  </si>
  <si>
    <t>VURRO, Chloe</t>
  </si>
  <si>
    <t>BERG, Katie</t>
  </si>
  <si>
    <t>MILINKOVIC, Julianna</t>
  </si>
  <si>
    <t>BASTIEN, Rose</t>
  </si>
  <si>
    <t>KELLY, Grace</t>
  </si>
  <si>
    <t>TARTOUSSIEH, Salma</t>
  </si>
  <si>
    <t>BISHOP, Seija</t>
  </si>
  <si>
    <t>PROULX, Kegan</t>
  </si>
  <si>
    <t>MATHIEU, Jean</t>
  </si>
  <si>
    <t>PINSK, Benjamin</t>
  </si>
  <si>
    <t>LIVESEY, Ronan</t>
  </si>
  <si>
    <t>KOCHYLEMA, Jacob</t>
  </si>
  <si>
    <t>ANGST, Caelyn</t>
  </si>
  <si>
    <t>LEBLANC, Lauren</t>
  </si>
  <si>
    <t>GROVES, Chelsea</t>
  </si>
  <si>
    <t>PEPPER, Emily</t>
  </si>
  <si>
    <t>CHEW, Keara</t>
  </si>
  <si>
    <t>MOUNTAIN, Dani</t>
  </si>
  <si>
    <t>Best
Final/3rd Best Prelim</t>
  </si>
  <si>
    <t>Optional</t>
  </si>
  <si>
    <t>2023 World Cup AZE (Feb 19)</t>
  </si>
  <si>
    <t>VIAU, Nathan</t>
  </si>
  <si>
    <t>DUCHESNE, Livia</t>
  </si>
  <si>
    <t>FLOYD, Anna</t>
  </si>
  <si>
    <t>2023 Elite Canada</t>
  </si>
  <si>
    <t>BOISSEAU, Mathilde</t>
  </si>
  <si>
    <t>GADSBY, Blythe</t>
  </si>
  <si>
    <t>TOSH, Megan</t>
  </si>
  <si>
    <t>HIGHSTEAD, Declan</t>
  </si>
  <si>
    <t>GAGNÉ, Julien</t>
  </si>
  <si>
    <t>MERCIER, Loïc</t>
  </si>
  <si>
    <t>SUSKO, Matthew</t>
  </si>
  <si>
    <t>ISAAC, Noah</t>
  </si>
  <si>
    <t>PEREIRA, Samuel</t>
  </si>
  <si>
    <t>JACKSON, Claire</t>
  </si>
  <si>
    <t>OLSEN, Brooklyn</t>
  </si>
  <si>
    <t>ADJEMIAN, Alexan</t>
  </si>
  <si>
    <t>ROY, Anne-Jolie</t>
  </si>
  <si>
    <t>JAMES, Roshni</t>
  </si>
  <si>
    <t>MATTHEWS, Jared</t>
  </si>
  <si>
    <t>Éthier, William</t>
  </si>
  <si>
    <t>WYGERIA, Liam</t>
  </si>
  <si>
    <t>GANDZA, Vince</t>
  </si>
  <si>
    <t>BERKENBOSCH, Bence</t>
  </si>
  <si>
    <t>PIPKO, Halle</t>
  </si>
  <si>
    <t>CHRISTENSEN, Destiny</t>
  </si>
  <si>
    <t>RYGA, Ruby</t>
  </si>
  <si>
    <t>2023 Nationals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</si>
</sst>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[$-F800]dddd\,\ mmmm\ dd\,\ yyyy"/>
  </numFmts>
  <fonts count="23" x14ac:knownFonts="1">
    <font>
      <sz val="12"/>
      <color theme="1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name val="Calibri"/>
      <family val="2"/>
      <scheme val="minor"/>
    </font>
    <font>
      <sz val="12"/>
      <color theme="1"/>
      <name val="Wingdings 2"/>
      <charset val="2"/>
    </font>
    <font>
      <sz val="12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B0F0"/>
      <name val="Calibri"/>
      <family val="2"/>
      <scheme val="minor"/>
    </font>
    <font>
      <sz val="12"/>
      <color rgb="FF7030A0"/>
      <name val="Calibri"/>
      <family val="2"/>
      <scheme val="minor"/>
    </font>
    <font>
      <sz val="12"/>
      <color rgb="FF000000"/>
      <name val="Calibri"/>
      <family val="2"/>
      <scheme val="minor"/>
    </font>
    <font>
      <sz val="13"/>
      <color rgb="FF333333"/>
      <name val="Verdana"/>
      <family val="2"/>
    </font>
    <font>
      <sz val="10"/>
      <color rgb="FF000000"/>
      <name val="Helvetica"/>
      <family val="2"/>
    </font>
    <font>
      <sz val="12"/>
      <color rgb="FF000000"/>
      <name val="Calibri"/>
      <family val="2"/>
    </font>
    <font>
      <sz val="12"/>
      <color rgb="FFC00000"/>
      <name val="Calibri"/>
      <family val="2"/>
      <scheme val="minor"/>
    </font>
    <font>
      <sz val="12"/>
      <color rgb="FFFFB000"/>
      <name val="Calibri"/>
      <family val="2"/>
      <scheme val="minor"/>
    </font>
    <font>
      <sz val="12"/>
      <name val="Wingdings 2"/>
      <charset val="2"/>
    </font>
    <font>
      <sz val="12"/>
      <color rgb="FFFF7000"/>
      <name val="Calibri"/>
      <family val="2"/>
      <scheme val="minor"/>
    </font>
    <font>
      <sz val="12"/>
      <color rgb="FF002060"/>
      <name val="Calibri"/>
      <family val="2"/>
      <scheme val="minor"/>
    </font>
    <font>
      <sz val="12"/>
      <color rgb="FFFF03FD"/>
      <name val="Calibri"/>
      <family val="2"/>
      <scheme val="minor"/>
    </font>
    <font>
      <sz val="12"/>
      <color rgb="FF07B459"/>
      <name val="Calibri"/>
      <family val="2"/>
      <scheme val="minor"/>
    </font>
    <font>
      <sz val="12"/>
      <color rgb="FF00B050"/>
      <name val="Calibri"/>
      <family val="2"/>
      <scheme val="minor"/>
    </font>
    <font>
      <sz val="12"/>
      <color rgb="FFFF00FC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E5C6FA"/>
        <bgColor indexed="64"/>
      </patternFill>
    </fill>
    <fill>
      <patternFill patternType="solid">
        <fgColor theme="2"/>
        <bgColor rgb="FF000000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D1AD"/>
        <bgColor indexed="64"/>
      </patternFill>
    </fill>
    <fill>
      <patternFill patternType="solid">
        <fgColor rgb="FFFFB6B7"/>
        <bgColor indexed="64"/>
      </patternFill>
    </fill>
    <fill>
      <patternFill patternType="solid">
        <fgColor rgb="FFFFD1AD"/>
        <bgColor rgb="FF000000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BFFE"/>
        <bgColor indexed="64"/>
      </patternFill>
    </fill>
    <fill>
      <patternFill patternType="solid">
        <fgColor rgb="FFFFBFFF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49">
    <xf numFmtId="0" fontId="0" fillId="0" borderId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</cellStyleXfs>
  <cellXfs count="78">
    <xf numFmtId="0" fontId="0" fillId="0" borderId="0" xfId="0"/>
    <xf numFmtId="0" fontId="3" fillId="0" borderId="0" xfId="0" applyFont="1" applyAlignment="1">
      <alignment horizontal="center"/>
    </xf>
    <xf numFmtId="164" fontId="0" fillId="0" borderId="0" xfId="0" applyNumberFormat="1"/>
    <xf numFmtId="0" fontId="4" fillId="0" borderId="0" xfId="0" applyFont="1" applyAlignment="1">
      <alignment horizontal="center"/>
    </xf>
    <xf numFmtId="0" fontId="5" fillId="0" borderId="0" xfId="0" applyFont="1" applyAlignment="1">
      <alignment horizontal="center"/>
    </xf>
    <xf numFmtId="0" fontId="5" fillId="0" borderId="0" xfId="0" applyFont="1"/>
    <xf numFmtId="0" fontId="0" fillId="2" borderId="0" xfId="0" applyFill="1"/>
    <xf numFmtId="0" fontId="0" fillId="3" borderId="0" xfId="0" applyFill="1"/>
    <xf numFmtId="164" fontId="0" fillId="3" borderId="0" xfId="0" applyNumberFormat="1" applyFill="1"/>
    <xf numFmtId="164" fontId="2" fillId="0" borderId="0" xfId="0" applyNumberFormat="1" applyFont="1"/>
    <xf numFmtId="0" fontId="11" fillId="0" borderId="0" xfId="0" applyFont="1"/>
    <xf numFmtId="164" fontId="0" fillId="3" borderId="0" xfId="0" applyNumberFormat="1" applyFill="1" applyAlignment="1">
      <alignment horizontal="center"/>
    </xf>
    <xf numFmtId="0" fontId="0" fillId="0" borderId="0" xfId="0" applyAlignment="1">
      <alignment horizontal="left"/>
    </xf>
    <xf numFmtId="0" fontId="0" fillId="3" borderId="0" xfId="0" applyFill="1" applyAlignment="1">
      <alignment horizontal="center"/>
    </xf>
    <xf numFmtId="0" fontId="0" fillId="2" borderId="0" xfId="0" applyFill="1" applyAlignment="1">
      <alignment horizontal="center"/>
    </xf>
    <xf numFmtId="0" fontId="10" fillId="2" borderId="0" xfId="0" applyFont="1" applyFill="1" applyAlignment="1">
      <alignment horizontal="center"/>
    </xf>
    <xf numFmtId="0" fontId="10" fillId="3" borderId="0" xfId="0" applyFont="1" applyFill="1" applyAlignment="1">
      <alignment horizontal="center"/>
    </xf>
    <xf numFmtId="164" fontId="0" fillId="2" borderId="1" xfId="0" applyNumberFormat="1" applyFill="1" applyBorder="1" applyProtection="1">
      <protection locked="0"/>
    </xf>
    <xf numFmtId="164" fontId="0" fillId="3" borderId="1" xfId="0" applyNumberFormat="1" applyFill="1" applyBorder="1" applyProtection="1">
      <protection locked="0"/>
    </xf>
    <xf numFmtId="164" fontId="0" fillId="2" borderId="1" xfId="0" applyNumberFormat="1" applyFill="1" applyBorder="1" applyAlignment="1" applyProtection="1">
      <alignment horizontal="left"/>
      <protection locked="0"/>
    </xf>
    <xf numFmtId="164" fontId="5" fillId="0" borderId="0" xfId="0" applyNumberFormat="1" applyFont="1"/>
    <xf numFmtId="0" fontId="10" fillId="8" borderId="0" xfId="0" applyFont="1" applyFill="1" applyAlignment="1">
      <alignment horizontal="center"/>
    </xf>
    <xf numFmtId="164" fontId="5" fillId="2" borderId="1" xfId="0" applyNumberFormat="1" applyFont="1" applyFill="1" applyBorder="1" applyProtection="1">
      <protection locked="0"/>
    </xf>
    <xf numFmtId="0" fontId="15" fillId="5" borderId="0" xfId="0" applyFont="1" applyFill="1"/>
    <xf numFmtId="0" fontId="8" fillId="6" borderId="0" xfId="0" applyFont="1" applyFill="1"/>
    <xf numFmtId="0" fontId="9" fillId="7" borderId="0" xfId="0" applyFont="1" applyFill="1"/>
    <xf numFmtId="164" fontId="5" fillId="3" borderId="1" xfId="0" applyNumberFormat="1" applyFont="1" applyFill="1" applyBorder="1" applyProtection="1">
      <protection locked="0"/>
    </xf>
    <xf numFmtId="164" fontId="16" fillId="2" borderId="1" xfId="0" applyNumberFormat="1" applyFont="1" applyFill="1" applyBorder="1" applyAlignment="1" applyProtection="1">
      <alignment horizontal="center"/>
      <protection locked="0"/>
    </xf>
    <xf numFmtId="164" fontId="16" fillId="3" borderId="1" xfId="0" applyNumberFormat="1" applyFont="1" applyFill="1" applyBorder="1" applyAlignment="1" applyProtection="1">
      <alignment horizontal="center"/>
      <protection locked="0"/>
    </xf>
    <xf numFmtId="0" fontId="14" fillId="0" borderId="0" xfId="0" applyFont="1"/>
    <xf numFmtId="0" fontId="17" fillId="10" borderId="0" xfId="0" applyFont="1" applyFill="1"/>
    <xf numFmtId="0" fontId="1" fillId="11" borderId="0" xfId="0" applyFont="1" applyFill="1"/>
    <xf numFmtId="164" fontId="0" fillId="0" borderId="0" xfId="0" applyNumberFormat="1" applyAlignment="1">
      <alignment horizontal="center"/>
    </xf>
    <xf numFmtId="0" fontId="18" fillId="13" borderId="0" xfId="0" applyFont="1" applyFill="1"/>
    <xf numFmtId="0" fontId="20" fillId="4" borderId="0" xfId="0" applyFont="1" applyFill="1"/>
    <xf numFmtId="0" fontId="19" fillId="14" borderId="0" xfId="0" applyFont="1" applyFill="1"/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164" fontId="5" fillId="2" borderId="0" xfId="0" applyNumberFormat="1" applyFont="1" applyFill="1" applyAlignment="1" applyProtection="1">
      <alignment horizontal="center"/>
      <protection locked="0"/>
    </xf>
    <xf numFmtId="164" fontId="5" fillId="3" borderId="0" xfId="0" applyNumberFormat="1" applyFont="1" applyFill="1" applyAlignment="1" applyProtection="1">
      <alignment horizontal="center"/>
      <protection locked="0"/>
    </xf>
    <xf numFmtId="164" fontId="0" fillId="2" borderId="0" xfId="0" applyNumberFormat="1" applyFill="1" applyAlignment="1">
      <alignment horizontal="center"/>
    </xf>
    <xf numFmtId="164" fontId="5" fillId="0" borderId="0" xfId="0" applyNumberFormat="1" applyFont="1" applyAlignment="1" applyProtection="1">
      <alignment horizontal="center"/>
      <protection locked="0"/>
    </xf>
    <xf numFmtId="164" fontId="15" fillId="5" borderId="0" xfId="0" applyNumberFormat="1" applyFont="1" applyFill="1" applyAlignment="1" applyProtection="1">
      <alignment horizontal="center"/>
      <protection locked="0"/>
    </xf>
    <xf numFmtId="164" fontId="1" fillId="11" borderId="0" xfId="0" applyNumberFormat="1" applyFont="1" applyFill="1" applyAlignment="1" applyProtection="1">
      <alignment horizontal="center"/>
      <protection locked="0"/>
    </xf>
    <xf numFmtId="164" fontId="19" fillId="14" borderId="0" xfId="0" applyNumberFormat="1" applyFont="1" applyFill="1" applyAlignment="1" applyProtection="1">
      <alignment horizontal="center"/>
      <protection locked="0"/>
    </xf>
    <xf numFmtId="164" fontId="20" fillId="4" borderId="0" xfId="0" applyNumberFormat="1" applyFont="1" applyFill="1" applyAlignment="1" applyProtection="1">
      <alignment horizontal="center"/>
      <protection locked="0"/>
    </xf>
    <xf numFmtId="164" fontId="8" fillId="6" borderId="0" xfId="0" applyNumberFormat="1" applyFont="1" applyFill="1" applyAlignment="1" applyProtection="1">
      <alignment horizontal="center"/>
      <protection locked="0"/>
    </xf>
    <xf numFmtId="164" fontId="18" fillId="13" borderId="0" xfId="0" applyNumberFormat="1" applyFont="1" applyFill="1" applyAlignment="1" applyProtection="1">
      <alignment horizontal="center"/>
      <protection locked="0"/>
    </xf>
    <xf numFmtId="164" fontId="9" fillId="7" borderId="0" xfId="0" applyNumberFormat="1" applyFont="1" applyFill="1" applyAlignment="1" applyProtection="1">
      <alignment horizontal="center"/>
      <protection locked="0"/>
    </xf>
    <xf numFmtId="0" fontId="0" fillId="9" borderId="0" xfId="0" applyFill="1" applyAlignment="1">
      <alignment horizontal="center"/>
    </xf>
    <xf numFmtId="164" fontId="0" fillId="9" borderId="0" xfId="0" applyNumberFormat="1" applyFill="1" applyAlignment="1">
      <alignment horizontal="center"/>
    </xf>
    <xf numFmtId="164" fontId="17" fillId="10" borderId="0" xfId="0" applyNumberFormat="1" applyFont="1" applyFill="1" applyAlignment="1" applyProtection="1">
      <alignment horizontal="center"/>
      <protection locked="0"/>
    </xf>
    <xf numFmtId="2" fontId="0" fillId="0" borderId="0" xfId="0" applyNumberFormat="1"/>
    <xf numFmtId="164" fontId="15" fillId="5" borderId="0" xfId="0" applyNumberFormat="1" applyFont="1" applyFill="1" applyProtection="1">
      <protection locked="0"/>
    </xf>
    <xf numFmtId="164" fontId="17" fillId="12" borderId="0" xfId="0" applyNumberFormat="1" applyFont="1" applyFill="1" applyProtection="1">
      <protection locked="0"/>
    </xf>
    <xf numFmtId="164" fontId="1" fillId="11" borderId="0" xfId="0" applyNumberFormat="1" applyFont="1" applyFill="1" applyProtection="1">
      <protection locked="0"/>
    </xf>
    <xf numFmtId="164" fontId="19" fillId="14" borderId="0" xfId="0" applyNumberFormat="1" applyFont="1" applyFill="1" applyProtection="1">
      <protection locked="0"/>
    </xf>
    <xf numFmtId="164" fontId="20" fillId="4" borderId="0" xfId="0" applyNumberFormat="1" applyFont="1" applyFill="1" applyProtection="1">
      <protection locked="0"/>
    </xf>
    <xf numFmtId="164" fontId="8" fillId="6" borderId="0" xfId="0" applyNumberFormat="1" applyFont="1" applyFill="1" applyProtection="1">
      <protection locked="0"/>
    </xf>
    <xf numFmtId="164" fontId="18" fillId="13" borderId="0" xfId="0" applyNumberFormat="1" applyFont="1" applyFill="1" applyProtection="1">
      <protection locked="0"/>
    </xf>
    <xf numFmtId="164" fontId="9" fillId="7" borderId="0" xfId="0" applyNumberFormat="1" applyFont="1" applyFill="1" applyProtection="1">
      <protection locked="0"/>
    </xf>
    <xf numFmtId="0" fontId="0" fillId="0" borderId="0" xfId="0" quotePrefix="1"/>
    <xf numFmtId="164" fontId="22" fillId="15" borderId="0" xfId="0" applyNumberFormat="1" applyFont="1" applyFill="1" applyAlignment="1" applyProtection="1">
      <alignment horizontal="center"/>
      <protection locked="0"/>
    </xf>
    <xf numFmtId="164" fontId="21" fillId="4" borderId="0" xfId="0" applyNumberFormat="1" applyFont="1" applyFill="1" applyAlignment="1" applyProtection="1">
      <alignment horizontal="center"/>
      <protection locked="0"/>
    </xf>
    <xf numFmtId="165" fontId="0" fillId="0" borderId="0" xfId="0" applyNumberFormat="1" applyAlignment="1">
      <alignment horizontal="left"/>
    </xf>
    <xf numFmtId="0" fontId="0" fillId="3" borderId="0" xfId="0" applyFill="1" applyAlignment="1">
      <alignment horizontal="center"/>
    </xf>
    <xf numFmtId="0" fontId="2" fillId="2" borderId="0" xfId="0" applyFont="1" applyFill="1" applyAlignment="1" applyProtection="1">
      <alignment horizontal="center"/>
      <protection locked="0"/>
    </xf>
    <xf numFmtId="0" fontId="2" fillId="3" borderId="0" xfId="0" applyFont="1" applyFill="1" applyAlignment="1" applyProtection="1">
      <alignment horizontal="center"/>
      <protection locked="0"/>
    </xf>
    <xf numFmtId="0" fontId="0" fillId="2" borderId="0" xfId="0" applyFill="1" applyAlignment="1">
      <alignment horizontal="center"/>
    </xf>
    <xf numFmtId="0" fontId="2" fillId="9" borderId="0" xfId="0" applyFont="1" applyFill="1" applyAlignment="1" applyProtection="1">
      <alignment horizontal="center"/>
      <protection locked="0"/>
    </xf>
    <xf numFmtId="0" fontId="2" fillId="3" borderId="0" xfId="0" applyFont="1" applyFill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3" borderId="0" xfId="0" applyFont="1" applyFill="1" applyAlignment="1">
      <alignment horizontal="center" vertical="center" wrapText="1"/>
    </xf>
    <xf numFmtId="0" fontId="2" fillId="3" borderId="0" xfId="0" applyFont="1" applyFill="1" applyAlignment="1">
      <alignment vertical="center"/>
    </xf>
    <xf numFmtId="0" fontId="2" fillId="0" borderId="0" xfId="0" applyFont="1" applyAlignment="1">
      <alignment horizontal="center" vertical="center" wrapText="1"/>
    </xf>
    <xf numFmtId="0" fontId="10" fillId="8" borderId="0" xfId="0" applyFont="1" applyFill="1" applyAlignment="1">
      <alignment horizontal="center"/>
    </xf>
    <xf numFmtId="0" fontId="10" fillId="3" borderId="0" xfId="0" applyFont="1" applyFill="1" applyAlignment="1">
      <alignment horizontal="center"/>
    </xf>
    <xf numFmtId="0" fontId="10" fillId="2" borderId="0" xfId="0" applyFont="1" applyFill="1" applyAlignment="1">
      <alignment horizontal="center"/>
    </xf>
  </cellXfs>
  <cellStyles count="49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Normal" xfId="0" builtinId="0"/>
  </cellStyles>
  <dxfs count="429"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</dxfs>
  <tableStyles count="0" defaultTableStyle="TableStyleMedium9" defaultPivotStyle="PivotStyleMedium7"/>
  <colors>
    <mruColors>
      <color rgb="FFFFAF00"/>
      <color rgb="FFFF7000"/>
      <color rgb="FFFFD1AD"/>
      <color rgb="FFFFB5B7"/>
      <color rgb="FFFF03FD"/>
      <color rgb="FFFFBFFE"/>
      <color rgb="FFFFF3CC"/>
      <color rgb="FFFF0E0D"/>
      <color rgb="FFE6C6FB"/>
      <color rgb="FFB4C6E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26</xdr:row>
          <xdr:rowOff>25400</xdr:rowOff>
        </xdr:from>
        <xdr:to>
          <xdr:col>0</xdr:col>
          <xdr:colOff>965200</xdr:colOff>
          <xdr:row>26</xdr:row>
          <xdr:rowOff>177800</xdr:rowOff>
        </xdr:to>
        <xdr:sp macro="" textlink="">
          <xdr:nvSpPr>
            <xdr:cNvPr id="2049" name="Sort Names" descr="Sort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Helvetica" pitchFamily="2" charset="0"/>
                </a:rPr>
                <a:t>Sort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27</xdr:row>
          <xdr:rowOff>25400</xdr:rowOff>
        </xdr:from>
        <xdr:to>
          <xdr:col>0</xdr:col>
          <xdr:colOff>965200</xdr:colOff>
          <xdr:row>27</xdr:row>
          <xdr:rowOff>190500</xdr:rowOff>
        </xdr:to>
        <xdr:sp macro="" textlink="">
          <xdr:nvSpPr>
            <xdr:cNvPr id="2050" name="Show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Show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28</xdr:row>
          <xdr:rowOff>38100</xdr:rowOff>
        </xdr:from>
        <xdr:to>
          <xdr:col>0</xdr:col>
          <xdr:colOff>965200</xdr:colOff>
          <xdr:row>28</xdr:row>
          <xdr:rowOff>190500</xdr:rowOff>
        </xdr:to>
        <xdr:sp macro="" textlink="">
          <xdr:nvSpPr>
            <xdr:cNvPr id="2051" name="Button 3" descr="Hide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Helvetica" pitchFamily="2" charset="0"/>
                </a:rPr>
                <a:t>Hide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29</xdr:row>
          <xdr:rowOff>25400</xdr:rowOff>
        </xdr:from>
        <xdr:to>
          <xdr:col>0</xdr:col>
          <xdr:colOff>977900</xdr:colOff>
          <xdr:row>29</xdr:row>
          <xdr:rowOff>177800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Add Athlete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31</xdr:row>
          <xdr:rowOff>25400</xdr:rowOff>
        </xdr:from>
        <xdr:to>
          <xdr:col>0</xdr:col>
          <xdr:colOff>977900</xdr:colOff>
          <xdr:row>31</xdr:row>
          <xdr:rowOff>177800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Domestic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32</xdr:row>
          <xdr:rowOff>25400</xdr:rowOff>
        </xdr:from>
        <xdr:to>
          <xdr:col>0</xdr:col>
          <xdr:colOff>965200</xdr:colOff>
          <xdr:row>32</xdr:row>
          <xdr:rowOff>177800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International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30</xdr:row>
          <xdr:rowOff>25400</xdr:rowOff>
        </xdr:from>
        <xdr:to>
          <xdr:col>0</xdr:col>
          <xdr:colOff>977900</xdr:colOff>
          <xdr:row>30</xdr:row>
          <xdr:rowOff>177800</xdr:rowOff>
        </xdr:to>
        <xdr:sp macro="" textlink="">
          <xdr:nvSpPr>
            <xdr:cNvPr id="2061" name="Button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0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Remove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12700</xdr:colOff>
          <xdr:row>31</xdr:row>
          <xdr:rowOff>12700</xdr:rowOff>
        </xdr:from>
        <xdr:to>
          <xdr:col>4</xdr:col>
          <xdr:colOff>495300</xdr:colOff>
          <xdr:row>31</xdr:row>
          <xdr:rowOff>177800</xdr:rowOff>
        </xdr:to>
        <xdr:sp macro="" textlink="">
          <xdr:nvSpPr>
            <xdr:cNvPr id="2082" name="Button 34" descr="Remove Ineligible" hidden="1">
              <a:extLst>
                <a:ext uri="{63B3BB69-23CF-44E3-9099-C40C66FF867C}">
                  <a14:compatExt spid="_x0000_s2082"/>
                </a:ext>
                <a:ext uri="{FF2B5EF4-FFF2-40B4-BE49-F238E27FC236}">
                  <a16:creationId xmlns:a16="http://schemas.microsoft.com/office/drawing/2014/main" id="{00000000-0008-0000-0000-00002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Remove Ineligible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9"/>
  <dimension ref="A1:F38"/>
  <sheetViews>
    <sheetView tabSelected="1" zoomScaleNormal="100" workbookViewId="0"/>
  </sheetViews>
  <sheetFormatPr baseColWidth="10" defaultRowHeight="16" x14ac:dyDescent="0.2"/>
  <cols>
    <col min="1" max="1" width="14.5" bestFit="1" customWidth="1"/>
    <col min="2" max="2" width="7.1640625" customWidth="1"/>
    <col min="3" max="3" width="26.83203125" customWidth="1"/>
    <col min="4" max="4" width="13.33203125" bestFit="1" customWidth="1"/>
    <col min="5" max="5" width="6.6640625" bestFit="1" customWidth="1"/>
    <col min="6" max="6" width="21.33203125" bestFit="1" customWidth="1"/>
    <col min="7" max="7" width="25.1640625" bestFit="1" customWidth="1"/>
    <col min="8" max="8" width="35" bestFit="1" customWidth="1"/>
    <col min="9" max="9" width="14.83203125" bestFit="1" customWidth="1"/>
    <col min="10" max="10" width="8.1640625" bestFit="1" customWidth="1"/>
    <col min="11" max="11" width="6.6640625" bestFit="1" customWidth="1"/>
    <col min="12" max="12" width="17.5" bestFit="1" customWidth="1"/>
    <col min="13" max="13" width="8.1640625" bestFit="1" customWidth="1"/>
    <col min="14" max="14" width="7.33203125" bestFit="1" customWidth="1"/>
    <col min="15" max="15" width="19.5" bestFit="1" customWidth="1"/>
    <col min="16" max="16" width="8.1640625" bestFit="1" customWidth="1"/>
    <col min="17" max="17" width="7.5" bestFit="1" customWidth="1"/>
    <col min="18" max="18" width="14.1640625" bestFit="1" customWidth="1"/>
    <col min="20" max="20" width="7.33203125" customWidth="1"/>
    <col min="21" max="21" width="16.83203125" customWidth="1"/>
    <col min="22" max="22" width="8.1640625" customWidth="1"/>
    <col min="23" max="23" width="7.33203125" customWidth="1"/>
    <col min="24" max="24" width="16.83203125" customWidth="1"/>
    <col min="25" max="25" width="11" customWidth="1"/>
    <col min="26" max="34" width="10.83203125" customWidth="1"/>
    <col min="41" max="55" width="10.83203125" customWidth="1"/>
    <col min="62" max="76" width="10.83203125" customWidth="1"/>
    <col min="86" max="100" width="10.83203125" customWidth="1"/>
    <col min="107" max="121" width="10.83203125" customWidth="1"/>
    <col min="128" max="142" width="10.83203125" customWidth="1"/>
    <col min="149" max="163" width="10.83203125" customWidth="1"/>
    <col min="170" max="184" width="10.83203125" customWidth="1"/>
    <col min="191" max="205" width="10.83203125" customWidth="1"/>
    <col min="212" max="226" width="10.83203125" customWidth="1"/>
    <col min="233" max="247" width="10.83203125" customWidth="1"/>
    <col min="254" max="268" width="10.83203125" customWidth="1"/>
    <col min="275" max="289" width="10.83203125" customWidth="1"/>
    <col min="296" max="310" width="10.83203125" customWidth="1"/>
    <col min="317" max="331" width="10.83203125" customWidth="1"/>
  </cols>
  <sheetData>
    <row r="1" spans="1:6" x14ac:dyDescent="0.2">
      <c r="A1" t="s">
        <v>32</v>
      </c>
      <c r="B1" t="s">
        <v>1</v>
      </c>
      <c r="C1" t="s">
        <v>34</v>
      </c>
      <c r="D1" s="36" t="s">
        <v>9</v>
      </c>
    </row>
    <row r="2" spans="1:6" x14ac:dyDescent="0.2">
      <c r="A2" s="6" t="s">
        <v>33</v>
      </c>
      <c r="B2" s="6">
        <v>1</v>
      </c>
      <c r="C2" s="6" t="str">
        <f>IF(B2&gt;MAX('TRA-M'!A:A),"",INDEX('TRA-M'!B:B,MATCH(B2,'TRA-M'!A:A,0)))</f>
        <v>DODD, Gavin</v>
      </c>
      <c r="D2" s="14" t="str">
        <f>IF(B2&gt;MAX('TRA-M'!A:A),"",INDEX('TRA-M'!H:H,MATCH(B2,'TRA-M'!A:A,0)))</f>
        <v>National Team</v>
      </c>
      <c r="E2" s="12"/>
      <c r="F2" s="12"/>
    </row>
    <row r="3" spans="1:6" x14ac:dyDescent="0.2">
      <c r="A3" s="6"/>
      <c r="B3" s="6">
        <v>2</v>
      </c>
      <c r="C3" s="6" t="str">
        <f>IF(B3&gt;MAX('TRA-M'!A:A),"",INDEX('TRA-M'!B:B,MATCH(B3,'TRA-M'!A:A,0)))</f>
        <v>EVSTIGNEEV, Gleb</v>
      </c>
      <c r="D3" s="14" t="str">
        <f>IF(B3&gt;MAX('TRA-M'!A:A),"",INDEX('TRA-M'!H:H,MATCH(B3,'TRA-M'!A:A,0)))</f>
        <v>National Team</v>
      </c>
      <c r="E3" s="12"/>
      <c r="F3" s="12"/>
    </row>
    <row r="4" spans="1:6" x14ac:dyDescent="0.2">
      <c r="A4" s="6"/>
      <c r="B4" s="6">
        <v>3</v>
      </c>
      <c r="C4" s="6" t="str">
        <f>IF(B4&gt;MAX('TRA-M'!A:A),"",INDEX('TRA-M'!B:B,MATCH(B4,'TRA-M'!A:A,0)))</f>
        <v>CLOUTIER, Étienne</v>
      </c>
      <c r="D4" s="14" t="str">
        <f>IF(B4&gt;MAX('TRA-M'!A:A),"",INDEX('TRA-M'!H:H,MATCH(B4,'TRA-M'!A:A,0)))</f>
        <v>National Team</v>
      </c>
      <c r="E4" s="12"/>
      <c r="F4" s="12"/>
    </row>
    <row r="5" spans="1:6" x14ac:dyDescent="0.2">
      <c r="A5" s="6"/>
      <c r="B5" s="6">
        <v>4</v>
      </c>
      <c r="C5" s="6" t="str">
        <f>IF(B5&gt;MAX('TRA-M'!A:A),"",INDEX('TRA-M'!B:B,MATCH(B5,'TRA-M'!A:A,0)))</f>
        <v>LEVASSEUR, Nathan</v>
      </c>
      <c r="D5" s="14" t="str">
        <f>IF(B5&gt;MAX('TRA-M'!A:A),"",INDEX('TRA-M'!H:H,MATCH(B5,'TRA-M'!A:A,0)))</f>
        <v>National Team</v>
      </c>
    </row>
    <row r="6" spans="1:6" x14ac:dyDescent="0.2">
      <c r="A6" s="7" t="s">
        <v>36</v>
      </c>
      <c r="B6" s="7">
        <v>1</v>
      </c>
      <c r="C6" s="7" t="str">
        <f>IF(B2&gt;MAX('TRA-W'!A:A),"",INDEX('TRA-W'!B:B,MATCH(B2,'TRA-W'!A:A,0)))</f>
        <v>BONNE, Rielle</v>
      </c>
      <c r="D6" s="13" t="str">
        <f>IF(B2&gt;MAX('TRA-W'!A:A),"",INDEX('TRA-W'!H:H,MATCH(B2,'TRA-W'!A:A,0)))</f>
        <v>National Team</v>
      </c>
    </row>
    <row r="7" spans="1:6" x14ac:dyDescent="0.2">
      <c r="A7" s="7"/>
      <c r="B7" s="7">
        <v>2</v>
      </c>
      <c r="C7" s="7" t="str">
        <f>IF(B3&gt;MAX('TRA-W'!A:A),"",INDEX('TRA-W'!B:B,MATCH(B3,'TRA-W'!A:A,0)))</f>
        <v>BONHAM, Maja</v>
      </c>
      <c r="D7" s="13" t="str">
        <f>IF(B3&gt;MAX('TRA-W'!A:A),"",INDEX('TRA-W'!H:H,MATCH(B3,'TRA-W'!A:A,0)))</f>
        <v>National Team</v>
      </c>
    </row>
    <row r="8" spans="1:6" x14ac:dyDescent="0.2">
      <c r="A8" s="7"/>
      <c r="B8" s="7">
        <v>3</v>
      </c>
      <c r="C8" s="7" t="str">
        <f>IF(B4&gt;MAX('TRA-W'!A:A),"",INDEX('TRA-W'!B:B,MATCH(B4,'TRA-W'!A:A,0)))</f>
        <v>ROY, Anne-Jolie</v>
      </c>
      <c r="D8" s="13" t="str">
        <f>IF(B4&gt;MAX('TRA-W'!A:A),"",INDEX('TRA-W'!H:H,MATCH(B4,'TRA-W'!A:A,0)))</f>
        <v>National Team</v>
      </c>
    </row>
    <row r="9" spans="1:6" x14ac:dyDescent="0.2">
      <c r="A9" s="7"/>
      <c r="B9" s="7">
        <v>4</v>
      </c>
      <c r="C9" s="7" t="str">
        <f>IF(B5&gt;MAX('TRA-W'!A:A),"",INDEX('TRA-W'!B:B,MATCH(B5,'TRA-W'!A:A,0)))</f>
        <v>JAMES, Roshni</v>
      </c>
      <c r="D9" s="13" t="str">
        <f>IF(B5&gt;MAX('TRA-W'!A:A),"",INDEX('TRA-W'!H:H,MATCH(B5,'TRA-W'!A:A,0)))</f>
        <v>National Team</v>
      </c>
    </row>
    <row r="10" spans="1:6" x14ac:dyDescent="0.2">
      <c r="A10" s="6" t="s">
        <v>37</v>
      </c>
      <c r="B10" s="6">
        <v>1</v>
      </c>
      <c r="C10" s="6" t="str">
        <f>IF(B2&gt;MAX('TUM-M'!A:A),"",INDEX('TUM-M'!B:B,MATCH(B2,'TUM-M'!A:A,0)))</f>
        <v>THOMPSON, Justin</v>
      </c>
      <c r="D10" s="14" t="str">
        <f>IF(B2&gt;MAX('TUM-M'!A:A),"",INDEX('TUM-M'!H:H,MATCH(B2,'TUM-M'!A:A,0)))</f>
        <v>National Team</v>
      </c>
    </row>
    <row r="11" spans="1:6" x14ac:dyDescent="0.2">
      <c r="A11" s="6"/>
      <c r="B11" s="6">
        <v>2</v>
      </c>
      <c r="C11" s="6" t="str">
        <f>IF(B3&gt;MAX('TUM-M'!A:A),"",INDEX('TUM-M'!B:B,MATCH(B3,'TUM-M'!A:A,0)))</f>
        <v>MATTHEWS, Jared</v>
      </c>
      <c r="D11" s="14" t="str">
        <f>IF(B3&gt;MAX('TUM-M'!A:A),"",INDEX('TUM-M'!H:H,MATCH(B3,'TUM-M'!A:A,0)))</f>
        <v>National Team</v>
      </c>
    </row>
    <row r="12" spans="1:6" x14ac:dyDescent="0.2">
      <c r="A12" s="6"/>
      <c r="B12" s="6">
        <v>3</v>
      </c>
      <c r="C12" s="6" t="str">
        <f>IF(B4&gt;MAX('TUM-M'!A:A),"",INDEX('TUM-M'!B:B,MATCH(B4,'TUM-M'!A:A,0)))</f>
        <v>PEDERSEN, Mitchel</v>
      </c>
      <c r="D12" s="14" t="str">
        <f>IF(B4&gt;MAX('TUM-M'!A:A),"",INDEX('TUM-M'!H:H,MATCH(B4,'TUM-M'!A:A,0)))</f>
        <v>National Team</v>
      </c>
    </row>
    <row r="13" spans="1:6" x14ac:dyDescent="0.2">
      <c r="A13" s="6"/>
      <c r="B13" s="6">
        <v>4</v>
      </c>
      <c r="C13" s="6" t="str">
        <f>IF(B5&gt;MAX('TUM-M'!A:A),"",INDEX('TUM-M'!B:B,MATCH(B5,'TUM-M'!A:A,0)))</f>
        <v>NEUFELD, Simon</v>
      </c>
      <c r="D13" s="14" t="str">
        <f>IF(B5&gt;MAX('TUM-M'!A:A),"",INDEX('TUM-M'!H:H,MATCH(B5,'TUM-M'!A:A,0)))</f>
        <v>National Team</v>
      </c>
    </row>
    <row r="14" spans="1:6" x14ac:dyDescent="0.2">
      <c r="A14" s="7" t="s">
        <v>38</v>
      </c>
      <c r="B14" s="7">
        <v>1</v>
      </c>
      <c r="C14" s="7" t="str">
        <f>IF(B2&gt;MAX('TUM-W'!A:A),"",INDEX('TUM-W'!B:B,MATCH(B2,'TUM-W'!A:A,0)))</f>
        <v>JACKSON, Claire</v>
      </c>
      <c r="D14" s="13" t="str">
        <f>IF(B2&gt;MAX('TUM-W'!A:A),"",INDEX('TUM-W'!H:H,MATCH(B2,'TUM-W'!A:A,0)))</f>
        <v>National Team</v>
      </c>
    </row>
    <row r="15" spans="1:6" x14ac:dyDescent="0.2">
      <c r="A15" s="7"/>
      <c r="B15" s="7">
        <v>2</v>
      </c>
      <c r="C15" s="7" t="str">
        <f>IF(B3&gt;MAX('TUM-W'!A:A),"",INDEX('TUM-W'!B:B,MATCH(B3,'TUM-W'!A:A,0)))</f>
        <v>PILLINGER, Taylor</v>
      </c>
      <c r="D15" s="13" t="str">
        <f>IF(B3&gt;MAX('TUM-W'!A:A),"",INDEX('TUM-W'!H:H,MATCH(B3,'TUM-W'!A:A,0)))</f>
        <v>National Team</v>
      </c>
    </row>
    <row r="16" spans="1:6" x14ac:dyDescent="0.2">
      <c r="A16" s="7"/>
      <c r="B16" s="7">
        <v>3</v>
      </c>
      <c r="C16" s="7" t="str">
        <f>IF(B4&gt;MAX('TUM-W'!A:A),"",INDEX('TUM-W'!B:B,MATCH(B4,'TUM-W'!A:A,0)))</f>
        <v>IBACH, Sam</v>
      </c>
      <c r="D16" s="13" t="str">
        <f>IF(B4&gt;MAX('TUM-W'!A:A),"",INDEX('TUM-W'!H:H,MATCH(B4,'TUM-W'!A:A,0)))</f>
        <v>National Team</v>
      </c>
    </row>
    <row r="17" spans="1:5" x14ac:dyDescent="0.2">
      <c r="A17" s="7"/>
      <c r="B17" s="7">
        <v>4</v>
      </c>
      <c r="C17" s="7" t="str">
        <f>IF(B5&gt;MAX('TUM-W'!A:A),"",INDEX('TUM-W'!B:B,MATCH(B5,'TUM-W'!A:A,0)))</f>
        <v>THOMPSON, Abby</v>
      </c>
      <c r="D17" s="13" t="str">
        <f>IF(B5&gt;MAX('TUM-W'!A:A),"",INDEX('TUM-W'!H:H,MATCH(B5,'TUM-W'!A:A,0)))</f>
        <v>National Team</v>
      </c>
    </row>
    <row r="18" spans="1:5" x14ac:dyDescent="0.2">
      <c r="A18" s="6" t="s">
        <v>39</v>
      </c>
      <c r="B18" s="6">
        <v>1</v>
      </c>
      <c r="C18" s="6" t="str">
        <f>IF(B2&gt;MAX('DMT-M'!A:A),"",INDEX('DMT-M'!B:B,MATCH(B2,'DMT-M'!A:A,0)))</f>
        <v>DODD, Gavin</v>
      </c>
      <c r="D18" s="14" t="str">
        <f>IF(B2&gt;MAX('DMT-M'!A:A),"",INDEX('DMT-M'!H:H,MATCH(B2,'DMT-M'!A:A,0)))</f>
        <v>National Team</v>
      </c>
    </row>
    <row r="19" spans="1:5" x14ac:dyDescent="0.2">
      <c r="A19" s="6"/>
      <c r="B19" s="6">
        <v>2</v>
      </c>
      <c r="C19" s="6" t="str">
        <f>IF(B3&gt;MAX('DMT-M'!A:A),"",INDEX('DMT-M'!B:B,MATCH(B3,'DMT-M'!A:A,0)))</f>
        <v>LUPISH, Kieran</v>
      </c>
      <c r="D19" s="14" t="str">
        <f>IF(B3&gt;MAX('DMT-M'!A:A),"",INDEX('DMT-M'!H:H,MATCH(B3,'DMT-M'!A:A,0)))</f>
        <v>National Team</v>
      </c>
    </row>
    <row r="20" spans="1:5" x14ac:dyDescent="0.2">
      <c r="A20" s="6"/>
      <c r="B20" s="6">
        <v>3</v>
      </c>
      <c r="C20" s="6" t="str">
        <f>IF(B4&gt;MAX('DMT-M'!A:A),"",INDEX('DMT-M'!B:B,MATCH(B4,'DMT-M'!A:A,0)))</f>
        <v>ZUREK, Nolan</v>
      </c>
      <c r="D20" s="14" t="str">
        <f>IF(B4&gt;MAX('DMT-M'!A:A),"",INDEX('DMT-M'!H:H,MATCH(B4,'DMT-M'!A:A,0)))</f>
        <v>National Team</v>
      </c>
    </row>
    <row r="21" spans="1:5" x14ac:dyDescent="0.2">
      <c r="A21" s="6"/>
      <c r="B21" s="6">
        <v>4</v>
      </c>
      <c r="C21" s="6" t="str">
        <f>IF(B5&gt;MAX('DMT-M'!A:A),"",INDEX('DMT-M'!B:B,MATCH(B5,'DMT-M'!A:A,0)))</f>
        <v>PEDERSEN, Mitchel</v>
      </c>
      <c r="D21" s="14" t="str">
        <f>IF(B5&gt;MAX('DMT-M'!A:A),"",INDEX('DMT-M'!H:H,MATCH(B5,'DMT-M'!A:A,0)))</f>
        <v>National Team</v>
      </c>
    </row>
    <row r="22" spans="1:5" x14ac:dyDescent="0.2">
      <c r="A22" s="7" t="s">
        <v>40</v>
      </c>
      <c r="B22" s="7">
        <v>1</v>
      </c>
      <c r="C22" s="7" t="str">
        <f>IF(B2&gt;MAX('DMT-W'!A:A),"",INDEX('DMT-W'!B:B,MATCH(B2,'DMT-W'!A:A,0)))</f>
        <v>METHERAL, Hannah</v>
      </c>
      <c r="D22" s="13" t="str">
        <f>IF(B2&gt;MAX('DMT-W'!A:A),"",INDEX('DMT-W'!H:H,MATCH(B2,'DMT-W'!A:A,0)))</f>
        <v>National Team</v>
      </c>
    </row>
    <row r="23" spans="1:5" x14ac:dyDescent="0.2">
      <c r="A23" s="7"/>
      <c r="B23" s="7">
        <v>2</v>
      </c>
      <c r="C23" s="7" t="str">
        <f>IF(B3&gt;MAX('DMT-W'!A:A),"",INDEX('DMT-W'!B:B,MATCH(B3,'DMT-W'!A:A,0)))</f>
        <v>PHANEUF, Zoe</v>
      </c>
      <c r="D23" s="13" t="str">
        <f>IF(B3&gt;MAX('DMT-W'!A:A),"",INDEX('DMT-W'!H:H,MATCH(B3,'DMT-W'!A:A,0)))</f>
        <v>National Team</v>
      </c>
    </row>
    <row r="24" spans="1:5" x14ac:dyDescent="0.2">
      <c r="A24" s="7"/>
      <c r="B24" s="7">
        <v>3</v>
      </c>
      <c r="C24" s="7" t="str">
        <f>IF(B4&gt;MAX('DMT-W'!A:A),"",INDEX('DMT-W'!B:B,MATCH(B4,'DMT-W'!A:A,0)))</f>
        <v>HOWELL, Kayla</v>
      </c>
      <c r="D24" s="13" t="str">
        <f>IF(B4&gt;MAX('DMT-W'!A:A),"",INDEX('DMT-W'!H:H,MATCH(B4,'DMT-W'!A:A,0)))</f>
        <v>National Team</v>
      </c>
    </row>
    <row r="25" spans="1:5" x14ac:dyDescent="0.2">
      <c r="A25" s="7"/>
      <c r="B25" s="7">
        <v>4</v>
      </c>
      <c r="C25" s="7" t="str">
        <f>IF(B5&gt;MAX('DMT-W'!A:A),"",INDEX('DMT-W'!B:B,MATCH(B5,'DMT-W'!A:A,0)))</f>
        <v>BODNAR, Cassidy</v>
      </c>
      <c r="D25" s="13" t="str">
        <f>IF(B5&gt;MAX('DMT-W'!A:A),"",INDEX('DMT-W'!H:H,MATCH(B5,'DMT-W'!A:A,0)))</f>
        <v>National Team</v>
      </c>
    </row>
    <row r="26" spans="1:5" x14ac:dyDescent="0.2">
      <c r="D26" s="36"/>
    </row>
    <row r="27" spans="1:5" x14ac:dyDescent="0.2">
      <c r="B27" t="s">
        <v>30</v>
      </c>
    </row>
    <row r="28" spans="1:5" x14ac:dyDescent="0.2">
      <c r="B28" t="s">
        <v>28</v>
      </c>
    </row>
    <row r="29" spans="1:5" x14ac:dyDescent="0.2">
      <c r="B29" t="s">
        <v>29</v>
      </c>
    </row>
    <row r="30" spans="1:5" x14ac:dyDescent="0.2">
      <c r="B30" s="12" t="s">
        <v>51</v>
      </c>
      <c r="D30" t="s">
        <v>49</v>
      </c>
    </row>
    <row r="31" spans="1:5" x14ac:dyDescent="0.2">
      <c r="B31" s="12" t="s">
        <v>58</v>
      </c>
      <c r="D31" t="s">
        <v>49</v>
      </c>
      <c r="E31" t="s">
        <v>49</v>
      </c>
    </row>
    <row r="32" spans="1:5" x14ac:dyDescent="0.2">
      <c r="B32" t="s">
        <v>50</v>
      </c>
    </row>
    <row r="33" spans="1:3" x14ac:dyDescent="0.2">
      <c r="B33" t="s">
        <v>59</v>
      </c>
    </row>
    <row r="34" spans="1:3" x14ac:dyDescent="0.2">
      <c r="A34" t="s">
        <v>35</v>
      </c>
      <c r="B34" s="64">
        <v>45007</v>
      </c>
      <c r="C34" s="64"/>
    </row>
    <row r="35" spans="1:3" x14ac:dyDescent="0.2">
      <c r="B35" t="s">
        <v>222</v>
      </c>
    </row>
    <row r="37" spans="1:3" x14ac:dyDescent="0.2">
      <c r="B37" s="61"/>
    </row>
    <row r="38" spans="1:3" x14ac:dyDescent="0.2">
      <c r="B38" s="61"/>
    </row>
  </sheetData>
  <sheetProtection formatCells="0" formatColumns="0" formatRows="0"/>
  <mergeCells count="1">
    <mergeCell ref="B34:C34"/>
  </mergeCells>
  <conditionalFormatting sqref="D2:D25">
    <cfRule type="containsText" dxfId="428" priority="1" operator="containsText" text="No DD">
      <formula>NOT(ISERROR(SEARCH("No DD",D2)))</formula>
    </cfRule>
    <cfRule type="containsText" dxfId="427" priority="4" operator="containsText" text="Merit">
      <formula>NOT(ISERROR(SEARCH("Merit",D2)))</formula>
    </cfRule>
    <cfRule type="containsText" dxfId="426" priority="5" operator="containsText" text="Excellence">
      <formula>NOT(ISERROR(SEARCH("Excellence",D2)))</formula>
    </cfRule>
    <cfRule type="containsText" dxfId="425" priority="6" operator="containsText" text="Worlds Team">
      <formula>NOT(ISERROR(SEARCH("Worlds Team",D2)))</formula>
    </cfRule>
    <cfRule type="containsText" dxfId="424" priority="7" operator="containsText" text="National Team">
      <formula>NOT(ISERROR(SEARCH("National Team",D2)))</formula>
    </cfRule>
  </conditionalFormatting>
  <dataValidations count="2">
    <dataValidation type="list" allowBlank="1" showInputMessage="1" showErrorMessage="1" sqref="D30:D31" xr:uid="{D08F591B-E1ED-7A40-99FD-CEC4A428C792}">
      <formula1>"Select,TRA-M,TRA-W,SYN-M,SYN-W,TUM-M,TUM-W,DMT-M,DMT-W"</formula1>
    </dataValidation>
    <dataValidation type="list" allowBlank="1" showInputMessage="1" showErrorMessage="1" sqref="E31" xr:uid="{34EE6C87-AAA8-A345-8399-C87931D9699B}">
      <formula1>IF($D$31="Select",D31,INDIRECT("'"&amp;$D$31&amp;"'!"&amp;"B4:B"&amp;MATCH(TRUE,INDEX(INDIRECT("'"&amp;$D$31&amp;"'!"&amp;"B4:B100")="",0),0)+2))</formula1>
    </dataValidation>
  </dataValidation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Sort Names">
              <controlPr defaultSize="0" autoFill="0" autoPict="0" macro="[0]!_xludf.Sort" altText="Sort">
                <anchor moveWithCells="1" sizeWithCells="1">
                  <from>
                    <xdr:col>0</xdr:col>
                    <xdr:colOff>12700</xdr:colOff>
                    <xdr:row>26</xdr:row>
                    <xdr:rowOff>25400</xdr:rowOff>
                  </from>
                  <to>
                    <xdr:col>0</xdr:col>
                    <xdr:colOff>965200</xdr:colOff>
                    <xdr:row>26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Show">
              <controlPr defaultSize="0" autoFill="0" autoPict="0" macro="[0]!Show_All" altText="">
                <anchor moveWithCells="1" sizeWithCells="1">
                  <from>
                    <xdr:col>0</xdr:col>
                    <xdr:colOff>12700</xdr:colOff>
                    <xdr:row>27</xdr:row>
                    <xdr:rowOff>25400</xdr:rowOff>
                  </from>
                  <to>
                    <xdr:col>0</xdr:col>
                    <xdr:colOff>965200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autoFill="0" autoPict="0" macro="[0]!_xludf.Hide" altText="Hide">
                <anchor moveWithCells="1" sizeWithCells="1">
                  <from>
                    <xdr:col>0</xdr:col>
                    <xdr:colOff>25400</xdr:colOff>
                    <xdr:row>28</xdr:row>
                    <xdr:rowOff>38100</xdr:rowOff>
                  </from>
                  <to>
                    <xdr:col>0</xdr:col>
                    <xdr:colOff>965200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6" name="Button 6">
              <controlPr defaultSize="0" print="0" autoFill="0" autoPict="0" macro="[0]!Add_Athlete">
                <anchor moveWithCells="1" sizeWithCells="1">
                  <from>
                    <xdr:col>0</xdr:col>
                    <xdr:colOff>25400</xdr:colOff>
                    <xdr:row>29</xdr:row>
                    <xdr:rowOff>25400</xdr:rowOff>
                  </from>
                  <to>
                    <xdr:col>0</xdr:col>
                    <xdr:colOff>977900</xdr:colOff>
                    <xdr:row>29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7" name="Button 9">
              <controlPr defaultSize="0" print="0" autoFill="0" autoPict="0" macro="[0]!Delete_Domestic">
                <anchor moveWithCells="1" sizeWithCells="1">
                  <from>
                    <xdr:col>0</xdr:col>
                    <xdr:colOff>25400</xdr:colOff>
                    <xdr:row>31</xdr:row>
                    <xdr:rowOff>25400</xdr:rowOff>
                  </from>
                  <to>
                    <xdr:col>0</xdr:col>
                    <xdr:colOff>977900</xdr:colOff>
                    <xdr:row>31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8" name="Button 11">
              <controlPr defaultSize="0" print="0" autoFill="0" autoPict="0" macro="[0]!Delete_International">
                <anchor moveWithCells="1" sizeWithCells="1">
                  <from>
                    <xdr:col>0</xdr:col>
                    <xdr:colOff>25400</xdr:colOff>
                    <xdr:row>32</xdr:row>
                    <xdr:rowOff>25400</xdr:rowOff>
                  </from>
                  <to>
                    <xdr:col>0</xdr:col>
                    <xdr:colOff>965200</xdr:colOff>
                    <xdr:row>32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9" name="Button 13">
              <controlPr defaultSize="0" print="0" autoFill="0" autoPict="0" macro="[0]!Remove">
                <anchor moveWithCells="1" sizeWithCells="1">
                  <from>
                    <xdr:col>0</xdr:col>
                    <xdr:colOff>25400</xdr:colOff>
                    <xdr:row>30</xdr:row>
                    <xdr:rowOff>25400</xdr:rowOff>
                  </from>
                  <to>
                    <xdr:col>0</xdr:col>
                    <xdr:colOff>977900</xdr:colOff>
                    <xdr:row>30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2" r:id="rId10" name="Button 34">
              <controlPr defaultSize="0" print="0" autoFill="0" autoPict="0" macro="[0]!Remove_Ineligible" altText="Remove Ineligible">
                <anchor moveWithCells="1" sizeWithCells="1">
                  <from>
                    <xdr:col>3</xdr:col>
                    <xdr:colOff>12700</xdr:colOff>
                    <xdr:row>31</xdr:row>
                    <xdr:rowOff>12700</xdr:rowOff>
                  </from>
                  <to>
                    <xdr:col>4</xdr:col>
                    <xdr:colOff>495300</xdr:colOff>
                    <xdr:row>31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TT66"/>
  <sheetViews>
    <sheetView zoomScaleNormal="100"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7.6640625" bestFit="1" customWidth="1"/>
    <col min="3" max="3" width="8.1640625" bestFit="1" customWidth="1"/>
    <col min="4" max="4" width="12" customWidth="1"/>
    <col min="6" max="6" width="14.1640625" customWidth="1"/>
    <col min="7" max="7" width="18.5" bestFit="1" customWidth="1"/>
    <col min="8" max="8" width="13.33203125" bestFit="1" customWidth="1"/>
    <col min="9" max="9" width="19" bestFit="1" customWidth="1"/>
    <col min="10" max="10" width="10.83203125" customWidth="1"/>
    <col min="11" max="11" width="27" bestFit="1" customWidth="1"/>
    <col min="12" max="12" width="13" customWidth="1"/>
    <col min="13" max="13" width="27" bestFit="1" customWidth="1"/>
    <col min="14" max="14" width="13" customWidth="1"/>
    <col min="15" max="15" width="27" customWidth="1"/>
    <col min="17" max="17" width="27" customWidth="1"/>
    <col min="18" max="18" width="14.6640625" customWidth="1"/>
    <col min="19" max="19" width="27" customWidth="1"/>
    <col min="20" max="20" width="24.6640625" customWidth="1"/>
    <col min="21" max="21" width="13" customWidth="1"/>
    <col min="22" max="22" width="28" customWidth="1"/>
    <col min="23" max="38" width="10.83203125" hidden="1" customWidth="1"/>
    <col min="39" max="49" width="10.83203125" style="36" customWidth="1"/>
    <col min="50" max="65" width="10.83203125" hidden="1" customWidth="1"/>
    <col min="66" max="76" width="10.83203125" style="36" customWidth="1"/>
    <col min="77" max="92" width="10.83203125" hidden="1" customWidth="1"/>
    <col min="93" max="103" width="10.83203125" style="36" customWidth="1"/>
    <col min="104" max="105" width="12.83203125" style="36" customWidth="1"/>
    <col min="106" max="125" width="10.83203125" hidden="1" customWidth="1"/>
    <col min="126" max="138" width="10.83203125" customWidth="1"/>
    <col min="139" max="139" width="10.83203125" style="36" customWidth="1"/>
    <col min="140" max="172" width="10.83203125" hidden="1" customWidth="1"/>
    <col min="173" max="173" width="10.83203125" style="36" hidden="1" customWidth="1"/>
    <col min="174" max="206" width="10.83203125" hidden="1" customWidth="1"/>
    <col min="207" max="207" width="10.83203125" style="36" hidden="1" customWidth="1"/>
    <col min="208" max="240" width="10.83203125" hidden="1" customWidth="1"/>
    <col min="241" max="241" width="10.83203125" style="36" hidden="1" customWidth="1"/>
    <col min="242" max="274" width="10.83203125" hidden="1" customWidth="1"/>
    <col min="275" max="275" width="10.83203125" style="36" hidden="1" customWidth="1"/>
    <col min="276" max="540" width="10.83203125" hidden="1" customWidth="1"/>
  </cols>
  <sheetData>
    <row r="1" spans="1:540" x14ac:dyDescent="0.2">
      <c r="A1" s="71" t="s">
        <v>1</v>
      </c>
      <c r="B1" s="71" t="s">
        <v>22</v>
      </c>
      <c r="C1" s="71" t="s">
        <v>0</v>
      </c>
      <c r="D1" s="71" t="s">
        <v>48</v>
      </c>
      <c r="E1" s="71" t="s">
        <v>2</v>
      </c>
      <c r="F1" s="74" t="s">
        <v>53</v>
      </c>
      <c r="G1" s="71" t="s">
        <v>8</v>
      </c>
      <c r="H1" s="71" t="s">
        <v>9</v>
      </c>
      <c r="I1" s="71" t="s">
        <v>71</v>
      </c>
      <c r="J1" s="72" t="s">
        <v>79</v>
      </c>
      <c r="K1" s="70" t="s">
        <v>25</v>
      </c>
      <c r="L1" s="72" t="s">
        <v>80</v>
      </c>
      <c r="M1" s="70" t="s">
        <v>25</v>
      </c>
      <c r="N1" s="72" t="s">
        <v>193</v>
      </c>
      <c r="O1" s="70" t="s">
        <v>25</v>
      </c>
      <c r="P1" s="70" t="s">
        <v>81</v>
      </c>
      <c r="Q1" s="70" t="s">
        <v>25</v>
      </c>
      <c r="R1" s="72" t="s">
        <v>82</v>
      </c>
      <c r="S1" s="70" t="s">
        <v>25</v>
      </c>
      <c r="T1" s="73" t="s">
        <v>11</v>
      </c>
      <c r="U1" s="70" t="s">
        <v>26</v>
      </c>
      <c r="V1" s="70" t="s">
        <v>25</v>
      </c>
      <c r="W1" s="66" t="s">
        <v>119</v>
      </c>
      <c r="X1" s="66"/>
      <c r="Y1" s="66"/>
      <c r="Z1" s="66"/>
      <c r="AA1" s="66"/>
      <c r="AB1" s="66"/>
      <c r="AC1" s="66"/>
      <c r="AD1" s="66"/>
      <c r="AE1" s="66"/>
      <c r="AF1" s="66"/>
      <c r="AG1" s="66"/>
      <c r="AH1" s="66"/>
      <c r="AI1" s="66"/>
      <c r="AJ1" s="66"/>
      <c r="AK1" s="66"/>
      <c r="AL1" s="66"/>
      <c r="AM1" s="66"/>
      <c r="AN1" s="66"/>
      <c r="AO1" s="66"/>
      <c r="AP1" s="66"/>
      <c r="AQ1" s="66"/>
      <c r="AR1" s="66"/>
      <c r="AS1" s="66"/>
      <c r="AT1" s="66"/>
      <c r="AU1" s="66"/>
      <c r="AV1" s="66"/>
      <c r="AW1" s="66"/>
      <c r="AX1" s="67" t="s">
        <v>129</v>
      </c>
      <c r="AY1" s="67"/>
      <c r="AZ1" s="67"/>
      <c r="BA1" s="67"/>
      <c r="BB1" s="67"/>
      <c r="BC1" s="67"/>
      <c r="BD1" s="67"/>
      <c r="BE1" s="67"/>
      <c r="BF1" s="67"/>
      <c r="BG1" s="67"/>
      <c r="BH1" s="67"/>
      <c r="BI1" s="67"/>
      <c r="BJ1" s="67"/>
      <c r="BK1" s="67"/>
      <c r="BL1" s="67"/>
      <c r="BM1" s="67"/>
      <c r="BN1" s="67"/>
      <c r="BO1" s="67"/>
      <c r="BP1" s="67"/>
      <c r="BQ1" s="67"/>
      <c r="BR1" s="67"/>
      <c r="BS1" s="67"/>
      <c r="BT1" s="67"/>
      <c r="BU1" s="67"/>
      <c r="BV1" s="67"/>
      <c r="BW1" s="67"/>
      <c r="BX1" s="67"/>
      <c r="BY1" s="66" t="s">
        <v>199</v>
      </c>
      <c r="BZ1" s="66"/>
      <c r="CA1" s="66"/>
      <c r="CB1" s="66"/>
      <c r="CC1" s="66"/>
      <c r="CD1" s="66"/>
      <c r="CE1" s="66"/>
      <c r="CF1" s="66"/>
      <c r="CG1" s="66"/>
      <c r="CH1" s="66"/>
      <c r="CI1" s="66"/>
      <c r="CJ1" s="66"/>
      <c r="CK1" s="66"/>
      <c r="CL1" s="66"/>
      <c r="CM1" s="66"/>
      <c r="CN1" s="66"/>
      <c r="CO1" s="66"/>
      <c r="CP1" s="66"/>
      <c r="CQ1" s="66"/>
      <c r="CR1" s="66"/>
      <c r="CS1" s="66"/>
      <c r="CT1" s="66"/>
      <c r="CU1" s="66"/>
      <c r="CV1" s="66"/>
      <c r="CW1" s="66"/>
      <c r="CX1" s="66"/>
      <c r="CY1" s="66"/>
      <c r="CZ1" s="69" t="s">
        <v>11</v>
      </c>
      <c r="DA1" s="69"/>
      <c r="DB1" s="66" t="s">
        <v>139</v>
      </c>
      <c r="DC1" s="66"/>
      <c r="DD1" s="66"/>
      <c r="DE1" s="66"/>
      <c r="DF1" s="66"/>
      <c r="DG1" s="66"/>
      <c r="DH1" s="66"/>
      <c r="DI1" s="66"/>
      <c r="DJ1" s="66"/>
      <c r="DK1" s="66"/>
      <c r="DL1" s="66"/>
      <c r="DM1" s="66"/>
      <c r="DN1" s="66"/>
      <c r="DO1" s="66"/>
      <c r="DP1" s="66"/>
      <c r="DQ1" s="66"/>
      <c r="DR1" s="66"/>
      <c r="DS1" s="66"/>
      <c r="DT1" s="66"/>
      <c r="DU1" s="66"/>
      <c r="DV1" s="66"/>
      <c r="DW1" s="66"/>
      <c r="DX1" s="66"/>
      <c r="DY1" s="66"/>
      <c r="DZ1" s="66"/>
      <c r="EA1" s="66"/>
      <c r="EB1" s="66"/>
      <c r="EC1" s="66"/>
      <c r="ED1" s="66"/>
      <c r="EE1" s="66"/>
      <c r="EF1" s="66"/>
      <c r="EG1" s="66"/>
      <c r="EH1" s="66"/>
      <c r="EI1" s="66"/>
      <c r="EJ1" s="67"/>
      <c r="EK1" s="67"/>
      <c r="EL1" s="67"/>
      <c r="EM1" s="67"/>
      <c r="EN1" s="67"/>
      <c r="EO1" s="67"/>
      <c r="EP1" s="67"/>
      <c r="EQ1" s="67"/>
      <c r="ER1" s="67"/>
      <c r="ES1" s="67"/>
      <c r="ET1" s="67"/>
      <c r="EU1" s="67"/>
      <c r="EV1" s="67"/>
      <c r="EW1" s="67"/>
      <c r="EX1" s="67"/>
      <c r="EY1" s="67"/>
      <c r="EZ1" s="67"/>
      <c r="FA1" s="67"/>
      <c r="FB1" s="67"/>
      <c r="FC1" s="67"/>
      <c r="FD1" s="67"/>
      <c r="FE1" s="67"/>
      <c r="FF1" s="67"/>
      <c r="FG1" s="67"/>
      <c r="FH1" s="67"/>
      <c r="FI1" s="67"/>
      <c r="FJ1" s="67"/>
      <c r="FK1" s="67"/>
      <c r="FL1" s="67"/>
      <c r="FM1" s="67"/>
      <c r="FN1" s="67"/>
      <c r="FO1" s="67"/>
      <c r="FP1" s="67"/>
      <c r="FQ1" s="67"/>
      <c r="FR1" s="66"/>
      <c r="FS1" s="66"/>
      <c r="FT1" s="66"/>
      <c r="FU1" s="66"/>
      <c r="FV1" s="66"/>
      <c r="FW1" s="66"/>
      <c r="FX1" s="66"/>
      <c r="FY1" s="66"/>
      <c r="FZ1" s="66"/>
      <c r="GA1" s="66"/>
      <c r="GB1" s="66"/>
      <c r="GC1" s="66"/>
      <c r="GD1" s="66"/>
      <c r="GE1" s="66"/>
      <c r="GF1" s="66"/>
      <c r="GG1" s="66"/>
      <c r="GH1" s="66"/>
      <c r="GI1" s="66"/>
      <c r="GJ1" s="66"/>
      <c r="GK1" s="66"/>
      <c r="GL1" s="66"/>
      <c r="GM1" s="66"/>
      <c r="GN1" s="66"/>
      <c r="GO1" s="66"/>
      <c r="GP1" s="66"/>
      <c r="GQ1" s="66"/>
      <c r="GR1" s="66"/>
      <c r="GS1" s="66"/>
      <c r="GT1" s="66"/>
      <c r="GU1" s="66"/>
      <c r="GV1" s="66"/>
      <c r="GW1" s="66"/>
      <c r="GX1" s="66"/>
      <c r="GY1" s="66"/>
      <c r="GZ1" s="67"/>
      <c r="HA1" s="67"/>
      <c r="HB1" s="67"/>
      <c r="HC1" s="67"/>
      <c r="HD1" s="67"/>
      <c r="HE1" s="67"/>
      <c r="HF1" s="67"/>
      <c r="HG1" s="67"/>
      <c r="HH1" s="67"/>
      <c r="HI1" s="67"/>
      <c r="HJ1" s="67"/>
      <c r="HK1" s="67"/>
      <c r="HL1" s="67"/>
      <c r="HM1" s="67"/>
      <c r="HN1" s="67"/>
      <c r="HO1" s="67"/>
      <c r="HP1" s="67"/>
      <c r="HQ1" s="67"/>
      <c r="HR1" s="67"/>
      <c r="HS1" s="67"/>
      <c r="HT1" s="67"/>
      <c r="HU1" s="67"/>
      <c r="HV1" s="67"/>
      <c r="HW1" s="67"/>
      <c r="HX1" s="67"/>
      <c r="HY1" s="67"/>
      <c r="HZ1" s="67"/>
      <c r="IA1" s="67"/>
      <c r="IB1" s="67"/>
      <c r="IC1" s="67"/>
      <c r="ID1" s="67"/>
      <c r="IE1" s="67"/>
      <c r="IF1" s="67"/>
      <c r="IG1" s="67"/>
      <c r="IH1" s="66"/>
      <c r="II1" s="66"/>
      <c r="IJ1" s="66"/>
      <c r="IK1" s="66"/>
      <c r="IL1" s="66"/>
      <c r="IM1" s="66"/>
      <c r="IN1" s="66"/>
      <c r="IO1" s="66"/>
      <c r="IP1" s="66"/>
      <c r="IQ1" s="66"/>
      <c r="IR1" s="66"/>
      <c r="IS1" s="66"/>
      <c r="IT1" s="66"/>
      <c r="IU1" s="66"/>
      <c r="IV1" s="66"/>
      <c r="IW1" s="66"/>
      <c r="IX1" s="66"/>
      <c r="IY1" s="66"/>
      <c r="IZ1" s="66"/>
      <c r="JA1" s="66"/>
      <c r="JB1" s="66"/>
      <c r="JC1" s="66"/>
      <c r="JD1" s="66"/>
      <c r="JE1" s="66"/>
      <c r="JF1" s="66"/>
      <c r="JG1" s="66"/>
      <c r="JH1" s="66"/>
      <c r="JI1" s="66"/>
      <c r="JJ1" s="66"/>
      <c r="JK1" s="66"/>
      <c r="JL1" s="66"/>
      <c r="JM1" s="66"/>
      <c r="JN1" s="66"/>
      <c r="JO1" s="66"/>
      <c r="JP1" s="67"/>
      <c r="JQ1" s="67"/>
      <c r="JR1" s="67"/>
      <c r="JS1" s="67"/>
      <c r="JT1" s="67"/>
      <c r="JU1" s="67"/>
      <c r="JV1" s="67"/>
      <c r="JW1" s="67"/>
      <c r="JX1" s="67"/>
      <c r="JY1" s="67"/>
      <c r="JZ1" s="67"/>
      <c r="KA1" s="67"/>
      <c r="KB1" s="67"/>
      <c r="KC1" s="67"/>
      <c r="KD1" s="67"/>
      <c r="KE1" s="67"/>
      <c r="KF1" s="67"/>
      <c r="KG1" s="67"/>
      <c r="KH1" s="67"/>
      <c r="KI1" s="67"/>
      <c r="KJ1" s="67"/>
      <c r="KK1" s="67"/>
      <c r="KL1" s="67"/>
      <c r="KM1" s="67"/>
      <c r="KN1" s="67"/>
      <c r="KO1" s="67"/>
      <c r="KP1" s="67"/>
      <c r="KQ1" s="67"/>
      <c r="KR1" s="67"/>
      <c r="KS1" s="67"/>
      <c r="KT1" s="67"/>
      <c r="KU1" s="67"/>
      <c r="KV1" s="67"/>
      <c r="KW1" s="67"/>
      <c r="KX1" s="66"/>
      <c r="KY1" s="66"/>
      <c r="KZ1" s="66"/>
      <c r="LA1" s="66"/>
      <c r="LB1" s="66"/>
      <c r="LC1" s="66"/>
      <c r="LD1" s="66"/>
      <c r="LE1" s="66"/>
      <c r="LF1" s="66"/>
      <c r="LG1" s="66"/>
      <c r="LH1" s="66"/>
      <c r="LI1" s="66"/>
      <c r="LJ1" s="66"/>
      <c r="LK1" s="66"/>
      <c r="LL1" s="66"/>
      <c r="LM1" s="66"/>
      <c r="LN1" s="66"/>
      <c r="LO1" s="66"/>
      <c r="LP1" s="66"/>
      <c r="LQ1" s="66"/>
      <c r="LR1" s="66"/>
      <c r="LS1" s="66"/>
      <c r="LT1" s="66"/>
      <c r="LU1" s="66"/>
      <c r="LV1" s="66"/>
      <c r="LW1" s="66"/>
      <c r="LX1" s="66"/>
      <c r="LY1" s="66"/>
      <c r="LZ1" s="66"/>
      <c r="MA1" s="66"/>
      <c r="MB1" s="66"/>
      <c r="MC1" s="66"/>
      <c r="MD1" s="66"/>
      <c r="ME1" s="66"/>
      <c r="MF1" s="67"/>
      <c r="MG1" s="67"/>
      <c r="MH1" s="67"/>
      <c r="MI1" s="67"/>
      <c r="MJ1" s="67"/>
      <c r="MK1" s="67"/>
      <c r="ML1" s="67"/>
      <c r="MM1" s="67"/>
      <c r="MN1" s="67"/>
      <c r="MO1" s="67"/>
      <c r="MP1" s="67"/>
      <c r="MQ1" s="67"/>
      <c r="MR1" s="67"/>
      <c r="MS1" s="67"/>
      <c r="MT1" s="67"/>
      <c r="MU1" s="67"/>
      <c r="MV1" s="67"/>
      <c r="MW1" s="67"/>
      <c r="MX1" s="67"/>
      <c r="MY1" s="67"/>
      <c r="MZ1" s="67"/>
      <c r="NA1" s="67"/>
      <c r="NB1" s="67"/>
      <c r="NC1" s="67"/>
      <c r="ND1" s="67"/>
      <c r="NE1" s="67"/>
      <c r="NF1" s="67"/>
      <c r="NG1" s="67"/>
      <c r="NH1" s="67"/>
      <c r="NI1" s="67"/>
      <c r="NJ1" s="67"/>
      <c r="NK1" s="67"/>
      <c r="NL1" s="67"/>
      <c r="NM1" s="67"/>
      <c r="NN1" s="66"/>
      <c r="NO1" s="66"/>
      <c r="NP1" s="66"/>
      <c r="NQ1" s="66"/>
      <c r="NR1" s="66"/>
      <c r="NS1" s="66"/>
      <c r="NT1" s="66"/>
      <c r="NU1" s="66"/>
      <c r="NV1" s="66"/>
      <c r="NW1" s="66"/>
      <c r="NX1" s="66"/>
      <c r="NY1" s="66"/>
      <c r="NZ1" s="66"/>
      <c r="OA1" s="66"/>
      <c r="OB1" s="66"/>
      <c r="OC1" s="66"/>
      <c r="OD1" s="66"/>
      <c r="OE1" s="66"/>
      <c r="OF1" s="66"/>
      <c r="OG1" s="66"/>
      <c r="OH1" s="66"/>
      <c r="OI1" s="66"/>
      <c r="OJ1" s="66"/>
      <c r="OK1" s="66"/>
      <c r="OL1" s="66"/>
      <c r="OM1" s="66"/>
      <c r="ON1" s="66"/>
      <c r="OO1" s="66"/>
      <c r="OP1" s="66"/>
      <c r="OQ1" s="66"/>
      <c r="OR1" s="66"/>
      <c r="OS1" s="66"/>
      <c r="OT1" s="66"/>
      <c r="OU1" s="66"/>
      <c r="OV1" s="67"/>
      <c r="OW1" s="67"/>
      <c r="OX1" s="67"/>
      <c r="OY1" s="67"/>
      <c r="OZ1" s="67"/>
      <c r="PA1" s="67"/>
      <c r="PB1" s="67"/>
      <c r="PC1" s="67"/>
      <c r="PD1" s="67"/>
      <c r="PE1" s="67"/>
      <c r="PF1" s="67"/>
      <c r="PG1" s="67"/>
      <c r="PH1" s="67"/>
      <c r="PI1" s="67"/>
      <c r="PJ1" s="67"/>
      <c r="PK1" s="67"/>
      <c r="PL1" s="67"/>
      <c r="PM1" s="67"/>
      <c r="PN1" s="67"/>
      <c r="PO1" s="67"/>
      <c r="PP1" s="67"/>
      <c r="PQ1" s="67"/>
      <c r="PR1" s="67"/>
      <c r="PS1" s="67"/>
      <c r="PT1" s="67"/>
      <c r="PU1" s="67"/>
      <c r="PV1" s="67"/>
      <c r="PW1" s="67"/>
      <c r="PX1" s="67"/>
      <c r="PY1" s="67"/>
      <c r="PZ1" s="67"/>
      <c r="QA1" s="67"/>
      <c r="QB1" s="67"/>
      <c r="QC1" s="67"/>
      <c r="QD1" s="66"/>
      <c r="QE1" s="66"/>
      <c r="QF1" s="66"/>
      <c r="QG1" s="66"/>
      <c r="QH1" s="66"/>
      <c r="QI1" s="66"/>
      <c r="QJ1" s="66"/>
      <c r="QK1" s="66"/>
      <c r="QL1" s="66"/>
      <c r="QM1" s="66"/>
      <c r="QN1" s="66"/>
      <c r="QO1" s="66"/>
      <c r="QP1" s="66"/>
      <c r="QQ1" s="66"/>
      <c r="QR1" s="66"/>
      <c r="QS1" s="66"/>
      <c r="QT1" s="66"/>
      <c r="QU1" s="66"/>
      <c r="QV1" s="66"/>
      <c r="QW1" s="66"/>
      <c r="QX1" s="66"/>
      <c r="QY1" s="66"/>
      <c r="QZ1" s="66"/>
      <c r="RA1" s="66"/>
      <c r="RB1" s="66"/>
      <c r="RC1" s="66"/>
      <c r="RD1" s="66"/>
      <c r="RE1" s="66"/>
      <c r="RF1" s="66"/>
      <c r="RG1" s="66"/>
      <c r="RH1" s="66"/>
      <c r="RI1" s="66"/>
      <c r="RJ1" s="66"/>
      <c r="RK1" s="66"/>
      <c r="RL1" s="67"/>
      <c r="RM1" s="67"/>
      <c r="RN1" s="67"/>
      <c r="RO1" s="67"/>
      <c r="RP1" s="67"/>
      <c r="RQ1" s="67"/>
      <c r="RR1" s="67"/>
      <c r="RS1" s="67"/>
      <c r="RT1" s="67"/>
      <c r="RU1" s="67"/>
      <c r="RV1" s="67"/>
      <c r="RW1" s="67"/>
      <c r="RX1" s="67"/>
      <c r="RY1" s="67"/>
      <c r="RZ1" s="67"/>
      <c r="SA1" s="67"/>
      <c r="SB1" s="67"/>
      <c r="SC1" s="67"/>
      <c r="SD1" s="67"/>
      <c r="SE1" s="67"/>
      <c r="SF1" s="67"/>
      <c r="SG1" s="67"/>
      <c r="SH1" s="67"/>
      <c r="SI1" s="67"/>
      <c r="SJ1" s="67"/>
      <c r="SK1" s="67"/>
      <c r="SL1" s="67"/>
      <c r="SM1" s="67"/>
      <c r="SN1" s="67"/>
      <c r="SO1" s="67"/>
      <c r="SP1" s="67"/>
      <c r="SQ1" s="67"/>
      <c r="SR1" s="67"/>
      <c r="SS1" s="67"/>
      <c r="ST1" s="66" t="s">
        <v>56</v>
      </c>
      <c r="SU1" s="66"/>
      <c r="SV1" s="66"/>
      <c r="SW1" s="66"/>
      <c r="SX1" s="66"/>
      <c r="SY1" s="66"/>
      <c r="SZ1" s="66"/>
      <c r="TA1" s="66"/>
      <c r="TB1" s="66"/>
      <c r="TC1" s="66"/>
      <c r="TD1" s="66"/>
      <c r="TE1" s="66"/>
      <c r="TF1" s="66"/>
      <c r="TG1" s="66"/>
      <c r="TH1" s="66"/>
      <c r="TI1" s="66"/>
      <c r="TJ1" s="66"/>
      <c r="TK1" s="66"/>
      <c r="TL1" s="66"/>
      <c r="TM1" s="66"/>
      <c r="TN1" s="66"/>
      <c r="TO1" s="66"/>
      <c r="TP1" s="66"/>
      <c r="TQ1" s="66"/>
      <c r="TR1" s="66"/>
      <c r="TS1" s="66"/>
      <c r="TT1" s="66"/>
    </row>
    <row r="2" spans="1:540" x14ac:dyDescent="0.2">
      <c r="A2" s="71"/>
      <c r="B2" s="71"/>
      <c r="C2" s="71"/>
      <c r="D2" s="71"/>
      <c r="E2" s="71"/>
      <c r="F2" s="74"/>
      <c r="G2" s="71"/>
      <c r="H2" s="71"/>
      <c r="I2" s="71"/>
      <c r="J2" s="72"/>
      <c r="K2" s="70"/>
      <c r="L2" s="72"/>
      <c r="M2" s="70"/>
      <c r="N2" s="72"/>
      <c r="O2" s="70"/>
      <c r="P2" s="70"/>
      <c r="Q2" s="70"/>
      <c r="R2" s="72"/>
      <c r="S2" s="70"/>
      <c r="T2" s="73"/>
      <c r="U2" s="70"/>
      <c r="V2" s="70"/>
      <c r="W2" s="68" t="s">
        <v>16</v>
      </c>
      <c r="X2" s="68"/>
      <c r="Y2" s="68"/>
      <c r="Z2" s="68"/>
      <c r="AA2" s="68"/>
      <c r="AB2" s="68" t="s">
        <v>17</v>
      </c>
      <c r="AC2" s="68"/>
      <c r="AD2" s="68"/>
      <c r="AE2" s="68"/>
      <c r="AF2" s="68"/>
      <c r="AG2" s="68" t="s">
        <v>20</v>
      </c>
      <c r="AH2" s="68"/>
      <c r="AI2" s="68"/>
      <c r="AJ2" s="68"/>
      <c r="AK2" s="68"/>
      <c r="AL2" s="14"/>
      <c r="AM2" s="14" t="s">
        <v>83</v>
      </c>
      <c r="AN2" s="14" t="s">
        <v>84</v>
      </c>
      <c r="AO2" s="14" t="s">
        <v>18</v>
      </c>
      <c r="AP2" s="14" t="s">
        <v>63</v>
      </c>
      <c r="AQ2" s="14" t="s">
        <v>85</v>
      </c>
      <c r="AR2" s="14" t="s">
        <v>19</v>
      </c>
      <c r="AS2" s="14" t="s">
        <v>21</v>
      </c>
      <c r="AT2" s="14" t="s">
        <v>86</v>
      </c>
      <c r="AU2" s="14" t="s">
        <v>87</v>
      </c>
      <c r="AV2" s="14" t="s">
        <v>20</v>
      </c>
      <c r="AW2" s="14" t="s">
        <v>15</v>
      </c>
      <c r="AX2" s="65" t="s">
        <v>16</v>
      </c>
      <c r="AY2" s="65"/>
      <c r="AZ2" s="65"/>
      <c r="BA2" s="65"/>
      <c r="BB2" s="65"/>
      <c r="BC2" s="65" t="s">
        <v>17</v>
      </c>
      <c r="BD2" s="65"/>
      <c r="BE2" s="65"/>
      <c r="BF2" s="65"/>
      <c r="BG2" s="65"/>
      <c r="BH2" s="65" t="s">
        <v>20</v>
      </c>
      <c r="BI2" s="65"/>
      <c r="BJ2" s="65"/>
      <c r="BK2" s="65"/>
      <c r="BL2" s="65"/>
      <c r="BM2" s="13"/>
      <c r="BN2" s="13" t="s">
        <v>83</v>
      </c>
      <c r="BO2" s="13" t="s">
        <v>84</v>
      </c>
      <c r="BP2" s="13" t="s">
        <v>18</v>
      </c>
      <c r="BQ2" s="13" t="s">
        <v>63</v>
      </c>
      <c r="BR2" s="13" t="s">
        <v>85</v>
      </c>
      <c r="BS2" s="13" t="s">
        <v>19</v>
      </c>
      <c r="BT2" s="13" t="s">
        <v>21</v>
      </c>
      <c r="BU2" s="13" t="s">
        <v>86</v>
      </c>
      <c r="BV2" s="13" t="s">
        <v>87</v>
      </c>
      <c r="BW2" s="13" t="s">
        <v>20</v>
      </c>
      <c r="BX2" s="13" t="s">
        <v>15</v>
      </c>
      <c r="BY2" s="68" t="s">
        <v>16</v>
      </c>
      <c r="BZ2" s="68"/>
      <c r="CA2" s="68"/>
      <c r="CB2" s="68"/>
      <c r="CC2" s="68"/>
      <c r="CD2" s="68" t="s">
        <v>17</v>
      </c>
      <c r="CE2" s="68"/>
      <c r="CF2" s="68"/>
      <c r="CG2" s="68"/>
      <c r="CH2" s="68"/>
      <c r="CI2" s="68" t="s">
        <v>20</v>
      </c>
      <c r="CJ2" s="68"/>
      <c r="CK2" s="68"/>
      <c r="CL2" s="68"/>
      <c r="CM2" s="68"/>
      <c r="CN2" s="14"/>
      <c r="CO2" s="14" t="s">
        <v>83</v>
      </c>
      <c r="CP2" s="14" t="s">
        <v>84</v>
      </c>
      <c r="CQ2" s="14" t="s">
        <v>18</v>
      </c>
      <c r="CR2" s="14" t="s">
        <v>63</v>
      </c>
      <c r="CS2" s="14" t="s">
        <v>85</v>
      </c>
      <c r="CT2" s="14" t="s">
        <v>19</v>
      </c>
      <c r="CU2" s="14" t="s">
        <v>21</v>
      </c>
      <c r="CV2" s="14" t="s">
        <v>86</v>
      </c>
      <c r="CW2" s="14" t="s">
        <v>87</v>
      </c>
      <c r="CX2" s="14" t="s">
        <v>20</v>
      </c>
      <c r="CY2" s="14" t="s">
        <v>15</v>
      </c>
      <c r="CZ2" s="49" t="s">
        <v>194</v>
      </c>
      <c r="DA2" s="49" t="s">
        <v>20</v>
      </c>
      <c r="DB2" s="68" t="s">
        <v>16</v>
      </c>
      <c r="DC2" s="68"/>
      <c r="DD2" s="68"/>
      <c r="DE2" s="68"/>
      <c r="DF2" s="68"/>
      <c r="DG2" s="68" t="s">
        <v>17</v>
      </c>
      <c r="DH2" s="68"/>
      <c r="DI2" s="68"/>
      <c r="DJ2" s="68"/>
      <c r="DK2" s="68"/>
      <c r="DL2" s="68" t="s">
        <v>88</v>
      </c>
      <c r="DM2" s="68"/>
      <c r="DN2" s="68"/>
      <c r="DO2" s="68"/>
      <c r="DP2" s="68"/>
      <c r="DQ2" s="68" t="s">
        <v>20</v>
      </c>
      <c r="DR2" s="68"/>
      <c r="DS2" s="68"/>
      <c r="DT2" s="68"/>
      <c r="DU2" s="68"/>
      <c r="DV2" s="14" t="s">
        <v>83</v>
      </c>
      <c r="DW2" s="14" t="s">
        <v>84</v>
      </c>
      <c r="DX2" s="14" t="s">
        <v>18</v>
      </c>
      <c r="DY2" s="14" t="s">
        <v>63</v>
      </c>
      <c r="DZ2" s="14" t="s">
        <v>85</v>
      </c>
      <c r="EA2" s="14" t="s">
        <v>19</v>
      </c>
      <c r="EB2" s="14" t="s">
        <v>21</v>
      </c>
      <c r="EC2" s="14" t="s">
        <v>89</v>
      </c>
      <c r="ED2" s="14" t="s">
        <v>90</v>
      </c>
      <c r="EE2" s="14" t="s">
        <v>88</v>
      </c>
      <c r="EF2" s="14" t="s">
        <v>86</v>
      </c>
      <c r="EG2" s="14" t="s">
        <v>87</v>
      </c>
      <c r="EH2" s="14" t="s">
        <v>20</v>
      </c>
      <c r="EI2" s="14" t="s">
        <v>15</v>
      </c>
      <c r="EJ2" s="65" t="s">
        <v>16</v>
      </c>
      <c r="EK2" s="65"/>
      <c r="EL2" s="65"/>
      <c r="EM2" s="65"/>
      <c r="EN2" s="65"/>
      <c r="EO2" s="65" t="s">
        <v>17</v>
      </c>
      <c r="EP2" s="65"/>
      <c r="EQ2" s="65"/>
      <c r="ER2" s="65"/>
      <c r="ES2" s="65"/>
      <c r="ET2" s="65" t="s">
        <v>88</v>
      </c>
      <c r="EU2" s="65"/>
      <c r="EV2" s="65"/>
      <c r="EW2" s="65"/>
      <c r="EX2" s="65"/>
      <c r="EY2" s="65" t="s">
        <v>20</v>
      </c>
      <c r="EZ2" s="65"/>
      <c r="FA2" s="65"/>
      <c r="FB2" s="65"/>
      <c r="FC2" s="65"/>
      <c r="FD2" s="13" t="s">
        <v>83</v>
      </c>
      <c r="FE2" s="13" t="s">
        <v>84</v>
      </c>
      <c r="FF2" s="13" t="s">
        <v>18</v>
      </c>
      <c r="FG2" s="13" t="s">
        <v>63</v>
      </c>
      <c r="FH2" s="13" t="s">
        <v>85</v>
      </c>
      <c r="FI2" s="13" t="s">
        <v>19</v>
      </c>
      <c r="FJ2" s="13" t="s">
        <v>21</v>
      </c>
      <c r="FK2" s="13" t="s">
        <v>89</v>
      </c>
      <c r="FL2" s="13" t="s">
        <v>90</v>
      </c>
      <c r="FM2" s="13" t="s">
        <v>88</v>
      </c>
      <c r="FN2" s="13" t="s">
        <v>86</v>
      </c>
      <c r="FO2" s="13" t="s">
        <v>87</v>
      </c>
      <c r="FP2" s="13" t="s">
        <v>20</v>
      </c>
      <c r="FQ2" s="13" t="s">
        <v>15</v>
      </c>
      <c r="FR2" s="68" t="s">
        <v>16</v>
      </c>
      <c r="FS2" s="68"/>
      <c r="FT2" s="68"/>
      <c r="FU2" s="68"/>
      <c r="FV2" s="68"/>
      <c r="FW2" s="68" t="s">
        <v>17</v>
      </c>
      <c r="FX2" s="68"/>
      <c r="FY2" s="68"/>
      <c r="FZ2" s="68"/>
      <c r="GA2" s="68"/>
      <c r="GB2" s="68" t="s">
        <v>88</v>
      </c>
      <c r="GC2" s="68"/>
      <c r="GD2" s="68"/>
      <c r="GE2" s="68"/>
      <c r="GF2" s="68"/>
      <c r="GG2" s="68" t="s">
        <v>20</v>
      </c>
      <c r="GH2" s="68"/>
      <c r="GI2" s="68"/>
      <c r="GJ2" s="68"/>
      <c r="GK2" s="68"/>
      <c r="GL2" s="14" t="s">
        <v>83</v>
      </c>
      <c r="GM2" s="14" t="s">
        <v>84</v>
      </c>
      <c r="GN2" s="14" t="s">
        <v>18</v>
      </c>
      <c r="GO2" s="14" t="s">
        <v>63</v>
      </c>
      <c r="GP2" s="14" t="s">
        <v>85</v>
      </c>
      <c r="GQ2" s="14" t="s">
        <v>19</v>
      </c>
      <c r="GR2" s="14" t="s">
        <v>21</v>
      </c>
      <c r="GS2" s="14" t="s">
        <v>89</v>
      </c>
      <c r="GT2" s="14" t="s">
        <v>90</v>
      </c>
      <c r="GU2" s="14" t="s">
        <v>88</v>
      </c>
      <c r="GV2" s="14" t="s">
        <v>86</v>
      </c>
      <c r="GW2" s="14" t="s">
        <v>87</v>
      </c>
      <c r="GX2" s="14" t="s">
        <v>20</v>
      </c>
      <c r="GY2" s="14" t="s">
        <v>15</v>
      </c>
      <c r="GZ2" s="65" t="s">
        <v>16</v>
      </c>
      <c r="HA2" s="65"/>
      <c r="HB2" s="65"/>
      <c r="HC2" s="65"/>
      <c r="HD2" s="65"/>
      <c r="HE2" s="65" t="s">
        <v>17</v>
      </c>
      <c r="HF2" s="65"/>
      <c r="HG2" s="65"/>
      <c r="HH2" s="65"/>
      <c r="HI2" s="65"/>
      <c r="HJ2" s="65" t="s">
        <v>88</v>
      </c>
      <c r="HK2" s="65"/>
      <c r="HL2" s="65"/>
      <c r="HM2" s="65"/>
      <c r="HN2" s="65"/>
      <c r="HO2" s="65" t="s">
        <v>20</v>
      </c>
      <c r="HP2" s="65"/>
      <c r="HQ2" s="65"/>
      <c r="HR2" s="65"/>
      <c r="HS2" s="65"/>
      <c r="HT2" s="13" t="s">
        <v>83</v>
      </c>
      <c r="HU2" s="13" t="s">
        <v>84</v>
      </c>
      <c r="HV2" s="13" t="s">
        <v>18</v>
      </c>
      <c r="HW2" s="13" t="s">
        <v>63</v>
      </c>
      <c r="HX2" s="13" t="s">
        <v>85</v>
      </c>
      <c r="HY2" s="13" t="s">
        <v>19</v>
      </c>
      <c r="HZ2" s="13" t="s">
        <v>21</v>
      </c>
      <c r="IA2" s="13" t="s">
        <v>89</v>
      </c>
      <c r="IB2" s="13" t="s">
        <v>90</v>
      </c>
      <c r="IC2" s="13" t="s">
        <v>88</v>
      </c>
      <c r="ID2" s="13" t="s">
        <v>86</v>
      </c>
      <c r="IE2" s="13" t="s">
        <v>87</v>
      </c>
      <c r="IF2" s="13" t="s">
        <v>20</v>
      </c>
      <c r="IG2" s="13" t="s">
        <v>15</v>
      </c>
      <c r="IH2" s="68" t="s">
        <v>16</v>
      </c>
      <c r="II2" s="68"/>
      <c r="IJ2" s="68"/>
      <c r="IK2" s="68"/>
      <c r="IL2" s="68"/>
      <c r="IM2" s="68" t="s">
        <v>17</v>
      </c>
      <c r="IN2" s="68"/>
      <c r="IO2" s="68"/>
      <c r="IP2" s="68"/>
      <c r="IQ2" s="68"/>
      <c r="IR2" s="68" t="s">
        <v>88</v>
      </c>
      <c r="IS2" s="68"/>
      <c r="IT2" s="68"/>
      <c r="IU2" s="68"/>
      <c r="IV2" s="68"/>
      <c r="IW2" s="68" t="s">
        <v>20</v>
      </c>
      <c r="IX2" s="68"/>
      <c r="IY2" s="68"/>
      <c r="IZ2" s="68"/>
      <c r="JA2" s="68"/>
      <c r="JB2" s="14" t="s">
        <v>83</v>
      </c>
      <c r="JC2" s="14" t="s">
        <v>84</v>
      </c>
      <c r="JD2" s="14" t="s">
        <v>18</v>
      </c>
      <c r="JE2" s="14" t="s">
        <v>63</v>
      </c>
      <c r="JF2" s="14" t="s">
        <v>85</v>
      </c>
      <c r="JG2" s="14" t="s">
        <v>19</v>
      </c>
      <c r="JH2" s="14" t="s">
        <v>21</v>
      </c>
      <c r="JI2" s="14" t="s">
        <v>89</v>
      </c>
      <c r="JJ2" s="14" t="s">
        <v>90</v>
      </c>
      <c r="JK2" s="14" t="s">
        <v>88</v>
      </c>
      <c r="JL2" s="14" t="s">
        <v>86</v>
      </c>
      <c r="JM2" s="14" t="s">
        <v>87</v>
      </c>
      <c r="JN2" s="14" t="s">
        <v>20</v>
      </c>
      <c r="JO2" s="14" t="s">
        <v>15</v>
      </c>
      <c r="JP2" s="65" t="s">
        <v>16</v>
      </c>
      <c r="JQ2" s="65"/>
      <c r="JR2" s="65"/>
      <c r="JS2" s="65"/>
      <c r="JT2" s="65"/>
      <c r="JU2" s="65" t="s">
        <v>17</v>
      </c>
      <c r="JV2" s="65"/>
      <c r="JW2" s="65"/>
      <c r="JX2" s="65"/>
      <c r="JY2" s="65"/>
      <c r="JZ2" s="65" t="s">
        <v>88</v>
      </c>
      <c r="KA2" s="65"/>
      <c r="KB2" s="65"/>
      <c r="KC2" s="65"/>
      <c r="KD2" s="65"/>
      <c r="KE2" s="65" t="s">
        <v>20</v>
      </c>
      <c r="KF2" s="65"/>
      <c r="KG2" s="65"/>
      <c r="KH2" s="65"/>
      <c r="KI2" s="65"/>
      <c r="KJ2" s="13" t="s">
        <v>83</v>
      </c>
      <c r="KK2" s="13" t="s">
        <v>84</v>
      </c>
      <c r="KL2" s="13" t="s">
        <v>18</v>
      </c>
      <c r="KM2" s="13" t="s">
        <v>63</v>
      </c>
      <c r="KN2" s="13" t="s">
        <v>85</v>
      </c>
      <c r="KO2" s="13" t="s">
        <v>19</v>
      </c>
      <c r="KP2" s="13" t="s">
        <v>21</v>
      </c>
      <c r="KQ2" s="13" t="s">
        <v>89</v>
      </c>
      <c r="KR2" s="13" t="s">
        <v>90</v>
      </c>
      <c r="KS2" s="13" t="s">
        <v>88</v>
      </c>
      <c r="KT2" s="13" t="s">
        <v>86</v>
      </c>
      <c r="KU2" s="13" t="s">
        <v>87</v>
      </c>
      <c r="KV2" s="13" t="s">
        <v>20</v>
      </c>
      <c r="KW2" s="13" t="s">
        <v>15</v>
      </c>
      <c r="KX2" s="68" t="s">
        <v>16</v>
      </c>
      <c r="KY2" s="68"/>
      <c r="KZ2" s="68"/>
      <c r="LA2" s="68"/>
      <c r="LB2" s="68"/>
      <c r="LC2" s="68" t="s">
        <v>17</v>
      </c>
      <c r="LD2" s="68"/>
      <c r="LE2" s="68"/>
      <c r="LF2" s="68"/>
      <c r="LG2" s="68"/>
      <c r="LH2" s="68" t="s">
        <v>88</v>
      </c>
      <c r="LI2" s="68"/>
      <c r="LJ2" s="68"/>
      <c r="LK2" s="68"/>
      <c r="LL2" s="68"/>
      <c r="LM2" s="68" t="s">
        <v>20</v>
      </c>
      <c r="LN2" s="68"/>
      <c r="LO2" s="68"/>
      <c r="LP2" s="68"/>
      <c r="LQ2" s="68"/>
      <c r="LR2" s="14" t="s">
        <v>83</v>
      </c>
      <c r="LS2" s="14" t="s">
        <v>84</v>
      </c>
      <c r="LT2" s="14" t="s">
        <v>18</v>
      </c>
      <c r="LU2" s="14" t="s">
        <v>63</v>
      </c>
      <c r="LV2" s="14" t="s">
        <v>85</v>
      </c>
      <c r="LW2" s="14" t="s">
        <v>19</v>
      </c>
      <c r="LX2" s="14" t="s">
        <v>21</v>
      </c>
      <c r="LY2" s="14" t="s">
        <v>89</v>
      </c>
      <c r="LZ2" s="14" t="s">
        <v>90</v>
      </c>
      <c r="MA2" s="14" t="s">
        <v>88</v>
      </c>
      <c r="MB2" s="14" t="s">
        <v>86</v>
      </c>
      <c r="MC2" s="14" t="s">
        <v>87</v>
      </c>
      <c r="MD2" s="14" t="s">
        <v>20</v>
      </c>
      <c r="ME2" s="14" t="s">
        <v>15</v>
      </c>
      <c r="MF2" s="65" t="s">
        <v>16</v>
      </c>
      <c r="MG2" s="65"/>
      <c r="MH2" s="65"/>
      <c r="MI2" s="65"/>
      <c r="MJ2" s="65"/>
      <c r="MK2" s="65" t="s">
        <v>17</v>
      </c>
      <c r="ML2" s="65"/>
      <c r="MM2" s="65"/>
      <c r="MN2" s="65"/>
      <c r="MO2" s="65"/>
      <c r="MP2" s="65" t="s">
        <v>88</v>
      </c>
      <c r="MQ2" s="65"/>
      <c r="MR2" s="65"/>
      <c r="MS2" s="65"/>
      <c r="MT2" s="65"/>
      <c r="MU2" s="65" t="s">
        <v>20</v>
      </c>
      <c r="MV2" s="65"/>
      <c r="MW2" s="65"/>
      <c r="MX2" s="65"/>
      <c r="MY2" s="65"/>
      <c r="MZ2" s="13" t="s">
        <v>83</v>
      </c>
      <c r="NA2" s="13" t="s">
        <v>84</v>
      </c>
      <c r="NB2" s="13" t="s">
        <v>18</v>
      </c>
      <c r="NC2" s="13" t="s">
        <v>63</v>
      </c>
      <c r="ND2" s="13" t="s">
        <v>85</v>
      </c>
      <c r="NE2" s="13" t="s">
        <v>19</v>
      </c>
      <c r="NF2" s="13" t="s">
        <v>21</v>
      </c>
      <c r="NG2" s="13" t="s">
        <v>89</v>
      </c>
      <c r="NH2" s="13" t="s">
        <v>90</v>
      </c>
      <c r="NI2" s="13" t="s">
        <v>88</v>
      </c>
      <c r="NJ2" s="13" t="s">
        <v>86</v>
      </c>
      <c r="NK2" s="13" t="s">
        <v>87</v>
      </c>
      <c r="NL2" s="13" t="s">
        <v>20</v>
      </c>
      <c r="NM2" s="13" t="s">
        <v>15</v>
      </c>
      <c r="NN2" s="68" t="s">
        <v>16</v>
      </c>
      <c r="NO2" s="68"/>
      <c r="NP2" s="68"/>
      <c r="NQ2" s="68"/>
      <c r="NR2" s="68"/>
      <c r="NS2" s="68" t="s">
        <v>17</v>
      </c>
      <c r="NT2" s="68"/>
      <c r="NU2" s="68"/>
      <c r="NV2" s="68"/>
      <c r="NW2" s="68"/>
      <c r="NX2" s="68" t="s">
        <v>88</v>
      </c>
      <c r="NY2" s="68"/>
      <c r="NZ2" s="68"/>
      <c r="OA2" s="68"/>
      <c r="OB2" s="68"/>
      <c r="OC2" s="68" t="s">
        <v>20</v>
      </c>
      <c r="OD2" s="68"/>
      <c r="OE2" s="68"/>
      <c r="OF2" s="68"/>
      <c r="OG2" s="68"/>
      <c r="OH2" s="14" t="s">
        <v>83</v>
      </c>
      <c r="OI2" s="14" t="s">
        <v>84</v>
      </c>
      <c r="OJ2" s="14" t="s">
        <v>18</v>
      </c>
      <c r="OK2" s="14" t="s">
        <v>63</v>
      </c>
      <c r="OL2" s="14" t="s">
        <v>85</v>
      </c>
      <c r="OM2" s="14" t="s">
        <v>19</v>
      </c>
      <c r="ON2" s="14" t="s">
        <v>21</v>
      </c>
      <c r="OO2" s="14" t="s">
        <v>89</v>
      </c>
      <c r="OP2" s="14" t="s">
        <v>90</v>
      </c>
      <c r="OQ2" s="14" t="s">
        <v>88</v>
      </c>
      <c r="OR2" s="14" t="s">
        <v>86</v>
      </c>
      <c r="OS2" s="14" t="s">
        <v>87</v>
      </c>
      <c r="OT2" s="14" t="s">
        <v>20</v>
      </c>
      <c r="OU2" s="14" t="s">
        <v>15</v>
      </c>
      <c r="OV2" s="65" t="s">
        <v>16</v>
      </c>
      <c r="OW2" s="65"/>
      <c r="OX2" s="65"/>
      <c r="OY2" s="65"/>
      <c r="OZ2" s="65"/>
      <c r="PA2" s="65" t="s">
        <v>17</v>
      </c>
      <c r="PB2" s="65"/>
      <c r="PC2" s="65"/>
      <c r="PD2" s="65"/>
      <c r="PE2" s="65"/>
      <c r="PF2" s="65" t="s">
        <v>88</v>
      </c>
      <c r="PG2" s="65"/>
      <c r="PH2" s="65"/>
      <c r="PI2" s="65"/>
      <c r="PJ2" s="65"/>
      <c r="PK2" s="65" t="s">
        <v>20</v>
      </c>
      <c r="PL2" s="65"/>
      <c r="PM2" s="65"/>
      <c r="PN2" s="65"/>
      <c r="PO2" s="65"/>
      <c r="PP2" s="13" t="s">
        <v>83</v>
      </c>
      <c r="PQ2" s="13" t="s">
        <v>84</v>
      </c>
      <c r="PR2" s="13" t="s">
        <v>18</v>
      </c>
      <c r="PS2" s="13" t="s">
        <v>63</v>
      </c>
      <c r="PT2" s="13" t="s">
        <v>85</v>
      </c>
      <c r="PU2" s="13" t="s">
        <v>19</v>
      </c>
      <c r="PV2" s="13" t="s">
        <v>21</v>
      </c>
      <c r="PW2" s="13" t="s">
        <v>89</v>
      </c>
      <c r="PX2" s="13" t="s">
        <v>90</v>
      </c>
      <c r="PY2" s="13" t="s">
        <v>88</v>
      </c>
      <c r="PZ2" s="13" t="s">
        <v>86</v>
      </c>
      <c r="QA2" s="13" t="s">
        <v>87</v>
      </c>
      <c r="QB2" s="13" t="s">
        <v>20</v>
      </c>
      <c r="QC2" s="13" t="s">
        <v>15</v>
      </c>
      <c r="QD2" s="68" t="s">
        <v>16</v>
      </c>
      <c r="QE2" s="68"/>
      <c r="QF2" s="68"/>
      <c r="QG2" s="68"/>
      <c r="QH2" s="68"/>
      <c r="QI2" s="68" t="s">
        <v>17</v>
      </c>
      <c r="QJ2" s="68"/>
      <c r="QK2" s="68"/>
      <c r="QL2" s="68"/>
      <c r="QM2" s="68"/>
      <c r="QN2" s="68" t="s">
        <v>88</v>
      </c>
      <c r="QO2" s="68"/>
      <c r="QP2" s="68"/>
      <c r="QQ2" s="68"/>
      <c r="QR2" s="68"/>
      <c r="QS2" s="68" t="s">
        <v>20</v>
      </c>
      <c r="QT2" s="68"/>
      <c r="QU2" s="68"/>
      <c r="QV2" s="68"/>
      <c r="QW2" s="68"/>
      <c r="QX2" s="14" t="s">
        <v>83</v>
      </c>
      <c r="QY2" s="14" t="s">
        <v>84</v>
      </c>
      <c r="QZ2" s="14" t="s">
        <v>18</v>
      </c>
      <c r="RA2" s="14" t="s">
        <v>63</v>
      </c>
      <c r="RB2" s="14" t="s">
        <v>85</v>
      </c>
      <c r="RC2" s="14" t="s">
        <v>19</v>
      </c>
      <c r="RD2" s="14" t="s">
        <v>21</v>
      </c>
      <c r="RE2" s="14" t="s">
        <v>89</v>
      </c>
      <c r="RF2" s="14" t="s">
        <v>90</v>
      </c>
      <c r="RG2" s="14" t="s">
        <v>88</v>
      </c>
      <c r="RH2" s="14" t="s">
        <v>86</v>
      </c>
      <c r="RI2" s="14" t="s">
        <v>87</v>
      </c>
      <c r="RJ2" s="14" t="s">
        <v>20</v>
      </c>
      <c r="RK2" s="14" t="s">
        <v>15</v>
      </c>
      <c r="RL2" s="65" t="s">
        <v>16</v>
      </c>
      <c r="RM2" s="65"/>
      <c r="RN2" s="65"/>
      <c r="RO2" s="65"/>
      <c r="RP2" s="65"/>
      <c r="RQ2" s="65" t="s">
        <v>17</v>
      </c>
      <c r="RR2" s="65"/>
      <c r="RS2" s="65"/>
      <c r="RT2" s="65"/>
      <c r="RU2" s="65"/>
      <c r="RV2" s="65" t="s">
        <v>88</v>
      </c>
      <c r="RW2" s="65"/>
      <c r="RX2" s="65"/>
      <c r="RY2" s="65"/>
      <c r="RZ2" s="65"/>
      <c r="SA2" s="65" t="s">
        <v>20</v>
      </c>
      <c r="SB2" s="65"/>
      <c r="SC2" s="65"/>
      <c r="SD2" s="65"/>
      <c r="SE2" s="65"/>
      <c r="SF2" s="13" t="s">
        <v>83</v>
      </c>
      <c r="SG2" s="13" t="s">
        <v>84</v>
      </c>
      <c r="SH2" s="13" t="s">
        <v>18</v>
      </c>
      <c r="SI2" s="13" t="s">
        <v>63</v>
      </c>
      <c r="SJ2" s="13" t="s">
        <v>85</v>
      </c>
      <c r="SK2" s="13" t="s">
        <v>19</v>
      </c>
      <c r="SL2" s="13" t="s">
        <v>21</v>
      </c>
      <c r="SM2" s="13" t="s">
        <v>89</v>
      </c>
      <c r="SN2" s="13" t="s">
        <v>90</v>
      </c>
      <c r="SO2" s="13" t="s">
        <v>88</v>
      </c>
      <c r="SP2" s="13" t="s">
        <v>86</v>
      </c>
      <c r="SQ2" s="13" t="s">
        <v>87</v>
      </c>
      <c r="SR2" s="13" t="s">
        <v>20</v>
      </c>
      <c r="SS2" s="13" t="s">
        <v>15</v>
      </c>
      <c r="ST2" s="68" t="s">
        <v>16</v>
      </c>
      <c r="SU2" s="68"/>
      <c r="SV2" s="68"/>
      <c r="SW2" s="68"/>
      <c r="SX2" s="68"/>
      <c r="SY2" s="68" t="s">
        <v>17</v>
      </c>
      <c r="SZ2" s="68"/>
      <c r="TA2" s="68"/>
      <c r="TB2" s="68"/>
      <c r="TC2" s="68"/>
      <c r="TD2" s="68" t="s">
        <v>20</v>
      </c>
      <c r="TE2" s="68"/>
      <c r="TF2" s="68"/>
      <c r="TG2" s="68"/>
      <c r="TH2" s="68"/>
      <c r="TI2" s="14"/>
      <c r="TJ2" s="14" t="s">
        <v>83</v>
      </c>
      <c r="TK2" s="14" t="s">
        <v>84</v>
      </c>
      <c r="TL2" s="14" t="s">
        <v>18</v>
      </c>
      <c r="TM2" s="14" t="s">
        <v>63</v>
      </c>
      <c r="TN2" s="14" t="s">
        <v>85</v>
      </c>
      <c r="TO2" s="14" t="s">
        <v>19</v>
      </c>
      <c r="TP2" s="14" t="s">
        <v>21</v>
      </c>
      <c r="TQ2" s="14" t="s">
        <v>86</v>
      </c>
      <c r="TR2" s="14" t="s">
        <v>87</v>
      </c>
      <c r="TS2" s="14" t="s">
        <v>20</v>
      </c>
      <c r="TT2" s="14" t="s">
        <v>15</v>
      </c>
    </row>
    <row r="3" spans="1:540" x14ac:dyDescent="0.2">
      <c r="A3" s="71"/>
      <c r="B3" s="71"/>
      <c r="C3" s="71"/>
      <c r="D3" s="71"/>
      <c r="E3" s="71"/>
      <c r="F3" s="74"/>
      <c r="G3" s="71"/>
      <c r="H3" s="71"/>
      <c r="I3" s="71"/>
      <c r="J3" s="72"/>
      <c r="K3" s="70"/>
      <c r="L3" s="72"/>
      <c r="M3" s="70"/>
      <c r="N3" s="72"/>
      <c r="O3" s="70"/>
      <c r="P3" s="70"/>
      <c r="Q3" s="70"/>
      <c r="R3" s="72"/>
      <c r="S3" s="70"/>
      <c r="T3" s="73"/>
      <c r="U3" s="70"/>
      <c r="V3" s="70"/>
      <c r="W3" s="14" t="s">
        <v>12</v>
      </c>
      <c r="X3" s="14" t="s">
        <v>13</v>
      </c>
      <c r="Y3" s="14" t="s">
        <v>7</v>
      </c>
      <c r="Z3" s="14" t="s">
        <v>14</v>
      </c>
      <c r="AA3" s="14" t="s">
        <v>23</v>
      </c>
      <c r="AB3" s="14" t="s">
        <v>12</v>
      </c>
      <c r="AC3" s="14" t="s">
        <v>13</v>
      </c>
      <c r="AD3" s="14" t="s">
        <v>7</v>
      </c>
      <c r="AE3" s="14" t="s">
        <v>14</v>
      </c>
      <c r="AF3" s="14" t="s">
        <v>23</v>
      </c>
      <c r="AG3" s="14" t="s">
        <v>12</v>
      </c>
      <c r="AH3" s="14" t="s">
        <v>13</v>
      </c>
      <c r="AI3" s="14" t="s">
        <v>7</v>
      </c>
      <c r="AJ3" s="14" t="s">
        <v>14</v>
      </c>
      <c r="AK3" s="14" t="s">
        <v>23</v>
      </c>
      <c r="AL3" s="14" t="s">
        <v>45</v>
      </c>
      <c r="AM3" s="14"/>
      <c r="AN3" s="14"/>
      <c r="AO3" s="14"/>
      <c r="AP3" s="14"/>
      <c r="AQ3" s="14"/>
      <c r="AR3" s="14"/>
      <c r="AS3" s="14"/>
      <c r="AT3" s="14"/>
      <c r="AU3" s="14"/>
      <c r="AV3" s="14"/>
      <c r="AW3" s="14"/>
      <c r="AX3" s="13" t="s">
        <v>12</v>
      </c>
      <c r="AY3" s="13" t="s">
        <v>13</v>
      </c>
      <c r="AZ3" s="13" t="s">
        <v>7</v>
      </c>
      <c r="BA3" s="13" t="s">
        <v>14</v>
      </c>
      <c r="BB3" s="13" t="s">
        <v>23</v>
      </c>
      <c r="BC3" s="13" t="s">
        <v>12</v>
      </c>
      <c r="BD3" s="13" t="s">
        <v>13</v>
      </c>
      <c r="BE3" s="13" t="s">
        <v>7</v>
      </c>
      <c r="BF3" s="13" t="s">
        <v>14</v>
      </c>
      <c r="BG3" s="13" t="s">
        <v>23</v>
      </c>
      <c r="BH3" s="13" t="s">
        <v>12</v>
      </c>
      <c r="BI3" s="13" t="s">
        <v>13</v>
      </c>
      <c r="BJ3" s="13" t="s">
        <v>7</v>
      </c>
      <c r="BK3" s="13" t="s">
        <v>14</v>
      </c>
      <c r="BL3" s="13" t="s">
        <v>23</v>
      </c>
      <c r="BM3" s="13" t="s">
        <v>45</v>
      </c>
      <c r="BN3" s="13"/>
      <c r="BO3" s="13"/>
      <c r="BP3" s="13"/>
      <c r="BQ3" s="13"/>
      <c r="BR3" s="13"/>
      <c r="BS3" s="13"/>
      <c r="BT3" s="13"/>
      <c r="BU3" s="13"/>
      <c r="BV3" s="13"/>
      <c r="BW3" s="13"/>
      <c r="BX3" s="13"/>
      <c r="BY3" s="14" t="s">
        <v>12</v>
      </c>
      <c r="BZ3" s="14" t="s">
        <v>13</v>
      </c>
      <c r="CA3" s="14" t="s">
        <v>7</v>
      </c>
      <c r="CB3" s="14" t="s">
        <v>14</v>
      </c>
      <c r="CC3" s="14" t="s">
        <v>23</v>
      </c>
      <c r="CD3" s="14" t="s">
        <v>12</v>
      </c>
      <c r="CE3" s="14" t="s">
        <v>13</v>
      </c>
      <c r="CF3" s="14" t="s">
        <v>7</v>
      </c>
      <c r="CG3" s="14" t="s">
        <v>14</v>
      </c>
      <c r="CH3" s="14" t="s">
        <v>23</v>
      </c>
      <c r="CI3" s="14" t="s">
        <v>12</v>
      </c>
      <c r="CJ3" s="14" t="s">
        <v>13</v>
      </c>
      <c r="CK3" s="14" t="s">
        <v>7</v>
      </c>
      <c r="CL3" s="14" t="s">
        <v>14</v>
      </c>
      <c r="CM3" s="14" t="s">
        <v>23</v>
      </c>
      <c r="CN3" s="14" t="s">
        <v>45</v>
      </c>
      <c r="CO3" s="14"/>
      <c r="CP3" s="14"/>
      <c r="CQ3" s="14"/>
      <c r="CR3" s="14"/>
      <c r="CS3" s="14"/>
      <c r="CT3" s="14"/>
      <c r="CU3" s="14"/>
      <c r="CV3" s="14"/>
      <c r="CW3" s="14"/>
      <c r="CX3" s="14"/>
      <c r="CY3" s="14"/>
      <c r="CZ3" s="49"/>
      <c r="DA3" s="49"/>
      <c r="DB3" s="14" t="s">
        <v>12</v>
      </c>
      <c r="DC3" s="14" t="s">
        <v>13</v>
      </c>
      <c r="DD3" s="14" t="s">
        <v>7</v>
      </c>
      <c r="DE3" s="14" t="s">
        <v>14</v>
      </c>
      <c r="DF3" s="14" t="s">
        <v>23</v>
      </c>
      <c r="DG3" s="14" t="s">
        <v>12</v>
      </c>
      <c r="DH3" s="14" t="s">
        <v>13</v>
      </c>
      <c r="DI3" s="14" t="s">
        <v>7</v>
      </c>
      <c r="DJ3" s="14" t="s">
        <v>14</v>
      </c>
      <c r="DK3" s="14" t="s">
        <v>23</v>
      </c>
      <c r="DL3" s="14" t="s">
        <v>12</v>
      </c>
      <c r="DM3" s="14" t="s">
        <v>13</v>
      </c>
      <c r="DN3" s="14" t="s">
        <v>7</v>
      </c>
      <c r="DO3" s="14" t="s">
        <v>14</v>
      </c>
      <c r="DP3" s="14" t="s">
        <v>23</v>
      </c>
      <c r="DQ3" s="14" t="s">
        <v>12</v>
      </c>
      <c r="DR3" s="14" t="s">
        <v>13</v>
      </c>
      <c r="DS3" s="14" t="s">
        <v>7</v>
      </c>
      <c r="DT3" s="14" t="s">
        <v>14</v>
      </c>
      <c r="DU3" s="14" t="s">
        <v>23</v>
      </c>
      <c r="DV3" s="6"/>
      <c r="DW3" s="6"/>
      <c r="DX3" s="6"/>
      <c r="DY3" s="6"/>
      <c r="DZ3" s="6"/>
      <c r="EA3" s="6"/>
      <c r="EB3" s="6"/>
      <c r="EC3" s="6"/>
      <c r="ED3" s="6"/>
      <c r="EE3" s="6"/>
      <c r="EF3" s="6"/>
      <c r="EG3" s="6"/>
      <c r="EH3" s="6"/>
      <c r="EI3" s="14"/>
      <c r="EJ3" s="13" t="s">
        <v>12</v>
      </c>
      <c r="EK3" s="13" t="s">
        <v>13</v>
      </c>
      <c r="EL3" s="13" t="s">
        <v>7</v>
      </c>
      <c r="EM3" s="13" t="s">
        <v>14</v>
      </c>
      <c r="EN3" s="13" t="s">
        <v>23</v>
      </c>
      <c r="EO3" s="13" t="s">
        <v>12</v>
      </c>
      <c r="EP3" s="13" t="s">
        <v>13</v>
      </c>
      <c r="EQ3" s="13" t="s">
        <v>7</v>
      </c>
      <c r="ER3" s="13" t="s">
        <v>14</v>
      </c>
      <c r="ES3" s="13" t="s">
        <v>23</v>
      </c>
      <c r="ET3" s="13" t="s">
        <v>12</v>
      </c>
      <c r="EU3" s="13" t="s">
        <v>13</v>
      </c>
      <c r="EV3" s="13" t="s">
        <v>7</v>
      </c>
      <c r="EW3" s="13" t="s">
        <v>14</v>
      </c>
      <c r="EX3" s="13" t="s">
        <v>23</v>
      </c>
      <c r="EY3" s="13" t="s">
        <v>12</v>
      </c>
      <c r="EZ3" s="13" t="s">
        <v>13</v>
      </c>
      <c r="FA3" s="13" t="s">
        <v>7</v>
      </c>
      <c r="FB3" s="13" t="s">
        <v>14</v>
      </c>
      <c r="FC3" s="13" t="s">
        <v>23</v>
      </c>
      <c r="FD3" s="7"/>
      <c r="FE3" s="7"/>
      <c r="FF3" s="7"/>
      <c r="FG3" s="7"/>
      <c r="FH3" s="7"/>
      <c r="FI3" s="7"/>
      <c r="FJ3" s="7"/>
      <c r="FK3" s="7"/>
      <c r="FL3" s="7"/>
      <c r="FM3" s="7"/>
      <c r="FN3" s="7"/>
      <c r="FO3" s="7"/>
      <c r="FP3" s="7"/>
      <c r="FQ3" s="13"/>
      <c r="FR3" s="14" t="s">
        <v>12</v>
      </c>
      <c r="FS3" s="14" t="s">
        <v>13</v>
      </c>
      <c r="FT3" s="14" t="s">
        <v>7</v>
      </c>
      <c r="FU3" s="14" t="s">
        <v>14</v>
      </c>
      <c r="FV3" s="14" t="s">
        <v>23</v>
      </c>
      <c r="FW3" s="14" t="s">
        <v>12</v>
      </c>
      <c r="FX3" s="14" t="s">
        <v>13</v>
      </c>
      <c r="FY3" s="14" t="s">
        <v>7</v>
      </c>
      <c r="FZ3" s="14" t="s">
        <v>14</v>
      </c>
      <c r="GA3" s="14" t="s">
        <v>23</v>
      </c>
      <c r="GB3" s="14" t="s">
        <v>12</v>
      </c>
      <c r="GC3" s="14" t="s">
        <v>13</v>
      </c>
      <c r="GD3" s="14" t="s">
        <v>7</v>
      </c>
      <c r="GE3" s="14" t="s">
        <v>14</v>
      </c>
      <c r="GF3" s="14" t="s">
        <v>23</v>
      </c>
      <c r="GG3" s="14" t="s">
        <v>12</v>
      </c>
      <c r="GH3" s="14" t="s">
        <v>13</v>
      </c>
      <c r="GI3" s="14" t="s">
        <v>7</v>
      </c>
      <c r="GJ3" s="14" t="s">
        <v>14</v>
      </c>
      <c r="GK3" s="14" t="s">
        <v>23</v>
      </c>
      <c r="GL3" s="6"/>
      <c r="GM3" s="6"/>
      <c r="GN3" s="6"/>
      <c r="GO3" s="6"/>
      <c r="GP3" s="6"/>
      <c r="GQ3" s="6"/>
      <c r="GR3" s="6"/>
      <c r="GS3" s="6"/>
      <c r="GT3" s="6"/>
      <c r="GU3" s="6"/>
      <c r="GV3" s="6"/>
      <c r="GW3" s="6"/>
      <c r="GX3" s="6"/>
      <c r="GY3" s="14"/>
      <c r="GZ3" s="13" t="s">
        <v>12</v>
      </c>
      <c r="HA3" s="13" t="s">
        <v>13</v>
      </c>
      <c r="HB3" s="13" t="s">
        <v>7</v>
      </c>
      <c r="HC3" s="13" t="s">
        <v>14</v>
      </c>
      <c r="HD3" s="13" t="s">
        <v>23</v>
      </c>
      <c r="HE3" s="13" t="s">
        <v>12</v>
      </c>
      <c r="HF3" s="13" t="s">
        <v>13</v>
      </c>
      <c r="HG3" s="13" t="s">
        <v>7</v>
      </c>
      <c r="HH3" s="13" t="s">
        <v>14</v>
      </c>
      <c r="HI3" s="13" t="s">
        <v>23</v>
      </c>
      <c r="HJ3" s="13" t="s">
        <v>12</v>
      </c>
      <c r="HK3" s="13" t="s">
        <v>13</v>
      </c>
      <c r="HL3" s="13" t="s">
        <v>7</v>
      </c>
      <c r="HM3" s="13" t="s">
        <v>14</v>
      </c>
      <c r="HN3" s="13" t="s">
        <v>23</v>
      </c>
      <c r="HO3" s="13" t="s">
        <v>12</v>
      </c>
      <c r="HP3" s="13" t="s">
        <v>13</v>
      </c>
      <c r="HQ3" s="13" t="s">
        <v>7</v>
      </c>
      <c r="HR3" s="13" t="s">
        <v>14</v>
      </c>
      <c r="HS3" s="13" t="s">
        <v>23</v>
      </c>
      <c r="HT3" s="7"/>
      <c r="HU3" s="7"/>
      <c r="HV3" s="7"/>
      <c r="HW3" s="7"/>
      <c r="HX3" s="7"/>
      <c r="HY3" s="7"/>
      <c r="HZ3" s="7"/>
      <c r="IA3" s="7"/>
      <c r="IB3" s="7"/>
      <c r="IC3" s="7"/>
      <c r="ID3" s="7"/>
      <c r="IE3" s="7"/>
      <c r="IF3" s="7"/>
      <c r="IG3" s="13"/>
      <c r="IH3" s="14" t="s">
        <v>12</v>
      </c>
      <c r="II3" s="14" t="s">
        <v>13</v>
      </c>
      <c r="IJ3" s="14" t="s">
        <v>7</v>
      </c>
      <c r="IK3" s="14" t="s">
        <v>14</v>
      </c>
      <c r="IL3" s="14" t="s">
        <v>23</v>
      </c>
      <c r="IM3" s="14" t="s">
        <v>12</v>
      </c>
      <c r="IN3" s="14" t="s">
        <v>13</v>
      </c>
      <c r="IO3" s="14" t="s">
        <v>7</v>
      </c>
      <c r="IP3" s="14" t="s">
        <v>14</v>
      </c>
      <c r="IQ3" s="14" t="s">
        <v>23</v>
      </c>
      <c r="IR3" s="14" t="s">
        <v>12</v>
      </c>
      <c r="IS3" s="14" t="s">
        <v>13</v>
      </c>
      <c r="IT3" s="14" t="s">
        <v>7</v>
      </c>
      <c r="IU3" s="14" t="s">
        <v>14</v>
      </c>
      <c r="IV3" s="14" t="s">
        <v>23</v>
      </c>
      <c r="IW3" s="14" t="s">
        <v>12</v>
      </c>
      <c r="IX3" s="14" t="s">
        <v>13</v>
      </c>
      <c r="IY3" s="14" t="s">
        <v>7</v>
      </c>
      <c r="IZ3" s="14" t="s">
        <v>14</v>
      </c>
      <c r="JA3" s="14" t="s">
        <v>23</v>
      </c>
      <c r="JB3" s="6"/>
      <c r="JC3" s="6"/>
      <c r="JD3" s="6"/>
      <c r="JE3" s="6"/>
      <c r="JF3" s="6"/>
      <c r="JG3" s="6"/>
      <c r="JH3" s="6"/>
      <c r="JI3" s="6"/>
      <c r="JJ3" s="6"/>
      <c r="JK3" s="6"/>
      <c r="JL3" s="6"/>
      <c r="JM3" s="6"/>
      <c r="JN3" s="6"/>
      <c r="JO3" s="14"/>
      <c r="JP3" s="13" t="s">
        <v>12</v>
      </c>
      <c r="JQ3" s="13" t="s">
        <v>13</v>
      </c>
      <c r="JR3" s="13" t="s">
        <v>7</v>
      </c>
      <c r="JS3" s="13" t="s">
        <v>14</v>
      </c>
      <c r="JT3" s="13" t="s">
        <v>23</v>
      </c>
      <c r="JU3" s="13" t="s">
        <v>12</v>
      </c>
      <c r="JV3" s="13" t="s">
        <v>13</v>
      </c>
      <c r="JW3" s="13" t="s">
        <v>7</v>
      </c>
      <c r="JX3" s="13" t="s">
        <v>14</v>
      </c>
      <c r="JY3" s="13" t="s">
        <v>23</v>
      </c>
      <c r="JZ3" s="13" t="s">
        <v>12</v>
      </c>
      <c r="KA3" s="13" t="s">
        <v>13</v>
      </c>
      <c r="KB3" s="13" t="s">
        <v>7</v>
      </c>
      <c r="KC3" s="13" t="s">
        <v>14</v>
      </c>
      <c r="KD3" s="13" t="s">
        <v>23</v>
      </c>
      <c r="KE3" s="13" t="s">
        <v>12</v>
      </c>
      <c r="KF3" s="13" t="s">
        <v>13</v>
      </c>
      <c r="KG3" s="13" t="s">
        <v>7</v>
      </c>
      <c r="KH3" s="13" t="s">
        <v>14</v>
      </c>
      <c r="KI3" s="13" t="s">
        <v>23</v>
      </c>
      <c r="KJ3" s="7"/>
      <c r="KK3" s="7"/>
      <c r="KL3" s="7"/>
      <c r="KM3" s="7"/>
      <c r="KN3" s="7"/>
      <c r="KO3" s="7"/>
      <c r="KP3" s="7"/>
      <c r="KQ3" s="7"/>
      <c r="KR3" s="7"/>
      <c r="KS3" s="7"/>
      <c r="KT3" s="7"/>
      <c r="KU3" s="7"/>
      <c r="KV3" s="7"/>
      <c r="KW3" s="7"/>
      <c r="KX3" s="14" t="s">
        <v>12</v>
      </c>
      <c r="KY3" s="14" t="s">
        <v>13</v>
      </c>
      <c r="KZ3" s="14" t="s">
        <v>7</v>
      </c>
      <c r="LA3" s="14" t="s">
        <v>14</v>
      </c>
      <c r="LB3" s="14" t="s">
        <v>23</v>
      </c>
      <c r="LC3" s="14" t="s">
        <v>12</v>
      </c>
      <c r="LD3" s="14" t="s">
        <v>13</v>
      </c>
      <c r="LE3" s="14" t="s">
        <v>7</v>
      </c>
      <c r="LF3" s="14" t="s">
        <v>14</v>
      </c>
      <c r="LG3" s="14" t="s">
        <v>23</v>
      </c>
      <c r="LH3" s="14" t="s">
        <v>12</v>
      </c>
      <c r="LI3" s="14" t="s">
        <v>13</v>
      </c>
      <c r="LJ3" s="14" t="s">
        <v>7</v>
      </c>
      <c r="LK3" s="14" t="s">
        <v>14</v>
      </c>
      <c r="LL3" s="14" t="s">
        <v>23</v>
      </c>
      <c r="LM3" s="14" t="s">
        <v>12</v>
      </c>
      <c r="LN3" s="14" t="s">
        <v>13</v>
      </c>
      <c r="LO3" s="14" t="s">
        <v>7</v>
      </c>
      <c r="LP3" s="14" t="s">
        <v>14</v>
      </c>
      <c r="LQ3" s="14" t="s">
        <v>23</v>
      </c>
      <c r="LR3" s="6"/>
      <c r="LS3" s="6"/>
      <c r="LT3" s="6"/>
      <c r="LU3" s="6"/>
      <c r="LV3" s="6"/>
      <c r="LW3" s="6"/>
      <c r="LX3" s="6"/>
      <c r="LY3" s="6"/>
      <c r="LZ3" s="6"/>
      <c r="MA3" s="6"/>
      <c r="MB3" s="6"/>
      <c r="MC3" s="6"/>
      <c r="MD3" s="6"/>
      <c r="ME3" s="6"/>
      <c r="MF3" s="13" t="s">
        <v>12</v>
      </c>
      <c r="MG3" s="13" t="s">
        <v>13</v>
      </c>
      <c r="MH3" s="13" t="s">
        <v>7</v>
      </c>
      <c r="MI3" s="13" t="s">
        <v>14</v>
      </c>
      <c r="MJ3" s="13" t="s">
        <v>23</v>
      </c>
      <c r="MK3" s="13" t="s">
        <v>12</v>
      </c>
      <c r="ML3" s="13" t="s">
        <v>13</v>
      </c>
      <c r="MM3" s="13" t="s">
        <v>7</v>
      </c>
      <c r="MN3" s="13" t="s">
        <v>14</v>
      </c>
      <c r="MO3" s="13" t="s">
        <v>23</v>
      </c>
      <c r="MP3" s="13" t="s">
        <v>12</v>
      </c>
      <c r="MQ3" s="13" t="s">
        <v>13</v>
      </c>
      <c r="MR3" s="13" t="s">
        <v>7</v>
      </c>
      <c r="MS3" s="13" t="s">
        <v>14</v>
      </c>
      <c r="MT3" s="13" t="s">
        <v>23</v>
      </c>
      <c r="MU3" s="13" t="s">
        <v>12</v>
      </c>
      <c r="MV3" s="13" t="s">
        <v>13</v>
      </c>
      <c r="MW3" s="13" t="s">
        <v>7</v>
      </c>
      <c r="MX3" s="13" t="s">
        <v>14</v>
      </c>
      <c r="MY3" s="13" t="s">
        <v>23</v>
      </c>
      <c r="MZ3" s="7"/>
      <c r="NA3" s="7"/>
      <c r="NB3" s="7"/>
      <c r="NC3" s="7"/>
      <c r="ND3" s="7"/>
      <c r="NE3" s="7"/>
      <c r="NF3" s="7"/>
      <c r="NG3" s="7"/>
      <c r="NH3" s="7"/>
      <c r="NI3" s="7"/>
      <c r="NJ3" s="7"/>
      <c r="NK3" s="7"/>
      <c r="NL3" s="7"/>
      <c r="NM3" s="7"/>
      <c r="NN3" s="14" t="s">
        <v>12</v>
      </c>
      <c r="NO3" s="14" t="s">
        <v>13</v>
      </c>
      <c r="NP3" s="14" t="s">
        <v>7</v>
      </c>
      <c r="NQ3" s="14" t="s">
        <v>14</v>
      </c>
      <c r="NR3" s="14" t="s">
        <v>23</v>
      </c>
      <c r="NS3" s="14" t="s">
        <v>12</v>
      </c>
      <c r="NT3" s="14" t="s">
        <v>13</v>
      </c>
      <c r="NU3" s="14" t="s">
        <v>7</v>
      </c>
      <c r="NV3" s="14" t="s">
        <v>14</v>
      </c>
      <c r="NW3" s="14" t="s">
        <v>23</v>
      </c>
      <c r="NX3" s="14" t="s">
        <v>12</v>
      </c>
      <c r="NY3" s="14" t="s">
        <v>13</v>
      </c>
      <c r="NZ3" s="14" t="s">
        <v>7</v>
      </c>
      <c r="OA3" s="14" t="s">
        <v>14</v>
      </c>
      <c r="OB3" s="14" t="s">
        <v>23</v>
      </c>
      <c r="OC3" s="14" t="s">
        <v>12</v>
      </c>
      <c r="OD3" s="14" t="s">
        <v>13</v>
      </c>
      <c r="OE3" s="14" t="s">
        <v>7</v>
      </c>
      <c r="OF3" s="14" t="s">
        <v>14</v>
      </c>
      <c r="OG3" s="14" t="s">
        <v>23</v>
      </c>
      <c r="OH3" s="6"/>
      <c r="OI3" s="6"/>
      <c r="OJ3" s="6"/>
      <c r="OK3" s="6"/>
      <c r="OL3" s="6"/>
      <c r="OM3" s="6"/>
      <c r="ON3" s="6"/>
      <c r="OO3" s="6"/>
      <c r="OP3" s="6"/>
      <c r="OQ3" s="6"/>
      <c r="OR3" s="6"/>
      <c r="OS3" s="6"/>
      <c r="OT3" s="6"/>
      <c r="OU3" s="6"/>
      <c r="OV3" s="13" t="s">
        <v>12</v>
      </c>
      <c r="OW3" s="13" t="s">
        <v>13</v>
      </c>
      <c r="OX3" s="13" t="s">
        <v>7</v>
      </c>
      <c r="OY3" s="13" t="s">
        <v>14</v>
      </c>
      <c r="OZ3" s="13" t="s">
        <v>23</v>
      </c>
      <c r="PA3" s="13" t="s">
        <v>12</v>
      </c>
      <c r="PB3" s="13" t="s">
        <v>13</v>
      </c>
      <c r="PC3" s="13" t="s">
        <v>7</v>
      </c>
      <c r="PD3" s="13" t="s">
        <v>14</v>
      </c>
      <c r="PE3" s="13" t="s">
        <v>23</v>
      </c>
      <c r="PF3" s="13" t="s">
        <v>12</v>
      </c>
      <c r="PG3" s="13" t="s">
        <v>13</v>
      </c>
      <c r="PH3" s="13" t="s">
        <v>7</v>
      </c>
      <c r="PI3" s="13" t="s">
        <v>14</v>
      </c>
      <c r="PJ3" s="13" t="s">
        <v>23</v>
      </c>
      <c r="PK3" s="13" t="s">
        <v>12</v>
      </c>
      <c r="PL3" s="13" t="s">
        <v>13</v>
      </c>
      <c r="PM3" s="13" t="s">
        <v>7</v>
      </c>
      <c r="PN3" s="13" t="s">
        <v>14</v>
      </c>
      <c r="PO3" s="13" t="s">
        <v>23</v>
      </c>
      <c r="PP3" s="7"/>
      <c r="PQ3" s="7"/>
      <c r="PR3" s="7"/>
      <c r="PS3" s="7"/>
      <c r="PT3" s="7"/>
      <c r="PU3" s="7"/>
      <c r="PV3" s="7"/>
      <c r="PW3" s="7"/>
      <c r="PX3" s="7"/>
      <c r="PY3" s="7"/>
      <c r="PZ3" s="7"/>
      <c r="QA3" s="7"/>
      <c r="QB3" s="7"/>
      <c r="QC3" s="7"/>
      <c r="QD3" s="14" t="s">
        <v>12</v>
      </c>
      <c r="QE3" s="14" t="s">
        <v>13</v>
      </c>
      <c r="QF3" s="14" t="s">
        <v>7</v>
      </c>
      <c r="QG3" s="14" t="s">
        <v>14</v>
      </c>
      <c r="QH3" s="14" t="s">
        <v>23</v>
      </c>
      <c r="QI3" s="14" t="s">
        <v>12</v>
      </c>
      <c r="QJ3" s="14" t="s">
        <v>13</v>
      </c>
      <c r="QK3" s="14" t="s">
        <v>7</v>
      </c>
      <c r="QL3" s="14" t="s">
        <v>14</v>
      </c>
      <c r="QM3" s="14" t="s">
        <v>23</v>
      </c>
      <c r="QN3" s="14" t="s">
        <v>12</v>
      </c>
      <c r="QO3" s="14" t="s">
        <v>13</v>
      </c>
      <c r="QP3" s="14" t="s">
        <v>7</v>
      </c>
      <c r="QQ3" s="14" t="s">
        <v>14</v>
      </c>
      <c r="QR3" s="14" t="s">
        <v>23</v>
      </c>
      <c r="QS3" s="14" t="s">
        <v>12</v>
      </c>
      <c r="QT3" s="14" t="s">
        <v>13</v>
      </c>
      <c r="QU3" s="14" t="s">
        <v>7</v>
      </c>
      <c r="QV3" s="14" t="s">
        <v>14</v>
      </c>
      <c r="QW3" s="14" t="s">
        <v>23</v>
      </c>
      <c r="QX3" s="6"/>
      <c r="QY3" s="6"/>
      <c r="QZ3" s="6"/>
      <c r="RA3" s="6"/>
      <c r="RB3" s="6"/>
      <c r="RC3" s="6"/>
      <c r="RD3" s="6"/>
      <c r="RE3" s="6"/>
      <c r="RF3" s="6"/>
      <c r="RG3" s="6"/>
      <c r="RH3" s="6"/>
      <c r="RI3" s="6"/>
      <c r="RJ3" s="6"/>
      <c r="RK3" s="6"/>
      <c r="RL3" s="13" t="s">
        <v>12</v>
      </c>
      <c r="RM3" s="13" t="s">
        <v>13</v>
      </c>
      <c r="RN3" s="13" t="s">
        <v>7</v>
      </c>
      <c r="RO3" s="13" t="s">
        <v>14</v>
      </c>
      <c r="RP3" s="13" t="s">
        <v>23</v>
      </c>
      <c r="RQ3" s="13" t="s">
        <v>12</v>
      </c>
      <c r="RR3" s="13" t="s">
        <v>13</v>
      </c>
      <c r="RS3" s="13" t="s">
        <v>7</v>
      </c>
      <c r="RT3" s="13" t="s">
        <v>14</v>
      </c>
      <c r="RU3" s="13" t="s">
        <v>23</v>
      </c>
      <c r="RV3" s="13" t="s">
        <v>12</v>
      </c>
      <c r="RW3" s="13" t="s">
        <v>13</v>
      </c>
      <c r="RX3" s="13" t="s">
        <v>7</v>
      </c>
      <c r="RY3" s="13" t="s">
        <v>14</v>
      </c>
      <c r="RZ3" s="13" t="s">
        <v>23</v>
      </c>
      <c r="SA3" s="13" t="s">
        <v>12</v>
      </c>
      <c r="SB3" s="13" t="s">
        <v>13</v>
      </c>
      <c r="SC3" s="13" t="s">
        <v>7</v>
      </c>
      <c r="SD3" s="13" t="s">
        <v>14</v>
      </c>
      <c r="SE3" s="13" t="s">
        <v>23</v>
      </c>
      <c r="SF3" s="7"/>
      <c r="SG3" s="7"/>
      <c r="SH3" s="7"/>
      <c r="SI3" s="7"/>
      <c r="SJ3" s="7"/>
      <c r="SK3" s="7"/>
      <c r="SL3" s="7"/>
      <c r="SM3" s="7"/>
      <c r="SN3" s="7"/>
      <c r="SO3" s="7"/>
      <c r="SP3" s="7"/>
      <c r="SQ3" s="7"/>
      <c r="SR3" s="7"/>
      <c r="SS3" s="7"/>
      <c r="ST3" s="14" t="s">
        <v>12</v>
      </c>
      <c r="SU3" s="14" t="s">
        <v>13</v>
      </c>
      <c r="SV3" s="14" t="s">
        <v>7</v>
      </c>
      <c r="SW3" s="14" t="s">
        <v>14</v>
      </c>
      <c r="SX3" s="14" t="s">
        <v>23</v>
      </c>
      <c r="SY3" s="14" t="s">
        <v>12</v>
      </c>
      <c r="SZ3" s="14" t="s">
        <v>13</v>
      </c>
      <c r="TA3" s="14" t="s">
        <v>7</v>
      </c>
      <c r="TB3" s="14" t="s">
        <v>14</v>
      </c>
      <c r="TC3" s="14" t="s">
        <v>23</v>
      </c>
      <c r="TD3" s="14" t="s">
        <v>12</v>
      </c>
      <c r="TE3" s="14" t="s">
        <v>13</v>
      </c>
      <c r="TF3" s="14" t="s">
        <v>7</v>
      </c>
      <c r="TG3" s="14" t="s">
        <v>14</v>
      </c>
      <c r="TH3" s="14" t="s">
        <v>23</v>
      </c>
      <c r="TI3" s="14" t="s">
        <v>45</v>
      </c>
      <c r="TJ3" s="14"/>
      <c r="TK3" s="14"/>
      <c r="TL3" s="14"/>
      <c r="TM3" s="14"/>
      <c r="TN3" s="14"/>
      <c r="TO3" s="14"/>
      <c r="TP3" s="14"/>
      <c r="TQ3" s="14"/>
      <c r="TR3" s="14"/>
      <c r="TS3" s="14"/>
      <c r="TT3" s="14"/>
    </row>
    <row r="4" spans="1:540" x14ac:dyDescent="0.2">
      <c r="A4" s="4" cm="1">
        <f t="array" ref="A4">IF(AND(F4&lt;&gt;"",G4&lt;&gt;""),SUMPRODUCT((F$4:F$35&lt;&gt;"")*(G$4:G$35&lt;&gt;"")*(E$4:E$35&gt;E4))+1,IF(G4&lt;&gt;"",SUMPRODUCT((H$4:H$35="No DD")*(E$4:E$35&gt;E4))+1+SUMPRODUCT((F$4:F$35&lt;&gt;"")*(G$4:G$35&lt;&gt;"")),""))</f>
        <v>1</v>
      </c>
      <c r="B4" s="5" t="s">
        <v>72</v>
      </c>
      <c r="C4" s="4" t="s">
        <v>5</v>
      </c>
      <c r="D4" s="4">
        <v>2003</v>
      </c>
      <c r="E4" s="9">
        <f t="shared" ref="E4:E34" si="0">SUM(J4:T4)+SUM(J4:R4)*0.0000001+SUM(J4)*0.0000000000001</f>
        <v>197.26001972600557</v>
      </c>
      <c r="F4" s="3" t="str">
        <f t="shared" ref="F4:F34" si="1">IF(OR(AND(AM4&gt;=AW$37,AM4&lt;&gt;"",AO4&gt;=AW$41,AO4&lt;&gt;"",AL4=""),AND(AP4&gt;=AW$37,AP4&lt;&gt;"",AR4&gt;=AW$41,AR4&lt;&gt;"",AL4=""),AND(AT4&gt;=AW$37,AT4&lt;&gt;"",AV4&gt;=AW$41,AV4&lt;&gt;"",AL4=""),AND(BN4&gt;=BX$37,BN4&lt;&gt;"",BP4&gt;=BX$41,BP4&lt;&gt;"",BM4=""),AND(BQ4&gt;=BX$37,BQ4&lt;&gt;"",BS4&gt;=BX$41,BS4&lt;&gt;"",BM4=""),AND(BU4&gt;=BX$37,BU4&lt;&gt;"",BW4&gt;=BX$41,BW4&lt;&gt;"",BM4=""),AND(CO4&gt;=CY$37,CO4&lt;&gt;"",CQ4&gt;=CY$41,CQ4&lt;&gt;"",CN4=""),AND(CR4&gt;=CY$37,CR4&lt;&gt;"",CT4&gt;=CY$41,CT4&lt;&gt;"",CN4=""),AND(CV4&gt;=CY$37,CV4&lt;&gt;"",CX4&gt;=CY$41,CX4&lt;&gt;"",CN4=""),AND(DV4&gt;=EI$37,DV4&lt;&gt;"",DX4&gt;=EI$41,DX4&lt;&gt;""),AND(DY4&gt;=EI$37,DY4&lt;&gt;"",EA4&gt;=EI$41,EA4&lt;&gt;""),AND(EC4&gt;=EI$37,EC4&lt;&gt;"",EE4&gt;=EI$41,EE4&lt;&gt;""),AND(EF4&gt;=EI$37,EF4&lt;&gt;"",EH4&gt;=EI$41,EH4&lt;&gt;""),AND(FD4&gt;=FQ$37,FD4&lt;&gt;"",FF4&gt;=FQ$41,FF4&lt;&gt;""),AND(FG4&gt;=FQ$37,FG4&lt;&gt;"",FI4&gt;=FQ$41,FI4&lt;&gt;""),AND(FK4&gt;=FQ$37,FK4&lt;&gt;"",FM4&gt;=FQ$41,FM4&lt;&gt;""),AND(FN4&gt;=FQ$37,FN4&lt;&gt;"",FP4&gt;=FQ$41,FP4&lt;&gt;""),AND(GL4&gt;=GY$37,GL4&lt;&gt;"",GN4&gt;=GY$41,GN4&lt;&gt;""),AND(GO4&gt;=GY$37,GO4&lt;&gt;"",GQ4&gt;=GY$41,GQ4&lt;&gt;""),AND(GS4&gt;=GY$37,GS4&lt;&gt;"",GU4&gt;=GY$41,GU4&lt;&gt;""),AND(GV4&gt;=GY$37,GV4&lt;&gt;"",GX4&gt;=GY$41,GX4&lt;&gt;""),AND(HT4&gt;=IG$37,HT4&lt;&gt;"",HV4&gt;=IG$41,HV4&lt;&gt;""),AND(HW4&gt;=IG$37,HW4&lt;&gt;"",HY4&gt;=IG$41,HY4&lt;&gt;""),AND(IA4&gt;=IG$37,IA4&lt;&gt;"",IC4&gt;=IG$41,IC4&lt;&gt;""),AND(ID4&gt;=IG$37,ID4&lt;&gt;"",IF4&gt;=IG$41,IF4&lt;&gt;""),AND(JB4&gt;=JO$37,JB4&lt;&gt;"",JD4&gt;=JO$41,JD4&lt;&gt;""),AND(JE4&gt;=JO$37,JE4&lt;&gt;"",JG4&gt;=JO$41,JG4&lt;&gt;""),AND(JI4&gt;=JO$37,JI4&lt;&gt;"",JK4&gt;=JO$41,JK4&lt;&gt;""),AND(JL4&gt;=JO$37,JL4&lt;&gt;"",JN4&gt;=JO$41,JN4&lt;&gt;""),AND(KJ4&gt;=KW$37,KJ4&lt;&gt;"",KL4&gt;=KW$41,KL4&lt;&gt;""),AND(KM4&gt;=KW$37,KM4&lt;&gt;"",KO4&gt;=KW$41,KO4&lt;&gt;""),AND(KQ4&gt;=KW$37,KQ4&lt;&gt;"",KS4&gt;=KW$41,KS4&lt;&gt;""),AND(KT4&gt;=KW$37,KT4&lt;&gt;"",KV4&gt;=KW$41,KV4&lt;&gt;""),AND(LR4&gt;=ME$37,LR4&lt;&gt;"",LT4&gt;=ME$41,LT4&lt;&gt;""),AND(LU4&gt;=ME$37,LU4&lt;&gt;"",LW4&gt;=ME$41,LW4&lt;&gt;""),AND(LY4&gt;=ME$37,LY4&lt;&gt;"",MA4&gt;=ME$41,MA4&lt;&gt;""),AND(MB4&gt;=ME$37,MB4&lt;&gt;"",MD4&gt;=ME$41,MD4&lt;&gt;""),AND(MZ4&gt;=NM$37,MZ4&lt;&gt;"",NB4&gt;=NM$41,NB4&lt;&gt;""),AND(NC4&gt;=NM$37,NC4&lt;&gt;"",NE4&gt;=NM$41,NE4&lt;&gt;""),AND(NG4&gt;=NM$37,NG4&lt;&gt;"",NI4&gt;=NM$41,NI4&lt;&gt;""),AND(NJ4&gt;=NM$37,NJ4&lt;&gt;"",NL4&gt;=NM$41,NL4&lt;&gt;""),AND(OH4&gt;=OU$37,OH4&lt;&gt;"",OJ4&gt;=OU$41,OJ4&lt;&gt;""),AND(OK4&gt;=OU$37,OK4&lt;&gt;"",OM4&gt;=OU$41,OM4&lt;&gt;""),AND(OO4&gt;=OU$37,OO4&lt;&gt;"",OQ4&gt;=OU$41,OQ4&lt;&gt;""),AND(OR4&gt;=OU$37,OR4&lt;&gt;"",OT4&gt;=OU$41,OT4&lt;&gt;""),AND(PP4&gt;=QC$37,PP4&lt;&gt;"",PR4&gt;=QC$41,PR4&lt;&gt;""),AND(PS4&gt;=QC$37,PS4&lt;&gt;"",PU4&gt;=QC$41,PU4&lt;&gt;""),AND(PW4&gt;=QC$37,PW4&lt;&gt;"",PY4&gt;=QC$41,PY4&lt;&gt;""),AND(PZ4&gt;=QC$37,PZ4&lt;&gt;"",QB4&gt;=QC$41,QB4&lt;&gt;""),AND(QX4&gt;=RK$37,QX4&lt;&gt;"",QZ4&gt;=RK$41,QZ4&lt;&gt;""),AND(RA4&gt;=RK$37,RA4&lt;&gt;"",RC4&gt;=RK$41,RC4&lt;&gt;""),AND(RE4&gt;=RK$37,RE4&lt;&gt;"",RG4&gt;=RK$41,RG4&lt;&gt;""),AND(RH4&gt;=RK$37,RH4&lt;&gt;"",RJ4&gt;=RK$41,RJ4&lt;&gt;""),AND(SF4&gt;=SS$37,SF4&lt;&gt;"",SH4&gt;=SS$41,SH4&lt;&gt;""),AND(SI4&gt;=SS$37,SI4&lt;&gt;"",SK4&gt;=SS$41,SK4&lt;&gt;""),AND(SM4&gt;=SS$37,SM4&lt;&gt;"",SO4&gt;=SS$41,SO4&lt;&gt;""),AND(SP4&gt;=SS$37,SP4&lt;&gt;"",SR4&gt;=SS$41,SR4&lt;&gt;"")),"P","")</f>
        <v>P</v>
      </c>
      <c r="G4" s="3" t="str">
        <f t="shared" ref="G4:G34" si="2">IF(OR(AND(AO4&gt;=AW$41,AO4&lt;&gt;"",AL4=""),AND(AR4&gt;=AW$41,AR4&lt;&gt;"",AL4=""),AND(AV4&gt;=AW$41,AV4&lt;&gt;"",AL4=""),AND(BP4&gt;=BX$41,BP4&lt;&gt;"",BM4=""),AND(BS4&gt;=BX$41,BS4&lt;&gt;"",BM4=""),AND(BW4&gt;=BX$41,BW4&lt;&gt;"",BM4=""),AND(CQ4&gt;=CY$41,CQ4&lt;&gt;"",CN4=""),AND(CT4&gt;=CY$41,CT4&lt;&gt;"",CN4=""),AND(CX4&gt;=CY$41,CX4&lt;&gt;"",CN4=""),AND(DX4&gt;=EI$41,DX4&lt;&gt;""),AND(EA4&gt;=EI$41,EA4&lt;&gt;""),AND(EE4&gt;=EI$41,EE4&lt;&gt;""),AND(EH4&gt;=EI$41,EH4&lt;&gt;""),AND(FF4&gt;=FQ$41,FF4&lt;&gt;""),AND(FI4&gt;=FQ$41,FI4&lt;&gt;""),AND(FM4&gt;=FQ$41,FM4&lt;&gt;""),AND(FP4&gt;=FQ$41,FP4&lt;&gt;""),AND(GN4&gt;=GY$41,GN4&lt;&gt;""),AND(GQ4&gt;=GY$41,GQ4&lt;&gt;""),AND(GU4&gt;=GY$41,GU4&lt;&gt;""),AND(GX4&gt;=GY$41,GX4&lt;&gt;""),AND(HV4&gt;=IG$41,HV4&lt;&gt;""),AND(HY4&gt;=IG$41,HY4&lt;&gt;""),AND(IC4&gt;=IG$41,IC4&lt;&gt;""),AND(IF4&gt;=IG$41,IF4&lt;&gt;""),AND(JD4&gt;=JO$41,JD4&lt;&gt;""),AND(JG4&gt;=JO$41,JG4&lt;&gt;""),AND(JK4&gt;=JO$41,JK4&lt;&gt;""),AND(JN4&gt;=JO$41,JN4&lt;&gt;""),AND(KL4&gt;=KW$41,KL4&lt;&gt;""),AND(KO4&gt;=KW$41,KO4&lt;&gt;""),AND(KS4&gt;=KW$41,KS4&lt;&gt;""),AND(KV4&gt;=KW$41,KV4&lt;&gt;""),AND(LT4&gt;=ME$41,LT4&lt;&gt;""),AND(LW4&gt;=ME$41,LW4&lt;&gt;""),AND(MA4&gt;=ME$41,MA4&lt;&gt;""),AND(MD4&gt;=ME$41,MD4&lt;&gt;""),AND(NB4&gt;=NM$41,NB4&lt;&gt;""),AND(NE4&gt;=NM$41,NE4&lt;&gt;""),AND(NI4&gt;=NM$41,NI4&lt;&gt;""),AND(NL4&gt;=NM$41,NL4&lt;&gt;""),AND(OJ4&gt;=OU$41,OJ4&lt;&gt;""),AND(OM4&gt;=OU$41,OM4&lt;&gt;""),AND(OQ4&gt;=OU$41,OQ4&lt;&gt;""),AND(OT4&gt;=OU$41,OT4&lt;&gt;""),AND(PR4&gt;=QC$41,PR4&lt;&gt;""),AND(PU4&gt;=QC$41,PU4&lt;&gt;""),AND(PY4&gt;=QC$41,PY4&lt;&gt;""),AND(QB4&gt;=QC$41,QB4&lt;&gt;""),AND(QZ4&gt;=RK$41,QZ4&lt;&gt;""),AND(RC4&gt;=RK$41,RC4&lt;&gt;""),AND(RG4&gt;=RK$41,RG4&lt;&gt;""),AND(RJ4&gt;=RK$41,RJ4&lt;&gt;""),AND(SH4&gt;=SS$41,SH4&lt;&gt;""),AND(SK4&gt;=SS$41,SK4&lt;&gt;""),AND(SO4&gt;=SS$41,SO4&lt;&gt;""),AND(SR4&gt;=SS$41,SR4&lt;&gt;"")),"P","")</f>
        <v>P</v>
      </c>
      <c r="H4" s="36" t="str">
        <f t="shared" ref="H4:H34" si="3">IF(AND(G4="P",F4=""),"No DD",IF(OR(AND(AM4&gt;=AW$40,AM4&lt;&gt;"",AO4&gt;=AW$44,AO4&lt;&gt;"",AL4=""),AND(AP4&gt;=AW$40,AP4&lt;&gt;"",AR4&gt;=AW$44,AR4&lt;&gt;"",AL4=""),AND(AT4&gt;=AW$40,AT4&lt;&gt;"",AV4&gt;=AW$44,AV4&lt;&gt;"",AL4=""),AND(BN4&gt;=BX$40,BN4&lt;&gt;"",BP4&gt;=BX$44,BP4&lt;&gt;"",BM4=""),AND(BQ4&gt;=BX$40,BQ4&lt;&gt;"",BS4&gt;=BX$44,BS4&lt;&gt;"",BM4=""),AND(BU4&gt;=BX$40,BU4&lt;&gt;"",BW4&gt;=BX$44,BW4&lt;&gt;"",BM4=""),AND(CO4&gt;=CY$40,CO4&lt;&gt;"",CQ4&gt;=CY$44,CQ4&lt;&gt;"",CN4=""),AND(CR4&gt;=CY$40,CR4&lt;&gt;"",CT4&gt;=CY$44,CT4&lt;&gt;"",CN4=""),AND(CV4&gt;=CY$40,CV4&lt;&gt;"",CX4&gt;=CY$44,CX4&lt;&gt;"",CN4=""),AND(DV4&gt;=EI$40,DV4&lt;&gt;"",DX4&gt;=EI$44,DX4&lt;&gt;""),AND(DY4&gt;=EI$40,DY4&lt;&gt;"",EA4&gt;=EI$44,EA4&lt;&gt;""),AND(EC4&gt;=EI$40,EC4&lt;&gt;"",EE4&gt;=EI$44,EE4&lt;&gt;""),AND(EF4&gt;=EI$40,EF4&lt;&gt;"",EH4&gt;=EI$44,EH4&lt;&gt;""),AND(FD4&gt;=FQ$40,FD4&lt;&gt;"",FF4&gt;=FQ$44,FF4&lt;&gt;""),AND(FG4&gt;=FQ$40,FG4&lt;&gt;"",FI4&gt;=FQ$44,FI4&lt;&gt;""),AND(FK4&gt;=FQ$40,FK4&lt;&gt;"",FM4&gt;=FQ$44,FM4&lt;&gt;""),AND(FN4&gt;=FQ$40,FN4&lt;&gt;"",FP4&gt;=FQ$44,FP4&lt;&gt;""),AND(GL4&gt;=GY$40,GL4&lt;&gt;"",GN4&gt;=GY$44,GN4&lt;&gt;""),AND(GO4&gt;=GY$40,GO4&lt;&gt;"",GQ4&gt;=GY$44,GQ4&lt;&gt;""),AND(GS4&gt;=GY$40,GS4&lt;&gt;"",GU4&gt;=GY$44,GU4&lt;&gt;""),AND(GV4&gt;=GY$40,GV4&lt;&gt;"",GX4&gt;=GY$44,GX4&lt;&gt;""),AND(HT4&gt;=IG$40,HT4&lt;&gt;"",HV4&gt;=IG$44,HV4&lt;&gt;""),AND(HW4&gt;=IG$40,HW4&lt;&gt;"",HY4&gt;=IG$44,HY4&lt;&gt;""),AND(IA4&gt;=IG$40,IA4&lt;&gt;"",IC4&gt;=IG$44,IC4&lt;&gt;""),AND(ID4&gt;=IG$40,ID4&lt;&gt;"",IF4&gt;=IG$44,IF4&lt;&gt;""),AND(JB4&gt;=JO$40,JB4&lt;&gt;"",JD4&gt;=JO$44,JD4&lt;&gt;""),AND(JE4&gt;=JO$40,JE4&lt;&gt;"",JG4&gt;=JO$44,JG4&lt;&gt;""),AND(JI4&gt;=JO$40,JI4&lt;&gt;"",JK4&gt;=JO$44,JK4&lt;&gt;""),AND(JL4&gt;=JO$40,JL4&lt;&gt;"",JN4&gt;=JO$44,JN4&lt;&gt;""),AND(KJ4&gt;=KW$40,KJ4&lt;&gt;"",KL4&gt;=KW$44,KL4&lt;&gt;""),AND(KM4&gt;=KW$40,KM4&lt;&gt;"",KO4&gt;=KW$44,KO4&lt;&gt;""),AND(KQ4&gt;=KW$40,KQ4&lt;&gt;"",KS4&gt;=KW$44,KS4&lt;&gt;""),AND(KT4&gt;=KW$40,KT4&lt;&gt;"",KV4&gt;=KW$44,KV4&lt;&gt;""),AND(LR4&gt;=ME$40,LR4&lt;&gt;"",LT4&gt;=ME$44,LT4&lt;&gt;""),AND(LU4&gt;=ME$40,LU4&lt;&gt;"",LW4&gt;=ME$44,LW4&lt;&gt;""),AND(LY4&gt;=ME$40,LY4&lt;&gt;"",MA4&gt;=ME$44,MA4&lt;&gt;""),AND(MB4&gt;=ME$40,MB4&lt;&gt;"",MD4&gt;=ME$44,MD4&lt;&gt;""),AND(MZ4&gt;=NM$40,MZ4&lt;&gt;"",NB4&gt;=NM$44,NB4&lt;&gt;""),AND(NC4&gt;=NM$40,NC4&lt;&gt;"",NE4&gt;=NM$44,NE4&lt;&gt;""),AND(NG4&gt;=NM$40,NG4&lt;&gt;"",NI4&gt;=NM$44,NI4&lt;&gt;""),AND(NJ4&gt;=NM$40,NJ4&lt;&gt;"",NL4&gt;=NM$44,NL4&lt;&gt;""),AND(OH4&gt;=OU$40,OH4&lt;&gt;"",OJ4&gt;=OU$44,OJ4&lt;&gt;""),AND(OK4&gt;=OU$40,OK4&lt;&gt;"",OM4&gt;=OU$44,OM4&lt;&gt;""),AND(OO4&gt;=OU$40,OO4&lt;&gt;"",OQ4&gt;=OU$44,OQ4&lt;&gt;""),AND(OR4&gt;=OU$40,OR4&lt;&gt;"",OT4&gt;=OU$44,OT4&lt;&gt;""),AND(PP4&gt;=QC$40,PP4&lt;&gt;"",PR4&gt;=QC$44,PR4&lt;&gt;""),AND(PS4&gt;=QC$40,PS4&lt;&gt;"",PU4&gt;=QC$44,PU4&lt;&gt;""),AND(PW4&gt;=QC$40,PW4&lt;&gt;"",PY4&gt;=QC$44,PY4&lt;&gt;""),AND(PZ4&gt;=QC$40,PZ4&lt;&gt;"",QB4&gt;=QC$44,QB4&lt;&gt;""),AND(QX4&gt;=RK$40,QX4&lt;&gt;"",QZ4&gt;=RK$44,QZ4&lt;&gt;""),AND(RA4&gt;=RK$40,RA4&lt;&gt;"",RC4&gt;=RK$44,RC4&lt;&gt;""),AND(RE4&gt;=RK$40,RE4&lt;&gt;"",RG4&gt;=RK$44,RG4&lt;&gt;""),AND(RH4&gt;=RK$40,RH4&lt;&gt;"",RJ4&gt;=RK$44,RJ4&lt;&gt;""),AND(SF4&gt;=SS$40,SF4&lt;&gt;"",SH4&gt;=SS$44,SH4&lt;&gt;""),AND(SI4&gt;=SS$40,SI4&lt;&gt;"",SK4&gt;=SS$44,SK4&lt;&gt;""),AND(SM4&gt;=SS$40,SM4&lt;&gt;"",SO4&gt;=SS$44,SO4&lt;&gt;""),AND(SP4&gt;=SS$40,SP4&lt;&gt;"",SR4&gt;=SS$44,SR4&lt;&gt;"")),"Merit",IF(OR(AND(AM4&gt;=AW$39,AM4&lt;&gt;"",AO4&gt;=AW$43,AO4&lt;&gt;"",AL4=""),AND(AP4&gt;=AW$39,AP4&lt;&gt;"",AR4&gt;=AW$43,AR4&lt;&gt;"",AL4=""),AND(AT4&gt;=AW$39,AT4&lt;&gt;"",AV4&gt;=AW$43,AV4&lt;&gt;"",AL4=""),AND(BN4&gt;=BX$39,BN4&lt;&gt;"",BP4&gt;=BX$43,BP4&lt;&gt;"",BM4=""),AND(BQ4&gt;=BX$39,BQ4&lt;&gt;"",BS4&gt;=BX$43,BS4&lt;&gt;"",BM4=""),AND(BU4&gt;=BX$39,BU4&lt;&gt;"",BW4&gt;=BX$43,BW4&lt;&gt;"",BM4=""),AND(CO4&gt;=CY$39,CO4&lt;&gt;"",CQ4&gt;=CY$43,CQ4&lt;&gt;"",CN4=""),AND(CR4&gt;=CY$39,CR4&lt;&gt;"",CT4&gt;=CY$43,CT4&lt;&gt;"",CN4=""),AND(CV4&gt;=CY$39,CV4&lt;&gt;"",CX4&gt;=CY$43,CX4&lt;&gt;"",CN4=""),AND(DV4&gt;=EI$39,DV4&lt;&gt;"",DX4&gt;=EI$43,DX4&lt;&gt;""),AND(DY4&gt;=EI$39,DY4&lt;&gt;"",EA4&gt;=EI$43,EA4&lt;&gt;""),AND(EC4&gt;=EI$39,EC4&lt;&gt;"",EE4&gt;=EI$43,EE4&lt;&gt;""),AND(EF4&gt;=EI$39,EF4&lt;&gt;"",EH4&gt;=EI$43,EH4&lt;&gt;""),AND(FD4&gt;=FQ$39,FD4&lt;&gt;"",FF4&gt;=FQ$43,FF4&lt;&gt;""),AND(FG4&gt;=FQ$39,FG4&lt;&gt;"",FI4&gt;=FQ$43,FI4&lt;&gt;""),AND(FK4&gt;=FQ$39,FK4&lt;&gt;"",FM4&gt;=FQ$43,FM4&lt;&gt;""),AND(FN4&gt;=FQ$39,FN4&lt;&gt;"",FP4&gt;=FQ$43,FP4&lt;&gt;""),AND(GL4&gt;=GY$39,GL4&lt;&gt;"",GN4&gt;=GY$43,GN4&lt;&gt;""),AND(GO4&gt;=GY$39,GO4&lt;&gt;"",GQ4&gt;=GY$43,GQ4&lt;&gt;""),AND(GS4&gt;=GY$39,GS4&lt;&gt;"",GU4&gt;=GY$43,GU4&lt;&gt;""),AND(GV4&gt;=GY$39,GV4&lt;&gt;"",GX4&gt;=GY$43,GX4&lt;&gt;""),AND(HT4&gt;=IG$39,HT4&lt;&gt;"",HV4&gt;=IG$43,HV4&lt;&gt;""),AND(HW4&gt;=IG$39,HW4&lt;&gt;"",HY4&gt;=IG$43,HY4&lt;&gt;""),AND(IA4&gt;=IG$39,IA4&lt;&gt;"",IC4&gt;=IG$43,IC4&lt;&gt;""),AND(ID4&gt;=IG$39,ID4&lt;&gt;"",IF4&gt;=IG$43,IF4&lt;&gt;""),AND(JB4&gt;=JO$39,JB4&lt;&gt;"",JD4&gt;=JO$43,JD4&lt;&gt;""),AND(JE4&gt;=JO$39,JE4&lt;&gt;"",JG4&gt;=JO$43,JG4&lt;&gt;""),AND(JI4&gt;=JO$39,JI4&lt;&gt;"",JK4&gt;=JO$43,JK4&lt;&gt;""),AND(JL4&gt;=JO$39,JL4&lt;&gt;"",JN4&gt;=JO$43,JN4&lt;&gt;""),AND(KJ4&gt;=KW$39,KJ4&lt;&gt;"",KL4&gt;=KW$43,KL4&lt;&gt;""),AND(KM4&gt;=KW$39,KM4&lt;&gt;"",KO4&gt;=KW$43,KO4&lt;&gt;""),AND(KQ4&gt;=KW$39,KQ4&lt;&gt;"",KS4&gt;=KW$43,KS4&lt;&gt;""),AND(KT4&gt;=KW$39,KT4&lt;&gt;"",KV4&gt;=KW$43,KV4&lt;&gt;""),AND(LR4&gt;=ME$39,LR4&lt;&gt;"",LT4&gt;=ME$43,LT4&lt;&gt;""),AND(LU4&gt;=ME$39,LU4&lt;&gt;"",LW4&gt;=ME$43,LW4&lt;&gt;""),AND(LY4&gt;=ME$39,LY4&lt;&gt;"",MA4&gt;=ME$43,MA4&lt;&gt;""),AND(MB4&gt;=ME$39,MB4&lt;&gt;"",MD4&gt;=ME$43,MD4&lt;&gt;""),AND(MZ4&gt;=NM$39,MZ4&lt;&gt;"",NB4&gt;=NM$43,NB4&lt;&gt;""),AND(NC4&gt;=NM$39,NC4&lt;&gt;"",NE4&gt;=NM$43,NE4&lt;&gt;""),AND(NG4&gt;=NM$39,NG4&lt;&gt;"",NI4&gt;=NM$43,NI4&lt;&gt;""),AND(NJ4&gt;=NM$39,NJ4&lt;&gt;"",NL4&gt;=NM$43,NL4&lt;&gt;""),AND(OH4&gt;=OU$39,OH4&lt;&gt;"",OJ4&gt;=OU$43,OJ4&lt;&gt;""),AND(OK4&gt;=OU$39,OK4&lt;&gt;"",OM4&gt;=OU$43,OM4&lt;&gt;""),AND(OO4&gt;=OU$39,OO4&lt;&gt;"",OQ4&gt;=OU$43,OQ4&lt;&gt;""),AND(OR4&gt;=OU$39,OR4&lt;&gt;"",OT4&gt;=OU$43,OT4&lt;&gt;""),AND(PP4&gt;=QC$39,PP4&lt;&gt;"",PR4&gt;=QC$43,PR4&lt;&gt;""),AND(PS4&gt;=QC$39,PS4&lt;&gt;"",PU4&gt;=QC$43,PU4&lt;&gt;""),AND(PW4&gt;=QC$39,PW4&lt;&gt;"",PY4&gt;=QC$43,PY4&lt;&gt;""),AND(PZ4&gt;=QC$39,PZ4&lt;&gt;"",QB4&gt;=QC$43,QB4&lt;&gt;""),AND(QX4&gt;=RK$39,QX4&lt;&gt;"",QZ4&gt;=RK$43,QZ4&lt;&gt;""),AND(RA4&gt;=RK$39,RA4&lt;&gt;"",RC4&gt;=RK$43,RC4&lt;&gt;""),AND(RE4&gt;=RK$39,RE4&lt;&gt;"",RG4&gt;=RK$43,RG4&lt;&gt;""),AND(RH4&gt;=RK$39,RH4&lt;&gt;"",RJ4&gt;=RK$43,RJ4&lt;&gt;""),AND(SF4&gt;=SS$39,SF4&lt;&gt;"",SH4&gt;=SS$43,SH4&lt;&gt;""),AND(SI4&gt;=SS$39,SI4&lt;&gt;"",SK4&gt;=SS$43,SK4&lt;&gt;""),AND(SM4&gt;=SS$39,SM4&lt;&gt;"",SO4&gt;=SS$43,SO4&lt;&gt;""),AND(SP4&gt;=SS$39,SP4&lt;&gt;"",SR4&gt;=SS$43,SR4&lt;&gt;"")),"Excellence",IF(I4="P","Worlds Team",IF(F4="P","National Team","")))))</f>
        <v>National Team</v>
      </c>
      <c r="I4" s="3" t="str">
        <f t="shared" ref="I4:I34" si="4">IF(OR(AND(AM4&gt;=AW$38,AM4&lt;&gt;"",AO4&gt;=AW$42,AO4&lt;&gt;"",AL4=""),AND(AP4&gt;=AW$38,AP4&lt;&gt;"",AR4&gt;=AW$42,AR4&lt;&gt;"",AL4=""),AND(AT4&gt;=AW$38,AT4&lt;&gt;"",AV4&gt;=AW$42,AV4&lt;&gt;"",AL4=""),AND(BN4&gt;=BX$38,BN4&lt;&gt;"",BP4&gt;=BX$42,BP4&lt;&gt;"",BM4=""),AND(BQ4&gt;=BX$38,BQ4&lt;&gt;"",BS4&gt;=BX$42,BS4&lt;&gt;"",BM4=""),AND(BU4&gt;=BX$38,BU4&lt;&gt;"",BW4&gt;=BX$42,BW4&lt;&gt;"",BM4=""),AND(CO4&gt;=CY$38,CO4&lt;&gt;"",CQ4&gt;=CY$42,CQ4&lt;&gt;"",CN4=""),AND(CR4&gt;=CY$38,CR4&lt;&gt;"",CT4&gt;=CY$42,CT4&lt;&gt;"",CN4=""),AND(CV4&gt;=CY$38,CV4&lt;&gt;"",CX4&gt;=CY$42,CX4&lt;&gt;"",CN4=""),AND(DV4&gt;=EI$38,DV4&lt;&gt;"",DX4&gt;=EI$42,DX4&lt;&gt;""),AND(DY4&gt;=EI$38,DY4&lt;&gt;"",EA4&gt;=EI$42,EA4&lt;&gt;""),AND(EC4&gt;=EI$38,EC4&lt;&gt;"",EE4&gt;=EI$42,EE4&lt;&gt;""),AND(EF4&gt;=EI$38,EF4&lt;&gt;"",EH4&gt;=EI$42,EH4&lt;&gt;""),AND(FD4&gt;=FQ$38,FD4&lt;&gt;"",FF4&gt;=FQ$42,FF4&lt;&gt;""),AND(FG4&gt;=FQ$38,FG4&lt;&gt;"",FI4&gt;=FQ$42,FI4&lt;&gt;""),AND(FK4&gt;=FQ$38,FK4&lt;&gt;"",FM4&gt;=FQ$42,FM4&lt;&gt;""),AND(FN4&gt;=FQ$38,FN4&lt;&gt;"",FP4&gt;=FQ$42,FP4&lt;&gt;""),AND(GL4&gt;=GY$38,GL4&lt;&gt;"",GN4&gt;=GY$42,GN4&lt;&gt;""),AND(GO4&gt;=GY$38,GO4&lt;&gt;"",GQ4&gt;=GY$42,GQ4&lt;&gt;""),AND(GS4&gt;=GY$38,GS4&lt;&gt;"",GU4&gt;=GY$42,GU4&lt;&gt;""),AND(GV4&gt;=GY$38,GV4&lt;&gt;"",GX4&gt;=GY$42,GX4&lt;&gt;""),AND(HT4&gt;=IG$38,HT4&lt;&gt;"",HV4&gt;=IG$42,HV4&lt;&gt;""),AND(HW4&gt;=IG$38,HW4&lt;&gt;"",HY4&gt;=IG$42,HY4&lt;&gt;""),AND(IA4&gt;=IG$38,IA4&lt;&gt;"",IC4&gt;=IG$42,IC4&lt;&gt;""),AND(ID4&gt;=IG$38,ID4&lt;&gt;"",IF4&gt;=IG$42,IF4&lt;&gt;""),AND(JB4&gt;=JO$38,JB4&lt;&gt;"",JD4&gt;=JO$42,JD4&lt;&gt;""),AND(JE4&gt;=JO$38,JE4&lt;&gt;"",JG4&gt;=JO$42,JG4&lt;&gt;""),AND(JI4&gt;=JO$38,JI4&lt;&gt;"",JK4&gt;=JO$42,JK4&lt;&gt;""),AND(JL4&gt;=JO$38,JL4&lt;&gt;"",JN4&gt;=JO$42,JN4&lt;&gt;""),AND(KJ4&gt;=KW$38,KJ4&lt;&gt;"",KL4&gt;=KW$42,KL4&lt;&gt;""),AND(KM4&gt;=KW$38,KM4&lt;&gt;"",KO4&gt;=KW$42,KO4&lt;&gt;""),AND(KQ4&gt;=KW$38,KQ4&lt;&gt;"",KS4&gt;=KW$42,KS4&lt;&gt;""),AND(KT4&gt;=KW$38,KT4&lt;&gt;"",KV4&gt;=KW$42,KV4&lt;&gt;""),AND(LR4&gt;=ME$38,LR4&lt;&gt;"",LT4&gt;=ME$42,LT4&lt;&gt;""),AND(LU4&gt;=ME$38,LU4&lt;&gt;"",LW4&gt;=ME$42,LW4&lt;&gt;""),AND(LY4&gt;=ME$38,LY4&lt;&gt;"",MA4&gt;=ME$42,MA4&lt;&gt;""),AND(MB4&gt;=ME$38,MB4&lt;&gt;"",MD4&gt;=ME$42,MD4&lt;&gt;""),AND(MZ4&gt;=NM$38,MZ4&lt;&gt;"",NB4&gt;=NM$42,NB4&lt;&gt;""),AND(NC4&gt;=NM$38,NC4&lt;&gt;"",NE4&gt;=NM$42,NE4&lt;&gt;""),AND(NG4&gt;=NM$38,NG4&lt;&gt;"",NI4&gt;=NM$42,NI4&lt;&gt;""),AND(NJ4&gt;=NM$38,NJ4&lt;&gt;"",NL4&gt;=NM$42,NL4&lt;&gt;""),AND(OH4&gt;=OU$38,OH4&lt;&gt;"",OJ4&gt;=OU$42,OJ4&lt;&gt;""),AND(OK4&gt;=OU$38,OK4&lt;&gt;"",OM4&gt;=OU$42,OM4&lt;&gt;""),AND(OO4&gt;=OU$38,OO4&lt;&gt;"",OQ4&gt;=OU$42,OQ4&lt;&gt;""),AND(OR4&gt;=OU$38,OR4&lt;&gt;"",OT4&gt;=OU$42,OT4&lt;&gt;""),AND(PP4&gt;=QC$38,PP4&lt;&gt;"",PR4&gt;=QC$42,PR4&lt;&gt;""),AND(PS4&gt;=QC$38,PS4&lt;&gt;"",PU4&gt;=QC$42,PU4&lt;&gt;""),AND(PW4&gt;=QC$38,PW4&lt;&gt;"",PY4&gt;=QC$42,PY4&lt;&gt;""),AND(PZ4&gt;=QC$38,PZ4&lt;&gt;"",QB4&gt;=QC$42,QB4&lt;&gt;""),AND(QX4&gt;=RK$38,QX4&lt;&gt;"",QZ4&gt;=RK$42,QZ4&lt;&gt;""),AND(RA4&gt;=RK$38,RA4&lt;&gt;"",RC4&gt;=RK$42,RC4&lt;&gt;""),AND(RE4&gt;=RK$38,RE4&lt;&gt;"",RG4&gt;=RK$42,RG4&lt;&gt;""),AND(RH4&gt;=RK$38,RH4&lt;&gt;"",RJ4&gt;=RK$42,RJ4&lt;&gt;""),AND(SF4&gt;=SS$38,SF4&lt;&gt;"",SH4&gt;=SS$42,SH4&lt;&gt;""),AND(SI4&gt;=SS$38,SI4&lt;&gt;"",SK4&gt;=SS$42,SK4&lt;&gt;""),AND(SM4&gt;=SS$38,SM4&lt;&gt;"",SO4&gt;=SS$42,SO4&lt;&gt;""),AND(SP4&gt;=SS$38,SP4&lt;&gt;"",SR4&gt;=SS$42,SR4&lt;&gt;"")),"P","")</f>
        <v/>
      </c>
      <c r="J4" s="8">
        <f>IF(COUNT(AO4,AR4,BP4,BS4,CQ4,CT4)&gt;0,LARGE((AO4,AR4,BP4,BS4,CQ4,CT4),1),0)</f>
        <v>55.540000000000006</v>
      </c>
      <c r="K4" s="8" t="str">
        <f t="shared" ref="K4:K34" si="5">IF(J4="","",IF(OR(J4=CQ4,J4=CT4),$BY$1,IF(OR(J4=BP4,J4=BS4),$AX$1,IF(OR(J4=AO4,J4=AR4),$W$1,""))))</f>
        <v>2023 Elite Canada</v>
      </c>
      <c r="L4" s="8">
        <f>IF(COUNT(AO4,AR4,BP4,BS4,CQ4,CT4)&gt;1,LARGE((AO4,AR4,BP4,BS4,CQ4,CT4),2),0)</f>
        <v>54.739999999999995</v>
      </c>
      <c r="M4" s="8" t="str">
        <f t="shared" ref="M4:M34" si="6">IF(L4="","",IF(OR(L4=CQ4,L4=CT4),$BY$1,IF(OR(L4=BP4,L4=BS4),$AX$1,IF(OR(L4=AO4,L4=AR4),$W$1,""))))</f>
        <v>2022 3rd Domestic Trial</v>
      </c>
      <c r="N4" s="8">
        <f>IF(COUNT(AO4,AR4,BP4,BS4,CQ4,CT4)&gt;2,MAX(AV4,BW4,CX4,LARGE((AO4,AR4,BP4,BS4,CQ4,CT4),3)),IF(MAX(AV4,BW4,CX4)&gt;0,MAX(AV4,BW4,CX4),0))</f>
        <v>54.870000000000005</v>
      </c>
      <c r="O4" s="8" t="str">
        <f t="shared" ref="O4:O34" si="7">IF(N4="","",IF(OR(N4=CQ4,N4=CT4,N4=CX4),$BY$1,IF(OR(N4=BP4,N4=BS4,N4=BW4),$AX$1,IF(OR(N4=AO4,N4=AR4,N4=AV4),$W$1,""))))</f>
        <v>2022 3rd Domestic Trial</v>
      </c>
      <c r="P4" s="8">
        <f t="shared" ref="P4:P34" si="8">IF(MAX(AM4,AP4,AT4,BN4,BQ4,BU4,CO4,CR4,CV4,DV4,DY4,EC4,EF4,FD4,FG4,FK4,FN4,GL4,GO4,GS4,GV4,HT4,HW4,IA4,ID4,JB4,JE4,JI4,JL4,KJ4,KM4,KQ4,KT4,LR4,LU4,LY4,MB4,MZ4,NC4,NG4,NJ4,OH4,OK4,OO4,OR4,PP4,PS4,PW4,PZ4,QX4,RA4,RE4,RH4,SF4,SI4,SM4,SP4)&gt;0,MAX(AM4,AP4,AT4,BN4,BQ4,BU4,CO4,CR4,CV4,DV4,DY4,EC4,EF4,FD4,FG4,FK4,FN4,GL4,GO4,GS4,GV4,HT4,HW4,IA4,ID4,JB4,JE4,JI4,JL4,KJ4,KM4,KQ4,KT4,LR4,LU4,LY4,MB4,MZ4,NC4,NG4,NJ4,OH4,OK4,OO4,OR4,PP4,PS4,PW4,PZ4,QX4,RA4,RE4,RH4,SF4,SI4,SM4,SP4),0)</f>
        <v>15.8</v>
      </c>
      <c r="Q4" s="8" t="str">
        <f t="shared" ref="Q4:Q34" si="9">IF(P4=0,"",IF(OR(P4=CO4,P4=CR4,P4=CV4),$BY$1,IF(OR(P4=BN4,P4=BQ4,P4=BU4),$AX$1,IF(OR(P4=AM4,P4=AP4,P4=AT4),$W$1,IF(OR(P4=SF4,P4=SI4,P4=SM4,P4=SP4),$RL$1,IF(OR(P4=QX4,P4=RA4,P4=RE4,P4=RH4),$QD$1,IF(OR(P4=PP4,P4=PS4,P4=PW4,P4=PZ4),$OV$1,IF(OR(P4=OH4,P4=OK4,P4=OO4,P4=OR4),$NN$1,IF(OR(P4=MZ4,P4=NC4,P4=NG4,P4=NJ4),$MF$1,IF(OR(P4=LR4,P4=LU4,P4=LY4,P4=MB4),$KX$1,IF(OR(P4=KJ4,P4=KM4,P4=KQ4,P4=KT4),$JP$1,IF(OR(P4=JB4,P4=JE4,P4=JI4,P4=JL4),$IH$1,IF(OR(P4=HT4,P4=HW4,P4=IA4,P4=ID4),$GZ$1,IF(OR(P4=GL4,P4=GO4,P4=GS4,P4=GV4),$FR$1,IF(OR(P4=FD4,P4=FG4,P4=FK4,P4=FN4),$EJ$1,IF(OR(P4=DV4,P4=DY4,P4=EC4,P4=EF4),$DB$1,""))))))))))))))))</f>
        <v>2023 Elite Canada</v>
      </c>
      <c r="R4" s="8">
        <f t="shared" ref="R4:R34" si="10">IF(MAX(IF(AM4&gt;=$AW$37,AN4,0),IF(AP4&gt;=$AW$37,AQ4,0),IF(AT4&gt;=$AW$37,AU4,0),IF(BN4&gt;=$BX$37,BO4,0),IF(BQ4&gt;=$BX$37,BR4,0),IF(BU4&gt;=$BX$37,BV4,0),IF(CO4&gt;=$CY$37,CP4,0),IF(CR4&gt;=$CY$37,CS4,0),IF(CV4&gt;=$CY$37,CW4,0),IF(DV4&gt;=$EI$37,DW4,0),IF(DY4&gt;=$EI$37,DZ4,0),IF(EC4&gt;=$EI$37,ED4,0),IF(EF4&gt;=$EI$37,EG4,0),IF(FD4&gt;=$FQ$37,FE4,0),IF(FG4&gt;=$FQ$37,FH4,0),IF(FK4&gt;=$FQ$37,FL4,0),IF(FN4&gt;=$FQ$37,FO4,0),IF(GL4&gt;=$GY$37,GM4,0),IF(GO4&gt;=$GY$37,GP4,0),IF(GS4&gt;=$GY$37,GT4,0),IF(GV4&gt;=$GY$37,GW4,0),IF(HT4&gt;=$IG$37,HU4,0),IF(HW4&gt;=$IG$37,HX4,0),IF(IA4&gt;=$IG$37,IB4,0),IF(ID4&gt;=$IG$37,IE4,0),IF(JB4&gt;=$JO$37,JC4,0),IF(JE4&gt;=$JO$37,JF4,0),IF(JI4&gt;=$JO$37,JJ4,0),IF(JL4&gt;=$JO$37,JM4,0),IF(KJ4&gt;=$KW$37,KK4,0),IF(KM4&gt;=$KW$37,KN4,0),IF(KQ4&gt;=$KW$37,KR4,0),IF(KT4&gt;=$KW$37,KU4,0),IF(LR4&gt;=$ME$37,LS4,0),IF(LU4&gt;=$ME$37,LV4,0),IF(LY4&gt;=$ME$37,LZ4,0),IF(MB4&gt;=$ME$37,MC4,0),IF(MZ4&gt;=$NM$37,NA4,0),IF(NC4&gt;=$NM$37,ND4,0),IF(NG4&gt;=$NM$37,NH4,0),IF(NJ4&gt;=$NM$37,NK4,0),IF(OH4&gt;=$OU$37,OI4,0),IF(OK4&gt;=$OU$37,OL4,0),IF(OO4&gt;=$OU$37,OP4,0),IF(OR4&gt;=$OU$37,OS4,0),IF(PP4&gt;=$QC$37,PQ4,0),IF(PS4&gt;=$QC$37,PT4,0),IF(PW4&gt;=$QC$37,PX4,0),IF(PZ4&gt;=$QC$37,QA4,0),IF(QX4&gt;=$RK$37,QY4,0),IF(RA4&gt;=$RK$37,RB4,0),IF(RE4&gt;=$RK$37,RF4,0),IF(RH4&gt;=$RK$37,RI4,0),IF(SF4&gt;=$SS$37,SG4,0),IF(SI4&gt;=$SS$37,SJ4,0),IF(SM4&gt;=$SS$37,SN4,0),IF(SP4&gt;=$SS$37,SQ4,0))&gt;0,MAX(IF(AM4&gt;=$AW$37,AN4,0),IF(AP4&gt;=$AW$37,AQ4,0),IF(AT4&gt;=$AW$37,AU4,0),IF(BN4&gt;=$BX$37,BO4,0),IF(BQ4&gt;=$BX$37,BR4,0),IF(BU4&gt;=$BX$37,BV4,0),IF(CO4&gt;=$CY$37,CP4,0),IF(CR4&gt;=$CY$37,CS4,0),IF(CV4&gt;=$CY$37,CW4,0),IF(DV4&gt;=$EI$37,DW4,0),IF(DY4&gt;=$EI$37,DZ4,0),IF(EC4&gt;=$EI$37,ED4,0),IF(EF4&gt;=$EI$37,EG4,0),IF(FD4&gt;=$FQ$37,FE4,0),IF(FG4&gt;=$FQ$37,FH4,0),IF(FK4&gt;=$FQ$37,FL4,0),IF(FN4&gt;=$FQ$37,FO4,0),IF(GL4&gt;=$GY$37,GM4,0),IF(GO4&gt;=$GY$37,GP4,0),IF(GS4&gt;=$GY$37,GT4,0),IF(GV4&gt;=$GY$37,GW4,0),IF(HT4&gt;=$IG$37,HU4,0),IF(HW4&gt;=$IG$37,HX4,0),IF(IA4&gt;=$IG$37,IB4,0),IF(ID4&gt;=$IG$37,IE4,0),IF(JB4&gt;=$JO$37,JC4,0),IF(JE4&gt;=$JO$37,JF4,0),IF(JI4&gt;=$JO$37,JJ4,0),IF(JL4&gt;=$JO$37,JM4,0),IF(KJ4&gt;=$KW$37,KK4,0),IF(KM4&gt;=$KW$37,KN4,0),IF(KQ4&gt;=$KW$37,KR4,0),IF(KT4&gt;=$KW$37,KU4,0),IF(LR4&gt;=$ME$37,LS4,0),IF(LU4&gt;=$ME$37,LV4,0),IF(LY4&gt;=$ME$37,LZ4,0),IF(MB4&gt;=$ME$37,MC4,0),IF(MZ4&gt;=$NM$37,NA4,0),IF(NC4&gt;=$NM$37,ND4,0),IF(NG4&gt;=$NM$37,NH4,0),IF(NJ4&gt;=$NM$37,NK4,0),IF(OH4&gt;=$OU$37,OI4,0),IF(OK4&gt;=$OU$37,OL4,0),IF(OO4&gt;=$OU$37,OP4,0),IF(OR4&gt;=$OU$37,OS4,0),IF(PP4&gt;=$QC$37,PQ4,0),IF(PS4&gt;=$QC$37,PT4,0),IF(PW4&gt;=$QC$37,PX4,0),IF(PZ4&gt;=$QC$37,QA4,0),IF(QX4&gt;=$RK$37,QY4,0),IF(RA4&gt;=$RK$37,RB4,0),IF(RE4&gt;=$RK$37,RF4,0),IF(RH4&gt;=$RK$37,RI4,0),IF(SF4&gt;=$SS$37,SG4,0),IF(SI4&gt;=$SS$37,SJ4,0),IF(SM4&gt;=$SS$37,SN4,0),IF(SP4&gt;=$SS$37,SQ4,0)),0)</f>
        <v>16.309999999999999</v>
      </c>
      <c r="S4" s="8" t="str">
        <f t="shared" ref="S4:S34" si="11">IF(R4=0,"",IF(OR(R4=CP4,R4=CS4,R4=CW4),$BY$1,IF(OR(R4=BO4,R4=BR4,R4=BV4),$AX$1,IF(OR(R4=AN4,R4=AQ4,R4=AU4),$W$1,IF(OR(R4=SG4,R4=SJ4,R4=SN4,R4=SQ4),$RL$1,IF(OR(R4=QY4,R4=RB4,R4=RF4,R4=RI4),$QD$1,IF(OR(R4=PQ4,R4=PT4,R4=PX4,R4=QA4),$OV$1,IF(OR(R4=OI4,R4=OL4,R4=OP4,R4=OS4),$NN$1,IF(OR(R4=NA4,R4=ND4,R4=NH4,R4=NK4),$MF$1,IF(OR(R4=LS4,R4=LV4,R4=LZ4,R4=MC4),$KX$1,IF(OR(R4=KK4,R4=KN4,R4=KR4,R4=KU4),$JP$1,IF(OR(R4=JC4,R4=JF4,R4=JJ4,R4=JM4),$IH$1,IF(OR(R4=HU4,R4=HX4,R4=IB4,R4=IE4),$GZ$1,IF(OR(R4=GM4,R4=GP4,R4=GT4,R4=GW4),$FR$1,IF(OR(R4=FE4,R4=FH4,R4=FL4,R4=FO4),$EJ$1,IF(OR(R4=DW4,R4=DZ4,R4=ED4,R4=EG4),$DB$1,""))))))))))))))))</f>
        <v>2022 WAGC (Nov 25)</v>
      </c>
      <c r="T4" s="8" t="str">
        <f t="shared" ref="T4:T34" si="12">IF(MAX(CZ4,DA4)&gt;0,MAX(CZ4,DA4),"")</f>
        <v/>
      </c>
      <c r="U4" s="11" t="str">
        <f t="shared" ref="U4:U34" si="13">IF(T4="","",IF(T4=CZ4,"("&amp;CZ$2&amp;")",IF(T4=DA4,"("&amp;DA$2&amp;")")))</f>
        <v/>
      </c>
      <c r="V4" s="8" t="str">
        <f t="shared" ref="V4:V34" si="14">IF(T4="","",IF(T4=CZ4,IF(T4+IF(N4="",0,N4)=SK4,$RL$1,IF(T4+IF(N4="",0,N4)=RC4,$QD$1,IF(T4+IF(N4="",0,N4)=PU4,$OV$1,IF(T4+IF(N4="",0,N4)=OM4,$NN$1,IF(T4+IF(N4="",0,N4)=NE4,$MF$1,IF(T4+IF(N4="",0,N4)=LW4,$KX$1,IF(T4+IF(N4="",0,N4)=KO4,$JP$1,IF(T4+IF(N4="",0,N4)=JG4,$IH$1,IF(T4+IF(N4="",0,N4)=HY4,$GZ$1,IF(T4+IF(N4="",0,N4)=GQ4,$FR$1,IF(T4+IF(N4="",0,N4)=FI4,$EJ$1,IF(T4+IF(N4="",0,N4)=EA4,$DB$1,IF(T4+IF(N4="",0,N4)=SH4,$RL$1,IF(T4+IF(N4="",0,N4)=QZ4,$QD$1,IF(T4+IF(N4="",0,N4)=PR4,$OV$1,IF(T4+IF(N4="",0,N4)=OJ4,$NN$1,IF(T4+IF(N4="",0,N4)=NB4,$MF$1,IF(T4+IF(N4="",0,N4)=LT4,$KX$1,IF(T4+IF(N4="",0,N4)=KL4,$JP$1,IF(T4+IF(N4="",0,N4)=JD4,$IH$1,IF(T4+IF(N4="",0,N4)=HV4,$GZ$1,IF(T4+IF(N4="",0,N4)=GN4,$FR$1,IF(T4+IF(N4="",0,N4)=FF4,$EJ$1,IF(T4+IF(N4="",0,N4)=DX4,$DB$1,IF(T4+IF(L4="",0,L4)=SK4,$RL$1,IF(T4+IF(L4="",0,L4)=RC4,$QD$1,IF(T4+IF(L4="",0,L4)=PU4,$OV$1,IF(T4+IF(L4="",0,L4)=OM4,$NN$1,IF(T4+IF(L4="",0,L4)=NE4,$MF$1,IF(T4+IF(L4="",0,L4)=LW4,$KX$1,IF(T4+IF(L4="",0,L4)=KO4,$JP$1,IF(T4+IF(L4="",0,L4)=JG4,$IH$1,IF(T4+IF(L4="",0,L4)=HY4,$GZ$1,IF(T4+IF(L4="",0,L4)=GQ4,$FR$1,IF(T4+IF(L4="",0,L4)=FI4,$EJ$1,IF(T4+IF(L4="",0,L4)=EA4,$DB$1,IF(T4+IF(L4="",0,L4)=SH4,$RL$1,IF(T4+IF(L4="",0,L4)=QZ4,$QD$1,IF(T4+IF(L4="",0,L4)=PR4,$OV$1,IF(T4+IF(L4="",0,L4)=OJ4,$NN$1,IF(T4+IF(L4="",0,L4)=NB4,$MF$1,IF(T4+IF(L4="",0,L4)=LT4,$KX$1,IF(T4+IF(L4="",0,L4)=KL4,$JP$1,IF(T4+IF(L4="",0,L4)=JD4,$IH$1,IF(T4+IF(L4="",0,L4)=HV4,$GZ$1,IF(T4+IF(L4="",0,L4)=GN4,$FR$1,IF(T4+IF(L4="",0,L4)=FF4,$EJ$1,IF(T4+IF(L4="",0,L4)=DX4,$DB$1)))))))))))))))))))))))))))))))))))))))))))))))),IF(T4=DA4,IF(T4+IF(N4="",0,N4)=SR4,$RL$1,IF(T4+IF(N4="",0,N4)=RJ4,$QD$1,IF(T4+IF(N4="",0,N4)=QB4,$OV$1,IF(T4+IF(N4="",0,N4)=OT4,$NN$1,IF(T4+IF(N4="",0,N4)=NL4,$MF$1,IF(T4+IF(N4="",0,N4)=MD4,$KX$1,IF(T4+IF(N4="",0,N4)=KV4,$JP$1,IF(T4+IF(N4="",0,N4)=JN4,$IH$1,IF(T4+IF(N4="",0,N4)=IF4,$GZ$1,IF(T4+IF(N4="",0,N4)=GX4,$FR$1,IF(T4+IF(N4="",0,N4)=FP4,$EJ$1,IF(T4+IF(N4="",0,N4)=EH4,$DB$1,IF(T4+IF(N4="",0,N4)=SO4,$RL$1,IF(T4+IF(N4="",0,N4)=RG4,$QD$1,IF(T4+IF(N4="",0,N4)=PY4,$OV$1,IF(T4+IF(N4="",0,N4)=OQ4,$NN$1,IF(T4+IF(N4="",0,N4)=NI4,$MF$1,IF(T4+IF(N4="",0,N4)=MA4,$KX$1,IF(T4+IF(N4="",0,N4)=KS4,$JP$1,IF(T4+IF(N4="",0,N4)=JK4,$IH$1,IF(T4+IF(N4="",0,N4)=IC4,$GZ$1,IF(T4+IF(N4="",0,N4)=GU4,$FR$1,IF(T4+IF(N4="",0,N4)=FM4,$EJ$1,IF(T4+IF(N4="",0,N4)=EE4,$DB$1)))))))))))))))))))))))))))</f>
        <v/>
      </c>
      <c r="W4" s="22">
        <v>15.2</v>
      </c>
      <c r="X4" s="22">
        <v>9.1999999999999993</v>
      </c>
      <c r="Y4" s="22">
        <v>13.1</v>
      </c>
      <c r="Z4" s="22">
        <v>16.38</v>
      </c>
      <c r="AA4" s="22">
        <v>0.4</v>
      </c>
      <c r="AB4" s="22">
        <v>6.4</v>
      </c>
      <c r="AC4" s="22">
        <v>3.9</v>
      </c>
      <c r="AD4" s="22">
        <v>6.9</v>
      </c>
      <c r="AE4" s="22">
        <v>6.87</v>
      </c>
      <c r="AF4" s="22">
        <v>0</v>
      </c>
      <c r="AG4" s="22">
        <v>15</v>
      </c>
      <c r="AH4" s="22">
        <v>8.9</v>
      </c>
      <c r="AI4" s="22">
        <v>13.7</v>
      </c>
      <c r="AJ4" s="22">
        <v>15.99</v>
      </c>
      <c r="AK4" s="22">
        <v>0</v>
      </c>
      <c r="AL4" s="27"/>
      <c r="AM4" s="38">
        <f t="shared" ref="AM4:AM34" si="15">IF(Y4&gt;0,Y4,"")</f>
        <v>13.1</v>
      </c>
      <c r="AN4" s="38">
        <f t="shared" ref="AN4:AN34" si="16">IF(Z4&gt;0,Z4,"")</f>
        <v>16.38</v>
      </c>
      <c r="AO4" s="40">
        <f t="shared" ref="AO4:AO34" si="17">IF(SUM(W4:Z4)-AA4&gt;0,SUM(W4:Z4)-AA4,"")</f>
        <v>53.48</v>
      </c>
      <c r="AP4" s="40">
        <f t="shared" ref="AP4:AP34" si="18">IF(AD4&gt;0,AD4,"")</f>
        <v>6.9</v>
      </c>
      <c r="AQ4" s="40">
        <f t="shared" ref="AQ4:AQ34" si="19">IF(AE4&gt;0,AE4,"")</f>
        <v>6.87</v>
      </c>
      <c r="AR4" s="40">
        <f t="shared" ref="AR4:AR34" si="20">IF(SUM(AB4:AE4)-AF4&gt;0,SUM(AB4:AE4)-AF4,"")</f>
        <v>24.070000000000004</v>
      </c>
      <c r="AS4" s="40">
        <f t="shared" ref="AS4:AS34" si="21">IF(AO4="","",MAX(AO4,AR4))</f>
        <v>53.48</v>
      </c>
      <c r="AT4" s="40">
        <f t="shared" ref="AT4:AT34" si="22">IF(AI4&gt;0,AI4,"")</f>
        <v>13.7</v>
      </c>
      <c r="AU4" s="40">
        <f t="shared" ref="AU4:AU34" si="23">IF(AJ4&gt;0,AJ4,"")</f>
        <v>15.99</v>
      </c>
      <c r="AV4" s="40">
        <f t="shared" ref="AV4:AV34" si="24">IF(SUM(AG4:AJ4)-AK4&gt;0,SUM(AG4:AJ4)-AK4,"")</f>
        <v>53.589999999999996</v>
      </c>
      <c r="AW4" s="40">
        <f t="shared" ref="AW4:AW34" si="25">IF(SUM(AS4,AV4)&gt;0,SUM(AS4,AV4),"")</f>
        <v>107.07</v>
      </c>
      <c r="AX4" s="26">
        <v>14.02</v>
      </c>
      <c r="AY4" s="26">
        <v>9</v>
      </c>
      <c r="AZ4" s="26">
        <v>15.8</v>
      </c>
      <c r="BA4" s="26">
        <v>16.12</v>
      </c>
      <c r="BB4" s="26">
        <v>0.2</v>
      </c>
      <c r="BC4" s="26">
        <v>6.6</v>
      </c>
      <c r="BD4" s="26">
        <v>4.8</v>
      </c>
      <c r="BE4" s="26">
        <v>8.6</v>
      </c>
      <c r="BF4" s="26">
        <v>8.41</v>
      </c>
      <c r="BG4" s="26">
        <v>0</v>
      </c>
      <c r="BH4" s="26">
        <v>14</v>
      </c>
      <c r="BI4" s="26">
        <v>8.8000000000000007</v>
      </c>
      <c r="BJ4" s="26">
        <v>15.8</v>
      </c>
      <c r="BK4" s="26">
        <v>16.27</v>
      </c>
      <c r="BL4" s="26">
        <v>0</v>
      </c>
      <c r="BM4" s="28"/>
      <c r="BN4" s="39">
        <f t="shared" ref="BN4:BN34" si="26">IF(AZ4&gt;0,AZ4,"")</f>
        <v>15.8</v>
      </c>
      <c r="BO4" s="39">
        <f t="shared" ref="BO4:BO34" si="27">IF(BA4&gt;0,BA4,"")</f>
        <v>16.12</v>
      </c>
      <c r="BP4" s="11">
        <f t="shared" ref="BP4:BP34" si="28">IF(SUM(AX4:BA4)-BB4&gt;0,SUM(AX4:BA4)-BB4,"")</f>
        <v>54.739999999999995</v>
      </c>
      <c r="BQ4" s="11">
        <f t="shared" ref="BQ4:BQ34" si="29">IF(BE4&gt;0,BE4,"")</f>
        <v>8.6</v>
      </c>
      <c r="BR4" s="11">
        <f t="shared" ref="BR4:BR34" si="30">IF(BF4&gt;0,BF4,"")</f>
        <v>8.41</v>
      </c>
      <c r="BS4" s="11">
        <f t="shared" ref="BS4:BS34" si="31">IF(SUM(BC4:BF4)-BG4&gt;0,SUM(BC4:BF4)-BG4,"")</f>
        <v>28.41</v>
      </c>
      <c r="BT4" s="11">
        <f t="shared" ref="BT4:BT34" si="32">IF(BP4="","",MAX(BP4,BS4))</f>
        <v>54.739999999999995</v>
      </c>
      <c r="BU4" s="11">
        <f t="shared" ref="BU4:BU34" si="33">IF(BJ4&gt;0,BJ4,"")</f>
        <v>15.8</v>
      </c>
      <c r="BV4" s="11">
        <f t="shared" ref="BV4:BV34" si="34">IF(BK4&gt;0,BK4,"")</f>
        <v>16.27</v>
      </c>
      <c r="BW4" s="11">
        <f t="shared" ref="BW4:BW34" si="35">IF(SUM(BH4:BK4)-BL4&gt;0,SUM(BH4:BK4)-BL4,"")</f>
        <v>54.870000000000005</v>
      </c>
      <c r="BX4" s="11">
        <f t="shared" ref="BX4:BX34" si="36">IF(SUM(BT4,BW4)&gt;0,SUM(BT4,BW4),"")</f>
        <v>109.61</v>
      </c>
      <c r="BY4" s="22">
        <v>14.6</v>
      </c>
      <c r="BZ4" s="22">
        <v>9</v>
      </c>
      <c r="CA4" s="22">
        <v>14.8</v>
      </c>
      <c r="CB4" s="22">
        <v>15.62</v>
      </c>
      <c r="CC4" s="22">
        <v>0</v>
      </c>
      <c r="CD4" s="22">
        <v>14.9</v>
      </c>
      <c r="CE4" s="22">
        <v>9</v>
      </c>
      <c r="CF4" s="22">
        <v>15.8</v>
      </c>
      <c r="CG4" s="22">
        <v>15.84</v>
      </c>
      <c r="CH4" s="22">
        <v>0</v>
      </c>
      <c r="CI4" s="22">
        <v>14.7</v>
      </c>
      <c r="CJ4" s="22">
        <v>9</v>
      </c>
      <c r="CK4" s="22">
        <v>14.8</v>
      </c>
      <c r="CL4" s="22">
        <v>15.82</v>
      </c>
      <c r="CM4" s="22">
        <v>0</v>
      </c>
      <c r="CN4" s="27"/>
      <c r="CO4" s="38">
        <f t="shared" ref="CO4:CO34" si="37">IF(CA4&gt;0,CA4,"")</f>
        <v>14.8</v>
      </c>
      <c r="CP4" s="38">
        <f t="shared" ref="CP4:CP34" si="38">IF(CB4&gt;0,CB4,"")</f>
        <v>15.62</v>
      </c>
      <c r="CQ4" s="40">
        <f t="shared" ref="CQ4:CQ34" si="39">IF(SUM(BY4:CB4)-CC4&gt;0,SUM(BY4:CB4)-CC4,"")</f>
        <v>54.02</v>
      </c>
      <c r="CR4" s="40">
        <f t="shared" ref="CR4:CR34" si="40">IF(CF4&gt;0,CF4,"")</f>
        <v>15.8</v>
      </c>
      <c r="CS4" s="40">
        <f t="shared" ref="CS4:CS34" si="41">IF(CG4&gt;0,CG4,"")</f>
        <v>15.84</v>
      </c>
      <c r="CT4" s="40">
        <f t="shared" ref="CT4:CT34" si="42">IF(SUM(CD4:CG4)-CH4&gt;0,SUM(CD4:CG4)-CH4,"")</f>
        <v>55.540000000000006</v>
      </c>
      <c r="CU4" s="40">
        <f t="shared" ref="CU4:CU34" si="43">IF(CQ4="","",MAX(CQ4,CT4))</f>
        <v>55.540000000000006</v>
      </c>
      <c r="CV4" s="40">
        <f t="shared" ref="CV4:CV34" si="44">IF(CK4&gt;0,CK4,"")</f>
        <v>14.8</v>
      </c>
      <c r="CW4" s="40">
        <f t="shared" ref="CW4:CW34" si="45">IF(CL4&gt;0,CL4,"")</f>
        <v>15.82</v>
      </c>
      <c r="CX4" s="40">
        <f t="shared" ref="CX4:CX34" si="46">IF(SUM(CI4:CL4)-CM4&gt;0,SUM(CI4:CL4)-CM4,"")</f>
        <v>54.32</v>
      </c>
      <c r="CY4" s="40">
        <f t="shared" ref="CY4:CY34" si="47">IF(SUM(CU4,CX4)&gt;0,SUM(CU4,CX4),"")</f>
        <v>109.86000000000001</v>
      </c>
      <c r="CZ4" s="50" t="str">
        <f t="shared" ref="CZ4:CZ34" si="48">IF(MAX(DX4,EA4,FF4,FI4,GN4,GQ4,HV4,HY4,JD4,JG4,KL4,KO4,LT4,LW4,NB4,NE4,OJ4,OM4,PR4,PU4,QZ4,RC4,SH4,SK4)-MIN(IF(L4="",0,L4),IF(N4="",0,N4))&gt;0.001,MAX(DX4,EA4,FF4,FI4,GN4,GQ4,HV4,HY4,JD4,JG4,KL4,KO4,LT4,LW4,NB4,NE4,OJ4,OM4,PR4,PU4,QZ4,RC4,SH4,SK4)-MIN(IF(L4="",0,L4),IF(N4="",0,N4)),"")</f>
        <v/>
      </c>
      <c r="DA4" s="50" t="str">
        <f t="shared" ref="DA4:DA34" si="49">IF(MAX(EE4,EH4,FM4,FP4,GU4,GX4,IC4,IF4,JK4,JN4,KS4,KV4,MA4,MD4,NI4,NL4,OQ4,OT4,PY4,QB4,RG4,RJ4,SO4,SR4)-IF(N4="",0,N4)&gt;0.001,MAX(EE4,EH4,FM4,FP4,GU4,GX4,IC4,IF4,JK4,JN4,KS4,KV4,MA4,MD4,NI4,NL4,OQ4,OT4,PY4,QB4,RG4,RJ4,SO4,SR4)-IF(N4="",0,N4),"")</f>
        <v/>
      </c>
      <c r="DB4" s="17"/>
      <c r="DC4" s="17"/>
      <c r="DD4" s="17"/>
      <c r="DE4" s="17"/>
      <c r="DF4" s="17"/>
      <c r="DG4" s="17">
        <v>12.2</v>
      </c>
      <c r="DH4" s="17">
        <v>9.1</v>
      </c>
      <c r="DI4" s="17">
        <v>15</v>
      </c>
      <c r="DJ4" s="17">
        <v>16.309999999999999</v>
      </c>
      <c r="DK4" s="17">
        <v>0</v>
      </c>
      <c r="DL4" s="17"/>
      <c r="DM4" s="17"/>
      <c r="DN4" s="17"/>
      <c r="DO4" s="17"/>
      <c r="DP4" s="17"/>
      <c r="DQ4" s="17"/>
      <c r="DR4" s="17"/>
      <c r="DS4" s="17"/>
      <c r="DT4" s="17"/>
      <c r="DU4" s="17"/>
      <c r="DV4" s="40" t="str">
        <f t="shared" ref="DV4:DV34" si="50">IF(DD4&gt;0,DD4,"")</f>
        <v/>
      </c>
      <c r="DW4" s="40" t="str">
        <f t="shared" ref="DW4:DW34" si="51">IF(DE4&gt;0,DE4,"")</f>
        <v/>
      </c>
      <c r="DX4" s="40" t="str">
        <f t="shared" ref="DX4:DX34" si="52">IF(SUM(DB4:DE4)-DF4&gt;0,SUM(DB4:DE4)-DF4,"")</f>
        <v/>
      </c>
      <c r="DY4" s="40">
        <f t="shared" ref="DY4:DY34" si="53">IF(DI4&gt;0,DI4,"")</f>
        <v>15</v>
      </c>
      <c r="DZ4" s="40">
        <f t="shared" ref="DZ4:DZ34" si="54">IF(DJ4&gt;0,DJ4,"")</f>
        <v>16.309999999999999</v>
      </c>
      <c r="EA4" s="40">
        <f t="shared" ref="EA4:EA34" si="55">IF(SUM(DG4:DJ4)-DK4&gt;0,SUM(DG4:DJ4)-DK4,"")</f>
        <v>52.61</v>
      </c>
      <c r="EB4" s="40">
        <f t="shared" ref="EB4:EB34" si="56">IF(MAX(DX4,EA4)&gt;0,MAX(DX4,EA4),"")</f>
        <v>52.61</v>
      </c>
      <c r="EC4" s="40" t="str">
        <f t="shared" ref="EC4:EC34" si="57">IF(DN4&gt;0,DN4,"")</f>
        <v/>
      </c>
      <c r="ED4" s="40" t="str">
        <f t="shared" ref="ED4:ED34" si="58">IF(DO4&gt;0,DO4,"")</f>
        <v/>
      </c>
      <c r="EE4" s="40" t="str">
        <f t="shared" ref="EE4:EE34" si="59">IF(SUM(DL4:DO4)-DP4&gt;0,SUM(DL4:DO4)-DP4,"")</f>
        <v/>
      </c>
      <c r="EF4" s="40" t="str">
        <f t="shared" ref="EF4:EF34" si="60">IF(DS4&gt;0,DS4,"")</f>
        <v/>
      </c>
      <c r="EG4" s="40" t="str">
        <f t="shared" ref="EG4:EG34" si="61">IF(DT4&gt;0,DT4,"")</f>
        <v/>
      </c>
      <c r="EH4" s="40" t="str">
        <f t="shared" ref="EH4:EH34" si="62">IF(SUM(DQ4:DT4)-DU4&gt;0,SUM(DQ4:DT4)-DU4,"")</f>
        <v/>
      </c>
      <c r="EI4" s="40">
        <f t="shared" ref="EI4:EI34" si="63">IF(SUM(EB4,EH4)&gt;0,SUM(EB4,EH4),"")</f>
        <v>52.61</v>
      </c>
      <c r="EJ4" s="18"/>
      <c r="EK4" s="18"/>
      <c r="EL4" s="18"/>
      <c r="EM4" s="18"/>
      <c r="EN4" s="18"/>
      <c r="EO4" s="18"/>
      <c r="EP4" s="18"/>
      <c r="EQ4" s="18"/>
      <c r="ER4" s="18"/>
      <c r="ES4" s="18"/>
      <c r="ET4" s="18"/>
      <c r="EU4" s="18"/>
      <c r="EV4" s="18"/>
      <c r="EW4" s="18"/>
      <c r="EX4" s="18"/>
      <c r="EY4" s="18"/>
      <c r="EZ4" s="18"/>
      <c r="FA4" s="18"/>
      <c r="FB4" s="18"/>
      <c r="FC4" s="18"/>
      <c r="FD4" s="11" t="str">
        <f t="shared" ref="FD4:FD34" si="64">IF(EL4&gt;0,EL4,"")</f>
        <v/>
      </c>
      <c r="FE4" s="11" t="str">
        <f t="shared" ref="FE4:FE34" si="65">IF(EM4&gt;0,EM4,"")</f>
        <v/>
      </c>
      <c r="FF4" s="11" t="str">
        <f t="shared" ref="FF4:FF34" si="66">IF(SUM(EJ4:EM4)-EN4&gt;0,SUM(EJ4:EM4)-EN4,"")</f>
        <v/>
      </c>
      <c r="FG4" s="11" t="str">
        <f t="shared" ref="FG4:FG34" si="67">IF(EQ4&gt;0,EQ4,"")</f>
        <v/>
      </c>
      <c r="FH4" s="11" t="str">
        <f t="shared" ref="FH4:FH34" si="68">IF(ER4&gt;0,ER4,"")</f>
        <v/>
      </c>
      <c r="FI4" s="11" t="str">
        <f t="shared" ref="FI4:FI34" si="69">IF(SUM(EO4:ER4)-ES4&gt;0,SUM(EO4:ER4)-ES4,"")</f>
        <v/>
      </c>
      <c r="FJ4" s="11" t="str">
        <f t="shared" ref="FJ4:FJ34" si="70">IF(MAX(FF4,FI4)&gt;0,MAX(FF4,FI4),"")</f>
        <v/>
      </c>
      <c r="FK4" s="11" t="str">
        <f t="shared" ref="FK4:FK34" si="71">IF(EV4&gt;0,EV4,"")</f>
        <v/>
      </c>
      <c r="FL4" s="11" t="str">
        <f t="shared" ref="FL4:FL34" si="72">IF(EW4&gt;0,EW4,"")</f>
        <v/>
      </c>
      <c r="FM4" s="11" t="str">
        <f t="shared" ref="FM4:FM34" si="73">IF(SUM(ET4:EW4)-EX4&gt;0,SUM(ET4:EW4)-EX4,"")</f>
        <v/>
      </c>
      <c r="FN4" s="11" t="str">
        <f t="shared" ref="FN4:FN34" si="74">IF(FA4&gt;0,FA4,"")</f>
        <v/>
      </c>
      <c r="FO4" s="11" t="str">
        <f t="shared" ref="FO4:FO34" si="75">IF(FB4&gt;0,FB4,"")</f>
        <v/>
      </c>
      <c r="FP4" s="11" t="str">
        <f t="shared" ref="FP4:FP34" si="76">IF(SUM(EY4:FB4)-FC4&gt;0,SUM(EY4:FB4)-FC4,"")</f>
        <v/>
      </c>
      <c r="FQ4" s="11" t="str">
        <f t="shared" ref="FQ4:FQ34" si="77">IF(SUM(FJ4,FP4)&gt;0,SUM(FJ4,FP4),"")</f>
        <v/>
      </c>
      <c r="FR4" s="17"/>
      <c r="FS4" s="17"/>
      <c r="FT4" s="17"/>
      <c r="FU4" s="17"/>
      <c r="FV4" s="17"/>
      <c r="FW4" s="17"/>
      <c r="FX4" s="17"/>
      <c r="FY4" s="17"/>
      <c r="FZ4" s="17"/>
      <c r="GA4" s="17"/>
      <c r="GB4" s="17"/>
      <c r="GC4" s="17"/>
      <c r="GD4" s="17"/>
      <c r="GE4" s="17"/>
      <c r="GF4" s="17"/>
      <c r="GG4" s="17"/>
      <c r="GH4" s="17"/>
      <c r="GI4" s="17"/>
      <c r="GJ4" s="17"/>
      <c r="GK4" s="17"/>
      <c r="GL4" s="40" t="str">
        <f t="shared" ref="GL4:GL34" si="78">IF(FT4&gt;0,FT4,"")</f>
        <v/>
      </c>
      <c r="GM4" s="40" t="str">
        <f t="shared" ref="GM4:GM34" si="79">IF(FU4&gt;0,FU4,"")</f>
        <v/>
      </c>
      <c r="GN4" s="40" t="str">
        <f t="shared" ref="GN4:GN34" si="80">IF(SUM(FR4:FU4)-FV4&gt;0,SUM(FR4:FU4)-FV4,"")</f>
        <v/>
      </c>
      <c r="GO4" s="40" t="str">
        <f t="shared" ref="GO4:GO34" si="81">IF(FY4&gt;0,FY4,"")</f>
        <v/>
      </c>
      <c r="GP4" s="40" t="str">
        <f t="shared" ref="GP4:GP34" si="82">IF(FZ4&gt;0,FZ4,"")</f>
        <v/>
      </c>
      <c r="GQ4" s="40" t="str">
        <f t="shared" ref="GQ4:GQ34" si="83">IF(SUM(FW4:FZ4)-GA4&gt;0,SUM(FW4:FZ4)-GA4,"")</f>
        <v/>
      </c>
      <c r="GR4" s="40" t="str">
        <f t="shared" ref="GR4:GR34" si="84">IF(MAX(GN4,GQ4)&gt;0,MAX(GN4,GQ4),"")</f>
        <v/>
      </c>
      <c r="GS4" s="40" t="str">
        <f t="shared" ref="GS4:GS34" si="85">IF(GD4&gt;0,GD4,"")</f>
        <v/>
      </c>
      <c r="GT4" s="40" t="str">
        <f t="shared" ref="GT4:GT34" si="86">IF(GE4&gt;0,GE4,"")</f>
        <v/>
      </c>
      <c r="GU4" s="40" t="str">
        <f t="shared" ref="GU4:GU34" si="87">IF(SUM(GB4:GE4)-GF4&gt;0,SUM(GB4:GE4)-GF4,"")</f>
        <v/>
      </c>
      <c r="GV4" s="40" t="str">
        <f t="shared" ref="GV4:GV34" si="88">IF(GI4&gt;0,GI4,"")</f>
        <v/>
      </c>
      <c r="GW4" s="40" t="str">
        <f t="shared" ref="GW4:GW34" si="89">IF(GJ4&gt;0,GJ4,"")</f>
        <v/>
      </c>
      <c r="GX4" s="40" t="str">
        <f t="shared" ref="GX4:GX34" si="90">IF(SUM(GG4:GJ4)-GK4&gt;0,SUM(GG4:GJ4)-GK4,"")</f>
        <v/>
      </c>
      <c r="GY4" s="40" t="str">
        <f t="shared" ref="GY4:GY34" si="91">IF(SUM(GR4,GX4)&gt;0,SUM(GR4,GX4),"")</f>
        <v/>
      </c>
      <c r="GZ4" s="18"/>
      <c r="HA4" s="18"/>
      <c r="HB4" s="18"/>
      <c r="HC4" s="18"/>
      <c r="HD4" s="18"/>
      <c r="HE4" s="18"/>
      <c r="HF4" s="18"/>
      <c r="HG4" s="18"/>
      <c r="HH4" s="18"/>
      <c r="HI4" s="18"/>
      <c r="HJ4" s="18"/>
      <c r="HK4" s="18"/>
      <c r="HL4" s="18"/>
      <c r="HM4" s="18"/>
      <c r="HN4" s="18"/>
      <c r="HO4" s="18"/>
      <c r="HP4" s="18"/>
      <c r="HQ4" s="18"/>
      <c r="HR4" s="18"/>
      <c r="HS4" s="18"/>
      <c r="HT4" s="11" t="str">
        <f t="shared" ref="HT4:HT34" si="92">IF(HB4&gt;0,HB4,"")</f>
        <v/>
      </c>
      <c r="HU4" s="11" t="str">
        <f t="shared" ref="HU4:HU34" si="93">IF(HC4&gt;0,HC4,"")</f>
        <v/>
      </c>
      <c r="HV4" s="11" t="str">
        <f t="shared" ref="HV4:HV34" si="94">IF(SUM(GZ4:HC4)-HD4&gt;0,SUM(GZ4:HC4)-HD4,"")</f>
        <v/>
      </c>
      <c r="HW4" s="11" t="str">
        <f t="shared" ref="HW4:HW34" si="95">IF(HG4&gt;0,HG4,"")</f>
        <v/>
      </c>
      <c r="HX4" s="11" t="str">
        <f t="shared" ref="HX4:HX34" si="96">IF(HH4&gt;0,HH4,"")</f>
        <v/>
      </c>
      <c r="HY4" s="11" t="str">
        <f t="shared" ref="HY4:HY34" si="97">IF(SUM(HE4:HH4)-HI4&gt;0,SUM(HE4:HH4)-HI4,"")</f>
        <v/>
      </c>
      <c r="HZ4" s="11" t="str">
        <f t="shared" ref="HZ4:HZ34" si="98">IF(MAX(HV4,HY4)&gt;0,MAX(HV4,HY4),"")</f>
        <v/>
      </c>
      <c r="IA4" s="11" t="str">
        <f t="shared" ref="IA4:IA34" si="99">IF(HL4&gt;0,HL4,"")</f>
        <v/>
      </c>
      <c r="IB4" s="11" t="str">
        <f t="shared" ref="IB4:IB34" si="100">IF(HM4&gt;0,HM4,"")</f>
        <v/>
      </c>
      <c r="IC4" s="11" t="str">
        <f t="shared" ref="IC4:IC34" si="101">IF(SUM(HJ4:HM4)-HN4&gt;0,SUM(HJ4:HM4)-HN4,"")</f>
        <v/>
      </c>
      <c r="ID4" s="11" t="str">
        <f t="shared" ref="ID4:ID34" si="102">IF(HQ4&gt;0,HQ4,"")</f>
        <v/>
      </c>
      <c r="IE4" s="11" t="str">
        <f t="shared" ref="IE4:IE34" si="103">IF(HR4&gt;0,HR4,"")</f>
        <v/>
      </c>
      <c r="IF4" s="11" t="str">
        <f t="shared" ref="IF4:IF34" si="104">IF(SUM(HO4:HR4)-HS4&gt;0,SUM(HO4:HR4)-HS4,"")</f>
        <v/>
      </c>
      <c r="IG4" s="11" t="str">
        <f t="shared" ref="IG4:IG34" si="105">IF(SUM(HZ4,IF4)&gt;0,SUM(HZ4,IF4),"")</f>
        <v/>
      </c>
      <c r="IH4" s="17"/>
      <c r="II4" s="17"/>
      <c r="IJ4" s="17"/>
      <c r="IK4" s="17"/>
      <c r="IL4" s="17"/>
      <c r="IM4" s="17"/>
      <c r="IN4" s="17"/>
      <c r="IO4" s="17"/>
      <c r="IP4" s="17"/>
      <c r="IQ4" s="17"/>
      <c r="IR4" s="17"/>
      <c r="IS4" s="17"/>
      <c r="IT4" s="17"/>
      <c r="IU4" s="17"/>
      <c r="IV4" s="17"/>
      <c r="IW4" s="17"/>
      <c r="IX4" s="17"/>
      <c r="IY4" s="17"/>
      <c r="IZ4" s="17"/>
      <c r="JA4" s="17"/>
      <c r="JB4" s="40" t="str">
        <f t="shared" ref="JB4:JB34" si="106">IF(IJ4&gt;0,IJ4,"")</f>
        <v/>
      </c>
      <c r="JC4" s="40" t="str">
        <f t="shared" ref="JC4:JC34" si="107">IF(IK4&gt;0,IK4,"")</f>
        <v/>
      </c>
      <c r="JD4" s="40" t="str">
        <f t="shared" ref="JD4:JD34" si="108">IF(SUM(IH4:IK4)-IL4&gt;0,SUM(IH4:IK4)-IL4,"")</f>
        <v/>
      </c>
      <c r="JE4" s="40" t="str">
        <f t="shared" ref="JE4:JE34" si="109">IF(IO4&gt;0,IO4,"")</f>
        <v/>
      </c>
      <c r="JF4" s="40" t="str">
        <f t="shared" ref="JF4:JF34" si="110">IF(IP4&gt;0,IP4,"")</f>
        <v/>
      </c>
      <c r="JG4" s="40" t="str">
        <f t="shared" ref="JG4:JG34" si="111">IF(SUM(IM4:IP4)-IQ4&gt;0,SUM(IM4:IP4)-IQ4,"")</f>
        <v/>
      </c>
      <c r="JH4" s="40" t="str">
        <f t="shared" ref="JH4:JH34" si="112">IF(MAX(JD4,JG4)&gt;0,MAX(JD4,JG4),"")</f>
        <v/>
      </c>
      <c r="JI4" s="40" t="str">
        <f t="shared" ref="JI4:JI34" si="113">IF(IT4&gt;0,IT4,"")</f>
        <v/>
      </c>
      <c r="JJ4" s="40" t="str">
        <f t="shared" ref="JJ4:JJ34" si="114">IF(IU4&gt;0,IU4,"")</f>
        <v/>
      </c>
      <c r="JK4" s="40" t="str">
        <f t="shared" ref="JK4:JK34" si="115">IF(SUM(IR4:IU4)-IV4&gt;0,SUM(IR4:IU4)-IV4,"")</f>
        <v/>
      </c>
      <c r="JL4" s="40" t="str">
        <f t="shared" ref="JL4:JL34" si="116">IF(IY4&gt;0,IY4,"")</f>
        <v/>
      </c>
      <c r="JM4" s="40" t="str">
        <f t="shared" ref="JM4:JM34" si="117">IF(IZ4&gt;0,IZ4,"")</f>
        <v/>
      </c>
      <c r="JN4" s="40" t="str">
        <f t="shared" ref="JN4:JN34" si="118">IF(SUM(IW4:IZ4)-JA4&gt;0,SUM(IW4:IZ4)-JA4,"")</f>
        <v/>
      </c>
      <c r="JO4" s="40" t="str">
        <f t="shared" ref="JO4:JO34" si="119">IF(SUM(JH4,JN4)&gt;0,SUM(JH4,JN4),"")</f>
        <v/>
      </c>
      <c r="JP4" s="18"/>
      <c r="JQ4" s="18"/>
      <c r="JR4" s="18"/>
      <c r="JS4" s="18"/>
      <c r="JT4" s="18"/>
      <c r="JU4" s="18"/>
      <c r="JV4" s="18"/>
      <c r="JW4" s="18"/>
      <c r="JX4" s="18"/>
      <c r="JY4" s="18"/>
      <c r="JZ4" s="18"/>
      <c r="KA4" s="18"/>
      <c r="KB4" s="18"/>
      <c r="KC4" s="18"/>
      <c r="KD4" s="18"/>
      <c r="KE4" s="18"/>
      <c r="KF4" s="18"/>
      <c r="KG4" s="18"/>
      <c r="KH4" s="18"/>
      <c r="KI4" s="18"/>
      <c r="KJ4" s="11" t="str">
        <f t="shared" ref="KJ4:KJ34" si="120">IF(JR4&gt;0,JR4,"")</f>
        <v/>
      </c>
      <c r="KK4" s="11" t="str">
        <f t="shared" ref="KK4:KK34" si="121">IF(JS4&gt;0,JS4,"")</f>
        <v/>
      </c>
      <c r="KL4" s="11" t="str">
        <f t="shared" ref="KL4:KL34" si="122">IF(SUM(JP4:JS4)-JT4&gt;0,SUM(JP4:JS4)-JT4,"")</f>
        <v/>
      </c>
      <c r="KM4" s="11" t="str">
        <f t="shared" ref="KM4:KM34" si="123">IF(JW4&gt;0,JW4,"")</f>
        <v/>
      </c>
      <c r="KN4" s="11" t="str">
        <f t="shared" ref="KN4:KN34" si="124">IF(JX4&gt;0,JX4,"")</f>
        <v/>
      </c>
      <c r="KO4" s="11" t="str">
        <f t="shared" ref="KO4:KO34" si="125">IF(SUM(JU4:JX4)-JY4&gt;0,SUM(JU4:JX4)-JY4,"")</f>
        <v/>
      </c>
      <c r="KP4" s="11" t="str">
        <f t="shared" ref="KP4:KP34" si="126">IF(MAX(KL4,KO4)&gt;0,MAX(KL4,KO4),"")</f>
        <v/>
      </c>
      <c r="KQ4" s="11" t="str">
        <f t="shared" ref="KQ4:KQ34" si="127">IF(KB4&gt;0,KB4,"")</f>
        <v/>
      </c>
      <c r="KR4" s="11" t="str">
        <f t="shared" ref="KR4:KR34" si="128">IF(KC4&gt;0,KC4,"")</f>
        <v/>
      </c>
      <c r="KS4" s="11" t="str">
        <f t="shared" ref="KS4:KS34" si="129">IF(SUM(JZ4:KC4)-KD4&gt;0,SUM(JZ4:KC4)-KD4,"")</f>
        <v/>
      </c>
      <c r="KT4" s="11" t="str">
        <f t="shared" ref="KT4:KT34" si="130">IF(KG4&gt;0,KG4,"")</f>
        <v/>
      </c>
      <c r="KU4" s="11" t="str">
        <f t="shared" ref="KU4:KU34" si="131">IF(KH4&gt;0,KH4,"")</f>
        <v/>
      </c>
      <c r="KV4" s="11" t="str">
        <f t="shared" ref="KV4:KV34" si="132">IF(SUM(KE4:KH4)-KI4&gt;0,SUM(KE4:KH4)-KI4,"")</f>
        <v/>
      </c>
      <c r="KW4" s="11" t="str">
        <f t="shared" ref="KW4:KW34" si="133">IF(SUM(KP4,KV4)&gt;0,SUM(KP4,KV4),"")</f>
        <v/>
      </c>
      <c r="KX4" s="17"/>
      <c r="KY4" s="17"/>
      <c r="KZ4" s="17"/>
      <c r="LA4" s="17"/>
      <c r="LB4" s="17"/>
      <c r="LC4" s="17"/>
      <c r="LD4" s="17"/>
      <c r="LE4" s="17"/>
      <c r="LF4" s="17"/>
      <c r="LG4" s="17"/>
      <c r="LH4" s="17"/>
      <c r="LI4" s="17"/>
      <c r="LJ4" s="17"/>
      <c r="LK4" s="17"/>
      <c r="LL4" s="17"/>
      <c r="LM4" s="17"/>
      <c r="LN4" s="17"/>
      <c r="LO4" s="17"/>
      <c r="LP4" s="17"/>
      <c r="LQ4" s="17"/>
      <c r="LR4" s="40" t="str">
        <f t="shared" ref="LR4:LR34" si="134">IF(KZ4&gt;0,KZ4,"")</f>
        <v/>
      </c>
      <c r="LS4" s="40" t="str">
        <f t="shared" ref="LS4:LS34" si="135">IF(LA4&gt;0,LA4,"")</f>
        <v/>
      </c>
      <c r="LT4" s="40" t="str">
        <f t="shared" ref="LT4:LT34" si="136">IF(SUM(KX4:LA4)-LB4&gt;0,SUM(KX4:LA4)-LB4,"")</f>
        <v/>
      </c>
      <c r="LU4" s="40" t="str">
        <f t="shared" ref="LU4:LU34" si="137">IF(LE4&gt;0,LE4,"")</f>
        <v/>
      </c>
      <c r="LV4" s="40" t="str">
        <f t="shared" ref="LV4:LV34" si="138">IF(LF4&gt;0,LF4,"")</f>
        <v/>
      </c>
      <c r="LW4" s="40" t="str">
        <f t="shared" ref="LW4:LW34" si="139">IF(SUM(LC4:LF4)-LG4&gt;0,SUM(LC4:LF4)-LG4,"")</f>
        <v/>
      </c>
      <c r="LX4" s="40" t="str">
        <f t="shared" ref="LX4:LX34" si="140">IF(MAX(LT4,LW4)&gt;0,MAX(LT4,LW4),"")</f>
        <v/>
      </c>
      <c r="LY4" s="40" t="str">
        <f t="shared" ref="LY4:LY34" si="141">IF(LJ4&gt;0,LJ4,"")</f>
        <v/>
      </c>
      <c r="LZ4" s="40" t="str">
        <f t="shared" ref="LZ4:LZ34" si="142">IF(LK4&gt;0,LK4,"")</f>
        <v/>
      </c>
      <c r="MA4" s="40" t="str">
        <f t="shared" ref="MA4:MA34" si="143">IF(SUM(LH4:LK4)-LL4&gt;0,SUM(LH4:LK4)-LL4,"")</f>
        <v/>
      </c>
      <c r="MB4" s="40" t="str">
        <f t="shared" ref="MB4:MB34" si="144">IF(LO4&gt;0,LO4,"")</f>
        <v/>
      </c>
      <c r="MC4" s="40" t="str">
        <f t="shared" ref="MC4:MC34" si="145">IF(LP4&gt;0,LP4,"")</f>
        <v/>
      </c>
      <c r="MD4" s="40" t="str">
        <f t="shared" ref="MD4:MD34" si="146">IF(SUM(LM4:LP4)-LQ4&gt;0,SUM(LM4:LP4)-LQ4,"")</f>
        <v/>
      </c>
      <c r="ME4" s="40" t="str">
        <f t="shared" ref="ME4:ME34" si="147">IF(SUM(LX4,MD4)&gt;0,SUM(LX4,MD4),"")</f>
        <v/>
      </c>
      <c r="MF4" s="18"/>
      <c r="MG4" s="18"/>
      <c r="MH4" s="18"/>
      <c r="MI4" s="18"/>
      <c r="MJ4" s="18"/>
      <c r="MK4" s="18"/>
      <c r="ML4" s="18"/>
      <c r="MM4" s="18"/>
      <c r="MN4" s="18"/>
      <c r="MO4" s="18"/>
      <c r="MP4" s="18"/>
      <c r="MQ4" s="18"/>
      <c r="MR4" s="18"/>
      <c r="MS4" s="18"/>
      <c r="MT4" s="18"/>
      <c r="MU4" s="18"/>
      <c r="MV4" s="18"/>
      <c r="MW4" s="18"/>
      <c r="MX4" s="18"/>
      <c r="MY4" s="18"/>
      <c r="MZ4" s="11" t="str">
        <f t="shared" ref="MZ4:MZ34" si="148">IF(MH4&gt;0,MH4,"")</f>
        <v/>
      </c>
      <c r="NA4" s="11" t="str">
        <f t="shared" ref="NA4:NA34" si="149">IF(MI4&gt;0,MI4,"")</f>
        <v/>
      </c>
      <c r="NB4" s="11" t="str">
        <f t="shared" ref="NB4:NB34" si="150">IF(SUM(MF4:MI4)-MJ4&gt;0,SUM(MF4:MI4)-MJ4,"")</f>
        <v/>
      </c>
      <c r="NC4" s="11" t="str">
        <f t="shared" ref="NC4:NC34" si="151">IF(MM4&gt;0,MM4,"")</f>
        <v/>
      </c>
      <c r="ND4" s="11" t="str">
        <f t="shared" ref="ND4:ND34" si="152">IF(MN4&gt;0,MN4,"")</f>
        <v/>
      </c>
      <c r="NE4" s="11" t="str">
        <f t="shared" ref="NE4:NE34" si="153">IF(SUM(MK4:MN4)-MO4&gt;0,SUM(MK4:MN4)-MO4,"")</f>
        <v/>
      </c>
      <c r="NF4" s="11" t="str">
        <f t="shared" ref="NF4:NF34" si="154">IF(MAX(NB4,NE4)&gt;0,MAX(NB4,NE4),"")</f>
        <v/>
      </c>
      <c r="NG4" s="11" t="str">
        <f t="shared" ref="NG4:NG34" si="155">IF(MR4&gt;0,MR4,"")</f>
        <v/>
      </c>
      <c r="NH4" s="11" t="str">
        <f t="shared" ref="NH4:NH34" si="156">IF(MS4&gt;0,MS4,"")</f>
        <v/>
      </c>
      <c r="NI4" s="11" t="str">
        <f t="shared" ref="NI4:NI34" si="157">IF(SUM(MP4:MS4)-MT4&gt;0,SUM(MP4:MS4)-MT4,"")</f>
        <v/>
      </c>
      <c r="NJ4" s="11" t="str">
        <f t="shared" ref="NJ4:NJ34" si="158">IF(MW4&gt;0,MW4,"")</f>
        <v/>
      </c>
      <c r="NK4" s="11" t="str">
        <f t="shared" ref="NK4:NK34" si="159">IF(MX4&gt;0,MX4,"")</f>
        <v/>
      </c>
      <c r="NL4" s="11" t="str">
        <f t="shared" ref="NL4:NL34" si="160">IF(SUM(MU4:MX4)-MY4&gt;0,SUM(MU4:MX4)-MY4,"")</f>
        <v/>
      </c>
      <c r="NM4" s="11" t="str">
        <f t="shared" ref="NM4:NM34" si="161">IF(SUM(NF4,NL4)&gt;0,SUM(NF4,NL4),"")</f>
        <v/>
      </c>
      <c r="NN4" s="17"/>
      <c r="NO4" s="17"/>
      <c r="NP4" s="17"/>
      <c r="NQ4" s="17"/>
      <c r="NR4" s="17"/>
      <c r="NS4" s="17"/>
      <c r="NT4" s="17"/>
      <c r="NU4" s="17"/>
      <c r="NV4" s="17"/>
      <c r="NW4" s="17"/>
      <c r="NX4" s="17"/>
      <c r="NY4" s="17"/>
      <c r="NZ4" s="17"/>
      <c r="OA4" s="17"/>
      <c r="OB4" s="17"/>
      <c r="OC4" s="17"/>
      <c r="OD4" s="17"/>
      <c r="OE4" s="17"/>
      <c r="OF4" s="17"/>
      <c r="OG4" s="17"/>
      <c r="OH4" s="40" t="str">
        <f t="shared" ref="OH4:OH34" si="162">IF(NP4&gt;0,NP4,"")</f>
        <v/>
      </c>
      <c r="OI4" s="40" t="str">
        <f t="shared" ref="OI4:OI34" si="163">IF(NQ4&gt;0,NQ4,"")</f>
        <v/>
      </c>
      <c r="OJ4" s="40" t="str">
        <f t="shared" ref="OJ4:OJ34" si="164">IF(SUM(NN4:NQ4)-NR4&gt;0,SUM(NN4:NQ4)-NR4,"")</f>
        <v/>
      </c>
      <c r="OK4" s="40" t="str">
        <f t="shared" ref="OK4:OK34" si="165">IF(NU4&gt;0,NU4,"")</f>
        <v/>
      </c>
      <c r="OL4" s="40" t="str">
        <f t="shared" ref="OL4:OL34" si="166">IF(NV4&gt;0,NV4,"")</f>
        <v/>
      </c>
      <c r="OM4" s="40" t="str">
        <f t="shared" ref="OM4:OM34" si="167">IF(SUM(NS4:NV4)-NW4&gt;0,SUM(NS4:NV4)-NW4,"")</f>
        <v/>
      </c>
      <c r="ON4" s="40" t="str">
        <f t="shared" ref="ON4:ON34" si="168">IF(MAX(OJ4,OM4)&gt;0,MAX(OJ4,OM4),"")</f>
        <v/>
      </c>
      <c r="OO4" s="40" t="str">
        <f t="shared" ref="OO4:OO34" si="169">IF(NZ4&gt;0,NZ4,"")</f>
        <v/>
      </c>
      <c r="OP4" s="40" t="str">
        <f t="shared" ref="OP4:OP34" si="170">IF(OA4&gt;0,OA4,"")</f>
        <v/>
      </c>
      <c r="OQ4" s="40" t="str">
        <f t="shared" ref="OQ4:OQ34" si="171">IF(SUM(NX4:OA4)-OB4&gt;0,SUM(NX4:OA4)-OB4,"")</f>
        <v/>
      </c>
      <c r="OR4" s="40" t="str">
        <f t="shared" ref="OR4:OR34" si="172">IF(OE4&gt;0,OE4,"")</f>
        <v/>
      </c>
      <c r="OS4" s="40" t="str">
        <f t="shared" ref="OS4:OS34" si="173">IF(OF4&gt;0,OF4,"")</f>
        <v/>
      </c>
      <c r="OT4" s="40" t="str">
        <f t="shared" ref="OT4:OT34" si="174">IF(SUM(OC4:OF4)-OG4&gt;0,SUM(OC4:OF4)-OG4,"")</f>
        <v/>
      </c>
      <c r="OU4" s="40" t="str">
        <f t="shared" ref="OU4:OU34" si="175">IF(SUM(ON4,OT4)&gt;0,SUM(ON4,OT4),"")</f>
        <v/>
      </c>
      <c r="OV4" s="18"/>
      <c r="OW4" s="18"/>
      <c r="OX4" s="18"/>
      <c r="OY4" s="18"/>
      <c r="OZ4" s="18"/>
      <c r="PA4" s="18"/>
      <c r="PB4" s="18"/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1" t="str">
        <f t="shared" ref="PP4:PP34" si="176">IF(OX4&gt;0,OX4,"")</f>
        <v/>
      </c>
      <c r="PQ4" s="11" t="str">
        <f t="shared" ref="PQ4:PQ34" si="177">IF(OY4&gt;0,OY4,"")</f>
        <v/>
      </c>
      <c r="PR4" s="11" t="str">
        <f t="shared" ref="PR4:PR34" si="178">IF(SUM(OV4:OY4)-OZ4&gt;0,SUM(OV4:OY4)-OZ4,"")</f>
        <v/>
      </c>
      <c r="PS4" s="11" t="str">
        <f t="shared" ref="PS4:PS34" si="179">IF(PC4&gt;0,PC4,"")</f>
        <v/>
      </c>
      <c r="PT4" s="11" t="str">
        <f t="shared" ref="PT4:PT34" si="180">IF(PD4&gt;0,PD4,"")</f>
        <v/>
      </c>
      <c r="PU4" s="11" t="str">
        <f t="shared" ref="PU4:PU34" si="181">IF(SUM(PA4:PD4)-PE4&gt;0,SUM(PA4:PD4)-PE4,"")</f>
        <v/>
      </c>
      <c r="PV4" s="11" t="str">
        <f t="shared" ref="PV4:PV34" si="182">IF(MAX(PR4,PU4)&gt;0,MAX(PR4,PU4),"")</f>
        <v/>
      </c>
      <c r="PW4" s="11" t="str">
        <f t="shared" ref="PW4:PW34" si="183">IF(PH4&gt;0,PH4,"")</f>
        <v/>
      </c>
      <c r="PX4" s="11" t="str">
        <f t="shared" ref="PX4:PX34" si="184">IF(PI4&gt;0,PI4,"")</f>
        <v/>
      </c>
      <c r="PY4" s="11" t="str">
        <f t="shared" ref="PY4:PY34" si="185">IF(SUM(PF4:PI4)-PJ4&gt;0,SUM(PF4:PI4)-PJ4,"")</f>
        <v/>
      </c>
      <c r="PZ4" s="11" t="str">
        <f t="shared" ref="PZ4:PZ34" si="186">IF(PM4&gt;0,PM4,"")</f>
        <v/>
      </c>
      <c r="QA4" s="11" t="str">
        <f t="shared" ref="QA4:QA34" si="187">IF(PN4&gt;0,PN4,"")</f>
        <v/>
      </c>
      <c r="QB4" s="11" t="str">
        <f t="shared" ref="QB4:QB34" si="188">IF(SUM(PK4:PN4)-PO4&gt;0,SUM(PK4:PN4)-PO4,"")</f>
        <v/>
      </c>
      <c r="QC4" s="11" t="str">
        <f t="shared" ref="QC4:QC34" si="189">IF(SUM(PV4,QB4)&gt;0,SUM(PV4,QB4),"")</f>
        <v/>
      </c>
      <c r="QD4" s="17"/>
      <c r="QE4" s="17"/>
      <c r="QF4" s="17"/>
      <c r="QG4" s="17"/>
      <c r="QH4" s="17"/>
      <c r="QI4" s="17"/>
      <c r="QJ4" s="17"/>
      <c r="QK4" s="17"/>
      <c r="QL4" s="17"/>
      <c r="QM4" s="17"/>
      <c r="QN4" s="17"/>
      <c r="QO4" s="17"/>
      <c r="QP4" s="17"/>
      <c r="QQ4" s="17"/>
      <c r="QR4" s="17"/>
      <c r="QS4" s="17"/>
      <c r="QT4" s="17"/>
      <c r="QU4" s="17"/>
      <c r="QV4" s="17"/>
      <c r="QW4" s="17"/>
      <c r="QX4" s="40" t="str">
        <f t="shared" ref="QX4:QX34" si="190">IF(QF4&gt;0,QF4,"")</f>
        <v/>
      </c>
      <c r="QY4" s="40" t="str">
        <f t="shared" ref="QY4:QY34" si="191">IF(QG4&gt;0,QG4,"")</f>
        <v/>
      </c>
      <c r="QZ4" s="40" t="str">
        <f t="shared" ref="QZ4:QZ34" si="192">IF(SUM(QD4:QG4)-QH4&gt;0,SUM(QD4:QG4)-QH4,"")</f>
        <v/>
      </c>
      <c r="RA4" s="40" t="str">
        <f t="shared" ref="RA4:RA34" si="193">IF(QK4&gt;0,QK4,"")</f>
        <v/>
      </c>
      <c r="RB4" s="40" t="str">
        <f t="shared" ref="RB4:RB34" si="194">IF(QL4&gt;0,QL4,"")</f>
        <v/>
      </c>
      <c r="RC4" s="40" t="str">
        <f t="shared" ref="RC4:RC34" si="195">IF(SUM(QI4:QL4)-QM4&gt;0,SUM(QI4:QL4)-QM4,"")</f>
        <v/>
      </c>
      <c r="RD4" s="40" t="str">
        <f t="shared" ref="RD4:RD34" si="196">IF(MAX(QZ4,RC4)&gt;0,MAX(QZ4,RC4),"")</f>
        <v/>
      </c>
      <c r="RE4" s="40" t="str">
        <f t="shared" ref="RE4:RE34" si="197">IF(QP4&gt;0,QP4,"")</f>
        <v/>
      </c>
      <c r="RF4" s="40" t="str">
        <f t="shared" ref="RF4:RF34" si="198">IF(QQ4&gt;0,QQ4,"")</f>
        <v/>
      </c>
      <c r="RG4" s="40" t="str">
        <f t="shared" ref="RG4:RG34" si="199">IF(SUM(QN4:QQ4)-QR4&gt;0,SUM(QN4:QQ4)-QR4,"")</f>
        <v/>
      </c>
      <c r="RH4" s="40" t="str">
        <f t="shared" ref="RH4:RH34" si="200">IF(QU4&gt;0,QU4,"")</f>
        <v/>
      </c>
      <c r="RI4" s="40" t="str">
        <f t="shared" ref="RI4:RI34" si="201">IF(QV4&gt;0,QV4,"")</f>
        <v/>
      </c>
      <c r="RJ4" s="40" t="str">
        <f t="shared" ref="RJ4:RJ34" si="202">IF(SUM(QS4:QV4)-QW4&gt;0,SUM(QS4:QV4)-QW4,"")</f>
        <v/>
      </c>
      <c r="RK4" s="40" t="str">
        <f t="shared" ref="RK4:RK34" si="203">IF(SUM(RD4,RJ4)&gt;0,SUM(RD4,RJ4),"")</f>
        <v/>
      </c>
      <c r="RL4" s="18"/>
      <c r="RM4" s="18"/>
      <c r="RN4" s="18"/>
      <c r="RO4" s="18"/>
      <c r="RP4" s="18"/>
      <c r="RQ4" s="18"/>
      <c r="RR4" s="18"/>
      <c r="RS4" s="18"/>
      <c r="RT4" s="18"/>
      <c r="RU4" s="18"/>
      <c r="RV4" s="18"/>
      <c r="RW4" s="18"/>
      <c r="RX4" s="18"/>
      <c r="RY4" s="18"/>
      <c r="RZ4" s="18"/>
      <c r="SA4" s="18"/>
      <c r="SB4" s="18"/>
      <c r="SC4" s="18"/>
      <c r="SD4" s="18"/>
      <c r="SE4" s="18"/>
      <c r="SF4" s="11" t="str">
        <f t="shared" ref="SF4:SF34" si="204">IF(RN4&gt;0,RN4,"")</f>
        <v/>
      </c>
      <c r="SG4" s="11" t="str">
        <f t="shared" ref="SG4:SG34" si="205">IF(RO4&gt;0,RO4,"")</f>
        <v/>
      </c>
      <c r="SH4" s="11" t="str">
        <f t="shared" ref="SH4:SH34" si="206">IF(SUM(RL4:RO4)-RP4&gt;0,SUM(RL4:RO4)-RP4,"")</f>
        <v/>
      </c>
      <c r="SI4" s="11" t="str">
        <f t="shared" ref="SI4:SI34" si="207">IF(RS4&gt;0,RS4,"")</f>
        <v/>
      </c>
      <c r="SJ4" s="11" t="str">
        <f t="shared" ref="SJ4:SJ34" si="208">IF(RT4&gt;0,RT4,"")</f>
        <v/>
      </c>
      <c r="SK4" s="11" t="str">
        <f t="shared" ref="SK4:SK34" si="209">IF(SUM(RQ4:RT4)-RU4&gt;0,SUM(RQ4:RT4)-RU4,"")</f>
        <v/>
      </c>
      <c r="SL4" s="11" t="str">
        <f t="shared" ref="SL4:SL34" si="210">IF(MAX(SH4,SK4)&gt;0,MAX(SH4,SK4),"")</f>
        <v/>
      </c>
      <c r="SM4" s="11" t="str">
        <f t="shared" ref="SM4:SM34" si="211">IF(RX4&gt;0,RX4,"")</f>
        <v/>
      </c>
      <c r="SN4" s="11" t="str">
        <f t="shared" ref="SN4:SN34" si="212">IF(RY4&gt;0,RY4,"")</f>
        <v/>
      </c>
      <c r="SO4" s="11" t="str">
        <f t="shared" ref="SO4:SO34" si="213">IF(SUM(RV4:RY4)-RZ4&gt;0,SUM(RV4:RY4)-RZ4,"")</f>
        <v/>
      </c>
      <c r="SP4" s="11" t="str">
        <f t="shared" ref="SP4:SP34" si="214">IF(SC4&gt;0,SC4,"")</f>
        <v/>
      </c>
      <c r="SQ4" s="11" t="str">
        <f t="shared" ref="SQ4:SQ34" si="215">IF(SD4&gt;0,SD4,"")</f>
        <v/>
      </c>
      <c r="SR4" s="11" t="str">
        <f t="shared" ref="SR4:SR34" si="216">IF(SUM(SA4:SD4)-SE4&gt;0,SUM(SA4:SD4)-SE4,"")</f>
        <v/>
      </c>
      <c r="SS4" s="11" t="str">
        <f t="shared" ref="SS4:SS34" si="217">IF(SUM(SL4,SR4)&gt;0,SUM(SL4,SR4),"")</f>
        <v/>
      </c>
      <c r="ST4" s="22">
        <f t="shared" ref="ST4:ST34" si="218">IF($CN4="P",BY4,(BY4+AX4)/2)</f>
        <v>14.309999999999999</v>
      </c>
      <c r="SU4" s="22">
        <f t="shared" ref="SU4:SU34" si="219">IF($CN4="P",BZ4,(BZ4+AY4)/2)</f>
        <v>9</v>
      </c>
      <c r="SV4" s="22">
        <f t="shared" ref="SV4:SV34" si="220">IF($CN4="P",CA4,(CA4+AZ4)/2)</f>
        <v>15.3</v>
      </c>
      <c r="SW4" s="22">
        <f t="shared" ref="SW4:SW34" si="221">IF($CN4="P",CB4,(CB4+BA4)/2)</f>
        <v>15.870000000000001</v>
      </c>
      <c r="SX4" s="22">
        <f t="shared" ref="SX4:SX34" si="222">IF($CN4="P",CC4,(CC4+BB4)/2)</f>
        <v>0.1</v>
      </c>
      <c r="SY4" s="22">
        <f t="shared" ref="SY4:SY34" si="223">IF($CN4="P",CD4,(CD4+BC4)/2)</f>
        <v>10.75</v>
      </c>
      <c r="SZ4" s="22">
        <f t="shared" ref="SZ4:SZ34" si="224">IF($CN4="P",CE4,(CE4+BD4)/2)</f>
        <v>6.9</v>
      </c>
      <c r="TA4" s="22">
        <f t="shared" ref="TA4:TA34" si="225">IF($CN4="P",CF4,(CF4+BE4)/2)</f>
        <v>12.2</v>
      </c>
      <c r="TB4" s="22">
        <f t="shared" ref="TB4:TB34" si="226">IF($CN4="P",CG4,(CG4+BF4)/2)</f>
        <v>12.125</v>
      </c>
      <c r="TC4" s="22">
        <f t="shared" ref="TC4:TC34" si="227">IF($CN4="P",CH4,(CH4+BG4)/2)</f>
        <v>0</v>
      </c>
      <c r="TD4" s="22">
        <f t="shared" ref="TD4:TD34" si="228">IF($CN4="P",CI4,(CI4+BH4)/2)</f>
        <v>14.35</v>
      </c>
      <c r="TE4" s="22">
        <f t="shared" ref="TE4:TE34" si="229">IF($CN4="P",CJ4,(CJ4+BI4)/2)</f>
        <v>8.9</v>
      </c>
      <c r="TF4" s="22">
        <f t="shared" ref="TF4:TF34" si="230">IF($CN4="P",CK4,(CK4+BJ4)/2)</f>
        <v>15.3</v>
      </c>
      <c r="TG4" s="22">
        <f t="shared" ref="TG4:TG34" si="231">IF($CN4="P",CL4,(CL4+BK4)/2)</f>
        <v>16.045000000000002</v>
      </c>
      <c r="TH4" s="22">
        <f t="shared" ref="TH4:TH34" si="232">IF($CN4="P",CM4,(CM4+BL4)/2)</f>
        <v>0</v>
      </c>
      <c r="TI4" s="27" t="s">
        <v>46</v>
      </c>
      <c r="TJ4" s="40">
        <f t="shared" ref="TJ4:TJ34" si="233">IF(SV4&gt;0,SV4,"")</f>
        <v>15.3</v>
      </c>
      <c r="TK4" s="40">
        <f t="shared" ref="TK4:TK34" si="234">IF(SW4&gt;0,SW4,"")</f>
        <v>15.870000000000001</v>
      </c>
      <c r="TL4" s="40">
        <f t="shared" ref="TL4:TL34" si="235">IF(SUM(ST4:SW4)-SX4&gt;0,SUM(ST4:SW4)-SX4,"")</f>
        <v>54.38</v>
      </c>
      <c r="TM4" s="40">
        <f t="shared" ref="TM4:TM34" si="236">IF(TA4&gt;0,TA4,"")</f>
        <v>12.2</v>
      </c>
      <c r="TN4" s="40">
        <f t="shared" ref="TN4:TN34" si="237">IF(TB4&gt;0,TB4,"")</f>
        <v>12.125</v>
      </c>
      <c r="TO4" s="40">
        <f t="shared" ref="TO4:TO34" si="238">IF(SUM(SY4:TB4)-TC4&gt;0,SUM(SY4:TB4)-TC4,"")</f>
        <v>41.974999999999994</v>
      </c>
      <c r="TP4" s="40">
        <f t="shared" ref="TP4:TP34" si="239">IF(MAX(TL4,TO4)&gt;0,MAX(TL4,TO4),"")</f>
        <v>54.38</v>
      </c>
      <c r="TQ4" s="40">
        <f t="shared" ref="TQ4:TQ34" si="240">IF(TF4&gt;0,TF4,"")</f>
        <v>15.3</v>
      </c>
      <c r="TR4" s="40">
        <f t="shared" ref="TR4:TR34" si="241">IF(TG4&gt;0,TG4,"")</f>
        <v>16.045000000000002</v>
      </c>
      <c r="TS4" s="40">
        <f t="shared" ref="TS4:TS34" si="242">IF(SUM(TD4:TG4)-TH4&gt;0,SUM(TD4:TG4)-TH4,"")</f>
        <v>54.594999999999999</v>
      </c>
      <c r="TT4" s="40">
        <f t="shared" ref="TT4:TT34" si="243">IF(SUM(TP4,TS4)&gt;0,SUM(TP4,TS4),"")</f>
        <v>108.97499999999999</v>
      </c>
    </row>
    <row r="5" spans="1:540" x14ac:dyDescent="0.2">
      <c r="A5" s="4" cm="1">
        <f t="array" ref="A5">IF(AND(F5&lt;&gt;"",G5&lt;&gt;""),SUMPRODUCT((F$4:F$35&lt;&gt;"")*(G$4:G$35&lt;&gt;"")*(E$4:E$35&gt;E5))+1,IF(G5&lt;&gt;"",SUMPRODUCT((H$4:H$35="No DD")*(E$4:E$35&gt;E5))+1+SUMPRODUCT((F$4:F$35&lt;&gt;"")*(G$4:G$35&lt;&gt;"")),""))</f>
        <v>2</v>
      </c>
      <c r="B5" s="5" t="s">
        <v>121</v>
      </c>
      <c r="C5" s="4" t="s">
        <v>120</v>
      </c>
      <c r="D5" s="4">
        <v>2004</v>
      </c>
      <c r="E5" s="9">
        <f t="shared" si="0"/>
        <v>190.92001909200548</v>
      </c>
      <c r="F5" s="3" t="str">
        <f t="shared" si="1"/>
        <v>P</v>
      </c>
      <c r="G5" s="3" t="str">
        <f t="shared" si="2"/>
        <v>P</v>
      </c>
      <c r="H5" s="36" t="str">
        <f t="shared" si="3"/>
        <v>National Team</v>
      </c>
      <c r="I5" s="3" t="str">
        <f t="shared" si="4"/>
        <v/>
      </c>
      <c r="J5" s="8">
        <f>IF(COUNT(AO5,AR5,BP5,BS5,CQ5,CT5)&gt;0,LARGE((AO5,AR5,BP5,BS5,CQ5,CT5),1),0)</f>
        <v>54.769999999999996</v>
      </c>
      <c r="K5" s="8" t="str">
        <f t="shared" si="5"/>
        <v>2023 Elite Canada</v>
      </c>
      <c r="L5" s="8">
        <f>IF(COUNT(AO5,AR5,BP5,BS5,CQ5,CT5)&gt;1,LARGE((AO5,AR5,BP5,BS5,CQ5,CT5),2),0)</f>
        <v>52.91</v>
      </c>
      <c r="M5" s="8" t="str">
        <f t="shared" si="6"/>
        <v>2022 Nationals</v>
      </c>
      <c r="N5" s="8">
        <f>IF(COUNT(AO5,AR5,BP5,BS5,CQ5,CT5)&gt;2,MAX(AV5,BW5,CX5,LARGE((AO5,AR5,BP5,BS5,CQ5,CT5),3)),IF(MAX(AV5,BW5,CX5)&gt;0,MAX(AV5,BW5,CX5),0))</f>
        <v>53.67</v>
      </c>
      <c r="O5" s="8" t="str">
        <f t="shared" si="7"/>
        <v>2022 Nationals</v>
      </c>
      <c r="P5" s="8">
        <f t="shared" si="8"/>
        <v>13.6</v>
      </c>
      <c r="Q5" s="8" t="str">
        <f t="shared" si="9"/>
        <v>2022 Nationals</v>
      </c>
      <c r="R5" s="8">
        <f t="shared" si="10"/>
        <v>15.97</v>
      </c>
      <c r="S5" s="8" t="str">
        <f t="shared" si="11"/>
        <v>2023 Elite Canada</v>
      </c>
      <c r="T5" s="8" t="str">
        <f t="shared" si="12"/>
        <v/>
      </c>
      <c r="U5" s="11" t="str">
        <f t="shared" si="13"/>
        <v/>
      </c>
      <c r="V5" s="8" t="str">
        <f t="shared" si="14"/>
        <v/>
      </c>
      <c r="W5" s="22">
        <v>14.5</v>
      </c>
      <c r="X5" s="22">
        <v>9.1999999999999993</v>
      </c>
      <c r="Y5" s="22">
        <v>13.6</v>
      </c>
      <c r="Z5" s="22">
        <v>15.61</v>
      </c>
      <c r="AA5" s="22">
        <v>0</v>
      </c>
      <c r="AB5" s="22">
        <v>11.8</v>
      </c>
      <c r="AC5" s="22">
        <v>8.9</v>
      </c>
      <c r="AD5" s="22">
        <v>12.3</v>
      </c>
      <c r="AE5" s="22">
        <v>16.18</v>
      </c>
      <c r="AF5" s="22">
        <v>1.2</v>
      </c>
      <c r="AG5" s="22">
        <v>15</v>
      </c>
      <c r="AH5" s="22">
        <v>9.5</v>
      </c>
      <c r="AI5" s="22">
        <v>13.6</v>
      </c>
      <c r="AJ5" s="22">
        <v>15.97</v>
      </c>
      <c r="AK5" s="22">
        <v>0.4</v>
      </c>
      <c r="AL5" s="27"/>
      <c r="AM5" s="38">
        <f t="shared" si="15"/>
        <v>13.6</v>
      </c>
      <c r="AN5" s="38">
        <f t="shared" si="16"/>
        <v>15.61</v>
      </c>
      <c r="AO5" s="40">
        <f t="shared" si="17"/>
        <v>52.91</v>
      </c>
      <c r="AP5" s="40">
        <f t="shared" si="18"/>
        <v>12.3</v>
      </c>
      <c r="AQ5" s="40">
        <f t="shared" si="19"/>
        <v>16.18</v>
      </c>
      <c r="AR5" s="40">
        <f t="shared" si="20"/>
        <v>47.98</v>
      </c>
      <c r="AS5" s="40">
        <f t="shared" si="21"/>
        <v>52.91</v>
      </c>
      <c r="AT5" s="40">
        <f t="shared" si="22"/>
        <v>13.6</v>
      </c>
      <c r="AU5" s="40">
        <f t="shared" si="23"/>
        <v>15.97</v>
      </c>
      <c r="AV5" s="40">
        <f t="shared" si="24"/>
        <v>53.67</v>
      </c>
      <c r="AW5" s="40">
        <f t="shared" si="25"/>
        <v>106.58</v>
      </c>
      <c r="AX5" s="26">
        <v>1.5</v>
      </c>
      <c r="AY5" s="26">
        <v>1</v>
      </c>
      <c r="AZ5" s="26">
        <v>2</v>
      </c>
      <c r="BA5" s="26">
        <v>1.81</v>
      </c>
      <c r="BB5" s="26">
        <v>0</v>
      </c>
      <c r="BC5" s="26">
        <v>5.8</v>
      </c>
      <c r="BD5" s="26">
        <v>3.8</v>
      </c>
      <c r="BE5" s="26">
        <v>5.5</v>
      </c>
      <c r="BF5" s="26">
        <v>7.01</v>
      </c>
      <c r="BG5" s="26">
        <v>0</v>
      </c>
      <c r="BH5" s="26">
        <v>0</v>
      </c>
      <c r="BI5" s="26">
        <v>0</v>
      </c>
      <c r="BJ5" s="26">
        <v>0</v>
      </c>
      <c r="BK5" s="26">
        <v>0</v>
      </c>
      <c r="BL5" s="26">
        <v>0</v>
      </c>
      <c r="BM5" s="28"/>
      <c r="BN5" s="39">
        <f t="shared" si="26"/>
        <v>2</v>
      </c>
      <c r="BO5" s="39">
        <f t="shared" si="27"/>
        <v>1.81</v>
      </c>
      <c r="BP5" s="11">
        <f t="shared" si="28"/>
        <v>6.3100000000000005</v>
      </c>
      <c r="BQ5" s="11">
        <f t="shared" si="29"/>
        <v>5.5</v>
      </c>
      <c r="BR5" s="11">
        <f t="shared" si="30"/>
        <v>7.01</v>
      </c>
      <c r="BS5" s="11">
        <f t="shared" si="31"/>
        <v>22.11</v>
      </c>
      <c r="BT5" s="11">
        <f t="shared" si="32"/>
        <v>22.11</v>
      </c>
      <c r="BU5" s="11" t="str">
        <f t="shared" si="33"/>
        <v/>
      </c>
      <c r="BV5" s="11" t="str">
        <f t="shared" si="34"/>
        <v/>
      </c>
      <c r="BW5" s="11" t="str">
        <f t="shared" si="35"/>
        <v/>
      </c>
      <c r="BX5" s="11">
        <f t="shared" si="36"/>
        <v>22.11</v>
      </c>
      <c r="BY5" s="22">
        <v>12.2</v>
      </c>
      <c r="BZ5" s="22">
        <v>8.1999999999999993</v>
      </c>
      <c r="CA5" s="22">
        <v>10.7</v>
      </c>
      <c r="CB5" s="22">
        <v>12.55</v>
      </c>
      <c r="CC5" s="22">
        <v>0</v>
      </c>
      <c r="CD5" s="22">
        <v>16</v>
      </c>
      <c r="CE5" s="22">
        <v>9.5</v>
      </c>
      <c r="CF5" s="22">
        <v>13.4</v>
      </c>
      <c r="CG5" s="22">
        <v>15.97</v>
      </c>
      <c r="CH5" s="22">
        <v>0.1</v>
      </c>
      <c r="CI5" s="22">
        <v>14.7</v>
      </c>
      <c r="CJ5" s="22">
        <v>8.9</v>
      </c>
      <c r="CK5" s="22">
        <v>13.4</v>
      </c>
      <c r="CL5" s="22">
        <v>15.87</v>
      </c>
      <c r="CM5" s="22">
        <v>0.1</v>
      </c>
      <c r="CN5" s="27"/>
      <c r="CO5" s="38">
        <f t="shared" si="37"/>
        <v>10.7</v>
      </c>
      <c r="CP5" s="38">
        <f t="shared" si="38"/>
        <v>12.55</v>
      </c>
      <c r="CQ5" s="40">
        <f t="shared" si="39"/>
        <v>43.65</v>
      </c>
      <c r="CR5" s="40">
        <f t="shared" si="40"/>
        <v>13.4</v>
      </c>
      <c r="CS5" s="40">
        <f t="shared" si="41"/>
        <v>15.97</v>
      </c>
      <c r="CT5" s="40">
        <f t="shared" si="42"/>
        <v>54.769999999999996</v>
      </c>
      <c r="CU5" s="40">
        <f t="shared" si="43"/>
        <v>54.769999999999996</v>
      </c>
      <c r="CV5" s="40">
        <f t="shared" si="44"/>
        <v>13.4</v>
      </c>
      <c r="CW5" s="40">
        <f t="shared" si="45"/>
        <v>15.87</v>
      </c>
      <c r="CX5" s="40">
        <f t="shared" si="46"/>
        <v>52.769999999999996</v>
      </c>
      <c r="CY5" s="40">
        <f t="shared" si="47"/>
        <v>107.53999999999999</v>
      </c>
      <c r="CZ5" s="50" t="str">
        <f t="shared" si="48"/>
        <v/>
      </c>
      <c r="DA5" s="50" t="str">
        <f t="shared" si="49"/>
        <v/>
      </c>
      <c r="DB5" s="17"/>
      <c r="DC5" s="17"/>
      <c r="DD5" s="17"/>
      <c r="DE5" s="17"/>
      <c r="DF5" s="17"/>
      <c r="DG5" s="17">
        <v>1.4</v>
      </c>
      <c r="DH5" s="17">
        <v>0.8</v>
      </c>
      <c r="DI5" s="17">
        <v>2</v>
      </c>
      <c r="DJ5" s="17">
        <v>1.76</v>
      </c>
      <c r="DK5" s="17">
        <v>0.4</v>
      </c>
      <c r="DL5" s="17"/>
      <c r="DM5" s="17"/>
      <c r="DN5" s="17"/>
      <c r="DO5" s="17"/>
      <c r="DP5" s="17"/>
      <c r="DQ5" s="17"/>
      <c r="DR5" s="17"/>
      <c r="DS5" s="17"/>
      <c r="DT5" s="17"/>
      <c r="DU5" s="17"/>
      <c r="DV5" s="40" t="str">
        <f t="shared" si="50"/>
        <v/>
      </c>
      <c r="DW5" s="40" t="str">
        <f t="shared" si="51"/>
        <v/>
      </c>
      <c r="DX5" s="40" t="str">
        <f t="shared" si="52"/>
        <v/>
      </c>
      <c r="DY5" s="40">
        <f t="shared" si="53"/>
        <v>2</v>
      </c>
      <c r="DZ5" s="40">
        <f t="shared" si="54"/>
        <v>1.76</v>
      </c>
      <c r="EA5" s="40">
        <f t="shared" si="55"/>
        <v>5.56</v>
      </c>
      <c r="EB5" s="40">
        <f t="shared" si="56"/>
        <v>5.56</v>
      </c>
      <c r="EC5" s="40" t="str">
        <f t="shared" si="57"/>
        <v/>
      </c>
      <c r="ED5" s="40" t="str">
        <f t="shared" si="58"/>
        <v/>
      </c>
      <c r="EE5" s="40" t="str">
        <f t="shared" si="59"/>
        <v/>
      </c>
      <c r="EF5" s="40" t="str">
        <f t="shared" si="60"/>
        <v/>
      </c>
      <c r="EG5" s="40" t="str">
        <f t="shared" si="61"/>
        <v/>
      </c>
      <c r="EH5" s="40" t="str">
        <f t="shared" si="62"/>
        <v/>
      </c>
      <c r="EI5" s="40">
        <f t="shared" si="63"/>
        <v>5.56</v>
      </c>
      <c r="EJ5" s="18"/>
      <c r="EK5" s="18"/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8"/>
      <c r="EY5" s="18"/>
      <c r="EZ5" s="18"/>
      <c r="FA5" s="18"/>
      <c r="FB5" s="18"/>
      <c r="FC5" s="18"/>
      <c r="FD5" s="11" t="str">
        <f t="shared" si="64"/>
        <v/>
      </c>
      <c r="FE5" s="11" t="str">
        <f t="shared" si="65"/>
        <v/>
      </c>
      <c r="FF5" s="11" t="str">
        <f t="shared" si="66"/>
        <v/>
      </c>
      <c r="FG5" s="11" t="str">
        <f t="shared" si="67"/>
        <v/>
      </c>
      <c r="FH5" s="11" t="str">
        <f t="shared" si="68"/>
        <v/>
      </c>
      <c r="FI5" s="11" t="str">
        <f t="shared" si="69"/>
        <v/>
      </c>
      <c r="FJ5" s="11" t="str">
        <f t="shared" si="70"/>
        <v/>
      </c>
      <c r="FK5" s="11" t="str">
        <f t="shared" si="71"/>
        <v/>
      </c>
      <c r="FL5" s="11" t="str">
        <f t="shared" si="72"/>
        <v/>
      </c>
      <c r="FM5" s="11" t="str">
        <f t="shared" si="73"/>
        <v/>
      </c>
      <c r="FN5" s="11" t="str">
        <f t="shared" si="74"/>
        <v/>
      </c>
      <c r="FO5" s="11" t="str">
        <f t="shared" si="75"/>
        <v/>
      </c>
      <c r="FP5" s="11" t="str">
        <f t="shared" si="76"/>
        <v/>
      </c>
      <c r="FQ5" s="11" t="str">
        <f t="shared" si="77"/>
        <v/>
      </c>
      <c r="FR5" s="17"/>
      <c r="FS5" s="17"/>
      <c r="FT5" s="17"/>
      <c r="FU5" s="17"/>
      <c r="FV5" s="17"/>
      <c r="FW5" s="17"/>
      <c r="FX5" s="17"/>
      <c r="FY5" s="17"/>
      <c r="FZ5" s="17"/>
      <c r="GA5" s="17"/>
      <c r="GB5" s="17"/>
      <c r="GC5" s="17"/>
      <c r="GD5" s="17"/>
      <c r="GE5" s="17"/>
      <c r="GF5" s="17"/>
      <c r="GG5" s="17"/>
      <c r="GH5" s="17"/>
      <c r="GI5" s="17"/>
      <c r="GJ5" s="17"/>
      <c r="GK5" s="17"/>
      <c r="GL5" s="40" t="str">
        <f t="shared" si="78"/>
        <v/>
      </c>
      <c r="GM5" s="40" t="str">
        <f t="shared" si="79"/>
        <v/>
      </c>
      <c r="GN5" s="40" t="str">
        <f t="shared" si="80"/>
        <v/>
      </c>
      <c r="GO5" s="40" t="str">
        <f t="shared" si="81"/>
        <v/>
      </c>
      <c r="GP5" s="40" t="str">
        <f t="shared" si="82"/>
        <v/>
      </c>
      <c r="GQ5" s="40" t="str">
        <f t="shared" si="83"/>
        <v/>
      </c>
      <c r="GR5" s="40" t="str">
        <f t="shared" si="84"/>
        <v/>
      </c>
      <c r="GS5" s="40" t="str">
        <f t="shared" si="85"/>
        <v/>
      </c>
      <c r="GT5" s="40" t="str">
        <f t="shared" si="86"/>
        <v/>
      </c>
      <c r="GU5" s="40" t="str">
        <f t="shared" si="87"/>
        <v/>
      </c>
      <c r="GV5" s="40" t="str">
        <f t="shared" si="88"/>
        <v/>
      </c>
      <c r="GW5" s="40" t="str">
        <f t="shared" si="89"/>
        <v/>
      </c>
      <c r="GX5" s="40" t="str">
        <f t="shared" si="90"/>
        <v/>
      </c>
      <c r="GY5" s="40" t="str">
        <f t="shared" si="91"/>
        <v/>
      </c>
      <c r="GZ5" s="18"/>
      <c r="HA5" s="18"/>
      <c r="HB5" s="18"/>
      <c r="HC5" s="18"/>
      <c r="HD5" s="18"/>
      <c r="HE5" s="18"/>
      <c r="HF5" s="18"/>
      <c r="HG5" s="18"/>
      <c r="HH5" s="18"/>
      <c r="HI5" s="18"/>
      <c r="HJ5" s="18"/>
      <c r="HK5" s="18"/>
      <c r="HL5" s="18"/>
      <c r="HM5" s="18"/>
      <c r="HN5" s="18"/>
      <c r="HO5" s="18"/>
      <c r="HP5" s="18"/>
      <c r="HQ5" s="18"/>
      <c r="HR5" s="18"/>
      <c r="HS5" s="18"/>
      <c r="HT5" s="11" t="str">
        <f t="shared" si="92"/>
        <v/>
      </c>
      <c r="HU5" s="11" t="str">
        <f t="shared" si="93"/>
        <v/>
      </c>
      <c r="HV5" s="11" t="str">
        <f t="shared" si="94"/>
        <v/>
      </c>
      <c r="HW5" s="11" t="str">
        <f t="shared" si="95"/>
        <v/>
      </c>
      <c r="HX5" s="11" t="str">
        <f t="shared" si="96"/>
        <v/>
      </c>
      <c r="HY5" s="11" t="str">
        <f t="shared" si="97"/>
        <v/>
      </c>
      <c r="HZ5" s="11" t="str">
        <f t="shared" si="98"/>
        <v/>
      </c>
      <c r="IA5" s="11" t="str">
        <f t="shared" si="99"/>
        <v/>
      </c>
      <c r="IB5" s="11" t="str">
        <f t="shared" si="100"/>
        <v/>
      </c>
      <c r="IC5" s="11" t="str">
        <f t="shared" si="101"/>
        <v/>
      </c>
      <c r="ID5" s="11" t="str">
        <f t="shared" si="102"/>
        <v/>
      </c>
      <c r="IE5" s="11" t="str">
        <f t="shared" si="103"/>
        <v/>
      </c>
      <c r="IF5" s="11" t="str">
        <f t="shared" si="104"/>
        <v/>
      </c>
      <c r="IG5" s="11" t="str">
        <f t="shared" si="105"/>
        <v/>
      </c>
      <c r="IH5" s="17"/>
      <c r="II5" s="17"/>
      <c r="IJ5" s="17"/>
      <c r="IK5" s="17"/>
      <c r="IL5" s="17"/>
      <c r="IM5" s="17"/>
      <c r="IN5" s="17"/>
      <c r="IO5" s="17"/>
      <c r="IP5" s="17"/>
      <c r="IQ5" s="17"/>
      <c r="IR5" s="17"/>
      <c r="IS5" s="17"/>
      <c r="IT5" s="17"/>
      <c r="IU5" s="17"/>
      <c r="IV5" s="17"/>
      <c r="IW5" s="17"/>
      <c r="IX5" s="17"/>
      <c r="IY5" s="17"/>
      <c r="IZ5" s="17"/>
      <c r="JA5" s="17"/>
      <c r="JB5" s="40" t="str">
        <f t="shared" si="106"/>
        <v/>
      </c>
      <c r="JC5" s="40" t="str">
        <f t="shared" si="107"/>
        <v/>
      </c>
      <c r="JD5" s="40" t="str">
        <f t="shared" si="108"/>
        <v/>
      </c>
      <c r="JE5" s="40" t="str">
        <f t="shared" si="109"/>
        <v/>
      </c>
      <c r="JF5" s="40" t="str">
        <f t="shared" si="110"/>
        <v/>
      </c>
      <c r="JG5" s="40" t="str">
        <f t="shared" si="111"/>
        <v/>
      </c>
      <c r="JH5" s="40" t="str">
        <f t="shared" si="112"/>
        <v/>
      </c>
      <c r="JI5" s="40" t="str">
        <f t="shared" si="113"/>
        <v/>
      </c>
      <c r="JJ5" s="40" t="str">
        <f t="shared" si="114"/>
        <v/>
      </c>
      <c r="JK5" s="40" t="str">
        <f t="shared" si="115"/>
        <v/>
      </c>
      <c r="JL5" s="40" t="str">
        <f t="shared" si="116"/>
        <v/>
      </c>
      <c r="JM5" s="40" t="str">
        <f t="shared" si="117"/>
        <v/>
      </c>
      <c r="JN5" s="40" t="str">
        <f t="shared" si="118"/>
        <v/>
      </c>
      <c r="JO5" s="40" t="str">
        <f t="shared" si="119"/>
        <v/>
      </c>
      <c r="JP5" s="18"/>
      <c r="JQ5" s="18"/>
      <c r="JR5" s="18"/>
      <c r="JS5" s="18"/>
      <c r="JT5" s="18"/>
      <c r="JU5" s="18"/>
      <c r="JV5" s="18"/>
      <c r="JW5" s="18"/>
      <c r="JX5" s="18"/>
      <c r="JY5" s="18"/>
      <c r="JZ5" s="18"/>
      <c r="KA5" s="18"/>
      <c r="KB5" s="18"/>
      <c r="KC5" s="18"/>
      <c r="KD5" s="18"/>
      <c r="KE5" s="18"/>
      <c r="KF5" s="18"/>
      <c r="KG5" s="18"/>
      <c r="KH5" s="18"/>
      <c r="KI5" s="18"/>
      <c r="KJ5" s="11" t="str">
        <f t="shared" si="120"/>
        <v/>
      </c>
      <c r="KK5" s="11" t="str">
        <f t="shared" si="121"/>
        <v/>
      </c>
      <c r="KL5" s="11" t="str">
        <f t="shared" si="122"/>
        <v/>
      </c>
      <c r="KM5" s="11" t="str">
        <f t="shared" si="123"/>
        <v/>
      </c>
      <c r="KN5" s="11" t="str">
        <f t="shared" si="124"/>
        <v/>
      </c>
      <c r="KO5" s="11" t="str">
        <f t="shared" si="125"/>
        <v/>
      </c>
      <c r="KP5" s="11" t="str">
        <f t="shared" si="126"/>
        <v/>
      </c>
      <c r="KQ5" s="11" t="str">
        <f t="shared" si="127"/>
        <v/>
      </c>
      <c r="KR5" s="11" t="str">
        <f t="shared" si="128"/>
        <v/>
      </c>
      <c r="KS5" s="11" t="str">
        <f t="shared" si="129"/>
        <v/>
      </c>
      <c r="KT5" s="11" t="str">
        <f t="shared" si="130"/>
        <v/>
      </c>
      <c r="KU5" s="11" t="str">
        <f t="shared" si="131"/>
        <v/>
      </c>
      <c r="KV5" s="11" t="str">
        <f t="shared" si="132"/>
        <v/>
      </c>
      <c r="KW5" s="11" t="str">
        <f t="shared" si="133"/>
        <v/>
      </c>
      <c r="KX5" s="17"/>
      <c r="KY5" s="17"/>
      <c r="KZ5" s="17"/>
      <c r="LA5" s="17"/>
      <c r="LB5" s="17"/>
      <c r="LC5" s="17"/>
      <c r="LD5" s="17"/>
      <c r="LE5" s="17"/>
      <c r="LF5" s="17"/>
      <c r="LG5" s="17"/>
      <c r="LH5" s="17"/>
      <c r="LI5" s="17"/>
      <c r="LJ5" s="17"/>
      <c r="LK5" s="17"/>
      <c r="LL5" s="17"/>
      <c r="LM5" s="17"/>
      <c r="LN5" s="17"/>
      <c r="LO5" s="17"/>
      <c r="LP5" s="17"/>
      <c r="LQ5" s="17"/>
      <c r="LR5" s="40" t="str">
        <f t="shared" si="134"/>
        <v/>
      </c>
      <c r="LS5" s="40" t="str">
        <f t="shared" si="135"/>
        <v/>
      </c>
      <c r="LT5" s="40" t="str">
        <f t="shared" si="136"/>
        <v/>
      </c>
      <c r="LU5" s="40" t="str">
        <f t="shared" si="137"/>
        <v/>
      </c>
      <c r="LV5" s="40" t="str">
        <f t="shared" si="138"/>
        <v/>
      </c>
      <c r="LW5" s="40" t="str">
        <f t="shared" si="139"/>
        <v/>
      </c>
      <c r="LX5" s="40" t="str">
        <f t="shared" si="140"/>
        <v/>
      </c>
      <c r="LY5" s="40" t="str">
        <f t="shared" si="141"/>
        <v/>
      </c>
      <c r="LZ5" s="40" t="str">
        <f t="shared" si="142"/>
        <v/>
      </c>
      <c r="MA5" s="40" t="str">
        <f t="shared" si="143"/>
        <v/>
      </c>
      <c r="MB5" s="40" t="str">
        <f t="shared" si="144"/>
        <v/>
      </c>
      <c r="MC5" s="40" t="str">
        <f t="shared" si="145"/>
        <v/>
      </c>
      <c r="MD5" s="40" t="str">
        <f t="shared" si="146"/>
        <v/>
      </c>
      <c r="ME5" s="40" t="str">
        <f t="shared" si="147"/>
        <v/>
      </c>
      <c r="MF5" s="18"/>
      <c r="MG5" s="18"/>
      <c r="MH5" s="18"/>
      <c r="MI5" s="18"/>
      <c r="MJ5" s="18"/>
      <c r="MK5" s="18"/>
      <c r="ML5" s="18"/>
      <c r="MM5" s="18"/>
      <c r="MN5" s="18"/>
      <c r="MO5" s="18"/>
      <c r="MP5" s="18"/>
      <c r="MQ5" s="18"/>
      <c r="MR5" s="18"/>
      <c r="MS5" s="18"/>
      <c r="MT5" s="18"/>
      <c r="MU5" s="18"/>
      <c r="MV5" s="18"/>
      <c r="MW5" s="18"/>
      <c r="MX5" s="18"/>
      <c r="MY5" s="18"/>
      <c r="MZ5" s="11" t="str">
        <f t="shared" si="148"/>
        <v/>
      </c>
      <c r="NA5" s="11" t="str">
        <f t="shared" si="149"/>
        <v/>
      </c>
      <c r="NB5" s="11" t="str">
        <f t="shared" si="150"/>
        <v/>
      </c>
      <c r="NC5" s="11" t="str">
        <f t="shared" si="151"/>
        <v/>
      </c>
      <c r="ND5" s="11" t="str">
        <f t="shared" si="152"/>
        <v/>
      </c>
      <c r="NE5" s="11" t="str">
        <f t="shared" si="153"/>
        <v/>
      </c>
      <c r="NF5" s="11" t="str">
        <f t="shared" si="154"/>
        <v/>
      </c>
      <c r="NG5" s="11" t="str">
        <f t="shared" si="155"/>
        <v/>
      </c>
      <c r="NH5" s="11" t="str">
        <f t="shared" si="156"/>
        <v/>
      </c>
      <c r="NI5" s="11" t="str">
        <f t="shared" si="157"/>
        <v/>
      </c>
      <c r="NJ5" s="11" t="str">
        <f t="shared" si="158"/>
        <v/>
      </c>
      <c r="NK5" s="11" t="str">
        <f t="shared" si="159"/>
        <v/>
      </c>
      <c r="NL5" s="11" t="str">
        <f t="shared" si="160"/>
        <v/>
      </c>
      <c r="NM5" s="11" t="str">
        <f t="shared" si="161"/>
        <v/>
      </c>
      <c r="NN5" s="17"/>
      <c r="NO5" s="17"/>
      <c r="NP5" s="17"/>
      <c r="NQ5" s="17"/>
      <c r="NR5" s="17"/>
      <c r="NS5" s="17"/>
      <c r="NT5" s="17"/>
      <c r="NU5" s="17"/>
      <c r="NV5" s="17"/>
      <c r="NW5" s="17"/>
      <c r="NX5" s="17"/>
      <c r="NY5" s="17"/>
      <c r="NZ5" s="17"/>
      <c r="OA5" s="17"/>
      <c r="OB5" s="17"/>
      <c r="OC5" s="17"/>
      <c r="OD5" s="17"/>
      <c r="OE5" s="17"/>
      <c r="OF5" s="17"/>
      <c r="OG5" s="17"/>
      <c r="OH5" s="40" t="str">
        <f t="shared" si="162"/>
        <v/>
      </c>
      <c r="OI5" s="40" t="str">
        <f t="shared" si="163"/>
        <v/>
      </c>
      <c r="OJ5" s="40" t="str">
        <f t="shared" si="164"/>
        <v/>
      </c>
      <c r="OK5" s="40" t="str">
        <f t="shared" si="165"/>
        <v/>
      </c>
      <c r="OL5" s="40" t="str">
        <f t="shared" si="166"/>
        <v/>
      </c>
      <c r="OM5" s="40" t="str">
        <f t="shared" si="167"/>
        <v/>
      </c>
      <c r="ON5" s="40" t="str">
        <f t="shared" si="168"/>
        <v/>
      </c>
      <c r="OO5" s="40" t="str">
        <f t="shared" si="169"/>
        <v/>
      </c>
      <c r="OP5" s="40" t="str">
        <f t="shared" si="170"/>
        <v/>
      </c>
      <c r="OQ5" s="40" t="str">
        <f t="shared" si="171"/>
        <v/>
      </c>
      <c r="OR5" s="40" t="str">
        <f t="shared" si="172"/>
        <v/>
      </c>
      <c r="OS5" s="40" t="str">
        <f t="shared" si="173"/>
        <v/>
      </c>
      <c r="OT5" s="40" t="str">
        <f t="shared" si="174"/>
        <v/>
      </c>
      <c r="OU5" s="40" t="str">
        <f t="shared" si="175"/>
        <v/>
      </c>
      <c r="OV5" s="18"/>
      <c r="OW5" s="18"/>
      <c r="OX5" s="18"/>
      <c r="OY5" s="18"/>
      <c r="OZ5" s="18"/>
      <c r="PA5" s="18"/>
      <c r="PB5" s="18"/>
      <c r="PC5" s="18"/>
      <c r="PD5" s="18"/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1" t="str">
        <f t="shared" si="176"/>
        <v/>
      </c>
      <c r="PQ5" s="11" t="str">
        <f t="shared" si="177"/>
        <v/>
      </c>
      <c r="PR5" s="11" t="str">
        <f t="shared" si="178"/>
        <v/>
      </c>
      <c r="PS5" s="11" t="str">
        <f t="shared" si="179"/>
        <v/>
      </c>
      <c r="PT5" s="11" t="str">
        <f t="shared" si="180"/>
        <v/>
      </c>
      <c r="PU5" s="11" t="str">
        <f t="shared" si="181"/>
        <v/>
      </c>
      <c r="PV5" s="11" t="str">
        <f t="shared" si="182"/>
        <v/>
      </c>
      <c r="PW5" s="11" t="str">
        <f t="shared" si="183"/>
        <v/>
      </c>
      <c r="PX5" s="11" t="str">
        <f t="shared" si="184"/>
        <v/>
      </c>
      <c r="PY5" s="11" t="str">
        <f t="shared" si="185"/>
        <v/>
      </c>
      <c r="PZ5" s="11" t="str">
        <f t="shared" si="186"/>
        <v/>
      </c>
      <c r="QA5" s="11" t="str">
        <f t="shared" si="187"/>
        <v/>
      </c>
      <c r="QB5" s="11" t="str">
        <f t="shared" si="188"/>
        <v/>
      </c>
      <c r="QC5" s="11" t="str">
        <f t="shared" si="189"/>
        <v/>
      </c>
      <c r="QD5" s="17"/>
      <c r="QE5" s="17"/>
      <c r="QF5" s="17"/>
      <c r="QG5" s="17"/>
      <c r="QH5" s="17"/>
      <c r="QI5" s="17"/>
      <c r="QJ5" s="17"/>
      <c r="QK5" s="17"/>
      <c r="QL5" s="17"/>
      <c r="QM5" s="17"/>
      <c r="QN5" s="17"/>
      <c r="QO5" s="17"/>
      <c r="QP5" s="17"/>
      <c r="QQ5" s="17"/>
      <c r="QR5" s="17"/>
      <c r="QS5" s="17"/>
      <c r="QT5" s="17"/>
      <c r="QU5" s="17"/>
      <c r="QV5" s="17"/>
      <c r="QW5" s="17"/>
      <c r="QX5" s="40" t="str">
        <f t="shared" si="190"/>
        <v/>
      </c>
      <c r="QY5" s="40" t="str">
        <f t="shared" si="191"/>
        <v/>
      </c>
      <c r="QZ5" s="40" t="str">
        <f t="shared" si="192"/>
        <v/>
      </c>
      <c r="RA5" s="40" t="str">
        <f t="shared" si="193"/>
        <v/>
      </c>
      <c r="RB5" s="40" t="str">
        <f t="shared" si="194"/>
        <v/>
      </c>
      <c r="RC5" s="40" t="str">
        <f t="shared" si="195"/>
        <v/>
      </c>
      <c r="RD5" s="40" t="str">
        <f t="shared" si="196"/>
        <v/>
      </c>
      <c r="RE5" s="40" t="str">
        <f t="shared" si="197"/>
        <v/>
      </c>
      <c r="RF5" s="40" t="str">
        <f t="shared" si="198"/>
        <v/>
      </c>
      <c r="RG5" s="40" t="str">
        <f t="shared" si="199"/>
        <v/>
      </c>
      <c r="RH5" s="40" t="str">
        <f t="shared" si="200"/>
        <v/>
      </c>
      <c r="RI5" s="40" t="str">
        <f t="shared" si="201"/>
        <v/>
      </c>
      <c r="RJ5" s="40" t="str">
        <f t="shared" si="202"/>
        <v/>
      </c>
      <c r="RK5" s="40" t="str">
        <f t="shared" si="203"/>
        <v/>
      </c>
      <c r="RL5" s="18"/>
      <c r="RM5" s="18"/>
      <c r="RN5" s="18"/>
      <c r="RO5" s="18"/>
      <c r="RP5" s="18"/>
      <c r="RQ5" s="18"/>
      <c r="RR5" s="18"/>
      <c r="RS5" s="18"/>
      <c r="RT5" s="18"/>
      <c r="RU5" s="18"/>
      <c r="RV5" s="18"/>
      <c r="RW5" s="18"/>
      <c r="RX5" s="18"/>
      <c r="RY5" s="18"/>
      <c r="RZ5" s="18"/>
      <c r="SA5" s="18"/>
      <c r="SB5" s="18"/>
      <c r="SC5" s="18"/>
      <c r="SD5" s="18"/>
      <c r="SE5" s="18"/>
      <c r="SF5" s="11" t="str">
        <f t="shared" si="204"/>
        <v/>
      </c>
      <c r="SG5" s="11" t="str">
        <f t="shared" si="205"/>
        <v/>
      </c>
      <c r="SH5" s="11" t="str">
        <f t="shared" si="206"/>
        <v/>
      </c>
      <c r="SI5" s="11" t="str">
        <f t="shared" si="207"/>
        <v/>
      </c>
      <c r="SJ5" s="11" t="str">
        <f t="shared" si="208"/>
        <v/>
      </c>
      <c r="SK5" s="11" t="str">
        <f t="shared" si="209"/>
        <v/>
      </c>
      <c r="SL5" s="11" t="str">
        <f t="shared" si="210"/>
        <v/>
      </c>
      <c r="SM5" s="11" t="str">
        <f t="shared" si="211"/>
        <v/>
      </c>
      <c r="SN5" s="11" t="str">
        <f t="shared" si="212"/>
        <v/>
      </c>
      <c r="SO5" s="11" t="str">
        <f t="shared" si="213"/>
        <v/>
      </c>
      <c r="SP5" s="11" t="str">
        <f t="shared" si="214"/>
        <v/>
      </c>
      <c r="SQ5" s="11" t="str">
        <f t="shared" si="215"/>
        <v/>
      </c>
      <c r="SR5" s="11" t="str">
        <f t="shared" si="216"/>
        <v/>
      </c>
      <c r="SS5" s="11" t="str">
        <f t="shared" si="217"/>
        <v/>
      </c>
      <c r="ST5" s="22">
        <f t="shared" si="218"/>
        <v>6.85</v>
      </c>
      <c r="SU5" s="22">
        <f t="shared" si="219"/>
        <v>4.5999999999999996</v>
      </c>
      <c r="SV5" s="22">
        <f t="shared" si="220"/>
        <v>6.35</v>
      </c>
      <c r="SW5" s="22">
        <f t="shared" si="221"/>
        <v>7.1800000000000006</v>
      </c>
      <c r="SX5" s="22">
        <f t="shared" si="222"/>
        <v>0</v>
      </c>
      <c r="SY5" s="22">
        <f t="shared" si="223"/>
        <v>10.9</v>
      </c>
      <c r="SZ5" s="22">
        <f t="shared" si="224"/>
        <v>6.65</v>
      </c>
      <c r="TA5" s="22">
        <f t="shared" si="225"/>
        <v>9.4499999999999993</v>
      </c>
      <c r="TB5" s="22">
        <f t="shared" si="226"/>
        <v>11.49</v>
      </c>
      <c r="TC5" s="22">
        <f t="shared" si="227"/>
        <v>0.05</v>
      </c>
      <c r="TD5" s="22">
        <f t="shared" si="228"/>
        <v>7.35</v>
      </c>
      <c r="TE5" s="22">
        <f t="shared" si="229"/>
        <v>4.45</v>
      </c>
      <c r="TF5" s="22">
        <f t="shared" si="230"/>
        <v>6.7</v>
      </c>
      <c r="TG5" s="22">
        <f t="shared" si="231"/>
        <v>7.9349999999999996</v>
      </c>
      <c r="TH5" s="22">
        <f t="shared" si="232"/>
        <v>0.05</v>
      </c>
      <c r="TI5" s="27" t="s">
        <v>46</v>
      </c>
      <c r="TJ5" s="40">
        <f t="shared" si="233"/>
        <v>6.35</v>
      </c>
      <c r="TK5" s="40">
        <f t="shared" si="234"/>
        <v>7.1800000000000006</v>
      </c>
      <c r="TL5" s="40">
        <f t="shared" si="235"/>
        <v>24.979999999999997</v>
      </c>
      <c r="TM5" s="40">
        <f t="shared" si="236"/>
        <v>9.4499999999999993</v>
      </c>
      <c r="TN5" s="40">
        <f t="shared" si="237"/>
        <v>11.49</v>
      </c>
      <c r="TO5" s="40">
        <f t="shared" si="238"/>
        <v>38.440000000000005</v>
      </c>
      <c r="TP5" s="40">
        <f t="shared" si="239"/>
        <v>38.440000000000005</v>
      </c>
      <c r="TQ5" s="40">
        <f t="shared" si="240"/>
        <v>6.7</v>
      </c>
      <c r="TR5" s="40">
        <f t="shared" si="241"/>
        <v>7.9349999999999996</v>
      </c>
      <c r="TS5" s="40">
        <f t="shared" si="242"/>
        <v>26.384999999999998</v>
      </c>
      <c r="TT5" s="40">
        <f t="shared" si="243"/>
        <v>64.825000000000003</v>
      </c>
    </row>
    <row r="6" spans="1:540" x14ac:dyDescent="0.2">
      <c r="A6" s="4" cm="1">
        <f t="array" ref="A6">IF(AND(F6&lt;&gt;"",G6&lt;&gt;""),SUMPRODUCT((F$4:F$35&lt;&gt;"")*(G$4:G$35&lt;&gt;"")*(E$4:E$35&gt;E6))+1,IF(G6&lt;&gt;"",SUMPRODUCT((H$4:H$35="No DD")*(E$4:E$35&gt;E6))+1+SUMPRODUCT((F$4:F$35&lt;&gt;"")*(G$4:G$35&lt;&gt;"")),""))</f>
        <v>3</v>
      </c>
      <c r="B6" s="5" t="s">
        <v>108</v>
      </c>
      <c r="C6" s="4" t="s">
        <v>6</v>
      </c>
      <c r="D6" s="4">
        <v>2005</v>
      </c>
      <c r="E6" s="9">
        <f t="shared" si="0"/>
        <v>189.79001897900542</v>
      </c>
      <c r="F6" s="3" t="str">
        <f t="shared" si="1"/>
        <v>P</v>
      </c>
      <c r="G6" s="3" t="str">
        <f t="shared" si="2"/>
        <v>P</v>
      </c>
      <c r="H6" s="36" t="str">
        <f t="shared" si="3"/>
        <v>National Team</v>
      </c>
      <c r="I6" s="3" t="str">
        <f t="shared" si="4"/>
        <v/>
      </c>
      <c r="J6" s="8">
        <f>IF(COUNT(AO6,AR6,BP6,BS6,CQ6,CT6)&gt;0,LARGE((AO6,AR6,BP6,BS6,CQ6,CT6),1),0)</f>
        <v>53.98</v>
      </c>
      <c r="K6" s="8" t="str">
        <f t="shared" si="5"/>
        <v>2023 Elite Canada</v>
      </c>
      <c r="L6" s="8">
        <f>IF(COUNT(AO6,AR6,BP6,BS6,CQ6,CT6)&gt;1,LARGE((AO6,AR6,BP6,BS6,CQ6,CT6),2),0)</f>
        <v>53.21</v>
      </c>
      <c r="M6" s="8" t="str">
        <f t="shared" si="6"/>
        <v>2023 Elite Canada</v>
      </c>
      <c r="N6" s="8">
        <f>IF(COUNT(AO6,AR6,BP6,BS6,CQ6,CT6)&gt;2,MAX(AV6,BW6,CX6,LARGE((AO6,AR6,BP6,BS6,CQ6,CT6),3)),IF(MAX(AV6,BW6,CX6)&gt;0,MAX(AV6,BW6,CX6),0))</f>
        <v>53.150000000000006</v>
      </c>
      <c r="O6" s="8" t="str">
        <f t="shared" si="7"/>
        <v>2022 3rd Domestic Trial</v>
      </c>
      <c r="P6" s="8">
        <f t="shared" si="8"/>
        <v>14.4</v>
      </c>
      <c r="Q6" s="8" t="str">
        <f t="shared" si="9"/>
        <v>2023 Elite Canada</v>
      </c>
      <c r="R6" s="8">
        <f t="shared" si="10"/>
        <v>15.05</v>
      </c>
      <c r="S6" s="8" t="str">
        <f t="shared" si="11"/>
        <v>2022 3rd Domestic Trial</v>
      </c>
      <c r="T6" s="8" t="str">
        <f t="shared" si="12"/>
        <v/>
      </c>
      <c r="U6" s="11" t="str">
        <f t="shared" si="13"/>
        <v/>
      </c>
      <c r="V6" s="8" t="str">
        <f t="shared" si="14"/>
        <v/>
      </c>
      <c r="W6" s="22">
        <v>4.5</v>
      </c>
      <c r="X6" s="22">
        <v>2.6</v>
      </c>
      <c r="Y6" s="22">
        <v>4.4000000000000004</v>
      </c>
      <c r="Z6" s="22">
        <v>4.54</v>
      </c>
      <c r="AA6" s="22">
        <v>0.2</v>
      </c>
      <c r="AB6" s="22">
        <v>15</v>
      </c>
      <c r="AC6" s="22">
        <v>9.1</v>
      </c>
      <c r="AD6" s="22">
        <v>13.5</v>
      </c>
      <c r="AE6" s="22">
        <v>14.46</v>
      </c>
      <c r="AF6" s="22">
        <v>0.2</v>
      </c>
      <c r="AG6" s="22">
        <v>15.2</v>
      </c>
      <c r="AH6" s="22">
        <v>9.1999999999999993</v>
      </c>
      <c r="AI6" s="22">
        <v>13.5</v>
      </c>
      <c r="AJ6" s="22">
        <v>14.37</v>
      </c>
      <c r="AK6" s="22">
        <v>0.2</v>
      </c>
      <c r="AL6" s="27"/>
      <c r="AM6" s="38">
        <f t="shared" si="15"/>
        <v>4.4000000000000004</v>
      </c>
      <c r="AN6" s="38">
        <f t="shared" si="16"/>
        <v>4.54</v>
      </c>
      <c r="AO6" s="40">
        <f t="shared" si="17"/>
        <v>15.84</v>
      </c>
      <c r="AP6" s="40">
        <f t="shared" si="18"/>
        <v>13.5</v>
      </c>
      <c r="AQ6" s="40">
        <f t="shared" si="19"/>
        <v>14.46</v>
      </c>
      <c r="AR6" s="40">
        <f t="shared" si="20"/>
        <v>51.86</v>
      </c>
      <c r="AS6" s="40">
        <f t="shared" si="21"/>
        <v>51.86</v>
      </c>
      <c r="AT6" s="40">
        <f t="shared" si="22"/>
        <v>13.5</v>
      </c>
      <c r="AU6" s="40">
        <f t="shared" si="23"/>
        <v>14.37</v>
      </c>
      <c r="AV6" s="40">
        <f t="shared" si="24"/>
        <v>52.069999999999993</v>
      </c>
      <c r="AW6" s="40">
        <f t="shared" si="25"/>
        <v>103.92999999999999</v>
      </c>
      <c r="AX6" s="26">
        <v>15.4</v>
      </c>
      <c r="AY6" s="26">
        <v>9.1999999999999993</v>
      </c>
      <c r="AZ6" s="26">
        <v>13.5</v>
      </c>
      <c r="BA6" s="26">
        <v>15.05</v>
      </c>
      <c r="BB6" s="26">
        <v>0</v>
      </c>
      <c r="BC6" s="26">
        <v>13.7</v>
      </c>
      <c r="BD6" s="26">
        <v>9.3000000000000007</v>
      </c>
      <c r="BE6" s="26">
        <v>12.3</v>
      </c>
      <c r="BF6" s="26">
        <v>14.56</v>
      </c>
      <c r="BG6" s="26">
        <v>1.2</v>
      </c>
      <c r="BH6" s="26">
        <v>6.1</v>
      </c>
      <c r="BI6" s="26">
        <v>3.6</v>
      </c>
      <c r="BJ6" s="26">
        <v>5.8</v>
      </c>
      <c r="BK6" s="26">
        <v>6</v>
      </c>
      <c r="BL6" s="26">
        <v>0</v>
      </c>
      <c r="BM6" s="28"/>
      <c r="BN6" s="39">
        <f t="shared" si="26"/>
        <v>13.5</v>
      </c>
      <c r="BO6" s="39">
        <f t="shared" si="27"/>
        <v>15.05</v>
      </c>
      <c r="BP6" s="11">
        <f t="shared" si="28"/>
        <v>53.150000000000006</v>
      </c>
      <c r="BQ6" s="11">
        <f t="shared" si="29"/>
        <v>12.3</v>
      </c>
      <c r="BR6" s="11">
        <f t="shared" si="30"/>
        <v>14.56</v>
      </c>
      <c r="BS6" s="11">
        <f t="shared" si="31"/>
        <v>48.66</v>
      </c>
      <c r="BT6" s="11">
        <f t="shared" si="32"/>
        <v>53.150000000000006</v>
      </c>
      <c r="BU6" s="11">
        <f t="shared" si="33"/>
        <v>5.8</v>
      </c>
      <c r="BV6" s="11">
        <f t="shared" si="34"/>
        <v>6</v>
      </c>
      <c r="BW6" s="11">
        <f t="shared" si="35"/>
        <v>21.5</v>
      </c>
      <c r="BX6" s="11">
        <f t="shared" si="36"/>
        <v>74.650000000000006</v>
      </c>
      <c r="BY6" s="22">
        <v>15.7</v>
      </c>
      <c r="BZ6" s="22">
        <v>9.1</v>
      </c>
      <c r="CA6" s="22">
        <v>14.4</v>
      </c>
      <c r="CB6" s="22">
        <v>14.78</v>
      </c>
      <c r="CC6" s="22">
        <v>0</v>
      </c>
      <c r="CD6" s="22">
        <v>15.3</v>
      </c>
      <c r="CE6" s="22">
        <v>9.1999999999999993</v>
      </c>
      <c r="CF6" s="22">
        <v>14.2</v>
      </c>
      <c r="CG6" s="22">
        <v>14.51</v>
      </c>
      <c r="CH6" s="22">
        <v>0</v>
      </c>
      <c r="CI6" s="22">
        <v>6.5</v>
      </c>
      <c r="CJ6" s="22">
        <v>3.7</v>
      </c>
      <c r="CK6" s="22">
        <v>6.1</v>
      </c>
      <c r="CL6" s="22">
        <v>6.26</v>
      </c>
      <c r="CM6" s="22">
        <v>0</v>
      </c>
      <c r="CN6" s="27"/>
      <c r="CO6" s="38">
        <f t="shared" si="37"/>
        <v>14.4</v>
      </c>
      <c r="CP6" s="38">
        <f t="shared" si="38"/>
        <v>14.78</v>
      </c>
      <c r="CQ6" s="40">
        <f t="shared" si="39"/>
        <v>53.98</v>
      </c>
      <c r="CR6" s="40">
        <f t="shared" si="40"/>
        <v>14.2</v>
      </c>
      <c r="CS6" s="40">
        <f t="shared" si="41"/>
        <v>14.51</v>
      </c>
      <c r="CT6" s="40">
        <f t="shared" si="42"/>
        <v>53.21</v>
      </c>
      <c r="CU6" s="40">
        <f t="shared" si="43"/>
        <v>53.98</v>
      </c>
      <c r="CV6" s="40">
        <f t="shared" si="44"/>
        <v>6.1</v>
      </c>
      <c r="CW6" s="40">
        <f t="shared" si="45"/>
        <v>6.26</v>
      </c>
      <c r="CX6" s="40">
        <f t="shared" si="46"/>
        <v>22.559999999999995</v>
      </c>
      <c r="CY6" s="40">
        <f t="shared" si="47"/>
        <v>76.539999999999992</v>
      </c>
      <c r="CZ6" s="50" t="str">
        <f t="shared" si="48"/>
        <v/>
      </c>
      <c r="DA6" s="50" t="str">
        <f t="shared" si="49"/>
        <v/>
      </c>
      <c r="DB6" s="17"/>
      <c r="DC6" s="17"/>
      <c r="DD6" s="17"/>
      <c r="DE6" s="17"/>
      <c r="DF6" s="17"/>
      <c r="DG6" s="17">
        <v>14.9</v>
      </c>
      <c r="DH6" s="17">
        <v>8.6</v>
      </c>
      <c r="DI6" s="17">
        <v>13.3</v>
      </c>
      <c r="DJ6" s="17">
        <v>15.04</v>
      </c>
      <c r="DK6" s="17">
        <v>0</v>
      </c>
      <c r="DL6" s="17"/>
      <c r="DM6" s="17"/>
      <c r="DN6" s="17"/>
      <c r="DO6" s="17"/>
      <c r="DP6" s="17"/>
      <c r="DQ6" s="17"/>
      <c r="DR6" s="17"/>
      <c r="DS6" s="17"/>
      <c r="DT6" s="17"/>
      <c r="DU6" s="17"/>
      <c r="DV6" s="40" t="str">
        <f t="shared" si="50"/>
        <v/>
      </c>
      <c r="DW6" s="40" t="str">
        <f t="shared" si="51"/>
        <v/>
      </c>
      <c r="DX6" s="40" t="str">
        <f t="shared" si="52"/>
        <v/>
      </c>
      <c r="DY6" s="40">
        <f t="shared" si="53"/>
        <v>13.3</v>
      </c>
      <c r="DZ6" s="40">
        <f t="shared" si="54"/>
        <v>15.04</v>
      </c>
      <c r="EA6" s="40">
        <f t="shared" si="55"/>
        <v>51.839999999999996</v>
      </c>
      <c r="EB6" s="40">
        <f t="shared" si="56"/>
        <v>51.839999999999996</v>
      </c>
      <c r="EC6" s="40" t="str">
        <f t="shared" si="57"/>
        <v/>
      </c>
      <c r="ED6" s="40" t="str">
        <f t="shared" si="58"/>
        <v/>
      </c>
      <c r="EE6" s="40" t="str">
        <f t="shared" si="59"/>
        <v/>
      </c>
      <c r="EF6" s="40" t="str">
        <f t="shared" si="60"/>
        <v/>
      </c>
      <c r="EG6" s="40" t="str">
        <f t="shared" si="61"/>
        <v/>
      </c>
      <c r="EH6" s="40" t="str">
        <f t="shared" si="62"/>
        <v/>
      </c>
      <c r="EI6" s="40">
        <f t="shared" si="63"/>
        <v>51.839999999999996</v>
      </c>
      <c r="EJ6" s="18"/>
      <c r="EK6" s="18"/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8"/>
      <c r="EY6" s="18"/>
      <c r="EZ6" s="18"/>
      <c r="FA6" s="18"/>
      <c r="FB6" s="18"/>
      <c r="FC6" s="18"/>
      <c r="FD6" s="11" t="str">
        <f t="shared" si="64"/>
        <v/>
      </c>
      <c r="FE6" s="11" t="str">
        <f t="shared" si="65"/>
        <v/>
      </c>
      <c r="FF6" s="11" t="str">
        <f t="shared" si="66"/>
        <v/>
      </c>
      <c r="FG6" s="11" t="str">
        <f t="shared" si="67"/>
        <v/>
      </c>
      <c r="FH6" s="11" t="str">
        <f t="shared" si="68"/>
        <v/>
      </c>
      <c r="FI6" s="11" t="str">
        <f t="shared" si="69"/>
        <v/>
      </c>
      <c r="FJ6" s="11" t="str">
        <f t="shared" si="70"/>
        <v/>
      </c>
      <c r="FK6" s="11" t="str">
        <f t="shared" si="71"/>
        <v/>
      </c>
      <c r="FL6" s="11" t="str">
        <f t="shared" si="72"/>
        <v/>
      </c>
      <c r="FM6" s="11" t="str">
        <f t="shared" si="73"/>
        <v/>
      </c>
      <c r="FN6" s="11" t="str">
        <f t="shared" si="74"/>
        <v/>
      </c>
      <c r="FO6" s="11" t="str">
        <f t="shared" si="75"/>
        <v/>
      </c>
      <c r="FP6" s="11" t="str">
        <f t="shared" si="76"/>
        <v/>
      </c>
      <c r="FQ6" s="11" t="str">
        <f t="shared" si="77"/>
        <v/>
      </c>
      <c r="FR6" s="17"/>
      <c r="FS6" s="17"/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17"/>
      <c r="GF6" s="17"/>
      <c r="GG6" s="17"/>
      <c r="GH6" s="17"/>
      <c r="GI6" s="17"/>
      <c r="GJ6" s="17"/>
      <c r="GK6" s="17"/>
      <c r="GL6" s="40" t="str">
        <f t="shared" si="78"/>
        <v/>
      </c>
      <c r="GM6" s="40" t="str">
        <f t="shared" si="79"/>
        <v/>
      </c>
      <c r="GN6" s="40" t="str">
        <f t="shared" si="80"/>
        <v/>
      </c>
      <c r="GO6" s="40" t="str">
        <f t="shared" si="81"/>
        <v/>
      </c>
      <c r="GP6" s="40" t="str">
        <f t="shared" si="82"/>
        <v/>
      </c>
      <c r="GQ6" s="40" t="str">
        <f t="shared" si="83"/>
        <v/>
      </c>
      <c r="GR6" s="40" t="str">
        <f t="shared" si="84"/>
        <v/>
      </c>
      <c r="GS6" s="40" t="str">
        <f t="shared" si="85"/>
        <v/>
      </c>
      <c r="GT6" s="40" t="str">
        <f t="shared" si="86"/>
        <v/>
      </c>
      <c r="GU6" s="40" t="str">
        <f t="shared" si="87"/>
        <v/>
      </c>
      <c r="GV6" s="40" t="str">
        <f t="shared" si="88"/>
        <v/>
      </c>
      <c r="GW6" s="40" t="str">
        <f t="shared" si="89"/>
        <v/>
      </c>
      <c r="GX6" s="40" t="str">
        <f t="shared" si="90"/>
        <v/>
      </c>
      <c r="GY6" s="40" t="str">
        <f t="shared" si="91"/>
        <v/>
      </c>
      <c r="GZ6" s="18"/>
      <c r="HA6" s="18"/>
      <c r="HB6" s="18"/>
      <c r="HC6" s="18"/>
      <c r="HD6" s="18"/>
      <c r="HE6" s="18"/>
      <c r="HF6" s="18"/>
      <c r="HG6" s="18"/>
      <c r="HH6" s="18"/>
      <c r="HI6" s="18"/>
      <c r="HJ6" s="18"/>
      <c r="HK6" s="18"/>
      <c r="HL6" s="18"/>
      <c r="HM6" s="18"/>
      <c r="HN6" s="18"/>
      <c r="HO6" s="18"/>
      <c r="HP6" s="18"/>
      <c r="HQ6" s="18"/>
      <c r="HR6" s="18"/>
      <c r="HS6" s="18"/>
      <c r="HT6" s="11" t="str">
        <f t="shared" si="92"/>
        <v/>
      </c>
      <c r="HU6" s="11" t="str">
        <f t="shared" si="93"/>
        <v/>
      </c>
      <c r="HV6" s="11" t="str">
        <f t="shared" si="94"/>
        <v/>
      </c>
      <c r="HW6" s="11" t="str">
        <f t="shared" si="95"/>
        <v/>
      </c>
      <c r="HX6" s="11" t="str">
        <f t="shared" si="96"/>
        <v/>
      </c>
      <c r="HY6" s="11" t="str">
        <f t="shared" si="97"/>
        <v/>
      </c>
      <c r="HZ6" s="11" t="str">
        <f t="shared" si="98"/>
        <v/>
      </c>
      <c r="IA6" s="11" t="str">
        <f t="shared" si="99"/>
        <v/>
      </c>
      <c r="IB6" s="11" t="str">
        <f t="shared" si="100"/>
        <v/>
      </c>
      <c r="IC6" s="11" t="str">
        <f t="shared" si="101"/>
        <v/>
      </c>
      <c r="ID6" s="11" t="str">
        <f t="shared" si="102"/>
        <v/>
      </c>
      <c r="IE6" s="11" t="str">
        <f t="shared" si="103"/>
        <v/>
      </c>
      <c r="IF6" s="11" t="str">
        <f t="shared" si="104"/>
        <v/>
      </c>
      <c r="IG6" s="11" t="str">
        <f t="shared" si="105"/>
        <v/>
      </c>
      <c r="IH6" s="17"/>
      <c r="II6" s="17"/>
      <c r="IJ6" s="17"/>
      <c r="IK6" s="17"/>
      <c r="IL6" s="17"/>
      <c r="IM6" s="17"/>
      <c r="IN6" s="17"/>
      <c r="IO6" s="17"/>
      <c r="IP6" s="17"/>
      <c r="IQ6" s="17"/>
      <c r="IR6" s="17"/>
      <c r="IS6" s="17"/>
      <c r="IT6" s="17"/>
      <c r="IU6" s="17"/>
      <c r="IV6" s="17"/>
      <c r="IW6" s="17"/>
      <c r="IX6" s="17"/>
      <c r="IY6" s="17"/>
      <c r="IZ6" s="17"/>
      <c r="JA6" s="17"/>
      <c r="JB6" s="40" t="str">
        <f t="shared" si="106"/>
        <v/>
      </c>
      <c r="JC6" s="40" t="str">
        <f t="shared" si="107"/>
        <v/>
      </c>
      <c r="JD6" s="40" t="str">
        <f t="shared" si="108"/>
        <v/>
      </c>
      <c r="JE6" s="40" t="str">
        <f t="shared" si="109"/>
        <v/>
      </c>
      <c r="JF6" s="40" t="str">
        <f t="shared" si="110"/>
        <v/>
      </c>
      <c r="JG6" s="40" t="str">
        <f t="shared" si="111"/>
        <v/>
      </c>
      <c r="JH6" s="40" t="str">
        <f t="shared" si="112"/>
        <v/>
      </c>
      <c r="JI6" s="40" t="str">
        <f t="shared" si="113"/>
        <v/>
      </c>
      <c r="JJ6" s="40" t="str">
        <f t="shared" si="114"/>
        <v/>
      </c>
      <c r="JK6" s="40" t="str">
        <f t="shared" si="115"/>
        <v/>
      </c>
      <c r="JL6" s="40" t="str">
        <f t="shared" si="116"/>
        <v/>
      </c>
      <c r="JM6" s="40" t="str">
        <f t="shared" si="117"/>
        <v/>
      </c>
      <c r="JN6" s="40" t="str">
        <f t="shared" si="118"/>
        <v/>
      </c>
      <c r="JO6" s="40" t="str">
        <f t="shared" si="119"/>
        <v/>
      </c>
      <c r="JP6" s="18"/>
      <c r="JQ6" s="18"/>
      <c r="JR6" s="18"/>
      <c r="JS6" s="18"/>
      <c r="JT6" s="18"/>
      <c r="JU6" s="18"/>
      <c r="JV6" s="18"/>
      <c r="JW6" s="18"/>
      <c r="JX6" s="18"/>
      <c r="JY6" s="18"/>
      <c r="JZ6" s="18"/>
      <c r="KA6" s="18"/>
      <c r="KB6" s="18"/>
      <c r="KC6" s="18"/>
      <c r="KD6" s="18"/>
      <c r="KE6" s="18"/>
      <c r="KF6" s="18"/>
      <c r="KG6" s="18"/>
      <c r="KH6" s="18"/>
      <c r="KI6" s="18"/>
      <c r="KJ6" s="11" t="str">
        <f t="shared" si="120"/>
        <v/>
      </c>
      <c r="KK6" s="11" t="str">
        <f t="shared" si="121"/>
        <v/>
      </c>
      <c r="KL6" s="11" t="str">
        <f t="shared" si="122"/>
        <v/>
      </c>
      <c r="KM6" s="11" t="str">
        <f t="shared" si="123"/>
        <v/>
      </c>
      <c r="KN6" s="11" t="str">
        <f t="shared" si="124"/>
        <v/>
      </c>
      <c r="KO6" s="11" t="str">
        <f t="shared" si="125"/>
        <v/>
      </c>
      <c r="KP6" s="11" t="str">
        <f t="shared" si="126"/>
        <v/>
      </c>
      <c r="KQ6" s="11" t="str">
        <f t="shared" si="127"/>
        <v/>
      </c>
      <c r="KR6" s="11" t="str">
        <f t="shared" si="128"/>
        <v/>
      </c>
      <c r="KS6" s="11" t="str">
        <f t="shared" si="129"/>
        <v/>
      </c>
      <c r="KT6" s="11" t="str">
        <f t="shared" si="130"/>
        <v/>
      </c>
      <c r="KU6" s="11" t="str">
        <f t="shared" si="131"/>
        <v/>
      </c>
      <c r="KV6" s="11" t="str">
        <f t="shared" si="132"/>
        <v/>
      </c>
      <c r="KW6" s="11" t="str">
        <f t="shared" si="133"/>
        <v/>
      </c>
      <c r="KX6" s="17"/>
      <c r="KY6" s="17"/>
      <c r="KZ6" s="17"/>
      <c r="LA6" s="17"/>
      <c r="LB6" s="17"/>
      <c r="LC6" s="17"/>
      <c r="LD6" s="17"/>
      <c r="LE6" s="17"/>
      <c r="LF6" s="17"/>
      <c r="LG6" s="17"/>
      <c r="LH6" s="17"/>
      <c r="LI6" s="17"/>
      <c r="LJ6" s="17"/>
      <c r="LK6" s="17"/>
      <c r="LL6" s="17"/>
      <c r="LM6" s="17"/>
      <c r="LN6" s="17"/>
      <c r="LO6" s="17"/>
      <c r="LP6" s="17"/>
      <c r="LQ6" s="17"/>
      <c r="LR6" s="40" t="str">
        <f t="shared" si="134"/>
        <v/>
      </c>
      <c r="LS6" s="40" t="str">
        <f t="shared" si="135"/>
        <v/>
      </c>
      <c r="LT6" s="40" t="str">
        <f t="shared" si="136"/>
        <v/>
      </c>
      <c r="LU6" s="40" t="str">
        <f t="shared" si="137"/>
        <v/>
      </c>
      <c r="LV6" s="40" t="str">
        <f t="shared" si="138"/>
        <v/>
      </c>
      <c r="LW6" s="40" t="str">
        <f t="shared" si="139"/>
        <v/>
      </c>
      <c r="LX6" s="40" t="str">
        <f t="shared" si="140"/>
        <v/>
      </c>
      <c r="LY6" s="40" t="str">
        <f t="shared" si="141"/>
        <v/>
      </c>
      <c r="LZ6" s="40" t="str">
        <f t="shared" si="142"/>
        <v/>
      </c>
      <c r="MA6" s="40" t="str">
        <f t="shared" si="143"/>
        <v/>
      </c>
      <c r="MB6" s="40" t="str">
        <f t="shared" si="144"/>
        <v/>
      </c>
      <c r="MC6" s="40" t="str">
        <f t="shared" si="145"/>
        <v/>
      </c>
      <c r="MD6" s="40" t="str">
        <f t="shared" si="146"/>
        <v/>
      </c>
      <c r="ME6" s="40" t="str">
        <f t="shared" si="147"/>
        <v/>
      </c>
      <c r="MF6" s="18"/>
      <c r="MG6" s="18"/>
      <c r="MH6" s="18"/>
      <c r="MI6" s="18"/>
      <c r="MJ6" s="18"/>
      <c r="MK6" s="18"/>
      <c r="ML6" s="18"/>
      <c r="MM6" s="18"/>
      <c r="MN6" s="18"/>
      <c r="MO6" s="18"/>
      <c r="MP6" s="18"/>
      <c r="MQ6" s="18"/>
      <c r="MR6" s="18"/>
      <c r="MS6" s="18"/>
      <c r="MT6" s="18"/>
      <c r="MU6" s="18"/>
      <c r="MV6" s="18"/>
      <c r="MW6" s="18"/>
      <c r="MX6" s="18"/>
      <c r="MY6" s="18"/>
      <c r="MZ6" s="11" t="str">
        <f t="shared" si="148"/>
        <v/>
      </c>
      <c r="NA6" s="11" t="str">
        <f t="shared" si="149"/>
        <v/>
      </c>
      <c r="NB6" s="11" t="str">
        <f t="shared" si="150"/>
        <v/>
      </c>
      <c r="NC6" s="11" t="str">
        <f t="shared" si="151"/>
        <v/>
      </c>
      <c r="ND6" s="11" t="str">
        <f t="shared" si="152"/>
        <v/>
      </c>
      <c r="NE6" s="11" t="str">
        <f t="shared" si="153"/>
        <v/>
      </c>
      <c r="NF6" s="11" t="str">
        <f t="shared" si="154"/>
        <v/>
      </c>
      <c r="NG6" s="11" t="str">
        <f t="shared" si="155"/>
        <v/>
      </c>
      <c r="NH6" s="11" t="str">
        <f t="shared" si="156"/>
        <v/>
      </c>
      <c r="NI6" s="11" t="str">
        <f t="shared" si="157"/>
        <v/>
      </c>
      <c r="NJ6" s="11" t="str">
        <f t="shared" si="158"/>
        <v/>
      </c>
      <c r="NK6" s="11" t="str">
        <f t="shared" si="159"/>
        <v/>
      </c>
      <c r="NL6" s="11" t="str">
        <f t="shared" si="160"/>
        <v/>
      </c>
      <c r="NM6" s="11" t="str">
        <f t="shared" si="161"/>
        <v/>
      </c>
      <c r="NN6" s="17"/>
      <c r="NO6" s="17"/>
      <c r="NP6" s="17"/>
      <c r="NQ6" s="17"/>
      <c r="NR6" s="17"/>
      <c r="NS6" s="17"/>
      <c r="NT6" s="17"/>
      <c r="NU6" s="17"/>
      <c r="NV6" s="17"/>
      <c r="NW6" s="17"/>
      <c r="NX6" s="17"/>
      <c r="NY6" s="17"/>
      <c r="NZ6" s="17"/>
      <c r="OA6" s="17"/>
      <c r="OB6" s="17"/>
      <c r="OC6" s="17"/>
      <c r="OD6" s="17"/>
      <c r="OE6" s="17"/>
      <c r="OF6" s="17"/>
      <c r="OG6" s="17"/>
      <c r="OH6" s="40" t="str">
        <f t="shared" si="162"/>
        <v/>
      </c>
      <c r="OI6" s="40" t="str">
        <f t="shared" si="163"/>
        <v/>
      </c>
      <c r="OJ6" s="40" t="str">
        <f t="shared" si="164"/>
        <v/>
      </c>
      <c r="OK6" s="40" t="str">
        <f t="shared" si="165"/>
        <v/>
      </c>
      <c r="OL6" s="40" t="str">
        <f t="shared" si="166"/>
        <v/>
      </c>
      <c r="OM6" s="40" t="str">
        <f t="shared" si="167"/>
        <v/>
      </c>
      <c r="ON6" s="40" t="str">
        <f t="shared" si="168"/>
        <v/>
      </c>
      <c r="OO6" s="40" t="str">
        <f t="shared" si="169"/>
        <v/>
      </c>
      <c r="OP6" s="40" t="str">
        <f t="shared" si="170"/>
        <v/>
      </c>
      <c r="OQ6" s="40" t="str">
        <f t="shared" si="171"/>
        <v/>
      </c>
      <c r="OR6" s="40" t="str">
        <f t="shared" si="172"/>
        <v/>
      </c>
      <c r="OS6" s="40" t="str">
        <f t="shared" si="173"/>
        <v/>
      </c>
      <c r="OT6" s="40" t="str">
        <f t="shared" si="174"/>
        <v/>
      </c>
      <c r="OU6" s="40" t="str">
        <f t="shared" si="175"/>
        <v/>
      </c>
      <c r="OV6" s="18"/>
      <c r="OW6" s="18"/>
      <c r="OX6" s="18"/>
      <c r="OY6" s="18"/>
      <c r="OZ6" s="18"/>
      <c r="PA6" s="18"/>
      <c r="PB6" s="18"/>
      <c r="PC6" s="18"/>
      <c r="PD6" s="18"/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1" t="str">
        <f t="shared" si="176"/>
        <v/>
      </c>
      <c r="PQ6" s="11" t="str">
        <f t="shared" si="177"/>
        <v/>
      </c>
      <c r="PR6" s="11" t="str">
        <f t="shared" si="178"/>
        <v/>
      </c>
      <c r="PS6" s="11" t="str">
        <f t="shared" si="179"/>
        <v/>
      </c>
      <c r="PT6" s="11" t="str">
        <f t="shared" si="180"/>
        <v/>
      </c>
      <c r="PU6" s="11" t="str">
        <f t="shared" si="181"/>
        <v/>
      </c>
      <c r="PV6" s="11" t="str">
        <f t="shared" si="182"/>
        <v/>
      </c>
      <c r="PW6" s="11" t="str">
        <f t="shared" si="183"/>
        <v/>
      </c>
      <c r="PX6" s="11" t="str">
        <f t="shared" si="184"/>
        <v/>
      </c>
      <c r="PY6" s="11" t="str">
        <f t="shared" si="185"/>
        <v/>
      </c>
      <c r="PZ6" s="11" t="str">
        <f t="shared" si="186"/>
        <v/>
      </c>
      <c r="QA6" s="11" t="str">
        <f t="shared" si="187"/>
        <v/>
      </c>
      <c r="QB6" s="11" t="str">
        <f t="shared" si="188"/>
        <v/>
      </c>
      <c r="QC6" s="11" t="str">
        <f t="shared" si="189"/>
        <v/>
      </c>
      <c r="QD6" s="17"/>
      <c r="QE6" s="17"/>
      <c r="QF6" s="17"/>
      <c r="QG6" s="17"/>
      <c r="QH6" s="17"/>
      <c r="QI6" s="17"/>
      <c r="QJ6" s="17"/>
      <c r="QK6" s="17"/>
      <c r="QL6" s="17"/>
      <c r="QM6" s="17"/>
      <c r="QN6" s="17"/>
      <c r="QO6" s="17"/>
      <c r="QP6" s="17"/>
      <c r="QQ6" s="17"/>
      <c r="QR6" s="17"/>
      <c r="QS6" s="17"/>
      <c r="QT6" s="17"/>
      <c r="QU6" s="17"/>
      <c r="QV6" s="17"/>
      <c r="QW6" s="17"/>
      <c r="QX6" s="40" t="str">
        <f t="shared" si="190"/>
        <v/>
      </c>
      <c r="QY6" s="40" t="str">
        <f t="shared" si="191"/>
        <v/>
      </c>
      <c r="QZ6" s="40" t="str">
        <f t="shared" si="192"/>
        <v/>
      </c>
      <c r="RA6" s="40" t="str">
        <f t="shared" si="193"/>
        <v/>
      </c>
      <c r="RB6" s="40" t="str">
        <f t="shared" si="194"/>
        <v/>
      </c>
      <c r="RC6" s="40" t="str">
        <f t="shared" si="195"/>
        <v/>
      </c>
      <c r="RD6" s="40" t="str">
        <f t="shared" si="196"/>
        <v/>
      </c>
      <c r="RE6" s="40" t="str">
        <f t="shared" si="197"/>
        <v/>
      </c>
      <c r="RF6" s="40" t="str">
        <f t="shared" si="198"/>
        <v/>
      </c>
      <c r="RG6" s="40" t="str">
        <f t="shared" si="199"/>
        <v/>
      </c>
      <c r="RH6" s="40" t="str">
        <f t="shared" si="200"/>
        <v/>
      </c>
      <c r="RI6" s="40" t="str">
        <f t="shared" si="201"/>
        <v/>
      </c>
      <c r="RJ6" s="40" t="str">
        <f t="shared" si="202"/>
        <v/>
      </c>
      <c r="RK6" s="40" t="str">
        <f t="shared" si="203"/>
        <v/>
      </c>
      <c r="RL6" s="18"/>
      <c r="RM6" s="18"/>
      <c r="RN6" s="18"/>
      <c r="RO6" s="18"/>
      <c r="RP6" s="18"/>
      <c r="RQ6" s="18"/>
      <c r="RR6" s="18"/>
      <c r="RS6" s="18"/>
      <c r="RT6" s="18"/>
      <c r="RU6" s="18"/>
      <c r="RV6" s="18"/>
      <c r="RW6" s="18"/>
      <c r="RX6" s="18"/>
      <c r="RY6" s="18"/>
      <c r="RZ6" s="18"/>
      <c r="SA6" s="18"/>
      <c r="SB6" s="18"/>
      <c r="SC6" s="18"/>
      <c r="SD6" s="18"/>
      <c r="SE6" s="18"/>
      <c r="SF6" s="11" t="str">
        <f t="shared" si="204"/>
        <v/>
      </c>
      <c r="SG6" s="11" t="str">
        <f t="shared" si="205"/>
        <v/>
      </c>
      <c r="SH6" s="11" t="str">
        <f t="shared" si="206"/>
        <v/>
      </c>
      <c r="SI6" s="11" t="str">
        <f t="shared" si="207"/>
        <v/>
      </c>
      <c r="SJ6" s="11" t="str">
        <f t="shared" si="208"/>
        <v/>
      </c>
      <c r="SK6" s="11" t="str">
        <f t="shared" si="209"/>
        <v/>
      </c>
      <c r="SL6" s="11" t="str">
        <f t="shared" si="210"/>
        <v/>
      </c>
      <c r="SM6" s="11" t="str">
        <f t="shared" si="211"/>
        <v/>
      </c>
      <c r="SN6" s="11" t="str">
        <f t="shared" si="212"/>
        <v/>
      </c>
      <c r="SO6" s="11" t="str">
        <f t="shared" si="213"/>
        <v/>
      </c>
      <c r="SP6" s="11" t="str">
        <f t="shared" si="214"/>
        <v/>
      </c>
      <c r="SQ6" s="11" t="str">
        <f t="shared" si="215"/>
        <v/>
      </c>
      <c r="SR6" s="11" t="str">
        <f t="shared" si="216"/>
        <v/>
      </c>
      <c r="SS6" s="11" t="str">
        <f t="shared" si="217"/>
        <v/>
      </c>
      <c r="ST6" s="22">
        <f t="shared" si="218"/>
        <v>15.55</v>
      </c>
      <c r="SU6" s="22">
        <f t="shared" si="219"/>
        <v>9.1499999999999986</v>
      </c>
      <c r="SV6" s="22">
        <f t="shared" si="220"/>
        <v>13.95</v>
      </c>
      <c r="SW6" s="22">
        <f t="shared" si="221"/>
        <v>14.914999999999999</v>
      </c>
      <c r="SX6" s="22">
        <f t="shared" si="222"/>
        <v>0</v>
      </c>
      <c r="SY6" s="22">
        <f t="shared" si="223"/>
        <v>14.5</v>
      </c>
      <c r="SZ6" s="22">
        <f t="shared" si="224"/>
        <v>9.25</v>
      </c>
      <c r="TA6" s="22">
        <f t="shared" si="225"/>
        <v>13.25</v>
      </c>
      <c r="TB6" s="22">
        <f t="shared" si="226"/>
        <v>14.535</v>
      </c>
      <c r="TC6" s="22">
        <f t="shared" si="227"/>
        <v>0.6</v>
      </c>
      <c r="TD6" s="22">
        <f t="shared" si="228"/>
        <v>6.3</v>
      </c>
      <c r="TE6" s="22">
        <f t="shared" si="229"/>
        <v>3.6500000000000004</v>
      </c>
      <c r="TF6" s="22">
        <f t="shared" si="230"/>
        <v>5.9499999999999993</v>
      </c>
      <c r="TG6" s="22">
        <f t="shared" si="231"/>
        <v>6.13</v>
      </c>
      <c r="TH6" s="22">
        <f t="shared" si="232"/>
        <v>0</v>
      </c>
      <c r="TI6" s="27" t="s">
        <v>46</v>
      </c>
      <c r="TJ6" s="40">
        <f t="shared" si="233"/>
        <v>13.95</v>
      </c>
      <c r="TK6" s="40">
        <f t="shared" si="234"/>
        <v>14.914999999999999</v>
      </c>
      <c r="TL6" s="40">
        <f t="shared" si="235"/>
        <v>53.564999999999998</v>
      </c>
      <c r="TM6" s="40">
        <f t="shared" si="236"/>
        <v>13.25</v>
      </c>
      <c r="TN6" s="40">
        <f t="shared" si="237"/>
        <v>14.535</v>
      </c>
      <c r="TO6" s="40">
        <f t="shared" si="238"/>
        <v>50.934999999999995</v>
      </c>
      <c r="TP6" s="40">
        <f t="shared" si="239"/>
        <v>53.564999999999998</v>
      </c>
      <c r="TQ6" s="40">
        <f t="shared" si="240"/>
        <v>5.9499999999999993</v>
      </c>
      <c r="TR6" s="40">
        <f t="shared" si="241"/>
        <v>6.13</v>
      </c>
      <c r="TS6" s="40">
        <f t="shared" si="242"/>
        <v>22.029999999999998</v>
      </c>
      <c r="TT6" s="40">
        <f t="shared" si="243"/>
        <v>75.594999999999999</v>
      </c>
    </row>
    <row r="7" spans="1:540" x14ac:dyDescent="0.2">
      <c r="A7" s="4" cm="1">
        <f t="array" ref="A7">IF(AND(F7&lt;&gt;"",G7&lt;&gt;""),SUMPRODUCT((F$4:F$35&lt;&gt;"")*(G$4:G$35&lt;&gt;"")*(E$4:E$35&gt;E7))+1,IF(G7&lt;&gt;"",SUMPRODUCT((H$4:H$35="No DD")*(E$4:E$35&gt;E7))+1+SUMPRODUCT((F$4:F$35&lt;&gt;"")*(G$4:G$35&lt;&gt;"")),""))</f>
        <v>4</v>
      </c>
      <c r="B7" s="5" t="s">
        <v>75</v>
      </c>
      <c r="C7" s="4" t="s">
        <v>6</v>
      </c>
      <c r="D7" s="4">
        <v>2004</v>
      </c>
      <c r="E7" s="9">
        <f t="shared" si="0"/>
        <v>187.23001868600528</v>
      </c>
      <c r="F7" s="3" t="str">
        <f t="shared" si="1"/>
        <v>P</v>
      </c>
      <c r="G7" s="3" t="str">
        <f t="shared" si="2"/>
        <v>P</v>
      </c>
      <c r="H7" s="36" t="str">
        <f t="shared" si="3"/>
        <v>National Team</v>
      </c>
      <c r="I7" s="3" t="str">
        <f t="shared" si="4"/>
        <v/>
      </c>
      <c r="J7" s="8">
        <f>IF(COUNT(AO7,AR7,BP7,BS7,CQ7,CT7)&gt;0,LARGE((AO7,AR7,BP7,BS7,CQ7,CT7),1),0)</f>
        <v>52.599999999999994</v>
      </c>
      <c r="K7" s="8" t="str">
        <f t="shared" si="5"/>
        <v>2023 Elite Canada</v>
      </c>
      <c r="L7" s="8">
        <f>IF(COUNT(AO7,AR7,BP7,BS7,CQ7,CT7)&gt;1,LARGE((AO7,AR7,BP7,BS7,CQ7,CT7),2),0)</f>
        <v>51.78</v>
      </c>
      <c r="M7" s="8" t="str">
        <f t="shared" si="6"/>
        <v>2022 Nationals</v>
      </c>
      <c r="N7" s="8">
        <f>IF(COUNT(AO7,AR7,BP7,BS7,CQ7,CT7)&gt;2,MAX(AV7,BW7,CX7,LARGE((AO7,AR7,BP7,BS7,CQ7,CT7),3)),IF(MAX(AV7,BW7,CX7)&gt;0,MAX(AV7,BW7,CX7),0))</f>
        <v>53.84</v>
      </c>
      <c r="O7" s="8" t="str">
        <f t="shared" si="7"/>
        <v>2023 Elite Canada</v>
      </c>
      <c r="P7" s="8">
        <f t="shared" si="8"/>
        <v>13.5</v>
      </c>
      <c r="Q7" s="8" t="str">
        <f t="shared" si="9"/>
        <v>2023 Elite Canada</v>
      </c>
      <c r="R7" s="8">
        <f t="shared" si="10"/>
        <v>15.14</v>
      </c>
      <c r="S7" s="8" t="str">
        <f t="shared" si="11"/>
        <v>2023 Elite Canada</v>
      </c>
      <c r="T7" s="8">
        <f t="shared" si="12"/>
        <v>0.36999999999999744</v>
      </c>
      <c r="U7" s="11" t="str">
        <f t="shared" si="13"/>
        <v>(Optional)</v>
      </c>
      <c r="V7" s="8" t="str">
        <f t="shared" si="14"/>
        <v>2022 WAGC (Nov 25)</v>
      </c>
      <c r="W7" s="22">
        <v>14.8</v>
      </c>
      <c r="X7" s="22">
        <v>9</v>
      </c>
      <c r="Y7" s="22">
        <v>13.5</v>
      </c>
      <c r="Z7" s="22">
        <v>14.2</v>
      </c>
      <c r="AA7" s="22">
        <v>0</v>
      </c>
      <c r="AB7" s="22">
        <v>14.9</v>
      </c>
      <c r="AC7" s="22">
        <v>9.1</v>
      </c>
      <c r="AD7" s="22">
        <v>13.5</v>
      </c>
      <c r="AE7" s="22">
        <v>14.28</v>
      </c>
      <c r="AF7" s="22">
        <v>0</v>
      </c>
      <c r="AG7" s="22">
        <v>12.9</v>
      </c>
      <c r="AH7" s="22">
        <v>9</v>
      </c>
      <c r="AI7" s="22">
        <v>13.3</v>
      </c>
      <c r="AJ7" s="22">
        <v>14.1</v>
      </c>
      <c r="AK7" s="22">
        <v>0</v>
      </c>
      <c r="AL7" s="27"/>
      <c r="AM7" s="38">
        <f t="shared" si="15"/>
        <v>13.5</v>
      </c>
      <c r="AN7" s="38">
        <f t="shared" si="16"/>
        <v>14.2</v>
      </c>
      <c r="AO7" s="40">
        <f t="shared" si="17"/>
        <v>51.5</v>
      </c>
      <c r="AP7" s="40">
        <f t="shared" si="18"/>
        <v>13.5</v>
      </c>
      <c r="AQ7" s="40">
        <f t="shared" si="19"/>
        <v>14.28</v>
      </c>
      <c r="AR7" s="40">
        <f t="shared" si="20"/>
        <v>51.78</v>
      </c>
      <c r="AS7" s="40">
        <f t="shared" si="21"/>
        <v>51.78</v>
      </c>
      <c r="AT7" s="40">
        <f t="shared" si="22"/>
        <v>13.3</v>
      </c>
      <c r="AU7" s="40">
        <f t="shared" si="23"/>
        <v>14.1</v>
      </c>
      <c r="AV7" s="40">
        <f t="shared" si="24"/>
        <v>49.300000000000004</v>
      </c>
      <c r="AW7" s="40">
        <f t="shared" si="25"/>
        <v>101.08000000000001</v>
      </c>
      <c r="AX7" s="26">
        <v>1.4</v>
      </c>
      <c r="AY7" s="26">
        <v>0.9</v>
      </c>
      <c r="AZ7" s="26">
        <v>1.7</v>
      </c>
      <c r="BA7" s="26">
        <v>1.65</v>
      </c>
      <c r="BB7" s="26">
        <v>0</v>
      </c>
      <c r="BC7" s="26">
        <v>10.9</v>
      </c>
      <c r="BD7" s="26">
        <v>7.3</v>
      </c>
      <c r="BE7" s="26">
        <v>10.8</v>
      </c>
      <c r="BF7" s="26">
        <v>12.28</v>
      </c>
      <c r="BG7" s="26">
        <v>0</v>
      </c>
      <c r="BH7" s="26">
        <v>0</v>
      </c>
      <c r="BI7" s="26">
        <v>0</v>
      </c>
      <c r="BJ7" s="26">
        <v>0</v>
      </c>
      <c r="BK7" s="26">
        <v>0</v>
      </c>
      <c r="BL7" s="26">
        <v>0</v>
      </c>
      <c r="BM7" s="28"/>
      <c r="BN7" s="39">
        <f t="shared" si="26"/>
        <v>1.7</v>
      </c>
      <c r="BO7" s="39">
        <f t="shared" si="27"/>
        <v>1.65</v>
      </c>
      <c r="BP7" s="11">
        <f t="shared" si="28"/>
        <v>5.65</v>
      </c>
      <c r="BQ7" s="11">
        <f t="shared" si="29"/>
        <v>10.8</v>
      </c>
      <c r="BR7" s="11">
        <f t="shared" si="30"/>
        <v>12.28</v>
      </c>
      <c r="BS7" s="11">
        <f t="shared" si="31"/>
        <v>41.28</v>
      </c>
      <c r="BT7" s="11">
        <f t="shared" si="32"/>
        <v>41.28</v>
      </c>
      <c r="BU7" s="11" t="str">
        <f t="shared" si="33"/>
        <v/>
      </c>
      <c r="BV7" s="11" t="str">
        <f t="shared" si="34"/>
        <v/>
      </c>
      <c r="BW7" s="11" t="str">
        <f t="shared" si="35"/>
        <v/>
      </c>
      <c r="BX7" s="11">
        <f t="shared" si="36"/>
        <v>41.28</v>
      </c>
      <c r="BY7" s="22">
        <v>4.8</v>
      </c>
      <c r="BZ7" s="22">
        <v>2.9</v>
      </c>
      <c r="CA7" s="22">
        <v>4.4000000000000004</v>
      </c>
      <c r="CB7" s="22">
        <v>4.6900000000000004</v>
      </c>
      <c r="CC7" s="22">
        <v>0</v>
      </c>
      <c r="CD7" s="22">
        <v>14.8</v>
      </c>
      <c r="CE7" s="22">
        <v>9.5</v>
      </c>
      <c r="CF7" s="22">
        <v>13.5</v>
      </c>
      <c r="CG7" s="22">
        <v>14.8</v>
      </c>
      <c r="CH7" s="22">
        <v>0</v>
      </c>
      <c r="CI7" s="22">
        <v>15.5</v>
      </c>
      <c r="CJ7" s="22">
        <v>9.6999999999999993</v>
      </c>
      <c r="CK7" s="22">
        <v>13.5</v>
      </c>
      <c r="CL7" s="22">
        <v>15.14</v>
      </c>
      <c r="CM7" s="22">
        <v>0</v>
      </c>
      <c r="CN7" s="27"/>
      <c r="CO7" s="38">
        <f t="shared" si="37"/>
        <v>4.4000000000000004</v>
      </c>
      <c r="CP7" s="38">
        <f t="shared" si="38"/>
        <v>4.6900000000000004</v>
      </c>
      <c r="CQ7" s="40">
        <f t="shared" si="39"/>
        <v>16.79</v>
      </c>
      <c r="CR7" s="40">
        <f t="shared" si="40"/>
        <v>13.5</v>
      </c>
      <c r="CS7" s="40">
        <f t="shared" si="41"/>
        <v>14.8</v>
      </c>
      <c r="CT7" s="40">
        <f t="shared" si="42"/>
        <v>52.599999999999994</v>
      </c>
      <c r="CU7" s="40">
        <f t="shared" si="43"/>
        <v>52.599999999999994</v>
      </c>
      <c r="CV7" s="40">
        <f t="shared" si="44"/>
        <v>13.5</v>
      </c>
      <c r="CW7" s="40">
        <f t="shared" si="45"/>
        <v>15.14</v>
      </c>
      <c r="CX7" s="40">
        <f t="shared" si="46"/>
        <v>53.84</v>
      </c>
      <c r="CY7" s="40">
        <f t="shared" si="47"/>
        <v>106.44</v>
      </c>
      <c r="CZ7" s="50">
        <f t="shared" si="48"/>
        <v>0.36999999999999744</v>
      </c>
      <c r="DA7" s="50" t="str">
        <f t="shared" si="49"/>
        <v/>
      </c>
      <c r="DB7" s="17"/>
      <c r="DC7" s="17"/>
      <c r="DD7" s="17"/>
      <c r="DE7" s="17"/>
      <c r="DF7" s="17"/>
      <c r="DG7" s="17">
        <v>14.4</v>
      </c>
      <c r="DH7" s="17">
        <v>9.5</v>
      </c>
      <c r="DI7" s="17">
        <v>13.5</v>
      </c>
      <c r="DJ7" s="17">
        <v>14.75</v>
      </c>
      <c r="DK7" s="17">
        <v>0</v>
      </c>
      <c r="DL7" s="17"/>
      <c r="DM7" s="17"/>
      <c r="DN7" s="17"/>
      <c r="DO7" s="17"/>
      <c r="DP7" s="17"/>
      <c r="DQ7" s="17"/>
      <c r="DR7" s="17"/>
      <c r="DS7" s="17"/>
      <c r="DT7" s="17"/>
      <c r="DU7" s="17"/>
      <c r="DV7" s="40" t="str">
        <f t="shared" si="50"/>
        <v/>
      </c>
      <c r="DW7" s="40" t="str">
        <f t="shared" si="51"/>
        <v/>
      </c>
      <c r="DX7" s="40" t="str">
        <f t="shared" si="52"/>
        <v/>
      </c>
      <c r="DY7" s="40">
        <f t="shared" si="53"/>
        <v>13.5</v>
      </c>
      <c r="DZ7" s="40">
        <f t="shared" si="54"/>
        <v>14.75</v>
      </c>
      <c r="EA7" s="40">
        <f t="shared" si="55"/>
        <v>52.15</v>
      </c>
      <c r="EB7" s="40">
        <f t="shared" si="56"/>
        <v>52.15</v>
      </c>
      <c r="EC7" s="40" t="str">
        <f t="shared" si="57"/>
        <v/>
      </c>
      <c r="ED7" s="40" t="str">
        <f t="shared" si="58"/>
        <v/>
      </c>
      <c r="EE7" s="40" t="str">
        <f t="shared" si="59"/>
        <v/>
      </c>
      <c r="EF7" s="40" t="str">
        <f t="shared" si="60"/>
        <v/>
      </c>
      <c r="EG7" s="40" t="str">
        <f t="shared" si="61"/>
        <v/>
      </c>
      <c r="EH7" s="40" t="str">
        <f t="shared" si="62"/>
        <v/>
      </c>
      <c r="EI7" s="40">
        <f t="shared" si="63"/>
        <v>52.15</v>
      </c>
      <c r="EJ7" s="18"/>
      <c r="EK7" s="18"/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8"/>
      <c r="FA7" s="18"/>
      <c r="FB7" s="18"/>
      <c r="FC7" s="18"/>
      <c r="FD7" s="11" t="str">
        <f t="shared" si="64"/>
        <v/>
      </c>
      <c r="FE7" s="11" t="str">
        <f t="shared" si="65"/>
        <v/>
      </c>
      <c r="FF7" s="11" t="str">
        <f t="shared" si="66"/>
        <v/>
      </c>
      <c r="FG7" s="11" t="str">
        <f t="shared" si="67"/>
        <v/>
      </c>
      <c r="FH7" s="11" t="str">
        <f t="shared" si="68"/>
        <v/>
      </c>
      <c r="FI7" s="11" t="str">
        <f t="shared" si="69"/>
        <v/>
      </c>
      <c r="FJ7" s="11" t="str">
        <f t="shared" si="70"/>
        <v/>
      </c>
      <c r="FK7" s="11" t="str">
        <f t="shared" si="71"/>
        <v/>
      </c>
      <c r="FL7" s="11" t="str">
        <f t="shared" si="72"/>
        <v/>
      </c>
      <c r="FM7" s="11" t="str">
        <f t="shared" si="73"/>
        <v/>
      </c>
      <c r="FN7" s="11" t="str">
        <f t="shared" si="74"/>
        <v/>
      </c>
      <c r="FO7" s="11" t="str">
        <f t="shared" si="75"/>
        <v/>
      </c>
      <c r="FP7" s="11" t="str">
        <f t="shared" si="76"/>
        <v/>
      </c>
      <c r="FQ7" s="11" t="str">
        <f t="shared" si="77"/>
        <v/>
      </c>
      <c r="FR7" s="17"/>
      <c r="FS7" s="17"/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17"/>
      <c r="GF7" s="17"/>
      <c r="GG7" s="17"/>
      <c r="GH7" s="17"/>
      <c r="GI7" s="17"/>
      <c r="GJ7" s="17"/>
      <c r="GK7" s="17"/>
      <c r="GL7" s="40" t="str">
        <f t="shared" si="78"/>
        <v/>
      </c>
      <c r="GM7" s="40" t="str">
        <f t="shared" si="79"/>
        <v/>
      </c>
      <c r="GN7" s="40" t="str">
        <f t="shared" si="80"/>
        <v/>
      </c>
      <c r="GO7" s="40" t="str">
        <f t="shared" si="81"/>
        <v/>
      </c>
      <c r="GP7" s="40" t="str">
        <f t="shared" si="82"/>
        <v/>
      </c>
      <c r="GQ7" s="40" t="str">
        <f t="shared" si="83"/>
        <v/>
      </c>
      <c r="GR7" s="40" t="str">
        <f t="shared" si="84"/>
        <v/>
      </c>
      <c r="GS7" s="40" t="str">
        <f t="shared" si="85"/>
        <v/>
      </c>
      <c r="GT7" s="40" t="str">
        <f t="shared" si="86"/>
        <v/>
      </c>
      <c r="GU7" s="40" t="str">
        <f t="shared" si="87"/>
        <v/>
      </c>
      <c r="GV7" s="40" t="str">
        <f t="shared" si="88"/>
        <v/>
      </c>
      <c r="GW7" s="40" t="str">
        <f t="shared" si="89"/>
        <v/>
      </c>
      <c r="GX7" s="40" t="str">
        <f t="shared" si="90"/>
        <v/>
      </c>
      <c r="GY7" s="40" t="str">
        <f t="shared" si="91"/>
        <v/>
      </c>
      <c r="GZ7" s="18"/>
      <c r="HA7" s="18"/>
      <c r="HB7" s="18"/>
      <c r="HC7" s="18"/>
      <c r="HD7" s="18"/>
      <c r="HE7" s="18"/>
      <c r="HF7" s="18"/>
      <c r="HG7" s="18"/>
      <c r="HH7" s="18"/>
      <c r="HI7" s="18"/>
      <c r="HJ7" s="18"/>
      <c r="HK7" s="18"/>
      <c r="HL7" s="18"/>
      <c r="HM7" s="18"/>
      <c r="HN7" s="18"/>
      <c r="HO7" s="18"/>
      <c r="HP7" s="18"/>
      <c r="HQ7" s="18"/>
      <c r="HR7" s="18"/>
      <c r="HS7" s="18"/>
      <c r="HT7" s="11" t="str">
        <f t="shared" si="92"/>
        <v/>
      </c>
      <c r="HU7" s="11" t="str">
        <f t="shared" si="93"/>
        <v/>
      </c>
      <c r="HV7" s="11" t="str">
        <f t="shared" si="94"/>
        <v/>
      </c>
      <c r="HW7" s="11" t="str">
        <f t="shared" si="95"/>
        <v/>
      </c>
      <c r="HX7" s="11" t="str">
        <f t="shared" si="96"/>
        <v/>
      </c>
      <c r="HY7" s="11" t="str">
        <f t="shared" si="97"/>
        <v/>
      </c>
      <c r="HZ7" s="11" t="str">
        <f t="shared" si="98"/>
        <v/>
      </c>
      <c r="IA7" s="11" t="str">
        <f t="shared" si="99"/>
        <v/>
      </c>
      <c r="IB7" s="11" t="str">
        <f t="shared" si="100"/>
        <v/>
      </c>
      <c r="IC7" s="11" t="str">
        <f t="shared" si="101"/>
        <v/>
      </c>
      <c r="ID7" s="11" t="str">
        <f t="shared" si="102"/>
        <v/>
      </c>
      <c r="IE7" s="11" t="str">
        <f t="shared" si="103"/>
        <v/>
      </c>
      <c r="IF7" s="11" t="str">
        <f t="shared" si="104"/>
        <v/>
      </c>
      <c r="IG7" s="11" t="str">
        <f t="shared" si="105"/>
        <v/>
      </c>
      <c r="IH7" s="17"/>
      <c r="II7" s="17"/>
      <c r="IJ7" s="17"/>
      <c r="IK7" s="17"/>
      <c r="IL7" s="17"/>
      <c r="IM7" s="17"/>
      <c r="IN7" s="17"/>
      <c r="IO7" s="17"/>
      <c r="IP7" s="17"/>
      <c r="IQ7" s="17"/>
      <c r="IR7" s="17"/>
      <c r="IS7" s="17"/>
      <c r="IT7" s="17"/>
      <c r="IU7" s="17"/>
      <c r="IV7" s="17"/>
      <c r="IW7" s="17"/>
      <c r="IX7" s="17"/>
      <c r="IY7" s="17"/>
      <c r="IZ7" s="17"/>
      <c r="JA7" s="17"/>
      <c r="JB7" s="40" t="str">
        <f t="shared" si="106"/>
        <v/>
      </c>
      <c r="JC7" s="40" t="str">
        <f t="shared" si="107"/>
        <v/>
      </c>
      <c r="JD7" s="40" t="str">
        <f t="shared" si="108"/>
        <v/>
      </c>
      <c r="JE7" s="40" t="str">
        <f t="shared" si="109"/>
        <v/>
      </c>
      <c r="JF7" s="40" t="str">
        <f t="shared" si="110"/>
        <v/>
      </c>
      <c r="JG7" s="40" t="str">
        <f t="shared" si="111"/>
        <v/>
      </c>
      <c r="JH7" s="40" t="str">
        <f t="shared" si="112"/>
        <v/>
      </c>
      <c r="JI7" s="40" t="str">
        <f t="shared" si="113"/>
        <v/>
      </c>
      <c r="JJ7" s="40" t="str">
        <f t="shared" si="114"/>
        <v/>
      </c>
      <c r="JK7" s="40" t="str">
        <f t="shared" si="115"/>
        <v/>
      </c>
      <c r="JL7" s="40" t="str">
        <f t="shared" si="116"/>
        <v/>
      </c>
      <c r="JM7" s="40" t="str">
        <f t="shared" si="117"/>
        <v/>
      </c>
      <c r="JN7" s="40" t="str">
        <f t="shared" si="118"/>
        <v/>
      </c>
      <c r="JO7" s="40" t="str">
        <f t="shared" si="119"/>
        <v/>
      </c>
      <c r="JP7" s="18"/>
      <c r="JQ7" s="18"/>
      <c r="JR7" s="18"/>
      <c r="JS7" s="18"/>
      <c r="JT7" s="18"/>
      <c r="JU7" s="18"/>
      <c r="JV7" s="18"/>
      <c r="JW7" s="18"/>
      <c r="JX7" s="18"/>
      <c r="JY7" s="18"/>
      <c r="JZ7" s="18"/>
      <c r="KA7" s="18"/>
      <c r="KB7" s="18"/>
      <c r="KC7" s="18"/>
      <c r="KD7" s="18"/>
      <c r="KE7" s="18"/>
      <c r="KF7" s="18"/>
      <c r="KG7" s="18"/>
      <c r="KH7" s="18"/>
      <c r="KI7" s="18"/>
      <c r="KJ7" s="11" t="str">
        <f t="shared" si="120"/>
        <v/>
      </c>
      <c r="KK7" s="11" t="str">
        <f t="shared" si="121"/>
        <v/>
      </c>
      <c r="KL7" s="11" t="str">
        <f t="shared" si="122"/>
        <v/>
      </c>
      <c r="KM7" s="11" t="str">
        <f t="shared" si="123"/>
        <v/>
      </c>
      <c r="KN7" s="11" t="str">
        <f t="shared" si="124"/>
        <v/>
      </c>
      <c r="KO7" s="11" t="str">
        <f t="shared" si="125"/>
        <v/>
      </c>
      <c r="KP7" s="11" t="str">
        <f t="shared" si="126"/>
        <v/>
      </c>
      <c r="KQ7" s="11" t="str">
        <f t="shared" si="127"/>
        <v/>
      </c>
      <c r="KR7" s="11" t="str">
        <f t="shared" si="128"/>
        <v/>
      </c>
      <c r="KS7" s="11" t="str">
        <f t="shared" si="129"/>
        <v/>
      </c>
      <c r="KT7" s="11" t="str">
        <f t="shared" si="130"/>
        <v/>
      </c>
      <c r="KU7" s="11" t="str">
        <f t="shared" si="131"/>
        <v/>
      </c>
      <c r="KV7" s="11" t="str">
        <f t="shared" si="132"/>
        <v/>
      </c>
      <c r="KW7" s="11" t="str">
        <f t="shared" si="133"/>
        <v/>
      </c>
      <c r="KX7" s="17"/>
      <c r="KY7" s="17"/>
      <c r="KZ7" s="17"/>
      <c r="LA7" s="17"/>
      <c r="LB7" s="17"/>
      <c r="LC7" s="17"/>
      <c r="LD7" s="17"/>
      <c r="LE7" s="17"/>
      <c r="LF7" s="17"/>
      <c r="LG7" s="17"/>
      <c r="LH7" s="17"/>
      <c r="LI7" s="17"/>
      <c r="LJ7" s="17"/>
      <c r="LK7" s="17"/>
      <c r="LL7" s="17"/>
      <c r="LM7" s="17"/>
      <c r="LN7" s="17"/>
      <c r="LO7" s="17"/>
      <c r="LP7" s="17"/>
      <c r="LQ7" s="17"/>
      <c r="LR7" s="40" t="str">
        <f t="shared" si="134"/>
        <v/>
      </c>
      <c r="LS7" s="40" t="str">
        <f t="shared" si="135"/>
        <v/>
      </c>
      <c r="LT7" s="40" t="str">
        <f t="shared" si="136"/>
        <v/>
      </c>
      <c r="LU7" s="40" t="str">
        <f t="shared" si="137"/>
        <v/>
      </c>
      <c r="LV7" s="40" t="str">
        <f t="shared" si="138"/>
        <v/>
      </c>
      <c r="LW7" s="40" t="str">
        <f t="shared" si="139"/>
        <v/>
      </c>
      <c r="LX7" s="40" t="str">
        <f t="shared" si="140"/>
        <v/>
      </c>
      <c r="LY7" s="40" t="str">
        <f t="shared" si="141"/>
        <v/>
      </c>
      <c r="LZ7" s="40" t="str">
        <f t="shared" si="142"/>
        <v/>
      </c>
      <c r="MA7" s="40" t="str">
        <f t="shared" si="143"/>
        <v/>
      </c>
      <c r="MB7" s="40" t="str">
        <f t="shared" si="144"/>
        <v/>
      </c>
      <c r="MC7" s="40" t="str">
        <f t="shared" si="145"/>
        <v/>
      </c>
      <c r="MD7" s="40" t="str">
        <f t="shared" si="146"/>
        <v/>
      </c>
      <c r="ME7" s="40" t="str">
        <f t="shared" si="147"/>
        <v/>
      </c>
      <c r="MF7" s="18"/>
      <c r="MG7" s="18"/>
      <c r="MH7" s="18"/>
      <c r="MI7" s="18"/>
      <c r="MJ7" s="18"/>
      <c r="MK7" s="18"/>
      <c r="ML7" s="18"/>
      <c r="MM7" s="18"/>
      <c r="MN7" s="18"/>
      <c r="MO7" s="18"/>
      <c r="MP7" s="18"/>
      <c r="MQ7" s="18"/>
      <c r="MR7" s="18"/>
      <c r="MS7" s="18"/>
      <c r="MT7" s="18"/>
      <c r="MU7" s="18"/>
      <c r="MV7" s="18"/>
      <c r="MW7" s="18"/>
      <c r="MX7" s="18"/>
      <c r="MY7" s="18"/>
      <c r="MZ7" s="11" t="str">
        <f t="shared" si="148"/>
        <v/>
      </c>
      <c r="NA7" s="11" t="str">
        <f t="shared" si="149"/>
        <v/>
      </c>
      <c r="NB7" s="11" t="str">
        <f t="shared" si="150"/>
        <v/>
      </c>
      <c r="NC7" s="11" t="str">
        <f t="shared" si="151"/>
        <v/>
      </c>
      <c r="ND7" s="11" t="str">
        <f t="shared" si="152"/>
        <v/>
      </c>
      <c r="NE7" s="11" t="str">
        <f t="shared" si="153"/>
        <v/>
      </c>
      <c r="NF7" s="11" t="str">
        <f t="shared" si="154"/>
        <v/>
      </c>
      <c r="NG7" s="11" t="str">
        <f t="shared" si="155"/>
        <v/>
      </c>
      <c r="NH7" s="11" t="str">
        <f t="shared" si="156"/>
        <v/>
      </c>
      <c r="NI7" s="11" t="str">
        <f t="shared" si="157"/>
        <v/>
      </c>
      <c r="NJ7" s="11" t="str">
        <f t="shared" si="158"/>
        <v/>
      </c>
      <c r="NK7" s="11" t="str">
        <f t="shared" si="159"/>
        <v/>
      </c>
      <c r="NL7" s="11" t="str">
        <f t="shared" si="160"/>
        <v/>
      </c>
      <c r="NM7" s="11" t="str">
        <f t="shared" si="161"/>
        <v/>
      </c>
      <c r="NN7" s="17"/>
      <c r="NO7" s="17"/>
      <c r="NP7" s="17"/>
      <c r="NQ7" s="17"/>
      <c r="NR7" s="17"/>
      <c r="NS7" s="17"/>
      <c r="NT7" s="17"/>
      <c r="NU7" s="17"/>
      <c r="NV7" s="17"/>
      <c r="NW7" s="17"/>
      <c r="NX7" s="17"/>
      <c r="NY7" s="17"/>
      <c r="NZ7" s="17"/>
      <c r="OA7" s="17"/>
      <c r="OB7" s="17"/>
      <c r="OC7" s="17"/>
      <c r="OD7" s="17"/>
      <c r="OE7" s="17"/>
      <c r="OF7" s="17"/>
      <c r="OG7" s="17"/>
      <c r="OH7" s="40" t="str">
        <f t="shared" si="162"/>
        <v/>
      </c>
      <c r="OI7" s="40" t="str">
        <f t="shared" si="163"/>
        <v/>
      </c>
      <c r="OJ7" s="40" t="str">
        <f t="shared" si="164"/>
        <v/>
      </c>
      <c r="OK7" s="40" t="str">
        <f t="shared" si="165"/>
        <v/>
      </c>
      <c r="OL7" s="40" t="str">
        <f t="shared" si="166"/>
        <v/>
      </c>
      <c r="OM7" s="40" t="str">
        <f t="shared" si="167"/>
        <v/>
      </c>
      <c r="ON7" s="40" t="str">
        <f t="shared" si="168"/>
        <v/>
      </c>
      <c r="OO7" s="40" t="str">
        <f t="shared" si="169"/>
        <v/>
      </c>
      <c r="OP7" s="40" t="str">
        <f t="shared" si="170"/>
        <v/>
      </c>
      <c r="OQ7" s="40" t="str">
        <f t="shared" si="171"/>
        <v/>
      </c>
      <c r="OR7" s="40" t="str">
        <f t="shared" si="172"/>
        <v/>
      </c>
      <c r="OS7" s="40" t="str">
        <f t="shared" si="173"/>
        <v/>
      </c>
      <c r="OT7" s="40" t="str">
        <f t="shared" si="174"/>
        <v/>
      </c>
      <c r="OU7" s="40" t="str">
        <f t="shared" si="175"/>
        <v/>
      </c>
      <c r="OV7" s="18"/>
      <c r="OW7" s="18"/>
      <c r="OX7" s="18"/>
      <c r="OY7" s="18"/>
      <c r="OZ7" s="18"/>
      <c r="PA7" s="18"/>
      <c r="PB7" s="18"/>
      <c r="PC7" s="18"/>
      <c r="PD7" s="18"/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1" t="str">
        <f t="shared" si="176"/>
        <v/>
      </c>
      <c r="PQ7" s="11" t="str">
        <f t="shared" si="177"/>
        <v/>
      </c>
      <c r="PR7" s="11" t="str">
        <f t="shared" si="178"/>
        <v/>
      </c>
      <c r="PS7" s="11" t="str">
        <f t="shared" si="179"/>
        <v/>
      </c>
      <c r="PT7" s="11" t="str">
        <f t="shared" si="180"/>
        <v/>
      </c>
      <c r="PU7" s="11" t="str">
        <f t="shared" si="181"/>
        <v/>
      </c>
      <c r="PV7" s="11" t="str">
        <f t="shared" si="182"/>
        <v/>
      </c>
      <c r="PW7" s="11" t="str">
        <f t="shared" si="183"/>
        <v/>
      </c>
      <c r="PX7" s="11" t="str">
        <f t="shared" si="184"/>
        <v/>
      </c>
      <c r="PY7" s="11" t="str">
        <f t="shared" si="185"/>
        <v/>
      </c>
      <c r="PZ7" s="11" t="str">
        <f t="shared" si="186"/>
        <v/>
      </c>
      <c r="QA7" s="11" t="str">
        <f t="shared" si="187"/>
        <v/>
      </c>
      <c r="QB7" s="11" t="str">
        <f t="shared" si="188"/>
        <v/>
      </c>
      <c r="QC7" s="11" t="str">
        <f t="shared" si="189"/>
        <v/>
      </c>
      <c r="QD7" s="17"/>
      <c r="QE7" s="17"/>
      <c r="QF7" s="17"/>
      <c r="QG7" s="17"/>
      <c r="QH7" s="17"/>
      <c r="QI7" s="17"/>
      <c r="QJ7" s="17"/>
      <c r="QK7" s="17"/>
      <c r="QL7" s="17"/>
      <c r="QM7" s="17"/>
      <c r="QN7" s="17"/>
      <c r="QO7" s="17"/>
      <c r="QP7" s="17"/>
      <c r="QQ7" s="17"/>
      <c r="QR7" s="17"/>
      <c r="QS7" s="17"/>
      <c r="QT7" s="17"/>
      <c r="QU7" s="17"/>
      <c r="QV7" s="17"/>
      <c r="QW7" s="17"/>
      <c r="QX7" s="40" t="str">
        <f t="shared" si="190"/>
        <v/>
      </c>
      <c r="QY7" s="40" t="str">
        <f t="shared" si="191"/>
        <v/>
      </c>
      <c r="QZ7" s="40" t="str">
        <f t="shared" si="192"/>
        <v/>
      </c>
      <c r="RA7" s="40" t="str">
        <f t="shared" si="193"/>
        <v/>
      </c>
      <c r="RB7" s="40" t="str">
        <f t="shared" si="194"/>
        <v/>
      </c>
      <c r="RC7" s="40" t="str">
        <f t="shared" si="195"/>
        <v/>
      </c>
      <c r="RD7" s="40" t="str">
        <f t="shared" si="196"/>
        <v/>
      </c>
      <c r="RE7" s="40" t="str">
        <f t="shared" si="197"/>
        <v/>
      </c>
      <c r="RF7" s="40" t="str">
        <f t="shared" si="198"/>
        <v/>
      </c>
      <c r="RG7" s="40" t="str">
        <f t="shared" si="199"/>
        <v/>
      </c>
      <c r="RH7" s="40" t="str">
        <f t="shared" si="200"/>
        <v/>
      </c>
      <c r="RI7" s="40" t="str">
        <f t="shared" si="201"/>
        <v/>
      </c>
      <c r="RJ7" s="40" t="str">
        <f t="shared" si="202"/>
        <v/>
      </c>
      <c r="RK7" s="40" t="str">
        <f t="shared" si="203"/>
        <v/>
      </c>
      <c r="RL7" s="18"/>
      <c r="RM7" s="18"/>
      <c r="RN7" s="18"/>
      <c r="RO7" s="18"/>
      <c r="RP7" s="18"/>
      <c r="RQ7" s="18"/>
      <c r="RR7" s="18"/>
      <c r="RS7" s="18"/>
      <c r="RT7" s="18"/>
      <c r="RU7" s="18"/>
      <c r="RV7" s="18"/>
      <c r="RW7" s="18"/>
      <c r="RX7" s="18"/>
      <c r="RY7" s="18"/>
      <c r="RZ7" s="18"/>
      <c r="SA7" s="18"/>
      <c r="SB7" s="18"/>
      <c r="SC7" s="18"/>
      <c r="SD7" s="18"/>
      <c r="SE7" s="18"/>
      <c r="SF7" s="11" t="str">
        <f t="shared" si="204"/>
        <v/>
      </c>
      <c r="SG7" s="11" t="str">
        <f t="shared" si="205"/>
        <v/>
      </c>
      <c r="SH7" s="11" t="str">
        <f t="shared" si="206"/>
        <v/>
      </c>
      <c r="SI7" s="11" t="str">
        <f t="shared" si="207"/>
        <v/>
      </c>
      <c r="SJ7" s="11" t="str">
        <f t="shared" si="208"/>
        <v/>
      </c>
      <c r="SK7" s="11" t="str">
        <f t="shared" si="209"/>
        <v/>
      </c>
      <c r="SL7" s="11" t="str">
        <f t="shared" si="210"/>
        <v/>
      </c>
      <c r="SM7" s="11" t="str">
        <f t="shared" si="211"/>
        <v/>
      </c>
      <c r="SN7" s="11" t="str">
        <f t="shared" si="212"/>
        <v/>
      </c>
      <c r="SO7" s="11" t="str">
        <f t="shared" si="213"/>
        <v/>
      </c>
      <c r="SP7" s="11" t="str">
        <f t="shared" si="214"/>
        <v/>
      </c>
      <c r="SQ7" s="11" t="str">
        <f t="shared" si="215"/>
        <v/>
      </c>
      <c r="SR7" s="11" t="str">
        <f t="shared" si="216"/>
        <v/>
      </c>
      <c r="SS7" s="11" t="str">
        <f t="shared" si="217"/>
        <v/>
      </c>
      <c r="ST7" s="22">
        <f t="shared" si="218"/>
        <v>3.0999999999999996</v>
      </c>
      <c r="SU7" s="22">
        <f t="shared" si="219"/>
        <v>1.9</v>
      </c>
      <c r="SV7" s="22">
        <f t="shared" si="220"/>
        <v>3.0500000000000003</v>
      </c>
      <c r="SW7" s="22">
        <f t="shared" si="221"/>
        <v>3.17</v>
      </c>
      <c r="SX7" s="22">
        <f t="shared" si="222"/>
        <v>0</v>
      </c>
      <c r="SY7" s="22">
        <f t="shared" si="223"/>
        <v>12.850000000000001</v>
      </c>
      <c r="SZ7" s="22">
        <f t="shared" si="224"/>
        <v>8.4</v>
      </c>
      <c r="TA7" s="22">
        <f t="shared" si="225"/>
        <v>12.15</v>
      </c>
      <c r="TB7" s="22">
        <f t="shared" si="226"/>
        <v>13.54</v>
      </c>
      <c r="TC7" s="22">
        <f t="shared" si="227"/>
        <v>0</v>
      </c>
      <c r="TD7" s="22">
        <f t="shared" si="228"/>
        <v>7.75</v>
      </c>
      <c r="TE7" s="22">
        <f t="shared" si="229"/>
        <v>4.8499999999999996</v>
      </c>
      <c r="TF7" s="22">
        <f t="shared" si="230"/>
        <v>6.75</v>
      </c>
      <c r="TG7" s="22">
        <f t="shared" si="231"/>
        <v>7.57</v>
      </c>
      <c r="TH7" s="22">
        <f t="shared" si="232"/>
        <v>0</v>
      </c>
      <c r="TI7" s="27" t="s">
        <v>46</v>
      </c>
      <c r="TJ7" s="40">
        <f t="shared" si="233"/>
        <v>3.0500000000000003</v>
      </c>
      <c r="TK7" s="40">
        <f t="shared" si="234"/>
        <v>3.17</v>
      </c>
      <c r="TL7" s="40">
        <f t="shared" si="235"/>
        <v>11.22</v>
      </c>
      <c r="TM7" s="40">
        <f t="shared" si="236"/>
        <v>12.15</v>
      </c>
      <c r="TN7" s="40">
        <f t="shared" si="237"/>
        <v>13.54</v>
      </c>
      <c r="TO7" s="40">
        <f t="shared" si="238"/>
        <v>46.94</v>
      </c>
      <c r="TP7" s="40">
        <f t="shared" si="239"/>
        <v>46.94</v>
      </c>
      <c r="TQ7" s="40">
        <f t="shared" si="240"/>
        <v>6.75</v>
      </c>
      <c r="TR7" s="40">
        <f t="shared" si="241"/>
        <v>7.57</v>
      </c>
      <c r="TS7" s="40">
        <f t="shared" si="242"/>
        <v>26.92</v>
      </c>
      <c r="TT7" s="40">
        <f t="shared" si="243"/>
        <v>73.86</v>
      </c>
    </row>
    <row r="8" spans="1:540" x14ac:dyDescent="0.2">
      <c r="A8" s="4" cm="1">
        <f t="array" ref="A8">IF(AND(F8&lt;&gt;"",G8&lt;&gt;""),SUMPRODUCT((F$4:F$35&lt;&gt;"")*(G$4:G$35&lt;&gt;"")*(E$4:E$35&gt;E8))+1,IF(G8&lt;&gt;"",SUMPRODUCT((H$4:H$35="No DD")*(E$4:E$35&gt;E8))+1+SUMPRODUCT((F$4:F$35&lt;&gt;"")*(G$4:G$35&lt;&gt;"")),""))</f>
        <v>5</v>
      </c>
      <c r="B8" s="5" t="s">
        <v>211</v>
      </c>
      <c r="C8" s="4" t="s">
        <v>6</v>
      </c>
      <c r="D8" s="4">
        <v>2006</v>
      </c>
      <c r="E8" s="9">
        <f t="shared" si="0"/>
        <v>186.48001846600545</v>
      </c>
      <c r="F8" s="3" t="str">
        <f t="shared" si="1"/>
        <v>P</v>
      </c>
      <c r="G8" s="3" t="str">
        <f t="shared" si="2"/>
        <v>P</v>
      </c>
      <c r="H8" s="36" t="str">
        <f t="shared" si="3"/>
        <v>National Team</v>
      </c>
      <c r="I8" s="3" t="str">
        <f t="shared" si="4"/>
        <v/>
      </c>
      <c r="J8" s="8">
        <f>IF(COUNT(AO8,AR8,BP8,BS8,CQ8,CT8)&gt;0,LARGE((AO8,AR8,BP8,BS8,CQ8,CT8),1),0)</f>
        <v>54.68</v>
      </c>
      <c r="K8" s="8" t="str">
        <f t="shared" si="5"/>
        <v>2023 Elite Canada</v>
      </c>
      <c r="L8" s="8">
        <f>IF(COUNT(AO8,AR8,BP8,BS8,CQ8,CT8)&gt;1,LARGE((AO8,AR8,BP8,BS8,CQ8,CT8),2),0)</f>
        <v>50.769999999999996</v>
      </c>
      <c r="M8" s="8" t="str">
        <f t="shared" si="6"/>
        <v>2022 Nationals</v>
      </c>
      <c r="N8" s="8">
        <f>IF(COUNT(AO8,AR8,BP8,BS8,CQ8,CT8)&gt;2,MAX(AV8,BW8,CX8,LARGE((AO8,AR8,BP8,BS8,CQ8,CT8),3)),IF(MAX(AV8,BW8,CX8)&gt;0,MAX(AV8,BW8,CX8),0))</f>
        <v>49.23</v>
      </c>
      <c r="O8" s="8" t="str">
        <f t="shared" si="7"/>
        <v>2022 3rd Domestic Trial</v>
      </c>
      <c r="P8" s="8">
        <f t="shared" si="8"/>
        <v>14.4</v>
      </c>
      <c r="Q8" s="8" t="str">
        <f t="shared" si="9"/>
        <v>2023 Elite Canada</v>
      </c>
      <c r="R8" s="8">
        <f t="shared" si="10"/>
        <v>15.58</v>
      </c>
      <c r="S8" s="8" t="str">
        <f t="shared" si="11"/>
        <v>2023 Elite Canada</v>
      </c>
      <c r="T8" s="8">
        <f t="shared" si="12"/>
        <v>1.8200000000000003</v>
      </c>
      <c r="U8" s="11" t="str">
        <f t="shared" si="13"/>
        <v>(Optional)</v>
      </c>
      <c r="V8" s="8" t="str">
        <f t="shared" si="14"/>
        <v>2022 WAGC (Nov 25)</v>
      </c>
      <c r="W8" s="22"/>
      <c r="X8" s="22"/>
      <c r="Y8" s="22"/>
      <c r="Z8" s="22"/>
      <c r="AA8" s="22"/>
      <c r="AB8" s="22">
        <v>14.5</v>
      </c>
      <c r="AC8" s="22">
        <v>9</v>
      </c>
      <c r="AD8" s="22">
        <v>12.4</v>
      </c>
      <c r="AE8" s="22">
        <v>14.87</v>
      </c>
      <c r="AF8" s="22">
        <v>0</v>
      </c>
      <c r="AG8" s="22">
        <v>4.5</v>
      </c>
      <c r="AH8" s="22">
        <v>2.6</v>
      </c>
      <c r="AI8" s="22">
        <v>3.2</v>
      </c>
      <c r="AJ8" s="22">
        <v>4.7699999999999996</v>
      </c>
      <c r="AK8" s="22">
        <v>0</v>
      </c>
      <c r="AL8" s="27"/>
      <c r="AM8" s="38" t="str">
        <f t="shared" si="15"/>
        <v/>
      </c>
      <c r="AN8" s="38" t="str">
        <f t="shared" si="16"/>
        <v/>
      </c>
      <c r="AO8" s="40" t="str">
        <f t="shared" si="17"/>
        <v/>
      </c>
      <c r="AP8" s="40">
        <f t="shared" si="18"/>
        <v>12.4</v>
      </c>
      <c r="AQ8" s="40">
        <f t="shared" si="19"/>
        <v>14.87</v>
      </c>
      <c r="AR8" s="40">
        <f t="shared" si="20"/>
        <v>50.769999999999996</v>
      </c>
      <c r="AS8" s="40" t="str">
        <f t="shared" si="21"/>
        <v/>
      </c>
      <c r="AT8" s="40">
        <f t="shared" si="22"/>
        <v>3.2</v>
      </c>
      <c r="AU8" s="40">
        <f t="shared" si="23"/>
        <v>4.7699999999999996</v>
      </c>
      <c r="AV8" s="40">
        <f t="shared" si="24"/>
        <v>15.07</v>
      </c>
      <c r="AW8" s="40">
        <f t="shared" si="25"/>
        <v>15.07</v>
      </c>
      <c r="AX8" s="26"/>
      <c r="AY8" s="26"/>
      <c r="AZ8" s="26"/>
      <c r="BA8" s="26"/>
      <c r="BB8" s="26"/>
      <c r="BC8" s="26">
        <v>12.5</v>
      </c>
      <c r="BD8" s="26">
        <v>9</v>
      </c>
      <c r="BE8" s="26">
        <v>12.4</v>
      </c>
      <c r="BF8" s="26">
        <v>15.33</v>
      </c>
      <c r="BG8" s="26">
        <v>0</v>
      </c>
      <c r="BH8" s="26">
        <v>12.7</v>
      </c>
      <c r="BI8" s="26">
        <v>9.1</v>
      </c>
      <c r="BJ8" s="26">
        <v>12.2</v>
      </c>
      <c r="BK8" s="26">
        <v>15.22</v>
      </c>
      <c r="BL8" s="26">
        <v>0</v>
      </c>
      <c r="BM8" s="28"/>
      <c r="BN8" s="39" t="str">
        <f t="shared" si="26"/>
        <v/>
      </c>
      <c r="BO8" s="39" t="str">
        <f t="shared" si="27"/>
        <v/>
      </c>
      <c r="BP8" s="11" t="str">
        <f t="shared" si="28"/>
        <v/>
      </c>
      <c r="BQ8" s="11">
        <f t="shared" si="29"/>
        <v>12.4</v>
      </c>
      <c r="BR8" s="11">
        <f t="shared" si="30"/>
        <v>15.33</v>
      </c>
      <c r="BS8" s="11">
        <f t="shared" si="31"/>
        <v>49.23</v>
      </c>
      <c r="BT8" s="11" t="str">
        <f t="shared" si="32"/>
        <v/>
      </c>
      <c r="BU8" s="11">
        <f t="shared" si="33"/>
        <v>12.2</v>
      </c>
      <c r="BV8" s="11">
        <f t="shared" si="34"/>
        <v>15.22</v>
      </c>
      <c r="BW8" s="11">
        <f t="shared" si="35"/>
        <v>49.22</v>
      </c>
      <c r="BX8" s="11">
        <f t="shared" si="36"/>
        <v>49.22</v>
      </c>
      <c r="BY8" s="22">
        <v>5.0999999999999996</v>
      </c>
      <c r="BZ8" s="22">
        <v>3.4</v>
      </c>
      <c r="CA8" s="22">
        <v>6.1</v>
      </c>
      <c r="CB8" s="22">
        <v>6.49</v>
      </c>
      <c r="CC8" s="22">
        <v>0</v>
      </c>
      <c r="CD8" s="22">
        <v>15.7</v>
      </c>
      <c r="CE8" s="22">
        <v>9</v>
      </c>
      <c r="CF8" s="22">
        <v>14.4</v>
      </c>
      <c r="CG8" s="22">
        <v>15.58</v>
      </c>
      <c r="CH8" s="22">
        <v>0</v>
      </c>
      <c r="CI8" s="22">
        <v>2.8</v>
      </c>
      <c r="CJ8" s="22">
        <v>1.7</v>
      </c>
      <c r="CK8" s="22">
        <v>3.2</v>
      </c>
      <c r="CL8" s="22">
        <v>3.37</v>
      </c>
      <c r="CM8" s="22">
        <v>0</v>
      </c>
      <c r="CN8" s="27"/>
      <c r="CO8" s="38">
        <f t="shared" si="37"/>
        <v>6.1</v>
      </c>
      <c r="CP8" s="38">
        <f t="shared" si="38"/>
        <v>6.49</v>
      </c>
      <c r="CQ8" s="40">
        <f t="shared" si="39"/>
        <v>21.09</v>
      </c>
      <c r="CR8" s="40">
        <f t="shared" si="40"/>
        <v>14.4</v>
      </c>
      <c r="CS8" s="40">
        <f t="shared" si="41"/>
        <v>15.58</v>
      </c>
      <c r="CT8" s="40">
        <f t="shared" si="42"/>
        <v>54.68</v>
      </c>
      <c r="CU8" s="40">
        <f t="shared" si="43"/>
        <v>54.68</v>
      </c>
      <c r="CV8" s="40">
        <f t="shared" si="44"/>
        <v>3.2</v>
      </c>
      <c r="CW8" s="40">
        <f t="shared" si="45"/>
        <v>3.37</v>
      </c>
      <c r="CX8" s="40">
        <f t="shared" si="46"/>
        <v>11.07</v>
      </c>
      <c r="CY8" s="40">
        <f t="shared" si="47"/>
        <v>65.75</v>
      </c>
      <c r="CZ8" s="50">
        <f t="shared" si="48"/>
        <v>1.8200000000000003</v>
      </c>
      <c r="DA8" s="50" t="str">
        <f t="shared" si="49"/>
        <v/>
      </c>
      <c r="DB8" s="17"/>
      <c r="DC8" s="17"/>
      <c r="DD8" s="17"/>
      <c r="DE8" s="17"/>
      <c r="DF8" s="17"/>
      <c r="DG8" s="17">
        <v>14.3</v>
      </c>
      <c r="DH8" s="17">
        <v>8.8000000000000007</v>
      </c>
      <c r="DI8" s="17">
        <v>13.5</v>
      </c>
      <c r="DJ8" s="17">
        <v>14.65</v>
      </c>
      <c r="DK8" s="17">
        <v>0.2</v>
      </c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40" t="str">
        <f t="shared" si="50"/>
        <v/>
      </c>
      <c r="DW8" s="40" t="str">
        <f t="shared" si="51"/>
        <v/>
      </c>
      <c r="DX8" s="40" t="str">
        <f t="shared" si="52"/>
        <v/>
      </c>
      <c r="DY8" s="40">
        <f t="shared" si="53"/>
        <v>13.5</v>
      </c>
      <c r="DZ8" s="40">
        <f t="shared" si="54"/>
        <v>14.65</v>
      </c>
      <c r="EA8" s="40">
        <f t="shared" si="55"/>
        <v>51.05</v>
      </c>
      <c r="EB8" s="40">
        <f t="shared" si="56"/>
        <v>51.05</v>
      </c>
      <c r="EC8" s="40" t="str">
        <f t="shared" si="57"/>
        <v/>
      </c>
      <c r="ED8" s="40" t="str">
        <f t="shared" si="58"/>
        <v/>
      </c>
      <c r="EE8" s="40" t="str">
        <f t="shared" si="59"/>
        <v/>
      </c>
      <c r="EF8" s="40" t="str">
        <f t="shared" si="60"/>
        <v/>
      </c>
      <c r="EG8" s="40" t="str">
        <f t="shared" si="61"/>
        <v/>
      </c>
      <c r="EH8" s="40" t="str">
        <f t="shared" si="62"/>
        <v/>
      </c>
      <c r="EI8" s="40">
        <f t="shared" si="63"/>
        <v>51.05</v>
      </c>
      <c r="EJ8" s="18"/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8"/>
      <c r="FA8" s="18"/>
      <c r="FB8" s="18"/>
      <c r="FC8" s="18"/>
      <c r="FD8" s="11" t="str">
        <f t="shared" si="64"/>
        <v/>
      </c>
      <c r="FE8" s="11" t="str">
        <f t="shared" si="65"/>
        <v/>
      </c>
      <c r="FF8" s="11" t="str">
        <f t="shared" si="66"/>
        <v/>
      </c>
      <c r="FG8" s="11" t="str">
        <f t="shared" si="67"/>
        <v/>
      </c>
      <c r="FH8" s="11" t="str">
        <f t="shared" si="68"/>
        <v/>
      </c>
      <c r="FI8" s="11" t="str">
        <f t="shared" si="69"/>
        <v/>
      </c>
      <c r="FJ8" s="11" t="str">
        <f t="shared" si="70"/>
        <v/>
      </c>
      <c r="FK8" s="11" t="str">
        <f t="shared" si="71"/>
        <v/>
      </c>
      <c r="FL8" s="11" t="str">
        <f t="shared" si="72"/>
        <v/>
      </c>
      <c r="FM8" s="11" t="str">
        <f t="shared" si="73"/>
        <v/>
      </c>
      <c r="FN8" s="11" t="str">
        <f t="shared" si="74"/>
        <v/>
      </c>
      <c r="FO8" s="11" t="str">
        <f t="shared" si="75"/>
        <v/>
      </c>
      <c r="FP8" s="11" t="str">
        <f t="shared" si="76"/>
        <v/>
      </c>
      <c r="FQ8" s="11" t="str">
        <f t="shared" si="77"/>
        <v/>
      </c>
      <c r="FR8" s="17"/>
      <c r="FS8" s="17"/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17"/>
      <c r="GF8" s="17"/>
      <c r="GG8" s="17"/>
      <c r="GH8" s="17"/>
      <c r="GI8" s="17"/>
      <c r="GJ8" s="17"/>
      <c r="GK8" s="17"/>
      <c r="GL8" s="40" t="str">
        <f t="shared" si="78"/>
        <v/>
      </c>
      <c r="GM8" s="40" t="str">
        <f t="shared" si="79"/>
        <v/>
      </c>
      <c r="GN8" s="40" t="str">
        <f t="shared" si="80"/>
        <v/>
      </c>
      <c r="GO8" s="40" t="str">
        <f t="shared" si="81"/>
        <v/>
      </c>
      <c r="GP8" s="40" t="str">
        <f t="shared" si="82"/>
        <v/>
      </c>
      <c r="GQ8" s="40" t="str">
        <f t="shared" si="83"/>
        <v/>
      </c>
      <c r="GR8" s="40" t="str">
        <f t="shared" si="84"/>
        <v/>
      </c>
      <c r="GS8" s="40" t="str">
        <f t="shared" si="85"/>
        <v/>
      </c>
      <c r="GT8" s="40" t="str">
        <f t="shared" si="86"/>
        <v/>
      </c>
      <c r="GU8" s="40" t="str">
        <f t="shared" si="87"/>
        <v/>
      </c>
      <c r="GV8" s="40" t="str">
        <f t="shared" si="88"/>
        <v/>
      </c>
      <c r="GW8" s="40" t="str">
        <f t="shared" si="89"/>
        <v/>
      </c>
      <c r="GX8" s="40" t="str">
        <f t="shared" si="90"/>
        <v/>
      </c>
      <c r="GY8" s="40" t="str">
        <f t="shared" si="91"/>
        <v/>
      </c>
      <c r="GZ8" s="18"/>
      <c r="HA8" s="18"/>
      <c r="HB8" s="18"/>
      <c r="HC8" s="18"/>
      <c r="HD8" s="18"/>
      <c r="HE8" s="18"/>
      <c r="HF8" s="18"/>
      <c r="HG8" s="18"/>
      <c r="HH8" s="18"/>
      <c r="HI8" s="18"/>
      <c r="HJ8" s="18"/>
      <c r="HK8" s="18"/>
      <c r="HL8" s="18"/>
      <c r="HM8" s="18"/>
      <c r="HN8" s="18"/>
      <c r="HO8" s="18"/>
      <c r="HP8" s="18"/>
      <c r="HQ8" s="18"/>
      <c r="HR8" s="18"/>
      <c r="HS8" s="18"/>
      <c r="HT8" s="11" t="str">
        <f t="shared" si="92"/>
        <v/>
      </c>
      <c r="HU8" s="11" t="str">
        <f t="shared" si="93"/>
        <v/>
      </c>
      <c r="HV8" s="11" t="str">
        <f t="shared" si="94"/>
        <v/>
      </c>
      <c r="HW8" s="11" t="str">
        <f t="shared" si="95"/>
        <v/>
      </c>
      <c r="HX8" s="11" t="str">
        <f t="shared" si="96"/>
        <v/>
      </c>
      <c r="HY8" s="11" t="str">
        <f t="shared" si="97"/>
        <v/>
      </c>
      <c r="HZ8" s="11" t="str">
        <f t="shared" si="98"/>
        <v/>
      </c>
      <c r="IA8" s="11" t="str">
        <f t="shared" si="99"/>
        <v/>
      </c>
      <c r="IB8" s="11" t="str">
        <f t="shared" si="100"/>
        <v/>
      </c>
      <c r="IC8" s="11" t="str">
        <f t="shared" si="101"/>
        <v/>
      </c>
      <c r="ID8" s="11" t="str">
        <f t="shared" si="102"/>
        <v/>
      </c>
      <c r="IE8" s="11" t="str">
        <f t="shared" si="103"/>
        <v/>
      </c>
      <c r="IF8" s="11" t="str">
        <f t="shared" si="104"/>
        <v/>
      </c>
      <c r="IG8" s="11" t="str">
        <f t="shared" si="105"/>
        <v/>
      </c>
      <c r="IH8" s="17"/>
      <c r="II8" s="17"/>
      <c r="IJ8" s="17"/>
      <c r="IK8" s="17"/>
      <c r="IL8" s="17"/>
      <c r="IM8" s="17"/>
      <c r="IN8" s="17"/>
      <c r="IO8" s="17"/>
      <c r="IP8" s="17"/>
      <c r="IQ8" s="17"/>
      <c r="IR8" s="17"/>
      <c r="IS8" s="17"/>
      <c r="IT8" s="17"/>
      <c r="IU8" s="17"/>
      <c r="IV8" s="17"/>
      <c r="IW8" s="17"/>
      <c r="IX8" s="17"/>
      <c r="IY8" s="17"/>
      <c r="IZ8" s="17"/>
      <c r="JA8" s="17"/>
      <c r="JB8" s="40" t="str">
        <f t="shared" si="106"/>
        <v/>
      </c>
      <c r="JC8" s="40" t="str">
        <f t="shared" si="107"/>
        <v/>
      </c>
      <c r="JD8" s="40" t="str">
        <f t="shared" si="108"/>
        <v/>
      </c>
      <c r="JE8" s="40" t="str">
        <f t="shared" si="109"/>
        <v/>
      </c>
      <c r="JF8" s="40" t="str">
        <f t="shared" si="110"/>
        <v/>
      </c>
      <c r="JG8" s="40" t="str">
        <f t="shared" si="111"/>
        <v/>
      </c>
      <c r="JH8" s="40" t="str">
        <f t="shared" si="112"/>
        <v/>
      </c>
      <c r="JI8" s="40" t="str">
        <f t="shared" si="113"/>
        <v/>
      </c>
      <c r="JJ8" s="40" t="str">
        <f t="shared" si="114"/>
        <v/>
      </c>
      <c r="JK8" s="40" t="str">
        <f t="shared" si="115"/>
        <v/>
      </c>
      <c r="JL8" s="40" t="str">
        <f t="shared" si="116"/>
        <v/>
      </c>
      <c r="JM8" s="40" t="str">
        <f t="shared" si="117"/>
        <v/>
      </c>
      <c r="JN8" s="40" t="str">
        <f t="shared" si="118"/>
        <v/>
      </c>
      <c r="JO8" s="40" t="str">
        <f t="shared" si="119"/>
        <v/>
      </c>
      <c r="JP8" s="18"/>
      <c r="JQ8" s="18"/>
      <c r="JR8" s="18"/>
      <c r="JS8" s="18"/>
      <c r="JT8" s="18"/>
      <c r="JU8" s="18"/>
      <c r="JV8" s="18"/>
      <c r="JW8" s="18"/>
      <c r="JX8" s="18"/>
      <c r="JY8" s="18"/>
      <c r="JZ8" s="18"/>
      <c r="KA8" s="18"/>
      <c r="KB8" s="18"/>
      <c r="KC8" s="18"/>
      <c r="KD8" s="18"/>
      <c r="KE8" s="18"/>
      <c r="KF8" s="18"/>
      <c r="KG8" s="18"/>
      <c r="KH8" s="18"/>
      <c r="KI8" s="18"/>
      <c r="KJ8" s="11" t="str">
        <f t="shared" si="120"/>
        <v/>
      </c>
      <c r="KK8" s="11" t="str">
        <f t="shared" si="121"/>
        <v/>
      </c>
      <c r="KL8" s="11" t="str">
        <f t="shared" si="122"/>
        <v/>
      </c>
      <c r="KM8" s="11" t="str">
        <f t="shared" si="123"/>
        <v/>
      </c>
      <c r="KN8" s="11" t="str">
        <f t="shared" si="124"/>
        <v/>
      </c>
      <c r="KO8" s="11" t="str">
        <f t="shared" si="125"/>
        <v/>
      </c>
      <c r="KP8" s="11" t="str">
        <f t="shared" si="126"/>
        <v/>
      </c>
      <c r="KQ8" s="11" t="str">
        <f t="shared" si="127"/>
        <v/>
      </c>
      <c r="KR8" s="11" t="str">
        <f t="shared" si="128"/>
        <v/>
      </c>
      <c r="KS8" s="11" t="str">
        <f t="shared" si="129"/>
        <v/>
      </c>
      <c r="KT8" s="11" t="str">
        <f t="shared" si="130"/>
        <v/>
      </c>
      <c r="KU8" s="11" t="str">
        <f t="shared" si="131"/>
        <v/>
      </c>
      <c r="KV8" s="11" t="str">
        <f t="shared" si="132"/>
        <v/>
      </c>
      <c r="KW8" s="11" t="str">
        <f t="shared" si="133"/>
        <v/>
      </c>
      <c r="KX8" s="17"/>
      <c r="KY8" s="17"/>
      <c r="KZ8" s="17"/>
      <c r="LA8" s="17"/>
      <c r="LB8" s="17"/>
      <c r="LC8" s="17"/>
      <c r="LD8" s="17"/>
      <c r="LE8" s="17"/>
      <c r="LF8" s="17"/>
      <c r="LG8" s="17"/>
      <c r="LH8" s="17"/>
      <c r="LI8" s="17"/>
      <c r="LJ8" s="17"/>
      <c r="LK8" s="17"/>
      <c r="LL8" s="17"/>
      <c r="LM8" s="17"/>
      <c r="LN8" s="17"/>
      <c r="LO8" s="17"/>
      <c r="LP8" s="17"/>
      <c r="LQ8" s="17"/>
      <c r="LR8" s="40" t="str">
        <f t="shared" si="134"/>
        <v/>
      </c>
      <c r="LS8" s="40" t="str">
        <f t="shared" si="135"/>
        <v/>
      </c>
      <c r="LT8" s="40" t="str">
        <f t="shared" si="136"/>
        <v/>
      </c>
      <c r="LU8" s="40" t="str">
        <f t="shared" si="137"/>
        <v/>
      </c>
      <c r="LV8" s="40" t="str">
        <f t="shared" si="138"/>
        <v/>
      </c>
      <c r="LW8" s="40" t="str">
        <f t="shared" si="139"/>
        <v/>
      </c>
      <c r="LX8" s="40" t="str">
        <f t="shared" si="140"/>
        <v/>
      </c>
      <c r="LY8" s="40" t="str">
        <f t="shared" si="141"/>
        <v/>
      </c>
      <c r="LZ8" s="40" t="str">
        <f t="shared" si="142"/>
        <v/>
      </c>
      <c r="MA8" s="40" t="str">
        <f t="shared" si="143"/>
        <v/>
      </c>
      <c r="MB8" s="40" t="str">
        <f t="shared" si="144"/>
        <v/>
      </c>
      <c r="MC8" s="40" t="str">
        <f t="shared" si="145"/>
        <v/>
      </c>
      <c r="MD8" s="40" t="str">
        <f t="shared" si="146"/>
        <v/>
      </c>
      <c r="ME8" s="40" t="str">
        <f t="shared" si="147"/>
        <v/>
      </c>
      <c r="MF8" s="18"/>
      <c r="MG8" s="18"/>
      <c r="MH8" s="18"/>
      <c r="MI8" s="18"/>
      <c r="MJ8" s="18"/>
      <c r="MK8" s="18"/>
      <c r="ML8" s="18"/>
      <c r="MM8" s="18"/>
      <c r="MN8" s="18"/>
      <c r="MO8" s="18"/>
      <c r="MP8" s="18"/>
      <c r="MQ8" s="18"/>
      <c r="MR8" s="18"/>
      <c r="MS8" s="18"/>
      <c r="MT8" s="18"/>
      <c r="MU8" s="18"/>
      <c r="MV8" s="18"/>
      <c r="MW8" s="18"/>
      <c r="MX8" s="18"/>
      <c r="MY8" s="18"/>
      <c r="MZ8" s="11" t="str">
        <f t="shared" si="148"/>
        <v/>
      </c>
      <c r="NA8" s="11" t="str">
        <f t="shared" si="149"/>
        <v/>
      </c>
      <c r="NB8" s="11" t="str">
        <f t="shared" si="150"/>
        <v/>
      </c>
      <c r="NC8" s="11" t="str">
        <f t="shared" si="151"/>
        <v/>
      </c>
      <c r="ND8" s="11" t="str">
        <f t="shared" si="152"/>
        <v/>
      </c>
      <c r="NE8" s="11" t="str">
        <f t="shared" si="153"/>
        <v/>
      </c>
      <c r="NF8" s="11" t="str">
        <f t="shared" si="154"/>
        <v/>
      </c>
      <c r="NG8" s="11" t="str">
        <f t="shared" si="155"/>
        <v/>
      </c>
      <c r="NH8" s="11" t="str">
        <f t="shared" si="156"/>
        <v/>
      </c>
      <c r="NI8" s="11" t="str">
        <f t="shared" si="157"/>
        <v/>
      </c>
      <c r="NJ8" s="11" t="str">
        <f t="shared" si="158"/>
        <v/>
      </c>
      <c r="NK8" s="11" t="str">
        <f t="shared" si="159"/>
        <v/>
      </c>
      <c r="NL8" s="11" t="str">
        <f t="shared" si="160"/>
        <v/>
      </c>
      <c r="NM8" s="11" t="str">
        <f t="shared" si="161"/>
        <v/>
      </c>
      <c r="NN8" s="17"/>
      <c r="NO8" s="17"/>
      <c r="NP8" s="17"/>
      <c r="NQ8" s="17"/>
      <c r="NR8" s="17"/>
      <c r="NS8" s="17"/>
      <c r="NT8" s="17"/>
      <c r="NU8" s="17"/>
      <c r="NV8" s="17"/>
      <c r="NW8" s="17"/>
      <c r="NX8" s="17"/>
      <c r="NY8" s="17"/>
      <c r="NZ8" s="17"/>
      <c r="OA8" s="17"/>
      <c r="OB8" s="17"/>
      <c r="OC8" s="17"/>
      <c r="OD8" s="17"/>
      <c r="OE8" s="17"/>
      <c r="OF8" s="17"/>
      <c r="OG8" s="17"/>
      <c r="OH8" s="40" t="str">
        <f t="shared" si="162"/>
        <v/>
      </c>
      <c r="OI8" s="40" t="str">
        <f t="shared" si="163"/>
        <v/>
      </c>
      <c r="OJ8" s="40" t="str">
        <f t="shared" si="164"/>
        <v/>
      </c>
      <c r="OK8" s="40" t="str">
        <f t="shared" si="165"/>
        <v/>
      </c>
      <c r="OL8" s="40" t="str">
        <f t="shared" si="166"/>
        <v/>
      </c>
      <c r="OM8" s="40" t="str">
        <f t="shared" si="167"/>
        <v/>
      </c>
      <c r="ON8" s="40" t="str">
        <f t="shared" si="168"/>
        <v/>
      </c>
      <c r="OO8" s="40" t="str">
        <f t="shared" si="169"/>
        <v/>
      </c>
      <c r="OP8" s="40" t="str">
        <f t="shared" si="170"/>
        <v/>
      </c>
      <c r="OQ8" s="40" t="str">
        <f t="shared" si="171"/>
        <v/>
      </c>
      <c r="OR8" s="40" t="str">
        <f t="shared" si="172"/>
        <v/>
      </c>
      <c r="OS8" s="40" t="str">
        <f t="shared" si="173"/>
        <v/>
      </c>
      <c r="OT8" s="40" t="str">
        <f t="shared" si="174"/>
        <v/>
      </c>
      <c r="OU8" s="40" t="str">
        <f t="shared" si="175"/>
        <v/>
      </c>
      <c r="OV8" s="18"/>
      <c r="OW8" s="18"/>
      <c r="OX8" s="18"/>
      <c r="OY8" s="18"/>
      <c r="OZ8" s="18"/>
      <c r="PA8" s="18"/>
      <c r="PB8" s="18"/>
      <c r="PC8" s="18"/>
      <c r="PD8" s="18"/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1" t="str">
        <f t="shared" si="176"/>
        <v/>
      </c>
      <c r="PQ8" s="11" t="str">
        <f t="shared" si="177"/>
        <v/>
      </c>
      <c r="PR8" s="11" t="str">
        <f t="shared" si="178"/>
        <v/>
      </c>
      <c r="PS8" s="11" t="str">
        <f t="shared" si="179"/>
        <v/>
      </c>
      <c r="PT8" s="11" t="str">
        <f t="shared" si="180"/>
        <v/>
      </c>
      <c r="PU8" s="11" t="str">
        <f t="shared" si="181"/>
        <v/>
      </c>
      <c r="PV8" s="11" t="str">
        <f t="shared" si="182"/>
        <v/>
      </c>
      <c r="PW8" s="11" t="str">
        <f t="shared" si="183"/>
        <v/>
      </c>
      <c r="PX8" s="11" t="str">
        <f t="shared" si="184"/>
        <v/>
      </c>
      <c r="PY8" s="11" t="str">
        <f t="shared" si="185"/>
        <v/>
      </c>
      <c r="PZ8" s="11" t="str">
        <f t="shared" si="186"/>
        <v/>
      </c>
      <c r="QA8" s="11" t="str">
        <f t="shared" si="187"/>
        <v/>
      </c>
      <c r="QB8" s="11" t="str">
        <f t="shared" si="188"/>
        <v/>
      </c>
      <c r="QC8" s="11" t="str">
        <f t="shared" si="189"/>
        <v/>
      </c>
      <c r="QD8" s="17"/>
      <c r="QE8" s="17"/>
      <c r="QF8" s="17"/>
      <c r="QG8" s="17"/>
      <c r="QH8" s="17"/>
      <c r="QI8" s="17"/>
      <c r="QJ8" s="17"/>
      <c r="QK8" s="17"/>
      <c r="QL8" s="17"/>
      <c r="QM8" s="17"/>
      <c r="QN8" s="17"/>
      <c r="QO8" s="17"/>
      <c r="QP8" s="17"/>
      <c r="QQ8" s="17"/>
      <c r="QR8" s="17"/>
      <c r="QS8" s="17"/>
      <c r="QT8" s="17"/>
      <c r="QU8" s="17"/>
      <c r="QV8" s="17"/>
      <c r="QW8" s="17"/>
      <c r="QX8" s="40" t="str">
        <f t="shared" si="190"/>
        <v/>
      </c>
      <c r="QY8" s="40" t="str">
        <f t="shared" si="191"/>
        <v/>
      </c>
      <c r="QZ8" s="40" t="str">
        <f t="shared" si="192"/>
        <v/>
      </c>
      <c r="RA8" s="40" t="str">
        <f t="shared" si="193"/>
        <v/>
      </c>
      <c r="RB8" s="40" t="str">
        <f t="shared" si="194"/>
        <v/>
      </c>
      <c r="RC8" s="40" t="str">
        <f t="shared" si="195"/>
        <v/>
      </c>
      <c r="RD8" s="40" t="str">
        <f t="shared" si="196"/>
        <v/>
      </c>
      <c r="RE8" s="40" t="str">
        <f t="shared" si="197"/>
        <v/>
      </c>
      <c r="RF8" s="40" t="str">
        <f t="shared" si="198"/>
        <v/>
      </c>
      <c r="RG8" s="40" t="str">
        <f t="shared" si="199"/>
        <v/>
      </c>
      <c r="RH8" s="40" t="str">
        <f t="shared" si="200"/>
        <v/>
      </c>
      <c r="RI8" s="40" t="str">
        <f t="shared" si="201"/>
        <v/>
      </c>
      <c r="RJ8" s="40" t="str">
        <f t="shared" si="202"/>
        <v/>
      </c>
      <c r="RK8" s="40" t="str">
        <f t="shared" si="203"/>
        <v/>
      </c>
      <c r="RL8" s="18"/>
      <c r="RM8" s="18"/>
      <c r="RN8" s="18"/>
      <c r="RO8" s="18"/>
      <c r="RP8" s="18"/>
      <c r="RQ8" s="18"/>
      <c r="RR8" s="18"/>
      <c r="RS8" s="18"/>
      <c r="RT8" s="18"/>
      <c r="RU8" s="18"/>
      <c r="RV8" s="18"/>
      <c r="RW8" s="18"/>
      <c r="RX8" s="18"/>
      <c r="RY8" s="18"/>
      <c r="RZ8" s="18"/>
      <c r="SA8" s="18"/>
      <c r="SB8" s="18"/>
      <c r="SC8" s="18"/>
      <c r="SD8" s="18"/>
      <c r="SE8" s="18"/>
      <c r="SF8" s="11" t="str">
        <f t="shared" si="204"/>
        <v/>
      </c>
      <c r="SG8" s="11" t="str">
        <f t="shared" si="205"/>
        <v/>
      </c>
      <c r="SH8" s="11" t="str">
        <f t="shared" si="206"/>
        <v/>
      </c>
      <c r="SI8" s="11" t="str">
        <f t="shared" si="207"/>
        <v/>
      </c>
      <c r="SJ8" s="11" t="str">
        <f t="shared" si="208"/>
        <v/>
      </c>
      <c r="SK8" s="11" t="str">
        <f t="shared" si="209"/>
        <v/>
      </c>
      <c r="SL8" s="11" t="str">
        <f t="shared" si="210"/>
        <v/>
      </c>
      <c r="SM8" s="11" t="str">
        <f t="shared" si="211"/>
        <v/>
      </c>
      <c r="SN8" s="11" t="str">
        <f t="shared" si="212"/>
        <v/>
      </c>
      <c r="SO8" s="11" t="str">
        <f t="shared" si="213"/>
        <v/>
      </c>
      <c r="SP8" s="11" t="str">
        <f t="shared" si="214"/>
        <v/>
      </c>
      <c r="SQ8" s="11" t="str">
        <f t="shared" si="215"/>
        <v/>
      </c>
      <c r="SR8" s="11" t="str">
        <f t="shared" si="216"/>
        <v/>
      </c>
      <c r="SS8" s="11" t="str">
        <f t="shared" si="217"/>
        <v/>
      </c>
      <c r="ST8" s="22">
        <f t="shared" si="218"/>
        <v>2.5499999999999998</v>
      </c>
      <c r="SU8" s="22">
        <f t="shared" si="219"/>
        <v>1.7</v>
      </c>
      <c r="SV8" s="22">
        <f t="shared" si="220"/>
        <v>3.05</v>
      </c>
      <c r="SW8" s="22">
        <f t="shared" si="221"/>
        <v>3.2450000000000001</v>
      </c>
      <c r="SX8" s="22">
        <f t="shared" si="222"/>
        <v>0</v>
      </c>
      <c r="SY8" s="22">
        <f t="shared" si="223"/>
        <v>14.1</v>
      </c>
      <c r="SZ8" s="22">
        <f t="shared" si="224"/>
        <v>9</v>
      </c>
      <c r="TA8" s="22">
        <f t="shared" si="225"/>
        <v>13.4</v>
      </c>
      <c r="TB8" s="22">
        <f t="shared" si="226"/>
        <v>15.455</v>
      </c>
      <c r="TC8" s="22">
        <f t="shared" si="227"/>
        <v>0</v>
      </c>
      <c r="TD8" s="22">
        <f t="shared" si="228"/>
        <v>7.75</v>
      </c>
      <c r="TE8" s="22">
        <f t="shared" si="229"/>
        <v>5.3999999999999995</v>
      </c>
      <c r="TF8" s="22">
        <f t="shared" si="230"/>
        <v>7.6999999999999993</v>
      </c>
      <c r="TG8" s="22">
        <f t="shared" si="231"/>
        <v>9.2949999999999999</v>
      </c>
      <c r="TH8" s="22">
        <f t="shared" si="232"/>
        <v>0</v>
      </c>
      <c r="TI8" s="27" t="s">
        <v>46</v>
      </c>
      <c r="TJ8" s="40">
        <f t="shared" si="233"/>
        <v>3.05</v>
      </c>
      <c r="TK8" s="40">
        <f t="shared" si="234"/>
        <v>3.2450000000000001</v>
      </c>
      <c r="TL8" s="40">
        <f t="shared" si="235"/>
        <v>10.545</v>
      </c>
      <c r="TM8" s="40">
        <f t="shared" si="236"/>
        <v>13.4</v>
      </c>
      <c r="TN8" s="40">
        <f t="shared" si="237"/>
        <v>15.455</v>
      </c>
      <c r="TO8" s="40">
        <f t="shared" si="238"/>
        <v>51.954999999999998</v>
      </c>
      <c r="TP8" s="40">
        <f t="shared" si="239"/>
        <v>51.954999999999998</v>
      </c>
      <c r="TQ8" s="40">
        <f t="shared" si="240"/>
        <v>7.6999999999999993</v>
      </c>
      <c r="TR8" s="40">
        <f t="shared" si="241"/>
        <v>9.2949999999999999</v>
      </c>
      <c r="TS8" s="40">
        <f t="shared" si="242"/>
        <v>30.144999999999996</v>
      </c>
      <c r="TT8" s="40">
        <f t="shared" si="243"/>
        <v>82.1</v>
      </c>
    </row>
    <row r="9" spans="1:540" x14ac:dyDescent="0.2">
      <c r="A9" s="4" cm="1">
        <f t="array" ref="A9">IF(AND(F9&lt;&gt;"",G9&lt;&gt;""),SUMPRODUCT((F$4:F$35&lt;&gt;"")*(G$4:G$35&lt;&gt;"")*(E$4:E$35&gt;E9))+1,IF(G9&lt;&gt;"",SUMPRODUCT((H$4:H$35="No DD")*(E$4:E$35&gt;E9))+1+SUMPRODUCT((F$4:F$35&lt;&gt;"")*(G$4:G$35&lt;&gt;"")),""))</f>
        <v>6</v>
      </c>
      <c r="B9" s="5" t="s">
        <v>142</v>
      </c>
      <c r="C9" s="4" t="s">
        <v>3</v>
      </c>
      <c r="D9" s="4">
        <v>2002</v>
      </c>
      <c r="E9" s="9">
        <f t="shared" si="0"/>
        <v>186.33001863300518</v>
      </c>
      <c r="F9" s="3" t="str">
        <f t="shared" si="1"/>
        <v>P</v>
      </c>
      <c r="G9" s="3" t="str">
        <f t="shared" si="2"/>
        <v>P</v>
      </c>
      <c r="H9" s="36" t="str">
        <f t="shared" si="3"/>
        <v>National Team</v>
      </c>
      <c r="I9" s="3" t="str">
        <f t="shared" si="4"/>
        <v/>
      </c>
      <c r="J9" s="8">
        <f>IF(COUNT(AO9,AR9,BP9,BS9,CQ9,CT9)&gt;0,LARGE((AO9,AR9,BP9,BS9,CQ9,CT9),1),0)</f>
        <v>51.78</v>
      </c>
      <c r="K9" s="8" t="str">
        <f t="shared" si="5"/>
        <v>2023 Elite Canada</v>
      </c>
      <c r="L9" s="8">
        <f>IF(COUNT(AO9,AR9,BP9,BS9,CQ9,CT9)&gt;1,LARGE((AO9,AR9,BP9,BS9,CQ9,CT9),2),0)</f>
        <v>51.47</v>
      </c>
      <c r="M9" s="8" t="str">
        <f t="shared" si="6"/>
        <v>2022 3rd Domestic Trial</v>
      </c>
      <c r="N9" s="8">
        <f>IF(COUNT(AO9,AR9,BP9,BS9,CQ9,CT9)&gt;2,MAX(AV9,BW9,CX9,LARGE((AO9,AR9,BP9,BS9,CQ9,CT9),3)),IF(MAX(AV9,BW9,CX9)&gt;0,MAX(AV9,BW9,CX9),0))</f>
        <v>53.17</v>
      </c>
      <c r="O9" s="8" t="str">
        <f t="shared" si="7"/>
        <v>2023 Elite Canada</v>
      </c>
      <c r="P9" s="8">
        <f t="shared" si="8"/>
        <v>14.5</v>
      </c>
      <c r="Q9" s="8" t="str">
        <f t="shared" si="9"/>
        <v>2023 Elite Canada</v>
      </c>
      <c r="R9" s="8">
        <f t="shared" si="10"/>
        <v>15.41</v>
      </c>
      <c r="S9" s="8" t="str">
        <f t="shared" si="11"/>
        <v>2022 3rd Domestic Trial</v>
      </c>
      <c r="T9" s="8" t="str">
        <f t="shared" si="12"/>
        <v/>
      </c>
      <c r="U9" s="11" t="str">
        <f t="shared" si="13"/>
        <v/>
      </c>
      <c r="V9" s="8" t="str">
        <f t="shared" si="14"/>
        <v/>
      </c>
      <c r="W9" s="22"/>
      <c r="X9" s="22"/>
      <c r="Y9" s="22"/>
      <c r="Z9" s="22"/>
      <c r="AA9" s="22"/>
      <c r="AB9" s="22"/>
      <c r="AC9" s="22"/>
      <c r="AD9" s="22"/>
      <c r="AE9" s="22"/>
      <c r="AF9" s="22"/>
      <c r="AG9" s="22"/>
      <c r="AH9" s="22"/>
      <c r="AI9" s="22"/>
      <c r="AJ9" s="22"/>
      <c r="AK9" s="22"/>
      <c r="AL9" s="27"/>
      <c r="AM9" s="38" t="str">
        <f t="shared" si="15"/>
        <v/>
      </c>
      <c r="AN9" s="38" t="str">
        <f t="shared" si="16"/>
        <v/>
      </c>
      <c r="AO9" s="40" t="str">
        <f t="shared" si="17"/>
        <v/>
      </c>
      <c r="AP9" s="40" t="str">
        <f t="shared" si="18"/>
        <v/>
      </c>
      <c r="AQ9" s="40" t="str">
        <f t="shared" si="19"/>
        <v/>
      </c>
      <c r="AR9" s="40" t="str">
        <f t="shared" si="20"/>
        <v/>
      </c>
      <c r="AS9" s="40" t="str">
        <f t="shared" si="21"/>
        <v/>
      </c>
      <c r="AT9" s="40" t="str">
        <f t="shared" si="22"/>
        <v/>
      </c>
      <c r="AU9" s="40" t="str">
        <f t="shared" si="23"/>
        <v/>
      </c>
      <c r="AV9" s="40" t="str">
        <f t="shared" si="24"/>
        <v/>
      </c>
      <c r="AW9" s="40" t="str">
        <f t="shared" si="25"/>
        <v/>
      </c>
      <c r="AX9" s="26">
        <v>4.2</v>
      </c>
      <c r="AY9" s="26">
        <v>2.6</v>
      </c>
      <c r="AZ9" s="26">
        <v>4</v>
      </c>
      <c r="BA9" s="26">
        <v>4.93</v>
      </c>
      <c r="BB9" s="26">
        <v>0</v>
      </c>
      <c r="BC9" s="26">
        <v>13.9</v>
      </c>
      <c r="BD9" s="26">
        <v>9.5</v>
      </c>
      <c r="BE9" s="26">
        <v>13.1</v>
      </c>
      <c r="BF9" s="26">
        <v>15.37</v>
      </c>
      <c r="BG9" s="26">
        <v>0.4</v>
      </c>
      <c r="BH9" s="26">
        <v>12.8</v>
      </c>
      <c r="BI9" s="26">
        <v>8.6</v>
      </c>
      <c r="BJ9" s="26">
        <v>13.9</v>
      </c>
      <c r="BK9" s="26">
        <v>15.41</v>
      </c>
      <c r="BL9" s="26">
        <v>0.4</v>
      </c>
      <c r="BM9" s="28"/>
      <c r="BN9" s="39">
        <f t="shared" si="26"/>
        <v>4</v>
      </c>
      <c r="BO9" s="39">
        <f t="shared" si="27"/>
        <v>4.93</v>
      </c>
      <c r="BP9" s="11">
        <f t="shared" si="28"/>
        <v>15.73</v>
      </c>
      <c r="BQ9" s="11">
        <f t="shared" si="29"/>
        <v>13.1</v>
      </c>
      <c r="BR9" s="11">
        <f t="shared" si="30"/>
        <v>15.37</v>
      </c>
      <c r="BS9" s="11">
        <f t="shared" si="31"/>
        <v>51.47</v>
      </c>
      <c r="BT9" s="11">
        <f t="shared" si="32"/>
        <v>51.47</v>
      </c>
      <c r="BU9" s="11">
        <f t="shared" si="33"/>
        <v>13.9</v>
      </c>
      <c r="BV9" s="11">
        <f t="shared" si="34"/>
        <v>15.41</v>
      </c>
      <c r="BW9" s="11">
        <f t="shared" si="35"/>
        <v>50.309999999999995</v>
      </c>
      <c r="BX9" s="11">
        <f t="shared" si="36"/>
        <v>101.78</v>
      </c>
      <c r="BY9" s="22">
        <v>13.9</v>
      </c>
      <c r="BZ9" s="22">
        <v>9.1999999999999993</v>
      </c>
      <c r="CA9" s="22">
        <v>13.5</v>
      </c>
      <c r="CB9" s="22">
        <v>14.79</v>
      </c>
      <c r="CC9" s="22">
        <v>0</v>
      </c>
      <c r="CD9" s="22">
        <v>13.1</v>
      </c>
      <c r="CE9" s="22">
        <v>9.1</v>
      </c>
      <c r="CF9" s="22">
        <v>14.5</v>
      </c>
      <c r="CG9" s="22">
        <v>15.08</v>
      </c>
      <c r="CH9" s="22">
        <v>0</v>
      </c>
      <c r="CI9" s="22">
        <v>14.5</v>
      </c>
      <c r="CJ9" s="22">
        <v>9.1</v>
      </c>
      <c r="CK9" s="22">
        <v>14.5</v>
      </c>
      <c r="CL9" s="22">
        <v>15.07</v>
      </c>
      <c r="CM9" s="22">
        <v>0</v>
      </c>
      <c r="CN9" s="27"/>
      <c r="CO9" s="38">
        <f t="shared" si="37"/>
        <v>13.5</v>
      </c>
      <c r="CP9" s="38">
        <f t="shared" si="38"/>
        <v>14.79</v>
      </c>
      <c r="CQ9" s="40">
        <f t="shared" si="39"/>
        <v>51.39</v>
      </c>
      <c r="CR9" s="40">
        <f t="shared" si="40"/>
        <v>14.5</v>
      </c>
      <c r="CS9" s="40">
        <f t="shared" si="41"/>
        <v>15.08</v>
      </c>
      <c r="CT9" s="40">
        <f t="shared" si="42"/>
        <v>51.78</v>
      </c>
      <c r="CU9" s="40">
        <f t="shared" si="43"/>
        <v>51.78</v>
      </c>
      <c r="CV9" s="40">
        <f t="shared" si="44"/>
        <v>14.5</v>
      </c>
      <c r="CW9" s="40">
        <f t="shared" si="45"/>
        <v>15.07</v>
      </c>
      <c r="CX9" s="40">
        <f t="shared" si="46"/>
        <v>53.17</v>
      </c>
      <c r="CY9" s="40">
        <f t="shared" si="47"/>
        <v>104.95</v>
      </c>
      <c r="CZ9" s="50" t="str">
        <f t="shared" si="48"/>
        <v/>
      </c>
      <c r="DA9" s="50" t="str">
        <f t="shared" si="49"/>
        <v/>
      </c>
      <c r="DB9" s="17"/>
      <c r="DC9" s="17"/>
      <c r="DD9" s="17"/>
      <c r="DE9" s="17"/>
      <c r="DF9" s="17"/>
      <c r="DG9" s="17"/>
      <c r="DH9" s="17"/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40" t="str">
        <f t="shared" si="50"/>
        <v/>
      </c>
      <c r="DW9" s="40" t="str">
        <f t="shared" si="51"/>
        <v/>
      </c>
      <c r="DX9" s="40" t="str">
        <f t="shared" si="52"/>
        <v/>
      </c>
      <c r="DY9" s="40" t="str">
        <f t="shared" si="53"/>
        <v/>
      </c>
      <c r="DZ9" s="40" t="str">
        <f t="shared" si="54"/>
        <v/>
      </c>
      <c r="EA9" s="40" t="str">
        <f t="shared" si="55"/>
        <v/>
      </c>
      <c r="EB9" s="40" t="str">
        <f t="shared" si="56"/>
        <v/>
      </c>
      <c r="EC9" s="40" t="str">
        <f t="shared" si="57"/>
        <v/>
      </c>
      <c r="ED9" s="40" t="str">
        <f t="shared" si="58"/>
        <v/>
      </c>
      <c r="EE9" s="40" t="str">
        <f t="shared" si="59"/>
        <v/>
      </c>
      <c r="EF9" s="40" t="str">
        <f t="shared" si="60"/>
        <v/>
      </c>
      <c r="EG9" s="40" t="str">
        <f t="shared" si="61"/>
        <v/>
      </c>
      <c r="EH9" s="40" t="str">
        <f t="shared" si="62"/>
        <v/>
      </c>
      <c r="EI9" s="40" t="str">
        <f t="shared" si="63"/>
        <v/>
      </c>
      <c r="EJ9" s="18"/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8"/>
      <c r="FC9" s="18"/>
      <c r="FD9" s="11" t="str">
        <f t="shared" si="64"/>
        <v/>
      </c>
      <c r="FE9" s="11" t="str">
        <f t="shared" si="65"/>
        <v/>
      </c>
      <c r="FF9" s="11" t="str">
        <f t="shared" si="66"/>
        <v/>
      </c>
      <c r="FG9" s="11" t="str">
        <f t="shared" si="67"/>
        <v/>
      </c>
      <c r="FH9" s="11" t="str">
        <f t="shared" si="68"/>
        <v/>
      </c>
      <c r="FI9" s="11" t="str">
        <f t="shared" si="69"/>
        <v/>
      </c>
      <c r="FJ9" s="11" t="str">
        <f t="shared" si="70"/>
        <v/>
      </c>
      <c r="FK9" s="11" t="str">
        <f t="shared" si="71"/>
        <v/>
      </c>
      <c r="FL9" s="11" t="str">
        <f t="shared" si="72"/>
        <v/>
      </c>
      <c r="FM9" s="11" t="str">
        <f t="shared" si="73"/>
        <v/>
      </c>
      <c r="FN9" s="11" t="str">
        <f t="shared" si="74"/>
        <v/>
      </c>
      <c r="FO9" s="11" t="str">
        <f t="shared" si="75"/>
        <v/>
      </c>
      <c r="FP9" s="11" t="str">
        <f t="shared" si="76"/>
        <v/>
      </c>
      <c r="FQ9" s="11" t="str">
        <f t="shared" si="77"/>
        <v/>
      </c>
      <c r="FR9" s="17"/>
      <c r="FS9" s="17"/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17"/>
      <c r="GF9" s="17"/>
      <c r="GG9" s="17"/>
      <c r="GH9" s="17"/>
      <c r="GI9" s="17"/>
      <c r="GJ9" s="17"/>
      <c r="GK9" s="17"/>
      <c r="GL9" s="40" t="str">
        <f t="shared" si="78"/>
        <v/>
      </c>
      <c r="GM9" s="40" t="str">
        <f t="shared" si="79"/>
        <v/>
      </c>
      <c r="GN9" s="40" t="str">
        <f t="shared" si="80"/>
        <v/>
      </c>
      <c r="GO9" s="40" t="str">
        <f t="shared" si="81"/>
        <v/>
      </c>
      <c r="GP9" s="40" t="str">
        <f t="shared" si="82"/>
        <v/>
      </c>
      <c r="GQ9" s="40" t="str">
        <f t="shared" si="83"/>
        <v/>
      </c>
      <c r="GR9" s="40" t="str">
        <f t="shared" si="84"/>
        <v/>
      </c>
      <c r="GS9" s="40" t="str">
        <f t="shared" si="85"/>
        <v/>
      </c>
      <c r="GT9" s="40" t="str">
        <f t="shared" si="86"/>
        <v/>
      </c>
      <c r="GU9" s="40" t="str">
        <f t="shared" si="87"/>
        <v/>
      </c>
      <c r="GV9" s="40" t="str">
        <f t="shared" si="88"/>
        <v/>
      </c>
      <c r="GW9" s="40" t="str">
        <f t="shared" si="89"/>
        <v/>
      </c>
      <c r="GX9" s="40" t="str">
        <f t="shared" si="90"/>
        <v/>
      </c>
      <c r="GY9" s="40" t="str">
        <f t="shared" si="91"/>
        <v/>
      </c>
      <c r="GZ9" s="18"/>
      <c r="HA9" s="18"/>
      <c r="HB9" s="18"/>
      <c r="HC9" s="18"/>
      <c r="HD9" s="18"/>
      <c r="HE9" s="18"/>
      <c r="HF9" s="18"/>
      <c r="HG9" s="18"/>
      <c r="HH9" s="18"/>
      <c r="HI9" s="18"/>
      <c r="HJ9" s="18"/>
      <c r="HK9" s="18"/>
      <c r="HL9" s="18"/>
      <c r="HM9" s="18"/>
      <c r="HN9" s="18"/>
      <c r="HO9" s="18"/>
      <c r="HP9" s="18"/>
      <c r="HQ9" s="18"/>
      <c r="HR9" s="18"/>
      <c r="HS9" s="18"/>
      <c r="HT9" s="11" t="str">
        <f t="shared" si="92"/>
        <v/>
      </c>
      <c r="HU9" s="11" t="str">
        <f t="shared" si="93"/>
        <v/>
      </c>
      <c r="HV9" s="11" t="str">
        <f t="shared" si="94"/>
        <v/>
      </c>
      <c r="HW9" s="11" t="str">
        <f t="shared" si="95"/>
        <v/>
      </c>
      <c r="HX9" s="11" t="str">
        <f t="shared" si="96"/>
        <v/>
      </c>
      <c r="HY9" s="11" t="str">
        <f t="shared" si="97"/>
        <v/>
      </c>
      <c r="HZ9" s="11" t="str">
        <f t="shared" si="98"/>
        <v/>
      </c>
      <c r="IA9" s="11" t="str">
        <f t="shared" si="99"/>
        <v/>
      </c>
      <c r="IB9" s="11" t="str">
        <f t="shared" si="100"/>
        <v/>
      </c>
      <c r="IC9" s="11" t="str">
        <f t="shared" si="101"/>
        <v/>
      </c>
      <c r="ID9" s="11" t="str">
        <f t="shared" si="102"/>
        <v/>
      </c>
      <c r="IE9" s="11" t="str">
        <f t="shared" si="103"/>
        <v/>
      </c>
      <c r="IF9" s="11" t="str">
        <f t="shared" si="104"/>
        <v/>
      </c>
      <c r="IG9" s="11" t="str">
        <f t="shared" si="105"/>
        <v/>
      </c>
      <c r="IH9" s="17"/>
      <c r="II9" s="17"/>
      <c r="IJ9" s="17"/>
      <c r="IK9" s="17"/>
      <c r="IL9" s="17"/>
      <c r="IM9" s="17"/>
      <c r="IN9" s="17"/>
      <c r="IO9" s="17"/>
      <c r="IP9" s="17"/>
      <c r="IQ9" s="17"/>
      <c r="IR9" s="17"/>
      <c r="IS9" s="17"/>
      <c r="IT9" s="17"/>
      <c r="IU9" s="17"/>
      <c r="IV9" s="17"/>
      <c r="IW9" s="17"/>
      <c r="IX9" s="17"/>
      <c r="IY9" s="17"/>
      <c r="IZ9" s="17"/>
      <c r="JA9" s="17"/>
      <c r="JB9" s="40" t="str">
        <f t="shared" si="106"/>
        <v/>
      </c>
      <c r="JC9" s="40" t="str">
        <f t="shared" si="107"/>
        <v/>
      </c>
      <c r="JD9" s="40" t="str">
        <f t="shared" si="108"/>
        <v/>
      </c>
      <c r="JE9" s="40" t="str">
        <f t="shared" si="109"/>
        <v/>
      </c>
      <c r="JF9" s="40" t="str">
        <f t="shared" si="110"/>
        <v/>
      </c>
      <c r="JG9" s="40" t="str">
        <f t="shared" si="111"/>
        <v/>
      </c>
      <c r="JH9" s="40" t="str">
        <f t="shared" si="112"/>
        <v/>
      </c>
      <c r="JI9" s="40" t="str">
        <f t="shared" si="113"/>
        <v/>
      </c>
      <c r="JJ9" s="40" t="str">
        <f t="shared" si="114"/>
        <v/>
      </c>
      <c r="JK9" s="40" t="str">
        <f t="shared" si="115"/>
        <v/>
      </c>
      <c r="JL9" s="40" t="str">
        <f t="shared" si="116"/>
        <v/>
      </c>
      <c r="JM9" s="40" t="str">
        <f t="shared" si="117"/>
        <v/>
      </c>
      <c r="JN9" s="40" t="str">
        <f t="shared" si="118"/>
        <v/>
      </c>
      <c r="JO9" s="40" t="str">
        <f t="shared" si="119"/>
        <v/>
      </c>
      <c r="JP9" s="18"/>
      <c r="JQ9" s="18"/>
      <c r="JR9" s="18"/>
      <c r="JS9" s="18"/>
      <c r="JT9" s="18"/>
      <c r="JU9" s="18"/>
      <c r="JV9" s="18"/>
      <c r="JW9" s="18"/>
      <c r="JX9" s="18"/>
      <c r="JY9" s="18"/>
      <c r="JZ9" s="18"/>
      <c r="KA9" s="18"/>
      <c r="KB9" s="18"/>
      <c r="KC9" s="18"/>
      <c r="KD9" s="18"/>
      <c r="KE9" s="18"/>
      <c r="KF9" s="18"/>
      <c r="KG9" s="18"/>
      <c r="KH9" s="18"/>
      <c r="KI9" s="18"/>
      <c r="KJ9" s="11" t="str">
        <f t="shared" si="120"/>
        <v/>
      </c>
      <c r="KK9" s="11" t="str">
        <f t="shared" si="121"/>
        <v/>
      </c>
      <c r="KL9" s="11" t="str">
        <f t="shared" si="122"/>
        <v/>
      </c>
      <c r="KM9" s="11" t="str">
        <f t="shared" si="123"/>
        <v/>
      </c>
      <c r="KN9" s="11" t="str">
        <f t="shared" si="124"/>
        <v/>
      </c>
      <c r="KO9" s="11" t="str">
        <f t="shared" si="125"/>
        <v/>
      </c>
      <c r="KP9" s="11" t="str">
        <f t="shared" si="126"/>
        <v/>
      </c>
      <c r="KQ9" s="11" t="str">
        <f t="shared" si="127"/>
        <v/>
      </c>
      <c r="KR9" s="11" t="str">
        <f t="shared" si="128"/>
        <v/>
      </c>
      <c r="KS9" s="11" t="str">
        <f t="shared" si="129"/>
        <v/>
      </c>
      <c r="KT9" s="11" t="str">
        <f t="shared" si="130"/>
        <v/>
      </c>
      <c r="KU9" s="11" t="str">
        <f t="shared" si="131"/>
        <v/>
      </c>
      <c r="KV9" s="11" t="str">
        <f t="shared" si="132"/>
        <v/>
      </c>
      <c r="KW9" s="11" t="str">
        <f t="shared" si="133"/>
        <v/>
      </c>
      <c r="KX9" s="17"/>
      <c r="KY9" s="17"/>
      <c r="KZ9" s="17"/>
      <c r="LA9" s="17"/>
      <c r="LB9" s="17"/>
      <c r="LC9" s="17"/>
      <c r="LD9" s="17"/>
      <c r="LE9" s="17"/>
      <c r="LF9" s="17"/>
      <c r="LG9" s="17"/>
      <c r="LH9" s="17"/>
      <c r="LI9" s="17"/>
      <c r="LJ9" s="17"/>
      <c r="LK9" s="17"/>
      <c r="LL9" s="17"/>
      <c r="LM9" s="17"/>
      <c r="LN9" s="17"/>
      <c r="LO9" s="17"/>
      <c r="LP9" s="17"/>
      <c r="LQ9" s="17"/>
      <c r="LR9" s="40" t="str">
        <f t="shared" si="134"/>
        <v/>
      </c>
      <c r="LS9" s="40" t="str">
        <f t="shared" si="135"/>
        <v/>
      </c>
      <c r="LT9" s="40" t="str">
        <f t="shared" si="136"/>
        <v/>
      </c>
      <c r="LU9" s="40" t="str">
        <f t="shared" si="137"/>
        <v/>
      </c>
      <c r="LV9" s="40" t="str">
        <f t="shared" si="138"/>
        <v/>
      </c>
      <c r="LW9" s="40" t="str">
        <f t="shared" si="139"/>
        <v/>
      </c>
      <c r="LX9" s="40" t="str">
        <f t="shared" si="140"/>
        <v/>
      </c>
      <c r="LY9" s="40" t="str">
        <f t="shared" si="141"/>
        <v/>
      </c>
      <c r="LZ9" s="40" t="str">
        <f t="shared" si="142"/>
        <v/>
      </c>
      <c r="MA9" s="40" t="str">
        <f t="shared" si="143"/>
        <v/>
      </c>
      <c r="MB9" s="40" t="str">
        <f t="shared" si="144"/>
        <v/>
      </c>
      <c r="MC9" s="40" t="str">
        <f t="shared" si="145"/>
        <v/>
      </c>
      <c r="MD9" s="40" t="str">
        <f t="shared" si="146"/>
        <v/>
      </c>
      <c r="ME9" s="40" t="str">
        <f t="shared" si="147"/>
        <v/>
      </c>
      <c r="MF9" s="18"/>
      <c r="MG9" s="18"/>
      <c r="MH9" s="18"/>
      <c r="MI9" s="18"/>
      <c r="MJ9" s="18"/>
      <c r="MK9" s="18"/>
      <c r="ML9" s="18"/>
      <c r="MM9" s="18"/>
      <c r="MN9" s="18"/>
      <c r="MO9" s="18"/>
      <c r="MP9" s="18"/>
      <c r="MQ9" s="18"/>
      <c r="MR9" s="18"/>
      <c r="MS9" s="18"/>
      <c r="MT9" s="18"/>
      <c r="MU9" s="18"/>
      <c r="MV9" s="18"/>
      <c r="MW9" s="18"/>
      <c r="MX9" s="18"/>
      <c r="MY9" s="18"/>
      <c r="MZ9" s="11" t="str">
        <f t="shared" si="148"/>
        <v/>
      </c>
      <c r="NA9" s="11" t="str">
        <f t="shared" si="149"/>
        <v/>
      </c>
      <c r="NB9" s="11" t="str">
        <f t="shared" si="150"/>
        <v/>
      </c>
      <c r="NC9" s="11" t="str">
        <f t="shared" si="151"/>
        <v/>
      </c>
      <c r="ND9" s="11" t="str">
        <f t="shared" si="152"/>
        <v/>
      </c>
      <c r="NE9" s="11" t="str">
        <f t="shared" si="153"/>
        <v/>
      </c>
      <c r="NF9" s="11" t="str">
        <f t="shared" si="154"/>
        <v/>
      </c>
      <c r="NG9" s="11" t="str">
        <f t="shared" si="155"/>
        <v/>
      </c>
      <c r="NH9" s="11" t="str">
        <f t="shared" si="156"/>
        <v/>
      </c>
      <c r="NI9" s="11" t="str">
        <f t="shared" si="157"/>
        <v/>
      </c>
      <c r="NJ9" s="11" t="str">
        <f t="shared" si="158"/>
        <v/>
      </c>
      <c r="NK9" s="11" t="str">
        <f t="shared" si="159"/>
        <v/>
      </c>
      <c r="NL9" s="11" t="str">
        <f t="shared" si="160"/>
        <v/>
      </c>
      <c r="NM9" s="11" t="str">
        <f t="shared" si="161"/>
        <v/>
      </c>
      <c r="NN9" s="17"/>
      <c r="NO9" s="17"/>
      <c r="NP9" s="17"/>
      <c r="NQ9" s="17"/>
      <c r="NR9" s="17"/>
      <c r="NS9" s="17"/>
      <c r="NT9" s="17"/>
      <c r="NU9" s="17"/>
      <c r="NV9" s="17"/>
      <c r="NW9" s="17"/>
      <c r="NX9" s="17"/>
      <c r="NY9" s="17"/>
      <c r="NZ9" s="17"/>
      <c r="OA9" s="17"/>
      <c r="OB9" s="17"/>
      <c r="OC9" s="17"/>
      <c r="OD9" s="17"/>
      <c r="OE9" s="17"/>
      <c r="OF9" s="17"/>
      <c r="OG9" s="17"/>
      <c r="OH9" s="40" t="str">
        <f t="shared" si="162"/>
        <v/>
      </c>
      <c r="OI9" s="40" t="str">
        <f t="shared" si="163"/>
        <v/>
      </c>
      <c r="OJ9" s="40" t="str">
        <f t="shared" si="164"/>
        <v/>
      </c>
      <c r="OK9" s="40" t="str">
        <f t="shared" si="165"/>
        <v/>
      </c>
      <c r="OL9" s="40" t="str">
        <f t="shared" si="166"/>
        <v/>
      </c>
      <c r="OM9" s="40" t="str">
        <f t="shared" si="167"/>
        <v/>
      </c>
      <c r="ON9" s="40" t="str">
        <f t="shared" si="168"/>
        <v/>
      </c>
      <c r="OO9" s="40" t="str">
        <f t="shared" si="169"/>
        <v/>
      </c>
      <c r="OP9" s="40" t="str">
        <f t="shared" si="170"/>
        <v/>
      </c>
      <c r="OQ9" s="40" t="str">
        <f t="shared" si="171"/>
        <v/>
      </c>
      <c r="OR9" s="40" t="str">
        <f t="shared" si="172"/>
        <v/>
      </c>
      <c r="OS9" s="40" t="str">
        <f t="shared" si="173"/>
        <v/>
      </c>
      <c r="OT9" s="40" t="str">
        <f t="shared" si="174"/>
        <v/>
      </c>
      <c r="OU9" s="40" t="str">
        <f t="shared" si="175"/>
        <v/>
      </c>
      <c r="OV9" s="18"/>
      <c r="OW9" s="18"/>
      <c r="OX9" s="18"/>
      <c r="OY9" s="18"/>
      <c r="OZ9" s="18"/>
      <c r="PA9" s="18"/>
      <c r="PB9" s="18"/>
      <c r="PC9" s="18"/>
      <c r="PD9" s="18"/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1" t="str">
        <f t="shared" si="176"/>
        <v/>
      </c>
      <c r="PQ9" s="11" t="str">
        <f t="shared" si="177"/>
        <v/>
      </c>
      <c r="PR9" s="11" t="str">
        <f t="shared" si="178"/>
        <v/>
      </c>
      <c r="PS9" s="11" t="str">
        <f t="shared" si="179"/>
        <v/>
      </c>
      <c r="PT9" s="11" t="str">
        <f t="shared" si="180"/>
        <v/>
      </c>
      <c r="PU9" s="11" t="str">
        <f t="shared" si="181"/>
        <v/>
      </c>
      <c r="PV9" s="11" t="str">
        <f t="shared" si="182"/>
        <v/>
      </c>
      <c r="PW9" s="11" t="str">
        <f t="shared" si="183"/>
        <v/>
      </c>
      <c r="PX9" s="11" t="str">
        <f t="shared" si="184"/>
        <v/>
      </c>
      <c r="PY9" s="11" t="str">
        <f t="shared" si="185"/>
        <v/>
      </c>
      <c r="PZ9" s="11" t="str">
        <f t="shared" si="186"/>
        <v/>
      </c>
      <c r="QA9" s="11" t="str">
        <f t="shared" si="187"/>
        <v/>
      </c>
      <c r="QB9" s="11" t="str">
        <f t="shared" si="188"/>
        <v/>
      </c>
      <c r="QC9" s="11" t="str">
        <f t="shared" si="189"/>
        <v/>
      </c>
      <c r="QD9" s="17"/>
      <c r="QE9" s="17"/>
      <c r="QF9" s="17"/>
      <c r="QG9" s="17"/>
      <c r="QH9" s="17"/>
      <c r="QI9" s="17"/>
      <c r="QJ9" s="17"/>
      <c r="QK9" s="17"/>
      <c r="QL9" s="17"/>
      <c r="QM9" s="17"/>
      <c r="QN9" s="17"/>
      <c r="QO9" s="17"/>
      <c r="QP9" s="17"/>
      <c r="QQ9" s="17"/>
      <c r="QR9" s="17"/>
      <c r="QS9" s="17"/>
      <c r="QT9" s="17"/>
      <c r="QU9" s="17"/>
      <c r="QV9" s="17"/>
      <c r="QW9" s="17"/>
      <c r="QX9" s="40" t="str">
        <f t="shared" si="190"/>
        <v/>
      </c>
      <c r="QY9" s="40" t="str">
        <f t="shared" si="191"/>
        <v/>
      </c>
      <c r="QZ9" s="40" t="str">
        <f t="shared" si="192"/>
        <v/>
      </c>
      <c r="RA9" s="40" t="str">
        <f t="shared" si="193"/>
        <v/>
      </c>
      <c r="RB9" s="40" t="str">
        <f t="shared" si="194"/>
        <v/>
      </c>
      <c r="RC9" s="40" t="str">
        <f t="shared" si="195"/>
        <v/>
      </c>
      <c r="RD9" s="40" t="str">
        <f t="shared" si="196"/>
        <v/>
      </c>
      <c r="RE9" s="40" t="str">
        <f t="shared" si="197"/>
        <v/>
      </c>
      <c r="RF9" s="40" t="str">
        <f t="shared" si="198"/>
        <v/>
      </c>
      <c r="RG9" s="40" t="str">
        <f t="shared" si="199"/>
        <v/>
      </c>
      <c r="RH9" s="40" t="str">
        <f t="shared" si="200"/>
        <v/>
      </c>
      <c r="RI9" s="40" t="str">
        <f t="shared" si="201"/>
        <v/>
      </c>
      <c r="RJ9" s="40" t="str">
        <f t="shared" si="202"/>
        <v/>
      </c>
      <c r="RK9" s="40" t="str">
        <f t="shared" si="203"/>
        <v/>
      </c>
      <c r="RL9" s="18"/>
      <c r="RM9" s="18"/>
      <c r="RN9" s="18"/>
      <c r="RO9" s="18"/>
      <c r="RP9" s="18"/>
      <c r="RQ9" s="18"/>
      <c r="RR9" s="18"/>
      <c r="RS9" s="18"/>
      <c r="RT9" s="18"/>
      <c r="RU9" s="18"/>
      <c r="RV9" s="18"/>
      <c r="RW9" s="18"/>
      <c r="RX9" s="18"/>
      <c r="RY9" s="18"/>
      <c r="RZ9" s="18"/>
      <c r="SA9" s="18"/>
      <c r="SB9" s="18"/>
      <c r="SC9" s="18"/>
      <c r="SD9" s="18"/>
      <c r="SE9" s="18"/>
      <c r="SF9" s="11" t="str">
        <f t="shared" si="204"/>
        <v/>
      </c>
      <c r="SG9" s="11" t="str">
        <f t="shared" si="205"/>
        <v/>
      </c>
      <c r="SH9" s="11" t="str">
        <f t="shared" si="206"/>
        <v/>
      </c>
      <c r="SI9" s="11" t="str">
        <f t="shared" si="207"/>
        <v/>
      </c>
      <c r="SJ9" s="11" t="str">
        <f t="shared" si="208"/>
        <v/>
      </c>
      <c r="SK9" s="11" t="str">
        <f t="shared" si="209"/>
        <v/>
      </c>
      <c r="SL9" s="11" t="str">
        <f t="shared" si="210"/>
        <v/>
      </c>
      <c r="SM9" s="11" t="str">
        <f t="shared" si="211"/>
        <v/>
      </c>
      <c r="SN9" s="11" t="str">
        <f t="shared" si="212"/>
        <v/>
      </c>
      <c r="SO9" s="11" t="str">
        <f t="shared" si="213"/>
        <v/>
      </c>
      <c r="SP9" s="11" t="str">
        <f t="shared" si="214"/>
        <v/>
      </c>
      <c r="SQ9" s="11" t="str">
        <f t="shared" si="215"/>
        <v/>
      </c>
      <c r="SR9" s="11" t="str">
        <f t="shared" si="216"/>
        <v/>
      </c>
      <c r="SS9" s="11" t="str">
        <f t="shared" si="217"/>
        <v/>
      </c>
      <c r="ST9" s="22">
        <f t="shared" si="218"/>
        <v>9.0500000000000007</v>
      </c>
      <c r="SU9" s="22">
        <f t="shared" si="219"/>
        <v>5.8999999999999995</v>
      </c>
      <c r="SV9" s="22">
        <f t="shared" si="220"/>
        <v>8.75</v>
      </c>
      <c r="SW9" s="22">
        <f t="shared" si="221"/>
        <v>9.86</v>
      </c>
      <c r="SX9" s="22">
        <f t="shared" si="222"/>
        <v>0</v>
      </c>
      <c r="SY9" s="22">
        <f t="shared" si="223"/>
        <v>13.5</v>
      </c>
      <c r="SZ9" s="22">
        <f t="shared" si="224"/>
        <v>9.3000000000000007</v>
      </c>
      <c r="TA9" s="22">
        <f t="shared" si="225"/>
        <v>13.8</v>
      </c>
      <c r="TB9" s="22">
        <f t="shared" si="226"/>
        <v>15.225</v>
      </c>
      <c r="TC9" s="22">
        <f t="shared" si="227"/>
        <v>0.2</v>
      </c>
      <c r="TD9" s="22">
        <f t="shared" si="228"/>
        <v>13.65</v>
      </c>
      <c r="TE9" s="22">
        <f t="shared" si="229"/>
        <v>8.85</v>
      </c>
      <c r="TF9" s="22">
        <f t="shared" si="230"/>
        <v>14.2</v>
      </c>
      <c r="TG9" s="22">
        <f t="shared" si="231"/>
        <v>15.24</v>
      </c>
      <c r="TH9" s="22">
        <f t="shared" si="232"/>
        <v>0.2</v>
      </c>
      <c r="TI9" s="27" t="s">
        <v>46</v>
      </c>
      <c r="TJ9" s="40">
        <f t="shared" si="233"/>
        <v>8.75</v>
      </c>
      <c r="TK9" s="40">
        <f t="shared" si="234"/>
        <v>9.86</v>
      </c>
      <c r="TL9" s="40">
        <f t="shared" si="235"/>
        <v>33.56</v>
      </c>
      <c r="TM9" s="40">
        <f t="shared" si="236"/>
        <v>13.8</v>
      </c>
      <c r="TN9" s="40">
        <f t="shared" si="237"/>
        <v>15.225</v>
      </c>
      <c r="TO9" s="40">
        <f t="shared" si="238"/>
        <v>51.625</v>
      </c>
      <c r="TP9" s="40">
        <f t="shared" si="239"/>
        <v>51.625</v>
      </c>
      <c r="TQ9" s="40">
        <f t="shared" si="240"/>
        <v>14.2</v>
      </c>
      <c r="TR9" s="40">
        <f t="shared" si="241"/>
        <v>15.24</v>
      </c>
      <c r="TS9" s="40">
        <f t="shared" si="242"/>
        <v>51.74</v>
      </c>
      <c r="TT9" s="40">
        <f t="shared" si="243"/>
        <v>103.36500000000001</v>
      </c>
    </row>
    <row r="10" spans="1:540" x14ac:dyDescent="0.2">
      <c r="A10" s="4" cm="1">
        <f t="array" ref="A10">IF(AND(F10&lt;&gt;"",G10&lt;&gt;""),SUMPRODUCT((F$4:F$35&lt;&gt;"")*(G$4:G$35&lt;&gt;"")*(E$4:E$35&gt;E10))+1,IF(G10&lt;&gt;"",SUMPRODUCT((H$4:H$35="No DD")*(E$4:E$35&gt;E10))+1+SUMPRODUCT((F$4:F$35&lt;&gt;"")*(G$4:G$35&lt;&gt;"")),""))</f>
        <v>7</v>
      </c>
      <c r="B10" s="5" t="s">
        <v>64</v>
      </c>
      <c r="C10" s="4" t="s">
        <v>3</v>
      </c>
      <c r="D10" s="4">
        <v>2003</v>
      </c>
      <c r="E10" s="9">
        <f t="shared" si="0"/>
        <v>105.29001052900531</v>
      </c>
      <c r="F10" s="3" t="str">
        <f t="shared" si="1"/>
        <v>P</v>
      </c>
      <c r="G10" s="3" t="str">
        <f t="shared" si="2"/>
        <v>P</v>
      </c>
      <c r="H10" s="36" t="str">
        <f t="shared" si="3"/>
        <v>National Team</v>
      </c>
      <c r="I10" s="3" t="str">
        <f t="shared" si="4"/>
        <v/>
      </c>
      <c r="J10" s="8">
        <f>IF(COUNT(AO10,AR10,BP10,BS10,CQ10,CT10)&gt;0,LARGE((AO10,AR10,BP10,BS10,CQ10,CT10),1),0)</f>
        <v>53.239999999999995</v>
      </c>
      <c r="K10" s="8" t="str">
        <f t="shared" si="5"/>
        <v>2022 Nationals</v>
      </c>
      <c r="L10" s="8">
        <f>IF(COUNT(AO10,AR10,BP10,BS10,CQ10,CT10)&gt;1,LARGE((AO10,AR10,BP10,BS10,CQ10,CT10),2),0)</f>
        <v>11.42</v>
      </c>
      <c r="M10" s="8" t="str">
        <f t="shared" si="6"/>
        <v>2022 Nationals</v>
      </c>
      <c r="N10" s="8">
        <f>IF(COUNT(AO10,AR10,BP10,BS10,CQ10,CT10)&gt;2,MAX(AV10,BW10,CX10,LARGE((AO10,AR10,BP10,BS10,CQ10,CT10),3)),IF(MAX(AV10,BW10,CX10)&gt;0,MAX(AV10,BW10,CX10),0))</f>
        <v>11.19</v>
      </c>
      <c r="O10" s="8" t="str">
        <f t="shared" si="7"/>
        <v>2022 Nationals</v>
      </c>
      <c r="P10" s="8">
        <f t="shared" si="8"/>
        <v>14.4</v>
      </c>
      <c r="Q10" s="8" t="str">
        <f t="shared" si="9"/>
        <v>2022 Nationals</v>
      </c>
      <c r="R10" s="8">
        <f t="shared" si="10"/>
        <v>15.04</v>
      </c>
      <c r="S10" s="8" t="str">
        <f t="shared" si="11"/>
        <v>2022 Nationals</v>
      </c>
      <c r="T10" s="8" t="str">
        <f t="shared" si="12"/>
        <v/>
      </c>
      <c r="U10" s="11" t="str">
        <f t="shared" si="13"/>
        <v/>
      </c>
      <c r="V10" s="8" t="str">
        <f t="shared" si="14"/>
        <v/>
      </c>
      <c r="W10" s="22">
        <v>14.6</v>
      </c>
      <c r="X10" s="22">
        <v>9.1999999999999993</v>
      </c>
      <c r="Y10" s="22">
        <v>14.4</v>
      </c>
      <c r="Z10" s="22">
        <v>15.04</v>
      </c>
      <c r="AA10" s="22">
        <v>0</v>
      </c>
      <c r="AB10" s="22">
        <v>3</v>
      </c>
      <c r="AC10" s="22">
        <v>1.7</v>
      </c>
      <c r="AD10" s="22">
        <v>3.4</v>
      </c>
      <c r="AE10" s="22">
        <v>3.32</v>
      </c>
      <c r="AF10" s="22">
        <v>0</v>
      </c>
      <c r="AG10" s="22">
        <v>3</v>
      </c>
      <c r="AH10" s="22">
        <v>1.6</v>
      </c>
      <c r="AI10" s="22">
        <v>3.4</v>
      </c>
      <c r="AJ10" s="22">
        <v>3.19</v>
      </c>
      <c r="AK10" s="22">
        <v>0</v>
      </c>
      <c r="AL10" s="27"/>
      <c r="AM10" s="38">
        <f t="shared" si="15"/>
        <v>14.4</v>
      </c>
      <c r="AN10" s="38">
        <f t="shared" si="16"/>
        <v>15.04</v>
      </c>
      <c r="AO10" s="40">
        <f t="shared" si="17"/>
        <v>53.239999999999995</v>
      </c>
      <c r="AP10" s="40">
        <f t="shared" si="18"/>
        <v>3.4</v>
      </c>
      <c r="AQ10" s="40">
        <f t="shared" si="19"/>
        <v>3.32</v>
      </c>
      <c r="AR10" s="40">
        <f t="shared" si="20"/>
        <v>11.42</v>
      </c>
      <c r="AS10" s="40">
        <f t="shared" si="21"/>
        <v>53.239999999999995</v>
      </c>
      <c r="AT10" s="40">
        <f t="shared" si="22"/>
        <v>3.4</v>
      </c>
      <c r="AU10" s="40">
        <f t="shared" si="23"/>
        <v>3.19</v>
      </c>
      <c r="AV10" s="40">
        <f t="shared" si="24"/>
        <v>11.19</v>
      </c>
      <c r="AW10" s="40">
        <f t="shared" si="25"/>
        <v>64.429999999999993</v>
      </c>
      <c r="AX10" s="26"/>
      <c r="AY10" s="26"/>
      <c r="AZ10" s="26"/>
      <c r="BA10" s="26"/>
      <c r="BB10" s="26"/>
      <c r="BC10" s="26"/>
      <c r="BD10" s="26"/>
      <c r="BE10" s="26"/>
      <c r="BF10" s="26"/>
      <c r="BG10" s="26"/>
      <c r="BH10" s="26"/>
      <c r="BI10" s="26"/>
      <c r="BJ10" s="26"/>
      <c r="BK10" s="26"/>
      <c r="BL10" s="26"/>
      <c r="BM10" s="28"/>
      <c r="BN10" s="39" t="str">
        <f t="shared" si="26"/>
        <v/>
      </c>
      <c r="BO10" s="39" t="str">
        <f t="shared" si="27"/>
        <v/>
      </c>
      <c r="BP10" s="11" t="str">
        <f t="shared" si="28"/>
        <v/>
      </c>
      <c r="BQ10" s="11" t="str">
        <f t="shared" si="29"/>
        <v/>
      </c>
      <c r="BR10" s="11" t="str">
        <f t="shared" si="30"/>
        <v/>
      </c>
      <c r="BS10" s="11" t="str">
        <f t="shared" si="31"/>
        <v/>
      </c>
      <c r="BT10" s="11" t="str">
        <f t="shared" si="32"/>
        <v/>
      </c>
      <c r="BU10" s="11" t="str">
        <f t="shared" si="33"/>
        <v/>
      </c>
      <c r="BV10" s="11" t="str">
        <f t="shared" si="34"/>
        <v/>
      </c>
      <c r="BW10" s="11" t="str">
        <f t="shared" si="35"/>
        <v/>
      </c>
      <c r="BX10" s="11" t="str">
        <f t="shared" si="36"/>
        <v/>
      </c>
      <c r="BY10" s="22"/>
      <c r="BZ10" s="22"/>
      <c r="CA10" s="22"/>
      <c r="CB10" s="22"/>
      <c r="CC10" s="22"/>
      <c r="CD10" s="22"/>
      <c r="CE10" s="22"/>
      <c r="CF10" s="22"/>
      <c r="CG10" s="22"/>
      <c r="CH10" s="22"/>
      <c r="CI10" s="22"/>
      <c r="CJ10" s="22"/>
      <c r="CK10" s="22"/>
      <c r="CL10" s="22"/>
      <c r="CM10" s="22"/>
      <c r="CN10" s="27"/>
      <c r="CO10" s="38" t="str">
        <f t="shared" si="37"/>
        <v/>
      </c>
      <c r="CP10" s="38" t="str">
        <f t="shared" si="38"/>
        <v/>
      </c>
      <c r="CQ10" s="40" t="str">
        <f t="shared" si="39"/>
        <v/>
      </c>
      <c r="CR10" s="40" t="str">
        <f t="shared" si="40"/>
        <v/>
      </c>
      <c r="CS10" s="40" t="str">
        <f t="shared" si="41"/>
        <v/>
      </c>
      <c r="CT10" s="40" t="str">
        <f t="shared" si="42"/>
        <v/>
      </c>
      <c r="CU10" s="40" t="str">
        <f t="shared" si="43"/>
        <v/>
      </c>
      <c r="CV10" s="40" t="str">
        <f t="shared" si="44"/>
        <v/>
      </c>
      <c r="CW10" s="40" t="str">
        <f t="shared" si="45"/>
        <v/>
      </c>
      <c r="CX10" s="40" t="str">
        <f t="shared" si="46"/>
        <v/>
      </c>
      <c r="CY10" s="40" t="str">
        <f t="shared" si="47"/>
        <v/>
      </c>
      <c r="CZ10" s="50" t="str">
        <f t="shared" si="48"/>
        <v/>
      </c>
      <c r="DA10" s="50" t="str">
        <f t="shared" si="49"/>
        <v/>
      </c>
      <c r="DB10" s="17"/>
      <c r="DC10" s="17"/>
      <c r="DD10" s="17"/>
      <c r="DE10" s="17"/>
      <c r="DF10" s="17"/>
      <c r="DG10" s="17"/>
      <c r="DH10" s="17"/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40" t="str">
        <f t="shared" si="50"/>
        <v/>
      </c>
      <c r="DW10" s="40" t="str">
        <f t="shared" si="51"/>
        <v/>
      </c>
      <c r="DX10" s="40" t="str">
        <f t="shared" si="52"/>
        <v/>
      </c>
      <c r="DY10" s="40" t="str">
        <f t="shared" si="53"/>
        <v/>
      </c>
      <c r="DZ10" s="40" t="str">
        <f t="shared" si="54"/>
        <v/>
      </c>
      <c r="EA10" s="40" t="str">
        <f t="shared" si="55"/>
        <v/>
      </c>
      <c r="EB10" s="40" t="str">
        <f t="shared" si="56"/>
        <v/>
      </c>
      <c r="EC10" s="40" t="str">
        <f t="shared" si="57"/>
        <v/>
      </c>
      <c r="ED10" s="40" t="str">
        <f t="shared" si="58"/>
        <v/>
      </c>
      <c r="EE10" s="40" t="str">
        <f t="shared" si="59"/>
        <v/>
      </c>
      <c r="EF10" s="40" t="str">
        <f t="shared" si="60"/>
        <v/>
      </c>
      <c r="EG10" s="40" t="str">
        <f t="shared" si="61"/>
        <v/>
      </c>
      <c r="EH10" s="40" t="str">
        <f t="shared" si="62"/>
        <v/>
      </c>
      <c r="EI10" s="40" t="str">
        <f t="shared" si="63"/>
        <v/>
      </c>
      <c r="EJ10" s="18"/>
      <c r="EK10" s="18"/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8"/>
      <c r="FC10" s="18"/>
      <c r="FD10" s="11" t="str">
        <f t="shared" si="64"/>
        <v/>
      </c>
      <c r="FE10" s="11" t="str">
        <f t="shared" si="65"/>
        <v/>
      </c>
      <c r="FF10" s="11" t="str">
        <f t="shared" si="66"/>
        <v/>
      </c>
      <c r="FG10" s="11" t="str">
        <f t="shared" si="67"/>
        <v/>
      </c>
      <c r="FH10" s="11" t="str">
        <f t="shared" si="68"/>
        <v/>
      </c>
      <c r="FI10" s="11" t="str">
        <f t="shared" si="69"/>
        <v/>
      </c>
      <c r="FJ10" s="11" t="str">
        <f t="shared" si="70"/>
        <v/>
      </c>
      <c r="FK10" s="11" t="str">
        <f t="shared" si="71"/>
        <v/>
      </c>
      <c r="FL10" s="11" t="str">
        <f t="shared" si="72"/>
        <v/>
      </c>
      <c r="FM10" s="11" t="str">
        <f t="shared" si="73"/>
        <v/>
      </c>
      <c r="FN10" s="11" t="str">
        <f t="shared" si="74"/>
        <v/>
      </c>
      <c r="FO10" s="11" t="str">
        <f t="shared" si="75"/>
        <v/>
      </c>
      <c r="FP10" s="11" t="str">
        <f t="shared" si="76"/>
        <v/>
      </c>
      <c r="FQ10" s="11" t="str">
        <f t="shared" si="77"/>
        <v/>
      </c>
      <c r="FR10" s="17"/>
      <c r="FS10" s="17"/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17"/>
      <c r="GF10" s="17"/>
      <c r="GG10" s="17"/>
      <c r="GH10" s="17"/>
      <c r="GI10" s="17"/>
      <c r="GJ10" s="17"/>
      <c r="GK10" s="17"/>
      <c r="GL10" s="40" t="str">
        <f t="shared" si="78"/>
        <v/>
      </c>
      <c r="GM10" s="40" t="str">
        <f t="shared" si="79"/>
        <v/>
      </c>
      <c r="GN10" s="40" t="str">
        <f t="shared" si="80"/>
        <v/>
      </c>
      <c r="GO10" s="40" t="str">
        <f t="shared" si="81"/>
        <v/>
      </c>
      <c r="GP10" s="40" t="str">
        <f t="shared" si="82"/>
        <v/>
      </c>
      <c r="GQ10" s="40" t="str">
        <f t="shared" si="83"/>
        <v/>
      </c>
      <c r="GR10" s="40" t="str">
        <f t="shared" si="84"/>
        <v/>
      </c>
      <c r="GS10" s="40" t="str">
        <f t="shared" si="85"/>
        <v/>
      </c>
      <c r="GT10" s="40" t="str">
        <f t="shared" si="86"/>
        <v/>
      </c>
      <c r="GU10" s="40" t="str">
        <f t="shared" si="87"/>
        <v/>
      </c>
      <c r="GV10" s="40" t="str">
        <f t="shared" si="88"/>
        <v/>
      </c>
      <c r="GW10" s="40" t="str">
        <f t="shared" si="89"/>
        <v/>
      </c>
      <c r="GX10" s="40" t="str">
        <f t="shared" si="90"/>
        <v/>
      </c>
      <c r="GY10" s="40" t="str">
        <f t="shared" si="91"/>
        <v/>
      </c>
      <c r="GZ10" s="18"/>
      <c r="HA10" s="18"/>
      <c r="HB10" s="18"/>
      <c r="HC10" s="18"/>
      <c r="HD10" s="18"/>
      <c r="HE10" s="18"/>
      <c r="HF10" s="18"/>
      <c r="HG10" s="18"/>
      <c r="HH10" s="18"/>
      <c r="HI10" s="18"/>
      <c r="HJ10" s="18"/>
      <c r="HK10" s="18"/>
      <c r="HL10" s="18"/>
      <c r="HM10" s="18"/>
      <c r="HN10" s="18"/>
      <c r="HO10" s="18"/>
      <c r="HP10" s="18"/>
      <c r="HQ10" s="18"/>
      <c r="HR10" s="18"/>
      <c r="HS10" s="18"/>
      <c r="HT10" s="11" t="str">
        <f t="shared" si="92"/>
        <v/>
      </c>
      <c r="HU10" s="11" t="str">
        <f t="shared" si="93"/>
        <v/>
      </c>
      <c r="HV10" s="11" t="str">
        <f t="shared" si="94"/>
        <v/>
      </c>
      <c r="HW10" s="11" t="str">
        <f t="shared" si="95"/>
        <v/>
      </c>
      <c r="HX10" s="11" t="str">
        <f t="shared" si="96"/>
        <v/>
      </c>
      <c r="HY10" s="11" t="str">
        <f t="shared" si="97"/>
        <v/>
      </c>
      <c r="HZ10" s="11" t="str">
        <f t="shared" si="98"/>
        <v/>
      </c>
      <c r="IA10" s="11" t="str">
        <f t="shared" si="99"/>
        <v/>
      </c>
      <c r="IB10" s="11" t="str">
        <f t="shared" si="100"/>
        <v/>
      </c>
      <c r="IC10" s="11" t="str">
        <f t="shared" si="101"/>
        <v/>
      </c>
      <c r="ID10" s="11" t="str">
        <f t="shared" si="102"/>
        <v/>
      </c>
      <c r="IE10" s="11" t="str">
        <f t="shared" si="103"/>
        <v/>
      </c>
      <c r="IF10" s="11" t="str">
        <f t="shared" si="104"/>
        <v/>
      </c>
      <c r="IG10" s="11" t="str">
        <f t="shared" si="105"/>
        <v/>
      </c>
      <c r="IH10" s="17"/>
      <c r="II10" s="17"/>
      <c r="IJ10" s="17"/>
      <c r="IK10" s="17"/>
      <c r="IL10" s="17"/>
      <c r="IM10" s="17"/>
      <c r="IN10" s="17"/>
      <c r="IO10" s="17"/>
      <c r="IP10" s="17"/>
      <c r="IQ10" s="17"/>
      <c r="IR10" s="17"/>
      <c r="IS10" s="17"/>
      <c r="IT10" s="17"/>
      <c r="IU10" s="17"/>
      <c r="IV10" s="17"/>
      <c r="IW10" s="17"/>
      <c r="IX10" s="17"/>
      <c r="IY10" s="17"/>
      <c r="IZ10" s="17"/>
      <c r="JA10" s="17"/>
      <c r="JB10" s="40" t="str">
        <f t="shared" si="106"/>
        <v/>
      </c>
      <c r="JC10" s="40" t="str">
        <f t="shared" si="107"/>
        <v/>
      </c>
      <c r="JD10" s="40" t="str">
        <f t="shared" si="108"/>
        <v/>
      </c>
      <c r="JE10" s="40" t="str">
        <f t="shared" si="109"/>
        <v/>
      </c>
      <c r="JF10" s="40" t="str">
        <f t="shared" si="110"/>
        <v/>
      </c>
      <c r="JG10" s="40" t="str">
        <f t="shared" si="111"/>
        <v/>
      </c>
      <c r="JH10" s="40" t="str">
        <f t="shared" si="112"/>
        <v/>
      </c>
      <c r="JI10" s="40" t="str">
        <f t="shared" si="113"/>
        <v/>
      </c>
      <c r="JJ10" s="40" t="str">
        <f t="shared" si="114"/>
        <v/>
      </c>
      <c r="JK10" s="40" t="str">
        <f t="shared" si="115"/>
        <v/>
      </c>
      <c r="JL10" s="40" t="str">
        <f t="shared" si="116"/>
        <v/>
      </c>
      <c r="JM10" s="40" t="str">
        <f t="shared" si="117"/>
        <v/>
      </c>
      <c r="JN10" s="40" t="str">
        <f t="shared" si="118"/>
        <v/>
      </c>
      <c r="JO10" s="40" t="str">
        <f t="shared" si="119"/>
        <v/>
      </c>
      <c r="JP10" s="18"/>
      <c r="JQ10" s="18"/>
      <c r="JR10" s="18"/>
      <c r="JS10" s="18"/>
      <c r="JT10" s="18"/>
      <c r="JU10" s="18"/>
      <c r="JV10" s="18"/>
      <c r="JW10" s="18"/>
      <c r="JX10" s="18"/>
      <c r="JY10" s="18"/>
      <c r="JZ10" s="18"/>
      <c r="KA10" s="18"/>
      <c r="KB10" s="18"/>
      <c r="KC10" s="18"/>
      <c r="KD10" s="18"/>
      <c r="KE10" s="18"/>
      <c r="KF10" s="18"/>
      <c r="KG10" s="18"/>
      <c r="KH10" s="18"/>
      <c r="KI10" s="18"/>
      <c r="KJ10" s="11" t="str">
        <f t="shared" si="120"/>
        <v/>
      </c>
      <c r="KK10" s="11" t="str">
        <f t="shared" si="121"/>
        <v/>
      </c>
      <c r="KL10" s="11" t="str">
        <f t="shared" si="122"/>
        <v/>
      </c>
      <c r="KM10" s="11" t="str">
        <f t="shared" si="123"/>
        <v/>
      </c>
      <c r="KN10" s="11" t="str">
        <f t="shared" si="124"/>
        <v/>
      </c>
      <c r="KO10" s="11" t="str">
        <f t="shared" si="125"/>
        <v/>
      </c>
      <c r="KP10" s="11" t="str">
        <f t="shared" si="126"/>
        <v/>
      </c>
      <c r="KQ10" s="11" t="str">
        <f t="shared" si="127"/>
        <v/>
      </c>
      <c r="KR10" s="11" t="str">
        <f t="shared" si="128"/>
        <v/>
      </c>
      <c r="KS10" s="11" t="str">
        <f t="shared" si="129"/>
        <v/>
      </c>
      <c r="KT10" s="11" t="str">
        <f t="shared" si="130"/>
        <v/>
      </c>
      <c r="KU10" s="11" t="str">
        <f t="shared" si="131"/>
        <v/>
      </c>
      <c r="KV10" s="11" t="str">
        <f t="shared" si="132"/>
        <v/>
      </c>
      <c r="KW10" s="11" t="str">
        <f t="shared" si="133"/>
        <v/>
      </c>
      <c r="KX10" s="17"/>
      <c r="KY10" s="17"/>
      <c r="KZ10" s="17"/>
      <c r="LA10" s="17"/>
      <c r="LB10" s="17"/>
      <c r="LC10" s="17"/>
      <c r="LD10" s="17"/>
      <c r="LE10" s="17"/>
      <c r="LF10" s="17"/>
      <c r="LG10" s="17"/>
      <c r="LH10" s="17"/>
      <c r="LI10" s="17"/>
      <c r="LJ10" s="17"/>
      <c r="LK10" s="17"/>
      <c r="LL10" s="17"/>
      <c r="LM10" s="17"/>
      <c r="LN10" s="17"/>
      <c r="LO10" s="17"/>
      <c r="LP10" s="17"/>
      <c r="LQ10" s="17"/>
      <c r="LR10" s="40" t="str">
        <f t="shared" si="134"/>
        <v/>
      </c>
      <c r="LS10" s="40" t="str">
        <f t="shared" si="135"/>
        <v/>
      </c>
      <c r="LT10" s="40" t="str">
        <f t="shared" si="136"/>
        <v/>
      </c>
      <c r="LU10" s="40" t="str">
        <f t="shared" si="137"/>
        <v/>
      </c>
      <c r="LV10" s="40" t="str">
        <f t="shared" si="138"/>
        <v/>
      </c>
      <c r="LW10" s="40" t="str">
        <f t="shared" si="139"/>
        <v/>
      </c>
      <c r="LX10" s="40" t="str">
        <f t="shared" si="140"/>
        <v/>
      </c>
      <c r="LY10" s="40" t="str">
        <f t="shared" si="141"/>
        <v/>
      </c>
      <c r="LZ10" s="40" t="str">
        <f t="shared" si="142"/>
        <v/>
      </c>
      <c r="MA10" s="40" t="str">
        <f t="shared" si="143"/>
        <v/>
      </c>
      <c r="MB10" s="40" t="str">
        <f t="shared" si="144"/>
        <v/>
      </c>
      <c r="MC10" s="40" t="str">
        <f t="shared" si="145"/>
        <v/>
      </c>
      <c r="MD10" s="40" t="str">
        <f t="shared" si="146"/>
        <v/>
      </c>
      <c r="ME10" s="40" t="str">
        <f t="shared" si="147"/>
        <v/>
      </c>
      <c r="MF10" s="18"/>
      <c r="MG10" s="18"/>
      <c r="MH10" s="18"/>
      <c r="MI10" s="18"/>
      <c r="MJ10" s="18"/>
      <c r="MK10" s="18"/>
      <c r="ML10" s="18"/>
      <c r="MM10" s="18"/>
      <c r="MN10" s="18"/>
      <c r="MO10" s="18"/>
      <c r="MP10" s="18"/>
      <c r="MQ10" s="18"/>
      <c r="MR10" s="18"/>
      <c r="MS10" s="18"/>
      <c r="MT10" s="18"/>
      <c r="MU10" s="18"/>
      <c r="MV10" s="18"/>
      <c r="MW10" s="18"/>
      <c r="MX10" s="18"/>
      <c r="MY10" s="18"/>
      <c r="MZ10" s="11" t="str">
        <f t="shared" si="148"/>
        <v/>
      </c>
      <c r="NA10" s="11" t="str">
        <f t="shared" si="149"/>
        <v/>
      </c>
      <c r="NB10" s="11" t="str">
        <f t="shared" si="150"/>
        <v/>
      </c>
      <c r="NC10" s="11" t="str">
        <f t="shared" si="151"/>
        <v/>
      </c>
      <c r="ND10" s="11" t="str">
        <f t="shared" si="152"/>
        <v/>
      </c>
      <c r="NE10" s="11" t="str">
        <f t="shared" si="153"/>
        <v/>
      </c>
      <c r="NF10" s="11" t="str">
        <f t="shared" si="154"/>
        <v/>
      </c>
      <c r="NG10" s="11" t="str">
        <f t="shared" si="155"/>
        <v/>
      </c>
      <c r="NH10" s="11" t="str">
        <f t="shared" si="156"/>
        <v/>
      </c>
      <c r="NI10" s="11" t="str">
        <f t="shared" si="157"/>
        <v/>
      </c>
      <c r="NJ10" s="11" t="str">
        <f t="shared" si="158"/>
        <v/>
      </c>
      <c r="NK10" s="11" t="str">
        <f t="shared" si="159"/>
        <v/>
      </c>
      <c r="NL10" s="11" t="str">
        <f t="shared" si="160"/>
        <v/>
      </c>
      <c r="NM10" s="11" t="str">
        <f t="shared" si="161"/>
        <v/>
      </c>
      <c r="NN10" s="17"/>
      <c r="NO10" s="17"/>
      <c r="NP10" s="17"/>
      <c r="NQ10" s="17"/>
      <c r="NR10" s="17"/>
      <c r="NS10" s="17"/>
      <c r="NT10" s="17"/>
      <c r="NU10" s="17"/>
      <c r="NV10" s="17"/>
      <c r="NW10" s="17"/>
      <c r="NX10" s="17"/>
      <c r="NY10" s="17"/>
      <c r="NZ10" s="17"/>
      <c r="OA10" s="17"/>
      <c r="OB10" s="17"/>
      <c r="OC10" s="17"/>
      <c r="OD10" s="17"/>
      <c r="OE10" s="17"/>
      <c r="OF10" s="17"/>
      <c r="OG10" s="17"/>
      <c r="OH10" s="40" t="str">
        <f t="shared" si="162"/>
        <v/>
      </c>
      <c r="OI10" s="40" t="str">
        <f t="shared" si="163"/>
        <v/>
      </c>
      <c r="OJ10" s="40" t="str">
        <f t="shared" si="164"/>
        <v/>
      </c>
      <c r="OK10" s="40" t="str">
        <f t="shared" si="165"/>
        <v/>
      </c>
      <c r="OL10" s="40" t="str">
        <f t="shared" si="166"/>
        <v/>
      </c>
      <c r="OM10" s="40" t="str">
        <f t="shared" si="167"/>
        <v/>
      </c>
      <c r="ON10" s="40" t="str">
        <f t="shared" si="168"/>
        <v/>
      </c>
      <c r="OO10" s="40" t="str">
        <f t="shared" si="169"/>
        <v/>
      </c>
      <c r="OP10" s="40" t="str">
        <f t="shared" si="170"/>
        <v/>
      </c>
      <c r="OQ10" s="40" t="str">
        <f t="shared" si="171"/>
        <v/>
      </c>
      <c r="OR10" s="40" t="str">
        <f t="shared" si="172"/>
        <v/>
      </c>
      <c r="OS10" s="40" t="str">
        <f t="shared" si="173"/>
        <v/>
      </c>
      <c r="OT10" s="40" t="str">
        <f t="shared" si="174"/>
        <v/>
      </c>
      <c r="OU10" s="40" t="str">
        <f t="shared" si="175"/>
        <v/>
      </c>
      <c r="OV10" s="18"/>
      <c r="OW10" s="18"/>
      <c r="OX10" s="18"/>
      <c r="OY10" s="18"/>
      <c r="OZ10" s="18"/>
      <c r="PA10" s="18"/>
      <c r="PB10" s="18"/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1" t="str">
        <f t="shared" si="176"/>
        <v/>
      </c>
      <c r="PQ10" s="11" t="str">
        <f t="shared" si="177"/>
        <v/>
      </c>
      <c r="PR10" s="11" t="str">
        <f t="shared" si="178"/>
        <v/>
      </c>
      <c r="PS10" s="11" t="str">
        <f t="shared" si="179"/>
        <v/>
      </c>
      <c r="PT10" s="11" t="str">
        <f t="shared" si="180"/>
        <v/>
      </c>
      <c r="PU10" s="11" t="str">
        <f t="shared" si="181"/>
        <v/>
      </c>
      <c r="PV10" s="11" t="str">
        <f t="shared" si="182"/>
        <v/>
      </c>
      <c r="PW10" s="11" t="str">
        <f t="shared" si="183"/>
        <v/>
      </c>
      <c r="PX10" s="11" t="str">
        <f t="shared" si="184"/>
        <v/>
      </c>
      <c r="PY10" s="11" t="str">
        <f t="shared" si="185"/>
        <v/>
      </c>
      <c r="PZ10" s="11" t="str">
        <f t="shared" si="186"/>
        <v/>
      </c>
      <c r="QA10" s="11" t="str">
        <f t="shared" si="187"/>
        <v/>
      </c>
      <c r="QB10" s="11" t="str">
        <f t="shared" si="188"/>
        <v/>
      </c>
      <c r="QC10" s="11" t="str">
        <f t="shared" si="189"/>
        <v/>
      </c>
      <c r="QD10" s="17"/>
      <c r="QE10" s="17"/>
      <c r="QF10" s="17"/>
      <c r="QG10" s="17"/>
      <c r="QH10" s="17"/>
      <c r="QI10" s="17"/>
      <c r="QJ10" s="17"/>
      <c r="QK10" s="17"/>
      <c r="QL10" s="17"/>
      <c r="QM10" s="17"/>
      <c r="QN10" s="17"/>
      <c r="QO10" s="17"/>
      <c r="QP10" s="17"/>
      <c r="QQ10" s="17"/>
      <c r="QR10" s="17"/>
      <c r="QS10" s="17"/>
      <c r="QT10" s="17"/>
      <c r="QU10" s="17"/>
      <c r="QV10" s="17"/>
      <c r="QW10" s="17"/>
      <c r="QX10" s="40" t="str">
        <f t="shared" si="190"/>
        <v/>
      </c>
      <c r="QY10" s="40" t="str">
        <f t="shared" si="191"/>
        <v/>
      </c>
      <c r="QZ10" s="40" t="str">
        <f t="shared" si="192"/>
        <v/>
      </c>
      <c r="RA10" s="40" t="str">
        <f t="shared" si="193"/>
        <v/>
      </c>
      <c r="RB10" s="40" t="str">
        <f t="shared" si="194"/>
        <v/>
      </c>
      <c r="RC10" s="40" t="str">
        <f t="shared" si="195"/>
        <v/>
      </c>
      <c r="RD10" s="40" t="str">
        <f t="shared" si="196"/>
        <v/>
      </c>
      <c r="RE10" s="40" t="str">
        <f t="shared" si="197"/>
        <v/>
      </c>
      <c r="RF10" s="40" t="str">
        <f t="shared" si="198"/>
        <v/>
      </c>
      <c r="RG10" s="40" t="str">
        <f t="shared" si="199"/>
        <v/>
      </c>
      <c r="RH10" s="40" t="str">
        <f t="shared" si="200"/>
        <v/>
      </c>
      <c r="RI10" s="40" t="str">
        <f t="shared" si="201"/>
        <v/>
      </c>
      <c r="RJ10" s="40" t="str">
        <f t="shared" si="202"/>
        <v/>
      </c>
      <c r="RK10" s="40" t="str">
        <f t="shared" si="203"/>
        <v/>
      </c>
      <c r="RL10" s="18"/>
      <c r="RM10" s="18"/>
      <c r="RN10" s="18"/>
      <c r="RO10" s="18"/>
      <c r="RP10" s="18"/>
      <c r="RQ10" s="18"/>
      <c r="RR10" s="18"/>
      <c r="RS10" s="18"/>
      <c r="RT10" s="18"/>
      <c r="RU10" s="18"/>
      <c r="RV10" s="18"/>
      <c r="RW10" s="18"/>
      <c r="RX10" s="18"/>
      <c r="RY10" s="18"/>
      <c r="RZ10" s="18"/>
      <c r="SA10" s="18"/>
      <c r="SB10" s="18"/>
      <c r="SC10" s="18"/>
      <c r="SD10" s="18"/>
      <c r="SE10" s="18"/>
      <c r="SF10" s="11" t="str">
        <f t="shared" si="204"/>
        <v/>
      </c>
      <c r="SG10" s="11" t="str">
        <f t="shared" si="205"/>
        <v/>
      </c>
      <c r="SH10" s="11" t="str">
        <f t="shared" si="206"/>
        <v/>
      </c>
      <c r="SI10" s="11" t="str">
        <f t="shared" si="207"/>
        <v/>
      </c>
      <c r="SJ10" s="11" t="str">
        <f t="shared" si="208"/>
        <v/>
      </c>
      <c r="SK10" s="11" t="str">
        <f t="shared" si="209"/>
        <v/>
      </c>
      <c r="SL10" s="11" t="str">
        <f t="shared" si="210"/>
        <v/>
      </c>
      <c r="SM10" s="11" t="str">
        <f t="shared" si="211"/>
        <v/>
      </c>
      <c r="SN10" s="11" t="str">
        <f t="shared" si="212"/>
        <v/>
      </c>
      <c r="SO10" s="11" t="str">
        <f t="shared" si="213"/>
        <v/>
      </c>
      <c r="SP10" s="11" t="str">
        <f t="shared" si="214"/>
        <v/>
      </c>
      <c r="SQ10" s="11" t="str">
        <f t="shared" si="215"/>
        <v/>
      </c>
      <c r="SR10" s="11" t="str">
        <f t="shared" si="216"/>
        <v/>
      </c>
      <c r="SS10" s="11" t="str">
        <f t="shared" si="217"/>
        <v/>
      </c>
      <c r="ST10" s="22">
        <f t="shared" si="218"/>
        <v>0</v>
      </c>
      <c r="SU10" s="22">
        <f t="shared" si="219"/>
        <v>0</v>
      </c>
      <c r="SV10" s="22">
        <f t="shared" si="220"/>
        <v>0</v>
      </c>
      <c r="SW10" s="22">
        <f t="shared" si="221"/>
        <v>0</v>
      </c>
      <c r="SX10" s="22">
        <f t="shared" si="222"/>
        <v>0</v>
      </c>
      <c r="SY10" s="22">
        <f t="shared" si="223"/>
        <v>0</v>
      </c>
      <c r="SZ10" s="22">
        <f t="shared" si="224"/>
        <v>0</v>
      </c>
      <c r="TA10" s="22">
        <f t="shared" si="225"/>
        <v>0</v>
      </c>
      <c r="TB10" s="22">
        <f t="shared" si="226"/>
        <v>0</v>
      </c>
      <c r="TC10" s="22">
        <f t="shared" si="227"/>
        <v>0</v>
      </c>
      <c r="TD10" s="22">
        <f t="shared" si="228"/>
        <v>0</v>
      </c>
      <c r="TE10" s="22">
        <f t="shared" si="229"/>
        <v>0</v>
      </c>
      <c r="TF10" s="22">
        <f t="shared" si="230"/>
        <v>0</v>
      </c>
      <c r="TG10" s="22">
        <f t="shared" si="231"/>
        <v>0</v>
      </c>
      <c r="TH10" s="22">
        <f t="shared" si="232"/>
        <v>0</v>
      </c>
      <c r="TI10" s="27" t="s">
        <v>46</v>
      </c>
      <c r="TJ10" s="40" t="str">
        <f t="shared" si="233"/>
        <v/>
      </c>
      <c r="TK10" s="40" t="str">
        <f t="shared" si="234"/>
        <v/>
      </c>
      <c r="TL10" s="40" t="str">
        <f t="shared" si="235"/>
        <v/>
      </c>
      <c r="TM10" s="40" t="str">
        <f t="shared" si="236"/>
        <v/>
      </c>
      <c r="TN10" s="40" t="str">
        <f t="shared" si="237"/>
        <v/>
      </c>
      <c r="TO10" s="40" t="str">
        <f t="shared" si="238"/>
        <v/>
      </c>
      <c r="TP10" s="40" t="str">
        <f t="shared" si="239"/>
        <v/>
      </c>
      <c r="TQ10" s="40" t="str">
        <f t="shared" si="240"/>
        <v/>
      </c>
      <c r="TR10" s="40" t="str">
        <f t="shared" si="241"/>
        <v/>
      </c>
      <c r="TS10" s="40" t="str">
        <f t="shared" si="242"/>
        <v/>
      </c>
      <c r="TT10" s="40" t="str">
        <f t="shared" si="243"/>
        <v/>
      </c>
    </row>
    <row r="11" spans="1:540" x14ac:dyDescent="0.2">
      <c r="A11" s="4" t="str" cm="1">
        <f t="array" ref="A11">IF(AND(F11&lt;&gt;"",G11&lt;&gt;""),SUMPRODUCT((F$4:F$35&lt;&gt;"")*(G$4:G$35&lt;&gt;"")*(E$4:E$35&gt;E11))+1,IF(G11&lt;&gt;"",SUMPRODUCT((H$4:H$35="No DD")*(E$4:E$35&gt;E11))+1+SUMPRODUCT((F$4:F$35&lt;&gt;"")*(G$4:G$35&lt;&gt;"")),""))</f>
        <v/>
      </c>
      <c r="B11" s="5" t="s">
        <v>69</v>
      </c>
      <c r="C11" s="4" t="s">
        <v>4</v>
      </c>
      <c r="D11" s="4">
        <v>2003</v>
      </c>
      <c r="E11" s="9">
        <f t="shared" si="0"/>
        <v>182.00001820000509</v>
      </c>
      <c r="F11" s="3" t="str">
        <f t="shared" si="1"/>
        <v/>
      </c>
      <c r="G11" s="3" t="str">
        <f t="shared" si="2"/>
        <v/>
      </c>
      <c r="H11" s="36" t="str">
        <f t="shared" si="3"/>
        <v/>
      </c>
      <c r="I11" s="3" t="str">
        <f t="shared" si="4"/>
        <v/>
      </c>
      <c r="J11" s="8">
        <f>IF(COUNT(AO11,AR11,BP11,BS11,CQ11,CT11)&gt;0,LARGE((AO11,AR11,BP11,BS11,CQ11,CT11),1),0)</f>
        <v>50.85</v>
      </c>
      <c r="K11" s="8" t="str">
        <f t="shared" si="5"/>
        <v>2023 Elite Canada</v>
      </c>
      <c r="L11" s="8">
        <f>IF(COUNT(AO11,AR11,BP11,BS11,CQ11,CT11)&gt;1,LARGE((AO11,AR11,BP11,BS11,CQ11,CT11),2),0)</f>
        <v>50.39</v>
      </c>
      <c r="M11" s="8" t="str">
        <f t="shared" si="6"/>
        <v>2023 Elite Canada</v>
      </c>
      <c r="N11" s="8">
        <f>IF(COUNT(AO11,AR11,BP11,BS11,CQ11,CT11)&gt;2,MAX(AV11,BW11,CX11,LARGE((AO11,AR11,BP11,BS11,CQ11,CT11),3)),IF(MAX(AV11,BW11,CX11)&gt;0,MAX(AV11,BW11,CX11),0))</f>
        <v>52.14</v>
      </c>
      <c r="O11" s="8" t="str">
        <f t="shared" si="7"/>
        <v>2023 Elite Canada</v>
      </c>
      <c r="P11" s="8">
        <f t="shared" si="8"/>
        <v>13.9</v>
      </c>
      <c r="Q11" s="8" t="str">
        <f t="shared" si="9"/>
        <v>2023 Elite Canada</v>
      </c>
      <c r="R11" s="8">
        <f t="shared" si="10"/>
        <v>14.72</v>
      </c>
      <c r="S11" s="8" t="str">
        <f t="shared" si="11"/>
        <v>2022 3rd Domestic Trial</v>
      </c>
      <c r="T11" s="8" t="str">
        <f t="shared" si="12"/>
        <v/>
      </c>
      <c r="U11" s="11" t="str">
        <f t="shared" si="13"/>
        <v/>
      </c>
      <c r="V11" s="8" t="str">
        <f t="shared" si="14"/>
        <v/>
      </c>
      <c r="W11" s="22">
        <v>2.8</v>
      </c>
      <c r="X11" s="22">
        <v>2</v>
      </c>
      <c r="Y11" s="22">
        <v>2.9</v>
      </c>
      <c r="Z11" s="22">
        <v>3.15</v>
      </c>
      <c r="AA11" s="22">
        <v>0</v>
      </c>
      <c r="AB11" s="22">
        <v>11.5</v>
      </c>
      <c r="AC11" s="22">
        <v>9</v>
      </c>
      <c r="AD11" s="22">
        <v>13.7</v>
      </c>
      <c r="AE11" s="22">
        <v>14.42</v>
      </c>
      <c r="AF11" s="22">
        <v>0</v>
      </c>
      <c r="AG11" s="22"/>
      <c r="AH11" s="22"/>
      <c r="AI11" s="22"/>
      <c r="AJ11" s="22"/>
      <c r="AK11" s="22"/>
      <c r="AL11" s="27"/>
      <c r="AM11" s="38">
        <f t="shared" si="15"/>
        <v>2.9</v>
      </c>
      <c r="AN11" s="38">
        <f t="shared" si="16"/>
        <v>3.15</v>
      </c>
      <c r="AO11" s="40">
        <f t="shared" si="17"/>
        <v>10.85</v>
      </c>
      <c r="AP11" s="40">
        <f t="shared" si="18"/>
        <v>13.7</v>
      </c>
      <c r="AQ11" s="40">
        <f t="shared" si="19"/>
        <v>14.42</v>
      </c>
      <c r="AR11" s="40">
        <f t="shared" si="20"/>
        <v>48.620000000000005</v>
      </c>
      <c r="AS11" s="40">
        <f t="shared" si="21"/>
        <v>48.620000000000005</v>
      </c>
      <c r="AT11" s="40" t="str">
        <f t="shared" si="22"/>
        <v/>
      </c>
      <c r="AU11" s="40" t="str">
        <f t="shared" si="23"/>
        <v/>
      </c>
      <c r="AV11" s="40" t="str">
        <f t="shared" si="24"/>
        <v/>
      </c>
      <c r="AW11" s="40">
        <f t="shared" si="25"/>
        <v>48.620000000000005</v>
      </c>
      <c r="AX11" s="26">
        <v>12.5</v>
      </c>
      <c r="AY11" s="26">
        <v>9</v>
      </c>
      <c r="AZ11" s="26">
        <v>13.9</v>
      </c>
      <c r="BA11" s="26">
        <v>14.43</v>
      </c>
      <c r="BB11" s="26">
        <v>0</v>
      </c>
      <c r="BC11" s="26">
        <v>1.2</v>
      </c>
      <c r="BD11" s="26">
        <v>1</v>
      </c>
      <c r="BE11" s="26">
        <v>1.7</v>
      </c>
      <c r="BF11" s="26">
        <v>1.6</v>
      </c>
      <c r="BG11" s="26">
        <v>0</v>
      </c>
      <c r="BH11" s="26">
        <v>12.2</v>
      </c>
      <c r="BI11" s="26">
        <v>9.3000000000000007</v>
      </c>
      <c r="BJ11" s="26">
        <v>13.7</v>
      </c>
      <c r="BK11" s="26">
        <v>14.72</v>
      </c>
      <c r="BL11" s="26">
        <v>0</v>
      </c>
      <c r="BM11" s="28"/>
      <c r="BN11" s="39">
        <f t="shared" si="26"/>
        <v>13.9</v>
      </c>
      <c r="BO11" s="39">
        <f t="shared" si="27"/>
        <v>14.43</v>
      </c>
      <c r="BP11" s="11">
        <f t="shared" si="28"/>
        <v>49.83</v>
      </c>
      <c r="BQ11" s="11">
        <f t="shared" si="29"/>
        <v>1.7</v>
      </c>
      <c r="BR11" s="11">
        <f t="shared" si="30"/>
        <v>1.6</v>
      </c>
      <c r="BS11" s="11">
        <f t="shared" si="31"/>
        <v>5.5</v>
      </c>
      <c r="BT11" s="11">
        <f t="shared" si="32"/>
        <v>49.83</v>
      </c>
      <c r="BU11" s="11">
        <f t="shared" si="33"/>
        <v>13.7</v>
      </c>
      <c r="BV11" s="11">
        <f t="shared" si="34"/>
        <v>14.72</v>
      </c>
      <c r="BW11" s="11">
        <f t="shared" si="35"/>
        <v>49.92</v>
      </c>
      <c r="BX11" s="11">
        <f t="shared" si="36"/>
        <v>99.75</v>
      </c>
      <c r="BY11" s="22">
        <v>13.5</v>
      </c>
      <c r="BZ11" s="22">
        <v>9</v>
      </c>
      <c r="CA11" s="22">
        <v>13.9</v>
      </c>
      <c r="CB11" s="22">
        <v>13.99</v>
      </c>
      <c r="CC11" s="22">
        <v>0</v>
      </c>
      <c r="CD11" s="22">
        <v>13.6</v>
      </c>
      <c r="CE11" s="22">
        <v>9.1999999999999993</v>
      </c>
      <c r="CF11" s="22">
        <v>13.7</v>
      </c>
      <c r="CG11" s="22">
        <v>14.35</v>
      </c>
      <c r="CH11" s="22">
        <v>0</v>
      </c>
      <c r="CI11" s="22">
        <v>14.4</v>
      </c>
      <c r="CJ11" s="22">
        <v>9.4</v>
      </c>
      <c r="CK11" s="22">
        <v>13.7</v>
      </c>
      <c r="CL11" s="22">
        <v>14.64</v>
      </c>
      <c r="CM11" s="22">
        <v>0</v>
      </c>
      <c r="CN11" s="27"/>
      <c r="CO11" s="38">
        <f t="shared" si="37"/>
        <v>13.9</v>
      </c>
      <c r="CP11" s="38">
        <f t="shared" si="38"/>
        <v>13.99</v>
      </c>
      <c r="CQ11" s="40">
        <f t="shared" si="39"/>
        <v>50.39</v>
      </c>
      <c r="CR11" s="40">
        <f t="shared" si="40"/>
        <v>13.7</v>
      </c>
      <c r="CS11" s="40">
        <f t="shared" si="41"/>
        <v>14.35</v>
      </c>
      <c r="CT11" s="40">
        <f t="shared" si="42"/>
        <v>50.85</v>
      </c>
      <c r="CU11" s="40">
        <f t="shared" si="43"/>
        <v>50.85</v>
      </c>
      <c r="CV11" s="40">
        <f t="shared" si="44"/>
        <v>13.7</v>
      </c>
      <c r="CW11" s="40">
        <f t="shared" si="45"/>
        <v>14.64</v>
      </c>
      <c r="CX11" s="40">
        <f t="shared" si="46"/>
        <v>52.14</v>
      </c>
      <c r="CY11" s="40">
        <f t="shared" si="47"/>
        <v>102.99000000000001</v>
      </c>
      <c r="CZ11" s="50" t="str">
        <f t="shared" si="48"/>
        <v/>
      </c>
      <c r="DA11" s="50" t="str">
        <f t="shared" si="49"/>
        <v/>
      </c>
      <c r="DB11" s="17"/>
      <c r="DC11" s="17"/>
      <c r="DD11" s="17"/>
      <c r="DE11" s="17"/>
      <c r="DF11" s="17"/>
      <c r="DG11" s="17"/>
      <c r="DH11" s="17"/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40" t="str">
        <f t="shared" si="50"/>
        <v/>
      </c>
      <c r="DW11" s="40" t="str">
        <f t="shared" si="51"/>
        <v/>
      </c>
      <c r="DX11" s="40" t="str">
        <f t="shared" si="52"/>
        <v/>
      </c>
      <c r="DY11" s="40" t="str">
        <f t="shared" si="53"/>
        <v/>
      </c>
      <c r="DZ11" s="40" t="str">
        <f t="shared" si="54"/>
        <v/>
      </c>
      <c r="EA11" s="40" t="str">
        <f t="shared" si="55"/>
        <v/>
      </c>
      <c r="EB11" s="40" t="str">
        <f t="shared" si="56"/>
        <v/>
      </c>
      <c r="EC11" s="40" t="str">
        <f t="shared" si="57"/>
        <v/>
      </c>
      <c r="ED11" s="40" t="str">
        <f t="shared" si="58"/>
        <v/>
      </c>
      <c r="EE11" s="40" t="str">
        <f t="shared" si="59"/>
        <v/>
      </c>
      <c r="EF11" s="40" t="str">
        <f t="shared" si="60"/>
        <v/>
      </c>
      <c r="EG11" s="40" t="str">
        <f t="shared" si="61"/>
        <v/>
      </c>
      <c r="EH11" s="40" t="str">
        <f t="shared" si="62"/>
        <v/>
      </c>
      <c r="EI11" s="40" t="str">
        <f t="shared" si="63"/>
        <v/>
      </c>
      <c r="EJ11" s="18"/>
      <c r="EK11" s="18"/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8"/>
      <c r="FC11" s="18"/>
      <c r="FD11" s="11" t="str">
        <f t="shared" si="64"/>
        <v/>
      </c>
      <c r="FE11" s="11" t="str">
        <f t="shared" si="65"/>
        <v/>
      </c>
      <c r="FF11" s="11" t="str">
        <f t="shared" si="66"/>
        <v/>
      </c>
      <c r="FG11" s="11" t="str">
        <f t="shared" si="67"/>
        <v/>
      </c>
      <c r="FH11" s="11" t="str">
        <f t="shared" si="68"/>
        <v/>
      </c>
      <c r="FI11" s="11" t="str">
        <f t="shared" si="69"/>
        <v/>
      </c>
      <c r="FJ11" s="11" t="str">
        <f t="shared" si="70"/>
        <v/>
      </c>
      <c r="FK11" s="11" t="str">
        <f t="shared" si="71"/>
        <v/>
      </c>
      <c r="FL11" s="11" t="str">
        <f t="shared" si="72"/>
        <v/>
      </c>
      <c r="FM11" s="11" t="str">
        <f t="shared" si="73"/>
        <v/>
      </c>
      <c r="FN11" s="11" t="str">
        <f t="shared" si="74"/>
        <v/>
      </c>
      <c r="FO11" s="11" t="str">
        <f t="shared" si="75"/>
        <v/>
      </c>
      <c r="FP11" s="11" t="str">
        <f t="shared" si="76"/>
        <v/>
      </c>
      <c r="FQ11" s="11" t="str">
        <f t="shared" si="77"/>
        <v/>
      </c>
      <c r="FR11" s="17"/>
      <c r="FS11" s="17"/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17"/>
      <c r="GF11" s="17"/>
      <c r="GG11" s="17"/>
      <c r="GH11" s="17"/>
      <c r="GI11" s="17"/>
      <c r="GJ11" s="17"/>
      <c r="GK11" s="17"/>
      <c r="GL11" s="40" t="str">
        <f t="shared" si="78"/>
        <v/>
      </c>
      <c r="GM11" s="40" t="str">
        <f t="shared" si="79"/>
        <v/>
      </c>
      <c r="GN11" s="40" t="str">
        <f t="shared" si="80"/>
        <v/>
      </c>
      <c r="GO11" s="40" t="str">
        <f t="shared" si="81"/>
        <v/>
      </c>
      <c r="GP11" s="40" t="str">
        <f t="shared" si="82"/>
        <v/>
      </c>
      <c r="GQ11" s="40" t="str">
        <f t="shared" si="83"/>
        <v/>
      </c>
      <c r="GR11" s="40" t="str">
        <f t="shared" si="84"/>
        <v/>
      </c>
      <c r="GS11" s="40" t="str">
        <f t="shared" si="85"/>
        <v/>
      </c>
      <c r="GT11" s="40" t="str">
        <f t="shared" si="86"/>
        <v/>
      </c>
      <c r="GU11" s="40" t="str">
        <f t="shared" si="87"/>
        <v/>
      </c>
      <c r="GV11" s="40" t="str">
        <f t="shared" si="88"/>
        <v/>
      </c>
      <c r="GW11" s="40" t="str">
        <f t="shared" si="89"/>
        <v/>
      </c>
      <c r="GX11" s="40" t="str">
        <f t="shared" si="90"/>
        <v/>
      </c>
      <c r="GY11" s="40" t="str">
        <f t="shared" si="91"/>
        <v/>
      </c>
      <c r="GZ11" s="18"/>
      <c r="HA11" s="18"/>
      <c r="HB11" s="18"/>
      <c r="HC11" s="18"/>
      <c r="HD11" s="18"/>
      <c r="HE11" s="18"/>
      <c r="HF11" s="18"/>
      <c r="HG11" s="18"/>
      <c r="HH11" s="18"/>
      <c r="HI11" s="18"/>
      <c r="HJ11" s="18"/>
      <c r="HK11" s="18"/>
      <c r="HL11" s="18"/>
      <c r="HM11" s="18"/>
      <c r="HN11" s="18"/>
      <c r="HO11" s="18"/>
      <c r="HP11" s="18"/>
      <c r="HQ11" s="18"/>
      <c r="HR11" s="18"/>
      <c r="HS11" s="18"/>
      <c r="HT11" s="11" t="str">
        <f t="shared" si="92"/>
        <v/>
      </c>
      <c r="HU11" s="11" t="str">
        <f t="shared" si="93"/>
        <v/>
      </c>
      <c r="HV11" s="11" t="str">
        <f t="shared" si="94"/>
        <v/>
      </c>
      <c r="HW11" s="11" t="str">
        <f t="shared" si="95"/>
        <v/>
      </c>
      <c r="HX11" s="11" t="str">
        <f t="shared" si="96"/>
        <v/>
      </c>
      <c r="HY11" s="11" t="str">
        <f t="shared" si="97"/>
        <v/>
      </c>
      <c r="HZ11" s="11" t="str">
        <f t="shared" si="98"/>
        <v/>
      </c>
      <c r="IA11" s="11" t="str">
        <f t="shared" si="99"/>
        <v/>
      </c>
      <c r="IB11" s="11" t="str">
        <f t="shared" si="100"/>
        <v/>
      </c>
      <c r="IC11" s="11" t="str">
        <f t="shared" si="101"/>
        <v/>
      </c>
      <c r="ID11" s="11" t="str">
        <f t="shared" si="102"/>
        <v/>
      </c>
      <c r="IE11" s="11" t="str">
        <f t="shared" si="103"/>
        <v/>
      </c>
      <c r="IF11" s="11" t="str">
        <f t="shared" si="104"/>
        <v/>
      </c>
      <c r="IG11" s="11" t="str">
        <f t="shared" si="105"/>
        <v/>
      </c>
      <c r="IH11" s="17"/>
      <c r="II11" s="17"/>
      <c r="IJ11" s="17"/>
      <c r="IK11" s="17"/>
      <c r="IL11" s="17"/>
      <c r="IM11" s="17"/>
      <c r="IN11" s="17"/>
      <c r="IO11" s="17"/>
      <c r="IP11" s="17"/>
      <c r="IQ11" s="17"/>
      <c r="IR11" s="17"/>
      <c r="IS11" s="17"/>
      <c r="IT11" s="17"/>
      <c r="IU11" s="17"/>
      <c r="IV11" s="17"/>
      <c r="IW11" s="17"/>
      <c r="IX11" s="17"/>
      <c r="IY11" s="17"/>
      <c r="IZ11" s="17"/>
      <c r="JA11" s="17"/>
      <c r="JB11" s="40" t="str">
        <f t="shared" si="106"/>
        <v/>
      </c>
      <c r="JC11" s="40" t="str">
        <f t="shared" si="107"/>
        <v/>
      </c>
      <c r="JD11" s="40" t="str">
        <f t="shared" si="108"/>
        <v/>
      </c>
      <c r="JE11" s="40" t="str">
        <f t="shared" si="109"/>
        <v/>
      </c>
      <c r="JF11" s="40" t="str">
        <f t="shared" si="110"/>
        <v/>
      </c>
      <c r="JG11" s="40" t="str">
        <f t="shared" si="111"/>
        <v/>
      </c>
      <c r="JH11" s="40" t="str">
        <f t="shared" si="112"/>
        <v/>
      </c>
      <c r="JI11" s="40" t="str">
        <f t="shared" si="113"/>
        <v/>
      </c>
      <c r="JJ11" s="40" t="str">
        <f t="shared" si="114"/>
        <v/>
      </c>
      <c r="JK11" s="40" t="str">
        <f t="shared" si="115"/>
        <v/>
      </c>
      <c r="JL11" s="40" t="str">
        <f t="shared" si="116"/>
        <v/>
      </c>
      <c r="JM11" s="40" t="str">
        <f t="shared" si="117"/>
        <v/>
      </c>
      <c r="JN11" s="40" t="str">
        <f t="shared" si="118"/>
        <v/>
      </c>
      <c r="JO11" s="40" t="str">
        <f t="shared" si="119"/>
        <v/>
      </c>
      <c r="JP11" s="18"/>
      <c r="JQ11" s="18"/>
      <c r="JR11" s="18"/>
      <c r="JS11" s="18"/>
      <c r="JT11" s="18"/>
      <c r="JU11" s="18"/>
      <c r="JV11" s="18"/>
      <c r="JW11" s="18"/>
      <c r="JX11" s="18"/>
      <c r="JY11" s="18"/>
      <c r="JZ11" s="18"/>
      <c r="KA11" s="18"/>
      <c r="KB11" s="18"/>
      <c r="KC11" s="18"/>
      <c r="KD11" s="18"/>
      <c r="KE11" s="18"/>
      <c r="KF11" s="18"/>
      <c r="KG11" s="18"/>
      <c r="KH11" s="18"/>
      <c r="KI11" s="18"/>
      <c r="KJ11" s="11" t="str">
        <f t="shared" si="120"/>
        <v/>
      </c>
      <c r="KK11" s="11" t="str">
        <f t="shared" si="121"/>
        <v/>
      </c>
      <c r="KL11" s="11" t="str">
        <f t="shared" si="122"/>
        <v/>
      </c>
      <c r="KM11" s="11" t="str">
        <f t="shared" si="123"/>
        <v/>
      </c>
      <c r="KN11" s="11" t="str">
        <f t="shared" si="124"/>
        <v/>
      </c>
      <c r="KO11" s="11" t="str">
        <f t="shared" si="125"/>
        <v/>
      </c>
      <c r="KP11" s="11" t="str">
        <f t="shared" si="126"/>
        <v/>
      </c>
      <c r="KQ11" s="11" t="str">
        <f t="shared" si="127"/>
        <v/>
      </c>
      <c r="KR11" s="11" t="str">
        <f t="shared" si="128"/>
        <v/>
      </c>
      <c r="KS11" s="11" t="str">
        <f t="shared" si="129"/>
        <v/>
      </c>
      <c r="KT11" s="11" t="str">
        <f t="shared" si="130"/>
        <v/>
      </c>
      <c r="KU11" s="11" t="str">
        <f t="shared" si="131"/>
        <v/>
      </c>
      <c r="KV11" s="11" t="str">
        <f t="shared" si="132"/>
        <v/>
      </c>
      <c r="KW11" s="11" t="str">
        <f t="shared" si="133"/>
        <v/>
      </c>
      <c r="KX11" s="17"/>
      <c r="KY11" s="17"/>
      <c r="KZ11" s="17"/>
      <c r="LA11" s="17"/>
      <c r="LB11" s="17"/>
      <c r="LC11" s="17"/>
      <c r="LD11" s="17"/>
      <c r="LE11" s="17"/>
      <c r="LF11" s="17"/>
      <c r="LG11" s="17"/>
      <c r="LH11" s="17"/>
      <c r="LI11" s="17"/>
      <c r="LJ11" s="17"/>
      <c r="LK11" s="17"/>
      <c r="LL11" s="17"/>
      <c r="LM11" s="17"/>
      <c r="LN11" s="17"/>
      <c r="LO11" s="17"/>
      <c r="LP11" s="17"/>
      <c r="LQ11" s="17"/>
      <c r="LR11" s="40" t="str">
        <f t="shared" si="134"/>
        <v/>
      </c>
      <c r="LS11" s="40" t="str">
        <f t="shared" si="135"/>
        <v/>
      </c>
      <c r="LT11" s="40" t="str">
        <f t="shared" si="136"/>
        <v/>
      </c>
      <c r="LU11" s="40" t="str">
        <f t="shared" si="137"/>
        <v/>
      </c>
      <c r="LV11" s="40" t="str">
        <f t="shared" si="138"/>
        <v/>
      </c>
      <c r="LW11" s="40" t="str">
        <f t="shared" si="139"/>
        <v/>
      </c>
      <c r="LX11" s="40" t="str">
        <f t="shared" si="140"/>
        <v/>
      </c>
      <c r="LY11" s="40" t="str">
        <f t="shared" si="141"/>
        <v/>
      </c>
      <c r="LZ11" s="40" t="str">
        <f t="shared" si="142"/>
        <v/>
      </c>
      <c r="MA11" s="40" t="str">
        <f t="shared" si="143"/>
        <v/>
      </c>
      <c r="MB11" s="40" t="str">
        <f t="shared" si="144"/>
        <v/>
      </c>
      <c r="MC11" s="40" t="str">
        <f t="shared" si="145"/>
        <v/>
      </c>
      <c r="MD11" s="40" t="str">
        <f t="shared" si="146"/>
        <v/>
      </c>
      <c r="ME11" s="40" t="str">
        <f t="shared" si="147"/>
        <v/>
      </c>
      <c r="MF11" s="18"/>
      <c r="MG11" s="18"/>
      <c r="MH11" s="18"/>
      <c r="MI11" s="18"/>
      <c r="MJ11" s="18"/>
      <c r="MK11" s="18"/>
      <c r="ML11" s="18"/>
      <c r="MM11" s="18"/>
      <c r="MN11" s="18"/>
      <c r="MO11" s="18"/>
      <c r="MP11" s="18"/>
      <c r="MQ11" s="18"/>
      <c r="MR11" s="18"/>
      <c r="MS11" s="18"/>
      <c r="MT11" s="18"/>
      <c r="MU11" s="18"/>
      <c r="MV11" s="18"/>
      <c r="MW11" s="18"/>
      <c r="MX11" s="18"/>
      <c r="MY11" s="18"/>
      <c r="MZ11" s="11" t="str">
        <f t="shared" si="148"/>
        <v/>
      </c>
      <c r="NA11" s="11" t="str">
        <f t="shared" si="149"/>
        <v/>
      </c>
      <c r="NB11" s="11" t="str">
        <f t="shared" si="150"/>
        <v/>
      </c>
      <c r="NC11" s="11" t="str">
        <f t="shared" si="151"/>
        <v/>
      </c>
      <c r="ND11" s="11" t="str">
        <f t="shared" si="152"/>
        <v/>
      </c>
      <c r="NE11" s="11" t="str">
        <f t="shared" si="153"/>
        <v/>
      </c>
      <c r="NF11" s="11" t="str">
        <f t="shared" si="154"/>
        <v/>
      </c>
      <c r="NG11" s="11" t="str">
        <f t="shared" si="155"/>
        <v/>
      </c>
      <c r="NH11" s="11" t="str">
        <f t="shared" si="156"/>
        <v/>
      </c>
      <c r="NI11" s="11" t="str">
        <f t="shared" si="157"/>
        <v/>
      </c>
      <c r="NJ11" s="11" t="str">
        <f t="shared" si="158"/>
        <v/>
      </c>
      <c r="NK11" s="11" t="str">
        <f t="shared" si="159"/>
        <v/>
      </c>
      <c r="NL11" s="11" t="str">
        <f t="shared" si="160"/>
        <v/>
      </c>
      <c r="NM11" s="11" t="str">
        <f t="shared" si="161"/>
        <v/>
      </c>
      <c r="NN11" s="17"/>
      <c r="NO11" s="17"/>
      <c r="NP11" s="17"/>
      <c r="NQ11" s="17"/>
      <c r="NR11" s="17"/>
      <c r="NS11" s="17"/>
      <c r="NT11" s="17"/>
      <c r="NU11" s="17"/>
      <c r="NV11" s="17"/>
      <c r="NW11" s="17"/>
      <c r="NX11" s="17"/>
      <c r="NY11" s="17"/>
      <c r="NZ11" s="17"/>
      <c r="OA11" s="17"/>
      <c r="OB11" s="17"/>
      <c r="OC11" s="17"/>
      <c r="OD11" s="17"/>
      <c r="OE11" s="17"/>
      <c r="OF11" s="17"/>
      <c r="OG11" s="17"/>
      <c r="OH11" s="40" t="str">
        <f t="shared" si="162"/>
        <v/>
      </c>
      <c r="OI11" s="40" t="str">
        <f t="shared" si="163"/>
        <v/>
      </c>
      <c r="OJ11" s="40" t="str">
        <f t="shared" si="164"/>
        <v/>
      </c>
      <c r="OK11" s="40" t="str">
        <f t="shared" si="165"/>
        <v/>
      </c>
      <c r="OL11" s="40" t="str">
        <f t="shared" si="166"/>
        <v/>
      </c>
      <c r="OM11" s="40" t="str">
        <f t="shared" si="167"/>
        <v/>
      </c>
      <c r="ON11" s="40" t="str">
        <f t="shared" si="168"/>
        <v/>
      </c>
      <c r="OO11" s="40" t="str">
        <f t="shared" si="169"/>
        <v/>
      </c>
      <c r="OP11" s="40" t="str">
        <f t="shared" si="170"/>
        <v/>
      </c>
      <c r="OQ11" s="40" t="str">
        <f t="shared" si="171"/>
        <v/>
      </c>
      <c r="OR11" s="40" t="str">
        <f t="shared" si="172"/>
        <v/>
      </c>
      <c r="OS11" s="40" t="str">
        <f t="shared" si="173"/>
        <v/>
      </c>
      <c r="OT11" s="40" t="str">
        <f t="shared" si="174"/>
        <v/>
      </c>
      <c r="OU11" s="40" t="str">
        <f t="shared" si="175"/>
        <v/>
      </c>
      <c r="OV11" s="18"/>
      <c r="OW11" s="18"/>
      <c r="OX11" s="18"/>
      <c r="OY11" s="18"/>
      <c r="OZ11" s="18"/>
      <c r="PA11" s="18"/>
      <c r="PB11" s="18"/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1" t="str">
        <f t="shared" si="176"/>
        <v/>
      </c>
      <c r="PQ11" s="11" t="str">
        <f t="shared" si="177"/>
        <v/>
      </c>
      <c r="PR11" s="11" t="str">
        <f t="shared" si="178"/>
        <v/>
      </c>
      <c r="PS11" s="11" t="str">
        <f t="shared" si="179"/>
        <v/>
      </c>
      <c r="PT11" s="11" t="str">
        <f t="shared" si="180"/>
        <v/>
      </c>
      <c r="PU11" s="11" t="str">
        <f t="shared" si="181"/>
        <v/>
      </c>
      <c r="PV11" s="11" t="str">
        <f t="shared" si="182"/>
        <v/>
      </c>
      <c r="PW11" s="11" t="str">
        <f t="shared" si="183"/>
        <v/>
      </c>
      <c r="PX11" s="11" t="str">
        <f t="shared" si="184"/>
        <v/>
      </c>
      <c r="PY11" s="11" t="str">
        <f t="shared" si="185"/>
        <v/>
      </c>
      <c r="PZ11" s="11" t="str">
        <f t="shared" si="186"/>
        <v/>
      </c>
      <c r="QA11" s="11" t="str">
        <f t="shared" si="187"/>
        <v/>
      </c>
      <c r="QB11" s="11" t="str">
        <f t="shared" si="188"/>
        <v/>
      </c>
      <c r="QC11" s="11" t="str">
        <f t="shared" si="189"/>
        <v/>
      </c>
      <c r="QD11" s="17"/>
      <c r="QE11" s="17"/>
      <c r="QF11" s="17"/>
      <c r="QG11" s="17"/>
      <c r="QH11" s="17"/>
      <c r="QI11" s="17"/>
      <c r="QJ11" s="17"/>
      <c r="QK11" s="17"/>
      <c r="QL11" s="17"/>
      <c r="QM11" s="17"/>
      <c r="QN11" s="17"/>
      <c r="QO11" s="17"/>
      <c r="QP11" s="17"/>
      <c r="QQ11" s="17"/>
      <c r="QR11" s="17"/>
      <c r="QS11" s="17"/>
      <c r="QT11" s="17"/>
      <c r="QU11" s="17"/>
      <c r="QV11" s="17"/>
      <c r="QW11" s="17"/>
      <c r="QX11" s="40" t="str">
        <f t="shared" si="190"/>
        <v/>
      </c>
      <c r="QY11" s="40" t="str">
        <f t="shared" si="191"/>
        <v/>
      </c>
      <c r="QZ11" s="40" t="str">
        <f t="shared" si="192"/>
        <v/>
      </c>
      <c r="RA11" s="40" t="str">
        <f t="shared" si="193"/>
        <v/>
      </c>
      <c r="RB11" s="40" t="str">
        <f t="shared" si="194"/>
        <v/>
      </c>
      <c r="RC11" s="40" t="str">
        <f t="shared" si="195"/>
        <v/>
      </c>
      <c r="RD11" s="40" t="str">
        <f t="shared" si="196"/>
        <v/>
      </c>
      <c r="RE11" s="40" t="str">
        <f t="shared" si="197"/>
        <v/>
      </c>
      <c r="RF11" s="40" t="str">
        <f t="shared" si="198"/>
        <v/>
      </c>
      <c r="RG11" s="40" t="str">
        <f t="shared" si="199"/>
        <v/>
      </c>
      <c r="RH11" s="40" t="str">
        <f t="shared" si="200"/>
        <v/>
      </c>
      <c r="RI11" s="40" t="str">
        <f t="shared" si="201"/>
        <v/>
      </c>
      <c r="RJ11" s="40" t="str">
        <f t="shared" si="202"/>
        <v/>
      </c>
      <c r="RK11" s="40" t="str">
        <f t="shared" si="203"/>
        <v/>
      </c>
      <c r="RL11" s="18"/>
      <c r="RM11" s="18"/>
      <c r="RN11" s="18"/>
      <c r="RO11" s="18"/>
      <c r="RP11" s="18"/>
      <c r="RQ11" s="18"/>
      <c r="RR11" s="18"/>
      <c r="RS11" s="18"/>
      <c r="RT11" s="18"/>
      <c r="RU11" s="18"/>
      <c r="RV11" s="18"/>
      <c r="RW11" s="18"/>
      <c r="RX11" s="18"/>
      <c r="RY11" s="18"/>
      <c r="RZ11" s="18"/>
      <c r="SA11" s="18"/>
      <c r="SB11" s="18"/>
      <c r="SC11" s="18"/>
      <c r="SD11" s="18"/>
      <c r="SE11" s="18"/>
      <c r="SF11" s="11" t="str">
        <f t="shared" si="204"/>
        <v/>
      </c>
      <c r="SG11" s="11" t="str">
        <f t="shared" si="205"/>
        <v/>
      </c>
      <c r="SH11" s="11" t="str">
        <f t="shared" si="206"/>
        <v/>
      </c>
      <c r="SI11" s="11" t="str">
        <f t="shared" si="207"/>
        <v/>
      </c>
      <c r="SJ11" s="11" t="str">
        <f t="shared" si="208"/>
        <v/>
      </c>
      <c r="SK11" s="11" t="str">
        <f t="shared" si="209"/>
        <v/>
      </c>
      <c r="SL11" s="11" t="str">
        <f t="shared" si="210"/>
        <v/>
      </c>
      <c r="SM11" s="11" t="str">
        <f t="shared" si="211"/>
        <v/>
      </c>
      <c r="SN11" s="11" t="str">
        <f t="shared" si="212"/>
        <v/>
      </c>
      <c r="SO11" s="11" t="str">
        <f t="shared" si="213"/>
        <v/>
      </c>
      <c r="SP11" s="11" t="str">
        <f t="shared" si="214"/>
        <v/>
      </c>
      <c r="SQ11" s="11" t="str">
        <f t="shared" si="215"/>
        <v/>
      </c>
      <c r="SR11" s="11" t="str">
        <f t="shared" si="216"/>
        <v/>
      </c>
      <c r="SS11" s="11" t="str">
        <f t="shared" si="217"/>
        <v/>
      </c>
      <c r="ST11" s="22">
        <f t="shared" si="218"/>
        <v>13</v>
      </c>
      <c r="SU11" s="22">
        <f t="shared" si="219"/>
        <v>9</v>
      </c>
      <c r="SV11" s="22">
        <f t="shared" si="220"/>
        <v>13.9</v>
      </c>
      <c r="SW11" s="22">
        <f t="shared" si="221"/>
        <v>14.21</v>
      </c>
      <c r="SX11" s="22">
        <f t="shared" si="222"/>
        <v>0</v>
      </c>
      <c r="SY11" s="22">
        <f t="shared" si="223"/>
        <v>7.3999999999999995</v>
      </c>
      <c r="SZ11" s="22">
        <f t="shared" si="224"/>
        <v>5.0999999999999996</v>
      </c>
      <c r="TA11" s="22">
        <f t="shared" si="225"/>
        <v>7.6999999999999993</v>
      </c>
      <c r="TB11" s="22">
        <f t="shared" si="226"/>
        <v>7.9749999999999996</v>
      </c>
      <c r="TC11" s="22">
        <f t="shared" si="227"/>
        <v>0</v>
      </c>
      <c r="TD11" s="22">
        <f t="shared" si="228"/>
        <v>13.3</v>
      </c>
      <c r="TE11" s="22">
        <f t="shared" si="229"/>
        <v>9.3500000000000014</v>
      </c>
      <c r="TF11" s="22">
        <f t="shared" si="230"/>
        <v>13.7</v>
      </c>
      <c r="TG11" s="22">
        <f t="shared" si="231"/>
        <v>14.68</v>
      </c>
      <c r="TH11" s="22">
        <f t="shared" si="232"/>
        <v>0</v>
      </c>
      <c r="TI11" s="27" t="s">
        <v>46</v>
      </c>
      <c r="TJ11" s="40">
        <f t="shared" si="233"/>
        <v>13.9</v>
      </c>
      <c r="TK11" s="40">
        <f t="shared" si="234"/>
        <v>14.21</v>
      </c>
      <c r="TL11" s="40">
        <f t="shared" si="235"/>
        <v>50.11</v>
      </c>
      <c r="TM11" s="40">
        <f t="shared" si="236"/>
        <v>7.6999999999999993</v>
      </c>
      <c r="TN11" s="40">
        <f t="shared" si="237"/>
        <v>7.9749999999999996</v>
      </c>
      <c r="TO11" s="40">
        <f t="shared" si="238"/>
        <v>28.174999999999997</v>
      </c>
      <c r="TP11" s="40">
        <f t="shared" si="239"/>
        <v>50.11</v>
      </c>
      <c r="TQ11" s="40">
        <f t="shared" si="240"/>
        <v>13.7</v>
      </c>
      <c r="TR11" s="40">
        <f t="shared" si="241"/>
        <v>14.68</v>
      </c>
      <c r="TS11" s="40">
        <f t="shared" si="242"/>
        <v>51.03</v>
      </c>
      <c r="TT11" s="40">
        <f t="shared" si="243"/>
        <v>101.14</v>
      </c>
    </row>
    <row r="12" spans="1:540" x14ac:dyDescent="0.2">
      <c r="A12" s="4" t="str" cm="1">
        <f t="array" ref="A12">IF(AND(F12&lt;&gt;"",G12&lt;&gt;""),SUMPRODUCT((F$4:F$35&lt;&gt;"")*(G$4:G$35&lt;&gt;"")*(E$4:E$35&gt;E12))+1,IF(G12&lt;&gt;"",SUMPRODUCT((H$4:H$35="No DD")*(E$4:E$35&gt;E12))+1+SUMPRODUCT((F$4:F$35&lt;&gt;"")*(G$4:G$35&lt;&gt;"")),""))</f>
        <v/>
      </c>
      <c r="B12" s="5" t="s">
        <v>106</v>
      </c>
      <c r="C12" s="4" t="s">
        <v>5</v>
      </c>
      <c r="D12" s="4">
        <v>2005</v>
      </c>
      <c r="E12" s="9">
        <f t="shared" si="0"/>
        <v>180.25001802500503</v>
      </c>
      <c r="F12" s="3" t="str">
        <f t="shared" si="1"/>
        <v/>
      </c>
      <c r="G12" s="3" t="str">
        <f t="shared" si="2"/>
        <v/>
      </c>
      <c r="H12" s="36" t="str">
        <f t="shared" si="3"/>
        <v/>
      </c>
      <c r="I12" s="3" t="str">
        <f t="shared" si="4"/>
        <v/>
      </c>
      <c r="J12" s="8">
        <f>IF(COUNT(AO12,AR12,BP12,BS12,CQ12,CT12)&gt;0,LARGE((AO12,AR12,BP12,BS12,CQ12,CT12),1),0)</f>
        <v>50.2</v>
      </c>
      <c r="K12" s="8" t="str">
        <f t="shared" si="5"/>
        <v>2022 3rd Domestic Trial</v>
      </c>
      <c r="L12" s="8">
        <f>IF(COUNT(AO12,AR12,BP12,BS12,CQ12,CT12)&gt;1,LARGE((AO12,AR12,BP12,BS12,CQ12,CT12),2),0)</f>
        <v>50.2</v>
      </c>
      <c r="M12" s="8" t="str">
        <f t="shared" si="6"/>
        <v>2022 3rd Domestic Trial</v>
      </c>
      <c r="N12" s="8">
        <f>IF(COUNT(AO12,AR12,BP12,BS12,CQ12,CT12)&gt;2,MAX(AV12,BW12,CX12,LARGE((AO12,AR12,BP12,BS12,CQ12,CT12),3)),IF(MAX(AV12,BW12,CX12)&gt;0,MAX(AV12,BW12,CX12),0))</f>
        <v>50.849999999999994</v>
      </c>
      <c r="O12" s="8" t="str">
        <f t="shared" si="7"/>
        <v>2022 Nationals</v>
      </c>
      <c r="P12" s="8">
        <f t="shared" si="8"/>
        <v>13.5</v>
      </c>
      <c r="Q12" s="8" t="str">
        <f t="shared" si="9"/>
        <v>2022 3rd Domestic Trial</v>
      </c>
      <c r="R12" s="8">
        <f t="shared" si="10"/>
        <v>15.5</v>
      </c>
      <c r="S12" s="8" t="str">
        <f t="shared" si="11"/>
        <v>2022 3rd Domestic Trial</v>
      </c>
      <c r="T12" s="8" t="str">
        <f t="shared" si="12"/>
        <v/>
      </c>
      <c r="U12" s="11" t="str">
        <f t="shared" si="13"/>
        <v/>
      </c>
      <c r="V12" s="8" t="str">
        <f t="shared" si="14"/>
        <v/>
      </c>
      <c r="W12" s="22">
        <v>14.4</v>
      </c>
      <c r="X12" s="22">
        <v>8.4</v>
      </c>
      <c r="Y12" s="22">
        <v>12.2</v>
      </c>
      <c r="Z12" s="22">
        <v>15.2</v>
      </c>
      <c r="AA12" s="22">
        <v>0</v>
      </c>
      <c r="AB12" s="22"/>
      <c r="AC12" s="22"/>
      <c r="AD12" s="22"/>
      <c r="AE12" s="22"/>
      <c r="AF12" s="22"/>
      <c r="AG12" s="22">
        <v>15.1</v>
      </c>
      <c r="AH12" s="22">
        <v>9</v>
      </c>
      <c r="AI12" s="22">
        <v>12.2</v>
      </c>
      <c r="AJ12" s="22">
        <v>14.55</v>
      </c>
      <c r="AK12" s="22">
        <v>0</v>
      </c>
      <c r="AL12" s="27"/>
      <c r="AM12" s="38">
        <f t="shared" si="15"/>
        <v>12.2</v>
      </c>
      <c r="AN12" s="38">
        <f t="shared" si="16"/>
        <v>15.2</v>
      </c>
      <c r="AO12" s="40">
        <f t="shared" si="17"/>
        <v>50.2</v>
      </c>
      <c r="AP12" s="40" t="str">
        <f t="shared" si="18"/>
        <v/>
      </c>
      <c r="AQ12" s="40" t="str">
        <f t="shared" si="19"/>
        <v/>
      </c>
      <c r="AR12" s="40" t="str">
        <f t="shared" si="20"/>
        <v/>
      </c>
      <c r="AS12" s="40">
        <f t="shared" si="21"/>
        <v>50.2</v>
      </c>
      <c r="AT12" s="40">
        <f t="shared" si="22"/>
        <v>12.2</v>
      </c>
      <c r="AU12" s="40">
        <f t="shared" si="23"/>
        <v>14.55</v>
      </c>
      <c r="AV12" s="40">
        <f t="shared" si="24"/>
        <v>50.849999999999994</v>
      </c>
      <c r="AW12" s="40">
        <f t="shared" si="25"/>
        <v>101.05</v>
      </c>
      <c r="AX12" s="26">
        <v>12.9</v>
      </c>
      <c r="AY12" s="26">
        <v>8.3000000000000007</v>
      </c>
      <c r="AZ12" s="26">
        <v>13.5</v>
      </c>
      <c r="BA12" s="26">
        <v>15.5</v>
      </c>
      <c r="BB12" s="26">
        <v>0</v>
      </c>
      <c r="BC12" s="26"/>
      <c r="BD12" s="26"/>
      <c r="BE12" s="26"/>
      <c r="BF12" s="26"/>
      <c r="BG12" s="26"/>
      <c r="BH12" s="26">
        <v>11.7</v>
      </c>
      <c r="BI12" s="26">
        <v>7.6</v>
      </c>
      <c r="BJ12" s="26">
        <v>11.9</v>
      </c>
      <c r="BK12" s="26">
        <v>13.89</v>
      </c>
      <c r="BL12" s="26">
        <v>0</v>
      </c>
      <c r="BM12" s="28"/>
      <c r="BN12" s="39">
        <f t="shared" si="26"/>
        <v>13.5</v>
      </c>
      <c r="BO12" s="39">
        <f t="shared" si="27"/>
        <v>15.5</v>
      </c>
      <c r="BP12" s="11">
        <f t="shared" si="28"/>
        <v>50.2</v>
      </c>
      <c r="BQ12" s="11" t="str">
        <f t="shared" si="29"/>
        <v/>
      </c>
      <c r="BR12" s="11" t="str">
        <f t="shared" si="30"/>
        <v/>
      </c>
      <c r="BS12" s="11" t="str">
        <f t="shared" si="31"/>
        <v/>
      </c>
      <c r="BT12" s="11">
        <f t="shared" si="32"/>
        <v>50.2</v>
      </c>
      <c r="BU12" s="11">
        <f t="shared" si="33"/>
        <v>11.9</v>
      </c>
      <c r="BV12" s="11">
        <f t="shared" si="34"/>
        <v>13.89</v>
      </c>
      <c r="BW12" s="11">
        <f t="shared" si="35"/>
        <v>45.089999999999996</v>
      </c>
      <c r="BX12" s="11">
        <f t="shared" si="36"/>
        <v>95.289999999999992</v>
      </c>
      <c r="BY12" s="22"/>
      <c r="BZ12" s="22"/>
      <c r="CA12" s="22"/>
      <c r="CB12" s="22"/>
      <c r="CC12" s="22"/>
      <c r="CD12" s="22"/>
      <c r="CE12" s="22"/>
      <c r="CF12" s="22"/>
      <c r="CG12" s="22"/>
      <c r="CH12" s="22"/>
      <c r="CI12" s="22"/>
      <c r="CJ12" s="22"/>
      <c r="CK12" s="22"/>
      <c r="CL12" s="22"/>
      <c r="CM12" s="22"/>
      <c r="CN12" s="27"/>
      <c r="CO12" s="38" t="str">
        <f t="shared" si="37"/>
        <v/>
      </c>
      <c r="CP12" s="38" t="str">
        <f t="shared" si="38"/>
        <v/>
      </c>
      <c r="CQ12" s="40" t="str">
        <f t="shared" si="39"/>
        <v/>
      </c>
      <c r="CR12" s="40" t="str">
        <f t="shared" si="40"/>
        <v/>
      </c>
      <c r="CS12" s="40" t="str">
        <f t="shared" si="41"/>
        <v/>
      </c>
      <c r="CT12" s="40" t="str">
        <f t="shared" si="42"/>
        <v/>
      </c>
      <c r="CU12" s="40" t="str">
        <f t="shared" si="43"/>
        <v/>
      </c>
      <c r="CV12" s="40" t="str">
        <f t="shared" si="44"/>
        <v/>
      </c>
      <c r="CW12" s="40" t="str">
        <f t="shared" si="45"/>
        <v/>
      </c>
      <c r="CX12" s="40" t="str">
        <f t="shared" si="46"/>
        <v/>
      </c>
      <c r="CY12" s="40" t="str">
        <f t="shared" si="47"/>
        <v/>
      </c>
      <c r="CZ12" s="50" t="str">
        <f t="shared" si="48"/>
        <v/>
      </c>
      <c r="DA12" s="50" t="str">
        <f t="shared" si="49"/>
        <v/>
      </c>
      <c r="DB12" s="17"/>
      <c r="DC12" s="17"/>
      <c r="DD12" s="17"/>
      <c r="DE12" s="17"/>
      <c r="DF12" s="17"/>
      <c r="DG12" s="17"/>
      <c r="DH12" s="17"/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40" t="str">
        <f t="shared" si="50"/>
        <v/>
      </c>
      <c r="DW12" s="40" t="str">
        <f t="shared" si="51"/>
        <v/>
      </c>
      <c r="DX12" s="40" t="str">
        <f t="shared" si="52"/>
        <v/>
      </c>
      <c r="DY12" s="40" t="str">
        <f t="shared" si="53"/>
        <v/>
      </c>
      <c r="DZ12" s="40" t="str">
        <f t="shared" si="54"/>
        <v/>
      </c>
      <c r="EA12" s="40" t="str">
        <f t="shared" si="55"/>
        <v/>
      </c>
      <c r="EB12" s="40" t="str">
        <f t="shared" si="56"/>
        <v/>
      </c>
      <c r="EC12" s="40" t="str">
        <f t="shared" si="57"/>
        <v/>
      </c>
      <c r="ED12" s="40" t="str">
        <f t="shared" si="58"/>
        <v/>
      </c>
      <c r="EE12" s="40" t="str">
        <f t="shared" si="59"/>
        <v/>
      </c>
      <c r="EF12" s="40" t="str">
        <f t="shared" si="60"/>
        <v/>
      </c>
      <c r="EG12" s="40" t="str">
        <f t="shared" si="61"/>
        <v/>
      </c>
      <c r="EH12" s="40" t="str">
        <f t="shared" si="62"/>
        <v/>
      </c>
      <c r="EI12" s="40" t="str">
        <f t="shared" si="63"/>
        <v/>
      </c>
      <c r="EJ12" s="18"/>
      <c r="EK12" s="18"/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8"/>
      <c r="FA12" s="18"/>
      <c r="FB12" s="18"/>
      <c r="FC12" s="18"/>
      <c r="FD12" s="11" t="str">
        <f t="shared" si="64"/>
        <v/>
      </c>
      <c r="FE12" s="11" t="str">
        <f t="shared" si="65"/>
        <v/>
      </c>
      <c r="FF12" s="11" t="str">
        <f t="shared" si="66"/>
        <v/>
      </c>
      <c r="FG12" s="11" t="str">
        <f t="shared" si="67"/>
        <v/>
      </c>
      <c r="FH12" s="11" t="str">
        <f t="shared" si="68"/>
        <v/>
      </c>
      <c r="FI12" s="11" t="str">
        <f t="shared" si="69"/>
        <v/>
      </c>
      <c r="FJ12" s="11" t="str">
        <f t="shared" si="70"/>
        <v/>
      </c>
      <c r="FK12" s="11" t="str">
        <f t="shared" si="71"/>
        <v/>
      </c>
      <c r="FL12" s="11" t="str">
        <f t="shared" si="72"/>
        <v/>
      </c>
      <c r="FM12" s="11" t="str">
        <f t="shared" si="73"/>
        <v/>
      </c>
      <c r="FN12" s="11" t="str">
        <f t="shared" si="74"/>
        <v/>
      </c>
      <c r="FO12" s="11" t="str">
        <f t="shared" si="75"/>
        <v/>
      </c>
      <c r="FP12" s="11" t="str">
        <f t="shared" si="76"/>
        <v/>
      </c>
      <c r="FQ12" s="11" t="str">
        <f t="shared" si="77"/>
        <v/>
      </c>
      <c r="FR12" s="17"/>
      <c r="FS12" s="17"/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17"/>
      <c r="GF12" s="17"/>
      <c r="GG12" s="17"/>
      <c r="GH12" s="17"/>
      <c r="GI12" s="17"/>
      <c r="GJ12" s="17"/>
      <c r="GK12" s="17"/>
      <c r="GL12" s="40" t="str">
        <f t="shared" si="78"/>
        <v/>
      </c>
      <c r="GM12" s="40" t="str">
        <f t="shared" si="79"/>
        <v/>
      </c>
      <c r="GN12" s="40" t="str">
        <f t="shared" si="80"/>
        <v/>
      </c>
      <c r="GO12" s="40" t="str">
        <f t="shared" si="81"/>
        <v/>
      </c>
      <c r="GP12" s="40" t="str">
        <f t="shared" si="82"/>
        <v/>
      </c>
      <c r="GQ12" s="40" t="str">
        <f t="shared" si="83"/>
        <v/>
      </c>
      <c r="GR12" s="40" t="str">
        <f t="shared" si="84"/>
        <v/>
      </c>
      <c r="GS12" s="40" t="str">
        <f t="shared" si="85"/>
        <v/>
      </c>
      <c r="GT12" s="40" t="str">
        <f t="shared" si="86"/>
        <v/>
      </c>
      <c r="GU12" s="40" t="str">
        <f t="shared" si="87"/>
        <v/>
      </c>
      <c r="GV12" s="40" t="str">
        <f t="shared" si="88"/>
        <v/>
      </c>
      <c r="GW12" s="40" t="str">
        <f t="shared" si="89"/>
        <v/>
      </c>
      <c r="GX12" s="40" t="str">
        <f t="shared" si="90"/>
        <v/>
      </c>
      <c r="GY12" s="40" t="str">
        <f t="shared" si="91"/>
        <v/>
      </c>
      <c r="GZ12" s="18"/>
      <c r="HA12" s="18"/>
      <c r="HB12" s="18"/>
      <c r="HC12" s="18"/>
      <c r="HD12" s="18"/>
      <c r="HE12" s="18"/>
      <c r="HF12" s="18"/>
      <c r="HG12" s="18"/>
      <c r="HH12" s="18"/>
      <c r="HI12" s="18"/>
      <c r="HJ12" s="18"/>
      <c r="HK12" s="18"/>
      <c r="HL12" s="18"/>
      <c r="HM12" s="18"/>
      <c r="HN12" s="18"/>
      <c r="HO12" s="18"/>
      <c r="HP12" s="18"/>
      <c r="HQ12" s="18"/>
      <c r="HR12" s="18"/>
      <c r="HS12" s="18"/>
      <c r="HT12" s="11" t="str">
        <f t="shared" si="92"/>
        <v/>
      </c>
      <c r="HU12" s="11" t="str">
        <f t="shared" si="93"/>
        <v/>
      </c>
      <c r="HV12" s="11" t="str">
        <f t="shared" si="94"/>
        <v/>
      </c>
      <c r="HW12" s="11" t="str">
        <f t="shared" si="95"/>
        <v/>
      </c>
      <c r="HX12" s="11" t="str">
        <f t="shared" si="96"/>
        <v/>
      </c>
      <c r="HY12" s="11" t="str">
        <f t="shared" si="97"/>
        <v/>
      </c>
      <c r="HZ12" s="11" t="str">
        <f t="shared" si="98"/>
        <v/>
      </c>
      <c r="IA12" s="11" t="str">
        <f t="shared" si="99"/>
        <v/>
      </c>
      <c r="IB12" s="11" t="str">
        <f t="shared" si="100"/>
        <v/>
      </c>
      <c r="IC12" s="11" t="str">
        <f t="shared" si="101"/>
        <v/>
      </c>
      <c r="ID12" s="11" t="str">
        <f t="shared" si="102"/>
        <v/>
      </c>
      <c r="IE12" s="11" t="str">
        <f t="shared" si="103"/>
        <v/>
      </c>
      <c r="IF12" s="11" t="str">
        <f t="shared" si="104"/>
        <v/>
      </c>
      <c r="IG12" s="11" t="str">
        <f t="shared" si="105"/>
        <v/>
      </c>
      <c r="IH12" s="17"/>
      <c r="II12" s="17"/>
      <c r="IJ12" s="17"/>
      <c r="IK12" s="17"/>
      <c r="IL12" s="17"/>
      <c r="IM12" s="17"/>
      <c r="IN12" s="17"/>
      <c r="IO12" s="17"/>
      <c r="IP12" s="17"/>
      <c r="IQ12" s="17"/>
      <c r="IR12" s="17"/>
      <c r="IS12" s="17"/>
      <c r="IT12" s="17"/>
      <c r="IU12" s="17"/>
      <c r="IV12" s="17"/>
      <c r="IW12" s="17"/>
      <c r="IX12" s="17"/>
      <c r="IY12" s="17"/>
      <c r="IZ12" s="17"/>
      <c r="JA12" s="17"/>
      <c r="JB12" s="40" t="str">
        <f t="shared" si="106"/>
        <v/>
      </c>
      <c r="JC12" s="40" t="str">
        <f t="shared" si="107"/>
        <v/>
      </c>
      <c r="JD12" s="40" t="str">
        <f t="shared" si="108"/>
        <v/>
      </c>
      <c r="JE12" s="40" t="str">
        <f t="shared" si="109"/>
        <v/>
      </c>
      <c r="JF12" s="40" t="str">
        <f t="shared" si="110"/>
        <v/>
      </c>
      <c r="JG12" s="40" t="str">
        <f t="shared" si="111"/>
        <v/>
      </c>
      <c r="JH12" s="40" t="str">
        <f t="shared" si="112"/>
        <v/>
      </c>
      <c r="JI12" s="40" t="str">
        <f t="shared" si="113"/>
        <v/>
      </c>
      <c r="JJ12" s="40" t="str">
        <f t="shared" si="114"/>
        <v/>
      </c>
      <c r="JK12" s="40" t="str">
        <f t="shared" si="115"/>
        <v/>
      </c>
      <c r="JL12" s="40" t="str">
        <f t="shared" si="116"/>
        <v/>
      </c>
      <c r="JM12" s="40" t="str">
        <f t="shared" si="117"/>
        <v/>
      </c>
      <c r="JN12" s="40" t="str">
        <f t="shared" si="118"/>
        <v/>
      </c>
      <c r="JO12" s="40" t="str">
        <f t="shared" si="119"/>
        <v/>
      </c>
      <c r="JP12" s="18"/>
      <c r="JQ12" s="18"/>
      <c r="JR12" s="18"/>
      <c r="JS12" s="18"/>
      <c r="JT12" s="18"/>
      <c r="JU12" s="18"/>
      <c r="JV12" s="18"/>
      <c r="JW12" s="18"/>
      <c r="JX12" s="18"/>
      <c r="JY12" s="18"/>
      <c r="JZ12" s="18"/>
      <c r="KA12" s="18"/>
      <c r="KB12" s="18"/>
      <c r="KC12" s="18"/>
      <c r="KD12" s="18"/>
      <c r="KE12" s="18"/>
      <c r="KF12" s="18"/>
      <c r="KG12" s="18"/>
      <c r="KH12" s="18"/>
      <c r="KI12" s="18"/>
      <c r="KJ12" s="11" t="str">
        <f t="shared" si="120"/>
        <v/>
      </c>
      <c r="KK12" s="11" t="str">
        <f t="shared" si="121"/>
        <v/>
      </c>
      <c r="KL12" s="11" t="str">
        <f t="shared" si="122"/>
        <v/>
      </c>
      <c r="KM12" s="11" t="str">
        <f t="shared" si="123"/>
        <v/>
      </c>
      <c r="KN12" s="11" t="str">
        <f t="shared" si="124"/>
        <v/>
      </c>
      <c r="KO12" s="11" t="str">
        <f t="shared" si="125"/>
        <v/>
      </c>
      <c r="KP12" s="11" t="str">
        <f t="shared" si="126"/>
        <v/>
      </c>
      <c r="KQ12" s="11" t="str">
        <f t="shared" si="127"/>
        <v/>
      </c>
      <c r="KR12" s="11" t="str">
        <f t="shared" si="128"/>
        <v/>
      </c>
      <c r="KS12" s="11" t="str">
        <f t="shared" si="129"/>
        <v/>
      </c>
      <c r="KT12" s="11" t="str">
        <f t="shared" si="130"/>
        <v/>
      </c>
      <c r="KU12" s="11" t="str">
        <f t="shared" si="131"/>
        <v/>
      </c>
      <c r="KV12" s="11" t="str">
        <f t="shared" si="132"/>
        <v/>
      </c>
      <c r="KW12" s="11" t="str">
        <f t="shared" si="133"/>
        <v/>
      </c>
      <c r="KX12" s="17"/>
      <c r="KY12" s="17"/>
      <c r="KZ12" s="17"/>
      <c r="LA12" s="17"/>
      <c r="LB12" s="17"/>
      <c r="LC12" s="17"/>
      <c r="LD12" s="17"/>
      <c r="LE12" s="17"/>
      <c r="LF12" s="17"/>
      <c r="LG12" s="17"/>
      <c r="LH12" s="17"/>
      <c r="LI12" s="17"/>
      <c r="LJ12" s="17"/>
      <c r="LK12" s="17"/>
      <c r="LL12" s="17"/>
      <c r="LM12" s="17"/>
      <c r="LN12" s="17"/>
      <c r="LO12" s="17"/>
      <c r="LP12" s="17"/>
      <c r="LQ12" s="17"/>
      <c r="LR12" s="40" t="str">
        <f t="shared" si="134"/>
        <v/>
      </c>
      <c r="LS12" s="40" t="str">
        <f t="shared" si="135"/>
        <v/>
      </c>
      <c r="LT12" s="40" t="str">
        <f t="shared" si="136"/>
        <v/>
      </c>
      <c r="LU12" s="40" t="str">
        <f t="shared" si="137"/>
        <v/>
      </c>
      <c r="LV12" s="40" t="str">
        <f t="shared" si="138"/>
        <v/>
      </c>
      <c r="LW12" s="40" t="str">
        <f t="shared" si="139"/>
        <v/>
      </c>
      <c r="LX12" s="40" t="str">
        <f t="shared" si="140"/>
        <v/>
      </c>
      <c r="LY12" s="40" t="str">
        <f t="shared" si="141"/>
        <v/>
      </c>
      <c r="LZ12" s="40" t="str">
        <f t="shared" si="142"/>
        <v/>
      </c>
      <c r="MA12" s="40" t="str">
        <f t="shared" si="143"/>
        <v/>
      </c>
      <c r="MB12" s="40" t="str">
        <f t="shared" si="144"/>
        <v/>
      </c>
      <c r="MC12" s="40" t="str">
        <f t="shared" si="145"/>
        <v/>
      </c>
      <c r="MD12" s="40" t="str">
        <f t="shared" si="146"/>
        <v/>
      </c>
      <c r="ME12" s="40" t="str">
        <f t="shared" si="147"/>
        <v/>
      </c>
      <c r="MF12" s="18"/>
      <c r="MG12" s="18"/>
      <c r="MH12" s="18"/>
      <c r="MI12" s="18"/>
      <c r="MJ12" s="18"/>
      <c r="MK12" s="18"/>
      <c r="ML12" s="18"/>
      <c r="MM12" s="18"/>
      <c r="MN12" s="18"/>
      <c r="MO12" s="18"/>
      <c r="MP12" s="18"/>
      <c r="MQ12" s="18"/>
      <c r="MR12" s="18"/>
      <c r="MS12" s="18"/>
      <c r="MT12" s="18"/>
      <c r="MU12" s="18"/>
      <c r="MV12" s="18"/>
      <c r="MW12" s="18"/>
      <c r="MX12" s="18"/>
      <c r="MY12" s="18"/>
      <c r="MZ12" s="11" t="str">
        <f t="shared" si="148"/>
        <v/>
      </c>
      <c r="NA12" s="11" t="str">
        <f t="shared" si="149"/>
        <v/>
      </c>
      <c r="NB12" s="11" t="str">
        <f t="shared" si="150"/>
        <v/>
      </c>
      <c r="NC12" s="11" t="str">
        <f t="shared" si="151"/>
        <v/>
      </c>
      <c r="ND12" s="11" t="str">
        <f t="shared" si="152"/>
        <v/>
      </c>
      <c r="NE12" s="11" t="str">
        <f t="shared" si="153"/>
        <v/>
      </c>
      <c r="NF12" s="11" t="str">
        <f t="shared" si="154"/>
        <v/>
      </c>
      <c r="NG12" s="11" t="str">
        <f t="shared" si="155"/>
        <v/>
      </c>
      <c r="NH12" s="11" t="str">
        <f t="shared" si="156"/>
        <v/>
      </c>
      <c r="NI12" s="11" t="str">
        <f t="shared" si="157"/>
        <v/>
      </c>
      <c r="NJ12" s="11" t="str">
        <f t="shared" si="158"/>
        <v/>
      </c>
      <c r="NK12" s="11" t="str">
        <f t="shared" si="159"/>
        <v/>
      </c>
      <c r="NL12" s="11" t="str">
        <f t="shared" si="160"/>
        <v/>
      </c>
      <c r="NM12" s="11" t="str">
        <f t="shared" si="161"/>
        <v/>
      </c>
      <c r="NN12" s="17"/>
      <c r="NO12" s="17"/>
      <c r="NP12" s="17"/>
      <c r="NQ12" s="17"/>
      <c r="NR12" s="17"/>
      <c r="NS12" s="17"/>
      <c r="NT12" s="17"/>
      <c r="NU12" s="17"/>
      <c r="NV12" s="17"/>
      <c r="NW12" s="17"/>
      <c r="NX12" s="17"/>
      <c r="NY12" s="17"/>
      <c r="NZ12" s="17"/>
      <c r="OA12" s="17"/>
      <c r="OB12" s="17"/>
      <c r="OC12" s="17"/>
      <c r="OD12" s="17"/>
      <c r="OE12" s="17"/>
      <c r="OF12" s="17"/>
      <c r="OG12" s="17"/>
      <c r="OH12" s="40" t="str">
        <f t="shared" si="162"/>
        <v/>
      </c>
      <c r="OI12" s="40" t="str">
        <f t="shared" si="163"/>
        <v/>
      </c>
      <c r="OJ12" s="40" t="str">
        <f t="shared" si="164"/>
        <v/>
      </c>
      <c r="OK12" s="40" t="str">
        <f t="shared" si="165"/>
        <v/>
      </c>
      <c r="OL12" s="40" t="str">
        <f t="shared" si="166"/>
        <v/>
      </c>
      <c r="OM12" s="40" t="str">
        <f t="shared" si="167"/>
        <v/>
      </c>
      <c r="ON12" s="40" t="str">
        <f t="shared" si="168"/>
        <v/>
      </c>
      <c r="OO12" s="40" t="str">
        <f t="shared" si="169"/>
        <v/>
      </c>
      <c r="OP12" s="40" t="str">
        <f t="shared" si="170"/>
        <v/>
      </c>
      <c r="OQ12" s="40" t="str">
        <f t="shared" si="171"/>
        <v/>
      </c>
      <c r="OR12" s="40" t="str">
        <f t="shared" si="172"/>
        <v/>
      </c>
      <c r="OS12" s="40" t="str">
        <f t="shared" si="173"/>
        <v/>
      </c>
      <c r="OT12" s="40" t="str">
        <f t="shared" si="174"/>
        <v/>
      </c>
      <c r="OU12" s="40" t="str">
        <f t="shared" si="175"/>
        <v/>
      </c>
      <c r="OV12" s="18"/>
      <c r="OW12" s="18"/>
      <c r="OX12" s="18"/>
      <c r="OY12" s="18"/>
      <c r="OZ12" s="18"/>
      <c r="PA12" s="18"/>
      <c r="PB12" s="18"/>
      <c r="PC12" s="18"/>
      <c r="PD12" s="18"/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1" t="str">
        <f t="shared" si="176"/>
        <v/>
      </c>
      <c r="PQ12" s="11" t="str">
        <f t="shared" si="177"/>
        <v/>
      </c>
      <c r="PR12" s="11" t="str">
        <f t="shared" si="178"/>
        <v/>
      </c>
      <c r="PS12" s="11" t="str">
        <f t="shared" si="179"/>
        <v/>
      </c>
      <c r="PT12" s="11" t="str">
        <f t="shared" si="180"/>
        <v/>
      </c>
      <c r="PU12" s="11" t="str">
        <f t="shared" si="181"/>
        <v/>
      </c>
      <c r="PV12" s="11" t="str">
        <f t="shared" si="182"/>
        <v/>
      </c>
      <c r="PW12" s="11" t="str">
        <f t="shared" si="183"/>
        <v/>
      </c>
      <c r="PX12" s="11" t="str">
        <f t="shared" si="184"/>
        <v/>
      </c>
      <c r="PY12" s="11" t="str">
        <f t="shared" si="185"/>
        <v/>
      </c>
      <c r="PZ12" s="11" t="str">
        <f t="shared" si="186"/>
        <v/>
      </c>
      <c r="QA12" s="11" t="str">
        <f t="shared" si="187"/>
        <v/>
      </c>
      <c r="QB12" s="11" t="str">
        <f t="shared" si="188"/>
        <v/>
      </c>
      <c r="QC12" s="11" t="str">
        <f t="shared" si="189"/>
        <v/>
      </c>
      <c r="QD12" s="17"/>
      <c r="QE12" s="17"/>
      <c r="QF12" s="17"/>
      <c r="QG12" s="17"/>
      <c r="QH12" s="17"/>
      <c r="QI12" s="17"/>
      <c r="QJ12" s="17"/>
      <c r="QK12" s="17"/>
      <c r="QL12" s="17"/>
      <c r="QM12" s="17"/>
      <c r="QN12" s="17"/>
      <c r="QO12" s="17"/>
      <c r="QP12" s="17"/>
      <c r="QQ12" s="17"/>
      <c r="QR12" s="17"/>
      <c r="QS12" s="17"/>
      <c r="QT12" s="17"/>
      <c r="QU12" s="17"/>
      <c r="QV12" s="17"/>
      <c r="QW12" s="17"/>
      <c r="QX12" s="40" t="str">
        <f t="shared" si="190"/>
        <v/>
      </c>
      <c r="QY12" s="40" t="str">
        <f t="shared" si="191"/>
        <v/>
      </c>
      <c r="QZ12" s="40" t="str">
        <f t="shared" si="192"/>
        <v/>
      </c>
      <c r="RA12" s="40" t="str">
        <f t="shared" si="193"/>
        <v/>
      </c>
      <c r="RB12" s="40" t="str">
        <f t="shared" si="194"/>
        <v/>
      </c>
      <c r="RC12" s="40" t="str">
        <f t="shared" si="195"/>
        <v/>
      </c>
      <c r="RD12" s="40" t="str">
        <f t="shared" si="196"/>
        <v/>
      </c>
      <c r="RE12" s="40" t="str">
        <f t="shared" si="197"/>
        <v/>
      </c>
      <c r="RF12" s="40" t="str">
        <f t="shared" si="198"/>
        <v/>
      </c>
      <c r="RG12" s="40" t="str">
        <f t="shared" si="199"/>
        <v/>
      </c>
      <c r="RH12" s="40" t="str">
        <f t="shared" si="200"/>
        <v/>
      </c>
      <c r="RI12" s="40" t="str">
        <f t="shared" si="201"/>
        <v/>
      </c>
      <c r="RJ12" s="40" t="str">
        <f t="shared" si="202"/>
        <v/>
      </c>
      <c r="RK12" s="40" t="str">
        <f t="shared" si="203"/>
        <v/>
      </c>
      <c r="RL12" s="18"/>
      <c r="RM12" s="18"/>
      <c r="RN12" s="18"/>
      <c r="RO12" s="18"/>
      <c r="RP12" s="18"/>
      <c r="RQ12" s="18"/>
      <c r="RR12" s="18"/>
      <c r="RS12" s="18"/>
      <c r="RT12" s="18"/>
      <c r="RU12" s="18"/>
      <c r="RV12" s="18"/>
      <c r="RW12" s="18"/>
      <c r="RX12" s="18"/>
      <c r="RY12" s="18"/>
      <c r="RZ12" s="18"/>
      <c r="SA12" s="18"/>
      <c r="SB12" s="18"/>
      <c r="SC12" s="18"/>
      <c r="SD12" s="18"/>
      <c r="SE12" s="18"/>
      <c r="SF12" s="11" t="str">
        <f t="shared" si="204"/>
        <v/>
      </c>
      <c r="SG12" s="11" t="str">
        <f t="shared" si="205"/>
        <v/>
      </c>
      <c r="SH12" s="11" t="str">
        <f t="shared" si="206"/>
        <v/>
      </c>
      <c r="SI12" s="11" t="str">
        <f t="shared" si="207"/>
        <v/>
      </c>
      <c r="SJ12" s="11" t="str">
        <f t="shared" si="208"/>
        <v/>
      </c>
      <c r="SK12" s="11" t="str">
        <f t="shared" si="209"/>
        <v/>
      </c>
      <c r="SL12" s="11" t="str">
        <f t="shared" si="210"/>
        <v/>
      </c>
      <c r="SM12" s="11" t="str">
        <f t="shared" si="211"/>
        <v/>
      </c>
      <c r="SN12" s="11" t="str">
        <f t="shared" si="212"/>
        <v/>
      </c>
      <c r="SO12" s="11" t="str">
        <f t="shared" si="213"/>
        <v/>
      </c>
      <c r="SP12" s="11" t="str">
        <f t="shared" si="214"/>
        <v/>
      </c>
      <c r="SQ12" s="11" t="str">
        <f t="shared" si="215"/>
        <v/>
      </c>
      <c r="SR12" s="11" t="str">
        <f t="shared" si="216"/>
        <v/>
      </c>
      <c r="SS12" s="11" t="str">
        <f t="shared" si="217"/>
        <v/>
      </c>
      <c r="ST12" s="22">
        <f t="shared" si="218"/>
        <v>6.45</v>
      </c>
      <c r="SU12" s="22">
        <f t="shared" si="219"/>
        <v>4.1500000000000004</v>
      </c>
      <c r="SV12" s="22">
        <f t="shared" si="220"/>
        <v>6.75</v>
      </c>
      <c r="SW12" s="22">
        <f t="shared" si="221"/>
        <v>7.75</v>
      </c>
      <c r="SX12" s="22">
        <f t="shared" si="222"/>
        <v>0</v>
      </c>
      <c r="SY12" s="22">
        <f t="shared" si="223"/>
        <v>0</v>
      </c>
      <c r="SZ12" s="22">
        <f t="shared" si="224"/>
        <v>0</v>
      </c>
      <c r="TA12" s="22">
        <f t="shared" si="225"/>
        <v>0</v>
      </c>
      <c r="TB12" s="22">
        <f t="shared" si="226"/>
        <v>0</v>
      </c>
      <c r="TC12" s="22">
        <f t="shared" si="227"/>
        <v>0</v>
      </c>
      <c r="TD12" s="22">
        <f t="shared" si="228"/>
        <v>5.85</v>
      </c>
      <c r="TE12" s="22">
        <f t="shared" si="229"/>
        <v>3.8</v>
      </c>
      <c r="TF12" s="22">
        <f t="shared" si="230"/>
        <v>5.95</v>
      </c>
      <c r="TG12" s="22">
        <f t="shared" si="231"/>
        <v>6.9450000000000003</v>
      </c>
      <c r="TH12" s="22">
        <f t="shared" si="232"/>
        <v>0</v>
      </c>
      <c r="TI12" s="27" t="s">
        <v>46</v>
      </c>
      <c r="TJ12" s="40">
        <f t="shared" si="233"/>
        <v>6.75</v>
      </c>
      <c r="TK12" s="40">
        <f t="shared" si="234"/>
        <v>7.75</v>
      </c>
      <c r="TL12" s="40">
        <f t="shared" si="235"/>
        <v>25.1</v>
      </c>
      <c r="TM12" s="40" t="str">
        <f t="shared" si="236"/>
        <v/>
      </c>
      <c r="TN12" s="40" t="str">
        <f t="shared" si="237"/>
        <v/>
      </c>
      <c r="TO12" s="40" t="str">
        <f t="shared" si="238"/>
        <v/>
      </c>
      <c r="TP12" s="40">
        <f t="shared" si="239"/>
        <v>25.1</v>
      </c>
      <c r="TQ12" s="40">
        <f t="shared" si="240"/>
        <v>5.95</v>
      </c>
      <c r="TR12" s="40">
        <f t="shared" si="241"/>
        <v>6.9450000000000003</v>
      </c>
      <c r="TS12" s="40">
        <f t="shared" si="242"/>
        <v>22.544999999999998</v>
      </c>
      <c r="TT12" s="40">
        <f t="shared" si="243"/>
        <v>47.644999999999996</v>
      </c>
    </row>
    <row r="13" spans="1:540" x14ac:dyDescent="0.2">
      <c r="A13" s="4" cm="1">
        <f t="array" ref="A13">IF(AND(F13&lt;&gt;"",G13&lt;&gt;""),SUMPRODUCT((F$4:F$35&lt;&gt;"")*(G$4:G$35&lt;&gt;"")*(E$4:E$35&gt;E13))+1,IF(G13&lt;&gt;"",SUMPRODUCT((H$4:H$35="No DD")*(E$4:E$35&gt;E13))+1+SUMPRODUCT((F$4:F$35&lt;&gt;"")*(G$4:G$35&lt;&gt;"")),""))</f>
        <v>8</v>
      </c>
      <c r="B13" s="5" t="s">
        <v>141</v>
      </c>
      <c r="C13" s="4" t="s">
        <v>3</v>
      </c>
      <c r="D13" s="4">
        <v>2005</v>
      </c>
      <c r="E13" s="9">
        <f t="shared" si="0"/>
        <v>165.70001657000529</v>
      </c>
      <c r="F13" s="3" t="str">
        <f t="shared" si="1"/>
        <v/>
      </c>
      <c r="G13" s="3" t="str">
        <f t="shared" si="2"/>
        <v>P</v>
      </c>
      <c r="H13" s="36" t="str">
        <f t="shared" si="3"/>
        <v>No DD</v>
      </c>
      <c r="I13" s="3" t="str">
        <f t="shared" si="4"/>
        <v/>
      </c>
      <c r="J13" s="8">
        <f>IF(COUNT(AO13,AR13,BP13,BS13,CQ13,CT13)&gt;0,LARGE((AO13,AR13,BP13,BS13,CQ13,CT13),1),0)</f>
        <v>52.9</v>
      </c>
      <c r="K13" s="8" t="str">
        <f t="shared" si="5"/>
        <v>2022 Nationals</v>
      </c>
      <c r="L13" s="8">
        <f>IF(COUNT(AO13,AR13,BP13,BS13,CQ13,CT13)&gt;1,LARGE((AO13,AR13,BP13,BS13,CQ13,CT13),2),0)</f>
        <v>49.25</v>
      </c>
      <c r="M13" s="8" t="str">
        <f t="shared" si="6"/>
        <v>2023 Elite Canada</v>
      </c>
      <c r="N13" s="8">
        <f>IF(COUNT(AO13,AR13,BP13,BS13,CQ13,CT13)&gt;2,MAX(AV13,BW13,CX13,LARGE((AO13,AR13,BP13,BS13,CQ13,CT13),3)),IF(MAX(AV13,BW13,CX13)&gt;0,MAX(AV13,BW13,CX13),0))</f>
        <v>50.849999999999994</v>
      </c>
      <c r="O13" s="8" t="str">
        <f t="shared" si="7"/>
        <v>2022 Nationals</v>
      </c>
      <c r="P13" s="8">
        <f t="shared" si="8"/>
        <v>12.7</v>
      </c>
      <c r="Q13" s="8" t="str">
        <f t="shared" si="9"/>
        <v>2023 Elite Canada</v>
      </c>
      <c r="R13" s="8">
        <f t="shared" si="10"/>
        <v>0</v>
      </c>
      <c r="S13" s="8" t="str">
        <f t="shared" si="11"/>
        <v/>
      </c>
      <c r="T13" s="8" t="str">
        <f t="shared" si="12"/>
        <v/>
      </c>
      <c r="U13" s="11" t="str">
        <f t="shared" si="13"/>
        <v/>
      </c>
      <c r="V13" s="8" t="str">
        <f t="shared" si="14"/>
        <v/>
      </c>
      <c r="W13" s="22">
        <v>16.100000000000001</v>
      </c>
      <c r="X13" s="22">
        <v>9.6</v>
      </c>
      <c r="Y13" s="22">
        <v>11.8</v>
      </c>
      <c r="Z13" s="22">
        <v>15.4</v>
      </c>
      <c r="AA13" s="22">
        <v>0</v>
      </c>
      <c r="AB13" s="22"/>
      <c r="AC13" s="22"/>
      <c r="AD13" s="22"/>
      <c r="AE13" s="22"/>
      <c r="AF13" s="22"/>
      <c r="AG13" s="22">
        <v>15</v>
      </c>
      <c r="AH13" s="22">
        <v>9</v>
      </c>
      <c r="AI13" s="22">
        <v>11.8</v>
      </c>
      <c r="AJ13" s="22">
        <v>15.05</v>
      </c>
      <c r="AK13" s="22">
        <v>0</v>
      </c>
      <c r="AL13" s="27"/>
      <c r="AM13" s="38">
        <f t="shared" si="15"/>
        <v>11.8</v>
      </c>
      <c r="AN13" s="38">
        <f t="shared" si="16"/>
        <v>15.4</v>
      </c>
      <c r="AO13" s="40">
        <f t="shared" si="17"/>
        <v>52.9</v>
      </c>
      <c r="AP13" s="40" t="str">
        <f t="shared" si="18"/>
        <v/>
      </c>
      <c r="AQ13" s="40" t="str">
        <f t="shared" si="19"/>
        <v/>
      </c>
      <c r="AR13" s="40" t="str">
        <f t="shared" si="20"/>
        <v/>
      </c>
      <c r="AS13" s="40">
        <f t="shared" si="21"/>
        <v>52.9</v>
      </c>
      <c r="AT13" s="40">
        <f t="shared" si="22"/>
        <v>11.8</v>
      </c>
      <c r="AU13" s="40">
        <f t="shared" si="23"/>
        <v>15.05</v>
      </c>
      <c r="AV13" s="40">
        <f t="shared" si="24"/>
        <v>50.849999999999994</v>
      </c>
      <c r="AW13" s="40">
        <f t="shared" si="25"/>
        <v>103.75</v>
      </c>
      <c r="AX13" s="26"/>
      <c r="AY13" s="26"/>
      <c r="AZ13" s="26"/>
      <c r="BA13" s="26"/>
      <c r="BB13" s="26"/>
      <c r="BC13" s="26"/>
      <c r="BD13" s="26"/>
      <c r="BE13" s="26"/>
      <c r="BF13" s="26"/>
      <c r="BG13" s="26"/>
      <c r="BH13" s="26"/>
      <c r="BI13" s="26"/>
      <c r="BJ13" s="26"/>
      <c r="BK13" s="26"/>
      <c r="BL13" s="26"/>
      <c r="BM13" s="28"/>
      <c r="BN13" s="39" t="str">
        <f t="shared" si="26"/>
        <v/>
      </c>
      <c r="BO13" s="39" t="str">
        <f t="shared" si="27"/>
        <v/>
      </c>
      <c r="BP13" s="11" t="str">
        <f t="shared" si="28"/>
        <v/>
      </c>
      <c r="BQ13" s="11" t="str">
        <f t="shared" si="29"/>
        <v/>
      </c>
      <c r="BR13" s="11" t="str">
        <f t="shared" si="30"/>
        <v/>
      </c>
      <c r="BS13" s="11" t="str">
        <f t="shared" si="31"/>
        <v/>
      </c>
      <c r="BT13" s="11" t="str">
        <f t="shared" si="32"/>
        <v/>
      </c>
      <c r="BU13" s="11" t="str">
        <f t="shared" si="33"/>
        <v/>
      </c>
      <c r="BV13" s="11" t="str">
        <f t="shared" si="34"/>
        <v/>
      </c>
      <c r="BW13" s="11" t="str">
        <f t="shared" si="35"/>
        <v/>
      </c>
      <c r="BX13" s="11" t="str">
        <f t="shared" si="36"/>
        <v/>
      </c>
      <c r="BY13" s="22">
        <v>17.8</v>
      </c>
      <c r="BZ13" s="22">
        <v>3.9</v>
      </c>
      <c r="CA13" s="22">
        <v>5.6</v>
      </c>
      <c r="CB13" s="22">
        <v>6.37</v>
      </c>
      <c r="CC13" s="22">
        <v>0</v>
      </c>
      <c r="CD13" s="22">
        <v>15.6</v>
      </c>
      <c r="CE13" s="22">
        <v>8.1</v>
      </c>
      <c r="CF13" s="22">
        <v>11.5</v>
      </c>
      <c r="CG13" s="22">
        <v>14.05</v>
      </c>
      <c r="CH13" s="22">
        <v>0</v>
      </c>
      <c r="CI13" s="22">
        <v>12.1</v>
      </c>
      <c r="CJ13" s="22">
        <v>8.8000000000000007</v>
      </c>
      <c r="CK13" s="22">
        <v>12.7</v>
      </c>
      <c r="CL13" s="22">
        <v>15.13</v>
      </c>
      <c r="CM13" s="22">
        <v>0</v>
      </c>
      <c r="CN13" s="27"/>
      <c r="CO13" s="38">
        <f t="shared" si="37"/>
        <v>5.6</v>
      </c>
      <c r="CP13" s="38">
        <f t="shared" si="38"/>
        <v>6.37</v>
      </c>
      <c r="CQ13" s="40">
        <f t="shared" si="39"/>
        <v>33.669999999999995</v>
      </c>
      <c r="CR13" s="40">
        <f t="shared" si="40"/>
        <v>11.5</v>
      </c>
      <c r="CS13" s="40">
        <f t="shared" si="41"/>
        <v>14.05</v>
      </c>
      <c r="CT13" s="40">
        <f t="shared" si="42"/>
        <v>49.25</v>
      </c>
      <c r="CU13" s="40">
        <f t="shared" si="43"/>
        <v>49.25</v>
      </c>
      <c r="CV13" s="40">
        <f t="shared" si="44"/>
        <v>12.7</v>
      </c>
      <c r="CW13" s="40">
        <f t="shared" si="45"/>
        <v>15.13</v>
      </c>
      <c r="CX13" s="40">
        <f t="shared" si="46"/>
        <v>48.73</v>
      </c>
      <c r="CY13" s="40">
        <f t="shared" si="47"/>
        <v>97.97999999999999</v>
      </c>
      <c r="CZ13" s="50" t="str">
        <f t="shared" si="48"/>
        <v/>
      </c>
      <c r="DA13" s="50" t="str">
        <f t="shared" si="49"/>
        <v/>
      </c>
      <c r="DB13" s="17"/>
      <c r="DC13" s="17"/>
      <c r="DD13" s="17"/>
      <c r="DE13" s="17"/>
      <c r="DF13" s="17"/>
      <c r="DG13" s="17"/>
      <c r="DH13" s="17"/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40" t="str">
        <f t="shared" si="50"/>
        <v/>
      </c>
      <c r="DW13" s="40" t="str">
        <f t="shared" si="51"/>
        <v/>
      </c>
      <c r="DX13" s="40" t="str">
        <f t="shared" si="52"/>
        <v/>
      </c>
      <c r="DY13" s="40" t="str">
        <f t="shared" si="53"/>
        <v/>
      </c>
      <c r="DZ13" s="40" t="str">
        <f t="shared" si="54"/>
        <v/>
      </c>
      <c r="EA13" s="40" t="str">
        <f t="shared" si="55"/>
        <v/>
      </c>
      <c r="EB13" s="40" t="str">
        <f t="shared" si="56"/>
        <v/>
      </c>
      <c r="EC13" s="40" t="str">
        <f t="shared" si="57"/>
        <v/>
      </c>
      <c r="ED13" s="40" t="str">
        <f t="shared" si="58"/>
        <v/>
      </c>
      <c r="EE13" s="40" t="str">
        <f t="shared" si="59"/>
        <v/>
      </c>
      <c r="EF13" s="40" t="str">
        <f t="shared" si="60"/>
        <v/>
      </c>
      <c r="EG13" s="40" t="str">
        <f t="shared" si="61"/>
        <v/>
      </c>
      <c r="EH13" s="40" t="str">
        <f t="shared" si="62"/>
        <v/>
      </c>
      <c r="EI13" s="40" t="str">
        <f t="shared" si="63"/>
        <v/>
      </c>
      <c r="EJ13" s="18"/>
      <c r="EK13" s="18"/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8"/>
      <c r="FA13" s="18"/>
      <c r="FB13" s="18"/>
      <c r="FC13" s="18"/>
      <c r="FD13" s="11" t="str">
        <f t="shared" si="64"/>
        <v/>
      </c>
      <c r="FE13" s="11" t="str">
        <f t="shared" si="65"/>
        <v/>
      </c>
      <c r="FF13" s="11" t="str">
        <f t="shared" si="66"/>
        <v/>
      </c>
      <c r="FG13" s="11" t="str">
        <f t="shared" si="67"/>
        <v/>
      </c>
      <c r="FH13" s="11" t="str">
        <f t="shared" si="68"/>
        <v/>
      </c>
      <c r="FI13" s="11" t="str">
        <f t="shared" si="69"/>
        <v/>
      </c>
      <c r="FJ13" s="11" t="str">
        <f t="shared" si="70"/>
        <v/>
      </c>
      <c r="FK13" s="11" t="str">
        <f t="shared" si="71"/>
        <v/>
      </c>
      <c r="FL13" s="11" t="str">
        <f t="shared" si="72"/>
        <v/>
      </c>
      <c r="FM13" s="11" t="str">
        <f t="shared" si="73"/>
        <v/>
      </c>
      <c r="FN13" s="11" t="str">
        <f t="shared" si="74"/>
        <v/>
      </c>
      <c r="FO13" s="11" t="str">
        <f t="shared" si="75"/>
        <v/>
      </c>
      <c r="FP13" s="11" t="str">
        <f t="shared" si="76"/>
        <v/>
      </c>
      <c r="FQ13" s="11" t="str">
        <f t="shared" si="77"/>
        <v/>
      </c>
      <c r="FR13" s="17"/>
      <c r="FS13" s="17"/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17"/>
      <c r="GF13" s="17"/>
      <c r="GG13" s="17"/>
      <c r="GH13" s="17"/>
      <c r="GI13" s="17"/>
      <c r="GJ13" s="17"/>
      <c r="GK13" s="17"/>
      <c r="GL13" s="40" t="str">
        <f t="shared" si="78"/>
        <v/>
      </c>
      <c r="GM13" s="40" t="str">
        <f t="shared" si="79"/>
        <v/>
      </c>
      <c r="GN13" s="40" t="str">
        <f t="shared" si="80"/>
        <v/>
      </c>
      <c r="GO13" s="40" t="str">
        <f t="shared" si="81"/>
        <v/>
      </c>
      <c r="GP13" s="40" t="str">
        <f t="shared" si="82"/>
        <v/>
      </c>
      <c r="GQ13" s="40" t="str">
        <f t="shared" si="83"/>
        <v/>
      </c>
      <c r="GR13" s="40" t="str">
        <f t="shared" si="84"/>
        <v/>
      </c>
      <c r="GS13" s="40" t="str">
        <f t="shared" si="85"/>
        <v/>
      </c>
      <c r="GT13" s="40" t="str">
        <f t="shared" si="86"/>
        <v/>
      </c>
      <c r="GU13" s="40" t="str">
        <f t="shared" si="87"/>
        <v/>
      </c>
      <c r="GV13" s="40" t="str">
        <f t="shared" si="88"/>
        <v/>
      </c>
      <c r="GW13" s="40" t="str">
        <f t="shared" si="89"/>
        <v/>
      </c>
      <c r="GX13" s="40" t="str">
        <f t="shared" si="90"/>
        <v/>
      </c>
      <c r="GY13" s="40" t="str">
        <f t="shared" si="91"/>
        <v/>
      </c>
      <c r="GZ13" s="18"/>
      <c r="HA13" s="18"/>
      <c r="HB13" s="18"/>
      <c r="HC13" s="18"/>
      <c r="HD13" s="18"/>
      <c r="HE13" s="18"/>
      <c r="HF13" s="18"/>
      <c r="HG13" s="18"/>
      <c r="HH13" s="18"/>
      <c r="HI13" s="18"/>
      <c r="HJ13" s="18"/>
      <c r="HK13" s="18"/>
      <c r="HL13" s="18"/>
      <c r="HM13" s="18"/>
      <c r="HN13" s="18"/>
      <c r="HO13" s="18"/>
      <c r="HP13" s="18"/>
      <c r="HQ13" s="18"/>
      <c r="HR13" s="18"/>
      <c r="HS13" s="18"/>
      <c r="HT13" s="11" t="str">
        <f t="shared" si="92"/>
        <v/>
      </c>
      <c r="HU13" s="11" t="str">
        <f t="shared" si="93"/>
        <v/>
      </c>
      <c r="HV13" s="11" t="str">
        <f t="shared" si="94"/>
        <v/>
      </c>
      <c r="HW13" s="11" t="str">
        <f t="shared" si="95"/>
        <v/>
      </c>
      <c r="HX13" s="11" t="str">
        <f t="shared" si="96"/>
        <v/>
      </c>
      <c r="HY13" s="11" t="str">
        <f t="shared" si="97"/>
        <v/>
      </c>
      <c r="HZ13" s="11" t="str">
        <f t="shared" si="98"/>
        <v/>
      </c>
      <c r="IA13" s="11" t="str">
        <f t="shared" si="99"/>
        <v/>
      </c>
      <c r="IB13" s="11" t="str">
        <f t="shared" si="100"/>
        <v/>
      </c>
      <c r="IC13" s="11" t="str">
        <f t="shared" si="101"/>
        <v/>
      </c>
      <c r="ID13" s="11" t="str">
        <f t="shared" si="102"/>
        <v/>
      </c>
      <c r="IE13" s="11" t="str">
        <f t="shared" si="103"/>
        <v/>
      </c>
      <c r="IF13" s="11" t="str">
        <f t="shared" si="104"/>
        <v/>
      </c>
      <c r="IG13" s="11" t="str">
        <f t="shared" si="105"/>
        <v/>
      </c>
      <c r="IH13" s="17"/>
      <c r="II13" s="17"/>
      <c r="IJ13" s="17"/>
      <c r="IK13" s="17"/>
      <c r="IL13" s="17"/>
      <c r="IM13" s="17"/>
      <c r="IN13" s="17"/>
      <c r="IO13" s="17"/>
      <c r="IP13" s="17"/>
      <c r="IQ13" s="17"/>
      <c r="IR13" s="17"/>
      <c r="IS13" s="17"/>
      <c r="IT13" s="17"/>
      <c r="IU13" s="17"/>
      <c r="IV13" s="17"/>
      <c r="IW13" s="17"/>
      <c r="IX13" s="17"/>
      <c r="IY13" s="17"/>
      <c r="IZ13" s="17"/>
      <c r="JA13" s="17"/>
      <c r="JB13" s="40" t="str">
        <f t="shared" si="106"/>
        <v/>
      </c>
      <c r="JC13" s="40" t="str">
        <f t="shared" si="107"/>
        <v/>
      </c>
      <c r="JD13" s="40" t="str">
        <f t="shared" si="108"/>
        <v/>
      </c>
      <c r="JE13" s="40" t="str">
        <f t="shared" si="109"/>
        <v/>
      </c>
      <c r="JF13" s="40" t="str">
        <f t="shared" si="110"/>
        <v/>
      </c>
      <c r="JG13" s="40" t="str">
        <f t="shared" si="111"/>
        <v/>
      </c>
      <c r="JH13" s="40" t="str">
        <f t="shared" si="112"/>
        <v/>
      </c>
      <c r="JI13" s="40" t="str">
        <f t="shared" si="113"/>
        <v/>
      </c>
      <c r="JJ13" s="40" t="str">
        <f t="shared" si="114"/>
        <v/>
      </c>
      <c r="JK13" s="40" t="str">
        <f t="shared" si="115"/>
        <v/>
      </c>
      <c r="JL13" s="40" t="str">
        <f t="shared" si="116"/>
        <v/>
      </c>
      <c r="JM13" s="40" t="str">
        <f t="shared" si="117"/>
        <v/>
      </c>
      <c r="JN13" s="40" t="str">
        <f t="shared" si="118"/>
        <v/>
      </c>
      <c r="JO13" s="40" t="str">
        <f t="shared" si="119"/>
        <v/>
      </c>
      <c r="JP13" s="18"/>
      <c r="JQ13" s="18"/>
      <c r="JR13" s="18"/>
      <c r="JS13" s="18"/>
      <c r="JT13" s="18"/>
      <c r="JU13" s="18"/>
      <c r="JV13" s="18"/>
      <c r="JW13" s="18"/>
      <c r="JX13" s="18"/>
      <c r="JY13" s="18"/>
      <c r="JZ13" s="18"/>
      <c r="KA13" s="18"/>
      <c r="KB13" s="18"/>
      <c r="KC13" s="18"/>
      <c r="KD13" s="18"/>
      <c r="KE13" s="18"/>
      <c r="KF13" s="18"/>
      <c r="KG13" s="18"/>
      <c r="KH13" s="18"/>
      <c r="KI13" s="18"/>
      <c r="KJ13" s="11" t="str">
        <f t="shared" si="120"/>
        <v/>
      </c>
      <c r="KK13" s="11" t="str">
        <f t="shared" si="121"/>
        <v/>
      </c>
      <c r="KL13" s="11" t="str">
        <f t="shared" si="122"/>
        <v/>
      </c>
      <c r="KM13" s="11" t="str">
        <f t="shared" si="123"/>
        <v/>
      </c>
      <c r="KN13" s="11" t="str">
        <f t="shared" si="124"/>
        <v/>
      </c>
      <c r="KO13" s="11" t="str">
        <f t="shared" si="125"/>
        <v/>
      </c>
      <c r="KP13" s="11" t="str">
        <f t="shared" si="126"/>
        <v/>
      </c>
      <c r="KQ13" s="11" t="str">
        <f t="shared" si="127"/>
        <v/>
      </c>
      <c r="KR13" s="11" t="str">
        <f t="shared" si="128"/>
        <v/>
      </c>
      <c r="KS13" s="11" t="str">
        <f t="shared" si="129"/>
        <v/>
      </c>
      <c r="KT13" s="11" t="str">
        <f t="shared" si="130"/>
        <v/>
      </c>
      <c r="KU13" s="11" t="str">
        <f t="shared" si="131"/>
        <v/>
      </c>
      <c r="KV13" s="11" t="str">
        <f t="shared" si="132"/>
        <v/>
      </c>
      <c r="KW13" s="11" t="str">
        <f t="shared" si="133"/>
        <v/>
      </c>
      <c r="KX13" s="17"/>
      <c r="KY13" s="17"/>
      <c r="KZ13" s="17"/>
      <c r="LA13" s="17"/>
      <c r="LB13" s="17"/>
      <c r="LC13" s="17"/>
      <c r="LD13" s="17"/>
      <c r="LE13" s="17"/>
      <c r="LF13" s="17"/>
      <c r="LG13" s="17"/>
      <c r="LH13" s="17"/>
      <c r="LI13" s="17"/>
      <c r="LJ13" s="17"/>
      <c r="LK13" s="17"/>
      <c r="LL13" s="17"/>
      <c r="LM13" s="17"/>
      <c r="LN13" s="17"/>
      <c r="LO13" s="17"/>
      <c r="LP13" s="17"/>
      <c r="LQ13" s="17"/>
      <c r="LR13" s="40" t="str">
        <f t="shared" si="134"/>
        <v/>
      </c>
      <c r="LS13" s="40" t="str">
        <f t="shared" si="135"/>
        <v/>
      </c>
      <c r="LT13" s="40" t="str">
        <f t="shared" si="136"/>
        <v/>
      </c>
      <c r="LU13" s="40" t="str">
        <f t="shared" si="137"/>
        <v/>
      </c>
      <c r="LV13" s="40" t="str">
        <f t="shared" si="138"/>
        <v/>
      </c>
      <c r="LW13" s="40" t="str">
        <f t="shared" si="139"/>
        <v/>
      </c>
      <c r="LX13" s="40" t="str">
        <f t="shared" si="140"/>
        <v/>
      </c>
      <c r="LY13" s="40" t="str">
        <f t="shared" si="141"/>
        <v/>
      </c>
      <c r="LZ13" s="40" t="str">
        <f t="shared" si="142"/>
        <v/>
      </c>
      <c r="MA13" s="40" t="str">
        <f t="shared" si="143"/>
        <v/>
      </c>
      <c r="MB13" s="40" t="str">
        <f t="shared" si="144"/>
        <v/>
      </c>
      <c r="MC13" s="40" t="str">
        <f t="shared" si="145"/>
        <v/>
      </c>
      <c r="MD13" s="40" t="str">
        <f t="shared" si="146"/>
        <v/>
      </c>
      <c r="ME13" s="40" t="str">
        <f t="shared" si="147"/>
        <v/>
      </c>
      <c r="MF13" s="18"/>
      <c r="MG13" s="18"/>
      <c r="MH13" s="18"/>
      <c r="MI13" s="18"/>
      <c r="MJ13" s="18"/>
      <c r="MK13" s="18"/>
      <c r="ML13" s="18"/>
      <c r="MM13" s="18"/>
      <c r="MN13" s="18"/>
      <c r="MO13" s="18"/>
      <c r="MP13" s="18"/>
      <c r="MQ13" s="18"/>
      <c r="MR13" s="18"/>
      <c r="MS13" s="18"/>
      <c r="MT13" s="18"/>
      <c r="MU13" s="18"/>
      <c r="MV13" s="18"/>
      <c r="MW13" s="18"/>
      <c r="MX13" s="18"/>
      <c r="MY13" s="18"/>
      <c r="MZ13" s="11" t="str">
        <f t="shared" si="148"/>
        <v/>
      </c>
      <c r="NA13" s="11" t="str">
        <f t="shared" si="149"/>
        <v/>
      </c>
      <c r="NB13" s="11" t="str">
        <f t="shared" si="150"/>
        <v/>
      </c>
      <c r="NC13" s="11" t="str">
        <f t="shared" si="151"/>
        <v/>
      </c>
      <c r="ND13" s="11" t="str">
        <f t="shared" si="152"/>
        <v/>
      </c>
      <c r="NE13" s="11" t="str">
        <f t="shared" si="153"/>
        <v/>
      </c>
      <c r="NF13" s="11" t="str">
        <f t="shared" si="154"/>
        <v/>
      </c>
      <c r="NG13" s="11" t="str">
        <f t="shared" si="155"/>
        <v/>
      </c>
      <c r="NH13" s="11" t="str">
        <f t="shared" si="156"/>
        <v/>
      </c>
      <c r="NI13" s="11" t="str">
        <f t="shared" si="157"/>
        <v/>
      </c>
      <c r="NJ13" s="11" t="str">
        <f t="shared" si="158"/>
        <v/>
      </c>
      <c r="NK13" s="11" t="str">
        <f t="shared" si="159"/>
        <v/>
      </c>
      <c r="NL13" s="11" t="str">
        <f t="shared" si="160"/>
        <v/>
      </c>
      <c r="NM13" s="11" t="str">
        <f t="shared" si="161"/>
        <v/>
      </c>
      <c r="NN13" s="17"/>
      <c r="NO13" s="17"/>
      <c r="NP13" s="17"/>
      <c r="NQ13" s="17"/>
      <c r="NR13" s="17"/>
      <c r="NS13" s="17"/>
      <c r="NT13" s="17"/>
      <c r="NU13" s="17"/>
      <c r="NV13" s="17"/>
      <c r="NW13" s="17"/>
      <c r="NX13" s="17"/>
      <c r="NY13" s="17"/>
      <c r="NZ13" s="17"/>
      <c r="OA13" s="17"/>
      <c r="OB13" s="17"/>
      <c r="OC13" s="17"/>
      <c r="OD13" s="17"/>
      <c r="OE13" s="17"/>
      <c r="OF13" s="17"/>
      <c r="OG13" s="17"/>
      <c r="OH13" s="40" t="str">
        <f t="shared" si="162"/>
        <v/>
      </c>
      <c r="OI13" s="40" t="str">
        <f t="shared" si="163"/>
        <v/>
      </c>
      <c r="OJ13" s="40" t="str">
        <f t="shared" si="164"/>
        <v/>
      </c>
      <c r="OK13" s="40" t="str">
        <f t="shared" si="165"/>
        <v/>
      </c>
      <c r="OL13" s="40" t="str">
        <f t="shared" si="166"/>
        <v/>
      </c>
      <c r="OM13" s="40" t="str">
        <f t="shared" si="167"/>
        <v/>
      </c>
      <c r="ON13" s="40" t="str">
        <f t="shared" si="168"/>
        <v/>
      </c>
      <c r="OO13" s="40" t="str">
        <f t="shared" si="169"/>
        <v/>
      </c>
      <c r="OP13" s="40" t="str">
        <f t="shared" si="170"/>
        <v/>
      </c>
      <c r="OQ13" s="40" t="str">
        <f t="shared" si="171"/>
        <v/>
      </c>
      <c r="OR13" s="40" t="str">
        <f t="shared" si="172"/>
        <v/>
      </c>
      <c r="OS13" s="40" t="str">
        <f t="shared" si="173"/>
        <v/>
      </c>
      <c r="OT13" s="40" t="str">
        <f t="shared" si="174"/>
        <v/>
      </c>
      <c r="OU13" s="40" t="str">
        <f t="shared" si="175"/>
        <v/>
      </c>
      <c r="OV13" s="18"/>
      <c r="OW13" s="18"/>
      <c r="OX13" s="18"/>
      <c r="OY13" s="18"/>
      <c r="OZ13" s="18"/>
      <c r="PA13" s="18"/>
      <c r="PB13" s="18"/>
      <c r="PC13" s="18"/>
      <c r="PD13" s="18"/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1" t="str">
        <f t="shared" si="176"/>
        <v/>
      </c>
      <c r="PQ13" s="11" t="str">
        <f t="shared" si="177"/>
        <v/>
      </c>
      <c r="PR13" s="11" t="str">
        <f t="shared" si="178"/>
        <v/>
      </c>
      <c r="PS13" s="11" t="str">
        <f t="shared" si="179"/>
        <v/>
      </c>
      <c r="PT13" s="11" t="str">
        <f t="shared" si="180"/>
        <v/>
      </c>
      <c r="PU13" s="11" t="str">
        <f t="shared" si="181"/>
        <v/>
      </c>
      <c r="PV13" s="11" t="str">
        <f t="shared" si="182"/>
        <v/>
      </c>
      <c r="PW13" s="11" t="str">
        <f t="shared" si="183"/>
        <v/>
      </c>
      <c r="PX13" s="11" t="str">
        <f t="shared" si="184"/>
        <v/>
      </c>
      <c r="PY13" s="11" t="str">
        <f t="shared" si="185"/>
        <v/>
      </c>
      <c r="PZ13" s="11" t="str">
        <f t="shared" si="186"/>
        <v/>
      </c>
      <c r="QA13" s="11" t="str">
        <f t="shared" si="187"/>
        <v/>
      </c>
      <c r="QB13" s="11" t="str">
        <f t="shared" si="188"/>
        <v/>
      </c>
      <c r="QC13" s="11" t="str">
        <f t="shared" si="189"/>
        <v/>
      </c>
      <c r="QD13" s="17"/>
      <c r="QE13" s="17"/>
      <c r="QF13" s="17"/>
      <c r="QG13" s="17"/>
      <c r="QH13" s="17"/>
      <c r="QI13" s="17"/>
      <c r="QJ13" s="17"/>
      <c r="QK13" s="17"/>
      <c r="QL13" s="17"/>
      <c r="QM13" s="17"/>
      <c r="QN13" s="17"/>
      <c r="QO13" s="17"/>
      <c r="QP13" s="17"/>
      <c r="QQ13" s="17"/>
      <c r="QR13" s="17"/>
      <c r="QS13" s="17"/>
      <c r="QT13" s="17"/>
      <c r="QU13" s="17"/>
      <c r="QV13" s="17"/>
      <c r="QW13" s="17"/>
      <c r="QX13" s="40" t="str">
        <f t="shared" si="190"/>
        <v/>
      </c>
      <c r="QY13" s="40" t="str">
        <f t="shared" si="191"/>
        <v/>
      </c>
      <c r="QZ13" s="40" t="str">
        <f t="shared" si="192"/>
        <v/>
      </c>
      <c r="RA13" s="40" t="str">
        <f t="shared" si="193"/>
        <v/>
      </c>
      <c r="RB13" s="40" t="str">
        <f t="shared" si="194"/>
        <v/>
      </c>
      <c r="RC13" s="40" t="str">
        <f t="shared" si="195"/>
        <v/>
      </c>
      <c r="RD13" s="40" t="str">
        <f t="shared" si="196"/>
        <v/>
      </c>
      <c r="RE13" s="40" t="str">
        <f t="shared" si="197"/>
        <v/>
      </c>
      <c r="RF13" s="40" t="str">
        <f t="shared" si="198"/>
        <v/>
      </c>
      <c r="RG13" s="40" t="str">
        <f t="shared" si="199"/>
        <v/>
      </c>
      <c r="RH13" s="40" t="str">
        <f t="shared" si="200"/>
        <v/>
      </c>
      <c r="RI13" s="40" t="str">
        <f t="shared" si="201"/>
        <v/>
      </c>
      <c r="RJ13" s="40" t="str">
        <f t="shared" si="202"/>
        <v/>
      </c>
      <c r="RK13" s="40" t="str">
        <f t="shared" si="203"/>
        <v/>
      </c>
      <c r="RL13" s="18"/>
      <c r="RM13" s="18"/>
      <c r="RN13" s="18"/>
      <c r="RO13" s="18"/>
      <c r="RP13" s="18"/>
      <c r="RQ13" s="18"/>
      <c r="RR13" s="18"/>
      <c r="RS13" s="18"/>
      <c r="RT13" s="18"/>
      <c r="RU13" s="18"/>
      <c r="RV13" s="18"/>
      <c r="RW13" s="18"/>
      <c r="RX13" s="18"/>
      <c r="RY13" s="18"/>
      <c r="RZ13" s="18"/>
      <c r="SA13" s="18"/>
      <c r="SB13" s="18"/>
      <c r="SC13" s="18"/>
      <c r="SD13" s="18"/>
      <c r="SE13" s="18"/>
      <c r="SF13" s="11" t="str">
        <f t="shared" si="204"/>
        <v/>
      </c>
      <c r="SG13" s="11" t="str">
        <f t="shared" si="205"/>
        <v/>
      </c>
      <c r="SH13" s="11" t="str">
        <f t="shared" si="206"/>
        <v/>
      </c>
      <c r="SI13" s="11" t="str">
        <f t="shared" si="207"/>
        <v/>
      </c>
      <c r="SJ13" s="11" t="str">
        <f t="shared" si="208"/>
        <v/>
      </c>
      <c r="SK13" s="11" t="str">
        <f t="shared" si="209"/>
        <v/>
      </c>
      <c r="SL13" s="11" t="str">
        <f t="shared" si="210"/>
        <v/>
      </c>
      <c r="SM13" s="11" t="str">
        <f t="shared" si="211"/>
        <v/>
      </c>
      <c r="SN13" s="11" t="str">
        <f t="shared" si="212"/>
        <v/>
      </c>
      <c r="SO13" s="11" t="str">
        <f t="shared" si="213"/>
        <v/>
      </c>
      <c r="SP13" s="11" t="str">
        <f t="shared" si="214"/>
        <v/>
      </c>
      <c r="SQ13" s="11" t="str">
        <f t="shared" si="215"/>
        <v/>
      </c>
      <c r="SR13" s="11" t="str">
        <f t="shared" si="216"/>
        <v/>
      </c>
      <c r="SS13" s="11" t="str">
        <f t="shared" si="217"/>
        <v/>
      </c>
      <c r="ST13" s="22">
        <f t="shared" si="218"/>
        <v>8.9</v>
      </c>
      <c r="SU13" s="22">
        <f t="shared" si="219"/>
        <v>1.95</v>
      </c>
      <c r="SV13" s="22">
        <f t="shared" si="220"/>
        <v>2.8</v>
      </c>
      <c r="SW13" s="22">
        <f t="shared" si="221"/>
        <v>3.1850000000000001</v>
      </c>
      <c r="SX13" s="22">
        <f t="shared" si="222"/>
        <v>0</v>
      </c>
      <c r="SY13" s="22">
        <f t="shared" si="223"/>
        <v>7.8</v>
      </c>
      <c r="SZ13" s="22">
        <f t="shared" si="224"/>
        <v>4.05</v>
      </c>
      <c r="TA13" s="22">
        <f t="shared" si="225"/>
        <v>5.75</v>
      </c>
      <c r="TB13" s="22">
        <f t="shared" si="226"/>
        <v>7.0250000000000004</v>
      </c>
      <c r="TC13" s="22">
        <f t="shared" si="227"/>
        <v>0</v>
      </c>
      <c r="TD13" s="22">
        <f t="shared" si="228"/>
        <v>6.05</v>
      </c>
      <c r="TE13" s="22">
        <f t="shared" si="229"/>
        <v>4.4000000000000004</v>
      </c>
      <c r="TF13" s="22">
        <f t="shared" si="230"/>
        <v>6.35</v>
      </c>
      <c r="TG13" s="22">
        <f t="shared" si="231"/>
        <v>7.5650000000000004</v>
      </c>
      <c r="TH13" s="22">
        <f t="shared" si="232"/>
        <v>0</v>
      </c>
      <c r="TI13" s="27" t="s">
        <v>46</v>
      </c>
      <c r="TJ13" s="40">
        <f t="shared" si="233"/>
        <v>2.8</v>
      </c>
      <c r="TK13" s="40">
        <f t="shared" si="234"/>
        <v>3.1850000000000001</v>
      </c>
      <c r="TL13" s="40">
        <f t="shared" si="235"/>
        <v>16.834999999999997</v>
      </c>
      <c r="TM13" s="40">
        <f t="shared" si="236"/>
        <v>5.75</v>
      </c>
      <c r="TN13" s="40">
        <f t="shared" si="237"/>
        <v>7.0250000000000004</v>
      </c>
      <c r="TO13" s="40">
        <f t="shared" si="238"/>
        <v>24.625</v>
      </c>
      <c r="TP13" s="40">
        <f t="shared" si="239"/>
        <v>24.625</v>
      </c>
      <c r="TQ13" s="40">
        <f t="shared" si="240"/>
        <v>6.35</v>
      </c>
      <c r="TR13" s="40">
        <f t="shared" si="241"/>
        <v>7.5650000000000004</v>
      </c>
      <c r="TS13" s="40">
        <f t="shared" si="242"/>
        <v>24.364999999999998</v>
      </c>
      <c r="TT13" s="40">
        <f t="shared" si="243"/>
        <v>48.989999999999995</v>
      </c>
    </row>
    <row r="14" spans="1:540" x14ac:dyDescent="0.2">
      <c r="A14" s="4" t="str" cm="1">
        <f t="array" ref="A14">IF(AND(F14&lt;&gt;"",G14&lt;&gt;""),SUMPRODUCT((F$4:F$35&lt;&gt;"")*(G$4:G$35&lt;&gt;"")*(E$4:E$35&gt;E14))+1,IF(G14&lt;&gt;"",SUMPRODUCT((H$4:H$35="No DD")*(E$4:E$35&gt;E14))+1+SUMPRODUCT((F$4:F$35&lt;&gt;"")*(G$4:G$35&lt;&gt;"")),""))</f>
        <v/>
      </c>
      <c r="B14" s="5" t="s">
        <v>208</v>
      </c>
      <c r="C14" s="4" t="s">
        <v>6</v>
      </c>
      <c r="D14" s="4">
        <v>2006</v>
      </c>
      <c r="E14" s="9">
        <f t="shared" si="0"/>
        <v>162.38001623800508</v>
      </c>
      <c r="F14" s="3" t="str">
        <f t="shared" si="1"/>
        <v/>
      </c>
      <c r="G14" s="3" t="str">
        <f t="shared" si="2"/>
        <v/>
      </c>
      <c r="H14" s="36" t="str">
        <f t="shared" si="3"/>
        <v/>
      </c>
      <c r="I14" s="3" t="str">
        <f t="shared" si="4"/>
        <v/>
      </c>
      <c r="J14" s="8">
        <f>IF(COUNT(AO14,AR14,BP14,BS14,CQ14,CT14)&gt;0,LARGE((AO14,AR14,BP14,BS14,CQ14,CT14),1),0)</f>
        <v>50.769999999999996</v>
      </c>
      <c r="K14" s="8" t="str">
        <f t="shared" si="5"/>
        <v>2023 Elite Canada</v>
      </c>
      <c r="L14" s="8">
        <f>IF(COUNT(AO14,AR14,BP14,BS14,CQ14,CT14)&gt;1,LARGE((AO14,AR14,BP14,BS14,CQ14,CT14),2),0)</f>
        <v>49.86</v>
      </c>
      <c r="M14" s="8" t="str">
        <f t="shared" si="6"/>
        <v>2022 Nationals</v>
      </c>
      <c r="N14" s="8">
        <f>IF(COUNT(AO14,AR14,BP14,BS14,CQ14,CT14)&gt;2,MAX(AV14,BW14,CX14,LARGE((AO14,AR14,BP14,BS14,CQ14,CT14),3)),IF(MAX(AV14,BW14,CX14)&gt;0,MAX(AV14,BW14,CX14),0))</f>
        <v>51.150000000000006</v>
      </c>
      <c r="O14" s="8" t="str">
        <f t="shared" si="7"/>
        <v>2023 Elite Canada</v>
      </c>
      <c r="P14" s="8">
        <f t="shared" si="8"/>
        <v>10.6</v>
      </c>
      <c r="Q14" s="8" t="str">
        <f t="shared" si="9"/>
        <v>2023 Elite Canada</v>
      </c>
      <c r="R14" s="8">
        <f t="shared" si="10"/>
        <v>0</v>
      </c>
      <c r="S14" s="8" t="str">
        <f t="shared" si="11"/>
        <v/>
      </c>
      <c r="T14" s="8" t="str">
        <f t="shared" si="12"/>
        <v/>
      </c>
      <c r="U14" s="11" t="str">
        <f t="shared" si="13"/>
        <v/>
      </c>
      <c r="V14" s="8" t="str">
        <f t="shared" si="14"/>
        <v/>
      </c>
      <c r="W14" s="22">
        <v>15.7</v>
      </c>
      <c r="X14" s="22">
        <v>8.9</v>
      </c>
      <c r="Y14" s="22">
        <v>10.5</v>
      </c>
      <c r="Z14" s="22">
        <v>14.76</v>
      </c>
      <c r="AA14" s="22">
        <v>0</v>
      </c>
      <c r="AB14" s="22"/>
      <c r="AC14" s="22"/>
      <c r="AD14" s="22"/>
      <c r="AE14" s="22"/>
      <c r="AF14" s="22"/>
      <c r="AG14" s="22">
        <v>16.100000000000001</v>
      </c>
      <c r="AH14" s="22">
        <v>9.1999999999999993</v>
      </c>
      <c r="AI14" s="22">
        <v>10.5</v>
      </c>
      <c r="AJ14" s="22">
        <v>15</v>
      </c>
      <c r="AK14" s="22">
        <v>0</v>
      </c>
      <c r="AL14" s="27"/>
      <c r="AM14" s="38">
        <f t="shared" si="15"/>
        <v>10.5</v>
      </c>
      <c r="AN14" s="38">
        <f t="shared" si="16"/>
        <v>14.76</v>
      </c>
      <c r="AO14" s="40">
        <f t="shared" si="17"/>
        <v>49.86</v>
      </c>
      <c r="AP14" s="40" t="str">
        <f t="shared" si="18"/>
        <v/>
      </c>
      <c r="AQ14" s="40" t="str">
        <f t="shared" si="19"/>
        <v/>
      </c>
      <c r="AR14" s="40" t="str">
        <f t="shared" si="20"/>
        <v/>
      </c>
      <c r="AS14" s="40">
        <f t="shared" si="21"/>
        <v>49.86</v>
      </c>
      <c r="AT14" s="40">
        <f t="shared" si="22"/>
        <v>10.5</v>
      </c>
      <c r="AU14" s="40">
        <f t="shared" si="23"/>
        <v>15</v>
      </c>
      <c r="AV14" s="40">
        <f t="shared" si="24"/>
        <v>50.8</v>
      </c>
      <c r="AW14" s="40">
        <f t="shared" si="25"/>
        <v>100.66</v>
      </c>
      <c r="AX14" s="26"/>
      <c r="AY14" s="26"/>
      <c r="AZ14" s="26"/>
      <c r="BA14" s="26"/>
      <c r="BB14" s="26"/>
      <c r="BC14" s="26"/>
      <c r="BD14" s="26"/>
      <c r="BE14" s="26"/>
      <c r="BF14" s="26"/>
      <c r="BG14" s="26"/>
      <c r="BH14" s="26"/>
      <c r="BI14" s="26"/>
      <c r="BJ14" s="26"/>
      <c r="BK14" s="26"/>
      <c r="BL14" s="26"/>
      <c r="BM14" s="28"/>
      <c r="BN14" s="39" t="str">
        <f t="shared" si="26"/>
        <v/>
      </c>
      <c r="BO14" s="39" t="str">
        <f t="shared" si="27"/>
        <v/>
      </c>
      <c r="BP14" s="11" t="str">
        <f t="shared" si="28"/>
        <v/>
      </c>
      <c r="BQ14" s="11" t="str">
        <f t="shared" si="29"/>
        <v/>
      </c>
      <c r="BR14" s="11" t="str">
        <f t="shared" si="30"/>
        <v/>
      </c>
      <c r="BS14" s="11" t="str">
        <f t="shared" si="31"/>
        <v/>
      </c>
      <c r="BT14" s="11" t="str">
        <f t="shared" si="32"/>
        <v/>
      </c>
      <c r="BU14" s="11" t="str">
        <f t="shared" si="33"/>
        <v/>
      </c>
      <c r="BV14" s="11" t="str">
        <f t="shared" si="34"/>
        <v/>
      </c>
      <c r="BW14" s="11" t="str">
        <f t="shared" si="35"/>
        <v/>
      </c>
      <c r="BX14" s="11" t="str">
        <f t="shared" si="36"/>
        <v/>
      </c>
      <c r="BY14" s="22">
        <v>13.2</v>
      </c>
      <c r="BZ14" s="22">
        <v>9.3000000000000007</v>
      </c>
      <c r="CA14" s="22">
        <v>8.1</v>
      </c>
      <c r="CB14" s="22">
        <v>15.19</v>
      </c>
      <c r="CC14" s="22">
        <v>1</v>
      </c>
      <c r="CD14" s="22">
        <v>15.9</v>
      </c>
      <c r="CE14" s="22">
        <v>9.4</v>
      </c>
      <c r="CF14" s="22">
        <v>10.6</v>
      </c>
      <c r="CG14" s="22">
        <v>14.87</v>
      </c>
      <c r="CH14" s="22">
        <v>0</v>
      </c>
      <c r="CI14" s="22">
        <v>16.2</v>
      </c>
      <c r="CJ14" s="22">
        <v>9.4</v>
      </c>
      <c r="CK14" s="22">
        <v>10.6</v>
      </c>
      <c r="CL14" s="22">
        <v>14.95</v>
      </c>
      <c r="CM14" s="22">
        <v>0</v>
      </c>
      <c r="CN14" s="27"/>
      <c r="CO14" s="38">
        <f t="shared" si="37"/>
        <v>8.1</v>
      </c>
      <c r="CP14" s="38">
        <f t="shared" si="38"/>
        <v>15.19</v>
      </c>
      <c r="CQ14" s="40">
        <f t="shared" si="39"/>
        <v>44.79</v>
      </c>
      <c r="CR14" s="40">
        <f t="shared" si="40"/>
        <v>10.6</v>
      </c>
      <c r="CS14" s="40">
        <f t="shared" si="41"/>
        <v>14.87</v>
      </c>
      <c r="CT14" s="40">
        <f t="shared" si="42"/>
        <v>50.769999999999996</v>
      </c>
      <c r="CU14" s="40">
        <f t="shared" si="43"/>
        <v>50.769999999999996</v>
      </c>
      <c r="CV14" s="40">
        <f t="shared" si="44"/>
        <v>10.6</v>
      </c>
      <c r="CW14" s="40">
        <f t="shared" si="45"/>
        <v>14.95</v>
      </c>
      <c r="CX14" s="40">
        <f t="shared" si="46"/>
        <v>51.150000000000006</v>
      </c>
      <c r="CY14" s="40">
        <f t="shared" si="47"/>
        <v>101.92</v>
      </c>
      <c r="CZ14" s="50" t="str">
        <f t="shared" si="48"/>
        <v/>
      </c>
      <c r="DA14" s="50" t="str">
        <f t="shared" si="49"/>
        <v/>
      </c>
      <c r="DB14" s="17"/>
      <c r="DC14" s="17"/>
      <c r="DD14" s="17"/>
      <c r="DE14" s="17"/>
      <c r="DF14" s="17"/>
      <c r="DG14" s="17"/>
      <c r="DH14" s="17"/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40" t="str">
        <f t="shared" si="50"/>
        <v/>
      </c>
      <c r="DW14" s="40" t="str">
        <f t="shared" si="51"/>
        <v/>
      </c>
      <c r="DX14" s="40" t="str">
        <f t="shared" si="52"/>
        <v/>
      </c>
      <c r="DY14" s="40" t="str">
        <f t="shared" si="53"/>
        <v/>
      </c>
      <c r="DZ14" s="40" t="str">
        <f t="shared" si="54"/>
        <v/>
      </c>
      <c r="EA14" s="40" t="str">
        <f t="shared" si="55"/>
        <v/>
      </c>
      <c r="EB14" s="40" t="str">
        <f t="shared" si="56"/>
        <v/>
      </c>
      <c r="EC14" s="40" t="str">
        <f t="shared" si="57"/>
        <v/>
      </c>
      <c r="ED14" s="40" t="str">
        <f t="shared" si="58"/>
        <v/>
      </c>
      <c r="EE14" s="40" t="str">
        <f t="shared" si="59"/>
        <v/>
      </c>
      <c r="EF14" s="40" t="str">
        <f t="shared" si="60"/>
        <v/>
      </c>
      <c r="EG14" s="40" t="str">
        <f t="shared" si="61"/>
        <v/>
      </c>
      <c r="EH14" s="40" t="str">
        <f t="shared" si="62"/>
        <v/>
      </c>
      <c r="EI14" s="40" t="str">
        <f t="shared" si="63"/>
        <v/>
      </c>
      <c r="EJ14" s="18"/>
      <c r="EK14" s="18"/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8"/>
      <c r="FA14" s="18"/>
      <c r="FB14" s="18"/>
      <c r="FC14" s="18"/>
      <c r="FD14" s="11" t="str">
        <f t="shared" si="64"/>
        <v/>
      </c>
      <c r="FE14" s="11" t="str">
        <f t="shared" si="65"/>
        <v/>
      </c>
      <c r="FF14" s="11" t="str">
        <f t="shared" si="66"/>
        <v/>
      </c>
      <c r="FG14" s="11" t="str">
        <f t="shared" si="67"/>
        <v/>
      </c>
      <c r="FH14" s="11" t="str">
        <f t="shared" si="68"/>
        <v/>
      </c>
      <c r="FI14" s="11" t="str">
        <f t="shared" si="69"/>
        <v/>
      </c>
      <c r="FJ14" s="11" t="str">
        <f t="shared" si="70"/>
        <v/>
      </c>
      <c r="FK14" s="11" t="str">
        <f t="shared" si="71"/>
        <v/>
      </c>
      <c r="FL14" s="11" t="str">
        <f t="shared" si="72"/>
        <v/>
      </c>
      <c r="FM14" s="11" t="str">
        <f t="shared" si="73"/>
        <v/>
      </c>
      <c r="FN14" s="11" t="str">
        <f t="shared" si="74"/>
        <v/>
      </c>
      <c r="FO14" s="11" t="str">
        <f t="shared" si="75"/>
        <v/>
      </c>
      <c r="FP14" s="11" t="str">
        <f t="shared" si="76"/>
        <v/>
      </c>
      <c r="FQ14" s="11" t="str">
        <f t="shared" si="77"/>
        <v/>
      </c>
      <c r="FR14" s="17"/>
      <c r="FS14" s="17"/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17"/>
      <c r="GF14" s="17"/>
      <c r="GG14" s="17"/>
      <c r="GH14" s="17"/>
      <c r="GI14" s="17"/>
      <c r="GJ14" s="17"/>
      <c r="GK14" s="17"/>
      <c r="GL14" s="40" t="str">
        <f t="shared" si="78"/>
        <v/>
      </c>
      <c r="GM14" s="40" t="str">
        <f t="shared" si="79"/>
        <v/>
      </c>
      <c r="GN14" s="40" t="str">
        <f t="shared" si="80"/>
        <v/>
      </c>
      <c r="GO14" s="40" t="str">
        <f t="shared" si="81"/>
        <v/>
      </c>
      <c r="GP14" s="40" t="str">
        <f t="shared" si="82"/>
        <v/>
      </c>
      <c r="GQ14" s="40" t="str">
        <f t="shared" si="83"/>
        <v/>
      </c>
      <c r="GR14" s="40" t="str">
        <f t="shared" si="84"/>
        <v/>
      </c>
      <c r="GS14" s="40" t="str">
        <f t="shared" si="85"/>
        <v/>
      </c>
      <c r="GT14" s="40" t="str">
        <f t="shared" si="86"/>
        <v/>
      </c>
      <c r="GU14" s="40" t="str">
        <f t="shared" si="87"/>
        <v/>
      </c>
      <c r="GV14" s="40" t="str">
        <f t="shared" si="88"/>
        <v/>
      </c>
      <c r="GW14" s="40" t="str">
        <f t="shared" si="89"/>
        <v/>
      </c>
      <c r="GX14" s="40" t="str">
        <f t="shared" si="90"/>
        <v/>
      </c>
      <c r="GY14" s="40" t="str">
        <f t="shared" si="91"/>
        <v/>
      </c>
      <c r="GZ14" s="18"/>
      <c r="HA14" s="18"/>
      <c r="HB14" s="18"/>
      <c r="HC14" s="18"/>
      <c r="HD14" s="18"/>
      <c r="HE14" s="18"/>
      <c r="HF14" s="18"/>
      <c r="HG14" s="18"/>
      <c r="HH14" s="18"/>
      <c r="HI14" s="18"/>
      <c r="HJ14" s="18"/>
      <c r="HK14" s="18"/>
      <c r="HL14" s="18"/>
      <c r="HM14" s="18"/>
      <c r="HN14" s="18"/>
      <c r="HO14" s="18"/>
      <c r="HP14" s="18"/>
      <c r="HQ14" s="18"/>
      <c r="HR14" s="18"/>
      <c r="HS14" s="18"/>
      <c r="HT14" s="11" t="str">
        <f t="shared" si="92"/>
        <v/>
      </c>
      <c r="HU14" s="11" t="str">
        <f t="shared" si="93"/>
        <v/>
      </c>
      <c r="HV14" s="11" t="str">
        <f t="shared" si="94"/>
        <v/>
      </c>
      <c r="HW14" s="11" t="str">
        <f t="shared" si="95"/>
        <v/>
      </c>
      <c r="HX14" s="11" t="str">
        <f t="shared" si="96"/>
        <v/>
      </c>
      <c r="HY14" s="11" t="str">
        <f t="shared" si="97"/>
        <v/>
      </c>
      <c r="HZ14" s="11" t="str">
        <f t="shared" si="98"/>
        <v/>
      </c>
      <c r="IA14" s="11" t="str">
        <f t="shared" si="99"/>
        <v/>
      </c>
      <c r="IB14" s="11" t="str">
        <f t="shared" si="100"/>
        <v/>
      </c>
      <c r="IC14" s="11" t="str">
        <f t="shared" si="101"/>
        <v/>
      </c>
      <c r="ID14" s="11" t="str">
        <f t="shared" si="102"/>
        <v/>
      </c>
      <c r="IE14" s="11" t="str">
        <f t="shared" si="103"/>
        <v/>
      </c>
      <c r="IF14" s="11" t="str">
        <f t="shared" si="104"/>
        <v/>
      </c>
      <c r="IG14" s="11" t="str">
        <f t="shared" si="105"/>
        <v/>
      </c>
      <c r="IH14" s="17"/>
      <c r="II14" s="17"/>
      <c r="IJ14" s="17"/>
      <c r="IK14" s="17"/>
      <c r="IL14" s="17"/>
      <c r="IM14" s="17"/>
      <c r="IN14" s="17"/>
      <c r="IO14" s="17"/>
      <c r="IP14" s="17"/>
      <c r="IQ14" s="17"/>
      <c r="IR14" s="17"/>
      <c r="IS14" s="17"/>
      <c r="IT14" s="17"/>
      <c r="IU14" s="17"/>
      <c r="IV14" s="17"/>
      <c r="IW14" s="17"/>
      <c r="IX14" s="17"/>
      <c r="IY14" s="17"/>
      <c r="IZ14" s="17"/>
      <c r="JA14" s="17"/>
      <c r="JB14" s="40" t="str">
        <f t="shared" si="106"/>
        <v/>
      </c>
      <c r="JC14" s="40" t="str">
        <f t="shared" si="107"/>
        <v/>
      </c>
      <c r="JD14" s="40" t="str">
        <f t="shared" si="108"/>
        <v/>
      </c>
      <c r="JE14" s="40" t="str">
        <f t="shared" si="109"/>
        <v/>
      </c>
      <c r="JF14" s="40" t="str">
        <f t="shared" si="110"/>
        <v/>
      </c>
      <c r="JG14" s="40" t="str">
        <f t="shared" si="111"/>
        <v/>
      </c>
      <c r="JH14" s="40" t="str">
        <f t="shared" si="112"/>
        <v/>
      </c>
      <c r="JI14" s="40" t="str">
        <f t="shared" si="113"/>
        <v/>
      </c>
      <c r="JJ14" s="40" t="str">
        <f t="shared" si="114"/>
        <v/>
      </c>
      <c r="JK14" s="40" t="str">
        <f t="shared" si="115"/>
        <v/>
      </c>
      <c r="JL14" s="40" t="str">
        <f t="shared" si="116"/>
        <v/>
      </c>
      <c r="JM14" s="40" t="str">
        <f t="shared" si="117"/>
        <v/>
      </c>
      <c r="JN14" s="40" t="str">
        <f t="shared" si="118"/>
        <v/>
      </c>
      <c r="JO14" s="40" t="str">
        <f t="shared" si="119"/>
        <v/>
      </c>
      <c r="JP14" s="18"/>
      <c r="JQ14" s="18"/>
      <c r="JR14" s="18"/>
      <c r="JS14" s="18"/>
      <c r="JT14" s="18"/>
      <c r="JU14" s="18"/>
      <c r="JV14" s="18"/>
      <c r="JW14" s="18"/>
      <c r="JX14" s="18"/>
      <c r="JY14" s="18"/>
      <c r="JZ14" s="18"/>
      <c r="KA14" s="18"/>
      <c r="KB14" s="18"/>
      <c r="KC14" s="18"/>
      <c r="KD14" s="18"/>
      <c r="KE14" s="18"/>
      <c r="KF14" s="18"/>
      <c r="KG14" s="18"/>
      <c r="KH14" s="18"/>
      <c r="KI14" s="18"/>
      <c r="KJ14" s="11" t="str">
        <f t="shared" si="120"/>
        <v/>
      </c>
      <c r="KK14" s="11" t="str">
        <f t="shared" si="121"/>
        <v/>
      </c>
      <c r="KL14" s="11" t="str">
        <f t="shared" si="122"/>
        <v/>
      </c>
      <c r="KM14" s="11" t="str">
        <f t="shared" si="123"/>
        <v/>
      </c>
      <c r="KN14" s="11" t="str">
        <f t="shared" si="124"/>
        <v/>
      </c>
      <c r="KO14" s="11" t="str">
        <f t="shared" si="125"/>
        <v/>
      </c>
      <c r="KP14" s="11" t="str">
        <f t="shared" si="126"/>
        <v/>
      </c>
      <c r="KQ14" s="11" t="str">
        <f t="shared" si="127"/>
        <v/>
      </c>
      <c r="KR14" s="11" t="str">
        <f t="shared" si="128"/>
        <v/>
      </c>
      <c r="KS14" s="11" t="str">
        <f t="shared" si="129"/>
        <v/>
      </c>
      <c r="KT14" s="11" t="str">
        <f t="shared" si="130"/>
        <v/>
      </c>
      <c r="KU14" s="11" t="str">
        <f t="shared" si="131"/>
        <v/>
      </c>
      <c r="KV14" s="11" t="str">
        <f t="shared" si="132"/>
        <v/>
      </c>
      <c r="KW14" s="11" t="str">
        <f t="shared" si="133"/>
        <v/>
      </c>
      <c r="KX14" s="17"/>
      <c r="KY14" s="17"/>
      <c r="KZ14" s="17"/>
      <c r="LA14" s="17"/>
      <c r="LB14" s="17"/>
      <c r="LC14" s="17"/>
      <c r="LD14" s="17"/>
      <c r="LE14" s="17"/>
      <c r="LF14" s="17"/>
      <c r="LG14" s="17"/>
      <c r="LH14" s="17"/>
      <c r="LI14" s="17"/>
      <c r="LJ14" s="17"/>
      <c r="LK14" s="17"/>
      <c r="LL14" s="17"/>
      <c r="LM14" s="17"/>
      <c r="LN14" s="17"/>
      <c r="LO14" s="17"/>
      <c r="LP14" s="17"/>
      <c r="LQ14" s="17"/>
      <c r="LR14" s="40" t="str">
        <f t="shared" si="134"/>
        <v/>
      </c>
      <c r="LS14" s="40" t="str">
        <f t="shared" si="135"/>
        <v/>
      </c>
      <c r="LT14" s="40" t="str">
        <f t="shared" si="136"/>
        <v/>
      </c>
      <c r="LU14" s="40" t="str">
        <f t="shared" si="137"/>
        <v/>
      </c>
      <c r="LV14" s="40" t="str">
        <f t="shared" si="138"/>
        <v/>
      </c>
      <c r="LW14" s="40" t="str">
        <f t="shared" si="139"/>
        <v/>
      </c>
      <c r="LX14" s="40" t="str">
        <f t="shared" si="140"/>
        <v/>
      </c>
      <c r="LY14" s="40" t="str">
        <f t="shared" si="141"/>
        <v/>
      </c>
      <c r="LZ14" s="40" t="str">
        <f t="shared" si="142"/>
        <v/>
      </c>
      <c r="MA14" s="40" t="str">
        <f t="shared" si="143"/>
        <v/>
      </c>
      <c r="MB14" s="40" t="str">
        <f t="shared" si="144"/>
        <v/>
      </c>
      <c r="MC14" s="40" t="str">
        <f t="shared" si="145"/>
        <v/>
      </c>
      <c r="MD14" s="40" t="str">
        <f t="shared" si="146"/>
        <v/>
      </c>
      <c r="ME14" s="40" t="str">
        <f t="shared" si="147"/>
        <v/>
      </c>
      <c r="MF14" s="18"/>
      <c r="MG14" s="18"/>
      <c r="MH14" s="18"/>
      <c r="MI14" s="18"/>
      <c r="MJ14" s="18"/>
      <c r="MK14" s="18"/>
      <c r="ML14" s="18"/>
      <c r="MM14" s="18"/>
      <c r="MN14" s="18"/>
      <c r="MO14" s="18"/>
      <c r="MP14" s="18"/>
      <c r="MQ14" s="18"/>
      <c r="MR14" s="18"/>
      <c r="MS14" s="18"/>
      <c r="MT14" s="18"/>
      <c r="MU14" s="18"/>
      <c r="MV14" s="18"/>
      <c r="MW14" s="18"/>
      <c r="MX14" s="18"/>
      <c r="MY14" s="18"/>
      <c r="MZ14" s="11" t="str">
        <f t="shared" si="148"/>
        <v/>
      </c>
      <c r="NA14" s="11" t="str">
        <f t="shared" si="149"/>
        <v/>
      </c>
      <c r="NB14" s="11" t="str">
        <f t="shared" si="150"/>
        <v/>
      </c>
      <c r="NC14" s="11" t="str">
        <f t="shared" si="151"/>
        <v/>
      </c>
      <c r="ND14" s="11" t="str">
        <f t="shared" si="152"/>
        <v/>
      </c>
      <c r="NE14" s="11" t="str">
        <f t="shared" si="153"/>
        <v/>
      </c>
      <c r="NF14" s="11" t="str">
        <f t="shared" si="154"/>
        <v/>
      </c>
      <c r="NG14" s="11" t="str">
        <f t="shared" si="155"/>
        <v/>
      </c>
      <c r="NH14" s="11" t="str">
        <f t="shared" si="156"/>
        <v/>
      </c>
      <c r="NI14" s="11" t="str">
        <f t="shared" si="157"/>
        <v/>
      </c>
      <c r="NJ14" s="11" t="str">
        <f t="shared" si="158"/>
        <v/>
      </c>
      <c r="NK14" s="11" t="str">
        <f t="shared" si="159"/>
        <v/>
      </c>
      <c r="NL14" s="11" t="str">
        <f t="shared" si="160"/>
        <v/>
      </c>
      <c r="NM14" s="11" t="str">
        <f t="shared" si="161"/>
        <v/>
      </c>
      <c r="NN14" s="17"/>
      <c r="NO14" s="17"/>
      <c r="NP14" s="17"/>
      <c r="NQ14" s="17"/>
      <c r="NR14" s="17"/>
      <c r="NS14" s="17"/>
      <c r="NT14" s="17"/>
      <c r="NU14" s="17"/>
      <c r="NV14" s="17"/>
      <c r="NW14" s="17"/>
      <c r="NX14" s="17"/>
      <c r="NY14" s="17"/>
      <c r="NZ14" s="17"/>
      <c r="OA14" s="17"/>
      <c r="OB14" s="17"/>
      <c r="OC14" s="17"/>
      <c r="OD14" s="17"/>
      <c r="OE14" s="17"/>
      <c r="OF14" s="17"/>
      <c r="OG14" s="17"/>
      <c r="OH14" s="40" t="str">
        <f t="shared" si="162"/>
        <v/>
      </c>
      <c r="OI14" s="40" t="str">
        <f t="shared" si="163"/>
        <v/>
      </c>
      <c r="OJ14" s="40" t="str">
        <f t="shared" si="164"/>
        <v/>
      </c>
      <c r="OK14" s="40" t="str">
        <f t="shared" si="165"/>
        <v/>
      </c>
      <c r="OL14" s="40" t="str">
        <f t="shared" si="166"/>
        <v/>
      </c>
      <c r="OM14" s="40" t="str">
        <f t="shared" si="167"/>
        <v/>
      </c>
      <c r="ON14" s="40" t="str">
        <f t="shared" si="168"/>
        <v/>
      </c>
      <c r="OO14" s="40" t="str">
        <f t="shared" si="169"/>
        <v/>
      </c>
      <c r="OP14" s="40" t="str">
        <f t="shared" si="170"/>
        <v/>
      </c>
      <c r="OQ14" s="40" t="str">
        <f t="shared" si="171"/>
        <v/>
      </c>
      <c r="OR14" s="40" t="str">
        <f t="shared" si="172"/>
        <v/>
      </c>
      <c r="OS14" s="40" t="str">
        <f t="shared" si="173"/>
        <v/>
      </c>
      <c r="OT14" s="40" t="str">
        <f t="shared" si="174"/>
        <v/>
      </c>
      <c r="OU14" s="40" t="str">
        <f t="shared" si="175"/>
        <v/>
      </c>
      <c r="OV14" s="18"/>
      <c r="OW14" s="18"/>
      <c r="OX14" s="18"/>
      <c r="OY14" s="18"/>
      <c r="OZ14" s="18"/>
      <c r="PA14" s="18"/>
      <c r="PB14" s="18"/>
      <c r="PC14" s="18"/>
      <c r="PD14" s="18"/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1" t="str">
        <f t="shared" si="176"/>
        <v/>
      </c>
      <c r="PQ14" s="11" t="str">
        <f t="shared" si="177"/>
        <v/>
      </c>
      <c r="PR14" s="11" t="str">
        <f t="shared" si="178"/>
        <v/>
      </c>
      <c r="PS14" s="11" t="str">
        <f t="shared" si="179"/>
        <v/>
      </c>
      <c r="PT14" s="11" t="str">
        <f t="shared" si="180"/>
        <v/>
      </c>
      <c r="PU14" s="11" t="str">
        <f t="shared" si="181"/>
        <v/>
      </c>
      <c r="PV14" s="11" t="str">
        <f t="shared" si="182"/>
        <v/>
      </c>
      <c r="PW14" s="11" t="str">
        <f t="shared" si="183"/>
        <v/>
      </c>
      <c r="PX14" s="11" t="str">
        <f t="shared" si="184"/>
        <v/>
      </c>
      <c r="PY14" s="11" t="str">
        <f t="shared" si="185"/>
        <v/>
      </c>
      <c r="PZ14" s="11" t="str">
        <f t="shared" si="186"/>
        <v/>
      </c>
      <c r="QA14" s="11" t="str">
        <f t="shared" si="187"/>
        <v/>
      </c>
      <c r="QB14" s="11" t="str">
        <f t="shared" si="188"/>
        <v/>
      </c>
      <c r="QC14" s="11" t="str">
        <f t="shared" si="189"/>
        <v/>
      </c>
      <c r="QD14" s="17"/>
      <c r="QE14" s="17"/>
      <c r="QF14" s="17"/>
      <c r="QG14" s="17"/>
      <c r="QH14" s="17"/>
      <c r="QI14" s="17"/>
      <c r="QJ14" s="17"/>
      <c r="QK14" s="17"/>
      <c r="QL14" s="17"/>
      <c r="QM14" s="17"/>
      <c r="QN14" s="17"/>
      <c r="QO14" s="17"/>
      <c r="QP14" s="17"/>
      <c r="QQ14" s="17"/>
      <c r="QR14" s="17"/>
      <c r="QS14" s="17"/>
      <c r="QT14" s="17"/>
      <c r="QU14" s="17"/>
      <c r="QV14" s="17"/>
      <c r="QW14" s="17"/>
      <c r="QX14" s="40" t="str">
        <f t="shared" si="190"/>
        <v/>
      </c>
      <c r="QY14" s="40" t="str">
        <f t="shared" si="191"/>
        <v/>
      </c>
      <c r="QZ14" s="40" t="str">
        <f t="shared" si="192"/>
        <v/>
      </c>
      <c r="RA14" s="40" t="str">
        <f t="shared" si="193"/>
        <v/>
      </c>
      <c r="RB14" s="40" t="str">
        <f t="shared" si="194"/>
        <v/>
      </c>
      <c r="RC14" s="40" t="str">
        <f t="shared" si="195"/>
        <v/>
      </c>
      <c r="RD14" s="40" t="str">
        <f t="shared" si="196"/>
        <v/>
      </c>
      <c r="RE14" s="40" t="str">
        <f t="shared" si="197"/>
        <v/>
      </c>
      <c r="RF14" s="40" t="str">
        <f t="shared" si="198"/>
        <v/>
      </c>
      <c r="RG14" s="40" t="str">
        <f t="shared" si="199"/>
        <v/>
      </c>
      <c r="RH14" s="40" t="str">
        <f t="shared" si="200"/>
        <v/>
      </c>
      <c r="RI14" s="40" t="str">
        <f t="shared" si="201"/>
        <v/>
      </c>
      <c r="RJ14" s="40" t="str">
        <f t="shared" si="202"/>
        <v/>
      </c>
      <c r="RK14" s="40" t="str">
        <f t="shared" si="203"/>
        <v/>
      </c>
      <c r="RL14" s="18"/>
      <c r="RM14" s="18"/>
      <c r="RN14" s="18"/>
      <c r="RO14" s="18"/>
      <c r="RP14" s="18"/>
      <c r="RQ14" s="18"/>
      <c r="RR14" s="18"/>
      <c r="RS14" s="18"/>
      <c r="RT14" s="18"/>
      <c r="RU14" s="18"/>
      <c r="RV14" s="18"/>
      <c r="RW14" s="18"/>
      <c r="RX14" s="18"/>
      <c r="RY14" s="18"/>
      <c r="RZ14" s="18"/>
      <c r="SA14" s="18"/>
      <c r="SB14" s="18"/>
      <c r="SC14" s="18"/>
      <c r="SD14" s="18"/>
      <c r="SE14" s="18"/>
      <c r="SF14" s="11" t="str">
        <f t="shared" si="204"/>
        <v/>
      </c>
      <c r="SG14" s="11" t="str">
        <f t="shared" si="205"/>
        <v/>
      </c>
      <c r="SH14" s="11" t="str">
        <f t="shared" si="206"/>
        <v/>
      </c>
      <c r="SI14" s="11" t="str">
        <f t="shared" si="207"/>
        <v/>
      </c>
      <c r="SJ14" s="11" t="str">
        <f t="shared" si="208"/>
        <v/>
      </c>
      <c r="SK14" s="11" t="str">
        <f t="shared" si="209"/>
        <v/>
      </c>
      <c r="SL14" s="11" t="str">
        <f t="shared" si="210"/>
        <v/>
      </c>
      <c r="SM14" s="11" t="str">
        <f t="shared" si="211"/>
        <v/>
      </c>
      <c r="SN14" s="11" t="str">
        <f t="shared" si="212"/>
        <v/>
      </c>
      <c r="SO14" s="11" t="str">
        <f t="shared" si="213"/>
        <v/>
      </c>
      <c r="SP14" s="11" t="str">
        <f t="shared" si="214"/>
        <v/>
      </c>
      <c r="SQ14" s="11" t="str">
        <f t="shared" si="215"/>
        <v/>
      </c>
      <c r="SR14" s="11" t="str">
        <f t="shared" si="216"/>
        <v/>
      </c>
      <c r="SS14" s="11" t="str">
        <f t="shared" si="217"/>
        <v/>
      </c>
      <c r="ST14" s="22">
        <f t="shared" si="218"/>
        <v>6.6</v>
      </c>
      <c r="SU14" s="22">
        <f t="shared" si="219"/>
        <v>4.6500000000000004</v>
      </c>
      <c r="SV14" s="22">
        <f t="shared" si="220"/>
        <v>4.05</v>
      </c>
      <c r="SW14" s="22">
        <f t="shared" si="221"/>
        <v>7.5949999999999998</v>
      </c>
      <c r="SX14" s="22">
        <f t="shared" si="222"/>
        <v>0.5</v>
      </c>
      <c r="SY14" s="22">
        <f t="shared" si="223"/>
        <v>7.95</v>
      </c>
      <c r="SZ14" s="22">
        <f t="shared" si="224"/>
        <v>4.7</v>
      </c>
      <c r="TA14" s="22">
        <f t="shared" si="225"/>
        <v>5.3</v>
      </c>
      <c r="TB14" s="22">
        <f t="shared" si="226"/>
        <v>7.4349999999999996</v>
      </c>
      <c r="TC14" s="22">
        <f t="shared" si="227"/>
        <v>0</v>
      </c>
      <c r="TD14" s="22">
        <f t="shared" si="228"/>
        <v>8.1</v>
      </c>
      <c r="TE14" s="22">
        <f t="shared" si="229"/>
        <v>4.7</v>
      </c>
      <c r="TF14" s="22">
        <f t="shared" si="230"/>
        <v>5.3</v>
      </c>
      <c r="TG14" s="22">
        <f t="shared" si="231"/>
        <v>7.4749999999999996</v>
      </c>
      <c r="TH14" s="22">
        <f t="shared" si="232"/>
        <v>0</v>
      </c>
      <c r="TI14" s="27" t="s">
        <v>46</v>
      </c>
      <c r="TJ14" s="40">
        <f t="shared" si="233"/>
        <v>4.05</v>
      </c>
      <c r="TK14" s="40">
        <f t="shared" si="234"/>
        <v>7.5949999999999998</v>
      </c>
      <c r="TL14" s="40">
        <f t="shared" si="235"/>
        <v>22.395</v>
      </c>
      <c r="TM14" s="40">
        <f t="shared" si="236"/>
        <v>5.3</v>
      </c>
      <c r="TN14" s="40">
        <f t="shared" si="237"/>
        <v>7.4349999999999996</v>
      </c>
      <c r="TO14" s="40">
        <f t="shared" si="238"/>
        <v>25.384999999999998</v>
      </c>
      <c r="TP14" s="40">
        <f t="shared" si="239"/>
        <v>25.384999999999998</v>
      </c>
      <c r="TQ14" s="40">
        <f t="shared" si="240"/>
        <v>5.3</v>
      </c>
      <c r="TR14" s="40">
        <f t="shared" si="241"/>
        <v>7.4749999999999996</v>
      </c>
      <c r="TS14" s="40">
        <f t="shared" si="242"/>
        <v>25.575000000000003</v>
      </c>
      <c r="TT14" s="40">
        <f t="shared" si="243"/>
        <v>50.96</v>
      </c>
    </row>
    <row r="15" spans="1:540" x14ac:dyDescent="0.2">
      <c r="A15" s="4" t="str" cm="1">
        <f t="array" ref="A15">IF(AND(F15&lt;&gt;"",G15&lt;&gt;""),SUMPRODUCT((F$4:F$35&lt;&gt;"")*(G$4:G$35&lt;&gt;"")*(E$4:E$35&gt;E15))+1,IF(G15&lt;&gt;"",SUMPRODUCT((H$4:H$35="No DD")*(E$4:E$35&gt;E15))+1+SUMPRODUCT((F$4:F$35&lt;&gt;"")*(G$4:G$35&lt;&gt;"")),""))</f>
        <v/>
      </c>
      <c r="B15" s="5" t="s">
        <v>143</v>
      </c>
      <c r="C15" s="4" t="s">
        <v>3</v>
      </c>
      <c r="D15" s="4">
        <v>2004</v>
      </c>
      <c r="E15" s="9">
        <f t="shared" si="0"/>
        <v>161.29001612900493</v>
      </c>
      <c r="F15" s="3" t="str">
        <f t="shared" si="1"/>
        <v/>
      </c>
      <c r="G15" s="3" t="str">
        <f t="shared" si="2"/>
        <v/>
      </c>
      <c r="H15" s="36" t="str">
        <f t="shared" si="3"/>
        <v/>
      </c>
      <c r="I15" s="3" t="str">
        <f t="shared" si="4"/>
        <v/>
      </c>
      <c r="J15" s="8">
        <f>IF(COUNT(AO15,AR15,BP15,BS15,CQ15,CT15)&gt;0,LARGE((AO15,AR15,BP15,BS15,CQ15,CT15),1),0)</f>
        <v>49.500000000000007</v>
      </c>
      <c r="K15" s="8" t="str">
        <f t="shared" si="5"/>
        <v>2022 Nationals</v>
      </c>
      <c r="L15" s="8">
        <f>IF(COUNT(AO15,AR15,BP15,BS15,CQ15,CT15)&gt;1,LARGE((AO15,AR15,BP15,BS15,CQ15,CT15),2),0)</f>
        <v>48.94</v>
      </c>
      <c r="M15" s="8" t="str">
        <f t="shared" si="6"/>
        <v>2023 Elite Canada</v>
      </c>
      <c r="N15" s="8">
        <f>IF(COUNT(AO15,AR15,BP15,BS15,CQ15,CT15)&gt;2,MAX(AV15,BW15,CX15,LARGE((AO15,AR15,BP15,BS15,CQ15,CT15),3)),IF(MAX(AV15,BW15,CX15)&gt;0,MAX(AV15,BW15,CX15),0))</f>
        <v>50.45</v>
      </c>
      <c r="O15" s="8" t="str">
        <f t="shared" si="7"/>
        <v>2023 Elite Canada</v>
      </c>
      <c r="P15" s="8">
        <f t="shared" si="8"/>
        <v>12.4</v>
      </c>
      <c r="Q15" s="8" t="str">
        <f t="shared" si="9"/>
        <v>2023 Elite Canada</v>
      </c>
      <c r="R15" s="8">
        <f t="shared" si="10"/>
        <v>0</v>
      </c>
      <c r="S15" s="8" t="str">
        <f t="shared" si="11"/>
        <v/>
      </c>
      <c r="T15" s="8" t="str">
        <f t="shared" si="12"/>
        <v/>
      </c>
      <c r="U15" s="11" t="str">
        <f t="shared" si="13"/>
        <v/>
      </c>
      <c r="V15" s="8" t="str">
        <f t="shared" si="14"/>
        <v/>
      </c>
      <c r="W15" s="22">
        <v>14.3</v>
      </c>
      <c r="X15" s="22">
        <v>9.4</v>
      </c>
      <c r="Y15" s="22">
        <v>11.2</v>
      </c>
      <c r="Z15" s="22">
        <v>14.6</v>
      </c>
      <c r="AA15" s="22">
        <v>0</v>
      </c>
      <c r="AB15" s="22"/>
      <c r="AC15" s="22"/>
      <c r="AD15" s="22"/>
      <c r="AE15" s="22"/>
      <c r="AF15" s="22"/>
      <c r="AG15" s="22">
        <v>15.1</v>
      </c>
      <c r="AH15" s="22">
        <v>9.1</v>
      </c>
      <c r="AI15" s="22">
        <v>11.2</v>
      </c>
      <c r="AJ15" s="22">
        <v>14.88</v>
      </c>
      <c r="AK15" s="22">
        <v>0</v>
      </c>
      <c r="AL15" s="27"/>
      <c r="AM15" s="38">
        <f t="shared" si="15"/>
        <v>11.2</v>
      </c>
      <c r="AN15" s="38">
        <f t="shared" si="16"/>
        <v>14.6</v>
      </c>
      <c r="AO15" s="40">
        <f t="shared" si="17"/>
        <v>49.500000000000007</v>
      </c>
      <c r="AP15" s="40" t="str">
        <f t="shared" si="18"/>
        <v/>
      </c>
      <c r="AQ15" s="40" t="str">
        <f t="shared" si="19"/>
        <v/>
      </c>
      <c r="AR15" s="40" t="str">
        <f t="shared" si="20"/>
        <v/>
      </c>
      <c r="AS15" s="40">
        <f t="shared" si="21"/>
        <v>49.500000000000007</v>
      </c>
      <c r="AT15" s="40">
        <f t="shared" si="22"/>
        <v>11.2</v>
      </c>
      <c r="AU15" s="40">
        <f t="shared" si="23"/>
        <v>14.88</v>
      </c>
      <c r="AV15" s="40">
        <f t="shared" si="24"/>
        <v>50.28</v>
      </c>
      <c r="AW15" s="40">
        <f t="shared" si="25"/>
        <v>99.78</v>
      </c>
      <c r="AX15" s="26"/>
      <c r="AY15" s="26"/>
      <c r="AZ15" s="26"/>
      <c r="BA15" s="26"/>
      <c r="BB15" s="26"/>
      <c r="BC15" s="26"/>
      <c r="BD15" s="26"/>
      <c r="BE15" s="26"/>
      <c r="BF15" s="26"/>
      <c r="BG15" s="26"/>
      <c r="BH15" s="26"/>
      <c r="BI15" s="26"/>
      <c r="BJ15" s="26"/>
      <c r="BK15" s="26"/>
      <c r="BL15" s="26"/>
      <c r="BM15" s="28"/>
      <c r="BN15" s="39" t="str">
        <f t="shared" si="26"/>
        <v/>
      </c>
      <c r="BO15" s="39" t="str">
        <f t="shared" si="27"/>
        <v/>
      </c>
      <c r="BP15" s="11" t="str">
        <f t="shared" si="28"/>
        <v/>
      </c>
      <c r="BQ15" s="11" t="str">
        <f t="shared" si="29"/>
        <v/>
      </c>
      <c r="BR15" s="11" t="str">
        <f t="shared" si="30"/>
        <v/>
      </c>
      <c r="BS15" s="11" t="str">
        <f t="shared" si="31"/>
        <v/>
      </c>
      <c r="BT15" s="11" t="str">
        <f t="shared" si="32"/>
        <v/>
      </c>
      <c r="BU15" s="11" t="str">
        <f t="shared" si="33"/>
        <v/>
      </c>
      <c r="BV15" s="11" t="str">
        <f t="shared" si="34"/>
        <v/>
      </c>
      <c r="BW15" s="11" t="str">
        <f t="shared" si="35"/>
        <v/>
      </c>
      <c r="BX15" s="11" t="str">
        <f t="shared" si="36"/>
        <v/>
      </c>
      <c r="BY15" s="22">
        <v>12.3</v>
      </c>
      <c r="BZ15" s="22">
        <v>9</v>
      </c>
      <c r="CA15" s="22">
        <v>11</v>
      </c>
      <c r="CB15" s="22">
        <v>14.7</v>
      </c>
      <c r="CC15" s="22">
        <v>0</v>
      </c>
      <c r="CD15" s="22">
        <v>13.5</v>
      </c>
      <c r="CE15" s="22">
        <v>9.3000000000000007</v>
      </c>
      <c r="CF15" s="22">
        <v>11</v>
      </c>
      <c r="CG15" s="22">
        <v>15.14</v>
      </c>
      <c r="CH15" s="22">
        <v>0</v>
      </c>
      <c r="CI15" s="22">
        <v>13.9</v>
      </c>
      <c r="CJ15" s="22">
        <v>9.4</v>
      </c>
      <c r="CK15" s="22">
        <v>12.4</v>
      </c>
      <c r="CL15" s="22">
        <v>14.75</v>
      </c>
      <c r="CM15" s="22">
        <v>0</v>
      </c>
      <c r="CN15" s="27"/>
      <c r="CO15" s="38">
        <f t="shared" si="37"/>
        <v>11</v>
      </c>
      <c r="CP15" s="38">
        <f t="shared" si="38"/>
        <v>14.7</v>
      </c>
      <c r="CQ15" s="40">
        <f t="shared" si="39"/>
        <v>47</v>
      </c>
      <c r="CR15" s="40">
        <f t="shared" si="40"/>
        <v>11</v>
      </c>
      <c r="CS15" s="40">
        <f t="shared" si="41"/>
        <v>15.14</v>
      </c>
      <c r="CT15" s="40">
        <f t="shared" si="42"/>
        <v>48.94</v>
      </c>
      <c r="CU15" s="40">
        <f t="shared" si="43"/>
        <v>48.94</v>
      </c>
      <c r="CV15" s="40">
        <f t="shared" si="44"/>
        <v>12.4</v>
      </c>
      <c r="CW15" s="40">
        <f t="shared" si="45"/>
        <v>14.75</v>
      </c>
      <c r="CX15" s="40">
        <f t="shared" si="46"/>
        <v>50.45</v>
      </c>
      <c r="CY15" s="40">
        <f t="shared" si="47"/>
        <v>99.39</v>
      </c>
      <c r="CZ15" s="50" t="str">
        <f t="shared" si="48"/>
        <v/>
      </c>
      <c r="DA15" s="50" t="str">
        <f t="shared" si="49"/>
        <v/>
      </c>
      <c r="DB15" s="17"/>
      <c r="DC15" s="17"/>
      <c r="DD15" s="17"/>
      <c r="DE15" s="17"/>
      <c r="DF15" s="17"/>
      <c r="DG15" s="17"/>
      <c r="DH15" s="17"/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40" t="str">
        <f t="shared" si="50"/>
        <v/>
      </c>
      <c r="DW15" s="40" t="str">
        <f t="shared" si="51"/>
        <v/>
      </c>
      <c r="DX15" s="40" t="str">
        <f t="shared" si="52"/>
        <v/>
      </c>
      <c r="DY15" s="40" t="str">
        <f t="shared" si="53"/>
        <v/>
      </c>
      <c r="DZ15" s="40" t="str">
        <f t="shared" si="54"/>
        <v/>
      </c>
      <c r="EA15" s="40" t="str">
        <f t="shared" si="55"/>
        <v/>
      </c>
      <c r="EB15" s="40" t="str">
        <f t="shared" si="56"/>
        <v/>
      </c>
      <c r="EC15" s="40" t="str">
        <f t="shared" si="57"/>
        <v/>
      </c>
      <c r="ED15" s="40" t="str">
        <f t="shared" si="58"/>
        <v/>
      </c>
      <c r="EE15" s="40" t="str">
        <f t="shared" si="59"/>
        <v/>
      </c>
      <c r="EF15" s="40" t="str">
        <f t="shared" si="60"/>
        <v/>
      </c>
      <c r="EG15" s="40" t="str">
        <f t="shared" si="61"/>
        <v/>
      </c>
      <c r="EH15" s="40" t="str">
        <f t="shared" si="62"/>
        <v/>
      </c>
      <c r="EI15" s="40" t="str">
        <f t="shared" si="63"/>
        <v/>
      </c>
      <c r="EJ15" s="18"/>
      <c r="EK15" s="18"/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8"/>
      <c r="EY15" s="18"/>
      <c r="EZ15" s="18"/>
      <c r="FA15" s="18"/>
      <c r="FB15" s="18"/>
      <c r="FC15" s="18"/>
      <c r="FD15" s="11" t="str">
        <f t="shared" si="64"/>
        <v/>
      </c>
      <c r="FE15" s="11" t="str">
        <f t="shared" si="65"/>
        <v/>
      </c>
      <c r="FF15" s="11" t="str">
        <f t="shared" si="66"/>
        <v/>
      </c>
      <c r="FG15" s="11" t="str">
        <f t="shared" si="67"/>
        <v/>
      </c>
      <c r="FH15" s="11" t="str">
        <f t="shared" si="68"/>
        <v/>
      </c>
      <c r="FI15" s="11" t="str">
        <f t="shared" si="69"/>
        <v/>
      </c>
      <c r="FJ15" s="11" t="str">
        <f t="shared" si="70"/>
        <v/>
      </c>
      <c r="FK15" s="11" t="str">
        <f t="shared" si="71"/>
        <v/>
      </c>
      <c r="FL15" s="11" t="str">
        <f t="shared" si="72"/>
        <v/>
      </c>
      <c r="FM15" s="11" t="str">
        <f t="shared" si="73"/>
        <v/>
      </c>
      <c r="FN15" s="11" t="str">
        <f t="shared" si="74"/>
        <v/>
      </c>
      <c r="FO15" s="11" t="str">
        <f t="shared" si="75"/>
        <v/>
      </c>
      <c r="FP15" s="11" t="str">
        <f t="shared" si="76"/>
        <v/>
      </c>
      <c r="FQ15" s="11" t="str">
        <f t="shared" si="77"/>
        <v/>
      </c>
      <c r="FR15" s="17"/>
      <c r="FS15" s="17"/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17"/>
      <c r="GF15" s="17"/>
      <c r="GG15" s="17"/>
      <c r="GH15" s="17"/>
      <c r="GI15" s="17"/>
      <c r="GJ15" s="17"/>
      <c r="GK15" s="17"/>
      <c r="GL15" s="40" t="str">
        <f t="shared" si="78"/>
        <v/>
      </c>
      <c r="GM15" s="40" t="str">
        <f t="shared" si="79"/>
        <v/>
      </c>
      <c r="GN15" s="40" t="str">
        <f t="shared" si="80"/>
        <v/>
      </c>
      <c r="GO15" s="40" t="str">
        <f t="shared" si="81"/>
        <v/>
      </c>
      <c r="GP15" s="40" t="str">
        <f t="shared" si="82"/>
        <v/>
      </c>
      <c r="GQ15" s="40" t="str">
        <f t="shared" si="83"/>
        <v/>
      </c>
      <c r="GR15" s="40" t="str">
        <f t="shared" si="84"/>
        <v/>
      </c>
      <c r="GS15" s="40" t="str">
        <f t="shared" si="85"/>
        <v/>
      </c>
      <c r="GT15" s="40" t="str">
        <f t="shared" si="86"/>
        <v/>
      </c>
      <c r="GU15" s="40" t="str">
        <f t="shared" si="87"/>
        <v/>
      </c>
      <c r="GV15" s="40" t="str">
        <f t="shared" si="88"/>
        <v/>
      </c>
      <c r="GW15" s="40" t="str">
        <f t="shared" si="89"/>
        <v/>
      </c>
      <c r="GX15" s="40" t="str">
        <f t="shared" si="90"/>
        <v/>
      </c>
      <c r="GY15" s="40" t="str">
        <f t="shared" si="91"/>
        <v/>
      </c>
      <c r="GZ15" s="18"/>
      <c r="HA15" s="18"/>
      <c r="HB15" s="18"/>
      <c r="HC15" s="18"/>
      <c r="HD15" s="18"/>
      <c r="HE15" s="18"/>
      <c r="HF15" s="18"/>
      <c r="HG15" s="18"/>
      <c r="HH15" s="18"/>
      <c r="HI15" s="18"/>
      <c r="HJ15" s="18"/>
      <c r="HK15" s="18"/>
      <c r="HL15" s="18"/>
      <c r="HM15" s="18"/>
      <c r="HN15" s="18"/>
      <c r="HO15" s="18"/>
      <c r="HP15" s="18"/>
      <c r="HQ15" s="18"/>
      <c r="HR15" s="18"/>
      <c r="HS15" s="18"/>
      <c r="HT15" s="11" t="str">
        <f t="shared" si="92"/>
        <v/>
      </c>
      <c r="HU15" s="11" t="str">
        <f t="shared" si="93"/>
        <v/>
      </c>
      <c r="HV15" s="11" t="str">
        <f t="shared" si="94"/>
        <v/>
      </c>
      <c r="HW15" s="11" t="str">
        <f t="shared" si="95"/>
        <v/>
      </c>
      <c r="HX15" s="11" t="str">
        <f t="shared" si="96"/>
        <v/>
      </c>
      <c r="HY15" s="11" t="str">
        <f t="shared" si="97"/>
        <v/>
      </c>
      <c r="HZ15" s="11" t="str">
        <f t="shared" si="98"/>
        <v/>
      </c>
      <c r="IA15" s="11" t="str">
        <f t="shared" si="99"/>
        <v/>
      </c>
      <c r="IB15" s="11" t="str">
        <f t="shared" si="100"/>
        <v/>
      </c>
      <c r="IC15" s="11" t="str">
        <f t="shared" si="101"/>
        <v/>
      </c>
      <c r="ID15" s="11" t="str">
        <f t="shared" si="102"/>
        <v/>
      </c>
      <c r="IE15" s="11" t="str">
        <f t="shared" si="103"/>
        <v/>
      </c>
      <c r="IF15" s="11" t="str">
        <f t="shared" si="104"/>
        <v/>
      </c>
      <c r="IG15" s="11" t="str">
        <f t="shared" si="105"/>
        <v/>
      </c>
      <c r="IH15" s="17"/>
      <c r="II15" s="17"/>
      <c r="IJ15" s="17"/>
      <c r="IK15" s="17"/>
      <c r="IL15" s="17"/>
      <c r="IM15" s="17"/>
      <c r="IN15" s="17"/>
      <c r="IO15" s="17"/>
      <c r="IP15" s="17"/>
      <c r="IQ15" s="17"/>
      <c r="IR15" s="17"/>
      <c r="IS15" s="17"/>
      <c r="IT15" s="17"/>
      <c r="IU15" s="17"/>
      <c r="IV15" s="17"/>
      <c r="IW15" s="17"/>
      <c r="IX15" s="17"/>
      <c r="IY15" s="17"/>
      <c r="IZ15" s="17"/>
      <c r="JA15" s="17"/>
      <c r="JB15" s="40" t="str">
        <f t="shared" si="106"/>
        <v/>
      </c>
      <c r="JC15" s="40" t="str">
        <f t="shared" si="107"/>
        <v/>
      </c>
      <c r="JD15" s="40" t="str">
        <f t="shared" si="108"/>
        <v/>
      </c>
      <c r="JE15" s="40" t="str">
        <f t="shared" si="109"/>
        <v/>
      </c>
      <c r="JF15" s="40" t="str">
        <f t="shared" si="110"/>
        <v/>
      </c>
      <c r="JG15" s="40" t="str">
        <f t="shared" si="111"/>
        <v/>
      </c>
      <c r="JH15" s="40" t="str">
        <f t="shared" si="112"/>
        <v/>
      </c>
      <c r="JI15" s="40" t="str">
        <f t="shared" si="113"/>
        <v/>
      </c>
      <c r="JJ15" s="40" t="str">
        <f t="shared" si="114"/>
        <v/>
      </c>
      <c r="JK15" s="40" t="str">
        <f t="shared" si="115"/>
        <v/>
      </c>
      <c r="JL15" s="40" t="str">
        <f t="shared" si="116"/>
        <v/>
      </c>
      <c r="JM15" s="40" t="str">
        <f t="shared" si="117"/>
        <v/>
      </c>
      <c r="JN15" s="40" t="str">
        <f t="shared" si="118"/>
        <v/>
      </c>
      <c r="JO15" s="40" t="str">
        <f t="shared" si="119"/>
        <v/>
      </c>
      <c r="JP15" s="18"/>
      <c r="JQ15" s="18"/>
      <c r="JR15" s="18"/>
      <c r="JS15" s="18"/>
      <c r="JT15" s="18"/>
      <c r="JU15" s="18"/>
      <c r="JV15" s="18"/>
      <c r="JW15" s="18"/>
      <c r="JX15" s="18"/>
      <c r="JY15" s="18"/>
      <c r="JZ15" s="18"/>
      <c r="KA15" s="18"/>
      <c r="KB15" s="18"/>
      <c r="KC15" s="18"/>
      <c r="KD15" s="18"/>
      <c r="KE15" s="18"/>
      <c r="KF15" s="18"/>
      <c r="KG15" s="18"/>
      <c r="KH15" s="18"/>
      <c r="KI15" s="18"/>
      <c r="KJ15" s="11" t="str">
        <f t="shared" si="120"/>
        <v/>
      </c>
      <c r="KK15" s="11" t="str">
        <f t="shared" si="121"/>
        <v/>
      </c>
      <c r="KL15" s="11" t="str">
        <f t="shared" si="122"/>
        <v/>
      </c>
      <c r="KM15" s="11" t="str">
        <f t="shared" si="123"/>
        <v/>
      </c>
      <c r="KN15" s="11" t="str">
        <f t="shared" si="124"/>
        <v/>
      </c>
      <c r="KO15" s="11" t="str">
        <f t="shared" si="125"/>
        <v/>
      </c>
      <c r="KP15" s="11" t="str">
        <f t="shared" si="126"/>
        <v/>
      </c>
      <c r="KQ15" s="11" t="str">
        <f t="shared" si="127"/>
        <v/>
      </c>
      <c r="KR15" s="11" t="str">
        <f t="shared" si="128"/>
        <v/>
      </c>
      <c r="KS15" s="11" t="str">
        <f t="shared" si="129"/>
        <v/>
      </c>
      <c r="KT15" s="11" t="str">
        <f t="shared" si="130"/>
        <v/>
      </c>
      <c r="KU15" s="11" t="str">
        <f t="shared" si="131"/>
        <v/>
      </c>
      <c r="KV15" s="11" t="str">
        <f t="shared" si="132"/>
        <v/>
      </c>
      <c r="KW15" s="11" t="str">
        <f t="shared" si="133"/>
        <v/>
      </c>
      <c r="KX15" s="17"/>
      <c r="KY15" s="17"/>
      <c r="KZ15" s="17"/>
      <c r="LA15" s="17"/>
      <c r="LB15" s="17"/>
      <c r="LC15" s="17"/>
      <c r="LD15" s="17"/>
      <c r="LE15" s="17"/>
      <c r="LF15" s="17"/>
      <c r="LG15" s="17"/>
      <c r="LH15" s="17"/>
      <c r="LI15" s="17"/>
      <c r="LJ15" s="17"/>
      <c r="LK15" s="17"/>
      <c r="LL15" s="17"/>
      <c r="LM15" s="17"/>
      <c r="LN15" s="17"/>
      <c r="LO15" s="17"/>
      <c r="LP15" s="17"/>
      <c r="LQ15" s="17"/>
      <c r="LR15" s="40" t="str">
        <f t="shared" si="134"/>
        <v/>
      </c>
      <c r="LS15" s="40" t="str">
        <f t="shared" si="135"/>
        <v/>
      </c>
      <c r="LT15" s="40" t="str">
        <f t="shared" si="136"/>
        <v/>
      </c>
      <c r="LU15" s="40" t="str">
        <f t="shared" si="137"/>
        <v/>
      </c>
      <c r="LV15" s="40" t="str">
        <f t="shared" si="138"/>
        <v/>
      </c>
      <c r="LW15" s="40" t="str">
        <f t="shared" si="139"/>
        <v/>
      </c>
      <c r="LX15" s="40" t="str">
        <f t="shared" si="140"/>
        <v/>
      </c>
      <c r="LY15" s="40" t="str">
        <f t="shared" si="141"/>
        <v/>
      </c>
      <c r="LZ15" s="40" t="str">
        <f t="shared" si="142"/>
        <v/>
      </c>
      <c r="MA15" s="40" t="str">
        <f t="shared" si="143"/>
        <v/>
      </c>
      <c r="MB15" s="40" t="str">
        <f t="shared" si="144"/>
        <v/>
      </c>
      <c r="MC15" s="40" t="str">
        <f t="shared" si="145"/>
        <v/>
      </c>
      <c r="MD15" s="40" t="str">
        <f t="shared" si="146"/>
        <v/>
      </c>
      <c r="ME15" s="40" t="str">
        <f t="shared" si="147"/>
        <v/>
      </c>
      <c r="MF15" s="18"/>
      <c r="MG15" s="18"/>
      <c r="MH15" s="18"/>
      <c r="MI15" s="18"/>
      <c r="MJ15" s="18"/>
      <c r="MK15" s="18"/>
      <c r="ML15" s="18"/>
      <c r="MM15" s="18"/>
      <c r="MN15" s="18"/>
      <c r="MO15" s="18"/>
      <c r="MP15" s="18"/>
      <c r="MQ15" s="18"/>
      <c r="MR15" s="18"/>
      <c r="MS15" s="18"/>
      <c r="MT15" s="18"/>
      <c r="MU15" s="18"/>
      <c r="MV15" s="18"/>
      <c r="MW15" s="18"/>
      <c r="MX15" s="18"/>
      <c r="MY15" s="18"/>
      <c r="MZ15" s="11" t="str">
        <f t="shared" si="148"/>
        <v/>
      </c>
      <c r="NA15" s="11" t="str">
        <f t="shared" si="149"/>
        <v/>
      </c>
      <c r="NB15" s="11" t="str">
        <f t="shared" si="150"/>
        <v/>
      </c>
      <c r="NC15" s="11" t="str">
        <f t="shared" si="151"/>
        <v/>
      </c>
      <c r="ND15" s="11" t="str">
        <f t="shared" si="152"/>
        <v/>
      </c>
      <c r="NE15" s="11" t="str">
        <f t="shared" si="153"/>
        <v/>
      </c>
      <c r="NF15" s="11" t="str">
        <f t="shared" si="154"/>
        <v/>
      </c>
      <c r="NG15" s="11" t="str">
        <f t="shared" si="155"/>
        <v/>
      </c>
      <c r="NH15" s="11" t="str">
        <f t="shared" si="156"/>
        <v/>
      </c>
      <c r="NI15" s="11" t="str">
        <f t="shared" si="157"/>
        <v/>
      </c>
      <c r="NJ15" s="11" t="str">
        <f t="shared" si="158"/>
        <v/>
      </c>
      <c r="NK15" s="11" t="str">
        <f t="shared" si="159"/>
        <v/>
      </c>
      <c r="NL15" s="11" t="str">
        <f t="shared" si="160"/>
        <v/>
      </c>
      <c r="NM15" s="11" t="str">
        <f t="shared" si="161"/>
        <v/>
      </c>
      <c r="NN15" s="17"/>
      <c r="NO15" s="17"/>
      <c r="NP15" s="17"/>
      <c r="NQ15" s="17"/>
      <c r="NR15" s="17"/>
      <c r="NS15" s="17"/>
      <c r="NT15" s="17"/>
      <c r="NU15" s="17"/>
      <c r="NV15" s="17"/>
      <c r="NW15" s="17"/>
      <c r="NX15" s="17"/>
      <c r="NY15" s="17"/>
      <c r="NZ15" s="17"/>
      <c r="OA15" s="17"/>
      <c r="OB15" s="17"/>
      <c r="OC15" s="17"/>
      <c r="OD15" s="17"/>
      <c r="OE15" s="17"/>
      <c r="OF15" s="17"/>
      <c r="OG15" s="17"/>
      <c r="OH15" s="40" t="str">
        <f t="shared" si="162"/>
        <v/>
      </c>
      <c r="OI15" s="40" t="str">
        <f t="shared" si="163"/>
        <v/>
      </c>
      <c r="OJ15" s="40" t="str">
        <f t="shared" si="164"/>
        <v/>
      </c>
      <c r="OK15" s="40" t="str">
        <f t="shared" si="165"/>
        <v/>
      </c>
      <c r="OL15" s="40" t="str">
        <f t="shared" si="166"/>
        <v/>
      </c>
      <c r="OM15" s="40" t="str">
        <f t="shared" si="167"/>
        <v/>
      </c>
      <c r="ON15" s="40" t="str">
        <f t="shared" si="168"/>
        <v/>
      </c>
      <c r="OO15" s="40" t="str">
        <f t="shared" si="169"/>
        <v/>
      </c>
      <c r="OP15" s="40" t="str">
        <f t="shared" si="170"/>
        <v/>
      </c>
      <c r="OQ15" s="40" t="str">
        <f t="shared" si="171"/>
        <v/>
      </c>
      <c r="OR15" s="40" t="str">
        <f t="shared" si="172"/>
        <v/>
      </c>
      <c r="OS15" s="40" t="str">
        <f t="shared" si="173"/>
        <v/>
      </c>
      <c r="OT15" s="40" t="str">
        <f t="shared" si="174"/>
        <v/>
      </c>
      <c r="OU15" s="40" t="str">
        <f t="shared" si="175"/>
        <v/>
      </c>
      <c r="OV15" s="18"/>
      <c r="OW15" s="18"/>
      <c r="OX15" s="18"/>
      <c r="OY15" s="18"/>
      <c r="OZ15" s="18"/>
      <c r="PA15" s="18"/>
      <c r="PB15" s="18"/>
      <c r="PC15" s="18"/>
      <c r="PD15" s="18"/>
      <c r="PE15" s="18"/>
      <c r="PF15" s="18"/>
      <c r="PG15" s="18"/>
      <c r="PH15" s="18"/>
      <c r="PI15" s="18"/>
      <c r="PJ15" s="18"/>
      <c r="PK15" s="18"/>
      <c r="PL15" s="18"/>
      <c r="PM15" s="18"/>
      <c r="PN15" s="18"/>
      <c r="PO15" s="18"/>
      <c r="PP15" s="11" t="str">
        <f t="shared" si="176"/>
        <v/>
      </c>
      <c r="PQ15" s="11" t="str">
        <f t="shared" si="177"/>
        <v/>
      </c>
      <c r="PR15" s="11" t="str">
        <f t="shared" si="178"/>
        <v/>
      </c>
      <c r="PS15" s="11" t="str">
        <f t="shared" si="179"/>
        <v/>
      </c>
      <c r="PT15" s="11" t="str">
        <f t="shared" si="180"/>
        <v/>
      </c>
      <c r="PU15" s="11" t="str">
        <f t="shared" si="181"/>
        <v/>
      </c>
      <c r="PV15" s="11" t="str">
        <f t="shared" si="182"/>
        <v/>
      </c>
      <c r="PW15" s="11" t="str">
        <f t="shared" si="183"/>
        <v/>
      </c>
      <c r="PX15" s="11" t="str">
        <f t="shared" si="184"/>
        <v/>
      </c>
      <c r="PY15" s="11" t="str">
        <f t="shared" si="185"/>
        <v/>
      </c>
      <c r="PZ15" s="11" t="str">
        <f t="shared" si="186"/>
        <v/>
      </c>
      <c r="QA15" s="11" t="str">
        <f t="shared" si="187"/>
        <v/>
      </c>
      <c r="QB15" s="11" t="str">
        <f t="shared" si="188"/>
        <v/>
      </c>
      <c r="QC15" s="11" t="str">
        <f t="shared" si="189"/>
        <v/>
      </c>
      <c r="QD15" s="17"/>
      <c r="QE15" s="17"/>
      <c r="QF15" s="17"/>
      <c r="QG15" s="17"/>
      <c r="QH15" s="17"/>
      <c r="QI15" s="17"/>
      <c r="QJ15" s="17"/>
      <c r="QK15" s="17"/>
      <c r="QL15" s="17"/>
      <c r="QM15" s="17"/>
      <c r="QN15" s="17"/>
      <c r="QO15" s="17"/>
      <c r="QP15" s="17"/>
      <c r="QQ15" s="17"/>
      <c r="QR15" s="17"/>
      <c r="QS15" s="17"/>
      <c r="QT15" s="17"/>
      <c r="QU15" s="17"/>
      <c r="QV15" s="17"/>
      <c r="QW15" s="17"/>
      <c r="QX15" s="40" t="str">
        <f t="shared" si="190"/>
        <v/>
      </c>
      <c r="QY15" s="40" t="str">
        <f t="shared" si="191"/>
        <v/>
      </c>
      <c r="QZ15" s="40" t="str">
        <f t="shared" si="192"/>
        <v/>
      </c>
      <c r="RA15" s="40" t="str">
        <f t="shared" si="193"/>
        <v/>
      </c>
      <c r="RB15" s="40" t="str">
        <f t="shared" si="194"/>
        <v/>
      </c>
      <c r="RC15" s="40" t="str">
        <f t="shared" si="195"/>
        <v/>
      </c>
      <c r="RD15" s="40" t="str">
        <f t="shared" si="196"/>
        <v/>
      </c>
      <c r="RE15" s="40" t="str">
        <f t="shared" si="197"/>
        <v/>
      </c>
      <c r="RF15" s="40" t="str">
        <f t="shared" si="198"/>
        <v/>
      </c>
      <c r="RG15" s="40" t="str">
        <f t="shared" si="199"/>
        <v/>
      </c>
      <c r="RH15" s="40" t="str">
        <f t="shared" si="200"/>
        <v/>
      </c>
      <c r="RI15" s="40" t="str">
        <f t="shared" si="201"/>
        <v/>
      </c>
      <c r="RJ15" s="40" t="str">
        <f t="shared" si="202"/>
        <v/>
      </c>
      <c r="RK15" s="40" t="str">
        <f t="shared" si="203"/>
        <v/>
      </c>
      <c r="RL15" s="18"/>
      <c r="RM15" s="18"/>
      <c r="RN15" s="18"/>
      <c r="RO15" s="18"/>
      <c r="RP15" s="18"/>
      <c r="RQ15" s="18"/>
      <c r="RR15" s="18"/>
      <c r="RS15" s="18"/>
      <c r="RT15" s="18"/>
      <c r="RU15" s="18"/>
      <c r="RV15" s="18"/>
      <c r="RW15" s="18"/>
      <c r="RX15" s="18"/>
      <c r="RY15" s="18"/>
      <c r="RZ15" s="18"/>
      <c r="SA15" s="18"/>
      <c r="SB15" s="18"/>
      <c r="SC15" s="18"/>
      <c r="SD15" s="18"/>
      <c r="SE15" s="18"/>
      <c r="SF15" s="11" t="str">
        <f t="shared" si="204"/>
        <v/>
      </c>
      <c r="SG15" s="11" t="str">
        <f t="shared" si="205"/>
        <v/>
      </c>
      <c r="SH15" s="11" t="str">
        <f t="shared" si="206"/>
        <v/>
      </c>
      <c r="SI15" s="11" t="str">
        <f t="shared" si="207"/>
        <v/>
      </c>
      <c r="SJ15" s="11" t="str">
        <f t="shared" si="208"/>
        <v/>
      </c>
      <c r="SK15" s="11" t="str">
        <f t="shared" si="209"/>
        <v/>
      </c>
      <c r="SL15" s="11" t="str">
        <f t="shared" si="210"/>
        <v/>
      </c>
      <c r="SM15" s="11" t="str">
        <f t="shared" si="211"/>
        <v/>
      </c>
      <c r="SN15" s="11" t="str">
        <f t="shared" si="212"/>
        <v/>
      </c>
      <c r="SO15" s="11" t="str">
        <f t="shared" si="213"/>
        <v/>
      </c>
      <c r="SP15" s="11" t="str">
        <f t="shared" si="214"/>
        <v/>
      </c>
      <c r="SQ15" s="11" t="str">
        <f t="shared" si="215"/>
        <v/>
      </c>
      <c r="SR15" s="11" t="str">
        <f t="shared" si="216"/>
        <v/>
      </c>
      <c r="SS15" s="11" t="str">
        <f t="shared" si="217"/>
        <v/>
      </c>
      <c r="ST15" s="22">
        <f t="shared" si="218"/>
        <v>6.15</v>
      </c>
      <c r="SU15" s="22">
        <f t="shared" si="219"/>
        <v>4.5</v>
      </c>
      <c r="SV15" s="22">
        <f t="shared" si="220"/>
        <v>5.5</v>
      </c>
      <c r="SW15" s="22">
        <f t="shared" si="221"/>
        <v>7.35</v>
      </c>
      <c r="SX15" s="22">
        <f t="shared" si="222"/>
        <v>0</v>
      </c>
      <c r="SY15" s="22">
        <f t="shared" si="223"/>
        <v>6.75</v>
      </c>
      <c r="SZ15" s="22">
        <f t="shared" si="224"/>
        <v>4.6500000000000004</v>
      </c>
      <c r="TA15" s="22">
        <f t="shared" si="225"/>
        <v>5.5</v>
      </c>
      <c r="TB15" s="22">
        <f t="shared" si="226"/>
        <v>7.57</v>
      </c>
      <c r="TC15" s="22">
        <f t="shared" si="227"/>
        <v>0</v>
      </c>
      <c r="TD15" s="22">
        <f t="shared" si="228"/>
        <v>6.95</v>
      </c>
      <c r="TE15" s="22">
        <f t="shared" si="229"/>
        <v>4.7</v>
      </c>
      <c r="TF15" s="22">
        <f t="shared" si="230"/>
        <v>6.2</v>
      </c>
      <c r="TG15" s="22">
        <f t="shared" si="231"/>
        <v>7.375</v>
      </c>
      <c r="TH15" s="22">
        <f t="shared" si="232"/>
        <v>0</v>
      </c>
      <c r="TI15" s="27" t="s">
        <v>46</v>
      </c>
      <c r="TJ15" s="40">
        <f t="shared" si="233"/>
        <v>5.5</v>
      </c>
      <c r="TK15" s="40">
        <f t="shared" si="234"/>
        <v>7.35</v>
      </c>
      <c r="TL15" s="40">
        <f t="shared" si="235"/>
        <v>23.5</v>
      </c>
      <c r="TM15" s="40">
        <f t="shared" si="236"/>
        <v>5.5</v>
      </c>
      <c r="TN15" s="40">
        <f t="shared" si="237"/>
        <v>7.57</v>
      </c>
      <c r="TO15" s="40">
        <f t="shared" si="238"/>
        <v>24.47</v>
      </c>
      <c r="TP15" s="40">
        <f t="shared" si="239"/>
        <v>24.47</v>
      </c>
      <c r="TQ15" s="40">
        <f t="shared" si="240"/>
        <v>6.2</v>
      </c>
      <c r="TR15" s="40">
        <f t="shared" si="241"/>
        <v>7.375</v>
      </c>
      <c r="TS15" s="40">
        <f t="shared" si="242"/>
        <v>25.225000000000001</v>
      </c>
      <c r="TT15" s="40">
        <f t="shared" si="243"/>
        <v>49.695</v>
      </c>
    </row>
    <row r="16" spans="1:540" x14ac:dyDescent="0.2">
      <c r="A16" s="4" t="str" cm="1">
        <f t="array" ref="A16">IF(AND(F16&lt;&gt;"",G16&lt;&gt;""),SUMPRODUCT((F$4:F$35&lt;&gt;"")*(G$4:G$35&lt;&gt;"")*(E$4:E$35&gt;E16))+1,IF(G16&lt;&gt;"",SUMPRODUCT((H$4:H$35="No DD")*(E$4:E$35&gt;E16))+1+SUMPRODUCT((F$4:F$35&lt;&gt;"")*(G$4:G$35&lt;&gt;"")),""))</f>
        <v/>
      </c>
      <c r="B16" s="5" t="s">
        <v>205</v>
      </c>
      <c r="C16" s="4" t="s">
        <v>6</v>
      </c>
      <c r="D16" s="4">
        <v>2004</v>
      </c>
      <c r="E16" s="9">
        <f t="shared" si="0"/>
        <v>160.07001600700497</v>
      </c>
      <c r="F16" s="3" t="str">
        <f t="shared" si="1"/>
        <v/>
      </c>
      <c r="G16" s="3" t="str">
        <f t="shared" si="2"/>
        <v/>
      </c>
      <c r="H16" s="36" t="str">
        <f t="shared" si="3"/>
        <v/>
      </c>
      <c r="I16" s="3" t="str">
        <f t="shared" si="4"/>
        <v/>
      </c>
      <c r="J16" s="8">
        <f>IF(COUNT(AO16,AR16,BP16,BS16,CQ16,CT16)&gt;0,LARGE((AO16,AR16,BP16,BS16,CQ16,CT16),1),0)</f>
        <v>49.809999999999995</v>
      </c>
      <c r="K16" s="8" t="str">
        <f t="shared" si="5"/>
        <v>2023 Elite Canada</v>
      </c>
      <c r="L16" s="8">
        <f>IF(COUNT(AO16,AR16,BP16,BS16,CQ16,CT16)&gt;1,LARGE((AO16,AR16,BP16,BS16,CQ16,CT16),2),0)</f>
        <v>48.64</v>
      </c>
      <c r="M16" s="8" t="str">
        <f t="shared" si="6"/>
        <v>2023 Elite Canada</v>
      </c>
      <c r="N16" s="8">
        <f>IF(COUNT(AO16,AR16,BP16,BS16,CQ16,CT16)&gt;2,MAX(AV16,BW16,CX16,LARGE((AO16,AR16,BP16,BS16,CQ16,CT16),3)),IF(MAX(AV16,BW16,CX16)&gt;0,MAX(AV16,BW16,CX16),0))</f>
        <v>49.42</v>
      </c>
      <c r="O16" s="8" t="str">
        <f t="shared" si="7"/>
        <v>2023 Elite Canada</v>
      </c>
      <c r="P16" s="8">
        <f t="shared" si="8"/>
        <v>12.2</v>
      </c>
      <c r="Q16" s="8" t="str">
        <f t="shared" si="9"/>
        <v>2023 Elite Canada</v>
      </c>
      <c r="R16" s="8">
        <f t="shared" si="10"/>
        <v>0</v>
      </c>
      <c r="S16" s="8" t="str">
        <f t="shared" si="11"/>
        <v/>
      </c>
      <c r="T16" s="8" t="str">
        <f t="shared" si="12"/>
        <v/>
      </c>
      <c r="U16" s="11" t="str">
        <f t="shared" si="13"/>
        <v/>
      </c>
      <c r="V16" s="8" t="str">
        <f t="shared" si="14"/>
        <v/>
      </c>
      <c r="W16" s="22"/>
      <c r="X16" s="22"/>
      <c r="Y16" s="22"/>
      <c r="Z16" s="22"/>
      <c r="AA16" s="22"/>
      <c r="AB16" s="22"/>
      <c r="AC16" s="22"/>
      <c r="AD16" s="22"/>
      <c r="AE16" s="22"/>
      <c r="AF16" s="22"/>
      <c r="AG16" s="22"/>
      <c r="AH16" s="22"/>
      <c r="AI16" s="22"/>
      <c r="AJ16" s="22"/>
      <c r="AK16" s="22"/>
      <c r="AL16" s="27"/>
      <c r="AM16" s="38" t="str">
        <f t="shared" si="15"/>
        <v/>
      </c>
      <c r="AN16" s="38" t="str">
        <f t="shared" si="16"/>
        <v/>
      </c>
      <c r="AO16" s="40" t="str">
        <f t="shared" si="17"/>
        <v/>
      </c>
      <c r="AP16" s="40" t="str">
        <f t="shared" si="18"/>
        <v/>
      </c>
      <c r="AQ16" s="40" t="str">
        <f t="shared" si="19"/>
        <v/>
      </c>
      <c r="AR16" s="40" t="str">
        <f t="shared" si="20"/>
        <v/>
      </c>
      <c r="AS16" s="40" t="str">
        <f t="shared" si="21"/>
        <v/>
      </c>
      <c r="AT16" s="40" t="str">
        <f t="shared" si="22"/>
        <v/>
      </c>
      <c r="AU16" s="40" t="str">
        <f t="shared" si="23"/>
        <v/>
      </c>
      <c r="AV16" s="40" t="str">
        <f t="shared" si="24"/>
        <v/>
      </c>
      <c r="AW16" s="40" t="str">
        <f t="shared" si="25"/>
        <v/>
      </c>
      <c r="AX16" s="26"/>
      <c r="AY16" s="26"/>
      <c r="AZ16" s="26"/>
      <c r="BA16" s="26"/>
      <c r="BB16" s="26"/>
      <c r="BC16" s="26"/>
      <c r="BD16" s="26"/>
      <c r="BE16" s="26"/>
      <c r="BF16" s="26"/>
      <c r="BG16" s="26"/>
      <c r="BH16" s="26"/>
      <c r="BI16" s="26"/>
      <c r="BJ16" s="26"/>
      <c r="BK16" s="26"/>
      <c r="BL16" s="26"/>
      <c r="BM16" s="28"/>
      <c r="BN16" s="39" t="str">
        <f t="shared" si="26"/>
        <v/>
      </c>
      <c r="BO16" s="39" t="str">
        <f t="shared" si="27"/>
        <v/>
      </c>
      <c r="BP16" s="11" t="str">
        <f t="shared" si="28"/>
        <v/>
      </c>
      <c r="BQ16" s="11" t="str">
        <f t="shared" si="29"/>
        <v/>
      </c>
      <c r="BR16" s="11" t="str">
        <f t="shared" si="30"/>
        <v/>
      </c>
      <c r="BS16" s="11" t="str">
        <f t="shared" si="31"/>
        <v/>
      </c>
      <c r="BT16" s="11" t="str">
        <f t="shared" si="32"/>
        <v/>
      </c>
      <c r="BU16" s="11" t="str">
        <f t="shared" si="33"/>
        <v/>
      </c>
      <c r="BV16" s="11" t="str">
        <f t="shared" si="34"/>
        <v/>
      </c>
      <c r="BW16" s="11" t="str">
        <f t="shared" si="35"/>
        <v/>
      </c>
      <c r="BX16" s="11" t="str">
        <f t="shared" si="36"/>
        <v/>
      </c>
      <c r="BY16" s="22">
        <v>12.7</v>
      </c>
      <c r="BZ16" s="22">
        <v>9.6</v>
      </c>
      <c r="CA16" s="22">
        <v>10.7</v>
      </c>
      <c r="CB16" s="22">
        <v>15.64</v>
      </c>
      <c r="CC16" s="22">
        <v>0</v>
      </c>
      <c r="CD16" s="22">
        <v>13.8</v>
      </c>
      <c r="CE16" s="22">
        <v>9.6</v>
      </c>
      <c r="CF16" s="22">
        <v>11.2</v>
      </c>
      <c r="CG16" s="22">
        <v>15.21</v>
      </c>
      <c r="CH16" s="22">
        <v>0</v>
      </c>
      <c r="CI16" s="22">
        <v>12.8</v>
      </c>
      <c r="CJ16" s="22">
        <v>9.4</v>
      </c>
      <c r="CK16" s="22">
        <v>12.2</v>
      </c>
      <c r="CL16" s="22">
        <v>15.02</v>
      </c>
      <c r="CM16" s="22">
        <v>0</v>
      </c>
      <c r="CN16" s="27"/>
      <c r="CO16" s="38">
        <f t="shared" si="37"/>
        <v>10.7</v>
      </c>
      <c r="CP16" s="38">
        <f t="shared" si="38"/>
        <v>15.64</v>
      </c>
      <c r="CQ16" s="40">
        <f t="shared" si="39"/>
        <v>48.64</v>
      </c>
      <c r="CR16" s="40">
        <f t="shared" si="40"/>
        <v>11.2</v>
      </c>
      <c r="CS16" s="40">
        <f t="shared" si="41"/>
        <v>15.21</v>
      </c>
      <c r="CT16" s="40">
        <f t="shared" si="42"/>
        <v>49.809999999999995</v>
      </c>
      <c r="CU16" s="40">
        <f t="shared" si="43"/>
        <v>49.809999999999995</v>
      </c>
      <c r="CV16" s="40">
        <f t="shared" si="44"/>
        <v>12.2</v>
      </c>
      <c r="CW16" s="40">
        <f t="shared" si="45"/>
        <v>15.02</v>
      </c>
      <c r="CX16" s="40">
        <f t="shared" si="46"/>
        <v>49.42</v>
      </c>
      <c r="CY16" s="40">
        <f t="shared" si="47"/>
        <v>99.22999999999999</v>
      </c>
      <c r="CZ16" s="50" t="str">
        <f t="shared" si="48"/>
        <v/>
      </c>
      <c r="DA16" s="50" t="str">
        <f t="shared" si="49"/>
        <v/>
      </c>
      <c r="DB16" s="17"/>
      <c r="DC16" s="17"/>
      <c r="DD16" s="17"/>
      <c r="DE16" s="17"/>
      <c r="DF16" s="17"/>
      <c r="DG16" s="17"/>
      <c r="DH16" s="17"/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40" t="str">
        <f t="shared" si="50"/>
        <v/>
      </c>
      <c r="DW16" s="40" t="str">
        <f t="shared" si="51"/>
        <v/>
      </c>
      <c r="DX16" s="40" t="str">
        <f t="shared" si="52"/>
        <v/>
      </c>
      <c r="DY16" s="40" t="str">
        <f t="shared" si="53"/>
        <v/>
      </c>
      <c r="DZ16" s="40" t="str">
        <f t="shared" si="54"/>
        <v/>
      </c>
      <c r="EA16" s="40" t="str">
        <f t="shared" si="55"/>
        <v/>
      </c>
      <c r="EB16" s="40" t="str">
        <f t="shared" si="56"/>
        <v/>
      </c>
      <c r="EC16" s="40" t="str">
        <f t="shared" si="57"/>
        <v/>
      </c>
      <c r="ED16" s="40" t="str">
        <f t="shared" si="58"/>
        <v/>
      </c>
      <c r="EE16" s="40" t="str">
        <f t="shared" si="59"/>
        <v/>
      </c>
      <c r="EF16" s="40" t="str">
        <f t="shared" si="60"/>
        <v/>
      </c>
      <c r="EG16" s="40" t="str">
        <f t="shared" si="61"/>
        <v/>
      </c>
      <c r="EH16" s="40" t="str">
        <f t="shared" si="62"/>
        <v/>
      </c>
      <c r="EI16" s="40" t="str">
        <f t="shared" si="63"/>
        <v/>
      </c>
      <c r="EJ16" s="18"/>
      <c r="EK16" s="18"/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8"/>
      <c r="EY16" s="18"/>
      <c r="EZ16" s="18"/>
      <c r="FA16" s="18"/>
      <c r="FB16" s="18"/>
      <c r="FC16" s="18"/>
      <c r="FD16" s="11" t="str">
        <f t="shared" si="64"/>
        <v/>
      </c>
      <c r="FE16" s="11" t="str">
        <f t="shared" si="65"/>
        <v/>
      </c>
      <c r="FF16" s="11" t="str">
        <f t="shared" si="66"/>
        <v/>
      </c>
      <c r="FG16" s="11" t="str">
        <f t="shared" si="67"/>
        <v/>
      </c>
      <c r="FH16" s="11" t="str">
        <f t="shared" si="68"/>
        <v/>
      </c>
      <c r="FI16" s="11" t="str">
        <f t="shared" si="69"/>
        <v/>
      </c>
      <c r="FJ16" s="11" t="str">
        <f t="shared" si="70"/>
        <v/>
      </c>
      <c r="FK16" s="11" t="str">
        <f t="shared" si="71"/>
        <v/>
      </c>
      <c r="FL16" s="11" t="str">
        <f t="shared" si="72"/>
        <v/>
      </c>
      <c r="FM16" s="11" t="str">
        <f t="shared" si="73"/>
        <v/>
      </c>
      <c r="FN16" s="11" t="str">
        <f t="shared" si="74"/>
        <v/>
      </c>
      <c r="FO16" s="11" t="str">
        <f t="shared" si="75"/>
        <v/>
      </c>
      <c r="FP16" s="11" t="str">
        <f t="shared" si="76"/>
        <v/>
      </c>
      <c r="FQ16" s="11" t="str">
        <f t="shared" si="77"/>
        <v/>
      </c>
      <c r="FR16" s="17"/>
      <c r="FS16" s="17"/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17"/>
      <c r="GE16" s="17"/>
      <c r="GF16" s="17"/>
      <c r="GG16" s="17"/>
      <c r="GH16" s="17"/>
      <c r="GI16" s="17"/>
      <c r="GJ16" s="17"/>
      <c r="GK16" s="17"/>
      <c r="GL16" s="40" t="str">
        <f t="shared" si="78"/>
        <v/>
      </c>
      <c r="GM16" s="40" t="str">
        <f t="shared" si="79"/>
        <v/>
      </c>
      <c r="GN16" s="40" t="str">
        <f t="shared" si="80"/>
        <v/>
      </c>
      <c r="GO16" s="40" t="str">
        <f t="shared" si="81"/>
        <v/>
      </c>
      <c r="GP16" s="40" t="str">
        <f t="shared" si="82"/>
        <v/>
      </c>
      <c r="GQ16" s="40" t="str">
        <f t="shared" si="83"/>
        <v/>
      </c>
      <c r="GR16" s="40" t="str">
        <f t="shared" si="84"/>
        <v/>
      </c>
      <c r="GS16" s="40" t="str">
        <f t="shared" si="85"/>
        <v/>
      </c>
      <c r="GT16" s="40" t="str">
        <f t="shared" si="86"/>
        <v/>
      </c>
      <c r="GU16" s="40" t="str">
        <f t="shared" si="87"/>
        <v/>
      </c>
      <c r="GV16" s="40" t="str">
        <f t="shared" si="88"/>
        <v/>
      </c>
      <c r="GW16" s="40" t="str">
        <f t="shared" si="89"/>
        <v/>
      </c>
      <c r="GX16" s="40" t="str">
        <f t="shared" si="90"/>
        <v/>
      </c>
      <c r="GY16" s="40" t="str">
        <f t="shared" si="91"/>
        <v/>
      </c>
      <c r="GZ16" s="18"/>
      <c r="HA16" s="18"/>
      <c r="HB16" s="18"/>
      <c r="HC16" s="18"/>
      <c r="HD16" s="18"/>
      <c r="HE16" s="18"/>
      <c r="HF16" s="18"/>
      <c r="HG16" s="18"/>
      <c r="HH16" s="18"/>
      <c r="HI16" s="18"/>
      <c r="HJ16" s="18"/>
      <c r="HK16" s="18"/>
      <c r="HL16" s="18"/>
      <c r="HM16" s="18"/>
      <c r="HN16" s="18"/>
      <c r="HO16" s="18"/>
      <c r="HP16" s="18"/>
      <c r="HQ16" s="18"/>
      <c r="HR16" s="18"/>
      <c r="HS16" s="18"/>
      <c r="HT16" s="11" t="str">
        <f t="shared" si="92"/>
        <v/>
      </c>
      <c r="HU16" s="11" t="str">
        <f t="shared" si="93"/>
        <v/>
      </c>
      <c r="HV16" s="11" t="str">
        <f t="shared" si="94"/>
        <v/>
      </c>
      <c r="HW16" s="11" t="str">
        <f t="shared" si="95"/>
        <v/>
      </c>
      <c r="HX16" s="11" t="str">
        <f t="shared" si="96"/>
        <v/>
      </c>
      <c r="HY16" s="11" t="str">
        <f t="shared" si="97"/>
        <v/>
      </c>
      <c r="HZ16" s="11" t="str">
        <f t="shared" si="98"/>
        <v/>
      </c>
      <c r="IA16" s="11" t="str">
        <f t="shared" si="99"/>
        <v/>
      </c>
      <c r="IB16" s="11" t="str">
        <f t="shared" si="100"/>
        <v/>
      </c>
      <c r="IC16" s="11" t="str">
        <f t="shared" si="101"/>
        <v/>
      </c>
      <c r="ID16" s="11" t="str">
        <f t="shared" si="102"/>
        <v/>
      </c>
      <c r="IE16" s="11" t="str">
        <f t="shared" si="103"/>
        <v/>
      </c>
      <c r="IF16" s="11" t="str">
        <f t="shared" si="104"/>
        <v/>
      </c>
      <c r="IG16" s="11" t="str">
        <f t="shared" si="105"/>
        <v/>
      </c>
      <c r="IH16" s="17"/>
      <c r="II16" s="17"/>
      <c r="IJ16" s="17"/>
      <c r="IK16" s="17"/>
      <c r="IL16" s="17"/>
      <c r="IM16" s="17"/>
      <c r="IN16" s="17"/>
      <c r="IO16" s="17"/>
      <c r="IP16" s="17"/>
      <c r="IQ16" s="17"/>
      <c r="IR16" s="17"/>
      <c r="IS16" s="17"/>
      <c r="IT16" s="17"/>
      <c r="IU16" s="17"/>
      <c r="IV16" s="17"/>
      <c r="IW16" s="17"/>
      <c r="IX16" s="17"/>
      <c r="IY16" s="17"/>
      <c r="IZ16" s="17"/>
      <c r="JA16" s="17"/>
      <c r="JB16" s="40" t="str">
        <f t="shared" si="106"/>
        <v/>
      </c>
      <c r="JC16" s="40" t="str">
        <f t="shared" si="107"/>
        <v/>
      </c>
      <c r="JD16" s="40" t="str">
        <f t="shared" si="108"/>
        <v/>
      </c>
      <c r="JE16" s="40" t="str">
        <f t="shared" si="109"/>
        <v/>
      </c>
      <c r="JF16" s="40" t="str">
        <f t="shared" si="110"/>
        <v/>
      </c>
      <c r="JG16" s="40" t="str">
        <f t="shared" si="111"/>
        <v/>
      </c>
      <c r="JH16" s="40" t="str">
        <f t="shared" si="112"/>
        <v/>
      </c>
      <c r="JI16" s="40" t="str">
        <f t="shared" si="113"/>
        <v/>
      </c>
      <c r="JJ16" s="40" t="str">
        <f t="shared" si="114"/>
        <v/>
      </c>
      <c r="JK16" s="40" t="str">
        <f t="shared" si="115"/>
        <v/>
      </c>
      <c r="JL16" s="40" t="str">
        <f t="shared" si="116"/>
        <v/>
      </c>
      <c r="JM16" s="40" t="str">
        <f t="shared" si="117"/>
        <v/>
      </c>
      <c r="JN16" s="40" t="str">
        <f t="shared" si="118"/>
        <v/>
      </c>
      <c r="JO16" s="40" t="str">
        <f t="shared" si="119"/>
        <v/>
      </c>
      <c r="JP16" s="18"/>
      <c r="JQ16" s="18"/>
      <c r="JR16" s="18"/>
      <c r="JS16" s="18"/>
      <c r="JT16" s="18"/>
      <c r="JU16" s="18"/>
      <c r="JV16" s="18"/>
      <c r="JW16" s="18"/>
      <c r="JX16" s="18"/>
      <c r="JY16" s="18"/>
      <c r="JZ16" s="18"/>
      <c r="KA16" s="18"/>
      <c r="KB16" s="18"/>
      <c r="KC16" s="18"/>
      <c r="KD16" s="18"/>
      <c r="KE16" s="18"/>
      <c r="KF16" s="18"/>
      <c r="KG16" s="18"/>
      <c r="KH16" s="18"/>
      <c r="KI16" s="18"/>
      <c r="KJ16" s="11" t="str">
        <f t="shared" si="120"/>
        <v/>
      </c>
      <c r="KK16" s="11" t="str">
        <f t="shared" si="121"/>
        <v/>
      </c>
      <c r="KL16" s="11" t="str">
        <f t="shared" si="122"/>
        <v/>
      </c>
      <c r="KM16" s="11" t="str">
        <f t="shared" si="123"/>
        <v/>
      </c>
      <c r="KN16" s="11" t="str">
        <f t="shared" si="124"/>
        <v/>
      </c>
      <c r="KO16" s="11" t="str">
        <f t="shared" si="125"/>
        <v/>
      </c>
      <c r="KP16" s="11" t="str">
        <f t="shared" si="126"/>
        <v/>
      </c>
      <c r="KQ16" s="11" t="str">
        <f t="shared" si="127"/>
        <v/>
      </c>
      <c r="KR16" s="11" t="str">
        <f t="shared" si="128"/>
        <v/>
      </c>
      <c r="KS16" s="11" t="str">
        <f t="shared" si="129"/>
        <v/>
      </c>
      <c r="KT16" s="11" t="str">
        <f t="shared" si="130"/>
        <v/>
      </c>
      <c r="KU16" s="11" t="str">
        <f t="shared" si="131"/>
        <v/>
      </c>
      <c r="KV16" s="11" t="str">
        <f t="shared" si="132"/>
        <v/>
      </c>
      <c r="KW16" s="11" t="str">
        <f t="shared" si="133"/>
        <v/>
      </c>
      <c r="KX16" s="17"/>
      <c r="KY16" s="17"/>
      <c r="KZ16" s="17"/>
      <c r="LA16" s="17"/>
      <c r="LB16" s="17"/>
      <c r="LC16" s="17"/>
      <c r="LD16" s="17"/>
      <c r="LE16" s="17"/>
      <c r="LF16" s="17"/>
      <c r="LG16" s="17"/>
      <c r="LH16" s="17"/>
      <c r="LI16" s="17"/>
      <c r="LJ16" s="17"/>
      <c r="LK16" s="17"/>
      <c r="LL16" s="17"/>
      <c r="LM16" s="17"/>
      <c r="LN16" s="17"/>
      <c r="LO16" s="17"/>
      <c r="LP16" s="17"/>
      <c r="LQ16" s="17"/>
      <c r="LR16" s="40" t="str">
        <f t="shared" si="134"/>
        <v/>
      </c>
      <c r="LS16" s="40" t="str">
        <f t="shared" si="135"/>
        <v/>
      </c>
      <c r="LT16" s="40" t="str">
        <f t="shared" si="136"/>
        <v/>
      </c>
      <c r="LU16" s="40" t="str">
        <f t="shared" si="137"/>
        <v/>
      </c>
      <c r="LV16" s="40" t="str">
        <f t="shared" si="138"/>
        <v/>
      </c>
      <c r="LW16" s="40" t="str">
        <f t="shared" si="139"/>
        <v/>
      </c>
      <c r="LX16" s="40" t="str">
        <f t="shared" si="140"/>
        <v/>
      </c>
      <c r="LY16" s="40" t="str">
        <f t="shared" si="141"/>
        <v/>
      </c>
      <c r="LZ16" s="40" t="str">
        <f t="shared" si="142"/>
        <v/>
      </c>
      <c r="MA16" s="40" t="str">
        <f t="shared" si="143"/>
        <v/>
      </c>
      <c r="MB16" s="40" t="str">
        <f t="shared" si="144"/>
        <v/>
      </c>
      <c r="MC16" s="40" t="str">
        <f t="shared" si="145"/>
        <v/>
      </c>
      <c r="MD16" s="40" t="str">
        <f t="shared" si="146"/>
        <v/>
      </c>
      <c r="ME16" s="40" t="str">
        <f t="shared" si="147"/>
        <v/>
      </c>
      <c r="MF16" s="18"/>
      <c r="MG16" s="18"/>
      <c r="MH16" s="18"/>
      <c r="MI16" s="18"/>
      <c r="MJ16" s="18"/>
      <c r="MK16" s="18"/>
      <c r="ML16" s="18"/>
      <c r="MM16" s="18"/>
      <c r="MN16" s="18"/>
      <c r="MO16" s="18"/>
      <c r="MP16" s="18"/>
      <c r="MQ16" s="18"/>
      <c r="MR16" s="18"/>
      <c r="MS16" s="18"/>
      <c r="MT16" s="18"/>
      <c r="MU16" s="18"/>
      <c r="MV16" s="18"/>
      <c r="MW16" s="18"/>
      <c r="MX16" s="18"/>
      <c r="MY16" s="18"/>
      <c r="MZ16" s="11" t="str">
        <f t="shared" si="148"/>
        <v/>
      </c>
      <c r="NA16" s="11" t="str">
        <f t="shared" si="149"/>
        <v/>
      </c>
      <c r="NB16" s="11" t="str">
        <f t="shared" si="150"/>
        <v/>
      </c>
      <c r="NC16" s="11" t="str">
        <f t="shared" si="151"/>
        <v/>
      </c>
      <c r="ND16" s="11" t="str">
        <f t="shared" si="152"/>
        <v/>
      </c>
      <c r="NE16" s="11" t="str">
        <f t="shared" si="153"/>
        <v/>
      </c>
      <c r="NF16" s="11" t="str">
        <f t="shared" si="154"/>
        <v/>
      </c>
      <c r="NG16" s="11" t="str">
        <f t="shared" si="155"/>
        <v/>
      </c>
      <c r="NH16" s="11" t="str">
        <f t="shared" si="156"/>
        <v/>
      </c>
      <c r="NI16" s="11" t="str">
        <f t="shared" si="157"/>
        <v/>
      </c>
      <c r="NJ16" s="11" t="str">
        <f t="shared" si="158"/>
        <v/>
      </c>
      <c r="NK16" s="11" t="str">
        <f t="shared" si="159"/>
        <v/>
      </c>
      <c r="NL16" s="11" t="str">
        <f t="shared" si="160"/>
        <v/>
      </c>
      <c r="NM16" s="11" t="str">
        <f t="shared" si="161"/>
        <v/>
      </c>
      <c r="NN16" s="17"/>
      <c r="NO16" s="17"/>
      <c r="NP16" s="17"/>
      <c r="NQ16" s="17"/>
      <c r="NR16" s="17"/>
      <c r="NS16" s="17"/>
      <c r="NT16" s="17"/>
      <c r="NU16" s="17"/>
      <c r="NV16" s="17"/>
      <c r="NW16" s="17"/>
      <c r="NX16" s="17"/>
      <c r="NY16" s="17"/>
      <c r="NZ16" s="17"/>
      <c r="OA16" s="17"/>
      <c r="OB16" s="17"/>
      <c r="OC16" s="17"/>
      <c r="OD16" s="17"/>
      <c r="OE16" s="17"/>
      <c r="OF16" s="17"/>
      <c r="OG16" s="17"/>
      <c r="OH16" s="40" t="str">
        <f t="shared" si="162"/>
        <v/>
      </c>
      <c r="OI16" s="40" t="str">
        <f t="shared" si="163"/>
        <v/>
      </c>
      <c r="OJ16" s="40" t="str">
        <f t="shared" si="164"/>
        <v/>
      </c>
      <c r="OK16" s="40" t="str">
        <f t="shared" si="165"/>
        <v/>
      </c>
      <c r="OL16" s="40" t="str">
        <f t="shared" si="166"/>
        <v/>
      </c>
      <c r="OM16" s="40" t="str">
        <f t="shared" si="167"/>
        <v/>
      </c>
      <c r="ON16" s="40" t="str">
        <f t="shared" si="168"/>
        <v/>
      </c>
      <c r="OO16" s="40" t="str">
        <f t="shared" si="169"/>
        <v/>
      </c>
      <c r="OP16" s="40" t="str">
        <f t="shared" si="170"/>
        <v/>
      </c>
      <c r="OQ16" s="40" t="str">
        <f t="shared" si="171"/>
        <v/>
      </c>
      <c r="OR16" s="40" t="str">
        <f t="shared" si="172"/>
        <v/>
      </c>
      <c r="OS16" s="40" t="str">
        <f t="shared" si="173"/>
        <v/>
      </c>
      <c r="OT16" s="40" t="str">
        <f t="shared" si="174"/>
        <v/>
      </c>
      <c r="OU16" s="40" t="str">
        <f t="shared" si="175"/>
        <v/>
      </c>
      <c r="OV16" s="18"/>
      <c r="OW16" s="18"/>
      <c r="OX16" s="18"/>
      <c r="OY16" s="18"/>
      <c r="OZ16" s="18"/>
      <c r="PA16" s="18"/>
      <c r="PB16" s="18"/>
      <c r="PC16" s="18"/>
      <c r="PD16" s="18"/>
      <c r="PE16" s="18"/>
      <c r="PF16" s="18"/>
      <c r="PG16" s="18"/>
      <c r="PH16" s="18"/>
      <c r="PI16" s="18"/>
      <c r="PJ16" s="18"/>
      <c r="PK16" s="18"/>
      <c r="PL16" s="18"/>
      <c r="PM16" s="18"/>
      <c r="PN16" s="18"/>
      <c r="PO16" s="18"/>
      <c r="PP16" s="11" t="str">
        <f t="shared" si="176"/>
        <v/>
      </c>
      <c r="PQ16" s="11" t="str">
        <f t="shared" si="177"/>
        <v/>
      </c>
      <c r="PR16" s="11" t="str">
        <f t="shared" si="178"/>
        <v/>
      </c>
      <c r="PS16" s="11" t="str">
        <f t="shared" si="179"/>
        <v/>
      </c>
      <c r="PT16" s="11" t="str">
        <f t="shared" si="180"/>
        <v/>
      </c>
      <c r="PU16" s="11" t="str">
        <f t="shared" si="181"/>
        <v/>
      </c>
      <c r="PV16" s="11" t="str">
        <f t="shared" si="182"/>
        <v/>
      </c>
      <c r="PW16" s="11" t="str">
        <f t="shared" si="183"/>
        <v/>
      </c>
      <c r="PX16" s="11" t="str">
        <f t="shared" si="184"/>
        <v/>
      </c>
      <c r="PY16" s="11" t="str">
        <f t="shared" si="185"/>
        <v/>
      </c>
      <c r="PZ16" s="11" t="str">
        <f t="shared" si="186"/>
        <v/>
      </c>
      <c r="QA16" s="11" t="str">
        <f t="shared" si="187"/>
        <v/>
      </c>
      <c r="QB16" s="11" t="str">
        <f t="shared" si="188"/>
        <v/>
      </c>
      <c r="QC16" s="11" t="str">
        <f t="shared" si="189"/>
        <v/>
      </c>
      <c r="QD16" s="17"/>
      <c r="QE16" s="17"/>
      <c r="QF16" s="17"/>
      <c r="QG16" s="17"/>
      <c r="QH16" s="17"/>
      <c r="QI16" s="17"/>
      <c r="QJ16" s="17"/>
      <c r="QK16" s="17"/>
      <c r="QL16" s="17"/>
      <c r="QM16" s="17"/>
      <c r="QN16" s="17"/>
      <c r="QO16" s="17"/>
      <c r="QP16" s="17"/>
      <c r="QQ16" s="17"/>
      <c r="QR16" s="17"/>
      <c r="QS16" s="17"/>
      <c r="QT16" s="17"/>
      <c r="QU16" s="17"/>
      <c r="QV16" s="17"/>
      <c r="QW16" s="17"/>
      <c r="QX16" s="40" t="str">
        <f t="shared" si="190"/>
        <v/>
      </c>
      <c r="QY16" s="40" t="str">
        <f t="shared" si="191"/>
        <v/>
      </c>
      <c r="QZ16" s="40" t="str">
        <f t="shared" si="192"/>
        <v/>
      </c>
      <c r="RA16" s="40" t="str">
        <f t="shared" si="193"/>
        <v/>
      </c>
      <c r="RB16" s="40" t="str">
        <f t="shared" si="194"/>
        <v/>
      </c>
      <c r="RC16" s="40" t="str">
        <f t="shared" si="195"/>
        <v/>
      </c>
      <c r="RD16" s="40" t="str">
        <f t="shared" si="196"/>
        <v/>
      </c>
      <c r="RE16" s="40" t="str">
        <f t="shared" si="197"/>
        <v/>
      </c>
      <c r="RF16" s="40" t="str">
        <f t="shared" si="198"/>
        <v/>
      </c>
      <c r="RG16" s="40" t="str">
        <f t="shared" si="199"/>
        <v/>
      </c>
      <c r="RH16" s="40" t="str">
        <f t="shared" si="200"/>
        <v/>
      </c>
      <c r="RI16" s="40" t="str">
        <f t="shared" si="201"/>
        <v/>
      </c>
      <c r="RJ16" s="40" t="str">
        <f t="shared" si="202"/>
        <v/>
      </c>
      <c r="RK16" s="40" t="str">
        <f t="shared" si="203"/>
        <v/>
      </c>
      <c r="RL16" s="18"/>
      <c r="RM16" s="18"/>
      <c r="RN16" s="18"/>
      <c r="RO16" s="18"/>
      <c r="RP16" s="18"/>
      <c r="RQ16" s="18"/>
      <c r="RR16" s="18"/>
      <c r="RS16" s="18"/>
      <c r="RT16" s="18"/>
      <c r="RU16" s="18"/>
      <c r="RV16" s="18"/>
      <c r="RW16" s="18"/>
      <c r="RX16" s="18"/>
      <c r="RY16" s="18"/>
      <c r="RZ16" s="18"/>
      <c r="SA16" s="18"/>
      <c r="SB16" s="18"/>
      <c r="SC16" s="18"/>
      <c r="SD16" s="18"/>
      <c r="SE16" s="18"/>
      <c r="SF16" s="11" t="str">
        <f t="shared" si="204"/>
        <v/>
      </c>
      <c r="SG16" s="11" t="str">
        <f t="shared" si="205"/>
        <v/>
      </c>
      <c r="SH16" s="11" t="str">
        <f t="shared" si="206"/>
        <v/>
      </c>
      <c r="SI16" s="11" t="str">
        <f t="shared" si="207"/>
        <v/>
      </c>
      <c r="SJ16" s="11" t="str">
        <f t="shared" si="208"/>
        <v/>
      </c>
      <c r="SK16" s="11" t="str">
        <f t="shared" si="209"/>
        <v/>
      </c>
      <c r="SL16" s="11" t="str">
        <f t="shared" si="210"/>
        <v/>
      </c>
      <c r="SM16" s="11" t="str">
        <f t="shared" si="211"/>
        <v/>
      </c>
      <c r="SN16" s="11" t="str">
        <f t="shared" si="212"/>
        <v/>
      </c>
      <c r="SO16" s="11" t="str">
        <f t="shared" si="213"/>
        <v/>
      </c>
      <c r="SP16" s="11" t="str">
        <f t="shared" si="214"/>
        <v/>
      </c>
      <c r="SQ16" s="11" t="str">
        <f t="shared" si="215"/>
        <v/>
      </c>
      <c r="SR16" s="11" t="str">
        <f t="shared" si="216"/>
        <v/>
      </c>
      <c r="SS16" s="11" t="str">
        <f t="shared" si="217"/>
        <v/>
      </c>
      <c r="ST16" s="22">
        <f t="shared" si="218"/>
        <v>6.35</v>
      </c>
      <c r="SU16" s="22">
        <f t="shared" si="219"/>
        <v>4.8</v>
      </c>
      <c r="SV16" s="22">
        <f t="shared" si="220"/>
        <v>5.35</v>
      </c>
      <c r="SW16" s="22">
        <f t="shared" si="221"/>
        <v>7.82</v>
      </c>
      <c r="SX16" s="22">
        <f t="shared" si="222"/>
        <v>0</v>
      </c>
      <c r="SY16" s="22">
        <f t="shared" si="223"/>
        <v>6.9</v>
      </c>
      <c r="SZ16" s="22">
        <f t="shared" si="224"/>
        <v>4.8</v>
      </c>
      <c r="TA16" s="22">
        <f t="shared" si="225"/>
        <v>5.6</v>
      </c>
      <c r="TB16" s="22">
        <f t="shared" si="226"/>
        <v>7.6050000000000004</v>
      </c>
      <c r="TC16" s="22">
        <f t="shared" si="227"/>
        <v>0</v>
      </c>
      <c r="TD16" s="22">
        <f t="shared" si="228"/>
        <v>6.4</v>
      </c>
      <c r="TE16" s="22">
        <f t="shared" si="229"/>
        <v>4.7</v>
      </c>
      <c r="TF16" s="22">
        <f t="shared" si="230"/>
        <v>6.1</v>
      </c>
      <c r="TG16" s="22">
        <f t="shared" si="231"/>
        <v>7.51</v>
      </c>
      <c r="TH16" s="22">
        <f t="shared" si="232"/>
        <v>0</v>
      </c>
      <c r="TI16" s="27" t="s">
        <v>46</v>
      </c>
      <c r="TJ16" s="40">
        <f t="shared" si="233"/>
        <v>5.35</v>
      </c>
      <c r="TK16" s="40">
        <f t="shared" si="234"/>
        <v>7.82</v>
      </c>
      <c r="TL16" s="40">
        <f t="shared" si="235"/>
        <v>24.32</v>
      </c>
      <c r="TM16" s="40">
        <f t="shared" si="236"/>
        <v>5.6</v>
      </c>
      <c r="TN16" s="40">
        <f t="shared" si="237"/>
        <v>7.6050000000000004</v>
      </c>
      <c r="TO16" s="40">
        <f t="shared" si="238"/>
        <v>24.904999999999998</v>
      </c>
      <c r="TP16" s="40">
        <f t="shared" si="239"/>
        <v>24.904999999999998</v>
      </c>
      <c r="TQ16" s="40">
        <f t="shared" si="240"/>
        <v>6.1</v>
      </c>
      <c r="TR16" s="40">
        <f t="shared" si="241"/>
        <v>7.51</v>
      </c>
      <c r="TS16" s="40">
        <f t="shared" si="242"/>
        <v>24.71</v>
      </c>
      <c r="TT16" s="40">
        <f t="shared" si="243"/>
        <v>49.614999999999995</v>
      </c>
    </row>
    <row r="17" spans="1:540" x14ac:dyDescent="0.2">
      <c r="A17" s="4" t="str" cm="1">
        <f t="array" ref="A17">IF(AND(F17&lt;&gt;"",G17&lt;&gt;""),SUMPRODUCT((F$4:F$35&lt;&gt;"")*(G$4:G$35&lt;&gt;"")*(E$4:E$35&gt;E17))+1,IF(G17&lt;&gt;"",SUMPRODUCT((H$4:H$35="No DD")*(E$4:E$35&gt;E17))+1+SUMPRODUCT((F$4:F$35&lt;&gt;"")*(G$4:G$35&lt;&gt;"")),""))</f>
        <v/>
      </c>
      <c r="B17" s="5" t="s">
        <v>112</v>
      </c>
      <c r="C17" s="4" t="s">
        <v>4</v>
      </c>
      <c r="D17" s="4">
        <v>2004</v>
      </c>
      <c r="E17" s="9">
        <f t="shared" si="0"/>
        <v>157.74001577400506</v>
      </c>
      <c r="F17" s="3" t="str">
        <f t="shared" si="1"/>
        <v/>
      </c>
      <c r="G17" s="3" t="str">
        <f t="shared" si="2"/>
        <v/>
      </c>
      <c r="H17" s="36" t="str">
        <f t="shared" si="3"/>
        <v/>
      </c>
      <c r="I17" s="3" t="str">
        <f t="shared" si="4"/>
        <v/>
      </c>
      <c r="J17" s="8">
        <f>IF(COUNT(AO17,AR17,BP17,BS17,CQ17,CT17)&gt;0,LARGE((AO17,AR17,BP17,BS17,CQ17,CT17),1),0)</f>
        <v>50.699999999999996</v>
      </c>
      <c r="K17" s="8" t="str">
        <f t="shared" si="5"/>
        <v>2022 Nationals</v>
      </c>
      <c r="L17" s="8">
        <f>IF(COUNT(AO17,AR17,BP17,BS17,CQ17,CT17)&gt;1,LARGE((AO17,AR17,BP17,BS17,CQ17,CT17),2),0)</f>
        <v>44.629999999999995</v>
      </c>
      <c r="M17" s="8" t="str">
        <f t="shared" si="6"/>
        <v>2023 Elite Canada</v>
      </c>
      <c r="N17" s="8">
        <f>IF(COUNT(AO17,AR17,BP17,BS17,CQ17,CT17)&gt;2,MAX(AV17,BW17,CX17,LARGE((AO17,AR17,BP17,BS17,CQ17,CT17),3)),IF(MAX(AV17,BW17,CX17)&gt;0,MAX(AV17,BW17,CX17),0))</f>
        <v>50.11</v>
      </c>
      <c r="O17" s="8" t="str">
        <f t="shared" si="7"/>
        <v>2022 Nationals</v>
      </c>
      <c r="P17" s="8">
        <f t="shared" si="8"/>
        <v>12.3</v>
      </c>
      <c r="Q17" s="8" t="str">
        <f t="shared" si="9"/>
        <v>2022 Nationals</v>
      </c>
      <c r="R17" s="8">
        <f t="shared" si="10"/>
        <v>0</v>
      </c>
      <c r="S17" s="8" t="str">
        <f t="shared" si="11"/>
        <v/>
      </c>
      <c r="T17" s="8" t="str">
        <f t="shared" si="12"/>
        <v/>
      </c>
      <c r="U17" s="11" t="str">
        <f t="shared" si="13"/>
        <v/>
      </c>
      <c r="V17" s="8" t="str">
        <f t="shared" si="14"/>
        <v/>
      </c>
      <c r="W17" s="22">
        <v>14.1</v>
      </c>
      <c r="X17" s="22">
        <v>8.9</v>
      </c>
      <c r="Y17" s="22">
        <v>12.3</v>
      </c>
      <c r="Z17" s="22">
        <v>15.4</v>
      </c>
      <c r="AA17" s="22">
        <v>0</v>
      </c>
      <c r="AB17" s="22"/>
      <c r="AC17" s="22"/>
      <c r="AD17" s="22"/>
      <c r="AE17" s="22"/>
      <c r="AF17" s="22"/>
      <c r="AG17" s="22">
        <v>13.3</v>
      </c>
      <c r="AH17" s="22">
        <v>9.6999999999999993</v>
      </c>
      <c r="AI17" s="22">
        <v>12.3</v>
      </c>
      <c r="AJ17" s="22">
        <v>14.81</v>
      </c>
      <c r="AK17" s="22">
        <v>0</v>
      </c>
      <c r="AL17" s="27"/>
      <c r="AM17" s="38">
        <f t="shared" si="15"/>
        <v>12.3</v>
      </c>
      <c r="AN17" s="38">
        <f t="shared" si="16"/>
        <v>15.4</v>
      </c>
      <c r="AO17" s="40">
        <f t="shared" si="17"/>
        <v>50.699999999999996</v>
      </c>
      <c r="AP17" s="40" t="str">
        <f t="shared" si="18"/>
        <v/>
      </c>
      <c r="AQ17" s="40" t="str">
        <f t="shared" si="19"/>
        <v/>
      </c>
      <c r="AR17" s="40" t="str">
        <f t="shared" si="20"/>
        <v/>
      </c>
      <c r="AS17" s="40">
        <f t="shared" si="21"/>
        <v>50.699999999999996</v>
      </c>
      <c r="AT17" s="40">
        <f t="shared" si="22"/>
        <v>12.3</v>
      </c>
      <c r="AU17" s="40">
        <f t="shared" si="23"/>
        <v>14.81</v>
      </c>
      <c r="AV17" s="40">
        <f t="shared" si="24"/>
        <v>50.11</v>
      </c>
      <c r="AW17" s="40">
        <f t="shared" si="25"/>
        <v>100.81</v>
      </c>
      <c r="AX17" s="26"/>
      <c r="AY17" s="26"/>
      <c r="AZ17" s="26"/>
      <c r="BA17" s="26"/>
      <c r="BB17" s="26"/>
      <c r="BC17" s="26"/>
      <c r="BD17" s="26"/>
      <c r="BE17" s="26"/>
      <c r="BF17" s="26"/>
      <c r="BG17" s="26"/>
      <c r="BH17" s="26"/>
      <c r="BI17" s="26"/>
      <c r="BJ17" s="26"/>
      <c r="BK17" s="26"/>
      <c r="BL17" s="26"/>
      <c r="BM17" s="28"/>
      <c r="BN17" s="39" t="str">
        <f t="shared" si="26"/>
        <v/>
      </c>
      <c r="BO17" s="39" t="str">
        <f t="shared" si="27"/>
        <v/>
      </c>
      <c r="BP17" s="11" t="str">
        <f t="shared" si="28"/>
        <v/>
      </c>
      <c r="BQ17" s="11" t="str">
        <f t="shared" si="29"/>
        <v/>
      </c>
      <c r="BR17" s="11" t="str">
        <f t="shared" si="30"/>
        <v/>
      </c>
      <c r="BS17" s="11" t="str">
        <f t="shared" si="31"/>
        <v/>
      </c>
      <c r="BT17" s="11" t="str">
        <f t="shared" si="32"/>
        <v/>
      </c>
      <c r="BU17" s="11" t="str">
        <f t="shared" si="33"/>
        <v/>
      </c>
      <c r="BV17" s="11" t="str">
        <f t="shared" si="34"/>
        <v/>
      </c>
      <c r="BW17" s="11" t="str">
        <f t="shared" si="35"/>
        <v/>
      </c>
      <c r="BX17" s="11" t="str">
        <f t="shared" si="36"/>
        <v/>
      </c>
      <c r="BY17" s="22">
        <v>5.8</v>
      </c>
      <c r="BZ17" s="22">
        <v>3.8</v>
      </c>
      <c r="CA17" s="22">
        <v>5.4</v>
      </c>
      <c r="CB17" s="22">
        <v>6.49</v>
      </c>
      <c r="CC17" s="22">
        <v>0.2</v>
      </c>
      <c r="CD17" s="22">
        <v>10.8</v>
      </c>
      <c r="CE17" s="22">
        <v>8.1</v>
      </c>
      <c r="CF17" s="22">
        <v>11.9</v>
      </c>
      <c r="CG17" s="22">
        <v>13.83</v>
      </c>
      <c r="CH17" s="22">
        <v>0</v>
      </c>
      <c r="CI17" s="22"/>
      <c r="CJ17" s="22"/>
      <c r="CK17" s="22"/>
      <c r="CL17" s="22"/>
      <c r="CM17" s="22"/>
      <c r="CN17" s="27"/>
      <c r="CO17" s="38">
        <f t="shared" si="37"/>
        <v>5.4</v>
      </c>
      <c r="CP17" s="38">
        <f t="shared" si="38"/>
        <v>6.49</v>
      </c>
      <c r="CQ17" s="40">
        <f t="shared" si="39"/>
        <v>21.290000000000003</v>
      </c>
      <c r="CR17" s="40">
        <f t="shared" si="40"/>
        <v>11.9</v>
      </c>
      <c r="CS17" s="40">
        <f t="shared" si="41"/>
        <v>13.83</v>
      </c>
      <c r="CT17" s="40">
        <f t="shared" si="42"/>
        <v>44.629999999999995</v>
      </c>
      <c r="CU17" s="40">
        <f t="shared" si="43"/>
        <v>44.629999999999995</v>
      </c>
      <c r="CV17" s="40" t="str">
        <f t="shared" si="44"/>
        <v/>
      </c>
      <c r="CW17" s="40" t="str">
        <f t="shared" si="45"/>
        <v/>
      </c>
      <c r="CX17" s="40" t="str">
        <f t="shared" si="46"/>
        <v/>
      </c>
      <c r="CY17" s="40">
        <f t="shared" si="47"/>
        <v>44.629999999999995</v>
      </c>
      <c r="CZ17" s="50" t="str">
        <f t="shared" si="48"/>
        <v/>
      </c>
      <c r="DA17" s="50" t="str">
        <f t="shared" si="49"/>
        <v/>
      </c>
      <c r="DB17" s="17"/>
      <c r="DC17" s="17"/>
      <c r="DD17" s="17"/>
      <c r="DE17" s="17"/>
      <c r="DF17" s="17"/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40" t="str">
        <f t="shared" si="50"/>
        <v/>
      </c>
      <c r="DW17" s="40" t="str">
        <f t="shared" si="51"/>
        <v/>
      </c>
      <c r="DX17" s="40" t="str">
        <f t="shared" si="52"/>
        <v/>
      </c>
      <c r="DY17" s="40" t="str">
        <f t="shared" si="53"/>
        <v/>
      </c>
      <c r="DZ17" s="40" t="str">
        <f t="shared" si="54"/>
        <v/>
      </c>
      <c r="EA17" s="40" t="str">
        <f t="shared" si="55"/>
        <v/>
      </c>
      <c r="EB17" s="40" t="str">
        <f t="shared" si="56"/>
        <v/>
      </c>
      <c r="EC17" s="40" t="str">
        <f t="shared" si="57"/>
        <v/>
      </c>
      <c r="ED17" s="40" t="str">
        <f t="shared" si="58"/>
        <v/>
      </c>
      <c r="EE17" s="40" t="str">
        <f t="shared" si="59"/>
        <v/>
      </c>
      <c r="EF17" s="40" t="str">
        <f t="shared" si="60"/>
        <v/>
      </c>
      <c r="EG17" s="40" t="str">
        <f t="shared" si="61"/>
        <v/>
      </c>
      <c r="EH17" s="40" t="str">
        <f t="shared" si="62"/>
        <v/>
      </c>
      <c r="EI17" s="40" t="str">
        <f t="shared" si="63"/>
        <v/>
      </c>
      <c r="EJ17" s="18"/>
      <c r="EK17" s="18"/>
      <c r="EL17" s="18"/>
      <c r="EM17" s="18"/>
      <c r="EN17" s="18"/>
      <c r="EO17" s="18"/>
      <c r="EP17" s="18"/>
      <c r="EQ17" s="18"/>
      <c r="ER17" s="18"/>
      <c r="ES17" s="18"/>
      <c r="ET17" s="18"/>
      <c r="EU17" s="18"/>
      <c r="EV17" s="18"/>
      <c r="EW17" s="18"/>
      <c r="EX17" s="18"/>
      <c r="EY17" s="18"/>
      <c r="EZ17" s="18"/>
      <c r="FA17" s="18"/>
      <c r="FB17" s="18"/>
      <c r="FC17" s="18"/>
      <c r="FD17" s="11" t="str">
        <f t="shared" si="64"/>
        <v/>
      </c>
      <c r="FE17" s="11" t="str">
        <f t="shared" si="65"/>
        <v/>
      </c>
      <c r="FF17" s="11" t="str">
        <f t="shared" si="66"/>
        <v/>
      </c>
      <c r="FG17" s="11" t="str">
        <f t="shared" si="67"/>
        <v/>
      </c>
      <c r="FH17" s="11" t="str">
        <f t="shared" si="68"/>
        <v/>
      </c>
      <c r="FI17" s="11" t="str">
        <f t="shared" si="69"/>
        <v/>
      </c>
      <c r="FJ17" s="11" t="str">
        <f t="shared" si="70"/>
        <v/>
      </c>
      <c r="FK17" s="11" t="str">
        <f t="shared" si="71"/>
        <v/>
      </c>
      <c r="FL17" s="11" t="str">
        <f t="shared" si="72"/>
        <v/>
      </c>
      <c r="FM17" s="11" t="str">
        <f t="shared" si="73"/>
        <v/>
      </c>
      <c r="FN17" s="11" t="str">
        <f t="shared" si="74"/>
        <v/>
      </c>
      <c r="FO17" s="11" t="str">
        <f t="shared" si="75"/>
        <v/>
      </c>
      <c r="FP17" s="11" t="str">
        <f t="shared" si="76"/>
        <v/>
      </c>
      <c r="FQ17" s="11" t="str">
        <f t="shared" si="77"/>
        <v/>
      </c>
      <c r="FR17" s="17"/>
      <c r="FS17" s="17"/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17"/>
      <c r="GE17" s="17"/>
      <c r="GF17" s="17"/>
      <c r="GG17" s="17"/>
      <c r="GH17" s="17"/>
      <c r="GI17" s="17"/>
      <c r="GJ17" s="17"/>
      <c r="GK17" s="17"/>
      <c r="GL17" s="40" t="str">
        <f t="shared" si="78"/>
        <v/>
      </c>
      <c r="GM17" s="40" t="str">
        <f t="shared" si="79"/>
        <v/>
      </c>
      <c r="GN17" s="40" t="str">
        <f t="shared" si="80"/>
        <v/>
      </c>
      <c r="GO17" s="40" t="str">
        <f t="shared" si="81"/>
        <v/>
      </c>
      <c r="GP17" s="40" t="str">
        <f t="shared" si="82"/>
        <v/>
      </c>
      <c r="GQ17" s="40" t="str">
        <f t="shared" si="83"/>
        <v/>
      </c>
      <c r="GR17" s="40" t="str">
        <f t="shared" si="84"/>
        <v/>
      </c>
      <c r="GS17" s="40" t="str">
        <f t="shared" si="85"/>
        <v/>
      </c>
      <c r="GT17" s="40" t="str">
        <f t="shared" si="86"/>
        <v/>
      </c>
      <c r="GU17" s="40" t="str">
        <f t="shared" si="87"/>
        <v/>
      </c>
      <c r="GV17" s="40" t="str">
        <f t="shared" si="88"/>
        <v/>
      </c>
      <c r="GW17" s="40" t="str">
        <f t="shared" si="89"/>
        <v/>
      </c>
      <c r="GX17" s="40" t="str">
        <f t="shared" si="90"/>
        <v/>
      </c>
      <c r="GY17" s="40" t="str">
        <f t="shared" si="91"/>
        <v/>
      </c>
      <c r="GZ17" s="18"/>
      <c r="HA17" s="18"/>
      <c r="HB17" s="18"/>
      <c r="HC17" s="18"/>
      <c r="HD17" s="18"/>
      <c r="HE17" s="18"/>
      <c r="HF17" s="18"/>
      <c r="HG17" s="18"/>
      <c r="HH17" s="18"/>
      <c r="HI17" s="18"/>
      <c r="HJ17" s="18"/>
      <c r="HK17" s="18"/>
      <c r="HL17" s="18"/>
      <c r="HM17" s="18"/>
      <c r="HN17" s="18"/>
      <c r="HO17" s="18"/>
      <c r="HP17" s="18"/>
      <c r="HQ17" s="18"/>
      <c r="HR17" s="18"/>
      <c r="HS17" s="18"/>
      <c r="HT17" s="11" t="str">
        <f t="shared" si="92"/>
        <v/>
      </c>
      <c r="HU17" s="11" t="str">
        <f t="shared" si="93"/>
        <v/>
      </c>
      <c r="HV17" s="11" t="str">
        <f t="shared" si="94"/>
        <v/>
      </c>
      <c r="HW17" s="11" t="str">
        <f t="shared" si="95"/>
        <v/>
      </c>
      <c r="HX17" s="11" t="str">
        <f t="shared" si="96"/>
        <v/>
      </c>
      <c r="HY17" s="11" t="str">
        <f t="shared" si="97"/>
        <v/>
      </c>
      <c r="HZ17" s="11" t="str">
        <f t="shared" si="98"/>
        <v/>
      </c>
      <c r="IA17" s="11" t="str">
        <f t="shared" si="99"/>
        <v/>
      </c>
      <c r="IB17" s="11" t="str">
        <f t="shared" si="100"/>
        <v/>
      </c>
      <c r="IC17" s="11" t="str">
        <f t="shared" si="101"/>
        <v/>
      </c>
      <c r="ID17" s="11" t="str">
        <f t="shared" si="102"/>
        <v/>
      </c>
      <c r="IE17" s="11" t="str">
        <f t="shared" si="103"/>
        <v/>
      </c>
      <c r="IF17" s="11" t="str">
        <f t="shared" si="104"/>
        <v/>
      </c>
      <c r="IG17" s="11" t="str">
        <f t="shared" si="105"/>
        <v/>
      </c>
      <c r="IH17" s="17"/>
      <c r="II17" s="17"/>
      <c r="IJ17" s="17"/>
      <c r="IK17" s="17"/>
      <c r="IL17" s="17"/>
      <c r="IM17" s="17"/>
      <c r="IN17" s="17"/>
      <c r="IO17" s="17"/>
      <c r="IP17" s="17"/>
      <c r="IQ17" s="17"/>
      <c r="IR17" s="17"/>
      <c r="IS17" s="17"/>
      <c r="IT17" s="17"/>
      <c r="IU17" s="17"/>
      <c r="IV17" s="17"/>
      <c r="IW17" s="17"/>
      <c r="IX17" s="17"/>
      <c r="IY17" s="17"/>
      <c r="IZ17" s="17"/>
      <c r="JA17" s="17"/>
      <c r="JB17" s="40" t="str">
        <f t="shared" si="106"/>
        <v/>
      </c>
      <c r="JC17" s="40" t="str">
        <f t="shared" si="107"/>
        <v/>
      </c>
      <c r="JD17" s="40" t="str">
        <f t="shared" si="108"/>
        <v/>
      </c>
      <c r="JE17" s="40" t="str">
        <f t="shared" si="109"/>
        <v/>
      </c>
      <c r="JF17" s="40" t="str">
        <f t="shared" si="110"/>
        <v/>
      </c>
      <c r="JG17" s="40" t="str">
        <f t="shared" si="111"/>
        <v/>
      </c>
      <c r="JH17" s="40" t="str">
        <f t="shared" si="112"/>
        <v/>
      </c>
      <c r="JI17" s="40" t="str">
        <f t="shared" si="113"/>
        <v/>
      </c>
      <c r="JJ17" s="40" t="str">
        <f t="shared" si="114"/>
        <v/>
      </c>
      <c r="JK17" s="40" t="str">
        <f t="shared" si="115"/>
        <v/>
      </c>
      <c r="JL17" s="40" t="str">
        <f t="shared" si="116"/>
        <v/>
      </c>
      <c r="JM17" s="40" t="str">
        <f t="shared" si="117"/>
        <v/>
      </c>
      <c r="JN17" s="40" t="str">
        <f t="shared" si="118"/>
        <v/>
      </c>
      <c r="JO17" s="40" t="str">
        <f t="shared" si="119"/>
        <v/>
      </c>
      <c r="JP17" s="18"/>
      <c r="JQ17" s="18"/>
      <c r="JR17" s="18"/>
      <c r="JS17" s="18"/>
      <c r="JT17" s="18"/>
      <c r="JU17" s="18"/>
      <c r="JV17" s="18"/>
      <c r="JW17" s="18"/>
      <c r="JX17" s="18"/>
      <c r="JY17" s="18"/>
      <c r="JZ17" s="18"/>
      <c r="KA17" s="18"/>
      <c r="KB17" s="18"/>
      <c r="KC17" s="18"/>
      <c r="KD17" s="18"/>
      <c r="KE17" s="18"/>
      <c r="KF17" s="18"/>
      <c r="KG17" s="18"/>
      <c r="KH17" s="18"/>
      <c r="KI17" s="18"/>
      <c r="KJ17" s="11" t="str">
        <f t="shared" si="120"/>
        <v/>
      </c>
      <c r="KK17" s="11" t="str">
        <f t="shared" si="121"/>
        <v/>
      </c>
      <c r="KL17" s="11" t="str">
        <f t="shared" si="122"/>
        <v/>
      </c>
      <c r="KM17" s="11" t="str">
        <f t="shared" si="123"/>
        <v/>
      </c>
      <c r="KN17" s="11" t="str">
        <f t="shared" si="124"/>
        <v/>
      </c>
      <c r="KO17" s="11" t="str">
        <f t="shared" si="125"/>
        <v/>
      </c>
      <c r="KP17" s="11" t="str">
        <f t="shared" si="126"/>
        <v/>
      </c>
      <c r="KQ17" s="11" t="str">
        <f t="shared" si="127"/>
        <v/>
      </c>
      <c r="KR17" s="11" t="str">
        <f t="shared" si="128"/>
        <v/>
      </c>
      <c r="KS17" s="11" t="str">
        <f t="shared" si="129"/>
        <v/>
      </c>
      <c r="KT17" s="11" t="str">
        <f t="shared" si="130"/>
        <v/>
      </c>
      <c r="KU17" s="11" t="str">
        <f t="shared" si="131"/>
        <v/>
      </c>
      <c r="KV17" s="11" t="str">
        <f t="shared" si="132"/>
        <v/>
      </c>
      <c r="KW17" s="11" t="str">
        <f t="shared" si="133"/>
        <v/>
      </c>
      <c r="KX17" s="17"/>
      <c r="KY17" s="17"/>
      <c r="KZ17" s="17"/>
      <c r="LA17" s="17"/>
      <c r="LB17" s="17"/>
      <c r="LC17" s="17"/>
      <c r="LD17" s="17"/>
      <c r="LE17" s="17"/>
      <c r="LF17" s="17"/>
      <c r="LG17" s="17"/>
      <c r="LH17" s="17"/>
      <c r="LI17" s="17"/>
      <c r="LJ17" s="17"/>
      <c r="LK17" s="17"/>
      <c r="LL17" s="17"/>
      <c r="LM17" s="17"/>
      <c r="LN17" s="17"/>
      <c r="LO17" s="17"/>
      <c r="LP17" s="17"/>
      <c r="LQ17" s="17"/>
      <c r="LR17" s="40" t="str">
        <f t="shared" si="134"/>
        <v/>
      </c>
      <c r="LS17" s="40" t="str">
        <f t="shared" si="135"/>
        <v/>
      </c>
      <c r="LT17" s="40" t="str">
        <f t="shared" si="136"/>
        <v/>
      </c>
      <c r="LU17" s="40" t="str">
        <f t="shared" si="137"/>
        <v/>
      </c>
      <c r="LV17" s="40" t="str">
        <f t="shared" si="138"/>
        <v/>
      </c>
      <c r="LW17" s="40" t="str">
        <f t="shared" si="139"/>
        <v/>
      </c>
      <c r="LX17" s="40" t="str">
        <f t="shared" si="140"/>
        <v/>
      </c>
      <c r="LY17" s="40" t="str">
        <f t="shared" si="141"/>
        <v/>
      </c>
      <c r="LZ17" s="40" t="str">
        <f t="shared" si="142"/>
        <v/>
      </c>
      <c r="MA17" s="40" t="str">
        <f t="shared" si="143"/>
        <v/>
      </c>
      <c r="MB17" s="40" t="str">
        <f t="shared" si="144"/>
        <v/>
      </c>
      <c r="MC17" s="40" t="str">
        <f t="shared" si="145"/>
        <v/>
      </c>
      <c r="MD17" s="40" t="str">
        <f t="shared" si="146"/>
        <v/>
      </c>
      <c r="ME17" s="40" t="str">
        <f t="shared" si="147"/>
        <v/>
      </c>
      <c r="MF17" s="18"/>
      <c r="MG17" s="18"/>
      <c r="MH17" s="18"/>
      <c r="MI17" s="18"/>
      <c r="MJ17" s="18"/>
      <c r="MK17" s="18"/>
      <c r="ML17" s="18"/>
      <c r="MM17" s="18"/>
      <c r="MN17" s="18"/>
      <c r="MO17" s="18"/>
      <c r="MP17" s="18"/>
      <c r="MQ17" s="18"/>
      <c r="MR17" s="18"/>
      <c r="MS17" s="18"/>
      <c r="MT17" s="18"/>
      <c r="MU17" s="18"/>
      <c r="MV17" s="18"/>
      <c r="MW17" s="18"/>
      <c r="MX17" s="18"/>
      <c r="MY17" s="18"/>
      <c r="MZ17" s="11" t="str">
        <f t="shared" si="148"/>
        <v/>
      </c>
      <c r="NA17" s="11" t="str">
        <f t="shared" si="149"/>
        <v/>
      </c>
      <c r="NB17" s="11" t="str">
        <f t="shared" si="150"/>
        <v/>
      </c>
      <c r="NC17" s="11" t="str">
        <f t="shared" si="151"/>
        <v/>
      </c>
      <c r="ND17" s="11" t="str">
        <f t="shared" si="152"/>
        <v/>
      </c>
      <c r="NE17" s="11" t="str">
        <f t="shared" si="153"/>
        <v/>
      </c>
      <c r="NF17" s="11" t="str">
        <f t="shared" si="154"/>
        <v/>
      </c>
      <c r="NG17" s="11" t="str">
        <f t="shared" si="155"/>
        <v/>
      </c>
      <c r="NH17" s="11" t="str">
        <f t="shared" si="156"/>
        <v/>
      </c>
      <c r="NI17" s="11" t="str">
        <f t="shared" si="157"/>
        <v/>
      </c>
      <c r="NJ17" s="11" t="str">
        <f t="shared" si="158"/>
        <v/>
      </c>
      <c r="NK17" s="11" t="str">
        <f t="shared" si="159"/>
        <v/>
      </c>
      <c r="NL17" s="11" t="str">
        <f t="shared" si="160"/>
        <v/>
      </c>
      <c r="NM17" s="11" t="str">
        <f t="shared" si="161"/>
        <v/>
      </c>
      <c r="NN17" s="17"/>
      <c r="NO17" s="17"/>
      <c r="NP17" s="17"/>
      <c r="NQ17" s="17"/>
      <c r="NR17" s="17"/>
      <c r="NS17" s="17"/>
      <c r="NT17" s="17"/>
      <c r="NU17" s="17"/>
      <c r="NV17" s="17"/>
      <c r="NW17" s="17"/>
      <c r="NX17" s="17"/>
      <c r="NY17" s="17"/>
      <c r="NZ17" s="17"/>
      <c r="OA17" s="17"/>
      <c r="OB17" s="17"/>
      <c r="OC17" s="17"/>
      <c r="OD17" s="17"/>
      <c r="OE17" s="17"/>
      <c r="OF17" s="17"/>
      <c r="OG17" s="17"/>
      <c r="OH17" s="40" t="str">
        <f t="shared" si="162"/>
        <v/>
      </c>
      <c r="OI17" s="40" t="str">
        <f t="shared" si="163"/>
        <v/>
      </c>
      <c r="OJ17" s="40" t="str">
        <f t="shared" si="164"/>
        <v/>
      </c>
      <c r="OK17" s="40" t="str">
        <f t="shared" si="165"/>
        <v/>
      </c>
      <c r="OL17" s="40" t="str">
        <f t="shared" si="166"/>
        <v/>
      </c>
      <c r="OM17" s="40" t="str">
        <f t="shared" si="167"/>
        <v/>
      </c>
      <c r="ON17" s="40" t="str">
        <f t="shared" si="168"/>
        <v/>
      </c>
      <c r="OO17" s="40" t="str">
        <f t="shared" si="169"/>
        <v/>
      </c>
      <c r="OP17" s="40" t="str">
        <f t="shared" si="170"/>
        <v/>
      </c>
      <c r="OQ17" s="40" t="str">
        <f t="shared" si="171"/>
        <v/>
      </c>
      <c r="OR17" s="40" t="str">
        <f t="shared" si="172"/>
        <v/>
      </c>
      <c r="OS17" s="40" t="str">
        <f t="shared" si="173"/>
        <v/>
      </c>
      <c r="OT17" s="40" t="str">
        <f t="shared" si="174"/>
        <v/>
      </c>
      <c r="OU17" s="40" t="str">
        <f t="shared" si="175"/>
        <v/>
      </c>
      <c r="OV17" s="18"/>
      <c r="OW17" s="18"/>
      <c r="OX17" s="18"/>
      <c r="OY17" s="18"/>
      <c r="OZ17" s="18"/>
      <c r="PA17" s="18"/>
      <c r="PB17" s="18"/>
      <c r="PC17" s="18"/>
      <c r="PD17" s="18"/>
      <c r="PE17" s="18"/>
      <c r="PF17" s="18"/>
      <c r="PG17" s="18"/>
      <c r="PH17" s="18"/>
      <c r="PI17" s="18"/>
      <c r="PJ17" s="18"/>
      <c r="PK17" s="18"/>
      <c r="PL17" s="18"/>
      <c r="PM17" s="18"/>
      <c r="PN17" s="18"/>
      <c r="PO17" s="18"/>
      <c r="PP17" s="11" t="str">
        <f t="shared" si="176"/>
        <v/>
      </c>
      <c r="PQ17" s="11" t="str">
        <f t="shared" si="177"/>
        <v/>
      </c>
      <c r="PR17" s="11" t="str">
        <f t="shared" si="178"/>
        <v/>
      </c>
      <c r="PS17" s="11" t="str">
        <f t="shared" si="179"/>
        <v/>
      </c>
      <c r="PT17" s="11" t="str">
        <f t="shared" si="180"/>
        <v/>
      </c>
      <c r="PU17" s="11" t="str">
        <f t="shared" si="181"/>
        <v/>
      </c>
      <c r="PV17" s="11" t="str">
        <f t="shared" si="182"/>
        <v/>
      </c>
      <c r="PW17" s="11" t="str">
        <f t="shared" si="183"/>
        <v/>
      </c>
      <c r="PX17" s="11" t="str">
        <f t="shared" si="184"/>
        <v/>
      </c>
      <c r="PY17" s="11" t="str">
        <f t="shared" si="185"/>
        <v/>
      </c>
      <c r="PZ17" s="11" t="str">
        <f t="shared" si="186"/>
        <v/>
      </c>
      <c r="QA17" s="11" t="str">
        <f t="shared" si="187"/>
        <v/>
      </c>
      <c r="QB17" s="11" t="str">
        <f t="shared" si="188"/>
        <v/>
      </c>
      <c r="QC17" s="11" t="str">
        <f t="shared" si="189"/>
        <v/>
      </c>
      <c r="QD17" s="17"/>
      <c r="QE17" s="17"/>
      <c r="QF17" s="17"/>
      <c r="QG17" s="17"/>
      <c r="QH17" s="17"/>
      <c r="QI17" s="17"/>
      <c r="QJ17" s="17"/>
      <c r="QK17" s="17"/>
      <c r="QL17" s="17"/>
      <c r="QM17" s="17"/>
      <c r="QN17" s="17"/>
      <c r="QO17" s="17"/>
      <c r="QP17" s="17"/>
      <c r="QQ17" s="17"/>
      <c r="QR17" s="17"/>
      <c r="QS17" s="17"/>
      <c r="QT17" s="17"/>
      <c r="QU17" s="17"/>
      <c r="QV17" s="17"/>
      <c r="QW17" s="17"/>
      <c r="QX17" s="40" t="str">
        <f t="shared" si="190"/>
        <v/>
      </c>
      <c r="QY17" s="40" t="str">
        <f t="shared" si="191"/>
        <v/>
      </c>
      <c r="QZ17" s="40" t="str">
        <f t="shared" si="192"/>
        <v/>
      </c>
      <c r="RA17" s="40" t="str">
        <f t="shared" si="193"/>
        <v/>
      </c>
      <c r="RB17" s="40" t="str">
        <f t="shared" si="194"/>
        <v/>
      </c>
      <c r="RC17" s="40" t="str">
        <f t="shared" si="195"/>
        <v/>
      </c>
      <c r="RD17" s="40" t="str">
        <f t="shared" si="196"/>
        <v/>
      </c>
      <c r="RE17" s="40" t="str">
        <f t="shared" si="197"/>
        <v/>
      </c>
      <c r="RF17" s="40" t="str">
        <f t="shared" si="198"/>
        <v/>
      </c>
      <c r="RG17" s="40" t="str">
        <f t="shared" si="199"/>
        <v/>
      </c>
      <c r="RH17" s="40" t="str">
        <f t="shared" si="200"/>
        <v/>
      </c>
      <c r="RI17" s="40" t="str">
        <f t="shared" si="201"/>
        <v/>
      </c>
      <c r="RJ17" s="40" t="str">
        <f t="shared" si="202"/>
        <v/>
      </c>
      <c r="RK17" s="40" t="str">
        <f t="shared" si="203"/>
        <v/>
      </c>
      <c r="RL17" s="18"/>
      <c r="RM17" s="18"/>
      <c r="RN17" s="18"/>
      <c r="RO17" s="18"/>
      <c r="RP17" s="18"/>
      <c r="RQ17" s="18"/>
      <c r="RR17" s="18"/>
      <c r="RS17" s="18"/>
      <c r="RT17" s="18"/>
      <c r="RU17" s="18"/>
      <c r="RV17" s="18"/>
      <c r="RW17" s="18"/>
      <c r="RX17" s="18"/>
      <c r="RY17" s="18"/>
      <c r="RZ17" s="18"/>
      <c r="SA17" s="18"/>
      <c r="SB17" s="18"/>
      <c r="SC17" s="18"/>
      <c r="SD17" s="18"/>
      <c r="SE17" s="18"/>
      <c r="SF17" s="11" t="str">
        <f t="shared" si="204"/>
        <v/>
      </c>
      <c r="SG17" s="11" t="str">
        <f t="shared" si="205"/>
        <v/>
      </c>
      <c r="SH17" s="11" t="str">
        <f t="shared" si="206"/>
        <v/>
      </c>
      <c r="SI17" s="11" t="str">
        <f t="shared" si="207"/>
        <v/>
      </c>
      <c r="SJ17" s="11" t="str">
        <f t="shared" si="208"/>
        <v/>
      </c>
      <c r="SK17" s="11" t="str">
        <f t="shared" si="209"/>
        <v/>
      </c>
      <c r="SL17" s="11" t="str">
        <f t="shared" si="210"/>
        <v/>
      </c>
      <c r="SM17" s="11" t="str">
        <f t="shared" si="211"/>
        <v/>
      </c>
      <c r="SN17" s="11" t="str">
        <f t="shared" si="212"/>
        <v/>
      </c>
      <c r="SO17" s="11" t="str">
        <f t="shared" si="213"/>
        <v/>
      </c>
      <c r="SP17" s="11" t="str">
        <f t="shared" si="214"/>
        <v/>
      </c>
      <c r="SQ17" s="11" t="str">
        <f t="shared" si="215"/>
        <v/>
      </c>
      <c r="SR17" s="11" t="str">
        <f t="shared" si="216"/>
        <v/>
      </c>
      <c r="SS17" s="11" t="str">
        <f t="shared" si="217"/>
        <v/>
      </c>
      <c r="ST17" s="22">
        <f t="shared" si="218"/>
        <v>2.9</v>
      </c>
      <c r="SU17" s="22">
        <f t="shared" si="219"/>
        <v>1.9</v>
      </c>
      <c r="SV17" s="22">
        <f t="shared" si="220"/>
        <v>2.7</v>
      </c>
      <c r="SW17" s="22">
        <f t="shared" si="221"/>
        <v>3.2450000000000001</v>
      </c>
      <c r="SX17" s="22">
        <f t="shared" si="222"/>
        <v>0.1</v>
      </c>
      <c r="SY17" s="22">
        <f t="shared" si="223"/>
        <v>5.4</v>
      </c>
      <c r="SZ17" s="22">
        <f t="shared" si="224"/>
        <v>4.05</v>
      </c>
      <c r="TA17" s="22">
        <f t="shared" si="225"/>
        <v>5.95</v>
      </c>
      <c r="TB17" s="22">
        <f t="shared" si="226"/>
        <v>6.915</v>
      </c>
      <c r="TC17" s="22">
        <f t="shared" si="227"/>
        <v>0</v>
      </c>
      <c r="TD17" s="22">
        <f t="shared" si="228"/>
        <v>0</v>
      </c>
      <c r="TE17" s="22">
        <f t="shared" si="229"/>
        <v>0</v>
      </c>
      <c r="TF17" s="22">
        <f t="shared" si="230"/>
        <v>0</v>
      </c>
      <c r="TG17" s="22">
        <f t="shared" si="231"/>
        <v>0</v>
      </c>
      <c r="TH17" s="22">
        <f t="shared" si="232"/>
        <v>0</v>
      </c>
      <c r="TI17" s="27" t="s">
        <v>46</v>
      </c>
      <c r="TJ17" s="40">
        <f t="shared" si="233"/>
        <v>2.7</v>
      </c>
      <c r="TK17" s="40">
        <f t="shared" si="234"/>
        <v>3.2450000000000001</v>
      </c>
      <c r="TL17" s="40">
        <f t="shared" si="235"/>
        <v>10.645000000000001</v>
      </c>
      <c r="TM17" s="40">
        <f t="shared" si="236"/>
        <v>5.95</v>
      </c>
      <c r="TN17" s="40">
        <f t="shared" si="237"/>
        <v>6.915</v>
      </c>
      <c r="TO17" s="40">
        <f t="shared" si="238"/>
        <v>22.314999999999998</v>
      </c>
      <c r="TP17" s="40">
        <f t="shared" si="239"/>
        <v>22.314999999999998</v>
      </c>
      <c r="TQ17" s="40" t="str">
        <f t="shared" si="240"/>
        <v/>
      </c>
      <c r="TR17" s="40" t="str">
        <f t="shared" si="241"/>
        <v/>
      </c>
      <c r="TS17" s="40" t="str">
        <f t="shared" si="242"/>
        <v/>
      </c>
      <c r="TT17" s="40">
        <f t="shared" si="243"/>
        <v>22.314999999999998</v>
      </c>
    </row>
    <row r="18" spans="1:540" x14ac:dyDescent="0.2">
      <c r="A18" s="4" t="str" cm="1">
        <f t="array" ref="A18">IF(AND(F18&lt;&gt;"",G18&lt;&gt;""),SUMPRODUCT((F$4:F$35&lt;&gt;"")*(G$4:G$35&lt;&gt;"")*(E$4:E$35&gt;E18))+1,IF(G18&lt;&gt;"",SUMPRODUCT((H$4:H$35="No DD")*(E$4:E$35&gt;E18))+1+SUMPRODUCT((F$4:F$35&lt;&gt;"")*(G$4:G$35&lt;&gt;"")),""))</f>
        <v/>
      </c>
      <c r="B18" s="5" t="s">
        <v>145</v>
      </c>
      <c r="C18" s="4" t="s">
        <v>6</v>
      </c>
      <c r="D18" s="4">
        <v>2003</v>
      </c>
      <c r="E18" s="9">
        <f t="shared" si="0"/>
        <v>156.97001569700492</v>
      </c>
      <c r="F18" s="3" t="str">
        <f t="shared" si="1"/>
        <v/>
      </c>
      <c r="G18" s="3" t="str">
        <f t="shared" si="2"/>
        <v/>
      </c>
      <c r="H18" s="36" t="str">
        <f t="shared" si="3"/>
        <v/>
      </c>
      <c r="I18" s="3" t="str">
        <f t="shared" si="4"/>
        <v/>
      </c>
      <c r="J18" s="8">
        <f>IF(COUNT(AO18,AR18,BP18,BS18,CQ18,CT18)&gt;0,LARGE((AO18,AR18,BP18,BS18,CQ18,CT18),1),0)</f>
        <v>49.31</v>
      </c>
      <c r="K18" s="8" t="str">
        <f t="shared" si="5"/>
        <v>2023 Elite Canada</v>
      </c>
      <c r="L18" s="8">
        <f>IF(COUNT(AO18,AR18,BP18,BS18,CQ18,CT18)&gt;1,LARGE((AO18,AR18,BP18,BS18,CQ18,CT18),2),0)</f>
        <v>48.47</v>
      </c>
      <c r="M18" s="8" t="str">
        <f t="shared" si="6"/>
        <v>2022 Nationals</v>
      </c>
      <c r="N18" s="8">
        <f>IF(COUNT(AO18,AR18,BP18,BS18,CQ18,CT18)&gt;2,MAX(AV18,BW18,CX18,LARGE((AO18,AR18,BP18,BS18,CQ18,CT18),3)),IF(MAX(AV18,BW18,CX18)&gt;0,MAX(AV18,BW18,CX18),0))</f>
        <v>47.790000000000006</v>
      </c>
      <c r="O18" s="8" t="str">
        <f t="shared" si="7"/>
        <v>2022 Nationals</v>
      </c>
      <c r="P18" s="8">
        <f t="shared" si="8"/>
        <v>11.4</v>
      </c>
      <c r="Q18" s="8" t="str">
        <f t="shared" si="9"/>
        <v>2023 Elite Canada</v>
      </c>
      <c r="R18" s="8">
        <f t="shared" si="10"/>
        <v>0</v>
      </c>
      <c r="S18" s="8" t="str">
        <f t="shared" si="11"/>
        <v/>
      </c>
      <c r="T18" s="8" t="str">
        <f t="shared" si="12"/>
        <v/>
      </c>
      <c r="U18" s="11" t="str">
        <f t="shared" si="13"/>
        <v/>
      </c>
      <c r="V18" s="8" t="str">
        <f t="shared" si="14"/>
        <v/>
      </c>
      <c r="W18" s="22">
        <v>15</v>
      </c>
      <c r="X18" s="22">
        <v>9.1999999999999993</v>
      </c>
      <c r="Y18" s="22">
        <v>10.1</v>
      </c>
      <c r="Z18" s="22">
        <v>14.17</v>
      </c>
      <c r="AA18" s="22">
        <v>0</v>
      </c>
      <c r="AB18" s="22"/>
      <c r="AC18" s="22"/>
      <c r="AD18" s="22"/>
      <c r="AE18" s="22"/>
      <c r="AF18" s="22"/>
      <c r="AG18" s="22">
        <v>14.9</v>
      </c>
      <c r="AH18" s="22">
        <v>9.3000000000000007</v>
      </c>
      <c r="AI18" s="22">
        <v>10.1</v>
      </c>
      <c r="AJ18" s="22">
        <v>13.49</v>
      </c>
      <c r="AK18" s="22">
        <v>0</v>
      </c>
      <c r="AL18" s="27"/>
      <c r="AM18" s="38">
        <f t="shared" si="15"/>
        <v>10.1</v>
      </c>
      <c r="AN18" s="38">
        <f t="shared" si="16"/>
        <v>14.17</v>
      </c>
      <c r="AO18" s="40">
        <f t="shared" si="17"/>
        <v>48.47</v>
      </c>
      <c r="AP18" s="40" t="str">
        <f t="shared" si="18"/>
        <v/>
      </c>
      <c r="AQ18" s="40" t="str">
        <f t="shared" si="19"/>
        <v/>
      </c>
      <c r="AR18" s="40" t="str">
        <f t="shared" si="20"/>
        <v/>
      </c>
      <c r="AS18" s="40">
        <f t="shared" si="21"/>
        <v>48.47</v>
      </c>
      <c r="AT18" s="40">
        <f t="shared" si="22"/>
        <v>10.1</v>
      </c>
      <c r="AU18" s="40">
        <f t="shared" si="23"/>
        <v>13.49</v>
      </c>
      <c r="AV18" s="40">
        <f t="shared" si="24"/>
        <v>47.790000000000006</v>
      </c>
      <c r="AW18" s="40">
        <f t="shared" si="25"/>
        <v>96.26</v>
      </c>
      <c r="AX18" s="26"/>
      <c r="AY18" s="26"/>
      <c r="AZ18" s="26"/>
      <c r="BA18" s="26"/>
      <c r="BB18" s="26"/>
      <c r="BC18" s="26"/>
      <c r="BD18" s="26"/>
      <c r="BE18" s="26"/>
      <c r="BF18" s="26"/>
      <c r="BG18" s="26"/>
      <c r="BH18" s="26"/>
      <c r="BI18" s="26"/>
      <c r="BJ18" s="26"/>
      <c r="BK18" s="26"/>
      <c r="BL18" s="26"/>
      <c r="BM18" s="28"/>
      <c r="BN18" s="39" t="str">
        <f t="shared" si="26"/>
        <v/>
      </c>
      <c r="BO18" s="39" t="str">
        <f t="shared" si="27"/>
        <v/>
      </c>
      <c r="BP18" s="11" t="str">
        <f t="shared" si="28"/>
        <v/>
      </c>
      <c r="BQ18" s="11" t="str">
        <f t="shared" si="29"/>
        <v/>
      </c>
      <c r="BR18" s="11" t="str">
        <f t="shared" si="30"/>
        <v/>
      </c>
      <c r="BS18" s="11" t="str">
        <f t="shared" si="31"/>
        <v/>
      </c>
      <c r="BT18" s="11" t="str">
        <f t="shared" si="32"/>
        <v/>
      </c>
      <c r="BU18" s="11" t="str">
        <f t="shared" si="33"/>
        <v/>
      </c>
      <c r="BV18" s="11" t="str">
        <f t="shared" si="34"/>
        <v/>
      </c>
      <c r="BW18" s="11" t="str">
        <f t="shared" si="35"/>
        <v/>
      </c>
      <c r="BX18" s="11" t="str">
        <f t="shared" si="36"/>
        <v/>
      </c>
      <c r="BY18" s="22">
        <v>14.4</v>
      </c>
      <c r="BZ18" s="22">
        <v>9.6</v>
      </c>
      <c r="CA18" s="22">
        <v>11.4</v>
      </c>
      <c r="CB18" s="22">
        <v>13.91</v>
      </c>
      <c r="CC18" s="22">
        <v>0</v>
      </c>
      <c r="CD18" s="22">
        <v>12.7</v>
      </c>
      <c r="CE18" s="22">
        <v>8.3000000000000007</v>
      </c>
      <c r="CF18" s="22">
        <v>8.9</v>
      </c>
      <c r="CG18" s="22">
        <v>12.54</v>
      </c>
      <c r="CH18" s="22">
        <v>0</v>
      </c>
      <c r="CI18" s="22">
        <v>12.2</v>
      </c>
      <c r="CJ18" s="22">
        <v>9.6</v>
      </c>
      <c r="CK18" s="22">
        <v>11.4</v>
      </c>
      <c r="CL18" s="22">
        <v>14.5</v>
      </c>
      <c r="CM18" s="22">
        <v>0</v>
      </c>
      <c r="CN18" s="27"/>
      <c r="CO18" s="38">
        <f t="shared" si="37"/>
        <v>11.4</v>
      </c>
      <c r="CP18" s="38">
        <f t="shared" si="38"/>
        <v>13.91</v>
      </c>
      <c r="CQ18" s="40">
        <f t="shared" si="39"/>
        <v>49.31</v>
      </c>
      <c r="CR18" s="40">
        <f t="shared" si="40"/>
        <v>8.9</v>
      </c>
      <c r="CS18" s="40">
        <f t="shared" si="41"/>
        <v>12.54</v>
      </c>
      <c r="CT18" s="40">
        <f t="shared" si="42"/>
        <v>42.44</v>
      </c>
      <c r="CU18" s="40">
        <f t="shared" si="43"/>
        <v>49.31</v>
      </c>
      <c r="CV18" s="40">
        <f t="shared" si="44"/>
        <v>11.4</v>
      </c>
      <c r="CW18" s="40">
        <f t="shared" si="45"/>
        <v>14.5</v>
      </c>
      <c r="CX18" s="40">
        <f t="shared" si="46"/>
        <v>47.699999999999996</v>
      </c>
      <c r="CY18" s="40">
        <f t="shared" si="47"/>
        <v>97.009999999999991</v>
      </c>
      <c r="CZ18" s="50" t="str">
        <f t="shared" si="48"/>
        <v/>
      </c>
      <c r="DA18" s="50" t="str">
        <f t="shared" si="49"/>
        <v/>
      </c>
      <c r="DB18" s="17"/>
      <c r="DC18" s="17"/>
      <c r="DD18" s="17"/>
      <c r="DE18" s="17"/>
      <c r="DF18" s="17"/>
      <c r="DG18" s="17"/>
      <c r="DH18" s="17"/>
      <c r="DI18" s="17"/>
      <c r="DJ18" s="17"/>
      <c r="DK18" s="17"/>
      <c r="DL18" s="17"/>
      <c r="DM18" s="17"/>
      <c r="DN18" s="17"/>
      <c r="DO18" s="17"/>
      <c r="DP18" s="17"/>
      <c r="DQ18" s="17"/>
      <c r="DR18" s="17"/>
      <c r="DS18" s="17"/>
      <c r="DT18" s="17"/>
      <c r="DU18" s="17"/>
      <c r="DV18" s="40" t="str">
        <f t="shared" si="50"/>
        <v/>
      </c>
      <c r="DW18" s="40" t="str">
        <f t="shared" si="51"/>
        <v/>
      </c>
      <c r="DX18" s="40" t="str">
        <f t="shared" si="52"/>
        <v/>
      </c>
      <c r="DY18" s="40" t="str">
        <f t="shared" si="53"/>
        <v/>
      </c>
      <c r="DZ18" s="40" t="str">
        <f t="shared" si="54"/>
        <v/>
      </c>
      <c r="EA18" s="40" t="str">
        <f t="shared" si="55"/>
        <v/>
      </c>
      <c r="EB18" s="40" t="str">
        <f t="shared" si="56"/>
        <v/>
      </c>
      <c r="EC18" s="40" t="str">
        <f t="shared" si="57"/>
        <v/>
      </c>
      <c r="ED18" s="40" t="str">
        <f t="shared" si="58"/>
        <v/>
      </c>
      <c r="EE18" s="40" t="str">
        <f t="shared" si="59"/>
        <v/>
      </c>
      <c r="EF18" s="40" t="str">
        <f t="shared" si="60"/>
        <v/>
      </c>
      <c r="EG18" s="40" t="str">
        <f t="shared" si="61"/>
        <v/>
      </c>
      <c r="EH18" s="40" t="str">
        <f t="shared" si="62"/>
        <v/>
      </c>
      <c r="EI18" s="40" t="str">
        <f t="shared" si="63"/>
        <v/>
      </c>
      <c r="EJ18" s="18"/>
      <c r="EK18" s="18"/>
      <c r="EL18" s="18"/>
      <c r="EM18" s="18"/>
      <c r="EN18" s="18"/>
      <c r="EO18" s="18"/>
      <c r="EP18" s="18"/>
      <c r="EQ18" s="18"/>
      <c r="ER18" s="18"/>
      <c r="ES18" s="18"/>
      <c r="ET18" s="18"/>
      <c r="EU18" s="18"/>
      <c r="EV18" s="18"/>
      <c r="EW18" s="18"/>
      <c r="EX18" s="18"/>
      <c r="EY18" s="18"/>
      <c r="EZ18" s="18"/>
      <c r="FA18" s="18"/>
      <c r="FB18" s="18"/>
      <c r="FC18" s="18"/>
      <c r="FD18" s="11" t="str">
        <f t="shared" si="64"/>
        <v/>
      </c>
      <c r="FE18" s="11" t="str">
        <f t="shared" si="65"/>
        <v/>
      </c>
      <c r="FF18" s="11" t="str">
        <f t="shared" si="66"/>
        <v/>
      </c>
      <c r="FG18" s="11" t="str">
        <f t="shared" si="67"/>
        <v/>
      </c>
      <c r="FH18" s="11" t="str">
        <f t="shared" si="68"/>
        <v/>
      </c>
      <c r="FI18" s="11" t="str">
        <f t="shared" si="69"/>
        <v/>
      </c>
      <c r="FJ18" s="11" t="str">
        <f t="shared" si="70"/>
        <v/>
      </c>
      <c r="FK18" s="11" t="str">
        <f t="shared" si="71"/>
        <v/>
      </c>
      <c r="FL18" s="11" t="str">
        <f t="shared" si="72"/>
        <v/>
      </c>
      <c r="FM18" s="11" t="str">
        <f t="shared" si="73"/>
        <v/>
      </c>
      <c r="FN18" s="11" t="str">
        <f t="shared" si="74"/>
        <v/>
      </c>
      <c r="FO18" s="11" t="str">
        <f t="shared" si="75"/>
        <v/>
      </c>
      <c r="FP18" s="11" t="str">
        <f t="shared" si="76"/>
        <v/>
      </c>
      <c r="FQ18" s="11" t="str">
        <f t="shared" si="77"/>
        <v/>
      </c>
      <c r="FR18" s="17"/>
      <c r="FS18" s="17"/>
      <c r="FT18" s="17"/>
      <c r="FU18" s="17"/>
      <c r="FV18" s="17"/>
      <c r="FW18" s="17"/>
      <c r="FX18" s="17"/>
      <c r="FY18" s="17"/>
      <c r="FZ18" s="17"/>
      <c r="GA18" s="17"/>
      <c r="GB18" s="17"/>
      <c r="GC18" s="17"/>
      <c r="GD18" s="17"/>
      <c r="GE18" s="17"/>
      <c r="GF18" s="17"/>
      <c r="GG18" s="17"/>
      <c r="GH18" s="17"/>
      <c r="GI18" s="17"/>
      <c r="GJ18" s="17"/>
      <c r="GK18" s="17"/>
      <c r="GL18" s="40" t="str">
        <f t="shared" si="78"/>
        <v/>
      </c>
      <c r="GM18" s="40" t="str">
        <f t="shared" si="79"/>
        <v/>
      </c>
      <c r="GN18" s="40" t="str">
        <f t="shared" si="80"/>
        <v/>
      </c>
      <c r="GO18" s="40" t="str">
        <f t="shared" si="81"/>
        <v/>
      </c>
      <c r="GP18" s="40" t="str">
        <f t="shared" si="82"/>
        <v/>
      </c>
      <c r="GQ18" s="40" t="str">
        <f t="shared" si="83"/>
        <v/>
      </c>
      <c r="GR18" s="40" t="str">
        <f t="shared" si="84"/>
        <v/>
      </c>
      <c r="GS18" s="40" t="str">
        <f t="shared" si="85"/>
        <v/>
      </c>
      <c r="GT18" s="40" t="str">
        <f t="shared" si="86"/>
        <v/>
      </c>
      <c r="GU18" s="40" t="str">
        <f t="shared" si="87"/>
        <v/>
      </c>
      <c r="GV18" s="40" t="str">
        <f t="shared" si="88"/>
        <v/>
      </c>
      <c r="GW18" s="40" t="str">
        <f t="shared" si="89"/>
        <v/>
      </c>
      <c r="GX18" s="40" t="str">
        <f t="shared" si="90"/>
        <v/>
      </c>
      <c r="GY18" s="40" t="str">
        <f t="shared" si="91"/>
        <v/>
      </c>
      <c r="GZ18" s="18"/>
      <c r="HA18" s="18"/>
      <c r="HB18" s="18"/>
      <c r="HC18" s="18"/>
      <c r="HD18" s="18"/>
      <c r="HE18" s="18"/>
      <c r="HF18" s="18"/>
      <c r="HG18" s="18"/>
      <c r="HH18" s="18"/>
      <c r="HI18" s="18"/>
      <c r="HJ18" s="18"/>
      <c r="HK18" s="18"/>
      <c r="HL18" s="18"/>
      <c r="HM18" s="18"/>
      <c r="HN18" s="18"/>
      <c r="HO18" s="18"/>
      <c r="HP18" s="18"/>
      <c r="HQ18" s="18"/>
      <c r="HR18" s="18"/>
      <c r="HS18" s="18"/>
      <c r="HT18" s="11" t="str">
        <f t="shared" si="92"/>
        <v/>
      </c>
      <c r="HU18" s="11" t="str">
        <f t="shared" si="93"/>
        <v/>
      </c>
      <c r="HV18" s="11" t="str">
        <f t="shared" si="94"/>
        <v/>
      </c>
      <c r="HW18" s="11" t="str">
        <f t="shared" si="95"/>
        <v/>
      </c>
      <c r="HX18" s="11" t="str">
        <f t="shared" si="96"/>
        <v/>
      </c>
      <c r="HY18" s="11" t="str">
        <f t="shared" si="97"/>
        <v/>
      </c>
      <c r="HZ18" s="11" t="str">
        <f t="shared" si="98"/>
        <v/>
      </c>
      <c r="IA18" s="11" t="str">
        <f t="shared" si="99"/>
        <v/>
      </c>
      <c r="IB18" s="11" t="str">
        <f t="shared" si="100"/>
        <v/>
      </c>
      <c r="IC18" s="11" t="str">
        <f t="shared" si="101"/>
        <v/>
      </c>
      <c r="ID18" s="11" t="str">
        <f t="shared" si="102"/>
        <v/>
      </c>
      <c r="IE18" s="11" t="str">
        <f t="shared" si="103"/>
        <v/>
      </c>
      <c r="IF18" s="11" t="str">
        <f t="shared" si="104"/>
        <v/>
      </c>
      <c r="IG18" s="11" t="str">
        <f t="shared" si="105"/>
        <v/>
      </c>
      <c r="IH18" s="17"/>
      <c r="II18" s="17"/>
      <c r="IJ18" s="17"/>
      <c r="IK18" s="17"/>
      <c r="IL18" s="17"/>
      <c r="IM18" s="17"/>
      <c r="IN18" s="17"/>
      <c r="IO18" s="17"/>
      <c r="IP18" s="17"/>
      <c r="IQ18" s="17"/>
      <c r="IR18" s="17"/>
      <c r="IS18" s="17"/>
      <c r="IT18" s="17"/>
      <c r="IU18" s="17"/>
      <c r="IV18" s="17"/>
      <c r="IW18" s="17"/>
      <c r="IX18" s="17"/>
      <c r="IY18" s="17"/>
      <c r="IZ18" s="17"/>
      <c r="JA18" s="17"/>
      <c r="JB18" s="40" t="str">
        <f t="shared" si="106"/>
        <v/>
      </c>
      <c r="JC18" s="40" t="str">
        <f t="shared" si="107"/>
        <v/>
      </c>
      <c r="JD18" s="40" t="str">
        <f t="shared" si="108"/>
        <v/>
      </c>
      <c r="JE18" s="40" t="str">
        <f t="shared" si="109"/>
        <v/>
      </c>
      <c r="JF18" s="40" t="str">
        <f t="shared" si="110"/>
        <v/>
      </c>
      <c r="JG18" s="40" t="str">
        <f t="shared" si="111"/>
        <v/>
      </c>
      <c r="JH18" s="40" t="str">
        <f t="shared" si="112"/>
        <v/>
      </c>
      <c r="JI18" s="40" t="str">
        <f t="shared" si="113"/>
        <v/>
      </c>
      <c r="JJ18" s="40" t="str">
        <f t="shared" si="114"/>
        <v/>
      </c>
      <c r="JK18" s="40" t="str">
        <f t="shared" si="115"/>
        <v/>
      </c>
      <c r="JL18" s="40" t="str">
        <f t="shared" si="116"/>
        <v/>
      </c>
      <c r="JM18" s="40" t="str">
        <f t="shared" si="117"/>
        <v/>
      </c>
      <c r="JN18" s="40" t="str">
        <f t="shared" si="118"/>
        <v/>
      </c>
      <c r="JO18" s="40" t="str">
        <f t="shared" si="119"/>
        <v/>
      </c>
      <c r="JP18" s="18"/>
      <c r="JQ18" s="18"/>
      <c r="JR18" s="18"/>
      <c r="JS18" s="18"/>
      <c r="JT18" s="18"/>
      <c r="JU18" s="18"/>
      <c r="JV18" s="18"/>
      <c r="JW18" s="18"/>
      <c r="JX18" s="18"/>
      <c r="JY18" s="18"/>
      <c r="JZ18" s="18"/>
      <c r="KA18" s="18"/>
      <c r="KB18" s="18"/>
      <c r="KC18" s="18"/>
      <c r="KD18" s="18"/>
      <c r="KE18" s="18"/>
      <c r="KF18" s="18"/>
      <c r="KG18" s="18"/>
      <c r="KH18" s="18"/>
      <c r="KI18" s="18"/>
      <c r="KJ18" s="11" t="str">
        <f t="shared" si="120"/>
        <v/>
      </c>
      <c r="KK18" s="11" t="str">
        <f t="shared" si="121"/>
        <v/>
      </c>
      <c r="KL18" s="11" t="str">
        <f t="shared" si="122"/>
        <v/>
      </c>
      <c r="KM18" s="11" t="str">
        <f t="shared" si="123"/>
        <v/>
      </c>
      <c r="KN18" s="11" t="str">
        <f t="shared" si="124"/>
        <v/>
      </c>
      <c r="KO18" s="11" t="str">
        <f t="shared" si="125"/>
        <v/>
      </c>
      <c r="KP18" s="11" t="str">
        <f t="shared" si="126"/>
        <v/>
      </c>
      <c r="KQ18" s="11" t="str">
        <f t="shared" si="127"/>
        <v/>
      </c>
      <c r="KR18" s="11" t="str">
        <f t="shared" si="128"/>
        <v/>
      </c>
      <c r="KS18" s="11" t="str">
        <f t="shared" si="129"/>
        <v/>
      </c>
      <c r="KT18" s="11" t="str">
        <f t="shared" si="130"/>
        <v/>
      </c>
      <c r="KU18" s="11" t="str">
        <f t="shared" si="131"/>
        <v/>
      </c>
      <c r="KV18" s="11" t="str">
        <f t="shared" si="132"/>
        <v/>
      </c>
      <c r="KW18" s="11" t="str">
        <f t="shared" si="133"/>
        <v/>
      </c>
      <c r="KX18" s="17"/>
      <c r="KY18" s="17"/>
      <c r="KZ18" s="17"/>
      <c r="LA18" s="17"/>
      <c r="LB18" s="17"/>
      <c r="LC18" s="17"/>
      <c r="LD18" s="17"/>
      <c r="LE18" s="17"/>
      <c r="LF18" s="17"/>
      <c r="LG18" s="17"/>
      <c r="LH18" s="17"/>
      <c r="LI18" s="17"/>
      <c r="LJ18" s="17"/>
      <c r="LK18" s="17"/>
      <c r="LL18" s="17"/>
      <c r="LM18" s="17"/>
      <c r="LN18" s="17"/>
      <c r="LO18" s="17"/>
      <c r="LP18" s="17"/>
      <c r="LQ18" s="17"/>
      <c r="LR18" s="40" t="str">
        <f t="shared" si="134"/>
        <v/>
      </c>
      <c r="LS18" s="40" t="str">
        <f t="shared" si="135"/>
        <v/>
      </c>
      <c r="LT18" s="40" t="str">
        <f t="shared" si="136"/>
        <v/>
      </c>
      <c r="LU18" s="40" t="str">
        <f t="shared" si="137"/>
        <v/>
      </c>
      <c r="LV18" s="40" t="str">
        <f t="shared" si="138"/>
        <v/>
      </c>
      <c r="LW18" s="40" t="str">
        <f t="shared" si="139"/>
        <v/>
      </c>
      <c r="LX18" s="40" t="str">
        <f t="shared" si="140"/>
        <v/>
      </c>
      <c r="LY18" s="40" t="str">
        <f t="shared" si="141"/>
        <v/>
      </c>
      <c r="LZ18" s="40" t="str">
        <f t="shared" si="142"/>
        <v/>
      </c>
      <c r="MA18" s="40" t="str">
        <f t="shared" si="143"/>
        <v/>
      </c>
      <c r="MB18" s="40" t="str">
        <f t="shared" si="144"/>
        <v/>
      </c>
      <c r="MC18" s="40" t="str">
        <f t="shared" si="145"/>
        <v/>
      </c>
      <c r="MD18" s="40" t="str">
        <f t="shared" si="146"/>
        <v/>
      </c>
      <c r="ME18" s="40" t="str">
        <f t="shared" si="147"/>
        <v/>
      </c>
      <c r="MF18" s="18"/>
      <c r="MG18" s="18"/>
      <c r="MH18" s="18"/>
      <c r="MI18" s="18"/>
      <c r="MJ18" s="18"/>
      <c r="MK18" s="18"/>
      <c r="ML18" s="18"/>
      <c r="MM18" s="18"/>
      <c r="MN18" s="18"/>
      <c r="MO18" s="18"/>
      <c r="MP18" s="18"/>
      <c r="MQ18" s="18"/>
      <c r="MR18" s="18"/>
      <c r="MS18" s="18"/>
      <c r="MT18" s="18"/>
      <c r="MU18" s="18"/>
      <c r="MV18" s="18"/>
      <c r="MW18" s="18"/>
      <c r="MX18" s="18"/>
      <c r="MY18" s="18"/>
      <c r="MZ18" s="11" t="str">
        <f t="shared" si="148"/>
        <v/>
      </c>
      <c r="NA18" s="11" t="str">
        <f t="shared" si="149"/>
        <v/>
      </c>
      <c r="NB18" s="11" t="str">
        <f t="shared" si="150"/>
        <v/>
      </c>
      <c r="NC18" s="11" t="str">
        <f t="shared" si="151"/>
        <v/>
      </c>
      <c r="ND18" s="11" t="str">
        <f t="shared" si="152"/>
        <v/>
      </c>
      <c r="NE18" s="11" t="str">
        <f t="shared" si="153"/>
        <v/>
      </c>
      <c r="NF18" s="11" t="str">
        <f t="shared" si="154"/>
        <v/>
      </c>
      <c r="NG18" s="11" t="str">
        <f t="shared" si="155"/>
        <v/>
      </c>
      <c r="NH18" s="11" t="str">
        <f t="shared" si="156"/>
        <v/>
      </c>
      <c r="NI18" s="11" t="str">
        <f t="shared" si="157"/>
        <v/>
      </c>
      <c r="NJ18" s="11" t="str">
        <f t="shared" si="158"/>
        <v/>
      </c>
      <c r="NK18" s="11" t="str">
        <f t="shared" si="159"/>
        <v/>
      </c>
      <c r="NL18" s="11" t="str">
        <f t="shared" si="160"/>
        <v/>
      </c>
      <c r="NM18" s="11" t="str">
        <f t="shared" si="161"/>
        <v/>
      </c>
      <c r="NN18" s="17"/>
      <c r="NO18" s="17"/>
      <c r="NP18" s="17"/>
      <c r="NQ18" s="17"/>
      <c r="NR18" s="17"/>
      <c r="NS18" s="17"/>
      <c r="NT18" s="17"/>
      <c r="NU18" s="17"/>
      <c r="NV18" s="17"/>
      <c r="NW18" s="17"/>
      <c r="NX18" s="17"/>
      <c r="NY18" s="17"/>
      <c r="NZ18" s="17"/>
      <c r="OA18" s="17"/>
      <c r="OB18" s="17"/>
      <c r="OC18" s="17"/>
      <c r="OD18" s="17"/>
      <c r="OE18" s="17"/>
      <c r="OF18" s="17"/>
      <c r="OG18" s="17"/>
      <c r="OH18" s="40" t="str">
        <f t="shared" si="162"/>
        <v/>
      </c>
      <c r="OI18" s="40" t="str">
        <f t="shared" si="163"/>
        <v/>
      </c>
      <c r="OJ18" s="40" t="str">
        <f t="shared" si="164"/>
        <v/>
      </c>
      <c r="OK18" s="40" t="str">
        <f t="shared" si="165"/>
        <v/>
      </c>
      <c r="OL18" s="40" t="str">
        <f t="shared" si="166"/>
        <v/>
      </c>
      <c r="OM18" s="40" t="str">
        <f t="shared" si="167"/>
        <v/>
      </c>
      <c r="ON18" s="40" t="str">
        <f t="shared" si="168"/>
        <v/>
      </c>
      <c r="OO18" s="40" t="str">
        <f t="shared" si="169"/>
        <v/>
      </c>
      <c r="OP18" s="40" t="str">
        <f t="shared" si="170"/>
        <v/>
      </c>
      <c r="OQ18" s="40" t="str">
        <f t="shared" si="171"/>
        <v/>
      </c>
      <c r="OR18" s="40" t="str">
        <f t="shared" si="172"/>
        <v/>
      </c>
      <c r="OS18" s="40" t="str">
        <f t="shared" si="173"/>
        <v/>
      </c>
      <c r="OT18" s="40" t="str">
        <f t="shared" si="174"/>
        <v/>
      </c>
      <c r="OU18" s="40" t="str">
        <f t="shared" si="175"/>
        <v/>
      </c>
      <c r="OV18" s="18"/>
      <c r="OW18" s="18"/>
      <c r="OX18" s="18"/>
      <c r="OY18" s="18"/>
      <c r="OZ18" s="18"/>
      <c r="PA18" s="18"/>
      <c r="PB18" s="18"/>
      <c r="PC18" s="18"/>
      <c r="PD18" s="18"/>
      <c r="PE18" s="18"/>
      <c r="PF18" s="18"/>
      <c r="PG18" s="18"/>
      <c r="PH18" s="18"/>
      <c r="PI18" s="18"/>
      <c r="PJ18" s="18"/>
      <c r="PK18" s="18"/>
      <c r="PL18" s="18"/>
      <c r="PM18" s="18"/>
      <c r="PN18" s="18"/>
      <c r="PO18" s="18"/>
      <c r="PP18" s="11" t="str">
        <f t="shared" si="176"/>
        <v/>
      </c>
      <c r="PQ18" s="11" t="str">
        <f t="shared" si="177"/>
        <v/>
      </c>
      <c r="PR18" s="11" t="str">
        <f t="shared" si="178"/>
        <v/>
      </c>
      <c r="PS18" s="11" t="str">
        <f t="shared" si="179"/>
        <v/>
      </c>
      <c r="PT18" s="11" t="str">
        <f t="shared" si="180"/>
        <v/>
      </c>
      <c r="PU18" s="11" t="str">
        <f t="shared" si="181"/>
        <v/>
      </c>
      <c r="PV18" s="11" t="str">
        <f t="shared" si="182"/>
        <v/>
      </c>
      <c r="PW18" s="11" t="str">
        <f t="shared" si="183"/>
        <v/>
      </c>
      <c r="PX18" s="11" t="str">
        <f t="shared" si="184"/>
        <v/>
      </c>
      <c r="PY18" s="11" t="str">
        <f t="shared" si="185"/>
        <v/>
      </c>
      <c r="PZ18" s="11" t="str">
        <f t="shared" si="186"/>
        <v/>
      </c>
      <c r="QA18" s="11" t="str">
        <f t="shared" si="187"/>
        <v/>
      </c>
      <c r="QB18" s="11" t="str">
        <f t="shared" si="188"/>
        <v/>
      </c>
      <c r="QC18" s="11" t="str">
        <f t="shared" si="189"/>
        <v/>
      </c>
      <c r="QD18" s="17"/>
      <c r="QE18" s="17"/>
      <c r="QF18" s="17"/>
      <c r="QG18" s="17"/>
      <c r="QH18" s="17"/>
      <c r="QI18" s="17"/>
      <c r="QJ18" s="17"/>
      <c r="QK18" s="17"/>
      <c r="QL18" s="17"/>
      <c r="QM18" s="17"/>
      <c r="QN18" s="17"/>
      <c r="QO18" s="17"/>
      <c r="QP18" s="17"/>
      <c r="QQ18" s="17"/>
      <c r="QR18" s="17"/>
      <c r="QS18" s="17"/>
      <c r="QT18" s="17"/>
      <c r="QU18" s="17"/>
      <c r="QV18" s="17"/>
      <c r="QW18" s="17"/>
      <c r="QX18" s="40" t="str">
        <f t="shared" si="190"/>
        <v/>
      </c>
      <c r="QY18" s="40" t="str">
        <f t="shared" si="191"/>
        <v/>
      </c>
      <c r="QZ18" s="40" t="str">
        <f t="shared" si="192"/>
        <v/>
      </c>
      <c r="RA18" s="40" t="str">
        <f t="shared" si="193"/>
        <v/>
      </c>
      <c r="RB18" s="40" t="str">
        <f t="shared" si="194"/>
        <v/>
      </c>
      <c r="RC18" s="40" t="str">
        <f t="shared" si="195"/>
        <v/>
      </c>
      <c r="RD18" s="40" t="str">
        <f t="shared" si="196"/>
        <v/>
      </c>
      <c r="RE18" s="40" t="str">
        <f t="shared" si="197"/>
        <v/>
      </c>
      <c r="RF18" s="40" t="str">
        <f t="shared" si="198"/>
        <v/>
      </c>
      <c r="RG18" s="40" t="str">
        <f t="shared" si="199"/>
        <v/>
      </c>
      <c r="RH18" s="40" t="str">
        <f t="shared" si="200"/>
        <v/>
      </c>
      <c r="RI18" s="40" t="str">
        <f t="shared" si="201"/>
        <v/>
      </c>
      <c r="RJ18" s="40" t="str">
        <f t="shared" si="202"/>
        <v/>
      </c>
      <c r="RK18" s="40" t="str">
        <f t="shared" si="203"/>
        <v/>
      </c>
      <c r="RL18" s="18"/>
      <c r="RM18" s="18"/>
      <c r="RN18" s="18"/>
      <c r="RO18" s="18"/>
      <c r="RP18" s="18"/>
      <c r="RQ18" s="18"/>
      <c r="RR18" s="18"/>
      <c r="RS18" s="18"/>
      <c r="RT18" s="18"/>
      <c r="RU18" s="18"/>
      <c r="RV18" s="18"/>
      <c r="RW18" s="18"/>
      <c r="RX18" s="18"/>
      <c r="RY18" s="18"/>
      <c r="RZ18" s="18"/>
      <c r="SA18" s="18"/>
      <c r="SB18" s="18"/>
      <c r="SC18" s="18"/>
      <c r="SD18" s="18"/>
      <c r="SE18" s="18"/>
      <c r="SF18" s="11" t="str">
        <f t="shared" si="204"/>
        <v/>
      </c>
      <c r="SG18" s="11" t="str">
        <f t="shared" si="205"/>
        <v/>
      </c>
      <c r="SH18" s="11" t="str">
        <f t="shared" si="206"/>
        <v/>
      </c>
      <c r="SI18" s="11" t="str">
        <f t="shared" si="207"/>
        <v/>
      </c>
      <c r="SJ18" s="11" t="str">
        <f t="shared" si="208"/>
        <v/>
      </c>
      <c r="SK18" s="11" t="str">
        <f t="shared" si="209"/>
        <v/>
      </c>
      <c r="SL18" s="11" t="str">
        <f t="shared" si="210"/>
        <v/>
      </c>
      <c r="SM18" s="11" t="str">
        <f t="shared" si="211"/>
        <v/>
      </c>
      <c r="SN18" s="11" t="str">
        <f t="shared" si="212"/>
        <v/>
      </c>
      <c r="SO18" s="11" t="str">
        <f t="shared" si="213"/>
        <v/>
      </c>
      <c r="SP18" s="11" t="str">
        <f t="shared" si="214"/>
        <v/>
      </c>
      <c r="SQ18" s="11" t="str">
        <f t="shared" si="215"/>
        <v/>
      </c>
      <c r="SR18" s="11" t="str">
        <f t="shared" si="216"/>
        <v/>
      </c>
      <c r="SS18" s="11" t="str">
        <f t="shared" si="217"/>
        <v/>
      </c>
      <c r="ST18" s="22">
        <f t="shared" si="218"/>
        <v>7.2</v>
      </c>
      <c r="SU18" s="22">
        <f t="shared" si="219"/>
        <v>4.8</v>
      </c>
      <c r="SV18" s="22">
        <f t="shared" si="220"/>
        <v>5.7</v>
      </c>
      <c r="SW18" s="22">
        <f t="shared" si="221"/>
        <v>6.9550000000000001</v>
      </c>
      <c r="SX18" s="22">
        <f t="shared" si="222"/>
        <v>0</v>
      </c>
      <c r="SY18" s="22">
        <f t="shared" si="223"/>
        <v>6.35</v>
      </c>
      <c r="SZ18" s="22">
        <f t="shared" si="224"/>
        <v>4.1500000000000004</v>
      </c>
      <c r="TA18" s="22">
        <f t="shared" si="225"/>
        <v>4.45</v>
      </c>
      <c r="TB18" s="22">
        <f t="shared" si="226"/>
        <v>6.27</v>
      </c>
      <c r="TC18" s="22">
        <f t="shared" si="227"/>
        <v>0</v>
      </c>
      <c r="TD18" s="22">
        <f t="shared" si="228"/>
        <v>6.1</v>
      </c>
      <c r="TE18" s="22">
        <f t="shared" si="229"/>
        <v>4.8</v>
      </c>
      <c r="TF18" s="22">
        <f t="shared" si="230"/>
        <v>5.7</v>
      </c>
      <c r="TG18" s="22">
        <f t="shared" si="231"/>
        <v>7.25</v>
      </c>
      <c r="TH18" s="22">
        <f t="shared" si="232"/>
        <v>0</v>
      </c>
      <c r="TI18" s="27" t="s">
        <v>46</v>
      </c>
      <c r="TJ18" s="40">
        <f t="shared" si="233"/>
        <v>5.7</v>
      </c>
      <c r="TK18" s="40">
        <f t="shared" si="234"/>
        <v>6.9550000000000001</v>
      </c>
      <c r="TL18" s="40">
        <f t="shared" si="235"/>
        <v>24.655000000000001</v>
      </c>
      <c r="TM18" s="40">
        <f t="shared" si="236"/>
        <v>4.45</v>
      </c>
      <c r="TN18" s="40">
        <f t="shared" si="237"/>
        <v>6.27</v>
      </c>
      <c r="TO18" s="40">
        <f t="shared" si="238"/>
        <v>21.22</v>
      </c>
      <c r="TP18" s="40">
        <f t="shared" si="239"/>
        <v>24.655000000000001</v>
      </c>
      <c r="TQ18" s="40">
        <f t="shared" si="240"/>
        <v>5.7</v>
      </c>
      <c r="TR18" s="40">
        <f t="shared" si="241"/>
        <v>7.25</v>
      </c>
      <c r="TS18" s="40">
        <f t="shared" si="242"/>
        <v>23.849999999999998</v>
      </c>
      <c r="TT18" s="40">
        <f t="shared" si="243"/>
        <v>48.504999999999995</v>
      </c>
    </row>
    <row r="19" spans="1:540" x14ac:dyDescent="0.2">
      <c r="A19" s="4" t="str" cm="1">
        <f t="array" ref="A19">IF(AND(F19&lt;&gt;"",G19&lt;&gt;""),SUMPRODUCT((F$4:F$35&lt;&gt;"")*(G$4:G$35&lt;&gt;"")*(E$4:E$35&gt;E19))+1,IF(G19&lt;&gt;"",SUMPRODUCT((H$4:H$35="No DD")*(E$4:E$35&gt;E19))+1+SUMPRODUCT((F$4:F$35&lt;&gt;"")*(G$4:G$35&lt;&gt;"")),""))</f>
        <v/>
      </c>
      <c r="B19" s="5" t="s">
        <v>144</v>
      </c>
      <c r="C19" s="4" t="s">
        <v>3</v>
      </c>
      <c r="D19" s="4">
        <v>2002</v>
      </c>
      <c r="E19" s="9">
        <f t="shared" si="0"/>
        <v>156.68001566800498</v>
      </c>
      <c r="F19" s="3" t="str">
        <f t="shared" si="1"/>
        <v/>
      </c>
      <c r="G19" s="3" t="str">
        <f t="shared" si="2"/>
        <v/>
      </c>
      <c r="H19" s="36" t="str">
        <f t="shared" si="3"/>
        <v/>
      </c>
      <c r="I19" s="3" t="str">
        <f t="shared" si="4"/>
        <v/>
      </c>
      <c r="J19" s="8">
        <f>IF(COUNT(AO19,AR19,BP19,BS19,CQ19,CT19)&gt;0,LARGE((AO19,AR19,BP19,BS19,CQ19,CT19),1),0)</f>
        <v>49.65</v>
      </c>
      <c r="K19" s="8" t="str">
        <f t="shared" si="5"/>
        <v>2022 Nationals</v>
      </c>
      <c r="L19" s="8">
        <f>IF(COUNT(AO19,AR19,BP19,BS19,CQ19,CT19)&gt;1,LARGE((AO19,AR19,BP19,BS19,CQ19,CT19),2),0)</f>
        <v>46.96</v>
      </c>
      <c r="M19" s="8" t="str">
        <f t="shared" si="6"/>
        <v>2023 Elite Canada</v>
      </c>
      <c r="N19" s="8">
        <f>IF(COUNT(AO19,AR19,BP19,BS19,CQ19,CT19)&gt;2,MAX(AV19,BW19,CX19,LARGE((AO19,AR19,BP19,BS19,CQ19,CT19),3)),IF(MAX(AV19,BW19,CX19)&gt;0,MAX(AV19,BW19,CX19),0))</f>
        <v>47.870000000000005</v>
      </c>
      <c r="O19" s="8" t="str">
        <f t="shared" si="7"/>
        <v>2022 Nationals</v>
      </c>
      <c r="P19" s="8">
        <f t="shared" si="8"/>
        <v>12.2</v>
      </c>
      <c r="Q19" s="8" t="str">
        <f t="shared" si="9"/>
        <v>2023 Elite Canada</v>
      </c>
      <c r="R19" s="8">
        <f t="shared" si="10"/>
        <v>0</v>
      </c>
      <c r="S19" s="8" t="str">
        <f t="shared" si="11"/>
        <v/>
      </c>
      <c r="T19" s="8" t="str">
        <f t="shared" si="12"/>
        <v/>
      </c>
      <c r="U19" s="11" t="str">
        <f t="shared" si="13"/>
        <v/>
      </c>
      <c r="V19" s="8" t="str">
        <f t="shared" si="14"/>
        <v/>
      </c>
      <c r="W19" s="22">
        <v>13.5</v>
      </c>
      <c r="X19" s="22">
        <v>9.6999999999999993</v>
      </c>
      <c r="Y19" s="22">
        <v>11.8</v>
      </c>
      <c r="Z19" s="22">
        <v>14.65</v>
      </c>
      <c r="AA19" s="22">
        <v>0</v>
      </c>
      <c r="AB19" s="22"/>
      <c r="AC19" s="22"/>
      <c r="AD19" s="22"/>
      <c r="AE19" s="22"/>
      <c r="AF19" s="22"/>
      <c r="AG19" s="22">
        <v>12.7</v>
      </c>
      <c r="AH19" s="22">
        <v>9.3000000000000007</v>
      </c>
      <c r="AI19" s="22">
        <v>11.6</v>
      </c>
      <c r="AJ19" s="22">
        <v>14.27</v>
      </c>
      <c r="AK19" s="22">
        <v>0</v>
      </c>
      <c r="AL19" s="27"/>
      <c r="AM19" s="38">
        <f t="shared" si="15"/>
        <v>11.8</v>
      </c>
      <c r="AN19" s="38">
        <f t="shared" si="16"/>
        <v>14.65</v>
      </c>
      <c r="AO19" s="40">
        <f t="shared" si="17"/>
        <v>49.65</v>
      </c>
      <c r="AP19" s="40" t="str">
        <f t="shared" si="18"/>
        <v/>
      </c>
      <c r="AQ19" s="40" t="str">
        <f t="shared" si="19"/>
        <v/>
      </c>
      <c r="AR19" s="40" t="str">
        <f t="shared" si="20"/>
        <v/>
      </c>
      <c r="AS19" s="40">
        <f t="shared" si="21"/>
        <v>49.65</v>
      </c>
      <c r="AT19" s="40">
        <f t="shared" si="22"/>
        <v>11.6</v>
      </c>
      <c r="AU19" s="40">
        <f t="shared" si="23"/>
        <v>14.27</v>
      </c>
      <c r="AV19" s="40">
        <f t="shared" si="24"/>
        <v>47.870000000000005</v>
      </c>
      <c r="AW19" s="40">
        <f t="shared" si="25"/>
        <v>97.52000000000001</v>
      </c>
      <c r="AX19" s="26">
        <v>1.2</v>
      </c>
      <c r="AY19" s="26">
        <v>0.9</v>
      </c>
      <c r="AZ19" s="26">
        <v>1.7</v>
      </c>
      <c r="BA19" s="26">
        <v>1.58</v>
      </c>
      <c r="BB19" s="26">
        <v>0</v>
      </c>
      <c r="BC19" s="26"/>
      <c r="BD19" s="26"/>
      <c r="BE19" s="26"/>
      <c r="BF19" s="26"/>
      <c r="BG19" s="26"/>
      <c r="BH19" s="26">
        <v>0</v>
      </c>
      <c r="BI19" s="26">
        <v>0</v>
      </c>
      <c r="BJ19" s="26">
        <v>0</v>
      </c>
      <c r="BK19" s="26">
        <v>0</v>
      </c>
      <c r="BL19" s="26">
        <v>0</v>
      </c>
      <c r="BM19" s="28"/>
      <c r="BN19" s="39">
        <f t="shared" si="26"/>
        <v>1.7</v>
      </c>
      <c r="BO19" s="39">
        <f t="shared" si="27"/>
        <v>1.58</v>
      </c>
      <c r="BP19" s="11">
        <f t="shared" si="28"/>
        <v>5.38</v>
      </c>
      <c r="BQ19" s="11" t="str">
        <f t="shared" si="29"/>
        <v/>
      </c>
      <c r="BR19" s="11" t="str">
        <f t="shared" si="30"/>
        <v/>
      </c>
      <c r="BS19" s="11" t="str">
        <f t="shared" si="31"/>
        <v/>
      </c>
      <c r="BT19" s="11">
        <f t="shared" si="32"/>
        <v>5.38</v>
      </c>
      <c r="BU19" s="11" t="str">
        <f t="shared" si="33"/>
        <v/>
      </c>
      <c r="BV19" s="11" t="str">
        <f t="shared" si="34"/>
        <v/>
      </c>
      <c r="BW19" s="11" t="str">
        <f t="shared" si="35"/>
        <v/>
      </c>
      <c r="BX19" s="11">
        <f t="shared" si="36"/>
        <v>5.38</v>
      </c>
      <c r="BY19" s="22">
        <v>8.8000000000000007</v>
      </c>
      <c r="BZ19" s="22">
        <v>7.1</v>
      </c>
      <c r="CA19" s="22">
        <v>8.6999999999999993</v>
      </c>
      <c r="CB19" s="22">
        <v>11.16</v>
      </c>
      <c r="CC19" s="22">
        <v>0</v>
      </c>
      <c r="CD19" s="22">
        <v>11.6</v>
      </c>
      <c r="CE19" s="22">
        <v>8.9</v>
      </c>
      <c r="CF19" s="22">
        <v>12.2</v>
      </c>
      <c r="CG19" s="22">
        <v>14.26</v>
      </c>
      <c r="CH19" s="22">
        <v>0</v>
      </c>
      <c r="CI19" s="22"/>
      <c r="CJ19" s="22"/>
      <c r="CK19" s="22"/>
      <c r="CL19" s="22"/>
      <c r="CM19" s="22"/>
      <c r="CN19" s="27"/>
      <c r="CO19" s="38">
        <f t="shared" si="37"/>
        <v>8.6999999999999993</v>
      </c>
      <c r="CP19" s="38">
        <f t="shared" si="38"/>
        <v>11.16</v>
      </c>
      <c r="CQ19" s="40">
        <f t="shared" si="39"/>
        <v>35.760000000000005</v>
      </c>
      <c r="CR19" s="40">
        <f t="shared" si="40"/>
        <v>12.2</v>
      </c>
      <c r="CS19" s="40">
        <f t="shared" si="41"/>
        <v>14.26</v>
      </c>
      <c r="CT19" s="40">
        <f t="shared" si="42"/>
        <v>46.96</v>
      </c>
      <c r="CU19" s="40">
        <f t="shared" si="43"/>
        <v>46.96</v>
      </c>
      <c r="CV19" s="40" t="str">
        <f t="shared" si="44"/>
        <v/>
      </c>
      <c r="CW19" s="40" t="str">
        <f t="shared" si="45"/>
        <v/>
      </c>
      <c r="CX19" s="40" t="str">
        <f t="shared" si="46"/>
        <v/>
      </c>
      <c r="CY19" s="40">
        <f t="shared" si="47"/>
        <v>46.96</v>
      </c>
      <c r="CZ19" s="50" t="str">
        <f t="shared" si="48"/>
        <v/>
      </c>
      <c r="DA19" s="50" t="str">
        <f t="shared" si="49"/>
        <v/>
      </c>
      <c r="DB19" s="17"/>
      <c r="DC19" s="17"/>
      <c r="DD19" s="17"/>
      <c r="DE19" s="17"/>
      <c r="DF19" s="17"/>
      <c r="DG19" s="17"/>
      <c r="DH19" s="17"/>
      <c r="DI19" s="17"/>
      <c r="DJ19" s="17"/>
      <c r="DK19" s="17"/>
      <c r="DL19" s="17"/>
      <c r="DM19" s="17"/>
      <c r="DN19" s="17"/>
      <c r="DO19" s="17"/>
      <c r="DP19" s="17"/>
      <c r="DQ19" s="17"/>
      <c r="DR19" s="17"/>
      <c r="DS19" s="17"/>
      <c r="DT19" s="17"/>
      <c r="DU19" s="17"/>
      <c r="DV19" s="40" t="str">
        <f t="shared" si="50"/>
        <v/>
      </c>
      <c r="DW19" s="40" t="str">
        <f t="shared" si="51"/>
        <v/>
      </c>
      <c r="DX19" s="40" t="str">
        <f t="shared" si="52"/>
        <v/>
      </c>
      <c r="DY19" s="40" t="str">
        <f t="shared" si="53"/>
        <v/>
      </c>
      <c r="DZ19" s="40" t="str">
        <f t="shared" si="54"/>
        <v/>
      </c>
      <c r="EA19" s="40" t="str">
        <f t="shared" si="55"/>
        <v/>
      </c>
      <c r="EB19" s="40" t="str">
        <f t="shared" si="56"/>
        <v/>
      </c>
      <c r="EC19" s="40" t="str">
        <f t="shared" si="57"/>
        <v/>
      </c>
      <c r="ED19" s="40" t="str">
        <f t="shared" si="58"/>
        <v/>
      </c>
      <c r="EE19" s="40" t="str">
        <f t="shared" si="59"/>
        <v/>
      </c>
      <c r="EF19" s="40" t="str">
        <f t="shared" si="60"/>
        <v/>
      </c>
      <c r="EG19" s="40" t="str">
        <f t="shared" si="61"/>
        <v/>
      </c>
      <c r="EH19" s="40" t="str">
        <f t="shared" si="62"/>
        <v/>
      </c>
      <c r="EI19" s="40" t="str">
        <f t="shared" si="63"/>
        <v/>
      </c>
      <c r="EJ19" s="18"/>
      <c r="EK19" s="18"/>
      <c r="EL19" s="18"/>
      <c r="EM19" s="18"/>
      <c r="EN19" s="18"/>
      <c r="EO19" s="18"/>
      <c r="EP19" s="18"/>
      <c r="EQ19" s="18"/>
      <c r="ER19" s="18"/>
      <c r="ES19" s="18"/>
      <c r="ET19" s="18"/>
      <c r="EU19" s="18"/>
      <c r="EV19" s="18"/>
      <c r="EW19" s="18"/>
      <c r="EX19" s="18"/>
      <c r="EY19" s="18"/>
      <c r="EZ19" s="18"/>
      <c r="FA19" s="18"/>
      <c r="FB19" s="18"/>
      <c r="FC19" s="18"/>
      <c r="FD19" s="11" t="str">
        <f t="shared" si="64"/>
        <v/>
      </c>
      <c r="FE19" s="11" t="str">
        <f t="shared" si="65"/>
        <v/>
      </c>
      <c r="FF19" s="11" t="str">
        <f t="shared" si="66"/>
        <v/>
      </c>
      <c r="FG19" s="11" t="str">
        <f t="shared" si="67"/>
        <v/>
      </c>
      <c r="FH19" s="11" t="str">
        <f t="shared" si="68"/>
        <v/>
      </c>
      <c r="FI19" s="11" t="str">
        <f t="shared" si="69"/>
        <v/>
      </c>
      <c r="FJ19" s="11" t="str">
        <f t="shared" si="70"/>
        <v/>
      </c>
      <c r="FK19" s="11" t="str">
        <f t="shared" si="71"/>
        <v/>
      </c>
      <c r="FL19" s="11" t="str">
        <f t="shared" si="72"/>
        <v/>
      </c>
      <c r="FM19" s="11" t="str">
        <f t="shared" si="73"/>
        <v/>
      </c>
      <c r="FN19" s="11" t="str">
        <f t="shared" si="74"/>
        <v/>
      </c>
      <c r="FO19" s="11" t="str">
        <f t="shared" si="75"/>
        <v/>
      </c>
      <c r="FP19" s="11" t="str">
        <f t="shared" si="76"/>
        <v/>
      </c>
      <c r="FQ19" s="11" t="str">
        <f t="shared" si="77"/>
        <v/>
      </c>
      <c r="FR19" s="17"/>
      <c r="FS19" s="17"/>
      <c r="FT19" s="17"/>
      <c r="FU19" s="17"/>
      <c r="FV19" s="17"/>
      <c r="FW19" s="17"/>
      <c r="FX19" s="17"/>
      <c r="FY19" s="17"/>
      <c r="FZ19" s="17"/>
      <c r="GA19" s="17"/>
      <c r="GB19" s="17"/>
      <c r="GC19" s="17"/>
      <c r="GD19" s="17"/>
      <c r="GE19" s="17"/>
      <c r="GF19" s="17"/>
      <c r="GG19" s="17"/>
      <c r="GH19" s="17"/>
      <c r="GI19" s="17"/>
      <c r="GJ19" s="17"/>
      <c r="GK19" s="17"/>
      <c r="GL19" s="40" t="str">
        <f t="shared" si="78"/>
        <v/>
      </c>
      <c r="GM19" s="40" t="str">
        <f t="shared" si="79"/>
        <v/>
      </c>
      <c r="GN19" s="40" t="str">
        <f t="shared" si="80"/>
        <v/>
      </c>
      <c r="GO19" s="40" t="str">
        <f t="shared" si="81"/>
        <v/>
      </c>
      <c r="GP19" s="40" t="str">
        <f t="shared" si="82"/>
        <v/>
      </c>
      <c r="GQ19" s="40" t="str">
        <f t="shared" si="83"/>
        <v/>
      </c>
      <c r="GR19" s="40" t="str">
        <f t="shared" si="84"/>
        <v/>
      </c>
      <c r="GS19" s="40" t="str">
        <f t="shared" si="85"/>
        <v/>
      </c>
      <c r="GT19" s="40" t="str">
        <f t="shared" si="86"/>
        <v/>
      </c>
      <c r="GU19" s="40" t="str">
        <f t="shared" si="87"/>
        <v/>
      </c>
      <c r="GV19" s="40" t="str">
        <f t="shared" si="88"/>
        <v/>
      </c>
      <c r="GW19" s="40" t="str">
        <f t="shared" si="89"/>
        <v/>
      </c>
      <c r="GX19" s="40" t="str">
        <f t="shared" si="90"/>
        <v/>
      </c>
      <c r="GY19" s="40" t="str">
        <f t="shared" si="91"/>
        <v/>
      </c>
      <c r="GZ19" s="18"/>
      <c r="HA19" s="18"/>
      <c r="HB19" s="18"/>
      <c r="HC19" s="18"/>
      <c r="HD19" s="18"/>
      <c r="HE19" s="18"/>
      <c r="HF19" s="18"/>
      <c r="HG19" s="18"/>
      <c r="HH19" s="18"/>
      <c r="HI19" s="18"/>
      <c r="HJ19" s="18"/>
      <c r="HK19" s="18"/>
      <c r="HL19" s="18"/>
      <c r="HM19" s="18"/>
      <c r="HN19" s="18"/>
      <c r="HO19" s="18"/>
      <c r="HP19" s="18"/>
      <c r="HQ19" s="18"/>
      <c r="HR19" s="18"/>
      <c r="HS19" s="18"/>
      <c r="HT19" s="11" t="str">
        <f t="shared" si="92"/>
        <v/>
      </c>
      <c r="HU19" s="11" t="str">
        <f t="shared" si="93"/>
        <v/>
      </c>
      <c r="HV19" s="11" t="str">
        <f t="shared" si="94"/>
        <v/>
      </c>
      <c r="HW19" s="11" t="str">
        <f t="shared" si="95"/>
        <v/>
      </c>
      <c r="HX19" s="11" t="str">
        <f t="shared" si="96"/>
        <v/>
      </c>
      <c r="HY19" s="11" t="str">
        <f t="shared" si="97"/>
        <v/>
      </c>
      <c r="HZ19" s="11" t="str">
        <f t="shared" si="98"/>
        <v/>
      </c>
      <c r="IA19" s="11" t="str">
        <f t="shared" si="99"/>
        <v/>
      </c>
      <c r="IB19" s="11" t="str">
        <f t="shared" si="100"/>
        <v/>
      </c>
      <c r="IC19" s="11" t="str">
        <f t="shared" si="101"/>
        <v/>
      </c>
      <c r="ID19" s="11" t="str">
        <f t="shared" si="102"/>
        <v/>
      </c>
      <c r="IE19" s="11" t="str">
        <f t="shared" si="103"/>
        <v/>
      </c>
      <c r="IF19" s="11" t="str">
        <f t="shared" si="104"/>
        <v/>
      </c>
      <c r="IG19" s="11" t="str">
        <f t="shared" si="105"/>
        <v/>
      </c>
      <c r="IH19" s="17"/>
      <c r="II19" s="17"/>
      <c r="IJ19" s="17"/>
      <c r="IK19" s="17"/>
      <c r="IL19" s="17"/>
      <c r="IM19" s="17"/>
      <c r="IN19" s="17"/>
      <c r="IO19" s="17"/>
      <c r="IP19" s="17"/>
      <c r="IQ19" s="17"/>
      <c r="IR19" s="17"/>
      <c r="IS19" s="17"/>
      <c r="IT19" s="17"/>
      <c r="IU19" s="17"/>
      <c r="IV19" s="17"/>
      <c r="IW19" s="17"/>
      <c r="IX19" s="17"/>
      <c r="IY19" s="17"/>
      <c r="IZ19" s="17"/>
      <c r="JA19" s="17"/>
      <c r="JB19" s="40" t="str">
        <f t="shared" si="106"/>
        <v/>
      </c>
      <c r="JC19" s="40" t="str">
        <f t="shared" si="107"/>
        <v/>
      </c>
      <c r="JD19" s="40" t="str">
        <f t="shared" si="108"/>
        <v/>
      </c>
      <c r="JE19" s="40" t="str">
        <f t="shared" si="109"/>
        <v/>
      </c>
      <c r="JF19" s="40" t="str">
        <f t="shared" si="110"/>
        <v/>
      </c>
      <c r="JG19" s="40" t="str">
        <f t="shared" si="111"/>
        <v/>
      </c>
      <c r="JH19" s="40" t="str">
        <f t="shared" si="112"/>
        <v/>
      </c>
      <c r="JI19" s="40" t="str">
        <f t="shared" si="113"/>
        <v/>
      </c>
      <c r="JJ19" s="40" t="str">
        <f t="shared" si="114"/>
        <v/>
      </c>
      <c r="JK19" s="40" t="str">
        <f t="shared" si="115"/>
        <v/>
      </c>
      <c r="JL19" s="40" t="str">
        <f t="shared" si="116"/>
        <v/>
      </c>
      <c r="JM19" s="40" t="str">
        <f t="shared" si="117"/>
        <v/>
      </c>
      <c r="JN19" s="40" t="str">
        <f t="shared" si="118"/>
        <v/>
      </c>
      <c r="JO19" s="40" t="str">
        <f t="shared" si="119"/>
        <v/>
      </c>
      <c r="JP19" s="18"/>
      <c r="JQ19" s="18"/>
      <c r="JR19" s="18"/>
      <c r="JS19" s="18"/>
      <c r="JT19" s="18"/>
      <c r="JU19" s="18"/>
      <c r="JV19" s="18"/>
      <c r="JW19" s="18"/>
      <c r="JX19" s="18"/>
      <c r="JY19" s="18"/>
      <c r="JZ19" s="18"/>
      <c r="KA19" s="18"/>
      <c r="KB19" s="18"/>
      <c r="KC19" s="18"/>
      <c r="KD19" s="18"/>
      <c r="KE19" s="18"/>
      <c r="KF19" s="18"/>
      <c r="KG19" s="18"/>
      <c r="KH19" s="18"/>
      <c r="KI19" s="18"/>
      <c r="KJ19" s="11" t="str">
        <f t="shared" si="120"/>
        <v/>
      </c>
      <c r="KK19" s="11" t="str">
        <f t="shared" si="121"/>
        <v/>
      </c>
      <c r="KL19" s="11" t="str">
        <f t="shared" si="122"/>
        <v/>
      </c>
      <c r="KM19" s="11" t="str">
        <f t="shared" si="123"/>
        <v/>
      </c>
      <c r="KN19" s="11" t="str">
        <f t="shared" si="124"/>
        <v/>
      </c>
      <c r="KO19" s="11" t="str">
        <f t="shared" si="125"/>
        <v/>
      </c>
      <c r="KP19" s="11" t="str">
        <f t="shared" si="126"/>
        <v/>
      </c>
      <c r="KQ19" s="11" t="str">
        <f t="shared" si="127"/>
        <v/>
      </c>
      <c r="KR19" s="11" t="str">
        <f t="shared" si="128"/>
        <v/>
      </c>
      <c r="KS19" s="11" t="str">
        <f t="shared" si="129"/>
        <v/>
      </c>
      <c r="KT19" s="11" t="str">
        <f t="shared" si="130"/>
        <v/>
      </c>
      <c r="KU19" s="11" t="str">
        <f t="shared" si="131"/>
        <v/>
      </c>
      <c r="KV19" s="11" t="str">
        <f t="shared" si="132"/>
        <v/>
      </c>
      <c r="KW19" s="11" t="str">
        <f t="shared" si="133"/>
        <v/>
      </c>
      <c r="KX19" s="17"/>
      <c r="KY19" s="17"/>
      <c r="KZ19" s="17"/>
      <c r="LA19" s="17"/>
      <c r="LB19" s="17"/>
      <c r="LC19" s="17"/>
      <c r="LD19" s="17"/>
      <c r="LE19" s="17"/>
      <c r="LF19" s="17"/>
      <c r="LG19" s="17"/>
      <c r="LH19" s="17"/>
      <c r="LI19" s="17"/>
      <c r="LJ19" s="17"/>
      <c r="LK19" s="17"/>
      <c r="LL19" s="17"/>
      <c r="LM19" s="17"/>
      <c r="LN19" s="17"/>
      <c r="LO19" s="17"/>
      <c r="LP19" s="17"/>
      <c r="LQ19" s="17"/>
      <c r="LR19" s="40" t="str">
        <f t="shared" si="134"/>
        <v/>
      </c>
      <c r="LS19" s="40" t="str">
        <f t="shared" si="135"/>
        <v/>
      </c>
      <c r="LT19" s="40" t="str">
        <f t="shared" si="136"/>
        <v/>
      </c>
      <c r="LU19" s="40" t="str">
        <f t="shared" si="137"/>
        <v/>
      </c>
      <c r="LV19" s="40" t="str">
        <f t="shared" si="138"/>
        <v/>
      </c>
      <c r="LW19" s="40" t="str">
        <f t="shared" si="139"/>
        <v/>
      </c>
      <c r="LX19" s="40" t="str">
        <f t="shared" si="140"/>
        <v/>
      </c>
      <c r="LY19" s="40" t="str">
        <f t="shared" si="141"/>
        <v/>
      </c>
      <c r="LZ19" s="40" t="str">
        <f t="shared" si="142"/>
        <v/>
      </c>
      <c r="MA19" s="40" t="str">
        <f t="shared" si="143"/>
        <v/>
      </c>
      <c r="MB19" s="40" t="str">
        <f t="shared" si="144"/>
        <v/>
      </c>
      <c r="MC19" s="40" t="str">
        <f t="shared" si="145"/>
        <v/>
      </c>
      <c r="MD19" s="40" t="str">
        <f t="shared" si="146"/>
        <v/>
      </c>
      <c r="ME19" s="40" t="str">
        <f t="shared" si="147"/>
        <v/>
      </c>
      <c r="MF19" s="18"/>
      <c r="MG19" s="18"/>
      <c r="MH19" s="18"/>
      <c r="MI19" s="18"/>
      <c r="MJ19" s="18"/>
      <c r="MK19" s="18"/>
      <c r="ML19" s="18"/>
      <c r="MM19" s="18"/>
      <c r="MN19" s="18"/>
      <c r="MO19" s="18"/>
      <c r="MP19" s="18"/>
      <c r="MQ19" s="18"/>
      <c r="MR19" s="18"/>
      <c r="MS19" s="18"/>
      <c r="MT19" s="18"/>
      <c r="MU19" s="18"/>
      <c r="MV19" s="18"/>
      <c r="MW19" s="18"/>
      <c r="MX19" s="18"/>
      <c r="MY19" s="18"/>
      <c r="MZ19" s="11" t="str">
        <f t="shared" si="148"/>
        <v/>
      </c>
      <c r="NA19" s="11" t="str">
        <f t="shared" si="149"/>
        <v/>
      </c>
      <c r="NB19" s="11" t="str">
        <f t="shared" si="150"/>
        <v/>
      </c>
      <c r="NC19" s="11" t="str">
        <f t="shared" si="151"/>
        <v/>
      </c>
      <c r="ND19" s="11" t="str">
        <f t="shared" si="152"/>
        <v/>
      </c>
      <c r="NE19" s="11" t="str">
        <f t="shared" si="153"/>
        <v/>
      </c>
      <c r="NF19" s="11" t="str">
        <f t="shared" si="154"/>
        <v/>
      </c>
      <c r="NG19" s="11" t="str">
        <f t="shared" si="155"/>
        <v/>
      </c>
      <c r="NH19" s="11" t="str">
        <f t="shared" si="156"/>
        <v/>
      </c>
      <c r="NI19" s="11" t="str">
        <f t="shared" si="157"/>
        <v/>
      </c>
      <c r="NJ19" s="11" t="str">
        <f t="shared" si="158"/>
        <v/>
      </c>
      <c r="NK19" s="11" t="str">
        <f t="shared" si="159"/>
        <v/>
      </c>
      <c r="NL19" s="11" t="str">
        <f t="shared" si="160"/>
        <v/>
      </c>
      <c r="NM19" s="11" t="str">
        <f t="shared" si="161"/>
        <v/>
      </c>
      <c r="NN19" s="17"/>
      <c r="NO19" s="17"/>
      <c r="NP19" s="17"/>
      <c r="NQ19" s="17"/>
      <c r="NR19" s="17"/>
      <c r="NS19" s="17"/>
      <c r="NT19" s="17"/>
      <c r="NU19" s="17"/>
      <c r="NV19" s="17"/>
      <c r="NW19" s="17"/>
      <c r="NX19" s="17"/>
      <c r="NY19" s="17"/>
      <c r="NZ19" s="17"/>
      <c r="OA19" s="17"/>
      <c r="OB19" s="17"/>
      <c r="OC19" s="17"/>
      <c r="OD19" s="17"/>
      <c r="OE19" s="17"/>
      <c r="OF19" s="17"/>
      <c r="OG19" s="17"/>
      <c r="OH19" s="40" t="str">
        <f t="shared" si="162"/>
        <v/>
      </c>
      <c r="OI19" s="40" t="str">
        <f t="shared" si="163"/>
        <v/>
      </c>
      <c r="OJ19" s="40" t="str">
        <f t="shared" si="164"/>
        <v/>
      </c>
      <c r="OK19" s="40" t="str">
        <f t="shared" si="165"/>
        <v/>
      </c>
      <c r="OL19" s="40" t="str">
        <f t="shared" si="166"/>
        <v/>
      </c>
      <c r="OM19" s="40" t="str">
        <f t="shared" si="167"/>
        <v/>
      </c>
      <c r="ON19" s="40" t="str">
        <f t="shared" si="168"/>
        <v/>
      </c>
      <c r="OO19" s="40" t="str">
        <f t="shared" si="169"/>
        <v/>
      </c>
      <c r="OP19" s="40" t="str">
        <f t="shared" si="170"/>
        <v/>
      </c>
      <c r="OQ19" s="40" t="str">
        <f t="shared" si="171"/>
        <v/>
      </c>
      <c r="OR19" s="40" t="str">
        <f t="shared" si="172"/>
        <v/>
      </c>
      <c r="OS19" s="40" t="str">
        <f t="shared" si="173"/>
        <v/>
      </c>
      <c r="OT19" s="40" t="str">
        <f t="shared" si="174"/>
        <v/>
      </c>
      <c r="OU19" s="40" t="str">
        <f t="shared" si="175"/>
        <v/>
      </c>
      <c r="OV19" s="18"/>
      <c r="OW19" s="18"/>
      <c r="OX19" s="18"/>
      <c r="OY19" s="18"/>
      <c r="OZ19" s="18"/>
      <c r="PA19" s="18"/>
      <c r="PB19" s="18"/>
      <c r="PC19" s="18"/>
      <c r="PD19" s="18"/>
      <c r="PE19" s="18"/>
      <c r="PF19" s="18"/>
      <c r="PG19" s="18"/>
      <c r="PH19" s="18"/>
      <c r="PI19" s="18"/>
      <c r="PJ19" s="18"/>
      <c r="PK19" s="18"/>
      <c r="PL19" s="18"/>
      <c r="PM19" s="18"/>
      <c r="PN19" s="18"/>
      <c r="PO19" s="18"/>
      <c r="PP19" s="11" t="str">
        <f t="shared" si="176"/>
        <v/>
      </c>
      <c r="PQ19" s="11" t="str">
        <f t="shared" si="177"/>
        <v/>
      </c>
      <c r="PR19" s="11" t="str">
        <f t="shared" si="178"/>
        <v/>
      </c>
      <c r="PS19" s="11" t="str">
        <f t="shared" si="179"/>
        <v/>
      </c>
      <c r="PT19" s="11" t="str">
        <f t="shared" si="180"/>
        <v/>
      </c>
      <c r="PU19" s="11" t="str">
        <f t="shared" si="181"/>
        <v/>
      </c>
      <c r="PV19" s="11" t="str">
        <f t="shared" si="182"/>
        <v/>
      </c>
      <c r="PW19" s="11" t="str">
        <f t="shared" si="183"/>
        <v/>
      </c>
      <c r="PX19" s="11" t="str">
        <f t="shared" si="184"/>
        <v/>
      </c>
      <c r="PY19" s="11" t="str">
        <f t="shared" si="185"/>
        <v/>
      </c>
      <c r="PZ19" s="11" t="str">
        <f t="shared" si="186"/>
        <v/>
      </c>
      <c r="QA19" s="11" t="str">
        <f t="shared" si="187"/>
        <v/>
      </c>
      <c r="QB19" s="11" t="str">
        <f t="shared" si="188"/>
        <v/>
      </c>
      <c r="QC19" s="11" t="str">
        <f t="shared" si="189"/>
        <v/>
      </c>
      <c r="QD19" s="17"/>
      <c r="QE19" s="17"/>
      <c r="QF19" s="17"/>
      <c r="QG19" s="17"/>
      <c r="QH19" s="17"/>
      <c r="QI19" s="17"/>
      <c r="QJ19" s="17"/>
      <c r="QK19" s="17"/>
      <c r="QL19" s="17"/>
      <c r="QM19" s="17"/>
      <c r="QN19" s="17"/>
      <c r="QO19" s="17"/>
      <c r="QP19" s="17"/>
      <c r="QQ19" s="17"/>
      <c r="QR19" s="17"/>
      <c r="QS19" s="17"/>
      <c r="QT19" s="17"/>
      <c r="QU19" s="17"/>
      <c r="QV19" s="17"/>
      <c r="QW19" s="17"/>
      <c r="QX19" s="40" t="str">
        <f t="shared" si="190"/>
        <v/>
      </c>
      <c r="QY19" s="40" t="str">
        <f t="shared" si="191"/>
        <v/>
      </c>
      <c r="QZ19" s="40" t="str">
        <f t="shared" si="192"/>
        <v/>
      </c>
      <c r="RA19" s="40" t="str">
        <f t="shared" si="193"/>
        <v/>
      </c>
      <c r="RB19" s="40" t="str">
        <f t="shared" si="194"/>
        <v/>
      </c>
      <c r="RC19" s="40" t="str">
        <f t="shared" si="195"/>
        <v/>
      </c>
      <c r="RD19" s="40" t="str">
        <f t="shared" si="196"/>
        <v/>
      </c>
      <c r="RE19" s="40" t="str">
        <f t="shared" si="197"/>
        <v/>
      </c>
      <c r="RF19" s="40" t="str">
        <f t="shared" si="198"/>
        <v/>
      </c>
      <c r="RG19" s="40" t="str">
        <f t="shared" si="199"/>
        <v/>
      </c>
      <c r="RH19" s="40" t="str">
        <f t="shared" si="200"/>
        <v/>
      </c>
      <c r="RI19" s="40" t="str">
        <f t="shared" si="201"/>
        <v/>
      </c>
      <c r="RJ19" s="40" t="str">
        <f t="shared" si="202"/>
        <v/>
      </c>
      <c r="RK19" s="40" t="str">
        <f t="shared" si="203"/>
        <v/>
      </c>
      <c r="RL19" s="18"/>
      <c r="RM19" s="18"/>
      <c r="RN19" s="18"/>
      <c r="RO19" s="18"/>
      <c r="RP19" s="18"/>
      <c r="RQ19" s="18"/>
      <c r="RR19" s="18"/>
      <c r="RS19" s="18"/>
      <c r="RT19" s="18"/>
      <c r="RU19" s="18"/>
      <c r="RV19" s="18"/>
      <c r="RW19" s="18"/>
      <c r="RX19" s="18"/>
      <c r="RY19" s="18"/>
      <c r="RZ19" s="18"/>
      <c r="SA19" s="18"/>
      <c r="SB19" s="18"/>
      <c r="SC19" s="18"/>
      <c r="SD19" s="18"/>
      <c r="SE19" s="18"/>
      <c r="SF19" s="11" t="str">
        <f t="shared" si="204"/>
        <v/>
      </c>
      <c r="SG19" s="11" t="str">
        <f t="shared" si="205"/>
        <v/>
      </c>
      <c r="SH19" s="11" t="str">
        <f t="shared" si="206"/>
        <v/>
      </c>
      <c r="SI19" s="11" t="str">
        <f t="shared" si="207"/>
        <v/>
      </c>
      <c r="SJ19" s="11" t="str">
        <f t="shared" si="208"/>
        <v/>
      </c>
      <c r="SK19" s="11" t="str">
        <f t="shared" si="209"/>
        <v/>
      </c>
      <c r="SL19" s="11" t="str">
        <f t="shared" si="210"/>
        <v/>
      </c>
      <c r="SM19" s="11" t="str">
        <f t="shared" si="211"/>
        <v/>
      </c>
      <c r="SN19" s="11" t="str">
        <f t="shared" si="212"/>
        <v/>
      </c>
      <c r="SO19" s="11" t="str">
        <f t="shared" si="213"/>
        <v/>
      </c>
      <c r="SP19" s="11" t="str">
        <f t="shared" si="214"/>
        <v/>
      </c>
      <c r="SQ19" s="11" t="str">
        <f t="shared" si="215"/>
        <v/>
      </c>
      <c r="SR19" s="11" t="str">
        <f t="shared" si="216"/>
        <v/>
      </c>
      <c r="SS19" s="11" t="str">
        <f t="shared" si="217"/>
        <v/>
      </c>
      <c r="ST19" s="22">
        <f t="shared" si="218"/>
        <v>5</v>
      </c>
      <c r="SU19" s="22">
        <f t="shared" si="219"/>
        <v>4</v>
      </c>
      <c r="SV19" s="22">
        <f t="shared" si="220"/>
        <v>5.1999999999999993</v>
      </c>
      <c r="SW19" s="22">
        <f t="shared" si="221"/>
        <v>6.37</v>
      </c>
      <c r="SX19" s="22">
        <f t="shared" si="222"/>
        <v>0</v>
      </c>
      <c r="SY19" s="22">
        <f t="shared" si="223"/>
        <v>5.8</v>
      </c>
      <c r="SZ19" s="22">
        <f t="shared" si="224"/>
        <v>4.45</v>
      </c>
      <c r="TA19" s="22">
        <f t="shared" si="225"/>
        <v>6.1</v>
      </c>
      <c r="TB19" s="22">
        <f t="shared" si="226"/>
        <v>7.13</v>
      </c>
      <c r="TC19" s="22">
        <f t="shared" si="227"/>
        <v>0</v>
      </c>
      <c r="TD19" s="22">
        <f t="shared" si="228"/>
        <v>0</v>
      </c>
      <c r="TE19" s="22">
        <f t="shared" si="229"/>
        <v>0</v>
      </c>
      <c r="TF19" s="22">
        <f t="shared" si="230"/>
        <v>0</v>
      </c>
      <c r="TG19" s="22">
        <f t="shared" si="231"/>
        <v>0</v>
      </c>
      <c r="TH19" s="22">
        <f t="shared" si="232"/>
        <v>0</v>
      </c>
      <c r="TI19" s="27" t="s">
        <v>46</v>
      </c>
      <c r="TJ19" s="40">
        <f t="shared" si="233"/>
        <v>5.1999999999999993</v>
      </c>
      <c r="TK19" s="40">
        <f t="shared" si="234"/>
        <v>6.37</v>
      </c>
      <c r="TL19" s="40">
        <f t="shared" si="235"/>
        <v>20.57</v>
      </c>
      <c r="TM19" s="40">
        <f t="shared" si="236"/>
        <v>6.1</v>
      </c>
      <c r="TN19" s="40">
        <f t="shared" si="237"/>
        <v>7.13</v>
      </c>
      <c r="TO19" s="40">
        <f t="shared" si="238"/>
        <v>23.48</v>
      </c>
      <c r="TP19" s="40">
        <f t="shared" si="239"/>
        <v>23.48</v>
      </c>
      <c r="TQ19" s="40" t="str">
        <f t="shared" si="240"/>
        <v/>
      </c>
      <c r="TR19" s="40" t="str">
        <f t="shared" si="241"/>
        <v/>
      </c>
      <c r="TS19" s="40" t="str">
        <f t="shared" si="242"/>
        <v/>
      </c>
      <c r="TT19" s="40">
        <f t="shared" si="243"/>
        <v>23.48</v>
      </c>
    </row>
    <row r="20" spans="1:540" x14ac:dyDescent="0.2">
      <c r="A20" s="4" t="str" cm="1">
        <f t="array" ref="A20">IF(AND(F20&lt;&gt;"",G20&lt;&gt;""),SUMPRODUCT((F$4:F$35&lt;&gt;"")*(G$4:G$35&lt;&gt;"")*(E$4:E$35&gt;E20))+1,IF(G20&lt;&gt;"",SUMPRODUCT((H$4:H$35="No DD")*(E$4:E$35&gt;E20))+1+SUMPRODUCT((F$4:F$35&lt;&gt;"")*(G$4:G$35&lt;&gt;"")),""))</f>
        <v/>
      </c>
      <c r="B20" s="5" t="s">
        <v>147</v>
      </c>
      <c r="C20" s="4" t="s">
        <v>3</v>
      </c>
      <c r="D20" s="4">
        <v>2005</v>
      </c>
      <c r="E20" s="9">
        <f t="shared" si="0"/>
        <v>156.66001566600494</v>
      </c>
      <c r="F20" s="3" t="str">
        <f t="shared" si="1"/>
        <v/>
      </c>
      <c r="G20" s="3" t="str">
        <f t="shared" si="2"/>
        <v/>
      </c>
      <c r="H20" s="36" t="str">
        <f t="shared" si="3"/>
        <v/>
      </c>
      <c r="I20" s="3" t="str">
        <f t="shared" si="4"/>
        <v/>
      </c>
      <c r="J20" s="8">
        <f>IF(COUNT(AO20,AR20,BP20,BS20,CQ20,CT20)&gt;0,LARGE((AO20,AR20,BP20,BS20,CQ20,CT20),1),0)</f>
        <v>49.319999999999993</v>
      </c>
      <c r="K20" s="8" t="str">
        <f t="shared" si="5"/>
        <v>2023 Elite Canada</v>
      </c>
      <c r="L20" s="8">
        <f>IF(COUNT(AO20,AR20,BP20,BS20,CQ20,CT20)&gt;1,LARGE((AO20,AR20,BP20,BS20,CQ20,CT20),2),0)</f>
        <v>43.42</v>
      </c>
      <c r="M20" s="8" t="str">
        <f t="shared" si="6"/>
        <v>2023 Elite Canada</v>
      </c>
      <c r="N20" s="8">
        <f>IF(COUNT(AO20,AR20,BP20,BS20,CQ20,CT20)&gt;2,MAX(AV20,BW20,CX20,LARGE((AO20,AR20,BP20,BS20,CQ20,CT20),3)),IF(MAX(AV20,BW20,CX20)&gt;0,MAX(AV20,BW20,CX20),0))</f>
        <v>51.019999999999996</v>
      </c>
      <c r="O20" s="8" t="str">
        <f t="shared" si="7"/>
        <v>2023 Elite Canada</v>
      </c>
      <c r="P20" s="8">
        <f t="shared" si="8"/>
        <v>12.9</v>
      </c>
      <c r="Q20" s="8" t="str">
        <f t="shared" si="9"/>
        <v>2023 Elite Canada</v>
      </c>
      <c r="R20" s="8">
        <f t="shared" si="10"/>
        <v>0</v>
      </c>
      <c r="S20" s="8" t="str">
        <f t="shared" si="11"/>
        <v/>
      </c>
      <c r="T20" s="8" t="str">
        <f t="shared" si="12"/>
        <v/>
      </c>
      <c r="U20" s="11" t="str">
        <f t="shared" si="13"/>
        <v/>
      </c>
      <c r="V20" s="8" t="str">
        <f t="shared" si="14"/>
        <v/>
      </c>
      <c r="W20" s="22"/>
      <c r="X20" s="22"/>
      <c r="Y20" s="22"/>
      <c r="Z20" s="22"/>
      <c r="AA20" s="22"/>
      <c r="AB20" s="22"/>
      <c r="AC20" s="22"/>
      <c r="AD20" s="22"/>
      <c r="AE20" s="22"/>
      <c r="AF20" s="22"/>
      <c r="AG20" s="22"/>
      <c r="AH20" s="22"/>
      <c r="AI20" s="22"/>
      <c r="AJ20" s="22"/>
      <c r="AK20" s="22"/>
      <c r="AL20" s="27"/>
      <c r="AM20" s="38" t="str">
        <f t="shared" si="15"/>
        <v/>
      </c>
      <c r="AN20" s="38" t="str">
        <f t="shared" si="16"/>
        <v/>
      </c>
      <c r="AO20" s="40" t="str">
        <f t="shared" si="17"/>
        <v/>
      </c>
      <c r="AP20" s="40" t="str">
        <f t="shared" si="18"/>
        <v/>
      </c>
      <c r="AQ20" s="40" t="str">
        <f t="shared" si="19"/>
        <v/>
      </c>
      <c r="AR20" s="40" t="str">
        <f t="shared" si="20"/>
        <v/>
      </c>
      <c r="AS20" s="40" t="str">
        <f t="shared" si="21"/>
        <v/>
      </c>
      <c r="AT20" s="40" t="str">
        <f t="shared" si="22"/>
        <v/>
      </c>
      <c r="AU20" s="40" t="str">
        <f t="shared" si="23"/>
        <v/>
      </c>
      <c r="AV20" s="40" t="str">
        <f t="shared" si="24"/>
        <v/>
      </c>
      <c r="AW20" s="40" t="str">
        <f t="shared" si="25"/>
        <v/>
      </c>
      <c r="AX20" s="26"/>
      <c r="AY20" s="26"/>
      <c r="AZ20" s="26"/>
      <c r="BA20" s="26"/>
      <c r="BB20" s="26"/>
      <c r="BC20" s="26"/>
      <c r="BD20" s="26"/>
      <c r="BE20" s="26"/>
      <c r="BF20" s="26"/>
      <c r="BG20" s="26"/>
      <c r="BH20" s="26"/>
      <c r="BI20" s="26"/>
      <c r="BJ20" s="26"/>
      <c r="BK20" s="26"/>
      <c r="BL20" s="26"/>
      <c r="BM20" s="28"/>
      <c r="BN20" s="39" t="str">
        <f t="shared" si="26"/>
        <v/>
      </c>
      <c r="BO20" s="39" t="str">
        <f t="shared" si="27"/>
        <v/>
      </c>
      <c r="BP20" s="11" t="str">
        <f t="shared" si="28"/>
        <v/>
      </c>
      <c r="BQ20" s="11" t="str">
        <f t="shared" si="29"/>
        <v/>
      </c>
      <c r="BR20" s="11" t="str">
        <f t="shared" si="30"/>
        <v/>
      </c>
      <c r="BS20" s="11" t="str">
        <f t="shared" si="31"/>
        <v/>
      </c>
      <c r="BT20" s="11" t="str">
        <f t="shared" si="32"/>
        <v/>
      </c>
      <c r="BU20" s="11" t="str">
        <f t="shared" si="33"/>
        <v/>
      </c>
      <c r="BV20" s="11" t="str">
        <f t="shared" si="34"/>
        <v/>
      </c>
      <c r="BW20" s="11" t="str">
        <f t="shared" si="35"/>
        <v/>
      </c>
      <c r="BX20" s="11" t="str">
        <f t="shared" si="36"/>
        <v/>
      </c>
      <c r="BY20" s="22">
        <v>13.4</v>
      </c>
      <c r="BZ20" s="22">
        <v>9.1</v>
      </c>
      <c r="CA20" s="22">
        <v>12.3</v>
      </c>
      <c r="CB20" s="22">
        <v>14.52</v>
      </c>
      <c r="CC20" s="22">
        <v>0</v>
      </c>
      <c r="CD20" s="22">
        <v>12.6</v>
      </c>
      <c r="CE20" s="22">
        <v>8.3000000000000007</v>
      </c>
      <c r="CF20" s="22">
        <v>9.1999999999999993</v>
      </c>
      <c r="CG20" s="22">
        <v>13.32</v>
      </c>
      <c r="CH20" s="22">
        <v>0</v>
      </c>
      <c r="CI20" s="22">
        <v>14</v>
      </c>
      <c r="CJ20" s="22">
        <v>9.4</v>
      </c>
      <c r="CK20" s="22">
        <v>12.9</v>
      </c>
      <c r="CL20" s="22">
        <v>14.72</v>
      </c>
      <c r="CM20" s="22">
        <v>0</v>
      </c>
      <c r="CN20" s="27"/>
      <c r="CO20" s="38">
        <f t="shared" si="37"/>
        <v>12.3</v>
      </c>
      <c r="CP20" s="38">
        <f t="shared" si="38"/>
        <v>14.52</v>
      </c>
      <c r="CQ20" s="40">
        <f t="shared" si="39"/>
        <v>49.319999999999993</v>
      </c>
      <c r="CR20" s="40">
        <f t="shared" si="40"/>
        <v>9.1999999999999993</v>
      </c>
      <c r="CS20" s="40">
        <f t="shared" si="41"/>
        <v>13.32</v>
      </c>
      <c r="CT20" s="40">
        <f t="shared" si="42"/>
        <v>43.42</v>
      </c>
      <c r="CU20" s="40">
        <f t="shared" si="43"/>
        <v>49.319999999999993</v>
      </c>
      <c r="CV20" s="40">
        <f t="shared" si="44"/>
        <v>12.9</v>
      </c>
      <c r="CW20" s="40">
        <f t="shared" si="45"/>
        <v>14.72</v>
      </c>
      <c r="CX20" s="40">
        <f t="shared" si="46"/>
        <v>51.019999999999996</v>
      </c>
      <c r="CY20" s="40">
        <f t="shared" si="47"/>
        <v>100.33999999999999</v>
      </c>
      <c r="CZ20" s="50" t="str">
        <f t="shared" si="48"/>
        <v/>
      </c>
      <c r="DA20" s="50" t="str">
        <f t="shared" si="49"/>
        <v/>
      </c>
      <c r="DB20" s="17"/>
      <c r="DC20" s="17"/>
      <c r="DD20" s="17"/>
      <c r="DE20" s="17"/>
      <c r="DF20" s="17"/>
      <c r="DG20" s="17"/>
      <c r="DH20" s="17"/>
      <c r="DI20" s="17"/>
      <c r="DJ20" s="17"/>
      <c r="DK20" s="17"/>
      <c r="DL20" s="17"/>
      <c r="DM20" s="17"/>
      <c r="DN20" s="17"/>
      <c r="DO20" s="17"/>
      <c r="DP20" s="17"/>
      <c r="DQ20" s="17"/>
      <c r="DR20" s="17"/>
      <c r="DS20" s="17"/>
      <c r="DT20" s="17"/>
      <c r="DU20" s="17"/>
      <c r="DV20" s="40" t="str">
        <f t="shared" si="50"/>
        <v/>
      </c>
      <c r="DW20" s="40" t="str">
        <f t="shared" si="51"/>
        <v/>
      </c>
      <c r="DX20" s="40" t="str">
        <f t="shared" si="52"/>
        <v/>
      </c>
      <c r="DY20" s="40" t="str">
        <f t="shared" si="53"/>
        <v/>
      </c>
      <c r="DZ20" s="40" t="str">
        <f t="shared" si="54"/>
        <v/>
      </c>
      <c r="EA20" s="40" t="str">
        <f t="shared" si="55"/>
        <v/>
      </c>
      <c r="EB20" s="40" t="str">
        <f t="shared" si="56"/>
        <v/>
      </c>
      <c r="EC20" s="40" t="str">
        <f t="shared" si="57"/>
        <v/>
      </c>
      <c r="ED20" s="40" t="str">
        <f t="shared" si="58"/>
        <v/>
      </c>
      <c r="EE20" s="40" t="str">
        <f t="shared" si="59"/>
        <v/>
      </c>
      <c r="EF20" s="40" t="str">
        <f t="shared" si="60"/>
        <v/>
      </c>
      <c r="EG20" s="40" t="str">
        <f t="shared" si="61"/>
        <v/>
      </c>
      <c r="EH20" s="40" t="str">
        <f t="shared" si="62"/>
        <v/>
      </c>
      <c r="EI20" s="40" t="str">
        <f t="shared" si="63"/>
        <v/>
      </c>
      <c r="EJ20" s="18"/>
      <c r="EK20" s="18"/>
      <c r="EL20" s="18"/>
      <c r="EM20" s="18"/>
      <c r="EN20" s="18"/>
      <c r="EO20" s="18"/>
      <c r="EP20" s="18"/>
      <c r="EQ20" s="18"/>
      <c r="ER20" s="18"/>
      <c r="ES20" s="18"/>
      <c r="ET20" s="18"/>
      <c r="EU20" s="18"/>
      <c r="EV20" s="18"/>
      <c r="EW20" s="18"/>
      <c r="EX20" s="18"/>
      <c r="EY20" s="18"/>
      <c r="EZ20" s="18"/>
      <c r="FA20" s="18"/>
      <c r="FB20" s="18"/>
      <c r="FC20" s="18"/>
      <c r="FD20" s="11" t="str">
        <f t="shared" si="64"/>
        <v/>
      </c>
      <c r="FE20" s="11" t="str">
        <f t="shared" si="65"/>
        <v/>
      </c>
      <c r="FF20" s="11" t="str">
        <f t="shared" si="66"/>
        <v/>
      </c>
      <c r="FG20" s="11" t="str">
        <f t="shared" si="67"/>
        <v/>
      </c>
      <c r="FH20" s="11" t="str">
        <f t="shared" si="68"/>
        <v/>
      </c>
      <c r="FI20" s="11" t="str">
        <f t="shared" si="69"/>
        <v/>
      </c>
      <c r="FJ20" s="11" t="str">
        <f t="shared" si="70"/>
        <v/>
      </c>
      <c r="FK20" s="11" t="str">
        <f t="shared" si="71"/>
        <v/>
      </c>
      <c r="FL20" s="11" t="str">
        <f t="shared" si="72"/>
        <v/>
      </c>
      <c r="FM20" s="11" t="str">
        <f t="shared" si="73"/>
        <v/>
      </c>
      <c r="FN20" s="11" t="str">
        <f t="shared" si="74"/>
        <v/>
      </c>
      <c r="FO20" s="11" t="str">
        <f t="shared" si="75"/>
        <v/>
      </c>
      <c r="FP20" s="11" t="str">
        <f t="shared" si="76"/>
        <v/>
      </c>
      <c r="FQ20" s="11" t="str">
        <f t="shared" si="77"/>
        <v/>
      </c>
      <c r="FR20" s="17"/>
      <c r="FS20" s="17"/>
      <c r="FT20" s="17"/>
      <c r="FU20" s="17"/>
      <c r="FV20" s="17"/>
      <c r="FW20" s="17"/>
      <c r="FX20" s="17"/>
      <c r="FY20" s="17"/>
      <c r="FZ20" s="17"/>
      <c r="GA20" s="17"/>
      <c r="GB20" s="17"/>
      <c r="GC20" s="17"/>
      <c r="GD20" s="17"/>
      <c r="GE20" s="17"/>
      <c r="GF20" s="17"/>
      <c r="GG20" s="17"/>
      <c r="GH20" s="17"/>
      <c r="GI20" s="17"/>
      <c r="GJ20" s="17"/>
      <c r="GK20" s="17"/>
      <c r="GL20" s="40" t="str">
        <f t="shared" si="78"/>
        <v/>
      </c>
      <c r="GM20" s="40" t="str">
        <f t="shared" si="79"/>
        <v/>
      </c>
      <c r="GN20" s="40" t="str">
        <f t="shared" si="80"/>
        <v/>
      </c>
      <c r="GO20" s="40" t="str">
        <f t="shared" si="81"/>
        <v/>
      </c>
      <c r="GP20" s="40" t="str">
        <f t="shared" si="82"/>
        <v/>
      </c>
      <c r="GQ20" s="40" t="str">
        <f t="shared" si="83"/>
        <v/>
      </c>
      <c r="GR20" s="40" t="str">
        <f t="shared" si="84"/>
        <v/>
      </c>
      <c r="GS20" s="40" t="str">
        <f t="shared" si="85"/>
        <v/>
      </c>
      <c r="GT20" s="40" t="str">
        <f t="shared" si="86"/>
        <v/>
      </c>
      <c r="GU20" s="40" t="str">
        <f t="shared" si="87"/>
        <v/>
      </c>
      <c r="GV20" s="40" t="str">
        <f t="shared" si="88"/>
        <v/>
      </c>
      <c r="GW20" s="40" t="str">
        <f t="shared" si="89"/>
        <v/>
      </c>
      <c r="GX20" s="40" t="str">
        <f t="shared" si="90"/>
        <v/>
      </c>
      <c r="GY20" s="40" t="str">
        <f t="shared" si="91"/>
        <v/>
      </c>
      <c r="GZ20" s="18"/>
      <c r="HA20" s="18"/>
      <c r="HB20" s="18"/>
      <c r="HC20" s="18"/>
      <c r="HD20" s="18"/>
      <c r="HE20" s="18"/>
      <c r="HF20" s="18"/>
      <c r="HG20" s="18"/>
      <c r="HH20" s="18"/>
      <c r="HI20" s="18"/>
      <c r="HJ20" s="18"/>
      <c r="HK20" s="18"/>
      <c r="HL20" s="18"/>
      <c r="HM20" s="18"/>
      <c r="HN20" s="18"/>
      <c r="HO20" s="18"/>
      <c r="HP20" s="18"/>
      <c r="HQ20" s="18"/>
      <c r="HR20" s="18"/>
      <c r="HS20" s="18"/>
      <c r="HT20" s="11" t="str">
        <f t="shared" si="92"/>
        <v/>
      </c>
      <c r="HU20" s="11" t="str">
        <f t="shared" si="93"/>
        <v/>
      </c>
      <c r="HV20" s="11" t="str">
        <f t="shared" si="94"/>
        <v/>
      </c>
      <c r="HW20" s="11" t="str">
        <f t="shared" si="95"/>
        <v/>
      </c>
      <c r="HX20" s="11" t="str">
        <f t="shared" si="96"/>
        <v/>
      </c>
      <c r="HY20" s="11" t="str">
        <f t="shared" si="97"/>
        <v/>
      </c>
      <c r="HZ20" s="11" t="str">
        <f t="shared" si="98"/>
        <v/>
      </c>
      <c r="IA20" s="11" t="str">
        <f t="shared" si="99"/>
        <v/>
      </c>
      <c r="IB20" s="11" t="str">
        <f t="shared" si="100"/>
        <v/>
      </c>
      <c r="IC20" s="11" t="str">
        <f t="shared" si="101"/>
        <v/>
      </c>
      <c r="ID20" s="11" t="str">
        <f t="shared" si="102"/>
        <v/>
      </c>
      <c r="IE20" s="11" t="str">
        <f t="shared" si="103"/>
        <v/>
      </c>
      <c r="IF20" s="11" t="str">
        <f t="shared" si="104"/>
        <v/>
      </c>
      <c r="IG20" s="11" t="str">
        <f t="shared" si="105"/>
        <v/>
      </c>
      <c r="IH20" s="17"/>
      <c r="II20" s="17"/>
      <c r="IJ20" s="17"/>
      <c r="IK20" s="17"/>
      <c r="IL20" s="17"/>
      <c r="IM20" s="17"/>
      <c r="IN20" s="17"/>
      <c r="IO20" s="17"/>
      <c r="IP20" s="17"/>
      <c r="IQ20" s="17"/>
      <c r="IR20" s="17"/>
      <c r="IS20" s="17"/>
      <c r="IT20" s="17"/>
      <c r="IU20" s="17"/>
      <c r="IV20" s="17"/>
      <c r="IW20" s="17"/>
      <c r="IX20" s="17"/>
      <c r="IY20" s="17"/>
      <c r="IZ20" s="17"/>
      <c r="JA20" s="17"/>
      <c r="JB20" s="40" t="str">
        <f t="shared" si="106"/>
        <v/>
      </c>
      <c r="JC20" s="40" t="str">
        <f t="shared" si="107"/>
        <v/>
      </c>
      <c r="JD20" s="40" t="str">
        <f t="shared" si="108"/>
        <v/>
      </c>
      <c r="JE20" s="40" t="str">
        <f t="shared" si="109"/>
        <v/>
      </c>
      <c r="JF20" s="40" t="str">
        <f t="shared" si="110"/>
        <v/>
      </c>
      <c r="JG20" s="40" t="str">
        <f t="shared" si="111"/>
        <v/>
      </c>
      <c r="JH20" s="40" t="str">
        <f t="shared" si="112"/>
        <v/>
      </c>
      <c r="JI20" s="40" t="str">
        <f t="shared" si="113"/>
        <v/>
      </c>
      <c r="JJ20" s="40" t="str">
        <f t="shared" si="114"/>
        <v/>
      </c>
      <c r="JK20" s="40" t="str">
        <f t="shared" si="115"/>
        <v/>
      </c>
      <c r="JL20" s="40" t="str">
        <f t="shared" si="116"/>
        <v/>
      </c>
      <c r="JM20" s="40" t="str">
        <f t="shared" si="117"/>
        <v/>
      </c>
      <c r="JN20" s="40" t="str">
        <f t="shared" si="118"/>
        <v/>
      </c>
      <c r="JO20" s="40" t="str">
        <f t="shared" si="119"/>
        <v/>
      </c>
      <c r="JP20" s="18"/>
      <c r="JQ20" s="18"/>
      <c r="JR20" s="18"/>
      <c r="JS20" s="18"/>
      <c r="JT20" s="18"/>
      <c r="JU20" s="18"/>
      <c r="JV20" s="18"/>
      <c r="JW20" s="18"/>
      <c r="JX20" s="18"/>
      <c r="JY20" s="18"/>
      <c r="JZ20" s="18"/>
      <c r="KA20" s="18"/>
      <c r="KB20" s="18"/>
      <c r="KC20" s="18"/>
      <c r="KD20" s="18"/>
      <c r="KE20" s="18"/>
      <c r="KF20" s="18"/>
      <c r="KG20" s="18"/>
      <c r="KH20" s="18"/>
      <c r="KI20" s="18"/>
      <c r="KJ20" s="11" t="str">
        <f t="shared" si="120"/>
        <v/>
      </c>
      <c r="KK20" s="11" t="str">
        <f t="shared" si="121"/>
        <v/>
      </c>
      <c r="KL20" s="11" t="str">
        <f t="shared" si="122"/>
        <v/>
      </c>
      <c r="KM20" s="11" t="str">
        <f t="shared" si="123"/>
        <v/>
      </c>
      <c r="KN20" s="11" t="str">
        <f t="shared" si="124"/>
        <v/>
      </c>
      <c r="KO20" s="11" t="str">
        <f t="shared" si="125"/>
        <v/>
      </c>
      <c r="KP20" s="11" t="str">
        <f t="shared" si="126"/>
        <v/>
      </c>
      <c r="KQ20" s="11" t="str">
        <f t="shared" si="127"/>
        <v/>
      </c>
      <c r="KR20" s="11" t="str">
        <f t="shared" si="128"/>
        <v/>
      </c>
      <c r="KS20" s="11" t="str">
        <f t="shared" si="129"/>
        <v/>
      </c>
      <c r="KT20" s="11" t="str">
        <f t="shared" si="130"/>
        <v/>
      </c>
      <c r="KU20" s="11" t="str">
        <f t="shared" si="131"/>
        <v/>
      </c>
      <c r="KV20" s="11" t="str">
        <f t="shared" si="132"/>
        <v/>
      </c>
      <c r="KW20" s="11" t="str">
        <f t="shared" si="133"/>
        <v/>
      </c>
      <c r="KX20" s="17"/>
      <c r="KY20" s="17"/>
      <c r="KZ20" s="17"/>
      <c r="LA20" s="17"/>
      <c r="LB20" s="17"/>
      <c r="LC20" s="17"/>
      <c r="LD20" s="17"/>
      <c r="LE20" s="17"/>
      <c r="LF20" s="17"/>
      <c r="LG20" s="17"/>
      <c r="LH20" s="17"/>
      <c r="LI20" s="17"/>
      <c r="LJ20" s="17"/>
      <c r="LK20" s="17"/>
      <c r="LL20" s="17"/>
      <c r="LM20" s="17"/>
      <c r="LN20" s="17"/>
      <c r="LO20" s="17"/>
      <c r="LP20" s="17"/>
      <c r="LQ20" s="17"/>
      <c r="LR20" s="40" t="str">
        <f t="shared" si="134"/>
        <v/>
      </c>
      <c r="LS20" s="40" t="str">
        <f t="shared" si="135"/>
        <v/>
      </c>
      <c r="LT20" s="40" t="str">
        <f t="shared" si="136"/>
        <v/>
      </c>
      <c r="LU20" s="40" t="str">
        <f t="shared" si="137"/>
        <v/>
      </c>
      <c r="LV20" s="40" t="str">
        <f t="shared" si="138"/>
        <v/>
      </c>
      <c r="LW20" s="40" t="str">
        <f t="shared" si="139"/>
        <v/>
      </c>
      <c r="LX20" s="40" t="str">
        <f t="shared" si="140"/>
        <v/>
      </c>
      <c r="LY20" s="40" t="str">
        <f t="shared" si="141"/>
        <v/>
      </c>
      <c r="LZ20" s="40" t="str">
        <f t="shared" si="142"/>
        <v/>
      </c>
      <c r="MA20" s="40" t="str">
        <f t="shared" si="143"/>
        <v/>
      </c>
      <c r="MB20" s="40" t="str">
        <f t="shared" si="144"/>
        <v/>
      </c>
      <c r="MC20" s="40" t="str">
        <f t="shared" si="145"/>
        <v/>
      </c>
      <c r="MD20" s="40" t="str">
        <f t="shared" si="146"/>
        <v/>
      </c>
      <c r="ME20" s="40" t="str">
        <f t="shared" si="147"/>
        <v/>
      </c>
      <c r="MF20" s="18"/>
      <c r="MG20" s="18"/>
      <c r="MH20" s="18"/>
      <c r="MI20" s="18"/>
      <c r="MJ20" s="18"/>
      <c r="MK20" s="18"/>
      <c r="ML20" s="18"/>
      <c r="MM20" s="18"/>
      <c r="MN20" s="18"/>
      <c r="MO20" s="18"/>
      <c r="MP20" s="18"/>
      <c r="MQ20" s="18"/>
      <c r="MR20" s="18"/>
      <c r="MS20" s="18"/>
      <c r="MT20" s="18"/>
      <c r="MU20" s="18"/>
      <c r="MV20" s="18"/>
      <c r="MW20" s="18"/>
      <c r="MX20" s="18"/>
      <c r="MY20" s="18"/>
      <c r="MZ20" s="11" t="str">
        <f t="shared" si="148"/>
        <v/>
      </c>
      <c r="NA20" s="11" t="str">
        <f t="shared" si="149"/>
        <v/>
      </c>
      <c r="NB20" s="11" t="str">
        <f t="shared" si="150"/>
        <v/>
      </c>
      <c r="NC20" s="11" t="str">
        <f t="shared" si="151"/>
        <v/>
      </c>
      <c r="ND20" s="11" t="str">
        <f t="shared" si="152"/>
        <v/>
      </c>
      <c r="NE20" s="11" t="str">
        <f t="shared" si="153"/>
        <v/>
      </c>
      <c r="NF20" s="11" t="str">
        <f t="shared" si="154"/>
        <v/>
      </c>
      <c r="NG20" s="11" t="str">
        <f t="shared" si="155"/>
        <v/>
      </c>
      <c r="NH20" s="11" t="str">
        <f t="shared" si="156"/>
        <v/>
      </c>
      <c r="NI20" s="11" t="str">
        <f t="shared" si="157"/>
        <v/>
      </c>
      <c r="NJ20" s="11" t="str">
        <f t="shared" si="158"/>
        <v/>
      </c>
      <c r="NK20" s="11" t="str">
        <f t="shared" si="159"/>
        <v/>
      </c>
      <c r="NL20" s="11" t="str">
        <f t="shared" si="160"/>
        <v/>
      </c>
      <c r="NM20" s="11" t="str">
        <f t="shared" si="161"/>
        <v/>
      </c>
      <c r="NN20" s="17"/>
      <c r="NO20" s="17"/>
      <c r="NP20" s="17"/>
      <c r="NQ20" s="17"/>
      <c r="NR20" s="17"/>
      <c r="NS20" s="17"/>
      <c r="NT20" s="17"/>
      <c r="NU20" s="17"/>
      <c r="NV20" s="17"/>
      <c r="NW20" s="17"/>
      <c r="NX20" s="17"/>
      <c r="NY20" s="17"/>
      <c r="NZ20" s="17"/>
      <c r="OA20" s="17"/>
      <c r="OB20" s="17"/>
      <c r="OC20" s="17"/>
      <c r="OD20" s="17"/>
      <c r="OE20" s="17"/>
      <c r="OF20" s="17"/>
      <c r="OG20" s="17"/>
      <c r="OH20" s="40" t="str">
        <f t="shared" si="162"/>
        <v/>
      </c>
      <c r="OI20" s="40" t="str">
        <f t="shared" si="163"/>
        <v/>
      </c>
      <c r="OJ20" s="40" t="str">
        <f t="shared" si="164"/>
        <v/>
      </c>
      <c r="OK20" s="40" t="str">
        <f t="shared" si="165"/>
        <v/>
      </c>
      <c r="OL20" s="40" t="str">
        <f t="shared" si="166"/>
        <v/>
      </c>
      <c r="OM20" s="40" t="str">
        <f t="shared" si="167"/>
        <v/>
      </c>
      <c r="ON20" s="40" t="str">
        <f t="shared" si="168"/>
        <v/>
      </c>
      <c r="OO20" s="40" t="str">
        <f t="shared" si="169"/>
        <v/>
      </c>
      <c r="OP20" s="40" t="str">
        <f t="shared" si="170"/>
        <v/>
      </c>
      <c r="OQ20" s="40" t="str">
        <f t="shared" si="171"/>
        <v/>
      </c>
      <c r="OR20" s="40" t="str">
        <f t="shared" si="172"/>
        <v/>
      </c>
      <c r="OS20" s="40" t="str">
        <f t="shared" si="173"/>
        <v/>
      </c>
      <c r="OT20" s="40" t="str">
        <f t="shared" si="174"/>
        <v/>
      </c>
      <c r="OU20" s="40" t="str">
        <f t="shared" si="175"/>
        <v/>
      </c>
      <c r="OV20" s="18"/>
      <c r="OW20" s="18"/>
      <c r="OX20" s="18"/>
      <c r="OY20" s="18"/>
      <c r="OZ20" s="18"/>
      <c r="PA20" s="18"/>
      <c r="PB20" s="18"/>
      <c r="PC20" s="18"/>
      <c r="PD20" s="18"/>
      <c r="PE20" s="18"/>
      <c r="PF20" s="18"/>
      <c r="PG20" s="18"/>
      <c r="PH20" s="18"/>
      <c r="PI20" s="18"/>
      <c r="PJ20" s="18"/>
      <c r="PK20" s="18"/>
      <c r="PL20" s="18"/>
      <c r="PM20" s="18"/>
      <c r="PN20" s="18"/>
      <c r="PO20" s="18"/>
      <c r="PP20" s="11" t="str">
        <f t="shared" si="176"/>
        <v/>
      </c>
      <c r="PQ20" s="11" t="str">
        <f t="shared" si="177"/>
        <v/>
      </c>
      <c r="PR20" s="11" t="str">
        <f t="shared" si="178"/>
        <v/>
      </c>
      <c r="PS20" s="11" t="str">
        <f t="shared" si="179"/>
        <v/>
      </c>
      <c r="PT20" s="11" t="str">
        <f t="shared" si="180"/>
        <v/>
      </c>
      <c r="PU20" s="11" t="str">
        <f t="shared" si="181"/>
        <v/>
      </c>
      <c r="PV20" s="11" t="str">
        <f t="shared" si="182"/>
        <v/>
      </c>
      <c r="PW20" s="11" t="str">
        <f t="shared" si="183"/>
        <v/>
      </c>
      <c r="PX20" s="11" t="str">
        <f t="shared" si="184"/>
        <v/>
      </c>
      <c r="PY20" s="11" t="str">
        <f t="shared" si="185"/>
        <v/>
      </c>
      <c r="PZ20" s="11" t="str">
        <f t="shared" si="186"/>
        <v/>
      </c>
      <c r="QA20" s="11" t="str">
        <f t="shared" si="187"/>
        <v/>
      </c>
      <c r="QB20" s="11" t="str">
        <f t="shared" si="188"/>
        <v/>
      </c>
      <c r="QC20" s="11" t="str">
        <f t="shared" si="189"/>
        <v/>
      </c>
      <c r="QD20" s="17"/>
      <c r="QE20" s="17"/>
      <c r="QF20" s="17"/>
      <c r="QG20" s="17"/>
      <c r="QH20" s="17"/>
      <c r="QI20" s="17"/>
      <c r="QJ20" s="17"/>
      <c r="QK20" s="17"/>
      <c r="QL20" s="17"/>
      <c r="QM20" s="17"/>
      <c r="QN20" s="17"/>
      <c r="QO20" s="17"/>
      <c r="QP20" s="17"/>
      <c r="QQ20" s="17"/>
      <c r="QR20" s="17"/>
      <c r="QS20" s="17"/>
      <c r="QT20" s="17"/>
      <c r="QU20" s="17"/>
      <c r="QV20" s="17"/>
      <c r="QW20" s="17"/>
      <c r="QX20" s="40" t="str">
        <f t="shared" si="190"/>
        <v/>
      </c>
      <c r="QY20" s="40" t="str">
        <f t="shared" si="191"/>
        <v/>
      </c>
      <c r="QZ20" s="40" t="str">
        <f t="shared" si="192"/>
        <v/>
      </c>
      <c r="RA20" s="40" t="str">
        <f t="shared" si="193"/>
        <v/>
      </c>
      <c r="RB20" s="40" t="str">
        <f t="shared" si="194"/>
        <v/>
      </c>
      <c r="RC20" s="40" t="str">
        <f t="shared" si="195"/>
        <v/>
      </c>
      <c r="RD20" s="40" t="str">
        <f t="shared" si="196"/>
        <v/>
      </c>
      <c r="RE20" s="40" t="str">
        <f t="shared" si="197"/>
        <v/>
      </c>
      <c r="RF20" s="40" t="str">
        <f t="shared" si="198"/>
        <v/>
      </c>
      <c r="RG20" s="40" t="str">
        <f t="shared" si="199"/>
        <v/>
      </c>
      <c r="RH20" s="40" t="str">
        <f t="shared" si="200"/>
        <v/>
      </c>
      <c r="RI20" s="40" t="str">
        <f t="shared" si="201"/>
        <v/>
      </c>
      <c r="RJ20" s="40" t="str">
        <f t="shared" si="202"/>
        <v/>
      </c>
      <c r="RK20" s="40" t="str">
        <f t="shared" si="203"/>
        <v/>
      </c>
      <c r="RL20" s="18"/>
      <c r="RM20" s="18"/>
      <c r="RN20" s="18"/>
      <c r="RO20" s="18"/>
      <c r="RP20" s="18"/>
      <c r="RQ20" s="18"/>
      <c r="RR20" s="18"/>
      <c r="RS20" s="18"/>
      <c r="RT20" s="18"/>
      <c r="RU20" s="18"/>
      <c r="RV20" s="18"/>
      <c r="RW20" s="18"/>
      <c r="RX20" s="18"/>
      <c r="RY20" s="18"/>
      <c r="RZ20" s="18"/>
      <c r="SA20" s="18"/>
      <c r="SB20" s="18"/>
      <c r="SC20" s="18"/>
      <c r="SD20" s="18"/>
      <c r="SE20" s="18"/>
      <c r="SF20" s="11" t="str">
        <f t="shared" si="204"/>
        <v/>
      </c>
      <c r="SG20" s="11" t="str">
        <f t="shared" si="205"/>
        <v/>
      </c>
      <c r="SH20" s="11" t="str">
        <f t="shared" si="206"/>
        <v/>
      </c>
      <c r="SI20" s="11" t="str">
        <f t="shared" si="207"/>
        <v/>
      </c>
      <c r="SJ20" s="11" t="str">
        <f t="shared" si="208"/>
        <v/>
      </c>
      <c r="SK20" s="11" t="str">
        <f t="shared" si="209"/>
        <v/>
      </c>
      <c r="SL20" s="11" t="str">
        <f t="shared" si="210"/>
        <v/>
      </c>
      <c r="SM20" s="11" t="str">
        <f t="shared" si="211"/>
        <v/>
      </c>
      <c r="SN20" s="11" t="str">
        <f t="shared" si="212"/>
        <v/>
      </c>
      <c r="SO20" s="11" t="str">
        <f t="shared" si="213"/>
        <v/>
      </c>
      <c r="SP20" s="11" t="str">
        <f t="shared" si="214"/>
        <v/>
      </c>
      <c r="SQ20" s="11" t="str">
        <f t="shared" si="215"/>
        <v/>
      </c>
      <c r="SR20" s="11" t="str">
        <f t="shared" si="216"/>
        <v/>
      </c>
      <c r="SS20" s="11" t="str">
        <f t="shared" si="217"/>
        <v/>
      </c>
      <c r="ST20" s="22">
        <f t="shared" si="218"/>
        <v>6.7</v>
      </c>
      <c r="SU20" s="22">
        <f t="shared" si="219"/>
        <v>4.55</v>
      </c>
      <c r="SV20" s="22">
        <f t="shared" si="220"/>
        <v>6.15</v>
      </c>
      <c r="SW20" s="22">
        <f t="shared" si="221"/>
        <v>7.26</v>
      </c>
      <c r="SX20" s="22">
        <f t="shared" si="222"/>
        <v>0</v>
      </c>
      <c r="SY20" s="22">
        <f t="shared" si="223"/>
        <v>6.3</v>
      </c>
      <c r="SZ20" s="22">
        <f t="shared" si="224"/>
        <v>4.1500000000000004</v>
      </c>
      <c r="TA20" s="22">
        <f t="shared" si="225"/>
        <v>4.5999999999999996</v>
      </c>
      <c r="TB20" s="22">
        <f t="shared" si="226"/>
        <v>6.66</v>
      </c>
      <c r="TC20" s="22">
        <f t="shared" si="227"/>
        <v>0</v>
      </c>
      <c r="TD20" s="22">
        <f t="shared" si="228"/>
        <v>7</v>
      </c>
      <c r="TE20" s="22">
        <f t="shared" si="229"/>
        <v>4.7</v>
      </c>
      <c r="TF20" s="22">
        <f t="shared" si="230"/>
        <v>6.45</v>
      </c>
      <c r="TG20" s="22">
        <f t="shared" si="231"/>
        <v>7.36</v>
      </c>
      <c r="TH20" s="22">
        <f t="shared" si="232"/>
        <v>0</v>
      </c>
      <c r="TI20" s="27" t="s">
        <v>46</v>
      </c>
      <c r="TJ20" s="40">
        <f t="shared" si="233"/>
        <v>6.15</v>
      </c>
      <c r="TK20" s="40">
        <f t="shared" si="234"/>
        <v>7.26</v>
      </c>
      <c r="TL20" s="40">
        <f t="shared" si="235"/>
        <v>24.659999999999997</v>
      </c>
      <c r="TM20" s="40">
        <f t="shared" si="236"/>
        <v>4.5999999999999996</v>
      </c>
      <c r="TN20" s="40">
        <f t="shared" si="237"/>
        <v>6.66</v>
      </c>
      <c r="TO20" s="40">
        <f t="shared" si="238"/>
        <v>21.71</v>
      </c>
      <c r="TP20" s="40">
        <f t="shared" si="239"/>
        <v>24.659999999999997</v>
      </c>
      <c r="TQ20" s="40">
        <f t="shared" si="240"/>
        <v>6.45</v>
      </c>
      <c r="TR20" s="40">
        <f t="shared" si="241"/>
        <v>7.36</v>
      </c>
      <c r="TS20" s="40">
        <f t="shared" si="242"/>
        <v>25.509999999999998</v>
      </c>
      <c r="TT20" s="40">
        <f t="shared" si="243"/>
        <v>50.169999999999995</v>
      </c>
    </row>
    <row r="21" spans="1:540" x14ac:dyDescent="0.2">
      <c r="A21" s="4" t="str" cm="1">
        <f t="array" ref="A21">IF(AND(F21&lt;&gt;"",G21&lt;&gt;""),SUMPRODUCT((F$4:F$35&lt;&gt;"")*(G$4:G$35&lt;&gt;"")*(E$4:E$35&gt;E21))+1,IF(G21&lt;&gt;"",SUMPRODUCT((H$4:H$35="No DD")*(E$4:E$35&gt;E21))+1+SUMPRODUCT((F$4:F$35&lt;&gt;"")*(G$4:G$35&lt;&gt;"")),""))</f>
        <v/>
      </c>
      <c r="B21" s="5" t="s">
        <v>203</v>
      </c>
      <c r="C21" s="4" t="s">
        <v>3</v>
      </c>
      <c r="D21" s="4">
        <v>2006</v>
      </c>
      <c r="E21" s="9">
        <f t="shared" si="0"/>
        <v>156.03001560300478</v>
      </c>
      <c r="F21" s="3" t="str">
        <f t="shared" si="1"/>
        <v/>
      </c>
      <c r="G21" s="3" t="str">
        <f t="shared" si="2"/>
        <v/>
      </c>
      <c r="H21" s="36" t="str">
        <f t="shared" si="3"/>
        <v/>
      </c>
      <c r="I21" s="3" t="str">
        <f t="shared" si="4"/>
        <v/>
      </c>
      <c r="J21" s="8">
        <f>IF(COUNT(AO21,AR21,BP21,BS21,CQ21,CT21)&gt;0,LARGE((AO21,AR21,BP21,BS21,CQ21,CT21),1),0)</f>
        <v>48.07</v>
      </c>
      <c r="K21" s="8" t="str">
        <f t="shared" si="5"/>
        <v>2023 Elite Canada</v>
      </c>
      <c r="L21" s="8">
        <f>IF(COUNT(AO21,AR21,BP21,BS21,CQ21,CT21)&gt;1,LARGE((AO21,AR21,BP21,BS21,CQ21,CT21),2),0)</f>
        <v>44.679999999999993</v>
      </c>
      <c r="M21" s="8" t="str">
        <f t="shared" si="6"/>
        <v>2023 Elite Canada</v>
      </c>
      <c r="N21" s="8">
        <f>IF(COUNT(AO21,AR21,BP21,BS21,CQ21,CT21)&gt;2,MAX(AV21,BW21,CX21,LARGE((AO21,AR21,BP21,BS21,CQ21,CT21),3)),IF(MAX(AV21,BW21,CX21)&gt;0,MAX(AV21,BW21,CX21),0))</f>
        <v>51.08</v>
      </c>
      <c r="O21" s="8" t="str">
        <f t="shared" si="7"/>
        <v>2022 Nationals</v>
      </c>
      <c r="P21" s="8">
        <f t="shared" si="8"/>
        <v>12.2</v>
      </c>
      <c r="Q21" s="8" t="str">
        <f t="shared" si="9"/>
        <v>2022 Nationals</v>
      </c>
      <c r="R21" s="8">
        <f t="shared" si="10"/>
        <v>0</v>
      </c>
      <c r="S21" s="8" t="str">
        <f t="shared" si="11"/>
        <v/>
      </c>
      <c r="T21" s="8" t="str">
        <f t="shared" si="12"/>
        <v/>
      </c>
      <c r="U21" s="11" t="str">
        <f t="shared" si="13"/>
        <v/>
      </c>
      <c r="V21" s="8" t="str">
        <f t="shared" si="14"/>
        <v/>
      </c>
      <c r="W21" s="22">
        <v>13.1</v>
      </c>
      <c r="X21" s="22">
        <v>7.8</v>
      </c>
      <c r="Y21" s="22">
        <v>8.9</v>
      </c>
      <c r="Z21" s="22">
        <v>13.62</v>
      </c>
      <c r="AA21" s="22">
        <v>0</v>
      </c>
      <c r="AB21" s="22"/>
      <c r="AC21" s="22"/>
      <c r="AD21" s="22"/>
      <c r="AE21" s="22"/>
      <c r="AF21" s="22"/>
      <c r="AG21" s="22">
        <v>14.8</v>
      </c>
      <c r="AH21" s="22">
        <v>9.1</v>
      </c>
      <c r="AI21" s="22">
        <v>12.2</v>
      </c>
      <c r="AJ21" s="22">
        <v>14.98</v>
      </c>
      <c r="AK21" s="22">
        <v>0</v>
      </c>
      <c r="AL21" s="27"/>
      <c r="AM21" s="38">
        <f t="shared" si="15"/>
        <v>8.9</v>
      </c>
      <c r="AN21" s="38">
        <f t="shared" si="16"/>
        <v>13.62</v>
      </c>
      <c r="AO21" s="40">
        <f t="shared" si="17"/>
        <v>43.419999999999995</v>
      </c>
      <c r="AP21" s="40" t="str">
        <f t="shared" si="18"/>
        <v/>
      </c>
      <c r="AQ21" s="40" t="str">
        <f t="shared" si="19"/>
        <v/>
      </c>
      <c r="AR21" s="40" t="str">
        <f t="shared" si="20"/>
        <v/>
      </c>
      <c r="AS21" s="40">
        <f t="shared" si="21"/>
        <v>43.419999999999995</v>
      </c>
      <c r="AT21" s="40">
        <f t="shared" si="22"/>
        <v>12.2</v>
      </c>
      <c r="AU21" s="40">
        <f t="shared" si="23"/>
        <v>14.98</v>
      </c>
      <c r="AV21" s="40">
        <f t="shared" si="24"/>
        <v>51.08</v>
      </c>
      <c r="AW21" s="40">
        <f t="shared" si="25"/>
        <v>94.5</v>
      </c>
      <c r="AX21" s="26"/>
      <c r="AY21" s="26"/>
      <c r="AZ21" s="26"/>
      <c r="BA21" s="26"/>
      <c r="BB21" s="26"/>
      <c r="BC21" s="26"/>
      <c r="BD21" s="26"/>
      <c r="BE21" s="26"/>
      <c r="BF21" s="26"/>
      <c r="BG21" s="26"/>
      <c r="BH21" s="26"/>
      <c r="BI21" s="26"/>
      <c r="BJ21" s="26"/>
      <c r="BK21" s="26"/>
      <c r="BL21" s="26"/>
      <c r="BM21" s="28"/>
      <c r="BN21" s="39" t="str">
        <f t="shared" si="26"/>
        <v/>
      </c>
      <c r="BO21" s="39" t="str">
        <f t="shared" si="27"/>
        <v/>
      </c>
      <c r="BP21" s="11" t="str">
        <f t="shared" si="28"/>
        <v/>
      </c>
      <c r="BQ21" s="11" t="str">
        <f t="shared" si="29"/>
        <v/>
      </c>
      <c r="BR21" s="11" t="str">
        <f t="shared" si="30"/>
        <v/>
      </c>
      <c r="BS21" s="11" t="str">
        <f t="shared" si="31"/>
        <v/>
      </c>
      <c r="BT21" s="11" t="str">
        <f t="shared" si="32"/>
        <v/>
      </c>
      <c r="BU21" s="11" t="str">
        <f t="shared" si="33"/>
        <v/>
      </c>
      <c r="BV21" s="11" t="str">
        <f t="shared" si="34"/>
        <v/>
      </c>
      <c r="BW21" s="11" t="str">
        <f t="shared" si="35"/>
        <v/>
      </c>
      <c r="BX21" s="11" t="str">
        <f t="shared" si="36"/>
        <v/>
      </c>
      <c r="BY21" s="22">
        <v>15.1</v>
      </c>
      <c r="BZ21" s="22">
        <v>8.1999999999999993</v>
      </c>
      <c r="CA21" s="22">
        <v>8.6999999999999993</v>
      </c>
      <c r="CB21" s="22">
        <v>12.68</v>
      </c>
      <c r="CC21" s="22">
        <v>0</v>
      </c>
      <c r="CD21" s="22">
        <v>14.6</v>
      </c>
      <c r="CE21" s="22">
        <v>9.6999999999999993</v>
      </c>
      <c r="CF21" s="22">
        <v>9.6</v>
      </c>
      <c r="CG21" s="22">
        <v>14.17</v>
      </c>
      <c r="CH21" s="22">
        <v>0</v>
      </c>
      <c r="CI21" s="22"/>
      <c r="CJ21" s="22"/>
      <c r="CK21" s="22"/>
      <c r="CL21" s="22"/>
      <c r="CM21" s="22"/>
      <c r="CN21" s="27"/>
      <c r="CO21" s="38">
        <f t="shared" si="37"/>
        <v>8.6999999999999993</v>
      </c>
      <c r="CP21" s="38">
        <f t="shared" si="38"/>
        <v>12.68</v>
      </c>
      <c r="CQ21" s="40">
        <f t="shared" si="39"/>
        <v>44.679999999999993</v>
      </c>
      <c r="CR21" s="40">
        <f t="shared" si="40"/>
        <v>9.6</v>
      </c>
      <c r="CS21" s="40">
        <f t="shared" si="41"/>
        <v>14.17</v>
      </c>
      <c r="CT21" s="40">
        <f t="shared" si="42"/>
        <v>48.07</v>
      </c>
      <c r="CU21" s="40">
        <f t="shared" si="43"/>
        <v>48.07</v>
      </c>
      <c r="CV21" s="40" t="str">
        <f t="shared" si="44"/>
        <v/>
      </c>
      <c r="CW21" s="40" t="str">
        <f t="shared" si="45"/>
        <v/>
      </c>
      <c r="CX21" s="40" t="str">
        <f t="shared" si="46"/>
        <v/>
      </c>
      <c r="CY21" s="40">
        <f t="shared" si="47"/>
        <v>48.07</v>
      </c>
      <c r="CZ21" s="50" t="str">
        <f t="shared" si="48"/>
        <v/>
      </c>
      <c r="DA21" s="50" t="str">
        <f t="shared" si="49"/>
        <v/>
      </c>
      <c r="DB21" s="17"/>
      <c r="DC21" s="17"/>
      <c r="DD21" s="17"/>
      <c r="DE21" s="17"/>
      <c r="DF21" s="17"/>
      <c r="DG21" s="17">
        <v>8.6</v>
      </c>
      <c r="DH21" s="17">
        <v>5.4</v>
      </c>
      <c r="DI21" s="17">
        <v>7</v>
      </c>
      <c r="DJ21" s="17">
        <v>9.06</v>
      </c>
      <c r="DK21" s="17">
        <v>0</v>
      </c>
      <c r="DL21" s="17"/>
      <c r="DM21" s="17"/>
      <c r="DN21" s="17"/>
      <c r="DO21" s="17"/>
      <c r="DP21" s="17"/>
      <c r="DQ21" s="17"/>
      <c r="DR21" s="17"/>
      <c r="DS21" s="17"/>
      <c r="DT21" s="17"/>
      <c r="DU21" s="17"/>
      <c r="DV21" s="40" t="str">
        <f t="shared" si="50"/>
        <v/>
      </c>
      <c r="DW21" s="40" t="str">
        <f t="shared" si="51"/>
        <v/>
      </c>
      <c r="DX21" s="40" t="str">
        <f t="shared" si="52"/>
        <v/>
      </c>
      <c r="DY21" s="40">
        <f t="shared" si="53"/>
        <v>7</v>
      </c>
      <c r="DZ21" s="40">
        <f t="shared" si="54"/>
        <v>9.06</v>
      </c>
      <c r="EA21" s="40">
        <f t="shared" si="55"/>
        <v>30.060000000000002</v>
      </c>
      <c r="EB21" s="40">
        <f t="shared" si="56"/>
        <v>30.060000000000002</v>
      </c>
      <c r="EC21" s="40" t="str">
        <f t="shared" si="57"/>
        <v/>
      </c>
      <c r="ED21" s="40" t="str">
        <f t="shared" si="58"/>
        <v/>
      </c>
      <c r="EE21" s="40" t="str">
        <f t="shared" si="59"/>
        <v/>
      </c>
      <c r="EF21" s="40" t="str">
        <f t="shared" si="60"/>
        <v/>
      </c>
      <c r="EG21" s="40" t="str">
        <f t="shared" si="61"/>
        <v/>
      </c>
      <c r="EH21" s="40" t="str">
        <f t="shared" si="62"/>
        <v/>
      </c>
      <c r="EI21" s="40">
        <f t="shared" si="63"/>
        <v>30.060000000000002</v>
      </c>
      <c r="EJ21" s="18"/>
      <c r="EK21" s="18"/>
      <c r="EL21" s="18"/>
      <c r="EM21" s="18"/>
      <c r="EN21" s="18"/>
      <c r="EO21" s="18"/>
      <c r="EP21" s="18"/>
      <c r="EQ21" s="18"/>
      <c r="ER21" s="18"/>
      <c r="ES21" s="18"/>
      <c r="ET21" s="18"/>
      <c r="EU21" s="18"/>
      <c r="EV21" s="18"/>
      <c r="EW21" s="18"/>
      <c r="EX21" s="18"/>
      <c r="EY21" s="18"/>
      <c r="EZ21" s="18"/>
      <c r="FA21" s="18"/>
      <c r="FB21" s="18"/>
      <c r="FC21" s="18"/>
      <c r="FD21" s="11" t="str">
        <f t="shared" si="64"/>
        <v/>
      </c>
      <c r="FE21" s="11" t="str">
        <f t="shared" si="65"/>
        <v/>
      </c>
      <c r="FF21" s="11" t="str">
        <f t="shared" si="66"/>
        <v/>
      </c>
      <c r="FG21" s="11" t="str">
        <f t="shared" si="67"/>
        <v/>
      </c>
      <c r="FH21" s="11" t="str">
        <f t="shared" si="68"/>
        <v/>
      </c>
      <c r="FI21" s="11" t="str">
        <f t="shared" si="69"/>
        <v/>
      </c>
      <c r="FJ21" s="11" t="str">
        <f t="shared" si="70"/>
        <v/>
      </c>
      <c r="FK21" s="11" t="str">
        <f t="shared" si="71"/>
        <v/>
      </c>
      <c r="FL21" s="11" t="str">
        <f t="shared" si="72"/>
        <v/>
      </c>
      <c r="FM21" s="11" t="str">
        <f t="shared" si="73"/>
        <v/>
      </c>
      <c r="FN21" s="11" t="str">
        <f t="shared" si="74"/>
        <v/>
      </c>
      <c r="FO21" s="11" t="str">
        <f t="shared" si="75"/>
        <v/>
      </c>
      <c r="FP21" s="11" t="str">
        <f t="shared" si="76"/>
        <v/>
      </c>
      <c r="FQ21" s="11" t="str">
        <f t="shared" si="77"/>
        <v/>
      </c>
      <c r="FR21" s="17"/>
      <c r="FS21" s="17"/>
      <c r="FT21" s="17"/>
      <c r="FU21" s="17"/>
      <c r="FV21" s="17"/>
      <c r="FW21" s="17"/>
      <c r="FX21" s="17"/>
      <c r="FY21" s="17"/>
      <c r="FZ21" s="17"/>
      <c r="GA21" s="17"/>
      <c r="GB21" s="17"/>
      <c r="GC21" s="17"/>
      <c r="GD21" s="17"/>
      <c r="GE21" s="17"/>
      <c r="GF21" s="17"/>
      <c r="GG21" s="17"/>
      <c r="GH21" s="17"/>
      <c r="GI21" s="17"/>
      <c r="GJ21" s="17"/>
      <c r="GK21" s="17"/>
      <c r="GL21" s="40" t="str">
        <f t="shared" si="78"/>
        <v/>
      </c>
      <c r="GM21" s="40" t="str">
        <f t="shared" si="79"/>
        <v/>
      </c>
      <c r="GN21" s="40" t="str">
        <f t="shared" si="80"/>
        <v/>
      </c>
      <c r="GO21" s="40" t="str">
        <f t="shared" si="81"/>
        <v/>
      </c>
      <c r="GP21" s="40" t="str">
        <f t="shared" si="82"/>
        <v/>
      </c>
      <c r="GQ21" s="40" t="str">
        <f t="shared" si="83"/>
        <v/>
      </c>
      <c r="GR21" s="40" t="str">
        <f t="shared" si="84"/>
        <v/>
      </c>
      <c r="GS21" s="40" t="str">
        <f t="shared" si="85"/>
        <v/>
      </c>
      <c r="GT21" s="40" t="str">
        <f t="shared" si="86"/>
        <v/>
      </c>
      <c r="GU21" s="40" t="str">
        <f t="shared" si="87"/>
        <v/>
      </c>
      <c r="GV21" s="40" t="str">
        <f t="shared" si="88"/>
        <v/>
      </c>
      <c r="GW21" s="40" t="str">
        <f t="shared" si="89"/>
        <v/>
      </c>
      <c r="GX21" s="40" t="str">
        <f t="shared" si="90"/>
        <v/>
      </c>
      <c r="GY21" s="40" t="str">
        <f t="shared" si="91"/>
        <v/>
      </c>
      <c r="GZ21" s="18"/>
      <c r="HA21" s="18"/>
      <c r="HB21" s="18"/>
      <c r="HC21" s="18"/>
      <c r="HD21" s="18"/>
      <c r="HE21" s="18"/>
      <c r="HF21" s="18"/>
      <c r="HG21" s="18"/>
      <c r="HH21" s="18"/>
      <c r="HI21" s="18"/>
      <c r="HJ21" s="18"/>
      <c r="HK21" s="18"/>
      <c r="HL21" s="18"/>
      <c r="HM21" s="18"/>
      <c r="HN21" s="18"/>
      <c r="HO21" s="18"/>
      <c r="HP21" s="18"/>
      <c r="HQ21" s="18"/>
      <c r="HR21" s="18"/>
      <c r="HS21" s="18"/>
      <c r="HT21" s="11" t="str">
        <f t="shared" si="92"/>
        <v/>
      </c>
      <c r="HU21" s="11" t="str">
        <f t="shared" si="93"/>
        <v/>
      </c>
      <c r="HV21" s="11" t="str">
        <f t="shared" si="94"/>
        <v/>
      </c>
      <c r="HW21" s="11" t="str">
        <f t="shared" si="95"/>
        <v/>
      </c>
      <c r="HX21" s="11" t="str">
        <f t="shared" si="96"/>
        <v/>
      </c>
      <c r="HY21" s="11" t="str">
        <f t="shared" si="97"/>
        <v/>
      </c>
      <c r="HZ21" s="11" t="str">
        <f t="shared" si="98"/>
        <v/>
      </c>
      <c r="IA21" s="11" t="str">
        <f t="shared" si="99"/>
        <v/>
      </c>
      <c r="IB21" s="11" t="str">
        <f t="shared" si="100"/>
        <v/>
      </c>
      <c r="IC21" s="11" t="str">
        <f t="shared" si="101"/>
        <v/>
      </c>
      <c r="ID21" s="11" t="str">
        <f t="shared" si="102"/>
        <v/>
      </c>
      <c r="IE21" s="11" t="str">
        <f t="shared" si="103"/>
        <v/>
      </c>
      <c r="IF21" s="11" t="str">
        <f t="shared" si="104"/>
        <v/>
      </c>
      <c r="IG21" s="11" t="str">
        <f t="shared" si="105"/>
        <v/>
      </c>
      <c r="IH21" s="17"/>
      <c r="II21" s="17"/>
      <c r="IJ21" s="17"/>
      <c r="IK21" s="17"/>
      <c r="IL21" s="17"/>
      <c r="IM21" s="17"/>
      <c r="IN21" s="17"/>
      <c r="IO21" s="17"/>
      <c r="IP21" s="17"/>
      <c r="IQ21" s="17"/>
      <c r="IR21" s="17"/>
      <c r="IS21" s="17"/>
      <c r="IT21" s="17"/>
      <c r="IU21" s="17"/>
      <c r="IV21" s="17"/>
      <c r="IW21" s="17"/>
      <c r="IX21" s="17"/>
      <c r="IY21" s="17"/>
      <c r="IZ21" s="17"/>
      <c r="JA21" s="17"/>
      <c r="JB21" s="40" t="str">
        <f t="shared" si="106"/>
        <v/>
      </c>
      <c r="JC21" s="40" t="str">
        <f t="shared" si="107"/>
        <v/>
      </c>
      <c r="JD21" s="40" t="str">
        <f t="shared" si="108"/>
        <v/>
      </c>
      <c r="JE21" s="40" t="str">
        <f t="shared" si="109"/>
        <v/>
      </c>
      <c r="JF21" s="40" t="str">
        <f t="shared" si="110"/>
        <v/>
      </c>
      <c r="JG21" s="40" t="str">
        <f t="shared" si="111"/>
        <v/>
      </c>
      <c r="JH21" s="40" t="str">
        <f t="shared" si="112"/>
        <v/>
      </c>
      <c r="JI21" s="40" t="str">
        <f t="shared" si="113"/>
        <v/>
      </c>
      <c r="JJ21" s="40" t="str">
        <f t="shared" si="114"/>
        <v/>
      </c>
      <c r="JK21" s="40" t="str">
        <f t="shared" si="115"/>
        <v/>
      </c>
      <c r="JL21" s="40" t="str">
        <f t="shared" si="116"/>
        <v/>
      </c>
      <c r="JM21" s="40" t="str">
        <f t="shared" si="117"/>
        <v/>
      </c>
      <c r="JN21" s="40" t="str">
        <f t="shared" si="118"/>
        <v/>
      </c>
      <c r="JO21" s="40" t="str">
        <f t="shared" si="119"/>
        <v/>
      </c>
      <c r="JP21" s="18"/>
      <c r="JQ21" s="18"/>
      <c r="JR21" s="18"/>
      <c r="JS21" s="18"/>
      <c r="JT21" s="18"/>
      <c r="JU21" s="18"/>
      <c r="JV21" s="18"/>
      <c r="JW21" s="18"/>
      <c r="JX21" s="18"/>
      <c r="JY21" s="18"/>
      <c r="JZ21" s="18"/>
      <c r="KA21" s="18"/>
      <c r="KB21" s="18"/>
      <c r="KC21" s="18"/>
      <c r="KD21" s="18"/>
      <c r="KE21" s="18"/>
      <c r="KF21" s="18"/>
      <c r="KG21" s="18"/>
      <c r="KH21" s="18"/>
      <c r="KI21" s="18"/>
      <c r="KJ21" s="11" t="str">
        <f t="shared" si="120"/>
        <v/>
      </c>
      <c r="KK21" s="11" t="str">
        <f t="shared" si="121"/>
        <v/>
      </c>
      <c r="KL21" s="11" t="str">
        <f t="shared" si="122"/>
        <v/>
      </c>
      <c r="KM21" s="11" t="str">
        <f t="shared" si="123"/>
        <v/>
      </c>
      <c r="KN21" s="11" t="str">
        <f t="shared" si="124"/>
        <v/>
      </c>
      <c r="KO21" s="11" t="str">
        <f t="shared" si="125"/>
        <v/>
      </c>
      <c r="KP21" s="11" t="str">
        <f t="shared" si="126"/>
        <v/>
      </c>
      <c r="KQ21" s="11" t="str">
        <f t="shared" si="127"/>
        <v/>
      </c>
      <c r="KR21" s="11" t="str">
        <f t="shared" si="128"/>
        <v/>
      </c>
      <c r="KS21" s="11" t="str">
        <f t="shared" si="129"/>
        <v/>
      </c>
      <c r="KT21" s="11" t="str">
        <f t="shared" si="130"/>
        <v/>
      </c>
      <c r="KU21" s="11" t="str">
        <f t="shared" si="131"/>
        <v/>
      </c>
      <c r="KV21" s="11" t="str">
        <f t="shared" si="132"/>
        <v/>
      </c>
      <c r="KW21" s="11" t="str">
        <f t="shared" si="133"/>
        <v/>
      </c>
      <c r="KX21" s="17"/>
      <c r="KY21" s="17"/>
      <c r="KZ21" s="17"/>
      <c r="LA21" s="17"/>
      <c r="LB21" s="17"/>
      <c r="LC21" s="17"/>
      <c r="LD21" s="17"/>
      <c r="LE21" s="17"/>
      <c r="LF21" s="17"/>
      <c r="LG21" s="17"/>
      <c r="LH21" s="17"/>
      <c r="LI21" s="17"/>
      <c r="LJ21" s="17"/>
      <c r="LK21" s="17"/>
      <c r="LL21" s="17"/>
      <c r="LM21" s="17"/>
      <c r="LN21" s="17"/>
      <c r="LO21" s="17"/>
      <c r="LP21" s="17"/>
      <c r="LQ21" s="17"/>
      <c r="LR21" s="40" t="str">
        <f t="shared" si="134"/>
        <v/>
      </c>
      <c r="LS21" s="40" t="str">
        <f t="shared" si="135"/>
        <v/>
      </c>
      <c r="LT21" s="40" t="str">
        <f t="shared" si="136"/>
        <v/>
      </c>
      <c r="LU21" s="40" t="str">
        <f t="shared" si="137"/>
        <v/>
      </c>
      <c r="LV21" s="40" t="str">
        <f t="shared" si="138"/>
        <v/>
      </c>
      <c r="LW21" s="40" t="str">
        <f t="shared" si="139"/>
        <v/>
      </c>
      <c r="LX21" s="40" t="str">
        <f t="shared" si="140"/>
        <v/>
      </c>
      <c r="LY21" s="40" t="str">
        <f t="shared" si="141"/>
        <v/>
      </c>
      <c r="LZ21" s="40" t="str">
        <f t="shared" si="142"/>
        <v/>
      </c>
      <c r="MA21" s="40" t="str">
        <f t="shared" si="143"/>
        <v/>
      </c>
      <c r="MB21" s="40" t="str">
        <f t="shared" si="144"/>
        <v/>
      </c>
      <c r="MC21" s="40" t="str">
        <f t="shared" si="145"/>
        <v/>
      </c>
      <c r="MD21" s="40" t="str">
        <f t="shared" si="146"/>
        <v/>
      </c>
      <c r="ME21" s="40" t="str">
        <f t="shared" si="147"/>
        <v/>
      </c>
      <c r="MF21" s="18"/>
      <c r="MG21" s="18"/>
      <c r="MH21" s="18"/>
      <c r="MI21" s="18"/>
      <c r="MJ21" s="18"/>
      <c r="MK21" s="18"/>
      <c r="ML21" s="18"/>
      <c r="MM21" s="18"/>
      <c r="MN21" s="18"/>
      <c r="MO21" s="18"/>
      <c r="MP21" s="18"/>
      <c r="MQ21" s="18"/>
      <c r="MR21" s="18"/>
      <c r="MS21" s="18"/>
      <c r="MT21" s="18"/>
      <c r="MU21" s="18"/>
      <c r="MV21" s="18"/>
      <c r="MW21" s="18"/>
      <c r="MX21" s="18"/>
      <c r="MY21" s="18"/>
      <c r="MZ21" s="11" t="str">
        <f t="shared" si="148"/>
        <v/>
      </c>
      <c r="NA21" s="11" t="str">
        <f t="shared" si="149"/>
        <v/>
      </c>
      <c r="NB21" s="11" t="str">
        <f t="shared" si="150"/>
        <v/>
      </c>
      <c r="NC21" s="11" t="str">
        <f t="shared" si="151"/>
        <v/>
      </c>
      <c r="ND21" s="11" t="str">
        <f t="shared" si="152"/>
        <v/>
      </c>
      <c r="NE21" s="11" t="str">
        <f t="shared" si="153"/>
        <v/>
      </c>
      <c r="NF21" s="11" t="str">
        <f t="shared" si="154"/>
        <v/>
      </c>
      <c r="NG21" s="11" t="str">
        <f t="shared" si="155"/>
        <v/>
      </c>
      <c r="NH21" s="11" t="str">
        <f t="shared" si="156"/>
        <v/>
      </c>
      <c r="NI21" s="11" t="str">
        <f t="shared" si="157"/>
        <v/>
      </c>
      <c r="NJ21" s="11" t="str">
        <f t="shared" si="158"/>
        <v/>
      </c>
      <c r="NK21" s="11" t="str">
        <f t="shared" si="159"/>
        <v/>
      </c>
      <c r="NL21" s="11" t="str">
        <f t="shared" si="160"/>
        <v/>
      </c>
      <c r="NM21" s="11" t="str">
        <f t="shared" si="161"/>
        <v/>
      </c>
      <c r="NN21" s="17"/>
      <c r="NO21" s="17"/>
      <c r="NP21" s="17"/>
      <c r="NQ21" s="17"/>
      <c r="NR21" s="17"/>
      <c r="NS21" s="17"/>
      <c r="NT21" s="17"/>
      <c r="NU21" s="17"/>
      <c r="NV21" s="17"/>
      <c r="NW21" s="17"/>
      <c r="NX21" s="17"/>
      <c r="NY21" s="17"/>
      <c r="NZ21" s="17"/>
      <c r="OA21" s="17"/>
      <c r="OB21" s="17"/>
      <c r="OC21" s="17"/>
      <c r="OD21" s="17"/>
      <c r="OE21" s="17"/>
      <c r="OF21" s="17"/>
      <c r="OG21" s="17"/>
      <c r="OH21" s="40" t="str">
        <f t="shared" si="162"/>
        <v/>
      </c>
      <c r="OI21" s="40" t="str">
        <f t="shared" si="163"/>
        <v/>
      </c>
      <c r="OJ21" s="40" t="str">
        <f t="shared" si="164"/>
        <v/>
      </c>
      <c r="OK21" s="40" t="str">
        <f t="shared" si="165"/>
        <v/>
      </c>
      <c r="OL21" s="40" t="str">
        <f t="shared" si="166"/>
        <v/>
      </c>
      <c r="OM21" s="40" t="str">
        <f t="shared" si="167"/>
        <v/>
      </c>
      <c r="ON21" s="40" t="str">
        <f t="shared" si="168"/>
        <v/>
      </c>
      <c r="OO21" s="40" t="str">
        <f t="shared" si="169"/>
        <v/>
      </c>
      <c r="OP21" s="40" t="str">
        <f t="shared" si="170"/>
        <v/>
      </c>
      <c r="OQ21" s="40" t="str">
        <f t="shared" si="171"/>
        <v/>
      </c>
      <c r="OR21" s="40" t="str">
        <f t="shared" si="172"/>
        <v/>
      </c>
      <c r="OS21" s="40" t="str">
        <f t="shared" si="173"/>
        <v/>
      </c>
      <c r="OT21" s="40" t="str">
        <f t="shared" si="174"/>
        <v/>
      </c>
      <c r="OU21" s="40" t="str">
        <f t="shared" si="175"/>
        <v/>
      </c>
      <c r="OV21" s="18"/>
      <c r="OW21" s="18"/>
      <c r="OX21" s="18"/>
      <c r="OY21" s="18"/>
      <c r="OZ21" s="18"/>
      <c r="PA21" s="18"/>
      <c r="PB21" s="18"/>
      <c r="PC21" s="18"/>
      <c r="PD21" s="18"/>
      <c r="PE21" s="18"/>
      <c r="PF21" s="18"/>
      <c r="PG21" s="18"/>
      <c r="PH21" s="18"/>
      <c r="PI21" s="18"/>
      <c r="PJ21" s="18"/>
      <c r="PK21" s="18"/>
      <c r="PL21" s="18"/>
      <c r="PM21" s="18"/>
      <c r="PN21" s="18"/>
      <c r="PO21" s="18"/>
      <c r="PP21" s="11" t="str">
        <f t="shared" si="176"/>
        <v/>
      </c>
      <c r="PQ21" s="11" t="str">
        <f t="shared" si="177"/>
        <v/>
      </c>
      <c r="PR21" s="11" t="str">
        <f t="shared" si="178"/>
        <v/>
      </c>
      <c r="PS21" s="11" t="str">
        <f t="shared" si="179"/>
        <v/>
      </c>
      <c r="PT21" s="11" t="str">
        <f t="shared" si="180"/>
        <v/>
      </c>
      <c r="PU21" s="11" t="str">
        <f t="shared" si="181"/>
        <v/>
      </c>
      <c r="PV21" s="11" t="str">
        <f t="shared" si="182"/>
        <v/>
      </c>
      <c r="PW21" s="11" t="str">
        <f t="shared" si="183"/>
        <v/>
      </c>
      <c r="PX21" s="11" t="str">
        <f t="shared" si="184"/>
        <v/>
      </c>
      <c r="PY21" s="11" t="str">
        <f t="shared" si="185"/>
        <v/>
      </c>
      <c r="PZ21" s="11" t="str">
        <f t="shared" si="186"/>
        <v/>
      </c>
      <c r="QA21" s="11" t="str">
        <f t="shared" si="187"/>
        <v/>
      </c>
      <c r="QB21" s="11" t="str">
        <f t="shared" si="188"/>
        <v/>
      </c>
      <c r="QC21" s="11" t="str">
        <f t="shared" si="189"/>
        <v/>
      </c>
      <c r="QD21" s="17"/>
      <c r="QE21" s="17"/>
      <c r="QF21" s="17"/>
      <c r="QG21" s="17"/>
      <c r="QH21" s="17"/>
      <c r="QI21" s="17"/>
      <c r="QJ21" s="17"/>
      <c r="QK21" s="17"/>
      <c r="QL21" s="17"/>
      <c r="QM21" s="17"/>
      <c r="QN21" s="17"/>
      <c r="QO21" s="17"/>
      <c r="QP21" s="17"/>
      <c r="QQ21" s="17"/>
      <c r="QR21" s="17"/>
      <c r="QS21" s="17"/>
      <c r="QT21" s="17"/>
      <c r="QU21" s="17"/>
      <c r="QV21" s="17"/>
      <c r="QW21" s="17"/>
      <c r="QX21" s="40" t="str">
        <f t="shared" si="190"/>
        <v/>
      </c>
      <c r="QY21" s="40" t="str">
        <f t="shared" si="191"/>
        <v/>
      </c>
      <c r="QZ21" s="40" t="str">
        <f t="shared" si="192"/>
        <v/>
      </c>
      <c r="RA21" s="40" t="str">
        <f t="shared" si="193"/>
        <v/>
      </c>
      <c r="RB21" s="40" t="str">
        <f t="shared" si="194"/>
        <v/>
      </c>
      <c r="RC21" s="40" t="str">
        <f t="shared" si="195"/>
        <v/>
      </c>
      <c r="RD21" s="40" t="str">
        <f t="shared" si="196"/>
        <v/>
      </c>
      <c r="RE21" s="40" t="str">
        <f t="shared" si="197"/>
        <v/>
      </c>
      <c r="RF21" s="40" t="str">
        <f t="shared" si="198"/>
        <v/>
      </c>
      <c r="RG21" s="40" t="str">
        <f t="shared" si="199"/>
        <v/>
      </c>
      <c r="RH21" s="40" t="str">
        <f t="shared" si="200"/>
        <v/>
      </c>
      <c r="RI21" s="40" t="str">
        <f t="shared" si="201"/>
        <v/>
      </c>
      <c r="RJ21" s="40" t="str">
        <f t="shared" si="202"/>
        <v/>
      </c>
      <c r="RK21" s="40" t="str">
        <f t="shared" si="203"/>
        <v/>
      </c>
      <c r="RL21" s="18"/>
      <c r="RM21" s="18"/>
      <c r="RN21" s="18"/>
      <c r="RO21" s="18"/>
      <c r="RP21" s="18"/>
      <c r="RQ21" s="18"/>
      <c r="RR21" s="18"/>
      <c r="RS21" s="18"/>
      <c r="RT21" s="18"/>
      <c r="RU21" s="18"/>
      <c r="RV21" s="18"/>
      <c r="RW21" s="18"/>
      <c r="RX21" s="18"/>
      <c r="RY21" s="18"/>
      <c r="RZ21" s="18"/>
      <c r="SA21" s="18"/>
      <c r="SB21" s="18"/>
      <c r="SC21" s="18"/>
      <c r="SD21" s="18"/>
      <c r="SE21" s="18"/>
      <c r="SF21" s="11" t="str">
        <f t="shared" si="204"/>
        <v/>
      </c>
      <c r="SG21" s="11" t="str">
        <f t="shared" si="205"/>
        <v/>
      </c>
      <c r="SH21" s="11" t="str">
        <f t="shared" si="206"/>
        <v/>
      </c>
      <c r="SI21" s="11" t="str">
        <f t="shared" si="207"/>
        <v/>
      </c>
      <c r="SJ21" s="11" t="str">
        <f t="shared" si="208"/>
        <v/>
      </c>
      <c r="SK21" s="11" t="str">
        <f t="shared" si="209"/>
        <v/>
      </c>
      <c r="SL21" s="11" t="str">
        <f t="shared" si="210"/>
        <v/>
      </c>
      <c r="SM21" s="11" t="str">
        <f t="shared" si="211"/>
        <v/>
      </c>
      <c r="SN21" s="11" t="str">
        <f t="shared" si="212"/>
        <v/>
      </c>
      <c r="SO21" s="11" t="str">
        <f t="shared" si="213"/>
        <v/>
      </c>
      <c r="SP21" s="11" t="str">
        <f t="shared" si="214"/>
        <v/>
      </c>
      <c r="SQ21" s="11" t="str">
        <f t="shared" si="215"/>
        <v/>
      </c>
      <c r="SR21" s="11" t="str">
        <f t="shared" si="216"/>
        <v/>
      </c>
      <c r="SS21" s="11" t="str">
        <f t="shared" si="217"/>
        <v/>
      </c>
      <c r="ST21" s="22">
        <f t="shared" si="218"/>
        <v>7.55</v>
      </c>
      <c r="SU21" s="22">
        <f t="shared" si="219"/>
        <v>4.0999999999999996</v>
      </c>
      <c r="SV21" s="22">
        <f t="shared" si="220"/>
        <v>4.3499999999999996</v>
      </c>
      <c r="SW21" s="22">
        <f t="shared" si="221"/>
        <v>6.34</v>
      </c>
      <c r="SX21" s="22">
        <f t="shared" si="222"/>
        <v>0</v>
      </c>
      <c r="SY21" s="22">
        <f t="shared" si="223"/>
        <v>7.3</v>
      </c>
      <c r="SZ21" s="22">
        <f t="shared" si="224"/>
        <v>4.8499999999999996</v>
      </c>
      <c r="TA21" s="22">
        <f t="shared" si="225"/>
        <v>4.8</v>
      </c>
      <c r="TB21" s="22">
        <f t="shared" si="226"/>
        <v>7.085</v>
      </c>
      <c r="TC21" s="22">
        <f t="shared" si="227"/>
        <v>0</v>
      </c>
      <c r="TD21" s="22">
        <f t="shared" si="228"/>
        <v>0</v>
      </c>
      <c r="TE21" s="22">
        <f t="shared" si="229"/>
        <v>0</v>
      </c>
      <c r="TF21" s="22">
        <f t="shared" si="230"/>
        <v>0</v>
      </c>
      <c r="TG21" s="22">
        <f t="shared" si="231"/>
        <v>0</v>
      </c>
      <c r="TH21" s="22">
        <f t="shared" si="232"/>
        <v>0</v>
      </c>
      <c r="TI21" s="27" t="s">
        <v>46</v>
      </c>
      <c r="TJ21" s="40">
        <f t="shared" si="233"/>
        <v>4.3499999999999996</v>
      </c>
      <c r="TK21" s="40">
        <f t="shared" si="234"/>
        <v>6.34</v>
      </c>
      <c r="TL21" s="40">
        <f t="shared" si="235"/>
        <v>22.339999999999996</v>
      </c>
      <c r="TM21" s="40">
        <f t="shared" si="236"/>
        <v>4.8</v>
      </c>
      <c r="TN21" s="40">
        <f t="shared" si="237"/>
        <v>7.085</v>
      </c>
      <c r="TO21" s="40">
        <f t="shared" si="238"/>
        <v>24.035</v>
      </c>
      <c r="TP21" s="40">
        <f t="shared" si="239"/>
        <v>24.035</v>
      </c>
      <c r="TQ21" s="40" t="str">
        <f t="shared" si="240"/>
        <v/>
      </c>
      <c r="TR21" s="40" t="str">
        <f t="shared" si="241"/>
        <v/>
      </c>
      <c r="TS21" s="40" t="str">
        <f t="shared" si="242"/>
        <v/>
      </c>
      <c r="TT21" s="40">
        <f t="shared" si="243"/>
        <v>24.035</v>
      </c>
    </row>
    <row r="22" spans="1:540" x14ac:dyDescent="0.2">
      <c r="A22" s="4" t="str" cm="1">
        <f t="array" ref="A22">IF(AND(F22&lt;&gt;"",G22&lt;&gt;""),SUMPRODUCT((F$4:F$35&lt;&gt;"")*(G$4:G$35&lt;&gt;"")*(E$4:E$35&gt;E22))+1,IF(G22&lt;&gt;"",SUMPRODUCT((H$4:H$35="No DD")*(E$4:E$35&gt;E22))+1+SUMPRODUCT((F$4:F$35&lt;&gt;"")*(G$4:G$35&lt;&gt;"")),""))</f>
        <v/>
      </c>
      <c r="B22" s="5" t="s">
        <v>148</v>
      </c>
      <c r="C22" s="4" t="s">
        <v>3</v>
      </c>
      <c r="D22" s="4">
        <v>2002</v>
      </c>
      <c r="E22" s="9">
        <f t="shared" si="0"/>
        <v>151.91001519100467</v>
      </c>
      <c r="F22" s="3" t="str">
        <f t="shared" si="1"/>
        <v/>
      </c>
      <c r="G22" s="3" t="str">
        <f t="shared" si="2"/>
        <v/>
      </c>
      <c r="H22" s="36" t="str">
        <f t="shared" si="3"/>
        <v/>
      </c>
      <c r="I22" s="3" t="str">
        <f t="shared" si="4"/>
        <v/>
      </c>
      <c r="J22" s="8">
        <f>IF(COUNT(AO22,AR22,BP22,BS22,CQ22,CT22)&gt;0,LARGE((AO22,AR22,BP22,BS22,CQ22,CT22),1),0)</f>
        <v>47.069999999999993</v>
      </c>
      <c r="K22" s="8" t="str">
        <f t="shared" si="5"/>
        <v>2023 Elite Canada</v>
      </c>
      <c r="L22" s="8">
        <f>IF(COUNT(AO22,AR22,BP22,BS22,CQ22,CT22)&gt;1,LARGE((AO22,AR22,BP22,BS22,CQ22,CT22),2),0)</f>
        <v>47.03</v>
      </c>
      <c r="M22" s="8" t="str">
        <f t="shared" si="6"/>
        <v>2023 Elite Canada</v>
      </c>
      <c r="N22" s="8">
        <f>IF(COUNT(AO22,AR22,BP22,BS22,CQ22,CT22)&gt;2,MAX(AV22,BW22,CX22,LARGE((AO22,AR22,BP22,BS22,CQ22,CT22),3)),IF(MAX(AV22,BW22,CX22)&gt;0,MAX(AV22,BW22,CX22),0))</f>
        <v>46.61</v>
      </c>
      <c r="O22" s="8" t="str">
        <f t="shared" si="7"/>
        <v>2022 Nationals</v>
      </c>
      <c r="P22" s="8">
        <f t="shared" si="8"/>
        <v>11.2</v>
      </c>
      <c r="Q22" s="8" t="str">
        <f t="shared" si="9"/>
        <v>2022 Nationals</v>
      </c>
      <c r="R22" s="8">
        <f t="shared" si="10"/>
        <v>0</v>
      </c>
      <c r="S22" s="8" t="str">
        <f t="shared" si="11"/>
        <v/>
      </c>
      <c r="T22" s="8" t="str">
        <f t="shared" si="12"/>
        <v/>
      </c>
      <c r="U22" s="11" t="str">
        <f t="shared" si="13"/>
        <v/>
      </c>
      <c r="V22" s="8" t="str">
        <f t="shared" si="14"/>
        <v/>
      </c>
      <c r="W22" s="22">
        <v>12</v>
      </c>
      <c r="X22" s="22">
        <v>9</v>
      </c>
      <c r="Y22" s="22">
        <v>11.2</v>
      </c>
      <c r="Z22" s="22">
        <v>14.41</v>
      </c>
      <c r="AA22" s="22">
        <v>0</v>
      </c>
      <c r="AB22" s="22"/>
      <c r="AC22" s="22"/>
      <c r="AD22" s="22"/>
      <c r="AE22" s="22"/>
      <c r="AF22" s="22"/>
      <c r="AG22" s="22">
        <v>12.4</v>
      </c>
      <c r="AH22" s="22">
        <v>9</v>
      </c>
      <c r="AI22" s="22">
        <v>9.9</v>
      </c>
      <c r="AJ22" s="22">
        <v>14.07</v>
      </c>
      <c r="AK22" s="22">
        <v>0</v>
      </c>
      <c r="AL22" s="27"/>
      <c r="AM22" s="38">
        <f t="shared" si="15"/>
        <v>11.2</v>
      </c>
      <c r="AN22" s="38">
        <f t="shared" si="16"/>
        <v>14.41</v>
      </c>
      <c r="AO22" s="40">
        <f t="shared" si="17"/>
        <v>46.61</v>
      </c>
      <c r="AP22" s="40" t="str">
        <f t="shared" si="18"/>
        <v/>
      </c>
      <c r="AQ22" s="40" t="str">
        <f t="shared" si="19"/>
        <v/>
      </c>
      <c r="AR22" s="40" t="str">
        <f t="shared" si="20"/>
        <v/>
      </c>
      <c r="AS22" s="40">
        <f t="shared" si="21"/>
        <v>46.61</v>
      </c>
      <c r="AT22" s="40">
        <f t="shared" si="22"/>
        <v>9.9</v>
      </c>
      <c r="AU22" s="40">
        <f t="shared" si="23"/>
        <v>14.07</v>
      </c>
      <c r="AV22" s="40">
        <f t="shared" si="24"/>
        <v>45.37</v>
      </c>
      <c r="AW22" s="40">
        <f t="shared" si="25"/>
        <v>91.97999999999999</v>
      </c>
      <c r="AX22" s="26"/>
      <c r="AY22" s="26"/>
      <c r="AZ22" s="26"/>
      <c r="BA22" s="26"/>
      <c r="BB22" s="26"/>
      <c r="BC22" s="26"/>
      <c r="BD22" s="26"/>
      <c r="BE22" s="26"/>
      <c r="BF22" s="26"/>
      <c r="BG22" s="26"/>
      <c r="BH22" s="26"/>
      <c r="BI22" s="26"/>
      <c r="BJ22" s="26"/>
      <c r="BK22" s="26"/>
      <c r="BL22" s="26"/>
      <c r="BM22" s="28"/>
      <c r="BN22" s="39" t="str">
        <f t="shared" si="26"/>
        <v/>
      </c>
      <c r="BO22" s="39" t="str">
        <f t="shared" si="27"/>
        <v/>
      </c>
      <c r="BP22" s="11" t="str">
        <f t="shared" si="28"/>
        <v/>
      </c>
      <c r="BQ22" s="11" t="str">
        <f t="shared" si="29"/>
        <v/>
      </c>
      <c r="BR22" s="11" t="str">
        <f t="shared" si="30"/>
        <v/>
      </c>
      <c r="BS22" s="11" t="str">
        <f t="shared" si="31"/>
        <v/>
      </c>
      <c r="BT22" s="11" t="str">
        <f t="shared" si="32"/>
        <v/>
      </c>
      <c r="BU22" s="11" t="str">
        <f t="shared" si="33"/>
        <v/>
      </c>
      <c r="BV22" s="11" t="str">
        <f t="shared" si="34"/>
        <v/>
      </c>
      <c r="BW22" s="11" t="str">
        <f t="shared" si="35"/>
        <v/>
      </c>
      <c r="BX22" s="11" t="str">
        <f t="shared" si="36"/>
        <v/>
      </c>
      <c r="BY22" s="22">
        <v>13.5</v>
      </c>
      <c r="BZ22" s="22">
        <v>9.5</v>
      </c>
      <c r="CA22" s="22">
        <v>9.3000000000000007</v>
      </c>
      <c r="CB22" s="22">
        <v>14.77</v>
      </c>
      <c r="CC22" s="22">
        <v>0</v>
      </c>
      <c r="CD22" s="22">
        <v>13.8</v>
      </c>
      <c r="CE22" s="22">
        <v>9.4</v>
      </c>
      <c r="CF22" s="22">
        <v>9.3000000000000007</v>
      </c>
      <c r="CG22" s="22">
        <v>14.53</v>
      </c>
      <c r="CH22" s="22">
        <v>0</v>
      </c>
      <c r="CI22" s="22"/>
      <c r="CJ22" s="22"/>
      <c r="CK22" s="22"/>
      <c r="CL22" s="22"/>
      <c r="CM22" s="22"/>
      <c r="CN22" s="27"/>
      <c r="CO22" s="38">
        <f t="shared" si="37"/>
        <v>9.3000000000000007</v>
      </c>
      <c r="CP22" s="38">
        <f t="shared" si="38"/>
        <v>14.77</v>
      </c>
      <c r="CQ22" s="40">
        <f t="shared" si="39"/>
        <v>47.069999999999993</v>
      </c>
      <c r="CR22" s="40">
        <f t="shared" si="40"/>
        <v>9.3000000000000007</v>
      </c>
      <c r="CS22" s="40">
        <f t="shared" si="41"/>
        <v>14.53</v>
      </c>
      <c r="CT22" s="40">
        <f t="shared" si="42"/>
        <v>47.03</v>
      </c>
      <c r="CU22" s="40">
        <f t="shared" si="43"/>
        <v>47.069999999999993</v>
      </c>
      <c r="CV22" s="40" t="str">
        <f t="shared" si="44"/>
        <v/>
      </c>
      <c r="CW22" s="40" t="str">
        <f t="shared" si="45"/>
        <v/>
      </c>
      <c r="CX22" s="40" t="str">
        <f t="shared" si="46"/>
        <v/>
      </c>
      <c r="CY22" s="40">
        <f t="shared" si="47"/>
        <v>47.069999999999993</v>
      </c>
      <c r="CZ22" s="50" t="str">
        <f t="shared" si="48"/>
        <v/>
      </c>
      <c r="DA22" s="50" t="str">
        <f t="shared" si="49"/>
        <v/>
      </c>
      <c r="DB22" s="17"/>
      <c r="DC22" s="17"/>
      <c r="DD22" s="17"/>
      <c r="DE22" s="17"/>
      <c r="DF22" s="17"/>
      <c r="DG22" s="17"/>
      <c r="DH22" s="17"/>
      <c r="DI22" s="17"/>
      <c r="DJ22" s="17"/>
      <c r="DK22" s="17"/>
      <c r="DL22" s="17"/>
      <c r="DM22" s="17"/>
      <c r="DN22" s="17"/>
      <c r="DO22" s="17"/>
      <c r="DP22" s="17"/>
      <c r="DQ22" s="17"/>
      <c r="DR22" s="17"/>
      <c r="DS22" s="17"/>
      <c r="DT22" s="17"/>
      <c r="DU22" s="17"/>
      <c r="DV22" s="40" t="str">
        <f t="shared" si="50"/>
        <v/>
      </c>
      <c r="DW22" s="40" t="str">
        <f t="shared" si="51"/>
        <v/>
      </c>
      <c r="DX22" s="40" t="str">
        <f t="shared" si="52"/>
        <v/>
      </c>
      <c r="DY22" s="40" t="str">
        <f t="shared" si="53"/>
        <v/>
      </c>
      <c r="DZ22" s="40" t="str">
        <f t="shared" si="54"/>
        <v/>
      </c>
      <c r="EA22" s="40" t="str">
        <f t="shared" si="55"/>
        <v/>
      </c>
      <c r="EB22" s="40" t="str">
        <f t="shared" si="56"/>
        <v/>
      </c>
      <c r="EC22" s="40" t="str">
        <f t="shared" si="57"/>
        <v/>
      </c>
      <c r="ED22" s="40" t="str">
        <f t="shared" si="58"/>
        <v/>
      </c>
      <c r="EE22" s="40" t="str">
        <f t="shared" si="59"/>
        <v/>
      </c>
      <c r="EF22" s="40" t="str">
        <f t="shared" si="60"/>
        <v/>
      </c>
      <c r="EG22" s="40" t="str">
        <f t="shared" si="61"/>
        <v/>
      </c>
      <c r="EH22" s="40" t="str">
        <f t="shared" si="62"/>
        <v/>
      </c>
      <c r="EI22" s="40" t="str">
        <f t="shared" si="63"/>
        <v/>
      </c>
      <c r="EJ22" s="18"/>
      <c r="EK22" s="18"/>
      <c r="EL22" s="18"/>
      <c r="EM22" s="18"/>
      <c r="EN22" s="18"/>
      <c r="EO22" s="18"/>
      <c r="EP22" s="18"/>
      <c r="EQ22" s="18"/>
      <c r="ER22" s="18"/>
      <c r="ES22" s="18"/>
      <c r="ET22" s="18"/>
      <c r="EU22" s="18"/>
      <c r="EV22" s="18"/>
      <c r="EW22" s="18"/>
      <c r="EX22" s="18"/>
      <c r="EY22" s="18"/>
      <c r="EZ22" s="18"/>
      <c r="FA22" s="18"/>
      <c r="FB22" s="18"/>
      <c r="FC22" s="18"/>
      <c r="FD22" s="11" t="str">
        <f t="shared" si="64"/>
        <v/>
      </c>
      <c r="FE22" s="11" t="str">
        <f t="shared" si="65"/>
        <v/>
      </c>
      <c r="FF22" s="11" t="str">
        <f t="shared" si="66"/>
        <v/>
      </c>
      <c r="FG22" s="11" t="str">
        <f t="shared" si="67"/>
        <v/>
      </c>
      <c r="FH22" s="11" t="str">
        <f t="shared" si="68"/>
        <v/>
      </c>
      <c r="FI22" s="11" t="str">
        <f t="shared" si="69"/>
        <v/>
      </c>
      <c r="FJ22" s="11" t="str">
        <f t="shared" si="70"/>
        <v/>
      </c>
      <c r="FK22" s="11" t="str">
        <f t="shared" si="71"/>
        <v/>
      </c>
      <c r="FL22" s="11" t="str">
        <f t="shared" si="72"/>
        <v/>
      </c>
      <c r="FM22" s="11" t="str">
        <f t="shared" si="73"/>
        <v/>
      </c>
      <c r="FN22" s="11" t="str">
        <f t="shared" si="74"/>
        <v/>
      </c>
      <c r="FO22" s="11" t="str">
        <f t="shared" si="75"/>
        <v/>
      </c>
      <c r="FP22" s="11" t="str">
        <f t="shared" si="76"/>
        <v/>
      </c>
      <c r="FQ22" s="11" t="str">
        <f t="shared" si="77"/>
        <v/>
      </c>
      <c r="FR22" s="17"/>
      <c r="FS22" s="17"/>
      <c r="FT22" s="17"/>
      <c r="FU22" s="17"/>
      <c r="FV22" s="17"/>
      <c r="FW22" s="17"/>
      <c r="FX22" s="17"/>
      <c r="FY22" s="17"/>
      <c r="FZ22" s="17"/>
      <c r="GA22" s="17"/>
      <c r="GB22" s="17"/>
      <c r="GC22" s="17"/>
      <c r="GD22" s="17"/>
      <c r="GE22" s="17"/>
      <c r="GF22" s="17"/>
      <c r="GG22" s="17"/>
      <c r="GH22" s="17"/>
      <c r="GI22" s="17"/>
      <c r="GJ22" s="17"/>
      <c r="GK22" s="17"/>
      <c r="GL22" s="40" t="str">
        <f t="shared" si="78"/>
        <v/>
      </c>
      <c r="GM22" s="40" t="str">
        <f t="shared" si="79"/>
        <v/>
      </c>
      <c r="GN22" s="40" t="str">
        <f t="shared" si="80"/>
        <v/>
      </c>
      <c r="GO22" s="40" t="str">
        <f t="shared" si="81"/>
        <v/>
      </c>
      <c r="GP22" s="40" t="str">
        <f t="shared" si="82"/>
        <v/>
      </c>
      <c r="GQ22" s="40" t="str">
        <f t="shared" si="83"/>
        <v/>
      </c>
      <c r="GR22" s="40" t="str">
        <f t="shared" si="84"/>
        <v/>
      </c>
      <c r="GS22" s="40" t="str">
        <f t="shared" si="85"/>
        <v/>
      </c>
      <c r="GT22" s="40" t="str">
        <f t="shared" si="86"/>
        <v/>
      </c>
      <c r="GU22" s="40" t="str">
        <f t="shared" si="87"/>
        <v/>
      </c>
      <c r="GV22" s="40" t="str">
        <f t="shared" si="88"/>
        <v/>
      </c>
      <c r="GW22" s="40" t="str">
        <f t="shared" si="89"/>
        <v/>
      </c>
      <c r="GX22" s="40" t="str">
        <f t="shared" si="90"/>
        <v/>
      </c>
      <c r="GY22" s="40" t="str">
        <f t="shared" si="91"/>
        <v/>
      </c>
      <c r="GZ22" s="18"/>
      <c r="HA22" s="18"/>
      <c r="HB22" s="18"/>
      <c r="HC22" s="18"/>
      <c r="HD22" s="18"/>
      <c r="HE22" s="18"/>
      <c r="HF22" s="18"/>
      <c r="HG22" s="18"/>
      <c r="HH22" s="18"/>
      <c r="HI22" s="18"/>
      <c r="HJ22" s="18"/>
      <c r="HK22" s="18"/>
      <c r="HL22" s="18"/>
      <c r="HM22" s="18"/>
      <c r="HN22" s="18"/>
      <c r="HO22" s="18"/>
      <c r="HP22" s="18"/>
      <c r="HQ22" s="18"/>
      <c r="HR22" s="18"/>
      <c r="HS22" s="18"/>
      <c r="HT22" s="11" t="str">
        <f t="shared" si="92"/>
        <v/>
      </c>
      <c r="HU22" s="11" t="str">
        <f t="shared" si="93"/>
        <v/>
      </c>
      <c r="HV22" s="11" t="str">
        <f t="shared" si="94"/>
        <v/>
      </c>
      <c r="HW22" s="11" t="str">
        <f t="shared" si="95"/>
        <v/>
      </c>
      <c r="HX22" s="11" t="str">
        <f t="shared" si="96"/>
        <v/>
      </c>
      <c r="HY22" s="11" t="str">
        <f t="shared" si="97"/>
        <v/>
      </c>
      <c r="HZ22" s="11" t="str">
        <f t="shared" si="98"/>
        <v/>
      </c>
      <c r="IA22" s="11" t="str">
        <f t="shared" si="99"/>
        <v/>
      </c>
      <c r="IB22" s="11" t="str">
        <f t="shared" si="100"/>
        <v/>
      </c>
      <c r="IC22" s="11" t="str">
        <f t="shared" si="101"/>
        <v/>
      </c>
      <c r="ID22" s="11" t="str">
        <f t="shared" si="102"/>
        <v/>
      </c>
      <c r="IE22" s="11" t="str">
        <f t="shared" si="103"/>
        <v/>
      </c>
      <c r="IF22" s="11" t="str">
        <f t="shared" si="104"/>
        <v/>
      </c>
      <c r="IG22" s="11" t="str">
        <f t="shared" si="105"/>
        <v/>
      </c>
      <c r="IH22" s="17"/>
      <c r="II22" s="17"/>
      <c r="IJ22" s="17"/>
      <c r="IK22" s="17"/>
      <c r="IL22" s="17"/>
      <c r="IM22" s="17"/>
      <c r="IN22" s="17"/>
      <c r="IO22" s="17"/>
      <c r="IP22" s="17"/>
      <c r="IQ22" s="17"/>
      <c r="IR22" s="17"/>
      <c r="IS22" s="17"/>
      <c r="IT22" s="17"/>
      <c r="IU22" s="17"/>
      <c r="IV22" s="17"/>
      <c r="IW22" s="17"/>
      <c r="IX22" s="17"/>
      <c r="IY22" s="17"/>
      <c r="IZ22" s="17"/>
      <c r="JA22" s="17"/>
      <c r="JB22" s="40" t="str">
        <f t="shared" si="106"/>
        <v/>
      </c>
      <c r="JC22" s="40" t="str">
        <f t="shared" si="107"/>
        <v/>
      </c>
      <c r="JD22" s="40" t="str">
        <f t="shared" si="108"/>
        <v/>
      </c>
      <c r="JE22" s="40" t="str">
        <f t="shared" si="109"/>
        <v/>
      </c>
      <c r="JF22" s="40" t="str">
        <f t="shared" si="110"/>
        <v/>
      </c>
      <c r="JG22" s="40" t="str">
        <f t="shared" si="111"/>
        <v/>
      </c>
      <c r="JH22" s="40" t="str">
        <f t="shared" si="112"/>
        <v/>
      </c>
      <c r="JI22" s="40" t="str">
        <f t="shared" si="113"/>
        <v/>
      </c>
      <c r="JJ22" s="40" t="str">
        <f t="shared" si="114"/>
        <v/>
      </c>
      <c r="JK22" s="40" t="str">
        <f t="shared" si="115"/>
        <v/>
      </c>
      <c r="JL22" s="40" t="str">
        <f t="shared" si="116"/>
        <v/>
      </c>
      <c r="JM22" s="40" t="str">
        <f t="shared" si="117"/>
        <v/>
      </c>
      <c r="JN22" s="40" t="str">
        <f t="shared" si="118"/>
        <v/>
      </c>
      <c r="JO22" s="40" t="str">
        <f t="shared" si="119"/>
        <v/>
      </c>
      <c r="JP22" s="18"/>
      <c r="JQ22" s="18"/>
      <c r="JR22" s="18"/>
      <c r="JS22" s="18"/>
      <c r="JT22" s="18"/>
      <c r="JU22" s="18"/>
      <c r="JV22" s="18"/>
      <c r="JW22" s="18"/>
      <c r="JX22" s="18"/>
      <c r="JY22" s="18"/>
      <c r="JZ22" s="18"/>
      <c r="KA22" s="18"/>
      <c r="KB22" s="18"/>
      <c r="KC22" s="18"/>
      <c r="KD22" s="18"/>
      <c r="KE22" s="18"/>
      <c r="KF22" s="18"/>
      <c r="KG22" s="18"/>
      <c r="KH22" s="18"/>
      <c r="KI22" s="18"/>
      <c r="KJ22" s="11" t="str">
        <f t="shared" si="120"/>
        <v/>
      </c>
      <c r="KK22" s="11" t="str">
        <f t="shared" si="121"/>
        <v/>
      </c>
      <c r="KL22" s="11" t="str">
        <f t="shared" si="122"/>
        <v/>
      </c>
      <c r="KM22" s="11" t="str">
        <f t="shared" si="123"/>
        <v/>
      </c>
      <c r="KN22" s="11" t="str">
        <f t="shared" si="124"/>
        <v/>
      </c>
      <c r="KO22" s="11" t="str">
        <f t="shared" si="125"/>
        <v/>
      </c>
      <c r="KP22" s="11" t="str">
        <f t="shared" si="126"/>
        <v/>
      </c>
      <c r="KQ22" s="11" t="str">
        <f t="shared" si="127"/>
        <v/>
      </c>
      <c r="KR22" s="11" t="str">
        <f t="shared" si="128"/>
        <v/>
      </c>
      <c r="KS22" s="11" t="str">
        <f t="shared" si="129"/>
        <v/>
      </c>
      <c r="KT22" s="11" t="str">
        <f t="shared" si="130"/>
        <v/>
      </c>
      <c r="KU22" s="11" t="str">
        <f t="shared" si="131"/>
        <v/>
      </c>
      <c r="KV22" s="11" t="str">
        <f t="shared" si="132"/>
        <v/>
      </c>
      <c r="KW22" s="11" t="str">
        <f t="shared" si="133"/>
        <v/>
      </c>
      <c r="KX22" s="17"/>
      <c r="KY22" s="17"/>
      <c r="KZ22" s="17"/>
      <c r="LA22" s="17"/>
      <c r="LB22" s="17"/>
      <c r="LC22" s="17"/>
      <c r="LD22" s="17"/>
      <c r="LE22" s="17"/>
      <c r="LF22" s="17"/>
      <c r="LG22" s="17"/>
      <c r="LH22" s="17"/>
      <c r="LI22" s="17"/>
      <c r="LJ22" s="17"/>
      <c r="LK22" s="17"/>
      <c r="LL22" s="17"/>
      <c r="LM22" s="17"/>
      <c r="LN22" s="17"/>
      <c r="LO22" s="17"/>
      <c r="LP22" s="17"/>
      <c r="LQ22" s="17"/>
      <c r="LR22" s="40" t="str">
        <f t="shared" si="134"/>
        <v/>
      </c>
      <c r="LS22" s="40" t="str">
        <f t="shared" si="135"/>
        <v/>
      </c>
      <c r="LT22" s="40" t="str">
        <f t="shared" si="136"/>
        <v/>
      </c>
      <c r="LU22" s="40" t="str">
        <f t="shared" si="137"/>
        <v/>
      </c>
      <c r="LV22" s="40" t="str">
        <f t="shared" si="138"/>
        <v/>
      </c>
      <c r="LW22" s="40" t="str">
        <f t="shared" si="139"/>
        <v/>
      </c>
      <c r="LX22" s="40" t="str">
        <f t="shared" si="140"/>
        <v/>
      </c>
      <c r="LY22" s="40" t="str">
        <f t="shared" si="141"/>
        <v/>
      </c>
      <c r="LZ22" s="40" t="str">
        <f t="shared" si="142"/>
        <v/>
      </c>
      <c r="MA22" s="40" t="str">
        <f t="shared" si="143"/>
        <v/>
      </c>
      <c r="MB22" s="40" t="str">
        <f t="shared" si="144"/>
        <v/>
      </c>
      <c r="MC22" s="40" t="str">
        <f t="shared" si="145"/>
        <v/>
      </c>
      <c r="MD22" s="40" t="str">
        <f t="shared" si="146"/>
        <v/>
      </c>
      <c r="ME22" s="40" t="str">
        <f t="shared" si="147"/>
        <v/>
      </c>
      <c r="MF22" s="18"/>
      <c r="MG22" s="18"/>
      <c r="MH22" s="18"/>
      <c r="MI22" s="18"/>
      <c r="MJ22" s="18"/>
      <c r="MK22" s="18"/>
      <c r="ML22" s="18"/>
      <c r="MM22" s="18"/>
      <c r="MN22" s="18"/>
      <c r="MO22" s="18"/>
      <c r="MP22" s="18"/>
      <c r="MQ22" s="18"/>
      <c r="MR22" s="18"/>
      <c r="MS22" s="18"/>
      <c r="MT22" s="18"/>
      <c r="MU22" s="18"/>
      <c r="MV22" s="18"/>
      <c r="MW22" s="18"/>
      <c r="MX22" s="18"/>
      <c r="MY22" s="18"/>
      <c r="MZ22" s="11" t="str">
        <f t="shared" si="148"/>
        <v/>
      </c>
      <c r="NA22" s="11" t="str">
        <f t="shared" si="149"/>
        <v/>
      </c>
      <c r="NB22" s="11" t="str">
        <f t="shared" si="150"/>
        <v/>
      </c>
      <c r="NC22" s="11" t="str">
        <f t="shared" si="151"/>
        <v/>
      </c>
      <c r="ND22" s="11" t="str">
        <f t="shared" si="152"/>
        <v/>
      </c>
      <c r="NE22" s="11" t="str">
        <f t="shared" si="153"/>
        <v/>
      </c>
      <c r="NF22" s="11" t="str">
        <f t="shared" si="154"/>
        <v/>
      </c>
      <c r="NG22" s="11" t="str">
        <f t="shared" si="155"/>
        <v/>
      </c>
      <c r="NH22" s="11" t="str">
        <f t="shared" si="156"/>
        <v/>
      </c>
      <c r="NI22" s="11" t="str">
        <f t="shared" si="157"/>
        <v/>
      </c>
      <c r="NJ22" s="11" t="str">
        <f t="shared" si="158"/>
        <v/>
      </c>
      <c r="NK22" s="11" t="str">
        <f t="shared" si="159"/>
        <v/>
      </c>
      <c r="NL22" s="11" t="str">
        <f t="shared" si="160"/>
        <v/>
      </c>
      <c r="NM22" s="11" t="str">
        <f t="shared" si="161"/>
        <v/>
      </c>
      <c r="NN22" s="17"/>
      <c r="NO22" s="17"/>
      <c r="NP22" s="17"/>
      <c r="NQ22" s="17"/>
      <c r="NR22" s="17"/>
      <c r="NS22" s="17"/>
      <c r="NT22" s="17"/>
      <c r="NU22" s="17"/>
      <c r="NV22" s="17"/>
      <c r="NW22" s="17"/>
      <c r="NX22" s="17"/>
      <c r="NY22" s="17"/>
      <c r="NZ22" s="17"/>
      <c r="OA22" s="17"/>
      <c r="OB22" s="17"/>
      <c r="OC22" s="17"/>
      <c r="OD22" s="17"/>
      <c r="OE22" s="17"/>
      <c r="OF22" s="17"/>
      <c r="OG22" s="17"/>
      <c r="OH22" s="40" t="str">
        <f t="shared" si="162"/>
        <v/>
      </c>
      <c r="OI22" s="40" t="str">
        <f t="shared" si="163"/>
        <v/>
      </c>
      <c r="OJ22" s="40" t="str">
        <f t="shared" si="164"/>
        <v/>
      </c>
      <c r="OK22" s="40" t="str">
        <f t="shared" si="165"/>
        <v/>
      </c>
      <c r="OL22" s="40" t="str">
        <f t="shared" si="166"/>
        <v/>
      </c>
      <c r="OM22" s="40" t="str">
        <f t="shared" si="167"/>
        <v/>
      </c>
      <c r="ON22" s="40" t="str">
        <f t="shared" si="168"/>
        <v/>
      </c>
      <c r="OO22" s="40" t="str">
        <f t="shared" si="169"/>
        <v/>
      </c>
      <c r="OP22" s="40" t="str">
        <f t="shared" si="170"/>
        <v/>
      </c>
      <c r="OQ22" s="40" t="str">
        <f t="shared" si="171"/>
        <v/>
      </c>
      <c r="OR22" s="40" t="str">
        <f t="shared" si="172"/>
        <v/>
      </c>
      <c r="OS22" s="40" t="str">
        <f t="shared" si="173"/>
        <v/>
      </c>
      <c r="OT22" s="40" t="str">
        <f t="shared" si="174"/>
        <v/>
      </c>
      <c r="OU22" s="40" t="str">
        <f t="shared" si="175"/>
        <v/>
      </c>
      <c r="OV22" s="18"/>
      <c r="OW22" s="18"/>
      <c r="OX22" s="18"/>
      <c r="OY22" s="18"/>
      <c r="OZ22" s="18"/>
      <c r="PA22" s="18"/>
      <c r="PB22" s="18"/>
      <c r="PC22" s="18"/>
      <c r="PD22" s="18"/>
      <c r="PE22" s="18"/>
      <c r="PF22" s="18"/>
      <c r="PG22" s="18"/>
      <c r="PH22" s="18"/>
      <c r="PI22" s="18"/>
      <c r="PJ22" s="18"/>
      <c r="PK22" s="18"/>
      <c r="PL22" s="18"/>
      <c r="PM22" s="18"/>
      <c r="PN22" s="18"/>
      <c r="PO22" s="18"/>
      <c r="PP22" s="11" t="str">
        <f t="shared" si="176"/>
        <v/>
      </c>
      <c r="PQ22" s="11" t="str">
        <f t="shared" si="177"/>
        <v/>
      </c>
      <c r="PR22" s="11" t="str">
        <f t="shared" si="178"/>
        <v/>
      </c>
      <c r="PS22" s="11" t="str">
        <f t="shared" si="179"/>
        <v/>
      </c>
      <c r="PT22" s="11" t="str">
        <f t="shared" si="180"/>
        <v/>
      </c>
      <c r="PU22" s="11" t="str">
        <f t="shared" si="181"/>
        <v/>
      </c>
      <c r="PV22" s="11" t="str">
        <f t="shared" si="182"/>
        <v/>
      </c>
      <c r="PW22" s="11" t="str">
        <f t="shared" si="183"/>
        <v/>
      </c>
      <c r="PX22" s="11" t="str">
        <f t="shared" si="184"/>
        <v/>
      </c>
      <c r="PY22" s="11" t="str">
        <f t="shared" si="185"/>
        <v/>
      </c>
      <c r="PZ22" s="11" t="str">
        <f t="shared" si="186"/>
        <v/>
      </c>
      <c r="QA22" s="11" t="str">
        <f t="shared" si="187"/>
        <v/>
      </c>
      <c r="QB22" s="11" t="str">
        <f t="shared" si="188"/>
        <v/>
      </c>
      <c r="QC22" s="11" t="str">
        <f t="shared" si="189"/>
        <v/>
      </c>
      <c r="QD22" s="17"/>
      <c r="QE22" s="17"/>
      <c r="QF22" s="17"/>
      <c r="QG22" s="17"/>
      <c r="QH22" s="17"/>
      <c r="QI22" s="17"/>
      <c r="QJ22" s="17"/>
      <c r="QK22" s="17"/>
      <c r="QL22" s="17"/>
      <c r="QM22" s="17"/>
      <c r="QN22" s="17"/>
      <c r="QO22" s="17"/>
      <c r="QP22" s="17"/>
      <c r="QQ22" s="17"/>
      <c r="QR22" s="17"/>
      <c r="QS22" s="17"/>
      <c r="QT22" s="17"/>
      <c r="QU22" s="17"/>
      <c r="QV22" s="17"/>
      <c r="QW22" s="17"/>
      <c r="QX22" s="40" t="str">
        <f t="shared" si="190"/>
        <v/>
      </c>
      <c r="QY22" s="40" t="str">
        <f t="shared" si="191"/>
        <v/>
      </c>
      <c r="QZ22" s="40" t="str">
        <f t="shared" si="192"/>
        <v/>
      </c>
      <c r="RA22" s="40" t="str">
        <f t="shared" si="193"/>
        <v/>
      </c>
      <c r="RB22" s="40" t="str">
        <f t="shared" si="194"/>
        <v/>
      </c>
      <c r="RC22" s="40" t="str">
        <f t="shared" si="195"/>
        <v/>
      </c>
      <c r="RD22" s="40" t="str">
        <f t="shared" si="196"/>
        <v/>
      </c>
      <c r="RE22" s="40" t="str">
        <f t="shared" si="197"/>
        <v/>
      </c>
      <c r="RF22" s="40" t="str">
        <f t="shared" si="198"/>
        <v/>
      </c>
      <c r="RG22" s="40" t="str">
        <f t="shared" si="199"/>
        <v/>
      </c>
      <c r="RH22" s="40" t="str">
        <f t="shared" si="200"/>
        <v/>
      </c>
      <c r="RI22" s="40" t="str">
        <f t="shared" si="201"/>
        <v/>
      </c>
      <c r="RJ22" s="40" t="str">
        <f t="shared" si="202"/>
        <v/>
      </c>
      <c r="RK22" s="40" t="str">
        <f t="shared" si="203"/>
        <v/>
      </c>
      <c r="RL22" s="18"/>
      <c r="RM22" s="18"/>
      <c r="RN22" s="18"/>
      <c r="RO22" s="18"/>
      <c r="RP22" s="18"/>
      <c r="RQ22" s="18"/>
      <c r="RR22" s="18"/>
      <c r="RS22" s="18"/>
      <c r="RT22" s="18"/>
      <c r="RU22" s="18"/>
      <c r="RV22" s="18"/>
      <c r="RW22" s="18"/>
      <c r="RX22" s="18"/>
      <c r="RY22" s="18"/>
      <c r="RZ22" s="18"/>
      <c r="SA22" s="18"/>
      <c r="SB22" s="18"/>
      <c r="SC22" s="18"/>
      <c r="SD22" s="18"/>
      <c r="SE22" s="18"/>
      <c r="SF22" s="11" t="str">
        <f t="shared" si="204"/>
        <v/>
      </c>
      <c r="SG22" s="11" t="str">
        <f t="shared" si="205"/>
        <v/>
      </c>
      <c r="SH22" s="11" t="str">
        <f t="shared" si="206"/>
        <v/>
      </c>
      <c r="SI22" s="11" t="str">
        <f t="shared" si="207"/>
        <v/>
      </c>
      <c r="SJ22" s="11" t="str">
        <f t="shared" si="208"/>
        <v/>
      </c>
      <c r="SK22" s="11" t="str">
        <f t="shared" si="209"/>
        <v/>
      </c>
      <c r="SL22" s="11" t="str">
        <f t="shared" si="210"/>
        <v/>
      </c>
      <c r="SM22" s="11" t="str">
        <f t="shared" si="211"/>
        <v/>
      </c>
      <c r="SN22" s="11" t="str">
        <f t="shared" si="212"/>
        <v/>
      </c>
      <c r="SO22" s="11" t="str">
        <f t="shared" si="213"/>
        <v/>
      </c>
      <c r="SP22" s="11" t="str">
        <f t="shared" si="214"/>
        <v/>
      </c>
      <c r="SQ22" s="11" t="str">
        <f t="shared" si="215"/>
        <v/>
      </c>
      <c r="SR22" s="11" t="str">
        <f t="shared" si="216"/>
        <v/>
      </c>
      <c r="SS22" s="11" t="str">
        <f t="shared" si="217"/>
        <v/>
      </c>
      <c r="ST22" s="22">
        <f t="shared" si="218"/>
        <v>6.75</v>
      </c>
      <c r="SU22" s="22">
        <f t="shared" si="219"/>
        <v>4.75</v>
      </c>
      <c r="SV22" s="22">
        <f t="shared" si="220"/>
        <v>4.6500000000000004</v>
      </c>
      <c r="SW22" s="22">
        <f t="shared" si="221"/>
        <v>7.3849999999999998</v>
      </c>
      <c r="SX22" s="22">
        <f t="shared" si="222"/>
        <v>0</v>
      </c>
      <c r="SY22" s="22">
        <f t="shared" si="223"/>
        <v>6.9</v>
      </c>
      <c r="SZ22" s="22">
        <f t="shared" si="224"/>
        <v>4.7</v>
      </c>
      <c r="TA22" s="22">
        <f t="shared" si="225"/>
        <v>4.6500000000000004</v>
      </c>
      <c r="TB22" s="22">
        <f t="shared" si="226"/>
        <v>7.2649999999999997</v>
      </c>
      <c r="TC22" s="22">
        <f t="shared" si="227"/>
        <v>0</v>
      </c>
      <c r="TD22" s="22">
        <f t="shared" si="228"/>
        <v>0</v>
      </c>
      <c r="TE22" s="22">
        <f t="shared" si="229"/>
        <v>0</v>
      </c>
      <c r="TF22" s="22">
        <f t="shared" si="230"/>
        <v>0</v>
      </c>
      <c r="TG22" s="22">
        <f t="shared" si="231"/>
        <v>0</v>
      </c>
      <c r="TH22" s="22">
        <f t="shared" si="232"/>
        <v>0</v>
      </c>
      <c r="TI22" s="27" t="s">
        <v>46</v>
      </c>
      <c r="TJ22" s="40">
        <f t="shared" si="233"/>
        <v>4.6500000000000004</v>
      </c>
      <c r="TK22" s="40">
        <f t="shared" si="234"/>
        <v>7.3849999999999998</v>
      </c>
      <c r="TL22" s="40">
        <f t="shared" si="235"/>
        <v>23.534999999999997</v>
      </c>
      <c r="TM22" s="40">
        <f t="shared" si="236"/>
        <v>4.6500000000000004</v>
      </c>
      <c r="TN22" s="40">
        <f t="shared" si="237"/>
        <v>7.2649999999999997</v>
      </c>
      <c r="TO22" s="40">
        <f t="shared" si="238"/>
        <v>23.515000000000001</v>
      </c>
      <c r="TP22" s="40">
        <f t="shared" si="239"/>
        <v>23.534999999999997</v>
      </c>
      <c r="TQ22" s="40" t="str">
        <f t="shared" si="240"/>
        <v/>
      </c>
      <c r="TR22" s="40" t="str">
        <f t="shared" si="241"/>
        <v/>
      </c>
      <c r="TS22" s="40" t="str">
        <f t="shared" si="242"/>
        <v/>
      </c>
      <c r="TT22" s="40">
        <f t="shared" si="243"/>
        <v>23.534999999999997</v>
      </c>
    </row>
    <row r="23" spans="1:540" x14ac:dyDescent="0.2">
      <c r="A23" s="4" t="str" cm="1">
        <f t="array" ref="A23">IF(AND(F23&lt;&gt;"",G23&lt;&gt;""),SUMPRODUCT((F$4:F$35&lt;&gt;"")*(G$4:G$35&lt;&gt;"")*(E$4:E$35&gt;E23))+1,IF(G23&lt;&gt;"",SUMPRODUCT((H$4:H$35="No DD")*(E$4:E$35&gt;E23))+1+SUMPRODUCT((F$4:F$35&lt;&gt;"")*(G$4:G$35&lt;&gt;"")),""))</f>
        <v/>
      </c>
      <c r="B23" s="5" t="s">
        <v>204</v>
      </c>
      <c r="C23" s="4" t="s">
        <v>6</v>
      </c>
      <c r="D23" s="4">
        <v>2003</v>
      </c>
      <c r="E23" s="9">
        <f t="shared" si="0"/>
        <v>151.38001513800504</v>
      </c>
      <c r="F23" s="3" t="str">
        <f t="shared" si="1"/>
        <v/>
      </c>
      <c r="G23" s="3" t="str">
        <f t="shared" si="2"/>
        <v/>
      </c>
      <c r="H23" s="36" t="str">
        <f t="shared" si="3"/>
        <v/>
      </c>
      <c r="I23" s="3" t="str">
        <f t="shared" si="4"/>
        <v/>
      </c>
      <c r="J23" s="8">
        <f>IF(COUNT(AO23,AR23,BP23,BS23,CQ23,CT23)&gt;0,LARGE((AO23,AR23,BP23,BS23,CQ23,CT23),1),0)</f>
        <v>50.169999999999995</v>
      </c>
      <c r="K23" s="8" t="str">
        <f t="shared" si="5"/>
        <v>2023 Elite Canada</v>
      </c>
      <c r="L23" s="8">
        <f>IF(COUNT(AO23,AR23,BP23,BS23,CQ23,CT23)&gt;1,LARGE((AO23,AR23,BP23,BS23,CQ23,CT23),2),0)</f>
        <v>39.96</v>
      </c>
      <c r="M23" s="8" t="str">
        <f t="shared" si="6"/>
        <v>2023 Elite Canada</v>
      </c>
      <c r="N23" s="8">
        <f>IF(COUNT(AO23,AR23,BP23,BS23,CQ23,CT23)&gt;2,MAX(AV23,BW23,CX23,LARGE((AO23,AR23,BP23,BS23,CQ23,CT23),3)),IF(MAX(AV23,BW23,CX23)&gt;0,MAX(AV23,BW23,CX23),0))</f>
        <v>50.05</v>
      </c>
      <c r="O23" s="8" t="str">
        <f t="shared" si="7"/>
        <v>2023 Elite Canada</v>
      </c>
      <c r="P23" s="8">
        <f t="shared" si="8"/>
        <v>11.2</v>
      </c>
      <c r="Q23" s="8" t="str">
        <f t="shared" si="9"/>
        <v>2023 Elite Canada</v>
      </c>
      <c r="R23" s="8">
        <f t="shared" si="10"/>
        <v>0</v>
      </c>
      <c r="S23" s="8" t="str">
        <f t="shared" si="11"/>
        <v/>
      </c>
      <c r="T23" s="8" t="str">
        <f t="shared" si="12"/>
        <v/>
      </c>
      <c r="U23" s="11" t="str">
        <f t="shared" si="13"/>
        <v/>
      </c>
      <c r="V23" s="8" t="str">
        <f t="shared" si="14"/>
        <v/>
      </c>
      <c r="W23" s="22"/>
      <c r="X23" s="22"/>
      <c r="Y23" s="22"/>
      <c r="Z23" s="22"/>
      <c r="AA23" s="22"/>
      <c r="AB23" s="22"/>
      <c r="AC23" s="22"/>
      <c r="AD23" s="22"/>
      <c r="AE23" s="22"/>
      <c r="AF23" s="22"/>
      <c r="AG23" s="22"/>
      <c r="AH23" s="22"/>
      <c r="AI23" s="22"/>
      <c r="AJ23" s="22"/>
      <c r="AK23" s="22"/>
      <c r="AL23" s="27"/>
      <c r="AM23" s="38" t="str">
        <f t="shared" si="15"/>
        <v/>
      </c>
      <c r="AN23" s="38" t="str">
        <f t="shared" si="16"/>
        <v/>
      </c>
      <c r="AO23" s="40" t="str">
        <f t="shared" si="17"/>
        <v/>
      </c>
      <c r="AP23" s="40" t="str">
        <f t="shared" si="18"/>
        <v/>
      </c>
      <c r="AQ23" s="40" t="str">
        <f t="shared" si="19"/>
        <v/>
      </c>
      <c r="AR23" s="40" t="str">
        <f t="shared" si="20"/>
        <v/>
      </c>
      <c r="AS23" s="40" t="str">
        <f t="shared" si="21"/>
        <v/>
      </c>
      <c r="AT23" s="40" t="str">
        <f t="shared" si="22"/>
        <v/>
      </c>
      <c r="AU23" s="40" t="str">
        <f t="shared" si="23"/>
        <v/>
      </c>
      <c r="AV23" s="40" t="str">
        <f t="shared" si="24"/>
        <v/>
      </c>
      <c r="AW23" s="40" t="str">
        <f t="shared" si="25"/>
        <v/>
      </c>
      <c r="AX23" s="26"/>
      <c r="AY23" s="26"/>
      <c r="AZ23" s="26"/>
      <c r="BA23" s="26"/>
      <c r="BB23" s="26"/>
      <c r="BC23" s="26"/>
      <c r="BD23" s="26"/>
      <c r="BE23" s="26"/>
      <c r="BF23" s="26"/>
      <c r="BG23" s="26"/>
      <c r="BH23" s="26"/>
      <c r="BI23" s="26"/>
      <c r="BJ23" s="26"/>
      <c r="BK23" s="26"/>
      <c r="BL23" s="26"/>
      <c r="BM23" s="28"/>
      <c r="BN23" s="39" t="str">
        <f t="shared" si="26"/>
        <v/>
      </c>
      <c r="BO23" s="39" t="str">
        <f t="shared" si="27"/>
        <v/>
      </c>
      <c r="BP23" s="11" t="str">
        <f t="shared" si="28"/>
        <v/>
      </c>
      <c r="BQ23" s="11" t="str">
        <f t="shared" si="29"/>
        <v/>
      </c>
      <c r="BR23" s="11" t="str">
        <f t="shared" si="30"/>
        <v/>
      </c>
      <c r="BS23" s="11" t="str">
        <f t="shared" si="31"/>
        <v/>
      </c>
      <c r="BT23" s="11" t="str">
        <f t="shared" si="32"/>
        <v/>
      </c>
      <c r="BU23" s="11" t="str">
        <f t="shared" si="33"/>
        <v/>
      </c>
      <c r="BV23" s="11" t="str">
        <f t="shared" si="34"/>
        <v/>
      </c>
      <c r="BW23" s="11" t="str">
        <f t="shared" si="35"/>
        <v/>
      </c>
      <c r="BX23" s="11" t="str">
        <f t="shared" si="36"/>
        <v/>
      </c>
      <c r="BY23" s="22">
        <v>12.4</v>
      </c>
      <c r="BZ23" s="22">
        <v>7.4</v>
      </c>
      <c r="CA23" s="22">
        <v>8.5</v>
      </c>
      <c r="CB23" s="22">
        <v>11.66</v>
      </c>
      <c r="CC23" s="22">
        <v>0</v>
      </c>
      <c r="CD23" s="22">
        <v>14.9</v>
      </c>
      <c r="CE23" s="22">
        <v>9.5</v>
      </c>
      <c r="CF23" s="22">
        <v>11.2</v>
      </c>
      <c r="CG23" s="22">
        <v>14.57</v>
      </c>
      <c r="CH23" s="22">
        <v>0</v>
      </c>
      <c r="CI23" s="22">
        <v>15</v>
      </c>
      <c r="CJ23" s="22">
        <v>9.6</v>
      </c>
      <c r="CK23" s="22">
        <v>11.2</v>
      </c>
      <c r="CL23" s="22">
        <v>14.55</v>
      </c>
      <c r="CM23" s="22">
        <v>0.3</v>
      </c>
      <c r="CN23" s="27"/>
      <c r="CO23" s="38">
        <f t="shared" si="37"/>
        <v>8.5</v>
      </c>
      <c r="CP23" s="38">
        <f t="shared" si="38"/>
        <v>11.66</v>
      </c>
      <c r="CQ23" s="40">
        <f t="shared" si="39"/>
        <v>39.96</v>
      </c>
      <c r="CR23" s="40">
        <f t="shared" si="40"/>
        <v>11.2</v>
      </c>
      <c r="CS23" s="40">
        <f t="shared" si="41"/>
        <v>14.57</v>
      </c>
      <c r="CT23" s="40">
        <f t="shared" si="42"/>
        <v>50.169999999999995</v>
      </c>
      <c r="CU23" s="40">
        <f t="shared" si="43"/>
        <v>50.169999999999995</v>
      </c>
      <c r="CV23" s="40">
        <f t="shared" si="44"/>
        <v>11.2</v>
      </c>
      <c r="CW23" s="40">
        <f t="shared" si="45"/>
        <v>14.55</v>
      </c>
      <c r="CX23" s="40">
        <f t="shared" si="46"/>
        <v>50.05</v>
      </c>
      <c r="CY23" s="40">
        <f t="shared" si="47"/>
        <v>100.22</v>
      </c>
      <c r="CZ23" s="50" t="str">
        <f t="shared" si="48"/>
        <v/>
      </c>
      <c r="DA23" s="50" t="str">
        <f t="shared" si="49"/>
        <v/>
      </c>
      <c r="DB23" s="17"/>
      <c r="DC23" s="17"/>
      <c r="DD23" s="17"/>
      <c r="DE23" s="17"/>
      <c r="DF23" s="17"/>
      <c r="DG23" s="17"/>
      <c r="DH23" s="17"/>
      <c r="DI23" s="17"/>
      <c r="DJ23" s="17"/>
      <c r="DK23" s="17"/>
      <c r="DL23" s="17"/>
      <c r="DM23" s="17"/>
      <c r="DN23" s="17"/>
      <c r="DO23" s="17"/>
      <c r="DP23" s="17"/>
      <c r="DQ23" s="17"/>
      <c r="DR23" s="17"/>
      <c r="DS23" s="17"/>
      <c r="DT23" s="17"/>
      <c r="DU23" s="17"/>
      <c r="DV23" s="40" t="str">
        <f t="shared" si="50"/>
        <v/>
      </c>
      <c r="DW23" s="40" t="str">
        <f t="shared" si="51"/>
        <v/>
      </c>
      <c r="DX23" s="40" t="str">
        <f t="shared" si="52"/>
        <v/>
      </c>
      <c r="DY23" s="40" t="str">
        <f t="shared" si="53"/>
        <v/>
      </c>
      <c r="DZ23" s="40" t="str">
        <f t="shared" si="54"/>
        <v/>
      </c>
      <c r="EA23" s="40" t="str">
        <f t="shared" si="55"/>
        <v/>
      </c>
      <c r="EB23" s="40" t="str">
        <f t="shared" si="56"/>
        <v/>
      </c>
      <c r="EC23" s="40" t="str">
        <f t="shared" si="57"/>
        <v/>
      </c>
      <c r="ED23" s="40" t="str">
        <f t="shared" si="58"/>
        <v/>
      </c>
      <c r="EE23" s="40" t="str">
        <f t="shared" si="59"/>
        <v/>
      </c>
      <c r="EF23" s="40" t="str">
        <f t="shared" si="60"/>
        <v/>
      </c>
      <c r="EG23" s="40" t="str">
        <f t="shared" si="61"/>
        <v/>
      </c>
      <c r="EH23" s="40" t="str">
        <f t="shared" si="62"/>
        <v/>
      </c>
      <c r="EI23" s="40" t="str">
        <f t="shared" si="63"/>
        <v/>
      </c>
      <c r="EJ23" s="18"/>
      <c r="EK23" s="18"/>
      <c r="EL23" s="18"/>
      <c r="EM23" s="18"/>
      <c r="EN23" s="18"/>
      <c r="EO23" s="18"/>
      <c r="EP23" s="18"/>
      <c r="EQ23" s="18"/>
      <c r="ER23" s="18"/>
      <c r="ES23" s="18"/>
      <c r="ET23" s="18"/>
      <c r="EU23" s="18"/>
      <c r="EV23" s="18"/>
      <c r="EW23" s="18"/>
      <c r="EX23" s="18"/>
      <c r="EY23" s="18"/>
      <c r="EZ23" s="18"/>
      <c r="FA23" s="18"/>
      <c r="FB23" s="18"/>
      <c r="FC23" s="18"/>
      <c r="FD23" s="11" t="str">
        <f t="shared" si="64"/>
        <v/>
      </c>
      <c r="FE23" s="11" t="str">
        <f t="shared" si="65"/>
        <v/>
      </c>
      <c r="FF23" s="11" t="str">
        <f t="shared" si="66"/>
        <v/>
      </c>
      <c r="FG23" s="11" t="str">
        <f t="shared" si="67"/>
        <v/>
      </c>
      <c r="FH23" s="11" t="str">
        <f t="shared" si="68"/>
        <v/>
      </c>
      <c r="FI23" s="11" t="str">
        <f t="shared" si="69"/>
        <v/>
      </c>
      <c r="FJ23" s="11" t="str">
        <f t="shared" si="70"/>
        <v/>
      </c>
      <c r="FK23" s="11" t="str">
        <f t="shared" si="71"/>
        <v/>
      </c>
      <c r="FL23" s="11" t="str">
        <f t="shared" si="72"/>
        <v/>
      </c>
      <c r="FM23" s="11" t="str">
        <f t="shared" si="73"/>
        <v/>
      </c>
      <c r="FN23" s="11" t="str">
        <f t="shared" si="74"/>
        <v/>
      </c>
      <c r="FO23" s="11" t="str">
        <f t="shared" si="75"/>
        <v/>
      </c>
      <c r="FP23" s="11" t="str">
        <f t="shared" si="76"/>
        <v/>
      </c>
      <c r="FQ23" s="11" t="str">
        <f t="shared" si="77"/>
        <v/>
      </c>
      <c r="FR23" s="17"/>
      <c r="FS23" s="17"/>
      <c r="FT23" s="17"/>
      <c r="FU23" s="17"/>
      <c r="FV23" s="17"/>
      <c r="FW23" s="17"/>
      <c r="FX23" s="17"/>
      <c r="FY23" s="17"/>
      <c r="FZ23" s="17"/>
      <c r="GA23" s="17"/>
      <c r="GB23" s="17"/>
      <c r="GC23" s="17"/>
      <c r="GD23" s="17"/>
      <c r="GE23" s="17"/>
      <c r="GF23" s="17"/>
      <c r="GG23" s="17"/>
      <c r="GH23" s="17"/>
      <c r="GI23" s="17"/>
      <c r="GJ23" s="17"/>
      <c r="GK23" s="17"/>
      <c r="GL23" s="40" t="str">
        <f t="shared" si="78"/>
        <v/>
      </c>
      <c r="GM23" s="40" t="str">
        <f t="shared" si="79"/>
        <v/>
      </c>
      <c r="GN23" s="40" t="str">
        <f t="shared" si="80"/>
        <v/>
      </c>
      <c r="GO23" s="40" t="str">
        <f t="shared" si="81"/>
        <v/>
      </c>
      <c r="GP23" s="40" t="str">
        <f t="shared" si="82"/>
        <v/>
      </c>
      <c r="GQ23" s="40" t="str">
        <f t="shared" si="83"/>
        <v/>
      </c>
      <c r="GR23" s="40" t="str">
        <f t="shared" si="84"/>
        <v/>
      </c>
      <c r="GS23" s="40" t="str">
        <f t="shared" si="85"/>
        <v/>
      </c>
      <c r="GT23" s="40" t="str">
        <f t="shared" si="86"/>
        <v/>
      </c>
      <c r="GU23" s="40" t="str">
        <f t="shared" si="87"/>
        <v/>
      </c>
      <c r="GV23" s="40" t="str">
        <f t="shared" si="88"/>
        <v/>
      </c>
      <c r="GW23" s="40" t="str">
        <f t="shared" si="89"/>
        <v/>
      </c>
      <c r="GX23" s="40" t="str">
        <f t="shared" si="90"/>
        <v/>
      </c>
      <c r="GY23" s="40" t="str">
        <f t="shared" si="91"/>
        <v/>
      </c>
      <c r="GZ23" s="18"/>
      <c r="HA23" s="18"/>
      <c r="HB23" s="18"/>
      <c r="HC23" s="18"/>
      <c r="HD23" s="18"/>
      <c r="HE23" s="18"/>
      <c r="HF23" s="18"/>
      <c r="HG23" s="18"/>
      <c r="HH23" s="18"/>
      <c r="HI23" s="18"/>
      <c r="HJ23" s="18"/>
      <c r="HK23" s="18"/>
      <c r="HL23" s="18"/>
      <c r="HM23" s="18"/>
      <c r="HN23" s="18"/>
      <c r="HO23" s="18"/>
      <c r="HP23" s="18"/>
      <c r="HQ23" s="18"/>
      <c r="HR23" s="18"/>
      <c r="HS23" s="18"/>
      <c r="HT23" s="11" t="str">
        <f t="shared" si="92"/>
        <v/>
      </c>
      <c r="HU23" s="11" t="str">
        <f t="shared" si="93"/>
        <v/>
      </c>
      <c r="HV23" s="11" t="str">
        <f t="shared" si="94"/>
        <v/>
      </c>
      <c r="HW23" s="11" t="str">
        <f t="shared" si="95"/>
        <v/>
      </c>
      <c r="HX23" s="11" t="str">
        <f t="shared" si="96"/>
        <v/>
      </c>
      <c r="HY23" s="11" t="str">
        <f t="shared" si="97"/>
        <v/>
      </c>
      <c r="HZ23" s="11" t="str">
        <f t="shared" si="98"/>
        <v/>
      </c>
      <c r="IA23" s="11" t="str">
        <f t="shared" si="99"/>
        <v/>
      </c>
      <c r="IB23" s="11" t="str">
        <f t="shared" si="100"/>
        <v/>
      </c>
      <c r="IC23" s="11" t="str">
        <f t="shared" si="101"/>
        <v/>
      </c>
      <c r="ID23" s="11" t="str">
        <f t="shared" si="102"/>
        <v/>
      </c>
      <c r="IE23" s="11" t="str">
        <f t="shared" si="103"/>
        <v/>
      </c>
      <c r="IF23" s="11" t="str">
        <f t="shared" si="104"/>
        <v/>
      </c>
      <c r="IG23" s="11" t="str">
        <f t="shared" si="105"/>
        <v/>
      </c>
      <c r="IH23" s="17"/>
      <c r="II23" s="17"/>
      <c r="IJ23" s="17"/>
      <c r="IK23" s="17"/>
      <c r="IL23" s="17"/>
      <c r="IM23" s="17"/>
      <c r="IN23" s="17"/>
      <c r="IO23" s="17"/>
      <c r="IP23" s="17"/>
      <c r="IQ23" s="17"/>
      <c r="IR23" s="17"/>
      <c r="IS23" s="17"/>
      <c r="IT23" s="17"/>
      <c r="IU23" s="17"/>
      <c r="IV23" s="17"/>
      <c r="IW23" s="17"/>
      <c r="IX23" s="17"/>
      <c r="IY23" s="17"/>
      <c r="IZ23" s="17"/>
      <c r="JA23" s="17"/>
      <c r="JB23" s="40" t="str">
        <f t="shared" si="106"/>
        <v/>
      </c>
      <c r="JC23" s="40" t="str">
        <f t="shared" si="107"/>
        <v/>
      </c>
      <c r="JD23" s="40" t="str">
        <f t="shared" si="108"/>
        <v/>
      </c>
      <c r="JE23" s="40" t="str">
        <f t="shared" si="109"/>
        <v/>
      </c>
      <c r="JF23" s="40" t="str">
        <f t="shared" si="110"/>
        <v/>
      </c>
      <c r="JG23" s="40" t="str">
        <f t="shared" si="111"/>
        <v/>
      </c>
      <c r="JH23" s="40" t="str">
        <f t="shared" si="112"/>
        <v/>
      </c>
      <c r="JI23" s="40" t="str">
        <f t="shared" si="113"/>
        <v/>
      </c>
      <c r="JJ23" s="40" t="str">
        <f t="shared" si="114"/>
        <v/>
      </c>
      <c r="JK23" s="40" t="str">
        <f t="shared" si="115"/>
        <v/>
      </c>
      <c r="JL23" s="40" t="str">
        <f t="shared" si="116"/>
        <v/>
      </c>
      <c r="JM23" s="40" t="str">
        <f t="shared" si="117"/>
        <v/>
      </c>
      <c r="JN23" s="40" t="str">
        <f t="shared" si="118"/>
        <v/>
      </c>
      <c r="JO23" s="40" t="str">
        <f t="shared" si="119"/>
        <v/>
      </c>
      <c r="JP23" s="18"/>
      <c r="JQ23" s="18"/>
      <c r="JR23" s="18"/>
      <c r="JS23" s="18"/>
      <c r="JT23" s="18"/>
      <c r="JU23" s="18"/>
      <c r="JV23" s="18"/>
      <c r="JW23" s="18"/>
      <c r="JX23" s="18"/>
      <c r="JY23" s="18"/>
      <c r="JZ23" s="18"/>
      <c r="KA23" s="18"/>
      <c r="KB23" s="18"/>
      <c r="KC23" s="18"/>
      <c r="KD23" s="18"/>
      <c r="KE23" s="18"/>
      <c r="KF23" s="18"/>
      <c r="KG23" s="18"/>
      <c r="KH23" s="18"/>
      <c r="KI23" s="18"/>
      <c r="KJ23" s="11" t="str">
        <f t="shared" si="120"/>
        <v/>
      </c>
      <c r="KK23" s="11" t="str">
        <f t="shared" si="121"/>
        <v/>
      </c>
      <c r="KL23" s="11" t="str">
        <f t="shared" si="122"/>
        <v/>
      </c>
      <c r="KM23" s="11" t="str">
        <f t="shared" si="123"/>
        <v/>
      </c>
      <c r="KN23" s="11" t="str">
        <f t="shared" si="124"/>
        <v/>
      </c>
      <c r="KO23" s="11" t="str">
        <f t="shared" si="125"/>
        <v/>
      </c>
      <c r="KP23" s="11" t="str">
        <f t="shared" si="126"/>
        <v/>
      </c>
      <c r="KQ23" s="11" t="str">
        <f t="shared" si="127"/>
        <v/>
      </c>
      <c r="KR23" s="11" t="str">
        <f t="shared" si="128"/>
        <v/>
      </c>
      <c r="KS23" s="11" t="str">
        <f t="shared" si="129"/>
        <v/>
      </c>
      <c r="KT23" s="11" t="str">
        <f t="shared" si="130"/>
        <v/>
      </c>
      <c r="KU23" s="11" t="str">
        <f t="shared" si="131"/>
        <v/>
      </c>
      <c r="KV23" s="11" t="str">
        <f t="shared" si="132"/>
        <v/>
      </c>
      <c r="KW23" s="11" t="str">
        <f t="shared" si="133"/>
        <v/>
      </c>
      <c r="KX23" s="17"/>
      <c r="KY23" s="17"/>
      <c r="KZ23" s="17"/>
      <c r="LA23" s="17"/>
      <c r="LB23" s="17"/>
      <c r="LC23" s="17"/>
      <c r="LD23" s="17"/>
      <c r="LE23" s="17"/>
      <c r="LF23" s="17"/>
      <c r="LG23" s="17"/>
      <c r="LH23" s="17"/>
      <c r="LI23" s="17"/>
      <c r="LJ23" s="17"/>
      <c r="LK23" s="17"/>
      <c r="LL23" s="17"/>
      <c r="LM23" s="17"/>
      <c r="LN23" s="17"/>
      <c r="LO23" s="17"/>
      <c r="LP23" s="17"/>
      <c r="LQ23" s="17"/>
      <c r="LR23" s="40" t="str">
        <f t="shared" si="134"/>
        <v/>
      </c>
      <c r="LS23" s="40" t="str">
        <f t="shared" si="135"/>
        <v/>
      </c>
      <c r="LT23" s="40" t="str">
        <f t="shared" si="136"/>
        <v/>
      </c>
      <c r="LU23" s="40" t="str">
        <f t="shared" si="137"/>
        <v/>
      </c>
      <c r="LV23" s="40" t="str">
        <f t="shared" si="138"/>
        <v/>
      </c>
      <c r="LW23" s="40" t="str">
        <f t="shared" si="139"/>
        <v/>
      </c>
      <c r="LX23" s="40" t="str">
        <f t="shared" si="140"/>
        <v/>
      </c>
      <c r="LY23" s="40" t="str">
        <f t="shared" si="141"/>
        <v/>
      </c>
      <c r="LZ23" s="40" t="str">
        <f t="shared" si="142"/>
        <v/>
      </c>
      <c r="MA23" s="40" t="str">
        <f t="shared" si="143"/>
        <v/>
      </c>
      <c r="MB23" s="40" t="str">
        <f t="shared" si="144"/>
        <v/>
      </c>
      <c r="MC23" s="40" t="str">
        <f t="shared" si="145"/>
        <v/>
      </c>
      <c r="MD23" s="40" t="str">
        <f t="shared" si="146"/>
        <v/>
      </c>
      <c r="ME23" s="40" t="str">
        <f t="shared" si="147"/>
        <v/>
      </c>
      <c r="MF23" s="18"/>
      <c r="MG23" s="18"/>
      <c r="MH23" s="18"/>
      <c r="MI23" s="18"/>
      <c r="MJ23" s="18"/>
      <c r="MK23" s="18"/>
      <c r="ML23" s="18"/>
      <c r="MM23" s="18"/>
      <c r="MN23" s="18"/>
      <c r="MO23" s="18"/>
      <c r="MP23" s="18"/>
      <c r="MQ23" s="18"/>
      <c r="MR23" s="18"/>
      <c r="MS23" s="18"/>
      <c r="MT23" s="18"/>
      <c r="MU23" s="18"/>
      <c r="MV23" s="18"/>
      <c r="MW23" s="18"/>
      <c r="MX23" s="18"/>
      <c r="MY23" s="18"/>
      <c r="MZ23" s="11" t="str">
        <f t="shared" si="148"/>
        <v/>
      </c>
      <c r="NA23" s="11" t="str">
        <f t="shared" si="149"/>
        <v/>
      </c>
      <c r="NB23" s="11" t="str">
        <f t="shared" si="150"/>
        <v/>
      </c>
      <c r="NC23" s="11" t="str">
        <f t="shared" si="151"/>
        <v/>
      </c>
      <c r="ND23" s="11" t="str">
        <f t="shared" si="152"/>
        <v/>
      </c>
      <c r="NE23" s="11" t="str">
        <f t="shared" si="153"/>
        <v/>
      </c>
      <c r="NF23" s="11" t="str">
        <f t="shared" si="154"/>
        <v/>
      </c>
      <c r="NG23" s="11" t="str">
        <f t="shared" si="155"/>
        <v/>
      </c>
      <c r="NH23" s="11" t="str">
        <f t="shared" si="156"/>
        <v/>
      </c>
      <c r="NI23" s="11" t="str">
        <f t="shared" si="157"/>
        <v/>
      </c>
      <c r="NJ23" s="11" t="str">
        <f t="shared" si="158"/>
        <v/>
      </c>
      <c r="NK23" s="11" t="str">
        <f t="shared" si="159"/>
        <v/>
      </c>
      <c r="NL23" s="11" t="str">
        <f t="shared" si="160"/>
        <v/>
      </c>
      <c r="NM23" s="11" t="str">
        <f t="shared" si="161"/>
        <v/>
      </c>
      <c r="NN23" s="17"/>
      <c r="NO23" s="17"/>
      <c r="NP23" s="17"/>
      <c r="NQ23" s="17"/>
      <c r="NR23" s="17"/>
      <c r="NS23" s="17"/>
      <c r="NT23" s="17"/>
      <c r="NU23" s="17"/>
      <c r="NV23" s="17"/>
      <c r="NW23" s="17"/>
      <c r="NX23" s="17"/>
      <c r="NY23" s="17"/>
      <c r="NZ23" s="17"/>
      <c r="OA23" s="17"/>
      <c r="OB23" s="17"/>
      <c r="OC23" s="17"/>
      <c r="OD23" s="17"/>
      <c r="OE23" s="17"/>
      <c r="OF23" s="17"/>
      <c r="OG23" s="17"/>
      <c r="OH23" s="40" t="str">
        <f t="shared" si="162"/>
        <v/>
      </c>
      <c r="OI23" s="40" t="str">
        <f t="shared" si="163"/>
        <v/>
      </c>
      <c r="OJ23" s="40" t="str">
        <f t="shared" si="164"/>
        <v/>
      </c>
      <c r="OK23" s="40" t="str">
        <f t="shared" si="165"/>
        <v/>
      </c>
      <c r="OL23" s="40" t="str">
        <f t="shared" si="166"/>
        <v/>
      </c>
      <c r="OM23" s="40" t="str">
        <f t="shared" si="167"/>
        <v/>
      </c>
      <c r="ON23" s="40" t="str">
        <f t="shared" si="168"/>
        <v/>
      </c>
      <c r="OO23" s="40" t="str">
        <f t="shared" si="169"/>
        <v/>
      </c>
      <c r="OP23" s="40" t="str">
        <f t="shared" si="170"/>
        <v/>
      </c>
      <c r="OQ23" s="40" t="str">
        <f t="shared" si="171"/>
        <v/>
      </c>
      <c r="OR23" s="40" t="str">
        <f t="shared" si="172"/>
        <v/>
      </c>
      <c r="OS23" s="40" t="str">
        <f t="shared" si="173"/>
        <v/>
      </c>
      <c r="OT23" s="40" t="str">
        <f t="shared" si="174"/>
        <v/>
      </c>
      <c r="OU23" s="40" t="str">
        <f t="shared" si="175"/>
        <v/>
      </c>
      <c r="OV23" s="18"/>
      <c r="OW23" s="18"/>
      <c r="OX23" s="18"/>
      <c r="OY23" s="18"/>
      <c r="OZ23" s="18"/>
      <c r="PA23" s="18"/>
      <c r="PB23" s="18"/>
      <c r="PC23" s="18"/>
      <c r="PD23" s="18"/>
      <c r="PE23" s="18"/>
      <c r="PF23" s="18"/>
      <c r="PG23" s="18"/>
      <c r="PH23" s="18"/>
      <c r="PI23" s="18"/>
      <c r="PJ23" s="18"/>
      <c r="PK23" s="18"/>
      <c r="PL23" s="18"/>
      <c r="PM23" s="18"/>
      <c r="PN23" s="18"/>
      <c r="PO23" s="18"/>
      <c r="PP23" s="11" t="str">
        <f t="shared" si="176"/>
        <v/>
      </c>
      <c r="PQ23" s="11" t="str">
        <f t="shared" si="177"/>
        <v/>
      </c>
      <c r="PR23" s="11" t="str">
        <f t="shared" si="178"/>
        <v/>
      </c>
      <c r="PS23" s="11" t="str">
        <f t="shared" si="179"/>
        <v/>
      </c>
      <c r="PT23" s="11" t="str">
        <f t="shared" si="180"/>
        <v/>
      </c>
      <c r="PU23" s="11" t="str">
        <f t="shared" si="181"/>
        <v/>
      </c>
      <c r="PV23" s="11" t="str">
        <f t="shared" si="182"/>
        <v/>
      </c>
      <c r="PW23" s="11" t="str">
        <f t="shared" si="183"/>
        <v/>
      </c>
      <c r="PX23" s="11" t="str">
        <f t="shared" si="184"/>
        <v/>
      </c>
      <c r="PY23" s="11" t="str">
        <f t="shared" si="185"/>
        <v/>
      </c>
      <c r="PZ23" s="11" t="str">
        <f t="shared" si="186"/>
        <v/>
      </c>
      <c r="QA23" s="11" t="str">
        <f t="shared" si="187"/>
        <v/>
      </c>
      <c r="QB23" s="11" t="str">
        <f t="shared" si="188"/>
        <v/>
      </c>
      <c r="QC23" s="11" t="str">
        <f t="shared" si="189"/>
        <v/>
      </c>
      <c r="QD23" s="17"/>
      <c r="QE23" s="17"/>
      <c r="QF23" s="17"/>
      <c r="QG23" s="17"/>
      <c r="QH23" s="17"/>
      <c r="QI23" s="17"/>
      <c r="QJ23" s="17"/>
      <c r="QK23" s="17"/>
      <c r="QL23" s="17"/>
      <c r="QM23" s="17"/>
      <c r="QN23" s="17"/>
      <c r="QO23" s="17"/>
      <c r="QP23" s="17"/>
      <c r="QQ23" s="17"/>
      <c r="QR23" s="17"/>
      <c r="QS23" s="17"/>
      <c r="QT23" s="17"/>
      <c r="QU23" s="17"/>
      <c r="QV23" s="17"/>
      <c r="QW23" s="17"/>
      <c r="QX23" s="40" t="str">
        <f t="shared" si="190"/>
        <v/>
      </c>
      <c r="QY23" s="40" t="str">
        <f t="shared" si="191"/>
        <v/>
      </c>
      <c r="QZ23" s="40" t="str">
        <f t="shared" si="192"/>
        <v/>
      </c>
      <c r="RA23" s="40" t="str">
        <f t="shared" si="193"/>
        <v/>
      </c>
      <c r="RB23" s="40" t="str">
        <f t="shared" si="194"/>
        <v/>
      </c>
      <c r="RC23" s="40" t="str">
        <f t="shared" si="195"/>
        <v/>
      </c>
      <c r="RD23" s="40" t="str">
        <f t="shared" si="196"/>
        <v/>
      </c>
      <c r="RE23" s="40" t="str">
        <f t="shared" si="197"/>
        <v/>
      </c>
      <c r="RF23" s="40" t="str">
        <f t="shared" si="198"/>
        <v/>
      </c>
      <c r="RG23" s="40" t="str">
        <f t="shared" si="199"/>
        <v/>
      </c>
      <c r="RH23" s="40" t="str">
        <f t="shared" si="200"/>
        <v/>
      </c>
      <c r="RI23" s="40" t="str">
        <f t="shared" si="201"/>
        <v/>
      </c>
      <c r="RJ23" s="40" t="str">
        <f t="shared" si="202"/>
        <v/>
      </c>
      <c r="RK23" s="40" t="str">
        <f t="shared" si="203"/>
        <v/>
      </c>
      <c r="RL23" s="18"/>
      <c r="RM23" s="18"/>
      <c r="RN23" s="18"/>
      <c r="RO23" s="18"/>
      <c r="RP23" s="18"/>
      <c r="RQ23" s="18"/>
      <c r="RR23" s="18"/>
      <c r="RS23" s="18"/>
      <c r="RT23" s="18"/>
      <c r="RU23" s="18"/>
      <c r="RV23" s="18"/>
      <c r="RW23" s="18"/>
      <c r="RX23" s="18"/>
      <c r="RY23" s="18"/>
      <c r="RZ23" s="18"/>
      <c r="SA23" s="18"/>
      <c r="SB23" s="18"/>
      <c r="SC23" s="18"/>
      <c r="SD23" s="18"/>
      <c r="SE23" s="18"/>
      <c r="SF23" s="11" t="str">
        <f t="shared" si="204"/>
        <v/>
      </c>
      <c r="SG23" s="11" t="str">
        <f t="shared" si="205"/>
        <v/>
      </c>
      <c r="SH23" s="11" t="str">
        <f t="shared" si="206"/>
        <v/>
      </c>
      <c r="SI23" s="11" t="str">
        <f t="shared" si="207"/>
        <v/>
      </c>
      <c r="SJ23" s="11" t="str">
        <f t="shared" si="208"/>
        <v/>
      </c>
      <c r="SK23" s="11" t="str">
        <f t="shared" si="209"/>
        <v/>
      </c>
      <c r="SL23" s="11" t="str">
        <f t="shared" si="210"/>
        <v/>
      </c>
      <c r="SM23" s="11" t="str">
        <f t="shared" si="211"/>
        <v/>
      </c>
      <c r="SN23" s="11" t="str">
        <f t="shared" si="212"/>
        <v/>
      </c>
      <c r="SO23" s="11" t="str">
        <f t="shared" si="213"/>
        <v/>
      </c>
      <c r="SP23" s="11" t="str">
        <f t="shared" si="214"/>
        <v/>
      </c>
      <c r="SQ23" s="11" t="str">
        <f t="shared" si="215"/>
        <v/>
      </c>
      <c r="SR23" s="11" t="str">
        <f t="shared" si="216"/>
        <v/>
      </c>
      <c r="SS23" s="11" t="str">
        <f t="shared" si="217"/>
        <v/>
      </c>
      <c r="ST23" s="22">
        <f t="shared" si="218"/>
        <v>6.2</v>
      </c>
      <c r="SU23" s="22">
        <f t="shared" si="219"/>
        <v>3.7</v>
      </c>
      <c r="SV23" s="22">
        <f t="shared" si="220"/>
        <v>4.25</v>
      </c>
      <c r="SW23" s="22">
        <f t="shared" si="221"/>
        <v>5.83</v>
      </c>
      <c r="SX23" s="22">
        <f t="shared" si="222"/>
        <v>0</v>
      </c>
      <c r="SY23" s="22">
        <f t="shared" si="223"/>
        <v>7.45</v>
      </c>
      <c r="SZ23" s="22">
        <f t="shared" si="224"/>
        <v>4.75</v>
      </c>
      <c r="TA23" s="22">
        <f t="shared" si="225"/>
        <v>5.6</v>
      </c>
      <c r="TB23" s="22">
        <f t="shared" si="226"/>
        <v>7.2850000000000001</v>
      </c>
      <c r="TC23" s="22">
        <f t="shared" si="227"/>
        <v>0</v>
      </c>
      <c r="TD23" s="22">
        <f t="shared" si="228"/>
        <v>7.5</v>
      </c>
      <c r="TE23" s="22">
        <f t="shared" si="229"/>
        <v>4.8</v>
      </c>
      <c r="TF23" s="22">
        <f t="shared" si="230"/>
        <v>5.6</v>
      </c>
      <c r="TG23" s="22">
        <f t="shared" si="231"/>
        <v>7.2750000000000004</v>
      </c>
      <c r="TH23" s="22">
        <f t="shared" si="232"/>
        <v>0.15</v>
      </c>
      <c r="TI23" s="27" t="s">
        <v>46</v>
      </c>
      <c r="TJ23" s="40">
        <f t="shared" si="233"/>
        <v>4.25</v>
      </c>
      <c r="TK23" s="40">
        <f t="shared" si="234"/>
        <v>5.83</v>
      </c>
      <c r="TL23" s="40">
        <f t="shared" si="235"/>
        <v>19.98</v>
      </c>
      <c r="TM23" s="40">
        <f t="shared" si="236"/>
        <v>5.6</v>
      </c>
      <c r="TN23" s="40">
        <f t="shared" si="237"/>
        <v>7.2850000000000001</v>
      </c>
      <c r="TO23" s="40">
        <f t="shared" si="238"/>
        <v>25.084999999999997</v>
      </c>
      <c r="TP23" s="40">
        <f t="shared" si="239"/>
        <v>25.084999999999997</v>
      </c>
      <c r="TQ23" s="40">
        <f t="shared" si="240"/>
        <v>5.6</v>
      </c>
      <c r="TR23" s="40">
        <f t="shared" si="241"/>
        <v>7.2750000000000004</v>
      </c>
      <c r="TS23" s="40">
        <f t="shared" si="242"/>
        <v>25.024999999999999</v>
      </c>
      <c r="TT23" s="40">
        <f t="shared" si="243"/>
        <v>50.11</v>
      </c>
    </row>
    <row r="24" spans="1:540" x14ac:dyDescent="0.2">
      <c r="A24" s="4" t="str" cm="1">
        <f t="array" ref="A24">IF(AND(F24&lt;&gt;"",G24&lt;&gt;""),SUMPRODUCT((F$4:F$35&lt;&gt;"")*(G$4:G$35&lt;&gt;"")*(E$4:E$35&gt;E24))+1,IF(G24&lt;&gt;"",SUMPRODUCT((H$4:H$35="No DD")*(E$4:E$35&gt;E24))+1+SUMPRODUCT((F$4:F$35&lt;&gt;"")*(G$4:G$35&lt;&gt;"")),""))</f>
        <v/>
      </c>
      <c r="B24" s="5" t="s">
        <v>196</v>
      </c>
      <c r="C24" s="4" t="s">
        <v>6</v>
      </c>
      <c r="D24" s="4">
        <v>2006</v>
      </c>
      <c r="E24" s="9">
        <f t="shared" si="0"/>
        <v>117.11001171100494</v>
      </c>
      <c r="F24" s="3" t="str">
        <f t="shared" si="1"/>
        <v/>
      </c>
      <c r="G24" s="3" t="str">
        <f t="shared" si="2"/>
        <v/>
      </c>
      <c r="H24" s="36" t="str">
        <f t="shared" si="3"/>
        <v/>
      </c>
      <c r="I24" s="3" t="str">
        <f t="shared" si="4"/>
        <v/>
      </c>
      <c r="J24" s="8">
        <f>IF(COUNT(AO24,AR24,BP24,BS24,CQ24,CT24)&gt;0,LARGE((AO24,AR24,BP24,BS24,CQ24,CT24),1),0)</f>
        <v>49.41</v>
      </c>
      <c r="K24" s="8" t="str">
        <f t="shared" si="5"/>
        <v>2023 Elite Canada</v>
      </c>
      <c r="L24" s="8">
        <f>IF(COUNT(AO24,AR24,BP24,BS24,CQ24,CT24)&gt;1,LARGE((AO24,AR24,BP24,BS24,CQ24,CT24),2),0)</f>
        <v>5.6099999999999994</v>
      </c>
      <c r="M24" s="8" t="str">
        <f t="shared" si="6"/>
        <v>2023 Elite Canada</v>
      </c>
      <c r="N24" s="8">
        <f>IF(COUNT(AO24,AR24,BP24,BS24,CQ24,CT24)&gt;2,MAX(AV24,BW24,CX24,LARGE((AO24,AR24,BP24,BS24,CQ24,CT24),3)),IF(MAX(AV24,BW24,CX24)&gt;0,MAX(AV24,BW24,CX24),0))</f>
        <v>49.790000000000006</v>
      </c>
      <c r="O24" s="8" t="str">
        <f t="shared" si="7"/>
        <v>2023 Elite Canada</v>
      </c>
      <c r="P24" s="8">
        <f t="shared" si="8"/>
        <v>12.3</v>
      </c>
      <c r="Q24" s="8" t="str">
        <f t="shared" si="9"/>
        <v>2023 Elite Canada</v>
      </c>
      <c r="R24" s="8">
        <f t="shared" si="10"/>
        <v>0</v>
      </c>
      <c r="S24" s="8" t="str">
        <f t="shared" si="11"/>
        <v/>
      </c>
      <c r="T24" s="8" t="str">
        <f t="shared" si="12"/>
        <v/>
      </c>
      <c r="U24" s="11" t="str">
        <f t="shared" si="13"/>
        <v/>
      </c>
      <c r="V24" s="8" t="str">
        <f t="shared" si="14"/>
        <v/>
      </c>
      <c r="W24" s="22"/>
      <c r="X24" s="22"/>
      <c r="Y24" s="22"/>
      <c r="Z24" s="22"/>
      <c r="AA24" s="22"/>
      <c r="AB24" s="22"/>
      <c r="AC24" s="22"/>
      <c r="AD24" s="22"/>
      <c r="AE24" s="22"/>
      <c r="AF24" s="22"/>
      <c r="AG24" s="22"/>
      <c r="AH24" s="22"/>
      <c r="AI24" s="22"/>
      <c r="AJ24" s="22"/>
      <c r="AK24" s="22"/>
      <c r="AL24" s="27"/>
      <c r="AM24" s="38" t="str">
        <f t="shared" si="15"/>
        <v/>
      </c>
      <c r="AN24" s="38" t="str">
        <f t="shared" si="16"/>
        <v/>
      </c>
      <c r="AO24" s="40" t="str">
        <f t="shared" si="17"/>
        <v/>
      </c>
      <c r="AP24" s="40" t="str">
        <f t="shared" si="18"/>
        <v/>
      </c>
      <c r="AQ24" s="40" t="str">
        <f t="shared" si="19"/>
        <v/>
      </c>
      <c r="AR24" s="40" t="str">
        <f t="shared" si="20"/>
        <v/>
      </c>
      <c r="AS24" s="40" t="str">
        <f t="shared" si="21"/>
        <v/>
      </c>
      <c r="AT24" s="40" t="str">
        <f t="shared" si="22"/>
        <v/>
      </c>
      <c r="AU24" s="40" t="str">
        <f t="shared" si="23"/>
        <v/>
      </c>
      <c r="AV24" s="40" t="str">
        <f t="shared" si="24"/>
        <v/>
      </c>
      <c r="AW24" s="40" t="str">
        <f t="shared" si="25"/>
        <v/>
      </c>
      <c r="AX24" s="26"/>
      <c r="AY24" s="26"/>
      <c r="AZ24" s="26"/>
      <c r="BA24" s="26"/>
      <c r="BB24" s="26"/>
      <c r="BC24" s="26"/>
      <c r="BD24" s="26"/>
      <c r="BE24" s="26"/>
      <c r="BF24" s="26"/>
      <c r="BG24" s="26"/>
      <c r="BH24" s="26"/>
      <c r="BI24" s="26"/>
      <c r="BJ24" s="26"/>
      <c r="BK24" s="26"/>
      <c r="BL24" s="26"/>
      <c r="BM24" s="28"/>
      <c r="BN24" s="39" t="str">
        <f t="shared" si="26"/>
        <v/>
      </c>
      <c r="BO24" s="39" t="str">
        <f t="shared" si="27"/>
        <v/>
      </c>
      <c r="BP24" s="11" t="str">
        <f t="shared" si="28"/>
        <v/>
      </c>
      <c r="BQ24" s="11" t="str">
        <f t="shared" si="29"/>
        <v/>
      </c>
      <c r="BR24" s="11" t="str">
        <f t="shared" si="30"/>
        <v/>
      </c>
      <c r="BS24" s="11" t="str">
        <f t="shared" si="31"/>
        <v/>
      </c>
      <c r="BT24" s="11" t="str">
        <f t="shared" si="32"/>
        <v/>
      </c>
      <c r="BU24" s="11" t="str">
        <f t="shared" si="33"/>
        <v/>
      </c>
      <c r="BV24" s="11" t="str">
        <f t="shared" si="34"/>
        <v/>
      </c>
      <c r="BW24" s="11" t="str">
        <f t="shared" si="35"/>
        <v/>
      </c>
      <c r="BX24" s="11" t="str">
        <f t="shared" si="36"/>
        <v/>
      </c>
      <c r="BY24" s="22">
        <v>1.6</v>
      </c>
      <c r="BZ24" s="22">
        <v>1</v>
      </c>
      <c r="CA24" s="22">
        <v>1.5</v>
      </c>
      <c r="CB24" s="22">
        <v>1.51</v>
      </c>
      <c r="CC24" s="22">
        <v>0</v>
      </c>
      <c r="CD24" s="22">
        <v>13.8</v>
      </c>
      <c r="CE24" s="22">
        <v>8.9</v>
      </c>
      <c r="CF24" s="22">
        <v>12.3</v>
      </c>
      <c r="CG24" s="22">
        <v>14.41</v>
      </c>
      <c r="CH24" s="22">
        <v>0</v>
      </c>
      <c r="CI24" s="22">
        <v>14.5</v>
      </c>
      <c r="CJ24" s="22">
        <v>8.9</v>
      </c>
      <c r="CK24" s="22">
        <v>12.3</v>
      </c>
      <c r="CL24" s="22">
        <v>14.09</v>
      </c>
      <c r="CM24" s="22">
        <v>0</v>
      </c>
      <c r="CN24" s="27"/>
      <c r="CO24" s="38">
        <f t="shared" si="37"/>
        <v>1.5</v>
      </c>
      <c r="CP24" s="38">
        <f t="shared" si="38"/>
        <v>1.51</v>
      </c>
      <c r="CQ24" s="40">
        <f t="shared" si="39"/>
        <v>5.6099999999999994</v>
      </c>
      <c r="CR24" s="40">
        <f t="shared" si="40"/>
        <v>12.3</v>
      </c>
      <c r="CS24" s="40">
        <f t="shared" si="41"/>
        <v>14.41</v>
      </c>
      <c r="CT24" s="40">
        <f t="shared" si="42"/>
        <v>49.41</v>
      </c>
      <c r="CU24" s="40">
        <f t="shared" si="43"/>
        <v>49.41</v>
      </c>
      <c r="CV24" s="40">
        <f t="shared" si="44"/>
        <v>12.3</v>
      </c>
      <c r="CW24" s="40">
        <f t="shared" si="45"/>
        <v>14.09</v>
      </c>
      <c r="CX24" s="40">
        <f t="shared" si="46"/>
        <v>49.790000000000006</v>
      </c>
      <c r="CY24" s="40">
        <f t="shared" si="47"/>
        <v>99.2</v>
      </c>
      <c r="CZ24" s="50" t="str">
        <f t="shared" si="48"/>
        <v/>
      </c>
      <c r="DA24" s="50" t="str">
        <f t="shared" si="49"/>
        <v/>
      </c>
      <c r="DB24" s="17"/>
      <c r="DC24" s="17"/>
      <c r="DD24" s="17"/>
      <c r="DE24" s="17"/>
      <c r="DF24" s="17"/>
      <c r="DG24" s="17"/>
      <c r="DH24" s="17"/>
      <c r="DI24" s="17"/>
      <c r="DJ24" s="17"/>
      <c r="DK24" s="17"/>
      <c r="DL24" s="17"/>
      <c r="DM24" s="17"/>
      <c r="DN24" s="17"/>
      <c r="DO24" s="17"/>
      <c r="DP24" s="17"/>
      <c r="DQ24" s="17"/>
      <c r="DR24" s="17"/>
      <c r="DS24" s="17"/>
      <c r="DT24" s="17"/>
      <c r="DU24" s="17"/>
      <c r="DV24" s="40" t="str">
        <f t="shared" si="50"/>
        <v/>
      </c>
      <c r="DW24" s="40" t="str">
        <f t="shared" si="51"/>
        <v/>
      </c>
      <c r="DX24" s="40" t="str">
        <f t="shared" si="52"/>
        <v/>
      </c>
      <c r="DY24" s="40" t="str">
        <f t="shared" si="53"/>
        <v/>
      </c>
      <c r="DZ24" s="40" t="str">
        <f t="shared" si="54"/>
        <v/>
      </c>
      <c r="EA24" s="40" t="str">
        <f t="shared" si="55"/>
        <v/>
      </c>
      <c r="EB24" s="40" t="str">
        <f t="shared" si="56"/>
        <v/>
      </c>
      <c r="EC24" s="40" t="str">
        <f t="shared" si="57"/>
        <v/>
      </c>
      <c r="ED24" s="40" t="str">
        <f t="shared" si="58"/>
        <v/>
      </c>
      <c r="EE24" s="40" t="str">
        <f t="shared" si="59"/>
        <v/>
      </c>
      <c r="EF24" s="40" t="str">
        <f t="shared" si="60"/>
        <v/>
      </c>
      <c r="EG24" s="40" t="str">
        <f t="shared" si="61"/>
        <v/>
      </c>
      <c r="EH24" s="40" t="str">
        <f t="shared" si="62"/>
        <v/>
      </c>
      <c r="EI24" s="40" t="str">
        <f t="shared" si="63"/>
        <v/>
      </c>
      <c r="EJ24" s="18"/>
      <c r="EK24" s="18"/>
      <c r="EL24" s="18"/>
      <c r="EM24" s="18"/>
      <c r="EN24" s="18"/>
      <c r="EO24" s="18"/>
      <c r="EP24" s="18"/>
      <c r="EQ24" s="18"/>
      <c r="ER24" s="18"/>
      <c r="ES24" s="18"/>
      <c r="ET24" s="18"/>
      <c r="EU24" s="18"/>
      <c r="EV24" s="18"/>
      <c r="EW24" s="18"/>
      <c r="EX24" s="18"/>
      <c r="EY24" s="18"/>
      <c r="EZ24" s="18"/>
      <c r="FA24" s="18"/>
      <c r="FB24" s="18"/>
      <c r="FC24" s="18"/>
      <c r="FD24" s="11" t="str">
        <f t="shared" si="64"/>
        <v/>
      </c>
      <c r="FE24" s="11" t="str">
        <f t="shared" si="65"/>
        <v/>
      </c>
      <c r="FF24" s="11" t="str">
        <f t="shared" si="66"/>
        <v/>
      </c>
      <c r="FG24" s="11" t="str">
        <f t="shared" si="67"/>
        <v/>
      </c>
      <c r="FH24" s="11" t="str">
        <f t="shared" si="68"/>
        <v/>
      </c>
      <c r="FI24" s="11" t="str">
        <f t="shared" si="69"/>
        <v/>
      </c>
      <c r="FJ24" s="11" t="str">
        <f t="shared" si="70"/>
        <v/>
      </c>
      <c r="FK24" s="11" t="str">
        <f t="shared" si="71"/>
        <v/>
      </c>
      <c r="FL24" s="11" t="str">
        <f t="shared" si="72"/>
        <v/>
      </c>
      <c r="FM24" s="11" t="str">
        <f t="shared" si="73"/>
        <v/>
      </c>
      <c r="FN24" s="11" t="str">
        <f t="shared" si="74"/>
        <v/>
      </c>
      <c r="FO24" s="11" t="str">
        <f t="shared" si="75"/>
        <v/>
      </c>
      <c r="FP24" s="11" t="str">
        <f t="shared" si="76"/>
        <v/>
      </c>
      <c r="FQ24" s="11" t="str">
        <f t="shared" si="77"/>
        <v/>
      </c>
      <c r="FR24" s="17"/>
      <c r="FS24" s="17"/>
      <c r="FT24" s="17"/>
      <c r="FU24" s="17"/>
      <c r="FV24" s="17"/>
      <c r="FW24" s="17"/>
      <c r="FX24" s="17"/>
      <c r="FY24" s="17"/>
      <c r="FZ24" s="17"/>
      <c r="GA24" s="17"/>
      <c r="GB24" s="17"/>
      <c r="GC24" s="17"/>
      <c r="GD24" s="17"/>
      <c r="GE24" s="17"/>
      <c r="GF24" s="17"/>
      <c r="GG24" s="17"/>
      <c r="GH24" s="17"/>
      <c r="GI24" s="17"/>
      <c r="GJ24" s="17"/>
      <c r="GK24" s="17"/>
      <c r="GL24" s="40" t="str">
        <f t="shared" si="78"/>
        <v/>
      </c>
      <c r="GM24" s="40" t="str">
        <f t="shared" si="79"/>
        <v/>
      </c>
      <c r="GN24" s="40" t="str">
        <f t="shared" si="80"/>
        <v/>
      </c>
      <c r="GO24" s="40" t="str">
        <f t="shared" si="81"/>
        <v/>
      </c>
      <c r="GP24" s="40" t="str">
        <f t="shared" si="82"/>
        <v/>
      </c>
      <c r="GQ24" s="40" t="str">
        <f t="shared" si="83"/>
        <v/>
      </c>
      <c r="GR24" s="40" t="str">
        <f t="shared" si="84"/>
        <v/>
      </c>
      <c r="GS24" s="40" t="str">
        <f t="shared" si="85"/>
        <v/>
      </c>
      <c r="GT24" s="40" t="str">
        <f t="shared" si="86"/>
        <v/>
      </c>
      <c r="GU24" s="40" t="str">
        <f t="shared" si="87"/>
        <v/>
      </c>
      <c r="GV24" s="40" t="str">
        <f t="shared" si="88"/>
        <v/>
      </c>
      <c r="GW24" s="40" t="str">
        <f t="shared" si="89"/>
        <v/>
      </c>
      <c r="GX24" s="40" t="str">
        <f t="shared" si="90"/>
        <v/>
      </c>
      <c r="GY24" s="40" t="str">
        <f t="shared" si="91"/>
        <v/>
      </c>
      <c r="GZ24" s="18"/>
      <c r="HA24" s="18"/>
      <c r="HB24" s="18"/>
      <c r="HC24" s="18"/>
      <c r="HD24" s="18"/>
      <c r="HE24" s="18"/>
      <c r="HF24" s="18"/>
      <c r="HG24" s="18"/>
      <c r="HH24" s="18"/>
      <c r="HI24" s="18"/>
      <c r="HJ24" s="18"/>
      <c r="HK24" s="18"/>
      <c r="HL24" s="18"/>
      <c r="HM24" s="18"/>
      <c r="HN24" s="18"/>
      <c r="HO24" s="18"/>
      <c r="HP24" s="18"/>
      <c r="HQ24" s="18"/>
      <c r="HR24" s="18"/>
      <c r="HS24" s="18"/>
      <c r="HT24" s="11" t="str">
        <f t="shared" si="92"/>
        <v/>
      </c>
      <c r="HU24" s="11" t="str">
        <f t="shared" si="93"/>
        <v/>
      </c>
      <c r="HV24" s="11" t="str">
        <f t="shared" si="94"/>
        <v/>
      </c>
      <c r="HW24" s="11" t="str">
        <f t="shared" si="95"/>
        <v/>
      </c>
      <c r="HX24" s="11" t="str">
        <f t="shared" si="96"/>
        <v/>
      </c>
      <c r="HY24" s="11" t="str">
        <f t="shared" si="97"/>
        <v/>
      </c>
      <c r="HZ24" s="11" t="str">
        <f t="shared" si="98"/>
        <v/>
      </c>
      <c r="IA24" s="11" t="str">
        <f t="shared" si="99"/>
        <v/>
      </c>
      <c r="IB24" s="11" t="str">
        <f t="shared" si="100"/>
        <v/>
      </c>
      <c r="IC24" s="11" t="str">
        <f t="shared" si="101"/>
        <v/>
      </c>
      <c r="ID24" s="11" t="str">
        <f t="shared" si="102"/>
        <v/>
      </c>
      <c r="IE24" s="11" t="str">
        <f t="shared" si="103"/>
        <v/>
      </c>
      <c r="IF24" s="11" t="str">
        <f t="shared" si="104"/>
        <v/>
      </c>
      <c r="IG24" s="11" t="str">
        <f t="shared" si="105"/>
        <v/>
      </c>
      <c r="IH24" s="17"/>
      <c r="II24" s="17"/>
      <c r="IJ24" s="17"/>
      <c r="IK24" s="17"/>
      <c r="IL24" s="17"/>
      <c r="IM24" s="17"/>
      <c r="IN24" s="17"/>
      <c r="IO24" s="17"/>
      <c r="IP24" s="17"/>
      <c r="IQ24" s="17"/>
      <c r="IR24" s="17"/>
      <c r="IS24" s="17"/>
      <c r="IT24" s="17"/>
      <c r="IU24" s="17"/>
      <c r="IV24" s="17"/>
      <c r="IW24" s="17"/>
      <c r="IX24" s="17"/>
      <c r="IY24" s="17"/>
      <c r="IZ24" s="17"/>
      <c r="JA24" s="17"/>
      <c r="JB24" s="40" t="str">
        <f t="shared" si="106"/>
        <v/>
      </c>
      <c r="JC24" s="40" t="str">
        <f t="shared" si="107"/>
        <v/>
      </c>
      <c r="JD24" s="40" t="str">
        <f t="shared" si="108"/>
        <v/>
      </c>
      <c r="JE24" s="40" t="str">
        <f t="shared" si="109"/>
        <v/>
      </c>
      <c r="JF24" s="40" t="str">
        <f t="shared" si="110"/>
        <v/>
      </c>
      <c r="JG24" s="40" t="str">
        <f t="shared" si="111"/>
        <v/>
      </c>
      <c r="JH24" s="40" t="str">
        <f t="shared" si="112"/>
        <v/>
      </c>
      <c r="JI24" s="40" t="str">
        <f t="shared" si="113"/>
        <v/>
      </c>
      <c r="JJ24" s="40" t="str">
        <f t="shared" si="114"/>
        <v/>
      </c>
      <c r="JK24" s="40" t="str">
        <f t="shared" si="115"/>
        <v/>
      </c>
      <c r="JL24" s="40" t="str">
        <f t="shared" si="116"/>
        <v/>
      </c>
      <c r="JM24" s="40" t="str">
        <f t="shared" si="117"/>
        <v/>
      </c>
      <c r="JN24" s="40" t="str">
        <f t="shared" si="118"/>
        <v/>
      </c>
      <c r="JO24" s="40" t="str">
        <f t="shared" si="119"/>
        <v/>
      </c>
      <c r="JP24" s="18"/>
      <c r="JQ24" s="18"/>
      <c r="JR24" s="18"/>
      <c r="JS24" s="18"/>
      <c r="JT24" s="18"/>
      <c r="JU24" s="18"/>
      <c r="JV24" s="18"/>
      <c r="JW24" s="18"/>
      <c r="JX24" s="18"/>
      <c r="JY24" s="18"/>
      <c r="JZ24" s="18"/>
      <c r="KA24" s="18"/>
      <c r="KB24" s="18"/>
      <c r="KC24" s="18"/>
      <c r="KD24" s="18"/>
      <c r="KE24" s="18"/>
      <c r="KF24" s="18"/>
      <c r="KG24" s="18"/>
      <c r="KH24" s="18"/>
      <c r="KI24" s="18"/>
      <c r="KJ24" s="11" t="str">
        <f t="shared" si="120"/>
        <v/>
      </c>
      <c r="KK24" s="11" t="str">
        <f t="shared" si="121"/>
        <v/>
      </c>
      <c r="KL24" s="11" t="str">
        <f t="shared" si="122"/>
        <v/>
      </c>
      <c r="KM24" s="11" t="str">
        <f t="shared" si="123"/>
        <v/>
      </c>
      <c r="KN24" s="11" t="str">
        <f t="shared" si="124"/>
        <v/>
      </c>
      <c r="KO24" s="11" t="str">
        <f t="shared" si="125"/>
        <v/>
      </c>
      <c r="KP24" s="11" t="str">
        <f t="shared" si="126"/>
        <v/>
      </c>
      <c r="KQ24" s="11" t="str">
        <f t="shared" si="127"/>
        <v/>
      </c>
      <c r="KR24" s="11" t="str">
        <f t="shared" si="128"/>
        <v/>
      </c>
      <c r="KS24" s="11" t="str">
        <f t="shared" si="129"/>
        <v/>
      </c>
      <c r="KT24" s="11" t="str">
        <f t="shared" si="130"/>
        <v/>
      </c>
      <c r="KU24" s="11" t="str">
        <f t="shared" si="131"/>
        <v/>
      </c>
      <c r="KV24" s="11" t="str">
        <f t="shared" si="132"/>
        <v/>
      </c>
      <c r="KW24" s="11" t="str">
        <f t="shared" si="133"/>
        <v/>
      </c>
      <c r="KX24" s="17"/>
      <c r="KY24" s="17"/>
      <c r="KZ24" s="17"/>
      <c r="LA24" s="17"/>
      <c r="LB24" s="17"/>
      <c r="LC24" s="17"/>
      <c r="LD24" s="17"/>
      <c r="LE24" s="17"/>
      <c r="LF24" s="17"/>
      <c r="LG24" s="17"/>
      <c r="LH24" s="17"/>
      <c r="LI24" s="17"/>
      <c r="LJ24" s="17"/>
      <c r="LK24" s="17"/>
      <c r="LL24" s="17"/>
      <c r="LM24" s="17"/>
      <c r="LN24" s="17"/>
      <c r="LO24" s="17"/>
      <c r="LP24" s="17"/>
      <c r="LQ24" s="17"/>
      <c r="LR24" s="40" t="str">
        <f t="shared" si="134"/>
        <v/>
      </c>
      <c r="LS24" s="40" t="str">
        <f t="shared" si="135"/>
        <v/>
      </c>
      <c r="LT24" s="40" t="str">
        <f t="shared" si="136"/>
        <v/>
      </c>
      <c r="LU24" s="40" t="str">
        <f t="shared" si="137"/>
        <v/>
      </c>
      <c r="LV24" s="40" t="str">
        <f t="shared" si="138"/>
        <v/>
      </c>
      <c r="LW24" s="40" t="str">
        <f t="shared" si="139"/>
        <v/>
      </c>
      <c r="LX24" s="40" t="str">
        <f t="shared" si="140"/>
        <v/>
      </c>
      <c r="LY24" s="40" t="str">
        <f t="shared" si="141"/>
        <v/>
      </c>
      <c r="LZ24" s="40" t="str">
        <f t="shared" si="142"/>
        <v/>
      </c>
      <c r="MA24" s="40" t="str">
        <f t="shared" si="143"/>
        <v/>
      </c>
      <c r="MB24" s="40" t="str">
        <f t="shared" si="144"/>
        <v/>
      </c>
      <c r="MC24" s="40" t="str">
        <f t="shared" si="145"/>
        <v/>
      </c>
      <c r="MD24" s="40" t="str">
        <f t="shared" si="146"/>
        <v/>
      </c>
      <c r="ME24" s="40" t="str">
        <f t="shared" si="147"/>
        <v/>
      </c>
      <c r="MF24" s="18"/>
      <c r="MG24" s="18"/>
      <c r="MH24" s="18"/>
      <c r="MI24" s="18"/>
      <c r="MJ24" s="18"/>
      <c r="MK24" s="18"/>
      <c r="ML24" s="18"/>
      <c r="MM24" s="18"/>
      <c r="MN24" s="18"/>
      <c r="MO24" s="18"/>
      <c r="MP24" s="18"/>
      <c r="MQ24" s="18"/>
      <c r="MR24" s="18"/>
      <c r="MS24" s="18"/>
      <c r="MT24" s="18"/>
      <c r="MU24" s="18"/>
      <c r="MV24" s="18"/>
      <c r="MW24" s="18"/>
      <c r="MX24" s="18"/>
      <c r="MY24" s="18"/>
      <c r="MZ24" s="11" t="str">
        <f t="shared" si="148"/>
        <v/>
      </c>
      <c r="NA24" s="11" t="str">
        <f t="shared" si="149"/>
        <v/>
      </c>
      <c r="NB24" s="11" t="str">
        <f t="shared" si="150"/>
        <v/>
      </c>
      <c r="NC24" s="11" t="str">
        <f t="shared" si="151"/>
        <v/>
      </c>
      <c r="ND24" s="11" t="str">
        <f t="shared" si="152"/>
        <v/>
      </c>
      <c r="NE24" s="11" t="str">
        <f t="shared" si="153"/>
        <v/>
      </c>
      <c r="NF24" s="11" t="str">
        <f t="shared" si="154"/>
        <v/>
      </c>
      <c r="NG24" s="11" t="str">
        <f t="shared" si="155"/>
        <v/>
      </c>
      <c r="NH24" s="11" t="str">
        <f t="shared" si="156"/>
        <v/>
      </c>
      <c r="NI24" s="11" t="str">
        <f t="shared" si="157"/>
        <v/>
      </c>
      <c r="NJ24" s="11" t="str">
        <f t="shared" si="158"/>
        <v/>
      </c>
      <c r="NK24" s="11" t="str">
        <f t="shared" si="159"/>
        <v/>
      </c>
      <c r="NL24" s="11" t="str">
        <f t="shared" si="160"/>
        <v/>
      </c>
      <c r="NM24" s="11" t="str">
        <f t="shared" si="161"/>
        <v/>
      </c>
      <c r="NN24" s="17"/>
      <c r="NO24" s="17"/>
      <c r="NP24" s="17"/>
      <c r="NQ24" s="17"/>
      <c r="NR24" s="17"/>
      <c r="NS24" s="17"/>
      <c r="NT24" s="17"/>
      <c r="NU24" s="17"/>
      <c r="NV24" s="17"/>
      <c r="NW24" s="17"/>
      <c r="NX24" s="17"/>
      <c r="NY24" s="17"/>
      <c r="NZ24" s="17"/>
      <c r="OA24" s="17"/>
      <c r="OB24" s="17"/>
      <c r="OC24" s="17"/>
      <c r="OD24" s="17"/>
      <c r="OE24" s="17"/>
      <c r="OF24" s="17"/>
      <c r="OG24" s="17"/>
      <c r="OH24" s="40" t="str">
        <f t="shared" si="162"/>
        <v/>
      </c>
      <c r="OI24" s="40" t="str">
        <f t="shared" si="163"/>
        <v/>
      </c>
      <c r="OJ24" s="40" t="str">
        <f t="shared" si="164"/>
        <v/>
      </c>
      <c r="OK24" s="40" t="str">
        <f t="shared" si="165"/>
        <v/>
      </c>
      <c r="OL24" s="40" t="str">
        <f t="shared" si="166"/>
        <v/>
      </c>
      <c r="OM24" s="40" t="str">
        <f t="shared" si="167"/>
        <v/>
      </c>
      <c r="ON24" s="40" t="str">
        <f t="shared" si="168"/>
        <v/>
      </c>
      <c r="OO24" s="40" t="str">
        <f t="shared" si="169"/>
        <v/>
      </c>
      <c r="OP24" s="40" t="str">
        <f t="shared" si="170"/>
        <v/>
      </c>
      <c r="OQ24" s="40" t="str">
        <f t="shared" si="171"/>
        <v/>
      </c>
      <c r="OR24" s="40" t="str">
        <f t="shared" si="172"/>
        <v/>
      </c>
      <c r="OS24" s="40" t="str">
        <f t="shared" si="173"/>
        <v/>
      </c>
      <c r="OT24" s="40" t="str">
        <f t="shared" si="174"/>
        <v/>
      </c>
      <c r="OU24" s="40" t="str">
        <f t="shared" si="175"/>
        <v/>
      </c>
      <c r="OV24" s="18"/>
      <c r="OW24" s="18"/>
      <c r="OX24" s="18"/>
      <c r="OY24" s="18"/>
      <c r="OZ24" s="18"/>
      <c r="PA24" s="18"/>
      <c r="PB24" s="18"/>
      <c r="PC24" s="18"/>
      <c r="PD24" s="18"/>
      <c r="PE24" s="18"/>
      <c r="PF24" s="18"/>
      <c r="PG24" s="18"/>
      <c r="PH24" s="18"/>
      <c r="PI24" s="18"/>
      <c r="PJ24" s="18"/>
      <c r="PK24" s="18"/>
      <c r="PL24" s="18"/>
      <c r="PM24" s="18"/>
      <c r="PN24" s="18"/>
      <c r="PO24" s="18"/>
      <c r="PP24" s="11" t="str">
        <f t="shared" si="176"/>
        <v/>
      </c>
      <c r="PQ24" s="11" t="str">
        <f t="shared" si="177"/>
        <v/>
      </c>
      <c r="PR24" s="11" t="str">
        <f t="shared" si="178"/>
        <v/>
      </c>
      <c r="PS24" s="11" t="str">
        <f t="shared" si="179"/>
        <v/>
      </c>
      <c r="PT24" s="11" t="str">
        <f t="shared" si="180"/>
        <v/>
      </c>
      <c r="PU24" s="11" t="str">
        <f t="shared" si="181"/>
        <v/>
      </c>
      <c r="PV24" s="11" t="str">
        <f t="shared" si="182"/>
        <v/>
      </c>
      <c r="PW24" s="11" t="str">
        <f t="shared" si="183"/>
        <v/>
      </c>
      <c r="PX24" s="11" t="str">
        <f t="shared" si="184"/>
        <v/>
      </c>
      <c r="PY24" s="11" t="str">
        <f t="shared" si="185"/>
        <v/>
      </c>
      <c r="PZ24" s="11" t="str">
        <f t="shared" si="186"/>
        <v/>
      </c>
      <c r="QA24" s="11" t="str">
        <f t="shared" si="187"/>
        <v/>
      </c>
      <c r="QB24" s="11" t="str">
        <f t="shared" si="188"/>
        <v/>
      </c>
      <c r="QC24" s="11" t="str">
        <f t="shared" si="189"/>
        <v/>
      </c>
      <c r="QD24" s="17"/>
      <c r="QE24" s="17"/>
      <c r="QF24" s="17"/>
      <c r="QG24" s="17"/>
      <c r="QH24" s="17"/>
      <c r="QI24" s="17"/>
      <c r="QJ24" s="17"/>
      <c r="QK24" s="17"/>
      <c r="QL24" s="17"/>
      <c r="QM24" s="17"/>
      <c r="QN24" s="17"/>
      <c r="QO24" s="17"/>
      <c r="QP24" s="17"/>
      <c r="QQ24" s="17"/>
      <c r="QR24" s="17"/>
      <c r="QS24" s="17"/>
      <c r="QT24" s="17"/>
      <c r="QU24" s="17"/>
      <c r="QV24" s="17"/>
      <c r="QW24" s="17"/>
      <c r="QX24" s="40" t="str">
        <f t="shared" si="190"/>
        <v/>
      </c>
      <c r="QY24" s="40" t="str">
        <f t="shared" si="191"/>
        <v/>
      </c>
      <c r="QZ24" s="40" t="str">
        <f t="shared" si="192"/>
        <v/>
      </c>
      <c r="RA24" s="40" t="str">
        <f t="shared" si="193"/>
        <v/>
      </c>
      <c r="RB24" s="40" t="str">
        <f t="shared" si="194"/>
        <v/>
      </c>
      <c r="RC24" s="40" t="str">
        <f t="shared" si="195"/>
        <v/>
      </c>
      <c r="RD24" s="40" t="str">
        <f t="shared" si="196"/>
        <v/>
      </c>
      <c r="RE24" s="40" t="str">
        <f t="shared" si="197"/>
        <v/>
      </c>
      <c r="RF24" s="40" t="str">
        <f t="shared" si="198"/>
        <v/>
      </c>
      <c r="RG24" s="40" t="str">
        <f t="shared" si="199"/>
        <v/>
      </c>
      <c r="RH24" s="40" t="str">
        <f t="shared" si="200"/>
        <v/>
      </c>
      <c r="RI24" s="40" t="str">
        <f t="shared" si="201"/>
        <v/>
      </c>
      <c r="RJ24" s="40" t="str">
        <f t="shared" si="202"/>
        <v/>
      </c>
      <c r="RK24" s="40" t="str">
        <f t="shared" si="203"/>
        <v/>
      </c>
      <c r="RL24" s="18"/>
      <c r="RM24" s="18"/>
      <c r="RN24" s="18"/>
      <c r="RO24" s="18"/>
      <c r="RP24" s="18"/>
      <c r="RQ24" s="18"/>
      <c r="RR24" s="18"/>
      <c r="RS24" s="18"/>
      <c r="RT24" s="18"/>
      <c r="RU24" s="18"/>
      <c r="RV24" s="18"/>
      <c r="RW24" s="18"/>
      <c r="RX24" s="18"/>
      <c r="RY24" s="18"/>
      <c r="RZ24" s="18"/>
      <c r="SA24" s="18"/>
      <c r="SB24" s="18"/>
      <c r="SC24" s="18"/>
      <c r="SD24" s="18"/>
      <c r="SE24" s="18"/>
      <c r="SF24" s="11" t="str">
        <f t="shared" si="204"/>
        <v/>
      </c>
      <c r="SG24" s="11" t="str">
        <f t="shared" si="205"/>
        <v/>
      </c>
      <c r="SH24" s="11" t="str">
        <f t="shared" si="206"/>
        <v/>
      </c>
      <c r="SI24" s="11" t="str">
        <f t="shared" si="207"/>
        <v/>
      </c>
      <c r="SJ24" s="11" t="str">
        <f t="shared" si="208"/>
        <v/>
      </c>
      <c r="SK24" s="11" t="str">
        <f t="shared" si="209"/>
        <v/>
      </c>
      <c r="SL24" s="11" t="str">
        <f t="shared" si="210"/>
        <v/>
      </c>
      <c r="SM24" s="11" t="str">
        <f t="shared" si="211"/>
        <v/>
      </c>
      <c r="SN24" s="11" t="str">
        <f t="shared" si="212"/>
        <v/>
      </c>
      <c r="SO24" s="11" t="str">
        <f t="shared" si="213"/>
        <v/>
      </c>
      <c r="SP24" s="11" t="str">
        <f t="shared" si="214"/>
        <v/>
      </c>
      <c r="SQ24" s="11" t="str">
        <f t="shared" si="215"/>
        <v/>
      </c>
      <c r="SR24" s="11" t="str">
        <f t="shared" si="216"/>
        <v/>
      </c>
      <c r="SS24" s="11" t="str">
        <f t="shared" si="217"/>
        <v/>
      </c>
      <c r="ST24" s="22">
        <f t="shared" si="218"/>
        <v>0.8</v>
      </c>
      <c r="SU24" s="22">
        <f t="shared" si="219"/>
        <v>0.5</v>
      </c>
      <c r="SV24" s="22">
        <f t="shared" si="220"/>
        <v>0.75</v>
      </c>
      <c r="SW24" s="22">
        <f t="shared" si="221"/>
        <v>0.755</v>
      </c>
      <c r="SX24" s="22">
        <f t="shared" si="222"/>
        <v>0</v>
      </c>
      <c r="SY24" s="22">
        <f t="shared" si="223"/>
        <v>6.9</v>
      </c>
      <c r="SZ24" s="22">
        <f t="shared" si="224"/>
        <v>4.45</v>
      </c>
      <c r="TA24" s="22">
        <f t="shared" si="225"/>
        <v>6.15</v>
      </c>
      <c r="TB24" s="22">
        <f t="shared" si="226"/>
        <v>7.2050000000000001</v>
      </c>
      <c r="TC24" s="22">
        <f t="shared" si="227"/>
        <v>0</v>
      </c>
      <c r="TD24" s="22">
        <f t="shared" si="228"/>
        <v>7.25</v>
      </c>
      <c r="TE24" s="22">
        <f t="shared" si="229"/>
        <v>4.45</v>
      </c>
      <c r="TF24" s="22">
        <f t="shared" si="230"/>
        <v>6.15</v>
      </c>
      <c r="TG24" s="22">
        <f t="shared" si="231"/>
        <v>7.0449999999999999</v>
      </c>
      <c r="TH24" s="22">
        <f t="shared" si="232"/>
        <v>0</v>
      </c>
      <c r="TI24" s="27" t="s">
        <v>46</v>
      </c>
      <c r="TJ24" s="40">
        <f t="shared" si="233"/>
        <v>0.75</v>
      </c>
      <c r="TK24" s="40">
        <f t="shared" si="234"/>
        <v>0.755</v>
      </c>
      <c r="TL24" s="40">
        <f t="shared" si="235"/>
        <v>2.8049999999999997</v>
      </c>
      <c r="TM24" s="40">
        <f t="shared" si="236"/>
        <v>6.15</v>
      </c>
      <c r="TN24" s="40">
        <f t="shared" si="237"/>
        <v>7.2050000000000001</v>
      </c>
      <c r="TO24" s="40">
        <f t="shared" si="238"/>
        <v>24.704999999999998</v>
      </c>
      <c r="TP24" s="40">
        <f t="shared" si="239"/>
        <v>24.704999999999998</v>
      </c>
      <c r="TQ24" s="40">
        <f t="shared" si="240"/>
        <v>6.15</v>
      </c>
      <c r="TR24" s="40">
        <f t="shared" si="241"/>
        <v>7.0449999999999999</v>
      </c>
      <c r="TS24" s="40">
        <f t="shared" si="242"/>
        <v>24.895000000000003</v>
      </c>
      <c r="TT24" s="40">
        <f t="shared" si="243"/>
        <v>49.6</v>
      </c>
    </row>
    <row r="25" spans="1:540" x14ac:dyDescent="0.2">
      <c r="A25" s="4" t="str" cm="1">
        <f t="array" ref="A25">IF(AND(F25&lt;&gt;"",G25&lt;&gt;""),SUMPRODUCT((F$4:F$35&lt;&gt;"")*(G$4:G$35&lt;&gt;"")*(E$4:E$35&gt;E25))+1,IF(G25&lt;&gt;"",SUMPRODUCT((H$4:H$35="No DD")*(E$4:E$35&gt;E25))+1+SUMPRODUCT((F$4:F$35&lt;&gt;"")*(G$4:G$35&lt;&gt;"")),""))</f>
        <v/>
      </c>
      <c r="B25" s="5" t="s">
        <v>130</v>
      </c>
      <c r="C25" s="4" t="s">
        <v>3</v>
      </c>
      <c r="D25" s="4">
        <v>2002</v>
      </c>
      <c r="E25" s="9">
        <f t="shared" si="0"/>
        <v>112.35001123500516</v>
      </c>
      <c r="F25" s="3" t="str">
        <f t="shared" si="1"/>
        <v/>
      </c>
      <c r="G25" s="3" t="str">
        <f t="shared" si="2"/>
        <v/>
      </c>
      <c r="H25" s="36" t="str">
        <f t="shared" si="3"/>
        <v/>
      </c>
      <c r="I25" s="3" t="str">
        <f t="shared" si="4"/>
        <v/>
      </c>
      <c r="J25" s="8">
        <f>IF(COUNT(AO25,AR25,BP25,BS25,CQ25,CT25)&gt;0,LARGE((AO25,AR25,BP25,BS25,CQ25,CT25),1),0)</f>
        <v>51.54</v>
      </c>
      <c r="K25" s="8" t="str">
        <f t="shared" si="5"/>
        <v>2022 Nationals</v>
      </c>
      <c r="L25" s="8">
        <f>IF(COUNT(AO25,AR25,BP25,BS25,CQ25,CT25)&gt;1,LARGE((AO25,AR25,BP25,BS25,CQ25,CT25),2),0)</f>
        <v>0</v>
      </c>
      <c r="M25" s="8" t="str">
        <f t="shared" si="6"/>
        <v/>
      </c>
      <c r="N25" s="8">
        <f>IF(COUNT(AO25,AR25,BP25,BS25,CQ25,CT25)&gt;2,MAX(AV25,BW25,CX25,LARGE((AO25,AR25,BP25,BS25,CQ25,CT25),3)),IF(MAX(AV25,BW25,CX25)&gt;0,MAX(AV25,BW25,CX25),0))</f>
        <v>49.21</v>
      </c>
      <c r="O25" s="8" t="str">
        <f t="shared" si="7"/>
        <v>2022 Nationals</v>
      </c>
      <c r="P25" s="8">
        <f t="shared" si="8"/>
        <v>11.6</v>
      </c>
      <c r="Q25" s="8" t="str">
        <f t="shared" si="9"/>
        <v>2022 Nationals</v>
      </c>
      <c r="R25" s="8">
        <f t="shared" si="10"/>
        <v>0</v>
      </c>
      <c r="S25" s="8" t="str">
        <f t="shared" si="11"/>
        <v/>
      </c>
      <c r="T25" s="8" t="str">
        <f t="shared" si="12"/>
        <v/>
      </c>
      <c r="U25" s="11" t="str">
        <f t="shared" si="13"/>
        <v/>
      </c>
      <c r="V25" s="8" t="str">
        <f t="shared" si="14"/>
        <v/>
      </c>
      <c r="W25" s="22">
        <v>15.1</v>
      </c>
      <c r="X25" s="22">
        <v>9.4</v>
      </c>
      <c r="Y25" s="22">
        <v>11.6</v>
      </c>
      <c r="Z25" s="22">
        <v>15.44</v>
      </c>
      <c r="AA25" s="22">
        <v>0</v>
      </c>
      <c r="AB25" s="22"/>
      <c r="AC25" s="22"/>
      <c r="AD25" s="22"/>
      <c r="AE25" s="22"/>
      <c r="AF25" s="22"/>
      <c r="AG25" s="22">
        <v>14.3</v>
      </c>
      <c r="AH25" s="22">
        <v>8.6999999999999993</v>
      </c>
      <c r="AI25" s="22">
        <v>11.4</v>
      </c>
      <c r="AJ25" s="22">
        <v>14.81</v>
      </c>
      <c r="AK25" s="22">
        <v>0</v>
      </c>
      <c r="AL25" s="27"/>
      <c r="AM25" s="38">
        <f t="shared" si="15"/>
        <v>11.6</v>
      </c>
      <c r="AN25" s="38">
        <f t="shared" si="16"/>
        <v>15.44</v>
      </c>
      <c r="AO25" s="40">
        <f t="shared" si="17"/>
        <v>51.54</v>
      </c>
      <c r="AP25" s="40" t="str">
        <f t="shared" si="18"/>
        <v/>
      </c>
      <c r="AQ25" s="40" t="str">
        <f t="shared" si="19"/>
        <v/>
      </c>
      <c r="AR25" s="40" t="str">
        <f t="shared" si="20"/>
        <v/>
      </c>
      <c r="AS25" s="40">
        <f t="shared" si="21"/>
        <v>51.54</v>
      </c>
      <c r="AT25" s="40">
        <f t="shared" si="22"/>
        <v>11.4</v>
      </c>
      <c r="AU25" s="40">
        <f t="shared" si="23"/>
        <v>14.81</v>
      </c>
      <c r="AV25" s="40">
        <f t="shared" si="24"/>
        <v>49.21</v>
      </c>
      <c r="AW25" s="40">
        <f t="shared" si="25"/>
        <v>100.75</v>
      </c>
      <c r="AX25" s="26"/>
      <c r="AY25" s="26"/>
      <c r="AZ25" s="26"/>
      <c r="BA25" s="26"/>
      <c r="BB25" s="26"/>
      <c r="BC25" s="26"/>
      <c r="BD25" s="26"/>
      <c r="BE25" s="26"/>
      <c r="BF25" s="26"/>
      <c r="BG25" s="26"/>
      <c r="BH25" s="26"/>
      <c r="BI25" s="26"/>
      <c r="BJ25" s="26"/>
      <c r="BK25" s="26"/>
      <c r="BL25" s="26"/>
      <c r="BM25" s="28"/>
      <c r="BN25" s="39" t="str">
        <f t="shared" si="26"/>
        <v/>
      </c>
      <c r="BO25" s="39" t="str">
        <f t="shared" si="27"/>
        <v/>
      </c>
      <c r="BP25" s="11" t="str">
        <f t="shared" si="28"/>
        <v/>
      </c>
      <c r="BQ25" s="11" t="str">
        <f t="shared" si="29"/>
        <v/>
      </c>
      <c r="BR25" s="11" t="str">
        <f t="shared" si="30"/>
        <v/>
      </c>
      <c r="BS25" s="11" t="str">
        <f t="shared" si="31"/>
        <v/>
      </c>
      <c r="BT25" s="11" t="str">
        <f t="shared" si="32"/>
        <v/>
      </c>
      <c r="BU25" s="11" t="str">
        <f t="shared" si="33"/>
        <v/>
      </c>
      <c r="BV25" s="11" t="str">
        <f t="shared" si="34"/>
        <v/>
      </c>
      <c r="BW25" s="11" t="str">
        <f t="shared" si="35"/>
        <v/>
      </c>
      <c r="BX25" s="11" t="str">
        <f t="shared" si="36"/>
        <v/>
      </c>
      <c r="BY25" s="22"/>
      <c r="BZ25" s="22"/>
      <c r="CA25" s="22"/>
      <c r="CB25" s="22"/>
      <c r="CC25" s="22"/>
      <c r="CD25" s="22"/>
      <c r="CE25" s="22"/>
      <c r="CF25" s="22"/>
      <c r="CG25" s="22"/>
      <c r="CH25" s="22"/>
      <c r="CI25" s="22"/>
      <c r="CJ25" s="22"/>
      <c r="CK25" s="22"/>
      <c r="CL25" s="22"/>
      <c r="CM25" s="22"/>
      <c r="CN25" s="27"/>
      <c r="CO25" s="38" t="str">
        <f t="shared" si="37"/>
        <v/>
      </c>
      <c r="CP25" s="38" t="str">
        <f t="shared" si="38"/>
        <v/>
      </c>
      <c r="CQ25" s="40" t="str">
        <f t="shared" si="39"/>
        <v/>
      </c>
      <c r="CR25" s="40" t="str">
        <f t="shared" si="40"/>
        <v/>
      </c>
      <c r="CS25" s="40" t="str">
        <f t="shared" si="41"/>
        <v/>
      </c>
      <c r="CT25" s="40" t="str">
        <f t="shared" si="42"/>
        <v/>
      </c>
      <c r="CU25" s="40" t="str">
        <f t="shared" si="43"/>
        <v/>
      </c>
      <c r="CV25" s="40" t="str">
        <f t="shared" si="44"/>
        <v/>
      </c>
      <c r="CW25" s="40" t="str">
        <f t="shared" si="45"/>
        <v/>
      </c>
      <c r="CX25" s="40" t="str">
        <f t="shared" si="46"/>
        <v/>
      </c>
      <c r="CY25" s="40" t="str">
        <f t="shared" si="47"/>
        <v/>
      </c>
      <c r="CZ25" s="50" t="str">
        <f t="shared" si="48"/>
        <v/>
      </c>
      <c r="DA25" s="50" t="str">
        <f t="shared" si="49"/>
        <v/>
      </c>
      <c r="DB25" s="17"/>
      <c r="DC25" s="17"/>
      <c r="DD25" s="17"/>
      <c r="DE25" s="17"/>
      <c r="DF25" s="17"/>
      <c r="DG25" s="17"/>
      <c r="DH25" s="17"/>
      <c r="DI25" s="17"/>
      <c r="DJ25" s="17"/>
      <c r="DK25" s="17"/>
      <c r="DL25" s="17"/>
      <c r="DM25" s="17"/>
      <c r="DN25" s="17"/>
      <c r="DO25" s="17"/>
      <c r="DP25" s="17"/>
      <c r="DQ25" s="17"/>
      <c r="DR25" s="17"/>
      <c r="DS25" s="17"/>
      <c r="DT25" s="17"/>
      <c r="DU25" s="17"/>
      <c r="DV25" s="40" t="str">
        <f t="shared" si="50"/>
        <v/>
      </c>
      <c r="DW25" s="40" t="str">
        <f t="shared" si="51"/>
        <v/>
      </c>
      <c r="DX25" s="40" t="str">
        <f t="shared" si="52"/>
        <v/>
      </c>
      <c r="DY25" s="40" t="str">
        <f t="shared" si="53"/>
        <v/>
      </c>
      <c r="DZ25" s="40" t="str">
        <f t="shared" si="54"/>
        <v/>
      </c>
      <c r="EA25" s="40" t="str">
        <f t="shared" si="55"/>
        <v/>
      </c>
      <c r="EB25" s="40" t="str">
        <f t="shared" si="56"/>
        <v/>
      </c>
      <c r="EC25" s="40" t="str">
        <f t="shared" si="57"/>
        <v/>
      </c>
      <c r="ED25" s="40" t="str">
        <f t="shared" si="58"/>
        <v/>
      </c>
      <c r="EE25" s="40" t="str">
        <f t="shared" si="59"/>
        <v/>
      </c>
      <c r="EF25" s="40" t="str">
        <f t="shared" si="60"/>
        <v/>
      </c>
      <c r="EG25" s="40" t="str">
        <f t="shared" si="61"/>
        <v/>
      </c>
      <c r="EH25" s="40" t="str">
        <f t="shared" si="62"/>
        <v/>
      </c>
      <c r="EI25" s="40" t="str">
        <f t="shared" si="63"/>
        <v/>
      </c>
      <c r="EJ25" s="18"/>
      <c r="EK25" s="18"/>
      <c r="EL25" s="18"/>
      <c r="EM25" s="18"/>
      <c r="EN25" s="18"/>
      <c r="EO25" s="18"/>
      <c r="EP25" s="18"/>
      <c r="EQ25" s="18"/>
      <c r="ER25" s="18"/>
      <c r="ES25" s="18"/>
      <c r="ET25" s="18"/>
      <c r="EU25" s="18"/>
      <c r="EV25" s="18"/>
      <c r="EW25" s="18"/>
      <c r="EX25" s="18"/>
      <c r="EY25" s="18"/>
      <c r="EZ25" s="18"/>
      <c r="FA25" s="18"/>
      <c r="FB25" s="18"/>
      <c r="FC25" s="18"/>
      <c r="FD25" s="11" t="str">
        <f t="shared" si="64"/>
        <v/>
      </c>
      <c r="FE25" s="11" t="str">
        <f t="shared" si="65"/>
        <v/>
      </c>
      <c r="FF25" s="11" t="str">
        <f t="shared" si="66"/>
        <v/>
      </c>
      <c r="FG25" s="11" t="str">
        <f t="shared" si="67"/>
        <v/>
      </c>
      <c r="FH25" s="11" t="str">
        <f t="shared" si="68"/>
        <v/>
      </c>
      <c r="FI25" s="11" t="str">
        <f t="shared" si="69"/>
        <v/>
      </c>
      <c r="FJ25" s="11" t="str">
        <f t="shared" si="70"/>
        <v/>
      </c>
      <c r="FK25" s="11" t="str">
        <f t="shared" si="71"/>
        <v/>
      </c>
      <c r="FL25" s="11" t="str">
        <f t="shared" si="72"/>
        <v/>
      </c>
      <c r="FM25" s="11" t="str">
        <f t="shared" si="73"/>
        <v/>
      </c>
      <c r="FN25" s="11" t="str">
        <f t="shared" si="74"/>
        <v/>
      </c>
      <c r="FO25" s="11" t="str">
        <f t="shared" si="75"/>
        <v/>
      </c>
      <c r="FP25" s="11" t="str">
        <f t="shared" si="76"/>
        <v/>
      </c>
      <c r="FQ25" s="11" t="str">
        <f t="shared" si="77"/>
        <v/>
      </c>
      <c r="FR25" s="17"/>
      <c r="FS25" s="17"/>
      <c r="FT25" s="17"/>
      <c r="FU25" s="17"/>
      <c r="FV25" s="17"/>
      <c r="FW25" s="17"/>
      <c r="FX25" s="17"/>
      <c r="FY25" s="17"/>
      <c r="FZ25" s="17"/>
      <c r="GA25" s="17"/>
      <c r="GB25" s="17"/>
      <c r="GC25" s="17"/>
      <c r="GD25" s="17"/>
      <c r="GE25" s="17"/>
      <c r="GF25" s="17"/>
      <c r="GG25" s="17"/>
      <c r="GH25" s="17"/>
      <c r="GI25" s="17"/>
      <c r="GJ25" s="17"/>
      <c r="GK25" s="17"/>
      <c r="GL25" s="40" t="str">
        <f t="shared" si="78"/>
        <v/>
      </c>
      <c r="GM25" s="40" t="str">
        <f t="shared" si="79"/>
        <v/>
      </c>
      <c r="GN25" s="40" t="str">
        <f t="shared" si="80"/>
        <v/>
      </c>
      <c r="GO25" s="40" t="str">
        <f t="shared" si="81"/>
        <v/>
      </c>
      <c r="GP25" s="40" t="str">
        <f t="shared" si="82"/>
        <v/>
      </c>
      <c r="GQ25" s="40" t="str">
        <f t="shared" si="83"/>
        <v/>
      </c>
      <c r="GR25" s="40" t="str">
        <f t="shared" si="84"/>
        <v/>
      </c>
      <c r="GS25" s="40" t="str">
        <f t="shared" si="85"/>
        <v/>
      </c>
      <c r="GT25" s="40" t="str">
        <f t="shared" si="86"/>
        <v/>
      </c>
      <c r="GU25" s="40" t="str">
        <f t="shared" si="87"/>
        <v/>
      </c>
      <c r="GV25" s="40" t="str">
        <f t="shared" si="88"/>
        <v/>
      </c>
      <c r="GW25" s="40" t="str">
        <f t="shared" si="89"/>
        <v/>
      </c>
      <c r="GX25" s="40" t="str">
        <f t="shared" si="90"/>
        <v/>
      </c>
      <c r="GY25" s="40" t="str">
        <f t="shared" si="91"/>
        <v/>
      </c>
      <c r="GZ25" s="18"/>
      <c r="HA25" s="18"/>
      <c r="HB25" s="18"/>
      <c r="HC25" s="18"/>
      <c r="HD25" s="18"/>
      <c r="HE25" s="18"/>
      <c r="HF25" s="18"/>
      <c r="HG25" s="18"/>
      <c r="HH25" s="18"/>
      <c r="HI25" s="18"/>
      <c r="HJ25" s="18"/>
      <c r="HK25" s="18"/>
      <c r="HL25" s="18"/>
      <c r="HM25" s="18"/>
      <c r="HN25" s="18"/>
      <c r="HO25" s="18"/>
      <c r="HP25" s="18"/>
      <c r="HQ25" s="18"/>
      <c r="HR25" s="18"/>
      <c r="HS25" s="18"/>
      <c r="HT25" s="11" t="str">
        <f t="shared" si="92"/>
        <v/>
      </c>
      <c r="HU25" s="11" t="str">
        <f t="shared" si="93"/>
        <v/>
      </c>
      <c r="HV25" s="11" t="str">
        <f t="shared" si="94"/>
        <v/>
      </c>
      <c r="HW25" s="11" t="str">
        <f t="shared" si="95"/>
        <v/>
      </c>
      <c r="HX25" s="11" t="str">
        <f t="shared" si="96"/>
        <v/>
      </c>
      <c r="HY25" s="11" t="str">
        <f t="shared" si="97"/>
        <v/>
      </c>
      <c r="HZ25" s="11" t="str">
        <f t="shared" si="98"/>
        <v/>
      </c>
      <c r="IA25" s="11" t="str">
        <f t="shared" si="99"/>
        <v/>
      </c>
      <c r="IB25" s="11" t="str">
        <f t="shared" si="100"/>
        <v/>
      </c>
      <c r="IC25" s="11" t="str">
        <f t="shared" si="101"/>
        <v/>
      </c>
      <c r="ID25" s="11" t="str">
        <f t="shared" si="102"/>
        <v/>
      </c>
      <c r="IE25" s="11" t="str">
        <f t="shared" si="103"/>
        <v/>
      </c>
      <c r="IF25" s="11" t="str">
        <f t="shared" si="104"/>
        <v/>
      </c>
      <c r="IG25" s="11" t="str">
        <f t="shared" si="105"/>
        <v/>
      </c>
      <c r="IH25" s="17"/>
      <c r="II25" s="17"/>
      <c r="IJ25" s="17"/>
      <c r="IK25" s="17"/>
      <c r="IL25" s="17"/>
      <c r="IM25" s="17"/>
      <c r="IN25" s="17"/>
      <c r="IO25" s="17"/>
      <c r="IP25" s="17"/>
      <c r="IQ25" s="17"/>
      <c r="IR25" s="17"/>
      <c r="IS25" s="17"/>
      <c r="IT25" s="17"/>
      <c r="IU25" s="17"/>
      <c r="IV25" s="17"/>
      <c r="IW25" s="17"/>
      <c r="IX25" s="17"/>
      <c r="IY25" s="17"/>
      <c r="IZ25" s="17"/>
      <c r="JA25" s="17"/>
      <c r="JB25" s="40" t="str">
        <f t="shared" si="106"/>
        <v/>
      </c>
      <c r="JC25" s="40" t="str">
        <f t="shared" si="107"/>
        <v/>
      </c>
      <c r="JD25" s="40" t="str">
        <f t="shared" si="108"/>
        <v/>
      </c>
      <c r="JE25" s="40" t="str">
        <f t="shared" si="109"/>
        <v/>
      </c>
      <c r="JF25" s="40" t="str">
        <f t="shared" si="110"/>
        <v/>
      </c>
      <c r="JG25" s="40" t="str">
        <f t="shared" si="111"/>
        <v/>
      </c>
      <c r="JH25" s="40" t="str">
        <f t="shared" si="112"/>
        <v/>
      </c>
      <c r="JI25" s="40" t="str">
        <f t="shared" si="113"/>
        <v/>
      </c>
      <c r="JJ25" s="40" t="str">
        <f t="shared" si="114"/>
        <v/>
      </c>
      <c r="JK25" s="40" t="str">
        <f t="shared" si="115"/>
        <v/>
      </c>
      <c r="JL25" s="40" t="str">
        <f t="shared" si="116"/>
        <v/>
      </c>
      <c r="JM25" s="40" t="str">
        <f t="shared" si="117"/>
        <v/>
      </c>
      <c r="JN25" s="40" t="str">
        <f t="shared" si="118"/>
        <v/>
      </c>
      <c r="JO25" s="40" t="str">
        <f t="shared" si="119"/>
        <v/>
      </c>
      <c r="JP25" s="18"/>
      <c r="JQ25" s="18"/>
      <c r="JR25" s="18"/>
      <c r="JS25" s="18"/>
      <c r="JT25" s="18"/>
      <c r="JU25" s="18"/>
      <c r="JV25" s="18"/>
      <c r="JW25" s="18"/>
      <c r="JX25" s="18"/>
      <c r="JY25" s="18"/>
      <c r="JZ25" s="18"/>
      <c r="KA25" s="18"/>
      <c r="KB25" s="18"/>
      <c r="KC25" s="18"/>
      <c r="KD25" s="18"/>
      <c r="KE25" s="18"/>
      <c r="KF25" s="18"/>
      <c r="KG25" s="18"/>
      <c r="KH25" s="18"/>
      <c r="KI25" s="18"/>
      <c r="KJ25" s="11" t="str">
        <f t="shared" si="120"/>
        <v/>
      </c>
      <c r="KK25" s="11" t="str">
        <f t="shared" si="121"/>
        <v/>
      </c>
      <c r="KL25" s="11" t="str">
        <f t="shared" si="122"/>
        <v/>
      </c>
      <c r="KM25" s="11" t="str">
        <f t="shared" si="123"/>
        <v/>
      </c>
      <c r="KN25" s="11" t="str">
        <f t="shared" si="124"/>
        <v/>
      </c>
      <c r="KO25" s="11" t="str">
        <f t="shared" si="125"/>
        <v/>
      </c>
      <c r="KP25" s="11" t="str">
        <f t="shared" si="126"/>
        <v/>
      </c>
      <c r="KQ25" s="11" t="str">
        <f t="shared" si="127"/>
        <v/>
      </c>
      <c r="KR25" s="11" t="str">
        <f t="shared" si="128"/>
        <v/>
      </c>
      <c r="KS25" s="11" t="str">
        <f t="shared" si="129"/>
        <v/>
      </c>
      <c r="KT25" s="11" t="str">
        <f t="shared" si="130"/>
        <v/>
      </c>
      <c r="KU25" s="11" t="str">
        <f t="shared" si="131"/>
        <v/>
      </c>
      <c r="KV25" s="11" t="str">
        <f t="shared" si="132"/>
        <v/>
      </c>
      <c r="KW25" s="11" t="str">
        <f t="shared" si="133"/>
        <v/>
      </c>
      <c r="KX25" s="17"/>
      <c r="KY25" s="17"/>
      <c r="KZ25" s="17"/>
      <c r="LA25" s="17"/>
      <c r="LB25" s="17"/>
      <c r="LC25" s="17"/>
      <c r="LD25" s="17"/>
      <c r="LE25" s="17"/>
      <c r="LF25" s="17"/>
      <c r="LG25" s="17"/>
      <c r="LH25" s="17"/>
      <c r="LI25" s="17"/>
      <c r="LJ25" s="17"/>
      <c r="LK25" s="17"/>
      <c r="LL25" s="17"/>
      <c r="LM25" s="17"/>
      <c r="LN25" s="17"/>
      <c r="LO25" s="17"/>
      <c r="LP25" s="17"/>
      <c r="LQ25" s="17"/>
      <c r="LR25" s="40" t="str">
        <f t="shared" si="134"/>
        <v/>
      </c>
      <c r="LS25" s="40" t="str">
        <f t="shared" si="135"/>
        <v/>
      </c>
      <c r="LT25" s="40" t="str">
        <f t="shared" si="136"/>
        <v/>
      </c>
      <c r="LU25" s="40" t="str">
        <f t="shared" si="137"/>
        <v/>
      </c>
      <c r="LV25" s="40" t="str">
        <f t="shared" si="138"/>
        <v/>
      </c>
      <c r="LW25" s="40" t="str">
        <f t="shared" si="139"/>
        <v/>
      </c>
      <c r="LX25" s="40" t="str">
        <f t="shared" si="140"/>
        <v/>
      </c>
      <c r="LY25" s="40" t="str">
        <f t="shared" si="141"/>
        <v/>
      </c>
      <c r="LZ25" s="40" t="str">
        <f t="shared" si="142"/>
        <v/>
      </c>
      <c r="MA25" s="40" t="str">
        <f t="shared" si="143"/>
        <v/>
      </c>
      <c r="MB25" s="40" t="str">
        <f t="shared" si="144"/>
        <v/>
      </c>
      <c r="MC25" s="40" t="str">
        <f t="shared" si="145"/>
        <v/>
      </c>
      <c r="MD25" s="40" t="str">
        <f t="shared" si="146"/>
        <v/>
      </c>
      <c r="ME25" s="40" t="str">
        <f t="shared" si="147"/>
        <v/>
      </c>
      <c r="MF25" s="18"/>
      <c r="MG25" s="18"/>
      <c r="MH25" s="18"/>
      <c r="MI25" s="18"/>
      <c r="MJ25" s="18"/>
      <c r="MK25" s="18"/>
      <c r="ML25" s="18"/>
      <c r="MM25" s="18"/>
      <c r="MN25" s="18"/>
      <c r="MO25" s="18"/>
      <c r="MP25" s="18"/>
      <c r="MQ25" s="18"/>
      <c r="MR25" s="18"/>
      <c r="MS25" s="18"/>
      <c r="MT25" s="18"/>
      <c r="MU25" s="18"/>
      <c r="MV25" s="18"/>
      <c r="MW25" s="18"/>
      <c r="MX25" s="18"/>
      <c r="MY25" s="18"/>
      <c r="MZ25" s="11" t="str">
        <f t="shared" si="148"/>
        <v/>
      </c>
      <c r="NA25" s="11" t="str">
        <f t="shared" si="149"/>
        <v/>
      </c>
      <c r="NB25" s="11" t="str">
        <f t="shared" si="150"/>
        <v/>
      </c>
      <c r="NC25" s="11" t="str">
        <f t="shared" si="151"/>
        <v/>
      </c>
      <c r="ND25" s="11" t="str">
        <f t="shared" si="152"/>
        <v/>
      </c>
      <c r="NE25" s="11" t="str">
        <f t="shared" si="153"/>
        <v/>
      </c>
      <c r="NF25" s="11" t="str">
        <f t="shared" si="154"/>
        <v/>
      </c>
      <c r="NG25" s="11" t="str">
        <f t="shared" si="155"/>
        <v/>
      </c>
      <c r="NH25" s="11" t="str">
        <f t="shared" si="156"/>
        <v/>
      </c>
      <c r="NI25" s="11" t="str">
        <f t="shared" si="157"/>
        <v/>
      </c>
      <c r="NJ25" s="11" t="str">
        <f t="shared" si="158"/>
        <v/>
      </c>
      <c r="NK25" s="11" t="str">
        <f t="shared" si="159"/>
        <v/>
      </c>
      <c r="NL25" s="11" t="str">
        <f t="shared" si="160"/>
        <v/>
      </c>
      <c r="NM25" s="11" t="str">
        <f t="shared" si="161"/>
        <v/>
      </c>
      <c r="NN25" s="17"/>
      <c r="NO25" s="17"/>
      <c r="NP25" s="17"/>
      <c r="NQ25" s="17"/>
      <c r="NR25" s="17"/>
      <c r="NS25" s="17"/>
      <c r="NT25" s="17"/>
      <c r="NU25" s="17"/>
      <c r="NV25" s="17"/>
      <c r="NW25" s="17"/>
      <c r="NX25" s="17"/>
      <c r="NY25" s="17"/>
      <c r="NZ25" s="17"/>
      <c r="OA25" s="17"/>
      <c r="OB25" s="17"/>
      <c r="OC25" s="17"/>
      <c r="OD25" s="17"/>
      <c r="OE25" s="17"/>
      <c r="OF25" s="17"/>
      <c r="OG25" s="17"/>
      <c r="OH25" s="40" t="str">
        <f t="shared" si="162"/>
        <v/>
      </c>
      <c r="OI25" s="40" t="str">
        <f t="shared" si="163"/>
        <v/>
      </c>
      <c r="OJ25" s="40" t="str">
        <f t="shared" si="164"/>
        <v/>
      </c>
      <c r="OK25" s="40" t="str">
        <f t="shared" si="165"/>
        <v/>
      </c>
      <c r="OL25" s="40" t="str">
        <f t="shared" si="166"/>
        <v/>
      </c>
      <c r="OM25" s="40" t="str">
        <f t="shared" si="167"/>
        <v/>
      </c>
      <c r="ON25" s="40" t="str">
        <f t="shared" si="168"/>
        <v/>
      </c>
      <c r="OO25" s="40" t="str">
        <f t="shared" si="169"/>
        <v/>
      </c>
      <c r="OP25" s="40" t="str">
        <f t="shared" si="170"/>
        <v/>
      </c>
      <c r="OQ25" s="40" t="str">
        <f t="shared" si="171"/>
        <v/>
      </c>
      <c r="OR25" s="40" t="str">
        <f t="shared" si="172"/>
        <v/>
      </c>
      <c r="OS25" s="40" t="str">
        <f t="shared" si="173"/>
        <v/>
      </c>
      <c r="OT25" s="40" t="str">
        <f t="shared" si="174"/>
        <v/>
      </c>
      <c r="OU25" s="40" t="str">
        <f t="shared" si="175"/>
        <v/>
      </c>
      <c r="OV25" s="18"/>
      <c r="OW25" s="18"/>
      <c r="OX25" s="18"/>
      <c r="OY25" s="18"/>
      <c r="OZ25" s="18"/>
      <c r="PA25" s="18"/>
      <c r="PB25" s="18"/>
      <c r="PC25" s="18"/>
      <c r="PD25" s="18"/>
      <c r="PE25" s="18"/>
      <c r="PF25" s="18"/>
      <c r="PG25" s="18"/>
      <c r="PH25" s="18"/>
      <c r="PI25" s="18"/>
      <c r="PJ25" s="18"/>
      <c r="PK25" s="18"/>
      <c r="PL25" s="18"/>
      <c r="PM25" s="18"/>
      <c r="PN25" s="18"/>
      <c r="PO25" s="18"/>
      <c r="PP25" s="11" t="str">
        <f t="shared" si="176"/>
        <v/>
      </c>
      <c r="PQ25" s="11" t="str">
        <f t="shared" si="177"/>
        <v/>
      </c>
      <c r="PR25" s="11" t="str">
        <f t="shared" si="178"/>
        <v/>
      </c>
      <c r="PS25" s="11" t="str">
        <f t="shared" si="179"/>
        <v/>
      </c>
      <c r="PT25" s="11" t="str">
        <f t="shared" si="180"/>
        <v/>
      </c>
      <c r="PU25" s="11" t="str">
        <f t="shared" si="181"/>
        <v/>
      </c>
      <c r="PV25" s="11" t="str">
        <f t="shared" si="182"/>
        <v/>
      </c>
      <c r="PW25" s="11" t="str">
        <f t="shared" si="183"/>
        <v/>
      </c>
      <c r="PX25" s="11" t="str">
        <f t="shared" si="184"/>
        <v/>
      </c>
      <c r="PY25" s="11" t="str">
        <f t="shared" si="185"/>
        <v/>
      </c>
      <c r="PZ25" s="11" t="str">
        <f t="shared" si="186"/>
        <v/>
      </c>
      <c r="QA25" s="11" t="str">
        <f t="shared" si="187"/>
        <v/>
      </c>
      <c r="QB25" s="11" t="str">
        <f t="shared" si="188"/>
        <v/>
      </c>
      <c r="QC25" s="11" t="str">
        <f t="shared" si="189"/>
        <v/>
      </c>
      <c r="QD25" s="17"/>
      <c r="QE25" s="17"/>
      <c r="QF25" s="17"/>
      <c r="QG25" s="17"/>
      <c r="QH25" s="17"/>
      <c r="QI25" s="17"/>
      <c r="QJ25" s="17"/>
      <c r="QK25" s="17"/>
      <c r="QL25" s="17"/>
      <c r="QM25" s="17"/>
      <c r="QN25" s="17"/>
      <c r="QO25" s="17"/>
      <c r="QP25" s="17"/>
      <c r="QQ25" s="17"/>
      <c r="QR25" s="17"/>
      <c r="QS25" s="17"/>
      <c r="QT25" s="17"/>
      <c r="QU25" s="17"/>
      <c r="QV25" s="17"/>
      <c r="QW25" s="17"/>
      <c r="QX25" s="40" t="str">
        <f t="shared" si="190"/>
        <v/>
      </c>
      <c r="QY25" s="40" t="str">
        <f t="shared" si="191"/>
        <v/>
      </c>
      <c r="QZ25" s="40" t="str">
        <f t="shared" si="192"/>
        <v/>
      </c>
      <c r="RA25" s="40" t="str">
        <f t="shared" si="193"/>
        <v/>
      </c>
      <c r="RB25" s="40" t="str">
        <f t="shared" si="194"/>
        <v/>
      </c>
      <c r="RC25" s="40" t="str">
        <f t="shared" si="195"/>
        <v/>
      </c>
      <c r="RD25" s="40" t="str">
        <f t="shared" si="196"/>
        <v/>
      </c>
      <c r="RE25" s="40" t="str">
        <f t="shared" si="197"/>
        <v/>
      </c>
      <c r="RF25" s="40" t="str">
        <f t="shared" si="198"/>
        <v/>
      </c>
      <c r="RG25" s="40" t="str">
        <f t="shared" si="199"/>
        <v/>
      </c>
      <c r="RH25" s="40" t="str">
        <f t="shared" si="200"/>
        <v/>
      </c>
      <c r="RI25" s="40" t="str">
        <f t="shared" si="201"/>
        <v/>
      </c>
      <c r="RJ25" s="40" t="str">
        <f t="shared" si="202"/>
        <v/>
      </c>
      <c r="RK25" s="40" t="str">
        <f t="shared" si="203"/>
        <v/>
      </c>
      <c r="RL25" s="18"/>
      <c r="RM25" s="18"/>
      <c r="RN25" s="18"/>
      <c r="RO25" s="18"/>
      <c r="RP25" s="18"/>
      <c r="RQ25" s="18"/>
      <c r="RR25" s="18"/>
      <c r="RS25" s="18"/>
      <c r="RT25" s="18"/>
      <c r="RU25" s="18"/>
      <c r="RV25" s="18"/>
      <c r="RW25" s="18"/>
      <c r="RX25" s="18"/>
      <c r="RY25" s="18"/>
      <c r="RZ25" s="18"/>
      <c r="SA25" s="18"/>
      <c r="SB25" s="18"/>
      <c r="SC25" s="18"/>
      <c r="SD25" s="18"/>
      <c r="SE25" s="18"/>
      <c r="SF25" s="11" t="str">
        <f t="shared" si="204"/>
        <v/>
      </c>
      <c r="SG25" s="11" t="str">
        <f t="shared" si="205"/>
        <v/>
      </c>
      <c r="SH25" s="11" t="str">
        <f t="shared" si="206"/>
        <v/>
      </c>
      <c r="SI25" s="11" t="str">
        <f t="shared" si="207"/>
        <v/>
      </c>
      <c r="SJ25" s="11" t="str">
        <f t="shared" si="208"/>
        <v/>
      </c>
      <c r="SK25" s="11" t="str">
        <f t="shared" si="209"/>
        <v/>
      </c>
      <c r="SL25" s="11" t="str">
        <f t="shared" si="210"/>
        <v/>
      </c>
      <c r="SM25" s="11" t="str">
        <f t="shared" si="211"/>
        <v/>
      </c>
      <c r="SN25" s="11" t="str">
        <f t="shared" si="212"/>
        <v/>
      </c>
      <c r="SO25" s="11" t="str">
        <f t="shared" si="213"/>
        <v/>
      </c>
      <c r="SP25" s="11" t="str">
        <f t="shared" si="214"/>
        <v/>
      </c>
      <c r="SQ25" s="11" t="str">
        <f t="shared" si="215"/>
        <v/>
      </c>
      <c r="SR25" s="11" t="str">
        <f t="shared" si="216"/>
        <v/>
      </c>
      <c r="SS25" s="11" t="str">
        <f t="shared" si="217"/>
        <v/>
      </c>
      <c r="ST25" s="22">
        <f t="shared" si="218"/>
        <v>0</v>
      </c>
      <c r="SU25" s="22">
        <f t="shared" si="219"/>
        <v>0</v>
      </c>
      <c r="SV25" s="22">
        <f t="shared" si="220"/>
        <v>0</v>
      </c>
      <c r="SW25" s="22">
        <f t="shared" si="221"/>
        <v>0</v>
      </c>
      <c r="SX25" s="22">
        <f t="shared" si="222"/>
        <v>0</v>
      </c>
      <c r="SY25" s="22">
        <f t="shared" si="223"/>
        <v>0</v>
      </c>
      <c r="SZ25" s="22">
        <f t="shared" si="224"/>
        <v>0</v>
      </c>
      <c r="TA25" s="22">
        <f t="shared" si="225"/>
        <v>0</v>
      </c>
      <c r="TB25" s="22">
        <f t="shared" si="226"/>
        <v>0</v>
      </c>
      <c r="TC25" s="22">
        <f t="shared" si="227"/>
        <v>0</v>
      </c>
      <c r="TD25" s="22">
        <f t="shared" si="228"/>
        <v>0</v>
      </c>
      <c r="TE25" s="22">
        <f t="shared" si="229"/>
        <v>0</v>
      </c>
      <c r="TF25" s="22">
        <f t="shared" si="230"/>
        <v>0</v>
      </c>
      <c r="TG25" s="22">
        <f t="shared" si="231"/>
        <v>0</v>
      </c>
      <c r="TH25" s="22">
        <f t="shared" si="232"/>
        <v>0</v>
      </c>
      <c r="TI25" s="27" t="s">
        <v>46</v>
      </c>
      <c r="TJ25" s="40" t="str">
        <f t="shared" si="233"/>
        <v/>
      </c>
      <c r="TK25" s="40" t="str">
        <f t="shared" si="234"/>
        <v/>
      </c>
      <c r="TL25" s="40" t="str">
        <f t="shared" si="235"/>
        <v/>
      </c>
      <c r="TM25" s="40" t="str">
        <f t="shared" si="236"/>
        <v/>
      </c>
      <c r="TN25" s="40" t="str">
        <f t="shared" si="237"/>
        <v/>
      </c>
      <c r="TO25" s="40" t="str">
        <f t="shared" si="238"/>
        <v/>
      </c>
      <c r="TP25" s="40" t="str">
        <f t="shared" si="239"/>
        <v/>
      </c>
      <c r="TQ25" s="40" t="str">
        <f t="shared" si="240"/>
        <v/>
      </c>
      <c r="TR25" s="40" t="str">
        <f t="shared" si="241"/>
        <v/>
      </c>
      <c r="TS25" s="40" t="str">
        <f t="shared" si="242"/>
        <v/>
      </c>
      <c r="TT25" s="40" t="str">
        <f t="shared" si="243"/>
        <v/>
      </c>
    </row>
    <row r="26" spans="1:540" x14ac:dyDescent="0.2">
      <c r="A26" s="4" t="str" cm="1">
        <f t="array" ref="A26">IF(AND(F26&lt;&gt;"",G26&lt;&gt;""),SUMPRODUCT((F$4:F$35&lt;&gt;"")*(G$4:G$35&lt;&gt;"")*(E$4:E$35&gt;E26))+1,IF(G26&lt;&gt;"",SUMPRODUCT((H$4:H$35="No DD")*(E$4:E$35&gt;E26))+1+SUMPRODUCT((F$4:F$35&lt;&gt;"")*(G$4:G$35&lt;&gt;"")),""))</f>
        <v/>
      </c>
      <c r="B26" s="5" t="s">
        <v>149</v>
      </c>
      <c r="C26" s="4" t="s">
        <v>5</v>
      </c>
      <c r="D26" s="4">
        <v>2005</v>
      </c>
      <c r="E26" s="9">
        <f t="shared" si="0"/>
        <v>100.70001007000472</v>
      </c>
      <c r="F26" s="3" t="str">
        <f t="shared" si="1"/>
        <v/>
      </c>
      <c r="G26" s="3" t="str">
        <f t="shared" si="2"/>
        <v/>
      </c>
      <c r="H26" s="36" t="str">
        <f t="shared" si="3"/>
        <v/>
      </c>
      <c r="I26" s="3" t="str">
        <f t="shared" si="4"/>
        <v/>
      </c>
      <c r="J26" s="8">
        <f>IF(COUNT(AO26,AR26,BP26,BS26,CQ26,CT26)&gt;0,LARGE((AO26,AR26,BP26,BS26,CQ26,CT26),1),0)</f>
        <v>47.16</v>
      </c>
      <c r="K26" s="8" t="str">
        <f t="shared" si="5"/>
        <v>2023 Elite Canada</v>
      </c>
      <c r="L26" s="8">
        <f>IF(COUNT(AO26,AR26,BP26,BS26,CQ26,CT26)&gt;1,LARGE((AO26,AR26,BP26,BS26,CQ26,CT26),2),0)</f>
        <v>25.18</v>
      </c>
      <c r="M26" s="8" t="str">
        <f t="shared" si="6"/>
        <v>2023 Elite Canada</v>
      </c>
      <c r="N26" s="8">
        <f>IF(COUNT(AO26,AR26,BP26,BS26,CQ26,CT26)&gt;2,MAX(AV26,BW26,CX26,LARGE((AO26,AR26,BP26,BS26,CQ26,CT26),3)),IF(MAX(AV26,BW26,CX26)&gt;0,MAX(AV26,BW26,CX26),0))</f>
        <v>0</v>
      </c>
      <c r="O26" s="8" t="str">
        <f t="shared" si="7"/>
        <v/>
      </c>
      <c r="P26" s="8">
        <f t="shared" si="8"/>
        <v>13.5</v>
      </c>
      <c r="Q26" s="8" t="str">
        <f t="shared" si="9"/>
        <v>2023 Elite Canada</v>
      </c>
      <c r="R26" s="8">
        <f t="shared" si="10"/>
        <v>14.86</v>
      </c>
      <c r="S26" s="8" t="str">
        <f t="shared" si="11"/>
        <v>2023 Elite Canada</v>
      </c>
      <c r="T26" s="8" t="str">
        <f t="shared" si="12"/>
        <v/>
      </c>
      <c r="U26" s="11" t="str">
        <f t="shared" si="13"/>
        <v/>
      </c>
      <c r="V26" s="8" t="str">
        <f t="shared" si="14"/>
        <v/>
      </c>
      <c r="W26" s="22"/>
      <c r="X26" s="22"/>
      <c r="Y26" s="22"/>
      <c r="Z26" s="22"/>
      <c r="AA26" s="22"/>
      <c r="AB26" s="22"/>
      <c r="AC26" s="22"/>
      <c r="AD26" s="22"/>
      <c r="AE26" s="22"/>
      <c r="AF26" s="22"/>
      <c r="AG26" s="22"/>
      <c r="AH26" s="22"/>
      <c r="AI26" s="22"/>
      <c r="AJ26" s="22"/>
      <c r="AK26" s="22"/>
      <c r="AL26" s="27"/>
      <c r="AM26" s="38" t="str">
        <f t="shared" si="15"/>
        <v/>
      </c>
      <c r="AN26" s="38" t="str">
        <f t="shared" si="16"/>
        <v/>
      </c>
      <c r="AO26" s="40" t="str">
        <f t="shared" si="17"/>
        <v/>
      </c>
      <c r="AP26" s="40" t="str">
        <f t="shared" si="18"/>
        <v/>
      </c>
      <c r="AQ26" s="40" t="str">
        <f t="shared" si="19"/>
        <v/>
      </c>
      <c r="AR26" s="40" t="str">
        <f t="shared" si="20"/>
        <v/>
      </c>
      <c r="AS26" s="40" t="str">
        <f t="shared" si="21"/>
        <v/>
      </c>
      <c r="AT26" s="40" t="str">
        <f t="shared" si="22"/>
        <v/>
      </c>
      <c r="AU26" s="40" t="str">
        <f t="shared" si="23"/>
        <v/>
      </c>
      <c r="AV26" s="40" t="str">
        <f t="shared" si="24"/>
        <v/>
      </c>
      <c r="AW26" s="40" t="str">
        <f t="shared" si="25"/>
        <v/>
      </c>
      <c r="AX26" s="26"/>
      <c r="AY26" s="26"/>
      <c r="AZ26" s="26"/>
      <c r="BA26" s="26"/>
      <c r="BB26" s="26"/>
      <c r="BC26" s="26"/>
      <c r="BD26" s="26"/>
      <c r="BE26" s="26"/>
      <c r="BF26" s="26"/>
      <c r="BG26" s="26"/>
      <c r="BH26" s="26"/>
      <c r="BI26" s="26"/>
      <c r="BJ26" s="26"/>
      <c r="BK26" s="26"/>
      <c r="BL26" s="26"/>
      <c r="BM26" s="28"/>
      <c r="BN26" s="39" t="str">
        <f t="shared" si="26"/>
        <v/>
      </c>
      <c r="BO26" s="39" t="str">
        <f t="shared" si="27"/>
        <v/>
      </c>
      <c r="BP26" s="11" t="str">
        <f t="shared" si="28"/>
        <v/>
      </c>
      <c r="BQ26" s="11" t="str">
        <f t="shared" si="29"/>
        <v/>
      </c>
      <c r="BR26" s="11" t="str">
        <f t="shared" si="30"/>
        <v/>
      </c>
      <c r="BS26" s="11" t="str">
        <f t="shared" si="31"/>
        <v/>
      </c>
      <c r="BT26" s="11" t="str">
        <f t="shared" si="32"/>
        <v/>
      </c>
      <c r="BU26" s="11" t="str">
        <f t="shared" si="33"/>
        <v/>
      </c>
      <c r="BV26" s="11" t="str">
        <f t="shared" si="34"/>
        <v/>
      </c>
      <c r="BW26" s="11" t="str">
        <f t="shared" si="35"/>
        <v/>
      </c>
      <c r="BX26" s="11" t="str">
        <f t="shared" si="36"/>
        <v/>
      </c>
      <c r="BY26" s="22">
        <v>5.9</v>
      </c>
      <c r="BZ26" s="22">
        <v>4.4000000000000004</v>
      </c>
      <c r="CA26" s="22">
        <v>7.3</v>
      </c>
      <c r="CB26" s="22">
        <v>7.58</v>
      </c>
      <c r="CC26" s="22">
        <v>0</v>
      </c>
      <c r="CD26" s="22">
        <v>9.6999999999999993</v>
      </c>
      <c r="CE26" s="22">
        <v>9.1</v>
      </c>
      <c r="CF26" s="22">
        <v>13.5</v>
      </c>
      <c r="CG26" s="22">
        <v>14.86</v>
      </c>
      <c r="CH26" s="22">
        <v>0</v>
      </c>
      <c r="CI26" s="22"/>
      <c r="CJ26" s="22"/>
      <c r="CK26" s="22"/>
      <c r="CL26" s="22"/>
      <c r="CM26" s="22"/>
      <c r="CN26" s="27"/>
      <c r="CO26" s="38">
        <f t="shared" si="37"/>
        <v>7.3</v>
      </c>
      <c r="CP26" s="38">
        <f t="shared" si="38"/>
        <v>7.58</v>
      </c>
      <c r="CQ26" s="40">
        <f t="shared" si="39"/>
        <v>25.18</v>
      </c>
      <c r="CR26" s="40">
        <f t="shared" si="40"/>
        <v>13.5</v>
      </c>
      <c r="CS26" s="40">
        <f t="shared" si="41"/>
        <v>14.86</v>
      </c>
      <c r="CT26" s="40">
        <f t="shared" si="42"/>
        <v>47.16</v>
      </c>
      <c r="CU26" s="40">
        <f t="shared" si="43"/>
        <v>47.16</v>
      </c>
      <c r="CV26" s="40" t="str">
        <f t="shared" si="44"/>
        <v/>
      </c>
      <c r="CW26" s="40" t="str">
        <f t="shared" si="45"/>
        <v/>
      </c>
      <c r="CX26" s="40" t="str">
        <f t="shared" si="46"/>
        <v/>
      </c>
      <c r="CY26" s="40">
        <f t="shared" si="47"/>
        <v>47.16</v>
      </c>
      <c r="CZ26" s="50" t="str">
        <f t="shared" si="48"/>
        <v/>
      </c>
      <c r="DA26" s="50" t="str">
        <f t="shared" si="49"/>
        <v/>
      </c>
      <c r="DB26" s="17"/>
      <c r="DC26" s="17"/>
      <c r="DD26" s="17"/>
      <c r="DE26" s="17"/>
      <c r="DF26" s="17"/>
      <c r="DG26" s="17"/>
      <c r="DH26" s="17"/>
      <c r="DI26" s="17"/>
      <c r="DJ26" s="17"/>
      <c r="DK26" s="17"/>
      <c r="DL26" s="17"/>
      <c r="DM26" s="17"/>
      <c r="DN26" s="17"/>
      <c r="DO26" s="17"/>
      <c r="DP26" s="17"/>
      <c r="DQ26" s="17"/>
      <c r="DR26" s="17"/>
      <c r="DS26" s="17"/>
      <c r="DT26" s="17"/>
      <c r="DU26" s="17"/>
      <c r="DV26" s="40" t="str">
        <f t="shared" si="50"/>
        <v/>
      </c>
      <c r="DW26" s="40" t="str">
        <f t="shared" si="51"/>
        <v/>
      </c>
      <c r="DX26" s="40" t="str">
        <f t="shared" si="52"/>
        <v/>
      </c>
      <c r="DY26" s="40" t="str">
        <f t="shared" si="53"/>
        <v/>
      </c>
      <c r="DZ26" s="40" t="str">
        <f t="shared" si="54"/>
        <v/>
      </c>
      <c r="EA26" s="40" t="str">
        <f t="shared" si="55"/>
        <v/>
      </c>
      <c r="EB26" s="40" t="str">
        <f t="shared" si="56"/>
        <v/>
      </c>
      <c r="EC26" s="40" t="str">
        <f t="shared" si="57"/>
        <v/>
      </c>
      <c r="ED26" s="40" t="str">
        <f t="shared" si="58"/>
        <v/>
      </c>
      <c r="EE26" s="40" t="str">
        <f t="shared" si="59"/>
        <v/>
      </c>
      <c r="EF26" s="40" t="str">
        <f t="shared" si="60"/>
        <v/>
      </c>
      <c r="EG26" s="40" t="str">
        <f t="shared" si="61"/>
        <v/>
      </c>
      <c r="EH26" s="40" t="str">
        <f t="shared" si="62"/>
        <v/>
      </c>
      <c r="EI26" s="40" t="str">
        <f t="shared" si="63"/>
        <v/>
      </c>
      <c r="EJ26" s="18"/>
      <c r="EK26" s="18"/>
      <c r="EL26" s="18"/>
      <c r="EM26" s="18"/>
      <c r="EN26" s="18"/>
      <c r="EO26" s="18"/>
      <c r="EP26" s="18"/>
      <c r="EQ26" s="18"/>
      <c r="ER26" s="18"/>
      <c r="ES26" s="18"/>
      <c r="ET26" s="18"/>
      <c r="EU26" s="18"/>
      <c r="EV26" s="18"/>
      <c r="EW26" s="18"/>
      <c r="EX26" s="18"/>
      <c r="EY26" s="18"/>
      <c r="EZ26" s="18"/>
      <c r="FA26" s="18"/>
      <c r="FB26" s="18"/>
      <c r="FC26" s="18"/>
      <c r="FD26" s="11" t="str">
        <f t="shared" si="64"/>
        <v/>
      </c>
      <c r="FE26" s="11" t="str">
        <f t="shared" si="65"/>
        <v/>
      </c>
      <c r="FF26" s="11" t="str">
        <f t="shared" si="66"/>
        <v/>
      </c>
      <c r="FG26" s="11" t="str">
        <f t="shared" si="67"/>
        <v/>
      </c>
      <c r="FH26" s="11" t="str">
        <f t="shared" si="68"/>
        <v/>
      </c>
      <c r="FI26" s="11" t="str">
        <f t="shared" si="69"/>
        <v/>
      </c>
      <c r="FJ26" s="11" t="str">
        <f t="shared" si="70"/>
        <v/>
      </c>
      <c r="FK26" s="11" t="str">
        <f t="shared" si="71"/>
        <v/>
      </c>
      <c r="FL26" s="11" t="str">
        <f t="shared" si="72"/>
        <v/>
      </c>
      <c r="FM26" s="11" t="str">
        <f t="shared" si="73"/>
        <v/>
      </c>
      <c r="FN26" s="11" t="str">
        <f t="shared" si="74"/>
        <v/>
      </c>
      <c r="FO26" s="11" t="str">
        <f t="shared" si="75"/>
        <v/>
      </c>
      <c r="FP26" s="11" t="str">
        <f t="shared" si="76"/>
        <v/>
      </c>
      <c r="FQ26" s="11" t="str">
        <f t="shared" si="77"/>
        <v/>
      </c>
      <c r="FR26" s="17"/>
      <c r="FS26" s="17"/>
      <c r="FT26" s="17"/>
      <c r="FU26" s="17"/>
      <c r="FV26" s="17"/>
      <c r="FW26" s="17"/>
      <c r="FX26" s="17"/>
      <c r="FY26" s="17"/>
      <c r="FZ26" s="17"/>
      <c r="GA26" s="17"/>
      <c r="GB26" s="17"/>
      <c r="GC26" s="17"/>
      <c r="GD26" s="17"/>
      <c r="GE26" s="17"/>
      <c r="GF26" s="17"/>
      <c r="GG26" s="17"/>
      <c r="GH26" s="17"/>
      <c r="GI26" s="17"/>
      <c r="GJ26" s="17"/>
      <c r="GK26" s="17"/>
      <c r="GL26" s="40" t="str">
        <f t="shared" si="78"/>
        <v/>
      </c>
      <c r="GM26" s="40" t="str">
        <f t="shared" si="79"/>
        <v/>
      </c>
      <c r="GN26" s="40" t="str">
        <f t="shared" si="80"/>
        <v/>
      </c>
      <c r="GO26" s="40" t="str">
        <f t="shared" si="81"/>
        <v/>
      </c>
      <c r="GP26" s="40" t="str">
        <f t="shared" si="82"/>
        <v/>
      </c>
      <c r="GQ26" s="40" t="str">
        <f t="shared" si="83"/>
        <v/>
      </c>
      <c r="GR26" s="40" t="str">
        <f t="shared" si="84"/>
        <v/>
      </c>
      <c r="GS26" s="40" t="str">
        <f t="shared" si="85"/>
        <v/>
      </c>
      <c r="GT26" s="40" t="str">
        <f t="shared" si="86"/>
        <v/>
      </c>
      <c r="GU26" s="40" t="str">
        <f t="shared" si="87"/>
        <v/>
      </c>
      <c r="GV26" s="40" t="str">
        <f t="shared" si="88"/>
        <v/>
      </c>
      <c r="GW26" s="40" t="str">
        <f t="shared" si="89"/>
        <v/>
      </c>
      <c r="GX26" s="40" t="str">
        <f t="shared" si="90"/>
        <v/>
      </c>
      <c r="GY26" s="40" t="str">
        <f t="shared" si="91"/>
        <v/>
      </c>
      <c r="GZ26" s="18"/>
      <c r="HA26" s="18"/>
      <c r="HB26" s="18"/>
      <c r="HC26" s="18"/>
      <c r="HD26" s="18"/>
      <c r="HE26" s="18"/>
      <c r="HF26" s="18"/>
      <c r="HG26" s="18"/>
      <c r="HH26" s="18"/>
      <c r="HI26" s="18"/>
      <c r="HJ26" s="18"/>
      <c r="HK26" s="18"/>
      <c r="HL26" s="18"/>
      <c r="HM26" s="18"/>
      <c r="HN26" s="18"/>
      <c r="HO26" s="18"/>
      <c r="HP26" s="18"/>
      <c r="HQ26" s="18"/>
      <c r="HR26" s="18"/>
      <c r="HS26" s="18"/>
      <c r="HT26" s="11" t="str">
        <f t="shared" si="92"/>
        <v/>
      </c>
      <c r="HU26" s="11" t="str">
        <f t="shared" si="93"/>
        <v/>
      </c>
      <c r="HV26" s="11" t="str">
        <f t="shared" si="94"/>
        <v/>
      </c>
      <c r="HW26" s="11" t="str">
        <f t="shared" si="95"/>
        <v/>
      </c>
      <c r="HX26" s="11" t="str">
        <f t="shared" si="96"/>
        <v/>
      </c>
      <c r="HY26" s="11" t="str">
        <f t="shared" si="97"/>
        <v/>
      </c>
      <c r="HZ26" s="11" t="str">
        <f t="shared" si="98"/>
        <v/>
      </c>
      <c r="IA26" s="11" t="str">
        <f t="shared" si="99"/>
        <v/>
      </c>
      <c r="IB26" s="11" t="str">
        <f t="shared" si="100"/>
        <v/>
      </c>
      <c r="IC26" s="11" t="str">
        <f t="shared" si="101"/>
        <v/>
      </c>
      <c r="ID26" s="11" t="str">
        <f t="shared" si="102"/>
        <v/>
      </c>
      <c r="IE26" s="11" t="str">
        <f t="shared" si="103"/>
        <v/>
      </c>
      <c r="IF26" s="11" t="str">
        <f t="shared" si="104"/>
        <v/>
      </c>
      <c r="IG26" s="11" t="str">
        <f t="shared" si="105"/>
        <v/>
      </c>
      <c r="IH26" s="17"/>
      <c r="II26" s="17"/>
      <c r="IJ26" s="17"/>
      <c r="IK26" s="17"/>
      <c r="IL26" s="17"/>
      <c r="IM26" s="17"/>
      <c r="IN26" s="17"/>
      <c r="IO26" s="17"/>
      <c r="IP26" s="17"/>
      <c r="IQ26" s="17"/>
      <c r="IR26" s="17"/>
      <c r="IS26" s="17"/>
      <c r="IT26" s="17"/>
      <c r="IU26" s="17"/>
      <c r="IV26" s="17"/>
      <c r="IW26" s="17"/>
      <c r="IX26" s="17"/>
      <c r="IY26" s="17"/>
      <c r="IZ26" s="17"/>
      <c r="JA26" s="17"/>
      <c r="JB26" s="40" t="str">
        <f t="shared" si="106"/>
        <v/>
      </c>
      <c r="JC26" s="40" t="str">
        <f t="shared" si="107"/>
        <v/>
      </c>
      <c r="JD26" s="40" t="str">
        <f t="shared" si="108"/>
        <v/>
      </c>
      <c r="JE26" s="40" t="str">
        <f t="shared" si="109"/>
        <v/>
      </c>
      <c r="JF26" s="40" t="str">
        <f t="shared" si="110"/>
        <v/>
      </c>
      <c r="JG26" s="40" t="str">
        <f t="shared" si="111"/>
        <v/>
      </c>
      <c r="JH26" s="40" t="str">
        <f t="shared" si="112"/>
        <v/>
      </c>
      <c r="JI26" s="40" t="str">
        <f t="shared" si="113"/>
        <v/>
      </c>
      <c r="JJ26" s="40" t="str">
        <f t="shared" si="114"/>
        <v/>
      </c>
      <c r="JK26" s="40" t="str">
        <f t="shared" si="115"/>
        <v/>
      </c>
      <c r="JL26" s="40" t="str">
        <f t="shared" si="116"/>
        <v/>
      </c>
      <c r="JM26" s="40" t="str">
        <f t="shared" si="117"/>
        <v/>
      </c>
      <c r="JN26" s="40" t="str">
        <f t="shared" si="118"/>
        <v/>
      </c>
      <c r="JO26" s="40" t="str">
        <f t="shared" si="119"/>
        <v/>
      </c>
      <c r="JP26" s="18"/>
      <c r="JQ26" s="18"/>
      <c r="JR26" s="18"/>
      <c r="JS26" s="18"/>
      <c r="JT26" s="18"/>
      <c r="JU26" s="18"/>
      <c r="JV26" s="18"/>
      <c r="JW26" s="18"/>
      <c r="JX26" s="18"/>
      <c r="JY26" s="18"/>
      <c r="JZ26" s="18"/>
      <c r="KA26" s="18"/>
      <c r="KB26" s="18"/>
      <c r="KC26" s="18"/>
      <c r="KD26" s="18"/>
      <c r="KE26" s="18"/>
      <c r="KF26" s="18"/>
      <c r="KG26" s="18"/>
      <c r="KH26" s="18"/>
      <c r="KI26" s="18"/>
      <c r="KJ26" s="11" t="str">
        <f t="shared" si="120"/>
        <v/>
      </c>
      <c r="KK26" s="11" t="str">
        <f t="shared" si="121"/>
        <v/>
      </c>
      <c r="KL26" s="11" t="str">
        <f t="shared" si="122"/>
        <v/>
      </c>
      <c r="KM26" s="11" t="str">
        <f t="shared" si="123"/>
        <v/>
      </c>
      <c r="KN26" s="11" t="str">
        <f t="shared" si="124"/>
        <v/>
      </c>
      <c r="KO26" s="11" t="str">
        <f t="shared" si="125"/>
        <v/>
      </c>
      <c r="KP26" s="11" t="str">
        <f t="shared" si="126"/>
        <v/>
      </c>
      <c r="KQ26" s="11" t="str">
        <f t="shared" si="127"/>
        <v/>
      </c>
      <c r="KR26" s="11" t="str">
        <f t="shared" si="128"/>
        <v/>
      </c>
      <c r="KS26" s="11" t="str">
        <f t="shared" si="129"/>
        <v/>
      </c>
      <c r="KT26" s="11" t="str">
        <f t="shared" si="130"/>
        <v/>
      </c>
      <c r="KU26" s="11" t="str">
        <f t="shared" si="131"/>
        <v/>
      </c>
      <c r="KV26" s="11" t="str">
        <f t="shared" si="132"/>
        <v/>
      </c>
      <c r="KW26" s="11" t="str">
        <f t="shared" si="133"/>
        <v/>
      </c>
      <c r="KX26" s="17"/>
      <c r="KY26" s="17"/>
      <c r="KZ26" s="17"/>
      <c r="LA26" s="17"/>
      <c r="LB26" s="17"/>
      <c r="LC26" s="17"/>
      <c r="LD26" s="17"/>
      <c r="LE26" s="17"/>
      <c r="LF26" s="17"/>
      <c r="LG26" s="17"/>
      <c r="LH26" s="17"/>
      <c r="LI26" s="17"/>
      <c r="LJ26" s="17"/>
      <c r="LK26" s="17"/>
      <c r="LL26" s="17"/>
      <c r="LM26" s="17"/>
      <c r="LN26" s="17"/>
      <c r="LO26" s="17"/>
      <c r="LP26" s="17"/>
      <c r="LQ26" s="17"/>
      <c r="LR26" s="40" t="str">
        <f t="shared" si="134"/>
        <v/>
      </c>
      <c r="LS26" s="40" t="str">
        <f t="shared" si="135"/>
        <v/>
      </c>
      <c r="LT26" s="40" t="str">
        <f t="shared" si="136"/>
        <v/>
      </c>
      <c r="LU26" s="40" t="str">
        <f t="shared" si="137"/>
        <v/>
      </c>
      <c r="LV26" s="40" t="str">
        <f t="shared" si="138"/>
        <v/>
      </c>
      <c r="LW26" s="40" t="str">
        <f t="shared" si="139"/>
        <v/>
      </c>
      <c r="LX26" s="40" t="str">
        <f t="shared" si="140"/>
        <v/>
      </c>
      <c r="LY26" s="40" t="str">
        <f t="shared" si="141"/>
        <v/>
      </c>
      <c r="LZ26" s="40" t="str">
        <f t="shared" si="142"/>
        <v/>
      </c>
      <c r="MA26" s="40" t="str">
        <f t="shared" si="143"/>
        <v/>
      </c>
      <c r="MB26" s="40" t="str">
        <f t="shared" si="144"/>
        <v/>
      </c>
      <c r="MC26" s="40" t="str">
        <f t="shared" si="145"/>
        <v/>
      </c>
      <c r="MD26" s="40" t="str">
        <f t="shared" si="146"/>
        <v/>
      </c>
      <c r="ME26" s="40" t="str">
        <f t="shared" si="147"/>
        <v/>
      </c>
      <c r="MF26" s="18"/>
      <c r="MG26" s="18"/>
      <c r="MH26" s="18"/>
      <c r="MI26" s="18"/>
      <c r="MJ26" s="18"/>
      <c r="MK26" s="18"/>
      <c r="ML26" s="18"/>
      <c r="MM26" s="18"/>
      <c r="MN26" s="18"/>
      <c r="MO26" s="18"/>
      <c r="MP26" s="18"/>
      <c r="MQ26" s="18"/>
      <c r="MR26" s="18"/>
      <c r="MS26" s="18"/>
      <c r="MT26" s="18"/>
      <c r="MU26" s="18"/>
      <c r="MV26" s="18"/>
      <c r="MW26" s="18"/>
      <c r="MX26" s="18"/>
      <c r="MY26" s="18"/>
      <c r="MZ26" s="11" t="str">
        <f t="shared" si="148"/>
        <v/>
      </c>
      <c r="NA26" s="11" t="str">
        <f t="shared" si="149"/>
        <v/>
      </c>
      <c r="NB26" s="11" t="str">
        <f t="shared" si="150"/>
        <v/>
      </c>
      <c r="NC26" s="11" t="str">
        <f t="shared" si="151"/>
        <v/>
      </c>
      <c r="ND26" s="11" t="str">
        <f t="shared" si="152"/>
        <v/>
      </c>
      <c r="NE26" s="11" t="str">
        <f t="shared" si="153"/>
        <v/>
      </c>
      <c r="NF26" s="11" t="str">
        <f t="shared" si="154"/>
        <v/>
      </c>
      <c r="NG26" s="11" t="str">
        <f t="shared" si="155"/>
        <v/>
      </c>
      <c r="NH26" s="11" t="str">
        <f t="shared" si="156"/>
        <v/>
      </c>
      <c r="NI26" s="11" t="str">
        <f t="shared" si="157"/>
        <v/>
      </c>
      <c r="NJ26" s="11" t="str">
        <f t="shared" si="158"/>
        <v/>
      </c>
      <c r="NK26" s="11" t="str">
        <f t="shared" si="159"/>
        <v/>
      </c>
      <c r="NL26" s="11" t="str">
        <f t="shared" si="160"/>
        <v/>
      </c>
      <c r="NM26" s="11" t="str">
        <f t="shared" si="161"/>
        <v/>
      </c>
      <c r="NN26" s="17"/>
      <c r="NO26" s="17"/>
      <c r="NP26" s="17"/>
      <c r="NQ26" s="17"/>
      <c r="NR26" s="17"/>
      <c r="NS26" s="17"/>
      <c r="NT26" s="17"/>
      <c r="NU26" s="17"/>
      <c r="NV26" s="17"/>
      <c r="NW26" s="17"/>
      <c r="NX26" s="17"/>
      <c r="NY26" s="17"/>
      <c r="NZ26" s="17"/>
      <c r="OA26" s="17"/>
      <c r="OB26" s="17"/>
      <c r="OC26" s="17"/>
      <c r="OD26" s="17"/>
      <c r="OE26" s="17"/>
      <c r="OF26" s="17"/>
      <c r="OG26" s="17"/>
      <c r="OH26" s="40" t="str">
        <f t="shared" si="162"/>
        <v/>
      </c>
      <c r="OI26" s="40" t="str">
        <f t="shared" si="163"/>
        <v/>
      </c>
      <c r="OJ26" s="40" t="str">
        <f t="shared" si="164"/>
        <v/>
      </c>
      <c r="OK26" s="40" t="str">
        <f t="shared" si="165"/>
        <v/>
      </c>
      <c r="OL26" s="40" t="str">
        <f t="shared" si="166"/>
        <v/>
      </c>
      <c r="OM26" s="40" t="str">
        <f t="shared" si="167"/>
        <v/>
      </c>
      <c r="ON26" s="40" t="str">
        <f t="shared" si="168"/>
        <v/>
      </c>
      <c r="OO26" s="40" t="str">
        <f t="shared" si="169"/>
        <v/>
      </c>
      <c r="OP26" s="40" t="str">
        <f t="shared" si="170"/>
        <v/>
      </c>
      <c r="OQ26" s="40" t="str">
        <f t="shared" si="171"/>
        <v/>
      </c>
      <c r="OR26" s="40" t="str">
        <f t="shared" si="172"/>
        <v/>
      </c>
      <c r="OS26" s="40" t="str">
        <f t="shared" si="173"/>
        <v/>
      </c>
      <c r="OT26" s="40" t="str">
        <f t="shared" si="174"/>
        <v/>
      </c>
      <c r="OU26" s="40" t="str">
        <f t="shared" si="175"/>
        <v/>
      </c>
      <c r="OV26" s="18"/>
      <c r="OW26" s="18"/>
      <c r="OX26" s="18"/>
      <c r="OY26" s="18"/>
      <c r="OZ26" s="18"/>
      <c r="PA26" s="18"/>
      <c r="PB26" s="18"/>
      <c r="PC26" s="18"/>
      <c r="PD26" s="18"/>
      <c r="PE26" s="18"/>
      <c r="PF26" s="18"/>
      <c r="PG26" s="18"/>
      <c r="PH26" s="18"/>
      <c r="PI26" s="18"/>
      <c r="PJ26" s="18"/>
      <c r="PK26" s="18"/>
      <c r="PL26" s="18"/>
      <c r="PM26" s="18"/>
      <c r="PN26" s="18"/>
      <c r="PO26" s="18"/>
      <c r="PP26" s="11" t="str">
        <f t="shared" si="176"/>
        <v/>
      </c>
      <c r="PQ26" s="11" t="str">
        <f t="shared" si="177"/>
        <v/>
      </c>
      <c r="PR26" s="11" t="str">
        <f t="shared" si="178"/>
        <v/>
      </c>
      <c r="PS26" s="11" t="str">
        <f t="shared" si="179"/>
        <v/>
      </c>
      <c r="PT26" s="11" t="str">
        <f t="shared" si="180"/>
        <v/>
      </c>
      <c r="PU26" s="11" t="str">
        <f t="shared" si="181"/>
        <v/>
      </c>
      <c r="PV26" s="11" t="str">
        <f t="shared" si="182"/>
        <v/>
      </c>
      <c r="PW26" s="11" t="str">
        <f t="shared" si="183"/>
        <v/>
      </c>
      <c r="PX26" s="11" t="str">
        <f t="shared" si="184"/>
        <v/>
      </c>
      <c r="PY26" s="11" t="str">
        <f t="shared" si="185"/>
        <v/>
      </c>
      <c r="PZ26" s="11" t="str">
        <f t="shared" si="186"/>
        <v/>
      </c>
      <c r="QA26" s="11" t="str">
        <f t="shared" si="187"/>
        <v/>
      </c>
      <c r="QB26" s="11" t="str">
        <f t="shared" si="188"/>
        <v/>
      </c>
      <c r="QC26" s="11" t="str">
        <f t="shared" si="189"/>
        <v/>
      </c>
      <c r="QD26" s="17"/>
      <c r="QE26" s="17"/>
      <c r="QF26" s="17"/>
      <c r="QG26" s="17"/>
      <c r="QH26" s="17"/>
      <c r="QI26" s="17"/>
      <c r="QJ26" s="17"/>
      <c r="QK26" s="17"/>
      <c r="QL26" s="17"/>
      <c r="QM26" s="17"/>
      <c r="QN26" s="17"/>
      <c r="QO26" s="17"/>
      <c r="QP26" s="17"/>
      <c r="QQ26" s="17"/>
      <c r="QR26" s="17"/>
      <c r="QS26" s="17"/>
      <c r="QT26" s="17"/>
      <c r="QU26" s="17"/>
      <c r="QV26" s="17"/>
      <c r="QW26" s="17"/>
      <c r="QX26" s="40" t="str">
        <f t="shared" si="190"/>
        <v/>
      </c>
      <c r="QY26" s="40" t="str">
        <f t="shared" si="191"/>
        <v/>
      </c>
      <c r="QZ26" s="40" t="str">
        <f t="shared" si="192"/>
        <v/>
      </c>
      <c r="RA26" s="40" t="str">
        <f t="shared" si="193"/>
        <v/>
      </c>
      <c r="RB26" s="40" t="str">
        <f t="shared" si="194"/>
        <v/>
      </c>
      <c r="RC26" s="40" t="str">
        <f t="shared" si="195"/>
        <v/>
      </c>
      <c r="RD26" s="40" t="str">
        <f t="shared" si="196"/>
        <v/>
      </c>
      <c r="RE26" s="40" t="str">
        <f t="shared" si="197"/>
        <v/>
      </c>
      <c r="RF26" s="40" t="str">
        <f t="shared" si="198"/>
        <v/>
      </c>
      <c r="RG26" s="40" t="str">
        <f t="shared" si="199"/>
        <v/>
      </c>
      <c r="RH26" s="40" t="str">
        <f t="shared" si="200"/>
        <v/>
      </c>
      <c r="RI26" s="40" t="str">
        <f t="shared" si="201"/>
        <v/>
      </c>
      <c r="RJ26" s="40" t="str">
        <f t="shared" si="202"/>
        <v/>
      </c>
      <c r="RK26" s="40" t="str">
        <f t="shared" si="203"/>
        <v/>
      </c>
      <c r="RL26" s="18"/>
      <c r="RM26" s="18"/>
      <c r="RN26" s="18"/>
      <c r="RO26" s="18"/>
      <c r="RP26" s="18"/>
      <c r="RQ26" s="18"/>
      <c r="RR26" s="18"/>
      <c r="RS26" s="18"/>
      <c r="RT26" s="18"/>
      <c r="RU26" s="18"/>
      <c r="RV26" s="18"/>
      <c r="RW26" s="18"/>
      <c r="RX26" s="18"/>
      <c r="RY26" s="18"/>
      <c r="RZ26" s="18"/>
      <c r="SA26" s="18"/>
      <c r="SB26" s="18"/>
      <c r="SC26" s="18"/>
      <c r="SD26" s="18"/>
      <c r="SE26" s="18"/>
      <c r="SF26" s="11" t="str">
        <f t="shared" si="204"/>
        <v/>
      </c>
      <c r="SG26" s="11" t="str">
        <f t="shared" si="205"/>
        <v/>
      </c>
      <c r="SH26" s="11" t="str">
        <f t="shared" si="206"/>
        <v/>
      </c>
      <c r="SI26" s="11" t="str">
        <f t="shared" si="207"/>
        <v/>
      </c>
      <c r="SJ26" s="11" t="str">
        <f t="shared" si="208"/>
        <v/>
      </c>
      <c r="SK26" s="11" t="str">
        <f t="shared" si="209"/>
        <v/>
      </c>
      <c r="SL26" s="11" t="str">
        <f t="shared" si="210"/>
        <v/>
      </c>
      <c r="SM26" s="11" t="str">
        <f t="shared" si="211"/>
        <v/>
      </c>
      <c r="SN26" s="11" t="str">
        <f t="shared" si="212"/>
        <v/>
      </c>
      <c r="SO26" s="11" t="str">
        <f t="shared" si="213"/>
        <v/>
      </c>
      <c r="SP26" s="11" t="str">
        <f t="shared" si="214"/>
        <v/>
      </c>
      <c r="SQ26" s="11" t="str">
        <f t="shared" si="215"/>
        <v/>
      </c>
      <c r="SR26" s="11" t="str">
        <f t="shared" si="216"/>
        <v/>
      </c>
      <c r="SS26" s="11" t="str">
        <f t="shared" si="217"/>
        <v/>
      </c>
      <c r="ST26" s="22">
        <f t="shared" si="218"/>
        <v>2.95</v>
      </c>
      <c r="SU26" s="22">
        <f t="shared" si="219"/>
        <v>2.2000000000000002</v>
      </c>
      <c r="SV26" s="22">
        <f t="shared" si="220"/>
        <v>3.65</v>
      </c>
      <c r="SW26" s="22">
        <f t="shared" si="221"/>
        <v>3.79</v>
      </c>
      <c r="SX26" s="22">
        <f t="shared" si="222"/>
        <v>0</v>
      </c>
      <c r="SY26" s="22">
        <f t="shared" si="223"/>
        <v>4.8499999999999996</v>
      </c>
      <c r="SZ26" s="22">
        <f t="shared" si="224"/>
        <v>4.55</v>
      </c>
      <c r="TA26" s="22">
        <f t="shared" si="225"/>
        <v>6.75</v>
      </c>
      <c r="TB26" s="22">
        <f t="shared" si="226"/>
        <v>7.43</v>
      </c>
      <c r="TC26" s="22">
        <f t="shared" si="227"/>
        <v>0</v>
      </c>
      <c r="TD26" s="22">
        <f t="shared" si="228"/>
        <v>0</v>
      </c>
      <c r="TE26" s="22">
        <f t="shared" si="229"/>
        <v>0</v>
      </c>
      <c r="TF26" s="22">
        <f t="shared" si="230"/>
        <v>0</v>
      </c>
      <c r="TG26" s="22">
        <f t="shared" si="231"/>
        <v>0</v>
      </c>
      <c r="TH26" s="22">
        <f t="shared" si="232"/>
        <v>0</v>
      </c>
      <c r="TI26" s="27" t="s">
        <v>46</v>
      </c>
      <c r="TJ26" s="40">
        <f t="shared" si="233"/>
        <v>3.65</v>
      </c>
      <c r="TK26" s="40">
        <f t="shared" si="234"/>
        <v>3.79</v>
      </c>
      <c r="TL26" s="40">
        <f t="shared" si="235"/>
        <v>12.59</v>
      </c>
      <c r="TM26" s="40">
        <f t="shared" si="236"/>
        <v>6.75</v>
      </c>
      <c r="TN26" s="40">
        <f t="shared" si="237"/>
        <v>7.43</v>
      </c>
      <c r="TO26" s="40">
        <f t="shared" si="238"/>
        <v>23.58</v>
      </c>
      <c r="TP26" s="40">
        <f t="shared" si="239"/>
        <v>23.58</v>
      </c>
      <c r="TQ26" s="40" t="str">
        <f t="shared" si="240"/>
        <v/>
      </c>
      <c r="TR26" s="40" t="str">
        <f t="shared" si="241"/>
        <v/>
      </c>
      <c r="TS26" s="40" t="str">
        <f t="shared" si="242"/>
        <v/>
      </c>
      <c r="TT26" s="40">
        <f t="shared" si="243"/>
        <v>23.58</v>
      </c>
    </row>
    <row r="27" spans="1:540" x14ac:dyDescent="0.2">
      <c r="A27" s="4" t="str" cm="1">
        <f t="array" ref="A27">IF(AND(F27&lt;&gt;"",G27&lt;&gt;""),SUMPRODUCT((F$4:F$35&lt;&gt;"")*(G$4:G$35&lt;&gt;"")*(E$4:E$35&gt;E27))+1,IF(G27&lt;&gt;"",SUMPRODUCT((H$4:H$35="No DD")*(E$4:E$35&gt;E27))+1+SUMPRODUCT((F$4:F$35&lt;&gt;"")*(G$4:G$35&lt;&gt;"")),""))</f>
        <v/>
      </c>
      <c r="B27" s="5" t="s">
        <v>207</v>
      </c>
      <c r="C27" s="4" t="s">
        <v>3</v>
      </c>
      <c r="D27" s="4">
        <v>2004</v>
      </c>
      <c r="E27" s="9">
        <f t="shared" si="0"/>
        <v>65.630006563004528</v>
      </c>
      <c r="F27" s="3" t="str">
        <f t="shared" si="1"/>
        <v/>
      </c>
      <c r="G27" s="3" t="str">
        <f t="shared" si="2"/>
        <v/>
      </c>
      <c r="H27" s="36" t="str">
        <f t="shared" si="3"/>
        <v/>
      </c>
      <c r="I27" s="3" t="str">
        <f t="shared" si="4"/>
        <v/>
      </c>
      <c r="J27" s="8">
        <f>IF(COUNT(AO27,AR27,BP27,BS27,CQ27,CT27)&gt;0,LARGE((AO27,AR27,BP27,BS27,CQ27,CT27),1),0)</f>
        <v>45.4</v>
      </c>
      <c r="K27" s="8" t="str">
        <f t="shared" si="5"/>
        <v>2023 Elite Canada</v>
      </c>
      <c r="L27" s="8">
        <f>IF(COUNT(AO27,AR27,BP27,BS27,CQ27,CT27)&gt;1,LARGE((AO27,AR27,BP27,BS27,CQ27,CT27),2),0)</f>
        <v>10.33</v>
      </c>
      <c r="M27" s="8" t="str">
        <f t="shared" si="6"/>
        <v>2023 Elite Canada</v>
      </c>
      <c r="N27" s="8">
        <f>IF(COUNT(AO27,AR27,BP27,BS27,CQ27,CT27)&gt;2,MAX(AV27,BW27,CX27,LARGE((AO27,AR27,BP27,BS27,CQ27,CT27),3)),IF(MAX(AV27,BW27,CX27)&gt;0,MAX(AV27,BW27,CX27),0))</f>
        <v>0</v>
      </c>
      <c r="O27" s="8" t="str">
        <f t="shared" si="7"/>
        <v/>
      </c>
      <c r="P27" s="8">
        <f t="shared" si="8"/>
        <v>9.9</v>
      </c>
      <c r="Q27" s="8" t="str">
        <f t="shared" si="9"/>
        <v>2023 Elite Canada</v>
      </c>
      <c r="R27" s="8">
        <f t="shared" si="10"/>
        <v>0</v>
      </c>
      <c r="S27" s="8" t="str">
        <f t="shared" si="11"/>
        <v/>
      </c>
      <c r="T27" s="8" t="str">
        <f t="shared" si="12"/>
        <v/>
      </c>
      <c r="U27" s="11" t="str">
        <f t="shared" si="13"/>
        <v/>
      </c>
      <c r="V27" s="8" t="str">
        <f t="shared" si="14"/>
        <v/>
      </c>
      <c r="W27" s="22"/>
      <c r="X27" s="22"/>
      <c r="Y27" s="22"/>
      <c r="Z27" s="22"/>
      <c r="AA27" s="22"/>
      <c r="AB27" s="22"/>
      <c r="AC27" s="22"/>
      <c r="AD27" s="22"/>
      <c r="AE27" s="22"/>
      <c r="AF27" s="22"/>
      <c r="AG27" s="22"/>
      <c r="AH27" s="22"/>
      <c r="AI27" s="22"/>
      <c r="AJ27" s="22"/>
      <c r="AK27" s="22"/>
      <c r="AL27" s="27"/>
      <c r="AM27" s="38" t="str">
        <f t="shared" si="15"/>
        <v/>
      </c>
      <c r="AN27" s="38" t="str">
        <f t="shared" si="16"/>
        <v/>
      </c>
      <c r="AO27" s="40" t="str">
        <f t="shared" si="17"/>
        <v/>
      </c>
      <c r="AP27" s="40" t="str">
        <f t="shared" si="18"/>
        <v/>
      </c>
      <c r="AQ27" s="40" t="str">
        <f t="shared" si="19"/>
        <v/>
      </c>
      <c r="AR27" s="40" t="str">
        <f t="shared" si="20"/>
        <v/>
      </c>
      <c r="AS27" s="40" t="str">
        <f t="shared" si="21"/>
        <v/>
      </c>
      <c r="AT27" s="40" t="str">
        <f t="shared" si="22"/>
        <v/>
      </c>
      <c r="AU27" s="40" t="str">
        <f t="shared" si="23"/>
        <v/>
      </c>
      <c r="AV27" s="40" t="str">
        <f t="shared" si="24"/>
        <v/>
      </c>
      <c r="AW27" s="40" t="str">
        <f t="shared" si="25"/>
        <v/>
      </c>
      <c r="AX27" s="26"/>
      <c r="AY27" s="26"/>
      <c r="AZ27" s="26"/>
      <c r="BA27" s="26"/>
      <c r="BB27" s="26"/>
      <c r="BC27" s="26"/>
      <c r="BD27" s="26"/>
      <c r="BE27" s="26"/>
      <c r="BF27" s="26"/>
      <c r="BG27" s="26"/>
      <c r="BH27" s="26"/>
      <c r="BI27" s="26"/>
      <c r="BJ27" s="26"/>
      <c r="BK27" s="26"/>
      <c r="BL27" s="26"/>
      <c r="BM27" s="28"/>
      <c r="BN27" s="39" t="str">
        <f t="shared" si="26"/>
        <v/>
      </c>
      <c r="BO27" s="39" t="str">
        <f t="shared" si="27"/>
        <v/>
      </c>
      <c r="BP27" s="11" t="str">
        <f t="shared" si="28"/>
        <v/>
      </c>
      <c r="BQ27" s="11" t="str">
        <f t="shared" si="29"/>
        <v/>
      </c>
      <c r="BR27" s="11" t="str">
        <f t="shared" si="30"/>
        <v/>
      </c>
      <c r="BS27" s="11" t="str">
        <f t="shared" si="31"/>
        <v/>
      </c>
      <c r="BT27" s="11" t="str">
        <f t="shared" si="32"/>
        <v/>
      </c>
      <c r="BU27" s="11" t="str">
        <f t="shared" si="33"/>
        <v/>
      </c>
      <c r="BV27" s="11" t="str">
        <f t="shared" si="34"/>
        <v/>
      </c>
      <c r="BW27" s="11" t="str">
        <f t="shared" si="35"/>
        <v/>
      </c>
      <c r="BX27" s="11" t="str">
        <f t="shared" si="36"/>
        <v/>
      </c>
      <c r="BY27" s="22">
        <v>14.9</v>
      </c>
      <c r="BZ27" s="22">
        <v>8.1</v>
      </c>
      <c r="CA27" s="22">
        <v>9.9</v>
      </c>
      <c r="CB27" s="22">
        <v>12.5</v>
      </c>
      <c r="CC27" s="22">
        <v>0</v>
      </c>
      <c r="CD27" s="22">
        <v>2.9</v>
      </c>
      <c r="CE27" s="22">
        <v>1.8</v>
      </c>
      <c r="CF27" s="22">
        <v>2.9</v>
      </c>
      <c r="CG27" s="22">
        <v>2.73</v>
      </c>
      <c r="CH27" s="22">
        <v>0</v>
      </c>
      <c r="CI27" s="22"/>
      <c r="CJ27" s="22"/>
      <c r="CK27" s="22"/>
      <c r="CL27" s="22"/>
      <c r="CM27" s="22"/>
      <c r="CN27" s="27"/>
      <c r="CO27" s="38">
        <f t="shared" si="37"/>
        <v>9.9</v>
      </c>
      <c r="CP27" s="38">
        <f t="shared" si="38"/>
        <v>12.5</v>
      </c>
      <c r="CQ27" s="40">
        <f t="shared" si="39"/>
        <v>45.4</v>
      </c>
      <c r="CR27" s="40">
        <f t="shared" si="40"/>
        <v>2.9</v>
      </c>
      <c r="CS27" s="40">
        <f t="shared" si="41"/>
        <v>2.73</v>
      </c>
      <c r="CT27" s="40">
        <f t="shared" si="42"/>
        <v>10.33</v>
      </c>
      <c r="CU27" s="40">
        <f t="shared" si="43"/>
        <v>45.4</v>
      </c>
      <c r="CV27" s="40" t="str">
        <f t="shared" si="44"/>
        <v/>
      </c>
      <c r="CW27" s="40" t="str">
        <f t="shared" si="45"/>
        <v/>
      </c>
      <c r="CX27" s="40" t="str">
        <f t="shared" si="46"/>
        <v/>
      </c>
      <c r="CY27" s="40">
        <f t="shared" si="47"/>
        <v>45.4</v>
      </c>
      <c r="CZ27" s="50" t="str">
        <f t="shared" si="48"/>
        <v/>
      </c>
      <c r="DA27" s="50" t="str">
        <f t="shared" si="49"/>
        <v/>
      </c>
      <c r="DB27" s="17"/>
      <c r="DC27" s="17"/>
      <c r="DD27" s="17"/>
      <c r="DE27" s="17"/>
      <c r="DF27" s="17"/>
      <c r="DG27" s="17"/>
      <c r="DH27" s="17"/>
      <c r="DI27" s="17"/>
      <c r="DJ27" s="17"/>
      <c r="DK27" s="17"/>
      <c r="DL27" s="17"/>
      <c r="DM27" s="17"/>
      <c r="DN27" s="17"/>
      <c r="DO27" s="17"/>
      <c r="DP27" s="17"/>
      <c r="DQ27" s="17"/>
      <c r="DR27" s="17"/>
      <c r="DS27" s="17"/>
      <c r="DT27" s="17"/>
      <c r="DU27" s="17"/>
      <c r="DV27" s="40" t="str">
        <f t="shared" si="50"/>
        <v/>
      </c>
      <c r="DW27" s="40" t="str">
        <f t="shared" si="51"/>
        <v/>
      </c>
      <c r="DX27" s="40" t="str">
        <f t="shared" si="52"/>
        <v/>
      </c>
      <c r="DY27" s="40" t="str">
        <f t="shared" si="53"/>
        <v/>
      </c>
      <c r="DZ27" s="40" t="str">
        <f t="shared" si="54"/>
        <v/>
      </c>
      <c r="EA27" s="40" t="str">
        <f t="shared" si="55"/>
        <v/>
      </c>
      <c r="EB27" s="40" t="str">
        <f t="shared" si="56"/>
        <v/>
      </c>
      <c r="EC27" s="40" t="str">
        <f t="shared" si="57"/>
        <v/>
      </c>
      <c r="ED27" s="40" t="str">
        <f t="shared" si="58"/>
        <v/>
      </c>
      <c r="EE27" s="40" t="str">
        <f t="shared" si="59"/>
        <v/>
      </c>
      <c r="EF27" s="40" t="str">
        <f t="shared" si="60"/>
        <v/>
      </c>
      <c r="EG27" s="40" t="str">
        <f t="shared" si="61"/>
        <v/>
      </c>
      <c r="EH27" s="40" t="str">
        <f t="shared" si="62"/>
        <v/>
      </c>
      <c r="EI27" s="40" t="str">
        <f t="shared" si="63"/>
        <v/>
      </c>
      <c r="EJ27" s="18"/>
      <c r="EK27" s="18"/>
      <c r="EL27" s="18"/>
      <c r="EM27" s="18"/>
      <c r="EN27" s="18"/>
      <c r="EO27" s="18"/>
      <c r="EP27" s="18"/>
      <c r="EQ27" s="18"/>
      <c r="ER27" s="18"/>
      <c r="ES27" s="18"/>
      <c r="ET27" s="18"/>
      <c r="EU27" s="18"/>
      <c r="EV27" s="18"/>
      <c r="EW27" s="18"/>
      <c r="EX27" s="18"/>
      <c r="EY27" s="18"/>
      <c r="EZ27" s="18"/>
      <c r="FA27" s="18"/>
      <c r="FB27" s="18"/>
      <c r="FC27" s="18"/>
      <c r="FD27" s="11" t="str">
        <f t="shared" si="64"/>
        <v/>
      </c>
      <c r="FE27" s="11" t="str">
        <f t="shared" si="65"/>
        <v/>
      </c>
      <c r="FF27" s="11" t="str">
        <f t="shared" si="66"/>
        <v/>
      </c>
      <c r="FG27" s="11" t="str">
        <f t="shared" si="67"/>
        <v/>
      </c>
      <c r="FH27" s="11" t="str">
        <f t="shared" si="68"/>
        <v/>
      </c>
      <c r="FI27" s="11" t="str">
        <f t="shared" si="69"/>
        <v/>
      </c>
      <c r="FJ27" s="11" t="str">
        <f t="shared" si="70"/>
        <v/>
      </c>
      <c r="FK27" s="11" t="str">
        <f t="shared" si="71"/>
        <v/>
      </c>
      <c r="FL27" s="11" t="str">
        <f t="shared" si="72"/>
        <v/>
      </c>
      <c r="FM27" s="11" t="str">
        <f t="shared" si="73"/>
        <v/>
      </c>
      <c r="FN27" s="11" t="str">
        <f t="shared" si="74"/>
        <v/>
      </c>
      <c r="FO27" s="11" t="str">
        <f t="shared" si="75"/>
        <v/>
      </c>
      <c r="FP27" s="11" t="str">
        <f t="shared" si="76"/>
        <v/>
      </c>
      <c r="FQ27" s="11" t="str">
        <f t="shared" si="77"/>
        <v/>
      </c>
      <c r="FR27" s="17"/>
      <c r="FS27" s="17"/>
      <c r="FT27" s="17"/>
      <c r="FU27" s="17"/>
      <c r="FV27" s="17"/>
      <c r="FW27" s="17"/>
      <c r="FX27" s="17"/>
      <c r="FY27" s="17"/>
      <c r="FZ27" s="17"/>
      <c r="GA27" s="17"/>
      <c r="GB27" s="17"/>
      <c r="GC27" s="17"/>
      <c r="GD27" s="17"/>
      <c r="GE27" s="17"/>
      <c r="GF27" s="17"/>
      <c r="GG27" s="17"/>
      <c r="GH27" s="17"/>
      <c r="GI27" s="17"/>
      <c r="GJ27" s="17"/>
      <c r="GK27" s="17"/>
      <c r="GL27" s="40" t="str">
        <f t="shared" si="78"/>
        <v/>
      </c>
      <c r="GM27" s="40" t="str">
        <f t="shared" si="79"/>
        <v/>
      </c>
      <c r="GN27" s="40" t="str">
        <f t="shared" si="80"/>
        <v/>
      </c>
      <c r="GO27" s="40" t="str">
        <f t="shared" si="81"/>
        <v/>
      </c>
      <c r="GP27" s="40" t="str">
        <f t="shared" si="82"/>
        <v/>
      </c>
      <c r="GQ27" s="40" t="str">
        <f t="shared" si="83"/>
        <v/>
      </c>
      <c r="GR27" s="40" t="str">
        <f t="shared" si="84"/>
        <v/>
      </c>
      <c r="GS27" s="40" t="str">
        <f t="shared" si="85"/>
        <v/>
      </c>
      <c r="GT27" s="40" t="str">
        <f t="shared" si="86"/>
        <v/>
      </c>
      <c r="GU27" s="40" t="str">
        <f t="shared" si="87"/>
        <v/>
      </c>
      <c r="GV27" s="40" t="str">
        <f t="shared" si="88"/>
        <v/>
      </c>
      <c r="GW27" s="40" t="str">
        <f t="shared" si="89"/>
        <v/>
      </c>
      <c r="GX27" s="40" t="str">
        <f t="shared" si="90"/>
        <v/>
      </c>
      <c r="GY27" s="40" t="str">
        <f t="shared" si="91"/>
        <v/>
      </c>
      <c r="GZ27" s="18"/>
      <c r="HA27" s="18"/>
      <c r="HB27" s="18"/>
      <c r="HC27" s="18"/>
      <c r="HD27" s="18"/>
      <c r="HE27" s="18"/>
      <c r="HF27" s="18"/>
      <c r="HG27" s="18"/>
      <c r="HH27" s="18"/>
      <c r="HI27" s="18"/>
      <c r="HJ27" s="18"/>
      <c r="HK27" s="18"/>
      <c r="HL27" s="18"/>
      <c r="HM27" s="18"/>
      <c r="HN27" s="18"/>
      <c r="HO27" s="18"/>
      <c r="HP27" s="18"/>
      <c r="HQ27" s="18"/>
      <c r="HR27" s="18"/>
      <c r="HS27" s="18"/>
      <c r="HT27" s="11" t="str">
        <f t="shared" si="92"/>
        <v/>
      </c>
      <c r="HU27" s="11" t="str">
        <f t="shared" si="93"/>
        <v/>
      </c>
      <c r="HV27" s="11" t="str">
        <f t="shared" si="94"/>
        <v/>
      </c>
      <c r="HW27" s="11" t="str">
        <f t="shared" si="95"/>
        <v/>
      </c>
      <c r="HX27" s="11" t="str">
        <f t="shared" si="96"/>
        <v/>
      </c>
      <c r="HY27" s="11" t="str">
        <f t="shared" si="97"/>
        <v/>
      </c>
      <c r="HZ27" s="11" t="str">
        <f t="shared" si="98"/>
        <v/>
      </c>
      <c r="IA27" s="11" t="str">
        <f t="shared" si="99"/>
        <v/>
      </c>
      <c r="IB27" s="11" t="str">
        <f t="shared" si="100"/>
        <v/>
      </c>
      <c r="IC27" s="11" t="str">
        <f t="shared" si="101"/>
        <v/>
      </c>
      <c r="ID27" s="11" t="str">
        <f t="shared" si="102"/>
        <v/>
      </c>
      <c r="IE27" s="11" t="str">
        <f t="shared" si="103"/>
        <v/>
      </c>
      <c r="IF27" s="11" t="str">
        <f t="shared" si="104"/>
        <v/>
      </c>
      <c r="IG27" s="11" t="str">
        <f t="shared" si="105"/>
        <v/>
      </c>
      <c r="IH27" s="17"/>
      <c r="II27" s="17"/>
      <c r="IJ27" s="17"/>
      <c r="IK27" s="17"/>
      <c r="IL27" s="17"/>
      <c r="IM27" s="17"/>
      <c r="IN27" s="17"/>
      <c r="IO27" s="17"/>
      <c r="IP27" s="17"/>
      <c r="IQ27" s="17"/>
      <c r="IR27" s="17"/>
      <c r="IS27" s="17"/>
      <c r="IT27" s="17"/>
      <c r="IU27" s="17"/>
      <c r="IV27" s="17"/>
      <c r="IW27" s="17"/>
      <c r="IX27" s="17"/>
      <c r="IY27" s="17"/>
      <c r="IZ27" s="17"/>
      <c r="JA27" s="17"/>
      <c r="JB27" s="40" t="str">
        <f t="shared" si="106"/>
        <v/>
      </c>
      <c r="JC27" s="40" t="str">
        <f t="shared" si="107"/>
        <v/>
      </c>
      <c r="JD27" s="40" t="str">
        <f t="shared" si="108"/>
        <v/>
      </c>
      <c r="JE27" s="40" t="str">
        <f t="shared" si="109"/>
        <v/>
      </c>
      <c r="JF27" s="40" t="str">
        <f t="shared" si="110"/>
        <v/>
      </c>
      <c r="JG27" s="40" t="str">
        <f t="shared" si="111"/>
        <v/>
      </c>
      <c r="JH27" s="40" t="str">
        <f t="shared" si="112"/>
        <v/>
      </c>
      <c r="JI27" s="40" t="str">
        <f t="shared" si="113"/>
        <v/>
      </c>
      <c r="JJ27" s="40" t="str">
        <f t="shared" si="114"/>
        <v/>
      </c>
      <c r="JK27" s="40" t="str">
        <f t="shared" si="115"/>
        <v/>
      </c>
      <c r="JL27" s="40" t="str">
        <f t="shared" si="116"/>
        <v/>
      </c>
      <c r="JM27" s="40" t="str">
        <f t="shared" si="117"/>
        <v/>
      </c>
      <c r="JN27" s="40" t="str">
        <f t="shared" si="118"/>
        <v/>
      </c>
      <c r="JO27" s="40" t="str">
        <f t="shared" si="119"/>
        <v/>
      </c>
      <c r="JP27" s="18"/>
      <c r="JQ27" s="18"/>
      <c r="JR27" s="18"/>
      <c r="JS27" s="18"/>
      <c r="JT27" s="18"/>
      <c r="JU27" s="18"/>
      <c r="JV27" s="18"/>
      <c r="JW27" s="18"/>
      <c r="JX27" s="18"/>
      <c r="JY27" s="18"/>
      <c r="JZ27" s="18"/>
      <c r="KA27" s="18"/>
      <c r="KB27" s="18"/>
      <c r="KC27" s="18"/>
      <c r="KD27" s="18"/>
      <c r="KE27" s="18"/>
      <c r="KF27" s="18"/>
      <c r="KG27" s="18"/>
      <c r="KH27" s="18"/>
      <c r="KI27" s="18"/>
      <c r="KJ27" s="11" t="str">
        <f t="shared" si="120"/>
        <v/>
      </c>
      <c r="KK27" s="11" t="str">
        <f t="shared" si="121"/>
        <v/>
      </c>
      <c r="KL27" s="11" t="str">
        <f t="shared" si="122"/>
        <v/>
      </c>
      <c r="KM27" s="11" t="str">
        <f t="shared" si="123"/>
        <v/>
      </c>
      <c r="KN27" s="11" t="str">
        <f t="shared" si="124"/>
        <v/>
      </c>
      <c r="KO27" s="11" t="str">
        <f t="shared" si="125"/>
        <v/>
      </c>
      <c r="KP27" s="11" t="str">
        <f t="shared" si="126"/>
        <v/>
      </c>
      <c r="KQ27" s="11" t="str">
        <f t="shared" si="127"/>
        <v/>
      </c>
      <c r="KR27" s="11" t="str">
        <f t="shared" si="128"/>
        <v/>
      </c>
      <c r="KS27" s="11" t="str">
        <f t="shared" si="129"/>
        <v/>
      </c>
      <c r="KT27" s="11" t="str">
        <f t="shared" si="130"/>
        <v/>
      </c>
      <c r="KU27" s="11" t="str">
        <f t="shared" si="131"/>
        <v/>
      </c>
      <c r="KV27" s="11" t="str">
        <f t="shared" si="132"/>
        <v/>
      </c>
      <c r="KW27" s="11" t="str">
        <f t="shared" si="133"/>
        <v/>
      </c>
      <c r="KX27" s="17"/>
      <c r="KY27" s="17"/>
      <c r="KZ27" s="17"/>
      <c r="LA27" s="17"/>
      <c r="LB27" s="17"/>
      <c r="LC27" s="17"/>
      <c r="LD27" s="17"/>
      <c r="LE27" s="17"/>
      <c r="LF27" s="17"/>
      <c r="LG27" s="17"/>
      <c r="LH27" s="17"/>
      <c r="LI27" s="17"/>
      <c r="LJ27" s="17"/>
      <c r="LK27" s="17"/>
      <c r="LL27" s="17"/>
      <c r="LM27" s="17"/>
      <c r="LN27" s="17"/>
      <c r="LO27" s="17"/>
      <c r="LP27" s="17"/>
      <c r="LQ27" s="17"/>
      <c r="LR27" s="40" t="str">
        <f t="shared" si="134"/>
        <v/>
      </c>
      <c r="LS27" s="40" t="str">
        <f t="shared" si="135"/>
        <v/>
      </c>
      <c r="LT27" s="40" t="str">
        <f t="shared" si="136"/>
        <v/>
      </c>
      <c r="LU27" s="40" t="str">
        <f t="shared" si="137"/>
        <v/>
      </c>
      <c r="LV27" s="40" t="str">
        <f t="shared" si="138"/>
        <v/>
      </c>
      <c r="LW27" s="40" t="str">
        <f t="shared" si="139"/>
        <v/>
      </c>
      <c r="LX27" s="40" t="str">
        <f t="shared" si="140"/>
        <v/>
      </c>
      <c r="LY27" s="40" t="str">
        <f t="shared" si="141"/>
        <v/>
      </c>
      <c r="LZ27" s="40" t="str">
        <f t="shared" si="142"/>
        <v/>
      </c>
      <c r="MA27" s="40" t="str">
        <f t="shared" si="143"/>
        <v/>
      </c>
      <c r="MB27" s="40" t="str">
        <f t="shared" si="144"/>
        <v/>
      </c>
      <c r="MC27" s="40" t="str">
        <f t="shared" si="145"/>
        <v/>
      </c>
      <c r="MD27" s="40" t="str">
        <f t="shared" si="146"/>
        <v/>
      </c>
      <c r="ME27" s="40" t="str">
        <f t="shared" si="147"/>
        <v/>
      </c>
      <c r="MF27" s="18"/>
      <c r="MG27" s="18"/>
      <c r="MH27" s="18"/>
      <c r="MI27" s="18"/>
      <c r="MJ27" s="18"/>
      <c r="MK27" s="18"/>
      <c r="ML27" s="18"/>
      <c r="MM27" s="18"/>
      <c r="MN27" s="18"/>
      <c r="MO27" s="18"/>
      <c r="MP27" s="18"/>
      <c r="MQ27" s="18"/>
      <c r="MR27" s="18"/>
      <c r="MS27" s="18"/>
      <c r="MT27" s="18"/>
      <c r="MU27" s="18"/>
      <c r="MV27" s="18"/>
      <c r="MW27" s="18"/>
      <c r="MX27" s="18"/>
      <c r="MY27" s="18"/>
      <c r="MZ27" s="11" t="str">
        <f t="shared" si="148"/>
        <v/>
      </c>
      <c r="NA27" s="11" t="str">
        <f t="shared" si="149"/>
        <v/>
      </c>
      <c r="NB27" s="11" t="str">
        <f t="shared" si="150"/>
        <v/>
      </c>
      <c r="NC27" s="11" t="str">
        <f t="shared" si="151"/>
        <v/>
      </c>
      <c r="ND27" s="11" t="str">
        <f t="shared" si="152"/>
        <v/>
      </c>
      <c r="NE27" s="11" t="str">
        <f t="shared" si="153"/>
        <v/>
      </c>
      <c r="NF27" s="11" t="str">
        <f t="shared" si="154"/>
        <v/>
      </c>
      <c r="NG27" s="11" t="str">
        <f t="shared" si="155"/>
        <v/>
      </c>
      <c r="NH27" s="11" t="str">
        <f t="shared" si="156"/>
        <v/>
      </c>
      <c r="NI27" s="11" t="str">
        <f t="shared" si="157"/>
        <v/>
      </c>
      <c r="NJ27" s="11" t="str">
        <f t="shared" si="158"/>
        <v/>
      </c>
      <c r="NK27" s="11" t="str">
        <f t="shared" si="159"/>
        <v/>
      </c>
      <c r="NL27" s="11" t="str">
        <f t="shared" si="160"/>
        <v/>
      </c>
      <c r="NM27" s="11" t="str">
        <f t="shared" si="161"/>
        <v/>
      </c>
      <c r="NN27" s="17"/>
      <c r="NO27" s="17"/>
      <c r="NP27" s="17"/>
      <c r="NQ27" s="17"/>
      <c r="NR27" s="17"/>
      <c r="NS27" s="17"/>
      <c r="NT27" s="17"/>
      <c r="NU27" s="17"/>
      <c r="NV27" s="17"/>
      <c r="NW27" s="17"/>
      <c r="NX27" s="17"/>
      <c r="NY27" s="17"/>
      <c r="NZ27" s="17"/>
      <c r="OA27" s="17"/>
      <c r="OB27" s="17"/>
      <c r="OC27" s="17"/>
      <c r="OD27" s="17"/>
      <c r="OE27" s="17"/>
      <c r="OF27" s="17"/>
      <c r="OG27" s="17"/>
      <c r="OH27" s="40" t="str">
        <f t="shared" si="162"/>
        <v/>
      </c>
      <c r="OI27" s="40" t="str">
        <f t="shared" si="163"/>
        <v/>
      </c>
      <c r="OJ27" s="40" t="str">
        <f t="shared" si="164"/>
        <v/>
      </c>
      <c r="OK27" s="40" t="str">
        <f t="shared" si="165"/>
        <v/>
      </c>
      <c r="OL27" s="40" t="str">
        <f t="shared" si="166"/>
        <v/>
      </c>
      <c r="OM27" s="40" t="str">
        <f t="shared" si="167"/>
        <v/>
      </c>
      <c r="ON27" s="40" t="str">
        <f t="shared" si="168"/>
        <v/>
      </c>
      <c r="OO27" s="40" t="str">
        <f t="shared" si="169"/>
        <v/>
      </c>
      <c r="OP27" s="40" t="str">
        <f t="shared" si="170"/>
        <v/>
      </c>
      <c r="OQ27" s="40" t="str">
        <f t="shared" si="171"/>
        <v/>
      </c>
      <c r="OR27" s="40" t="str">
        <f t="shared" si="172"/>
        <v/>
      </c>
      <c r="OS27" s="40" t="str">
        <f t="shared" si="173"/>
        <v/>
      </c>
      <c r="OT27" s="40" t="str">
        <f t="shared" si="174"/>
        <v/>
      </c>
      <c r="OU27" s="40" t="str">
        <f t="shared" si="175"/>
        <v/>
      </c>
      <c r="OV27" s="18"/>
      <c r="OW27" s="18"/>
      <c r="OX27" s="18"/>
      <c r="OY27" s="18"/>
      <c r="OZ27" s="18"/>
      <c r="PA27" s="18"/>
      <c r="PB27" s="18"/>
      <c r="PC27" s="18"/>
      <c r="PD27" s="18"/>
      <c r="PE27" s="18"/>
      <c r="PF27" s="18"/>
      <c r="PG27" s="18"/>
      <c r="PH27" s="18"/>
      <c r="PI27" s="18"/>
      <c r="PJ27" s="18"/>
      <c r="PK27" s="18"/>
      <c r="PL27" s="18"/>
      <c r="PM27" s="18"/>
      <c r="PN27" s="18"/>
      <c r="PO27" s="18"/>
      <c r="PP27" s="11" t="str">
        <f t="shared" si="176"/>
        <v/>
      </c>
      <c r="PQ27" s="11" t="str">
        <f t="shared" si="177"/>
        <v/>
      </c>
      <c r="PR27" s="11" t="str">
        <f t="shared" si="178"/>
        <v/>
      </c>
      <c r="PS27" s="11" t="str">
        <f t="shared" si="179"/>
        <v/>
      </c>
      <c r="PT27" s="11" t="str">
        <f t="shared" si="180"/>
        <v/>
      </c>
      <c r="PU27" s="11" t="str">
        <f t="shared" si="181"/>
        <v/>
      </c>
      <c r="PV27" s="11" t="str">
        <f t="shared" si="182"/>
        <v/>
      </c>
      <c r="PW27" s="11" t="str">
        <f t="shared" si="183"/>
        <v/>
      </c>
      <c r="PX27" s="11" t="str">
        <f t="shared" si="184"/>
        <v/>
      </c>
      <c r="PY27" s="11" t="str">
        <f t="shared" si="185"/>
        <v/>
      </c>
      <c r="PZ27" s="11" t="str">
        <f t="shared" si="186"/>
        <v/>
      </c>
      <c r="QA27" s="11" t="str">
        <f t="shared" si="187"/>
        <v/>
      </c>
      <c r="QB27" s="11" t="str">
        <f t="shared" si="188"/>
        <v/>
      </c>
      <c r="QC27" s="11" t="str">
        <f t="shared" si="189"/>
        <v/>
      </c>
      <c r="QD27" s="17"/>
      <c r="QE27" s="17"/>
      <c r="QF27" s="17"/>
      <c r="QG27" s="17"/>
      <c r="QH27" s="17"/>
      <c r="QI27" s="17"/>
      <c r="QJ27" s="17"/>
      <c r="QK27" s="17"/>
      <c r="QL27" s="17"/>
      <c r="QM27" s="17"/>
      <c r="QN27" s="17"/>
      <c r="QO27" s="17"/>
      <c r="QP27" s="17"/>
      <c r="QQ27" s="17"/>
      <c r="QR27" s="17"/>
      <c r="QS27" s="17"/>
      <c r="QT27" s="17"/>
      <c r="QU27" s="17"/>
      <c r="QV27" s="17"/>
      <c r="QW27" s="17"/>
      <c r="QX27" s="40" t="str">
        <f t="shared" si="190"/>
        <v/>
      </c>
      <c r="QY27" s="40" t="str">
        <f t="shared" si="191"/>
        <v/>
      </c>
      <c r="QZ27" s="40" t="str">
        <f t="shared" si="192"/>
        <v/>
      </c>
      <c r="RA27" s="40" t="str">
        <f t="shared" si="193"/>
        <v/>
      </c>
      <c r="RB27" s="40" t="str">
        <f t="shared" si="194"/>
        <v/>
      </c>
      <c r="RC27" s="40" t="str">
        <f t="shared" si="195"/>
        <v/>
      </c>
      <c r="RD27" s="40" t="str">
        <f t="shared" si="196"/>
        <v/>
      </c>
      <c r="RE27" s="40" t="str">
        <f t="shared" si="197"/>
        <v/>
      </c>
      <c r="RF27" s="40" t="str">
        <f t="shared" si="198"/>
        <v/>
      </c>
      <c r="RG27" s="40" t="str">
        <f t="shared" si="199"/>
        <v/>
      </c>
      <c r="RH27" s="40" t="str">
        <f t="shared" si="200"/>
        <v/>
      </c>
      <c r="RI27" s="40" t="str">
        <f t="shared" si="201"/>
        <v/>
      </c>
      <c r="RJ27" s="40" t="str">
        <f t="shared" si="202"/>
        <v/>
      </c>
      <c r="RK27" s="40" t="str">
        <f t="shared" si="203"/>
        <v/>
      </c>
      <c r="RL27" s="18"/>
      <c r="RM27" s="18"/>
      <c r="RN27" s="18"/>
      <c r="RO27" s="18"/>
      <c r="RP27" s="18"/>
      <c r="RQ27" s="18"/>
      <c r="RR27" s="18"/>
      <c r="RS27" s="18"/>
      <c r="RT27" s="18"/>
      <c r="RU27" s="18"/>
      <c r="RV27" s="18"/>
      <c r="RW27" s="18"/>
      <c r="RX27" s="18"/>
      <c r="RY27" s="18"/>
      <c r="RZ27" s="18"/>
      <c r="SA27" s="18"/>
      <c r="SB27" s="18"/>
      <c r="SC27" s="18"/>
      <c r="SD27" s="18"/>
      <c r="SE27" s="18"/>
      <c r="SF27" s="11" t="str">
        <f t="shared" si="204"/>
        <v/>
      </c>
      <c r="SG27" s="11" t="str">
        <f t="shared" si="205"/>
        <v/>
      </c>
      <c r="SH27" s="11" t="str">
        <f t="shared" si="206"/>
        <v/>
      </c>
      <c r="SI27" s="11" t="str">
        <f t="shared" si="207"/>
        <v/>
      </c>
      <c r="SJ27" s="11" t="str">
        <f t="shared" si="208"/>
        <v/>
      </c>
      <c r="SK27" s="11" t="str">
        <f t="shared" si="209"/>
        <v/>
      </c>
      <c r="SL27" s="11" t="str">
        <f t="shared" si="210"/>
        <v/>
      </c>
      <c r="SM27" s="11" t="str">
        <f t="shared" si="211"/>
        <v/>
      </c>
      <c r="SN27" s="11" t="str">
        <f t="shared" si="212"/>
        <v/>
      </c>
      <c r="SO27" s="11" t="str">
        <f t="shared" si="213"/>
        <v/>
      </c>
      <c r="SP27" s="11" t="str">
        <f t="shared" si="214"/>
        <v/>
      </c>
      <c r="SQ27" s="11" t="str">
        <f t="shared" si="215"/>
        <v/>
      </c>
      <c r="SR27" s="11" t="str">
        <f t="shared" si="216"/>
        <v/>
      </c>
      <c r="SS27" s="11" t="str">
        <f t="shared" si="217"/>
        <v/>
      </c>
      <c r="ST27" s="22">
        <f t="shared" si="218"/>
        <v>7.45</v>
      </c>
      <c r="SU27" s="22">
        <f t="shared" si="219"/>
        <v>4.05</v>
      </c>
      <c r="SV27" s="22">
        <f t="shared" si="220"/>
        <v>4.95</v>
      </c>
      <c r="SW27" s="22">
        <f t="shared" si="221"/>
        <v>6.25</v>
      </c>
      <c r="SX27" s="22">
        <f t="shared" si="222"/>
        <v>0</v>
      </c>
      <c r="SY27" s="22">
        <f t="shared" si="223"/>
        <v>1.45</v>
      </c>
      <c r="SZ27" s="22">
        <f t="shared" si="224"/>
        <v>0.9</v>
      </c>
      <c r="TA27" s="22">
        <f t="shared" si="225"/>
        <v>1.45</v>
      </c>
      <c r="TB27" s="22">
        <f t="shared" si="226"/>
        <v>1.365</v>
      </c>
      <c r="TC27" s="22">
        <f t="shared" si="227"/>
        <v>0</v>
      </c>
      <c r="TD27" s="22">
        <f t="shared" si="228"/>
        <v>0</v>
      </c>
      <c r="TE27" s="22">
        <f t="shared" si="229"/>
        <v>0</v>
      </c>
      <c r="TF27" s="22">
        <f t="shared" si="230"/>
        <v>0</v>
      </c>
      <c r="TG27" s="22">
        <f t="shared" si="231"/>
        <v>0</v>
      </c>
      <c r="TH27" s="22">
        <f t="shared" si="232"/>
        <v>0</v>
      </c>
      <c r="TI27" s="27" t="s">
        <v>46</v>
      </c>
      <c r="TJ27" s="40">
        <f t="shared" si="233"/>
        <v>4.95</v>
      </c>
      <c r="TK27" s="40">
        <f t="shared" si="234"/>
        <v>6.25</v>
      </c>
      <c r="TL27" s="40">
        <f t="shared" si="235"/>
        <v>22.7</v>
      </c>
      <c r="TM27" s="40">
        <f t="shared" si="236"/>
        <v>1.45</v>
      </c>
      <c r="TN27" s="40">
        <f t="shared" si="237"/>
        <v>1.365</v>
      </c>
      <c r="TO27" s="40">
        <f t="shared" si="238"/>
        <v>5.165</v>
      </c>
      <c r="TP27" s="40">
        <f t="shared" si="239"/>
        <v>22.7</v>
      </c>
      <c r="TQ27" s="40" t="str">
        <f t="shared" si="240"/>
        <v/>
      </c>
      <c r="TR27" s="40" t="str">
        <f t="shared" si="241"/>
        <v/>
      </c>
      <c r="TS27" s="40" t="str">
        <f t="shared" si="242"/>
        <v/>
      </c>
      <c r="TT27" s="40">
        <f t="shared" si="243"/>
        <v>22.7</v>
      </c>
    </row>
    <row r="28" spans="1:540" x14ac:dyDescent="0.2">
      <c r="A28" s="4" t="str" cm="1">
        <f t="array" ref="A28">IF(AND(F28&lt;&gt;"",G28&lt;&gt;""),SUMPRODUCT((F$4:F$35&lt;&gt;"")*(G$4:G$35&lt;&gt;"")*(E$4:E$35&gt;E28))+1,IF(G28&lt;&gt;"",SUMPRODUCT((H$4:H$35="No DD")*(E$4:E$35&gt;E28))+1+SUMPRODUCT((F$4:F$35&lt;&gt;"")*(G$4:G$35&lt;&gt;"")),""))</f>
        <v/>
      </c>
      <c r="B28" s="5" t="s">
        <v>146</v>
      </c>
      <c r="C28" s="4" t="s">
        <v>6</v>
      </c>
      <c r="D28" s="4">
        <v>2005</v>
      </c>
      <c r="E28" s="9">
        <f t="shared" si="0"/>
        <v>57.41000574100476</v>
      </c>
      <c r="F28" s="3" t="str">
        <f t="shared" si="1"/>
        <v/>
      </c>
      <c r="G28" s="3" t="str">
        <f t="shared" si="2"/>
        <v/>
      </c>
      <c r="H28" s="36" t="str">
        <f t="shared" si="3"/>
        <v/>
      </c>
      <c r="I28" s="3" t="str">
        <f t="shared" si="4"/>
        <v/>
      </c>
      <c r="J28" s="8">
        <f>IF(COUNT(AO28,AR28,BP28,BS28,CQ28,CT28)&gt;0,LARGE((AO28,AR28,BP28,BS28,CQ28,CT28),1),0)</f>
        <v>47.61</v>
      </c>
      <c r="K28" s="8" t="str">
        <f t="shared" si="5"/>
        <v>2022 Nationals</v>
      </c>
      <c r="L28" s="8">
        <f>IF(COUNT(AO28,AR28,BP28,BS28,CQ28,CT28)&gt;1,LARGE((AO28,AR28,BP28,BS28,CQ28,CT28),2),0)</f>
        <v>0</v>
      </c>
      <c r="M28" s="8" t="str">
        <f t="shared" si="6"/>
        <v/>
      </c>
      <c r="N28" s="8">
        <f>IF(COUNT(AO28,AR28,BP28,BS28,CQ28,CT28)&gt;2,MAX(AV28,BW28,CX28,LARGE((AO28,AR28,BP28,BS28,CQ28,CT28),3)),IF(MAX(AV28,BW28,CX28)&gt;0,MAX(AV28,BW28,CX28),0))</f>
        <v>0</v>
      </c>
      <c r="O28" s="8" t="str">
        <f t="shared" si="7"/>
        <v/>
      </c>
      <c r="P28" s="8">
        <f t="shared" si="8"/>
        <v>9.8000000000000007</v>
      </c>
      <c r="Q28" s="8" t="str">
        <f t="shared" si="9"/>
        <v>2022 Nationals</v>
      </c>
      <c r="R28" s="8">
        <f t="shared" si="10"/>
        <v>0</v>
      </c>
      <c r="S28" s="8" t="str">
        <f t="shared" si="11"/>
        <v/>
      </c>
      <c r="T28" s="8" t="str">
        <f t="shared" si="12"/>
        <v/>
      </c>
      <c r="U28" s="11" t="str">
        <f t="shared" si="13"/>
        <v/>
      </c>
      <c r="V28" s="8" t="str">
        <f t="shared" si="14"/>
        <v/>
      </c>
      <c r="W28" s="22">
        <v>15</v>
      </c>
      <c r="X28" s="22">
        <v>8.5</v>
      </c>
      <c r="Y28" s="22">
        <v>9.8000000000000007</v>
      </c>
      <c r="Z28" s="22">
        <v>14.31</v>
      </c>
      <c r="AA28" s="22">
        <v>0</v>
      </c>
      <c r="AB28" s="22"/>
      <c r="AC28" s="22"/>
      <c r="AD28" s="22"/>
      <c r="AE28" s="22"/>
      <c r="AF28" s="22"/>
      <c r="AG28" s="22"/>
      <c r="AH28" s="22"/>
      <c r="AI28" s="22"/>
      <c r="AJ28" s="22"/>
      <c r="AK28" s="22"/>
      <c r="AL28" s="27"/>
      <c r="AM28" s="38">
        <f t="shared" si="15"/>
        <v>9.8000000000000007</v>
      </c>
      <c r="AN28" s="38">
        <f t="shared" si="16"/>
        <v>14.31</v>
      </c>
      <c r="AO28" s="40">
        <f t="shared" si="17"/>
        <v>47.61</v>
      </c>
      <c r="AP28" s="40" t="str">
        <f t="shared" si="18"/>
        <v/>
      </c>
      <c r="AQ28" s="40" t="str">
        <f t="shared" si="19"/>
        <v/>
      </c>
      <c r="AR28" s="40" t="str">
        <f t="shared" si="20"/>
        <v/>
      </c>
      <c r="AS28" s="40">
        <f t="shared" si="21"/>
        <v>47.61</v>
      </c>
      <c r="AT28" s="40" t="str">
        <f t="shared" si="22"/>
        <v/>
      </c>
      <c r="AU28" s="40" t="str">
        <f t="shared" si="23"/>
        <v/>
      </c>
      <c r="AV28" s="40" t="str">
        <f t="shared" si="24"/>
        <v/>
      </c>
      <c r="AW28" s="40">
        <f t="shared" si="25"/>
        <v>47.61</v>
      </c>
      <c r="AX28" s="26"/>
      <c r="AY28" s="26"/>
      <c r="AZ28" s="26"/>
      <c r="BA28" s="26"/>
      <c r="BB28" s="26"/>
      <c r="BC28" s="26"/>
      <c r="BD28" s="26"/>
      <c r="BE28" s="26"/>
      <c r="BF28" s="26"/>
      <c r="BG28" s="26"/>
      <c r="BH28" s="26"/>
      <c r="BI28" s="26"/>
      <c r="BJ28" s="26"/>
      <c r="BK28" s="26"/>
      <c r="BL28" s="26"/>
      <c r="BM28" s="28"/>
      <c r="BN28" s="39" t="str">
        <f t="shared" si="26"/>
        <v/>
      </c>
      <c r="BO28" s="39" t="str">
        <f t="shared" si="27"/>
        <v/>
      </c>
      <c r="BP28" s="11" t="str">
        <f t="shared" si="28"/>
        <v/>
      </c>
      <c r="BQ28" s="11" t="str">
        <f t="shared" si="29"/>
        <v/>
      </c>
      <c r="BR28" s="11" t="str">
        <f t="shared" si="30"/>
        <v/>
      </c>
      <c r="BS28" s="11" t="str">
        <f t="shared" si="31"/>
        <v/>
      </c>
      <c r="BT28" s="11" t="str">
        <f t="shared" si="32"/>
        <v/>
      </c>
      <c r="BU28" s="11" t="str">
        <f t="shared" si="33"/>
        <v/>
      </c>
      <c r="BV28" s="11" t="str">
        <f t="shared" si="34"/>
        <v/>
      </c>
      <c r="BW28" s="11" t="str">
        <f t="shared" si="35"/>
        <v/>
      </c>
      <c r="BX28" s="11" t="str">
        <f t="shared" si="36"/>
        <v/>
      </c>
      <c r="BY28" s="22"/>
      <c r="BZ28" s="22"/>
      <c r="CA28" s="22"/>
      <c r="CB28" s="22"/>
      <c r="CC28" s="22"/>
      <c r="CD28" s="22"/>
      <c r="CE28" s="22"/>
      <c r="CF28" s="22"/>
      <c r="CG28" s="22"/>
      <c r="CH28" s="22"/>
      <c r="CI28" s="22"/>
      <c r="CJ28" s="22"/>
      <c r="CK28" s="22"/>
      <c r="CL28" s="22"/>
      <c r="CM28" s="22"/>
      <c r="CN28" s="27"/>
      <c r="CO28" s="38" t="str">
        <f t="shared" si="37"/>
        <v/>
      </c>
      <c r="CP28" s="38" t="str">
        <f t="shared" si="38"/>
        <v/>
      </c>
      <c r="CQ28" s="40" t="str">
        <f t="shared" si="39"/>
        <v/>
      </c>
      <c r="CR28" s="40" t="str">
        <f t="shared" si="40"/>
        <v/>
      </c>
      <c r="CS28" s="40" t="str">
        <f t="shared" si="41"/>
        <v/>
      </c>
      <c r="CT28" s="40" t="str">
        <f t="shared" si="42"/>
        <v/>
      </c>
      <c r="CU28" s="40" t="str">
        <f t="shared" si="43"/>
        <v/>
      </c>
      <c r="CV28" s="40" t="str">
        <f t="shared" si="44"/>
        <v/>
      </c>
      <c r="CW28" s="40" t="str">
        <f t="shared" si="45"/>
        <v/>
      </c>
      <c r="CX28" s="40" t="str">
        <f t="shared" si="46"/>
        <v/>
      </c>
      <c r="CY28" s="40" t="str">
        <f t="shared" si="47"/>
        <v/>
      </c>
      <c r="CZ28" s="50" t="str">
        <f t="shared" si="48"/>
        <v/>
      </c>
      <c r="DA28" s="50" t="str">
        <f t="shared" si="49"/>
        <v/>
      </c>
      <c r="DB28" s="17"/>
      <c r="DC28" s="17"/>
      <c r="DD28" s="17"/>
      <c r="DE28" s="17"/>
      <c r="DF28" s="17"/>
      <c r="DG28" s="17"/>
      <c r="DH28" s="17"/>
      <c r="DI28" s="17"/>
      <c r="DJ28" s="17"/>
      <c r="DK28" s="17"/>
      <c r="DL28" s="17"/>
      <c r="DM28" s="17"/>
      <c r="DN28" s="17"/>
      <c r="DO28" s="17"/>
      <c r="DP28" s="17"/>
      <c r="DQ28" s="17"/>
      <c r="DR28" s="17"/>
      <c r="DS28" s="17"/>
      <c r="DT28" s="17"/>
      <c r="DU28" s="17"/>
      <c r="DV28" s="40" t="str">
        <f t="shared" si="50"/>
        <v/>
      </c>
      <c r="DW28" s="40" t="str">
        <f t="shared" si="51"/>
        <v/>
      </c>
      <c r="DX28" s="40" t="str">
        <f t="shared" si="52"/>
        <v/>
      </c>
      <c r="DY28" s="40" t="str">
        <f t="shared" si="53"/>
        <v/>
      </c>
      <c r="DZ28" s="40" t="str">
        <f t="shared" si="54"/>
        <v/>
      </c>
      <c r="EA28" s="40" t="str">
        <f t="shared" si="55"/>
        <v/>
      </c>
      <c r="EB28" s="40" t="str">
        <f t="shared" si="56"/>
        <v/>
      </c>
      <c r="EC28" s="40" t="str">
        <f t="shared" si="57"/>
        <v/>
      </c>
      <c r="ED28" s="40" t="str">
        <f t="shared" si="58"/>
        <v/>
      </c>
      <c r="EE28" s="40" t="str">
        <f t="shared" si="59"/>
        <v/>
      </c>
      <c r="EF28" s="40" t="str">
        <f t="shared" si="60"/>
        <v/>
      </c>
      <c r="EG28" s="40" t="str">
        <f t="shared" si="61"/>
        <v/>
      </c>
      <c r="EH28" s="40" t="str">
        <f t="shared" si="62"/>
        <v/>
      </c>
      <c r="EI28" s="40" t="str">
        <f t="shared" si="63"/>
        <v/>
      </c>
      <c r="EJ28" s="18"/>
      <c r="EK28" s="18"/>
      <c r="EL28" s="18"/>
      <c r="EM28" s="18"/>
      <c r="EN28" s="18"/>
      <c r="EO28" s="18"/>
      <c r="EP28" s="18"/>
      <c r="EQ28" s="18"/>
      <c r="ER28" s="18"/>
      <c r="ES28" s="18"/>
      <c r="ET28" s="18"/>
      <c r="EU28" s="18"/>
      <c r="EV28" s="18"/>
      <c r="EW28" s="18"/>
      <c r="EX28" s="18"/>
      <c r="EY28" s="18"/>
      <c r="EZ28" s="18"/>
      <c r="FA28" s="18"/>
      <c r="FB28" s="18"/>
      <c r="FC28" s="18"/>
      <c r="FD28" s="11" t="str">
        <f t="shared" si="64"/>
        <v/>
      </c>
      <c r="FE28" s="11" t="str">
        <f t="shared" si="65"/>
        <v/>
      </c>
      <c r="FF28" s="11" t="str">
        <f t="shared" si="66"/>
        <v/>
      </c>
      <c r="FG28" s="11" t="str">
        <f t="shared" si="67"/>
        <v/>
      </c>
      <c r="FH28" s="11" t="str">
        <f t="shared" si="68"/>
        <v/>
      </c>
      <c r="FI28" s="11" t="str">
        <f t="shared" si="69"/>
        <v/>
      </c>
      <c r="FJ28" s="11" t="str">
        <f t="shared" si="70"/>
        <v/>
      </c>
      <c r="FK28" s="11" t="str">
        <f t="shared" si="71"/>
        <v/>
      </c>
      <c r="FL28" s="11" t="str">
        <f t="shared" si="72"/>
        <v/>
      </c>
      <c r="FM28" s="11" t="str">
        <f t="shared" si="73"/>
        <v/>
      </c>
      <c r="FN28" s="11" t="str">
        <f t="shared" si="74"/>
        <v/>
      </c>
      <c r="FO28" s="11" t="str">
        <f t="shared" si="75"/>
        <v/>
      </c>
      <c r="FP28" s="11" t="str">
        <f t="shared" si="76"/>
        <v/>
      </c>
      <c r="FQ28" s="11" t="str">
        <f t="shared" si="77"/>
        <v/>
      </c>
      <c r="FR28" s="17"/>
      <c r="FS28" s="17"/>
      <c r="FT28" s="17"/>
      <c r="FU28" s="17"/>
      <c r="FV28" s="17"/>
      <c r="FW28" s="17"/>
      <c r="FX28" s="17"/>
      <c r="FY28" s="17"/>
      <c r="FZ28" s="17"/>
      <c r="GA28" s="17"/>
      <c r="GB28" s="17"/>
      <c r="GC28" s="17"/>
      <c r="GD28" s="17"/>
      <c r="GE28" s="17"/>
      <c r="GF28" s="17"/>
      <c r="GG28" s="17"/>
      <c r="GH28" s="17"/>
      <c r="GI28" s="17"/>
      <c r="GJ28" s="17"/>
      <c r="GK28" s="17"/>
      <c r="GL28" s="40" t="str">
        <f t="shared" si="78"/>
        <v/>
      </c>
      <c r="GM28" s="40" t="str">
        <f t="shared" si="79"/>
        <v/>
      </c>
      <c r="GN28" s="40" t="str">
        <f t="shared" si="80"/>
        <v/>
      </c>
      <c r="GO28" s="40" t="str">
        <f t="shared" si="81"/>
        <v/>
      </c>
      <c r="GP28" s="40" t="str">
        <f t="shared" si="82"/>
        <v/>
      </c>
      <c r="GQ28" s="40" t="str">
        <f t="shared" si="83"/>
        <v/>
      </c>
      <c r="GR28" s="40" t="str">
        <f t="shared" si="84"/>
        <v/>
      </c>
      <c r="GS28" s="40" t="str">
        <f t="shared" si="85"/>
        <v/>
      </c>
      <c r="GT28" s="40" t="str">
        <f t="shared" si="86"/>
        <v/>
      </c>
      <c r="GU28" s="40" t="str">
        <f t="shared" si="87"/>
        <v/>
      </c>
      <c r="GV28" s="40" t="str">
        <f t="shared" si="88"/>
        <v/>
      </c>
      <c r="GW28" s="40" t="str">
        <f t="shared" si="89"/>
        <v/>
      </c>
      <c r="GX28" s="40" t="str">
        <f t="shared" si="90"/>
        <v/>
      </c>
      <c r="GY28" s="40" t="str">
        <f t="shared" si="91"/>
        <v/>
      </c>
      <c r="GZ28" s="18"/>
      <c r="HA28" s="18"/>
      <c r="HB28" s="18"/>
      <c r="HC28" s="18"/>
      <c r="HD28" s="18"/>
      <c r="HE28" s="18"/>
      <c r="HF28" s="18"/>
      <c r="HG28" s="18"/>
      <c r="HH28" s="18"/>
      <c r="HI28" s="18"/>
      <c r="HJ28" s="18"/>
      <c r="HK28" s="18"/>
      <c r="HL28" s="18"/>
      <c r="HM28" s="18"/>
      <c r="HN28" s="18"/>
      <c r="HO28" s="18"/>
      <c r="HP28" s="18"/>
      <c r="HQ28" s="18"/>
      <c r="HR28" s="18"/>
      <c r="HS28" s="18"/>
      <c r="HT28" s="11" t="str">
        <f t="shared" si="92"/>
        <v/>
      </c>
      <c r="HU28" s="11" t="str">
        <f t="shared" si="93"/>
        <v/>
      </c>
      <c r="HV28" s="11" t="str">
        <f t="shared" si="94"/>
        <v/>
      </c>
      <c r="HW28" s="11" t="str">
        <f t="shared" si="95"/>
        <v/>
      </c>
      <c r="HX28" s="11" t="str">
        <f t="shared" si="96"/>
        <v/>
      </c>
      <c r="HY28" s="11" t="str">
        <f t="shared" si="97"/>
        <v/>
      </c>
      <c r="HZ28" s="11" t="str">
        <f t="shared" si="98"/>
        <v/>
      </c>
      <c r="IA28" s="11" t="str">
        <f t="shared" si="99"/>
        <v/>
      </c>
      <c r="IB28" s="11" t="str">
        <f t="shared" si="100"/>
        <v/>
      </c>
      <c r="IC28" s="11" t="str">
        <f t="shared" si="101"/>
        <v/>
      </c>
      <c r="ID28" s="11" t="str">
        <f t="shared" si="102"/>
        <v/>
      </c>
      <c r="IE28" s="11" t="str">
        <f t="shared" si="103"/>
        <v/>
      </c>
      <c r="IF28" s="11" t="str">
        <f t="shared" si="104"/>
        <v/>
      </c>
      <c r="IG28" s="11" t="str">
        <f t="shared" si="105"/>
        <v/>
      </c>
      <c r="IH28" s="17"/>
      <c r="II28" s="17"/>
      <c r="IJ28" s="17"/>
      <c r="IK28" s="17"/>
      <c r="IL28" s="17"/>
      <c r="IM28" s="17"/>
      <c r="IN28" s="17"/>
      <c r="IO28" s="17"/>
      <c r="IP28" s="17"/>
      <c r="IQ28" s="17"/>
      <c r="IR28" s="17"/>
      <c r="IS28" s="17"/>
      <c r="IT28" s="17"/>
      <c r="IU28" s="17"/>
      <c r="IV28" s="17"/>
      <c r="IW28" s="17"/>
      <c r="IX28" s="17"/>
      <c r="IY28" s="17"/>
      <c r="IZ28" s="17"/>
      <c r="JA28" s="17"/>
      <c r="JB28" s="40" t="str">
        <f t="shared" si="106"/>
        <v/>
      </c>
      <c r="JC28" s="40" t="str">
        <f t="shared" si="107"/>
        <v/>
      </c>
      <c r="JD28" s="40" t="str">
        <f t="shared" si="108"/>
        <v/>
      </c>
      <c r="JE28" s="40" t="str">
        <f t="shared" si="109"/>
        <v/>
      </c>
      <c r="JF28" s="40" t="str">
        <f t="shared" si="110"/>
        <v/>
      </c>
      <c r="JG28" s="40" t="str">
        <f t="shared" si="111"/>
        <v/>
      </c>
      <c r="JH28" s="40" t="str">
        <f t="shared" si="112"/>
        <v/>
      </c>
      <c r="JI28" s="40" t="str">
        <f t="shared" si="113"/>
        <v/>
      </c>
      <c r="JJ28" s="40" t="str">
        <f t="shared" si="114"/>
        <v/>
      </c>
      <c r="JK28" s="40" t="str">
        <f t="shared" si="115"/>
        <v/>
      </c>
      <c r="JL28" s="40" t="str">
        <f t="shared" si="116"/>
        <v/>
      </c>
      <c r="JM28" s="40" t="str">
        <f t="shared" si="117"/>
        <v/>
      </c>
      <c r="JN28" s="40" t="str">
        <f t="shared" si="118"/>
        <v/>
      </c>
      <c r="JO28" s="40" t="str">
        <f t="shared" si="119"/>
        <v/>
      </c>
      <c r="JP28" s="18"/>
      <c r="JQ28" s="18"/>
      <c r="JR28" s="18"/>
      <c r="JS28" s="18"/>
      <c r="JT28" s="18"/>
      <c r="JU28" s="18"/>
      <c r="JV28" s="18"/>
      <c r="JW28" s="18"/>
      <c r="JX28" s="18"/>
      <c r="JY28" s="18"/>
      <c r="JZ28" s="18"/>
      <c r="KA28" s="18"/>
      <c r="KB28" s="18"/>
      <c r="KC28" s="18"/>
      <c r="KD28" s="18"/>
      <c r="KE28" s="18"/>
      <c r="KF28" s="18"/>
      <c r="KG28" s="18"/>
      <c r="KH28" s="18"/>
      <c r="KI28" s="18"/>
      <c r="KJ28" s="11" t="str">
        <f t="shared" si="120"/>
        <v/>
      </c>
      <c r="KK28" s="11" t="str">
        <f t="shared" si="121"/>
        <v/>
      </c>
      <c r="KL28" s="11" t="str">
        <f t="shared" si="122"/>
        <v/>
      </c>
      <c r="KM28" s="11" t="str">
        <f t="shared" si="123"/>
        <v/>
      </c>
      <c r="KN28" s="11" t="str">
        <f t="shared" si="124"/>
        <v/>
      </c>
      <c r="KO28" s="11" t="str">
        <f t="shared" si="125"/>
        <v/>
      </c>
      <c r="KP28" s="11" t="str">
        <f t="shared" si="126"/>
        <v/>
      </c>
      <c r="KQ28" s="11" t="str">
        <f t="shared" si="127"/>
        <v/>
      </c>
      <c r="KR28" s="11" t="str">
        <f t="shared" si="128"/>
        <v/>
      </c>
      <c r="KS28" s="11" t="str">
        <f t="shared" si="129"/>
        <v/>
      </c>
      <c r="KT28" s="11" t="str">
        <f t="shared" si="130"/>
        <v/>
      </c>
      <c r="KU28" s="11" t="str">
        <f t="shared" si="131"/>
        <v/>
      </c>
      <c r="KV28" s="11" t="str">
        <f t="shared" si="132"/>
        <v/>
      </c>
      <c r="KW28" s="11" t="str">
        <f t="shared" si="133"/>
        <v/>
      </c>
      <c r="KX28" s="17"/>
      <c r="KY28" s="17"/>
      <c r="KZ28" s="17"/>
      <c r="LA28" s="17"/>
      <c r="LB28" s="17"/>
      <c r="LC28" s="17"/>
      <c r="LD28" s="17"/>
      <c r="LE28" s="17"/>
      <c r="LF28" s="17"/>
      <c r="LG28" s="17"/>
      <c r="LH28" s="17"/>
      <c r="LI28" s="17"/>
      <c r="LJ28" s="17"/>
      <c r="LK28" s="17"/>
      <c r="LL28" s="17"/>
      <c r="LM28" s="17"/>
      <c r="LN28" s="17"/>
      <c r="LO28" s="17"/>
      <c r="LP28" s="17"/>
      <c r="LQ28" s="17"/>
      <c r="LR28" s="40" t="str">
        <f t="shared" si="134"/>
        <v/>
      </c>
      <c r="LS28" s="40" t="str">
        <f t="shared" si="135"/>
        <v/>
      </c>
      <c r="LT28" s="40" t="str">
        <f t="shared" si="136"/>
        <v/>
      </c>
      <c r="LU28" s="40" t="str">
        <f t="shared" si="137"/>
        <v/>
      </c>
      <c r="LV28" s="40" t="str">
        <f t="shared" si="138"/>
        <v/>
      </c>
      <c r="LW28" s="40" t="str">
        <f t="shared" si="139"/>
        <v/>
      </c>
      <c r="LX28" s="40" t="str">
        <f t="shared" si="140"/>
        <v/>
      </c>
      <c r="LY28" s="40" t="str">
        <f t="shared" si="141"/>
        <v/>
      </c>
      <c r="LZ28" s="40" t="str">
        <f t="shared" si="142"/>
        <v/>
      </c>
      <c r="MA28" s="40" t="str">
        <f t="shared" si="143"/>
        <v/>
      </c>
      <c r="MB28" s="40" t="str">
        <f t="shared" si="144"/>
        <v/>
      </c>
      <c r="MC28" s="40" t="str">
        <f t="shared" si="145"/>
        <v/>
      </c>
      <c r="MD28" s="40" t="str">
        <f t="shared" si="146"/>
        <v/>
      </c>
      <c r="ME28" s="40" t="str">
        <f t="shared" si="147"/>
        <v/>
      </c>
      <c r="MF28" s="18"/>
      <c r="MG28" s="18"/>
      <c r="MH28" s="18"/>
      <c r="MI28" s="18"/>
      <c r="MJ28" s="18"/>
      <c r="MK28" s="18"/>
      <c r="ML28" s="18"/>
      <c r="MM28" s="18"/>
      <c r="MN28" s="18"/>
      <c r="MO28" s="18"/>
      <c r="MP28" s="18"/>
      <c r="MQ28" s="18"/>
      <c r="MR28" s="18"/>
      <c r="MS28" s="18"/>
      <c r="MT28" s="18"/>
      <c r="MU28" s="18"/>
      <c r="MV28" s="18"/>
      <c r="MW28" s="18"/>
      <c r="MX28" s="18"/>
      <c r="MY28" s="18"/>
      <c r="MZ28" s="11" t="str">
        <f t="shared" si="148"/>
        <v/>
      </c>
      <c r="NA28" s="11" t="str">
        <f t="shared" si="149"/>
        <v/>
      </c>
      <c r="NB28" s="11" t="str">
        <f t="shared" si="150"/>
        <v/>
      </c>
      <c r="NC28" s="11" t="str">
        <f t="shared" si="151"/>
        <v/>
      </c>
      <c r="ND28" s="11" t="str">
        <f t="shared" si="152"/>
        <v/>
      </c>
      <c r="NE28" s="11" t="str">
        <f t="shared" si="153"/>
        <v/>
      </c>
      <c r="NF28" s="11" t="str">
        <f t="shared" si="154"/>
        <v/>
      </c>
      <c r="NG28" s="11" t="str">
        <f t="shared" si="155"/>
        <v/>
      </c>
      <c r="NH28" s="11" t="str">
        <f t="shared" si="156"/>
        <v/>
      </c>
      <c r="NI28" s="11" t="str">
        <f t="shared" si="157"/>
        <v/>
      </c>
      <c r="NJ28" s="11" t="str">
        <f t="shared" si="158"/>
        <v/>
      </c>
      <c r="NK28" s="11" t="str">
        <f t="shared" si="159"/>
        <v/>
      </c>
      <c r="NL28" s="11" t="str">
        <f t="shared" si="160"/>
        <v/>
      </c>
      <c r="NM28" s="11" t="str">
        <f t="shared" si="161"/>
        <v/>
      </c>
      <c r="NN28" s="17"/>
      <c r="NO28" s="17"/>
      <c r="NP28" s="17"/>
      <c r="NQ28" s="17"/>
      <c r="NR28" s="17"/>
      <c r="NS28" s="17"/>
      <c r="NT28" s="17"/>
      <c r="NU28" s="17"/>
      <c r="NV28" s="17"/>
      <c r="NW28" s="17"/>
      <c r="NX28" s="17"/>
      <c r="NY28" s="17"/>
      <c r="NZ28" s="17"/>
      <c r="OA28" s="17"/>
      <c r="OB28" s="17"/>
      <c r="OC28" s="17"/>
      <c r="OD28" s="17"/>
      <c r="OE28" s="17"/>
      <c r="OF28" s="17"/>
      <c r="OG28" s="17"/>
      <c r="OH28" s="40" t="str">
        <f t="shared" si="162"/>
        <v/>
      </c>
      <c r="OI28" s="40" t="str">
        <f t="shared" si="163"/>
        <v/>
      </c>
      <c r="OJ28" s="40" t="str">
        <f t="shared" si="164"/>
        <v/>
      </c>
      <c r="OK28" s="40" t="str">
        <f t="shared" si="165"/>
        <v/>
      </c>
      <c r="OL28" s="40" t="str">
        <f t="shared" si="166"/>
        <v/>
      </c>
      <c r="OM28" s="40" t="str">
        <f t="shared" si="167"/>
        <v/>
      </c>
      <c r="ON28" s="40" t="str">
        <f t="shared" si="168"/>
        <v/>
      </c>
      <c r="OO28" s="40" t="str">
        <f t="shared" si="169"/>
        <v/>
      </c>
      <c r="OP28" s="40" t="str">
        <f t="shared" si="170"/>
        <v/>
      </c>
      <c r="OQ28" s="40" t="str">
        <f t="shared" si="171"/>
        <v/>
      </c>
      <c r="OR28" s="40" t="str">
        <f t="shared" si="172"/>
        <v/>
      </c>
      <c r="OS28" s="40" t="str">
        <f t="shared" si="173"/>
        <v/>
      </c>
      <c r="OT28" s="40" t="str">
        <f t="shared" si="174"/>
        <v/>
      </c>
      <c r="OU28" s="40" t="str">
        <f t="shared" si="175"/>
        <v/>
      </c>
      <c r="OV28" s="18"/>
      <c r="OW28" s="18"/>
      <c r="OX28" s="18"/>
      <c r="OY28" s="18"/>
      <c r="OZ28" s="18"/>
      <c r="PA28" s="18"/>
      <c r="PB28" s="18"/>
      <c r="PC28" s="18"/>
      <c r="PD28" s="18"/>
      <c r="PE28" s="18"/>
      <c r="PF28" s="18"/>
      <c r="PG28" s="18"/>
      <c r="PH28" s="18"/>
      <c r="PI28" s="18"/>
      <c r="PJ28" s="18"/>
      <c r="PK28" s="18"/>
      <c r="PL28" s="18"/>
      <c r="PM28" s="18"/>
      <c r="PN28" s="18"/>
      <c r="PO28" s="18"/>
      <c r="PP28" s="11" t="str">
        <f t="shared" si="176"/>
        <v/>
      </c>
      <c r="PQ28" s="11" t="str">
        <f t="shared" si="177"/>
        <v/>
      </c>
      <c r="PR28" s="11" t="str">
        <f t="shared" si="178"/>
        <v/>
      </c>
      <c r="PS28" s="11" t="str">
        <f t="shared" si="179"/>
        <v/>
      </c>
      <c r="PT28" s="11" t="str">
        <f t="shared" si="180"/>
        <v/>
      </c>
      <c r="PU28" s="11" t="str">
        <f t="shared" si="181"/>
        <v/>
      </c>
      <c r="PV28" s="11" t="str">
        <f t="shared" si="182"/>
        <v/>
      </c>
      <c r="PW28" s="11" t="str">
        <f t="shared" si="183"/>
        <v/>
      </c>
      <c r="PX28" s="11" t="str">
        <f t="shared" si="184"/>
        <v/>
      </c>
      <c r="PY28" s="11" t="str">
        <f t="shared" si="185"/>
        <v/>
      </c>
      <c r="PZ28" s="11" t="str">
        <f t="shared" si="186"/>
        <v/>
      </c>
      <c r="QA28" s="11" t="str">
        <f t="shared" si="187"/>
        <v/>
      </c>
      <c r="QB28" s="11" t="str">
        <f t="shared" si="188"/>
        <v/>
      </c>
      <c r="QC28" s="11" t="str">
        <f t="shared" si="189"/>
        <v/>
      </c>
      <c r="QD28" s="17"/>
      <c r="QE28" s="17"/>
      <c r="QF28" s="17"/>
      <c r="QG28" s="17"/>
      <c r="QH28" s="17"/>
      <c r="QI28" s="17"/>
      <c r="QJ28" s="17"/>
      <c r="QK28" s="17"/>
      <c r="QL28" s="17"/>
      <c r="QM28" s="17"/>
      <c r="QN28" s="17"/>
      <c r="QO28" s="17"/>
      <c r="QP28" s="17"/>
      <c r="QQ28" s="17"/>
      <c r="QR28" s="17"/>
      <c r="QS28" s="17"/>
      <c r="QT28" s="17"/>
      <c r="QU28" s="17"/>
      <c r="QV28" s="17"/>
      <c r="QW28" s="17"/>
      <c r="QX28" s="40" t="str">
        <f t="shared" si="190"/>
        <v/>
      </c>
      <c r="QY28" s="40" t="str">
        <f t="shared" si="191"/>
        <v/>
      </c>
      <c r="QZ28" s="40" t="str">
        <f t="shared" si="192"/>
        <v/>
      </c>
      <c r="RA28" s="40" t="str">
        <f t="shared" si="193"/>
        <v/>
      </c>
      <c r="RB28" s="40" t="str">
        <f t="shared" si="194"/>
        <v/>
      </c>
      <c r="RC28" s="40" t="str">
        <f t="shared" si="195"/>
        <v/>
      </c>
      <c r="RD28" s="40" t="str">
        <f t="shared" si="196"/>
        <v/>
      </c>
      <c r="RE28" s="40" t="str">
        <f t="shared" si="197"/>
        <v/>
      </c>
      <c r="RF28" s="40" t="str">
        <f t="shared" si="198"/>
        <v/>
      </c>
      <c r="RG28" s="40" t="str">
        <f t="shared" si="199"/>
        <v/>
      </c>
      <c r="RH28" s="40" t="str">
        <f t="shared" si="200"/>
        <v/>
      </c>
      <c r="RI28" s="40" t="str">
        <f t="shared" si="201"/>
        <v/>
      </c>
      <c r="RJ28" s="40" t="str">
        <f t="shared" si="202"/>
        <v/>
      </c>
      <c r="RK28" s="40" t="str">
        <f t="shared" si="203"/>
        <v/>
      </c>
      <c r="RL28" s="18"/>
      <c r="RM28" s="18"/>
      <c r="RN28" s="18"/>
      <c r="RO28" s="18"/>
      <c r="RP28" s="18"/>
      <c r="RQ28" s="18"/>
      <c r="RR28" s="18"/>
      <c r="RS28" s="18"/>
      <c r="RT28" s="18"/>
      <c r="RU28" s="18"/>
      <c r="RV28" s="18"/>
      <c r="RW28" s="18"/>
      <c r="RX28" s="18"/>
      <c r="RY28" s="18"/>
      <c r="RZ28" s="18"/>
      <c r="SA28" s="18"/>
      <c r="SB28" s="18"/>
      <c r="SC28" s="18"/>
      <c r="SD28" s="18"/>
      <c r="SE28" s="18"/>
      <c r="SF28" s="11" t="str">
        <f t="shared" si="204"/>
        <v/>
      </c>
      <c r="SG28" s="11" t="str">
        <f t="shared" si="205"/>
        <v/>
      </c>
      <c r="SH28" s="11" t="str">
        <f t="shared" si="206"/>
        <v/>
      </c>
      <c r="SI28" s="11" t="str">
        <f t="shared" si="207"/>
        <v/>
      </c>
      <c r="SJ28" s="11" t="str">
        <f t="shared" si="208"/>
        <v/>
      </c>
      <c r="SK28" s="11" t="str">
        <f t="shared" si="209"/>
        <v/>
      </c>
      <c r="SL28" s="11" t="str">
        <f t="shared" si="210"/>
        <v/>
      </c>
      <c r="SM28" s="11" t="str">
        <f t="shared" si="211"/>
        <v/>
      </c>
      <c r="SN28" s="11" t="str">
        <f t="shared" si="212"/>
        <v/>
      </c>
      <c r="SO28" s="11" t="str">
        <f t="shared" si="213"/>
        <v/>
      </c>
      <c r="SP28" s="11" t="str">
        <f t="shared" si="214"/>
        <v/>
      </c>
      <c r="SQ28" s="11" t="str">
        <f t="shared" si="215"/>
        <v/>
      </c>
      <c r="SR28" s="11" t="str">
        <f t="shared" si="216"/>
        <v/>
      </c>
      <c r="SS28" s="11" t="str">
        <f t="shared" si="217"/>
        <v/>
      </c>
      <c r="ST28" s="22">
        <f t="shared" si="218"/>
        <v>0</v>
      </c>
      <c r="SU28" s="22">
        <f t="shared" si="219"/>
        <v>0</v>
      </c>
      <c r="SV28" s="22">
        <f t="shared" si="220"/>
        <v>0</v>
      </c>
      <c r="SW28" s="22">
        <f t="shared" si="221"/>
        <v>0</v>
      </c>
      <c r="SX28" s="22">
        <f t="shared" si="222"/>
        <v>0</v>
      </c>
      <c r="SY28" s="22">
        <f t="shared" si="223"/>
        <v>0</v>
      </c>
      <c r="SZ28" s="22">
        <f t="shared" si="224"/>
        <v>0</v>
      </c>
      <c r="TA28" s="22">
        <f t="shared" si="225"/>
        <v>0</v>
      </c>
      <c r="TB28" s="22">
        <f t="shared" si="226"/>
        <v>0</v>
      </c>
      <c r="TC28" s="22">
        <f t="shared" si="227"/>
        <v>0</v>
      </c>
      <c r="TD28" s="22">
        <f t="shared" si="228"/>
        <v>0</v>
      </c>
      <c r="TE28" s="22">
        <f t="shared" si="229"/>
        <v>0</v>
      </c>
      <c r="TF28" s="22">
        <f t="shared" si="230"/>
        <v>0</v>
      </c>
      <c r="TG28" s="22">
        <f t="shared" si="231"/>
        <v>0</v>
      </c>
      <c r="TH28" s="22">
        <f t="shared" si="232"/>
        <v>0</v>
      </c>
      <c r="TI28" s="27" t="s">
        <v>46</v>
      </c>
      <c r="TJ28" s="40" t="str">
        <f t="shared" si="233"/>
        <v/>
      </c>
      <c r="TK28" s="40" t="str">
        <f t="shared" si="234"/>
        <v/>
      </c>
      <c r="TL28" s="40" t="str">
        <f t="shared" si="235"/>
        <v/>
      </c>
      <c r="TM28" s="40" t="str">
        <f t="shared" si="236"/>
        <v/>
      </c>
      <c r="TN28" s="40" t="str">
        <f t="shared" si="237"/>
        <v/>
      </c>
      <c r="TO28" s="40" t="str">
        <f t="shared" si="238"/>
        <v/>
      </c>
      <c r="TP28" s="40" t="str">
        <f t="shared" si="239"/>
        <v/>
      </c>
      <c r="TQ28" s="40" t="str">
        <f t="shared" si="240"/>
        <v/>
      </c>
      <c r="TR28" s="40" t="str">
        <f t="shared" si="241"/>
        <v/>
      </c>
      <c r="TS28" s="40" t="str">
        <f t="shared" si="242"/>
        <v/>
      </c>
      <c r="TT28" s="40" t="str">
        <f t="shared" si="243"/>
        <v/>
      </c>
    </row>
    <row r="29" spans="1:540" x14ac:dyDescent="0.2">
      <c r="A29" s="4" t="str" cm="1">
        <f t="array" ref="A29">IF(AND(F29&lt;&gt;"",G29&lt;&gt;""),SUMPRODUCT((F$4:F$35&lt;&gt;"")*(G$4:G$35&lt;&gt;"")*(E$4:E$35&gt;E29))+1,IF(G29&lt;&gt;"",SUMPRODUCT((H$4:H$35="No DD")*(E$4:E$35&gt;E29))+1+SUMPRODUCT((F$4:F$35&lt;&gt;"")*(G$4:G$35&lt;&gt;"")),""))</f>
        <v/>
      </c>
      <c r="B29" s="5" t="s">
        <v>206</v>
      </c>
      <c r="C29" s="4" t="s">
        <v>3</v>
      </c>
      <c r="D29" s="4">
        <v>2003</v>
      </c>
      <c r="E29" s="9">
        <f t="shared" si="0"/>
        <v>43.460004346003039</v>
      </c>
      <c r="F29" s="3" t="str">
        <f t="shared" si="1"/>
        <v/>
      </c>
      <c r="G29" s="3" t="str">
        <f t="shared" si="2"/>
        <v/>
      </c>
      <c r="H29" s="36" t="str">
        <f t="shared" si="3"/>
        <v/>
      </c>
      <c r="I29" s="3" t="str">
        <f t="shared" si="4"/>
        <v/>
      </c>
      <c r="J29" s="8">
        <f>IF(COUNT(AO29,AR29,BP29,BS29,CQ29,CT29)&gt;0,LARGE((AO29,AR29,BP29,BS29,CQ29,CT29),1),0)</f>
        <v>30.42</v>
      </c>
      <c r="K29" s="8" t="str">
        <f t="shared" si="5"/>
        <v>2023 Elite Canada</v>
      </c>
      <c r="L29" s="8">
        <f>IF(COUNT(AO29,AR29,BP29,BS29,CQ29,CT29)&gt;1,LARGE((AO29,AR29,BP29,BS29,CQ29,CT29),2),0)</f>
        <v>9.64</v>
      </c>
      <c r="M29" s="8" t="str">
        <f t="shared" si="6"/>
        <v>2023 Elite Canada</v>
      </c>
      <c r="N29" s="8">
        <f>IF(COUNT(AO29,AR29,BP29,BS29,CQ29,CT29)&gt;2,MAX(AV29,BW29,CX29,LARGE((AO29,AR29,BP29,BS29,CQ29,CT29),3)),IF(MAX(AV29,BW29,CX29)&gt;0,MAX(AV29,BW29,CX29),0))</f>
        <v>0</v>
      </c>
      <c r="O29" s="8" t="str">
        <f t="shared" si="7"/>
        <v/>
      </c>
      <c r="P29" s="8">
        <f t="shared" si="8"/>
        <v>3.4</v>
      </c>
      <c r="Q29" s="8" t="str">
        <f t="shared" si="9"/>
        <v>2023 Elite Canada</v>
      </c>
      <c r="R29" s="8">
        <f t="shared" si="10"/>
        <v>0</v>
      </c>
      <c r="S29" s="8" t="str">
        <f t="shared" si="11"/>
        <v/>
      </c>
      <c r="T29" s="8" t="str">
        <f t="shared" si="12"/>
        <v/>
      </c>
      <c r="U29" s="11" t="str">
        <f t="shared" si="13"/>
        <v/>
      </c>
      <c r="V29" s="8" t="str">
        <f t="shared" si="14"/>
        <v/>
      </c>
      <c r="W29" s="22"/>
      <c r="X29" s="22"/>
      <c r="Y29" s="22"/>
      <c r="Z29" s="22"/>
      <c r="AA29" s="22"/>
      <c r="AB29" s="22"/>
      <c r="AC29" s="22"/>
      <c r="AD29" s="22"/>
      <c r="AE29" s="22"/>
      <c r="AF29" s="22"/>
      <c r="AG29" s="22"/>
      <c r="AH29" s="22"/>
      <c r="AI29" s="22"/>
      <c r="AJ29" s="22"/>
      <c r="AK29" s="22"/>
      <c r="AL29" s="27"/>
      <c r="AM29" s="38" t="str">
        <f t="shared" si="15"/>
        <v/>
      </c>
      <c r="AN29" s="38" t="str">
        <f t="shared" si="16"/>
        <v/>
      </c>
      <c r="AO29" s="40" t="str">
        <f t="shared" si="17"/>
        <v/>
      </c>
      <c r="AP29" s="40" t="str">
        <f t="shared" si="18"/>
        <v/>
      </c>
      <c r="AQ29" s="40" t="str">
        <f t="shared" si="19"/>
        <v/>
      </c>
      <c r="AR29" s="40" t="str">
        <f t="shared" si="20"/>
        <v/>
      </c>
      <c r="AS29" s="40" t="str">
        <f t="shared" si="21"/>
        <v/>
      </c>
      <c r="AT29" s="40" t="str">
        <f t="shared" si="22"/>
        <v/>
      </c>
      <c r="AU29" s="40" t="str">
        <f t="shared" si="23"/>
        <v/>
      </c>
      <c r="AV29" s="40" t="str">
        <f t="shared" si="24"/>
        <v/>
      </c>
      <c r="AW29" s="40" t="str">
        <f t="shared" si="25"/>
        <v/>
      </c>
      <c r="AX29" s="26"/>
      <c r="AY29" s="26"/>
      <c r="AZ29" s="26"/>
      <c r="BA29" s="26"/>
      <c r="BB29" s="26"/>
      <c r="BC29" s="26"/>
      <c r="BD29" s="26"/>
      <c r="BE29" s="26"/>
      <c r="BF29" s="26"/>
      <c r="BG29" s="26"/>
      <c r="BH29" s="26"/>
      <c r="BI29" s="26"/>
      <c r="BJ29" s="26"/>
      <c r="BK29" s="26"/>
      <c r="BL29" s="26"/>
      <c r="BM29" s="28"/>
      <c r="BN29" s="39" t="str">
        <f t="shared" si="26"/>
        <v/>
      </c>
      <c r="BO29" s="39" t="str">
        <f t="shared" si="27"/>
        <v/>
      </c>
      <c r="BP29" s="11" t="str">
        <f t="shared" si="28"/>
        <v/>
      </c>
      <c r="BQ29" s="11" t="str">
        <f t="shared" si="29"/>
        <v/>
      </c>
      <c r="BR29" s="11" t="str">
        <f t="shared" si="30"/>
        <v/>
      </c>
      <c r="BS29" s="11" t="str">
        <f t="shared" si="31"/>
        <v/>
      </c>
      <c r="BT29" s="11" t="str">
        <f t="shared" si="32"/>
        <v/>
      </c>
      <c r="BU29" s="11" t="str">
        <f t="shared" si="33"/>
        <v/>
      </c>
      <c r="BV29" s="11" t="str">
        <f t="shared" si="34"/>
        <v/>
      </c>
      <c r="BW29" s="11" t="str">
        <f t="shared" si="35"/>
        <v/>
      </c>
      <c r="BX29" s="11" t="str">
        <f t="shared" si="36"/>
        <v/>
      </c>
      <c r="BY29" s="22">
        <v>2.8</v>
      </c>
      <c r="BZ29" s="22">
        <v>1.7</v>
      </c>
      <c r="CA29" s="22">
        <v>2.1</v>
      </c>
      <c r="CB29" s="22">
        <v>3.04</v>
      </c>
      <c r="CC29" s="22">
        <v>0</v>
      </c>
      <c r="CD29" s="22">
        <v>17.600000000000001</v>
      </c>
      <c r="CE29" s="22">
        <v>3.7</v>
      </c>
      <c r="CF29" s="22">
        <v>3.4</v>
      </c>
      <c r="CG29" s="22">
        <v>6.12</v>
      </c>
      <c r="CH29" s="22">
        <v>0.4</v>
      </c>
      <c r="CI29" s="22"/>
      <c r="CJ29" s="22"/>
      <c r="CK29" s="22"/>
      <c r="CL29" s="22"/>
      <c r="CM29" s="22"/>
      <c r="CN29" s="27"/>
      <c r="CO29" s="38">
        <f t="shared" si="37"/>
        <v>2.1</v>
      </c>
      <c r="CP29" s="38">
        <f t="shared" si="38"/>
        <v>3.04</v>
      </c>
      <c r="CQ29" s="40">
        <f t="shared" si="39"/>
        <v>9.64</v>
      </c>
      <c r="CR29" s="40">
        <f t="shared" si="40"/>
        <v>3.4</v>
      </c>
      <c r="CS29" s="40">
        <f t="shared" si="41"/>
        <v>6.12</v>
      </c>
      <c r="CT29" s="40">
        <f t="shared" si="42"/>
        <v>30.42</v>
      </c>
      <c r="CU29" s="40">
        <f t="shared" si="43"/>
        <v>30.42</v>
      </c>
      <c r="CV29" s="40" t="str">
        <f t="shared" si="44"/>
        <v/>
      </c>
      <c r="CW29" s="40" t="str">
        <f t="shared" si="45"/>
        <v/>
      </c>
      <c r="CX29" s="40" t="str">
        <f t="shared" si="46"/>
        <v/>
      </c>
      <c r="CY29" s="40">
        <f t="shared" si="47"/>
        <v>30.42</v>
      </c>
      <c r="CZ29" s="50" t="str">
        <f t="shared" si="48"/>
        <v/>
      </c>
      <c r="DA29" s="50" t="str">
        <f t="shared" si="49"/>
        <v/>
      </c>
      <c r="DB29" s="17"/>
      <c r="DC29" s="17"/>
      <c r="DD29" s="17"/>
      <c r="DE29" s="17"/>
      <c r="DF29" s="17"/>
      <c r="DG29" s="17"/>
      <c r="DH29" s="17"/>
      <c r="DI29" s="17"/>
      <c r="DJ29" s="17"/>
      <c r="DK29" s="17"/>
      <c r="DL29" s="17"/>
      <c r="DM29" s="17"/>
      <c r="DN29" s="17"/>
      <c r="DO29" s="17"/>
      <c r="DP29" s="17"/>
      <c r="DQ29" s="17"/>
      <c r="DR29" s="17"/>
      <c r="DS29" s="17"/>
      <c r="DT29" s="17"/>
      <c r="DU29" s="17"/>
      <c r="DV29" s="40" t="str">
        <f t="shared" si="50"/>
        <v/>
      </c>
      <c r="DW29" s="40" t="str">
        <f t="shared" si="51"/>
        <v/>
      </c>
      <c r="DX29" s="40" t="str">
        <f t="shared" si="52"/>
        <v/>
      </c>
      <c r="DY29" s="40" t="str">
        <f t="shared" si="53"/>
        <v/>
      </c>
      <c r="DZ29" s="40" t="str">
        <f t="shared" si="54"/>
        <v/>
      </c>
      <c r="EA29" s="40" t="str">
        <f t="shared" si="55"/>
        <v/>
      </c>
      <c r="EB29" s="40" t="str">
        <f t="shared" si="56"/>
        <v/>
      </c>
      <c r="EC29" s="40" t="str">
        <f t="shared" si="57"/>
        <v/>
      </c>
      <c r="ED29" s="40" t="str">
        <f t="shared" si="58"/>
        <v/>
      </c>
      <c r="EE29" s="40" t="str">
        <f t="shared" si="59"/>
        <v/>
      </c>
      <c r="EF29" s="40" t="str">
        <f t="shared" si="60"/>
        <v/>
      </c>
      <c r="EG29" s="40" t="str">
        <f t="shared" si="61"/>
        <v/>
      </c>
      <c r="EH29" s="40" t="str">
        <f t="shared" si="62"/>
        <v/>
      </c>
      <c r="EI29" s="40" t="str">
        <f t="shared" si="63"/>
        <v/>
      </c>
      <c r="EJ29" s="18"/>
      <c r="EK29" s="18"/>
      <c r="EL29" s="18"/>
      <c r="EM29" s="18"/>
      <c r="EN29" s="18"/>
      <c r="EO29" s="18"/>
      <c r="EP29" s="18"/>
      <c r="EQ29" s="18"/>
      <c r="ER29" s="18"/>
      <c r="ES29" s="18"/>
      <c r="ET29" s="18"/>
      <c r="EU29" s="18"/>
      <c r="EV29" s="18"/>
      <c r="EW29" s="18"/>
      <c r="EX29" s="18"/>
      <c r="EY29" s="18"/>
      <c r="EZ29" s="18"/>
      <c r="FA29" s="18"/>
      <c r="FB29" s="18"/>
      <c r="FC29" s="18"/>
      <c r="FD29" s="11" t="str">
        <f t="shared" si="64"/>
        <v/>
      </c>
      <c r="FE29" s="11" t="str">
        <f t="shared" si="65"/>
        <v/>
      </c>
      <c r="FF29" s="11" t="str">
        <f t="shared" si="66"/>
        <v/>
      </c>
      <c r="FG29" s="11" t="str">
        <f t="shared" si="67"/>
        <v/>
      </c>
      <c r="FH29" s="11" t="str">
        <f t="shared" si="68"/>
        <v/>
      </c>
      <c r="FI29" s="11" t="str">
        <f t="shared" si="69"/>
        <v/>
      </c>
      <c r="FJ29" s="11" t="str">
        <f t="shared" si="70"/>
        <v/>
      </c>
      <c r="FK29" s="11" t="str">
        <f t="shared" si="71"/>
        <v/>
      </c>
      <c r="FL29" s="11" t="str">
        <f t="shared" si="72"/>
        <v/>
      </c>
      <c r="FM29" s="11" t="str">
        <f t="shared" si="73"/>
        <v/>
      </c>
      <c r="FN29" s="11" t="str">
        <f t="shared" si="74"/>
        <v/>
      </c>
      <c r="FO29" s="11" t="str">
        <f t="shared" si="75"/>
        <v/>
      </c>
      <c r="FP29" s="11" t="str">
        <f t="shared" si="76"/>
        <v/>
      </c>
      <c r="FQ29" s="11" t="str">
        <f t="shared" si="77"/>
        <v/>
      </c>
      <c r="FR29" s="17"/>
      <c r="FS29" s="17"/>
      <c r="FT29" s="17"/>
      <c r="FU29" s="17"/>
      <c r="FV29" s="17"/>
      <c r="FW29" s="17"/>
      <c r="FX29" s="17"/>
      <c r="FY29" s="17"/>
      <c r="FZ29" s="17"/>
      <c r="GA29" s="17"/>
      <c r="GB29" s="17"/>
      <c r="GC29" s="17"/>
      <c r="GD29" s="17"/>
      <c r="GE29" s="17"/>
      <c r="GF29" s="17"/>
      <c r="GG29" s="17"/>
      <c r="GH29" s="17"/>
      <c r="GI29" s="17"/>
      <c r="GJ29" s="17"/>
      <c r="GK29" s="17"/>
      <c r="GL29" s="40" t="str">
        <f t="shared" si="78"/>
        <v/>
      </c>
      <c r="GM29" s="40" t="str">
        <f t="shared" si="79"/>
        <v/>
      </c>
      <c r="GN29" s="40" t="str">
        <f t="shared" si="80"/>
        <v/>
      </c>
      <c r="GO29" s="40" t="str">
        <f t="shared" si="81"/>
        <v/>
      </c>
      <c r="GP29" s="40" t="str">
        <f t="shared" si="82"/>
        <v/>
      </c>
      <c r="GQ29" s="40" t="str">
        <f t="shared" si="83"/>
        <v/>
      </c>
      <c r="GR29" s="40" t="str">
        <f t="shared" si="84"/>
        <v/>
      </c>
      <c r="GS29" s="40" t="str">
        <f t="shared" si="85"/>
        <v/>
      </c>
      <c r="GT29" s="40" t="str">
        <f t="shared" si="86"/>
        <v/>
      </c>
      <c r="GU29" s="40" t="str">
        <f t="shared" si="87"/>
        <v/>
      </c>
      <c r="GV29" s="40" t="str">
        <f t="shared" si="88"/>
        <v/>
      </c>
      <c r="GW29" s="40" t="str">
        <f t="shared" si="89"/>
        <v/>
      </c>
      <c r="GX29" s="40" t="str">
        <f t="shared" si="90"/>
        <v/>
      </c>
      <c r="GY29" s="40" t="str">
        <f t="shared" si="91"/>
        <v/>
      </c>
      <c r="GZ29" s="18"/>
      <c r="HA29" s="18"/>
      <c r="HB29" s="18"/>
      <c r="HC29" s="18"/>
      <c r="HD29" s="18"/>
      <c r="HE29" s="18"/>
      <c r="HF29" s="18"/>
      <c r="HG29" s="18"/>
      <c r="HH29" s="18"/>
      <c r="HI29" s="18"/>
      <c r="HJ29" s="18"/>
      <c r="HK29" s="18"/>
      <c r="HL29" s="18"/>
      <c r="HM29" s="18"/>
      <c r="HN29" s="18"/>
      <c r="HO29" s="18"/>
      <c r="HP29" s="18"/>
      <c r="HQ29" s="18"/>
      <c r="HR29" s="18"/>
      <c r="HS29" s="18"/>
      <c r="HT29" s="11" t="str">
        <f t="shared" si="92"/>
        <v/>
      </c>
      <c r="HU29" s="11" t="str">
        <f t="shared" si="93"/>
        <v/>
      </c>
      <c r="HV29" s="11" t="str">
        <f t="shared" si="94"/>
        <v/>
      </c>
      <c r="HW29" s="11" t="str">
        <f t="shared" si="95"/>
        <v/>
      </c>
      <c r="HX29" s="11" t="str">
        <f t="shared" si="96"/>
        <v/>
      </c>
      <c r="HY29" s="11" t="str">
        <f t="shared" si="97"/>
        <v/>
      </c>
      <c r="HZ29" s="11" t="str">
        <f t="shared" si="98"/>
        <v/>
      </c>
      <c r="IA29" s="11" t="str">
        <f t="shared" si="99"/>
        <v/>
      </c>
      <c r="IB29" s="11" t="str">
        <f t="shared" si="100"/>
        <v/>
      </c>
      <c r="IC29" s="11" t="str">
        <f t="shared" si="101"/>
        <v/>
      </c>
      <c r="ID29" s="11" t="str">
        <f t="shared" si="102"/>
        <v/>
      </c>
      <c r="IE29" s="11" t="str">
        <f t="shared" si="103"/>
        <v/>
      </c>
      <c r="IF29" s="11" t="str">
        <f t="shared" si="104"/>
        <v/>
      </c>
      <c r="IG29" s="11" t="str">
        <f t="shared" si="105"/>
        <v/>
      </c>
      <c r="IH29" s="17"/>
      <c r="II29" s="17"/>
      <c r="IJ29" s="17"/>
      <c r="IK29" s="17"/>
      <c r="IL29" s="17"/>
      <c r="IM29" s="17"/>
      <c r="IN29" s="17"/>
      <c r="IO29" s="17"/>
      <c r="IP29" s="17"/>
      <c r="IQ29" s="17"/>
      <c r="IR29" s="17"/>
      <c r="IS29" s="17"/>
      <c r="IT29" s="17"/>
      <c r="IU29" s="17"/>
      <c r="IV29" s="17"/>
      <c r="IW29" s="17"/>
      <c r="IX29" s="17"/>
      <c r="IY29" s="17"/>
      <c r="IZ29" s="17"/>
      <c r="JA29" s="17"/>
      <c r="JB29" s="40" t="str">
        <f t="shared" si="106"/>
        <v/>
      </c>
      <c r="JC29" s="40" t="str">
        <f t="shared" si="107"/>
        <v/>
      </c>
      <c r="JD29" s="40" t="str">
        <f t="shared" si="108"/>
        <v/>
      </c>
      <c r="JE29" s="40" t="str">
        <f t="shared" si="109"/>
        <v/>
      </c>
      <c r="JF29" s="40" t="str">
        <f t="shared" si="110"/>
        <v/>
      </c>
      <c r="JG29" s="40" t="str">
        <f t="shared" si="111"/>
        <v/>
      </c>
      <c r="JH29" s="40" t="str">
        <f t="shared" si="112"/>
        <v/>
      </c>
      <c r="JI29" s="40" t="str">
        <f t="shared" si="113"/>
        <v/>
      </c>
      <c r="JJ29" s="40" t="str">
        <f t="shared" si="114"/>
        <v/>
      </c>
      <c r="JK29" s="40" t="str">
        <f t="shared" si="115"/>
        <v/>
      </c>
      <c r="JL29" s="40" t="str">
        <f t="shared" si="116"/>
        <v/>
      </c>
      <c r="JM29" s="40" t="str">
        <f t="shared" si="117"/>
        <v/>
      </c>
      <c r="JN29" s="40" t="str">
        <f t="shared" si="118"/>
        <v/>
      </c>
      <c r="JO29" s="40" t="str">
        <f t="shared" si="119"/>
        <v/>
      </c>
      <c r="JP29" s="18"/>
      <c r="JQ29" s="18"/>
      <c r="JR29" s="18"/>
      <c r="JS29" s="18"/>
      <c r="JT29" s="18"/>
      <c r="JU29" s="18"/>
      <c r="JV29" s="18"/>
      <c r="JW29" s="18"/>
      <c r="JX29" s="18"/>
      <c r="JY29" s="18"/>
      <c r="JZ29" s="18"/>
      <c r="KA29" s="18"/>
      <c r="KB29" s="18"/>
      <c r="KC29" s="18"/>
      <c r="KD29" s="18"/>
      <c r="KE29" s="18"/>
      <c r="KF29" s="18"/>
      <c r="KG29" s="18"/>
      <c r="KH29" s="18"/>
      <c r="KI29" s="18"/>
      <c r="KJ29" s="11" t="str">
        <f t="shared" si="120"/>
        <v/>
      </c>
      <c r="KK29" s="11" t="str">
        <f t="shared" si="121"/>
        <v/>
      </c>
      <c r="KL29" s="11" t="str">
        <f t="shared" si="122"/>
        <v/>
      </c>
      <c r="KM29" s="11" t="str">
        <f t="shared" si="123"/>
        <v/>
      </c>
      <c r="KN29" s="11" t="str">
        <f t="shared" si="124"/>
        <v/>
      </c>
      <c r="KO29" s="11" t="str">
        <f t="shared" si="125"/>
        <v/>
      </c>
      <c r="KP29" s="11" t="str">
        <f t="shared" si="126"/>
        <v/>
      </c>
      <c r="KQ29" s="11" t="str">
        <f t="shared" si="127"/>
        <v/>
      </c>
      <c r="KR29" s="11" t="str">
        <f t="shared" si="128"/>
        <v/>
      </c>
      <c r="KS29" s="11" t="str">
        <f t="shared" si="129"/>
        <v/>
      </c>
      <c r="KT29" s="11" t="str">
        <f t="shared" si="130"/>
        <v/>
      </c>
      <c r="KU29" s="11" t="str">
        <f t="shared" si="131"/>
        <v/>
      </c>
      <c r="KV29" s="11" t="str">
        <f t="shared" si="132"/>
        <v/>
      </c>
      <c r="KW29" s="11" t="str">
        <f t="shared" si="133"/>
        <v/>
      </c>
      <c r="KX29" s="17"/>
      <c r="KY29" s="17"/>
      <c r="KZ29" s="17"/>
      <c r="LA29" s="17"/>
      <c r="LB29" s="17"/>
      <c r="LC29" s="17"/>
      <c r="LD29" s="17"/>
      <c r="LE29" s="17"/>
      <c r="LF29" s="17"/>
      <c r="LG29" s="17"/>
      <c r="LH29" s="17"/>
      <c r="LI29" s="17"/>
      <c r="LJ29" s="17"/>
      <c r="LK29" s="17"/>
      <c r="LL29" s="17"/>
      <c r="LM29" s="17"/>
      <c r="LN29" s="17"/>
      <c r="LO29" s="17"/>
      <c r="LP29" s="17"/>
      <c r="LQ29" s="17"/>
      <c r="LR29" s="40" t="str">
        <f t="shared" si="134"/>
        <v/>
      </c>
      <c r="LS29" s="40" t="str">
        <f t="shared" si="135"/>
        <v/>
      </c>
      <c r="LT29" s="40" t="str">
        <f t="shared" si="136"/>
        <v/>
      </c>
      <c r="LU29" s="40" t="str">
        <f t="shared" si="137"/>
        <v/>
      </c>
      <c r="LV29" s="40" t="str">
        <f t="shared" si="138"/>
        <v/>
      </c>
      <c r="LW29" s="40" t="str">
        <f t="shared" si="139"/>
        <v/>
      </c>
      <c r="LX29" s="40" t="str">
        <f t="shared" si="140"/>
        <v/>
      </c>
      <c r="LY29" s="40" t="str">
        <f t="shared" si="141"/>
        <v/>
      </c>
      <c r="LZ29" s="40" t="str">
        <f t="shared" si="142"/>
        <v/>
      </c>
      <c r="MA29" s="40" t="str">
        <f t="shared" si="143"/>
        <v/>
      </c>
      <c r="MB29" s="40" t="str">
        <f t="shared" si="144"/>
        <v/>
      </c>
      <c r="MC29" s="40" t="str">
        <f t="shared" si="145"/>
        <v/>
      </c>
      <c r="MD29" s="40" t="str">
        <f t="shared" si="146"/>
        <v/>
      </c>
      <c r="ME29" s="40" t="str">
        <f t="shared" si="147"/>
        <v/>
      </c>
      <c r="MF29" s="18"/>
      <c r="MG29" s="18"/>
      <c r="MH29" s="18"/>
      <c r="MI29" s="18"/>
      <c r="MJ29" s="18"/>
      <c r="MK29" s="18"/>
      <c r="ML29" s="18"/>
      <c r="MM29" s="18"/>
      <c r="MN29" s="18"/>
      <c r="MO29" s="18"/>
      <c r="MP29" s="18"/>
      <c r="MQ29" s="18"/>
      <c r="MR29" s="18"/>
      <c r="MS29" s="18"/>
      <c r="MT29" s="18"/>
      <c r="MU29" s="18"/>
      <c r="MV29" s="18"/>
      <c r="MW29" s="18"/>
      <c r="MX29" s="18"/>
      <c r="MY29" s="18"/>
      <c r="MZ29" s="11" t="str">
        <f t="shared" si="148"/>
        <v/>
      </c>
      <c r="NA29" s="11" t="str">
        <f t="shared" si="149"/>
        <v/>
      </c>
      <c r="NB29" s="11" t="str">
        <f t="shared" si="150"/>
        <v/>
      </c>
      <c r="NC29" s="11" t="str">
        <f t="shared" si="151"/>
        <v/>
      </c>
      <c r="ND29" s="11" t="str">
        <f t="shared" si="152"/>
        <v/>
      </c>
      <c r="NE29" s="11" t="str">
        <f t="shared" si="153"/>
        <v/>
      </c>
      <c r="NF29" s="11" t="str">
        <f t="shared" si="154"/>
        <v/>
      </c>
      <c r="NG29" s="11" t="str">
        <f t="shared" si="155"/>
        <v/>
      </c>
      <c r="NH29" s="11" t="str">
        <f t="shared" si="156"/>
        <v/>
      </c>
      <c r="NI29" s="11" t="str">
        <f t="shared" si="157"/>
        <v/>
      </c>
      <c r="NJ29" s="11" t="str">
        <f t="shared" si="158"/>
        <v/>
      </c>
      <c r="NK29" s="11" t="str">
        <f t="shared" si="159"/>
        <v/>
      </c>
      <c r="NL29" s="11" t="str">
        <f t="shared" si="160"/>
        <v/>
      </c>
      <c r="NM29" s="11" t="str">
        <f t="shared" si="161"/>
        <v/>
      </c>
      <c r="NN29" s="17"/>
      <c r="NO29" s="17"/>
      <c r="NP29" s="17"/>
      <c r="NQ29" s="17"/>
      <c r="NR29" s="17"/>
      <c r="NS29" s="17"/>
      <c r="NT29" s="17"/>
      <c r="NU29" s="17"/>
      <c r="NV29" s="17"/>
      <c r="NW29" s="17"/>
      <c r="NX29" s="17"/>
      <c r="NY29" s="17"/>
      <c r="NZ29" s="17"/>
      <c r="OA29" s="17"/>
      <c r="OB29" s="17"/>
      <c r="OC29" s="17"/>
      <c r="OD29" s="17"/>
      <c r="OE29" s="17"/>
      <c r="OF29" s="17"/>
      <c r="OG29" s="17"/>
      <c r="OH29" s="40" t="str">
        <f t="shared" si="162"/>
        <v/>
      </c>
      <c r="OI29" s="40" t="str">
        <f t="shared" si="163"/>
        <v/>
      </c>
      <c r="OJ29" s="40" t="str">
        <f t="shared" si="164"/>
        <v/>
      </c>
      <c r="OK29" s="40" t="str">
        <f t="shared" si="165"/>
        <v/>
      </c>
      <c r="OL29" s="40" t="str">
        <f t="shared" si="166"/>
        <v/>
      </c>
      <c r="OM29" s="40" t="str">
        <f t="shared" si="167"/>
        <v/>
      </c>
      <c r="ON29" s="40" t="str">
        <f t="shared" si="168"/>
        <v/>
      </c>
      <c r="OO29" s="40" t="str">
        <f t="shared" si="169"/>
        <v/>
      </c>
      <c r="OP29" s="40" t="str">
        <f t="shared" si="170"/>
        <v/>
      </c>
      <c r="OQ29" s="40" t="str">
        <f t="shared" si="171"/>
        <v/>
      </c>
      <c r="OR29" s="40" t="str">
        <f t="shared" si="172"/>
        <v/>
      </c>
      <c r="OS29" s="40" t="str">
        <f t="shared" si="173"/>
        <v/>
      </c>
      <c r="OT29" s="40" t="str">
        <f t="shared" si="174"/>
        <v/>
      </c>
      <c r="OU29" s="40" t="str">
        <f t="shared" si="175"/>
        <v/>
      </c>
      <c r="OV29" s="18"/>
      <c r="OW29" s="18"/>
      <c r="OX29" s="18"/>
      <c r="OY29" s="18"/>
      <c r="OZ29" s="18"/>
      <c r="PA29" s="18"/>
      <c r="PB29" s="18"/>
      <c r="PC29" s="18"/>
      <c r="PD29" s="18"/>
      <c r="PE29" s="18"/>
      <c r="PF29" s="18"/>
      <c r="PG29" s="18"/>
      <c r="PH29" s="18"/>
      <c r="PI29" s="18"/>
      <c r="PJ29" s="18"/>
      <c r="PK29" s="18"/>
      <c r="PL29" s="18"/>
      <c r="PM29" s="18"/>
      <c r="PN29" s="18"/>
      <c r="PO29" s="18"/>
      <c r="PP29" s="11" t="str">
        <f t="shared" si="176"/>
        <v/>
      </c>
      <c r="PQ29" s="11" t="str">
        <f t="shared" si="177"/>
        <v/>
      </c>
      <c r="PR29" s="11" t="str">
        <f t="shared" si="178"/>
        <v/>
      </c>
      <c r="PS29" s="11" t="str">
        <f t="shared" si="179"/>
        <v/>
      </c>
      <c r="PT29" s="11" t="str">
        <f t="shared" si="180"/>
        <v/>
      </c>
      <c r="PU29" s="11" t="str">
        <f t="shared" si="181"/>
        <v/>
      </c>
      <c r="PV29" s="11" t="str">
        <f t="shared" si="182"/>
        <v/>
      </c>
      <c r="PW29" s="11" t="str">
        <f t="shared" si="183"/>
        <v/>
      </c>
      <c r="PX29" s="11" t="str">
        <f t="shared" si="184"/>
        <v/>
      </c>
      <c r="PY29" s="11" t="str">
        <f t="shared" si="185"/>
        <v/>
      </c>
      <c r="PZ29" s="11" t="str">
        <f t="shared" si="186"/>
        <v/>
      </c>
      <c r="QA29" s="11" t="str">
        <f t="shared" si="187"/>
        <v/>
      </c>
      <c r="QB29" s="11" t="str">
        <f t="shared" si="188"/>
        <v/>
      </c>
      <c r="QC29" s="11" t="str">
        <f t="shared" si="189"/>
        <v/>
      </c>
      <c r="QD29" s="17"/>
      <c r="QE29" s="17"/>
      <c r="QF29" s="17"/>
      <c r="QG29" s="17"/>
      <c r="QH29" s="17"/>
      <c r="QI29" s="17"/>
      <c r="QJ29" s="17"/>
      <c r="QK29" s="17"/>
      <c r="QL29" s="17"/>
      <c r="QM29" s="17"/>
      <c r="QN29" s="17"/>
      <c r="QO29" s="17"/>
      <c r="QP29" s="17"/>
      <c r="QQ29" s="17"/>
      <c r="QR29" s="17"/>
      <c r="QS29" s="17"/>
      <c r="QT29" s="17"/>
      <c r="QU29" s="17"/>
      <c r="QV29" s="17"/>
      <c r="QW29" s="17"/>
      <c r="QX29" s="40" t="str">
        <f t="shared" si="190"/>
        <v/>
      </c>
      <c r="QY29" s="40" t="str">
        <f t="shared" si="191"/>
        <v/>
      </c>
      <c r="QZ29" s="40" t="str">
        <f t="shared" si="192"/>
        <v/>
      </c>
      <c r="RA29" s="40" t="str">
        <f t="shared" si="193"/>
        <v/>
      </c>
      <c r="RB29" s="40" t="str">
        <f t="shared" si="194"/>
        <v/>
      </c>
      <c r="RC29" s="40" t="str">
        <f t="shared" si="195"/>
        <v/>
      </c>
      <c r="RD29" s="40" t="str">
        <f t="shared" si="196"/>
        <v/>
      </c>
      <c r="RE29" s="40" t="str">
        <f t="shared" si="197"/>
        <v/>
      </c>
      <c r="RF29" s="40" t="str">
        <f t="shared" si="198"/>
        <v/>
      </c>
      <c r="RG29" s="40" t="str">
        <f t="shared" si="199"/>
        <v/>
      </c>
      <c r="RH29" s="40" t="str">
        <f t="shared" si="200"/>
        <v/>
      </c>
      <c r="RI29" s="40" t="str">
        <f t="shared" si="201"/>
        <v/>
      </c>
      <c r="RJ29" s="40" t="str">
        <f t="shared" si="202"/>
        <v/>
      </c>
      <c r="RK29" s="40" t="str">
        <f t="shared" si="203"/>
        <v/>
      </c>
      <c r="RL29" s="18"/>
      <c r="RM29" s="18"/>
      <c r="RN29" s="18"/>
      <c r="RO29" s="18"/>
      <c r="RP29" s="18"/>
      <c r="RQ29" s="18"/>
      <c r="RR29" s="18"/>
      <c r="RS29" s="18"/>
      <c r="RT29" s="18"/>
      <c r="RU29" s="18"/>
      <c r="RV29" s="18"/>
      <c r="RW29" s="18"/>
      <c r="RX29" s="18"/>
      <c r="RY29" s="18"/>
      <c r="RZ29" s="18"/>
      <c r="SA29" s="18"/>
      <c r="SB29" s="18"/>
      <c r="SC29" s="18"/>
      <c r="SD29" s="18"/>
      <c r="SE29" s="18"/>
      <c r="SF29" s="11" t="str">
        <f t="shared" si="204"/>
        <v/>
      </c>
      <c r="SG29" s="11" t="str">
        <f t="shared" si="205"/>
        <v/>
      </c>
      <c r="SH29" s="11" t="str">
        <f t="shared" si="206"/>
        <v/>
      </c>
      <c r="SI29" s="11" t="str">
        <f t="shared" si="207"/>
        <v/>
      </c>
      <c r="SJ29" s="11" t="str">
        <f t="shared" si="208"/>
        <v/>
      </c>
      <c r="SK29" s="11" t="str">
        <f t="shared" si="209"/>
        <v/>
      </c>
      <c r="SL29" s="11" t="str">
        <f t="shared" si="210"/>
        <v/>
      </c>
      <c r="SM29" s="11" t="str">
        <f t="shared" si="211"/>
        <v/>
      </c>
      <c r="SN29" s="11" t="str">
        <f t="shared" si="212"/>
        <v/>
      </c>
      <c r="SO29" s="11" t="str">
        <f t="shared" si="213"/>
        <v/>
      </c>
      <c r="SP29" s="11" t="str">
        <f t="shared" si="214"/>
        <v/>
      </c>
      <c r="SQ29" s="11" t="str">
        <f t="shared" si="215"/>
        <v/>
      </c>
      <c r="SR29" s="11" t="str">
        <f t="shared" si="216"/>
        <v/>
      </c>
      <c r="SS29" s="11" t="str">
        <f t="shared" si="217"/>
        <v/>
      </c>
      <c r="ST29" s="22">
        <f t="shared" si="218"/>
        <v>1.4</v>
      </c>
      <c r="SU29" s="22">
        <f t="shared" si="219"/>
        <v>0.85</v>
      </c>
      <c r="SV29" s="22">
        <f t="shared" si="220"/>
        <v>1.05</v>
      </c>
      <c r="SW29" s="22">
        <f t="shared" si="221"/>
        <v>1.52</v>
      </c>
      <c r="SX29" s="22">
        <f t="shared" si="222"/>
        <v>0</v>
      </c>
      <c r="SY29" s="22">
        <f t="shared" si="223"/>
        <v>8.8000000000000007</v>
      </c>
      <c r="SZ29" s="22">
        <f t="shared" si="224"/>
        <v>1.85</v>
      </c>
      <c r="TA29" s="22">
        <f t="shared" si="225"/>
        <v>1.7</v>
      </c>
      <c r="TB29" s="22">
        <f t="shared" si="226"/>
        <v>3.06</v>
      </c>
      <c r="TC29" s="22">
        <f t="shared" si="227"/>
        <v>0.2</v>
      </c>
      <c r="TD29" s="22">
        <f t="shared" si="228"/>
        <v>0</v>
      </c>
      <c r="TE29" s="22">
        <f t="shared" si="229"/>
        <v>0</v>
      </c>
      <c r="TF29" s="22">
        <f t="shared" si="230"/>
        <v>0</v>
      </c>
      <c r="TG29" s="22">
        <f t="shared" si="231"/>
        <v>0</v>
      </c>
      <c r="TH29" s="22">
        <f t="shared" si="232"/>
        <v>0</v>
      </c>
      <c r="TI29" s="27" t="s">
        <v>46</v>
      </c>
      <c r="TJ29" s="40">
        <f t="shared" si="233"/>
        <v>1.05</v>
      </c>
      <c r="TK29" s="40">
        <f t="shared" si="234"/>
        <v>1.52</v>
      </c>
      <c r="TL29" s="40">
        <f t="shared" si="235"/>
        <v>4.82</v>
      </c>
      <c r="TM29" s="40">
        <f t="shared" si="236"/>
        <v>1.7</v>
      </c>
      <c r="TN29" s="40">
        <f t="shared" si="237"/>
        <v>3.06</v>
      </c>
      <c r="TO29" s="40">
        <f t="shared" si="238"/>
        <v>15.21</v>
      </c>
      <c r="TP29" s="40">
        <f t="shared" si="239"/>
        <v>15.21</v>
      </c>
      <c r="TQ29" s="40" t="str">
        <f t="shared" si="240"/>
        <v/>
      </c>
      <c r="TR29" s="40" t="str">
        <f t="shared" si="241"/>
        <v/>
      </c>
      <c r="TS29" s="40" t="str">
        <f t="shared" si="242"/>
        <v/>
      </c>
      <c r="TT29" s="40">
        <f t="shared" si="243"/>
        <v>15.21</v>
      </c>
    </row>
    <row r="30" spans="1:540" x14ac:dyDescent="0.2">
      <c r="A30" s="4" t="str" cm="1">
        <f t="array" ref="A30">IF(AND(F30&lt;&gt;"",G30&lt;&gt;""),SUMPRODUCT((F$4:F$35&lt;&gt;"")*(G$4:G$35&lt;&gt;"")*(E$4:E$35&gt;E30))+1,IF(G30&lt;&gt;"",SUMPRODUCT((H$4:H$35="No DD")*(E$4:E$35&gt;E30))+1+SUMPRODUCT((F$4:F$35&lt;&gt;"")*(G$4:G$35&lt;&gt;"")),""))</f>
        <v/>
      </c>
      <c r="B30" s="5" t="s">
        <v>150</v>
      </c>
      <c r="C30" s="4" t="s">
        <v>5</v>
      </c>
      <c r="D30" s="4">
        <v>2004</v>
      </c>
      <c r="E30" s="9">
        <f t="shared" si="0"/>
        <v>35.600003560002882</v>
      </c>
      <c r="F30" s="3" t="str">
        <f t="shared" si="1"/>
        <v/>
      </c>
      <c r="G30" s="3" t="str">
        <f t="shared" si="2"/>
        <v/>
      </c>
      <c r="H30" s="36" t="str">
        <f t="shared" si="3"/>
        <v/>
      </c>
      <c r="I30" s="3" t="str">
        <f t="shared" si="4"/>
        <v/>
      </c>
      <c r="J30" s="8">
        <f>IF(COUNT(AO30,AR30,BP30,BS30,CQ30,CT30)&gt;0,LARGE((AO30,AR30,BP30,BS30,CQ30,CT30),1),0)</f>
        <v>28.8</v>
      </c>
      <c r="K30" s="8" t="str">
        <f t="shared" si="5"/>
        <v>2022 Nationals</v>
      </c>
      <c r="L30" s="8">
        <f>IF(COUNT(AO30,AR30,BP30,BS30,CQ30,CT30)&gt;1,LARGE((AO30,AR30,BP30,BS30,CQ30,CT30),2),0)</f>
        <v>0</v>
      </c>
      <c r="M30" s="8" t="str">
        <f t="shared" si="6"/>
        <v/>
      </c>
      <c r="N30" s="8">
        <f>IF(COUNT(AO30,AR30,BP30,BS30,CQ30,CT30)&gt;2,MAX(AV30,BW30,CX30,LARGE((AO30,AR30,BP30,BS30,CQ30,CT30),3)),IF(MAX(AV30,BW30,CX30)&gt;0,MAX(AV30,BW30,CX30),0))</f>
        <v>0</v>
      </c>
      <c r="O30" s="8" t="str">
        <f t="shared" si="7"/>
        <v/>
      </c>
      <c r="P30" s="8">
        <f t="shared" si="8"/>
        <v>6.8</v>
      </c>
      <c r="Q30" s="8" t="str">
        <f t="shared" si="9"/>
        <v>2022 Nationals</v>
      </c>
      <c r="R30" s="8">
        <f t="shared" si="10"/>
        <v>0</v>
      </c>
      <c r="S30" s="8" t="str">
        <f t="shared" si="11"/>
        <v/>
      </c>
      <c r="T30" s="8" t="str">
        <f t="shared" si="12"/>
        <v/>
      </c>
      <c r="U30" s="11" t="str">
        <f t="shared" si="13"/>
        <v/>
      </c>
      <c r="V30" s="8" t="str">
        <f t="shared" si="14"/>
        <v/>
      </c>
      <c r="W30" s="22">
        <v>8</v>
      </c>
      <c r="X30" s="22">
        <v>5.3</v>
      </c>
      <c r="Y30" s="22">
        <v>6.8</v>
      </c>
      <c r="Z30" s="22">
        <v>8.6999999999999993</v>
      </c>
      <c r="AA30" s="22">
        <v>0</v>
      </c>
      <c r="AB30" s="22"/>
      <c r="AC30" s="22"/>
      <c r="AD30" s="22"/>
      <c r="AE30" s="22"/>
      <c r="AF30" s="22"/>
      <c r="AG30" s="22"/>
      <c r="AH30" s="22"/>
      <c r="AI30" s="22"/>
      <c r="AJ30" s="22"/>
      <c r="AK30" s="22"/>
      <c r="AL30" s="27"/>
      <c r="AM30" s="38">
        <f t="shared" si="15"/>
        <v>6.8</v>
      </c>
      <c r="AN30" s="38">
        <f t="shared" si="16"/>
        <v>8.6999999999999993</v>
      </c>
      <c r="AO30" s="40">
        <f t="shared" si="17"/>
        <v>28.8</v>
      </c>
      <c r="AP30" s="40" t="str">
        <f t="shared" si="18"/>
        <v/>
      </c>
      <c r="AQ30" s="40" t="str">
        <f t="shared" si="19"/>
        <v/>
      </c>
      <c r="AR30" s="40" t="str">
        <f t="shared" si="20"/>
        <v/>
      </c>
      <c r="AS30" s="40">
        <f t="shared" si="21"/>
        <v>28.8</v>
      </c>
      <c r="AT30" s="40" t="str">
        <f t="shared" si="22"/>
        <v/>
      </c>
      <c r="AU30" s="40" t="str">
        <f t="shared" si="23"/>
        <v/>
      </c>
      <c r="AV30" s="40" t="str">
        <f t="shared" si="24"/>
        <v/>
      </c>
      <c r="AW30" s="40">
        <f t="shared" si="25"/>
        <v>28.8</v>
      </c>
      <c r="AX30" s="26"/>
      <c r="AY30" s="26"/>
      <c r="AZ30" s="26"/>
      <c r="BA30" s="26"/>
      <c r="BB30" s="26"/>
      <c r="BC30" s="26"/>
      <c r="BD30" s="26"/>
      <c r="BE30" s="26"/>
      <c r="BF30" s="26"/>
      <c r="BG30" s="26"/>
      <c r="BH30" s="26"/>
      <c r="BI30" s="26"/>
      <c r="BJ30" s="26"/>
      <c r="BK30" s="26"/>
      <c r="BL30" s="26"/>
      <c r="BM30" s="28"/>
      <c r="BN30" s="39" t="str">
        <f t="shared" si="26"/>
        <v/>
      </c>
      <c r="BO30" s="39" t="str">
        <f t="shared" si="27"/>
        <v/>
      </c>
      <c r="BP30" s="11" t="str">
        <f t="shared" si="28"/>
        <v/>
      </c>
      <c r="BQ30" s="11" t="str">
        <f t="shared" si="29"/>
        <v/>
      </c>
      <c r="BR30" s="11" t="str">
        <f t="shared" si="30"/>
        <v/>
      </c>
      <c r="BS30" s="11" t="str">
        <f t="shared" si="31"/>
        <v/>
      </c>
      <c r="BT30" s="11" t="str">
        <f t="shared" si="32"/>
        <v/>
      </c>
      <c r="BU30" s="11" t="str">
        <f t="shared" si="33"/>
        <v/>
      </c>
      <c r="BV30" s="11" t="str">
        <f t="shared" si="34"/>
        <v/>
      </c>
      <c r="BW30" s="11" t="str">
        <f t="shared" si="35"/>
        <v/>
      </c>
      <c r="BX30" s="11" t="str">
        <f t="shared" si="36"/>
        <v/>
      </c>
      <c r="BY30" s="22"/>
      <c r="BZ30" s="22"/>
      <c r="CA30" s="22"/>
      <c r="CB30" s="22"/>
      <c r="CC30" s="22"/>
      <c r="CD30" s="22"/>
      <c r="CE30" s="22"/>
      <c r="CF30" s="22"/>
      <c r="CG30" s="22"/>
      <c r="CH30" s="22"/>
      <c r="CI30" s="22"/>
      <c r="CJ30" s="22"/>
      <c r="CK30" s="22"/>
      <c r="CL30" s="22"/>
      <c r="CM30" s="22"/>
      <c r="CN30" s="27"/>
      <c r="CO30" s="38" t="str">
        <f t="shared" si="37"/>
        <v/>
      </c>
      <c r="CP30" s="38" t="str">
        <f t="shared" si="38"/>
        <v/>
      </c>
      <c r="CQ30" s="40" t="str">
        <f t="shared" si="39"/>
        <v/>
      </c>
      <c r="CR30" s="40" t="str">
        <f t="shared" si="40"/>
        <v/>
      </c>
      <c r="CS30" s="40" t="str">
        <f t="shared" si="41"/>
        <v/>
      </c>
      <c r="CT30" s="40" t="str">
        <f t="shared" si="42"/>
        <v/>
      </c>
      <c r="CU30" s="40" t="str">
        <f t="shared" si="43"/>
        <v/>
      </c>
      <c r="CV30" s="40" t="str">
        <f t="shared" si="44"/>
        <v/>
      </c>
      <c r="CW30" s="40" t="str">
        <f t="shared" si="45"/>
        <v/>
      </c>
      <c r="CX30" s="40" t="str">
        <f t="shared" si="46"/>
        <v/>
      </c>
      <c r="CY30" s="40" t="str">
        <f t="shared" si="47"/>
        <v/>
      </c>
      <c r="CZ30" s="50" t="str">
        <f t="shared" si="48"/>
        <v/>
      </c>
      <c r="DA30" s="50" t="str">
        <f t="shared" si="49"/>
        <v/>
      </c>
      <c r="DB30" s="17"/>
      <c r="DC30" s="17"/>
      <c r="DD30" s="17"/>
      <c r="DE30" s="17"/>
      <c r="DF30" s="17"/>
      <c r="DG30" s="17"/>
      <c r="DH30" s="17"/>
      <c r="DI30" s="17"/>
      <c r="DJ30" s="17"/>
      <c r="DK30" s="17"/>
      <c r="DL30" s="17"/>
      <c r="DM30" s="17"/>
      <c r="DN30" s="17"/>
      <c r="DO30" s="17"/>
      <c r="DP30" s="17"/>
      <c r="DQ30" s="17"/>
      <c r="DR30" s="17"/>
      <c r="DS30" s="17"/>
      <c r="DT30" s="17"/>
      <c r="DU30" s="17"/>
      <c r="DV30" s="40" t="str">
        <f t="shared" si="50"/>
        <v/>
      </c>
      <c r="DW30" s="40" t="str">
        <f t="shared" si="51"/>
        <v/>
      </c>
      <c r="DX30" s="40" t="str">
        <f t="shared" si="52"/>
        <v/>
      </c>
      <c r="DY30" s="40" t="str">
        <f t="shared" si="53"/>
        <v/>
      </c>
      <c r="DZ30" s="40" t="str">
        <f t="shared" si="54"/>
        <v/>
      </c>
      <c r="EA30" s="40" t="str">
        <f t="shared" si="55"/>
        <v/>
      </c>
      <c r="EB30" s="40" t="str">
        <f t="shared" si="56"/>
        <v/>
      </c>
      <c r="EC30" s="40" t="str">
        <f t="shared" si="57"/>
        <v/>
      </c>
      <c r="ED30" s="40" t="str">
        <f t="shared" si="58"/>
        <v/>
      </c>
      <c r="EE30" s="40" t="str">
        <f t="shared" si="59"/>
        <v/>
      </c>
      <c r="EF30" s="40" t="str">
        <f t="shared" si="60"/>
        <v/>
      </c>
      <c r="EG30" s="40" t="str">
        <f t="shared" si="61"/>
        <v/>
      </c>
      <c r="EH30" s="40" t="str">
        <f t="shared" si="62"/>
        <v/>
      </c>
      <c r="EI30" s="40" t="str">
        <f t="shared" si="63"/>
        <v/>
      </c>
      <c r="EJ30" s="18"/>
      <c r="EK30" s="18"/>
      <c r="EL30" s="18"/>
      <c r="EM30" s="18"/>
      <c r="EN30" s="18"/>
      <c r="EO30" s="18"/>
      <c r="EP30" s="18"/>
      <c r="EQ30" s="18"/>
      <c r="ER30" s="18"/>
      <c r="ES30" s="18"/>
      <c r="ET30" s="18"/>
      <c r="EU30" s="18"/>
      <c r="EV30" s="18"/>
      <c r="EW30" s="18"/>
      <c r="EX30" s="18"/>
      <c r="EY30" s="18"/>
      <c r="EZ30" s="18"/>
      <c r="FA30" s="18"/>
      <c r="FB30" s="18"/>
      <c r="FC30" s="18"/>
      <c r="FD30" s="11" t="str">
        <f t="shared" si="64"/>
        <v/>
      </c>
      <c r="FE30" s="11" t="str">
        <f t="shared" si="65"/>
        <v/>
      </c>
      <c r="FF30" s="11" t="str">
        <f t="shared" si="66"/>
        <v/>
      </c>
      <c r="FG30" s="11" t="str">
        <f t="shared" si="67"/>
        <v/>
      </c>
      <c r="FH30" s="11" t="str">
        <f t="shared" si="68"/>
        <v/>
      </c>
      <c r="FI30" s="11" t="str">
        <f t="shared" si="69"/>
        <v/>
      </c>
      <c r="FJ30" s="11" t="str">
        <f t="shared" si="70"/>
        <v/>
      </c>
      <c r="FK30" s="11" t="str">
        <f t="shared" si="71"/>
        <v/>
      </c>
      <c r="FL30" s="11" t="str">
        <f t="shared" si="72"/>
        <v/>
      </c>
      <c r="FM30" s="11" t="str">
        <f t="shared" si="73"/>
        <v/>
      </c>
      <c r="FN30" s="11" t="str">
        <f t="shared" si="74"/>
        <v/>
      </c>
      <c r="FO30" s="11" t="str">
        <f t="shared" si="75"/>
        <v/>
      </c>
      <c r="FP30" s="11" t="str">
        <f t="shared" si="76"/>
        <v/>
      </c>
      <c r="FQ30" s="11" t="str">
        <f t="shared" si="77"/>
        <v/>
      </c>
      <c r="FR30" s="17"/>
      <c r="FS30" s="17"/>
      <c r="FT30" s="17"/>
      <c r="FU30" s="17"/>
      <c r="FV30" s="17"/>
      <c r="FW30" s="17"/>
      <c r="FX30" s="17"/>
      <c r="FY30" s="17"/>
      <c r="FZ30" s="17"/>
      <c r="GA30" s="17"/>
      <c r="GB30" s="17"/>
      <c r="GC30" s="17"/>
      <c r="GD30" s="17"/>
      <c r="GE30" s="17"/>
      <c r="GF30" s="17"/>
      <c r="GG30" s="17"/>
      <c r="GH30" s="17"/>
      <c r="GI30" s="17"/>
      <c r="GJ30" s="17"/>
      <c r="GK30" s="17"/>
      <c r="GL30" s="40" t="str">
        <f t="shared" si="78"/>
        <v/>
      </c>
      <c r="GM30" s="40" t="str">
        <f t="shared" si="79"/>
        <v/>
      </c>
      <c r="GN30" s="40" t="str">
        <f t="shared" si="80"/>
        <v/>
      </c>
      <c r="GO30" s="40" t="str">
        <f t="shared" si="81"/>
        <v/>
      </c>
      <c r="GP30" s="40" t="str">
        <f t="shared" si="82"/>
        <v/>
      </c>
      <c r="GQ30" s="40" t="str">
        <f t="shared" si="83"/>
        <v/>
      </c>
      <c r="GR30" s="40" t="str">
        <f t="shared" si="84"/>
        <v/>
      </c>
      <c r="GS30" s="40" t="str">
        <f t="shared" si="85"/>
        <v/>
      </c>
      <c r="GT30" s="40" t="str">
        <f t="shared" si="86"/>
        <v/>
      </c>
      <c r="GU30" s="40" t="str">
        <f t="shared" si="87"/>
        <v/>
      </c>
      <c r="GV30" s="40" t="str">
        <f t="shared" si="88"/>
        <v/>
      </c>
      <c r="GW30" s="40" t="str">
        <f t="shared" si="89"/>
        <v/>
      </c>
      <c r="GX30" s="40" t="str">
        <f t="shared" si="90"/>
        <v/>
      </c>
      <c r="GY30" s="40" t="str">
        <f t="shared" si="91"/>
        <v/>
      </c>
      <c r="GZ30" s="18"/>
      <c r="HA30" s="18"/>
      <c r="HB30" s="18"/>
      <c r="HC30" s="18"/>
      <c r="HD30" s="18"/>
      <c r="HE30" s="18"/>
      <c r="HF30" s="18"/>
      <c r="HG30" s="18"/>
      <c r="HH30" s="18"/>
      <c r="HI30" s="18"/>
      <c r="HJ30" s="18"/>
      <c r="HK30" s="18"/>
      <c r="HL30" s="18"/>
      <c r="HM30" s="18"/>
      <c r="HN30" s="18"/>
      <c r="HO30" s="18"/>
      <c r="HP30" s="18"/>
      <c r="HQ30" s="18"/>
      <c r="HR30" s="18"/>
      <c r="HS30" s="18"/>
      <c r="HT30" s="11" t="str">
        <f t="shared" si="92"/>
        <v/>
      </c>
      <c r="HU30" s="11" t="str">
        <f t="shared" si="93"/>
        <v/>
      </c>
      <c r="HV30" s="11" t="str">
        <f t="shared" si="94"/>
        <v/>
      </c>
      <c r="HW30" s="11" t="str">
        <f t="shared" si="95"/>
        <v/>
      </c>
      <c r="HX30" s="11" t="str">
        <f t="shared" si="96"/>
        <v/>
      </c>
      <c r="HY30" s="11" t="str">
        <f t="shared" si="97"/>
        <v/>
      </c>
      <c r="HZ30" s="11" t="str">
        <f t="shared" si="98"/>
        <v/>
      </c>
      <c r="IA30" s="11" t="str">
        <f t="shared" si="99"/>
        <v/>
      </c>
      <c r="IB30" s="11" t="str">
        <f t="shared" si="100"/>
        <v/>
      </c>
      <c r="IC30" s="11" t="str">
        <f t="shared" si="101"/>
        <v/>
      </c>
      <c r="ID30" s="11" t="str">
        <f t="shared" si="102"/>
        <v/>
      </c>
      <c r="IE30" s="11" t="str">
        <f t="shared" si="103"/>
        <v/>
      </c>
      <c r="IF30" s="11" t="str">
        <f t="shared" si="104"/>
        <v/>
      </c>
      <c r="IG30" s="11" t="str">
        <f t="shared" si="105"/>
        <v/>
      </c>
      <c r="IH30" s="17"/>
      <c r="II30" s="17"/>
      <c r="IJ30" s="17"/>
      <c r="IK30" s="17"/>
      <c r="IL30" s="17"/>
      <c r="IM30" s="17"/>
      <c r="IN30" s="17"/>
      <c r="IO30" s="17"/>
      <c r="IP30" s="17"/>
      <c r="IQ30" s="17"/>
      <c r="IR30" s="17"/>
      <c r="IS30" s="17"/>
      <c r="IT30" s="17"/>
      <c r="IU30" s="17"/>
      <c r="IV30" s="17"/>
      <c r="IW30" s="17"/>
      <c r="IX30" s="17"/>
      <c r="IY30" s="17"/>
      <c r="IZ30" s="17"/>
      <c r="JA30" s="17"/>
      <c r="JB30" s="40" t="str">
        <f t="shared" si="106"/>
        <v/>
      </c>
      <c r="JC30" s="40" t="str">
        <f t="shared" si="107"/>
        <v/>
      </c>
      <c r="JD30" s="40" t="str">
        <f t="shared" si="108"/>
        <v/>
      </c>
      <c r="JE30" s="40" t="str">
        <f t="shared" si="109"/>
        <v/>
      </c>
      <c r="JF30" s="40" t="str">
        <f t="shared" si="110"/>
        <v/>
      </c>
      <c r="JG30" s="40" t="str">
        <f t="shared" si="111"/>
        <v/>
      </c>
      <c r="JH30" s="40" t="str">
        <f t="shared" si="112"/>
        <v/>
      </c>
      <c r="JI30" s="40" t="str">
        <f t="shared" si="113"/>
        <v/>
      </c>
      <c r="JJ30" s="40" t="str">
        <f t="shared" si="114"/>
        <v/>
      </c>
      <c r="JK30" s="40" t="str">
        <f t="shared" si="115"/>
        <v/>
      </c>
      <c r="JL30" s="40" t="str">
        <f t="shared" si="116"/>
        <v/>
      </c>
      <c r="JM30" s="40" t="str">
        <f t="shared" si="117"/>
        <v/>
      </c>
      <c r="JN30" s="40" t="str">
        <f t="shared" si="118"/>
        <v/>
      </c>
      <c r="JO30" s="40" t="str">
        <f t="shared" si="119"/>
        <v/>
      </c>
      <c r="JP30" s="18"/>
      <c r="JQ30" s="18"/>
      <c r="JR30" s="18"/>
      <c r="JS30" s="18"/>
      <c r="JT30" s="18"/>
      <c r="JU30" s="18"/>
      <c r="JV30" s="18"/>
      <c r="JW30" s="18"/>
      <c r="JX30" s="18"/>
      <c r="JY30" s="18"/>
      <c r="JZ30" s="18"/>
      <c r="KA30" s="18"/>
      <c r="KB30" s="18"/>
      <c r="KC30" s="18"/>
      <c r="KD30" s="18"/>
      <c r="KE30" s="18"/>
      <c r="KF30" s="18"/>
      <c r="KG30" s="18"/>
      <c r="KH30" s="18"/>
      <c r="KI30" s="18"/>
      <c r="KJ30" s="11" t="str">
        <f t="shared" si="120"/>
        <v/>
      </c>
      <c r="KK30" s="11" t="str">
        <f t="shared" si="121"/>
        <v/>
      </c>
      <c r="KL30" s="11" t="str">
        <f t="shared" si="122"/>
        <v/>
      </c>
      <c r="KM30" s="11" t="str">
        <f t="shared" si="123"/>
        <v/>
      </c>
      <c r="KN30" s="11" t="str">
        <f t="shared" si="124"/>
        <v/>
      </c>
      <c r="KO30" s="11" t="str">
        <f t="shared" si="125"/>
        <v/>
      </c>
      <c r="KP30" s="11" t="str">
        <f t="shared" si="126"/>
        <v/>
      </c>
      <c r="KQ30" s="11" t="str">
        <f t="shared" si="127"/>
        <v/>
      </c>
      <c r="KR30" s="11" t="str">
        <f t="shared" si="128"/>
        <v/>
      </c>
      <c r="KS30" s="11" t="str">
        <f t="shared" si="129"/>
        <v/>
      </c>
      <c r="KT30" s="11" t="str">
        <f t="shared" si="130"/>
        <v/>
      </c>
      <c r="KU30" s="11" t="str">
        <f t="shared" si="131"/>
        <v/>
      </c>
      <c r="KV30" s="11" t="str">
        <f t="shared" si="132"/>
        <v/>
      </c>
      <c r="KW30" s="11" t="str">
        <f t="shared" si="133"/>
        <v/>
      </c>
      <c r="KX30" s="17"/>
      <c r="KY30" s="17"/>
      <c r="KZ30" s="17"/>
      <c r="LA30" s="17"/>
      <c r="LB30" s="17"/>
      <c r="LC30" s="17"/>
      <c r="LD30" s="17"/>
      <c r="LE30" s="17"/>
      <c r="LF30" s="17"/>
      <c r="LG30" s="17"/>
      <c r="LH30" s="17"/>
      <c r="LI30" s="17"/>
      <c r="LJ30" s="17"/>
      <c r="LK30" s="17"/>
      <c r="LL30" s="17"/>
      <c r="LM30" s="17"/>
      <c r="LN30" s="17"/>
      <c r="LO30" s="17"/>
      <c r="LP30" s="17"/>
      <c r="LQ30" s="17"/>
      <c r="LR30" s="40" t="str">
        <f t="shared" si="134"/>
        <v/>
      </c>
      <c r="LS30" s="40" t="str">
        <f t="shared" si="135"/>
        <v/>
      </c>
      <c r="LT30" s="40" t="str">
        <f t="shared" si="136"/>
        <v/>
      </c>
      <c r="LU30" s="40" t="str">
        <f t="shared" si="137"/>
        <v/>
      </c>
      <c r="LV30" s="40" t="str">
        <f t="shared" si="138"/>
        <v/>
      </c>
      <c r="LW30" s="40" t="str">
        <f t="shared" si="139"/>
        <v/>
      </c>
      <c r="LX30" s="40" t="str">
        <f t="shared" si="140"/>
        <v/>
      </c>
      <c r="LY30" s="40" t="str">
        <f t="shared" si="141"/>
        <v/>
      </c>
      <c r="LZ30" s="40" t="str">
        <f t="shared" si="142"/>
        <v/>
      </c>
      <c r="MA30" s="40" t="str">
        <f t="shared" si="143"/>
        <v/>
      </c>
      <c r="MB30" s="40" t="str">
        <f t="shared" si="144"/>
        <v/>
      </c>
      <c r="MC30" s="40" t="str">
        <f t="shared" si="145"/>
        <v/>
      </c>
      <c r="MD30" s="40" t="str">
        <f t="shared" si="146"/>
        <v/>
      </c>
      <c r="ME30" s="40" t="str">
        <f t="shared" si="147"/>
        <v/>
      </c>
      <c r="MF30" s="18"/>
      <c r="MG30" s="18"/>
      <c r="MH30" s="18"/>
      <c r="MI30" s="18"/>
      <c r="MJ30" s="18"/>
      <c r="MK30" s="18"/>
      <c r="ML30" s="18"/>
      <c r="MM30" s="18"/>
      <c r="MN30" s="18"/>
      <c r="MO30" s="18"/>
      <c r="MP30" s="18"/>
      <c r="MQ30" s="18"/>
      <c r="MR30" s="18"/>
      <c r="MS30" s="18"/>
      <c r="MT30" s="18"/>
      <c r="MU30" s="18"/>
      <c r="MV30" s="18"/>
      <c r="MW30" s="18"/>
      <c r="MX30" s="18"/>
      <c r="MY30" s="18"/>
      <c r="MZ30" s="11" t="str">
        <f t="shared" si="148"/>
        <v/>
      </c>
      <c r="NA30" s="11" t="str">
        <f t="shared" si="149"/>
        <v/>
      </c>
      <c r="NB30" s="11" t="str">
        <f t="shared" si="150"/>
        <v/>
      </c>
      <c r="NC30" s="11" t="str">
        <f t="shared" si="151"/>
        <v/>
      </c>
      <c r="ND30" s="11" t="str">
        <f t="shared" si="152"/>
        <v/>
      </c>
      <c r="NE30" s="11" t="str">
        <f t="shared" si="153"/>
        <v/>
      </c>
      <c r="NF30" s="11" t="str">
        <f t="shared" si="154"/>
        <v/>
      </c>
      <c r="NG30" s="11" t="str">
        <f t="shared" si="155"/>
        <v/>
      </c>
      <c r="NH30" s="11" t="str">
        <f t="shared" si="156"/>
        <v/>
      </c>
      <c r="NI30" s="11" t="str">
        <f t="shared" si="157"/>
        <v/>
      </c>
      <c r="NJ30" s="11" t="str">
        <f t="shared" si="158"/>
        <v/>
      </c>
      <c r="NK30" s="11" t="str">
        <f t="shared" si="159"/>
        <v/>
      </c>
      <c r="NL30" s="11" t="str">
        <f t="shared" si="160"/>
        <v/>
      </c>
      <c r="NM30" s="11" t="str">
        <f t="shared" si="161"/>
        <v/>
      </c>
      <c r="NN30" s="17"/>
      <c r="NO30" s="17"/>
      <c r="NP30" s="17"/>
      <c r="NQ30" s="17"/>
      <c r="NR30" s="17"/>
      <c r="NS30" s="17"/>
      <c r="NT30" s="17"/>
      <c r="NU30" s="17"/>
      <c r="NV30" s="17"/>
      <c r="NW30" s="17"/>
      <c r="NX30" s="17"/>
      <c r="NY30" s="17"/>
      <c r="NZ30" s="17"/>
      <c r="OA30" s="17"/>
      <c r="OB30" s="17"/>
      <c r="OC30" s="17"/>
      <c r="OD30" s="17"/>
      <c r="OE30" s="17"/>
      <c r="OF30" s="17"/>
      <c r="OG30" s="17"/>
      <c r="OH30" s="40" t="str">
        <f t="shared" si="162"/>
        <v/>
      </c>
      <c r="OI30" s="40" t="str">
        <f t="shared" si="163"/>
        <v/>
      </c>
      <c r="OJ30" s="40" t="str">
        <f t="shared" si="164"/>
        <v/>
      </c>
      <c r="OK30" s="40" t="str">
        <f t="shared" si="165"/>
        <v/>
      </c>
      <c r="OL30" s="40" t="str">
        <f t="shared" si="166"/>
        <v/>
      </c>
      <c r="OM30" s="40" t="str">
        <f t="shared" si="167"/>
        <v/>
      </c>
      <c r="ON30" s="40" t="str">
        <f t="shared" si="168"/>
        <v/>
      </c>
      <c r="OO30" s="40" t="str">
        <f t="shared" si="169"/>
        <v/>
      </c>
      <c r="OP30" s="40" t="str">
        <f t="shared" si="170"/>
        <v/>
      </c>
      <c r="OQ30" s="40" t="str">
        <f t="shared" si="171"/>
        <v/>
      </c>
      <c r="OR30" s="40" t="str">
        <f t="shared" si="172"/>
        <v/>
      </c>
      <c r="OS30" s="40" t="str">
        <f t="shared" si="173"/>
        <v/>
      </c>
      <c r="OT30" s="40" t="str">
        <f t="shared" si="174"/>
        <v/>
      </c>
      <c r="OU30" s="40" t="str">
        <f t="shared" si="175"/>
        <v/>
      </c>
      <c r="OV30" s="18"/>
      <c r="OW30" s="18"/>
      <c r="OX30" s="18"/>
      <c r="OY30" s="18"/>
      <c r="OZ30" s="18"/>
      <c r="PA30" s="18"/>
      <c r="PB30" s="18"/>
      <c r="PC30" s="18"/>
      <c r="PD30" s="18"/>
      <c r="PE30" s="18"/>
      <c r="PF30" s="18"/>
      <c r="PG30" s="18"/>
      <c r="PH30" s="18"/>
      <c r="PI30" s="18"/>
      <c r="PJ30" s="18"/>
      <c r="PK30" s="18"/>
      <c r="PL30" s="18"/>
      <c r="PM30" s="18"/>
      <c r="PN30" s="18"/>
      <c r="PO30" s="18"/>
      <c r="PP30" s="11" t="str">
        <f t="shared" si="176"/>
        <v/>
      </c>
      <c r="PQ30" s="11" t="str">
        <f t="shared" si="177"/>
        <v/>
      </c>
      <c r="PR30" s="11" t="str">
        <f t="shared" si="178"/>
        <v/>
      </c>
      <c r="PS30" s="11" t="str">
        <f t="shared" si="179"/>
        <v/>
      </c>
      <c r="PT30" s="11" t="str">
        <f t="shared" si="180"/>
        <v/>
      </c>
      <c r="PU30" s="11" t="str">
        <f t="shared" si="181"/>
        <v/>
      </c>
      <c r="PV30" s="11" t="str">
        <f t="shared" si="182"/>
        <v/>
      </c>
      <c r="PW30" s="11" t="str">
        <f t="shared" si="183"/>
        <v/>
      </c>
      <c r="PX30" s="11" t="str">
        <f t="shared" si="184"/>
        <v/>
      </c>
      <c r="PY30" s="11" t="str">
        <f t="shared" si="185"/>
        <v/>
      </c>
      <c r="PZ30" s="11" t="str">
        <f t="shared" si="186"/>
        <v/>
      </c>
      <c r="QA30" s="11" t="str">
        <f t="shared" si="187"/>
        <v/>
      </c>
      <c r="QB30" s="11" t="str">
        <f t="shared" si="188"/>
        <v/>
      </c>
      <c r="QC30" s="11" t="str">
        <f t="shared" si="189"/>
        <v/>
      </c>
      <c r="QD30" s="17"/>
      <c r="QE30" s="17"/>
      <c r="QF30" s="17"/>
      <c r="QG30" s="17"/>
      <c r="QH30" s="17"/>
      <c r="QI30" s="17"/>
      <c r="QJ30" s="17"/>
      <c r="QK30" s="17"/>
      <c r="QL30" s="17"/>
      <c r="QM30" s="17"/>
      <c r="QN30" s="17"/>
      <c r="QO30" s="17"/>
      <c r="QP30" s="17"/>
      <c r="QQ30" s="17"/>
      <c r="QR30" s="17"/>
      <c r="QS30" s="17"/>
      <c r="QT30" s="17"/>
      <c r="QU30" s="17"/>
      <c r="QV30" s="17"/>
      <c r="QW30" s="17"/>
      <c r="QX30" s="40" t="str">
        <f t="shared" si="190"/>
        <v/>
      </c>
      <c r="QY30" s="40" t="str">
        <f t="shared" si="191"/>
        <v/>
      </c>
      <c r="QZ30" s="40" t="str">
        <f t="shared" si="192"/>
        <v/>
      </c>
      <c r="RA30" s="40" t="str">
        <f t="shared" si="193"/>
        <v/>
      </c>
      <c r="RB30" s="40" t="str">
        <f t="shared" si="194"/>
        <v/>
      </c>
      <c r="RC30" s="40" t="str">
        <f t="shared" si="195"/>
        <v/>
      </c>
      <c r="RD30" s="40" t="str">
        <f t="shared" si="196"/>
        <v/>
      </c>
      <c r="RE30" s="40" t="str">
        <f t="shared" si="197"/>
        <v/>
      </c>
      <c r="RF30" s="40" t="str">
        <f t="shared" si="198"/>
        <v/>
      </c>
      <c r="RG30" s="40" t="str">
        <f t="shared" si="199"/>
        <v/>
      </c>
      <c r="RH30" s="40" t="str">
        <f t="shared" si="200"/>
        <v/>
      </c>
      <c r="RI30" s="40" t="str">
        <f t="shared" si="201"/>
        <v/>
      </c>
      <c r="RJ30" s="40" t="str">
        <f t="shared" si="202"/>
        <v/>
      </c>
      <c r="RK30" s="40" t="str">
        <f t="shared" si="203"/>
        <v/>
      </c>
      <c r="RL30" s="18"/>
      <c r="RM30" s="18"/>
      <c r="RN30" s="18"/>
      <c r="RO30" s="18"/>
      <c r="RP30" s="18"/>
      <c r="RQ30" s="18"/>
      <c r="RR30" s="18"/>
      <c r="RS30" s="18"/>
      <c r="RT30" s="18"/>
      <c r="RU30" s="18"/>
      <c r="RV30" s="18"/>
      <c r="RW30" s="18"/>
      <c r="RX30" s="18"/>
      <c r="RY30" s="18"/>
      <c r="RZ30" s="18"/>
      <c r="SA30" s="18"/>
      <c r="SB30" s="18"/>
      <c r="SC30" s="18"/>
      <c r="SD30" s="18"/>
      <c r="SE30" s="18"/>
      <c r="SF30" s="11" t="str">
        <f t="shared" si="204"/>
        <v/>
      </c>
      <c r="SG30" s="11" t="str">
        <f t="shared" si="205"/>
        <v/>
      </c>
      <c r="SH30" s="11" t="str">
        <f t="shared" si="206"/>
        <v/>
      </c>
      <c r="SI30" s="11" t="str">
        <f t="shared" si="207"/>
        <v/>
      </c>
      <c r="SJ30" s="11" t="str">
        <f t="shared" si="208"/>
        <v/>
      </c>
      <c r="SK30" s="11" t="str">
        <f t="shared" si="209"/>
        <v/>
      </c>
      <c r="SL30" s="11" t="str">
        <f t="shared" si="210"/>
        <v/>
      </c>
      <c r="SM30" s="11" t="str">
        <f t="shared" si="211"/>
        <v/>
      </c>
      <c r="SN30" s="11" t="str">
        <f t="shared" si="212"/>
        <v/>
      </c>
      <c r="SO30" s="11" t="str">
        <f t="shared" si="213"/>
        <v/>
      </c>
      <c r="SP30" s="11" t="str">
        <f t="shared" si="214"/>
        <v/>
      </c>
      <c r="SQ30" s="11" t="str">
        <f t="shared" si="215"/>
        <v/>
      </c>
      <c r="SR30" s="11" t="str">
        <f t="shared" si="216"/>
        <v/>
      </c>
      <c r="SS30" s="11" t="str">
        <f t="shared" si="217"/>
        <v/>
      </c>
      <c r="ST30" s="22">
        <f t="shared" si="218"/>
        <v>0</v>
      </c>
      <c r="SU30" s="22">
        <f t="shared" si="219"/>
        <v>0</v>
      </c>
      <c r="SV30" s="22">
        <f t="shared" si="220"/>
        <v>0</v>
      </c>
      <c r="SW30" s="22">
        <f t="shared" si="221"/>
        <v>0</v>
      </c>
      <c r="SX30" s="22">
        <f t="shared" si="222"/>
        <v>0</v>
      </c>
      <c r="SY30" s="22">
        <f t="shared" si="223"/>
        <v>0</v>
      </c>
      <c r="SZ30" s="22">
        <f t="shared" si="224"/>
        <v>0</v>
      </c>
      <c r="TA30" s="22">
        <f t="shared" si="225"/>
        <v>0</v>
      </c>
      <c r="TB30" s="22">
        <f t="shared" si="226"/>
        <v>0</v>
      </c>
      <c r="TC30" s="22">
        <f t="shared" si="227"/>
        <v>0</v>
      </c>
      <c r="TD30" s="22">
        <f t="shared" si="228"/>
        <v>0</v>
      </c>
      <c r="TE30" s="22">
        <f t="shared" si="229"/>
        <v>0</v>
      </c>
      <c r="TF30" s="22">
        <f t="shared" si="230"/>
        <v>0</v>
      </c>
      <c r="TG30" s="22">
        <f t="shared" si="231"/>
        <v>0</v>
      </c>
      <c r="TH30" s="22">
        <f t="shared" si="232"/>
        <v>0</v>
      </c>
      <c r="TI30" s="27" t="s">
        <v>46</v>
      </c>
      <c r="TJ30" s="40" t="str">
        <f t="shared" si="233"/>
        <v/>
      </c>
      <c r="TK30" s="40" t="str">
        <f t="shared" si="234"/>
        <v/>
      </c>
      <c r="TL30" s="40" t="str">
        <f t="shared" si="235"/>
        <v/>
      </c>
      <c r="TM30" s="40" t="str">
        <f t="shared" si="236"/>
        <v/>
      </c>
      <c r="TN30" s="40" t="str">
        <f t="shared" si="237"/>
        <v/>
      </c>
      <c r="TO30" s="40" t="str">
        <f t="shared" si="238"/>
        <v/>
      </c>
      <c r="TP30" s="40" t="str">
        <f t="shared" si="239"/>
        <v/>
      </c>
      <c r="TQ30" s="40" t="str">
        <f t="shared" si="240"/>
        <v/>
      </c>
      <c r="TR30" s="40" t="str">
        <f t="shared" si="241"/>
        <v/>
      </c>
      <c r="TS30" s="40" t="str">
        <f t="shared" si="242"/>
        <v/>
      </c>
      <c r="TT30" s="40" t="str">
        <f t="shared" si="243"/>
        <v/>
      </c>
    </row>
    <row r="31" spans="1:540" x14ac:dyDescent="0.2">
      <c r="A31" s="4" t="str" cm="1">
        <f t="array" ref="A31">IF(AND(F31&lt;&gt;"",G31&lt;&gt;""),SUMPRODUCT((F$4:F$35&lt;&gt;"")*(G$4:G$35&lt;&gt;"")*(E$4:E$35&gt;E31))+1,IF(G31&lt;&gt;"",SUMPRODUCT((H$4:H$35="No DD")*(E$4:E$35&gt;E31))+1+SUMPRODUCT((F$4:F$35&lt;&gt;"")*(G$4:G$35&lt;&gt;"")),""))</f>
        <v/>
      </c>
      <c r="B31" s="5" t="s">
        <v>152</v>
      </c>
      <c r="C31" s="4" t="s">
        <v>5</v>
      </c>
      <c r="D31" s="4">
        <v>2003</v>
      </c>
      <c r="E31" s="9">
        <f t="shared" si="0"/>
        <v>30.080003008002407</v>
      </c>
      <c r="F31" s="3" t="str">
        <f t="shared" si="1"/>
        <v/>
      </c>
      <c r="G31" s="3" t="str">
        <f t="shared" si="2"/>
        <v/>
      </c>
      <c r="H31" s="36" t="str">
        <f t="shared" si="3"/>
        <v/>
      </c>
      <c r="I31" s="3" t="str">
        <f t="shared" si="4"/>
        <v/>
      </c>
      <c r="J31" s="8">
        <f>IF(COUNT(AO31,AR31,BP31,BS31,CQ31,CT31)&gt;0,LARGE((AO31,AR31,BP31,BS31,CQ31,CT31),1),0)</f>
        <v>24.08</v>
      </c>
      <c r="K31" s="8" t="str">
        <f t="shared" si="5"/>
        <v>2022 Nationals</v>
      </c>
      <c r="L31" s="8">
        <f>IF(COUNT(AO31,AR31,BP31,BS31,CQ31,CT31)&gt;1,LARGE((AO31,AR31,BP31,BS31,CQ31,CT31),2),0)</f>
        <v>0</v>
      </c>
      <c r="M31" s="8" t="str">
        <f t="shared" si="6"/>
        <v/>
      </c>
      <c r="N31" s="8">
        <f>IF(COUNT(AO31,AR31,BP31,BS31,CQ31,CT31)&gt;2,MAX(AV31,BW31,CX31,LARGE((AO31,AR31,BP31,BS31,CQ31,CT31),3)),IF(MAX(AV31,BW31,CX31)&gt;0,MAX(AV31,BW31,CX31),0))</f>
        <v>0</v>
      </c>
      <c r="O31" s="8" t="str">
        <f t="shared" si="7"/>
        <v/>
      </c>
      <c r="P31" s="8">
        <f t="shared" si="8"/>
        <v>6</v>
      </c>
      <c r="Q31" s="8" t="str">
        <f t="shared" si="9"/>
        <v>2022 Nationals</v>
      </c>
      <c r="R31" s="8">
        <f t="shared" si="10"/>
        <v>0</v>
      </c>
      <c r="S31" s="8" t="str">
        <f t="shared" si="11"/>
        <v/>
      </c>
      <c r="T31" s="8" t="str">
        <f t="shared" si="12"/>
        <v/>
      </c>
      <c r="U31" s="11" t="str">
        <f t="shared" si="13"/>
        <v/>
      </c>
      <c r="V31" s="8" t="str">
        <f t="shared" si="14"/>
        <v/>
      </c>
      <c r="W31" s="22">
        <v>6.7</v>
      </c>
      <c r="X31" s="22">
        <v>4.2</v>
      </c>
      <c r="Y31" s="22">
        <v>6</v>
      </c>
      <c r="Z31" s="22">
        <v>7.18</v>
      </c>
      <c r="AA31" s="22">
        <v>0</v>
      </c>
      <c r="AB31" s="22"/>
      <c r="AC31" s="22"/>
      <c r="AD31" s="22"/>
      <c r="AE31" s="22"/>
      <c r="AF31" s="22"/>
      <c r="AG31" s="22"/>
      <c r="AH31" s="22"/>
      <c r="AI31" s="22"/>
      <c r="AJ31" s="22"/>
      <c r="AK31" s="22"/>
      <c r="AL31" s="27"/>
      <c r="AM31" s="38">
        <f t="shared" si="15"/>
        <v>6</v>
      </c>
      <c r="AN31" s="38">
        <f t="shared" si="16"/>
        <v>7.18</v>
      </c>
      <c r="AO31" s="40">
        <f t="shared" si="17"/>
        <v>24.08</v>
      </c>
      <c r="AP31" s="40" t="str">
        <f t="shared" si="18"/>
        <v/>
      </c>
      <c r="AQ31" s="40" t="str">
        <f t="shared" si="19"/>
        <v/>
      </c>
      <c r="AR31" s="40" t="str">
        <f t="shared" si="20"/>
        <v/>
      </c>
      <c r="AS31" s="40">
        <f t="shared" si="21"/>
        <v>24.08</v>
      </c>
      <c r="AT31" s="40" t="str">
        <f t="shared" si="22"/>
        <v/>
      </c>
      <c r="AU31" s="40" t="str">
        <f t="shared" si="23"/>
        <v/>
      </c>
      <c r="AV31" s="40" t="str">
        <f t="shared" si="24"/>
        <v/>
      </c>
      <c r="AW31" s="40">
        <f t="shared" si="25"/>
        <v>24.08</v>
      </c>
      <c r="AX31" s="26"/>
      <c r="AY31" s="26"/>
      <c r="AZ31" s="26"/>
      <c r="BA31" s="26"/>
      <c r="BB31" s="26"/>
      <c r="BC31" s="26"/>
      <c r="BD31" s="26"/>
      <c r="BE31" s="26"/>
      <c r="BF31" s="26"/>
      <c r="BG31" s="26"/>
      <c r="BH31" s="26"/>
      <c r="BI31" s="26"/>
      <c r="BJ31" s="26"/>
      <c r="BK31" s="26"/>
      <c r="BL31" s="26"/>
      <c r="BM31" s="28"/>
      <c r="BN31" s="39" t="str">
        <f t="shared" si="26"/>
        <v/>
      </c>
      <c r="BO31" s="39" t="str">
        <f t="shared" si="27"/>
        <v/>
      </c>
      <c r="BP31" s="11" t="str">
        <f t="shared" si="28"/>
        <v/>
      </c>
      <c r="BQ31" s="11" t="str">
        <f t="shared" si="29"/>
        <v/>
      </c>
      <c r="BR31" s="11" t="str">
        <f t="shared" si="30"/>
        <v/>
      </c>
      <c r="BS31" s="11" t="str">
        <f t="shared" si="31"/>
        <v/>
      </c>
      <c r="BT31" s="11" t="str">
        <f t="shared" si="32"/>
        <v/>
      </c>
      <c r="BU31" s="11" t="str">
        <f t="shared" si="33"/>
        <v/>
      </c>
      <c r="BV31" s="11" t="str">
        <f t="shared" si="34"/>
        <v/>
      </c>
      <c r="BW31" s="11" t="str">
        <f t="shared" si="35"/>
        <v/>
      </c>
      <c r="BX31" s="11" t="str">
        <f t="shared" si="36"/>
        <v/>
      </c>
      <c r="BY31" s="22"/>
      <c r="BZ31" s="22"/>
      <c r="CA31" s="22"/>
      <c r="CB31" s="22"/>
      <c r="CC31" s="22"/>
      <c r="CD31" s="22"/>
      <c r="CE31" s="22"/>
      <c r="CF31" s="22"/>
      <c r="CG31" s="22"/>
      <c r="CH31" s="22"/>
      <c r="CI31" s="22"/>
      <c r="CJ31" s="22"/>
      <c r="CK31" s="22"/>
      <c r="CL31" s="22"/>
      <c r="CM31" s="22"/>
      <c r="CN31" s="27"/>
      <c r="CO31" s="38" t="str">
        <f t="shared" si="37"/>
        <v/>
      </c>
      <c r="CP31" s="38" t="str">
        <f t="shared" si="38"/>
        <v/>
      </c>
      <c r="CQ31" s="40" t="str">
        <f t="shared" si="39"/>
        <v/>
      </c>
      <c r="CR31" s="40" t="str">
        <f t="shared" si="40"/>
        <v/>
      </c>
      <c r="CS31" s="40" t="str">
        <f t="shared" si="41"/>
        <v/>
      </c>
      <c r="CT31" s="40" t="str">
        <f t="shared" si="42"/>
        <v/>
      </c>
      <c r="CU31" s="40" t="str">
        <f t="shared" si="43"/>
        <v/>
      </c>
      <c r="CV31" s="40" t="str">
        <f t="shared" si="44"/>
        <v/>
      </c>
      <c r="CW31" s="40" t="str">
        <f t="shared" si="45"/>
        <v/>
      </c>
      <c r="CX31" s="40" t="str">
        <f t="shared" si="46"/>
        <v/>
      </c>
      <c r="CY31" s="40" t="str">
        <f t="shared" si="47"/>
        <v/>
      </c>
      <c r="CZ31" s="50" t="str">
        <f t="shared" si="48"/>
        <v/>
      </c>
      <c r="DA31" s="50" t="str">
        <f t="shared" si="49"/>
        <v/>
      </c>
      <c r="DB31" s="17"/>
      <c r="DC31" s="17"/>
      <c r="DD31" s="17"/>
      <c r="DE31" s="17"/>
      <c r="DF31" s="17"/>
      <c r="DG31" s="17"/>
      <c r="DH31" s="17"/>
      <c r="DI31" s="17"/>
      <c r="DJ31" s="17"/>
      <c r="DK31" s="17"/>
      <c r="DL31" s="17"/>
      <c r="DM31" s="17"/>
      <c r="DN31" s="17"/>
      <c r="DO31" s="17"/>
      <c r="DP31" s="17"/>
      <c r="DQ31" s="17"/>
      <c r="DR31" s="17"/>
      <c r="DS31" s="17"/>
      <c r="DT31" s="17"/>
      <c r="DU31" s="17"/>
      <c r="DV31" s="40" t="str">
        <f t="shared" si="50"/>
        <v/>
      </c>
      <c r="DW31" s="40" t="str">
        <f t="shared" si="51"/>
        <v/>
      </c>
      <c r="DX31" s="40" t="str">
        <f t="shared" si="52"/>
        <v/>
      </c>
      <c r="DY31" s="40" t="str">
        <f t="shared" si="53"/>
        <v/>
      </c>
      <c r="DZ31" s="40" t="str">
        <f t="shared" si="54"/>
        <v/>
      </c>
      <c r="EA31" s="40" t="str">
        <f t="shared" si="55"/>
        <v/>
      </c>
      <c r="EB31" s="40" t="str">
        <f t="shared" si="56"/>
        <v/>
      </c>
      <c r="EC31" s="40" t="str">
        <f t="shared" si="57"/>
        <v/>
      </c>
      <c r="ED31" s="40" t="str">
        <f t="shared" si="58"/>
        <v/>
      </c>
      <c r="EE31" s="40" t="str">
        <f t="shared" si="59"/>
        <v/>
      </c>
      <c r="EF31" s="40" t="str">
        <f t="shared" si="60"/>
        <v/>
      </c>
      <c r="EG31" s="40" t="str">
        <f t="shared" si="61"/>
        <v/>
      </c>
      <c r="EH31" s="40" t="str">
        <f t="shared" si="62"/>
        <v/>
      </c>
      <c r="EI31" s="40" t="str">
        <f t="shared" si="63"/>
        <v/>
      </c>
      <c r="EJ31" s="18"/>
      <c r="EK31" s="18"/>
      <c r="EL31" s="18"/>
      <c r="EM31" s="18"/>
      <c r="EN31" s="18"/>
      <c r="EO31" s="18"/>
      <c r="EP31" s="18"/>
      <c r="EQ31" s="18"/>
      <c r="ER31" s="18"/>
      <c r="ES31" s="18"/>
      <c r="ET31" s="18"/>
      <c r="EU31" s="18"/>
      <c r="EV31" s="18"/>
      <c r="EW31" s="18"/>
      <c r="EX31" s="18"/>
      <c r="EY31" s="18"/>
      <c r="EZ31" s="18"/>
      <c r="FA31" s="18"/>
      <c r="FB31" s="18"/>
      <c r="FC31" s="18"/>
      <c r="FD31" s="11" t="str">
        <f t="shared" si="64"/>
        <v/>
      </c>
      <c r="FE31" s="11" t="str">
        <f t="shared" si="65"/>
        <v/>
      </c>
      <c r="FF31" s="11" t="str">
        <f t="shared" si="66"/>
        <v/>
      </c>
      <c r="FG31" s="11" t="str">
        <f t="shared" si="67"/>
        <v/>
      </c>
      <c r="FH31" s="11" t="str">
        <f t="shared" si="68"/>
        <v/>
      </c>
      <c r="FI31" s="11" t="str">
        <f t="shared" si="69"/>
        <v/>
      </c>
      <c r="FJ31" s="11" t="str">
        <f t="shared" si="70"/>
        <v/>
      </c>
      <c r="FK31" s="11" t="str">
        <f t="shared" si="71"/>
        <v/>
      </c>
      <c r="FL31" s="11" t="str">
        <f t="shared" si="72"/>
        <v/>
      </c>
      <c r="FM31" s="11" t="str">
        <f t="shared" si="73"/>
        <v/>
      </c>
      <c r="FN31" s="11" t="str">
        <f t="shared" si="74"/>
        <v/>
      </c>
      <c r="FO31" s="11" t="str">
        <f t="shared" si="75"/>
        <v/>
      </c>
      <c r="FP31" s="11" t="str">
        <f t="shared" si="76"/>
        <v/>
      </c>
      <c r="FQ31" s="11" t="str">
        <f t="shared" si="77"/>
        <v/>
      </c>
      <c r="FR31" s="17"/>
      <c r="FS31" s="17"/>
      <c r="FT31" s="17"/>
      <c r="FU31" s="17"/>
      <c r="FV31" s="17"/>
      <c r="FW31" s="17"/>
      <c r="FX31" s="17"/>
      <c r="FY31" s="17"/>
      <c r="FZ31" s="17"/>
      <c r="GA31" s="17"/>
      <c r="GB31" s="17"/>
      <c r="GC31" s="17"/>
      <c r="GD31" s="17"/>
      <c r="GE31" s="17"/>
      <c r="GF31" s="17"/>
      <c r="GG31" s="17"/>
      <c r="GH31" s="17"/>
      <c r="GI31" s="17"/>
      <c r="GJ31" s="17"/>
      <c r="GK31" s="17"/>
      <c r="GL31" s="40" t="str">
        <f t="shared" si="78"/>
        <v/>
      </c>
      <c r="GM31" s="40" t="str">
        <f t="shared" si="79"/>
        <v/>
      </c>
      <c r="GN31" s="40" t="str">
        <f t="shared" si="80"/>
        <v/>
      </c>
      <c r="GO31" s="40" t="str">
        <f t="shared" si="81"/>
        <v/>
      </c>
      <c r="GP31" s="40" t="str">
        <f t="shared" si="82"/>
        <v/>
      </c>
      <c r="GQ31" s="40" t="str">
        <f t="shared" si="83"/>
        <v/>
      </c>
      <c r="GR31" s="40" t="str">
        <f t="shared" si="84"/>
        <v/>
      </c>
      <c r="GS31" s="40" t="str">
        <f t="shared" si="85"/>
        <v/>
      </c>
      <c r="GT31" s="40" t="str">
        <f t="shared" si="86"/>
        <v/>
      </c>
      <c r="GU31" s="40" t="str">
        <f t="shared" si="87"/>
        <v/>
      </c>
      <c r="GV31" s="40" t="str">
        <f t="shared" si="88"/>
        <v/>
      </c>
      <c r="GW31" s="40" t="str">
        <f t="shared" si="89"/>
        <v/>
      </c>
      <c r="GX31" s="40" t="str">
        <f t="shared" si="90"/>
        <v/>
      </c>
      <c r="GY31" s="40" t="str">
        <f t="shared" si="91"/>
        <v/>
      </c>
      <c r="GZ31" s="18"/>
      <c r="HA31" s="18"/>
      <c r="HB31" s="18"/>
      <c r="HC31" s="18"/>
      <c r="HD31" s="18"/>
      <c r="HE31" s="18"/>
      <c r="HF31" s="18"/>
      <c r="HG31" s="18"/>
      <c r="HH31" s="18"/>
      <c r="HI31" s="18"/>
      <c r="HJ31" s="18"/>
      <c r="HK31" s="18"/>
      <c r="HL31" s="18"/>
      <c r="HM31" s="18"/>
      <c r="HN31" s="18"/>
      <c r="HO31" s="18"/>
      <c r="HP31" s="18"/>
      <c r="HQ31" s="18"/>
      <c r="HR31" s="18"/>
      <c r="HS31" s="18"/>
      <c r="HT31" s="11" t="str">
        <f t="shared" si="92"/>
        <v/>
      </c>
      <c r="HU31" s="11" t="str">
        <f t="shared" si="93"/>
        <v/>
      </c>
      <c r="HV31" s="11" t="str">
        <f t="shared" si="94"/>
        <v/>
      </c>
      <c r="HW31" s="11" t="str">
        <f t="shared" si="95"/>
        <v/>
      </c>
      <c r="HX31" s="11" t="str">
        <f t="shared" si="96"/>
        <v/>
      </c>
      <c r="HY31" s="11" t="str">
        <f t="shared" si="97"/>
        <v/>
      </c>
      <c r="HZ31" s="11" t="str">
        <f t="shared" si="98"/>
        <v/>
      </c>
      <c r="IA31" s="11" t="str">
        <f t="shared" si="99"/>
        <v/>
      </c>
      <c r="IB31" s="11" t="str">
        <f t="shared" si="100"/>
        <v/>
      </c>
      <c r="IC31" s="11" t="str">
        <f t="shared" si="101"/>
        <v/>
      </c>
      <c r="ID31" s="11" t="str">
        <f t="shared" si="102"/>
        <v/>
      </c>
      <c r="IE31" s="11" t="str">
        <f t="shared" si="103"/>
        <v/>
      </c>
      <c r="IF31" s="11" t="str">
        <f t="shared" si="104"/>
        <v/>
      </c>
      <c r="IG31" s="11" t="str">
        <f t="shared" si="105"/>
        <v/>
      </c>
      <c r="IH31" s="17"/>
      <c r="II31" s="17"/>
      <c r="IJ31" s="17"/>
      <c r="IK31" s="17"/>
      <c r="IL31" s="17"/>
      <c r="IM31" s="17"/>
      <c r="IN31" s="17"/>
      <c r="IO31" s="17"/>
      <c r="IP31" s="17"/>
      <c r="IQ31" s="17"/>
      <c r="IR31" s="17"/>
      <c r="IS31" s="17"/>
      <c r="IT31" s="17"/>
      <c r="IU31" s="17"/>
      <c r="IV31" s="17"/>
      <c r="IW31" s="17"/>
      <c r="IX31" s="17"/>
      <c r="IY31" s="17"/>
      <c r="IZ31" s="17"/>
      <c r="JA31" s="17"/>
      <c r="JB31" s="40" t="str">
        <f t="shared" si="106"/>
        <v/>
      </c>
      <c r="JC31" s="40" t="str">
        <f t="shared" si="107"/>
        <v/>
      </c>
      <c r="JD31" s="40" t="str">
        <f t="shared" si="108"/>
        <v/>
      </c>
      <c r="JE31" s="40" t="str">
        <f t="shared" si="109"/>
        <v/>
      </c>
      <c r="JF31" s="40" t="str">
        <f t="shared" si="110"/>
        <v/>
      </c>
      <c r="JG31" s="40" t="str">
        <f t="shared" si="111"/>
        <v/>
      </c>
      <c r="JH31" s="40" t="str">
        <f t="shared" si="112"/>
        <v/>
      </c>
      <c r="JI31" s="40" t="str">
        <f t="shared" si="113"/>
        <v/>
      </c>
      <c r="JJ31" s="40" t="str">
        <f t="shared" si="114"/>
        <v/>
      </c>
      <c r="JK31" s="40" t="str">
        <f t="shared" si="115"/>
        <v/>
      </c>
      <c r="JL31" s="40" t="str">
        <f t="shared" si="116"/>
        <v/>
      </c>
      <c r="JM31" s="40" t="str">
        <f t="shared" si="117"/>
        <v/>
      </c>
      <c r="JN31" s="40" t="str">
        <f t="shared" si="118"/>
        <v/>
      </c>
      <c r="JO31" s="40" t="str">
        <f t="shared" si="119"/>
        <v/>
      </c>
      <c r="JP31" s="18"/>
      <c r="JQ31" s="18"/>
      <c r="JR31" s="18"/>
      <c r="JS31" s="18"/>
      <c r="JT31" s="18"/>
      <c r="JU31" s="18"/>
      <c r="JV31" s="18"/>
      <c r="JW31" s="18"/>
      <c r="JX31" s="18"/>
      <c r="JY31" s="18"/>
      <c r="JZ31" s="18"/>
      <c r="KA31" s="18"/>
      <c r="KB31" s="18"/>
      <c r="KC31" s="18"/>
      <c r="KD31" s="18"/>
      <c r="KE31" s="18"/>
      <c r="KF31" s="18"/>
      <c r="KG31" s="18"/>
      <c r="KH31" s="18"/>
      <c r="KI31" s="18"/>
      <c r="KJ31" s="11" t="str">
        <f t="shared" si="120"/>
        <v/>
      </c>
      <c r="KK31" s="11" t="str">
        <f t="shared" si="121"/>
        <v/>
      </c>
      <c r="KL31" s="11" t="str">
        <f t="shared" si="122"/>
        <v/>
      </c>
      <c r="KM31" s="11" t="str">
        <f t="shared" si="123"/>
        <v/>
      </c>
      <c r="KN31" s="11" t="str">
        <f t="shared" si="124"/>
        <v/>
      </c>
      <c r="KO31" s="11" t="str">
        <f t="shared" si="125"/>
        <v/>
      </c>
      <c r="KP31" s="11" t="str">
        <f t="shared" si="126"/>
        <v/>
      </c>
      <c r="KQ31" s="11" t="str">
        <f t="shared" si="127"/>
        <v/>
      </c>
      <c r="KR31" s="11" t="str">
        <f t="shared" si="128"/>
        <v/>
      </c>
      <c r="KS31" s="11" t="str">
        <f t="shared" si="129"/>
        <v/>
      </c>
      <c r="KT31" s="11" t="str">
        <f t="shared" si="130"/>
        <v/>
      </c>
      <c r="KU31" s="11" t="str">
        <f t="shared" si="131"/>
        <v/>
      </c>
      <c r="KV31" s="11" t="str">
        <f t="shared" si="132"/>
        <v/>
      </c>
      <c r="KW31" s="11" t="str">
        <f t="shared" si="133"/>
        <v/>
      </c>
      <c r="KX31" s="17"/>
      <c r="KY31" s="17"/>
      <c r="KZ31" s="17"/>
      <c r="LA31" s="17"/>
      <c r="LB31" s="17"/>
      <c r="LC31" s="17"/>
      <c r="LD31" s="17"/>
      <c r="LE31" s="17"/>
      <c r="LF31" s="17"/>
      <c r="LG31" s="17"/>
      <c r="LH31" s="17"/>
      <c r="LI31" s="17"/>
      <c r="LJ31" s="17"/>
      <c r="LK31" s="17"/>
      <c r="LL31" s="17"/>
      <c r="LM31" s="17"/>
      <c r="LN31" s="17"/>
      <c r="LO31" s="17"/>
      <c r="LP31" s="17"/>
      <c r="LQ31" s="17"/>
      <c r="LR31" s="40" t="str">
        <f t="shared" si="134"/>
        <v/>
      </c>
      <c r="LS31" s="40" t="str">
        <f t="shared" si="135"/>
        <v/>
      </c>
      <c r="LT31" s="40" t="str">
        <f t="shared" si="136"/>
        <v/>
      </c>
      <c r="LU31" s="40" t="str">
        <f t="shared" si="137"/>
        <v/>
      </c>
      <c r="LV31" s="40" t="str">
        <f t="shared" si="138"/>
        <v/>
      </c>
      <c r="LW31" s="40" t="str">
        <f t="shared" si="139"/>
        <v/>
      </c>
      <c r="LX31" s="40" t="str">
        <f t="shared" si="140"/>
        <v/>
      </c>
      <c r="LY31" s="40" t="str">
        <f t="shared" si="141"/>
        <v/>
      </c>
      <c r="LZ31" s="40" t="str">
        <f t="shared" si="142"/>
        <v/>
      </c>
      <c r="MA31" s="40" t="str">
        <f t="shared" si="143"/>
        <v/>
      </c>
      <c r="MB31" s="40" t="str">
        <f t="shared" si="144"/>
        <v/>
      </c>
      <c r="MC31" s="40" t="str">
        <f t="shared" si="145"/>
        <v/>
      </c>
      <c r="MD31" s="40" t="str">
        <f t="shared" si="146"/>
        <v/>
      </c>
      <c r="ME31" s="40" t="str">
        <f t="shared" si="147"/>
        <v/>
      </c>
      <c r="MF31" s="18"/>
      <c r="MG31" s="18"/>
      <c r="MH31" s="18"/>
      <c r="MI31" s="18"/>
      <c r="MJ31" s="18"/>
      <c r="MK31" s="18"/>
      <c r="ML31" s="18"/>
      <c r="MM31" s="18"/>
      <c r="MN31" s="18"/>
      <c r="MO31" s="18"/>
      <c r="MP31" s="18"/>
      <c r="MQ31" s="18"/>
      <c r="MR31" s="18"/>
      <c r="MS31" s="18"/>
      <c r="MT31" s="18"/>
      <c r="MU31" s="18"/>
      <c r="MV31" s="18"/>
      <c r="MW31" s="18"/>
      <c r="MX31" s="18"/>
      <c r="MY31" s="18"/>
      <c r="MZ31" s="11" t="str">
        <f t="shared" si="148"/>
        <v/>
      </c>
      <c r="NA31" s="11" t="str">
        <f t="shared" si="149"/>
        <v/>
      </c>
      <c r="NB31" s="11" t="str">
        <f t="shared" si="150"/>
        <v/>
      </c>
      <c r="NC31" s="11" t="str">
        <f t="shared" si="151"/>
        <v/>
      </c>
      <c r="ND31" s="11" t="str">
        <f t="shared" si="152"/>
        <v/>
      </c>
      <c r="NE31" s="11" t="str">
        <f t="shared" si="153"/>
        <v/>
      </c>
      <c r="NF31" s="11" t="str">
        <f t="shared" si="154"/>
        <v/>
      </c>
      <c r="NG31" s="11" t="str">
        <f t="shared" si="155"/>
        <v/>
      </c>
      <c r="NH31" s="11" t="str">
        <f t="shared" si="156"/>
        <v/>
      </c>
      <c r="NI31" s="11" t="str">
        <f t="shared" si="157"/>
        <v/>
      </c>
      <c r="NJ31" s="11" t="str">
        <f t="shared" si="158"/>
        <v/>
      </c>
      <c r="NK31" s="11" t="str">
        <f t="shared" si="159"/>
        <v/>
      </c>
      <c r="NL31" s="11" t="str">
        <f t="shared" si="160"/>
        <v/>
      </c>
      <c r="NM31" s="11" t="str">
        <f t="shared" si="161"/>
        <v/>
      </c>
      <c r="NN31" s="17"/>
      <c r="NO31" s="17"/>
      <c r="NP31" s="17"/>
      <c r="NQ31" s="17"/>
      <c r="NR31" s="17"/>
      <c r="NS31" s="17"/>
      <c r="NT31" s="17"/>
      <c r="NU31" s="17"/>
      <c r="NV31" s="17"/>
      <c r="NW31" s="17"/>
      <c r="NX31" s="17"/>
      <c r="NY31" s="17"/>
      <c r="NZ31" s="17"/>
      <c r="OA31" s="17"/>
      <c r="OB31" s="17"/>
      <c r="OC31" s="17"/>
      <c r="OD31" s="17"/>
      <c r="OE31" s="17"/>
      <c r="OF31" s="17"/>
      <c r="OG31" s="17"/>
      <c r="OH31" s="40" t="str">
        <f t="shared" si="162"/>
        <v/>
      </c>
      <c r="OI31" s="40" t="str">
        <f t="shared" si="163"/>
        <v/>
      </c>
      <c r="OJ31" s="40" t="str">
        <f t="shared" si="164"/>
        <v/>
      </c>
      <c r="OK31" s="40" t="str">
        <f t="shared" si="165"/>
        <v/>
      </c>
      <c r="OL31" s="40" t="str">
        <f t="shared" si="166"/>
        <v/>
      </c>
      <c r="OM31" s="40" t="str">
        <f t="shared" si="167"/>
        <v/>
      </c>
      <c r="ON31" s="40" t="str">
        <f t="shared" si="168"/>
        <v/>
      </c>
      <c r="OO31" s="40" t="str">
        <f t="shared" si="169"/>
        <v/>
      </c>
      <c r="OP31" s="40" t="str">
        <f t="shared" si="170"/>
        <v/>
      </c>
      <c r="OQ31" s="40" t="str">
        <f t="shared" si="171"/>
        <v/>
      </c>
      <c r="OR31" s="40" t="str">
        <f t="shared" si="172"/>
        <v/>
      </c>
      <c r="OS31" s="40" t="str">
        <f t="shared" si="173"/>
        <v/>
      </c>
      <c r="OT31" s="40" t="str">
        <f t="shared" si="174"/>
        <v/>
      </c>
      <c r="OU31" s="40" t="str">
        <f t="shared" si="175"/>
        <v/>
      </c>
      <c r="OV31" s="18"/>
      <c r="OW31" s="18"/>
      <c r="OX31" s="18"/>
      <c r="OY31" s="18"/>
      <c r="OZ31" s="18"/>
      <c r="PA31" s="18"/>
      <c r="PB31" s="18"/>
      <c r="PC31" s="18"/>
      <c r="PD31" s="18"/>
      <c r="PE31" s="18"/>
      <c r="PF31" s="18"/>
      <c r="PG31" s="18"/>
      <c r="PH31" s="18"/>
      <c r="PI31" s="18"/>
      <c r="PJ31" s="18"/>
      <c r="PK31" s="18"/>
      <c r="PL31" s="18"/>
      <c r="PM31" s="18"/>
      <c r="PN31" s="18"/>
      <c r="PO31" s="18"/>
      <c r="PP31" s="11" t="str">
        <f t="shared" si="176"/>
        <v/>
      </c>
      <c r="PQ31" s="11" t="str">
        <f t="shared" si="177"/>
        <v/>
      </c>
      <c r="PR31" s="11" t="str">
        <f t="shared" si="178"/>
        <v/>
      </c>
      <c r="PS31" s="11" t="str">
        <f t="shared" si="179"/>
        <v/>
      </c>
      <c r="PT31" s="11" t="str">
        <f t="shared" si="180"/>
        <v/>
      </c>
      <c r="PU31" s="11" t="str">
        <f t="shared" si="181"/>
        <v/>
      </c>
      <c r="PV31" s="11" t="str">
        <f t="shared" si="182"/>
        <v/>
      </c>
      <c r="PW31" s="11" t="str">
        <f t="shared" si="183"/>
        <v/>
      </c>
      <c r="PX31" s="11" t="str">
        <f t="shared" si="184"/>
        <v/>
      </c>
      <c r="PY31" s="11" t="str">
        <f t="shared" si="185"/>
        <v/>
      </c>
      <c r="PZ31" s="11" t="str">
        <f t="shared" si="186"/>
        <v/>
      </c>
      <c r="QA31" s="11" t="str">
        <f t="shared" si="187"/>
        <v/>
      </c>
      <c r="QB31" s="11" t="str">
        <f t="shared" si="188"/>
        <v/>
      </c>
      <c r="QC31" s="11" t="str">
        <f t="shared" si="189"/>
        <v/>
      </c>
      <c r="QD31" s="17"/>
      <c r="QE31" s="17"/>
      <c r="QF31" s="17"/>
      <c r="QG31" s="17"/>
      <c r="QH31" s="17"/>
      <c r="QI31" s="17"/>
      <c r="QJ31" s="17"/>
      <c r="QK31" s="17"/>
      <c r="QL31" s="17"/>
      <c r="QM31" s="17"/>
      <c r="QN31" s="17"/>
      <c r="QO31" s="17"/>
      <c r="QP31" s="17"/>
      <c r="QQ31" s="17"/>
      <c r="QR31" s="17"/>
      <c r="QS31" s="17"/>
      <c r="QT31" s="17"/>
      <c r="QU31" s="17"/>
      <c r="QV31" s="17"/>
      <c r="QW31" s="17"/>
      <c r="QX31" s="40" t="str">
        <f t="shared" si="190"/>
        <v/>
      </c>
      <c r="QY31" s="40" t="str">
        <f t="shared" si="191"/>
        <v/>
      </c>
      <c r="QZ31" s="40" t="str">
        <f t="shared" si="192"/>
        <v/>
      </c>
      <c r="RA31" s="40" t="str">
        <f t="shared" si="193"/>
        <v/>
      </c>
      <c r="RB31" s="40" t="str">
        <f t="shared" si="194"/>
        <v/>
      </c>
      <c r="RC31" s="40" t="str">
        <f t="shared" si="195"/>
        <v/>
      </c>
      <c r="RD31" s="40" t="str">
        <f t="shared" si="196"/>
        <v/>
      </c>
      <c r="RE31" s="40" t="str">
        <f t="shared" si="197"/>
        <v/>
      </c>
      <c r="RF31" s="40" t="str">
        <f t="shared" si="198"/>
        <v/>
      </c>
      <c r="RG31" s="40" t="str">
        <f t="shared" si="199"/>
        <v/>
      </c>
      <c r="RH31" s="40" t="str">
        <f t="shared" si="200"/>
        <v/>
      </c>
      <c r="RI31" s="40" t="str">
        <f t="shared" si="201"/>
        <v/>
      </c>
      <c r="RJ31" s="40" t="str">
        <f t="shared" si="202"/>
        <v/>
      </c>
      <c r="RK31" s="40" t="str">
        <f t="shared" si="203"/>
        <v/>
      </c>
      <c r="RL31" s="18"/>
      <c r="RM31" s="18"/>
      <c r="RN31" s="18"/>
      <c r="RO31" s="18"/>
      <c r="RP31" s="18"/>
      <c r="RQ31" s="18"/>
      <c r="RR31" s="18"/>
      <c r="RS31" s="18"/>
      <c r="RT31" s="18"/>
      <c r="RU31" s="18"/>
      <c r="RV31" s="18"/>
      <c r="RW31" s="18"/>
      <c r="RX31" s="18"/>
      <c r="RY31" s="18"/>
      <c r="RZ31" s="18"/>
      <c r="SA31" s="18"/>
      <c r="SB31" s="18"/>
      <c r="SC31" s="18"/>
      <c r="SD31" s="18"/>
      <c r="SE31" s="18"/>
      <c r="SF31" s="11" t="str">
        <f t="shared" si="204"/>
        <v/>
      </c>
      <c r="SG31" s="11" t="str">
        <f t="shared" si="205"/>
        <v/>
      </c>
      <c r="SH31" s="11" t="str">
        <f t="shared" si="206"/>
        <v/>
      </c>
      <c r="SI31" s="11" t="str">
        <f t="shared" si="207"/>
        <v/>
      </c>
      <c r="SJ31" s="11" t="str">
        <f t="shared" si="208"/>
        <v/>
      </c>
      <c r="SK31" s="11" t="str">
        <f t="shared" si="209"/>
        <v/>
      </c>
      <c r="SL31" s="11" t="str">
        <f t="shared" si="210"/>
        <v/>
      </c>
      <c r="SM31" s="11" t="str">
        <f t="shared" si="211"/>
        <v/>
      </c>
      <c r="SN31" s="11" t="str">
        <f t="shared" si="212"/>
        <v/>
      </c>
      <c r="SO31" s="11" t="str">
        <f t="shared" si="213"/>
        <v/>
      </c>
      <c r="SP31" s="11" t="str">
        <f t="shared" si="214"/>
        <v/>
      </c>
      <c r="SQ31" s="11" t="str">
        <f t="shared" si="215"/>
        <v/>
      </c>
      <c r="SR31" s="11" t="str">
        <f t="shared" si="216"/>
        <v/>
      </c>
      <c r="SS31" s="11" t="str">
        <f t="shared" si="217"/>
        <v/>
      </c>
      <c r="ST31" s="22">
        <f t="shared" si="218"/>
        <v>0</v>
      </c>
      <c r="SU31" s="22">
        <f t="shared" si="219"/>
        <v>0</v>
      </c>
      <c r="SV31" s="22">
        <f t="shared" si="220"/>
        <v>0</v>
      </c>
      <c r="SW31" s="22">
        <f t="shared" si="221"/>
        <v>0</v>
      </c>
      <c r="SX31" s="22">
        <f t="shared" si="222"/>
        <v>0</v>
      </c>
      <c r="SY31" s="22">
        <f t="shared" si="223"/>
        <v>0</v>
      </c>
      <c r="SZ31" s="22">
        <f t="shared" si="224"/>
        <v>0</v>
      </c>
      <c r="TA31" s="22">
        <f t="shared" si="225"/>
        <v>0</v>
      </c>
      <c r="TB31" s="22">
        <f t="shared" si="226"/>
        <v>0</v>
      </c>
      <c r="TC31" s="22">
        <f t="shared" si="227"/>
        <v>0</v>
      </c>
      <c r="TD31" s="22">
        <f t="shared" si="228"/>
        <v>0</v>
      </c>
      <c r="TE31" s="22">
        <f t="shared" si="229"/>
        <v>0</v>
      </c>
      <c r="TF31" s="22">
        <f t="shared" si="230"/>
        <v>0</v>
      </c>
      <c r="TG31" s="22">
        <f t="shared" si="231"/>
        <v>0</v>
      </c>
      <c r="TH31" s="22">
        <f t="shared" si="232"/>
        <v>0</v>
      </c>
      <c r="TI31" s="27" t="s">
        <v>46</v>
      </c>
      <c r="TJ31" s="40" t="str">
        <f t="shared" si="233"/>
        <v/>
      </c>
      <c r="TK31" s="40" t="str">
        <f t="shared" si="234"/>
        <v/>
      </c>
      <c r="TL31" s="40" t="str">
        <f t="shared" si="235"/>
        <v/>
      </c>
      <c r="TM31" s="40" t="str">
        <f t="shared" si="236"/>
        <v/>
      </c>
      <c r="TN31" s="40" t="str">
        <f t="shared" si="237"/>
        <v/>
      </c>
      <c r="TO31" s="40" t="str">
        <f t="shared" si="238"/>
        <v/>
      </c>
      <c r="TP31" s="40" t="str">
        <f t="shared" si="239"/>
        <v/>
      </c>
      <c r="TQ31" s="40" t="str">
        <f t="shared" si="240"/>
        <v/>
      </c>
      <c r="TR31" s="40" t="str">
        <f t="shared" si="241"/>
        <v/>
      </c>
      <c r="TS31" s="40" t="str">
        <f t="shared" si="242"/>
        <v/>
      </c>
      <c r="TT31" s="40" t="str">
        <f t="shared" si="243"/>
        <v/>
      </c>
    </row>
    <row r="32" spans="1:540" x14ac:dyDescent="0.2">
      <c r="A32" s="4" t="str" cm="1">
        <f t="array" ref="A32">IF(AND(F32&lt;&gt;"",G32&lt;&gt;""),SUMPRODUCT((F$4:F$35&lt;&gt;"")*(G$4:G$35&lt;&gt;"")*(E$4:E$35&gt;E32))+1,IF(G32&lt;&gt;"",SUMPRODUCT((H$4:H$35="No DD")*(E$4:E$35&gt;E32))+1+SUMPRODUCT((F$4:F$35&lt;&gt;"")*(G$4:G$35&lt;&gt;"")),""))</f>
        <v/>
      </c>
      <c r="B32" s="5" t="s">
        <v>153</v>
      </c>
      <c r="C32" s="4" t="s">
        <v>5</v>
      </c>
      <c r="D32" s="4">
        <v>2005</v>
      </c>
      <c r="E32" s="9">
        <f t="shared" si="0"/>
        <v>23.310002331001893</v>
      </c>
      <c r="F32" s="3" t="str">
        <f t="shared" si="1"/>
        <v/>
      </c>
      <c r="G32" s="3" t="str">
        <f t="shared" si="2"/>
        <v/>
      </c>
      <c r="H32" s="36" t="str">
        <f t="shared" si="3"/>
        <v/>
      </c>
      <c r="I32" s="3" t="str">
        <f t="shared" si="4"/>
        <v/>
      </c>
      <c r="J32" s="8">
        <f>IF(COUNT(AO32,AR32,BP32,BS32,CQ32,CT32)&gt;0,LARGE((AO32,AR32,BP32,BS32,CQ32,CT32),1),0)</f>
        <v>18.91</v>
      </c>
      <c r="K32" s="8" t="str">
        <f t="shared" si="5"/>
        <v>2022 Nationals</v>
      </c>
      <c r="L32" s="8">
        <f>IF(COUNT(AO32,AR32,BP32,BS32,CQ32,CT32)&gt;1,LARGE((AO32,AR32,BP32,BS32,CQ32,CT32),2),0)</f>
        <v>0</v>
      </c>
      <c r="M32" s="8" t="str">
        <f t="shared" si="6"/>
        <v/>
      </c>
      <c r="N32" s="8">
        <f>IF(COUNT(AO32,AR32,BP32,BS32,CQ32,CT32)&gt;2,MAX(AV32,BW32,CX32,LARGE((AO32,AR32,BP32,BS32,CQ32,CT32),3)),IF(MAX(AV32,BW32,CX32)&gt;0,MAX(AV32,BW32,CX32),0))</f>
        <v>0</v>
      </c>
      <c r="O32" s="8" t="str">
        <f t="shared" si="7"/>
        <v/>
      </c>
      <c r="P32" s="8">
        <f t="shared" si="8"/>
        <v>4.4000000000000004</v>
      </c>
      <c r="Q32" s="8" t="str">
        <f t="shared" si="9"/>
        <v>2022 Nationals</v>
      </c>
      <c r="R32" s="8">
        <f t="shared" si="10"/>
        <v>0</v>
      </c>
      <c r="S32" s="8" t="str">
        <f t="shared" si="11"/>
        <v/>
      </c>
      <c r="T32" s="8" t="str">
        <f t="shared" si="12"/>
        <v/>
      </c>
      <c r="U32" s="11" t="str">
        <f t="shared" si="13"/>
        <v/>
      </c>
      <c r="V32" s="8" t="str">
        <f t="shared" si="14"/>
        <v/>
      </c>
      <c r="W32" s="22">
        <v>5.2</v>
      </c>
      <c r="X32" s="22">
        <v>3.7</v>
      </c>
      <c r="Y32" s="22">
        <v>4.4000000000000004</v>
      </c>
      <c r="Z32" s="22">
        <v>5.61</v>
      </c>
      <c r="AA32" s="22">
        <v>0</v>
      </c>
      <c r="AB32" s="22"/>
      <c r="AC32" s="22"/>
      <c r="AD32" s="22"/>
      <c r="AE32" s="22"/>
      <c r="AF32" s="22"/>
      <c r="AG32" s="22"/>
      <c r="AH32" s="22"/>
      <c r="AI32" s="22"/>
      <c r="AJ32" s="22"/>
      <c r="AK32" s="22"/>
      <c r="AL32" s="27"/>
      <c r="AM32" s="38">
        <f t="shared" si="15"/>
        <v>4.4000000000000004</v>
      </c>
      <c r="AN32" s="38">
        <f t="shared" si="16"/>
        <v>5.61</v>
      </c>
      <c r="AO32" s="40">
        <f t="shared" si="17"/>
        <v>18.91</v>
      </c>
      <c r="AP32" s="40" t="str">
        <f t="shared" si="18"/>
        <v/>
      </c>
      <c r="AQ32" s="40" t="str">
        <f t="shared" si="19"/>
        <v/>
      </c>
      <c r="AR32" s="40" t="str">
        <f t="shared" si="20"/>
        <v/>
      </c>
      <c r="AS32" s="40">
        <f t="shared" si="21"/>
        <v>18.91</v>
      </c>
      <c r="AT32" s="40" t="str">
        <f t="shared" si="22"/>
        <v/>
      </c>
      <c r="AU32" s="40" t="str">
        <f t="shared" si="23"/>
        <v/>
      </c>
      <c r="AV32" s="40" t="str">
        <f t="shared" si="24"/>
        <v/>
      </c>
      <c r="AW32" s="40">
        <f t="shared" si="25"/>
        <v>18.91</v>
      </c>
      <c r="AX32" s="26"/>
      <c r="AY32" s="26"/>
      <c r="AZ32" s="26"/>
      <c r="BA32" s="26"/>
      <c r="BB32" s="26"/>
      <c r="BC32" s="26"/>
      <c r="BD32" s="26"/>
      <c r="BE32" s="26"/>
      <c r="BF32" s="26"/>
      <c r="BG32" s="26"/>
      <c r="BH32" s="26"/>
      <c r="BI32" s="26"/>
      <c r="BJ32" s="26"/>
      <c r="BK32" s="26"/>
      <c r="BL32" s="26"/>
      <c r="BM32" s="28"/>
      <c r="BN32" s="39" t="str">
        <f t="shared" si="26"/>
        <v/>
      </c>
      <c r="BO32" s="39" t="str">
        <f t="shared" si="27"/>
        <v/>
      </c>
      <c r="BP32" s="11" t="str">
        <f t="shared" si="28"/>
        <v/>
      </c>
      <c r="BQ32" s="11" t="str">
        <f t="shared" si="29"/>
        <v/>
      </c>
      <c r="BR32" s="11" t="str">
        <f t="shared" si="30"/>
        <v/>
      </c>
      <c r="BS32" s="11" t="str">
        <f t="shared" si="31"/>
        <v/>
      </c>
      <c r="BT32" s="11" t="str">
        <f t="shared" si="32"/>
        <v/>
      </c>
      <c r="BU32" s="11" t="str">
        <f t="shared" si="33"/>
        <v/>
      </c>
      <c r="BV32" s="11" t="str">
        <f t="shared" si="34"/>
        <v/>
      </c>
      <c r="BW32" s="11" t="str">
        <f t="shared" si="35"/>
        <v/>
      </c>
      <c r="BX32" s="11" t="str">
        <f t="shared" si="36"/>
        <v/>
      </c>
      <c r="BY32" s="22"/>
      <c r="BZ32" s="22"/>
      <c r="CA32" s="22"/>
      <c r="CB32" s="22"/>
      <c r="CC32" s="22"/>
      <c r="CD32" s="22"/>
      <c r="CE32" s="22"/>
      <c r="CF32" s="22"/>
      <c r="CG32" s="22"/>
      <c r="CH32" s="22"/>
      <c r="CI32" s="22"/>
      <c r="CJ32" s="22"/>
      <c r="CK32" s="22"/>
      <c r="CL32" s="22"/>
      <c r="CM32" s="22"/>
      <c r="CN32" s="27"/>
      <c r="CO32" s="38" t="str">
        <f t="shared" si="37"/>
        <v/>
      </c>
      <c r="CP32" s="38" t="str">
        <f t="shared" si="38"/>
        <v/>
      </c>
      <c r="CQ32" s="40" t="str">
        <f t="shared" si="39"/>
        <v/>
      </c>
      <c r="CR32" s="40" t="str">
        <f t="shared" si="40"/>
        <v/>
      </c>
      <c r="CS32" s="40" t="str">
        <f t="shared" si="41"/>
        <v/>
      </c>
      <c r="CT32" s="40" t="str">
        <f t="shared" si="42"/>
        <v/>
      </c>
      <c r="CU32" s="40" t="str">
        <f t="shared" si="43"/>
        <v/>
      </c>
      <c r="CV32" s="40" t="str">
        <f t="shared" si="44"/>
        <v/>
      </c>
      <c r="CW32" s="40" t="str">
        <f t="shared" si="45"/>
        <v/>
      </c>
      <c r="CX32" s="40" t="str">
        <f t="shared" si="46"/>
        <v/>
      </c>
      <c r="CY32" s="40" t="str">
        <f t="shared" si="47"/>
        <v/>
      </c>
      <c r="CZ32" s="50" t="str">
        <f t="shared" si="48"/>
        <v/>
      </c>
      <c r="DA32" s="50" t="str">
        <f t="shared" si="49"/>
        <v/>
      </c>
      <c r="DB32" s="17"/>
      <c r="DC32" s="17"/>
      <c r="DD32" s="17"/>
      <c r="DE32" s="17"/>
      <c r="DF32" s="17"/>
      <c r="DG32" s="17"/>
      <c r="DH32" s="17"/>
      <c r="DI32" s="17"/>
      <c r="DJ32" s="17"/>
      <c r="DK32" s="17"/>
      <c r="DL32" s="17"/>
      <c r="DM32" s="17"/>
      <c r="DN32" s="17"/>
      <c r="DO32" s="17"/>
      <c r="DP32" s="17"/>
      <c r="DQ32" s="17"/>
      <c r="DR32" s="17"/>
      <c r="DS32" s="17"/>
      <c r="DT32" s="17"/>
      <c r="DU32" s="17"/>
      <c r="DV32" s="40" t="str">
        <f t="shared" si="50"/>
        <v/>
      </c>
      <c r="DW32" s="40" t="str">
        <f t="shared" si="51"/>
        <v/>
      </c>
      <c r="DX32" s="40" t="str">
        <f t="shared" si="52"/>
        <v/>
      </c>
      <c r="DY32" s="40" t="str">
        <f t="shared" si="53"/>
        <v/>
      </c>
      <c r="DZ32" s="40" t="str">
        <f t="shared" si="54"/>
        <v/>
      </c>
      <c r="EA32" s="40" t="str">
        <f t="shared" si="55"/>
        <v/>
      </c>
      <c r="EB32" s="40" t="str">
        <f t="shared" si="56"/>
        <v/>
      </c>
      <c r="EC32" s="40" t="str">
        <f t="shared" si="57"/>
        <v/>
      </c>
      <c r="ED32" s="40" t="str">
        <f t="shared" si="58"/>
        <v/>
      </c>
      <c r="EE32" s="40" t="str">
        <f t="shared" si="59"/>
        <v/>
      </c>
      <c r="EF32" s="40" t="str">
        <f t="shared" si="60"/>
        <v/>
      </c>
      <c r="EG32" s="40" t="str">
        <f t="shared" si="61"/>
        <v/>
      </c>
      <c r="EH32" s="40" t="str">
        <f t="shared" si="62"/>
        <v/>
      </c>
      <c r="EI32" s="40" t="str">
        <f t="shared" si="63"/>
        <v/>
      </c>
      <c r="EJ32" s="18"/>
      <c r="EK32" s="18"/>
      <c r="EL32" s="18"/>
      <c r="EM32" s="18"/>
      <c r="EN32" s="18"/>
      <c r="EO32" s="18"/>
      <c r="EP32" s="18"/>
      <c r="EQ32" s="18"/>
      <c r="ER32" s="18"/>
      <c r="ES32" s="18"/>
      <c r="ET32" s="18"/>
      <c r="EU32" s="18"/>
      <c r="EV32" s="18"/>
      <c r="EW32" s="18"/>
      <c r="EX32" s="18"/>
      <c r="EY32" s="18"/>
      <c r="EZ32" s="18"/>
      <c r="FA32" s="18"/>
      <c r="FB32" s="18"/>
      <c r="FC32" s="18"/>
      <c r="FD32" s="11" t="str">
        <f t="shared" si="64"/>
        <v/>
      </c>
      <c r="FE32" s="11" t="str">
        <f t="shared" si="65"/>
        <v/>
      </c>
      <c r="FF32" s="11" t="str">
        <f t="shared" si="66"/>
        <v/>
      </c>
      <c r="FG32" s="11" t="str">
        <f t="shared" si="67"/>
        <v/>
      </c>
      <c r="FH32" s="11" t="str">
        <f t="shared" si="68"/>
        <v/>
      </c>
      <c r="FI32" s="11" t="str">
        <f t="shared" si="69"/>
        <v/>
      </c>
      <c r="FJ32" s="11" t="str">
        <f t="shared" si="70"/>
        <v/>
      </c>
      <c r="FK32" s="11" t="str">
        <f t="shared" si="71"/>
        <v/>
      </c>
      <c r="FL32" s="11" t="str">
        <f t="shared" si="72"/>
        <v/>
      </c>
      <c r="FM32" s="11" t="str">
        <f t="shared" si="73"/>
        <v/>
      </c>
      <c r="FN32" s="11" t="str">
        <f t="shared" si="74"/>
        <v/>
      </c>
      <c r="FO32" s="11" t="str">
        <f t="shared" si="75"/>
        <v/>
      </c>
      <c r="FP32" s="11" t="str">
        <f t="shared" si="76"/>
        <v/>
      </c>
      <c r="FQ32" s="11" t="str">
        <f t="shared" si="77"/>
        <v/>
      </c>
      <c r="FR32" s="17"/>
      <c r="FS32" s="17"/>
      <c r="FT32" s="17"/>
      <c r="FU32" s="17"/>
      <c r="FV32" s="17"/>
      <c r="FW32" s="17"/>
      <c r="FX32" s="17"/>
      <c r="FY32" s="17"/>
      <c r="FZ32" s="17"/>
      <c r="GA32" s="17"/>
      <c r="GB32" s="17"/>
      <c r="GC32" s="17"/>
      <c r="GD32" s="17"/>
      <c r="GE32" s="17"/>
      <c r="GF32" s="17"/>
      <c r="GG32" s="17"/>
      <c r="GH32" s="17"/>
      <c r="GI32" s="17"/>
      <c r="GJ32" s="17"/>
      <c r="GK32" s="17"/>
      <c r="GL32" s="40" t="str">
        <f t="shared" si="78"/>
        <v/>
      </c>
      <c r="GM32" s="40" t="str">
        <f t="shared" si="79"/>
        <v/>
      </c>
      <c r="GN32" s="40" t="str">
        <f t="shared" si="80"/>
        <v/>
      </c>
      <c r="GO32" s="40" t="str">
        <f t="shared" si="81"/>
        <v/>
      </c>
      <c r="GP32" s="40" t="str">
        <f t="shared" si="82"/>
        <v/>
      </c>
      <c r="GQ32" s="40" t="str">
        <f t="shared" si="83"/>
        <v/>
      </c>
      <c r="GR32" s="40" t="str">
        <f t="shared" si="84"/>
        <v/>
      </c>
      <c r="GS32" s="40" t="str">
        <f t="shared" si="85"/>
        <v/>
      </c>
      <c r="GT32" s="40" t="str">
        <f t="shared" si="86"/>
        <v/>
      </c>
      <c r="GU32" s="40" t="str">
        <f t="shared" si="87"/>
        <v/>
      </c>
      <c r="GV32" s="40" t="str">
        <f t="shared" si="88"/>
        <v/>
      </c>
      <c r="GW32" s="40" t="str">
        <f t="shared" si="89"/>
        <v/>
      </c>
      <c r="GX32" s="40" t="str">
        <f t="shared" si="90"/>
        <v/>
      </c>
      <c r="GY32" s="40" t="str">
        <f t="shared" si="91"/>
        <v/>
      </c>
      <c r="GZ32" s="18"/>
      <c r="HA32" s="18"/>
      <c r="HB32" s="18"/>
      <c r="HC32" s="18"/>
      <c r="HD32" s="18"/>
      <c r="HE32" s="18"/>
      <c r="HF32" s="18"/>
      <c r="HG32" s="18"/>
      <c r="HH32" s="18"/>
      <c r="HI32" s="18"/>
      <c r="HJ32" s="18"/>
      <c r="HK32" s="18"/>
      <c r="HL32" s="18"/>
      <c r="HM32" s="18"/>
      <c r="HN32" s="18"/>
      <c r="HO32" s="18"/>
      <c r="HP32" s="18"/>
      <c r="HQ32" s="18"/>
      <c r="HR32" s="18"/>
      <c r="HS32" s="18"/>
      <c r="HT32" s="11" t="str">
        <f t="shared" si="92"/>
        <v/>
      </c>
      <c r="HU32" s="11" t="str">
        <f t="shared" si="93"/>
        <v/>
      </c>
      <c r="HV32" s="11" t="str">
        <f t="shared" si="94"/>
        <v/>
      </c>
      <c r="HW32" s="11" t="str">
        <f t="shared" si="95"/>
        <v/>
      </c>
      <c r="HX32" s="11" t="str">
        <f t="shared" si="96"/>
        <v/>
      </c>
      <c r="HY32" s="11" t="str">
        <f t="shared" si="97"/>
        <v/>
      </c>
      <c r="HZ32" s="11" t="str">
        <f t="shared" si="98"/>
        <v/>
      </c>
      <c r="IA32" s="11" t="str">
        <f t="shared" si="99"/>
        <v/>
      </c>
      <c r="IB32" s="11" t="str">
        <f t="shared" si="100"/>
        <v/>
      </c>
      <c r="IC32" s="11" t="str">
        <f t="shared" si="101"/>
        <v/>
      </c>
      <c r="ID32" s="11" t="str">
        <f t="shared" si="102"/>
        <v/>
      </c>
      <c r="IE32" s="11" t="str">
        <f t="shared" si="103"/>
        <v/>
      </c>
      <c r="IF32" s="11" t="str">
        <f t="shared" si="104"/>
        <v/>
      </c>
      <c r="IG32" s="11" t="str">
        <f t="shared" si="105"/>
        <v/>
      </c>
      <c r="IH32" s="17"/>
      <c r="II32" s="17"/>
      <c r="IJ32" s="17"/>
      <c r="IK32" s="17"/>
      <c r="IL32" s="17"/>
      <c r="IM32" s="17"/>
      <c r="IN32" s="17"/>
      <c r="IO32" s="17"/>
      <c r="IP32" s="17"/>
      <c r="IQ32" s="17"/>
      <c r="IR32" s="17"/>
      <c r="IS32" s="17"/>
      <c r="IT32" s="17"/>
      <c r="IU32" s="17"/>
      <c r="IV32" s="17"/>
      <c r="IW32" s="17"/>
      <c r="IX32" s="17"/>
      <c r="IY32" s="17"/>
      <c r="IZ32" s="17"/>
      <c r="JA32" s="17"/>
      <c r="JB32" s="40" t="str">
        <f t="shared" si="106"/>
        <v/>
      </c>
      <c r="JC32" s="40" t="str">
        <f t="shared" si="107"/>
        <v/>
      </c>
      <c r="JD32" s="40" t="str">
        <f t="shared" si="108"/>
        <v/>
      </c>
      <c r="JE32" s="40" t="str">
        <f t="shared" si="109"/>
        <v/>
      </c>
      <c r="JF32" s="40" t="str">
        <f t="shared" si="110"/>
        <v/>
      </c>
      <c r="JG32" s="40" t="str">
        <f t="shared" si="111"/>
        <v/>
      </c>
      <c r="JH32" s="40" t="str">
        <f t="shared" si="112"/>
        <v/>
      </c>
      <c r="JI32" s="40" t="str">
        <f t="shared" si="113"/>
        <v/>
      </c>
      <c r="JJ32" s="40" t="str">
        <f t="shared" si="114"/>
        <v/>
      </c>
      <c r="JK32" s="40" t="str">
        <f t="shared" si="115"/>
        <v/>
      </c>
      <c r="JL32" s="40" t="str">
        <f t="shared" si="116"/>
        <v/>
      </c>
      <c r="JM32" s="40" t="str">
        <f t="shared" si="117"/>
        <v/>
      </c>
      <c r="JN32" s="40" t="str">
        <f t="shared" si="118"/>
        <v/>
      </c>
      <c r="JO32" s="40" t="str">
        <f t="shared" si="119"/>
        <v/>
      </c>
      <c r="JP32" s="18"/>
      <c r="JQ32" s="18"/>
      <c r="JR32" s="18"/>
      <c r="JS32" s="18"/>
      <c r="JT32" s="18"/>
      <c r="JU32" s="18"/>
      <c r="JV32" s="18"/>
      <c r="JW32" s="18"/>
      <c r="JX32" s="18"/>
      <c r="JY32" s="18"/>
      <c r="JZ32" s="18"/>
      <c r="KA32" s="18"/>
      <c r="KB32" s="18"/>
      <c r="KC32" s="18"/>
      <c r="KD32" s="18"/>
      <c r="KE32" s="18"/>
      <c r="KF32" s="18"/>
      <c r="KG32" s="18"/>
      <c r="KH32" s="18"/>
      <c r="KI32" s="18"/>
      <c r="KJ32" s="11" t="str">
        <f t="shared" si="120"/>
        <v/>
      </c>
      <c r="KK32" s="11" t="str">
        <f t="shared" si="121"/>
        <v/>
      </c>
      <c r="KL32" s="11" t="str">
        <f t="shared" si="122"/>
        <v/>
      </c>
      <c r="KM32" s="11" t="str">
        <f t="shared" si="123"/>
        <v/>
      </c>
      <c r="KN32" s="11" t="str">
        <f t="shared" si="124"/>
        <v/>
      </c>
      <c r="KO32" s="11" t="str">
        <f t="shared" si="125"/>
        <v/>
      </c>
      <c r="KP32" s="11" t="str">
        <f t="shared" si="126"/>
        <v/>
      </c>
      <c r="KQ32" s="11" t="str">
        <f t="shared" si="127"/>
        <v/>
      </c>
      <c r="KR32" s="11" t="str">
        <f t="shared" si="128"/>
        <v/>
      </c>
      <c r="KS32" s="11" t="str">
        <f t="shared" si="129"/>
        <v/>
      </c>
      <c r="KT32" s="11" t="str">
        <f t="shared" si="130"/>
        <v/>
      </c>
      <c r="KU32" s="11" t="str">
        <f t="shared" si="131"/>
        <v/>
      </c>
      <c r="KV32" s="11" t="str">
        <f t="shared" si="132"/>
        <v/>
      </c>
      <c r="KW32" s="11" t="str">
        <f t="shared" si="133"/>
        <v/>
      </c>
      <c r="KX32" s="17"/>
      <c r="KY32" s="17"/>
      <c r="KZ32" s="17"/>
      <c r="LA32" s="17"/>
      <c r="LB32" s="17"/>
      <c r="LC32" s="17"/>
      <c r="LD32" s="17"/>
      <c r="LE32" s="17"/>
      <c r="LF32" s="17"/>
      <c r="LG32" s="17"/>
      <c r="LH32" s="17"/>
      <c r="LI32" s="17"/>
      <c r="LJ32" s="17"/>
      <c r="LK32" s="17"/>
      <c r="LL32" s="17"/>
      <c r="LM32" s="17"/>
      <c r="LN32" s="17"/>
      <c r="LO32" s="17"/>
      <c r="LP32" s="17"/>
      <c r="LQ32" s="17"/>
      <c r="LR32" s="40" t="str">
        <f t="shared" si="134"/>
        <v/>
      </c>
      <c r="LS32" s="40" t="str">
        <f t="shared" si="135"/>
        <v/>
      </c>
      <c r="LT32" s="40" t="str">
        <f t="shared" si="136"/>
        <v/>
      </c>
      <c r="LU32" s="40" t="str">
        <f t="shared" si="137"/>
        <v/>
      </c>
      <c r="LV32" s="40" t="str">
        <f t="shared" si="138"/>
        <v/>
      </c>
      <c r="LW32" s="40" t="str">
        <f t="shared" si="139"/>
        <v/>
      </c>
      <c r="LX32" s="40" t="str">
        <f t="shared" si="140"/>
        <v/>
      </c>
      <c r="LY32" s="40" t="str">
        <f t="shared" si="141"/>
        <v/>
      </c>
      <c r="LZ32" s="40" t="str">
        <f t="shared" si="142"/>
        <v/>
      </c>
      <c r="MA32" s="40" t="str">
        <f t="shared" si="143"/>
        <v/>
      </c>
      <c r="MB32" s="40" t="str">
        <f t="shared" si="144"/>
        <v/>
      </c>
      <c r="MC32" s="40" t="str">
        <f t="shared" si="145"/>
        <v/>
      </c>
      <c r="MD32" s="40" t="str">
        <f t="shared" si="146"/>
        <v/>
      </c>
      <c r="ME32" s="40" t="str">
        <f t="shared" si="147"/>
        <v/>
      </c>
      <c r="MF32" s="18"/>
      <c r="MG32" s="18"/>
      <c r="MH32" s="18"/>
      <c r="MI32" s="18"/>
      <c r="MJ32" s="18"/>
      <c r="MK32" s="18"/>
      <c r="ML32" s="18"/>
      <c r="MM32" s="18"/>
      <c r="MN32" s="18"/>
      <c r="MO32" s="18"/>
      <c r="MP32" s="18"/>
      <c r="MQ32" s="18"/>
      <c r="MR32" s="18"/>
      <c r="MS32" s="18"/>
      <c r="MT32" s="18"/>
      <c r="MU32" s="18"/>
      <c r="MV32" s="18"/>
      <c r="MW32" s="18"/>
      <c r="MX32" s="18"/>
      <c r="MY32" s="18"/>
      <c r="MZ32" s="11" t="str">
        <f t="shared" si="148"/>
        <v/>
      </c>
      <c r="NA32" s="11" t="str">
        <f t="shared" si="149"/>
        <v/>
      </c>
      <c r="NB32" s="11" t="str">
        <f t="shared" si="150"/>
        <v/>
      </c>
      <c r="NC32" s="11" t="str">
        <f t="shared" si="151"/>
        <v/>
      </c>
      <c r="ND32" s="11" t="str">
        <f t="shared" si="152"/>
        <v/>
      </c>
      <c r="NE32" s="11" t="str">
        <f t="shared" si="153"/>
        <v/>
      </c>
      <c r="NF32" s="11" t="str">
        <f t="shared" si="154"/>
        <v/>
      </c>
      <c r="NG32" s="11" t="str">
        <f t="shared" si="155"/>
        <v/>
      </c>
      <c r="NH32" s="11" t="str">
        <f t="shared" si="156"/>
        <v/>
      </c>
      <c r="NI32" s="11" t="str">
        <f t="shared" si="157"/>
        <v/>
      </c>
      <c r="NJ32" s="11" t="str">
        <f t="shared" si="158"/>
        <v/>
      </c>
      <c r="NK32" s="11" t="str">
        <f t="shared" si="159"/>
        <v/>
      </c>
      <c r="NL32" s="11" t="str">
        <f t="shared" si="160"/>
        <v/>
      </c>
      <c r="NM32" s="11" t="str">
        <f t="shared" si="161"/>
        <v/>
      </c>
      <c r="NN32" s="17"/>
      <c r="NO32" s="17"/>
      <c r="NP32" s="17"/>
      <c r="NQ32" s="17"/>
      <c r="NR32" s="17"/>
      <c r="NS32" s="17"/>
      <c r="NT32" s="17"/>
      <c r="NU32" s="17"/>
      <c r="NV32" s="17"/>
      <c r="NW32" s="17"/>
      <c r="NX32" s="17"/>
      <c r="NY32" s="17"/>
      <c r="NZ32" s="17"/>
      <c r="OA32" s="17"/>
      <c r="OB32" s="17"/>
      <c r="OC32" s="17"/>
      <c r="OD32" s="17"/>
      <c r="OE32" s="17"/>
      <c r="OF32" s="17"/>
      <c r="OG32" s="17"/>
      <c r="OH32" s="40" t="str">
        <f t="shared" si="162"/>
        <v/>
      </c>
      <c r="OI32" s="40" t="str">
        <f t="shared" si="163"/>
        <v/>
      </c>
      <c r="OJ32" s="40" t="str">
        <f t="shared" si="164"/>
        <v/>
      </c>
      <c r="OK32" s="40" t="str">
        <f t="shared" si="165"/>
        <v/>
      </c>
      <c r="OL32" s="40" t="str">
        <f t="shared" si="166"/>
        <v/>
      </c>
      <c r="OM32" s="40" t="str">
        <f t="shared" si="167"/>
        <v/>
      </c>
      <c r="ON32" s="40" t="str">
        <f t="shared" si="168"/>
        <v/>
      </c>
      <c r="OO32" s="40" t="str">
        <f t="shared" si="169"/>
        <v/>
      </c>
      <c r="OP32" s="40" t="str">
        <f t="shared" si="170"/>
        <v/>
      </c>
      <c r="OQ32" s="40" t="str">
        <f t="shared" si="171"/>
        <v/>
      </c>
      <c r="OR32" s="40" t="str">
        <f t="shared" si="172"/>
        <v/>
      </c>
      <c r="OS32" s="40" t="str">
        <f t="shared" si="173"/>
        <v/>
      </c>
      <c r="OT32" s="40" t="str">
        <f t="shared" si="174"/>
        <v/>
      </c>
      <c r="OU32" s="40" t="str">
        <f t="shared" si="175"/>
        <v/>
      </c>
      <c r="OV32" s="18"/>
      <c r="OW32" s="18"/>
      <c r="OX32" s="18"/>
      <c r="OY32" s="18"/>
      <c r="OZ32" s="18"/>
      <c r="PA32" s="18"/>
      <c r="PB32" s="18"/>
      <c r="PC32" s="18"/>
      <c r="PD32" s="18"/>
      <c r="PE32" s="18"/>
      <c r="PF32" s="18"/>
      <c r="PG32" s="18"/>
      <c r="PH32" s="18"/>
      <c r="PI32" s="18"/>
      <c r="PJ32" s="18"/>
      <c r="PK32" s="18"/>
      <c r="PL32" s="18"/>
      <c r="PM32" s="18"/>
      <c r="PN32" s="18"/>
      <c r="PO32" s="18"/>
      <c r="PP32" s="11" t="str">
        <f t="shared" si="176"/>
        <v/>
      </c>
      <c r="PQ32" s="11" t="str">
        <f t="shared" si="177"/>
        <v/>
      </c>
      <c r="PR32" s="11" t="str">
        <f t="shared" si="178"/>
        <v/>
      </c>
      <c r="PS32" s="11" t="str">
        <f t="shared" si="179"/>
        <v/>
      </c>
      <c r="PT32" s="11" t="str">
        <f t="shared" si="180"/>
        <v/>
      </c>
      <c r="PU32" s="11" t="str">
        <f t="shared" si="181"/>
        <v/>
      </c>
      <c r="PV32" s="11" t="str">
        <f t="shared" si="182"/>
        <v/>
      </c>
      <c r="PW32" s="11" t="str">
        <f t="shared" si="183"/>
        <v/>
      </c>
      <c r="PX32" s="11" t="str">
        <f t="shared" si="184"/>
        <v/>
      </c>
      <c r="PY32" s="11" t="str">
        <f t="shared" si="185"/>
        <v/>
      </c>
      <c r="PZ32" s="11" t="str">
        <f t="shared" si="186"/>
        <v/>
      </c>
      <c r="QA32" s="11" t="str">
        <f t="shared" si="187"/>
        <v/>
      </c>
      <c r="QB32" s="11" t="str">
        <f t="shared" si="188"/>
        <v/>
      </c>
      <c r="QC32" s="11" t="str">
        <f t="shared" si="189"/>
        <v/>
      </c>
      <c r="QD32" s="17"/>
      <c r="QE32" s="17"/>
      <c r="QF32" s="17"/>
      <c r="QG32" s="17"/>
      <c r="QH32" s="17"/>
      <c r="QI32" s="17"/>
      <c r="QJ32" s="17"/>
      <c r="QK32" s="17"/>
      <c r="QL32" s="17"/>
      <c r="QM32" s="17"/>
      <c r="QN32" s="17"/>
      <c r="QO32" s="17"/>
      <c r="QP32" s="17"/>
      <c r="QQ32" s="17"/>
      <c r="QR32" s="17"/>
      <c r="QS32" s="17"/>
      <c r="QT32" s="17"/>
      <c r="QU32" s="17"/>
      <c r="QV32" s="17"/>
      <c r="QW32" s="17"/>
      <c r="QX32" s="40" t="str">
        <f t="shared" si="190"/>
        <v/>
      </c>
      <c r="QY32" s="40" t="str">
        <f t="shared" si="191"/>
        <v/>
      </c>
      <c r="QZ32" s="40" t="str">
        <f t="shared" si="192"/>
        <v/>
      </c>
      <c r="RA32" s="40" t="str">
        <f t="shared" si="193"/>
        <v/>
      </c>
      <c r="RB32" s="40" t="str">
        <f t="shared" si="194"/>
        <v/>
      </c>
      <c r="RC32" s="40" t="str">
        <f t="shared" si="195"/>
        <v/>
      </c>
      <c r="RD32" s="40" t="str">
        <f t="shared" si="196"/>
        <v/>
      </c>
      <c r="RE32" s="40" t="str">
        <f t="shared" si="197"/>
        <v/>
      </c>
      <c r="RF32" s="40" t="str">
        <f t="shared" si="198"/>
        <v/>
      </c>
      <c r="RG32" s="40" t="str">
        <f t="shared" si="199"/>
        <v/>
      </c>
      <c r="RH32" s="40" t="str">
        <f t="shared" si="200"/>
        <v/>
      </c>
      <c r="RI32" s="40" t="str">
        <f t="shared" si="201"/>
        <v/>
      </c>
      <c r="RJ32" s="40" t="str">
        <f t="shared" si="202"/>
        <v/>
      </c>
      <c r="RK32" s="40" t="str">
        <f t="shared" si="203"/>
        <v/>
      </c>
      <c r="RL32" s="18"/>
      <c r="RM32" s="18"/>
      <c r="RN32" s="18"/>
      <c r="RO32" s="18"/>
      <c r="RP32" s="18"/>
      <c r="RQ32" s="18"/>
      <c r="RR32" s="18"/>
      <c r="RS32" s="18"/>
      <c r="RT32" s="18"/>
      <c r="RU32" s="18"/>
      <c r="RV32" s="18"/>
      <c r="RW32" s="18"/>
      <c r="RX32" s="18"/>
      <c r="RY32" s="18"/>
      <c r="RZ32" s="18"/>
      <c r="SA32" s="18"/>
      <c r="SB32" s="18"/>
      <c r="SC32" s="18"/>
      <c r="SD32" s="18"/>
      <c r="SE32" s="18"/>
      <c r="SF32" s="11" t="str">
        <f t="shared" si="204"/>
        <v/>
      </c>
      <c r="SG32" s="11" t="str">
        <f t="shared" si="205"/>
        <v/>
      </c>
      <c r="SH32" s="11" t="str">
        <f t="shared" si="206"/>
        <v/>
      </c>
      <c r="SI32" s="11" t="str">
        <f t="shared" si="207"/>
        <v/>
      </c>
      <c r="SJ32" s="11" t="str">
        <f t="shared" si="208"/>
        <v/>
      </c>
      <c r="SK32" s="11" t="str">
        <f t="shared" si="209"/>
        <v/>
      </c>
      <c r="SL32" s="11" t="str">
        <f t="shared" si="210"/>
        <v/>
      </c>
      <c r="SM32" s="11" t="str">
        <f t="shared" si="211"/>
        <v/>
      </c>
      <c r="SN32" s="11" t="str">
        <f t="shared" si="212"/>
        <v/>
      </c>
      <c r="SO32" s="11" t="str">
        <f t="shared" si="213"/>
        <v/>
      </c>
      <c r="SP32" s="11" t="str">
        <f t="shared" si="214"/>
        <v/>
      </c>
      <c r="SQ32" s="11" t="str">
        <f t="shared" si="215"/>
        <v/>
      </c>
      <c r="SR32" s="11" t="str">
        <f t="shared" si="216"/>
        <v/>
      </c>
      <c r="SS32" s="11" t="str">
        <f t="shared" si="217"/>
        <v/>
      </c>
      <c r="ST32" s="22">
        <f t="shared" si="218"/>
        <v>0</v>
      </c>
      <c r="SU32" s="22">
        <f t="shared" si="219"/>
        <v>0</v>
      </c>
      <c r="SV32" s="22">
        <f t="shared" si="220"/>
        <v>0</v>
      </c>
      <c r="SW32" s="22">
        <f t="shared" si="221"/>
        <v>0</v>
      </c>
      <c r="SX32" s="22">
        <f t="shared" si="222"/>
        <v>0</v>
      </c>
      <c r="SY32" s="22">
        <f t="shared" si="223"/>
        <v>0</v>
      </c>
      <c r="SZ32" s="22">
        <f t="shared" si="224"/>
        <v>0</v>
      </c>
      <c r="TA32" s="22">
        <f t="shared" si="225"/>
        <v>0</v>
      </c>
      <c r="TB32" s="22">
        <f t="shared" si="226"/>
        <v>0</v>
      </c>
      <c r="TC32" s="22">
        <f t="shared" si="227"/>
        <v>0</v>
      </c>
      <c r="TD32" s="22">
        <f t="shared" si="228"/>
        <v>0</v>
      </c>
      <c r="TE32" s="22">
        <f t="shared" si="229"/>
        <v>0</v>
      </c>
      <c r="TF32" s="22">
        <f t="shared" si="230"/>
        <v>0</v>
      </c>
      <c r="TG32" s="22">
        <f t="shared" si="231"/>
        <v>0</v>
      </c>
      <c r="TH32" s="22">
        <f t="shared" si="232"/>
        <v>0</v>
      </c>
      <c r="TI32" s="27" t="s">
        <v>46</v>
      </c>
      <c r="TJ32" s="40" t="str">
        <f t="shared" si="233"/>
        <v/>
      </c>
      <c r="TK32" s="40" t="str">
        <f t="shared" si="234"/>
        <v/>
      </c>
      <c r="TL32" s="40" t="str">
        <f t="shared" si="235"/>
        <v/>
      </c>
      <c r="TM32" s="40" t="str">
        <f t="shared" si="236"/>
        <v/>
      </c>
      <c r="TN32" s="40" t="str">
        <f t="shared" si="237"/>
        <v/>
      </c>
      <c r="TO32" s="40" t="str">
        <f t="shared" si="238"/>
        <v/>
      </c>
      <c r="TP32" s="40" t="str">
        <f t="shared" si="239"/>
        <v/>
      </c>
      <c r="TQ32" s="40" t="str">
        <f t="shared" si="240"/>
        <v/>
      </c>
      <c r="TR32" s="40" t="str">
        <f t="shared" si="241"/>
        <v/>
      </c>
      <c r="TS32" s="40" t="str">
        <f t="shared" si="242"/>
        <v/>
      </c>
      <c r="TT32" s="40" t="str">
        <f t="shared" si="243"/>
        <v/>
      </c>
    </row>
    <row r="33" spans="1:540" x14ac:dyDescent="0.2">
      <c r="A33" s="4" t="str" cm="1">
        <f t="array" ref="A33">IF(AND(F33&lt;&gt;"",G33&lt;&gt;""),SUMPRODUCT((F$4:F$35&lt;&gt;"")*(G$4:G$35&lt;&gt;"")*(E$4:E$35&gt;E33))+1,IF(G33&lt;&gt;"",SUMPRODUCT((H$4:H$35="No DD")*(E$4:E$35&gt;E33))+1+SUMPRODUCT((F$4:F$35&lt;&gt;"")*(G$4:G$35&lt;&gt;"")),""))</f>
        <v/>
      </c>
      <c r="B33" s="5" t="s">
        <v>70</v>
      </c>
      <c r="C33" s="4" t="s">
        <v>5</v>
      </c>
      <c r="D33" s="4">
        <v>2002</v>
      </c>
      <c r="E33" s="9">
        <f t="shared" si="0"/>
        <v>11.790001179000978</v>
      </c>
      <c r="F33" s="3" t="str">
        <f t="shared" si="1"/>
        <v/>
      </c>
      <c r="G33" s="3" t="str">
        <f t="shared" si="2"/>
        <v/>
      </c>
      <c r="H33" s="36" t="str">
        <f t="shared" si="3"/>
        <v/>
      </c>
      <c r="I33" s="3" t="str">
        <f t="shared" si="4"/>
        <v/>
      </c>
      <c r="J33" s="8">
        <f>IF(COUNT(AO33,AR33,BP33,BS33,CQ33,CT33)&gt;0,LARGE((AO33,AR33,BP33,BS33,CQ33,CT33),1),0)</f>
        <v>9.7899999999999991</v>
      </c>
      <c r="K33" s="8" t="str">
        <f t="shared" si="5"/>
        <v>2022 Nationals</v>
      </c>
      <c r="L33" s="8">
        <f>IF(COUNT(AO33,AR33,BP33,BS33,CQ33,CT33)&gt;1,LARGE((AO33,AR33,BP33,BS33,CQ33,CT33),2),0)</f>
        <v>0</v>
      </c>
      <c r="M33" s="8" t="str">
        <f t="shared" si="6"/>
        <v/>
      </c>
      <c r="N33" s="8">
        <f>IF(COUNT(AO33,AR33,BP33,BS33,CQ33,CT33)&gt;2,MAX(AV33,BW33,CX33,LARGE((AO33,AR33,BP33,BS33,CQ33,CT33),3)),IF(MAX(AV33,BW33,CX33)&gt;0,MAX(AV33,BW33,CX33),0))</f>
        <v>0</v>
      </c>
      <c r="O33" s="8" t="str">
        <f t="shared" si="7"/>
        <v/>
      </c>
      <c r="P33" s="8">
        <f t="shared" si="8"/>
        <v>2</v>
      </c>
      <c r="Q33" s="8" t="str">
        <f t="shared" si="9"/>
        <v>2022 Nationals</v>
      </c>
      <c r="R33" s="8">
        <f t="shared" si="10"/>
        <v>0</v>
      </c>
      <c r="S33" s="8" t="str">
        <f t="shared" si="11"/>
        <v/>
      </c>
      <c r="T33" s="8" t="str">
        <f t="shared" si="12"/>
        <v/>
      </c>
      <c r="U33" s="11" t="str">
        <f t="shared" si="13"/>
        <v/>
      </c>
      <c r="V33" s="8" t="str">
        <f t="shared" si="14"/>
        <v/>
      </c>
      <c r="W33" s="22">
        <v>3</v>
      </c>
      <c r="X33" s="22">
        <v>1.8</v>
      </c>
      <c r="Y33" s="22">
        <v>2</v>
      </c>
      <c r="Z33" s="22">
        <v>2.99</v>
      </c>
      <c r="AA33" s="22">
        <v>0</v>
      </c>
      <c r="AB33" s="22"/>
      <c r="AC33" s="22"/>
      <c r="AD33" s="22"/>
      <c r="AE33" s="22"/>
      <c r="AF33" s="22"/>
      <c r="AG33" s="22"/>
      <c r="AH33" s="22"/>
      <c r="AI33" s="22"/>
      <c r="AJ33" s="22"/>
      <c r="AK33" s="22"/>
      <c r="AL33" s="27"/>
      <c r="AM33" s="38">
        <f t="shared" si="15"/>
        <v>2</v>
      </c>
      <c r="AN33" s="38">
        <f t="shared" si="16"/>
        <v>2.99</v>
      </c>
      <c r="AO33" s="40">
        <f t="shared" si="17"/>
        <v>9.7899999999999991</v>
      </c>
      <c r="AP33" s="40" t="str">
        <f t="shared" si="18"/>
        <v/>
      </c>
      <c r="AQ33" s="40" t="str">
        <f t="shared" si="19"/>
        <v/>
      </c>
      <c r="AR33" s="40" t="str">
        <f t="shared" si="20"/>
        <v/>
      </c>
      <c r="AS33" s="40">
        <f t="shared" si="21"/>
        <v>9.7899999999999991</v>
      </c>
      <c r="AT33" s="40" t="str">
        <f t="shared" si="22"/>
        <v/>
      </c>
      <c r="AU33" s="40" t="str">
        <f t="shared" si="23"/>
        <v/>
      </c>
      <c r="AV33" s="40" t="str">
        <f t="shared" si="24"/>
        <v/>
      </c>
      <c r="AW33" s="40">
        <f t="shared" si="25"/>
        <v>9.7899999999999991</v>
      </c>
      <c r="AX33" s="26"/>
      <c r="AY33" s="26"/>
      <c r="AZ33" s="26"/>
      <c r="BA33" s="26"/>
      <c r="BB33" s="26"/>
      <c r="BC33" s="26"/>
      <c r="BD33" s="26"/>
      <c r="BE33" s="26"/>
      <c r="BF33" s="26"/>
      <c r="BG33" s="26"/>
      <c r="BH33" s="26"/>
      <c r="BI33" s="26"/>
      <c r="BJ33" s="26"/>
      <c r="BK33" s="26"/>
      <c r="BL33" s="26"/>
      <c r="BM33" s="28"/>
      <c r="BN33" s="39" t="str">
        <f t="shared" si="26"/>
        <v/>
      </c>
      <c r="BO33" s="39" t="str">
        <f t="shared" si="27"/>
        <v/>
      </c>
      <c r="BP33" s="11" t="str">
        <f t="shared" si="28"/>
        <v/>
      </c>
      <c r="BQ33" s="11" t="str">
        <f t="shared" si="29"/>
        <v/>
      </c>
      <c r="BR33" s="11" t="str">
        <f t="shared" si="30"/>
        <v/>
      </c>
      <c r="BS33" s="11" t="str">
        <f t="shared" si="31"/>
        <v/>
      </c>
      <c r="BT33" s="11" t="str">
        <f t="shared" si="32"/>
        <v/>
      </c>
      <c r="BU33" s="11" t="str">
        <f t="shared" si="33"/>
        <v/>
      </c>
      <c r="BV33" s="11" t="str">
        <f t="shared" si="34"/>
        <v/>
      </c>
      <c r="BW33" s="11" t="str">
        <f t="shared" si="35"/>
        <v/>
      </c>
      <c r="BX33" s="11" t="str">
        <f t="shared" si="36"/>
        <v/>
      </c>
      <c r="BY33" s="22"/>
      <c r="BZ33" s="22"/>
      <c r="CA33" s="22"/>
      <c r="CB33" s="22"/>
      <c r="CC33" s="22"/>
      <c r="CD33" s="22"/>
      <c r="CE33" s="22"/>
      <c r="CF33" s="22"/>
      <c r="CG33" s="22"/>
      <c r="CH33" s="22"/>
      <c r="CI33" s="22"/>
      <c r="CJ33" s="22"/>
      <c r="CK33" s="22"/>
      <c r="CL33" s="22"/>
      <c r="CM33" s="22"/>
      <c r="CN33" s="27"/>
      <c r="CO33" s="38" t="str">
        <f t="shared" si="37"/>
        <v/>
      </c>
      <c r="CP33" s="38" t="str">
        <f t="shared" si="38"/>
        <v/>
      </c>
      <c r="CQ33" s="40" t="str">
        <f t="shared" si="39"/>
        <v/>
      </c>
      <c r="CR33" s="40" t="str">
        <f t="shared" si="40"/>
        <v/>
      </c>
      <c r="CS33" s="40" t="str">
        <f t="shared" si="41"/>
        <v/>
      </c>
      <c r="CT33" s="40" t="str">
        <f t="shared" si="42"/>
        <v/>
      </c>
      <c r="CU33" s="40" t="str">
        <f t="shared" si="43"/>
        <v/>
      </c>
      <c r="CV33" s="40" t="str">
        <f t="shared" si="44"/>
        <v/>
      </c>
      <c r="CW33" s="40" t="str">
        <f t="shared" si="45"/>
        <v/>
      </c>
      <c r="CX33" s="40" t="str">
        <f t="shared" si="46"/>
        <v/>
      </c>
      <c r="CY33" s="40" t="str">
        <f t="shared" si="47"/>
        <v/>
      </c>
      <c r="CZ33" s="50" t="str">
        <f t="shared" si="48"/>
        <v/>
      </c>
      <c r="DA33" s="50" t="str">
        <f t="shared" si="49"/>
        <v/>
      </c>
      <c r="DB33" s="17"/>
      <c r="DC33" s="17"/>
      <c r="DD33" s="17"/>
      <c r="DE33" s="17"/>
      <c r="DF33" s="17"/>
      <c r="DG33" s="17"/>
      <c r="DH33" s="17"/>
      <c r="DI33" s="17"/>
      <c r="DJ33" s="17"/>
      <c r="DK33" s="17"/>
      <c r="DL33" s="17"/>
      <c r="DM33" s="17"/>
      <c r="DN33" s="17"/>
      <c r="DO33" s="17"/>
      <c r="DP33" s="17"/>
      <c r="DQ33" s="17"/>
      <c r="DR33" s="17"/>
      <c r="DS33" s="17"/>
      <c r="DT33" s="17"/>
      <c r="DU33" s="17"/>
      <c r="DV33" s="40" t="str">
        <f t="shared" si="50"/>
        <v/>
      </c>
      <c r="DW33" s="40" t="str">
        <f t="shared" si="51"/>
        <v/>
      </c>
      <c r="DX33" s="40" t="str">
        <f t="shared" si="52"/>
        <v/>
      </c>
      <c r="DY33" s="40" t="str">
        <f t="shared" si="53"/>
        <v/>
      </c>
      <c r="DZ33" s="40" t="str">
        <f t="shared" si="54"/>
        <v/>
      </c>
      <c r="EA33" s="40" t="str">
        <f t="shared" si="55"/>
        <v/>
      </c>
      <c r="EB33" s="40" t="str">
        <f t="shared" si="56"/>
        <v/>
      </c>
      <c r="EC33" s="40" t="str">
        <f t="shared" si="57"/>
        <v/>
      </c>
      <c r="ED33" s="40" t="str">
        <f t="shared" si="58"/>
        <v/>
      </c>
      <c r="EE33" s="40" t="str">
        <f t="shared" si="59"/>
        <v/>
      </c>
      <c r="EF33" s="40" t="str">
        <f t="shared" si="60"/>
        <v/>
      </c>
      <c r="EG33" s="40" t="str">
        <f t="shared" si="61"/>
        <v/>
      </c>
      <c r="EH33" s="40" t="str">
        <f t="shared" si="62"/>
        <v/>
      </c>
      <c r="EI33" s="40" t="str">
        <f t="shared" si="63"/>
        <v/>
      </c>
      <c r="EJ33" s="18"/>
      <c r="EK33" s="18"/>
      <c r="EL33" s="18"/>
      <c r="EM33" s="18"/>
      <c r="EN33" s="18"/>
      <c r="EO33" s="18"/>
      <c r="EP33" s="18"/>
      <c r="EQ33" s="18"/>
      <c r="ER33" s="18"/>
      <c r="ES33" s="18"/>
      <c r="ET33" s="18"/>
      <c r="EU33" s="18"/>
      <c r="EV33" s="18"/>
      <c r="EW33" s="18"/>
      <c r="EX33" s="18"/>
      <c r="EY33" s="18"/>
      <c r="EZ33" s="18"/>
      <c r="FA33" s="18"/>
      <c r="FB33" s="18"/>
      <c r="FC33" s="18"/>
      <c r="FD33" s="11" t="str">
        <f t="shared" si="64"/>
        <v/>
      </c>
      <c r="FE33" s="11" t="str">
        <f t="shared" si="65"/>
        <v/>
      </c>
      <c r="FF33" s="11" t="str">
        <f t="shared" si="66"/>
        <v/>
      </c>
      <c r="FG33" s="11" t="str">
        <f t="shared" si="67"/>
        <v/>
      </c>
      <c r="FH33" s="11" t="str">
        <f t="shared" si="68"/>
        <v/>
      </c>
      <c r="FI33" s="11" t="str">
        <f t="shared" si="69"/>
        <v/>
      </c>
      <c r="FJ33" s="11" t="str">
        <f t="shared" si="70"/>
        <v/>
      </c>
      <c r="FK33" s="11" t="str">
        <f t="shared" si="71"/>
        <v/>
      </c>
      <c r="FL33" s="11" t="str">
        <f t="shared" si="72"/>
        <v/>
      </c>
      <c r="FM33" s="11" t="str">
        <f t="shared" si="73"/>
        <v/>
      </c>
      <c r="FN33" s="11" t="str">
        <f t="shared" si="74"/>
        <v/>
      </c>
      <c r="FO33" s="11" t="str">
        <f t="shared" si="75"/>
        <v/>
      </c>
      <c r="FP33" s="11" t="str">
        <f t="shared" si="76"/>
        <v/>
      </c>
      <c r="FQ33" s="11" t="str">
        <f t="shared" si="77"/>
        <v/>
      </c>
      <c r="FR33" s="17"/>
      <c r="FS33" s="17"/>
      <c r="FT33" s="17"/>
      <c r="FU33" s="17"/>
      <c r="FV33" s="17"/>
      <c r="FW33" s="17"/>
      <c r="FX33" s="17"/>
      <c r="FY33" s="17"/>
      <c r="FZ33" s="17"/>
      <c r="GA33" s="17"/>
      <c r="GB33" s="17"/>
      <c r="GC33" s="17"/>
      <c r="GD33" s="17"/>
      <c r="GE33" s="17"/>
      <c r="GF33" s="17"/>
      <c r="GG33" s="17"/>
      <c r="GH33" s="17"/>
      <c r="GI33" s="17"/>
      <c r="GJ33" s="17"/>
      <c r="GK33" s="17"/>
      <c r="GL33" s="40" t="str">
        <f t="shared" si="78"/>
        <v/>
      </c>
      <c r="GM33" s="40" t="str">
        <f t="shared" si="79"/>
        <v/>
      </c>
      <c r="GN33" s="40" t="str">
        <f t="shared" si="80"/>
        <v/>
      </c>
      <c r="GO33" s="40" t="str">
        <f t="shared" si="81"/>
        <v/>
      </c>
      <c r="GP33" s="40" t="str">
        <f t="shared" si="82"/>
        <v/>
      </c>
      <c r="GQ33" s="40" t="str">
        <f t="shared" si="83"/>
        <v/>
      </c>
      <c r="GR33" s="40" t="str">
        <f t="shared" si="84"/>
        <v/>
      </c>
      <c r="GS33" s="40" t="str">
        <f t="shared" si="85"/>
        <v/>
      </c>
      <c r="GT33" s="40" t="str">
        <f t="shared" si="86"/>
        <v/>
      </c>
      <c r="GU33" s="40" t="str">
        <f t="shared" si="87"/>
        <v/>
      </c>
      <c r="GV33" s="40" t="str">
        <f t="shared" si="88"/>
        <v/>
      </c>
      <c r="GW33" s="40" t="str">
        <f t="shared" si="89"/>
        <v/>
      </c>
      <c r="GX33" s="40" t="str">
        <f t="shared" si="90"/>
        <v/>
      </c>
      <c r="GY33" s="40" t="str">
        <f t="shared" si="91"/>
        <v/>
      </c>
      <c r="GZ33" s="18"/>
      <c r="HA33" s="18"/>
      <c r="HB33" s="18"/>
      <c r="HC33" s="18"/>
      <c r="HD33" s="18"/>
      <c r="HE33" s="18"/>
      <c r="HF33" s="18"/>
      <c r="HG33" s="18"/>
      <c r="HH33" s="18"/>
      <c r="HI33" s="18"/>
      <c r="HJ33" s="18"/>
      <c r="HK33" s="18"/>
      <c r="HL33" s="18"/>
      <c r="HM33" s="18"/>
      <c r="HN33" s="18"/>
      <c r="HO33" s="18"/>
      <c r="HP33" s="18"/>
      <c r="HQ33" s="18"/>
      <c r="HR33" s="18"/>
      <c r="HS33" s="18"/>
      <c r="HT33" s="11" t="str">
        <f t="shared" si="92"/>
        <v/>
      </c>
      <c r="HU33" s="11" t="str">
        <f t="shared" si="93"/>
        <v/>
      </c>
      <c r="HV33" s="11" t="str">
        <f t="shared" si="94"/>
        <v/>
      </c>
      <c r="HW33" s="11" t="str">
        <f t="shared" si="95"/>
        <v/>
      </c>
      <c r="HX33" s="11" t="str">
        <f t="shared" si="96"/>
        <v/>
      </c>
      <c r="HY33" s="11" t="str">
        <f t="shared" si="97"/>
        <v/>
      </c>
      <c r="HZ33" s="11" t="str">
        <f t="shared" si="98"/>
        <v/>
      </c>
      <c r="IA33" s="11" t="str">
        <f t="shared" si="99"/>
        <v/>
      </c>
      <c r="IB33" s="11" t="str">
        <f t="shared" si="100"/>
        <v/>
      </c>
      <c r="IC33" s="11" t="str">
        <f t="shared" si="101"/>
        <v/>
      </c>
      <c r="ID33" s="11" t="str">
        <f t="shared" si="102"/>
        <v/>
      </c>
      <c r="IE33" s="11" t="str">
        <f t="shared" si="103"/>
        <v/>
      </c>
      <c r="IF33" s="11" t="str">
        <f t="shared" si="104"/>
        <v/>
      </c>
      <c r="IG33" s="11" t="str">
        <f t="shared" si="105"/>
        <v/>
      </c>
      <c r="IH33" s="17"/>
      <c r="II33" s="17"/>
      <c r="IJ33" s="17"/>
      <c r="IK33" s="17"/>
      <c r="IL33" s="17"/>
      <c r="IM33" s="17"/>
      <c r="IN33" s="17"/>
      <c r="IO33" s="17"/>
      <c r="IP33" s="17"/>
      <c r="IQ33" s="17"/>
      <c r="IR33" s="17"/>
      <c r="IS33" s="17"/>
      <c r="IT33" s="17"/>
      <c r="IU33" s="17"/>
      <c r="IV33" s="17"/>
      <c r="IW33" s="17"/>
      <c r="IX33" s="17"/>
      <c r="IY33" s="17"/>
      <c r="IZ33" s="17"/>
      <c r="JA33" s="17"/>
      <c r="JB33" s="40" t="str">
        <f t="shared" si="106"/>
        <v/>
      </c>
      <c r="JC33" s="40" t="str">
        <f t="shared" si="107"/>
        <v/>
      </c>
      <c r="JD33" s="40" t="str">
        <f t="shared" si="108"/>
        <v/>
      </c>
      <c r="JE33" s="40" t="str">
        <f t="shared" si="109"/>
        <v/>
      </c>
      <c r="JF33" s="40" t="str">
        <f t="shared" si="110"/>
        <v/>
      </c>
      <c r="JG33" s="40" t="str">
        <f t="shared" si="111"/>
        <v/>
      </c>
      <c r="JH33" s="40" t="str">
        <f t="shared" si="112"/>
        <v/>
      </c>
      <c r="JI33" s="40" t="str">
        <f t="shared" si="113"/>
        <v/>
      </c>
      <c r="JJ33" s="40" t="str">
        <f t="shared" si="114"/>
        <v/>
      </c>
      <c r="JK33" s="40" t="str">
        <f t="shared" si="115"/>
        <v/>
      </c>
      <c r="JL33" s="40" t="str">
        <f t="shared" si="116"/>
        <v/>
      </c>
      <c r="JM33" s="40" t="str">
        <f t="shared" si="117"/>
        <v/>
      </c>
      <c r="JN33" s="40" t="str">
        <f t="shared" si="118"/>
        <v/>
      </c>
      <c r="JO33" s="40" t="str">
        <f t="shared" si="119"/>
        <v/>
      </c>
      <c r="JP33" s="18"/>
      <c r="JQ33" s="18"/>
      <c r="JR33" s="18"/>
      <c r="JS33" s="18"/>
      <c r="JT33" s="18"/>
      <c r="JU33" s="18"/>
      <c r="JV33" s="18"/>
      <c r="JW33" s="18"/>
      <c r="JX33" s="18"/>
      <c r="JY33" s="18"/>
      <c r="JZ33" s="18"/>
      <c r="KA33" s="18"/>
      <c r="KB33" s="18"/>
      <c r="KC33" s="18"/>
      <c r="KD33" s="18"/>
      <c r="KE33" s="18"/>
      <c r="KF33" s="18"/>
      <c r="KG33" s="18"/>
      <c r="KH33" s="18"/>
      <c r="KI33" s="18"/>
      <c r="KJ33" s="11" t="str">
        <f t="shared" si="120"/>
        <v/>
      </c>
      <c r="KK33" s="11" t="str">
        <f t="shared" si="121"/>
        <v/>
      </c>
      <c r="KL33" s="11" t="str">
        <f t="shared" si="122"/>
        <v/>
      </c>
      <c r="KM33" s="11" t="str">
        <f t="shared" si="123"/>
        <v/>
      </c>
      <c r="KN33" s="11" t="str">
        <f t="shared" si="124"/>
        <v/>
      </c>
      <c r="KO33" s="11" t="str">
        <f t="shared" si="125"/>
        <v/>
      </c>
      <c r="KP33" s="11" t="str">
        <f t="shared" si="126"/>
        <v/>
      </c>
      <c r="KQ33" s="11" t="str">
        <f t="shared" si="127"/>
        <v/>
      </c>
      <c r="KR33" s="11" t="str">
        <f t="shared" si="128"/>
        <v/>
      </c>
      <c r="KS33" s="11" t="str">
        <f t="shared" si="129"/>
        <v/>
      </c>
      <c r="KT33" s="11" t="str">
        <f t="shared" si="130"/>
        <v/>
      </c>
      <c r="KU33" s="11" t="str">
        <f t="shared" si="131"/>
        <v/>
      </c>
      <c r="KV33" s="11" t="str">
        <f t="shared" si="132"/>
        <v/>
      </c>
      <c r="KW33" s="11" t="str">
        <f t="shared" si="133"/>
        <v/>
      </c>
      <c r="KX33" s="17"/>
      <c r="KY33" s="17"/>
      <c r="KZ33" s="17"/>
      <c r="LA33" s="17"/>
      <c r="LB33" s="17"/>
      <c r="LC33" s="17"/>
      <c r="LD33" s="17"/>
      <c r="LE33" s="17"/>
      <c r="LF33" s="17"/>
      <c r="LG33" s="17"/>
      <c r="LH33" s="17"/>
      <c r="LI33" s="17"/>
      <c r="LJ33" s="17"/>
      <c r="LK33" s="17"/>
      <c r="LL33" s="17"/>
      <c r="LM33" s="17"/>
      <c r="LN33" s="17"/>
      <c r="LO33" s="17"/>
      <c r="LP33" s="17"/>
      <c r="LQ33" s="17"/>
      <c r="LR33" s="40" t="str">
        <f t="shared" si="134"/>
        <v/>
      </c>
      <c r="LS33" s="40" t="str">
        <f t="shared" si="135"/>
        <v/>
      </c>
      <c r="LT33" s="40" t="str">
        <f t="shared" si="136"/>
        <v/>
      </c>
      <c r="LU33" s="40" t="str">
        <f t="shared" si="137"/>
        <v/>
      </c>
      <c r="LV33" s="40" t="str">
        <f t="shared" si="138"/>
        <v/>
      </c>
      <c r="LW33" s="40" t="str">
        <f t="shared" si="139"/>
        <v/>
      </c>
      <c r="LX33" s="40" t="str">
        <f t="shared" si="140"/>
        <v/>
      </c>
      <c r="LY33" s="40" t="str">
        <f t="shared" si="141"/>
        <v/>
      </c>
      <c r="LZ33" s="40" t="str">
        <f t="shared" si="142"/>
        <v/>
      </c>
      <c r="MA33" s="40" t="str">
        <f t="shared" si="143"/>
        <v/>
      </c>
      <c r="MB33" s="40" t="str">
        <f t="shared" si="144"/>
        <v/>
      </c>
      <c r="MC33" s="40" t="str">
        <f t="shared" si="145"/>
        <v/>
      </c>
      <c r="MD33" s="40" t="str">
        <f t="shared" si="146"/>
        <v/>
      </c>
      <c r="ME33" s="40" t="str">
        <f t="shared" si="147"/>
        <v/>
      </c>
      <c r="MF33" s="18"/>
      <c r="MG33" s="18"/>
      <c r="MH33" s="18"/>
      <c r="MI33" s="18"/>
      <c r="MJ33" s="18"/>
      <c r="MK33" s="18"/>
      <c r="ML33" s="18"/>
      <c r="MM33" s="18"/>
      <c r="MN33" s="18"/>
      <c r="MO33" s="18"/>
      <c r="MP33" s="18"/>
      <c r="MQ33" s="18"/>
      <c r="MR33" s="18"/>
      <c r="MS33" s="18"/>
      <c r="MT33" s="18"/>
      <c r="MU33" s="18"/>
      <c r="MV33" s="18"/>
      <c r="MW33" s="18"/>
      <c r="MX33" s="18"/>
      <c r="MY33" s="18"/>
      <c r="MZ33" s="11" t="str">
        <f t="shared" si="148"/>
        <v/>
      </c>
      <c r="NA33" s="11" t="str">
        <f t="shared" si="149"/>
        <v/>
      </c>
      <c r="NB33" s="11" t="str">
        <f t="shared" si="150"/>
        <v/>
      </c>
      <c r="NC33" s="11" t="str">
        <f t="shared" si="151"/>
        <v/>
      </c>
      <c r="ND33" s="11" t="str">
        <f t="shared" si="152"/>
        <v/>
      </c>
      <c r="NE33" s="11" t="str">
        <f t="shared" si="153"/>
        <v/>
      </c>
      <c r="NF33" s="11" t="str">
        <f t="shared" si="154"/>
        <v/>
      </c>
      <c r="NG33" s="11" t="str">
        <f t="shared" si="155"/>
        <v/>
      </c>
      <c r="NH33" s="11" t="str">
        <f t="shared" si="156"/>
        <v/>
      </c>
      <c r="NI33" s="11" t="str">
        <f t="shared" si="157"/>
        <v/>
      </c>
      <c r="NJ33" s="11" t="str">
        <f t="shared" si="158"/>
        <v/>
      </c>
      <c r="NK33" s="11" t="str">
        <f t="shared" si="159"/>
        <v/>
      </c>
      <c r="NL33" s="11" t="str">
        <f t="shared" si="160"/>
        <v/>
      </c>
      <c r="NM33" s="11" t="str">
        <f t="shared" si="161"/>
        <v/>
      </c>
      <c r="NN33" s="17"/>
      <c r="NO33" s="17"/>
      <c r="NP33" s="17"/>
      <c r="NQ33" s="17"/>
      <c r="NR33" s="17"/>
      <c r="NS33" s="17"/>
      <c r="NT33" s="17"/>
      <c r="NU33" s="17"/>
      <c r="NV33" s="17"/>
      <c r="NW33" s="17"/>
      <c r="NX33" s="17"/>
      <c r="NY33" s="17"/>
      <c r="NZ33" s="17"/>
      <c r="OA33" s="17"/>
      <c r="OB33" s="17"/>
      <c r="OC33" s="17"/>
      <c r="OD33" s="17"/>
      <c r="OE33" s="17"/>
      <c r="OF33" s="17"/>
      <c r="OG33" s="17"/>
      <c r="OH33" s="40" t="str">
        <f t="shared" si="162"/>
        <v/>
      </c>
      <c r="OI33" s="40" t="str">
        <f t="shared" si="163"/>
        <v/>
      </c>
      <c r="OJ33" s="40" t="str">
        <f t="shared" si="164"/>
        <v/>
      </c>
      <c r="OK33" s="40" t="str">
        <f t="shared" si="165"/>
        <v/>
      </c>
      <c r="OL33" s="40" t="str">
        <f t="shared" si="166"/>
        <v/>
      </c>
      <c r="OM33" s="40" t="str">
        <f t="shared" si="167"/>
        <v/>
      </c>
      <c r="ON33" s="40" t="str">
        <f t="shared" si="168"/>
        <v/>
      </c>
      <c r="OO33" s="40" t="str">
        <f t="shared" si="169"/>
        <v/>
      </c>
      <c r="OP33" s="40" t="str">
        <f t="shared" si="170"/>
        <v/>
      </c>
      <c r="OQ33" s="40" t="str">
        <f t="shared" si="171"/>
        <v/>
      </c>
      <c r="OR33" s="40" t="str">
        <f t="shared" si="172"/>
        <v/>
      </c>
      <c r="OS33" s="40" t="str">
        <f t="shared" si="173"/>
        <v/>
      </c>
      <c r="OT33" s="40" t="str">
        <f t="shared" si="174"/>
        <v/>
      </c>
      <c r="OU33" s="40" t="str">
        <f t="shared" si="175"/>
        <v/>
      </c>
      <c r="OV33" s="18"/>
      <c r="OW33" s="18"/>
      <c r="OX33" s="18"/>
      <c r="OY33" s="18"/>
      <c r="OZ33" s="18"/>
      <c r="PA33" s="18"/>
      <c r="PB33" s="18"/>
      <c r="PC33" s="18"/>
      <c r="PD33" s="18"/>
      <c r="PE33" s="18"/>
      <c r="PF33" s="18"/>
      <c r="PG33" s="18"/>
      <c r="PH33" s="18"/>
      <c r="PI33" s="18"/>
      <c r="PJ33" s="18"/>
      <c r="PK33" s="18"/>
      <c r="PL33" s="18"/>
      <c r="PM33" s="18"/>
      <c r="PN33" s="18"/>
      <c r="PO33" s="18"/>
      <c r="PP33" s="11" t="str">
        <f t="shared" si="176"/>
        <v/>
      </c>
      <c r="PQ33" s="11" t="str">
        <f t="shared" si="177"/>
        <v/>
      </c>
      <c r="PR33" s="11" t="str">
        <f t="shared" si="178"/>
        <v/>
      </c>
      <c r="PS33" s="11" t="str">
        <f t="shared" si="179"/>
        <v/>
      </c>
      <c r="PT33" s="11" t="str">
        <f t="shared" si="180"/>
        <v/>
      </c>
      <c r="PU33" s="11" t="str">
        <f t="shared" si="181"/>
        <v/>
      </c>
      <c r="PV33" s="11" t="str">
        <f t="shared" si="182"/>
        <v/>
      </c>
      <c r="PW33" s="11" t="str">
        <f t="shared" si="183"/>
        <v/>
      </c>
      <c r="PX33" s="11" t="str">
        <f t="shared" si="184"/>
        <v/>
      </c>
      <c r="PY33" s="11" t="str">
        <f t="shared" si="185"/>
        <v/>
      </c>
      <c r="PZ33" s="11" t="str">
        <f t="shared" si="186"/>
        <v/>
      </c>
      <c r="QA33" s="11" t="str">
        <f t="shared" si="187"/>
        <v/>
      </c>
      <c r="QB33" s="11" t="str">
        <f t="shared" si="188"/>
        <v/>
      </c>
      <c r="QC33" s="11" t="str">
        <f t="shared" si="189"/>
        <v/>
      </c>
      <c r="QD33" s="17"/>
      <c r="QE33" s="17"/>
      <c r="QF33" s="17"/>
      <c r="QG33" s="17"/>
      <c r="QH33" s="17"/>
      <c r="QI33" s="17"/>
      <c r="QJ33" s="17"/>
      <c r="QK33" s="17"/>
      <c r="QL33" s="17"/>
      <c r="QM33" s="17"/>
      <c r="QN33" s="17"/>
      <c r="QO33" s="17"/>
      <c r="QP33" s="17"/>
      <c r="QQ33" s="17"/>
      <c r="QR33" s="17"/>
      <c r="QS33" s="17"/>
      <c r="QT33" s="17"/>
      <c r="QU33" s="17"/>
      <c r="QV33" s="17"/>
      <c r="QW33" s="17"/>
      <c r="QX33" s="40" t="str">
        <f t="shared" si="190"/>
        <v/>
      </c>
      <c r="QY33" s="40" t="str">
        <f t="shared" si="191"/>
        <v/>
      </c>
      <c r="QZ33" s="40" t="str">
        <f t="shared" si="192"/>
        <v/>
      </c>
      <c r="RA33" s="40" t="str">
        <f t="shared" si="193"/>
        <v/>
      </c>
      <c r="RB33" s="40" t="str">
        <f t="shared" si="194"/>
        <v/>
      </c>
      <c r="RC33" s="40" t="str">
        <f t="shared" si="195"/>
        <v/>
      </c>
      <c r="RD33" s="40" t="str">
        <f t="shared" si="196"/>
        <v/>
      </c>
      <c r="RE33" s="40" t="str">
        <f t="shared" si="197"/>
        <v/>
      </c>
      <c r="RF33" s="40" t="str">
        <f t="shared" si="198"/>
        <v/>
      </c>
      <c r="RG33" s="40" t="str">
        <f t="shared" si="199"/>
        <v/>
      </c>
      <c r="RH33" s="40" t="str">
        <f t="shared" si="200"/>
        <v/>
      </c>
      <c r="RI33" s="40" t="str">
        <f t="shared" si="201"/>
        <v/>
      </c>
      <c r="RJ33" s="40" t="str">
        <f t="shared" si="202"/>
        <v/>
      </c>
      <c r="RK33" s="40" t="str">
        <f t="shared" si="203"/>
        <v/>
      </c>
      <c r="RL33" s="18"/>
      <c r="RM33" s="18"/>
      <c r="RN33" s="18"/>
      <c r="RO33" s="18"/>
      <c r="RP33" s="18"/>
      <c r="RQ33" s="18"/>
      <c r="RR33" s="18"/>
      <c r="RS33" s="18"/>
      <c r="RT33" s="18"/>
      <c r="RU33" s="18"/>
      <c r="RV33" s="18"/>
      <c r="RW33" s="18"/>
      <c r="RX33" s="18"/>
      <c r="RY33" s="18"/>
      <c r="RZ33" s="18"/>
      <c r="SA33" s="18"/>
      <c r="SB33" s="18"/>
      <c r="SC33" s="18"/>
      <c r="SD33" s="18"/>
      <c r="SE33" s="18"/>
      <c r="SF33" s="11" t="str">
        <f t="shared" si="204"/>
        <v/>
      </c>
      <c r="SG33" s="11" t="str">
        <f t="shared" si="205"/>
        <v/>
      </c>
      <c r="SH33" s="11" t="str">
        <f t="shared" si="206"/>
        <v/>
      </c>
      <c r="SI33" s="11" t="str">
        <f t="shared" si="207"/>
        <v/>
      </c>
      <c r="SJ33" s="11" t="str">
        <f t="shared" si="208"/>
        <v/>
      </c>
      <c r="SK33" s="11" t="str">
        <f t="shared" si="209"/>
        <v/>
      </c>
      <c r="SL33" s="11" t="str">
        <f t="shared" si="210"/>
        <v/>
      </c>
      <c r="SM33" s="11" t="str">
        <f t="shared" si="211"/>
        <v/>
      </c>
      <c r="SN33" s="11" t="str">
        <f t="shared" si="212"/>
        <v/>
      </c>
      <c r="SO33" s="11" t="str">
        <f t="shared" si="213"/>
        <v/>
      </c>
      <c r="SP33" s="11" t="str">
        <f t="shared" si="214"/>
        <v/>
      </c>
      <c r="SQ33" s="11" t="str">
        <f t="shared" si="215"/>
        <v/>
      </c>
      <c r="SR33" s="11" t="str">
        <f t="shared" si="216"/>
        <v/>
      </c>
      <c r="SS33" s="11" t="str">
        <f t="shared" si="217"/>
        <v/>
      </c>
      <c r="ST33" s="22">
        <f t="shared" si="218"/>
        <v>0</v>
      </c>
      <c r="SU33" s="22">
        <f t="shared" si="219"/>
        <v>0</v>
      </c>
      <c r="SV33" s="22">
        <f t="shared" si="220"/>
        <v>0</v>
      </c>
      <c r="SW33" s="22">
        <f t="shared" si="221"/>
        <v>0</v>
      </c>
      <c r="SX33" s="22">
        <f t="shared" si="222"/>
        <v>0</v>
      </c>
      <c r="SY33" s="22">
        <f t="shared" si="223"/>
        <v>0</v>
      </c>
      <c r="SZ33" s="22">
        <f t="shared" si="224"/>
        <v>0</v>
      </c>
      <c r="TA33" s="22">
        <f t="shared" si="225"/>
        <v>0</v>
      </c>
      <c r="TB33" s="22">
        <f t="shared" si="226"/>
        <v>0</v>
      </c>
      <c r="TC33" s="22">
        <f t="shared" si="227"/>
        <v>0</v>
      </c>
      <c r="TD33" s="22">
        <f t="shared" si="228"/>
        <v>0</v>
      </c>
      <c r="TE33" s="22">
        <f t="shared" si="229"/>
        <v>0</v>
      </c>
      <c r="TF33" s="22">
        <f t="shared" si="230"/>
        <v>0</v>
      </c>
      <c r="TG33" s="22">
        <f t="shared" si="231"/>
        <v>0</v>
      </c>
      <c r="TH33" s="22">
        <f t="shared" si="232"/>
        <v>0</v>
      </c>
      <c r="TI33" s="27" t="s">
        <v>46</v>
      </c>
      <c r="TJ33" s="40" t="str">
        <f t="shared" si="233"/>
        <v/>
      </c>
      <c r="TK33" s="40" t="str">
        <f t="shared" si="234"/>
        <v/>
      </c>
      <c r="TL33" s="40" t="str">
        <f t="shared" si="235"/>
        <v/>
      </c>
      <c r="TM33" s="40" t="str">
        <f t="shared" si="236"/>
        <v/>
      </c>
      <c r="TN33" s="40" t="str">
        <f t="shared" si="237"/>
        <v/>
      </c>
      <c r="TO33" s="40" t="str">
        <f t="shared" si="238"/>
        <v/>
      </c>
      <c r="TP33" s="40" t="str">
        <f t="shared" si="239"/>
        <v/>
      </c>
      <c r="TQ33" s="40" t="str">
        <f t="shared" si="240"/>
        <v/>
      </c>
      <c r="TR33" s="40" t="str">
        <f t="shared" si="241"/>
        <v/>
      </c>
      <c r="TS33" s="40" t="str">
        <f t="shared" si="242"/>
        <v/>
      </c>
      <c r="TT33" s="40" t="str">
        <f t="shared" si="243"/>
        <v/>
      </c>
    </row>
    <row r="34" spans="1:540" x14ac:dyDescent="0.2">
      <c r="A34" s="4" t="str" cm="1">
        <f t="array" ref="A34">IF(AND(F34&lt;&gt;"",G34&lt;&gt;""),SUMPRODUCT((F$4:F$35&lt;&gt;"")*(G$4:G$35&lt;&gt;"")*(E$4:E$35&gt;E34))+1,IF(G34&lt;&gt;"",SUMPRODUCT((H$4:H$35="No DD")*(E$4:E$35&gt;E34))+1+SUMPRODUCT((F$4:F$35&lt;&gt;"")*(G$4:G$35&lt;&gt;"")),""))</f>
        <v/>
      </c>
      <c r="B34" s="5" t="s">
        <v>154</v>
      </c>
      <c r="C34" s="4" t="s">
        <v>4</v>
      </c>
      <c r="D34" s="4">
        <v>2002</v>
      </c>
      <c r="E34" s="9">
        <f t="shared" si="0"/>
        <v>7.1900007190005688</v>
      </c>
      <c r="F34" s="3" t="str">
        <f t="shared" si="1"/>
        <v/>
      </c>
      <c r="G34" s="3" t="str">
        <f t="shared" si="2"/>
        <v/>
      </c>
      <c r="H34" s="36" t="str">
        <f t="shared" si="3"/>
        <v/>
      </c>
      <c r="I34" s="3" t="str">
        <f t="shared" si="4"/>
        <v/>
      </c>
      <c r="J34" s="8">
        <f>IF(COUNT(AO34,AR34,BP34,BS34,CQ34,CT34)&gt;0,LARGE((AO34,AR34,BP34,BS34,CQ34,CT34),1),0)</f>
        <v>5.6899999999999995</v>
      </c>
      <c r="K34" s="8" t="str">
        <f t="shared" si="5"/>
        <v>2022 Nationals</v>
      </c>
      <c r="L34" s="8">
        <f>IF(COUNT(AO34,AR34,BP34,BS34,CQ34,CT34)&gt;1,LARGE((AO34,AR34,BP34,BS34,CQ34,CT34),2),0)</f>
        <v>0</v>
      </c>
      <c r="M34" s="8" t="str">
        <f t="shared" si="6"/>
        <v/>
      </c>
      <c r="N34" s="8">
        <f>IF(COUNT(AO34,AR34,BP34,BS34,CQ34,CT34)&gt;2,MAX(AV34,BW34,CX34,LARGE((AO34,AR34,BP34,BS34,CQ34,CT34),3)),IF(MAX(AV34,BW34,CX34)&gt;0,MAX(AV34,BW34,CX34),0))</f>
        <v>0</v>
      </c>
      <c r="O34" s="8" t="str">
        <f t="shared" si="7"/>
        <v/>
      </c>
      <c r="P34" s="8">
        <f t="shared" si="8"/>
        <v>1.5</v>
      </c>
      <c r="Q34" s="8" t="str">
        <f t="shared" si="9"/>
        <v>2022 Nationals</v>
      </c>
      <c r="R34" s="8">
        <f t="shared" si="10"/>
        <v>0</v>
      </c>
      <c r="S34" s="8" t="str">
        <f t="shared" si="11"/>
        <v/>
      </c>
      <c r="T34" s="8" t="str">
        <f t="shared" si="12"/>
        <v/>
      </c>
      <c r="U34" s="11" t="str">
        <f t="shared" si="13"/>
        <v/>
      </c>
      <c r="V34" s="8" t="str">
        <f t="shared" si="14"/>
        <v/>
      </c>
      <c r="W34" s="22">
        <v>1.6</v>
      </c>
      <c r="X34" s="22">
        <v>1</v>
      </c>
      <c r="Y34" s="22">
        <v>1.5</v>
      </c>
      <c r="Z34" s="22">
        <v>1.59</v>
      </c>
      <c r="AA34" s="22">
        <v>0</v>
      </c>
      <c r="AB34" s="22"/>
      <c r="AC34" s="22"/>
      <c r="AD34" s="22"/>
      <c r="AE34" s="22"/>
      <c r="AF34" s="22"/>
      <c r="AG34" s="22"/>
      <c r="AH34" s="22"/>
      <c r="AI34" s="22"/>
      <c r="AJ34" s="22"/>
      <c r="AK34" s="22"/>
      <c r="AL34" s="27"/>
      <c r="AM34" s="38">
        <f t="shared" si="15"/>
        <v>1.5</v>
      </c>
      <c r="AN34" s="38">
        <f t="shared" si="16"/>
        <v>1.59</v>
      </c>
      <c r="AO34" s="40">
        <f t="shared" si="17"/>
        <v>5.6899999999999995</v>
      </c>
      <c r="AP34" s="40" t="str">
        <f t="shared" si="18"/>
        <v/>
      </c>
      <c r="AQ34" s="40" t="str">
        <f t="shared" si="19"/>
        <v/>
      </c>
      <c r="AR34" s="40" t="str">
        <f t="shared" si="20"/>
        <v/>
      </c>
      <c r="AS34" s="40">
        <f t="shared" si="21"/>
        <v>5.6899999999999995</v>
      </c>
      <c r="AT34" s="40" t="str">
        <f t="shared" si="22"/>
        <v/>
      </c>
      <c r="AU34" s="40" t="str">
        <f t="shared" si="23"/>
        <v/>
      </c>
      <c r="AV34" s="40" t="str">
        <f t="shared" si="24"/>
        <v/>
      </c>
      <c r="AW34" s="40">
        <f t="shared" si="25"/>
        <v>5.6899999999999995</v>
      </c>
      <c r="AX34" s="26"/>
      <c r="AY34" s="26"/>
      <c r="AZ34" s="26"/>
      <c r="BA34" s="26"/>
      <c r="BB34" s="26"/>
      <c r="BC34" s="26"/>
      <c r="BD34" s="26"/>
      <c r="BE34" s="26"/>
      <c r="BF34" s="26"/>
      <c r="BG34" s="26"/>
      <c r="BH34" s="26"/>
      <c r="BI34" s="26"/>
      <c r="BJ34" s="26"/>
      <c r="BK34" s="26"/>
      <c r="BL34" s="26"/>
      <c r="BM34" s="28"/>
      <c r="BN34" s="39" t="str">
        <f t="shared" si="26"/>
        <v/>
      </c>
      <c r="BO34" s="39" t="str">
        <f t="shared" si="27"/>
        <v/>
      </c>
      <c r="BP34" s="11" t="str">
        <f t="shared" si="28"/>
        <v/>
      </c>
      <c r="BQ34" s="11" t="str">
        <f t="shared" si="29"/>
        <v/>
      </c>
      <c r="BR34" s="11" t="str">
        <f t="shared" si="30"/>
        <v/>
      </c>
      <c r="BS34" s="11" t="str">
        <f t="shared" si="31"/>
        <v/>
      </c>
      <c r="BT34" s="11" t="str">
        <f t="shared" si="32"/>
        <v/>
      </c>
      <c r="BU34" s="11" t="str">
        <f t="shared" si="33"/>
        <v/>
      </c>
      <c r="BV34" s="11" t="str">
        <f t="shared" si="34"/>
        <v/>
      </c>
      <c r="BW34" s="11" t="str">
        <f t="shared" si="35"/>
        <v/>
      </c>
      <c r="BX34" s="11" t="str">
        <f t="shared" si="36"/>
        <v/>
      </c>
      <c r="BY34" s="22"/>
      <c r="BZ34" s="22"/>
      <c r="CA34" s="22"/>
      <c r="CB34" s="22"/>
      <c r="CC34" s="22"/>
      <c r="CD34" s="22"/>
      <c r="CE34" s="22"/>
      <c r="CF34" s="22"/>
      <c r="CG34" s="22"/>
      <c r="CH34" s="22"/>
      <c r="CI34" s="22"/>
      <c r="CJ34" s="22"/>
      <c r="CK34" s="22"/>
      <c r="CL34" s="22"/>
      <c r="CM34" s="22"/>
      <c r="CN34" s="27"/>
      <c r="CO34" s="38" t="str">
        <f t="shared" si="37"/>
        <v/>
      </c>
      <c r="CP34" s="38" t="str">
        <f t="shared" si="38"/>
        <v/>
      </c>
      <c r="CQ34" s="40" t="str">
        <f t="shared" si="39"/>
        <v/>
      </c>
      <c r="CR34" s="40" t="str">
        <f t="shared" si="40"/>
        <v/>
      </c>
      <c r="CS34" s="40" t="str">
        <f t="shared" si="41"/>
        <v/>
      </c>
      <c r="CT34" s="40" t="str">
        <f t="shared" si="42"/>
        <v/>
      </c>
      <c r="CU34" s="40" t="str">
        <f t="shared" si="43"/>
        <v/>
      </c>
      <c r="CV34" s="40" t="str">
        <f t="shared" si="44"/>
        <v/>
      </c>
      <c r="CW34" s="40" t="str">
        <f t="shared" si="45"/>
        <v/>
      </c>
      <c r="CX34" s="40" t="str">
        <f t="shared" si="46"/>
        <v/>
      </c>
      <c r="CY34" s="40" t="str">
        <f t="shared" si="47"/>
        <v/>
      </c>
      <c r="CZ34" s="50" t="str">
        <f t="shared" si="48"/>
        <v/>
      </c>
      <c r="DA34" s="50" t="str">
        <f t="shared" si="49"/>
        <v/>
      </c>
      <c r="DB34" s="17"/>
      <c r="DC34" s="17"/>
      <c r="DD34" s="17"/>
      <c r="DE34" s="17"/>
      <c r="DF34" s="17"/>
      <c r="DG34" s="17"/>
      <c r="DH34" s="17"/>
      <c r="DI34" s="17"/>
      <c r="DJ34" s="17"/>
      <c r="DK34" s="17"/>
      <c r="DL34" s="17"/>
      <c r="DM34" s="17"/>
      <c r="DN34" s="17"/>
      <c r="DO34" s="17"/>
      <c r="DP34" s="17"/>
      <c r="DQ34" s="17"/>
      <c r="DR34" s="17"/>
      <c r="DS34" s="17"/>
      <c r="DT34" s="17"/>
      <c r="DU34" s="17"/>
      <c r="DV34" s="40" t="str">
        <f t="shared" si="50"/>
        <v/>
      </c>
      <c r="DW34" s="40" t="str">
        <f t="shared" si="51"/>
        <v/>
      </c>
      <c r="DX34" s="40" t="str">
        <f t="shared" si="52"/>
        <v/>
      </c>
      <c r="DY34" s="40" t="str">
        <f t="shared" si="53"/>
        <v/>
      </c>
      <c r="DZ34" s="40" t="str">
        <f t="shared" si="54"/>
        <v/>
      </c>
      <c r="EA34" s="40" t="str">
        <f t="shared" si="55"/>
        <v/>
      </c>
      <c r="EB34" s="40" t="str">
        <f t="shared" si="56"/>
        <v/>
      </c>
      <c r="EC34" s="40" t="str">
        <f t="shared" si="57"/>
        <v/>
      </c>
      <c r="ED34" s="40" t="str">
        <f t="shared" si="58"/>
        <v/>
      </c>
      <c r="EE34" s="40" t="str">
        <f t="shared" si="59"/>
        <v/>
      </c>
      <c r="EF34" s="40" t="str">
        <f t="shared" si="60"/>
        <v/>
      </c>
      <c r="EG34" s="40" t="str">
        <f t="shared" si="61"/>
        <v/>
      </c>
      <c r="EH34" s="40" t="str">
        <f t="shared" si="62"/>
        <v/>
      </c>
      <c r="EI34" s="40" t="str">
        <f t="shared" si="63"/>
        <v/>
      </c>
      <c r="EJ34" s="18"/>
      <c r="EK34" s="18"/>
      <c r="EL34" s="18"/>
      <c r="EM34" s="18"/>
      <c r="EN34" s="18"/>
      <c r="EO34" s="18"/>
      <c r="EP34" s="18"/>
      <c r="EQ34" s="18"/>
      <c r="ER34" s="18"/>
      <c r="ES34" s="18"/>
      <c r="ET34" s="18"/>
      <c r="EU34" s="18"/>
      <c r="EV34" s="18"/>
      <c r="EW34" s="18"/>
      <c r="EX34" s="18"/>
      <c r="EY34" s="18"/>
      <c r="EZ34" s="18"/>
      <c r="FA34" s="18"/>
      <c r="FB34" s="18"/>
      <c r="FC34" s="18"/>
      <c r="FD34" s="11" t="str">
        <f t="shared" si="64"/>
        <v/>
      </c>
      <c r="FE34" s="11" t="str">
        <f t="shared" si="65"/>
        <v/>
      </c>
      <c r="FF34" s="11" t="str">
        <f t="shared" si="66"/>
        <v/>
      </c>
      <c r="FG34" s="11" t="str">
        <f t="shared" si="67"/>
        <v/>
      </c>
      <c r="FH34" s="11" t="str">
        <f t="shared" si="68"/>
        <v/>
      </c>
      <c r="FI34" s="11" t="str">
        <f t="shared" si="69"/>
        <v/>
      </c>
      <c r="FJ34" s="11" t="str">
        <f t="shared" si="70"/>
        <v/>
      </c>
      <c r="FK34" s="11" t="str">
        <f t="shared" si="71"/>
        <v/>
      </c>
      <c r="FL34" s="11" t="str">
        <f t="shared" si="72"/>
        <v/>
      </c>
      <c r="FM34" s="11" t="str">
        <f t="shared" si="73"/>
        <v/>
      </c>
      <c r="FN34" s="11" t="str">
        <f t="shared" si="74"/>
        <v/>
      </c>
      <c r="FO34" s="11" t="str">
        <f t="shared" si="75"/>
        <v/>
      </c>
      <c r="FP34" s="11" t="str">
        <f t="shared" si="76"/>
        <v/>
      </c>
      <c r="FQ34" s="11" t="str">
        <f t="shared" si="77"/>
        <v/>
      </c>
      <c r="FR34" s="17"/>
      <c r="FS34" s="17"/>
      <c r="FT34" s="17"/>
      <c r="FU34" s="17"/>
      <c r="FV34" s="17"/>
      <c r="FW34" s="17"/>
      <c r="FX34" s="17"/>
      <c r="FY34" s="17"/>
      <c r="FZ34" s="17"/>
      <c r="GA34" s="17"/>
      <c r="GB34" s="17"/>
      <c r="GC34" s="17"/>
      <c r="GD34" s="17"/>
      <c r="GE34" s="17"/>
      <c r="GF34" s="17"/>
      <c r="GG34" s="17"/>
      <c r="GH34" s="17"/>
      <c r="GI34" s="17"/>
      <c r="GJ34" s="17"/>
      <c r="GK34" s="17"/>
      <c r="GL34" s="40" t="str">
        <f t="shared" si="78"/>
        <v/>
      </c>
      <c r="GM34" s="40" t="str">
        <f t="shared" si="79"/>
        <v/>
      </c>
      <c r="GN34" s="40" t="str">
        <f t="shared" si="80"/>
        <v/>
      </c>
      <c r="GO34" s="40" t="str">
        <f t="shared" si="81"/>
        <v/>
      </c>
      <c r="GP34" s="40" t="str">
        <f t="shared" si="82"/>
        <v/>
      </c>
      <c r="GQ34" s="40" t="str">
        <f t="shared" si="83"/>
        <v/>
      </c>
      <c r="GR34" s="40" t="str">
        <f t="shared" si="84"/>
        <v/>
      </c>
      <c r="GS34" s="40" t="str">
        <f t="shared" si="85"/>
        <v/>
      </c>
      <c r="GT34" s="40" t="str">
        <f t="shared" si="86"/>
        <v/>
      </c>
      <c r="GU34" s="40" t="str">
        <f t="shared" si="87"/>
        <v/>
      </c>
      <c r="GV34" s="40" t="str">
        <f t="shared" si="88"/>
        <v/>
      </c>
      <c r="GW34" s="40" t="str">
        <f t="shared" si="89"/>
        <v/>
      </c>
      <c r="GX34" s="40" t="str">
        <f t="shared" si="90"/>
        <v/>
      </c>
      <c r="GY34" s="40" t="str">
        <f t="shared" si="91"/>
        <v/>
      </c>
      <c r="GZ34" s="18"/>
      <c r="HA34" s="18"/>
      <c r="HB34" s="18"/>
      <c r="HC34" s="18"/>
      <c r="HD34" s="18"/>
      <c r="HE34" s="18"/>
      <c r="HF34" s="18"/>
      <c r="HG34" s="18"/>
      <c r="HH34" s="18"/>
      <c r="HI34" s="18"/>
      <c r="HJ34" s="18"/>
      <c r="HK34" s="18"/>
      <c r="HL34" s="18"/>
      <c r="HM34" s="18"/>
      <c r="HN34" s="18"/>
      <c r="HO34" s="18"/>
      <c r="HP34" s="18"/>
      <c r="HQ34" s="18"/>
      <c r="HR34" s="18"/>
      <c r="HS34" s="18"/>
      <c r="HT34" s="11" t="str">
        <f t="shared" si="92"/>
        <v/>
      </c>
      <c r="HU34" s="11" t="str">
        <f t="shared" si="93"/>
        <v/>
      </c>
      <c r="HV34" s="11" t="str">
        <f t="shared" si="94"/>
        <v/>
      </c>
      <c r="HW34" s="11" t="str">
        <f t="shared" si="95"/>
        <v/>
      </c>
      <c r="HX34" s="11" t="str">
        <f t="shared" si="96"/>
        <v/>
      </c>
      <c r="HY34" s="11" t="str">
        <f t="shared" si="97"/>
        <v/>
      </c>
      <c r="HZ34" s="11" t="str">
        <f t="shared" si="98"/>
        <v/>
      </c>
      <c r="IA34" s="11" t="str">
        <f t="shared" si="99"/>
        <v/>
      </c>
      <c r="IB34" s="11" t="str">
        <f t="shared" si="100"/>
        <v/>
      </c>
      <c r="IC34" s="11" t="str">
        <f t="shared" si="101"/>
        <v/>
      </c>
      <c r="ID34" s="11" t="str">
        <f t="shared" si="102"/>
        <v/>
      </c>
      <c r="IE34" s="11" t="str">
        <f t="shared" si="103"/>
        <v/>
      </c>
      <c r="IF34" s="11" t="str">
        <f t="shared" si="104"/>
        <v/>
      </c>
      <c r="IG34" s="11" t="str">
        <f t="shared" si="105"/>
        <v/>
      </c>
      <c r="IH34" s="17"/>
      <c r="II34" s="17"/>
      <c r="IJ34" s="17"/>
      <c r="IK34" s="17"/>
      <c r="IL34" s="17"/>
      <c r="IM34" s="17"/>
      <c r="IN34" s="17"/>
      <c r="IO34" s="17"/>
      <c r="IP34" s="17"/>
      <c r="IQ34" s="17"/>
      <c r="IR34" s="17"/>
      <c r="IS34" s="17"/>
      <c r="IT34" s="17"/>
      <c r="IU34" s="17"/>
      <c r="IV34" s="17"/>
      <c r="IW34" s="17"/>
      <c r="IX34" s="17"/>
      <c r="IY34" s="17"/>
      <c r="IZ34" s="17"/>
      <c r="JA34" s="17"/>
      <c r="JB34" s="40" t="str">
        <f t="shared" si="106"/>
        <v/>
      </c>
      <c r="JC34" s="40" t="str">
        <f t="shared" si="107"/>
        <v/>
      </c>
      <c r="JD34" s="40" t="str">
        <f t="shared" si="108"/>
        <v/>
      </c>
      <c r="JE34" s="40" t="str">
        <f t="shared" si="109"/>
        <v/>
      </c>
      <c r="JF34" s="40" t="str">
        <f t="shared" si="110"/>
        <v/>
      </c>
      <c r="JG34" s="40" t="str">
        <f t="shared" si="111"/>
        <v/>
      </c>
      <c r="JH34" s="40" t="str">
        <f t="shared" si="112"/>
        <v/>
      </c>
      <c r="JI34" s="40" t="str">
        <f t="shared" si="113"/>
        <v/>
      </c>
      <c r="JJ34" s="40" t="str">
        <f t="shared" si="114"/>
        <v/>
      </c>
      <c r="JK34" s="40" t="str">
        <f t="shared" si="115"/>
        <v/>
      </c>
      <c r="JL34" s="40" t="str">
        <f t="shared" si="116"/>
        <v/>
      </c>
      <c r="JM34" s="40" t="str">
        <f t="shared" si="117"/>
        <v/>
      </c>
      <c r="JN34" s="40" t="str">
        <f t="shared" si="118"/>
        <v/>
      </c>
      <c r="JO34" s="40" t="str">
        <f t="shared" si="119"/>
        <v/>
      </c>
      <c r="JP34" s="18"/>
      <c r="JQ34" s="18"/>
      <c r="JR34" s="18"/>
      <c r="JS34" s="18"/>
      <c r="JT34" s="18"/>
      <c r="JU34" s="18"/>
      <c r="JV34" s="18"/>
      <c r="JW34" s="18"/>
      <c r="JX34" s="18"/>
      <c r="JY34" s="18"/>
      <c r="JZ34" s="18"/>
      <c r="KA34" s="18"/>
      <c r="KB34" s="18"/>
      <c r="KC34" s="18"/>
      <c r="KD34" s="18"/>
      <c r="KE34" s="18"/>
      <c r="KF34" s="18"/>
      <c r="KG34" s="18"/>
      <c r="KH34" s="18"/>
      <c r="KI34" s="18"/>
      <c r="KJ34" s="11" t="str">
        <f t="shared" si="120"/>
        <v/>
      </c>
      <c r="KK34" s="11" t="str">
        <f t="shared" si="121"/>
        <v/>
      </c>
      <c r="KL34" s="11" t="str">
        <f t="shared" si="122"/>
        <v/>
      </c>
      <c r="KM34" s="11" t="str">
        <f t="shared" si="123"/>
        <v/>
      </c>
      <c r="KN34" s="11" t="str">
        <f t="shared" si="124"/>
        <v/>
      </c>
      <c r="KO34" s="11" t="str">
        <f t="shared" si="125"/>
        <v/>
      </c>
      <c r="KP34" s="11" t="str">
        <f t="shared" si="126"/>
        <v/>
      </c>
      <c r="KQ34" s="11" t="str">
        <f t="shared" si="127"/>
        <v/>
      </c>
      <c r="KR34" s="11" t="str">
        <f t="shared" si="128"/>
        <v/>
      </c>
      <c r="KS34" s="11" t="str">
        <f t="shared" si="129"/>
        <v/>
      </c>
      <c r="KT34" s="11" t="str">
        <f t="shared" si="130"/>
        <v/>
      </c>
      <c r="KU34" s="11" t="str">
        <f t="shared" si="131"/>
        <v/>
      </c>
      <c r="KV34" s="11" t="str">
        <f t="shared" si="132"/>
        <v/>
      </c>
      <c r="KW34" s="11" t="str">
        <f t="shared" si="133"/>
        <v/>
      </c>
      <c r="KX34" s="17"/>
      <c r="KY34" s="17"/>
      <c r="KZ34" s="17"/>
      <c r="LA34" s="17"/>
      <c r="LB34" s="17"/>
      <c r="LC34" s="17"/>
      <c r="LD34" s="17"/>
      <c r="LE34" s="17"/>
      <c r="LF34" s="17"/>
      <c r="LG34" s="17"/>
      <c r="LH34" s="17"/>
      <c r="LI34" s="17"/>
      <c r="LJ34" s="17"/>
      <c r="LK34" s="17"/>
      <c r="LL34" s="17"/>
      <c r="LM34" s="17"/>
      <c r="LN34" s="17"/>
      <c r="LO34" s="17"/>
      <c r="LP34" s="17"/>
      <c r="LQ34" s="17"/>
      <c r="LR34" s="40" t="str">
        <f t="shared" si="134"/>
        <v/>
      </c>
      <c r="LS34" s="40" t="str">
        <f t="shared" si="135"/>
        <v/>
      </c>
      <c r="LT34" s="40" t="str">
        <f t="shared" si="136"/>
        <v/>
      </c>
      <c r="LU34" s="40" t="str">
        <f t="shared" si="137"/>
        <v/>
      </c>
      <c r="LV34" s="40" t="str">
        <f t="shared" si="138"/>
        <v/>
      </c>
      <c r="LW34" s="40" t="str">
        <f t="shared" si="139"/>
        <v/>
      </c>
      <c r="LX34" s="40" t="str">
        <f t="shared" si="140"/>
        <v/>
      </c>
      <c r="LY34" s="40" t="str">
        <f t="shared" si="141"/>
        <v/>
      </c>
      <c r="LZ34" s="40" t="str">
        <f t="shared" si="142"/>
        <v/>
      </c>
      <c r="MA34" s="40" t="str">
        <f t="shared" si="143"/>
        <v/>
      </c>
      <c r="MB34" s="40" t="str">
        <f t="shared" si="144"/>
        <v/>
      </c>
      <c r="MC34" s="40" t="str">
        <f t="shared" si="145"/>
        <v/>
      </c>
      <c r="MD34" s="40" t="str">
        <f t="shared" si="146"/>
        <v/>
      </c>
      <c r="ME34" s="40" t="str">
        <f t="shared" si="147"/>
        <v/>
      </c>
      <c r="MF34" s="18"/>
      <c r="MG34" s="18"/>
      <c r="MH34" s="18"/>
      <c r="MI34" s="18"/>
      <c r="MJ34" s="18"/>
      <c r="MK34" s="18"/>
      <c r="ML34" s="18"/>
      <c r="MM34" s="18"/>
      <c r="MN34" s="18"/>
      <c r="MO34" s="18"/>
      <c r="MP34" s="18"/>
      <c r="MQ34" s="18"/>
      <c r="MR34" s="18"/>
      <c r="MS34" s="18"/>
      <c r="MT34" s="18"/>
      <c r="MU34" s="18"/>
      <c r="MV34" s="18"/>
      <c r="MW34" s="18"/>
      <c r="MX34" s="18"/>
      <c r="MY34" s="18"/>
      <c r="MZ34" s="11" t="str">
        <f t="shared" si="148"/>
        <v/>
      </c>
      <c r="NA34" s="11" t="str">
        <f t="shared" si="149"/>
        <v/>
      </c>
      <c r="NB34" s="11" t="str">
        <f t="shared" si="150"/>
        <v/>
      </c>
      <c r="NC34" s="11" t="str">
        <f t="shared" si="151"/>
        <v/>
      </c>
      <c r="ND34" s="11" t="str">
        <f t="shared" si="152"/>
        <v/>
      </c>
      <c r="NE34" s="11" t="str">
        <f t="shared" si="153"/>
        <v/>
      </c>
      <c r="NF34" s="11" t="str">
        <f t="shared" si="154"/>
        <v/>
      </c>
      <c r="NG34" s="11" t="str">
        <f t="shared" si="155"/>
        <v/>
      </c>
      <c r="NH34" s="11" t="str">
        <f t="shared" si="156"/>
        <v/>
      </c>
      <c r="NI34" s="11" t="str">
        <f t="shared" si="157"/>
        <v/>
      </c>
      <c r="NJ34" s="11" t="str">
        <f t="shared" si="158"/>
        <v/>
      </c>
      <c r="NK34" s="11" t="str">
        <f t="shared" si="159"/>
        <v/>
      </c>
      <c r="NL34" s="11" t="str">
        <f t="shared" si="160"/>
        <v/>
      </c>
      <c r="NM34" s="11" t="str">
        <f t="shared" si="161"/>
        <v/>
      </c>
      <c r="NN34" s="17"/>
      <c r="NO34" s="17"/>
      <c r="NP34" s="17"/>
      <c r="NQ34" s="17"/>
      <c r="NR34" s="17"/>
      <c r="NS34" s="17"/>
      <c r="NT34" s="17"/>
      <c r="NU34" s="17"/>
      <c r="NV34" s="17"/>
      <c r="NW34" s="17"/>
      <c r="NX34" s="17"/>
      <c r="NY34" s="17"/>
      <c r="NZ34" s="17"/>
      <c r="OA34" s="17"/>
      <c r="OB34" s="17"/>
      <c r="OC34" s="17"/>
      <c r="OD34" s="17"/>
      <c r="OE34" s="17"/>
      <c r="OF34" s="17"/>
      <c r="OG34" s="17"/>
      <c r="OH34" s="40" t="str">
        <f t="shared" si="162"/>
        <v/>
      </c>
      <c r="OI34" s="40" t="str">
        <f t="shared" si="163"/>
        <v/>
      </c>
      <c r="OJ34" s="40" t="str">
        <f t="shared" si="164"/>
        <v/>
      </c>
      <c r="OK34" s="40" t="str">
        <f t="shared" si="165"/>
        <v/>
      </c>
      <c r="OL34" s="40" t="str">
        <f t="shared" si="166"/>
        <v/>
      </c>
      <c r="OM34" s="40" t="str">
        <f t="shared" si="167"/>
        <v/>
      </c>
      <c r="ON34" s="40" t="str">
        <f t="shared" si="168"/>
        <v/>
      </c>
      <c r="OO34" s="40" t="str">
        <f t="shared" si="169"/>
        <v/>
      </c>
      <c r="OP34" s="40" t="str">
        <f t="shared" si="170"/>
        <v/>
      </c>
      <c r="OQ34" s="40" t="str">
        <f t="shared" si="171"/>
        <v/>
      </c>
      <c r="OR34" s="40" t="str">
        <f t="shared" si="172"/>
        <v/>
      </c>
      <c r="OS34" s="40" t="str">
        <f t="shared" si="173"/>
        <v/>
      </c>
      <c r="OT34" s="40" t="str">
        <f t="shared" si="174"/>
        <v/>
      </c>
      <c r="OU34" s="40" t="str">
        <f t="shared" si="175"/>
        <v/>
      </c>
      <c r="OV34" s="18"/>
      <c r="OW34" s="18"/>
      <c r="OX34" s="18"/>
      <c r="OY34" s="18"/>
      <c r="OZ34" s="18"/>
      <c r="PA34" s="18"/>
      <c r="PB34" s="18"/>
      <c r="PC34" s="18"/>
      <c r="PD34" s="18"/>
      <c r="PE34" s="18"/>
      <c r="PF34" s="18"/>
      <c r="PG34" s="18"/>
      <c r="PH34" s="18"/>
      <c r="PI34" s="18"/>
      <c r="PJ34" s="18"/>
      <c r="PK34" s="18"/>
      <c r="PL34" s="18"/>
      <c r="PM34" s="18"/>
      <c r="PN34" s="18"/>
      <c r="PO34" s="18"/>
      <c r="PP34" s="11" t="str">
        <f t="shared" si="176"/>
        <v/>
      </c>
      <c r="PQ34" s="11" t="str">
        <f t="shared" si="177"/>
        <v/>
      </c>
      <c r="PR34" s="11" t="str">
        <f t="shared" si="178"/>
        <v/>
      </c>
      <c r="PS34" s="11" t="str">
        <f t="shared" si="179"/>
        <v/>
      </c>
      <c r="PT34" s="11" t="str">
        <f t="shared" si="180"/>
        <v/>
      </c>
      <c r="PU34" s="11" t="str">
        <f t="shared" si="181"/>
        <v/>
      </c>
      <c r="PV34" s="11" t="str">
        <f t="shared" si="182"/>
        <v/>
      </c>
      <c r="PW34" s="11" t="str">
        <f t="shared" si="183"/>
        <v/>
      </c>
      <c r="PX34" s="11" t="str">
        <f t="shared" si="184"/>
        <v/>
      </c>
      <c r="PY34" s="11" t="str">
        <f t="shared" si="185"/>
        <v/>
      </c>
      <c r="PZ34" s="11" t="str">
        <f t="shared" si="186"/>
        <v/>
      </c>
      <c r="QA34" s="11" t="str">
        <f t="shared" si="187"/>
        <v/>
      </c>
      <c r="QB34" s="11" t="str">
        <f t="shared" si="188"/>
        <v/>
      </c>
      <c r="QC34" s="11" t="str">
        <f t="shared" si="189"/>
        <v/>
      </c>
      <c r="QD34" s="17"/>
      <c r="QE34" s="17"/>
      <c r="QF34" s="17"/>
      <c r="QG34" s="17"/>
      <c r="QH34" s="17"/>
      <c r="QI34" s="17"/>
      <c r="QJ34" s="17"/>
      <c r="QK34" s="17"/>
      <c r="QL34" s="17"/>
      <c r="QM34" s="17"/>
      <c r="QN34" s="17"/>
      <c r="QO34" s="17"/>
      <c r="QP34" s="17"/>
      <c r="QQ34" s="17"/>
      <c r="QR34" s="17"/>
      <c r="QS34" s="17"/>
      <c r="QT34" s="17"/>
      <c r="QU34" s="17"/>
      <c r="QV34" s="17"/>
      <c r="QW34" s="17"/>
      <c r="QX34" s="40" t="str">
        <f t="shared" si="190"/>
        <v/>
      </c>
      <c r="QY34" s="40" t="str">
        <f t="shared" si="191"/>
        <v/>
      </c>
      <c r="QZ34" s="40" t="str">
        <f t="shared" si="192"/>
        <v/>
      </c>
      <c r="RA34" s="40" t="str">
        <f t="shared" si="193"/>
        <v/>
      </c>
      <c r="RB34" s="40" t="str">
        <f t="shared" si="194"/>
        <v/>
      </c>
      <c r="RC34" s="40" t="str">
        <f t="shared" si="195"/>
        <v/>
      </c>
      <c r="RD34" s="40" t="str">
        <f t="shared" si="196"/>
        <v/>
      </c>
      <c r="RE34" s="40" t="str">
        <f t="shared" si="197"/>
        <v/>
      </c>
      <c r="RF34" s="40" t="str">
        <f t="shared" si="198"/>
        <v/>
      </c>
      <c r="RG34" s="40" t="str">
        <f t="shared" si="199"/>
        <v/>
      </c>
      <c r="RH34" s="40" t="str">
        <f t="shared" si="200"/>
        <v/>
      </c>
      <c r="RI34" s="40" t="str">
        <f t="shared" si="201"/>
        <v/>
      </c>
      <c r="RJ34" s="40" t="str">
        <f t="shared" si="202"/>
        <v/>
      </c>
      <c r="RK34" s="40" t="str">
        <f t="shared" si="203"/>
        <v/>
      </c>
      <c r="RL34" s="18"/>
      <c r="RM34" s="18"/>
      <c r="RN34" s="18"/>
      <c r="RO34" s="18"/>
      <c r="RP34" s="18"/>
      <c r="RQ34" s="18"/>
      <c r="RR34" s="18"/>
      <c r="RS34" s="18"/>
      <c r="RT34" s="18"/>
      <c r="RU34" s="18"/>
      <c r="RV34" s="18"/>
      <c r="RW34" s="18"/>
      <c r="RX34" s="18"/>
      <c r="RY34" s="18"/>
      <c r="RZ34" s="18"/>
      <c r="SA34" s="18"/>
      <c r="SB34" s="18"/>
      <c r="SC34" s="18"/>
      <c r="SD34" s="18"/>
      <c r="SE34" s="18"/>
      <c r="SF34" s="11" t="str">
        <f t="shared" si="204"/>
        <v/>
      </c>
      <c r="SG34" s="11" t="str">
        <f t="shared" si="205"/>
        <v/>
      </c>
      <c r="SH34" s="11" t="str">
        <f t="shared" si="206"/>
        <v/>
      </c>
      <c r="SI34" s="11" t="str">
        <f t="shared" si="207"/>
        <v/>
      </c>
      <c r="SJ34" s="11" t="str">
        <f t="shared" si="208"/>
        <v/>
      </c>
      <c r="SK34" s="11" t="str">
        <f t="shared" si="209"/>
        <v/>
      </c>
      <c r="SL34" s="11" t="str">
        <f t="shared" si="210"/>
        <v/>
      </c>
      <c r="SM34" s="11" t="str">
        <f t="shared" si="211"/>
        <v/>
      </c>
      <c r="SN34" s="11" t="str">
        <f t="shared" si="212"/>
        <v/>
      </c>
      <c r="SO34" s="11" t="str">
        <f t="shared" si="213"/>
        <v/>
      </c>
      <c r="SP34" s="11" t="str">
        <f t="shared" si="214"/>
        <v/>
      </c>
      <c r="SQ34" s="11" t="str">
        <f t="shared" si="215"/>
        <v/>
      </c>
      <c r="SR34" s="11" t="str">
        <f t="shared" si="216"/>
        <v/>
      </c>
      <c r="SS34" s="11" t="str">
        <f t="shared" si="217"/>
        <v/>
      </c>
      <c r="ST34" s="22">
        <f t="shared" si="218"/>
        <v>0</v>
      </c>
      <c r="SU34" s="22">
        <f t="shared" si="219"/>
        <v>0</v>
      </c>
      <c r="SV34" s="22">
        <f t="shared" si="220"/>
        <v>0</v>
      </c>
      <c r="SW34" s="22">
        <f t="shared" si="221"/>
        <v>0</v>
      </c>
      <c r="SX34" s="22">
        <f t="shared" si="222"/>
        <v>0</v>
      </c>
      <c r="SY34" s="22">
        <f t="shared" si="223"/>
        <v>0</v>
      </c>
      <c r="SZ34" s="22">
        <f t="shared" si="224"/>
        <v>0</v>
      </c>
      <c r="TA34" s="22">
        <f t="shared" si="225"/>
        <v>0</v>
      </c>
      <c r="TB34" s="22">
        <f t="shared" si="226"/>
        <v>0</v>
      </c>
      <c r="TC34" s="22">
        <f t="shared" si="227"/>
        <v>0</v>
      </c>
      <c r="TD34" s="22">
        <f t="shared" si="228"/>
        <v>0</v>
      </c>
      <c r="TE34" s="22">
        <f t="shared" si="229"/>
        <v>0</v>
      </c>
      <c r="TF34" s="22">
        <f t="shared" si="230"/>
        <v>0</v>
      </c>
      <c r="TG34" s="22">
        <f t="shared" si="231"/>
        <v>0</v>
      </c>
      <c r="TH34" s="22">
        <f t="shared" si="232"/>
        <v>0</v>
      </c>
      <c r="TI34" s="27" t="s">
        <v>46</v>
      </c>
      <c r="TJ34" s="40" t="str">
        <f t="shared" si="233"/>
        <v/>
      </c>
      <c r="TK34" s="40" t="str">
        <f t="shared" si="234"/>
        <v/>
      </c>
      <c r="TL34" s="40" t="str">
        <f t="shared" si="235"/>
        <v/>
      </c>
      <c r="TM34" s="40" t="str">
        <f t="shared" si="236"/>
        <v/>
      </c>
      <c r="TN34" s="40" t="str">
        <f t="shared" si="237"/>
        <v/>
      </c>
      <c r="TO34" s="40" t="str">
        <f t="shared" si="238"/>
        <v/>
      </c>
      <c r="TP34" s="40" t="str">
        <f t="shared" si="239"/>
        <v/>
      </c>
      <c r="TQ34" s="40" t="str">
        <f t="shared" si="240"/>
        <v/>
      </c>
      <c r="TR34" s="40" t="str">
        <f t="shared" si="241"/>
        <v/>
      </c>
      <c r="TS34" s="40" t="str">
        <f t="shared" si="242"/>
        <v/>
      </c>
      <c r="TT34" s="40" t="str">
        <f t="shared" si="243"/>
        <v/>
      </c>
    </row>
    <row r="35" spans="1:540" x14ac:dyDescent="0.2">
      <c r="B35" s="5"/>
      <c r="D35" s="1"/>
    </row>
    <row r="36" spans="1:540" x14ac:dyDescent="0.2">
      <c r="G36" s="36"/>
      <c r="I36" s="36"/>
    </row>
    <row r="37" spans="1:540" x14ac:dyDescent="0.2">
      <c r="B37" s="23" t="s">
        <v>44</v>
      </c>
      <c r="C37" s="5"/>
      <c r="G37" s="3"/>
      <c r="AP37" s="41"/>
      <c r="AQ37" s="41"/>
      <c r="AR37" s="41"/>
      <c r="AT37" s="32"/>
      <c r="AU37" s="32"/>
      <c r="AW37" s="53">
        <v>13.5</v>
      </c>
      <c r="BQ37" s="41"/>
      <c r="BR37" s="41"/>
      <c r="BS37" s="41"/>
      <c r="BU37" s="32"/>
      <c r="BV37" s="32"/>
      <c r="BX37" s="53">
        <v>13.5</v>
      </c>
      <c r="CR37" s="41"/>
      <c r="CS37" s="41"/>
      <c r="CT37" s="41"/>
      <c r="CV37" s="32"/>
      <c r="CW37" s="32"/>
      <c r="CY37" s="53">
        <v>13.5</v>
      </c>
      <c r="DV37" s="5"/>
      <c r="DW37" s="5"/>
      <c r="EF37" s="2"/>
      <c r="EG37" s="2"/>
      <c r="EI37" s="53">
        <v>13.5</v>
      </c>
      <c r="FD37" s="5"/>
      <c r="FE37" s="5"/>
      <c r="FN37" s="2"/>
      <c r="FO37" s="2"/>
      <c r="FQ37" s="53">
        <v>13.5</v>
      </c>
      <c r="GL37" s="5"/>
      <c r="GM37" s="5"/>
      <c r="GV37" s="2"/>
      <c r="GW37" s="2"/>
      <c r="GY37" s="53">
        <v>13.5</v>
      </c>
      <c r="HT37" s="5"/>
      <c r="HU37" s="5"/>
      <c r="ID37" s="2"/>
      <c r="IE37" s="2"/>
      <c r="IG37" s="53">
        <v>13.5</v>
      </c>
      <c r="JB37" s="5"/>
      <c r="JC37" s="5"/>
      <c r="JL37" s="2"/>
      <c r="JM37" s="2"/>
      <c r="JO37" s="53">
        <v>13.5</v>
      </c>
      <c r="KJ37" s="5"/>
      <c r="KK37" s="5"/>
      <c r="KT37" s="2"/>
      <c r="KU37" s="2"/>
      <c r="KW37" s="53">
        <v>13.5</v>
      </c>
      <c r="LR37" s="5"/>
      <c r="LS37" s="5"/>
      <c r="MB37" s="2"/>
      <c r="MC37" s="2"/>
      <c r="ME37" s="53">
        <v>13.5</v>
      </c>
      <c r="MZ37" s="5"/>
      <c r="NA37" s="5"/>
      <c r="NJ37" s="2"/>
      <c r="NK37" s="2"/>
      <c r="NM37" s="53">
        <v>13.5</v>
      </c>
      <c r="OH37" s="5"/>
      <c r="OI37" s="5"/>
      <c r="OR37" s="2"/>
      <c r="OS37" s="2"/>
      <c r="OU37" s="53">
        <v>13.5</v>
      </c>
      <c r="PP37" s="5"/>
      <c r="PQ37" s="5"/>
      <c r="PZ37" s="2"/>
      <c r="QA37" s="2"/>
      <c r="QC37" s="53">
        <v>13.5</v>
      </c>
      <c r="QX37" s="5"/>
      <c r="QY37" s="5"/>
      <c r="RH37" s="2"/>
      <c r="RI37" s="2"/>
      <c r="RK37" s="53">
        <v>13.5</v>
      </c>
      <c r="SF37" s="5"/>
      <c r="SG37" s="5"/>
      <c r="SP37" s="2"/>
      <c r="SQ37" s="2"/>
      <c r="SS37" s="53">
        <v>13.5</v>
      </c>
    </row>
    <row r="38" spans="1:540" hidden="1" x14ac:dyDescent="0.2">
      <c r="B38" s="30" t="s">
        <v>43</v>
      </c>
      <c r="C38" s="5"/>
      <c r="V38" s="2"/>
      <c r="AP38" s="41"/>
      <c r="AQ38" s="41"/>
      <c r="AR38" s="41"/>
      <c r="AT38" s="32"/>
      <c r="AU38" s="32"/>
      <c r="AW38" s="54">
        <v>1000</v>
      </c>
      <c r="BQ38" s="41"/>
      <c r="BR38" s="41"/>
      <c r="BS38" s="41"/>
      <c r="BU38" s="32"/>
      <c r="BV38" s="32"/>
      <c r="BX38" s="54">
        <v>1000</v>
      </c>
      <c r="CR38" s="41"/>
      <c r="CS38" s="41"/>
      <c r="CT38" s="41"/>
      <c r="CV38" s="32"/>
      <c r="CW38" s="32"/>
      <c r="CY38" s="54">
        <v>1000</v>
      </c>
      <c r="DV38" s="5"/>
      <c r="DW38" s="5"/>
      <c r="EF38" s="2"/>
      <c r="EG38" s="2"/>
      <c r="EI38" s="54">
        <v>1000</v>
      </c>
      <c r="FD38" s="5"/>
      <c r="FE38" s="5"/>
      <c r="FN38" s="2"/>
      <c r="FO38" s="2"/>
      <c r="FQ38" s="54">
        <v>1000</v>
      </c>
      <c r="GL38" s="5"/>
      <c r="GM38" s="5"/>
      <c r="GV38" s="2"/>
      <c r="GW38" s="2"/>
      <c r="GY38" s="54">
        <v>1000</v>
      </c>
      <c r="HT38" s="5"/>
      <c r="HU38" s="5"/>
      <c r="ID38" s="2"/>
      <c r="IE38" s="2"/>
      <c r="IG38" s="54">
        <v>1000</v>
      </c>
      <c r="JB38" s="5"/>
      <c r="JC38" s="5"/>
      <c r="JL38" s="2"/>
      <c r="JM38" s="2"/>
      <c r="JO38" s="54">
        <v>1000</v>
      </c>
      <c r="KJ38" s="5"/>
      <c r="KK38" s="5"/>
      <c r="KT38" s="2"/>
      <c r="KU38" s="2"/>
      <c r="KW38" s="54">
        <v>1000</v>
      </c>
      <c r="LR38" s="5"/>
      <c r="LS38" s="5"/>
      <c r="MB38" s="2"/>
      <c r="MC38" s="2"/>
      <c r="ME38" s="54">
        <v>1000</v>
      </c>
      <c r="MZ38" s="5"/>
      <c r="NA38" s="5"/>
      <c r="NJ38" s="2"/>
      <c r="NK38" s="2"/>
      <c r="NM38" s="54">
        <v>1000</v>
      </c>
      <c r="OH38" s="5"/>
      <c r="OI38" s="5"/>
      <c r="OR38" s="2"/>
      <c r="OS38" s="2"/>
      <c r="OU38" s="54">
        <v>1000</v>
      </c>
      <c r="PP38" s="5"/>
      <c r="PQ38" s="5"/>
      <c r="PZ38" s="2"/>
      <c r="QA38" s="2"/>
      <c r="QC38" s="54">
        <v>1000</v>
      </c>
      <c r="QX38" s="5"/>
      <c r="QY38" s="5"/>
      <c r="RH38" s="2"/>
      <c r="RI38" s="2"/>
      <c r="RK38" s="54">
        <v>1000</v>
      </c>
      <c r="SF38" s="5"/>
      <c r="SG38" s="5"/>
      <c r="SP38" s="2"/>
      <c r="SQ38" s="2"/>
      <c r="SS38" s="54">
        <v>1000</v>
      </c>
    </row>
    <row r="39" spans="1:540" hidden="1" x14ac:dyDescent="0.2">
      <c r="A39" s="5"/>
      <c r="B39" s="31" t="s">
        <v>55</v>
      </c>
      <c r="C39" s="5"/>
      <c r="E39" s="2"/>
      <c r="AP39" s="41"/>
      <c r="AQ39" s="41"/>
      <c r="AR39" s="41"/>
      <c r="AS39" s="32"/>
      <c r="AT39" s="32"/>
      <c r="AU39" s="32"/>
      <c r="AV39" s="32"/>
      <c r="AW39" s="55">
        <v>1000</v>
      </c>
      <c r="BQ39" s="41"/>
      <c r="BR39" s="41"/>
      <c r="BS39" s="41"/>
      <c r="BU39" s="32"/>
      <c r="BV39" s="32"/>
      <c r="BX39" s="55">
        <v>1000</v>
      </c>
      <c r="CR39" s="41"/>
      <c r="CS39" s="41"/>
      <c r="CT39" s="41"/>
      <c r="CU39" s="32"/>
      <c r="CV39" s="32"/>
      <c r="CW39" s="32"/>
      <c r="CX39" s="32"/>
      <c r="CY39" s="55">
        <v>1000</v>
      </c>
      <c r="DV39" s="5"/>
      <c r="DW39" s="5"/>
      <c r="EF39" s="2"/>
      <c r="EG39" s="2"/>
      <c r="EI39" s="55">
        <v>1000</v>
      </c>
      <c r="FD39" s="5"/>
      <c r="FE39" s="5"/>
      <c r="FN39" s="2"/>
      <c r="FO39" s="2"/>
      <c r="FQ39" s="55">
        <v>1000</v>
      </c>
      <c r="GL39" s="5"/>
      <c r="GM39" s="5"/>
      <c r="GV39" s="2"/>
      <c r="GW39" s="2"/>
      <c r="GY39" s="55">
        <v>1000</v>
      </c>
      <c r="HT39" s="5"/>
      <c r="HU39" s="5"/>
      <c r="ID39" s="2"/>
      <c r="IE39" s="2"/>
      <c r="IG39" s="55">
        <v>1000</v>
      </c>
      <c r="JB39" s="5"/>
      <c r="JC39" s="5"/>
      <c r="JL39" s="2"/>
      <c r="JM39" s="2"/>
      <c r="JO39" s="55">
        <v>1000</v>
      </c>
      <c r="KJ39" s="5"/>
      <c r="KK39" s="5"/>
      <c r="KT39" s="2"/>
      <c r="KU39" s="2"/>
      <c r="KW39" s="55">
        <v>1000</v>
      </c>
      <c r="LR39" s="5"/>
      <c r="LS39" s="5"/>
      <c r="MB39" s="2"/>
      <c r="MC39" s="2"/>
      <c r="ME39" s="55">
        <v>1000</v>
      </c>
      <c r="MZ39" s="5"/>
      <c r="NA39" s="5"/>
      <c r="NJ39" s="2"/>
      <c r="NK39" s="2"/>
      <c r="NM39" s="55">
        <v>1000</v>
      </c>
      <c r="OH39" s="5"/>
      <c r="OI39" s="5"/>
      <c r="OR39" s="2"/>
      <c r="OS39" s="2"/>
      <c r="OU39" s="55">
        <v>1000</v>
      </c>
      <c r="PP39" s="5"/>
      <c r="PQ39" s="5"/>
      <c r="PZ39" s="2"/>
      <c r="QA39" s="2"/>
      <c r="QC39" s="55">
        <v>1000</v>
      </c>
      <c r="QX39" s="5"/>
      <c r="QY39" s="5"/>
      <c r="RH39" s="2"/>
      <c r="RI39" s="2"/>
      <c r="RK39" s="55">
        <v>1000</v>
      </c>
      <c r="SF39" s="5"/>
      <c r="SG39" s="5"/>
      <c r="SP39" s="2"/>
      <c r="SQ39" s="2"/>
      <c r="SS39" s="55">
        <v>1000</v>
      </c>
    </row>
    <row r="40" spans="1:540" hidden="1" x14ac:dyDescent="0.2">
      <c r="A40" s="5"/>
      <c r="B40" s="35" t="s">
        <v>62</v>
      </c>
      <c r="C40" s="5"/>
      <c r="E40" s="2"/>
      <c r="AP40" s="41"/>
      <c r="AQ40" s="41"/>
      <c r="AR40" s="41"/>
      <c r="AS40" s="32"/>
      <c r="AT40" s="32"/>
      <c r="AU40" s="32"/>
      <c r="AV40" s="32"/>
      <c r="AW40" s="56">
        <v>1000</v>
      </c>
      <c r="BQ40" s="41"/>
      <c r="BR40" s="41"/>
      <c r="BS40" s="41"/>
      <c r="BU40" s="32"/>
      <c r="BV40" s="32"/>
      <c r="BX40" s="56">
        <v>1000</v>
      </c>
      <c r="CR40" s="41"/>
      <c r="CS40" s="41"/>
      <c r="CT40" s="41"/>
      <c r="CU40" s="32"/>
      <c r="CV40" s="32"/>
      <c r="CW40" s="32"/>
      <c r="CX40" s="32"/>
      <c r="CY40" s="56">
        <v>1000</v>
      </c>
      <c r="DV40" s="5"/>
      <c r="DW40" s="5"/>
      <c r="EF40" s="2"/>
      <c r="EG40" s="2"/>
      <c r="EI40" s="56">
        <v>1000</v>
      </c>
      <c r="FD40" s="5"/>
      <c r="FE40" s="5"/>
      <c r="FN40" s="2"/>
      <c r="FO40" s="2"/>
      <c r="FQ40" s="56">
        <v>1000</v>
      </c>
      <c r="GL40" s="5"/>
      <c r="GM40" s="5"/>
      <c r="GV40" s="2"/>
      <c r="GW40" s="2"/>
      <c r="GY40" s="56">
        <v>1000</v>
      </c>
      <c r="HT40" s="5"/>
      <c r="HU40" s="5"/>
      <c r="ID40" s="2"/>
      <c r="IE40" s="2"/>
      <c r="IG40" s="56">
        <v>1000</v>
      </c>
      <c r="JB40" s="5"/>
      <c r="JC40" s="5"/>
      <c r="JL40" s="2"/>
      <c r="JM40" s="2"/>
      <c r="JO40" s="56">
        <v>1000</v>
      </c>
      <c r="KJ40" s="5"/>
      <c r="KK40" s="5"/>
      <c r="KT40" s="2"/>
      <c r="KU40" s="2"/>
      <c r="KW40" s="56">
        <v>1000</v>
      </c>
      <c r="LR40" s="5"/>
      <c r="LS40" s="5"/>
      <c r="MB40" s="2"/>
      <c r="MC40" s="2"/>
      <c r="ME40" s="56">
        <v>1000</v>
      </c>
      <c r="MZ40" s="5"/>
      <c r="NA40" s="5"/>
      <c r="NJ40" s="2"/>
      <c r="NK40" s="2"/>
      <c r="NM40" s="56">
        <v>1000</v>
      </c>
      <c r="OH40" s="5"/>
      <c r="OI40" s="5"/>
      <c r="OR40" s="2"/>
      <c r="OS40" s="2"/>
      <c r="OU40" s="56">
        <v>1000</v>
      </c>
      <c r="PP40" s="5"/>
      <c r="PQ40" s="5"/>
      <c r="PZ40" s="2"/>
      <c r="QA40" s="2"/>
      <c r="QC40" s="56">
        <v>1000</v>
      </c>
      <c r="QX40" s="5"/>
      <c r="QY40" s="5"/>
      <c r="RH40" s="2"/>
      <c r="RI40" s="2"/>
      <c r="RK40" s="56">
        <v>1000</v>
      </c>
      <c r="SF40" s="5"/>
      <c r="SG40" s="5"/>
      <c r="SP40" s="2"/>
      <c r="SQ40" s="2"/>
      <c r="SS40" s="56">
        <v>1000</v>
      </c>
    </row>
    <row r="41" spans="1:540" x14ac:dyDescent="0.2">
      <c r="A41" s="5"/>
      <c r="B41" s="34" t="s">
        <v>41</v>
      </c>
      <c r="C41" s="5"/>
      <c r="AP41" s="41"/>
      <c r="AQ41" s="41"/>
      <c r="AR41" s="41"/>
      <c r="AS41" s="32"/>
      <c r="AT41" s="32"/>
      <c r="AU41" s="32"/>
      <c r="AV41" s="32"/>
      <c r="AW41" s="57">
        <v>52.8</v>
      </c>
      <c r="BQ41" s="41"/>
      <c r="BR41" s="41"/>
      <c r="BS41" s="41"/>
      <c r="BU41" s="32"/>
      <c r="BV41" s="32"/>
      <c r="BX41" s="57">
        <v>52.8</v>
      </c>
      <c r="CR41" s="41"/>
      <c r="CS41" s="41"/>
      <c r="CT41" s="41"/>
      <c r="CU41" s="32"/>
      <c r="CV41" s="32"/>
      <c r="CW41" s="32"/>
      <c r="CX41" s="32"/>
      <c r="CY41" s="57">
        <v>52.8</v>
      </c>
      <c r="DV41" s="5"/>
      <c r="DW41" s="5"/>
      <c r="EF41" s="2"/>
      <c r="EG41" s="2"/>
      <c r="EI41" s="57">
        <v>52.8</v>
      </c>
      <c r="FD41" s="5"/>
      <c r="FE41" s="5"/>
      <c r="FN41" s="2"/>
      <c r="FO41" s="2"/>
      <c r="FQ41" s="57">
        <v>52.8</v>
      </c>
      <c r="GL41" s="5"/>
      <c r="GM41" s="5"/>
      <c r="GV41" s="2"/>
      <c r="GW41" s="2"/>
      <c r="GY41" s="57">
        <v>52.8</v>
      </c>
      <c r="HT41" s="5"/>
      <c r="HU41" s="5"/>
      <c r="ID41" s="2"/>
      <c r="IE41" s="2"/>
      <c r="IG41" s="57">
        <v>52.8</v>
      </c>
      <c r="JB41" s="5"/>
      <c r="JC41" s="5"/>
      <c r="JL41" s="2"/>
      <c r="JM41" s="2"/>
      <c r="JO41" s="57">
        <v>52.8</v>
      </c>
      <c r="KJ41" s="5"/>
      <c r="KK41" s="5"/>
      <c r="KT41" s="2"/>
      <c r="KU41" s="2"/>
      <c r="KW41" s="57">
        <v>52.8</v>
      </c>
      <c r="LR41" s="5"/>
      <c r="LS41" s="5"/>
      <c r="MB41" s="2"/>
      <c r="MC41" s="2"/>
      <c r="ME41" s="57">
        <v>52.8</v>
      </c>
      <c r="MZ41" s="5"/>
      <c r="NA41" s="5"/>
      <c r="NJ41" s="2"/>
      <c r="NK41" s="2"/>
      <c r="NM41" s="57">
        <v>52.8</v>
      </c>
      <c r="OH41" s="5"/>
      <c r="OI41" s="5"/>
      <c r="OR41" s="2"/>
      <c r="OS41" s="2"/>
      <c r="OU41" s="57">
        <v>52.8</v>
      </c>
      <c r="PP41" s="5"/>
      <c r="PQ41" s="5"/>
      <c r="PZ41" s="2"/>
      <c r="QA41" s="2"/>
      <c r="QC41" s="57">
        <v>52.8</v>
      </c>
      <c r="QX41" s="5"/>
      <c r="QY41" s="5"/>
      <c r="RH41" s="2"/>
      <c r="RI41" s="2"/>
      <c r="RK41" s="57">
        <v>52.8</v>
      </c>
      <c r="SF41" s="5"/>
      <c r="SG41" s="5"/>
      <c r="SP41" s="2"/>
      <c r="SQ41" s="2"/>
      <c r="SS41" s="57">
        <v>52.8</v>
      </c>
    </row>
    <row r="42" spans="1:540" hidden="1" x14ac:dyDescent="0.2">
      <c r="A42" s="5"/>
      <c r="B42" s="24" t="s">
        <v>42</v>
      </c>
      <c r="C42" s="5"/>
      <c r="AP42" s="41"/>
      <c r="AQ42" s="41"/>
      <c r="AR42" s="41"/>
      <c r="AS42" s="32"/>
      <c r="AT42" s="32"/>
      <c r="AU42" s="32"/>
      <c r="AV42" s="32"/>
      <c r="AW42" s="58">
        <v>1000</v>
      </c>
      <c r="BQ42" s="41"/>
      <c r="BR42" s="41"/>
      <c r="BS42" s="41"/>
      <c r="BU42" s="32"/>
      <c r="BV42" s="32"/>
      <c r="BX42" s="58">
        <v>1000</v>
      </c>
      <c r="CR42" s="41"/>
      <c r="CS42" s="41"/>
      <c r="CT42" s="41"/>
      <c r="CU42" s="32"/>
      <c r="CV42" s="32"/>
      <c r="CW42" s="32"/>
      <c r="CX42" s="32"/>
      <c r="CY42" s="58">
        <v>1000</v>
      </c>
      <c r="DV42" s="5"/>
      <c r="DW42" s="5"/>
      <c r="EF42" s="2"/>
      <c r="EG42" s="2"/>
      <c r="EI42" s="58">
        <v>1000</v>
      </c>
      <c r="FD42" s="5"/>
      <c r="FE42" s="5"/>
      <c r="FN42" s="2"/>
      <c r="FO42" s="2"/>
      <c r="FQ42" s="58">
        <v>1000</v>
      </c>
      <c r="GL42" s="5"/>
      <c r="GM42" s="5"/>
      <c r="GV42" s="2"/>
      <c r="GW42" s="2"/>
      <c r="GY42" s="58">
        <v>1000</v>
      </c>
      <c r="HT42" s="5"/>
      <c r="HU42" s="5"/>
      <c r="ID42" s="2"/>
      <c r="IE42" s="2"/>
      <c r="IG42" s="58">
        <v>1000</v>
      </c>
      <c r="JB42" s="5"/>
      <c r="JC42" s="5"/>
      <c r="JL42" s="2"/>
      <c r="JM42" s="2"/>
      <c r="JO42" s="58">
        <v>1000</v>
      </c>
      <c r="KJ42" s="5"/>
      <c r="KK42" s="5"/>
      <c r="KT42" s="2"/>
      <c r="KU42" s="2"/>
      <c r="KW42" s="58">
        <v>1000</v>
      </c>
      <c r="LR42" s="5"/>
      <c r="LS42" s="5"/>
      <c r="MB42" s="2"/>
      <c r="MC42" s="2"/>
      <c r="ME42" s="58">
        <v>1000</v>
      </c>
      <c r="MZ42" s="5"/>
      <c r="NA42" s="5"/>
      <c r="NJ42" s="2"/>
      <c r="NK42" s="2"/>
      <c r="NM42" s="58">
        <v>1000</v>
      </c>
      <c r="OH42" s="5"/>
      <c r="OI42" s="5"/>
      <c r="OR42" s="2"/>
      <c r="OS42" s="2"/>
      <c r="OU42" s="58">
        <v>1000</v>
      </c>
      <c r="PP42" s="5"/>
      <c r="PQ42" s="5"/>
      <c r="PZ42" s="2"/>
      <c r="QA42" s="2"/>
      <c r="QC42" s="58">
        <v>1000</v>
      </c>
      <c r="QX42" s="5"/>
      <c r="QY42" s="5"/>
      <c r="RH42" s="2"/>
      <c r="RI42" s="2"/>
      <c r="RK42" s="58">
        <v>1000</v>
      </c>
      <c r="SF42" s="5"/>
      <c r="SG42" s="5"/>
      <c r="SP42" s="2"/>
      <c r="SQ42" s="2"/>
      <c r="SS42" s="58">
        <v>1000</v>
      </c>
    </row>
    <row r="43" spans="1:540" hidden="1" x14ac:dyDescent="0.2">
      <c r="A43" s="5"/>
      <c r="B43" s="33" t="s">
        <v>54</v>
      </c>
      <c r="C43" s="5"/>
      <c r="AP43" s="41"/>
      <c r="AQ43" s="41"/>
      <c r="AR43" s="41"/>
      <c r="AS43" s="32"/>
      <c r="AT43" s="32"/>
      <c r="AU43" s="32"/>
      <c r="AV43" s="32"/>
      <c r="AW43" s="59">
        <v>1000</v>
      </c>
      <c r="BQ43" s="41"/>
      <c r="BR43" s="41"/>
      <c r="BS43" s="41"/>
      <c r="BU43" s="32"/>
      <c r="BV43" s="32"/>
      <c r="BX43" s="59">
        <v>1000</v>
      </c>
      <c r="CR43" s="41"/>
      <c r="CS43" s="41"/>
      <c r="CT43" s="41"/>
      <c r="CU43" s="32"/>
      <c r="CV43" s="32"/>
      <c r="CW43" s="32"/>
      <c r="CX43" s="32"/>
      <c r="CY43" s="59">
        <v>1000</v>
      </c>
      <c r="DV43" s="5"/>
      <c r="DW43" s="5"/>
      <c r="EF43" s="2"/>
      <c r="EG43" s="2"/>
      <c r="EH43" s="37"/>
      <c r="EI43" s="59">
        <v>1000</v>
      </c>
      <c r="FD43" s="5"/>
      <c r="FE43" s="5"/>
      <c r="FN43" s="2"/>
      <c r="FO43" s="2"/>
      <c r="FP43" s="37"/>
      <c r="FQ43" s="59">
        <v>1000</v>
      </c>
      <c r="GL43" s="5"/>
      <c r="GM43" s="5"/>
      <c r="GV43" s="2"/>
      <c r="GW43" s="2"/>
      <c r="GX43" s="37"/>
      <c r="GY43" s="59">
        <v>1000</v>
      </c>
      <c r="HT43" s="5"/>
      <c r="HU43" s="5"/>
      <c r="ID43" s="2"/>
      <c r="IE43" s="2"/>
      <c r="IF43" s="37"/>
      <c r="IG43" s="59">
        <v>1000</v>
      </c>
      <c r="JB43" s="5"/>
      <c r="JC43" s="5"/>
      <c r="JL43" s="2"/>
      <c r="JM43" s="2"/>
      <c r="JN43" s="37"/>
      <c r="JO43" s="59">
        <v>1000</v>
      </c>
      <c r="KJ43" s="5"/>
      <c r="KK43" s="5"/>
      <c r="KT43" s="2"/>
      <c r="KU43" s="2"/>
      <c r="KV43" s="37"/>
      <c r="KW43" s="59">
        <v>1000</v>
      </c>
      <c r="LR43" s="5"/>
      <c r="LS43" s="5"/>
      <c r="MB43" s="2"/>
      <c r="MC43" s="2"/>
      <c r="MD43" s="37"/>
      <c r="ME43" s="59">
        <v>1000</v>
      </c>
      <c r="MZ43" s="5"/>
      <c r="NA43" s="5"/>
      <c r="NJ43" s="2"/>
      <c r="NK43" s="2"/>
      <c r="NL43" s="37"/>
      <c r="NM43" s="59">
        <v>1000</v>
      </c>
      <c r="OH43" s="5"/>
      <c r="OI43" s="5"/>
      <c r="OR43" s="2"/>
      <c r="OS43" s="2"/>
      <c r="OT43" s="37"/>
      <c r="OU43" s="59">
        <v>1000</v>
      </c>
      <c r="PP43" s="5"/>
      <c r="PQ43" s="5"/>
      <c r="PZ43" s="2"/>
      <c r="QA43" s="2"/>
      <c r="QB43" s="37"/>
      <c r="QC43" s="59">
        <v>1000</v>
      </c>
      <c r="QX43" s="5"/>
      <c r="QY43" s="5"/>
      <c r="RH43" s="2"/>
      <c r="RI43" s="2"/>
      <c r="RJ43" s="37"/>
      <c r="RK43" s="59">
        <v>1000</v>
      </c>
      <c r="SF43" s="5"/>
      <c r="SG43" s="5"/>
      <c r="SP43" s="2"/>
      <c r="SQ43" s="2"/>
      <c r="SR43" s="37"/>
      <c r="SS43" s="59">
        <v>1000</v>
      </c>
    </row>
    <row r="44" spans="1:540" hidden="1" x14ac:dyDescent="0.2">
      <c r="A44" s="5"/>
      <c r="B44" s="25" t="s">
        <v>27</v>
      </c>
      <c r="C44" s="5"/>
      <c r="AP44" s="41"/>
      <c r="AQ44" s="41"/>
      <c r="AR44" s="41"/>
      <c r="AS44" s="32"/>
      <c r="AT44" s="41"/>
      <c r="AU44" s="41"/>
      <c r="AV44" s="32"/>
      <c r="AW44" s="60">
        <v>1000</v>
      </c>
      <c r="BQ44" s="41"/>
      <c r="BR44" s="41"/>
      <c r="BS44" s="41"/>
      <c r="BU44" s="41"/>
      <c r="BV44" s="32"/>
      <c r="BX44" s="60">
        <v>1000</v>
      </c>
      <c r="CR44" s="41"/>
      <c r="CS44" s="41"/>
      <c r="CT44" s="41"/>
      <c r="CU44" s="32"/>
      <c r="CV44" s="41"/>
      <c r="CW44" s="32"/>
      <c r="CX44" s="32"/>
      <c r="CY44" s="60">
        <v>1000</v>
      </c>
      <c r="DV44" s="5"/>
      <c r="DW44" s="5"/>
      <c r="EF44" s="41"/>
      <c r="EG44" s="2"/>
      <c r="EI44" s="60">
        <v>1000</v>
      </c>
      <c r="FD44" s="5"/>
      <c r="FE44" s="5"/>
      <c r="FN44" s="41"/>
      <c r="FO44" s="2"/>
      <c r="FQ44" s="60">
        <v>1000</v>
      </c>
      <c r="GL44" s="5"/>
      <c r="GM44" s="5"/>
      <c r="GV44" s="2"/>
      <c r="GW44" s="2"/>
      <c r="GY44" s="60">
        <v>1000</v>
      </c>
      <c r="HT44" s="5"/>
      <c r="HU44" s="5"/>
      <c r="ID44" s="41"/>
      <c r="IE44" s="2"/>
      <c r="IG44" s="60">
        <v>1000</v>
      </c>
      <c r="JB44" s="5"/>
      <c r="JC44" s="5"/>
      <c r="JL44" s="2"/>
      <c r="JM44" s="2"/>
      <c r="JO44" s="60">
        <v>1000</v>
      </c>
      <c r="KJ44" s="5"/>
      <c r="KK44" s="5"/>
      <c r="KT44" s="2"/>
      <c r="KU44" s="2"/>
      <c r="KW44" s="60">
        <v>1000</v>
      </c>
      <c r="LR44" s="5"/>
      <c r="LS44" s="5"/>
      <c r="MB44" s="2"/>
      <c r="MC44" s="2"/>
      <c r="ME44" s="60">
        <v>1000</v>
      </c>
      <c r="MZ44" s="5"/>
      <c r="NA44" s="5"/>
      <c r="NJ44" s="2"/>
      <c r="NK44" s="2"/>
      <c r="NM44" s="60">
        <v>1000</v>
      </c>
      <c r="OH44" s="5"/>
      <c r="OI44" s="5"/>
      <c r="OR44" s="2"/>
      <c r="OS44" s="2"/>
      <c r="OU44" s="60">
        <v>1000</v>
      </c>
      <c r="PP44" s="5"/>
      <c r="PQ44" s="5"/>
      <c r="PZ44" s="2"/>
      <c r="QA44" s="2"/>
      <c r="QC44" s="60">
        <v>1000</v>
      </c>
      <c r="QX44" s="5"/>
      <c r="QY44" s="5"/>
      <c r="RH44" s="2"/>
      <c r="RI44" s="2"/>
      <c r="RK44" s="60">
        <v>1000</v>
      </c>
      <c r="SF44" s="5"/>
      <c r="SG44" s="5"/>
      <c r="SP44" s="2"/>
      <c r="SQ44" s="2"/>
      <c r="SS44" s="60">
        <v>1000</v>
      </c>
    </row>
    <row r="45" spans="1:540" x14ac:dyDescent="0.2">
      <c r="B45" s="29" t="s">
        <v>47</v>
      </c>
      <c r="C45" s="2"/>
      <c r="AS45" s="32"/>
      <c r="AV45" s="32"/>
      <c r="CU45" s="32"/>
      <c r="CX45" s="32"/>
    </row>
    <row r="46" spans="1:540" x14ac:dyDescent="0.2">
      <c r="A46" s="5"/>
      <c r="B46" s="5"/>
      <c r="C46" s="20"/>
      <c r="AO46" s="32"/>
      <c r="AP46" s="32"/>
      <c r="AQ46" s="32"/>
      <c r="AR46" s="32"/>
      <c r="AS46" s="32"/>
      <c r="AV46" s="32"/>
      <c r="CQ46" s="32"/>
      <c r="CR46" s="32"/>
      <c r="CS46" s="32"/>
      <c r="CT46" s="32"/>
      <c r="CU46" s="32"/>
      <c r="CX46" s="32"/>
    </row>
    <row r="47" spans="1:540" ht="17" x14ac:dyDescent="0.2">
      <c r="A47" s="5"/>
      <c r="B47" s="5"/>
      <c r="C47" s="20"/>
      <c r="T47" s="10"/>
      <c r="U47" s="10"/>
      <c r="AO47" s="32"/>
      <c r="AP47" s="32"/>
      <c r="AQ47" s="32"/>
      <c r="AR47" s="32"/>
      <c r="AS47" s="32"/>
      <c r="AV47" s="32"/>
      <c r="CQ47" s="32"/>
      <c r="CR47" s="32"/>
      <c r="CS47" s="32"/>
      <c r="CT47" s="32"/>
      <c r="CU47" s="32"/>
      <c r="CX47" s="32"/>
    </row>
    <row r="48" spans="1:540" ht="17" x14ac:dyDescent="0.2">
      <c r="A48" s="5"/>
      <c r="B48" s="5"/>
      <c r="C48" s="20"/>
      <c r="T48" s="10"/>
      <c r="AO48" s="32"/>
      <c r="AP48" s="32"/>
      <c r="AQ48" s="32"/>
      <c r="AR48" s="32"/>
      <c r="AS48" s="32"/>
      <c r="AV48" s="32"/>
      <c r="CQ48" s="32"/>
      <c r="CR48" s="32"/>
      <c r="CS48" s="32"/>
      <c r="CT48" s="32"/>
      <c r="CU48" s="32"/>
      <c r="CX48" s="32"/>
    </row>
    <row r="49" spans="20:102" ht="17" x14ac:dyDescent="0.2">
      <c r="T49" s="10"/>
      <c r="U49" s="10"/>
      <c r="AO49" s="32"/>
      <c r="AP49" s="32"/>
      <c r="AQ49" s="32"/>
      <c r="AR49" s="32"/>
      <c r="AS49" s="32"/>
      <c r="AV49" s="32"/>
      <c r="CQ49" s="32"/>
      <c r="CR49" s="32"/>
      <c r="CS49" s="32"/>
      <c r="CT49" s="32"/>
      <c r="CU49" s="32"/>
      <c r="CX49" s="32"/>
    </row>
    <row r="50" spans="20:102" ht="17" x14ac:dyDescent="0.2">
      <c r="T50" s="10"/>
      <c r="U50" s="10"/>
      <c r="AO50" s="32"/>
      <c r="AP50" s="32"/>
      <c r="AQ50" s="32"/>
      <c r="AR50" s="32"/>
      <c r="AS50" s="32"/>
      <c r="AV50" s="32"/>
      <c r="CQ50" s="32"/>
      <c r="CR50" s="32"/>
      <c r="CS50" s="32"/>
      <c r="CT50" s="32"/>
      <c r="CU50" s="32"/>
      <c r="CX50" s="32"/>
    </row>
    <row r="51" spans="20:102" ht="17" x14ac:dyDescent="0.2">
      <c r="T51" s="10"/>
      <c r="U51" s="10"/>
      <c r="AO51" s="32"/>
      <c r="AP51" s="32"/>
      <c r="AQ51" s="32"/>
      <c r="AR51" s="32"/>
      <c r="AS51" s="32"/>
      <c r="AV51" s="32"/>
      <c r="CQ51" s="32"/>
      <c r="CR51" s="32"/>
      <c r="CS51" s="32"/>
      <c r="CT51" s="32"/>
      <c r="CU51" s="32"/>
      <c r="CX51" s="32"/>
    </row>
    <row r="52" spans="20:102" ht="17" x14ac:dyDescent="0.2">
      <c r="T52" s="10"/>
      <c r="U52" s="10"/>
      <c r="V52" s="10"/>
    </row>
    <row r="53" spans="20:102" ht="17" x14ac:dyDescent="0.2">
      <c r="T53" s="10"/>
      <c r="U53" s="10"/>
      <c r="V53" s="10"/>
    </row>
    <row r="54" spans="20:102" ht="17" x14ac:dyDescent="0.2">
      <c r="T54" s="10"/>
      <c r="U54" s="10"/>
      <c r="V54" s="10"/>
    </row>
    <row r="55" spans="20:102" ht="17" x14ac:dyDescent="0.2">
      <c r="T55" s="10"/>
      <c r="U55" s="10"/>
      <c r="V55" s="10"/>
    </row>
    <row r="56" spans="20:102" ht="17" x14ac:dyDescent="0.2">
      <c r="T56" s="10"/>
      <c r="U56" s="10"/>
      <c r="V56" s="10"/>
    </row>
    <row r="57" spans="20:102" ht="17" x14ac:dyDescent="0.2">
      <c r="T57" s="10"/>
      <c r="U57" s="10"/>
      <c r="V57" s="10"/>
    </row>
    <row r="58" spans="20:102" ht="17" x14ac:dyDescent="0.2">
      <c r="T58" s="10"/>
      <c r="U58" s="10"/>
      <c r="V58" s="10"/>
    </row>
    <row r="59" spans="20:102" ht="17" x14ac:dyDescent="0.2">
      <c r="T59" s="10"/>
      <c r="U59" s="10"/>
      <c r="V59" s="10"/>
    </row>
    <row r="60" spans="20:102" ht="17" x14ac:dyDescent="0.2">
      <c r="T60" s="10"/>
      <c r="U60" s="10"/>
      <c r="V60" s="10"/>
    </row>
    <row r="61" spans="20:102" ht="17" x14ac:dyDescent="0.2">
      <c r="T61" s="10"/>
      <c r="U61" s="10"/>
      <c r="V61" s="10"/>
    </row>
    <row r="62" spans="20:102" ht="17" x14ac:dyDescent="0.2">
      <c r="T62" s="10"/>
      <c r="U62" s="10"/>
      <c r="V62" s="10"/>
    </row>
    <row r="63" spans="20:102" ht="17" x14ac:dyDescent="0.2">
      <c r="T63" s="10"/>
      <c r="U63" s="10"/>
      <c r="V63" s="10"/>
    </row>
    <row r="64" spans="20:102" ht="17" x14ac:dyDescent="0.2">
      <c r="T64" s="10"/>
      <c r="U64" s="10"/>
      <c r="V64" s="10"/>
    </row>
    <row r="65" spans="20:22" ht="17" x14ac:dyDescent="0.2">
      <c r="T65" s="10"/>
      <c r="U65" s="10"/>
      <c r="V65" s="10"/>
    </row>
    <row r="66" spans="20:22" ht="17" x14ac:dyDescent="0.2">
      <c r="T66" s="10"/>
      <c r="U66" s="10"/>
      <c r="V66" s="10"/>
    </row>
  </sheetData>
  <sheetProtection sheet="1" formatCells="0" formatColumns="0" formatRows="0"/>
  <autoFilter ref="A1:TT29" xr:uid="{00000000-0001-0000-0100-000000000000}"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5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filterColumn colId="474" showButton="0"/>
    <filterColumn colId="475" showButton="0"/>
    <filterColumn colId="476" showButton="0"/>
    <filterColumn colId="477" showButton="0"/>
    <filterColumn colId="479" showButton="0"/>
    <filterColumn colId="480" showButton="0"/>
    <filterColumn colId="481" showButton="0"/>
    <filterColumn colId="482" showButton="0"/>
    <filterColumn colId="483" showButton="0"/>
    <filterColumn colId="484" showButton="0"/>
    <filterColumn colId="485" showButton="0"/>
    <filterColumn colId="486" showButton="0"/>
    <filterColumn colId="487" showButton="0"/>
    <filterColumn colId="488" showButton="0"/>
    <filterColumn colId="489" showButton="0"/>
    <filterColumn colId="490" showButton="0"/>
    <filterColumn colId="491" showButton="0"/>
    <filterColumn colId="492" showButton="0"/>
    <filterColumn colId="493" showButton="0"/>
    <filterColumn colId="494" showButton="0"/>
    <filterColumn colId="495" showButton="0"/>
    <filterColumn colId="496" showButton="0"/>
    <filterColumn colId="497" showButton="0"/>
    <filterColumn colId="498" showButton="0"/>
    <filterColumn colId="499" showButton="0"/>
    <filterColumn colId="500" showButton="0"/>
    <filterColumn colId="501" showButton="0"/>
    <filterColumn colId="502" showButton="0"/>
    <filterColumn colId="503" showButton="0"/>
    <filterColumn colId="504" showButton="0"/>
    <filterColumn colId="505" showButton="0"/>
    <filterColumn colId="506" showButton="0"/>
    <filterColumn colId="507" showButton="0"/>
    <filterColumn colId="508" showButton="0"/>
    <filterColumn colId="509" showButton="0"/>
    <filterColumn colId="510" showButton="0"/>
    <filterColumn colId="511" showButton="0"/>
    <filterColumn colId="513" showButton="0"/>
    <filterColumn colId="514" showButton="0"/>
    <filterColumn colId="515" showButton="0"/>
    <filterColumn colId="516" showButton="0"/>
    <filterColumn colId="517" showButton="0"/>
    <filterColumn colId="518" showButton="0"/>
    <filterColumn colId="519" showButton="0"/>
    <filterColumn colId="520" showButton="0"/>
    <filterColumn colId="521" showButton="0"/>
    <filterColumn colId="522" showButton="0"/>
    <filterColumn colId="523" showButton="0"/>
    <filterColumn colId="524" showButton="0"/>
    <filterColumn colId="525" showButton="0"/>
    <filterColumn colId="526" showButton="0"/>
    <filterColumn colId="527" showButton="0"/>
    <filterColumn colId="528" showButton="0"/>
    <filterColumn colId="529" showButton="0"/>
    <filterColumn colId="530" showButton="0"/>
    <filterColumn colId="531" showButton="0"/>
    <filterColumn colId="532" showButton="0"/>
    <filterColumn colId="533" showButton="0"/>
    <filterColumn colId="534" showButton="0"/>
    <filterColumn colId="535" showButton="0"/>
    <filterColumn colId="536" showButton="0"/>
    <filterColumn colId="537" showButton="0"/>
    <filterColumn colId="538" showButton="0"/>
    <sortState xmlns:xlrd2="http://schemas.microsoft.com/office/spreadsheetml/2017/richdata2" ref="A6:TT34">
      <sortCondition descending="1" ref="F1:F35"/>
    </sortState>
  </autoFilter>
  <sortState xmlns:xlrd2="http://schemas.microsoft.com/office/spreadsheetml/2017/richdata2" ref="A1:O3">
    <sortCondition ref="A1"/>
  </sortState>
  <mergeCells count="99">
    <mergeCell ref="A1:A3"/>
    <mergeCell ref="B1:B3"/>
    <mergeCell ref="C1:C3"/>
    <mergeCell ref="E1:E3"/>
    <mergeCell ref="F1:F3"/>
    <mergeCell ref="D1:D3"/>
    <mergeCell ref="G1:G3"/>
    <mergeCell ref="H1:H3"/>
    <mergeCell ref="J1:J3"/>
    <mergeCell ref="L1:L3"/>
    <mergeCell ref="K1:K3"/>
    <mergeCell ref="M1:M3"/>
    <mergeCell ref="I1:I3"/>
    <mergeCell ref="N1:N3"/>
    <mergeCell ref="O1:O3"/>
    <mergeCell ref="BC2:BG2"/>
    <mergeCell ref="Q1:Q3"/>
    <mergeCell ref="W1:AW1"/>
    <mergeCell ref="AG2:AK2"/>
    <mergeCell ref="P1:P3"/>
    <mergeCell ref="T1:T3"/>
    <mergeCell ref="V1:V3"/>
    <mergeCell ref="U1:U3"/>
    <mergeCell ref="W2:AA2"/>
    <mergeCell ref="AB2:AF2"/>
    <mergeCell ref="R1:R3"/>
    <mergeCell ref="S1:S3"/>
    <mergeCell ref="AX1:BX1"/>
    <mergeCell ref="AX2:BB2"/>
    <mergeCell ref="EJ1:FQ1"/>
    <mergeCell ref="EJ2:EN2"/>
    <mergeCell ref="EO2:ES2"/>
    <mergeCell ref="ET2:EX2"/>
    <mergeCell ref="EY2:FC2"/>
    <mergeCell ref="DG2:DK2"/>
    <mergeCell ref="DB1:EI1"/>
    <mergeCell ref="BH2:BL2"/>
    <mergeCell ref="DB2:DF2"/>
    <mergeCell ref="CZ1:DA1"/>
    <mergeCell ref="DL2:DP2"/>
    <mergeCell ref="DQ2:DU2"/>
    <mergeCell ref="BY1:CY1"/>
    <mergeCell ref="BY2:CC2"/>
    <mergeCell ref="GG2:GK2"/>
    <mergeCell ref="HE2:HI2"/>
    <mergeCell ref="HJ2:HN2"/>
    <mergeCell ref="HO2:HS2"/>
    <mergeCell ref="FR1:GY1"/>
    <mergeCell ref="GZ2:HD2"/>
    <mergeCell ref="CD2:CH2"/>
    <mergeCell ref="CI2:CM2"/>
    <mergeCell ref="IH1:JO1"/>
    <mergeCell ref="JP1:KW1"/>
    <mergeCell ref="IW2:JA2"/>
    <mergeCell ref="JP2:JT2"/>
    <mergeCell ref="JU2:JY2"/>
    <mergeCell ref="IR2:IV2"/>
    <mergeCell ref="IM2:IQ2"/>
    <mergeCell ref="IH2:IL2"/>
    <mergeCell ref="JZ2:KD2"/>
    <mergeCell ref="KE2:KI2"/>
    <mergeCell ref="GZ1:IG1"/>
    <mergeCell ref="FR2:FV2"/>
    <mergeCell ref="FW2:GA2"/>
    <mergeCell ref="GB2:GF2"/>
    <mergeCell ref="KX1:ME1"/>
    <mergeCell ref="MF1:NM1"/>
    <mergeCell ref="NN1:OU1"/>
    <mergeCell ref="OV1:QC1"/>
    <mergeCell ref="QD1:RK1"/>
    <mergeCell ref="NX2:OB2"/>
    <mergeCell ref="OC2:OG2"/>
    <mergeCell ref="OV2:OZ2"/>
    <mergeCell ref="PA2:PE2"/>
    <mergeCell ref="PF2:PJ2"/>
    <mergeCell ref="MK2:MO2"/>
    <mergeCell ref="MP2:MT2"/>
    <mergeCell ref="MU2:MY2"/>
    <mergeCell ref="NN2:NR2"/>
    <mergeCell ref="NS2:NW2"/>
    <mergeCell ref="KX2:LB2"/>
    <mergeCell ref="LC2:LG2"/>
    <mergeCell ref="LH2:LL2"/>
    <mergeCell ref="LM2:LQ2"/>
    <mergeCell ref="MF2:MJ2"/>
    <mergeCell ref="PK2:PO2"/>
    <mergeCell ref="QD2:QH2"/>
    <mergeCell ref="QI2:QM2"/>
    <mergeCell ref="QN2:QR2"/>
    <mergeCell ref="QS2:QW2"/>
    <mergeCell ref="RL2:RP2"/>
    <mergeCell ref="RQ2:RU2"/>
    <mergeCell ref="RV2:RZ2"/>
    <mergeCell ref="SA2:SE2"/>
    <mergeCell ref="ST1:TT1"/>
    <mergeCell ref="RL1:SS1"/>
    <mergeCell ref="SY2:TC2"/>
    <mergeCell ref="ST2:SX2"/>
    <mergeCell ref="TD2:TH2"/>
  </mergeCells>
  <conditionalFormatting sqref="H1:H1048576">
    <cfRule type="containsText" dxfId="423" priority="228" operator="containsText" text="No DD">
      <formula>NOT(ISERROR(SEARCH("No DD",H1)))</formula>
    </cfRule>
    <cfRule type="containsText" dxfId="422" priority="229" operator="containsText" text="Merit">
      <formula>NOT(ISERROR(SEARCH("Merit",H1)))</formula>
    </cfRule>
    <cfRule type="containsText" dxfId="421" priority="230" operator="containsText" text="Excellence">
      <formula>NOT(ISERROR(SEARCH("Excellence",H1)))</formula>
    </cfRule>
    <cfRule type="containsText" dxfId="420" priority="231" operator="containsText" text="Worlds Team">
      <formula>NOT(ISERROR(SEARCH("Worlds Team",H1)))</formula>
    </cfRule>
    <cfRule type="containsText" dxfId="419" priority="232" operator="containsText" text="National Team">
      <formula>NOT(ISERROR(SEARCH("National Team",H1)))</formula>
    </cfRule>
  </conditionalFormatting>
  <conditionalFormatting sqref="A1:A1048576">
    <cfRule type="expression" dxfId="418" priority="37562">
      <formula>AND(G1&lt;&gt;"",F1="")</formula>
    </cfRule>
  </conditionalFormatting>
  <conditionalFormatting sqref="W4:AW34">
    <cfRule type="expression" dxfId="417" priority="51274" stopIfTrue="1">
      <formula>IF($AL4&lt;&gt;"",1,0)</formula>
    </cfRule>
  </conditionalFormatting>
  <conditionalFormatting sqref="AX4:BX34">
    <cfRule type="expression" dxfId="416" priority="209" stopIfTrue="1">
      <formula>IF($BM4&lt;&gt;"",1,0)</formula>
    </cfRule>
  </conditionalFormatting>
  <conditionalFormatting sqref="BY4:CY34">
    <cfRule type="expression" dxfId="415" priority="205" stopIfTrue="1">
      <formula>IF($CN4&lt;&gt;"",1,0)</formula>
    </cfRule>
  </conditionalFormatting>
  <conditionalFormatting sqref="BU45:BU1048576 BN1:BN1048576 BQ1:BQ1048576 BU1:BU43">
    <cfRule type="cellIs" dxfId="414" priority="52631" operator="between">
      <formula>$BX$40</formula>
      <formula>1000</formula>
    </cfRule>
    <cfRule type="cellIs" dxfId="413" priority="52632" operator="between">
      <formula>$BX$39</formula>
      <formula>$BX$40</formula>
    </cfRule>
    <cfRule type="cellIs" dxfId="412" priority="52633" operator="between">
      <formula>$BX$38</formula>
      <formula>$BX$39</formula>
    </cfRule>
    <cfRule type="cellIs" dxfId="411" priority="52634" operator="between">
      <formula>$BX$37</formula>
      <formula>$BX$38</formula>
    </cfRule>
  </conditionalFormatting>
  <conditionalFormatting sqref="CV45:CV1048576 CO1:CO1048576 CR1:CR1048576 CV1:CV43">
    <cfRule type="cellIs" dxfId="410" priority="51508" operator="between">
      <formula>$CY$40</formula>
      <formula>1000</formula>
    </cfRule>
    <cfRule type="cellIs" dxfId="409" priority="51509" operator="between">
      <formula>$CY$39</formula>
      <formula>$CY$40</formula>
    </cfRule>
    <cfRule type="cellIs" dxfId="408" priority="51510" operator="between">
      <formula>$CY$38</formula>
      <formula>$CY$39</formula>
    </cfRule>
    <cfRule type="cellIs" dxfId="407" priority="51511" operator="between">
      <formula>$CY$37</formula>
      <formula>$CY$38</formula>
    </cfRule>
  </conditionalFormatting>
  <conditionalFormatting sqref="EF45:EF1048576 DV1:DV1048576 DY1:DY1048576 EC1:EC1048576 EF1:EF43">
    <cfRule type="cellIs" dxfId="406" priority="52659" operator="between">
      <formula>$EI$40</formula>
      <formula>1000</formula>
    </cfRule>
    <cfRule type="cellIs" dxfId="405" priority="52660" operator="between">
      <formula>$EI$39</formula>
      <formula>$EI$40</formula>
    </cfRule>
    <cfRule type="cellIs" dxfId="404" priority="52661" operator="between">
      <formula>$EI$38</formula>
      <formula>$EI$39</formula>
    </cfRule>
    <cfRule type="cellIs" dxfId="403" priority="52662" operator="between">
      <formula>$EI$37</formula>
      <formula>$EI$38</formula>
    </cfRule>
  </conditionalFormatting>
  <conditionalFormatting sqref="FN45:FN1048576 FD1:FD1048576 FG1:FG1048576 FK1:FK1048576 FN1:FN43">
    <cfRule type="cellIs" dxfId="402" priority="189" operator="between">
      <formula>$FQ$40</formula>
      <formula>1000</formula>
    </cfRule>
    <cfRule type="cellIs" dxfId="401" priority="190" operator="between">
      <formula>$FQ$39</formula>
      <formula>$FQ$40</formula>
    </cfRule>
    <cfRule type="cellIs" dxfId="400" priority="191" operator="between">
      <formula>$FQ$38</formula>
      <formula>$FQ$39</formula>
    </cfRule>
    <cfRule type="cellIs" dxfId="399" priority="192" operator="between">
      <formula>$FQ$37</formula>
      <formula>$FQ$38</formula>
    </cfRule>
  </conditionalFormatting>
  <conditionalFormatting sqref="ID45:ID1048576 HT1:HT1048576 HW1:HW1048576 IA1:IA1048576 ID1:ID43">
    <cfRule type="cellIs" dxfId="398" priority="157" operator="between">
      <formula>$IG$40</formula>
      <formula>1000</formula>
    </cfRule>
    <cfRule type="cellIs" dxfId="397" priority="158" operator="between">
      <formula>$IG$39</formula>
      <formula>$IG$40</formula>
    </cfRule>
    <cfRule type="cellIs" dxfId="396" priority="159" operator="between">
      <formula>$IG$38</formula>
      <formula>$IG$39</formula>
    </cfRule>
    <cfRule type="cellIs" dxfId="395" priority="160" operator="between">
      <formula>$IG$37</formula>
      <formula>$IG$38</formula>
    </cfRule>
  </conditionalFormatting>
  <conditionalFormatting sqref="AU44 AM1:AM1048576 AP1:AP1048576 AT1:AT1048576">
    <cfRule type="cellIs" dxfId="394" priority="21" operator="between">
      <formula>$AW$40</formula>
      <formula>1000</formula>
    </cfRule>
    <cfRule type="cellIs" dxfId="393" priority="22" operator="between">
      <formula>$AW$39</formula>
      <formula>$AW$40</formula>
    </cfRule>
    <cfRule type="cellIs" dxfId="392" priority="23" operator="between">
      <formula>$AW$38</formula>
      <formula>$AW$39</formula>
    </cfRule>
    <cfRule type="cellIs" dxfId="391" priority="24" operator="between">
      <formula>$AW$37</formula>
      <formula>$AW$38</formula>
    </cfRule>
  </conditionalFormatting>
  <conditionalFormatting sqref="BU44">
    <cfRule type="cellIs" dxfId="390" priority="17" operator="between">
      <formula>$AW$40</formula>
      <formula>1000</formula>
    </cfRule>
    <cfRule type="cellIs" dxfId="389" priority="18" operator="between">
      <formula>$AW$39</formula>
      <formula>$AW$40</formula>
    </cfRule>
    <cfRule type="cellIs" dxfId="388" priority="19" operator="between">
      <formula>$AW$38</formula>
      <formula>$AW$39</formula>
    </cfRule>
    <cfRule type="cellIs" dxfId="387" priority="20" operator="between">
      <formula>$AW$37</formula>
      <formula>$AW$38</formula>
    </cfRule>
  </conditionalFormatting>
  <conditionalFormatting sqref="CV44">
    <cfRule type="cellIs" dxfId="386" priority="13" operator="between">
      <formula>$AW$40</formula>
      <formula>1000</formula>
    </cfRule>
    <cfRule type="cellIs" dxfId="385" priority="14" operator="between">
      <formula>$AW$39</formula>
      <formula>$AW$40</formula>
    </cfRule>
    <cfRule type="cellIs" dxfId="384" priority="15" operator="between">
      <formula>$AW$38</formula>
      <formula>$AW$39</formula>
    </cfRule>
    <cfRule type="cellIs" dxfId="383" priority="16" operator="between">
      <formula>$AW$37</formula>
      <formula>$AW$38</formula>
    </cfRule>
  </conditionalFormatting>
  <conditionalFormatting sqref="EF44">
    <cfRule type="cellIs" dxfId="382" priority="9" operator="between">
      <formula>$AW$40</formula>
      <formula>1000</formula>
    </cfRule>
    <cfRule type="cellIs" dxfId="381" priority="10" operator="between">
      <formula>$AW$39</formula>
      <formula>$AW$40</formula>
    </cfRule>
    <cfRule type="cellIs" dxfId="380" priority="11" operator="between">
      <formula>$AW$38</formula>
      <formula>$AW$39</formula>
    </cfRule>
    <cfRule type="cellIs" dxfId="379" priority="12" operator="between">
      <formula>$AW$37</formula>
      <formula>$AW$38</formula>
    </cfRule>
  </conditionalFormatting>
  <conditionalFormatting sqref="FN44">
    <cfRule type="cellIs" dxfId="378" priority="5" operator="between">
      <formula>$AW$40</formula>
      <formula>1000</formula>
    </cfRule>
    <cfRule type="cellIs" dxfId="377" priority="6" operator="between">
      <formula>$AW$39</formula>
      <formula>$AW$40</formula>
    </cfRule>
    <cfRule type="cellIs" dxfId="376" priority="7" operator="between">
      <formula>$AW$38</formula>
      <formula>$AW$39</formula>
    </cfRule>
    <cfRule type="cellIs" dxfId="375" priority="8" operator="between">
      <formula>$AW$37</formula>
      <formula>$AW$38</formula>
    </cfRule>
  </conditionalFormatting>
  <conditionalFormatting sqref="ID44">
    <cfRule type="cellIs" dxfId="374" priority="1" operator="between">
      <formula>$AW$40</formula>
      <formula>1000</formula>
    </cfRule>
    <cfRule type="cellIs" dxfId="373" priority="2" operator="between">
      <formula>$AW$39</formula>
      <formula>$AW$40</formula>
    </cfRule>
    <cfRule type="cellIs" dxfId="372" priority="3" operator="between">
      <formula>$AW$38</formula>
      <formula>$AW$39</formula>
    </cfRule>
    <cfRule type="cellIs" dxfId="371" priority="4" operator="between">
      <formula>$AW$37</formula>
      <formula>$AW$38</formula>
    </cfRule>
  </conditionalFormatting>
  <conditionalFormatting sqref="K1:K1048576 M1:M1048576 Q1:Q1048576 S1:S1048576 O1:O1048576">
    <cfRule type="expression" dxfId="370" priority="52650" stopIfTrue="1">
      <formula>IF(K1=$BY$1,1,0)</formula>
    </cfRule>
    <cfRule type="expression" dxfId="369" priority="52651">
      <formula>IF(K1=$AX$1,1,0)</formula>
    </cfRule>
    <cfRule type="expression" dxfId="368" priority="52652">
      <formula>IF(K1=$W$1,1,0)</formula>
    </cfRule>
  </conditionalFormatting>
  <conditionalFormatting sqref="CT1:CT1048576 AR1:AR1048576">
    <cfRule type="cellIs" dxfId="367" priority="104356" operator="between">
      <formula>AW$44</formula>
      <formula>1000</formula>
    </cfRule>
    <cfRule type="cellIs" dxfId="366" priority="104357" operator="between">
      <formula>AW$43</formula>
      <formula>AW$44</formula>
    </cfRule>
  </conditionalFormatting>
  <conditionalFormatting sqref="EA1:EA1048576 FI1:FI1048576 GQ1:GQ1048576 HY1:HY1048576 JG1:JG1048576 KO1:KO1048576 LW1:LW1048576 NE1:NE1048576 OM1:OM1048576 PU1:PU1048576 RC1:RC1048576 SK1:SK1048576">
    <cfRule type="cellIs" dxfId="365" priority="104368" operator="between">
      <formula>EI$44</formula>
      <formula>1000</formula>
    </cfRule>
    <cfRule type="cellIs" dxfId="364" priority="104369" operator="between">
      <formula>EI$43</formula>
      <formula>EI$44</formula>
    </cfRule>
  </conditionalFormatting>
  <conditionalFormatting sqref="AO1:AO1048576 AR1:AR1048576 AV1:AV1048576">
    <cfRule type="cellIs" dxfId="363" priority="104440" operator="between">
      <formula>$AW$44</formula>
      <formula>1000</formula>
    </cfRule>
    <cfRule type="cellIs" dxfId="362" priority="104441" operator="between">
      <formula>$AW$43</formula>
      <formula>$AW$44</formula>
    </cfRule>
    <cfRule type="cellIs" dxfId="361" priority="104442" operator="between">
      <formula>$AW$42</formula>
      <formula>$AW$43</formula>
    </cfRule>
    <cfRule type="cellIs" dxfId="360" priority="104443" operator="between">
      <formula>$AW$41</formula>
      <formula>$AW$42</formula>
    </cfRule>
  </conditionalFormatting>
  <conditionalFormatting sqref="BP1:BP1048576 BS1:BS1048576 BW1:BW1048576">
    <cfRule type="cellIs" dxfId="359" priority="104476" operator="between">
      <formula>$BX$44</formula>
      <formula>1000</formula>
    </cfRule>
    <cfRule type="cellIs" dxfId="358" priority="104477" operator="between">
      <formula>$BX$43</formula>
      <formula>$BX$44</formula>
    </cfRule>
    <cfRule type="cellIs" dxfId="357" priority="104478" operator="between">
      <formula>$BX$42</formula>
      <formula>$BX$43</formula>
    </cfRule>
    <cfRule type="cellIs" dxfId="356" priority="104479" operator="between">
      <formula>$BX$41</formula>
      <formula>$BX$42</formula>
    </cfRule>
  </conditionalFormatting>
  <conditionalFormatting sqref="CQ1:CQ1048576 CT1:CT1048576 CX1:CX1048576">
    <cfRule type="cellIs" dxfId="355" priority="104512" operator="between">
      <formula>$CY$44</formula>
      <formula>1000</formula>
    </cfRule>
    <cfRule type="cellIs" dxfId="354" priority="104513" operator="between">
      <formula>$CY$43</formula>
      <formula>$CY$44</formula>
    </cfRule>
    <cfRule type="cellIs" dxfId="353" priority="104514" operator="between">
      <formula>$CY$42</formula>
      <formula>$CY$43</formula>
    </cfRule>
    <cfRule type="cellIs" dxfId="352" priority="104515" operator="between">
      <formula>$CY$41</formula>
      <formula>$CY$42</formula>
    </cfRule>
  </conditionalFormatting>
  <conditionalFormatting sqref="MZ1:MZ1048576 NC1:NC1048576 NG1:NG1048576 NJ1:NJ1048576">
    <cfRule type="cellIs" dxfId="351" priority="104548" operator="between">
      <formula>$NM$37</formula>
      <formula>$NM$38</formula>
    </cfRule>
  </conditionalFormatting>
  <conditionalFormatting sqref="DX1:DX1048576 EA1:EA1048576 EE1:EE1048576 EH1:EH1048576">
    <cfRule type="cellIs" dxfId="350" priority="104560" operator="between">
      <formula>$EI$44</formula>
      <formula>1000</formula>
    </cfRule>
    <cfRule type="cellIs" dxfId="349" priority="104561" operator="between">
      <formula>$EI$43</formula>
      <formula>$EI$44</formula>
    </cfRule>
    <cfRule type="cellIs" dxfId="348" priority="104562" operator="between">
      <formula>$EI$42</formula>
      <formula>$EI$43</formula>
    </cfRule>
    <cfRule type="cellIs" dxfId="347" priority="104563" operator="between">
      <formula>$EI$41</formula>
      <formula>$EI$42</formula>
    </cfRule>
  </conditionalFormatting>
  <conditionalFormatting sqref="FF1:FF1048576 FI1:FI1048576 FM1:FM1048576 FP1:FP1048576">
    <cfRule type="cellIs" dxfId="346" priority="104608" operator="between">
      <formula>$FQ$44</formula>
      <formula>1000</formula>
    </cfRule>
    <cfRule type="cellIs" dxfId="345" priority="104609" operator="between">
      <formula>$FQ$43</formula>
      <formula>$FQ$44</formula>
    </cfRule>
    <cfRule type="cellIs" dxfId="344" priority="104610" operator="between">
      <formula>$FQ$42</formula>
      <formula>$FQ$43</formula>
    </cfRule>
    <cfRule type="cellIs" dxfId="343" priority="104611" operator="between">
      <formula>$FQ$41</formula>
      <formula>$FQ$42</formula>
    </cfRule>
  </conditionalFormatting>
  <conditionalFormatting sqref="GL1:GL1048576 GO1:GO1048576 GS1:GS1048576 GV1:GV1048576">
    <cfRule type="cellIs" dxfId="342" priority="104656" operator="between">
      <formula>$GY$40</formula>
      <formula>1000</formula>
    </cfRule>
    <cfRule type="cellIs" dxfId="341" priority="104657" operator="between">
      <formula>$GY$39</formula>
      <formula>$GY$40</formula>
    </cfRule>
    <cfRule type="cellIs" dxfId="340" priority="104658" operator="between">
      <formula>$GY$38</formula>
      <formula>$GY$39</formula>
    </cfRule>
    <cfRule type="cellIs" dxfId="339" priority="104659" operator="between">
      <formula>$GY$37</formula>
      <formula>$GY$38</formula>
    </cfRule>
  </conditionalFormatting>
  <conditionalFormatting sqref="GN1:GN1048576 GQ1:GQ1048576 GU1:GU1048576 GX1:GX1048576">
    <cfRule type="cellIs" dxfId="338" priority="104704" operator="between">
      <formula>$GY$44</formula>
      <formula>1000</formula>
    </cfRule>
    <cfRule type="cellIs" dxfId="337" priority="104705" operator="between">
      <formula>$GY$43</formula>
      <formula>$GY$44</formula>
    </cfRule>
    <cfRule type="cellIs" dxfId="336" priority="104706" operator="between">
      <formula>$GY$42</formula>
      <formula>$GY$43</formula>
    </cfRule>
    <cfRule type="cellIs" dxfId="335" priority="104707" operator="between">
      <formula>$GY$41</formula>
      <formula>$GY$42</formula>
    </cfRule>
  </conditionalFormatting>
  <conditionalFormatting sqref="HV1:HV1048576 HY1:HY1048576 IC1:IC1048576 IF1:IF1048576">
    <cfRule type="cellIs" dxfId="334" priority="104752" operator="between">
      <formula>$IG$44</formula>
      <formula>1000</formula>
    </cfRule>
    <cfRule type="cellIs" dxfId="333" priority="104753" operator="between">
      <formula>$IG$43</formula>
      <formula>$IG$44</formula>
    </cfRule>
    <cfRule type="cellIs" dxfId="332" priority="104754" operator="between">
      <formula>$IG$42</formula>
      <formula>$IG$43</formula>
    </cfRule>
    <cfRule type="cellIs" dxfId="331" priority="104755" operator="between">
      <formula>$IG$41</formula>
      <formula>$IG$42</formula>
    </cfRule>
  </conditionalFormatting>
  <conditionalFormatting sqref="JB1:JB1048576 JE1:JE1048576 JI1:JI1048576 JL1:JL1048576">
    <cfRule type="cellIs" dxfId="330" priority="104800" operator="between">
      <formula>$JO$40</formula>
      <formula>1000</formula>
    </cfRule>
    <cfRule type="cellIs" dxfId="329" priority="104801" operator="between">
      <formula>$JO$39</formula>
      <formula>$JO$40</formula>
    </cfRule>
    <cfRule type="cellIs" dxfId="328" priority="104802" operator="between">
      <formula>$JO$38</formula>
      <formula>$JO$39</formula>
    </cfRule>
    <cfRule type="cellIs" dxfId="327" priority="104803" operator="between">
      <formula>$JO$37</formula>
      <formula>$JO$38</formula>
    </cfRule>
  </conditionalFormatting>
  <conditionalFormatting sqref="JD1:JD1048576 JG1:JG1048576 JK1:JK1048576 JN1:JN1048576">
    <cfRule type="cellIs" dxfId="326" priority="104848" operator="between">
      <formula>$JO$44</formula>
      <formula>1000</formula>
    </cfRule>
    <cfRule type="cellIs" dxfId="325" priority="104849" operator="between">
      <formula>$JO$43</formula>
      <formula>$JO$44</formula>
    </cfRule>
    <cfRule type="cellIs" dxfId="324" priority="104850" operator="between">
      <formula>$JO$42</formula>
      <formula>$JO$43</formula>
    </cfRule>
    <cfRule type="cellIs" dxfId="323" priority="104851" operator="between">
      <formula>$JO$41</formula>
      <formula>$JO$42</formula>
    </cfRule>
  </conditionalFormatting>
  <conditionalFormatting sqref="KJ1:KJ1048576 KM1:KM1048576 KQ1:KQ1048576 KT1:KT1048576">
    <cfRule type="cellIs" dxfId="322" priority="104896" operator="between">
      <formula>$KW$40</formula>
      <formula>1000</formula>
    </cfRule>
    <cfRule type="cellIs" dxfId="321" priority="104897" operator="between">
      <formula>$KW$39</formula>
      <formula>$KW$40</formula>
    </cfRule>
    <cfRule type="cellIs" dxfId="320" priority="104898" operator="between">
      <formula>$KW$38</formula>
      <formula>$KW$39</formula>
    </cfRule>
    <cfRule type="cellIs" dxfId="319" priority="104899" operator="between">
      <formula>$KW$37</formula>
      <formula>$KW$38</formula>
    </cfRule>
  </conditionalFormatting>
  <conditionalFormatting sqref="KL1:KL1048576 KO1:KO1048576 KS1:KS1048576 KV1:KV1048576">
    <cfRule type="cellIs" dxfId="318" priority="104944" operator="between">
      <formula>$KW$44</formula>
      <formula>1000</formula>
    </cfRule>
    <cfRule type="cellIs" dxfId="317" priority="104945" operator="between">
      <formula>$KW$43</formula>
      <formula>$KW$44</formula>
    </cfRule>
    <cfRule type="cellIs" dxfId="316" priority="104946" operator="between">
      <formula>$KW$42</formula>
      <formula>$KW$43</formula>
    </cfRule>
    <cfRule type="cellIs" dxfId="315" priority="104947" operator="between">
      <formula>$KW$41</formula>
      <formula>$KW$42</formula>
    </cfRule>
  </conditionalFormatting>
  <conditionalFormatting sqref="LR1:LR1048576 LU1:LU1048576 LY1:LY1048576 MB1:MB1048576">
    <cfRule type="cellIs" dxfId="314" priority="104992" operator="between">
      <formula>$ME$40</formula>
      <formula>1000</formula>
    </cfRule>
    <cfRule type="cellIs" dxfId="313" priority="104993" operator="between">
      <formula>$ME$39</formula>
      <formula>$ME$40</formula>
    </cfRule>
    <cfRule type="cellIs" dxfId="312" priority="104994" operator="between">
      <formula>$ME$38</formula>
      <formula>$ME$39</formula>
    </cfRule>
    <cfRule type="cellIs" dxfId="311" priority="104995" operator="between">
      <formula>$ME$37</formula>
      <formula>$ME$38</formula>
    </cfRule>
  </conditionalFormatting>
  <conditionalFormatting sqref="LT1:LT1048576 LW1:LW1048576 MA1:MA1048576 MD1:MD1048576">
    <cfRule type="cellIs" dxfId="310" priority="105040" operator="between">
      <formula>$ME$44</formula>
      <formula>1000</formula>
    </cfRule>
    <cfRule type="cellIs" dxfId="309" priority="105041" operator="between">
      <formula>$ME$43</formula>
      <formula>$ME$44</formula>
    </cfRule>
    <cfRule type="cellIs" dxfId="308" priority="105042" operator="between">
      <formula>$ME$42</formula>
      <formula>$ME$43</formula>
    </cfRule>
    <cfRule type="cellIs" dxfId="307" priority="105043" operator="between">
      <formula>$ME$41</formula>
      <formula>$ME$42</formula>
    </cfRule>
  </conditionalFormatting>
  <conditionalFormatting sqref="MZ1:MZ1048576 NC1:NC1048576 NG1:NG1048576">
    <cfRule type="cellIs" dxfId="306" priority="105088" operator="between">
      <formula>$NM$40</formula>
      <formula>1000</formula>
    </cfRule>
    <cfRule type="cellIs" dxfId="305" priority="105089" operator="between">
      <formula>$NM$39</formula>
      <formula>$NM$40</formula>
    </cfRule>
    <cfRule type="cellIs" dxfId="304" priority="105090" operator="between">
      <formula>$NM$38</formula>
      <formula>$NM$39</formula>
    </cfRule>
  </conditionalFormatting>
  <conditionalFormatting sqref="NB1:NB1048576 NE1:NE1048576 NI1:NI1048576 NL1:NL1048576">
    <cfRule type="cellIs" dxfId="303" priority="105115" operator="between">
      <formula>$NM$44</formula>
      <formula>1000</formula>
    </cfRule>
    <cfRule type="cellIs" dxfId="302" priority="105116" operator="between">
      <formula>$NM$43</formula>
      <formula>$NM$44</formula>
    </cfRule>
    <cfRule type="cellIs" dxfId="301" priority="105117" operator="between">
      <formula>$NM$42</formula>
      <formula>$NM$43</formula>
    </cfRule>
    <cfRule type="cellIs" dxfId="300" priority="105118" operator="between">
      <formula>$NM$41</formula>
      <formula>$NM$42</formula>
    </cfRule>
  </conditionalFormatting>
  <conditionalFormatting sqref="OH1:OH1048576 OK1:OK1048576 OO1:OO1048576 OR1:OR1048576">
    <cfRule type="cellIs" dxfId="299" priority="105163" operator="between">
      <formula>$OU$40</formula>
      <formula>1000</formula>
    </cfRule>
    <cfRule type="cellIs" dxfId="298" priority="105164" operator="between">
      <formula>$OU$39</formula>
      <formula>$OU$40</formula>
    </cfRule>
    <cfRule type="cellIs" dxfId="297" priority="105165" operator="between">
      <formula>$OU$38</formula>
      <formula>$OU$39</formula>
    </cfRule>
    <cfRule type="cellIs" dxfId="296" priority="105166" operator="between">
      <formula>$OU$37</formula>
      <formula>$OU$38</formula>
    </cfRule>
  </conditionalFormatting>
  <conditionalFormatting sqref="OJ1:OJ1048576 OM1:OM1048576 OQ1:OQ1048576 OT1:OT1048576">
    <cfRule type="cellIs" dxfId="295" priority="105211" operator="between">
      <formula>$OU$44</formula>
      <formula>1000</formula>
    </cfRule>
    <cfRule type="cellIs" dxfId="294" priority="105212" operator="between">
      <formula>$OU$43</formula>
      <formula>$OU$44</formula>
    </cfRule>
    <cfRule type="cellIs" dxfId="293" priority="105213" operator="between">
      <formula>$OU$42</formula>
      <formula>$OU$43</formula>
    </cfRule>
    <cfRule type="cellIs" dxfId="292" priority="105214" operator="between">
      <formula>$OU$41</formula>
      <formula>$OU$42</formula>
    </cfRule>
  </conditionalFormatting>
  <conditionalFormatting sqref="PP1:PP1048576 PS1:PS1048576 PW1:PW1048576 PZ1:PZ1048576">
    <cfRule type="cellIs" dxfId="291" priority="105259" operator="between">
      <formula>$QC$40</formula>
      <formula>1000</formula>
    </cfRule>
    <cfRule type="cellIs" dxfId="290" priority="105260" operator="between">
      <formula>$QC$39</formula>
      <formula>$QC$40</formula>
    </cfRule>
    <cfRule type="cellIs" dxfId="289" priority="105261" operator="between">
      <formula>$QC$38</formula>
      <formula>$QC$39</formula>
    </cfRule>
    <cfRule type="cellIs" dxfId="288" priority="105262" operator="between">
      <formula>$QC$37</formula>
      <formula>$QC$38</formula>
    </cfRule>
  </conditionalFormatting>
  <conditionalFormatting sqref="PR1:PR1048576 PU1:PU1048576 PY1:PY1048576 QB1:QB1048576">
    <cfRule type="cellIs" dxfId="287" priority="105307" operator="between">
      <formula>$QC$44</formula>
      <formula>1000</formula>
    </cfRule>
    <cfRule type="cellIs" dxfId="286" priority="105308" operator="between">
      <formula>$QC$43</formula>
      <formula>$QC$44</formula>
    </cfRule>
    <cfRule type="cellIs" dxfId="285" priority="105309" operator="between">
      <formula>$QC$42</formula>
      <formula>$QC$43</formula>
    </cfRule>
    <cfRule type="cellIs" dxfId="284" priority="105310" operator="between">
      <formula>$QC$41</formula>
      <formula>$QC$42</formula>
    </cfRule>
  </conditionalFormatting>
  <conditionalFormatting sqref="QX1:QX1048576 RA1:RA1048576 RE1:RE1048576 RH1:RH1048576">
    <cfRule type="cellIs" dxfId="283" priority="105355" operator="between">
      <formula>$RK$40</formula>
      <formula>1000</formula>
    </cfRule>
    <cfRule type="cellIs" dxfId="282" priority="105356" operator="between">
      <formula>$RK$39</formula>
      <formula>$RK$40</formula>
    </cfRule>
    <cfRule type="cellIs" dxfId="281" priority="105357" operator="between">
      <formula>$RK$38</formula>
      <formula>$RK$39</formula>
    </cfRule>
    <cfRule type="cellIs" dxfId="280" priority="105358" operator="between">
      <formula>$RK$37</formula>
      <formula>$RK$38</formula>
    </cfRule>
  </conditionalFormatting>
  <conditionalFormatting sqref="QZ1:QZ1048576 RC1:RC1048576 RG1:RG1048576 RJ1:RJ1048576">
    <cfRule type="cellIs" dxfId="279" priority="105403" operator="between">
      <formula>$RK$44</formula>
      <formula>1000</formula>
    </cfRule>
    <cfRule type="cellIs" dxfId="278" priority="105404" operator="between">
      <formula>$RK$43</formula>
      <formula>$RK$44</formula>
    </cfRule>
    <cfRule type="cellIs" dxfId="277" priority="105405" operator="between">
      <formula>$RK$42</formula>
      <formula>$RK$43</formula>
    </cfRule>
    <cfRule type="cellIs" dxfId="276" priority="105406" operator="between">
      <formula>$RK$41</formula>
      <formula>$RK$42</formula>
    </cfRule>
  </conditionalFormatting>
  <conditionalFormatting sqref="SF1:SF1048576 SI1:SI1048576 SM1:SM1048576 SP1:SP1048576">
    <cfRule type="cellIs" dxfId="275" priority="105451" operator="between">
      <formula>$SS$40</formula>
      <formula>1000</formula>
    </cfRule>
    <cfRule type="cellIs" dxfId="274" priority="105452" operator="between">
      <formula>$SS$39</formula>
      <formula>$SS$40</formula>
    </cfRule>
    <cfRule type="cellIs" dxfId="273" priority="105453" operator="between">
      <formula>$SS$38</formula>
      <formula>$SS$39</formula>
    </cfRule>
    <cfRule type="cellIs" dxfId="272" priority="105454" operator="between">
      <formula>$SS$37</formula>
      <formula>$SS$38</formula>
    </cfRule>
  </conditionalFormatting>
  <conditionalFormatting sqref="SH1:SH1048576 SK1:SK1048576 SO1:SO1048576 SR1:SR1048576">
    <cfRule type="cellIs" dxfId="271" priority="105499" operator="between">
      <formula>$SS$44</formula>
      <formula>1000</formula>
    </cfRule>
    <cfRule type="cellIs" dxfId="270" priority="105500" operator="between">
      <formula>$SS$43</formula>
      <formula>$SS$44</formula>
    </cfRule>
    <cfRule type="cellIs" dxfId="269" priority="105501" operator="between">
      <formula>$SS$42</formula>
      <formula>$SS$43</formula>
    </cfRule>
    <cfRule type="cellIs" dxfId="268" priority="105502" operator="between">
      <formula>$SS$41</formula>
      <formula>$SS$42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C79765-154A-EA43-A55F-A16A8EEFCEE9}">
  <sheetPr codeName="Sheet3"/>
  <dimension ref="A1:TV63"/>
  <sheetViews>
    <sheetView zoomScaleNormal="100"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4.83203125" bestFit="1" customWidth="1"/>
    <col min="3" max="3" width="8.1640625" bestFit="1" customWidth="1"/>
    <col min="4" max="4" width="12" customWidth="1"/>
    <col min="6" max="6" width="14.1640625" customWidth="1"/>
    <col min="7" max="7" width="18.5" bestFit="1" customWidth="1"/>
    <col min="8" max="8" width="13.33203125" bestFit="1" customWidth="1"/>
    <col min="9" max="9" width="19" bestFit="1" customWidth="1"/>
    <col min="10" max="10" width="10.83203125" customWidth="1"/>
    <col min="11" max="11" width="27" bestFit="1" customWidth="1"/>
    <col min="12" max="12" width="13" customWidth="1"/>
    <col min="13" max="13" width="27" bestFit="1" customWidth="1"/>
    <col min="14" max="14" width="13" customWidth="1"/>
    <col min="15" max="15" width="27" customWidth="1"/>
    <col min="17" max="17" width="33.5" bestFit="1" customWidth="1"/>
    <col min="18" max="18" width="14.6640625" customWidth="1"/>
    <col min="19" max="19" width="29.33203125" bestFit="1" customWidth="1"/>
    <col min="20" max="20" width="24.6640625" customWidth="1"/>
    <col min="21" max="21" width="13" customWidth="1"/>
    <col min="22" max="22" width="47" customWidth="1"/>
    <col min="23" max="38" width="10.83203125" hidden="1" customWidth="1"/>
    <col min="39" max="49" width="10.83203125" style="36" customWidth="1"/>
    <col min="50" max="65" width="10.83203125" hidden="1" customWidth="1"/>
    <col min="66" max="76" width="10.83203125" style="36" customWidth="1"/>
    <col min="77" max="92" width="10.83203125" hidden="1" customWidth="1"/>
    <col min="93" max="103" width="10.83203125" style="36" customWidth="1"/>
    <col min="104" max="105" width="12.83203125" style="36" customWidth="1"/>
    <col min="106" max="125" width="10.83203125" hidden="1" customWidth="1"/>
    <col min="126" max="138" width="10.83203125" customWidth="1"/>
    <col min="139" max="139" width="10.83203125" style="36" customWidth="1"/>
    <col min="140" max="159" width="10.83203125" hidden="1" customWidth="1"/>
    <col min="160" max="172" width="10.83203125" customWidth="1"/>
    <col min="173" max="173" width="10.83203125" style="36" customWidth="1"/>
    <col min="174" max="193" width="10.83203125" hidden="1" customWidth="1"/>
    <col min="194" max="206" width="10.83203125" customWidth="1"/>
    <col min="207" max="207" width="10.83203125" style="36" customWidth="1"/>
    <col min="208" max="227" width="10.83203125" hidden="1" customWidth="1"/>
    <col min="228" max="240" width="10.83203125" customWidth="1"/>
    <col min="241" max="241" width="10.83203125" style="36" customWidth="1"/>
    <col min="242" max="274" width="10.83203125" hidden="1" customWidth="1"/>
    <col min="275" max="275" width="10.83203125" style="36" hidden="1" customWidth="1"/>
    <col min="276" max="540" width="10.83203125" hidden="1" customWidth="1"/>
  </cols>
  <sheetData>
    <row r="1" spans="1:540" x14ac:dyDescent="0.2">
      <c r="A1" s="71" t="s">
        <v>1</v>
      </c>
      <c r="B1" s="71" t="s">
        <v>22</v>
      </c>
      <c r="C1" s="71" t="s">
        <v>0</v>
      </c>
      <c r="D1" s="71" t="s">
        <v>48</v>
      </c>
      <c r="E1" s="71" t="s">
        <v>2</v>
      </c>
      <c r="F1" s="74" t="s">
        <v>53</v>
      </c>
      <c r="G1" s="71" t="s">
        <v>8</v>
      </c>
      <c r="H1" s="71" t="s">
        <v>9</v>
      </c>
      <c r="I1" s="71" t="s">
        <v>71</v>
      </c>
      <c r="J1" s="72" t="s">
        <v>79</v>
      </c>
      <c r="K1" s="70" t="s">
        <v>25</v>
      </c>
      <c r="L1" s="72" t="s">
        <v>80</v>
      </c>
      <c r="M1" s="70" t="s">
        <v>25</v>
      </c>
      <c r="N1" s="72" t="s">
        <v>193</v>
      </c>
      <c r="O1" s="70" t="s">
        <v>25</v>
      </c>
      <c r="P1" s="70" t="s">
        <v>81</v>
      </c>
      <c r="Q1" s="70" t="s">
        <v>25</v>
      </c>
      <c r="R1" s="72" t="s">
        <v>82</v>
      </c>
      <c r="S1" s="70" t="s">
        <v>25</v>
      </c>
      <c r="T1" s="73" t="s">
        <v>11</v>
      </c>
      <c r="U1" s="70" t="s">
        <v>26</v>
      </c>
      <c r="V1" s="70" t="s">
        <v>25</v>
      </c>
      <c r="W1" s="66" t="s">
        <v>119</v>
      </c>
      <c r="X1" s="66"/>
      <c r="Y1" s="66"/>
      <c r="Z1" s="66"/>
      <c r="AA1" s="66"/>
      <c r="AB1" s="66"/>
      <c r="AC1" s="66"/>
      <c r="AD1" s="66"/>
      <c r="AE1" s="66"/>
      <c r="AF1" s="66"/>
      <c r="AG1" s="66"/>
      <c r="AH1" s="66"/>
      <c r="AI1" s="66"/>
      <c r="AJ1" s="66"/>
      <c r="AK1" s="66"/>
      <c r="AL1" s="66"/>
      <c r="AM1" s="66"/>
      <c r="AN1" s="66"/>
      <c r="AO1" s="66"/>
      <c r="AP1" s="66"/>
      <c r="AQ1" s="66"/>
      <c r="AR1" s="66"/>
      <c r="AS1" s="66"/>
      <c r="AT1" s="66"/>
      <c r="AU1" s="66"/>
      <c r="AV1" s="66"/>
      <c r="AW1" s="66"/>
      <c r="AX1" s="67" t="s">
        <v>129</v>
      </c>
      <c r="AY1" s="67"/>
      <c r="AZ1" s="67"/>
      <c r="BA1" s="67"/>
      <c r="BB1" s="67"/>
      <c r="BC1" s="67"/>
      <c r="BD1" s="67"/>
      <c r="BE1" s="67"/>
      <c r="BF1" s="67"/>
      <c r="BG1" s="67"/>
      <c r="BH1" s="67"/>
      <c r="BI1" s="67"/>
      <c r="BJ1" s="67"/>
      <c r="BK1" s="67"/>
      <c r="BL1" s="67"/>
      <c r="BM1" s="67"/>
      <c r="BN1" s="67"/>
      <c r="BO1" s="67"/>
      <c r="BP1" s="67"/>
      <c r="BQ1" s="67"/>
      <c r="BR1" s="67"/>
      <c r="BS1" s="67"/>
      <c r="BT1" s="67"/>
      <c r="BU1" s="67"/>
      <c r="BV1" s="67"/>
      <c r="BW1" s="67"/>
      <c r="BX1" s="67"/>
      <c r="BY1" s="66" t="s">
        <v>199</v>
      </c>
      <c r="BZ1" s="66"/>
      <c r="CA1" s="66"/>
      <c r="CB1" s="66"/>
      <c r="CC1" s="66"/>
      <c r="CD1" s="66"/>
      <c r="CE1" s="66"/>
      <c r="CF1" s="66"/>
      <c r="CG1" s="66"/>
      <c r="CH1" s="66"/>
      <c r="CI1" s="66"/>
      <c r="CJ1" s="66"/>
      <c r="CK1" s="66"/>
      <c r="CL1" s="66"/>
      <c r="CM1" s="66"/>
      <c r="CN1" s="66"/>
      <c r="CO1" s="66"/>
      <c r="CP1" s="66"/>
      <c r="CQ1" s="66"/>
      <c r="CR1" s="66"/>
      <c r="CS1" s="66"/>
      <c r="CT1" s="66"/>
      <c r="CU1" s="66"/>
      <c r="CV1" s="66"/>
      <c r="CW1" s="66"/>
      <c r="CX1" s="66"/>
      <c r="CY1" s="66"/>
      <c r="CZ1" s="69" t="s">
        <v>11</v>
      </c>
      <c r="DA1" s="69"/>
      <c r="DB1" s="66" t="s">
        <v>115</v>
      </c>
      <c r="DC1" s="66"/>
      <c r="DD1" s="66"/>
      <c r="DE1" s="66"/>
      <c r="DF1" s="66"/>
      <c r="DG1" s="66"/>
      <c r="DH1" s="66"/>
      <c r="DI1" s="66"/>
      <c r="DJ1" s="66"/>
      <c r="DK1" s="66"/>
      <c r="DL1" s="66"/>
      <c r="DM1" s="66"/>
      <c r="DN1" s="66"/>
      <c r="DO1" s="66"/>
      <c r="DP1" s="66"/>
      <c r="DQ1" s="66"/>
      <c r="DR1" s="66"/>
      <c r="DS1" s="66"/>
      <c r="DT1" s="66"/>
      <c r="DU1" s="66"/>
      <c r="DV1" s="66"/>
      <c r="DW1" s="66"/>
      <c r="DX1" s="66"/>
      <c r="DY1" s="66"/>
      <c r="DZ1" s="66"/>
      <c r="EA1" s="66"/>
      <c r="EB1" s="66"/>
      <c r="EC1" s="66"/>
      <c r="ED1" s="66"/>
      <c r="EE1" s="66"/>
      <c r="EF1" s="66"/>
      <c r="EG1" s="66"/>
      <c r="EH1" s="66"/>
      <c r="EI1" s="66"/>
      <c r="EJ1" s="67" t="s">
        <v>114</v>
      </c>
      <c r="EK1" s="67"/>
      <c r="EL1" s="67"/>
      <c r="EM1" s="67"/>
      <c r="EN1" s="67"/>
      <c r="EO1" s="67"/>
      <c r="EP1" s="67"/>
      <c r="EQ1" s="67"/>
      <c r="ER1" s="67"/>
      <c r="ES1" s="67"/>
      <c r="ET1" s="67"/>
      <c r="EU1" s="67"/>
      <c r="EV1" s="67"/>
      <c r="EW1" s="67"/>
      <c r="EX1" s="67"/>
      <c r="EY1" s="67"/>
      <c r="EZ1" s="67"/>
      <c r="FA1" s="67"/>
      <c r="FB1" s="67"/>
      <c r="FC1" s="67"/>
      <c r="FD1" s="67"/>
      <c r="FE1" s="67"/>
      <c r="FF1" s="67"/>
      <c r="FG1" s="67"/>
      <c r="FH1" s="67"/>
      <c r="FI1" s="67"/>
      <c r="FJ1" s="67"/>
      <c r="FK1" s="67"/>
      <c r="FL1" s="67"/>
      <c r="FM1" s="67"/>
      <c r="FN1" s="67"/>
      <c r="FO1" s="67"/>
      <c r="FP1" s="67"/>
      <c r="FQ1" s="67"/>
      <c r="FR1" s="66" t="s">
        <v>139</v>
      </c>
      <c r="FS1" s="66"/>
      <c r="FT1" s="66"/>
      <c r="FU1" s="66"/>
      <c r="FV1" s="66"/>
      <c r="FW1" s="66"/>
      <c r="FX1" s="66"/>
      <c r="FY1" s="66"/>
      <c r="FZ1" s="66"/>
      <c r="GA1" s="66"/>
      <c r="GB1" s="66"/>
      <c r="GC1" s="66"/>
      <c r="GD1" s="66"/>
      <c r="GE1" s="66"/>
      <c r="GF1" s="66"/>
      <c r="GG1" s="66"/>
      <c r="GH1" s="66"/>
      <c r="GI1" s="66"/>
      <c r="GJ1" s="66"/>
      <c r="GK1" s="66"/>
      <c r="GL1" s="66"/>
      <c r="GM1" s="66"/>
      <c r="GN1" s="66"/>
      <c r="GO1" s="66"/>
      <c r="GP1" s="66"/>
      <c r="GQ1" s="66"/>
      <c r="GR1" s="66"/>
      <c r="GS1" s="66"/>
      <c r="GT1" s="66"/>
      <c r="GU1" s="66"/>
      <c r="GV1" s="66"/>
      <c r="GW1" s="66"/>
      <c r="GX1" s="66"/>
      <c r="GY1" s="66"/>
      <c r="GZ1" s="67" t="s">
        <v>195</v>
      </c>
      <c r="HA1" s="67"/>
      <c r="HB1" s="67"/>
      <c r="HC1" s="67"/>
      <c r="HD1" s="67"/>
      <c r="HE1" s="67"/>
      <c r="HF1" s="67"/>
      <c r="HG1" s="67"/>
      <c r="HH1" s="67"/>
      <c r="HI1" s="67"/>
      <c r="HJ1" s="67"/>
      <c r="HK1" s="67"/>
      <c r="HL1" s="67"/>
      <c r="HM1" s="67"/>
      <c r="HN1" s="67"/>
      <c r="HO1" s="67"/>
      <c r="HP1" s="67"/>
      <c r="HQ1" s="67"/>
      <c r="HR1" s="67"/>
      <c r="HS1" s="67"/>
      <c r="HT1" s="67"/>
      <c r="HU1" s="67"/>
      <c r="HV1" s="67"/>
      <c r="HW1" s="67"/>
      <c r="HX1" s="67"/>
      <c r="HY1" s="67"/>
      <c r="HZ1" s="67"/>
      <c r="IA1" s="67"/>
      <c r="IB1" s="67"/>
      <c r="IC1" s="67"/>
      <c r="ID1" s="67"/>
      <c r="IE1" s="67"/>
      <c r="IF1" s="67"/>
      <c r="IG1" s="67"/>
      <c r="IH1" s="66"/>
      <c r="II1" s="66"/>
      <c r="IJ1" s="66"/>
      <c r="IK1" s="66"/>
      <c r="IL1" s="66"/>
      <c r="IM1" s="66"/>
      <c r="IN1" s="66"/>
      <c r="IO1" s="66"/>
      <c r="IP1" s="66"/>
      <c r="IQ1" s="66"/>
      <c r="IR1" s="66"/>
      <c r="IS1" s="66"/>
      <c r="IT1" s="66"/>
      <c r="IU1" s="66"/>
      <c r="IV1" s="66"/>
      <c r="IW1" s="66"/>
      <c r="IX1" s="66"/>
      <c r="IY1" s="66"/>
      <c r="IZ1" s="66"/>
      <c r="JA1" s="66"/>
      <c r="JB1" s="66"/>
      <c r="JC1" s="66"/>
      <c r="JD1" s="66"/>
      <c r="JE1" s="66"/>
      <c r="JF1" s="66"/>
      <c r="JG1" s="66"/>
      <c r="JH1" s="66"/>
      <c r="JI1" s="66"/>
      <c r="JJ1" s="66"/>
      <c r="JK1" s="66"/>
      <c r="JL1" s="66"/>
      <c r="JM1" s="66"/>
      <c r="JN1" s="66"/>
      <c r="JO1" s="66"/>
      <c r="JP1" s="67"/>
      <c r="JQ1" s="67"/>
      <c r="JR1" s="67"/>
      <c r="JS1" s="67"/>
      <c r="JT1" s="67"/>
      <c r="JU1" s="67"/>
      <c r="JV1" s="67"/>
      <c r="JW1" s="67"/>
      <c r="JX1" s="67"/>
      <c r="JY1" s="67"/>
      <c r="JZ1" s="67"/>
      <c r="KA1" s="67"/>
      <c r="KB1" s="67"/>
      <c r="KC1" s="67"/>
      <c r="KD1" s="67"/>
      <c r="KE1" s="67"/>
      <c r="KF1" s="67"/>
      <c r="KG1" s="67"/>
      <c r="KH1" s="67"/>
      <c r="KI1" s="67"/>
      <c r="KJ1" s="67"/>
      <c r="KK1" s="67"/>
      <c r="KL1" s="67"/>
      <c r="KM1" s="67"/>
      <c r="KN1" s="67"/>
      <c r="KO1" s="67"/>
      <c r="KP1" s="67"/>
      <c r="KQ1" s="67"/>
      <c r="KR1" s="67"/>
      <c r="KS1" s="67"/>
      <c r="KT1" s="67"/>
      <c r="KU1" s="67"/>
      <c r="KV1" s="67"/>
      <c r="KW1" s="67"/>
      <c r="KX1" s="66"/>
      <c r="KY1" s="66"/>
      <c r="KZ1" s="66"/>
      <c r="LA1" s="66"/>
      <c r="LB1" s="66"/>
      <c r="LC1" s="66"/>
      <c r="LD1" s="66"/>
      <c r="LE1" s="66"/>
      <c r="LF1" s="66"/>
      <c r="LG1" s="66"/>
      <c r="LH1" s="66"/>
      <c r="LI1" s="66"/>
      <c r="LJ1" s="66"/>
      <c r="LK1" s="66"/>
      <c r="LL1" s="66"/>
      <c r="LM1" s="66"/>
      <c r="LN1" s="66"/>
      <c r="LO1" s="66"/>
      <c r="LP1" s="66"/>
      <c r="LQ1" s="66"/>
      <c r="LR1" s="66"/>
      <c r="LS1" s="66"/>
      <c r="LT1" s="66"/>
      <c r="LU1" s="66"/>
      <c r="LV1" s="66"/>
      <c r="LW1" s="66"/>
      <c r="LX1" s="66"/>
      <c r="LY1" s="66"/>
      <c r="LZ1" s="66"/>
      <c r="MA1" s="66"/>
      <c r="MB1" s="66"/>
      <c r="MC1" s="66"/>
      <c r="MD1" s="66"/>
      <c r="ME1" s="66"/>
      <c r="MF1" s="67"/>
      <c r="MG1" s="67"/>
      <c r="MH1" s="67"/>
      <c r="MI1" s="67"/>
      <c r="MJ1" s="67"/>
      <c r="MK1" s="67"/>
      <c r="ML1" s="67"/>
      <c r="MM1" s="67"/>
      <c r="MN1" s="67"/>
      <c r="MO1" s="67"/>
      <c r="MP1" s="67"/>
      <c r="MQ1" s="67"/>
      <c r="MR1" s="67"/>
      <c r="MS1" s="67"/>
      <c r="MT1" s="67"/>
      <c r="MU1" s="67"/>
      <c r="MV1" s="67"/>
      <c r="MW1" s="67"/>
      <c r="MX1" s="67"/>
      <c r="MY1" s="67"/>
      <c r="MZ1" s="67"/>
      <c r="NA1" s="67"/>
      <c r="NB1" s="67"/>
      <c r="NC1" s="67"/>
      <c r="ND1" s="67"/>
      <c r="NE1" s="67"/>
      <c r="NF1" s="67"/>
      <c r="NG1" s="67"/>
      <c r="NH1" s="67"/>
      <c r="NI1" s="67"/>
      <c r="NJ1" s="67"/>
      <c r="NK1" s="67"/>
      <c r="NL1" s="67"/>
      <c r="NM1" s="67"/>
      <c r="NN1" s="66"/>
      <c r="NO1" s="66"/>
      <c r="NP1" s="66"/>
      <c r="NQ1" s="66"/>
      <c r="NR1" s="66"/>
      <c r="NS1" s="66"/>
      <c r="NT1" s="66"/>
      <c r="NU1" s="66"/>
      <c r="NV1" s="66"/>
      <c r="NW1" s="66"/>
      <c r="NX1" s="66"/>
      <c r="NY1" s="66"/>
      <c r="NZ1" s="66"/>
      <c r="OA1" s="66"/>
      <c r="OB1" s="66"/>
      <c r="OC1" s="66"/>
      <c r="OD1" s="66"/>
      <c r="OE1" s="66"/>
      <c r="OF1" s="66"/>
      <c r="OG1" s="66"/>
      <c r="OH1" s="66"/>
      <c r="OI1" s="66"/>
      <c r="OJ1" s="66"/>
      <c r="OK1" s="66"/>
      <c r="OL1" s="66"/>
      <c r="OM1" s="66"/>
      <c r="ON1" s="66"/>
      <c r="OO1" s="66"/>
      <c r="OP1" s="66"/>
      <c r="OQ1" s="66"/>
      <c r="OR1" s="66"/>
      <c r="OS1" s="66"/>
      <c r="OT1" s="66"/>
      <c r="OU1" s="66"/>
      <c r="OV1" s="67"/>
      <c r="OW1" s="67"/>
      <c r="OX1" s="67"/>
      <c r="OY1" s="67"/>
      <c r="OZ1" s="67"/>
      <c r="PA1" s="67"/>
      <c r="PB1" s="67"/>
      <c r="PC1" s="67"/>
      <c r="PD1" s="67"/>
      <c r="PE1" s="67"/>
      <c r="PF1" s="67"/>
      <c r="PG1" s="67"/>
      <c r="PH1" s="67"/>
      <c r="PI1" s="67"/>
      <c r="PJ1" s="67"/>
      <c r="PK1" s="67"/>
      <c r="PL1" s="67"/>
      <c r="PM1" s="67"/>
      <c r="PN1" s="67"/>
      <c r="PO1" s="67"/>
      <c r="PP1" s="67"/>
      <c r="PQ1" s="67"/>
      <c r="PR1" s="67"/>
      <c r="PS1" s="67"/>
      <c r="PT1" s="67"/>
      <c r="PU1" s="67"/>
      <c r="PV1" s="67"/>
      <c r="PW1" s="67"/>
      <c r="PX1" s="67"/>
      <c r="PY1" s="67"/>
      <c r="PZ1" s="67"/>
      <c r="QA1" s="67"/>
      <c r="QB1" s="67"/>
      <c r="QC1" s="67"/>
      <c r="QD1" s="66"/>
      <c r="QE1" s="66"/>
      <c r="QF1" s="66"/>
      <c r="QG1" s="66"/>
      <c r="QH1" s="66"/>
      <c r="QI1" s="66"/>
      <c r="QJ1" s="66"/>
      <c r="QK1" s="66"/>
      <c r="QL1" s="66"/>
      <c r="QM1" s="66"/>
      <c r="QN1" s="66"/>
      <c r="QO1" s="66"/>
      <c r="QP1" s="66"/>
      <c r="QQ1" s="66"/>
      <c r="QR1" s="66"/>
      <c r="QS1" s="66"/>
      <c r="QT1" s="66"/>
      <c r="QU1" s="66"/>
      <c r="QV1" s="66"/>
      <c r="QW1" s="66"/>
      <c r="QX1" s="66"/>
      <c r="QY1" s="66"/>
      <c r="QZ1" s="66"/>
      <c r="RA1" s="66"/>
      <c r="RB1" s="66"/>
      <c r="RC1" s="66"/>
      <c r="RD1" s="66"/>
      <c r="RE1" s="66"/>
      <c r="RF1" s="66"/>
      <c r="RG1" s="66"/>
      <c r="RH1" s="66"/>
      <c r="RI1" s="66"/>
      <c r="RJ1" s="66"/>
      <c r="RK1" s="66"/>
      <c r="RL1" s="67"/>
      <c r="RM1" s="67"/>
      <c r="RN1" s="67"/>
      <c r="RO1" s="67"/>
      <c r="RP1" s="67"/>
      <c r="RQ1" s="67"/>
      <c r="RR1" s="67"/>
      <c r="RS1" s="67"/>
      <c r="RT1" s="67"/>
      <c r="RU1" s="67"/>
      <c r="RV1" s="67"/>
      <c r="RW1" s="67"/>
      <c r="RX1" s="67"/>
      <c r="RY1" s="67"/>
      <c r="RZ1" s="67"/>
      <c r="SA1" s="67"/>
      <c r="SB1" s="67"/>
      <c r="SC1" s="67"/>
      <c r="SD1" s="67"/>
      <c r="SE1" s="67"/>
      <c r="SF1" s="67"/>
      <c r="SG1" s="67"/>
      <c r="SH1" s="67"/>
      <c r="SI1" s="67"/>
      <c r="SJ1" s="67"/>
      <c r="SK1" s="67"/>
      <c r="SL1" s="67"/>
      <c r="SM1" s="67"/>
      <c r="SN1" s="67"/>
      <c r="SO1" s="67"/>
      <c r="SP1" s="67"/>
      <c r="SQ1" s="67"/>
      <c r="SR1" s="67"/>
      <c r="SS1" s="67"/>
      <c r="ST1" s="66" t="s">
        <v>56</v>
      </c>
      <c r="SU1" s="66"/>
      <c r="SV1" s="66"/>
      <c r="SW1" s="66"/>
      <c r="SX1" s="66"/>
      <c r="SY1" s="66"/>
      <c r="SZ1" s="66"/>
      <c r="TA1" s="66"/>
      <c r="TB1" s="66"/>
      <c r="TC1" s="66"/>
      <c r="TD1" s="66"/>
      <c r="TE1" s="66"/>
      <c r="TF1" s="66"/>
      <c r="TG1" s="66"/>
      <c r="TH1" s="66"/>
      <c r="TI1" s="66"/>
      <c r="TJ1" s="66"/>
      <c r="TK1" s="66"/>
      <c r="TL1" s="66"/>
      <c r="TM1" s="66"/>
      <c r="TN1" s="66"/>
      <c r="TO1" s="66"/>
      <c r="TP1" s="66"/>
      <c r="TQ1" s="66"/>
      <c r="TR1" s="66"/>
      <c r="TS1" s="66"/>
      <c r="TT1" s="66"/>
    </row>
    <row r="2" spans="1:540" x14ac:dyDescent="0.2">
      <c r="A2" s="71"/>
      <c r="B2" s="71"/>
      <c r="C2" s="71"/>
      <c r="D2" s="71"/>
      <c r="E2" s="71"/>
      <c r="F2" s="74"/>
      <c r="G2" s="71"/>
      <c r="H2" s="71"/>
      <c r="I2" s="71"/>
      <c r="J2" s="72"/>
      <c r="K2" s="70"/>
      <c r="L2" s="72"/>
      <c r="M2" s="70"/>
      <c r="N2" s="72"/>
      <c r="O2" s="70"/>
      <c r="P2" s="70"/>
      <c r="Q2" s="70"/>
      <c r="R2" s="72"/>
      <c r="S2" s="70"/>
      <c r="T2" s="73"/>
      <c r="U2" s="70"/>
      <c r="V2" s="70"/>
      <c r="W2" s="68" t="s">
        <v>16</v>
      </c>
      <c r="X2" s="68"/>
      <c r="Y2" s="68"/>
      <c r="Z2" s="68"/>
      <c r="AA2" s="68"/>
      <c r="AB2" s="68" t="s">
        <v>17</v>
      </c>
      <c r="AC2" s="68"/>
      <c r="AD2" s="68"/>
      <c r="AE2" s="68"/>
      <c r="AF2" s="68"/>
      <c r="AG2" s="68" t="s">
        <v>20</v>
      </c>
      <c r="AH2" s="68"/>
      <c r="AI2" s="68"/>
      <c r="AJ2" s="68"/>
      <c r="AK2" s="68"/>
      <c r="AL2" s="14"/>
      <c r="AM2" s="14" t="s">
        <v>83</v>
      </c>
      <c r="AN2" s="14" t="s">
        <v>84</v>
      </c>
      <c r="AO2" s="14" t="s">
        <v>18</v>
      </c>
      <c r="AP2" s="14" t="s">
        <v>63</v>
      </c>
      <c r="AQ2" s="14" t="s">
        <v>85</v>
      </c>
      <c r="AR2" s="14" t="s">
        <v>19</v>
      </c>
      <c r="AS2" s="14" t="s">
        <v>21</v>
      </c>
      <c r="AT2" s="14" t="s">
        <v>86</v>
      </c>
      <c r="AU2" s="14" t="s">
        <v>87</v>
      </c>
      <c r="AV2" s="14" t="s">
        <v>20</v>
      </c>
      <c r="AW2" s="14" t="s">
        <v>15</v>
      </c>
      <c r="AX2" s="65" t="s">
        <v>16</v>
      </c>
      <c r="AY2" s="65"/>
      <c r="AZ2" s="65"/>
      <c r="BA2" s="65"/>
      <c r="BB2" s="65"/>
      <c r="BC2" s="65" t="s">
        <v>17</v>
      </c>
      <c r="BD2" s="65"/>
      <c r="BE2" s="65"/>
      <c r="BF2" s="65"/>
      <c r="BG2" s="65"/>
      <c r="BH2" s="65" t="s">
        <v>20</v>
      </c>
      <c r="BI2" s="65"/>
      <c r="BJ2" s="65"/>
      <c r="BK2" s="65"/>
      <c r="BL2" s="65"/>
      <c r="BM2" s="13"/>
      <c r="BN2" s="13" t="s">
        <v>83</v>
      </c>
      <c r="BO2" s="13" t="s">
        <v>84</v>
      </c>
      <c r="BP2" s="13" t="s">
        <v>18</v>
      </c>
      <c r="BQ2" s="13" t="s">
        <v>63</v>
      </c>
      <c r="BR2" s="13" t="s">
        <v>85</v>
      </c>
      <c r="BS2" s="13" t="s">
        <v>19</v>
      </c>
      <c r="BT2" s="13" t="s">
        <v>21</v>
      </c>
      <c r="BU2" s="13" t="s">
        <v>86</v>
      </c>
      <c r="BV2" s="13" t="s">
        <v>87</v>
      </c>
      <c r="BW2" s="13" t="s">
        <v>20</v>
      </c>
      <c r="BX2" s="13" t="s">
        <v>15</v>
      </c>
      <c r="BY2" s="68" t="s">
        <v>16</v>
      </c>
      <c r="BZ2" s="68"/>
      <c r="CA2" s="68"/>
      <c r="CB2" s="68"/>
      <c r="CC2" s="68"/>
      <c r="CD2" s="68" t="s">
        <v>17</v>
      </c>
      <c r="CE2" s="68"/>
      <c r="CF2" s="68"/>
      <c r="CG2" s="68"/>
      <c r="CH2" s="68"/>
      <c r="CI2" s="68" t="s">
        <v>20</v>
      </c>
      <c r="CJ2" s="68"/>
      <c r="CK2" s="68"/>
      <c r="CL2" s="68"/>
      <c r="CM2" s="68"/>
      <c r="CN2" s="14"/>
      <c r="CO2" s="14" t="s">
        <v>83</v>
      </c>
      <c r="CP2" s="14" t="s">
        <v>84</v>
      </c>
      <c r="CQ2" s="14" t="s">
        <v>18</v>
      </c>
      <c r="CR2" s="14" t="s">
        <v>63</v>
      </c>
      <c r="CS2" s="14" t="s">
        <v>85</v>
      </c>
      <c r="CT2" s="14" t="s">
        <v>19</v>
      </c>
      <c r="CU2" s="14" t="s">
        <v>21</v>
      </c>
      <c r="CV2" s="14" t="s">
        <v>86</v>
      </c>
      <c r="CW2" s="14" t="s">
        <v>87</v>
      </c>
      <c r="CX2" s="14" t="s">
        <v>20</v>
      </c>
      <c r="CY2" s="14" t="s">
        <v>15</v>
      </c>
      <c r="CZ2" s="49" t="s">
        <v>194</v>
      </c>
      <c r="DA2" s="49" t="s">
        <v>20</v>
      </c>
      <c r="DB2" s="68" t="s">
        <v>16</v>
      </c>
      <c r="DC2" s="68"/>
      <c r="DD2" s="68"/>
      <c r="DE2" s="68"/>
      <c r="DF2" s="68"/>
      <c r="DG2" s="68" t="s">
        <v>17</v>
      </c>
      <c r="DH2" s="68"/>
      <c r="DI2" s="68"/>
      <c r="DJ2" s="68"/>
      <c r="DK2" s="68"/>
      <c r="DL2" s="68" t="s">
        <v>88</v>
      </c>
      <c r="DM2" s="68"/>
      <c r="DN2" s="68"/>
      <c r="DO2" s="68"/>
      <c r="DP2" s="68"/>
      <c r="DQ2" s="68" t="s">
        <v>20</v>
      </c>
      <c r="DR2" s="68"/>
      <c r="DS2" s="68"/>
      <c r="DT2" s="68"/>
      <c r="DU2" s="68"/>
      <c r="DV2" s="14" t="s">
        <v>83</v>
      </c>
      <c r="DW2" s="14" t="s">
        <v>84</v>
      </c>
      <c r="DX2" s="14" t="s">
        <v>18</v>
      </c>
      <c r="DY2" s="14" t="s">
        <v>63</v>
      </c>
      <c r="DZ2" s="14" t="s">
        <v>85</v>
      </c>
      <c r="EA2" s="14" t="s">
        <v>19</v>
      </c>
      <c r="EB2" s="14" t="s">
        <v>21</v>
      </c>
      <c r="EC2" s="14" t="s">
        <v>89</v>
      </c>
      <c r="ED2" s="14" t="s">
        <v>90</v>
      </c>
      <c r="EE2" s="14" t="s">
        <v>88</v>
      </c>
      <c r="EF2" s="14" t="s">
        <v>86</v>
      </c>
      <c r="EG2" s="14" t="s">
        <v>87</v>
      </c>
      <c r="EH2" s="14" t="s">
        <v>20</v>
      </c>
      <c r="EI2" s="14" t="s">
        <v>15</v>
      </c>
      <c r="EJ2" s="65" t="s">
        <v>16</v>
      </c>
      <c r="EK2" s="65"/>
      <c r="EL2" s="65"/>
      <c r="EM2" s="65"/>
      <c r="EN2" s="65"/>
      <c r="EO2" s="65" t="s">
        <v>17</v>
      </c>
      <c r="EP2" s="65"/>
      <c r="EQ2" s="65"/>
      <c r="ER2" s="65"/>
      <c r="ES2" s="65"/>
      <c r="ET2" s="65" t="s">
        <v>88</v>
      </c>
      <c r="EU2" s="65"/>
      <c r="EV2" s="65"/>
      <c r="EW2" s="65"/>
      <c r="EX2" s="65"/>
      <c r="EY2" s="65" t="s">
        <v>20</v>
      </c>
      <c r="EZ2" s="65"/>
      <c r="FA2" s="65"/>
      <c r="FB2" s="65"/>
      <c r="FC2" s="65"/>
      <c r="FD2" s="13" t="s">
        <v>83</v>
      </c>
      <c r="FE2" s="13" t="s">
        <v>84</v>
      </c>
      <c r="FF2" s="13" t="s">
        <v>18</v>
      </c>
      <c r="FG2" s="13" t="s">
        <v>63</v>
      </c>
      <c r="FH2" s="13" t="s">
        <v>85</v>
      </c>
      <c r="FI2" s="13" t="s">
        <v>19</v>
      </c>
      <c r="FJ2" s="13" t="s">
        <v>21</v>
      </c>
      <c r="FK2" s="13" t="s">
        <v>89</v>
      </c>
      <c r="FL2" s="13" t="s">
        <v>90</v>
      </c>
      <c r="FM2" s="13" t="s">
        <v>88</v>
      </c>
      <c r="FN2" s="13" t="s">
        <v>86</v>
      </c>
      <c r="FO2" s="13" t="s">
        <v>87</v>
      </c>
      <c r="FP2" s="13" t="s">
        <v>20</v>
      </c>
      <c r="FQ2" s="13" t="s">
        <v>15</v>
      </c>
      <c r="FR2" s="68" t="s">
        <v>16</v>
      </c>
      <c r="FS2" s="68"/>
      <c r="FT2" s="68"/>
      <c r="FU2" s="68"/>
      <c r="FV2" s="68"/>
      <c r="FW2" s="68" t="s">
        <v>17</v>
      </c>
      <c r="FX2" s="68"/>
      <c r="FY2" s="68"/>
      <c r="FZ2" s="68"/>
      <c r="GA2" s="68"/>
      <c r="GB2" s="68" t="s">
        <v>88</v>
      </c>
      <c r="GC2" s="68"/>
      <c r="GD2" s="68"/>
      <c r="GE2" s="68"/>
      <c r="GF2" s="68"/>
      <c r="GG2" s="68" t="s">
        <v>20</v>
      </c>
      <c r="GH2" s="68"/>
      <c r="GI2" s="68"/>
      <c r="GJ2" s="68"/>
      <c r="GK2" s="68"/>
      <c r="GL2" s="14" t="s">
        <v>83</v>
      </c>
      <c r="GM2" s="14" t="s">
        <v>84</v>
      </c>
      <c r="GN2" s="14" t="s">
        <v>18</v>
      </c>
      <c r="GO2" s="14" t="s">
        <v>63</v>
      </c>
      <c r="GP2" s="14" t="s">
        <v>85</v>
      </c>
      <c r="GQ2" s="14" t="s">
        <v>19</v>
      </c>
      <c r="GR2" s="14" t="s">
        <v>21</v>
      </c>
      <c r="GS2" s="14" t="s">
        <v>89</v>
      </c>
      <c r="GT2" s="14" t="s">
        <v>90</v>
      </c>
      <c r="GU2" s="14" t="s">
        <v>88</v>
      </c>
      <c r="GV2" s="14" t="s">
        <v>86</v>
      </c>
      <c r="GW2" s="14" t="s">
        <v>87</v>
      </c>
      <c r="GX2" s="14" t="s">
        <v>20</v>
      </c>
      <c r="GY2" s="14" t="s">
        <v>15</v>
      </c>
      <c r="GZ2" s="65" t="s">
        <v>16</v>
      </c>
      <c r="HA2" s="65"/>
      <c r="HB2" s="65"/>
      <c r="HC2" s="65"/>
      <c r="HD2" s="65"/>
      <c r="HE2" s="65" t="s">
        <v>17</v>
      </c>
      <c r="HF2" s="65"/>
      <c r="HG2" s="65"/>
      <c r="HH2" s="65"/>
      <c r="HI2" s="65"/>
      <c r="HJ2" s="65" t="s">
        <v>88</v>
      </c>
      <c r="HK2" s="65"/>
      <c r="HL2" s="65"/>
      <c r="HM2" s="65"/>
      <c r="HN2" s="65"/>
      <c r="HO2" s="65" t="s">
        <v>20</v>
      </c>
      <c r="HP2" s="65"/>
      <c r="HQ2" s="65"/>
      <c r="HR2" s="65"/>
      <c r="HS2" s="65"/>
      <c r="HT2" s="13" t="s">
        <v>83</v>
      </c>
      <c r="HU2" s="13" t="s">
        <v>84</v>
      </c>
      <c r="HV2" s="13" t="s">
        <v>18</v>
      </c>
      <c r="HW2" s="13" t="s">
        <v>63</v>
      </c>
      <c r="HX2" s="13" t="s">
        <v>85</v>
      </c>
      <c r="HY2" s="13" t="s">
        <v>19</v>
      </c>
      <c r="HZ2" s="13" t="s">
        <v>21</v>
      </c>
      <c r="IA2" s="13" t="s">
        <v>89</v>
      </c>
      <c r="IB2" s="13" t="s">
        <v>90</v>
      </c>
      <c r="IC2" s="13" t="s">
        <v>88</v>
      </c>
      <c r="ID2" s="13" t="s">
        <v>86</v>
      </c>
      <c r="IE2" s="13" t="s">
        <v>87</v>
      </c>
      <c r="IF2" s="13" t="s">
        <v>20</v>
      </c>
      <c r="IG2" s="13" t="s">
        <v>15</v>
      </c>
      <c r="IH2" s="68" t="s">
        <v>16</v>
      </c>
      <c r="II2" s="68"/>
      <c r="IJ2" s="68"/>
      <c r="IK2" s="68"/>
      <c r="IL2" s="68"/>
      <c r="IM2" s="68" t="s">
        <v>17</v>
      </c>
      <c r="IN2" s="68"/>
      <c r="IO2" s="68"/>
      <c r="IP2" s="68"/>
      <c r="IQ2" s="68"/>
      <c r="IR2" s="68" t="s">
        <v>88</v>
      </c>
      <c r="IS2" s="68"/>
      <c r="IT2" s="68"/>
      <c r="IU2" s="68"/>
      <c r="IV2" s="68"/>
      <c r="IW2" s="68" t="s">
        <v>20</v>
      </c>
      <c r="IX2" s="68"/>
      <c r="IY2" s="68"/>
      <c r="IZ2" s="68"/>
      <c r="JA2" s="68"/>
      <c r="JB2" s="14" t="s">
        <v>83</v>
      </c>
      <c r="JC2" s="14" t="s">
        <v>84</v>
      </c>
      <c r="JD2" s="14" t="s">
        <v>18</v>
      </c>
      <c r="JE2" s="14" t="s">
        <v>63</v>
      </c>
      <c r="JF2" s="14" t="s">
        <v>85</v>
      </c>
      <c r="JG2" s="14" t="s">
        <v>19</v>
      </c>
      <c r="JH2" s="14" t="s">
        <v>21</v>
      </c>
      <c r="JI2" s="14" t="s">
        <v>89</v>
      </c>
      <c r="JJ2" s="14" t="s">
        <v>90</v>
      </c>
      <c r="JK2" s="14" t="s">
        <v>88</v>
      </c>
      <c r="JL2" s="14" t="s">
        <v>86</v>
      </c>
      <c r="JM2" s="14" t="s">
        <v>87</v>
      </c>
      <c r="JN2" s="14" t="s">
        <v>20</v>
      </c>
      <c r="JO2" s="14" t="s">
        <v>15</v>
      </c>
      <c r="JP2" s="65" t="s">
        <v>16</v>
      </c>
      <c r="JQ2" s="65"/>
      <c r="JR2" s="65"/>
      <c r="JS2" s="65"/>
      <c r="JT2" s="65"/>
      <c r="JU2" s="65" t="s">
        <v>17</v>
      </c>
      <c r="JV2" s="65"/>
      <c r="JW2" s="65"/>
      <c r="JX2" s="65"/>
      <c r="JY2" s="65"/>
      <c r="JZ2" s="65" t="s">
        <v>88</v>
      </c>
      <c r="KA2" s="65"/>
      <c r="KB2" s="65"/>
      <c r="KC2" s="65"/>
      <c r="KD2" s="65"/>
      <c r="KE2" s="65" t="s">
        <v>20</v>
      </c>
      <c r="KF2" s="65"/>
      <c r="KG2" s="65"/>
      <c r="KH2" s="65"/>
      <c r="KI2" s="65"/>
      <c r="KJ2" s="13" t="s">
        <v>83</v>
      </c>
      <c r="KK2" s="13" t="s">
        <v>84</v>
      </c>
      <c r="KL2" s="13" t="s">
        <v>18</v>
      </c>
      <c r="KM2" s="13" t="s">
        <v>63</v>
      </c>
      <c r="KN2" s="13" t="s">
        <v>85</v>
      </c>
      <c r="KO2" s="13" t="s">
        <v>19</v>
      </c>
      <c r="KP2" s="13" t="s">
        <v>21</v>
      </c>
      <c r="KQ2" s="13" t="s">
        <v>89</v>
      </c>
      <c r="KR2" s="13" t="s">
        <v>90</v>
      </c>
      <c r="KS2" s="13" t="s">
        <v>88</v>
      </c>
      <c r="KT2" s="13" t="s">
        <v>86</v>
      </c>
      <c r="KU2" s="13" t="s">
        <v>87</v>
      </c>
      <c r="KV2" s="13" t="s">
        <v>20</v>
      </c>
      <c r="KW2" s="13" t="s">
        <v>15</v>
      </c>
      <c r="KX2" s="68" t="s">
        <v>16</v>
      </c>
      <c r="KY2" s="68"/>
      <c r="KZ2" s="68"/>
      <c r="LA2" s="68"/>
      <c r="LB2" s="68"/>
      <c r="LC2" s="68" t="s">
        <v>17</v>
      </c>
      <c r="LD2" s="68"/>
      <c r="LE2" s="68"/>
      <c r="LF2" s="68"/>
      <c r="LG2" s="68"/>
      <c r="LH2" s="68" t="s">
        <v>88</v>
      </c>
      <c r="LI2" s="68"/>
      <c r="LJ2" s="68"/>
      <c r="LK2" s="68"/>
      <c r="LL2" s="68"/>
      <c r="LM2" s="68" t="s">
        <v>20</v>
      </c>
      <c r="LN2" s="68"/>
      <c r="LO2" s="68"/>
      <c r="LP2" s="68"/>
      <c r="LQ2" s="68"/>
      <c r="LR2" s="14" t="s">
        <v>83</v>
      </c>
      <c r="LS2" s="14" t="s">
        <v>84</v>
      </c>
      <c r="LT2" s="14" t="s">
        <v>18</v>
      </c>
      <c r="LU2" s="14" t="s">
        <v>63</v>
      </c>
      <c r="LV2" s="14" t="s">
        <v>85</v>
      </c>
      <c r="LW2" s="14" t="s">
        <v>19</v>
      </c>
      <c r="LX2" s="14" t="s">
        <v>21</v>
      </c>
      <c r="LY2" s="14" t="s">
        <v>89</v>
      </c>
      <c r="LZ2" s="14" t="s">
        <v>90</v>
      </c>
      <c r="MA2" s="14" t="s">
        <v>88</v>
      </c>
      <c r="MB2" s="14" t="s">
        <v>86</v>
      </c>
      <c r="MC2" s="14" t="s">
        <v>87</v>
      </c>
      <c r="MD2" s="14" t="s">
        <v>20</v>
      </c>
      <c r="ME2" s="14" t="s">
        <v>15</v>
      </c>
      <c r="MF2" s="65" t="s">
        <v>16</v>
      </c>
      <c r="MG2" s="65"/>
      <c r="MH2" s="65"/>
      <c r="MI2" s="65"/>
      <c r="MJ2" s="65"/>
      <c r="MK2" s="65" t="s">
        <v>17</v>
      </c>
      <c r="ML2" s="65"/>
      <c r="MM2" s="65"/>
      <c r="MN2" s="65"/>
      <c r="MO2" s="65"/>
      <c r="MP2" s="65" t="s">
        <v>88</v>
      </c>
      <c r="MQ2" s="65"/>
      <c r="MR2" s="65"/>
      <c r="MS2" s="65"/>
      <c r="MT2" s="65"/>
      <c r="MU2" s="65" t="s">
        <v>20</v>
      </c>
      <c r="MV2" s="65"/>
      <c r="MW2" s="65"/>
      <c r="MX2" s="65"/>
      <c r="MY2" s="65"/>
      <c r="MZ2" s="13" t="s">
        <v>83</v>
      </c>
      <c r="NA2" s="13" t="s">
        <v>84</v>
      </c>
      <c r="NB2" s="13" t="s">
        <v>18</v>
      </c>
      <c r="NC2" s="13" t="s">
        <v>63</v>
      </c>
      <c r="ND2" s="13" t="s">
        <v>85</v>
      </c>
      <c r="NE2" s="13" t="s">
        <v>19</v>
      </c>
      <c r="NF2" s="13" t="s">
        <v>21</v>
      </c>
      <c r="NG2" s="13" t="s">
        <v>89</v>
      </c>
      <c r="NH2" s="13" t="s">
        <v>90</v>
      </c>
      <c r="NI2" s="13" t="s">
        <v>88</v>
      </c>
      <c r="NJ2" s="13" t="s">
        <v>86</v>
      </c>
      <c r="NK2" s="13" t="s">
        <v>87</v>
      </c>
      <c r="NL2" s="13" t="s">
        <v>20</v>
      </c>
      <c r="NM2" s="13" t="s">
        <v>15</v>
      </c>
      <c r="NN2" s="68" t="s">
        <v>16</v>
      </c>
      <c r="NO2" s="68"/>
      <c r="NP2" s="68"/>
      <c r="NQ2" s="68"/>
      <c r="NR2" s="68"/>
      <c r="NS2" s="68" t="s">
        <v>17</v>
      </c>
      <c r="NT2" s="68"/>
      <c r="NU2" s="68"/>
      <c r="NV2" s="68"/>
      <c r="NW2" s="68"/>
      <c r="NX2" s="68" t="s">
        <v>88</v>
      </c>
      <c r="NY2" s="68"/>
      <c r="NZ2" s="68"/>
      <c r="OA2" s="68"/>
      <c r="OB2" s="68"/>
      <c r="OC2" s="68" t="s">
        <v>20</v>
      </c>
      <c r="OD2" s="68"/>
      <c r="OE2" s="68"/>
      <c r="OF2" s="68"/>
      <c r="OG2" s="68"/>
      <c r="OH2" s="14" t="s">
        <v>83</v>
      </c>
      <c r="OI2" s="14" t="s">
        <v>84</v>
      </c>
      <c r="OJ2" s="14" t="s">
        <v>18</v>
      </c>
      <c r="OK2" s="14" t="s">
        <v>63</v>
      </c>
      <c r="OL2" s="14" t="s">
        <v>85</v>
      </c>
      <c r="OM2" s="14" t="s">
        <v>19</v>
      </c>
      <c r="ON2" s="14" t="s">
        <v>21</v>
      </c>
      <c r="OO2" s="14" t="s">
        <v>89</v>
      </c>
      <c r="OP2" s="14" t="s">
        <v>90</v>
      </c>
      <c r="OQ2" s="14" t="s">
        <v>88</v>
      </c>
      <c r="OR2" s="14" t="s">
        <v>86</v>
      </c>
      <c r="OS2" s="14" t="s">
        <v>87</v>
      </c>
      <c r="OT2" s="14" t="s">
        <v>20</v>
      </c>
      <c r="OU2" s="14" t="s">
        <v>15</v>
      </c>
      <c r="OV2" s="65" t="s">
        <v>16</v>
      </c>
      <c r="OW2" s="65"/>
      <c r="OX2" s="65"/>
      <c r="OY2" s="65"/>
      <c r="OZ2" s="65"/>
      <c r="PA2" s="65" t="s">
        <v>17</v>
      </c>
      <c r="PB2" s="65"/>
      <c r="PC2" s="65"/>
      <c r="PD2" s="65"/>
      <c r="PE2" s="65"/>
      <c r="PF2" s="65" t="s">
        <v>88</v>
      </c>
      <c r="PG2" s="65"/>
      <c r="PH2" s="65"/>
      <c r="PI2" s="65"/>
      <c r="PJ2" s="65"/>
      <c r="PK2" s="65" t="s">
        <v>20</v>
      </c>
      <c r="PL2" s="65"/>
      <c r="PM2" s="65"/>
      <c r="PN2" s="65"/>
      <c r="PO2" s="65"/>
      <c r="PP2" s="13" t="s">
        <v>83</v>
      </c>
      <c r="PQ2" s="13" t="s">
        <v>84</v>
      </c>
      <c r="PR2" s="13" t="s">
        <v>18</v>
      </c>
      <c r="PS2" s="13" t="s">
        <v>63</v>
      </c>
      <c r="PT2" s="13" t="s">
        <v>85</v>
      </c>
      <c r="PU2" s="13" t="s">
        <v>19</v>
      </c>
      <c r="PV2" s="13" t="s">
        <v>21</v>
      </c>
      <c r="PW2" s="13" t="s">
        <v>89</v>
      </c>
      <c r="PX2" s="13" t="s">
        <v>90</v>
      </c>
      <c r="PY2" s="13" t="s">
        <v>88</v>
      </c>
      <c r="PZ2" s="13" t="s">
        <v>86</v>
      </c>
      <c r="QA2" s="13" t="s">
        <v>87</v>
      </c>
      <c r="QB2" s="13" t="s">
        <v>20</v>
      </c>
      <c r="QC2" s="13" t="s">
        <v>15</v>
      </c>
      <c r="QD2" s="68" t="s">
        <v>16</v>
      </c>
      <c r="QE2" s="68"/>
      <c r="QF2" s="68"/>
      <c r="QG2" s="68"/>
      <c r="QH2" s="68"/>
      <c r="QI2" s="68" t="s">
        <v>17</v>
      </c>
      <c r="QJ2" s="68"/>
      <c r="QK2" s="68"/>
      <c r="QL2" s="68"/>
      <c r="QM2" s="68"/>
      <c r="QN2" s="68" t="s">
        <v>88</v>
      </c>
      <c r="QO2" s="68"/>
      <c r="QP2" s="68"/>
      <c r="QQ2" s="68"/>
      <c r="QR2" s="68"/>
      <c r="QS2" s="68" t="s">
        <v>20</v>
      </c>
      <c r="QT2" s="68"/>
      <c r="QU2" s="68"/>
      <c r="QV2" s="68"/>
      <c r="QW2" s="68"/>
      <c r="QX2" s="14" t="s">
        <v>83</v>
      </c>
      <c r="QY2" s="14" t="s">
        <v>84</v>
      </c>
      <c r="QZ2" s="14" t="s">
        <v>18</v>
      </c>
      <c r="RA2" s="14" t="s">
        <v>63</v>
      </c>
      <c r="RB2" s="14" t="s">
        <v>85</v>
      </c>
      <c r="RC2" s="14" t="s">
        <v>19</v>
      </c>
      <c r="RD2" s="14" t="s">
        <v>21</v>
      </c>
      <c r="RE2" s="14" t="s">
        <v>89</v>
      </c>
      <c r="RF2" s="14" t="s">
        <v>90</v>
      </c>
      <c r="RG2" s="14" t="s">
        <v>88</v>
      </c>
      <c r="RH2" s="14" t="s">
        <v>86</v>
      </c>
      <c r="RI2" s="14" t="s">
        <v>87</v>
      </c>
      <c r="RJ2" s="14" t="s">
        <v>20</v>
      </c>
      <c r="RK2" s="14" t="s">
        <v>15</v>
      </c>
      <c r="RL2" s="65" t="s">
        <v>16</v>
      </c>
      <c r="RM2" s="65"/>
      <c r="RN2" s="65"/>
      <c r="RO2" s="65"/>
      <c r="RP2" s="65"/>
      <c r="RQ2" s="65" t="s">
        <v>17</v>
      </c>
      <c r="RR2" s="65"/>
      <c r="RS2" s="65"/>
      <c r="RT2" s="65"/>
      <c r="RU2" s="65"/>
      <c r="RV2" s="65" t="s">
        <v>88</v>
      </c>
      <c r="RW2" s="65"/>
      <c r="RX2" s="65"/>
      <c r="RY2" s="65"/>
      <c r="RZ2" s="65"/>
      <c r="SA2" s="65" t="s">
        <v>20</v>
      </c>
      <c r="SB2" s="65"/>
      <c r="SC2" s="65"/>
      <c r="SD2" s="65"/>
      <c r="SE2" s="65"/>
      <c r="SF2" s="13" t="s">
        <v>83</v>
      </c>
      <c r="SG2" s="13" t="s">
        <v>84</v>
      </c>
      <c r="SH2" s="13" t="s">
        <v>18</v>
      </c>
      <c r="SI2" s="13" t="s">
        <v>63</v>
      </c>
      <c r="SJ2" s="13" t="s">
        <v>85</v>
      </c>
      <c r="SK2" s="13" t="s">
        <v>19</v>
      </c>
      <c r="SL2" s="13" t="s">
        <v>21</v>
      </c>
      <c r="SM2" s="13" t="s">
        <v>89</v>
      </c>
      <c r="SN2" s="13" t="s">
        <v>90</v>
      </c>
      <c r="SO2" s="13" t="s">
        <v>88</v>
      </c>
      <c r="SP2" s="13" t="s">
        <v>86</v>
      </c>
      <c r="SQ2" s="13" t="s">
        <v>87</v>
      </c>
      <c r="SR2" s="13" t="s">
        <v>20</v>
      </c>
      <c r="SS2" s="13" t="s">
        <v>15</v>
      </c>
      <c r="ST2" s="68" t="s">
        <v>16</v>
      </c>
      <c r="SU2" s="68"/>
      <c r="SV2" s="68"/>
      <c r="SW2" s="68"/>
      <c r="SX2" s="68"/>
      <c r="SY2" s="68" t="s">
        <v>17</v>
      </c>
      <c r="SZ2" s="68"/>
      <c r="TA2" s="68"/>
      <c r="TB2" s="68"/>
      <c r="TC2" s="68"/>
      <c r="TD2" s="68" t="s">
        <v>20</v>
      </c>
      <c r="TE2" s="68"/>
      <c r="TF2" s="68"/>
      <c r="TG2" s="68"/>
      <c r="TH2" s="68"/>
      <c r="TI2" s="14"/>
      <c r="TJ2" s="14" t="s">
        <v>83</v>
      </c>
      <c r="TK2" s="14" t="s">
        <v>84</v>
      </c>
      <c r="TL2" s="14" t="s">
        <v>18</v>
      </c>
      <c r="TM2" s="14" t="s">
        <v>63</v>
      </c>
      <c r="TN2" s="14" t="s">
        <v>85</v>
      </c>
      <c r="TO2" s="14" t="s">
        <v>19</v>
      </c>
      <c r="TP2" s="14" t="s">
        <v>21</v>
      </c>
      <c r="TQ2" s="14" t="s">
        <v>86</v>
      </c>
      <c r="TR2" s="14" t="s">
        <v>87</v>
      </c>
      <c r="TS2" s="14" t="s">
        <v>20</v>
      </c>
      <c r="TT2" s="14" t="s">
        <v>15</v>
      </c>
    </row>
    <row r="3" spans="1:540" x14ac:dyDescent="0.2">
      <c r="A3" s="71"/>
      <c r="B3" s="71"/>
      <c r="C3" s="71"/>
      <c r="D3" s="71"/>
      <c r="E3" s="71"/>
      <c r="F3" s="74"/>
      <c r="G3" s="71"/>
      <c r="H3" s="71"/>
      <c r="I3" s="71"/>
      <c r="J3" s="72"/>
      <c r="K3" s="70"/>
      <c r="L3" s="72"/>
      <c r="M3" s="70"/>
      <c r="N3" s="72"/>
      <c r="O3" s="70"/>
      <c r="P3" s="70"/>
      <c r="Q3" s="70"/>
      <c r="R3" s="72"/>
      <c r="S3" s="70"/>
      <c r="T3" s="73"/>
      <c r="U3" s="70"/>
      <c r="V3" s="70"/>
      <c r="W3" s="14" t="s">
        <v>12</v>
      </c>
      <c r="X3" s="14" t="s">
        <v>13</v>
      </c>
      <c r="Y3" s="14" t="s">
        <v>7</v>
      </c>
      <c r="Z3" s="14" t="s">
        <v>14</v>
      </c>
      <c r="AA3" s="14" t="s">
        <v>23</v>
      </c>
      <c r="AB3" s="14" t="s">
        <v>12</v>
      </c>
      <c r="AC3" s="14" t="s">
        <v>13</v>
      </c>
      <c r="AD3" s="14" t="s">
        <v>7</v>
      </c>
      <c r="AE3" s="14" t="s">
        <v>14</v>
      </c>
      <c r="AF3" s="14" t="s">
        <v>23</v>
      </c>
      <c r="AG3" s="14" t="s">
        <v>12</v>
      </c>
      <c r="AH3" s="14" t="s">
        <v>13</v>
      </c>
      <c r="AI3" s="14" t="s">
        <v>7</v>
      </c>
      <c r="AJ3" s="14" t="s">
        <v>14</v>
      </c>
      <c r="AK3" s="14" t="s">
        <v>23</v>
      </c>
      <c r="AL3" s="14" t="s">
        <v>45</v>
      </c>
      <c r="AM3" s="14"/>
      <c r="AN3" s="14"/>
      <c r="AO3" s="14"/>
      <c r="AP3" s="14"/>
      <c r="AQ3" s="14"/>
      <c r="AR3" s="14"/>
      <c r="AS3" s="14"/>
      <c r="AT3" s="14"/>
      <c r="AU3" s="14"/>
      <c r="AV3" s="14"/>
      <c r="AW3" s="14"/>
      <c r="AX3" s="13" t="s">
        <v>12</v>
      </c>
      <c r="AY3" s="13" t="s">
        <v>13</v>
      </c>
      <c r="AZ3" s="13" t="s">
        <v>7</v>
      </c>
      <c r="BA3" s="13" t="s">
        <v>14</v>
      </c>
      <c r="BB3" s="13" t="s">
        <v>23</v>
      </c>
      <c r="BC3" s="13" t="s">
        <v>12</v>
      </c>
      <c r="BD3" s="13" t="s">
        <v>13</v>
      </c>
      <c r="BE3" s="13" t="s">
        <v>7</v>
      </c>
      <c r="BF3" s="13" t="s">
        <v>14</v>
      </c>
      <c r="BG3" s="13" t="s">
        <v>23</v>
      </c>
      <c r="BH3" s="13" t="s">
        <v>12</v>
      </c>
      <c r="BI3" s="13" t="s">
        <v>13</v>
      </c>
      <c r="BJ3" s="13" t="s">
        <v>7</v>
      </c>
      <c r="BK3" s="13" t="s">
        <v>14</v>
      </c>
      <c r="BL3" s="13" t="s">
        <v>23</v>
      </c>
      <c r="BM3" s="13" t="s">
        <v>45</v>
      </c>
      <c r="BN3" s="13"/>
      <c r="BO3" s="13"/>
      <c r="BP3" s="13"/>
      <c r="BQ3" s="13"/>
      <c r="BR3" s="13"/>
      <c r="BS3" s="13"/>
      <c r="BT3" s="13"/>
      <c r="BU3" s="13"/>
      <c r="BV3" s="13"/>
      <c r="BW3" s="13"/>
      <c r="BX3" s="13"/>
      <c r="BY3" s="14" t="s">
        <v>12</v>
      </c>
      <c r="BZ3" s="14" t="s">
        <v>13</v>
      </c>
      <c r="CA3" s="14" t="s">
        <v>7</v>
      </c>
      <c r="CB3" s="14" t="s">
        <v>14</v>
      </c>
      <c r="CC3" s="14" t="s">
        <v>23</v>
      </c>
      <c r="CD3" s="14" t="s">
        <v>12</v>
      </c>
      <c r="CE3" s="14" t="s">
        <v>13</v>
      </c>
      <c r="CF3" s="14" t="s">
        <v>7</v>
      </c>
      <c r="CG3" s="14" t="s">
        <v>14</v>
      </c>
      <c r="CH3" s="14" t="s">
        <v>23</v>
      </c>
      <c r="CI3" s="14" t="s">
        <v>12</v>
      </c>
      <c r="CJ3" s="14" t="s">
        <v>13</v>
      </c>
      <c r="CK3" s="14" t="s">
        <v>7</v>
      </c>
      <c r="CL3" s="14" t="s">
        <v>14</v>
      </c>
      <c r="CM3" s="14" t="s">
        <v>23</v>
      </c>
      <c r="CN3" s="14" t="s">
        <v>45</v>
      </c>
      <c r="CO3" s="14"/>
      <c r="CP3" s="14"/>
      <c r="CQ3" s="14"/>
      <c r="CR3" s="14"/>
      <c r="CS3" s="14"/>
      <c r="CT3" s="14"/>
      <c r="CU3" s="14"/>
      <c r="CV3" s="14"/>
      <c r="CW3" s="14"/>
      <c r="CX3" s="14"/>
      <c r="CY3" s="14"/>
      <c r="CZ3" s="49"/>
      <c r="DA3" s="49"/>
      <c r="DB3" s="14" t="s">
        <v>12</v>
      </c>
      <c r="DC3" s="14" t="s">
        <v>13</v>
      </c>
      <c r="DD3" s="14" t="s">
        <v>7</v>
      </c>
      <c r="DE3" s="14" t="s">
        <v>14</v>
      </c>
      <c r="DF3" s="14" t="s">
        <v>23</v>
      </c>
      <c r="DG3" s="14" t="s">
        <v>12</v>
      </c>
      <c r="DH3" s="14" t="s">
        <v>13</v>
      </c>
      <c r="DI3" s="14" t="s">
        <v>7</v>
      </c>
      <c r="DJ3" s="14" t="s">
        <v>14</v>
      </c>
      <c r="DK3" s="14" t="s">
        <v>23</v>
      </c>
      <c r="DL3" s="14" t="s">
        <v>12</v>
      </c>
      <c r="DM3" s="14" t="s">
        <v>13</v>
      </c>
      <c r="DN3" s="14" t="s">
        <v>7</v>
      </c>
      <c r="DO3" s="14" t="s">
        <v>14</v>
      </c>
      <c r="DP3" s="14" t="s">
        <v>23</v>
      </c>
      <c r="DQ3" s="14" t="s">
        <v>12</v>
      </c>
      <c r="DR3" s="14" t="s">
        <v>13</v>
      </c>
      <c r="DS3" s="14" t="s">
        <v>7</v>
      </c>
      <c r="DT3" s="14" t="s">
        <v>14</v>
      </c>
      <c r="DU3" s="14" t="s">
        <v>23</v>
      </c>
      <c r="DV3" s="6"/>
      <c r="DW3" s="6"/>
      <c r="DX3" s="6"/>
      <c r="DY3" s="6"/>
      <c r="DZ3" s="6"/>
      <c r="EA3" s="6"/>
      <c r="EB3" s="6"/>
      <c r="EC3" s="6"/>
      <c r="ED3" s="6"/>
      <c r="EE3" s="6"/>
      <c r="EF3" s="6"/>
      <c r="EG3" s="6"/>
      <c r="EH3" s="6"/>
      <c r="EI3" s="14"/>
      <c r="EJ3" s="13" t="s">
        <v>12</v>
      </c>
      <c r="EK3" s="13" t="s">
        <v>13</v>
      </c>
      <c r="EL3" s="13" t="s">
        <v>7</v>
      </c>
      <c r="EM3" s="13" t="s">
        <v>14</v>
      </c>
      <c r="EN3" s="13" t="s">
        <v>23</v>
      </c>
      <c r="EO3" s="13" t="s">
        <v>12</v>
      </c>
      <c r="EP3" s="13" t="s">
        <v>13</v>
      </c>
      <c r="EQ3" s="13" t="s">
        <v>7</v>
      </c>
      <c r="ER3" s="13" t="s">
        <v>14</v>
      </c>
      <c r="ES3" s="13" t="s">
        <v>23</v>
      </c>
      <c r="ET3" s="13" t="s">
        <v>12</v>
      </c>
      <c r="EU3" s="13" t="s">
        <v>13</v>
      </c>
      <c r="EV3" s="13" t="s">
        <v>7</v>
      </c>
      <c r="EW3" s="13" t="s">
        <v>14</v>
      </c>
      <c r="EX3" s="13" t="s">
        <v>23</v>
      </c>
      <c r="EY3" s="13" t="s">
        <v>12</v>
      </c>
      <c r="EZ3" s="13" t="s">
        <v>13</v>
      </c>
      <c r="FA3" s="13" t="s">
        <v>7</v>
      </c>
      <c r="FB3" s="13" t="s">
        <v>14</v>
      </c>
      <c r="FC3" s="13" t="s">
        <v>23</v>
      </c>
      <c r="FD3" s="7"/>
      <c r="FE3" s="7"/>
      <c r="FF3" s="7"/>
      <c r="FG3" s="7"/>
      <c r="FH3" s="7"/>
      <c r="FI3" s="7"/>
      <c r="FJ3" s="7"/>
      <c r="FK3" s="7"/>
      <c r="FL3" s="7"/>
      <c r="FM3" s="7"/>
      <c r="FN3" s="7"/>
      <c r="FO3" s="7"/>
      <c r="FP3" s="7"/>
      <c r="FQ3" s="13"/>
      <c r="FR3" s="14" t="s">
        <v>12</v>
      </c>
      <c r="FS3" s="14" t="s">
        <v>13</v>
      </c>
      <c r="FT3" s="14" t="s">
        <v>7</v>
      </c>
      <c r="FU3" s="14" t="s">
        <v>14</v>
      </c>
      <c r="FV3" s="14" t="s">
        <v>23</v>
      </c>
      <c r="FW3" s="14" t="s">
        <v>12</v>
      </c>
      <c r="FX3" s="14" t="s">
        <v>13</v>
      </c>
      <c r="FY3" s="14" t="s">
        <v>7</v>
      </c>
      <c r="FZ3" s="14" t="s">
        <v>14</v>
      </c>
      <c r="GA3" s="14" t="s">
        <v>23</v>
      </c>
      <c r="GB3" s="14" t="s">
        <v>12</v>
      </c>
      <c r="GC3" s="14" t="s">
        <v>13</v>
      </c>
      <c r="GD3" s="14" t="s">
        <v>7</v>
      </c>
      <c r="GE3" s="14" t="s">
        <v>14</v>
      </c>
      <c r="GF3" s="14" t="s">
        <v>23</v>
      </c>
      <c r="GG3" s="14" t="s">
        <v>12</v>
      </c>
      <c r="GH3" s="14" t="s">
        <v>13</v>
      </c>
      <c r="GI3" s="14" t="s">
        <v>7</v>
      </c>
      <c r="GJ3" s="14" t="s">
        <v>14</v>
      </c>
      <c r="GK3" s="14" t="s">
        <v>23</v>
      </c>
      <c r="GL3" s="6"/>
      <c r="GM3" s="6"/>
      <c r="GN3" s="6"/>
      <c r="GO3" s="6"/>
      <c r="GP3" s="6"/>
      <c r="GQ3" s="6"/>
      <c r="GR3" s="6"/>
      <c r="GS3" s="6"/>
      <c r="GT3" s="6"/>
      <c r="GU3" s="6"/>
      <c r="GV3" s="6"/>
      <c r="GW3" s="6"/>
      <c r="GX3" s="6"/>
      <c r="GY3" s="14"/>
      <c r="GZ3" s="13" t="s">
        <v>12</v>
      </c>
      <c r="HA3" s="13" t="s">
        <v>13</v>
      </c>
      <c r="HB3" s="13" t="s">
        <v>7</v>
      </c>
      <c r="HC3" s="13" t="s">
        <v>14</v>
      </c>
      <c r="HD3" s="13" t="s">
        <v>23</v>
      </c>
      <c r="HE3" s="13" t="s">
        <v>12</v>
      </c>
      <c r="HF3" s="13" t="s">
        <v>13</v>
      </c>
      <c r="HG3" s="13" t="s">
        <v>7</v>
      </c>
      <c r="HH3" s="13" t="s">
        <v>14</v>
      </c>
      <c r="HI3" s="13" t="s">
        <v>23</v>
      </c>
      <c r="HJ3" s="13" t="s">
        <v>12</v>
      </c>
      <c r="HK3" s="13" t="s">
        <v>13</v>
      </c>
      <c r="HL3" s="13" t="s">
        <v>7</v>
      </c>
      <c r="HM3" s="13" t="s">
        <v>14</v>
      </c>
      <c r="HN3" s="13" t="s">
        <v>23</v>
      </c>
      <c r="HO3" s="13" t="s">
        <v>12</v>
      </c>
      <c r="HP3" s="13" t="s">
        <v>13</v>
      </c>
      <c r="HQ3" s="13" t="s">
        <v>7</v>
      </c>
      <c r="HR3" s="13" t="s">
        <v>14</v>
      </c>
      <c r="HS3" s="13" t="s">
        <v>23</v>
      </c>
      <c r="HT3" s="7"/>
      <c r="HU3" s="7"/>
      <c r="HV3" s="7"/>
      <c r="HW3" s="7"/>
      <c r="HX3" s="7"/>
      <c r="HY3" s="7"/>
      <c r="HZ3" s="7"/>
      <c r="IA3" s="7"/>
      <c r="IB3" s="7"/>
      <c r="IC3" s="7"/>
      <c r="ID3" s="7"/>
      <c r="IE3" s="7"/>
      <c r="IF3" s="7"/>
      <c r="IG3" s="13"/>
      <c r="IH3" s="14" t="s">
        <v>12</v>
      </c>
      <c r="II3" s="14" t="s">
        <v>13</v>
      </c>
      <c r="IJ3" s="14" t="s">
        <v>7</v>
      </c>
      <c r="IK3" s="14" t="s">
        <v>14</v>
      </c>
      <c r="IL3" s="14" t="s">
        <v>23</v>
      </c>
      <c r="IM3" s="14" t="s">
        <v>12</v>
      </c>
      <c r="IN3" s="14" t="s">
        <v>13</v>
      </c>
      <c r="IO3" s="14" t="s">
        <v>7</v>
      </c>
      <c r="IP3" s="14" t="s">
        <v>14</v>
      </c>
      <c r="IQ3" s="14" t="s">
        <v>23</v>
      </c>
      <c r="IR3" s="14" t="s">
        <v>12</v>
      </c>
      <c r="IS3" s="14" t="s">
        <v>13</v>
      </c>
      <c r="IT3" s="14" t="s">
        <v>7</v>
      </c>
      <c r="IU3" s="14" t="s">
        <v>14</v>
      </c>
      <c r="IV3" s="14" t="s">
        <v>23</v>
      </c>
      <c r="IW3" s="14" t="s">
        <v>12</v>
      </c>
      <c r="IX3" s="14" t="s">
        <v>13</v>
      </c>
      <c r="IY3" s="14" t="s">
        <v>7</v>
      </c>
      <c r="IZ3" s="14" t="s">
        <v>14</v>
      </c>
      <c r="JA3" s="14" t="s">
        <v>23</v>
      </c>
      <c r="JB3" s="6"/>
      <c r="JC3" s="6"/>
      <c r="JD3" s="6"/>
      <c r="JE3" s="6"/>
      <c r="JF3" s="6"/>
      <c r="JG3" s="6"/>
      <c r="JH3" s="6"/>
      <c r="JI3" s="6"/>
      <c r="JJ3" s="6"/>
      <c r="JK3" s="6"/>
      <c r="JL3" s="6"/>
      <c r="JM3" s="6"/>
      <c r="JN3" s="6"/>
      <c r="JO3" s="14"/>
      <c r="JP3" s="13" t="s">
        <v>12</v>
      </c>
      <c r="JQ3" s="13" t="s">
        <v>13</v>
      </c>
      <c r="JR3" s="13" t="s">
        <v>7</v>
      </c>
      <c r="JS3" s="13" t="s">
        <v>14</v>
      </c>
      <c r="JT3" s="13" t="s">
        <v>23</v>
      </c>
      <c r="JU3" s="13" t="s">
        <v>12</v>
      </c>
      <c r="JV3" s="13" t="s">
        <v>13</v>
      </c>
      <c r="JW3" s="13" t="s">
        <v>7</v>
      </c>
      <c r="JX3" s="13" t="s">
        <v>14</v>
      </c>
      <c r="JY3" s="13" t="s">
        <v>23</v>
      </c>
      <c r="JZ3" s="13" t="s">
        <v>12</v>
      </c>
      <c r="KA3" s="13" t="s">
        <v>13</v>
      </c>
      <c r="KB3" s="13" t="s">
        <v>7</v>
      </c>
      <c r="KC3" s="13" t="s">
        <v>14</v>
      </c>
      <c r="KD3" s="13" t="s">
        <v>23</v>
      </c>
      <c r="KE3" s="13" t="s">
        <v>12</v>
      </c>
      <c r="KF3" s="13" t="s">
        <v>13</v>
      </c>
      <c r="KG3" s="13" t="s">
        <v>7</v>
      </c>
      <c r="KH3" s="13" t="s">
        <v>14</v>
      </c>
      <c r="KI3" s="13" t="s">
        <v>23</v>
      </c>
      <c r="KJ3" s="7"/>
      <c r="KK3" s="7"/>
      <c r="KL3" s="7"/>
      <c r="KM3" s="7"/>
      <c r="KN3" s="7"/>
      <c r="KO3" s="7"/>
      <c r="KP3" s="7"/>
      <c r="KQ3" s="7"/>
      <c r="KR3" s="7"/>
      <c r="KS3" s="7"/>
      <c r="KT3" s="7"/>
      <c r="KU3" s="7"/>
      <c r="KV3" s="7"/>
      <c r="KW3" s="7"/>
      <c r="KX3" s="14" t="s">
        <v>12</v>
      </c>
      <c r="KY3" s="14" t="s">
        <v>13</v>
      </c>
      <c r="KZ3" s="14" t="s">
        <v>7</v>
      </c>
      <c r="LA3" s="14" t="s">
        <v>14</v>
      </c>
      <c r="LB3" s="14" t="s">
        <v>23</v>
      </c>
      <c r="LC3" s="14" t="s">
        <v>12</v>
      </c>
      <c r="LD3" s="14" t="s">
        <v>13</v>
      </c>
      <c r="LE3" s="14" t="s">
        <v>7</v>
      </c>
      <c r="LF3" s="14" t="s">
        <v>14</v>
      </c>
      <c r="LG3" s="14" t="s">
        <v>23</v>
      </c>
      <c r="LH3" s="14" t="s">
        <v>12</v>
      </c>
      <c r="LI3" s="14" t="s">
        <v>13</v>
      </c>
      <c r="LJ3" s="14" t="s">
        <v>7</v>
      </c>
      <c r="LK3" s="14" t="s">
        <v>14</v>
      </c>
      <c r="LL3" s="14" t="s">
        <v>23</v>
      </c>
      <c r="LM3" s="14" t="s">
        <v>12</v>
      </c>
      <c r="LN3" s="14" t="s">
        <v>13</v>
      </c>
      <c r="LO3" s="14" t="s">
        <v>7</v>
      </c>
      <c r="LP3" s="14" t="s">
        <v>14</v>
      </c>
      <c r="LQ3" s="14" t="s">
        <v>23</v>
      </c>
      <c r="LR3" s="6"/>
      <c r="LS3" s="6"/>
      <c r="LT3" s="6"/>
      <c r="LU3" s="6"/>
      <c r="LV3" s="6"/>
      <c r="LW3" s="6"/>
      <c r="LX3" s="6"/>
      <c r="LY3" s="6"/>
      <c r="LZ3" s="6"/>
      <c r="MA3" s="6"/>
      <c r="MB3" s="6"/>
      <c r="MC3" s="6"/>
      <c r="MD3" s="6"/>
      <c r="ME3" s="6"/>
      <c r="MF3" s="13" t="s">
        <v>12</v>
      </c>
      <c r="MG3" s="13" t="s">
        <v>13</v>
      </c>
      <c r="MH3" s="13" t="s">
        <v>7</v>
      </c>
      <c r="MI3" s="13" t="s">
        <v>14</v>
      </c>
      <c r="MJ3" s="13" t="s">
        <v>23</v>
      </c>
      <c r="MK3" s="13" t="s">
        <v>12</v>
      </c>
      <c r="ML3" s="13" t="s">
        <v>13</v>
      </c>
      <c r="MM3" s="13" t="s">
        <v>7</v>
      </c>
      <c r="MN3" s="13" t="s">
        <v>14</v>
      </c>
      <c r="MO3" s="13" t="s">
        <v>23</v>
      </c>
      <c r="MP3" s="13" t="s">
        <v>12</v>
      </c>
      <c r="MQ3" s="13" t="s">
        <v>13</v>
      </c>
      <c r="MR3" s="13" t="s">
        <v>7</v>
      </c>
      <c r="MS3" s="13" t="s">
        <v>14</v>
      </c>
      <c r="MT3" s="13" t="s">
        <v>23</v>
      </c>
      <c r="MU3" s="13" t="s">
        <v>12</v>
      </c>
      <c r="MV3" s="13" t="s">
        <v>13</v>
      </c>
      <c r="MW3" s="13" t="s">
        <v>7</v>
      </c>
      <c r="MX3" s="13" t="s">
        <v>14</v>
      </c>
      <c r="MY3" s="13" t="s">
        <v>23</v>
      </c>
      <c r="MZ3" s="7"/>
      <c r="NA3" s="7"/>
      <c r="NB3" s="7"/>
      <c r="NC3" s="7"/>
      <c r="ND3" s="7"/>
      <c r="NE3" s="7"/>
      <c r="NF3" s="7"/>
      <c r="NG3" s="7"/>
      <c r="NH3" s="7"/>
      <c r="NI3" s="7"/>
      <c r="NJ3" s="7"/>
      <c r="NK3" s="7"/>
      <c r="NL3" s="7"/>
      <c r="NM3" s="7"/>
      <c r="NN3" s="14" t="s">
        <v>12</v>
      </c>
      <c r="NO3" s="14" t="s">
        <v>13</v>
      </c>
      <c r="NP3" s="14" t="s">
        <v>7</v>
      </c>
      <c r="NQ3" s="14" t="s">
        <v>14</v>
      </c>
      <c r="NR3" s="14" t="s">
        <v>23</v>
      </c>
      <c r="NS3" s="14" t="s">
        <v>12</v>
      </c>
      <c r="NT3" s="14" t="s">
        <v>13</v>
      </c>
      <c r="NU3" s="14" t="s">
        <v>7</v>
      </c>
      <c r="NV3" s="14" t="s">
        <v>14</v>
      </c>
      <c r="NW3" s="14" t="s">
        <v>23</v>
      </c>
      <c r="NX3" s="14" t="s">
        <v>12</v>
      </c>
      <c r="NY3" s="14" t="s">
        <v>13</v>
      </c>
      <c r="NZ3" s="14" t="s">
        <v>7</v>
      </c>
      <c r="OA3" s="14" t="s">
        <v>14</v>
      </c>
      <c r="OB3" s="14" t="s">
        <v>23</v>
      </c>
      <c r="OC3" s="14" t="s">
        <v>12</v>
      </c>
      <c r="OD3" s="14" t="s">
        <v>13</v>
      </c>
      <c r="OE3" s="14" t="s">
        <v>7</v>
      </c>
      <c r="OF3" s="14" t="s">
        <v>14</v>
      </c>
      <c r="OG3" s="14" t="s">
        <v>23</v>
      </c>
      <c r="OH3" s="6"/>
      <c r="OI3" s="6"/>
      <c r="OJ3" s="6"/>
      <c r="OK3" s="6"/>
      <c r="OL3" s="6"/>
      <c r="OM3" s="6"/>
      <c r="ON3" s="6"/>
      <c r="OO3" s="6"/>
      <c r="OP3" s="6"/>
      <c r="OQ3" s="6"/>
      <c r="OR3" s="6"/>
      <c r="OS3" s="6"/>
      <c r="OT3" s="6"/>
      <c r="OU3" s="6"/>
      <c r="OV3" s="13" t="s">
        <v>12</v>
      </c>
      <c r="OW3" s="13" t="s">
        <v>13</v>
      </c>
      <c r="OX3" s="13" t="s">
        <v>7</v>
      </c>
      <c r="OY3" s="13" t="s">
        <v>14</v>
      </c>
      <c r="OZ3" s="13" t="s">
        <v>23</v>
      </c>
      <c r="PA3" s="13" t="s">
        <v>12</v>
      </c>
      <c r="PB3" s="13" t="s">
        <v>13</v>
      </c>
      <c r="PC3" s="13" t="s">
        <v>7</v>
      </c>
      <c r="PD3" s="13" t="s">
        <v>14</v>
      </c>
      <c r="PE3" s="13" t="s">
        <v>23</v>
      </c>
      <c r="PF3" s="13" t="s">
        <v>12</v>
      </c>
      <c r="PG3" s="13" t="s">
        <v>13</v>
      </c>
      <c r="PH3" s="13" t="s">
        <v>7</v>
      </c>
      <c r="PI3" s="13" t="s">
        <v>14</v>
      </c>
      <c r="PJ3" s="13" t="s">
        <v>23</v>
      </c>
      <c r="PK3" s="13" t="s">
        <v>12</v>
      </c>
      <c r="PL3" s="13" t="s">
        <v>13</v>
      </c>
      <c r="PM3" s="13" t="s">
        <v>7</v>
      </c>
      <c r="PN3" s="13" t="s">
        <v>14</v>
      </c>
      <c r="PO3" s="13" t="s">
        <v>23</v>
      </c>
      <c r="PP3" s="7"/>
      <c r="PQ3" s="7"/>
      <c r="PR3" s="7"/>
      <c r="PS3" s="7"/>
      <c r="PT3" s="7"/>
      <c r="PU3" s="7"/>
      <c r="PV3" s="7"/>
      <c r="PW3" s="7"/>
      <c r="PX3" s="7"/>
      <c r="PY3" s="7"/>
      <c r="PZ3" s="7"/>
      <c r="QA3" s="7"/>
      <c r="QB3" s="7"/>
      <c r="QC3" s="7"/>
      <c r="QD3" s="14" t="s">
        <v>12</v>
      </c>
      <c r="QE3" s="14" t="s">
        <v>13</v>
      </c>
      <c r="QF3" s="14" t="s">
        <v>7</v>
      </c>
      <c r="QG3" s="14" t="s">
        <v>14</v>
      </c>
      <c r="QH3" s="14" t="s">
        <v>23</v>
      </c>
      <c r="QI3" s="14" t="s">
        <v>12</v>
      </c>
      <c r="QJ3" s="14" t="s">
        <v>13</v>
      </c>
      <c r="QK3" s="14" t="s">
        <v>7</v>
      </c>
      <c r="QL3" s="14" t="s">
        <v>14</v>
      </c>
      <c r="QM3" s="14" t="s">
        <v>23</v>
      </c>
      <c r="QN3" s="14" t="s">
        <v>12</v>
      </c>
      <c r="QO3" s="14" t="s">
        <v>13</v>
      </c>
      <c r="QP3" s="14" t="s">
        <v>7</v>
      </c>
      <c r="QQ3" s="14" t="s">
        <v>14</v>
      </c>
      <c r="QR3" s="14" t="s">
        <v>23</v>
      </c>
      <c r="QS3" s="14" t="s">
        <v>12</v>
      </c>
      <c r="QT3" s="14" t="s">
        <v>13</v>
      </c>
      <c r="QU3" s="14" t="s">
        <v>7</v>
      </c>
      <c r="QV3" s="14" t="s">
        <v>14</v>
      </c>
      <c r="QW3" s="14" t="s">
        <v>23</v>
      </c>
      <c r="QX3" s="6"/>
      <c r="QY3" s="6"/>
      <c r="QZ3" s="6"/>
      <c r="RA3" s="6"/>
      <c r="RB3" s="6"/>
      <c r="RC3" s="6"/>
      <c r="RD3" s="6"/>
      <c r="RE3" s="6"/>
      <c r="RF3" s="6"/>
      <c r="RG3" s="6"/>
      <c r="RH3" s="6"/>
      <c r="RI3" s="6"/>
      <c r="RJ3" s="6"/>
      <c r="RK3" s="6"/>
      <c r="RL3" s="13" t="s">
        <v>12</v>
      </c>
      <c r="RM3" s="13" t="s">
        <v>13</v>
      </c>
      <c r="RN3" s="13" t="s">
        <v>7</v>
      </c>
      <c r="RO3" s="13" t="s">
        <v>14</v>
      </c>
      <c r="RP3" s="13" t="s">
        <v>23</v>
      </c>
      <c r="RQ3" s="13" t="s">
        <v>12</v>
      </c>
      <c r="RR3" s="13" t="s">
        <v>13</v>
      </c>
      <c r="RS3" s="13" t="s">
        <v>7</v>
      </c>
      <c r="RT3" s="13" t="s">
        <v>14</v>
      </c>
      <c r="RU3" s="13" t="s">
        <v>23</v>
      </c>
      <c r="RV3" s="13" t="s">
        <v>12</v>
      </c>
      <c r="RW3" s="13" t="s">
        <v>13</v>
      </c>
      <c r="RX3" s="13" t="s">
        <v>7</v>
      </c>
      <c r="RY3" s="13" t="s">
        <v>14</v>
      </c>
      <c r="RZ3" s="13" t="s">
        <v>23</v>
      </c>
      <c r="SA3" s="13" t="s">
        <v>12</v>
      </c>
      <c r="SB3" s="13" t="s">
        <v>13</v>
      </c>
      <c r="SC3" s="13" t="s">
        <v>7</v>
      </c>
      <c r="SD3" s="13" t="s">
        <v>14</v>
      </c>
      <c r="SE3" s="13" t="s">
        <v>23</v>
      </c>
      <c r="SF3" s="7"/>
      <c r="SG3" s="7"/>
      <c r="SH3" s="7"/>
      <c r="SI3" s="7"/>
      <c r="SJ3" s="7"/>
      <c r="SK3" s="7"/>
      <c r="SL3" s="7"/>
      <c r="SM3" s="7"/>
      <c r="SN3" s="7"/>
      <c r="SO3" s="7"/>
      <c r="SP3" s="7"/>
      <c r="SQ3" s="7"/>
      <c r="SR3" s="7"/>
      <c r="SS3" s="7"/>
      <c r="ST3" s="14" t="s">
        <v>12</v>
      </c>
      <c r="SU3" s="14" t="s">
        <v>13</v>
      </c>
      <c r="SV3" s="14" t="s">
        <v>7</v>
      </c>
      <c r="SW3" s="14" t="s">
        <v>14</v>
      </c>
      <c r="SX3" s="14" t="s">
        <v>23</v>
      </c>
      <c r="SY3" s="14" t="s">
        <v>12</v>
      </c>
      <c r="SZ3" s="14" t="s">
        <v>13</v>
      </c>
      <c r="TA3" s="14" t="s">
        <v>7</v>
      </c>
      <c r="TB3" s="14" t="s">
        <v>14</v>
      </c>
      <c r="TC3" s="14" t="s">
        <v>23</v>
      </c>
      <c r="TD3" s="14" t="s">
        <v>12</v>
      </c>
      <c r="TE3" s="14" t="s">
        <v>13</v>
      </c>
      <c r="TF3" s="14" t="s">
        <v>7</v>
      </c>
      <c r="TG3" s="14" t="s">
        <v>14</v>
      </c>
      <c r="TH3" s="14" t="s">
        <v>23</v>
      </c>
      <c r="TI3" s="14" t="s">
        <v>45</v>
      </c>
      <c r="TJ3" s="14"/>
      <c r="TK3" s="14"/>
      <c r="TL3" s="14"/>
      <c r="TM3" s="14"/>
      <c r="TN3" s="14"/>
      <c r="TO3" s="14"/>
      <c r="TP3" s="14"/>
      <c r="TQ3" s="14"/>
      <c r="TR3" s="14"/>
      <c r="TS3" s="14"/>
      <c r="TT3" s="14"/>
    </row>
    <row r="4" spans="1:540" x14ac:dyDescent="0.2">
      <c r="A4" s="4" cm="1">
        <f t="array" ref="A4">IF(AND(F4&lt;&gt;"",G4&lt;&gt;""),SUMPRODUCT((F$4:F$32&lt;&gt;"")*(G$4:G$32&lt;&gt;"")*(E$4:E$32&gt;E4))+1,IF(G4&lt;&gt;"",SUMPRODUCT((H$4:H$32="No DD")*(E$4:E$32&gt;E4))+1+SUMPRODUCT((F$4:F$32&lt;&gt;"")*(G$4:G$32&lt;&gt;"")),""))</f>
        <v>1</v>
      </c>
      <c r="B4" s="5" t="s">
        <v>122</v>
      </c>
      <c r="C4" s="4" t="s">
        <v>3</v>
      </c>
      <c r="D4" s="4">
        <v>2004</v>
      </c>
      <c r="E4" s="9">
        <f t="shared" ref="E4:E31" si="0">SUM(J4:T4)+SUM(J4:R4)*0.0000001+SUM(J4)*0.0000000000001</f>
        <v>179.97001796300509</v>
      </c>
      <c r="F4" s="3" t="str">
        <f t="shared" ref="F4:F31" si="1">IF(OR(AND(AM4&gt;=AW$34,AM4&lt;&gt;"",AO4&gt;=AW$38,AO4&lt;&gt;"",AL4=""),AND(AP4&gt;=AW$34,AP4&lt;&gt;"",AR4&gt;=AW$38,AR4&lt;&gt;"",AL4=""),AND(AT4&gt;=AW$34,AT4&lt;&gt;"",AV4&gt;=AW$38,AV4&lt;&gt;"",AL4=""),AND(BN4&gt;=BX$34,BN4&lt;&gt;"",BP4&gt;=BX$38,BP4&lt;&gt;"",BM4=""),AND(BQ4&gt;=BX$34,BQ4&lt;&gt;"",BS4&gt;=BX$38,BS4&lt;&gt;"",BM4=""),AND(BU4&gt;=BX$34,BU4&lt;&gt;"",BW4&gt;=BX$38,BW4&lt;&gt;"",BM4=""),AND(CO4&gt;=CY$34,CO4&lt;&gt;"",CQ4&gt;=CY$38,CQ4&lt;&gt;"",CN4=""),AND(CR4&gt;=CY$34,CR4&lt;&gt;"",CT4&gt;=CY$38,CT4&lt;&gt;"",CN4=""),AND(CV4&gt;=CY$34,CV4&lt;&gt;"",CX4&gt;=CY$38,CX4&lt;&gt;"",CN4=""),AND(DV4&gt;=EI$34,DV4&lt;&gt;"",DX4&gt;=EI$38,DX4&lt;&gt;""),AND(DY4&gt;=EI$34,DY4&lt;&gt;"",EA4&gt;=EI$38,EA4&lt;&gt;""),AND(EC4&gt;=EI$34,EC4&lt;&gt;"",EE4&gt;=EI$38,EE4&lt;&gt;""),AND(EF4&gt;=EI$34,EF4&lt;&gt;"",EH4&gt;=EI$38,EH4&lt;&gt;""),AND(FD4&gt;=FQ$34,FD4&lt;&gt;"",FF4&gt;=FQ$38,FF4&lt;&gt;""),AND(FG4&gt;=FQ$34,FG4&lt;&gt;"",FI4&gt;=FQ$38,FI4&lt;&gt;""),AND(FK4&gt;=FQ$34,FK4&lt;&gt;"",FM4&gt;=FQ$38,FM4&lt;&gt;""),AND(FN4&gt;=FQ$34,FN4&lt;&gt;"",FP4&gt;=FQ$38,FP4&lt;&gt;""),AND(GL4&gt;=GY$34,GL4&lt;&gt;"",GN4&gt;=GY$38,GN4&lt;&gt;""),AND(GO4&gt;=GY$34,GO4&lt;&gt;"",GQ4&gt;=GY$38,GQ4&lt;&gt;""),AND(GS4&gt;=GY$34,GS4&lt;&gt;"",GU4&gt;=GY$38,GU4&lt;&gt;""),AND(GV4&gt;=GY$34,GV4&lt;&gt;"",GX4&gt;=GY$38,GX4&lt;&gt;""),AND(HT4&gt;=IG$34,HT4&lt;&gt;"",HV4&gt;=IG$38,HV4&lt;&gt;""),AND(HW4&gt;=IG$34,HW4&lt;&gt;"",HY4&gt;=IG$38,HY4&lt;&gt;""),AND(IA4&gt;=IG$34,IA4&lt;&gt;"",IC4&gt;=IG$38,IC4&lt;&gt;""),AND(ID4&gt;=IG$34,ID4&lt;&gt;"",IF4&gt;=IG$38,IF4&lt;&gt;""),AND(JB4&gt;=JO$34,JB4&lt;&gt;"",JD4&gt;=JO$38,JD4&lt;&gt;""),AND(JE4&gt;=JO$34,JE4&lt;&gt;"",JG4&gt;=JO$38,JG4&lt;&gt;""),AND(JI4&gt;=JO$34,JI4&lt;&gt;"",JK4&gt;=JO$38,JK4&lt;&gt;""),AND(JL4&gt;=JO$34,JL4&lt;&gt;"",JN4&gt;=JO$38,JN4&lt;&gt;""),AND(KJ4&gt;=KW$34,KJ4&lt;&gt;"",KL4&gt;=KW$38,KL4&lt;&gt;""),AND(KM4&gt;=KW$34,KM4&lt;&gt;"",KO4&gt;=KW$38,KO4&lt;&gt;""),AND(KQ4&gt;=KW$34,KQ4&lt;&gt;"",KS4&gt;=KW$38,KS4&lt;&gt;""),AND(KT4&gt;=KW$34,KT4&lt;&gt;"",KV4&gt;=KW$38,KV4&lt;&gt;""),AND(LR4&gt;=ME$34,LR4&lt;&gt;"",LT4&gt;=ME$38,LT4&lt;&gt;""),AND(LU4&gt;=ME$34,LU4&lt;&gt;"",LW4&gt;=ME$38,LW4&lt;&gt;""),AND(LY4&gt;=ME$34,LY4&lt;&gt;"",MA4&gt;=ME$38,MA4&lt;&gt;""),AND(MB4&gt;=ME$34,MB4&lt;&gt;"",MD4&gt;=ME$38,MD4&lt;&gt;""),AND(MZ4&gt;=NM$34,MZ4&lt;&gt;"",NB4&gt;=NM$38,NB4&lt;&gt;""),AND(NC4&gt;=NM$34,NC4&lt;&gt;"",NE4&gt;=NM$38,NE4&lt;&gt;""),AND(NG4&gt;=NM$34,NG4&lt;&gt;"",NI4&gt;=NM$38,NI4&lt;&gt;""),AND(NJ4&gt;=NM$34,NJ4&lt;&gt;"",NL4&gt;=NM$38,NL4&lt;&gt;""),AND(OH4&gt;=OU$34,OH4&lt;&gt;"",OJ4&gt;=OU$38,OJ4&lt;&gt;""),AND(OK4&gt;=OU$34,OK4&lt;&gt;"",OM4&gt;=OU$38,OM4&lt;&gt;""),AND(OO4&gt;=OU$34,OO4&lt;&gt;"",OQ4&gt;=OU$38,OQ4&lt;&gt;""),AND(OR4&gt;=OU$34,OR4&lt;&gt;"",OT4&gt;=OU$38,OT4&lt;&gt;""),AND(PP4&gt;=QC$34,PP4&lt;&gt;"",PR4&gt;=QC$38,PR4&lt;&gt;""),AND(PS4&gt;=QC$34,PS4&lt;&gt;"",PU4&gt;=QC$38,PU4&lt;&gt;""),AND(PW4&gt;=QC$34,PW4&lt;&gt;"",PY4&gt;=QC$38,PY4&lt;&gt;""),AND(PZ4&gt;=QC$34,PZ4&lt;&gt;"",QB4&gt;=QC$38,QB4&lt;&gt;""),AND(QX4&gt;=RK$34,QX4&lt;&gt;"",QZ4&gt;=RK$38,QZ4&lt;&gt;""),AND(RA4&gt;=RK$34,RA4&lt;&gt;"",RC4&gt;=RK$38,RC4&lt;&gt;""),AND(RE4&gt;=RK$34,RE4&lt;&gt;"",RG4&gt;=RK$38,RG4&lt;&gt;""),AND(RH4&gt;=RK$34,RH4&lt;&gt;"",RJ4&gt;=RK$38,RJ4&lt;&gt;""),AND(SF4&gt;=SS$34,SF4&lt;&gt;"",SH4&gt;=SS$38,SH4&lt;&gt;""),AND(SI4&gt;=SS$34,SI4&lt;&gt;"",SK4&gt;=SS$38,SK4&lt;&gt;""),AND(SM4&gt;=SS$34,SM4&lt;&gt;"",SO4&gt;=SS$38,SO4&lt;&gt;""),AND(SP4&gt;=SS$34,SP4&lt;&gt;"",SR4&gt;=SS$38,SR4&lt;&gt;"")),"P","")</f>
        <v>P</v>
      </c>
      <c r="G4" s="3" t="str">
        <f t="shared" ref="G4:G31" si="2">IF(OR(AND(AO4&gt;=AW$38,AO4&lt;&gt;"",AL4=""),AND(AR4&gt;=AW$38,AR4&lt;&gt;"",AL4=""),AND(AV4&gt;=AW$38,AV4&lt;&gt;"",AL4=""),AND(BP4&gt;=BX$38,BP4&lt;&gt;"",BM4=""),AND(BS4&gt;=BX$38,BS4&lt;&gt;"",BM4=""),AND(BW4&gt;=BX$38,BW4&lt;&gt;"",BM4=""),AND(CQ4&gt;=CY$38,CQ4&lt;&gt;"",CN4=""),AND(CT4&gt;=CY$38,CT4&lt;&gt;"",CN4=""),AND(CX4&gt;=CY$38,CX4&lt;&gt;"",CN4=""),AND(DX4&gt;=EI$38,DX4&lt;&gt;""),AND(EA4&gt;=EI$38,EA4&lt;&gt;""),AND(EE4&gt;=EI$38,EE4&lt;&gt;""),AND(EH4&gt;=EI$38,EH4&lt;&gt;""),AND(FF4&gt;=FQ$38,FF4&lt;&gt;""),AND(FI4&gt;=FQ$38,FI4&lt;&gt;""),AND(FM4&gt;=FQ$38,FM4&lt;&gt;""),AND(FP4&gt;=FQ$38,FP4&lt;&gt;""),AND(GN4&gt;=GY$38,GN4&lt;&gt;""),AND(GQ4&gt;=GY$38,GQ4&lt;&gt;""),AND(GU4&gt;=GY$38,GU4&lt;&gt;""),AND(GX4&gt;=GY$38,GX4&lt;&gt;""),AND(HV4&gt;=IG$38,HV4&lt;&gt;""),AND(HY4&gt;=IG$38,HY4&lt;&gt;""),AND(IC4&gt;=IG$38,IC4&lt;&gt;""),AND(IF4&gt;=IG$38,IF4&lt;&gt;""),AND(JD4&gt;=JO$38,JD4&lt;&gt;""),AND(JG4&gt;=JO$38,JG4&lt;&gt;""),AND(JK4&gt;=JO$38,JK4&lt;&gt;""),AND(JN4&gt;=JO$38,JN4&lt;&gt;""),AND(KL4&gt;=KW$38,KL4&lt;&gt;""),AND(KO4&gt;=KW$38,KO4&lt;&gt;""),AND(KS4&gt;=KW$38,KS4&lt;&gt;""),AND(KV4&gt;=KW$38,KV4&lt;&gt;""),AND(LT4&gt;=ME$38,LT4&lt;&gt;""),AND(LW4&gt;=ME$38,LW4&lt;&gt;""),AND(MA4&gt;=ME$38,MA4&lt;&gt;""),AND(MD4&gt;=ME$38,MD4&lt;&gt;""),AND(NB4&gt;=NM$38,NB4&lt;&gt;""),AND(NE4&gt;=NM$38,NE4&lt;&gt;""),AND(NI4&gt;=NM$38,NI4&lt;&gt;""),AND(NL4&gt;=NM$38,NL4&lt;&gt;""),AND(OJ4&gt;=OU$38,OJ4&lt;&gt;""),AND(OM4&gt;=OU$38,OM4&lt;&gt;""),AND(OQ4&gt;=OU$38,OQ4&lt;&gt;""),AND(OT4&gt;=OU$38,OT4&lt;&gt;""),AND(PR4&gt;=QC$38,PR4&lt;&gt;""),AND(PU4&gt;=QC$38,PU4&lt;&gt;""),AND(PY4&gt;=QC$38,PY4&lt;&gt;""),AND(QB4&gt;=QC$38,QB4&lt;&gt;""),AND(QZ4&gt;=RK$38,QZ4&lt;&gt;""),AND(RC4&gt;=RK$38,RC4&lt;&gt;""),AND(RG4&gt;=RK$38,RG4&lt;&gt;""),AND(RJ4&gt;=RK$38,RJ4&lt;&gt;""),AND(SH4&gt;=SS$38,SH4&lt;&gt;""),AND(SK4&gt;=SS$38,SK4&lt;&gt;""),AND(SO4&gt;=SS$38,SO4&lt;&gt;""),AND(SR4&gt;=SS$38,SR4&lt;&gt;"")),"P","")</f>
        <v>P</v>
      </c>
      <c r="H4" s="36" t="str">
        <f t="shared" ref="H4:H31" si="3">IF(AND(G4="P",F4=""),"No DD",IF(OR(AND(AM4&gt;=AW$37,AM4&lt;&gt;"",AO4&gt;=AW$41,AO4&lt;&gt;"",AL4=""),AND(AP4&gt;=AW$37,AP4&lt;&gt;"",AR4&gt;=AW$41,AR4&lt;&gt;"",AL4=""),AND(AT4&gt;=AW$37,AT4&lt;&gt;"",AV4&gt;=AW$41,AV4&lt;&gt;"",AL4=""),AND(BN4&gt;=BX$37,BN4&lt;&gt;"",BP4&gt;=BX$41,BP4&lt;&gt;"",BM4=""),AND(BQ4&gt;=BX$37,BQ4&lt;&gt;"",BS4&gt;=BX$41,BS4&lt;&gt;"",BM4=""),AND(BU4&gt;=BX$37,BU4&lt;&gt;"",BW4&gt;=BX$41,BW4&lt;&gt;"",BM4=""),AND(CO4&gt;=CY$37,CO4&lt;&gt;"",CQ4&gt;=CY$41,CQ4&lt;&gt;"",CN4=""),AND(CR4&gt;=CY$37,CR4&lt;&gt;"",CT4&gt;=CY$41,CT4&lt;&gt;"",CN4=""),AND(CV4&gt;=CY$37,CV4&lt;&gt;"",CX4&gt;=CY$41,CX4&lt;&gt;"",CN4=""),AND(DV4&gt;=EI$37,DV4&lt;&gt;"",DX4&gt;=EI$41,DX4&lt;&gt;""),AND(DY4&gt;=EI$37,DY4&lt;&gt;"",EA4&gt;=EI$41,EA4&lt;&gt;""),AND(EC4&gt;=EI$37,EC4&lt;&gt;"",EE4&gt;=EI$41,EE4&lt;&gt;""),AND(EF4&gt;=EI$37,EF4&lt;&gt;"",EH4&gt;=EI$41,EH4&lt;&gt;""),AND(FD4&gt;=FQ$37,FD4&lt;&gt;"",FF4&gt;=FQ$41,FF4&lt;&gt;""),AND(FG4&gt;=FQ$37,FG4&lt;&gt;"",FI4&gt;=FQ$41,FI4&lt;&gt;""),AND(FK4&gt;=FQ$37,FK4&lt;&gt;"",FM4&gt;=FQ$41,FM4&lt;&gt;""),AND(FN4&gt;=FQ$37,FN4&lt;&gt;"",FP4&gt;=FQ$41,FP4&lt;&gt;""),AND(GL4&gt;=GY$37,GL4&lt;&gt;"",GN4&gt;=GY$41,GN4&lt;&gt;""),AND(GO4&gt;=GY$37,GO4&lt;&gt;"",GQ4&gt;=GY$41,GQ4&lt;&gt;""),AND(GS4&gt;=GY$37,GS4&lt;&gt;"",GU4&gt;=GY$41,GU4&lt;&gt;""),AND(GV4&gt;=GY$37,GV4&lt;&gt;"",GX4&gt;=GY$41,GX4&lt;&gt;""),AND(HT4&gt;=IG$37,HT4&lt;&gt;"",HV4&gt;=IG$41,HV4&lt;&gt;""),AND(HW4&gt;=IG$37,HW4&lt;&gt;"",HY4&gt;=IG$41,HY4&lt;&gt;""),AND(IA4&gt;=IG$37,IA4&lt;&gt;"",IC4&gt;=IG$41,IC4&lt;&gt;""),AND(ID4&gt;=IG$37,ID4&lt;&gt;"",IF4&gt;=IG$41,IF4&lt;&gt;""),AND(JB4&gt;=JO$37,JB4&lt;&gt;"",JD4&gt;=JO$41,JD4&lt;&gt;""),AND(JE4&gt;=JO$37,JE4&lt;&gt;"",JG4&gt;=JO$41,JG4&lt;&gt;""),AND(JI4&gt;=JO$37,JI4&lt;&gt;"",JK4&gt;=JO$41,JK4&lt;&gt;""),AND(JL4&gt;=JO$37,JL4&lt;&gt;"",JN4&gt;=JO$41,JN4&lt;&gt;""),AND(KJ4&gt;=KW$37,KJ4&lt;&gt;"",KL4&gt;=KW$41,KL4&lt;&gt;""),AND(KM4&gt;=KW$37,KM4&lt;&gt;"",KO4&gt;=KW$41,KO4&lt;&gt;""),AND(KQ4&gt;=KW$37,KQ4&lt;&gt;"",KS4&gt;=KW$41,KS4&lt;&gt;""),AND(KT4&gt;=KW$37,KT4&lt;&gt;"",KV4&gt;=KW$41,KV4&lt;&gt;""),AND(LR4&gt;=ME$37,LR4&lt;&gt;"",LT4&gt;=ME$41,LT4&lt;&gt;""),AND(LU4&gt;=ME$37,LU4&lt;&gt;"",LW4&gt;=ME$41,LW4&lt;&gt;""),AND(LY4&gt;=ME$37,LY4&lt;&gt;"",MA4&gt;=ME$41,MA4&lt;&gt;""),AND(MB4&gt;=ME$37,MB4&lt;&gt;"",MD4&gt;=ME$41,MD4&lt;&gt;""),AND(MZ4&gt;=NM$37,MZ4&lt;&gt;"",NB4&gt;=NM$41,NB4&lt;&gt;""),AND(NC4&gt;=NM$37,NC4&lt;&gt;"",NE4&gt;=NM$41,NE4&lt;&gt;""),AND(NG4&gt;=NM$37,NG4&lt;&gt;"",NI4&gt;=NM$41,NI4&lt;&gt;""),AND(NJ4&gt;=NM$37,NJ4&lt;&gt;"",NL4&gt;=NM$41,NL4&lt;&gt;""),AND(OH4&gt;=OU$37,OH4&lt;&gt;"",OJ4&gt;=OU$41,OJ4&lt;&gt;""),AND(OK4&gt;=OU$37,OK4&lt;&gt;"",OM4&gt;=OU$41,OM4&lt;&gt;""),AND(OO4&gt;=OU$37,OO4&lt;&gt;"",OQ4&gt;=OU$41,OQ4&lt;&gt;""),AND(OR4&gt;=OU$37,OR4&lt;&gt;"",OT4&gt;=OU$41,OT4&lt;&gt;""),AND(PP4&gt;=QC$37,PP4&lt;&gt;"",PR4&gt;=QC$41,PR4&lt;&gt;""),AND(PS4&gt;=QC$37,PS4&lt;&gt;"",PU4&gt;=QC$41,PU4&lt;&gt;""),AND(PW4&gt;=QC$37,PW4&lt;&gt;"",PY4&gt;=QC$41,PY4&lt;&gt;""),AND(PZ4&gt;=QC$37,PZ4&lt;&gt;"",QB4&gt;=QC$41,QB4&lt;&gt;""),AND(QX4&gt;=RK$37,QX4&lt;&gt;"",QZ4&gt;=RK$41,QZ4&lt;&gt;""),AND(RA4&gt;=RK$37,RA4&lt;&gt;"",RC4&gt;=RK$41,RC4&lt;&gt;""),AND(RE4&gt;=RK$37,RE4&lt;&gt;"",RG4&gt;=RK$41,RG4&lt;&gt;""),AND(RH4&gt;=RK$37,RH4&lt;&gt;"",RJ4&gt;=RK$41,RJ4&lt;&gt;""),AND(SF4&gt;=SS$37,SF4&lt;&gt;"",SH4&gt;=SS$41,SH4&lt;&gt;""),AND(SI4&gt;=SS$37,SI4&lt;&gt;"",SK4&gt;=SS$41,SK4&lt;&gt;""),AND(SM4&gt;=SS$37,SM4&lt;&gt;"",SO4&gt;=SS$41,SO4&lt;&gt;""),AND(SP4&gt;=SS$37,SP4&lt;&gt;"",SR4&gt;=SS$41,SR4&lt;&gt;"")),"Merit",IF(OR(AND(AM4&gt;=AW$36,AM4&lt;&gt;"",AO4&gt;=AW$40,AO4&lt;&gt;"",AL4=""),AND(AP4&gt;=AW$36,AP4&lt;&gt;"",AR4&gt;=AW$40,AR4&lt;&gt;"",AL4=""),AND(AT4&gt;=AW$36,AT4&lt;&gt;"",AV4&gt;=AW$40,AV4&lt;&gt;"",AL4=""),AND(BN4&gt;=BX$36,BN4&lt;&gt;"",BP4&gt;=BX$40,BP4&lt;&gt;"",BM4=""),AND(BQ4&gt;=BX$36,BQ4&lt;&gt;"",BS4&gt;=BX$40,BS4&lt;&gt;"",BM4=""),AND(BU4&gt;=BX$36,BU4&lt;&gt;"",BW4&gt;=BX$40,BW4&lt;&gt;"",BM4=""),AND(CO4&gt;=CY$36,CO4&lt;&gt;"",CQ4&gt;=CY$40,CQ4&lt;&gt;"",CN4=""),AND(CR4&gt;=CY$36,CR4&lt;&gt;"",CT4&gt;=CY$40,CT4&lt;&gt;"",CN4=""),AND(CV4&gt;=CY$36,CV4&lt;&gt;"",CX4&gt;=CY$40,CX4&lt;&gt;"",CN4=""),AND(DV4&gt;=EI$36,DV4&lt;&gt;"",DX4&gt;=EI$40,DX4&lt;&gt;""),AND(DY4&gt;=EI$36,DY4&lt;&gt;"",EA4&gt;=EI$40,EA4&lt;&gt;""),AND(EC4&gt;=EI$36,EC4&lt;&gt;"",EE4&gt;=EI$40,EE4&lt;&gt;""),AND(EF4&gt;=EI$36,EF4&lt;&gt;"",EH4&gt;=EI$40,EH4&lt;&gt;""),AND(FD4&gt;=FQ$36,FD4&lt;&gt;"",FF4&gt;=FQ$40,FF4&lt;&gt;""),AND(FG4&gt;=FQ$36,FG4&lt;&gt;"",FI4&gt;=FQ$40,FI4&lt;&gt;""),AND(FK4&gt;=FQ$36,FK4&lt;&gt;"",FM4&gt;=FQ$40,FM4&lt;&gt;""),AND(FN4&gt;=FQ$36,FN4&lt;&gt;"",FP4&gt;=FQ$40,FP4&lt;&gt;""),AND(GL4&gt;=GY$36,GL4&lt;&gt;"",GN4&gt;=GY$40,GN4&lt;&gt;""),AND(GO4&gt;=GY$36,GO4&lt;&gt;"",GQ4&gt;=GY$40,GQ4&lt;&gt;""),AND(GS4&gt;=GY$36,GS4&lt;&gt;"",GU4&gt;=GY$40,GU4&lt;&gt;""),AND(GV4&gt;=GY$36,GV4&lt;&gt;"",GX4&gt;=GY$40,GX4&lt;&gt;""),AND(HT4&gt;=IG$36,HT4&lt;&gt;"",HV4&gt;=IG$40,HV4&lt;&gt;""),AND(HW4&gt;=IG$36,HW4&lt;&gt;"",HY4&gt;=IG$40,HY4&lt;&gt;""),AND(IA4&gt;=IG$36,IA4&lt;&gt;"",IC4&gt;=IG$40,IC4&lt;&gt;""),AND(ID4&gt;=IG$36,ID4&lt;&gt;"",IF4&gt;=IG$40,IF4&lt;&gt;""),AND(JB4&gt;=JO$36,JB4&lt;&gt;"",JD4&gt;=JO$40,JD4&lt;&gt;""),AND(JE4&gt;=JO$36,JE4&lt;&gt;"",JG4&gt;=JO$40,JG4&lt;&gt;""),AND(JI4&gt;=JO$36,JI4&lt;&gt;"",JK4&gt;=JO$40,JK4&lt;&gt;""),AND(JL4&gt;=JO$36,JL4&lt;&gt;"",JN4&gt;=JO$40,JN4&lt;&gt;""),AND(KJ4&gt;=KW$36,KJ4&lt;&gt;"",KL4&gt;=KW$40,KL4&lt;&gt;""),AND(KM4&gt;=KW$36,KM4&lt;&gt;"",KO4&gt;=KW$40,KO4&lt;&gt;""),AND(KQ4&gt;=KW$36,KQ4&lt;&gt;"",KS4&gt;=KW$40,KS4&lt;&gt;""),AND(KT4&gt;=KW$36,KT4&lt;&gt;"",KV4&gt;=KW$40,KV4&lt;&gt;""),AND(LR4&gt;=ME$36,LR4&lt;&gt;"",LT4&gt;=ME$40,LT4&lt;&gt;""),AND(LU4&gt;=ME$36,LU4&lt;&gt;"",LW4&gt;=ME$40,LW4&lt;&gt;""),AND(LY4&gt;=ME$36,LY4&lt;&gt;"",MA4&gt;=ME$40,MA4&lt;&gt;""),AND(MB4&gt;=ME$36,MB4&lt;&gt;"",MD4&gt;=ME$40,MD4&lt;&gt;""),AND(MZ4&gt;=NM$36,MZ4&lt;&gt;"",NB4&gt;=NM$40,NB4&lt;&gt;""),AND(NC4&gt;=NM$36,NC4&lt;&gt;"",NE4&gt;=NM$40,NE4&lt;&gt;""),AND(NG4&gt;=NM$36,NG4&lt;&gt;"",NI4&gt;=NM$40,NI4&lt;&gt;""),AND(NJ4&gt;=NM$36,NJ4&lt;&gt;"",NL4&gt;=NM$40,NL4&lt;&gt;""),AND(OH4&gt;=OU$36,OH4&lt;&gt;"",OJ4&gt;=OU$40,OJ4&lt;&gt;""),AND(OK4&gt;=OU$36,OK4&lt;&gt;"",OM4&gt;=OU$40,OM4&lt;&gt;""),AND(OO4&gt;=OU$36,OO4&lt;&gt;"",OQ4&gt;=OU$40,OQ4&lt;&gt;""),AND(OR4&gt;=OU$36,OR4&lt;&gt;"",OT4&gt;=OU$40,OT4&lt;&gt;""),AND(PP4&gt;=QC$36,PP4&lt;&gt;"",PR4&gt;=QC$40,PR4&lt;&gt;""),AND(PS4&gt;=QC$36,PS4&lt;&gt;"",PU4&gt;=QC$40,PU4&lt;&gt;""),AND(PW4&gt;=QC$36,PW4&lt;&gt;"",PY4&gt;=QC$40,PY4&lt;&gt;""),AND(PZ4&gt;=QC$36,PZ4&lt;&gt;"",QB4&gt;=QC$40,QB4&lt;&gt;""),AND(QX4&gt;=RK$36,QX4&lt;&gt;"",QZ4&gt;=RK$40,QZ4&lt;&gt;""),AND(RA4&gt;=RK$36,RA4&lt;&gt;"",RC4&gt;=RK$40,RC4&lt;&gt;""),AND(RE4&gt;=RK$36,RE4&lt;&gt;"",RG4&gt;=RK$40,RG4&lt;&gt;""),AND(RH4&gt;=RK$36,RH4&lt;&gt;"",RJ4&gt;=RK$40,RJ4&lt;&gt;""),AND(SF4&gt;=SS$36,SF4&lt;&gt;"",SH4&gt;=SS$40,SH4&lt;&gt;""),AND(SI4&gt;=SS$36,SI4&lt;&gt;"",SK4&gt;=SS$40,SK4&lt;&gt;""),AND(SM4&gt;=SS$36,SM4&lt;&gt;"",SO4&gt;=SS$40,SO4&lt;&gt;""),AND(SP4&gt;=SS$36,SP4&lt;&gt;"",SR4&gt;=SS$40,SR4&lt;&gt;"")),"Excellence",IF(I4="P","Worlds Team",IF(F4="P","National Team","")))))</f>
        <v>National Team</v>
      </c>
      <c r="I4" s="3" t="str">
        <f t="shared" ref="I4:I31" si="4">IF(OR(AND(AM4&gt;=AW$35,AM4&lt;&gt;"",AO4&gt;=AW$39,AO4&lt;&gt;"",AL4=""),AND(AP4&gt;=AW$35,AP4&lt;&gt;"",AR4&gt;=AW$39,AR4&lt;&gt;"",AL4=""),AND(AT4&gt;=AW$35,AT4&lt;&gt;"",AV4&gt;=AW$39,AV4&lt;&gt;"",AL4=""),AND(BN4&gt;=BX$35,BN4&lt;&gt;"",BP4&gt;=BX$39,BP4&lt;&gt;"",BM4=""),AND(BQ4&gt;=BX$35,BQ4&lt;&gt;"",BS4&gt;=BX$39,BS4&lt;&gt;"",BM4=""),AND(BU4&gt;=BX$35,BU4&lt;&gt;"",BW4&gt;=BX$39,BW4&lt;&gt;"",BM4=""),AND(CO4&gt;=CY$35,CO4&lt;&gt;"",CQ4&gt;=CY$39,CQ4&lt;&gt;"",CN4=""),AND(CR4&gt;=CY$35,CR4&lt;&gt;"",CT4&gt;=CY$39,CT4&lt;&gt;"",CN4=""),AND(CV4&gt;=CY$35,CV4&lt;&gt;"",CX4&gt;=CY$39,CX4&lt;&gt;"",CN4=""),AND(DV4&gt;=EI$35,DV4&lt;&gt;"",DX4&gt;=EI$39,DX4&lt;&gt;""),AND(DY4&gt;=EI$35,DY4&lt;&gt;"",EA4&gt;=EI$39,EA4&lt;&gt;""),AND(EC4&gt;=EI$35,EC4&lt;&gt;"",EE4&gt;=EI$39,EE4&lt;&gt;""),AND(EF4&gt;=EI$35,EF4&lt;&gt;"",EH4&gt;=EI$39,EH4&lt;&gt;""),AND(FD4&gt;=FQ$35,FD4&lt;&gt;"",FF4&gt;=FQ$39,FF4&lt;&gt;""),AND(FG4&gt;=FQ$35,FG4&lt;&gt;"",FI4&gt;=FQ$39,FI4&lt;&gt;""),AND(FK4&gt;=FQ$35,FK4&lt;&gt;"",FM4&gt;=FQ$39,FM4&lt;&gt;""),AND(FN4&gt;=FQ$35,FN4&lt;&gt;"",FP4&gt;=FQ$39,FP4&lt;&gt;""),AND(GL4&gt;=GY$35,GL4&lt;&gt;"",GN4&gt;=GY$39,GN4&lt;&gt;""),AND(GO4&gt;=GY$35,GO4&lt;&gt;"",GQ4&gt;=GY$39,GQ4&lt;&gt;""),AND(GS4&gt;=GY$35,GS4&lt;&gt;"",GU4&gt;=GY$39,GU4&lt;&gt;""),AND(GV4&gt;=GY$35,GV4&lt;&gt;"",GX4&gt;=GY$39,GX4&lt;&gt;""),AND(HT4&gt;=IG$35,HT4&lt;&gt;"",HV4&gt;=IG$39,HV4&lt;&gt;""),AND(HW4&gt;=IG$35,HW4&lt;&gt;"",HY4&gt;=IG$39,HY4&lt;&gt;""),AND(IA4&gt;=IG$35,IA4&lt;&gt;"",IC4&gt;=IG$39,IC4&lt;&gt;""),AND(ID4&gt;=IG$35,ID4&lt;&gt;"",IF4&gt;=IG$39,IF4&lt;&gt;""),AND(JB4&gt;=JO$35,JB4&lt;&gt;"",JD4&gt;=JO$39,JD4&lt;&gt;""),AND(JE4&gt;=JO$35,JE4&lt;&gt;"",JG4&gt;=JO$39,JG4&lt;&gt;""),AND(JI4&gt;=JO$35,JI4&lt;&gt;"",JK4&gt;=JO$39,JK4&lt;&gt;""),AND(JL4&gt;=JO$35,JL4&lt;&gt;"",JN4&gt;=JO$39,JN4&lt;&gt;""),AND(KJ4&gt;=KW$35,KJ4&lt;&gt;"",KL4&gt;=KW$39,KL4&lt;&gt;""),AND(KM4&gt;=KW$35,KM4&lt;&gt;"",KO4&gt;=KW$39,KO4&lt;&gt;""),AND(KQ4&gt;=KW$35,KQ4&lt;&gt;"",KS4&gt;=KW$39,KS4&lt;&gt;""),AND(KT4&gt;=KW$35,KT4&lt;&gt;"",KV4&gt;=KW$39,KV4&lt;&gt;""),AND(LR4&gt;=ME$35,LR4&lt;&gt;"",LT4&gt;=ME$39,LT4&lt;&gt;""),AND(LU4&gt;=ME$35,LU4&lt;&gt;"",LW4&gt;=ME$39,LW4&lt;&gt;""),AND(LY4&gt;=ME$35,LY4&lt;&gt;"",MA4&gt;=ME$39,MA4&lt;&gt;""),AND(MB4&gt;=ME$35,MB4&lt;&gt;"",MD4&gt;=ME$39,MD4&lt;&gt;""),AND(MZ4&gt;=NM$35,MZ4&lt;&gt;"",NB4&gt;=NM$39,NB4&lt;&gt;""),AND(NC4&gt;=NM$35,NC4&lt;&gt;"",NE4&gt;=NM$39,NE4&lt;&gt;""),AND(NG4&gt;=NM$35,NG4&lt;&gt;"",NI4&gt;=NM$39,NI4&lt;&gt;""),AND(NJ4&gt;=NM$35,NJ4&lt;&gt;"",NL4&gt;=NM$39,NL4&lt;&gt;""),AND(OH4&gt;=OU$35,OH4&lt;&gt;"",OJ4&gt;=OU$39,OJ4&lt;&gt;""),AND(OK4&gt;=OU$35,OK4&lt;&gt;"",OM4&gt;=OU$39,OM4&lt;&gt;""),AND(OO4&gt;=OU$35,OO4&lt;&gt;"",OQ4&gt;=OU$39,OQ4&lt;&gt;""),AND(OR4&gt;=OU$35,OR4&lt;&gt;"",OT4&gt;=OU$39,OT4&lt;&gt;""),AND(PP4&gt;=QC$35,PP4&lt;&gt;"",PR4&gt;=QC$39,PR4&lt;&gt;""),AND(PS4&gt;=QC$35,PS4&lt;&gt;"",PU4&gt;=QC$39,PU4&lt;&gt;""),AND(PW4&gt;=QC$35,PW4&lt;&gt;"",PY4&gt;=QC$39,PY4&lt;&gt;""),AND(PZ4&gt;=QC$35,PZ4&lt;&gt;"",QB4&gt;=QC$39,QB4&lt;&gt;""),AND(QX4&gt;=RK$35,QX4&lt;&gt;"",QZ4&gt;=RK$39,QZ4&lt;&gt;""),AND(RA4&gt;=RK$35,RA4&lt;&gt;"",RC4&gt;=RK$39,RC4&lt;&gt;""),AND(RE4&gt;=RK$35,RE4&lt;&gt;"",RG4&gt;=RK$39,RG4&lt;&gt;""),AND(RH4&gt;=RK$35,RH4&lt;&gt;"",RJ4&gt;=RK$39,RJ4&lt;&gt;""),AND(SF4&gt;=SS$35,SF4&lt;&gt;"",SH4&gt;=SS$39,SH4&lt;&gt;""),AND(SI4&gt;=SS$35,SI4&lt;&gt;"",SK4&gt;=SS$39,SK4&lt;&gt;""),AND(SM4&gt;=SS$35,SM4&lt;&gt;"",SO4&gt;=SS$39,SO4&lt;&gt;""),AND(SP4&gt;=SS$35,SP4&lt;&gt;"",SR4&gt;=SS$39,SR4&lt;&gt;"")),"P","")</f>
        <v/>
      </c>
      <c r="J4" s="8">
        <f>IF(COUNT(AO4,AR4,BP4,BS4,CQ4,CT4)&gt;0,LARGE((AO4,AR4,BP4,BS4,CQ4,CT4),1),0)</f>
        <v>51.149999999999991</v>
      </c>
      <c r="K4" s="8" t="str">
        <f t="shared" ref="K4:K31" si="5">IF(J4="","",IF(OR(J4=CQ4,J4=CT4),$BY$1,IF(OR(J4=BP4,J4=BS4),$AX$1,IF(OR(J4=AO4,J4=AR4),$W$1,""))))</f>
        <v>2023 Elite Canada</v>
      </c>
      <c r="L4" s="8">
        <f>IF(COUNT(AO4,AR4,BP4,BS4,CQ4,CT4)&gt;1,LARGE((AO4,AR4,BP4,BS4,CQ4,CT4),2),0)</f>
        <v>50.72</v>
      </c>
      <c r="M4" s="8" t="str">
        <f t="shared" ref="M4:M31" si="6">IF(L4="","",IF(OR(L4=CQ4,L4=CT4),$BY$1,IF(OR(L4=BP4,L4=BS4),$AX$1,IF(OR(L4=AO4,L4=AR4),$W$1,""))))</f>
        <v>2022 Nationals</v>
      </c>
      <c r="N4" s="8">
        <f>IF(COUNT(AO4,AR4,BP4,BS4,CQ4,CT4)&gt;2,LARGE((AO4,AR4,BP4,BS4,CQ4,CT4),3),0)</f>
        <v>50.410000000000004</v>
      </c>
      <c r="O4" s="8" t="str">
        <f>IF(N4="","",IF(OR(N4=CQ4,N4=CT4),$BY$1,IF(OR(N4=BP4,N4=BS4),$AX$1,IF(OR(N4=AO4,N4=AR4),$W$1,""))))</f>
        <v>2022 Nationals</v>
      </c>
      <c r="P4" s="8">
        <f t="shared" ref="P4:P31" si="7">IF(MAX(AM4,AP4,AT4,BN4,BQ4,BU4,CO4,CR4,CV4,DV4,DY4,EC4,EF4,FD4,FG4,FK4,FN4,GL4,GO4,GS4,GV4,HT4,HW4,IA4,ID4,JB4,JE4,JI4,JL4,KJ4,KM4,KQ4,KT4,LR4,LU4,LY4,MB4,MZ4,NC4,NG4,NJ4,OH4,OK4,OO4,OR4,PP4,PS4,PW4,PZ4,QX4,RA4,RE4,RH4,SF4,SI4,SM4,SP4)&gt;0,MAX(AM4,AP4,AT4,BN4,BQ4,BU4,CO4,CR4,CV4,DV4,DY4,EC4,EF4,FD4,FG4,FK4,FN4,GL4,GO4,GS4,GV4,HT4,HW4,IA4,ID4,JB4,JE4,JI4,JL4,KJ4,KM4,KQ4,KT4,LR4,LU4,LY4,MB4,MZ4,NC4,NG4,NJ4,OH4,OK4,OO4,OR4,PP4,PS4,PW4,PZ4,QX4,RA4,RE4,RH4,SF4,SI4,SM4,SP4),0)</f>
        <v>12.7</v>
      </c>
      <c r="Q4" s="8" t="str">
        <f t="shared" ref="Q4:Q31" si="8">IF(P4=0,"",IF(OR(P4=CO4,P4=CR4,P4=CV4),$BY$1,IF(OR(P4=BN4,P4=BQ4,P4=BU4),$AX$1,IF(OR(P4=AM4,P4=AP4,P4=AT4),$W$1,IF(OR(P4=SF4,P4=SI4,P4=SM4,P4=SP4),$RL$1,IF(OR(P4=QX4,P4=RA4,P4=RE4,P4=RH4),$QD$1,IF(OR(P4=PP4,P4=PS4,P4=PW4,P4=PZ4),$OV$1,IF(OR(P4=OH4,P4=OK4,P4=OO4,P4=OR4),$NN$1,IF(OR(P4=MZ4,P4=NC4,P4=NG4,P4=NJ4),$MF$1,IF(OR(P4=LR4,P4=LU4,P4=LY4,P4=MB4),$KX$1,IF(OR(P4=KJ4,P4=KM4,P4=KQ4,P4=KT4),$JP$1,IF(OR(P4=JB4,P4=JE4,P4=JI4,P4=JL4),$IH$1,IF(OR(P4=HT4,P4=HW4,P4=IA4,P4=ID4),$GZ$1,IF(OR(P4=GL4,P4=GO4,P4=GS4,P4=GV4),$FR$1,IF(OR(P4=FD4,P4=FG4,P4=FK4,P4=FN4),$EJ$1,IF(OR(P4=DV4,P4=DY4,P4=EC4,P4=EF4),$DB$1,""))))))))))))))))</f>
        <v>2023 Elite Canada</v>
      </c>
      <c r="R4" s="8">
        <f t="shared" ref="R4:R31" si="9">IF(MAX(IF(AM4&gt;=$AW$34,AN4,0),IF(AP4&gt;=$AW$34,AQ4,0),IF(AT4&gt;=$AW$34,AU4,0),IF(BN4&gt;=$BX$34,BO4,0),IF(BQ4&gt;=$BX$34,BR4,0),IF(BU4&gt;=$BX$34,BV4,0),IF(CO4&gt;=$CY$34,CP4,0),IF(CR4&gt;=$CY$34,CS4,0),IF(CV4&gt;=$CY$34,CW4,0),IF(DV4&gt;=$EI$34,DW4,0),IF(DY4&gt;=$EI$34,DZ4,0),IF(EC4&gt;=$EI$34,ED4,0),IF(EF4&gt;=$EI$34,EG4,0),IF(FD4&gt;=$FQ$34,FE4,0),IF(FG4&gt;=$FQ$34,FH4,0),IF(FK4&gt;=$FQ$34,FL4,0),IF(FN4&gt;=$FQ$34,FO4,0),IF(GL4&gt;=$GY$34,GM4,0),IF(GO4&gt;=$GY$34,GP4,0),IF(GS4&gt;=$GY$34,GT4,0),IF(GV4&gt;=$GY$34,GW4,0),IF(HT4&gt;=$IG$34,HU4,0),IF(HW4&gt;=$IG$34,HX4,0),IF(IA4&gt;=$IG$34,IB4,0),IF(ID4&gt;=$IG$34,IE4,0),IF(JB4&gt;=$JO$34,JC4,0),IF(JE4&gt;=$JO$34,JF4,0),IF(JI4&gt;=$JO$34,JJ4,0),IF(JL4&gt;=$JO$34,JM4,0),IF(KJ4&gt;=$KW$34,KK4,0),IF(KM4&gt;=$KW$34,KN4,0),IF(KQ4&gt;=$KW$34,KR4,0),IF(KT4&gt;=$KW$34,KU4,0),IF(LR4&gt;=$ME$34,LS4,0),IF(LU4&gt;=$ME$34,LV4,0),IF(LY4&gt;=$ME$34,LZ4,0),IF(MB4&gt;=$ME$34,MC4,0),IF(MZ4&gt;=$NM$34,NA4,0),IF(NC4&gt;=$NM$34,ND4,0),IF(NG4&gt;=$NM$34,NH4,0),IF(NJ4&gt;=$NM$34,NK4,0),IF(OH4&gt;=$OU$34,OI4,0),IF(OK4&gt;=$OU$34,OL4,0),IF(OO4&gt;=$OU$34,OP4,0),IF(OR4&gt;=$OU$34,OS4,0),IF(PP4&gt;=$QC$34,PQ4,0),IF(PS4&gt;=$QC$34,PT4,0),IF(PW4&gt;=$QC$34,PX4,0),IF(PZ4&gt;=$QC$34,QA4,0),IF(QX4&gt;=$RK$34,QY4,0),IF(RA4&gt;=$RK$34,RB4,0),IF(RE4&gt;=$RK$34,RF4,0),IF(RH4&gt;=$RK$34,RI4,0),IF(SF4&gt;=$SS$34,SG4,0),IF(SI4&gt;=$SS$34,SJ4,0),IF(SM4&gt;=$SS$34,SN4,0),IF(SP4&gt;=$SS$34,SQ4,0))&gt;0,MAX(IF(AM4&gt;=$AW$34,AN4,0),IF(AP4&gt;=$AW$34,AQ4,0),IF(AT4&gt;=$AW$34,AU4,0),IF(BN4&gt;=$BX$34,BO4,0),IF(BQ4&gt;=$BX$34,BR4,0),IF(BU4&gt;=$BX$34,BV4,0),IF(CO4&gt;=$CY$34,CP4,0),IF(CR4&gt;=$CY$34,CS4,0),IF(CV4&gt;=$CY$34,CW4,0),IF(DV4&gt;=$EI$34,DW4,0),IF(DY4&gt;=$EI$34,DZ4,0),IF(EC4&gt;=$EI$34,ED4,0),IF(EF4&gt;=$EI$34,EG4,0),IF(FD4&gt;=$FQ$34,FE4,0),IF(FG4&gt;=$FQ$34,FH4,0),IF(FK4&gt;=$FQ$34,FL4,0),IF(FN4&gt;=$FQ$34,FO4,0),IF(GL4&gt;=$GY$34,GM4,0),IF(GO4&gt;=$GY$34,GP4,0),IF(GS4&gt;=$GY$34,GT4,0),IF(GV4&gt;=$GY$34,GW4,0),IF(HT4&gt;=$IG$34,HU4,0),IF(HW4&gt;=$IG$34,HX4,0),IF(IA4&gt;=$IG$34,IB4,0),IF(ID4&gt;=$IG$34,IE4,0),IF(JB4&gt;=$JO$34,JC4,0),IF(JE4&gt;=$JO$34,JF4,0),IF(JI4&gt;=$JO$34,JJ4,0),IF(JL4&gt;=$JO$34,JM4,0),IF(KJ4&gt;=$KW$34,KK4,0),IF(KM4&gt;=$KW$34,KN4,0),IF(KQ4&gt;=$KW$34,KR4,0),IF(KT4&gt;=$KW$34,KU4,0),IF(LR4&gt;=$ME$34,LS4,0),IF(LU4&gt;=$ME$34,LV4,0),IF(LY4&gt;=$ME$34,LZ4,0),IF(MB4&gt;=$ME$34,MC4,0),IF(MZ4&gt;=$NM$34,NA4,0),IF(NC4&gt;=$NM$34,ND4,0),IF(NG4&gt;=$NM$34,NH4,0),IF(NJ4&gt;=$NM$34,NK4,0),IF(OH4&gt;=$OU$34,OI4,0),IF(OK4&gt;=$OU$34,OL4,0),IF(OO4&gt;=$OU$34,OP4,0),IF(OR4&gt;=$OU$34,OS4,0),IF(PP4&gt;=$QC$34,PQ4,0),IF(PS4&gt;=$QC$34,PT4,0),IF(PW4&gt;=$QC$34,PX4,0),IF(PZ4&gt;=$QC$34,QA4,0),IF(QX4&gt;=$RK$34,QY4,0),IF(RA4&gt;=$RK$34,RB4,0),IF(RE4&gt;=$RK$34,RF4,0),IF(RH4&gt;=$RK$34,RI4,0),IF(SF4&gt;=$SS$34,SG4,0),IF(SI4&gt;=$SS$34,SJ4,0),IF(SM4&gt;=$SS$34,SN4,0),IF(SP4&gt;=$SS$34,SQ4,0)),0)</f>
        <v>14.65</v>
      </c>
      <c r="S4" s="8" t="str">
        <f t="shared" ref="S4:S31" si="10">IF(R4=0,"",IF(OR(R4=CP4,R4=CS4,R4=CW4),$BY$1,IF(OR(R4=BO4,R4=BR4,R4=BV4),$AX$1,IF(OR(R4=AN4,R4=AQ4,R4=AU4),$W$1,IF(OR(R4=SG4,R4=SJ4,R4=SN4,R4=SQ4),$RL$1,IF(OR(R4=QY4,R4=RB4,R4=RF4,R4=RI4),$QD$1,IF(OR(R4=PQ4,R4=PT4,R4=PX4,R4=QA4),$OV$1,IF(OR(R4=OI4,R4=OL4,R4=OP4,R4=OS4),$NN$1,IF(OR(R4=NA4,R4=ND4,R4=NH4,R4=NK4),$MF$1,IF(OR(R4=LS4,R4=LV4,R4=LZ4,R4=MC4),$KX$1,IF(OR(R4=KK4,R4=KN4,R4=KR4,R4=KU4),$JP$1,IF(OR(R4=JC4,R4=JF4,R4=JJ4,R4=JM4),$IH$1,IF(OR(R4=HU4,R4=HX4,R4=IB4,R4=IE4),$GZ$1,IF(OR(R4=GM4,R4=GP4,R4=GT4,R4=GW4),$FR$1,IF(OR(R4=FE4,R4=FH4,R4=FL4,R4=FO4),$EJ$1,IF(OR(R4=DW4,R4=DZ4,R4=ED4,R4=EG4),$DB$1,""))))))))))))))))</f>
        <v>2022 Coimbra Gym Fest (June 26)</v>
      </c>
      <c r="T4" s="8">
        <f t="shared" ref="T4:T31" si="11">IF(MAX(CZ4,DA4)&gt;0,MAX(CZ4,DA4),"")</f>
        <v>0.3399999999999892</v>
      </c>
      <c r="U4" s="11" t="str">
        <f t="shared" ref="U4:U31" si="12">IF(T4="","",IF(T4=CZ4,"("&amp;CZ$2&amp;")",IF(T4=DA4,"("&amp;DA$2&amp;")")))</f>
        <v>(Optional)</v>
      </c>
      <c r="V4" s="8" t="str">
        <f>IF(T4="","",IF(T4=CZ4,IF(T4+IF(N4="",0,N4)=SL4,$RL$1,IF(T4+IF(N4="",0,N4)=RD4,$QD$1,IF(T4+IF(N4="",0,N4)=PV4,$OV$1,IF(T4+IF(N4="",0,N4)=ON4,$NN$1,IF(T4+IF(N4="",0,N4)=NF4,$MF$1,IF(T4+IF(N4="",0,N4)=LX4,$KX$1,IF(T4+IF(N4="",0,N4)=KP4,$JP$1,IF(T4+IF(N4="",0,N4)=JH4,$IH$1,IF(T4+IF(N4="",0,N4)=HZ4,$GZ$1,IF(T4+IF(N4="",0,N4)=GR4,$FR$1,IF(T4+IF(N4="",0,N4)=FJ4,$EJ$1,IF(T4+IF(N4="",0,N4)=EB4,$DB$1)))))))))))),IF(T4=DA4,IF(T4+IF(#REF!="",0,#REF!)=SR4,$RL$1,IF(T4+IF(#REF!="",0,#REF!)=RJ4,$QD$1,IF(T4+IF(#REF!="",0,#REF!)=QB4,$OV$1,IF(T4+IF(#REF!="",0,#REF!)=OT4,$NN$1,IF(T4+IF(#REF!="",0,#REF!)=NL4,$MF$1,IF(T4+IF(#REF!="",0,#REF!)=MD4,$KX$1,IF(T4+IF(#REF!="",0,#REF!)=KV4,$JP$1,IF(T4+IF(#REF!="",0,#REF!)=JN4,$IH$1,IF(T4+IF(#REF!="",0,#REF!)=IF4,$GZ$1,IF(T4+IF(#REF!="",0,#REF!)=GX4,$FR$1,IF(T4+IF(#REF!="",0,#REF!)=FP4,$EJ$1,IF(T4+IF(#REF!="",0,#REF!)=EH4,$DB$1,IF(T4+IF(#REF!="",0,#REF!)=SO4,$RL$1,IF(T4+IF(#REF!="",0,#REF!)=RG4,$QD$1,IF(T4+IF(#REF!="",0,#REF!)=PY4,$OV$1,IF(T4+IF(#REF!="",0,#REF!)=OQ4,$NN$1,IF(T4+IF(#REF!="",0,#REF!)=NI4,$MF$1,IF(T4+IF(#REF!="",0,#REF!)=MA4,$KX$1,IF(T4+IF(#REF!="",0,#REF!)=KS4,$JP$1,IF(T4+IF(#REF!="",0,#REF!)=JK4,$IH$1,IF(T4+IF(#REF!="",0,#REF!)=IC4,$GZ$1,IF(T4+IF(#REF!="",0,#REF!)=GU4,$FR$1,IF(T4+IF(#REF!="",0,#REF!)=FM4,$EJ$1,IF(T4+IF(#REF!="",0,#REF!)=EE4,$DB$1)))))))))))))))))))))))))))</f>
        <v>2022 Coimbra Gym Fest (June 26)</v>
      </c>
      <c r="W4" s="22">
        <v>14.8</v>
      </c>
      <c r="X4" s="22">
        <v>9.5</v>
      </c>
      <c r="Y4" s="22">
        <v>11.8</v>
      </c>
      <c r="Z4" s="22">
        <v>14.31</v>
      </c>
      <c r="AA4" s="22">
        <v>0</v>
      </c>
      <c r="AB4" s="22">
        <v>15</v>
      </c>
      <c r="AC4" s="22">
        <v>9.3000000000000007</v>
      </c>
      <c r="AD4" s="22">
        <v>11.8</v>
      </c>
      <c r="AE4" s="22">
        <v>14.62</v>
      </c>
      <c r="AF4" s="22">
        <v>0</v>
      </c>
      <c r="AG4" s="22">
        <v>15.2</v>
      </c>
      <c r="AH4" s="22">
        <v>8.8000000000000007</v>
      </c>
      <c r="AI4" s="22">
        <v>11.8</v>
      </c>
      <c r="AJ4" s="22">
        <v>14.22</v>
      </c>
      <c r="AK4" s="22">
        <v>0</v>
      </c>
      <c r="AL4" s="27"/>
      <c r="AM4" s="38">
        <f t="shared" ref="AM4:AM31" si="13">IF(Y4&gt;0,Y4,"")</f>
        <v>11.8</v>
      </c>
      <c r="AN4" s="38">
        <f t="shared" ref="AN4:AN31" si="14">IF(Z4&gt;0,Z4,"")</f>
        <v>14.31</v>
      </c>
      <c r="AO4" s="40">
        <f t="shared" ref="AO4:AO31" si="15">IF(SUM(W4:Z4)-AA4&gt;0,SUM(W4:Z4)-AA4,"")</f>
        <v>50.410000000000004</v>
      </c>
      <c r="AP4" s="40">
        <f t="shared" ref="AP4:AP31" si="16">IF(AD4&gt;0,AD4,"")</f>
        <v>11.8</v>
      </c>
      <c r="AQ4" s="40">
        <f t="shared" ref="AQ4:AQ31" si="17">IF(AE4&gt;0,AE4,"")</f>
        <v>14.62</v>
      </c>
      <c r="AR4" s="40">
        <f t="shared" ref="AR4:AR31" si="18">IF(SUM(AB4:AE4)-AF4&gt;0,SUM(AB4:AE4)-AF4,"")</f>
        <v>50.72</v>
      </c>
      <c r="AS4" s="40">
        <f t="shared" ref="AS4:AS31" si="19">IF(AO4="","",MAX(AO4,AR4))</f>
        <v>50.72</v>
      </c>
      <c r="AT4" s="40">
        <f t="shared" ref="AT4:AT31" si="20">IF(AI4&gt;0,AI4,"")</f>
        <v>11.8</v>
      </c>
      <c r="AU4" s="40">
        <f t="shared" ref="AU4:AU31" si="21">IF(AJ4&gt;0,AJ4,"")</f>
        <v>14.22</v>
      </c>
      <c r="AV4" s="40">
        <f t="shared" ref="AV4:AV31" si="22">IF(SUM(AG4:AJ4)-AK4&gt;0,SUM(AG4:AJ4)-AK4,"")</f>
        <v>50.019999999999996</v>
      </c>
      <c r="AW4" s="40">
        <f t="shared" ref="AW4:AW31" si="23">IF(SUM(AS4,AV4)&gt;0,SUM(AS4,AV4),"")</f>
        <v>100.74</v>
      </c>
      <c r="AX4" s="26"/>
      <c r="AY4" s="26"/>
      <c r="AZ4" s="26"/>
      <c r="BA4" s="26"/>
      <c r="BB4" s="26"/>
      <c r="BC4" s="26"/>
      <c r="BD4" s="26"/>
      <c r="BE4" s="26"/>
      <c r="BF4" s="26"/>
      <c r="BG4" s="26"/>
      <c r="BH4" s="26"/>
      <c r="BI4" s="26"/>
      <c r="BJ4" s="26"/>
      <c r="BK4" s="26"/>
      <c r="BL4" s="26"/>
      <c r="BM4" s="28"/>
      <c r="BN4" s="39" t="str">
        <f t="shared" ref="BN4:BN31" si="24">IF(AZ4&gt;0,AZ4,"")</f>
        <v/>
      </c>
      <c r="BO4" s="39" t="str">
        <f t="shared" ref="BO4:BO31" si="25">IF(BA4&gt;0,BA4,"")</f>
        <v/>
      </c>
      <c r="BP4" s="11" t="str">
        <f t="shared" ref="BP4:BP31" si="26">IF(SUM(AX4:BA4)-BB4&gt;0,SUM(AX4:BA4)-BB4,"")</f>
        <v/>
      </c>
      <c r="BQ4" s="11" t="str">
        <f t="shared" ref="BQ4:BQ31" si="27">IF(BE4&gt;0,BE4,"")</f>
        <v/>
      </c>
      <c r="BR4" s="11" t="str">
        <f t="shared" ref="BR4:BR31" si="28">IF(BF4&gt;0,BF4,"")</f>
        <v/>
      </c>
      <c r="BS4" s="11" t="str">
        <f t="shared" ref="BS4:BS31" si="29">IF(SUM(BC4:BF4)-BG4&gt;0,SUM(BC4:BF4)-BG4,"")</f>
        <v/>
      </c>
      <c r="BT4" s="11" t="str">
        <f t="shared" ref="BT4:BT31" si="30">IF(BP4="","",MAX(BP4,BS4))</f>
        <v/>
      </c>
      <c r="BU4" s="11" t="str">
        <f t="shared" ref="BU4:BU31" si="31">IF(BJ4&gt;0,BJ4,"")</f>
        <v/>
      </c>
      <c r="BV4" s="11" t="str">
        <f t="shared" ref="BV4:BV31" si="32">IF(BK4&gt;0,BK4,"")</f>
        <v/>
      </c>
      <c r="BW4" s="11" t="str">
        <f t="shared" ref="BW4:BW31" si="33">IF(SUM(BH4:BK4)-BL4&gt;0,SUM(BH4:BK4)-BL4,"")</f>
        <v/>
      </c>
      <c r="BX4" s="11" t="str">
        <f t="shared" ref="BX4:BX31" si="34">IF(SUM(BT4,BW4)&gt;0,SUM(BT4,BW4),"")</f>
        <v/>
      </c>
      <c r="BY4" s="22">
        <v>11.2</v>
      </c>
      <c r="BZ4" s="22">
        <v>9.1</v>
      </c>
      <c r="CA4" s="22">
        <v>11.5</v>
      </c>
      <c r="CB4" s="22">
        <v>14.25</v>
      </c>
      <c r="CC4" s="22">
        <v>0</v>
      </c>
      <c r="CD4" s="22">
        <v>14.8</v>
      </c>
      <c r="CE4" s="22">
        <v>9.6</v>
      </c>
      <c r="CF4" s="22">
        <v>12.7</v>
      </c>
      <c r="CG4" s="22">
        <v>14.05</v>
      </c>
      <c r="CH4" s="22">
        <v>0</v>
      </c>
      <c r="CI4" s="22">
        <v>14.9</v>
      </c>
      <c r="CJ4" s="22">
        <v>9.6999999999999993</v>
      </c>
      <c r="CK4" s="22">
        <v>12.7</v>
      </c>
      <c r="CL4" s="22">
        <v>14.33</v>
      </c>
      <c r="CM4" s="22">
        <v>0</v>
      </c>
      <c r="CN4" s="27"/>
      <c r="CO4" s="38">
        <f t="shared" ref="CO4:CO31" si="35">IF(CA4&gt;0,CA4,"")</f>
        <v>11.5</v>
      </c>
      <c r="CP4" s="38">
        <f t="shared" ref="CP4:CP31" si="36">IF(CB4&gt;0,CB4,"")</f>
        <v>14.25</v>
      </c>
      <c r="CQ4" s="40">
        <f t="shared" ref="CQ4:CQ31" si="37">IF(SUM(BY4:CB4)-CC4&gt;0,SUM(BY4:CB4)-CC4,"")</f>
        <v>46.05</v>
      </c>
      <c r="CR4" s="40">
        <f t="shared" ref="CR4:CR31" si="38">IF(CF4&gt;0,CF4,"")</f>
        <v>12.7</v>
      </c>
      <c r="CS4" s="40">
        <f t="shared" ref="CS4:CS31" si="39">IF(CG4&gt;0,CG4,"")</f>
        <v>14.05</v>
      </c>
      <c r="CT4" s="40">
        <f t="shared" ref="CT4:CT31" si="40">IF(SUM(CD4:CG4)-CH4&gt;0,SUM(CD4:CG4)-CH4,"")</f>
        <v>51.149999999999991</v>
      </c>
      <c r="CU4" s="40">
        <f t="shared" ref="CU4:CU31" si="41">IF(CQ4="","",MAX(CQ4,CT4))</f>
        <v>51.149999999999991</v>
      </c>
      <c r="CV4" s="40">
        <f t="shared" ref="CV4:CV31" si="42">IF(CK4&gt;0,CK4,"")</f>
        <v>12.7</v>
      </c>
      <c r="CW4" s="40">
        <f t="shared" ref="CW4:CW31" si="43">IF(CL4&gt;0,CL4,"")</f>
        <v>14.33</v>
      </c>
      <c r="CX4" s="40">
        <f t="shared" ref="CX4:CX31" si="44">IF(SUM(CI4:CL4)-CM4&gt;0,SUM(CI4:CL4)-CM4,"")</f>
        <v>51.629999999999995</v>
      </c>
      <c r="CY4" s="40">
        <f t="shared" ref="CY4:CY31" si="45">IF(SUM(CU4,CX4)&gt;0,SUM(CU4,CX4),"")</f>
        <v>102.77999999999999</v>
      </c>
      <c r="CZ4" s="50">
        <f t="shared" ref="CZ4:CZ31" si="46">IF(MAX(DX4,EA4,FF4,FI4,GN4,GQ4,HV4,HY4,JD4,JG4,KL4,KO4,LT4,LW4,NB4,NE4,OJ4,OM4,PR4,PU4,QZ4,RC4,SH4,SK4)-MIN(IF(L4="",0,L4),IF(N4="",0,N4))&gt;0.001,MAX(DX4,EA4,FF4,FI4,GN4,GQ4,HV4,HY4,JD4,JG4,KL4,KO4,LT4,LW4,NB4,NE4,OJ4,OM4,PR4,PU4,QZ4,RC4,SH4,SK4)-MIN(IF(L4="",0,L4),IF(N4="",0,N4)),"")</f>
        <v>0.3399999999999892</v>
      </c>
      <c r="DA4" s="50" t="str">
        <f t="shared" ref="DA4:DA31" si="47">IF(MAX(EE4,EH4,FM4,FP4,GU4,GX4,IC4,IF4,JK4,JN4,KS4,KV4,MA4,MD4,NI4,NL4,OQ4,OT4,PY4,QB4,RG4,RJ4,SO4,SR4)-IF(N4="",0,N4)&gt;0.001,MAX(EE4,EH4,FM4,FP4,GU4,GX4,IC4,IF4,JK4,JN4,KS4,KV4,MA4,MD4,NI4,NL4,OQ4,OT4,PY4,QB4,RG4,RJ4,SO4,SR4)-IF(N4="",0,N4),"")</f>
        <v/>
      </c>
      <c r="DB4" s="17">
        <v>14.6</v>
      </c>
      <c r="DC4" s="17">
        <v>9.5</v>
      </c>
      <c r="DD4" s="17">
        <v>11.8</v>
      </c>
      <c r="DE4" s="17">
        <v>14.49</v>
      </c>
      <c r="DF4" s="17">
        <v>0</v>
      </c>
      <c r="DG4" s="17">
        <v>15.2</v>
      </c>
      <c r="DH4" s="17">
        <v>9.1</v>
      </c>
      <c r="DI4" s="17">
        <v>11.8</v>
      </c>
      <c r="DJ4" s="17">
        <v>14.65</v>
      </c>
      <c r="DK4" s="17">
        <v>0</v>
      </c>
      <c r="DL4" s="17"/>
      <c r="DM4" s="17"/>
      <c r="DN4" s="17"/>
      <c r="DO4" s="17"/>
      <c r="DP4" s="17"/>
      <c r="DQ4" s="17">
        <v>13.3</v>
      </c>
      <c r="DR4" s="17">
        <v>9.5</v>
      </c>
      <c r="DS4" s="17">
        <v>11.8</v>
      </c>
      <c r="DT4" s="17">
        <v>14.23</v>
      </c>
      <c r="DU4" s="17">
        <v>0</v>
      </c>
      <c r="DV4" s="40">
        <f t="shared" ref="DV4:DV31" si="48">IF(DD4&gt;0,DD4,"")</f>
        <v>11.8</v>
      </c>
      <c r="DW4" s="40">
        <f t="shared" ref="DW4:DW31" si="49">IF(DE4&gt;0,DE4,"")</f>
        <v>14.49</v>
      </c>
      <c r="DX4" s="40">
        <f t="shared" ref="DX4:DX31" si="50">IF(SUM(DB4:DE4)-DF4&gt;0,SUM(DB4:DE4)-DF4,"")</f>
        <v>50.390000000000008</v>
      </c>
      <c r="DY4" s="40">
        <f t="shared" ref="DY4:DY31" si="51">IF(DI4&gt;0,DI4,"")</f>
        <v>11.8</v>
      </c>
      <c r="DZ4" s="40">
        <f t="shared" ref="DZ4:DZ31" si="52">IF(DJ4&gt;0,DJ4,"")</f>
        <v>14.65</v>
      </c>
      <c r="EA4" s="40">
        <f t="shared" ref="EA4:EA31" si="53">IF(SUM(DG4:DJ4)-DK4&gt;0,SUM(DG4:DJ4)-DK4,"")</f>
        <v>50.749999999999993</v>
      </c>
      <c r="EB4" s="40">
        <f t="shared" ref="EB4:EB31" si="54">IF(MAX(DX4,EA4)&gt;0,MAX(DX4,EA4),"")</f>
        <v>50.749999999999993</v>
      </c>
      <c r="EC4" s="40" t="str">
        <f t="shared" ref="EC4:EC31" si="55">IF(DN4&gt;0,DN4,"")</f>
        <v/>
      </c>
      <c r="ED4" s="40" t="str">
        <f t="shared" ref="ED4:ED31" si="56">IF(DO4&gt;0,DO4,"")</f>
        <v/>
      </c>
      <c r="EE4" s="40" t="str">
        <f t="shared" ref="EE4:EE31" si="57">IF(SUM(DL4:DO4)-DP4&gt;0,SUM(DL4:DO4)-DP4,"")</f>
        <v/>
      </c>
      <c r="EF4" s="40">
        <f t="shared" ref="EF4:EF31" si="58">IF(DS4&gt;0,DS4,"")</f>
        <v>11.8</v>
      </c>
      <c r="EG4" s="40">
        <f t="shared" ref="EG4:EG31" si="59">IF(DT4&gt;0,DT4,"")</f>
        <v>14.23</v>
      </c>
      <c r="EH4" s="40">
        <f t="shared" ref="EH4:EH31" si="60">IF(SUM(DQ4:DT4)-DU4&gt;0,SUM(DQ4:DT4)-DU4,"")</f>
        <v>48.83</v>
      </c>
      <c r="EI4" s="40">
        <f t="shared" ref="EI4:EI31" si="61">IF(SUM(EB4,EH4)&gt;0,SUM(EB4,EH4),"")</f>
        <v>99.579999999999984</v>
      </c>
      <c r="EJ4" s="18"/>
      <c r="EK4" s="18"/>
      <c r="EL4" s="18"/>
      <c r="EM4" s="18"/>
      <c r="EN4" s="18"/>
      <c r="EO4" s="18"/>
      <c r="EP4" s="18"/>
      <c r="EQ4" s="18"/>
      <c r="ER4" s="18"/>
      <c r="ES4" s="18"/>
      <c r="ET4" s="18"/>
      <c r="EU4" s="18"/>
      <c r="EV4" s="18"/>
      <c r="EW4" s="18"/>
      <c r="EX4" s="18"/>
      <c r="EY4" s="18"/>
      <c r="EZ4" s="18"/>
      <c r="FA4" s="18"/>
      <c r="FB4" s="18"/>
      <c r="FC4" s="18"/>
      <c r="FD4" s="11" t="str">
        <f t="shared" ref="FD4:FD31" si="62">IF(EL4&gt;0,EL4,"")</f>
        <v/>
      </c>
      <c r="FE4" s="11" t="str">
        <f t="shared" ref="FE4:FE31" si="63">IF(EM4&gt;0,EM4,"")</f>
        <v/>
      </c>
      <c r="FF4" s="11" t="str">
        <f t="shared" ref="FF4:FF31" si="64">IF(SUM(EJ4:EM4)-EN4&gt;0,SUM(EJ4:EM4)-EN4,"")</f>
        <v/>
      </c>
      <c r="FG4" s="11" t="str">
        <f t="shared" ref="FG4:FG31" si="65">IF(EQ4&gt;0,EQ4,"")</f>
        <v/>
      </c>
      <c r="FH4" s="11" t="str">
        <f t="shared" ref="FH4:FH31" si="66">IF(ER4&gt;0,ER4,"")</f>
        <v/>
      </c>
      <c r="FI4" s="11" t="str">
        <f t="shared" ref="FI4:FI31" si="67">IF(SUM(EO4:ER4)-ES4&gt;0,SUM(EO4:ER4)-ES4,"")</f>
        <v/>
      </c>
      <c r="FJ4" s="11" t="str">
        <f t="shared" ref="FJ4:FJ31" si="68">IF(MAX(FF4,FI4)&gt;0,MAX(FF4,FI4),"")</f>
        <v/>
      </c>
      <c r="FK4" s="11" t="str">
        <f t="shared" ref="FK4:FK31" si="69">IF(EV4&gt;0,EV4,"")</f>
        <v/>
      </c>
      <c r="FL4" s="11" t="str">
        <f t="shared" ref="FL4:FL31" si="70">IF(EW4&gt;0,EW4,"")</f>
        <v/>
      </c>
      <c r="FM4" s="11" t="str">
        <f t="shared" ref="FM4:FM31" si="71">IF(SUM(ET4:EW4)-EX4&gt;0,SUM(ET4:EW4)-EX4,"")</f>
        <v/>
      </c>
      <c r="FN4" s="11" t="str">
        <f t="shared" ref="FN4:FN31" si="72">IF(FA4&gt;0,FA4,"")</f>
        <v/>
      </c>
      <c r="FO4" s="11" t="str">
        <f t="shared" ref="FO4:FO31" si="73">IF(FB4&gt;0,FB4,"")</f>
        <v/>
      </c>
      <c r="FP4" s="11" t="str">
        <f t="shared" ref="FP4:FP31" si="74">IF(SUM(EY4:FB4)-FC4&gt;0,SUM(EY4:FB4)-FC4,"")</f>
        <v/>
      </c>
      <c r="FQ4" s="11" t="str">
        <f t="shared" ref="FQ4:FQ31" si="75">IF(SUM(FJ4,FP4)&gt;0,SUM(FJ4,FP4),"")</f>
        <v/>
      </c>
      <c r="FR4" s="17"/>
      <c r="FS4" s="17"/>
      <c r="FT4" s="17"/>
      <c r="FU4" s="17"/>
      <c r="FV4" s="17"/>
      <c r="FW4" s="17"/>
      <c r="FX4" s="17"/>
      <c r="FY4" s="17"/>
      <c r="FZ4" s="17"/>
      <c r="GA4" s="17"/>
      <c r="GB4" s="17"/>
      <c r="GC4" s="17"/>
      <c r="GD4" s="17"/>
      <c r="GE4" s="17"/>
      <c r="GF4" s="17"/>
      <c r="GG4" s="17"/>
      <c r="GH4" s="17"/>
      <c r="GI4" s="17"/>
      <c r="GJ4" s="17"/>
      <c r="GK4" s="17"/>
      <c r="GL4" s="40" t="str">
        <f t="shared" ref="GL4:GL31" si="76">IF(FT4&gt;0,FT4,"")</f>
        <v/>
      </c>
      <c r="GM4" s="40" t="str">
        <f t="shared" ref="GM4:GM31" si="77">IF(FU4&gt;0,FU4,"")</f>
        <v/>
      </c>
      <c r="GN4" s="40" t="str">
        <f t="shared" ref="GN4:GN31" si="78">IF(SUM(FR4:FU4)-FV4&gt;0,SUM(FR4:FU4)-FV4,"")</f>
        <v/>
      </c>
      <c r="GO4" s="40" t="str">
        <f t="shared" ref="GO4:GO31" si="79">IF(FY4&gt;0,FY4,"")</f>
        <v/>
      </c>
      <c r="GP4" s="40" t="str">
        <f t="shared" ref="GP4:GP31" si="80">IF(FZ4&gt;0,FZ4,"")</f>
        <v/>
      </c>
      <c r="GQ4" s="40" t="str">
        <f t="shared" ref="GQ4:GQ31" si="81">IF(SUM(FW4:FZ4)-GA4&gt;0,SUM(FW4:FZ4)-GA4,"")</f>
        <v/>
      </c>
      <c r="GR4" s="40" t="str">
        <f t="shared" ref="GR4:GR31" si="82">IF(MAX(GN4,GQ4)&gt;0,MAX(GN4,GQ4),"")</f>
        <v/>
      </c>
      <c r="GS4" s="40" t="str">
        <f t="shared" ref="GS4:GS31" si="83">IF(GD4&gt;0,GD4,"")</f>
        <v/>
      </c>
      <c r="GT4" s="40" t="str">
        <f t="shared" ref="GT4:GT31" si="84">IF(GE4&gt;0,GE4,"")</f>
        <v/>
      </c>
      <c r="GU4" s="40" t="str">
        <f t="shared" ref="GU4:GU31" si="85">IF(SUM(GB4:GE4)-GF4&gt;0,SUM(GB4:GE4)-GF4,"")</f>
        <v/>
      </c>
      <c r="GV4" s="40" t="str">
        <f t="shared" ref="GV4:GV31" si="86">IF(GI4&gt;0,GI4,"")</f>
        <v/>
      </c>
      <c r="GW4" s="40" t="str">
        <f t="shared" ref="GW4:GW31" si="87">IF(GJ4&gt;0,GJ4,"")</f>
        <v/>
      </c>
      <c r="GX4" s="40" t="str">
        <f t="shared" ref="GX4:GX31" si="88">IF(SUM(GG4:GJ4)-GK4&gt;0,SUM(GG4:GJ4)-GK4,"")</f>
        <v/>
      </c>
      <c r="GY4" s="40" t="str">
        <f t="shared" ref="GY4:GY31" si="89">IF(SUM(GR4,GX4)&gt;0,SUM(GR4,GX4),"")</f>
        <v/>
      </c>
      <c r="GZ4" s="18"/>
      <c r="HA4" s="18"/>
      <c r="HB4" s="18"/>
      <c r="HC4" s="18"/>
      <c r="HD4" s="18"/>
      <c r="HE4" s="18"/>
      <c r="HF4" s="18"/>
      <c r="HG4" s="18"/>
      <c r="HH4" s="18"/>
      <c r="HI4" s="18"/>
      <c r="HJ4" s="18"/>
      <c r="HK4" s="18"/>
      <c r="HL4" s="18"/>
      <c r="HM4" s="18"/>
      <c r="HN4" s="18"/>
      <c r="HO4" s="18"/>
      <c r="HP4" s="18"/>
      <c r="HQ4" s="18"/>
      <c r="HR4" s="18"/>
      <c r="HS4" s="18"/>
      <c r="HT4" s="11" t="str">
        <f t="shared" ref="HT4:HT31" si="90">IF(HB4&gt;0,HB4,"")</f>
        <v/>
      </c>
      <c r="HU4" s="11" t="str">
        <f t="shared" ref="HU4:HU31" si="91">IF(HC4&gt;0,HC4,"")</f>
        <v/>
      </c>
      <c r="HV4" s="11" t="str">
        <f t="shared" ref="HV4:HV31" si="92">IF(SUM(GZ4:HC4)-HD4&gt;0,SUM(GZ4:HC4)-HD4,"")</f>
        <v/>
      </c>
      <c r="HW4" s="11" t="str">
        <f t="shared" ref="HW4:HW31" si="93">IF(HG4&gt;0,HG4,"")</f>
        <v/>
      </c>
      <c r="HX4" s="11" t="str">
        <f t="shared" ref="HX4:HX31" si="94">IF(HH4&gt;0,HH4,"")</f>
        <v/>
      </c>
      <c r="HY4" s="11" t="str">
        <f t="shared" ref="HY4:HY31" si="95">IF(SUM(HE4:HH4)-HI4&gt;0,SUM(HE4:HH4)-HI4,"")</f>
        <v/>
      </c>
      <c r="HZ4" s="11" t="str">
        <f t="shared" ref="HZ4:HZ31" si="96">IF(MAX(HV4,HY4)&gt;0,MAX(HV4,HY4),"")</f>
        <v/>
      </c>
      <c r="IA4" s="11" t="str">
        <f t="shared" ref="IA4:IA31" si="97">IF(HL4&gt;0,HL4,"")</f>
        <v/>
      </c>
      <c r="IB4" s="11" t="str">
        <f t="shared" ref="IB4:IB31" si="98">IF(HM4&gt;0,HM4,"")</f>
        <v/>
      </c>
      <c r="IC4" s="11" t="str">
        <f t="shared" ref="IC4:IC31" si="99">IF(SUM(HJ4:HM4)-HN4&gt;0,SUM(HJ4:HM4)-HN4,"")</f>
        <v/>
      </c>
      <c r="ID4" s="11" t="str">
        <f t="shared" ref="ID4:ID31" si="100">IF(HQ4&gt;0,HQ4,"")</f>
        <v/>
      </c>
      <c r="IE4" s="11" t="str">
        <f t="shared" ref="IE4:IE31" si="101">IF(HR4&gt;0,HR4,"")</f>
        <v/>
      </c>
      <c r="IF4" s="11" t="str">
        <f t="shared" ref="IF4:IF31" si="102">IF(SUM(HO4:HR4)-HS4&gt;0,SUM(HO4:HR4)-HS4,"")</f>
        <v/>
      </c>
      <c r="IG4" s="11" t="str">
        <f t="shared" ref="IG4:IG31" si="103">IF(SUM(HZ4,IF4)&gt;0,SUM(HZ4,IF4),"")</f>
        <v/>
      </c>
      <c r="IH4" s="17"/>
      <c r="II4" s="17"/>
      <c r="IJ4" s="17"/>
      <c r="IK4" s="17"/>
      <c r="IL4" s="17"/>
      <c r="IM4" s="17"/>
      <c r="IN4" s="17"/>
      <c r="IO4" s="17"/>
      <c r="IP4" s="17"/>
      <c r="IQ4" s="17"/>
      <c r="IR4" s="17"/>
      <c r="IS4" s="17"/>
      <c r="IT4" s="17"/>
      <c r="IU4" s="17"/>
      <c r="IV4" s="17"/>
      <c r="IW4" s="17"/>
      <c r="IX4" s="17"/>
      <c r="IY4" s="17"/>
      <c r="IZ4" s="17"/>
      <c r="JA4" s="17"/>
      <c r="JB4" s="40" t="str">
        <f t="shared" ref="JB4:JB31" si="104">IF(IJ4&gt;0,IJ4,"")</f>
        <v/>
      </c>
      <c r="JC4" s="40" t="str">
        <f t="shared" ref="JC4:JC31" si="105">IF(IK4&gt;0,IK4,"")</f>
        <v/>
      </c>
      <c r="JD4" s="40" t="str">
        <f t="shared" ref="JD4:JD31" si="106">IF(SUM(IH4:IK4)-IL4&gt;0,SUM(IH4:IK4)-IL4,"")</f>
        <v/>
      </c>
      <c r="JE4" s="40" t="str">
        <f t="shared" ref="JE4:JE31" si="107">IF(IO4&gt;0,IO4,"")</f>
        <v/>
      </c>
      <c r="JF4" s="40" t="str">
        <f t="shared" ref="JF4:JF31" si="108">IF(IP4&gt;0,IP4,"")</f>
        <v/>
      </c>
      <c r="JG4" s="40" t="str">
        <f t="shared" ref="JG4:JG31" si="109">IF(SUM(IM4:IP4)-IQ4&gt;0,SUM(IM4:IP4)-IQ4,"")</f>
        <v/>
      </c>
      <c r="JH4" s="40" t="str">
        <f t="shared" ref="JH4:JH31" si="110">IF(MAX(JD4,JG4)&gt;0,MAX(JD4,JG4),"")</f>
        <v/>
      </c>
      <c r="JI4" s="40" t="str">
        <f t="shared" ref="JI4:JI31" si="111">IF(IT4&gt;0,IT4,"")</f>
        <v/>
      </c>
      <c r="JJ4" s="40" t="str">
        <f t="shared" ref="JJ4:JJ31" si="112">IF(IU4&gt;0,IU4,"")</f>
        <v/>
      </c>
      <c r="JK4" s="40" t="str">
        <f t="shared" ref="JK4:JK31" si="113">IF(SUM(IR4:IU4)-IV4&gt;0,SUM(IR4:IU4)-IV4,"")</f>
        <v/>
      </c>
      <c r="JL4" s="40" t="str">
        <f t="shared" ref="JL4:JL31" si="114">IF(IY4&gt;0,IY4,"")</f>
        <v/>
      </c>
      <c r="JM4" s="40" t="str">
        <f t="shared" ref="JM4:JM31" si="115">IF(IZ4&gt;0,IZ4,"")</f>
        <v/>
      </c>
      <c r="JN4" s="40" t="str">
        <f t="shared" ref="JN4:JN31" si="116">IF(SUM(IW4:IZ4)-JA4&gt;0,SUM(IW4:IZ4)-JA4,"")</f>
        <v/>
      </c>
      <c r="JO4" s="40" t="str">
        <f t="shared" ref="JO4:JO31" si="117">IF(SUM(JH4,JN4)&gt;0,SUM(JH4,JN4),"")</f>
        <v/>
      </c>
      <c r="JP4" s="18"/>
      <c r="JQ4" s="18"/>
      <c r="JR4" s="18"/>
      <c r="JS4" s="18"/>
      <c r="JT4" s="18"/>
      <c r="JU4" s="18"/>
      <c r="JV4" s="18"/>
      <c r="JW4" s="18"/>
      <c r="JX4" s="18"/>
      <c r="JY4" s="18"/>
      <c r="JZ4" s="18"/>
      <c r="KA4" s="18"/>
      <c r="KB4" s="18"/>
      <c r="KC4" s="18"/>
      <c r="KD4" s="18"/>
      <c r="KE4" s="18"/>
      <c r="KF4" s="18"/>
      <c r="KG4" s="18"/>
      <c r="KH4" s="18"/>
      <c r="KI4" s="18"/>
      <c r="KJ4" s="11" t="str">
        <f t="shared" ref="KJ4:KJ31" si="118">IF(JR4&gt;0,JR4,"")</f>
        <v/>
      </c>
      <c r="KK4" s="11" t="str">
        <f t="shared" ref="KK4:KK31" si="119">IF(JS4&gt;0,JS4,"")</f>
        <v/>
      </c>
      <c r="KL4" s="11" t="str">
        <f t="shared" ref="KL4:KL31" si="120">IF(SUM(JP4:JS4)-JT4&gt;0,SUM(JP4:JS4)-JT4,"")</f>
        <v/>
      </c>
      <c r="KM4" s="11" t="str">
        <f t="shared" ref="KM4:KM31" si="121">IF(JW4&gt;0,JW4,"")</f>
        <v/>
      </c>
      <c r="KN4" s="11" t="str">
        <f t="shared" ref="KN4:KN31" si="122">IF(JX4&gt;0,JX4,"")</f>
        <v/>
      </c>
      <c r="KO4" s="11" t="str">
        <f t="shared" ref="KO4:KO31" si="123">IF(SUM(JU4:JX4)-JY4&gt;0,SUM(JU4:JX4)-JY4,"")</f>
        <v/>
      </c>
      <c r="KP4" s="11" t="str">
        <f t="shared" ref="KP4:KP31" si="124">IF(MAX(KL4,KO4)&gt;0,MAX(KL4,KO4),"")</f>
        <v/>
      </c>
      <c r="KQ4" s="11" t="str">
        <f t="shared" ref="KQ4:KQ31" si="125">IF(KB4&gt;0,KB4,"")</f>
        <v/>
      </c>
      <c r="KR4" s="11" t="str">
        <f t="shared" ref="KR4:KR31" si="126">IF(KC4&gt;0,KC4,"")</f>
        <v/>
      </c>
      <c r="KS4" s="11" t="str">
        <f t="shared" ref="KS4:KS31" si="127">IF(SUM(JZ4:KC4)-KD4&gt;0,SUM(JZ4:KC4)-KD4,"")</f>
        <v/>
      </c>
      <c r="KT4" s="11" t="str">
        <f t="shared" ref="KT4:KT31" si="128">IF(KG4&gt;0,KG4,"")</f>
        <v/>
      </c>
      <c r="KU4" s="11" t="str">
        <f t="shared" ref="KU4:KU31" si="129">IF(KH4&gt;0,KH4,"")</f>
        <v/>
      </c>
      <c r="KV4" s="11" t="str">
        <f t="shared" ref="KV4:KV31" si="130">IF(SUM(KE4:KH4)-KI4&gt;0,SUM(KE4:KH4)-KI4,"")</f>
        <v/>
      </c>
      <c r="KW4" s="11" t="str">
        <f t="shared" ref="KW4:KW31" si="131">IF(SUM(KP4,KV4)&gt;0,SUM(KP4,KV4),"")</f>
        <v/>
      </c>
      <c r="KX4" s="17"/>
      <c r="KY4" s="17"/>
      <c r="KZ4" s="17"/>
      <c r="LA4" s="17"/>
      <c r="LB4" s="17"/>
      <c r="LC4" s="17"/>
      <c r="LD4" s="17"/>
      <c r="LE4" s="17"/>
      <c r="LF4" s="17"/>
      <c r="LG4" s="17"/>
      <c r="LH4" s="17"/>
      <c r="LI4" s="17"/>
      <c r="LJ4" s="17"/>
      <c r="LK4" s="17"/>
      <c r="LL4" s="17"/>
      <c r="LM4" s="17"/>
      <c r="LN4" s="17"/>
      <c r="LO4" s="17"/>
      <c r="LP4" s="17"/>
      <c r="LQ4" s="17"/>
      <c r="LR4" s="40" t="str">
        <f t="shared" ref="LR4:LR31" si="132">IF(KZ4&gt;0,KZ4,"")</f>
        <v/>
      </c>
      <c r="LS4" s="40" t="str">
        <f t="shared" ref="LS4:LS31" si="133">IF(LA4&gt;0,LA4,"")</f>
        <v/>
      </c>
      <c r="LT4" s="40" t="str">
        <f t="shared" ref="LT4:LT31" si="134">IF(SUM(KX4:LA4)-LB4&gt;0,SUM(KX4:LA4)-LB4,"")</f>
        <v/>
      </c>
      <c r="LU4" s="40" t="str">
        <f t="shared" ref="LU4:LU31" si="135">IF(LE4&gt;0,LE4,"")</f>
        <v/>
      </c>
      <c r="LV4" s="40" t="str">
        <f t="shared" ref="LV4:LV31" si="136">IF(LF4&gt;0,LF4,"")</f>
        <v/>
      </c>
      <c r="LW4" s="40" t="str">
        <f t="shared" ref="LW4:LW31" si="137">IF(SUM(LC4:LF4)-LG4&gt;0,SUM(LC4:LF4)-LG4,"")</f>
        <v/>
      </c>
      <c r="LX4" s="40" t="str">
        <f t="shared" ref="LX4:LX31" si="138">IF(MAX(LT4,LW4)&gt;0,MAX(LT4,LW4),"")</f>
        <v/>
      </c>
      <c r="LY4" s="40" t="str">
        <f t="shared" ref="LY4:LY31" si="139">IF(LJ4&gt;0,LJ4,"")</f>
        <v/>
      </c>
      <c r="LZ4" s="40" t="str">
        <f t="shared" ref="LZ4:LZ31" si="140">IF(LK4&gt;0,LK4,"")</f>
        <v/>
      </c>
      <c r="MA4" s="40" t="str">
        <f t="shared" ref="MA4:MA31" si="141">IF(SUM(LH4:LK4)-LL4&gt;0,SUM(LH4:LK4)-LL4,"")</f>
        <v/>
      </c>
      <c r="MB4" s="40" t="str">
        <f t="shared" ref="MB4:MB31" si="142">IF(LO4&gt;0,LO4,"")</f>
        <v/>
      </c>
      <c r="MC4" s="40" t="str">
        <f t="shared" ref="MC4:MC31" si="143">IF(LP4&gt;0,LP4,"")</f>
        <v/>
      </c>
      <c r="MD4" s="40" t="str">
        <f t="shared" ref="MD4:MD31" si="144">IF(SUM(LM4:LP4)-LQ4&gt;0,SUM(LM4:LP4)-LQ4,"")</f>
        <v/>
      </c>
      <c r="ME4" s="40" t="str">
        <f t="shared" ref="ME4:ME31" si="145">IF(SUM(LX4,MD4)&gt;0,SUM(LX4,MD4),"")</f>
        <v/>
      </c>
      <c r="MF4" s="18"/>
      <c r="MG4" s="18"/>
      <c r="MH4" s="18"/>
      <c r="MI4" s="18"/>
      <c r="MJ4" s="18"/>
      <c r="MK4" s="18"/>
      <c r="ML4" s="18"/>
      <c r="MM4" s="18"/>
      <c r="MN4" s="18"/>
      <c r="MO4" s="18"/>
      <c r="MP4" s="18"/>
      <c r="MQ4" s="18"/>
      <c r="MR4" s="18"/>
      <c r="MS4" s="18"/>
      <c r="MT4" s="18"/>
      <c r="MU4" s="18"/>
      <c r="MV4" s="18"/>
      <c r="MW4" s="18"/>
      <c r="MX4" s="18"/>
      <c r="MY4" s="18"/>
      <c r="MZ4" s="11" t="str">
        <f t="shared" ref="MZ4:MZ31" si="146">IF(MH4&gt;0,MH4,"")</f>
        <v/>
      </c>
      <c r="NA4" s="11" t="str">
        <f t="shared" ref="NA4:NA31" si="147">IF(MI4&gt;0,MI4,"")</f>
        <v/>
      </c>
      <c r="NB4" s="11" t="str">
        <f t="shared" ref="NB4:NB31" si="148">IF(SUM(MF4:MI4)-MJ4&gt;0,SUM(MF4:MI4)-MJ4,"")</f>
        <v/>
      </c>
      <c r="NC4" s="11" t="str">
        <f t="shared" ref="NC4:NC31" si="149">IF(MM4&gt;0,MM4,"")</f>
        <v/>
      </c>
      <c r="ND4" s="11" t="str">
        <f t="shared" ref="ND4:ND31" si="150">IF(MN4&gt;0,MN4,"")</f>
        <v/>
      </c>
      <c r="NE4" s="11" t="str">
        <f t="shared" ref="NE4:NE31" si="151">IF(SUM(MK4:MN4)-MO4&gt;0,SUM(MK4:MN4)-MO4,"")</f>
        <v/>
      </c>
      <c r="NF4" s="11" t="str">
        <f t="shared" ref="NF4:NF31" si="152">IF(MAX(NB4,NE4)&gt;0,MAX(NB4,NE4),"")</f>
        <v/>
      </c>
      <c r="NG4" s="11" t="str">
        <f t="shared" ref="NG4:NG31" si="153">IF(MR4&gt;0,MR4,"")</f>
        <v/>
      </c>
      <c r="NH4" s="11" t="str">
        <f t="shared" ref="NH4:NH31" si="154">IF(MS4&gt;0,MS4,"")</f>
        <v/>
      </c>
      <c r="NI4" s="11" t="str">
        <f t="shared" ref="NI4:NI31" si="155">IF(SUM(MP4:MS4)-MT4&gt;0,SUM(MP4:MS4)-MT4,"")</f>
        <v/>
      </c>
      <c r="NJ4" s="11" t="str">
        <f t="shared" ref="NJ4:NJ31" si="156">IF(MW4&gt;0,MW4,"")</f>
        <v/>
      </c>
      <c r="NK4" s="11" t="str">
        <f t="shared" ref="NK4:NK31" si="157">IF(MX4&gt;0,MX4,"")</f>
        <v/>
      </c>
      <c r="NL4" s="11" t="str">
        <f t="shared" ref="NL4:NL31" si="158">IF(SUM(MU4:MX4)-MY4&gt;0,SUM(MU4:MX4)-MY4,"")</f>
        <v/>
      </c>
      <c r="NM4" s="11" t="str">
        <f t="shared" ref="NM4:NM31" si="159">IF(SUM(NF4,NL4)&gt;0,SUM(NF4,NL4),"")</f>
        <v/>
      </c>
      <c r="NN4" s="17"/>
      <c r="NO4" s="17"/>
      <c r="NP4" s="17"/>
      <c r="NQ4" s="17"/>
      <c r="NR4" s="17"/>
      <c r="NS4" s="17"/>
      <c r="NT4" s="17"/>
      <c r="NU4" s="17"/>
      <c r="NV4" s="17"/>
      <c r="NW4" s="17"/>
      <c r="NX4" s="17"/>
      <c r="NY4" s="17"/>
      <c r="NZ4" s="17"/>
      <c r="OA4" s="17"/>
      <c r="OB4" s="17"/>
      <c r="OC4" s="17"/>
      <c r="OD4" s="17"/>
      <c r="OE4" s="17"/>
      <c r="OF4" s="17"/>
      <c r="OG4" s="17"/>
      <c r="OH4" s="40" t="str">
        <f t="shared" ref="OH4:OH31" si="160">IF(NP4&gt;0,NP4,"")</f>
        <v/>
      </c>
      <c r="OI4" s="40" t="str">
        <f t="shared" ref="OI4:OI31" si="161">IF(NQ4&gt;0,NQ4,"")</f>
        <v/>
      </c>
      <c r="OJ4" s="40" t="str">
        <f t="shared" ref="OJ4:OJ31" si="162">IF(SUM(NN4:NQ4)-NR4&gt;0,SUM(NN4:NQ4)-NR4,"")</f>
        <v/>
      </c>
      <c r="OK4" s="40" t="str">
        <f t="shared" ref="OK4:OK31" si="163">IF(NU4&gt;0,NU4,"")</f>
        <v/>
      </c>
      <c r="OL4" s="40" t="str">
        <f t="shared" ref="OL4:OL31" si="164">IF(NV4&gt;0,NV4,"")</f>
        <v/>
      </c>
      <c r="OM4" s="40" t="str">
        <f t="shared" ref="OM4:OM31" si="165">IF(SUM(NS4:NV4)-NW4&gt;0,SUM(NS4:NV4)-NW4,"")</f>
        <v/>
      </c>
      <c r="ON4" s="40" t="str">
        <f t="shared" ref="ON4:ON31" si="166">IF(MAX(OJ4,OM4)&gt;0,MAX(OJ4,OM4),"")</f>
        <v/>
      </c>
      <c r="OO4" s="40" t="str">
        <f t="shared" ref="OO4:OO31" si="167">IF(NZ4&gt;0,NZ4,"")</f>
        <v/>
      </c>
      <c r="OP4" s="40" t="str">
        <f t="shared" ref="OP4:OP31" si="168">IF(OA4&gt;0,OA4,"")</f>
        <v/>
      </c>
      <c r="OQ4" s="40" t="str">
        <f t="shared" ref="OQ4:OQ31" si="169">IF(SUM(NX4:OA4)-OB4&gt;0,SUM(NX4:OA4)-OB4,"")</f>
        <v/>
      </c>
      <c r="OR4" s="40" t="str">
        <f t="shared" ref="OR4:OR31" si="170">IF(OE4&gt;0,OE4,"")</f>
        <v/>
      </c>
      <c r="OS4" s="40" t="str">
        <f t="shared" ref="OS4:OS31" si="171">IF(OF4&gt;0,OF4,"")</f>
        <v/>
      </c>
      <c r="OT4" s="40" t="str">
        <f t="shared" ref="OT4:OT31" si="172">IF(SUM(OC4:OF4)-OG4&gt;0,SUM(OC4:OF4)-OG4,"")</f>
        <v/>
      </c>
      <c r="OU4" s="40" t="str">
        <f t="shared" ref="OU4:OU31" si="173">IF(SUM(ON4,OT4)&gt;0,SUM(ON4,OT4),"")</f>
        <v/>
      </c>
      <c r="OV4" s="18"/>
      <c r="OW4" s="18"/>
      <c r="OX4" s="18"/>
      <c r="OY4" s="18"/>
      <c r="OZ4" s="18"/>
      <c r="PA4" s="18"/>
      <c r="PB4" s="18"/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1" t="str">
        <f t="shared" ref="PP4:PP31" si="174">IF(OX4&gt;0,OX4,"")</f>
        <v/>
      </c>
      <c r="PQ4" s="11" t="str">
        <f t="shared" ref="PQ4:PQ31" si="175">IF(OY4&gt;0,OY4,"")</f>
        <v/>
      </c>
      <c r="PR4" s="11" t="str">
        <f t="shared" ref="PR4:PR31" si="176">IF(SUM(OV4:OY4)-OZ4&gt;0,SUM(OV4:OY4)-OZ4,"")</f>
        <v/>
      </c>
      <c r="PS4" s="11" t="str">
        <f t="shared" ref="PS4:PS31" si="177">IF(PC4&gt;0,PC4,"")</f>
        <v/>
      </c>
      <c r="PT4" s="11" t="str">
        <f t="shared" ref="PT4:PT31" si="178">IF(PD4&gt;0,PD4,"")</f>
        <v/>
      </c>
      <c r="PU4" s="11" t="str">
        <f t="shared" ref="PU4:PU31" si="179">IF(SUM(PA4:PD4)-PE4&gt;0,SUM(PA4:PD4)-PE4,"")</f>
        <v/>
      </c>
      <c r="PV4" s="11" t="str">
        <f t="shared" ref="PV4:PV31" si="180">IF(MAX(PR4,PU4)&gt;0,MAX(PR4,PU4),"")</f>
        <v/>
      </c>
      <c r="PW4" s="11" t="str">
        <f t="shared" ref="PW4:PW31" si="181">IF(PH4&gt;0,PH4,"")</f>
        <v/>
      </c>
      <c r="PX4" s="11" t="str">
        <f t="shared" ref="PX4:PX31" si="182">IF(PI4&gt;0,PI4,"")</f>
        <v/>
      </c>
      <c r="PY4" s="11" t="str">
        <f t="shared" ref="PY4:PY31" si="183">IF(SUM(PF4:PI4)-PJ4&gt;0,SUM(PF4:PI4)-PJ4,"")</f>
        <v/>
      </c>
      <c r="PZ4" s="11" t="str">
        <f t="shared" ref="PZ4:PZ31" si="184">IF(PM4&gt;0,PM4,"")</f>
        <v/>
      </c>
      <c r="QA4" s="11" t="str">
        <f t="shared" ref="QA4:QA31" si="185">IF(PN4&gt;0,PN4,"")</f>
        <v/>
      </c>
      <c r="QB4" s="11" t="str">
        <f t="shared" ref="QB4:QB31" si="186">IF(SUM(PK4:PN4)-PO4&gt;0,SUM(PK4:PN4)-PO4,"")</f>
        <v/>
      </c>
      <c r="QC4" s="11" t="str">
        <f t="shared" ref="QC4:QC31" si="187">IF(SUM(PV4,QB4)&gt;0,SUM(PV4,QB4),"")</f>
        <v/>
      </c>
      <c r="QD4" s="17"/>
      <c r="QE4" s="17"/>
      <c r="QF4" s="17"/>
      <c r="QG4" s="17"/>
      <c r="QH4" s="17"/>
      <c r="QI4" s="17"/>
      <c r="QJ4" s="17"/>
      <c r="QK4" s="17"/>
      <c r="QL4" s="17"/>
      <c r="QM4" s="17"/>
      <c r="QN4" s="17"/>
      <c r="QO4" s="17"/>
      <c r="QP4" s="17"/>
      <c r="QQ4" s="17"/>
      <c r="QR4" s="17"/>
      <c r="QS4" s="17"/>
      <c r="QT4" s="17"/>
      <c r="QU4" s="17"/>
      <c r="QV4" s="17"/>
      <c r="QW4" s="17"/>
      <c r="QX4" s="40" t="str">
        <f t="shared" ref="QX4:QX31" si="188">IF(QF4&gt;0,QF4,"")</f>
        <v/>
      </c>
      <c r="QY4" s="40" t="str">
        <f t="shared" ref="QY4:QY31" si="189">IF(QG4&gt;0,QG4,"")</f>
        <v/>
      </c>
      <c r="QZ4" s="40" t="str">
        <f t="shared" ref="QZ4:QZ31" si="190">IF(SUM(QD4:QG4)-QH4&gt;0,SUM(QD4:QG4)-QH4,"")</f>
        <v/>
      </c>
      <c r="RA4" s="40" t="str">
        <f t="shared" ref="RA4:RA31" si="191">IF(QK4&gt;0,QK4,"")</f>
        <v/>
      </c>
      <c r="RB4" s="40" t="str">
        <f t="shared" ref="RB4:RB31" si="192">IF(QL4&gt;0,QL4,"")</f>
        <v/>
      </c>
      <c r="RC4" s="40" t="str">
        <f t="shared" ref="RC4:RC31" si="193">IF(SUM(QI4:QL4)-QM4&gt;0,SUM(QI4:QL4)-QM4,"")</f>
        <v/>
      </c>
      <c r="RD4" s="40" t="str">
        <f t="shared" ref="RD4:RD31" si="194">IF(MAX(QZ4,RC4)&gt;0,MAX(QZ4,RC4),"")</f>
        <v/>
      </c>
      <c r="RE4" s="40" t="str">
        <f t="shared" ref="RE4:RE31" si="195">IF(QP4&gt;0,QP4,"")</f>
        <v/>
      </c>
      <c r="RF4" s="40" t="str">
        <f t="shared" ref="RF4:RF31" si="196">IF(QQ4&gt;0,QQ4,"")</f>
        <v/>
      </c>
      <c r="RG4" s="40" t="str">
        <f t="shared" ref="RG4:RG31" si="197">IF(SUM(QN4:QQ4)-QR4&gt;0,SUM(QN4:QQ4)-QR4,"")</f>
        <v/>
      </c>
      <c r="RH4" s="40" t="str">
        <f t="shared" ref="RH4:RH31" si="198">IF(QU4&gt;0,QU4,"")</f>
        <v/>
      </c>
      <c r="RI4" s="40" t="str">
        <f t="shared" ref="RI4:RI31" si="199">IF(QV4&gt;0,QV4,"")</f>
        <v/>
      </c>
      <c r="RJ4" s="40" t="str">
        <f t="shared" ref="RJ4:RJ31" si="200">IF(SUM(QS4:QV4)-QW4&gt;0,SUM(QS4:QV4)-QW4,"")</f>
        <v/>
      </c>
      <c r="RK4" s="40" t="str">
        <f t="shared" ref="RK4:RK31" si="201">IF(SUM(RD4,RJ4)&gt;0,SUM(RD4,RJ4),"")</f>
        <v/>
      </c>
      <c r="RL4" s="18"/>
      <c r="RM4" s="18"/>
      <c r="RN4" s="18"/>
      <c r="RO4" s="18"/>
      <c r="RP4" s="18"/>
      <c r="RQ4" s="18"/>
      <c r="RR4" s="18"/>
      <c r="RS4" s="18"/>
      <c r="RT4" s="18"/>
      <c r="RU4" s="18"/>
      <c r="RV4" s="18"/>
      <c r="RW4" s="18"/>
      <c r="RX4" s="18"/>
      <c r="RY4" s="18"/>
      <c r="RZ4" s="18"/>
      <c r="SA4" s="18"/>
      <c r="SB4" s="18"/>
      <c r="SC4" s="18"/>
      <c r="SD4" s="18"/>
      <c r="SE4" s="18"/>
      <c r="SF4" s="11" t="str">
        <f t="shared" ref="SF4:SF31" si="202">IF(RN4&gt;0,RN4,"")</f>
        <v/>
      </c>
      <c r="SG4" s="11" t="str">
        <f t="shared" ref="SG4:SG31" si="203">IF(RO4&gt;0,RO4,"")</f>
        <v/>
      </c>
      <c r="SH4" s="11" t="str">
        <f t="shared" ref="SH4:SH31" si="204">IF(SUM(RL4:RO4)-RP4&gt;0,SUM(RL4:RO4)-RP4,"")</f>
        <v/>
      </c>
      <c r="SI4" s="11" t="str">
        <f t="shared" ref="SI4:SI31" si="205">IF(RS4&gt;0,RS4,"")</f>
        <v/>
      </c>
      <c r="SJ4" s="11" t="str">
        <f t="shared" ref="SJ4:SJ31" si="206">IF(RT4&gt;0,RT4,"")</f>
        <v/>
      </c>
      <c r="SK4" s="11" t="str">
        <f t="shared" ref="SK4:SK31" si="207">IF(SUM(RQ4:RT4)-RU4&gt;0,SUM(RQ4:RT4)-RU4,"")</f>
        <v/>
      </c>
      <c r="SL4" s="11" t="str">
        <f t="shared" ref="SL4:SL31" si="208">IF(MAX(SH4,SK4)&gt;0,MAX(SH4,SK4),"")</f>
        <v/>
      </c>
      <c r="SM4" s="11" t="str">
        <f t="shared" ref="SM4:SM31" si="209">IF(RX4&gt;0,RX4,"")</f>
        <v/>
      </c>
      <c r="SN4" s="11" t="str">
        <f t="shared" ref="SN4:SN31" si="210">IF(RY4&gt;0,RY4,"")</f>
        <v/>
      </c>
      <c r="SO4" s="11" t="str">
        <f t="shared" ref="SO4:SO31" si="211">IF(SUM(RV4:RY4)-RZ4&gt;0,SUM(RV4:RY4)-RZ4,"")</f>
        <v/>
      </c>
      <c r="SP4" s="11" t="str">
        <f t="shared" ref="SP4:SP31" si="212">IF(SC4&gt;0,SC4,"")</f>
        <v/>
      </c>
      <c r="SQ4" s="11" t="str">
        <f t="shared" ref="SQ4:SQ31" si="213">IF(SD4&gt;0,SD4,"")</f>
        <v/>
      </c>
      <c r="SR4" s="11" t="str">
        <f t="shared" ref="SR4:SR31" si="214">IF(SUM(SA4:SD4)-SE4&gt;0,SUM(SA4:SD4)-SE4,"")</f>
        <v/>
      </c>
      <c r="SS4" s="11" t="str">
        <f t="shared" ref="SS4:SS31" si="215">IF(SUM(SL4,SR4)&gt;0,SUM(SL4,SR4),"")</f>
        <v/>
      </c>
      <c r="ST4" s="22">
        <f t="shared" ref="ST4:ST31" si="216">IF($CN4="P",BY4,(BY4+AX4)/2)</f>
        <v>5.6</v>
      </c>
      <c r="SU4" s="22">
        <f t="shared" ref="SU4:SU31" si="217">IF($CN4="P",BZ4,(BZ4+AY4)/2)</f>
        <v>4.55</v>
      </c>
      <c r="SV4" s="22">
        <f t="shared" ref="SV4:SV31" si="218">IF($CN4="P",CA4,(CA4+AZ4)/2)</f>
        <v>5.75</v>
      </c>
      <c r="SW4" s="22">
        <f t="shared" ref="SW4:SW31" si="219">IF($CN4="P",CB4,(CB4+BA4)/2)</f>
        <v>7.125</v>
      </c>
      <c r="SX4" s="22">
        <f t="shared" ref="SX4:SX31" si="220">IF($CN4="P",CC4,(CC4+BB4)/2)</f>
        <v>0</v>
      </c>
      <c r="SY4" s="22">
        <f t="shared" ref="SY4:SY31" si="221">IF($CN4="P",CD4,(CD4+BC4)/2)</f>
        <v>7.4</v>
      </c>
      <c r="SZ4" s="22">
        <f t="shared" ref="SZ4:SZ31" si="222">IF($CN4="P",CE4,(CE4+BD4)/2)</f>
        <v>4.8</v>
      </c>
      <c r="TA4" s="22">
        <f t="shared" ref="TA4:TA31" si="223">IF($CN4="P",CF4,(CF4+BE4)/2)</f>
        <v>6.35</v>
      </c>
      <c r="TB4" s="22">
        <f t="shared" ref="TB4:TB31" si="224">IF($CN4="P",CG4,(CG4+BF4)/2)</f>
        <v>7.0250000000000004</v>
      </c>
      <c r="TC4" s="22">
        <f t="shared" ref="TC4:TC31" si="225">IF($CN4="P",CH4,(CH4+BG4)/2)</f>
        <v>0</v>
      </c>
      <c r="TD4" s="22">
        <f t="shared" ref="TD4:TD31" si="226">IF($CN4="P",CI4,(CI4+BH4)/2)</f>
        <v>7.45</v>
      </c>
      <c r="TE4" s="22">
        <f t="shared" ref="TE4:TE31" si="227">IF($CN4="P",CJ4,(CJ4+BI4)/2)</f>
        <v>4.8499999999999996</v>
      </c>
      <c r="TF4" s="22">
        <f t="shared" ref="TF4:TF31" si="228">IF($CN4="P",CK4,(CK4+BJ4)/2)</f>
        <v>6.35</v>
      </c>
      <c r="TG4" s="22">
        <f t="shared" ref="TG4:TG31" si="229">IF($CN4="P",CL4,(CL4+BK4)/2)</f>
        <v>7.165</v>
      </c>
      <c r="TH4" s="22">
        <f t="shared" ref="TH4:TH31" si="230">IF($CN4="P",CM4,(CM4+BL4)/2)</f>
        <v>0</v>
      </c>
      <c r="TI4" s="27" t="s">
        <v>46</v>
      </c>
      <c r="TJ4" s="40">
        <f t="shared" ref="TJ4:TJ31" si="231">IF(SV4&gt;0,SV4,"")</f>
        <v>5.75</v>
      </c>
      <c r="TK4" s="40">
        <f t="shared" ref="TK4:TK31" si="232">IF(SW4&gt;0,SW4,"")</f>
        <v>7.125</v>
      </c>
      <c r="TL4" s="40">
        <f t="shared" ref="TL4:TL31" si="233">IF(SUM(ST4:SW4)-SX4&gt;0,SUM(ST4:SW4)-SX4,"")</f>
        <v>23.024999999999999</v>
      </c>
      <c r="TM4" s="40">
        <f t="shared" ref="TM4:TM31" si="234">IF(TA4&gt;0,TA4,"")</f>
        <v>6.35</v>
      </c>
      <c r="TN4" s="40">
        <f t="shared" ref="TN4:TN31" si="235">IF(TB4&gt;0,TB4,"")</f>
        <v>7.0250000000000004</v>
      </c>
      <c r="TO4" s="40">
        <f t="shared" ref="TO4:TO31" si="236">IF(SUM(SY4:TB4)-TC4&gt;0,SUM(SY4:TB4)-TC4,"")</f>
        <v>25.574999999999996</v>
      </c>
      <c r="TP4" s="40">
        <f t="shared" ref="TP4:TP31" si="237">IF(MAX(TL4,TO4)&gt;0,MAX(TL4,TO4),"")</f>
        <v>25.574999999999996</v>
      </c>
      <c r="TQ4" s="40">
        <f t="shared" ref="TQ4:TQ31" si="238">IF(TF4&gt;0,TF4,"")</f>
        <v>6.35</v>
      </c>
      <c r="TR4" s="40">
        <f t="shared" ref="TR4:TR31" si="239">IF(TG4&gt;0,TG4,"")</f>
        <v>7.165</v>
      </c>
      <c r="TS4" s="40">
        <f t="shared" ref="TS4:TS31" si="240">IF(SUM(TD4:TG4)-TH4&gt;0,SUM(TD4:TG4)-TH4,"")</f>
        <v>25.814999999999998</v>
      </c>
      <c r="TT4" s="40">
        <f t="shared" ref="TT4:TT31" si="241">IF(SUM(TP4,TS4)&gt;0,SUM(TP4,TS4),"")</f>
        <v>51.389999999999993</v>
      </c>
    </row>
    <row r="5" spans="1:540" x14ac:dyDescent="0.2">
      <c r="A5" s="4" cm="1">
        <f t="array" ref="A5">IF(AND(F5&lt;&gt;"",G5&lt;&gt;""),SUMPRODUCT((F$4:F$32&lt;&gt;"")*(G$4:G$32&lt;&gt;"")*(E$4:E$32&gt;E5))+1,IF(G5&lt;&gt;"",SUMPRODUCT((H$4:H$32="No DD")*(E$4:E$32&gt;E5))+1+SUMPRODUCT((F$4:F$32&lt;&gt;"")*(G$4:G$32&lt;&gt;"")),""))</f>
        <v>2</v>
      </c>
      <c r="B5" s="5" t="s">
        <v>66</v>
      </c>
      <c r="C5" s="4" t="s">
        <v>5</v>
      </c>
      <c r="D5" s="4">
        <v>2002</v>
      </c>
      <c r="E5" s="9">
        <f t="shared" si="0"/>
        <v>179.07001790700517</v>
      </c>
      <c r="F5" s="3" t="str">
        <f t="shared" si="1"/>
        <v>P</v>
      </c>
      <c r="G5" s="3" t="str">
        <f t="shared" si="2"/>
        <v>P</v>
      </c>
      <c r="H5" s="36" t="str">
        <f t="shared" si="3"/>
        <v>National Team</v>
      </c>
      <c r="I5" s="3" t="str">
        <f t="shared" si="4"/>
        <v/>
      </c>
      <c r="J5" s="8">
        <f>IF(COUNT(AO5,AR5,BP5,BS5,CQ5,CT5)&gt;0,LARGE((AO5,AR5,BP5,BS5,CQ5,CT5),1),0)</f>
        <v>51.75</v>
      </c>
      <c r="K5" s="8" t="str">
        <f t="shared" si="5"/>
        <v>2022 Nationals</v>
      </c>
      <c r="L5" s="8">
        <f>IF(COUNT(AO5,AR5,BP5,BS5,CQ5,CT5)&gt;1,LARGE((AO5,AR5,BP5,BS5,CQ5,CT5),2),0)</f>
        <v>50.309999999999995</v>
      </c>
      <c r="M5" s="8" t="str">
        <f t="shared" si="6"/>
        <v>2022 Nationals</v>
      </c>
      <c r="N5" s="8">
        <f>IF(COUNT(AO5,AR5,BP5,BS5,CQ5,CT5)&gt;2,MAX(AV5,BW5,CX5,LARGE((AO5,AR5,BP5,BS5,CQ5,CT5),3)),IF(MAX(AV5,BW5,CX5)&gt;0,MAX(AV5,BW5,CX5),0))</f>
        <v>50.16</v>
      </c>
      <c r="O5" s="8" t="str">
        <f>IF(N5="","",IF(OR(N5=CQ5,N5=CT5,N5=CX5),$BY$1,IF(OR(N5=BP5,N5=BS5,N5=BW5),$AX$1,IF(OR(N5=AO5,N5=AR5,N5=AV5),$W$1,""))))</f>
        <v>2022 Nationals</v>
      </c>
      <c r="P5" s="8">
        <f t="shared" si="7"/>
        <v>12</v>
      </c>
      <c r="Q5" s="8" t="str">
        <f t="shared" si="8"/>
        <v>2022 Nationals</v>
      </c>
      <c r="R5" s="8">
        <f t="shared" si="9"/>
        <v>14.85</v>
      </c>
      <c r="S5" s="8" t="str">
        <f t="shared" si="10"/>
        <v>2022 Nationals</v>
      </c>
      <c r="T5" s="8" t="str">
        <f t="shared" si="11"/>
        <v/>
      </c>
      <c r="U5" s="11" t="str">
        <f t="shared" si="12"/>
        <v/>
      </c>
      <c r="V5" s="8" t="str">
        <f>IF(T5="","",IF(T5=CZ5,IF(T5+IF(N5="",0,N5)=SK5,$RL$1,IF(T5+IF(N5="",0,N5)=RC5,$QD$1,IF(T5+IF(N5="",0,N5)=PU5,$OV$1,IF(T5+IF(N5="",0,N5)=OM5,$NN$1,IF(T5+IF(N5="",0,N5)=NE5,$MF$1,IF(T5+IF(N5="",0,N5)=LW5,$KX$1,IF(T5+IF(N5="",0,N5)=KO5,$JP$1,IF(T5+IF(N5="",0,N5)=JG5,$IH$1,IF(T5+IF(N5="",0,N5)=HY5,$GZ$1,IF(T5+IF(N5="",0,N5)=GQ5,$FR$1,IF(T5+IF(N5="",0,N5)=FI5,$EJ$1,IF(T5+IF(N5="",0,N5)=EA5,$DB$1,IF(T5+IF(N5="",0,N5)=SH5,$RL$1,IF(T5+IF(N5="",0,N5)=QZ5,$QD$1,IF(T5+IF(N5="",0,N5)=PR5,$OV$1,IF(T5+IF(N5="",0,N5)=OJ5,$NN$1,IF(T5+IF(N5="",0,N5)=NB5,$MF$1,IF(T5+IF(N5="",0,N5)=LT5,$KX$1,IF(T5+IF(N5="",0,N5)=KL5,$JP$1,IF(T5+IF(N5="",0,N5)=JD5,$IH$1,IF(T5+IF(N5="",0,N5)=HV5,$GZ$1,IF(T5+IF(N5="",0,N5)=GN5,$FR$1,IF(T5+IF(N5="",0,N5)=FF5,$EJ$1,IF(T5+IF(N5="",0,N5)=DX5,$DB$1,IF(T5+IF(L5="",0,L5)=SK5,$RL$1,IF(T5+IF(L5="",0,L5)=RC5,$QD$1,IF(T5+IF(L5="",0,L5)=PU5,$OV$1,IF(T5+IF(L5="",0,L5)=OM5,$NN$1,IF(T5+IF(L5="",0,L5)=NE5,$MF$1,IF(T5+IF(L5="",0,L5)=LW5,$KX$1,IF(T5+IF(L5="",0,L5)=KO5,$JP$1,IF(T5+IF(L5="",0,L5)=JG5,$IH$1,IF(T5+IF(L5="",0,L5)=HY5,$GZ$1,IF(T5+IF(L5="",0,L5)=GQ5,$FR$1,IF(T5+IF(L5="",0,L5)=FI5,$EJ$1,IF(T5+IF(L5="",0,L5)=EA5,$DB$1,IF(T5+IF(L5="",0,L5)=SH5,$RL$1,IF(T5+IF(L5="",0,L5)=QZ5,$QD$1,IF(T5+IF(L5="",0,L5)=PR5,$OV$1,IF(T5+IF(L5="",0,L5)=OJ5,$NN$1,IF(T5+IF(L5="",0,L5)=NB5,$MF$1,IF(T5+IF(L5="",0,L5)=LT5,$KX$1,IF(T5+IF(L5="",0,L5)=KL5,$JP$1,IF(T5+IF(L5="",0,L5)=JD5,$IH$1,IF(T5+IF(L5="",0,L5)=HV5,$GZ$1,IF(T5+IF(L5="",0,L5)=GN5,$FR$1,IF(T5+IF(L5="",0,L5)=FF5,$EJ$1,IF(T5+IF(L5="",0,L5)=DX5,$DB$1)))))))))))))))))))))))))))))))))))))))))))))))),IF(T5=DA5,IF(T5+IF(N5="",0,N5)=SR5,$RL$1,IF(T5+IF(N5="",0,N5)=RJ5,$QD$1,IF(T5+IF(N5="",0,N5)=QB5,$OV$1,IF(T5+IF(N5="",0,N5)=OT5,$NN$1,IF(T5+IF(N5="",0,N5)=NL5,$MF$1,IF(T5+IF(N5="",0,N5)=MD5,$KX$1,IF(T5+IF(N5="",0,N5)=KV5,$JP$1,IF(T5+IF(N5="",0,N5)=JN5,$IH$1,IF(T5+IF(N5="",0,N5)=IF5,$GZ$1,IF(T5+IF(N5="",0,N5)=GX5,$FR$1,IF(T5+IF(N5="",0,N5)=FP5,$EJ$1,IF(T5+IF(N5="",0,N5)=EH5,$DB$1,IF(T5+IF(N5="",0,N5)=SO5,$RL$1,IF(T5+IF(N5="",0,N5)=RG5,$QD$1,IF(T5+IF(N5="",0,N5)=PY5,$OV$1,IF(T5+IF(N5="",0,N5)=OQ5,$NN$1,IF(T5+IF(N5="",0,N5)=NI5,$MF$1,IF(T5+IF(N5="",0,N5)=MA5,$KX$1,IF(T5+IF(N5="",0,N5)=KS5,$JP$1,IF(T5+IF(N5="",0,N5)=JK5,$IH$1,IF(T5+IF(N5="",0,N5)=IC5,$GZ$1,IF(T5+IF(N5="",0,N5)=GU5,$FR$1,IF(T5+IF(N5="",0,N5)=FM5,$EJ$1,IF(T5+IF(N5="",0,N5)=EE5,$DB$1)))))))))))))))))))))))))))</f>
        <v/>
      </c>
      <c r="W5" s="22">
        <v>14.5</v>
      </c>
      <c r="X5" s="22">
        <v>9.3000000000000007</v>
      </c>
      <c r="Y5" s="22">
        <v>12</v>
      </c>
      <c r="Z5" s="22">
        <v>14.51</v>
      </c>
      <c r="AA5" s="22">
        <v>0</v>
      </c>
      <c r="AB5" s="22">
        <v>15.6</v>
      </c>
      <c r="AC5" s="22">
        <v>9.3000000000000007</v>
      </c>
      <c r="AD5" s="22">
        <v>12</v>
      </c>
      <c r="AE5" s="22">
        <v>14.85</v>
      </c>
      <c r="AF5" s="22">
        <v>0</v>
      </c>
      <c r="AG5" s="22">
        <v>15.2</v>
      </c>
      <c r="AH5" s="22">
        <v>9</v>
      </c>
      <c r="AI5" s="22">
        <v>11.3</v>
      </c>
      <c r="AJ5" s="22">
        <v>14.66</v>
      </c>
      <c r="AK5" s="22">
        <v>0</v>
      </c>
      <c r="AL5" s="27"/>
      <c r="AM5" s="38">
        <f t="shared" si="13"/>
        <v>12</v>
      </c>
      <c r="AN5" s="38">
        <f t="shared" si="14"/>
        <v>14.51</v>
      </c>
      <c r="AO5" s="40">
        <f t="shared" si="15"/>
        <v>50.309999999999995</v>
      </c>
      <c r="AP5" s="40">
        <f t="shared" si="16"/>
        <v>12</v>
      </c>
      <c r="AQ5" s="40">
        <f t="shared" si="17"/>
        <v>14.85</v>
      </c>
      <c r="AR5" s="40">
        <f t="shared" si="18"/>
        <v>51.75</v>
      </c>
      <c r="AS5" s="40">
        <f t="shared" si="19"/>
        <v>51.75</v>
      </c>
      <c r="AT5" s="40">
        <f t="shared" si="20"/>
        <v>11.3</v>
      </c>
      <c r="AU5" s="40">
        <f t="shared" si="21"/>
        <v>14.66</v>
      </c>
      <c r="AV5" s="40">
        <f t="shared" si="22"/>
        <v>50.16</v>
      </c>
      <c r="AW5" s="40">
        <f t="shared" si="23"/>
        <v>101.91</v>
      </c>
      <c r="AX5" s="26">
        <v>11.6</v>
      </c>
      <c r="AY5" s="26">
        <v>8.1999999999999993</v>
      </c>
      <c r="AZ5" s="26">
        <v>11.7</v>
      </c>
      <c r="BA5" s="26">
        <v>12.72</v>
      </c>
      <c r="BB5" s="26">
        <v>0</v>
      </c>
      <c r="BC5" s="26">
        <v>2.2000000000000002</v>
      </c>
      <c r="BD5" s="26">
        <v>1.7</v>
      </c>
      <c r="BE5" s="26">
        <v>2.7</v>
      </c>
      <c r="BF5" s="26">
        <v>2.89</v>
      </c>
      <c r="BG5" s="26">
        <v>0</v>
      </c>
      <c r="BH5" s="26">
        <v>7.7</v>
      </c>
      <c r="BI5" s="26">
        <v>5.6</v>
      </c>
      <c r="BJ5" s="26">
        <v>8.1</v>
      </c>
      <c r="BK5" s="26">
        <v>8.7899999999999991</v>
      </c>
      <c r="BL5" s="26">
        <v>0</v>
      </c>
      <c r="BM5" s="28"/>
      <c r="BN5" s="39">
        <f t="shared" si="24"/>
        <v>11.7</v>
      </c>
      <c r="BO5" s="39">
        <f t="shared" si="25"/>
        <v>12.72</v>
      </c>
      <c r="BP5" s="11">
        <f t="shared" si="26"/>
        <v>44.22</v>
      </c>
      <c r="BQ5" s="11">
        <f t="shared" si="27"/>
        <v>2.7</v>
      </c>
      <c r="BR5" s="11">
        <f t="shared" si="28"/>
        <v>2.89</v>
      </c>
      <c r="BS5" s="11">
        <f t="shared" si="29"/>
        <v>9.49</v>
      </c>
      <c r="BT5" s="11">
        <f t="shared" si="30"/>
        <v>44.22</v>
      </c>
      <c r="BU5" s="11">
        <f t="shared" si="31"/>
        <v>8.1</v>
      </c>
      <c r="BV5" s="11">
        <f t="shared" si="32"/>
        <v>8.7899999999999991</v>
      </c>
      <c r="BW5" s="11">
        <f t="shared" si="33"/>
        <v>30.189999999999998</v>
      </c>
      <c r="BX5" s="11">
        <f t="shared" si="34"/>
        <v>74.41</v>
      </c>
      <c r="BY5" s="22">
        <v>7.8</v>
      </c>
      <c r="BZ5" s="22">
        <v>5.4</v>
      </c>
      <c r="CA5" s="22">
        <v>8.1</v>
      </c>
      <c r="CB5" s="22">
        <v>8.59</v>
      </c>
      <c r="CC5" s="22">
        <v>0</v>
      </c>
      <c r="CD5" s="22">
        <v>2</v>
      </c>
      <c r="CE5" s="22">
        <v>0.9</v>
      </c>
      <c r="CF5" s="22">
        <v>0.6</v>
      </c>
      <c r="CG5" s="22">
        <v>1.59</v>
      </c>
      <c r="CH5" s="22">
        <v>0</v>
      </c>
      <c r="CI5" s="22"/>
      <c r="CJ5" s="22"/>
      <c r="CK5" s="22"/>
      <c r="CL5" s="22"/>
      <c r="CM5" s="22"/>
      <c r="CN5" s="27"/>
      <c r="CO5" s="38">
        <f t="shared" si="35"/>
        <v>8.1</v>
      </c>
      <c r="CP5" s="38">
        <f t="shared" si="36"/>
        <v>8.59</v>
      </c>
      <c r="CQ5" s="40">
        <f t="shared" si="37"/>
        <v>29.889999999999997</v>
      </c>
      <c r="CR5" s="40">
        <f t="shared" si="38"/>
        <v>0.6</v>
      </c>
      <c r="CS5" s="40">
        <f t="shared" si="39"/>
        <v>1.59</v>
      </c>
      <c r="CT5" s="40">
        <f t="shared" si="40"/>
        <v>5.09</v>
      </c>
      <c r="CU5" s="40">
        <f t="shared" si="41"/>
        <v>29.889999999999997</v>
      </c>
      <c r="CV5" s="40" t="str">
        <f t="shared" si="42"/>
        <v/>
      </c>
      <c r="CW5" s="40" t="str">
        <f t="shared" si="43"/>
        <v/>
      </c>
      <c r="CX5" s="40" t="str">
        <f t="shared" si="44"/>
        <v/>
      </c>
      <c r="CY5" s="40">
        <f t="shared" si="45"/>
        <v>29.889999999999997</v>
      </c>
      <c r="CZ5" s="50" t="str">
        <f t="shared" si="46"/>
        <v/>
      </c>
      <c r="DA5" s="50" t="str">
        <f t="shared" si="47"/>
        <v/>
      </c>
      <c r="DB5" s="17"/>
      <c r="DC5" s="17"/>
      <c r="DD5" s="17"/>
      <c r="DE5" s="17"/>
      <c r="DF5" s="17"/>
      <c r="DG5" s="17"/>
      <c r="DH5" s="17"/>
      <c r="DI5" s="17"/>
      <c r="DJ5" s="17"/>
      <c r="DK5" s="17"/>
      <c r="DL5" s="17"/>
      <c r="DM5" s="17"/>
      <c r="DN5" s="17"/>
      <c r="DO5" s="17"/>
      <c r="DP5" s="17"/>
      <c r="DQ5" s="17"/>
      <c r="DR5" s="17"/>
      <c r="DS5" s="17"/>
      <c r="DT5" s="17"/>
      <c r="DU5" s="17"/>
      <c r="DV5" s="40" t="str">
        <f t="shared" si="48"/>
        <v/>
      </c>
      <c r="DW5" s="40" t="str">
        <f t="shared" si="49"/>
        <v/>
      </c>
      <c r="DX5" s="40" t="str">
        <f t="shared" si="50"/>
        <v/>
      </c>
      <c r="DY5" s="40" t="str">
        <f t="shared" si="51"/>
        <v/>
      </c>
      <c r="DZ5" s="40" t="str">
        <f t="shared" si="52"/>
        <v/>
      </c>
      <c r="EA5" s="40" t="str">
        <f t="shared" si="53"/>
        <v/>
      </c>
      <c r="EB5" s="40" t="str">
        <f t="shared" si="54"/>
        <v/>
      </c>
      <c r="EC5" s="40" t="str">
        <f t="shared" si="55"/>
        <v/>
      </c>
      <c r="ED5" s="40" t="str">
        <f t="shared" si="56"/>
        <v/>
      </c>
      <c r="EE5" s="40" t="str">
        <f t="shared" si="57"/>
        <v/>
      </c>
      <c r="EF5" s="40" t="str">
        <f t="shared" si="58"/>
        <v/>
      </c>
      <c r="EG5" s="40" t="str">
        <f t="shared" si="59"/>
        <v/>
      </c>
      <c r="EH5" s="40" t="str">
        <f t="shared" si="60"/>
        <v/>
      </c>
      <c r="EI5" s="40" t="str">
        <f t="shared" si="61"/>
        <v/>
      </c>
      <c r="EJ5" s="18">
        <v>15.2</v>
      </c>
      <c r="EK5" s="18">
        <v>11.3</v>
      </c>
      <c r="EL5" s="18">
        <v>9.1999999999999993</v>
      </c>
      <c r="EM5" s="18">
        <v>14.305</v>
      </c>
      <c r="EN5" s="18">
        <v>0</v>
      </c>
      <c r="EO5" s="18">
        <v>9.1</v>
      </c>
      <c r="EP5" s="18">
        <v>7.2</v>
      </c>
      <c r="EQ5" s="18">
        <v>5.3</v>
      </c>
      <c r="ER5" s="18">
        <v>8.59</v>
      </c>
      <c r="ES5" s="18">
        <v>0</v>
      </c>
      <c r="ET5" s="18"/>
      <c r="EU5" s="18"/>
      <c r="EV5" s="18"/>
      <c r="EW5" s="18"/>
      <c r="EX5" s="18"/>
      <c r="EY5" s="18">
        <v>9.6999999999999993</v>
      </c>
      <c r="EZ5" s="18">
        <v>6.4</v>
      </c>
      <c r="FA5" s="18">
        <v>9.4</v>
      </c>
      <c r="FB5" s="18">
        <v>9.8949999999999996</v>
      </c>
      <c r="FC5" s="18">
        <v>0</v>
      </c>
      <c r="FD5" s="11">
        <f t="shared" si="62"/>
        <v>9.1999999999999993</v>
      </c>
      <c r="FE5" s="11">
        <f t="shared" si="63"/>
        <v>14.305</v>
      </c>
      <c r="FF5" s="11">
        <f t="shared" si="64"/>
        <v>50.005000000000003</v>
      </c>
      <c r="FG5" s="11">
        <f t="shared" si="65"/>
        <v>5.3</v>
      </c>
      <c r="FH5" s="11">
        <f t="shared" si="66"/>
        <v>8.59</v>
      </c>
      <c r="FI5" s="11">
        <f t="shared" si="67"/>
        <v>30.19</v>
      </c>
      <c r="FJ5" s="11">
        <f t="shared" si="68"/>
        <v>50.005000000000003</v>
      </c>
      <c r="FK5" s="11" t="str">
        <f t="shared" si="69"/>
        <v/>
      </c>
      <c r="FL5" s="11" t="str">
        <f t="shared" si="70"/>
        <v/>
      </c>
      <c r="FM5" s="11" t="str">
        <f t="shared" si="71"/>
        <v/>
      </c>
      <c r="FN5" s="11">
        <f t="shared" si="72"/>
        <v>9.4</v>
      </c>
      <c r="FO5" s="11">
        <f t="shared" si="73"/>
        <v>9.8949999999999996</v>
      </c>
      <c r="FP5" s="11">
        <f t="shared" si="74"/>
        <v>35.394999999999996</v>
      </c>
      <c r="FQ5" s="11">
        <f t="shared" si="75"/>
        <v>85.4</v>
      </c>
      <c r="FR5" s="17"/>
      <c r="FS5" s="17"/>
      <c r="FT5" s="17"/>
      <c r="FU5" s="17"/>
      <c r="FV5" s="17"/>
      <c r="FW5" s="17">
        <v>13.7</v>
      </c>
      <c r="FX5" s="17">
        <v>9.3000000000000007</v>
      </c>
      <c r="FY5" s="17">
        <v>11.8</v>
      </c>
      <c r="FZ5" s="17">
        <v>13.62</v>
      </c>
      <c r="GA5" s="17">
        <v>0</v>
      </c>
      <c r="GB5" s="17"/>
      <c r="GC5" s="17"/>
      <c r="GD5" s="17"/>
      <c r="GE5" s="17"/>
      <c r="GF5" s="17"/>
      <c r="GG5" s="17"/>
      <c r="GH5" s="17"/>
      <c r="GI5" s="17"/>
      <c r="GJ5" s="17"/>
      <c r="GK5" s="17"/>
      <c r="GL5" s="40" t="str">
        <f t="shared" si="76"/>
        <v/>
      </c>
      <c r="GM5" s="40" t="str">
        <f t="shared" si="77"/>
        <v/>
      </c>
      <c r="GN5" s="40" t="str">
        <f t="shared" si="78"/>
        <v/>
      </c>
      <c r="GO5" s="40">
        <f t="shared" si="79"/>
        <v>11.8</v>
      </c>
      <c r="GP5" s="40">
        <f t="shared" si="80"/>
        <v>13.62</v>
      </c>
      <c r="GQ5" s="40">
        <f t="shared" si="81"/>
        <v>48.419999999999995</v>
      </c>
      <c r="GR5" s="40">
        <f t="shared" si="82"/>
        <v>48.419999999999995</v>
      </c>
      <c r="GS5" s="40" t="str">
        <f t="shared" si="83"/>
        <v/>
      </c>
      <c r="GT5" s="40" t="str">
        <f t="shared" si="84"/>
        <v/>
      </c>
      <c r="GU5" s="40" t="str">
        <f t="shared" si="85"/>
        <v/>
      </c>
      <c r="GV5" s="40" t="str">
        <f t="shared" si="86"/>
        <v/>
      </c>
      <c r="GW5" s="40" t="str">
        <f t="shared" si="87"/>
        <v/>
      </c>
      <c r="GX5" s="40" t="str">
        <f t="shared" si="88"/>
        <v/>
      </c>
      <c r="GY5" s="40">
        <f t="shared" si="89"/>
        <v>48.419999999999995</v>
      </c>
      <c r="GZ5" s="18">
        <v>11.6</v>
      </c>
      <c r="HA5" s="18">
        <v>8.9</v>
      </c>
      <c r="HB5" s="18">
        <v>11.7</v>
      </c>
      <c r="HC5" s="18">
        <v>13.42</v>
      </c>
      <c r="HD5" s="18">
        <v>0</v>
      </c>
      <c r="HE5" s="18">
        <v>1.2</v>
      </c>
      <c r="HF5" s="18">
        <v>1</v>
      </c>
      <c r="HG5" s="18">
        <v>1.7</v>
      </c>
      <c r="HH5" s="18">
        <v>1.5</v>
      </c>
      <c r="HI5" s="18">
        <v>0</v>
      </c>
      <c r="HJ5" s="18"/>
      <c r="HK5" s="18"/>
      <c r="HL5" s="18"/>
      <c r="HM5" s="18"/>
      <c r="HN5" s="18"/>
      <c r="HO5" s="18"/>
      <c r="HP5" s="18"/>
      <c r="HQ5" s="18"/>
      <c r="HR5" s="18"/>
      <c r="HS5" s="18"/>
      <c r="HT5" s="11">
        <f t="shared" si="90"/>
        <v>11.7</v>
      </c>
      <c r="HU5" s="11">
        <f t="shared" si="91"/>
        <v>13.42</v>
      </c>
      <c r="HV5" s="11">
        <f t="shared" si="92"/>
        <v>45.620000000000005</v>
      </c>
      <c r="HW5" s="11">
        <f t="shared" si="93"/>
        <v>1.7</v>
      </c>
      <c r="HX5" s="11">
        <f t="shared" si="94"/>
        <v>1.5</v>
      </c>
      <c r="HY5" s="11">
        <f t="shared" si="95"/>
        <v>5.4</v>
      </c>
      <c r="HZ5" s="11">
        <f t="shared" si="96"/>
        <v>45.620000000000005</v>
      </c>
      <c r="IA5" s="11" t="str">
        <f t="shared" si="97"/>
        <v/>
      </c>
      <c r="IB5" s="11" t="str">
        <f t="shared" si="98"/>
        <v/>
      </c>
      <c r="IC5" s="11" t="str">
        <f t="shared" si="99"/>
        <v/>
      </c>
      <c r="ID5" s="11" t="str">
        <f t="shared" si="100"/>
        <v/>
      </c>
      <c r="IE5" s="11" t="str">
        <f t="shared" si="101"/>
        <v/>
      </c>
      <c r="IF5" s="11" t="str">
        <f t="shared" si="102"/>
        <v/>
      </c>
      <c r="IG5" s="11">
        <f t="shared" si="103"/>
        <v>45.620000000000005</v>
      </c>
      <c r="IH5" s="17"/>
      <c r="II5" s="17"/>
      <c r="IJ5" s="17"/>
      <c r="IK5" s="17"/>
      <c r="IL5" s="17"/>
      <c r="IM5" s="17"/>
      <c r="IN5" s="17"/>
      <c r="IO5" s="17"/>
      <c r="IP5" s="17"/>
      <c r="IQ5" s="17"/>
      <c r="IR5" s="17"/>
      <c r="IS5" s="17"/>
      <c r="IT5" s="17"/>
      <c r="IU5" s="17"/>
      <c r="IV5" s="17"/>
      <c r="IW5" s="17"/>
      <c r="IX5" s="17"/>
      <c r="IY5" s="17"/>
      <c r="IZ5" s="17"/>
      <c r="JA5" s="17"/>
      <c r="JB5" s="40" t="str">
        <f t="shared" si="104"/>
        <v/>
      </c>
      <c r="JC5" s="40" t="str">
        <f t="shared" si="105"/>
        <v/>
      </c>
      <c r="JD5" s="40" t="str">
        <f t="shared" si="106"/>
        <v/>
      </c>
      <c r="JE5" s="40" t="str">
        <f t="shared" si="107"/>
        <v/>
      </c>
      <c r="JF5" s="40" t="str">
        <f t="shared" si="108"/>
        <v/>
      </c>
      <c r="JG5" s="40" t="str">
        <f t="shared" si="109"/>
        <v/>
      </c>
      <c r="JH5" s="40" t="str">
        <f t="shared" si="110"/>
        <v/>
      </c>
      <c r="JI5" s="40" t="str">
        <f t="shared" si="111"/>
        <v/>
      </c>
      <c r="JJ5" s="40" t="str">
        <f t="shared" si="112"/>
        <v/>
      </c>
      <c r="JK5" s="40" t="str">
        <f t="shared" si="113"/>
        <v/>
      </c>
      <c r="JL5" s="40" t="str">
        <f t="shared" si="114"/>
        <v/>
      </c>
      <c r="JM5" s="40" t="str">
        <f t="shared" si="115"/>
        <v/>
      </c>
      <c r="JN5" s="40" t="str">
        <f t="shared" si="116"/>
        <v/>
      </c>
      <c r="JO5" s="40" t="str">
        <f t="shared" si="117"/>
        <v/>
      </c>
      <c r="JP5" s="18"/>
      <c r="JQ5" s="18"/>
      <c r="JR5" s="18"/>
      <c r="JS5" s="18"/>
      <c r="JT5" s="18"/>
      <c r="JU5" s="18"/>
      <c r="JV5" s="18"/>
      <c r="JW5" s="18"/>
      <c r="JX5" s="18"/>
      <c r="JY5" s="18"/>
      <c r="JZ5" s="18"/>
      <c r="KA5" s="18"/>
      <c r="KB5" s="18"/>
      <c r="KC5" s="18"/>
      <c r="KD5" s="18"/>
      <c r="KE5" s="18"/>
      <c r="KF5" s="18"/>
      <c r="KG5" s="18"/>
      <c r="KH5" s="18"/>
      <c r="KI5" s="18"/>
      <c r="KJ5" s="11" t="str">
        <f t="shared" si="118"/>
        <v/>
      </c>
      <c r="KK5" s="11" t="str">
        <f t="shared" si="119"/>
        <v/>
      </c>
      <c r="KL5" s="11" t="str">
        <f t="shared" si="120"/>
        <v/>
      </c>
      <c r="KM5" s="11" t="str">
        <f t="shared" si="121"/>
        <v/>
      </c>
      <c r="KN5" s="11" t="str">
        <f t="shared" si="122"/>
        <v/>
      </c>
      <c r="KO5" s="11" t="str">
        <f t="shared" si="123"/>
        <v/>
      </c>
      <c r="KP5" s="11" t="str">
        <f t="shared" si="124"/>
        <v/>
      </c>
      <c r="KQ5" s="11" t="str">
        <f t="shared" si="125"/>
        <v/>
      </c>
      <c r="KR5" s="11" t="str">
        <f t="shared" si="126"/>
        <v/>
      </c>
      <c r="KS5" s="11" t="str">
        <f t="shared" si="127"/>
        <v/>
      </c>
      <c r="KT5" s="11" t="str">
        <f t="shared" si="128"/>
        <v/>
      </c>
      <c r="KU5" s="11" t="str">
        <f t="shared" si="129"/>
        <v/>
      </c>
      <c r="KV5" s="11" t="str">
        <f t="shared" si="130"/>
        <v/>
      </c>
      <c r="KW5" s="11" t="str">
        <f t="shared" si="131"/>
        <v/>
      </c>
      <c r="KX5" s="17"/>
      <c r="KY5" s="17"/>
      <c r="KZ5" s="17"/>
      <c r="LA5" s="17"/>
      <c r="LB5" s="17"/>
      <c r="LC5" s="17"/>
      <c r="LD5" s="17"/>
      <c r="LE5" s="17"/>
      <c r="LF5" s="17"/>
      <c r="LG5" s="17"/>
      <c r="LH5" s="17"/>
      <c r="LI5" s="17"/>
      <c r="LJ5" s="17"/>
      <c r="LK5" s="17"/>
      <c r="LL5" s="17"/>
      <c r="LM5" s="17"/>
      <c r="LN5" s="17"/>
      <c r="LO5" s="17"/>
      <c r="LP5" s="17"/>
      <c r="LQ5" s="17"/>
      <c r="LR5" s="40" t="str">
        <f t="shared" si="132"/>
        <v/>
      </c>
      <c r="LS5" s="40" t="str">
        <f t="shared" si="133"/>
        <v/>
      </c>
      <c r="LT5" s="40" t="str">
        <f t="shared" si="134"/>
        <v/>
      </c>
      <c r="LU5" s="40" t="str">
        <f t="shared" si="135"/>
        <v/>
      </c>
      <c r="LV5" s="40" t="str">
        <f t="shared" si="136"/>
        <v/>
      </c>
      <c r="LW5" s="40" t="str">
        <f t="shared" si="137"/>
        <v/>
      </c>
      <c r="LX5" s="40" t="str">
        <f t="shared" si="138"/>
        <v/>
      </c>
      <c r="LY5" s="40" t="str">
        <f t="shared" si="139"/>
        <v/>
      </c>
      <c r="LZ5" s="40" t="str">
        <f t="shared" si="140"/>
        <v/>
      </c>
      <c r="MA5" s="40" t="str">
        <f t="shared" si="141"/>
        <v/>
      </c>
      <c r="MB5" s="40" t="str">
        <f t="shared" si="142"/>
        <v/>
      </c>
      <c r="MC5" s="40" t="str">
        <f t="shared" si="143"/>
        <v/>
      </c>
      <c r="MD5" s="40" t="str">
        <f t="shared" si="144"/>
        <v/>
      </c>
      <c r="ME5" s="40" t="str">
        <f t="shared" si="145"/>
        <v/>
      </c>
      <c r="MF5" s="18"/>
      <c r="MG5" s="18"/>
      <c r="MH5" s="18"/>
      <c r="MI5" s="18"/>
      <c r="MJ5" s="18"/>
      <c r="MK5" s="18"/>
      <c r="ML5" s="18"/>
      <c r="MM5" s="18"/>
      <c r="MN5" s="18"/>
      <c r="MO5" s="18"/>
      <c r="MP5" s="18"/>
      <c r="MQ5" s="18"/>
      <c r="MR5" s="18"/>
      <c r="MS5" s="18"/>
      <c r="MT5" s="18"/>
      <c r="MU5" s="18"/>
      <c r="MV5" s="18"/>
      <c r="MW5" s="18"/>
      <c r="MX5" s="18"/>
      <c r="MY5" s="18"/>
      <c r="MZ5" s="11" t="str">
        <f t="shared" si="146"/>
        <v/>
      </c>
      <c r="NA5" s="11" t="str">
        <f t="shared" si="147"/>
        <v/>
      </c>
      <c r="NB5" s="11" t="str">
        <f t="shared" si="148"/>
        <v/>
      </c>
      <c r="NC5" s="11" t="str">
        <f t="shared" si="149"/>
        <v/>
      </c>
      <c r="ND5" s="11" t="str">
        <f t="shared" si="150"/>
        <v/>
      </c>
      <c r="NE5" s="11" t="str">
        <f t="shared" si="151"/>
        <v/>
      </c>
      <c r="NF5" s="11" t="str">
        <f t="shared" si="152"/>
        <v/>
      </c>
      <c r="NG5" s="11" t="str">
        <f t="shared" si="153"/>
        <v/>
      </c>
      <c r="NH5" s="11" t="str">
        <f t="shared" si="154"/>
        <v/>
      </c>
      <c r="NI5" s="11" t="str">
        <f t="shared" si="155"/>
        <v/>
      </c>
      <c r="NJ5" s="11" t="str">
        <f t="shared" si="156"/>
        <v/>
      </c>
      <c r="NK5" s="11" t="str">
        <f t="shared" si="157"/>
        <v/>
      </c>
      <c r="NL5" s="11" t="str">
        <f t="shared" si="158"/>
        <v/>
      </c>
      <c r="NM5" s="11" t="str">
        <f t="shared" si="159"/>
        <v/>
      </c>
      <c r="NN5" s="17"/>
      <c r="NO5" s="17"/>
      <c r="NP5" s="17"/>
      <c r="NQ5" s="17"/>
      <c r="NR5" s="17"/>
      <c r="NS5" s="17"/>
      <c r="NT5" s="17"/>
      <c r="NU5" s="17"/>
      <c r="NV5" s="17"/>
      <c r="NW5" s="17"/>
      <c r="NX5" s="17"/>
      <c r="NY5" s="17"/>
      <c r="NZ5" s="17"/>
      <c r="OA5" s="17"/>
      <c r="OB5" s="17"/>
      <c r="OC5" s="17"/>
      <c r="OD5" s="17"/>
      <c r="OE5" s="17"/>
      <c r="OF5" s="17"/>
      <c r="OG5" s="17"/>
      <c r="OH5" s="40" t="str">
        <f t="shared" si="160"/>
        <v/>
      </c>
      <c r="OI5" s="40" t="str">
        <f t="shared" si="161"/>
        <v/>
      </c>
      <c r="OJ5" s="40" t="str">
        <f t="shared" si="162"/>
        <v/>
      </c>
      <c r="OK5" s="40" t="str">
        <f t="shared" si="163"/>
        <v/>
      </c>
      <c r="OL5" s="40" t="str">
        <f t="shared" si="164"/>
        <v/>
      </c>
      <c r="OM5" s="40" t="str">
        <f t="shared" si="165"/>
        <v/>
      </c>
      <c r="ON5" s="40" t="str">
        <f t="shared" si="166"/>
        <v/>
      </c>
      <c r="OO5" s="40" t="str">
        <f t="shared" si="167"/>
        <v/>
      </c>
      <c r="OP5" s="40" t="str">
        <f t="shared" si="168"/>
        <v/>
      </c>
      <c r="OQ5" s="40" t="str">
        <f t="shared" si="169"/>
        <v/>
      </c>
      <c r="OR5" s="40" t="str">
        <f t="shared" si="170"/>
        <v/>
      </c>
      <c r="OS5" s="40" t="str">
        <f t="shared" si="171"/>
        <v/>
      </c>
      <c r="OT5" s="40" t="str">
        <f t="shared" si="172"/>
        <v/>
      </c>
      <c r="OU5" s="40" t="str">
        <f t="shared" si="173"/>
        <v/>
      </c>
      <c r="OV5" s="18"/>
      <c r="OW5" s="18"/>
      <c r="OX5" s="18"/>
      <c r="OY5" s="18"/>
      <c r="OZ5" s="18"/>
      <c r="PA5" s="18"/>
      <c r="PB5" s="18"/>
      <c r="PC5" s="18"/>
      <c r="PD5" s="18"/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1" t="str">
        <f t="shared" si="174"/>
        <v/>
      </c>
      <c r="PQ5" s="11" t="str">
        <f t="shared" si="175"/>
        <v/>
      </c>
      <c r="PR5" s="11" t="str">
        <f t="shared" si="176"/>
        <v/>
      </c>
      <c r="PS5" s="11" t="str">
        <f t="shared" si="177"/>
        <v/>
      </c>
      <c r="PT5" s="11" t="str">
        <f t="shared" si="178"/>
        <v/>
      </c>
      <c r="PU5" s="11" t="str">
        <f t="shared" si="179"/>
        <v/>
      </c>
      <c r="PV5" s="11" t="str">
        <f t="shared" si="180"/>
        <v/>
      </c>
      <c r="PW5" s="11" t="str">
        <f t="shared" si="181"/>
        <v/>
      </c>
      <c r="PX5" s="11" t="str">
        <f t="shared" si="182"/>
        <v/>
      </c>
      <c r="PY5" s="11" t="str">
        <f t="shared" si="183"/>
        <v/>
      </c>
      <c r="PZ5" s="11" t="str">
        <f t="shared" si="184"/>
        <v/>
      </c>
      <c r="QA5" s="11" t="str">
        <f t="shared" si="185"/>
        <v/>
      </c>
      <c r="QB5" s="11" t="str">
        <f t="shared" si="186"/>
        <v/>
      </c>
      <c r="QC5" s="11" t="str">
        <f t="shared" si="187"/>
        <v/>
      </c>
      <c r="QD5" s="17"/>
      <c r="QE5" s="17"/>
      <c r="QF5" s="17"/>
      <c r="QG5" s="17"/>
      <c r="QH5" s="17"/>
      <c r="QI5" s="17"/>
      <c r="QJ5" s="17"/>
      <c r="QK5" s="17"/>
      <c r="QL5" s="17"/>
      <c r="QM5" s="17"/>
      <c r="QN5" s="17"/>
      <c r="QO5" s="17"/>
      <c r="QP5" s="17"/>
      <c r="QQ5" s="17"/>
      <c r="QR5" s="17"/>
      <c r="QS5" s="17"/>
      <c r="QT5" s="17"/>
      <c r="QU5" s="17"/>
      <c r="QV5" s="17"/>
      <c r="QW5" s="17"/>
      <c r="QX5" s="40" t="str">
        <f t="shared" si="188"/>
        <v/>
      </c>
      <c r="QY5" s="40" t="str">
        <f t="shared" si="189"/>
        <v/>
      </c>
      <c r="QZ5" s="40" t="str">
        <f t="shared" si="190"/>
        <v/>
      </c>
      <c r="RA5" s="40" t="str">
        <f t="shared" si="191"/>
        <v/>
      </c>
      <c r="RB5" s="40" t="str">
        <f t="shared" si="192"/>
        <v/>
      </c>
      <c r="RC5" s="40" t="str">
        <f t="shared" si="193"/>
        <v/>
      </c>
      <c r="RD5" s="40" t="str">
        <f t="shared" si="194"/>
        <v/>
      </c>
      <c r="RE5" s="40" t="str">
        <f t="shared" si="195"/>
        <v/>
      </c>
      <c r="RF5" s="40" t="str">
        <f t="shared" si="196"/>
        <v/>
      </c>
      <c r="RG5" s="40" t="str">
        <f t="shared" si="197"/>
        <v/>
      </c>
      <c r="RH5" s="40" t="str">
        <f t="shared" si="198"/>
        <v/>
      </c>
      <c r="RI5" s="40" t="str">
        <f t="shared" si="199"/>
        <v/>
      </c>
      <c r="RJ5" s="40" t="str">
        <f t="shared" si="200"/>
        <v/>
      </c>
      <c r="RK5" s="40" t="str">
        <f t="shared" si="201"/>
        <v/>
      </c>
      <c r="RL5" s="18"/>
      <c r="RM5" s="18"/>
      <c r="RN5" s="18"/>
      <c r="RO5" s="18"/>
      <c r="RP5" s="18"/>
      <c r="RQ5" s="18"/>
      <c r="RR5" s="18"/>
      <c r="RS5" s="18"/>
      <c r="RT5" s="18"/>
      <c r="RU5" s="18"/>
      <c r="RV5" s="18"/>
      <c r="RW5" s="18"/>
      <c r="RX5" s="18"/>
      <c r="RY5" s="18"/>
      <c r="RZ5" s="18"/>
      <c r="SA5" s="18"/>
      <c r="SB5" s="18"/>
      <c r="SC5" s="18"/>
      <c r="SD5" s="18"/>
      <c r="SE5" s="18"/>
      <c r="SF5" s="11" t="str">
        <f t="shared" si="202"/>
        <v/>
      </c>
      <c r="SG5" s="11" t="str">
        <f t="shared" si="203"/>
        <v/>
      </c>
      <c r="SH5" s="11" t="str">
        <f t="shared" si="204"/>
        <v/>
      </c>
      <c r="SI5" s="11" t="str">
        <f t="shared" si="205"/>
        <v/>
      </c>
      <c r="SJ5" s="11" t="str">
        <f t="shared" si="206"/>
        <v/>
      </c>
      <c r="SK5" s="11" t="str">
        <f t="shared" si="207"/>
        <v/>
      </c>
      <c r="SL5" s="11" t="str">
        <f t="shared" si="208"/>
        <v/>
      </c>
      <c r="SM5" s="11" t="str">
        <f t="shared" si="209"/>
        <v/>
      </c>
      <c r="SN5" s="11" t="str">
        <f t="shared" si="210"/>
        <v/>
      </c>
      <c r="SO5" s="11" t="str">
        <f t="shared" si="211"/>
        <v/>
      </c>
      <c r="SP5" s="11" t="str">
        <f t="shared" si="212"/>
        <v/>
      </c>
      <c r="SQ5" s="11" t="str">
        <f t="shared" si="213"/>
        <v/>
      </c>
      <c r="SR5" s="11" t="str">
        <f t="shared" si="214"/>
        <v/>
      </c>
      <c r="SS5" s="11" t="str">
        <f t="shared" si="215"/>
        <v/>
      </c>
      <c r="ST5" s="22">
        <f t="shared" si="216"/>
        <v>9.6999999999999993</v>
      </c>
      <c r="SU5" s="22">
        <f t="shared" si="217"/>
        <v>6.8</v>
      </c>
      <c r="SV5" s="22">
        <f t="shared" si="218"/>
        <v>9.8999999999999986</v>
      </c>
      <c r="SW5" s="22">
        <f t="shared" si="219"/>
        <v>10.655000000000001</v>
      </c>
      <c r="SX5" s="22">
        <f t="shared" si="220"/>
        <v>0</v>
      </c>
      <c r="SY5" s="22">
        <f t="shared" si="221"/>
        <v>2.1</v>
      </c>
      <c r="SZ5" s="22">
        <f t="shared" si="222"/>
        <v>1.3</v>
      </c>
      <c r="TA5" s="22">
        <f t="shared" si="223"/>
        <v>1.6500000000000001</v>
      </c>
      <c r="TB5" s="22">
        <f t="shared" si="224"/>
        <v>2.2400000000000002</v>
      </c>
      <c r="TC5" s="22">
        <f t="shared" si="225"/>
        <v>0</v>
      </c>
      <c r="TD5" s="22">
        <f t="shared" si="226"/>
        <v>3.85</v>
      </c>
      <c r="TE5" s="22">
        <f t="shared" si="227"/>
        <v>2.8</v>
      </c>
      <c r="TF5" s="22">
        <f t="shared" si="228"/>
        <v>4.05</v>
      </c>
      <c r="TG5" s="22">
        <f t="shared" si="229"/>
        <v>4.3949999999999996</v>
      </c>
      <c r="TH5" s="22">
        <f t="shared" si="230"/>
        <v>0</v>
      </c>
      <c r="TI5" s="27" t="s">
        <v>46</v>
      </c>
      <c r="TJ5" s="40">
        <f t="shared" si="231"/>
        <v>9.8999999999999986</v>
      </c>
      <c r="TK5" s="40">
        <f t="shared" si="232"/>
        <v>10.655000000000001</v>
      </c>
      <c r="TL5" s="40">
        <f t="shared" si="233"/>
        <v>37.055</v>
      </c>
      <c r="TM5" s="40">
        <f t="shared" si="234"/>
        <v>1.6500000000000001</v>
      </c>
      <c r="TN5" s="40">
        <f t="shared" si="235"/>
        <v>2.2400000000000002</v>
      </c>
      <c r="TO5" s="40">
        <f t="shared" si="236"/>
        <v>7.2900000000000009</v>
      </c>
      <c r="TP5" s="40">
        <f t="shared" si="237"/>
        <v>37.055</v>
      </c>
      <c r="TQ5" s="40">
        <f t="shared" si="238"/>
        <v>4.05</v>
      </c>
      <c r="TR5" s="40">
        <f t="shared" si="239"/>
        <v>4.3949999999999996</v>
      </c>
      <c r="TS5" s="40">
        <f t="shared" si="240"/>
        <v>15.094999999999999</v>
      </c>
      <c r="TT5" s="40">
        <f t="shared" si="241"/>
        <v>52.15</v>
      </c>
    </row>
    <row r="6" spans="1:540" x14ac:dyDescent="0.2">
      <c r="A6" s="4" cm="1">
        <f t="array" ref="A6">IF(AND(F6&lt;&gt;"",G6&lt;&gt;""),SUMPRODUCT((F$4:F$32&lt;&gt;"")*(G$4:G$32&lt;&gt;"")*(E$4:E$32&gt;E6))+1,IF(G6&lt;&gt;"",SUMPRODUCT((H$4:H$32="No DD")*(E$4:E$32&gt;E6))+1+SUMPRODUCT((F$4:F$32&lt;&gt;"")*(G$4:G$32&lt;&gt;"")),""))</f>
        <v>3</v>
      </c>
      <c r="B6" s="5" t="s">
        <v>212</v>
      </c>
      <c r="C6" s="4" t="s">
        <v>6</v>
      </c>
      <c r="D6" s="4">
        <v>2006</v>
      </c>
      <c r="E6" s="9">
        <f t="shared" si="0"/>
        <v>175.3400170220051</v>
      </c>
      <c r="F6" s="3" t="str">
        <f t="shared" si="1"/>
        <v>P</v>
      </c>
      <c r="G6" s="3" t="str">
        <f t="shared" si="2"/>
        <v>P</v>
      </c>
      <c r="H6" s="36" t="str">
        <f t="shared" si="3"/>
        <v>National Team</v>
      </c>
      <c r="I6" s="3" t="str">
        <f t="shared" si="4"/>
        <v/>
      </c>
      <c r="J6" s="8">
        <f>IF(COUNT(AO6,AR6,BP6,BS6,CQ6,CT6)&gt;0,LARGE((AO6,AR6,BP6,BS6,CQ6,CT6),1),0)</f>
        <v>50.75</v>
      </c>
      <c r="K6" s="8" t="str">
        <f t="shared" si="5"/>
        <v>2023 Elite Canada</v>
      </c>
      <c r="L6" s="8">
        <f>IF(COUNT(AO6,AR6,BP6,BS6,CQ6,CT6)&gt;1,LARGE((AO6,AR6,BP6,BS6,CQ6,CT6),2),0)</f>
        <v>48.97</v>
      </c>
      <c r="M6" s="8" t="str">
        <f t="shared" si="6"/>
        <v>2023 Elite Canada</v>
      </c>
      <c r="N6" s="8">
        <f>IF(COUNT(AO6,AR6,BP6,BS6,CQ6,CT6)&gt;2,LARGE((AO6,AR6,BP6,BS6,CQ6,CT6),3),0)</f>
        <v>43.95</v>
      </c>
      <c r="O6" s="8" t="str">
        <f t="shared" ref="O6:O31" si="242">IF(N6="","",IF(OR(N6=CQ6,N6=CT6),$BY$1,IF(OR(N6=BP6,N6=BS6),$AX$1,IF(OR(N6=AO6,N6=AR6),$W$1,""))))</f>
        <v>2022 3rd Domestic Trial</v>
      </c>
      <c r="P6" s="8">
        <f t="shared" si="7"/>
        <v>11.2</v>
      </c>
      <c r="Q6" s="8" t="str">
        <f t="shared" si="8"/>
        <v>2023 Elite Canada</v>
      </c>
      <c r="R6" s="8">
        <f t="shared" si="9"/>
        <v>15.35</v>
      </c>
      <c r="S6" s="8" t="str">
        <f t="shared" si="10"/>
        <v>2023 Elite Canada</v>
      </c>
      <c r="T6" s="8">
        <f t="shared" si="11"/>
        <v>5.1199999999999974</v>
      </c>
      <c r="U6" s="11" t="str">
        <f t="shared" si="12"/>
        <v>(Optional)</v>
      </c>
      <c r="V6" s="8" t="str">
        <f>IF(T6="","",IF(T6=CZ6,IF(T6+IF(N6="",0,N6)=SL6,$RL$1,IF(T6+IF(N6="",0,N6)=RD6,$QD$1,IF(T6+IF(N6="",0,N6)=PV6,$OV$1,IF(T6+IF(N6="",0,N6)=ON6,$NN$1,IF(T6+IF(N6="",0,N6)=NF6,$MF$1,IF(T6+IF(N6="",0,N6)=LX6,$KX$1,IF(T6+IF(N6="",0,N6)=KP6,$JP$1,IF(T6+IF(N6="",0,N6)=JH6,$IH$1,IF(T6+IF(N6="",0,N6)=HZ6,$GZ$1,IF(T6+IF(N6="",0,N6)=GR6,$FR$1,IF(T6+IF(N6="",0,N6)=FJ6,$EJ$1,IF(T6+IF(N6="",0,N6)=EB6,$DB$1)))))))))))),IF(T6=DA6,IF(T6+IF(#REF!="",0,#REF!)=SR6,$RL$1,IF(T6+IF(#REF!="",0,#REF!)=RJ6,$QD$1,IF(T6+IF(#REF!="",0,#REF!)=QB6,$OV$1,IF(T6+IF(#REF!="",0,#REF!)=OT6,$NN$1,IF(T6+IF(#REF!="",0,#REF!)=NL6,$MF$1,IF(T6+IF(#REF!="",0,#REF!)=MD6,$KX$1,IF(T6+IF(#REF!="",0,#REF!)=KV6,$JP$1,IF(T6+IF(#REF!="",0,#REF!)=JN6,$IH$1,IF(T6+IF(#REF!="",0,#REF!)=IF6,$GZ$1,IF(T6+IF(#REF!="",0,#REF!)=GX6,$FR$1,IF(T6+IF(#REF!="",0,#REF!)=FP6,$EJ$1,IF(T6+IF(#REF!="",0,#REF!)=EH6,$DB$1,IF(T6+IF(#REF!="",0,#REF!)=SO6,$RL$1,IF(T6+IF(#REF!="",0,#REF!)=RG6,$QD$1,IF(T6+IF(#REF!="",0,#REF!)=PY6,$OV$1,IF(T6+IF(#REF!="",0,#REF!)=OQ6,$NN$1,IF(T6+IF(#REF!="",0,#REF!)=NI6,$MF$1,IF(T6+IF(#REF!="",0,#REF!)=MA6,$KX$1,IF(T6+IF(#REF!="",0,#REF!)=KS6,$JP$1,IF(T6+IF(#REF!="",0,#REF!)=JK6,$IH$1,IF(T6+IF(#REF!="",0,#REF!)=IC6,$GZ$1,IF(T6+IF(#REF!="",0,#REF!)=GU6,$FR$1,IF(T6+IF(#REF!="",0,#REF!)=FM6,$EJ$1,IF(T6+IF(#REF!="",0,#REF!)=EE6,$DB$1)))))))))))))))))))))))))))</f>
        <v>2022 WAGC (Nov 25)</v>
      </c>
      <c r="W6" s="22">
        <v>5.8</v>
      </c>
      <c r="X6" s="22">
        <v>3.5</v>
      </c>
      <c r="Y6" s="22">
        <v>5</v>
      </c>
      <c r="Z6" s="22">
        <v>5.8</v>
      </c>
      <c r="AA6" s="22">
        <v>0</v>
      </c>
      <c r="AB6" s="22"/>
      <c r="AC6" s="22"/>
      <c r="AD6" s="22"/>
      <c r="AE6" s="22"/>
      <c r="AF6" s="22"/>
      <c r="AG6" s="22">
        <v>4.5999999999999996</v>
      </c>
      <c r="AH6" s="22">
        <v>2.8</v>
      </c>
      <c r="AI6" s="22">
        <v>3.8</v>
      </c>
      <c r="AJ6" s="22">
        <v>4.62</v>
      </c>
      <c r="AK6" s="22">
        <v>0</v>
      </c>
      <c r="AL6" s="27"/>
      <c r="AM6" s="38">
        <f t="shared" si="13"/>
        <v>5</v>
      </c>
      <c r="AN6" s="38">
        <f t="shared" si="14"/>
        <v>5.8</v>
      </c>
      <c r="AO6" s="40">
        <f t="shared" si="15"/>
        <v>20.100000000000001</v>
      </c>
      <c r="AP6" s="40" t="str">
        <f t="shared" si="16"/>
        <v/>
      </c>
      <c r="AQ6" s="40" t="str">
        <f t="shared" si="17"/>
        <v/>
      </c>
      <c r="AR6" s="40" t="str">
        <f t="shared" si="18"/>
        <v/>
      </c>
      <c r="AS6" s="40">
        <f t="shared" si="19"/>
        <v>20.100000000000001</v>
      </c>
      <c r="AT6" s="40">
        <f t="shared" si="20"/>
        <v>3.8</v>
      </c>
      <c r="AU6" s="40">
        <f t="shared" si="21"/>
        <v>4.62</v>
      </c>
      <c r="AV6" s="40">
        <f t="shared" si="22"/>
        <v>15.82</v>
      </c>
      <c r="AW6" s="40">
        <f t="shared" si="23"/>
        <v>35.92</v>
      </c>
      <c r="AX6" s="26">
        <v>12.5</v>
      </c>
      <c r="AY6" s="26">
        <v>8</v>
      </c>
      <c r="AZ6" s="26">
        <v>9.8000000000000007</v>
      </c>
      <c r="BA6" s="26">
        <v>13.65</v>
      </c>
      <c r="BB6" s="26">
        <v>0</v>
      </c>
      <c r="BC6" s="26"/>
      <c r="BD6" s="26"/>
      <c r="BE6" s="26"/>
      <c r="BF6" s="26"/>
      <c r="BG6" s="26"/>
      <c r="BH6" s="26">
        <v>9.6</v>
      </c>
      <c r="BI6" s="26">
        <v>5.6</v>
      </c>
      <c r="BJ6" s="26">
        <v>6.2</v>
      </c>
      <c r="BK6" s="26">
        <v>9.23</v>
      </c>
      <c r="BL6" s="26">
        <v>0</v>
      </c>
      <c r="BM6" s="28"/>
      <c r="BN6" s="39">
        <f t="shared" si="24"/>
        <v>9.8000000000000007</v>
      </c>
      <c r="BO6" s="39">
        <f t="shared" si="25"/>
        <v>13.65</v>
      </c>
      <c r="BP6" s="11">
        <f t="shared" si="26"/>
        <v>43.95</v>
      </c>
      <c r="BQ6" s="11" t="str">
        <f t="shared" si="27"/>
        <v/>
      </c>
      <c r="BR6" s="11" t="str">
        <f t="shared" si="28"/>
        <v/>
      </c>
      <c r="BS6" s="11" t="str">
        <f t="shared" si="29"/>
        <v/>
      </c>
      <c r="BT6" s="11">
        <f t="shared" si="30"/>
        <v>43.95</v>
      </c>
      <c r="BU6" s="11">
        <f t="shared" si="31"/>
        <v>6.2</v>
      </c>
      <c r="BV6" s="11">
        <f t="shared" si="32"/>
        <v>9.23</v>
      </c>
      <c r="BW6" s="11">
        <f t="shared" si="33"/>
        <v>30.63</v>
      </c>
      <c r="BX6" s="11">
        <f t="shared" si="34"/>
        <v>74.58</v>
      </c>
      <c r="BY6" s="22">
        <v>14.6</v>
      </c>
      <c r="BZ6" s="22">
        <v>9.6</v>
      </c>
      <c r="CA6" s="22">
        <v>11.2</v>
      </c>
      <c r="CB6" s="22">
        <v>15.35</v>
      </c>
      <c r="CC6" s="22">
        <v>0</v>
      </c>
      <c r="CD6" s="22">
        <v>14.2</v>
      </c>
      <c r="CE6" s="22">
        <v>9</v>
      </c>
      <c r="CF6" s="22">
        <v>11.2</v>
      </c>
      <c r="CG6" s="22">
        <v>14.57</v>
      </c>
      <c r="CH6" s="22">
        <v>0</v>
      </c>
      <c r="CI6" s="22">
        <v>15.4</v>
      </c>
      <c r="CJ6" s="22">
        <v>9.3000000000000007</v>
      </c>
      <c r="CK6" s="22">
        <v>11.2</v>
      </c>
      <c r="CL6" s="22">
        <v>15.27</v>
      </c>
      <c r="CM6" s="22">
        <v>0</v>
      </c>
      <c r="CN6" s="27"/>
      <c r="CO6" s="38">
        <f t="shared" si="35"/>
        <v>11.2</v>
      </c>
      <c r="CP6" s="38">
        <f t="shared" si="36"/>
        <v>15.35</v>
      </c>
      <c r="CQ6" s="40">
        <f t="shared" si="37"/>
        <v>50.75</v>
      </c>
      <c r="CR6" s="40">
        <f t="shared" si="38"/>
        <v>11.2</v>
      </c>
      <c r="CS6" s="40">
        <f t="shared" si="39"/>
        <v>14.57</v>
      </c>
      <c r="CT6" s="40">
        <f t="shared" si="40"/>
        <v>48.97</v>
      </c>
      <c r="CU6" s="40">
        <f t="shared" si="41"/>
        <v>50.75</v>
      </c>
      <c r="CV6" s="40">
        <f t="shared" si="42"/>
        <v>11.2</v>
      </c>
      <c r="CW6" s="40">
        <f t="shared" si="43"/>
        <v>15.27</v>
      </c>
      <c r="CX6" s="40">
        <f t="shared" si="44"/>
        <v>51.17</v>
      </c>
      <c r="CY6" s="40">
        <f t="shared" si="45"/>
        <v>101.92</v>
      </c>
      <c r="CZ6" s="50">
        <f t="shared" si="46"/>
        <v>5.1199999999999974</v>
      </c>
      <c r="DA6" s="50" t="str">
        <f t="shared" si="47"/>
        <v/>
      </c>
      <c r="DB6" s="17"/>
      <c r="DC6" s="17"/>
      <c r="DD6" s="17"/>
      <c r="DE6" s="17"/>
      <c r="DF6" s="17"/>
      <c r="DG6" s="17"/>
      <c r="DH6" s="17"/>
      <c r="DI6" s="17"/>
      <c r="DJ6" s="17"/>
      <c r="DK6" s="17"/>
      <c r="DL6" s="17"/>
      <c r="DM6" s="17"/>
      <c r="DN6" s="17"/>
      <c r="DO6" s="17"/>
      <c r="DP6" s="17"/>
      <c r="DQ6" s="17"/>
      <c r="DR6" s="17"/>
      <c r="DS6" s="17"/>
      <c r="DT6" s="17"/>
      <c r="DU6" s="17"/>
      <c r="DV6" s="40" t="str">
        <f t="shared" si="48"/>
        <v/>
      </c>
      <c r="DW6" s="40" t="str">
        <f t="shared" si="49"/>
        <v/>
      </c>
      <c r="DX6" s="40" t="str">
        <f t="shared" si="50"/>
        <v/>
      </c>
      <c r="DY6" s="40" t="str">
        <f t="shared" si="51"/>
        <v/>
      </c>
      <c r="DZ6" s="40" t="str">
        <f t="shared" si="52"/>
        <v/>
      </c>
      <c r="EA6" s="40" t="str">
        <f t="shared" si="53"/>
        <v/>
      </c>
      <c r="EB6" s="40" t="str">
        <f t="shared" si="54"/>
        <v/>
      </c>
      <c r="EC6" s="40" t="str">
        <f t="shared" si="55"/>
        <v/>
      </c>
      <c r="ED6" s="40" t="str">
        <f t="shared" si="56"/>
        <v/>
      </c>
      <c r="EE6" s="40" t="str">
        <f t="shared" si="57"/>
        <v/>
      </c>
      <c r="EF6" s="40" t="str">
        <f t="shared" si="58"/>
        <v/>
      </c>
      <c r="EG6" s="40" t="str">
        <f t="shared" si="59"/>
        <v/>
      </c>
      <c r="EH6" s="40" t="str">
        <f t="shared" si="60"/>
        <v/>
      </c>
      <c r="EI6" s="40" t="str">
        <f t="shared" si="61"/>
        <v/>
      </c>
      <c r="EJ6" s="18"/>
      <c r="EK6" s="18"/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8"/>
      <c r="EY6" s="18"/>
      <c r="EZ6" s="18"/>
      <c r="FA6" s="18"/>
      <c r="FB6" s="18"/>
      <c r="FC6" s="18"/>
      <c r="FD6" s="11" t="str">
        <f t="shared" si="62"/>
        <v/>
      </c>
      <c r="FE6" s="11" t="str">
        <f t="shared" si="63"/>
        <v/>
      </c>
      <c r="FF6" s="11" t="str">
        <f t="shared" si="64"/>
        <v/>
      </c>
      <c r="FG6" s="11" t="str">
        <f t="shared" si="65"/>
        <v/>
      </c>
      <c r="FH6" s="11" t="str">
        <f t="shared" si="66"/>
        <v/>
      </c>
      <c r="FI6" s="11" t="str">
        <f t="shared" si="67"/>
        <v/>
      </c>
      <c r="FJ6" s="11" t="str">
        <f t="shared" si="68"/>
        <v/>
      </c>
      <c r="FK6" s="11" t="str">
        <f t="shared" si="69"/>
        <v/>
      </c>
      <c r="FL6" s="11" t="str">
        <f t="shared" si="70"/>
        <v/>
      </c>
      <c r="FM6" s="11" t="str">
        <f t="shared" si="71"/>
        <v/>
      </c>
      <c r="FN6" s="11" t="str">
        <f t="shared" si="72"/>
        <v/>
      </c>
      <c r="FO6" s="11" t="str">
        <f t="shared" si="73"/>
        <v/>
      </c>
      <c r="FP6" s="11" t="str">
        <f t="shared" si="74"/>
        <v/>
      </c>
      <c r="FQ6" s="11" t="str">
        <f t="shared" si="75"/>
        <v/>
      </c>
      <c r="FR6" s="17"/>
      <c r="FS6" s="17"/>
      <c r="FT6" s="17"/>
      <c r="FU6" s="17"/>
      <c r="FV6" s="17"/>
      <c r="FW6" s="17">
        <v>14.6</v>
      </c>
      <c r="FX6" s="17">
        <v>9.5</v>
      </c>
      <c r="FY6" s="17">
        <v>10.5</v>
      </c>
      <c r="FZ6" s="17">
        <v>14.47</v>
      </c>
      <c r="GA6" s="17">
        <v>0</v>
      </c>
      <c r="GB6" s="17"/>
      <c r="GC6" s="17"/>
      <c r="GD6" s="17"/>
      <c r="GE6" s="17"/>
      <c r="GF6" s="17"/>
      <c r="GG6" s="17"/>
      <c r="GH6" s="17"/>
      <c r="GI6" s="17"/>
      <c r="GJ6" s="17"/>
      <c r="GK6" s="17"/>
      <c r="GL6" s="40" t="str">
        <f t="shared" si="76"/>
        <v/>
      </c>
      <c r="GM6" s="40" t="str">
        <f t="shared" si="77"/>
        <v/>
      </c>
      <c r="GN6" s="40" t="str">
        <f t="shared" si="78"/>
        <v/>
      </c>
      <c r="GO6" s="40">
        <f t="shared" si="79"/>
        <v>10.5</v>
      </c>
      <c r="GP6" s="40">
        <f t="shared" si="80"/>
        <v>14.47</v>
      </c>
      <c r="GQ6" s="40">
        <f t="shared" si="81"/>
        <v>49.07</v>
      </c>
      <c r="GR6" s="40">
        <f t="shared" si="82"/>
        <v>49.07</v>
      </c>
      <c r="GS6" s="40" t="str">
        <f t="shared" si="83"/>
        <v/>
      </c>
      <c r="GT6" s="40" t="str">
        <f t="shared" si="84"/>
        <v/>
      </c>
      <c r="GU6" s="40" t="str">
        <f t="shared" si="85"/>
        <v/>
      </c>
      <c r="GV6" s="40" t="str">
        <f t="shared" si="86"/>
        <v/>
      </c>
      <c r="GW6" s="40" t="str">
        <f t="shared" si="87"/>
        <v/>
      </c>
      <c r="GX6" s="40" t="str">
        <f t="shared" si="88"/>
        <v/>
      </c>
      <c r="GY6" s="40">
        <f t="shared" si="89"/>
        <v>49.07</v>
      </c>
      <c r="GZ6" s="18"/>
      <c r="HA6" s="18"/>
      <c r="HB6" s="18"/>
      <c r="HC6" s="18"/>
      <c r="HD6" s="18"/>
      <c r="HE6" s="18"/>
      <c r="HF6" s="18"/>
      <c r="HG6" s="18"/>
      <c r="HH6" s="18"/>
      <c r="HI6" s="18"/>
      <c r="HJ6" s="18"/>
      <c r="HK6" s="18"/>
      <c r="HL6" s="18"/>
      <c r="HM6" s="18"/>
      <c r="HN6" s="18"/>
      <c r="HO6" s="18"/>
      <c r="HP6" s="18"/>
      <c r="HQ6" s="18"/>
      <c r="HR6" s="18"/>
      <c r="HS6" s="18"/>
      <c r="HT6" s="11" t="str">
        <f t="shared" si="90"/>
        <v/>
      </c>
      <c r="HU6" s="11" t="str">
        <f t="shared" si="91"/>
        <v/>
      </c>
      <c r="HV6" s="11" t="str">
        <f t="shared" si="92"/>
        <v/>
      </c>
      <c r="HW6" s="11" t="str">
        <f t="shared" si="93"/>
        <v/>
      </c>
      <c r="HX6" s="11" t="str">
        <f t="shared" si="94"/>
        <v/>
      </c>
      <c r="HY6" s="11" t="str">
        <f t="shared" si="95"/>
        <v/>
      </c>
      <c r="HZ6" s="11" t="str">
        <f t="shared" si="96"/>
        <v/>
      </c>
      <c r="IA6" s="11" t="str">
        <f t="shared" si="97"/>
        <v/>
      </c>
      <c r="IB6" s="11" t="str">
        <f t="shared" si="98"/>
        <v/>
      </c>
      <c r="IC6" s="11" t="str">
        <f t="shared" si="99"/>
        <v/>
      </c>
      <c r="ID6" s="11" t="str">
        <f t="shared" si="100"/>
        <v/>
      </c>
      <c r="IE6" s="11" t="str">
        <f t="shared" si="101"/>
        <v/>
      </c>
      <c r="IF6" s="11" t="str">
        <f t="shared" si="102"/>
        <v/>
      </c>
      <c r="IG6" s="11" t="str">
        <f t="shared" si="103"/>
        <v/>
      </c>
      <c r="IH6" s="17"/>
      <c r="II6" s="17"/>
      <c r="IJ6" s="17"/>
      <c r="IK6" s="17"/>
      <c r="IL6" s="17"/>
      <c r="IM6" s="17"/>
      <c r="IN6" s="17"/>
      <c r="IO6" s="17"/>
      <c r="IP6" s="17"/>
      <c r="IQ6" s="17"/>
      <c r="IR6" s="17"/>
      <c r="IS6" s="17"/>
      <c r="IT6" s="17"/>
      <c r="IU6" s="17"/>
      <c r="IV6" s="17"/>
      <c r="IW6" s="17"/>
      <c r="IX6" s="17"/>
      <c r="IY6" s="17"/>
      <c r="IZ6" s="17"/>
      <c r="JA6" s="17"/>
      <c r="JB6" s="40" t="str">
        <f t="shared" si="104"/>
        <v/>
      </c>
      <c r="JC6" s="40" t="str">
        <f t="shared" si="105"/>
        <v/>
      </c>
      <c r="JD6" s="40" t="str">
        <f t="shared" si="106"/>
        <v/>
      </c>
      <c r="JE6" s="40" t="str">
        <f t="shared" si="107"/>
        <v/>
      </c>
      <c r="JF6" s="40" t="str">
        <f t="shared" si="108"/>
        <v/>
      </c>
      <c r="JG6" s="40" t="str">
        <f t="shared" si="109"/>
        <v/>
      </c>
      <c r="JH6" s="40" t="str">
        <f t="shared" si="110"/>
        <v/>
      </c>
      <c r="JI6" s="40" t="str">
        <f t="shared" si="111"/>
        <v/>
      </c>
      <c r="JJ6" s="40" t="str">
        <f t="shared" si="112"/>
        <v/>
      </c>
      <c r="JK6" s="40" t="str">
        <f t="shared" si="113"/>
        <v/>
      </c>
      <c r="JL6" s="40" t="str">
        <f t="shared" si="114"/>
        <v/>
      </c>
      <c r="JM6" s="40" t="str">
        <f t="shared" si="115"/>
        <v/>
      </c>
      <c r="JN6" s="40" t="str">
        <f t="shared" si="116"/>
        <v/>
      </c>
      <c r="JO6" s="40" t="str">
        <f t="shared" si="117"/>
        <v/>
      </c>
      <c r="JP6" s="18"/>
      <c r="JQ6" s="18"/>
      <c r="JR6" s="18"/>
      <c r="JS6" s="18"/>
      <c r="JT6" s="18"/>
      <c r="JU6" s="18"/>
      <c r="JV6" s="18"/>
      <c r="JW6" s="18"/>
      <c r="JX6" s="18"/>
      <c r="JY6" s="18"/>
      <c r="JZ6" s="18"/>
      <c r="KA6" s="18"/>
      <c r="KB6" s="18"/>
      <c r="KC6" s="18"/>
      <c r="KD6" s="18"/>
      <c r="KE6" s="18"/>
      <c r="KF6" s="18"/>
      <c r="KG6" s="18"/>
      <c r="KH6" s="18"/>
      <c r="KI6" s="18"/>
      <c r="KJ6" s="11" t="str">
        <f t="shared" si="118"/>
        <v/>
      </c>
      <c r="KK6" s="11" t="str">
        <f t="shared" si="119"/>
        <v/>
      </c>
      <c r="KL6" s="11" t="str">
        <f t="shared" si="120"/>
        <v/>
      </c>
      <c r="KM6" s="11" t="str">
        <f t="shared" si="121"/>
        <v/>
      </c>
      <c r="KN6" s="11" t="str">
        <f t="shared" si="122"/>
        <v/>
      </c>
      <c r="KO6" s="11" t="str">
        <f t="shared" si="123"/>
        <v/>
      </c>
      <c r="KP6" s="11" t="str">
        <f t="shared" si="124"/>
        <v/>
      </c>
      <c r="KQ6" s="11" t="str">
        <f t="shared" si="125"/>
        <v/>
      </c>
      <c r="KR6" s="11" t="str">
        <f t="shared" si="126"/>
        <v/>
      </c>
      <c r="KS6" s="11" t="str">
        <f t="shared" si="127"/>
        <v/>
      </c>
      <c r="KT6" s="11" t="str">
        <f t="shared" si="128"/>
        <v/>
      </c>
      <c r="KU6" s="11" t="str">
        <f t="shared" si="129"/>
        <v/>
      </c>
      <c r="KV6" s="11" t="str">
        <f t="shared" si="130"/>
        <v/>
      </c>
      <c r="KW6" s="11" t="str">
        <f t="shared" si="131"/>
        <v/>
      </c>
      <c r="KX6" s="17"/>
      <c r="KY6" s="17"/>
      <c r="KZ6" s="17"/>
      <c r="LA6" s="17"/>
      <c r="LB6" s="17"/>
      <c r="LC6" s="17"/>
      <c r="LD6" s="17"/>
      <c r="LE6" s="17"/>
      <c r="LF6" s="17"/>
      <c r="LG6" s="17"/>
      <c r="LH6" s="17"/>
      <c r="LI6" s="17"/>
      <c r="LJ6" s="17"/>
      <c r="LK6" s="17"/>
      <c r="LL6" s="17"/>
      <c r="LM6" s="17"/>
      <c r="LN6" s="17"/>
      <c r="LO6" s="17"/>
      <c r="LP6" s="17"/>
      <c r="LQ6" s="17"/>
      <c r="LR6" s="40" t="str">
        <f t="shared" si="132"/>
        <v/>
      </c>
      <c r="LS6" s="40" t="str">
        <f t="shared" si="133"/>
        <v/>
      </c>
      <c r="LT6" s="40" t="str">
        <f t="shared" si="134"/>
        <v/>
      </c>
      <c r="LU6" s="40" t="str">
        <f t="shared" si="135"/>
        <v/>
      </c>
      <c r="LV6" s="40" t="str">
        <f t="shared" si="136"/>
        <v/>
      </c>
      <c r="LW6" s="40" t="str">
        <f t="shared" si="137"/>
        <v/>
      </c>
      <c r="LX6" s="40" t="str">
        <f t="shared" si="138"/>
        <v/>
      </c>
      <c r="LY6" s="40" t="str">
        <f t="shared" si="139"/>
        <v/>
      </c>
      <c r="LZ6" s="40" t="str">
        <f t="shared" si="140"/>
        <v/>
      </c>
      <c r="MA6" s="40" t="str">
        <f t="shared" si="141"/>
        <v/>
      </c>
      <c r="MB6" s="40" t="str">
        <f t="shared" si="142"/>
        <v/>
      </c>
      <c r="MC6" s="40" t="str">
        <f t="shared" si="143"/>
        <v/>
      </c>
      <c r="MD6" s="40" t="str">
        <f t="shared" si="144"/>
        <v/>
      </c>
      <c r="ME6" s="40" t="str">
        <f t="shared" si="145"/>
        <v/>
      </c>
      <c r="MF6" s="18"/>
      <c r="MG6" s="18"/>
      <c r="MH6" s="18"/>
      <c r="MI6" s="18"/>
      <c r="MJ6" s="18"/>
      <c r="MK6" s="18"/>
      <c r="ML6" s="18"/>
      <c r="MM6" s="18"/>
      <c r="MN6" s="18"/>
      <c r="MO6" s="18"/>
      <c r="MP6" s="18"/>
      <c r="MQ6" s="18"/>
      <c r="MR6" s="18"/>
      <c r="MS6" s="18"/>
      <c r="MT6" s="18"/>
      <c r="MU6" s="18"/>
      <c r="MV6" s="18"/>
      <c r="MW6" s="18"/>
      <c r="MX6" s="18"/>
      <c r="MY6" s="18"/>
      <c r="MZ6" s="11" t="str">
        <f t="shared" si="146"/>
        <v/>
      </c>
      <c r="NA6" s="11" t="str">
        <f t="shared" si="147"/>
        <v/>
      </c>
      <c r="NB6" s="11" t="str">
        <f t="shared" si="148"/>
        <v/>
      </c>
      <c r="NC6" s="11" t="str">
        <f t="shared" si="149"/>
        <v/>
      </c>
      <c r="ND6" s="11" t="str">
        <f t="shared" si="150"/>
        <v/>
      </c>
      <c r="NE6" s="11" t="str">
        <f t="shared" si="151"/>
        <v/>
      </c>
      <c r="NF6" s="11" t="str">
        <f t="shared" si="152"/>
        <v/>
      </c>
      <c r="NG6" s="11" t="str">
        <f t="shared" si="153"/>
        <v/>
      </c>
      <c r="NH6" s="11" t="str">
        <f t="shared" si="154"/>
        <v/>
      </c>
      <c r="NI6" s="11" t="str">
        <f t="shared" si="155"/>
        <v/>
      </c>
      <c r="NJ6" s="11" t="str">
        <f t="shared" si="156"/>
        <v/>
      </c>
      <c r="NK6" s="11" t="str">
        <f t="shared" si="157"/>
        <v/>
      </c>
      <c r="NL6" s="11" t="str">
        <f t="shared" si="158"/>
        <v/>
      </c>
      <c r="NM6" s="11" t="str">
        <f t="shared" si="159"/>
        <v/>
      </c>
      <c r="NN6" s="17"/>
      <c r="NO6" s="17"/>
      <c r="NP6" s="17"/>
      <c r="NQ6" s="17"/>
      <c r="NR6" s="17"/>
      <c r="NS6" s="17"/>
      <c r="NT6" s="17"/>
      <c r="NU6" s="17"/>
      <c r="NV6" s="17"/>
      <c r="NW6" s="17"/>
      <c r="NX6" s="17"/>
      <c r="NY6" s="17"/>
      <c r="NZ6" s="17"/>
      <c r="OA6" s="17"/>
      <c r="OB6" s="17"/>
      <c r="OC6" s="17"/>
      <c r="OD6" s="17"/>
      <c r="OE6" s="17"/>
      <c r="OF6" s="17"/>
      <c r="OG6" s="17"/>
      <c r="OH6" s="40" t="str">
        <f t="shared" si="160"/>
        <v/>
      </c>
      <c r="OI6" s="40" t="str">
        <f t="shared" si="161"/>
        <v/>
      </c>
      <c r="OJ6" s="40" t="str">
        <f t="shared" si="162"/>
        <v/>
      </c>
      <c r="OK6" s="40" t="str">
        <f t="shared" si="163"/>
        <v/>
      </c>
      <c r="OL6" s="40" t="str">
        <f t="shared" si="164"/>
        <v/>
      </c>
      <c r="OM6" s="40" t="str">
        <f t="shared" si="165"/>
        <v/>
      </c>
      <c r="ON6" s="40" t="str">
        <f t="shared" si="166"/>
        <v/>
      </c>
      <c r="OO6" s="40" t="str">
        <f t="shared" si="167"/>
        <v/>
      </c>
      <c r="OP6" s="40" t="str">
        <f t="shared" si="168"/>
        <v/>
      </c>
      <c r="OQ6" s="40" t="str">
        <f t="shared" si="169"/>
        <v/>
      </c>
      <c r="OR6" s="40" t="str">
        <f t="shared" si="170"/>
        <v/>
      </c>
      <c r="OS6" s="40" t="str">
        <f t="shared" si="171"/>
        <v/>
      </c>
      <c r="OT6" s="40" t="str">
        <f t="shared" si="172"/>
        <v/>
      </c>
      <c r="OU6" s="40" t="str">
        <f t="shared" si="173"/>
        <v/>
      </c>
      <c r="OV6" s="18"/>
      <c r="OW6" s="18"/>
      <c r="OX6" s="18"/>
      <c r="OY6" s="18"/>
      <c r="OZ6" s="18"/>
      <c r="PA6" s="18"/>
      <c r="PB6" s="18"/>
      <c r="PC6" s="18"/>
      <c r="PD6" s="18"/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1" t="str">
        <f t="shared" si="174"/>
        <v/>
      </c>
      <c r="PQ6" s="11" t="str">
        <f t="shared" si="175"/>
        <v/>
      </c>
      <c r="PR6" s="11" t="str">
        <f t="shared" si="176"/>
        <v/>
      </c>
      <c r="PS6" s="11" t="str">
        <f t="shared" si="177"/>
        <v/>
      </c>
      <c r="PT6" s="11" t="str">
        <f t="shared" si="178"/>
        <v/>
      </c>
      <c r="PU6" s="11" t="str">
        <f t="shared" si="179"/>
        <v/>
      </c>
      <c r="PV6" s="11" t="str">
        <f t="shared" si="180"/>
        <v/>
      </c>
      <c r="PW6" s="11" t="str">
        <f t="shared" si="181"/>
        <v/>
      </c>
      <c r="PX6" s="11" t="str">
        <f t="shared" si="182"/>
        <v/>
      </c>
      <c r="PY6" s="11" t="str">
        <f t="shared" si="183"/>
        <v/>
      </c>
      <c r="PZ6" s="11" t="str">
        <f t="shared" si="184"/>
        <v/>
      </c>
      <c r="QA6" s="11" t="str">
        <f t="shared" si="185"/>
        <v/>
      </c>
      <c r="QB6" s="11" t="str">
        <f t="shared" si="186"/>
        <v/>
      </c>
      <c r="QC6" s="11" t="str">
        <f t="shared" si="187"/>
        <v/>
      </c>
      <c r="QD6" s="17"/>
      <c r="QE6" s="17"/>
      <c r="QF6" s="17"/>
      <c r="QG6" s="17"/>
      <c r="QH6" s="17"/>
      <c r="QI6" s="17"/>
      <c r="QJ6" s="17"/>
      <c r="QK6" s="17"/>
      <c r="QL6" s="17"/>
      <c r="QM6" s="17"/>
      <c r="QN6" s="17"/>
      <c r="QO6" s="17"/>
      <c r="QP6" s="17"/>
      <c r="QQ6" s="17"/>
      <c r="QR6" s="17"/>
      <c r="QS6" s="17"/>
      <c r="QT6" s="17"/>
      <c r="QU6" s="17"/>
      <c r="QV6" s="17"/>
      <c r="QW6" s="17"/>
      <c r="QX6" s="40" t="str">
        <f t="shared" si="188"/>
        <v/>
      </c>
      <c r="QY6" s="40" t="str">
        <f t="shared" si="189"/>
        <v/>
      </c>
      <c r="QZ6" s="40" t="str">
        <f t="shared" si="190"/>
        <v/>
      </c>
      <c r="RA6" s="40" t="str">
        <f t="shared" si="191"/>
        <v/>
      </c>
      <c r="RB6" s="40" t="str">
        <f t="shared" si="192"/>
        <v/>
      </c>
      <c r="RC6" s="40" t="str">
        <f t="shared" si="193"/>
        <v/>
      </c>
      <c r="RD6" s="40" t="str">
        <f t="shared" si="194"/>
        <v/>
      </c>
      <c r="RE6" s="40" t="str">
        <f t="shared" si="195"/>
        <v/>
      </c>
      <c r="RF6" s="40" t="str">
        <f t="shared" si="196"/>
        <v/>
      </c>
      <c r="RG6" s="40" t="str">
        <f t="shared" si="197"/>
        <v/>
      </c>
      <c r="RH6" s="40" t="str">
        <f t="shared" si="198"/>
        <v/>
      </c>
      <c r="RI6" s="40" t="str">
        <f t="shared" si="199"/>
        <v/>
      </c>
      <c r="RJ6" s="40" t="str">
        <f t="shared" si="200"/>
        <v/>
      </c>
      <c r="RK6" s="40" t="str">
        <f t="shared" si="201"/>
        <v/>
      </c>
      <c r="RL6" s="18"/>
      <c r="RM6" s="18"/>
      <c r="RN6" s="18"/>
      <c r="RO6" s="18"/>
      <c r="RP6" s="18"/>
      <c r="RQ6" s="18"/>
      <c r="RR6" s="18"/>
      <c r="RS6" s="18"/>
      <c r="RT6" s="18"/>
      <c r="RU6" s="18"/>
      <c r="RV6" s="18"/>
      <c r="RW6" s="18"/>
      <c r="RX6" s="18"/>
      <c r="RY6" s="18"/>
      <c r="RZ6" s="18"/>
      <c r="SA6" s="18"/>
      <c r="SB6" s="18"/>
      <c r="SC6" s="18"/>
      <c r="SD6" s="18"/>
      <c r="SE6" s="18"/>
      <c r="SF6" s="11" t="str">
        <f t="shared" si="202"/>
        <v/>
      </c>
      <c r="SG6" s="11" t="str">
        <f t="shared" si="203"/>
        <v/>
      </c>
      <c r="SH6" s="11" t="str">
        <f t="shared" si="204"/>
        <v/>
      </c>
      <c r="SI6" s="11" t="str">
        <f t="shared" si="205"/>
        <v/>
      </c>
      <c r="SJ6" s="11" t="str">
        <f t="shared" si="206"/>
        <v/>
      </c>
      <c r="SK6" s="11" t="str">
        <f t="shared" si="207"/>
        <v/>
      </c>
      <c r="SL6" s="11" t="str">
        <f t="shared" si="208"/>
        <v/>
      </c>
      <c r="SM6" s="11" t="str">
        <f t="shared" si="209"/>
        <v/>
      </c>
      <c r="SN6" s="11" t="str">
        <f t="shared" si="210"/>
        <v/>
      </c>
      <c r="SO6" s="11" t="str">
        <f t="shared" si="211"/>
        <v/>
      </c>
      <c r="SP6" s="11" t="str">
        <f t="shared" si="212"/>
        <v/>
      </c>
      <c r="SQ6" s="11" t="str">
        <f t="shared" si="213"/>
        <v/>
      </c>
      <c r="SR6" s="11" t="str">
        <f t="shared" si="214"/>
        <v/>
      </c>
      <c r="SS6" s="11" t="str">
        <f t="shared" si="215"/>
        <v/>
      </c>
      <c r="ST6" s="22">
        <f t="shared" si="216"/>
        <v>13.55</v>
      </c>
      <c r="SU6" s="22">
        <f t="shared" si="217"/>
        <v>8.8000000000000007</v>
      </c>
      <c r="SV6" s="22">
        <f t="shared" si="218"/>
        <v>10.5</v>
      </c>
      <c r="SW6" s="22">
        <f t="shared" si="219"/>
        <v>14.5</v>
      </c>
      <c r="SX6" s="22">
        <f t="shared" si="220"/>
        <v>0</v>
      </c>
      <c r="SY6" s="22">
        <f t="shared" si="221"/>
        <v>7.1</v>
      </c>
      <c r="SZ6" s="22">
        <f t="shared" si="222"/>
        <v>4.5</v>
      </c>
      <c r="TA6" s="22">
        <f t="shared" si="223"/>
        <v>5.6</v>
      </c>
      <c r="TB6" s="22">
        <f t="shared" si="224"/>
        <v>7.2850000000000001</v>
      </c>
      <c r="TC6" s="22">
        <f t="shared" si="225"/>
        <v>0</v>
      </c>
      <c r="TD6" s="22">
        <f t="shared" si="226"/>
        <v>12.5</v>
      </c>
      <c r="TE6" s="22">
        <f t="shared" si="227"/>
        <v>7.45</v>
      </c>
      <c r="TF6" s="22">
        <f t="shared" si="228"/>
        <v>8.6999999999999993</v>
      </c>
      <c r="TG6" s="22">
        <f t="shared" si="229"/>
        <v>12.25</v>
      </c>
      <c r="TH6" s="22">
        <f t="shared" si="230"/>
        <v>0</v>
      </c>
      <c r="TI6" s="27" t="s">
        <v>46</v>
      </c>
      <c r="TJ6" s="40">
        <f t="shared" si="231"/>
        <v>10.5</v>
      </c>
      <c r="TK6" s="40">
        <f t="shared" si="232"/>
        <v>14.5</v>
      </c>
      <c r="TL6" s="40">
        <f t="shared" si="233"/>
        <v>47.35</v>
      </c>
      <c r="TM6" s="40">
        <f t="shared" si="234"/>
        <v>5.6</v>
      </c>
      <c r="TN6" s="40">
        <f t="shared" si="235"/>
        <v>7.2850000000000001</v>
      </c>
      <c r="TO6" s="40">
        <f t="shared" si="236"/>
        <v>24.484999999999999</v>
      </c>
      <c r="TP6" s="40">
        <f t="shared" si="237"/>
        <v>47.35</v>
      </c>
      <c r="TQ6" s="40">
        <f t="shared" si="238"/>
        <v>8.6999999999999993</v>
      </c>
      <c r="TR6" s="40">
        <f t="shared" si="239"/>
        <v>12.25</v>
      </c>
      <c r="TS6" s="40">
        <f t="shared" si="240"/>
        <v>40.9</v>
      </c>
      <c r="TT6" s="40">
        <f t="shared" si="241"/>
        <v>88.25</v>
      </c>
    </row>
    <row r="7" spans="1:540" x14ac:dyDescent="0.2">
      <c r="A7" s="4" cm="1">
        <f t="array" ref="A7">IF(AND(F7&lt;&gt;"",G7&lt;&gt;""),SUMPRODUCT((F$4:F$32&lt;&gt;"")*(G$4:G$32&lt;&gt;"")*(E$4:E$32&gt;E7))+1,IF(G7&lt;&gt;"",SUMPRODUCT((H$4:H$32="No DD")*(E$4:E$32&gt;E7))+1+SUMPRODUCT((F$4:F$32&lt;&gt;"")*(G$4:G$32&lt;&gt;"")),""))</f>
        <v>4</v>
      </c>
      <c r="B7" s="5" t="s">
        <v>213</v>
      </c>
      <c r="C7" s="4" t="s">
        <v>3</v>
      </c>
      <c r="D7" s="4">
        <v>2006</v>
      </c>
      <c r="E7" s="9">
        <f t="shared" si="0"/>
        <v>174.96001749600492</v>
      </c>
      <c r="F7" s="3" t="str">
        <f t="shared" si="1"/>
        <v>P</v>
      </c>
      <c r="G7" s="3" t="str">
        <f t="shared" si="2"/>
        <v>P</v>
      </c>
      <c r="H7" s="36" t="str">
        <f t="shared" si="3"/>
        <v>National Team</v>
      </c>
      <c r="I7" s="3" t="str">
        <f t="shared" si="4"/>
        <v/>
      </c>
      <c r="J7" s="8">
        <f>IF(COUNT(AO7,AR7,BP7,BS7,CQ7,CT7)&gt;0,LARGE((AO7,AR7,BP7,BS7,CQ7,CT7),1),0)</f>
        <v>49.31</v>
      </c>
      <c r="K7" s="8" t="str">
        <f t="shared" si="5"/>
        <v>2023 Elite Canada</v>
      </c>
      <c r="L7" s="8">
        <f>IF(COUNT(AO7,AR7,BP7,BS7,CQ7,CT7)&gt;1,LARGE((AO7,AR7,BP7,BS7,CQ7,CT7),2),0)</f>
        <v>49.180000000000007</v>
      </c>
      <c r="M7" s="8" t="str">
        <f t="shared" si="6"/>
        <v>2022 3rd Domestic Trial</v>
      </c>
      <c r="N7" s="8">
        <f>IF(COUNT(AO7,AR7,BP7,BS7,CQ7,CT7)&gt;2,LARGE((AO7,AR7,BP7,BS7,CQ7,CT7),3),0)</f>
        <v>49.09</v>
      </c>
      <c r="O7" s="8" t="str">
        <f t="shared" si="242"/>
        <v>2023 Elite Canada</v>
      </c>
      <c r="P7" s="8">
        <f t="shared" si="7"/>
        <v>12.4</v>
      </c>
      <c r="Q7" s="8" t="str">
        <f t="shared" si="8"/>
        <v>2023 Elite Canada</v>
      </c>
      <c r="R7" s="8">
        <f t="shared" si="9"/>
        <v>14.98</v>
      </c>
      <c r="S7" s="8" t="str">
        <f t="shared" si="10"/>
        <v>2022 3rd Domestic Trial</v>
      </c>
      <c r="T7" s="8" t="str">
        <f t="shared" si="11"/>
        <v/>
      </c>
      <c r="U7" s="11" t="str">
        <f t="shared" si="12"/>
        <v/>
      </c>
      <c r="V7" s="8" t="str">
        <f>IF(T7="","",IF(T7=CZ7,IF(T7+IF(N7="",0,N7)=SL7,$RL$1,IF(T7+IF(N7="",0,N7)=RD7,$QD$1,IF(T7+IF(N7="",0,N7)=PV7,$OV$1,IF(T7+IF(N7="",0,N7)=ON7,$NN$1,IF(T7+IF(N7="",0,N7)=NF7,$MF$1,IF(T7+IF(N7="",0,N7)=LX7,$KX$1,IF(T7+IF(N7="",0,N7)=KP7,$JP$1,IF(T7+IF(N7="",0,N7)=JH7,$IH$1,IF(T7+IF(N7="",0,N7)=HZ7,$GZ$1,IF(T7+IF(N7="",0,N7)=GR7,$FR$1,IF(T7+IF(N7="",0,N7)=FJ7,$EJ$1,IF(T7+IF(N7="",0,N7)=EB7,$DB$1)))))))))))),IF(T7=DA7,IF(T7+IF(#REF!="",0,#REF!)=SR7,$RL$1,IF(T7+IF(#REF!="",0,#REF!)=RJ7,$QD$1,IF(T7+IF(#REF!="",0,#REF!)=QB7,$OV$1,IF(T7+IF(#REF!="",0,#REF!)=OT7,$NN$1,IF(T7+IF(#REF!="",0,#REF!)=NL7,$MF$1,IF(T7+IF(#REF!="",0,#REF!)=MD7,$KX$1,IF(T7+IF(#REF!="",0,#REF!)=KV7,$JP$1,IF(T7+IF(#REF!="",0,#REF!)=JN7,$IH$1,IF(T7+IF(#REF!="",0,#REF!)=IF7,$GZ$1,IF(T7+IF(#REF!="",0,#REF!)=GX7,$FR$1,IF(T7+IF(#REF!="",0,#REF!)=FP7,$EJ$1,IF(T7+IF(#REF!="",0,#REF!)=EH7,$DB$1,IF(T7+IF(#REF!="",0,#REF!)=SO7,$RL$1,IF(T7+IF(#REF!="",0,#REF!)=RG7,$QD$1,IF(T7+IF(#REF!="",0,#REF!)=PY7,$OV$1,IF(T7+IF(#REF!="",0,#REF!)=OQ7,$NN$1,IF(T7+IF(#REF!="",0,#REF!)=NI7,$MF$1,IF(T7+IF(#REF!="",0,#REF!)=MA7,$KX$1,IF(T7+IF(#REF!="",0,#REF!)=KS7,$JP$1,IF(T7+IF(#REF!="",0,#REF!)=JK7,$IH$1,IF(T7+IF(#REF!="",0,#REF!)=IC7,$GZ$1,IF(T7+IF(#REF!="",0,#REF!)=GU7,$FR$1,IF(T7+IF(#REF!="",0,#REF!)=FM7,$EJ$1,IF(T7+IF(#REF!="",0,#REF!)=EE7,$DB$1)))))))))))))))))))))))))))</f>
        <v/>
      </c>
      <c r="W7" s="22">
        <v>13.8</v>
      </c>
      <c r="X7" s="22">
        <v>8.9</v>
      </c>
      <c r="Y7" s="22">
        <v>11.3</v>
      </c>
      <c r="Z7" s="22">
        <v>14.06</v>
      </c>
      <c r="AA7" s="22">
        <v>0</v>
      </c>
      <c r="AB7" s="22"/>
      <c r="AC7" s="22"/>
      <c r="AD7" s="22"/>
      <c r="AE7" s="22"/>
      <c r="AF7" s="22"/>
      <c r="AG7" s="22">
        <v>14.1</v>
      </c>
      <c r="AH7" s="22">
        <v>9</v>
      </c>
      <c r="AI7" s="22">
        <v>11.3</v>
      </c>
      <c r="AJ7" s="22">
        <v>13.9</v>
      </c>
      <c r="AK7" s="22">
        <v>0</v>
      </c>
      <c r="AL7" s="27"/>
      <c r="AM7" s="38">
        <f t="shared" si="13"/>
        <v>11.3</v>
      </c>
      <c r="AN7" s="38">
        <f t="shared" si="14"/>
        <v>14.06</v>
      </c>
      <c r="AO7" s="40">
        <f t="shared" si="15"/>
        <v>48.06</v>
      </c>
      <c r="AP7" s="40" t="str">
        <f t="shared" si="16"/>
        <v/>
      </c>
      <c r="AQ7" s="40" t="str">
        <f t="shared" si="17"/>
        <v/>
      </c>
      <c r="AR7" s="40" t="str">
        <f t="shared" si="18"/>
        <v/>
      </c>
      <c r="AS7" s="40">
        <f t="shared" si="19"/>
        <v>48.06</v>
      </c>
      <c r="AT7" s="40">
        <f t="shared" si="20"/>
        <v>11.3</v>
      </c>
      <c r="AU7" s="40">
        <f t="shared" si="21"/>
        <v>13.9</v>
      </c>
      <c r="AV7" s="40">
        <f t="shared" si="22"/>
        <v>48.300000000000004</v>
      </c>
      <c r="AW7" s="40">
        <f t="shared" si="23"/>
        <v>96.360000000000014</v>
      </c>
      <c r="AX7" s="26">
        <v>13.1</v>
      </c>
      <c r="AY7" s="26">
        <v>8.9</v>
      </c>
      <c r="AZ7" s="26">
        <v>12.2</v>
      </c>
      <c r="BA7" s="26">
        <v>14.98</v>
      </c>
      <c r="BB7" s="26">
        <v>0</v>
      </c>
      <c r="BC7" s="26"/>
      <c r="BD7" s="26"/>
      <c r="BE7" s="26"/>
      <c r="BF7" s="26"/>
      <c r="BG7" s="26"/>
      <c r="BH7" s="26">
        <v>12.7</v>
      </c>
      <c r="BI7" s="26">
        <v>8.8000000000000007</v>
      </c>
      <c r="BJ7" s="26">
        <v>12</v>
      </c>
      <c r="BK7" s="26">
        <v>14.13</v>
      </c>
      <c r="BL7" s="26">
        <v>0</v>
      </c>
      <c r="BM7" s="28"/>
      <c r="BN7" s="39">
        <f t="shared" si="24"/>
        <v>12.2</v>
      </c>
      <c r="BO7" s="39">
        <f t="shared" si="25"/>
        <v>14.98</v>
      </c>
      <c r="BP7" s="11">
        <f t="shared" si="26"/>
        <v>49.180000000000007</v>
      </c>
      <c r="BQ7" s="11" t="str">
        <f t="shared" si="27"/>
        <v/>
      </c>
      <c r="BR7" s="11" t="str">
        <f t="shared" si="28"/>
        <v/>
      </c>
      <c r="BS7" s="11" t="str">
        <f t="shared" si="29"/>
        <v/>
      </c>
      <c r="BT7" s="11">
        <f t="shared" si="30"/>
        <v>49.180000000000007</v>
      </c>
      <c r="BU7" s="11">
        <f t="shared" si="31"/>
        <v>12</v>
      </c>
      <c r="BV7" s="11">
        <f t="shared" si="32"/>
        <v>14.13</v>
      </c>
      <c r="BW7" s="11">
        <f t="shared" si="33"/>
        <v>47.63</v>
      </c>
      <c r="BX7" s="11">
        <f t="shared" si="34"/>
        <v>96.81</v>
      </c>
      <c r="BY7" s="22">
        <v>14.8</v>
      </c>
      <c r="BZ7" s="22">
        <v>9</v>
      </c>
      <c r="CA7" s="22">
        <v>11.3</v>
      </c>
      <c r="CB7" s="22">
        <v>13.99</v>
      </c>
      <c r="CC7" s="22">
        <v>0</v>
      </c>
      <c r="CD7" s="22">
        <v>14.7</v>
      </c>
      <c r="CE7" s="22">
        <v>9.6</v>
      </c>
      <c r="CF7" s="22">
        <v>11.1</v>
      </c>
      <c r="CG7" s="22">
        <v>13.91</v>
      </c>
      <c r="CH7" s="22">
        <v>0</v>
      </c>
      <c r="CI7" s="22">
        <v>14.3</v>
      </c>
      <c r="CJ7" s="22">
        <v>9.1</v>
      </c>
      <c r="CK7" s="22">
        <v>12.4</v>
      </c>
      <c r="CL7" s="22">
        <v>14.75</v>
      </c>
      <c r="CM7" s="22">
        <v>0</v>
      </c>
      <c r="CN7" s="27"/>
      <c r="CO7" s="38">
        <f t="shared" si="35"/>
        <v>11.3</v>
      </c>
      <c r="CP7" s="38">
        <f t="shared" si="36"/>
        <v>13.99</v>
      </c>
      <c r="CQ7" s="40">
        <f t="shared" si="37"/>
        <v>49.09</v>
      </c>
      <c r="CR7" s="40">
        <f t="shared" si="38"/>
        <v>11.1</v>
      </c>
      <c r="CS7" s="40">
        <f t="shared" si="39"/>
        <v>13.91</v>
      </c>
      <c r="CT7" s="40">
        <f t="shared" si="40"/>
        <v>49.31</v>
      </c>
      <c r="CU7" s="40">
        <f t="shared" si="41"/>
        <v>49.31</v>
      </c>
      <c r="CV7" s="40">
        <f t="shared" si="42"/>
        <v>12.4</v>
      </c>
      <c r="CW7" s="40">
        <f t="shared" si="43"/>
        <v>14.75</v>
      </c>
      <c r="CX7" s="40">
        <f t="shared" si="44"/>
        <v>50.55</v>
      </c>
      <c r="CY7" s="40">
        <f t="shared" si="45"/>
        <v>99.86</v>
      </c>
      <c r="CZ7" s="50" t="str">
        <f t="shared" si="46"/>
        <v/>
      </c>
      <c r="DA7" s="50" t="str">
        <f t="shared" si="47"/>
        <v/>
      </c>
      <c r="DB7" s="17"/>
      <c r="DC7" s="17"/>
      <c r="DD7" s="17"/>
      <c r="DE7" s="17"/>
      <c r="DF7" s="17"/>
      <c r="DG7" s="17"/>
      <c r="DH7" s="17"/>
      <c r="DI7" s="17"/>
      <c r="DJ7" s="17"/>
      <c r="DK7" s="17"/>
      <c r="DL7" s="17"/>
      <c r="DM7" s="17"/>
      <c r="DN7" s="17"/>
      <c r="DO7" s="17"/>
      <c r="DP7" s="17"/>
      <c r="DQ7" s="17"/>
      <c r="DR7" s="17"/>
      <c r="DS7" s="17"/>
      <c r="DT7" s="17"/>
      <c r="DU7" s="17"/>
      <c r="DV7" s="40" t="str">
        <f t="shared" si="48"/>
        <v/>
      </c>
      <c r="DW7" s="40" t="str">
        <f t="shared" si="49"/>
        <v/>
      </c>
      <c r="DX7" s="40" t="str">
        <f t="shared" si="50"/>
        <v/>
      </c>
      <c r="DY7" s="40" t="str">
        <f t="shared" si="51"/>
        <v/>
      </c>
      <c r="DZ7" s="40" t="str">
        <f t="shared" si="52"/>
        <v/>
      </c>
      <c r="EA7" s="40" t="str">
        <f t="shared" si="53"/>
        <v/>
      </c>
      <c r="EB7" s="40" t="str">
        <f t="shared" si="54"/>
        <v/>
      </c>
      <c r="EC7" s="40" t="str">
        <f t="shared" si="55"/>
        <v/>
      </c>
      <c r="ED7" s="40" t="str">
        <f t="shared" si="56"/>
        <v/>
      </c>
      <c r="EE7" s="40" t="str">
        <f t="shared" si="57"/>
        <v/>
      </c>
      <c r="EF7" s="40" t="str">
        <f t="shared" si="58"/>
        <v/>
      </c>
      <c r="EG7" s="40" t="str">
        <f t="shared" si="59"/>
        <v/>
      </c>
      <c r="EH7" s="40" t="str">
        <f t="shared" si="60"/>
        <v/>
      </c>
      <c r="EI7" s="40" t="str">
        <f t="shared" si="61"/>
        <v/>
      </c>
      <c r="EJ7" s="18"/>
      <c r="EK7" s="18"/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8"/>
      <c r="FA7" s="18"/>
      <c r="FB7" s="18"/>
      <c r="FC7" s="18"/>
      <c r="FD7" s="11" t="str">
        <f t="shared" si="62"/>
        <v/>
      </c>
      <c r="FE7" s="11" t="str">
        <f t="shared" si="63"/>
        <v/>
      </c>
      <c r="FF7" s="11" t="str">
        <f t="shared" si="64"/>
        <v/>
      </c>
      <c r="FG7" s="11" t="str">
        <f t="shared" si="65"/>
        <v/>
      </c>
      <c r="FH7" s="11" t="str">
        <f t="shared" si="66"/>
        <v/>
      </c>
      <c r="FI7" s="11" t="str">
        <f t="shared" si="67"/>
        <v/>
      </c>
      <c r="FJ7" s="11" t="str">
        <f t="shared" si="68"/>
        <v/>
      </c>
      <c r="FK7" s="11" t="str">
        <f t="shared" si="69"/>
        <v/>
      </c>
      <c r="FL7" s="11" t="str">
        <f t="shared" si="70"/>
        <v/>
      </c>
      <c r="FM7" s="11" t="str">
        <f t="shared" si="71"/>
        <v/>
      </c>
      <c r="FN7" s="11" t="str">
        <f t="shared" si="72"/>
        <v/>
      </c>
      <c r="FO7" s="11" t="str">
        <f t="shared" si="73"/>
        <v/>
      </c>
      <c r="FP7" s="11" t="str">
        <f t="shared" si="74"/>
        <v/>
      </c>
      <c r="FQ7" s="11" t="str">
        <f t="shared" si="75"/>
        <v/>
      </c>
      <c r="FR7" s="17"/>
      <c r="FS7" s="17"/>
      <c r="FT7" s="17"/>
      <c r="FU7" s="17"/>
      <c r="FV7" s="17"/>
      <c r="FW7" s="17">
        <v>12.1</v>
      </c>
      <c r="FX7" s="17">
        <v>9.1</v>
      </c>
      <c r="FY7" s="17">
        <v>11.3</v>
      </c>
      <c r="FZ7" s="17">
        <v>13.48</v>
      </c>
      <c r="GA7" s="17">
        <v>0</v>
      </c>
      <c r="GB7" s="17"/>
      <c r="GC7" s="17"/>
      <c r="GD7" s="17"/>
      <c r="GE7" s="17"/>
      <c r="GF7" s="17"/>
      <c r="GG7" s="17"/>
      <c r="GH7" s="17"/>
      <c r="GI7" s="17"/>
      <c r="GJ7" s="17"/>
      <c r="GK7" s="17"/>
      <c r="GL7" s="40" t="str">
        <f t="shared" si="76"/>
        <v/>
      </c>
      <c r="GM7" s="40" t="str">
        <f t="shared" si="77"/>
        <v/>
      </c>
      <c r="GN7" s="40" t="str">
        <f t="shared" si="78"/>
        <v/>
      </c>
      <c r="GO7" s="40">
        <f t="shared" si="79"/>
        <v>11.3</v>
      </c>
      <c r="GP7" s="40">
        <f t="shared" si="80"/>
        <v>13.48</v>
      </c>
      <c r="GQ7" s="40">
        <f t="shared" si="81"/>
        <v>45.980000000000004</v>
      </c>
      <c r="GR7" s="40">
        <f t="shared" si="82"/>
        <v>45.980000000000004</v>
      </c>
      <c r="GS7" s="40" t="str">
        <f t="shared" si="83"/>
        <v/>
      </c>
      <c r="GT7" s="40" t="str">
        <f t="shared" si="84"/>
        <v/>
      </c>
      <c r="GU7" s="40" t="str">
        <f t="shared" si="85"/>
        <v/>
      </c>
      <c r="GV7" s="40" t="str">
        <f t="shared" si="86"/>
        <v/>
      </c>
      <c r="GW7" s="40" t="str">
        <f t="shared" si="87"/>
        <v/>
      </c>
      <c r="GX7" s="40" t="str">
        <f t="shared" si="88"/>
        <v/>
      </c>
      <c r="GY7" s="40">
        <f t="shared" si="89"/>
        <v>45.980000000000004</v>
      </c>
      <c r="GZ7" s="18"/>
      <c r="HA7" s="18"/>
      <c r="HB7" s="18"/>
      <c r="HC7" s="18"/>
      <c r="HD7" s="18"/>
      <c r="HE7" s="18"/>
      <c r="HF7" s="18"/>
      <c r="HG7" s="18"/>
      <c r="HH7" s="18"/>
      <c r="HI7" s="18"/>
      <c r="HJ7" s="18"/>
      <c r="HK7" s="18"/>
      <c r="HL7" s="18"/>
      <c r="HM7" s="18"/>
      <c r="HN7" s="18"/>
      <c r="HO7" s="18"/>
      <c r="HP7" s="18"/>
      <c r="HQ7" s="18"/>
      <c r="HR7" s="18"/>
      <c r="HS7" s="18"/>
      <c r="HT7" s="11" t="str">
        <f t="shared" si="90"/>
        <v/>
      </c>
      <c r="HU7" s="11" t="str">
        <f t="shared" si="91"/>
        <v/>
      </c>
      <c r="HV7" s="11" t="str">
        <f t="shared" si="92"/>
        <v/>
      </c>
      <c r="HW7" s="11" t="str">
        <f t="shared" si="93"/>
        <v/>
      </c>
      <c r="HX7" s="11" t="str">
        <f t="shared" si="94"/>
        <v/>
      </c>
      <c r="HY7" s="11" t="str">
        <f t="shared" si="95"/>
        <v/>
      </c>
      <c r="HZ7" s="11" t="str">
        <f t="shared" si="96"/>
        <v/>
      </c>
      <c r="IA7" s="11" t="str">
        <f t="shared" si="97"/>
        <v/>
      </c>
      <c r="IB7" s="11" t="str">
        <f t="shared" si="98"/>
        <v/>
      </c>
      <c r="IC7" s="11" t="str">
        <f t="shared" si="99"/>
        <v/>
      </c>
      <c r="ID7" s="11" t="str">
        <f t="shared" si="100"/>
        <v/>
      </c>
      <c r="IE7" s="11" t="str">
        <f t="shared" si="101"/>
        <v/>
      </c>
      <c r="IF7" s="11" t="str">
        <f t="shared" si="102"/>
        <v/>
      </c>
      <c r="IG7" s="11" t="str">
        <f t="shared" si="103"/>
        <v/>
      </c>
      <c r="IH7" s="17"/>
      <c r="II7" s="17"/>
      <c r="IJ7" s="17"/>
      <c r="IK7" s="17"/>
      <c r="IL7" s="17"/>
      <c r="IM7" s="17"/>
      <c r="IN7" s="17"/>
      <c r="IO7" s="17"/>
      <c r="IP7" s="17"/>
      <c r="IQ7" s="17"/>
      <c r="IR7" s="17"/>
      <c r="IS7" s="17"/>
      <c r="IT7" s="17"/>
      <c r="IU7" s="17"/>
      <c r="IV7" s="17"/>
      <c r="IW7" s="17"/>
      <c r="IX7" s="17"/>
      <c r="IY7" s="17"/>
      <c r="IZ7" s="17"/>
      <c r="JA7" s="17"/>
      <c r="JB7" s="40" t="str">
        <f t="shared" si="104"/>
        <v/>
      </c>
      <c r="JC7" s="40" t="str">
        <f t="shared" si="105"/>
        <v/>
      </c>
      <c r="JD7" s="40" t="str">
        <f t="shared" si="106"/>
        <v/>
      </c>
      <c r="JE7" s="40" t="str">
        <f t="shared" si="107"/>
        <v/>
      </c>
      <c r="JF7" s="40" t="str">
        <f t="shared" si="108"/>
        <v/>
      </c>
      <c r="JG7" s="40" t="str">
        <f t="shared" si="109"/>
        <v/>
      </c>
      <c r="JH7" s="40" t="str">
        <f t="shared" si="110"/>
        <v/>
      </c>
      <c r="JI7" s="40" t="str">
        <f t="shared" si="111"/>
        <v/>
      </c>
      <c r="JJ7" s="40" t="str">
        <f t="shared" si="112"/>
        <v/>
      </c>
      <c r="JK7" s="40" t="str">
        <f t="shared" si="113"/>
        <v/>
      </c>
      <c r="JL7" s="40" t="str">
        <f t="shared" si="114"/>
        <v/>
      </c>
      <c r="JM7" s="40" t="str">
        <f t="shared" si="115"/>
        <v/>
      </c>
      <c r="JN7" s="40" t="str">
        <f t="shared" si="116"/>
        <v/>
      </c>
      <c r="JO7" s="40" t="str">
        <f t="shared" si="117"/>
        <v/>
      </c>
      <c r="JP7" s="18"/>
      <c r="JQ7" s="18"/>
      <c r="JR7" s="18"/>
      <c r="JS7" s="18"/>
      <c r="JT7" s="18"/>
      <c r="JU7" s="18"/>
      <c r="JV7" s="18"/>
      <c r="JW7" s="18"/>
      <c r="JX7" s="18"/>
      <c r="JY7" s="18"/>
      <c r="JZ7" s="18"/>
      <c r="KA7" s="18"/>
      <c r="KB7" s="18"/>
      <c r="KC7" s="18"/>
      <c r="KD7" s="18"/>
      <c r="KE7" s="18"/>
      <c r="KF7" s="18"/>
      <c r="KG7" s="18"/>
      <c r="KH7" s="18"/>
      <c r="KI7" s="18"/>
      <c r="KJ7" s="11" t="str">
        <f t="shared" si="118"/>
        <v/>
      </c>
      <c r="KK7" s="11" t="str">
        <f t="shared" si="119"/>
        <v/>
      </c>
      <c r="KL7" s="11" t="str">
        <f t="shared" si="120"/>
        <v/>
      </c>
      <c r="KM7" s="11" t="str">
        <f t="shared" si="121"/>
        <v/>
      </c>
      <c r="KN7" s="11" t="str">
        <f t="shared" si="122"/>
        <v/>
      </c>
      <c r="KO7" s="11" t="str">
        <f t="shared" si="123"/>
        <v/>
      </c>
      <c r="KP7" s="11" t="str">
        <f t="shared" si="124"/>
        <v/>
      </c>
      <c r="KQ7" s="11" t="str">
        <f t="shared" si="125"/>
        <v/>
      </c>
      <c r="KR7" s="11" t="str">
        <f t="shared" si="126"/>
        <v/>
      </c>
      <c r="KS7" s="11" t="str">
        <f t="shared" si="127"/>
        <v/>
      </c>
      <c r="KT7" s="11" t="str">
        <f t="shared" si="128"/>
        <v/>
      </c>
      <c r="KU7" s="11" t="str">
        <f t="shared" si="129"/>
        <v/>
      </c>
      <c r="KV7" s="11" t="str">
        <f t="shared" si="130"/>
        <v/>
      </c>
      <c r="KW7" s="11" t="str">
        <f t="shared" si="131"/>
        <v/>
      </c>
      <c r="KX7" s="17"/>
      <c r="KY7" s="17"/>
      <c r="KZ7" s="17"/>
      <c r="LA7" s="17"/>
      <c r="LB7" s="17"/>
      <c r="LC7" s="17"/>
      <c r="LD7" s="17"/>
      <c r="LE7" s="17"/>
      <c r="LF7" s="17"/>
      <c r="LG7" s="17"/>
      <c r="LH7" s="17"/>
      <c r="LI7" s="17"/>
      <c r="LJ7" s="17"/>
      <c r="LK7" s="17"/>
      <c r="LL7" s="17"/>
      <c r="LM7" s="17"/>
      <c r="LN7" s="17"/>
      <c r="LO7" s="17"/>
      <c r="LP7" s="17"/>
      <c r="LQ7" s="17"/>
      <c r="LR7" s="40" t="str">
        <f t="shared" si="132"/>
        <v/>
      </c>
      <c r="LS7" s="40" t="str">
        <f t="shared" si="133"/>
        <v/>
      </c>
      <c r="LT7" s="40" t="str">
        <f t="shared" si="134"/>
        <v/>
      </c>
      <c r="LU7" s="40" t="str">
        <f t="shared" si="135"/>
        <v/>
      </c>
      <c r="LV7" s="40" t="str">
        <f t="shared" si="136"/>
        <v/>
      </c>
      <c r="LW7" s="40" t="str">
        <f t="shared" si="137"/>
        <v/>
      </c>
      <c r="LX7" s="40" t="str">
        <f t="shared" si="138"/>
        <v/>
      </c>
      <c r="LY7" s="40" t="str">
        <f t="shared" si="139"/>
        <v/>
      </c>
      <c r="LZ7" s="40" t="str">
        <f t="shared" si="140"/>
        <v/>
      </c>
      <c r="MA7" s="40" t="str">
        <f t="shared" si="141"/>
        <v/>
      </c>
      <c r="MB7" s="40" t="str">
        <f t="shared" si="142"/>
        <v/>
      </c>
      <c r="MC7" s="40" t="str">
        <f t="shared" si="143"/>
        <v/>
      </c>
      <c r="MD7" s="40" t="str">
        <f t="shared" si="144"/>
        <v/>
      </c>
      <c r="ME7" s="40" t="str">
        <f t="shared" si="145"/>
        <v/>
      </c>
      <c r="MF7" s="18"/>
      <c r="MG7" s="18"/>
      <c r="MH7" s="18"/>
      <c r="MI7" s="18"/>
      <c r="MJ7" s="18"/>
      <c r="MK7" s="18"/>
      <c r="ML7" s="18"/>
      <c r="MM7" s="18"/>
      <c r="MN7" s="18"/>
      <c r="MO7" s="18"/>
      <c r="MP7" s="18"/>
      <c r="MQ7" s="18"/>
      <c r="MR7" s="18"/>
      <c r="MS7" s="18"/>
      <c r="MT7" s="18"/>
      <c r="MU7" s="18"/>
      <c r="MV7" s="18"/>
      <c r="MW7" s="18"/>
      <c r="MX7" s="18"/>
      <c r="MY7" s="18"/>
      <c r="MZ7" s="11" t="str">
        <f t="shared" si="146"/>
        <v/>
      </c>
      <c r="NA7" s="11" t="str">
        <f t="shared" si="147"/>
        <v/>
      </c>
      <c r="NB7" s="11" t="str">
        <f t="shared" si="148"/>
        <v/>
      </c>
      <c r="NC7" s="11" t="str">
        <f t="shared" si="149"/>
        <v/>
      </c>
      <c r="ND7" s="11" t="str">
        <f t="shared" si="150"/>
        <v/>
      </c>
      <c r="NE7" s="11" t="str">
        <f t="shared" si="151"/>
        <v/>
      </c>
      <c r="NF7" s="11" t="str">
        <f t="shared" si="152"/>
        <v/>
      </c>
      <c r="NG7" s="11" t="str">
        <f t="shared" si="153"/>
        <v/>
      </c>
      <c r="NH7" s="11" t="str">
        <f t="shared" si="154"/>
        <v/>
      </c>
      <c r="NI7" s="11" t="str">
        <f t="shared" si="155"/>
        <v/>
      </c>
      <c r="NJ7" s="11" t="str">
        <f t="shared" si="156"/>
        <v/>
      </c>
      <c r="NK7" s="11" t="str">
        <f t="shared" si="157"/>
        <v/>
      </c>
      <c r="NL7" s="11" t="str">
        <f t="shared" si="158"/>
        <v/>
      </c>
      <c r="NM7" s="11" t="str">
        <f t="shared" si="159"/>
        <v/>
      </c>
      <c r="NN7" s="17"/>
      <c r="NO7" s="17"/>
      <c r="NP7" s="17"/>
      <c r="NQ7" s="17"/>
      <c r="NR7" s="17"/>
      <c r="NS7" s="17"/>
      <c r="NT7" s="17"/>
      <c r="NU7" s="17"/>
      <c r="NV7" s="17"/>
      <c r="NW7" s="17"/>
      <c r="NX7" s="17"/>
      <c r="NY7" s="17"/>
      <c r="NZ7" s="17"/>
      <c r="OA7" s="17"/>
      <c r="OB7" s="17"/>
      <c r="OC7" s="17"/>
      <c r="OD7" s="17"/>
      <c r="OE7" s="17"/>
      <c r="OF7" s="17"/>
      <c r="OG7" s="17"/>
      <c r="OH7" s="40" t="str">
        <f t="shared" si="160"/>
        <v/>
      </c>
      <c r="OI7" s="40" t="str">
        <f t="shared" si="161"/>
        <v/>
      </c>
      <c r="OJ7" s="40" t="str">
        <f t="shared" si="162"/>
        <v/>
      </c>
      <c r="OK7" s="40" t="str">
        <f t="shared" si="163"/>
        <v/>
      </c>
      <c r="OL7" s="40" t="str">
        <f t="shared" si="164"/>
        <v/>
      </c>
      <c r="OM7" s="40" t="str">
        <f t="shared" si="165"/>
        <v/>
      </c>
      <c r="ON7" s="40" t="str">
        <f t="shared" si="166"/>
        <v/>
      </c>
      <c r="OO7" s="40" t="str">
        <f t="shared" si="167"/>
        <v/>
      </c>
      <c r="OP7" s="40" t="str">
        <f t="shared" si="168"/>
        <v/>
      </c>
      <c r="OQ7" s="40" t="str">
        <f t="shared" si="169"/>
        <v/>
      </c>
      <c r="OR7" s="40" t="str">
        <f t="shared" si="170"/>
        <v/>
      </c>
      <c r="OS7" s="40" t="str">
        <f t="shared" si="171"/>
        <v/>
      </c>
      <c r="OT7" s="40" t="str">
        <f t="shared" si="172"/>
        <v/>
      </c>
      <c r="OU7" s="40" t="str">
        <f t="shared" si="173"/>
        <v/>
      </c>
      <c r="OV7" s="18"/>
      <c r="OW7" s="18"/>
      <c r="OX7" s="18"/>
      <c r="OY7" s="18"/>
      <c r="OZ7" s="18"/>
      <c r="PA7" s="18"/>
      <c r="PB7" s="18"/>
      <c r="PC7" s="18"/>
      <c r="PD7" s="18"/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1" t="str">
        <f t="shared" si="174"/>
        <v/>
      </c>
      <c r="PQ7" s="11" t="str">
        <f t="shared" si="175"/>
        <v/>
      </c>
      <c r="PR7" s="11" t="str">
        <f t="shared" si="176"/>
        <v/>
      </c>
      <c r="PS7" s="11" t="str">
        <f t="shared" si="177"/>
        <v/>
      </c>
      <c r="PT7" s="11" t="str">
        <f t="shared" si="178"/>
        <v/>
      </c>
      <c r="PU7" s="11" t="str">
        <f t="shared" si="179"/>
        <v/>
      </c>
      <c r="PV7" s="11" t="str">
        <f t="shared" si="180"/>
        <v/>
      </c>
      <c r="PW7" s="11" t="str">
        <f t="shared" si="181"/>
        <v/>
      </c>
      <c r="PX7" s="11" t="str">
        <f t="shared" si="182"/>
        <v/>
      </c>
      <c r="PY7" s="11" t="str">
        <f t="shared" si="183"/>
        <v/>
      </c>
      <c r="PZ7" s="11" t="str">
        <f t="shared" si="184"/>
        <v/>
      </c>
      <c r="QA7" s="11" t="str">
        <f t="shared" si="185"/>
        <v/>
      </c>
      <c r="QB7" s="11" t="str">
        <f t="shared" si="186"/>
        <v/>
      </c>
      <c r="QC7" s="11" t="str">
        <f t="shared" si="187"/>
        <v/>
      </c>
      <c r="QD7" s="17"/>
      <c r="QE7" s="17"/>
      <c r="QF7" s="17"/>
      <c r="QG7" s="17"/>
      <c r="QH7" s="17"/>
      <c r="QI7" s="17"/>
      <c r="QJ7" s="17"/>
      <c r="QK7" s="17"/>
      <c r="QL7" s="17"/>
      <c r="QM7" s="17"/>
      <c r="QN7" s="17"/>
      <c r="QO7" s="17"/>
      <c r="QP7" s="17"/>
      <c r="QQ7" s="17"/>
      <c r="QR7" s="17"/>
      <c r="QS7" s="17"/>
      <c r="QT7" s="17"/>
      <c r="QU7" s="17"/>
      <c r="QV7" s="17"/>
      <c r="QW7" s="17"/>
      <c r="QX7" s="40" t="str">
        <f t="shared" si="188"/>
        <v/>
      </c>
      <c r="QY7" s="40" t="str">
        <f t="shared" si="189"/>
        <v/>
      </c>
      <c r="QZ7" s="40" t="str">
        <f t="shared" si="190"/>
        <v/>
      </c>
      <c r="RA7" s="40" t="str">
        <f t="shared" si="191"/>
        <v/>
      </c>
      <c r="RB7" s="40" t="str">
        <f t="shared" si="192"/>
        <v/>
      </c>
      <c r="RC7" s="40" t="str">
        <f t="shared" si="193"/>
        <v/>
      </c>
      <c r="RD7" s="40" t="str">
        <f t="shared" si="194"/>
        <v/>
      </c>
      <c r="RE7" s="40" t="str">
        <f t="shared" si="195"/>
        <v/>
      </c>
      <c r="RF7" s="40" t="str">
        <f t="shared" si="196"/>
        <v/>
      </c>
      <c r="RG7" s="40" t="str">
        <f t="shared" si="197"/>
        <v/>
      </c>
      <c r="RH7" s="40" t="str">
        <f t="shared" si="198"/>
        <v/>
      </c>
      <c r="RI7" s="40" t="str">
        <f t="shared" si="199"/>
        <v/>
      </c>
      <c r="RJ7" s="40" t="str">
        <f t="shared" si="200"/>
        <v/>
      </c>
      <c r="RK7" s="40" t="str">
        <f t="shared" si="201"/>
        <v/>
      </c>
      <c r="RL7" s="18"/>
      <c r="RM7" s="18"/>
      <c r="RN7" s="18"/>
      <c r="RO7" s="18"/>
      <c r="RP7" s="18"/>
      <c r="RQ7" s="18"/>
      <c r="RR7" s="18"/>
      <c r="RS7" s="18"/>
      <c r="RT7" s="18"/>
      <c r="RU7" s="18"/>
      <c r="RV7" s="18"/>
      <c r="RW7" s="18"/>
      <c r="RX7" s="18"/>
      <c r="RY7" s="18"/>
      <c r="RZ7" s="18"/>
      <c r="SA7" s="18"/>
      <c r="SB7" s="18"/>
      <c r="SC7" s="18"/>
      <c r="SD7" s="18"/>
      <c r="SE7" s="18"/>
      <c r="SF7" s="11" t="str">
        <f t="shared" si="202"/>
        <v/>
      </c>
      <c r="SG7" s="11" t="str">
        <f t="shared" si="203"/>
        <v/>
      </c>
      <c r="SH7" s="11" t="str">
        <f t="shared" si="204"/>
        <v/>
      </c>
      <c r="SI7" s="11" t="str">
        <f t="shared" si="205"/>
        <v/>
      </c>
      <c r="SJ7" s="11" t="str">
        <f t="shared" si="206"/>
        <v/>
      </c>
      <c r="SK7" s="11" t="str">
        <f t="shared" si="207"/>
        <v/>
      </c>
      <c r="SL7" s="11" t="str">
        <f t="shared" si="208"/>
        <v/>
      </c>
      <c r="SM7" s="11" t="str">
        <f t="shared" si="209"/>
        <v/>
      </c>
      <c r="SN7" s="11" t="str">
        <f t="shared" si="210"/>
        <v/>
      </c>
      <c r="SO7" s="11" t="str">
        <f t="shared" si="211"/>
        <v/>
      </c>
      <c r="SP7" s="11" t="str">
        <f t="shared" si="212"/>
        <v/>
      </c>
      <c r="SQ7" s="11" t="str">
        <f t="shared" si="213"/>
        <v/>
      </c>
      <c r="SR7" s="11" t="str">
        <f t="shared" si="214"/>
        <v/>
      </c>
      <c r="SS7" s="11" t="str">
        <f t="shared" si="215"/>
        <v/>
      </c>
      <c r="ST7" s="22">
        <f t="shared" si="216"/>
        <v>13.95</v>
      </c>
      <c r="SU7" s="22">
        <f t="shared" si="217"/>
        <v>8.9499999999999993</v>
      </c>
      <c r="SV7" s="22">
        <f t="shared" si="218"/>
        <v>11.75</v>
      </c>
      <c r="SW7" s="22">
        <f t="shared" si="219"/>
        <v>14.484999999999999</v>
      </c>
      <c r="SX7" s="22">
        <f t="shared" si="220"/>
        <v>0</v>
      </c>
      <c r="SY7" s="22">
        <f t="shared" si="221"/>
        <v>7.35</v>
      </c>
      <c r="SZ7" s="22">
        <f t="shared" si="222"/>
        <v>4.8</v>
      </c>
      <c r="TA7" s="22">
        <f t="shared" si="223"/>
        <v>5.55</v>
      </c>
      <c r="TB7" s="22">
        <f t="shared" si="224"/>
        <v>6.9550000000000001</v>
      </c>
      <c r="TC7" s="22">
        <f t="shared" si="225"/>
        <v>0</v>
      </c>
      <c r="TD7" s="22">
        <f t="shared" si="226"/>
        <v>13.5</v>
      </c>
      <c r="TE7" s="22">
        <f t="shared" si="227"/>
        <v>8.9499999999999993</v>
      </c>
      <c r="TF7" s="22">
        <f t="shared" si="228"/>
        <v>12.2</v>
      </c>
      <c r="TG7" s="22">
        <f t="shared" si="229"/>
        <v>14.440000000000001</v>
      </c>
      <c r="TH7" s="22">
        <f t="shared" si="230"/>
        <v>0</v>
      </c>
      <c r="TI7" s="27" t="s">
        <v>46</v>
      </c>
      <c r="TJ7" s="40">
        <f t="shared" si="231"/>
        <v>11.75</v>
      </c>
      <c r="TK7" s="40">
        <f t="shared" si="232"/>
        <v>14.484999999999999</v>
      </c>
      <c r="TL7" s="40">
        <f t="shared" si="233"/>
        <v>49.134999999999998</v>
      </c>
      <c r="TM7" s="40">
        <f t="shared" si="234"/>
        <v>5.55</v>
      </c>
      <c r="TN7" s="40">
        <f t="shared" si="235"/>
        <v>6.9550000000000001</v>
      </c>
      <c r="TO7" s="40">
        <f t="shared" si="236"/>
        <v>24.655000000000001</v>
      </c>
      <c r="TP7" s="40">
        <f t="shared" si="237"/>
        <v>49.134999999999998</v>
      </c>
      <c r="TQ7" s="40">
        <f t="shared" si="238"/>
        <v>12.2</v>
      </c>
      <c r="TR7" s="40">
        <f t="shared" si="239"/>
        <v>14.440000000000001</v>
      </c>
      <c r="TS7" s="40">
        <f t="shared" si="240"/>
        <v>49.09</v>
      </c>
      <c r="TT7" s="40">
        <f t="shared" si="241"/>
        <v>98.224999999999994</v>
      </c>
    </row>
    <row r="8" spans="1:540" x14ac:dyDescent="0.2">
      <c r="A8" s="4" cm="1">
        <f t="array" ref="A8">IF(AND(F8&lt;&gt;"",G8&lt;&gt;""),SUMPRODUCT((F$4:F$32&lt;&gt;"")*(G$4:G$32&lt;&gt;"")*(E$4:E$32&gt;E8))+1,IF(G8&lt;&gt;"",SUMPRODUCT((H$4:H$32="No DD")*(E$4:E$32&gt;E8))+1+SUMPRODUCT((F$4:F$32&lt;&gt;"")*(G$4:G$32&lt;&gt;"")),""))</f>
        <v>5</v>
      </c>
      <c r="B8" s="5" t="s">
        <v>65</v>
      </c>
      <c r="C8" s="4" t="s">
        <v>3</v>
      </c>
      <c r="D8" s="4">
        <v>2002</v>
      </c>
      <c r="E8" s="9">
        <f t="shared" si="0"/>
        <v>168.42001684200486</v>
      </c>
      <c r="F8" s="3" t="str">
        <f t="shared" si="1"/>
        <v>P</v>
      </c>
      <c r="G8" s="3" t="str">
        <f t="shared" si="2"/>
        <v>P</v>
      </c>
      <c r="H8" s="36" t="str">
        <f t="shared" si="3"/>
        <v>National Team</v>
      </c>
      <c r="I8" s="3" t="str">
        <f t="shared" si="4"/>
        <v/>
      </c>
      <c r="J8" s="8">
        <f>IF(COUNT(AO8,AR8,BP8,BS8,CQ8,CT8)&gt;0,LARGE((AO8,AR8,BP8,BS8,CQ8,CT8),1),0)</f>
        <v>48.37</v>
      </c>
      <c r="K8" s="8" t="str">
        <f t="shared" si="5"/>
        <v>2022 Nationals</v>
      </c>
      <c r="L8" s="8">
        <f>IF(COUNT(AO8,AR8,BP8,BS8,CQ8,CT8)&gt;1,LARGE((AO8,AR8,BP8,BS8,CQ8,CT8),2),0)</f>
        <v>48.36</v>
      </c>
      <c r="M8" s="8" t="str">
        <f t="shared" si="6"/>
        <v>2022 3rd Domestic Trial</v>
      </c>
      <c r="N8" s="8">
        <f>IF(COUNT(AO8,AR8,BP8,BS8,CQ8,CT8)&gt;2,LARGE((AO8,AR8,BP8,BS8,CQ8,CT8),3),0)</f>
        <v>46.029999999999994</v>
      </c>
      <c r="O8" s="8" t="str">
        <f t="shared" si="242"/>
        <v>2022 Nationals</v>
      </c>
      <c r="P8" s="8">
        <f t="shared" si="7"/>
        <v>11.3</v>
      </c>
      <c r="Q8" s="8" t="str">
        <f t="shared" si="8"/>
        <v>2022 3rd Domestic Trial</v>
      </c>
      <c r="R8" s="8">
        <f t="shared" si="9"/>
        <v>14.36</v>
      </c>
      <c r="S8" s="8" t="str">
        <f t="shared" si="10"/>
        <v>2022 3rd Domestic Trial</v>
      </c>
      <c r="T8" s="8" t="str">
        <f t="shared" si="11"/>
        <v/>
      </c>
      <c r="U8" s="11" t="str">
        <f t="shared" si="12"/>
        <v/>
      </c>
      <c r="V8" s="8" t="str">
        <f>IF(T8="","",IF(T8=CZ8,IF(T8+IF(N8="",0,N8)=SL8,$RL$1,IF(T8+IF(N8="",0,N8)=RD8,$QD$1,IF(T8+IF(N8="",0,N8)=PV8,$OV$1,IF(T8+IF(N8="",0,N8)=ON8,$NN$1,IF(T8+IF(N8="",0,N8)=NF8,$MF$1,IF(T8+IF(N8="",0,N8)=LX8,$KX$1,IF(T8+IF(N8="",0,N8)=KP8,$JP$1,IF(T8+IF(N8="",0,N8)=JH8,$IH$1,IF(T8+IF(N8="",0,N8)=HZ8,$GZ$1,IF(T8+IF(N8="",0,N8)=GR8,$FR$1,IF(T8+IF(N8="",0,N8)=FJ8,$EJ$1,IF(T8+IF(N8="",0,N8)=EB8,$DB$1)))))))))))),IF(T8=DA8,IF(T8+IF(#REF!="",0,#REF!)=SR8,$RL$1,IF(T8+IF(#REF!="",0,#REF!)=RJ8,$QD$1,IF(T8+IF(#REF!="",0,#REF!)=QB8,$OV$1,IF(T8+IF(#REF!="",0,#REF!)=OT8,$NN$1,IF(T8+IF(#REF!="",0,#REF!)=NL8,$MF$1,IF(T8+IF(#REF!="",0,#REF!)=MD8,$KX$1,IF(T8+IF(#REF!="",0,#REF!)=KV8,$JP$1,IF(T8+IF(#REF!="",0,#REF!)=JN8,$IH$1,IF(T8+IF(#REF!="",0,#REF!)=IF8,$GZ$1,IF(T8+IF(#REF!="",0,#REF!)=GX8,$FR$1,IF(T8+IF(#REF!="",0,#REF!)=FP8,$EJ$1,IF(T8+IF(#REF!="",0,#REF!)=EH8,$DB$1,IF(T8+IF(#REF!="",0,#REF!)=SO8,$RL$1,IF(T8+IF(#REF!="",0,#REF!)=RG8,$QD$1,IF(T8+IF(#REF!="",0,#REF!)=PY8,$OV$1,IF(T8+IF(#REF!="",0,#REF!)=OQ8,$NN$1,IF(T8+IF(#REF!="",0,#REF!)=NI8,$MF$1,IF(T8+IF(#REF!="",0,#REF!)=MA8,$KX$1,IF(T8+IF(#REF!="",0,#REF!)=KS8,$JP$1,IF(T8+IF(#REF!="",0,#REF!)=JK8,$IH$1,IF(T8+IF(#REF!="",0,#REF!)=IC8,$GZ$1,IF(T8+IF(#REF!="",0,#REF!)=GU8,$FR$1,IF(T8+IF(#REF!="",0,#REF!)=FM8,$EJ$1,IF(T8+IF(#REF!="",0,#REF!)=EE8,$DB$1)))))))))))))))))))))))))))</f>
        <v/>
      </c>
      <c r="W8" s="22">
        <v>14.3</v>
      </c>
      <c r="X8" s="22">
        <v>8.9</v>
      </c>
      <c r="Y8" s="22">
        <v>11.3</v>
      </c>
      <c r="Z8" s="22">
        <v>13.87</v>
      </c>
      <c r="AA8" s="22">
        <v>0</v>
      </c>
      <c r="AB8" s="22">
        <v>13.3</v>
      </c>
      <c r="AC8" s="22">
        <v>9</v>
      </c>
      <c r="AD8" s="22">
        <v>10.6</v>
      </c>
      <c r="AE8" s="22">
        <v>13.73</v>
      </c>
      <c r="AF8" s="22">
        <v>0.6</v>
      </c>
      <c r="AG8" s="22"/>
      <c r="AH8" s="22"/>
      <c r="AI8" s="22"/>
      <c r="AJ8" s="22"/>
      <c r="AK8" s="22"/>
      <c r="AL8" s="27"/>
      <c r="AM8" s="38">
        <f t="shared" si="13"/>
        <v>11.3</v>
      </c>
      <c r="AN8" s="38">
        <f t="shared" si="14"/>
        <v>13.87</v>
      </c>
      <c r="AO8" s="40">
        <f t="shared" si="15"/>
        <v>48.37</v>
      </c>
      <c r="AP8" s="40">
        <f t="shared" si="16"/>
        <v>10.6</v>
      </c>
      <c r="AQ8" s="40">
        <f t="shared" si="17"/>
        <v>13.73</v>
      </c>
      <c r="AR8" s="40">
        <f t="shared" si="18"/>
        <v>46.029999999999994</v>
      </c>
      <c r="AS8" s="40">
        <f t="shared" si="19"/>
        <v>48.37</v>
      </c>
      <c r="AT8" s="40" t="str">
        <f t="shared" si="20"/>
        <v/>
      </c>
      <c r="AU8" s="40" t="str">
        <f t="shared" si="21"/>
        <v/>
      </c>
      <c r="AV8" s="40" t="str">
        <f t="shared" si="22"/>
        <v/>
      </c>
      <c r="AW8" s="40">
        <f t="shared" si="23"/>
        <v>48.37</v>
      </c>
      <c r="AX8" s="26">
        <v>13.7</v>
      </c>
      <c r="AY8" s="26">
        <v>9</v>
      </c>
      <c r="AZ8" s="26">
        <v>11.3</v>
      </c>
      <c r="BA8" s="26">
        <v>14.36</v>
      </c>
      <c r="BB8" s="26">
        <v>0</v>
      </c>
      <c r="BC8" s="26">
        <v>10.8</v>
      </c>
      <c r="BD8" s="26">
        <v>7.2</v>
      </c>
      <c r="BE8" s="26">
        <v>8.8000000000000007</v>
      </c>
      <c r="BF8" s="26">
        <v>11.63</v>
      </c>
      <c r="BG8" s="26">
        <v>0</v>
      </c>
      <c r="BH8" s="26">
        <v>3.9</v>
      </c>
      <c r="BI8" s="26">
        <v>2.8</v>
      </c>
      <c r="BJ8" s="26">
        <v>3.5</v>
      </c>
      <c r="BK8" s="26">
        <v>4.5999999999999996</v>
      </c>
      <c r="BL8" s="26">
        <v>0</v>
      </c>
      <c r="BM8" s="28"/>
      <c r="BN8" s="39">
        <f t="shared" si="24"/>
        <v>11.3</v>
      </c>
      <c r="BO8" s="39">
        <f t="shared" si="25"/>
        <v>14.36</v>
      </c>
      <c r="BP8" s="11">
        <f t="shared" si="26"/>
        <v>48.36</v>
      </c>
      <c r="BQ8" s="11">
        <f t="shared" si="27"/>
        <v>8.8000000000000007</v>
      </c>
      <c r="BR8" s="11">
        <f t="shared" si="28"/>
        <v>11.63</v>
      </c>
      <c r="BS8" s="11">
        <f t="shared" si="29"/>
        <v>38.43</v>
      </c>
      <c r="BT8" s="11">
        <f t="shared" si="30"/>
        <v>48.36</v>
      </c>
      <c r="BU8" s="11">
        <f t="shared" si="31"/>
        <v>3.5</v>
      </c>
      <c r="BV8" s="11">
        <f t="shared" si="32"/>
        <v>4.5999999999999996</v>
      </c>
      <c r="BW8" s="11">
        <f t="shared" si="33"/>
        <v>14.799999999999999</v>
      </c>
      <c r="BX8" s="11">
        <f t="shared" si="34"/>
        <v>63.16</v>
      </c>
      <c r="BY8" s="22">
        <v>14</v>
      </c>
      <c r="BZ8" s="22">
        <v>8.5</v>
      </c>
      <c r="CA8" s="22">
        <v>9.9</v>
      </c>
      <c r="CB8" s="22">
        <v>12.8</v>
      </c>
      <c r="CC8" s="22">
        <v>0</v>
      </c>
      <c r="CD8" s="22">
        <v>1.4</v>
      </c>
      <c r="CE8" s="22">
        <v>0.9</v>
      </c>
      <c r="CF8" s="22">
        <v>1.5</v>
      </c>
      <c r="CG8" s="22">
        <v>1.55</v>
      </c>
      <c r="CH8" s="22">
        <v>0</v>
      </c>
      <c r="CI8" s="22"/>
      <c r="CJ8" s="22"/>
      <c r="CK8" s="22"/>
      <c r="CL8" s="22"/>
      <c r="CM8" s="22"/>
      <c r="CN8" s="27"/>
      <c r="CO8" s="38">
        <f t="shared" si="35"/>
        <v>9.9</v>
      </c>
      <c r="CP8" s="38">
        <f t="shared" si="36"/>
        <v>12.8</v>
      </c>
      <c r="CQ8" s="40">
        <f t="shared" si="37"/>
        <v>45.2</v>
      </c>
      <c r="CR8" s="40">
        <f t="shared" si="38"/>
        <v>1.5</v>
      </c>
      <c r="CS8" s="40">
        <f t="shared" si="39"/>
        <v>1.55</v>
      </c>
      <c r="CT8" s="40">
        <f t="shared" si="40"/>
        <v>5.35</v>
      </c>
      <c r="CU8" s="40">
        <f t="shared" si="41"/>
        <v>45.2</v>
      </c>
      <c r="CV8" s="40" t="str">
        <f t="shared" si="42"/>
        <v/>
      </c>
      <c r="CW8" s="40" t="str">
        <f t="shared" si="43"/>
        <v/>
      </c>
      <c r="CX8" s="40" t="str">
        <f t="shared" si="44"/>
        <v/>
      </c>
      <c r="CY8" s="40">
        <f t="shared" si="45"/>
        <v>45.2</v>
      </c>
      <c r="CZ8" s="50" t="str">
        <f t="shared" si="46"/>
        <v/>
      </c>
      <c r="DA8" s="50" t="str">
        <f t="shared" si="47"/>
        <v/>
      </c>
      <c r="DB8" s="17"/>
      <c r="DC8" s="17"/>
      <c r="DD8" s="17"/>
      <c r="DE8" s="17"/>
      <c r="DF8" s="17"/>
      <c r="DG8" s="17"/>
      <c r="DH8" s="17"/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40" t="str">
        <f t="shared" si="48"/>
        <v/>
      </c>
      <c r="DW8" s="40" t="str">
        <f t="shared" si="49"/>
        <v/>
      </c>
      <c r="DX8" s="40" t="str">
        <f t="shared" si="50"/>
        <v/>
      </c>
      <c r="DY8" s="40" t="str">
        <f t="shared" si="51"/>
        <v/>
      </c>
      <c r="DZ8" s="40" t="str">
        <f t="shared" si="52"/>
        <v/>
      </c>
      <c r="EA8" s="40" t="str">
        <f t="shared" si="53"/>
        <v/>
      </c>
      <c r="EB8" s="40" t="str">
        <f t="shared" si="54"/>
        <v/>
      </c>
      <c r="EC8" s="40" t="str">
        <f t="shared" si="55"/>
        <v/>
      </c>
      <c r="ED8" s="40" t="str">
        <f t="shared" si="56"/>
        <v/>
      </c>
      <c r="EE8" s="40" t="str">
        <f t="shared" si="57"/>
        <v/>
      </c>
      <c r="EF8" s="40" t="str">
        <f t="shared" si="58"/>
        <v/>
      </c>
      <c r="EG8" s="40" t="str">
        <f t="shared" si="59"/>
        <v/>
      </c>
      <c r="EH8" s="40" t="str">
        <f t="shared" si="60"/>
        <v/>
      </c>
      <c r="EI8" s="40" t="str">
        <f t="shared" si="61"/>
        <v/>
      </c>
      <c r="EJ8" s="18"/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8"/>
      <c r="FA8" s="18"/>
      <c r="FB8" s="18"/>
      <c r="FC8" s="18"/>
      <c r="FD8" s="11" t="str">
        <f t="shared" si="62"/>
        <v/>
      </c>
      <c r="FE8" s="11" t="str">
        <f t="shared" si="63"/>
        <v/>
      </c>
      <c r="FF8" s="11" t="str">
        <f t="shared" si="64"/>
        <v/>
      </c>
      <c r="FG8" s="11" t="str">
        <f t="shared" si="65"/>
        <v/>
      </c>
      <c r="FH8" s="11" t="str">
        <f t="shared" si="66"/>
        <v/>
      </c>
      <c r="FI8" s="11" t="str">
        <f t="shared" si="67"/>
        <v/>
      </c>
      <c r="FJ8" s="11" t="str">
        <f t="shared" si="68"/>
        <v/>
      </c>
      <c r="FK8" s="11" t="str">
        <f t="shared" si="69"/>
        <v/>
      </c>
      <c r="FL8" s="11" t="str">
        <f t="shared" si="70"/>
        <v/>
      </c>
      <c r="FM8" s="11" t="str">
        <f t="shared" si="71"/>
        <v/>
      </c>
      <c r="FN8" s="11" t="str">
        <f t="shared" si="72"/>
        <v/>
      </c>
      <c r="FO8" s="11" t="str">
        <f t="shared" si="73"/>
        <v/>
      </c>
      <c r="FP8" s="11" t="str">
        <f t="shared" si="74"/>
        <v/>
      </c>
      <c r="FQ8" s="11" t="str">
        <f t="shared" si="75"/>
        <v/>
      </c>
      <c r="FR8" s="17"/>
      <c r="FS8" s="17"/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17"/>
      <c r="GF8" s="17"/>
      <c r="GG8" s="17"/>
      <c r="GH8" s="17"/>
      <c r="GI8" s="17"/>
      <c r="GJ8" s="17"/>
      <c r="GK8" s="17"/>
      <c r="GL8" s="40" t="str">
        <f t="shared" si="76"/>
        <v/>
      </c>
      <c r="GM8" s="40" t="str">
        <f t="shared" si="77"/>
        <v/>
      </c>
      <c r="GN8" s="40" t="str">
        <f t="shared" si="78"/>
        <v/>
      </c>
      <c r="GO8" s="40" t="str">
        <f t="shared" si="79"/>
        <v/>
      </c>
      <c r="GP8" s="40" t="str">
        <f t="shared" si="80"/>
        <v/>
      </c>
      <c r="GQ8" s="40" t="str">
        <f t="shared" si="81"/>
        <v/>
      </c>
      <c r="GR8" s="40" t="str">
        <f t="shared" si="82"/>
        <v/>
      </c>
      <c r="GS8" s="40" t="str">
        <f t="shared" si="83"/>
        <v/>
      </c>
      <c r="GT8" s="40" t="str">
        <f t="shared" si="84"/>
        <v/>
      </c>
      <c r="GU8" s="40" t="str">
        <f t="shared" si="85"/>
        <v/>
      </c>
      <c r="GV8" s="40" t="str">
        <f t="shared" si="86"/>
        <v/>
      </c>
      <c r="GW8" s="40" t="str">
        <f t="shared" si="87"/>
        <v/>
      </c>
      <c r="GX8" s="40" t="str">
        <f t="shared" si="88"/>
        <v/>
      </c>
      <c r="GY8" s="40" t="str">
        <f t="shared" si="89"/>
        <v/>
      </c>
      <c r="GZ8" s="18"/>
      <c r="HA8" s="18"/>
      <c r="HB8" s="18"/>
      <c r="HC8" s="18"/>
      <c r="HD8" s="18"/>
      <c r="HE8" s="18"/>
      <c r="HF8" s="18"/>
      <c r="HG8" s="18"/>
      <c r="HH8" s="18"/>
      <c r="HI8" s="18"/>
      <c r="HJ8" s="18"/>
      <c r="HK8" s="18"/>
      <c r="HL8" s="18"/>
      <c r="HM8" s="18"/>
      <c r="HN8" s="18"/>
      <c r="HO8" s="18"/>
      <c r="HP8" s="18"/>
      <c r="HQ8" s="18"/>
      <c r="HR8" s="18"/>
      <c r="HS8" s="18"/>
      <c r="HT8" s="11" t="str">
        <f t="shared" si="90"/>
        <v/>
      </c>
      <c r="HU8" s="11" t="str">
        <f t="shared" si="91"/>
        <v/>
      </c>
      <c r="HV8" s="11" t="str">
        <f t="shared" si="92"/>
        <v/>
      </c>
      <c r="HW8" s="11" t="str">
        <f t="shared" si="93"/>
        <v/>
      </c>
      <c r="HX8" s="11" t="str">
        <f t="shared" si="94"/>
        <v/>
      </c>
      <c r="HY8" s="11" t="str">
        <f t="shared" si="95"/>
        <v/>
      </c>
      <c r="HZ8" s="11" t="str">
        <f t="shared" si="96"/>
        <v/>
      </c>
      <c r="IA8" s="11" t="str">
        <f t="shared" si="97"/>
        <v/>
      </c>
      <c r="IB8" s="11" t="str">
        <f t="shared" si="98"/>
        <v/>
      </c>
      <c r="IC8" s="11" t="str">
        <f t="shared" si="99"/>
        <v/>
      </c>
      <c r="ID8" s="11" t="str">
        <f t="shared" si="100"/>
        <v/>
      </c>
      <c r="IE8" s="11" t="str">
        <f t="shared" si="101"/>
        <v/>
      </c>
      <c r="IF8" s="11" t="str">
        <f t="shared" si="102"/>
        <v/>
      </c>
      <c r="IG8" s="11" t="str">
        <f t="shared" si="103"/>
        <v/>
      </c>
      <c r="IH8" s="17"/>
      <c r="II8" s="17"/>
      <c r="IJ8" s="17"/>
      <c r="IK8" s="17"/>
      <c r="IL8" s="17"/>
      <c r="IM8" s="17"/>
      <c r="IN8" s="17"/>
      <c r="IO8" s="17"/>
      <c r="IP8" s="17"/>
      <c r="IQ8" s="17"/>
      <c r="IR8" s="17"/>
      <c r="IS8" s="17"/>
      <c r="IT8" s="17"/>
      <c r="IU8" s="17"/>
      <c r="IV8" s="17"/>
      <c r="IW8" s="17"/>
      <c r="IX8" s="17"/>
      <c r="IY8" s="17"/>
      <c r="IZ8" s="17"/>
      <c r="JA8" s="17"/>
      <c r="JB8" s="40" t="str">
        <f t="shared" si="104"/>
        <v/>
      </c>
      <c r="JC8" s="40" t="str">
        <f t="shared" si="105"/>
        <v/>
      </c>
      <c r="JD8" s="40" t="str">
        <f t="shared" si="106"/>
        <v/>
      </c>
      <c r="JE8" s="40" t="str">
        <f t="shared" si="107"/>
        <v/>
      </c>
      <c r="JF8" s="40" t="str">
        <f t="shared" si="108"/>
        <v/>
      </c>
      <c r="JG8" s="40" t="str">
        <f t="shared" si="109"/>
        <v/>
      </c>
      <c r="JH8" s="40" t="str">
        <f t="shared" si="110"/>
        <v/>
      </c>
      <c r="JI8" s="40" t="str">
        <f t="shared" si="111"/>
        <v/>
      </c>
      <c r="JJ8" s="40" t="str">
        <f t="shared" si="112"/>
        <v/>
      </c>
      <c r="JK8" s="40" t="str">
        <f t="shared" si="113"/>
        <v/>
      </c>
      <c r="JL8" s="40" t="str">
        <f t="shared" si="114"/>
        <v/>
      </c>
      <c r="JM8" s="40" t="str">
        <f t="shared" si="115"/>
        <v/>
      </c>
      <c r="JN8" s="40" t="str">
        <f t="shared" si="116"/>
        <v/>
      </c>
      <c r="JO8" s="40" t="str">
        <f t="shared" si="117"/>
        <v/>
      </c>
      <c r="JP8" s="18"/>
      <c r="JQ8" s="18"/>
      <c r="JR8" s="18"/>
      <c r="JS8" s="18"/>
      <c r="JT8" s="18"/>
      <c r="JU8" s="18"/>
      <c r="JV8" s="18"/>
      <c r="JW8" s="18"/>
      <c r="JX8" s="18"/>
      <c r="JY8" s="18"/>
      <c r="JZ8" s="18"/>
      <c r="KA8" s="18"/>
      <c r="KB8" s="18"/>
      <c r="KC8" s="18"/>
      <c r="KD8" s="18"/>
      <c r="KE8" s="18"/>
      <c r="KF8" s="18"/>
      <c r="KG8" s="18"/>
      <c r="KH8" s="18"/>
      <c r="KI8" s="18"/>
      <c r="KJ8" s="11" t="str">
        <f t="shared" si="118"/>
        <v/>
      </c>
      <c r="KK8" s="11" t="str">
        <f t="shared" si="119"/>
        <v/>
      </c>
      <c r="KL8" s="11" t="str">
        <f t="shared" si="120"/>
        <v/>
      </c>
      <c r="KM8" s="11" t="str">
        <f t="shared" si="121"/>
        <v/>
      </c>
      <c r="KN8" s="11" t="str">
        <f t="shared" si="122"/>
        <v/>
      </c>
      <c r="KO8" s="11" t="str">
        <f t="shared" si="123"/>
        <v/>
      </c>
      <c r="KP8" s="11" t="str">
        <f t="shared" si="124"/>
        <v/>
      </c>
      <c r="KQ8" s="11" t="str">
        <f t="shared" si="125"/>
        <v/>
      </c>
      <c r="KR8" s="11" t="str">
        <f t="shared" si="126"/>
        <v/>
      </c>
      <c r="KS8" s="11" t="str">
        <f t="shared" si="127"/>
        <v/>
      </c>
      <c r="KT8" s="11" t="str">
        <f t="shared" si="128"/>
        <v/>
      </c>
      <c r="KU8" s="11" t="str">
        <f t="shared" si="129"/>
        <v/>
      </c>
      <c r="KV8" s="11" t="str">
        <f t="shared" si="130"/>
        <v/>
      </c>
      <c r="KW8" s="11" t="str">
        <f t="shared" si="131"/>
        <v/>
      </c>
      <c r="KX8" s="17"/>
      <c r="KY8" s="17"/>
      <c r="KZ8" s="17"/>
      <c r="LA8" s="17"/>
      <c r="LB8" s="17"/>
      <c r="LC8" s="17"/>
      <c r="LD8" s="17"/>
      <c r="LE8" s="17"/>
      <c r="LF8" s="17"/>
      <c r="LG8" s="17"/>
      <c r="LH8" s="17"/>
      <c r="LI8" s="17"/>
      <c r="LJ8" s="17"/>
      <c r="LK8" s="17"/>
      <c r="LL8" s="17"/>
      <c r="LM8" s="17"/>
      <c r="LN8" s="17"/>
      <c r="LO8" s="17"/>
      <c r="LP8" s="17"/>
      <c r="LQ8" s="17"/>
      <c r="LR8" s="40" t="str">
        <f t="shared" si="132"/>
        <v/>
      </c>
      <c r="LS8" s="40" t="str">
        <f t="shared" si="133"/>
        <v/>
      </c>
      <c r="LT8" s="40" t="str">
        <f t="shared" si="134"/>
        <v/>
      </c>
      <c r="LU8" s="40" t="str">
        <f t="shared" si="135"/>
        <v/>
      </c>
      <c r="LV8" s="40" t="str">
        <f t="shared" si="136"/>
        <v/>
      </c>
      <c r="LW8" s="40" t="str">
        <f t="shared" si="137"/>
        <v/>
      </c>
      <c r="LX8" s="40" t="str">
        <f t="shared" si="138"/>
        <v/>
      </c>
      <c r="LY8" s="40" t="str">
        <f t="shared" si="139"/>
        <v/>
      </c>
      <c r="LZ8" s="40" t="str">
        <f t="shared" si="140"/>
        <v/>
      </c>
      <c r="MA8" s="40" t="str">
        <f t="shared" si="141"/>
        <v/>
      </c>
      <c r="MB8" s="40" t="str">
        <f t="shared" si="142"/>
        <v/>
      </c>
      <c r="MC8" s="40" t="str">
        <f t="shared" si="143"/>
        <v/>
      </c>
      <c r="MD8" s="40" t="str">
        <f t="shared" si="144"/>
        <v/>
      </c>
      <c r="ME8" s="40" t="str">
        <f t="shared" si="145"/>
        <v/>
      </c>
      <c r="MF8" s="18"/>
      <c r="MG8" s="18"/>
      <c r="MH8" s="18"/>
      <c r="MI8" s="18"/>
      <c r="MJ8" s="18"/>
      <c r="MK8" s="18"/>
      <c r="ML8" s="18"/>
      <c r="MM8" s="18"/>
      <c r="MN8" s="18"/>
      <c r="MO8" s="18"/>
      <c r="MP8" s="18"/>
      <c r="MQ8" s="18"/>
      <c r="MR8" s="18"/>
      <c r="MS8" s="18"/>
      <c r="MT8" s="18"/>
      <c r="MU8" s="18"/>
      <c r="MV8" s="18"/>
      <c r="MW8" s="18"/>
      <c r="MX8" s="18"/>
      <c r="MY8" s="18"/>
      <c r="MZ8" s="11" t="str">
        <f t="shared" si="146"/>
        <v/>
      </c>
      <c r="NA8" s="11" t="str">
        <f t="shared" si="147"/>
        <v/>
      </c>
      <c r="NB8" s="11" t="str">
        <f t="shared" si="148"/>
        <v/>
      </c>
      <c r="NC8" s="11" t="str">
        <f t="shared" si="149"/>
        <v/>
      </c>
      <c r="ND8" s="11" t="str">
        <f t="shared" si="150"/>
        <v/>
      </c>
      <c r="NE8" s="11" t="str">
        <f t="shared" si="151"/>
        <v/>
      </c>
      <c r="NF8" s="11" t="str">
        <f t="shared" si="152"/>
        <v/>
      </c>
      <c r="NG8" s="11" t="str">
        <f t="shared" si="153"/>
        <v/>
      </c>
      <c r="NH8" s="11" t="str">
        <f t="shared" si="154"/>
        <v/>
      </c>
      <c r="NI8" s="11" t="str">
        <f t="shared" si="155"/>
        <v/>
      </c>
      <c r="NJ8" s="11" t="str">
        <f t="shared" si="156"/>
        <v/>
      </c>
      <c r="NK8" s="11" t="str">
        <f t="shared" si="157"/>
        <v/>
      </c>
      <c r="NL8" s="11" t="str">
        <f t="shared" si="158"/>
        <v/>
      </c>
      <c r="NM8" s="11" t="str">
        <f t="shared" si="159"/>
        <v/>
      </c>
      <c r="NN8" s="17"/>
      <c r="NO8" s="17"/>
      <c r="NP8" s="17"/>
      <c r="NQ8" s="17"/>
      <c r="NR8" s="17"/>
      <c r="NS8" s="17"/>
      <c r="NT8" s="17"/>
      <c r="NU8" s="17"/>
      <c r="NV8" s="17"/>
      <c r="NW8" s="17"/>
      <c r="NX8" s="17"/>
      <c r="NY8" s="17"/>
      <c r="NZ8" s="17"/>
      <c r="OA8" s="17"/>
      <c r="OB8" s="17"/>
      <c r="OC8" s="17"/>
      <c r="OD8" s="17"/>
      <c r="OE8" s="17"/>
      <c r="OF8" s="17"/>
      <c r="OG8" s="17"/>
      <c r="OH8" s="40" t="str">
        <f t="shared" si="160"/>
        <v/>
      </c>
      <c r="OI8" s="40" t="str">
        <f t="shared" si="161"/>
        <v/>
      </c>
      <c r="OJ8" s="40" t="str">
        <f t="shared" si="162"/>
        <v/>
      </c>
      <c r="OK8" s="40" t="str">
        <f t="shared" si="163"/>
        <v/>
      </c>
      <c r="OL8" s="40" t="str">
        <f t="shared" si="164"/>
        <v/>
      </c>
      <c r="OM8" s="40" t="str">
        <f t="shared" si="165"/>
        <v/>
      </c>
      <c r="ON8" s="40" t="str">
        <f t="shared" si="166"/>
        <v/>
      </c>
      <c r="OO8" s="40" t="str">
        <f t="shared" si="167"/>
        <v/>
      </c>
      <c r="OP8" s="40" t="str">
        <f t="shared" si="168"/>
        <v/>
      </c>
      <c r="OQ8" s="40" t="str">
        <f t="shared" si="169"/>
        <v/>
      </c>
      <c r="OR8" s="40" t="str">
        <f t="shared" si="170"/>
        <v/>
      </c>
      <c r="OS8" s="40" t="str">
        <f t="shared" si="171"/>
        <v/>
      </c>
      <c r="OT8" s="40" t="str">
        <f t="shared" si="172"/>
        <v/>
      </c>
      <c r="OU8" s="40" t="str">
        <f t="shared" si="173"/>
        <v/>
      </c>
      <c r="OV8" s="18"/>
      <c r="OW8" s="18"/>
      <c r="OX8" s="18"/>
      <c r="OY8" s="18"/>
      <c r="OZ8" s="18"/>
      <c r="PA8" s="18"/>
      <c r="PB8" s="18"/>
      <c r="PC8" s="18"/>
      <c r="PD8" s="18"/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1" t="str">
        <f t="shared" si="174"/>
        <v/>
      </c>
      <c r="PQ8" s="11" t="str">
        <f t="shared" si="175"/>
        <v/>
      </c>
      <c r="PR8" s="11" t="str">
        <f t="shared" si="176"/>
        <v/>
      </c>
      <c r="PS8" s="11" t="str">
        <f t="shared" si="177"/>
        <v/>
      </c>
      <c r="PT8" s="11" t="str">
        <f t="shared" si="178"/>
        <v/>
      </c>
      <c r="PU8" s="11" t="str">
        <f t="shared" si="179"/>
        <v/>
      </c>
      <c r="PV8" s="11" t="str">
        <f t="shared" si="180"/>
        <v/>
      </c>
      <c r="PW8" s="11" t="str">
        <f t="shared" si="181"/>
        <v/>
      </c>
      <c r="PX8" s="11" t="str">
        <f t="shared" si="182"/>
        <v/>
      </c>
      <c r="PY8" s="11" t="str">
        <f t="shared" si="183"/>
        <v/>
      </c>
      <c r="PZ8" s="11" t="str">
        <f t="shared" si="184"/>
        <v/>
      </c>
      <c r="QA8" s="11" t="str">
        <f t="shared" si="185"/>
        <v/>
      </c>
      <c r="QB8" s="11" t="str">
        <f t="shared" si="186"/>
        <v/>
      </c>
      <c r="QC8" s="11" t="str">
        <f t="shared" si="187"/>
        <v/>
      </c>
      <c r="QD8" s="17"/>
      <c r="QE8" s="17"/>
      <c r="QF8" s="17"/>
      <c r="QG8" s="17"/>
      <c r="QH8" s="17"/>
      <c r="QI8" s="17"/>
      <c r="QJ8" s="17"/>
      <c r="QK8" s="17"/>
      <c r="QL8" s="17"/>
      <c r="QM8" s="17"/>
      <c r="QN8" s="17"/>
      <c r="QO8" s="17"/>
      <c r="QP8" s="17"/>
      <c r="QQ8" s="17"/>
      <c r="QR8" s="17"/>
      <c r="QS8" s="17"/>
      <c r="QT8" s="17"/>
      <c r="QU8" s="17"/>
      <c r="QV8" s="17"/>
      <c r="QW8" s="17"/>
      <c r="QX8" s="40" t="str">
        <f t="shared" si="188"/>
        <v/>
      </c>
      <c r="QY8" s="40" t="str">
        <f t="shared" si="189"/>
        <v/>
      </c>
      <c r="QZ8" s="40" t="str">
        <f t="shared" si="190"/>
        <v/>
      </c>
      <c r="RA8" s="40" t="str">
        <f t="shared" si="191"/>
        <v/>
      </c>
      <c r="RB8" s="40" t="str">
        <f t="shared" si="192"/>
        <v/>
      </c>
      <c r="RC8" s="40" t="str">
        <f t="shared" si="193"/>
        <v/>
      </c>
      <c r="RD8" s="40" t="str">
        <f t="shared" si="194"/>
        <v/>
      </c>
      <c r="RE8" s="40" t="str">
        <f t="shared" si="195"/>
        <v/>
      </c>
      <c r="RF8" s="40" t="str">
        <f t="shared" si="196"/>
        <v/>
      </c>
      <c r="RG8" s="40" t="str">
        <f t="shared" si="197"/>
        <v/>
      </c>
      <c r="RH8" s="40" t="str">
        <f t="shared" si="198"/>
        <v/>
      </c>
      <c r="RI8" s="40" t="str">
        <f t="shared" si="199"/>
        <v/>
      </c>
      <c r="RJ8" s="40" t="str">
        <f t="shared" si="200"/>
        <v/>
      </c>
      <c r="RK8" s="40" t="str">
        <f t="shared" si="201"/>
        <v/>
      </c>
      <c r="RL8" s="18"/>
      <c r="RM8" s="18"/>
      <c r="RN8" s="18"/>
      <c r="RO8" s="18"/>
      <c r="RP8" s="18"/>
      <c r="RQ8" s="18"/>
      <c r="RR8" s="18"/>
      <c r="RS8" s="18"/>
      <c r="RT8" s="18"/>
      <c r="RU8" s="18"/>
      <c r="RV8" s="18"/>
      <c r="RW8" s="18"/>
      <c r="RX8" s="18"/>
      <c r="RY8" s="18"/>
      <c r="RZ8" s="18"/>
      <c r="SA8" s="18"/>
      <c r="SB8" s="18"/>
      <c r="SC8" s="18"/>
      <c r="SD8" s="18"/>
      <c r="SE8" s="18"/>
      <c r="SF8" s="11" t="str">
        <f t="shared" si="202"/>
        <v/>
      </c>
      <c r="SG8" s="11" t="str">
        <f t="shared" si="203"/>
        <v/>
      </c>
      <c r="SH8" s="11" t="str">
        <f t="shared" si="204"/>
        <v/>
      </c>
      <c r="SI8" s="11" t="str">
        <f t="shared" si="205"/>
        <v/>
      </c>
      <c r="SJ8" s="11" t="str">
        <f t="shared" si="206"/>
        <v/>
      </c>
      <c r="SK8" s="11" t="str">
        <f t="shared" si="207"/>
        <v/>
      </c>
      <c r="SL8" s="11" t="str">
        <f t="shared" si="208"/>
        <v/>
      </c>
      <c r="SM8" s="11" t="str">
        <f t="shared" si="209"/>
        <v/>
      </c>
      <c r="SN8" s="11" t="str">
        <f t="shared" si="210"/>
        <v/>
      </c>
      <c r="SO8" s="11" t="str">
        <f t="shared" si="211"/>
        <v/>
      </c>
      <c r="SP8" s="11" t="str">
        <f t="shared" si="212"/>
        <v/>
      </c>
      <c r="SQ8" s="11" t="str">
        <f t="shared" si="213"/>
        <v/>
      </c>
      <c r="SR8" s="11" t="str">
        <f t="shared" si="214"/>
        <v/>
      </c>
      <c r="SS8" s="11" t="str">
        <f t="shared" si="215"/>
        <v/>
      </c>
      <c r="ST8" s="22">
        <f t="shared" si="216"/>
        <v>13.85</v>
      </c>
      <c r="SU8" s="22">
        <f t="shared" si="217"/>
        <v>8.75</v>
      </c>
      <c r="SV8" s="22">
        <f t="shared" si="218"/>
        <v>10.600000000000001</v>
      </c>
      <c r="SW8" s="22">
        <f t="shared" si="219"/>
        <v>13.58</v>
      </c>
      <c r="SX8" s="22">
        <f t="shared" si="220"/>
        <v>0</v>
      </c>
      <c r="SY8" s="22">
        <f t="shared" si="221"/>
        <v>6.1000000000000005</v>
      </c>
      <c r="SZ8" s="22">
        <f t="shared" si="222"/>
        <v>4.05</v>
      </c>
      <c r="TA8" s="22">
        <f t="shared" si="223"/>
        <v>5.15</v>
      </c>
      <c r="TB8" s="22">
        <f t="shared" si="224"/>
        <v>6.5900000000000007</v>
      </c>
      <c r="TC8" s="22">
        <f t="shared" si="225"/>
        <v>0</v>
      </c>
      <c r="TD8" s="22">
        <f t="shared" si="226"/>
        <v>1.95</v>
      </c>
      <c r="TE8" s="22">
        <f t="shared" si="227"/>
        <v>1.4</v>
      </c>
      <c r="TF8" s="22">
        <f t="shared" si="228"/>
        <v>1.75</v>
      </c>
      <c r="TG8" s="22">
        <f t="shared" si="229"/>
        <v>2.2999999999999998</v>
      </c>
      <c r="TH8" s="22">
        <f t="shared" si="230"/>
        <v>0</v>
      </c>
      <c r="TI8" s="27" t="s">
        <v>46</v>
      </c>
      <c r="TJ8" s="40">
        <f t="shared" si="231"/>
        <v>10.600000000000001</v>
      </c>
      <c r="TK8" s="40">
        <f t="shared" si="232"/>
        <v>13.58</v>
      </c>
      <c r="TL8" s="40">
        <f t="shared" si="233"/>
        <v>46.78</v>
      </c>
      <c r="TM8" s="40">
        <f t="shared" si="234"/>
        <v>5.15</v>
      </c>
      <c r="TN8" s="40">
        <f t="shared" si="235"/>
        <v>6.5900000000000007</v>
      </c>
      <c r="TO8" s="40">
        <f t="shared" si="236"/>
        <v>21.89</v>
      </c>
      <c r="TP8" s="40">
        <f t="shared" si="237"/>
        <v>46.78</v>
      </c>
      <c r="TQ8" s="40">
        <f t="shared" si="238"/>
        <v>1.75</v>
      </c>
      <c r="TR8" s="40">
        <f t="shared" si="239"/>
        <v>2.2999999999999998</v>
      </c>
      <c r="TS8" s="40">
        <f t="shared" si="240"/>
        <v>7.3999999999999995</v>
      </c>
      <c r="TT8" s="40">
        <f t="shared" si="241"/>
        <v>54.18</v>
      </c>
    </row>
    <row r="9" spans="1:540" x14ac:dyDescent="0.2">
      <c r="A9" s="4" cm="1">
        <f t="array" ref="A9">IF(AND(F9&lt;&gt;"",G9&lt;&gt;""),SUMPRODUCT((F$4:F$32&lt;&gt;"")*(G$4:G$32&lt;&gt;"")*(E$4:E$32&gt;E9))+1,IF(G9&lt;&gt;"",SUMPRODUCT((H$4:H$32="No DD")*(E$4:E$32&gt;E9))+1+SUMPRODUCT((F$4:F$32&lt;&gt;"")*(G$4:G$32&lt;&gt;"")),""))</f>
        <v>6</v>
      </c>
      <c r="B9" s="5" t="s">
        <v>155</v>
      </c>
      <c r="C9" s="4" t="s">
        <v>4</v>
      </c>
      <c r="D9" s="4">
        <v>2004</v>
      </c>
      <c r="E9" s="9">
        <f t="shared" si="0"/>
        <v>96.080009608004886</v>
      </c>
      <c r="F9" s="3" t="str">
        <f t="shared" si="1"/>
        <v>P</v>
      </c>
      <c r="G9" s="3" t="str">
        <f t="shared" si="2"/>
        <v>P</v>
      </c>
      <c r="H9" s="36" t="str">
        <f t="shared" si="3"/>
        <v>National Team</v>
      </c>
      <c r="I9" s="3" t="str">
        <f t="shared" si="4"/>
        <v/>
      </c>
      <c r="J9" s="8">
        <f>IF(COUNT(AO9,AR9,BP9,BS9,CQ9,CT9)&gt;0,LARGE((AO9,AR9,BP9,BS9,CQ9,CT9),1),0)</f>
        <v>48.730000000000004</v>
      </c>
      <c r="K9" s="8" t="str">
        <f t="shared" si="5"/>
        <v>2022 Nationals</v>
      </c>
      <c r="L9" s="8">
        <f>IF(COUNT(AO9,AR9,BP9,BS9,CQ9,CT9)&gt;1,LARGE((AO9,AR9,BP9,BS9,CQ9,CT9),2),0)</f>
        <v>10.46</v>
      </c>
      <c r="M9" s="8" t="str">
        <f t="shared" si="6"/>
        <v>2022 3rd Domestic Trial</v>
      </c>
      <c r="N9" s="8">
        <f>IF(COUNT(AO9,AR9,BP9,BS9,CQ9,CT9)&gt;2,LARGE((AO9,AR9,BP9,BS9,CQ9,CT9),3),0)</f>
        <v>10.16</v>
      </c>
      <c r="O9" s="8" t="str">
        <f t="shared" si="242"/>
        <v>2022 3rd Domestic Trial</v>
      </c>
      <c r="P9" s="8">
        <f t="shared" si="7"/>
        <v>12.7</v>
      </c>
      <c r="Q9" s="8" t="str">
        <f t="shared" si="8"/>
        <v>2022 Nationals</v>
      </c>
      <c r="R9" s="8">
        <f t="shared" si="9"/>
        <v>14.03</v>
      </c>
      <c r="S9" s="8" t="str">
        <f t="shared" si="10"/>
        <v>2022 Nationals</v>
      </c>
      <c r="T9" s="8" t="str">
        <f t="shared" si="11"/>
        <v/>
      </c>
      <c r="U9" s="11" t="str">
        <f t="shared" si="12"/>
        <v/>
      </c>
      <c r="V9" s="8" t="str">
        <f>IF(T9="","",IF(T9=CZ9,IF(T9+IF(N9="",0,N9)=SL9,$RL$1,IF(T9+IF(N9="",0,N9)=RD9,$QD$1,IF(T9+IF(N9="",0,N9)=PV9,$OV$1,IF(T9+IF(N9="",0,N9)=ON9,$NN$1,IF(T9+IF(N9="",0,N9)=NF9,$MF$1,IF(T9+IF(N9="",0,N9)=LX9,$KX$1,IF(T9+IF(N9="",0,N9)=KP9,$JP$1,IF(T9+IF(N9="",0,N9)=JH9,$IH$1,IF(T9+IF(N9="",0,N9)=HZ9,$GZ$1,IF(T9+IF(N9="",0,N9)=GR9,$FR$1,IF(T9+IF(N9="",0,N9)=FJ9,$EJ$1,IF(T9+IF(N9="",0,N9)=EB9,$DB$1)))))))))))),IF(T9=DA9,IF(T9+IF(#REF!="",0,#REF!)=SR9,$RL$1,IF(T9+IF(#REF!="",0,#REF!)=RJ9,$QD$1,IF(T9+IF(#REF!="",0,#REF!)=QB9,$OV$1,IF(T9+IF(#REF!="",0,#REF!)=OT9,$NN$1,IF(T9+IF(#REF!="",0,#REF!)=NL9,$MF$1,IF(T9+IF(#REF!="",0,#REF!)=MD9,$KX$1,IF(T9+IF(#REF!="",0,#REF!)=KV9,$JP$1,IF(T9+IF(#REF!="",0,#REF!)=JN9,$IH$1,IF(T9+IF(#REF!="",0,#REF!)=IF9,$GZ$1,IF(T9+IF(#REF!="",0,#REF!)=GX9,$FR$1,IF(T9+IF(#REF!="",0,#REF!)=FP9,$EJ$1,IF(T9+IF(#REF!="",0,#REF!)=EH9,$DB$1,IF(T9+IF(#REF!="",0,#REF!)=SO9,$RL$1,IF(T9+IF(#REF!="",0,#REF!)=RG9,$QD$1,IF(T9+IF(#REF!="",0,#REF!)=PY9,$OV$1,IF(T9+IF(#REF!="",0,#REF!)=OQ9,$NN$1,IF(T9+IF(#REF!="",0,#REF!)=NI9,$MF$1,IF(T9+IF(#REF!="",0,#REF!)=MA9,$KX$1,IF(T9+IF(#REF!="",0,#REF!)=KS9,$JP$1,IF(T9+IF(#REF!="",0,#REF!)=JK9,$IH$1,IF(T9+IF(#REF!="",0,#REF!)=IC9,$GZ$1,IF(T9+IF(#REF!="",0,#REF!)=GU9,$FR$1,IF(T9+IF(#REF!="",0,#REF!)=FM9,$EJ$1,IF(T9+IF(#REF!="",0,#REF!)=EE9,$DB$1)))))))))))))))))))))))))))</f>
        <v/>
      </c>
      <c r="W9" s="22">
        <v>1.4</v>
      </c>
      <c r="X9" s="22">
        <v>1</v>
      </c>
      <c r="Y9" s="22">
        <v>1.5</v>
      </c>
      <c r="Z9" s="22">
        <v>1.58</v>
      </c>
      <c r="AA9" s="22">
        <v>0</v>
      </c>
      <c r="AB9" s="22">
        <v>13</v>
      </c>
      <c r="AC9" s="22">
        <v>9</v>
      </c>
      <c r="AD9" s="22">
        <v>12.7</v>
      </c>
      <c r="AE9" s="22">
        <v>14.03</v>
      </c>
      <c r="AF9" s="22">
        <v>0</v>
      </c>
      <c r="AG9" s="22">
        <v>11.7</v>
      </c>
      <c r="AH9" s="22">
        <v>8.1</v>
      </c>
      <c r="AI9" s="22">
        <v>11.3</v>
      </c>
      <c r="AJ9" s="22">
        <v>12.75</v>
      </c>
      <c r="AK9" s="22">
        <v>0</v>
      </c>
      <c r="AL9" s="27"/>
      <c r="AM9" s="38">
        <f t="shared" si="13"/>
        <v>1.5</v>
      </c>
      <c r="AN9" s="38">
        <f t="shared" si="14"/>
        <v>1.58</v>
      </c>
      <c r="AO9" s="40">
        <f t="shared" si="15"/>
        <v>5.48</v>
      </c>
      <c r="AP9" s="40">
        <f t="shared" si="16"/>
        <v>12.7</v>
      </c>
      <c r="AQ9" s="40">
        <f t="shared" si="17"/>
        <v>14.03</v>
      </c>
      <c r="AR9" s="40">
        <f t="shared" si="18"/>
        <v>48.730000000000004</v>
      </c>
      <c r="AS9" s="40">
        <f t="shared" si="19"/>
        <v>48.730000000000004</v>
      </c>
      <c r="AT9" s="40">
        <f t="shared" si="20"/>
        <v>11.3</v>
      </c>
      <c r="AU9" s="40">
        <f t="shared" si="21"/>
        <v>12.75</v>
      </c>
      <c r="AV9" s="40">
        <f t="shared" si="22"/>
        <v>43.849999999999994</v>
      </c>
      <c r="AW9" s="40">
        <f t="shared" si="23"/>
        <v>92.58</v>
      </c>
      <c r="AX9" s="26">
        <v>2.9</v>
      </c>
      <c r="AY9" s="26">
        <v>1.7</v>
      </c>
      <c r="AZ9" s="26">
        <v>2.7</v>
      </c>
      <c r="BA9" s="26">
        <v>3.16</v>
      </c>
      <c r="BB9" s="26">
        <v>0</v>
      </c>
      <c r="BC9" s="26">
        <v>2.6</v>
      </c>
      <c r="BD9" s="26">
        <v>1.8</v>
      </c>
      <c r="BE9" s="26">
        <v>2.7</v>
      </c>
      <c r="BF9" s="26">
        <v>3.06</v>
      </c>
      <c r="BG9" s="26">
        <v>0</v>
      </c>
      <c r="BH9" s="26">
        <v>0</v>
      </c>
      <c r="BI9" s="26">
        <v>0</v>
      </c>
      <c r="BJ9" s="26">
        <v>0</v>
      </c>
      <c r="BK9" s="26">
        <v>0</v>
      </c>
      <c r="BL9" s="26">
        <v>0</v>
      </c>
      <c r="BM9" s="28"/>
      <c r="BN9" s="39">
        <f t="shared" si="24"/>
        <v>2.7</v>
      </c>
      <c r="BO9" s="39">
        <f t="shared" si="25"/>
        <v>3.16</v>
      </c>
      <c r="BP9" s="11">
        <f t="shared" si="26"/>
        <v>10.46</v>
      </c>
      <c r="BQ9" s="11">
        <f t="shared" si="27"/>
        <v>2.7</v>
      </c>
      <c r="BR9" s="11">
        <f t="shared" si="28"/>
        <v>3.06</v>
      </c>
      <c r="BS9" s="11">
        <f t="shared" si="29"/>
        <v>10.16</v>
      </c>
      <c r="BT9" s="11">
        <f t="shared" si="30"/>
        <v>10.46</v>
      </c>
      <c r="BU9" s="11" t="str">
        <f t="shared" si="31"/>
        <v/>
      </c>
      <c r="BV9" s="11" t="str">
        <f t="shared" si="32"/>
        <v/>
      </c>
      <c r="BW9" s="11" t="str">
        <f t="shared" si="33"/>
        <v/>
      </c>
      <c r="BX9" s="11">
        <f t="shared" si="34"/>
        <v>10.46</v>
      </c>
      <c r="BY9" s="22"/>
      <c r="BZ9" s="22"/>
      <c r="CA9" s="22"/>
      <c r="CB9" s="22"/>
      <c r="CC9" s="22"/>
      <c r="CD9" s="22"/>
      <c r="CE9" s="22"/>
      <c r="CF9" s="22"/>
      <c r="CG9" s="22"/>
      <c r="CH9" s="22"/>
      <c r="CI9" s="22"/>
      <c r="CJ9" s="22"/>
      <c r="CK9" s="22"/>
      <c r="CL9" s="22"/>
      <c r="CM9" s="22"/>
      <c r="CN9" s="27"/>
      <c r="CO9" s="38" t="str">
        <f t="shared" si="35"/>
        <v/>
      </c>
      <c r="CP9" s="38" t="str">
        <f t="shared" si="36"/>
        <v/>
      </c>
      <c r="CQ9" s="40" t="str">
        <f t="shared" si="37"/>
        <v/>
      </c>
      <c r="CR9" s="40" t="str">
        <f t="shared" si="38"/>
        <v/>
      </c>
      <c r="CS9" s="40" t="str">
        <f t="shared" si="39"/>
        <v/>
      </c>
      <c r="CT9" s="40" t="str">
        <f t="shared" si="40"/>
        <v/>
      </c>
      <c r="CU9" s="40" t="str">
        <f t="shared" si="41"/>
        <v/>
      </c>
      <c r="CV9" s="40" t="str">
        <f t="shared" si="42"/>
        <v/>
      </c>
      <c r="CW9" s="40" t="str">
        <f t="shared" si="43"/>
        <v/>
      </c>
      <c r="CX9" s="40" t="str">
        <f t="shared" si="44"/>
        <v/>
      </c>
      <c r="CY9" s="40" t="str">
        <f t="shared" si="45"/>
        <v/>
      </c>
      <c r="CZ9" s="50" t="str">
        <f t="shared" si="46"/>
        <v/>
      </c>
      <c r="DA9" s="50" t="str">
        <f t="shared" si="47"/>
        <v/>
      </c>
      <c r="DB9" s="17"/>
      <c r="DC9" s="17"/>
      <c r="DD9" s="17"/>
      <c r="DE9" s="17"/>
      <c r="DF9" s="17"/>
      <c r="DG9" s="17"/>
      <c r="DH9" s="17"/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40" t="str">
        <f t="shared" si="48"/>
        <v/>
      </c>
      <c r="DW9" s="40" t="str">
        <f t="shared" si="49"/>
        <v/>
      </c>
      <c r="DX9" s="40" t="str">
        <f t="shared" si="50"/>
        <v/>
      </c>
      <c r="DY9" s="40" t="str">
        <f t="shared" si="51"/>
        <v/>
      </c>
      <c r="DZ9" s="40" t="str">
        <f t="shared" si="52"/>
        <v/>
      </c>
      <c r="EA9" s="40" t="str">
        <f t="shared" si="53"/>
        <v/>
      </c>
      <c r="EB9" s="40" t="str">
        <f t="shared" si="54"/>
        <v/>
      </c>
      <c r="EC9" s="40" t="str">
        <f t="shared" si="55"/>
        <v/>
      </c>
      <c r="ED9" s="40" t="str">
        <f t="shared" si="56"/>
        <v/>
      </c>
      <c r="EE9" s="40" t="str">
        <f t="shared" si="57"/>
        <v/>
      </c>
      <c r="EF9" s="40" t="str">
        <f t="shared" si="58"/>
        <v/>
      </c>
      <c r="EG9" s="40" t="str">
        <f t="shared" si="59"/>
        <v/>
      </c>
      <c r="EH9" s="40" t="str">
        <f t="shared" si="60"/>
        <v/>
      </c>
      <c r="EI9" s="40" t="str">
        <f t="shared" si="61"/>
        <v/>
      </c>
      <c r="EJ9" s="18"/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8"/>
      <c r="FC9" s="18"/>
      <c r="FD9" s="11" t="str">
        <f t="shared" si="62"/>
        <v/>
      </c>
      <c r="FE9" s="11" t="str">
        <f t="shared" si="63"/>
        <v/>
      </c>
      <c r="FF9" s="11" t="str">
        <f t="shared" si="64"/>
        <v/>
      </c>
      <c r="FG9" s="11" t="str">
        <f t="shared" si="65"/>
        <v/>
      </c>
      <c r="FH9" s="11" t="str">
        <f t="shared" si="66"/>
        <v/>
      </c>
      <c r="FI9" s="11" t="str">
        <f t="shared" si="67"/>
        <v/>
      </c>
      <c r="FJ9" s="11" t="str">
        <f t="shared" si="68"/>
        <v/>
      </c>
      <c r="FK9" s="11" t="str">
        <f t="shared" si="69"/>
        <v/>
      </c>
      <c r="FL9" s="11" t="str">
        <f t="shared" si="70"/>
        <v/>
      </c>
      <c r="FM9" s="11" t="str">
        <f t="shared" si="71"/>
        <v/>
      </c>
      <c r="FN9" s="11" t="str">
        <f t="shared" si="72"/>
        <v/>
      </c>
      <c r="FO9" s="11" t="str">
        <f t="shared" si="73"/>
        <v/>
      </c>
      <c r="FP9" s="11" t="str">
        <f t="shared" si="74"/>
        <v/>
      </c>
      <c r="FQ9" s="11" t="str">
        <f t="shared" si="75"/>
        <v/>
      </c>
      <c r="FR9" s="17"/>
      <c r="FS9" s="17"/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17"/>
      <c r="GF9" s="17"/>
      <c r="GG9" s="17"/>
      <c r="GH9" s="17"/>
      <c r="GI9" s="17"/>
      <c r="GJ9" s="17"/>
      <c r="GK9" s="17"/>
      <c r="GL9" s="40" t="str">
        <f t="shared" si="76"/>
        <v/>
      </c>
      <c r="GM9" s="40" t="str">
        <f t="shared" si="77"/>
        <v/>
      </c>
      <c r="GN9" s="40" t="str">
        <f t="shared" si="78"/>
        <v/>
      </c>
      <c r="GO9" s="40" t="str">
        <f t="shared" si="79"/>
        <v/>
      </c>
      <c r="GP9" s="40" t="str">
        <f t="shared" si="80"/>
        <v/>
      </c>
      <c r="GQ9" s="40" t="str">
        <f t="shared" si="81"/>
        <v/>
      </c>
      <c r="GR9" s="40" t="str">
        <f t="shared" si="82"/>
        <v/>
      </c>
      <c r="GS9" s="40" t="str">
        <f t="shared" si="83"/>
        <v/>
      </c>
      <c r="GT9" s="40" t="str">
        <f t="shared" si="84"/>
        <v/>
      </c>
      <c r="GU9" s="40" t="str">
        <f t="shared" si="85"/>
        <v/>
      </c>
      <c r="GV9" s="40" t="str">
        <f t="shared" si="86"/>
        <v/>
      </c>
      <c r="GW9" s="40" t="str">
        <f t="shared" si="87"/>
        <v/>
      </c>
      <c r="GX9" s="40" t="str">
        <f t="shared" si="88"/>
        <v/>
      </c>
      <c r="GY9" s="40" t="str">
        <f t="shared" si="89"/>
        <v/>
      </c>
      <c r="GZ9" s="18"/>
      <c r="HA9" s="18"/>
      <c r="HB9" s="18"/>
      <c r="HC9" s="18"/>
      <c r="HD9" s="18"/>
      <c r="HE9" s="18"/>
      <c r="HF9" s="18"/>
      <c r="HG9" s="18"/>
      <c r="HH9" s="18"/>
      <c r="HI9" s="18"/>
      <c r="HJ9" s="18"/>
      <c r="HK9" s="18"/>
      <c r="HL9" s="18"/>
      <c r="HM9" s="18"/>
      <c r="HN9" s="18"/>
      <c r="HO9" s="18"/>
      <c r="HP9" s="18"/>
      <c r="HQ9" s="18"/>
      <c r="HR9" s="18"/>
      <c r="HS9" s="18"/>
      <c r="HT9" s="11" t="str">
        <f t="shared" si="90"/>
        <v/>
      </c>
      <c r="HU9" s="11" t="str">
        <f t="shared" si="91"/>
        <v/>
      </c>
      <c r="HV9" s="11" t="str">
        <f t="shared" si="92"/>
        <v/>
      </c>
      <c r="HW9" s="11" t="str">
        <f t="shared" si="93"/>
        <v/>
      </c>
      <c r="HX9" s="11" t="str">
        <f t="shared" si="94"/>
        <v/>
      </c>
      <c r="HY9" s="11" t="str">
        <f t="shared" si="95"/>
        <v/>
      </c>
      <c r="HZ9" s="11" t="str">
        <f t="shared" si="96"/>
        <v/>
      </c>
      <c r="IA9" s="11" t="str">
        <f t="shared" si="97"/>
        <v/>
      </c>
      <c r="IB9" s="11" t="str">
        <f t="shared" si="98"/>
        <v/>
      </c>
      <c r="IC9" s="11" t="str">
        <f t="shared" si="99"/>
        <v/>
      </c>
      <c r="ID9" s="11" t="str">
        <f t="shared" si="100"/>
        <v/>
      </c>
      <c r="IE9" s="11" t="str">
        <f t="shared" si="101"/>
        <v/>
      </c>
      <c r="IF9" s="11" t="str">
        <f t="shared" si="102"/>
        <v/>
      </c>
      <c r="IG9" s="11" t="str">
        <f t="shared" si="103"/>
        <v/>
      </c>
      <c r="IH9" s="17"/>
      <c r="II9" s="17"/>
      <c r="IJ9" s="17"/>
      <c r="IK9" s="17"/>
      <c r="IL9" s="17"/>
      <c r="IM9" s="17"/>
      <c r="IN9" s="17"/>
      <c r="IO9" s="17"/>
      <c r="IP9" s="17"/>
      <c r="IQ9" s="17"/>
      <c r="IR9" s="17"/>
      <c r="IS9" s="17"/>
      <c r="IT9" s="17"/>
      <c r="IU9" s="17"/>
      <c r="IV9" s="17"/>
      <c r="IW9" s="17"/>
      <c r="IX9" s="17"/>
      <c r="IY9" s="17"/>
      <c r="IZ9" s="17"/>
      <c r="JA9" s="17"/>
      <c r="JB9" s="40" t="str">
        <f t="shared" si="104"/>
        <v/>
      </c>
      <c r="JC9" s="40" t="str">
        <f t="shared" si="105"/>
        <v/>
      </c>
      <c r="JD9" s="40" t="str">
        <f t="shared" si="106"/>
        <v/>
      </c>
      <c r="JE9" s="40" t="str">
        <f t="shared" si="107"/>
        <v/>
      </c>
      <c r="JF9" s="40" t="str">
        <f t="shared" si="108"/>
        <v/>
      </c>
      <c r="JG9" s="40" t="str">
        <f t="shared" si="109"/>
        <v/>
      </c>
      <c r="JH9" s="40" t="str">
        <f t="shared" si="110"/>
        <v/>
      </c>
      <c r="JI9" s="40" t="str">
        <f t="shared" si="111"/>
        <v/>
      </c>
      <c r="JJ9" s="40" t="str">
        <f t="shared" si="112"/>
        <v/>
      </c>
      <c r="JK9" s="40" t="str">
        <f t="shared" si="113"/>
        <v/>
      </c>
      <c r="JL9" s="40" t="str">
        <f t="shared" si="114"/>
        <v/>
      </c>
      <c r="JM9" s="40" t="str">
        <f t="shared" si="115"/>
        <v/>
      </c>
      <c r="JN9" s="40" t="str">
        <f t="shared" si="116"/>
        <v/>
      </c>
      <c r="JO9" s="40" t="str">
        <f t="shared" si="117"/>
        <v/>
      </c>
      <c r="JP9" s="18"/>
      <c r="JQ9" s="18"/>
      <c r="JR9" s="18"/>
      <c r="JS9" s="18"/>
      <c r="JT9" s="18"/>
      <c r="JU9" s="18"/>
      <c r="JV9" s="18"/>
      <c r="JW9" s="18"/>
      <c r="JX9" s="18"/>
      <c r="JY9" s="18"/>
      <c r="JZ9" s="18"/>
      <c r="KA9" s="18"/>
      <c r="KB9" s="18"/>
      <c r="KC9" s="18"/>
      <c r="KD9" s="18"/>
      <c r="KE9" s="18"/>
      <c r="KF9" s="18"/>
      <c r="KG9" s="18"/>
      <c r="KH9" s="18"/>
      <c r="KI9" s="18"/>
      <c r="KJ9" s="11" t="str">
        <f t="shared" si="118"/>
        <v/>
      </c>
      <c r="KK9" s="11" t="str">
        <f t="shared" si="119"/>
        <v/>
      </c>
      <c r="KL9" s="11" t="str">
        <f t="shared" si="120"/>
        <v/>
      </c>
      <c r="KM9" s="11" t="str">
        <f t="shared" si="121"/>
        <v/>
      </c>
      <c r="KN9" s="11" t="str">
        <f t="shared" si="122"/>
        <v/>
      </c>
      <c r="KO9" s="11" t="str">
        <f t="shared" si="123"/>
        <v/>
      </c>
      <c r="KP9" s="11" t="str">
        <f t="shared" si="124"/>
        <v/>
      </c>
      <c r="KQ9" s="11" t="str">
        <f t="shared" si="125"/>
        <v/>
      </c>
      <c r="KR9" s="11" t="str">
        <f t="shared" si="126"/>
        <v/>
      </c>
      <c r="KS9" s="11" t="str">
        <f t="shared" si="127"/>
        <v/>
      </c>
      <c r="KT9" s="11" t="str">
        <f t="shared" si="128"/>
        <v/>
      </c>
      <c r="KU9" s="11" t="str">
        <f t="shared" si="129"/>
        <v/>
      </c>
      <c r="KV9" s="11" t="str">
        <f t="shared" si="130"/>
        <v/>
      </c>
      <c r="KW9" s="11" t="str">
        <f t="shared" si="131"/>
        <v/>
      </c>
      <c r="KX9" s="17"/>
      <c r="KY9" s="17"/>
      <c r="KZ9" s="17"/>
      <c r="LA9" s="17"/>
      <c r="LB9" s="17"/>
      <c r="LC9" s="17"/>
      <c r="LD9" s="17"/>
      <c r="LE9" s="17"/>
      <c r="LF9" s="17"/>
      <c r="LG9" s="17"/>
      <c r="LH9" s="17"/>
      <c r="LI9" s="17"/>
      <c r="LJ9" s="17"/>
      <c r="LK9" s="17"/>
      <c r="LL9" s="17"/>
      <c r="LM9" s="17"/>
      <c r="LN9" s="17"/>
      <c r="LO9" s="17"/>
      <c r="LP9" s="17"/>
      <c r="LQ9" s="17"/>
      <c r="LR9" s="40" t="str">
        <f t="shared" si="132"/>
        <v/>
      </c>
      <c r="LS9" s="40" t="str">
        <f t="shared" si="133"/>
        <v/>
      </c>
      <c r="LT9" s="40" t="str">
        <f t="shared" si="134"/>
        <v/>
      </c>
      <c r="LU9" s="40" t="str">
        <f t="shared" si="135"/>
        <v/>
      </c>
      <c r="LV9" s="40" t="str">
        <f t="shared" si="136"/>
        <v/>
      </c>
      <c r="LW9" s="40" t="str">
        <f t="shared" si="137"/>
        <v/>
      </c>
      <c r="LX9" s="40" t="str">
        <f t="shared" si="138"/>
        <v/>
      </c>
      <c r="LY9" s="40" t="str">
        <f t="shared" si="139"/>
        <v/>
      </c>
      <c r="LZ9" s="40" t="str">
        <f t="shared" si="140"/>
        <v/>
      </c>
      <c r="MA9" s="40" t="str">
        <f t="shared" si="141"/>
        <v/>
      </c>
      <c r="MB9" s="40" t="str">
        <f t="shared" si="142"/>
        <v/>
      </c>
      <c r="MC9" s="40" t="str">
        <f t="shared" si="143"/>
        <v/>
      </c>
      <c r="MD9" s="40" t="str">
        <f t="shared" si="144"/>
        <v/>
      </c>
      <c r="ME9" s="40" t="str">
        <f t="shared" si="145"/>
        <v/>
      </c>
      <c r="MF9" s="18"/>
      <c r="MG9" s="18"/>
      <c r="MH9" s="18"/>
      <c r="MI9" s="18"/>
      <c r="MJ9" s="18"/>
      <c r="MK9" s="18"/>
      <c r="ML9" s="18"/>
      <c r="MM9" s="18"/>
      <c r="MN9" s="18"/>
      <c r="MO9" s="18"/>
      <c r="MP9" s="18"/>
      <c r="MQ9" s="18"/>
      <c r="MR9" s="18"/>
      <c r="MS9" s="18"/>
      <c r="MT9" s="18"/>
      <c r="MU9" s="18"/>
      <c r="MV9" s="18"/>
      <c r="MW9" s="18"/>
      <c r="MX9" s="18"/>
      <c r="MY9" s="18"/>
      <c r="MZ9" s="11" t="str">
        <f t="shared" si="146"/>
        <v/>
      </c>
      <c r="NA9" s="11" t="str">
        <f t="shared" si="147"/>
        <v/>
      </c>
      <c r="NB9" s="11" t="str">
        <f t="shared" si="148"/>
        <v/>
      </c>
      <c r="NC9" s="11" t="str">
        <f t="shared" si="149"/>
        <v/>
      </c>
      <c r="ND9" s="11" t="str">
        <f t="shared" si="150"/>
        <v/>
      </c>
      <c r="NE9" s="11" t="str">
        <f t="shared" si="151"/>
        <v/>
      </c>
      <c r="NF9" s="11" t="str">
        <f t="shared" si="152"/>
        <v/>
      </c>
      <c r="NG9" s="11" t="str">
        <f t="shared" si="153"/>
        <v/>
      </c>
      <c r="NH9" s="11" t="str">
        <f t="shared" si="154"/>
        <v/>
      </c>
      <c r="NI9" s="11" t="str">
        <f t="shared" si="155"/>
        <v/>
      </c>
      <c r="NJ9" s="11" t="str">
        <f t="shared" si="156"/>
        <v/>
      </c>
      <c r="NK9" s="11" t="str">
        <f t="shared" si="157"/>
        <v/>
      </c>
      <c r="NL9" s="11" t="str">
        <f t="shared" si="158"/>
        <v/>
      </c>
      <c r="NM9" s="11" t="str">
        <f t="shared" si="159"/>
        <v/>
      </c>
      <c r="NN9" s="17"/>
      <c r="NO9" s="17"/>
      <c r="NP9" s="17"/>
      <c r="NQ9" s="17"/>
      <c r="NR9" s="17"/>
      <c r="NS9" s="17"/>
      <c r="NT9" s="17"/>
      <c r="NU9" s="17"/>
      <c r="NV9" s="17"/>
      <c r="NW9" s="17"/>
      <c r="NX9" s="17"/>
      <c r="NY9" s="17"/>
      <c r="NZ9" s="17"/>
      <c r="OA9" s="17"/>
      <c r="OB9" s="17"/>
      <c r="OC9" s="17"/>
      <c r="OD9" s="17"/>
      <c r="OE9" s="17"/>
      <c r="OF9" s="17"/>
      <c r="OG9" s="17"/>
      <c r="OH9" s="40" t="str">
        <f t="shared" si="160"/>
        <v/>
      </c>
      <c r="OI9" s="40" t="str">
        <f t="shared" si="161"/>
        <v/>
      </c>
      <c r="OJ9" s="40" t="str">
        <f t="shared" si="162"/>
        <v/>
      </c>
      <c r="OK9" s="40" t="str">
        <f t="shared" si="163"/>
        <v/>
      </c>
      <c r="OL9" s="40" t="str">
        <f t="shared" si="164"/>
        <v/>
      </c>
      <c r="OM9" s="40" t="str">
        <f t="shared" si="165"/>
        <v/>
      </c>
      <c r="ON9" s="40" t="str">
        <f t="shared" si="166"/>
        <v/>
      </c>
      <c r="OO9" s="40" t="str">
        <f t="shared" si="167"/>
        <v/>
      </c>
      <c r="OP9" s="40" t="str">
        <f t="shared" si="168"/>
        <v/>
      </c>
      <c r="OQ9" s="40" t="str">
        <f t="shared" si="169"/>
        <v/>
      </c>
      <c r="OR9" s="40" t="str">
        <f t="shared" si="170"/>
        <v/>
      </c>
      <c r="OS9" s="40" t="str">
        <f t="shared" si="171"/>
        <v/>
      </c>
      <c r="OT9" s="40" t="str">
        <f t="shared" si="172"/>
        <v/>
      </c>
      <c r="OU9" s="40" t="str">
        <f t="shared" si="173"/>
        <v/>
      </c>
      <c r="OV9" s="18"/>
      <c r="OW9" s="18"/>
      <c r="OX9" s="18"/>
      <c r="OY9" s="18"/>
      <c r="OZ9" s="18"/>
      <c r="PA9" s="18"/>
      <c r="PB9" s="18"/>
      <c r="PC9" s="18"/>
      <c r="PD9" s="18"/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1" t="str">
        <f t="shared" si="174"/>
        <v/>
      </c>
      <c r="PQ9" s="11" t="str">
        <f t="shared" si="175"/>
        <v/>
      </c>
      <c r="PR9" s="11" t="str">
        <f t="shared" si="176"/>
        <v/>
      </c>
      <c r="PS9" s="11" t="str">
        <f t="shared" si="177"/>
        <v/>
      </c>
      <c r="PT9" s="11" t="str">
        <f t="shared" si="178"/>
        <v/>
      </c>
      <c r="PU9" s="11" t="str">
        <f t="shared" si="179"/>
        <v/>
      </c>
      <c r="PV9" s="11" t="str">
        <f t="shared" si="180"/>
        <v/>
      </c>
      <c r="PW9" s="11" t="str">
        <f t="shared" si="181"/>
        <v/>
      </c>
      <c r="PX9" s="11" t="str">
        <f t="shared" si="182"/>
        <v/>
      </c>
      <c r="PY9" s="11" t="str">
        <f t="shared" si="183"/>
        <v/>
      </c>
      <c r="PZ9" s="11" t="str">
        <f t="shared" si="184"/>
        <v/>
      </c>
      <c r="QA9" s="11" t="str">
        <f t="shared" si="185"/>
        <v/>
      </c>
      <c r="QB9" s="11" t="str">
        <f t="shared" si="186"/>
        <v/>
      </c>
      <c r="QC9" s="11" t="str">
        <f t="shared" si="187"/>
        <v/>
      </c>
      <c r="QD9" s="17"/>
      <c r="QE9" s="17"/>
      <c r="QF9" s="17"/>
      <c r="QG9" s="17"/>
      <c r="QH9" s="17"/>
      <c r="QI9" s="17"/>
      <c r="QJ9" s="17"/>
      <c r="QK9" s="17"/>
      <c r="QL9" s="17"/>
      <c r="QM9" s="17"/>
      <c r="QN9" s="17"/>
      <c r="QO9" s="17"/>
      <c r="QP9" s="17"/>
      <c r="QQ9" s="17"/>
      <c r="QR9" s="17"/>
      <c r="QS9" s="17"/>
      <c r="QT9" s="17"/>
      <c r="QU9" s="17"/>
      <c r="QV9" s="17"/>
      <c r="QW9" s="17"/>
      <c r="QX9" s="40" t="str">
        <f t="shared" si="188"/>
        <v/>
      </c>
      <c r="QY9" s="40" t="str">
        <f t="shared" si="189"/>
        <v/>
      </c>
      <c r="QZ9" s="40" t="str">
        <f t="shared" si="190"/>
        <v/>
      </c>
      <c r="RA9" s="40" t="str">
        <f t="shared" si="191"/>
        <v/>
      </c>
      <c r="RB9" s="40" t="str">
        <f t="shared" si="192"/>
        <v/>
      </c>
      <c r="RC9" s="40" t="str">
        <f t="shared" si="193"/>
        <v/>
      </c>
      <c r="RD9" s="40" t="str">
        <f t="shared" si="194"/>
        <v/>
      </c>
      <c r="RE9" s="40" t="str">
        <f t="shared" si="195"/>
        <v/>
      </c>
      <c r="RF9" s="40" t="str">
        <f t="shared" si="196"/>
        <v/>
      </c>
      <c r="RG9" s="40" t="str">
        <f t="shared" si="197"/>
        <v/>
      </c>
      <c r="RH9" s="40" t="str">
        <f t="shared" si="198"/>
        <v/>
      </c>
      <c r="RI9" s="40" t="str">
        <f t="shared" si="199"/>
        <v/>
      </c>
      <c r="RJ9" s="40" t="str">
        <f t="shared" si="200"/>
        <v/>
      </c>
      <c r="RK9" s="40" t="str">
        <f t="shared" si="201"/>
        <v/>
      </c>
      <c r="RL9" s="18"/>
      <c r="RM9" s="18"/>
      <c r="RN9" s="18"/>
      <c r="RO9" s="18"/>
      <c r="RP9" s="18"/>
      <c r="RQ9" s="18"/>
      <c r="RR9" s="18"/>
      <c r="RS9" s="18"/>
      <c r="RT9" s="18"/>
      <c r="RU9" s="18"/>
      <c r="RV9" s="18"/>
      <c r="RW9" s="18"/>
      <c r="RX9" s="18"/>
      <c r="RY9" s="18"/>
      <c r="RZ9" s="18"/>
      <c r="SA9" s="18"/>
      <c r="SB9" s="18"/>
      <c r="SC9" s="18"/>
      <c r="SD9" s="18"/>
      <c r="SE9" s="18"/>
      <c r="SF9" s="11" t="str">
        <f t="shared" si="202"/>
        <v/>
      </c>
      <c r="SG9" s="11" t="str">
        <f t="shared" si="203"/>
        <v/>
      </c>
      <c r="SH9" s="11" t="str">
        <f t="shared" si="204"/>
        <v/>
      </c>
      <c r="SI9" s="11" t="str">
        <f t="shared" si="205"/>
        <v/>
      </c>
      <c r="SJ9" s="11" t="str">
        <f t="shared" si="206"/>
        <v/>
      </c>
      <c r="SK9" s="11" t="str">
        <f t="shared" si="207"/>
        <v/>
      </c>
      <c r="SL9" s="11" t="str">
        <f t="shared" si="208"/>
        <v/>
      </c>
      <c r="SM9" s="11" t="str">
        <f t="shared" si="209"/>
        <v/>
      </c>
      <c r="SN9" s="11" t="str">
        <f t="shared" si="210"/>
        <v/>
      </c>
      <c r="SO9" s="11" t="str">
        <f t="shared" si="211"/>
        <v/>
      </c>
      <c r="SP9" s="11" t="str">
        <f t="shared" si="212"/>
        <v/>
      </c>
      <c r="SQ9" s="11" t="str">
        <f t="shared" si="213"/>
        <v/>
      </c>
      <c r="SR9" s="11" t="str">
        <f t="shared" si="214"/>
        <v/>
      </c>
      <c r="SS9" s="11" t="str">
        <f t="shared" si="215"/>
        <v/>
      </c>
      <c r="ST9" s="22">
        <f t="shared" si="216"/>
        <v>1.45</v>
      </c>
      <c r="SU9" s="22">
        <f t="shared" si="217"/>
        <v>0.85</v>
      </c>
      <c r="SV9" s="22">
        <f t="shared" si="218"/>
        <v>1.35</v>
      </c>
      <c r="SW9" s="22">
        <f t="shared" si="219"/>
        <v>1.58</v>
      </c>
      <c r="SX9" s="22">
        <f t="shared" si="220"/>
        <v>0</v>
      </c>
      <c r="SY9" s="22">
        <f t="shared" si="221"/>
        <v>1.3</v>
      </c>
      <c r="SZ9" s="22">
        <f t="shared" si="222"/>
        <v>0.9</v>
      </c>
      <c r="TA9" s="22">
        <f t="shared" si="223"/>
        <v>1.35</v>
      </c>
      <c r="TB9" s="22">
        <f t="shared" si="224"/>
        <v>1.53</v>
      </c>
      <c r="TC9" s="22">
        <f t="shared" si="225"/>
        <v>0</v>
      </c>
      <c r="TD9" s="22">
        <f t="shared" si="226"/>
        <v>0</v>
      </c>
      <c r="TE9" s="22">
        <f t="shared" si="227"/>
        <v>0</v>
      </c>
      <c r="TF9" s="22">
        <f t="shared" si="228"/>
        <v>0</v>
      </c>
      <c r="TG9" s="22">
        <f t="shared" si="229"/>
        <v>0</v>
      </c>
      <c r="TH9" s="22">
        <f t="shared" si="230"/>
        <v>0</v>
      </c>
      <c r="TI9" s="27" t="s">
        <v>46</v>
      </c>
      <c r="TJ9" s="40">
        <f t="shared" si="231"/>
        <v>1.35</v>
      </c>
      <c r="TK9" s="40">
        <f t="shared" si="232"/>
        <v>1.58</v>
      </c>
      <c r="TL9" s="40">
        <f t="shared" si="233"/>
        <v>5.23</v>
      </c>
      <c r="TM9" s="40">
        <f t="shared" si="234"/>
        <v>1.35</v>
      </c>
      <c r="TN9" s="40">
        <f t="shared" si="235"/>
        <v>1.53</v>
      </c>
      <c r="TO9" s="40">
        <f t="shared" si="236"/>
        <v>5.08</v>
      </c>
      <c r="TP9" s="40">
        <f t="shared" si="237"/>
        <v>5.23</v>
      </c>
      <c r="TQ9" s="40" t="str">
        <f t="shared" si="238"/>
        <v/>
      </c>
      <c r="TR9" s="40" t="str">
        <f t="shared" si="239"/>
        <v/>
      </c>
      <c r="TS9" s="40" t="str">
        <f t="shared" si="240"/>
        <v/>
      </c>
      <c r="TT9" s="40">
        <f t="shared" si="241"/>
        <v>5.23</v>
      </c>
    </row>
    <row r="10" spans="1:540" x14ac:dyDescent="0.2">
      <c r="A10" s="4" t="str" cm="1">
        <f t="array" ref="A10">IF(AND(F10&lt;&gt;"",G10&lt;&gt;""),SUMPRODUCT((F$4:F$32&lt;&gt;"")*(G$4:G$32&lt;&gt;"")*(E$4:E$32&gt;E10))+1,IF(G10&lt;&gt;"",SUMPRODUCT((H$4:H$32="No DD")*(E$4:E$32&gt;E10))+1+SUMPRODUCT((F$4:F$32&lt;&gt;"")*(G$4:G$32&lt;&gt;"")),""))</f>
        <v/>
      </c>
      <c r="B10" s="5" t="s">
        <v>160</v>
      </c>
      <c r="C10" s="4" t="s">
        <v>4</v>
      </c>
      <c r="D10" s="4">
        <v>2004</v>
      </c>
      <c r="E10" s="9">
        <f t="shared" si="0"/>
        <v>146.45001185700468</v>
      </c>
      <c r="F10" s="3" t="str">
        <f t="shared" si="1"/>
        <v/>
      </c>
      <c r="G10" s="3" t="str">
        <f t="shared" si="2"/>
        <v/>
      </c>
      <c r="H10" s="36" t="str">
        <f t="shared" si="3"/>
        <v/>
      </c>
      <c r="I10" s="3" t="str">
        <f t="shared" si="4"/>
        <v/>
      </c>
      <c r="J10" s="8">
        <f>IF(COUNT(AO10,AR10,BP10,BS10,CQ10,CT10)&gt;0,LARGE((AO10,AR10,BP10,BS10,CQ10,CT10),1),0)</f>
        <v>46.68</v>
      </c>
      <c r="K10" s="8" t="str">
        <f t="shared" si="5"/>
        <v>2023 Elite Canada</v>
      </c>
      <c r="L10" s="8">
        <f>IF(COUNT(AO10,AR10,BP10,BS10,CQ10,CT10)&gt;1,LARGE((AO10,AR10,BP10,BS10,CQ10,CT10),2),0)</f>
        <v>44.650000000000006</v>
      </c>
      <c r="M10" s="8" t="str">
        <f t="shared" si="6"/>
        <v>2022 Nationals</v>
      </c>
      <c r="N10" s="8">
        <f>IF(COUNT(AO10,AR10,BP10,BS10,CQ10,CT10)&gt;2,LARGE((AO10,AR10,BP10,BS10,CQ10,CT10),3),0)</f>
        <v>18.740000000000002</v>
      </c>
      <c r="O10" s="8" t="str">
        <f t="shared" si="242"/>
        <v>2023 Elite Canada</v>
      </c>
      <c r="P10" s="8">
        <f t="shared" si="7"/>
        <v>8.5</v>
      </c>
      <c r="Q10" s="8" t="str">
        <f t="shared" si="8"/>
        <v>2023 Elite Canada</v>
      </c>
      <c r="R10" s="8">
        <f t="shared" si="9"/>
        <v>0</v>
      </c>
      <c r="S10" s="8" t="str">
        <f t="shared" si="10"/>
        <v/>
      </c>
      <c r="T10" s="8">
        <f t="shared" si="11"/>
        <v>27.879999999999995</v>
      </c>
      <c r="U10" s="11" t="str">
        <f t="shared" si="12"/>
        <v>(Optional)</v>
      </c>
      <c r="V10" s="8" t="str">
        <f>IF(T10="","",IF(T10=CZ10,IF(T10+IF(N10="",0,N10)=SL10,$RL$1,IF(T10+IF(N10="",0,N10)=RD10,$QD$1,IF(T10+IF(N10="",0,N10)=PV10,$OV$1,IF(T10+IF(N10="",0,N10)=ON10,$NN$1,IF(T10+IF(N10="",0,N10)=NF10,$MF$1,IF(T10+IF(N10="",0,N10)=LX10,$KX$1,IF(T10+IF(N10="",0,N10)=KP10,$JP$1,IF(T10+IF(N10="",0,N10)=JH10,$IH$1,IF(T10+IF(N10="",0,N10)=HZ10,$GZ$1,IF(T10+IF(N10="",0,N10)=GR10,$FR$1,IF(T10+IF(N10="",0,N10)=FJ10,$EJ$1,IF(T10+IF(N10="",0,N10)=EB10,$DB$1)))))))))))),IF(T10=DA10,IF(T10+IF(#REF!="",0,#REF!)=SR10,$RL$1,IF(T10+IF(#REF!="",0,#REF!)=RJ10,$QD$1,IF(T10+IF(#REF!="",0,#REF!)=QB10,$OV$1,IF(T10+IF(#REF!="",0,#REF!)=OT10,$NN$1,IF(T10+IF(#REF!="",0,#REF!)=NL10,$MF$1,IF(T10+IF(#REF!="",0,#REF!)=MD10,$KX$1,IF(T10+IF(#REF!="",0,#REF!)=KV10,$JP$1,IF(T10+IF(#REF!="",0,#REF!)=JN10,$IH$1,IF(T10+IF(#REF!="",0,#REF!)=IF10,$GZ$1,IF(T10+IF(#REF!="",0,#REF!)=GX10,$FR$1,IF(T10+IF(#REF!="",0,#REF!)=FP10,$EJ$1,IF(T10+IF(#REF!="",0,#REF!)=EH10,$DB$1,IF(T10+IF(#REF!="",0,#REF!)=SO10,$RL$1,IF(T10+IF(#REF!="",0,#REF!)=RG10,$QD$1,IF(T10+IF(#REF!="",0,#REF!)=PY10,$OV$1,IF(T10+IF(#REF!="",0,#REF!)=OQ10,$NN$1,IF(T10+IF(#REF!="",0,#REF!)=NI10,$MF$1,IF(T10+IF(#REF!="",0,#REF!)=MA10,$KX$1,IF(T10+IF(#REF!="",0,#REF!)=KS10,$JP$1,IF(T10+IF(#REF!="",0,#REF!)=JK10,$IH$1,IF(T10+IF(#REF!="",0,#REF!)=IC10,$GZ$1,IF(T10+IF(#REF!="",0,#REF!)=GU10,$FR$1,IF(T10+IF(#REF!="",0,#REF!)=FM10,$EJ$1,IF(T10+IF(#REF!="",0,#REF!)=EE10,$DB$1)))))))))))))))))))))))))))</f>
        <v>2022 Coimbra Gym Fest (June 26)</v>
      </c>
      <c r="W10" s="22">
        <v>13.1</v>
      </c>
      <c r="X10" s="22">
        <v>9.3000000000000007</v>
      </c>
      <c r="Y10" s="22">
        <v>8.5</v>
      </c>
      <c r="Z10" s="22">
        <v>14.05</v>
      </c>
      <c r="AA10" s="22">
        <v>0.3</v>
      </c>
      <c r="AB10" s="22"/>
      <c r="AC10" s="22"/>
      <c r="AD10" s="22"/>
      <c r="AE10" s="22"/>
      <c r="AF10" s="22"/>
      <c r="AG10" s="22">
        <v>15.4</v>
      </c>
      <c r="AH10" s="22">
        <v>9.3000000000000007</v>
      </c>
      <c r="AI10" s="22">
        <v>8.5</v>
      </c>
      <c r="AJ10" s="22">
        <v>13.71</v>
      </c>
      <c r="AK10" s="22">
        <v>0</v>
      </c>
      <c r="AL10" s="27"/>
      <c r="AM10" s="38">
        <f t="shared" si="13"/>
        <v>8.5</v>
      </c>
      <c r="AN10" s="38">
        <f t="shared" si="14"/>
        <v>14.05</v>
      </c>
      <c r="AO10" s="40">
        <f t="shared" si="15"/>
        <v>44.650000000000006</v>
      </c>
      <c r="AP10" s="40" t="str">
        <f t="shared" si="16"/>
        <v/>
      </c>
      <c r="AQ10" s="40" t="str">
        <f t="shared" si="17"/>
        <v/>
      </c>
      <c r="AR10" s="40" t="str">
        <f t="shared" si="18"/>
        <v/>
      </c>
      <c r="AS10" s="40">
        <f t="shared" si="19"/>
        <v>44.650000000000006</v>
      </c>
      <c r="AT10" s="40">
        <f t="shared" si="20"/>
        <v>8.5</v>
      </c>
      <c r="AU10" s="40">
        <f t="shared" si="21"/>
        <v>13.71</v>
      </c>
      <c r="AV10" s="40">
        <f t="shared" si="22"/>
        <v>46.910000000000004</v>
      </c>
      <c r="AW10" s="40">
        <f t="shared" si="23"/>
        <v>91.56</v>
      </c>
      <c r="AX10" s="26"/>
      <c r="AY10" s="26"/>
      <c r="AZ10" s="26"/>
      <c r="BA10" s="26"/>
      <c r="BB10" s="26"/>
      <c r="BC10" s="26"/>
      <c r="BD10" s="26"/>
      <c r="BE10" s="26"/>
      <c r="BF10" s="26"/>
      <c r="BG10" s="26"/>
      <c r="BH10" s="26"/>
      <c r="BI10" s="26"/>
      <c r="BJ10" s="26"/>
      <c r="BK10" s="26"/>
      <c r="BL10" s="26"/>
      <c r="BM10" s="28"/>
      <c r="BN10" s="39" t="str">
        <f t="shared" si="24"/>
        <v/>
      </c>
      <c r="BO10" s="39" t="str">
        <f t="shared" si="25"/>
        <v/>
      </c>
      <c r="BP10" s="11" t="str">
        <f t="shared" si="26"/>
        <v/>
      </c>
      <c r="BQ10" s="11" t="str">
        <f t="shared" si="27"/>
        <v/>
      </c>
      <c r="BR10" s="11" t="str">
        <f t="shared" si="28"/>
        <v/>
      </c>
      <c r="BS10" s="11" t="str">
        <f t="shared" si="29"/>
        <v/>
      </c>
      <c r="BT10" s="11" t="str">
        <f t="shared" si="30"/>
        <v/>
      </c>
      <c r="BU10" s="11" t="str">
        <f t="shared" si="31"/>
        <v/>
      </c>
      <c r="BV10" s="11" t="str">
        <f t="shared" si="32"/>
        <v/>
      </c>
      <c r="BW10" s="11" t="str">
        <f t="shared" si="33"/>
        <v/>
      </c>
      <c r="BX10" s="11" t="str">
        <f t="shared" si="34"/>
        <v/>
      </c>
      <c r="BY10" s="22">
        <v>15.4</v>
      </c>
      <c r="BZ10" s="22">
        <v>9.4</v>
      </c>
      <c r="CA10" s="22">
        <v>8.5</v>
      </c>
      <c r="CB10" s="22">
        <v>13.68</v>
      </c>
      <c r="CC10" s="22">
        <v>0.3</v>
      </c>
      <c r="CD10" s="22">
        <v>5.9</v>
      </c>
      <c r="CE10" s="22">
        <v>3.5</v>
      </c>
      <c r="CF10" s="22">
        <v>3.9</v>
      </c>
      <c r="CG10" s="22">
        <v>5.44</v>
      </c>
      <c r="CH10" s="22">
        <v>0</v>
      </c>
      <c r="CI10" s="22">
        <v>16</v>
      </c>
      <c r="CJ10" s="22">
        <v>9.3000000000000007</v>
      </c>
      <c r="CK10" s="22">
        <v>8.5</v>
      </c>
      <c r="CL10" s="22">
        <v>13.74</v>
      </c>
      <c r="CM10" s="22">
        <v>0.3</v>
      </c>
      <c r="CN10" s="27"/>
      <c r="CO10" s="38">
        <f t="shared" si="35"/>
        <v>8.5</v>
      </c>
      <c r="CP10" s="38">
        <f t="shared" si="36"/>
        <v>13.68</v>
      </c>
      <c r="CQ10" s="40">
        <f t="shared" si="37"/>
        <v>46.68</v>
      </c>
      <c r="CR10" s="40">
        <f t="shared" si="38"/>
        <v>3.9</v>
      </c>
      <c r="CS10" s="40">
        <f t="shared" si="39"/>
        <v>5.44</v>
      </c>
      <c r="CT10" s="40">
        <f t="shared" si="40"/>
        <v>18.740000000000002</v>
      </c>
      <c r="CU10" s="40">
        <f t="shared" si="41"/>
        <v>46.68</v>
      </c>
      <c r="CV10" s="40">
        <f t="shared" si="42"/>
        <v>8.5</v>
      </c>
      <c r="CW10" s="40">
        <f t="shared" si="43"/>
        <v>13.74</v>
      </c>
      <c r="CX10" s="40">
        <f t="shared" si="44"/>
        <v>47.24</v>
      </c>
      <c r="CY10" s="40">
        <f t="shared" si="45"/>
        <v>93.92</v>
      </c>
      <c r="CZ10" s="50">
        <f t="shared" si="46"/>
        <v>27.879999999999995</v>
      </c>
      <c r="DA10" s="50" t="str">
        <f t="shared" si="47"/>
        <v/>
      </c>
      <c r="DB10" s="17">
        <v>14.2</v>
      </c>
      <c r="DC10" s="17">
        <v>9.4</v>
      </c>
      <c r="DD10" s="17">
        <v>8.5</v>
      </c>
      <c r="DE10" s="17">
        <v>13.98</v>
      </c>
      <c r="DF10" s="17">
        <v>0</v>
      </c>
      <c r="DG10" s="17">
        <v>15</v>
      </c>
      <c r="DH10" s="17">
        <v>9.5</v>
      </c>
      <c r="DI10" s="17">
        <v>8.5</v>
      </c>
      <c r="DJ10" s="17">
        <v>13.62</v>
      </c>
      <c r="DK10" s="17">
        <v>0</v>
      </c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40">
        <f t="shared" si="48"/>
        <v>8.5</v>
      </c>
      <c r="DW10" s="40">
        <f t="shared" si="49"/>
        <v>13.98</v>
      </c>
      <c r="DX10" s="40">
        <f t="shared" si="50"/>
        <v>46.08</v>
      </c>
      <c r="DY10" s="40">
        <f t="shared" si="51"/>
        <v>8.5</v>
      </c>
      <c r="DZ10" s="40">
        <f t="shared" si="52"/>
        <v>13.62</v>
      </c>
      <c r="EA10" s="40">
        <f t="shared" si="53"/>
        <v>46.62</v>
      </c>
      <c r="EB10" s="40">
        <f t="shared" si="54"/>
        <v>46.62</v>
      </c>
      <c r="EC10" s="40" t="str">
        <f t="shared" si="55"/>
        <v/>
      </c>
      <c r="ED10" s="40" t="str">
        <f t="shared" si="56"/>
        <v/>
      </c>
      <c r="EE10" s="40" t="str">
        <f t="shared" si="57"/>
        <v/>
      </c>
      <c r="EF10" s="40" t="str">
        <f t="shared" si="58"/>
        <v/>
      </c>
      <c r="EG10" s="40" t="str">
        <f t="shared" si="59"/>
        <v/>
      </c>
      <c r="EH10" s="40" t="str">
        <f t="shared" si="60"/>
        <v/>
      </c>
      <c r="EI10" s="40">
        <f t="shared" si="61"/>
        <v>46.62</v>
      </c>
      <c r="EJ10" s="18"/>
      <c r="EK10" s="18"/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8"/>
      <c r="FC10" s="18"/>
      <c r="FD10" s="11" t="str">
        <f t="shared" si="62"/>
        <v/>
      </c>
      <c r="FE10" s="11" t="str">
        <f t="shared" si="63"/>
        <v/>
      </c>
      <c r="FF10" s="11" t="str">
        <f t="shared" si="64"/>
        <v/>
      </c>
      <c r="FG10" s="11" t="str">
        <f t="shared" si="65"/>
        <v/>
      </c>
      <c r="FH10" s="11" t="str">
        <f t="shared" si="66"/>
        <v/>
      </c>
      <c r="FI10" s="11" t="str">
        <f t="shared" si="67"/>
        <v/>
      </c>
      <c r="FJ10" s="11" t="str">
        <f t="shared" si="68"/>
        <v/>
      </c>
      <c r="FK10" s="11" t="str">
        <f t="shared" si="69"/>
        <v/>
      </c>
      <c r="FL10" s="11" t="str">
        <f t="shared" si="70"/>
        <v/>
      </c>
      <c r="FM10" s="11" t="str">
        <f t="shared" si="71"/>
        <v/>
      </c>
      <c r="FN10" s="11" t="str">
        <f t="shared" si="72"/>
        <v/>
      </c>
      <c r="FO10" s="11" t="str">
        <f t="shared" si="73"/>
        <v/>
      </c>
      <c r="FP10" s="11" t="str">
        <f t="shared" si="74"/>
        <v/>
      </c>
      <c r="FQ10" s="11" t="str">
        <f t="shared" si="75"/>
        <v/>
      </c>
      <c r="FR10" s="17"/>
      <c r="FS10" s="17"/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17"/>
      <c r="GF10" s="17"/>
      <c r="GG10" s="17"/>
      <c r="GH10" s="17"/>
      <c r="GI10" s="17"/>
      <c r="GJ10" s="17"/>
      <c r="GK10" s="17"/>
      <c r="GL10" s="40" t="str">
        <f t="shared" si="76"/>
        <v/>
      </c>
      <c r="GM10" s="40" t="str">
        <f t="shared" si="77"/>
        <v/>
      </c>
      <c r="GN10" s="40" t="str">
        <f t="shared" si="78"/>
        <v/>
      </c>
      <c r="GO10" s="40" t="str">
        <f t="shared" si="79"/>
        <v/>
      </c>
      <c r="GP10" s="40" t="str">
        <f t="shared" si="80"/>
        <v/>
      </c>
      <c r="GQ10" s="40" t="str">
        <f t="shared" si="81"/>
        <v/>
      </c>
      <c r="GR10" s="40" t="str">
        <f t="shared" si="82"/>
        <v/>
      </c>
      <c r="GS10" s="40" t="str">
        <f t="shared" si="83"/>
        <v/>
      </c>
      <c r="GT10" s="40" t="str">
        <f t="shared" si="84"/>
        <v/>
      </c>
      <c r="GU10" s="40" t="str">
        <f t="shared" si="85"/>
        <v/>
      </c>
      <c r="GV10" s="40" t="str">
        <f t="shared" si="86"/>
        <v/>
      </c>
      <c r="GW10" s="40" t="str">
        <f t="shared" si="87"/>
        <v/>
      </c>
      <c r="GX10" s="40" t="str">
        <f t="shared" si="88"/>
        <v/>
      </c>
      <c r="GY10" s="40" t="str">
        <f t="shared" si="89"/>
        <v/>
      </c>
      <c r="GZ10" s="18"/>
      <c r="HA10" s="18"/>
      <c r="HB10" s="18"/>
      <c r="HC10" s="18"/>
      <c r="HD10" s="18"/>
      <c r="HE10" s="18"/>
      <c r="HF10" s="18"/>
      <c r="HG10" s="18"/>
      <c r="HH10" s="18"/>
      <c r="HI10" s="18"/>
      <c r="HJ10" s="18"/>
      <c r="HK10" s="18"/>
      <c r="HL10" s="18"/>
      <c r="HM10" s="18"/>
      <c r="HN10" s="18"/>
      <c r="HO10" s="18"/>
      <c r="HP10" s="18"/>
      <c r="HQ10" s="18"/>
      <c r="HR10" s="18"/>
      <c r="HS10" s="18"/>
      <c r="HT10" s="11" t="str">
        <f t="shared" si="90"/>
        <v/>
      </c>
      <c r="HU10" s="11" t="str">
        <f t="shared" si="91"/>
        <v/>
      </c>
      <c r="HV10" s="11" t="str">
        <f t="shared" si="92"/>
        <v/>
      </c>
      <c r="HW10" s="11" t="str">
        <f t="shared" si="93"/>
        <v/>
      </c>
      <c r="HX10" s="11" t="str">
        <f t="shared" si="94"/>
        <v/>
      </c>
      <c r="HY10" s="11" t="str">
        <f t="shared" si="95"/>
        <v/>
      </c>
      <c r="HZ10" s="11" t="str">
        <f t="shared" si="96"/>
        <v/>
      </c>
      <c r="IA10" s="11" t="str">
        <f t="shared" si="97"/>
        <v/>
      </c>
      <c r="IB10" s="11" t="str">
        <f t="shared" si="98"/>
        <v/>
      </c>
      <c r="IC10" s="11" t="str">
        <f t="shared" si="99"/>
        <v/>
      </c>
      <c r="ID10" s="11" t="str">
        <f t="shared" si="100"/>
        <v/>
      </c>
      <c r="IE10" s="11" t="str">
        <f t="shared" si="101"/>
        <v/>
      </c>
      <c r="IF10" s="11" t="str">
        <f t="shared" si="102"/>
        <v/>
      </c>
      <c r="IG10" s="11" t="str">
        <f t="shared" si="103"/>
        <v/>
      </c>
      <c r="IH10" s="17"/>
      <c r="II10" s="17"/>
      <c r="IJ10" s="17"/>
      <c r="IK10" s="17"/>
      <c r="IL10" s="17"/>
      <c r="IM10" s="17"/>
      <c r="IN10" s="17"/>
      <c r="IO10" s="17"/>
      <c r="IP10" s="17"/>
      <c r="IQ10" s="17"/>
      <c r="IR10" s="17"/>
      <c r="IS10" s="17"/>
      <c r="IT10" s="17"/>
      <c r="IU10" s="17"/>
      <c r="IV10" s="17"/>
      <c r="IW10" s="17"/>
      <c r="IX10" s="17"/>
      <c r="IY10" s="17"/>
      <c r="IZ10" s="17"/>
      <c r="JA10" s="17"/>
      <c r="JB10" s="40" t="str">
        <f t="shared" si="104"/>
        <v/>
      </c>
      <c r="JC10" s="40" t="str">
        <f t="shared" si="105"/>
        <v/>
      </c>
      <c r="JD10" s="40" t="str">
        <f t="shared" si="106"/>
        <v/>
      </c>
      <c r="JE10" s="40" t="str">
        <f t="shared" si="107"/>
        <v/>
      </c>
      <c r="JF10" s="40" t="str">
        <f t="shared" si="108"/>
        <v/>
      </c>
      <c r="JG10" s="40" t="str">
        <f t="shared" si="109"/>
        <v/>
      </c>
      <c r="JH10" s="40" t="str">
        <f t="shared" si="110"/>
        <v/>
      </c>
      <c r="JI10" s="40" t="str">
        <f t="shared" si="111"/>
        <v/>
      </c>
      <c r="JJ10" s="40" t="str">
        <f t="shared" si="112"/>
        <v/>
      </c>
      <c r="JK10" s="40" t="str">
        <f t="shared" si="113"/>
        <v/>
      </c>
      <c r="JL10" s="40" t="str">
        <f t="shared" si="114"/>
        <v/>
      </c>
      <c r="JM10" s="40" t="str">
        <f t="shared" si="115"/>
        <v/>
      </c>
      <c r="JN10" s="40" t="str">
        <f t="shared" si="116"/>
        <v/>
      </c>
      <c r="JO10" s="40" t="str">
        <f t="shared" si="117"/>
        <v/>
      </c>
      <c r="JP10" s="18"/>
      <c r="JQ10" s="18"/>
      <c r="JR10" s="18"/>
      <c r="JS10" s="18"/>
      <c r="JT10" s="18"/>
      <c r="JU10" s="18"/>
      <c r="JV10" s="18"/>
      <c r="JW10" s="18"/>
      <c r="JX10" s="18"/>
      <c r="JY10" s="18"/>
      <c r="JZ10" s="18"/>
      <c r="KA10" s="18"/>
      <c r="KB10" s="18"/>
      <c r="KC10" s="18"/>
      <c r="KD10" s="18"/>
      <c r="KE10" s="18"/>
      <c r="KF10" s="18"/>
      <c r="KG10" s="18"/>
      <c r="KH10" s="18"/>
      <c r="KI10" s="18"/>
      <c r="KJ10" s="11" t="str">
        <f t="shared" si="118"/>
        <v/>
      </c>
      <c r="KK10" s="11" t="str">
        <f t="shared" si="119"/>
        <v/>
      </c>
      <c r="KL10" s="11" t="str">
        <f t="shared" si="120"/>
        <v/>
      </c>
      <c r="KM10" s="11" t="str">
        <f t="shared" si="121"/>
        <v/>
      </c>
      <c r="KN10" s="11" t="str">
        <f t="shared" si="122"/>
        <v/>
      </c>
      <c r="KO10" s="11" t="str">
        <f t="shared" si="123"/>
        <v/>
      </c>
      <c r="KP10" s="11" t="str">
        <f t="shared" si="124"/>
        <v/>
      </c>
      <c r="KQ10" s="11" t="str">
        <f t="shared" si="125"/>
        <v/>
      </c>
      <c r="KR10" s="11" t="str">
        <f t="shared" si="126"/>
        <v/>
      </c>
      <c r="KS10" s="11" t="str">
        <f t="shared" si="127"/>
        <v/>
      </c>
      <c r="KT10" s="11" t="str">
        <f t="shared" si="128"/>
        <v/>
      </c>
      <c r="KU10" s="11" t="str">
        <f t="shared" si="129"/>
        <v/>
      </c>
      <c r="KV10" s="11" t="str">
        <f t="shared" si="130"/>
        <v/>
      </c>
      <c r="KW10" s="11" t="str">
        <f t="shared" si="131"/>
        <v/>
      </c>
      <c r="KX10" s="17"/>
      <c r="KY10" s="17"/>
      <c r="KZ10" s="17"/>
      <c r="LA10" s="17"/>
      <c r="LB10" s="17"/>
      <c r="LC10" s="17"/>
      <c r="LD10" s="17"/>
      <c r="LE10" s="17"/>
      <c r="LF10" s="17"/>
      <c r="LG10" s="17"/>
      <c r="LH10" s="17"/>
      <c r="LI10" s="17"/>
      <c r="LJ10" s="17"/>
      <c r="LK10" s="17"/>
      <c r="LL10" s="17"/>
      <c r="LM10" s="17"/>
      <c r="LN10" s="17"/>
      <c r="LO10" s="17"/>
      <c r="LP10" s="17"/>
      <c r="LQ10" s="17"/>
      <c r="LR10" s="40" t="str">
        <f t="shared" si="132"/>
        <v/>
      </c>
      <c r="LS10" s="40" t="str">
        <f t="shared" si="133"/>
        <v/>
      </c>
      <c r="LT10" s="40" t="str">
        <f t="shared" si="134"/>
        <v/>
      </c>
      <c r="LU10" s="40" t="str">
        <f t="shared" si="135"/>
        <v/>
      </c>
      <c r="LV10" s="40" t="str">
        <f t="shared" si="136"/>
        <v/>
      </c>
      <c r="LW10" s="40" t="str">
        <f t="shared" si="137"/>
        <v/>
      </c>
      <c r="LX10" s="40" t="str">
        <f t="shared" si="138"/>
        <v/>
      </c>
      <c r="LY10" s="40" t="str">
        <f t="shared" si="139"/>
        <v/>
      </c>
      <c r="LZ10" s="40" t="str">
        <f t="shared" si="140"/>
        <v/>
      </c>
      <c r="MA10" s="40" t="str">
        <f t="shared" si="141"/>
        <v/>
      </c>
      <c r="MB10" s="40" t="str">
        <f t="shared" si="142"/>
        <v/>
      </c>
      <c r="MC10" s="40" t="str">
        <f t="shared" si="143"/>
        <v/>
      </c>
      <c r="MD10" s="40" t="str">
        <f t="shared" si="144"/>
        <v/>
      </c>
      <c r="ME10" s="40" t="str">
        <f t="shared" si="145"/>
        <v/>
      </c>
      <c r="MF10" s="18"/>
      <c r="MG10" s="18"/>
      <c r="MH10" s="18"/>
      <c r="MI10" s="18"/>
      <c r="MJ10" s="18"/>
      <c r="MK10" s="18"/>
      <c r="ML10" s="18"/>
      <c r="MM10" s="18"/>
      <c r="MN10" s="18"/>
      <c r="MO10" s="18"/>
      <c r="MP10" s="18"/>
      <c r="MQ10" s="18"/>
      <c r="MR10" s="18"/>
      <c r="MS10" s="18"/>
      <c r="MT10" s="18"/>
      <c r="MU10" s="18"/>
      <c r="MV10" s="18"/>
      <c r="MW10" s="18"/>
      <c r="MX10" s="18"/>
      <c r="MY10" s="18"/>
      <c r="MZ10" s="11" t="str">
        <f t="shared" si="146"/>
        <v/>
      </c>
      <c r="NA10" s="11" t="str">
        <f t="shared" si="147"/>
        <v/>
      </c>
      <c r="NB10" s="11" t="str">
        <f t="shared" si="148"/>
        <v/>
      </c>
      <c r="NC10" s="11" t="str">
        <f t="shared" si="149"/>
        <v/>
      </c>
      <c r="ND10" s="11" t="str">
        <f t="shared" si="150"/>
        <v/>
      </c>
      <c r="NE10" s="11" t="str">
        <f t="shared" si="151"/>
        <v/>
      </c>
      <c r="NF10" s="11" t="str">
        <f t="shared" si="152"/>
        <v/>
      </c>
      <c r="NG10" s="11" t="str">
        <f t="shared" si="153"/>
        <v/>
      </c>
      <c r="NH10" s="11" t="str">
        <f t="shared" si="154"/>
        <v/>
      </c>
      <c r="NI10" s="11" t="str">
        <f t="shared" si="155"/>
        <v/>
      </c>
      <c r="NJ10" s="11" t="str">
        <f t="shared" si="156"/>
        <v/>
      </c>
      <c r="NK10" s="11" t="str">
        <f t="shared" si="157"/>
        <v/>
      </c>
      <c r="NL10" s="11" t="str">
        <f t="shared" si="158"/>
        <v/>
      </c>
      <c r="NM10" s="11" t="str">
        <f t="shared" si="159"/>
        <v/>
      </c>
      <c r="NN10" s="17"/>
      <c r="NO10" s="17"/>
      <c r="NP10" s="17"/>
      <c r="NQ10" s="17"/>
      <c r="NR10" s="17"/>
      <c r="NS10" s="17"/>
      <c r="NT10" s="17"/>
      <c r="NU10" s="17"/>
      <c r="NV10" s="17"/>
      <c r="NW10" s="17"/>
      <c r="NX10" s="17"/>
      <c r="NY10" s="17"/>
      <c r="NZ10" s="17"/>
      <c r="OA10" s="17"/>
      <c r="OB10" s="17"/>
      <c r="OC10" s="17"/>
      <c r="OD10" s="17"/>
      <c r="OE10" s="17"/>
      <c r="OF10" s="17"/>
      <c r="OG10" s="17"/>
      <c r="OH10" s="40" t="str">
        <f t="shared" si="160"/>
        <v/>
      </c>
      <c r="OI10" s="40" t="str">
        <f t="shared" si="161"/>
        <v/>
      </c>
      <c r="OJ10" s="40" t="str">
        <f t="shared" si="162"/>
        <v/>
      </c>
      <c r="OK10" s="40" t="str">
        <f t="shared" si="163"/>
        <v/>
      </c>
      <c r="OL10" s="40" t="str">
        <f t="shared" si="164"/>
        <v/>
      </c>
      <c r="OM10" s="40" t="str">
        <f t="shared" si="165"/>
        <v/>
      </c>
      <c r="ON10" s="40" t="str">
        <f t="shared" si="166"/>
        <v/>
      </c>
      <c r="OO10" s="40" t="str">
        <f t="shared" si="167"/>
        <v/>
      </c>
      <c r="OP10" s="40" t="str">
        <f t="shared" si="168"/>
        <v/>
      </c>
      <c r="OQ10" s="40" t="str">
        <f t="shared" si="169"/>
        <v/>
      </c>
      <c r="OR10" s="40" t="str">
        <f t="shared" si="170"/>
        <v/>
      </c>
      <c r="OS10" s="40" t="str">
        <f t="shared" si="171"/>
        <v/>
      </c>
      <c r="OT10" s="40" t="str">
        <f t="shared" si="172"/>
        <v/>
      </c>
      <c r="OU10" s="40" t="str">
        <f t="shared" si="173"/>
        <v/>
      </c>
      <c r="OV10" s="18"/>
      <c r="OW10" s="18"/>
      <c r="OX10" s="18"/>
      <c r="OY10" s="18"/>
      <c r="OZ10" s="18"/>
      <c r="PA10" s="18"/>
      <c r="PB10" s="18"/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1" t="str">
        <f t="shared" si="174"/>
        <v/>
      </c>
      <c r="PQ10" s="11" t="str">
        <f t="shared" si="175"/>
        <v/>
      </c>
      <c r="PR10" s="11" t="str">
        <f t="shared" si="176"/>
        <v/>
      </c>
      <c r="PS10" s="11" t="str">
        <f t="shared" si="177"/>
        <v/>
      </c>
      <c r="PT10" s="11" t="str">
        <f t="shared" si="178"/>
        <v/>
      </c>
      <c r="PU10" s="11" t="str">
        <f t="shared" si="179"/>
        <v/>
      </c>
      <c r="PV10" s="11" t="str">
        <f t="shared" si="180"/>
        <v/>
      </c>
      <c r="PW10" s="11" t="str">
        <f t="shared" si="181"/>
        <v/>
      </c>
      <c r="PX10" s="11" t="str">
        <f t="shared" si="182"/>
        <v/>
      </c>
      <c r="PY10" s="11" t="str">
        <f t="shared" si="183"/>
        <v/>
      </c>
      <c r="PZ10" s="11" t="str">
        <f t="shared" si="184"/>
        <v/>
      </c>
      <c r="QA10" s="11" t="str">
        <f t="shared" si="185"/>
        <v/>
      </c>
      <c r="QB10" s="11" t="str">
        <f t="shared" si="186"/>
        <v/>
      </c>
      <c r="QC10" s="11" t="str">
        <f t="shared" si="187"/>
        <v/>
      </c>
      <c r="QD10" s="17"/>
      <c r="QE10" s="17"/>
      <c r="QF10" s="17"/>
      <c r="QG10" s="17"/>
      <c r="QH10" s="17"/>
      <c r="QI10" s="17"/>
      <c r="QJ10" s="17"/>
      <c r="QK10" s="17"/>
      <c r="QL10" s="17"/>
      <c r="QM10" s="17"/>
      <c r="QN10" s="17"/>
      <c r="QO10" s="17"/>
      <c r="QP10" s="17"/>
      <c r="QQ10" s="17"/>
      <c r="QR10" s="17"/>
      <c r="QS10" s="17"/>
      <c r="QT10" s="17"/>
      <c r="QU10" s="17"/>
      <c r="QV10" s="17"/>
      <c r="QW10" s="17"/>
      <c r="QX10" s="40" t="str">
        <f t="shared" si="188"/>
        <v/>
      </c>
      <c r="QY10" s="40" t="str">
        <f t="shared" si="189"/>
        <v/>
      </c>
      <c r="QZ10" s="40" t="str">
        <f t="shared" si="190"/>
        <v/>
      </c>
      <c r="RA10" s="40" t="str">
        <f t="shared" si="191"/>
        <v/>
      </c>
      <c r="RB10" s="40" t="str">
        <f t="shared" si="192"/>
        <v/>
      </c>
      <c r="RC10" s="40" t="str">
        <f t="shared" si="193"/>
        <v/>
      </c>
      <c r="RD10" s="40" t="str">
        <f t="shared" si="194"/>
        <v/>
      </c>
      <c r="RE10" s="40" t="str">
        <f t="shared" si="195"/>
        <v/>
      </c>
      <c r="RF10" s="40" t="str">
        <f t="shared" si="196"/>
        <v/>
      </c>
      <c r="RG10" s="40" t="str">
        <f t="shared" si="197"/>
        <v/>
      </c>
      <c r="RH10" s="40" t="str">
        <f t="shared" si="198"/>
        <v/>
      </c>
      <c r="RI10" s="40" t="str">
        <f t="shared" si="199"/>
        <v/>
      </c>
      <c r="RJ10" s="40" t="str">
        <f t="shared" si="200"/>
        <v/>
      </c>
      <c r="RK10" s="40" t="str">
        <f t="shared" si="201"/>
        <v/>
      </c>
      <c r="RL10" s="18"/>
      <c r="RM10" s="18"/>
      <c r="RN10" s="18"/>
      <c r="RO10" s="18"/>
      <c r="RP10" s="18"/>
      <c r="RQ10" s="18"/>
      <c r="RR10" s="18"/>
      <c r="RS10" s="18"/>
      <c r="RT10" s="18"/>
      <c r="RU10" s="18"/>
      <c r="RV10" s="18"/>
      <c r="RW10" s="18"/>
      <c r="RX10" s="18"/>
      <c r="RY10" s="18"/>
      <c r="RZ10" s="18"/>
      <c r="SA10" s="18"/>
      <c r="SB10" s="18"/>
      <c r="SC10" s="18"/>
      <c r="SD10" s="18"/>
      <c r="SE10" s="18"/>
      <c r="SF10" s="11" t="str">
        <f t="shared" si="202"/>
        <v/>
      </c>
      <c r="SG10" s="11" t="str">
        <f t="shared" si="203"/>
        <v/>
      </c>
      <c r="SH10" s="11" t="str">
        <f t="shared" si="204"/>
        <v/>
      </c>
      <c r="SI10" s="11" t="str">
        <f t="shared" si="205"/>
        <v/>
      </c>
      <c r="SJ10" s="11" t="str">
        <f t="shared" si="206"/>
        <v/>
      </c>
      <c r="SK10" s="11" t="str">
        <f t="shared" si="207"/>
        <v/>
      </c>
      <c r="SL10" s="11" t="str">
        <f t="shared" si="208"/>
        <v/>
      </c>
      <c r="SM10" s="11" t="str">
        <f t="shared" si="209"/>
        <v/>
      </c>
      <c r="SN10" s="11" t="str">
        <f t="shared" si="210"/>
        <v/>
      </c>
      <c r="SO10" s="11" t="str">
        <f t="shared" si="211"/>
        <v/>
      </c>
      <c r="SP10" s="11" t="str">
        <f t="shared" si="212"/>
        <v/>
      </c>
      <c r="SQ10" s="11" t="str">
        <f t="shared" si="213"/>
        <v/>
      </c>
      <c r="SR10" s="11" t="str">
        <f t="shared" si="214"/>
        <v/>
      </c>
      <c r="SS10" s="11" t="str">
        <f t="shared" si="215"/>
        <v/>
      </c>
      <c r="ST10" s="22">
        <f t="shared" si="216"/>
        <v>7.7</v>
      </c>
      <c r="SU10" s="22">
        <f t="shared" si="217"/>
        <v>4.7</v>
      </c>
      <c r="SV10" s="22">
        <f t="shared" si="218"/>
        <v>4.25</v>
      </c>
      <c r="SW10" s="22">
        <f t="shared" si="219"/>
        <v>6.84</v>
      </c>
      <c r="SX10" s="22">
        <f t="shared" si="220"/>
        <v>0.15</v>
      </c>
      <c r="SY10" s="22">
        <f t="shared" si="221"/>
        <v>2.95</v>
      </c>
      <c r="SZ10" s="22">
        <f t="shared" si="222"/>
        <v>1.75</v>
      </c>
      <c r="TA10" s="22">
        <f t="shared" si="223"/>
        <v>1.95</v>
      </c>
      <c r="TB10" s="22">
        <f t="shared" si="224"/>
        <v>2.72</v>
      </c>
      <c r="TC10" s="22">
        <f t="shared" si="225"/>
        <v>0</v>
      </c>
      <c r="TD10" s="22">
        <f t="shared" si="226"/>
        <v>8</v>
      </c>
      <c r="TE10" s="22">
        <f t="shared" si="227"/>
        <v>4.6500000000000004</v>
      </c>
      <c r="TF10" s="22">
        <f t="shared" si="228"/>
        <v>4.25</v>
      </c>
      <c r="TG10" s="22">
        <f t="shared" si="229"/>
        <v>6.87</v>
      </c>
      <c r="TH10" s="22">
        <f t="shared" si="230"/>
        <v>0.15</v>
      </c>
      <c r="TI10" s="27" t="s">
        <v>46</v>
      </c>
      <c r="TJ10" s="40">
        <f t="shared" si="231"/>
        <v>4.25</v>
      </c>
      <c r="TK10" s="40">
        <f t="shared" si="232"/>
        <v>6.84</v>
      </c>
      <c r="TL10" s="40">
        <f t="shared" si="233"/>
        <v>23.34</v>
      </c>
      <c r="TM10" s="40">
        <f t="shared" si="234"/>
        <v>1.95</v>
      </c>
      <c r="TN10" s="40">
        <f t="shared" si="235"/>
        <v>2.72</v>
      </c>
      <c r="TO10" s="40">
        <f t="shared" si="236"/>
        <v>9.370000000000001</v>
      </c>
      <c r="TP10" s="40">
        <f t="shared" si="237"/>
        <v>23.34</v>
      </c>
      <c r="TQ10" s="40">
        <f t="shared" si="238"/>
        <v>4.25</v>
      </c>
      <c r="TR10" s="40">
        <f t="shared" si="239"/>
        <v>6.87</v>
      </c>
      <c r="TS10" s="40">
        <f t="shared" si="240"/>
        <v>23.62</v>
      </c>
      <c r="TT10" s="40">
        <f t="shared" si="241"/>
        <v>46.96</v>
      </c>
    </row>
    <row r="11" spans="1:540" x14ac:dyDescent="0.2">
      <c r="A11" s="4" t="str" cm="1">
        <f t="array" ref="A11">IF(AND(F11&lt;&gt;"",G11&lt;&gt;""),SUMPRODUCT((F$4:F$32&lt;&gt;"")*(G$4:G$32&lt;&gt;"")*(E$4:E$32&gt;E11))+1,IF(G11&lt;&gt;"",SUMPRODUCT((H$4:H$32="No DD")*(E$4:E$32&gt;E11))+1+SUMPRODUCT((F$4:F$32&lt;&gt;"")*(G$4:G$32&lt;&gt;"")),""))</f>
        <v/>
      </c>
      <c r="B11" s="5" t="s">
        <v>198</v>
      </c>
      <c r="C11" s="4" t="s">
        <v>3</v>
      </c>
      <c r="D11" s="4">
        <v>2006</v>
      </c>
      <c r="E11" s="9">
        <f t="shared" si="0"/>
        <v>145.53001455300472</v>
      </c>
      <c r="F11" s="3" t="str">
        <f t="shared" si="1"/>
        <v/>
      </c>
      <c r="G11" s="3" t="str">
        <f t="shared" si="2"/>
        <v/>
      </c>
      <c r="H11" s="36" t="str">
        <f t="shared" si="3"/>
        <v/>
      </c>
      <c r="I11" s="3" t="str">
        <f t="shared" si="4"/>
        <v/>
      </c>
      <c r="J11" s="8">
        <f>IF(COUNT(AO11,AR11,BP11,BS11,CQ11,CT11)&gt;0,LARGE((AO11,AR11,BP11,BS11,CQ11,CT11),1),0)</f>
        <v>47.16</v>
      </c>
      <c r="K11" s="8" t="str">
        <f t="shared" si="5"/>
        <v>2022 Nationals</v>
      </c>
      <c r="L11" s="8">
        <f>IF(COUNT(AO11,AR11,BP11,BS11,CQ11,CT11)&gt;1,LARGE((AO11,AR11,BP11,BS11,CQ11,CT11),2),0)</f>
        <v>44.67</v>
      </c>
      <c r="M11" s="8" t="str">
        <f t="shared" si="6"/>
        <v>2022 3rd Domestic Trial</v>
      </c>
      <c r="N11" s="8">
        <f>IF(COUNT(AO11,AR11,BP11,BS11,CQ11,CT11)&gt;2,LARGE((AO11,AR11,BP11,BS11,CQ11,CT11),3),0)</f>
        <v>44.1</v>
      </c>
      <c r="O11" s="8" t="str">
        <f t="shared" si="242"/>
        <v>2023 Elite Canada</v>
      </c>
      <c r="P11" s="8">
        <f t="shared" si="7"/>
        <v>9.6</v>
      </c>
      <c r="Q11" s="8" t="str">
        <f t="shared" si="8"/>
        <v>2022 3rd Domestic Trial</v>
      </c>
      <c r="R11" s="8">
        <f t="shared" si="9"/>
        <v>0</v>
      </c>
      <c r="S11" s="8" t="str">
        <f t="shared" si="10"/>
        <v/>
      </c>
      <c r="T11" s="8" t="str">
        <f t="shared" si="11"/>
        <v/>
      </c>
      <c r="U11" s="11" t="str">
        <f t="shared" si="12"/>
        <v/>
      </c>
      <c r="V11" s="8" t="str">
        <f>IF(T11="","",IF(T11=CZ11,IF(T11+IF(N11="",0,N11)=SL11,$RL$1,IF(T11+IF(N11="",0,N11)=RD11,$QD$1,IF(T11+IF(N11="",0,N11)=PV11,$OV$1,IF(T11+IF(N11="",0,N11)=ON11,$NN$1,IF(T11+IF(N11="",0,N11)=NF11,$MF$1,IF(T11+IF(N11="",0,N11)=LX11,$KX$1,IF(T11+IF(N11="",0,N11)=KP11,$JP$1,IF(T11+IF(N11="",0,N11)=JH11,$IH$1,IF(T11+IF(N11="",0,N11)=HZ11,$GZ$1,IF(T11+IF(N11="",0,N11)=GR11,$FR$1,IF(T11+IF(N11="",0,N11)=FJ11,$EJ$1,IF(T11+IF(N11="",0,N11)=EB11,$DB$1)))))))))))),IF(T11=DA11,IF(T11+IF(#REF!="",0,#REF!)=SR11,$RL$1,IF(T11+IF(#REF!="",0,#REF!)=RJ11,$QD$1,IF(T11+IF(#REF!="",0,#REF!)=QB11,$OV$1,IF(T11+IF(#REF!="",0,#REF!)=OT11,$NN$1,IF(T11+IF(#REF!="",0,#REF!)=NL11,$MF$1,IF(T11+IF(#REF!="",0,#REF!)=MD11,$KX$1,IF(T11+IF(#REF!="",0,#REF!)=KV11,$JP$1,IF(T11+IF(#REF!="",0,#REF!)=JN11,$IH$1,IF(T11+IF(#REF!="",0,#REF!)=IF11,$GZ$1,IF(T11+IF(#REF!="",0,#REF!)=GX11,$FR$1,IF(T11+IF(#REF!="",0,#REF!)=FP11,$EJ$1,IF(T11+IF(#REF!="",0,#REF!)=EH11,$DB$1,IF(T11+IF(#REF!="",0,#REF!)=SO11,$RL$1,IF(T11+IF(#REF!="",0,#REF!)=RG11,$QD$1,IF(T11+IF(#REF!="",0,#REF!)=PY11,$OV$1,IF(T11+IF(#REF!="",0,#REF!)=OQ11,$NN$1,IF(T11+IF(#REF!="",0,#REF!)=NI11,$MF$1,IF(T11+IF(#REF!="",0,#REF!)=MA11,$KX$1,IF(T11+IF(#REF!="",0,#REF!)=KS11,$JP$1,IF(T11+IF(#REF!="",0,#REF!)=JK11,$IH$1,IF(T11+IF(#REF!="",0,#REF!)=IC11,$GZ$1,IF(T11+IF(#REF!="",0,#REF!)=GU11,$FR$1,IF(T11+IF(#REF!="",0,#REF!)=FM11,$EJ$1,IF(T11+IF(#REF!="",0,#REF!)=EE11,$DB$1)))))))))))))))))))))))))))</f>
        <v/>
      </c>
      <c r="W11" s="22">
        <v>14.5</v>
      </c>
      <c r="X11" s="22">
        <v>9.6999999999999993</v>
      </c>
      <c r="Y11" s="22">
        <v>9.6</v>
      </c>
      <c r="Z11" s="22">
        <v>13.36</v>
      </c>
      <c r="AA11" s="22">
        <v>0</v>
      </c>
      <c r="AB11" s="22"/>
      <c r="AC11" s="22"/>
      <c r="AD11" s="22"/>
      <c r="AE11" s="22"/>
      <c r="AF11" s="22"/>
      <c r="AG11" s="22">
        <v>13.9</v>
      </c>
      <c r="AH11" s="22">
        <v>9.3000000000000007</v>
      </c>
      <c r="AI11" s="22">
        <v>9.6</v>
      </c>
      <c r="AJ11" s="22">
        <v>12.8</v>
      </c>
      <c r="AK11" s="22">
        <v>0</v>
      </c>
      <c r="AL11" s="27"/>
      <c r="AM11" s="38">
        <f t="shared" si="13"/>
        <v>9.6</v>
      </c>
      <c r="AN11" s="38">
        <f t="shared" si="14"/>
        <v>13.36</v>
      </c>
      <c r="AO11" s="40">
        <f t="shared" si="15"/>
        <v>47.16</v>
      </c>
      <c r="AP11" s="40" t="str">
        <f t="shared" si="16"/>
        <v/>
      </c>
      <c r="AQ11" s="40" t="str">
        <f t="shared" si="17"/>
        <v/>
      </c>
      <c r="AR11" s="40" t="str">
        <f t="shared" si="18"/>
        <v/>
      </c>
      <c r="AS11" s="40">
        <f t="shared" si="19"/>
        <v>47.16</v>
      </c>
      <c r="AT11" s="40">
        <f t="shared" si="20"/>
        <v>9.6</v>
      </c>
      <c r="AU11" s="40">
        <f t="shared" si="21"/>
        <v>12.8</v>
      </c>
      <c r="AV11" s="40">
        <f t="shared" si="22"/>
        <v>45.600000000000009</v>
      </c>
      <c r="AW11" s="40">
        <f t="shared" si="23"/>
        <v>92.76</v>
      </c>
      <c r="AX11" s="26">
        <v>12.76</v>
      </c>
      <c r="AY11" s="26">
        <v>9.4</v>
      </c>
      <c r="AZ11" s="26">
        <v>9.6</v>
      </c>
      <c r="BA11" s="26">
        <v>12.91</v>
      </c>
      <c r="BB11" s="26">
        <v>0</v>
      </c>
      <c r="BC11" s="26"/>
      <c r="BD11" s="26"/>
      <c r="BE11" s="26"/>
      <c r="BF11" s="26"/>
      <c r="BG11" s="26"/>
      <c r="BH11" s="26">
        <v>12.6</v>
      </c>
      <c r="BI11" s="26">
        <v>8.8000000000000007</v>
      </c>
      <c r="BJ11" s="26">
        <v>9.6</v>
      </c>
      <c r="BK11" s="26">
        <v>12.89</v>
      </c>
      <c r="BL11" s="26">
        <v>0</v>
      </c>
      <c r="BM11" s="28"/>
      <c r="BN11" s="39">
        <f t="shared" si="24"/>
        <v>9.6</v>
      </c>
      <c r="BO11" s="39">
        <f t="shared" si="25"/>
        <v>12.91</v>
      </c>
      <c r="BP11" s="11">
        <f t="shared" si="26"/>
        <v>44.67</v>
      </c>
      <c r="BQ11" s="11" t="str">
        <f t="shared" si="27"/>
        <v/>
      </c>
      <c r="BR11" s="11" t="str">
        <f t="shared" si="28"/>
        <v/>
      </c>
      <c r="BS11" s="11" t="str">
        <f t="shared" si="29"/>
        <v/>
      </c>
      <c r="BT11" s="11">
        <f t="shared" si="30"/>
        <v>44.67</v>
      </c>
      <c r="BU11" s="11">
        <f t="shared" si="31"/>
        <v>9.6</v>
      </c>
      <c r="BV11" s="11">
        <f t="shared" si="32"/>
        <v>12.89</v>
      </c>
      <c r="BW11" s="11">
        <f t="shared" si="33"/>
        <v>43.89</v>
      </c>
      <c r="BX11" s="11">
        <f t="shared" si="34"/>
        <v>88.56</v>
      </c>
      <c r="BY11" s="22">
        <v>13.3</v>
      </c>
      <c r="BZ11" s="22">
        <v>9.1</v>
      </c>
      <c r="CA11" s="22">
        <v>9.3000000000000007</v>
      </c>
      <c r="CB11" s="22">
        <v>12.4</v>
      </c>
      <c r="CC11" s="22">
        <v>0</v>
      </c>
      <c r="CD11" s="22">
        <v>8.9</v>
      </c>
      <c r="CE11" s="22">
        <v>5.7</v>
      </c>
      <c r="CF11" s="22">
        <v>1.7</v>
      </c>
      <c r="CG11" s="22">
        <v>7.93</v>
      </c>
      <c r="CH11" s="22">
        <v>0</v>
      </c>
      <c r="CI11" s="22">
        <v>1.6</v>
      </c>
      <c r="CJ11" s="22">
        <v>1</v>
      </c>
      <c r="CK11" s="22">
        <v>1.5</v>
      </c>
      <c r="CL11" s="22">
        <v>1.41</v>
      </c>
      <c r="CM11" s="22">
        <v>0</v>
      </c>
      <c r="CN11" s="27"/>
      <c r="CO11" s="38">
        <f t="shared" si="35"/>
        <v>9.3000000000000007</v>
      </c>
      <c r="CP11" s="38">
        <f t="shared" si="36"/>
        <v>12.4</v>
      </c>
      <c r="CQ11" s="40">
        <f t="shared" si="37"/>
        <v>44.1</v>
      </c>
      <c r="CR11" s="40">
        <f t="shared" si="38"/>
        <v>1.7</v>
      </c>
      <c r="CS11" s="40">
        <f t="shared" si="39"/>
        <v>7.93</v>
      </c>
      <c r="CT11" s="40">
        <f t="shared" si="40"/>
        <v>24.23</v>
      </c>
      <c r="CU11" s="40">
        <f t="shared" si="41"/>
        <v>44.1</v>
      </c>
      <c r="CV11" s="40">
        <f t="shared" si="42"/>
        <v>1.5</v>
      </c>
      <c r="CW11" s="40">
        <f t="shared" si="43"/>
        <v>1.41</v>
      </c>
      <c r="CX11" s="40">
        <f t="shared" si="44"/>
        <v>5.51</v>
      </c>
      <c r="CY11" s="40">
        <f t="shared" si="45"/>
        <v>49.61</v>
      </c>
      <c r="CZ11" s="50" t="str">
        <f t="shared" si="46"/>
        <v/>
      </c>
      <c r="DA11" s="50" t="str">
        <f t="shared" si="47"/>
        <v/>
      </c>
      <c r="DB11" s="17"/>
      <c r="DC11" s="17"/>
      <c r="DD11" s="17"/>
      <c r="DE11" s="17"/>
      <c r="DF11" s="17"/>
      <c r="DG11" s="17"/>
      <c r="DH11" s="17"/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40" t="str">
        <f t="shared" si="48"/>
        <v/>
      </c>
      <c r="DW11" s="40" t="str">
        <f t="shared" si="49"/>
        <v/>
      </c>
      <c r="DX11" s="40" t="str">
        <f t="shared" si="50"/>
        <v/>
      </c>
      <c r="DY11" s="40" t="str">
        <f t="shared" si="51"/>
        <v/>
      </c>
      <c r="DZ11" s="40" t="str">
        <f t="shared" si="52"/>
        <v/>
      </c>
      <c r="EA11" s="40" t="str">
        <f t="shared" si="53"/>
        <v/>
      </c>
      <c r="EB11" s="40" t="str">
        <f t="shared" si="54"/>
        <v/>
      </c>
      <c r="EC11" s="40" t="str">
        <f t="shared" si="55"/>
        <v/>
      </c>
      <c r="ED11" s="40" t="str">
        <f t="shared" si="56"/>
        <v/>
      </c>
      <c r="EE11" s="40" t="str">
        <f t="shared" si="57"/>
        <v/>
      </c>
      <c r="EF11" s="40" t="str">
        <f t="shared" si="58"/>
        <v/>
      </c>
      <c r="EG11" s="40" t="str">
        <f t="shared" si="59"/>
        <v/>
      </c>
      <c r="EH11" s="40" t="str">
        <f t="shared" si="60"/>
        <v/>
      </c>
      <c r="EI11" s="40" t="str">
        <f t="shared" si="61"/>
        <v/>
      </c>
      <c r="EJ11" s="18"/>
      <c r="EK11" s="18"/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8"/>
      <c r="FC11" s="18"/>
      <c r="FD11" s="11" t="str">
        <f t="shared" si="62"/>
        <v/>
      </c>
      <c r="FE11" s="11" t="str">
        <f t="shared" si="63"/>
        <v/>
      </c>
      <c r="FF11" s="11" t="str">
        <f t="shared" si="64"/>
        <v/>
      </c>
      <c r="FG11" s="11" t="str">
        <f t="shared" si="65"/>
        <v/>
      </c>
      <c r="FH11" s="11" t="str">
        <f t="shared" si="66"/>
        <v/>
      </c>
      <c r="FI11" s="11" t="str">
        <f t="shared" si="67"/>
        <v/>
      </c>
      <c r="FJ11" s="11" t="str">
        <f t="shared" si="68"/>
        <v/>
      </c>
      <c r="FK11" s="11" t="str">
        <f t="shared" si="69"/>
        <v/>
      </c>
      <c r="FL11" s="11" t="str">
        <f t="shared" si="70"/>
        <v/>
      </c>
      <c r="FM11" s="11" t="str">
        <f t="shared" si="71"/>
        <v/>
      </c>
      <c r="FN11" s="11" t="str">
        <f t="shared" si="72"/>
        <v/>
      </c>
      <c r="FO11" s="11" t="str">
        <f t="shared" si="73"/>
        <v/>
      </c>
      <c r="FP11" s="11" t="str">
        <f t="shared" si="74"/>
        <v/>
      </c>
      <c r="FQ11" s="11" t="str">
        <f t="shared" si="75"/>
        <v/>
      </c>
      <c r="FR11" s="17"/>
      <c r="FS11" s="17"/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17"/>
      <c r="GF11" s="17"/>
      <c r="GG11" s="17"/>
      <c r="GH11" s="17"/>
      <c r="GI11" s="17"/>
      <c r="GJ11" s="17"/>
      <c r="GK11" s="17"/>
      <c r="GL11" s="40" t="str">
        <f t="shared" si="76"/>
        <v/>
      </c>
      <c r="GM11" s="40" t="str">
        <f t="shared" si="77"/>
        <v/>
      </c>
      <c r="GN11" s="40" t="str">
        <f t="shared" si="78"/>
        <v/>
      </c>
      <c r="GO11" s="40" t="str">
        <f t="shared" si="79"/>
        <v/>
      </c>
      <c r="GP11" s="40" t="str">
        <f t="shared" si="80"/>
        <v/>
      </c>
      <c r="GQ11" s="40" t="str">
        <f t="shared" si="81"/>
        <v/>
      </c>
      <c r="GR11" s="40" t="str">
        <f t="shared" si="82"/>
        <v/>
      </c>
      <c r="GS11" s="40" t="str">
        <f t="shared" si="83"/>
        <v/>
      </c>
      <c r="GT11" s="40" t="str">
        <f t="shared" si="84"/>
        <v/>
      </c>
      <c r="GU11" s="40" t="str">
        <f t="shared" si="85"/>
        <v/>
      </c>
      <c r="GV11" s="40" t="str">
        <f t="shared" si="86"/>
        <v/>
      </c>
      <c r="GW11" s="40" t="str">
        <f t="shared" si="87"/>
        <v/>
      </c>
      <c r="GX11" s="40" t="str">
        <f t="shared" si="88"/>
        <v/>
      </c>
      <c r="GY11" s="40" t="str">
        <f t="shared" si="89"/>
        <v/>
      </c>
      <c r="GZ11" s="18"/>
      <c r="HA11" s="18"/>
      <c r="HB11" s="18"/>
      <c r="HC11" s="18"/>
      <c r="HD11" s="18"/>
      <c r="HE11" s="18"/>
      <c r="HF11" s="18"/>
      <c r="HG11" s="18"/>
      <c r="HH11" s="18"/>
      <c r="HI11" s="18"/>
      <c r="HJ11" s="18"/>
      <c r="HK11" s="18"/>
      <c r="HL11" s="18"/>
      <c r="HM11" s="18"/>
      <c r="HN11" s="18"/>
      <c r="HO11" s="18"/>
      <c r="HP11" s="18"/>
      <c r="HQ11" s="18"/>
      <c r="HR11" s="18"/>
      <c r="HS11" s="18"/>
      <c r="HT11" s="11" t="str">
        <f t="shared" si="90"/>
        <v/>
      </c>
      <c r="HU11" s="11" t="str">
        <f t="shared" si="91"/>
        <v/>
      </c>
      <c r="HV11" s="11" t="str">
        <f t="shared" si="92"/>
        <v/>
      </c>
      <c r="HW11" s="11" t="str">
        <f t="shared" si="93"/>
        <v/>
      </c>
      <c r="HX11" s="11" t="str">
        <f t="shared" si="94"/>
        <v/>
      </c>
      <c r="HY11" s="11" t="str">
        <f t="shared" si="95"/>
        <v/>
      </c>
      <c r="HZ11" s="11" t="str">
        <f t="shared" si="96"/>
        <v/>
      </c>
      <c r="IA11" s="11" t="str">
        <f t="shared" si="97"/>
        <v/>
      </c>
      <c r="IB11" s="11" t="str">
        <f t="shared" si="98"/>
        <v/>
      </c>
      <c r="IC11" s="11" t="str">
        <f t="shared" si="99"/>
        <v/>
      </c>
      <c r="ID11" s="11" t="str">
        <f t="shared" si="100"/>
        <v/>
      </c>
      <c r="IE11" s="11" t="str">
        <f t="shared" si="101"/>
        <v/>
      </c>
      <c r="IF11" s="11" t="str">
        <f t="shared" si="102"/>
        <v/>
      </c>
      <c r="IG11" s="11" t="str">
        <f t="shared" si="103"/>
        <v/>
      </c>
      <c r="IH11" s="17"/>
      <c r="II11" s="17"/>
      <c r="IJ11" s="17"/>
      <c r="IK11" s="17"/>
      <c r="IL11" s="17"/>
      <c r="IM11" s="17"/>
      <c r="IN11" s="17"/>
      <c r="IO11" s="17"/>
      <c r="IP11" s="17"/>
      <c r="IQ11" s="17"/>
      <c r="IR11" s="17"/>
      <c r="IS11" s="17"/>
      <c r="IT11" s="17"/>
      <c r="IU11" s="17"/>
      <c r="IV11" s="17"/>
      <c r="IW11" s="17"/>
      <c r="IX11" s="17"/>
      <c r="IY11" s="17"/>
      <c r="IZ11" s="17"/>
      <c r="JA11" s="17"/>
      <c r="JB11" s="40" t="str">
        <f t="shared" si="104"/>
        <v/>
      </c>
      <c r="JC11" s="40" t="str">
        <f t="shared" si="105"/>
        <v/>
      </c>
      <c r="JD11" s="40" t="str">
        <f t="shared" si="106"/>
        <v/>
      </c>
      <c r="JE11" s="40" t="str">
        <f t="shared" si="107"/>
        <v/>
      </c>
      <c r="JF11" s="40" t="str">
        <f t="shared" si="108"/>
        <v/>
      </c>
      <c r="JG11" s="40" t="str">
        <f t="shared" si="109"/>
        <v/>
      </c>
      <c r="JH11" s="40" t="str">
        <f t="shared" si="110"/>
        <v/>
      </c>
      <c r="JI11" s="40" t="str">
        <f t="shared" si="111"/>
        <v/>
      </c>
      <c r="JJ11" s="40" t="str">
        <f t="shared" si="112"/>
        <v/>
      </c>
      <c r="JK11" s="40" t="str">
        <f t="shared" si="113"/>
        <v/>
      </c>
      <c r="JL11" s="40" t="str">
        <f t="shared" si="114"/>
        <v/>
      </c>
      <c r="JM11" s="40" t="str">
        <f t="shared" si="115"/>
        <v/>
      </c>
      <c r="JN11" s="40" t="str">
        <f t="shared" si="116"/>
        <v/>
      </c>
      <c r="JO11" s="40" t="str">
        <f t="shared" si="117"/>
        <v/>
      </c>
      <c r="JP11" s="18"/>
      <c r="JQ11" s="18"/>
      <c r="JR11" s="18"/>
      <c r="JS11" s="18"/>
      <c r="JT11" s="18"/>
      <c r="JU11" s="18"/>
      <c r="JV11" s="18"/>
      <c r="JW11" s="18"/>
      <c r="JX11" s="18"/>
      <c r="JY11" s="18"/>
      <c r="JZ11" s="18"/>
      <c r="KA11" s="18"/>
      <c r="KB11" s="18"/>
      <c r="KC11" s="18"/>
      <c r="KD11" s="18"/>
      <c r="KE11" s="18"/>
      <c r="KF11" s="18"/>
      <c r="KG11" s="18"/>
      <c r="KH11" s="18"/>
      <c r="KI11" s="18"/>
      <c r="KJ11" s="11" t="str">
        <f t="shared" si="118"/>
        <v/>
      </c>
      <c r="KK11" s="11" t="str">
        <f t="shared" si="119"/>
        <v/>
      </c>
      <c r="KL11" s="11" t="str">
        <f t="shared" si="120"/>
        <v/>
      </c>
      <c r="KM11" s="11" t="str">
        <f t="shared" si="121"/>
        <v/>
      </c>
      <c r="KN11" s="11" t="str">
        <f t="shared" si="122"/>
        <v/>
      </c>
      <c r="KO11" s="11" t="str">
        <f t="shared" si="123"/>
        <v/>
      </c>
      <c r="KP11" s="11" t="str">
        <f t="shared" si="124"/>
        <v/>
      </c>
      <c r="KQ11" s="11" t="str">
        <f t="shared" si="125"/>
        <v/>
      </c>
      <c r="KR11" s="11" t="str">
        <f t="shared" si="126"/>
        <v/>
      </c>
      <c r="KS11" s="11" t="str">
        <f t="shared" si="127"/>
        <v/>
      </c>
      <c r="KT11" s="11" t="str">
        <f t="shared" si="128"/>
        <v/>
      </c>
      <c r="KU11" s="11" t="str">
        <f t="shared" si="129"/>
        <v/>
      </c>
      <c r="KV11" s="11" t="str">
        <f t="shared" si="130"/>
        <v/>
      </c>
      <c r="KW11" s="11" t="str">
        <f t="shared" si="131"/>
        <v/>
      </c>
      <c r="KX11" s="17"/>
      <c r="KY11" s="17"/>
      <c r="KZ11" s="17"/>
      <c r="LA11" s="17"/>
      <c r="LB11" s="17"/>
      <c r="LC11" s="17"/>
      <c r="LD11" s="17"/>
      <c r="LE11" s="17"/>
      <c r="LF11" s="17"/>
      <c r="LG11" s="17"/>
      <c r="LH11" s="17"/>
      <c r="LI11" s="17"/>
      <c r="LJ11" s="17"/>
      <c r="LK11" s="17"/>
      <c r="LL11" s="17"/>
      <c r="LM11" s="17"/>
      <c r="LN11" s="17"/>
      <c r="LO11" s="17"/>
      <c r="LP11" s="17"/>
      <c r="LQ11" s="17"/>
      <c r="LR11" s="40" t="str">
        <f t="shared" si="132"/>
        <v/>
      </c>
      <c r="LS11" s="40" t="str">
        <f t="shared" si="133"/>
        <v/>
      </c>
      <c r="LT11" s="40" t="str">
        <f t="shared" si="134"/>
        <v/>
      </c>
      <c r="LU11" s="40" t="str">
        <f t="shared" si="135"/>
        <v/>
      </c>
      <c r="LV11" s="40" t="str">
        <f t="shared" si="136"/>
        <v/>
      </c>
      <c r="LW11" s="40" t="str">
        <f t="shared" si="137"/>
        <v/>
      </c>
      <c r="LX11" s="40" t="str">
        <f t="shared" si="138"/>
        <v/>
      </c>
      <c r="LY11" s="40" t="str">
        <f t="shared" si="139"/>
        <v/>
      </c>
      <c r="LZ11" s="40" t="str">
        <f t="shared" si="140"/>
        <v/>
      </c>
      <c r="MA11" s="40" t="str">
        <f t="shared" si="141"/>
        <v/>
      </c>
      <c r="MB11" s="40" t="str">
        <f t="shared" si="142"/>
        <v/>
      </c>
      <c r="MC11" s="40" t="str">
        <f t="shared" si="143"/>
        <v/>
      </c>
      <c r="MD11" s="40" t="str">
        <f t="shared" si="144"/>
        <v/>
      </c>
      <c r="ME11" s="40" t="str">
        <f t="shared" si="145"/>
        <v/>
      </c>
      <c r="MF11" s="18"/>
      <c r="MG11" s="18"/>
      <c r="MH11" s="18"/>
      <c r="MI11" s="18"/>
      <c r="MJ11" s="18"/>
      <c r="MK11" s="18"/>
      <c r="ML11" s="18"/>
      <c r="MM11" s="18"/>
      <c r="MN11" s="18"/>
      <c r="MO11" s="18"/>
      <c r="MP11" s="18"/>
      <c r="MQ11" s="18"/>
      <c r="MR11" s="18"/>
      <c r="MS11" s="18"/>
      <c r="MT11" s="18"/>
      <c r="MU11" s="18"/>
      <c r="MV11" s="18"/>
      <c r="MW11" s="18"/>
      <c r="MX11" s="18"/>
      <c r="MY11" s="18"/>
      <c r="MZ11" s="11" t="str">
        <f t="shared" si="146"/>
        <v/>
      </c>
      <c r="NA11" s="11" t="str">
        <f t="shared" si="147"/>
        <v/>
      </c>
      <c r="NB11" s="11" t="str">
        <f t="shared" si="148"/>
        <v/>
      </c>
      <c r="NC11" s="11" t="str">
        <f t="shared" si="149"/>
        <v/>
      </c>
      <c r="ND11" s="11" t="str">
        <f t="shared" si="150"/>
        <v/>
      </c>
      <c r="NE11" s="11" t="str">
        <f t="shared" si="151"/>
        <v/>
      </c>
      <c r="NF11" s="11" t="str">
        <f t="shared" si="152"/>
        <v/>
      </c>
      <c r="NG11" s="11" t="str">
        <f t="shared" si="153"/>
        <v/>
      </c>
      <c r="NH11" s="11" t="str">
        <f t="shared" si="154"/>
        <v/>
      </c>
      <c r="NI11" s="11" t="str">
        <f t="shared" si="155"/>
        <v/>
      </c>
      <c r="NJ11" s="11" t="str">
        <f t="shared" si="156"/>
        <v/>
      </c>
      <c r="NK11" s="11" t="str">
        <f t="shared" si="157"/>
        <v/>
      </c>
      <c r="NL11" s="11" t="str">
        <f t="shared" si="158"/>
        <v/>
      </c>
      <c r="NM11" s="11" t="str">
        <f t="shared" si="159"/>
        <v/>
      </c>
      <c r="NN11" s="17"/>
      <c r="NO11" s="17"/>
      <c r="NP11" s="17"/>
      <c r="NQ11" s="17"/>
      <c r="NR11" s="17"/>
      <c r="NS11" s="17"/>
      <c r="NT11" s="17"/>
      <c r="NU11" s="17"/>
      <c r="NV11" s="17"/>
      <c r="NW11" s="17"/>
      <c r="NX11" s="17"/>
      <c r="NY11" s="17"/>
      <c r="NZ11" s="17"/>
      <c r="OA11" s="17"/>
      <c r="OB11" s="17"/>
      <c r="OC11" s="17"/>
      <c r="OD11" s="17"/>
      <c r="OE11" s="17"/>
      <c r="OF11" s="17"/>
      <c r="OG11" s="17"/>
      <c r="OH11" s="40" t="str">
        <f t="shared" si="160"/>
        <v/>
      </c>
      <c r="OI11" s="40" t="str">
        <f t="shared" si="161"/>
        <v/>
      </c>
      <c r="OJ11" s="40" t="str">
        <f t="shared" si="162"/>
        <v/>
      </c>
      <c r="OK11" s="40" t="str">
        <f t="shared" si="163"/>
        <v/>
      </c>
      <c r="OL11" s="40" t="str">
        <f t="shared" si="164"/>
        <v/>
      </c>
      <c r="OM11" s="40" t="str">
        <f t="shared" si="165"/>
        <v/>
      </c>
      <c r="ON11" s="40" t="str">
        <f t="shared" si="166"/>
        <v/>
      </c>
      <c r="OO11" s="40" t="str">
        <f t="shared" si="167"/>
        <v/>
      </c>
      <c r="OP11" s="40" t="str">
        <f t="shared" si="168"/>
        <v/>
      </c>
      <c r="OQ11" s="40" t="str">
        <f t="shared" si="169"/>
        <v/>
      </c>
      <c r="OR11" s="40" t="str">
        <f t="shared" si="170"/>
        <v/>
      </c>
      <c r="OS11" s="40" t="str">
        <f t="shared" si="171"/>
        <v/>
      </c>
      <c r="OT11" s="40" t="str">
        <f t="shared" si="172"/>
        <v/>
      </c>
      <c r="OU11" s="40" t="str">
        <f t="shared" si="173"/>
        <v/>
      </c>
      <c r="OV11" s="18"/>
      <c r="OW11" s="18"/>
      <c r="OX11" s="18"/>
      <c r="OY11" s="18"/>
      <c r="OZ11" s="18"/>
      <c r="PA11" s="18"/>
      <c r="PB11" s="18"/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1" t="str">
        <f t="shared" si="174"/>
        <v/>
      </c>
      <c r="PQ11" s="11" t="str">
        <f t="shared" si="175"/>
        <v/>
      </c>
      <c r="PR11" s="11" t="str">
        <f t="shared" si="176"/>
        <v/>
      </c>
      <c r="PS11" s="11" t="str">
        <f t="shared" si="177"/>
        <v/>
      </c>
      <c r="PT11" s="11" t="str">
        <f t="shared" si="178"/>
        <v/>
      </c>
      <c r="PU11" s="11" t="str">
        <f t="shared" si="179"/>
        <v/>
      </c>
      <c r="PV11" s="11" t="str">
        <f t="shared" si="180"/>
        <v/>
      </c>
      <c r="PW11" s="11" t="str">
        <f t="shared" si="181"/>
        <v/>
      </c>
      <c r="PX11" s="11" t="str">
        <f t="shared" si="182"/>
        <v/>
      </c>
      <c r="PY11" s="11" t="str">
        <f t="shared" si="183"/>
        <v/>
      </c>
      <c r="PZ11" s="11" t="str">
        <f t="shared" si="184"/>
        <v/>
      </c>
      <c r="QA11" s="11" t="str">
        <f t="shared" si="185"/>
        <v/>
      </c>
      <c r="QB11" s="11" t="str">
        <f t="shared" si="186"/>
        <v/>
      </c>
      <c r="QC11" s="11" t="str">
        <f t="shared" si="187"/>
        <v/>
      </c>
      <c r="QD11" s="17"/>
      <c r="QE11" s="17"/>
      <c r="QF11" s="17"/>
      <c r="QG11" s="17"/>
      <c r="QH11" s="17"/>
      <c r="QI11" s="17"/>
      <c r="QJ11" s="17"/>
      <c r="QK11" s="17"/>
      <c r="QL11" s="17"/>
      <c r="QM11" s="17"/>
      <c r="QN11" s="17"/>
      <c r="QO11" s="17"/>
      <c r="QP11" s="17"/>
      <c r="QQ11" s="17"/>
      <c r="QR11" s="17"/>
      <c r="QS11" s="17"/>
      <c r="QT11" s="17"/>
      <c r="QU11" s="17"/>
      <c r="QV11" s="17"/>
      <c r="QW11" s="17"/>
      <c r="QX11" s="40" t="str">
        <f t="shared" si="188"/>
        <v/>
      </c>
      <c r="QY11" s="40" t="str">
        <f t="shared" si="189"/>
        <v/>
      </c>
      <c r="QZ11" s="40" t="str">
        <f t="shared" si="190"/>
        <v/>
      </c>
      <c r="RA11" s="40" t="str">
        <f t="shared" si="191"/>
        <v/>
      </c>
      <c r="RB11" s="40" t="str">
        <f t="shared" si="192"/>
        <v/>
      </c>
      <c r="RC11" s="40" t="str">
        <f t="shared" si="193"/>
        <v/>
      </c>
      <c r="RD11" s="40" t="str">
        <f t="shared" si="194"/>
        <v/>
      </c>
      <c r="RE11" s="40" t="str">
        <f t="shared" si="195"/>
        <v/>
      </c>
      <c r="RF11" s="40" t="str">
        <f t="shared" si="196"/>
        <v/>
      </c>
      <c r="RG11" s="40" t="str">
        <f t="shared" si="197"/>
        <v/>
      </c>
      <c r="RH11" s="40" t="str">
        <f t="shared" si="198"/>
        <v/>
      </c>
      <c r="RI11" s="40" t="str">
        <f t="shared" si="199"/>
        <v/>
      </c>
      <c r="RJ11" s="40" t="str">
        <f t="shared" si="200"/>
        <v/>
      </c>
      <c r="RK11" s="40" t="str">
        <f t="shared" si="201"/>
        <v/>
      </c>
      <c r="RL11" s="18"/>
      <c r="RM11" s="18"/>
      <c r="RN11" s="18"/>
      <c r="RO11" s="18"/>
      <c r="RP11" s="18"/>
      <c r="RQ11" s="18"/>
      <c r="RR11" s="18"/>
      <c r="RS11" s="18"/>
      <c r="RT11" s="18"/>
      <c r="RU11" s="18"/>
      <c r="RV11" s="18"/>
      <c r="RW11" s="18"/>
      <c r="RX11" s="18"/>
      <c r="RY11" s="18"/>
      <c r="RZ11" s="18"/>
      <c r="SA11" s="18"/>
      <c r="SB11" s="18"/>
      <c r="SC11" s="18"/>
      <c r="SD11" s="18"/>
      <c r="SE11" s="18"/>
      <c r="SF11" s="11" t="str">
        <f t="shared" si="202"/>
        <v/>
      </c>
      <c r="SG11" s="11" t="str">
        <f t="shared" si="203"/>
        <v/>
      </c>
      <c r="SH11" s="11" t="str">
        <f t="shared" si="204"/>
        <v/>
      </c>
      <c r="SI11" s="11" t="str">
        <f t="shared" si="205"/>
        <v/>
      </c>
      <c r="SJ11" s="11" t="str">
        <f t="shared" si="206"/>
        <v/>
      </c>
      <c r="SK11" s="11" t="str">
        <f t="shared" si="207"/>
        <v/>
      </c>
      <c r="SL11" s="11" t="str">
        <f t="shared" si="208"/>
        <v/>
      </c>
      <c r="SM11" s="11" t="str">
        <f t="shared" si="209"/>
        <v/>
      </c>
      <c r="SN11" s="11" t="str">
        <f t="shared" si="210"/>
        <v/>
      </c>
      <c r="SO11" s="11" t="str">
        <f t="shared" si="211"/>
        <v/>
      </c>
      <c r="SP11" s="11" t="str">
        <f t="shared" si="212"/>
        <v/>
      </c>
      <c r="SQ11" s="11" t="str">
        <f t="shared" si="213"/>
        <v/>
      </c>
      <c r="SR11" s="11" t="str">
        <f t="shared" si="214"/>
        <v/>
      </c>
      <c r="SS11" s="11" t="str">
        <f t="shared" si="215"/>
        <v/>
      </c>
      <c r="ST11" s="22">
        <f t="shared" si="216"/>
        <v>13.030000000000001</v>
      </c>
      <c r="SU11" s="22">
        <f t="shared" si="217"/>
        <v>9.25</v>
      </c>
      <c r="SV11" s="22">
        <f t="shared" si="218"/>
        <v>9.4499999999999993</v>
      </c>
      <c r="SW11" s="22">
        <f t="shared" si="219"/>
        <v>12.655000000000001</v>
      </c>
      <c r="SX11" s="22">
        <f t="shared" si="220"/>
        <v>0</v>
      </c>
      <c r="SY11" s="22">
        <f t="shared" si="221"/>
        <v>4.45</v>
      </c>
      <c r="SZ11" s="22">
        <f t="shared" si="222"/>
        <v>2.85</v>
      </c>
      <c r="TA11" s="22">
        <f t="shared" si="223"/>
        <v>0.85</v>
      </c>
      <c r="TB11" s="22">
        <f t="shared" si="224"/>
        <v>3.9649999999999999</v>
      </c>
      <c r="TC11" s="22">
        <f t="shared" si="225"/>
        <v>0</v>
      </c>
      <c r="TD11" s="22">
        <f t="shared" si="226"/>
        <v>7.1</v>
      </c>
      <c r="TE11" s="22">
        <f t="shared" si="227"/>
        <v>4.9000000000000004</v>
      </c>
      <c r="TF11" s="22">
        <f t="shared" si="228"/>
        <v>5.55</v>
      </c>
      <c r="TG11" s="22">
        <f t="shared" si="229"/>
        <v>7.15</v>
      </c>
      <c r="TH11" s="22">
        <f t="shared" si="230"/>
        <v>0</v>
      </c>
      <c r="TI11" s="27" t="s">
        <v>46</v>
      </c>
      <c r="TJ11" s="40">
        <f t="shared" si="231"/>
        <v>9.4499999999999993</v>
      </c>
      <c r="TK11" s="40">
        <f t="shared" si="232"/>
        <v>12.655000000000001</v>
      </c>
      <c r="TL11" s="40">
        <f t="shared" si="233"/>
        <v>44.385000000000005</v>
      </c>
      <c r="TM11" s="40">
        <f t="shared" si="234"/>
        <v>0.85</v>
      </c>
      <c r="TN11" s="40">
        <f t="shared" si="235"/>
        <v>3.9649999999999999</v>
      </c>
      <c r="TO11" s="40">
        <f t="shared" si="236"/>
        <v>12.115</v>
      </c>
      <c r="TP11" s="40">
        <f t="shared" si="237"/>
        <v>44.385000000000005</v>
      </c>
      <c r="TQ11" s="40">
        <f t="shared" si="238"/>
        <v>5.55</v>
      </c>
      <c r="TR11" s="40">
        <f t="shared" si="239"/>
        <v>7.15</v>
      </c>
      <c r="TS11" s="40">
        <f t="shared" si="240"/>
        <v>24.700000000000003</v>
      </c>
      <c r="TT11" s="40">
        <f t="shared" si="241"/>
        <v>69.085000000000008</v>
      </c>
    </row>
    <row r="12" spans="1:540" x14ac:dyDescent="0.2">
      <c r="A12" s="4" t="str" cm="1">
        <f t="array" ref="A12">IF(AND(F12&lt;&gt;"",G12&lt;&gt;""),SUMPRODUCT((F$4:F$32&lt;&gt;"")*(G$4:G$32&lt;&gt;"")*(E$4:E$32&gt;E12))+1,IF(G12&lt;&gt;"",SUMPRODUCT((H$4:H$32="No DD")*(E$4:E$32&gt;E12))+1+SUMPRODUCT((F$4:F$32&lt;&gt;"")*(G$4:G$32&lt;&gt;"")),""))</f>
        <v/>
      </c>
      <c r="B12" s="5" t="s">
        <v>159</v>
      </c>
      <c r="C12" s="4" t="s">
        <v>4</v>
      </c>
      <c r="D12" s="4">
        <v>2005</v>
      </c>
      <c r="E12" s="9">
        <f t="shared" si="0"/>
        <v>144.75001080500465</v>
      </c>
      <c r="F12" s="3" t="str">
        <f t="shared" si="1"/>
        <v/>
      </c>
      <c r="G12" s="3" t="str">
        <f t="shared" si="2"/>
        <v/>
      </c>
      <c r="H12" s="36" t="str">
        <f t="shared" si="3"/>
        <v/>
      </c>
      <c r="I12" s="3" t="str">
        <f t="shared" si="4"/>
        <v/>
      </c>
      <c r="J12" s="8">
        <f>IF(COUNT(AO12,AR12,BP12,BS12,CQ12,CT12)&gt;0,LARGE((AO12,AR12,BP12,BS12,CQ12,CT12),1),0)</f>
        <v>46.69</v>
      </c>
      <c r="K12" s="8" t="str">
        <f t="shared" si="5"/>
        <v>2022 3rd Domestic Trial</v>
      </c>
      <c r="L12" s="8">
        <f>IF(COUNT(AO12,AR12,BP12,BS12,CQ12,CT12)&gt;1,LARGE((AO12,AR12,BP12,BS12,CQ12,CT12),2),0)</f>
        <v>46.410000000000004</v>
      </c>
      <c r="M12" s="8" t="str">
        <f t="shared" si="6"/>
        <v>2022 Nationals</v>
      </c>
      <c r="N12" s="8">
        <f>IF(COUNT(AO12,AR12,BP12,BS12,CQ12,CT12)&gt;2,LARGE((AO12,AR12,BP12,BS12,CQ12,CT12),3),0)</f>
        <v>5.25</v>
      </c>
      <c r="O12" s="8" t="str">
        <f t="shared" si="242"/>
        <v>2023 Elite Canada</v>
      </c>
      <c r="P12" s="8">
        <f t="shared" si="7"/>
        <v>9.6999999999999993</v>
      </c>
      <c r="Q12" s="8" t="str">
        <f t="shared" si="8"/>
        <v>2022 3rd Domestic Trial</v>
      </c>
      <c r="R12" s="8">
        <f t="shared" si="9"/>
        <v>0</v>
      </c>
      <c r="S12" s="8" t="str">
        <f t="shared" si="10"/>
        <v/>
      </c>
      <c r="T12" s="8">
        <f t="shared" si="11"/>
        <v>36.700000000000003</v>
      </c>
      <c r="U12" s="11" t="str">
        <f t="shared" si="12"/>
        <v>(Optional)</v>
      </c>
      <c r="V12" s="8" t="str">
        <f>IF(T12="","",IF(T12=CZ12,IF(T12+IF(N12="",0,N12)=SL12,$RL$1,IF(T12+IF(N12="",0,N12)=RD12,$QD$1,IF(T12+IF(N12="",0,N12)=PV12,$OV$1,IF(T12+IF(N12="",0,N12)=ON12,$NN$1,IF(T12+IF(N12="",0,N12)=NF12,$MF$1,IF(T12+IF(N12="",0,N12)=LX12,$KX$1,IF(T12+IF(N12="",0,N12)=KP12,$JP$1,IF(T12+IF(N12="",0,N12)=JH12,$IH$1,IF(T12+IF(N12="",0,N12)=HZ12,$GZ$1,IF(T12+IF(N12="",0,N12)=GR12,$FR$1,IF(T12+IF(N12="",0,N12)=FJ12,$EJ$1,IF(T12+IF(N12="",0,N12)=EB12,$DB$1)))))))))))),IF(T12=DA12,IF(T12+IF(#REF!="",0,#REF!)=SR12,$RL$1,IF(T12+IF(#REF!="",0,#REF!)=RJ12,$QD$1,IF(T12+IF(#REF!="",0,#REF!)=QB12,$OV$1,IF(T12+IF(#REF!="",0,#REF!)=OT12,$NN$1,IF(T12+IF(#REF!="",0,#REF!)=NL12,$MF$1,IF(T12+IF(#REF!="",0,#REF!)=MD12,$KX$1,IF(T12+IF(#REF!="",0,#REF!)=KV12,$JP$1,IF(T12+IF(#REF!="",0,#REF!)=JN12,$IH$1,IF(T12+IF(#REF!="",0,#REF!)=IF12,$GZ$1,IF(T12+IF(#REF!="",0,#REF!)=GX12,$FR$1,IF(T12+IF(#REF!="",0,#REF!)=FP12,$EJ$1,IF(T12+IF(#REF!="",0,#REF!)=EH12,$DB$1,IF(T12+IF(#REF!="",0,#REF!)=SO12,$RL$1,IF(T12+IF(#REF!="",0,#REF!)=RG12,$QD$1,IF(T12+IF(#REF!="",0,#REF!)=PY12,$OV$1,IF(T12+IF(#REF!="",0,#REF!)=OQ12,$NN$1,IF(T12+IF(#REF!="",0,#REF!)=NI12,$MF$1,IF(T12+IF(#REF!="",0,#REF!)=MA12,$KX$1,IF(T12+IF(#REF!="",0,#REF!)=KS12,$JP$1,IF(T12+IF(#REF!="",0,#REF!)=JK12,$IH$1,IF(T12+IF(#REF!="",0,#REF!)=IC12,$GZ$1,IF(T12+IF(#REF!="",0,#REF!)=GU12,$FR$1,IF(T12+IF(#REF!="",0,#REF!)=FM12,$EJ$1,IF(T12+IF(#REF!="",0,#REF!)=EE12,$DB$1)))))))))))))))))))))))))))</f>
        <v>2022 Coimbra Gym Fest (June 26)</v>
      </c>
      <c r="W12" s="22">
        <v>13.3</v>
      </c>
      <c r="X12" s="22">
        <v>9.1999999999999993</v>
      </c>
      <c r="Y12" s="22">
        <v>9.6999999999999993</v>
      </c>
      <c r="Z12" s="22">
        <v>14.21</v>
      </c>
      <c r="AA12" s="22">
        <v>0</v>
      </c>
      <c r="AB12" s="22"/>
      <c r="AC12" s="22"/>
      <c r="AD12" s="22"/>
      <c r="AE12" s="22"/>
      <c r="AF12" s="22"/>
      <c r="AG12" s="22">
        <v>1.4</v>
      </c>
      <c r="AH12" s="22">
        <v>0.8</v>
      </c>
      <c r="AI12" s="22">
        <v>1.5</v>
      </c>
      <c r="AJ12" s="22">
        <v>1.48</v>
      </c>
      <c r="AK12" s="22">
        <v>0</v>
      </c>
      <c r="AL12" s="27"/>
      <c r="AM12" s="38">
        <f t="shared" si="13"/>
        <v>9.6999999999999993</v>
      </c>
      <c r="AN12" s="38">
        <f t="shared" si="14"/>
        <v>14.21</v>
      </c>
      <c r="AO12" s="40">
        <f t="shared" si="15"/>
        <v>46.410000000000004</v>
      </c>
      <c r="AP12" s="40" t="str">
        <f t="shared" si="16"/>
        <v/>
      </c>
      <c r="AQ12" s="40" t="str">
        <f t="shared" si="17"/>
        <v/>
      </c>
      <c r="AR12" s="40" t="str">
        <f t="shared" si="18"/>
        <v/>
      </c>
      <c r="AS12" s="40">
        <f t="shared" si="19"/>
        <v>46.410000000000004</v>
      </c>
      <c r="AT12" s="40">
        <f t="shared" si="20"/>
        <v>1.5</v>
      </c>
      <c r="AU12" s="40">
        <f t="shared" si="21"/>
        <v>1.48</v>
      </c>
      <c r="AV12" s="40">
        <f t="shared" si="22"/>
        <v>5.18</v>
      </c>
      <c r="AW12" s="40">
        <f t="shared" si="23"/>
        <v>51.59</v>
      </c>
      <c r="AX12" s="26">
        <v>13.3</v>
      </c>
      <c r="AY12" s="26">
        <v>9.6</v>
      </c>
      <c r="AZ12" s="26">
        <v>9.6999999999999993</v>
      </c>
      <c r="BA12" s="26">
        <v>14.09</v>
      </c>
      <c r="BB12" s="26">
        <v>0</v>
      </c>
      <c r="BC12" s="26"/>
      <c r="BD12" s="26"/>
      <c r="BE12" s="26"/>
      <c r="BF12" s="26"/>
      <c r="BG12" s="26"/>
      <c r="BH12" s="26">
        <v>6.28</v>
      </c>
      <c r="BI12" s="26">
        <v>4.5</v>
      </c>
      <c r="BJ12" s="26">
        <v>4.8</v>
      </c>
      <c r="BK12" s="26">
        <v>6.87</v>
      </c>
      <c r="BL12" s="26">
        <v>0</v>
      </c>
      <c r="BM12" s="28"/>
      <c r="BN12" s="39">
        <f t="shared" si="24"/>
        <v>9.6999999999999993</v>
      </c>
      <c r="BO12" s="39">
        <f t="shared" si="25"/>
        <v>14.09</v>
      </c>
      <c r="BP12" s="11">
        <f t="shared" si="26"/>
        <v>46.69</v>
      </c>
      <c r="BQ12" s="11" t="str">
        <f t="shared" si="27"/>
        <v/>
      </c>
      <c r="BR12" s="11" t="str">
        <f t="shared" si="28"/>
        <v/>
      </c>
      <c r="BS12" s="11" t="str">
        <f t="shared" si="29"/>
        <v/>
      </c>
      <c r="BT12" s="11">
        <f t="shared" si="30"/>
        <v>46.69</v>
      </c>
      <c r="BU12" s="11">
        <f t="shared" si="31"/>
        <v>4.8</v>
      </c>
      <c r="BV12" s="11">
        <f t="shared" si="32"/>
        <v>6.87</v>
      </c>
      <c r="BW12" s="11">
        <f t="shared" si="33"/>
        <v>22.450000000000003</v>
      </c>
      <c r="BX12" s="11">
        <f t="shared" si="34"/>
        <v>69.14</v>
      </c>
      <c r="BY12" s="22">
        <v>1.3</v>
      </c>
      <c r="BZ12" s="22">
        <v>1</v>
      </c>
      <c r="CA12" s="22">
        <v>1.5</v>
      </c>
      <c r="CB12" s="22">
        <v>1.45</v>
      </c>
      <c r="CC12" s="22">
        <v>0</v>
      </c>
      <c r="CD12" s="22">
        <v>1.2</v>
      </c>
      <c r="CE12" s="22">
        <v>1</v>
      </c>
      <c r="CF12" s="22">
        <v>1.5</v>
      </c>
      <c r="CG12" s="22">
        <v>1.45</v>
      </c>
      <c r="CH12" s="22">
        <v>0</v>
      </c>
      <c r="CI12" s="22"/>
      <c r="CJ12" s="22"/>
      <c r="CK12" s="22"/>
      <c r="CL12" s="22"/>
      <c r="CM12" s="22"/>
      <c r="CN12" s="27"/>
      <c r="CO12" s="38">
        <f t="shared" si="35"/>
        <v>1.5</v>
      </c>
      <c r="CP12" s="38">
        <f t="shared" si="36"/>
        <v>1.45</v>
      </c>
      <c r="CQ12" s="40">
        <f t="shared" si="37"/>
        <v>5.25</v>
      </c>
      <c r="CR12" s="40">
        <f t="shared" si="38"/>
        <v>1.5</v>
      </c>
      <c r="CS12" s="40">
        <f t="shared" si="39"/>
        <v>1.45</v>
      </c>
      <c r="CT12" s="40">
        <f t="shared" si="40"/>
        <v>5.15</v>
      </c>
      <c r="CU12" s="40">
        <f t="shared" si="41"/>
        <v>5.25</v>
      </c>
      <c r="CV12" s="40" t="str">
        <f t="shared" si="42"/>
        <v/>
      </c>
      <c r="CW12" s="40" t="str">
        <f t="shared" si="43"/>
        <v/>
      </c>
      <c r="CX12" s="40" t="str">
        <f t="shared" si="44"/>
        <v/>
      </c>
      <c r="CY12" s="40">
        <f t="shared" si="45"/>
        <v>5.25</v>
      </c>
      <c r="CZ12" s="50">
        <f t="shared" si="46"/>
        <v>36.700000000000003</v>
      </c>
      <c r="DA12" s="50" t="str">
        <f t="shared" si="47"/>
        <v/>
      </c>
      <c r="DB12" s="17">
        <v>7.8</v>
      </c>
      <c r="DC12" s="17">
        <v>5.6</v>
      </c>
      <c r="DD12" s="17">
        <v>6.2</v>
      </c>
      <c r="DE12" s="17">
        <v>8.6999999999999993</v>
      </c>
      <c r="DF12" s="17">
        <v>0</v>
      </c>
      <c r="DG12" s="17">
        <v>12</v>
      </c>
      <c r="DH12" s="17">
        <v>8.5</v>
      </c>
      <c r="DI12" s="17">
        <v>8.5</v>
      </c>
      <c r="DJ12" s="17">
        <v>12.95</v>
      </c>
      <c r="DK12" s="17">
        <v>0</v>
      </c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40">
        <f t="shared" si="48"/>
        <v>6.2</v>
      </c>
      <c r="DW12" s="40">
        <f t="shared" si="49"/>
        <v>8.6999999999999993</v>
      </c>
      <c r="DX12" s="40">
        <f t="shared" si="50"/>
        <v>28.299999999999997</v>
      </c>
      <c r="DY12" s="40">
        <f t="shared" si="51"/>
        <v>8.5</v>
      </c>
      <c r="DZ12" s="40">
        <f t="shared" si="52"/>
        <v>12.95</v>
      </c>
      <c r="EA12" s="40">
        <f t="shared" si="53"/>
        <v>41.95</v>
      </c>
      <c r="EB12" s="40">
        <f t="shared" si="54"/>
        <v>41.95</v>
      </c>
      <c r="EC12" s="40" t="str">
        <f t="shared" si="55"/>
        <v/>
      </c>
      <c r="ED12" s="40" t="str">
        <f t="shared" si="56"/>
        <v/>
      </c>
      <c r="EE12" s="40" t="str">
        <f t="shared" si="57"/>
        <v/>
      </c>
      <c r="EF12" s="40" t="str">
        <f t="shared" si="58"/>
        <v/>
      </c>
      <c r="EG12" s="40" t="str">
        <f t="shared" si="59"/>
        <v/>
      </c>
      <c r="EH12" s="40" t="str">
        <f t="shared" si="60"/>
        <v/>
      </c>
      <c r="EI12" s="40">
        <f t="shared" si="61"/>
        <v>41.95</v>
      </c>
      <c r="EJ12" s="18"/>
      <c r="EK12" s="18"/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8"/>
      <c r="FA12" s="18"/>
      <c r="FB12" s="18"/>
      <c r="FC12" s="18"/>
      <c r="FD12" s="11" t="str">
        <f t="shared" si="62"/>
        <v/>
      </c>
      <c r="FE12" s="11" t="str">
        <f t="shared" si="63"/>
        <v/>
      </c>
      <c r="FF12" s="11" t="str">
        <f t="shared" si="64"/>
        <v/>
      </c>
      <c r="FG12" s="11" t="str">
        <f t="shared" si="65"/>
        <v/>
      </c>
      <c r="FH12" s="11" t="str">
        <f t="shared" si="66"/>
        <v/>
      </c>
      <c r="FI12" s="11" t="str">
        <f t="shared" si="67"/>
        <v/>
      </c>
      <c r="FJ12" s="11" t="str">
        <f t="shared" si="68"/>
        <v/>
      </c>
      <c r="FK12" s="11" t="str">
        <f t="shared" si="69"/>
        <v/>
      </c>
      <c r="FL12" s="11" t="str">
        <f t="shared" si="70"/>
        <v/>
      </c>
      <c r="FM12" s="11" t="str">
        <f t="shared" si="71"/>
        <v/>
      </c>
      <c r="FN12" s="11" t="str">
        <f t="shared" si="72"/>
        <v/>
      </c>
      <c r="FO12" s="11" t="str">
        <f t="shared" si="73"/>
        <v/>
      </c>
      <c r="FP12" s="11" t="str">
        <f t="shared" si="74"/>
        <v/>
      </c>
      <c r="FQ12" s="11" t="str">
        <f t="shared" si="75"/>
        <v/>
      </c>
      <c r="FR12" s="17"/>
      <c r="FS12" s="17"/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17"/>
      <c r="GF12" s="17"/>
      <c r="GG12" s="17"/>
      <c r="GH12" s="17"/>
      <c r="GI12" s="17"/>
      <c r="GJ12" s="17"/>
      <c r="GK12" s="17"/>
      <c r="GL12" s="40" t="str">
        <f t="shared" si="76"/>
        <v/>
      </c>
      <c r="GM12" s="40" t="str">
        <f t="shared" si="77"/>
        <v/>
      </c>
      <c r="GN12" s="40" t="str">
        <f t="shared" si="78"/>
        <v/>
      </c>
      <c r="GO12" s="40" t="str">
        <f t="shared" si="79"/>
        <v/>
      </c>
      <c r="GP12" s="40" t="str">
        <f t="shared" si="80"/>
        <v/>
      </c>
      <c r="GQ12" s="40" t="str">
        <f t="shared" si="81"/>
        <v/>
      </c>
      <c r="GR12" s="40" t="str">
        <f t="shared" si="82"/>
        <v/>
      </c>
      <c r="GS12" s="40" t="str">
        <f t="shared" si="83"/>
        <v/>
      </c>
      <c r="GT12" s="40" t="str">
        <f t="shared" si="84"/>
        <v/>
      </c>
      <c r="GU12" s="40" t="str">
        <f t="shared" si="85"/>
        <v/>
      </c>
      <c r="GV12" s="40" t="str">
        <f t="shared" si="86"/>
        <v/>
      </c>
      <c r="GW12" s="40" t="str">
        <f t="shared" si="87"/>
        <v/>
      </c>
      <c r="GX12" s="40" t="str">
        <f t="shared" si="88"/>
        <v/>
      </c>
      <c r="GY12" s="40" t="str">
        <f t="shared" si="89"/>
        <v/>
      </c>
      <c r="GZ12" s="18"/>
      <c r="HA12" s="18"/>
      <c r="HB12" s="18"/>
      <c r="HC12" s="18"/>
      <c r="HD12" s="18"/>
      <c r="HE12" s="18"/>
      <c r="HF12" s="18"/>
      <c r="HG12" s="18"/>
      <c r="HH12" s="18"/>
      <c r="HI12" s="18"/>
      <c r="HJ12" s="18"/>
      <c r="HK12" s="18"/>
      <c r="HL12" s="18"/>
      <c r="HM12" s="18"/>
      <c r="HN12" s="18"/>
      <c r="HO12" s="18"/>
      <c r="HP12" s="18"/>
      <c r="HQ12" s="18"/>
      <c r="HR12" s="18"/>
      <c r="HS12" s="18"/>
      <c r="HT12" s="11" t="str">
        <f t="shared" si="90"/>
        <v/>
      </c>
      <c r="HU12" s="11" t="str">
        <f t="shared" si="91"/>
        <v/>
      </c>
      <c r="HV12" s="11" t="str">
        <f t="shared" si="92"/>
        <v/>
      </c>
      <c r="HW12" s="11" t="str">
        <f t="shared" si="93"/>
        <v/>
      </c>
      <c r="HX12" s="11" t="str">
        <f t="shared" si="94"/>
        <v/>
      </c>
      <c r="HY12" s="11" t="str">
        <f t="shared" si="95"/>
        <v/>
      </c>
      <c r="HZ12" s="11" t="str">
        <f t="shared" si="96"/>
        <v/>
      </c>
      <c r="IA12" s="11" t="str">
        <f t="shared" si="97"/>
        <v/>
      </c>
      <c r="IB12" s="11" t="str">
        <f t="shared" si="98"/>
        <v/>
      </c>
      <c r="IC12" s="11" t="str">
        <f t="shared" si="99"/>
        <v/>
      </c>
      <c r="ID12" s="11" t="str">
        <f t="shared" si="100"/>
        <v/>
      </c>
      <c r="IE12" s="11" t="str">
        <f t="shared" si="101"/>
        <v/>
      </c>
      <c r="IF12" s="11" t="str">
        <f t="shared" si="102"/>
        <v/>
      </c>
      <c r="IG12" s="11" t="str">
        <f t="shared" si="103"/>
        <v/>
      </c>
      <c r="IH12" s="17"/>
      <c r="II12" s="17"/>
      <c r="IJ12" s="17"/>
      <c r="IK12" s="17"/>
      <c r="IL12" s="17"/>
      <c r="IM12" s="17"/>
      <c r="IN12" s="17"/>
      <c r="IO12" s="17"/>
      <c r="IP12" s="17"/>
      <c r="IQ12" s="17"/>
      <c r="IR12" s="17"/>
      <c r="IS12" s="17"/>
      <c r="IT12" s="17"/>
      <c r="IU12" s="17"/>
      <c r="IV12" s="17"/>
      <c r="IW12" s="17"/>
      <c r="IX12" s="17"/>
      <c r="IY12" s="17"/>
      <c r="IZ12" s="17"/>
      <c r="JA12" s="17"/>
      <c r="JB12" s="40" t="str">
        <f t="shared" si="104"/>
        <v/>
      </c>
      <c r="JC12" s="40" t="str">
        <f t="shared" si="105"/>
        <v/>
      </c>
      <c r="JD12" s="40" t="str">
        <f t="shared" si="106"/>
        <v/>
      </c>
      <c r="JE12" s="40" t="str">
        <f t="shared" si="107"/>
        <v/>
      </c>
      <c r="JF12" s="40" t="str">
        <f t="shared" si="108"/>
        <v/>
      </c>
      <c r="JG12" s="40" t="str">
        <f t="shared" si="109"/>
        <v/>
      </c>
      <c r="JH12" s="40" t="str">
        <f t="shared" si="110"/>
        <v/>
      </c>
      <c r="JI12" s="40" t="str">
        <f t="shared" si="111"/>
        <v/>
      </c>
      <c r="JJ12" s="40" t="str">
        <f t="shared" si="112"/>
        <v/>
      </c>
      <c r="JK12" s="40" t="str">
        <f t="shared" si="113"/>
        <v/>
      </c>
      <c r="JL12" s="40" t="str">
        <f t="shared" si="114"/>
        <v/>
      </c>
      <c r="JM12" s="40" t="str">
        <f t="shared" si="115"/>
        <v/>
      </c>
      <c r="JN12" s="40" t="str">
        <f t="shared" si="116"/>
        <v/>
      </c>
      <c r="JO12" s="40" t="str">
        <f t="shared" si="117"/>
        <v/>
      </c>
      <c r="JP12" s="18"/>
      <c r="JQ12" s="18"/>
      <c r="JR12" s="18"/>
      <c r="JS12" s="18"/>
      <c r="JT12" s="18"/>
      <c r="JU12" s="18"/>
      <c r="JV12" s="18"/>
      <c r="JW12" s="18"/>
      <c r="JX12" s="18"/>
      <c r="JY12" s="18"/>
      <c r="JZ12" s="18"/>
      <c r="KA12" s="18"/>
      <c r="KB12" s="18"/>
      <c r="KC12" s="18"/>
      <c r="KD12" s="18"/>
      <c r="KE12" s="18"/>
      <c r="KF12" s="18"/>
      <c r="KG12" s="18"/>
      <c r="KH12" s="18"/>
      <c r="KI12" s="18"/>
      <c r="KJ12" s="11" t="str">
        <f t="shared" si="118"/>
        <v/>
      </c>
      <c r="KK12" s="11" t="str">
        <f t="shared" si="119"/>
        <v/>
      </c>
      <c r="KL12" s="11" t="str">
        <f t="shared" si="120"/>
        <v/>
      </c>
      <c r="KM12" s="11" t="str">
        <f t="shared" si="121"/>
        <v/>
      </c>
      <c r="KN12" s="11" t="str">
        <f t="shared" si="122"/>
        <v/>
      </c>
      <c r="KO12" s="11" t="str">
        <f t="shared" si="123"/>
        <v/>
      </c>
      <c r="KP12" s="11" t="str">
        <f t="shared" si="124"/>
        <v/>
      </c>
      <c r="KQ12" s="11" t="str">
        <f t="shared" si="125"/>
        <v/>
      </c>
      <c r="KR12" s="11" t="str">
        <f t="shared" si="126"/>
        <v/>
      </c>
      <c r="KS12" s="11" t="str">
        <f t="shared" si="127"/>
        <v/>
      </c>
      <c r="KT12" s="11" t="str">
        <f t="shared" si="128"/>
        <v/>
      </c>
      <c r="KU12" s="11" t="str">
        <f t="shared" si="129"/>
        <v/>
      </c>
      <c r="KV12" s="11" t="str">
        <f t="shared" si="130"/>
        <v/>
      </c>
      <c r="KW12" s="11" t="str">
        <f t="shared" si="131"/>
        <v/>
      </c>
      <c r="KX12" s="17"/>
      <c r="KY12" s="17"/>
      <c r="KZ12" s="17"/>
      <c r="LA12" s="17"/>
      <c r="LB12" s="17"/>
      <c r="LC12" s="17"/>
      <c r="LD12" s="17"/>
      <c r="LE12" s="17"/>
      <c r="LF12" s="17"/>
      <c r="LG12" s="17"/>
      <c r="LH12" s="17"/>
      <c r="LI12" s="17"/>
      <c r="LJ12" s="17"/>
      <c r="LK12" s="17"/>
      <c r="LL12" s="17"/>
      <c r="LM12" s="17"/>
      <c r="LN12" s="17"/>
      <c r="LO12" s="17"/>
      <c r="LP12" s="17"/>
      <c r="LQ12" s="17"/>
      <c r="LR12" s="40" t="str">
        <f t="shared" si="132"/>
        <v/>
      </c>
      <c r="LS12" s="40" t="str">
        <f t="shared" si="133"/>
        <v/>
      </c>
      <c r="LT12" s="40" t="str">
        <f t="shared" si="134"/>
        <v/>
      </c>
      <c r="LU12" s="40" t="str">
        <f t="shared" si="135"/>
        <v/>
      </c>
      <c r="LV12" s="40" t="str">
        <f t="shared" si="136"/>
        <v/>
      </c>
      <c r="LW12" s="40" t="str">
        <f t="shared" si="137"/>
        <v/>
      </c>
      <c r="LX12" s="40" t="str">
        <f t="shared" si="138"/>
        <v/>
      </c>
      <c r="LY12" s="40" t="str">
        <f t="shared" si="139"/>
        <v/>
      </c>
      <c r="LZ12" s="40" t="str">
        <f t="shared" si="140"/>
        <v/>
      </c>
      <c r="MA12" s="40" t="str">
        <f t="shared" si="141"/>
        <v/>
      </c>
      <c r="MB12" s="40" t="str">
        <f t="shared" si="142"/>
        <v/>
      </c>
      <c r="MC12" s="40" t="str">
        <f t="shared" si="143"/>
        <v/>
      </c>
      <c r="MD12" s="40" t="str">
        <f t="shared" si="144"/>
        <v/>
      </c>
      <c r="ME12" s="40" t="str">
        <f t="shared" si="145"/>
        <v/>
      </c>
      <c r="MF12" s="18"/>
      <c r="MG12" s="18"/>
      <c r="MH12" s="18"/>
      <c r="MI12" s="18"/>
      <c r="MJ12" s="18"/>
      <c r="MK12" s="18"/>
      <c r="ML12" s="18"/>
      <c r="MM12" s="18"/>
      <c r="MN12" s="18"/>
      <c r="MO12" s="18"/>
      <c r="MP12" s="18"/>
      <c r="MQ12" s="18"/>
      <c r="MR12" s="18"/>
      <c r="MS12" s="18"/>
      <c r="MT12" s="18"/>
      <c r="MU12" s="18"/>
      <c r="MV12" s="18"/>
      <c r="MW12" s="18"/>
      <c r="MX12" s="18"/>
      <c r="MY12" s="18"/>
      <c r="MZ12" s="11" t="str">
        <f t="shared" si="146"/>
        <v/>
      </c>
      <c r="NA12" s="11" t="str">
        <f t="shared" si="147"/>
        <v/>
      </c>
      <c r="NB12" s="11" t="str">
        <f t="shared" si="148"/>
        <v/>
      </c>
      <c r="NC12" s="11" t="str">
        <f t="shared" si="149"/>
        <v/>
      </c>
      <c r="ND12" s="11" t="str">
        <f t="shared" si="150"/>
        <v/>
      </c>
      <c r="NE12" s="11" t="str">
        <f t="shared" si="151"/>
        <v/>
      </c>
      <c r="NF12" s="11" t="str">
        <f t="shared" si="152"/>
        <v/>
      </c>
      <c r="NG12" s="11" t="str">
        <f t="shared" si="153"/>
        <v/>
      </c>
      <c r="NH12" s="11" t="str">
        <f t="shared" si="154"/>
        <v/>
      </c>
      <c r="NI12" s="11" t="str">
        <f t="shared" si="155"/>
        <v/>
      </c>
      <c r="NJ12" s="11" t="str">
        <f t="shared" si="156"/>
        <v/>
      </c>
      <c r="NK12" s="11" t="str">
        <f t="shared" si="157"/>
        <v/>
      </c>
      <c r="NL12" s="11" t="str">
        <f t="shared" si="158"/>
        <v/>
      </c>
      <c r="NM12" s="11" t="str">
        <f t="shared" si="159"/>
        <v/>
      </c>
      <c r="NN12" s="17"/>
      <c r="NO12" s="17"/>
      <c r="NP12" s="17"/>
      <c r="NQ12" s="17"/>
      <c r="NR12" s="17"/>
      <c r="NS12" s="17"/>
      <c r="NT12" s="17"/>
      <c r="NU12" s="17"/>
      <c r="NV12" s="17"/>
      <c r="NW12" s="17"/>
      <c r="NX12" s="17"/>
      <c r="NY12" s="17"/>
      <c r="NZ12" s="17"/>
      <c r="OA12" s="17"/>
      <c r="OB12" s="17"/>
      <c r="OC12" s="17"/>
      <c r="OD12" s="17"/>
      <c r="OE12" s="17"/>
      <c r="OF12" s="17"/>
      <c r="OG12" s="17"/>
      <c r="OH12" s="40" t="str">
        <f t="shared" si="160"/>
        <v/>
      </c>
      <c r="OI12" s="40" t="str">
        <f t="shared" si="161"/>
        <v/>
      </c>
      <c r="OJ12" s="40" t="str">
        <f t="shared" si="162"/>
        <v/>
      </c>
      <c r="OK12" s="40" t="str">
        <f t="shared" si="163"/>
        <v/>
      </c>
      <c r="OL12" s="40" t="str">
        <f t="shared" si="164"/>
        <v/>
      </c>
      <c r="OM12" s="40" t="str">
        <f t="shared" si="165"/>
        <v/>
      </c>
      <c r="ON12" s="40" t="str">
        <f t="shared" si="166"/>
        <v/>
      </c>
      <c r="OO12" s="40" t="str">
        <f t="shared" si="167"/>
        <v/>
      </c>
      <c r="OP12" s="40" t="str">
        <f t="shared" si="168"/>
        <v/>
      </c>
      <c r="OQ12" s="40" t="str">
        <f t="shared" si="169"/>
        <v/>
      </c>
      <c r="OR12" s="40" t="str">
        <f t="shared" si="170"/>
        <v/>
      </c>
      <c r="OS12" s="40" t="str">
        <f t="shared" si="171"/>
        <v/>
      </c>
      <c r="OT12" s="40" t="str">
        <f t="shared" si="172"/>
        <v/>
      </c>
      <c r="OU12" s="40" t="str">
        <f t="shared" si="173"/>
        <v/>
      </c>
      <c r="OV12" s="18"/>
      <c r="OW12" s="18"/>
      <c r="OX12" s="18"/>
      <c r="OY12" s="18"/>
      <c r="OZ12" s="18"/>
      <c r="PA12" s="18"/>
      <c r="PB12" s="18"/>
      <c r="PC12" s="18"/>
      <c r="PD12" s="18"/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1" t="str">
        <f t="shared" si="174"/>
        <v/>
      </c>
      <c r="PQ12" s="11" t="str">
        <f t="shared" si="175"/>
        <v/>
      </c>
      <c r="PR12" s="11" t="str">
        <f t="shared" si="176"/>
        <v/>
      </c>
      <c r="PS12" s="11" t="str">
        <f t="shared" si="177"/>
        <v/>
      </c>
      <c r="PT12" s="11" t="str">
        <f t="shared" si="178"/>
        <v/>
      </c>
      <c r="PU12" s="11" t="str">
        <f t="shared" si="179"/>
        <v/>
      </c>
      <c r="PV12" s="11" t="str">
        <f t="shared" si="180"/>
        <v/>
      </c>
      <c r="PW12" s="11" t="str">
        <f t="shared" si="181"/>
        <v/>
      </c>
      <c r="PX12" s="11" t="str">
        <f t="shared" si="182"/>
        <v/>
      </c>
      <c r="PY12" s="11" t="str">
        <f t="shared" si="183"/>
        <v/>
      </c>
      <c r="PZ12" s="11" t="str">
        <f t="shared" si="184"/>
        <v/>
      </c>
      <c r="QA12" s="11" t="str">
        <f t="shared" si="185"/>
        <v/>
      </c>
      <c r="QB12" s="11" t="str">
        <f t="shared" si="186"/>
        <v/>
      </c>
      <c r="QC12" s="11" t="str">
        <f t="shared" si="187"/>
        <v/>
      </c>
      <c r="QD12" s="17"/>
      <c r="QE12" s="17"/>
      <c r="QF12" s="17"/>
      <c r="QG12" s="17"/>
      <c r="QH12" s="17"/>
      <c r="QI12" s="17"/>
      <c r="QJ12" s="17"/>
      <c r="QK12" s="17"/>
      <c r="QL12" s="17"/>
      <c r="QM12" s="17"/>
      <c r="QN12" s="17"/>
      <c r="QO12" s="17"/>
      <c r="QP12" s="17"/>
      <c r="QQ12" s="17"/>
      <c r="QR12" s="17"/>
      <c r="QS12" s="17"/>
      <c r="QT12" s="17"/>
      <c r="QU12" s="17"/>
      <c r="QV12" s="17"/>
      <c r="QW12" s="17"/>
      <c r="QX12" s="40" t="str">
        <f t="shared" si="188"/>
        <v/>
      </c>
      <c r="QY12" s="40" t="str">
        <f t="shared" si="189"/>
        <v/>
      </c>
      <c r="QZ12" s="40" t="str">
        <f t="shared" si="190"/>
        <v/>
      </c>
      <c r="RA12" s="40" t="str">
        <f t="shared" si="191"/>
        <v/>
      </c>
      <c r="RB12" s="40" t="str">
        <f t="shared" si="192"/>
        <v/>
      </c>
      <c r="RC12" s="40" t="str">
        <f t="shared" si="193"/>
        <v/>
      </c>
      <c r="RD12" s="40" t="str">
        <f t="shared" si="194"/>
        <v/>
      </c>
      <c r="RE12" s="40" t="str">
        <f t="shared" si="195"/>
        <v/>
      </c>
      <c r="RF12" s="40" t="str">
        <f t="shared" si="196"/>
        <v/>
      </c>
      <c r="RG12" s="40" t="str">
        <f t="shared" si="197"/>
        <v/>
      </c>
      <c r="RH12" s="40" t="str">
        <f t="shared" si="198"/>
        <v/>
      </c>
      <c r="RI12" s="40" t="str">
        <f t="shared" si="199"/>
        <v/>
      </c>
      <c r="RJ12" s="40" t="str">
        <f t="shared" si="200"/>
        <v/>
      </c>
      <c r="RK12" s="40" t="str">
        <f t="shared" si="201"/>
        <v/>
      </c>
      <c r="RL12" s="18"/>
      <c r="RM12" s="18"/>
      <c r="RN12" s="18"/>
      <c r="RO12" s="18"/>
      <c r="RP12" s="18"/>
      <c r="RQ12" s="18"/>
      <c r="RR12" s="18"/>
      <c r="RS12" s="18"/>
      <c r="RT12" s="18"/>
      <c r="RU12" s="18"/>
      <c r="RV12" s="18"/>
      <c r="RW12" s="18"/>
      <c r="RX12" s="18"/>
      <c r="RY12" s="18"/>
      <c r="RZ12" s="18"/>
      <c r="SA12" s="18"/>
      <c r="SB12" s="18"/>
      <c r="SC12" s="18"/>
      <c r="SD12" s="18"/>
      <c r="SE12" s="18"/>
      <c r="SF12" s="11" t="str">
        <f t="shared" si="202"/>
        <v/>
      </c>
      <c r="SG12" s="11" t="str">
        <f t="shared" si="203"/>
        <v/>
      </c>
      <c r="SH12" s="11" t="str">
        <f t="shared" si="204"/>
        <v/>
      </c>
      <c r="SI12" s="11" t="str">
        <f t="shared" si="205"/>
        <v/>
      </c>
      <c r="SJ12" s="11" t="str">
        <f t="shared" si="206"/>
        <v/>
      </c>
      <c r="SK12" s="11" t="str">
        <f t="shared" si="207"/>
        <v/>
      </c>
      <c r="SL12" s="11" t="str">
        <f t="shared" si="208"/>
        <v/>
      </c>
      <c r="SM12" s="11" t="str">
        <f t="shared" si="209"/>
        <v/>
      </c>
      <c r="SN12" s="11" t="str">
        <f t="shared" si="210"/>
        <v/>
      </c>
      <c r="SO12" s="11" t="str">
        <f t="shared" si="211"/>
        <v/>
      </c>
      <c r="SP12" s="11" t="str">
        <f t="shared" si="212"/>
        <v/>
      </c>
      <c r="SQ12" s="11" t="str">
        <f t="shared" si="213"/>
        <v/>
      </c>
      <c r="SR12" s="11" t="str">
        <f t="shared" si="214"/>
        <v/>
      </c>
      <c r="SS12" s="11" t="str">
        <f t="shared" si="215"/>
        <v/>
      </c>
      <c r="ST12" s="22">
        <f t="shared" si="216"/>
        <v>7.3000000000000007</v>
      </c>
      <c r="SU12" s="22">
        <f t="shared" si="217"/>
        <v>5.3</v>
      </c>
      <c r="SV12" s="22">
        <f t="shared" si="218"/>
        <v>5.6</v>
      </c>
      <c r="SW12" s="22">
        <f t="shared" si="219"/>
        <v>7.77</v>
      </c>
      <c r="SX12" s="22">
        <f t="shared" si="220"/>
        <v>0</v>
      </c>
      <c r="SY12" s="22">
        <f t="shared" si="221"/>
        <v>0.6</v>
      </c>
      <c r="SZ12" s="22">
        <f t="shared" si="222"/>
        <v>0.5</v>
      </c>
      <c r="TA12" s="22">
        <f t="shared" si="223"/>
        <v>0.75</v>
      </c>
      <c r="TB12" s="22">
        <f t="shared" si="224"/>
        <v>0.72499999999999998</v>
      </c>
      <c r="TC12" s="22">
        <f t="shared" si="225"/>
        <v>0</v>
      </c>
      <c r="TD12" s="22">
        <f t="shared" si="226"/>
        <v>3.14</v>
      </c>
      <c r="TE12" s="22">
        <f t="shared" si="227"/>
        <v>2.25</v>
      </c>
      <c r="TF12" s="22">
        <f t="shared" si="228"/>
        <v>2.4</v>
      </c>
      <c r="TG12" s="22">
        <f t="shared" si="229"/>
        <v>3.4350000000000001</v>
      </c>
      <c r="TH12" s="22">
        <f t="shared" si="230"/>
        <v>0</v>
      </c>
      <c r="TI12" s="27" t="s">
        <v>46</v>
      </c>
      <c r="TJ12" s="40">
        <f t="shared" si="231"/>
        <v>5.6</v>
      </c>
      <c r="TK12" s="40">
        <f t="shared" si="232"/>
        <v>7.77</v>
      </c>
      <c r="TL12" s="40">
        <f t="shared" si="233"/>
        <v>25.970000000000002</v>
      </c>
      <c r="TM12" s="40">
        <f t="shared" si="234"/>
        <v>0.75</v>
      </c>
      <c r="TN12" s="40">
        <f t="shared" si="235"/>
        <v>0.72499999999999998</v>
      </c>
      <c r="TO12" s="40">
        <f t="shared" si="236"/>
        <v>2.5750000000000002</v>
      </c>
      <c r="TP12" s="40">
        <f t="shared" si="237"/>
        <v>25.970000000000002</v>
      </c>
      <c r="TQ12" s="40">
        <f t="shared" si="238"/>
        <v>2.4</v>
      </c>
      <c r="TR12" s="40">
        <f t="shared" si="239"/>
        <v>3.4350000000000001</v>
      </c>
      <c r="TS12" s="40">
        <f t="shared" si="240"/>
        <v>11.225000000000001</v>
      </c>
      <c r="TT12" s="40">
        <f t="shared" si="241"/>
        <v>37.195000000000007</v>
      </c>
    </row>
    <row r="13" spans="1:540" x14ac:dyDescent="0.2">
      <c r="A13" s="4" t="str" cm="1">
        <f t="array" ref="A13">IF(AND(F13&lt;&gt;"",G13&lt;&gt;""),SUMPRODUCT((F$4:F$32&lt;&gt;"")*(G$4:G$32&lt;&gt;"")*(E$4:E$32&gt;E13))+1,IF(G13&lt;&gt;"",SUMPRODUCT((H$4:H$32="No DD")*(E$4:E$32&gt;E13))+1+SUMPRODUCT((F$4:F$32&lt;&gt;"")*(G$4:G$32&lt;&gt;"")),""))</f>
        <v/>
      </c>
      <c r="B13" s="5" t="s">
        <v>163</v>
      </c>
      <c r="C13" s="4" t="s">
        <v>3</v>
      </c>
      <c r="D13" s="4">
        <v>2005</v>
      </c>
      <c r="E13" s="9">
        <f t="shared" si="0"/>
        <v>127.47001274700426</v>
      </c>
      <c r="F13" s="3" t="str">
        <f t="shared" si="1"/>
        <v/>
      </c>
      <c r="G13" s="3" t="str">
        <f t="shared" si="2"/>
        <v/>
      </c>
      <c r="H13" s="36" t="str">
        <f t="shared" si="3"/>
        <v/>
      </c>
      <c r="I13" s="3" t="str">
        <f t="shared" si="4"/>
        <v/>
      </c>
      <c r="J13" s="8">
        <f>IF(COUNT(AO13,AR13,BP13,BS13,CQ13,CT13)&gt;0,LARGE((AO13,AR13,BP13,BS13,CQ13,CT13),1),0)</f>
        <v>42.72</v>
      </c>
      <c r="K13" s="8" t="str">
        <f t="shared" si="5"/>
        <v>2022 Nationals</v>
      </c>
      <c r="L13" s="8">
        <f>IF(COUNT(AO13,AR13,BP13,BS13,CQ13,CT13)&gt;1,LARGE((AO13,AR13,BP13,BS13,CQ13,CT13),2),0)</f>
        <v>38.299999999999997</v>
      </c>
      <c r="M13" s="8" t="str">
        <f t="shared" si="6"/>
        <v>2023 Elite Canada</v>
      </c>
      <c r="N13" s="8">
        <f>IF(COUNT(AO13,AR13,BP13,BS13,CQ13,CT13)&gt;2,LARGE((AO13,AR13,BP13,BS13,CQ13,CT13),3),0)</f>
        <v>38.15</v>
      </c>
      <c r="O13" s="8" t="str">
        <f t="shared" si="242"/>
        <v>2022 3rd Domestic Trial</v>
      </c>
      <c r="P13" s="8">
        <f t="shared" si="7"/>
        <v>8.3000000000000007</v>
      </c>
      <c r="Q13" s="8" t="str">
        <f t="shared" si="8"/>
        <v>2022 Nationals</v>
      </c>
      <c r="R13" s="8">
        <f t="shared" si="9"/>
        <v>0</v>
      </c>
      <c r="S13" s="8" t="str">
        <f t="shared" si="10"/>
        <v/>
      </c>
      <c r="T13" s="8" t="str">
        <f t="shared" si="11"/>
        <v/>
      </c>
      <c r="U13" s="11" t="str">
        <f t="shared" si="12"/>
        <v/>
      </c>
      <c r="V13" s="8" t="str">
        <f>IF(T13="","",IF(T13=CZ13,IF(T13+IF(N13="",0,N13)=SL13,$RL$1,IF(T13+IF(N13="",0,N13)=RD13,$QD$1,IF(T13+IF(N13="",0,N13)=PV13,$OV$1,IF(T13+IF(N13="",0,N13)=ON13,$NN$1,IF(T13+IF(N13="",0,N13)=NF13,$MF$1,IF(T13+IF(N13="",0,N13)=LX13,$KX$1,IF(T13+IF(N13="",0,N13)=KP13,$JP$1,IF(T13+IF(N13="",0,N13)=JH13,$IH$1,IF(T13+IF(N13="",0,N13)=HZ13,$GZ$1,IF(T13+IF(N13="",0,N13)=GR13,$FR$1,IF(T13+IF(N13="",0,N13)=FJ13,$EJ$1,IF(T13+IF(N13="",0,N13)=EB13,$DB$1)))))))))))),IF(T13=DA13,IF(T13+IF(#REF!="",0,#REF!)=SR13,$RL$1,IF(T13+IF(#REF!="",0,#REF!)=RJ13,$QD$1,IF(T13+IF(#REF!="",0,#REF!)=QB13,$OV$1,IF(T13+IF(#REF!="",0,#REF!)=OT13,$NN$1,IF(T13+IF(#REF!="",0,#REF!)=NL13,$MF$1,IF(T13+IF(#REF!="",0,#REF!)=MD13,$KX$1,IF(T13+IF(#REF!="",0,#REF!)=KV13,$JP$1,IF(T13+IF(#REF!="",0,#REF!)=JN13,$IH$1,IF(T13+IF(#REF!="",0,#REF!)=IF13,$GZ$1,IF(T13+IF(#REF!="",0,#REF!)=GX13,$FR$1,IF(T13+IF(#REF!="",0,#REF!)=FP13,$EJ$1,IF(T13+IF(#REF!="",0,#REF!)=EH13,$DB$1,IF(T13+IF(#REF!="",0,#REF!)=SO13,$RL$1,IF(T13+IF(#REF!="",0,#REF!)=RG13,$QD$1,IF(T13+IF(#REF!="",0,#REF!)=PY13,$OV$1,IF(T13+IF(#REF!="",0,#REF!)=OQ13,$NN$1,IF(T13+IF(#REF!="",0,#REF!)=NI13,$MF$1,IF(T13+IF(#REF!="",0,#REF!)=MA13,$KX$1,IF(T13+IF(#REF!="",0,#REF!)=KS13,$JP$1,IF(T13+IF(#REF!="",0,#REF!)=JK13,$IH$1,IF(T13+IF(#REF!="",0,#REF!)=IC13,$GZ$1,IF(T13+IF(#REF!="",0,#REF!)=GU13,$FR$1,IF(T13+IF(#REF!="",0,#REF!)=FM13,$EJ$1,IF(T13+IF(#REF!="",0,#REF!)=EE13,$DB$1)))))))))))))))))))))))))))</f>
        <v/>
      </c>
      <c r="W13" s="22">
        <v>13.3</v>
      </c>
      <c r="X13" s="22">
        <v>9</v>
      </c>
      <c r="Y13" s="22">
        <v>8.3000000000000007</v>
      </c>
      <c r="Z13" s="22">
        <v>12.62</v>
      </c>
      <c r="AA13" s="22">
        <v>0.5</v>
      </c>
      <c r="AB13" s="22"/>
      <c r="AC13" s="22"/>
      <c r="AD13" s="22"/>
      <c r="AE13" s="22"/>
      <c r="AF13" s="22"/>
      <c r="AG13" s="22"/>
      <c r="AH13" s="22"/>
      <c r="AI13" s="22"/>
      <c r="AJ13" s="22"/>
      <c r="AK13" s="22"/>
      <c r="AL13" s="27"/>
      <c r="AM13" s="38">
        <f t="shared" si="13"/>
        <v>8.3000000000000007</v>
      </c>
      <c r="AN13" s="38">
        <f t="shared" si="14"/>
        <v>12.62</v>
      </c>
      <c r="AO13" s="40">
        <f t="shared" si="15"/>
        <v>42.72</v>
      </c>
      <c r="AP13" s="40" t="str">
        <f t="shared" si="16"/>
        <v/>
      </c>
      <c r="AQ13" s="40" t="str">
        <f t="shared" si="17"/>
        <v/>
      </c>
      <c r="AR13" s="40" t="str">
        <f t="shared" si="18"/>
        <v/>
      </c>
      <c r="AS13" s="40">
        <f t="shared" si="19"/>
        <v>42.72</v>
      </c>
      <c r="AT13" s="40" t="str">
        <f t="shared" si="20"/>
        <v/>
      </c>
      <c r="AU13" s="40" t="str">
        <f t="shared" si="21"/>
        <v/>
      </c>
      <c r="AV13" s="40" t="str">
        <f t="shared" si="22"/>
        <v/>
      </c>
      <c r="AW13" s="40">
        <f t="shared" si="23"/>
        <v>42.72</v>
      </c>
      <c r="AX13" s="26">
        <v>11.6</v>
      </c>
      <c r="AY13" s="26">
        <v>8.5</v>
      </c>
      <c r="AZ13" s="26">
        <v>7.1</v>
      </c>
      <c r="BA13" s="26">
        <v>12.65</v>
      </c>
      <c r="BB13" s="26">
        <v>1.7</v>
      </c>
      <c r="BC13" s="26"/>
      <c r="BD13" s="26"/>
      <c r="BE13" s="26"/>
      <c r="BF13" s="26"/>
      <c r="BG13" s="26"/>
      <c r="BH13" s="26">
        <v>12.2</v>
      </c>
      <c r="BI13" s="26">
        <v>8.9</v>
      </c>
      <c r="BJ13" s="26">
        <v>7</v>
      </c>
      <c r="BK13" s="26">
        <v>12.69</v>
      </c>
      <c r="BL13" s="26">
        <v>1.8</v>
      </c>
      <c r="BM13" s="28"/>
      <c r="BN13" s="39">
        <f t="shared" si="24"/>
        <v>7.1</v>
      </c>
      <c r="BO13" s="39">
        <f t="shared" si="25"/>
        <v>12.65</v>
      </c>
      <c r="BP13" s="11">
        <f t="shared" si="26"/>
        <v>38.15</v>
      </c>
      <c r="BQ13" s="11" t="str">
        <f t="shared" si="27"/>
        <v/>
      </c>
      <c r="BR13" s="11" t="str">
        <f t="shared" si="28"/>
        <v/>
      </c>
      <c r="BS13" s="11" t="str">
        <f t="shared" si="29"/>
        <v/>
      </c>
      <c r="BT13" s="11">
        <f t="shared" si="30"/>
        <v>38.15</v>
      </c>
      <c r="BU13" s="11">
        <f t="shared" si="31"/>
        <v>7</v>
      </c>
      <c r="BV13" s="11">
        <f t="shared" si="32"/>
        <v>12.69</v>
      </c>
      <c r="BW13" s="11">
        <f t="shared" si="33"/>
        <v>38.99</v>
      </c>
      <c r="BX13" s="11">
        <f t="shared" si="34"/>
        <v>77.14</v>
      </c>
      <c r="BY13" s="22">
        <v>11.4</v>
      </c>
      <c r="BZ13" s="22">
        <v>8.1</v>
      </c>
      <c r="CA13" s="22">
        <v>7.8</v>
      </c>
      <c r="CB13" s="22">
        <v>11</v>
      </c>
      <c r="CC13" s="22">
        <v>0</v>
      </c>
      <c r="CD13" s="22">
        <v>11.8</v>
      </c>
      <c r="CE13" s="22">
        <v>8.6999999999999993</v>
      </c>
      <c r="CF13" s="22">
        <v>6.6</v>
      </c>
      <c r="CG13" s="22">
        <v>11.78</v>
      </c>
      <c r="CH13" s="22">
        <v>2.2000000000000002</v>
      </c>
      <c r="CI13" s="22"/>
      <c r="CJ13" s="22"/>
      <c r="CK13" s="22"/>
      <c r="CL13" s="22"/>
      <c r="CM13" s="22"/>
      <c r="CN13" s="27"/>
      <c r="CO13" s="38">
        <f t="shared" si="35"/>
        <v>7.8</v>
      </c>
      <c r="CP13" s="38">
        <f t="shared" si="36"/>
        <v>11</v>
      </c>
      <c r="CQ13" s="40">
        <f t="shared" si="37"/>
        <v>38.299999999999997</v>
      </c>
      <c r="CR13" s="40">
        <f t="shared" si="38"/>
        <v>6.6</v>
      </c>
      <c r="CS13" s="40">
        <f t="shared" si="39"/>
        <v>11.78</v>
      </c>
      <c r="CT13" s="40">
        <f t="shared" si="40"/>
        <v>36.68</v>
      </c>
      <c r="CU13" s="40">
        <f t="shared" si="41"/>
        <v>38.299999999999997</v>
      </c>
      <c r="CV13" s="40" t="str">
        <f t="shared" si="42"/>
        <v/>
      </c>
      <c r="CW13" s="40" t="str">
        <f t="shared" si="43"/>
        <v/>
      </c>
      <c r="CX13" s="40" t="str">
        <f t="shared" si="44"/>
        <v/>
      </c>
      <c r="CY13" s="40">
        <f t="shared" si="45"/>
        <v>38.299999999999997</v>
      </c>
      <c r="CZ13" s="50" t="str">
        <f t="shared" si="46"/>
        <v/>
      </c>
      <c r="DA13" s="50" t="str">
        <f t="shared" si="47"/>
        <v/>
      </c>
      <c r="DB13" s="17"/>
      <c r="DC13" s="17"/>
      <c r="DD13" s="17"/>
      <c r="DE13" s="17"/>
      <c r="DF13" s="17"/>
      <c r="DG13" s="17"/>
      <c r="DH13" s="17"/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40" t="str">
        <f t="shared" si="48"/>
        <v/>
      </c>
      <c r="DW13" s="40" t="str">
        <f t="shared" si="49"/>
        <v/>
      </c>
      <c r="DX13" s="40" t="str">
        <f t="shared" si="50"/>
        <v/>
      </c>
      <c r="DY13" s="40" t="str">
        <f t="shared" si="51"/>
        <v/>
      </c>
      <c r="DZ13" s="40" t="str">
        <f t="shared" si="52"/>
        <v/>
      </c>
      <c r="EA13" s="40" t="str">
        <f t="shared" si="53"/>
        <v/>
      </c>
      <c r="EB13" s="40" t="str">
        <f t="shared" si="54"/>
        <v/>
      </c>
      <c r="EC13" s="40" t="str">
        <f t="shared" si="55"/>
        <v/>
      </c>
      <c r="ED13" s="40" t="str">
        <f t="shared" si="56"/>
        <v/>
      </c>
      <c r="EE13" s="40" t="str">
        <f t="shared" si="57"/>
        <v/>
      </c>
      <c r="EF13" s="40" t="str">
        <f t="shared" si="58"/>
        <v/>
      </c>
      <c r="EG13" s="40" t="str">
        <f t="shared" si="59"/>
        <v/>
      </c>
      <c r="EH13" s="40" t="str">
        <f t="shared" si="60"/>
        <v/>
      </c>
      <c r="EI13" s="40" t="str">
        <f t="shared" si="61"/>
        <v/>
      </c>
      <c r="EJ13" s="18"/>
      <c r="EK13" s="18"/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8"/>
      <c r="FA13" s="18"/>
      <c r="FB13" s="18"/>
      <c r="FC13" s="18"/>
      <c r="FD13" s="11" t="str">
        <f t="shared" si="62"/>
        <v/>
      </c>
      <c r="FE13" s="11" t="str">
        <f t="shared" si="63"/>
        <v/>
      </c>
      <c r="FF13" s="11" t="str">
        <f t="shared" si="64"/>
        <v/>
      </c>
      <c r="FG13" s="11" t="str">
        <f t="shared" si="65"/>
        <v/>
      </c>
      <c r="FH13" s="11" t="str">
        <f t="shared" si="66"/>
        <v/>
      </c>
      <c r="FI13" s="11" t="str">
        <f t="shared" si="67"/>
        <v/>
      </c>
      <c r="FJ13" s="11" t="str">
        <f t="shared" si="68"/>
        <v/>
      </c>
      <c r="FK13" s="11" t="str">
        <f t="shared" si="69"/>
        <v/>
      </c>
      <c r="FL13" s="11" t="str">
        <f t="shared" si="70"/>
        <v/>
      </c>
      <c r="FM13" s="11" t="str">
        <f t="shared" si="71"/>
        <v/>
      </c>
      <c r="FN13" s="11" t="str">
        <f t="shared" si="72"/>
        <v/>
      </c>
      <c r="FO13" s="11" t="str">
        <f t="shared" si="73"/>
        <v/>
      </c>
      <c r="FP13" s="11" t="str">
        <f t="shared" si="74"/>
        <v/>
      </c>
      <c r="FQ13" s="11" t="str">
        <f t="shared" si="75"/>
        <v/>
      </c>
      <c r="FR13" s="17"/>
      <c r="FS13" s="17"/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17"/>
      <c r="GF13" s="17"/>
      <c r="GG13" s="17"/>
      <c r="GH13" s="17"/>
      <c r="GI13" s="17"/>
      <c r="GJ13" s="17"/>
      <c r="GK13" s="17"/>
      <c r="GL13" s="40" t="str">
        <f t="shared" si="76"/>
        <v/>
      </c>
      <c r="GM13" s="40" t="str">
        <f t="shared" si="77"/>
        <v/>
      </c>
      <c r="GN13" s="40" t="str">
        <f t="shared" si="78"/>
        <v/>
      </c>
      <c r="GO13" s="40" t="str">
        <f t="shared" si="79"/>
        <v/>
      </c>
      <c r="GP13" s="40" t="str">
        <f t="shared" si="80"/>
        <v/>
      </c>
      <c r="GQ13" s="40" t="str">
        <f t="shared" si="81"/>
        <v/>
      </c>
      <c r="GR13" s="40" t="str">
        <f t="shared" si="82"/>
        <v/>
      </c>
      <c r="GS13" s="40" t="str">
        <f t="shared" si="83"/>
        <v/>
      </c>
      <c r="GT13" s="40" t="str">
        <f t="shared" si="84"/>
        <v/>
      </c>
      <c r="GU13" s="40" t="str">
        <f t="shared" si="85"/>
        <v/>
      </c>
      <c r="GV13" s="40" t="str">
        <f t="shared" si="86"/>
        <v/>
      </c>
      <c r="GW13" s="40" t="str">
        <f t="shared" si="87"/>
        <v/>
      </c>
      <c r="GX13" s="40" t="str">
        <f t="shared" si="88"/>
        <v/>
      </c>
      <c r="GY13" s="40" t="str">
        <f t="shared" si="89"/>
        <v/>
      </c>
      <c r="GZ13" s="18"/>
      <c r="HA13" s="18"/>
      <c r="HB13" s="18"/>
      <c r="HC13" s="18"/>
      <c r="HD13" s="18"/>
      <c r="HE13" s="18"/>
      <c r="HF13" s="18"/>
      <c r="HG13" s="18"/>
      <c r="HH13" s="18"/>
      <c r="HI13" s="18"/>
      <c r="HJ13" s="18"/>
      <c r="HK13" s="18"/>
      <c r="HL13" s="18"/>
      <c r="HM13" s="18"/>
      <c r="HN13" s="18"/>
      <c r="HO13" s="18"/>
      <c r="HP13" s="18"/>
      <c r="HQ13" s="18"/>
      <c r="HR13" s="18"/>
      <c r="HS13" s="18"/>
      <c r="HT13" s="11" t="str">
        <f t="shared" si="90"/>
        <v/>
      </c>
      <c r="HU13" s="11" t="str">
        <f t="shared" si="91"/>
        <v/>
      </c>
      <c r="HV13" s="11" t="str">
        <f t="shared" si="92"/>
        <v/>
      </c>
      <c r="HW13" s="11" t="str">
        <f t="shared" si="93"/>
        <v/>
      </c>
      <c r="HX13" s="11" t="str">
        <f t="shared" si="94"/>
        <v/>
      </c>
      <c r="HY13" s="11" t="str">
        <f t="shared" si="95"/>
        <v/>
      </c>
      <c r="HZ13" s="11" t="str">
        <f t="shared" si="96"/>
        <v/>
      </c>
      <c r="IA13" s="11" t="str">
        <f t="shared" si="97"/>
        <v/>
      </c>
      <c r="IB13" s="11" t="str">
        <f t="shared" si="98"/>
        <v/>
      </c>
      <c r="IC13" s="11" t="str">
        <f t="shared" si="99"/>
        <v/>
      </c>
      <c r="ID13" s="11" t="str">
        <f t="shared" si="100"/>
        <v/>
      </c>
      <c r="IE13" s="11" t="str">
        <f t="shared" si="101"/>
        <v/>
      </c>
      <c r="IF13" s="11" t="str">
        <f t="shared" si="102"/>
        <v/>
      </c>
      <c r="IG13" s="11" t="str">
        <f t="shared" si="103"/>
        <v/>
      </c>
      <c r="IH13" s="17"/>
      <c r="II13" s="17"/>
      <c r="IJ13" s="17"/>
      <c r="IK13" s="17"/>
      <c r="IL13" s="17"/>
      <c r="IM13" s="17"/>
      <c r="IN13" s="17"/>
      <c r="IO13" s="17"/>
      <c r="IP13" s="17"/>
      <c r="IQ13" s="17"/>
      <c r="IR13" s="17"/>
      <c r="IS13" s="17"/>
      <c r="IT13" s="17"/>
      <c r="IU13" s="17"/>
      <c r="IV13" s="17"/>
      <c r="IW13" s="17"/>
      <c r="IX13" s="17"/>
      <c r="IY13" s="17"/>
      <c r="IZ13" s="17"/>
      <c r="JA13" s="17"/>
      <c r="JB13" s="40" t="str">
        <f t="shared" si="104"/>
        <v/>
      </c>
      <c r="JC13" s="40" t="str">
        <f t="shared" si="105"/>
        <v/>
      </c>
      <c r="JD13" s="40" t="str">
        <f t="shared" si="106"/>
        <v/>
      </c>
      <c r="JE13" s="40" t="str">
        <f t="shared" si="107"/>
        <v/>
      </c>
      <c r="JF13" s="40" t="str">
        <f t="shared" si="108"/>
        <v/>
      </c>
      <c r="JG13" s="40" t="str">
        <f t="shared" si="109"/>
        <v/>
      </c>
      <c r="JH13" s="40" t="str">
        <f t="shared" si="110"/>
        <v/>
      </c>
      <c r="JI13" s="40" t="str">
        <f t="shared" si="111"/>
        <v/>
      </c>
      <c r="JJ13" s="40" t="str">
        <f t="shared" si="112"/>
        <v/>
      </c>
      <c r="JK13" s="40" t="str">
        <f t="shared" si="113"/>
        <v/>
      </c>
      <c r="JL13" s="40" t="str">
        <f t="shared" si="114"/>
        <v/>
      </c>
      <c r="JM13" s="40" t="str">
        <f t="shared" si="115"/>
        <v/>
      </c>
      <c r="JN13" s="40" t="str">
        <f t="shared" si="116"/>
        <v/>
      </c>
      <c r="JO13" s="40" t="str">
        <f t="shared" si="117"/>
        <v/>
      </c>
      <c r="JP13" s="18"/>
      <c r="JQ13" s="18"/>
      <c r="JR13" s="18"/>
      <c r="JS13" s="18"/>
      <c r="JT13" s="18"/>
      <c r="JU13" s="18"/>
      <c r="JV13" s="18"/>
      <c r="JW13" s="18"/>
      <c r="JX13" s="18"/>
      <c r="JY13" s="18"/>
      <c r="JZ13" s="18"/>
      <c r="KA13" s="18"/>
      <c r="KB13" s="18"/>
      <c r="KC13" s="18"/>
      <c r="KD13" s="18"/>
      <c r="KE13" s="18"/>
      <c r="KF13" s="18"/>
      <c r="KG13" s="18"/>
      <c r="KH13" s="18"/>
      <c r="KI13" s="18"/>
      <c r="KJ13" s="11" t="str">
        <f t="shared" si="118"/>
        <v/>
      </c>
      <c r="KK13" s="11" t="str">
        <f t="shared" si="119"/>
        <v/>
      </c>
      <c r="KL13" s="11" t="str">
        <f t="shared" si="120"/>
        <v/>
      </c>
      <c r="KM13" s="11" t="str">
        <f t="shared" si="121"/>
        <v/>
      </c>
      <c r="KN13" s="11" t="str">
        <f t="shared" si="122"/>
        <v/>
      </c>
      <c r="KO13" s="11" t="str">
        <f t="shared" si="123"/>
        <v/>
      </c>
      <c r="KP13" s="11" t="str">
        <f t="shared" si="124"/>
        <v/>
      </c>
      <c r="KQ13" s="11" t="str">
        <f t="shared" si="125"/>
        <v/>
      </c>
      <c r="KR13" s="11" t="str">
        <f t="shared" si="126"/>
        <v/>
      </c>
      <c r="KS13" s="11" t="str">
        <f t="shared" si="127"/>
        <v/>
      </c>
      <c r="KT13" s="11" t="str">
        <f t="shared" si="128"/>
        <v/>
      </c>
      <c r="KU13" s="11" t="str">
        <f t="shared" si="129"/>
        <v/>
      </c>
      <c r="KV13" s="11" t="str">
        <f t="shared" si="130"/>
        <v/>
      </c>
      <c r="KW13" s="11" t="str">
        <f t="shared" si="131"/>
        <v/>
      </c>
      <c r="KX13" s="17"/>
      <c r="KY13" s="17"/>
      <c r="KZ13" s="17"/>
      <c r="LA13" s="17"/>
      <c r="LB13" s="17"/>
      <c r="LC13" s="17"/>
      <c r="LD13" s="17"/>
      <c r="LE13" s="17"/>
      <c r="LF13" s="17"/>
      <c r="LG13" s="17"/>
      <c r="LH13" s="17"/>
      <c r="LI13" s="17"/>
      <c r="LJ13" s="17"/>
      <c r="LK13" s="17"/>
      <c r="LL13" s="17"/>
      <c r="LM13" s="17"/>
      <c r="LN13" s="17"/>
      <c r="LO13" s="17"/>
      <c r="LP13" s="17"/>
      <c r="LQ13" s="17"/>
      <c r="LR13" s="40" t="str">
        <f t="shared" si="132"/>
        <v/>
      </c>
      <c r="LS13" s="40" t="str">
        <f t="shared" si="133"/>
        <v/>
      </c>
      <c r="LT13" s="40" t="str">
        <f t="shared" si="134"/>
        <v/>
      </c>
      <c r="LU13" s="40" t="str">
        <f t="shared" si="135"/>
        <v/>
      </c>
      <c r="LV13" s="40" t="str">
        <f t="shared" si="136"/>
        <v/>
      </c>
      <c r="LW13" s="40" t="str">
        <f t="shared" si="137"/>
        <v/>
      </c>
      <c r="LX13" s="40" t="str">
        <f t="shared" si="138"/>
        <v/>
      </c>
      <c r="LY13" s="40" t="str">
        <f t="shared" si="139"/>
        <v/>
      </c>
      <c r="LZ13" s="40" t="str">
        <f t="shared" si="140"/>
        <v/>
      </c>
      <c r="MA13" s="40" t="str">
        <f t="shared" si="141"/>
        <v/>
      </c>
      <c r="MB13" s="40" t="str">
        <f t="shared" si="142"/>
        <v/>
      </c>
      <c r="MC13" s="40" t="str">
        <f t="shared" si="143"/>
        <v/>
      </c>
      <c r="MD13" s="40" t="str">
        <f t="shared" si="144"/>
        <v/>
      </c>
      <c r="ME13" s="40" t="str">
        <f t="shared" si="145"/>
        <v/>
      </c>
      <c r="MF13" s="18"/>
      <c r="MG13" s="18"/>
      <c r="MH13" s="18"/>
      <c r="MI13" s="18"/>
      <c r="MJ13" s="18"/>
      <c r="MK13" s="18"/>
      <c r="ML13" s="18"/>
      <c r="MM13" s="18"/>
      <c r="MN13" s="18"/>
      <c r="MO13" s="18"/>
      <c r="MP13" s="18"/>
      <c r="MQ13" s="18"/>
      <c r="MR13" s="18"/>
      <c r="MS13" s="18"/>
      <c r="MT13" s="18"/>
      <c r="MU13" s="18"/>
      <c r="MV13" s="18"/>
      <c r="MW13" s="18"/>
      <c r="MX13" s="18"/>
      <c r="MY13" s="18"/>
      <c r="MZ13" s="11" t="str">
        <f t="shared" si="146"/>
        <v/>
      </c>
      <c r="NA13" s="11" t="str">
        <f t="shared" si="147"/>
        <v/>
      </c>
      <c r="NB13" s="11" t="str">
        <f t="shared" si="148"/>
        <v/>
      </c>
      <c r="NC13" s="11" t="str">
        <f t="shared" si="149"/>
        <v/>
      </c>
      <c r="ND13" s="11" t="str">
        <f t="shared" si="150"/>
        <v/>
      </c>
      <c r="NE13" s="11" t="str">
        <f t="shared" si="151"/>
        <v/>
      </c>
      <c r="NF13" s="11" t="str">
        <f t="shared" si="152"/>
        <v/>
      </c>
      <c r="NG13" s="11" t="str">
        <f t="shared" si="153"/>
        <v/>
      </c>
      <c r="NH13" s="11" t="str">
        <f t="shared" si="154"/>
        <v/>
      </c>
      <c r="NI13" s="11" t="str">
        <f t="shared" si="155"/>
        <v/>
      </c>
      <c r="NJ13" s="11" t="str">
        <f t="shared" si="156"/>
        <v/>
      </c>
      <c r="NK13" s="11" t="str">
        <f t="shared" si="157"/>
        <v/>
      </c>
      <c r="NL13" s="11" t="str">
        <f t="shared" si="158"/>
        <v/>
      </c>
      <c r="NM13" s="11" t="str">
        <f t="shared" si="159"/>
        <v/>
      </c>
      <c r="NN13" s="17"/>
      <c r="NO13" s="17"/>
      <c r="NP13" s="17"/>
      <c r="NQ13" s="17"/>
      <c r="NR13" s="17"/>
      <c r="NS13" s="17"/>
      <c r="NT13" s="17"/>
      <c r="NU13" s="17"/>
      <c r="NV13" s="17"/>
      <c r="NW13" s="17"/>
      <c r="NX13" s="17"/>
      <c r="NY13" s="17"/>
      <c r="NZ13" s="17"/>
      <c r="OA13" s="17"/>
      <c r="OB13" s="17"/>
      <c r="OC13" s="17"/>
      <c r="OD13" s="17"/>
      <c r="OE13" s="17"/>
      <c r="OF13" s="17"/>
      <c r="OG13" s="17"/>
      <c r="OH13" s="40" t="str">
        <f t="shared" si="160"/>
        <v/>
      </c>
      <c r="OI13" s="40" t="str">
        <f t="shared" si="161"/>
        <v/>
      </c>
      <c r="OJ13" s="40" t="str">
        <f t="shared" si="162"/>
        <v/>
      </c>
      <c r="OK13" s="40" t="str">
        <f t="shared" si="163"/>
        <v/>
      </c>
      <c r="OL13" s="40" t="str">
        <f t="shared" si="164"/>
        <v/>
      </c>
      <c r="OM13" s="40" t="str">
        <f t="shared" si="165"/>
        <v/>
      </c>
      <c r="ON13" s="40" t="str">
        <f t="shared" si="166"/>
        <v/>
      </c>
      <c r="OO13" s="40" t="str">
        <f t="shared" si="167"/>
        <v/>
      </c>
      <c r="OP13" s="40" t="str">
        <f t="shared" si="168"/>
        <v/>
      </c>
      <c r="OQ13" s="40" t="str">
        <f t="shared" si="169"/>
        <v/>
      </c>
      <c r="OR13" s="40" t="str">
        <f t="shared" si="170"/>
        <v/>
      </c>
      <c r="OS13" s="40" t="str">
        <f t="shared" si="171"/>
        <v/>
      </c>
      <c r="OT13" s="40" t="str">
        <f t="shared" si="172"/>
        <v/>
      </c>
      <c r="OU13" s="40" t="str">
        <f t="shared" si="173"/>
        <v/>
      </c>
      <c r="OV13" s="18"/>
      <c r="OW13" s="18"/>
      <c r="OX13" s="18"/>
      <c r="OY13" s="18"/>
      <c r="OZ13" s="18"/>
      <c r="PA13" s="18"/>
      <c r="PB13" s="18"/>
      <c r="PC13" s="18"/>
      <c r="PD13" s="18"/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1" t="str">
        <f t="shared" si="174"/>
        <v/>
      </c>
      <c r="PQ13" s="11" t="str">
        <f t="shared" si="175"/>
        <v/>
      </c>
      <c r="PR13" s="11" t="str">
        <f t="shared" si="176"/>
        <v/>
      </c>
      <c r="PS13" s="11" t="str">
        <f t="shared" si="177"/>
        <v/>
      </c>
      <c r="PT13" s="11" t="str">
        <f t="shared" si="178"/>
        <v/>
      </c>
      <c r="PU13" s="11" t="str">
        <f t="shared" si="179"/>
        <v/>
      </c>
      <c r="PV13" s="11" t="str">
        <f t="shared" si="180"/>
        <v/>
      </c>
      <c r="PW13" s="11" t="str">
        <f t="shared" si="181"/>
        <v/>
      </c>
      <c r="PX13" s="11" t="str">
        <f t="shared" si="182"/>
        <v/>
      </c>
      <c r="PY13" s="11" t="str">
        <f t="shared" si="183"/>
        <v/>
      </c>
      <c r="PZ13" s="11" t="str">
        <f t="shared" si="184"/>
        <v/>
      </c>
      <c r="QA13" s="11" t="str">
        <f t="shared" si="185"/>
        <v/>
      </c>
      <c r="QB13" s="11" t="str">
        <f t="shared" si="186"/>
        <v/>
      </c>
      <c r="QC13" s="11" t="str">
        <f t="shared" si="187"/>
        <v/>
      </c>
      <c r="QD13" s="17"/>
      <c r="QE13" s="17"/>
      <c r="QF13" s="17"/>
      <c r="QG13" s="17"/>
      <c r="QH13" s="17"/>
      <c r="QI13" s="17"/>
      <c r="QJ13" s="17"/>
      <c r="QK13" s="17"/>
      <c r="QL13" s="17"/>
      <c r="QM13" s="17"/>
      <c r="QN13" s="17"/>
      <c r="QO13" s="17"/>
      <c r="QP13" s="17"/>
      <c r="QQ13" s="17"/>
      <c r="QR13" s="17"/>
      <c r="QS13" s="17"/>
      <c r="QT13" s="17"/>
      <c r="QU13" s="17"/>
      <c r="QV13" s="17"/>
      <c r="QW13" s="17"/>
      <c r="QX13" s="40" t="str">
        <f t="shared" si="188"/>
        <v/>
      </c>
      <c r="QY13" s="40" t="str">
        <f t="shared" si="189"/>
        <v/>
      </c>
      <c r="QZ13" s="40" t="str">
        <f t="shared" si="190"/>
        <v/>
      </c>
      <c r="RA13" s="40" t="str">
        <f t="shared" si="191"/>
        <v/>
      </c>
      <c r="RB13" s="40" t="str">
        <f t="shared" si="192"/>
        <v/>
      </c>
      <c r="RC13" s="40" t="str">
        <f t="shared" si="193"/>
        <v/>
      </c>
      <c r="RD13" s="40" t="str">
        <f t="shared" si="194"/>
        <v/>
      </c>
      <c r="RE13" s="40" t="str">
        <f t="shared" si="195"/>
        <v/>
      </c>
      <c r="RF13" s="40" t="str">
        <f t="shared" si="196"/>
        <v/>
      </c>
      <c r="RG13" s="40" t="str">
        <f t="shared" si="197"/>
        <v/>
      </c>
      <c r="RH13" s="40" t="str">
        <f t="shared" si="198"/>
        <v/>
      </c>
      <c r="RI13" s="40" t="str">
        <f t="shared" si="199"/>
        <v/>
      </c>
      <c r="RJ13" s="40" t="str">
        <f t="shared" si="200"/>
        <v/>
      </c>
      <c r="RK13" s="40" t="str">
        <f t="shared" si="201"/>
        <v/>
      </c>
      <c r="RL13" s="18"/>
      <c r="RM13" s="18"/>
      <c r="RN13" s="18"/>
      <c r="RO13" s="18"/>
      <c r="RP13" s="18"/>
      <c r="RQ13" s="18"/>
      <c r="RR13" s="18"/>
      <c r="RS13" s="18"/>
      <c r="RT13" s="18"/>
      <c r="RU13" s="18"/>
      <c r="RV13" s="18"/>
      <c r="RW13" s="18"/>
      <c r="RX13" s="18"/>
      <c r="RY13" s="18"/>
      <c r="RZ13" s="18"/>
      <c r="SA13" s="18"/>
      <c r="SB13" s="18"/>
      <c r="SC13" s="18"/>
      <c r="SD13" s="18"/>
      <c r="SE13" s="18"/>
      <c r="SF13" s="11" t="str">
        <f t="shared" si="202"/>
        <v/>
      </c>
      <c r="SG13" s="11" t="str">
        <f t="shared" si="203"/>
        <v/>
      </c>
      <c r="SH13" s="11" t="str">
        <f t="shared" si="204"/>
        <v/>
      </c>
      <c r="SI13" s="11" t="str">
        <f t="shared" si="205"/>
        <v/>
      </c>
      <c r="SJ13" s="11" t="str">
        <f t="shared" si="206"/>
        <v/>
      </c>
      <c r="SK13" s="11" t="str">
        <f t="shared" si="207"/>
        <v/>
      </c>
      <c r="SL13" s="11" t="str">
        <f t="shared" si="208"/>
        <v/>
      </c>
      <c r="SM13" s="11" t="str">
        <f t="shared" si="209"/>
        <v/>
      </c>
      <c r="SN13" s="11" t="str">
        <f t="shared" si="210"/>
        <v/>
      </c>
      <c r="SO13" s="11" t="str">
        <f t="shared" si="211"/>
        <v/>
      </c>
      <c r="SP13" s="11" t="str">
        <f t="shared" si="212"/>
        <v/>
      </c>
      <c r="SQ13" s="11" t="str">
        <f t="shared" si="213"/>
        <v/>
      </c>
      <c r="SR13" s="11" t="str">
        <f t="shared" si="214"/>
        <v/>
      </c>
      <c r="SS13" s="11" t="str">
        <f t="shared" si="215"/>
        <v/>
      </c>
      <c r="ST13" s="22">
        <f t="shared" si="216"/>
        <v>11.5</v>
      </c>
      <c r="SU13" s="22">
        <f t="shared" si="217"/>
        <v>8.3000000000000007</v>
      </c>
      <c r="SV13" s="22">
        <f t="shared" si="218"/>
        <v>7.4499999999999993</v>
      </c>
      <c r="SW13" s="22">
        <f t="shared" si="219"/>
        <v>11.824999999999999</v>
      </c>
      <c r="SX13" s="22">
        <f t="shared" si="220"/>
        <v>0.85</v>
      </c>
      <c r="SY13" s="22">
        <f t="shared" si="221"/>
        <v>5.9</v>
      </c>
      <c r="SZ13" s="22">
        <f t="shared" si="222"/>
        <v>4.3499999999999996</v>
      </c>
      <c r="TA13" s="22">
        <f t="shared" si="223"/>
        <v>3.3</v>
      </c>
      <c r="TB13" s="22">
        <f t="shared" si="224"/>
        <v>5.89</v>
      </c>
      <c r="TC13" s="22">
        <f t="shared" si="225"/>
        <v>1.1000000000000001</v>
      </c>
      <c r="TD13" s="22">
        <f t="shared" si="226"/>
        <v>6.1</v>
      </c>
      <c r="TE13" s="22">
        <f t="shared" si="227"/>
        <v>4.45</v>
      </c>
      <c r="TF13" s="22">
        <f t="shared" si="228"/>
        <v>3.5</v>
      </c>
      <c r="TG13" s="22">
        <f t="shared" si="229"/>
        <v>6.3449999999999998</v>
      </c>
      <c r="TH13" s="22">
        <f t="shared" si="230"/>
        <v>0.9</v>
      </c>
      <c r="TI13" s="27" t="s">
        <v>46</v>
      </c>
      <c r="TJ13" s="40">
        <f t="shared" si="231"/>
        <v>7.4499999999999993</v>
      </c>
      <c r="TK13" s="40">
        <f t="shared" si="232"/>
        <v>11.824999999999999</v>
      </c>
      <c r="TL13" s="40">
        <f t="shared" si="233"/>
        <v>38.225000000000001</v>
      </c>
      <c r="TM13" s="40">
        <f t="shared" si="234"/>
        <v>3.3</v>
      </c>
      <c r="TN13" s="40">
        <f t="shared" si="235"/>
        <v>5.89</v>
      </c>
      <c r="TO13" s="40">
        <f t="shared" si="236"/>
        <v>18.34</v>
      </c>
      <c r="TP13" s="40">
        <f t="shared" si="237"/>
        <v>38.225000000000001</v>
      </c>
      <c r="TQ13" s="40">
        <f t="shared" si="238"/>
        <v>3.5</v>
      </c>
      <c r="TR13" s="40">
        <f t="shared" si="239"/>
        <v>6.3449999999999998</v>
      </c>
      <c r="TS13" s="40">
        <f t="shared" si="240"/>
        <v>19.495000000000001</v>
      </c>
      <c r="TT13" s="40">
        <f t="shared" si="241"/>
        <v>57.72</v>
      </c>
    </row>
    <row r="14" spans="1:540" x14ac:dyDescent="0.2">
      <c r="A14" s="4" t="str" cm="1">
        <f t="array" ref="A14">IF(AND(F14&lt;&gt;"",G14&lt;&gt;""),SUMPRODUCT((F$4:F$32&lt;&gt;"")*(G$4:G$32&lt;&gt;"")*(E$4:E$32&gt;E14))+1,IF(G14&lt;&gt;"",SUMPRODUCT((H$4:H$32="No DD")*(E$4:E$32&gt;E14))+1+SUMPRODUCT((F$4:F$32&lt;&gt;"")*(G$4:G$32&lt;&gt;"")),""))</f>
        <v/>
      </c>
      <c r="B14" s="5" t="s">
        <v>168</v>
      </c>
      <c r="C14" s="4" t="s">
        <v>5</v>
      </c>
      <c r="D14" s="4">
        <v>2003</v>
      </c>
      <c r="E14" s="9">
        <f t="shared" si="0"/>
        <v>118.67001186700449</v>
      </c>
      <c r="F14" s="3" t="str">
        <f t="shared" si="1"/>
        <v/>
      </c>
      <c r="G14" s="3" t="str">
        <f t="shared" si="2"/>
        <v/>
      </c>
      <c r="H14" s="36" t="str">
        <f t="shared" si="3"/>
        <v/>
      </c>
      <c r="I14" s="3" t="str">
        <f t="shared" si="4"/>
        <v/>
      </c>
      <c r="J14" s="8">
        <f>IF(COUNT(AO14,AR14,BP14,BS14,CQ14,CT14)&gt;0,LARGE((AO14,AR14,BP14,BS14,CQ14,CT14),1),0)</f>
        <v>44.78</v>
      </c>
      <c r="K14" s="8" t="str">
        <f t="shared" si="5"/>
        <v>2023 Elite Canada</v>
      </c>
      <c r="L14" s="8">
        <f>IF(COUNT(AO14,AR14,BP14,BS14,CQ14,CT14)&gt;1,LARGE((AO14,AR14,BP14,BS14,CQ14,CT14),2),0)</f>
        <v>41.61</v>
      </c>
      <c r="M14" s="8" t="str">
        <f t="shared" si="6"/>
        <v>2023 Elite Canada</v>
      </c>
      <c r="N14" s="8">
        <f>IF(COUNT(AO14,AR14,BP14,BS14,CQ14,CT14)&gt;2,LARGE((AO14,AR14,BP14,BS14,CQ14,CT14),3),0)</f>
        <v>22.880000000000003</v>
      </c>
      <c r="O14" s="8" t="str">
        <f t="shared" si="242"/>
        <v>2022 Nationals</v>
      </c>
      <c r="P14" s="8">
        <f t="shared" si="7"/>
        <v>9.4</v>
      </c>
      <c r="Q14" s="8" t="str">
        <f t="shared" si="8"/>
        <v>2023 Elite Canada</v>
      </c>
      <c r="R14" s="8">
        <f t="shared" si="9"/>
        <v>0</v>
      </c>
      <c r="S14" s="8" t="str">
        <f t="shared" si="10"/>
        <v/>
      </c>
      <c r="T14" s="8" t="str">
        <f t="shared" si="11"/>
        <v/>
      </c>
      <c r="U14" s="11" t="str">
        <f t="shared" si="12"/>
        <v/>
      </c>
      <c r="V14" s="8" t="str">
        <f>IF(T14="","",IF(T14=CZ14,IF(T14+IF(N14="",0,N14)=SL14,$RL$1,IF(T14+IF(N14="",0,N14)=RD14,$QD$1,IF(T14+IF(N14="",0,N14)=PV14,$OV$1,IF(T14+IF(N14="",0,N14)=ON14,$NN$1,IF(T14+IF(N14="",0,N14)=NF14,$MF$1,IF(T14+IF(N14="",0,N14)=LX14,$KX$1,IF(T14+IF(N14="",0,N14)=KP14,$JP$1,IF(T14+IF(N14="",0,N14)=JH14,$IH$1,IF(T14+IF(N14="",0,N14)=HZ14,$GZ$1,IF(T14+IF(N14="",0,N14)=GR14,$FR$1,IF(T14+IF(N14="",0,N14)=FJ14,$EJ$1,IF(T14+IF(N14="",0,N14)=EB14,$DB$1)))))))))))),IF(T14=DA14,IF(T14+IF(#REF!="",0,#REF!)=SR14,$RL$1,IF(T14+IF(#REF!="",0,#REF!)=RJ14,$QD$1,IF(T14+IF(#REF!="",0,#REF!)=QB14,$OV$1,IF(T14+IF(#REF!="",0,#REF!)=OT14,$NN$1,IF(T14+IF(#REF!="",0,#REF!)=NL14,$MF$1,IF(T14+IF(#REF!="",0,#REF!)=MD14,$KX$1,IF(T14+IF(#REF!="",0,#REF!)=KV14,$JP$1,IF(T14+IF(#REF!="",0,#REF!)=JN14,$IH$1,IF(T14+IF(#REF!="",0,#REF!)=IF14,$GZ$1,IF(T14+IF(#REF!="",0,#REF!)=GX14,$FR$1,IF(T14+IF(#REF!="",0,#REF!)=FP14,$EJ$1,IF(T14+IF(#REF!="",0,#REF!)=EH14,$DB$1,IF(T14+IF(#REF!="",0,#REF!)=SO14,$RL$1,IF(T14+IF(#REF!="",0,#REF!)=RG14,$QD$1,IF(T14+IF(#REF!="",0,#REF!)=PY14,$OV$1,IF(T14+IF(#REF!="",0,#REF!)=OQ14,$NN$1,IF(T14+IF(#REF!="",0,#REF!)=NI14,$MF$1,IF(T14+IF(#REF!="",0,#REF!)=MA14,$KX$1,IF(T14+IF(#REF!="",0,#REF!)=KS14,$JP$1,IF(T14+IF(#REF!="",0,#REF!)=JK14,$IH$1,IF(T14+IF(#REF!="",0,#REF!)=IC14,$GZ$1,IF(T14+IF(#REF!="",0,#REF!)=GU14,$FR$1,IF(T14+IF(#REF!="",0,#REF!)=FM14,$EJ$1,IF(T14+IF(#REF!="",0,#REF!)=EE14,$DB$1)))))))))))))))))))))))))))</f>
        <v/>
      </c>
      <c r="W14" s="22">
        <v>6.4</v>
      </c>
      <c r="X14" s="22">
        <v>4.9000000000000004</v>
      </c>
      <c r="Y14" s="22">
        <v>5.4</v>
      </c>
      <c r="Z14" s="22">
        <v>6.18</v>
      </c>
      <c r="AA14" s="22">
        <v>0</v>
      </c>
      <c r="AB14" s="22"/>
      <c r="AC14" s="22"/>
      <c r="AD14" s="22"/>
      <c r="AE14" s="22"/>
      <c r="AF14" s="22"/>
      <c r="AG14" s="22"/>
      <c r="AH14" s="22"/>
      <c r="AI14" s="22"/>
      <c r="AJ14" s="22"/>
      <c r="AK14" s="22"/>
      <c r="AL14" s="27"/>
      <c r="AM14" s="38">
        <f t="shared" si="13"/>
        <v>5.4</v>
      </c>
      <c r="AN14" s="38">
        <f t="shared" si="14"/>
        <v>6.18</v>
      </c>
      <c r="AO14" s="40">
        <f t="shared" si="15"/>
        <v>22.880000000000003</v>
      </c>
      <c r="AP14" s="40" t="str">
        <f t="shared" si="16"/>
        <v/>
      </c>
      <c r="AQ14" s="40" t="str">
        <f t="shared" si="17"/>
        <v/>
      </c>
      <c r="AR14" s="40" t="str">
        <f t="shared" si="18"/>
        <v/>
      </c>
      <c r="AS14" s="40">
        <f t="shared" si="19"/>
        <v>22.880000000000003</v>
      </c>
      <c r="AT14" s="40" t="str">
        <f t="shared" si="20"/>
        <v/>
      </c>
      <c r="AU14" s="40" t="str">
        <f t="shared" si="21"/>
        <v/>
      </c>
      <c r="AV14" s="40" t="str">
        <f t="shared" si="22"/>
        <v/>
      </c>
      <c r="AW14" s="40">
        <f t="shared" si="23"/>
        <v>22.880000000000003</v>
      </c>
      <c r="AX14" s="26"/>
      <c r="AY14" s="26"/>
      <c r="AZ14" s="26"/>
      <c r="BA14" s="26"/>
      <c r="BB14" s="26"/>
      <c r="BC14" s="26"/>
      <c r="BD14" s="26"/>
      <c r="BE14" s="26"/>
      <c r="BF14" s="26"/>
      <c r="BG14" s="26"/>
      <c r="BH14" s="26"/>
      <c r="BI14" s="26"/>
      <c r="BJ14" s="26"/>
      <c r="BK14" s="26"/>
      <c r="BL14" s="26"/>
      <c r="BM14" s="28"/>
      <c r="BN14" s="39" t="str">
        <f t="shared" si="24"/>
        <v/>
      </c>
      <c r="BO14" s="39" t="str">
        <f t="shared" si="25"/>
        <v/>
      </c>
      <c r="BP14" s="11" t="str">
        <f t="shared" si="26"/>
        <v/>
      </c>
      <c r="BQ14" s="11" t="str">
        <f t="shared" si="27"/>
        <v/>
      </c>
      <c r="BR14" s="11" t="str">
        <f t="shared" si="28"/>
        <v/>
      </c>
      <c r="BS14" s="11" t="str">
        <f t="shared" si="29"/>
        <v/>
      </c>
      <c r="BT14" s="11" t="str">
        <f t="shared" si="30"/>
        <v/>
      </c>
      <c r="BU14" s="11" t="str">
        <f t="shared" si="31"/>
        <v/>
      </c>
      <c r="BV14" s="11" t="str">
        <f t="shared" si="32"/>
        <v/>
      </c>
      <c r="BW14" s="11" t="str">
        <f t="shared" si="33"/>
        <v/>
      </c>
      <c r="BX14" s="11" t="str">
        <f t="shared" si="34"/>
        <v/>
      </c>
      <c r="BY14" s="22">
        <v>13.7</v>
      </c>
      <c r="BZ14" s="22">
        <v>9.5</v>
      </c>
      <c r="CA14" s="22">
        <v>9.4</v>
      </c>
      <c r="CB14" s="22">
        <v>12.18</v>
      </c>
      <c r="CC14" s="22">
        <v>0</v>
      </c>
      <c r="CD14" s="22">
        <v>13.6</v>
      </c>
      <c r="CE14" s="22">
        <v>9</v>
      </c>
      <c r="CF14" s="22">
        <v>7.6</v>
      </c>
      <c r="CG14" s="22">
        <v>12.61</v>
      </c>
      <c r="CH14" s="22">
        <v>1.2</v>
      </c>
      <c r="CI14" s="22">
        <v>14.2</v>
      </c>
      <c r="CJ14" s="22">
        <v>9.6999999999999993</v>
      </c>
      <c r="CK14" s="22">
        <v>8.1999999999999993</v>
      </c>
      <c r="CL14" s="22">
        <v>12.41</v>
      </c>
      <c r="CM14" s="22">
        <v>0.6</v>
      </c>
      <c r="CN14" s="27"/>
      <c r="CO14" s="38">
        <f t="shared" si="35"/>
        <v>9.4</v>
      </c>
      <c r="CP14" s="38">
        <f t="shared" si="36"/>
        <v>12.18</v>
      </c>
      <c r="CQ14" s="40">
        <f t="shared" si="37"/>
        <v>44.78</v>
      </c>
      <c r="CR14" s="40">
        <f t="shared" si="38"/>
        <v>7.6</v>
      </c>
      <c r="CS14" s="40">
        <f t="shared" si="39"/>
        <v>12.61</v>
      </c>
      <c r="CT14" s="40">
        <f t="shared" si="40"/>
        <v>41.61</v>
      </c>
      <c r="CU14" s="40">
        <f t="shared" si="41"/>
        <v>44.78</v>
      </c>
      <c r="CV14" s="40">
        <f t="shared" si="42"/>
        <v>8.1999999999999993</v>
      </c>
      <c r="CW14" s="40">
        <f t="shared" si="43"/>
        <v>12.41</v>
      </c>
      <c r="CX14" s="40">
        <f t="shared" si="44"/>
        <v>43.909999999999989</v>
      </c>
      <c r="CY14" s="40">
        <f t="shared" si="45"/>
        <v>88.69</v>
      </c>
      <c r="CZ14" s="50" t="str">
        <f t="shared" si="46"/>
        <v/>
      </c>
      <c r="DA14" s="50" t="str">
        <f t="shared" si="47"/>
        <v/>
      </c>
      <c r="DB14" s="17"/>
      <c r="DC14" s="17"/>
      <c r="DD14" s="17"/>
      <c r="DE14" s="17"/>
      <c r="DF14" s="17"/>
      <c r="DG14" s="17"/>
      <c r="DH14" s="17"/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40" t="str">
        <f t="shared" si="48"/>
        <v/>
      </c>
      <c r="DW14" s="40" t="str">
        <f t="shared" si="49"/>
        <v/>
      </c>
      <c r="DX14" s="40" t="str">
        <f t="shared" si="50"/>
        <v/>
      </c>
      <c r="DY14" s="40" t="str">
        <f t="shared" si="51"/>
        <v/>
      </c>
      <c r="DZ14" s="40" t="str">
        <f t="shared" si="52"/>
        <v/>
      </c>
      <c r="EA14" s="40" t="str">
        <f t="shared" si="53"/>
        <v/>
      </c>
      <c r="EB14" s="40" t="str">
        <f t="shared" si="54"/>
        <v/>
      </c>
      <c r="EC14" s="40" t="str">
        <f t="shared" si="55"/>
        <v/>
      </c>
      <c r="ED14" s="40" t="str">
        <f t="shared" si="56"/>
        <v/>
      </c>
      <c r="EE14" s="40" t="str">
        <f t="shared" si="57"/>
        <v/>
      </c>
      <c r="EF14" s="40" t="str">
        <f t="shared" si="58"/>
        <v/>
      </c>
      <c r="EG14" s="40" t="str">
        <f t="shared" si="59"/>
        <v/>
      </c>
      <c r="EH14" s="40" t="str">
        <f t="shared" si="60"/>
        <v/>
      </c>
      <c r="EI14" s="40" t="str">
        <f t="shared" si="61"/>
        <v/>
      </c>
      <c r="EJ14" s="18"/>
      <c r="EK14" s="18"/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8"/>
      <c r="FA14" s="18"/>
      <c r="FB14" s="18"/>
      <c r="FC14" s="18"/>
      <c r="FD14" s="11" t="str">
        <f t="shared" si="62"/>
        <v/>
      </c>
      <c r="FE14" s="11" t="str">
        <f t="shared" si="63"/>
        <v/>
      </c>
      <c r="FF14" s="11" t="str">
        <f t="shared" si="64"/>
        <v/>
      </c>
      <c r="FG14" s="11" t="str">
        <f t="shared" si="65"/>
        <v/>
      </c>
      <c r="FH14" s="11" t="str">
        <f t="shared" si="66"/>
        <v/>
      </c>
      <c r="FI14" s="11" t="str">
        <f t="shared" si="67"/>
        <v/>
      </c>
      <c r="FJ14" s="11" t="str">
        <f t="shared" si="68"/>
        <v/>
      </c>
      <c r="FK14" s="11" t="str">
        <f t="shared" si="69"/>
        <v/>
      </c>
      <c r="FL14" s="11" t="str">
        <f t="shared" si="70"/>
        <v/>
      </c>
      <c r="FM14" s="11" t="str">
        <f t="shared" si="71"/>
        <v/>
      </c>
      <c r="FN14" s="11" t="str">
        <f t="shared" si="72"/>
        <v/>
      </c>
      <c r="FO14" s="11" t="str">
        <f t="shared" si="73"/>
        <v/>
      </c>
      <c r="FP14" s="11" t="str">
        <f t="shared" si="74"/>
        <v/>
      </c>
      <c r="FQ14" s="11" t="str">
        <f t="shared" si="75"/>
        <v/>
      </c>
      <c r="FR14" s="17"/>
      <c r="FS14" s="17"/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17"/>
      <c r="GF14" s="17"/>
      <c r="GG14" s="17"/>
      <c r="GH14" s="17"/>
      <c r="GI14" s="17"/>
      <c r="GJ14" s="17"/>
      <c r="GK14" s="17"/>
      <c r="GL14" s="40" t="str">
        <f t="shared" si="76"/>
        <v/>
      </c>
      <c r="GM14" s="40" t="str">
        <f t="shared" si="77"/>
        <v/>
      </c>
      <c r="GN14" s="40" t="str">
        <f t="shared" si="78"/>
        <v/>
      </c>
      <c r="GO14" s="40" t="str">
        <f t="shared" si="79"/>
        <v/>
      </c>
      <c r="GP14" s="40" t="str">
        <f t="shared" si="80"/>
        <v/>
      </c>
      <c r="GQ14" s="40" t="str">
        <f t="shared" si="81"/>
        <v/>
      </c>
      <c r="GR14" s="40" t="str">
        <f t="shared" si="82"/>
        <v/>
      </c>
      <c r="GS14" s="40" t="str">
        <f t="shared" si="83"/>
        <v/>
      </c>
      <c r="GT14" s="40" t="str">
        <f t="shared" si="84"/>
        <v/>
      </c>
      <c r="GU14" s="40" t="str">
        <f t="shared" si="85"/>
        <v/>
      </c>
      <c r="GV14" s="40" t="str">
        <f t="shared" si="86"/>
        <v/>
      </c>
      <c r="GW14" s="40" t="str">
        <f t="shared" si="87"/>
        <v/>
      </c>
      <c r="GX14" s="40" t="str">
        <f t="shared" si="88"/>
        <v/>
      </c>
      <c r="GY14" s="40" t="str">
        <f t="shared" si="89"/>
        <v/>
      </c>
      <c r="GZ14" s="18"/>
      <c r="HA14" s="18"/>
      <c r="HB14" s="18"/>
      <c r="HC14" s="18"/>
      <c r="HD14" s="18"/>
      <c r="HE14" s="18"/>
      <c r="HF14" s="18"/>
      <c r="HG14" s="18"/>
      <c r="HH14" s="18"/>
      <c r="HI14" s="18"/>
      <c r="HJ14" s="18"/>
      <c r="HK14" s="18"/>
      <c r="HL14" s="18"/>
      <c r="HM14" s="18"/>
      <c r="HN14" s="18"/>
      <c r="HO14" s="18"/>
      <c r="HP14" s="18"/>
      <c r="HQ14" s="18"/>
      <c r="HR14" s="18"/>
      <c r="HS14" s="18"/>
      <c r="HT14" s="11" t="str">
        <f t="shared" si="90"/>
        <v/>
      </c>
      <c r="HU14" s="11" t="str">
        <f t="shared" si="91"/>
        <v/>
      </c>
      <c r="HV14" s="11" t="str">
        <f t="shared" si="92"/>
        <v/>
      </c>
      <c r="HW14" s="11" t="str">
        <f t="shared" si="93"/>
        <v/>
      </c>
      <c r="HX14" s="11" t="str">
        <f t="shared" si="94"/>
        <v/>
      </c>
      <c r="HY14" s="11" t="str">
        <f t="shared" si="95"/>
        <v/>
      </c>
      <c r="HZ14" s="11" t="str">
        <f t="shared" si="96"/>
        <v/>
      </c>
      <c r="IA14" s="11" t="str">
        <f t="shared" si="97"/>
        <v/>
      </c>
      <c r="IB14" s="11" t="str">
        <f t="shared" si="98"/>
        <v/>
      </c>
      <c r="IC14" s="11" t="str">
        <f t="shared" si="99"/>
        <v/>
      </c>
      <c r="ID14" s="11" t="str">
        <f t="shared" si="100"/>
        <v/>
      </c>
      <c r="IE14" s="11" t="str">
        <f t="shared" si="101"/>
        <v/>
      </c>
      <c r="IF14" s="11" t="str">
        <f t="shared" si="102"/>
        <v/>
      </c>
      <c r="IG14" s="11" t="str">
        <f t="shared" si="103"/>
        <v/>
      </c>
      <c r="IH14" s="17"/>
      <c r="II14" s="17"/>
      <c r="IJ14" s="17"/>
      <c r="IK14" s="17"/>
      <c r="IL14" s="17"/>
      <c r="IM14" s="17"/>
      <c r="IN14" s="17"/>
      <c r="IO14" s="17"/>
      <c r="IP14" s="17"/>
      <c r="IQ14" s="17"/>
      <c r="IR14" s="17"/>
      <c r="IS14" s="17"/>
      <c r="IT14" s="17"/>
      <c r="IU14" s="17"/>
      <c r="IV14" s="17"/>
      <c r="IW14" s="17"/>
      <c r="IX14" s="17"/>
      <c r="IY14" s="17"/>
      <c r="IZ14" s="17"/>
      <c r="JA14" s="17"/>
      <c r="JB14" s="40" t="str">
        <f t="shared" si="104"/>
        <v/>
      </c>
      <c r="JC14" s="40" t="str">
        <f t="shared" si="105"/>
        <v/>
      </c>
      <c r="JD14" s="40" t="str">
        <f t="shared" si="106"/>
        <v/>
      </c>
      <c r="JE14" s="40" t="str">
        <f t="shared" si="107"/>
        <v/>
      </c>
      <c r="JF14" s="40" t="str">
        <f t="shared" si="108"/>
        <v/>
      </c>
      <c r="JG14" s="40" t="str">
        <f t="shared" si="109"/>
        <v/>
      </c>
      <c r="JH14" s="40" t="str">
        <f t="shared" si="110"/>
        <v/>
      </c>
      <c r="JI14" s="40" t="str">
        <f t="shared" si="111"/>
        <v/>
      </c>
      <c r="JJ14" s="40" t="str">
        <f t="shared" si="112"/>
        <v/>
      </c>
      <c r="JK14" s="40" t="str">
        <f t="shared" si="113"/>
        <v/>
      </c>
      <c r="JL14" s="40" t="str">
        <f t="shared" si="114"/>
        <v/>
      </c>
      <c r="JM14" s="40" t="str">
        <f t="shared" si="115"/>
        <v/>
      </c>
      <c r="JN14" s="40" t="str">
        <f t="shared" si="116"/>
        <v/>
      </c>
      <c r="JO14" s="40" t="str">
        <f t="shared" si="117"/>
        <v/>
      </c>
      <c r="JP14" s="18"/>
      <c r="JQ14" s="18"/>
      <c r="JR14" s="18"/>
      <c r="JS14" s="18"/>
      <c r="JT14" s="18"/>
      <c r="JU14" s="18"/>
      <c r="JV14" s="18"/>
      <c r="JW14" s="18"/>
      <c r="JX14" s="18"/>
      <c r="JY14" s="18"/>
      <c r="JZ14" s="18"/>
      <c r="KA14" s="18"/>
      <c r="KB14" s="18"/>
      <c r="KC14" s="18"/>
      <c r="KD14" s="18"/>
      <c r="KE14" s="18"/>
      <c r="KF14" s="18"/>
      <c r="KG14" s="18"/>
      <c r="KH14" s="18"/>
      <c r="KI14" s="18"/>
      <c r="KJ14" s="11" t="str">
        <f t="shared" si="118"/>
        <v/>
      </c>
      <c r="KK14" s="11" t="str">
        <f t="shared" si="119"/>
        <v/>
      </c>
      <c r="KL14" s="11" t="str">
        <f t="shared" si="120"/>
        <v/>
      </c>
      <c r="KM14" s="11" t="str">
        <f t="shared" si="121"/>
        <v/>
      </c>
      <c r="KN14" s="11" t="str">
        <f t="shared" si="122"/>
        <v/>
      </c>
      <c r="KO14" s="11" t="str">
        <f t="shared" si="123"/>
        <v/>
      </c>
      <c r="KP14" s="11" t="str">
        <f t="shared" si="124"/>
        <v/>
      </c>
      <c r="KQ14" s="11" t="str">
        <f t="shared" si="125"/>
        <v/>
      </c>
      <c r="KR14" s="11" t="str">
        <f t="shared" si="126"/>
        <v/>
      </c>
      <c r="KS14" s="11" t="str">
        <f t="shared" si="127"/>
        <v/>
      </c>
      <c r="KT14" s="11" t="str">
        <f t="shared" si="128"/>
        <v/>
      </c>
      <c r="KU14" s="11" t="str">
        <f t="shared" si="129"/>
        <v/>
      </c>
      <c r="KV14" s="11" t="str">
        <f t="shared" si="130"/>
        <v/>
      </c>
      <c r="KW14" s="11" t="str">
        <f t="shared" si="131"/>
        <v/>
      </c>
      <c r="KX14" s="17"/>
      <c r="KY14" s="17"/>
      <c r="KZ14" s="17"/>
      <c r="LA14" s="17"/>
      <c r="LB14" s="17"/>
      <c r="LC14" s="17"/>
      <c r="LD14" s="17"/>
      <c r="LE14" s="17"/>
      <c r="LF14" s="17"/>
      <c r="LG14" s="17"/>
      <c r="LH14" s="17"/>
      <c r="LI14" s="17"/>
      <c r="LJ14" s="17"/>
      <c r="LK14" s="17"/>
      <c r="LL14" s="17"/>
      <c r="LM14" s="17"/>
      <c r="LN14" s="17"/>
      <c r="LO14" s="17"/>
      <c r="LP14" s="17"/>
      <c r="LQ14" s="17"/>
      <c r="LR14" s="40" t="str">
        <f t="shared" si="132"/>
        <v/>
      </c>
      <c r="LS14" s="40" t="str">
        <f t="shared" si="133"/>
        <v/>
      </c>
      <c r="LT14" s="40" t="str">
        <f t="shared" si="134"/>
        <v/>
      </c>
      <c r="LU14" s="40" t="str">
        <f t="shared" si="135"/>
        <v/>
      </c>
      <c r="LV14" s="40" t="str">
        <f t="shared" si="136"/>
        <v/>
      </c>
      <c r="LW14" s="40" t="str">
        <f t="shared" si="137"/>
        <v/>
      </c>
      <c r="LX14" s="40" t="str">
        <f t="shared" si="138"/>
        <v/>
      </c>
      <c r="LY14" s="40" t="str">
        <f t="shared" si="139"/>
        <v/>
      </c>
      <c r="LZ14" s="40" t="str">
        <f t="shared" si="140"/>
        <v/>
      </c>
      <c r="MA14" s="40" t="str">
        <f t="shared" si="141"/>
        <v/>
      </c>
      <c r="MB14" s="40" t="str">
        <f t="shared" si="142"/>
        <v/>
      </c>
      <c r="MC14" s="40" t="str">
        <f t="shared" si="143"/>
        <v/>
      </c>
      <c r="MD14" s="40" t="str">
        <f t="shared" si="144"/>
        <v/>
      </c>
      <c r="ME14" s="40" t="str">
        <f t="shared" si="145"/>
        <v/>
      </c>
      <c r="MF14" s="18"/>
      <c r="MG14" s="18"/>
      <c r="MH14" s="18"/>
      <c r="MI14" s="18"/>
      <c r="MJ14" s="18"/>
      <c r="MK14" s="18"/>
      <c r="ML14" s="18"/>
      <c r="MM14" s="18"/>
      <c r="MN14" s="18"/>
      <c r="MO14" s="18"/>
      <c r="MP14" s="18"/>
      <c r="MQ14" s="18"/>
      <c r="MR14" s="18"/>
      <c r="MS14" s="18"/>
      <c r="MT14" s="18"/>
      <c r="MU14" s="18"/>
      <c r="MV14" s="18"/>
      <c r="MW14" s="18"/>
      <c r="MX14" s="18"/>
      <c r="MY14" s="18"/>
      <c r="MZ14" s="11" t="str">
        <f t="shared" si="146"/>
        <v/>
      </c>
      <c r="NA14" s="11" t="str">
        <f t="shared" si="147"/>
        <v/>
      </c>
      <c r="NB14" s="11" t="str">
        <f t="shared" si="148"/>
        <v/>
      </c>
      <c r="NC14" s="11" t="str">
        <f t="shared" si="149"/>
        <v/>
      </c>
      <c r="ND14" s="11" t="str">
        <f t="shared" si="150"/>
        <v/>
      </c>
      <c r="NE14" s="11" t="str">
        <f t="shared" si="151"/>
        <v/>
      </c>
      <c r="NF14" s="11" t="str">
        <f t="shared" si="152"/>
        <v/>
      </c>
      <c r="NG14" s="11" t="str">
        <f t="shared" si="153"/>
        <v/>
      </c>
      <c r="NH14" s="11" t="str">
        <f t="shared" si="154"/>
        <v/>
      </c>
      <c r="NI14" s="11" t="str">
        <f t="shared" si="155"/>
        <v/>
      </c>
      <c r="NJ14" s="11" t="str">
        <f t="shared" si="156"/>
        <v/>
      </c>
      <c r="NK14" s="11" t="str">
        <f t="shared" si="157"/>
        <v/>
      </c>
      <c r="NL14" s="11" t="str">
        <f t="shared" si="158"/>
        <v/>
      </c>
      <c r="NM14" s="11" t="str">
        <f t="shared" si="159"/>
        <v/>
      </c>
      <c r="NN14" s="17"/>
      <c r="NO14" s="17"/>
      <c r="NP14" s="17"/>
      <c r="NQ14" s="17"/>
      <c r="NR14" s="17"/>
      <c r="NS14" s="17"/>
      <c r="NT14" s="17"/>
      <c r="NU14" s="17"/>
      <c r="NV14" s="17"/>
      <c r="NW14" s="17"/>
      <c r="NX14" s="17"/>
      <c r="NY14" s="17"/>
      <c r="NZ14" s="17"/>
      <c r="OA14" s="17"/>
      <c r="OB14" s="17"/>
      <c r="OC14" s="17"/>
      <c r="OD14" s="17"/>
      <c r="OE14" s="17"/>
      <c r="OF14" s="17"/>
      <c r="OG14" s="17"/>
      <c r="OH14" s="40" t="str">
        <f t="shared" si="160"/>
        <v/>
      </c>
      <c r="OI14" s="40" t="str">
        <f t="shared" si="161"/>
        <v/>
      </c>
      <c r="OJ14" s="40" t="str">
        <f t="shared" si="162"/>
        <v/>
      </c>
      <c r="OK14" s="40" t="str">
        <f t="shared" si="163"/>
        <v/>
      </c>
      <c r="OL14" s="40" t="str">
        <f t="shared" si="164"/>
        <v/>
      </c>
      <c r="OM14" s="40" t="str">
        <f t="shared" si="165"/>
        <v/>
      </c>
      <c r="ON14" s="40" t="str">
        <f t="shared" si="166"/>
        <v/>
      </c>
      <c r="OO14" s="40" t="str">
        <f t="shared" si="167"/>
        <v/>
      </c>
      <c r="OP14" s="40" t="str">
        <f t="shared" si="168"/>
        <v/>
      </c>
      <c r="OQ14" s="40" t="str">
        <f t="shared" si="169"/>
        <v/>
      </c>
      <c r="OR14" s="40" t="str">
        <f t="shared" si="170"/>
        <v/>
      </c>
      <c r="OS14" s="40" t="str">
        <f t="shared" si="171"/>
        <v/>
      </c>
      <c r="OT14" s="40" t="str">
        <f t="shared" si="172"/>
        <v/>
      </c>
      <c r="OU14" s="40" t="str">
        <f t="shared" si="173"/>
        <v/>
      </c>
      <c r="OV14" s="18"/>
      <c r="OW14" s="18"/>
      <c r="OX14" s="18"/>
      <c r="OY14" s="18"/>
      <c r="OZ14" s="18"/>
      <c r="PA14" s="18"/>
      <c r="PB14" s="18"/>
      <c r="PC14" s="18"/>
      <c r="PD14" s="18"/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1" t="str">
        <f t="shared" si="174"/>
        <v/>
      </c>
      <c r="PQ14" s="11" t="str">
        <f t="shared" si="175"/>
        <v/>
      </c>
      <c r="PR14" s="11" t="str">
        <f t="shared" si="176"/>
        <v/>
      </c>
      <c r="PS14" s="11" t="str">
        <f t="shared" si="177"/>
        <v/>
      </c>
      <c r="PT14" s="11" t="str">
        <f t="shared" si="178"/>
        <v/>
      </c>
      <c r="PU14" s="11" t="str">
        <f t="shared" si="179"/>
        <v/>
      </c>
      <c r="PV14" s="11" t="str">
        <f t="shared" si="180"/>
        <v/>
      </c>
      <c r="PW14" s="11" t="str">
        <f t="shared" si="181"/>
        <v/>
      </c>
      <c r="PX14" s="11" t="str">
        <f t="shared" si="182"/>
        <v/>
      </c>
      <c r="PY14" s="11" t="str">
        <f t="shared" si="183"/>
        <v/>
      </c>
      <c r="PZ14" s="11" t="str">
        <f t="shared" si="184"/>
        <v/>
      </c>
      <c r="QA14" s="11" t="str">
        <f t="shared" si="185"/>
        <v/>
      </c>
      <c r="QB14" s="11" t="str">
        <f t="shared" si="186"/>
        <v/>
      </c>
      <c r="QC14" s="11" t="str">
        <f t="shared" si="187"/>
        <v/>
      </c>
      <c r="QD14" s="17"/>
      <c r="QE14" s="17"/>
      <c r="QF14" s="17"/>
      <c r="QG14" s="17"/>
      <c r="QH14" s="17"/>
      <c r="QI14" s="17"/>
      <c r="QJ14" s="17"/>
      <c r="QK14" s="17"/>
      <c r="QL14" s="17"/>
      <c r="QM14" s="17"/>
      <c r="QN14" s="17"/>
      <c r="QO14" s="17"/>
      <c r="QP14" s="17"/>
      <c r="QQ14" s="17"/>
      <c r="QR14" s="17"/>
      <c r="QS14" s="17"/>
      <c r="QT14" s="17"/>
      <c r="QU14" s="17"/>
      <c r="QV14" s="17"/>
      <c r="QW14" s="17"/>
      <c r="QX14" s="40" t="str">
        <f t="shared" si="188"/>
        <v/>
      </c>
      <c r="QY14" s="40" t="str">
        <f t="shared" si="189"/>
        <v/>
      </c>
      <c r="QZ14" s="40" t="str">
        <f t="shared" si="190"/>
        <v/>
      </c>
      <c r="RA14" s="40" t="str">
        <f t="shared" si="191"/>
        <v/>
      </c>
      <c r="RB14" s="40" t="str">
        <f t="shared" si="192"/>
        <v/>
      </c>
      <c r="RC14" s="40" t="str">
        <f t="shared" si="193"/>
        <v/>
      </c>
      <c r="RD14" s="40" t="str">
        <f t="shared" si="194"/>
        <v/>
      </c>
      <c r="RE14" s="40" t="str">
        <f t="shared" si="195"/>
        <v/>
      </c>
      <c r="RF14" s="40" t="str">
        <f t="shared" si="196"/>
        <v/>
      </c>
      <c r="RG14" s="40" t="str">
        <f t="shared" si="197"/>
        <v/>
      </c>
      <c r="RH14" s="40" t="str">
        <f t="shared" si="198"/>
        <v/>
      </c>
      <c r="RI14" s="40" t="str">
        <f t="shared" si="199"/>
        <v/>
      </c>
      <c r="RJ14" s="40" t="str">
        <f t="shared" si="200"/>
        <v/>
      </c>
      <c r="RK14" s="40" t="str">
        <f t="shared" si="201"/>
        <v/>
      </c>
      <c r="RL14" s="18"/>
      <c r="RM14" s="18"/>
      <c r="RN14" s="18"/>
      <c r="RO14" s="18"/>
      <c r="RP14" s="18"/>
      <c r="RQ14" s="18"/>
      <c r="RR14" s="18"/>
      <c r="RS14" s="18"/>
      <c r="RT14" s="18"/>
      <c r="RU14" s="18"/>
      <c r="RV14" s="18"/>
      <c r="RW14" s="18"/>
      <c r="RX14" s="18"/>
      <c r="RY14" s="18"/>
      <c r="RZ14" s="18"/>
      <c r="SA14" s="18"/>
      <c r="SB14" s="18"/>
      <c r="SC14" s="18"/>
      <c r="SD14" s="18"/>
      <c r="SE14" s="18"/>
      <c r="SF14" s="11" t="str">
        <f t="shared" si="202"/>
        <v/>
      </c>
      <c r="SG14" s="11" t="str">
        <f t="shared" si="203"/>
        <v/>
      </c>
      <c r="SH14" s="11" t="str">
        <f t="shared" si="204"/>
        <v/>
      </c>
      <c r="SI14" s="11" t="str">
        <f t="shared" si="205"/>
        <v/>
      </c>
      <c r="SJ14" s="11" t="str">
        <f t="shared" si="206"/>
        <v/>
      </c>
      <c r="SK14" s="11" t="str">
        <f t="shared" si="207"/>
        <v/>
      </c>
      <c r="SL14" s="11" t="str">
        <f t="shared" si="208"/>
        <v/>
      </c>
      <c r="SM14" s="11" t="str">
        <f t="shared" si="209"/>
        <v/>
      </c>
      <c r="SN14" s="11" t="str">
        <f t="shared" si="210"/>
        <v/>
      </c>
      <c r="SO14" s="11" t="str">
        <f t="shared" si="211"/>
        <v/>
      </c>
      <c r="SP14" s="11" t="str">
        <f t="shared" si="212"/>
        <v/>
      </c>
      <c r="SQ14" s="11" t="str">
        <f t="shared" si="213"/>
        <v/>
      </c>
      <c r="SR14" s="11" t="str">
        <f t="shared" si="214"/>
        <v/>
      </c>
      <c r="SS14" s="11" t="str">
        <f t="shared" si="215"/>
        <v/>
      </c>
      <c r="ST14" s="22">
        <f t="shared" si="216"/>
        <v>6.85</v>
      </c>
      <c r="SU14" s="22">
        <f t="shared" si="217"/>
        <v>4.75</v>
      </c>
      <c r="SV14" s="22">
        <f t="shared" si="218"/>
        <v>4.7</v>
      </c>
      <c r="SW14" s="22">
        <f t="shared" si="219"/>
        <v>6.09</v>
      </c>
      <c r="SX14" s="22">
        <f t="shared" si="220"/>
        <v>0</v>
      </c>
      <c r="SY14" s="22">
        <f t="shared" si="221"/>
        <v>6.8</v>
      </c>
      <c r="SZ14" s="22">
        <f t="shared" si="222"/>
        <v>4.5</v>
      </c>
      <c r="TA14" s="22">
        <f t="shared" si="223"/>
        <v>3.8</v>
      </c>
      <c r="TB14" s="22">
        <f t="shared" si="224"/>
        <v>6.3049999999999997</v>
      </c>
      <c r="TC14" s="22">
        <f t="shared" si="225"/>
        <v>0.6</v>
      </c>
      <c r="TD14" s="22">
        <f t="shared" si="226"/>
        <v>7.1</v>
      </c>
      <c r="TE14" s="22">
        <f t="shared" si="227"/>
        <v>4.8499999999999996</v>
      </c>
      <c r="TF14" s="22">
        <f t="shared" si="228"/>
        <v>4.0999999999999996</v>
      </c>
      <c r="TG14" s="22">
        <f t="shared" si="229"/>
        <v>6.2050000000000001</v>
      </c>
      <c r="TH14" s="22">
        <f t="shared" si="230"/>
        <v>0.3</v>
      </c>
      <c r="TI14" s="27" t="s">
        <v>46</v>
      </c>
      <c r="TJ14" s="40">
        <f t="shared" si="231"/>
        <v>4.7</v>
      </c>
      <c r="TK14" s="40">
        <f t="shared" si="232"/>
        <v>6.09</v>
      </c>
      <c r="TL14" s="40">
        <f t="shared" si="233"/>
        <v>22.39</v>
      </c>
      <c r="TM14" s="40">
        <f t="shared" si="234"/>
        <v>3.8</v>
      </c>
      <c r="TN14" s="40">
        <f t="shared" si="235"/>
        <v>6.3049999999999997</v>
      </c>
      <c r="TO14" s="40">
        <f t="shared" si="236"/>
        <v>20.805</v>
      </c>
      <c r="TP14" s="40">
        <f t="shared" si="237"/>
        <v>22.39</v>
      </c>
      <c r="TQ14" s="40">
        <f t="shared" si="238"/>
        <v>4.0999999999999996</v>
      </c>
      <c r="TR14" s="40">
        <f t="shared" si="239"/>
        <v>6.2050000000000001</v>
      </c>
      <c r="TS14" s="40">
        <f t="shared" si="240"/>
        <v>21.954999999999995</v>
      </c>
      <c r="TT14" s="40">
        <f t="shared" si="241"/>
        <v>44.344999999999999</v>
      </c>
    </row>
    <row r="15" spans="1:540" x14ac:dyDescent="0.2">
      <c r="A15" s="4" t="str" cm="1">
        <f t="array" ref="A15">IF(AND(F15&lt;&gt;"",G15&lt;&gt;""),SUMPRODUCT((F$4:F$32&lt;&gt;"")*(G$4:G$32&lt;&gt;"")*(E$4:E$32&gt;E15))+1,IF(G15&lt;&gt;"",SUMPRODUCT((H$4:H$32="No DD")*(E$4:E$32&gt;E15))+1+SUMPRODUCT((F$4:F$32&lt;&gt;"")*(G$4:G$32&lt;&gt;"")),""))</f>
        <v/>
      </c>
      <c r="B15" s="5" t="s">
        <v>162</v>
      </c>
      <c r="C15" s="4" t="s">
        <v>4</v>
      </c>
      <c r="D15" s="4">
        <v>2004</v>
      </c>
      <c r="E15" s="9">
        <f t="shared" si="0"/>
        <v>110.02001100200428</v>
      </c>
      <c r="F15" s="3" t="str">
        <f t="shared" si="1"/>
        <v/>
      </c>
      <c r="G15" s="3" t="str">
        <f t="shared" si="2"/>
        <v/>
      </c>
      <c r="H15" s="36" t="str">
        <f t="shared" si="3"/>
        <v/>
      </c>
      <c r="I15" s="3" t="str">
        <f t="shared" si="4"/>
        <v/>
      </c>
      <c r="J15" s="8">
        <f>IF(COUNT(AO15,AR15,BP15,BS15,CQ15,CT15)&gt;0,LARGE((AO15,AR15,BP15,BS15,CQ15,CT15),1),0)</f>
        <v>42.879999999999995</v>
      </c>
      <c r="K15" s="8" t="str">
        <f t="shared" si="5"/>
        <v>2022 Nationals</v>
      </c>
      <c r="L15" s="8">
        <f>IF(COUNT(AO15,AR15,BP15,BS15,CQ15,CT15)&gt;1,LARGE((AO15,AR15,BP15,BS15,CQ15,CT15),2),0)</f>
        <v>39.92</v>
      </c>
      <c r="M15" s="8" t="str">
        <f t="shared" si="6"/>
        <v>2023 Elite Canada</v>
      </c>
      <c r="N15" s="8">
        <f>IF(COUNT(AO15,AR15,BP15,BS15,CQ15,CT15)&gt;2,LARGE((AO15,AR15,BP15,BS15,CQ15,CT15),3),0)</f>
        <v>18.920000000000002</v>
      </c>
      <c r="O15" s="8" t="str">
        <f t="shared" si="242"/>
        <v>2023 Elite Canada</v>
      </c>
      <c r="P15" s="8">
        <f t="shared" si="7"/>
        <v>8.3000000000000007</v>
      </c>
      <c r="Q15" s="8" t="str">
        <f t="shared" si="8"/>
        <v>2022 Nationals</v>
      </c>
      <c r="R15" s="8">
        <f t="shared" si="9"/>
        <v>0</v>
      </c>
      <c r="S15" s="8" t="str">
        <f t="shared" si="10"/>
        <v/>
      </c>
      <c r="T15" s="8" t="str">
        <f t="shared" si="11"/>
        <v/>
      </c>
      <c r="U15" s="11" t="str">
        <f t="shared" si="12"/>
        <v/>
      </c>
      <c r="V15" s="8" t="str">
        <f>IF(T15="","",IF(T15=CZ15,IF(T15+IF(N15="",0,N15)=SL15,$RL$1,IF(T15+IF(N15="",0,N15)=RD15,$QD$1,IF(T15+IF(N15="",0,N15)=PV15,$OV$1,IF(T15+IF(N15="",0,N15)=ON15,$NN$1,IF(T15+IF(N15="",0,N15)=NF15,$MF$1,IF(T15+IF(N15="",0,N15)=LX15,$KX$1,IF(T15+IF(N15="",0,N15)=KP15,$JP$1,IF(T15+IF(N15="",0,N15)=JH15,$IH$1,IF(T15+IF(N15="",0,N15)=HZ15,$GZ$1,IF(T15+IF(N15="",0,N15)=GR15,$FR$1,IF(T15+IF(N15="",0,N15)=FJ15,$EJ$1,IF(T15+IF(N15="",0,N15)=EB15,$DB$1)))))))))))),IF(T15=DA15,IF(T15+IF(#REF!="",0,#REF!)=SR15,$RL$1,IF(T15+IF(#REF!="",0,#REF!)=RJ15,$QD$1,IF(T15+IF(#REF!="",0,#REF!)=QB15,$OV$1,IF(T15+IF(#REF!="",0,#REF!)=OT15,$NN$1,IF(T15+IF(#REF!="",0,#REF!)=NL15,$MF$1,IF(T15+IF(#REF!="",0,#REF!)=MD15,$KX$1,IF(T15+IF(#REF!="",0,#REF!)=KV15,$JP$1,IF(T15+IF(#REF!="",0,#REF!)=JN15,$IH$1,IF(T15+IF(#REF!="",0,#REF!)=IF15,$GZ$1,IF(T15+IF(#REF!="",0,#REF!)=GX15,$FR$1,IF(T15+IF(#REF!="",0,#REF!)=FP15,$EJ$1,IF(T15+IF(#REF!="",0,#REF!)=EH15,$DB$1,IF(T15+IF(#REF!="",0,#REF!)=SO15,$RL$1,IF(T15+IF(#REF!="",0,#REF!)=RG15,$QD$1,IF(T15+IF(#REF!="",0,#REF!)=PY15,$OV$1,IF(T15+IF(#REF!="",0,#REF!)=OQ15,$NN$1,IF(T15+IF(#REF!="",0,#REF!)=NI15,$MF$1,IF(T15+IF(#REF!="",0,#REF!)=MA15,$KX$1,IF(T15+IF(#REF!="",0,#REF!)=KS15,$JP$1,IF(T15+IF(#REF!="",0,#REF!)=JK15,$IH$1,IF(T15+IF(#REF!="",0,#REF!)=IC15,$GZ$1,IF(T15+IF(#REF!="",0,#REF!)=GU15,$FR$1,IF(T15+IF(#REF!="",0,#REF!)=FM15,$EJ$1,IF(T15+IF(#REF!="",0,#REF!)=EE15,$DB$1)))))))))))))))))))))))))))</f>
        <v/>
      </c>
      <c r="W15" s="22">
        <v>12.7</v>
      </c>
      <c r="X15" s="22">
        <v>9.6</v>
      </c>
      <c r="Y15" s="22">
        <v>8.3000000000000007</v>
      </c>
      <c r="Z15" s="22">
        <v>12.78</v>
      </c>
      <c r="AA15" s="22">
        <v>0.5</v>
      </c>
      <c r="AB15" s="22"/>
      <c r="AC15" s="22"/>
      <c r="AD15" s="22"/>
      <c r="AE15" s="22"/>
      <c r="AF15" s="22"/>
      <c r="AG15" s="22">
        <v>14.2</v>
      </c>
      <c r="AH15" s="22">
        <v>9.3000000000000007</v>
      </c>
      <c r="AI15" s="22">
        <v>8.3000000000000007</v>
      </c>
      <c r="AJ15" s="22">
        <v>13.16</v>
      </c>
      <c r="AK15" s="22">
        <v>0.5</v>
      </c>
      <c r="AL15" s="27"/>
      <c r="AM15" s="38">
        <f t="shared" si="13"/>
        <v>8.3000000000000007</v>
      </c>
      <c r="AN15" s="38">
        <f t="shared" si="14"/>
        <v>12.78</v>
      </c>
      <c r="AO15" s="40">
        <f t="shared" si="15"/>
        <v>42.879999999999995</v>
      </c>
      <c r="AP15" s="40" t="str">
        <f t="shared" si="16"/>
        <v/>
      </c>
      <c r="AQ15" s="40" t="str">
        <f t="shared" si="17"/>
        <v/>
      </c>
      <c r="AR15" s="40" t="str">
        <f t="shared" si="18"/>
        <v/>
      </c>
      <c r="AS15" s="40">
        <f t="shared" si="19"/>
        <v>42.879999999999995</v>
      </c>
      <c r="AT15" s="40">
        <f t="shared" si="20"/>
        <v>8.3000000000000007</v>
      </c>
      <c r="AU15" s="40">
        <f t="shared" si="21"/>
        <v>13.16</v>
      </c>
      <c r="AV15" s="40">
        <f t="shared" si="22"/>
        <v>44.46</v>
      </c>
      <c r="AW15" s="40">
        <f t="shared" si="23"/>
        <v>87.34</v>
      </c>
      <c r="AX15" s="26"/>
      <c r="AY15" s="26"/>
      <c r="AZ15" s="26"/>
      <c r="BA15" s="26"/>
      <c r="BB15" s="26"/>
      <c r="BC15" s="26"/>
      <c r="BD15" s="26"/>
      <c r="BE15" s="26"/>
      <c r="BF15" s="26"/>
      <c r="BG15" s="26"/>
      <c r="BH15" s="26"/>
      <c r="BI15" s="26"/>
      <c r="BJ15" s="26"/>
      <c r="BK15" s="26"/>
      <c r="BL15" s="26"/>
      <c r="BM15" s="28"/>
      <c r="BN15" s="39" t="str">
        <f t="shared" si="24"/>
        <v/>
      </c>
      <c r="BO15" s="39" t="str">
        <f t="shared" si="25"/>
        <v/>
      </c>
      <c r="BP15" s="11" t="str">
        <f t="shared" si="26"/>
        <v/>
      </c>
      <c r="BQ15" s="11" t="str">
        <f t="shared" si="27"/>
        <v/>
      </c>
      <c r="BR15" s="11" t="str">
        <f t="shared" si="28"/>
        <v/>
      </c>
      <c r="BS15" s="11" t="str">
        <f t="shared" si="29"/>
        <v/>
      </c>
      <c r="BT15" s="11" t="str">
        <f t="shared" si="30"/>
        <v/>
      </c>
      <c r="BU15" s="11" t="str">
        <f t="shared" si="31"/>
        <v/>
      </c>
      <c r="BV15" s="11" t="str">
        <f t="shared" si="32"/>
        <v/>
      </c>
      <c r="BW15" s="11" t="str">
        <f t="shared" si="33"/>
        <v/>
      </c>
      <c r="BX15" s="11" t="str">
        <f t="shared" si="34"/>
        <v/>
      </c>
      <c r="BY15" s="22">
        <v>12.3</v>
      </c>
      <c r="BZ15" s="22">
        <v>9.3000000000000007</v>
      </c>
      <c r="CA15" s="22">
        <v>7.9</v>
      </c>
      <c r="CB15" s="22">
        <v>11.32</v>
      </c>
      <c r="CC15" s="22">
        <v>0.9</v>
      </c>
      <c r="CD15" s="22">
        <v>5.3</v>
      </c>
      <c r="CE15" s="22">
        <v>3.5</v>
      </c>
      <c r="CF15" s="22">
        <v>5</v>
      </c>
      <c r="CG15" s="22">
        <v>5.12</v>
      </c>
      <c r="CH15" s="22">
        <v>0</v>
      </c>
      <c r="CI15" s="22"/>
      <c r="CJ15" s="22"/>
      <c r="CK15" s="22"/>
      <c r="CL15" s="22"/>
      <c r="CM15" s="22"/>
      <c r="CN15" s="27"/>
      <c r="CO15" s="38">
        <f t="shared" si="35"/>
        <v>7.9</v>
      </c>
      <c r="CP15" s="38">
        <f t="shared" si="36"/>
        <v>11.32</v>
      </c>
      <c r="CQ15" s="40">
        <f t="shared" si="37"/>
        <v>39.92</v>
      </c>
      <c r="CR15" s="40">
        <f t="shared" si="38"/>
        <v>5</v>
      </c>
      <c r="CS15" s="40">
        <f t="shared" si="39"/>
        <v>5.12</v>
      </c>
      <c r="CT15" s="40">
        <f t="shared" si="40"/>
        <v>18.920000000000002</v>
      </c>
      <c r="CU15" s="40">
        <f t="shared" si="41"/>
        <v>39.92</v>
      </c>
      <c r="CV15" s="40" t="str">
        <f t="shared" si="42"/>
        <v/>
      </c>
      <c r="CW15" s="40" t="str">
        <f t="shared" si="43"/>
        <v/>
      </c>
      <c r="CX15" s="40" t="str">
        <f t="shared" si="44"/>
        <v/>
      </c>
      <c r="CY15" s="40">
        <f t="shared" si="45"/>
        <v>39.92</v>
      </c>
      <c r="CZ15" s="50" t="str">
        <f t="shared" si="46"/>
        <v/>
      </c>
      <c r="DA15" s="50" t="str">
        <f t="shared" si="47"/>
        <v/>
      </c>
      <c r="DB15" s="17"/>
      <c r="DC15" s="17"/>
      <c r="DD15" s="17"/>
      <c r="DE15" s="17"/>
      <c r="DF15" s="17"/>
      <c r="DG15" s="17"/>
      <c r="DH15" s="17"/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40" t="str">
        <f t="shared" si="48"/>
        <v/>
      </c>
      <c r="DW15" s="40" t="str">
        <f t="shared" si="49"/>
        <v/>
      </c>
      <c r="DX15" s="40" t="str">
        <f t="shared" si="50"/>
        <v/>
      </c>
      <c r="DY15" s="40" t="str">
        <f t="shared" si="51"/>
        <v/>
      </c>
      <c r="DZ15" s="40" t="str">
        <f t="shared" si="52"/>
        <v/>
      </c>
      <c r="EA15" s="40" t="str">
        <f t="shared" si="53"/>
        <v/>
      </c>
      <c r="EB15" s="40" t="str">
        <f t="shared" si="54"/>
        <v/>
      </c>
      <c r="EC15" s="40" t="str">
        <f t="shared" si="55"/>
        <v/>
      </c>
      <c r="ED15" s="40" t="str">
        <f t="shared" si="56"/>
        <v/>
      </c>
      <c r="EE15" s="40" t="str">
        <f t="shared" si="57"/>
        <v/>
      </c>
      <c r="EF15" s="40" t="str">
        <f t="shared" si="58"/>
        <v/>
      </c>
      <c r="EG15" s="40" t="str">
        <f t="shared" si="59"/>
        <v/>
      </c>
      <c r="EH15" s="40" t="str">
        <f t="shared" si="60"/>
        <v/>
      </c>
      <c r="EI15" s="40" t="str">
        <f t="shared" si="61"/>
        <v/>
      </c>
      <c r="EJ15" s="18"/>
      <c r="EK15" s="18"/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8"/>
      <c r="EY15" s="18"/>
      <c r="EZ15" s="18"/>
      <c r="FA15" s="18"/>
      <c r="FB15" s="18"/>
      <c r="FC15" s="18"/>
      <c r="FD15" s="11" t="str">
        <f t="shared" si="62"/>
        <v/>
      </c>
      <c r="FE15" s="11" t="str">
        <f t="shared" si="63"/>
        <v/>
      </c>
      <c r="FF15" s="11" t="str">
        <f t="shared" si="64"/>
        <v/>
      </c>
      <c r="FG15" s="11" t="str">
        <f t="shared" si="65"/>
        <v/>
      </c>
      <c r="FH15" s="11" t="str">
        <f t="shared" si="66"/>
        <v/>
      </c>
      <c r="FI15" s="11" t="str">
        <f t="shared" si="67"/>
        <v/>
      </c>
      <c r="FJ15" s="11" t="str">
        <f t="shared" si="68"/>
        <v/>
      </c>
      <c r="FK15" s="11" t="str">
        <f t="shared" si="69"/>
        <v/>
      </c>
      <c r="FL15" s="11" t="str">
        <f t="shared" si="70"/>
        <v/>
      </c>
      <c r="FM15" s="11" t="str">
        <f t="shared" si="71"/>
        <v/>
      </c>
      <c r="FN15" s="11" t="str">
        <f t="shared" si="72"/>
        <v/>
      </c>
      <c r="FO15" s="11" t="str">
        <f t="shared" si="73"/>
        <v/>
      </c>
      <c r="FP15" s="11" t="str">
        <f t="shared" si="74"/>
        <v/>
      </c>
      <c r="FQ15" s="11" t="str">
        <f t="shared" si="75"/>
        <v/>
      </c>
      <c r="FR15" s="17"/>
      <c r="FS15" s="17"/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17"/>
      <c r="GF15" s="17"/>
      <c r="GG15" s="17"/>
      <c r="GH15" s="17"/>
      <c r="GI15" s="17"/>
      <c r="GJ15" s="17"/>
      <c r="GK15" s="17"/>
      <c r="GL15" s="40" t="str">
        <f t="shared" si="76"/>
        <v/>
      </c>
      <c r="GM15" s="40" t="str">
        <f t="shared" si="77"/>
        <v/>
      </c>
      <c r="GN15" s="40" t="str">
        <f t="shared" si="78"/>
        <v/>
      </c>
      <c r="GO15" s="40" t="str">
        <f t="shared" si="79"/>
        <v/>
      </c>
      <c r="GP15" s="40" t="str">
        <f t="shared" si="80"/>
        <v/>
      </c>
      <c r="GQ15" s="40" t="str">
        <f t="shared" si="81"/>
        <v/>
      </c>
      <c r="GR15" s="40" t="str">
        <f t="shared" si="82"/>
        <v/>
      </c>
      <c r="GS15" s="40" t="str">
        <f t="shared" si="83"/>
        <v/>
      </c>
      <c r="GT15" s="40" t="str">
        <f t="shared" si="84"/>
        <v/>
      </c>
      <c r="GU15" s="40" t="str">
        <f t="shared" si="85"/>
        <v/>
      </c>
      <c r="GV15" s="40" t="str">
        <f t="shared" si="86"/>
        <v/>
      </c>
      <c r="GW15" s="40" t="str">
        <f t="shared" si="87"/>
        <v/>
      </c>
      <c r="GX15" s="40" t="str">
        <f t="shared" si="88"/>
        <v/>
      </c>
      <c r="GY15" s="40" t="str">
        <f t="shared" si="89"/>
        <v/>
      </c>
      <c r="GZ15" s="18"/>
      <c r="HA15" s="18"/>
      <c r="HB15" s="18"/>
      <c r="HC15" s="18"/>
      <c r="HD15" s="18"/>
      <c r="HE15" s="18"/>
      <c r="HF15" s="18"/>
      <c r="HG15" s="18"/>
      <c r="HH15" s="18"/>
      <c r="HI15" s="18"/>
      <c r="HJ15" s="18"/>
      <c r="HK15" s="18"/>
      <c r="HL15" s="18"/>
      <c r="HM15" s="18"/>
      <c r="HN15" s="18"/>
      <c r="HO15" s="18"/>
      <c r="HP15" s="18"/>
      <c r="HQ15" s="18"/>
      <c r="HR15" s="18"/>
      <c r="HS15" s="18"/>
      <c r="HT15" s="11" t="str">
        <f t="shared" si="90"/>
        <v/>
      </c>
      <c r="HU15" s="11" t="str">
        <f t="shared" si="91"/>
        <v/>
      </c>
      <c r="HV15" s="11" t="str">
        <f t="shared" si="92"/>
        <v/>
      </c>
      <c r="HW15" s="11" t="str">
        <f t="shared" si="93"/>
        <v/>
      </c>
      <c r="HX15" s="11" t="str">
        <f t="shared" si="94"/>
        <v/>
      </c>
      <c r="HY15" s="11" t="str">
        <f t="shared" si="95"/>
        <v/>
      </c>
      <c r="HZ15" s="11" t="str">
        <f t="shared" si="96"/>
        <v/>
      </c>
      <c r="IA15" s="11" t="str">
        <f t="shared" si="97"/>
        <v/>
      </c>
      <c r="IB15" s="11" t="str">
        <f t="shared" si="98"/>
        <v/>
      </c>
      <c r="IC15" s="11" t="str">
        <f t="shared" si="99"/>
        <v/>
      </c>
      <c r="ID15" s="11" t="str">
        <f t="shared" si="100"/>
        <v/>
      </c>
      <c r="IE15" s="11" t="str">
        <f t="shared" si="101"/>
        <v/>
      </c>
      <c r="IF15" s="11" t="str">
        <f t="shared" si="102"/>
        <v/>
      </c>
      <c r="IG15" s="11" t="str">
        <f t="shared" si="103"/>
        <v/>
      </c>
      <c r="IH15" s="17"/>
      <c r="II15" s="17"/>
      <c r="IJ15" s="17"/>
      <c r="IK15" s="17"/>
      <c r="IL15" s="17"/>
      <c r="IM15" s="17"/>
      <c r="IN15" s="17"/>
      <c r="IO15" s="17"/>
      <c r="IP15" s="17"/>
      <c r="IQ15" s="17"/>
      <c r="IR15" s="17"/>
      <c r="IS15" s="17"/>
      <c r="IT15" s="17"/>
      <c r="IU15" s="17"/>
      <c r="IV15" s="17"/>
      <c r="IW15" s="17"/>
      <c r="IX15" s="17"/>
      <c r="IY15" s="17"/>
      <c r="IZ15" s="17"/>
      <c r="JA15" s="17"/>
      <c r="JB15" s="40" t="str">
        <f t="shared" si="104"/>
        <v/>
      </c>
      <c r="JC15" s="40" t="str">
        <f t="shared" si="105"/>
        <v/>
      </c>
      <c r="JD15" s="40" t="str">
        <f t="shared" si="106"/>
        <v/>
      </c>
      <c r="JE15" s="40" t="str">
        <f t="shared" si="107"/>
        <v/>
      </c>
      <c r="JF15" s="40" t="str">
        <f t="shared" si="108"/>
        <v/>
      </c>
      <c r="JG15" s="40" t="str">
        <f t="shared" si="109"/>
        <v/>
      </c>
      <c r="JH15" s="40" t="str">
        <f t="shared" si="110"/>
        <v/>
      </c>
      <c r="JI15" s="40" t="str">
        <f t="shared" si="111"/>
        <v/>
      </c>
      <c r="JJ15" s="40" t="str">
        <f t="shared" si="112"/>
        <v/>
      </c>
      <c r="JK15" s="40" t="str">
        <f t="shared" si="113"/>
        <v/>
      </c>
      <c r="JL15" s="40" t="str">
        <f t="shared" si="114"/>
        <v/>
      </c>
      <c r="JM15" s="40" t="str">
        <f t="shared" si="115"/>
        <v/>
      </c>
      <c r="JN15" s="40" t="str">
        <f t="shared" si="116"/>
        <v/>
      </c>
      <c r="JO15" s="40" t="str">
        <f t="shared" si="117"/>
        <v/>
      </c>
      <c r="JP15" s="18"/>
      <c r="JQ15" s="18"/>
      <c r="JR15" s="18"/>
      <c r="JS15" s="18"/>
      <c r="JT15" s="18"/>
      <c r="JU15" s="18"/>
      <c r="JV15" s="18"/>
      <c r="JW15" s="18"/>
      <c r="JX15" s="18"/>
      <c r="JY15" s="18"/>
      <c r="JZ15" s="18"/>
      <c r="KA15" s="18"/>
      <c r="KB15" s="18"/>
      <c r="KC15" s="18"/>
      <c r="KD15" s="18"/>
      <c r="KE15" s="18"/>
      <c r="KF15" s="18"/>
      <c r="KG15" s="18"/>
      <c r="KH15" s="18"/>
      <c r="KI15" s="18"/>
      <c r="KJ15" s="11" t="str">
        <f t="shared" si="118"/>
        <v/>
      </c>
      <c r="KK15" s="11" t="str">
        <f t="shared" si="119"/>
        <v/>
      </c>
      <c r="KL15" s="11" t="str">
        <f t="shared" si="120"/>
        <v/>
      </c>
      <c r="KM15" s="11" t="str">
        <f t="shared" si="121"/>
        <v/>
      </c>
      <c r="KN15" s="11" t="str">
        <f t="shared" si="122"/>
        <v/>
      </c>
      <c r="KO15" s="11" t="str">
        <f t="shared" si="123"/>
        <v/>
      </c>
      <c r="KP15" s="11" t="str">
        <f t="shared" si="124"/>
        <v/>
      </c>
      <c r="KQ15" s="11" t="str">
        <f t="shared" si="125"/>
        <v/>
      </c>
      <c r="KR15" s="11" t="str">
        <f t="shared" si="126"/>
        <v/>
      </c>
      <c r="KS15" s="11" t="str">
        <f t="shared" si="127"/>
        <v/>
      </c>
      <c r="KT15" s="11" t="str">
        <f t="shared" si="128"/>
        <v/>
      </c>
      <c r="KU15" s="11" t="str">
        <f t="shared" si="129"/>
        <v/>
      </c>
      <c r="KV15" s="11" t="str">
        <f t="shared" si="130"/>
        <v/>
      </c>
      <c r="KW15" s="11" t="str">
        <f t="shared" si="131"/>
        <v/>
      </c>
      <c r="KX15" s="17"/>
      <c r="KY15" s="17"/>
      <c r="KZ15" s="17"/>
      <c r="LA15" s="17"/>
      <c r="LB15" s="17"/>
      <c r="LC15" s="17"/>
      <c r="LD15" s="17"/>
      <c r="LE15" s="17"/>
      <c r="LF15" s="17"/>
      <c r="LG15" s="17"/>
      <c r="LH15" s="17"/>
      <c r="LI15" s="17"/>
      <c r="LJ15" s="17"/>
      <c r="LK15" s="17"/>
      <c r="LL15" s="17"/>
      <c r="LM15" s="17"/>
      <c r="LN15" s="17"/>
      <c r="LO15" s="17"/>
      <c r="LP15" s="17"/>
      <c r="LQ15" s="17"/>
      <c r="LR15" s="40" t="str">
        <f t="shared" si="132"/>
        <v/>
      </c>
      <c r="LS15" s="40" t="str">
        <f t="shared" si="133"/>
        <v/>
      </c>
      <c r="LT15" s="40" t="str">
        <f t="shared" si="134"/>
        <v/>
      </c>
      <c r="LU15" s="40" t="str">
        <f t="shared" si="135"/>
        <v/>
      </c>
      <c r="LV15" s="40" t="str">
        <f t="shared" si="136"/>
        <v/>
      </c>
      <c r="LW15" s="40" t="str">
        <f t="shared" si="137"/>
        <v/>
      </c>
      <c r="LX15" s="40" t="str">
        <f t="shared" si="138"/>
        <v/>
      </c>
      <c r="LY15" s="40" t="str">
        <f t="shared" si="139"/>
        <v/>
      </c>
      <c r="LZ15" s="40" t="str">
        <f t="shared" si="140"/>
        <v/>
      </c>
      <c r="MA15" s="40" t="str">
        <f t="shared" si="141"/>
        <v/>
      </c>
      <c r="MB15" s="40" t="str">
        <f t="shared" si="142"/>
        <v/>
      </c>
      <c r="MC15" s="40" t="str">
        <f t="shared" si="143"/>
        <v/>
      </c>
      <c r="MD15" s="40" t="str">
        <f t="shared" si="144"/>
        <v/>
      </c>
      <c r="ME15" s="40" t="str">
        <f t="shared" si="145"/>
        <v/>
      </c>
      <c r="MF15" s="18"/>
      <c r="MG15" s="18"/>
      <c r="MH15" s="18"/>
      <c r="MI15" s="18"/>
      <c r="MJ15" s="18"/>
      <c r="MK15" s="18"/>
      <c r="ML15" s="18"/>
      <c r="MM15" s="18"/>
      <c r="MN15" s="18"/>
      <c r="MO15" s="18"/>
      <c r="MP15" s="18"/>
      <c r="MQ15" s="18"/>
      <c r="MR15" s="18"/>
      <c r="MS15" s="18"/>
      <c r="MT15" s="18"/>
      <c r="MU15" s="18"/>
      <c r="MV15" s="18"/>
      <c r="MW15" s="18"/>
      <c r="MX15" s="18"/>
      <c r="MY15" s="18"/>
      <c r="MZ15" s="11" t="str">
        <f t="shared" si="146"/>
        <v/>
      </c>
      <c r="NA15" s="11" t="str">
        <f t="shared" si="147"/>
        <v/>
      </c>
      <c r="NB15" s="11" t="str">
        <f t="shared" si="148"/>
        <v/>
      </c>
      <c r="NC15" s="11" t="str">
        <f t="shared" si="149"/>
        <v/>
      </c>
      <c r="ND15" s="11" t="str">
        <f t="shared" si="150"/>
        <v/>
      </c>
      <c r="NE15" s="11" t="str">
        <f t="shared" si="151"/>
        <v/>
      </c>
      <c r="NF15" s="11" t="str">
        <f t="shared" si="152"/>
        <v/>
      </c>
      <c r="NG15" s="11" t="str">
        <f t="shared" si="153"/>
        <v/>
      </c>
      <c r="NH15" s="11" t="str">
        <f t="shared" si="154"/>
        <v/>
      </c>
      <c r="NI15" s="11" t="str">
        <f t="shared" si="155"/>
        <v/>
      </c>
      <c r="NJ15" s="11" t="str">
        <f t="shared" si="156"/>
        <v/>
      </c>
      <c r="NK15" s="11" t="str">
        <f t="shared" si="157"/>
        <v/>
      </c>
      <c r="NL15" s="11" t="str">
        <f t="shared" si="158"/>
        <v/>
      </c>
      <c r="NM15" s="11" t="str">
        <f t="shared" si="159"/>
        <v/>
      </c>
      <c r="NN15" s="17"/>
      <c r="NO15" s="17"/>
      <c r="NP15" s="17"/>
      <c r="NQ15" s="17"/>
      <c r="NR15" s="17"/>
      <c r="NS15" s="17"/>
      <c r="NT15" s="17"/>
      <c r="NU15" s="17"/>
      <c r="NV15" s="17"/>
      <c r="NW15" s="17"/>
      <c r="NX15" s="17"/>
      <c r="NY15" s="17"/>
      <c r="NZ15" s="17"/>
      <c r="OA15" s="17"/>
      <c r="OB15" s="17"/>
      <c r="OC15" s="17"/>
      <c r="OD15" s="17"/>
      <c r="OE15" s="17"/>
      <c r="OF15" s="17"/>
      <c r="OG15" s="17"/>
      <c r="OH15" s="40" t="str">
        <f t="shared" si="160"/>
        <v/>
      </c>
      <c r="OI15" s="40" t="str">
        <f t="shared" si="161"/>
        <v/>
      </c>
      <c r="OJ15" s="40" t="str">
        <f t="shared" si="162"/>
        <v/>
      </c>
      <c r="OK15" s="40" t="str">
        <f t="shared" si="163"/>
        <v/>
      </c>
      <c r="OL15" s="40" t="str">
        <f t="shared" si="164"/>
        <v/>
      </c>
      <c r="OM15" s="40" t="str">
        <f t="shared" si="165"/>
        <v/>
      </c>
      <c r="ON15" s="40" t="str">
        <f t="shared" si="166"/>
        <v/>
      </c>
      <c r="OO15" s="40" t="str">
        <f t="shared" si="167"/>
        <v/>
      </c>
      <c r="OP15" s="40" t="str">
        <f t="shared" si="168"/>
        <v/>
      </c>
      <c r="OQ15" s="40" t="str">
        <f t="shared" si="169"/>
        <v/>
      </c>
      <c r="OR15" s="40" t="str">
        <f t="shared" si="170"/>
        <v/>
      </c>
      <c r="OS15" s="40" t="str">
        <f t="shared" si="171"/>
        <v/>
      </c>
      <c r="OT15" s="40" t="str">
        <f t="shared" si="172"/>
        <v/>
      </c>
      <c r="OU15" s="40" t="str">
        <f t="shared" si="173"/>
        <v/>
      </c>
      <c r="OV15" s="18"/>
      <c r="OW15" s="18"/>
      <c r="OX15" s="18"/>
      <c r="OY15" s="18"/>
      <c r="OZ15" s="18"/>
      <c r="PA15" s="18"/>
      <c r="PB15" s="18"/>
      <c r="PC15" s="18"/>
      <c r="PD15" s="18"/>
      <c r="PE15" s="18"/>
      <c r="PF15" s="18"/>
      <c r="PG15" s="18"/>
      <c r="PH15" s="18"/>
      <c r="PI15" s="18"/>
      <c r="PJ15" s="18"/>
      <c r="PK15" s="18"/>
      <c r="PL15" s="18"/>
      <c r="PM15" s="18"/>
      <c r="PN15" s="18"/>
      <c r="PO15" s="18"/>
      <c r="PP15" s="11" t="str">
        <f t="shared" si="174"/>
        <v/>
      </c>
      <c r="PQ15" s="11" t="str">
        <f t="shared" si="175"/>
        <v/>
      </c>
      <c r="PR15" s="11" t="str">
        <f t="shared" si="176"/>
        <v/>
      </c>
      <c r="PS15" s="11" t="str">
        <f t="shared" si="177"/>
        <v/>
      </c>
      <c r="PT15" s="11" t="str">
        <f t="shared" si="178"/>
        <v/>
      </c>
      <c r="PU15" s="11" t="str">
        <f t="shared" si="179"/>
        <v/>
      </c>
      <c r="PV15" s="11" t="str">
        <f t="shared" si="180"/>
        <v/>
      </c>
      <c r="PW15" s="11" t="str">
        <f t="shared" si="181"/>
        <v/>
      </c>
      <c r="PX15" s="11" t="str">
        <f t="shared" si="182"/>
        <v/>
      </c>
      <c r="PY15" s="11" t="str">
        <f t="shared" si="183"/>
        <v/>
      </c>
      <c r="PZ15" s="11" t="str">
        <f t="shared" si="184"/>
        <v/>
      </c>
      <c r="QA15" s="11" t="str">
        <f t="shared" si="185"/>
        <v/>
      </c>
      <c r="QB15" s="11" t="str">
        <f t="shared" si="186"/>
        <v/>
      </c>
      <c r="QC15" s="11" t="str">
        <f t="shared" si="187"/>
        <v/>
      </c>
      <c r="QD15" s="17"/>
      <c r="QE15" s="17"/>
      <c r="QF15" s="17"/>
      <c r="QG15" s="17"/>
      <c r="QH15" s="17"/>
      <c r="QI15" s="17"/>
      <c r="QJ15" s="17"/>
      <c r="QK15" s="17"/>
      <c r="QL15" s="17"/>
      <c r="QM15" s="17"/>
      <c r="QN15" s="17"/>
      <c r="QO15" s="17"/>
      <c r="QP15" s="17"/>
      <c r="QQ15" s="17"/>
      <c r="QR15" s="17"/>
      <c r="QS15" s="17"/>
      <c r="QT15" s="17"/>
      <c r="QU15" s="17"/>
      <c r="QV15" s="17"/>
      <c r="QW15" s="17"/>
      <c r="QX15" s="40" t="str">
        <f t="shared" si="188"/>
        <v/>
      </c>
      <c r="QY15" s="40" t="str">
        <f t="shared" si="189"/>
        <v/>
      </c>
      <c r="QZ15" s="40" t="str">
        <f t="shared" si="190"/>
        <v/>
      </c>
      <c r="RA15" s="40" t="str">
        <f t="shared" si="191"/>
        <v/>
      </c>
      <c r="RB15" s="40" t="str">
        <f t="shared" si="192"/>
        <v/>
      </c>
      <c r="RC15" s="40" t="str">
        <f t="shared" si="193"/>
        <v/>
      </c>
      <c r="RD15" s="40" t="str">
        <f t="shared" si="194"/>
        <v/>
      </c>
      <c r="RE15" s="40" t="str">
        <f t="shared" si="195"/>
        <v/>
      </c>
      <c r="RF15" s="40" t="str">
        <f t="shared" si="196"/>
        <v/>
      </c>
      <c r="RG15" s="40" t="str">
        <f t="shared" si="197"/>
        <v/>
      </c>
      <c r="RH15" s="40" t="str">
        <f t="shared" si="198"/>
        <v/>
      </c>
      <c r="RI15" s="40" t="str">
        <f t="shared" si="199"/>
        <v/>
      </c>
      <c r="RJ15" s="40" t="str">
        <f t="shared" si="200"/>
        <v/>
      </c>
      <c r="RK15" s="40" t="str">
        <f t="shared" si="201"/>
        <v/>
      </c>
      <c r="RL15" s="18"/>
      <c r="RM15" s="18"/>
      <c r="RN15" s="18"/>
      <c r="RO15" s="18"/>
      <c r="RP15" s="18"/>
      <c r="RQ15" s="18"/>
      <c r="RR15" s="18"/>
      <c r="RS15" s="18"/>
      <c r="RT15" s="18"/>
      <c r="RU15" s="18"/>
      <c r="RV15" s="18"/>
      <c r="RW15" s="18"/>
      <c r="RX15" s="18"/>
      <c r="RY15" s="18"/>
      <c r="RZ15" s="18"/>
      <c r="SA15" s="18"/>
      <c r="SB15" s="18"/>
      <c r="SC15" s="18"/>
      <c r="SD15" s="18"/>
      <c r="SE15" s="18"/>
      <c r="SF15" s="11" t="str">
        <f t="shared" si="202"/>
        <v/>
      </c>
      <c r="SG15" s="11" t="str">
        <f t="shared" si="203"/>
        <v/>
      </c>
      <c r="SH15" s="11" t="str">
        <f t="shared" si="204"/>
        <v/>
      </c>
      <c r="SI15" s="11" t="str">
        <f t="shared" si="205"/>
        <v/>
      </c>
      <c r="SJ15" s="11" t="str">
        <f t="shared" si="206"/>
        <v/>
      </c>
      <c r="SK15" s="11" t="str">
        <f t="shared" si="207"/>
        <v/>
      </c>
      <c r="SL15" s="11" t="str">
        <f t="shared" si="208"/>
        <v/>
      </c>
      <c r="SM15" s="11" t="str">
        <f t="shared" si="209"/>
        <v/>
      </c>
      <c r="SN15" s="11" t="str">
        <f t="shared" si="210"/>
        <v/>
      </c>
      <c r="SO15" s="11" t="str">
        <f t="shared" si="211"/>
        <v/>
      </c>
      <c r="SP15" s="11" t="str">
        <f t="shared" si="212"/>
        <v/>
      </c>
      <c r="SQ15" s="11" t="str">
        <f t="shared" si="213"/>
        <v/>
      </c>
      <c r="SR15" s="11" t="str">
        <f t="shared" si="214"/>
        <v/>
      </c>
      <c r="SS15" s="11" t="str">
        <f t="shared" si="215"/>
        <v/>
      </c>
      <c r="ST15" s="22">
        <f t="shared" si="216"/>
        <v>6.15</v>
      </c>
      <c r="SU15" s="22">
        <f t="shared" si="217"/>
        <v>4.6500000000000004</v>
      </c>
      <c r="SV15" s="22">
        <f t="shared" si="218"/>
        <v>3.95</v>
      </c>
      <c r="SW15" s="22">
        <f t="shared" si="219"/>
        <v>5.66</v>
      </c>
      <c r="SX15" s="22">
        <f t="shared" si="220"/>
        <v>0.45</v>
      </c>
      <c r="SY15" s="22">
        <f t="shared" si="221"/>
        <v>2.65</v>
      </c>
      <c r="SZ15" s="22">
        <f t="shared" si="222"/>
        <v>1.75</v>
      </c>
      <c r="TA15" s="22">
        <f t="shared" si="223"/>
        <v>2.5</v>
      </c>
      <c r="TB15" s="22">
        <f t="shared" si="224"/>
        <v>2.56</v>
      </c>
      <c r="TC15" s="22">
        <f t="shared" si="225"/>
        <v>0</v>
      </c>
      <c r="TD15" s="22">
        <f t="shared" si="226"/>
        <v>0</v>
      </c>
      <c r="TE15" s="22">
        <f t="shared" si="227"/>
        <v>0</v>
      </c>
      <c r="TF15" s="22">
        <f t="shared" si="228"/>
        <v>0</v>
      </c>
      <c r="TG15" s="22">
        <f t="shared" si="229"/>
        <v>0</v>
      </c>
      <c r="TH15" s="22">
        <f t="shared" si="230"/>
        <v>0</v>
      </c>
      <c r="TI15" s="27" t="s">
        <v>46</v>
      </c>
      <c r="TJ15" s="40">
        <f t="shared" si="231"/>
        <v>3.95</v>
      </c>
      <c r="TK15" s="40">
        <f t="shared" si="232"/>
        <v>5.66</v>
      </c>
      <c r="TL15" s="40">
        <f t="shared" si="233"/>
        <v>19.96</v>
      </c>
      <c r="TM15" s="40">
        <f t="shared" si="234"/>
        <v>2.5</v>
      </c>
      <c r="TN15" s="40">
        <f t="shared" si="235"/>
        <v>2.56</v>
      </c>
      <c r="TO15" s="40">
        <f t="shared" si="236"/>
        <v>9.4600000000000009</v>
      </c>
      <c r="TP15" s="40">
        <f t="shared" si="237"/>
        <v>19.96</v>
      </c>
      <c r="TQ15" s="40" t="str">
        <f t="shared" si="238"/>
        <v/>
      </c>
      <c r="TR15" s="40" t="str">
        <f t="shared" si="239"/>
        <v/>
      </c>
      <c r="TS15" s="40" t="str">
        <f t="shared" si="240"/>
        <v/>
      </c>
      <c r="TT15" s="40">
        <f t="shared" si="241"/>
        <v>19.96</v>
      </c>
    </row>
    <row r="16" spans="1:540" x14ac:dyDescent="0.2">
      <c r="A16" s="4" t="str" cm="1">
        <f t="array" ref="A16">IF(AND(F16&lt;&gt;"",G16&lt;&gt;""),SUMPRODUCT((F$4:F$32&lt;&gt;"")*(G$4:G$32&lt;&gt;"")*(E$4:E$32&gt;E16))+1,IF(G16&lt;&gt;"",SUMPRODUCT((H$4:H$32="No DD")*(E$4:E$32&gt;E16))+1+SUMPRODUCT((F$4:F$32&lt;&gt;"")*(G$4:G$32&lt;&gt;"")),""))</f>
        <v/>
      </c>
      <c r="B16" s="5" t="s">
        <v>169</v>
      </c>
      <c r="C16" s="4" t="s">
        <v>4</v>
      </c>
      <c r="D16" s="4">
        <v>2004</v>
      </c>
      <c r="E16" s="9">
        <f t="shared" si="0"/>
        <v>105.42001054200449</v>
      </c>
      <c r="F16" s="3" t="str">
        <f t="shared" si="1"/>
        <v/>
      </c>
      <c r="G16" s="3" t="str">
        <f t="shared" si="2"/>
        <v/>
      </c>
      <c r="H16" s="36" t="str">
        <f t="shared" si="3"/>
        <v/>
      </c>
      <c r="I16" s="3" t="str">
        <f t="shared" si="4"/>
        <v/>
      </c>
      <c r="J16" s="8">
        <f>IF(COUNT(AO16,AR16,BP16,BS16,CQ16,CT16)&gt;0,LARGE((AO16,AR16,BP16,BS16,CQ16,CT16),1),0)</f>
        <v>44.89</v>
      </c>
      <c r="K16" s="8" t="str">
        <f t="shared" si="5"/>
        <v>2023 Elite Canada</v>
      </c>
      <c r="L16" s="8">
        <f>IF(COUNT(AO16,AR16,BP16,BS16,CQ16,CT16)&gt;1,LARGE((AO16,AR16,BP16,BS16,CQ16,CT16),2),0)</f>
        <v>41.92</v>
      </c>
      <c r="M16" s="8" t="str">
        <f t="shared" si="6"/>
        <v>2023 Elite Canada</v>
      </c>
      <c r="N16" s="8">
        <f>IF(COUNT(AO16,AR16,BP16,BS16,CQ16,CT16)&gt;2,LARGE((AO16,AR16,BP16,BS16,CQ16,CT16),3),0)</f>
        <v>9.41</v>
      </c>
      <c r="O16" s="8" t="str">
        <f t="shared" si="242"/>
        <v>2022 Nationals</v>
      </c>
      <c r="P16" s="8">
        <f t="shared" si="7"/>
        <v>9.1999999999999993</v>
      </c>
      <c r="Q16" s="8" t="str">
        <f t="shared" si="8"/>
        <v>2023 Elite Canada</v>
      </c>
      <c r="R16" s="8">
        <f t="shared" si="9"/>
        <v>0</v>
      </c>
      <c r="S16" s="8" t="str">
        <f t="shared" si="10"/>
        <v/>
      </c>
      <c r="T16" s="8" t="str">
        <f t="shared" si="11"/>
        <v/>
      </c>
      <c r="U16" s="11" t="str">
        <f t="shared" si="12"/>
        <v/>
      </c>
      <c r="V16" s="8" t="str">
        <f>IF(T16="","",IF(T16=CZ16,IF(T16+IF(N16="",0,N16)=SL16,$RL$1,IF(T16+IF(N16="",0,N16)=RD16,$QD$1,IF(T16+IF(N16="",0,N16)=PV16,$OV$1,IF(T16+IF(N16="",0,N16)=ON16,$NN$1,IF(T16+IF(N16="",0,N16)=NF16,$MF$1,IF(T16+IF(N16="",0,N16)=LX16,$KX$1,IF(T16+IF(N16="",0,N16)=KP16,$JP$1,IF(T16+IF(N16="",0,N16)=JH16,$IH$1,IF(T16+IF(N16="",0,N16)=HZ16,$GZ$1,IF(T16+IF(N16="",0,N16)=GR16,$FR$1,IF(T16+IF(N16="",0,N16)=FJ16,$EJ$1,IF(T16+IF(N16="",0,N16)=EB16,$DB$1)))))))))))),IF(T16=DA16,IF(T16+IF(#REF!="",0,#REF!)=SR16,$RL$1,IF(T16+IF(#REF!="",0,#REF!)=RJ16,$QD$1,IF(T16+IF(#REF!="",0,#REF!)=QB16,$OV$1,IF(T16+IF(#REF!="",0,#REF!)=OT16,$NN$1,IF(T16+IF(#REF!="",0,#REF!)=NL16,$MF$1,IF(T16+IF(#REF!="",0,#REF!)=MD16,$KX$1,IF(T16+IF(#REF!="",0,#REF!)=KV16,$JP$1,IF(T16+IF(#REF!="",0,#REF!)=JN16,$IH$1,IF(T16+IF(#REF!="",0,#REF!)=IF16,$GZ$1,IF(T16+IF(#REF!="",0,#REF!)=GX16,$FR$1,IF(T16+IF(#REF!="",0,#REF!)=FP16,$EJ$1,IF(T16+IF(#REF!="",0,#REF!)=EH16,$DB$1,IF(T16+IF(#REF!="",0,#REF!)=SO16,$RL$1,IF(T16+IF(#REF!="",0,#REF!)=RG16,$QD$1,IF(T16+IF(#REF!="",0,#REF!)=PY16,$OV$1,IF(T16+IF(#REF!="",0,#REF!)=OQ16,$NN$1,IF(T16+IF(#REF!="",0,#REF!)=NI16,$MF$1,IF(T16+IF(#REF!="",0,#REF!)=MA16,$KX$1,IF(T16+IF(#REF!="",0,#REF!)=KS16,$JP$1,IF(T16+IF(#REF!="",0,#REF!)=JK16,$IH$1,IF(T16+IF(#REF!="",0,#REF!)=IC16,$GZ$1,IF(T16+IF(#REF!="",0,#REF!)=GU16,$FR$1,IF(T16+IF(#REF!="",0,#REF!)=FM16,$EJ$1,IF(T16+IF(#REF!="",0,#REF!)=EE16,$DB$1)))))))))))))))))))))))))))</f>
        <v/>
      </c>
      <c r="W16" s="22">
        <v>2.5</v>
      </c>
      <c r="X16" s="22">
        <v>1.8</v>
      </c>
      <c r="Y16" s="22">
        <v>2.2999999999999998</v>
      </c>
      <c r="Z16" s="22">
        <v>2.81</v>
      </c>
      <c r="AA16" s="22">
        <v>0</v>
      </c>
      <c r="AB16" s="22"/>
      <c r="AC16" s="22"/>
      <c r="AD16" s="22"/>
      <c r="AE16" s="22"/>
      <c r="AF16" s="22"/>
      <c r="AG16" s="22"/>
      <c r="AH16" s="22"/>
      <c r="AI16" s="22"/>
      <c r="AJ16" s="22"/>
      <c r="AK16" s="22"/>
      <c r="AL16" s="27"/>
      <c r="AM16" s="38">
        <f t="shared" si="13"/>
        <v>2.2999999999999998</v>
      </c>
      <c r="AN16" s="38">
        <f t="shared" si="14"/>
        <v>2.81</v>
      </c>
      <c r="AO16" s="40">
        <f t="shared" si="15"/>
        <v>9.41</v>
      </c>
      <c r="AP16" s="40" t="str">
        <f t="shared" si="16"/>
        <v/>
      </c>
      <c r="AQ16" s="40" t="str">
        <f t="shared" si="17"/>
        <v/>
      </c>
      <c r="AR16" s="40" t="str">
        <f t="shared" si="18"/>
        <v/>
      </c>
      <c r="AS16" s="40">
        <f t="shared" si="19"/>
        <v>9.41</v>
      </c>
      <c r="AT16" s="40" t="str">
        <f t="shared" si="20"/>
        <v/>
      </c>
      <c r="AU16" s="40" t="str">
        <f t="shared" si="21"/>
        <v/>
      </c>
      <c r="AV16" s="40" t="str">
        <f t="shared" si="22"/>
        <v/>
      </c>
      <c r="AW16" s="40">
        <f t="shared" si="23"/>
        <v>9.41</v>
      </c>
      <c r="AX16" s="26"/>
      <c r="AY16" s="26"/>
      <c r="AZ16" s="26"/>
      <c r="BA16" s="26"/>
      <c r="BB16" s="26"/>
      <c r="BC16" s="26"/>
      <c r="BD16" s="26"/>
      <c r="BE16" s="26"/>
      <c r="BF16" s="26"/>
      <c r="BG16" s="26"/>
      <c r="BH16" s="26"/>
      <c r="BI16" s="26"/>
      <c r="BJ16" s="26"/>
      <c r="BK16" s="26"/>
      <c r="BL16" s="26"/>
      <c r="BM16" s="28"/>
      <c r="BN16" s="39" t="str">
        <f t="shared" si="24"/>
        <v/>
      </c>
      <c r="BO16" s="39" t="str">
        <f t="shared" si="25"/>
        <v/>
      </c>
      <c r="BP16" s="11" t="str">
        <f t="shared" si="26"/>
        <v/>
      </c>
      <c r="BQ16" s="11" t="str">
        <f t="shared" si="27"/>
        <v/>
      </c>
      <c r="BR16" s="11" t="str">
        <f t="shared" si="28"/>
        <v/>
      </c>
      <c r="BS16" s="11" t="str">
        <f t="shared" si="29"/>
        <v/>
      </c>
      <c r="BT16" s="11" t="str">
        <f t="shared" si="30"/>
        <v/>
      </c>
      <c r="BU16" s="11" t="str">
        <f t="shared" si="31"/>
        <v/>
      </c>
      <c r="BV16" s="11" t="str">
        <f t="shared" si="32"/>
        <v/>
      </c>
      <c r="BW16" s="11" t="str">
        <f t="shared" si="33"/>
        <v/>
      </c>
      <c r="BX16" s="11" t="str">
        <f t="shared" si="34"/>
        <v/>
      </c>
      <c r="BY16" s="22">
        <v>10.4</v>
      </c>
      <c r="BZ16" s="22">
        <v>9.1999999999999993</v>
      </c>
      <c r="CA16" s="22">
        <v>9.1999999999999993</v>
      </c>
      <c r="CB16" s="22">
        <v>13.12</v>
      </c>
      <c r="CC16" s="22">
        <v>0</v>
      </c>
      <c r="CD16" s="22">
        <v>12.9</v>
      </c>
      <c r="CE16" s="22">
        <v>9.5</v>
      </c>
      <c r="CF16" s="22">
        <v>9.1</v>
      </c>
      <c r="CG16" s="22">
        <v>13.39</v>
      </c>
      <c r="CH16" s="22">
        <v>0</v>
      </c>
      <c r="CI16" s="22">
        <v>14.3</v>
      </c>
      <c r="CJ16" s="22">
        <v>9.4</v>
      </c>
      <c r="CK16" s="22">
        <v>9.1999999999999993</v>
      </c>
      <c r="CL16" s="22">
        <v>13.44</v>
      </c>
      <c r="CM16" s="22">
        <v>0</v>
      </c>
      <c r="CN16" s="27"/>
      <c r="CO16" s="38">
        <f t="shared" si="35"/>
        <v>9.1999999999999993</v>
      </c>
      <c r="CP16" s="38">
        <f t="shared" si="36"/>
        <v>13.12</v>
      </c>
      <c r="CQ16" s="40">
        <f t="shared" si="37"/>
        <v>41.92</v>
      </c>
      <c r="CR16" s="40">
        <f t="shared" si="38"/>
        <v>9.1</v>
      </c>
      <c r="CS16" s="40">
        <f t="shared" si="39"/>
        <v>13.39</v>
      </c>
      <c r="CT16" s="40">
        <f t="shared" si="40"/>
        <v>44.89</v>
      </c>
      <c r="CU16" s="40">
        <f t="shared" si="41"/>
        <v>44.89</v>
      </c>
      <c r="CV16" s="40">
        <f t="shared" si="42"/>
        <v>9.1999999999999993</v>
      </c>
      <c r="CW16" s="40">
        <f t="shared" si="43"/>
        <v>13.44</v>
      </c>
      <c r="CX16" s="40">
        <f t="shared" si="44"/>
        <v>46.34</v>
      </c>
      <c r="CY16" s="40">
        <f t="shared" si="45"/>
        <v>91.23</v>
      </c>
      <c r="CZ16" s="50" t="str">
        <f t="shared" si="46"/>
        <v/>
      </c>
      <c r="DA16" s="50" t="str">
        <f t="shared" si="47"/>
        <v/>
      </c>
      <c r="DB16" s="17"/>
      <c r="DC16" s="17"/>
      <c r="DD16" s="17"/>
      <c r="DE16" s="17"/>
      <c r="DF16" s="17"/>
      <c r="DG16" s="17"/>
      <c r="DH16" s="17"/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40" t="str">
        <f t="shared" si="48"/>
        <v/>
      </c>
      <c r="DW16" s="40" t="str">
        <f t="shared" si="49"/>
        <v/>
      </c>
      <c r="DX16" s="40" t="str">
        <f t="shared" si="50"/>
        <v/>
      </c>
      <c r="DY16" s="40" t="str">
        <f t="shared" si="51"/>
        <v/>
      </c>
      <c r="DZ16" s="40" t="str">
        <f t="shared" si="52"/>
        <v/>
      </c>
      <c r="EA16" s="40" t="str">
        <f t="shared" si="53"/>
        <v/>
      </c>
      <c r="EB16" s="40" t="str">
        <f t="shared" si="54"/>
        <v/>
      </c>
      <c r="EC16" s="40" t="str">
        <f t="shared" si="55"/>
        <v/>
      </c>
      <c r="ED16" s="40" t="str">
        <f t="shared" si="56"/>
        <v/>
      </c>
      <c r="EE16" s="40" t="str">
        <f t="shared" si="57"/>
        <v/>
      </c>
      <c r="EF16" s="40" t="str">
        <f t="shared" si="58"/>
        <v/>
      </c>
      <c r="EG16" s="40" t="str">
        <f t="shared" si="59"/>
        <v/>
      </c>
      <c r="EH16" s="40" t="str">
        <f t="shared" si="60"/>
        <v/>
      </c>
      <c r="EI16" s="40" t="str">
        <f t="shared" si="61"/>
        <v/>
      </c>
      <c r="EJ16" s="18"/>
      <c r="EK16" s="18"/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8"/>
      <c r="EY16" s="18"/>
      <c r="EZ16" s="18"/>
      <c r="FA16" s="18"/>
      <c r="FB16" s="18"/>
      <c r="FC16" s="18"/>
      <c r="FD16" s="11" t="str">
        <f t="shared" si="62"/>
        <v/>
      </c>
      <c r="FE16" s="11" t="str">
        <f t="shared" si="63"/>
        <v/>
      </c>
      <c r="FF16" s="11" t="str">
        <f t="shared" si="64"/>
        <v/>
      </c>
      <c r="FG16" s="11" t="str">
        <f t="shared" si="65"/>
        <v/>
      </c>
      <c r="FH16" s="11" t="str">
        <f t="shared" si="66"/>
        <v/>
      </c>
      <c r="FI16" s="11" t="str">
        <f t="shared" si="67"/>
        <v/>
      </c>
      <c r="FJ16" s="11" t="str">
        <f t="shared" si="68"/>
        <v/>
      </c>
      <c r="FK16" s="11" t="str">
        <f t="shared" si="69"/>
        <v/>
      </c>
      <c r="FL16" s="11" t="str">
        <f t="shared" si="70"/>
        <v/>
      </c>
      <c r="FM16" s="11" t="str">
        <f t="shared" si="71"/>
        <v/>
      </c>
      <c r="FN16" s="11" t="str">
        <f t="shared" si="72"/>
        <v/>
      </c>
      <c r="FO16" s="11" t="str">
        <f t="shared" si="73"/>
        <v/>
      </c>
      <c r="FP16" s="11" t="str">
        <f t="shared" si="74"/>
        <v/>
      </c>
      <c r="FQ16" s="11" t="str">
        <f t="shared" si="75"/>
        <v/>
      </c>
      <c r="FR16" s="17"/>
      <c r="FS16" s="17"/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17"/>
      <c r="GE16" s="17"/>
      <c r="GF16" s="17"/>
      <c r="GG16" s="17"/>
      <c r="GH16" s="17"/>
      <c r="GI16" s="17"/>
      <c r="GJ16" s="17"/>
      <c r="GK16" s="17"/>
      <c r="GL16" s="40" t="str">
        <f t="shared" si="76"/>
        <v/>
      </c>
      <c r="GM16" s="40" t="str">
        <f t="shared" si="77"/>
        <v/>
      </c>
      <c r="GN16" s="40" t="str">
        <f t="shared" si="78"/>
        <v/>
      </c>
      <c r="GO16" s="40" t="str">
        <f t="shared" si="79"/>
        <v/>
      </c>
      <c r="GP16" s="40" t="str">
        <f t="shared" si="80"/>
        <v/>
      </c>
      <c r="GQ16" s="40" t="str">
        <f t="shared" si="81"/>
        <v/>
      </c>
      <c r="GR16" s="40" t="str">
        <f t="shared" si="82"/>
        <v/>
      </c>
      <c r="GS16" s="40" t="str">
        <f t="shared" si="83"/>
        <v/>
      </c>
      <c r="GT16" s="40" t="str">
        <f t="shared" si="84"/>
        <v/>
      </c>
      <c r="GU16" s="40" t="str">
        <f t="shared" si="85"/>
        <v/>
      </c>
      <c r="GV16" s="40" t="str">
        <f t="shared" si="86"/>
        <v/>
      </c>
      <c r="GW16" s="40" t="str">
        <f t="shared" si="87"/>
        <v/>
      </c>
      <c r="GX16" s="40" t="str">
        <f t="shared" si="88"/>
        <v/>
      </c>
      <c r="GY16" s="40" t="str">
        <f t="shared" si="89"/>
        <v/>
      </c>
      <c r="GZ16" s="18"/>
      <c r="HA16" s="18"/>
      <c r="HB16" s="18"/>
      <c r="HC16" s="18"/>
      <c r="HD16" s="18"/>
      <c r="HE16" s="18"/>
      <c r="HF16" s="18"/>
      <c r="HG16" s="18"/>
      <c r="HH16" s="18"/>
      <c r="HI16" s="18"/>
      <c r="HJ16" s="18"/>
      <c r="HK16" s="18"/>
      <c r="HL16" s="18"/>
      <c r="HM16" s="18"/>
      <c r="HN16" s="18"/>
      <c r="HO16" s="18"/>
      <c r="HP16" s="18"/>
      <c r="HQ16" s="18"/>
      <c r="HR16" s="18"/>
      <c r="HS16" s="18"/>
      <c r="HT16" s="11" t="str">
        <f t="shared" si="90"/>
        <v/>
      </c>
      <c r="HU16" s="11" t="str">
        <f t="shared" si="91"/>
        <v/>
      </c>
      <c r="HV16" s="11" t="str">
        <f t="shared" si="92"/>
        <v/>
      </c>
      <c r="HW16" s="11" t="str">
        <f t="shared" si="93"/>
        <v/>
      </c>
      <c r="HX16" s="11" t="str">
        <f t="shared" si="94"/>
        <v/>
      </c>
      <c r="HY16" s="11" t="str">
        <f t="shared" si="95"/>
        <v/>
      </c>
      <c r="HZ16" s="11" t="str">
        <f t="shared" si="96"/>
        <v/>
      </c>
      <c r="IA16" s="11" t="str">
        <f t="shared" si="97"/>
        <v/>
      </c>
      <c r="IB16" s="11" t="str">
        <f t="shared" si="98"/>
        <v/>
      </c>
      <c r="IC16" s="11" t="str">
        <f t="shared" si="99"/>
        <v/>
      </c>
      <c r="ID16" s="11" t="str">
        <f t="shared" si="100"/>
        <v/>
      </c>
      <c r="IE16" s="11" t="str">
        <f t="shared" si="101"/>
        <v/>
      </c>
      <c r="IF16" s="11" t="str">
        <f t="shared" si="102"/>
        <v/>
      </c>
      <c r="IG16" s="11" t="str">
        <f t="shared" si="103"/>
        <v/>
      </c>
      <c r="IH16" s="17"/>
      <c r="II16" s="17"/>
      <c r="IJ16" s="17"/>
      <c r="IK16" s="17"/>
      <c r="IL16" s="17"/>
      <c r="IM16" s="17"/>
      <c r="IN16" s="17"/>
      <c r="IO16" s="17"/>
      <c r="IP16" s="17"/>
      <c r="IQ16" s="17"/>
      <c r="IR16" s="17"/>
      <c r="IS16" s="17"/>
      <c r="IT16" s="17"/>
      <c r="IU16" s="17"/>
      <c r="IV16" s="17"/>
      <c r="IW16" s="17"/>
      <c r="IX16" s="17"/>
      <c r="IY16" s="17"/>
      <c r="IZ16" s="17"/>
      <c r="JA16" s="17"/>
      <c r="JB16" s="40" t="str">
        <f t="shared" si="104"/>
        <v/>
      </c>
      <c r="JC16" s="40" t="str">
        <f t="shared" si="105"/>
        <v/>
      </c>
      <c r="JD16" s="40" t="str">
        <f t="shared" si="106"/>
        <v/>
      </c>
      <c r="JE16" s="40" t="str">
        <f t="shared" si="107"/>
        <v/>
      </c>
      <c r="JF16" s="40" t="str">
        <f t="shared" si="108"/>
        <v/>
      </c>
      <c r="JG16" s="40" t="str">
        <f t="shared" si="109"/>
        <v/>
      </c>
      <c r="JH16" s="40" t="str">
        <f t="shared" si="110"/>
        <v/>
      </c>
      <c r="JI16" s="40" t="str">
        <f t="shared" si="111"/>
        <v/>
      </c>
      <c r="JJ16" s="40" t="str">
        <f t="shared" si="112"/>
        <v/>
      </c>
      <c r="JK16" s="40" t="str">
        <f t="shared" si="113"/>
        <v/>
      </c>
      <c r="JL16" s="40" t="str">
        <f t="shared" si="114"/>
        <v/>
      </c>
      <c r="JM16" s="40" t="str">
        <f t="shared" si="115"/>
        <v/>
      </c>
      <c r="JN16" s="40" t="str">
        <f t="shared" si="116"/>
        <v/>
      </c>
      <c r="JO16" s="40" t="str">
        <f t="shared" si="117"/>
        <v/>
      </c>
      <c r="JP16" s="18"/>
      <c r="JQ16" s="18"/>
      <c r="JR16" s="18"/>
      <c r="JS16" s="18"/>
      <c r="JT16" s="18"/>
      <c r="JU16" s="18"/>
      <c r="JV16" s="18"/>
      <c r="JW16" s="18"/>
      <c r="JX16" s="18"/>
      <c r="JY16" s="18"/>
      <c r="JZ16" s="18"/>
      <c r="KA16" s="18"/>
      <c r="KB16" s="18"/>
      <c r="KC16" s="18"/>
      <c r="KD16" s="18"/>
      <c r="KE16" s="18"/>
      <c r="KF16" s="18"/>
      <c r="KG16" s="18"/>
      <c r="KH16" s="18"/>
      <c r="KI16" s="18"/>
      <c r="KJ16" s="11" t="str">
        <f t="shared" si="118"/>
        <v/>
      </c>
      <c r="KK16" s="11" t="str">
        <f t="shared" si="119"/>
        <v/>
      </c>
      <c r="KL16" s="11" t="str">
        <f t="shared" si="120"/>
        <v/>
      </c>
      <c r="KM16" s="11" t="str">
        <f t="shared" si="121"/>
        <v/>
      </c>
      <c r="KN16" s="11" t="str">
        <f t="shared" si="122"/>
        <v/>
      </c>
      <c r="KO16" s="11" t="str">
        <f t="shared" si="123"/>
        <v/>
      </c>
      <c r="KP16" s="11" t="str">
        <f t="shared" si="124"/>
        <v/>
      </c>
      <c r="KQ16" s="11" t="str">
        <f t="shared" si="125"/>
        <v/>
      </c>
      <c r="KR16" s="11" t="str">
        <f t="shared" si="126"/>
        <v/>
      </c>
      <c r="KS16" s="11" t="str">
        <f t="shared" si="127"/>
        <v/>
      </c>
      <c r="KT16" s="11" t="str">
        <f t="shared" si="128"/>
        <v/>
      </c>
      <c r="KU16" s="11" t="str">
        <f t="shared" si="129"/>
        <v/>
      </c>
      <c r="KV16" s="11" t="str">
        <f t="shared" si="130"/>
        <v/>
      </c>
      <c r="KW16" s="11" t="str">
        <f t="shared" si="131"/>
        <v/>
      </c>
      <c r="KX16" s="17"/>
      <c r="KY16" s="17"/>
      <c r="KZ16" s="17"/>
      <c r="LA16" s="17"/>
      <c r="LB16" s="17"/>
      <c r="LC16" s="17"/>
      <c r="LD16" s="17"/>
      <c r="LE16" s="17"/>
      <c r="LF16" s="17"/>
      <c r="LG16" s="17"/>
      <c r="LH16" s="17"/>
      <c r="LI16" s="17"/>
      <c r="LJ16" s="17"/>
      <c r="LK16" s="17"/>
      <c r="LL16" s="17"/>
      <c r="LM16" s="17"/>
      <c r="LN16" s="17"/>
      <c r="LO16" s="17"/>
      <c r="LP16" s="17"/>
      <c r="LQ16" s="17"/>
      <c r="LR16" s="40" t="str">
        <f t="shared" si="132"/>
        <v/>
      </c>
      <c r="LS16" s="40" t="str">
        <f t="shared" si="133"/>
        <v/>
      </c>
      <c r="LT16" s="40" t="str">
        <f t="shared" si="134"/>
        <v/>
      </c>
      <c r="LU16" s="40" t="str">
        <f t="shared" si="135"/>
        <v/>
      </c>
      <c r="LV16" s="40" t="str">
        <f t="shared" si="136"/>
        <v/>
      </c>
      <c r="LW16" s="40" t="str">
        <f t="shared" si="137"/>
        <v/>
      </c>
      <c r="LX16" s="40" t="str">
        <f t="shared" si="138"/>
        <v/>
      </c>
      <c r="LY16" s="40" t="str">
        <f t="shared" si="139"/>
        <v/>
      </c>
      <c r="LZ16" s="40" t="str">
        <f t="shared" si="140"/>
        <v/>
      </c>
      <c r="MA16" s="40" t="str">
        <f t="shared" si="141"/>
        <v/>
      </c>
      <c r="MB16" s="40" t="str">
        <f t="shared" si="142"/>
        <v/>
      </c>
      <c r="MC16" s="40" t="str">
        <f t="shared" si="143"/>
        <v/>
      </c>
      <c r="MD16" s="40" t="str">
        <f t="shared" si="144"/>
        <v/>
      </c>
      <c r="ME16" s="40" t="str">
        <f t="shared" si="145"/>
        <v/>
      </c>
      <c r="MF16" s="18"/>
      <c r="MG16" s="18"/>
      <c r="MH16" s="18"/>
      <c r="MI16" s="18"/>
      <c r="MJ16" s="18"/>
      <c r="MK16" s="18"/>
      <c r="ML16" s="18"/>
      <c r="MM16" s="18"/>
      <c r="MN16" s="18"/>
      <c r="MO16" s="18"/>
      <c r="MP16" s="18"/>
      <c r="MQ16" s="18"/>
      <c r="MR16" s="18"/>
      <c r="MS16" s="18"/>
      <c r="MT16" s="18"/>
      <c r="MU16" s="18"/>
      <c r="MV16" s="18"/>
      <c r="MW16" s="18"/>
      <c r="MX16" s="18"/>
      <c r="MY16" s="18"/>
      <c r="MZ16" s="11" t="str">
        <f t="shared" si="146"/>
        <v/>
      </c>
      <c r="NA16" s="11" t="str">
        <f t="shared" si="147"/>
        <v/>
      </c>
      <c r="NB16" s="11" t="str">
        <f t="shared" si="148"/>
        <v/>
      </c>
      <c r="NC16" s="11" t="str">
        <f t="shared" si="149"/>
        <v/>
      </c>
      <c r="ND16" s="11" t="str">
        <f t="shared" si="150"/>
        <v/>
      </c>
      <c r="NE16" s="11" t="str">
        <f t="shared" si="151"/>
        <v/>
      </c>
      <c r="NF16" s="11" t="str">
        <f t="shared" si="152"/>
        <v/>
      </c>
      <c r="NG16" s="11" t="str">
        <f t="shared" si="153"/>
        <v/>
      </c>
      <c r="NH16" s="11" t="str">
        <f t="shared" si="154"/>
        <v/>
      </c>
      <c r="NI16" s="11" t="str">
        <f t="shared" si="155"/>
        <v/>
      </c>
      <c r="NJ16" s="11" t="str">
        <f t="shared" si="156"/>
        <v/>
      </c>
      <c r="NK16" s="11" t="str">
        <f t="shared" si="157"/>
        <v/>
      </c>
      <c r="NL16" s="11" t="str">
        <f t="shared" si="158"/>
        <v/>
      </c>
      <c r="NM16" s="11" t="str">
        <f t="shared" si="159"/>
        <v/>
      </c>
      <c r="NN16" s="17"/>
      <c r="NO16" s="17"/>
      <c r="NP16" s="17"/>
      <c r="NQ16" s="17"/>
      <c r="NR16" s="17"/>
      <c r="NS16" s="17"/>
      <c r="NT16" s="17"/>
      <c r="NU16" s="17"/>
      <c r="NV16" s="17"/>
      <c r="NW16" s="17"/>
      <c r="NX16" s="17"/>
      <c r="NY16" s="17"/>
      <c r="NZ16" s="17"/>
      <c r="OA16" s="17"/>
      <c r="OB16" s="17"/>
      <c r="OC16" s="17"/>
      <c r="OD16" s="17"/>
      <c r="OE16" s="17"/>
      <c r="OF16" s="17"/>
      <c r="OG16" s="17"/>
      <c r="OH16" s="40" t="str">
        <f t="shared" si="160"/>
        <v/>
      </c>
      <c r="OI16" s="40" t="str">
        <f t="shared" si="161"/>
        <v/>
      </c>
      <c r="OJ16" s="40" t="str">
        <f t="shared" si="162"/>
        <v/>
      </c>
      <c r="OK16" s="40" t="str">
        <f t="shared" si="163"/>
        <v/>
      </c>
      <c r="OL16" s="40" t="str">
        <f t="shared" si="164"/>
        <v/>
      </c>
      <c r="OM16" s="40" t="str">
        <f t="shared" si="165"/>
        <v/>
      </c>
      <c r="ON16" s="40" t="str">
        <f t="shared" si="166"/>
        <v/>
      </c>
      <c r="OO16" s="40" t="str">
        <f t="shared" si="167"/>
        <v/>
      </c>
      <c r="OP16" s="40" t="str">
        <f t="shared" si="168"/>
        <v/>
      </c>
      <c r="OQ16" s="40" t="str">
        <f t="shared" si="169"/>
        <v/>
      </c>
      <c r="OR16" s="40" t="str">
        <f t="shared" si="170"/>
        <v/>
      </c>
      <c r="OS16" s="40" t="str">
        <f t="shared" si="171"/>
        <v/>
      </c>
      <c r="OT16" s="40" t="str">
        <f t="shared" si="172"/>
        <v/>
      </c>
      <c r="OU16" s="40" t="str">
        <f t="shared" si="173"/>
        <v/>
      </c>
      <c r="OV16" s="18"/>
      <c r="OW16" s="18"/>
      <c r="OX16" s="18"/>
      <c r="OY16" s="18"/>
      <c r="OZ16" s="18"/>
      <c r="PA16" s="18"/>
      <c r="PB16" s="18"/>
      <c r="PC16" s="18"/>
      <c r="PD16" s="18"/>
      <c r="PE16" s="18"/>
      <c r="PF16" s="18"/>
      <c r="PG16" s="18"/>
      <c r="PH16" s="18"/>
      <c r="PI16" s="18"/>
      <c r="PJ16" s="18"/>
      <c r="PK16" s="18"/>
      <c r="PL16" s="18"/>
      <c r="PM16" s="18"/>
      <c r="PN16" s="18"/>
      <c r="PO16" s="18"/>
      <c r="PP16" s="11" t="str">
        <f t="shared" si="174"/>
        <v/>
      </c>
      <c r="PQ16" s="11" t="str">
        <f t="shared" si="175"/>
        <v/>
      </c>
      <c r="PR16" s="11" t="str">
        <f t="shared" si="176"/>
        <v/>
      </c>
      <c r="PS16" s="11" t="str">
        <f t="shared" si="177"/>
        <v/>
      </c>
      <c r="PT16" s="11" t="str">
        <f t="shared" si="178"/>
        <v/>
      </c>
      <c r="PU16" s="11" t="str">
        <f t="shared" si="179"/>
        <v/>
      </c>
      <c r="PV16" s="11" t="str">
        <f t="shared" si="180"/>
        <v/>
      </c>
      <c r="PW16" s="11" t="str">
        <f t="shared" si="181"/>
        <v/>
      </c>
      <c r="PX16" s="11" t="str">
        <f t="shared" si="182"/>
        <v/>
      </c>
      <c r="PY16" s="11" t="str">
        <f t="shared" si="183"/>
        <v/>
      </c>
      <c r="PZ16" s="11" t="str">
        <f t="shared" si="184"/>
        <v/>
      </c>
      <c r="QA16" s="11" t="str">
        <f t="shared" si="185"/>
        <v/>
      </c>
      <c r="QB16" s="11" t="str">
        <f t="shared" si="186"/>
        <v/>
      </c>
      <c r="QC16" s="11" t="str">
        <f t="shared" si="187"/>
        <v/>
      </c>
      <c r="QD16" s="17"/>
      <c r="QE16" s="17"/>
      <c r="QF16" s="17"/>
      <c r="QG16" s="17"/>
      <c r="QH16" s="17"/>
      <c r="QI16" s="17"/>
      <c r="QJ16" s="17"/>
      <c r="QK16" s="17"/>
      <c r="QL16" s="17"/>
      <c r="QM16" s="17"/>
      <c r="QN16" s="17"/>
      <c r="QO16" s="17"/>
      <c r="QP16" s="17"/>
      <c r="QQ16" s="17"/>
      <c r="QR16" s="17"/>
      <c r="QS16" s="17"/>
      <c r="QT16" s="17"/>
      <c r="QU16" s="17"/>
      <c r="QV16" s="17"/>
      <c r="QW16" s="17"/>
      <c r="QX16" s="40" t="str">
        <f t="shared" si="188"/>
        <v/>
      </c>
      <c r="QY16" s="40" t="str">
        <f t="shared" si="189"/>
        <v/>
      </c>
      <c r="QZ16" s="40" t="str">
        <f t="shared" si="190"/>
        <v/>
      </c>
      <c r="RA16" s="40" t="str">
        <f t="shared" si="191"/>
        <v/>
      </c>
      <c r="RB16" s="40" t="str">
        <f t="shared" si="192"/>
        <v/>
      </c>
      <c r="RC16" s="40" t="str">
        <f t="shared" si="193"/>
        <v/>
      </c>
      <c r="RD16" s="40" t="str">
        <f t="shared" si="194"/>
        <v/>
      </c>
      <c r="RE16" s="40" t="str">
        <f t="shared" si="195"/>
        <v/>
      </c>
      <c r="RF16" s="40" t="str">
        <f t="shared" si="196"/>
        <v/>
      </c>
      <c r="RG16" s="40" t="str">
        <f t="shared" si="197"/>
        <v/>
      </c>
      <c r="RH16" s="40" t="str">
        <f t="shared" si="198"/>
        <v/>
      </c>
      <c r="RI16" s="40" t="str">
        <f t="shared" si="199"/>
        <v/>
      </c>
      <c r="RJ16" s="40" t="str">
        <f t="shared" si="200"/>
        <v/>
      </c>
      <c r="RK16" s="40" t="str">
        <f t="shared" si="201"/>
        <v/>
      </c>
      <c r="RL16" s="18"/>
      <c r="RM16" s="18"/>
      <c r="RN16" s="18"/>
      <c r="RO16" s="18"/>
      <c r="RP16" s="18"/>
      <c r="RQ16" s="18"/>
      <c r="RR16" s="18"/>
      <c r="RS16" s="18"/>
      <c r="RT16" s="18"/>
      <c r="RU16" s="18"/>
      <c r="RV16" s="18"/>
      <c r="RW16" s="18"/>
      <c r="RX16" s="18"/>
      <c r="RY16" s="18"/>
      <c r="RZ16" s="18"/>
      <c r="SA16" s="18"/>
      <c r="SB16" s="18"/>
      <c r="SC16" s="18"/>
      <c r="SD16" s="18"/>
      <c r="SE16" s="18"/>
      <c r="SF16" s="11" t="str">
        <f t="shared" si="202"/>
        <v/>
      </c>
      <c r="SG16" s="11" t="str">
        <f t="shared" si="203"/>
        <v/>
      </c>
      <c r="SH16" s="11" t="str">
        <f t="shared" si="204"/>
        <v/>
      </c>
      <c r="SI16" s="11" t="str">
        <f t="shared" si="205"/>
        <v/>
      </c>
      <c r="SJ16" s="11" t="str">
        <f t="shared" si="206"/>
        <v/>
      </c>
      <c r="SK16" s="11" t="str">
        <f t="shared" si="207"/>
        <v/>
      </c>
      <c r="SL16" s="11" t="str">
        <f t="shared" si="208"/>
        <v/>
      </c>
      <c r="SM16" s="11" t="str">
        <f t="shared" si="209"/>
        <v/>
      </c>
      <c r="SN16" s="11" t="str">
        <f t="shared" si="210"/>
        <v/>
      </c>
      <c r="SO16" s="11" t="str">
        <f t="shared" si="211"/>
        <v/>
      </c>
      <c r="SP16" s="11" t="str">
        <f t="shared" si="212"/>
        <v/>
      </c>
      <c r="SQ16" s="11" t="str">
        <f t="shared" si="213"/>
        <v/>
      </c>
      <c r="SR16" s="11" t="str">
        <f t="shared" si="214"/>
        <v/>
      </c>
      <c r="SS16" s="11" t="str">
        <f t="shared" si="215"/>
        <v/>
      </c>
      <c r="ST16" s="22">
        <f t="shared" si="216"/>
        <v>5.2</v>
      </c>
      <c r="SU16" s="22">
        <f t="shared" si="217"/>
        <v>4.5999999999999996</v>
      </c>
      <c r="SV16" s="22">
        <f t="shared" si="218"/>
        <v>4.5999999999999996</v>
      </c>
      <c r="SW16" s="22">
        <f t="shared" si="219"/>
        <v>6.56</v>
      </c>
      <c r="SX16" s="22">
        <f t="shared" si="220"/>
        <v>0</v>
      </c>
      <c r="SY16" s="22">
        <f t="shared" si="221"/>
        <v>6.45</v>
      </c>
      <c r="SZ16" s="22">
        <f t="shared" si="222"/>
        <v>4.75</v>
      </c>
      <c r="TA16" s="22">
        <f t="shared" si="223"/>
        <v>4.55</v>
      </c>
      <c r="TB16" s="22">
        <f t="shared" si="224"/>
        <v>6.6950000000000003</v>
      </c>
      <c r="TC16" s="22">
        <f t="shared" si="225"/>
        <v>0</v>
      </c>
      <c r="TD16" s="22">
        <f t="shared" si="226"/>
        <v>7.15</v>
      </c>
      <c r="TE16" s="22">
        <f t="shared" si="227"/>
        <v>4.7</v>
      </c>
      <c r="TF16" s="22">
        <f t="shared" si="228"/>
        <v>4.5999999999999996</v>
      </c>
      <c r="TG16" s="22">
        <f t="shared" si="229"/>
        <v>6.72</v>
      </c>
      <c r="TH16" s="22">
        <f t="shared" si="230"/>
        <v>0</v>
      </c>
      <c r="TI16" s="27" t="s">
        <v>46</v>
      </c>
      <c r="TJ16" s="40">
        <f t="shared" si="231"/>
        <v>4.5999999999999996</v>
      </c>
      <c r="TK16" s="40">
        <f t="shared" si="232"/>
        <v>6.56</v>
      </c>
      <c r="TL16" s="40">
        <f t="shared" si="233"/>
        <v>20.96</v>
      </c>
      <c r="TM16" s="40">
        <f t="shared" si="234"/>
        <v>4.55</v>
      </c>
      <c r="TN16" s="40">
        <f t="shared" si="235"/>
        <v>6.6950000000000003</v>
      </c>
      <c r="TO16" s="40">
        <f t="shared" si="236"/>
        <v>22.445</v>
      </c>
      <c r="TP16" s="40">
        <f t="shared" si="237"/>
        <v>22.445</v>
      </c>
      <c r="TQ16" s="40">
        <f t="shared" si="238"/>
        <v>4.5999999999999996</v>
      </c>
      <c r="TR16" s="40">
        <f t="shared" si="239"/>
        <v>6.72</v>
      </c>
      <c r="TS16" s="40">
        <f t="shared" si="240"/>
        <v>23.17</v>
      </c>
      <c r="TT16" s="40">
        <f t="shared" si="241"/>
        <v>45.615000000000002</v>
      </c>
    </row>
    <row r="17" spans="1:540" x14ac:dyDescent="0.2">
      <c r="A17" s="4" t="str" cm="1">
        <f t="array" ref="A17">IF(AND(F17&lt;&gt;"",G17&lt;&gt;""),SUMPRODUCT((F$4:F$32&lt;&gt;"")*(G$4:G$32&lt;&gt;"")*(E$4:E$32&gt;E17))+1,IF(G17&lt;&gt;"",SUMPRODUCT((H$4:H$32="No DD")*(E$4:E$32&gt;E17))+1+SUMPRODUCT((F$4:F$32&lt;&gt;"")*(G$4:G$32&lt;&gt;"")),""))</f>
        <v/>
      </c>
      <c r="B17" s="5" t="s">
        <v>77</v>
      </c>
      <c r="C17" s="4" t="s">
        <v>5</v>
      </c>
      <c r="D17" s="4">
        <v>2004</v>
      </c>
      <c r="E17" s="9">
        <f t="shared" si="0"/>
        <v>101.18000558300469</v>
      </c>
      <c r="F17" s="3" t="str">
        <f t="shared" si="1"/>
        <v/>
      </c>
      <c r="G17" s="3" t="str">
        <f t="shared" si="2"/>
        <v/>
      </c>
      <c r="H17" s="36" t="str">
        <f t="shared" si="3"/>
        <v/>
      </c>
      <c r="I17" s="3" t="str">
        <f t="shared" si="4"/>
        <v/>
      </c>
      <c r="J17" s="8">
        <f>IF(COUNT(AO17,AR17,BP17,BS17,CQ17,CT17)&gt;0,LARGE((AO17,AR17,BP17,BS17,CQ17,CT17),1),0)</f>
        <v>46.730000000000004</v>
      </c>
      <c r="K17" s="8" t="str">
        <f t="shared" si="5"/>
        <v>2022 Nationals</v>
      </c>
      <c r="L17" s="8">
        <f>IF(COUNT(AO17,AR17,BP17,BS17,CQ17,CT17)&gt;1,LARGE((AO17,AR17,BP17,BS17,CQ17,CT17),2),0)</f>
        <v>0</v>
      </c>
      <c r="M17" s="8" t="str">
        <f t="shared" si="6"/>
        <v/>
      </c>
      <c r="N17" s="8">
        <f>IF(COUNT(AO17,AR17,BP17,BS17,CQ17,CT17)&gt;2,LARGE((AO17,AR17,BP17,BS17,CQ17,CT17),3),0)</f>
        <v>0</v>
      </c>
      <c r="O17" s="8" t="str">
        <f t="shared" si="242"/>
        <v/>
      </c>
      <c r="P17" s="8">
        <f t="shared" si="7"/>
        <v>9.1</v>
      </c>
      <c r="Q17" s="8" t="str">
        <f t="shared" si="8"/>
        <v>2022 Nationals</v>
      </c>
      <c r="R17" s="8">
        <f t="shared" si="9"/>
        <v>0</v>
      </c>
      <c r="S17" s="8" t="str">
        <f t="shared" si="10"/>
        <v/>
      </c>
      <c r="T17" s="8">
        <f t="shared" si="11"/>
        <v>45.35</v>
      </c>
      <c r="U17" s="11" t="str">
        <f t="shared" si="12"/>
        <v>(Optional)</v>
      </c>
      <c r="V17" s="8" t="str">
        <f>IF(T17="","",IF(T17=CZ17,IF(T17+IF(N17="",0,N17)=SL17,$RL$1,IF(T17+IF(N17="",0,N17)=RD17,$QD$1,IF(T17+IF(N17="",0,N17)=PV17,$OV$1,IF(T17+IF(N17="",0,N17)=ON17,$NN$1,IF(T17+IF(N17="",0,N17)=NF17,$MF$1,IF(T17+IF(N17="",0,N17)=LX17,$KX$1,IF(T17+IF(N17="",0,N17)=KP17,$JP$1,IF(T17+IF(N17="",0,N17)=JH17,$IH$1,IF(T17+IF(N17="",0,N17)=HZ17,$GZ$1,IF(T17+IF(N17="",0,N17)=GR17,$FR$1,IF(T17+IF(N17="",0,N17)=FJ17,$EJ$1,IF(T17+IF(N17="",0,N17)=EB17,$DB$1)))))))))))),IF(T17=DA17,IF(T17+IF(#REF!="",0,#REF!)=SR17,$RL$1,IF(T17+IF(#REF!="",0,#REF!)=RJ17,$QD$1,IF(T17+IF(#REF!="",0,#REF!)=QB17,$OV$1,IF(T17+IF(#REF!="",0,#REF!)=OT17,$NN$1,IF(T17+IF(#REF!="",0,#REF!)=NL17,$MF$1,IF(T17+IF(#REF!="",0,#REF!)=MD17,$KX$1,IF(T17+IF(#REF!="",0,#REF!)=KV17,$JP$1,IF(T17+IF(#REF!="",0,#REF!)=JN17,$IH$1,IF(T17+IF(#REF!="",0,#REF!)=IF17,$GZ$1,IF(T17+IF(#REF!="",0,#REF!)=GX17,$FR$1,IF(T17+IF(#REF!="",0,#REF!)=FP17,$EJ$1,IF(T17+IF(#REF!="",0,#REF!)=EH17,$DB$1,IF(T17+IF(#REF!="",0,#REF!)=SO17,$RL$1,IF(T17+IF(#REF!="",0,#REF!)=RG17,$QD$1,IF(T17+IF(#REF!="",0,#REF!)=PY17,$OV$1,IF(T17+IF(#REF!="",0,#REF!)=OQ17,$NN$1,IF(T17+IF(#REF!="",0,#REF!)=NI17,$MF$1,IF(T17+IF(#REF!="",0,#REF!)=MA17,$KX$1,IF(T17+IF(#REF!="",0,#REF!)=KS17,$JP$1,IF(T17+IF(#REF!="",0,#REF!)=JK17,$IH$1,IF(T17+IF(#REF!="",0,#REF!)=IC17,$GZ$1,IF(T17+IF(#REF!="",0,#REF!)=GU17,$FR$1,IF(T17+IF(#REF!="",0,#REF!)=FM17,$EJ$1,IF(T17+IF(#REF!="",0,#REF!)=EE17,$DB$1)))))))))))))))))))))))))))</f>
        <v>2022 Coimbra Gym Fest (June 26)</v>
      </c>
      <c r="W17" s="22">
        <v>14.9</v>
      </c>
      <c r="X17" s="22">
        <v>9.4</v>
      </c>
      <c r="Y17" s="22">
        <v>8.9</v>
      </c>
      <c r="Z17" s="22">
        <v>13.53</v>
      </c>
      <c r="AA17" s="22">
        <v>0</v>
      </c>
      <c r="AB17" s="22"/>
      <c r="AC17" s="22"/>
      <c r="AD17" s="22"/>
      <c r="AE17" s="22"/>
      <c r="AF17" s="22"/>
      <c r="AG17" s="22">
        <v>15.3</v>
      </c>
      <c r="AH17" s="22">
        <v>9.1</v>
      </c>
      <c r="AI17" s="22">
        <v>9.1</v>
      </c>
      <c r="AJ17" s="22">
        <v>13.35</v>
      </c>
      <c r="AK17" s="22">
        <v>0</v>
      </c>
      <c r="AL17" s="27"/>
      <c r="AM17" s="38">
        <f t="shared" si="13"/>
        <v>8.9</v>
      </c>
      <c r="AN17" s="38">
        <f t="shared" si="14"/>
        <v>13.53</v>
      </c>
      <c r="AO17" s="40">
        <f t="shared" si="15"/>
        <v>46.730000000000004</v>
      </c>
      <c r="AP17" s="40" t="str">
        <f t="shared" si="16"/>
        <v/>
      </c>
      <c r="AQ17" s="40" t="str">
        <f t="shared" si="17"/>
        <v/>
      </c>
      <c r="AR17" s="40" t="str">
        <f t="shared" si="18"/>
        <v/>
      </c>
      <c r="AS17" s="40">
        <f t="shared" si="19"/>
        <v>46.730000000000004</v>
      </c>
      <c r="AT17" s="40">
        <f t="shared" si="20"/>
        <v>9.1</v>
      </c>
      <c r="AU17" s="40">
        <f t="shared" si="21"/>
        <v>13.35</v>
      </c>
      <c r="AV17" s="40">
        <f t="shared" si="22"/>
        <v>46.85</v>
      </c>
      <c r="AW17" s="40">
        <f t="shared" si="23"/>
        <v>93.580000000000013</v>
      </c>
      <c r="AX17" s="26"/>
      <c r="AY17" s="26"/>
      <c r="AZ17" s="26"/>
      <c r="BA17" s="26"/>
      <c r="BB17" s="26"/>
      <c r="BC17" s="26"/>
      <c r="BD17" s="26"/>
      <c r="BE17" s="26"/>
      <c r="BF17" s="26"/>
      <c r="BG17" s="26"/>
      <c r="BH17" s="26"/>
      <c r="BI17" s="26"/>
      <c r="BJ17" s="26"/>
      <c r="BK17" s="26"/>
      <c r="BL17" s="26"/>
      <c r="BM17" s="28"/>
      <c r="BN17" s="39" t="str">
        <f t="shared" si="24"/>
        <v/>
      </c>
      <c r="BO17" s="39" t="str">
        <f t="shared" si="25"/>
        <v/>
      </c>
      <c r="BP17" s="11" t="str">
        <f t="shared" si="26"/>
        <v/>
      </c>
      <c r="BQ17" s="11" t="str">
        <f t="shared" si="27"/>
        <v/>
      </c>
      <c r="BR17" s="11" t="str">
        <f t="shared" si="28"/>
        <v/>
      </c>
      <c r="BS17" s="11" t="str">
        <f t="shared" si="29"/>
        <v/>
      </c>
      <c r="BT17" s="11" t="str">
        <f t="shared" si="30"/>
        <v/>
      </c>
      <c r="BU17" s="11" t="str">
        <f t="shared" si="31"/>
        <v/>
      </c>
      <c r="BV17" s="11" t="str">
        <f t="shared" si="32"/>
        <v/>
      </c>
      <c r="BW17" s="11" t="str">
        <f t="shared" si="33"/>
        <v/>
      </c>
      <c r="BX17" s="11" t="str">
        <f t="shared" si="34"/>
        <v/>
      </c>
      <c r="BY17" s="22"/>
      <c r="BZ17" s="22"/>
      <c r="CA17" s="22"/>
      <c r="CB17" s="22"/>
      <c r="CC17" s="22"/>
      <c r="CD17" s="22"/>
      <c r="CE17" s="22"/>
      <c r="CF17" s="22"/>
      <c r="CG17" s="22"/>
      <c r="CH17" s="22"/>
      <c r="CI17" s="22"/>
      <c r="CJ17" s="22"/>
      <c r="CK17" s="22"/>
      <c r="CL17" s="22"/>
      <c r="CM17" s="22"/>
      <c r="CN17" s="27"/>
      <c r="CO17" s="38" t="str">
        <f t="shared" si="35"/>
        <v/>
      </c>
      <c r="CP17" s="38" t="str">
        <f t="shared" si="36"/>
        <v/>
      </c>
      <c r="CQ17" s="40" t="str">
        <f t="shared" si="37"/>
        <v/>
      </c>
      <c r="CR17" s="40" t="str">
        <f t="shared" si="38"/>
        <v/>
      </c>
      <c r="CS17" s="40" t="str">
        <f t="shared" si="39"/>
        <v/>
      </c>
      <c r="CT17" s="40" t="str">
        <f t="shared" si="40"/>
        <v/>
      </c>
      <c r="CU17" s="40" t="str">
        <f t="shared" si="41"/>
        <v/>
      </c>
      <c r="CV17" s="40" t="str">
        <f t="shared" si="42"/>
        <v/>
      </c>
      <c r="CW17" s="40" t="str">
        <f t="shared" si="43"/>
        <v/>
      </c>
      <c r="CX17" s="40" t="str">
        <f t="shared" si="44"/>
        <v/>
      </c>
      <c r="CY17" s="40" t="str">
        <f t="shared" si="45"/>
        <v/>
      </c>
      <c r="CZ17" s="50">
        <f t="shared" si="46"/>
        <v>45.35</v>
      </c>
      <c r="DA17" s="50" t="str">
        <f t="shared" si="47"/>
        <v/>
      </c>
      <c r="DB17" s="17">
        <v>14.2</v>
      </c>
      <c r="DC17" s="17">
        <v>8.6999999999999993</v>
      </c>
      <c r="DD17" s="17">
        <v>9.1</v>
      </c>
      <c r="DE17" s="17">
        <v>13.35</v>
      </c>
      <c r="DF17" s="17">
        <v>0</v>
      </c>
      <c r="DG17" s="17">
        <v>12.2</v>
      </c>
      <c r="DH17" s="17">
        <v>8.4</v>
      </c>
      <c r="DI17" s="17">
        <v>7.2</v>
      </c>
      <c r="DJ17" s="17">
        <v>1.2</v>
      </c>
      <c r="DK17" s="17">
        <v>0</v>
      </c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40">
        <f t="shared" si="48"/>
        <v>9.1</v>
      </c>
      <c r="DW17" s="40">
        <f t="shared" si="49"/>
        <v>13.35</v>
      </c>
      <c r="DX17" s="40">
        <f t="shared" si="50"/>
        <v>45.35</v>
      </c>
      <c r="DY17" s="40">
        <f t="shared" si="51"/>
        <v>7.2</v>
      </c>
      <c r="DZ17" s="40">
        <f t="shared" si="52"/>
        <v>1.2</v>
      </c>
      <c r="EA17" s="40">
        <f t="shared" si="53"/>
        <v>29</v>
      </c>
      <c r="EB17" s="40">
        <f t="shared" si="54"/>
        <v>45.35</v>
      </c>
      <c r="EC17" s="40" t="str">
        <f t="shared" si="55"/>
        <v/>
      </c>
      <c r="ED17" s="40" t="str">
        <f t="shared" si="56"/>
        <v/>
      </c>
      <c r="EE17" s="40" t="str">
        <f t="shared" si="57"/>
        <v/>
      </c>
      <c r="EF17" s="40" t="str">
        <f t="shared" si="58"/>
        <v/>
      </c>
      <c r="EG17" s="40" t="str">
        <f t="shared" si="59"/>
        <v/>
      </c>
      <c r="EH17" s="40" t="str">
        <f t="shared" si="60"/>
        <v/>
      </c>
      <c r="EI17" s="40">
        <f t="shared" si="61"/>
        <v>45.35</v>
      </c>
      <c r="EJ17" s="18"/>
      <c r="EK17" s="18"/>
      <c r="EL17" s="18"/>
      <c r="EM17" s="18"/>
      <c r="EN17" s="18"/>
      <c r="EO17" s="18"/>
      <c r="EP17" s="18"/>
      <c r="EQ17" s="18"/>
      <c r="ER17" s="18"/>
      <c r="ES17" s="18"/>
      <c r="ET17" s="18"/>
      <c r="EU17" s="18"/>
      <c r="EV17" s="18"/>
      <c r="EW17" s="18"/>
      <c r="EX17" s="18"/>
      <c r="EY17" s="18"/>
      <c r="EZ17" s="18"/>
      <c r="FA17" s="18"/>
      <c r="FB17" s="18"/>
      <c r="FC17" s="18"/>
      <c r="FD17" s="11" t="str">
        <f t="shared" si="62"/>
        <v/>
      </c>
      <c r="FE17" s="11" t="str">
        <f t="shared" si="63"/>
        <v/>
      </c>
      <c r="FF17" s="11" t="str">
        <f t="shared" si="64"/>
        <v/>
      </c>
      <c r="FG17" s="11" t="str">
        <f t="shared" si="65"/>
        <v/>
      </c>
      <c r="FH17" s="11" t="str">
        <f t="shared" si="66"/>
        <v/>
      </c>
      <c r="FI17" s="11" t="str">
        <f t="shared" si="67"/>
        <v/>
      </c>
      <c r="FJ17" s="11" t="str">
        <f t="shared" si="68"/>
        <v/>
      </c>
      <c r="FK17" s="11" t="str">
        <f t="shared" si="69"/>
        <v/>
      </c>
      <c r="FL17" s="11" t="str">
        <f t="shared" si="70"/>
        <v/>
      </c>
      <c r="FM17" s="11" t="str">
        <f t="shared" si="71"/>
        <v/>
      </c>
      <c r="FN17" s="11" t="str">
        <f t="shared" si="72"/>
        <v/>
      </c>
      <c r="FO17" s="11" t="str">
        <f t="shared" si="73"/>
        <v/>
      </c>
      <c r="FP17" s="11" t="str">
        <f t="shared" si="74"/>
        <v/>
      </c>
      <c r="FQ17" s="11" t="str">
        <f t="shared" si="75"/>
        <v/>
      </c>
      <c r="FR17" s="17"/>
      <c r="FS17" s="17"/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17"/>
      <c r="GE17" s="17"/>
      <c r="GF17" s="17"/>
      <c r="GG17" s="17"/>
      <c r="GH17" s="17"/>
      <c r="GI17" s="17"/>
      <c r="GJ17" s="17"/>
      <c r="GK17" s="17"/>
      <c r="GL17" s="40" t="str">
        <f t="shared" si="76"/>
        <v/>
      </c>
      <c r="GM17" s="40" t="str">
        <f t="shared" si="77"/>
        <v/>
      </c>
      <c r="GN17" s="40" t="str">
        <f t="shared" si="78"/>
        <v/>
      </c>
      <c r="GO17" s="40" t="str">
        <f t="shared" si="79"/>
        <v/>
      </c>
      <c r="GP17" s="40" t="str">
        <f t="shared" si="80"/>
        <v/>
      </c>
      <c r="GQ17" s="40" t="str">
        <f t="shared" si="81"/>
        <v/>
      </c>
      <c r="GR17" s="40" t="str">
        <f t="shared" si="82"/>
        <v/>
      </c>
      <c r="GS17" s="40" t="str">
        <f t="shared" si="83"/>
        <v/>
      </c>
      <c r="GT17" s="40" t="str">
        <f t="shared" si="84"/>
        <v/>
      </c>
      <c r="GU17" s="40" t="str">
        <f t="shared" si="85"/>
        <v/>
      </c>
      <c r="GV17" s="40" t="str">
        <f t="shared" si="86"/>
        <v/>
      </c>
      <c r="GW17" s="40" t="str">
        <f t="shared" si="87"/>
        <v/>
      </c>
      <c r="GX17" s="40" t="str">
        <f t="shared" si="88"/>
        <v/>
      </c>
      <c r="GY17" s="40" t="str">
        <f t="shared" si="89"/>
        <v/>
      </c>
      <c r="GZ17" s="18"/>
      <c r="HA17" s="18"/>
      <c r="HB17" s="18"/>
      <c r="HC17" s="18"/>
      <c r="HD17" s="18"/>
      <c r="HE17" s="18"/>
      <c r="HF17" s="18"/>
      <c r="HG17" s="18"/>
      <c r="HH17" s="18"/>
      <c r="HI17" s="18"/>
      <c r="HJ17" s="18"/>
      <c r="HK17" s="18"/>
      <c r="HL17" s="18"/>
      <c r="HM17" s="18"/>
      <c r="HN17" s="18"/>
      <c r="HO17" s="18"/>
      <c r="HP17" s="18"/>
      <c r="HQ17" s="18"/>
      <c r="HR17" s="18"/>
      <c r="HS17" s="18"/>
      <c r="HT17" s="11" t="str">
        <f t="shared" si="90"/>
        <v/>
      </c>
      <c r="HU17" s="11" t="str">
        <f t="shared" si="91"/>
        <v/>
      </c>
      <c r="HV17" s="11" t="str">
        <f t="shared" si="92"/>
        <v/>
      </c>
      <c r="HW17" s="11" t="str">
        <f t="shared" si="93"/>
        <v/>
      </c>
      <c r="HX17" s="11" t="str">
        <f t="shared" si="94"/>
        <v/>
      </c>
      <c r="HY17" s="11" t="str">
        <f t="shared" si="95"/>
        <v/>
      </c>
      <c r="HZ17" s="11" t="str">
        <f t="shared" si="96"/>
        <v/>
      </c>
      <c r="IA17" s="11" t="str">
        <f t="shared" si="97"/>
        <v/>
      </c>
      <c r="IB17" s="11" t="str">
        <f t="shared" si="98"/>
        <v/>
      </c>
      <c r="IC17" s="11" t="str">
        <f t="shared" si="99"/>
        <v/>
      </c>
      <c r="ID17" s="11" t="str">
        <f t="shared" si="100"/>
        <v/>
      </c>
      <c r="IE17" s="11" t="str">
        <f t="shared" si="101"/>
        <v/>
      </c>
      <c r="IF17" s="11" t="str">
        <f t="shared" si="102"/>
        <v/>
      </c>
      <c r="IG17" s="11" t="str">
        <f t="shared" si="103"/>
        <v/>
      </c>
      <c r="IH17" s="17"/>
      <c r="II17" s="17"/>
      <c r="IJ17" s="17"/>
      <c r="IK17" s="17"/>
      <c r="IL17" s="17"/>
      <c r="IM17" s="17"/>
      <c r="IN17" s="17"/>
      <c r="IO17" s="17"/>
      <c r="IP17" s="17"/>
      <c r="IQ17" s="17"/>
      <c r="IR17" s="17"/>
      <c r="IS17" s="17"/>
      <c r="IT17" s="17"/>
      <c r="IU17" s="17"/>
      <c r="IV17" s="17"/>
      <c r="IW17" s="17"/>
      <c r="IX17" s="17"/>
      <c r="IY17" s="17"/>
      <c r="IZ17" s="17"/>
      <c r="JA17" s="17"/>
      <c r="JB17" s="40" t="str">
        <f t="shared" si="104"/>
        <v/>
      </c>
      <c r="JC17" s="40" t="str">
        <f t="shared" si="105"/>
        <v/>
      </c>
      <c r="JD17" s="40" t="str">
        <f t="shared" si="106"/>
        <v/>
      </c>
      <c r="JE17" s="40" t="str">
        <f t="shared" si="107"/>
        <v/>
      </c>
      <c r="JF17" s="40" t="str">
        <f t="shared" si="108"/>
        <v/>
      </c>
      <c r="JG17" s="40" t="str">
        <f t="shared" si="109"/>
        <v/>
      </c>
      <c r="JH17" s="40" t="str">
        <f t="shared" si="110"/>
        <v/>
      </c>
      <c r="JI17" s="40" t="str">
        <f t="shared" si="111"/>
        <v/>
      </c>
      <c r="JJ17" s="40" t="str">
        <f t="shared" si="112"/>
        <v/>
      </c>
      <c r="JK17" s="40" t="str">
        <f t="shared" si="113"/>
        <v/>
      </c>
      <c r="JL17" s="40" t="str">
        <f t="shared" si="114"/>
        <v/>
      </c>
      <c r="JM17" s="40" t="str">
        <f t="shared" si="115"/>
        <v/>
      </c>
      <c r="JN17" s="40" t="str">
        <f t="shared" si="116"/>
        <v/>
      </c>
      <c r="JO17" s="40" t="str">
        <f t="shared" si="117"/>
        <v/>
      </c>
      <c r="JP17" s="18"/>
      <c r="JQ17" s="18"/>
      <c r="JR17" s="18"/>
      <c r="JS17" s="18"/>
      <c r="JT17" s="18"/>
      <c r="JU17" s="18"/>
      <c r="JV17" s="18"/>
      <c r="JW17" s="18"/>
      <c r="JX17" s="18"/>
      <c r="JY17" s="18"/>
      <c r="JZ17" s="18"/>
      <c r="KA17" s="18"/>
      <c r="KB17" s="18"/>
      <c r="KC17" s="18"/>
      <c r="KD17" s="18"/>
      <c r="KE17" s="18"/>
      <c r="KF17" s="18"/>
      <c r="KG17" s="18"/>
      <c r="KH17" s="18"/>
      <c r="KI17" s="18"/>
      <c r="KJ17" s="11" t="str">
        <f t="shared" si="118"/>
        <v/>
      </c>
      <c r="KK17" s="11" t="str">
        <f t="shared" si="119"/>
        <v/>
      </c>
      <c r="KL17" s="11" t="str">
        <f t="shared" si="120"/>
        <v/>
      </c>
      <c r="KM17" s="11" t="str">
        <f t="shared" si="121"/>
        <v/>
      </c>
      <c r="KN17" s="11" t="str">
        <f t="shared" si="122"/>
        <v/>
      </c>
      <c r="KO17" s="11" t="str">
        <f t="shared" si="123"/>
        <v/>
      </c>
      <c r="KP17" s="11" t="str">
        <f t="shared" si="124"/>
        <v/>
      </c>
      <c r="KQ17" s="11" t="str">
        <f t="shared" si="125"/>
        <v/>
      </c>
      <c r="KR17" s="11" t="str">
        <f t="shared" si="126"/>
        <v/>
      </c>
      <c r="KS17" s="11" t="str">
        <f t="shared" si="127"/>
        <v/>
      </c>
      <c r="KT17" s="11" t="str">
        <f t="shared" si="128"/>
        <v/>
      </c>
      <c r="KU17" s="11" t="str">
        <f t="shared" si="129"/>
        <v/>
      </c>
      <c r="KV17" s="11" t="str">
        <f t="shared" si="130"/>
        <v/>
      </c>
      <c r="KW17" s="11" t="str">
        <f t="shared" si="131"/>
        <v/>
      </c>
      <c r="KX17" s="17"/>
      <c r="KY17" s="17"/>
      <c r="KZ17" s="17"/>
      <c r="LA17" s="17"/>
      <c r="LB17" s="17"/>
      <c r="LC17" s="17"/>
      <c r="LD17" s="17"/>
      <c r="LE17" s="17"/>
      <c r="LF17" s="17"/>
      <c r="LG17" s="17"/>
      <c r="LH17" s="17"/>
      <c r="LI17" s="17"/>
      <c r="LJ17" s="17"/>
      <c r="LK17" s="17"/>
      <c r="LL17" s="17"/>
      <c r="LM17" s="17"/>
      <c r="LN17" s="17"/>
      <c r="LO17" s="17"/>
      <c r="LP17" s="17"/>
      <c r="LQ17" s="17"/>
      <c r="LR17" s="40" t="str">
        <f t="shared" si="132"/>
        <v/>
      </c>
      <c r="LS17" s="40" t="str">
        <f t="shared" si="133"/>
        <v/>
      </c>
      <c r="LT17" s="40" t="str">
        <f t="shared" si="134"/>
        <v/>
      </c>
      <c r="LU17" s="40" t="str">
        <f t="shared" si="135"/>
        <v/>
      </c>
      <c r="LV17" s="40" t="str">
        <f t="shared" si="136"/>
        <v/>
      </c>
      <c r="LW17" s="40" t="str">
        <f t="shared" si="137"/>
        <v/>
      </c>
      <c r="LX17" s="40" t="str">
        <f t="shared" si="138"/>
        <v/>
      </c>
      <c r="LY17" s="40" t="str">
        <f t="shared" si="139"/>
        <v/>
      </c>
      <c r="LZ17" s="40" t="str">
        <f t="shared" si="140"/>
        <v/>
      </c>
      <c r="MA17" s="40" t="str">
        <f t="shared" si="141"/>
        <v/>
      </c>
      <c r="MB17" s="40" t="str">
        <f t="shared" si="142"/>
        <v/>
      </c>
      <c r="MC17" s="40" t="str">
        <f t="shared" si="143"/>
        <v/>
      </c>
      <c r="MD17" s="40" t="str">
        <f t="shared" si="144"/>
        <v/>
      </c>
      <c r="ME17" s="40" t="str">
        <f t="shared" si="145"/>
        <v/>
      </c>
      <c r="MF17" s="18"/>
      <c r="MG17" s="18"/>
      <c r="MH17" s="18"/>
      <c r="MI17" s="18"/>
      <c r="MJ17" s="18"/>
      <c r="MK17" s="18"/>
      <c r="ML17" s="18"/>
      <c r="MM17" s="18"/>
      <c r="MN17" s="18"/>
      <c r="MO17" s="18"/>
      <c r="MP17" s="18"/>
      <c r="MQ17" s="18"/>
      <c r="MR17" s="18"/>
      <c r="MS17" s="18"/>
      <c r="MT17" s="18"/>
      <c r="MU17" s="18"/>
      <c r="MV17" s="18"/>
      <c r="MW17" s="18"/>
      <c r="MX17" s="18"/>
      <c r="MY17" s="18"/>
      <c r="MZ17" s="11" t="str">
        <f t="shared" si="146"/>
        <v/>
      </c>
      <c r="NA17" s="11" t="str">
        <f t="shared" si="147"/>
        <v/>
      </c>
      <c r="NB17" s="11" t="str">
        <f t="shared" si="148"/>
        <v/>
      </c>
      <c r="NC17" s="11" t="str">
        <f t="shared" si="149"/>
        <v/>
      </c>
      <c r="ND17" s="11" t="str">
        <f t="shared" si="150"/>
        <v/>
      </c>
      <c r="NE17" s="11" t="str">
        <f t="shared" si="151"/>
        <v/>
      </c>
      <c r="NF17" s="11" t="str">
        <f t="shared" si="152"/>
        <v/>
      </c>
      <c r="NG17" s="11" t="str">
        <f t="shared" si="153"/>
        <v/>
      </c>
      <c r="NH17" s="11" t="str">
        <f t="shared" si="154"/>
        <v/>
      </c>
      <c r="NI17" s="11" t="str">
        <f t="shared" si="155"/>
        <v/>
      </c>
      <c r="NJ17" s="11" t="str">
        <f t="shared" si="156"/>
        <v/>
      </c>
      <c r="NK17" s="11" t="str">
        <f t="shared" si="157"/>
        <v/>
      </c>
      <c r="NL17" s="11" t="str">
        <f t="shared" si="158"/>
        <v/>
      </c>
      <c r="NM17" s="11" t="str">
        <f t="shared" si="159"/>
        <v/>
      </c>
      <c r="NN17" s="17"/>
      <c r="NO17" s="17"/>
      <c r="NP17" s="17"/>
      <c r="NQ17" s="17"/>
      <c r="NR17" s="17"/>
      <c r="NS17" s="17"/>
      <c r="NT17" s="17"/>
      <c r="NU17" s="17"/>
      <c r="NV17" s="17"/>
      <c r="NW17" s="17"/>
      <c r="NX17" s="17"/>
      <c r="NY17" s="17"/>
      <c r="NZ17" s="17"/>
      <c r="OA17" s="17"/>
      <c r="OB17" s="17"/>
      <c r="OC17" s="17"/>
      <c r="OD17" s="17"/>
      <c r="OE17" s="17"/>
      <c r="OF17" s="17"/>
      <c r="OG17" s="17"/>
      <c r="OH17" s="40" t="str">
        <f t="shared" si="160"/>
        <v/>
      </c>
      <c r="OI17" s="40" t="str">
        <f t="shared" si="161"/>
        <v/>
      </c>
      <c r="OJ17" s="40" t="str">
        <f t="shared" si="162"/>
        <v/>
      </c>
      <c r="OK17" s="40" t="str">
        <f t="shared" si="163"/>
        <v/>
      </c>
      <c r="OL17" s="40" t="str">
        <f t="shared" si="164"/>
        <v/>
      </c>
      <c r="OM17" s="40" t="str">
        <f t="shared" si="165"/>
        <v/>
      </c>
      <c r="ON17" s="40" t="str">
        <f t="shared" si="166"/>
        <v/>
      </c>
      <c r="OO17" s="40" t="str">
        <f t="shared" si="167"/>
        <v/>
      </c>
      <c r="OP17" s="40" t="str">
        <f t="shared" si="168"/>
        <v/>
      </c>
      <c r="OQ17" s="40" t="str">
        <f t="shared" si="169"/>
        <v/>
      </c>
      <c r="OR17" s="40" t="str">
        <f t="shared" si="170"/>
        <v/>
      </c>
      <c r="OS17" s="40" t="str">
        <f t="shared" si="171"/>
        <v/>
      </c>
      <c r="OT17" s="40" t="str">
        <f t="shared" si="172"/>
        <v/>
      </c>
      <c r="OU17" s="40" t="str">
        <f t="shared" si="173"/>
        <v/>
      </c>
      <c r="OV17" s="18"/>
      <c r="OW17" s="18"/>
      <c r="OX17" s="18"/>
      <c r="OY17" s="18"/>
      <c r="OZ17" s="18"/>
      <c r="PA17" s="18"/>
      <c r="PB17" s="18"/>
      <c r="PC17" s="18"/>
      <c r="PD17" s="18"/>
      <c r="PE17" s="18"/>
      <c r="PF17" s="18"/>
      <c r="PG17" s="18"/>
      <c r="PH17" s="18"/>
      <c r="PI17" s="18"/>
      <c r="PJ17" s="18"/>
      <c r="PK17" s="18"/>
      <c r="PL17" s="18"/>
      <c r="PM17" s="18"/>
      <c r="PN17" s="18"/>
      <c r="PO17" s="18"/>
      <c r="PP17" s="11" t="str">
        <f t="shared" si="174"/>
        <v/>
      </c>
      <c r="PQ17" s="11" t="str">
        <f t="shared" si="175"/>
        <v/>
      </c>
      <c r="PR17" s="11" t="str">
        <f t="shared" si="176"/>
        <v/>
      </c>
      <c r="PS17" s="11" t="str">
        <f t="shared" si="177"/>
        <v/>
      </c>
      <c r="PT17" s="11" t="str">
        <f t="shared" si="178"/>
        <v/>
      </c>
      <c r="PU17" s="11" t="str">
        <f t="shared" si="179"/>
        <v/>
      </c>
      <c r="PV17" s="11" t="str">
        <f t="shared" si="180"/>
        <v/>
      </c>
      <c r="PW17" s="11" t="str">
        <f t="shared" si="181"/>
        <v/>
      </c>
      <c r="PX17" s="11" t="str">
        <f t="shared" si="182"/>
        <v/>
      </c>
      <c r="PY17" s="11" t="str">
        <f t="shared" si="183"/>
        <v/>
      </c>
      <c r="PZ17" s="11" t="str">
        <f t="shared" si="184"/>
        <v/>
      </c>
      <c r="QA17" s="11" t="str">
        <f t="shared" si="185"/>
        <v/>
      </c>
      <c r="QB17" s="11" t="str">
        <f t="shared" si="186"/>
        <v/>
      </c>
      <c r="QC17" s="11" t="str">
        <f t="shared" si="187"/>
        <v/>
      </c>
      <c r="QD17" s="17"/>
      <c r="QE17" s="17"/>
      <c r="QF17" s="17"/>
      <c r="QG17" s="17"/>
      <c r="QH17" s="17"/>
      <c r="QI17" s="17"/>
      <c r="QJ17" s="17"/>
      <c r="QK17" s="17"/>
      <c r="QL17" s="17"/>
      <c r="QM17" s="17"/>
      <c r="QN17" s="17"/>
      <c r="QO17" s="17"/>
      <c r="QP17" s="17"/>
      <c r="QQ17" s="17"/>
      <c r="QR17" s="17"/>
      <c r="QS17" s="17"/>
      <c r="QT17" s="17"/>
      <c r="QU17" s="17"/>
      <c r="QV17" s="17"/>
      <c r="QW17" s="17"/>
      <c r="QX17" s="40" t="str">
        <f t="shared" si="188"/>
        <v/>
      </c>
      <c r="QY17" s="40" t="str">
        <f t="shared" si="189"/>
        <v/>
      </c>
      <c r="QZ17" s="40" t="str">
        <f t="shared" si="190"/>
        <v/>
      </c>
      <c r="RA17" s="40" t="str">
        <f t="shared" si="191"/>
        <v/>
      </c>
      <c r="RB17" s="40" t="str">
        <f t="shared" si="192"/>
        <v/>
      </c>
      <c r="RC17" s="40" t="str">
        <f t="shared" si="193"/>
        <v/>
      </c>
      <c r="RD17" s="40" t="str">
        <f t="shared" si="194"/>
        <v/>
      </c>
      <c r="RE17" s="40" t="str">
        <f t="shared" si="195"/>
        <v/>
      </c>
      <c r="RF17" s="40" t="str">
        <f t="shared" si="196"/>
        <v/>
      </c>
      <c r="RG17" s="40" t="str">
        <f t="shared" si="197"/>
        <v/>
      </c>
      <c r="RH17" s="40" t="str">
        <f t="shared" si="198"/>
        <v/>
      </c>
      <c r="RI17" s="40" t="str">
        <f t="shared" si="199"/>
        <v/>
      </c>
      <c r="RJ17" s="40" t="str">
        <f t="shared" si="200"/>
        <v/>
      </c>
      <c r="RK17" s="40" t="str">
        <f t="shared" si="201"/>
        <v/>
      </c>
      <c r="RL17" s="18"/>
      <c r="RM17" s="18"/>
      <c r="RN17" s="18"/>
      <c r="RO17" s="18"/>
      <c r="RP17" s="18"/>
      <c r="RQ17" s="18"/>
      <c r="RR17" s="18"/>
      <c r="RS17" s="18"/>
      <c r="RT17" s="18"/>
      <c r="RU17" s="18"/>
      <c r="RV17" s="18"/>
      <c r="RW17" s="18"/>
      <c r="RX17" s="18"/>
      <c r="RY17" s="18"/>
      <c r="RZ17" s="18"/>
      <c r="SA17" s="18"/>
      <c r="SB17" s="18"/>
      <c r="SC17" s="18"/>
      <c r="SD17" s="18"/>
      <c r="SE17" s="18"/>
      <c r="SF17" s="11" t="str">
        <f t="shared" si="202"/>
        <v/>
      </c>
      <c r="SG17" s="11" t="str">
        <f t="shared" si="203"/>
        <v/>
      </c>
      <c r="SH17" s="11" t="str">
        <f t="shared" si="204"/>
        <v/>
      </c>
      <c r="SI17" s="11" t="str">
        <f t="shared" si="205"/>
        <v/>
      </c>
      <c r="SJ17" s="11" t="str">
        <f t="shared" si="206"/>
        <v/>
      </c>
      <c r="SK17" s="11" t="str">
        <f t="shared" si="207"/>
        <v/>
      </c>
      <c r="SL17" s="11" t="str">
        <f t="shared" si="208"/>
        <v/>
      </c>
      <c r="SM17" s="11" t="str">
        <f t="shared" si="209"/>
        <v/>
      </c>
      <c r="SN17" s="11" t="str">
        <f t="shared" si="210"/>
        <v/>
      </c>
      <c r="SO17" s="11" t="str">
        <f t="shared" si="211"/>
        <v/>
      </c>
      <c r="SP17" s="11" t="str">
        <f t="shared" si="212"/>
        <v/>
      </c>
      <c r="SQ17" s="11" t="str">
        <f t="shared" si="213"/>
        <v/>
      </c>
      <c r="SR17" s="11" t="str">
        <f t="shared" si="214"/>
        <v/>
      </c>
      <c r="SS17" s="11" t="str">
        <f t="shared" si="215"/>
        <v/>
      </c>
      <c r="ST17" s="22">
        <f t="shared" si="216"/>
        <v>0</v>
      </c>
      <c r="SU17" s="22">
        <f t="shared" si="217"/>
        <v>0</v>
      </c>
      <c r="SV17" s="22">
        <f t="shared" si="218"/>
        <v>0</v>
      </c>
      <c r="SW17" s="22">
        <f t="shared" si="219"/>
        <v>0</v>
      </c>
      <c r="SX17" s="22">
        <f t="shared" si="220"/>
        <v>0</v>
      </c>
      <c r="SY17" s="22">
        <f t="shared" si="221"/>
        <v>0</v>
      </c>
      <c r="SZ17" s="22">
        <f t="shared" si="222"/>
        <v>0</v>
      </c>
      <c r="TA17" s="22">
        <f t="shared" si="223"/>
        <v>0</v>
      </c>
      <c r="TB17" s="22">
        <f t="shared" si="224"/>
        <v>0</v>
      </c>
      <c r="TC17" s="22">
        <f t="shared" si="225"/>
        <v>0</v>
      </c>
      <c r="TD17" s="22">
        <f t="shared" si="226"/>
        <v>0</v>
      </c>
      <c r="TE17" s="22">
        <f t="shared" si="227"/>
        <v>0</v>
      </c>
      <c r="TF17" s="22">
        <f t="shared" si="228"/>
        <v>0</v>
      </c>
      <c r="TG17" s="22">
        <f t="shared" si="229"/>
        <v>0</v>
      </c>
      <c r="TH17" s="22">
        <f t="shared" si="230"/>
        <v>0</v>
      </c>
      <c r="TI17" s="27" t="s">
        <v>46</v>
      </c>
      <c r="TJ17" s="40" t="str">
        <f t="shared" si="231"/>
        <v/>
      </c>
      <c r="TK17" s="40" t="str">
        <f t="shared" si="232"/>
        <v/>
      </c>
      <c r="TL17" s="40" t="str">
        <f t="shared" si="233"/>
        <v/>
      </c>
      <c r="TM17" s="40" t="str">
        <f t="shared" si="234"/>
        <v/>
      </c>
      <c r="TN17" s="40" t="str">
        <f t="shared" si="235"/>
        <v/>
      </c>
      <c r="TO17" s="40" t="str">
        <f t="shared" si="236"/>
        <v/>
      </c>
      <c r="TP17" s="40" t="str">
        <f t="shared" si="237"/>
        <v/>
      </c>
      <c r="TQ17" s="40" t="str">
        <f t="shared" si="238"/>
        <v/>
      </c>
      <c r="TR17" s="40" t="str">
        <f t="shared" si="239"/>
        <v/>
      </c>
      <c r="TS17" s="40" t="str">
        <f t="shared" si="240"/>
        <v/>
      </c>
      <c r="TT17" s="40" t="str">
        <f t="shared" si="241"/>
        <v/>
      </c>
    </row>
    <row r="18" spans="1:540" x14ac:dyDescent="0.2">
      <c r="A18" s="4" t="str" cm="1">
        <f t="array" ref="A18">IF(AND(F18&lt;&gt;"",G18&lt;&gt;""),SUMPRODUCT((F$4:F$32&lt;&gt;"")*(G$4:G$32&lt;&gt;"")*(E$4:E$32&gt;E18))+1,IF(G18&lt;&gt;"",SUMPRODUCT((H$4:H$32="No DD")*(E$4:E$32&gt;E18))+1+SUMPRODUCT((F$4:F$32&lt;&gt;"")*(G$4:G$32&lt;&gt;"")),""))</f>
        <v/>
      </c>
      <c r="B18" s="5" t="s">
        <v>200</v>
      </c>
      <c r="C18" s="4" t="s">
        <v>6</v>
      </c>
      <c r="D18" s="4">
        <v>2004</v>
      </c>
      <c r="E18" s="9">
        <f t="shared" si="0"/>
        <v>100.49001004900462</v>
      </c>
      <c r="F18" s="3" t="str">
        <f t="shared" si="1"/>
        <v/>
      </c>
      <c r="G18" s="3" t="str">
        <f t="shared" si="2"/>
        <v/>
      </c>
      <c r="H18" s="36" t="str">
        <f t="shared" si="3"/>
        <v/>
      </c>
      <c r="I18" s="3" t="str">
        <f t="shared" si="4"/>
        <v/>
      </c>
      <c r="J18" s="8">
        <f>IF(COUNT(AO18,AR18,BP18,BS18,CQ18,CT18)&gt;0,LARGE((AO18,AR18,BP18,BS18,CQ18,CT18),1),0)</f>
        <v>46.35</v>
      </c>
      <c r="K18" s="8" t="str">
        <f t="shared" si="5"/>
        <v>2023 Elite Canada</v>
      </c>
      <c r="L18" s="8">
        <f>IF(COUNT(AO18,AR18,BP18,BS18,CQ18,CT18)&gt;1,LARGE((AO18,AR18,BP18,BS18,CQ18,CT18),2),0)</f>
        <v>45.34</v>
      </c>
      <c r="M18" s="8" t="str">
        <f t="shared" si="6"/>
        <v>2023 Elite Canada</v>
      </c>
      <c r="N18" s="8">
        <f>IF(COUNT(AO18,AR18,BP18,BS18,CQ18,CT18)&gt;2,LARGE((AO18,AR18,BP18,BS18,CQ18,CT18),3),0)</f>
        <v>0</v>
      </c>
      <c r="O18" s="8" t="str">
        <f t="shared" si="242"/>
        <v/>
      </c>
      <c r="P18" s="8">
        <f t="shared" si="7"/>
        <v>8.8000000000000007</v>
      </c>
      <c r="Q18" s="8" t="str">
        <f t="shared" si="8"/>
        <v>2023 Elite Canada</v>
      </c>
      <c r="R18" s="8">
        <f t="shared" si="9"/>
        <v>0</v>
      </c>
      <c r="S18" s="8" t="str">
        <f t="shared" si="10"/>
        <v/>
      </c>
      <c r="T18" s="8" t="str">
        <f t="shared" si="11"/>
        <v/>
      </c>
      <c r="U18" s="11" t="str">
        <f t="shared" si="12"/>
        <v/>
      </c>
      <c r="V18" s="8" t="str">
        <f>IF(T18="","",IF(T18=CZ18,IF(T18+IF(N18="",0,N18)=SL18,$RL$1,IF(T18+IF(N18="",0,N18)=RD18,$QD$1,IF(T18+IF(N18="",0,N18)=PV18,$OV$1,IF(T18+IF(N18="",0,N18)=ON18,$NN$1,IF(T18+IF(N18="",0,N18)=NF18,$MF$1,IF(T18+IF(N18="",0,N18)=LX18,$KX$1,IF(T18+IF(N18="",0,N18)=KP18,$JP$1,IF(T18+IF(N18="",0,N18)=JH18,$IH$1,IF(T18+IF(N18="",0,N18)=HZ18,$GZ$1,IF(T18+IF(N18="",0,N18)=GR18,$FR$1,IF(T18+IF(N18="",0,N18)=FJ18,$EJ$1,IF(T18+IF(N18="",0,N18)=EB18,$DB$1)))))))))))),IF(T18=DA18,IF(T18+IF(#REF!="",0,#REF!)=SR18,$RL$1,IF(T18+IF(#REF!="",0,#REF!)=RJ18,$QD$1,IF(T18+IF(#REF!="",0,#REF!)=QB18,$OV$1,IF(T18+IF(#REF!="",0,#REF!)=OT18,$NN$1,IF(T18+IF(#REF!="",0,#REF!)=NL18,$MF$1,IF(T18+IF(#REF!="",0,#REF!)=MD18,$KX$1,IF(T18+IF(#REF!="",0,#REF!)=KV18,$JP$1,IF(T18+IF(#REF!="",0,#REF!)=JN18,$IH$1,IF(T18+IF(#REF!="",0,#REF!)=IF18,$GZ$1,IF(T18+IF(#REF!="",0,#REF!)=GX18,$FR$1,IF(T18+IF(#REF!="",0,#REF!)=FP18,$EJ$1,IF(T18+IF(#REF!="",0,#REF!)=EH18,$DB$1,IF(T18+IF(#REF!="",0,#REF!)=SO18,$RL$1,IF(T18+IF(#REF!="",0,#REF!)=RG18,$QD$1,IF(T18+IF(#REF!="",0,#REF!)=PY18,$OV$1,IF(T18+IF(#REF!="",0,#REF!)=OQ18,$NN$1,IF(T18+IF(#REF!="",0,#REF!)=NI18,$MF$1,IF(T18+IF(#REF!="",0,#REF!)=MA18,$KX$1,IF(T18+IF(#REF!="",0,#REF!)=KS18,$JP$1,IF(T18+IF(#REF!="",0,#REF!)=JK18,$IH$1,IF(T18+IF(#REF!="",0,#REF!)=IC18,$GZ$1,IF(T18+IF(#REF!="",0,#REF!)=GU18,$FR$1,IF(T18+IF(#REF!="",0,#REF!)=FM18,$EJ$1,IF(T18+IF(#REF!="",0,#REF!)=EE18,$DB$1)))))))))))))))))))))))))))</f>
        <v/>
      </c>
      <c r="W18" s="22"/>
      <c r="X18" s="22"/>
      <c r="Y18" s="22"/>
      <c r="Z18" s="22"/>
      <c r="AA18" s="22"/>
      <c r="AB18" s="22"/>
      <c r="AC18" s="22"/>
      <c r="AD18" s="22"/>
      <c r="AE18" s="22"/>
      <c r="AF18" s="22"/>
      <c r="AG18" s="22"/>
      <c r="AH18" s="22"/>
      <c r="AI18" s="22"/>
      <c r="AJ18" s="22"/>
      <c r="AK18" s="22"/>
      <c r="AL18" s="27"/>
      <c r="AM18" s="38" t="str">
        <f t="shared" si="13"/>
        <v/>
      </c>
      <c r="AN18" s="38" t="str">
        <f t="shared" si="14"/>
        <v/>
      </c>
      <c r="AO18" s="40" t="str">
        <f t="shared" si="15"/>
        <v/>
      </c>
      <c r="AP18" s="40" t="str">
        <f t="shared" si="16"/>
        <v/>
      </c>
      <c r="AQ18" s="40" t="str">
        <f t="shared" si="17"/>
        <v/>
      </c>
      <c r="AR18" s="40" t="str">
        <f t="shared" si="18"/>
        <v/>
      </c>
      <c r="AS18" s="40" t="str">
        <f t="shared" si="19"/>
        <v/>
      </c>
      <c r="AT18" s="40" t="str">
        <f t="shared" si="20"/>
        <v/>
      </c>
      <c r="AU18" s="40" t="str">
        <f t="shared" si="21"/>
        <v/>
      </c>
      <c r="AV18" s="40" t="str">
        <f t="shared" si="22"/>
        <v/>
      </c>
      <c r="AW18" s="40" t="str">
        <f t="shared" si="23"/>
        <v/>
      </c>
      <c r="AX18" s="26"/>
      <c r="AY18" s="26"/>
      <c r="AZ18" s="26"/>
      <c r="BA18" s="26"/>
      <c r="BB18" s="26"/>
      <c r="BC18" s="26"/>
      <c r="BD18" s="26"/>
      <c r="BE18" s="26"/>
      <c r="BF18" s="26"/>
      <c r="BG18" s="26"/>
      <c r="BH18" s="26"/>
      <c r="BI18" s="26"/>
      <c r="BJ18" s="26"/>
      <c r="BK18" s="26"/>
      <c r="BL18" s="26"/>
      <c r="BM18" s="28"/>
      <c r="BN18" s="39" t="str">
        <f t="shared" si="24"/>
        <v/>
      </c>
      <c r="BO18" s="39" t="str">
        <f t="shared" si="25"/>
        <v/>
      </c>
      <c r="BP18" s="11" t="str">
        <f t="shared" si="26"/>
        <v/>
      </c>
      <c r="BQ18" s="11" t="str">
        <f t="shared" si="27"/>
        <v/>
      </c>
      <c r="BR18" s="11" t="str">
        <f t="shared" si="28"/>
        <v/>
      </c>
      <c r="BS18" s="11" t="str">
        <f t="shared" si="29"/>
        <v/>
      </c>
      <c r="BT18" s="11" t="str">
        <f t="shared" si="30"/>
        <v/>
      </c>
      <c r="BU18" s="11" t="str">
        <f t="shared" si="31"/>
        <v/>
      </c>
      <c r="BV18" s="11" t="str">
        <f t="shared" si="32"/>
        <v/>
      </c>
      <c r="BW18" s="11" t="str">
        <f t="shared" si="33"/>
        <v/>
      </c>
      <c r="BX18" s="11" t="str">
        <f t="shared" si="34"/>
        <v/>
      </c>
      <c r="BY18" s="22">
        <v>14.5</v>
      </c>
      <c r="BZ18" s="22">
        <v>9.1999999999999993</v>
      </c>
      <c r="CA18" s="22">
        <v>8.8000000000000007</v>
      </c>
      <c r="CB18" s="22">
        <v>13.85</v>
      </c>
      <c r="CC18" s="22">
        <v>0</v>
      </c>
      <c r="CD18" s="22">
        <v>14.7</v>
      </c>
      <c r="CE18" s="22">
        <v>9</v>
      </c>
      <c r="CF18" s="22">
        <v>8.5</v>
      </c>
      <c r="CG18" s="22">
        <v>13.44</v>
      </c>
      <c r="CH18" s="22">
        <v>0.3</v>
      </c>
      <c r="CI18" s="22">
        <v>15.1</v>
      </c>
      <c r="CJ18" s="22">
        <v>9.3000000000000007</v>
      </c>
      <c r="CK18" s="22">
        <v>8.8000000000000007</v>
      </c>
      <c r="CL18" s="22">
        <v>13.68</v>
      </c>
      <c r="CM18" s="22">
        <v>0</v>
      </c>
      <c r="CN18" s="27"/>
      <c r="CO18" s="38">
        <f t="shared" si="35"/>
        <v>8.8000000000000007</v>
      </c>
      <c r="CP18" s="38">
        <f t="shared" si="36"/>
        <v>13.85</v>
      </c>
      <c r="CQ18" s="40">
        <f t="shared" si="37"/>
        <v>46.35</v>
      </c>
      <c r="CR18" s="40">
        <f t="shared" si="38"/>
        <v>8.5</v>
      </c>
      <c r="CS18" s="40">
        <f t="shared" si="39"/>
        <v>13.44</v>
      </c>
      <c r="CT18" s="40">
        <f t="shared" si="40"/>
        <v>45.34</v>
      </c>
      <c r="CU18" s="40">
        <f t="shared" si="41"/>
        <v>46.35</v>
      </c>
      <c r="CV18" s="40">
        <f t="shared" si="42"/>
        <v>8.8000000000000007</v>
      </c>
      <c r="CW18" s="40">
        <f t="shared" si="43"/>
        <v>13.68</v>
      </c>
      <c r="CX18" s="40">
        <f t="shared" si="44"/>
        <v>46.88</v>
      </c>
      <c r="CY18" s="40">
        <f t="shared" si="45"/>
        <v>93.23</v>
      </c>
      <c r="CZ18" s="50" t="str">
        <f t="shared" si="46"/>
        <v/>
      </c>
      <c r="DA18" s="50" t="str">
        <f t="shared" si="47"/>
        <v/>
      </c>
      <c r="DB18" s="17"/>
      <c r="DC18" s="17"/>
      <c r="DD18" s="17"/>
      <c r="DE18" s="17"/>
      <c r="DF18" s="17"/>
      <c r="DG18" s="17"/>
      <c r="DH18" s="17"/>
      <c r="DI18" s="17"/>
      <c r="DJ18" s="17"/>
      <c r="DK18" s="17"/>
      <c r="DL18" s="17"/>
      <c r="DM18" s="17"/>
      <c r="DN18" s="17"/>
      <c r="DO18" s="17"/>
      <c r="DP18" s="17"/>
      <c r="DQ18" s="17"/>
      <c r="DR18" s="17"/>
      <c r="DS18" s="17"/>
      <c r="DT18" s="17"/>
      <c r="DU18" s="17"/>
      <c r="DV18" s="40" t="str">
        <f t="shared" si="48"/>
        <v/>
      </c>
      <c r="DW18" s="40" t="str">
        <f t="shared" si="49"/>
        <v/>
      </c>
      <c r="DX18" s="40" t="str">
        <f t="shared" si="50"/>
        <v/>
      </c>
      <c r="DY18" s="40" t="str">
        <f t="shared" si="51"/>
        <v/>
      </c>
      <c r="DZ18" s="40" t="str">
        <f t="shared" si="52"/>
        <v/>
      </c>
      <c r="EA18" s="40" t="str">
        <f t="shared" si="53"/>
        <v/>
      </c>
      <c r="EB18" s="40" t="str">
        <f t="shared" si="54"/>
        <v/>
      </c>
      <c r="EC18" s="40" t="str">
        <f t="shared" si="55"/>
        <v/>
      </c>
      <c r="ED18" s="40" t="str">
        <f t="shared" si="56"/>
        <v/>
      </c>
      <c r="EE18" s="40" t="str">
        <f t="shared" si="57"/>
        <v/>
      </c>
      <c r="EF18" s="40" t="str">
        <f t="shared" si="58"/>
        <v/>
      </c>
      <c r="EG18" s="40" t="str">
        <f t="shared" si="59"/>
        <v/>
      </c>
      <c r="EH18" s="40" t="str">
        <f t="shared" si="60"/>
        <v/>
      </c>
      <c r="EI18" s="40" t="str">
        <f t="shared" si="61"/>
        <v/>
      </c>
      <c r="EJ18" s="18"/>
      <c r="EK18" s="18"/>
      <c r="EL18" s="18"/>
      <c r="EM18" s="18"/>
      <c r="EN18" s="18"/>
      <c r="EO18" s="18"/>
      <c r="EP18" s="18"/>
      <c r="EQ18" s="18"/>
      <c r="ER18" s="18"/>
      <c r="ES18" s="18"/>
      <c r="ET18" s="18"/>
      <c r="EU18" s="18"/>
      <c r="EV18" s="18"/>
      <c r="EW18" s="18"/>
      <c r="EX18" s="18"/>
      <c r="EY18" s="18"/>
      <c r="EZ18" s="18"/>
      <c r="FA18" s="18"/>
      <c r="FB18" s="18"/>
      <c r="FC18" s="18"/>
      <c r="FD18" s="11" t="str">
        <f t="shared" si="62"/>
        <v/>
      </c>
      <c r="FE18" s="11" t="str">
        <f t="shared" si="63"/>
        <v/>
      </c>
      <c r="FF18" s="11" t="str">
        <f t="shared" si="64"/>
        <v/>
      </c>
      <c r="FG18" s="11" t="str">
        <f t="shared" si="65"/>
        <v/>
      </c>
      <c r="FH18" s="11" t="str">
        <f t="shared" si="66"/>
        <v/>
      </c>
      <c r="FI18" s="11" t="str">
        <f t="shared" si="67"/>
        <v/>
      </c>
      <c r="FJ18" s="11" t="str">
        <f t="shared" si="68"/>
        <v/>
      </c>
      <c r="FK18" s="11" t="str">
        <f t="shared" si="69"/>
        <v/>
      </c>
      <c r="FL18" s="11" t="str">
        <f t="shared" si="70"/>
        <v/>
      </c>
      <c r="FM18" s="11" t="str">
        <f t="shared" si="71"/>
        <v/>
      </c>
      <c r="FN18" s="11" t="str">
        <f t="shared" si="72"/>
        <v/>
      </c>
      <c r="FO18" s="11" t="str">
        <f t="shared" si="73"/>
        <v/>
      </c>
      <c r="FP18" s="11" t="str">
        <f t="shared" si="74"/>
        <v/>
      </c>
      <c r="FQ18" s="11" t="str">
        <f t="shared" si="75"/>
        <v/>
      </c>
      <c r="FR18" s="17"/>
      <c r="FS18" s="17"/>
      <c r="FT18" s="17"/>
      <c r="FU18" s="17"/>
      <c r="FV18" s="17"/>
      <c r="FW18" s="17"/>
      <c r="FX18" s="17"/>
      <c r="FY18" s="17"/>
      <c r="FZ18" s="17"/>
      <c r="GA18" s="17"/>
      <c r="GB18" s="17"/>
      <c r="GC18" s="17"/>
      <c r="GD18" s="17"/>
      <c r="GE18" s="17"/>
      <c r="GF18" s="17"/>
      <c r="GG18" s="17"/>
      <c r="GH18" s="17"/>
      <c r="GI18" s="17"/>
      <c r="GJ18" s="17"/>
      <c r="GK18" s="17"/>
      <c r="GL18" s="40" t="str">
        <f t="shared" si="76"/>
        <v/>
      </c>
      <c r="GM18" s="40" t="str">
        <f t="shared" si="77"/>
        <v/>
      </c>
      <c r="GN18" s="40" t="str">
        <f t="shared" si="78"/>
        <v/>
      </c>
      <c r="GO18" s="40" t="str">
        <f t="shared" si="79"/>
        <v/>
      </c>
      <c r="GP18" s="40" t="str">
        <f t="shared" si="80"/>
        <v/>
      </c>
      <c r="GQ18" s="40" t="str">
        <f t="shared" si="81"/>
        <v/>
      </c>
      <c r="GR18" s="40" t="str">
        <f t="shared" si="82"/>
        <v/>
      </c>
      <c r="GS18" s="40" t="str">
        <f t="shared" si="83"/>
        <v/>
      </c>
      <c r="GT18" s="40" t="str">
        <f t="shared" si="84"/>
        <v/>
      </c>
      <c r="GU18" s="40" t="str">
        <f t="shared" si="85"/>
        <v/>
      </c>
      <c r="GV18" s="40" t="str">
        <f t="shared" si="86"/>
        <v/>
      </c>
      <c r="GW18" s="40" t="str">
        <f t="shared" si="87"/>
        <v/>
      </c>
      <c r="GX18" s="40" t="str">
        <f t="shared" si="88"/>
        <v/>
      </c>
      <c r="GY18" s="40" t="str">
        <f t="shared" si="89"/>
        <v/>
      </c>
      <c r="GZ18" s="18"/>
      <c r="HA18" s="18"/>
      <c r="HB18" s="18"/>
      <c r="HC18" s="18"/>
      <c r="HD18" s="18"/>
      <c r="HE18" s="18"/>
      <c r="HF18" s="18"/>
      <c r="HG18" s="18"/>
      <c r="HH18" s="18"/>
      <c r="HI18" s="18"/>
      <c r="HJ18" s="18"/>
      <c r="HK18" s="18"/>
      <c r="HL18" s="18"/>
      <c r="HM18" s="18"/>
      <c r="HN18" s="18"/>
      <c r="HO18" s="18"/>
      <c r="HP18" s="18"/>
      <c r="HQ18" s="18"/>
      <c r="HR18" s="18"/>
      <c r="HS18" s="18"/>
      <c r="HT18" s="11" t="str">
        <f t="shared" si="90"/>
        <v/>
      </c>
      <c r="HU18" s="11" t="str">
        <f t="shared" si="91"/>
        <v/>
      </c>
      <c r="HV18" s="11" t="str">
        <f t="shared" si="92"/>
        <v/>
      </c>
      <c r="HW18" s="11" t="str">
        <f t="shared" si="93"/>
        <v/>
      </c>
      <c r="HX18" s="11" t="str">
        <f t="shared" si="94"/>
        <v/>
      </c>
      <c r="HY18" s="11" t="str">
        <f t="shared" si="95"/>
        <v/>
      </c>
      <c r="HZ18" s="11" t="str">
        <f t="shared" si="96"/>
        <v/>
      </c>
      <c r="IA18" s="11" t="str">
        <f t="shared" si="97"/>
        <v/>
      </c>
      <c r="IB18" s="11" t="str">
        <f t="shared" si="98"/>
        <v/>
      </c>
      <c r="IC18" s="11" t="str">
        <f t="shared" si="99"/>
        <v/>
      </c>
      <c r="ID18" s="11" t="str">
        <f t="shared" si="100"/>
        <v/>
      </c>
      <c r="IE18" s="11" t="str">
        <f t="shared" si="101"/>
        <v/>
      </c>
      <c r="IF18" s="11" t="str">
        <f t="shared" si="102"/>
        <v/>
      </c>
      <c r="IG18" s="11" t="str">
        <f t="shared" si="103"/>
        <v/>
      </c>
      <c r="IH18" s="17"/>
      <c r="II18" s="17"/>
      <c r="IJ18" s="17"/>
      <c r="IK18" s="17"/>
      <c r="IL18" s="17"/>
      <c r="IM18" s="17"/>
      <c r="IN18" s="17"/>
      <c r="IO18" s="17"/>
      <c r="IP18" s="17"/>
      <c r="IQ18" s="17"/>
      <c r="IR18" s="17"/>
      <c r="IS18" s="17"/>
      <c r="IT18" s="17"/>
      <c r="IU18" s="17"/>
      <c r="IV18" s="17"/>
      <c r="IW18" s="17"/>
      <c r="IX18" s="17"/>
      <c r="IY18" s="17"/>
      <c r="IZ18" s="17"/>
      <c r="JA18" s="17"/>
      <c r="JB18" s="40" t="str">
        <f t="shared" si="104"/>
        <v/>
      </c>
      <c r="JC18" s="40" t="str">
        <f t="shared" si="105"/>
        <v/>
      </c>
      <c r="JD18" s="40" t="str">
        <f t="shared" si="106"/>
        <v/>
      </c>
      <c r="JE18" s="40" t="str">
        <f t="shared" si="107"/>
        <v/>
      </c>
      <c r="JF18" s="40" t="str">
        <f t="shared" si="108"/>
        <v/>
      </c>
      <c r="JG18" s="40" t="str">
        <f t="shared" si="109"/>
        <v/>
      </c>
      <c r="JH18" s="40" t="str">
        <f t="shared" si="110"/>
        <v/>
      </c>
      <c r="JI18" s="40" t="str">
        <f t="shared" si="111"/>
        <v/>
      </c>
      <c r="JJ18" s="40" t="str">
        <f t="shared" si="112"/>
        <v/>
      </c>
      <c r="JK18" s="40" t="str">
        <f t="shared" si="113"/>
        <v/>
      </c>
      <c r="JL18" s="40" t="str">
        <f t="shared" si="114"/>
        <v/>
      </c>
      <c r="JM18" s="40" t="str">
        <f t="shared" si="115"/>
        <v/>
      </c>
      <c r="JN18" s="40" t="str">
        <f t="shared" si="116"/>
        <v/>
      </c>
      <c r="JO18" s="40" t="str">
        <f t="shared" si="117"/>
        <v/>
      </c>
      <c r="JP18" s="18"/>
      <c r="JQ18" s="18"/>
      <c r="JR18" s="18"/>
      <c r="JS18" s="18"/>
      <c r="JT18" s="18"/>
      <c r="JU18" s="18"/>
      <c r="JV18" s="18"/>
      <c r="JW18" s="18"/>
      <c r="JX18" s="18"/>
      <c r="JY18" s="18"/>
      <c r="JZ18" s="18"/>
      <c r="KA18" s="18"/>
      <c r="KB18" s="18"/>
      <c r="KC18" s="18"/>
      <c r="KD18" s="18"/>
      <c r="KE18" s="18"/>
      <c r="KF18" s="18"/>
      <c r="KG18" s="18"/>
      <c r="KH18" s="18"/>
      <c r="KI18" s="18"/>
      <c r="KJ18" s="11" t="str">
        <f t="shared" si="118"/>
        <v/>
      </c>
      <c r="KK18" s="11" t="str">
        <f t="shared" si="119"/>
        <v/>
      </c>
      <c r="KL18" s="11" t="str">
        <f t="shared" si="120"/>
        <v/>
      </c>
      <c r="KM18" s="11" t="str">
        <f t="shared" si="121"/>
        <v/>
      </c>
      <c r="KN18" s="11" t="str">
        <f t="shared" si="122"/>
        <v/>
      </c>
      <c r="KO18" s="11" t="str">
        <f t="shared" si="123"/>
        <v/>
      </c>
      <c r="KP18" s="11" t="str">
        <f t="shared" si="124"/>
        <v/>
      </c>
      <c r="KQ18" s="11" t="str">
        <f t="shared" si="125"/>
        <v/>
      </c>
      <c r="KR18" s="11" t="str">
        <f t="shared" si="126"/>
        <v/>
      </c>
      <c r="KS18" s="11" t="str">
        <f t="shared" si="127"/>
        <v/>
      </c>
      <c r="KT18" s="11" t="str">
        <f t="shared" si="128"/>
        <v/>
      </c>
      <c r="KU18" s="11" t="str">
        <f t="shared" si="129"/>
        <v/>
      </c>
      <c r="KV18" s="11" t="str">
        <f t="shared" si="130"/>
        <v/>
      </c>
      <c r="KW18" s="11" t="str">
        <f t="shared" si="131"/>
        <v/>
      </c>
      <c r="KX18" s="17"/>
      <c r="KY18" s="17"/>
      <c r="KZ18" s="17"/>
      <c r="LA18" s="17"/>
      <c r="LB18" s="17"/>
      <c r="LC18" s="17"/>
      <c r="LD18" s="17"/>
      <c r="LE18" s="17"/>
      <c r="LF18" s="17"/>
      <c r="LG18" s="17"/>
      <c r="LH18" s="17"/>
      <c r="LI18" s="17"/>
      <c r="LJ18" s="17"/>
      <c r="LK18" s="17"/>
      <c r="LL18" s="17"/>
      <c r="LM18" s="17"/>
      <c r="LN18" s="17"/>
      <c r="LO18" s="17"/>
      <c r="LP18" s="17"/>
      <c r="LQ18" s="17"/>
      <c r="LR18" s="40" t="str">
        <f t="shared" si="132"/>
        <v/>
      </c>
      <c r="LS18" s="40" t="str">
        <f t="shared" si="133"/>
        <v/>
      </c>
      <c r="LT18" s="40" t="str">
        <f t="shared" si="134"/>
        <v/>
      </c>
      <c r="LU18" s="40" t="str">
        <f t="shared" si="135"/>
        <v/>
      </c>
      <c r="LV18" s="40" t="str">
        <f t="shared" si="136"/>
        <v/>
      </c>
      <c r="LW18" s="40" t="str">
        <f t="shared" si="137"/>
        <v/>
      </c>
      <c r="LX18" s="40" t="str">
        <f t="shared" si="138"/>
        <v/>
      </c>
      <c r="LY18" s="40" t="str">
        <f t="shared" si="139"/>
        <v/>
      </c>
      <c r="LZ18" s="40" t="str">
        <f t="shared" si="140"/>
        <v/>
      </c>
      <c r="MA18" s="40" t="str">
        <f t="shared" si="141"/>
        <v/>
      </c>
      <c r="MB18" s="40" t="str">
        <f t="shared" si="142"/>
        <v/>
      </c>
      <c r="MC18" s="40" t="str">
        <f t="shared" si="143"/>
        <v/>
      </c>
      <c r="MD18" s="40" t="str">
        <f t="shared" si="144"/>
        <v/>
      </c>
      <c r="ME18" s="40" t="str">
        <f t="shared" si="145"/>
        <v/>
      </c>
      <c r="MF18" s="18"/>
      <c r="MG18" s="18"/>
      <c r="MH18" s="18"/>
      <c r="MI18" s="18"/>
      <c r="MJ18" s="18"/>
      <c r="MK18" s="18"/>
      <c r="ML18" s="18"/>
      <c r="MM18" s="18"/>
      <c r="MN18" s="18"/>
      <c r="MO18" s="18"/>
      <c r="MP18" s="18"/>
      <c r="MQ18" s="18"/>
      <c r="MR18" s="18"/>
      <c r="MS18" s="18"/>
      <c r="MT18" s="18"/>
      <c r="MU18" s="18"/>
      <c r="MV18" s="18"/>
      <c r="MW18" s="18"/>
      <c r="MX18" s="18"/>
      <c r="MY18" s="18"/>
      <c r="MZ18" s="11" t="str">
        <f t="shared" si="146"/>
        <v/>
      </c>
      <c r="NA18" s="11" t="str">
        <f t="shared" si="147"/>
        <v/>
      </c>
      <c r="NB18" s="11" t="str">
        <f t="shared" si="148"/>
        <v/>
      </c>
      <c r="NC18" s="11" t="str">
        <f t="shared" si="149"/>
        <v/>
      </c>
      <c r="ND18" s="11" t="str">
        <f t="shared" si="150"/>
        <v/>
      </c>
      <c r="NE18" s="11" t="str">
        <f t="shared" si="151"/>
        <v/>
      </c>
      <c r="NF18" s="11" t="str">
        <f t="shared" si="152"/>
        <v/>
      </c>
      <c r="NG18" s="11" t="str">
        <f t="shared" si="153"/>
        <v/>
      </c>
      <c r="NH18" s="11" t="str">
        <f t="shared" si="154"/>
        <v/>
      </c>
      <c r="NI18" s="11" t="str">
        <f t="shared" si="155"/>
        <v/>
      </c>
      <c r="NJ18" s="11" t="str">
        <f t="shared" si="156"/>
        <v/>
      </c>
      <c r="NK18" s="11" t="str">
        <f t="shared" si="157"/>
        <v/>
      </c>
      <c r="NL18" s="11" t="str">
        <f t="shared" si="158"/>
        <v/>
      </c>
      <c r="NM18" s="11" t="str">
        <f t="shared" si="159"/>
        <v/>
      </c>
      <c r="NN18" s="17"/>
      <c r="NO18" s="17"/>
      <c r="NP18" s="17"/>
      <c r="NQ18" s="17"/>
      <c r="NR18" s="17"/>
      <c r="NS18" s="17"/>
      <c r="NT18" s="17"/>
      <c r="NU18" s="17"/>
      <c r="NV18" s="17"/>
      <c r="NW18" s="17"/>
      <c r="NX18" s="17"/>
      <c r="NY18" s="17"/>
      <c r="NZ18" s="17"/>
      <c r="OA18" s="17"/>
      <c r="OB18" s="17"/>
      <c r="OC18" s="17"/>
      <c r="OD18" s="17"/>
      <c r="OE18" s="17"/>
      <c r="OF18" s="17"/>
      <c r="OG18" s="17"/>
      <c r="OH18" s="40" t="str">
        <f t="shared" si="160"/>
        <v/>
      </c>
      <c r="OI18" s="40" t="str">
        <f t="shared" si="161"/>
        <v/>
      </c>
      <c r="OJ18" s="40" t="str">
        <f t="shared" si="162"/>
        <v/>
      </c>
      <c r="OK18" s="40" t="str">
        <f t="shared" si="163"/>
        <v/>
      </c>
      <c r="OL18" s="40" t="str">
        <f t="shared" si="164"/>
        <v/>
      </c>
      <c r="OM18" s="40" t="str">
        <f t="shared" si="165"/>
        <v/>
      </c>
      <c r="ON18" s="40" t="str">
        <f t="shared" si="166"/>
        <v/>
      </c>
      <c r="OO18" s="40" t="str">
        <f t="shared" si="167"/>
        <v/>
      </c>
      <c r="OP18" s="40" t="str">
        <f t="shared" si="168"/>
        <v/>
      </c>
      <c r="OQ18" s="40" t="str">
        <f t="shared" si="169"/>
        <v/>
      </c>
      <c r="OR18" s="40" t="str">
        <f t="shared" si="170"/>
        <v/>
      </c>
      <c r="OS18" s="40" t="str">
        <f t="shared" si="171"/>
        <v/>
      </c>
      <c r="OT18" s="40" t="str">
        <f t="shared" si="172"/>
        <v/>
      </c>
      <c r="OU18" s="40" t="str">
        <f t="shared" si="173"/>
        <v/>
      </c>
      <c r="OV18" s="18"/>
      <c r="OW18" s="18"/>
      <c r="OX18" s="18"/>
      <c r="OY18" s="18"/>
      <c r="OZ18" s="18"/>
      <c r="PA18" s="18"/>
      <c r="PB18" s="18"/>
      <c r="PC18" s="18"/>
      <c r="PD18" s="18"/>
      <c r="PE18" s="18"/>
      <c r="PF18" s="18"/>
      <c r="PG18" s="18"/>
      <c r="PH18" s="18"/>
      <c r="PI18" s="18"/>
      <c r="PJ18" s="18"/>
      <c r="PK18" s="18"/>
      <c r="PL18" s="18"/>
      <c r="PM18" s="18"/>
      <c r="PN18" s="18"/>
      <c r="PO18" s="18"/>
      <c r="PP18" s="11" t="str">
        <f t="shared" si="174"/>
        <v/>
      </c>
      <c r="PQ18" s="11" t="str">
        <f t="shared" si="175"/>
        <v/>
      </c>
      <c r="PR18" s="11" t="str">
        <f t="shared" si="176"/>
        <v/>
      </c>
      <c r="PS18" s="11" t="str">
        <f t="shared" si="177"/>
        <v/>
      </c>
      <c r="PT18" s="11" t="str">
        <f t="shared" si="178"/>
        <v/>
      </c>
      <c r="PU18" s="11" t="str">
        <f t="shared" si="179"/>
        <v/>
      </c>
      <c r="PV18" s="11" t="str">
        <f t="shared" si="180"/>
        <v/>
      </c>
      <c r="PW18" s="11" t="str">
        <f t="shared" si="181"/>
        <v/>
      </c>
      <c r="PX18" s="11" t="str">
        <f t="shared" si="182"/>
        <v/>
      </c>
      <c r="PY18" s="11" t="str">
        <f t="shared" si="183"/>
        <v/>
      </c>
      <c r="PZ18" s="11" t="str">
        <f t="shared" si="184"/>
        <v/>
      </c>
      <c r="QA18" s="11" t="str">
        <f t="shared" si="185"/>
        <v/>
      </c>
      <c r="QB18" s="11" t="str">
        <f t="shared" si="186"/>
        <v/>
      </c>
      <c r="QC18" s="11" t="str">
        <f t="shared" si="187"/>
        <v/>
      </c>
      <c r="QD18" s="17"/>
      <c r="QE18" s="17"/>
      <c r="QF18" s="17"/>
      <c r="QG18" s="17"/>
      <c r="QH18" s="17"/>
      <c r="QI18" s="17"/>
      <c r="QJ18" s="17"/>
      <c r="QK18" s="17"/>
      <c r="QL18" s="17"/>
      <c r="QM18" s="17"/>
      <c r="QN18" s="17"/>
      <c r="QO18" s="17"/>
      <c r="QP18" s="17"/>
      <c r="QQ18" s="17"/>
      <c r="QR18" s="17"/>
      <c r="QS18" s="17"/>
      <c r="QT18" s="17"/>
      <c r="QU18" s="17"/>
      <c r="QV18" s="17"/>
      <c r="QW18" s="17"/>
      <c r="QX18" s="40" t="str">
        <f t="shared" si="188"/>
        <v/>
      </c>
      <c r="QY18" s="40" t="str">
        <f t="shared" si="189"/>
        <v/>
      </c>
      <c r="QZ18" s="40" t="str">
        <f t="shared" si="190"/>
        <v/>
      </c>
      <c r="RA18" s="40" t="str">
        <f t="shared" si="191"/>
        <v/>
      </c>
      <c r="RB18" s="40" t="str">
        <f t="shared" si="192"/>
        <v/>
      </c>
      <c r="RC18" s="40" t="str">
        <f t="shared" si="193"/>
        <v/>
      </c>
      <c r="RD18" s="40" t="str">
        <f t="shared" si="194"/>
        <v/>
      </c>
      <c r="RE18" s="40" t="str">
        <f t="shared" si="195"/>
        <v/>
      </c>
      <c r="RF18" s="40" t="str">
        <f t="shared" si="196"/>
        <v/>
      </c>
      <c r="RG18" s="40" t="str">
        <f t="shared" si="197"/>
        <v/>
      </c>
      <c r="RH18" s="40" t="str">
        <f t="shared" si="198"/>
        <v/>
      </c>
      <c r="RI18" s="40" t="str">
        <f t="shared" si="199"/>
        <v/>
      </c>
      <c r="RJ18" s="40" t="str">
        <f t="shared" si="200"/>
        <v/>
      </c>
      <c r="RK18" s="40" t="str">
        <f t="shared" si="201"/>
        <v/>
      </c>
      <c r="RL18" s="18"/>
      <c r="RM18" s="18"/>
      <c r="RN18" s="18"/>
      <c r="RO18" s="18"/>
      <c r="RP18" s="18"/>
      <c r="RQ18" s="18"/>
      <c r="RR18" s="18"/>
      <c r="RS18" s="18"/>
      <c r="RT18" s="18"/>
      <c r="RU18" s="18"/>
      <c r="RV18" s="18"/>
      <c r="RW18" s="18"/>
      <c r="RX18" s="18"/>
      <c r="RY18" s="18"/>
      <c r="RZ18" s="18"/>
      <c r="SA18" s="18"/>
      <c r="SB18" s="18"/>
      <c r="SC18" s="18"/>
      <c r="SD18" s="18"/>
      <c r="SE18" s="18"/>
      <c r="SF18" s="11" t="str">
        <f t="shared" si="202"/>
        <v/>
      </c>
      <c r="SG18" s="11" t="str">
        <f t="shared" si="203"/>
        <v/>
      </c>
      <c r="SH18" s="11" t="str">
        <f t="shared" si="204"/>
        <v/>
      </c>
      <c r="SI18" s="11" t="str">
        <f t="shared" si="205"/>
        <v/>
      </c>
      <c r="SJ18" s="11" t="str">
        <f t="shared" si="206"/>
        <v/>
      </c>
      <c r="SK18" s="11" t="str">
        <f t="shared" si="207"/>
        <v/>
      </c>
      <c r="SL18" s="11" t="str">
        <f t="shared" si="208"/>
        <v/>
      </c>
      <c r="SM18" s="11" t="str">
        <f t="shared" si="209"/>
        <v/>
      </c>
      <c r="SN18" s="11" t="str">
        <f t="shared" si="210"/>
        <v/>
      </c>
      <c r="SO18" s="11" t="str">
        <f t="shared" si="211"/>
        <v/>
      </c>
      <c r="SP18" s="11" t="str">
        <f t="shared" si="212"/>
        <v/>
      </c>
      <c r="SQ18" s="11" t="str">
        <f t="shared" si="213"/>
        <v/>
      </c>
      <c r="SR18" s="11" t="str">
        <f t="shared" si="214"/>
        <v/>
      </c>
      <c r="SS18" s="11" t="str">
        <f t="shared" si="215"/>
        <v/>
      </c>
      <c r="ST18" s="22">
        <f t="shared" si="216"/>
        <v>7.25</v>
      </c>
      <c r="SU18" s="22">
        <f t="shared" si="217"/>
        <v>4.5999999999999996</v>
      </c>
      <c r="SV18" s="22">
        <f t="shared" si="218"/>
        <v>4.4000000000000004</v>
      </c>
      <c r="SW18" s="22">
        <f t="shared" si="219"/>
        <v>6.9249999999999998</v>
      </c>
      <c r="SX18" s="22">
        <f t="shared" si="220"/>
        <v>0</v>
      </c>
      <c r="SY18" s="22">
        <f t="shared" si="221"/>
        <v>7.35</v>
      </c>
      <c r="SZ18" s="22">
        <f t="shared" si="222"/>
        <v>4.5</v>
      </c>
      <c r="TA18" s="22">
        <f t="shared" si="223"/>
        <v>4.25</v>
      </c>
      <c r="TB18" s="22">
        <f t="shared" si="224"/>
        <v>6.72</v>
      </c>
      <c r="TC18" s="22">
        <f t="shared" si="225"/>
        <v>0.15</v>
      </c>
      <c r="TD18" s="22">
        <f t="shared" si="226"/>
        <v>7.55</v>
      </c>
      <c r="TE18" s="22">
        <f t="shared" si="227"/>
        <v>4.6500000000000004</v>
      </c>
      <c r="TF18" s="22">
        <f t="shared" si="228"/>
        <v>4.4000000000000004</v>
      </c>
      <c r="TG18" s="22">
        <f t="shared" si="229"/>
        <v>6.84</v>
      </c>
      <c r="TH18" s="22">
        <f t="shared" si="230"/>
        <v>0</v>
      </c>
      <c r="TI18" s="27" t="s">
        <v>46</v>
      </c>
      <c r="TJ18" s="40">
        <f t="shared" si="231"/>
        <v>4.4000000000000004</v>
      </c>
      <c r="TK18" s="40">
        <f t="shared" si="232"/>
        <v>6.9249999999999998</v>
      </c>
      <c r="TL18" s="40">
        <f t="shared" si="233"/>
        <v>23.175000000000001</v>
      </c>
      <c r="TM18" s="40">
        <f t="shared" si="234"/>
        <v>4.25</v>
      </c>
      <c r="TN18" s="40">
        <f t="shared" si="235"/>
        <v>6.72</v>
      </c>
      <c r="TO18" s="40">
        <f t="shared" si="236"/>
        <v>22.67</v>
      </c>
      <c r="TP18" s="40">
        <f t="shared" si="237"/>
        <v>23.175000000000001</v>
      </c>
      <c r="TQ18" s="40">
        <f t="shared" si="238"/>
        <v>4.4000000000000004</v>
      </c>
      <c r="TR18" s="40">
        <f t="shared" si="239"/>
        <v>6.84</v>
      </c>
      <c r="TS18" s="40">
        <f t="shared" si="240"/>
        <v>23.44</v>
      </c>
      <c r="TT18" s="40">
        <f t="shared" si="241"/>
        <v>46.615000000000002</v>
      </c>
    </row>
    <row r="19" spans="1:540" x14ac:dyDescent="0.2">
      <c r="A19" s="4" t="str" cm="1">
        <f t="array" ref="A19">IF(AND(F19&lt;&gt;"",G19&lt;&gt;""),SUMPRODUCT((F$4:F$32&lt;&gt;"")*(G$4:G$32&lt;&gt;"")*(E$4:E$32&gt;E19))+1,IF(G19&lt;&gt;"",SUMPRODUCT((H$4:H$32="No DD")*(E$4:E$32&gt;E19))+1+SUMPRODUCT((F$4:F$32&lt;&gt;"")*(G$4:G$32&lt;&gt;"")),""))</f>
        <v/>
      </c>
      <c r="B19" s="5" t="s">
        <v>166</v>
      </c>
      <c r="C19" s="4" t="s">
        <v>31</v>
      </c>
      <c r="D19" s="4">
        <v>2003</v>
      </c>
      <c r="E19" s="9">
        <f t="shared" si="0"/>
        <v>94.470009447004117</v>
      </c>
      <c r="F19" s="3" t="str">
        <f t="shared" si="1"/>
        <v/>
      </c>
      <c r="G19" s="3" t="str">
        <f t="shared" si="2"/>
        <v/>
      </c>
      <c r="H19" s="36" t="str">
        <f t="shared" si="3"/>
        <v/>
      </c>
      <c r="I19" s="3" t="str">
        <f t="shared" si="4"/>
        <v/>
      </c>
      <c r="J19" s="8">
        <f>IF(COUNT(AO19,AR19,BP19,BS19,CQ19,CT19)&gt;0,LARGE((AO19,AR19,BP19,BS19,CQ19,CT19),1),0)</f>
        <v>41.24</v>
      </c>
      <c r="K19" s="8" t="str">
        <f t="shared" si="5"/>
        <v>2022 Nationals</v>
      </c>
      <c r="L19" s="8">
        <f>IF(COUNT(AO19,AR19,BP19,BS19,CQ19,CT19)&gt;1,LARGE((AO19,AR19,BP19,BS19,CQ19,CT19),2),0)</f>
        <v>39.51</v>
      </c>
      <c r="M19" s="8" t="str">
        <f t="shared" si="6"/>
        <v>2023 Elite Canada</v>
      </c>
      <c r="N19" s="8">
        <f>IF(COUNT(AO19,AR19,BP19,BS19,CQ19,CT19)&gt;2,LARGE((AO19,AR19,BP19,BS19,CQ19,CT19),3),0)</f>
        <v>4.82</v>
      </c>
      <c r="O19" s="8" t="str">
        <f t="shared" si="242"/>
        <v>2023 Elite Canada</v>
      </c>
      <c r="P19" s="8">
        <f t="shared" si="7"/>
        <v>8.9</v>
      </c>
      <c r="Q19" s="8" t="str">
        <f t="shared" si="8"/>
        <v>2022 Nationals</v>
      </c>
      <c r="R19" s="8">
        <f t="shared" si="9"/>
        <v>0</v>
      </c>
      <c r="S19" s="8" t="str">
        <f t="shared" si="10"/>
        <v/>
      </c>
      <c r="T19" s="8" t="str">
        <f t="shared" si="11"/>
        <v/>
      </c>
      <c r="U19" s="11" t="str">
        <f t="shared" si="12"/>
        <v/>
      </c>
      <c r="V19" s="8" t="str">
        <f>IF(T19="","",IF(T19=CZ19,IF(T19+IF(N19="",0,N19)=SL19,$RL$1,IF(T19+IF(N19="",0,N19)=RD19,$QD$1,IF(T19+IF(N19="",0,N19)=PV19,$OV$1,IF(T19+IF(N19="",0,N19)=ON19,$NN$1,IF(T19+IF(N19="",0,N19)=NF19,$MF$1,IF(T19+IF(N19="",0,N19)=LX19,$KX$1,IF(T19+IF(N19="",0,N19)=KP19,$JP$1,IF(T19+IF(N19="",0,N19)=JH19,$IH$1,IF(T19+IF(N19="",0,N19)=HZ19,$GZ$1,IF(T19+IF(N19="",0,N19)=GR19,$FR$1,IF(T19+IF(N19="",0,N19)=FJ19,$EJ$1,IF(T19+IF(N19="",0,N19)=EB19,$DB$1)))))))))))),IF(T19=DA19,IF(T19+IF(#REF!="",0,#REF!)=SR19,$RL$1,IF(T19+IF(#REF!="",0,#REF!)=RJ19,$QD$1,IF(T19+IF(#REF!="",0,#REF!)=QB19,$OV$1,IF(T19+IF(#REF!="",0,#REF!)=OT19,$NN$1,IF(T19+IF(#REF!="",0,#REF!)=NL19,$MF$1,IF(T19+IF(#REF!="",0,#REF!)=MD19,$KX$1,IF(T19+IF(#REF!="",0,#REF!)=KV19,$JP$1,IF(T19+IF(#REF!="",0,#REF!)=JN19,$IH$1,IF(T19+IF(#REF!="",0,#REF!)=IF19,$GZ$1,IF(T19+IF(#REF!="",0,#REF!)=GX19,$FR$1,IF(T19+IF(#REF!="",0,#REF!)=FP19,$EJ$1,IF(T19+IF(#REF!="",0,#REF!)=EH19,$DB$1,IF(T19+IF(#REF!="",0,#REF!)=SO19,$RL$1,IF(T19+IF(#REF!="",0,#REF!)=RG19,$QD$1,IF(T19+IF(#REF!="",0,#REF!)=PY19,$OV$1,IF(T19+IF(#REF!="",0,#REF!)=OQ19,$NN$1,IF(T19+IF(#REF!="",0,#REF!)=NI19,$MF$1,IF(T19+IF(#REF!="",0,#REF!)=MA19,$KX$1,IF(T19+IF(#REF!="",0,#REF!)=KS19,$JP$1,IF(T19+IF(#REF!="",0,#REF!)=JK19,$IH$1,IF(T19+IF(#REF!="",0,#REF!)=IC19,$GZ$1,IF(T19+IF(#REF!="",0,#REF!)=GU19,$FR$1,IF(T19+IF(#REF!="",0,#REF!)=FM19,$EJ$1,IF(T19+IF(#REF!="",0,#REF!)=EE19,$DB$1)))))))))))))))))))))))))))</f>
        <v/>
      </c>
      <c r="W19" s="22">
        <v>10.7</v>
      </c>
      <c r="X19" s="22">
        <v>8.9</v>
      </c>
      <c r="Y19" s="22">
        <v>8.9</v>
      </c>
      <c r="Z19" s="22">
        <v>12.74</v>
      </c>
      <c r="AA19" s="22">
        <v>0</v>
      </c>
      <c r="AB19" s="22"/>
      <c r="AC19" s="22"/>
      <c r="AD19" s="22"/>
      <c r="AE19" s="22"/>
      <c r="AF19" s="22"/>
      <c r="AG19" s="22"/>
      <c r="AH19" s="22"/>
      <c r="AI19" s="22"/>
      <c r="AJ19" s="22"/>
      <c r="AK19" s="22"/>
      <c r="AL19" s="27"/>
      <c r="AM19" s="38">
        <f t="shared" si="13"/>
        <v>8.9</v>
      </c>
      <c r="AN19" s="38">
        <f t="shared" si="14"/>
        <v>12.74</v>
      </c>
      <c r="AO19" s="40">
        <f t="shared" si="15"/>
        <v>41.24</v>
      </c>
      <c r="AP19" s="40" t="str">
        <f t="shared" si="16"/>
        <v/>
      </c>
      <c r="AQ19" s="40" t="str">
        <f t="shared" si="17"/>
        <v/>
      </c>
      <c r="AR19" s="40" t="str">
        <f t="shared" si="18"/>
        <v/>
      </c>
      <c r="AS19" s="40">
        <f t="shared" si="19"/>
        <v>41.24</v>
      </c>
      <c r="AT19" s="40" t="str">
        <f t="shared" si="20"/>
        <v/>
      </c>
      <c r="AU19" s="40" t="str">
        <f t="shared" si="21"/>
        <v/>
      </c>
      <c r="AV19" s="40" t="str">
        <f t="shared" si="22"/>
        <v/>
      </c>
      <c r="AW19" s="40">
        <f t="shared" si="23"/>
        <v>41.24</v>
      </c>
      <c r="AX19" s="26"/>
      <c r="AY19" s="26"/>
      <c r="AZ19" s="26"/>
      <c r="BA19" s="26"/>
      <c r="BB19" s="26"/>
      <c r="BC19" s="26"/>
      <c r="BD19" s="26"/>
      <c r="BE19" s="26"/>
      <c r="BF19" s="26"/>
      <c r="BG19" s="26"/>
      <c r="BH19" s="26"/>
      <c r="BI19" s="26"/>
      <c r="BJ19" s="26"/>
      <c r="BK19" s="26"/>
      <c r="BL19" s="26"/>
      <c r="BM19" s="28"/>
      <c r="BN19" s="39" t="str">
        <f t="shared" si="24"/>
        <v/>
      </c>
      <c r="BO19" s="39" t="str">
        <f t="shared" si="25"/>
        <v/>
      </c>
      <c r="BP19" s="11" t="str">
        <f t="shared" si="26"/>
        <v/>
      </c>
      <c r="BQ19" s="11" t="str">
        <f t="shared" si="27"/>
        <v/>
      </c>
      <c r="BR19" s="11" t="str">
        <f t="shared" si="28"/>
        <v/>
      </c>
      <c r="BS19" s="11" t="str">
        <f t="shared" si="29"/>
        <v/>
      </c>
      <c r="BT19" s="11" t="str">
        <f t="shared" si="30"/>
        <v/>
      </c>
      <c r="BU19" s="11" t="str">
        <f t="shared" si="31"/>
        <v/>
      </c>
      <c r="BV19" s="11" t="str">
        <f t="shared" si="32"/>
        <v/>
      </c>
      <c r="BW19" s="11" t="str">
        <f t="shared" si="33"/>
        <v/>
      </c>
      <c r="BX19" s="11" t="str">
        <f t="shared" si="34"/>
        <v/>
      </c>
      <c r="BY19" s="22">
        <v>1.2</v>
      </c>
      <c r="BZ19" s="22">
        <v>0.8</v>
      </c>
      <c r="CA19" s="22">
        <v>1.5</v>
      </c>
      <c r="CB19" s="22">
        <v>1.32</v>
      </c>
      <c r="CC19" s="22">
        <v>0</v>
      </c>
      <c r="CD19" s="22">
        <v>11.6</v>
      </c>
      <c r="CE19" s="22">
        <v>8.3000000000000007</v>
      </c>
      <c r="CF19" s="22">
        <v>8.5</v>
      </c>
      <c r="CG19" s="22">
        <v>11.11</v>
      </c>
      <c r="CH19" s="22">
        <v>0</v>
      </c>
      <c r="CI19" s="22"/>
      <c r="CJ19" s="22"/>
      <c r="CK19" s="22"/>
      <c r="CL19" s="22"/>
      <c r="CM19" s="22"/>
      <c r="CN19" s="27"/>
      <c r="CO19" s="38">
        <f t="shared" si="35"/>
        <v>1.5</v>
      </c>
      <c r="CP19" s="38">
        <f t="shared" si="36"/>
        <v>1.32</v>
      </c>
      <c r="CQ19" s="40">
        <f t="shared" si="37"/>
        <v>4.82</v>
      </c>
      <c r="CR19" s="40">
        <f t="shared" si="38"/>
        <v>8.5</v>
      </c>
      <c r="CS19" s="40">
        <f t="shared" si="39"/>
        <v>11.11</v>
      </c>
      <c r="CT19" s="40">
        <f t="shared" si="40"/>
        <v>39.51</v>
      </c>
      <c r="CU19" s="40">
        <f t="shared" si="41"/>
        <v>39.51</v>
      </c>
      <c r="CV19" s="40" t="str">
        <f t="shared" si="42"/>
        <v/>
      </c>
      <c r="CW19" s="40" t="str">
        <f t="shared" si="43"/>
        <v/>
      </c>
      <c r="CX19" s="40" t="str">
        <f t="shared" si="44"/>
        <v/>
      </c>
      <c r="CY19" s="40">
        <f t="shared" si="45"/>
        <v>39.51</v>
      </c>
      <c r="CZ19" s="50" t="str">
        <f t="shared" si="46"/>
        <v/>
      </c>
      <c r="DA19" s="50" t="str">
        <f t="shared" si="47"/>
        <v/>
      </c>
      <c r="DB19" s="17"/>
      <c r="DC19" s="17"/>
      <c r="DD19" s="17"/>
      <c r="DE19" s="17"/>
      <c r="DF19" s="17"/>
      <c r="DG19" s="17"/>
      <c r="DH19" s="17"/>
      <c r="DI19" s="17"/>
      <c r="DJ19" s="17"/>
      <c r="DK19" s="17"/>
      <c r="DL19" s="17"/>
      <c r="DM19" s="17"/>
      <c r="DN19" s="17"/>
      <c r="DO19" s="17"/>
      <c r="DP19" s="17"/>
      <c r="DQ19" s="17"/>
      <c r="DR19" s="17"/>
      <c r="DS19" s="17"/>
      <c r="DT19" s="17"/>
      <c r="DU19" s="17"/>
      <c r="DV19" s="40" t="str">
        <f t="shared" si="48"/>
        <v/>
      </c>
      <c r="DW19" s="40" t="str">
        <f t="shared" si="49"/>
        <v/>
      </c>
      <c r="DX19" s="40" t="str">
        <f t="shared" si="50"/>
        <v/>
      </c>
      <c r="DY19" s="40" t="str">
        <f t="shared" si="51"/>
        <v/>
      </c>
      <c r="DZ19" s="40" t="str">
        <f t="shared" si="52"/>
        <v/>
      </c>
      <c r="EA19" s="40" t="str">
        <f t="shared" si="53"/>
        <v/>
      </c>
      <c r="EB19" s="40" t="str">
        <f t="shared" si="54"/>
        <v/>
      </c>
      <c r="EC19" s="40" t="str">
        <f t="shared" si="55"/>
        <v/>
      </c>
      <c r="ED19" s="40" t="str">
        <f t="shared" si="56"/>
        <v/>
      </c>
      <c r="EE19" s="40" t="str">
        <f t="shared" si="57"/>
        <v/>
      </c>
      <c r="EF19" s="40" t="str">
        <f t="shared" si="58"/>
        <v/>
      </c>
      <c r="EG19" s="40" t="str">
        <f t="shared" si="59"/>
        <v/>
      </c>
      <c r="EH19" s="40" t="str">
        <f t="shared" si="60"/>
        <v/>
      </c>
      <c r="EI19" s="40" t="str">
        <f t="shared" si="61"/>
        <v/>
      </c>
      <c r="EJ19" s="18"/>
      <c r="EK19" s="18"/>
      <c r="EL19" s="18"/>
      <c r="EM19" s="18"/>
      <c r="EN19" s="18"/>
      <c r="EO19" s="18"/>
      <c r="EP19" s="18"/>
      <c r="EQ19" s="18"/>
      <c r="ER19" s="18"/>
      <c r="ES19" s="18"/>
      <c r="ET19" s="18"/>
      <c r="EU19" s="18"/>
      <c r="EV19" s="18"/>
      <c r="EW19" s="18"/>
      <c r="EX19" s="18"/>
      <c r="EY19" s="18"/>
      <c r="EZ19" s="18"/>
      <c r="FA19" s="18"/>
      <c r="FB19" s="18"/>
      <c r="FC19" s="18"/>
      <c r="FD19" s="11" t="str">
        <f t="shared" si="62"/>
        <v/>
      </c>
      <c r="FE19" s="11" t="str">
        <f t="shared" si="63"/>
        <v/>
      </c>
      <c r="FF19" s="11" t="str">
        <f t="shared" si="64"/>
        <v/>
      </c>
      <c r="FG19" s="11" t="str">
        <f t="shared" si="65"/>
        <v/>
      </c>
      <c r="FH19" s="11" t="str">
        <f t="shared" si="66"/>
        <v/>
      </c>
      <c r="FI19" s="11" t="str">
        <f t="shared" si="67"/>
        <v/>
      </c>
      <c r="FJ19" s="11" t="str">
        <f t="shared" si="68"/>
        <v/>
      </c>
      <c r="FK19" s="11" t="str">
        <f t="shared" si="69"/>
        <v/>
      </c>
      <c r="FL19" s="11" t="str">
        <f t="shared" si="70"/>
        <v/>
      </c>
      <c r="FM19" s="11" t="str">
        <f t="shared" si="71"/>
        <v/>
      </c>
      <c r="FN19" s="11" t="str">
        <f t="shared" si="72"/>
        <v/>
      </c>
      <c r="FO19" s="11" t="str">
        <f t="shared" si="73"/>
        <v/>
      </c>
      <c r="FP19" s="11" t="str">
        <f t="shared" si="74"/>
        <v/>
      </c>
      <c r="FQ19" s="11" t="str">
        <f t="shared" si="75"/>
        <v/>
      </c>
      <c r="FR19" s="17"/>
      <c r="FS19" s="17"/>
      <c r="FT19" s="17"/>
      <c r="FU19" s="17"/>
      <c r="FV19" s="17"/>
      <c r="FW19" s="17"/>
      <c r="FX19" s="17"/>
      <c r="FY19" s="17"/>
      <c r="FZ19" s="17"/>
      <c r="GA19" s="17"/>
      <c r="GB19" s="17"/>
      <c r="GC19" s="17"/>
      <c r="GD19" s="17"/>
      <c r="GE19" s="17"/>
      <c r="GF19" s="17"/>
      <c r="GG19" s="17"/>
      <c r="GH19" s="17"/>
      <c r="GI19" s="17"/>
      <c r="GJ19" s="17"/>
      <c r="GK19" s="17"/>
      <c r="GL19" s="40" t="str">
        <f t="shared" si="76"/>
        <v/>
      </c>
      <c r="GM19" s="40" t="str">
        <f t="shared" si="77"/>
        <v/>
      </c>
      <c r="GN19" s="40" t="str">
        <f t="shared" si="78"/>
        <v/>
      </c>
      <c r="GO19" s="40" t="str">
        <f t="shared" si="79"/>
        <v/>
      </c>
      <c r="GP19" s="40" t="str">
        <f t="shared" si="80"/>
        <v/>
      </c>
      <c r="GQ19" s="40" t="str">
        <f t="shared" si="81"/>
        <v/>
      </c>
      <c r="GR19" s="40" t="str">
        <f t="shared" si="82"/>
        <v/>
      </c>
      <c r="GS19" s="40" t="str">
        <f t="shared" si="83"/>
        <v/>
      </c>
      <c r="GT19" s="40" t="str">
        <f t="shared" si="84"/>
        <v/>
      </c>
      <c r="GU19" s="40" t="str">
        <f t="shared" si="85"/>
        <v/>
      </c>
      <c r="GV19" s="40" t="str">
        <f t="shared" si="86"/>
        <v/>
      </c>
      <c r="GW19" s="40" t="str">
        <f t="shared" si="87"/>
        <v/>
      </c>
      <c r="GX19" s="40" t="str">
        <f t="shared" si="88"/>
        <v/>
      </c>
      <c r="GY19" s="40" t="str">
        <f t="shared" si="89"/>
        <v/>
      </c>
      <c r="GZ19" s="18"/>
      <c r="HA19" s="18"/>
      <c r="HB19" s="18"/>
      <c r="HC19" s="18"/>
      <c r="HD19" s="18"/>
      <c r="HE19" s="18"/>
      <c r="HF19" s="18"/>
      <c r="HG19" s="18"/>
      <c r="HH19" s="18"/>
      <c r="HI19" s="18"/>
      <c r="HJ19" s="18"/>
      <c r="HK19" s="18"/>
      <c r="HL19" s="18"/>
      <c r="HM19" s="18"/>
      <c r="HN19" s="18"/>
      <c r="HO19" s="18"/>
      <c r="HP19" s="18"/>
      <c r="HQ19" s="18"/>
      <c r="HR19" s="18"/>
      <c r="HS19" s="18"/>
      <c r="HT19" s="11" t="str">
        <f t="shared" si="90"/>
        <v/>
      </c>
      <c r="HU19" s="11" t="str">
        <f t="shared" si="91"/>
        <v/>
      </c>
      <c r="HV19" s="11" t="str">
        <f t="shared" si="92"/>
        <v/>
      </c>
      <c r="HW19" s="11" t="str">
        <f t="shared" si="93"/>
        <v/>
      </c>
      <c r="HX19" s="11" t="str">
        <f t="shared" si="94"/>
        <v/>
      </c>
      <c r="HY19" s="11" t="str">
        <f t="shared" si="95"/>
        <v/>
      </c>
      <c r="HZ19" s="11" t="str">
        <f t="shared" si="96"/>
        <v/>
      </c>
      <c r="IA19" s="11" t="str">
        <f t="shared" si="97"/>
        <v/>
      </c>
      <c r="IB19" s="11" t="str">
        <f t="shared" si="98"/>
        <v/>
      </c>
      <c r="IC19" s="11" t="str">
        <f t="shared" si="99"/>
        <v/>
      </c>
      <c r="ID19" s="11" t="str">
        <f t="shared" si="100"/>
        <v/>
      </c>
      <c r="IE19" s="11" t="str">
        <f t="shared" si="101"/>
        <v/>
      </c>
      <c r="IF19" s="11" t="str">
        <f t="shared" si="102"/>
        <v/>
      </c>
      <c r="IG19" s="11" t="str">
        <f t="shared" si="103"/>
        <v/>
      </c>
      <c r="IH19" s="17"/>
      <c r="II19" s="17"/>
      <c r="IJ19" s="17"/>
      <c r="IK19" s="17"/>
      <c r="IL19" s="17"/>
      <c r="IM19" s="17"/>
      <c r="IN19" s="17"/>
      <c r="IO19" s="17"/>
      <c r="IP19" s="17"/>
      <c r="IQ19" s="17"/>
      <c r="IR19" s="17"/>
      <c r="IS19" s="17"/>
      <c r="IT19" s="17"/>
      <c r="IU19" s="17"/>
      <c r="IV19" s="17"/>
      <c r="IW19" s="17"/>
      <c r="IX19" s="17"/>
      <c r="IY19" s="17"/>
      <c r="IZ19" s="17"/>
      <c r="JA19" s="17"/>
      <c r="JB19" s="40" t="str">
        <f t="shared" si="104"/>
        <v/>
      </c>
      <c r="JC19" s="40" t="str">
        <f t="shared" si="105"/>
        <v/>
      </c>
      <c r="JD19" s="40" t="str">
        <f t="shared" si="106"/>
        <v/>
      </c>
      <c r="JE19" s="40" t="str">
        <f t="shared" si="107"/>
        <v/>
      </c>
      <c r="JF19" s="40" t="str">
        <f t="shared" si="108"/>
        <v/>
      </c>
      <c r="JG19" s="40" t="str">
        <f t="shared" si="109"/>
        <v/>
      </c>
      <c r="JH19" s="40" t="str">
        <f t="shared" si="110"/>
        <v/>
      </c>
      <c r="JI19" s="40" t="str">
        <f t="shared" si="111"/>
        <v/>
      </c>
      <c r="JJ19" s="40" t="str">
        <f t="shared" si="112"/>
        <v/>
      </c>
      <c r="JK19" s="40" t="str">
        <f t="shared" si="113"/>
        <v/>
      </c>
      <c r="JL19" s="40" t="str">
        <f t="shared" si="114"/>
        <v/>
      </c>
      <c r="JM19" s="40" t="str">
        <f t="shared" si="115"/>
        <v/>
      </c>
      <c r="JN19" s="40" t="str">
        <f t="shared" si="116"/>
        <v/>
      </c>
      <c r="JO19" s="40" t="str">
        <f t="shared" si="117"/>
        <v/>
      </c>
      <c r="JP19" s="18"/>
      <c r="JQ19" s="18"/>
      <c r="JR19" s="18"/>
      <c r="JS19" s="18"/>
      <c r="JT19" s="18"/>
      <c r="JU19" s="18"/>
      <c r="JV19" s="18"/>
      <c r="JW19" s="18"/>
      <c r="JX19" s="18"/>
      <c r="JY19" s="18"/>
      <c r="JZ19" s="18"/>
      <c r="KA19" s="18"/>
      <c r="KB19" s="18"/>
      <c r="KC19" s="18"/>
      <c r="KD19" s="18"/>
      <c r="KE19" s="18"/>
      <c r="KF19" s="18"/>
      <c r="KG19" s="18"/>
      <c r="KH19" s="18"/>
      <c r="KI19" s="18"/>
      <c r="KJ19" s="11" t="str">
        <f t="shared" si="118"/>
        <v/>
      </c>
      <c r="KK19" s="11" t="str">
        <f t="shared" si="119"/>
        <v/>
      </c>
      <c r="KL19" s="11" t="str">
        <f t="shared" si="120"/>
        <v/>
      </c>
      <c r="KM19" s="11" t="str">
        <f t="shared" si="121"/>
        <v/>
      </c>
      <c r="KN19" s="11" t="str">
        <f t="shared" si="122"/>
        <v/>
      </c>
      <c r="KO19" s="11" t="str">
        <f t="shared" si="123"/>
        <v/>
      </c>
      <c r="KP19" s="11" t="str">
        <f t="shared" si="124"/>
        <v/>
      </c>
      <c r="KQ19" s="11" t="str">
        <f t="shared" si="125"/>
        <v/>
      </c>
      <c r="KR19" s="11" t="str">
        <f t="shared" si="126"/>
        <v/>
      </c>
      <c r="KS19" s="11" t="str">
        <f t="shared" si="127"/>
        <v/>
      </c>
      <c r="KT19" s="11" t="str">
        <f t="shared" si="128"/>
        <v/>
      </c>
      <c r="KU19" s="11" t="str">
        <f t="shared" si="129"/>
        <v/>
      </c>
      <c r="KV19" s="11" t="str">
        <f t="shared" si="130"/>
        <v/>
      </c>
      <c r="KW19" s="11" t="str">
        <f t="shared" si="131"/>
        <v/>
      </c>
      <c r="KX19" s="17"/>
      <c r="KY19" s="17"/>
      <c r="KZ19" s="17"/>
      <c r="LA19" s="17"/>
      <c r="LB19" s="17"/>
      <c r="LC19" s="17"/>
      <c r="LD19" s="17"/>
      <c r="LE19" s="17"/>
      <c r="LF19" s="17"/>
      <c r="LG19" s="17"/>
      <c r="LH19" s="17"/>
      <c r="LI19" s="17"/>
      <c r="LJ19" s="17"/>
      <c r="LK19" s="17"/>
      <c r="LL19" s="17"/>
      <c r="LM19" s="17"/>
      <c r="LN19" s="17"/>
      <c r="LO19" s="17"/>
      <c r="LP19" s="17"/>
      <c r="LQ19" s="17"/>
      <c r="LR19" s="40" t="str">
        <f t="shared" si="132"/>
        <v/>
      </c>
      <c r="LS19" s="40" t="str">
        <f t="shared" si="133"/>
        <v/>
      </c>
      <c r="LT19" s="40" t="str">
        <f t="shared" si="134"/>
        <v/>
      </c>
      <c r="LU19" s="40" t="str">
        <f t="shared" si="135"/>
        <v/>
      </c>
      <c r="LV19" s="40" t="str">
        <f t="shared" si="136"/>
        <v/>
      </c>
      <c r="LW19" s="40" t="str">
        <f t="shared" si="137"/>
        <v/>
      </c>
      <c r="LX19" s="40" t="str">
        <f t="shared" si="138"/>
        <v/>
      </c>
      <c r="LY19" s="40" t="str">
        <f t="shared" si="139"/>
        <v/>
      </c>
      <c r="LZ19" s="40" t="str">
        <f t="shared" si="140"/>
        <v/>
      </c>
      <c r="MA19" s="40" t="str">
        <f t="shared" si="141"/>
        <v/>
      </c>
      <c r="MB19" s="40" t="str">
        <f t="shared" si="142"/>
        <v/>
      </c>
      <c r="MC19" s="40" t="str">
        <f t="shared" si="143"/>
        <v/>
      </c>
      <c r="MD19" s="40" t="str">
        <f t="shared" si="144"/>
        <v/>
      </c>
      <c r="ME19" s="40" t="str">
        <f t="shared" si="145"/>
        <v/>
      </c>
      <c r="MF19" s="18"/>
      <c r="MG19" s="18"/>
      <c r="MH19" s="18"/>
      <c r="MI19" s="18"/>
      <c r="MJ19" s="18"/>
      <c r="MK19" s="18"/>
      <c r="ML19" s="18"/>
      <c r="MM19" s="18"/>
      <c r="MN19" s="18"/>
      <c r="MO19" s="18"/>
      <c r="MP19" s="18"/>
      <c r="MQ19" s="18"/>
      <c r="MR19" s="18"/>
      <c r="MS19" s="18"/>
      <c r="MT19" s="18"/>
      <c r="MU19" s="18"/>
      <c r="MV19" s="18"/>
      <c r="MW19" s="18"/>
      <c r="MX19" s="18"/>
      <c r="MY19" s="18"/>
      <c r="MZ19" s="11" t="str">
        <f t="shared" si="146"/>
        <v/>
      </c>
      <c r="NA19" s="11" t="str">
        <f t="shared" si="147"/>
        <v/>
      </c>
      <c r="NB19" s="11" t="str">
        <f t="shared" si="148"/>
        <v/>
      </c>
      <c r="NC19" s="11" t="str">
        <f t="shared" si="149"/>
        <v/>
      </c>
      <c r="ND19" s="11" t="str">
        <f t="shared" si="150"/>
        <v/>
      </c>
      <c r="NE19" s="11" t="str">
        <f t="shared" si="151"/>
        <v/>
      </c>
      <c r="NF19" s="11" t="str">
        <f t="shared" si="152"/>
        <v/>
      </c>
      <c r="NG19" s="11" t="str">
        <f t="shared" si="153"/>
        <v/>
      </c>
      <c r="NH19" s="11" t="str">
        <f t="shared" si="154"/>
        <v/>
      </c>
      <c r="NI19" s="11" t="str">
        <f t="shared" si="155"/>
        <v/>
      </c>
      <c r="NJ19" s="11" t="str">
        <f t="shared" si="156"/>
        <v/>
      </c>
      <c r="NK19" s="11" t="str">
        <f t="shared" si="157"/>
        <v/>
      </c>
      <c r="NL19" s="11" t="str">
        <f t="shared" si="158"/>
        <v/>
      </c>
      <c r="NM19" s="11" t="str">
        <f t="shared" si="159"/>
        <v/>
      </c>
      <c r="NN19" s="17"/>
      <c r="NO19" s="17"/>
      <c r="NP19" s="17"/>
      <c r="NQ19" s="17"/>
      <c r="NR19" s="17"/>
      <c r="NS19" s="17"/>
      <c r="NT19" s="17"/>
      <c r="NU19" s="17"/>
      <c r="NV19" s="17"/>
      <c r="NW19" s="17"/>
      <c r="NX19" s="17"/>
      <c r="NY19" s="17"/>
      <c r="NZ19" s="17"/>
      <c r="OA19" s="17"/>
      <c r="OB19" s="17"/>
      <c r="OC19" s="17"/>
      <c r="OD19" s="17"/>
      <c r="OE19" s="17"/>
      <c r="OF19" s="17"/>
      <c r="OG19" s="17"/>
      <c r="OH19" s="40" t="str">
        <f t="shared" si="160"/>
        <v/>
      </c>
      <c r="OI19" s="40" t="str">
        <f t="shared" si="161"/>
        <v/>
      </c>
      <c r="OJ19" s="40" t="str">
        <f t="shared" si="162"/>
        <v/>
      </c>
      <c r="OK19" s="40" t="str">
        <f t="shared" si="163"/>
        <v/>
      </c>
      <c r="OL19" s="40" t="str">
        <f t="shared" si="164"/>
        <v/>
      </c>
      <c r="OM19" s="40" t="str">
        <f t="shared" si="165"/>
        <v/>
      </c>
      <c r="ON19" s="40" t="str">
        <f t="shared" si="166"/>
        <v/>
      </c>
      <c r="OO19" s="40" t="str">
        <f t="shared" si="167"/>
        <v/>
      </c>
      <c r="OP19" s="40" t="str">
        <f t="shared" si="168"/>
        <v/>
      </c>
      <c r="OQ19" s="40" t="str">
        <f t="shared" si="169"/>
        <v/>
      </c>
      <c r="OR19" s="40" t="str">
        <f t="shared" si="170"/>
        <v/>
      </c>
      <c r="OS19" s="40" t="str">
        <f t="shared" si="171"/>
        <v/>
      </c>
      <c r="OT19" s="40" t="str">
        <f t="shared" si="172"/>
        <v/>
      </c>
      <c r="OU19" s="40" t="str">
        <f t="shared" si="173"/>
        <v/>
      </c>
      <c r="OV19" s="18"/>
      <c r="OW19" s="18"/>
      <c r="OX19" s="18"/>
      <c r="OY19" s="18"/>
      <c r="OZ19" s="18"/>
      <c r="PA19" s="18"/>
      <c r="PB19" s="18"/>
      <c r="PC19" s="18"/>
      <c r="PD19" s="18"/>
      <c r="PE19" s="18"/>
      <c r="PF19" s="18"/>
      <c r="PG19" s="18"/>
      <c r="PH19" s="18"/>
      <c r="PI19" s="18"/>
      <c r="PJ19" s="18"/>
      <c r="PK19" s="18"/>
      <c r="PL19" s="18"/>
      <c r="PM19" s="18"/>
      <c r="PN19" s="18"/>
      <c r="PO19" s="18"/>
      <c r="PP19" s="11" t="str">
        <f t="shared" si="174"/>
        <v/>
      </c>
      <c r="PQ19" s="11" t="str">
        <f t="shared" si="175"/>
        <v/>
      </c>
      <c r="PR19" s="11" t="str">
        <f t="shared" si="176"/>
        <v/>
      </c>
      <c r="PS19" s="11" t="str">
        <f t="shared" si="177"/>
        <v/>
      </c>
      <c r="PT19" s="11" t="str">
        <f t="shared" si="178"/>
        <v/>
      </c>
      <c r="PU19" s="11" t="str">
        <f t="shared" si="179"/>
        <v/>
      </c>
      <c r="PV19" s="11" t="str">
        <f t="shared" si="180"/>
        <v/>
      </c>
      <c r="PW19" s="11" t="str">
        <f t="shared" si="181"/>
        <v/>
      </c>
      <c r="PX19" s="11" t="str">
        <f t="shared" si="182"/>
        <v/>
      </c>
      <c r="PY19" s="11" t="str">
        <f t="shared" si="183"/>
        <v/>
      </c>
      <c r="PZ19" s="11" t="str">
        <f t="shared" si="184"/>
        <v/>
      </c>
      <c r="QA19" s="11" t="str">
        <f t="shared" si="185"/>
        <v/>
      </c>
      <c r="QB19" s="11" t="str">
        <f t="shared" si="186"/>
        <v/>
      </c>
      <c r="QC19" s="11" t="str">
        <f t="shared" si="187"/>
        <v/>
      </c>
      <c r="QD19" s="17"/>
      <c r="QE19" s="17"/>
      <c r="QF19" s="17"/>
      <c r="QG19" s="17"/>
      <c r="QH19" s="17"/>
      <c r="QI19" s="17"/>
      <c r="QJ19" s="17"/>
      <c r="QK19" s="17"/>
      <c r="QL19" s="17"/>
      <c r="QM19" s="17"/>
      <c r="QN19" s="17"/>
      <c r="QO19" s="17"/>
      <c r="QP19" s="17"/>
      <c r="QQ19" s="17"/>
      <c r="QR19" s="17"/>
      <c r="QS19" s="17"/>
      <c r="QT19" s="17"/>
      <c r="QU19" s="17"/>
      <c r="QV19" s="17"/>
      <c r="QW19" s="17"/>
      <c r="QX19" s="40" t="str">
        <f t="shared" si="188"/>
        <v/>
      </c>
      <c r="QY19" s="40" t="str">
        <f t="shared" si="189"/>
        <v/>
      </c>
      <c r="QZ19" s="40" t="str">
        <f t="shared" si="190"/>
        <v/>
      </c>
      <c r="RA19" s="40" t="str">
        <f t="shared" si="191"/>
        <v/>
      </c>
      <c r="RB19" s="40" t="str">
        <f t="shared" si="192"/>
        <v/>
      </c>
      <c r="RC19" s="40" t="str">
        <f t="shared" si="193"/>
        <v/>
      </c>
      <c r="RD19" s="40" t="str">
        <f t="shared" si="194"/>
        <v/>
      </c>
      <c r="RE19" s="40" t="str">
        <f t="shared" si="195"/>
        <v/>
      </c>
      <c r="RF19" s="40" t="str">
        <f t="shared" si="196"/>
        <v/>
      </c>
      <c r="RG19" s="40" t="str">
        <f t="shared" si="197"/>
        <v/>
      </c>
      <c r="RH19" s="40" t="str">
        <f t="shared" si="198"/>
        <v/>
      </c>
      <c r="RI19" s="40" t="str">
        <f t="shared" si="199"/>
        <v/>
      </c>
      <c r="RJ19" s="40" t="str">
        <f t="shared" si="200"/>
        <v/>
      </c>
      <c r="RK19" s="40" t="str">
        <f t="shared" si="201"/>
        <v/>
      </c>
      <c r="RL19" s="18"/>
      <c r="RM19" s="18"/>
      <c r="RN19" s="18"/>
      <c r="RO19" s="18"/>
      <c r="RP19" s="18"/>
      <c r="RQ19" s="18"/>
      <c r="RR19" s="18"/>
      <c r="RS19" s="18"/>
      <c r="RT19" s="18"/>
      <c r="RU19" s="18"/>
      <c r="RV19" s="18"/>
      <c r="RW19" s="18"/>
      <c r="RX19" s="18"/>
      <c r="RY19" s="18"/>
      <c r="RZ19" s="18"/>
      <c r="SA19" s="18"/>
      <c r="SB19" s="18"/>
      <c r="SC19" s="18"/>
      <c r="SD19" s="18"/>
      <c r="SE19" s="18"/>
      <c r="SF19" s="11" t="str">
        <f t="shared" si="202"/>
        <v/>
      </c>
      <c r="SG19" s="11" t="str">
        <f t="shared" si="203"/>
        <v/>
      </c>
      <c r="SH19" s="11" t="str">
        <f t="shared" si="204"/>
        <v/>
      </c>
      <c r="SI19" s="11" t="str">
        <f t="shared" si="205"/>
        <v/>
      </c>
      <c r="SJ19" s="11" t="str">
        <f t="shared" si="206"/>
        <v/>
      </c>
      <c r="SK19" s="11" t="str">
        <f t="shared" si="207"/>
        <v/>
      </c>
      <c r="SL19" s="11" t="str">
        <f t="shared" si="208"/>
        <v/>
      </c>
      <c r="SM19" s="11" t="str">
        <f t="shared" si="209"/>
        <v/>
      </c>
      <c r="SN19" s="11" t="str">
        <f t="shared" si="210"/>
        <v/>
      </c>
      <c r="SO19" s="11" t="str">
        <f t="shared" si="211"/>
        <v/>
      </c>
      <c r="SP19" s="11" t="str">
        <f t="shared" si="212"/>
        <v/>
      </c>
      <c r="SQ19" s="11" t="str">
        <f t="shared" si="213"/>
        <v/>
      </c>
      <c r="SR19" s="11" t="str">
        <f t="shared" si="214"/>
        <v/>
      </c>
      <c r="SS19" s="11" t="str">
        <f t="shared" si="215"/>
        <v/>
      </c>
      <c r="ST19" s="22">
        <f t="shared" si="216"/>
        <v>0.6</v>
      </c>
      <c r="SU19" s="22">
        <f t="shared" si="217"/>
        <v>0.4</v>
      </c>
      <c r="SV19" s="22">
        <f t="shared" si="218"/>
        <v>0.75</v>
      </c>
      <c r="SW19" s="22">
        <f t="shared" si="219"/>
        <v>0.66</v>
      </c>
      <c r="SX19" s="22">
        <f t="shared" si="220"/>
        <v>0</v>
      </c>
      <c r="SY19" s="22">
        <f t="shared" si="221"/>
        <v>5.8</v>
      </c>
      <c r="SZ19" s="22">
        <f t="shared" si="222"/>
        <v>4.1500000000000004</v>
      </c>
      <c r="TA19" s="22">
        <f t="shared" si="223"/>
        <v>4.25</v>
      </c>
      <c r="TB19" s="22">
        <f t="shared" si="224"/>
        <v>5.5549999999999997</v>
      </c>
      <c r="TC19" s="22">
        <f t="shared" si="225"/>
        <v>0</v>
      </c>
      <c r="TD19" s="22">
        <f t="shared" si="226"/>
        <v>0</v>
      </c>
      <c r="TE19" s="22">
        <f t="shared" si="227"/>
        <v>0</v>
      </c>
      <c r="TF19" s="22">
        <f t="shared" si="228"/>
        <v>0</v>
      </c>
      <c r="TG19" s="22">
        <f t="shared" si="229"/>
        <v>0</v>
      </c>
      <c r="TH19" s="22">
        <f t="shared" si="230"/>
        <v>0</v>
      </c>
      <c r="TI19" s="27" t="s">
        <v>46</v>
      </c>
      <c r="TJ19" s="40">
        <f t="shared" si="231"/>
        <v>0.75</v>
      </c>
      <c r="TK19" s="40">
        <f t="shared" si="232"/>
        <v>0.66</v>
      </c>
      <c r="TL19" s="40">
        <f t="shared" si="233"/>
        <v>2.41</v>
      </c>
      <c r="TM19" s="40">
        <f t="shared" si="234"/>
        <v>4.25</v>
      </c>
      <c r="TN19" s="40">
        <f t="shared" si="235"/>
        <v>5.5549999999999997</v>
      </c>
      <c r="TO19" s="40">
        <f t="shared" si="236"/>
        <v>19.754999999999999</v>
      </c>
      <c r="TP19" s="40">
        <f t="shared" si="237"/>
        <v>19.754999999999999</v>
      </c>
      <c r="TQ19" s="40" t="str">
        <f t="shared" si="238"/>
        <v/>
      </c>
      <c r="TR19" s="40" t="str">
        <f t="shared" si="239"/>
        <v/>
      </c>
      <c r="TS19" s="40" t="str">
        <f t="shared" si="240"/>
        <v/>
      </c>
      <c r="TT19" s="40">
        <f t="shared" si="241"/>
        <v>19.754999999999999</v>
      </c>
    </row>
    <row r="20" spans="1:540" x14ac:dyDescent="0.2">
      <c r="A20" s="4" t="str" cm="1">
        <f t="array" ref="A20">IF(AND(F20&lt;&gt;"",G20&lt;&gt;""),SUMPRODUCT((F$4:F$32&lt;&gt;"")*(G$4:G$32&lt;&gt;"")*(E$4:E$32&gt;E20))+1,IF(G20&lt;&gt;"",SUMPRODUCT((H$4:H$32="No DD")*(E$4:E$32&gt;E20))+1+SUMPRODUCT((F$4:F$32&lt;&gt;"")*(G$4:G$32&lt;&gt;"")),""))</f>
        <v/>
      </c>
      <c r="B20" s="5" t="s">
        <v>73</v>
      </c>
      <c r="C20" s="4" t="s">
        <v>5</v>
      </c>
      <c r="D20" s="4">
        <v>2003</v>
      </c>
      <c r="E20" s="9">
        <f t="shared" si="0"/>
        <v>84.480005580004587</v>
      </c>
      <c r="F20" s="3" t="str">
        <f t="shared" si="1"/>
        <v/>
      </c>
      <c r="G20" s="3" t="str">
        <f t="shared" si="2"/>
        <v/>
      </c>
      <c r="H20" s="36" t="str">
        <f t="shared" si="3"/>
        <v/>
      </c>
      <c r="I20" s="3" t="str">
        <f t="shared" si="4"/>
        <v/>
      </c>
      <c r="J20" s="8">
        <f>IF(COUNT(AO20,AR20,BP20,BS20,CQ20,CT20)&gt;0,LARGE((AO20,AR20,BP20,BS20,CQ20,CT20),1),0)</f>
        <v>45.9</v>
      </c>
      <c r="K20" s="8" t="str">
        <f t="shared" si="5"/>
        <v>2022 Nationals</v>
      </c>
      <c r="L20" s="8">
        <f>IF(COUNT(AO20,AR20,BP20,BS20,CQ20,CT20)&gt;1,LARGE((AO20,AR20,BP20,BS20,CQ20,CT20),2),0)</f>
        <v>0</v>
      </c>
      <c r="M20" s="8" t="str">
        <f t="shared" si="6"/>
        <v/>
      </c>
      <c r="N20" s="8">
        <f>IF(COUNT(AO20,AR20,BP20,BS20,CQ20,CT20)&gt;2,LARGE((AO20,AR20,BP20,BS20,CQ20,CT20),3),0)</f>
        <v>0</v>
      </c>
      <c r="O20" s="8" t="str">
        <f t="shared" si="242"/>
        <v/>
      </c>
      <c r="P20" s="8">
        <f t="shared" si="7"/>
        <v>9.9</v>
      </c>
      <c r="Q20" s="8" t="str">
        <f t="shared" si="8"/>
        <v>2022 Nationals</v>
      </c>
      <c r="R20" s="8">
        <f t="shared" si="9"/>
        <v>0</v>
      </c>
      <c r="S20" s="8" t="str">
        <f t="shared" si="10"/>
        <v/>
      </c>
      <c r="T20" s="8">
        <f t="shared" si="11"/>
        <v>28.68</v>
      </c>
      <c r="U20" s="11" t="str">
        <f t="shared" si="12"/>
        <v>(Optional)</v>
      </c>
      <c r="V20" s="8" t="str">
        <f>IF(T20="","",IF(T20=CZ20,IF(T20+IF(N20="",0,N20)=SL20,$RL$1,IF(T20+IF(N20="",0,N20)=RD20,$QD$1,IF(T20+IF(N20="",0,N20)=PV20,$OV$1,IF(T20+IF(N20="",0,N20)=ON20,$NN$1,IF(T20+IF(N20="",0,N20)=NF20,$MF$1,IF(T20+IF(N20="",0,N20)=LX20,$KX$1,IF(T20+IF(N20="",0,N20)=KP20,$JP$1,IF(T20+IF(N20="",0,N20)=JH20,$IH$1,IF(T20+IF(N20="",0,N20)=HZ20,$GZ$1,IF(T20+IF(N20="",0,N20)=GR20,$FR$1,IF(T20+IF(N20="",0,N20)=FJ20,$EJ$1,IF(T20+IF(N20="",0,N20)=EB20,$DB$1)))))))))))),IF(T20=DA20,IF(T20+IF(#REF!="",0,#REF!)=SR20,$RL$1,IF(T20+IF(#REF!="",0,#REF!)=RJ20,$QD$1,IF(T20+IF(#REF!="",0,#REF!)=QB20,$OV$1,IF(T20+IF(#REF!="",0,#REF!)=OT20,$NN$1,IF(T20+IF(#REF!="",0,#REF!)=NL20,$MF$1,IF(T20+IF(#REF!="",0,#REF!)=MD20,$KX$1,IF(T20+IF(#REF!="",0,#REF!)=KV20,$JP$1,IF(T20+IF(#REF!="",0,#REF!)=JN20,$IH$1,IF(T20+IF(#REF!="",0,#REF!)=IF20,$GZ$1,IF(T20+IF(#REF!="",0,#REF!)=GX20,$FR$1,IF(T20+IF(#REF!="",0,#REF!)=FP20,$EJ$1,IF(T20+IF(#REF!="",0,#REF!)=EH20,$DB$1,IF(T20+IF(#REF!="",0,#REF!)=SO20,$RL$1,IF(T20+IF(#REF!="",0,#REF!)=RG20,$QD$1,IF(T20+IF(#REF!="",0,#REF!)=PY20,$OV$1,IF(T20+IF(#REF!="",0,#REF!)=OQ20,$NN$1,IF(T20+IF(#REF!="",0,#REF!)=NI20,$MF$1,IF(T20+IF(#REF!="",0,#REF!)=MA20,$KX$1,IF(T20+IF(#REF!="",0,#REF!)=KS20,$JP$1,IF(T20+IF(#REF!="",0,#REF!)=JK20,$IH$1,IF(T20+IF(#REF!="",0,#REF!)=IC20,$GZ$1,IF(T20+IF(#REF!="",0,#REF!)=GU20,$FR$1,IF(T20+IF(#REF!="",0,#REF!)=FM20,$EJ$1,IF(T20+IF(#REF!="",0,#REF!)=EE20,$DB$1)))))))))))))))))))))))))))</f>
        <v>2022 Coimbra Gym Fest (June 26)</v>
      </c>
      <c r="W20" s="22">
        <v>13.7</v>
      </c>
      <c r="X20" s="22">
        <v>9.3000000000000007</v>
      </c>
      <c r="Y20" s="22">
        <v>9.9</v>
      </c>
      <c r="Z20" s="22">
        <v>13</v>
      </c>
      <c r="AA20" s="22">
        <v>0</v>
      </c>
      <c r="AB20" s="22"/>
      <c r="AC20" s="22"/>
      <c r="AD20" s="22"/>
      <c r="AE20" s="22"/>
      <c r="AF20" s="22"/>
      <c r="AG20" s="22">
        <v>4.4000000000000004</v>
      </c>
      <c r="AH20" s="22">
        <v>2.5</v>
      </c>
      <c r="AI20" s="22">
        <v>3.1</v>
      </c>
      <c r="AJ20" s="22">
        <v>4.08</v>
      </c>
      <c r="AK20" s="22">
        <v>0</v>
      </c>
      <c r="AL20" s="27"/>
      <c r="AM20" s="38">
        <f t="shared" si="13"/>
        <v>9.9</v>
      </c>
      <c r="AN20" s="38">
        <f t="shared" si="14"/>
        <v>13</v>
      </c>
      <c r="AO20" s="40">
        <f t="shared" si="15"/>
        <v>45.9</v>
      </c>
      <c r="AP20" s="40" t="str">
        <f t="shared" si="16"/>
        <v/>
      </c>
      <c r="AQ20" s="40" t="str">
        <f t="shared" si="17"/>
        <v/>
      </c>
      <c r="AR20" s="40" t="str">
        <f t="shared" si="18"/>
        <v/>
      </c>
      <c r="AS20" s="40">
        <f t="shared" si="19"/>
        <v>45.9</v>
      </c>
      <c r="AT20" s="40">
        <f t="shared" si="20"/>
        <v>3.1</v>
      </c>
      <c r="AU20" s="40">
        <f t="shared" si="21"/>
        <v>4.08</v>
      </c>
      <c r="AV20" s="40">
        <f t="shared" si="22"/>
        <v>14.08</v>
      </c>
      <c r="AW20" s="40">
        <f t="shared" si="23"/>
        <v>59.98</v>
      </c>
      <c r="AX20" s="26"/>
      <c r="AY20" s="26"/>
      <c r="AZ20" s="26"/>
      <c r="BA20" s="26"/>
      <c r="BB20" s="26"/>
      <c r="BC20" s="26"/>
      <c r="BD20" s="26"/>
      <c r="BE20" s="26"/>
      <c r="BF20" s="26"/>
      <c r="BG20" s="26"/>
      <c r="BH20" s="26"/>
      <c r="BI20" s="26"/>
      <c r="BJ20" s="26"/>
      <c r="BK20" s="26"/>
      <c r="BL20" s="26"/>
      <c r="BM20" s="28"/>
      <c r="BN20" s="39" t="str">
        <f t="shared" si="24"/>
        <v/>
      </c>
      <c r="BO20" s="39" t="str">
        <f t="shared" si="25"/>
        <v/>
      </c>
      <c r="BP20" s="11" t="str">
        <f t="shared" si="26"/>
        <v/>
      </c>
      <c r="BQ20" s="11" t="str">
        <f t="shared" si="27"/>
        <v/>
      </c>
      <c r="BR20" s="11" t="str">
        <f t="shared" si="28"/>
        <v/>
      </c>
      <c r="BS20" s="11" t="str">
        <f t="shared" si="29"/>
        <v/>
      </c>
      <c r="BT20" s="11" t="str">
        <f t="shared" si="30"/>
        <v/>
      </c>
      <c r="BU20" s="11" t="str">
        <f t="shared" si="31"/>
        <v/>
      </c>
      <c r="BV20" s="11" t="str">
        <f t="shared" si="32"/>
        <v/>
      </c>
      <c r="BW20" s="11" t="str">
        <f t="shared" si="33"/>
        <v/>
      </c>
      <c r="BX20" s="11" t="str">
        <f t="shared" si="34"/>
        <v/>
      </c>
      <c r="BY20" s="22"/>
      <c r="BZ20" s="22"/>
      <c r="CA20" s="22"/>
      <c r="CB20" s="22"/>
      <c r="CC20" s="22"/>
      <c r="CD20" s="22"/>
      <c r="CE20" s="22"/>
      <c r="CF20" s="22"/>
      <c r="CG20" s="22"/>
      <c r="CH20" s="22"/>
      <c r="CI20" s="22"/>
      <c r="CJ20" s="22"/>
      <c r="CK20" s="22"/>
      <c r="CL20" s="22"/>
      <c r="CM20" s="22"/>
      <c r="CN20" s="27"/>
      <c r="CO20" s="38" t="str">
        <f t="shared" si="35"/>
        <v/>
      </c>
      <c r="CP20" s="38" t="str">
        <f t="shared" si="36"/>
        <v/>
      </c>
      <c r="CQ20" s="40" t="str">
        <f t="shared" si="37"/>
        <v/>
      </c>
      <c r="CR20" s="40" t="str">
        <f t="shared" si="38"/>
        <v/>
      </c>
      <c r="CS20" s="40" t="str">
        <f t="shared" si="39"/>
        <v/>
      </c>
      <c r="CT20" s="40" t="str">
        <f t="shared" si="40"/>
        <v/>
      </c>
      <c r="CU20" s="40" t="str">
        <f t="shared" si="41"/>
        <v/>
      </c>
      <c r="CV20" s="40" t="str">
        <f t="shared" si="42"/>
        <v/>
      </c>
      <c r="CW20" s="40" t="str">
        <f t="shared" si="43"/>
        <v/>
      </c>
      <c r="CX20" s="40" t="str">
        <f t="shared" si="44"/>
        <v/>
      </c>
      <c r="CY20" s="40" t="str">
        <f t="shared" si="45"/>
        <v/>
      </c>
      <c r="CZ20" s="50">
        <f t="shared" si="46"/>
        <v>28.68</v>
      </c>
      <c r="DA20" s="50" t="str">
        <f t="shared" si="47"/>
        <v/>
      </c>
      <c r="DB20" s="17">
        <v>8.8000000000000007</v>
      </c>
      <c r="DC20" s="17">
        <v>6.2</v>
      </c>
      <c r="DD20" s="17">
        <v>4.9000000000000004</v>
      </c>
      <c r="DE20" s="17">
        <v>8.7799999999999994</v>
      </c>
      <c r="DF20" s="17">
        <v>0</v>
      </c>
      <c r="DG20" s="17">
        <v>1.3</v>
      </c>
      <c r="DH20" s="17">
        <v>1</v>
      </c>
      <c r="DI20" s="17">
        <v>1.3</v>
      </c>
      <c r="DJ20" s="17">
        <v>1.39</v>
      </c>
      <c r="DK20" s="17">
        <v>0</v>
      </c>
      <c r="DL20" s="17"/>
      <c r="DM20" s="17"/>
      <c r="DN20" s="17"/>
      <c r="DO20" s="17"/>
      <c r="DP20" s="17"/>
      <c r="DQ20" s="17"/>
      <c r="DR20" s="17"/>
      <c r="DS20" s="17"/>
      <c r="DT20" s="17"/>
      <c r="DU20" s="17"/>
      <c r="DV20" s="40">
        <f t="shared" si="48"/>
        <v>4.9000000000000004</v>
      </c>
      <c r="DW20" s="40">
        <f t="shared" si="49"/>
        <v>8.7799999999999994</v>
      </c>
      <c r="DX20" s="40">
        <f t="shared" si="50"/>
        <v>28.68</v>
      </c>
      <c r="DY20" s="40">
        <f t="shared" si="51"/>
        <v>1.3</v>
      </c>
      <c r="DZ20" s="40">
        <f t="shared" si="52"/>
        <v>1.39</v>
      </c>
      <c r="EA20" s="40">
        <f t="shared" si="53"/>
        <v>4.9899999999999993</v>
      </c>
      <c r="EB20" s="40">
        <f t="shared" si="54"/>
        <v>28.68</v>
      </c>
      <c r="EC20" s="40" t="str">
        <f t="shared" si="55"/>
        <v/>
      </c>
      <c r="ED20" s="40" t="str">
        <f t="shared" si="56"/>
        <v/>
      </c>
      <c r="EE20" s="40" t="str">
        <f t="shared" si="57"/>
        <v/>
      </c>
      <c r="EF20" s="40" t="str">
        <f t="shared" si="58"/>
        <v/>
      </c>
      <c r="EG20" s="40" t="str">
        <f t="shared" si="59"/>
        <v/>
      </c>
      <c r="EH20" s="40" t="str">
        <f t="shared" si="60"/>
        <v/>
      </c>
      <c r="EI20" s="40">
        <f t="shared" si="61"/>
        <v>28.68</v>
      </c>
      <c r="EJ20" s="18"/>
      <c r="EK20" s="18"/>
      <c r="EL20" s="18"/>
      <c r="EM20" s="18"/>
      <c r="EN20" s="18"/>
      <c r="EO20" s="18"/>
      <c r="EP20" s="18"/>
      <c r="EQ20" s="18"/>
      <c r="ER20" s="18"/>
      <c r="ES20" s="18"/>
      <c r="ET20" s="18"/>
      <c r="EU20" s="18"/>
      <c r="EV20" s="18"/>
      <c r="EW20" s="18"/>
      <c r="EX20" s="18"/>
      <c r="EY20" s="18"/>
      <c r="EZ20" s="18"/>
      <c r="FA20" s="18"/>
      <c r="FB20" s="18"/>
      <c r="FC20" s="18"/>
      <c r="FD20" s="11" t="str">
        <f t="shared" si="62"/>
        <v/>
      </c>
      <c r="FE20" s="11" t="str">
        <f t="shared" si="63"/>
        <v/>
      </c>
      <c r="FF20" s="11" t="str">
        <f t="shared" si="64"/>
        <v/>
      </c>
      <c r="FG20" s="11" t="str">
        <f t="shared" si="65"/>
        <v/>
      </c>
      <c r="FH20" s="11" t="str">
        <f t="shared" si="66"/>
        <v/>
      </c>
      <c r="FI20" s="11" t="str">
        <f t="shared" si="67"/>
        <v/>
      </c>
      <c r="FJ20" s="11" t="str">
        <f t="shared" si="68"/>
        <v/>
      </c>
      <c r="FK20" s="11" t="str">
        <f t="shared" si="69"/>
        <v/>
      </c>
      <c r="FL20" s="11" t="str">
        <f t="shared" si="70"/>
        <v/>
      </c>
      <c r="FM20" s="11" t="str">
        <f t="shared" si="71"/>
        <v/>
      </c>
      <c r="FN20" s="11" t="str">
        <f t="shared" si="72"/>
        <v/>
      </c>
      <c r="FO20" s="11" t="str">
        <f t="shared" si="73"/>
        <v/>
      </c>
      <c r="FP20" s="11" t="str">
        <f t="shared" si="74"/>
        <v/>
      </c>
      <c r="FQ20" s="11" t="str">
        <f t="shared" si="75"/>
        <v/>
      </c>
      <c r="FR20" s="17"/>
      <c r="FS20" s="17"/>
      <c r="FT20" s="17"/>
      <c r="FU20" s="17"/>
      <c r="FV20" s="17"/>
      <c r="FW20" s="17"/>
      <c r="FX20" s="17"/>
      <c r="FY20" s="17"/>
      <c r="FZ20" s="17"/>
      <c r="GA20" s="17"/>
      <c r="GB20" s="17"/>
      <c r="GC20" s="17"/>
      <c r="GD20" s="17"/>
      <c r="GE20" s="17"/>
      <c r="GF20" s="17"/>
      <c r="GG20" s="17"/>
      <c r="GH20" s="17"/>
      <c r="GI20" s="17"/>
      <c r="GJ20" s="17"/>
      <c r="GK20" s="17"/>
      <c r="GL20" s="40" t="str">
        <f t="shared" si="76"/>
        <v/>
      </c>
      <c r="GM20" s="40" t="str">
        <f t="shared" si="77"/>
        <v/>
      </c>
      <c r="GN20" s="40" t="str">
        <f t="shared" si="78"/>
        <v/>
      </c>
      <c r="GO20" s="40" t="str">
        <f t="shared" si="79"/>
        <v/>
      </c>
      <c r="GP20" s="40" t="str">
        <f t="shared" si="80"/>
        <v/>
      </c>
      <c r="GQ20" s="40" t="str">
        <f t="shared" si="81"/>
        <v/>
      </c>
      <c r="GR20" s="40" t="str">
        <f t="shared" si="82"/>
        <v/>
      </c>
      <c r="GS20" s="40" t="str">
        <f t="shared" si="83"/>
        <v/>
      </c>
      <c r="GT20" s="40" t="str">
        <f t="shared" si="84"/>
        <v/>
      </c>
      <c r="GU20" s="40" t="str">
        <f t="shared" si="85"/>
        <v/>
      </c>
      <c r="GV20" s="40" t="str">
        <f t="shared" si="86"/>
        <v/>
      </c>
      <c r="GW20" s="40" t="str">
        <f t="shared" si="87"/>
        <v/>
      </c>
      <c r="GX20" s="40" t="str">
        <f t="shared" si="88"/>
        <v/>
      </c>
      <c r="GY20" s="40" t="str">
        <f t="shared" si="89"/>
        <v/>
      </c>
      <c r="GZ20" s="18"/>
      <c r="HA20" s="18"/>
      <c r="HB20" s="18"/>
      <c r="HC20" s="18"/>
      <c r="HD20" s="18"/>
      <c r="HE20" s="18"/>
      <c r="HF20" s="18"/>
      <c r="HG20" s="18"/>
      <c r="HH20" s="18"/>
      <c r="HI20" s="18"/>
      <c r="HJ20" s="18"/>
      <c r="HK20" s="18"/>
      <c r="HL20" s="18"/>
      <c r="HM20" s="18"/>
      <c r="HN20" s="18"/>
      <c r="HO20" s="18"/>
      <c r="HP20" s="18"/>
      <c r="HQ20" s="18"/>
      <c r="HR20" s="18"/>
      <c r="HS20" s="18"/>
      <c r="HT20" s="11" t="str">
        <f t="shared" si="90"/>
        <v/>
      </c>
      <c r="HU20" s="11" t="str">
        <f t="shared" si="91"/>
        <v/>
      </c>
      <c r="HV20" s="11" t="str">
        <f t="shared" si="92"/>
        <v/>
      </c>
      <c r="HW20" s="11" t="str">
        <f t="shared" si="93"/>
        <v/>
      </c>
      <c r="HX20" s="11" t="str">
        <f t="shared" si="94"/>
        <v/>
      </c>
      <c r="HY20" s="11" t="str">
        <f t="shared" si="95"/>
        <v/>
      </c>
      <c r="HZ20" s="11" t="str">
        <f t="shared" si="96"/>
        <v/>
      </c>
      <c r="IA20" s="11" t="str">
        <f t="shared" si="97"/>
        <v/>
      </c>
      <c r="IB20" s="11" t="str">
        <f t="shared" si="98"/>
        <v/>
      </c>
      <c r="IC20" s="11" t="str">
        <f t="shared" si="99"/>
        <v/>
      </c>
      <c r="ID20" s="11" t="str">
        <f t="shared" si="100"/>
        <v/>
      </c>
      <c r="IE20" s="11" t="str">
        <f t="shared" si="101"/>
        <v/>
      </c>
      <c r="IF20" s="11" t="str">
        <f t="shared" si="102"/>
        <v/>
      </c>
      <c r="IG20" s="11" t="str">
        <f t="shared" si="103"/>
        <v/>
      </c>
      <c r="IH20" s="17"/>
      <c r="II20" s="17"/>
      <c r="IJ20" s="17"/>
      <c r="IK20" s="17"/>
      <c r="IL20" s="17"/>
      <c r="IM20" s="17"/>
      <c r="IN20" s="17"/>
      <c r="IO20" s="17"/>
      <c r="IP20" s="17"/>
      <c r="IQ20" s="17"/>
      <c r="IR20" s="17"/>
      <c r="IS20" s="17"/>
      <c r="IT20" s="17"/>
      <c r="IU20" s="17"/>
      <c r="IV20" s="17"/>
      <c r="IW20" s="17"/>
      <c r="IX20" s="17"/>
      <c r="IY20" s="17"/>
      <c r="IZ20" s="17"/>
      <c r="JA20" s="17"/>
      <c r="JB20" s="40" t="str">
        <f t="shared" si="104"/>
        <v/>
      </c>
      <c r="JC20" s="40" t="str">
        <f t="shared" si="105"/>
        <v/>
      </c>
      <c r="JD20" s="40" t="str">
        <f t="shared" si="106"/>
        <v/>
      </c>
      <c r="JE20" s="40" t="str">
        <f t="shared" si="107"/>
        <v/>
      </c>
      <c r="JF20" s="40" t="str">
        <f t="shared" si="108"/>
        <v/>
      </c>
      <c r="JG20" s="40" t="str">
        <f t="shared" si="109"/>
        <v/>
      </c>
      <c r="JH20" s="40" t="str">
        <f t="shared" si="110"/>
        <v/>
      </c>
      <c r="JI20" s="40" t="str">
        <f t="shared" si="111"/>
        <v/>
      </c>
      <c r="JJ20" s="40" t="str">
        <f t="shared" si="112"/>
        <v/>
      </c>
      <c r="JK20" s="40" t="str">
        <f t="shared" si="113"/>
        <v/>
      </c>
      <c r="JL20" s="40" t="str">
        <f t="shared" si="114"/>
        <v/>
      </c>
      <c r="JM20" s="40" t="str">
        <f t="shared" si="115"/>
        <v/>
      </c>
      <c r="JN20" s="40" t="str">
        <f t="shared" si="116"/>
        <v/>
      </c>
      <c r="JO20" s="40" t="str">
        <f t="shared" si="117"/>
        <v/>
      </c>
      <c r="JP20" s="18"/>
      <c r="JQ20" s="18"/>
      <c r="JR20" s="18"/>
      <c r="JS20" s="18"/>
      <c r="JT20" s="18"/>
      <c r="JU20" s="18"/>
      <c r="JV20" s="18"/>
      <c r="JW20" s="18"/>
      <c r="JX20" s="18"/>
      <c r="JY20" s="18"/>
      <c r="JZ20" s="18"/>
      <c r="KA20" s="18"/>
      <c r="KB20" s="18"/>
      <c r="KC20" s="18"/>
      <c r="KD20" s="18"/>
      <c r="KE20" s="18"/>
      <c r="KF20" s="18"/>
      <c r="KG20" s="18"/>
      <c r="KH20" s="18"/>
      <c r="KI20" s="18"/>
      <c r="KJ20" s="11" t="str">
        <f t="shared" si="118"/>
        <v/>
      </c>
      <c r="KK20" s="11" t="str">
        <f t="shared" si="119"/>
        <v/>
      </c>
      <c r="KL20" s="11" t="str">
        <f t="shared" si="120"/>
        <v/>
      </c>
      <c r="KM20" s="11" t="str">
        <f t="shared" si="121"/>
        <v/>
      </c>
      <c r="KN20" s="11" t="str">
        <f t="shared" si="122"/>
        <v/>
      </c>
      <c r="KO20" s="11" t="str">
        <f t="shared" si="123"/>
        <v/>
      </c>
      <c r="KP20" s="11" t="str">
        <f t="shared" si="124"/>
        <v/>
      </c>
      <c r="KQ20" s="11" t="str">
        <f t="shared" si="125"/>
        <v/>
      </c>
      <c r="KR20" s="11" t="str">
        <f t="shared" si="126"/>
        <v/>
      </c>
      <c r="KS20" s="11" t="str">
        <f t="shared" si="127"/>
        <v/>
      </c>
      <c r="KT20" s="11" t="str">
        <f t="shared" si="128"/>
        <v/>
      </c>
      <c r="KU20" s="11" t="str">
        <f t="shared" si="129"/>
        <v/>
      </c>
      <c r="KV20" s="11" t="str">
        <f t="shared" si="130"/>
        <v/>
      </c>
      <c r="KW20" s="11" t="str">
        <f t="shared" si="131"/>
        <v/>
      </c>
      <c r="KX20" s="17"/>
      <c r="KY20" s="17"/>
      <c r="KZ20" s="17"/>
      <c r="LA20" s="17"/>
      <c r="LB20" s="17"/>
      <c r="LC20" s="17"/>
      <c r="LD20" s="17"/>
      <c r="LE20" s="17"/>
      <c r="LF20" s="17"/>
      <c r="LG20" s="17"/>
      <c r="LH20" s="17"/>
      <c r="LI20" s="17"/>
      <c r="LJ20" s="17"/>
      <c r="LK20" s="17"/>
      <c r="LL20" s="17"/>
      <c r="LM20" s="17"/>
      <c r="LN20" s="17"/>
      <c r="LO20" s="17"/>
      <c r="LP20" s="17"/>
      <c r="LQ20" s="17"/>
      <c r="LR20" s="40" t="str">
        <f t="shared" si="132"/>
        <v/>
      </c>
      <c r="LS20" s="40" t="str">
        <f t="shared" si="133"/>
        <v/>
      </c>
      <c r="LT20" s="40" t="str">
        <f t="shared" si="134"/>
        <v/>
      </c>
      <c r="LU20" s="40" t="str">
        <f t="shared" si="135"/>
        <v/>
      </c>
      <c r="LV20" s="40" t="str">
        <f t="shared" si="136"/>
        <v/>
      </c>
      <c r="LW20" s="40" t="str">
        <f t="shared" si="137"/>
        <v/>
      </c>
      <c r="LX20" s="40" t="str">
        <f t="shared" si="138"/>
        <v/>
      </c>
      <c r="LY20" s="40" t="str">
        <f t="shared" si="139"/>
        <v/>
      </c>
      <c r="LZ20" s="40" t="str">
        <f t="shared" si="140"/>
        <v/>
      </c>
      <c r="MA20" s="40" t="str">
        <f t="shared" si="141"/>
        <v/>
      </c>
      <c r="MB20" s="40" t="str">
        <f t="shared" si="142"/>
        <v/>
      </c>
      <c r="MC20" s="40" t="str">
        <f t="shared" si="143"/>
        <v/>
      </c>
      <c r="MD20" s="40" t="str">
        <f t="shared" si="144"/>
        <v/>
      </c>
      <c r="ME20" s="40" t="str">
        <f t="shared" si="145"/>
        <v/>
      </c>
      <c r="MF20" s="18"/>
      <c r="MG20" s="18"/>
      <c r="MH20" s="18"/>
      <c r="MI20" s="18"/>
      <c r="MJ20" s="18"/>
      <c r="MK20" s="18"/>
      <c r="ML20" s="18"/>
      <c r="MM20" s="18"/>
      <c r="MN20" s="18"/>
      <c r="MO20" s="18"/>
      <c r="MP20" s="18"/>
      <c r="MQ20" s="18"/>
      <c r="MR20" s="18"/>
      <c r="MS20" s="18"/>
      <c r="MT20" s="18"/>
      <c r="MU20" s="18"/>
      <c r="MV20" s="18"/>
      <c r="MW20" s="18"/>
      <c r="MX20" s="18"/>
      <c r="MY20" s="18"/>
      <c r="MZ20" s="11" t="str">
        <f t="shared" si="146"/>
        <v/>
      </c>
      <c r="NA20" s="11" t="str">
        <f t="shared" si="147"/>
        <v/>
      </c>
      <c r="NB20" s="11" t="str">
        <f t="shared" si="148"/>
        <v/>
      </c>
      <c r="NC20" s="11" t="str">
        <f t="shared" si="149"/>
        <v/>
      </c>
      <c r="ND20" s="11" t="str">
        <f t="shared" si="150"/>
        <v/>
      </c>
      <c r="NE20" s="11" t="str">
        <f t="shared" si="151"/>
        <v/>
      </c>
      <c r="NF20" s="11" t="str">
        <f t="shared" si="152"/>
        <v/>
      </c>
      <c r="NG20" s="11" t="str">
        <f t="shared" si="153"/>
        <v/>
      </c>
      <c r="NH20" s="11" t="str">
        <f t="shared" si="154"/>
        <v/>
      </c>
      <c r="NI20" s="11" t="str">
        <f t="shared" si="155"/>
        <v/>
      </c>
      <c r="NJ20" s="11" t="str">
        <f t="shared" si="156"/>
        <v/>
      </c>
      <c r="NK20" s="11" t="str">
        <f t="shared" si="157"/>
        <v/>
      </c>
      <c r="NL20" s="11" t="str">
        <f t="shared" si="158"/>
        <v/>
      </c>
      <c r="NM20" s="11" t="str">
        <f t="shared" si="159"/>
        <v/>
      </c>
      <c r="NN20" s="17"/>
      <c r="NO20" s="17"/>
      <c r="NP20" s="17"/>
      <c r="NQ20" s="17"/>
      <c r="NR20" s="17"/>
      <c r="NS20" s="17"/>
      <c r="NT20" s="17"/>
      <c r="NU20" s="17"/>
      <c r="NV20" s="17"/>
      <c r="NW20" s="17"/>
      <c r="NX20" s="17"/>
      <c r="NY20" s="17"/>
      <c r="NZ20" s="17"/>
      <c r="OA20" s="17"/>
      <c r="OB20" s="17"/>
      <c r="OC20" s="17"/>
      <c r="OD20" s="17"/>
      <c r="OE20" s="17"/>
      <c r="OF20" s="17"/>
      <c r="OG20" s="17"/>
      <c r="OH20" s="40" t="str">
        <f t="shared" si="160"/>
        <v/>
      </c>
      <c r="OI20" s="40" t="str">
        <f t="shared" si="161"/>
        <v/>
      </c>
      <c r="OJ20" s="40" t="str">
        <f t="shared" si="162"/>
        <v/>
      </c>
      <c r="OK20" s="40" t="str">
        <f t="shared" si="163"/>
        <v/>
      </c>
      <c r="OL20" s="40" t="str">
        <f t="shared" si="164"/>
        <v/>
      </c>
      <c r="OM20" s="40" t="str">
        <f t="shared" si="165"/>
        <v/>
      </c>
      <c r="ON20" s="40" t="str">
        <f t="shared" si="166"/>
        <v/>
      </c>
      <c r="OO20" s="40" t="str">
        <f t="shared" si="167"/>
        <v/>
      </c>
      <c r="OP20" s="40" t="str">
        <f t="shared" si="168"/>
        <v/>
      </c>
      <c r="OQ20" s="40" t="str">
        <f t="shared" si="169"/>
        <v/>
      </c>
      <c r="OR20" s="40" t="str">
        <f t="shared" si="170"/>
        <v/>
      </c>
      <c r="OS20" s="40" t="str">
        <f t="shared" si="171"/>
        <v/>
      </c>
      <c r="OT20" s="40" t="str">
        <f t="shared" si="172"/>
        <v/>
      </c>
      <c r="OU20" s="40" t="str">
        <f t="shared" si="173"/>
        <v/>
      </c>
      <c r="OV20" s="18"/>
      <c r="OW20" s="18"/>
      <c r="OX20" s="18"/>
      <c r="OY20" s="18"/>
      <c r="OZ20" s="18"/>
      <c r="PA20" s="18"/>
      <c r="PB20" s="18"/>
      <c r="PC20" s="18"/>
      <c r="PD20" s="18"/>
      <c r="PE20" s="18"/>
      <c r="PF20" s="18"/>
      <c r="PG20" s="18"/>
      <c r="PH20" s="18"/>
      <c r="PI20" s="18"/>
      <c r="PJ20" s="18"/>
      <c r="PK20" s="18"/>
      <c r="PL20" s="18"/>
      <c r="PM20" s="18"/>
      <c r="PN20" s="18"/>
      <c r="PO20" s="18"/>
      <c r="PP20" s="11" t="str">
        <f t="shared" si="174"/>
        <v/>
      </c>
      <c r="PQ20" s="11" t="str">
        <f t="shared" si="175"/>
        <v/>
      </c>
      <c r="PR20" s="11" t="str">
        <f t="shared" si="176"/>
        <v/>
      </c>
      <c r="PS20" s="11" t="str">
        <f t="shared" si="177"/>
        <v/>
      </c>
      <c r="PT20" s="11" t="str">
        <f t="shared" si="178"/>
        <v/>
      </c>
      <c r="PU20" s="11" t="str">
        <f t="shared" si="179"/>
        <v/>
      </c>
      <c r="PV20" s="11" t="str">
        <f t="shared" si="180"/>
        <v/>
      </c>
      <c r="PW20" s="11" t="str">
        <f t="shared" si="181"/>
        <v/>
      </c>
      <c r="PX20" s="11" t="str">
        <f t="shared" si="182"/>
        <v/>
      </c>
      <c r="PY20" s="11" t="str">
        <f t="shared" si="183"/>
        <v/>
      </c>
      <c r="PZ20" s="11" t="str">
        <f t="shared" si="184"/>
        <v/>
      </c>
      <c r="QA20" s="11" t="str">
        <f t="shared" si="185"/>
        <v/>
      </c>
      <c r="QB20" s="11" t="str">
        <f t="shared" si="186"/>
        <v/>
      </c>
      <c r="QC20" s="11" t="str">
        <f t="shared" si="187"/>
        <v/>
      </c>
      <c r="QD20" s="17"/>
      <c r="QE20" s="17"/>
      <c r="QF20" s="17"/>
      <c r="QG20" s="17"/>
      <c r="QH20" s="17"/>
      <c r="QI20" s="17"/>
      <c r="QJ20" s="17"/>
      <c r="QK20" s="17"/>
      <c r="QL20" s="17"/>
      <c r="QM20" s="17"/>
      <c r="QN20" s="17"/>
      <c r="QO20" s="17"/>
      <c r="QP20" s="17"/>
      <c r="QQ20" s="17"/>
      <c r="QR20" s="17"/>
      <c r="QS20" s="17"/>
      <c r="QT20" s="17"/>
      <c r="QU20" s="17"/>
      <c r="QV20" s="17"/>
      <c r="QW20" s="17"/>
      <c r="QX20" s="40" t="str">
        <f t="shared" si="188"/>
        <v/>
      </c>
      <c r="QY20" s="40" t="str">
        <f t="shared" si="189"/>
        <v/>
      </c>
      <c r="QZ20" s="40" t="str">
        <f t="shared" si="190"/>
        <v/>
      </c>
      <c r="RA20" s="40" t="str">
        <f t="shared" si="191"/>
        <v/>
      </c>
      <c r="RB20" s="40" t="str">
        <f t="shared" si="192"/>
        <v/>
      </c>
      <c r="RC20" s="40" t="str">
        <f t="shared" si="193"/>
        <v/>
      </c>
      <c r="RD20" s="40" t="str">
        <f t="shared" si="194"/>
        <v/>
      </c>
      <c r="RE20" s="40" t="str">
        <f t="shared" si="195"/>
        <v/>
      </c>
      <c r="RF20" s="40" t="str">
        <f t="shared" si="196"/>
        <v/>
      </c>
      <c r="RG20" s="40" t="str">
        <f t="shared" si="197"/>
        <v/>
      </c>
      <c r="RH20" s="40" t="str">
        <f t="shared" si="198"/>
        <v/>
      </c>
      <c r="RI20" s="40" t="str">
        <f t="shared" si="199"/>
        <v/>
      </c>
      <c r="RJ20" s="40" t="str">
        <f t="shared" si="200"/>
        <v/>
      </c>
      <c r="RK20" s="40" t="str">
        <f t="shared" si="201"/>
        <v/>
      </c>
      <c r="RL20" s="18"/>
      <c r="RM20" s="18"/>
      <c r="RN20" s="18"/>
      <c r="RO20" s="18"/>
      <c r="RP20" s="18"/>
      <c r="RQ20" s="18"/>
      <c r="RR20" s="18"/>
      <c r="RS20" s="18"/>
      <c r="RT20" s="18"/>
      <c r="RU20" s="18"/>
      <c r="RV20" s="18"/>
      <c r="RW20" s="18"/>
      <c r="RX20" s="18"/>
      <c r="RY20" s="18"/>
      <c r="RZ20" s="18"/>
      <c r="SA20" s="18"/>
      <c r="SB20" s="18"/>
      <c r="SC20" s="18"/>
      <c r="SD20" s="18"/>
      <c r="SE20" s="18"/>
      <c r="SF20" s="11" t="str">
        <f t="shared" si="202"/>
        <v/>
      </c>
      <c r="SG20" s="11" t="str">
        <f t="shared" si="203"/>
        <v/>
      </c>
      <c r="SH20" s="11" t="str">
        <f t="shared" si="204"/>
        <v/>
      </c>
      <c r="SI20" s="11" t="str">
        <f t="shared" si="205"/>
        <v/>
      </c>
      <c r="SJ20" s="11" t="str">
        <f t="shared" si="206"/>
        <v/>
      </c>
      <c r="SK20" s="11" t="str">
        <f t="shared" si="207"/>
        <v/>
      </c>
      <c r="SL20" s="11" t="str">
        <f t="shared" si="208"/>
        <v/>
      </c>
      <c r="SM20" s="11" t="str">
        <f t="shared" si="209"/>
        <v/>
      </c>
      <c r="SN20" s="11" t="str">
        <f t="shared" si="210"/>
        <v/>
      </c>
      <c r="SO20" s="11" t="str">
        <f t="shared" si="211"/>
        <v/>
      </c>
      <c r="SP20" s="11" t="str">
        <f t="shared" si="212"/>
        <v/>
      </c>
      <c r="SQ20" s="11" t="str">
        <f t="shared" si="213"/>
        <v/>
      </c>
      <c r="SR20" s="11" t="str">
        <f t="shared" si="214"/>
        <v/>
      </c>
      <c r="SS20" s="11" t="str">
        <f t="shared" si="215"/>
        <v/>
      </c>
      <c r="ST20" s="22">
        <f t="shared" si="216"/>
        <v>0</v>
      </c>
      <c r="SU20" s="22">
        <f t="shared" si="217"/>
        <v>0</v>
      </c>
      <c r="SV20" s="22">
        <f t="shared" si="218"/>
        <v>0</v>
      </c>
      <c r="SW20" s="22">
        <f t="shared" si="219"/>
        <v>0</v>
      </c>
      <c r="SX20" s="22">
        <f t="shared" si="220"/>
        <v>0</v>
      </c>
      <c r="SY20" s="22">
        <f t="shared" si="221"/>
        <v>0</v>
      </c>
      <c r="SZ20" s="22">
        <f t="shared" si="222"/>
        <v>0</v>
      </c>
      <c r="TA20" s="22">
        <f t="shared" si="223"/>
        <v>0</v>
      </c>
      <c r="TB20" s="22">
        <f t="shared" si="224"/>
        <v>0</v>
      </c>
      <c r="TC20" s="22">
        <f t="shared" si="225"/>
        <v>0</v>
      </c>
      <c r="TD20" s="22">
        <f t="shared" si="226"/>
        <v>0</v>
      </c>
      <c r="TE20" s="22">
        <f t="shared" si="227"/>
        <v>0</v>
      </c>
      <c r="TF20" s="22">
        <f t="shared" si="228"/>
        <v>0</v>
      </c>
      <c r="TG20" s="22">
        <f t="shared" si="229"/>
        <v>0</v>
      </c>
      <c r="TH20" s="22">
        <f t="shared" si="230"/>
        <v>0</v>
      </c>
      <c r="TI20" s="27" t="s">
        <v>46</v>
      </c>
      <c r="TJ20" s="40" t="str">
        <f t="shared" si="231"/>
        <v/>
      </c>
      <c r="TK20" s="40" t="str">
        <f t="shared" si="232"/>
        <v/>
      </c>
      <c r="TL20" s="40" t="str">
        <f t="shared" si="233"/>
        <v/>
      </c>
      <c r="TM20" s="40" t="str">
        <f t="shared" si="234"/>
        <v/>
      </c>
      <c r="TN20" s="40" t="str">
        <f t="shared" si="235"/>
        <v/>
      </c>
      <c r="TO20" s="40" t="str">
        <f t="shared" si="236"/>
        <v/>
      </c>
      <c r="TP20" s="40" t="str">
        <f t="shared" si="237"/>
        <v/>
      </c>
      <c r="TQ20" s="40" t="str">
        <f t="shared" si="238"/>
        <v/>
      </c>
      <c r="TR20" s="40" t="str">
        <f t="shared" si="239"/>
        <v/>
      </c>
      <c r="TS20" s="40" t="str">
        <f t="shared" si="240"/>
        <v/>
      </c>
      <c r="TT20" s="40" t="str">
        <f t="shared" si="241"/>
        <v/>
      </c>
    </row>
    <row r="21" spans="1:540" x14ac:dyDescent="0.2">
      <c r="A21" s="4" t="str" cm="1">
        <f t="array" ref="A21">IF(AND(F21&lt;&gt;"",G21&lt;&gt;""),SUMPRODUCT((F$4:F$32&lt;&gt;"")*(G$4:G$32&lt;&gt;"")*(E$4:E$32&gt;E21))+1,IF(G21&lt;&gt;"",SUMPRODUCT((H$4:H$32="No DD")*(E$4:E$32&gt;E21))+1+SUMPRODUCT((F$4:F$32&lt;&gt;"")*(G$4:G$32&lt;&gt;"")),""))</f>
        <v/>
      </c>
      <c r="B21" s="5" t="s">
        <v>197</v>
      </c>
      <c r="C21" s="4" t="s">
        <v>6</v>
      </c>
      <c r="D21" s="4">
        <v>2005</v>
      </c>
      <c r="E21" s="9">
        <f t="shared" si="0"/>
        <v>69.640006964004328</v>
      </c>
      <c r="F21" s="3" t="str">
        <f t="shared" si="1"/>
        <v/>
      </c>
      <c r="G21" s="3" t="str">
        <f t="shared" si="2"/>
        <v/>
      </c>
      <c r="H21" s="36" t="str">
        <f t="shared" si="3"/>
        <v/>
      </c>
      <c r="I21" s="3" t="str">
        <f t="shared" si="4"/>
        <v/>
      </c>
      <c r="J21" s="8">
        <f>IF(COUNT(AO21,AR21,BP21,BS21,CQ21,CT21)&gt;0,LARGE((AO21,AR21,BP21,BS21,CQ21,CT21),1),0)</f>
        <v>43.519999999999996</v>
      </c>
      <c r="K21" s="8" t="str">
        <f t="shared" si="5"/>
        <v>2023 Elite Canada</v>
      </c>
      <c r="L21" s="8">
        <f>IF(COUNT(AO21,AR21,BP21,BS21,CQ21,CT21)&gt;1,LARGE((AO21,AR21,BP21,BS21,CQ21,CT21),2),0)</f>
        <v>18.52</v>
      </c>
      <c r="M21" s="8" t="str">
        <f t="shared" si="6"/>
        <v>2023 Elite Canada</v>
      </c>
      <c r="N21" s="8">
        <f>IF(COUNT(AO21,AR21,BP21,BS21,CQ21,CT21)&gt;2,LARGE((AO21,AR21,BP21,BS21,CQ21,CT21),3),0)</f>
        <v>0</v>
      </c>
      <c r="O21" s="8" t="str">
        <f t="shared" si="242"/>
        <v/>
      </c>
      <c r="P21" s="8">
        <f t="shared" si="7"/>
        <v>7.6</v>
      </c>
      <c r="Q21" s="8" t="str">
        <f t="shared" si="8"/>
        <v>2023 Elite Canada</v>
      </c>
      <c r="R21" s="8">
        <f t="shared" si="9"/>
        <v>0</v>
      </c>
      <c r="S21" s="8" t="str">
        <f t="shared" si="10"/>
        <v/>
      </c>
      <c r="T21" s="8" t="str">
        <f t="shared" si="11"/>
        <v/>
      </c>
      <c r="U21" s="11" t="str">
        <f t="shared" si="12"/>
        <v/>
      </c>
      <c r="V21" s="8" t="str">
        <f>IF(T21="","",IF(T21=CZ21,IF(T21+IF(N21="",0,N21)=SL21,$RL$1,IF(T21+IF(N21="",0,N21)=RD21,$QD$1,IF(T21+IF(N21="",0,N21)=PV21,$OV$1,IF(T21+IF(N21="",0,N21)=ON21,$NN$1,IF(T21+IF(N21="",0,N21)=NF21,$MF$1,IF(T21+IF(N21="",0,N21)=LX21,$KX$1,IF(T21+IF(N21="",0,N21)=KP21,$JP$1,IF(T21+IF(N21="",0,N21)=JH21,$IH$1,IF(T21+IF(N21="",0,N21)=HZ21,$GZ$1,IF(T21+IF(N21="",0,N21)=GR21,$FR$1,IF(T21+IF(N21="",0,N21)=FJ21,$EJ$1,IF(T21+IF(N21="",0,N21)=EB21,$DB$1)))))))))))),IF(T21=DA21,IF(T21+IF(#REF!="",0,#REF!)=SR21,$RL$1,IF(T21+IF(#REF!="",0,#REF!)=RJ21,$QD$1,IF(T21+IF(#REF!="",0,#REF!)=QB21,$OV$1,IF(T21+IF(#REF!="",0,#REF!)=OT21,$NN$1,IF(T21+IF(#REF!="",0,#REF!)=NL21,$MF$1,IF(T21+IF(#REF!="",0,#REF!)=MD21,$KX$1,IF(T21+IF(#REF!="",0,#REF!)=KV21,$JP$1,IF(T21+IF(#REF!="",0,#REF!)=JN21,$IH$1,IF(T21+IF(#REF!="",0,#REF!)=IF21,$GZ$1,IF(T21+IF(#REF!="",0,#REF!)=GX21,$FR$1,IF(T21+IF(#REF!="",0,#REF!)=FP21,$EJ$1,IF(T21+IF(#REF!="",0,#REF!)=EH21,$DB$1,IF(T21+IF(#REF!="",0,#REF!)=SO21,$RL$1,IF(T21+IF(#REF!="",0,#REF!)=RG21,$QD$1,IF(T21+IF(#REF!="",0,#REF!)=PY21,$OV$1,IF(T21+IF(#REF!="",0,#REF!)=OQ21,$NN$1,IF(T21+IF(#REF!="",0,#REF!)=NI21,$MF$1,IF(T21+IF(#REF!="",0,#REF!)=MA21,$KX$1,IF(T21+IF(#REF!="",0,#REF!)=KS21,$JP$1,IF(T21+IF(#REF!="",0,#REF!)=JK21,$IH$1,IF(T21+IF(#REF!="",0,#REF!)=IC21,$GZ$1,IF(T21+IF(#REF!="",0,#REF!)=GU21,$FR$1,IF(T21+IF(#REF!="",0,#REF!)=FM21,$EJ$1,IF(T21+IF(#REF!="",0,#REF!)=EE21,$DB$1)))))))))))))))))))))))))))</f>
        <v/>
      </c>
      <c r="W21" s="22"/>
      <c r="X21" s="22"/>
      <c r="Y21" s="22"/>
      <c r="Z21" s="22"/>
      <c r="AA21" s="22"/>
      <c r="AB21" s="22"/>
      <c r="AC21" s="22"/>
      <c r="AD21" s="22"/>
      <c r="AE21" s="22"/>
      <c r="AF21" s="22"/>
      <c r="AG21" s="22"/>
      <c r="AH21" s="22"/>
      <c r="AI21" s="22"/>
      <c r="AJ21" s="22"/>
      <c r="AK21" s="22"/>
      <c r="AL21" s="27"/>
      <c r="AM21" s="38" t="str">
        <f t="shared" si="13"/>
        <v/>
      </c>
      <c r="AN21" s="38" t="str">
        <f t="shared" si="14"/>
        <v/>
      </c>
      <c r="AO21" s="40" t="str">
        <f t="shared" si="15"/>
        <v/>
      </c>
      <c r="AP21" s="40" t="str">
        <f t="shared" si="16"/>
        <v/>
      </c>
      <c r="AQ21" s="40" t="str">
        <f t="shared" si="17"/>
        <v/>
      </c>
      <c r="AR21" s="40" t="str">
        <f t="shared" si="18"/>
        <v/>
      </c>
      <c r="AS21" s="40" t="str">
        <f t="shared" si="19"/>
        <v/>
      </c>
      <c r="AT21" s="40" t="str">
        <f t="shared" si="20"/>
        <v/>
      </c>
      <c r="AU21" s="40" t="str">
        <f t="shared" si="21"/>
        <v/>
      </c>
      <c r="AV21" s="40" t="str">
        <f t="shared" si="22"/>
        <v/>
      </c>
      <c r="AW21" s="40" t="str">
        <f t="shared" si="23"/>
        <v/>
      </c>
      <c r="AX21" s="26"/>
      <c r="AY21" s="26"/>
      <c r="AZ21" s="26"/>
      <c r="BA21" s="26"/>
      <c r="BB21" s="26"/>
      <c r="BC21" s="26"/>
      <c r="BD21" s="26"/>
      <c r="BE21" s="26"/>
      <c r="BF21" s="26"/>
      <c r="BG21" s="26"/>
      <c r="BH21" s="26"/>
      <c r="BI21" s="26"/>
      <c r="BJ21" s="26"/>
      <c r="BK21" s="26"/>
      <c r="BL21" s="26"/>
      <c r="BM21" s="28"/>
      <c r="BN21" s="39" t="str">
        <f t="shared" si="24"/>
        <v/>
      </c>
      <c r="BO21" s="39" t="str">
        <f t="shared" si="25"/>
        <v/>
      </c>
      <c r="BP21" s="11" t="str">
        <f t="shared" si="26"/>
        <v/>
      </c>
      <c r="BQ21" s="11" t="str">
        <f t="shared" si="27"/>
        <v/>
      </c>
      <c r="BR21" s="11" t="str">
        <f t="shared" si="28"/>
        <v/>
      </c>
      <c r="BS21" s="11" t="str">
        <f t="shared" si="29"/>
        <v/>
      </c>
      <c r="BT21" s="11" t="str">
        <f t="shared" si="30"/>
        <v/>
      </c>
      <c r="BU21" s="11" t="str">
        <f t="shared" si="31"/>
        <v/>
      </c>
      <c r="BV21" s="11" t="str">
        <f t="shared" si="32"/>
        <v/>
      </c>
      <c r="BW21" s="11" t="str">
        <f t="shared" si="33"/>
        <v/>
      </c>
      <c r="BX21" s="11" t="str">
        <f t="shared" si="34"/>
        <v/>
      </c>
      <c r="BY21" s="22">
        <v>14.3</v>
      </c>
      <c r="BZ21" s="22">
        <v>9.1999999999999993</v>
      </c>
      <c r="CA21" s="22">
        <v>7.6</v>
      </c>
      <c r="CB21" s="22">
        <v>13.62</v>
      </c>
      <c r="CC21" s="22">
        <v>1.2</v>
      </c>
      <c r="CD21" s="22">
        <v>5.6</v>
      </c>
      <c r="CE21" s="22">
        <v>3.5</v>
      </c>
      <c r="CF21" s="22">
        <v>3.9</v>
      </c>
      <c r="CG21" s="22">
        <v>5.52</v>
      </c>
      <c r="CH21" s="22">
        <v>0</v>
      </c>
      <c r="CI21" s="22"/>
      <c r="CJ21" s="22"/>
      <c r="CK21" s="22"/>
      <c r="CL21" s="22"/>
      <c r="CM21" s="22"/>
      <c r="CN21" s="27"/>
      <c r="CO21" s="38">
        <f t="shared" si="35"/>
        <v>7.6</v>
      </c>
      <c r="CP21" s="38">
        <f t="shared" si="36"/>
        <v>13.62</v>
      </c>
      <c r="CQ21" s="40">
        <f t="shared" si="37"/>
        <v>43.519999999999996</v>
      </c>
      <c r="CR21" s="40">
        <f t="shared" si="38"/>
        <v>3.9</v>
      </c>
      <c r="CS21" s="40">
        <f t="shared" si="39"/>
        <v>5.52</v>
      </c>
      <c r="CT21" s="40">
        <f t="shared" si="40"/>
        <v>18.52</v>
      </c>
      <c r="CU21" s="40">
        <f t="shared" si="41"/>
        <v>43.519999999999996</v>
      </c>
      <c r="CV21" s="40" t="str">
        <f t="shared" si="42"/>
        <v/>
      </c>
      <c r="CW21" s="40" t="str">
        <f t="shared" si="43"/>
        <v/>
      </c>
      <c r="CX21" s="40" t="str">
        <f t="shared" si="44"/>
        <v/>
      </c>
      <c r="CY21" s="40">
        <f t="shared" si="45"/>
        <v>43.519999999999996</v>
      </c>
      <c r="CZ21" s="50" t="str">
        <f t="shared" si="46"/>
        <v/>
      </c>
      <c r="DA21" s="50" t="str">
        <f t="shared" si="47"/>
        <v/>
      </c>
      <c r="DB21" s="17"/>
      <c r="DC21" s="17"/>
      <c r="DD21" s="17"/>
      <c r="DE21" s="17"/>
      <c r="DF21" s="17"/>
      <c r="DG21" s="17"/>
      <c r="DH21" s="17"/>
      <c r="DI21" s="17"/>
      <c r="DJ21" s="17"/>
      <c r="DK21" s="17"/>
      <c r="DL21" s="17"/>
      <c r="DM21" s="17"/>
      <c r="DN21" s="17"/>
      <c r="DO21" s="17"/>
      <c r="DP21" s="17"/>
      <c r="DQ21" s="17"/>
      <c r="DR21" s="17"/>
      <c r="DS21" s="17"/>
      <c r="DT21" s="17"/>
      <c r="DU21" s="17"/>
      <c r="DV21" s="40" t="str">
        <f t="shared" si="48"/>
        <v/>
      </c>
      <c r="DW21" s="40" t="str">
        <f t="shared" si="49"/>
        <v/>
      </c>
      <c r="DX21" s="40" t="str">
        <f t="shared" si="50"/>
        <v/>
      </c>
      <c r="DY21" s="40" t="str">
        <f t="shared" si="51"/>
        <v/>
      </c>
      <c r="DZ21" s="40" t="str">
        <f t="shared" si="52"/>
        <v/>
      </c>
      <c r="EA21" s="40" t="str">
        <f t="shared" si="53"/>
        <v/>
      </c>
      <c r="EB21" s="40" t="str">
        <f t="shared" si="54"/>
        <v/>
      </c>
      <c r="EC21" s="40" t="str">
        <f t="shared" si="55"/>
        <v/>
      </c>
      <c r="ED21" s="40" t="str">
        <f t="shared" si="56"/>
        <v/>
      </c>
      <c r="EE21" s="40" t="str">
        <f t="shared" si="57"/>
        <v/>
      </c>
      <c r="EF21" s="40" t="str">
        <f t="shared" si="58"/>
        <v/>
      </c>
      <c r="EG21" s="40" t="str">
        <f t="shared" si="59"/>
        <v/>
      </c>
      <c r="EH21" s="40" t="str">
        <f t="shared" si="60"/>
        <v/>
      </c>
      <c r="EI21" s="40" t="str">
        <f t="shared" si="61"/>
        <v/>
      </c>
      <c r="EJ21" s="18"/>
      <c r="EK21" s="18"/>
      <c r="EL21" s="18"/>
      <c r="EM21" s="18"/>
      <c r="EN21" s="18"/>
      <c r="EO21" s="18"/>
      <c r="EP21" s="18"/>
      <c r="EQ21" s="18"/>
      <c r="ER21" s="18"/>
      <c r="ES21" s="18"/>
      <c r="ET21" s="18"/>
      <c r="EU21" s="18"/>
      <c r="EV21" s="18"/>
      <c r="EW21" s="18"/>
      <c r="EX21" s="18"/>
      <c r="EY21" s="18"/>
      <c r="EZ21" s="18"/>
      <c r="FA21" s="18"/>
      <c r="FB21" s="18"/>
      <c r="FC21" s="18"/>
      <c r="FD21" s="11" t="str">
        <f t="shared" si="62"/>
        <v/>
      </c>
      <c r="FE21" s="11" t="str">
        <f t="shared" si="63"/>
        <v/>
      </c>
      <c r="FF21" s="11" t="str">
        <f t="shared" si="64"/>
        <v/>
      </c>
      <c r="FG21" s="11" t="str">
        <f t="shared" si="65"/>
        <v/>
      </c>
      <c r="FH21" s="11" t="str">
        <f t="shared" si="66"/>
        <v/>
      </c>
      <c r="FI21" s="11" t="str">
        <f t="shared" si="67"/>
        <v/>
      </c>
      <c r="FJ21" s="11" t="str">
        <f t="shared" si="68"/>
        <v/>
      </c>
      <c r="FK21" s="11" t="str">
        <f t="shared" si="69"/>
        <v/>
      </c>
      <c r="FL21" s="11" t="str">
        <f t="shared" si="70"/>
        <v/>
      </c>
      <c r="FM21" s="11" t="str">
        <f t="shared" si="71"/>
        <v/>
      </c>
      <c r="FN21" s="11" t="str">
        <f t="shared" si="72"/>
        <v/>
      </c>
      <c r="FO21" s="11" t="str">
        <f t="shared" si="73"/>
        <v/>
      </c>
      <c r="FP21" s="11" t="str">
        <f t="shared" si="74"/>
        <v/>
      </c>
      <c r="FQ21" s="11" t="str">
        <f t="shared" si="75"/>
        <v/>
      </c>
      <c r="FR21" s="17"/>
      <c r="FS21" s="17"/>
      <c r="FT21" s="17"/>
      <c r="FU21" s="17"/>
      <c r="FV21" s="17"/>
      <c r="FW21" s="17"/>
      <c r="FX21" s="17"/>
      <c r="FY21" s="17"/>
      <c r="FZ21" s="17"/>
      <c r="GA21" s="17"/>
      <c r="GB21" s="17"/>
      <c r="GC21" s="17"/>
      <c r="GD21" s="17"/>
      <c r="GE21" s="17"/>
      <c r="GF21" s="17"/>
      <c r="GG21" s="17"/>
      <c r="GH21" s="17"/>
      <c r="GI21" s="17"/>
      <c r="GJ21" s="17"/>
      <c r="GK21" s="17"/>
      <c r="GL21" s="40" t="str">
        <f t="shared" si="76"/>
        <v/>
      </c>
      <c r="GM21" s="40" t="str">
        <f t="shared" si="77"/>
        <v/>
      </c>
      <c r="GN21" s="40" t="str">
        <f t="shared" si="78"/>
        <v/>
      </c>
      <c r="GO21" s="40" t="str">
        <f t="shared" si="79"/>
        <v/>
      </c>
      <c r="GP21" s="40" t="str">
        <f t="shared" si="80"/>
        <v/>
      </c>
      <c r="GQ21" s="40" t="str">
        <f t="shared" si="81"/>
        <v/>
      </c>
      <c r="GR21" s="40" t="str">
        <f t="shared" si="82"/>
        <v/>
      </c>
      <c r="GS21" s="40" t="str">
        <f t="shared" si="83"/>
        <v/>
      </c>
      <c r="GT21" s="40" t="str">
        <f t="shared" si="84"/>
        <v/>
      </c>
      <c r="GU21" s="40" t="str">
        <f t="shared" si="85"/>
        <v/>
      </c>
      <c r="GV21" s="40" t="str">
        <f t="shared" si="86"/>
        <v/>
      </c>
      <c r="GW21" s="40" t="str">
        <f t="shared" si="87"/>
        <v/>
      </c>
      <c r="GX21" s="40" t="str">
        <f t="shared" si="88"/>
        <v/>
      </c>
      <c r="GY21" s="40" t="str">
        <f t="shared" si="89"/>
        <v/>
      </c>
      <c r="GZ21" s="18"/>
      <c r="HA21" s="18"/>
      <c r="HB21" s="18"/>
      <c r="HC21" s="18"/>
      <c r="HD21" s="18"/>
      <c r="HE21" s="18"/>
      <c r="HF21" s="18"/>
      <c r="HG21" s="18"/>
      <c r="HH21" s="18"/>
      <c r="HI21" s="18"/>
      <c r="HJ21" s="18"/>
      <c r="HK21" s="18"/>
      <c r="HL21" s="18"/>
      <c r="HM21" s="18"/>
      <c r="HN21" s="18"/>
      <c r="HO21" s="18"/>
      <c r="HP21" s="18"/>
      <c r="HQ21" s="18"/>
      <c r="HR21" s="18"/>
      <c r="HS21" s="18"/>
      <c r="HT21" s="11" t="str">
        <f t="shared" si="90"/>
        <v/>
      </c>
      <c r="HU21" s="11" t="str">
        <f t="shared" si="91"/>
        <v/>
      </c>
      <c r="HV21" s="11" t="str">
        <f t="shared" si="92"/>
        <v/>
      </c>
      <c r="HW21" s="11" t="str">
        <f t="shared" si="93"/>
        <v/>
      </c>
      <c r="HX21" s="11" t="str">
        <f t="shared" si="94"/>
        <v/>
      </c>
      <c r="HY21" s="11" t="str">
        <f t="shared" si="95"/>
        <v/>
      </c>
      <c r="HZ21" s="11" t="str">
        <f t="shared" si="96"/>
        <v/>
      </c>
      <c r="IA21" s="11" t="str">
        <f t="shared" si="97"/>
        <v/>
      </c>
      <c r="IB21" s="11" t="str">
        <f t="shared" si="98"/>
        <v/>
      </c>
      <c r="IC21" s="11" t="str">
        <f t="shared" si="99"/>
        <v/>
      </c>
      <c r="ID21" s="11" t="str">
        <f t="shared" si="100"/>
        <v/>
      </c>
      <c r="IE21" s="11" t="str">
        <f t="shared" si="101"/>
        <v/>
      </c>
      <c r="IF21" s="11" t="str">
        <f t="shared" si="102"/>
        <v/>
      </c>
      <c r="IG21" s="11" t="str">
        <f t="shared" si="103"/>
        <v/>
      </c>
      <c r="IH21" s="17"/>
      <c r="II21" s="17"/>
      <c r="IJ21" s="17"/>
      <c r="IK21" s="17"/>
      <c r="IL21" s="17"/>
      <c r="IM21" s="17"/>
      <c r="IN21" s="17"/>
      <c r="IO21" s="17"/>
      <c r="IP21" s="17"/>
      <c r="IQ21" s="17"/>
      <c r="IR21" s="17"/>
      <c r="IS21" s="17"/>
      <c r="IT21" s="17"/>
      <c r="IU21" s="17"/>
      <c r="IV21" s="17"/>
      <c r="IW21" s="17"/>
      <c r="IX21" s="17"/>
      <c r="IY21" s="17"/>
      <c r="IZ21" s="17"/>
      <c r="JA21" s="17"/>
      <c r="JB21" s="40" t="str">
        <f t="shared" si="104"/>
        <v/>
      </c>
      <c r="JC21" s="40" t="str">
        <f t="shared" si="105"/>
        <v/>
      </c>
      <c r="JD21" s="40" t="str">
        <f t="shared" si="106"/>
        <v/>
      </c>
      <c r="JE21" s="40" t="str">
        <f t="shared" si="107"/>
        <v/>
      </c>
      <c r="JF21" s="40" t="str">
        <f t="shared" si="108"/>
        <v/>
      </c>
      <c r="JG21" s="40" t="str">
        <f t="shared" si="109"/>
        <v/>
      </c>
      <c r="JH21" s="40" t="str">
        <f t="shared" si="110"/>
        <v/>
      </c>
      <c r="JI21" s="40" t="str">
        <f t="shared" si="111"/>
        <v/>
      </c>
      <c r="JJ21" s="40" t="str">
        <f t="shared" si="112"/>
        <v/>
      </c>
      <c r="JK21" s="40" t="str">
        <f t="shared" si="113"/>
        <v/>
      </c>
      <c r="JL21" s="40" t="str">
        <f t="shared" si="114"/>
        <v/>
      </c>
      <c r="JM21" s="40" t="str">
        <f t="shared" si="115"/>
        <v/>
      </c>
      <c r="JN21" s="40" t="str">
        <f t="shared" si="116"/>
        <v/>
      </c>
      <c r="JO21" s="40" t="str">
        <f t="shared" si="117"/>
        <v/>
      </c>
      <c r="JP21" s="18"/>
      <c r="JQ21" s="18"/>
      <c r="JR21" s="18"/>
      <c r="JS21" s="18"/>
      <c r="JT21" s="18"/>
      <c r="JU21" s="18"/>
      <c r="JV21" s="18"/>
      <c r="JW21" s="18"/>
      <c r="JX21" s="18"/>
      <c r="JY21" s="18"/>
      <c r="JZ21" s="18"/>
      <c r="KA21" s="18"/>
      <c r="KB21" s="18"/>
      <c r="KC21" s="18"/>
      <c r="KD21" s="18"/>
      <c r="KE21" s="18"/>
      <c r="KF21" s="18"/>
      <c r="KG21" s="18"/>
      <c r="KH21" s="18"/>
      <c r="KI21" s="18"/>
      <c r="KJ21" s="11" t="str">
        <f t="shared" si="118"/>
        <v/>
      </c>
      <c r="KK21" s="11" t="str">
        <f t="shared" si="119"/>
        <v/>
      </c>
      <c r="KL21" s="11" t="str">
        <f t="shared" si="120"/>
        <v/>
      </c>
      <c r="KM21" s="11" t="str">
        <f t="shared" si="121"/>
        <v/>
      </c>
      <c r="KN21" s="11" t="str">
        <f t="shared" si="122"/>
        <v/>
      </c>
      <c r="KO21" s="11" t="str">
        <f t="shared" si="123"/>
        <v/>
      </c>
      <c r="KP21" s="11" t="str">
        <f t="shared" si="124"/>
        <v/>
      </c>
      <c r="KQ21" s="11" t="str">
        <f t="shared" si="125"/>
        <v/>
      </c>
      <c r="KR21" s="11" t="str">
        <f t="shared" si="126"/>
        <v/>
      </c>
      <c r="KS21" s="11" t="str">
        <f t="shared" si="127"/>
        <v/>
      </c>
      <c r="KT21" s="11" t="str">
        <f t="shared" si="128"/>
        <v/>
      </c>
      <c r="KU21" s="11" t="str">
        <f t="shared" si="129"/>
        <v/>
      </c>
      <c r="KV21" s="11" t="str">
        <f t="shared" si="130"/>
        <v/>
      </c>
      <c r="KW21" s="11" t="str">
        <f t="shared" si="131"/>
        <v/>
      </c>
      <c r="KX21" s="17"/>
      <c r="KY21" s="17"/>
      <c r="KZ21" s="17"/>
      <c r="LA21" s="17"/>
      <c r="LB21" s="17"/>
      <c r="LC21" s="17"/>
      <c r="LD21" s="17"/>
      <c r="LE21" s="17"/>
      <c r="LF21" s="17"/>
      <c r="LG21" s="17"/>
      <c r="LH21" s="17"/>
      <c r="LI21" s="17"/>
      <c r="LJ21" s="17"/>
      <c r="LK21" s="17"/>
      <c r="LL21" s="17"/>
      <c r="LM21" s="17"/>
      <c r="LN21" s="17"/>
      <c r="LO21" s="17"/>
      <c r="LP21" s="17"/>
      <c r="LQ21" s="17"/>
      <c r="LR21" s="40" t="str">
        <f t="shared" si="132"/>
        <v/>
      </c>
      <c r="LS21" s="40" t="str">
        <f t="shared" si="133"/>
        <v/>
      </c>
      <c r="LT21" s="40" t="str">
        <f t="shared" si="134"/>
        <v/>
      </c>
      <c r="LU21" s="40" t="str">
        <f t="shared" si="135"/>
        <v/>
      </c>
      <c r="LV21" s="40" t="str">
        <f t="shared" si="136"/>
        <v/>
      </c>
      <c r="LW21" s="40" t="str">
        <f t="shared" si="137"/>
        <v/>
      </c>
      <c r="LX21" s="40" t="str">
        <f t="shared" si="138"/>
        <v/>
      </c>
      <c r="LY21" s="40" t="str">
        <f t="shared" si="139"/>
        <v/>
      </c>
      <c r="LZ21" s="40" t="str">
        <f t="shared" si="140"/>
        <v/>
      </c>
      <c r="MA21" s="40" t="str">
        <f t="shared" si="141"/>
        <v/>
      </c>
      <c r="MB21" s="40" t="str">
        <f t="shared" si="142"/>
        <v/>
      </c>
      <c r="MC21" s="40" t="str">
        <f t="shared" si="143"/>
        <v/>
      </c>
      <c r="MD21" s="40" t="str">
        <f t="shared" si="144"/>
        <v/>
      </c>
      <c r="ME21" s="40" t="str">
        <f t="shared" si="145"/>
        <v/>
      </c>
      <c r="MF21" s="18"/>
      <c r="MG21" s="18"/>
      <c r="MH21" s="18"/>
      <c r="MI21" s="18"/>
      <c r="MJ21" s="18"/>
      <c r="MK21" s="18"/>
      <c r="ML21" s="18"/>
      <c r="MM21" s="18"/>
      <c r="MN21" s="18"/>
      <c r="MO21" s="18"/>
      <c r="MP21" s="18"/>
      <c r="MQ21" s="18"/>
      <c r="MR21" s="18"/>
      <c r="MS21" s="18"/>
      <c r="MT21" s="18"/>
      <c r="MU21" s="18"/>
      <c r="MV21" s="18"/>
      <c r="MW21" s="18"/>
      <c r="MX21" s="18"/>
      <c r="MY21" s="18"/>
      <c r="MZ21" s="11" t="str">
        <f t="shared" si="146"/>
        <v/>
      </c>
      <c r="NA21" s="11" t="str">
        <f t="shared" si="147"/>
        <v/>
      </c>
      <c r="NB21" s="11" t="str">
        <f t="shared" si="148"/>
        <v/>
      </c>
      <c r="NC21" s="11" t="str">
        <f t="shared" si="149"/>
        <v/>
      </c>
      <c r="ND21" s="11" t="str">
        <f t="shared" si="150"/>
        <v/>
      </c>
      <c r="NE21" s="11" t="str">
        <f t="shared" si="151"/>
        <v/>
      </c>
      <c r="NF21" s="11" t="str">
        <f t="shared" si="152"/>
        <v/>
      </c>
      <c r="NG21" s="11" t="str">
        <f t="shared" si="153"/>
        <v/>
      </c>
      <c r="NH21" s="11" t="str">
        <f t="shared" si="154"/>
        <v/>
      </c>
      <c r="NI21" s="11" t="str">
        <f t="shared" si="155"/>
        <v/>
      </c>
      <c r="NJ21" s="11" t="str">
        <f t="shared" si="156"/>
        <v/>
      </c>
      <c r="NK21" s="11" t="str">
        <f t="shared" si="157"/>
        <v/>
      </c>
      <c r="NL21" s="11" t="str">
        <f t="shared" si="158"/>
        <v/>
      </c>
      <c r="NM21" s="11" t="str">
        <f t="shared" si="159"/>
        <v/>
      </c>
      <c r="NN21" s="17"/>
      <c r="NO21" s="17"/>
      <c r="NP21" s="17"/>
      <c r="NQ21" s="17"/>
      <c r="NR21" s="17"/>
      <c r="NS21" s="17"/>
      <c r="NT21" s="17"/>
      <c r="NU21" s="17"/>
      <c r="NV21" s="17"/>
      <c r="NW21" s="17"/>
      <c r="NX21" s="17"/>
      <c r="NY21" s="17"/>
      <c r="NZ21" s="17"/>
      <c r="OA21" s="17"/>
      <c r="OB21" s="17"/>
      <c r="OC21" s="17"/>
      <c r="OD21" s="17"/>
      <c r="OE21" s="17"/>
      <c r="OF21" s="17"/>
      <c r="OG21" s="17"/>
      <c r="OH21" s="40" t="str">
        <f t="shared" si="160"/>
        <v/>
      </c>
      <c r="OI21" s="40" t="str">
        <f t="shared" si="161"/>
        <v/>
      </c>
      <c r="OJ21" s="40" t="str">
        <f t="shared" si="162"/>
        <v/>
      </c>
      <c r="OK21" s="40" t="str">
        <f t="shared" si="163"/>
        <v/>
      </c>
      <c r="OL21" s="40" t="str">
        <f t="shared" si="164"/>
        <v/>
      </c>
      <c r="OM21" s="40" t="str">
        <f t="shared" si="165"/>
        <v/>
      </c>
      <c r="ON21" s="40" t="str">
        <f t="shared" si="166"/>
        <v/>
      </c>
      <c r="OO21" s="40" t="str">
        <f t="shared" si="167"/>
        <v/>
      </c>
      <c r="OP21" s="40" t="str">
        <f t="shared" si="168"/>
        <v/>
      </c>
      <c r="OQ21" s="40" t="str">
        <f t="shared" si="169"/>
        <v/>
      </c>
      <c r="OR21" s="40" t="str">
        <f t="shared" si="170"/>
        <v/>
      </c>
      <c r="OS21" s="40" t="str">
        <f t="shared" si="171"/>
        <v/>
      </c>
      <c r="OT21" s="40" t="str">
        <f t="shared" si="172"/>
        <v/>
      </c>
      <c r="OU21" s="40" t="str">
        <f t="shared" si="173"/>
        <v/>
      </c>
      <c r="OV21" s="18"/>
      <c r="OW21" s="18"/>
      <c r="OX21" s="18"/>
      <c r="OY21" s="18"/>
      <c r="OZ21" s="18"/>
      <c r="PA21" s="18"/>
      <c r="PB21" s="18"/>
      <c r="PC21" s="18"/>
      <c r="PD21" s="18"/>
      <c r="PE21" s="18"/>
      <c r="PF21" s="18"/>
      <c r="PG21" s="18"/>
      <c r="PH21" s="18"/>
      <c r="PI21" s="18"/>
      <c r="PJ21" s="18"/>
      <c r="PK21" s="18"/>
      <c r="PL21" s="18"/>
      <c r="PM21" s="18"/>
      <c r="PN21" s="18"/>
      <c r="PO21" s="18"/>
      <c r="PP21" s="11" t="str">
        <f t="shared" si="174"/>
        <v/>
      </c>
      <c r="PQ21" s="11" t="str">
        <f t="shared" si="175"/>
        <v/>
      </c>
      <c r="PR21" s="11" t="str">
        <f t="shared" si="176"/>
        <v/>
      </c>
      <c r="PS21" s="11" t="str">
        <f t="shared" si="177"/>
        <v/>
      </c>
      <c r="PT21" s="11" t="str">
        <f t="shared" si="178"/>
        <v/>
      </c>
      <c r="PU21" s="11" t="str">
        <f t="shared" si="179"/>
        <v/>
      </c>
      <c r="PV21" s="11" t="str">
        <f t="shared" si="180"/>
        <v/>
      </c>
      <c r="PW21" s="11" t="str">
        <f t="shared" si="181"/>
        <v/>
      </c>
      <c r="PX21" s="11" t="str">
        <f t="shared" si="182"/>
        <v/>
      </c>
      <c r="PY21" s="11" t="str">
        <f t="shared" si="183"/>
        <v/>
      </c>
      <c r="PZ21" s="11" t="str">
        <f t="shared" si="184"/>
        <v/>
      </c>
      <c r="QA21" s="11" t="str">
        <f t="shared" si="185"/>
        <v/>
      </c>
      <c r="QB21" s="11" t="str">
        <f t="shared" si="186"/>
        <v/>
      </c>
      <c r="QC21" s="11" t="str">
        <f t="shared" si="187"/>
        <v/>
      </c>
      <c r="QD21" s="17"/>
      <c r="QE21" s="17"/>
      <c r="QF21" s="17"/>
      <c r="QG21" s="17"/>
      <c r="QH21" s="17"/>
      <c r="QI21" s="17"/>
      <c r="QJ21" s="17"/>
      <c r="QK21" s="17"/>
      <c r="QL21" s="17"/>
      <c r="QM21" s="17"/>
      <c r="QN21" s="17"/>
      <c r="QO21" s="17"/>
      <c r="QP21" s="17"/>
      <c r="QQ21" s="17"/>
      <c r="QR21" s="17"/>
      <c r="QS21" s="17"/>
      <c r="QT21" s="17"/>
      <c r="QU21" s="17"/>
      <c r="QV21" s="17"/>
      <c r="QW21" s="17"/>
      <c r="QX21" s="40" t="str">
        <f t="shared" si="188"/>
        <v/>
      </c>
      <c r="QY21" s="40" t="str">
        <f t="shared" si="189"/>
        <v/>
      </c>
      <c r="QZ21" s="40" t="str">
        <f t="shared" si="190"/>
        <v/>
      </c>
      <c r="RA21" s="40" t="str">
        <f t="shared" si="191"/>
        <v/>
      </c>
      <c r="RB21" s="40" t="str">
        <f t="shared" si="192"/>
        <v/>
      </c>
      <c r="RC21" s="40" t="str">
        <f t="shared" si="193"/>
        <v/>
      </c>
      <c r="RD21" s="40" t="str">
        <f t="shared" si="194"/>
        <v/>
      </c>
      <c r="RE21" s="40" t="str">
        <f t="shared" si="195"/>
        <v/>
      </c>
      <c r="RF21" s="40" t="str">
        <f t="shared" si="196"/>
        <v/>
      </c>
      <c r="RG21" s="40" t="str">
        <f t="shared" si="197"/>
        <v/>
      </c>
      <c r="RH21" s="40" t="str">
        <f t="shared" si="198"/>
        <v/>
      </c>
      <c r="RI21" s="40" t="str">
        <f t="shared" si="199"/>
        <v/>
      </c>
      <c r="RJ21" s="40" t="str">
        <f t="shared" si="200"/>
        <v/>
      </c>
      <c r="RK21" s="40" t="str">
        <f t="shared" si="201"/>
        <v/>
      </c>
      <c r="RL21" s="18"/>
      <c r="RM21" s="18"/>
      <c r="RN21" s="18"/>
      <c r="RO21" s="18"/>
      <c r="RP21" s="18"/>
      <c r="RQ21" s="18"/>
      <c r="RR21" s="18"/>
      <c r="RS21" s="18"/>
      <c r="RT21" s="18"/>
      <c r="RU21" s="18"/>
      <c r="RV21" s="18"/>
      <c r="RW21" s="18"/>
      <c r="RX21" s="18"/>
      <c r="RY21" s="18"/>
      <c r="RZ21" s="18"/>
      <c r="SA21" s="18"/>
      <c r="SB21" s="18"/>
      <c r="SC21" s="18"/>
      <c r="SD21" s="18"/>
      <c r="SE21" s="18"/>
      <c r="SF21" s="11" t="str">
        <f t="shared" si="202"/>
        <v/>
      </c>
      <c r="SG21" s="11" t="str">
        <f t="shared" si="203"/>
        <v/>
      </c>
      <c r="SH21" s="11" t="str">
        <f t="shared" si="204"/>
        <v/>
      </c>
      <c r="SI21" s="11" t="str">
        <f t="shared" si="205"/>
        <v/>
      </c>
      <c r="SJ21" s="11" t="str">
        <f t="shared" si="206"/>
        <v/>
      </c>
      <c r="SK21" s="11" t="str">
        <f t="shared" si="207"/>
        <v/>
      </c>
      <c r="SL21" s="11" t="str">
        <f t="shared" si="208"/>
        <v/>
      </c>
      <c r="SM21" s="11" t="str">
        <f t="shared" si="209"/>
        <v/>
      </c>
      <c r="SN21" s="11" t="str">
        <f t="shared" si="210"/>
        <v/>
      </c>
      <c r="SO21" s="11" t="str">
        <f t="shared" si="211"/>
        <v/>
      </c>
      <c r="SP21" s="11" t="str">
        <f t="shared" si="212"/>
        <v/>
      </c>
      <c r="SQ21" s="11" t="str">
        <f t="shared" si="213"/>
        <v/>
      </c>
      <c r="SR21" s="11" t="str">
        <f t="shared" si="214"/>
        <v/>
      </c>
      <c r="SS21" s="11" t="str">
        <f t="shared" si="215"/>
        <v/>
      </c>
      <c r="ST21" s="22">
        <f t="shared" si="216"/>
        <v>7.15</v>
      </c>
      <c r="SU21" s="22">
        <f t="shared" si="217"/>
        <v>4.5999999999999996</v>
      </c>
      <c r="SV21" s="22">
        <f t="shared" si="218"/>
        <v>3.8</v>
      </c>
      <c r="SW21" s="22">
        <f t="shared" si="219"/>
        <v>6.81</v>
      </c>
      <c r="SX21" s="22">
        <f t="shared" si="220"/>
        <v>0.6</v>
      </c>
      <c r="SY21" s="22">
        <f t="shared" si="221"/>
        <v>2.8</v>
      </c>
      <c r="SZ21" s="22">
        <f t="shared" si="222"/>
        <v>1.75</v>
      </c>
      <c r="TA21" s="22">
        <f t="shared" si="223"/>
        <v>1.95</v>
      </c>
      <c r="TB21" s="22">
        <f t="shared" si="224"/>
        <v>2.76</v>
      </c>
      <c r="TC21" s="22">
        <f t="shared" si="225"/>
        <v>0</v>
      </c>
      <c r="TD21" s="22">
        <f t="shared" si="226"/>
        <v>0</v>
      </c>
      <c r="TE21" s="22">
        <f t="shared" si="227"/>
        <v>0</v>
      </c>
      <c r="TF21" s="22">
        <f t="shared" si="228"/>
        <v>0</v>
      </c>
      <c r="TG21" s="22">
        <f t="shared" si="229"/>
        <v>0</v>
      </c>
      <c r="TH21" s="22">
        <f t="shared" si="230"/>
        <v>0</v>
      </c>
      <c r="TI21" s="27" t="s">
        <v>46</v>
      </c>
      <c r="TJ21" s="40">
        <f t="shared" si="231"/>
        <v>3.8</v>
      </c>
      <c r="TK21" s="40">
        <f t="shared" si="232"/>
        <v>6.81</v>
      </c>
      <c r="TL21" s="40">
        <f t="shared" si="233"/>
        <v>21.759999999999998</v>
      </c>
      <c r="TM21" s="40">
        <f t="shared" si="234"/>
        <v>1.95</v>
      </c>
      <c r="TN21" s="40">
        <f t="shared" si="235"/>
        <v>2.76</v>
      </c>
      <c r="TO21" s="40">
        <f t="shared" si="236"/>
        <v>9.26</v>
      </c>
      <c r="TP21" s="40">
        <f t="shared" si="237"/>
        <v>21.759999999999998</v>
      </c>
      <c r="TQ21" s="40" t="str">
        <f t="shared" si="238"/>
        <v/>
      </c>
      <c r="TR21" s="40" t="str">
        <f t="shared" si="239"/>
        <v/>
      </c>
      <c r="TS21" s="40" t="str">
        <f t="shared" si="240"/>
        <v/>
      </c>
      <c r="TT21" s="40">
        <f t="shared" si="241"/>
        <v>21.759999999999998</v>
      </c>
    </row>
    <row r="22" spans="1:540" x14ac:dyDescent="0.2">
      <c r="A22" s="4" t="str" cm="1">
        <f t="array" ref="A22">IF(AND(F22&lt;&gt;"",G22&lt;&gt;""),SUMPRODUCT((F$4:F$32&lt;&gt;"")*(G$4:G$32&lt;&gt;"")*(E$4:E$32&gt;E22))+1,IF(G22&lt;&gt;"",SUMPRODUCT((H$4:H$32="No DD")*(E$4:E$32&gt;E22))+1+SUMPRODUCT((F$4:F$32&lt;&gt;"")*(G$4:G$32&lt;&gt;"")),""))</f>
        <v/>
      </c>
      <c r="B22" s="5" t="s">
        <v>170</v>
      </c>
      <c r="C22" s="4" t="s">
        <v>3</v>
      </c>
      <c r="D22" s="4">
        <v>2002</v>
      </c>
      <c r="E22" s="9">
        <f t="shared" si="0"/>
        <v>68.520006852004528</v>
      </c>
      <c r="F22" s="3" t="str">
        <f t="shared" si="1"/>
        <v/>
      </c>
      <c r="G22" s="3" t="str">
        <f t="shared" si="2"/>
        <v/>
      </c>
      <c r="H22" s="36" t="str">
        <f t="shared" si="3"/>
        <v/>
      </c>
      <c r="I22" s="3" t="str">
        <f t="shared" si="4"/>
        <v/>
      </c>
      <c r="J22" s="8">
        <f>IF(COUNT(AO22,AR22,BP22,BS22,CQ22,CT22)&gt;0,LARGE((AO22,AR22,BP22,BS22,CQ22,CT22),1),0)</f>
        <v>45.339999999999996</v>
      </c>
      <c r="K22" s="8" t="str">
        <f t="shared" si="5"/>
        <v>2023 Elite Canada</v>
      </c>
      <c r="L22" s="8">
        <f>IF(COUNT(AO22,AR22,BP22,BS22,CQ22,CT22)&gt;1,LARGE((AO22,AR22,BP22,BS22,CQ22,CT22),2),0)</f>
        <v>8.74</v>
      </c>
      <c r="M22" s="8" t="str">
        <f t="shared" si="6"/>
        <v>2022 Nationals</v>
      </c>
      <c r="N22" s="8">
        <f>IF(COUNT(AO22,AR22,BP22,BS22,CQ22,CT22)&gt;2,LARGE((AO22,AR22,BP22,BS22,CQ22,CT22),3),0)</f>
        <v>5.24</v>
      </c>
      <c r="O22" s="8" t="str">
        <f t="shared" si="242"/>
        <v>2023 Elite Canada</v>
      </c>
      <c r="P22" s="8">
        <f t="shared" si="7"/>
        <v>9.1999999999999993</v>
      </c>
      <c r="Q22" s="8" t="str">
        <f t="shared" si="8"/>
        <v>2023 Elite Canada</v>
      </c>
      <c r="R22" s="8">
        <f t="shared" si="9"/>
        <v>0</v>
      </c>
      <c r="S22" s="8" t="str">
        <f t="shared" si="10"/>
        <v/>
      </c>
      <c r="T22" s="8" t="str">
        <f t="shared" si="11"/>
        <v/>
      </c>
      <c r="U22" s="11" t="str">
        <f t="shared" si="12"/>
        <v/>
      </c>
      <c r="V22" s="8" t="str">
        <f>IF(T22="","",IF(T22=CZ22,IF(T22+IF(N22="",0,N22)=SL22,$RL$1,IF(T22+IF(N22="",0,N22)=RD22,$QD$1,IF(T22+IF(N22="",0,N22)=PV22,$OV$1,IF(T22+IF(N22="",0,N22)=ON22,$NN$1,IF(T22+IF(N22="",0,N22)=NF22,$MF$1,IF(T22+IF(N22="",0,N22)=LX22,$KX$1,IF(T22+IF(N22="",0,N22)=KP22,$JP$1,IF(T22+IF(N22="",0,N22)=JH22,$IH$1,IF(T22+IF(N22="",0,N22)=HZ22,$GZ$1,IF(T22+IF(N22="",0,N22)=GR22,$FR$1,IF(T22+IF(N22="",0,N22)=FJ22,$EJ$1,IF(T22+IF(N22="",0,N22)=EB22,$DB$1)))))))))))),IF(T22=DA22,IF(T22+IF(#REF!="",0,#REF!)=SR22,$RL$1,IF(T22+IF(#REF!="",0,#REF!)=RJ22,$QD$1,IF(T22+IF(#REF!="",0,#REF!)=QB22,$OV$1,IF(T22+IF(#REF!="",0,#REF!)=OT22,$NN$1,IF(T22+IF(#REF!="",0,#REF!)=NL22,$MF$1,IF(T22+IF(#REF!="",0,#REF!)=MD22,$KX$1,IF(T22+IF(#REF!="",0,#REF!)=KV22,$JP$1,IF(T22+IF(#REF!="",0,#REF!)=JN22,$IH$1,IF(T22+IF(#REF!="",0,#REF!)=IF22,$GZ$1,IF(T22+IF(#REF!="",0,#REF!)=GX22,$FR$1,IF(T22+IF(#REF!="",0,#REF!)=FP22,$EJ$1,IF(T22+IF(#REF!="",0,#REF!)=EH22,$DB$1,IF(T22+IF(#REF!="",0,#REF!)=SO22,$RL$1,IF(T22+IF(#REF!="",0,#REF!)=RG22,$QD$1,IF(T22+IF(#REF!="",0,#REF!)=PY22,$OV$1,IF(T22+IF(#REF!="",0,#REF!)=OQ22,$NN$1,IF(T22+IF(#REF!="",0,#REF!)=NI22,$MF$1,IF(T22+IF(#REF!="",0,#REF!)=MA22,$KX$1,IF(T22+IF(#REF!="",0,#REF!)=KS22,$JP$1,IF(T22+IF(#REF!="",0,#REF!)=JK22,$IH$1,IF(T22+IF(#REF!="",0,#REF!)=IC22,$GZ$1,IF(T22+IF(#REF!="",0,#REF!)=GU22,$FR$1,IF(T22+IF(#REF!="",0,#REF!)=FM22,$EJ$1,IF(T22+IF(#REF!="",0,#REF!)=EE22,$DB$1)))))))))))))))))))))))))))</f>
        <v/>
      </c>
      <c r="W22" s="22">
        <v>2.2000000000000002</v>
      </c>
      <c r="X22" s="22">
        <v>1.7</v>
      </c>
      <c r="Y22" s="22">
        <v>2</v>
      </c>
      <c r="Z22" s="22">
        <v>2.84</v>
      </c>
      <c r="AA22" s="22">
        <v>0</v>
      </c>
      <c r="AB22" s="22"/>
      <c r="AC22" s="22"/>
      <c r="AD22" s="22"/>
      <c r="AE22" s="22"/>
      <c r="AF22" s="22"/>
      <c r="AG22" s="22"/>
      <c r="AH22" s="22"/>
      <c r="AI22" s="22"/>
      <c r="AJ22" s="22"/>
      <c r="AK22" s="22"/>
      <c r="AL22" s="27"/>
      <c r="AM22" s="38">
        <f t="shared" si="13"/>
        <v>2</v>
      </c>
      <c r="AN22" s="38">
        <f t="shared" si="14"/>
        <v>2.84</v>
      </c>
      <c r="AO22" s="40">
        <f t="shared" si="15"/>
        <v>8.74</v>
      </c>
      <c r="AP22" s="40" t="str">
        <f t="shared" si="16"/>
        <v/>
      </c>
      <c r="AQ22" s="40" t="str">
        <f t="shared" si="17"/>
        <v/>
      </c>
      <c r="AR22" s="40" t="str">
        <f t="shared" si="18"/>
        <v/>
      </c>
      <c r="AS22" s="40">
        <f t="shared" si="19"/>
        <v>8.74</v>
      </c>
      <c r="AT22" s="40" t="str">
        <f t="shared" si="20"/>
        <v/>
      </c>
      <c r="AU22" s="40" t="str">
        <f t="shared" si="21"/>
        <v/>
      </c>
      <c r="AV22" s="40" t="str">
        <f t="shared" si="22"/>
        <v/>
      </c>
      <c r="AW22" s="40">
        <f t="shared" si="23"/>
        <v>8.74</v>
      </c>
      <c r="AX22" s="26"/>
      <c r="AY22" s="26"/>
      <c r="AZ22" s="26"/>
      <c r="BA22" s="26"/>
      <c r="BB22" s="26"/>
      <c r="BC22" s="26"/>
      <c r="BD22" s="26"/>
      <c r="BE22" s="26"/>
      <c r="BF22" s="26"/>
      <c r="BG22" s="26"/>
      <c r="BH22" s="26"/>
      <c r="BI22" s="26"/>
      <c r="BJ22" s="26"/>
      <c r="BK22" s="26"/>
      <c r="BL22" s="26"/>
      <c r="BM22" s="28"/>
      <c r="BN22" s="39" t="str">
        <f t="shared" si="24"/>
        <v/>
      </c>
      <c r="BO22" s="39" t="str">
        <f t="shared" si="25"/>
        <v/>
      </c>
      <c r="BP22" s="11" t="str">
        <f t="shared" si="26"/>
        <v/>
      </c>
      <c r="BQ22" s="11" t="str">
        <f t="shared" si="27"/>
        <v/>
      </c>
      <c r="BR22" s="11" t="str">
        <f t="shared" si="28"/>
        <v/>
      </c>
      <c r="BS22" s="11" t="str">
        <f t="shared" si="29"/>
        <v/>
      </c>
      <c r="BT22" s="11" t="str">
        <f t="shared" si="30"/>
        <v/>
      </c>
      <c r="BU22" s="11" t="str">
        <f t="shared" si="31"/>
        <v/>
      </c>
      <c r="BV22" s="11" t="str">
        <f t="shared" si="32"/>
        <v/>
      </c>
      <c r="BW22" s="11" t="str">
        <f t="shared" si="33"/>
        <v/>
      </c>
      <c r="BX22" s="11" t="str">
        <f t="shared" si="34"/>
        <v/>
      </c>
      <c r="BY22" s="22">
        <v>13.7</v>
      </c>
      <c r="BZ22" s="22">
        <v>9.1</v>
      </c>
      <c r="CA22" s="22">
        <v>9.1999999999999993</v>
      </c>
      <c r="CB22" s="22">
        <v>13.34</v>
      </c>
      <c r="CC22" s="22">
        <v>0</v>
      </c>
      <c r="CD22" s="22">
        <v>1.4</v>
      </c>
      <c r="CE22" s="22">
        <v>0.9</v>
      </c>
      <c r="CF22" s="22">
        <v>1.5</v>
      </c>
      <c r="CG22" s="22">
        <v>1.44</v>
      </c>
      <c r="CH22" s="22">
        <v>0</v>
      </c>
      <c r="CI22" s="22">
        <v>5.2</v>
      </c>
      <c r="CJ22" s="22">
        <v>3.5</v>
      </c>
      <c r="CK22" s="22">
        <v>4.3</v>
      </c>
      <c r="CL22" s="22">
        <v>5.33</v>
      </c>
      <c r="CM22" s="22">
        <v>0</v>
      </c>
      <c r="CN22" s="27"/>
      <c r="CO22" s="38">
        <f t="shared" si="35"/>
        <v>9.1999999999999993</v>
      </c>
      <c r="CP22" s="38">
        <f t="shared" si="36"/>
        <v>13.34</v>
      </c>
      <c r="CQ22" s="40">
        <f t="shared" si="37"/>
        <v>45.339999999999996</v>
      </c>
      <c r="CR22" s="40">
        <f t="shared" si="38"/>
        <v>1.5</v>
      </c>
      <c r="CS22" s="40">
        <f t="shared" si="39"/>
        <v>1.44</v>
      </c>
      <c r="CT22" s="40">
        <f t="shared" si="40"/>
        <v>5.24</v>
      </c>
      <c r="CU22" s="40">
        <f t="shared" si="41"/>
        <v>45.339999999999996</v>
      </c>
      <c r="CV22" s="40">
        <f t="shared" si="42"/>
        <v>4.3</v>
      </c>
      <c r="CW22" s="40">
        <f t="shared" si="43"/>
        <v>5.33</v>
      </c>
      <c r="CX22" s="40">
        <f t="shared" si="44"/>
        <v>18.329999999999998</v>
      </c>
      <c r="CY22" s="40">
        <f t="shared" si="45"/>
        <v>63.669999999999995</v>
      </c>
      <c r="CZ22" s="50" t="str">
        <f t="shared" si="46"/>
        <v/>
      </c>
      <c r="DA22" s="50" t="str">
        <f t="shared" si="47"/>
        <v/>
      </c>
      <c r="DB22" s="17"/>
      <c r="DC22" s="17"/>
      <c r="DD22" s="17"/>
      <c r="DE22" s="17"/>
      <c r="DF22" s="17"/>
      <c r="DG22" s="17"/>
      <c r="DH22" s="17"/>
      <c r="DI22" s="17"/>
      <c r="DJ22" s="17"/>
      <c r="DK22" s="17"/>
      <c r="DL22" s="17"/>
      <c r="DM22" s="17"/>
      <c r="DN22" s="17"/>
      <c r="DO22" s="17"/>
      <c r="DP22" s="17"/>
      <c r="DQ22" s="17"/>
      <c r="DR22" s="17"/>
      <c r="DS22" s="17"/>
      <c r="DT22" s="17"/>
      <c r="DU22" s="17"/>
      <c r="DV22" s="40" t="str">
        <f t="shared" si="48"/>
        <v/>
      </c>
      <c r="DW22" s="40" t="str">
        <f t="shared" si="49"/>
        <v/>
      </c>
      <c r="DX22" s="40" t="str">
        <f t="shared" si="50"/>
        <v/>
      </c>
      <c r="DY22" s="40" t="str">
        <f t="shared" si="51"/>
        <v/>
      </c>
      <c r="DZ22" s="40" t="str">
        <f t="shared" si="52"/>
        <v/>
      </c>
      <c r="EA22" s="40" t="str">
        <f t="shared" si="53"/>
        <v/>
      </c>
      <c r="EB22" s="40" t="str">
        <f t="shared" si="54"/>
        <v/>
      </c>
      <c r="EC22" s="40" t="str">
        <f t="shared" si="55"/>
        <v/>
      </c>
      <c r="ED22" s="40" t="str">
        <f t="shared" si="56"/>
        <v/>
      </c>
      <c r="EE22" s="40" t="str">
        <f t="shared" si="57"/>
        <v/>
      </c>
      <c r="EF22" s="40" t="str">
        <f t="shared" si="58"/>
        <v/>
      </c>
      <c r="EG22" s="40" t="str">
        <f t="shared" si="59"/>
        <v/>
      </c>
      <c r="EH22" s="40" t="str">
        <f t="shared" si="60"/>
        <v/>
      </c>
      <c r="EI22" s="40" t="str">
        <f t="shared" si="61"/>
        <v/>
      </c>
      <c r="EJ22" s="18"/>
      <c r="EK22" s="18"/>
      <c r="EL22" s="18"/>
      <c r="EM22" s="18"/>
      <c r="EN22" s="18"/>
      <c r="EO22" s="18"/>
      <c r="EP22" s="18"/>
      <c r="EQ22" s="18"/>
      <c r="ER22" s="18"/>
      <c r="ES22" s="18"/>
      <c r="ET22" s="18"/>
      <c r="EU22" s="18"/>
      <c r="EV22" s="18"/>
      <c r="EW22" s="18"/>
      <c r="EX22" s="18"/>
      <c r="EY22" s="18"/>
      <c r="EZ22" s="18"/>
      <c r="FA22" s="18"/>
      <c r="FB22" s="18"/>
      <c r="FC22" s="18"/>
      <c r="FD22" s="11" t="str">
        <f t="shared" si="62"/>
        <v/>
      </c>
      <c r="FE22" s="11" t="str">
        <f t="shared" si="63"/>
        <v/>
      </c>
      <c r="FF22" s="11" t="str">
        <f t="shared" si="64"/>
        <v/>
      </c>
      <c r="FG22" s="11" t="str">
        <f t="shared" si="65"/>
        <v/>
      </c>
      <c r="FH22" s="11" t="str">
        <f t="shared" si="66"/>
        <v/>
      </c>
      <c r="FI22" s="11" t="str">
        <f t="shared" si="67"/>
        <v/>
      </c>
      <c r="FJ22" s="11" t="str">
        <f t="shared" si="68"/>
        <v/>
      </c>
      <c r="FK22" s="11" t="str">
        <f t="shared" si="69"/>
        <v/>
      </c>
      <c r="FL22" s="11" t="str">
        <f t="shared" si="70"/>
        <v/>
      </c>
      <c r="FM22" s="11" t="str">
        <f t="shared" si="71"/>
        <v/>
      </c>
      <c r="FN22" s="11" t="str">
        <f t="shared" si="72"/>
        <v/>
      </c>
      <c r="FO22" s="11" t="str">
        <f t="shared" si="73"/>
        <v/>
      </c>
      <c r="FP22" s="11" t="str">
        <f t="shared" si="74"/>
        <v/>
      </c>
      <c r="FQ22" s="11" t="str">
        <f t="shared" si="75"/>
        <v/>
      </c>
      <c r="FR22" s="17"/>
      <c r="FS22" s="17"/>
      <c r="FT22" s="17"/>
      <c r="FU22" s="17"/>
      <c r="FV22" s="17"/>
      <c r="FW22" s="17"/>
      <c r="FX22" s="17"/>
      <c r="FY22" s="17"/>
      <c r="FZ22" s="17"/>
      <c r="GA22" s="17"/>
      <c r="GB22" s="17"/>
      <c r="GC22" s="17"/>
      <c r="GD22" s="17"/>
      <c r="GE22" s="17"/>
      <c r="GF22" s="17"/>
      <c r="GG22" s="17"/>
      <c r="GH22" s="17"/>
      <c r="GI22" s="17"/>
      <c r="GJ22" s="17"/>
      <c r="GK22" s="17"/>
      <c r="GL22" s="40" t="str">
        <f t="shared" si="76"/>
        <v/>
      </c>
      <c r="GM22" s="40" t="str">
        <f t="shared" si="77"/>
        <v/>
      </c>
      <c r="GN22" s="40" t="str">
        <f t="shared" si="78"/>
        <v/>
      </c>
      <c r="GO22" s="40" t="str">
        <f t="shared" si="79"/>
        <v/>
      </c>
      <c r="GP22" s="40" t="str">
        <f t="shared" si="80"/>
        <v/>
      </c>
      <c r="GQ22" s="40" t="str">
        <f t="shared" si="81"/>
        <v/>
      </c>
      <c r="GR22" s="40" t="str">
        <f t="shared" si="82"/>
        <v/>
      </c>
      <c r="GS22" s="40" t="str">
        <f t="shared" si="83"/>
        <v/>
      </c>
      <c r="GT22" s="40" t="str">
        <f t="shared" si="84"/>
        <v/>
      </c>
      <c r="GU22" s="40" t="str">
        <f t="shared" si="85"/>
        <v/>
      </c>
      <c r="GV22" s="40" t="str">
        <f t="shared" si="86"/>
        <v/>
      </c>
      <c r="GW22" s="40" t="str">
        <f t="shared" si="87"/>
        <v/>
      </c>
      <c r="GX22" s="40" t="str">
        <f t="shared" si="88"/>
        <v/>
      </c>
      <c r="GY22" s="40" t="str">
        <f t="shared" si="89"/>
        <v/>
      </c>
      <c r="GZ22" s="18"/>
      <c r="HA22" s="18"/>
      <c r="HB22" s="18"/>
      <c r="HC22" s="18"/>
      <c r="HD22" s="18"/>
      <c r="HE22" s="18"/>
      <c r="HF22" s="18"/>
      <c r="HG22" s="18"/>
      <c r="HH22" s="18"/>
      <c r="HI22" s="18"/>
      <c r="HJ22" s="18"/>
      <c r="HK22" s="18"/>
      <c r="HL22" s="18"/>
      <c r="HM22" s="18"/>
      <c r="HN22" s="18"/>
      <c r="HO22" s="18"/>
      <c r="HP22" s="18"/>
      <c r="HQ22" s="18"/>
      <c r="HR22" s="18"/>
      <c r="HS22" s="18"/>
      <c r="HT22" s="11" t="str">
        <f t="shared" si="90"/>
        <v/>
      </c>
      <c r="HU22" s="11" t="str">
        <f t="shared" si="91"/>
        <v/>
      </c>
      <c r="HV22" s="11" t="str">
        <f t="shared" si="92"/>
        <v/>
      </c>
      <c r="HW22" s="11" t="str">
        <f t="shared" si="93"/>
        <v/>
      </c>
      <c r="HX22" s="11" t="str">
        <f t="shared" si="94"/>
        <v/>
      </c>
      <c r="HY22" s="11" t="str">
        <f t="shared" si="95"/>
        <v/>
      </c>
      <c r="HZ22" s="11" t="str">
        <f t="shared" si="96"/>
        <v/>
      </c>
      <c r="IA22" s="11" t="str">
        <f t="shared" si="97"/>
        <v/>
      </c>
      <c r="IB22" s="11" t="str">
        <f t="shared" si="98"/>
        <v/>
      </c>
      <c r="IC22" s="11" t="str">
        <f t="shared" si="99"/>
        <v/>
      </c>
      <c r="ID22" s="11" t="str">
        <f t="shared" si="100"/>
        <v/>
      </c>
      <c r="IE22" s="11" t="str">
        <f t="shared" si="101"/>
        <v/>
      </c>
      <c r="IF22" s="11" t="str">
        <f t="shared" si="102"/>
        <v/>
      </c>
      <c r="IG22" s="11" t="str">
        <f t="shared" si="103"/>
        <v/>
      </c>
      <c r="IH22" s="17"/>
      <c r="II22" s="17"/>
      <c r="IJ22" s="17"/>
      <c r="IK22" s="17"/>
      <c r="IL22" s="17"/>
      <c r="IM22" s="17"/>
      <c r="IN22" s="17"/>
      <c r="IO22" s="17"/>
      <c r="IP22" s="17"/>
      <c r="IQ22" s="17"/>
      <c r="IR22" s="17"/>
      <c r="IS22" s="17"/>
      <c r="IT22" s="17"/>
      <c r="IU22" s="17"/>
      <c r="IV22" s="17"/>
      <c r="IW22" s="17"/>
      <c r="IX22" s="17"/>
      <c r="IY22" s="17"/>
      <c r="IZ22" s="17"/>
      <c r="JA22" s="17"/>
      <c r="JB22" s="40" t="str">
        <f t="shared" si="104"/>
        <v/>
      </c>
      <c r="JC22" s="40" t="str">
        <f t="shared" si="105"/>
        <v/>
      </c>
      <c r="JD22" s="40" t="str">
        <f t="shared" si="106"/>
        <v/>
      </c>
      <c r="JE22" s="40" t="str">
        <f t="shared" si="107"/>
        <v/>
      </c>
      <c r="JF22" s="40" t="str">
        <f t="shared" si="108"/>
        <v/>
      </c>
      <c r="JG22" s="40" t="str">
        <f t="shared" si="109"/>
        <v/>
      </c>
      <c r="JH22" s="40" t="str">
        <f t="shared" si="110"/>
        <v/>
      </c>
      <c r="JI22" s="40" t="str">
        <f t="shared" si="111"/>
        <v/>
      </c>
      <c r="JJ22" s="40" t="str">
        <f t="shared" si="112"/>
        <v/>
      </c>
      <c r="JK22" s="40" t="str">
        <f t="shared" si="113"/>
        <v/>
      </c>
      <c r="JL22" s="40" t="str">
        <f t="shared" si="114"/>
        <v/>
      </c>
      <c r="JM22" s="40" t="str">
        <f t="shared" si="115"/>
        <v/>
      </c>
      <c r="JN22" s="40" t="str">
        <f t="shared" si="116"/>
        <v/>
      </c>
      <c r="JO22" s="40" t="str">
        <f t="shared" si="117"/>
        <v/>
      </c>
      <c r="JP22" s="18"/>
      <c r="JQ22" s="18"/>
      <c r="JR22" s="18"/>
      <c r="JS22" s="18"/>
      <c r="JT22" s="18"/>
      <c r="JU22" s="18"/>
      <c r="JV22" s="18"/>
      <c r="JW22" s="18"/>
      <c r="JX22" s="18"/>
      <c r="JY22" s="18"/>
      <c r="JZ22" s="18"/>
      <c r="KA22" s="18"/>
      <c r="KB22" s="18"/>
      <c r="KC22" s="18"/>
      <c r="KD22" s="18"/>
      <c r="KE22" s="18"/>
      <c r="KF22" s="18"/>
      <c r="KG22" s="18"/>
      <c r="KH22" s="18"/>
      <c r="KI22" s="18"/>
      <c r="KJ22" s="11" t="str">
        <f t="shared" si="118"/>
        <v/>
      </c>
      <c r="KK22" s="11" t="str">
        <f t="shared" si="119"/>
        <v/>
      </c>
      <c r="KL22" s="11" t="str">
        <f t="shared" si="120"/>
        <v/>
      </c>
      <c r="KM22" s="11" t="str">
        <f t="shared" si="121"/>
        <v/>
      </c>
      <c r="KN22" s="11" t="str">
        <f t="shared" si="122"/>
        <v/>
      </c>
      <c r="KO22" s="11" t="str">
        <f t="shared" si="123"/>
        <v/>
      </c>
      <c r="KP22" s="11" t="str">
        <f t="shared" si="124"/>
        <v/>
      </c>
      <c r="KQ22" s="11" t="str">
        <f t="shared" si="125"/>
        <v/>
      </c>
      <c r="KR22" s="11" t="str">
        <f t="shared" si="126"/>
        <v/>
      </c>
      <c r="KS22" s="11" t="str">
        <f t="shared" si="127"/>
        <v/>
      </c>
      <c r="KT22" s="11" t="str">
        <f t="shared" si="128"/>
        <v/>
      </c>
      <c r="KU22" s="11" t="str">
        <f t="shared" si="129"/>
        <v/>
      </c>
      <c r="KV22" s="11" t="str">
        <f t="shared" si="130"/>
        <v/>
      </c>
      <c r="KW22" s="11" t="str">
        <f t="shared" si="131"/>
        <v/>
      </c>
      <c r="KX22" s="17"/>
      <c r="KY22" s="17"/>
      <c r="KZ22" s="17"/>
      <c r="LA22" s="17"/>
      <c r="LB22" s="17"/>
      <c r="LC22" s="17"/>
      <c r="LD22" s="17"/>
      <c r="LE22" s="17"/>
      <c r="LF22" s="17"/>
      <c r="LG22" s="17"/>
      <c r="LH22" s="17"/>
      <c r="LI22" s="17"/>
      <c r="LJ22" s="17"/>
      <c r="LK22" s="17"/>
      <c r="LL22" s="17"/>
      <c r="LM22" s="17"/>
      <c r="LN22" s="17"/>
      <c r="LO22" s="17"/>
      <c r="LP22" s="17"/>
      <c r="LQ22" s="17"/>
      <c r="LR22" s="40" t="str">
        <f t="shared" si="132"/>
        <v/>
      </c>
      <c r="LS22" s="40" t="str">
        <f t="shared" si="133"/>
        <v/>
      </c>
      <c r="LT22" s="40" t="str">
        <f t="shared" si="134"/>
        <v/>
      </c>
      <c r="LU22" s="40" t="str">
        <f t="shared" si="135"/>
        <v/>
      </c>
      <c r="LV22" s="40" t="str">
        <f t="shared" si="136"/>
        <v/>
      </c>
      <c r="LW22" s="40" t="str">
        <f t="shared" si="137"/>
        <v/>
      </c>
      <c r="LX22" s="40" t="str">
        <f t="shared" si="138"/>
        <v/>
      </c>
      <c r="LY22" s="40" t="str">
        <f t="shared" si="139"/>
        <v/>
      </c>
      <c r="LZ22" s="40" t="str">
        <f t="shared" si="140"/>
        <v/>
      </c>
      <c r="MA22" s="40" t="str">
        <f t="shared" si="141"/>
        <v/>
      </c>
      <c r="MB22" s="40" t="str">
        <f t="shared" si="142"/>
        <v/>
      </c>
      <c r="MC22" s="40" t="str">
        <f t="shared" si="143"/>
        <v/>
      </c>
      <c r="MD22" s="40" t="str">
        <f t="shared" si="144"/>
        <v/>
      </c>
      <c r="ME22" s="40" t="str">
        <f t="shared" si="145"/>
        <v/>
      </c>
      <c r="MF22" s="18"/>
      <c r="MG22" s="18"/>
      <c r="MH22" s="18"/>
      <c r="MI22" s="18"/>
      <c r="MJ22" s="18"/>
      <c r="MK22" s="18"/>
      <c r="ML22" s="18"/>
      <c r="MM22" s="18"/>
      <c r="MN22" s="18"/>
      <c r="MO22" s="18"/>
      <c r="MP22" s="18"/>
      <c r="MQ22" s="18"/>
      <c r="MR22" s="18"/>
      <c r="MS22" s="18"/>
      <c r="MT22" s="18"/>
      <c r="MU22" s="18"/>
      <c r="MV22" s="18"/>
      <c r="MW22" s="18"/>
      <c r="MX22" s="18"/>
      <c r="MY22" s="18"/>
      <c r="MZ22" s="11" t="str">
        <f t="shared" si="146"/>
        <v/>
      </c>
      <c r="NA22" s="11" t="str">
        <f t="shared" si="147"/>
        <v/>
      </c>
      <c r="NB22" s="11" t="str">
        <f t="shared" si="148"/>
        <v/>
      </c>
      <c r="NC22" s="11" t="str">
        <f t="shared" si="149"/>
        <v/>
      </c>
      <c r="ND22" s="11" t="str">
        <f t="shared" si="150"/>
        <v/>
      </c>
      <c r="NE22" s="11" t="str">
        <f t="shared" si="151"/>
        <v/>
      </c>
      <c r="NF22" s="11" t="str">
        <f t="shared" si="152"/>
        <v/>
      </c>
      <c r="NG22" s="11" t="str">
        <f t="shared" si="153"/>
        <v/>
      </c>
      <c r="NH22" s="11" t="str">
        <f t="shared" si="154"/>
        <v/>
      </c>
      <c r="NI22" s="11" t="str">
        <f t="shared" si="155"/>
        <v/>
      </c>
      <c r="NJ22" s="11" t="str">
        <f t="shared" si="156"/>
        <v/>
      </c>
      <c r="NK22" s="11" t="str">
        <f t="shared" si="157"/>
        <v/>
      </c>
      <c r="NL22" s="11" t="str">
        <f t="shared" si="158"/>
        <v/>
      </c>
      <c r="NM22" s="11" t="str">
        <f t="shared" si="159"/>
        <v/>
      </c>
      <c r="NN22" s="17"/>
      <c r="NO22" s="17"/>
      <c r="NP22" s="17"/>
      <c r="NQ22" s="17"/>
      <c r="NR22" s="17"/>
      <c r="NS22" s="17"/>
      <c r="NT22" s="17"/>
      <c r="NU22" s="17"/>
      <c r="NV22" s="17"/>
      <c r="NW22" s="17"/>
      <c r="NX22" s="17"/>
      <c r="NY22" s="17"/>
      <c r="NZ22" s="17"/>
      <c r="OA22" s="17"/>
      <c r="OB22" s="17"/>
      <c r="OC22" s="17"/>
      <c r="OD22" s="17"/>
      <c r="OE22" s="17"/>
      <c r="OF22" s="17"/>
      <c r="OG22" s="17"/>
      <c r="OH22" s="40" t="str">
        <f t="shared" si="160"/>
        <v/>
      </c>
      <c r="OI22" s="40" t="str">
        <f t="shared" si="161"/>
        <v/>
      </c>
      <c r="OJ22" s="40" t="str">
        <f t="shared" si="162"/>
        <v/>
      </c>
      <c r="OK22" s="40" t="str">
        <f t="shared" si="163"/>
        <v/>
      </c>
      <c r="OL22" s="40" t="str">
        <f t="shared" si="164"/>
        <v/>
      </c>
      <c r="OM22" s="40" t="str">
        <f t="shared" si="165"/>
        <v/>
      </c>
      <c r="ON22" s="40" t="str">
        <f t="shared" si="166"/>
        <v/>
      </c>
      <c r="OO22" s="40" t="str">
        <f t="shared" si="167"/>
        <v/>
      </c>
      <c r="OP22" s="40" t="str">
        <f t="shared" si="168"/>
        <v/>
      </c>
      <c r="OQ22" s="40" t="str">
        <f t="shared" si="169"/>
        <v/>
      </c>
      <c r="OR22" s="40" t="str">
        <f t="shared" si="170"/>
        <v/>
      </c>
      <c r="OS22" s="40" t="str">
        <f t="shared" si="171"/>
        <v/>
      </c>
      <c r="OT22" s="40" t="str">
        <f t="shared" si="172"/>
        <v/>
      </c>
      <c r="OU22" s="40" t="str">
        <f t="shared" si="173"/>
        <v/>
      </c>
      <c r="OV22" s="18"/>
      <c r="OW22" s="18"/>
      <c r="OX22" s="18"/>
      <c r="OY22" s="18"/>
      <c r="OZ22" s="18"/>
      <c r="PA22" s="18"/>
      <c r="PB22" s="18"/>
      <c r="PC22" s="18"/>
      <c r="PD22" s="18"/>
      <c r="PE22" s="18"/>
      <c r="PF22" s="18"/>
      <c r="PG22" s="18"/>
      <c r="PH22" s="18"/>
      <c r="PI22" s="18"/>
      <c r="PJ22" s="18"/>
      <c r="PK22" s="18"/>
      <c r="PL22" s="18"/>
      <c r="PM22" s="18"/>
      <c r="PN22" s="18"/>
      <c r="PO22" s="18"/>
      <c r="PP22" s="11" t="str">
        <f t="shared" si="174"/>
        <v/>
      </c>
      <c r="PQ22" s="11" t="str">
        <f t="shared" si="175"/>
        <v/>
      </c>
      <c r="PR22" s="11" t="str">
        <f t="shared" si="176"/>
        <v/>
      </c>
      <c r="PS22" s="11" t="str">
        <f t="shared" si="177"/>
        <v/>
      </c>
      <c r="PT22" s="11" t="str">
        <f t="shared" si="178"/>
        <v/>
      </c>
      <c r="PU22" s="11" t="str">
        <f t="shared" si="179"/>
        <v/>
      </c>
      <c r="PV22" s="11" t="str">
        <f t="shared" si="180"/>
        <v/>
      </c>
      <c r="PW22" s="11" t="str">
        <f t="shared" si="181"/>
        <v/>
      </c>
      <c r="PX22" s="11" t="str">
        <f t="shared" si="182"/>
        <v/>
      </c>
      <c r="PY22" s="11" t="str">
        <f t="shared" si="183"/>
        <v/>
      </c>
      <c r="PZ22" s="11" t="str">
        <f t="shared" si="184"/>
        <v/>
      </c>
      <c r="QA22" s="11" t="str">
        <f t="shared" si="185"/>
        <v/>
      </c>
      <c r="QB22" s="11" t="str">
        <f t="shared" si="186"/>
        <v/>
      </c>
      <c r="QC22" s="11" t="str">
        <f t="shared" si="187"/>
        <v/>
      </c>
      <c r="QD22" s="17"/>
      <c r="QE22" s="17"/>
      <c r="QF22" s="17"/>
      <c r="QG22" s="17"/>
      <c r="QH22" s="17"/>
      <c r="QI22" s="17"/>
      <c r="QJ22" s="17"/>
      <c r="QK22" s="17"/>
      <c r="QL22" s="17"/>
      <c r="QM22" s="17"/>
      <c r="QN22" s="17"/>
      <c r="QO22" s="17"/>
      <c r="QP22" s="17"/>
      <c r="QQ22" s="17"/>
      <c r="QR22" s="17"/>
      <c r="QS22" s="17"/>
      <c r="QT22" s="17"/>
      <c r="QU22" s="17"/>
      <c r="QV22" s="17"/>
      <c r="QW22" s="17"/>
      <c r="QX22" s="40" t="str">
        <f t="shared" si="188"/>
        <v/>
      </c>
      <c r="QY22" s="40" t="str">
        <f t="shared" si="189"/>
        <v/>
      </c>
      <c r="QZ22" s="40" t="str">
        <f t="shared" si="190"/>
        <v/>
      </c>
      <c r="RA22" s="40" t="str">
        <f t="shared" si="191"/>
        <v/>
      </c>
      <c r="RB22" s="40" t="str">
        <f t="shared" si="192"/>
        <v/>
      </c>
      <c r="RC22" s="40" t="str">
        <f t="shared" si="193"/>
        <v/>
      </c>
      <c r="RD22" s="40" t="str">
        <f t="shared" si="194"/>
        <v/>
      </c>
      <c r="RE22" s="40" t="str">
        <f t="shared" si="195"/>
        <v/>
      </c>
      <c r="RF22" s="40" t="str">
        <f t="shared" si="196"/>
        <v/>
      </c>
      <c r="RG22" s="40" t="str">
        <f t="shared" si="197"/>
        <v/>
      </c>
      <c r="RH22" s="40" t="str">
        <f t="shared" si="198"/>
        <v/>
      </c>
      <c r="RI22" s="40" t="str">
        <f t="shared" si="199"/>
        <v/>
      </c>
      <c r="RJ22" s="40" t="str">
        <f t="shared" si="200"/>
        <v/>
      </c>
      <c r="RK22" s="40" t="str">
        <f t="shared" si="201"/>
        <v/>
      </c>
      <c r="RL22" s="18"/>
      <c r="RM22" s="18"/>
      <c r="RN22" s="18"/>
      <c r="RO22" s="18"/>
      <c r="RP22" s="18"/>
      <c r="RQ22" s="18"/>
      <c r="RR22" s="18"/>
      <c r="RS22" s="18"/>
      <c r="RT22" s="18"/>
      <c r="RU22" s="18"/>
      <c r="RV22" s="18"/>
      <c r="RW22" s="18"/>
      <c r="RX22" s="18"/>
      <c r="RY22" s="18"/>
      <c r="RZ22" s="18"/>
      <c r="SA22" s="18"/>
      <c r="SB22" s="18"/>
      <c r="SC22" s="18"/>
      <c r="SD22" s="18"/>
      <c r="SE22" s="18"/>
      <c r="SF22" s="11" t="str">
        <f t="shared" si="202"/>
        <v/>
      </c>
      <c r="SG22" s="11" t="str">
        <f t="shared" si="203"/>
        <v/>
      </c>
      <c r="SH22" s="11" t="str">
        <f t="shared" si="204"/>
        <v/>
      </c>
      <c r="SI22" s="11" t="str">
        <f t="shared" si="205"/>
        <v/>
      </c>
      <c r="SJ22" s="11" t="str">
        <f t="shared" si="206"/>
        <v/>
      </c>
      <c r="SK22" s="11" t="str">
        <f t="shared" si="207"/>
        <v/>
      </c>
      <c r="SL22" s="11" t="str">
        <f t="shared" si="208"/>
        <v/>
      </c>
      <c r="SM22" s="11" t="str">
        <f t="shared" si="209"/>
        <v/>
      </c>
      <c r="SN22" s="11" t="str">
        <f t="shared" si="210"/>
        <v/>
      </c>
      <c r="SO22" s="11" t="str">
        <f t="shared" si="211"/>
        <v/>
      </c>
      <c r="SP22" s="11" t="str">
        <f t="shared" si="212"/>
        <v/>
      </c>
      <c r="SQ22" s="11" t="str">
        <f t="shared" si="213"/>
        <v/>
      </c>
      <c r="SR22" s="11" t="str">
        <f t="shared" si="214"/>
        <v/>
      </c>
      <c r="SS22" s="11" t="str">
        <f t="shared" si="215"/>
        <v/>
      </c>
      <c r="ST22" s="22">
        <f t="shared" si="216"/>
        <v>6.85</v>
      </c>
      <c r="SU22" s="22">
        <f t="shared" si="217"/>
        <v>4.55</v>
      </c>
      <c r="SV22" s="22">
        <f t="shared" si="218"/>
        <v>4.5999999999999996</v>
      </c>
      <c r="SW22" s="22">
        <f t="shared" si="219"/>
        <v>6.67</v>
      </c>
      <c r="SX22" s="22">
        <f t="shared" si="220"/>
        <v>0</v>
      </c>
      <c r="SY22" s="22">
        <f t="shared" si="221"/>
        <v>0.7</v>
      </c>
      <c r="SZ22" s="22">
        <f t="shared" si="222"/>
        <v>0.45</v>
      </c>
      <c r="TA22" s="22">
        <f t="shared" si="223"/>
        <v>0.75</v>
      </c>
      <c r="TB22" s="22">
        <f t="shared" si="224"/>
        <v>0.72</v>
      </c>
      <c r="TC22" s="22">
        <f t="shared" si="225"/>
        <v>0</v>
      </c>
      <c r="TD22" s="22">
        <f t="shared" si="226"/>
        <v>2.6</v>
      </c>
      <c r="TE22" s="22">
        <f t="shared" si="227"/>
        <v>1.75</v>
      </c>
      <c r="TF22" s="22">
        <f t="shared" si="228"/>
        <v>2.15</v>
      </c>
      <c r="TG22" s="22">
        <f t="shared" si="229"/>
        <v>2.665</v>
      </c>
      <c r="TH22" s="22">
        <f t="shared" si="230"/>
        <v>0</v>
      </c>
      <c r="TI22" s="27" t="s">
        <v>46</v>
      </c>
      <c r="TJ22" s="40">
        <f t="shared" si="231"/>
        <v>4.5999999999999996</v>
      </c>
      <c r="TK22" s="40">
        <f t="shared" si="232"/>
        <v>6.67</v>
      </c>
      <c r="TL22" s="40">
        <f t="shared" si="233"/>
        <v>22.669999999999998</v>
      </c>
      <c r="TM22" s="40">
        <f t="shared" si="234"/>
        <v>0.75</v>
      </c>
      <c r="TN22" s="40">
        <f t="shared" si="235"/>
        <v>0.72</v>
      </c>
      <c r="TO22" s="40">
        <f t="shared" si="236"/>
        <v>2.62</v>
      </c>
      <c r="TP22" s="40">
        <f t="shared" si="237"/>
        <v>22.669999999999998</v>
      </c>
      <c r="TQ22" s="40">
        <f t="shared" si="238"/>
        <v>2.15</v>
      </c>
      <c r="TR22" s="40">
        <f t="shared" si="239"/>
        <v>2.665</v>
      </c>
      <c r="TS22" s="40">
        <f t="shared" si="240"/>
        <v>9.1649999999999991</v>
      </c>
      <c r="TT22" s="40">
        <f t="shared" si="241"/>
        <v>31.834999999999997</v>
      </c>
    </row>
    <row r="23" spans="1:540" x14ac:dyDescent="0.2">
      <c r="A23" s="4" t="str" cm="1">
        <f t="array" ref="A23">IF(AND(F23&lt;&gt;"",G23&lt;&gt;""),SUMPRODUCT((F$4:F$32&lt;&gt;"")*(G$4:G$32&lt;&gt;"")*(E$4:E$32&gt;E23))+1,IF(G23&lt;&gt;"",SUMPRODUCT((H$4:H$32="No DD")*(E$4:E$32&gt;E23))+1+SUMPRODUCT((F$4:F$32&lt;&gt;"")*(G$4:G$32&lt;&gt;"")),""))</f>
        <v/>
      </c>
      <c r="B23" s="5" t="s">
        <v>202</v>
      </c>
      <c r="C23" s="4" t="s">
        <v>31</v>
      </c>
      <c r="D23" s="4">
        <v>2006</v>
      </c>
      <c r="E23" s="9">
        <f t="shared" si="0"/>
        <v>67.740006774004442</v>
      </c>
      <c r="F23" s="3" t="str">
        <f t="shared" si="1"/>
        <v/>
      </c>
      <c r="G23" s="3" t="str">
        <f t="shared" si="2"/>
        <v/>
      </c>
      <c r="H23" s="36" t="str">
        <f t="shared" si="3"/>
        <v/>
      </c>
      <c r="I23" s="3" t="str">
        <f t="shared" si="4"/>
        <v/>
      </c>
      <c r="J23" s="8">
        <f>IF(COUNT(AO23,AR23,BP23,BS23,CQ23,CT23)&gt;0,LARGE((AO23,AR23,BP23,BS23,CQ23,CT23),1),0)</f>
        <v>44.46</v>
      </c>
      <c r="K23" s="8" t="str">
        <f t="shared" si="5"/>
        <v>2023 Elite Canada</v>
      </c>
      <c r="L23" s="8">
        <f>IF(COUNT(AO23,AR23,BP23,BS23,CQ23,CT23)&gt;1,LARGE((AO23,AR23,BP23,BS23,CQ23,CT23),2),0)</f>
        <v>9.32</v>
      </c>
      <c r="M23" s="8" t="str">
        <f t="shared" si="6"/>
        <v>2023 Elite Canada</v>
      </c>
      <c r="N23" s="8">
        <f>IF(COUNT(AO23,AR23,BP23,BS23,CQ23,CT23)&gt;2,LARGE((AO23,AR23,BP23,BS23,CQ23,CT23),3),0)</f>
        <v>4.8600000000000003</v>
      </c>
      <c r="O23" s="8" t="str">
        <f t="shared" si="242"/>
        <v>2022 Nationals</v>
      </c>
      <c r="P23" s="8">
        <f t="shared" si="7"/>
        <v>9.1</v>
      </c>
      <c r="Q23" s="8" t="str">
        <f t="shared" si="8"/>
        <v>2023 Elite Canada</v>
      </c>
      <c r="R23" s="8">
        <f t="shared" si="9"/>
        <v>0</v>
      </c>
      <c r="S23" s="8" t="str">
        <f t="shared" si="10"/>
        <v/>
      </c>
      <c r="T23" s="8" t="str">
        <f t="shared" si="11"/>
        <v/>
      </c>
      <c r="U23" s="11" t="str">
        <f t="shared" si="12"/>
        <v/>
      </c>
      <c r="V23" s="8" t="str">
        <f>IF(T23="","",IF(T23=CZ23,IF(T23+IF(N23="",0,N23)=SL23,$RL$1,IF(T23+IF(N23="",0,N23)=RD23,$QD$1,IF(T23+IF(N23="",0,N23)=PV23,$OV$1,IF(T23+IF(N23="",0,N23)=ON23,$NN$1,IF(T23+IF(N23="",0,N23)=NF23,$MF$1,IF(T23+IF(N23="",0,N23)=LX23,$KX$1,IF(T23+IF(N23="",0,N23)=KP23,$JP$1,IF(T23+IF(N23="",0,N23)=JH23,$IH$1,IF(T23+IF(N23="",0,N23)=HZ23,$GZ$1,IF(T23+IF(N23="",0,N23)=GR23,$FR$1,IF(T23+IF(N23="",0,N23)=FJ23,$EJ$1,IF(T23+IF(N23="",0,N23)=EB23,$DB$1)))))))))))),IF(T23=DA23,IF(T23+IF(#REF!="",0,#REF!)=SR23,$RL$1,IF(T23+IF(#REF!="",0,#REF!)=RJ23,$QD$1,IF(T23+IF(#REF!="",0,#REF!)=QB23,$OV$1,IF(T23+IF(#REF!="",0,#REF!)=OT23,$NN$1,IF(T23+IF(#REF!="",0,#REF!)=NL23,$MF$1,IF(T23+IF(#REF!="",0,#REF!)=MD23,$KX$1,IF(T23+IF(#REF!="",0,#REF!)=KV23,$JP$1,IF(T23+IF(#REF!="",0,#REF!)=JN23,$IH$1,IF(T23+IF(#REF!="",0,#REF!)=IF23,$GZ$1,IF(T23+IF(#REF!="",0,#REF!)=GX23,$FR$1,IF(T23+IF(#REF!="",0,#REF!)=FP23,$EJ$1,IF(T23+IF(#REF!="",0,#REF!)=EH23,$DB$1,IF(T23+IF(#REF!="",0,#REF!)=SO23,$RL$1,IF(T23+IF(#REF!="",0,#REF!)=RG23,$QD$1,IF(T23+IF(#REF!="",0,#REF!)=PY23,$OV$1,IF(T23+IF(#REF!="",0,#REF!)=OQ23,$NN$1,IF(T23+IF(#REF!="",0,#REF!)=NI23,$MF$1,IF(T23+IF(#REF!="",0,#REF!)=MA23,$KX$1,IF(T23+IF(#REF!="",0,#REF!)=KS23,$JP$1,IF(T23+IF(#REF!="",0,#REF!)=JK23,$IH$1,IF(T23+IF(#REF!="",0,#REF!)=IC23,$GZ$1,IF(T23+IF(#REF!="",0,#REF!)=GU23,$FR$1,IF(T23+IF(#REF!="",0,#REF!)=FM23,$EJ$1,IF(T23+IF(#REF!="",0,#REF!)=EE23,$DB$1)))))))))))))))))))))))))))</f>
        <v/>
      </c>
      <c r="W23" s="22">
        <v>1.4</v>
      </c>
      <c r="X23" s="22">
        <v>0.8</v>
      </c>
      <c r="Y23" s="22">
        <v>1.3</v>
      </c>
      <c r="Z23" s="22">
        <v>1.36</v>
      </c>
      <c r="AA23" s="22">
        <v>0</v>
      </c>
      <c r="AB23" s="22"/>
      <c r="AC23" s="22"/>
      <c r="AD23" s="22"/>
      <c r="AE23" s="22"/>
      <c r="AF23" s="22"/>
      <c r="AG23" s="22"/>
      <c r="AH23" s="22"/>
      <c r="AI23" s="22"/>
      <c r="AJ23" s="22"/>
      <c r="AK23" s="22"/>
      <c r="AL23" s="27"/>
      <c r="AM23" s="38">
        <f t="shared" si="13"/>
        <v>1.3</v>
      </c>
      <c r="AN23" s="38">
        <f t="shared" si="14"/>
        <v>1.36</v>
      </c>
      <c r="AO23" s="40">
        <f t="shared" si="15"/>
        <v>4.8600000000000003</v>
      </c>
      <c r="AP23" s="40" t="str">
        <f t="shared" si="16"/>
        <v/>
      </c>
      <c r="AQ23" s="40" t="str">
        <f t="shared" si="17"/>
        <v/>
      </c>
      <c r="AR23" s="40" t="str">
        <f t="shared" si="18"/>
        <v/>
      </c>
      <c r="AS23" s="40">
        <f t="shared" si="19"/>
        <v>4.8600000000000003</v>
      </c>
      <c r="AT23" s="40" t="str">
        <f t="shared" si="20"/>
        <v/>
      </c>
      <c r="AU23" s="40" t="str">
        <f t="shared" si="21"/>
        <v/>
      </c>
      <c r="AV23" s="40" t="str">
        <f t="shared" si="22"/>
        <v/>
      </c>
      <c r="AW23" s="40">
        <f t="shared" si="23"/>
        <v>4.8600000000000003</v>
      </c>
      <c r="AX23" s="26"/>
      <c r="AY23" s="26"/>
      <c r="AZ23" s="26"/>
      <c r="BA23" s="26"/>
      <c r="BB23" s="26"/>
      <c r="BC23" s="26"/>
      <c r="BD23" s="26"/>
      <c r="BE23" s="26"/>
      <c r="BF23" s="26"/>
      <c r="BG23" s="26"/>
      <c r="BH23" s="26"/>
      <c r="BI23" s="26"/>
      <c r="BJ23" s="26"/>
      <c r="BK23" s="26"/>
      <c r="BL23" s="26"/>
      <c r="BM23" s="28"/>
      <c r="BN23" s="39" t="str">
        <f t="shared" si="24"/>
        <v/>
      </c>
      <c r="BO23" s="39" t="str">
        <f t="shared" si="25"/>
        <v/>
      </c>
      <c r="BP23" s="11" t="str">
        <f t="shared" si="26"/>
        <v/>
      </c>
      <c r="BQ23" s="11" t="str">
        <f t="shared" si="27"/>
        <v/>
      </c>
      <c r="BR23" s="11" t="str">
        <f t="shared" si="28"/>
        <v/>
      </c>
      <c r="BS23" s="11" t="str">
        <f t="shared" si="29"/>
        <v/>
      </c>
      <c r="BT23" s="11" t="str">
        <f t="shared" si="30"/>
        <v/>
      </c>
      <c r="BU23" s="11" t="str">
        <f t="shared" si="31"/>
        <v/>
      </c>
      <c r="BV23" s="11" t="str">
        <f t="shared" si="32"/>
        <v/>
      </c>
      <c r="BW23" s="11" t="str">
        <f t="shared" si="33"/>
        <v/>
      </c>
      <c r="BX23" s="11" t="str">
        <f t="shared" si="34"/>
        <v/>
      </c>
      <c r="BY23" s="22">
        <v>2.8</v>
      </c>
      <c r="BZ23" s="22">
        <v>1.8</v>
      </c>
      <c r="CA23" s="22">
        <v>2</v>
      </c>
      <c r="CB23" s="22">
        <v>2.72</v>
      </c>
      <c r="CC23" s="22">
        <v>0</v>
      </c>
      <c r="CD23" s="22">
        <v>13.6</v>
      </c>
      <c r="CE23" s="22">
        <v>9.3000000000000007</v>
      </c>
      <c r="CF23" s="22">
        <v>9.1</v>
      </c>
      <c r="CG23" s="22">
        <v>12.46</v>
      </c>
      <c r="CH23" s="22">
        <v>0</v>
      </c>
      <c r="CI23" s="22">
        <v>12.6</v>
      </c>
      <c r="CJ23" s="22">
        <v>9.3000000000000007</v>
      </c>
      <c r="CK23" s="22">
        <v>9.1</v>
      </c>
      <c r="CL23" s="22">
        <v>12.51</v>
      </c>
      <c r="CM23" s="22">
        <v>0</v>
      </c>
      <c r="CN23" s="27"/>
      <c r="CO23" s="38">
        <f t="shared" si="35"/>
        <v>2</v>
      </c>
      <c r="CP23" s="38">
        <f t="shared" si="36"/>
        <v>2.72</v>
      </c>
      <c r="CQ23" s="40">
        <f t="shared" si="37"/>
        <v>9.32</v>
      </c>
      <c r="CR23" s="40">
        <f t="shared" si="38"/>
        <v>9.1</v>
      </c>
      <c r="CS23" s="40">
        <f t="shared" si="39"/>
        <v>12.46</v>
      </c>
      <c r="CT23" s="40">
        <f t="shared" si="40"/>
        <v>44.46</v>
      </c>
      <c r="CU23" s="40">
        <f t="shared" si="41"/>
        <v>44.46</v>
      </c>
      <c r="CV23" s="40">
        <f t="shared" si="42"/>
        <v>9.1</v>
      </c>
      <c r="CW23" s="40">
        <f t="shared" si="43"/>
        <v>12.51</v>
      </c>
      <c r="CX23" s="40">
        <f t="shared" si="44"/>
        <v>43.51</v>
      </c>
      <c r="CY23" s="40">
        <f t="shared" si="45"/>
        <v>87.97</v>
      </c>
      <c r="CZ23" s="50" t="str">
        <f t="shared" si="46"/>
        <v/>
      </c>
      <c r="DA23" s="50" t="str">
        <f t="shared" si="47"/>
        <v/>
      </c>
      <c r="DB23" s="17"/>
      <c r="DC23" s="17"/>
      <c r="DD23" s="17"/>
      <c r="DE23" s="17"/>
      <c r="DF23" s="17"/>
      <c r="DG23" s="17"/>
      <c r="DH23" s="17"/>
      <c r="DI23" s="17"/>
      <c r="DJ23" s="17"/>
      <c r="DK23" s="17"/>
      <c r="DL23" s="17"/>
      <c r="DM23" s="17"/>
      <c r="DN23" s="17"/>
      <c r="DO23" s="17"/>
      <c r="DP23" s="17"/>
      <c r="DQ23" s="17"/>
      <c r="DR23" s="17"/>
      <c r="DS23" s="17"/>
      <c r="DT23" s="17"/>
      <c r="DU23" s="17"/>
      <c r="DV23" s="40" t="str">
        <f t="shared" si="48"/>
        <v/>
      </c>
      <c r="DW23" s="40" t="str">
        <f t="shared" si="49"/>
        <v/>
      </c>
      <c r="DX23" s="40" t="str">
        <f t="shared" si="50"/>
        <v/>
      </c>
      <c r="DY23" s="40" t="str">
        <f t="shared" si="51"/>
        <v/>
      </c>
      <c r="DZ23" s="40" t="str">
        <f t="shared" si="52"/>
        <v/>
      </c>
      <c r="EA23" s="40" t="str">
        <f t="shared" si="53"/>
        <v/>
      </c>
      <c r="EB23" s="40" t="str">
        <f t="shared" si="54"/>
        <v/>
      </c>
      <c r="EC23" s="40" t="str">
        <f t="shared" si="55"/>
        <v/>
      </c>
      <c r="ED23" s="40" t="str">
        <f t="shared" si="56"/>
        <v/>
      </c>
      <c r="EE23" s="40" t="str">
        <f t="shared" si="57"/>
        <v/>
      </c>
      <c r="EF23" s="40" t="str">
        <f t="shared" si="58"/>
        <v/>
      </c>
      <c r="EG23" s="40" t="str">
        <f t="shared" si="59"/>
        <v/>
      </c>
      <c r="EH23" s="40" t="str">
        <f t="shared" si="60"/>
        <v/>
      </c>
      <c r="EI23" s="40" t="str">
        <f t="shared" si="61"/>
        <v/>
      </c>
      <c r="EJ23" s="18"/>
      <c r="EK23" s="18"/>
      <c r="EL23" s="18"/>
      <c r="EM23" s="18"/>
      <c r="EN23" s="18"/>
      <c r="EO23" s="18"/>
      <c r="EP23" s="18"/>
      <c r="EQ23" s="18"/>
      <c r="ER23" s="18"/>
      <c r="ES23" s="18"/>
      <c r="ET23" s="18"/>
      <c r="EU23" s="18"/>
      <c r="EV23" s="18"/>
      <c r="EW23" s="18"/>
      <c r="EX23" s="18"/>
      <c r="EY23" s="18"/>
      <c r="EZ23" s="18"/>
      <c r="FA23" s="18"/>
      <c r="FB23" s="18"/>
      <c r="FC23" s="18"/>
      <c r="FD23" s="11" t="str">
        <f t="shared" si="62"/>
        <v/>
      </c>
      <c r="FE23" s="11" t="str">
        <f t="shared" si="63"/>
        <v/>
      </c>
      <c r="FF23" s="11" t="str">
        <f t="shared" si="64"/>
        <v/>
      </c>
      <c r="FG23" s="11" t="str">
        <f t="shared" si="65"/>
        <v/>
      </c>
      <c r="FH23" s="11" t="str">
        <f t="shared" si="66"/>
        <v/>
      </c>
      <c r="FI23" s="11" t="str">
        <f t="shared" si="67"/>
        <v/>
      </c>
      <c r="FJ23" s="11" t="str">
        <f t="shared" si="68"/>
        <v/>
      </c>
      <c r="FK23" s="11" t="str">
        <f t="shared" si="69"/>
        <v/>
      </c>
      <c r="FL23" s="11" t="str">
        <f t="shared" si="70"/>
        <v/>
      </c>
      <c r="FM23" s="11" t="str">
        <f t="shared" si="71"/>
        <v/>
      </c>
      <c r="FN23" s="11" t="str">
        <f t="shared" si="72"/>
        <v/>
      </c>
      <c r="FO23" s="11" t="str">
        <f t="shared" si="73"/>
        <v/>
      </c>
      <c r="FP23" s="11" t="str">
        <f t="shared" si="74"/>
        <v/>
      </c>
      <c r="FQ23" s="11" t="str">
        <f t="shared" si="75"/>
        <v/>
      </c>
      <c r="FR23" s="17"/>
      <c r="FS23" s="17"/>
      <c r="FT23" s="17"/>
      <c r="FU23" s="17"/>
      <c r="FV23" s="17"/>
      <c r="FW23" s="17"/>
      <c r="FX23" s="17"/>
      <c r="FY23" s="17"/>
      <c r="FZ23" s="17"/>
      <c r="GA23" s="17"/>
      <c r="GB23" s="17"/>
      <c r="GC23" s="17"/>
      <c r="GD23" s="17"/>
      <c r="GE23" s="17"/>
      <c r="GF23" s="17"/>
      <c r="GG23" s="17"/>
      <c r="GH23" s="17"/>
      <c r="GI23" s="17"/>
      <c r="GJ23" s="17"/>
      <c r="GK23" s="17"/>
      <c r="GL23" s="40" t="str">
        <f t="shared" si="76"/>
        <v/>
      </c>
      <c r="GM23" s="40" t="str">
        <f t="shared" si="77"/>
        <v/>
      </c>
      <c r="GN23" s="40" t="str">
        <f t="shared" si="78"/>
        <v/>
      </c>
      <c r="GO23" s="40" t="str">
        <f t="shared" si="79"/>
        <v/>
      </c>
      <c r="GP23" s="40" t="str">
        <f t="shared" si="80"/>
        <v/>
      </c>
      <c r="GQ23" s="40" t="str">
        <f t="shared" si="81"/>
        <v/>
      </c>
      <c r="GR23" s="40" t="str">
        <f t="shared" si="82"/>
        <v/>
      </c>
      <c r="GS23" s="40" t="str">
        <f t="shared" si="83"/>
        <v/>
      </c>
      <c r="GT23" s="40" t="str">
        <f t="shared" si="84"/>
        <v/>
      </c>
      <c r="GU23" s="40" t="str">
        <f t="shared" si="85"/>
        <v/>
      </c>
      <c r="GV23" s="40" t="str">
        <f t="shared" si="86"/>
        <v/>
      </c>
      <c r="GW23" s="40" t="str">
        <f t="shared" si="87"/>
        <v/>
      </c>
      <c r="GX23" s="40" t="str">
        <f t="shared" si="88"/>
        <v/>
      </c>
      <c r="GY23" s="40" t="str">
        <f t="shared" si="89"/>
        <v/>
      </c>
      <c r="GZ23" s="18"/>
      <c r="HA23" s="18"/>
      <c r="HB23" s="18"/>
      <c r="HC23" s="18"/>
      <c r="HD23" s="18"/>
      <c r="HE23" s="18"/>
      <c r="HF23" s="18"/>
      <c r="HG23" s="18"/>
      <c r="HH23" s="18"/>
      <c r="HI23" s="18"/>
      <c r="HJ23" s="18"/>
      <c r="HK23" s="18"/>
      <c r="HL23" s="18"/>
      <c r="HM23" s="18"/>
      <c r="HN23" s="18"/>
      <c r="HO23" s="18"/>
      <c r="HP23" s="18"/>
      <c r="HQ23" s="18"/>
      <c r="HR23" s="18"/>
      <c r="HS23" s="18"/>
      <c r="HT23" s="11" t="str">
        <f t="shared" si="90"/>
        <v/>
      </c>
      <c r="HU23" s="11" t="str">
        <f t="shared" si="91"/>
        <v/>
      </c>
      <c r="HV23" s="11" t="str">
        <f t="shared" si="92"/>
        <v/>
      </c>
      <c r="HW23" s="11" t="str">
        <f t="shared" si="93"/>
        <v/>
      </c>
      <c r="HX23" s="11" t="str">
        <f t="shared" si="94"/>
        <v/>
      </c>
      <c r="HY23" s="11" t="str">
        <f t="shared" si="95"/>
        <v/>
      </c>
      <c r="HZ23" s="11" t="str">
        <f t="shared" si="96"/>
        <v/>
      </c>
      <c r="IA23" s="11" t="str">
        <f t="shared" si="97"/>
        <v/>
      </c>
      <c r="IB23" s="11" t="str">
        <f t="shared" si="98"/>
        <v/>
      </c>
      <c r="IC23" s="11" t="str">
        <f t="shared" si="99"/>
        <v/>
      </c>
      <c r="ID23" s="11" t="str">
        <f t="shared" si="100"/>
        <v/>
      </c>
      <c r="IE23" s="11" t="str">
        <f t="shared" si="101"/>
        <v/>
      </c>
      <c r="IF23" s="11" t="str">
        <f t="shared" si="102"/>
        <v/>
      </c>
      <c r="IG23" s="11" t="str">
        <f t="shared" si="103"/>
        <v/>
      </c>
      <c r="IH23" s="17"/>
      <c r="II23" s="17"/>
      <c r="IJ23" s="17"/>
      <c r="IK23" s="17"/>
      <c r="IL23" s="17"/>
      <c r="IM23" s="17"/>
      <c r="IN23" s="17"/>
      <c r="IO23" s="17"/>
      <c r="IP23" s="17"/>
      <c r="IQ23" s="17"/>
      <c r="IR23" s="17"/>
      <c r="IS23" s="17"/>
      <c r="IT23" s="17"/>
      <c r="IU23" s="17"/>
      <c r="IV23" s="17"/>
      <c r="IW23" s="17"/>
      <c r="IX23" s="17"/>
      <c r="IY23" s="17"/>
      <c r="IZ23" s="17"/>
      <c r="JA23" s="17"/>
      <c r="JB23" s="40" t="str">
        <f t="shared" si="104"/>
        <v/>
      </c>
      <c r="JC23" s="40" t="str">
        <f t="shared" si="105"/>
        <v/>
      </c>
      <c r="JD23" s="40" t="str">
        <f t="shared" si="106"/>
        <v/>
      </c>
      <c r="JE23" s="40" t="str">
        <f t="shared" si="107"/>
        <v/>
      </c>
      <c r="JF23" s="40" t="str">
        <f t="shared" si="108"/>
        <v/>
      </c>
      <c r="JG23" s="40" t="str">
        <f t="shared" si="109"/>
        <v/>
      </c>
      <c r="JH23" s="40" t="str">
        <f t="shared" si="110"/>
        <v/>
      </c>
      <c r="JI23" s="40" t="str">
        <f t="shared" si="111"/>
        <v/>
      </c>
      <c r="JJ23" s="40" t="str">
        <f t="shared" si="112"/>
        <v/>
      </c>
      <c r="JK23" s="40" t="str">
        <f t="shared" si="113"/>
        <v/>
      </c>
      <c r="JL23" s="40" t="str">
        <f t="shared" si="114"/>
        <v/>
      </c>
      <c r="JM23" s="40" t="str">
        <f t="shared" si="115"/>
        <v/>
      </c>
      <c r="JN23" s="40" t="str">
        <f t="shared" si="116"/>
        <v/>
      </c>
      <c r="JO23" s="40" t="str">
        <f t="shared" si="117"/>
        <v/>
      </c>
      <c r="JP23" s="18"/>
      <c r="JQ23" s="18"/>
      <c r="JR23" s="18"/>
      <c r="JS23" s="18"/>
      <c r="JT23" s="18"/>
      <c r="JU23" s="18"/>
      <c r="JV23" s="18"/>
      <c r="JW23" s="18"/>
      <c r="JX23" s="18"/>
      <c r="JY23" s="18"/>
      <c r="JZ23" s="18"/>
      <c r="KA23" s="18"/>
      <c r="KB23" s="18"/>
      <c r="KC23" s="18"/>
      <c r="KD23" s="18"/>
      <c r="KE23" s="18"/>
      <c r="KF23" s="18"/>
      <c r="KG23" s="18"/>
      <c r="KH23" s="18"/>
      <c r="KI23" s="18"/>
      <c r="KJ23" s="11" t="str">
        <f t="shared" si="118"/>
        <v/>
      </c>
      <c r="KK23" s="11" t="str">
        <f t="shared" si="119"/>
        <v/>
      </c>
      <c r="KL23" s="11" t="str">
        <f t="shared" si="120"/>
        <v/>
      </c>
      <c r="KM23" s="11" t="str">
        <f t="shared" si="121"/>
        <v/>
      </c>
      <c r="KN23" s="11" t="str">
        <f t="shared" si="122"/>
        <v/>
      </c>
      <c r="KO23" s="11" t="str">
        <f t="shared" si="123"/>
        <v/>
      </c>
      <c r="KP23" s="11" t="str">
        <f t="shared" si="124"/>
        <v/>
      </c>
      <c r="KQ23" s="11" t="str">
        <f t="shared" si="125"/>
        <v/>
      </c>
      <c r="KR23" s="11" t="str">
        <f t="shared" si="126"/>
        <v/>
      </c>
      <c r="KS23" s="11" t="str">
        <f t="shared" si="127"/>
        <v/>
      </c>
      <c r="KT23" s="11" t="str">
        <f t="shared" si="128"/>
        <v/>
      </c>
      <c r="KU23" s="11" t="str">
        <f t="shared" si="129"/>
        <v/>
      </c>
      <c r="KV23" s="11" t="str">
        <f t="shared" si="130"/>
        <v/>
      </c>
      <c r="KW23" s="11" t="str">
        <f t="shared" si="131"/>
        <v/>
      </c>
      <c r="KX23" s="17"/>
      <c r="KY23" s="17"/>
      <c r="KZ23" s="17"/>
      <c r="LA23" s="17"/>
      <c r="LB23" s="17"/>
      <c r="LC23" s="17"/>
      <c r="LD23" s="17"/>
      <c r="LE23" s="17"/>
      <c r="LF23" s="17"/>
      <c r="LG23" s="17"/>
      <c r="LH23" s="17"/>
      <c r="LI23" s="17"/>
      <c r="LJ23" s="17"/>
      <c r="LK23" s="17"/>
      <c r="LL23" s="17"/>
      <c r="LM23" s="17"/>
      <c r="LN23" s="17"/>
      <c r="LO23" s="17"/>
      <c r="LP23" s="17"/>
      <c r="LQ23" s="17"/>
      <c r="LR23" s="40" t="str">
        <f t="shared" si="132"/>
        <v/>
      </c>
      <c r="LS23" s="40" t="str">
        <f t="shared" si="133"/>
        <v/>
      </c>
      <c r="LT23" s="40" t="str">
        <f t="shared" si="134"/>
        <v/>
      </c>
      <c r="LU23" s="40" t="str">
        <f t="shared" si="135"/>
        <v/>
      </c>
      <c r="LV23" s="40" t="str">
        <f t="shared" si="136"/>
        <v/>
      </c>
      <c r="LW23" s="40" t="str">
        <f t="shared" si="137"/>
        <v/>
      </c>
      <c r="LX23" s="40" t="str">
        <f t="shared" si="138"/>
        <v/>
      </c>
      <c r="LY23" s="40" t="str">
        <f t="shared" si="139"/>
        <v/>
      </c>
      <c r="LZ23" s="40" t="str">
        <f t="shared" si="140"/>
        <v/>
      </c>
      <c r="MA23" s="40" t="str">
        <f t="shared" si="141"/>
        <v/>
      </c>
      <c r="MB23" s="40" t="str">
        <f t="shared" si="142"/>
        <v/>
      </c>
      <c r="MC23" s="40" t="str">
        <f t="shared" si="143"/>
        <v/>
      </c>
      <c r="MD23" s="40" t="str">
        <f t="shared" si="144"/>
        <v/>
      </c>
      <c r="ME23" s="40" t="str">
        <f t="shared" si="145"/>
        <v/>
      </c>
      <c r="MF23" s="18"/>
      <c r="MG23" s="18"/>
      <c r="MH23" s="18"/>
      <c r="MI23" s="18"/>
      <c r="MJ23" s="18"/>
      <c r="MK23" s="18"/>
      <c r="ML23" s="18"/>
      <c r="MM23" s="18"/>
      <c r="MN23" s="18"/>
      <c r="MO23" s="18"/>
      <c r="MP23" s="18"/>
      <c r="MQ23" s="18"/>
      <c r="MR23" s="18"/>
      <c r="MS23" s="18"/>
      <c r="MT23" s="18"/>
      <c r="MU23" s="18"/>
      <c r="MV23" s="18"/>
      <c r="MW23" s="18"/>
      <c r="MX23" s="18"/>
      <c r="MY23" s="18"/>
      <c r="MZ23" s="11" t="str">
        <f t="shared" si="146"/>
        <v/>
      </c>
      <c r="NA23" s="11" t="str">
        <f t="shared" si="147"/>
        <v/>
      </c>
      <c r="NB23" s="11" t="str">
        <f t="shared" si="148"/>
        <v/>
      </c>
      <c r="NC23" s="11" t="str">
        <f t="shared" si="149"/>
        <v/>
      </c>
      <c r="ND23" s="11" t="str">
        <f t="shared" si="150"/>
        <v/>
      </c>
      <c r="NE23" s="11" t="str">
        <f t="shared" si="151"/>
        <v/>
      </c>
      <c r="NF23" s="11" t="str">
        <f t="shared" si="152"/>
        <v/>
      </c>
      <c r="NG23" s="11" t="str">
        <f t="shared" si="153"/>
        <v/>
      </c>
      <c r="NH23" s="11" t="str">
        <f t="shared" si="154"/>
        <v/>
      </c>
      <c r="NI23" s="11" t="str">
        <f t="shared" si="155"/>
        <v/>
      </c>
      <c r="NJ23" s="11" t="str">
        <f t="shared" si="156"/>
        <v/>
      </c>
      <c r="NK23" s="11" t="str">
        <f t="shared" si="157"/>
        <v/>
      </c>
      <c r="NL23" s="11" t="str">
        <f t="shared" si="158"/>
        <v/>
      </c>
      <c r="NM23" s="11" t="str">
        <f t="shared" si="159"/>
        <v/>
      </c>
      <c r="NN23" s="17"/>
      <c r="NO23" s="17"/>
      <c r="NP23" s="17"/>
      <c r="NQ23" s="17"/>
      <c r="NR23" s="17"/>
      <c r="NS23" s="17"/>
      <c r="NT23" s="17"/>
      <c r="NU23" s="17"/>
      <c r="NV23" s="17"/>
      <c r="NW23" s="17"/>
      <c r="NX23" s="17"/>
      <c r="NY23" s="17"/>
      <c r="NZ23" s="17"/>
      <c r="OA23" s="17"/>
      <c r="OB23" s="17"/>
      <c r="OC23" s="17"/>
      <c r="OD23" s="17"/>
      <c r="OE23" s="17"/>
      <c r="OF23" s="17"/>
      <c r="OG23" s="17"/>
      <c r="OH23" s="40" t="str">
        <f t="shared" si="160"/>
        <v/>
      </c>
      <c r="OI23" s="40" t="str">
        <f t="shared" si="161"/>
        <v/>
      </c>
      <c r="OJ23" s="40" t="str">
        <f t="shared" si="162"/>
        <v/>
      </c>
      <c r="OK23" s="40" t="str">
        <f t="shared" si="163"/>
        <v/>
      </c>
      <c r="OL23" s="40" t="str">
        <f t="shared" si="164"/>
        <v/>
      </c>
      <c r="OM23" s="40" t="str">
        <f t="shared" si="165"/>
        <v/>
      </c>
      <c r="ON23" s="40" t="str">
        <f t="shared" si="166"/>
        <v/>
      </c>
      <c r="OO23" s="40" t="str">
        <f t="shared" si="167"/>
        <v/>
      </c>
      <c r="OP23" s="40" t="str">
        <f t="shared" si="168"/>
        <v/>
      </c>
      <c r="OQ23" s="40" t="str">
        <f t="shared" si="169"/>
        <v/>
      </c>
      <c r="OR23" s="40" t="str">
        <f t="shared" si="170"/>
        <v/>
      </c>
      <c r="OS23" s="40" t="str">
        <f t="shared" si="171"/>
        <v/>
      </c>
      <c r="OT23" s="40" t="str">
        <f t="shared" si="172"/>
        <v/>
      </c>
      <c r="OU23" s="40" t="str">
        <f t="shared" si="173"/>
        <v/>
      </c>
      <c r="OV23" s="18"/>
      <c r="OW23" s="18"/>
      <c r="OX23" s="18"/>
      <c r="OY23" s="18"/>
      <c r="OZ23" s="18"/>
      <c r="PA23" s="18"/>
      <c r="PB23" s="18"/>
      <c r="PC23" s="18"/>
      <c r="PD23" s="18"/>
      <c r="PE23" s="18"/>
      <c r="PF23" s="18"/>
      <c r="PG23" s="18"/>
      <c r="PH23" s="18"/>
      <c r="PI23" s="18"/>
      <c r="PJ23" s="18"/>
      <c r="PK23" s="18"/>
      <c r="PL23" s="18"/>
      <c r="PM23" s="18"/>
      <c r="PN23" s="18"/>
      <c r="PO23" s="18"/>
      <c r="PP23" s="11" t="str">
        <f t="shared" si="174"/>
        <v/>
      </c>
      <c r="PQ23" s="11" t="str">
        <f t="shared" si="175"/>
        <v/>
      </c>
      <c r="PR23" s="11" t="str">
        <f t="shared" si="176"/>
        <v/>
      </c>
      <c r="PS23" s="11" t="str">
        <f t="shared" si="177"/>
        <v/>
      </c>
      <c r="PT23" s="11" t="str">
        <f t="shared" si="178"/>
        <v/>
      </c>
      <c r="PU23" s="11" t="str">
        <f t="shared" si="179"/>
        <v/>
      </c>
      <c r="PV23" s="11" t="str">
        <f t="shared" si="180"/>
        <v/>
      </c>
      <c r="PW23" s="11" t="str">
        <f t="shared" si="181"/>
        <v/>
      </c>
      <c r="PX23" s="11" t="str">
        <f t="shared" si="182"/>
        <v/>
      </c>
      <c r="PY23" s="11" t="str">
        <f t="shared" si="183"/>
        <v/>
      </c>
      <c r="PZ23" s="11" t="str">
        <f t="shared" si="184"/>
        <v/>
      </c>
      <c r="QA23" s="11" t="str">
        <f t="shared" si="185"/>
        <v/>
      </c>
      <c r="QB23" s="11" t="str">
        <f t="shared" si="186"/>
        <v/>
      </c>
      <c r="QC23" s="11" t="str">
        <f t="shared" si="187"/>
        <v/>
      </c>
      <c r="QD23" s="17"/>
      <c r="QE23" s="17"/>
      <c r="QF23" s="17"/>
      <c r="QG23" s="17"/>
      <c r="QH23" s="17"/>
      <c r="QI23" s="17"/>
      <c r="QJ23" s="17"/>
      <c r="QK23" s="17"/>
      <c r="QL23" s="17"/>
      <c r="QM23" s="17"/>
      <c r="QN23" s="17"/>
      <c r="QO23" s="17"/>
      <c r="QP23" s="17"/>
      <c r="QQ23" s="17"/>
      <c r="QR23" s="17"/>
      <c r="QS23" s="17"/>
      <c r="QT23" s="17"/>
      <c r="QU23" s="17"/>
      <c r="QV23" s="17"/>
      <c r="QW23" s="17"/>
      <c r="QX23" s="40" t="str">
        <f t="shared" si="188"/>
        <v/>
      </c>
      <c r="QY23" s="40" t="str">
        <f t="shared" si="189"/>
        <v/>
      </c>
      <c r="QZ23" s="40" t="str">
        <f t="shared" si="190"/>
        <v/>
      </c>
      <c r="RA23" s="40" t="str">
        <f t="shared" si="191"/>
        <v/>
      </c>
      <c r="RB23" s="40" t="str">
        <f t="shared" si="192"/>
        <v/>
      </c>
      <c r="RC23" s="40" t="str">
        <f t="shared" si="193"/>
        <v/>
      </c>
      <c r="RD23" s="40" t="str">
        <f t="shared" si="194"/>
        <v/>
      </c>
      <c r="RE23" s="40" t="str">
        <f t="shared" si="195"/>
        <v/>
      </c>
      <c r="RF23" s="40" t="str">
        <f t="shared" si="196"/>
        <v/>
      </c>
      <c r="RG23" s="40" t="str">
        <f t="shared" si="197"/>
        <v/>
      </c>
      <c r="RH23" s="40" t="str">
        <f t="shared" si="198"/>
        <v/>
      </c>
      <c r="RI23" s="40" t="str">
        <f t="shared" si="199"/>
        <v/>
      </c>
      <c r="RJ23" s="40" t="str">
        <f t="shared" si="200"/>
        <v/>
      </c>
      <c r="RK23" s="40" t="str">
        <f t="shared" si="201"/>
        <v/>
      </c>
      <c r="RL23" s="18"/>
      <c r="RM23" s="18"/>
      <c r="RN23" s="18"/>
      <c r="RO23" s="18"/>
      <c r="RP23" s="18"/>
      <c r="RQ23" s="18"/>
      <c r="RR23" s="18"/>
      <c r="RS23" s="18"/>
      <c r="RT23" s="18"/>
      <c r="RU23" s="18"/>
      <c r="RV23" s="18"/>
      <c r="RW23" s="18"/>
      <c r="RX23" s="18"/>
      <c r="RY23" s="18"/>
      <c r="RZ23" s="18"/>
      <c r="SA23" s="18"/>
      <c r="SB23" s="18"/>
      <c r="SC23" s="18"/>
      <c r="SD23" s="18"/>
      <c r="SE23" s="18"/>
      <c r="SF23" s="11" t="str">
        <f t="shared" si="202"/>
        <v/>
      </c>
      <c r="SG23" s="11" t="str">
        <f t="shared" si="203"/>
        <v/>
      </c>
      <c r="SH23" s="11" t="str">
        <f t="shared" si="204"/>
        <v/>
      </c>
      <c r="SI23" s="11" t="str">
        <f t="shared" si="205"/>
        <v/>
      </c>
      <c r="SJ23" s="11" t="str">
        <f t="shared" si="206"/>
        <v/>
      </c>
      <c r="SK23" s="11" t="str">
        <f t="shared" si="207"/>
        <v/>
      </c>
      <c r="SL23" s="11" t="str">
        <f t="shared" si="208"/>
        <v/>
      </c>
      <c r="SM23" s="11" t="str">
        <f t="shared" si="209"/>
        <v/>
      </c>
      <c r="SN23" s="11" t="str">
        <f t="shared" si="210"/>
        <v/>
      </c>
      <c r="SO23" s="11" t="str">
        <f t="shared" si="211"/>
        <v/>
      </c>
      <c r="SP23" s="11" t="str">
        <f t="shared" si="212"/>
        <v/>
      </c>
      <c r="SQ23" s="11" t="str">
        <f t="shared" si="213"/>
        <v/>
      </c>
      <c r="SR23" s="11" t="str">
        <f t="shared" si="214"/>
        <v/>
      </c>
      <c r="SS23" s="11" t="str">
        <f t="shared" si="215"/>
        <v/>
      </c>
      <c r="ST23" s="22">
        <f t="shared" si="216"/>
        <v>1.4</v>
      </c>
      <c r="SU23" s="22">
        <f t="shared" si="217"/>
        <v>0.9</v>
      </c>
      <c r="SV23" s="22">
        <f t="shared" si="218"/>
        <v>1</v>
      </c>
      <c r="SW23" s="22">
        <f t="shared" si="219"/>
        <v>1.36</v>
      </c>
      <c r="SX23" s="22">
        <f t="shared" si="220"/>
        <v>0</v>
      </c>
      <c r="SY23" s="22">
        <f t="shared" si="221"/>
        <v>6.8</v>
      </c>
      <c r="SZ23" s="22">
        <f t="shared" si="222"/>
        <v>4.6500000000000004</v>
      </c>
      <c r="TA23" s="22">
        <f t="shared" si="223"/>
        <v>4.55</v>
      </c>
      <c r="TB23" s="22">
        <f t="shared" si="224"/>
        <v>6.23</v>
      </c>
      <c r="TC23" s="22">
        <f t="shared" si="225"/>
        <v>0</v>
      </c>
      <c r="TD23" s="22">
        <f t="shared" si="226"/>
        <v>6.3</v>
      </c>
      <c r="TE23" s="22">
        <f t="shared" si="227"/>
        <v>4.6500000000000004</v>
      </c>
      <c r="TF23" s="22">
        <f t="shared" si="228"/>
        <v>4.55</v>
      </c>
      <c r="TG23" s="22">
        <f t="shared" si="229"/>
        <v>6.2549999999999999</v>
      </c>
      <c r="TH23" s="22">
        <f t="shared" si="230"/>
        <v>0</v>
      </c>
      <c r="TI23" s="27" t="s">
        <v>46</v>
      </c>
      <c r="TJ23" s="40">
        <f t="shared" si="231"/>
        <v>1</v>
      </c>
      <c r="TK23" s="40">
        <f t="shared" si="232"/>
        <v>1.36</v>
      </c>
      <c r="TL23" s="40">
        <f t="shared" si="233"/>
        <v>4.66</v>
      </c>
      <c r="TM23" s="40">
        <f t="shared" si="234"/>
        <v>4.55</v>
      </c>
      <c r="TN23" s="40">
        <f t="shared" si="235"/>
        <v>6.23</v>
      </c>
      <c r="TO23" s="40">
        <f t="shared" si="236"/>
        <v>22.23</v>
      </c>
      <c r="TP23" s="40">
        <f t="shared" si="237"/>
        <v>22.23</v>
      </c>
      <c r="TQ23" s="40">
        <f t="shared" si="238"/>
        <v>4.55</v>
      </c>
      <c r="TR23" s="40">
        <f t="shared" si="239"/>
        <v>6.2549999999999999</v>
      </c>
      <c r="TS23" s="40">
        <f t="shared" si="240"/>
        <v>21.754999999999999</v>
      </c>
      <c r="TT23" s="40">
        <f t="shared" si="241"/>
        <v>43.984999999999999</v>
      </c>
    </row>
    <row r="24" spans="1:540" x14ac:dyDescent="0.2">
      <c r="A24" s="4" t="str" cm="1">
        <f t="array" ref="A24">IF(AND(F24&lt;&gt;"",G24&lt;&gt;""),SUMPRODUCT((F$4:F$32&lt;&gt;"")*(G$4:G$32&lt;&gt;"")*(E$4:E$32&gt;E24))+1,IF(G24&lt;&gt;"",SUMPRODUCT((H$4:H$32="No DD")*(E$4:E$32&gt;E24))+1+SUMPRODUCT((F$4:F$32&lt;&gt;"")*(G$4:G$32&lt;&gt;"")),""))</f>
        <v/>
      </c>
      <c r="B24" s="5" t="s">
        <v>201</v>
      </c>
      <c r="C24" s="4" t="s">
        <v>3</v>
      </c>
      <c r="D24" s="4">
        <v>2006</v>
      </c>
      <c r="E24" s="9">
        <f t="shared" si="0"/>
        <v>64.146006414604344</v>
      </c>
      <c r="F24" s="3" t="str">
        <f t="shared" si="1"/>
        <v/>
      </c>
      <c r="G24" s="3" t="str">
        <f t="shared" si="2"/>
        <v/>
      </c>
      <c r="H24" s="36" t="str">
        <f t="shared" si="3"/>
        <v/>
      </c>
      <c r="I24" s="3" t="str">
        <f t="shared" si="4"/>
        <v/>
      </c>
      <c r="J24" s="8">
        <f>IF(COUNT(AO24,AR24,BP24,BS24,CQ24,CT24)&gt;0,LARGE((AO24,AR24,BP24,BS24,CQ24,CT24),1),0)</f>
        <v>43.53</v>
      </c>
      <c r="K24" s="8" t="str">
        <f t="shared" si="5"/>
        <v>2023 Elite Canada</v>
      </c>
      <c r="L24" s="8">
        <f>IF(COUNT(AO24,AR24,BP24,BS24,CQ24,CT24)&gt;1,LARGE((AO24,AR24,BP24,BS24,CQ24,CT24),2),0)</f>
        <v>5.17</v>
      </c>
      <c r="M24" s="8" t="str">
        <f t="shared" si="6"/>
        <v>2023 Elite Canada</v>
      </c>
      <c r="N24" s="8">
        <f>IF(COUNT(AO24,AR24,BP24,BS24,CQ24,CT24)&gt;2,LARGE((AO24,AR24,BP24,BS24,CQ24,CT24),3),0)</f>
        <v>4.9459999999999997</v>
      </c>
      <c r="O24" s="8" t="str">
        <f t="shared" si="242"/>
        <v>2022 Nationals</v>
      </c>
      <c r="P24" s="8">
        <f t="shared" si="7"/>
        <v>10.5</v>
      </c>
      <c r="Q24" s="8" t="str">
        <f t="shared" si="8"/>
        <v>2023 Elite Canada</v>
      </c>
      <c r="R24" s="8">
        <f t="shared" si="9"/>
        <v>0</v>
      </c>
      <c r="S24" s="8" t="str">
        <f t="shared" si="10"/>
        <v/>
      </c>
      <c r="T24" s="8" t="str">
        <f t="shared" si="11"/>
        <v/>
      </c>
      <c r="U24" s="11" t="str">
        <f t="shared" si="12"/>
        <v/>
      </c>
      <c r="V24" s="8" t="str">
        <f>IF(T24="","",IF(T24=CZ24,IF(T24+IF(N24="",0,N24)=SL24,$RL$1,IF(T24+IF(N24="",0,N24)=RD24,$QD$1,IF(T24+IF(N24="",0,N24)=PV24,$OV$1,IF(T24+IF(N24="",0,N24)=ON24,$NN$1,IF(T24+IF(N24="",0,N24)=NF24,$MF$1,IF(T24+IF(N24="",0,N24)=LX24,$KX$1,IF(T24+IF(N24="",0,N24)=KP24,$JP$1,IF(T24+IF(N24="",0,N24)=JH24,$IH$1,IF(T24+IF(N24="",0,N24)=HZ24,$GZ$1,IF(T24+IF(N24="",0,N24)=GR24,$FR$1,IF(T24+IF(N24="",0,N24)=FJ24,$EJ$1,IF(T24+IF(N24="",0,N24)=EB24,$DB$1)))))))))))),IF(T24=DA24,IF(T24+IF(#REF!="",0,#REF!)=SR24,$RL$1,IF(T24+IF(#REF!="",0,#REF!)=RJ24,$QD$1,IF(T24+IF(#REF!="",0,#REF!)=QB24,$OV$1,IF(T24+IF(#REF!="",0,#REF!)=OT24,$NN$1,IF(T24+IF(#REF!="",0,#REF!)=NL24,$MF$1,IF(T24+IF(#REF!="",0,#REF!)=MD24,$KX$1,IF(T24+IF(#REF!="",0,#REF!)=KV24,$JP$1,IF(T24+IF(#REF!="",0,#REF!)=JN24,$IH$1,IF(T24+IF(#REF!="",0,#REF!)=IF24,$GZ$1,IF(T24+IF(#REF!="",0,#REF!)=GX24,$FR$1,IF(T24+IF(#REF!="",0,#REF!)=FP24,$EJ$1,IF(T24+IF(#REF!="",0,#REF!)=EH24,$DB$1,IF(T24+IF(#REF!="",0,#REF!)=SO24,$RL$1,IF(T24+IF(#REF!="",0,#REF!)=RG24,$QD$1,IF(T24+IF(#REF!="",0,#REF!)=PY24,$OV$1,IF(T24+IF(#REF!="",0,#REF!)=OQ24,$NN$1,IF(T24+IF(#REF!="",0,#REF!)=NI24,$MF$1,IF(T24+IF(#REF!="",0,#REF!)=MA24,$KX$1,IF(T24+IF(#REF!="",0,#REF!)=KS24,$JP$1,IF(T24+IF(#REF!="",0,#REF!)=JK24,$IH$1,IF(T24+IF(#REF!="",0,#REF!)=IC24,$GZ$1,IF(T24+IF(#REF!="",0,#REF!)=GU24,$FR$1,IF(T24+IF(#REF!="",0,#REF!)=FM24,$EJ$1,IF(T24+IF(#REF!="",0,#REF!)=EE24,$DB$1)))))))))))))))))))))))))))</f>
        <v/>
      </c>
      <c r="W24" s="22">
        <v>1.4</v>
      </c>
      <c r="X24" s="22">
        <v>1</v>
      </c>
      <c r="Y24" s="22">
        <v>1.3</v>
      </c>
      <c r="Z24" s="22">
        <v>1.446</v>
      </c>
      <c r="AA24" s="22">
        <v>0.2</v>
      </c>
      <c r="AB24" s="22"/>
      <c r="AC24" s="22"/>
      <c r="AD24" s="22"/>
      <c r="AE24" s="22"/>
      <c r="AF24" s="22"/>
      <c r="AG24" s="22"/>
      <c r="AH24" s="22"/>
      <c r="AI24" s="22"/>
      <c r="AJ24" s="22"/>
      <c r="AK24" s="22"/>
      <c r="AL24" s="27"/>
      <c r="AM24" s="38">
        <f t="shared" si="13"/>
        <v>1.3</v>
      </c>
      <c r="AN24" s="38">
        <f t="shared" si="14"/>
        <v>1.446</v>
      </c>
      <c r="AO24" s="40">
        <f t="shared" si="15"/>
        <v>4.9459999999999997</v>
      </c>
      <c r="AP24" s="40" t="str">
        <f t="shared" si="16"/>
        <v/>
      </c>
      <c r="AQ24" s="40" t="str">
        <f t="shared" si="17"/>
        <v/>
      </c>
      <c r="AR24" s="40" t="str">
        <f t="shared" si="18"/>
        <v/>
      </c>
      <c r="AS24" s="40">
        <f t="shared" si="19"/>
        <v>4.9459999999999997</v>
      </c>
      <c r="AT24" s="40" t="str">
        <f t="shared" si="20"/>
        <v/>
      </c>
      <c r="AU24" s="40" t="str">
        <f t="shared" si="21"/>
        <v/>
      </c>
      <c r="AV24" s="40" t="str">
        <f t="shared" si="22"/>
        <v/>
      </c>
      <c r="AW24" s="40">
        <f t="shared" si="23"/>
        <v>4.9459999999999997</v>
      </c>
      <c r="AX24" s="26"/>
      <c r="AY24" s="26"/>
      <c r="AZ24" s="26"/>
      <c r="BA24" s="26"/>
      <c r="BB24" s="26"/>
      <c r="BC24" s="26"/>
      <c r="BD24" s="26"/>
      <c r="BE24" s="26"/>
      <c r="BF24" s="26"/>
      <c r="BG24" s="26"/>
      <c r="BH24" s="26"/>
      <c r="BI24" s="26"/>
      <c r="BJ24" s="26"/>
      <c r="BK24" s="26"/>
      <c r="BL24" s="26"/>
      <c r="BM24" s="28"/>
      <c r="BN24" s="39" t="str">
        <f t="shared" si="24"/>
        <v/>
      </c>
      <c r="BO24" s="39" t="str">
        <f t="shared" si="25"/>
        <v/>
      </c>
      <c r="BP24" s="11" t="str">
        <f t="shared" si="26"/>
        <v/>
      </c>
      <c r="BQ24" s="11" t="str">
        <f t="shared" si="27"/>
        <v/>
      </c>
      <c r="BR24" s="11" t="str">
        <f t="shared" si="28"/>
        <v/>
      </c>
      <c r="BS24" s="11" t="str">
        <f t="shared" si="29"/>
        <v/>
      </c>
      <c r="BT24" s="11" t="str">
        <f t="shared" si="30"/>
        <v/>
      </c>
      <c r="BU24" s="11" t="str">
        <f t="shared" si="31"/>
        <v/>
      </c>
      <c r="BV24" s="11" t="str">
        <f t="shared" si="32"/>
        <v/>
      </c>
      <c r="BW24" s="11" t="str">
        <f t="shared" si="33"/>
        <v/>
      </c>
      <c r="BX24" s="11" t="str">
        <f t="shared" si="34"/>
        <v/>
      </c>
      <c r="BY24" s="22">
        <v>1.2</v>
      </c>
      <c r="BZ24" s="22">
        <v>1</v>
      </c>
      <c r="CA24" s="22">
        <v>1.5</v>
      </c>
      <c r="CB24" s="22">
        <v>1.47</v>
      </c>
      <c r="CC24" s="22">
        <v>0</v>
      </c>
      <c r="CD24" s="22">
        <v>12</v>
      </c>
      <c r="CE24" s="22">
        <v>8.9</v>
      </c>
      <c r="CF24" s="22">
        <v>9.8000000000000007</v>
      </c>
      <c r="CG24" s="22">
        <v>12.83</v>
      </c>
      <c r="CH24" s="22">
        <v>0</v>
      </c>
      <c r="CI24" s="22">
        <v>13.9</v>
      </c>
      <c r="CJ24" s="22">
        <v>9.3000000000000007</v>
      </c>
      <c r="CK24" s="22">
        <v>10.5</v>
      </c>
      <c r="CL24" s="22">
        <v>13.42</v>
      </c>
      <c r="CM24" s="22">
        <v>0</v>
      </c>
      <c r="CN24" s="27"/>
      <c r="CO24" s="38">
        <f t="shared" si="35"/>
        <v>1.5</v>
      </c>
      <c r="CP24" s="38">
        <f t="shared" si="36"/>
        <v>1.47</v>
      </c>
      <c r="CQ24" s="40">
        <f t="shared" si="37"/>
        <v>5.17</v>
      </c>
      <c r="CR24" s="40">
        <f t="shared" si="38"/>
        <v>9.8000000000000007</v>
      </c>
      <c r="CS24" s="40">
        <f t="shared" si="39"/>
        <v>12.83</v>
      </c>
      <c r="CT24" s="40">
        <f t="shared" si="40"/>
        <v>43.53</v>
      </c>
      <c r="CU24" s="40">
        <f t="shared" si="41"/>
        <v>43.53</v>
      </c>
      <c r="CV24" s="40">
        <f t="shared" si="42"/>
        <v>10.5</v>
      </c>
      <c r="CW24" s="40">
        <f t="shared" si="43"/>
        <v>13.42</v>
      </c>
      <c r="CX24" s="40">
        <f t="shared" si="44"/>
        <v>47.120000000000005</v>
      </c>
      <c r="CY24" s="40">
        <f t="shared" si="45"/>
        <v>90.65</v>
      </c>
      <c r="CZ24" s="50" t="str">
        <f t="shared" si="46"/>
        <v/>
      </c>
      <c r="DA24" s="50" t="str">
        <f t="shared" si="47"/>
        <v/>
      </c>
      <c r="DB24" s="17"/>
      <c r="DC24" s="17"/>
      <c r="DD24" s="17"/>
      <c r="DE24" s="17"/>
      <c r="DF24" s="17"/>
      <c r="DG24" s="17"/>
      <c r="DH24" s="17"/>
      <c r="DI24" s="17"/>
      <c r="DJ24" s="17"/>
      <c r="DK24" s="17"/>
      <c r="DL24" s="17"/>
      <c r="DM24" s="17"/>
      <c r="DN24" s="17"/>
      <c r="DO24" s="17"/>
      <c r="DP24" s="17"/>
      <c r="DQ24" s="17"/>
      <c r="DR24" s="17"/>
      <c r="DS24" s="17"/>
      <c r="DT24" s="17"/>
      <c r="DU24" s="17"/>
      <c r="DV24" s="40" t="str">
        <f t="shared" si="48"/>
        <v/>
      </c>
      <c r="DW24" s="40" t="str">
        <f t="shared" si="49"/>
        <v/>
      </c>
      <c r="DX24" s="40" t="str">
        <f t="shared" si="50"/>
        <v/>
      </c>
      <c r="DY24" s="40" t="str">
        <f t="shared" si="51"/>
        <v/>
      </c>
      <c r="DZ24" s="40" t="str">
        <f t="shared" si="52"/>
        <v/>
      </c>
      <c r="EA24" s="40" t="str">
        <f t="shared" si="53"/>
        <v/>
      </c>
      <c r="EB24" s="40" t="str">
        <f t="shared" si="54"/>
        <v/>
      </c>
      <c r="EC24" s="40" t="str">
        <f t="shared" si="55"/>
        <v/>
      </c>
      <c r="ED24" s="40" t="str">
        <f t="shared" si="56"/>
        <v/>
      </c>
      <c r="EE24" s="40" t="str">
        <f t="shared" si="57"/>
        <v/>
      </c>
      <c r="EF24" s="40" t="str">
        <f t="shared" si="58"/>
        <v/>
      </c>
      <c r="EG24" s="40" t="str">
        <f t="shared" si="59"/>
        <v/>
      </c>
      <c r="EH24" s="40" t="str">
        <f t="shared" si="60"/>
        <v/>
      </c>
      <c r="EI24" s="40" t="str">
        <f t="shared" si="61"/>
        <v/>
      </c>
      <c r="EJ24" s="18"/>
      <c r="EK24" s="18"/>
      <c r="EL24" s="18"/>
      <c r="EM24" s="18"/>
      <c r="EN24" s="18"/>
      <c r="EO24" s="18"/>
      <c r="EP24" s="18"/>
      <c r="EQ24" s="18"/>
      <c r="ER24" s="18"/>
      <c r="ES24" s="18"/>
      <c r="ET24" s="18"/>
      <c r="EU24" s="18"/>
      <c r="EV24" s="18"/>
      <c r="EW24" s="18"/>
      <c r="EX24" s="18"/>
      <c r="EY24" s="18"/>
      <c r="EZ24" s="18"/>
      <c r="FA24" s="18"/>
      <c r="FB24" s="18"/>
      <c r="FC24" s="18"/>
      <c r="FD24" s="11" t="str">
        <f t="shared" si="62"/>
        <v/>
      </c>
      <c r="FE24" s="11" t="str">
        <f t="shared" si="63"/>
        <v/>
      </c>
      <c r="FF24" s="11" t="str">
        <f t="shared" si="64"/>
        <v/>
      </c>
      <c r="FG24" s="11" t="str">
        <f t="shared" si="65"/>
        <v/>
      </c>
      <c r="FH24" s="11" t="str">
        <f t="shared" si="66"/>
        <v/>
      </c>
      <c r="FI24" s="11" t="str">
        <f t="shared" si="67"/>
        <v/>
      </c>
      <c r="FJ24" s="11" t="str">
        <f t="shared" si="68"/>
        <v/>
      </c>
      <c r="FK24" s="11" t="str">
        <f t="shared" si="69"/>
        <v/>
      </c>
      <c r="FL24" s="11" t="str">
        <f t="shared" si="70"/>
        <v/>
      </c>
      <c r="FM24" s="11" t="str">
        <f t="shared" si="71"/>
        <v/>
      </c>
      <c r="FN24" s="11" t="str">
        <f t="shared" si="72"/>
        <v/>
      </c>
      <c r="FO24" s="11" t="str">
        <f t="shared" si="73"/>
        <v/>
      </c>
      <c r="FP24" s="11" t="str">
        <f t="shared" si="74"/>
        <v/>
      </c>
      <c r="FQ24" s="11" t="str">
        <f t="shared" si="75"/>
        <v/>
      </c>
      <c r="FR24" s="17"/>
      <c r="FS24" s="17"/>
      <c r="FT24" s="17"/>
      <c r="FU24" s="17"/>
      <c r="FV24" s="17"/>
      <c r="FW24" s="17"/>
      <c r="FX24" s="17"/>
      <c r="FY24" s="17"/>
      <c r="FZ24" s="17"/>
      <c r="GA24" s="17"/>
      <c r="GB24" s="17"/>
      <c r="GC24" s="17"/>
      <c r="GD24" s="17"/>
      <c r="GE24" s="17"/>
      <c r="GF24" s="17"/>
      <c r="GG24" s="17"/>
      <c r="GH24" s="17"/>
      <c r="GI24" s="17"/>
      <c r="GJ24" s="17"/>
      <c r="GK24" s="17"/>
      <c r="GL24" s="40" t="str">
        <f t="shared" si="76"/>
        <v/>
      </c>
      <c r="GM24" s="40" t="str">
        <f t="shared" si="77"/>
        <v/>
      </c>
      <c r="GN24" s="40" t="str">
        <f t="shared" si="78"/>
        <v/>
      </c>
      <c r="GO24" s="40" t="str">
        <f t="shared" si="79"/>
        <v/>
      </c>
      <c r="GP24" s="40" t="str">
        <f t="shared" si="80"/>
        <v/>
      </c>
      <c r="GQ24" s="40" t="str">
        <f t="shared" si="81"/>
        <v/>
      </c>
      <c r="GR24" s="40" t="str">
        <f t="shared" si="82"/>
        <v/>
      </c>
      <c r="GS24" s="40" t="str">
        <f t="shared" si="83"/>
        <v/>
      </c>
      <c r="GT24" s="40" t="str">
        <f t="shared" si="84"/>
        <v/>
      </c>
      <c r="GU24" s="40" t="str">
        <f t="shared" si="85"/>
        <v/>
      </c>
      <c r="GV24" s="40" t="str">
        <f t="shared" si="86"/>
        <v/>
      </c>
      <c r="GW24" s="40" t="str">
        <f t="shared" si="87"/>
        <v/>
      </c>
      <c r="GX24" s="40" t="str">
        <f t="shared" si="88"/>
        <v/>
      </c>
      <c r="GY24" s="40" t="str">
        <f t="shared" si="89"/>
        <v/>
      </c>
      <c r="GZ24" s="18"/>
      <c r="HA24" s="18"/>
      <c r="HB24" s="18"/>
      <c r="HC24" s="18"/>
      <c r="HD24" s="18"/>
      <c r="HE24" s="18"/>
      <c r="HF24" s="18"/>
      <c r="HG24" s="18"/>
      <c r="HH24" s="18"/>
      <c r="HI24" s="18"/>
      <c r="HJ24" s="18"/>
      <c r="HK24" s="18"/>
      <c r="HL24" s="18"/>
      <c r="HM24" s="18"/>
      <c r="HN24" s="18"/>
      <c r="HO24" s="18"/>
      <c r="HP24" s="18"/>
      <c r="HQ24" s="18"/>
      <c r="HR24" s="18"/>
      <c r="HS24" s="18"/>
      <c r="HT24" s="11" t="str">
        <f t="shared" si="90"/>
        <v/>
      </c>
      <c r="HU24" s="11" t="str">
        <f t="shared" si="91"/>
        <v/>
      </c>
      <c r="HV24" s="11" t="str">
        <f t="shared" si="92"/>
        <v/>
      </c>
      <c r="HW24" s="11" t="str">
        <f t="shared" si="93"/>
        <v/>
      </c>
      <c r="HX24" s="11" t="str">
        <f t="shared" si="94"/>
        <v/>
      </c>
      <c r="HY24" s="11" t="str">
        <f t="shared" si="95"/>
        <v/>
      </c>
      <c r="HZ24" s="11" t="str">
        <f t="shared" si="96"/>
        <v/>
      </c>
      <c r="IA24" s="11" t="str">
        <f t="shared" si="97"/>
        <v/>
      </c>
      <c r="IB24" s="11" t="str">
        <f t="shared" si="98"/>
        <v/>
      </c>
      <c r="IC24" s="11" t="str">
        <f t="shared" si="99"/>
        <v/>
      </c>
      <c r="ID24" s="11" t="str">
        <f t="shared" si="100"/>
        <v/>
      </c>
      <c r="IE24" s="11" t="str">
        <f t="shared" si="101"/>
        <v/>
      </c>
      <c r="IF24" s="11" t="str">
        <f t="shared" si="102"/>
        <v/>
      </c>
      <c r="IG24" s="11" t="str">
        <f t="shared" si="103"/>
        <v/>
      </c>
      <c r="IH24" s="17"/>
      <c r="II24" s="17"/>
      <c r="IJ24" s="17"/>
      <c r="IK24" s="17"/>
      <c r="IL24" s="17"/>
      <c r="IM24" s="17"/>
      <c r="IN24" s="17"/>
      <c r="IO24" s="17"/>
      <c r="IP24" s="17"/>
      <c r="IQ24" s="17"/>
      <c r="IR24" s="17"/>
      <c r="IS24" s="17"/>
      <c r="IT24" s="17"/>
      <c r="IU24" s="17"/>
      <c r="IV24" s="17"/>
      <c r="IW24" s="17"/>
      <c r="IX24" s="17"/>
      <c r="IY24" s="17"/>
      <c r="IZ24" s="17"/>
      <c r="JA24" s="17"/>
      <c r="JB24" s="40" t="str">
        <f t="shared" si="104"/>
        <v/>
      </c>
      <c r="JC24" s="40" t="str">
        <f t="shared" si="105"/>
        <v/>
      </c>
      <c r="JD24" s="40" t="str">
        <f t="shared" si="106"/>
        <v/>
      </c>
      <c r="JE24" s="40" t="str">
        <f t="shared" si="107"/>
        <v/>
      </c>
      <c r="JF24" s="40" t="str">
        <f t="shared" si="108"/>
        <v/>
      </c>
      <c r="JG24" s="40" t="str">
        <f t="shared" si="109"/>
        <v/>
      </c>
      <c r="JH24" s="40" t="str">
        <f t="shared" si="110"/>
        <v/>
      </c>
      <c r="JI24" s="40" t="str">
        <f t="shared" si="111"/>
        <v/>
      </c>
      <c r="JJ24" s="40" t="str">
        <f t="shared" si="112"/>
        <v/>
      </c>
      <c r="JK24" s="40" t="str">
        <f t="shared" si="113"/>
        <v/>
      </c>
      <c r="JL24" s="40" t="str">
        <f t="shared" si="114"/>
        <v/>
      </c>
      <c r="JM24" s="40" t="str">
        <f t="shared" si="115"/>
        <v/>
      </c>
      <c r="JN24" s="40" t="str">
        <f t="shared" si="116"/>
        <v/>
      </c>
      <c r="JO24" s="40" t="str">
        <f t="shared" si="117"/>
        <v/>
      </c>
      <c r="JP24" s="18"/>
      <c r="JQ24" s="18"/>
      <c r="JR24" s="18"/>
      <c r="JS24" s="18"/>
      <c r="JT24" s="18"/>
      <c r="JU24" s="18"/>
      <c r="JV24" s="18"/>
      <c r="JW24" s="18"/>
      <c r="JX24" s="18"/>
      <c r="JY24" s="18"/>
      <c r="JZ24" s="18"/>
      <c r="KA24" s="18"/>
      <c r="KB24" s="18"/>
      <c r="KC24" s="18"/>
      <c r="KD24" s="18"/>
      <c r="KE24" s="18"/>
      <c r="KF24" s="18"/>
      <c r="KG24" s="18"/>
      <c r="KH24" s="18"/>
      <c r="KI24" s="18"/>
      <c r="KJ24" s="11" t="str">
        <f t="shared" si="118"/>
        <v/>
      </c>
      <c r="KK24" s="11" t="str">
        <f t="shared" si="119"/>
        <v/>
      </c>
      <c r="KL24" s="11" t="str">
        <f t="shared" si="120"/>
        <v/>
      </c>
      <c r="KM24" s="11" t="str">
        <f t="shared" si="121"/>
        <v/>
      </c>
      <c r="KN24" s="11" t="str">
        <f t="shared" si="122"/>
        <v/>
      </c>
      <c r="KO24" s="11" t="str">
        <f t="shared" si="123"/>
        <v/>
      </c>
      <c r="KP24" s="11" t="str">
        <f t="shared" si="124"/>
        <v/>
      </c>
      <c r="KQ24" s="11" t="str">
        <f t="shared" si="125"/>
        <v/>
      </c>
      <c r="KR24" s="11" t="str">
        <f t="shared" si="126"/>
        <v/>
      </c>
      <c r="KS24" s="11" t="str">
        <f t="shared" si="127"/>
        <v/>
      </c>
      <c r="KT24" s="11" t="str">
        <f t="shared" si="128"/>
        <v/>
      </c>
      <c r="KU24" s="11" t="str">
        <f t="shared" si="129"/>
        <v/>
      </c>
      <c r="KV24" s="11" t="str">
        <f t="shared" si="130"/>
        <v/>
      </c>
      <c r="KW24" s="11" t="str">
        <f t="shared" si="131"/>
        <v/>
      </c>
      <c r="KX24" s="17"/>
      <c r="KY24" s="17"/>
      <c r="KZ24" s="17"/>
      <c r="LA24" s="17"/>
      <c r="LB24" s="17"/>
      <c r="LC24" s="17"/>
      <c r="LD24" s="17"/>
      <c r="LE24" s="17"/>
      <c r="LF24" s="17"/>
      <c r="LG24" s="17"/>
      <c r="LH24" s="17"/>
      <c r="LI24" s="17"/>
      <c r="LJ24" s="17"/>
      <c r="LK24" s="17"/>
      <c r="LL24" s="17"/>
      <c r="LM24" s="17"/>
      <c r="LN24" s="17"/>
      <c r="LO24" s="17"/>
      <c r="LP24" s="17"/>
      <c r="LQ24" s="17"/>
      <c r="LR24" s="40" t="str">
        <f t="shared" si="132"/>
        <v/>
      </c>
      <c r="LS24" s="40" t="str">
        <f t="shared" si="133"/>
        <v/>
      </c>
      <c r="LT24" s="40" t="str">
        <f t="shared" si="134"/>
        <v/>
      </c>
      <c r="LU24" s="40" t="str">
        <f t="shared" si="135"/>
        <v/>
      </c>
      <c r="LV24" s="40" t="str">
        <f t="shared" si="136"/>
        <v/>
      </c>
      <c r="LW24" s="40" t="str">
        <f t="shared" si="137"/>
        <v/>
      </c>
      <c r="LX24" s="40" t="str">
        <f t="shared" si="138"/>
        <v/>
      </c>
      <c r="LY24" s="40" t="str">
        <f t="shared" si="139"/>
        <v/>
      </c>
      <c r="LZ24" s="40" t="str">
        <f t="shared" si="140"/>
        <v/>
      </c>
      <c r="MA24" s="40" t="str">
        <f t="shared" si="141"/>
        <v/>
      </c>
      <c r="MB24" s="40" t="str">
        <f t="shared" si="142"/>
        <v/>
      </c>
      <c r="MC24" s="40" t="str">
        <f t="shared" si="143"/>
        <v/>
      </c>
      <c r="MD24" s="40" t="str">
        <f t="shared" si="144"/>
        <v/>
      </c>
      <c r="ME24" s="40" t="str">
        <f t="shared" si="145"/>
        <v/>
      </c>
      <c r="MF24" s="18"/>
      <c r="MG24" s="18"/>
      <c r="MH24" s="18"/>
      <c r="MI24" s="18"/>
      <c r="MJ24" s="18"/>
      <c r="MK24" s="18"/>
      <c r="ML24" s="18"/>
      <c r="MM24" s="18"/>
      <c r="MN24" s="18"/>
      <c r="MO24" s="18"/>
      <c r="MP24" s="18"/>
      <c r="MQ24" s="18"/>
      <c r="MR24" s="18"/>
      <c r="MS24" s="18"/>
      <c r="MT24" s="18"/>
      <c r="MU24" s="18"/>
      <c r="MV24" s="18"/>
      <c r="MW24" s="18"/>
      <c r="MX24" s="18"/>
      <c r="MY24" s="18"/>
      <c r="MZ24" s="11" t="str">
        <f t="shared" si="146"/>
        <v/>
      </c>
      <c r="NA24" s="11" t="str">
        <f t="shared" si="147"/>
        <v/>
      </c>
      <c r="NB24" s="11" t="str">
        <f t="shared" si="148"/>
        <v/>
      </c>
      <c r="NC24" s="11" t="str">
        <f t="shared" si="149"/>
        <v/>
      </c>
      <c r="ND24" s="11" t="str">
        <f t="shared" si="150"/>
        <v/>
      </c>
      <c r="NE24" s="11" t="str">
        <f t="shared" si="151"/>
        <v/>
      </c>
      <c r="NF24" s="11" t="str">
        <f t="shared" si="152"/>
        <v/>
      </c>
      <c r="NG24" s="11" t="str">
        <f t="shared" si="153"/>
        <v/>
      </c>
      <c r="NH24" s="11" t="str">
        <f t="shared" si="154"/>
        <v/>
      </c>
      <c r="NI24" s="11" t="str">
        <f t="shared" si="155"/>
        <v/>
      </c>
      <c r="NJ24" s="11" t="str">
        <f t="shared" si="156"/>
        <v/>
      </c>
      <c r="NK24" s="11" t="str">
        <f t="shared" si="157"/>
        <v/>
      </c>
      <c r="NL24" s="11" t="str">
        <f t="shared" si="158"/>
        <v/>
      </c>
      <c r="NM24" s="11" t="str">
        <f t="shared" si="159"/>
        <v/>
      </c>
      <c r="NN24" s="17"/>
      <c r="NO24" s="17"/>
      <c r="NP24" s="17"/>
      <c r="NQ24" s="17"/>
      <c r="NR24" s="17"/>
      <c r="NS24" s="17"/>
      <c r="NT24" s="17"/>
      <c r="NU24" s="17"/>
      <c r="NV24" s="17"/>
      <c r="NW24" s="17"/>
      <c r="NX24" s="17"/>
      <c r="NY24" s="17"/>
      <c r="NZ24" s="17"/>
      <c r="OA24" s="17"/>
      <c r="OB24" s="17"/>
      <c r="OC24" s="17"/>
      <c r="OD24" s="17"/>
      <c r="OE24" s="17"/>
      <c r="OF24" s="17"/>
      <c r="OG24" s="17"/>
      <c r="OH24" s="40" t="str">
        <f t="shared" si="160"/>
        <v/>
      </c>
      <c r="OI24" s="40" t="str">
        <f t="shared" si="161"/>
        <v/>
      </c>
      <c r="OJ24" s="40" t="str">
        <f t="shared" si="162"/>
        <v/>
      </c>
      <c r="OK24" s="40" t="str">
        <f t="shared" si="163"/>
        <v/>
      </c>
      <c r="OL24" s="40" t="str">
        <f t="shared" si="164"/>
        <v/>
      </c>
      <c r="OM24" s="40" t="str">
        <f t="shared" si="165"/>
        <v/>
      </c>
      <c r="ON24" s="40" t="str">
        <f t="shared" si="166"/>
        <v/>
      </c>
      <c r="OO24" s="40" t="str">
        <f t="shared" si="167"/>
        <v/>
      </c>
      <c r="OP24" s="40" t="str">
        <f t="shared" si="168"/>
        <v/>
      </c>
      <c r="OQ24" s="40" t="str">
        <f t="shared" si="169"/>
        <v/>
      </c>
      <c r="OR24" s="40" t="str">
        <f t="shared" si="170"/>
        <v/>
      </c>
      <c r="OS24" s="40" t="str">
        <f t="shared" si="171"/>
        <v/>
      </c>
      <c r="OT24" s="40" t="str">
        <f t="shared" si="172"/>
        <v/>
      </c>
      <c r="OU24" s="40" t="str">
        <f t="shared" si="173"/>
        <v/>
      </c>
      <c r="OV24" s="18"/>
      <c r="OW24" s="18"/>
      <c r="OX24" s="18"/>
      <c r="OY24" s="18"/>
      <c r="OZ24" s="18"/>
      <c r="PA24" s="18"/>
      <c r="PB24" s="18"/>
      <c r="PC24" s="18"/>
      <c r="PD24" s="18"/>
      <c r="PE24" s="18"/>
      <c r="PF24" s="18"/>
      <c r="PG24" s="18"/>
      <c r="PH24" s="18"/>
      <c r="PI24" s="18"/>
      <c r="PJ24" s="18"/>
      <c r="PK24" s="18"/>
      <c r="PL24" s="18"/>
      <c r="PM24" s="18"/>
      <c r="PN24" s="18"/>
      <c r="PO24" s="18"/>
      <c r="PP24" s="11" t="str">
        <f t="shared" si="174"/>
        <v/>
      </c>
      <c r="PQ24" s="11" t="str">
        <f t="shared" si="175"/>
        <v/>
      </c>
      <c r="PR24" s="11" t="str">
        <f t="shared" si="176"/>
        <v/>
      </c>
      <c r="PS24" s="11" t="str">
        <f t="shared" si="177"/>
        <v/>
      </c>
      <c r="PT24" s="11" t="str">
        <f t="shared" si="178"/>
        <v/>
      </c>
      <c r="PU24" s="11" t="str">
        <f t="shared" si="179"/>
        <v/>
      </c>
      <c r="PV24" s="11" t="str">
        <f t="shared" si="180"/>
        <v/>
      </c>
      <c r="PW24" s="11" t="str">
        <f t="shared" si="181"/>
        <v/>
      </c>
      <c r="PX24" s="11" t="str">
        <f t="shared" si="182"/>
        <v/>
      </c>
      <c r="PY24" s="11" t="str">
        <f t="shared" si="183"/>
        <v/>
      </c>
      <c r="PZ24" s="11" t="str">
        <f t="shared" si="184"/>
        <v/>
      </c>
      <c r="QA24" s="11" t="str">
        <f t="shared" si="185"/>
        <v/>
      </c>
      <c r="QB24" s="11" t="str">
        <f t="shared" si="186"/>
        <v/>
      </c>
      <c r="QC24" s="11" t="str">
        <f t="shared" si="187"/>
        <v/>
      </c>
      <c r="QD24" s="17"/>
      <c r="QE24" s="17"/>
      <c r="QF24" s="17"/>
      <c r="QG24" s="17"/>
      <c r="QH24" s="17"/>
      <c r="QI24" s="17"/>
      <c r="QJ24" s="17"/>
      <c r="QK24" s="17"/>
      <c r="QL24" s="17"/>
      <c r="QM24" s="17"/>
      <c r="QN24" s="17"/>
      <c r="QO24" s="17"/>
      <c r="QP24" s="17"/>
      <c r="QQ24" s="17"/>
      <c r="QR24" s="17"/>
      <c r="QS24" s="17"/>
      <c r="QT24" s="17"/>
      <c r="QU24" s="17"/>
      <c r="QV24" s="17"/>
      <c r="QW24" s="17"/>
      <c r="QX24" s="40" t="str">
        <f t="shared" si="188"/>
        <v/>
      </c>
      <c r="QY24" s="40" t="str">
        <f t="shared" si="189"/>
        <v/>
      </c>
      <c r="QZ24" s="40" t="str">
        <f t="shared" si="190"/>
        <v/>
      </c>
      <c r="RA24" s="40" t="str">
        <f t="shared" si="191"/>
        <v/>
      </c>
      <c r="RB24" s="40" t="str">
        <f t="shared" si="192"/>
        <v/>
      </c>
      <c r="RC24" s="40" t="str">
        <f t="shared" si="193"/>
        <v/>
      </c>
      <c r="RD24" s="40" t="str">
        <f t="shared" si="194"/>
        <v/>
      </c>
      <c r="RE24" s="40" t="str">
        <f t="shared" si="195"/>
        <v/>
      </c>
      <c r="RF24" s="40" t="str">
        <f t="shared" si="196"/>
        <v/>
      </c>
      <c r="RG24" s="40" t="str">
        <f t="shared" si="197"/>
        <v/>
      </c>
      <c r="RH24" s="40" t="str">
        <f t="shared" si="198"/>
        <v/>
      </c>
      <c r="RI24" s="40" t="str">
        <f t="shared" si="199"/>
        <v/>
      </c>
      <c r="RJ24" s="40" t="str">
        <f t="shared" si="200"/>
        <v/>
      </c>
      <c r="RK24" s="40" t="str">
        <f t="shared" si="201"/>
        <v/>
      </c>
      <c r="RL24" s="18"/>
      <c r="RM24" s="18"/>
      <c r="RN24" s="18"/>
      <c r="RO24" s="18"/>
      <c r="RP24" s="18"/>
      <c r="RQ24" s="18"/>
      <c r="RR24" s="18"/>
      <c r="RS24" s="18"/>
      <c r="RT24" s="18"/>
      <c r="RU24" s="18"/>
      <c r="RV24" s="18"/>
      <c r="RW24" s="18"/>
      <c r="RX24" s="18"/>
      <c r="RY24" s="18"/>
      <c r="RZ24" s="18"/>
      <c r="SA24" s="18"/>
      <c r="SB24" s="18"/>
      <c r="SC24" s="18"/>
      <c r="SD24" s="18"/>
      <c r="SE24" s="18"/>
      <c r="SF24" s="11" t="str">
        <f t="shared" si="202"/>
        <v/>
      </c>
      <c r="SG24" s="11" t="str">
        <f t="shared" si="203"/>
        <v/>
      </c>
      <c r="SH24" s="11" t="str">
        <f t="shared" si="204"/>
        <v/>
      </c>
      <c r="SI24" s="11" t="str">
        <f t="shared" si="205"/>
        <v/>
      </c>
      <c r="SJ24" s="11" t="str">
        <f t="shared" si="206"/>
        <v/>
      </c>
      <c r="SK24" s="11" t="str">
        <f t="shared" si="207"/>
        <v/>
      </c>
      <c r="SL24" s="11" t="str">
        <f t="shared" si="208"/>
        <v/>
      </c>
      <c r="SM24" s="11" t="str">
        <f t="shared" si="209"/>
        <v/>
      </c>
      <c r="SN24" s="11" t="str">
        <f t="shared" si="210"/>
        <v/>
      </c>
      <c r="SO24" s="11" t="str">
        <f t="shared" si="211"/>
        <v/>
      </c>
      <c r="SP24" s="11" t="str">
        <f t="shared" si="212"/>
        <v/>
      </c>
      <c r="SQ24" s="11" t="str">
        <f t="shared" si="213"/>
        <v/>
      </c>
      <c r="SR24" s="11" t="str">
        <f t="shared" si="214"/>
        <v/>
      </c>
      <c r="SS24" s="11" t="str">
        <f t="shared" si="215"/>
        <v/>
      </c>
      <c r="ST24" s="22">
        <f t="shared" si="216"/>
        <v>0.6</v>
      </c>
      <c r="SU24" s="22">
        <f t="shared" si="217"/>
        <v>0.5</v>
      </c>
      <c r="SV24" s="22">
        <f t="shared" si="218"/>
        <v>0.75</v>
      </c>
      <c r="SW24" s="22">
        <f t="shared" si="219"/>
        <v>0.73499999999999999</v>
      </c>
      <c r="SX24" s="22">
        <f t="shared" si="220"/>
        <v>0</v>
      </c>
      <c r="SY24" s="22">
        <f t="shared" si="221"/>
        <v>6</v>
      </c>
      <c r="SZ24" s="22">
        <f t="shared" si="222"/>
        <v>4.45</v>
      </c>
      <c r="TA24" s="22">
        <f t="shared" si="223"/>
        <v>4.9000000000000004</v>
      </c>
      <c r="TB24" s="22">
        <f t="shared" si="224"/>
        <v>6.415</v>
      </c>
      <c r="TC24" s="22">
        <f t="shared" si="225"/>
        <v>0</v>
      </c>
      <c r="TD24" s="22">
        <f t="shared" si="226"/>
        <v>6.95</v>
      </c>
      <c r="TE24" s="22">
        <f t="shared" si="227"/>
        <v>4.6500000000000004</v>
      </c>
      <c r="TF24" s="22">
        <f t="shared" si="228"/>
        <v>5.25</v>
      </c>
      <c r="TG24" s="22">
        <f t="shared" si="229"/>
        <v>6.71</v>
      </c>
      <c r="TH24" s="22">
        <f t="shared" si="230"/>
        <v>0</v>
      </c>
      <c r="TI24" s="27" t="s">
        <v>46</v>
      </c>
      <c r="TJ24" s="40">
        <f t="shared" si="231"/>
        <v>0.75</v>
      </c>
      <c r="TK24" s="40">
        <f t="shared" si="232"/>
        <v>0.73499999999999999</v>
      </c>
      <c r="TL24" s="40">
        <f t="shared" si="233"/>
        <v>2.585</v>
      </c>
      <c r="TM24" s="40">
        <f t="shared" si="234"/>
        <v>4.9000000000000004</v>
      </c>
      <c r="TN24" s="40">
        <f t="shared" si="235"/>
        <v>6.415</v>
      </c>
      <c r="TO24" s="40">
        <f t="shared" si="236"/>
        <v>21.765000000000001</v>
      </c>
      <c r="TP24" s="40">
        <f t="shared" si="237"/>
        <v>21.765000000000001</v>
      </c>
      <c r="TQ24" s="40">
        <f t="shared" si="238"/>
        <v>5.25</v>
      </c>
      <c r="TR24" s="40">
        <f t="shared" si="239"/>
        <v>6.71</v>
      </c>
      <c r="TS24" s="40">
        <f t="shared" si="240"/>
        <v>23.560000000000002</v>
      </c>
      <c r="TT24" s="40">
        <f t="shared" si="241"/>
        <v>45.325000000000003</v>
      </c>
    </row>
    <row r="25" spans="1:540" x14ac:dyDescent="0.2">
      <c r="A25" s="4" t="str" cm="1">
        <f t="array" ref="A25">IF(AND(F25&lt;&gt;"",G25&lt;&gt;""),SUMPRODUCT((F$4:F$32&lt;&gt;"")*(G$4:G$32&lt;&gt;"")*(E$4:E$32&gt;E25))+1,IF(G25&lt;&gt;"",SUMPRODUCT((H$4:H$32="No DD")*(E$4:E$32&gt;E25))+1+SUMPRODUCT((F$4:F$32&lt;&gt;"")*(G$4:G$32&lt;&gt;"")),""))</f>
        <v/>
      </c>
      <c r="B25" s="5" t="s">
        <v>157</v>
      </c>
      <c r="C25" s="4" t="s">
        <v>6</v>
      </c>
      <c r="D25" s="4">
        <v>2004</v>
      </c>
      <c r="E25" s="9">
        <f t="shared" si="0"/>
        <v>56.540005654004652</v>
      </c>
      <c r="F25" s="3" t="str">
        <f t="shared" si="1"/>
        <v/>
      </c>
      <c r="G25" s="3" t="str">
        <f t="shared" si="2"/>
        <v/>
      </c>
      <c r="H25" s="36" t="str">
        <f t="shared" si="3"/>
        <v/>
      </c>
      <c r="I25" s="3" t="str">
        <f t="shared" si="4"/>
        <v/>
      </c>
      <c r="J25" s="8">
        <f>IF(COUNT(AO25,AR25,BP25,BS25,CQ25,CT25)&gt;0,LARGE((AO25,AR25,BP25,BS25,CQ25,CT25),1),0)</f>
        <v>46.54</v>
      </c>
      <c r="K25" s="8" t="str">
        <f t="shared" si="5"/>
        <v>2022 Nationals</v>
      </c>
      <c r="L25" s="8">
        <f>IF(COUNT(AO25,AR25,BP25,BS25,CQ25,CT25)&gt;1,LARGE((AO25,AR25,BP25,BS25,CQ25,CT25),2),0)</f>
        <v>0</v>
      </c>
      <c r="M25" s="8" t="str">
        <f t="shared" si="6"/>
        <v/>
      </c>
      <c r="N25" s="8">
        <f>IF(COUNT(AO25,AR25,BP25,BS25,CQ25,CT25)&gt;2,LARGE((AO25,AR25,BP25,BS25,CQ25,CT25),3),0)</f>
        <v>0</v>
      </c>
      <c r="O25" s="8" t="str">
        <f t="shared" si="242"/>
        <v/>
      </c>
      <c r="P25" s="8">
        <f t="shared" si="7"/>
        <v>10</v>
      </c>
      <c r="Q25" s="8" t="str">
        <f t="shared" si="8"/>
        <v>2022 Nationals</v>
      </c>
      <c r="R25" s="8">
        <f t="shared" si="9"/>
        <v>0</v>
      </c>
      <c r="S25" s="8" t="str">
        <f t="shared" si="10"/>
        <v/>
      </c>
      <c r="T25" s="8" t="str">
        <f t="shared" si="11"/>
        <v/>
      </c>
      <c r="U25" s="11" t="str">
        <f t="shared" si="12"/>
        <v/>
      </c>
      <c r="V25" s="8" t="str">
        <f>IF(T25="","",IF(T25=CZ25,IF(T25+IF(N25="",0,N25)=SL25,$RL$1,IF(T25+IF(N25="",0,N25)=RD25,$QD$1,IF(T25+IF(N25="",0,N25)=PV25,$OV$1,IF(T25+IF(N25="",0,N25)=ON25,$NN$1,IF(T25+IF(N25="",0,N25)=NF25,$MF$1,IF(T25+IF(N25="",0,N25)=LX25,$KX$1,IF(T25+IF(N25="",0,N25)=KP25,$JP$1,IF(T25+IF(N25="",0,N25)=JH25,$IH$1,IF(T25+IF(N25="",0,N25)=HZ25,$GZ$1,IF(T25+IF(N25="",0,N25)=GR25,$FR$1,IF(T25+IF(N25="",0,N25)=FJ25,$EJ$1,IF(T25+IF(N25="",0,N25)=EB25,$DB$1)))))))))))),IF(T25=DA25,IF(T25+IF(#REF!="",0,#REF!)=SR25,$RL$1,IF(T25+IF(#REF!="",0,#REF!)=RJ25,$QD$1,IF(T25+IF(#REF!="",0,#REF!)=QB25,$OV$1,IF(T25+IF(#REF!="",0,#REF!)=OT25,$NN$1,IF(T25+IF(#REF!="",0,#REF!)=NL25,$MF$1,IF(T25+IF(#REF!="",0,#REF!)=MD25,$KX$1,IF(T25+IF(#REF!="",0,#REF!)=KV25,$JP$1,IF(T25+IF(#REF!="",0,#REF!)=JN25,$IH$1,IF(T25+IF(#REF!="",0,#REF!)=IF25,$GZ$1,IF(T25+IF(#REF!="",0,#REF!)=GX25,$FR$1,IF(T25+IF(#REF!="",0,#REF!)=FP25,$EJ$1,IF(T25+IF(#REF!="",0,#REF!)=EH25,$DB$1,IF(T25+IF(#REF!="",0,#REF!)=SO25,$RL$1,IF(T25+IF(#REF!="",0,#REF!)=RG25,$QD$1,IF(T25+IF(#REF!="",0,#REF!)=PY25,$OV$1,IF(T25+IF(#REF!="",0,#REF!)=OQ25,$NN$1,IF(T25+IF(#REF!="",0,#REF!)=NI25,$MF$1,IF(T25+IF(#REF!="",0,#REF!)=MA25,$KX$1,IF(T25+IF(#REF!="",0,#REF!)=KS25,$JP$1,IF(T25+IF(#REF!="",0,#REF!)=JK25,$IH$1,IF(T25+IF(#REF!="",0,#REF!)=IC25,$GZ$1,IF(T25+IF(#REF!="",0,#REF!)=GU25,$FR$1,IF(T25+IF(#REF!="",0,#REF!)=FM25,$EJ$1,IF(T25+IF(#REF!="",0,#REF!)=EE25,$DB$1)))))))))))))))))))))))))))</f>
        <v/>
      </c>
      <c r="W25" s="22">
        <v>14.4</v>
      </c>
      <c r="X25" s="22">
        <v>9.1999999999999993</v>
      </c>
      <c r="Y25" s="22">
        <v>10</v>
      </c>
      <c r="Z25" s="22">
        <v>12.94</v>
      </c>
      <c r="AA25" s="22">
        <v>0</v>
      </c>
      <c r="AB25" s="22"/>
      <c r="AC25" s="22"/>
      <c r="AD25" s="22"/>
      <c r="AE25" s="22"/>
      <c r="AF25" s="22"/>
      <c r="AG25" s="22">
        <v>15.4</v>
      </c>
      <c r="AH25" s="22">
        <v>9.3000000000000007</v>
      </c>
      <c r="AI25" s="22">
        <v>10</v>
      </c>
      <c r="AJ25" s="22">
        <v>13.16</v>
      </c>
      <c r="AK25" s="22">
        <v>0</v>
      </c>
      <c r="AL25" s="27"/>
      <c r="AM25" s="38">
        <f t="shared" si="13"/>
        <v>10</v>
      </c>
      <c r="AN25" s="38">
        <f t="shared" si="14"/>
        <v>12.94</v>
      </c>
      <c r="AO25" s="40">
        <f t="shared" si="15"/>
        <v>46.54</v>
      </c>
      <c r="AP25" s="40" t="str">
        <f t="shared" si="16"/>
        <v/>
      </c>
      <c r="AQ25" s="40" t="str">
        <f t="shared" si="17"/>
        <v/>
      </c>
      <c r="AR25" s="40" t="str">
        <f t="shared" si="18"/>
        <v/>
      </c>
      <c r="AS25" s="40">
        <f t="shared" si="19"/>
        <v>46.54</v>
      </c>
      <c r="AT25" s="40">
        <f t="shared" si="20"/>
        <v>10</v>
      </c>
      <c r="AU25" s="40">
        <f t="shared" si="21"/>
        <v>13.16</v>
      </c>
      <c r="AV25" s="40">
        <f t="shared" si="22"/>
        <v>47.86</v>
      </c>
      <c r="AW25" s="40">
        <f t="shared" si="23"/>
        <v>94.4</v>
      </c>
      <c r="AX25" s="26"/>
      <c r="AY25" s="26"/>
      <c r="AZ25" s="26"/>
      <c r="BA25" s="26"/>
      <c r="BB25" s="26"/>
      <c r="BC25" s="26"/>
      <c r="BD25" s="26"/>
      <c r="BE25" s="26"/>
      <c r="BF25" s="26"/>
      <c r="BG25" s="26"/>
      <c r="BH25" s="26"/>
      <c r="BI25" s="26"/>
      <c r="BJ25" s="26"/>
      <c r="BK25" s="26"/>
      <c r="BL25" s="26"/>
      <c r="BM25" s="28"/>
      <c r="BN25" s="39" t="str">
        <f t="shared" si="24"/>
        <v/>
      </c>
      <c r="BO25" s="39" t="str">
        <f t="shared" si="25"/>
        <v/>
      </c>
      <c r="BP25" s="11" t="str">
        <f t="shared" si="26"/>
        <v/>
      </c>
      <c r="BQ25" s="11" t="str">
        <f t="shared" si="27"/>
        <v/>
      </c>
      <c r="BR25" s="11" t="str">
        <f t="shared" si="28"/>
        <v/>
      </c>
      <c r="BS25" s="11" t="str">
        <f t="shared" si="29"/>
        <v/>
      </c>
      <c r="BT25" s="11" t="str">
        <f t="shared" si="30"/>
        <v/>
      </c>
      <c r="BU25" s="11" t="str">
        <f t="shared" si="31"/>
        <v/>
      </c>
      <c r="BV25" s="11" t="str">
        <f t="shared" si="32"/>
        <v/>
      </c>
      <c r="BW25" s="11" t="str">
        <f t="shared" si="33"/>
        <v/>
      </c>
      <c r="BX25" s="11" t="str">
        <f t="shared" si="34"/>
        <v/>
      </c>
      <c r="BY25" s="22"/>
      <c r="BZ25" s="22"/>
      <c r="CA25" s="22"/>
      <c r="CB25" s="22"/>
      <c r="CC25" s="22"/>
      <c r="CD25" s="22"/>
      <c r="CE25" s="22"/>
      <c r="CF25" s="22"/>
      <c r="CG25" s="22"/>
      <c r="CH25" s="22"/>
      <c r="CI25" s="22"/>
      <c r="CJ25" s="22"/>
      <c r="CK25" s="22"/>
      <c r="CL25" s="22"/>
      <c r="CM25" s="22"/>
      <c r="CN25" s="27"/>
      <c r="CO25" s="38" t="str">
        <f t="shared" si="35"/>
        <v/>
      </c>
      <c r="CP25" s="38" t="str">
        <f t="shared" si="36"/>
        <v/>
      </c>
      <c r="CQ25" s="40" t="str">
        <f t="shared" si="37"/>
        <v/>
      </c>
      <c r="CR25" s="40" t="str">
        <f t="shared" si="38"/>
        <v/>
      </c>
      <c r="CS25" s="40" t="str">
        <f t="shared" si="39"/>
        <v/>
      </c>
      <c r="CT25" s="40" t="str">
        <f t="shared" si="40"/>
        <v/>
      </c>
      <c r="CU25" s="40" t="str">
        <f t="shared" si="41"/>
        <v/>
      </c>
      <c r="CV25" s="40" t="str">
        <f t="shared" si="42"/>
        <v/>
      </c>
      <c r="CW25" s="40" t="str">
        <f t="shared" si="43"/>
        <v/>
      </c>
      <c r="CX25" s="40" t="str">
        <f t="shared" si="44"/>
        <v/>
      </c>
      <c r="CY25" s="40" t="str">
        <f t="shared" si="45"/>
        <v/>
      </c>
      <c r="CZ25" s="50" t="str">
        <f t="shared" si="46"/>
        <v/>
      </c>
      <c r="DA25" s="50" t="str">
        <f t="shared" si="47"/>
        <v/>
      </c>
      <c r="DB25" s="17"/>
      <c r="DC25" s="17"/>
      <c r="DD25" s="17"/>
      <c r="DE25" s="17"/>
      <c r="DF25" s="17"/>
      <c r="DG25" s="17"/>
      <c r="DH25" s="17"/>
      <c r="DI25" s="17"/>
      <c r="DJ25" s="17"/>
      <c r="DK25" s="17"/>
      <c r="DL25" s="17"/>
      <c r="DM25" s="17"/>
      <c r="DN25" s="17"/>
      <c r="DO25" s="17"/>
      <c r="DP25" s="17"/>
      <c r="DQ25" s="17"/>
      <c r="DR25" s="17"/>
      <c r="DS25" s="17"/>
      <c r="DT25" s="17"/>
      <c r="DU25" s="17"/>
      <c r="DV25" s="40" t="str">
        <f t="shared" si="48"/>
        <v/>
      </c>
      <c r="DW25" s="40" t="str">
        <f t="shared" si="49"/>
        <v/>
      </c>
      <c r="DX25" s="40" t="str">
        <f t="shared" si="50"/>
        <v/>
      </c>
      <c r="DY25" s="40" t="str">
        <f t="shared" si="51"/>
        <v/>
      </c>
      <c r="DZ25" s="40" t="str">
        <f t="shared" si="52"/>
        <v/>
      </c>
      <c r="EA25" s="40" t="str">
        <f t="shared" si="53"/>
        <v/>
      </c>
      <c r="EB25" s="40" t="str">
        <f t="shared" si="54"/>
        <v/>
      </c>
      <c r="EC25" s="40" t="str">
        <f t="shared" si="55"/>
        <v/>
      </c>
      <c r="ED25" s="40" t="str">
        <f t="shared" si="56"/>
        <v/>
      </c>
      <c r="EE25" s="40" t="str">
        <f t="shared" si="57"/>
        <v/>
      </c>
      <c r="EF25" s="40" t="str">
        <f t="shared" si="58"/>
        <v/>
      </c>
      <c r="EG25" s="40" t="str">
        <f t="shared" si="59"/>
        <v/>
      </c>
      <c r="EH25" s="40" t="str">
        <f t="shared" si="60"/>
        <v/>
      </c>
      <c r="EI25" s="40" t="str">
        <f t="shared" si="61"/>
        <v/>
      </c>
      <c r="EJ25" s="18"/>
      <c r="EK25" s="18"/>
      <c r="EL25" s="18"/>
      <c r="EM25" s="18"/>
      <c r="EN25" s="18"/>
      <c r="EO25" s="18"/>
      <c r="EP25" s="18"/>
      <c r="EQ25" s="18"/>
      <c r="ER25" s="18"/>
      <c r="ES25" s="18"/>
      <c r="ET25" s="18"/>
      <c r="EU25" s="18"/>
      <c r="EV25" s="18"/>
      <c r="EW25" s="18"/>
      <c r="EX25" s="18"/>
      <c r="EY25" s="18"/>
      <c r="EZ25" s="18"/>
      <c r="FA25" s="18"/>
      <c r="FB25" s="18"/>
      <c r="FC25" s="18"/>
      <c r="FD25" s="11" t="str">
        <f t="shared" si="62"/>
        <v/>
      </c>
      <c r="FE25" s="11" t="str">
        <f t="shared" si="63"/>
        <v/>
      </c>
      <c r="FF25" s="11" t="str">
        <f t="shared" si="64"/>
        <v/>
      </c>
      <c r="FG25" s="11" t="str">
        <f t="shared" si="65"/>
        <v/>
      </c>
      <c r="FH25" s="11" t="str">
        <f t="shared" si="66"/>
        <v/>
      </c>
      <c r="FI25" s="11" t="str">
        <f t="shared" si="67"/>
        <v/>
      </c>
      <c r="FJ25" s="11" t="str">
        <f t="shared" si="68"/>
        <v/>
      </c>
      <c r="FK25" s="11" t="str">
        <f t="shared" si="69"/>
        <v/>
      </c>
      <c r="FL25" s="11" t="str">
        <f t="shared" si="70"/>
        <v/>
      </c>
      <c r="FM25" s="11" t="str">
        <f t="shared" si="71"/>
        <v/>
      </c>
      <c r="FN25" s="11" t="str">
        <f t="shared" si="72"/>
        <v/>
      </c>
      <c r="FO25" s="11" t="str">
        <f t="shared" si="73"/>
        <v/>
      </c>
      <c r="FP25" s="11" t="str">
        <f t="shared" si="74"/>
        <v/>
      </c>
      <c r="FQ25" s="11" t="str">
        <f t="shared" si="75"/>
        <v/>
      </c>
      <c r="FR25" s="17"/>
      <c r="FS25" s="17"/>
      <c r="FT25" s="17"/>
      <c r="FU25" s="17"/>
      <c r="FV25" s="17"/>
      <c r="FW25" s="17"/>
      <c r="FX25" s="17"/>
      <c r="FY25" s="17"/>
      <c r="FZ25" s="17"/>
      <c r="GA25" s="17"/>
      <c r="GB25" s="17"/>
      <c r="GC25" s="17"/>
      <c r="GD25" s="17"/>
      <c r="GE25" s="17"/>
      <c r="GF25" s="17"/>
      <c r="GG25" s="17"/>
      <c r="GH25" s="17"/>
      <c r="GI25" s="17"/>
      <c r="GJ25" s="17"/>
      <c r="GK25" s="17"/>
      <c r="GL25" s="40" t="str">
        <f t="shared" si="76"/>
        <v/>
      </c>
      <c r="GM25" s="40" t="str">
        <f t="shared" si="77"/>
        <v/>
      </c>
      <c r="GN25" s="40" t="str">
        <f t="shared" si="78"/>
        <v/>
      </c>
      <c r="GO25" s="40" t="str">
        <f t="shared" si="79"/>
        <v/>
      </c>
      <c r="GP25" s="40" t="str">
        <f t="shared" si="80"/>
        <v/>
      </c>
      <c r="GQ25" s="40" t="str">
        <f t="shared" si="81"/>
        <v/>
      </c>
      <c r="GR25" s="40" t="str">
        <f t="shared" si="82"/>
        <v/>
      </c>
      <c r="GS25" s="40" t="str">
        <f t="shared" si="83"/>
        <v/>
      </c>
      <c r="GT25" s="40" t="str">
        <f t="shared" si="84"/>
        <v/>
      </c>
      <c r="GU25" s="40" t="str">
        <f t="shared" si="85"/>
        <v/>
      </c>
      <c r="GV25" s="40" t="str">
        <f t="shared" si="86"/>
        <v/>
      </c>
      <c r="GW25" s="40" t="str">
        <f t="shared" si="87"/>
        <v/>
      </c>
      <c r="GX25" s="40" t="str">
        <f t="shared" si="88"/>
        <v/>
      </c>
      <c r="GY25" s="40" t="str">
        <f t="shared" si="89"/>
        <v/>
      </c>
      <c r="GZ25" s="18"/>
      <c r="HA25" s="18"/>
      <c r="HB25" s="18"/>
      <c r="HC25" s="18"/>
      <c r="HD25" s="18"/>
      <c r="HE25" s="18"/>
      <c r="HF25" s="18"/>
      <c r="HG25" s="18"/>
      <c r="HH25" s="18"/>
      <c r="HI25" s="18"/>
      <c r="HJ25" s="18"/>
      <c r="HK25" s="18"/>
      <c r="HL25" s="18"/>
      <c r="HM25" s="18"/>
      <c r="HN25" s="18"/>
      <c r="HO25" s="18"/>
      <c r="HP25" s="18"/>
      <c r="HQ25" s="18"/>
      <c r="HR25" s="18"/>
      <c r="HS25" s="18"/>
      <c r="HT25" s="11" t="str">
        <f t="shared" si="90"/>
        <v/>
      </c>
      <c r="HU25" s="11" t="str">
        <f t="shared" si="91"/>
        <v/>
      </c>
      <c r="HV25" s="11" t="str">
        <f t="shared" si="92"/>
        <v/>
      </c>
      <c r="HW25" s="11" t="str">
        <f t="shared" si="93"/>
        <v/>
      </c>
      <c r="HX25" s="11" t="str">
        <f t="shared" si="94"/>
        <v/>
      </c>
      <c r="HY25" s="11" t="str">
        <f t="shared" si="95"/>
        <v/>
      </c>
      <c r="HZ25" s="11" t="str">
        <f t="shared" si="96"/>
        <v/>
      </c>
      <c r="IA25" s="11" t="str">
        <f t="shared" si="97"/>
        <v/>
      </c>
      <c r="IB25" s="11" t="str">
        <f t="shared" si="98"/>
        <v/>
      </c>
      <c r="IC25" s="11" t="str">
        <f t="shared" si="99"/>
        <v/>
      </c>
      <c r="ID25" s="11" t="str">
        <f t="shared" si="100"/>
        <v/>
      </c>
      <c r="IE25" s="11" t="str">
        <f t="shared" si="101"/>
        <v/>
      </c>
      <c r="IF25" s="11" t="str">
        <f t="shared" si="102"/>
        <v/>
      </c>
      <c r="IG25" s="11" t="str">
        <f t="shared" si="103"/>
        <v/>
      </c>
      <c r="IH25" s="17"/>
      <c r="II25" s="17"/>
      <c r="IJ25" s="17"/>
      <c r="IK25" s="17"/>
      <c r="IL25" s="17"/>
      <c r="IM25" s="17"/>
      <c r="IN25" s="17"/>
      <c r="IO25" s="17"/>
      <c r="IP25" s="17"/>
      <c r="IQ25" s="17"/>
      <c r="IR25" s="17"/>
      <c r="IS25" s="17"/>
      <c r="IT25" s="17"/>
      <c r="IU25" s="17"/>
      <c r="IV25" s="17"/>
      <c r="IW25" s="17"/>
      <c r="IX25" s="17"/>
      <c r="IY25" s="17"/>
      <c r="IZ25" s="17"/>
      <c r="JA25" s="17"/>
      <c r="JB25" s="40" t="str">
        <f t="shared" si="104"/>
        <v/>
      </c>
      <c r="JC25" s="40" t="str">
        <f t="shared" si="105"/>
        <v/>
      </c>
      <c r="JD25" s="40" t="str">
        <f t="shared" si="106"/>
        <v/>
      </c>
      <c r="JE25" s="40" t="str">
        <f t="shared" si="107"/>
        <v/>
      </c>
      <c r="JF25" s="40" t="str">
        <f t="shared" si="108"/>
        <v/>
      </c>
      <c r="JG25" s="40" t="str">
        <f t="shared" si="109"/>
        <v/>
      </c>
      <c r="JH25" s="40" t="str">
        <f t="shared" si="110"/>
        <v/>
      </c>
      <c r="JI25" s="40" t="str">
        <f t="shared" si="111"/>
        <v/>
      </c>
      <c r="JJ25" s="40" t="str">
        <f t="shared" si="112"/>
        <v/>
      </c>
      <c r="JK25" s="40" t="str">
        <f t="shared" si="113"/>
        <v/>
      </c>
      <c r="JL25" s="40" t="str">
        <f t="shared" si="114"/>
        <v/>
      </c>
      <c r="JM25" s="40" t="str">
        <f t="shared" si="115"/>
        <v/>
      </c>
      <c r="JN25" s="40" t="str">
        <f t="shared" si="116"/>
        <v/>
      </c>
      <c r="JO25" s="40" t="str">
        <f t="shared" si="117"/>
        <v/>
      </c>
      <c r="JP25" s="18"/>
      <c r="JQ25" s="18"/>
      <c r="JR25" s="18"/>
      <c r="JS25" s="18"/>
      <c r="JT25" s="18"/>
      <c r="JU25" s="18"/>
      <c r="JV25" s="18"/>
      <c r="JW25" s="18"/>
      <c r="JX25" s="18"/>
      <c r="JY25" s="18"/>
      <c r="JZ25" s="18"/>
      <c r="KA25" s="18"/>
      <c r="KB25" s="18"/>
      <c r="KC25" s="18"/>
      <c r="KD25" s="18"/>
      <c r="KE25" s="18"/>
      <c r="KF25" s="18"/>
      <c r="KG25" s="18"/>
      <c r="KH25" s="18"/>
      <c r="KI25" s="18"/>
      <c r="KJ25" s="11" t="str">
        <f t="shared" si="118"/>
        <v/>
      </c>
      <c r="KK25" s="11" t="str">
        <f t="shared" si="119"/>
        <v/>
      </c>
      <c r="KL25" s="11" t="str">
        <f t="shared" si="120"/>
        <v/>
      </c>
      <c r="KM25" s="11" t="str">
        <f t="shared" si="121"/>
        <v/>
      </c>
      <c r="KN25" s="11" t="str">
        <f t="shared" si="122"/>
        <v/>
      </c>
      <c r="KO25" s="11" t="str">
        <f t="shared" si="123"/>
        <v/>
      </c>
      <c r="KP25" s="11" t="str">
        <f t="shared" si="124"/>
        <v/>
      </c>
      <c r="KQ25" s="11" t="str">
        <f t="shared" si="125"/>
        <v/>
      </c>
      <c r="KR25" s="11" t="str">
        <f t="shared" si="126"/>
        <v/>
      </c>
      <c r="KS25" s="11" t="str">
        <f t="shared" si="127"/>
        <v/>
      </c>
      <c r="KT25" s="11" t="str">
        <f t="shared" si="128"/>
        <v/>
      </c>
      <c r="KU25" s="11" t="str">
        <f t="shared" si="129"/>
        <v/>
      </c>
      <c r="KV25" s="11" t="str">
        <f t="shared" si="130"/>
        <v/>
      </c>
      <c r="KW25" s="11" t="str">
        <f t="shared" si="131"/>
        <v/>
      </c>
      <c r="KX25" s="17"/>
      <c r="KY25" s="17"/>
      <c r="KZ25" s="17"/>
      <c r="LA25" s="17"/>
      <c r="LB25" s="17"/>
      <c r="LC25" s="17"/>
      <c r="LD25" s="17"/>
      <c r="LE25" s="17"/>
      <c r="LF25" s="17"/>
      <c r="LG25" s="17"/>
      <c r="LH25" s="17"/>
      <c r="LI25" s="17"/>
      <c r="LJ25" s="17"/>
      <c r="LK25" s="17"/>
      <c r="LL25" s="17"/>
      <c r="LM25" s="17"/>
      <c r="LN25" s="17"/>
      <c r="LO25" s="17"/>
      <c r="LP25" s="17"/>
      <c r="LQ25" s="17"/>
      <c r="LR25" s="40" t="str">
        <f t="shared" si="132"/>
        <v/>
      </c>
      <c r="LS25" s="40" t="str">
        <f t="shared" si="133"/>
        <v/>
      </c>
      <c r="LT25" s="40" t="str">
        <f t="shared" si="134"/>
        <v/>
      </c>
      <c r="LU25" s="40" t="str">
        <f t="shared" si="135"/>
        <v/>
      </c>
      <c r="LV25" s="40" t="str">
        <f t="shared" si="136"/>
        <v/>
      </c>
      <c r="LW25" s="40" t="str">
        <f t="shared" si="137"/>
        <v/>
      </c>
      <c r="LX25" s="40" t="str">
        <f t="shared" si="138"/>
        <v/>
      </c>
      <c r="LY25" s="40" t="str">
        <f t="shared" si="139"/>
        <v/>
      </c>
      <c r="LZ25" s="40" t="str">
        <f t="shared" si="140"/>
        <v/>
      </c>
      <c r="MA25" s="40" t="str">
        <f t="shared" si="141"/>
        <v/>
      </c>
      <c r="MB25" s="40" t="str">
        <f t="shared" si="142"/>
        <v/>
      </c>
      <c r="MC25" s="40" t="str">
        <f t="shared" si="143"/>
        <v/>
      </c>
      <c r="MD25" s="40" t="str">
        <f t="shared" si="144"/>
        <v/>
      </c>
      <c r="ME25" s="40" t="str">
        <f t="shared" si="145"/>
        <v/>
      </c>
      <c r="MF25" s="18"/>
      <c r="MG25" s="18"/>
      <c r="MH25" s="18"/>
      <c r="MI25" s="18"/>
      <c r="MJ25" s="18"/>
      <c r="MK25" s="18"/>
      <c r="ML25" s="18"/>
      <c r="MM25" s="18"/>
      <c r="MN25" s="18"/>
      <c r="MO25" s="18"/>
      <c r="MP25" s="18"/>
      <c r="MQ25" s="18"/>
      <c r="MR25" s="18"/>
      <c r="MS25" s="18"/>
      <c r="MT25" s="18"/>
      <c r="MU25" s="18"/>
      <c r="MV25" s="18"/>
      <c r="MW25" s="18"/>
      <c r="MX25" s="18"/>
      <c r="MY25" s="18"/>
      <c r="MZ25" s="11" t="str">
        <f t="shared" si="146"/>
        <v/>
      </c>
      <c r="NA25" s="11" t="str">
        <f t="shared" si="147"/>
        <v/>
      </c>
      <c r="NB25" s="11" t="str">
        <f t="shared" si="148"/>
        <v/>
      </c>
      <c r="NC25" s="11" t="str">
        <f t="shared" si="149"/>
        <v/>
      </c>
      <c r="ND25" s="11" t="str">
        <f t="shared" si="150"/>
        <v/>
      </c>
      <c r="NE25" s="11" t="str">
        <f t="shared" si="151"/>
        <v/>
      </c>
      <c r="NF25" s="11" t="str">
        <f t="shared" si="152"/>
        <v/>
      </c>
      <c r="NG25" s="11" t="str">
        <f t="shared" si="153"/>
        <v/>
      </c>
      <c r="NH25" s="11" t="str">
        <f t="shared" si="154"/>
        <v/>
      </c>
      <c r="NI25" s="11" t="str">
        <f t="shared" si="155"/>
        <v/>
      </c>
      <c r="NJ25" s="11" t="str">
        <f t="shared" si="156"/>
        <v/>
      </c>
      <c r="NK25" s="11" t="str">
        <f t="shared" si="157"/>
        <v/>
      </c>
      <c r="NL25" s="11" t="str">
        <f t="shared" si="158"/>
        <v/>
      </c>
      <c r="NM25" s="11" t="str">
        <f t="shared" si="159"/>
        <v/>
      </c>
      <c r="NN25" s="17"/>
      <c r="NO25" s="17"/>
      <c r="NP25" s="17"/>
      <c r="NQ25" s="17"/>
      <c r="NR25" s="17"/>
      <c r="NS25" s="17"/>
      <c r="NT25" s="17"/>
      <c r="NU25" s="17"/>
      <c r="NV25" s="17"/>
      <c r="NW25" s="17"/>
      <c r="NX25" s="17"/>
      <c r="NY25" s="17"/>
      <c r="NZ25" s="17"/>
      <c r="OA25" s="17"/>
      <c r="OB25" s="17"/>
      <c r="OC25" s="17"/>
      <c r="OD25" s="17"/>
      <c r="OE25" s="17"/>
      <c r="OF25" s="17"/>
      <c r="OG25" s="17"/>
      <c r="OH25" s="40" t="str">
        <f t="shared" si="160"/>
        <v/>
      </c>
      <c r="OI25" s="40" t="str">
        <f t="shared" si="161"/>
        <v/>
      </c>
      <c r="OJ25" s="40" t="str">
        <f t="shared" si="162"/>
        <v/>
      </c>
      <c r="OK25" s="40" t="str">
        <f t="shared" si="163"/>
        <v/>
      </c>
      <c r="OL25" s="40" t="str">
        <f t="shared" si="164"/>
        <v/>
      </c>
      <c r="OM25" s="40" t="str">
        <f t="shared" si="165"/>
        <v/>
      </c>
      <c r="ON25" s="40" t="str">
        <f t="shared" si="166"/>
        <v/>
      </c>
      <c r="OO25" s="40" t="str">
        <f t="shared" si="167"/>
        <v/>
      </c>
      <c r="OP25" s="40" t="str">
        <f t="shared" si="168"/>
        <v/>
      </c>
      <c r="OQ25" s="40" t="str">
        <f t="shared" si="169"/>
        <v/>
      </c>
      <c r="OR25" s="40" t="str">
        <f t="shared" si="170"/>
        <v/>
      </c>
      <c r="OS25" s="40" t="str">
        <f t="shared" si="171"/>
        <v/>
      </c>
      <c r="OT25" s="40" t="str">
        <f t="shared" si="172"/>
        <v/>
      </c>
      <c r="OU25" s="40" t="str">
        <f t="shared" si="173"/>
        <v/>
      </c>
      <c r="OV25" s="18"/>
      <c r="OW25" s="18"/>
      <c r="OX25" s="18"/>
      <c r="OY25" s="18"/>
      <c r="OZ25" s="18"/>
      <c r="PA25" s="18"/>
      <c r="PB25" s="18"/>
      <c r="PC25" s="18"/>
      <c r="PD25" s="18"/>
      <c r="PE25" s="18"/>
      <c r="PF25" s="18"/>
      <c r="PG25" s="18"/>
      <c r="PH25" s="18"/>
      <c r="PI25" s="18"/>
      <c r="PJ25" s="18"/>
      <c r="PK25" s="18"/>
      <c r="PL25" s="18"/>
      <c r="PM25" s="18"/>
      <c r="PN25" s="18"/>
      <c r="PO25" s="18"/>
      <c r="PP25" s="11" t="str">
        <f t="shared" si="174"/>
        <v/>
      </c>
      <c r="PQ25" s="11" t="str">
        <f t="shared" si="175"/>
        <v/>
      </c>
      <c r="PR25" s="11" t="str">
        <f t="shared" si="176"/>
        <v/>
      </c>
      <c r="PS25" s="11" t="str">
        <f t="shared" si="177"/>
        <v/>
      </c>
      <c r="PT25" s="11" t="str">
        <f t="shared" si="178"/>
        <v/>
      </c>
      <c r="PU25" s="11" t="str">
        <f t="shared" si="179"/>
        <v/>
      </c>
      <c r="PV25" s="11" t="str">
        <f t="shared" si="180"/>
        <v/>
      </c>
      <c r="PW25" s="11" t="str">
        <f t="shared" si="181"/>
        <v/>
      </c>
      <c r="PX25" s="11" t="str">
        <f t="shared" si="182"/>
        <v/>
      </c>
      <c r="PY25" s="11" t="str">
        <f t="shared" si="183"/>
        <v/>
      </c>
      <c r="PZ25" s="11" t="str">
        <f t="shared" si="184"/>
        <v/>
      </c>
      <c r="QA25" s="11" t="str">
        <f t="shared" si="185"/>
        <v/>
      </c>
      <c r="QB25" s="11" t="str">
        <f t="shared" si="186"/>
        <v/>
      </c>
      <c r="QC25" s="11" t="str">
        <f t="shared" si="187"/>
        <v/>
      </c>
      <c r="QD25" s="17"/>
      <c r="QE25" s="17"/>
      <c r="QF25" s="17"/>
      <c r="QG25" s="17"/>
      <c r="QH25" s="17"/>
      <c r="QI25" s="17"/>
      <c r="QJ25" s="17"/>
      <c r="QK25" s="17"/>
      <c r="QL25" s="17"/>
      <c r="QM25" s="17"/>
      <c r="QN25" s="17"/>
      <c r="QO25" s="17"/>
      <c r="QP25" s="17"/>
      <c r="QQ25" s="17"/>
      <c r="QR25" s="17"/>
      <c r="QS25" s="17"/>
      <c r="QT25" s="17"/>
      <c r="QU25" s="17"/>
      <c r="QV25" s="17"/>
      <c r="QW25" s="17"/>
      <c r="QX25" s="40" t="str">
        <f t="shared" si="188"/>
        <v/>
      </c>
      <c r="QY25" s="40" t="str">
        <f t="shared" si="189"/>
        <v/>
      </c>
      <c r="QZ25" s="40" t="str">
        <f t="shared" si="190"/>
        <v/>
      </c>
      <c r="RA25" s="40" t="str">
        <f t="shared" si="191"/>
        <v/>
      </c>
      <c r="RB25" s="40" t="str">
        <f t="shared" si="192"/>
        <v/>
      </c>
      <c r="RC25" s="40" t="str">
        <f t="shared" si="193"/>
        <v/>
      </c>
      <c r="RD25" s="40" t="str">
        <f t="shared" si="194"/>
        <v/>
      </c>
      <c r="RE25" s="40" t="str">
        <f t="shared" si="195"/>
        <v/>
      </c>
      <c r="RF25" s="40" t="str">
        <f t="shared" si="196"/>
        <v/>
      </c>
      <c r="RG25" s="40" t="str">
        <f t="shared" si="197"/>
        <v/>
      </c>
      <c r="RH25" s="40" t="str">
        <f t="shared" si="198"/>
        <v/>
      </c>
      <c r="RI25" s="40" t="str">
        <f t="shared" si="199"/>
        <v/>
      </c>
      <c r="RJ25" s="40" t="str">
        <f t="shared" si="200"/>
        <v/>
      </c>
      <c r="RK25" s="40" t="str">
        <f t="shared" si="201"/>
        <v/>
      </c>
      <c r="RL25" s="18"/>
      <c r="RM25" s="18"/>
      <c r="RN25" s="18"/>
      <c r="RO25" s="18"/>
      <c r="RP25" s="18"/>
      <c r="RQ25" s="18"/>
      <c r="RR25" s="18"/>
      <c r="RS25" s="18"/>
      <c r="RT25" s="18"/>
      <c r="RU25" s="18"/>
      <c r="RV25" s="18"/>
      <c r="RW25" s="18"/>
      <c r="RX25" s="18"/>
      <c r="RY25" s="18"/>
      <c r="RZ25" s="18"/>
      <c r="SA25" s="18"/>
      <c r="SB25" s="18"/>
      <c r="SC25" s="18"/>
      <c r="SD25" s="18"/>
      <c r="SE25" s="18"/>
      <c r="SF25" s="11" t="str">
        <f t="shared" si="202"/>
        <v/>
      </c>
      <c r="SG25" s="11" t="str">
        <f t="shared" si="203"/>
        <v/>
      </c>
      <c r="SH25" s="11" t="str">
        <f t="shared" si="204"/>
        <v/>
      </c>
      <c r="SI25" s="11" t="str">
        <f t="shared" si="205"/>
        <v/>
      </c>
      <c r="SJ25" s="11" t="str">
        <f t="shared" si="206"/>
        <v/>
      </c>
      <c r="SK25" s="11" t="str">
        <f t="shared" si="207"/>
        <v/>
      </c>
      <c r="SL25" s="11" t="str">
        <f t="shared" si="208"/>
        <v/>
      </c>
      <c r="SM25" s="11" t="str">
        <f t="shared" si="209"/>
        <v/>
      </c>
      <c r="SN25" s="11" t="str">
        <f t="shared" si="210"/>
        <v/>
      </c>
      <c r="SO25" s="11" t="str">
        <f t="shared" si="211"/>
        <v/>
      </c>
      <c r="SP25" s="11" t="str">
        <f t="shared" si="212"/>
        <v/>
      </c>
      <c r="SQ25" s="11" t="str">
        <f t="shared" si="213"/>
        <v/>
      </c>
      <c r="SR25" s="11" t="str">
        <f t="shared" si="214"/>
        <v/>
      </c>
      <c r="SS25" s="11" t="str">
        <f t="shared" si="215"/>
        <v/>
      </c>
      <c r="ST25" s="22">
        <f t="shared" si="216"/>
        <v>0</v>
      </c>
      <c r="SU25" s="22">
        <f t="shared" si="217"/>
        <v>0</v>
      </c>
      <c r="SV25" s="22">
        <f t="shared" si="218"/>
        <v>0</v>
      </c>
      <c r="SW25" s="22">
        <f t="shared" si="219"/>
        <v>0</v>
      </c>
      <c r="SX25" s="22">
        <f t="shared" si="220"/>
        <v>0</v>
      </c>
      <c r="SY25" s="22">
        <f t="shared" si="221"/>
        <v>0</v>
      </c>
      <c r="SZ25" s="22">
        <f t="shared" si="222"/>
        <v>0</v>
      </c>
      <c r="TA25" s="22">
        <f t="shared" si="223"/>
        <v>0</v>
      </c>
      <c r="TB25" s="22">
        <f t="shared" si="224"/>
        <v>0</v>
      </c>
      <c r="TC25" s="22">
        <f t="shared" si="225"/>
        <v>0</v>
      </c>
      <c r="TD25" s="22">
        <f t="shared" si="226"/>
        <v>0</v>
      </c>
      <c r="TE25" s="22">
        <f t="shared" si="227"/>
        <v>0</v>
      </c>
      <c r="TF25" s="22">
        <f t="shared" si="228"/>
        <v>0</v>
      </c>
      <c r="TG25" s="22">
        <f t="shared" si="229"/>
        <v>0</v>
      </c>
      <c r="TH25" s="22">
        <f t="shared" si="230"/>
        <v>0</v>
      </c>
      <c r="TI25" s="27" t="s">
        <v>46</v>
      </c>
      <c r="TJ25" s="40" t="str">
        <f t="shared" si="231"/>
        <v/>
      </c>
      <c r="TK25" s="40" t="str">
        <f t="shared" si="232"/>
        <v/>
      </c>
      <c r="TL25" s="40" t="str">
        <f t="shared" si="233"/>
        <v/>
      </c>
      <c r="TM25" s="40" t="str">
        <f t="shared" si="234"/>
        <v/>
      </c>
      <c r="TN25" s="40" t="str">
        <f t="shared" si="235"/>
        <v/>
      </c>
      <c r="TO25" s="40" t="str">
        <f t="shared" si="236"/>
        <v/>
      </c>
      <c r="TP25" s="40" t="str">
        <f t="shared" si="237"/>
        <v/>
      </c>
      <c r="TQ25" s="40" t="str">
        <f t="shared" si="238"/>
        <v/>
      </c>
      <c r="TR25" s="40" t="str">
        <f t="shared" si="239"/>
        <v/>
      </c>
      <c r="TS25" s="40" t="str">
        <f t="shared" si="240"/>
        <v/>
      </c>
      <c r="TT25" s="40" t="str">
        <f t="shared" si="241"/>
        <v/>
      </c>
    </row>
    <row r="26" spans="1:540" x14ac:dyDescent="0.2">
      <c r="A26" s="4" t="str" cm="1">
        <f t="array" ref="A26">IF(AND(F26&lt;&gt;"",G26&lt;&gt;""),SUMPRODUCT((F$4:F$32&lt;&gt;"")*(G$4:G$32&lt;&gt;"")*(E$4:E$32&gt;E26))+1,IF(G26&lt;&gt;"",SUMPRODUCT((H$4:H$32="No DD")*(E$4:E$32&gt;E26))+1+SUMPRODUCT((F$4:F$32&lt;&gt;"")*(G$4:G$32&lt;&gt;"")),""))</f>
        <v/>
      </c>
      <c r="B26" s="5" t="s">
        <v>158</v>
      </c>
      <c r="C26" s="4" t="s">
        <v>3</v>
      </c>
      <c r="D26" s="4">
        <v>2004</v>
      </c>
      <c r="E26" s="9">
        <f t="shared" si="0"/>
        <v>56.070005607004667</v>
      </c>
      <c r="F26" s="3" t="str">
        <f t="shared" si="1"/>
        <v/>
      </c>
      <c r="G26" s="3" t="str">
        <f t="shared" si="2"/>
        <v/>
      </c>
      <c r="H26" s="36" t="str">
        <f t="shared" si="3"/>
        <v/>
      </c>
      <c r="I26" s="3" t="str">
        <f t="shared" si="4"/>
        <v/>
      </c>
      <c r="J26" s="8">
        <f>IF(COUNT(AO26,AR26,BP26,BS26,CQ26,CT26)&gt;0,LARGE((AO26,AR26,BP26,BS26,CQ26,CT26),1),0)</f>
        <v>46.67</v>
      </c>
      <c r="K26" s="8" t="str">
        <f t="shared" si="5"/>
        <v>2022 Nationals</v>
      </c>
      <c r="L26" s="8">
        <f>IF(COUNT(AO26,AR26,BP26,BS26,CQ26,CT26)&gt;1,LARGE((AO26,AR26,BP26,BS26,CQ26,CT26),2),0)</f>
        <v>0</v>
      </c>
      <c r="M26" s="8" t="str">
        <f t="shared" si="6"/>
        <v/>
      </c>
      <c r="N26" s="8">
        <f>IF(COUNT(AO26,AR26,BP26,BS26,CQ26,CT26)&gt;2,LARGE((AO26,AR26,BP26,BS26,CQ26,CT26),3),0)</f>
        <v>0</v>
      </c>
      <c r="O26" s="8" t="str">
        <f t="shared" si="242"/>
        <v/>
      </c>
      <c r="P26" s="8">
        <f t="shared" si="7"/>
        <v>9.4</v>
      </c>
      <c r="Q26" s="8" t="str">
        <f t="shared" si="8"/>
        <v>2022 Nationals</v>
      </c>
      <c r="R26" s="8">
        <f t="shared" si="9"/>
        <v>0</v>
      </c>
      <c r="S26" s="8" t="str">
        <f t="shared" si="10"/>
        <v/>
      </c>
      <c r="T26" s="8" t="str">
        <f t="shared" si="11"/>
        <v/>
      </c>
      <c r="U26" s="11" t="str">
        <f t="shared" si="12"/>
        <v/>
      </c>
      <c r="V26" s="8" t="str">
        <f>IF(T26="","",IF(T26=CZ26,IF(T26+IF(N26="",0,N26)=SL26,$RL$1,IF(T26+IF(N26="",0,N26)=RD26,$QD$1,IF(T26+IF(N26="",0,N26)=PV26,$OV$1,IF(T26+IF(N26="",0,N26)=ON26,$NN$1,IF(T26+IF(N26="",0,N26)=NF26,$MF$1,IF(T26+IF(N26="",0,N26)=LX26,$KX$1,IF(T26+IF(N26="",0,N26)=KP26,$JP$1,IF(T26+IF(N26="",0,N26)=JH26,$IH$1,IF(T26+IF(N26="",0,N26)=HZ26,$GZ$1,IF(T26+IF(N26="",0,N26)=GR26,$FR$1,IF(T26+IF(N26="",0,N26)=FJ26,$EJ$1,IF(T26+IF(N26="",0,N26)=EB26,$DB$1)))))))))))),IF(T26=DA26,IF(T26+IF(#REF!="",0,#REF!)=SR26,$RL$1,IF(T26+IF(#REF!="",0,#REF!)=RJ26,$QD$1,IF(T26+IF(#REF!="",0,#REF!)=QB26,$OV$1,IF(T26+IF(#REF!="",0,#REF!)=OT26,$NN$1,IF(T26+IF(#REF!="",0,#REF!)=NL26,$MF$1,IF(T26+IF(#REF!="",0,#REF!)=MD26,$KX$1,IF(T26+IF(#REF!="",0,#REF!)=KV26,$JP$1,IF(T26+IF(#REF!="",0,#REF!)=JN26,$IH$1,IF(T26+IF(#REF!="",0,#REF!)=IF26,$GZ$1,IF(T26+IF(#REF!="",0,#REF!)=GX26,$FR$1,IF(T26+IF(#REF!="",0,#REF!)=FP26,$EJ$1,IF(T26+IF(#REF!="",0,#REF!)=EH26,$DB$1,IF(T26+IF(#REF!="",0,#REF!)=SO26,$RL$1,IF(T26+IF(#REF!="",0,#REF!)=RG26,$QD$1,IF(T26+IF(#REF!="",0,#REF!)=PY26,$OV$1,IF(T26+IF(#REF!="",0,#REF!)=OQ26,$NN$1,IF(T26+IF(#REF!="",0,#REF!)=NI26,$MF$1,IF(T26+IF(#REF!="",0,#REF!)=MA26,$KX$1,IF(T26+IF(#REF!="",0,#REF!)=KS26,$JP$1,IF(T26+IF(#REF!="",0,#REF!)=JK26,$IH$1,IF(T26+IF(#REF!="",0,#REF!)=IC26,$GZ$1,IF(T26+IF(#REF!="",0,#REF!)=GU26,$FR$1,IF(T26+IF(#REF!="",0,#REF!)=FM26,$EJ$1,IF(T26+IF(#REF!="",0,#REF!)=EE26,$DB$1)))))))))))))))))))))))))))</f>
        <v/>
      </c>
      <c r="W26" s="22">
        <v>14.3</v>
      </c>
      <c r="X26" s="22">
        <v>9.1999999999999993</v>
      </c>
      <c r="Y26" s="22">
        <v>9.4</v>
      </c>
      <c r="Z26" s="22">
        <v>13.77</v>
      </c>
      <c r="AA26" s="22">
        <v>0</v>
      </c>
      <c r="AB26" s="22"/>
      <c r="AC26" s="22"/>
      <c r="AD26" s="22"/>
      <c r="AE26" s="22"/>
      <c r="AF26" s="22"/>
      <c r="AG26" s="22">
        <v>14.8</v>
      </c>
      <c r="AH26" s="22">
        <v>9.5</v>
      </c>
      <c r="AI26" s="22">
        <v>9.4</v>
      </c>
      <c r="AJ26" s="22">
        <v>13.69</v>
      </c>
      <c r="AK26" s="22">
        <v>0</v>
      </c>
      <c r="AL26" s="27"/>
      <c r="AM26" s="38">
        <f t="shared" si="13"/>
        <v>9.4</v>
      </c>
      <c r="AN26" s="38">
        <f t="shared" si="14"/>
        <v>13.77</v>
      </c>
      <c r="AO26" s="40">
        <f t="shared" si="15"/>
        <v>46.67</v>
      </c>
      <c r="AP26" s="40" t="str">
        <f t="shared" si="16"/>
        <v/>
      </c>
      <c r="AQ26" s="40" t="str">
        <f t="shared" si="17"/>
        <v/>
      </c>
      <c r="AR26" s="40" t="str">
        <f t="shared" si="18"/>
        <v/>
      </c>
      <c r="AS26" s="40">
        <f t="shared" si="19"/>
        <v>46.67</v>
      </c>
      <c r="AT26" s="40">
        <f t="shared" si="20"/>
        <v>9.4</v>
      </c>
      <c r="AU26" s="40">
        <f t="shared" si="21"/>
        <v>13.69</v>
      </c>
      <c r="AV26" s="40">
        <f t="shared" si="22"/>
        <v>47.39</v>
      </c>
      <c r="AW26" s="40">
        <f t="shared" si="23"/>
        <v>94.06</v>
      </c>
      <c r="AX26" s="26"/>
      <c r="AY26" s="26"/>
      <c r="AZ26" s="26"/>
      <c r="BA26" s="26"/>
      <c r="BB26" s="26"/>
      <c r="BC26" s="26"/>
      <c r="BD26" s="26"/>
      <c r="BE26" s="26"/>
      <c r="BF26" s="26"/>
      <c r="BG26" s="26"/>
      <c r="BH26" s="26"/>
      <c r="BI26" s="26"/>
      <c r="BJ26" s="26"/>
      <c r="BK26" s="26"/>
      <c r="BL26" s="26"/>
      <c r="BM26" s="28"/>
      <c r="BN26" s="39" t="str">
        <f t="shared" si="24"/>
        <v/>
      </c>
      <c r="BO26" s="39" t="str">
        <f t="shared" si="25"/>
        <v/>
      </c>
      <c r="BP26" s="11" t="str">
        <f t="shared" si="26"/>
        <v/>
      </c>
      <c r="BQ26" s="11" t="str">
        <f t="shared" si="27"/>
        <v/>
      </c>
      <c r="BR26" s="11" t="str">
        <f t="shared" si="28"/>
        <v/>
      </c>
      <c r="BS26" s="11" t="str">
        <f t="shared" si="29"/>
        <v/>
      </c>
      <c r="BT26" s="11" t="str">
        <f t="shared" si="30"/>
        <v/>
      </c>
      <c r="BU26" s="11" t="str">
        <f t="shared" si="31"/>
        <v/>
      </c>
      <c r="BV26" s="11" t="str">
        <f t="shared" si="32"/>
        <v/>
      </c>
      <c r="BW26" s="11" t="str">
        <f t="shared" si="33"/>
        <v/>
      </c>
      <c r="BX26" s="11" t="str">
        <f t="shared" si="34"/>
        <v/>
      </c>
      <c r="BY26" s="22"/>
      <c r="BZ26" s="22"/>
      <c r="CA26" s="22"/>
      <c r="CB26" s="22"/>
      <c r="CC26" s="22"/>
      <c r="CD26" s="22"/>
      <c r="CE26" s="22"/>
      <c r="CF26" s="22"/>
      <c r="CG26" s="22"/>
      <c r="CH26" s="22"/>
      <c r="CI26" s="22"/>
      <c r="CJ26" s="22"/>
      <c r="CK26" s="22"/>
      <c r="CL26" s="22"/>
      <c r="CM26" s="22"/>
      <c r="CN26" s="27"/>
      <c r="CO26" s="38" t="str">
        <f t="shared" si="35"/>
        <v/>
      </c>
      <c r="CP26" s="38" t="str">
        <f t="shared" si="36"/>
        <v/>
      </c>
      <c r="CQ26" s="40" t="str">
        <f t="shared" si="37"/>
        <v/>
      </c>
      <c r="CR26" s="40" t="str">
        <f t="shared" si="38"/>
        <v/>
      </c>
      <c r="CS26" s="40" t="str">
        <f t="shared" si="39"/>
        <v/>
      </c>
      <c r="CT26" s="40" t="str">
        <f t="shared" si="40"/>
        <v/>
      </c>
      <c r="CU26" s="40" t="str">
        <f t="shared" si="41"/>
        <v/>
      </c>
      <c r="CV26" s="40" t="str">
        <f t="shared" si="42"/>
        <v/>
      </c>
      <c r="CW26" s="40" t="str">
        <f t="shared" si="43"/>
        <v/>
      </c>
      <c r="CX26" s="40" t="str">
        <f t="shared" si="44"/>
        <v/>
      </c>
      <c r="CY26" s="40" t="str">
        <f t="shared" si="45"/>
        <v/>
      </c>
      <c r="CZ26" s="50" t="str">
        <f t="shared" si="46"/>
        <v/>
      </c>
      <c r="DA26" s="50" t="str">
        <f t="shared" si="47"/>
        <v/>
      </c>
      <c r="DB26" s="17"/>
      <c r="DC26" s="17"/>
      <c r="DD26" s="17"/>
      <c r="DE26" s="17"/>
      <c r="DF26" s="17"/>
      <c r="DG26" s="17"/>
      <c r="DH26" s="17"/>
      <c r="DI26" s="17"/>
      <c r="DJ26" s="17"/>
      <c r="DK26" s="17"/>
      <c r="DL26" s="17"/>
      <c r="DM26" s="17"/>
      <c r="DN26" s="17"/>
      <c r="DO26" s="17"/>
      <c r="DP26" s="17"/>
      <c r="DQ26" s="17"/>
      <c r="DR26" s="17"/>
      <c r="DS26" s="17"/>
      <c r="DT26" s="17"/>
      <c r="DU26" s="17"/>
      <c r="DV26" s="40" t="str">
        <f t="shared" si="48"/>
        <v/>
      </c>
      <c r="DW26" s="40" t="str">
        <f t="shared" si="49"/>
        <v/>
      </c>
      <c r="DX26" s="40" t="str">
        <f t="shared" si="50"/>
        <v/>
      </c>
      <c r="DY26" s="40" t="str">
        <f t="shared" si="51"/>
        <v/>
      </c>
      <c r="DZ26" s="40" t="str">
        <f t="shared" si="52"/>
        <v/>
      </c>
      <c r="EA26" s="40" t="str">
        <f t="shared" si="53"/>
        <v/>
      </c>
      <c r="EB26" s="40" t="str">
        <f t="shared" si="54"/>
        <v/>
      </c>
      <c r="EC26" s="40" t="str">
        <f t="shared" si="55"/>
        <v/>
      </c>
      <c r="ED26" s="40" t="str">
        <f t="shared" si="56"/>
        <v/>
      </c>
      <c r="EE26" s="40" t="str">
        <f t="shared" si="57"/>
        <v/>
      </c>
      <c r="EF26" s="40" t="str">
        <f t="shared" si="58"/>
        <v/>
      </c>
      <c r="EG26" s="40" t="str">
        <f t="shared" si="59"/>
        <v/>
      </c>
      <c r="EH26" s="40" t="str">
        <f t="shared" si="60"/>
        <v/>
      </c>
      <c r="EI26" s="40" t="str">
        <f t="shared" si="61"/>
        <v/>
      </c>
      <c r="EJ26" s="18"/>
      <c r="EK26" s="18"/>
      <c r="EL26" s="18"/>
      <c r="EM26" s="18"/>
      <c r="EN26" s="18"/>
      <c r="EO26" s="18"/>
      <c r="EP26" s="18"/>
      <c r="EQ26" s="18"/>
      <c r="ER26" s="18"/>
      <c r="ES26" s="18"/>
      <c r="ET26" s="18"/>
      <c r="EU26" s="18"/>
      <c r="EV26" s="18"/>
      <c r="EW26" s="18"/>
      <c r="EX26" s="18"/>
      <c r="EY26" s="18"/>
      <c r="EZ26" s="18"/>
      <c r="FA26" s="18"/>
      <c r="FB26" s="18"/>
      <c r="FC26" s="18"/>
      <c r="FD26" s="11" t="str">
        <f t="shared" si="62"/>
        <v/>
      </c>
      <c r="FE26" s="11" t="str">
        <f t="shared" si="63"/>
        <v/>
      </c>
      <c r="FF26" s="11" t="str">
        <f t="shared" si="64"/>
        <v/>
      </c>
      <c r="FG26" s="11" t="str">
        <f t="shared" si="65"/>
        <v/>
      </c>
      <c r="FH26" s="11" t="str">
        <f t="shared" si="66"/>
        <v/>
      </c>
      <c r="FI26" s="11" t="str">
        <f t="shared" si="67"/>
        <v/>
      </c>
      <c r="FJ26" s="11" t="str">
        <f t="shared" si="68"/>
        <v/>
      </c>
      <c r="FK26" s="11" t="str">
        <f t="shared" si="69"/>
        <v/>
      </c>
      <c r="FL26" s="11" t="str">
        <f t="shared" si="70"/>
        <v/>
      </c>
      <c r="FM26" s="11" t="str">
        <f t="shared" si="71"/>
        <v/>
      </c>
      <c r="FN26" s="11" t="str">
        <f t="shared" si="72"/>
        <v/>
      </c>
      <c r="FO26" s="11" t="str">
        <f t="shared" si="73"/>
        <v/>
      </c>
      <c r="FP26" s="11" t="str">
        <f t="shared" si="74"/>
        <v/>
      </c>
      <c r="FQ26" s="11" t="str">
        <f t="shared" si="75"/>
        <v/>
      </c>
      <c r="FR26" s="17"/>
      <c r="FS26" s="17"/>
      <c r="FT26" s="17"/>
      <c r="FU26" s="17"/>
      <c r="FV26" s="17"/>
      <c r="FW26" s="17"/>
      <c r="FX26" s="17"/>
      <c r="FY26" s="17"/>
      <c r="FZ26" s="17"/>
      <c r="GA26" s="17"/>
      <c r="GB26" s="17"/>
      <c r="GC26" s="17"/>
      <c r="GD26" s="17"/>
      <c r="GE26" s="17"/>
      <c r="GF26" s="17"/>
      <c r="GG26" s="17"/>
      <c r="GH26" s="17"/>
      <c r="GI26" s="17"/>
      <c r="GJ26" s="17"/>
      <c r="GK26" s="17"/>
      <c r="GL26" s="40" t="str">
        <f t="shared" si="76"/>
        <v/>
      </c>
      <c r="GM26" s="40" t="str">
        <f t="shared" si="77"/>
        <v/>
      </c>
      <c r="GN26" s="40" t="str">
        <f t="shared" si="78"/>
        <v/>
      </c>
      <c r="GO26" s="40" t="str">
        <f t="shared" si="79"/>
        <v/>
      </c>
      <c r="GP26" s="40" t="str">
        <f t="shared" si="80"/>
        <v/>
      </c>
      <c r="GQ26" s="40" t="str">
        <f t="shared" si="81"/>
        <v/>
      </c>
      <c r="GR26" s="40" t="str">
        <f t="shared" si="82"/>
        <v/>
      </c>
      <c r="GS26" s="40" t="str">
        <f t="shared" si="83"/>
        <v/>
      </c>
      <c r="GT26" s="40" t="str">
        <f t="shared" si="84"/>
        <v/>
      </c>
      <c r="GU26" s="40" t="str">
        <f t="shared" si="85"/>
        <v/>
      </c>
      <c r="GV26" s="40" t="str">
        <f t="shared" si="86"/>
        <v/>
      </c>
      <c r="GW26" s="40" t="str">
        <f t="shared" si="87"/>
        <v/>
      </c>
      <c r="GX26" s="40" t="str">
        <f t="shared" si="88"/>
        <v/>
      </c>
      <c r="GY26" s="40" t="str">
        <f t="shared" si="89"/>
        <v/>
      </c>
      <c r="GZ26" s="18"/>
      <c r="HA26" s="18"/>
      <c r="HB26" s="18"/>
      <c r="HC26" s="18"/>
      <c r="HD26" s="18"/>
      <c r="HE26" s="18"/>
      <c r="HF26" s="18"/>
      <c r="HG26" s="18"/>
      <c r="HH26" s="18"/>
      <c r="HI26" s="18"/>
      <c r="HJ26" s="18"/>
      <c r="HK26" s="18"/>
      <c r="HL26" s="18"/>
      <c r="HM26" s="18"/>
      <c r="HN26" s="18"/>
      <c r="HO26" s="18"/>
      <c r="HP26" s="18"/>
      <c r="HQ26" s="18"/>
      <c r="HR26" s="18"/>
      <c r="HS26" s="18"/>
      <c r="HT26" s="11" t="str">
        <f t="shared" si="90"/>
        <v/>
      </c>
      <c r="HU26" s="11" t="str">
        <f t="shared" si="91"/>
        <v/>
      </c>
      <c r="HV26" s="11" t="str">
        <f t="shared" si="92"/>
        <v/>
      </c>
      <c r="HW26" s="11" t="str">
        <f t="shared" si="93"/>
        <v/>
      </c>
      <c r="HX26" s="11" t="str">
        <f t="shared" si="94"/>
        <v/>
      </c>
      <c r="HY26" s="11" t="str">
        <f t="shared" si="95"/>
        <v/>
      </c>
      <c r="HZ26" s="11" t="str">
        <f t="shared" si="96"/>
        <v/>
      </c>
      <c r="IA26" s="11" t="str">
        <f t="shared" si="97"/>
        <v/>
      </c>
      <c r="IB26" s="11" t="str">
        <f t="shared" si="98"/>
        <v/>
      </c>
      <c r="IC26" s="11" t="str">
        <f t="shared" si="99"/>
        <v/>
      </c>
      <c r="ID26" s="11" t="str">
        <f t="shared" si="100"/>
        <v/>
      </c>
      <c r="IE26" s="11" t="str">
        <f t="shared" si="101"/>
        <v/>
      </c>
      <c r="IF26" s="11" t="str">
        <f t="shared" si="102"/>
        <v/>
      </c>
      <c r="IG26" s="11" t="str">
        <f t="shared" si="103"/>
        <v/>
      </c>
      <c r="IH26" s="17"/>
      <c r="II26" s="17"/>
      <c r="IJ26" s="17"/>
      <c r="IK26" s="17"/>
      <c r="IL26" s="17"/>
      <c r="IM26" s="17"/>
      <c r="IN26" s="17"/>
      <c r="IO26" s="17"/>
      <c r="IP26" s="17"/>
      <c r="IQ26" s="17"/>
      <c r="IR26" s="17"/>
      <c r="IS26" s="17"/>
      <c r="IT26" s="17"/>
      <c r="IU26" s="17"/>
      <c r="IV26" s="17"/>
      <c r="IW26" s="17"/>
      <c r="IX26" s="17"/>
      <c r="IY26" s="17"/>
      <c r="IZ26" s="17"/>
      <c r="JA26" s="17"/>
      <c r="JB26" s="40" t="str">
        <f t="shared" si="104"/>
        <v/>
      </c>
      <c r="JC26" s="40" t="str">
        <f t="shared" si="105"/>
        <v/>
      </c>
      <c r="JD26" s="40" t="str">
        <f t="shared" si="106"/>
        <v/>
      </c>
      <c r="JE26" s="40" t="str">
        <f t="shared" si="107"/>
        <v/>
      </c>
      <c r="JF26" s="40" t="str">
        <f t="shared" si="108"/>
        <v/>
      </c>
      <c r="JG26" s="40" t="str">
        <f t="shared" si="109"/>
        <v/>
      </c>
      <c r="JH26" s="40" t="str">
        <f t="shared" si="110"/>
        <v/>
      </c>
      <c r="JI26" s="40" t="str">
        <f t="shared" si="111"/>
        <v/>
      </c>
      <c r="JJ26" s="40" t="str">
        <f t="shared" si="112"/>
        <v/>
      </c>
      <c r="JK26" s="40" t="str">
        <f t="shared" si="113"/>
        <v/>
      </c>
      <c r="JL26" s="40" t="str">
        <f t="shared" si="114"/>
        <v/>
      </c>
      <c r="JM26" s="40" t="str">
        <f t="shared" si="115"/>
        <v/>
      </c>
      <c r="JN26" s="40" t="str">
        <f t="shared" si="116"/>
        <v/>
      </c>
      <c r="JO26" s="40" t="str">
        <f t="shared" si="117"/>
        <v/>
      </c>
      <c r="JP26" s="18"/>
      <c r="JQ26" s="18"/>
      <c r="JR26" s="18"/>
      <c r="JS26" s="18"/>
      <c r="JT26" s="18"/>
      <c r="JU26" s="18"/>
      <c r="JV26" s="18"/>
      <c r="JW26" s="18"/>
      <c r="JX26" s="18"/>
      <c r="JY26" s="18"/>
      <c r="JZ26" s="18"/>
      <c r="KA26" s="18"/>
      <c r="KB26" s="18"/>
      <c r="KC26" s="18"/>
      <c r="KD26" s="18"/>
      <c r="KE26" s="18"/>
      <c r="KF26" s="18"/>
      <c r="KG26" s="18"/>
      <c r="KH26" s="18"/>
      <c r="KI26" s="18"/>
      <c r="KJ26" s="11" t="str">
        <f t="shared" si="118"/>
        <v/>
      </c>
      <c r="KK26" s="11" t="str">
        <f t="shared" si="119"/>
        <v/>
      </c>
      <c r="KL26" s="11" t="str">
        <f t="shared" si="120"/>
        <v/>
      </c>
      <c r="KM26" s="11" t="str">
        <f t="shared" si="121"/>
        <v/>
      </c>
      <c r="KN26" s="11" t="str">
        <f t="shared" si="122"/>
        <v/>
      </c>
      <c r="KO26" s="11" t="str">
        <f t="shared" si="123"/>
        <v/>
      </c>
      <c r="KP26" s="11" t="str">
        <f t="shared" si="124"/>
        <v/>
      </c>
      <c r="KQ26" s="11" t="str">
        <f t="shared" si="125"/>
        <v/>
      </c>
      <c r="KR26" s="11" t="str">
        <f t="shared" si="126"/>
        <v/>
      </c>
      <c r="KS26" s="11" t="str">
        <f t="shared" si="127"/>
        <v/>
      </c>
      <c r="KT26" s="11" t="str">
        <f t="shared" si="128"/>
        <v/>
      </c>
      <c r="KU26" s="11" t="str">
        <f t="shared" si="129"/>
        <v/>
      </c>
      <c r="KV26" s="11" t="str">
        <f t="shared" si="130"/>
        <v/>
      </c>
      <c r="KW26" s="11" t="str">
        <f t="shared" si="131"/>
        <v/>
      </c>
      <c r="KX26" s="17"/>
      <c r="KY26" s="17"/>
      <c r="KZ26" s="17"/>
      <c r="LA26" s="17"/>
      <c r="LB26" s="17"/>
      <c r="LC26" s="17"/>
      <c r="LD26" s="17"/>
      <c r="LE26" s="17"/>
      <c r="LF26" s="17"/>
      <c r="LG26" s="17"/>
      <c r="LH26" s="17"/>
      <c r="LI26" s="17"/>
      <c r="LJ26" s="17"/>
      <c r="LK26" s="17"/>
      <c r="LL26" s="17"/>
      <c r="LM26" s="17"/>
      <c r="LN26" s="17"/>
      <c r="LO26" s="17"/>
      <c r="LP26" s="17"/>
      <c r="LQ26" s="17"/>
      <c r="LR26" s="40" t="str">
        <f t="shared" si="132"/>
        <v/>
      </c>
      <c r="LS26" s="40" t="str">
        <f t="shared" si="133"/>
        <v/>
      </c>
      <c r="LT26" s="40" t="str">
        <f t="shared" si="134"/>
        <v/>
      </c>
      <c r="LU26" s="40" t="str">
        <f t="shared" si="135"/>
        <v/>
      </c>
      <c r="LV26" s="40" t="str">
        <f t="shared" si="136"/>
        <v/>
      </c>
      <c r="LW26" s="40" t="str">
        <f t="shared" si="137"/>
        <v/>
      </c>
      <c r="LX26" s="40" t="str">
        <f t="shared" si="138"/>
        <v/>
      </c>
      <c r="LY26" s="40" t="str">
        <f t="shared" si="139"/>
        <v/>
      </c>
      <c r="LZ26" s="40" t="str">
        <f t="shared" si="140"/>
        <v/>
      </c>
      <c r="MA26" s="40" t="str">
        <f t="shared" si="141"/>
        <v/>
      </c>
      <c r="MB26" s="40" t="str">
        <f t="shared" si="142"/>
        <v/>
      </c>
      <c r="MC26" s="40" t="str">
        <f t="shared" si="143"/>
        <v/>
      </c>
      <c r="MD26" s="40" t="str">
        <f t="shared" si="144"/>
        <v/>
      </c>
      <c r="ME26" s="40" t="str">
        <f t="shared" si="145"/>
        <v/>
      </c>
      <c r="MF26" s="18"/>
      <c r="MG26" s="18"/>
      <c r="MH26" s="18"/>
      <c r="MI26" s="18"/>
      <c r="MJ26" s="18"/>
      <c r="MK26" s="18"/>
      <c r="ML26" s="18"/>
      <c r="MM26" s="18"/>
      <c r="MN26" s="18"/>
      <c r="MO26" s="18"/>
      <c r="MP26" s="18"/>
      <c r="MQ26" s="18"/>
      <c r="MR26" s="18"/>
      <c r="MS26" s="18"/>
      <c r="MT26" s="18"/>
      <c r="MU26" s="18"/>
      <c r="MV26" s="18"/>
      <c r="MW26" s="18"/>
      <c r="MX26" s="18"/>
      <c r="MY26" s="18"/>
      <c r="MZ26" s="11" t="str">
        <f t="shared" si="146"/>
        <v/>
      </c>
      <c r="NA26" s="11" t="str">
        <f t="shared" si="147"/>
        <v/>
      </c>
      <c r="NB26" s="11" t="str">
        <f t="shared" si="148"/>
        <v/>
      </c>
      <c r="NC26" s="11" t="str">
        <f t="shared" si="149"/>
        <v/>
      </c>
      <c r="ND26" s="11" t="str">
        <f t="shared" si="150"/>
        <v/>
      </c>
      <c r="NE26" s="11" t="str">
        <f t="shared" si="151"/>
        <v/>
      </c>
      <c r="NF26" s="11" t="str">
        <f t="shared" si="152"/>
        <v/>
      </c>
      <c r="NG26" s="11" t="str">
        <f t="shared" si="153"/>
        <v/>
      </c>
      <c r="NH26" s="11" t="str">
        <f t="shared" si="154"/>
        <v/>
      </c>
      <c r="NI26" s="11" t="str">
        <f t="shared" si="155"/>
        <v/>
      </c>
      <c r="NJ26" s="11" t="str">
        <f t="shared" si="156"/>
        <v/>
      </c>
      <c r="NK26" s="11" t="str">
        <f t="shared" si="157"/>
        <v/>
      </c>
      <c r="NL26" s="11" t="str">
        <f t="shared" si="158"/>
        <v/>
      </c>
      <c r="NM26" s="11" t="str">
        <f t="shared" si="159"/>
        <v/>
      </c>
      <c r="NN26" s="17"/>
      <c r="NO26" s="17"/>
      <c r="NP26" s="17"/>
      <c r="NQ26" s="17"/>
      <c r="NR26" s="17"/>
      <c r="NS26" s="17"/>
      <c r="NT26" s="17"/>
      <c r="NU26" s="17"/>
      <c r="NV26" s="17"/>
      <c r="NW26" s="17"/>
      <c r="NX26" s="17"/>
      <c r="NY26" s="17"/>
      <c r="NZ26" s="17"/>
      <c r="OA26" s="17"/>
      <c r="OB26" s="17"/>
      <c r="OC26" s="17"/>
      <c r="OD26" s="17"/>
      <c r="OE26" s="17"/>
      <c r="OF26" s="17"/>
      <c r="OG26" s="17"/>
      <c r="OH26" s="40" t="str">
        <f t="shared" si="160"/>
        <v/>
      </c>
      <c r="OI26" s="40" t="str">
        <f t="shared" si="161"/>
        <v/>
      </c>
      <c r="OJ26" s="40" t="str">
        <f t="shared" si="162"/>
        <v/>
      </c>
      <c r="OK26" s="40" t="str">
        <f t="shared" si="163"/>
        <v/>
      </c>
      <c r="OL26" s="40" t="str">
        <f t="shared" si="164"/>
        <v/>
      </c>
      <c r="OM26" s="40" t="str">
        <f t="shared" si="165"/>
        <v/>
      </c>
      <c r="ON26" s="40" t="str">
        <f t="shared" si="166"/>
        <v/>
      </c>
      <c r="OO26" s="40" t="str">
        <f t="shared" si="167"/>
        <v/>
      </c>
      <c r="OP26" s="40" t="str">
        <f t="shared" si="168"/>
        <v/>
      </c>
      <c r="OQ26" s="40" t="str">
        <f t="shared" si="169"/>
        <v/>
      </c>
      <c r="OR26" s="40" t="str">
        <f t="shared" si="170"/>
        <v/>
      </c>
      <c r="OS26" s="40" t="str">
        <f t="shared" si="171"/>
        <v/>
      </c>
      <c r="OT26" s="40" t="str">
        <f t="shared" si="172"/>
        <v/>
      </c>
      <c r="OU26" s="40" t="str">
        <f t="shared" si="173"/>
        <v/>
      </c>
      <c r="OV26" s="18"/>
      <c r="OW26" s="18"/>
      <c r="OX26" s="18"/>
      <c r="OY26" s="18"/>
      <c r="OZ26" s="18"/>
      <c r="PA26" s="18"/>
      <c r="PB26" s="18"/>
      <c r="PC26" s="18"/>
      <c r="PD26" s="18"/>
      <c r="PE26" s="18"/>
      <c r="PF26" s="18"/>
      <c r="PG26" s="18"/>
      <c r="PH26" s="18"/>
      <c r="PI26" s="18"/>
      <c r="PJ26" s="18"/>
      <c r="PK26" s="18"/>
      <c r="PL26" s="18"/>
      <c r="PM26" s="18"/>
      <c r="PN26" s="18"/>
      <c r="PO26" s="18"/>
      <c r="PP26" s="11" t="str">
        <f t="shared" si="174"/>
        <v/>
      </c>
      <c r="PQ26" s="11" t="str">
        <f t="shared" si="175"/>
        <v/>
      </c>
      <c r="PR26" s="11" t="str">
        <f t="shared" si="176"/>
        <v/>
      </c>
      <c r="PS26" s="11" t="str">
        <f t="shared" si="177"/>
        <v/>
      </c>
      <c r="PT26" s="11" t="str">
        <f t="shared" si="178"/>
        <v/>
      </c>
      <c r="PU26" s="11" t="str">
        <f t="shared" si="179"/>
        <v/>
      </c>
      <c r="PV26" s="11" t="str">
        <f t="shared" si="180"/>
        <v/>
      </c>
      <c r="PW26" s="11" t="str">
        <f t="shared" si="181"/>
        <v/>
      </c>
      <c r="PX26" s="11" t="str">
        <f t="shared" si="182"/>
        <v/>
      </c>
      <c r="PY26" s="11" t="str">
        <f t="shared" si="183"/>
        <v/>
      </c>
      <c r="PZ26" s="11" t="str">
        <f t="shared" si="184"/>
        <v/>
      </c>
      <c r="QA26" s="11" t="str">
        <f t="shared" si="185"/>
        <v/>
      </c>
      <c r="QB26" s="11" t="str">
        <f t="shared" si="186"/>
        <v/>
      </c>
      <c r="QC26" s="11" t="str">
        <f t="shared" si="187"/>
        <v/>
      </c>
      <c r="QD26" s="17"/>
      <c r="QE26" s="17"/>
      <c r="QF26" s="17"/>
      <c r="QG26" s="17"/>
      <c r="QH26" s="17"/>
      <c r="QI26" s="17"/>
      <c r="QJ26" s="17"/>
      <c r="QK26" s="17"/>
      <c r="QL26" s="17"/>
      <c r="QM26" s="17"/>
      <c r="QN26" s="17"/>
      <c r="QO26" s="17"/>
      <c r="QP26" s="17"/>
      <c r="QQ26" s="17"/>
      <c r="QR26" s="17"/>
      <c r="QS26" s="17"/>
      <c r="QT26" s="17"/>
      <c r="QU26" s="17"/>
      <c r="QV26" s="17"/>
      <c r="QW26" s="17"/>
      <c r="QX26" s="40" t="str">
        <f t="shared" si="188"/>
        <v/>
      </c>
      <c r="QY26" s="40" t="str">
        <f t="shared" si="189"/>
        <v/>
      </c>
      <c r="QZ26" s="40" t="str">
        <f t="shared" si="190"/>
        <v/>
      </c>
      <c r="RA26" s="40" t="str">
        <f t="shared" si="191"/>
        <v/>
      </c>
      <c r="RB26" s="40" t="str">
        <f t="shared" si="192"/>
        <v/>
      </c>
      <c r="RC26" s="40" t="str">
        <f t="shared" si="193"/>
        <v/>
      </c>
      <c r="RD26" s="40" t="str">
        <f t="shared" si="194"/>
        <v/>
      </c>
      <c r="RE26" s="40" t="str">
        <f t="shared" si="195"/>
        <v/>
      </c>
      <c r="RF26" s="40" t="str">
        <f t="shared" si="196"/>
        <v/>
      </c>
      <c r="RG26" s="40" t="str">
        <f t="shared" si="197"/>
        <v/>
      </c>
      <c r="RH26" s="40" t="str">
        <f t="shared" si="198"/>
        <v/>
      </c>
      <c r="RI26" s="40" t="str">
        <f t="shared" si="199"/>
        <v/>
      </c>
      <c r="RJ26" s="40" t="str">
        <f t="shared" si="200"/>
        <v/>
      </c>
      <c r="RK26" s="40" t="str">
        <f t="shared" si="201"/>
        <v/>
      </c>
      <c r="RL26" s="18"/>
      <c r="RM26" s="18"/>
      <c r="RN26" s="18"/>
      <c r="RO26" s="18"/>
      <c r="RP26" s="18"/>
      <c r="RQ26" s="18"/>
      <c r="RR26" s="18"/>
      <c r="RS26" s="18"/>
      <c r="RT26" s="18"/>
      <c r="RU26" s="18"/>
      <c r="RV26" s="18"/>
      <c r="RW26" s="18"/>
      <c r="RX26" s="18"/>
      <c r="RY26" s="18"/>
      <c r="RZ26" s="18"/>
      <c r="SA26" s="18"/>
      <c r="SB26" s="18"/>
      <c r="SC26" s="18"/>
      <c r="SD26" s="18"/>
      <c r="SE26" s="18"/>
      <c r="SF26" s="11" t="str">
        <f t="shared" si="202"/>
        <v/>
      </c>
      <c r="SG26" s="11" t="str">
        <f t="shared" si="203"/>
        <v/>
      </c>
      <c r="SH26" s="11" t="str">
        <f t="shared" si="204"/>
        <v/>
      </c>
      <c r="SI26" s="11" t="str">
        <f t="shared" si="205"/>
        <v/>
      </c>
      <c r="SJ26" s="11" t="str">
        <f t="shared" si="206"/>
        <v/>
      </c>
      <c r="SK26" s="11" t="str">
        <f t="shared" si="207"/>
        <v/>
      </c>
      <c r="SL26" s="11" t="str">
        <f t="shared" si="208"/>
        <v/>
      </c>
      <c r="SM26" s="11" t="str">
        <f t="shared" si="209"/>
        <v/>
      </c>
      <c r="SN26" s="11" t="str">
        <f t="shared" si="210"/>
        <v/>
      </c>
      <c r="SO26" s="11" t="str">
        <f t="shared" si="211"/>
        <v/>
      </c>
      <c r="SP26" s="11" t="str">
        <f t="shared" si="212"/>
        <v/>
      </c>
      <c r="SQ26" s="11" t="str">
        <f t="shared" si="213"/>
        <v/>
      </c>
      <c r="SR26" s="11" t="str">
        <f t="shared" si="214"/>
        <v/>
      </c>
      <c r="SS26" s="11" t="str">
        <f t="shared" si="215"/>
        <v/>
      </c>
      <c r="ST26" s="22">
        <f t="shared" si="216"/>
        <v>0</v>
      </c>
      <c r="SU26" s="22">
        <f t="shared" si="217"/>
        <v>0</v>
      </c>
      <c r="SV26" s="22">
        <f t="shared" si="218"/>
        <v>0</v>
      </c>
      <c r="SW26" s="22">
        <f t="shared" si="219"/>
        <v>0</v>
      </c>
      <c r="SX26" s="22">
        <f t="shared" si="220"/>
        <v>0</v>
      </c>
      <c r="SY26" s="22">
        <f t="shared" si="221"/>
        <v>0</v>
      </c>
      <c r="SZ26" s="22">
        <f t="shared" si="222"/>
        <v>0</v>
      </c>
      <c r="TA26" s="22">
        <f t="shared" si="223"/>
        <v>0</v>
      </c>
      <c r="TB26" s="22">
        <f t="shared" si="224"/>
        <v>0</v>
      </c>
      <c r="TC26" s="22">
        <f t="shared" si="225"/>
        <v>0</v>
      </c>
      <c r="TD26" s="22">
        <f t="shared" si="226"/>
        <v>0</v>
      </c>
      <c r="TE26" s="22">
        <f t="shared" si="227"/>
        <v>0</v>
      </c>
      <c r="TF26" s="22">
        <f t="shared" si="228"/>
        <v>0</v>
      </c>
      <c r="TG26" s="22">
        <f t="shared" si="229"/>
        <v>0</v>
      </c>
      <c r="TH26" s="22">
        <f t="shared" si="230"/>
        <v>0</v>
      </c>
      <c r="TI26" s="27" t="s">
        <v>46</v>
      </c>
      <c r="TJ26" s="40" t="str">
        <f t="shared" si="231"/>
        <v/>
      </c>
      <c r="TK26" s="40" t="str">
        <f t="shared" si="232"/>
        <v/>
      </c>
      <c r="TL26" s="40" t="str">
        <f t="shared" si="233"/>
        <v/>
      </c>
      <c r="TM26" s="40" t="str">
        <f t="shared" si="234"/>
        <v/>
      </c>
      <c r="TN26" s="40" t="str">
        <f t="shared" si="235"/>
        <v/>
      </c>
      <c r="TO26" s="40" t="str">
        <f t="shared" si="236"/>
        <v/>
      </c>
      <c r="TP26" s="40" t="str">
        <f t="shared" si="237"/>
        <v/>
      </c>
      <c r="TQ26" s="40" t="str">
        <f t="shared" si="238"/>
        <v/>
      </c>
      <c r="TR26" s="40" t="str">
        <f t="shared" si="239"/>
        <v/>
      </c>
      <c r="TS26" s="40" t="str">
        <f t="shared" si="240"/>
        <v/>
      </c>
      <c r="TT26" s="40" t="str">
        <f t="shared" si="241"/>
        <v/>
      </c>
    </row>
    <row r="27" spans="1:540" x14ac:dyDescent="0.2">
      <c r="A27" s="4" t="str" cm="1">
        <f t="array" ref="A27">IF(AND(F27&lt;&gt;"",G27&lt;&gt;""),SUMPRODUCT((F$4:F$32&lt;&gt;"")*(G$4:G$32&lt;&gt;"")*(E$4:E$32&gt;E27))+1,IF(G27&lt;&gt;"",SUMPRODUCT((H$4:H$32="No DD")*(E$4:E$32&gt;E27))+1+SUMPRODUCT((F$4:F$32&lt;&gt;"")*(G$4:G$32&lt;&gt;"")),""))</f>
        <v/>
      </c>
      <c r="B27" s="5" t="s">
        <v>161</v>
      </c>
      <c r="C27" s="4" t="s">
        <v>6</v>
      </c>
      <c r="D27" s="4">
        <v>2003</v>
      </c>
      <c r="E27" s="9">
        <f t="shared" si="0"/>
        <v>53.990005399004467</v>
      </c>
      <c r="F27" s="3" t="str">
        <f t="shared" si="1"/>
        <v/>
      </c>
      <c r="G27" s="3" t="str">
        <f t="shared" si="2"/>
        <v/>
      </c>
      <c r="H27" s="36" t="str">
        <f t="shared" si="3"/>
        <v/>
      </c>
      <c r="I27" s="3" t="str">
        <f t="shared" si="4"/>
        <v/>
      </c>
      <c r="J27" s="8">
        <f>IF(COUNT(AO27,AR27,BP27,BS27,CQ27,CT27)&gt;0,LARGE((AO27,AR27,BP27,BS27,CQ27,CT27),1),0)</f>
        <v>44.69</v>
      </c>
      <c r="K27" s="8" t="str">
        <f t="shared" si="5"/>
        <v>2022 Nationals</v>
      </c>
      <c r="L27" s="8">
        <f>IF(COUNT(AO27,AR27,BP27,BS27,CQ27,CT27)&gt;1,LARGE((AO27,AR27,BP27,BS27,CQ27,CT27),2),0)</f>
        <v>0</v>
      </c>
      <c r="M27" s="8" t="str">
        <f t="shared" si="6"/>
        <v/>
      </c>
      <c r="N27" s="8">
        <f>IF(COUNT(AO27,AR27,BP27,BS27,CQ27,CT27)&gt;2,LARGE((AO27,AR27,BP27,BS27,CQ27,CT27),3),0)</f>
        <v>0</v>
      </c>
      <c r="O27" s="8" t="str">
        <f t="shared" si="242"/>
        <v/>
      </c>
      <c r="P27" s="8">
        <f t="shared" si="7"/>
        <v>9.3000000000000007</v>
      </c>
      <c r="Q27" s="8" t="str">
        <f t="shared" si="8"/>
        <v>2022 Nationals</v>
      </c>
      <c r="R27" s="8">
        <f t="shared" si="9"/>
        <v>0</v>
      </c>
      <c r="S27" s="8" t="str">
        <f t="shared" si="10"/>
        <v/>
      </c>
      <c r="T27" s="8" t="str">
        <f t="shared" si="11"/>
        <v/>
      </c>
      <c r="U27" s="11" t="str">
        <f t="shared" si="12"/>
        <v/>
      </c>
      <c r="V27" s="8" t="str">
        <f>IF(T27="","",IF(T27=CZ27,IF(T27+IF(N27="",0,N27)=SL27,$RL$1,IF(T27+IF(N27="",0,N27)=RD27,$QD$1,IF(T27+IF(N27="",0,N27)=PV27,$OV$1,IF(T27+IF(N27="",0,N27)=ON27,$NN$1,IF(T27+IF(N27="",0,N27)=NF27,$MF$1,IF(T27+IF(N27="",0,N27)=LX27,$KX$1,IF(T27+IF(N27="",0,N27)=KP27,$JP$1,IF(T27+IF(N27="",0,N27)=JH27,$IH$1,IF(T27+IF(N27="",0,N27)=HZ27,$GZ$1,IF(T27+IF(N27="",0,N27)=GR27,$FR$1,IF(T27+IF(N27="",0,N27)=FJ27,$EJ$1,IF(T27+IF(N27="",0,N27)=EB27,$DB$1)))))))))))),IF(T27=DA27,IF(T27+IF(#REF!="",0,#REF!)=SR27,$RL$1,IF(T27+IF(#REF!="",0,#REF!)=RJ27,$QD$1,IF(T27+IF(#REF!="",0,#REF!)=QB27,$OV$1,IF(T27+IF(#REF!="",0,#REF!)=OT27,$NN$1,IF(T27+IF(#REF!="",0,#REF!)=NL27,$MF$1,IF(T27+IF(#REF!="",0,#REF!)=MD27,$KX$1,IF(T27+IF(#REF!="",0,#REF!)=KV27,$JP$1,IF(T27+IF(#REF!="",0,#REF!)=JN27,$IH$1,IF(T27+IF(#REF!="",0,#REF!)=IF27,$GZ$1,IF(T27+IF(#REF!="",0,#REF!)=GX27,$FR$1,IF(T27+IF(#REF!="",0,#REF!)=FP27,$EJ$1,IF(T27+IF(#REF!="",0,#REF!)=EH27,$DB$1,IF(T27+IF(#REF!="",0,#REF!)=SO27,$RL$1,IF(T27+IF(#REF!="",0,#REF!)=RG27,$QD$1,IF(T27+IF(#REF!="",0,#REF!)=PY27,$OV$1,IF(T27+IF(#REF!="",0,#REF!)=OQ27,$NN$1,IF(T27+IF(#REF!="",0,#REF!)=NI27,$MF$1,IF(T27+IF(#REF!="",0,#REF!)=MA27,$KX$1,IF(T27+IF(#REF!="",0,#REF!)=KS27,$JP$1,IF(T27+IF(#REF!="",0,#REF!)=JK27,$IH$1,IF(T27+IF(#REF!="",0,#REF!)=IC27,$GZ$1,IF(T27+IF(#REF!="",0,#REF!)=GU27,$FR$1,IF(T27+IF(#REF!="",0,#REF!)=FM27,$EJ$1,IF(T27+IF(#REF!="",0,#REF!)=EE27,$DB$1)))))))))))))))))))))))))))</f>
        <v/>
      </c>
      <c r="W27" s="22">
        <v>13.2</v>
      </c>
      <c r="X27" s="22">
        <v>9.1999999999999993</v>
      </c>
      <c r="Y27" s="22">
        <v>9.3000000000000007</v>
      </c>
      <c r="Z27" s="22">
        <v>12.99</v>
      </c>
      <c r="AA27" s="22">
        <v>0</v>
      </c>
      <c r="AB27" s="22"/>
      <c r="AC27" s="22"/>
      <c r="AD27" s="22"/>
      <c r="AE27" s="22"/>
      <c r="AF27" s="22"/>
      <c r="AG27" s="22"/>
      <c r="AH27" s="22"/>
      <c r="AI27" s="22"/>
      <c r="AJ27" s="22"/>
      <c r="AK27" s="22"/>
      <c r="AL27" s="27"/>
      <c r="AM27" s="38">
        <f t="shared" si="13"/>
        <v>9.3000000000000007</v>
      </c>
      <c r="AN27" s="38">
        <f t="shared" si="14"/>
        <v>12.99</v>
      </c>
      <c r="AO27" s="40">
        <f t="shared" si="15"/>
        <v>44.69</v>
      </c>
      <c r="AP27" s="40" t="str">
        <f t="shared" si="16"/>
        <v/>
      </c>
      <c r="AQ27" s="40" t="str">
        <f t="shared" si="17"/>
        <v/>
      </c>
      <c r="AR27" s="40" t="str">
        <f t="shared" si="18"/>
        <v/>
      </c>
      <c r="AS27" s="40">
        <f t="shared" si="19"/>
        <v>44.69</v>
      </c>
      <c r="AT27" s="40" t="str">
        <f t="shared" si="20"/>
        <v/>
      </c>
      <c r="AU27" s="40" t="str">
        <f t="shared" si="21"/>
        <v/>
      </c>
      <c r="AV27" s="40" t="str">
        <f t="shared" si="22"/>
        <v/>
      </c>
      <c r="AW27" s="40">
        <f t="shared" si="23"/>
        <v>44.69</v>
      </c>
      <c r="AX27" s="26"/>
      <c r="AY27" s="26"/>
      <c r="AZ27" s="26"/>
      <c r="BA27" s="26"/>
      <c r="BB27" s="26"/>
      <c r="BC27" s="26"/>
      <c r="BD27" s="26"/>
      <c r="BE27" s="26"/>
      <c r="BF27" s="26"/>
      <c r="BG27" s="26"/>
      <c r="BH27" s="26"/>
      <c r="BI27" s="26"/>
      <c r="BJ27" s="26"/>
      <c r="BK27" s="26"/>
      <c r="BL27" s="26"/>
      <c r="BM27" s="28"/>
      <c r="BN27" s="39" t="str">
        <f t="shared" si="24"/>
        <v/>
      </c>
      <c r="BO27" s="39" t="str">
        <f t="shared" si="25"/>
        <v/>
      </c>
      <c r="BP27" s="11" t="str">
        <f t="shared" si="26"/>
        <v/>
      </c>
      <c r="BQ27" s="11" t="str">
        <f t="shared" si="27"/>
        <v/>
      </c>
      <c r="BR27" s="11" t="str">
        <f t="shared" si="28"/>
        <v/>
      </c>
      <c r="BS27" s="11" t="str">
        <f t="shared" si="29"/>
        <v/>
      </c>
      <c r="BT27" s="11" t="str">
        <f t="shared" si="30"/>
        <v/>
      </c>
      <c r="BU27" s="11" t="str">
        <f t="shared" si="31"/>
        <v/>
      </c>
      <c r="BV27" s="11" t="str">
        <f t="shared" si="32"/>
        <v/>
      </c>
      <c r="BW27" s="11" t="str">
        <f t="shared" si="33"/>
        <v/>
      </c>
      <c r="BX27" s="11" t="str">
        <f t="shared" si="34"/>
        <v/>
      </c>
      <c r="BY27" s="22"/>
      <c r="BZ27" s="22"/>
      <c r="CA27" s="22"/>
      <c r="CB27" s="22"/>
      <c r="CC27" s="22"/>
      <c r="CD27" s="22"/>
      <c r="CE27" s="22"/>
      <c r="CF27" s="22"/>
      <c r="CG27" s="22"/>
      <c r="CH27" s="22"/>
      <c r="CI27" s="22"/>
      <c r="CJ27" s="22"/>
      <c r="CK27" s="22"/>
      <c r="CL27" s="22"/>
      <c r="CM27" s="22"/>
      <c r="CN27" s="27"/>
      <c r="CO27" s="38" t="str">
        <f t="shared" si="35"/>
        <v/>
      </c>
      <c r="CP27" s="38" t="str">
        <f t="shared" si="36"/>
        <v/>
      </c>
      <c r="CQ27" s="40" t="str">
        <f t="shared" si="37"/>
        <v/>
      </c>
      <c r="CR27" s="40" t="str">
        <f t="shared" si="38"/>
        <v/>
      </c>
      <c r="CS27" s="40" t="str">
        <f t="shared" si="39"/>
        <v/>
      </c>
      <c r="CT27" s="40" t="str">
        <f t="shared" si="40"/>
        <v/>
      </c>
      <c r="CU27" s="40" t="str">
        <f t="shared" si="41"/>
        <v/>
      </c>
      <c r="CV27" s="40" t="str">
        <f t="shared" si="42"/>
        <v/>
      </c>
      <c r="CW27" s="40" t="str">
        <f t="shared" si="43"/>
        <v/>
      </c>
      <c r="CX27" s="40" t="str">
        <f t="shared" si="44"/>
        <v/>
      </c>
      <c r="CY27" s="40" t="str">
        <f t="shared" si="45"/>
        <v/>
      </c>
      <c r="CZ27" s="50" t="str">
        <f t="shared" si="46"/>
        <v/>
      </c>
      <c r="DA27" s="50" t="str">
        <f t="shared" si="47"/>
        <v/>
      </c>
      <c r="DB27" s="17"/>
      <c r="DC27" s="17"/>
      <c r="DD27" s="17"/>
      <c r="DE27" s="17"/>
      <c r="DF27" s="17"/>
      <c r="DG27" s="17"/>
      <c r="DH27" s="17"/>
      <c r="DI27" s="17"/>
      <c r="DJ27" s="17"/>
      <c r="DK27" s="17"/>
      <c r="DL27" s="17"/>
      <c r="DM27" s="17"/>
      <c r="DN27" s="17"/>
      <c r="DO27" s="17"/>
      <c r="DP27" s="17"/>
      <c r="DQ27" s="17"/>
      <c r="DR27" s="17"/>
      <c r="DS27" s="17"/>
      <c r="DT27" s="17"/>
      <c r="DU27" s="17"/>
      <c r="DV27" s="40" t="str">
        <f t="shared" si="48"/>
        <v/>
      </c>
      <c r="DW27" s="40" t="str">
        <f t="shared" si="49"/>
        <v/>
      </c>
      <c r="DX27" s="40" t="str">
        <f t="shared" si="50"/>
        <v/>
      </c>
      <c r="DY27" s="40" t="str">
        <f t="shared" si="51"/>
        <v/>
      </c>
      <c r="DZ27" s="40" t="str">
        <f t="shared" si="52"/>
        <v/>
      </c>
      <c r="EA27" s="40" t="str">
        <f t="shared" si="53"/>
        <v/>
      </c>
      <c r="EB27" s="40" t="str">
        <f t="shared" si="54"/>
        <v/>
      </c>
      <c r="EC27" s="40" t="str">
        <f t="shared" si="55"/>
        <v/>
      </c>
      <c r="ED27" s="40" t="str">
        <f t="shared" si="56"/>
        <v/>
      </c>
      <c r="EE27" s="40" t="str">
        <f t="shared" si="57"/>
        <v/>
      </c>
      <c r="EF27" s="40" t="str">
        <f t="shared" si="58"/>
        <v/>
      </c>
      <c r="EG27" s="40" t="str">
        <f t="shared" si="59"/>
        <v/>
      </c>
      <c r="EH27" s="40" t="str">
        <f t="shared" si="60"/>
        <v/>
      </c>
      <c r="EI27" s="40" t="str">
        <f t="shared" si="61"/>
        <v/>
      </c>
      <c r="EJ27" s="18"/>
      <c r="EK27" s="18"/>
      <c r="EL27" s="18"/>
      <c r="EM27" s="18"/>
      <c r="EN27" s="18"/>
      <c r="EO27" s="18"/>
      <c r="EP27" s="18"/>
      <c r="EQ27" s="18"/>
      <c r="ER27" s="18"/>
      <c r="ES27" s="18"/>
      <c r="ET27" s="18"/>
      <c r="EU27" s="18"/>
      <c r="EV27" s="18"/>
      <c r="EW27" s="18"/>
      <c r="EX27" s="18"/>
      <c r="EY27" s="18"/>
      <c r="EZ27" s="18"/>
      <c r="FA27" s="18"/>
      <c r="FB27" s="18"/>
      <c r="FC27" s="18"/>
      <c r="FD27" s="11" t="str">
        <f t="shared" si="62"/>
        <v/>
      </c>
      <c r="FE27" s="11" t="str">
        <f t="shared" si="63"/>
        <v/>
      </c>
      <c r="FF27" s="11" t="str">
        <f t="shared" si="64"/>
        <v/>
      </c>
      <c r="FG27" s="11" t="str">
        <f t="shared" si="65"/>
        <v/>
      </c>
      <c r="FH27" s="11" t="str">
        <f t="shared" si="66"/>
        <v/>
      </c>
      <c r="FI27" s="11" t="str">
        <f t="shared" si="67"/>
        <v/>
      </c>
      <c r="FJ27" s="11" t="str">
        <f t="shared" si="68"/>
        <v/>
      </c>
      <c r="FK27" s="11" t="str">
        <f t="shared" si="69"/>
        <v/>
      </c>
      <c r="FL27" s="11" t="str">
        <f t="shared" si="70"/>
        <v/>
      </c>
      <c r="FM27" s="11" t="str">
        <f t="shared" si="71"/>
        <v/>
      </c>
      <c r="FN27" s="11" t="str">
        <f t="shared" si="72"/>
        <v/>
      </c>
      <c r="FO27" s="11" t="str">
        <f t="shared" si="73"/>
        <v/>
      </c>
      <c r="FP27" s="11" t="str">
        <f t="shared" si="74"/>
        <v/>
      </c>
      <c r="FQ27" s="11" t="str">
        <f t="shared" si="75"/>
        <v/>
      </c>
      <c r="FR27" s="17"/>
      <c r="FS27" s="17"/>
      <c r="FT27" s="17"/>
      <c r="FU27" s="17"/>
      <c r="FV27" s="17"/>
      <c r="FW27" s="17"/>
      <c r="FX27" s="17"/>
      <c r="FY27" s="17"/>
      <c r="FZ27" s="17"/>
      <c r="GA27" s="17"/>
      <c r="GB27" s="17"/>
      <c r="GC27" s="17"/>
      <c r="GD27" s="17"/>
      <c r="GE27" s="17"/>
      <c r="GF27" s="17"/>
      <c r="GG27" s="17"/>
      <c r="GH27" s="17"/>
      <c r="GI27" s="17"/>
      <c r="GJ27" s="17"/>
      <c r="GK27" s="17"/>
      <c r="GL27" s="40" t="str">
        <f t="shared" si="76"/>
        <v/>
      </c>
      <c r="GM27" s="40" t="str">
        <f t="shared" si="77"/>
        <v/>
      </c>
      <c r="GN27" s="40" t="str">
        <f t="shared" si="78"/>
        <v/>
      </c>
      <c r="GO27" s="40" t="str">
        <f t="shared" si="79"/>
        <v/>
      </c>
      <c r="GP27" s="40" t="str">
        <f t="shared" si="80"/>
        <v/>
      </c>
      <c r="GQ27" s="40" t="str">
        <f t="shared" si="81"/>
        <v/>
      </c>
      <c r="GR27" s="40" t="str">
        <f t="shared" si="82"/>
        <v/>
      </c>
      <c r="GS27" s="40" t="str">
        <f t="shared" si="83"/>
        <v/>
      </c>
      <c r="GT27" s="40" t="str">
        <f t="shared" si="84"/>
        <v/>
      </c>
      <c r="GU27" s="40" t="str">
        <f t="shared" si="85"/>
        <v/>
      </c>
      <c r="GV27" s="40" t="str">
        <f t="shared" si="86"/>
        <v/>
      </c>
      <c r="GW27" s="40" t="str">
        <f t="shared" si="87"/>
        <v/>
      </c>
      <c r="GX27" s="40" t="str">
        <f t="shared" si="88"/>
        <v/>
      </c>
      <c r="GY27" s="40" t="str">
        <f t="shared" si="89"/>
        <v/>
      </c>
      <c r="GZ27" s="18"/>
      <c r="HA27" s="18"/>
      <c r="HB27" s="18"/>
      <c r="HC27" s="18"/>
      <c r="HD27" s="18"/>
      <c r="HE27" s="18"/>
      <c r="HF27" s="18"/>
      <c r="HG27" s="18"/>
      <c r="HH27" s="18"/>
      <c r="HI27" s="18"/>
      <c r="HJ27" s="18"/>
      <c r="HK27" s="18"/>
      <c r="HL27" s="18"/>
      <c r="HM27" s="18"/>
      <c r="HN27" s="18"/>
      <c r="HO27" s="18"/>
      <c r="HP27" s="18"/>
      <c r="HQ27" s="18"/>
      <c r="HR27" s="18"/>
      <c r="HS27" s="18"/>
      <c r="HT27" s="11" t="str">
        <f t="shared" si="90"/>
        <v/>
      </c>
      <c r="HU27" s="11" t="str">
        <f t="shared" si="91"/>
        <v/>
      </c>
      <c r="HV27" s="11" t="str">
        <f t="shared" si="92"/>
        <v/>
      </c>
      <c r="HW27" s="11" t="str">
        <f t="shared" si="93"/>
        <v/>
      </c>
      <c r="HX27" s="11" t="str">
        <f t="shared" si="94"/>
        <v/>
      </c>
      <c r="HY27" s="11" t="str">
        <f t="shared" si="95"/>
        <v/>
      </c>
      <c r="HZ27" s="11" t="str">
        <f t="shared" si="96"/>
        <v/>
      </c>
      <c r="IA27" s="11" t="str">
        <f t="shared" si="97"/>
        <v/>
      </c>
      <c r="IB27" s="11" t="str">
        <f t="shared" si="98"/>
        <v/>
      </c>
      <c r="IC27" s="11" t="str">
        <f t="shared" si="99"/>
        <v/>
      </c>
      <c r="ID27" s="11" t="str">
        <f t="shared" si="100"/>
        <v/>
      </c>
      <c r="IE27" s="11" t="str">
        <f t="shared" si="101"/>
        <v/>
      </c>
      <c r="IF27" s="11" t="str">
        <f t="shared" si="102"/>
        <v/>
      </c>
      <c r="IG27" s="11" t="str">
        <f t="shared" si="103"/>
        <v/>
      </c>
      <c r="IH27" s="17"/>
      <c r="II27" s="17"/>
      <c r="IJ27" s="17"/>
      <c r="IK27" s="17"/>
      <c r="IL27" s="17"/>
      <c r="IM27" s="17"/>
      <c r="IN27" s="17"/>
      <c r="IO27" s="17"/>
      <c r="IP27" s="17"/>
      <c r="IQ27" s="17"/>
      <c r="IR27" s="17"/>
      <c r="IS27" s="17"/>
      <c r="IT27" s="17"/>
      <c r="IU27" s="17"/>
      <c r="IV27" s="17"/>
      <c r="IW27" s="17"/>
      <c r="IX27" s="17"/>
      <c r="IY27" s="17"/>
      <c r="IZ27" s="17"/>
      <c r="JA27" s="17"/>
      <c r="JB27" s="40" t="str">
        <f t="shared" si="104"/>
        <v/>
      </c>
      <c r="JC27" s="40" t="str">
        <f t="shared" si="105"/>
        <v/>
      </c>
      <c r="JD27" s="40" t="str">
        <f t="shared" si="106"/>
        <v/>
      </c>
      <c r="JE27" s="40" t="str">
        <f t="shared" si="107"/>
        <v/>
      </c>
      <c r="JF27" s="40" t="str">
        <f t="shared" si="108"/>
        <v/>
      </c>
      <c r="JG27" s="40" t="str">
        <f t="shared" si="109"/>
        <v/>
      </c>
      <c r="JH27" s="40" t="str">
        <f t="shared" si="110"/>
        <v/>
      </c>
      <c r="JI27" s="40" t="str">
        <f t="shared" si="111"/>
        <v/>
      </c>
      <c r="JJ27" s="40" t="str">
        <f t="shared" si="112"/>
        <v/>
      </c>
      <c r="JK27" s="40" t="str">
        <f t="shared" si="113"/>
        <v/>
      </c>
      <c r="JL27" s="40" t="str">
        <f t="shared" si="114"/>
        <v/>
      </c>
      <c r="JM27" s="40" t="str">
        <f t="shared" si="115"/>
        <v/>
      </c>
      <c r="JN27" s="40" t="str">
        <f t="shared" si="116"/>
        <v/>
      </c>
      <c r="JO27" s="40" t="str">
        <f t="shared" si="117"/>
        <v/>
      </c>
      <c r="JP27" s="18"/>
      <c r="JQ27" s="18"/>
      <c r="JR27" s="18"/>
      <c r="JS27" s="18"/>
      <c r="JT27" s="18"/>
      <c r="JU27" s="18"/>
      <c r="JV27" s="18"/>
      <c r="JW27" s="18"/>
      <c r="JX27" s="18"/>
      <c r="JY27" s="18"/>
      <c r="JZ27" s="18"/>
      <c r="KA27" s="18"/>
      <c r="KB27" s="18"/>
      <c r="KC27" s="18"/>
      <c r="KD27" s="18"/>
      <c r="KE27" s="18"/>
      <c r="KF27" s="18"/>
      <c r="KG27" s="18"/>
      <c r="KH27" s="18"/>
      <c r="KI27" s="18"/>
      <c r="KJ27" s="11" t="str">
        <f t="shared" si="118"/>
        <v/>
      </c>
      <c r="KK27" s="11" t="str">
        <f t="shared" si="119"/>
        <v/>
      </c>
      <c r="KL27" s="11" t="str">
        <f t="shared" si="120"/>
        <v/>
      </c>
      <c r="KM27" s="11" t="str">
        <f t="shared" si="121"/>
        <v/>
      </c>
      <c r="KN27" s="11" t="str">
        <f t="shared" si="122"/>
        <v/>
      </c>
      <c r="KO27" s="11" t="str">
        <f t="shared" si="123"/>
        <v/>
      </c>
      <c r="KP27" s="11" t="str">
        <f t="shared" si="124"/>
        <v/>
      </c>
      <c r="KQ27" s="11" t="str">
        <f t="shared" si="125"/>
        <v/>
      </c>
      <c r="KR27" s="11" t="str">
        <f t="shared" si="126"/>
        <v/>
      </c>
      <c r="KS27" s="11" t="str">
        <f t="shared" si="127"/>
        <v/>
      </c>
      <c r="KT27" s="11" t="str">
        <f t="shared" si="128"/>
        <v/>
      </c>
      <c r="KU27" s="11" t="str">
        <f t="shared" si="129"/>
        <v/>
      </c>
      <c r="KV27" s="11" t="str">
        <f t="shared" si="130"/>
        <v/>
      </c>
      <c r="KW27" s="11" t="str">
        <f t="shared" si="131"/>
        <v/>
      </c>
      <c r="KX27" s="17"/>
      <c r="KY27" s="17"/>
      <c r="KZ27" s="17"/>
      <c r="LA27" s="17"/>
      <c r="LB27" s="17"/>
      <c r="LC27" s="17"/>
      <c r="LD27" s="17"/>
      <c r="LE27" s="17"/>
      <c r="LF27" s="17"/>
      <c r="LG27" s="17"/>
      <c r="LH27" s="17"/>
      <c r="LI27" s="17"/>
      <c r="LJ27" s="17"/>
      <c r="LK27" s="17"/>
      <c r="LL27" s="17"/>
      <c r="LM27" s="17"/>
      <c r="LN27" s="17"/>
      <c r="LO27" s="17"/>
      <c r="LP27" s="17"/>
      <c r="LQ27" s="17"/>
      <c r="LR27" s="40" t="str">
        <f t="shared" si="132"/>
        <v/>
      </c>
      <c r="LS27" s="40" t="str">
        <f t="shared" si="133"/>
        <v/>
      </c>
      <c r="LT27" s="40" t="str">
        <f t="shared" si="134"/>
        <v/>
      </c>
      <c r="LU27" s="40" t="str">
        <f t="shared" si="135"/>
        <v/>
      </c>
      <c r="LV27" s="40" t="str">
        <f t="shared" si="136"/>
        <v/>
      </c>
      <c r="LW27" s="40" t="str">
        <f t="shared" si="137"/>
        <v/>
      </c>
      <c r="LX27" s="40" t="str">
        <f t="shared" si="138"/>
        <v/>
      </c>
      <c r="LY27" s="40" t="str">
        <f t="shared" si="139"/>
        <v/>
      </c>
      <c r="LZ27" s="40" t="str">
        <f t="shared" si="140"/>
        <v/>
      </c>
      <c r="MA27" s="40" t="str">
        <f t="shared" si="141"/>
        <v/>
      </c>
      <c r="MB27" s="40" t="str">
        <f t="shared" si="142"/>
        <v/>
      </c>
      <c r="MC27" s="40" t="str">
        <f t="shared" si="143"/>
        <v/>
      </c>
      <c r="MD27" s="40" t="str">
        <f t="shared" si="144"/>
        <v/>
      </c>
      <c r="ME27" s="40" t="str">
        <f t="shared" si="145"/>
        <v/>
      </c>
      <c r="MF27" s="18"/>
      <c r="MG27" s="18"/>
      <c r="MH27" s="18"/>
      <c r="MI27" s="18"/>
      <c r="MJ27" s="18"/>
      <c r="MK27" s="18"/>
      <c r="ML27" s="18"/>
      <c r="MM27" s="18"/>
      <c r="MN27" s="18"/>
      <c r="MO27" s="18"/>
      <c r="MP27" s="18"/>
      <c r="MQ27" s="18"/>
      <c r="MR27" s="18"/>
      <c r="MS27" s="18"/>
      <c r="MT27" s="18"/>
      <c r="MU27" s="18"/>
      <c r="MV27" s="18"/>
      <c r="MW27" s="18"/>
      <c r="MX27" s="18"/>
      <c r="MY27" s="18"/>
      <c r="MZ27" s="11" t="str">
        <f t="shared" si="146"/>
        <v/>
      </c>
      <c r="NA27" s="11" t="str">
        <f t="shared" si="147"/>
        <v/>
      </c>
      <c r="NB27" s="11" t="str">
        <f t="shared" si="148"/>
        <v/>
      </c>
      <c r="NC27" s="11" t="str">
        <f t="shared" si="149"/>
        <v/>
      </c>
      <c r="ND27" s="11" t="str">
        <f t="shared" si="150"/>
        <v/>
      </c>
      <c r="NE27" s="11" t="str">
        <f t="shared" si="151"/>
        <v/>
      </c>
      <c r="NF27" s="11" t="str">
        <f t="shared" si="152"/>
        <v/>
      </c>
      <c r="NG27" s="11" t="str">
        <f t="shared" si="153"/>
        <v/>
      </c>
      <c r="NH27" s="11" t="str">
        <f t="shared" si="154"/>
        <v/>
      </c>
      <c r="NI27" s="11" t="str">
        <f t="shared" si="155"/>
        <v/>
      </c>
      <c r="NJ27" s="11" t="str">
        <f t="shared" si="156"/>
        <v/>
      </c>
      <c r="NK27" s="11" t="str">
        <f t="shared" si="157"/>
        <v/>
      </c>
      <c r="NL27" s="11" t="str">
        <f t="shared" si="158"/>
        <v/>
      </c>
      <c r="NM27" s="11" t="str">
        <f t="shared" si="159"/>
        <v/>
      </c>
      <c r="NN27" s="17"/>
      <c r="NO27" s="17"/>
      <c r="NP27" s="17"/>
      <c r="NQ27" s="17"/>
      <c r="NR27" s="17"/>
      <c r="NS27" s="17"/>
      <c r="NT27" s="17"/>
      <c r="NU27" s="17"/>
      <c r="NV27" s="17"/>
      <c r="NW27" s="17"/>
      <c r="NX27" s="17"/>
      <c r="NY27" s="17"/>
      <c r="NZ27" s="17"/>
      <c r="OA27" s="17"/>
      <c r="OB27" s="17"/>
      <c r="OC27" s="17"/>
      <c r="OD27" s="17"/>
      <c r="OE27" s="17"/>
      <c r="OF27" s="17"/>
      <c r="OG27" s="17"/>
      <c r="OH27" s="40" t="str">
        <f t="shared" si="160"/>
        <v/>
      </c>
      <c r="OI27" s="40" t="str">
        <f t="shared" si="161"/>
        <v/>
      </c>
      <c r="OJ27" s="40" t="str">
        <f t="shared" si="162"/>
        <v/>
      </c>
      <c r="OK27" s="40" t="str">
        <f t="shared" si="163"/>
        <v/>
      </c>
      <c r="OL27" s="40" t="str">
        <f t="shared" si="164"/>
        <v/>
      </c>
      <c r="OM27" s="40" t="str">
        <f t="shared" si="165"/>
        <v/>
      </c>
      <c r="ON27" s="40" t="str">
        <f t="shared" si="166"/>
        <v/>
      </c>
      <c r="OO27" s="40" t="str">
        <f t="shared" si="167"/>
        <v/>
      </c>
      <c r="OP27" s="40" t="str">
        <f t="shared" si="168"/>
        <v/>
      </c>
      <c r="OQ27" s="40" t="str">
        <f t="shared" si="169"/>
        <v/>
      </c>
      <c r="OR27" s="40" t="str">
        <f t="shared" si="170"/>
        <v/>
      </c>
      <c r="OS27" s="40" t="str">
        <f t="shared" si="171"/>
        <v/>
      </c>
      <c r="OT27" s="40" t="str">
        <f t="shared" si="172"/>
        <v/>
      </c>
      <c r="OU27" s="40" t="str">
        <f t="shared" si="173"/>
        <v/>
      </c>
      <c r="OV27" s="18"/>
      <c r="OW27" s="18"/>
      <c r="OX27" s="18"/>
      <c r="OY27" s="18"/>
      <c r="OZ27" s="18"/>
      <c r="PA27" s="18"/>
      <c r="PB27" s="18"/>
      <c r="PC27" s="18"/>
      <c r="PD27" s="18"/>
      <c r="PE27" s="18"/>
      <c r="PF27" s="18"/>
      <c r="PG27" s="18"/>
      <c r="PH27" s="18"/>
      <c r="PI27" s="18"/>
      <c r="PJ27" s="18"/>
      <c r="PK27" s="18"/>
      <c r="PL27" s="18"/>
      <c r="PM27" s="18"/>
      <c r="PN27" s="18"/>
      <c r="PO27" s="18"/>
      <c r="PP27" s="11" t="str">
        <f t="shared" si="174"/>
        <v/>
      </c>
      <c r="PQ27" s="11" t="str">
        <f t="shared" si="175"/>
        <v/>
      </c>
      <c r="PR27" s="11" t="str">
        <f t="shared" si="176"/>
        <v/>
      </c>
      <c r="PS27" s="11" t="str">
        <f t="shared" si="177"/>
        <v/>
      </c>
      <c r="PT27" s="11" t="str">
        <f t="shared" si="178"/>
        <v/>
      </c>
      <c r="PU27" s="11" t="str">
        <f t="shared" si="179"/>
        <v/>
      </c>
      <c r="PV27" s="11" t="str">
        <f t="shared" si="180"/>
        <v/>
      </c>
      <c r="PW27" s="11" t="str">
        <f t="shared" si="181"/>
        <v/>
      </c>
      <c r="PX27" s="11" t="str">
        <f t="shared" si="182"/>
        <v/>
      </c>
      <c r="PY27" s="11" t="str">
        <f t="shared" si="183"/>
        <v/>
      </c>
      <c r="PZ27" s="11" t="str">
        <f t="shared" si="184"/>
        <v/>
      </c>
      <c r="QA27" s="11" t="str">
        <f t="shared" si="185"/>
        <v/>
      </c>
      <c r="QB27" s="11" t="str">
        <f t="shared" si="186"/>
        <v/>
      </c>
      <c r="QC27" s="11" t="str">
        <f t="shared" si="187"/>
        <v/>
      </c>
      <c r="QD27" s="17"/>
      <c r="QE27" s="17"/>
      <c r="QF27" s="17"/>
      <c r="QG27" s="17"/>
      <c r="QH27" s="17"/>
      <c r="QI27" s="17"/>
      <c r="QJ27" s="17"/>
      <c r="QK27" s="17"/>
      <c r="QL27" s="17"/>
      <c r="QM27" s="17"/>
      <c r="QN27" s="17"/>
      <c r="QO27" s="17"/>
      <c r="QP27" s="17"/>
      <c r="QQ27" s="17"/>
      <c r="QR27" s="17"/>
      <c r="QS27" s="17"/>
      <c r="QT27" s="17"/>
      <c r="QU27" s="17"/>
      <c r="QV27" s="17"/>
      <c r="QW27" s="17"/>
      <c r="QX27" s="40" t="str">
        <f t="shared" si="188"/>
        <v/>
      </c>
      <c r="QY27" s="40" t="str">
        <f t="shared" si="189"/>
        <v/>
      </c>
      <c r="QZ27" s="40" t="str">
        <f t="shared" si="190"/>
        <v/>
      </c>
      <c r="RA27" s="40" t="str">
        <f t="shared" si="191"/>
        <v/>
      </c>
      <c r="RB27" s="40" t="str">
        <f t="shared" si="192"/>
        <v/>
      </c>
      <c r="RC27" s="40" t="str">
        <f t="shared" si="193"/>
        <v/>
      </c>
      <c r="RD27" s="40" t="str">
        <f t="shared" si="194"/>
        <v/>
      </c>
      <c r="RE27" s="40" t="str">
        <f t="shared" si="195"/>
        <v/>
      </c>
      <c r="RF27" s="40" t="str">
        <f t="shared" si="196"/>
        <v/>
      </c>
      <c r="RG27" s="40" t="str">
        <f t="shared" si="197"/>
        <v/>
      </c>
      <c r="RH27" s="40" t="str">
        <f t="shared" si="198"/>
        <v/>
      </c>
      <c r="RI27" s="40" t="str">
        <f t="shared" si="199"/>
        <v/>
      </c>
      <c r="RJ27" s="40" t="str">
        <f t="shared" si="200"/>
        <v/>
      </c>
      <c r="RK27" s="40" t="str">
        <f t="shared" si="201"/>
        <v/>
      </c>
      <c r="RL27" s="18"/>
      <c r="RM27" s="18"/>
      <c r="RN27" s="18"/>
      <c r="RO27" s="18"/>
      <c r="RP27" s="18"/>
      <c r="RQ27" s="18"/>
      <c r="RR27" s="18"/>
      <c r="RS27" s="18"/>
      <c r="RT27" s="18"/>
      <c r="RU27" s="18"/>
      <c r="RV27" s="18"/>
      <c r="RW27" s="18"/>
      <c r="RX27" s="18"/>
      <c r="RY27" s="18"/>
      <c r="RZ27" s="18"/>
      <c r="SA27" s="18"/>
      <c r="SB27" s="18"/>
      <c r="SC27" s="18"/>
      <c r="SD27" s="18"/>
      <c r="SE27" s="18"/>
      <c r="SF27" s="11" t="str">
        <f t="shared" si="202"/>
        <v/>
      </c>
      <c r="SG27" s="11" t="str">
        <f t="shared" si="203"/>
        <v/>
      </c>
      <c r="SH27" s="11" t="str">
        <f t="shared" si="204"/>
        <v/>
      </c>
      <c r="SI27" s="11" t="str">
        <f t="shared" si="205"/>
        <v/>
      </c>
      <c r="SJ27" s="11" t="str">
        <f t="shared" si="206"/>
        <v/>
      </c>
      <c r="SK27" s="11" t="str">
        <f t="shared" si="207"/>
        <v/>
      </c>
      <c r="SL27" s="11" t="str">
        <f t="shared" si="208"/>
        <v/>
      </c>
      <c r="SM27" s="11" t="str">
        <f t="shared" si="209"/>
        <v/>
      </c>
      <c r="SN27" s="11" t="str">
        <f t="shared" si="210"/>
        <v/>
      </c>
      <c r="SO27" s="11" t="str">
        <f t="shared" si="211"/>
        <v/>
      </c>
      <c r="SP27" s="11" t="str">
        <f t="shared" si="212"/>
        <v/>
      </c>
      <c r="SQ27" s="11" t="str">
        <f t="shared" si="213"/>
        <v/>
      </c>
      <c r="SR27" s="11" t="str">
        <f t="shared" si="214"/>
        <v/>
      </c>
      <c r="SS27" s="11" t="str">
        <f t="shared" si="215"/>
        <v/>
      </c>
      <c r="ST27" s="22">
        <f t="shared" si="216"/>
        <v>0</v>
      </c>
      <c r="SU27" s="22">
        <f t="shared" si="217"/>
        <v>0</v>
      </c>
      <c r="SV27" s="22">
        <f t="shared" si="218"/>
        <v>0</v>
      </c>
      <c r="SW27" s="22">
        <f t="shared" si="219"/>
        <v>0</v>
      </c>
      <c r="SX27" s="22">
        <f t="shared" si="220"/>
        <v>0</v>
      </c>
      <c r="SY27" s="22">
        <f t="shared" si="221"/>
        <v>0</v>
      </c>
      <c r="SZ27" s="22">
        <f t="shared" si="222"/>
        <v>0</v>
      </c>
      <c r="TA27" s="22">
        <f t="shared" si="223"/>
        <v>0</v>
      </c>
      <c r="TB27" s="22">
        <f t="shared" si="224"/>
        <v>0</v>
      </c>
      <c r="TC27" s="22">
        <f t="shared" si="225"/>
        <v>0</v>
      </c>
      <c r="TD27" s="22">
        <f t="shared" si="226"/>
        <v>0</v>
      </c>
      <c r="TE27" s="22">
        <f t="shared" si="227"/>
        <v>0</v>
      </c>
      <c r="TF27" s="22">
        <f t="shared" si="228"/>
        <v>0</v>
      </c>
      <c r="TG27" s="22">
        <f t="shared" si="229"/>
        <v>0</v>
      </c>
      <c r="TH27" s="22">
        <f t="shared" si="230"/>
        <v>0</v>
      </c>
      <c r="TI27" s="27" t="s">
        <v>46</v>
      </c>
      <c r="TJ27" s="40" t="str">
        <f t="shared" si="231"/>
        <v/>
      </c>
      <c r="TK27" s="40" t="str">
        <f t="shared" si="232"/>
        <v/>
      </c>
      <c r="TL27" s="40" t="str">
        <f t="shared" si="233"/>
        <v/>
      </c>
      <c r="TM27" s="40" t="str">
        <f t="shared" si="234"/>
        <v/>
      </c>
      <c r="TN27" s="40" t="str">
        <f t="shared" si="235"/>
        <v/>
      </c>
      <c r="TO27" s="40" t="str">
        <f t="shared" si="236"/>
        <v/>
      </c>
      <c r="TP27" s="40" t="str">
        <f t="shared" si="237"/>
        <v/>
      </c>
      <c r="TQ27" s="40" t="str">
        <f t="shared" si="238"/>
        <v/>
      </c>
      <c r="TR27" s="40" t="str">
        <f t="shared" si="239"/>
        <v/>
      </c>
      <c r="TS27" s="40" t="str">
        <f t="shared" si="240"/>
        <v/>
      </c>
      <c r="TT27" s="40" t="str">
        <f t="shared" si="241"/>
        <v/>
      </c>
    </row>
    <row r="28" spans="1:540" x14ac:dyDescent="0.2">
      <c r="A28" s="4" t="str" cm="1">
        <f t="array" ref="A28">IF(AND(F28&lt;&gt;"",G28&lt;&gt;""),SUMPRODUCT((F$4:F$32&lt;&gt;"")*(G$4:G$32&lt;&gt;"")*(E$4:E$32&gt;E28))+1,IF(G28&lt;&gt;"",SUMPRODUCT((H$4:H$32="No DD")*(E$4:E$32&gt;E28))+1+SUMPRODUCT((F$4:F$32&lt;&gt;"")*(G$4:G$32&lt;&gt;"")),""))</f>
        <v/>
      </c>
      <c r="B28" s="5" t="s">
        <v>165</v>
      </c>
      <c r="C28" s="4" t="s">
        <v>6</v>
      </c>
      <c r="D28" s="4">
        <v>2002</v>
      </c>
      <c r="E28" s="9">
        <f t="shared" si="0"/>
        <v>51.860005186004358</v>
      </c>
      <c r="F28" s="3" t="str">
        <f t="shared" si="1"/>
        <v/>
      </c>
      <c r="G28" s="3" t="str">
        <f t="shared" si="2"/>
        <v/>
      </c>
      <c r="H28" s="36" t="str">
        <f t="shared" si="3"/>
        <v/>
      </c>
      <c r="I28" s="3" t="str">
        <f t="shared" si="4"/>
        <v/>
      </c>
      <c r="J28" s="8">
        <f>IF(COUNT(AO28,AR28,BP28,BS28,CQ28,CT28)&gt;0,LARGE((AO28,AR28,BP28,BS28,CQ28,CT28),1),0)</f>
        <v>43.56</v>
      </c>
      <c r="K28" s="8" t="str">
        <f t="shared" si="5"/>
        <v>2022 Nationals</v>
      </c>
      <c r="L28" s="8">
        <f>IF(COUNT(AO28,AR28,BP28,BS28,CQ28,CT28)&gt;1,LARGE((AO28,AR28,BP28,BS28,CQ28,CT28),2),0)</f>
        <v>0</v>
      </c>
      <c r="M28" s="8" t="str">
        <f t="shared" si="6"/>
        <v/>
      </c>
      <c r="N28" s="8">
        <f>IF(COUNT(AO28,AR28,BP28,BS28,CQ28,CT28)&gt;2,LARGE((AO28,AR28,BP28,BS28,CQ28,CT28),3),0)</f>
        <v>0</v>
      </c>
      <c r="O28" s="8" t="str">
        <f t="shared" si="242"/>
        <v/>
      </c>
      <c r="P28" s="8">
        <f t="shared" si="7"/>
        <v>8.3000000000000007</v>
      </c>
      <c r="Q28" s="8" t="str">
        <f t="shared" si="8"/>
        <v>2022 Nationals</v>
      </c>
      <c r="R28" s="8">
        <f t="shared" si="9"/>
        <v>0</v>
      </c>
      <c r="S28" s="8" t="str">
        <f t="shared" si="10"/>
        <v/>
      </c>
      <c r="T28" s="8" t="str">
        <f t="shared" si="11"/>
        <v/>
      </c>
      <c r="U28" s="11" t="str">
        <f t="shared" si="12"/>
        <v/>
      </c>
      <c r="V28" s="8" t="str">
        <f>IF(T28="","",IF(T28=CZ28,IF(T28+IF(N28="",0,N28)=SL28,$RL$1,IF(T28+IF(N28="",0,N28)=RD28,$QD$1,IF(T28+IF(N28="",0,N28)=PV28,$OV$1,IF(T28+IF(N28="",0,N28)=ON28,$NN$1,IF(T28+IF(N28="",0,N28)=NF28,$MF$1,IF(T28+IF(N28="",0,N28)=LX28,$KX$1,IF(T28+IF(N28="",0,N28)=KP28,$JP$1,IF(T28+IF(N28="",0,N28)=JH28,$IH$1,IF(T28+IF(N28="",0,N28)=HZ28,$GZ$1,IF(T28+IF(N28="",0,N28)=GR28,$FR$1,IF(T28+IF(N28="",0,N28)=FJ28,$EJ$1,IF(T28+IF(N28="",0,N28)=EB28,$DB$1)))))))))))),IF(T28=DA28,IF(T28+IF(#REF!="",0,#REF!)=SR28,$RL$1,IF(T28+IF(#REF!="",0,#REF!)=RJ28,$QD$1,IF(T28+IF(#REF!="",0,#REF!)=QB28,$OV$1,IF(T28+IF(#REF!="",0,#REF!)=OT28,$NN$1,IF(T28+IF(#REF!="",0,#REF!)=NL28,$MF$1,IF(T28+IF(#REF!="",0,#REF!)=MD28,$KX$1,IF(T28+IF(#REF!="",0,#REF!)=KV28,$JP$1,IF(T28+IF(#REF!="",0,#REF!)=JN28,$IH$1,IF(T28+IF(#REF!="",0,#REF!)=IF28,$GZ$1,IF(T28+IF(#REF!="",0,#REF!)=GX28,$FR$1,IF(T28+IF(#REF!="",0,#REF!)=FP28,$EJ$1,IF(T28+IF(#REF!="",0,#REF!)=EH28,$DB$1,IF(T28+IF(#REF!="",0,#REF!)=SO28,$RL$1,IF(T28+IF(#REF!="",0,#REF!)=RG28,$QD$1,IF(T28+IF(#REF!="",0,#REF!)=PY28,$OV$1,IF(T28+IF(#REF!="",0,#REF!)=OQ28,$NN$1,IF(T28+IF(#REF!="",0,#REF!)=NI28,$MF$1,IF(T28+IF(#REF!="",0,#REF!)=MA28,$KX$1,IF(T28+IF(#REF!="",0,#REF!)=KS28,$JP$1,IF(T28+IF(#REF!="",0,#REF!)=JK28,$IH$1,IF(T28+IF(#REF!="",0,#REF!)=IC28,$GZ$1,IF(T28+IF(#REF!="",0,#REF!)=GU28,$FR$1,IF(T28+IF(#REF!="",0,#REF!)=FM28,$EJ$1,IF(T28+IF(#REF!="",0,#REF!)=EE28,$DB$1)))))))))))))))))))))))))))</f>
        <v/>
      </c>
      <c r="W28" s="22">
        <v>13</v>
      </c>
      <c r="X28" s="22">
        <v>8.9</v>
      </c>
      <c r="Y28" s="22">
        <v>8.3000000000000007</v>
      </c>
      <c r="Z28" s="22">
        <v>13.86</v>
      </c>
      <c r="AA28" s="22">
        <v>0.5</v>
      </c>
      <c r="AB28" s="22"/>
      <c r="AC28" s="22"/>
      <c r="AD28" s="22"/>
      <c r="AE28" s="22"/>
      <c r="AF28" s="22"/>
      <c r="AG28" s="22">
        <v>3</v>
      </c>
      <c r="AH28" s="22">
        <v>1.8</v>
      </c>
      <c r="AI28" s="22">
        <v>2.5</v>
      </c>
      <c r="AJ28" s="22">
        <v>2.94</v>
      </c>
      <c r="AK28" s="22">
        <v>0</v>
      </c>
      <c r="AL28" s="27"/>
      <c r="AM28" s="38">
        <f t="shared" si="13"/>
        <v>8.3000000000000007</v>
      </c>
      <c r="AN28" s="38">
        <f t="shared" si="14"/>
        <v>13.86</v>
      </c>
      <c r="AO28" s="40">
        <f t="shared" si="15"/>
        <v>43.56</v>
      </c>
      <c r="AP28" s="40" t="str">
        <f t="shared" si="16"/>
        <v/>
      </c>
      <c r="AQ28" s="40" t="str">
        <f t="shared" si="17"/>
        <v/>
      </c>
      <c r="AR28" s="40" t="str">
        <f t="shared" si="18"/>
        <v/>
      </c>
      <c r="AS28" s="40">
        <f t="shared" si="19"/>
        <v>43.56</v>
      </c>
      <c r="AT28" s="40">
        <f t="shared" si="20"/>
        <v>2.5</v>
      </c>
      <c r="AU28" s="40">
        <f t="shared" si="21"/>
        <v>2.94</v>
      </c>
      <c r="AV28" s="40">
        <f t="shared" si="22"/>
        <v>10.24</v>
      </c>
      <c r="AW28" s="40">
        <f t="shared" si="23"/>
        <v>53.800000000000004</v>
      </c>
      <c r="AX28" s="26"/>
      <c r="AY28" s="26"/>
      <c r="AZ28" s="26"/>
      <c r="BA28" s="26"/>
      <c r="BB28" s="26"/>
      <c r="BC28" s="26"/>
      <c r="BD28" s="26"/>
      <c r="BE28" s="26"/>
      <c r="BF28" s="26"/>
      <c r="BG28" s="26"/>
      <c r="BH28" s="26"/>
      <c r="BI28" s="26"/>
      <c r="BJ28" s="26"/>
      <c r="BK28" s="26"/>
      <c r="BL28" s="26"/>
      <c r="BM28" s="28"/>
      <c r="BN28" s="39" t="str">
        <f t="shared" si="24"/>
        <v/>
      </c>
      <c r="BO28" s="39" t="str">
        <f t="shared" si="25"/>
        <v/>
      </c>
      <c r="BP28" s="11" t="str">
        <f t="shared" si="26"/>
        <v/>
      </c>
      <c r="BQ28" s="11" t="str">
        <f t="shared" si="27"/>
        <v/>
      </c>
      <c r="BR28" s="11" t="str">
        <f t="shared" si="28"/>
        <v/>
      </c>
      <c r="BS28" s="11" t="str">
        <f t="shared" si="29"/>
        <v/>
      </c>
      <c r="BT28" s="11" t="str">
        <f t="shared" si="30"/>
        <v/>
      </c>
      <c r="BU28" s="11" t="str">
        <f t="shared" si="31"/>
        <v/>
      </c>
      <c r="BV28" s="11" t="str">
        <f t="shared" si="32"/>
        <v/>
      </c>
      <c r="BW28" s="11" t="str">
        <f t="shared" si="33"/>
        <v/>
      </c>
      <c r="BX28" s="11" t="str">
        <f t="shared" si="34"/>
        <v/>
      </c>
      <c r="BY28" s="22"/>
      <c r="BZ28" s="22"/>
      <c r="CA28" s="22"/>
      <c r="CB28" s="22"/>
      <c r="CC28" s="22"/>
      <c r="CD28" s="22"/>
      <c r="CE28" s="22"/>
      <c r="CF28" s="22"/>
      <c r="CG28" s="22"/>
      <c r="CH28" s="22"/>
      <c r="CI28" s="22"/>
      <c r="CJ28" s="22"/>
      <c r="CK28" s="22"/>
      <c r="CL28" s="22"/>
      <c r="CM28" s="22"/>
      <c r="CN28" s="27"/>
      <c r="CO28" s="38" t="str">
        <f t="shared" si="35"/>
        <v/>
      </c>
      <c r="CP28" s="38" t="str">
        <f t="shared" si="36"/>
        <v/>
      </c>
      <c r="CQ28" s="40" t="str">
        <f t="shared" si="37"/>
        <v/>
      </c>
      <c r="CR28" s="40" t="str">
        <f t="shared" si="38"/>
        <v/>
      </c>
      <c r="CS28" s="40" t="str">
        <f t="shared" si="39"/>
        <v/>
      </c>
      <c r="CT28" s="40" t="str">
        <f t="shared" si="40"/>
        <v/>
      </c>
      <c r="CU28" s="40" t="str">
        <f t="shared" si="41"/>
        <v/>
      </c>
      <c r="CV28" s="40" t="str">
        <f t="shared" si="42"/>
        <v/>
      </c>
      <c r="CW28" s="40" t="str">
        <f t="shared" si="43"/>
        <v/>
      </c>
      <c r="CX28" s="40" t="str">
        <f t="shared" si="44"/>
        <v/>
      </c>
      <c r="CY28" s="40" t="str">
        <f t="shared" si="45"/>
        <v/>
      </c>
      <c r="CZ28" s="50" t="str">
        <f t="shared" si="46"/>
        <v/>
      </c>
      <c r="DA28" s="50" t="str">
        <f t="shared" si="47"/>
        <v/>
      </c>
      <c r="DB28" s="17"/>
      <c r="DC28" s="17"/>
      <c r="DD28" s="17"/>
      <c r="DE28" s="17"/>
      <c r="DF28" s="17"/>
      <c r="DG28" s="17"/>
      <c r="DH28" s="17"/>
      <c r="DI28" s="17"/>
      <c r="DJ28" s="17"/>
      <c r="DK28" s="17"/>
      <c r="DL28" s="17"/>
      <c r="DM28" s="17"/>
      <c r="DN28" s="17"/>
      <c r="DO28" s="17"/>
      <c r="DP28" s="17"/>
      <c r="DQ28" s="17"/>
      <c r="DR28" s="17"/>
      <c r="DS28" s="17"/>
      <c r="DT28" s="17"/>
      <c r="DU28" s="17"/>
      <c r="DV28" s="40" t="str">
        <f t="shared" si="48"/>
        <v/>
      </c>
      <c r="DW28" s="40" t="str">
        <f t="shared" si="49"/>
        <v/>
      </c>
      <c r="DX28" s="40" t="str">
        <f t="shared" si="50"/>
        <v/>
      </c>
      <c r="DY28" s="40" t="str">
        <f t="shared" si="51"/>
        <v/>
      </c>
      <c r="DZ28" s="40" t="str">
        <f t="shared" si="52"/>
        <v/>
      </c>
      <c r="EA28" s="40" t="str">
        <f t="shared" si="53"/>
        <v/>
      </c>
      <c r="EB28" s="40" t="str">
        <f t="shared" si="54"/>
        <v/>
      </c>
      <c r="EC28" s="40" t="str">
        <f t="shared" si="55"/>
        <v/>
      </c>
      <c r="ED28" s="40" t="str">
        <f t="shared" si="56"/>
        <v/>
      </c>
      <c r="EE28" s="40" t="str">
        <f t="shared" si="57"/>
        <v/>
      </c>
      <c r="EF28" s="40" t="str">
        <f t="shared" si="58"/>
        <v/>
      </c>
      <c r="EG28" s="40" t="str">
        <f t="shared" si="59"/>
        <v/>
      </c>
      <c r="EH28" s="40" t="str">
        <f t="shared" si="60"/>
        <v/>
      </c>
      <c r="EI28" s="40" t="str">
        <f t="shared" si="61"/>
        <v/>
      </c>
      <c r="EJ28" s="18"/>
      <c r="EK28" s="18"/>
      <c r="EL28" s="18"/>
      <c r="EM28" s="18"/>
      <c r="EN28" s="18"/>
      <c r="EO28" s="18"/>
      <c r="EP28" s="18"/>
      <c r="EQ28" s="18"/>
      <c r="ER28" s="18"/>
      <c r="ES28" s="18"/>
      <c r="ET28" s="18"/>
      <c r="EU28" s="18"/>
      <c r="EV28" s="18"/>
      <c r="EW28" s="18"/>
      <c r="EX28" s="18"/>
      <c r="EY28" s="18"/>
      <c r="EZ28" s="18"/>
      <c r="FA28" s="18"/>
      <c r="FB28" s="18"/>
      <c r="FC28" s="18"/>
      <c r="FD28" s="11" t="str">
        <f t="shared" si="62"/>
        <v/>
      </c>
      <c r="FE28" s="11" t="str">
        <f t="shared" si="63"/>
        <v/>
      </c>
      <c r="FF28" s="11" t="str">
        <f t="shared" si="64"/>
        <v/>
      </c>
      <c r="FG28" s="11" t="str">
        <f t="shared" si="65"/>
        <v/>
      </c>
      <c r="FH28" s="11" t="str">
        <f t="shared" si="66"/>
        <v/>
      </c>
      <c r="FI28" s="11" t="str">
        <f t="shared" si="67"/>
        <v/>
      </c>
      <c r="FJ28" s="11" t="str">
        <f t="shared" si="68"/>
        <v/>
      </c>
      <c r="FK28" s="11" t="str">
        <f t="shared" si="69"/>
        <v/>
      </c>
      <c r="FL28" s="11" t="str">
        <f t="shared" si="70"/>
        <v/>
      </c>
      <c r="FM28" s="11" t="str">
        <f t="shared" si="71"/>
        <v/>
      </c>
      <c r="FN28" s="11" t="str">
        <f t="shared" si="72"/>
        <v/>
      </c>
      <c r="FO28" s="11" t="str">
        <f t="shared" si="73"/>
        <v/>
      </c>
      <c r="FP28" s="11" t="str">
        <f t="shared" si="74"/>
        <v/>
      </c>
      <c r="FQ28" s="11" t="str">
        <f t="shared" si="75"/>
        <v/>
      </c>
      <c r="FR28" s="17"/>
      <c r="FS28" s="17"/>
      <c r="FT28" s="17"/>
      <c r="FU28" s="17"/>
      <c r="FV28" s="17"/>
      <c r="FW28" s="17"/>
      <c r="FX28" s="17"/>
      <c r="FY28" s="17"/>
      <c r="FZ28" s="17"/>
      <c r="GA28" s="17"/>
      <c r="GB28" s="17"/>
      <c r="GC28" s="17"/>
      <c r="GD28" s="17"/>
      <c r="GE28" s="17"/>
      <c r="GF28" s="17"/>
      <c r="GG28" s="17"/>
      <c r="GH28" s="17"/>
      <c r="GI28" s="17"/>
      <c r="GJ28" s="17"/>
      <c r="GK28" s="17"/>
      <c r="GL28" s="40" t="str">
        <f t="shared" si="76"/>
        <v/>
      </c>
      <c r="GM28" s="40" t="str">
        <f t="shared" si="77"/>
        <v/>
      </c>
      <c r="GN28" s="40" t="str">
        <f t="shared" si="78"/>
        <v/>
      </c>
      <c r="GO28" s="40" t="str">
        <f t="shared" si="79"/>
        <v/>
      </c>
      <c r="GP28" s="40" t="str">
        <f t="shared" si="80"/>
        <v/>
      </c>
      <c r="GQ28" s="40" t="str">
        <f t="shared" si="81"/>
        <v/>
      </c>
      <c r="GR28" s="40" t="str">
        <f t="shared" si="82"/>
        <v/>
      </c>
      <c r="GS28" s="40" t="str">
        <f t="shared" si="83"/>
        <v/>
      </c>
      <c r="GT28" s="40" t="str">
        <f t="shared" si="84"/>
        <v/>
      </c>
      <c r="GU28" s="40" t="str">
        <f t="shared" si="85"/>
        <v/>
      </c>
      <c r="GV28" s="40" t="str">
        <f t="shared" si="86"/>
        <v/>
      </c>
      <c r="GW28" s="40" t="str">
        <f t="shared" si="87"/>
        <v/>
      </c>
      <c r="GX28" s="40" t="str">
        <f t="shared" si="88"/>
        <v/>
      </c>
      <c r="GY28" s="40" t="str">
        <f t="shared" si="89"/>
        <v/>
      </c>
      <c r="GZ28" s="18"/>
      <c r="HA28" s="18"/>
      <c r="HB28" s="18"/>
      <c r="HC28" s="18"/>
      <c r="HD28" s="18"/>
      <c r="HE28" s="18"/>
      <c r="HF28" s="18"/>
      <c r="HG28" s="18"/>
      <c r="HH28" s="18"/>
      <c r="HI28" s="18"/>
      <c r="HJ28" s="18"/>
      <c r="HK28" s="18"/>
      <c r="HL28" s="18"/>
      <c r="HM28" s="18"/>
      <c r="HN28" s="18"/>
      <c r="HO28" s="18"/>
      <c r="HP28" s="18"/>
      <c r="HQ28" s="18"/>
      <c r="HR28" s="18"/>
      <c r="HS28" s="18"/>
      <c r="HT28" s="11" t="str">
        <f t="shared" si="90"/>
        <v/>
      </c>
      <c r="HU28" s="11" t="str">
        <f t="shared" si="91"/>
        <v/>
      </c>
      <c r="HV28" s="11" t="str">
        <f t="shared" si="92"/>
        <v/>
      </c>
      <c r="HW28" s="11" t="str">
        <f t="shared" si="93"/>
        <v/>
      </c>
      <c r="HX28" s="11" t="str">
        <f t="shared" si="94"/>
        <v/>
      </c>
      <c r="HY28" s="11" t="str">
        <f t="shared" si="95"/>
        <v/>
      </c>
      <c r="HZ28" s="11" t="str">
        <f t="shared" si="96"/>
        <v/>
      </c>
      <c r="IA28" s="11" t="str">
        <f t="shared" si="97"/>
        <v/>
      </c>
      <c r="IB28" s="11" t="str">
        <f t="shared" si="98"/>
        <v/>
      </c>
      <c r="IC28" s="11" t="str">
        <f t="shared" si="99"/>
        <v/>
      </c>
      <c r="ID28" s="11" t="str">
        <f t="shared" si="100"/>
        <v/>
      </c>
      <c r="IE28" s="11" t="str">
        <f t="shared" si="101"/>
        <v/>
      </c>
      <c r="IF28" s="11" t="str">
        <f t="shared" si="102"/>
        <v/>
      </c>
      <c r="IG28" s="11" t="str">
        <f t="shared" si="103"/>
        <v/>
      </c>
      <c r="IH28" s="17"/>
      <c r="II28" s="17"/>
      <c r="IJ28" s="17"/>
      <c r="IK28" s="17"/>
      <c r="IL28" s="17"/>
      <c r="IM28" s="17"/>
      <c r="IN28" s="17"/>
      <c r="IO28" s="17"/>
      <c r="IP28" s="17"/>
      <c r="IQ28" s="17"/>
      <c r="IR28" s="17"/>
      <c r="IS28" s="17"/>
      <c r="IT28" s="17"/>
      <c r="IU28" s="17"/>
      <c r="IV28" s="17"/>
      <c r="IW28" s="17"/>
      <c r="IX28" s="17"/>
      <c r="IY28" s="17"/>
      <c r="IZ28" s="17"/>
      <c r="JA28" s="17"/>
      <c r="JB28" s="40" t="str">
        <f t="shared" si="104"/>
        <v/>
      </c>
      <c r="JC28" s="40" t="str">
        <f t="shared" si="105"/>
        <v/>
      </c>
      <c r="JD28" s="40" t="str">
        <f t="shared" si="106"/>
        <v/>
      </c>
      <c r="JE28" s="40" t="str">
        <f t="shared" si="107"/>
        <v/>
      </c>
      <c r="JF28" s="40" t="str">
        <f t="shared" si="108"/>
        <v/>
      </c>
      <c r="JG28" s="40" t="str">
        <f t="shared" si="109"/>
        <v/>
      </c>
      <c r="JH28" s="40" t="str">
        <f t="shared" si="110"/>
        <v/>
      </c>
      <c r="JI28" s="40" t="str">
        <f t="shared" si="111"/>
        <v/>
      </c>
      <c r="JJ28" s="40" t="str">
        <f t="shared" si="112"/>
        <v/>
      </c>
      <c r="JK28" s="40" t="str">
        <f t="shared" si="113"/>
        <v/>
      </c>
      <c r="JL28" s="40" t="str">
        <f t="shared" si="114"/>
        <v/>
      </c>
      <c r="JM28" s="40" t="str">
        <f t="shared" si="115"/>
        <v/>
      </c>
      <c r="JN28" s="40" t="str">
        <f t="shared" si="116"/>
        <v/>
      </c>
      <c r="JO28" s="40" t="str">
        <f t="shared" si="117"/>
        <v/>
      </c>
      <c r="JP28" s="18"/>
      <c r="JQ28" s="18"/>
      <c r="JR28" s="18"/>
      <c r="JS28" s="18"/>
      <c r="JT28" s="18"/>
      <c r="JU28" s="18"/>
      <c r="JV28" s="18"/>
      <c r="JW28" s="18"/>
      <c r="JX28" s="18"/>
      <c r="JY28" s="18"/>
      <c r="JZ28" s="18"/>
      <c r="KA28" s="18"/>
      <c r="KB28" s="18"/>
      <c r="KC28" s="18"/>
      <c r="KD28" s="18"/>
      <c r="KE28" s="18"/>
      <c r="KF28" s="18"/>
      <c r="KG28" s="18"/>
      <c r="KH28" s="18"/>
      <c r="KI28" s="18"/>
      <c r="KJ28" s="11" t="str">
        <f t="shared" si="118"/>
        <v/>
      </c>
      <c r="KK28" s="11" t="str">
        <f t="shared" si="119"/>
        <v/>
      </c>
      <c r="KL28" s="11" t="str">
        <f t="shared" si="120"/>
        <v/>
      </c>
      <c r="KM28" s="11" t="str">
        <f t="shared" si="121"/>
        <v/>
      </c>
      <c r="KN28" s="11" t="str">
        <f t="shared" si="122"/>
        <v/>
      </c>
      <c r="KO28" s="11" t="str">
        <f t="shared" si="123"/>
        <v/>
      </c>
      <c r="KP28" s="11" t="str">
        <f t="shared" si="124"/>
        <v/>
      </c>
      <c r="KQ28" s="11" t="str">
        <f t="shared" si="125"/>
        <v/>
      </c>
      <c r="KR28" s="11" t="str">
        <f t="shared" si="126"/>
        <v/>
      </c>
      <c r="KS28" s="11" t="str">
        <f t="shared" si="127"/>
        <v/>
      </c>
      <c r="KT28" s="11" t="str">
        <f t="shared" si="128"/>
        <v/>
      </c>
      <c r="KU28" s="11" t="str">
        <f t="shared" si="129"/>
        <v/>
      </c>
      <c r="KV28" s="11" t="str">
        <f t="shared" si="130"/>
        <v/>
      </c>
      <c r="KW28" s="11" t="str">
        <f t="shared" si="131"/>
        <v/>
      </c>
      <c r="KX28" s="17"/>
      <c r="KY28" s="17"/>
      <c r="KZ28" s="17"/>
      <c r="LA28" s="17"/>
      <c r="LB28" s="17"/>
      <c r="LC28" s="17"/>
      <c r="LD28" s="17"/>
      <c r="LE28" s="17"/>
      <c r="LF28" s="17"/>
      <c r="LG28" s="17"/>
      <c r="LH28" s="17"/>
      <c r="LI28" s="17"/>
      <c r="LJ28" s="17"/>
      <c r="LK28" s="17"/>
      <c r="LL28" s="17"/>
      <c r="LM28" s="17"/>
      <c r="LN28" s="17"/>
      <c r="LO28" s="17"/>
      <c r="LP28" s="17"/>
      <c r="LQ28" s="17"/>
      <c r="LR28" s="40" t="str">
        <f t="shared" si="132"/>
        <v/>
      </c>
      <c r="LS28" s="40" t="str">
        <f t="shared" si="133"/>
        <v/>
      </c>
      <c r="LT28" s="40" t="str">
        <f t="shared" si="134"/>
        <v/>
      </c>
      <c r="LU28" s="40" t="str">
        <f t="shared" si="135"/>
        <v/>
      </c>
      <c r="LV28" s="40" t="str">
        <f t="shared" si="136"/>
        <v/>
      </c>
      <c r="LW28" s="40" t="str">
        <f t="shared" si="137"/>
        <v/>
      </c>
      <c r="LX28" s="40" t="str">
        <f t="shared" si="138"/>
        <v/>
      </c>
      <c r="LY28" s="40" t="str">
        <f t="shared" si="139"/>
        <v/>
      </c>
      <c r="LZ28" s="40" t="str">
        <f t="shared" si="140"/>
        <v/>
      </c>
      <c r="MA28" s="40" t="str">
        <f t="shared" si="141"/>
        <v/>
      </c>
      <c r="MB28" s="40" t="str">
        <f t="shared" si="142"/>
        <v/>
      </c>
      <c r="MC28" s="40" t="str">
        <f t="shared" si="143"/>
        <v/>
      </c>
      <c r="MD28" s="40" t="str">
        <f t="shared" si="144"/>
        <v/>
      </c>
      <c r="ME28" s="40" t="str">
        <f t="shared" si="145"/>
        <v/>
      </c>
      <c r="MF28" s="18"/>
      <c r="MG28" s="18"/>
      <c r="MH28" s="18"/>
      <c r="MI28" s="18"/>
      <c r="MJ28" s="18"/>
      <c r="MK28" s="18"/>
      <c r="ML28" s="18"/>
      <c r="MM28" s="18"/>
      <c r="MN28" s="18"/>
      <c r="MO28" s="18"/>
      <c r="MP28" s="18"/>
      <c r="MQ28" s="18"/>
      <c r="MR28" s="18"/>
      <c r="MS28" s="18"/>
      <c r="MT28" s="18"/>
      <c r="MU28" s="18"/>
      <c r="MV28" s="18"/>
      <c r="MW28" s="18"/>
      <c r="MX28" s="18"/>
      <c r="MY28" s="18"/>
      <c r="MZ28" s="11" t="str">
        <f t="shared" si="146"/>
        <v/>
      </c>
      <c r="NA28" s="11" t="str">
        <f t="shared" si="147"/>
        <v/>
      </c>
      <c r="NB28" s="11" t="str">
        <f t="shared" si="148"/>
        <v/>
      </c>
      <c r="NC28" s="11" t="str">
        <f t="shared" si="149"/>
        <v/>
      </c>
      <c r="ND28" s="11" t="str">
        <f t="shared" si="150"/>
        <v/>
      </c>
      <c r="NE28" s="11" t="str">
        <f t="shared" si="151"/>
        <v/>
      </c>
      <c r="NF28" s="11" t="str">
        <f t="shared" si="152"/>
        <v/>
      </c>
      <c r="NG28" s="11" t="str">
        <f t="shared" si="153"/>
        <v/>
      </c>
      <c r="NH28" s="11" t="str">
        <f t="shared" si="154"/>
        <v/>
      </c>
      <c r="NI28" s="11" t="str">
        <f t="shared" si="155"/>
        <v/>
      </c>
      <c r="NJ28" s="11" t="str">
        <f t="shared" si="156"/>
        <v/>
      </c>
      <c r="NK28" s="11" t="str">
        <f t="shared" si="157"/>
        <v/>
      </c>
      <c r="NL28" s="11" t="str">
        <f t="shared" si="158"/>
        <v/>
      </c>
      <c r="NM28" s="11" t="str">
        <f t="shared" si="159"/>
        <v/>
      </c>
      <c r="NN28" s="17"/>
      <c r="NO28" s="17"/>
      <c r="NP28" s="17"/>
      <c r="NQ28" s="17"/>
      <c r="NR28" s="17"/>
      <c r="NS28" s="17"/>
      <c r="NT28" s="17"/>
      <c r="NU28" s="17"/>
      <c r="NV28" s="17"/>
      <c r="NW28" s="17"/>
      <c r="NX28" s="17"/>
      <c r="NY28" s="17"/>
      <c r="NZ28" s="17"/>
      <c r="OA28" s="17"/>
      <c r="OB28" s="17"/>
      <c r="OC28" s="17"/>
      <c r="OD28" s="17"/>
      <c r="OE28" s="17"/>
      <c r="OF28" s="17"/>
      <c r="OG28" s="17"/>
      <c r="OH28" s="40" t="str">
        <f t="shared" si="160"/>
        <v/>
      </c>
      <c r="OI28" s="40" t="str">
        <f t="shared" si="161"/>
        <v/>
      </c>
      <c r="OJ28" s="40" t="str">
        <f t="shared" si="162"/>
        <v/>
      </c>
      <c r="OK28" s="40" t="str">
        <f t="shared" si="163"/>
        <v/>
      </c>
      <c r="OL28" s="40" t="str">
        <f t="shared" si="164"/>
        <v/>
      </c>
      <c r="OM28" s="40" t="str">
        <f t="shared" si="165"/>
        <v/>
      </c>
      <c r="ON28" s="40" t="str">
        <f t="shared" si="166"/>
        <v/>
      </c>
      <c r="OO28" s="40" t="str">
        <f t="shared" si="167"/>
        <v/>
      </c>
      <c r="OP28" s="40" t="str">
        <f t="shared" si="168"/>
        <v/>
      </c>
      <c r="OQ28" s="40" t="str">
        <f t="shared" si="169"/>
        <v/>
      </c>
      <c r="OR28" s="40" t="str">
        <f t="shared" si="170"/>
        <v/>
      </c>
      <c r="OS28" s="40" t="str">
        <f t="shared" si="171"/>
        <v/>
      </c>
      <c r="OT28" s="40" t="str">
        <f t="shared" si="172"/>
        <v/>
      </c>
      <c r="OU28" s="40" t="str">
        <f t="shared" si="173"/>
        <v/>
      </c>
      <c r="OV28" s="18"/>
      <c r="OW28" s="18"/>
      <c r="OX28" s="18"/>
      <c r="OY28" s="18"/>
      <c r="OZ28" s="18"/>
      <c r="PA28" s="18"/>
      <c r="PB28" s="18"/>
      <c r="PC28" s="18"/>
      <c r="PD28" s="18"/>
      <c r="PE28" s="18"/>
      <c r="PF28" s="18"/>
      <c r="PG28" s="18"/>
      <c r="PH28" s="18"/>
      <c r="PI28" s="18"/>
      <c r="PJ28" s="18"/>
      <c r="PK28" s="18"/>
      <c r="PL28" s="18"/>
      <c r="PM28" s="18"/>
      <c r="PN28" s="18"/>
      <c r="PO28" s="18"/>
      <c r="PP28" s="11" t="str">
        <f t="shared" si="174"/>
        <v/>
      </c>
      <c r="PQ28" s="11" t="str">
        <f t="shared" si="175"/>
        <v/>
      </c>
      <c r="PR28" s="11" t="str">
        <f t="shared" si="176"/>
        <v/>
      </c>
      <c r="PS28" s="11" t="str">
        <f t="shared" si="177"/>
        <v/>
      </c>
      <c r="PT28" s="11" t="str">
        <f t="shared" si="178"/>
        <v/>
      </c>
      <c r="PU28" s="11" t="str">
        <f t="shared" si="179"/>
        <v/>
      </c>
      <c r="PV28" s="11" t="str">
        <f t="shared" si="180"/>
        <v/>
      </c>
      <c r="PW28" s="11" t="str">
        <f t="shared" si="181"/>
        <v/>
      </c>
      <c r="PX28" s="11" t="str">
        <f t="shared" si="182"/>
        <v/>
      </c>
      <c r="PY28" s="11" t="str">
        <f t="shared" si="183"/>
        <v/>
      </c>
      <c r="PZ28" s="11" t="str">
        <f t="shared" si="184"/>
        <v/>
      </c>
      <c r="QA28" s="11" t="str">
        <f t="shared" si="185"/>
        <v/>
      </c>
      <c r="QB28" s="11" t="str">
        <f t="shared" si="186"/>
        <v/>
      </c>
      <c r="QC28" s="11" t="str">
        <f t="shared" si="187"/>
        <v/>
      </c>
      <c r="QD28" s="17"/>
      <c r="QE28" s="17"/>
      <c r="QF28" s="17"/>
      <c r="QG28" s="17"/>
      <c r="QH28" s="17"/>
      <c r="QI28" s="17"/>
      <c r="QJ28" s="17"/>
      <c r="QK28" s="17"/>
      <c r="QL28" s="17"/>
      <c r="QM28" s="17"/>
      <c r="QN28" s="17"/>
      <c r="QO28" s="17"/>
      <c r="QP28" s="17"/>
      <c r="QQ28" s="17"/>
      <c r="QR28" s="17"/>
      <c r="QS28" s="17"/>
      <c r="QT28" s="17"/>
      <c r="QU28" s="17"/>
      <c r="QV28" s="17"/>
      <c r="QW28" s="17"/>
      <c r="QX28" s="40" t="str">
        <f t="shared" si="188"/>
        <v/>
      </c>
      <c r="QY28" s="40" t="str">
        <f t="shared" si="189"/>
        <v/>
      </c>
      <c r="QZ28" s="40" t="str">
        <f t="shared" si="190"/>
        <v/>
      </c>
      <c r="RA28" s="40" t="str">
        <f t="shared" si="191"/>
        <v/>
      </c>
      <c r="RB28" s="40" t="str">
        <f t="shared" si="192"/>
        <v/>
      </c>
      <c r="RC28" s="40" t="str">
        <f t="shared" si="193"/>
        <v/>
      </c>
      <c r="RD28" s="40" t="str">
        <f t="shared" si="194"/>
        <v/>
      </c>
      <c r="RE28" s="40" t="str">
        <f t="shared" si="195"/>
        <v/>
      </c>
      <c r="RF28" s="40" t="str">
        <f t="shared" si="196"/>
        <v/>
      </c>
      <c r="RG28" s="40" t="str">
        <f t="shared" si="197"/>
        <v/>
      </c>
      <c r="RH28" s="40" t="str">
        <f t="shared" si="198"/>
        <v/>
      </c>
      <c r="RI28" s="40" t="str">
        <f t="shared" si="199"/>
        <v/>
      </c>
      <c r="RJ28" s="40" t="str">
        <f t="shared" si="200"/>
        <v/>
      </c>
      <c r="RK28" s="40" t="str">
        <f t="shared" si="201"/>
        <v/>
      </c>
      <c r="RL28" s="18"/>
      <c r="RM28" s="18"/>
      <c r="RN28" s="18"/>
      <c r="RO28" s="18"/>
      <c r="RP28" s="18"/>
      <c r="RQ28" s="18"/>
      <c r="RR28" s="18"/>
      <c r="RS28" s="18"/>
      <c r="RT28" s="18"/>
      <c r="RU28" s="18"/>
      <c r="RV28" s="18"/>
      <c r="RW28" s="18"/>
      <c r="RX28" s="18"/>
      <c r="RY28" s="18"/>
      <c r="RZ28" s="18"/>
      <c r="SA28" s="18"/>
      <c r="SB28" s="18"/>
      <c r="SC28" s="18"/>
      <c r="SD28" s="18"/>
      <c r="SE28" s="18"/>
      <c r="SF28" s="11" t="str">
        <f t="shared" si="202"/>
        <v/>
      </c>
      <c r="SG28" s="11" t="str">
        <f t="shared" si="203"/>
        <v/>
      </c>
      <c r="SH28" s="11" t="str">
        <f t="shared" si="204"/>
        <v/>
      </c>
      <c r="SI28" s="11" t="str">
        <f t="shared" si="205"/>
        <v/>
      </c>
      <c r="SJ28" s="11" t="str">
        <f t="shared" si="206"/>
        <v/>
      </c>
      <c r="SK28" s="11" t="str">
        <f t="shared" si="207"/>
        <v/>
      </c>
      <c r="SL28" s="11" t="str">
        <f t="shared" si="208"/>
        <v/>
      </c>
      <c r="SM28" s="11" t="str">
        <f t="shared" si="209"/>
        <v/>
      </c>
      <c r="SN28" s="11" t="str">
        <f t="shared" si="210"/>
        <v/>
      </c>
      <c r="SO28" s="11" t="str">
        <f t="shared" si="211"/>
        <v/>
      </c>
      <c r="SP28" s="11" t="str">
        <f t="shared" si="212"/>
        <v/>
      </c>
      <c r="SQ28" s="11" t="str">
        <f t="shared" si="213"/>
        <v/>
      </c>
      <c r="SR28" s="11" t="str">
        <f t="shared" si="214"/>
        <v/>
      </c>
      <c r="SS28" s="11" t="str">
        <f t="shared" si="215"/>
        <v/>
      </c>
      <c r="ST28" s="22">
        <f t="shared" si="216"/>
        <v>0</v>
      </c>
      <c r="SU28" s="22">
        <f t="shared" si="217"/>
        <v>0</v>
      </c>
      <c r="SV28" s="22">
        <f t="shared" si="218"/>
        <v>0</v>
      </c>
      <c r="SW28" s="22">
        <f t="shared" si="219"/>
        <v>0</v>
      </c>
      <c r="SX28" s="22">
        <f t="shared" si="220"/>
        <v>0</v>
      </c>
      <c r="SY28" s="22">
        <f t="shared" si="221"/>
        <v>0</v>
      </c>
      <c r="SZ28" s="22">
        <f t="shared" si="222"/>
        <v>0</v>
      </c>
      <c r="TA28" s="22">
        <f t="shared" si="223"/>
        <v>0</v>
      </c>
      <c r="TB28" s="22">
        <f t="shared" si="224"/>
        <v>0</v>
      </c>
      <c r="TC28" s="22">
        <f t="shared" si="225"/>
        <v>0</v>
      </c>
      <c r="TD28" s="22">
        <f t="shared" si="226"/>
        <v>0</v>
      </c>
      <c r="TE28" s="22">
        <f t="shared" si="227"/>
        <v>0</v>
      </c>
      <c r="TF28" s="22">
        <f t="shared" si="228"/>
        <v>0</v>
      </c>
      <c r="TG28" s="22">
        <f t="shared" si="229"/>
        <v>0</v>
      </c>
      <c r="TH28" s="22">
        <f t="shared" si="230"/>
        <v>0</v>
      </c>
      <c r="TI28" s="27" t="s">
        <v>46</v>
      </c>
      <c r="TJ28" s="40" t="str">
        <f t="shared" si="231"/>
        <v/>
      </c>
      <c r="TK28" s="40" t="str">
        <f t="shared" si="232"/>
        <v/>
      </c>
      <c r="TL28" s="40" t="str">
        <f t="shared" si="233"/>
        <v/>
      </c>
      <c r="TM28" s="40" t="str">
        <f t="shared" si="234"/>
        <v/>
      </c>
      <c r="TN28" s="40" t="str">
        <f t="shared" si="235"/>
        <v/>
      </c>
      <c r="TO28" s="40" t="str">
        <f t="shared" si="236"/>
        <v/>
      </c>
      <c r="TP28" s="40" t="str">
        <f t="shared" si="237"/>
        <v/>
      </c>
      <c r="TQ28" s="40" t="str">
        <f t="shared" si="238"/>
        <v/>
      </c>
      <c r="TR28" s="40" t="str">
        <f t="shared" si="239"/>
        <v/>
      </c>
      <c r="TS28" s="40" t="str">
        <f t="shared" si="240"/>
        <v/>
      </c>
      <c r="TT28" s="40" t="str">
        <f t="shared" si="241"/>
        <v/>
      </c>
    </row>
    <row r="29" spans="1:540" x14ac:dyDescent="0.2">
      <c r="A29" s="4" t="str" cm="1">
        <f t="array" ref="A29">IF(AND(F29&lt;&gt;"",G29&lt;&gt;""),SUMPRODUCT((F$4:F$32&lt;&gt;"")*(G$4:G$32&lt;&gt;"")*(E$4:E$32&gt;E29))+1,IF(G29&lt;&gt;"",SUMPRODUCT((H$4:H$32="No DD")*(E$4:E$32&gt;E29))+1+SUMPRODUCT((F$4:F$32&lt;&gt;"")*(G$4:G$32&lt;&gt;"")),""))</f>
        <v/>
      </c>
      <c r="B29" s="5" t="s">
        <v>167</v>
      </c>
      <c r="C29" s="4" t="s">
        <v>31</v>
      </c>
      <c r="D29" s="4">
        <v>2003</v>
      </c>
      <c r="E29" s="9">
        <f t="shared" si="0"/>
        <v>36.670003667003002</v>
      </c>
      <c r="F29" s="3" t="str">
        <f t="shared" si="1"/>
        <v/>
      </c>
      <c r="G29" s="3" t="str">
        <f t="shared" si="2"/>
        <v/>
      </c>
      <c r="H29" s="36" t="str">
        <f t="shared" si="3"/>
        <v/>
      </c>
      <c r="I29" s="3" t="str">
        <f t="shared" si="4"/>
        <v/>
      </c>
      <c r="J29" s="8">
        <f>IF(COUNT(AO29,AR29,BP29,BS29,CQ29,CT29)&gt;0,LARGE((AO29,AR29,BP29,BS29,CQ29,CT29),1),0)</f>
        <v>29.97</v>
      </c>
      <c r="K29" s="8" t="str">
        <f t="shared" si="5"/>
        <v>2022 Nationals</v>
      </c>
      <c r="L29" s="8">
        <f>IF(COUNT(AO29,AR29,BP29,BS29,CQ29,CT29)&gt;1,LARGE((AO29,AR29,BP29,BS29,CQ29,CT29),2),0)</f>
        <v>0</v>
      </c>
      <c r="M29" s="8" t="str">
        <f t="shared" si="6"/>
        <v/>
      </c>
      <c r="N29" s="8">
        <f>IF(COUNT(AO29,AR29,BP29,BS29,CQ29,CT29)&gt;2,LARGE((AO29,AR29,BP29,BS29,CQ29,CT29),3),0)</f>
        <v>0</v>
      </c>
      <c r="O29" s="8" t="str">
        <f t="shared" si="242"/>
        <v/>
      </c>
      <c r="P29" s="8">
        <f t="shared" si="7"/>
        <v>6.7</v>
      </c>
      <c r="Q29" s="8" t="str">
        <f t="shared" si="8"/>
        <v>2022 Nationals</v>
      </c>
      <c r="R29" s="8">
        <f t="shared" si="9"/>
        <v>0</v>
      </c>
      <c r="S29" s="8" t="str">
        <f t="shared" si="10"/>
        <v/>
      </c>
      <c r="T29" s="8" t="str">
        <f t="shared" si="11"/>
        <v/>
      </c>
      <c r="U29" s="11" t="str">
        <f t="shared" si="12"/>
        <v/>
      </c>
      <c r="V29" s="8" t="str">
        <f>IF(T29="","",IF(T29=CZ29,IF(T29+IF(N29="",0,N29)=SL29,$RL$1,IF(T29+IF(N29="",0,N29)=RD29,$QD$1,IF(T29+IF(N29="",0,N29)=PV29,$OV$1,IF(T29+IF(N29="",0,N29)=ON29,$NN$1,IF(T29+IF(N29="",0,N29)=NF29,$MF$1,IF(T29+IF(N29="",0,N29)=LX29,$KX$1,IF(T29+IF(N29="",0,N29)=KP29,$JP$1,IF(T29+IF(N29="",0,N29)=JH29,$IH$1,IF(T29+IF(N29="",0,N29)=HZ29,$GZ$1,IF(T29+IF(N29="",0,N29)=GR29,$FR$1,IF(T29+IF(N29="",0,N29)=FJ29,$EJ$1,IF(T29+IF(N29="",0,N29)=EB29,$DB$1)))))))))))),IF(T29=DA29,IF(T29+IF(#REF!="",0,#REF!)=SR29,$RL$1,IF(T29+IF(#REF!="",0,#REF!)=RJ29,$QD$1,IF(T29+IF(#REF!="",0,#REF!)=QB29,$OV$1,IF(T29+IF(#REF!="",0,#REF!)=OT29,$NN$1,IF(T29+IF(#REF!="",0,#REF!)=NL29,$MF$1,IF(T29+IF(#REF!="",0,#REF!)=MD29,$KX$1,IF(T29+IF(#REF!="",0,#REF!)=KV29,$JP$1,IF(T29+IF(#REF!="",0,#REF!)=JN29,$IH$1,IF(T29+IF(#REF!="",0,#REF!)=IF29,$GZ$1,IF(T29+IF(#REF!="",0,#REF!)=GX29,$FR$1,IF(T29+IF(#REF!="",0,#REF!)=FP29,$EJ$1,IF(T29+IF(#REF!="",0,#REF!)=EH29,$DB$1,IF(T29+IF(#REF!="",0,#REF!)=SO29,$RL$1,IF(T29+IF(#REF!="",0,#REF!)=RG29,$QD$1,IF(T29+IF(#REF!="",0,#REF!)=PY29,$OV$1,IF(T29+IF(#REF!="",0,#REF!)=OQ29,$NN$1,IF(T29+IF(#REF!="",0,#REF!)=NI29,$MF$1,IF(T29+IF(#REF!="",0,#REF!)=MA29,$KX$1,IF(T29+IF(#REF!="",0,#REF!)=KS29,$JP$1,IF(T29+IF(#REF!="",0,#REF!)=JK29,$IH$1,IF(T29+IF(#REF!="",0,#REF!)=IC29,$GZ$1,IF(T29+IF(#REF!="",0,#REF!)=GU29,$FR$1,IF(T29+IF(#REF!="",0,#REF!)=FM29,$EJ$1,IF(T29+IF(#REF!="",0,#REF!)=EE29,$DB$1)))))))))))))))))))))))))))</f>
        <v/>
      </c>
      <c r="W29" s="22">
        <v>8.1</v>
      </c>
      <c r="X29" s="22">
        <v>7.3</v>
      </c>
      <c r="Y29" s="22">
        <v>6.7</v>
      </c>
      <c r="Z29" s="22">
        <v>7.87</v>
      </c>
      <c r="AA29" s="22">
        <v>0</v>
      </c>
      <c r="AB29" s="22"/>
      <c r="AC29" s="22"/>
      <c r="AD29" s="22"/>
      <c r="AE29" s="22"/>
      <c r="AF29" s="22"/>
      <c r="AG29" s="22"/>
      <c r="AH29" s="22"/>
      <c r="AI29" s="22"/>
      <c r="AJ29" s="22"/>
      <c r="AK29" s="22"/>
      <c r="AL29" s="27"/>
      <c r="AM29" s="38">
        <f t="shared" si="13"/>
        <v>6.7</v>
      </c>
      <c r="AN29" s="38">
        <f t="shared" si="14"/>
        <v>7.87</v>
      </c>
      <c r="AO29" s="40">
        <f t="shared" si="15"/>
        <v>29.97</v>
      </c>
      <c r="AP29" s="40" t="str">
        <f t="shared" si="16"/>
        <v/>
      </c>
      <c r="AQ29" s="40" t="str">
        <f t="shared" si="17"/>
        <v/>
      </c>
      <c r="AR29" s="40" t="str">
        <f t="shared" si="18"/>
        <v/>
      </c>
      <c r="AS29" s="40">
        <f t="shared" si="19"/>
        <v>29.97</v>
      </c>
      <c r="AT29" s="40" t="str">
        <f t="shared" si="20"/>
        <v/>
      </c>
      <c r="AU29" s="40" t="str">
        <f t="shared" si="21"/>
        <v/>
      </c>
      <c r="AV29" s="40" t="str">
        <f t="shared" si="22"/>
        <v/>
      </c>
      <c r="AW29" s="40">
        <f t="shared" si="23"/>
        <v>29.97</v>
      </c>
      <c r="AX29" s="26"/>
      <c r="AY29" s="26"/>
      <c r="AZ29" s="26"/>
      <c r="BA29" s="26"/>
      <c r="BB29" s="26"/>
      <c r="BC29" s="26"/>
      <c r="BD29" s="26"/>
      <c r="BE29" s="26"/>
      <c r="BF29" s="26"/>
      <c r="BG29" s="26"/>
      <c r="BH29" s="26"/>
      <c r="BI29" s="26"/>
      <c r="BJ29" s="26"/>
      <c r="BK29" s="26"/>
      <c r="BL29" s="26"/>
      <c r="BM29" s="28"/>
      <c r="BN29" s="39" t="str">
        <f t="shared" si="24"/>
        <v/>
      </c>
      <c r="BO29" s="39" t="str">
        <f t="shared" si="25"/>
        <v/>
      </c>
      <c r="BP29" s="11" t="str">
        <f t="shared" si="26"/>
        <v/>
      </c>
      <c r="BQ29" s="11" t="str">
        <f t="shared" si="27"/>
        <v/>
      </c>
      <c r="BR29" s="11" t="str">
        <f t="shared" si="28"/>
        <v/>
      </c>
      <c r="BS29" s="11" t="str">
        <f t="shared" si="29"/>
        <v/>
      </c>
      <c r="BT29" s="11" t="str">
        <f t="shared" si="30"/>
        <v/>
      </c>
      <c r="BU29" s="11" t="str">
        <f t="shared" si="31"/>
        <v/>
      </c>
      <c r="BV29" s="11" t="str">
        <f t="shared" si="32"/>
        <v/>
      </c>
      <c r="BW29" s="11" t="str">
        <f t="shared" si="33"/>
        <v/>
      </c>
      <c r="BX29" s="11" t="str">
        <f t="shared" si="34"/>
        <v/>
      </c>
      <c r="BY29" s="22"/>
      <c r="BZ29" s="22"/>
      <c r="CA29" s="22"/>
      <c r="CB29" s="22"/>
      <c r="CC29" s="22"/>
      <c r="CD29" s="22"/>
      <c r="CE29" s="22"/>
      <c r="CF29" s="22"/>
      <c r="CG29" s="22"/>
      <c r="CH29" s="22"/>
      <c r="CI29" s="22"/>
      <c r="CJ29" s="22"/>
      <c r="CK29" s="22"/>
      <c r="CL29" s="22"/>
      <c r="CM29" s="22"/>
      <c r="CN29" s="27"/>
      <c r="CO29" s="38" t="str">
        <f t="shared" si="35"/>
        <v/>
      </c>
      <c r="CP29" s="38" t="str">
        <f t="shared" si="36"/>
        <v/>
      </c>
      <c r="CQ29" s="40" t="str">
        <f t="shared" si="37"/>
        <v/>
      </c>
      <c r="CR29" s="40" t="str">
        <f t="shared" si="38"/>
        <v/>
      </c>
      <c r="CS29" s="40" t="str">
        <f t="shared" si="39"/>
        <v/>
      </c>
      <c r="CT29" s="40" t="str">
        <f t="shared" si="40"/>
        <v/>
      </c>
      <c r="CU29" s="40" t="str">
        <f t="shared" si="41"/>
        <v/>
      </c>
      <c r="CV29" s="40" t="str">
        <f t="shared" si="42"/>
        <v/>
      </c>
      <c r="CW29" s="40" t="str">
        <f t="shared" si="43"/>
        <v/>
      </c>
      <c r="CX29" s="40" t="str">
        <f t="shared" si="44"/>
        <v/>
      </c>
      <c r="CY29" s="40" t="str">
        <f t="shared" si="45"/>
        <v/>
      </c>
      <c r="CZ29" s="50" t="str">
        <f t="shared" si="46"/>
        <v/>
      </c>
      <c r="DA29" s="50" t="str">
        <f t="shared" si="47"/>
        <v/>
      </c>
      <c r="DB29" s="17"/>
      <c r="DC29" s="17"/>
      <c r="DD29" s="17"/>
      <c r="DE29" s="17"/>
      <c r="DF29" s="17"/>
      <c r="DG29" s="17"/>
      <c r="DH29" s="17"/>
      <c r="DI29" s="17"/>
      <c r="DJ29" s="17"/>
      <c r="DK29" s="17"/>
      <c r="DL29" s="17"/>
      <c r="DM29" s="17"/>
      <c r="DN29" s="17"/>
      <c r="DO29" s="17"/>
      <c r="DP29" s="17"/>
      <c r="DQ29" s="17"/>
      <c r="DR29" s="17"/>
      <c r="DS29" s="17"/>
      <c r="DT29" s="17"/>
      <c r="DU29" s="17"/>
      <c r="DV29" s="40" t="str">
        <f t="shared" si="48"/>
        <v/>
      </c>
      <c r="DW29" s="40" t="str">
        <f t="shared" si="49"/>
        <v/>
      </c>
      <c r="DX29" s="40" t="str">
        <f t="shared" si="50"/>
        <v/>
      </c>
      <c r="DY29" s="40" t="str">
        <f t="shared" si="51"/>
        <v/>
      </c>
      <c r="DZ29" s="40" t="str">
        <f t="shared" si="52"/>
        <v/>
      </c>
      <c r="EA29" s="40" t="str">
        <f t="shared" si="53"/>
        <v/>
      </c>
      <c r="EB29" s="40" t="str">
        <f t="shared" si="54"/>
        <v/>
      </c>
      <c r="EC29" s="40" t="str">
        <f t="shared" si="55"/>
        <v/>
      </c>
      <c r="ED29" s="40" t="str">
        <f t="shared" si="56"/>
        <v/>
      </c>
      <c r="EE29" s="40" t="str">
        <f t="shared" si="57"/>
        <v/>
      </c>
      <c r="EF29" s="40" t="str">
        <f t="shared" si="58"/>
        <v/>
      </c>
      <c r="EG29" s="40" t="str">
        <f t="shared" si="59"/>
        <v/>
      </c>
      <c r="EH29" s="40" t="str">
        <f t="shared" si="60"/>
        <v/>
      </c>
      <c r="EI29" s="40" t="str">
        <f t="shared" si="61"/>
        <v/>
      </c>
      <c r="EJ29" s="18"/>
      <c r="EK29" s="18"/>
      <c r="EL29" s="18"/>
      <c r="EM29" s="18"/>
      <c r="EN29" s="18"/>
      <c r="EO29" s="18"/>
      <c r="EP29" s="18"/>
      <c r="EQ29" s="18"/>
      <c r="ER29" s="18"/>
      <c r="ES29" s="18"/>
      <c r="ET29" s="18"/>
      <c r="EU29" s="18"/>
      <c r="EV29" s="18"/>
      <c r="EW29" s="18"/>
      <c r="EX29" s="18"/>
      <c r="EY29" s="18"/>
      <c r="EZ29" s="18"/>
      <c r="FA29" s="18"/>
      <c r="FB29" s="18"/>
      <c r="FC29" s="18"/>
      <c r="FD29" s="11" t="str">
        <f t="shared" si="62"/>
        <v/>
      </c>
      <c r="FE29" s="11" t="str">
        <f t="shared" si="63"/>
        <v/>
      </c>
      <c r="FF29" s="11" t="str">
        <f t="shared" si="64"/>
        <v/>
      </c>
      <c r="FG29" s="11" t="str">
        <f t="shared" si="65"/>
        <v/>
      </c>
      <c r="FH29" s="11" t="str">
        <f t="shared" si="66"/>
        <v/>
      </c>
      <c r="FI29" s="11" t="str">
        <f t="shared" si="67"/>
        <v/>
      </c>
      <c r="FJ29" s="11" t="str">
        <f t="shared" si="68"/>
        <v/>
      </c>
      <c r="FK29" s="11" t="str">
        <f t="shared" si="69"/>
        <v/>
      </c>
      <c r="FL29" s="11" t="str">
        <f t="shared" si="70"/>
        <v/>
      </c>
      <c r="FM29" s="11" t="str">
        <f t="shared" si="71"/>
        <v/>
      </c>
      <c r="FN29" s="11" t="str">
        <f t="shared" si="72"/>
        <v/>
      </c>
      <c r="FO29" s="11" t="str">
        <f t="shared" si="73"/>
        <v/>
      </c>
      <c r="FP29" s="11" t="str">
        <f t="shared" si="74"/>
        <v/>
      </c>
      <c r="FQ29" s="11" t="str">
        <f t="shared" si="75"/>
        <v/>
      </c>
      <c r="FR29" s="17"/>
      <c r="FS29" s="17"/>
      <c r="FT29" s="17"/>
      <c r="FU29" s="17"/>
      <c r="FV29" s="17"/>
      <c r="FW29" s="17"/>
      <c r="FX29" s="17"/>
      <c r="FY29" s="17"/>
      <c r="FZ29" s="17"/>
      <c r="GA29" s="17"/>
      <c r="GB29" s="17"/>
      <c r="GC29" s="17"/>
      <c r="GD29" s="17"/>
      <c r="GE29" s="17"/>
      <c r="GF29" s="17"/>
      <c r="GG29" s="17"/>
      <c r="GH29" s="17"/>
      <c r="GI29" s="17"/>
      <c r="GJ29" s="17"/>
      <c r="GK29" s="17"/>
      <c r="GL29" s="40" t="str">
        <f t="shared" si="76"/>
        <v/>
      </c>
      <c r="GM29" s="40" t="str">
        <f t="shared" si="77"/>
        <v/>
      </c>
      <c r="GN29" s="40" t="str">
        <f t="shared" si="78"/>
        <v/>
      </c>
      <c r="GO29" s="40" t="str">
        <f t="shared" si="79"/>
        <v/>
      </c>
      <c r="GP29" s="40" t="str">
        <f t="shared" si="80"/>
        <v/>
      </c>
      <c r="GQ29" s="40" t="str">
        <f t="shared" si="81"/>
        <v/>
      </c>
      <c r="GR29" s="40" t="str">
        <f t="shared" si="82"/>
        <v/>
      </c>
      <c r="GS29" s="40" t="str">
        <f t="shared" si="83"/>
        <v/>
      </c>
      <c r="GT29" s="40" t="str">
        <f t="shared" si="84"/>
        <v/>
      </c>
      <c r="GU29" s="40" t="str">
        <f t="shared" si="85"/>
        <v/>
      </c>
      <c r="GV29" s="40" t="str">
        <f t="shared" si="86"/>
        <v/>
      </c>
      <c r="GW29" s="40" t="str">
        <f t="shared" si="87"/>
        <v/>
      </c>
      <c r="GX29" s="40" t="str">
        <f t="shared" si="88"/>
        <v/>
      </c>
      <c r="GY29" s="40" t="str">
        <f t="shared" si="89"/>
        <v/>
      </c>
      <c r="GZ29" s="18"/>
      <c r="HA29" s="18"/>
      <c r="HB29" s="18"/>
      <c r="HC29" s="18"/>
      <c r="HD29" s="18"/>
      <c r="HE29" s="18"/>
      <c r="HF29" s="18"/>
      <c r="HG29" s="18"/>
      <c r="HH29" s="18"/>
      <c r="HI29" s="18"/>
      <c r="HJ29" s="18"/>
      <c r="HK29" s="18"/>
      <c r="HL29" s="18"/>
      <c r="HM29" s="18"/>
      <c r="HN29" s="18"/>
      <c r="HO29" s="18"/>
      <c r="HP29" s="18"/>
      <c r="HQ29" s="18"/>
      <c r="HR29" s="18"/>
      <c r="HS29" s="18"/>
      <c r="HT29" s="11" t="str">
        <f t="shared" si="90"/>
        <v/>
      </c>
      <c r="HU29" s="11" t="str">
        <f t="shared" si="91"/>
        <v/>
      </c>
      <c r="HV29" s="11" t="str">
        <f t="shared" si="92"/>
        <v/>
      </c>
      <c r="HW29" s="11" t="str">
        <f t="shared" si="93"/>
        <v/>
      </c>
      <c r="HX29" s="11" t="str">
        <f t="shared" si="94"/>
        <v/>
      </c>
      <c r="HY29" s="11" t="str">
        <f t="shared" si="95"/>
        <v/>
      </c>
      <c r="HZ29" s="11" t="str">
        <f t="shared" si="96"/>
        <v/>
      </c>
      <c r="IA29" s="11" t="str">
        <f t="shared" si="97"/>
        <v/>
      </c>
      <c r="IB29" s="11" t="str">
        <f t="shared" si="98"/>
        <v/>
      </c>
      <c r="IC29" s="11" t="str">
        <f t="shared" si="99"/>
        <v/>
      </c>
      <c r="ID29" s="11" t="str">
        <f t="shared" si="100"/>
        <v/>
      </c>
      <c r="IE29" s="11" t="str">
        <f t="shared" si="101"/>
        <v/>
      </c>
      <c r="IF29" s="11" t="str">
        <f t="shared" si="102"/>
        <v/>
      </c>
      <c r="IG29" s="11" t="str">
        <f t="shared" si="103"/>
        <v/>
      </c>
      <c r="IH29" s="17"/>
      <c r="II29" s="17"/>
      <c r="IJ29" s="17"/>
      <c r="IK29" s="17"/>
      <c r="IL29" s="17"/>
      <c r="IM29" s="17"/>
      <c r="IN29" s="17"/>
      <c r="IO29" s="17"/>
      <c r="IP29" s="17"/>
      <c r="IQ29" s="17"/>
      <c r="IR29" s="17"/>
      <c r="IS29" s="17"/>
      <c r="IT29" s="17"/>
      <c r="IU29" s="17"/>
      <c r="IV29" s="17"/>
      <c r="IW29" s="17"/>
      <c r="IX29" s="17"/>
      <c r="IY29" s="17"/>
      <c r="IZ29" s="17"/>
      <c r="JA29" s="17"/>
      <c r="JB29" s="40" t="str">
        <f t="shared" si="104"/>
        <v/>
      </c>
      <c r="JC29" s="40" t="str">
        <f t="shared" si="105"/>
        <v/>
      </c>
      <c r="JD29" s="40" t="str">
        <f t="shared" si="106"/>
        <v/>
      </c>
      <c r="JE29" s="40" t="str">
        <f t="shared" si="107"/>
        <v/>
      </c>
      <c r="JF29" s="40" t="str">
        <f t="shared" si="108"/>
        <v/>
      </c>
      <c r="JG29" s="40" t="str">
        <f t="shared" si="109"/>
        <v/>
      </c>
      <c r="JH29" s="40" t="str">
        <f t="shared" si="110"/>
        <v/>
      </c>
      <c r="JI29" s="40" t="str">
        <f t="shared" si="111"/>
        <v/>
      </c>
      <c r="JJ29" s="40" t="str">
        <f t="shared" si="112"/>
        <v/>
      </c>
      <c r="JK29" s="40" t="str">
        <f t="shared" si="113"/>
        <v/>
      </c>
      <c r="JL29" s="40" t="str">
        <f t="shared" si="114"/>
        <v/>
      </c>
      <c r="JM29" s="40" t="str">
        <f t="shared" si="115"/>
        <v/>
      </c>
      <c r="JN29" s="40" t="str">
        <f t="shared" si="116"/>
        <v/>
      </c>
      <c r="JO29" s="40" t="str">
        <f t="shared" si="117"/>
        <v/>
      </c>
      <c r="JP29" s="18"/>
      <c r="JQ29" s="18"/>
      <c r="JR29" s="18"/>
      <c r="JS29" s="18"/>
      <c r="JT29" s="18"/>
      <c r="JU29" s="18"/>
      <c r="JV29" s="18"/>
      <c r="JW29" s="18"/>
      <c r="JX29" s="18"/>
      <c r="JY29" s="18"/>
      <c r="JZ29" s="18"/>
      <c r="KA29" s="18"/>
      <c r="KB29" s="18"/>
      <c r="KC29" s="18"/>
      <c r="KD29" s="18"/>
      <c r="KE29" s="18"/>
      <c r="KF29" s="18"/>
      <c r="KG29" s="18"/>
      <c r="KH29" s="18"/>
      <c r="KI29" s="18"/>
      <c r="KJ29" s="11" t="str">
        <f t="shared" si="118"/>
        <v/>
      </c>
      <c r="KK29" s="11" t="str">
        <f t="shared" si="119"/>
        <v/>
      </c>
      <c r="KL29" s="11" t="str">
        <f t="shared" si="120"/>
        <v/>
      </c>
      <c r="KM29" s="11" t="str">
        <f t="shared" si="121"/>
        <v/>
      </c>
      <c r="KN29" s="11" t="str">
        <f t="shared" si="122"/>
        <v/>
      </c>
      <c r="KO29" s="11" t="str">
        <f t="shared" si="123"/>
        <v/>
      </c>
      <c r="KP29" s="11" t="str">
        <f t="shared" si="124"/>
        <v/>
      </c>
      <c r="KQ29" s="11" t="str">
        <f t="shared" si="125"/>
        <v/>
      </c>
      <c r="KR29" s="11" t="str">
        <f t="shared" si="126"/>
        <v/>
      </c>
      <c r="KS29" s="11" t="str">
        <f t="shared" si="127"/>
        <v/>
      </c>
      <c r="KT29" s="11" t="str">
        <f t="shared" si="128"/>
        <v/>
      </c>
      <c r="KU29" s="11" t="str">
        <f t="shared" si="129"/>
        <v/>
      </c>
      <c r="KV29" s="11" t="str">
        <f t="shared" si="130"/>
        <v/>
      </c>
      <c r="KW29" s="11" t="str">
        <f t="shared" si="131"/>
        <v/>
      </c>
      <c r="KX29" s="17"/>
      <c r="KY29" s="17"/>
      <c r="KZ29" s="17"/>
      <c r="LA29" s="17"/>
      <c r="LB29" s="17"/>
      <c r="LC29" s="17"/>
      <c r="LD29" s="17"/>
      <c r="LE29" s="17"/>
      <c r="LF29" s="17"/>
      <c r="LG29" s="17"/>
      <c r="LH29" s="17"/>
      <c r="LI29" s="17"/>
      <c r="LJ29" s="17"/>
      <c r="LK29" s="17"/>
      <c r="LL29" s="17"/>
      <c r="LM29" s="17"/>
      <c r="LN29" s="17"/>
      <c r="LO29" s="17"/>
      <c r="LP29" s="17"/>
      <c r="LQ29" s="17"/>
      <c r="LR29" s="40" t="str">
        <f t="shared" si="132"/>
        <v/>
      </c>
      <c r="LS29" s="40" t="str">
        <f t="shared" si="133"/>
        <v/>
      </c>
      <c r="LT29" s="40" t="str">
        <f t="shared" si="134"/>
        <v/>
      </c>
      <c r="LU29" s="40" t="str">
        <f t="shared" si="135"/>
        <v/>
      </c>
      <c r="LV29" s="40" t="str">
        <f t="shared" si="136"/>
        <v/>
      </c>
      <c r="LW29" s="40" t="str">
        <f t="shared" si="137"/>
        <v/>
      </c>
      <c r="LX29" s="40" t="str">
        <f t="shared" si="138"/>
        <v/>
      </c>
      <c r="LY29" s="40" t="str">
        <f t="shared" si="139"/>
        <v/>
      </c>
      <c r="LZ29" s="40" t="str">
        <f t="shared" si="140"/>
        <v/>
      </c>
      <c r="MA29" s="40" t="str">
        <f t="shared" si="141"/>
        <v/>
      </c>
      <c r="MB29" s="40" t="str">
        <f t="shared" si="142"/>
        <v/>
      </c>
      <c r="MC29" s="40" t="str">
        <f t="shared" si="143"/>
        <v/>
      </c>
      <c r="MD29" s="40" t="str">
        <f t="shared" si="144"/>
        <v/>
      </c>
      <c r="ME29" s="40" t="str">
        <f t="shared" si="145"/>
        <v/>
      </c>
      <c r="MF29" s="18"/>
      <c r="MG29" s="18"/>
      <c r="MH29" s="18"/>
      <c r="MI29" s="18"/>
      <c r="MJ29" s="18"/>
      <c r="MK29" s="18"/>
      <c r="ML29" s="18"/>
      <c r="MM29" s="18"/>
      <c r="MN29" s="18"/>
      <c r="MO29" s="18"/>
      <c r="MP29" s="18"/>
      <c r="MQ29" s="18"/>
      <c r="MR29" s="18"/>
      <c r="MS29" s="18"/>
      <c r="MT29" s="18"/>
      <c r="MU29" s="18"/>
      <c r="MV29" s="18"/>
      <c r="MW29" s="18"/>
      <c r="MX29" s="18"/>
      <c r="MY29" s="18"/>
      <c r="MZ29" s="11" t="str">
        <f t="shared" si="146"/>
        <v/>
      </c>
      <c r="NA29" s="11" t="str">
        <f t="shared" si="147"/>
        <v/>
      </c>
      <c r="NB29" s="11" t="str">
        <f t="shared" si="148"/>
        <v/>
      </c>
      <c r="NC29" s="11" t="str">
        <f t="shared" si="149"/>
        <v/>
      </c>
      <c r="ND29" s="11" t="str">
        <f t="shared" si="150"/>
        <v/>
      </c>
      <c r="NE29" s="11" t="str">
        <f t="shared" si="151"/>
        <v/>
      </c>
      <c r="NF29" s="11" t="str">
        <f t="shared" si="152"/>
        <v/>
      </c>
      <c r="NG29" s="11" t="str">
        <f t="shared" si="153"/>
        <v/>
      </c>
      <c r="NH29" s="11" t="str">
        <f t="shared" si="154"/>
        <v/>
      </c>
      <c r="NI29" s="11" t="str">
        <f t="shared" si="155"/>
        <v/>
      </c>
      <c r="NJ29" s="11" t="str">
        <f t="shared" si="156"/>
        <v/>
      </c>
      <c r="NK29" s="11" t="str">
        <f t="shared" si="157"/>
        <v/>
      </c>
      <c r="NL29" s="11" t="str">
        <f t="shared" si="158"/>
        <v/>
      </c>
      <c r="NM29" s="11" t="str">
        <f t="shared" si="159"/>
        <v/>
      </c>
      <c r="NN29" s="17"/>
      <c r="NO29" s="17"/>
      <c r="NP29" s="17"/>
      <c r="NQ29" s="17"/>
      <c r="NR29" s="17"/>
      <c r="NS29" s="17"/>
      <c r="NT29" s="17"/>
      <c r="NU29" s="17"/>
      <c r="NV29" s="17"/>
      <c r="NW29" s="17"/>
      <c r="NX29" s="17"/>
      <c r="NY29" s="17"/>
      <c r="NZ29" s="17"/>
      <c r="OA29" s="17"/>
      <c r="OB29" s="17"/>
      <c r="OC29" s="17"/>
      <c r="OD29" s="17"/>
      <c r="OE29" s="17"/>
      <c r="OF29" s="17"/>
      <c r="OG29" s="17"/>
      <c r="OH29" s="40" t="str">
        <f t="shared" si="160"/>
        <v/>
      </c>
      <c r="OI29" s="40" t="str">
        <f t="shared" si="161"/>
        <v/>
      </c>
      <c r="OJ29" s="40" t="str">
        <f t="shared" si="162"/>
        <v/>
      </c>
      <c r="OK29" s="40" t="str">
        <f t="shared" si="163"/>
        <v/>
      </c>
      <c r="OL29" s="40" t="str">
        <f t="shared" si="164"/>
        <v/>
      </c>
      <c r="OM29" s="40" t="str">
        <f t="shared" si="165"/>
        <v/>
      </c>
      <c r="ON29" s="40" t="str">
        <f t="shared" si="166"/>
        <v/>
      </c>
      <c r="OO29" s="40" t="str">
        <f t="shared" si="167"/>
        <v/>
      </c>
      <c r="OP29" s="40" t="str">
        <f t="shared" si="168"/>
        <v/>
      </c>
      <c r="OQ29" s="40" t="str">
        <f t="shared" si="169"/>
        <v/>
      </c>
      <c r="OR29" s="40" t="str">
        <f t="shared" si="170"/>
        <v/>
      </c>
      <c r="OS29" s="40" t="str">
        <f t="shared" si="171"/>
        <v/>
      </c>
      <c r="OT29" s="40" t="str">
        <f t="shared" si="172"/>
        <v/>
      </c>
      <c r="OU29" s="40" t="str">
        <f t="shared" si="173"/>
        <v/>
      </c>
      <c r="OV29" s="18"/>
      <c r="OW29" s="18"/>
      <c r="OX29" s="18"/>
      <c r="OY29" s="18"/>
      <c r="OZ29" s="18"/>
      <c r="PA29" s="18"/>
      <c r="PB29" s="18"/>
      <c r="PC29" s="18"/>
      <c r="PD29" s="18"/>
      <c r="PE29" s="18"/>
      <c r="PF29" s="18"/>
      <c r="PG29" s="18"/>
      <c r="PH29" s="18"/>
      <c r="PI29" s="18"/>
      <c r="PJ29" s="18"/>
      <c r="PK29" s="18"/>
      <c r="PL29" s="18"/>
      <c r="PM29" s="18"/>
      <c r="PN29" s="18"/>
      <c r="PO29" s="18"/>
      <c r="PP29" s="11" t="str">
        <f t="shared" si="174"/>
        <v/>
      </c>
      <c r="PQ29" s="11" t="str">
        <f t="shared" si="175"/>
        <v/>
      </c>
      <c r="PR29" s="11" t="str">
        <f t="shared" si="176"/>
        <v/>
      </c>
      <c r="PS29" s="11" t="str">
        <f t="shared" si="177"/>
        <v/>
      </c>
      <c r="PT29" s="11" t="str">
        <f t="shared" si="178"/>
        <v/>
      </c>
      <c r="PU29" s="11" t="str">
        <f t="shared" si="179"/>
        <v/>
      </c>
      <c r="PV29" s="11" t="str">
        <f t="shared" si="180"/>
        <v/>
      </c>
      <c r="PW29" s="11" t="str">
        <f t="shared" si="181"/>
        <v/>
      </c>
      <c r="PX29" s="11" t="str">
        <f t="shared" si="182"/>
        <v/>
      </c>
      <c r="PY29" s="11" t="str">
        <f t="shared" si="183"/>
        <v/>
      </c>
      <c r="PZ29" s="11" t="str">
        <f t="shared" si="184"/>
        <v/>
      </c>
      <c r="QA29" s="11" t="str">
        <f t="shared" si="185"/>
        <v/>
      </c>
      <c r="QB29" s="11" t="str">
        <f t="shared" si="186"/>
        <v/>
      </c>
      <c r="QC29" s="11" t="str">
        <f t="shared" si="187"/>
        <v/>
      </c>
      <c r="QD29" s="17"/>
      <c r="QE29" s="17"/>
      <c r="QF29" s="17"/>
      <c r="QG29" s="17"/>
      <c r="QH29" s="17"/>
      <c r="QI29" s="17"/>
      <c r="QJ29" s="17"/>
      <c r="QK29" s="17"/>
      <c r="QL29" s="17"/>
      <c r="QM29" s="17"/>
      <c r="QN29" s="17"/>
      <c r="QO29" s="17"/>
      <c r="QP29" s="17"/>
      <c r="QQ29" s="17"/>
      <c r="QR29" s="17"/>
      <c r="QS29" s="17"/>
      <c r="QT29" s="17"/>
      <c r="QU29" s="17"/>
      <c r="QV29" s="17"/>
      <c r="QW29" s="17"/>
      <c r="QX29" s="40" t="str">
        <f t="shared" si="188"/>
        <v/>
      </c>
      <c r="QY29" s="40" t="str">
        <f t="shared" si="189"/>
        <v/>
      </c>
      <c r="QZ29" s="40" t="str">
        <f t="shared" si="190"/>
        <v/>
      </c>
      <c r="RA29" s="40" t="str">
        <f t="shared" si="191"/>
        <v/>
      </c>
      <c r="RB29" s="40" t="str">
        <f t="shared" si="192"/>
        <v/>
      </c>
      <c r="RC29" s="40" t="str">
        <f t="shared" si="193"/>
        <v/>
      </c>
      <c r="RD29" s="40" t="str">
        <f t="shared" si="194"/>
        <v/>
      </c>
      <c r="RE29" s="40" t="str">
        <f t="shared" si="195"/>
        <v/>
      </c>
      <c r="RF29" s="40" t="str">
        <f t="shared" si="196"/>
        <v/>
      </c>
      <c r="RG29" s="40" t="str">
        <f t="shared" si="197"/>
        <v/>
      </c>
      <c r="RH29" s="40" t="str">
        <f t="shared" si="198"/>
        <v/>
      </c>
      <c r="RI29" s="40" t="str">
        <f t="shared" si="199"/>
        <v/>
      </c>
      <c r="RJ29" s="40" t="str">
        <f t="shared" si="200"/>
        <v/>
      </c>
      <c r="RK29" s="40" t="str">
        <f t="shared" si="201"/>
        <v/>
      </c>
      <c r="RL29" s="18"/>
      <c r="RM29" s="18"/>
      <c r="RN29" s="18"/>
      <c r="RO29" s="18"/>
      <c r="RP29" s="18"/>
      <c r="RQ29" s="18"/>
      <c r="RR29" s="18"/>
      <c r="RS29" s="18"/>
      <c r="RT29" s="18"/>
      <c r="RU29" s="18"/>
      <c r="RV29" s="18"/>
      <c r="RW29" s="18"/>
      <c r="RX29" s="18"/>
      <c r="RY29" s="18"/>
      <c r="RZ29" s="18"/>
      <c r="SA29" s="18"/>
      <c r="SB29" s="18"/>
      <c r="SC29" s="18"/>
      <c r="SD29" s="18"/>
      <c r="SE29" s="18"/>
      <c r="SF29" s="11" t="str">
        <f t="shared" si="202"/>
        <v/>
      </c>
      <c r="SG29" s="11" t="str">
        <f t="shared" si="203"/>
        <v/>
      </c>
      <c r="SH29" s="11" t="str">
        <f t="shared" si="204"/>
        <v/>
      </c>
      <c r="SI29" s="11" t="str">
        <f t="shared" si="205"/>
        <v/>
      </c>
      <c r="SJ29" s="11" t="str">
        <f t="shared" si="206"/>
        <v/>
      </c>
      <c r="SK29" s="11" t="str">
        <f t="shared" si="207"/>
        <v/>
      </c>
      <c r="SL29" s="11" t="str">
        <f t="shared" si="208"/>
        <v/>
      </c>
      <c r="SM29" s="11" t="str">
        <f t="shared" si="209"/>
        <v/>
      </c>
      <c r="SN29" s="11" t="str">
        <f t="shared" si="210"/>
        <v/>
      </c>
      <c r="SO29" s="11" t="str">
        <f t="shared" si="211"/>
        <v/>
      </c>
      <c r="SP29" s="11" t="str">
        <f t="shared" si="212"/>
        <v/>
      </c>
      <c r="SQ29" s="11" t="str">
        <f t="shared" si="213"/>
        <v/>
      </c>
      <c r="SR29" s="11" t="str">
        <f t="shared" si="214"/>
        <v/>
      </c>
      <c r="SS29" s="11" t="str">
        <f t="shared" si="215"/>
        <v/>
      </c>
      <c r="ST29" s="22">
        <f t="shared" si="216"/>
        <v>0</v>
      </c>
      <c r="SU29" s="22">
        <f t="shared" si="217"/>
        <v>0</v>
      </c>
      <c r="SV29" s="22">
        <f t="shared" si="218"/>
        <v>0</v>
      </c>
      <c r="SW29" s="22">
        <f t="shared" si="219"/>
        <v>0</v>
      </c>
      <c r="SX29" s="22">
        <f t="shared" si="220"/>
        <v>0</v>
      </c>
      <c r="SY29" s="22">
        <f t="shared" si="221"/>
        <v>0</v>
      </c>
      <c r="SZ29" s="22">
        <f t="shared" si="222"/>
        <v>0</v>
      </c>
      <c r="TA29" s="22">
        <f t="shared" si="223"/>
        <v>0</v>
      </c>
      <c r="TB29" s="22">
        <f t="shared" si="224"/>
        <v>0</v>
      </c>
      <c r="TC29" s="22">
        <f t="shared" si="225"/>
        <v>0</v>
      </c>
      <c r="TD29" s="22">
        <f t="shared" si="226"/>
        <v>0</v>
      </c>
      <c r="TE29" s="22">
        <f t="shared" si="227"/>
        <v>0</v>
      </c>
      <c r="TF29" s="22">
        <f t="shared" si="228"/>
        <v>0</v>
      </c>
      <c r="TG29" s="22">
        <f t="shared" si="229"/>
        <v>0</v>
      </c>
      <c r="TH29" s="22">
        <f t="shared" si="230"/>
        <v>0</v>
      </c>
      <c r="TI29" s="27" t="s">
        <v>46</v>
      </c>
      <c r="TJ29" s="40" t="str">
        <f t="shared" si="231"/>
        <v/>
      </c>
      <c r="TK29" s="40" t="str">
        <f t="shared" si="232"/>
        <v/>
      </c>
      <c r="TL29" s="40" t="str">
        <f t="shared" si="233"/>
        <v/>
      </c>
      <c r="TM29" s="40" t="str">
        <f t="shared" si="234"/>
        <v/>
      </c>
      <c r="TN29" s="40" t="str">
        <f t="shared" si="235"/>
        <v/>
      </c>
      <c r="TO29" s="40" t="str">
        <f t="shared" si="236"/>
        <v/>
      </c>
      <c r="TP29" s="40" t="str">
        <f t="shared" si="237"/>
        <v/>
      </c>
      <c r="TQ29" s="40" t="str">
        <f t="shared" si="238"/>
        <v/>
      </c>
      <c r="TR29" s="40" t="str">
        <f t="shared" si="239"/>
        <v/>
      </c>
      <c r="TS29" s="40" t="str">
        <f t="shared" si="240"/>
        <v/>
      </c>
      <c r="TT29" s="40" t="str">
        <f t="shared" si="241"/>
        <v/>
      </c>
    </row>
    <row r="30" spans="1:540" x14ac:dyDescent="0.2">
      <c r="A30" s="4" t="str" cm="1">
        <f t="array" ref="A30">IF(AND(F30&lt;&gt;"",G30&lt;&gt;""),SUMPRODUCT((F$4:F$32&lt;&gt;"")*(G$4:G$32&lt;&gt;"")*(E$4:E$32&gt;E30))+1,IF(G30&lt;&gt;"",SUMPRODUCT((H$4:H$32="No DD")*(E$4:E$32&gt;E30))+1+SUMPRODUCT((F$4:F$32&lt;&gt;"")*(G$4:G$32&lt;&gt;"")),""))</f>
        <v/>
      </c>
      <c r="B30" s="5" t="s">
        <v>156</v>
      </c>
      <c r="C30" s="4" t="s">
        <v>5</v>
      </c>
      <c r="D30" s="4">
        <v>2003</v>
      </c>
      <c r="E30" s="9">
        <f t="shared" si="0"/>
        <v>35.160002973002449</v>
      </c>
      <c r="F30" s="3" t="str">
        <f t="shared" si="1"/>
        <v/>
      </c>
      <c r="G30" s="3" t="str">
        <f t="shared" si="2"/>
        <v/>
      </c>
      <c r="H30" s="36" t="str">
        <f t="shared" si="3"/>
        <v/>
      </c>
      <c r="I30" s="3" t="str">
        <f t="shared" si="4"/>
        <v/>
      </c>
      <c r="J30" s="8">
        <f>IF(COUNT(AO30,AR30,BP30,BS30,CQ30,CT30)&gt;0,LARGE((AO30,AR30,BP30,BS30,CQ30,CT30),1),0)</f>
        <v>24.529999999999998</v>
      </c>
      <c r="K30" s="8" t="str">
        <f t="shared" si="5"/>
        <v>2022 Nationals</v>
      </c>
      <c r="L30" s="8">
        <f>IF(COUNT(AO30,AR30,BP30,BS30,CQ30,CT30)&gt;1,LARGE((AO30,AR30,BP30,BS30,CQ30,CT30),2),0)</f>
        <v>0</v>
      </c>
      <c r="M30" s="8" t="str">
        <f t="shared" si="6"/>
        <v/>
      </c>
      <c r="N30" s="8">
        <f>IF(COUNT(AO30,AR30,BP30,BS30,CQ30,CT30)&gt;2,LARGE((AO30,AR30,BP30,BS30,CQ30,CT30),3),0)</f>
        <v>0</v>
      </c>
      <c r="O30" s="8" t="str">
        <f t="shared" si="242"/>
        <v/>
      </c>
      <c r="P30" s="8">
        <f t="shared" si="7"/>
        <v>5.2</v>
      </c>
      <c r="Q30" s="8" t="str">
        <f t="shared" si="8"/>
        <v>2022 Nationals</v>
      </c>
      <c r="R30" s="8">
        <f t="shared" si="9"/>
        <v>0</v>
      </c>
      <c r="S30" s="8" t="str">
        <f t="shared" si="10"/>
        <v/>
      </c>
      <c r="T30" s="8">
        <f t="shared" si="11"/>
        <v>5.43</v>
      </c>
      <c r="U30" s="11" t="str">
        <f t="shared" si="12"/>
        <v>(Optional)</v>
      </c>
      <c r="V30" s="8" t="str">
        <f>IF(T30="","",IF(T30=CZ30,IF(T30+IF(N30="",0,N30)=SL30,$RL$1,IF(T30+IF(N30="",0,N30)=RD30,$QD$1,IF(T30+IF(N30="",0,N30)=PV30,$OV$1,IF(T30+IF(N30="",0,N30)=ON30,$NN$1,IF(T30+IF(N30="",0,N30)=NF30,$MF$1,IF(T30+IF(N30="",0,N30)=LX30,$KX$1,IF(T30+IF(N30="",0,N30)=KP30,$JP$1,IF(T30+IF(N30="",0,N30)=JH30,$IH$1,IF(T30+IF(N30="",0,N30)=HZ30,$GZ$1,IF(T30+IF(N30="",0,N30)=GR30,$FR$1,IF(T30+IF(N30="",0,N30)=FJ30,$EJ$1,IF(T30+IF(N30="",0,N30)=EB30,$DB$1)))))))))))),IF(T30=DA30,IF(T30+IF(#REF!="",0,#REF!)=SR30,$RL$1,IF(T30+IF(#REF!="",0,#REF!)=RJ30,$QD$1,IF(T30+IF(#REF!="",0,#REF!)=QB30,$OV$1,IF(T30+IF(#REF!="",0,#REF!)=OT30,$NN$1,IF(T30+IF(#REF!="",0,#REF!)=NL30,$MF$1,IF(T30+IF(#REF!="",0,#REF!)=MD30,$KX$1,IF(T30+IF(#REF!="",0,#REF!)=KV30,$JP$1,IF(T30+IF(#REF!="",0,#REF!)=JN30,$IH$1,IF(T30+IF(#REF!="",0,#REF!)=IF30,$GZ$1,IF(T30+IF(#REF!="",0,#REF!)=GX30,$FR$1,IF(T30+IF(#REF!="",0,#REF!)=FP30,$EJ$1,IF(T30+IF(#REF!="",0,#REF!)=EH30,$DB$1,IF(T30+IF(#REF!="",0,#REF!)=SO30,$RL$1,IF(T30+IF(#REF!="",0,#REF!)=RG30,$QD$1,IF(T30+IF(#REF!="",0,#REF!)=PY30,$OV$1,IF(T30+IF(#REF!="",0,#REF!)=OQ30,$NN$1,IF(T30+IF(#REF!="",0,#REF!)=NI30,$MF$1,IF(T30+IF(#REF!="",0,#REF!)=MA30,$KX$1,IF(T30+IF(#REF!="",0,#REF!)=KS30,$JP$1,IF(T30+IF(#REF!="",0,#REF!)=JK30,$IH$1,IF(T30+IF(#REF!="",0,#REF!)=IC30,$GZ$1,IF(T30+IF(#REF!="",0,#REF!)=GU30,$FR$1,IF(T30+IF(#REF!="",0,#REF!)=FM30,$EJ$1,IF(T30+IF(#REF!="",0,#REF!)=EE30,$DB$1)))))))))))))))))))))))))))</f>
        <v>2022 Coimbra Gym Fest (June 26)</v>
      </c>
      <c r="W30" s="22">
        <v>7.8</v>
      </c>
      <c r="X30" s="22">
        <v>4.4000000000000004</v>
      </c>
      <c r="Y30" s="22">
        <v>5.2</v>
      </c>
      <c r="Z30" s="22">
        <v>7.13</v>
      </c>
      <c r="AA30" s="22">
        <v>0</v>
      </c>
      <c r="AB30" s="22"/>
      <c r="AC30" s="22"/>
      <c r="AD30" s="22"/>
      <c r="AE30" s="22"/>
      <c r="AF30" s="22"/>
      <c r="AG30" s="22"/>
      <c r="AH30" s="22"/>
      <c r="AI30" s="22"/>
      <c r="AJ30" s="22"/>
      <c r="AK30" s="22"/>
      <c r="AL30" s="27"/>
      <c r="AM30" s="38">
        <f t="shared" si="13"/>
        <v>5.2</v>
      </c>
      <c r="AN30" s="38">
        <f t="shared" si="14"/>
        <v>7.13</v>
      </c>
      <c r="AO30" s="40">
        <f t="shared" si="15"/>
        <v>24.529999999999998</v>
      </c>
      <c r="AP30" s="40" t="str">
        <f t="shared" si="16"/>
        <v/>
      </c>
      <c r="AQ30" s="40" t="str">
        <f t="shared" si="17"/>
        <v/>
      </c>
      <c r="AR30" s="40" t="str">
        <f t="shared" si="18"/>
        <v/>
      </c>
      <c r="AS30" s="40">
        <f t="shared" si="19"/>
        <v>24.529999999999998</v>
      </c>
      <c r="AT30" s="40" t="str">
        <f t="shared" si="20"/>
        <v/>
      </c>
      <c r="AU30" s="40" t="str">
        <f t="shared" si="21"/>
        <v/>
      </c>
      <c r="AV30" s="40" t="str">
        <f t="shared" si="22"/>
        <v/>
      </c>
      <c r="AW30" s="40">
        <f t="shared" si="23"/>
        <v>24.529999999999998</v>
      </c>
      <c r="AX30" s="26"/>
      <c r="AY30" s="26"/>
      <c r="AZ30" s="26"/>
      <c r="BA30" s="26"/>
      <c r="BB30" s="26"/>
      <c r="BC30" s="26"/>
      <c r="BD30" s="26"/>
      <c r="BE30" s="26"/>
      <c r="BF30" s="26"/>
      <c r="BG30" s="26"/>
      <c r="BH30" s="26"/>
      <c r="BI30" s="26"/>
      <c r="BJ30" s="26"/>
      <c r="BK30" s="26"/>
      <c r="BL30" s="26"/>
      <c r="BM30" s="28"/>
      <c r="BN30" s="39" t="str">
        <f t="shared" si="24"/>
        <v/>
      </c>
      <c r="BO30" s="39" t="str">
        <f t="shared" si="25"/>
        <v/>
      </c>
      <c r="BP30" s="11" t="str">
        <f t="shared" si="26"/>
        <v/>
      </c>
      <c r="BQ30" s="11" t="str">
        <f t="shared" si="27"/>
        <v/>
      </c>
      <c r="BR30" s="11" t="str">
        <f t="shared" si="28"/>
        <v/>
      </c>
      <c r="BS30" s="11" t="str">
        <f t="shared" si="29"/>
        <v/>
      </c>
      <c r="BT30" s="11" t="str">
        <f t="shared" si="30"/>
        <v/>
      </c>
      <c r="BU30" s="11" t="str">
        <f t="shared" si="31"/>
        <v/>
      </c>
      <c r="BV30" s="11" t="str">
        <f t="shared" si="32"/>
        <v/>
      </c>
      <c r="BW30" s="11" t="str">
        <f t="shared" si="33"/>
        <v/>
      </c>
      <c r="BX30" s="11" t="str">
        <f t="shared" si="34"/>
        <v/>
      </c>
      <c r="BY30" s="22"/>
      <c r="BZ30" s="22"/>
      <c r="CA30" s="22"/>
      <c r="CB30" s="22"/>
      <c r="CC30" s="22"/>
      <c r="CD30" s="22"/>
      <c r="CE30" s="22"/>
      <c r="CF30" s="22"/>
      <c r="CG30" s="22"/>
      <c r="CH30" s="22"/>
      <c r="CI30" s="22"/>
      <c r="CJ30" s="22"/>
      <c r="CK30" s="22"/>
      <c r="CL30" s="22"/>
      <c r="CM30" s="22"/>
      <c r="CN30" s="27"/>
      <c r="CO30" s="38" t="str">
        <f t="shared" si="35"/>
        <v/>
      </c>
      <c r="CP30" s="38" t="str">
        <f t="shared" si="36"/>
        <v/>
      </c>
      <c r="CQ30" s="40" t="str">
        <f t="shared" si="37"/>
        <v/>
      </c>
      <c r="CR30" s="40" t="str">
        <f t="shared" si="38"/>
        <v/>
      </c>
      <c r="CS30" s="40" t="str">
        <f t="shared" si="39"/>
        <v/>
      </c>
      <c r="CT30" s="40" t="str">
        <f t="shared" si="40"/>
        <v/>
      </c>
      <c r="CU30" s="40" t="str">
        <f t="shared" si="41"/>
        <v/>
      </c>
      <c r="CV30" s="40" t="str">
        <f t="shared" si="42"/>
        <v/>
      </c>
      <c r="CW30" s="40" t="str">
        <f t="shared" si="43"/>
        <v/>
      </c>
      <c r="CX30" s="40" t="str">
        <f t="shared" si="44"/>
        <v/>
      </c>
      <c r="CY30" s="40" t="str">
        <f t="shared" si="45"/>
        <v/>
      </c>
      <c r="CZ30" s="50">
        <f t="shared" si="46"/>
        <v>5.43</v>
      </c>
      <c r="DA30" s="50" t="str">
        <f t="shared" si="47"/>
        <v/>
      </c>
      <c r="DB30" s="17">
        <v>1.4</v>
      </c>
      <c r="DC30" s="17">
        <v>1</v>
      </c>
      <c r="DD30" s="17">
        <v>1.5</v>
      </c>
      <c r="DE30" s="17">
        <v>1.53</v>
      </c>
      <c r="DF30" s="17">
        <v>0</v>
      </c>
      <c r="DG30" s="17">
        <v>1.4</v>
      </c>
      <c r="DH30" s="17">
        <v>0.8</v>
      </c>
      <c r="DI30" s="17">
        <v>1.5</v>
      </c>
      <c r="DJ30" s="17">
        <v>1.52</v>
      </c>
      <c r="DK30" s="17">
        <v>0</v>
      </c>
      <c r="DL30" s="17"/>
      <c r="DM30" s="17"/>
      <c r="DN30" s="17"/>
      <c r="DO30" s="17"/>
      <c r="DP30" s="17"/>
      <c r="DQ30" s="17"/>
      <c r="DR30" s="17"/>
      <c r="DS30" s="17"/>
      <c r="DT30" s="17"/>
      <c r="DU30" s="17"/>
      <c r="DV30" s="40">
        <f t="shared" si="48"/>
        <v>1.5</v>
      </c>
      <c r="DW30" s="40">
        <f t="shared" si="49"/>
        <v>1.53</v>
      </c>
      <c r="DX30" s="40">
        <f t="shared" si="50"/>
        <v>5.43</v>
      </c>
      <c r="DY30" s="40">
        <f t="shared" si="51"/>
        <v>1.5</v>
      </c>
      <c r="DZ30" s="40">
        <f t="shared" si="52"/>
        <v>1.52</v>
      </c>
      <c r="EA30" s="40">
        <f t="shared" si="53"/>
        <v>5.2200000000000006</v>
      </c>
      <c r="EB30" s="40">
        <f t="shared" si="54"/>
        <v>5.43</v>
      </c>
      <c r="EC30" s="40" t="str">
        <f t="shared" si="55"/>
        <v/>
      </c>
      <c r="ED30" s="40" t="str">
        <f t="shared" si="56"/>
        <v/>
      </c>
      <c r="EE30" s="40" t="str">
        <f t="shared" si="57"/>
        <v/>
      </c>
      <c r="EF30" s="40" t="str">
        <f t="shared" si="58"/>
        <v/>
      </c>
      <c r="EG30" s="40" t="str">
        <f t="shared" si="59"/>
        <v/>
      </c>
      <c r="EH30" s="40" t="str">
        <f t="shared" si="60"/>
        <v/>
      </c>
      <c r="EI30" s="40">
        <f t="shared" si="61"/>
        <v>5.43</v>
      </c>
      <c r="EJ30" s="18"/>
      <c r="EK30" s="18"/>
      <c r="EL30" s="18"/>
      <c r="EM30" s="18"/>
      <c r="EN30" s="18"/>
      <c r="EO30" s="18"/>
      <c r="EP30" s="18"/>
      <c r="EQ30" s="18"/>
      <c r="ER30" s="18"/>
      <c r="ES30" s="18"/>
      <c r="ET30" s="18"/>
      <c r="EU30" s="18"/>
      <c r="EV30" s="18"/>
      <c r="EW30" s="18"/>
      <c r="EX30" s="18"/>
      <c r="EY30" s="18"/>
      <c r="EZ30" s="18"/>
      <c r="FA30" s="18"/>
      <c r="FB30" s="18"/>
      <c r="FC30" s="18"/>
      <c r="FD30" s="11" t="str">
        <f t="shared" si="62"/>
        <v/>
      </c>
      <c r="FE30" s="11" t="str">
        <f t="shared" si="63"/>
        <v/>
      </c>
      <c r="FF30" s="11" t="str">
        <f t="shared" si="64"/>
        <v/>
      </c>
      <c r="FG30" s="11" t="str">
        <f t="shared" si="65"/>
        <v/>
      </c>
      <c r="FH30" s="11" t="str">
        <f t="shared" si="66"/>
        <v/>
      </c>
      <c r="FI30" s="11" t="str">
        <f t="shared" si="67"/>
        <v/>
      </c>
      <c r="FJ30" s="11" t="str">
        <f t="shared" si="68"/>
        <v/>
      </c>
      <c r="FK30" s="11" t="str">
        <f t="shared" si="69"/>
        <v/>
      </c>
      <c r="FL30" s="11" t="str">
        <f t="shared" si="70"/>
        <v/>
      </c>
      <c r="FM30" s="11" t="str">
        <f t="shared" si="71"/>
        <v/>
      </c>
      <c r="FN30" s="11" t="str">
        <f t="shared" si="72"/>
        <v/>
      </c>
      <c r="FO30" s="11" t="str">
        <f t="shared" si="73"/>
        <v/>
      </c>
      <c r="FP30" s="11" t="str">
        <f t="shared" si="74"/>
        <v/>
      </c>
      <c r="FQ30" s="11" t="str">
        <f t="shared" si="75"/>
        <v/>
      </c>
      <c r="FR30" s="17"/>
      <c r="FS30" s="17"/>
      <c r="FT30" s="17"/>
      <c r="FU30" s="17"/>
      <c r="FV30" s="17"/>
      <c r="FW30" s="17"/>
      <c r="FX30" s="17"/>
      <c r="FY30" s="17"/>
      <c r="FZ30" s="17"/>
      <c r="GA30" s="17"/>
      <c r="GB30" s="17"/>
      <c r="GC30" s="17"/>
      <c r="GD30" s="17"/>
      <c r="GE30" s="17"/>
      <c r="GF30" s="17"/>
      <c r="GG30" s="17"/>
      <c r="GH30" s="17"/>
      <c r="GI30" s="17"/>
      <c r="GJ30" s="17"/>
      <c r="GK30" s="17"/>
      <c r="GL30" s="40" t="str">
        <f t="shared" si="76"/>
        <v/>
      </c>
      <c r="GM30" s="40" t="str">
        <f t="shared" si="77"/>
        <v/>
      </c>
      <c r="GN30" s="40" t="str">
        <f t="shared" si="78"/>
        <v/>
      </c>
      <c r="GO30" s="40" t="str">
        <f t="shared" si="79"/>
        <v/>
      </c>
      <c r="GP30" s="40" t="str">
        <f t="shared" si="80"/>
        <v/>
      </c>
      <c r="GQ30" s="40" t="str">
        <f t="shared" si="81"/>
        <v/>
      </c>
      <c r="GR30" s="40" t="str">
        <f t="shared" si="82"/>
        <v/>
      </c>
      <c r="GS30" s="40" t="str">
        <f t="shared" si="83"/>
        <v/>
      </c>
      <c r="GT30" s="40" t="str">
        <f t="shared" si="84"/>
        <v/>
      </c>
      <c r="GU30" s="40" t="str">
        <f t="shared" si="85"/>
        <v/>
      </c>
      <c r="GV30" s="40" t="str">
        <f t="shared" si="86"/>
        <v/>
      </c>
      <c r="GW30" s="40" t="str">
        <f t="shared" si="87"/>
        <v/>
      </c>
      <c r="GX30" s="40" t="str">
        <f t="shared" si="88"/>
        <v/>
      </c>
      <c r="GY30" s="40" t="str">
        <f t="shared" si="89"/>
        <v/>
      </c>
      <c r="GZ30" s="18"/>
      <c r="HA30" s="18"/>
      <c r="HB30" s="18"/>
      <c r="HC30" s="18"/>
      <c r="HD30" s="18"/>
      <c r="HE30" s="18"/>
      <c r="HF30" s="18"/>
      <c r="HG30" s="18"/>
      <c r="HH30" s="18"/>
      <c r="HI30" s="18"/>
      <c r="HJ30" s="18"/>
      <c r="HK30" s="18"/>
      <c r="HL30" s="18"/>
      <c r="HM30" s="18"/>
      <c r="HN30" s="18"/>
      <c r="HO30" s="18"/>
      <c r="HP30" s="18"/>
      <c r="HQ30" s="18"/>
      <c r="HR30" s="18"/>
      <c r="HS30" s="18"/>
      <c r="HT30" s="11" t="str">
        <f t="shared" si="90"/>
        <v/>
      </c>
      <c r="HU30" s="11" t="str">
        <f t="shared" si="91"/>
        <v/>
      </c>
      <c r="HV30" s="11" t="str">
        <f t="shared" si="92"/>
        <v/>
      </c>
      <c r="HW30" s="11" t="str">
        <f t="shared" si="93"/>
        <v/>
      </c>
      <c r="HX30" s="11" t="str">
        <f t="shared" si="94"/>
        <v/>
      </c>
      <c r="HY30" s="11" t="str">
        <f t="shared" si="95"/>
        <v/>
      </c>
      <c r="HZ30" s="11" t="str">
        <f t="shared" si="96"/>
        <v/>
      </c>
      <c r="IA30" s="11" t="str">
        <f t="shared" si="97"/>
        <v/>
      </c>
      <c r="IB30" s="11" t="str">
        <f t="shared" si="98"/>
        <v/>
      </c>
      <c r="IC30" s="11" t="str">
        <f t="shared" si="99"/>
        <v/>
      </c>
      <c r="ID30" s="11" t="str">
        <f t="shared" si="100"/>
        <v/>
      </c>
      <c r="IE30" s="11" t="str">
        <f t="shared" si="101"/>
        <v/>
      </c>
      <c r="IF30" s="11" t="str">
        <f t="shared" si="102"/>
        <v/>
      </c>
      <c r="IG30" s="11" t="str">
        <f t="shared" si="103"/>
        <v/>
      </c>
      <c r="IH30" s="17"/>
      <c r="II30" s="17"/>
      <c r="IJ30" s="17"/>
      <c r="IK30" s="17"/>
      <c r="IL30" s="17"/>
      <c r="IM30" s="17"/>
      <c r="IN30" s="17"/>
      <c r="IO30" s="17"/>
      <c r="IP30" s="17"/>
      <c r="IQ30" s="17"/>
      <c r="IR30" s="17"/>
      <c r="IS30" s="17"/>
      <c r="IT30" s="17"/>
      <c r="IU30" s="17"/>
      <c r="IV30" s="17"/>
      <c r="IW30" s="17"/>
      <c r="IX30" s="17"/>
      <c r="IY30" s="17"/>
      <c r="IZ30" s="17"/>
      <c r="JA30" s="17"/>
      <c r="JB30" s="40" t="str">
        <f t="shared" si="104"/>
        <v/>
      </c>
      <c r="JC30" s="40" t="str">
        <f t="shared" si="105"/>
        <v/>
      </c>
      <c r="JD30" s="40" t="str">
        <f t="shared" si="106"/>
        <v/>
      </c>
      <c r="JE30" s="40" t="str">
        <f t="shared" si="107"/>
        <v/>
      </c>
      <c r="JF30" s="40" t="str">
        <f t="shared" si="108"/>
        <v/>
      </c>
      <c r="JG30" s="40" t="str">
        <f t="shared" si="109"/>
        <v/>
      </c>
      <c r="JH30" s="40" t="str">
        <f t="shared" si="110"/>
        <v/>
      </c>
      <c r="JI30" s="40" t="str">
        <f t="shared" si="111"/>
        <v/>
      </c>
      <c r="JJ30" s="40" t="str">
        <f t="shared" si="112"/>
        <v/>
      </c>
      <c r="JK30" s="40" t="str">
        <f t="shared" si="113"/>
        <v/>
      </c>
      <c r="JL30" s="40" t="str">
        <f t="shared" si="114"/>
        <v/>
      </c>
      <c r="JM30" s="40" t="str">
        <f t="shared" si="115"/>
        <v/>
      </c>
      <c r="JN30" s="40" t="str">
        <f t="shared" si="116"/>
        <v/>
      </c>
      <c r="JO30" s="40" t="str">
        <f t="shared" si="117"/>
        <v/>
      </c>
      <c r="JP30" s="18"/>
      <c r="JQ30" s="18"/>
      <c r="JR30" s="18"/>
      <c r="JS30" s="18"/>
      <c r="JT30" s="18"/>
      <c r="JU30" s="18"/>
      <c r="JV30" s="18"/>
      <c r="JW30" s="18"/>
      <c r="JX30" s="18"/>
      <c r="JY30" s="18"/>
      <c r="JZ30" s="18"/>
      <c r="KA30" s="18"/>
      <c r="KB30" s="18"/>
      <c r="KC30" s="18"/>
      <c r="KD30" s="18"/>
      <c r="KE30" s="18"/>
      <c r="KF30" s="18"/>
      <c r="KG30" s="18"/>
      <c r="KH30" s="18"/>
      <c r="KI30" s="18"/>
      <c r="KJ30" s="11" t="str">
        <f t="shared" si="118"/>
        <v/>
      </c>
      <c r="KK30" s="11" t="str">
        <f t="shared" si="119"/>
        <v/>
      </c>
      <c r="KL30" s="11" t="str">
        <f t="shared" si="120"/>
        <v/>
      </c>
      <c r="KM30" s="11" t="str">
        <f t="shared" si="121"/>
        <v/>
      </c>
      <c r="KN30" s="11" t="str">
        <f t="shared" si="122"/>
        <v/>
      </c>
      <c r="KO30" s="11" t="str">
        <f t="shared" si="123"/>
        <v/>
      </c>
      <c r="KP30" s="11" t="str">
        <f t="shared" si="124"/>
        <v/>
      </c>
      <c r="KQ30" s="11" t="str">
        <f t="shared" si="125"/>
        <v/>
      </c>
      <c r="KR30" s="11" t="str">
        <f t="shared" si="126"/>
        <v/>
      </c>
      <c r="KS30" s="11" t="str">
        <f t="shared" si="127"/>
        <v/>
      </c>
      <c r="KT30" s="11" t="str">
        <f t="shared" si="128"/>
        <v/>
      </c>
      <c r="KU30" s="11" t="str">
        <f t="shared" si="129"/>
        <v/>
      </c>
      <c r="KV30" s="11" t="str">
        <f t="shared" si="130"/>
        <v/>
      </c>
      <c r="KW30" s="11" t="str">
        <f t="shared" si="131"/>
        <v/>
      </c>
      <c r="KX30" s="17"/>
      <c r="KY30" s="17"/>
      <c r="KZ30" s="17"/>
      <c r="LA30" s="17"/>
      <c r="LB30" s="17"/>
      <c r="LC30" s="17"/>
      <c r="LD30" s="17"/>
      <c r="LE30" s="17"/>
      <c r="LF30" s="17"/>
      <c r="LG30" s="17"/>
      <c r="LH30" s="17"/>
      <c r="LI30" s="17"/>
      <c r="LJ30" s="17"/>
      <c r="LK30" s="17"/>
      <c r="LL30" s="17"/>
      <c r="LM30" s="17"/>
      <c r="LN30" s="17"/>
      <c r="LO30" s="17"/>
      <c r="LP30" s="17"/>
      <c r="LQ30" s="17"/>
      <c r="LR30" s="40" t="str">
        <f t="shared" si="132"/>
        <v/>
      </c>
      <c r="LS30" s="40" t="str">
        <f t="shared" si="133"/>
        <v/>
      </c>
      <c r="LT30" s="40" t="str">
        <f t="shared" si="134"/>
        <v/>
      </c>
      <c r="LU30" s="40" t="str">
        <f t="shared" si="135"/>
        <v/>
      </c>
      <c r="LV30" s="40" t="str">
        <f t="shared" si="136"/>
        <v/>
      </c>
      <c r="LW30" s="40" t="str">
        <f t="shared" si="137"/>
        <v/>
      </c>
      <c r="LX30" s="40" t="str">
        <f t="shared" si="138"/>
        <v/>
      </c>
      <c r="LY30" s="40" t="str">
        <f t="shared" si="139"/>
        <v/>
      </c>
      <c r="LZ30" s="40" t="str">
        <f t="shared" si="140"/>
        <v/>
      </c>
      <c r="MA30" s="40" t="str">
        <f t="shared" si="141"/>
        <v/>
      </c>
      <c r="MB30" s="40" t="str">
        <f t="shared" si="142"/>
        <v/>
      </c>
      <c r="MC30" s="40" t="str">
        <f t="shared" si="143"/>
        <v/>
      </c>
      <c r="MD30" s="40" t="str">
        <f t="shared" si="144"/>
        <v/>
      </c>
      <c r="ME30" s="40" t="str">
        <f t="shared" si="145"/>
        <v/>
      </c>
      <c r="MF30" s="18"/>
      <c r="MG30" s="18"/>
      <c r="MH30" s="18"/>
      <c r="MI30" s="18"/>
      <c r="MJ30" s="18"/>
      <c r="MK30" s="18"/>
      <c r="ML30" s="18"/>
      <c r="MM30" s="18"/>
      <c r="MN30" s="18"/>
      <c r="MO30" s="18"/>
      <c r="MP30" s="18"/>
      <c r="MQ30" s="18"/>
      <c r="MR30" s="18"/>
      <c r="MS30" s="18"/>
      <c r="MT30" s="18"/>
      <c r="MU30" s="18"/>
      <c r="MV30" s="18"/>
      <c r="MW30" s="18"/>
      <c r="MX30" s="18"/>
      <c r="MY30" s="18"/>
      <c r="MZ30" s="11" t="str">
        <f t="shared" si="146"/>
        <v/>
      </c>
      <c r="NA30" s="11" t="str">
        <f t="shared" si="147"/>
        <v/>
      </c>
      <c r="NB30" s="11" t="str">
        <f t="shared" si="148"/>
        <v/>
      </c>
      <c r="NC30" s="11" t="str">
        <f t="shared" si="149"/>
        <v/>
      </c>
      <c r="ND30" s="11" t="str">
        <f t="shared" si="150"/>
        <v/>
      </c>
      <c r="NE30" s="11" t="str">
        <f t="shared" si="151"/>
        <v/>
      </c>
      <c r="NF30" s="11" t="str">
        <f t="shared" si="152"/>
        <v/>
      </c>
      <c r="NG30" s="11" t="str">
        <f t="shared" si="153"/>
        <v/>
      </c>
      <c r="NH30" s="11" t="str">
        <f t="shared" si="154"/>
        <v/>
      </c>
      <c r="NI30" s="11" t="str">
        <f t="shared" si="155"/>
        <v/>
      </c>
      <c r="NJ30" s="11" t="str">
        <f t="shared" si="156"/>
        <v/>
      </c>
      <c r="NK30" s="11" t="str">
        <f t="shared" si="157"/>
        <v/>
      </c>
      <c r="NL30" s="11" t="str">
        <f t="shared" si="158"/>
        <v/>
      </c>
      <c r="NM30" s="11" t="str">
        <f t="shared" si="159"/>
        <v/>
      </c>
      <c r="NN30" s="17"/>
      <c r="NO30" s="17"/>
      <c r="NP30" s="17"/>
      <c r="NQ30" s="17"/>
      <c r="NR30" s="17"/>
      <c r="NS30" s="17"/>
      <c r="NT30" s="17"/>
      <c r="NU30" s="17"/>
      <c r="NV30" s="17"/>
      <c r="NW30" s="17"/>
      <c r="NX30" s="17"/>
      <c r="NY30" s="17"/>
      <c r="NZ30" s="17"/>
      <c r="OA30" s="17"/>
      <c r="OB30" s="17"/>
      <c r="OC30" s="17"/>
      <c r="OD30" s="17"/>
      <c r="OE30" s="17"/>
      <c r="OF30" s="17"/>
      <c r="OG30" s="17"/>
      <c r="OH30" s="40" t="str">
        <f t="shared" si="160"/>
        <v/>
      </c>
      <c r="OI30" s="40" t="str">
        <f t="shared" si="161"/>
        <v/>
      </c>
      <c r="OJ30" s="40" t="str">
        <f t="shared" si="162"/>
        <v/>
      </c>
      <c r="OK30" s="40" t="str">
        <f t="shared" si="163"/>
        <v/>
      </c>
      <c r="OL30" s="40" t="str">
        <f t="shared" si="164"/>
        <v/>
      </c>
      <c r="OM30" s="40" t="str">
        <f t="shared" si="165"/>
        <v/>
      </c>
      <c r="ON30" s="40" t="str">
        <f t="shared" si="166"/>
        <v/>
      </c>
      <c r="OO30" s="40" t="str">
        <f t="shared" si="167"/>
        <v/>
      </c>
      <c r="OP30" s="40" t="str">
        <f t="shared" si="168"/>
        <v/>
      </c>
      <c r="OQ30" s="40" t="str">
        <f t="shared" si="169"/>
        <v/>
      </c>
      <c r="OR30" s="40" t="str">
        <f t="shared" si="170"/>
        <v/>
      </c>
      <c r="OS30" s="40" t="str">
        <f t="shared" si="171"/>
        <v/>
      </c>
      <c r="OT30" s="40" t="str">
        <f t="shared" si="172"/>
        <v/>
      </c>
      <c r="OU30" s="40" t="str">
        <f t="shared" si="173"/>
        <v/>
      </c>
      <c r="OV30" s="18"/>
      <c r="OW30" s="18"/>
      <c r="OX30" s="18"/>
      <c r="OY30" s="18"/>
      <c r="OZ30" s="18"/>
      <c r="PA30" s="18"/>
      <c r="PB30" s="18"/>
      <c r="PC30" s="18"/>
      <c r="PD30" s="18"/>
      <c r="PE30" s="18"/>
      <c r="PF30" s="18"/>
      <c r="PG30" s="18"/>
      <c r="PH30" s="18"/>
      <c r="PI30" s="18"/>
      <c r="PJ30" s="18"/>
      <c r="PK30" s="18"/>
      <c r="PL30" s="18"/>
      <c r="PM30" s="18"/>
      <c r="PN30" s="18"/>
      <c r="PO30" s="18"/>
      <c r="PP30" s="11" t="str">
        <f t="shared" si="174"/>
        <v/>
      </c>
      <c r="PQ30" s="11" t="str">
        <f t="shared" si="175"/>
        <v/>
      </c>
      <c r="PR30" s="11" t="str">
        <f t="shared" si="176"/>
        <v/>
      </c>
      <c r="PS30" s="11" t="str">
        <f t="shared" si="177"/>
        <v/>
      </c>
      <c r="PT30" s="11" t="str">
        <f t="shared" si="178"/>
        <v/>
      </c>
      <c r="PU30" s="11" t="str">
        <f t="shared" si="179"/>
        <v/>
      </c>
      <c r="PV30" s="11" t="str">
        <f t="shared" si="180"/>
        <v/>
      </c>
      <c r="PW30" s="11" t="str">
        <f t="shared" si="181"/>
        <v/>
      </c>
      <c r="PX30" s="11" t="str">
        <f t="shared" si="182"/>
        <v/>
      </c>
      <c r="PY30" s="11" t="str">
        <f t="shared" si="183"/>
        <v/>
      </c>
      <c r="PZ30" s="11" t="str">
        <f t="shared" si="184"/>
        <v/>
      </c>
      <c r="QA30" s="11" t="str">
        <f t="shared" si="185"/>
        <v/>
      </c>
      <c r="QB30" s="11" t="str">
        <f t="shared" si="186"/>
        <v/>
      </c>
      <c r="QC30" s="11" t="str">
        <f t="shared" si="187"/>
        <v/>
      </c>
      <c r="QD30" s="17"/>
      <c r="QE30" s="17"/>
      <c r="QF30" s="17"/>
      <c r="QG30" s="17"/>
      <c r="QH30" s="17"/>
      <c r="QI30" s="17"/>
      <c r="QJ30" s="17"/>
      <c r="QK30" s="17"/>
      <c r="QL30" s="17"/>
      <c r="QM30" s="17"/>
      <c r="QN30" s="17"/>
      <c r="QO30" s="17"/>
      <c r="QP30" s="17"/>
      <c r="QQ30" s="17"/>
      <c r="QR30" s="17"/>
      <c r="QS30" s="17"/>
      <c r="QT30" s="17"/>
      <c r="QU30" s="17"/>
      <c r="QV30" s="17"/>
      <c r="QW30" s="17"/>
      <c r="QX30" s="40" t="str">
        <f t="shared" si="188"/>
        <v/>
      </c>
      <c r="QY30" s="40" t="str">
        <f t="shared" si="189"/>
        <v/>
      </c>
      <c r="QZ30" s="40" t="str">
        <f t="shared" si="190"/>
        <v/>
      </c>
      <c r="RA30" s="40" t="str">
        <f t="shared" si="191"/>
        <v/>
      </c>
      <c r="RB30" s="40" t="str">
        <f t="shared" si="192"/>
        <v/>
      </c>
      <c r="RC30" s="40" t="str">
        <f t="shared" si="193"/>
        <v/>
      </c>
      <c r="RD30" s="40" t="str">
        <f t="shared" si="194"/>
        <v/>
      </c>
      <c r="RE30" s="40" t="str">
        <f t="shared" si="195"/>
        <v/>
      </c>
      <c r="RF30" s="40" t="str">
        <f t="shared" si="196"/>
        <v/>
      </c>
      <c r="RG30" s="40" t="str">
        <f t="shared" si="197"/>
        <v/>
      </c>
      <c r="RH30" s="40" t="str">
        <f t="shared" si="198"/>
        <v/>
      </c>
      <c r="RI30" s="40" t="str">
        <f t="shared" si="199"/>
        <v/>
      </c>
      <c r="RJ30" s="40" t="str">
        <f t="shared" si="200"/>
        <v/>
      </c>
      <c r="RK30" s="40" t="str">
        <f t="shared" si="201"/>
        <v/>
      </c>
      <c r="RL30" s="18"/>
      <c r="RM30" s="18"/>
      <c r="RN30" s="18"/>
      <c r="RO30" s="18"/>
      <c r="RP30" s="18"/>
      <c r="RQ30" s="18"/>
      <c r="RR30" s="18"/>
      <c r="RS30" s="18"/>
      <c r="RT30" s="18"/>
      <c r="RU30" s="18"/>
      <c r="RV30" s="18"/>
      <c r="RW30" s="18"/>
      <c r="RX30" s="18"/>
      <c r="RY30" s="18"/>
      <c r="RZ30" s="18"/>
      <c r="SA30" s="18"/>
      <c r="SB30" s="18"/>
      <c r="SC30" s="18"/>
      <c r="SD30" s="18"/>
      <c r="SE30" s="18"/>
      <c r="SF30" s="11" t="str">
        <f t="shared" si="202"/>
        <v/>
      </c>
      <c r="SG30" s="11" t="str">
        <f t="shared" si="203"/>
        <v/>
      </c>
      <c r="SH30" s="11" t="str">
        <f t="shared" si="204"/>
        <v/>
      </c>
      <c r="SI30" s="11" t="str">
        <f t="shared" si="205"/>
        <v/>
      </c>
      <c r="SJ30" s="11" t="str">
        <f t="shared" si="206"/>
        <v/>
      </c>
      <c r="SK30" s="11" t="str">
        <f t="shared" si="207"/>
        <v/>
      </c>
      <c r="SL30" s="11" t="str">
        <f t="shared" si="208"/>
        <v/>
      </c>
      <c r="SM30" s="11" t="str">
        <f t="shared" si="209"/>
        <v/>
      </c>
      <c r="SN30" s="11" t="str">
        <f t="shared" si="210"/>
        <v/>
      </c>
      <c r="SO30" s="11" t="str">
        <f t="shared" si="211"/>
        <v/>
      </c>
      <c r="SP30" s="11" t="str">
        <f t="shared" si="212"/>
        <v/>
      </c>
      <c r="SQ30" s="11" t="str">
        <f t="shared" si="213"/>
        <v/>
      </c>
      <c r="SR30" s="11" t="str">
        <f t="shared" si="214"/>
        <v/>
      </c>
      <c r="SS30" s="11" t="str">
        <f t="shared" si="215"/>
        <v/>
      </c>
      <c r="ST30" s="22">
        <f t="shared" si="216"/>
        <v>0</v>
      </c>
      <c r="SU30" s="22">
        <f t="shared" si="217"/>
        <v>0</v>
      </c>
      <c r="SV30" s="22">
        <f t="shared" si="218"/>
        <v>0</v>
      </c>
      <c r="SW30" s="22">
        <f t="shared" si="219"/>
        <v>0</v>
      </c>
      <c r="SX30" s="22">
        <f t="shared" si="220"/>
        <v>0</v>
      </c>
      <c r="SY30" s="22">
        <f t="shared" si="221"/>
        <v>0</v>
      </c>
      <c r="SZ30" s="22">
        <f t="shared" si="222"/>
        <v>0</v>
      </c>
      <c r="TA30" s="22">
        <f t="shared" si="223"/>
        <v>0</v>
      </c>
      <c r="TB30" s="22">
        <f t="shared" si="224"/>
        <v>0</v>
      </c>
      <c r="TC30" s="22">
        <f t="shared" si="225"/>
        <v>0</v>
      </c>
      <c r="TD30" s="22">
        <f t="shared" si="226"/>
        <v>0</v>
      </c>
      <c r="TE30" s="22">
        <f t="shared" si="227"/>
        <v>0</v>
      </c>
      <c r="TF30" s="22">
        <f t="shared" si="228"/>
        <v>0</v>
      </c>
      <c r="TG30" s="22">
        <f t="shared" si="229"/>
        <v>0</v>
      </c>
      <c r="TH30" s="22">
        <f t="shared" si="230"/>
        <v>0</v>
      </c>
      <c r="TI30" s="27" t="s">
        <v>46</v>
      </c>
      <c r="TJ30" s="40" t="str">
        <f t="shared" si="231"/>
        <v/>
      </c>
      <c r="TK30" s="40" t="str">
        <f t="shared" si="232"/>
        <v/>
      </c>
      <c r="TL30" s="40" t="str">
        <f t="shared" si="233"/>
        <v/>
      </c>
      <c r="TM30" s="40" t="str">
        <f t="shared" si="234"/>
        <v/>
      </c>
      <c r="TN30" s="40" t="str">
        <f t="shared" si="235"/>
        <v/>
      </c>
      <c r="TO30" s="40" t="str">
        <f t="shared" si="236"/>
        <v/>
      </c>
      <c r="TP30" s="40" t="str">
        <f t="shared" si="237"/>
        <v/>
      </c>
      <c r="TQ30" s="40" t="str">
        <f t="shared" si="238"/>
        <v/>
      </c>
      <c r="TR30" s="40" t="str">
        <f t="shared" si="239"/>
        <v/>
      </c>
      <c r="TS30" s="40" t="str">
        <f t="shared" si="240"/>
        <v/>
      </c>
      <c r="TT30" s="40" t="str">
        <f t="shared" si="241"/>
        <v/>
      </c>
    </row>
    <row r="31" spans="1:540" x14ac:dyDescent="0.2">
      <c r="A31" s="4" t="str" cm="1">
        <f t="array" ref="A31">IF(AND(F31&lt;&gt;"",G31&lt;&gt;""),SUMPRODUCT((F$4:F$32&lt;&gt;"")*(G$4:G$32&lt;&gt;"")*(E$4:E$32&gt;E31))+1,IF(G31&lt;&gt;"",SUMPRODUCT((H$4:H$32="No DD")*(E$4:E$32&gt;E31))+1+SUMPRODUCT((F$4:F$32&lt;&gt;"")*(G$4:G$32&lt;&gt;"")),""))</f>
        <v/>
      </c>
      <c r="B31" s="5" t="s">
        <v>164</v>
      </c>
      <c r="C31" s="4" t="s">
        <v>5</v>
      </c>
      <c r="D31" s="4">
        <v>2004</v>
      </c>
      <c r="E31" s="9">
        <f t="shared" si="0"/>
        <v>34.220003422002833</v>
      </c>
      <c r="F31" s="3" t="str">
        <f t="shared" si="1"/>
        <v/>
      </c>
      <c r="G31" s="3" t="str">
        <f t="shared" si="2"/>
        <v/>
      </c>
      <c r="H31" s="36" t="str">
        <f t="shared" si="3"/>
        <v/>
      </c>
      <c r="I31" s="3" t="str">
        <f t="shared" si="4"/>
        <v/>
      </c>
      <c r="J31" s="8">
        <f>IF(COUNT(AO31,AR31,BP31,BS31,CQ31,CT31)&gt;0,LARGE((AO31,AR31,BP31,BS31,CQ31,CT31),1),0)</f>
        <v>28.32</v>
      </c>
      <c r="K31" s="8" t="str">
        <f t="shared" si="5"/>
        <v>2022 Nationals</v>
      </c>
      <c r="L31" s="8">
        <f>IF(COUNT(AO31,AR31,BP31,BS31,CQ31,CT31)&gt;1,LARGE((AO31,AR31,BP31,BS31,CQ31,CT31),2),0)</f>
        <v>0</v>
      </c>
      <c r="M31" s="8" t="str">
        <f t="shared" si="6"/>
        <v/>
      </c>
      <c r="N31" s="8">
        <f>IF(COUNT(AO31,AR31,BP31,BS31,CQ31,CT31)&gt;2,LARGE((AO31,AR31,BP31,BS31,CQ31,CT31),3),0)</f>
        <v>0</v>
      </c>
      <c r="O31" s="8" t="str">
        <f t="shared" si="242"/>
        <v/>
      </c>
      <c r="P31" s="8">
        <f t="shared" si="7"/>
        <v>5.9</v>
      </c>
      <c r="Q31" s="8" t="str">
        <f t="shared" si="8"/>
        <v>2022 Nationals</v>
      </c>
      <c r="R31" s="8">
        <f t="shared" si="9"/>
        <v>0</v>
      </c>
      <c r="S31" s="8" t="str">
        <f t="shared" si="10"/>
        <v/>
      </c>
      <c r="T31" s="8" t="str">
        <f t="shared" si="11"/>
        <v/>
      </c>
      <c r="U31" s="11" t="str">
        <f t="shared" si="12"/>
        <v/>
      </c>
      <c r="V31" s="8" t="str">
        <f>IF(T31="","",IF(T31=CZ31,IF(T31+IF(N31="",0,N31)=SL31,$RL$1,IF(T31+IF(N31="",0,N31)=RD31,$QD$1,IF(T31+IF(N31="",0,N31)=PV31,$OV$1,IF(T31+IF(N31="",0,N31)=ON31,$NN$1,IF(T31+IF(N31="",0,N31)=NF31,$MF$1,IF(T31+IF(N31="",0,N31)=LX31,$KX$1,IF(T31+IF(N31="",0,N31)=KP31,$JP$1,IF(T31+IF(N31="",0,N31)=JH31,$IH$1,IF(T31+IF(N31="",0,N31)=HZ31,$GZ$1,IF(T31+IF(N31="",0,N31)=GR31,$FR$1,IF(T31+IF(N31="",0,N31)=FJ31,$EJ$1,IF(T31+IF(N31="",0,N31)=EB31,$DB$1)))))))))))),IF(T31=DA31,IF(T31+IF(#REF!="",0,#REF!)=SR31,$RL$1,IF(T31+IF(#REF!="",0,#REF!)=RJ31,$QD$1,IF(T31+IF(#REF!="",0,#REF!)=QB31,$OV$1,IF(T31+IF(#REF!="",0,#REF!)=OT31,$NN$1,IF(T31+IF(#REF!="",0,#REF!)=NL31,$MF$1,IF(T31+IF(#REF!="",0,#REF!)=MD31,$KX$1,IF(T31+IF(#REF!="",0,#REF!)=KV31,$JP$1,IF(T31+IF(#REF!="",0,#REF!)=JN31,$IH$1,IF(T31+IF(#REF!="",0,#REF!)=IF31,$GZ$1,IF(T31+IF(#REF!="",0,#REF!)=GX31,$FR$1,IF(T31+IF(#REF!="",0,#REF!)=FP31,$EJ$1,IF(T31+IF(#REF!="",0,#REF!)=EH31,$DB$1,IF(T31+IF(#REF!="",0,#REF!)=SO31,$RL$1,IF(T31+IF(#REF!="",0,#REF!)=RG31,$QD$1,IF(T31+IF(#REF!="",0,#REF!)=PY31,$OV$1,IF(T31+IF(#REF!="",0,#REF!)=OQ31,$NN$1,IF(T31+IF(#REF!="",0,#REF!)=NI31,$MF$1,IF(T31+IF(#REF!="",0,#REF!)=MA31,$KX$1,IF(T31+IF(#REF!="",0,#REF!)=KS31,$JP$1,IF(T31+IF(#REF!="",0,#REF!)=JK31,$IH$1,IF(T31+IF(#REF!="",0,#REF!)=IC31,$GZ$1,IF(T31+IF(#REF!="",0,#REF!)=GU31,$FR$1,IF(T31+IF(#REF!="",0,#REF!)=FM31,$EJ$1,IF(T31+IF(#REF!="",0,#REF!)=EE31,$DB$1)))))))))))))))))))))))))))</f>
        <v/>
      </c>
      <c r="W31" s="22">
        <v>9.1</v>
      </c>
      <c r="X31" s="22">
        <v>5.5</v>
      </c>
      <c r="Y31" s="22">
        <v>5.9</v>
      </c>
      <c r="Z31" s="22">
        <v>7.82</v>
      </c>
      <c r="AA31" s="22">
        <v>0</v>
      </c>
      <c r="AB31" s="22"/>
      <c r="AC31" s="22"/>
      <c r="AD31" s="22"/>
      <c r="AE31" s="22"/>
      <c r="AF31" s="22"/>
      <c r="AG31" s="22"/>
      <c r="AH31" s="22"/>
      <c r="AI31" s="22"/>
      <c r="AJ31" s="22"/>
      <c r="AK31" s="22"/>
      <c r="AL31" s="27"/>
      <c r="AM31" s="38">
        <f t="shared" si="13"/>
        <v>5.9</v>
      </c>
      <c r="AN31" s="38">
        <f t="shared" si="14"/>
        <v>7.82</v>
      </c>
      <c r="AO31" s="40">
        <f t="shared" si="15"/>
        <v>28.32</v>
      </c>
      <c r="AP31" s="40" t="str">
        <f t="shared" si="16"/>
        <v/>
      </c>
      <c r="AQ31" s="40" t="str">
        <f t="shared" si="17"/>
        <v/>
      </c>
      <c r="AR31" s="40" t="str">
        <f t="shared" si="18"/>
        <v/>
      </c>
      <c r="AS31" s="40">
        <f t="shared" si="19"/>
        <v>28.32</v>
      </c>
      <c r="AT31" s="40" t="str">
        <f t="shared" si="20"/>
        <v/>
      </c>
      <c r="AU31" s="40" t="str">
        <f t="shared" si="21"/>
        <v/>
      </c>
      <c r="AV31" s="40" t="str">
        <f t="shared" si="22"/>
        <v/>
      </c>
      <c r="AW31" s="40">
        <f t="shared" si="23"/>
        <v>28.32</v>
      </c>
      <c r="AX31" s="26"/>
      <c r="AY31" s="26"/>
      <c r="AZ31" s="26"/>
      <c r="BA31" s="26"/>
      <c r="BB31" s="26"/>
      <c r="BC31" s="26"/>
      <c r="BD31" s="26"/>
      <c r="BE31" s="26"/>
      <c r="BF31" s="26"/>
      <c r="BG31" s="26"/>
      <c r="BH31" s="26"/>
      <c r="BI31" s="26"/>
      <c r="BJ31" s="26"/>
      <c r="BK31" s="26"/>
      <c r="BL31" s="26"/>
      <c r="BM31" s="28"/>
      <c r="BN31" s="39" t="str">
        <f t="shared" si="24"/>
        <v/>
      </c>
      <c r="BO31" s="39" t="str">
        <f t="shared" si="25"/>
        <v/>
      </c>
      <c r="BP31" s="11" t="str">
        <f t="shared" si="26"/>
        <v/>
      </c>
      <c r="BQ31" s="11" t="str">
        <f t="shared" si="27"/>
        <v/>
      </c>
      <c r="BR31" s="11" t="str">
        <f t="shared" si="28"/>
        <v/>
      </c>
      <c r="BS31" s="11" t="str">
        <f t="shared" si="29"/>
        <v/>
      </c>
      <c r="BT31" s="11" t="str">
        <f t="shared" si="30"/>
        <v/>
      </c>
      <c r="BU31" s="11" t="str">
        <f t="shared" si="31"/>
        <v/>
      </c>
      <c r="BV31" s="11" t="str">
        <f t="shared" si="32"/>
        <v/>
      </c>
      <c r="BW31" s="11" t="str">
        <f t="shared" si="33"/>
        <v/>
      </c>
      <c r="BX31" s="11" t="str">
        <f t="shared" si="34"/>
        <v/>
      </c>
      <c r="BY31" s="22"/>
      <c r="BZ31" s="22"/>
      <c r="CA31" s="22"/>
      <c r="CB31" s="22"/>
      <c r="CC31" s="22"/>
      <c r="CD31" s="22"/>
      <c r="CE31" s="22"/>
      <c r="CF31" s="22"/>
      <c r="CG31" s="22"/>
      <c r="CH31" s="22"/>
      <c r="CI31" s="22"/>
      <c r="CJ31" s="22"/>
      <c r="CK31" s="22"/>
      <c r="CL31" s="22"/>
      <c r="CM31" s="22"/>
      <c r="CN31" s="27"/>
      <c r="CO31" s="38" t="str">
        <f t="shared" si="35"/>
        <v/>
      </c>
      <c r="CP31" s="38" t="str">
        <f t="shared" si="36"/>
        <v/>
      </c>
      <c r="CQ31" s="40" t="str">
        <f t="shared" si="37"/>
        <v/>
      </c>
      <c r="CR31" s="40" t="str">
        <f t="shared" si="38"/>
        <v/>
      </c>
      <c r="CS31" s="40" t="str">
        <f t="shared" si="39"/>
        <v/>
      </c>
      <c r="CT31" s="40" t="str">
        <f t="shared" si="40"/>
        <v/>
      </c>
      <c r="CU31" s="40" t="str">
        <f t="shared" si="41"/>
        <v/>
      </c>
      <c r="CV31" s="40" t="str">
        <f t="shared" si="42"/>
        <v/>
      </c>
      <c r="CW31" s="40" t="str">
        <f t="shared" si="43"/>
        <v/>
      </c>
      <c r="CX31" s="40" t="str">
        <f t="shared" si="44"/>
        <v/>
      </c>
      <c r="CY31" s="40" t="str">
        <f t="shared" si="45"/>
        <v/>
      </c>
      <c r="CZ31" s="50" t="str">
        <f t="shared" si="46"/>
        <v/>
      </c>
      <c r="DA31" s="50" t="str">
        <f t="shared" si="47"/>
        <v/>
      </c>
      <c r="DB31" s="17"/>
      <c r="DC31" s="17"/>
      <c r="DD31" s="17"/>
      <c r="DE31" s="17"/>
      <c r="DF31" s="17"/>
      <c r="DG31" s="17"/>
      <c r="DH31" s="17"/>
      <c r="DI31" s="17"/>
      <c r="DJ31" s="17"/>
      <c r="DK31" s="17"/>
      <c r="DL31" s="17"/>
      <c r="DM31" s="17"/>
      <c r="DN31" s="17"/>
      <c r="DO31" s="17"/>
      <c r="DP31" s="17"/>
      <c r="DQ31" s="17"/>
      <c r="DR31" s="17"/>
      <c r="DS31" s="17"/>
      <c r="DT31" s="17"/>
      <c r="DU31" s="17"/>
      <c r="DV31" s="40" t="str">
        <f t="shared" si="48"/>
        <v/>
      </c>
      <c r="DW31" s="40" t="str">
        <f t="shared" si="49"/>
        <v/>
      </c>
      <c r="DX31" s="40" t="str">
        <f t="shared" si="50"/>
        <v/>
      </c>
      <c r="DY31" s="40" t="str">
        <f t="shared" si="51"/>
        <v/>
      </c>
      <c r="DZ31" s="40" t="str">
        <f t="shared" si="52"/>
        <v/>
      </c>
      <c r="EA31" s="40" t="str">
        <f t="shared" si="53"/>
        <v/>
      </c>
      <c r="EB31" s="40" t="str">
        <f t="shared" si="54"/>
        <v/>
      </c>
      <c r="EC31" s="40" t="str">
        <f t="shared" si="55"/>
        <v/>
      </c>
      <c r="ED31" s="40" t="str">
        <f t="shared" si="56"/>
        <v/>
      </c>
      <c r="EE31" s="40" t="str">
        <f t="shared" si="57"/>
        <v/>
      </c>
      <c r="EF31" s="40" t="str">
        <f t="shared" si="58"/>
        <v/>
      </c>
      <c r="EG31" s="40" t="str">
        <f t="shared" si="59"/>
        <v/>
      </c>
      <c r="EH31" s="40" t="str">
        <f t="shared" si="60"/>
        <v/>
      </c>
      <c r="EI31" s="40" t="str">
        <f t="shared" si="61"/>
        <v/>
      </c>
      <c r="EJ31" s="18"/>
      <c r="EK31" s="18"/>
      <c r="EL31" s="18"/>
      <c r="EM31" s="18"/>
      <c r="EN31" s="18"/>
      <c r="EO31" s="18"/>
      <c r="EP31" s="18"/>
      <c r="EQ31" s="18"/>
      <c r="ER31" s="18"/>
      <c r="ES31" s="18"/>
      <c r="ET31" s="18"/>
      <c r="EU31" s="18"/>
      <c r="EV31" s="18"/>
      <c r="EW31" s="18"/>
      <c r="EX31" s="18"/>
      <c r="EY31" s="18"/>
      <c r="EZ31" s="18"/>
      <c r="FA31" s="18"/>
      <c r="FB31" s="18"/>
      <c r="FC31" s="18"/>
      <c r="FD31" s="11" t="str">
        <f t="shared" si="62"/>
        <v/>
      </c>
      <c r="FE31" s="11" t="str">
        <f t="shared" si="63"/>
        <v/>
      </c>
      <c r="FF31" s="11" t="str">
        <f t="shared" si="64"/>
        <v/>
      </c>
      <c r="FG31" s="11" t="str">
        <f t="shared" si="65"/>
        <v/>
      </c>
      <c r="FH31" s="11" t="str">
        <f t="shared" si="66"/>
        <v/>
      </c>
      <c r="FI31" s="11" t="str">
        <f t="shared" si="67"/>
        <v/>
      </c>
      <c r="FJ31" s="11" t="str">
        <f t="shared" si="68"/>
        <v/>
      </c>
      <c r="FK31" s="11" t="str">
        <f t="shared" si="69"/>
        <v/>
      </c>
      <c r="FL31" s="11" t="str">
        <f t="shared" si="70"/>
        <v/>
      </c>
      <c r="FM31" s="11" t="str">
        <f t="shared" si="71"/>
        <v/>
      </c>
      <c r="FN31" s="11" t="str">
        <f t="shared" si="72"/>
        <v/>
      </c>
      <c r="FO31" s="11" t="str">
        <f t="shared" si="73"/>
        <v/>
      </c>
      <c r="FP31" s="11" t="str">
        <f t="shared" si="74"/>
        <v/>
      </c>
      <c r="FQ31" s="11" t="str">
        <f t="shared" si="75"/>
        <v/>
      </c>
      <c r="FR31" s="17"/>
      <c r="FS31" s="17"/>
      <c r="FT31" s="17"/>
      <c r="FU31" s="17"/>
      <c r="FV31" s="17"/>
      <c r="FW31" s="17"/>
      <c r="FX31" s="17"/>
      <c r="FY31" s="17"/>
      <c r="FZ31" s="17"/>
      <c r="GA31" s="17"/>
      <c r="GB31" s="17"/>
      <c r="GC31" s="17"/>
      <c r="GD31" s="17"/>
      <c r="GE31" s="17"/>
      <c r="GF31" s="17"/>
      <c r="GG31" s="17"/>
      <c r="GH31" s="17"/>
      <c r="GI31" s="17"/>
      <c r="GJ31" s="17"/>
      <c r="GK31" s="17"/>
      <c r="GL31" s="40" t="str">
        <f t="shared" si="76"/>
        <v/>
      </c>
      <c r="GM31" s="40" t="str">
        <f t="shared" si="77"/>
        <v/>
      </c>
      <c r="GN31" s="40" t="str">
        <f t="shared" si="78"/>
        <v/>
      </c>
      <c r="GO31" s="40" t="str">
        <f t="shared" si="79"/>
        <v/>
      </c>
      <c r="GP31" s="40" t="str">
        <f t="shared" si="80"/>
        <v/>
      </c>
      <c r="GQ31" s="40" t="str">
        <f t="shared" si="81"/>
        <v/>
      </c>
      <c r="GR31" s="40" t="str">
        <f t="shared" si="82"/>
        <v/>
      </c>
      <c r="GS31" s="40" t="str">
        <f t="shared" si="83"/>
        <v/>
      </c>
      <c r="GT31" s="40" t="str">
        <f t="shared" si="84"/>
        <v/>
      </c>
      <c r="GU31" s="40" t="str">
        <f t="shared" si="85"/>
        <v/>
      </c>
      <c r="GV31" s="40" t="str">
        <f t="shared" si="86"/>
        <v/>
      </c>
      <c r="GW31" s="40" t="str">
        <f t="shared" si="87"/>
        <v/>
      </c>
      <c r="GX31" s="40" t="str">
        <f t="shared" si="88"/>
        <v/>
      </c>
      <c r="GY31" s="40" t="str">
        <f t="shared" si="89"/>
        <v/>
      </c>
      <c r="GZ31" s="18"/>
      <c r="HA31" s="18"/>
      <c r="HB31" s="18"/>
      <c r="HC31" s="18"/>
      <c r="HD31" s="18"/>
      <c r="HE31" s="18"/>
      <c r="HF31" s="18"/>
      <c r="HG31" s="18"/>
      <c r="HH31" s="18"/>
      <c r="HI31" s="18"/>
      <c r="HJ31" s="18"/>
      <c r="HK31" s="18"/>
      <c r="HL31" s="18"/>
      <c r="HM31" s="18"/>
      <c r="HN31" s="18"/>
      <c r="HO31" s="18"/>
      <c r="HP31" s="18"/>
      <c r="HQ31" s="18"/>
      <c r="HR31" s="18"/>
      <c r="HS31" s="18"/>
      <c r="HT31" s="11" t="str">
        <f t="shared" si="90"/>
        <v/>
      </c>
      <c r="HU31" s="11" t="str">
        <f t="shared" si="91"/>
        <v/>
      </c>
      <c r="HV31" s="11" t="str">
        <f t="shared" si="92"/>
        <v/>
      </c>
      <c r="HW31" s="11" t="str">
        <f t="shared" si="93"/>
        <v/>
      </c>
      <c r="HX31" s="11" t="str">
        <f t="shared" si="94"/>
        <v/>
      </c>
      <c r="HY31" s="11" t="str">
        <f t="shared" si="95"/>
        <v/>
      </c>
      <c r="HZ31" s="11" t="str">
        <f t="shared" si="96"/>
        <v/>
      </c>
      <c r="IA31" s="11" t="str">
        <f t="shared" si="97"/>
        <v/>
      </c>
      <c r="IB31" s="11" t="str">
        <f t="shared" si="98"/>
        <v/>
      </c>
      <c r="IC31" s="11" t="str">
        <f t="shared" si="99"/>
        <v/>
      </c>
      <c r="ID31" s="11" t="str">
        <f t="shared" si="100"/>
        <v/>
      </c>
      <c r="IE31" s="11" t="str">
        <f t="shared" si="101"/>
        <v/>
      </c>
      <c r="IF31" s="11" t="str">
        <f t="shared" si="102"/>
        <v/>
      </c>
      <c r="IG31" s="11" t="str">
        <f t="shared" si="103"/>
        <v/>
      </c>
      <c r="IH31" s="17"/>
      <c r="II31" s="17"/>
      <c r="IJ31" s="17"/>
      <c r="IK31" s="17"/>
      <c r="IL31" s="17"/>
      <c r="IM31" s="17"/>
      <c r="IN31" s="17"/>
      <c r="IO31" s="17"/>
      <c r="IP31" s="17"/>
      <c r="IQ31" s="17"/>
      <c r="IR31" s="17"/>
      <c r="IS31" s="17"/>
      <c r="IT31" s="17"/>
      <c r="IU31" s="17"/>
      <c r="IV31" s="17"/>
      <c r="IW31" s="17"/>
      <c r="IX31" s="17"/>
      <c r="IY31" s="17"/>
      <c r="IZ31" s="17"/>
      <c r="JA31" s="17"/>
      <c r="JB31" s="40" t="str">
        <f t="shared" si="104"/>
        <v/>
      </c>
      <c r="JC31" s="40" t="str">
        <f t="shared" si="105"/>
        <v/>
      </c>
      <c r="JD31" s="40" t="str">
        <f t="shared" si="106"/>
        <v/>
      </c>
      <c r="JE31" s="40" t="str">
        <f t="shared" si="107"/>
        <v/>
      </c>
      <c r="JF31" s="40" t="str">
        <f t="shared" si="108"/>
        <v/>
      </c>
      <c r="JG31" s="40" t="str">
        <f t="shared" si="109"/>
        <v/>
      </c>
      <c r="JH31" s="40" t="str">
        <f t="shared" si="110"/>
        <v/>
      </c>
      <c r="JI31" s="40" t="str">
        <f t="shared" si="111"/>
        <v/>
      </c>
      <c r="JJ31" s="40" t="str">
        <f t="shared" si="112"/>
        <v/>
      </c>
      <c r="JK31" s="40" t="str">
        <f t="shared" si="113"/>
        <v/>
      </c>
      <c r="JL31" s="40" t="str">
        <f t="shared" si="114"/>
        <v/>
      </c>
      <c r="JM31" s="40" t="str">
        <f t="shared" si="115"/>
        <v/>
      </c>
      <c r="JN31" s="40" t="str">
        <f t="shared" si="116"/>
        <v/>
      </c>
      <c r="JO31" s="40" t="str">
        <f t="shared" si="117"/>
        <v/>
      </c>
      <c r="JP31" s="18"/>
      <c r="JQ31" s="18"/>
      <c r="JR31" s="18"/>
      <c r="JS31" s="18"/>
      <c r="JT31" s="18"/>
      <c r="JU31" s="18"/>
      <c r="JV31" s="18"/>
      <c r="JW31" s="18"/>
      <c r="JX31" s="18"/>
      <c r="JY31" s="18"/>
      <c r="JZ31" s="18"/>
      <c r="KA31" s="18"/>
      <c r="KB31" s="18"/>
      <c r="KC31" s="18"/>
      <c r="KD31" s="18"/>
      <c r="KE31" s="18"/>
      <c r="KF31" s="18"/>
      <c r="KG31" s="18"/>
      <c r="KH31" s="18"/>
      <c r="KI31" s="18"/>
      <c r="KJ31" s="11" t="str">
        <f t="shared" si="118"/>
        <v/>
      </c>
      <c r="KK31" s="11" t="str">
        <f t="shared" si="119"/>
        <v/>
      </c>
      <c r="KL31" s="11" t="str">
        <f t="shared" si="120"/>
        <v/>
      </c>
      <c r="KM31" s="11" t="str">
        <f t="shared" si="121"/>
        <v/>
      </c>
      <c r="KN31" s="11" t="str">
        <f t="shared" si="122"/>
        <v/>
      </c>
      <c r="KO31" s="11" t="str">
        <f t="shared" si="123"/>
        <v/>
      </c>
      <c r="KP31" s="11" t="str">
        <f t="shared" si="124"/>
        <v/>
      </c>
      <c r="KQ31" s="11" t="str">
        <f t="shared" si="125"/>
        <v/>
      </c>
      <c r="KR31" s="11" t="str">
        <f t="shared" si="126"/>
        <v/>
      </c>
      <c r="KS31" s="11" t="str">
        <f t="shared" si="127"/>
        <v/>
      </c>
      <c r="KT31" s="11" t="str">
        <f t="shared" si="128"/>
        <v/>
      </c>
      <c r="KU31" s="11" t="str">
        <f t="shared" si="129"/>
        <v/>
      </c>
      <c r="KV31" s="11" t="str">
        <f t="shared" si="130"/>
        <v/>
      </c>
      <c r="KW31" s="11" t="str">
        <f t="shared" si="131"/>
        <v/>
      </c>
      <c r="KX31" s="17"/>
      <c r="KY31" s="17"/>
      <c r="KZ31" s="17"/>
      <c r="LA31" s="17"/>
      <c r="LB31" s="17"/>
      <c r="LC31" s="17"/>
      <c r="LD31" s="17"/>
      <c r="LE31" s="17"/>
      <c r="LF31" s="17"/>
      <c r="LG31" s="17"/>
      <c r="LH31" s="17"/>
      <c r="LI31" s="17"/>
      <c r="LJ31" s="17"/>
      <c r="LK31" s="17"/>
      <c r="LL31" s="17"/>
      <c r="LM31" s="17"/>
      <c r="LN31" s="17"/>
      <c r="LO31" s="17"/>
      <c r="LP31" s="17"/>
      <c r="LQ31" s="17"/>
      <c r="LR31" s="40" t="str">
        <f t="shared" si="132"/>
        <v/>
      </c>
      <c r="LS31" s="40" t="str">
        <f t="shared" si="133"/>
        <v/>
      </c>
      <c r="LT31" s="40" t="str">
        <f t="shared" si="134"/>
        <v/>
      </c>
      <c r="LU31" s="40" t="str">
        <f t="shared" si="135"/>
        <v/>
      </c>
      <c r="LV31" s="40" t="str">
        <f t="shared" si="136"/>
        <v/>
      </c>
      <c r="LW31" s="40" t="str">
        <f t="shared" si="137"/>
        <v/>
      </c>
      <c r="LX31" s="40" t="str">
        <f t="shared" si="138"/>
        <v/>
      </c>
      <c r="LY31" s="40" t="str">
        <f t="shared" si="139"/>
        <v/>
      </c>
      <c r="LZ31" s="40" t="str">
        <f t="shared" si="140"/>
        <v/>
      </c>
      <c r="MA31" s="40" t="str">
        <f t="shared" si="141"/>
        <v/>
      </c>
      <c r="MB31" s="40" t="str">
        <f t="shared" si="142"/>
        <v/>
      </c>
      <c r="MC31" s="40" t="str">
        <f t="shared" si="143"/>
        <v/>
      </c>
      <c r="MD31" s="40" t="str">
        <f t="shared" si="144"/>
        <v/>
      </c>
      <c r="ME31" s="40" t="str">
        <f t="shared" si="145"/>
        <v/>
      </c>
      <c r="MF31" s="18"/>
      <c r="MG31" s="18"/>
      <c r="MH31" s="18"/>
      <c r="MI31" s="18"/>
      <c r="MJ31" s="18"/>
      <c r="MK31" s="18"/>
      <c r="ML31" s="18"/>
      <c r="MM31" s="18"/>
      <c r="MN31" s="18"/>
      <c r="MO31" s="18"/>
      <c r="MP31" s="18"/>
      <c r="MQ31" s="18"/>
      <c r="MR31" s="18"/>
      <c r="MS31" s="18"/>
      <c r="MT31" s="18"/>
      <c r="MU31" s="18"/>
      <c r="MV31" s="18"/>
      <c r="MW31" s="18"/>
      <c r="MX31" s="18"/>
      <c r="MY31" s="18"/>
      <c r="MZ31" s="11" t="str">
        <f t="shared" si="146"/>
        <v/>
      </c>
      <c r="NA31" s="11" t="str">
        <f t="shared" si="147"/>
        <v/>
      </c>
      <c r="NB31" s="11" t="str">
        <f t="shared" si="148"/>
        <v/>
      </c>
      <c r="NC31" s="11" t="str">
        <f t="shared" si="149"/>
        <v/>
      </c>
      <c r="ND31" s="11" t="str">
        <f t="shared" si="150"/>
        <v/>
      </c>
      <c r="NE31" s="11" t="str">
        <f t="shared" si="151"/>
        <v/>
      </c>
      <c r="NF31" s="11" t="str">
        <f t="shared" si="152"/>
        <v/>
      </c>
      <c r="NG31" s="11" t="str">
        <f t="shared" si="153"/>
        <v/>
      </c>
      <c r="NH31" s="11" t="str">
        <f t="shared" si="154"/>
        <v/>
      </c>
      <c r="NI31" s="11" t="str">
        <f t="shared" si="155"/>
        <v/>
      </c>
      <c r="NJ31" s="11" t="str">
        <f t="shared" si="156"/>
        <v/>
      </c>
      <c r="NK31" s="11" t="str">
        <f t="shared" si="157"/>
        <v/>
      </c>
      <c r="NL31" s="11" t="str">
        <f t="shared" si="158"/>
        <v/>
      </c>
      <c r="NM31" s="11" t="str">
        <f t="shared" si="159"/>
        <v/>
      </c>
      <c r="NN31" s="17"/>
      <c r="NO31" s="17"/>
      <c r="NP31" s="17"/>
      <c r="NQ31" s="17"/>
      <c r="NR31" s="17"/>
      <c r="NS31" s="17"/>
      <c r="NT31" s="17"/>
      <c r="NU31" s="17"/>
      <c r="NV31" s="17"/>
      <c r="NW31" s="17"/>
      <c r="NX31" s="17"/>
      <c r="NY31" s="17"/>
      <c r="NZ31" s="17"/>
      <c r="OA31" s="17"/>
      <c r="OB31" s="17"/>
      <c r="OC31" s="17"/>
      <c r="OD31" s="17"/>
      <c r="OE31" s="17"/>
      <c r="OF31" s="17"/>
      <c r="OG31" s="17"/>
      <c r="OH31" s="40" t="str">
        <f t="shared" si="160"/>
        <v/>
      </c>
      <c r="OI31" s="40" t="str">
        <f t="shared" si="161"/>
        <v/>
      </c>
      <c r="OJ31" s="40" t="str">
        <f t="shared" si="162"/>
        <v/>
      </c>
      <c r="OK31" s="40" t="str">
        <f t="shared" si="163"/>
        <v/>
      </c>
      <c r="OL31" s="40" t="str">
        <f t="shared" si="164"/>
        <v/>
      </c>
      <c r="OM31" s="40" t="str">
        <f t="shared" si="165"/>
        <v/>
      </c>
      <c r="ON31" s="40" t="str">
        <f t="shared" si="166"/>
        <v/>
      </c>
      <c r="OO31" s="40" t="str">
        <f t="shared" si="167"/>
        <v/>
      </c>
      <c r="OP31" s="40" t="str">
        <f t="shared" si="168"/>
        <v/>
      </c>
      <c r="OQ31" s="40" t="str">
        <f t="shared" si="169"/>
        <v/>
      </c>
      <c r="OR31" s="40" t="str">
        <f t="shared" si="170"/>
        <v/>
      </c>
      <c r="OS31" s="40" t="str">
        <f t="shared" si="171"/>
        <v/>
      </c>
      <c r="OT31" s="40" t="str">
        <f t="shared" si="172"/>
        <v/>
      </c>
      <c r="OU31" s="40" t="str">
        <f t="shared" si="173"/>
        <v/>
      </c>
      <c r="OV31" s="18"/>
      <c r="OW31" s="18"/>
      <c r="OX31" s="18"/>
      <c r="OY31" s="18"/>
      <c r="OZ31" s="18"/>
      <c r="PA31" s="18"/>
      <c r="PB31" s="18"/>
      <c r="PC31" s="18"/>
      <c r="PD31" s="18"/>
      <c r="PE31" s="18"/>
      <c r="PF31" s="18"/>
      <c r="PG31" s="18"/>
      <c r="PH31" s="18"/>
      <c r="PI31" s="18"/>
      <c r="PJ31" s="18"/>
      <c r="PK31" s="18"/>
      <c r="PL31" s="18"/>
      <c r="PM31" s="18"/>
      <c r="PN31" s="18"/>
      <c r="PO31" s="18"/>
      <c r="PP31" s="11" t="str">
        <f t="shared" si="174"/>
        <v/>
      </c>
      <c r="PQ31" s="11" t="str">
        <f t="shared" si="175"/>
        <v/>
      </c>
      <c r="PR31" s="11" t="str">
        <f t="shared" si="176"/>
        <v/>
      </c>
      <c r="PS31" s="11" t="str">
        <f t="shared" si="177"/>
        <v/>
      </c>
      <c r="PT31" s="11" t="str">
        <f t="shared" si="178"/>
        <v/>
      </c>
      <c r="PU31" s="11" t="str">
        <f t="shared" si="179"/>
        <v/>
      </c>
      <c r="PV31" s="11" t="str">
        <f t="shared" si="180"/>
        <v/>
      </c>
      <c r="PW31" s="11" t="str">
        <f t="shared" si="181"/>
        <v/>
      </c>
      <c r="PX31" s="11" t="str">
        <f t="shared" si="182"/>
        <v/>
      </c>
      <c r="PY31" s="11" t="str">
        <f t="shared" si="183"/>
        <v/>
      </c>
      <c r="PZ31" s="11" t="str">
        <f t="shared" si="184"/>
        <v/>
      </c>
      <c r="QA31" s="11" t="str">
        <f t="shared" si="185"/>
        <v/>
      </c>
      <c r="QB31" s="11" t="str">
        <f t="shared" si="186"/>
        <v/>
      </c>
      <c r="QC31" s="11" t="str">
        <f t="shared" si="187"/>
        <v/>
      </c>
      <c r="QD31" s="17"/>
      <c r="QE31" s="17"/>
      <c r="QF31" s="17"/>
      <c r="QG31" s="17"/>
      <c r="QH31" s="17"/>
      <c r="QI31" s="17"/>
      <c r="QJ31" s="17"/>
      <c r="QK31" s="17"/>
      <c r="QL31" s="17"/>
      <c r="QM31" s="17"/>
      <c r="QN31" s="17"/>
      <c r="QO31" s="17"/>
      <c r="QP31" s="17"/>
      <c r="QQ31" s="17"/>
      <c r="QR31" s="17"/>
      <c r="QS31" s="17"/>
      <c r="QT31" s="17"/>
      <c r="QU31" s="17"/>
      <c r="QV31" s="17"/>
      <c r="QW31" s="17"/>
      <c r="QX31" s="40" t="str">
        <f t="shared" si="188"/>
        <v/>
      </c>
      <c r="QY31" s="40" t="str">
        <f t="shared" si="189"/>
        <v/>
      </c>
      <c r="QZ31" s="40" t="str">
        <f t="shared" si="190"/>
        <v/>
      </c>
      <c r="RA31" s="40" t="str">
        <f t="shared" si="191"/>
        <v/>
      </c>
      <c r="RB31" s="40" t="str">
        <f t="shared" si="192"/>
        <v/>
      </c>
      <c r="RC31" s="40" t="str">
        <f t="shared" si="193"/>
        <v/>
      </c>
      <c r="RD31" s="40" t="str">
        <f t="shared" si="194"/>
        <v/>
      </c>
      <c r="RE31" s="40" t="str">
        <f t="shared" si="195"/>
        <v/>
      </c>
      <c r="RF31" s="40" t="str">
        <f t="shared" si="196"/>
        <v/>
      </c>
      <c r="RG31" s="40" t="str">
        <f t="shared" si="197"/>
        <v/>
      </c>
      <c r="RH31" s="40" t="str">
        <f t="shared" si="198"/>
        <v/>
      </c>
      <c r="RI31" s="40" t="str">
        <f t="shared" si="199"/>
        <v/>
      </c>
      <c r="RJ31" s="40" t="str">
        <f t="shared" si="200"/>
        <v/>
      </c>
      <c r="RK31" s="40" t="str">
        <f t="shared" si="201"/>
        <v/>
      </c>
      <c r="RL31" s="18"/>
      <c r="RM31" s="18"/>
      <c r="RN31" s="18"/>
      <c r="RO31" s="18"/>
      <c r="RP31" s="18"/>
      <c r="RQ31" s="18"/>
      <c r="RR31" s="18"/>
      <c r="RS31" s="18"/>
      <c r="RT31" s="18"/>
      <c r="RU31" s="18"/>
      <c r="RV31" s="18"/>
      <c r="RW31" s="18"/>
      <c r="RX31" s="18"/>
      <c r="RY31" s="18"/>
      <c r="RZ31" s="18"/>
      <c r="SA31" s="18"/>
      <c r="SB31" s="18"/>
      <c r="SC31" s="18"/>
      <c r="SD31" s="18"/>
      <c r="SE31" s="18"/>
      <c r="SF31" s="11" t="str">
        <f t="shared" si="202"/>
        <v/>
      </c>
      <c r="SG31" s="11" t="str">
        <f t="shared" si="203"/>
        <v/>
      </c>
      <c r="SH31" s="11" t="str">
        <f t="shared" si="204"/>
        <v/>
      </c>
      <c r="SI31" s="11" t="str">
        <f t="shared" si="205"/>
        <v/>
      </c>
      <c r="SJ31" s="11" t="str">
        <f t="shared" si="206"/>
        <v/>
      </c>
      <c r="SK31" s="11" t="str">
        <f t="shared" si="207"/>
        <v/>
      </c>
      <c r="SL31" s="11" t="str">
        <f t="shared" si="208"/>
        <v/>
      </c>
      <c r="SM31" s="11" t="str">
        <f t="shared" si="209"/>
        <v/>
      </c>
      <c r="SN31" s="11" t="str">
        <f t="shared" si="210"/>
        <v/>
      </c>
      <c r="SO31" s="11" t="str">
        <f t="shared" si="211"/>
        <v/>
      </c>
      <c r="SP31" s="11" t="str">
        <f t="shared" si="212"/>
        <v/>
      </c>
      <c r="SQ31" s="11" t="str">
        <f t="shared" si="213"/>
        <v/>
      </c>
      <c r="SR31" s="11" t="str">
        <f t="shared" si="214"/>
        <v/>
      </c>
      <c r="SS31" s="11" t="str">
        <f t="shared" si="215"/>
        <v/>
      </c>
      <c r="ST31" s="22">
        <f t="shared" si="216"/>
        <v>0</v>
      </c>
      <c r="SU31" s="22">
        <f t="shared" si="217"/>
        <v>0</v>
      </c>
      <c r="SV31" s="22">
        <f t="shared" si="218"/>
        <v>0</v>
      </c>
      <c r="SW31" s="22">
        <f t="shared" si="219"/>
        <v>0</v>
      </c>
      <c r="SX31" s="22">
        <f t="shared" si="220"/>
        <v>0</v>
      </c>
      <c r="SY31" s="22">
        <f t="shared" si="221"/>
        <v>0</v>
      </c>
      <c r="SZ31" s="22">
        <f t="shared" si="222"/>
        <v>0</v>
      </c>
      <c r="TA31" s="22">
        <f t="shared" si="223"/>
        <v>0</v>
      </c>
      <c r="TB31" s="22">
        <f t="shared" si="224"/>
        <v>0</v>
      </c>
      <c r="TC31" s="22">
        <f t="shared" si="225"/>
        <v>0</v>
      </c>
      <c r="TD31" s="22">
        <f t="shared" si="226"/>
        <v>0</v>
      </c>
      <c r="TE31" s="22">
        <f t="shared" si="227"/>
        <v>0</v>
      </c>
      <c r="TF31" s="22">
        <f t="shared" si="228"/>
        <v>0</v>
      </c>
      <c r="TG31" s="22">
        <f t="shared" si="229"/>
        <v>0</v>
      </c>
      <c r="TH31" s="22">
        <f t="shared" si="230"/>
        <v>0</v>
      </c>
      <c r="TI31" s="27" t="s">
        <v>46</v>
      </c>
      <c r="TJ31" s="40" t="str">
        <f t="shared" si="231"/>
        <v/>
      </c>
      <c r="TK31" s="40" t="str">
        <f t="shared" si="232"/>
        <v/>
      </c>
      <c r="TL31" s="40" t="str">
        <f t="shared" si="233"/>
        <v/>
      </c>
      <c r="TM31" s="40" t="str">
        <f t="shared" si="234"/>
        <v/>
      </c>
      <c r="TN31" s="40" t="str">
        <f t="shared" si="235"/>
        <v/>
      </c>
      <c r="TO31" s="40" t="str">
        <f t="shared" si="236"/>
        <v/>
      </c>
      <c r="TP31" s="40" t="str">
        <f t="shared" si="237"/>
        <v/>
      </c>
      <c r="TQ31" s="40" t="str">
        <f t="shared" si="238"/>
        <v/>
      </c>
      <c r="TR31" s="40" t="str">
        <f t="shared" si="239"/>
        <v/>
      </c>
      <c r="TS31" s="40" t="str">
        <f t="shared" si="240"/>
        <v/>
      </c>
      <c r="TT31" s="40" t="str">
        <f t="shared" si="241"/>
        <v/>
      </c>
    </row>
    <row r="32" spans="1:540" x14ac:dyDescent="0.2">
      <c r="B32" s="5"/>
      <c r="D32" s="1"/>
    </row>
    <row r="33" spans="1:542" x14ac:dyDescent="0.2">
      <c r="G33" s="36"/>
      <c r="I33" s="36"/>
    </row>
    <row r="34" spans="1:542" x14ac:dyDescent="0.2">
      <c r="B34" s="23" t="s">
        <v>44</v>
      </c>
      <c r="C34" s="5"/>
      <c r="G34" s="3"/>
      <c r="AP34" s="41"/>
      <c r="AQ34" s="41"/>
      <c r="AR34" s="41"/>
      <c r="AT34" s="32"/>
      <c r="AU34" s="32"/>
      <c r="AW34" s="53">
        <v>11.2</v>
      </c>
      <c r="BQ34" s="41"/>
      <c r="BR34" s="41"/>
      <c r="BS34" s="41"/>
      <c r="BU34" s="32"/>
      <c r="BV34" s="32"/>
      <c r="BX34" s="53">
        <v>11.2</v>
      </c>
      <c r="CR34" s="41"/>
      <c r="CS34" s="41"/>
      <c r="CT34" s="41"/>
      <c r="CV34" s="32"/>
      <c r="CW34" s="32"/>
      <c r="CY34" s="53">
        <v>11.2</v>
      </c>
      <c r="DV34" s="5"/>
      <c r="DW34" s="5"/>
      <c r="EF34" s="2"/>
      <c r="EG34" s="2"/>
      <c r="EI34" s="53">
        <v>11.2</v>
      </c>
      <c r="FD34" s="5"/>
      <c r="FE34" s="5"/>
      <c r="FN34" s="2"/>
      <c r="FO34" s="2"/>
      <c r="FQ34" s="53">
        <v>11.2</v>
      </c>
      <c r="GL34" s="5"/>
      <c r="GM34" s="5"/>
      <c r="GV34" s="2"/>
      <c r="GW34" s="2"/>
      <c r="GY34" s="53">
        <v>11.2</v>
      </c>
      <c r="HT34" s="5"/>
      <c r="HU34" s="5"/>
      <c r="ID34" s="2"/>
      <c r="IE34" s="2"/>
      <c r="IG34" s="53">
        <v>11.2</v>
      </c>
      <c r="JB34" s="5"/>
      <c r="JC34" s="5"/>
      <c r="JL34" s="2"/>
      <c r="JM34" s="2"/>
      <c r="JO34" s="53">
        <v>11.2</v>
      </c>
      <c r="KJ34" s="5"/>
      <c r="KK34" s="5"/>
      <c r="KT34" s="2"/>
      <c r="KU34" s="2"/>
      <c r="KW34" s="53">
        <v>11.2</v>
      </c>
      <c r="LR34" s="5"/>
      <c r="LS34" s="5"/>
      <c r="MB34" s="2"/>
      <c r="MC34" s="2"/>
      <c r="ME34" s="53">
        <v>11.2</v>
      </c>
      <c r="MZ34" s="5"/>
      <c r="NA34" s="5"/>
      <c r="NJ34" s="2"/>
      <c r="NK34" s="2"/>
      <c r="NM34" s="53">
        <v>11.2</v>
      </c>
      <c r="OH34" s="5"/>
      <c r="OI34" s="5"/>
      <c r="OR34" s="2"/>
      <c r="OS34" s="2"/>
      <c r="OU34" s="53">
        <v>11.2</v>
      </c>
      <c r="PP34" s="5"/>
      <c r="PQ34" s="5"/>
      <c r="PZ34" s="2"/>
      <c r="QA34" s="2"/>
      <c r="QC34" s="53">
        <v>11.2</v>
      </c>
      <c r="QX34" s="5"/>
      <c r="QY34" s="5"/>
      <c r="RH34" s="2"/>
      <c r="RI34" s="2"/>
      <c r="RK34" s="53">
        <v>11.2</v>
      </c>
      <c r="SF34" s="5"/>
      <c r="SG34" s="5"/>
      <c r="SP34" s="2"/>
      <c r="SQ34" s="2"/>
      <c r="SS34" s="53">
        <v>11.2</v>
      </c>
    </row>
    <row r="35" spans="1:542" hidden="1" x14ac:dyDescent="0.2">
      <c r="B35" s="30" t="s">
        <v>43</v>
      </c>
      <c r="C35" s="5"/>
      <c r="V35" s="2"/>
      <c r="AP35" s="41"/>
      <c r="AQ35" s="41"/>
      <c r="AR35" s="41"/>
      <c r="AT35" s="32"/>
      <c r="AU35" s="32"/>
      <c r="AW35" s="54">
        <v>1000</v>
      </c>
      <c r="BQ35" s="41"/>
      <c r="BR35" s="41"/>
      <c r="BS35" s="41"/>
      <c r="BU35" s="32"/>
      <c r="BV35" s="32"/>
      <c r="BX35" s="54">
        <v>1000</v>
      </c>
      <c r="CR35" s="41"/>
      <c r="CS35" s="41"/>
      <c r="CT35" s="41"/>
      <c r="CV35" s="32"/>
      <c r="CW35" s="32"/>
      <c r="CY35" s="54">
        <v>1000</v>
      </c>
      <c r="DV35" s="5"/>
      <c r="DW35" s="5"/>
      <c r="EF35" s="2"/>
      <c r="EG35" s="2"/>
      <c r="EI35" s="54">
        <v>1000</v>
      </c>
      <c r="FD35" s="5"/>
      <c r="FE35" s="5"/>
      <c r="FN35" s="2"/>
      <c r="FO35" s="2"/>
      <c r="FQ35" s="54">
        <v>1000</v>
      </c>
      <c r="GL35" s="5"/>
      <c r="GM35" s="5"/>
      <c r="GV35" s="2"/>
      <c r="GW35" s="2"/>
      <c r="GY35" s="54">
        <v>1000</v>
      </c>
      <c r="HT35" s="5"/>
      <c r="HU35" s="5"/>
      <c r="ID35" s="2"/>
      <c r="IE35" s="2"/>
      <c r="IG35" s="54">
        <v>1000</v>
      </c>
      <c r="JB35" s="5"/>
      <c r="JC35" s="5"/>
      <c r="JL35" s="2"/>
      <c r="JM35" s="2"/>
      <c r="JO35" s="54">
        <v>1000</v>
      </c>
      <c r="KJ35" s="5"/>
      <c r="KK35" s="5"/>
      <c r="KT35" s="2"/>
      <c r="KU35" s="2"/>
      <c r="KW35" s="54">
        <v>1000</v>
      </c>
      <c r="LR35" s="5"/>
      <c r="LS35" s="5"/>
      <c r="MB35" s="2"/>
      <c r="MC35" s="2"/>
      <c r="ME35" s="54">
        <v>1000</v>
      </c>
      <c r="MZ35" s="5"/>
      <c r="NA35" s="5"/>
      <c r="NJ35" s="2"/>
      <c r="NK35" s="2"/>
      <c r="NM35" s="54">
        <v>1000</v>
      </c>
      <c r="OH35" s="5"/>
      <c r="OI35" s="5"/>
      <c r="OR35" s="2"/>
      <c r="OS35" s="2"/>
      <c r="OU35" s="54">
        <v>1000</v>
      </c>
      <c r="PP35" s="5"/>
      <c r="PQ35" s="5"/>
      <c r="PZ35" s="2"/>
      <c r="QA35" s="2"/>
      <c r="QC35" s="54">
        <v>1000</v>
      </c>
      <c r="QX35" s="5"/>
      <c r="QY35" s="5"/>
      <c r="RH35" s="2"/>
      <c r="RI35" s="2"/>
      <c r="RK35" s="54">
        <v>1000</v>
      </c>
      <c r="SF35" s="5"/>
      <c r="SG35" s="5"/>
      <c r="SP35" s="2"/>
      <c r="SQ35" s="2"/>
      <c r="SS35" s="54">
        <v>1000</v>
      </c>
    </row>
    <row r="36" spans="1:542" hidden="1" x14ac:dyDescent="0.2">
      <c r="A36" s="5"/>
      <c r="B36" s="31" t="s">
        <v>55</v>
      </c>
      <c r="C36" s="5"/>
      <c r="E36" s="2"/>
      <c r="AP36" s="41"/>
      <c r="AQ36" s="41"/>
      <c r="AR36" s="41"/>
      <c r="AS36" s="32"/>
      <c r="AT36" s="32"/>
      <c r="AU36" s="32"/>
      <c r="AV36" s="32"/>
      <c r="AW36" s="55">
        <v>1000</v>
      </c>
      <c r="BQ36" s="41"/>
      <c r="BR36" s="41"/>
      <c r="BS36" s="41"/>
      <c r="BU36" s="32"/>
      <c r="BV36" s="32"/>
      <c r="BX36" s="55">
        <v>1000</v>
      </c>
      <c r="CR36" s="41"/>
      <c r="CS36" s="41"/>
      <c r="CT36" s="41"/>
      <c r="CU36" s="32"/>
      <c r="CV36" s="32"/>
      <c r="CW36" s="32"/>
      <c r="CX36" s="32"/>
      <c r="CY36" s="55">
        <v>1000</v>
      </c>
      <c r="DV36" s="5"/>
      <c r="DW36" s="5"/>
      <c r="EF36" s="2"/>
      <c r="EG36" s="2"/>
      <c r="EI36" s="55">
        <v>1000</v>
      </c>
      <c r="FD36" s="5"/>
      <c r="FE36" s="5"/>
      <c r="FN36" s="2"/>
      <c r="FO36" s="2"/>
      <c r="FQ36" s="55">
        <v>1000</v>
      </c>
      <c r="GL36" s="5"/>
      <c r="GM36" s="5"/>
      <c r="GV36" s="2"/>
      <c r="GW36" s="2"/>
      <c r="GY36" s="55">
        <v>1000</v>
      </c>
      <c r="HT36" s="5"/>
      <c r="HU36" s="5"/>
      <c r="ID36" s="2"/>
      <c r="IE36" s="2"/>
      <c r="IG36" s="55">
        <v>1000</v>
      </c>
      <c r="JB36" s="5"/>
      <c r="JC36" s="5"/>
      <c r="JL36" s="2"/>
      <c r="JM36" s="2"/>
      <c r="JO36" s="55">
        <v>1000</v>
      </c>
      <c r="KJ36" s="5"/>
      <c r="KK36" s="5"/>
      <c r="KT36" s="2"/>
      <c r="KU36" s="2"/>
      <c r="KW36" s="55">
        <v>1000</v>
      </c>
      <c r="LR36" s="5"/>
      <c r="LS36" s="5"/>
      <c r="MB36" s="2"/>
      <c r="MC36" s="2"/>
      <c r="ME36" s="55">
        <v>1000</v>
      </c>
      <c r="MZ36" s="5"/>
      <c r="NA36" s="5"/>
      <c r="NJ36" s="2"/>
      <c r="NK36" s="2"/>
      <c r="NM36" s="55">
        <v>1000</v>
      </c>
      <c r="OH36" s="5"/>
      <c r="OI36" s="5"/>
      <c r="OR36" s="2"/>
      <c r="OS36" s="2"/>
      <c r="OU36" s="55">
        <v>1000</v>
      </c>
      <c r="PP36" s="5"/>
      <c r="PQ36" s="5"/>
      <c r="PZ36" s="2"/>
      <c r="QA36" s="2"/>
      <c r="QC36" s="55">
        <v>1000</v>
      </c>
      <c r="QX36" s="5"/>
      <c r="QY36" s="5"/>
      <c r="RH36" s="2"/>
      <c r="RI36" s="2"/>
      <c r="RK36" s="55">
        <v>1000</v>
      </c>
      <c r="SF36" s="5"/>
      <c r="SG36" s="5"/>
      <c r="SP36" s="2"/>
      <c r="SQ36" s="2"/>
      <c r="SS36" s="55">
        <v>1000</v>
      </c>
    </row>
    <row r="37" spans="1:542" hidden="1" x14ac:dyDescent="0.2">
      <c r="A37" s="5"/>
      <c r="B37" s="35" t="s">
        <v>62</v>
      </c>
      <c r="C37" s="5"/>
      <c r="E37" s="2"/>
      <c r="AP37" s="41"/>
      <c r="AQ37" s="41"/>
      <c r="AR37" s="41"/>
      <c r="AS37" s="32"/>
      <c r="AT37" s="32"/>
      <c r="AU37" s="32"/>
      <c r="AV37" s="32"/>
      <c r="AW37" s="56">
        <v>1000</v>
      </c>
      <c r="BQ37" s="41"/>
      <c r="BR37" s="41"/>
      <c r="BS37" s="41"/>
      <c r="BU37" s="32"/>
      <c r="BV37" s="32"/>
      <c r="BX37" s="56">
        <v>1000</v>
      </c>
      <c r="CR37" s="41"/>
      <c r="CS37" s="41"/>
      <c r="CT37" s="41"/>
      <c r="CU37" s="32"/>
      <c r="CV37" s="32"/>
      <c r="CW37" s="32"/>
      <c r="CX37" s="32"/>
      <c r="CY37" s="56">
        <v>1000</v>
      </c>
      <c r="DV37" s="5"/>
      <c r="DW37" s="5"/>
      <c r="EF37" s="2"/>
      <c r="EG37" s="2"/>
      <c r="EI37" s="56">
        <v>1000</v>
      </c>
      <c r="FD37" s="5"/>
      <c r="FE37" s="5"/>
      <c r="FN37" s="2"/>
      <c r="FO37" s="2"/>
      <c r="FQ37" s="56">
        <v>1000</v>
      </c>
      <c r="GL37" s="5"/>
      <c r="GM37" s="5"/>
      <c r="GV37" s="2"/>
      <c r="GW37" s="2"/>
      <c r="GY37" s="56">
        <v>1000</v>
      </c>
      <c r="HT37" s="5"/>
      <c r="HU37" s="5"/>
      <c r="ID37" s="2"/>
      <c r="IE37" s="2"/>
      <c r="IG37" s="56">
        <v>1000</v>
      </c>
      <c r="JB37" s="5"/>
      <c r="JC37" s="5"/>
      <c r="JL37" s="2"/>
      <c r="JM37" s="2"/>
      <c r="JO37" s="56">
        <v>1000</v>
      </c>
      <c r="KJ37" s="5"/>
      <c r="KK37" s="5"/>
      <c r="KT37" s="2"/>
      <c r="KU37" s="2"/>
      <c r="KW37" s="56">
        <v>1000</v>
      </c>
      <c r="LR37" s="5"/>
      <c r="LS37" s="5"/>
      <c r="MB37" s="2"/>
      <c r="MC37" s="2"/>
      <c r="ME37" s="56">
        <v>1000</v>
      </c>
      <c r="MZ37" s="5"/>
      <c r="NA37" s="5"/>
      <c r="NJ37" s="2"/>
      <c r="NK37" s="2"/>
      <c r="NM37" s="56">
        <v>1000</v>
      </c>
      <c r="OH37" s="5"/>
      <c r="OI37" s="5"/>
      <c r="OR37" s="2"/>
      <c r="OS37" s="2"/>
      <c r="OU37" s="56">
        <v>1000</v>
      </c>
      <c r="PP37" s="5"/>
      <c r="PQ37" s="5"/>
      <c r="PZ37" s="2"/>
      <c r="QA37" s="2"/>
      <c r="QC37" s="56">
        <v>1000</v>
      </c>
      <c r="QX37" s="5"/>
      <c r="QY37" s="5"/>
      <c r="RH37" s="2"/>
      <c r="RI37" s="2"/>
      <c r="RK37" s="56">
        <v>1000</v>
      </c>
      <c r="SF37" s="5"/>
      <c r="SG37" s="5"/>
      <c r="SP37" s="2"/>
      <c r="SQ37" s="2"/>
      <c r="SS37" s="56">
        <v>1000</v>
      </c>
    </row>
    <row r="38" spans="1:542" x14ac:dyDescent="0.2">
      <c r="A38" s="5"/>
      <c r="B38" s="34" t="s">
        <v>41</v>
      </c>
      <c r="C38" s="5"/>
      <c r="AP38" s="41"/>
      <c r="AQ38" s="41"/>
      <c r="AR38" s="41"/>
      <c r="AS38" s="32"/>
      <c r="AT38" s="32"/>
      <c r="AU38" s="32"/>
      <c r="AV38" s="32"/>
      <c r="AW38" s="57">
        <v>48.3</v>
      </c>
      <c r="BQ38" s="41"/>
      <c r="BR38" s="41"/>
      <c r="BS38" s="41"/>
      <c r="BU38" s="32"/>
      <c r="BV38" s="32"/>
      <c r="BX38" s="57">
        <v>48.3</v>
      </c>
      <c r="CR38" s="41"/>
      <c r="CS38" s="41"/>
      <c r="CT38" s="41"/>
      <c r="CU38" s="32"/>
      <c r="CV38" s="32"/>
      <c r="CW38" s="32"/>
      <c r="CX38" s="32"/>
      <c r="CY38" s="57">
        <v>48.3</v>
      </c>
      <c r="DV38" s="5"/>
      <c r="DW38" s="5"/>
      <c r="EF38" s="2"/>
      <c r="EG38" s="2"/>
      <c r="EI38" s="57">
        <v>48.3</v>
      </c>
      <c r="FD38" s="5"/>
      <c r="FE38" s="5"/>
      <c r="FN38" s="2"/>
      <c r="FO38" s="2"/>
      <c r="FQ38" s="57">
        <v>48.3</v>
      </c>
      <c r="GL38" s="5"/>
      <c r="GM38" s="5"/>
      <c r="GV38" s="2"/>
      <c r="GW38" s="2"/>
      <c r="GY38" s="57">
        <v>48.3</v>
      </c>
      <c r="HT38" s="5"/>
      <c r="HU38" s="5"/>
      <c r="ID38" s="2"/>
      <c r="IE38" s="2"/>
      <c r="IG38" s="57">
        <v>48.3</v>
      </c>
      <c r="JB38" s="5"/>
      <c r="JC38" s="5"/>
      <c r="JL38" s="2"/>
      <c r="JM38" s="2"/>
      <c r="JO38" s="57">
        <v>48.3</v>
      </c>
      <c r="KJ38" s="5"/>
      <c r="KK38" s="5"/>
      <c r="KT38" s="2"/>
      <c r="KU38" s="2"/>
      <c r="KW38" s="57">
        <v>48.3</v>
      </c>
      <c r="LR38" s="5"/>
      <c r="LS38" s="5"/>
      <c r="MB38" s="2"/>
      <c r="MC38" s="2"/>
      <c r="ME38" s="57">
        <v>48.3</v>
      </c>
      <c r="MZ38" s="5"/>
      <c r="NA38" s="5"/>
      <c r="NJ38" s="2"/>
      <c r="NK38" s="2"/>
      <c r="NM38" s="57">
        <v>48.3</v>
      </c>
      <c r="OH38" s="5"/>
      <c r="OI38" s="5"/>
      <c r="OR38" s="2"/>
      <c r="OS38" s="2"/>
      <c r="OU38" s="57">
        <v>48.3</v>
      </c>
      <c r="PP38" s="5"/>
      <c r="PQ38" s="5"/>
      <c r="PZ38" s="2"/>
      <c r="QA38" s="2"/>
      <c r="QC38" s="57">
        <v>48.3</v>
      </c>
      <c r="QX38" s="5"/>
      <c r="QY38" s="5"/>
      <c r="RH38" s="2"/>
      <c r="RI38" s="2"/>
      <c r="RK38" s="57">
        <v>48.3</v>
      </c>
      <c r="SF38" s="5"/>
      <c r="SG38" s="5"/>
      <c r="SP38" s="2"/>
      <c r="SQ38" s="2"/>
      <c r="SS38" s="57">
        <v>48.3</v>
      </c>
    </row>
    <row r="39" spans="1:542" hidden="1" x14ac:dyDescent="0.2">
      <c r="A39" s="5"/>
      <c r="B39" s="24" t="s">
        <v>42</v>
      </c>
      <c r="C39" s="5"/>
      <c r="AP39" s="41"/>
      <c r="AQ39" s="41"/>
      <c r="AR39" s="41"/>
      <c r="AS39" s="32"/>
      <c r="AT39" s="32"/>
      <c r="AU39" s="32"/>
      <c r="AV39" s="32"/>
      <c r="AW39" s="58">
        <v>1000</v>
      </c>
      <c r="BQ39" s="41"/>
      <c r="BR39" s="41"/>
      <c r="BS39" s="41"/>
      <c r="BU39" s="32"/>
      <c r="BV39" s="32"/>
      <c r="BX39" s="58">
        <v>1000</v>
      </c>
      <c r="CR39" s="41"/>
      <c r="CS39" s="41"/>
      <c r="CT39" s="41"/>
      <c r="CU39" s="32"/>
      <c r="CV39" s="32"/>
      <c r="CW39" s="32"/>
      <c r="CX39" s="32"/>
      <c r="CY39" s="58">
        <v>1000</v>
      </c>
      <c r="DV39" s="5"/>
      <c r="DW39" s="5"/>
      <c r="EF39" s="2"/>
      <c r="EG39" s="2"/>
      <c r="EI39" s="58">
        <v>1000</v>
      </c>
      <c r="FD39" s="5"/>
      <c r="FE39" s="5"/>
      <c r="FN39" s="2"/>
      <c r="FO39" s="2"/>
      <c r="FQ39" s="58">
        <v>1000</v>
      </c>
      <c r="GL39" s="5"/>
      <c r="GM39" s="5"/>
      <c r="GV39" s="2"/>
      <c r="GW39" s="2"/>
      <c r="GY39" s="58">
        <v>1000</v>
      </c>
      <c r="HT39" s="5"/>
      <c r="HU39" s="5"/>
      <c r="ID39" s="2"/>
      <c r="IE39" s="2"/>
      <c r="IG39" s="58">
        <v>1000</v>
      </c>
      <c r="JB39" s="5"/>
      <c r="JC39" s="5"/>
      <c r="JL39" s="2"/>
      <c r="JM39" s="2"/>
      <c r="JO39" s="58">
        <v>1000</v>
      </c>
      <c r="KJ39" s="5"/>
      <c r="KK39" s="5"/>
      <c r="KT39" s="2"/>
      <c r="KU39" s="2"/>
      <c r="KW39" s="58">
        <v>1000</v>
      </c>
      <c r="LR39" s="5"/>
      <c r="LS39" s="5"/>
      <c r="MB39" s="2"/>
      <c r="MC39" s="2"/>
      <c r="ME39" s="58">
        <v>1000</v>
      </c>
      <c r="MZ39" s="5"/>
      <c r="NA39" s="5"/>
      <c r="NJ39" s="2"/>
      <c r="NK39" s="2"/>
      <c r="NM39" s="58">
        <v>1000</v>
      </c>
      <c r="OH39" s="5"/>
      <c r="OI39" s="5"/>
      <c r="OR39" s="2"/>
      <c r="OS39" s="2"/>
      <c r="OU39" s="58">
        <v>1000</v>
      </c>
      <c r="PP39" s="5"/>
      <c r="PQ39" s="5"/>
      <c r="PZ39" s="2"/>
      <c r="QA39" s="2"/>
      <c r="QC39" s="58">
        <v>1000</v>
      </c>
      <c r="QX39" s="5"/>
      <c r="QY39" s="5"/>
      <c r="RH39" s="2"/>
      <c r="RI39" s="2"/>
      <c r="RK39" s="58">
        <v>1000</v>
      </c>
      <c r="SF39" s="5"/>
      <c r="SG39" s="5"/>
      <c r="SP39" s="2"/>
      <c r="SQ39" s="2"/>
      <c r="SS39" s="58">
        <v>1000</v>
      </c>
    </row>
    <row r="40" spans="1:542" hidden="1" x14ac:dyDescent="0.2">
      <c r="A40" s="5"/>
      <c r="B40" s="33" t="s">
        <v>54</v>
      </c>
      <c r="C40" s="5"/>
      <c r="AP40" s="41"/>
      <c r="AQ40" s="41"/>
      <c r="AR40" s="41"/>
      <c r="AS40" s="32"/>
      <c r="AT40" s="32"/>
      <c r="AU40" s="32"/>
      <c r="AV40" s="32"/>
      <c r="AW40" s="59">
        <v>1000</v>
      </c>
      <c r="BQ40" s="41"/>
      <c r="BR40" s="41"/>
      <c r="BS40" s="41"/>
      <c r="BU40" s="32"/>
      <c r="BV40" s="32"/>
      <c r="BX40" s="59">
        <v>1000</v>
      </c>
      <c r="CR40" s="41"/>
      <c r="CS40" s="41"/>
      <c r="CT40" s="41"/>
      <c r="CU40" s="32"/>
      <c r="CV40" s="32"/>
      <c r="CW40" s="32"/>
      <c r="CX40" s="32"/>
      <c r="CY40" s="59">
        <v>1000</v>
      </c>
      <c r="DV40" s="5"/>
      <c r="DW40" s="5"/>
      <c r="EF40" s="2"/>
      <c r="EG40" s="2"/>
      <c r="EH40" s="37"/>
      <c r="EI40" s="59">
        <v>1000</v>
      </c>
      <c r="FD40" s="5"/>
      <c r="FE40" s="5"/>
      <c r="FN40" s="2"/>
      <c r="FO40" s="2"/>
      <c r="FP40" s="37"/>
      <c r="FQ40" s="59">
        <v>1000</v>
      </c>
      <c r="GL40" s="5"/>
      <c r="GM40" s="5"/>
      <c r="GV40" s="2"/>
      <c r="GW40" s="2"/>
      <c r="GX40" s="37"/>
      <c r="GY40" s="59">
        <v>1000</v>
      </c>
      <c r="HT40" s="5"/>
      <c r="HU40" s="5"/>
      <c r="ID40" s="2"/>
      <c r="IE40" s="2"/>
      <c r="IF40" s="37"/>
      <c r="IG40" s="59">
        <v>1000</v>
      </c>
      <c r="JB40" s="5"/>
      <c r="JC40" s="5"/>
      <c r="JL40" s="2"/>
      <c r="JM40" s="2"/>
      <c r="JN40" s="37"/>
      <c r="JO40" s="59">
        <v>1000</v>
      </c>
      <c r="KJ40" s="5"/>
      <c r="KK40" s="5"/>
      <c r="KT40" s="2"/>
      <c r="KU40" s="2"/>
      <c r="KV40" s="37"/>
      <c r="KW40" s="59">
        <v>1000</v>
      </c>
      <c r="LR40" s="5"/>
      <c r="LS40" s="5"/>
      <c r="MB40" s="2"/>
      <c r="MC40" s="2"/>
      <c r="MD40" s="37"/>
      <c r="ME40" s="59">
        <v>1000</v>
      </c>
      <c r="MZ40" s="5"/>
      <c r="NA40" s="5"/>
      <c r="NJ40" s="2"/>
      <c r="NK40" s="2"/>
      <c r="NL40" s="37"/>
      <c r="NM40" s="59">
        <v>1000</v>
      </c>
      <c r="OH40" s="5"/>
      <c r="OI40" s="5"/>
      <c r="OR40" s="2"/>
      <c r="OS40" s="2"/>
      <c r="OT40" s="37"/>
      <c r="OU40" s="59">
        <v>1000</v>
      </c>
      <c r="PP40" s="5"/>
      <c r="PQ40" s="5"/>
      <c r="PZ40" s="2"/>
      <c r="QA40" s="2"/>
      <c r="QB40" s="37"/>
      <c r="QC40" s="59">
        <v>1000</v>
      </c>
      <c r="QX40" s="5"/>
      <c r="QY40" s="5"/>
      <c r="RH40" s="2"/>
      <c r="RI40" s="2"/>
      <c r="RJ40" s="37"/>
      <c r="RK40" s="59">
        <v>1000</v>
      </c>
      <c r="SF40" s="5"/>
      <c r="SG40" s="5"/>
      <c r="SP40" s="2"/>
      <c r="SQ40" s="2"/>
      <c r="SR40" s="37"/>
      <c r="SS40" s="59">
        <v>1000</v>
      </c>
    </row>
    <row r="41" spans="1:542" hidden="1" x14ac:dyDescent="0.2">
      <c r="A41" s="5"/>
      <c r="B41" s="25" t="s">
        <v>27</v>
      </c>
      <c r="C41" s="5"/>
      <c r="AP41" s="41"/>
      <c r="AQ41" s="41"/>
      <c r="AR41" s="41"/>
      <c r="AS41" s="32"/>
      <c r="AT41" s="41"/>
      <c r="AU41" s="41"/>
      <c r="AV41" s="32"/>
      <c r="AW41" s="60">
        <v>1000</v>
      </c>
      <c r="BQ41" s="41"/>
      <c r="BR41" s="41"/>
      <c r="BS41" s="41"/>
      <c r="BU41" s="41"/>
      <c r="BV41" s="32"/>
      <c r="BX41" s="60">
        <v>1000</v>
      </c>
      <c r="CR41" s="41"/>
      <c r="CS41" s="41"/>
      <c r="CT41" s="41"/>
      <c r="CU41" s="32"/>
      <c r="CV41" s="41"/>
      <c r="CW41" s="32"/>
      <c r="CX41" s="32"/>
      <c r="CY41" s="60">
        <v>1000</v>
      </c>
      <c r="DV41" s="5"/>
      <c r="DW41" s="5"/>
      <c r="EF41" s="41"/>
      <c r="EG41" s="2"/>
      <c r="EI41" s="60">
        <v>1000</v>
      </c>
      <c r="FD41" s="5"/>
      <c r="FE41" s="5"/>
      <c r="FN41" s="41"/>
      <c r="FO41" s="2"/>
      <c r="FQ41" s="60">
        <v>1000</v>
      </c>
      <c r="GL41" s="5"/>
      <c r="GM41" s="5"/>
      <c r="GV41" s="2"/>
      <c r="GW41" s="2"/>
      <c r="GY41" s="60">
        <v>1000</v>
      </c>
      <c r="HT41" s="5"/>
      <c r="HU41" s="5"/>
      <c r="ID41" s="41"/>
      <c r="IE41" s="2"/>
      <c r="IG41" s="60">
        <v>1000</v>
      </c>
      <c r="JB41" s="5"/>
      <c r="JC41" s="5"/>
      <c r="JL41" s="2"/>
      <c r="JM41" s="2"/>
      <c r="JO41" s="60">
        <v>1000</v>
      </c>
      <c r="KJ41" s="5"/>
      <c r="KK41" s="5"/>
      <c r="KT41" s="2"/>
      <c r="KU41" s="2"/>
      <c r="KW41" s="60">
        <v>1000</v>
      </c>
      <c r="LR41" s="5"/>
      <c r="LS41" s="5"/>
      <c r="MB41" s="2"/>
      <c r="MC41" s="2"/>
      <c r="ME41" s="60">
        <v>1000</v>
      </c>
      <c r="MZ41" s="5"/>
      <c r="NA41" s="5"/>
      <c r="NJ41" s="2"/>
      <c r="NK41" s="2"/>
      <c r="NM41" s="60">
        <v>1000</v>
      </c>
      <c r="OH41" s="5"/>
      <c r="OI41" s="5"/>
      <c r="OR41" s="2"/>
      <c r="OS41" s="2"/>
      <c r="OU41" s="60">
        <v>1000</v>
      </c>
      <c r="PP41" s="5"/>
      <c r="PQ41" s="5"/>
      <c r="PZ41" s="2"/>
      <c r="QA41" s="2"/>
      <c r="QC41" s="60">
        <v>1000</v>
      </c>
      <c r="QX41" s="5"/>
      <c r="QY41" s="5"/>
      <c r="RH41" s="2"/>
      <c r="RI41" s="2"/>
      <c r="RK41" s="60">
        <v>1000</v>
      </c>
      <c r="SF41" s="5"/>
      <c r="SG41" s="5"/>
      <c r="SP41" s="2"/>
      <c r="SQ41" s="2"/>
      <c r="SS41" s="60">
        <v>1000</v>
      </c>
    </row>
    <row r="42" spans="1:542" s="36" customFormat="1" x14ac:dyDescent="0.2">
      <c r="A42"/>
      <c r="B42" s="29" t="s">
        <v>47</v>
      </c>
      <c r="C42" s="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S42" s="32"/>
      <c r="AV42" s="3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U42" s="32"/>
      <c r="CX42" s="32"/>
      <c r="DB42"/>
      <c r="DC42"/>
      <c r="DD42"/>
      <c r="DE42"/>
      <c r="DF42"/>
      <c r="DG42"/>
      <c r="DH42"/>
      <c r="DI42"/>
      <c r="DJ42"/>
      <c r="DK42"/>
      <c r="DL42"/>
      <c r="DM42"/>
      <c r="DN42"/>
      <c r="DO42"/>
      <c r="DP42"/>
      <c r="DQ42"/>
      <c r="DR42"/>
      <c r="DS42"/>
      <c r="DT42"/>
      <c r="DU42"/>
      <c r="DV42"/>
      <c r="DW42"/>
      <c r="DX42"/>
      <c r="DY42"/>
      <c r="DZ42"/>
      <c r="EA42"/>
      <c r="EB42"/>
      <c r="EC42"/>
      <c r="ED42"/>
      <c r="EE42"/>
      <c r="EF42"/>
      <c r="EG42"/>
      <c r="EH42"/>
      <c r="EJ42"/>
      <c r="EK42"/>
      <c r="EL42"/>
      <c r="EM42"/>
      <c r="EN42"/>
      <c r="EO42"/>
      <c r="EP42"/>
      <c r="EQ42"/>
      <c r="ER42"/>
      <c r="ES42"/>
      <c r="ET42"/>
      <c r="EU42"/>
      <c r="EV42"/>
      <c r="EW42"/>
      <c r="EX42"/>
      <c r="EY42"/>
      <c r="EZ42"/>
      <c r="FA42"/>
      <c r="FB42"/>
      <c r="FC42"/>
      <c r="FD42"/>
      <c r="FE42"/>
      <c r="FF42"/>
      <c r="FG42"/>
      <c r="FH42"/>
      <c r="FI42"/>
      <c r="FJ42"/>
      <c r="FK42"/>
      <c r="FL42"/>
      <c r="FM42"/>
      <c r="FN42"/>
      <c r="FO42"/>
      <c r="FP42"/>
      <c r="FR42"/>
      <c r="FS42"/>
      <c r="FT42"/>
      <c r="FU42"/>
      <c r="FV42"/>
      <c r="FW42"/>
      <c r="FX42"/>
      <c r="FY42"/>
      <c r="FZ42"/>
      <c r="GA42"/>
      <c r="GB42"/>
      <c r="GC42"/>
      <c r="GD42"/>
      <c r="GE42"/>
      <c r="GF42"/>
      <c r="GG42"/>
      <c r="GH42"/>
      <c r="GI42"/>
      <c r="GJ42"/>
      <c r="GK42"/>
      <c r="GL42"/>
      <c r="GM42"/>
      <c r="GN42"/>
      <c r="GO42"/>
      <c r="GP42"/>
      <c r="GQ42"/>
      <c r="GR42"/>
      <c r="GS42"/>
      <c r="GT42"/>
      <c r="GU42"/>
      <c r="GV42"/>
      <c r="GW42"/>
      <c r="GX42"/>
      <c r="GZ42"/>
      <c r="HA42"/>
      <c r="HB42"/>
      <c r="HC42"/>
      <c r="HD42"/>
      <c r="HE42"/>
      <c r="HF42"/>
      <c r="HG42"/>
      <c r="HH42"/>
      <c r="HI42"/>
      <c r="HJ42"/>
      <c r="HK42"/>
      <c r="HL42"/>
      <c r="HM42"/>
      <c r="HN42"/>
      <c r="HO42"/>
      <c r="HP42"/>
      <c r="HQ42"/>
      <c r="HR42"/>
      <c r="HS42"/>
      <c r="HT42"/>
      <c r="HU42"/>
      <c r="HV42"/>
      <c r="HW42"/>
      <c r="HX42"/>
      <c r="HY42"/>
      <c r="HZ42"/>
      <c r="IA42"/>
      <c r="IB42"/>
      <c r="IC42"/>
      <c r="ID42"/>
      <c r="IE42"/>
      <c r="IF42"/>
      <c r="IH42"/>
      <c r="II42"/>
      <c r="IJ42"/>
      <c r="IK42"/>
      <c r="IL42"/>
      <c r="IM42"/>
      <c r="IN42"/>
      <c r="IO42"/>
      <c r="IP42"/>
      <c r="IQ42"/>
      <c r="IR42"/>
      <c r="IS42"/>
      <c r="IT42"/>
      <c r="IU42"/>
      <c r="IV42"/>
      <c r="IW42"/>
      <c r="IX42"/>
      <c r="IY42"/>
      <c r="IZ42"/>
      <c r="JA42"/>
      <c r="JB42"/>
      <c r="JC42"/>
      <c r="JD42"/>
      <c r="JE42"/>
      <c r="JF42"/>
      <c r="JG42"/>
      <c r="JH42"/>
      <c r="JI42"/>
      <c r="JJ42"/>
      <c r="JK42"/>
      <c r="JL42"/>
      <c r="JM42"/>
      <c r="JN42"/>
      <c r="JP42"/>
      <c r="JQ42"/>
      <c r="JR42"/>
      <c r="JS42"/>
      <c r="JT42"/>
      <c r="JU42"/>
      <c r="JV42"/>
      <c r="JW42"/>
      <c r="JX42"/>
      <c r="JY42"/>
      <c r="JZ42"/>
      <c r="KA42"/>
      <c r="KB42"/>
      <c r="KC42"/>
      <c r="KD42"/>
      <c r="KE42"/>
      <c r="KF42"/>
      <c r="KG42"/>
      <c r="KH42"/>
      <c r="KI42"/>
      <c r="KJ42"/>
      <c r="KK42"/>
      <c r="KL42"/>
      <c r="KM42"/>
      <c r="KN42"/>
      <c r="KO42"/>
      <c r="KP42"/>
      <c r="KQ42"/>
      <c r="KR42"/>
      <c r="KS42"/>
      <c r="KT42"/>
      <c r="KU42"/>
      <c r="KV42"/>
      <c r="KW42"/>
      <c r="KX42"/>
      <c r="KY42"/>
      <c r="KZ42"/>
      <c r="LA42"/>
      <c r="LB42"/>
      <c r="LC42"/>
      <c r="LD42"/>
      <c r="LE42"/>
      <c r="LF42"/>
      <c r="LG42"/>
      <c r="LH42"/>
      <c r="LI42"/>
      <c r="LJ42"/>
      <c r="LK42"/>
      <c r="LL42"/>
      <c r="LM42"/>
      <c r="LN42"/>
      <c r="LO42"/>
      <c r="LP42"/>
      <c r="LQ42"/>
      <c r="LR42"/>
      <c r="LS42"/>
      <c r="LT42"/>
      <c r="LU42"/>
      <c r="LV42"/>
      <c r="LW42"/>
      <c r="LX42"/>
      <c r="LY42"/>
      <c r="LZ42"/>
      <c r="MA42"/>
      <c r="MB42"/>
      <c r="MC42"/>
      <c r="MD42"/>
      <c r="ME42"/>
      <c r="MF42"/>
      <c r="MG42"/>
      <c r="MH42"/>
      <c r="MI42"/>
      <c r="MJ42"/>
      <c r="MK42"/>
      <c r="ML42"/>
      <c r="MM42"/>
      <c r="MN42"/>
      <c r="MO42"/>
      <c r="MP42"/>
      <c r="MQ42"/>
      <c r="MR42"/>
      <c r="MS42"/>
      <c r="MT42"/>
      <c r="MU42"/>
      <c r="MV42"/>
      <c r="MW42"/>
      <c r="MX42"/>
      <c r="MY42"/>
      <c r="MZ42"/>
      <c r="NA42"/>
      <c r="NB42"/>
      <c r="NC42"/>
      <c r="ND42"/>
      <c r="NE42"/>
      <c r="NF42"/>
      <c r="NG42"/>
      <c r="NH42"/>
      <c r="NI42"/>
      <c r="NJ42"/>
      <c r="NK42"/>
      <c r="NL42"/>
      <c r="NM42"/>
      <c r="NN42"/>
      <c r="NO42"/>
      <c r="NP42"/>
      <c r="NQ42"/>
      <c r="NR42"/>
      <c r="NS42"/>
      <c r="NT42"/>
      <c r="NU42"/>
      <c r="NV42"/>
      <c r="NW42"/>
      <c r="NX42"/>
      <c r="NY42"/>
      <c r="NZ42"/>
      <c r="OA42"/>
      <c r="OB42"/>
      <c r="OC42"/>
      <c r="OD42"/>
      <c r="OE42"/>
      <c r="OF42"/>
      <c r="OG42"/>
      <c r="OH42"/>
      <c r="OI42"/>
      <c r="OJ42"/>
      <c r="OK42"/>
      <c r="OL42"/>
      <c r="OM42"/>
      <c r="ON42"/>
      <c r="OO42"/>
      <c r="OP42"/>
      <c r="OQ42"/>
      <c r="OR42"/>
      <c r="OS42"/>
      <c r="OT42"/>
      <c r="OU42"/>
      <c r="OV42"/>
      <c r="OW42"/>
      <c r="OX42"/>
      <c r="OY42"/>
      <c r="OZ42"/>
      <c r="PA42"/>
      <c r="PB42"/>
      <c r="PC42"/>
      <c r="PD42"/>
      <c r="PE42"/>
      <c r="PF42"/>
      <c r="PG42"/>
      <c r="PH42"/>
      <c r="PI42"/>
      <c r="PJ42"/>
      <c r="PK42"/>
      <c r="PL42"/>
      <c r="PM42"/>
      <c r="PN42"/>
      <c r="PO42"/>
      <c r="PP42"/>
      <c r="PQ42"/>
      <c r="PR42"/>
      <c r="PS42"/>
      <c r="PT42"/>
      <c r="PU42"/>
      <c r="PV42"/>
      <c r="PW42"/>
      <c r="PX42"/>
      <c r="PY42"/>
      <c r="PZ42"/>
      <c r="QA42"/>
      <c r="QB42"/>
      <c r="QC42"/>
      <c r="QD42"/>
      <c r="QE42"/>
      <c r="QF42"/>
      <c r="QG42"/>
      <c r="QH42"/>
      <c r="QI42"/>
      <c r="QJ42"/>
      <c r="QK42"/>
      <c r="QL42"/>
      <c r="QM42"/>
      <c r="QN42"/>
      <c r="QO42"/>
      <c r="QP42"/>
      <c r="QQ42"/>
      <c r="QR42"/>
      <c r="QS42"/>
      <c r="QT42"/>
      <c r="QU42"/>
      <c r="QV42"/>
      <c r="QW42"/>
      <c r="QX42"/>
      <c r="QY42"/>
      <c r="QZ42"/>
      <c r="RA42"/>
      <c r="RB42"/>
      <c r="RC42"/>
      <c r="RD42"/>
      <c r="RE42"/>
      <c r="RF42"/>
      <c r="RG42"/>
      <c r="RH42"/>
      <c r="RI42"/>
      <c r="RJ42"/>
      <c r="RK42"/>
      <c r="RL42"/>
      <c r="RM42"/>
      <c r="RN42"/>
      <c r="RO42"/>
      <c r="RP42"/>
      <c r="RQ42"/>
      <c r="RR42"/>
      <c r="RS42"/>
      <c r="RT42"/>
      <c r="RU42"/>
      <c r="RV42"/>
      <c r="RW42"/>
      <c r="RX42"/>
      <c r="RY42"/>
      <c r="RZ42"/>
      <c r="SA42"/>
      <c r="SB42"/>
      <c r="SC42"/>
      <c r="SD42"/>
      <c r="SE42"/>
      <c r="SF42"/>
      <c r="SG42"/>
      <c r="SH42"/>
      <c r="SI42"/>
      <c r="SJ42"/>
      <c r="SK42"/>
      <c r="SL42"/>
      <c r="SM42"/>
      <c r="SN42"/>
      <c r="SO42"/>
      <c r="SP42"/>
      <c r="SQ42"/>
      <c r="SR42"/>
      <c r="SS42"/>
      <c r="ST42"/>
      <c r="SU42"/>
      <c r="SV42"/>
      <c r="SW42"/>
      <c r="SX42"/>
      <c r="SY42"/>
      <c r="SZ42"/>
      <c r="TA42"/>
      <c r="TB42"/>
      <c r="TC42"/>
      <c r="TD42"/>
      <c r="TE42"/>
      <c r="TF42"/>
      <c r="TG42"/>
      <c r="TH42"/>
      <c r="TI42"/>
      <c r="TJ42"/>
      <c r="TK42"/>
      <c r="TL42"/>
      <c r="TM42"/>
      <c r="TN42"/>
      <c r="TO42"/>
      <c r="TP42"/>
      <c r="TQ42"/>
      <c r="TR42"/>
      <c r="TS42"/>
      <c r="TT42"/>
      <c r="TU42"/>
      <c r="TV42"/>
    </row>
    <row r="43" spans="1:542" s="36" customFormat="1" x14ac:dyDescent="0.2">
      <c r="A43" s="5"/>
      <c r="B43" s="5"/>
      <c r="C43" s="20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O43" s="32"/>
      <c r="AP43" s="32"/>
      <c r="AQ43" s="32"/>
      <c r="AR43" s="32"/>
      <c r="AS43" s="32"/>
      <c r="AV43" s="32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Q43" s="32"/>
      <c r="CR43" s="32"/>
      <c r="CS43" s="32"/>
      <c r="CT43" s="32"/>
      <c r="CU43" s="32"/>
      <c r="CX43" s="32"/>
      <c r="DB43"/>
      <c r="DC43"/>
      <c r="DD43"/>
      <c r="DE43"/>
      <c r="DF43"/>
      <c r="DG43"/>
      <c r="DH43"/>
      <c r="DI43"/>
      <c r="DJ43"/>
      <c r="DK43"/>
      <c r="DL43"/>
      <c r="DM43"/>
      <c r="DN43"/>
      <c r="DO43"/>
      <c r="DP43"/>
      <c r="DQ43"/>
      <c r="DR43"/>
      <c r="DS43"/>
      <c r="DT43"/>
      <c r="DU43"/>
      <c r="DV43"/>
      <c r="DW43"/>
      <c r="DX43"/>
      <c r="DY43"/>
      <c r="DZ43"/>
      <c r="EA43"/>
      <c r="EB43"/>
      <c r="EC43"/>
      <c r="ED43"/>
      <c r="EE43"/>
      <c r="EF43"/>
      <c r="EG43"/>
      <c r="EH43"/>
      <c r="EJ43"/>
      <c r="EK43"/>
      <c r="EL43"/>
      <c r="EM43"/>
      <c r="EN43"/>
      <c r="EO43"/>
      <c r="EP43"/>
      <c r="EQ43"/>
      <c r="ER43"/>
      <c r="ES43"/>
      <c r="ET43"/>
      <c r="EU43"/>
      <c r="EV43"/>
      <c r="EW43"/>
      <c r="EX43"/>
      <c r="EY43"/>
      <c r="EZ43"/>
      <c r="FA43"/>
      <c r="FB43"/>
      <c r="FC43"/>
      <c r="FD43"/>
      <c r="FE43"/>
      <c r="FF43"/>
      <c r="FG43"/>
      <c r="FH43"/>
      <c r="FI43"/>
      <c r="FJ43"/>
      <c r="FK43"/>
      <c r="FL43"/>
      <c r="FM43"/>
      <c r="FN43"/>
      <c r="FO43"/>
      <c r="FP43"/>
      <c r="FR43"/>
      <c r="FS43"/>
      <c r="FT43"/>
      <c r="FU43"/>
      <c r="FV43"/>
      <c r="FW43"/>
      <c r="FX43"/>
      <c r="FY43"/>
      <c r="FZ43"/>
      <c r="GA43"/>
      <c r="GB43"/>
      <c r="GC43"/>
      <c r="GD43"/>
      <c r="GE43"/>
      <c r="GF43"/>
      <c r="GG43"/>
      <c r="GH43"/>
      <c r="GI43"/>
      <c r="GJ43"/>
      <c r="GK43"/>
      <c r="GL43"/>
      <c r="GM43"/>
      <c r="GN43"/>
      <c r="GO43"/>
      <c r="GP43"/>
      <c r="GQ43"/>
      <c r="GR43"/>
      <c r="GS43"/>
      <c r="GT43"/>
      <c r="GU43"/>
      <c r="GV43"/>
      <c r="GW43"/>
      <c r="GX43"/>
      <c r="GZ43"/>
      <c r="HA43"/>
      <c r="HB43"/>
      <c r="HC43"/>
      <c r="HD43"/>
      <c r="HE43"/>
      <c r="HF43"/>
      <c r="HG43"/>
      <c r="HH43"/>
      <c r="HI43"/>
      <c r="HJ43"/>
      <c r="HK43"/>
      <c r="HL43"/>
      <c r="HM43"/>
      <c r="HN43"/>
      <c r="HO43"/>
      <c r="HP43"/>
      <c r="HQ43"/>
      <c r="HR43"/>
      <c r="HS43"/>
      <c r="HT43"/>
      <c r="HU43"/>
      <c r="HV43"/>
      <c r="HW43"/>
      <c r="HX43"/>
      <c r="HY43"/>
      <c r="HZ43"/>
      <c r="IA43"/>
      <c r="IB43"/>
      <c r="IC43"/>
      <c r="ID43"/>
      <c r="IE43"/>
      <c r="IF43"/>
      <c r="IH43"/>
      <c r="II43"/>
      <c r="IJ43"/>
      <c r="IK43"/>
      <c r="IL43"/>
      <c r="IM43"/>
      <c r="IN43"/>
      <c r="IO43"/>
      <c r="IP43"/>
      <c r="IQ43"/>
      <c r="IR43"/>
      <c r="IS43"/>
      <c r="IT43"/>
      <c r="IU43"/>
      <c r="IV43"/>
      <c r="IW43"/>
      <c r="IX43"/>
      <c r="IY43"/>
      <c r="IZ43"/>
      <c r="JA43"/>
      <c r="JB43"/>
      <c r="JC43"/>
      <c r="JD43"/>
      <c r="JE43"/>
      <c r="JF43"/>
      <c r="JG43"/>
      <c r="JH43"/>
      <c r="JI43"/>
      <c r="JJ43"/>
      <c r="JK43"/>
      <c r="JL43"/>
      <c r="JM43"/>
      <c r="JN43"/>
      <c r="JP43"/>
      <c r="JQ43"/>
      <c r="JR43"/>
      <c r="JS43"/>
      <c r="JT43"/>
      <c r="JU43"/>
      <c r="JV43"/>
      <c r="JW43"/>
      <c r="JX43"/>
      <c r="JY43"/>
      <c r="JZ43"/>
      <c r="KA43"/>
      <c r="KB43"/>
      <c r="KC43"/>
      <c r="KD43"/>
      <c r="KE43"/>
      <c r="KF43"/>
      <c r="KG43"/>
      <c r="KH43"/>
      <c r="KI43"/>
      <c r="KJ43"/>
      <c r="KK43"/>
      <c r="KL43"/>
      <c r="KM43"/>
      <c r="KN43"/>
      <c r="KO43"/>
      <c r="KP43"/>
      <c r="KQ43"/>
      <c r="KR43"/>
      <c r="KS43"/>
      <c r="KT43"/>
      <c r="KU43"/>
      <c r="KV43"/>
      <c r="KW43"/>
      <c r="KX43"/>
      <c r="KY43"/>
      <c r="KZ43"/>
      <c r="LA43"/>
      <c r="LB43"/>
      <c r="LC43"/>
      <c r="LD43"/>
      <c r="LE43"/>
      <c r="LF43"/>
      <c r="LG43"/>
      <c r="LH43"/>
      <c r="LI43"/>
      <c r="LJ43"/>
      <c r="LK43"/>
      <c r="LL43"/>
      <c r="LM43"/>
      <c r="LN43"/>
      <c r="LO43"/>
      <c r="LP43"/>
      <c r="LQ43"/>
      <c r="LR43"/>
      <c r="LS43"/>
      <c r="LT43"/>
      <c r="LU43"/>
      <c r="LV43"/>
      <c r="LW43"/>
      <c r="LX43"/>
      <c r="LY43"/>
      <c r="LZ43"/>
      <c r="MA43"/>
      <c r="MB43"/>
      <c r="MC43"/>
      <c r="MD43"/>
      <c r="ME43"/>
      <c r="MF43"/>
      <c r="MG43"/>
      <c r="MH43"/>
      <c r="MI43"/>
      <c r="MJ43"/>
      <c r="MK43"/>
      <c r="ML43"/>
      <c r="MM43"/>
      <c r="MN43"/>
      <c r="MO43"/>
      <c r="MP43"/>
      <c r="MQ43"/>
      <c r="MR43"/>
      <c r="MS43"/>
      <c r="MT43"/>
      <c r="MU43"/>
      <c r="MV43"/>
      <c r="MW43"/>
      <c r="MX43"/>
      <c r="MY43"/>
      <c r="MZ43"/>
      <c r="NA43"/>
      <c r="NB43"/>
      <c r="NC43"/>
      <c r="ND43"/>
      <c r="NE43"/>
      <c r="NF43"/>
      <c r="NG43"/>
      <c r="NH43"/>
      <c r="NI43"/>
      <c r="NJ43"/>
      <c r="NK43"/>
      <c r="NL43"/>
      <c r="NM43"/>
      <c r="NN43"/>
      <c r="NO43"/>
      <c r="NP43"/>
      <c r="NQ43"/>
      <c r="NR43"/>
      <c r="NS43"/>
      <c r="NT43"/>
      <c r="NU43"/>
      <c r="NV43"/>
      <c r="NW43"/>
      <c r="NX43"/>
      <c r="NY43"/>
      <c r="NZ43"/>
      <c r="OA43"/>
      <c r="OB43"/>
      <c r="OC43"/>
      <c r="OD43"/>
      <c r="OE43"/>
      <c r="OF43"/>
      <c r="OG43"/>
      <c r="OH43"/>
      <c r="OI43"/>
      <c r="OJ43"/>
      <c r="OK43"/>
      <c r="OL43"/>
      <c r="OM43"/>
      <c r="ON43"/>
      <c r="OO43"/>
      <c r="OP43"/>
      <c r="OQ43"/>
      <c r="OR43"/>
      <c r="OS43"/>
      <c r="OT43"/>
      <c r="OU43"/>
      <c r="OV43"/>
      <c r="OW43"/>
      <c r="OX43"/>
      <c r="OY43"/>
      <c r="OZ43"/>
      <c r="PA43"/>
      <c r="PB43"/>
      <c r="PC43"/>
      <c r="PD43"/>
      <c r="PE43"/>
      <c r="PF43"/>
      <c r="PG43"/>
      <c r="PH43"/>
      <c r="PI43"/>
      <c r="PJ43"/>
      <c r="PK43"/>
      <c r="PL43"/>
      <c r="PM43"/>
      <c r="PN43"/>
      <c r="PO43"/>
      <c r="PP43"/>
      <c r="PQ43"/>
      <c r="PR43"/>
      <c r="PS43"/>
      <c r="PT43"/>
      <c r="PU43"/>
      <c r="PV43"/>
      <c r="PW43"/>
      <c r="PX43"/>
      <c r="PY43"/>
      <c r="PZ43"/>
      <c r="QA43"/>
      <c r="QB43"/>
      <c r="QC43"/>
      <c r="QD43"/>
      <c r="QE43"/>
      <c r="QF43"/>
      <c r="QG43"/>
      <c r="QH43"/>
      <c r="QI43"/>
      <c r="QJ43"/>
      <c r="QK43"/>
      <c r="QL43"/>
      <c r="QM43"/>
      <c r="QN43"/>
      <c r="QO43"/>
      <c r="QP43"/>
      <c r="QQ43"/>
      <c r="QR43"/>
      <c r="QS43"/>
      <c r="QT43"/>
      <c r="QU43"/>
      <c r="QV43"/>
      <c r="QW43"/>
      <c r="QX43"/>
      <c r="QY43"/>
      <c r="QZ43"/>
      <c r="RA43"/>
      <c r="RB43"/>
      <c r="RC43"/>
      <c r="RD43"/>
      <c r="RE43"/>
      <c r="RF43"/>
      <c r="RG43"/>
      <c r="RH43"/>
      <c r="RI43"/>
      <c r="RJ43"/>
      <c r="RK43"/>
      <c r="RL43"/>
      <c r="RM43"/>
      <c r="RN43"/>
      <c r="RO43"/>
      <c r="RP43"/>
      <c r="RQ43"/>
      <c r="RR43"/>
      <c r="RS43"/>
      <c r="RT43"/>
      <c r="RU43"/>
      <c r="RV43"/>
      <c r="RW43"/>
      <c r="RX43"/>
      <c r="RY43"/>
      <c r="RZ43"/>
      <c r="SA43"/>
      <c r="SB43"/>
      <c r="SC43"/>
      <c r="SD43"/>
      <c r="SE43"/>
      <c r="SF43"/>
      <c r="SG43"/>
      <c r="SH43"/>
      <c r="SI43"/>
      <c r="SJ43"/>
      <c r="SK43"/>
      <c r="SL43"/>
      <c r="SM43"/>
      <c r="SN43"/>
      <c r="SO43"/>
      <c r="SP43"/>
      <c r="SQ43"/>
      <c r="SR43"/>
      <c r="SS43"/>
      <c r="ST43"/>
      <c r="SU43"/>
      <c r="SV43"/>
      <c r="SW43"/>
      <c r="SX43"/>
      <c r="SY43"/>
      <c r="SZ43"/>
      <c r="TA43"/>
      <c r="TB43"/>
      <c r="TC43"/>
      <c r="TD43"/>
      <c r="TE43"/>
      <c r="TF43"/>
      <c r="TG43"/>
      <c r="TH43"/>
      <c r="TI43"/>
      <c r="TJ43"/>
      <c r="TK43"/>
      <c r="TL43"/>
      <c r="TM43"/>
      <c r="TN43"/>
      <c r="TO43"/>
      <c r="TP43"/>
      <c r="TQ43"/>
      <c r="TR43"/>
      <c r="TS43"/>
      <c r="TT43"/>
      <c r="TU43"/>
      <c r="TV43"/>
    </row>
    <row r="44" spans="1:542" s="36" customFormat="1" ht="17" x14ac:dyDescent="0.2">
      <c r="A44" s="5"/>
      <c r="B44" s="5"/>
      <c r="C44" s="20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 s="10"/>
      <c r="U44" s="10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O44" s="32"/>
      <c r="AP44" s="32"/>
      <c r="AQ44" s="32"/>
      <c r="AR44" s="32"/>
      <c r="AS44" s="32"/>
      <c r="AV44" s="32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  <c r="CN44"/>
      <c r="CQ44" s="32"/>
      <c r="CR44" s="32"/>
      <c r="CS44" s="32"/>
      <c r="CT44" s="32"/>
      <c r="CU44" s="32"/>
      <c r="CX44" s="32"/>
      <c r="DB44"/>
      <c r="DC44"/>
      <c r="DD44"/>
      <c r="DE44"/>
      <c r="DF44"/>
      <c r="DG44"/>
      <c r="DH44"/>
      <c r="DI44"/>
      <c r="DJ44"/>
      <c r="DK44"/>
      <c r="DL44"/>
      <c r="DM44"/>
      <c r="DN44"/>
      <c r="DO44"/>
      <c r="DP44"/>
      <c r="DQ44"/>
      <c r="DR44"/>
      <c r="DS44"/>
      <c r="DT44"/>
      <c r="DU44"/>
      <c r="DV44"/>
      <c r="DW44"/>
      <c r="DX44"/>
      <c r="DY44"/>
      <c r="DZ44"/>
      <c r="EA44"/>
      <c r="EB44"/>
      <c r="EC44"/>
      <c r="ED44"/>
      <c r="EE44"/>
      <c r="EF44"/>
      <c r="EG44"/>
      <c r="EH44"/>
      <c r="EJ44"/>
      <c r="EK44"/>
      <c r="EL44"/>
      <c r="EM44"/>
      <c r="EN44"/>
      <c r="EO44"/>
      <c r="EP44"/>
      <c r="EQ44"/>
      <c r="ER44"/>
      <c r="ES44"/>
      <c r="ET44"/>
      <c r="EU44"/>
      <c r="EV44"/>
      <c r="EW44"/>
      <c r="EX44"/>
      <c r="EY44"/>
      <c r="EZ44"/>
      <c r="FA44"/>
      <c r="FB44"/>
      <c r="FC44"/>
      <c r="FD44"/>
      <c r="FE44"/>
      <c r="FF44"/>
      <c r="FG44"/>
      <c r="FH44"/>
      <c r="FI44"/>
      <c r="FJ44"/>
      <c r="FK44"/>
      <c r="FL44"/>
      <c r="FM44"/>
      <c r="FN44"/>
      <c r="FO44"/>
      <c r="FP44"/>
      <c r="FR44"/>
      <c r="FS44"/>
      <c r="FT44"/>
      <c r="FU44"/>
      <c r="FV44"/>
      <c r="FW44"/>
      <c r="FX44"/>
      <c r="FY44"/>
      <c r="FZ44"/>
      <c r="GA44"/>
      <c r="GB44"/>
      <c r="GC44"/>
      <c r="GD44"/>
      <c r="GE44"/>
      <c r="GF44"/>
      <c r="GG44"/>
      <c r="GH44"/>
      <c r="GI44"/>
      <c r="GJ44"/>
      <c r="GK44"/>
      <c r="GL44"/>
      <c r="GM44"/>
      <c r="GN44"/>
      <c r="GO44"/>
      <c r="GP44"/>
      <c r="GQ44"/>
      <c r="GR44"/>
      <c r="GS44"/>
      <c r="GT44"/>
      <c r="GU44"/>
      <c r="GV44"/>
      <c r="GW44"/>
      <c r="GX44"/>
      <c r="GZ44"/>
      <c r="HA44"/>
      <c r="HB44"/>
      <c r="HC44"/>
      <c r="HD44"/>
      <c r="HE44"/>
      <c r="HF44"/>
      <c r="HG44"/>
      <c r="HH44"/>
      <c r="HI44"/>
      <c r="HJ44"/>
      <c r="HK44"/>
      <c r="HL44"/>
      <c r="HM44"/>
      <c r="HN44"/>
      <c r="HO44"/>
      <c r="HP44"/>
      <c r="HQ44"/>
      <c r="HR44"/>
      <c r="HS44"/>
      <c r="HT44"/>
      <c r="HU44"/>
      <c r="HV44"/>
      <c r="HW44"/>
      <c r="HX44"/>
      <c r="HY44"/>
      <c r="HZ44"/>
      <c r="IA44"/>
      <c r="IB44"/>
      <c r="IC44"/>
      <c r="ID44"/>
      <c r="IE44"/>
      <c r="IF44"/>
      <c r="IH44"/>
      <c r="II44"/>
      <c r="IJ44"/>
      <c r="IK44"/>
      <c r="IL44"/>
      <c r="IM44"/>
      <c r="IN44"/>
      <c r="IO44"/>
      <c r="IP44"/>
      <c r="IQ44"/>
      <c r="IR44"/>
      <c r="IS44"/>
      <c r="IT44"/>
      <c r="IU44"/>
      <c r="IV44"/>
      <c r="IW44"/>
      <c r="IX44"/>
      <c r="IY44"/>
      <c r="IZ44"/>
      <c r="JA44"/>
      <c r="JB44"/>
      <c r="JC44"/>
      <c r="JD44"/>
      <c r="JE44"/>
      <c r="JF44"/>
      <c r="JG44"/>
      <c r="JH44"/>
      <c r="JI44"/>
      <c r="JJ44"/>
      <c r="JK44"/>
      <c r="JL44"/>
      <c r="JM44"/>
      <c r="JN44"/>
      <c r="JP44"/>
      <c r="JQ44"/>
      <c r="JR44"/>
      <c r="JS44"/>
      <c r="JT44"/>
      <c r="JU44"/>
      <c r="JV44"/>
      <c r="JW44"/>
      <c r="JX44"/>
      <c r="JY44"/>
      <c r="JZ44"/>
      <c r="KA44"/>
      <c r="KB44"/>
      <c r="KC44"/>
      <c r="KD44"/>
      <c r="KE44"/>
      <c r="KF44"/>
      <c r="KG44"/>
      <c r="KH44"/>
      <c r="KI44"/>
      <c r="KJ44"/>
      <c r="KK44"/>
      <c r="KL44"/>
      <c r="KM44"/>
      <c r="KN44"/>
      <c r="KO44"/>
      <c r="KP44"/>
      <c r="KQ44"/>
      <c r="KR44"/>
      <c r="KS44"/>
      <c r="KT44"/>
      <c r="KU44"/>
      <c r="KV44"/>
      <c r="KW44"/>
      <c r="KX44"/>
      <c r="KY44"/>
      <c r="KZ44"/>
      <c r="LA44"/>
      <c r="LB44"/>
      <c r="LC44"/>
      <c r="LD44"/>
      <c r="LE44"/>
      <c r="LF44"/>
      <c r="LG44"/>
      <c r="LH44"/>
      <c r="LI44"/>
      <c r="LJ44"/>
      <c r="LK44"/>
      <c r="LL44"/>
      <c r="LM44"/>
      <c r="LN44"/>
      <c r="LO44"/>
      <c r="LP44"/>
      <c r="LQ44"/>
      <c r="LR44"/>
      <c r="LS44"/>
      <c r="LT44"/>
      <c r="LU44"/>
      <c r="LV44"/>
      <c r="LW44"/>
      <c r="LX44"/>
      <c r="LY44"/>
      <c r="LZ44"/>
      <c r="MA44"/>
      <c r="MB44"/>
      <c r="MC44"/>
      <c r="MD44"/>
      <c r="ME44"/>
      <c r="MF44"/>
      <c r="MG44"/>
      <c r="MH44"/>
      <c r="MI44"/>
      <c r="MJ44"/>
      <c r="MK44"/>
      <c r="ML44"/>
      <c r="MM44"/>
      <c r="MN44"/>
      <c r="MO44"/>
      <c r="MP44"/>
      <c r="MQ44"/>
      <c r="MR44"/>
      <c r="MS44"/>
      <c r="MT44"/>
      <c r="MU44"/>
      <c r="MV44"/>
      <c r="MW44"/>
      <c r="MX44"/>
      <c r="MY44"/>
      <c r="MZ44"/>
      <c r="NA44"/>
      <c r="NB44"/>
      <c r="NC44"/>
      <c r="ND44"/>
      <c r="NE44"/>
      <c r="NF44"/>
      <c r="NG44"/>
      <c r="NH44"/>
      <c r="NI44"/>
      <c r="NJ44"/>
      <c r="NK44"/>
      <c r="NL44"/>
      <c r="NM44"/>
      <c r="NN44"/>
      <c r="NO44"/>
      <c r="NP44"/>
      <c r="NQ44"/>
      <c r="NR44"/>
      <c r="NS44"/>
      <c r="NT44"/>
      <c r="NU44"/>
      <c r="NV44"/>
      <c r="NW44"/>
      <c r="NX44"/>
      <c r="NY44"/>
      <c r="NZ44"/>
      <c r="OA44"/>
      <c r="OB44"/>
      <c r="OC44"/>
      <c r="OD44"/>
      <c r="OE44"/>
      <c r="OF44"/>
      <c r="OG44"/>
      <c r="OH44"/>
      <c r="OI44"/>
      <c r="OJ44"/>
      <c r="OK44"/>
      <c r="OL44"/>
      <c r="OM44"/>
      <c r="ON44"/>
      <c r="OO44"/>
      <c r="OP44"/>
      <c r="OQ44"/>
      <c r="OR44"/>
      <c r="OS44"/>
      <c r="OT44"/>
      <c r="OU44"/>
      <c r="OV44"/>
      <c r="OW44"/>
      <c r="OX44"/>
      <c r="OY44"/>
      <c r="OZ44"/>
      <c r="PA44"/>
      <c r="PB44"/>
      <c r="PC44"/>
      <c r="PD44"/>
      <c r="PE44"/>
      <c r="PF44"/>
      <c r="PG44"/>
      <c r="PH44"/>
      <c r="PI44"/>
      <c r="PJ44"/>
      <c r="PK44"/>
      <c r="PL44"/>
      <c r="PM44"/>
      <c r="PN44"/>
      <c r="PO44"/>
      <c r="PP44"/>
      <c r="PQ44"/>
      <c r="PR44"/>
      <c r="PS44"/>
      <c r="PT44"/>
      <c r="PU44"/>
      <c r="PV44"/>
      <c r="PW44"/>
      <c r="PX44"/>
      <c r="PY44"/>
      <c r="PZ44"/>
      <c r="QA44"/>
      <c r="QB44"/>
      <c r="QC44"/>
      <c r="QD44"/>
      <c r="QE44"/>
      <c r="QF44"/>
      <c r="QG44"/>
      <c r="QH44"/>
      <c r="QI44"/>
      <c r="QJ44"/>
      <c r="QK44"/>
      <c r="QL44"/>
      <c r="QM44"/>
      <c r="QN44"/>
      <c r="QO44"/>
      <c r="QP44"/>
      <c r="QQ44"/>
      <c r="QR44"/>
      <c r="QS44"/>
      <c r="QT44"/>
      <c r="QU44"/>
      <c r="QV44"/>
      <c r="QW44"/>
      <c r="QX44"/>
      <c r="QY44"/>
      <c r="QZ44"/>
      <c r="RA44"/>
      <c r="RB44"/>
      <c r="RC44"/>
      <c r="RD44"/>
      <c r="RE44"/>
      <c r="RF44"/>
      <c r="RG44"/>
      <c r="RH44"/>
      <c r="RI44"/>
      <c r="RJ44"/>
      <c r="RK44"/>
      <c r="RL44"/>
      <c r="RM44"/>
      <c r="RN44"/>
      <c r="RO44"/>
      <c r="RP44"/>
      <c r="RQ44"/>
      <c r="RR44"/>
      <c r="RS44"/>
      <c r="RT44"/>
      <c r="RU44"/>
      <c r="RV44"/>
      <c r="RW44"/>
      <c r="RX44"/>
      <c r="RY44"/>
      <c r="RZ44"/>
      <c r="SA44"/>
      <c r="SB44"/>
      <c r="SC44"/>
      <c r="SD44"/>
      <c r="SE44"/>
      <c r="SF44"/>
      <c r="SG44"/>
      <c r="SH44"/>
      <c r="SI44"/>
      <c r="SJ44"/>
      <c r="SK44"/>
      <c r="SL44"/>
      <c r="SM44"/>
      <c r="SN44"/>
      <c r="SO44"/>
      <c r="SP44"/>
      <c r="SQ44"/>
      <c r="SR44"/>
      <c r="SS44"/>
      <c r="ST44"/>
      <c r="SU44"/>
      <c r="SV44"/>
      <c r="SW44"/>
      <c r="SX44"/>
      <c r="SY44"/>
      <c r="SZ44"/>
      <c r="TA44"/>
      <c r="TB44"/>
      <c r="TC44"/>
      <c r="TD44"/>
      <c r="TE44"/>
      <c r="TF44"/>
      <c r="TG44"/>
      <c r="TH44"/>
      <c r="TI44"/>
      <c r="TJ44"/>
      <c r="TK44"/>
      <c r="TL44"/>
      <c r="TM44"/>
      <c r="TN44"/>
      <c r="TO44"/>
      <c r="TP44"/>
      <c r="TQ44"/>
      <c r="TR44"/>
      <c r="TS44"/>
      <c r="TT44"/>
      <c r="TU44"/>
      <c r="TV44"/>
    </row>
    <row r="45" spans="1:542" s="36" customFormat="1" ht="17" x14ac:dyDescent="0.2">
      <c r="A45" s="5"/>
      <c r="B45" s="5"/>
      <c r="C45" s="20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 s="10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O45" s="32"/>
      <c r="AP45" s="32"/>
      <c r="AQ45" s="32"/>
      <c r="AR45" s="32"/>
      <c r="AS45" s="32"/>
      <c r="AV45" s="32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/>
      <c r="CQ45" s="32"/>
      <c r="CR45" s="32"/>
      <c r="CS45" s="32"/>
      <c r="CT45" s="32"/>
      <c r="CU45" s="32"/>
      <c r="CX45" s="32"/>
      <c r="DB45"/>
      <c r="DC45"/>
      <c r="DD45"/>
      <c r="DE45"/>
      <c r="DF45"/>
      <c r="DG45"/>
      <c r="DH45"/>
      <c r="DI45"/>
      <c r="DJ45"/>
      <c r="DK45"/>
      <c r="DL45"/>
      <c r="DM45"/>
      <c r="DN45"/>
      <c r="DO45"/>
      <c r="DP45"/>
      <c r="DQ45"/>
      <c r="DR45"/>
      <c r="DS45"/>
      <c r="DT45"/>
      <c r="DU45"/>
      <c r="DV45"/>
      <c r="DW45"/>
      <c r="DX45"/>
      <c r="DY45"/>
      <c r="DZ45"/>
      <c r="EA45"/>
      <c r="EB45"/>
      <c r="EC45"/>
      <c r="ED45"/>
      <c r="EE45"/>
      <c r="EF45"/>
      <c r="EG45"/>
      <c r="EH45"/>
      <c r="EJ45"/>
      <c r="EK45"/>
      <c r="EL45"/>
      <c r="EM45"/>
      <c r="EN45"/>
      <c r="EO45"/>
      <c r="EP45"/>
      <c r="EQ45"/>
      <c r="ER45"/>
      <c r="ES45"/>
      <c r="ET45"/>
      <c r="EU45"/>
      <c r="EV45"/>
      <c r="EW45"/>
      <c r="EX45"/>
      <c r="EY45"/>
      <c r="EZ45"/>
      <c r="FA45"/>
      <c r="FB45"/>
      <c r="FC45"/>
      <c r="FD45"/>
      <c r="FE45"/>
      <c r="FF45"/>
      <c r="FG45"/>
      <c r="FH45"/>
      <c r="FI45"/>
      <c r="FJ45"/>
      <c r="FK45"/>
      <c r="FL45"/>
      <c r="FM45"/>
      <c r="FN45"/>
      <c r="FO45"/>
      <c r="FP45"/>
      <c r="FR45"/>
      <c r="FS45"/>
      <c r="FT45"/>
      <c r="FU45"/>
      <c r="FV45"/>
      <c r="FW45"/>
      <c r="FX45"/>
      <c r="FY45"/>
      <c r="FZ45"/>
      <c r="GA45"/>
      <c r="GB45"/>
      <c r="GC45"/>
      <c r="GD45"/>
      <c r="GE45"/>
      <c r="GF45"/>
      <c r="GG45"/>
      <c r="GH45"/>
      <c r="GI45"/>
      <c r="GJ45"/>
      <c r="GK45"/>
      <c r="GL45"/>
      <c r="GM45"/>
      <c r="GN45"/>
      <c r="GO45"/>
      <c r="GP45"/>
      <c r="GQ45"/>
      <c r="GR45"/>
      <c r="GS45"/>
      <c r="GT45"/>
      <c r="GU45"/>
      <c r="GV45"/>
      <c r="GW45"/>
      <c r="GX45"/>
      <c r="GZ45"/>
      <c r="HA45"/>
      <c r="HB45"/>
      <c r="HC45"/>
      <c r="HD45"/>
      <c r="HE45"/>
      <c r="HF45"/>
      <c r="HG45"/>
      <c r="HH45"/>
      <c r="HI45"/>
      <c r="HJ45"/>
      <c r="HK45"/>
      <c r="HL45"/>
      <c r="HM45"/>
      <c r="HN45"/>
      <c r="HO45"/>
      <c r="HP45"/>
      <c r="HQ45"/>
      <c r="HR45"/>
      <c r="HS45"/>
      <c r="HT45"/>
      <c r="HU45"/>
      <c r="HV45"/>
      <c r="HW45"/>
      <c r="HX45"/>
      <c r="HY45"/>
      <c r="HZ45"/>
      <c r="IA45"/>
      <c r="IB45"/>
      <c r="IC45"/>
      <c r="ID45"/>
      <c r="IE45"/>
      <c r="IF45"/>
      <c r="IH45"/>
      <c r="II45"/>
      <c r="IJ45"/>
      <c r="IK45"/>
      <c r="IL45"/>
      <c r="IM45"/>
      <c r="IN45"/>
      <c r="IO45"/>
      <c r="IP45"/>
      <c r="IQ45"/>
      <c r="IR45"/>
      <c r="IS45"/>
      <c r="IT45"/>
      <c r="IU45"/>
      <c r="IV45"/>
      <c r="IW45"/>
      <c r="IX45"/>
      <c r="IY45"/>
      <c r="IZ45"/>
      <c r="JA45"/>
      <c r="JB45"/>
      <c r="JC45"/>
      <c r="JD45"/>
      <c r="JE45"/>
      <c r="JF45"/>
      <c r="JG45"/>
      <c r="JH45"/>
      <c r="JI45"/>
      <c r="JJ45"/>
      <c r="JK45"/>
      <c r="JL45"/>
      <c r="JM45"/>
      <c r="JN45"/>
      <c r="JP45"/>
      <c r="JQ45"/>
      <c r="JR45"/>
      <c r="JS45"/>
      <c r="JT45"/>
      <c r="JU45"/>
      <c r="JV45"/>
      <c r="JW45"/>
      <c r="JX45"/>
      <c r="JY45"/>
      <c r="JZ45"/>
      <c r="KA45"/>
      <c r="KB45"/>
      <c r="KC45"/>
      <c r="KD45"/>
      <c r="KE45"/>
      <c r="KF45"/>
      <c r="KG45"/>
      <c r="KH45"/>
      <c r="KI45"/>
      <c r="KJ45"/>
      <c r="KK45"/>
      <c r="KL45"/>
      <c r="KM45"/>
      <c r="KN45"/>
      <c r="KO45"/>
      <c r="KP45"/>
      <c r="KQ45"/>
      <c r="KR45"/>
      <c r="KS45"/>
      <c r="KT45"/>
      <c r="KU45"/>
      <c r="KV45"/>
      <c r="KW45"/>
      <c r="KX45"/>
      <c r="KY45"/>
      <c r="KZ45"/>
      <c r="LA45"/>
      <c r="LB45"/>
      <c r="LC45"/>
      <c r="LD45"/>
      <c r="LE45"/>
      <c r="LF45"/>
      <c r="LG45"/>
      <c r="LH45"/>
      <c r="LI45"/>
      <c r="LJ45"/>
      <c r="LK45"/>
      <c r="LL45"/>
      <c r="LM45"/>
      <c r="LN45"/>
      <c r="LO45"/>
      <c r="LP45"/>
      <c r="LQ45"/>
      <c r="LR45"/>
      <c r="LS45"/>
      <c r="LT45"/>
      <c r="LU45"/>
      <c r="LV45"/>
      <c r="LW45"/>
      <c r="LX45"/>
      <c r="LY45"/>
      <c r="LZ45"/>
      <c r="MA45"/>
      <c r="MB45"/>
      <c r="MC45"/>
      <c r="MD45"/>
      <c r="ME45"/>
      <c r="MF45"/>
      <c r="MG45"/>
      <c r="MH45"/>
      <c r="MI45"/>
      <c r="MJ45"/>
      <c r="MK45"/>
      <c r="ML45"/>
      <c r="MM45"/>
      <c r="MN45"/>
      <c r="MO45"/>
      <c r="MP45"/>
      <c r="MQ45"/>
      <c r="MR45"/>
      <c r="MS45"/>
      <c r="MT45"/>
      <c r="MU45"/>
      <c r="MV45"/>
      <c r="MW45"/>
      <c r="MX45"/>
      <c r="MY45"/>
      <c r="MZ45"/>
      <c r="NA45"/>
      <c r="NB45"/>
      <c r="NC45"/>
      <c r="ND45"/>
      <c r="NE45"/>
      <c r="NF45"/>
      <c r="NG45"/>
      <c r="NH45"/>
      <c r="NI45"/>
      <c r="NJ45"/>
      <c r="NK45"/>
      <c r="NL45"/>
      <c r="NM45"/>
      <c r="NN45"/>
      <c r="NO45"/>
      <c r="NP45"/>
      <c r="NQ45"/>
      <c r="NR45"/>
      <c r="NS45"/>
      <c r="NT45"/>
      <c r="NU45"/>
      <c r="NV45"/>
      <c r="NW45"/>
      <c r="NX45"/>
      <c r="NY45"/>
      <c r="NZ45"/>
      <c r="OA45"/>
      <c r="OB45"/>
      <c r="OC45"/>
      <c r="OD45"/>
      <c r="OE45"/>
      <c r="OF45"/>
      <c r="OG45"/>
      <c r="OH45"/>
      <c r="OI45"/>
      <c r="OJ45"/>
      <c r="OK45"/>
      <c r="OL45"/>
      <c r="OM45"/>
      <c r="ON45"/>
      <c r="OO45"/>
      <c r="OP45"/>
      <c r="OQ45"/>
      <c r="OR45"/>
      <c r="OS45"/>
      <c r="OT45"/>
      <c r="OU45"/>
      <c r="OV45"/>
      <c r="OW45"/>
      <c r="OX45"/>
      <c r="OY45"/>
      <c r="OZ45"/>
      <c r="PA45"/>
      <c r="PB45"/>
      <c r="PC45"/>
      <c r="PD45"/>
      <c r="PE45"/>
      <c r="PF45"/>
      <c r="PG45"/>
      <c r="PH45"/>
      <c r="PI45"/>
      <c r="PJ45"/>
      <c r="PK45"/>
      <c r="PL45"/>
      <c r="PM45"/>
      <c r="PN45"/>
      <c r="PO45"/>
      <c r="PP45"/>
      <c r="PQ45"/>
      <c r="PR45"/>
      <c r="PS45"/>
      <c r="PT45"/>
      <c r="PU45"/>
      <c r="PV45"/>
      <c r="PW45"/>
      <c r="PX45"/>
      <c r="PY45"/>
      <c r="PZ45"/>
      <c r="QA45"/>
      <c r="QB45"/>
      <c r="QC45"/>
      <c r="QD45"/>
      <c r="QE45"/>
      <c r="QF45"/>
      <c r="QG45"/>
      <c r="QH45"/>
      <c r="QI45"/>
      <c r="QJ45"/>
      <c r="QK45"/>
      <c r="QL45"/>
      <c r="QM45"/>
      <c r="QN45"/>
      <c r="QO45"/>
      <c r="QP45"/>
      <c r="QQ45"/>
      <c r="QR45"/>
      <c r="QS45"/>
      <c r="QT45"/>
      <c r="QU45"/>
      <c r="QV45"/>
      <c r="QW45"/>
      <c r="QX45"/>
      <c r="QY45"/>
      <c r="QZ45"/>
      <c r="RA45"/>
      <c r="RB45"/>
      <c r="RC45"/>
      <c r="RD45"/>
      <c r="RE45"/>
      <c r="RF45"/>
      <c r="RG45"/>
      <c r="RH45"/>
      <c r="RI45"/>
      <c r="RJ45"/>
      <c r="RK45"/>
      <c r="RL45"/>
      <c r="RM45"/>
      <c r="RN45"/>
      <c r="RO45"/>
      <c r="RP45"/>
      <c r="RQ45"/>
      <c r="RR45"/>
      <c r="RS45"/>
      <c r="RT45"/>
      <c r="RU45"/>
      <c r="RV45"/>
      <c r="RW45"/>
      <c r="RX45"/>
      <c r="RY45"/>
      <c r="RZ45"/>
      <c r="SA45"/>
      <c r="SB45"/>
      <c r="SC45"/>
      <c r="SD45"/>
      <c r="SE45"/>
      <c r="SF45"/>
      <c r="SG45"/>
      <c r="SH45"/>
      <c r="SI45"/>
      <c r="SJ45"/>
      <c r="SK45"/>
      <c r="SL45"/>
      <c r="SM45"/>
      <c r="SN45"/>
      <c r="SO45"/>
      <c r="SP45"/>
      <c r="SQ45"/>
      <c r="SR45"/>
      <c r="SS45"/>
      <c r="ST45"/>
      <c r="SU45"/>
      <c r="SV45"/>
      <c r="SW45"/>
      <c r="SX45"/>
      <c r="SY45"/>
      <c r="SZ45"/>
      <c r="TA45"/>
      <c r="TB45"/>
      <c r="TC45"/>
      <c r="TD45"/>
      <c r="TE45"/>
      <c r="TF45"/>
      <c r="TG45"/>
      <c r="TH45"/>
      <c r="TI45"/>
      <c r="TJ45"/>
      <c r="TK45"/>
      <c r="TL45"/>
      <c r="TM45"/>
      <c r="TN45"/>
      <c r="TO45"/>
      <c r="TP45"/>
      <c r="TQ45"/>
      <c r="TR45"/>
      <c r="TS45"/>
      <c r="TT45"/>
      <c r="TU45"/>
      <c r="TV45"/>
    </row>
    <row r="46" spans="1:542" s="36" customFormat="1" ht="17" x14ac:dyDescent="0.2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 s="10"/>
      <c r="U46" s="10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O46" s="32"/>
      <c r="AP46" s="32"/>
      <c r="AQ46" s="32"/>
      <c r="AR46" s="32"/>
      <c r="AS46" s="32"/>
      <c r="AV46" s="32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  <c r="CN46"/>
      <c r="CQ46" s="32"/>
      <c r="CR46" s="32"/>
      <c r="CS46" s="32"/>
      <c r="CT46" s="32"/>
      <c r="CU46" s="32"/>
      <c r="CX46" s="32"/>
      <c r="DB46"/>
      <c r="DC46"/>
      <c r="DD46"/>
      <c r="DE46"/>
      <c r="DF46"/>
      <c r="DG46"/>
      <c r="DH46"/>
      <c r="DI46"/>
      <c r="DJ46"/>
      <c r="DK46"/>
      <c r="DL46"/>
      <c r="DM46"/>
      <c r="DN46"/>
      <c r="DO46"/>
      <c r="DP46"/>
      <c r="DQ46"/>
      <c r="DR46"/>
      <c r="DS46"/>
      <c r="DT46"/>
      <c r="DU46"/>
      <c r="DV46"/>
      <c r="DW46"/>
      <c r="DX46"/>
      <c r="DY46"/>
      <c r="DZ46"/>
      <c r="EA46"/>
      <c r="EB46"/>
      <c r="EC46"/>
      <c r="ED46"/>
      <c r="EE46"/>
      <c r="EF46"/>
      <c r="EG46"/>
      <c r="EH46"/>
      <c r="EJ46"/>
      <c r="EK46"/>
      <c r="EL46"/>
      <c r="EM46"/>
      <c r="EN46"/>
      <c r="EO46"/>
      <c r="EP46"/>
      <c r="EQ46"/>
      <c r="ER46"/>
      <c r="ES46"/>
      <c r="ET46"/>
      <c r="EU46"/>
      <c r="EV46"/>
      <c r="EW46"/>
      <c r="EX46"/>
      <c r="EY46"/>
      <c r="EZ46"/>
      <c r="FA46"/>
      <c r="FB46"/>
      <c r="FC46"/>
      <c r="FD46"/>
      <c r="FE46"/>
      <c r="FF46"/>
      <c r="FG46"/>
      <c r="FH46"/>
      <c r="FI46"/>
      <c r="FJ46"/>
      <c r="FK46"/>
      <c r="FL46"/>
      <c r="FM46"/>
      <c r="FN46"/>
      <c r="FO46"/>
      <c r="FP46"/>
      <c r="FR46"/>
      <c r="FS46"/>
      <c r="FT46"/>
      <c r="FU46"/>
      <c r="FV46"/>
      <c r="FW46"/>
      <c r="FX46"/>
      <c r="FY46"/>
      <c r="FZ46"/>
      <c r="GA46"/>
      <c r="GB46"/>
      <c r="GC46"/>
      <c r="GD46"/>
      <c r="GE46"/>
      <c r="GF46"/>
      <c r="GG46"/>
      <c r="GH46"/>
      <c r="GI46"/>
      <c r="GJ46"/>
      <c r="GK46"/>
      <c r="GL46"/>
      <c r="GM46"/>
      <c r="GN46"/>
      <c r="GO46"/>
      <c r="GP46"/>
      <c r="GQ46"/>
      <c r="GR46"/>
      <c r="GS46"/>
      <c r="GT46"/>
      <c r="GU46"/>
      <c r="GV46"/>
      <c r="GW46"/>
      <c r="GX46"/>
      <c r="GZ46"/>
      <c r="HA46"/>
      <c r="HB46"/>
      <c r="HC46"/>
      <c r="HD46"/>
      <c r="HE46"/>
      <c r="HF46"/>
      <c r="HG46"/>
      <c r="HH46"/>
      <c r="HI46"/>
      <c r="HJ46"/>
      <c r="HK46"/>
      <c r="HL46"/>
      <c r="HM46"/>
      <c r="HN46"/>
      <c r="HO46"/>
      <c r="HP46"/>
      <c r="HQ46"/>
      <c r="HR46"/>
      <c r="HS46"/>
      <c r="HT46"/>
      <c r="HU46"/>
      <c r="HV46"/>
      <c r="HW46"/>
      <c r="HX46"/>
      <c r="HY46"/>
      <c r="HZ46"/>
      <c r="IA46"/>
      <c r="IB46"/>
      <c r="IC46"/>
      <c r="ID46"/>
      <c r="IE46"/>
      <c r="IF46"/>
      <c r="IH46"/>
      <c r="II46"/>
      <c r="IJ46"/>
      <c r="IK46"/>
      <c r="IL46"/>
      <c r="IM46"/>
      <c r="IN46"/>
      <c r="IO46"/>
      <c r="IP46"/>
      <c r="IQ46"/>
      <c r="IR46"/>
      <c r="IS46"/>
      <c r="IT46"/>
      <c r="IU46"/>
      <c r="IV46"/>
      <c r="IW46"/>
      <c r="IX46"/>
      <c r="IY46"/>
      <c r="IZ46"/>
      <c r="JA46"/>
      <c r="JB46"/>
      <c r="JC46"/>
      <c r="JD46"/>
      <c r="JE46"/>
      <c r="JF46"/>
      <c r="JG46"/>
      <c r="JH46"/>
      <c r="JI46"/>
      <c r="JJ46"/>
      <c r="JK46"/>
      <c r="JL46"/>
      <c r="JM46"/>
      <c r="JN46"/>
      <c r="JP46"/>
      <c r="JQ46"/>
      <c r="JR46"/>
      <c r="JS46"/>
      <c r="JT46"/>
      <c r="JU46"/>
      <c r="JV46"/>
      <c r="JW46"/>
      <c r="JX46"/>
      <c r="JY46"/>
      <c r="JZ46"/>
      <c r="KA46"/>
      <c r="KB46"/>
      <c r="KC46"/>
      <c r="KD46"/>
      <c r="KE46"/>
      <c r="KF46"/>
      <c r="KG46"/>
      <c r="KH46"/>
      <c r="KI46"/>
      <c r="KJ46"/>
      <c r="KK46"/>
      <c r="KL46"/>
      <c r="KM46"/>
      <c r="KN46"/>
      <c r="KO46"/>
      <c r="KP46"/>
      <c r="KQ46"/>
      <c r="KR46"/>
      <c r="KS46"/>
      <c r="KT46"/>
      <c r="KU46"/>
      <c r="KV46"/>
      <c r="KW46"/>
      <c r="KX46"/>
      <c r="KY46"/>
      <c r="KZ46"/>
      <c r="LA46"/>
      <c r="LB46"/>
      <c r="LC46"/>
      <c r="LD46"/>
      <c r="LE46"/>
      <c r="LF46"/>
      <c r="LG46"/>
      <c r="LH46"/>
      <c r="LI46"/>
      <c r="LJ46"/>
      <c r="LK46"/>
      <c r="LL46"/>
      <c r="LM46"/>
      <c r="LN46"/>
      <c r="LO46"/>
      <c r="LP46"/>
      <c r="LQ46"/>
      <c r="LR46"/>
      <c r="LS46"/>
      <c r="LT46"/>
      <c r="LU46"/>
      <c r="LV46"/>
      <c r="LW46"/>
      <c r="LX46"/>
      <c r="LY46"/>
      <c r="LZ46"/>
      <c r="MA46"/>
      <c r="MB46"/>
      <c r="MC46"/>
      <c r="MD46"/>
      <c r="ME46"/>
      <c r="MF46"/>
      <c r="MG46"/>
      <c r="MH46"/>
      <c r="MI46"/>
      <c r="MJ46"/>
      <c r="MK46"/>
      <c r="ML46"/>
      <c r="MM46"/>
      <c r="MN46"/>
      <c r="MO46"/>
      <c r="MP46"/>
      <c r="MQ46"/>
      <c r="MR46"/>
      <c r="MS46"/>
      <c r="MT46"/>
      <c r="MU46"/>
      <c r="MV46"/>
      <c r="MW46"/>
      <c r="MX46"/>
      <c r="MY46"/>
      <c r="MZ46"/>
      <c r="NA46"/>
      <c r="NB46"/>
      <c r="NC46"/>
      <c r="ND46"/>
      <c r="NE46"/>
      <c r="NF46"/>
      <c r="NG46"/>
      <c r="NH46"/>
      <c r="NI46"/>
      <c r="NJ46"/>
      <c r="NK46"/>
      <c r="NL46"/>
      <c r="NM46"/>
      <c r="NN46"/>
      <c r="NO46"/>
      <c r="NP46"/>
      <c r="NQ46"/>
      <c r="NR46"/>
      <c r="NS46"/>
      <c r="NT46"/>
      <c r="NU46"/>
      <c r="NV46"/>
      <c r="NW46"/>
      <c r="NX46"/>
      <c r="NY46"/>
      <c r="NZ46"/>
      <c r="OA46"/>
      <c r="OB46"/>
      <c r="OC46"/>
      <c r="OD46"/>
      <c r="OE46"/>
      <c r="OF46"/>
      <c r="OG46"/>
      <c r="OH46"/>
      <c r="OI46"/>
      <c r="OJ46"/>
      <c r="OK46"/>
      <c r="OL46"/>
      <c r="OM46"/>
      <c r="ON46"/>
      <c r="OO46"/>
      <c r="OP46"/>
      <c r="OQ46"/>
      <c r="OR46"/>
      <c r="OS46"/>
      <c r="OT46"/>
      <c r="OU46"/>
      <c r="OV46"/>
      <c r="OW46"/>
      <c r="OX46"/>
      <c r="OY46"/>
      <c r="OZ46"/>
      <c r="PA46"/>
      <c r="PB46"/>
      <c r="PC46"/>
      <c r="PD46"/>
      <c r="PE46"/>
      <c r="PF46"/>
      <c r="PG46"/>
      <c r="PH46"/>
      <c r="PI46"/>
      <c r="PJ46"/>
      <c r="PK46"/>
      <c r="PL46"/>
      <c r="PM46"/>
      <c r="PN46"/>
      <c r="PO46"/>
      <c r="PP46"/>
      <c r="PQ46"/>
      <c r="PR46"/>
      <c r="PS46"/>
      <c r="PT46"/>
      <c r="PU46"/>
      <c r="PV46"/>
      <c r="PW46"/>
      <c r="PX46"/>
      <c r="PY46"/>
      <c r="PZ46"/>
      <c r="QA46"/>
      <c r="QB46"/>
      <c r="QC46"/>
      <c r="QD46"/>
      <c r="QE46"/>
      <c r="QF46"/>
      <c r="QG46"/>
      <c r="QH46"/>
      <c r="QI46"/>
      <c r="QJ46"/>
      <c r="QK46"/>
      <c r="QL46"/>
      <c r="QM46"/>
      <c r="QN46"/>
      <c r="QO46"/>
      <c r="QP46"/>
      <c r="QQ46"/>
      <c r="QR46"/>
      <c r="QS46"/>
      <c r="QT46"/>
      <c r="QU46"/>
      <c r="QV46"/>
      <c r="QW46"/>
      <c r="QX46"/>
      <c r="QY46"/>
      <c r="QZ46"/>
      <c r="RA46"/>
      <c r="RB46"/>
      <c r="RC46"/>
      <c r="RD46"/>
      <c r="RE46"/>
      <c r="RF46"/>
      <c r="RG46"/>
      <c r="RH46"/>
      <c r="RI46"/>
      <c r="RJ46"/>
      <c r="RK46"/>
      <c r="RL46"/>
      <c r="RM46"/>
      <c r="RN46"/>
      <c r="RO46"/>
      <c r="RP46"/>
      <c r="RQ46"/>
      <c r="RR46"/>
      <c r="RS46"/>
      <c r="RT46"/>
      <c r="RU46"/>
      <c r="RV46"/>
      <c r="RW46"/>
      <c r="RX46"/>
      <c r="RY46"/>
      <c r="RZ46"/>
      <c r="SA46"/>
      <c r="SB46"/>
      <c r="SC46"/>
      <c r="SD46"/>
      <c r="SE46"/>
      <c r="SF46"/>
      <c r="SG46"/>
      <c r="SH46"/>
      <c r="SI46"/>
      <c r="SJ46"/>
      <c r="SK46"/>
      <c r="SL46"/>
      <c r="SM46"/>
      <c r="SN46"/>
      <c r="SO46"/>
      <c r="SP46"/>
      <c r="SQ46"/>
      <c r="SR46"/>
      <c r="SS46"/>
      <c r="ST46"/>
      <c r="SU46"/>
      <c r="SV46"/>
      <c r="SW46"/>
      <c r="SX46"/>
      <c r="SY46"/>
      <c r="SZ46"/>
      <c r="TA46"/>
      <c r="TB46"/>
      <c r="TC46"/>
      <c r="TD46"/>
      <c r="TE46"/>
      <c r="TF46"/>
      <c r="TG46"/>
      <c r="TH46"/>
      <c r="TI46"/>
      <c r="TJ46"/>
      <c r="TK46"/>
      <c r="TL46"/>
      <c r="TM46"/>
      <c r="TN46"/>
      <c r="TO46"/>
      <c r="TP46"/>
      <c r="TQ46"/>
      <c r="TR46"/>
      <c r="TS46"/>
      <c r="TT46"/>
      <c r="TU46"/>
      <c r="TV46"/>
    </row>
    <row r="47" spans="1:542" s="36" customFormat="1" ht="17" x14ac:dyDescent="0.2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 s="10"/>
      <c r="U47" s="10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O47" s="32"/>
      <c r="AP47" s="32"/>
      <c r="AQ47" s="32"/>
      <c r="AR47" s="32"/>
      <c r="AS47" s="32"/>
      <c r="AV47" s="32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  <c r="CN47"/>
      <c r="CQ47" s="32"/>
      <c r="CR47" s="32"/>
      <c r="CS47" s="32"/>
      <c r="CT47" s="32"/>
      <c r="CU47" s="32"/>
      <c r="CX47" s="32"/>
      <c r="DB47"/>
      <c r="DC47"/>
      <c r="DD47"/>
      <c r="DE47"/>
      <c r="DF47"/>
      <c r="DG47"/>
      <c r="DH47"/>
      <c r="DI47"/>
      <c r="DJ47"/>
      <c r="DK47"/>
      <c r="DL47"/>
      <c r="DM47"/>
      <c r="DN47"/>
      <c r="DO47"/>
      <c r="DP47"/>
      <c r="DQ47"/>
      <c r="DR47"/>
      <c r="DS47"/>
      <c r="DT47"/>
      <c r="DU47"/>
      <c r="DV47"/>
      <c r="DW47"/>
      <c r="DX47"/>
      <c r="DY47"/>
      <c r="DZ47"/>
      <c r="EA47"/>
      <c r="EB47"/>
      <c r="EC47"/>
      <c r="ED47"/>
      <c r="EE47"/>
      <c r="EF47"/>
      <c r="EG47"/>
      <c r="EH47"/>
      <c r="EJ47"/>
      <c r="EK47"/>
      <c r="EL47"/>
      <c r="EM47"/>
      <c r="EN47"/>
      <c r="EO47"/>
      <c r="EP47"/>
      <c r="EQ47"/>
      <c r="ER47"/>
      <c r="ES47"/>
      <c r="ET47"/>
      <c r="EU47"/>
      <c r="EV47"/>
      <c r="EW47"/>
      <c r="EX47"/>
      <c r="EY47"/>
      <c r="EZ47"/>
      <c r="FA47"/>
      <c r="FB47"/>
      <c r="FC47"/>
      <c r="FD47"/>
      <c r="FE47"/>
      <c r="FF47"/>
      <c r="FG47"/>
      <c r="FH47"/>
      <c r="FI47"/>
      <c r="FJ47"/>
      <c r="FK47"/>
      <c r="FL47"/>
      <c r="FM47"/>
      <c r="FN47"/>
      <c r="FO47"/>
      <c r="FP47"/>
      <c r="FR47"/>
      <c r="FS47"/>
      <c r="FT47"/>
      <c r="FU47"/>
      <c r="FV47"/>
      <c r="FW47"/>
      <c r="FX47"/>
      <c r="FY47"/>
      <c r="FZ47"/>
      <c r="GA47"/>
      <c r="GB47"/>
      <c r="GC47"/>
      <c r="GD47"/>
      <c r="GE47"/>
      <c r="GF47"/>
      <c r="GG47"/>
      <c r="GH47"/>
      <c r="GI47"/>
      <c r="GJ47"/>
      <c r="GK47"/>
      <c r="GL47"/>
      <c r="GM47"/>
      <c r="GN47"/>
      <c r="GO47"/>
      <c r="GP47"/>
      <c r="GQ47"/>
      <c r="GR47"/>
      <c r="GS47"/>
      <c r="GT47"/>
      <c r="GU47"/>
      <c r="GV47"/>
      <c r="GW47"/>
      <c r="GX47"/>
      <c r="GZ47"/>
      <c r="HA47"/>
      <c r="HB47"/>
      <c r="HC47"/>
      <c r="HD47"/>
      <c r="HE47"/>
      <c r="HF47"/>
      <c r="HG47"/>
      <c r="HH47"/>
      <c r="HI47"/>
      <c r="HJ47"/>
      <c r="HK47"/>
      <c r="HL47"/>
      <c r="HM47"/>
      <c r="HN47"/>
      <c r="HO47"/>
      <c r="HP47"/>
      <c r="HQ47"/>
      <c r="HR47"/>
      <c r="HS47"/>
      <c r="HT47"/>
      <c r="HU47"/>
      <c r="HV47"/>
      <c r="HW47"/>
      <c r="HX47"/>
      <c r="HY47"/>
      <c r="HZ47"/>
      <c r="IA47"/>
      <c r="IB47"/>
      <c r="IC47"/>
      <c r="ID47"/>
      <c r="IE47"/>
      <c r="IF47"/>
      <c r="IH47"/>
      <c r="II47"/>
      <c r="IJ47"/>
      <c r="IK47"/>
      <c r="IL47"/>
      <c r="IM47"/>
      <c r="IN47"/>
      <c r="IO47"/>
      <c r="IP47"/>
      <c r="IQ47"/>
      <c r="IR47"/>
      <c r="IS47"/>
      <c r="IT47"/>
      <c r="IU47"/>
      <c r="IV47"/>
      <c r="IW47"/>
      <c r="IX47"/>
      <c r="IY47"/>
      <c r="IZ47"/>
      <c r="JA47"/>
      <c r="JB47"/>
      <c r="JC47"/>
      <c r="JD47"/>
      <c r="JE47"/>
      <c r="JF47"/>
      <c r="JG47"/>
      <c r="JH47"/>
      <c r="JI47"/>
      <c r="JJ47"/>
      <c r="JK47"/>
      <c r="JL47"/>
      <c r="JM47"/>
      <c r="JN47"/>
      <c r="JP47"/>
      <c r="JQ47"/>
      <c r="JR47"/>
      <c r="JS47"/>
      <c r="JT47"/>
      <c r="JU47"/>
      <c r="JV47"/>
      <c r="JW47"/>
      <c r="JX47"/>
      <c r="JY47"/>
      <c r="JZ47"/>
      <c r="KA47"/>
      <c r="KB47"/>
      <c r="KC47"/>
      <c r="KD47"/>
      <c r="KE47"/>
      <c r="KF47"/>
      <c r="KG47"/>
      <c r="KH47"/>
      <c r="KI47"/>
      <c r="KJ47"/>
      <c r="KK47"/>
      <c r="KL47"/>
      <c r="KM47"/>
      <c r="KN47"/>
      <c r="KO47"/>
      <c r="KP47"/>
      <c r="KQ47"/>
      <c r="KR47"/>
      <c r="KS47"/>
      <c r="KT47"/>
      <c r="KU47"/>
      <c r="KV47"/>
      <c r="KW47"/>
      <c r="KX47"/>
      <c r="KY47"/>
      <c r="KZ47"/>
      <c r="LA47"/>
      <c r="LB47"/>
      <c r="LC47"/>
      <c r="LD47"/>
      <c r="LE47"/>
      <c r="LF47"/>
      <c r="LG47"/>
      <c r="LH47"/>
      <c r="LI47"/>
      <c r="LJ47"/>
      <c r="LK47"/>
      <c r="LL47"/>
      <c r="LM47"/>
      <c r="LN47"/>
      <c r="LO47"/>
      <c r="LP47"/>
      <c r="LQ47"/>
      <c r="LR47"/>
      <c r="LS47"/>
      <c r="LT47"/>
      <c r="LU47"/>
      <c r="LV47"/>
      <c r="LW47"/>
      <c r="LX47"/>
      <c r="LY47"/>
      <c r="LZ47"/>
      <c r="MA47"/>
      <c r="MB47"/>
      <c r="MC47"/>
      <c r="MD47"/>
      <c r="ME47"/>
      <c r="MF47"/>
      <c r="MG47"/>
      <c r="MH47"/>
      <c r="MI47"/>
      <c r="MJ47"/>
      <c r="MK47"/>
      <c r="ML47"/>
      <c r="MM47"/>
      <c r="MN47"/>
      <c r="MO47"/>
      <c r="MP47"/>
      <c r="MQ47"/>
      <c r="MR47"/>
      <c r="MS47"/>
      <c r="MT47"/>
      <c r="MU47"/>
      <c r="MV47"/>
      <c r="MW47"/>
      <c r="MX47"/>
      <c r="MY47"/>
      <c r="MZ47"/>
      <c r="NA47"/>
      <c r="NB47"/>
      <c r="NC47"/>
      <c r="ND47"/>
      <c r="NE47"/>
      <c r="NF47"/>
      <c r="NG47"/>
      <c r="NH47"/>
      <c r="NI47"/>
      <c r="NJ47"/>
      <c r="NK47"/>
      <c r="NL47"/>
      <c r="NM47"/>
      <c r="NN47"/>
      <c r="NO47"/>
      <c r="NP47"/>
      <c r="NQ47"/>
      <c r="NR47"/>
      <c r="NS47"/>
      <c r="NT47"/>
      <c r="NU47"/>
      <c r="NV47"/>
      <c r="NW47"/>
      <c r="NX47"/>
      <c r="NY47"/>
      <c r="NZ47"/>
      <c r="OA47"/>
      <c r="OB47"/>
      <c r="OC47"/>
      <c r="OD47"/>
      <c r="OE47"/>
      <c r="OF47"/>
      <c r="OG47"/>
      <c r="OH47"/>
      <c r="OI47"/>
      <c r="OJ47"/>
      <c r="OK47"/>
      <c r="OL47"/>
      <c r="OM47"/>
      <c r="ON47"/>
      <c r="OO47"/>
      <c r="OP47"/>
      <c r="OQ47"/>
      <c r="OR47"/>
      <c r="OS47"/>
      <c r="OT47"/>
      <c r="OU47"/>
      <c r="OV47"/>
      <c r="OW47"/>
      <c r="OX47"/>
      <c r="OY47"/>
      <c r="OZ47"/>
      <c r="PA47"/>
      <c r="PB47"/>
      <c r="PC47"/>
      <c r="PD47"/>
      <c r="PE47"/>
      <c r="PF47"/>
      <c r="PG47"/>
      <c r="PH47"/>
      <c r="PI47"/>
      <c r="PJ47"/>
      <c r="PK47"/>
      <c r="PL47"/>
      <c r="PM47"/>
      <c r="PN47"/>
      <c r="PO47"/>
      <c r="PP47"/>
      <c r="PQ47"/>
      <c r="PR47"/>
      <c r="PS47"/>
      <c r="PT47"/>
      <c r="PU47"/>
      <c r="PV47"/>
      <c r="PW47"/>
      <c r="PX47"/>
      <c r="PY47"/>
      <c r="PZ47"/>
      <c r="QA47"/>
      <c r="QB47"/>
      <c r="QC47"/>
      <c r="QD47"/>
      <c r="QE47"/>
      <c r="QF47"/>
      <c r="QG47"/>
      <c r="QH47"/>
      <c r="QI47"/>
      <c r="QJ47"/>
      <c r="QK47"/>
      <c r="QL47"/>
      <c r="QM47"/>
      <c r="QN47"/>
      <c r="QO47"/>
      <c r="QP47"/>
      <c r="QQ47"/>
      <c r="QR47"/>
      <c r="QS47"/>
      <c r="QT47"/>
      <c r="QU47"/>
      <c r="QV47"/>
      <c r="QW47"/>
      <c r="QX47"/>
      <c r="QY47"/>
      <c r="QZ47"/>
      <c r="RA47"/>
      <c r="RB47"/>
      <c r="RC47"/>
      <c r="RD47"/>
      <c r="RE47"/>
      <c r="RF47"/>
      <c r="RG47"/>
      <c r="RH47"/>
      <c r="RI47"/>
      <c r="RJ47"/>
      <c r="RK47"/>
      <c r="RL47"/>
      <c r="RM47"/>
      <c r="RN47"/>
      <c r="RO47"/>
      <c r="RP47"/>
      <c r="RQ47"/>
      <c r="RR47"/>
      <c r="RS47"/>
      <c r="RT47"/>
      <c r="RU47"/>
      <c r="RV47"/>
      <c r="RW47"/>
      <c r="RX47"/>
      <c r="RY47"/>
      <c r="RZ47"/>
      <c r="SA47"/>
      <c r="SB47"/>
      <c r="SC47"/>
      <c r="SD47"/>
      <c r="SE47"/>
      <c r="SF47"/>
      <c r="SG47"/>
      <c r="SH47"/>
      <c r="SI47"/>
      <c r="SJ47"/>
      <c r="SK47"/>
      <c r="SL47"/>
      <c r="SM47"/>
      <c r="SN47"/>
      <c r="SO47"/>
      <c r="SP47"/>
      <c r="SQ47"/>
      <c r="SR47"/>
      <c r="SS47"/>
      <c r="ST47"/>
      <c r="SU47"/>
      <c r="SV47"/>
      <c r="SW47"/>
      <c r="SX47"/>
      <c r="SY47"/>
      <c r="SZ47"/>
      <c r="TA47"/>
      <c r="TB47"/>
      <c r="TC47"/>
      <c r="TD47"/>
      <c r="TE47"/>
      <c r="TF47"/>
      <c r="TG47"/>
      <c r="TH47"/>
      <c r="TI47"/>
      <c r="TJ47"/>
      <c r="TK47"/>
      <c r="TL47"/>
      <c r="TM47"/>
      <c r="TN47"/>
      <c r="TO47"/>
      <c r="TP47"/>
      <c r="TQ47"/>
      <c r="TR47"/>
      <c r="TS47"/>
      <c r="TT47"/>
      <c r="TU47"/>
      <c r="TV47"/>
    </row>
    <row r="48" spans="1:542" s="36" customFormat="1" ht="17" x14ac:dyDescent="0.2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 s="10"/>
      <c r="U48" s="10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O48" s="32"/>
      <c r="AP48" s="32"/>
      <c r="AQ48" s="32"/>
      <c r="AR48" s="32"/>
      <c r="AS48" s="32"/>
      <c r="AV48" s="32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/>
      <c r="CQ48" s="32"/>
      <c r="CR48" s="32"/>
      <c r="CS48" s="32"/>
      <c r="CT48" s="32"/>
      <c r="CU48" s="32"/>
      <c r="CX48" s="32"/>
      <c r="DB48"/>
      <c r="DC48"/>
      <c r="DD48"/>
      <c r="DE48"/>
      <c r="DF48"/>
      <c r="DG48"/>
      <c r="DH48"/>
      <c r="DI48"/>
      <c r="DJ48"/>
      <c r="DK48"/>
      <c r="DL48"/>
      <c r="DM48"/>
      <c r="DN48"/>
      <c r="DO48"/>
      <c r="DP48"/>
      <c r="DQ48"/>
      <c r="DR48"/>
      <c r="DS48"/>
      <c r="DT48"/>
      <c r="DU48"/>
      <c r="DV48"/>
      <c r="DW48"/>
      <c r="DX48"/>
      <c r="DY48"/>
      <c r="DZ48"/>
      <c r="EA48"/>
      <c r="EB48"/>
      <c r="EC48"/>
      <c r="ED48"/>
      <c r="EE48"/>
      <c r="EF48"/>
      <c r="EG48"/>
      <c r="EH48"/>
      <c r="EJ48"/>
      <c r="EK48"/>
      <c r="EL48"/>
      <c r="EM48"/>
      <c r="EN48"/>
      <c r="EO48"/>
      <c r="EP48"/>
      <c r="EQ48"/>
      <c r="ER48"/>
      <c r="ES48"/>
      <c r="ET48"/>
      <c r="EU48"/>
      <c r="EV48"/>
      <c r="EW48"/>
      <c r="EX48"/>
      <c r="EY48"/>
      <c r="EZ48"/>
      <c r="FA48"/>
      <c r="FB48"/>
      <c r="FC48"/>
      <c r="FD48"/>
      <c r="FE48"/>
      <c r="FF48"/>
      <c r="FG48"/>
      <c r="FH48"/>
      <c r="FI48"/>
      <c r="FJ48"/>
      <c r="FK48"/>
      <c r="FL48"/>
      <c r="FM48"/>
      <c r="FN48"/>
      <c r="FO48"/>
      <c r="FP48"/>
      <c r="FR48"/>
      <c r="FS48"/>
      <c r="FT48"/>
      <c r="FU48"/>
      <c r="FV48"/>
      <c r="FW48"/>
      <c r="FX48"/>
      <c r="FY48"/>
      <c r="FZ48"/>
      <c r="GA48"/>
      <c r="GB48"/>
      <c r="GC48"/>
      <c r="GD48"/>
      <c r="GE48"/>
      <c r="GF48"/>
      <c r="GG48"/>
      <c r="GH48"/>
      <c r="GI48"/>
      <c r="GJ48"/>
      <c r="GK48"/>
      <c r="GL48"/>
      <c r="GM48"/>
      <c r="GN48"/>
      <c r="GO48"/>
      <c r="GP48"/>
      <c r="GQ48"/>
      <c r="GR48"/>
      <c r="GS48"/>
      <c r="GT48"/>
      <c r="GU48"/>
      <c r="GV48"/>
      <c r="GW48"/>
      <c r="GX48"/>
      <c r="GZ48"/>
      <c r="HA48"/>
      <c r="HB48"/>
      <c r="HC48"/>
      <c r="HD48"/>
      <c r="HE48"/>
      <c r="HF48"/>
      <c r="HG48"/>
      <c r="HH48"/>
      <c r="HI48"/>
      <c r="HJ48"/>
      <c r="HK48"/>
      <c r="HL48"/>
      <c r="HM48"/>
      <c r="HN48"/>
      <c r="HO48"/>
      <c r="HP48"/>
      <c r="HQ48"/>
      <c r="HR48"/>
      <c r="HS48"/>
      <c r="HT48"/>
      <c r="HU48"/>
      <c r="HV48"/>
      <c r="HW48"/>
      <c r="HX48"/>
      <c r="HY48"/>
      <c r="HZ48"/>
      <c r="IA48"/>
      <c r="IB48"/>
      <c r="IC48"/>
      <c r="ID48"/>
      <c r="IE48"/>
      <c r="IF48"/>
      <c r="IH48"/>
      <c r="II48"/>
      <c r="IJ48"/>
      <c r="IK48"/>
      <c r="IL48"/>
      <c r="IM48"/>
      <c r="IN48"/>
      <c r="IO48"/>
      <c r="IP48"/>
      <c r="IQ48"/>
      <c r="IR48"/>
      <c r="IS48"/>
      <c r="IT48"/>
      <c r="IU48"/>
      <c r="IV48"/>
      <c r="IW48"/>
      <c r="IX48"/>
      <c r="IY48"/>
      <c r="IZ48"/>
      <c r="JA48"/>
      <c r="JB48"/>
      <c r="JC48"/>
      <c r="JD48"/>
      <c r="JE48"/>
      <c r="JF48"/>
      <c r="JG48"/>
      <c r="JH48"/>
      <c r="JI48"/>
      <c r="JJ48"/>
      <c r="JK48"/>
      <c r="JL48"/>
      <c r="JM48"/>
      <c r="JN48"/>
      <c r="JP48"/>
      <c r="JQ48"/>
      <c r="JR48"/>
      <c r="JS48"/>
      <c r="JT48"/>
      <c r="JU48"/>
      <c r="JV48"/>
      <c r="JW48"/>
      <c r="JX48"/>
      <c r="JY48"/>
      <c r="JZ48"/>
      <c r="KA48"/>
      <c r="KB48"/>
      <c r="KC48"/>
      <c r="KD48"/>
      <c r="KE48"/>
      <c r="KF48"/>
      <c r="KG48"/>
      <c r="KH48"/>
      <c r="KI48"/>
      <c r="KJ48"/>
      <c r="KK48"/>
      <c r="KL48"/>
      <c r="KM48"/>
      <c r="KN48"/>
      <c r="KO48"/>
      <c r="KP48"/>
      <c r="KQ48"/>
      <c r="KR48"/>
      <c r="KS48"/>
      <c r="KT48"/>
      <c r="KU48"/>
      <c r="KV48"/>
      <c r="KW48"/>
      <c r="KX48"/>
      <c r="KY48"/>
      <c r="KZ48"/>
      <c r="LA48"/>
      <c r="LB48"/>
      <c r="LC48"/>
      <c r="LD48"/>
      <c r="LE48"/>
      <c r="LF48"/>
      <c r="LG48"/>
      <c r="LH48"/>
      <c r="LI48"/>
      <c r="LJ48"/>
      <c r="LK48"/>
      <c r="LL48"/>
      <c r="LM48"/>
      <c r="LN48"/>
      <c r="LO48"/>
      <c r="LP48"/>
      <c r="LQ48"/>
      <c r="LR48"/>
      <c r="LS48"/>
      <c r="LT48"/>
      <c r="LU48"/>
      <c r="LV48"/>
      <c r="LW48"/>
      <c r="LX48"/>
      <c r="LY48"/>
      <c r="LZ48"/>
      <c r="MA48"/>
      <c r="MB48"/>
      <c r="MC48"/>
      <c r="MD48"/>
      <c r="ME48"/>
      <c r="MF48"/>
      <c r="MG48"/>
      <c r="MH48"/>
      <c r="MI48"/>
      <c r="MJ48"/>
      <c r="MK48"/>
      <c r="ML48"/>
      <c r="MM48"/>
      <c r="MN48"/>
      <c r="MO48"/>
      <c r="MP48"/>
      <c r="MQ48"/>
      <c r="MR48"/>
      <c r="MS48"/>
      <c r="MT48"/>
      <c r="MU48"/>
      <c r="MV48"/>
      <c r="MW48"/>
      <c r="MX48"/>
      <c r="MY48"/>
      <c r="MZ48"/>
      <c r="NA48"/>
      <c r="NB48"/>
      <c r="NC48"/>
      <c r="ND48"/>
      <c r="NE48"/>
      <c r="NF48"/>
      <c r="NG48"/>
      <c r="NH48"/>
      <c r="NI48"/>
      <c r="NJ48"/>
      <c r="NK48"/>
      <c r="NL48"/>
      <c r="NM48"/>
      <c r="NN48"/>
      <c r="NO48"/>
      <c r="NP48"/>
      <c r="NQ48"/>
      <c r="NR48"/>
      <c r="NS48"/>
      <c r="NT48"/>
      <c r="NU48"/>
      <c r="NV48"/>
      <c r="NW48"/>
      <c r="NX48"/>
      <c r="NY48"/>
      <c r="NZ48"/>
      <c r="OA48"/>
      <c r="OB48"/>
      <c r="OC48"/>
      <c r="OD48"/>
      <c r="OE48"/>
      <c r="OF48"/>
      <c r="OG48"/>
      <c r="OH48"/>
      <c r="OI48"/>
      <c r="OJ48"/>
      <c r="OK48"/>
      <c r="OL48"/>
      <c r="OM48"/>
      <c r="ON48"/>
      <c r="OO48"/>
      <c r="OP48"/>
      <c r="OQ48"/>
      <c r="OR48"/>
      <c r="OS48"/>
      <c r="OT48"/>
      <c r="OU48"/>
      <c r="OV48"/>
      <c r="OW48"/>
      <c r="OX48"/>
      <c r="OY48"/>
      <c r="OZ48"/>
      <c r="PA48"/>
      <c r="PB48"/>
      <c r="PC48"/>
      <c r="PD48"/>
      <c r="PE48"/>
      <c r="PF48"/>
      <c r="PG48"/>
      <c r="PH48"/>
      <c r="PI48"/>
      <c r="PJ48"/>
      <c r="PK48"/>
      <c r="PL48"/>
      <c r="PM48"/>
      <c r="PN48"/>
      <c r="PO48"/>
      <c r="PP48"/>
      <c r="PQ48"/>
      <c r="PR48"/>
      <c r="PS48"/>
      <c r="PT48"/>
      <c r="PU48"/>
      <c r="PV48"/>
      <c r="PW48"/>
      <c r="PX48"/>
      <c r="PY48"/>
      <c r="PZ48"/>
      <c r="QA48"/>
      <c r="QB48"/>
      <c r="QC48"/>
      <c r="QD48"/>
      <c r="QE48"/>
      <c r="QF48"/>
      <c r="QG48"/>
      <c r="QH48"/>
      <c r="QI48"/>
      <c r="QJ48"/>
      <c r="QK48"/>
      <c r="QL48"/>
      <c r="QM48"/>
      <c r="QN48"/>
      <c r="QO48"/>
      <c r="QP48"/>
      <c r="QQ48"/>
      <c r="QR48"/>
      <c r="QS48"/>
      <c r="QT48"/>
      <c r="QU48"/>
      <c r="QV48"/>
      <c r="QW48"/>
      <c r="QX48"/>
      <c r="QY48"/>
      <c r="QZ48"/>
      <c r="RA48"/>
      <c r="RB48"/>
      <c r="RC48"/>
      <c r="RD48"/>
      <c r="RE48"/>
      <c r="RF48"/>
      <c r="RG48"/>
      <c r="RH48"/>
      <c r="RI48"/>
      <c r="RJ48"/>
      <c r="RK48"/>
      <c r="RL48"/>
      <c r="RM48"/>
      <c r="RN48"/>
      <c r="RO48"/>
      <c r="RP48"/>
      <c r="RQ48"/>
      <c r="RR48"/>
      <c r="RS48"/>
      <c r="RT48"/>
      <c r="RU48"/>
      <c r="RV48"/>
      <c r="RW48"/>
      <c r="RX48"/>
      <c r="RY48"/>
      <c r="RZ48"/>
      <c r="SA48"/>
      <c r="SB48"/>
      <c r="SC48"/>
      <c r="SD48"/>
      <c r="SE48"/>
      <c r="SF48"/>
      <c r="SG48"/>
      <c r="SH48"/>
      <c r="SI48"/>
      <c r="SJ48"/>
      <c r="SK48"/>
      <c r="SL48"/>
      <c r="SM48"/>
      <c r="SN48"/>
      <c r="SO48"/>
      <c r="SP48"/>
      <c r="SQ48"/>
      <c r="SR48"/>
      <c r="SS48"/>
      <c r="ST48"/>
      <c r="SU48"/>
      <c r="SV48"/>
      <c r="SW48"/>
      <c r="SX48"/>
      <c r="SY48"/>
      <c r="SZ48"/>
      <c r="TA48"/>
      <c r="TB48"/>
      <c r="TC48"/>
      <c r="TD48"/>
      <c r="TE48"/>
      <c r="TF48"/>
      <c r="TG48"/>
      <c r="TH48"/>
      <c r="TI48"/>
      <c r="TJ48"/>
      <c r="TK48"/>
      <c r="TL48"/>
      <c r="TM48"/>
      <c r="TN48"/>
      <c r="TO48"/>
      <c r="TP48"/>
      <c r="TQ48"/>
      <c r="TR48"/>
      <c r="TS48"/>
      <c r="TT48"/>
      <c r="TU48"/>
      <c r="TV48"/>
    </row>
    <row r="49" spans="1:542" s="36" customFormat="1" ht="17" x14ac:dyDescent="0.2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 s="10"/>
      <c r="U49" s="10"/>
      <c r="V49" s="10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/>
      <c r="DB49"/>
      <c r="DC49"/>
      <c r="DD49"/>
      <c r="DE49"/>
      <c r="DF49"/>
      <c r="DG49"/>
      <c r="DH49"/>
      <c r="DI49"/>
      <c r="DJ49"/>
      <c r="DK49"/>
      <c r="DL49"/>
      <c r="DM49"/>
      <c r="DN49"/>
      <c r="DO49"/>
      <c r="DP49"/>
      <c r="DQ49"/>
      <c r="DR49"/>
      <c r="DS49"/>
      <c r="DT49"/>
      <c r="DU49"/>
      <c r="DV49"/>
      <c r="DW49"/>
      <c r="DX49"/>
      <c r="DY49"/>
      <c r="DZ49"/>
      <c r="EA49"/>
      <c r="EB49"/>
      <c r="EC49"/>
      <c r="ED49"/>
      <c r="EE49"/>
      <c r="EF49"/>
      <c r="EG49"/>
      <c r="EH49"/>
      <c r="EJ49"/>
      <c r="EK49"/>
      <c r="EL49"/>
      <c r="EM49"/>
      <c r="EN49"/>
      <c r="EO49"/>
      <c r="EP49"/>
      <c r="EQ49"/>
      <c r="ER49"/>
      <c r="ES49"/>
      <c r="ET49"/>
      <c r="EU49"/>
      <c r="EV49"/>
      <c r="EW49"/>
      <c r="EX49"/>
      <c r="EY49"/>
      <c r="EZ49"/>
      <c r="FA49"/>
      <c r="FB49"/>
      <c r="FC49"/>
      <c r="FD49"/>
      <c r="FE49"/>
      <c r="FF49"/>
      <c r="FG49"/>
      <c r="FH49"/>
      <c r="FI49"/>
      <c r="FJ49"/>
      <c r="FK49"/>
      <c r="FL49"/>
      <c r="FM49"/>
      <c r="FN49"/>
      <c r="FO49"/>
      <c r="FP49"/>
      <c r="FR49"/>
      <c r="FS49"/>
      <c r="FT49"/>
      <c r="FU49"/>
      <c r="FV49"/>
      <c r="FW49"/>
      <c r="FX49"/>
      <c r="FY49"/>
      <c r="FZ49"/>
      <c r="GA49"/>
      <c r="GB49"/>
      <c r="GC49"/>
      <c r="GD49"/>
      <c r="GE49"/>
      <c r="GF49"/>
      <c r="GG49"/>
      <c r="GH49"/>
      <c r="GI49"/>
      <c r="GJ49"/>
      <c r="GK49"/>
      <c r="GL49"/>
      <c r="GM49"/>
      <c r="GN49"/>
      <c r="GO49"/>
      <c r="GP49"/>
      <c r="GQ49"/>
      <c r="GR49"/>
      <c r="GS49"/>
      <c r="GT49"/>
      <c r="GU49"/>
      <c r="GV49"/>
      <c r="GW49"/>
      <c r="GX49"/>
      <c r="GZ49"/>
      <c r="HA49"/>
      <c r="HB49"/>
      <c r="HC49"/>
      <c r="HD49"/>
      <c r="HE49"/>
      <c r="HF49"/>
      <c r="HG49"/>
      <c r="HH49"/>
      <c r="HI49"/>
      <c r="HJ49"/>
      <c r="HK49"/>
      <c r="HL49"/>
      <c r="HM49"/>
      <c r="HN49"/>
      <c r="HO49"/>
      <c r="HP49"/>
      <c r="HQ49"/>
      <c r="HR49"/>
      <c r="HS49"/>
      <c r="HT49"/>
      <c r="HU49"/>
      <c r="HV49"/>
      <c r="HW49"/>
      <c r="HX49"/>
      <c r="HY49"/>
      <c r="HZ49"/>
      <c r="IA49"/>
      <c r="IB49"/>
      <c r="IC49"/>
      <c r="ID49"/>
      <c r="IE49"/>
      <c r="IF49"/>
      <c r="IH49"/>
      <c r="II49"/>
      <c r="IJ49"/>
      <c r="IK49"/>
      <c r="IL49"/>
      <c r="IM49"/>
      <c r="IN49"/>
      <c r="IO49"/>
      <c r="IP49"/>
      <c r="IQ49"/>
      <c r="IR49"/>
      <c r="IS49"/>
      <c r="IT49"/>
      <c r="IU49"/>
      <c r="IV49"/>
      <c r="IW49"/>
      <c r="IX49"/>
      <c r="IY49"/>
      <c r="IZ49"/>
      <c r="JA49"/>
      <c r="JB49"/>
      <c r="JC49"/>
      <c r="JD49"/>
      <c r="JE49"/>
      <c r="JF49"/>
      <c r="JG49"/>
      <c r="JH49"/>
      <c r="JI49"/>
      <c r="JJ49"/>
      <c r="JK49"/>
      <c r="JL49"/>
      <c r="JM49"/>
      <c r="JN49"/>
      <c r="JP49"/>
      <c r="JQ49"/>
      <c r="JR49"/>
      <c r="JS49"/>
      <c r="JT49"/>
      <c r="JU49"/>
      <c r="JV49"/>
      <c r="JW49"/>
      <c r="JX49"/>
      <c r="JY49"/>
      <c r="JZ49"/>
      <c r="KA49"/>
      <c r="KB49"/>
      <c r="KC49"/>
      <c r="KD49"/>
      <c r="KE49"/>
      <c r="KF49"/>
      <c r="KG49"/>
      <c r="KH49"/>
      <c r="KI49"/>
      <c r="KJ49"/>
      <c r="KK49"/>
      <c r="KL49"/>
      <c r="KM49"/>
      <c r="KN49"/>
      <c r="KO49"/>
      <c r="KP49"/>
      <c r="KQ49"/>
      <c r="KR49"/>
      <c r="KS49"/>
      <c r="KT49"/>
      <c r="KU49"/>
      <c r="KV49"/>
      <c r="KW49"/>
      <c r="KX49"/>
      <c r="KY49"/>
      <c r="KZ49"/>
      <c r="LA49"/>
      <c r="LB49"/>
      <c r="LC49"/>
      <c r="LD49"/>
      <c r="LE49"/>
      <c r="LF49"/>
      <c r="LG49"/>
      <c r="LH49"/>
      <c r="LI49"/>
      <c r="LJ49"/>
      <c r="LK49"/>
      <c r="LL49"/>
      <c r="LM49"/>
      <c r="LN49"/>
      <c r="LO49"/>
      <c r="LP49"/>
      <c r="LQ49"/>
      <c r="LR49"/>
      <c r="LS49"/>
      <c r="LT49"/>
      <c r="LU49"/>
      <c r="LV49"/>
      <c r="LW49"/>
      <c r="LX49"/>
      <c r="LY49"/>
      <c r="LZ49"/>
      <c r="MA49"/>
      <c r="MB49"/>
      <c r="MC49"/>
      <c r="MD49"/>
      <c r="ME49"/>
      <c r="MF49"/>
      <c r="MG49"/>
      <c r="MH49"/>
      <c r="MI49"/>
      <c r="MJ49"/>
      <c r="MK49"/>
      <c r="ML49"/>
      <c r="MM49"/>
      <c r="MN49"/>
      <c r="MO49"/>
      <c r="MP49"/>
      <c r="MQ49"/>
      <c r="MR49"/>
      <c r="MS49"/>
      <c r="MT49"/>
      <c r="MU49"/>
      <c r="MV49"/>
      <c r="MW49"/>
      <c r="MX49"/>
      <c r="MY49"/>
      <c r="MZ49"/>
      <c r="NA49"/>
      <c r="NB49"/>
      <c r="NC49"/>
      <c r="ND49"/>
      <c r="NE49"/>
      <c r="NF49"/>
      <c r="NG49"/>
      <c r="NH49"/>
      <c r="NI49"/>
      <c r="NJ49"/>
      <c r="NK49"/>
      <c r="NL49"/>
      <c r="NM49"/>
      <c r="NN49"/>
      <c r="NO49"/>
      <c r="NP49"/>
      <c r="NQ49"/>
      <c r="NR49"/>
      <c r="NS49"/>
      <c r="NT49"/>
      <c r="NU49"/>
      <c r="NV49"/>
      <c r="NW49"/>
      <c r="NX49"/>
      <c r="NY49"/>
      <c r="NZ49"/>
      <c r="OA49"/>
      <c r="OB49"/>
      <c r="OC49"/>
      <c r="OD49"/>
      <c r="OE49"/>
      <c r="OF49"/>
      <c r="OG49"/>
      <c r="OH49"/>
      <c r="OI49"/>
      <c r="OJ49"/>
      <c r="OK49"/>
      <c r="OL49"/>
      <c r="OM49"/>
      <c r="ON49"/>
      <c r="OO49"/>
      <c r="OP49"/>
      <c r="OQ49"/>
      <c r="OR49"/>
      <c r="OS49"/>
      <c r="OT49"/>
      <c r="OU49"/>
      <c r="OV49"/>
      <c r="OW49"/>
      <c r="OX49"/>
      <c r="OY49"/>
      <c r="OZ49"/>
      <c r="PA49"/>
      <c r="PB49"/>
      <c r="PC49"/>
      <c r="PD49"/>
      <c r="PE49"/>
      <c r="PF49"/>
      <c r="PG49"/>
      <c r="PH49"/>
      <c r="PI49"/>
      <c r="PJ49"/>
      <c r="PK49"/>
      <c r="PL49"/>
      <c r="PM49"/>
      <c r="PN49"/>
      <c r="PO49"/>
      <c r="PP49"/>
      <c r="PQ49"/>
      <c r="PR49"/>
      <c r="PS49"/>
      <c r="PT49"/>
      <c r="PU49"/>
      <c r="PV49"/>
      <c r="PW49"/>
      <c r="PX49"/>
      <c r="PY49"/>
      <c r="PZ49"/>
      <c r="QA49"/>
      <c r="QB49"/>
      <c r="QC49"/>
      <c r="QD49"/>
      <c r="QE49"/>
      <c r="QF49"/>
      <c r="QG49"/>
      <c r="QH49"/>
      <c r="QI49"/>
      <c r="QJ49"/>
      <c r="QK49"/>
      <c r="QL49"/>
      <c r="QM49"/>
      <c r="QN49"/>
      <c r="QO49"/>
      <c r="QP49"/>
      <c r="QQ49"/>
      <c r="QR49"/>
      <c r="QS49"/>
      <c r="QT49"/>
      <c r="QU49"/>
      <c r="QV49"/>
      <c r="QW49"/>
      <c r="QX49"/>
      <c r="QY49"/>
      <c r="QZ49"/>
      <c r="RA49"/>
      <c r="RB49"/>
      <c r="RC49"/>
      <c r="RD49"/>
      <c r="RE49"/>
      <c r="RF49"/>
      <c r="RG49"/>
      <c r="RH49"/>
      <c r="RI49"/>
      <c r="RJ49"/>
      <c r="RK49"/>
      <c r="RL49"/>
      <c r="RM49"/>
      <c r="RN49"/>
      <c r="RO49"/>
      <c r="RP49"/>
      <c r="RQ49"/>
      <c r="RR49"/>
      <c r="RS49"/>
      <c r="RT49"/>
      <c r="RU49"/>
      <c r="RV49"/>
      <c r="RW49"/>
      <c r="RX49"/>
      <c r="RY49"/>
      <c r="RZ49"/>
      <c r="SA49"/>
      <c r="SB49"/>
      <c r="SC49"/>
      <c r="SD49"/>
      <c r="SE49"/>
      <c r="SF49"/>
      <c r="SG49"/>
      <c r="SH49"/>
      <c r="SI49"/>
      <c r="SJ49"/>
      <c r="SK49"/>
      <c r="SL49"/>
      <c r="SM49"/>
      <c r="SN49"/>
      <c r="SO49"/>
      <c r="SP49"/>
      <c r="SQ49"/>
      <c r="SR49"/>
      <c r="SS49"/>
      <c r="ST49"/>
      <c r="SU49"/>
      <c r="SV49"/>
      <c r="SW49"/>
      <c r="SX49"/>
      <c r="SY49"/>
      <c r="SZ49"/>
      <c r="TA49"/>
      <c r="TB49"/>
      <c r="TC49"/>
      <c r="TD49"/>
      <c r="TE49"/>
      <c r="TF49"/>
      <c r="TG49"/>
      <c r="TH49"/>
      <c r="TI49"/>
      <c r="TJ49"/>
      <c r="TK49"/>
      <c r="TL49"/>
      <c r="TM49"/>
      <c r="TN49"/>
      <c r="TO49"/>
      <c r="TP49"/>
      <c r="TQ49"/>
      <c r="TR49"/>
      <c r="TS49"/>
      <c r="TT49"/>
      <c r="TU49"/>
      <c r="TV49"/>
    </row>
    <row r="50" spans="1:542" s="36" customFormat="1" ht="17" x14ac:dyDescent="0.2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 s="10"/>
      <c r="U50" s="10"/>
      <c r="V50" s="1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/>
      <c r="DB50"/>
      <c r="DC50"/>
      <c r="DD50"/>
      <c r="DE50"/>
      <c r="DF50"/>
      <c r="DG50"/>
      <c r="DH50"/>
      <c r="DI50"/>
      <c r="DJ50"/>
      <c r="DK50"/>
      <c r="DL50"/>
      <c r="DM50"/>
      <c r="DN50"/>
      <c r="DO50"/>
      <c r="DP50"/>
      <c r="DQ50"/>
      <c r="DR50"/>
      <c r="DS50"/>
      <c r="DT50"/>
      <c r="DU50"/>
      <c r="DV50"/>
      <c r="DW50"/>
      <c r="DX50"/>
      <c r="DY50"/>
      <c r="DZ50"/>
      <c r="EA50"/>
      <c r="EB50"/>
      <c r="EC50"/>
      <c r="ED50"/>
      <c r="EE50"/>
      <c r="EF50"/>
      <c r="EG50"/>
      <c r="EH50"/>
      <c r="EJ50"/>
      <c r="EK50"/>
      <c r="EL50"/>
      <c r="EM50"/>
      <c r="EN50"/>
      <c r="EO50"/>
      <c r="EP50"/>
      <c r="EQ50"/>
      <c r="ER50"/>
      <c r="ES50"/>
      <c r="ET50"/>
      <c r="EU50"/>
      <c r="EV50"/>
      <c r="EW50"/>
      <c r="EX50"/>
      <c r="EY50"/>
      <c r="EZ50"/>
      <c r="FA50"/>
      <c r="FB50"/>
      <c r="FC50"/>
      <c r="FD50"/>
      <c r="FE50"/>
      <c r="FF50"/>
      <c r="FG50"/>
      <c r="FH50"/>
      <c r="FI50"/>
      <c r="FJ50"/>
      <c r="FK50"/>
      <c r="FL50"/>
      <c r="FM50"/>
      <c r="FN50"/>
      <c r="FO50"/>
      <c r="FP50"/>
      <c r="FR50"/>
      <c r="FS50"/>
      <c r="FT50"/>
      <c r="FU50"/>
      <c r="FV50"/>
      <c r="FW50"/>
      <c r="FX50"/>
      <c r="FY50"/>
      <c r="FZ50"/>
      <c r="GA50"/>
      <c r="GB50"/>
      <c r="GC50"/>
      <c r="GD50"/>
      <c r="GE50"/>
      <c r="GF50"/>
      <c r="GG50"/>
      <c r="GH50"/>
      <c r="GI50"/>
      <c r="GJ50"/>
      <c r="GK50"/>
      <c r="GL50"/>
      <c r="GM50"/>
      <c r="GN50"/>
      <c r="GO50"/>
      <c r="GP50"/>
      <c r="GQ50"/>
      <c r="GR50"/>
      <c r="GS50"/>
      <c r="GT50"/>
      <c r="GU50"/>
      <c r="GV50"/>
      <c r="GW50"/>
      <c r="GX50"/>
      <c r="GZ50"/>
      <c r="HA50"/>
      <c r="HB50"/>
      <c r="HC50"/>
      <c r="HD50"/>
      <c r="HE50"/>
      <c r="HF50"/>
      <c r="HG50"/>
      <c r="HH50"/>
      <c r="HI50"/>
      <c r="HJ50"/>
      <c r="HK50"/>
      <c r="HL50"/>
      <c r="HM50"/>
      <c r="HN50"/>
      <c r="HO50"/>
      <c r="HP50"/>
      <c r="HQ50"/>
      <c r="HR50"/>
      <c r="HS50"/>
      <c r="HT50"/>
      <c r="HU50"/>
      <c r="HV50"/>
      <c r="HW50"/>
      <c r="HX50"/>
      <c r="HY50"/>
      <c r="HZ50"/>
      <c r="IA50"/>
      <c r="IB50"/>
      <c r="IC50"/>
      <c r="ID50"/>
      <c r="IE50"/>
      <c r="IF50"/>
      <c r="IH50"/>
      <c r="II50"/>
      <c r="IJ50"/>
      <c r="IK50"/>
      <c r="IL50"/>
      <c r="IM50"/>
      <c r="IN50"/>
      <c r="IO50"/>
      <c r="IP50"/>
      <c r="IQ50"/>
      <c r="IR50"/>
      <c r="IS50"/>
      <c r="IT50"/>
      <c r="IU50"/>
      <c r="IV50"/>
      <c r="IW50"/>
      <c r="IX50"/>
      <c r="IY50"/>
      <c r="IZ50"/>
      <c r="JA50"/>
      <c r="JB50"/>
      <c r="JC50"/>
      <c r="JD50"/>
      <c r="JE50"/>
      <c r="JF50"/>
      <c r="JG50"/>
      <c r="JH50"/>
      <c r="JI50"/>
      <c r="JJ50"/>
      <c r="JK50"/>
      <c r="JL50"/>
      <c r="JM50"/>
      <c r="JN50"/>
      <c r="JP50"/>
      <c r="JQ50"/>
      <c r="JR50"/>
      <c r="JS50"/>
      <c r="JT50"/>
      <c r="JU50"/>
      <c r="JV50"/>
      <c r="JW50"/>
      <c r="JX50"/>
      <c r="JY50"/>
      <c r="JZ50"/>
      <c r="KA50"/>
      <c r="KB50"/>
      <c r="KC50"/>
      <c r="KD50"/>
      <c r="KE50"/>
      <c r="KF50"/>
      <c r="KG50"/>
      <c r="KH50"/>
      <c r="KI50"/>
      <c r="KJ50"/>
      <c r="KK50"/>
      <c r="KL50"/>
      <c r="KM50"/>
      <c r="KN50"/>
      <c r="KO50"/>
      <c r="KP50"/>
      <c r="KQ50"/>
      <c r="KR50"/>
      <c r="KS50"/>
      <c r="KT50"/>
      <c r="KU50"/>
      <c r="KV50"/>
      <c r="KW50"/>
      <c r="KX50"/>
      <c r="KY50"/>
      <c r="KZ50"/>
      <c r="LA50"/>
      <c r="LB50"/>
      <c r="LC50"/>
      <c r="LD50"/>
      <c r="LE50"/>
      <c r="LF50"/>
      <c r="LG50"/>
      <c r="LH50"/>
      <c r="LI50"/>
      <c r="LJ50"/>
      <c r="LK50"/>
      <c r="LL50"/>
      <c r="LM50"/>
      <c r="LN50"/>
      <c r="LO50"/>
      <c r="LP50"/>
      <c r="LQ50"/>
      <c r="LR50"/>
      <c r="LS50"/>
      <c r="LT50"/>
      <c r="LU50"/>
      <c r="LV50"/>
      <c r="LW50"/>
      <c r="LX50"/>
      <c r="LY50"/>
      <c r="LZ50"/>
      <c r="MA50"/>
      <c r="MB50"/>
      <c r="MC50"/>
      <c r="MD50"/>
      <c r="ME50"/>
      <c r="MF50"/>
      <c r="MG50"/>
      <c r="MH50"/>
      <c r="MI50"/>
      <c r="MJ50"/>
      <c r="MK50"/>
      <c r="ML50"/>
      <c r="MM50"/>
      <c r="MN50"/>
      <c r="MO50"/>
      <c r="MP50"/>
      <c r="MQ50"/>
      <c r="MR50"/>
      <c r="MS50"/>
      <c r="MT50"/>
      <c r="MU50"/>
      <c r="MV50"/>
      <c r="MW50"/>
      <c r="MX50"/>
      <c r="MY50"/>
      <c r="MZ50"/>
      <c r="NA50"/>
      <c r="NB50"/>
      <c r="NC50"/>
      <c r="ND50"/>
      <c r="NE50"/>
      <c r="NF50"/>
      <c r="NG50"/>
      <c r="NH50"/>
      <c r="NI50"/>
      <c r="NJ50"/>
      <c r="NK50"/>
      <c r="NL50"/>
      <c r="NM50"/>
      <c r="NN50"/>
      <c r="NO50"/>
      <c r="NP50"/>
      <c r="NQ50"/>
      <c r="NR50"/>
      <c r="NS50"/>
      <c r="NT50"/>
      <c r="NU50"/>
      <c r="NV50"/>
      <c r="NW50"/>
      <c r="NX50"/>
      <c r="NY50"/>
      <c r="NZ50"/>
      <c r="OA50"/>
      <c r="OB50"/>
      <c r="OC50"/>
      <c r="OD50"/>
      <c r="OE50"/>
      <c r="OF50"/>
      <c r="OG50"/>
      <c r="OH50"/>
      <c r="OI50"/>
      <c r="OJ50"/>
      <c r="OK50"/>
      <c r="OL50"/>
      <c r="OM50"/>
      <c r="ON50"/>
      <c r="OO50"/>
      <c r="OP50"/>
      <c r="OQ50"/>
      <c r="OR50"/>
      <c r="OS50"/>
      <c r="OT50"/>
      <c r="OU50"/>
      <c r="OV50"/>
      <c r="OW50"/>
      <c r="OX50"/>
      <c r="OY50"/>
      <c r="OZ50"/>
      <c r="PA50"/>
      <c r="PB50"/>
      <c r="PC50"/>
      <c r="PD50"/>
      <c r="PE50"/>
      <c r="PF50"/>
      <c r="PG50"/>
      <c r="PH50"/>
      <c r="PI50"/>
      <c r="PJ50"/>
      <c r="PK50"/>
      <c r="PL50"/>
      <c r="PM50"/>
      <c r="PN50"/>
      <c r="PO50"/>
      <c r="PP50"/>
      <c r="PQ50"/>
      <c r="PR50"/>
      <c r="PS50"/>
      <c r="PT50"/>
      <c r="PU50"/>
      <c r="PV50"/>
      <c r="PW50"/>
      <c r="PX50"/>
      <c r="PY50"/>
      <c r="PZ50"/>
      <c r="QA50"/>
      <c r="QB50"/>
      <c r="QC50"/>
      <c r="QD50"/>
      <c r="QE50"/>
      <c r="QF50"/>
      <c r="QG50"/>
      <c r="QH50"/>
      <c r="QI50"/>
      <c r="QJ50"/>
      <c r="QK50"/>
      <c r="QL50"/>
      <c r="QM50"/>
      <c r="QN50"/>
      <c r="QO50"/>
      <c r="QP50"/>
      <c r="QQ50"/>
      <c r="QR50"/>
      <c r="QS50"/>
      <c r="QT50"/>
      <c r="QU50"/>
      <c r="QV50"/>
      <c r="QW50"/>
      <c r="QX50"/>
      <c r="QY50"/>
      <c r="QZ50"/>
      <c r="RA50"/>
      <c r="RB50"/>
      <c r="RC50"/>
      <c r="RD50"/>
      <c r="RE50"/>
      <c r="RF50"/>
      <c r="RG50"/>
      <c r="RH50"/>
      <c r="RI50"/>
      <c r="RJ50"/>
      <c r="RK50"/>
      <c r="RL50"/>
      <c r="RM50"/>
      <c r="RN50"/>
      <c r="RO50"/>
      <c r="RP50"/>
      <c r="RQ50"/>
      <c r="RR50"/>
      <c r="RS50"/>
      <c r="RT50"/>
      <c r="RU50"/>
      <c r="RV50"/>
      <c r="RW50"/>
      <c r="RX50"/>
      <c r="RY50"/>
      <c r="RZ50"/>
      <c r="SA50"/>
      <c r="SB50"/>
      <c r="SC50"/>
      <c r="SD50"/>
      <c r="SE50"/>
      <c r="SF50"/>
      <c r="SG50"/>
      <c r="SH50"/>
      <c r="SI50"/>
      <c r="SJ50"/>
      <c r="SK50"/>
      <c r="SL50"/>
      <c r="SM50"/>
      <c r="SN50"/>
      <c r="SO50"/>
      <c r="SP50"/>
      <c r="SQ50"/>
      <c r="SR50"/>
      <c r="SS50"/>
      <c r="ST50"/>
      <c r="SU50"/>
      <c r="SV50"/>
      <c r="SW50"/>
      <c r="SX50"/>
      <c r="SY50"/>
      <c r="SZ50"/>
      <c r="TA50"/>
      <c r="TB50"/>
      <c r="TC50"/>
      <c r="TD50"/>
      <c r="TE50"/>
      <c r="TF50"/>
      <c r="TG50"/>
      <c r="TH50"/>
      <c r="TI50"/>
      <c r="TJ50"/>
      <c r="TK50"/>
      <c r="TL50"/>
      <c r="TM50"/>
      <c r="TN50"/>
      <c r="TO50"/>
      <c r="TP50"/>
      <c r="TQ50"/>
      <c r="TR50"/>
      <c r="TS50"/>
      <c r="TT50"/>
      <c r="TU50"/>
      <c r="TV50"/>
    </row>
    <row r="51" spans="1:542" s="36" customFormat="1" ht="17" x14ac:dyDescent="0.2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 s="10"/>
      <c r="U51" s="10"/>
      <c r="V51" s="10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  <c r="DB51"/>
      <c r="DC51"/>
      <c r="DD51"/>
      <c r="DE51"/>
      <c r="DF51"/>
      <c r="DG51"/>
      <c r="DH51"/>
      <c r="DI51"/>
      <c r="DJ51"/>
      <c r="DK51"/>
      <c r="DL51"/>
      <c r="DM51"/>
      <c r="DN51"/>
      <c r="DO51"/>
      <c r="DP51"/>
      <c r="DQ51"/>
      <c r="DR51"/>
      <c r="DS51"/>
      <c r="DT51"/>
      <c r="DU51"/>
      <c r="DV51"/>
      <c r="DW51"/>
      <c r="DX51"/>
      <c r="DY51"/>
      <c r="DZ51"/>
      <c r="EA51"/>
      <c r="EB51"/>
      <c r="EC51"/>
      <c r="ED51"/>
      <c r="EE51"/>
      <c r="EF51"/>
      <c r="EG51"/>
      <c r="EH51"/>
      <c r="EJ51"/>
      <c r="EK51"/>
      <c r="EL51"/>
      <c r="EM51"/>
      <c r="EN51"/>
      <c r="EO51"/>
      <c r="EP51"/>
      <c r="EQ51"/>
      <c r="ER51"/>
      <c r="ES51"/>
      <c r="ET51"/>
      <c r="EU51"/>
      <c r="EV51"/>
      <c r="EW51"/>
      <c r="EX51"/>
      <c r="EY51"/>
      <c r="EZ51"/>
      <c r="FA51"/>
      <c r="FB51"/>
      <c r="FC51"/>
      <c r="FD51"/>
      <c r="FE51"/>
      <c r="FF51"/>
      <c r="FG51"/>
      <c r="FH51"/>
      <c r="FI51"/>
      <c r="FJ51"/>
      <c r="FK51"/>
      <c r="FL51"/>
      <c r="FM51"/>
      <c r="FN51"/>
      <c r="FO51"/>
      <c r="FP51"/>
      <c r="FR51"/>
      <c r="FS51"/>
      <c r="FT51"/>
      <c r="FU51"/>
      <c r="FV51"/>
      <c r="FW51"/>
      <c r="FX51"/>
      <c r="FY51"/>
      <c r="FZ51"/>
      <c r="GA51"/>
      <c r="GB51"/>
      <c r="GC51"/>
      <c r="GD51"/>
      <c r="GE51"/>
      <c r="GF51"/>
      <c r="GG51"/>
      <c r="GH51"/>
      <c r="GI51"/>
      <c r="GJ51"/>
      <c r="GK51"/>
      <c r="GL51"/>
      <c r="GM51"/>
      <c r="GN51"/>
      <c r="GO51"/>
      <c r="GP51"/>
      <c r="GQ51"/>
      <c r="GR51"/>
      <c r="GS51"/>
      <c r="GT51"/>
      <c r="GU51"/>
      <c r="GV51"/>
      <c r="GW51"/>
      <c r="GX51"/>
      <c r="GZ51"/>
      <c r="HA51"/>
      <c r="HB51"/>
      <c r="HC51"/>
      <c r="HD51"/>
      <c r="HE51"/>
      <c r="HF51"/>
      <c r="HG51"/>
      <c r="HH51"/>
      <c r="HI51"/>
      <c r="HJ51"/>
      <c r="HK51"/>
      <c r="HL51"/>
      <c r="HM51"/>
      <c r="HN51"/>
      <c r="HO51"/>
      <c r="HP51"/>
      <c r="HQ51"/>
      <c r="HR51"/>
      <c r="HS51"/>
      <c r="HT51"/>
      <c r="HU51"/>
      <c r="HV51"/>
      <c r="HW51"/>
      <c r="HX51"/>
      <c r="HY51"/>
      <c r="HZ51"/>
      <c r="IA51"/>
      <c r="IB51"/>
      <c r="IC51"/>
      <c r="ID51"/>
      <c r="IE51"/>
      <c r="IF51"/>
      <c r="IH51"/>
      <c r="II51"/>
      <c r="IJ51"/>
      <c r="IK51"/>
      <c r="IL51"/>
      <c r="IM51"/>
      <c r="IN51"/>
      <c r="IO51"/>
      <c r="IP51"/>
      <c r="IQ51"/>
      <c r="IR51"/>
      <c r="IS51"/>
      <c r="IT51"/>
      <c r="IU51"/>
      <c r="IV51"/>
      <c r="IW51"/>
      <c r="IX51"/>
      <c r="IY51"/>
      <c r="IZ51"/>
      <c r="JA51"/>
      <c r="JB51"/>
      <c r="JC51"/>
      <c r="JD51"/>
      <c r="JE51"/>
      <c r="JF51"/>
      <c r="JG51"/>
      <c r="JH51"/>
      <c r="JI51"/>
      <c r="JJ51"/>
      <c r="JK51"/>
      <c r="JL51"/>
      <c r="JM51"/>
      <c r="JN51"/>
      <c r="JP51"/>
      <c r="JQ51"/>
      <c r="JR51"/>
      <c r="JS51"/>
      <c r="JT51"/>
      <c r="JU51"/>
      <c r="JV51"/>
      <c r="JW51"/>
      <c r="JX51"/>
      <c r="JY51"/>
      <c r="JZ51"/>
      <c r="KA51"/>
      <c r="KB51"/>
      <c r="KC51"/>
      <c r="KD51"/>
      <c r="KE51"/>
      <c r="KF51"/>
      <c r="KG51"/>
      <c r="KH51"/>
      <c r="KI51"/>
      <c r="KJ51"/>
      <c r="KK51"/>
      <c r="KL51"/>
      <c r="KM51"/>
      <c r="KN51"/>
      <c r="KO51"/>
      <c r="KP51"/>
      <c r="KQ51"/>
      <c r="KR51"/>
      <c r="KS51"/>
      <c r="KT51"/>
      <c r="KU51"/>
      <c r="KV51"/>
      <c r="KW51"/>
      <c r="KX51"/>
      <c r="KY51"/>
      <c r="KZ51"/>
      <c r="LA51"/>
      <c r="LB51"/>
      <c r="LC51"/>
      <c r="LD51"/>
      <c r="LE51"/>
      <c r="LF51"/>
      <c r="LG51"/>
      <c r="LH51"/>
      <c r="LI51"/>
      <c r="LJ51"/>
      <c r="LK51"/>
      <c r="LL51"/>
      <c r="LM51"/>
      <c r="LN51"/>
      <c r="LO51"/>
      <c r="LP51"/>
      <c r="LQ51"/>
      <c r="LR51"/>
      <c r="LS51"/>
      <c r="LT51"/>
      <c r="LU51"/>
      <c r="LV51"/>
      <c r="LW51"/>
      <c r="LX51"/>
      <c r="LY51"/>
      <c r="LZ51"/>
      <c r="MA51"/>
      <c r="MB51"/>
      <c r="MC51"/>
      <c r="MD51"/>
      <c r="ME51"/>
      <c r="MF51"/>
      <c r="MG51"/>
      <c r="MH51"/>
      <c r="MI51"/>
      <c r="MJ51"/>
      <c r="MK51"/>
      <c r="ML51"/>
      <c r="MM51"/>
      <c r="MN51"/>
      <c r="MO51"/>
      <c r="MP51"/>
      <c r="MQ51"/>
      <c r="MR51"/>
      <c r="MS51"/>
      <c r="MT51"/>
      <c r="MU51"/>
      <c r="MV51"/>
      <c r="MW51"/>
      <c r="MX51"/>
      <c r="MY51"/>
      <c r="MZ51"/>
      <c r="NA51"/>
      <c r="NB51"/>
      <c r="NC51"/>
      <c r="ND51"/>
      <c r="NE51"/>
      <c r="NF51"/>
      <c r="NG51"/>
      <c r="NH51"/>
      <c r="NI51"/>
      <c r="NJ51"/>
      <c r="NK51"/>
      <c r="NL51"/>
      <c r="NM51"/>
      <c r="NN51"/>
      <c r="NO51"/>
      <c r="NP51"/>
      <c r="NQ51"/>
      <c r="NR51"/>
      <c r="NS51"/>
      <c r="NT51"/>
      <c r="NU51"/>
      <c r="NV51"/>
      <c r="NW51"/>
      <c r="NX51"/>
      <c r="NY51"/>
      <c r="NZ51"/>
      <c r="OA51"/>
      <c r="OB51"/>
      <c r="OC51"/>
      <c r="OD51"/>
      <c r="OE51"/>
      <c r="OF51"/>
      <c r="OG51"/>
      <c r="OH51"/>
      <c r="OI51"/>
      <c r="OJ51"/>
      <c r="OK51"/>
      <c r="OL51"/>
      <c r="OM51"/>
      <c r="ON51"/>
      <c r="OO51"/>
      <c r="OP51"/>
      <c r="OQ51"/>
      <c r="OR51"/>
      <c r="OS51"/>
      <c r="OT51"/>
      <c r="OU51"/>
      <c r="OV51"/>
      <c r="OW51"/>
      <c r="OX51"/>
      <c r="OY51"/>
      <c r="OZ51"/>
      <c r="PA51"/>
      <c r="PB51"/>
      <c r="PC51"/>
      <c r="PD51"/>
      <c r="PE51"/>
      <c r="PF51"/>
      <c r="PG51"/>
      <c r="PH51"/>
      <c r="PI51"/>
      <c r="PJ51"/>
      <c r="PK51"/>
      <c r="PL51"/>
      <c r="PM51"/>
      <c r="PN51"/>
      <c r="PO51"/>
      <c r="PP51"/>
      <c r="PQ51"/>
      <c r="PR51"/>
      <c r="PS51"/>
      <c r="PT51"/>
      <c r="PU51"/>
      <c r="PV51"/>
      <c r="PW51"/>
      <c r="PX51"/>
      <c r="PY51"/>
      <c r="PZ51"/>
      <c r="QA51"/>
      <c r="QB51"/>
      <c r="QC51"/>
      <c r="QD51"/>
      <c r="QE51"/>
      <c r="QF51"/>
      <c r="QG51"/>
      <c r="QH51"/>
      <c r="QI51"/>
      <c r="QJ51"/>
      <c r="QK51"/>
      <c r="QL51"/>
      <c r="QM51"/>
      <c r="QN51"/>
      <c r="QO51"/>
      <c r="QP51"/>
      <c r="QQ51"/>
      <c r="QR51"/>
      <c r="QS51"/>
      <c r="QT51"/>
      <c r="QU51"/>
      <c r="QV51"/>
      <c r="QW51"/>
      <c r="QX51"/>
      <c r="QY51"/>
      <c r="QZ51"/>
      <c r="RA51"/>
      <c r="RB51"/>
      <c r="RC51"/>
      <c r="RD51"/>
      <c r="RE51"/>
      <c r="RF51"/>
      <c r="RG51"/>
      <c r="RH51"/>
      <c r="RI51"/>
      <c r="RJ51"/>
      <c r="RK51"/>
      <c r="RL51"/>
      <c r="RM51"/>
      <c r="RN51"/>
      <c r="RO51"/>
      <c r="RP51"/>
      <c r="RQ51"/>
      <c r="RR51"/>
      <c r="RS51"/>
      <c r="RT51"/>
      <c r="RU51"/>
      <c r="RV51"/>
      <c r="RW51"/>
      <c r="RX51"/>
      <c r="RY51"/>
      <c r="RZ51"/>
      <c r="SA51"/>
      <c r="SB51"/>
      <c r="SC51"/>
      <c r="SD51"/>
      <c r="SE51"/>
      <c r="SF51"/>
      <c r="SG51"/>
      <c r="SH51"/>
      <c r="SI51"/>
      <c r="SJ51"/>
      <c r="SK51"/>
      <c r="SL51"/>
      <c r="SM51"/>
      <c r="SN51"/>
      <c r="SO51"/>
      <c r="SP51"/>
      <c r="SQ51"/>
      <c r="SR51"/>
      <c r="SS51"/>
      <c r="ST51"/>
      <c r="SU51"/>
      <c r="SV51"/>
      <c r="SW51"/>
      <c r="SX51"/>
      <c r="SY51"/>
      <c r="SZ51"/>
      <c r="TA51"/>
      <c r="TB51"/>
      <c r="TC51"/>
      <c r="TD51"/>
      <c r="TE51"/>
      <c r="TF51"/>
      <c r="TG51"/>
      <c r="TH51"/>
      <c r="TI51"/>
      <c r="TJ51"/>
      <c r="TK51"/>
      <c r="TL51"/>
      <c r="TM51"/>
      <c r="TN51"/>
      <c r="TO51"/>
      <c r="TP51"/>
      <c r="TQ51"/>
      <c r="TR51"/>
      <c r="TS51"/>
      <c r="TT51"/>
      <c r="TU51"/>
      <c r="TV51"/>
    </row>
    <row r="52" spans="1:542" s="36" customFormat="1" ht="17" x14ac:dyDescent="0.2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 s="10"/>
      <c r="U52" s="10"/>
      <c r="V52" s="10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  <c r="DB52"/>
      <c r="DC52"/>
      <c r="DD52"/>
      <c r="DE52"/>
      <c r="DF52"/>
      <c r="DG52"/>
      <c r="DH52"/>
      <c r="DI52"/>
      <c r="DJ52"/>
      <c r="DK52"/>
      <c r="DL52"/>
      <c r="DM52"/>
      <c r="DN52"/>
      <c r="DO52"/>
      <c r="DP52"/>
      <c r="DQ52"/>
      <c r="DR52"/>
      <c r="DS52"/>
      <c r="DT52"/>
      <c r="DU52"/>
      <c r="DV52"/>
      <c r="DW52"/>
      <c r="DX52"/>
      <c r="DY52"/>
      <c r="DZ52"/>
      <c r="EA52"/>
      <c r="EB52"/>
      <c r="EC52"/>
      <c r="ED52"/>
      <c r="EE52"/>
      <c r="EF52"/>
      <c r="EG52"/>
      <c r="EH52"/>
      <c r="EJ52"/>
      <c r="EK52"/>
      <c r="EL52"/>
      <c r="EM52"/>
      <c r="EN52"/>
      <c r="EO52"/>
      <c r="EP52"/>
      <c r="EQ52"/>
      <c r="ER52"/>
      <c r="ES52"/>
      <c r="ET52"/>
      <c r="EU52"/>
      <c r="EV52"/>
      <c r="EW52"/>
      <c r="EX52"/>
      <c r="EY52"/>
      <c r="EZ52"/>
      <c r="FA52"/>
      <c r="FB52"/>
      <c r="FC52"/>
      <c r="FD52"/>
      <c r="FE52"/>
      <c r="FF52"/>
      <c r="FG52"/>
      <c r="FH52"/>
      <c r="FI52"/>
      <c r="FJ52"/>
      <c r="FK52"/>
      <c r="FL52"/>
      <c r="FM52"/>
      <c r="FN52"/>
      <c r="FO52"/>
      <c r="FP52"/>
      <c r="FR52"/>
      <c r="FS52"/>
      <c r="FT52"/>
      <c r="FU52"/>
      <c r="FV52"/>
      <c r="FW52"/>
      <c r="FX52"/>
      <c r="FY52"/>
      <c r="FZ52"/>
      <c r="GA52"/>
      <c r="GB52"/>
      <c r="GC52"/>
      <c r="GD52"/>
      <c r="GE52"/>
      <c r="GF52"/>
      <c r="GG52"/>
      <c r="GH52"/>
      <c r="GI52"/>
      <c r="GJ52"/>
      <c r="GK52"/>
      <c r="GL52"/>
      <c r="GM52"/>
      <c r="GN52"/>
      <c r="GO52"/>
      <c r="GP52"/>
      <c r="GQ52"/>
      <c r="GR52"/>
      <c r="GS52"/>
      <c r="GT52"/>
      <c r="GU52"/>
      <c r="GV52"/>
      <c r="GW52"/>
      <c r="GX52"/>
      <c r="GZ52"/>
      <c r="HA52"/>
      <c r="HB52"/>
      <c r="HC52"/>
      <c r="HD52"/>
      <c r="HE52"/>
      <c r="HF52"/>
      <c r="HG52"/>
      <c r="HH52"/>
      <c r="HI52"/>
      <c r="HJ52"/>
      <c r="HK52"/>
      <c r="HL52"/>
      <c r="HM52"/>
      <c r="HN52"/>
      <c r="HO52"/>
      <c r="HP52"/>
      <c r="HQ52"/>
      <c r="HR52"/>
      <c r="HS52"/>
      <c r="HT52"/>
      <c r="HU52"/>
      <c r="HV52"/>
      <c r="HW52"/>
      <c r="HX52"/>
      <c r="HY52"/>
      <c r="HZ52"/>
      <c r="IA52"/>
      <c r="IB52"/>
      <c r="IC52"/>
      <c r="ID52"/>
      <c r="IE52"/>
      <c r="IF52"/>
      <c r="IH52"/>
      <c r="II52"/>
      <c r="IJ52"/>
      <c r="IK52"/>
      <c r="IL52"/>
      <c r="IM52"/>
      <c r="IN52"/>
      <c r="IO52"/>
      <c r="IP52"/>
      <c r="IQ52"/>
      <c r="IR52"/>
      <c r="IS52"/>
      <c r="IT52"/>
      <c r="IU52"/>
      <c r="IV52"/>
      <c r="IW52"/>
      <c r="IX52"/>
      <c r="IY52"/>
      <c r="IZ52"/>
      <c r="JA52"/>
      <c r="JB52"/>
      <c r="JC52"/>
      <c r="JD52"/>
      <c r="JE52"/>
      <c r="JF52"/>
      <c r="JG52"/>
      <c r="JH52"/>
      <c r="JI52"/>
      <c r="JJ52"/>
      <c r="JK52"/>
      <c r="JL52"/>
      <c r="JM52"/>
      <c r="JN52"/>
      <c r="JP52"/>
      <c r="JQ52"/>
      <c r="JR52"/>
      <c r="JS52"/>
      <c r="JT52"/>
      <c r="JU52"/>
      <c r="JV52"/>
      <c r="JW52"/>
      <c r="JX52"/>
      <c r="JY52"/>
      <c r="JZ52"/>
      <c r="KA52"/>
      <c r="KB52"/>
      <c r="KC52"/>
      <c r="KD52"/>
      <c r="KE52"/>
      <c r="KF52"/>
      <c r="KG52"/>
      <c r="KH52"/>
      <c r="KI52"/>
      <c r="KJ52"/>
      <c r="KK52"/>
      <c r="KL52"/>
      <c r="KM52"/>
      <c r="KN52"/>
      <c r="KO52"/>
      <c r="KP52"/>
      <c r="KQ52"/>
      <c r="KR52"/>
      <c r="KS52"/>
      <c r="KT52"/>
      <c r="KU52"/>
      <c r="KV52"/>
      <c r="KW52"/>
      <c r="KX52"/>
      <c r="KY52"/>
      <c r="KZ52"/>
      <c r="LA52"/>
      <c r="LB52"/>
      <c r="LC52"/>
      <c r="LD52"/>
      <c r="LE52"/>
      <c r="LF52"/>
      <c r="LG52"/>
      <c r="LH52"/>
      <c r="LI52"/>
      <c r="LJ52"/>
      <c r="LK52"/>
      <c r="LL52"/>
      <c r="LM52"/>
      <c r="LN52"/>
      <c r="LO52"/>
      <c r="LP52"/>
      <c r="LQ52"/>
      <c r="LR52"/>
      <c r="LS52"/>
      <c r="LT52"/>
      <c r="LU52"/>
      <c r="LV52"/>
      <c r="LW52"/>
      <c r="LX52"/>
      <c r="LY52"/>
      <c r="LZ52"/>
      <c r="MA52"/>
      <c r="MB52"/>
      <c r="MC52"/>
      <c r="MD52"/>
      <c r="ME52"/>
      <c r="MF52"/>
      <c r="MG52"/>
      <c r="MH52"/>
      <c r="MI52"/>
      <c r="MJ52"/>
      <c r="MK52"/>
      <c r="ML52"/>
      <c r="MM52"/>
      <c r="MN52"/>
      <c r="MO52"/>
      <c r="MP52"/>
      <c r="MQ52"/>
      <c r="MR52"/>
      <c r="MS52"/>
      <c r="MT52"/>
      <c r="MU52"/>
      <c r="MV52"/>
      <c r="MW52"/>
      <c r="MX52"/>
      <c r="MY52"/>
      <c r="MZ52"/>
      <c r="NA52"/>
      <c r="NB52"/>
      <c r="NC52"/>
      <c r="ND52"/>
      <c r="NE52"/>
      <c r="NF52"/>
      <c r="NG52"/>
      <c r="NH52"/>
      <c r="NI52"/>
      <c r="NJ52"/>
      <c r="NK52"/>
      <c r="NL52"/>
      <c r="NM52"/>
      <c r="NN52"/>
      <c r="NO52"/>
      <c r="NP52"/>
      <c r="NQ52"/>
      <c r="NR52"/>
      <c r="NS52"/>
      <c r="NT52"/>
      <c r="NU52"/>
      <c r="NV52"/>
      <c r="NW52"/>
      <c r="NX52"/>
      <c r="NY52"/>
      <c r="NZ52"/>
      <c r="OA52"/>
      <c r="OB52"/>
      <c r="OC52"/>
      <c r="OD52"/>
      <c r="OE52"/>
      <c r="OF52"/>
      <c r="OG52"/>
      <c r="OH52"/>
      <c r="OI52"/>
      <c r="OJ52"/>
      <c r="OK52"/>
      <c r="OL52"/>
      <c r="OM52"/>
      <c r="ON52"/>
      <c r="OO52"/>
      <c r="OP52"/>
      <c r="OQ52"/>
      <c r="OR52"/>
      <c r="OS52"/>
      <c r="OT52"/>
      <c r="OU52"/>
      <c r="OV52"/>
      <c r="OW52"/>
      <c r="OX52"/>
      <c r="OY52"/>
      <c r="OZ52"/>
      <c r="PA52"/>
      <c r="PB52"/>
      <c r="PC52"/>
      <c r="PD52"/>
      <c r="PE52"/>
      <c r="PF52"/>
      <c r="PG52"/>
      <c r="PH52"/>
      <c r="PI52"/>
      <c r="PJ52"/>
      <c r="PK52"/>
      <c r="PL52"/>
      <c r="PM52"/>
      <c r="PN52"/>
      <c r="PO52"/>
      <c r="PP52"/>
      <c r="PQ52"/>
      <c r="PR52"/>
      <c r="PS52"/>
      <c r="PT52"/>
      <c r="PU52"/>
      <c r="PV52"/>
      <c r="PW52"/>
      <c r="PX52"/>
      <c r="PY52"/>
      <c r="PZ52"/>
      <c r="QA52"/>
      <c r="QB52"/>
      <c r="QC52"/>
      <c r="QD52"/>
      <c r="QE52"/>
      <c r="QF52"/>
      <c r="QG52"/>
      <c r="QH52"/>
      <c r="QI52"/>
      <c r="QJ52"/>
      <c r="QK52"/>
      <c r="QL52"/>
      <c r="QM52"/>
      <c r="QN52"/>
      <c r="QO52"/>
      <c r="QP52"/>
      <c r="QQ52"/>
      <c r="QR52"/>
      <c r="QS52"/>
      <c r="QT52"/>
      <c r="QU52"/>
      <c r="QV52"/>
      <c r="QW52"/>
      <c r="QX52"/>
      <c r="QY52"/>
      <c r="QZ52"/>
      <c r="RA52"/>
      <c r="RB52"/>
      <c r="RC52"/>
      <c r="RD52"/>
      <c r="RE52"/>
      <c r="RF52"/>
      <c r="RG52"/>
      <c r="RH52"/>
      <c r="RI52"/>
      <c r="RJ52"/>
      <c r="RK52"/>
      <c r="RL52"/>
      <c r="RM52"/>
      <c r="RN52"/>
      <c r="RO52"/>
      <c r="RP52"/>
      <c r="RQ52"/>
      <c r="RR52"/>
      <c r="RS52"/>
      <c r="RT52"/>
      <c r="RU52"/>
      <c r="RV52"/>
      <c r="RW52"/>
      <c r="RX52"/>
      <c r="RY52"/>
      <c r="RZ52"/>
      <c r="SA52"/>
      <c r="SB52"/>
      <c r="SC52"/>
      <c r="SD52"/>
      <c r="SE52"/>
      <c r="SF52"/>
      <c r="SG52"/>
      <c r="SH52"/>
      <c r="SI52"/>
      <c r="SJ52"/>
      <c r="SK52"/>
      <c r="SL52"/>
      <c r="SM52"/>
      <c r="SN52"/>
      <c r="SO52"/>
      <c r="SP52"/>
      <c r="SQ52"/>
      <c r="SR52"/>
      <c r="SS52"/>
      <c r="ST52"/>
      <c r="SU52"/>
      <c r="SV52"/>
      <c r="SW52"/>
      <c r="SX52"/>
      <c r="SY52"/>
      <c r="SZ52"/>
      <c r="TA52"/>
      <c r="TB52"/>
      <c r="TC52"/>
      <c r="TD52"/>
      <c r="TE52"/>
      <c r="TF52"/>
      <c r="TG52"/>
      <c r="TH52"/>
      <c r="TI52"/>
      <c r="TJ52"/>
      <c r="TK52"/>
      <c r="TL52"/>
      <c r="TM52"/>
      <c r="TN52"/>
      <c r="TO52"/>
      <c r="TP52"/>
      <c r="TQ52"/>
      <c r="TR52"/>
      <c r="TS52"/>
      <c r="TT52"/>
      <c r="TU52"/>
      <c r="TV52"/>
    </row>
    <row r="53" spans="1:542" s="36" customFormat="1" ht="17" x14ac:dyDescent="0.2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 s="10"/>
      <c r="U53" s="10"/>
      <c r="V53" s="10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DB53"/>
      <c r="DC53"/>
      <c r="DD53"/>
      <c r="DE53"/>
      <c r="DF53"/>
      <c r="DG53"/>
      <c r="DH53"/>
      <c r="DI53"/>
      <c r="DJ53"/>
      <c r="DK53"/>
      <c r="DL53"/>
      <c r="DM53"/>
      <c r="DN53"/>
      <c r="DO53"/>
      <c r="DP53"/>
      <c r="DQ53"/>
      <c r="DR53"/>
      <c r="DS53"/>
      <c r="DT53"/>
      <c r="DU53"/>
      <c r="DV53"/>
      <c r="DW53"/>
      <c r="DX53"/>
      <c r="DY53"/>
      <c r="DZ53"/>
      <c r="EA53"/>
      <c r="EB53"/>
      <c r="EC53"/>
      <c r="ED53"/>
      <c r="EE53"/>
      <c r="EF53"/>
      <c r="EG53"/>
      <c r="EH53"/>
      <c r="EJ53"/>
      <c r="EK53"/>
      <c r="EL53"/>
      <c r="EM53"/>
      <c r="EN53"/>
      <c r="EO53"/>
      <c r="EP53"/>
      <c r="EQ53"/>
      <c r="ER53"/>
      <c r="ES53"/>
      <c r="ET53"/>
      <c r="EU53"/>
      <c r="EV53"/>
      <c r="EW53"/>
      <c r="EX53"/>
      <c r="EY53"/>
      <c r="EZ53"/>
      <c r="FA53"/>
      <c r="FB53"/>
      <c r="FC53"/>
      <c r="FD53"/>
      <c r="FE53"/>
      <c r="FF53"/>
      <c r="FG53"/>
      <c r="FH53"/>
      <c r="FI53"/>
      <c r="FJ53"/>
      <c r="FK53"/>
      <c r="FL53"/>
      <c r="FM53"/>
      <c r="FN53"/>
      <c r="FO53"/>
      <c r="FP53"/>
      <c r="FR53"/>
      <c r="FS53"/>
      <c r="FT53"/>
      <c r="FU53"/>
      <c r="FV53"/>
      <c r="FW53"/>
      <c r="FX53"/>
      <c r="FY53"/>
      <c r="FZ53"/>
      <c r="GA53"/>
      <c r="GB53"/>
      <c r="GC53"/>
      <c r="GD53"/>
      <c r="GE53"/>
      <c r="GF53"/>
      <c r="GG53"/>
      <c r="GH53"/>
      <c r="GI53"/>
      <c r="GJ53"/>
      <c r="GK53"/>
      <c r="GL53"/>
      <c r="GM53"/>
      <c r="GN53"/>
      <c r="GO53"/>
      <c r="GP53"/>
      <c r="GQ53"/>
      <c r="GR53"/>
      <c r="GS53"/>
      <c r="GT53"/>
      <c r="GU53"/>
      <c r="GV53"/>
      <c r="GW53"/>
      <c r="GX53"/>
      <c r="GZ53"/>
      <c r="HA53"/>
      <c r="HB53"/>
      <c r="HC53"/>
      <c r="HD53"/>
      <c r="HE53"/>
      <c r="HF53"/>
      <c r="HG53"/>
      <c r="HH53"/>
      <c r="HI53"/>
      <c r="HJ53"/>
      <c r="HK53"/>
      <c r="HL53"/>
      <c r="HM53"/>
      <c r="HN53"/>
      <c r="HO53"/>
      <c r="HP53"/>
      <c r="HQ53"/>
      <c r="HR53"/>
      <c r="HS53"/>
      <c r="HT53"/>
      <c r="HU53"/>
      <c r="HV53"/>
      <c r="HW53"/>
      <c r="HX53"/>
      <c r="HY53"/>
      <c r="HZ53"/>
      <c r="IA53"/>
      <c r="IB53"/>
      <c r="IC53"/>
      <c r="ID53"/>
      <c r="IE53"/>
      <c r="IF53"/>
      <c r="IH53"/>
      <c r="II53"/>
      <c r="IJ53"/>
      <c r="IK53"/>
      <c r="IL53"/>
      <c r="IM53"/>
      <c r="IN53"/>
      <c r="IO53"/>
      <c r="IP53"/>
      <c r="IQ53"/>
      <c r="IR53"/>
      <c r="IS53"/>
      <c r="IT53"/>
      <c r="IU53"/>
      <c r="IV53"/>
      <c r="IW53"/>
      <c r="IX53"/>
      <c r="IY53"/>
      <c r="IZ53"/>
      <c r="JA53"/>
      <c r="JB53"/>
      <c r="JC53"/>
      <c r="JD53"/>
      <c r="JE53"/>
      <c r="JF53"/>
      <c r="JG53"/>
      <c r="JH53"/>
      <c r="JI53"/>
      <c r="JJ53"/>
      <c r="JK53"/>
      <c r="JL53"/>
      <c r="JM53"/>
      <c r="JN53"/>
      <c r="JP53"/>
      <c r="JQ53"/>
      <c r="JR53"/>
      <c r="JS53"/>
      <c r="JT53"/>
      <c r="JU53"/>
      <c r="JV53"/>
      <c r="JW53"/>
      <c r="JX53"/>
      <c r="JY53"/>
      <c r="JZ53"/>
      <c r="KA53"/>
      <c r="KB53"/>
      <c r="KC53"/>
      <c r="KD53"/>
      <c r="KE53"/>
      <c r="KF53"/>
      <c r="KG53"/>
      <c r="KH53"/>
      <c r="KI53"/>
      <c r="KJ53"/>
      <c r="KK53"/>
      <c r="KL53"/>
      <c r="KM53"/>
      <c r="KN53"/>
      <c r="KO53"/>
      <c r="KP53"/>
      <c r="KQ53"/>
      <c r="KR53"/>
      <c r="KS53"/>
      <c r="KT53"/>
      <c r="KU53"/>
      <c r="KV53"/>
      <c r="KW53"/>
      <c r="KX53"/>
      <c r="KY53"/>
      <c r="KZ53"/>
      <c r="LA53"/>
      <c r="LB53"/>
      <c r="LC53"/>
      <c r="LD53"/>
      <c r="LE53"/>
      <c r="LF53"/>
      <c r="LG53"/>
      <c r="LH53"/>
      <c r="LI53"/>
      <c r="LJ53"/>
      <c r="LK53"/>
      <c r="LL53"/>
      <c r="LM53"/>
      <c r="LN53"/>
      <c r="LO53"/>
      <c r="LP53"/>
      <c r="LQ53"/>
      <c r="LR53"/>
      <c r="LS53"/>
      <c r="LT53"/>
      <c r="LU53"/>
      <c r="LV53"/>
      <c r="LW53"/>
      <c r="LX53"/>
      <c r="LY53"/>
      <c r="LZ53"/>
      <c r="MA53"/>
      <c r="MB53"/>
      <c r="MC53"/>
      <c r="MD53"/>
      <c r="ME53"/>
      <c r="MF53"/>
      <c r="MG53"/>
      <c r="MH53"/>
      <c r="MI53"/>
      <c r="MJ53"/>
      <c r="MK53"/>
      <c r="ML53"/>
      <c r="MM53"/>
      <c r="MN53"/>
      <c r="MO53"/>
      <c r="MP53"/>
      <c r="MQ53"/>
      <c r="MR53"/>
      <c r="MS53"/>
      <c r="MT53"/>
      <c r="MU53"/>
      <c r="MV53"/>
      <c r="MW53"/>
      <c r="MX53"/>
      <c r="MY53"/>
      <c r="MZ53"/>
      <c r="NA53"/>
      <c r="NB53"/>
      <c r="NC53"/>
      <c r="ND53"/>
      <c r="NE53"/>
      <c r="NF53"/>
      <c r="NG53"/>
      <c r="NH53"/>
      <c r="NI53"/>
      <c r="NJ53"/>
      <c r="NK53"/>
      <c r="NL53"/>
      <c r="NM53"/>
      <c r="NN53"/>
      <c r="NO53"/>
      <c r="NP53"/>
      <c r="NQ53"/>
      <c r="NR53"/>
      <c r="NS53"/>
      <c r="NT53"/>
      <c r="NU53"/>
      <c r="NV53"/>
      <c r="NW53"/>
      <c r="NX53"/>
      <c r="NY53"/>
      <c r="NZ53"/>
      <c r="OA53"/>
      <c r="OB53"/>
      <c r="OC53"/>
      <c r="OD53"/>
      <c r="OE53"/>
      <c r="OF53"/>
      <c r="OG53"/>
      <c r="OH53"/>
      <c r="OI53"/>
      <c r="OJ53"/>
      <c r="OK53"/>
      <c r="OL53"/>
      <c r="OM53"/>
      <c r="ON53"/>
      <c r="OO53"/>
      <c r="OP53"/>
      <c r="OQ53"/>
      <c r="OR53"/>
      <c r="OS53"/>
      <c r="OT53"/>
      <c r="OU53"/>
      <c r="OV53"/>
      <c r="OW53"/>
      <c r="OX53"/>
      <c r="OY53"/>
      <c r="OZ53"/>
      <c r="PA53"/>
      <c r="PB53"/>
      <c r="PC53"/>
      <c r="PD53"/>
      <c r="PE53"/>
      <c r="PF53"/>
      <c r="PG53"/>
      <c r="PH53"/>
      <c r="PI53"/>
      <c r="PJ53"/>
      <c r="PK53"/>
      <c r="PL53"/>
      <c r="PM53"/>
      <c r="PN53"/>
      <c r="PO53"/>
      <c r="PP53"/>
      <c r="PQ53"/>
      <c r="PR53"/>
      <c r="PS53"/>
      <c r="PT53"/>
      <c r="PU53"/>
      <c r="PV53"/>
      <c r="PW53"/>
      <c r="PX53"/>
      <c r="PY53"/>
      <c r="PZ53"/>
      <c r="QA53"/>
      <c r="QB53"/>
      <c r="QC53"/>
      <c r="QD53"/>
      <c r="QE53"/>
      <c r="QF53"/>
      <c r="QG53"/>
      <c r="QH53"/>
      <c r="QI53"/>
      <c r="QJ53"/>
      <c r="QK53"/>
      <c r="QL53"/>
      <c r="QM53"/>
      <c r="QN53"/>
      <c r="QO53"/>
      <c r="QP53"/>
      <c r="QQ53"/>
      <c r="QR53"/>
      <c r="QS53"/>
      <c r="QT53"/>
      <c r="QU53"/>
      <c r="QV53"/>
      <c r="QW53"/>
      <c r="QX53"/>
      <c r="QY53"/>
      <c r="QZ53"/>
      <c r="RA53"/>
      <c r="RB53"/>
      <c r="RC53"/>
      <c r="RD53"/>
      <c r="RE53"/>
      <c r="RF53"/>
      <c r="RG53"/>
      <c r="RH53"/>
      <c r="RI53"/>
      <c r="RJ53"/>
      <c r="RK53"/>
      <c r="RL53"/>
      <c r="RM53"/>
      <c r="RN53"/>
      <c r="RO53"/>
      <c r="RP53"/>
      <c r="RQ53"/>
      <c r="RR53"/>
      <c r="RS53"/>
      <c r="RT53"/>
      <c r="RU53"/>
      <c r="RV53"/>
      <c r="RW53"/>
      <c r="RX53"/>
      <c r="RY53"/>
      <c r="RZ53"/>
      <c r="SA53"/>
      <c r="SB53"/>
      <c r="SC53"/>
      <c r="SD53"/>
      <c r="SE53"/>
      <c r="SF53"/>
      <c r="SG53"/>
      <c r="SH53"/>
      <c r="SI53"/>
      <c r="SJ53"/>
      <c r="SK53"/>
      <c r="SL53"/>
      <c r="SM53"/>
      <c r="SN53"/>
      <c r="SO53"/>
      <c r="SP53"/>
      <c r="SQ53"/>
      <c r="SR53"/>
      <c r="SS53"/>
      <c r="ST53"/>
      <c r="SU53"/>
      <c r="SV53"/>
      <c r="SW53"/>
      <c r="SX53"/>
      <c r="SY53"/>
      <c r="SZ53"/>
      <c r="TA53"/>
      <c r="TB53"/>
      <c r="TC53"/>
      <c r="TD53"/>
      <c r="TE53"/>
      <c r="TF53"/>
      <c r="TG53"/>
      <c r="TH53"/>
      <c r="TI53"/>
      <c r="TJ53"/>
      <c r="TK53"/>
      <c r="TL53"/>
      <c r="TM53"/>
      <c r="TN53"/>
      <c r="TO53"/>
      <c r="TP53"/>
      <c r="TQ53"/>
      <c r="TR53"/>
      <c r="TS53"/>
      <c r="TT53"/>
      <c r="TU53"/>
      <c r="TV53"/>
    </row>
    <row r="54" spans="1:542" s="36" customFormat="1" ht="17" x14ac:dyDescent="0.2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 s="10"/>
      <c r="U54" s="10"/>
      <c r="V54" s="10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  <c r="DB54"/>
      <c r="DC54"/>
      <c r="DD54"/>
      <c r="DE54"/>
      <c r="DF54"/>
      <c r="DG54"/>
      <c r="DH54"/>
      <c r="DI54"/>
      <c r="DJ54"/>
      <c r="DK54"/>
      <c r="DL54"/>
      <c r="DM54"/>
      <c r="DN54"/>
      <c r="DO54"/>
      <c r="DP54"/>
      <c r="DQ54"/>
      <c r="DR54"/>
      <c r="DS54"/>
      <c r="DT54"/>
      <c r="DU54"/>
      <c r="DV54"/>
      <c r="DW54"/>
      <c r="DX54"/>
      <c r="DY54"/>
      <c r="DZ54"/>
      <c r="EA54"/>
      <c r="EB54"/>
      <c r="EC54"/>
      <c r="ED54"/>
      <c r="EE54"/>
      <c r="EF54"/>
      <c r="EG54"/>
      <c r="EH54"/>
      <c r="EJ54"/>
      <c r="EK54"/>
      <c r="EL54"/>
      <c r="EM54"/>
      <c r="EN54"/>
      <c r="EO54"/>
      <c r="EP54"/>
      <c r="EQ54"/>
      <c r="ER54"/>
      <c r="ES54"/>
      <c r="ET54"/>
      <c r="EU54"/>
      <c r="EV54"/>
      <c r="EW54"/>
      <c r="EX54"/>
      <c r="EY54"/>
      <c r="EZ54"/>
      <c r="FA54"/>
      <c r="FB54"/>
      <c r="FC54"/>
      <c r="FD54"/>
      <c r="FE54"/>
      <c r="FF54"/>
      <c r="FG54"/>
      <c r="FH54"/>
      <c r="FI54"/>
      <c r="FJ54"/>
      <c r="FK54"/>
      <c r="FL54"/>
      <c r="FM54"/>
      <c r="FN54"/>
      <c r="FO54"/>
      <c r="FP54"/>
      <c r="FR54"/>
      <c r="FS54"/>
      <c r="FT54"/>
      <c r="FU54"/>
      <c r="FV54"/>
      <c r="FW54"/>
      <c r="FX54"/>
      <c r="FY54"/>
      <c r="FZ54"/>
      <c r="GA54"/>
      <c r="GB54"/>
      <c r="GC54"/>
      <c r="GD54"/>
      <c r="GE54"/>
      <c r="GF54"/>
      <c r="GG54"/>
      <c r="GH54"/>
      <c r="GI54"/>
      <c r="GJ54"/>
      <c r="GK54"/>
      <c r="GL54"/>
      <c r="GM54"/>
      <c r="GN54"/>
      <c r="GO54"/>
      <c r="GP54"/>
      <c r="GQ54"/>
      <c r="GR54"/>
      <c r="GS54"/>
      <c r="GT54"/>
      <c r="GU54"/>
      <c r="GV54"/>
      <c r="GW54"/>
      <c r="GX54"/>
      <c r="GZ54"/>
      <c r="HA54"/>
      <c r="HB54"/>
      <c r="HC54"/>
      <c r="HD54"/>
      <c r="HE54"/>
      <c r="HF54"/>
      <c r="HG54"/>
      <c r="HH54"/>
      <c r="HI54"/>
      <c r="HJ54"/>
      <c r="HK54"/>
      <c r="HL54"/>
      <c r="HM54"/>
      <c r="HN54"/>
      <c r="HO54"/>
      <c r="HP54"/>
      <c r="HQ54"/>
      <c r="HR54"/>
      <c r="HS54"/>
      <c r="HT54"/>
      <c r="HU54"/>
      <c r="HV54"/>
      <c r="HW54"/>
      <c r="HX54"/>
      <c r="HY54"/>
      <c r="HZ54"/>
      <c r="IA54"/>
      <c r="IB54"/>
      <c r="IC54"/>
      <c r="ID54"/>
      <c r="IE54"/>
      <c r="IF54"/>
      <c r="IH54"/>
      <c r="II54"/>
      <c r="IJ54"/>
      <c r="IK54"/>
      <c r="IL54"/>
      <c r="IM54"/>
      <c r="IN54"/>
      <c r="IO54"/>
      <c r="IP54"/>
      <c r="IQ54"/>
      <c r="IR54"/>
      <c r="IS54"/>
      <c r="IT54"/>
      <c r="IU54"/>
      <c r="IV54"/>
      <c r="IW54"/>
      <c r="IX54"/>
      <c r="IY54"/>
      <c r="IZ54"/>
      <c r="JA54"/>
      <c r="JB54"/>
      <c r="JC54"/>
      <c r="JD54"/>
      <c r="JE54"/>
      <c r="JF54"/>
      <c r="JG54"/>
      <c r="JH54"/>
      <c r="JI54"/>
      <c r="JJ54"/>
      <c r="JK54"/>
      <c r="JL54"/>
      <c r="JM54"/>
      <c r="JN54"/>
      <c r="JP54"/>
      <c r="JQ54"/>
      <c r="JR54"/>
      <c r="JS54"/>
      <c r="JT54"/>
      <c r="JU54"/>
      <c r="JV54"/>
      <c r="JW54"/>
      <c r="JX54"/>
      <c r="JY54"/>
      <c r="JZ54"/>
      <c r="KA54"/>
      <c r="KB54"/>
      <c r="KC54"/>
      <c r="KD54"/>
      <c r="KE54"/>
      <c r="KF54"/>
      <c r="KG54"/>
      <c r="KH54"/>
      <c r="KI54"/>
      <c r="KJ54"/>
      <c r="KK54"/>
      <c r="KL54"/>
      <c r="KM54"/>
      <c r="KN54"/>
      <c r="KO54"/>
      <c r="KP54"/>
      <c r="KQ54"/>
      <c r="KR54"/>
      <c r="KS54"/>
      <c r="KT54"/>
      <c r="KU54"/>
      <c r="KV54"/>
      <c r="KW54"/>
      <c r="KX54"/>
      <c r="KY54"/>
      <c r="KZ54"/>
      <c r="LA54"/>
      <c r="LB54"/>
      <c r="LC54"/>
      <c r="LD54"/>
      <c r="LE54"/>
      <c r="LF54"/>
      <c r="LG54"/>
      <c r="LH54"/>
      <c r="LI54"/>
      <c r="LJ54"/>
      <c r="LK54"/>
      <c r="LL54"/>
      <c r="LM54"/>
      <c r="LN54"/>
      <c r="LO54"/>
      <c r="LP54"/>
      <c r="LQ54"/>
      <c r="LR54"/>
      <c r="LS54"/>
      <c r="LT54"/>
      <c r="LU54"/>
      <c r="LV54"/>
      <c r="LW54"/>
      <c r="LX54"/>
      <c r="LY54"/>
      <c r="LZ54"/>
      <c r="MA54"/>
      <c r="MB54"/>
      <c r="MC54"/>
      <c r="MD54"/>
      <c r="ME54"/>
      <c r="MF54"/>
      <c r="MG54"/>
      <c r="MH54"/>
      <c r="MI54"/>
      <c r="MJ54"/>
      <c r="MK54"/>
      <c r="ML54"/>
      <c r="MM54"/>
      <c r="MN54"/>
      <c r="MO54"/>
      <c r="MP54"/>
      <c r="MQ54"/>
      <c r="MR54"/>
      <c r="MS54"/>
      <c r="MT54"/>
      <c r="MU54"/>
      <c r="MV54"/>
      <c r="MW54"/>
      <c r="MX54"/>
      <c r="MY54"/>
      <c r="MZ54"/>
      <c r="NA54"/>
      <c r="NB54"/>
      <c r="NC54"/>
      <c r="ND54"/>
      <c r="NE54"/>
      <c r="NF54"/>
      <c r="NG54"/>
      <c r="NH54"/>
      <c r="NI54"/>
      <c r="NJ54"/>
      <c r="NK54"/>
      <c r="NL54"/>
      <c r="NM54"/>
      <c r="NN54"/>
      <c r="NO54"/>
      <c r="NP54"/>
      <c r="NQ54"/>
      <c r="NR54"/>
      <c r="NS54"/>
      <c r="NT54"/>
      <c r="NU54"/>
      <c r="NV54"/>
      <c r="NW54"/>
      <c r="NX54"/>
      <c r="NY54"/>
      <c r="NZ54"/>
      <c r="OA54"/>
      <c r="OB54"/>
      <c r="OC54"/>
      <c r="OD54"/>
      <c r="OE54"/>
      <c r="OF54"/>
      <c r="OG54"/>
      <c r="OH54"/>
      <c r="OI54"/>
      <c r="OJ54"/>
      <c r="OK54"/>
      <c r="OL54"/>
      <c r="OM54"/>
      <c r="ON54"/>
      <c r="OO54"/>
      <c r="OP54"/>
      <c r="OQ54"/>
      <c r="OR54"/>
      <c r="OS54"/>
      <c r="OT54"/>
      <c r="OU54"/>
      <c r="OV54"/>
      <c r="OW54"/>
      <c r="OX54"/>
      <c r="OY54"/>
      <c r="OZ54"/>
      <c r="PA54"/>
      <c r="PB54"/>
      <c r="PC54"/>
      <c r="PD54"/>
      <c r="PE54"/>
      <c r="PF54"/>
      <c r="PG54"/>
      <c r="PH54"/>
      <c r="PI54"/>
      <c r="PJ54"/>
      <c r="PK54"/>
      <c r="PL54"/>
      <c r="PM54"/>
      <c r="PN54"/>
      <c r="PO54"/>
      <c r="PP54"/>
      <c r="PQ54"/>
      <c r="PR54"/>
      <c r="PS54"/>
      <c r="PT54"/>
      <c r="PU54"/>
      <c r="PV54"/>
      <c r="PW54"/>
      <c r="PX54"/>
      <c r="PY54"/>
      <c r="PZ54"/>
      <c r="QA54"/>
      <c r="QB54"/>
      <c r="QC54"/>
      <c r="QD54"/>
      <c r="QE54"/>
      <c r="QF54"/>
      <c r="QG54"/>
      <c r="QH54"/>
      <c r="QI54"/>
      <c r="QJ54"/>
      <c r="QK54"/>
      <c r="QL54"/>
      <c r="QM54"/>
      <c r="QN54"/>
      <c r="QO54"/>
      <c r="QP54"/>
      <c r="QQ54"/>
      <c r="QR54"/>
      <c r="QS54"/>
      <c r="QT54"/>
      <c r="QU54"/>
      <c r="QV54"/>
      <c r="QW54"/>
      <c r="QX54"/>
      <c r="QY54"/>
      <c r="QZ54"/>
      <c r="RA54"/>
      <c r="RB54"/>
      <c r="RC54"/>
      <c r="RD54"/>
      <c r="RE54"/>
      <c r="RF54"/>
      <c r="RG54"/>
      <c r="RH54"/>
      <c r="RI54"/>
      <c r="RJ54"/>
      <c r="RK54"/>
      <c r="RL54"/>
      <c r="RM54"/>
      <c r="RN54"/>
      <c r="RO54"/>
      <c r="RP54"/>
      <c r="RQ54"/>
      <c r="RR54"/>
      <c r="RS54"/>
      <c r="RT54"/>
      <c r="RU54"/>
      <c r="RV54"/>
      <c r="RW54"/>
      <c r="RX54"/>
      <c r="RY54"/>
      <c r="RZ54"/>
      <c r="SA54"/>
      <c r="SB54"/>
      <c r="SC54"/>
      <c r="SD54"/>
      <c r="SE54"/>
      <c r="SF54"/>
      <c r="SG54"/>
      <c r="SH54"/>
      <c r="SI54"/>
      <c r="SJ54"/>
      <c r="SK54"/>
      <c r="SL54"/>
      <c r="SM54"/>
      <c r="SN54"/>
      <c r="SO54"/>
      <c r="SP54"/>
      <c r="SQ54"/>
      <c r="SR54"/>
      <c r="SS54"/>
      <c r="ST54"/>
      <c r="SU54"/>
      <c r="SV54"/>
      <c r="SW54"/>
      <c r="SX54"/>
      <c r="SY54"/>
      <c r="SZ54"/>
      <c r="TA54"/>
      <c r="TB54"/>
      <c r="TC54"/>
      <c r="TD54"/>
      <c r="TE54"/>
      <c r="TF54"/>
      <c r="TG54"/>
      <c r="TH54"/>
      <c r="TI54"/>
      <c r="TJ54"/>
      <c r="TK54"/>
      <c r="TL54"/>
      <c r="TM54"/>
      <c r="TN54"/>
      <c r="TO54"/>
      <c r="TP54"/>
      <c r="TQ54"/>
      <c r="TR54"/>
      <c r="TS54"/>
      <c r="TT54"/>
      <c r="TU54"/>
      <c r="TV54"/>
    </row>
    <row r="55" spans="1:542" s="36" customFormat="1" ht="17" x14ac:dyDescent="0.2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 s="10"/>
      <c r="U55" s="10"/>
      <c r="V55" s="10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  <c r="DB55"/>
      <c r="DC55"/>
      <c r="DD55"/>
      <c r="DE55"/>
      <c r="DF55"/>
      <c r="DG55"/>
      <c r="DH55"/>
      <c r="DI55"/>
      <c r="DJ55"/>
      <c r="DK55"/>
      <c r="DL55"/>
      <c r="DM55"/>
      <c r="DN55"/>
      <c r="DO55"/>
      <c r="DP55"/>
      <c r="DQ55"/>
      <c r="DR55"/>
      <c r="DS55"/>
      <c r="DT55"/>
      <c r="DU55"/>
      <c r="DV55"/>
      <c r="DW55"/>
      <c r="DX55"/>
      <c r="DY55"/>
      <c r="DZ55"/>
      <c r="EA55"/>
      <c r="EB55"/>
      <c r="EC55"/>
      <c r="ED55"/>
      <c r="EE55"/>
      <c r="EF55"/>
      <c r="EG55"/>
      <c r="EH55"/>
      <c r="EJ55"/>
      <c r="EK55"/>
      <c r="EL55"/>
      <c r="EM55"/>
      <c r="EN55"/>
      <c r="EO55"/>
      <c r="EP55"/>
      <c r="EQ55"/>
      <c r="ER55"/>
      <c r="ES55"/>
      <c r="ET55"/>
      <c r="EU55"/>
      <c r="EV55"/>
      <c r="EW55"/>
      <c r="EX55"/>
      <c r="EY55"/>
      <c r="EZ55"/>
      <c r="FA55"/>
      <c r="FB55"/>
      <c r="FC55"/>
      <c r="FD55"/>
      <c r="FE55"/>
      <c r="FF55"/>
      <c r="FG55"/>
      <c r="FH55"/>
      <c r="FI55"/>
      <c r="FJ55"/>
      <c r="FK55"/>
      <c r="FL55"/>
      <c r="FM55"/>
      <c r="FN55"/>
      <c r="FO55"/>
      <c r="FP55"/>
      <c r="FR55"/>
      <c r="FS55"/>
      <c r="FT55"/>
      <c r="FU55"/>
      <c r="FV55"/>
      <c r="FW55"/>
      <c r="FX55"/>
      <c r="FY55"/>
      <c r="FZ55"/>
      <c r="GA55"/>
      <c r="GB55"/>
      <c r="GC55"/>
      <c r="GD55"/>
      <c r="GE55"/>
      <c r="GF55"/>
      <c r="GG55"/>
      <c r="GH55"/>
      <c r="GI55"/>
      <c r="GJ55"/>
      <c r="GK55"/>
      <c r="GL55"/>
      <c r="GM55"/>
      <c r="GN55"/>
      <c r="GO55"/>
      <c r="GP55"/>
      <c r="GQ55"/>
      <c r="GR55"/>
      <c r="GS55"/>
      <c r="GT55"/>
      <c r="GU55"/>
      <c r="GV55"/>
      <c r="GW55"/>
      <c r="GX55"/>
      <c r="GZ55"/>
      <c r="HA55"/>
      <c r="HB55"/>
      <c r="HC55"/>
      <c r="HD55"/>
      <c r="HE55"/>
      <c r="HF55"/>
      <c r="HG55"/>
      <c r="HH55"/>
      <c r="HI55"/>
      <c r="HJ55"/>
      <c r="HK55"/>
      <c r="HL55"/>
      <c r="HM55"/>
      <c r="HN55"/>
      <c r="HO55"/>
      <c r="HP55"/>
      <c r="HQ55"/>
      <c r="HR55"/>
      <c r="HS55"/>
      <c r="HT55"/>
      <c r="HU55"/>
      <c r="HV55"/>
      <c r="HW55"/>
      <c r="HX55"/>
      <c r="HY55"/>
      <c r="HZ55"/>
      <c r="IA55"/>
      <c r="IB55"/>
      <c r="IC55"/>
      <c r="ID55"/>
      <c r="IE55"/>
      <c r="IF55"/>
      <c r="IH55"/>
      <c r="II55"/>
      <c r="IJ55"/>
      <c r="IK55"/>
      <c r="IL55"/>
      <c r="IM55"/>
      <c r="IN55"/>
      <c r="IO55"/>
      <c r="IP55"/>
      <c r="IQ55"/>
      <c r="IR55"/>
      <c r="IS55"/>
      <c r="IT55"/>
      <c r="IU55"/>
      <c r="IV55"/>
      <c r="IW55"/>
      <c r="IX55"/>
      <c r="IY55"/>
      <c r="IZ55"/>
      <c r="JA55"/>
      <c r="JB55"/>
      <c r="JC55"/>
      <c r="JD55"/>
      <c r="JE55"/>
      <c r="JF55"/>
      <c r="JG55"/>
      <c r="JH55"/>
      <c r="JI55"/>
      <c r="JJ55"/>
      <c r="JK55"/>
      <c r="JL55"/>
      <c r="JM55"/>
      <c r="JN55"/>
      <c r="JP55"/>
      <c r="JQ55"/>
      <c r="JR55"/>
      <c r="JS55"/>
      <c r="JT55"/>
      <c r="JU55"/>
      <c r="JV55"/>
      <c r="JW55"/>
      <c r="JX55"/>
      <c r="JY55"/>
      <c r="JZ55"/>
      <c r="KA55"/>
      <c r="KB55"/>
      <c r="KC55"/>
      <c r="KD55"/>
      <c r="KE55"/>
      <c r="KF55"/>
      <c r="KG55"/>
      <c r="KH55"/>
      <c r="KI55"/>
      <c r="KJ55"/>
      <c r="KK55"/>
      <c r="KL55"/>
      <c r="KM55"/>
      <c r="KN55"/>
      <c r="KO55"/>
      <c r="KP55"/>
      <c r="KQ55"/>
      <c r="KR55"/>
      <c r="KS55"/>
      <c r="KT55"/>
      <c r="KU55"/>
      <c r="KV55"/>
      <c r="KW55"/>
      <c r="KX55"/>
      <c r="KY55"/>
      <c r="KZ55"/>
      <c r="LA55"/>
      <c r="LB55"/>
      <c r="LC55"/>
      <c r="LD55"/>
      <c r="LE55"/>
      <c r="LF55"/>
      <c r="LG55"/>
      <c r="LH55"/>
      <c r="LI55"/>
      <c r="LJ55"/>
      <c r="LK55"/>
      <c r="LL55"/>
      <c r="LM55"/>
      <c r="LN55"/>
      <c r="LO55"/>
      <c r="LP55"/>
      <c r="LQ55"/>
      <c r="LR55"/>
      <c r="LS55"/>
      <c r="LT55"/>
      <c r="LU55"/>
      <c r="LV55"/>
      <c r="LW55"/>
      <c r="LX55"/>
      <c r="LY55"/>
      <c r="LZ55"/>
      <c r="MA55"/>
      <c r="MB55"/>
      <c r="MC55"/>
      <c r="MD55"/>
      <c r="ME55"/>
      <c r="MF55"/>
      <c r="MG55"/>
      <c r="MH55"/>
      <c r="MI55"/>
      <c r="MJ55"/>
      <c r="MK55"/>
      <c r="ML55"/>
      <c r="MM55"/>
      <c r="MN55"/>
      <c r="MO55"/>
      <c r="MP55"/>
      <c r="MQ55"/>
      <c r="MR55"/>
      <c r="MS55"/>
      <c r="MT55"/>
      <c r="MU55"/>
      <c r="MV55"/>
      <c r="MW55"/>
      <c r="MX55"/>
      <c r="MY55"/>
      <c r="MZ55"/>
      <c r="NA55"/>
      <c r="NB55"/>
      <c r="NC55"/>
      <c r="ND55"/>
      <c r="NE55"/>
      <c r="NF55"/>
      <c r="NG55"/>
      <c r="NH55"/>
      <c r="NI55"/>
      <c r="NJ55"/>
      <c r="NK55"/>
      <c r="NL55"/>
      <c r="NM55"/>
      <c r="NN55"/>
      <c r="NO55"/>
      <c r="NP55"/>
      <c r="NQ55"/>
      <c r="NR55"/>
      <c r="NS55"/>
      <c r="NT55"/>
      <c r="NU55"/>
      <c r="NV55"/>
      <c r="NW55"/>
      <c r="NX55"/>
      <c r="NY55"/>
      <c r="NZ55"/>
      <c r="OA55"/>
      <c r="OB55"/>
      <c r="OC55"/>
      <c r="OD55"/>
      <c r="OE55"/>
      <c r="OF55"/>
      <c r="OG55"/>
      <c r="OH55"/>
      <c r="OI55"/>
      <c r="OJ55"/>
      <c r="OK55"/>
      <c r="OL55"/>
      <c r="OM55"/>
      <c r="ON55"/>
      <c r="OO55"/>
      <c r="OP55"/>
      <c r="OQ55"/>
      <c r="OR55"/>
      <c r="OS55"/>
      <c r="OT55"/>
      <c r="OU55"/>
      <c r="OV55"/>
      <c r="OW55"/>
      <c r="OX55"/>
      <c r="OY55"/>
      <c r="OZ55"/>
      <c r="PA55"/>
      <c r="PB55"/>
      <c r="PC55"/>
      <c r="PD55"/>
      <c r="PE55"/>
      <c r="PF55"/>
      <c r="PG55"/>
      <c r="PH55"/>
      <c r="PI55"/>
      <c r="PJ55"/>
      <c r="PK55"/>
      <c r="PL55"/>
      <c r="PM55"/>
      <c r="PN55"/>
      <c r="PO55"/>
      <c r="PP55"/>
      <c r="PQ55"/>
      <c r="PR55"/>
      <c r="PS55"/>
      <c r="PT55"/>
      <c r="PU55"/>
      <c r="PV55"/>
      <c r="PW55"/>
      <c r="PX55"/>
      <c r="PY55"/>
      <c r="PZ55"/>
      <c r="QA55"/>
      <c r="QB55"/>
      <c r="QC55"/>
      <c r="QD55"/>
      <c r="QE55"/>
      <c r="QF55"/>
      <c r="QG55"/>
      <c r="QH55"/>
      <c r="QI55"/>
      <c r="QJ55"/>
      <c r="QK55"/>
      <c r="QL55"/>
      <c r="QM55"/>
      <c r="QN55"/>
      <c r="QO55"/>
      <c r="QP55"/>
      <c r="QQ55"/>
      <c r="QR55"/>
      <c r="QS55"/>
      <c r="QT55"/>
      <c r="QU55"/>
      <c r="QV55"/>
      <c r="QW55"/>
      <c r="QX55"/>
      <c r="QY55"/>
      <c r="QZ55"/>
      <c r="RA55"/>
      <c r="RB55"/>
      <c r="RC55"/>
      <c r="RD55"/>
      <c r="RE55"/>
      <c r="RF55"/>
      <c r="RG55"/>
      <c r="RH55"/>
      <c r="RI55"/>
      <c r="RJ55"/>
      <c r="RK55"/>
      <c r="RL55"/>
      <c r="RM55"/>
      <c r="RN55"/>
      <c r="RO55"/>
      <c r="RP55"/>
      <c r="RQ55"/>
      <c r="RR55"/>
      <c r="RS55"/>
      <c r="RT55"/>
      <c r="RU55"/>
      <c r="RV55"/>
      <c r="RW55"/>
      <c r="RX55"/>
      <c r="RY55"/>
      <c r="RZ55"/>
      <c r="SA55"/>
      <c r="SB55"/>
      <c r="SC55"/>
      <c r="SD55"/>
      <c r="SE55"/>
      <c r="SF55"/>
      <c r="SG55"/>
      <c r="SH55"/>
      <c r="SI55"/>
      <c r="SJ55"/>
      <c r="SK55"/>
      <c r="SL55"/>
      <c r="SM55"/>
      <c r="SN55"/>
      <c r="SO55"/>
      <c r="SP55"/>
      <c r="SQ55"/>
      <c r="SR55"/>
      <c r="SS55"/>
      <c r="ST55"/>
      <c r="SU55"/>
      <c r="SV55"/>
      <c r="SW55"/>
      <c r="SX55"/>
      <c r="SY55"/>
      <c r="SZ55"/>
      <c r="TA55"/>
      <c r="TB55"/>
      <c r="TC55"/>
      <c r="TD55"/>
      <c r="TE55"/>
      <c r="TF55"/>
      <c r="TG55"/>
      <c r="TH55"/>
      <c r="TI55"/>
      <c r="TJ55"/>
      <c r="TK55"/>
      <c r="TL55"/>
      <c r="TM55"/>
      <c r="TN55"/>
      <c r="TO55"/>
      <c r="TP55"/>
      <c r="TQ55"/>
      <c r="TR55"/>
      <c r="TS55"/>
      <c r="TT55"/>
      <c r="TU55"/>
      <c r="TV55"/>
    </row>
    <row r="56" spans="1:542" s="36" customFormat="1" ht="17" x14ac:dyDescent="0.2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 s="10"/>
      <c r="U56" s="10"/>
      <c r="V56" s="10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  <c r="DB56"/>
      <c r="DC56"/>
      <c r="DD56"/>
      <c r="DE56"/>
      <c r="DF56"/>
      <c r="DG56"/>
      <c r="DH56"/>
      <c r="DI56"/>
      <c r="DJ56"/>
      <c r="DK56"/>
      <c r="DL56"/>
      <c r="DM56"/>
      <c r="DN56"/>
      <c r="DO56"/>
      <c r="DP56"/>
      <c r="DQ56"/>
      <c r="DR56"/>
      <c r="DS56"/>
      <c r="DT56"/>
      <c r="DU56"/>
      <c r="DV56"/>
      <c r="DW56"/>
      <c r="DX56"/>
      <c r="DY56"/>
      <c r="DZ56"/>
      <c r="EA56"/>
      <c r="EB56"/>
      <c r="EC56"/>
      <c r="ED56"/>
      <c r="EE56"/>
      <c r="EF56"/>
      <c r="EG56"/>
      <c r="EH56"/>
      <c r="EJ56"/>
      <c r="EK56"/>
      <c r="EL56"/>
      <c r="EM56"/>
      <c r="EN56"/>
      <c r="EO56"/>
      <c r="EP56"/>
      <c r="EQ56"/>
      <c r="ER56"/>
      <c r="ES56"/>
      <c r="ET56"/>
      <c r="EU56"/>
      <c r="EV56"/>
      <c r="EW56"/>
      <c r="EX56"/>
      <c r="EY56"/>
      <c r="EZ56"/>
      <c r="FA56"/>
      <c r="FB56"/>
      <c r="FC56"/>
      <c r="FD56"/>
      <c r="FE56"/>
      <c r="FF56"/>
      <c r="FG56"/>
      <c r="FH56"/>
      <c r="FI56"/>
      <c r="FJ56"/>
      <c r="FK56"/>
      <c r="FL56"/>
      <c r="FM56"/>
      <c r="FN56"/>
      <c r="FO56"/>
      <c r="FP56"/>
      <c r="FR56"/>
      <c r="FS56"/>
      <c r="FT56"/>
      <c r="FU56"/>
      <c r="FV56"/>
      <c r="FW56"/>
      <c r="FX56"/>
      <c r="FY56"/>
      <c r="FZ56"/>
      <c r="GA56"/>
      <c r="GB56"/>
      <c r="GC56"/>
      <c r="GD56"/>
      <c r="GE56"/>
      <c r="GF56"/>
      <c r="GG56"/>
      <c r="GH56"/>
      <c r="GI56"/>
      <c r="GJ56"/>
      <c r="GK56"/>
      <c r="GL56"/>
      <c r="GM56"/>
      <c r="GN56"/>
      <c r="GO56"/>
      <c r="GP56"/>
      <c r="GQ56"/>
      <c r="GR56"/>
      <c r="GS56"/>
      <c r="GT56"/>
      <c r="GU56"/>
      <c r="GV56"/>
      <c r="GW56"/>
      <c r="GX56"/>
      <c r="GZ56"/>
      <c r="HA56"/>
      <c r="HB56"/>
      <c r="HC56"/>
      <c r="HD56"/>
      <c r="HE56"/>
      <c r="HF56"/>
      <c r="HG56"/>
      <c r="HH56"/>
      <c r="HI56"/>
      <c r="HJ56"/>
      <c r="HK56"/>
      <c r="HL56"/>
      <c r="HM56"/>
      <c r="HN56"/>
      <c r="HO56"/>
      <c r="HP56"/>
      <c r="HQ56"/>
      <c r="HR56"/>
      <c r="HS56"/>
      <c r="HT56"/>
      <c r="HU56"/>
      <c r="HV56"/>
      <c r="HW56"/>
      <c r="HX56"/>
      <c r="HY56"/>
      <c r="HZ56"/>
      <c r="IA56"/>
      <c r="IB56"/>
      <c r="IC56"/>
      <c r="ID56"/>
      <c r="IE56"/>
      <c r="IF56"/>
      <c r="IH56"/>
      <c r="II56"/>
      <c r="IJ56"/>
      <c r="IK56"/>
      <c r="IL56"/>
      <c r="IM56"/>
      <c r="IN56"/>
      <c r="IO56"/>
      <c r="IP56"/>
      <c r="IQ56"/>
      <c r="IR56"/>
      <c r="IS56"/>
      <c r="IT56"/>
      <c r="IU56"/>
      <c r="IV56"/>
      <c r="IW56"/>
      <c r="IX56"/>
      <c r="IY56"/>
      <c r="IZ56"/>
      <c r="JA56"/>
      <c r="JB56"/>
      <c r="JC56"/>
      <c r="JD56"/>
      <c r="JE56"/>
      <c r="JF56"/>
      <c r="JG56"/>
      <c r="JH56"/>
      <c r="JI56"/>
      <c r="JJ56"/>
      <c r="JK56"/>
      <c r="JL56"/>
      <c r="JM56"/>
      <c r="JN56"/>
      <c r="JP56"/>
      <c r="JQ56"/>
      <c r="JR56"/>
      <c r="JS56"/>
      <c r="JT56"/>
      <c r="JU56"/>
      <c r="JV56"/>
      <c r="JW56"/>
      <c r="JX56"/>
      <c r="JY56"/>
      <c r="JZ56"/>
      <c r="KA56"/>
      <c r="KB56"/>
      <c r="KC56"/>
      <c r="KD56"/>
      <c r="KE56"/>
      <c r="KF56"/>
      <c r="KG56"/>
      <c r="KH56"/>
      <c r="KI56"/>
      <c r="KJ56"/>
      <c r="KK56"/>
      <c r="KL56"/>
      <c r="KM56"/>
      <c r="KN56"/>
      <c r="KO56"/>
      <c r="KP56"/>
      <c r="KQ56"/>
      <c r="KR56"/>
      <c r="KS56"/>
      <c r="KT56"/>
      <c r="KU56"/>
      <c r="KV56"/>
      <c r="KW56"/>
      <c r="KX56"/>
      <c r="KY56"/>
      <c r="KZ56"/>
      <c r="LA56"/>
      <c r="LB56"/>
      <c r="LC56"/>
      <c r="LD56"/>
      <c r="LE56"/>
      <c r="LF56"/>
      <c r="LG56"/>
      <c r="LH56"/>
      <c r="LI56"/>
      <c r="LJ56"/>
      <c r="LK56"/>
      <c r="LL56"/>
      <c r="LM56"/>
      <c r="LN56"/>
      <c r="LO56"/>
      <c r="LP56"/>
      <c r="LQ56"/>
      <c r="LR56"/>
      <c r="LS56"/>
      <c r="LT56"/>
      <c r="LU56"/>
      <c r="LV56"/>
      <c r="LW56"/>
      <c r="LX56"/>
      <c r="LY56"/>
      <c r="LZ56"/>
      <c r="MA56"/>
      <c r="MB56"/>
      <c r="MC56"/>
      <c r="MD56"/>
      <c r="ME56"/>
      <c r="MF56"/>
      <c r="MG56"/>
      <c r="MH56"/>
      <c r="MI56"/>
      <c r="MJ56"/>
      <c r="MK56"/>
      <c r="ML56"/>
      <c r="MM56"/>
      <c r="MN56"/>
      <c r="MO56"/>
      <c r="MP56"/>
      <c r="MQ56"/>
      <c r="MR56"/>
      <c r="MS56"/>
      <c r="MT56"/>
      <c r="MU56"/>
      <c r="MV56"/>
      <c r="MW56"/>
      <c r="MX56"/>
      <c r="MY56"/>
      <c r="MZ56"/>
      <c r="NA56"/>
      <c r="NB56"/>
      <c r="NC56"/>
      <c r="ND56"/>
      <c r="NE56"/>
      <c r="NF56"/>
      <c r="NG56"/>
      <c r="NH56"/>
      <c r="NI56"/>
      <c r="NJ56"/>
      <c r="NK56"/>
      <c r="NL56"/>
      <c r="NM56"/>
      <c r="NN56"/>
      <c r="NO56"/>
      <c r="NP56"/>
      <c r="NQ56"/>
      <c r="NR56"/>
      <c r="NS56"/>
      <c r="NT56"/>
      <c r="NU56"/>
      <c r="NV56"/>
      <c r="NW56"/>
      <c r="NX56"/>
      <c r="NY56"/>
      <c r="NZ56"/>
      <c r="OA56"/>
      <c r="OB56"/>
      <c r="OC56"/>
      <c r="OD56"/>
      <c r="OE56"/>
      <c r="OF56"/>
      <c r="OG56"/>
      <c r="OH56"/>
      <c r="OI56"/>
      <c r="OJ56"/>
      <c r="OK56"/>
      <c r="OL56"/>
      <c r="OM56"/>
      <c r="ON56"/>
      <c r="OO56"/>
      <c r="OP56"/>
      <c r="OQ56"/>
      <c r="OR56"/>
      <c r="OS56"/>
      <c r="OT56"/>
      <c r="OU56"/>
      <c r="OV56"/>
      <c r="OW56"/>
      <c r="OX56"/>
      <c r="OY56"/>
      <c r="OZ56"/>
      <c r="PA56"/>
      <c r="PB56"/>
      <c r="PC56"/>
      <c r="PD56"/>
      <c r="PE56"/>
      <c r="PF56"/>
      <c r="PG56"/>
      <c r="PH56"/>
      <c r="PI56"/>
      <c r="PJ56"/>
      <c r="PK56"/>
      <c r="PL56"/>
      <c r="PM56"/>
      <c r="PN56"/>
      <c r="PO56"/>
      <c r="PP56"/>
      <c r="PQ56"/>
      <c r="PR56"/>
      <c r="PS56"/>
      <c r="PT56"/>
      <c r="PU56"/>
      <c r="PV56"/>
      <c r="PW56"/>
      <c r="PX56"/>
      <c r="PY56"/>
      <c r="PZ56"/>
      <c r="QA56"/>
      <c r="QB56"/>
      <c r="QC56"/>
      <c r="QD56"/>
      <c r="QE56"/>
      <c r="QF56"/>
      <c r="QG56"/>
      <c r="QH56"/>
      <c r="QI56"/>
      <c r="QJ56"/>
      <c r="QK56"/>
      <c r="QL56"/>
      <c r="QM56"/>
      <c r="QN56"/>
      <c r="QO56"/>
      <c r="QP56"/>
      <c r="QQ56"/>
      <c r="QR56"/>
      <c r="QS56"/>
      <c r="QT56"/>
      <c r="QU56"/>
      <c r="QV56"/>
      <c r="QW56"/>
      <c r="QX56"/>
      <c r="QY56"/>
      <c r="QZ56"/>
      <c r="RA56"/>
      <c r="RB56"/>
      <c r="RC56"/>
      <c r="RD56"/>
      <c r="RE56"/>
      <c r="RF56"/>
      <c r="RG56"/>
      <c r="RH56"/>
      <c r="RI56"/>
      <c r="RJ56"/>
      <c r="RK56"/>
      <c r="RL56"/>
      <c r="RM56"/>
      <c r="RN56"/>
      <c r="RO56"/>
      <c r="RP56"/>
      <c r="RQ56"/>
      <c r="RR56"/>
      <c r="RS56"/>
      <c r="RT56"/>
      <c r="RU56"/>
      <c r="RV56"/>
      <c r="RW56"/>
      <c r="RX56"/>
      <c r="RY56"/>
      <c r="RZ56"/>
      <c r="SA56"/>
      <c r="SB56"/>
      <c r="SC56"/>
      <c r="SD56"/>
      <c r="SE56"/>
      <c r="SF56"/>
      <c r="SG56"/>
      <c r="SH56"/>
      <c r="SI56"/>
      <c r="SJ56"/>
      <c r="SK56"/>
      <c r="SL56"/>
      <c r="SM56"/>
      <c r="SN56"/>
      <c r="SO56"/>
      <c r="SP56"/>
      <c r="SQ56"/>
      <c r="SR56"/>
      <c r="SS56"/>
      <c r="ST56"/>
      <c r="SU56"/>
      <c r="SV56"/>
      <c r="SW56"/>
      <c r="SX56"/>
      <c r="SY56"/>
      <c r="SZ56"/>
      <c r="TA56"/>
      <c r="TB56"/>
      <c r="TC56"/>
      <c r="TD56"/>
      <c r="TE56"/>
      <c r="TF56"/>
      <c r="TG56"/>
      <c r="TH56"/>
      <c r="TI56"/>
      <c r="TJ56"/>
      <c r="TK56"/>
      <c r="TL56"/>
      <c r="TM56"/>
      <c r="TN56"/>
      <c r="TO56"/>
      <c r="TP56"/>
      <c r="TQ56"/>
      <c r="TR56"/>
      <c r="TS56"/>
      <c r="TT56"/>
      <c r="TU56"/>
      <c r="TV56"/>
    </row>
    <row r="57" spans="1:542" s="36" customFormat="1" ht="17" x14ac:dyDescent="0.2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 s="10"/>
      <c r="U57" s="10"/>
      <c r="V57" s="10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  <c r="CN57"/>
      <c r="DB57"/>
      <c r="DC57"/>
      <c r="DD57"/>
      <c r="DE57"/>
      <c r="DF57"/>
      <c r="DG57"/>
      <c r="DH57"/>
      <c r="DI57"/>
      <c r="DJ57"/>
      <c r="DK57"/>
      <c r="DL57"/>
      <c r="DM57"/>
      <c r="DN57"/>
      <c r="DO57"/>
      <c r="DP57"/>
      <c r="DQ57"/>
      <c r="DR57"/>
      <c r="DS57"/>
      <c r="DT57"/>
      <c r="DU57"/>
      <c r="DV57"/>
      <c r="DW57"/>
      <c r="DX57"/>
      <c r="DY57"/>
      <c r="DZ57"/>
      <c r="EA57"/>
      <c r="EB57"/>
      <c r="EC57"/>
      <c r="ED57"/>
      <c r="EE57"/>
      <c r="EF57"/>
      <c r="EG57"/>
      <c r="EH57"/>
      <c r="EJ57"/>
      <c r="EK57"/>
      <c r="EL57"/>
      <c r="EM57"/>
      <c r="EN57"/>
      <c r="EO57"/>
      <c r="EP57"/>
      <c r="EQ57"/>
      <c r="ER57"/>
      <c r="ES57"/>
      <c r="ET57"/>
      <c r="EU57"/>
      <c r="EV57"/>
      <c r="EW57"/>
      <c r="EX57"/>
      <c r="EY57"/>
      <c r="EZ57"/>
      <c r="FA57"/>
      <c r="FB57"/>
      <c r="FC57"/>
      <c r="FD57"/>
      <c r="FE57"/>
      <c r="FF57"/>
      <c r="FG57"/>
      <c r="FH57"/>
      <c r="FI57"/>
      <c r="FJ57"/>
      <c r="FK57"/>
      <c r="FL57"/>
      <c r="FM57"/>
      <c r="FN57"/>
      <c r="FO57"/>
      <c r="FP57"/>
      <c r="FR57"/>
      <c r="FS57"/>
      <c r="FT57"/>
      <c r="FU57"/>
      <c r="FV57"/>
      <c r="FW57"/>
      <c r="FX57"/>
      <c r="FY57"/>
      <c r="FZ57"/>
      <c r="GA57"/>
      <c r="GB57"/>
      <c r="GC57"/>
      <c r="GD57"/>
      <c r="GE57"/>
      <c r="GF57"/>
      <c r="GG57"/>
      <c r="GH57"/>
      <c r="GI57"/>
      <c r="GJ57"/>
      <c r="GK57"/>
      <c r="GL57"/>
      <c r="GM57"/>
      <c r="GN57"/>
      <c r="GO57"/>
      <c r="GP57"/>
      <c r="GQ57"/>
      <c r="GR57"/>
      <c r="GS57"/>
      <c r="GT57"/>
      <c r="GU57"/>
      <c r="GV57"/>
      <c r="GW57"/>
      <c r="GX57"/>
      <c r="GZ57"/>
      <c r="HA57"/>
      <c r="HB57"/>
      <c r="HC57"/>
      <c r="HD57"/>
      <c r="HE57"/>
      <c r="HF57"/>
      <c r="HG57"/>
      <c r="HH57"/>
      <c r="HI57"/>
      <c r="HJ57"/>
      <c r="HK57"/>
      <c r="HL57"/>
      <c r="HM57"/>
      <c r="HN57"/>
      <c r="HO57"/>
      <c r="HP57"/>
      <c r="HQ57"/>
      <c r="HR57"/>
      <c r="HS57"/>
      <c r="HT57"/>
      <c r="HU57"/>
      <c r="HV57"/>
      <c r="HW57"/>
      <c r="HX57"/>
      <c r="HY57"/>
      <c r="HZ57"/>
      <c r="IA57"/>
      <c r="IB57"/>
      <c r="IC57"/>
      <c r="ID57"/>
      <c r="IE57"/>
      <c r="IF57"/>
      <c r="IH57"/>
      <c r="II57"/>
      <c r="IJ57"/>
      <c r="IK57"/>
      <c r="IL57"/>
      <c r="IM57"/>
      <c r="IN57"/>
      <c r="IO57"/>
      <c r="IP57"/>
      <c r="IQ57"/>
      <c r="IR57"/>
      <c r="IS57"/>
      <c r="IT57"/>
      <c r="IU57"/>
      <c r="IV57"/>
      <c r="IW57"/>
      <c r="IX57"/>
      <c r="IY57"/>
      <c r="IZ57"/>
      <c r="JA57"/>
      <c r="JB57"/>
      <c r="JC57"/>
      <c r="JD57"/>
      <c r="JE57"/>
      <c r="JF57"/>
      <c r="JG57"/>
      <c r="JH57"/>
      <c r="JI57"/>
      <c r="JJ57"/>
      <c r="JK57"/>
      <c r="JL57"/>
      <c r="JM57"/>
      <c r="JN57"/>
      <c r="JP57"/>
      <c r="JQ57"/>
      <c r="JR57"/>
      <c r="JS57"/>
      <c r="JT57"/>
      <c r="JU57"/>
      <c r="JV57"/>
      <c r="JW57"/>
      <c r="JX57"/>
      <c r="JY57"/>
      <c r="JZ57"/>
      <c r="KA57"/>
      <c r="KB57"/>
      <c r="KC57"/>
      <c r="KD57"/>
      <c r="KE57"/>
      <c r="KF57"/>
      <c r="KG57"/>
      <c r="KH57"/>
      <c r="KI57"/>
      <c r="KJ57"/>
      <c r="KK57"/>
      <c r="KL57"/>
      <c r="KM57"/>
      <c r="KN57"/>
      <c r="KO57"/>
      <c r="KP57"/>
      <c r="KQ57"/>
      <c r="KR57"/>
      <c r="KS57"/>
      <c r="KT57"/>
      <c r="KU57"/>
      <c r="KV57"/>
      <c r="KW57"/>
      <c r="KX57"/>
      <c r="KY57"/>
      <c r="KZ57"/>
      <c r="LA57"/>
      <c r="LB57"/>
      <c r="LC57"/>
      <c r="LD57"/>
      <c r="LE57"/>
      <c r="LF57"/>
      <c r="LG57"/>
      <c r="LH57"/>
      <c r="LI57"/>
      <c r="LJ57"/>
      <c r="LK57"/>
      <c r="LL57"/>
      <c r="LM57"/>
      <c r="LN57"/>
      <c r="LO57"/>
      <c r="LP57"/>
      <c r="LQ57"/>
      <c r="LR57"/>
      <c r="LS57"/>
      <c r="LT57"/>
      <c r="LU57"/>
      <c r="LV57"/>
      <c r="LW57"/>
      <c r="LX57"/>
      <c r="LY57"/>
      <c r="LZ57"/>
      <c r="MA57"/>
      <c r="MB57"/>
      <c r="MC57"/>
      <c r="MD57"/>
      <c r="ME57"/>
      <c r="MF57"/>
      <c r="MG57"/>
      <c r="MH57"/>
      <c r="MI57"/>
      <c r="MJ57"/>
      <c r="MK57"/>
      <c r="ML57"/>
      <c r="MM57"/>
      <c r="MN57"/>
      <c r="MO57"/>
      <c r="MP57"/>
      <c r="MQ57"/>
      <c r="MR57"/>
      <c r="MS57"/>
      <c r="MT57"/>
      <c r="MU57"/>
      <c r="MV57"/>
      <c r="MW57"/>
      <c r="MX57"/>
      <c r="MY57"/>
      <c r="MZ57"/>
      <c r="NA57"/>
      <c r="NB57"/>
      <c r="NC57"/>
      <c r="ND57"/>
      <c r="NE57"/>
      <c r="NF57"/>
      <c r="NG57"/>
      <c r="NH57"/>
      <c r="NI57"/>
      <c r="NJ57"/>
      <c r="NK57"/>
      <c r="NL57"/>
      <c r="NM57"/>
      <c r="NN57"/>
      <c r="NO57"/>
      <c r="NP57"/>
      <c r="NQ57"/>
      <c r="NR57"/>
      <c r="NS57"/>
      <c r="NT57"/>
      <c r="NU57"/>
      <c r="NV57"/>
      <c r="NW57"/>
      <c r="NX57"/>
      <c r="NY57"/>
      <c r="NZ57"/>
      <c r="OA57"/>
      <c r="OB57"/>
      <c r="OC57"/>
      <c r="OD57"/>
      <c r="OE57"/>
      <c r="OF57"/>
      <c r="OG57"/>
      <c r="OH57"/>
      <c r="OI57"/>
      <c r="OJ57"/>
      <c r="OK57"/>
      <c r="OL57"/>
      <c r="OM57"/>
      <c r="ON57"/>
      <c r="OO57"/>
      <c r="OP57"/>
      <c r="OQ57"/>
      <c r="OR57"/>
      <c r="OS57"/>
      <c r="OT57"/>
      <c r="OU57"/>
      <c r="OV57"/>
      <c r="OW57"/>
      <c r="OX57"/>
      <c r="OY57"/>
      <c r="OZ57"/>
      <c r="PA57"/>
      <c r="PB57"/>
      <c r="PC57"/>
      <c r="PD57"/>
      <c r="PE57"/>
      <c r="PF57"/>
      <c r="PG57"/>
      <c r="PH57"/>
      <c r="PI57"/>
      <c r="PJ57"/>
      <c r="PK57"/>
      <c r="PL57"/>
      <c r="PM57"/>
      <c r="PN57"/>
      <c r="PO57"/>
      <c r="PP57"/>
      <c r="PQ57"/>
      <c r="PR57"/>
      <c r="PS57"/>
      <c r="PT57"/>
      <c r="PU57"/>
      <c r="PV57"/>
      <c r="PW57"/>
      <c r="PX57"/>
      <c r="PY57"/>
      <c r="PZ57"/>
      <c r="QA57"/>
      <c r="QB57"/>
      <c r="QC57"/>
      <c r="QD57"/>
      <c r="QE57"/>
      <c r="QF57"/>
      <c r="QG57"/>
      <c r="QH57"/>
      <c r="QI57"/>
      <c r="QJ57"/>
      <c r="QK57"/>
      <c r="QL57"/>
      <c r="QM57"/>
      <c r="QN57"/>
      <c r="QO57"/>
      <c r="QP57"/>
      <c r="QQ57"/>
      <c r="QR57"/>
      <c r="QS57"/>
      <c r="QT57"/>
      <c r="QU57"/>
      <c r="QV57"/>
      <c r="QW57"/>
      <c r="QX57"/>
      <c r="QY57"/>
      <c r="QZ57"/>
      <c r="RA57"/>
      <c r="RB57"/>
      <c r="RC57"/>
      <c r="RD57"/>
      <c r="RE57"/>
      <c r="RF57"/>
      <c r="RG57"/>
      <c r="RH57"/>
      <c r="RI57"/>
      <c r="RJ57"/>
      <c r="RK57"/>
      <c r="RL57"/>
      <c r="RM57"/>
      <c r="RN57"/>
      <c r="RO57"/>
      <c r="RP57"/>
      <c r="RQ57"/>
      <c r="RR57"/>
      <c r="RS57"/>
      <c r="RT57"/>
      <c r="RU57"/>
      <c r="RV57"/>
      <c r="RW57"/>
      <c r="RX57"/>
      <c r="RY57"/>
      <c r="RZ57"/>
      <c r="SA57"/>
      <c r="SB57"/>
      <c r="SC57"/>
      <c r="SD57"/>
      <c r="SE57"/>
      <c r="SF57"/>
      <c r="SG57"/>
      <c r="SH57"/>
      <c r="SI57"/>
      <c r="SJ57"/>
      <c r="SK57"/>
      <c r="SL57"/>
      <c r="SM57"/>
      <c r="SN57"/>
      <c r="SO57"/>
      <c r="SP57"/>
      <c r="SQ57"/>
      <c r="SR57"/>
      <c r="SS57"/>
      <c r="ST57"/>
      <c r="SU57"/>
      <c r="SV57"/>
      <c r="SW57"/>
      <c r="SX57"/>
      <c r="SY57"/>
      <c r="SZ57"/>
      <c r="TA57"/>
      <c r="TB57"/>
      <c r="TC57"/>
      <c r="TD57"/>
      <c r="TE57"/>
      <c r="TF57"/>
      <c r="TG57"/>
      <c r="TH57"/>
      <c r="TI57"/>
      <c r="TJ57"/>
      <c r="TK57"/>
      <c r="TL57"/>
      <c r="TM57"/>
      <c r="TN57"/>
      <c r="TO57"/>
      <c r="TP57"/>
      <c r="TQ57"/>
      <c r="TR57"/>
      <c r="TS57"/>
      <c r="TT57"/>
      <c r="TU57"/>
      <c r="TV57"/>
    </row>
    <row r="58" spans="1:542" ht="17" x14ac:dyDescent="0.2">
      <c r="T58" s="10"/>
      <c r="U58" s="10"/>
      <c r="V58" s="10"/>
    </row>
    <row r="59" spans="1:542" ht="17" x14ac:dyDescent="0.2">
      <c r="T59" s="10"/>
      <c r="U59" s="10"/>
      <c r="V59" s="10"/>
    </row>
    <row r="60" spans="1:542" ht="17" x14ac:dyDescent="0.2">
      <c r="T60" s="10"/>
      <c r="U60" s="10"/>
      <c r="V60" s="10"/>
    </row>
    <row r="61" spans="1:542" ht="17" x14ac:dyDescent="0.2">
      <c r="T61" s="10"/>
      <c r="U61" s="10"/>
      <c r="V61" s="10"/>
    </row>
    <row r="62" spans="1:542" ht="17" x14ac:dyDescent="0.2">
      <c r="T62" s="10"/>
      <c r="U62" s="10"/>
      <c r="V62" s="10"/>
    </row>
    <row r="63" spans="1:542" ht="17" x14ac:dyDescent="0.2">
      <c r="T63" s="10"/>
      <c r="U63" s="10"/>
      <c r="V63" s="10"/>
    </row>
  </sheetData>
  <sheetProtection sheet="1" formatCells="0" formatColumns="0" formatRows="0"/>
  <autoFilter ref="A1:TT27" xr:uid="{00000000-0001-0000-0100-000000000000}"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5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filterColumn colId="474" showButton="0"/>
    <filterColumn colId="475" showButton="0"/>
    <filterColumn colId="476" showButton="0"/>
    <filterColumn colId="477" showButton="0"/>
    <filterColumn colId="479" showButton="0"/>
    <filterColumn colId="480" showButton="0"/>
    <filterColumn colId="481" showButton="0"/>
    <filterColumn colId="482" showButton="0"/>
    <filterColumn colId="483" showButton="0"/>
    <filterColumn colId="484" showButton="0"/>
    <filterColumn colId="485" showButton="0"/>
    <filterColumn colId="486" showButton="0"/>
    <filterColumn colId="487" showButton="0"/>
    <filterColumn colId="488" showButton="0"/>
    <filterColumn colId="489" showButton="0"/>
    <filterColumn colId="490" showButton="0"/>
    <filterColumn colId="491" showButton="0"/>
    <filterColumn colId="492" showButton="0"/>
    <filterColumn colId="493" showButton="0"/>
    <filterColumn colId="494" showButton="0"/>
    <filterColumn colId="495" showButton="0"/>
    <filterColumn colId="496" showButton="0"/>
    <filterColumn colId="497" showButton="0"/>
    <filterColumn colId="498" showButton="0"/>
    <filterColumn colId="499" showButton="0"/>
    <filterColumn colId="500" showButton="0"/>
    <filterColumn colId="501" showButton="0"/>
    <filterColumn colId="502" showButton="0"/>
    <filterColumn colId="503" showButton="0"/>
    <filterColumn colId="504" showButton="0"/>
    <filterColumn colId="505" showButton="0"/>
    <filterColumn colId="506" showButton="0"/>
    <filterColumn colId="507" showButton="0"/>
    <filterColumn colId="508" showButton="0"/>
    <filterColumn colId="509" showButton="0"/>
    <filterColumn colId="510" showButton="0"/>
    <filterColumn colId="511" showButton="0"/>
    <filterColumn colId="513" showButton="0"/>
    <filterColumn colId="514" showButton="0"/>
    <filterColumn colId="515" showButton="0"/>
    <filterColumn colId="516" showButton="0"/>
    <filterColumn colId="517" showButton="0"/>
    <filterColumn colId="518" showButton="0"/>
    <filterColumn colId="519" showButton="0"/>
    <filterColumn colId="520" showButton="0"/>
    <filterColumn colId="521" showButton="0"/>
    <filterColumn colId="522" showButton="0"/>
    <filterColumn colId="523" showButton="0"/>
    <filterColumn colId="524" showButton="0"/>
    <filterColumn colId="525" showButton="0"/>
    <filterColumn colId="526" showButton="0"/>
    <filterColumn colId="527" showButton="0"/>
    <filterColumn colId="528" showButton="0"/>
    <filterColumn colId="529" showButton="0"/>
    <filterColumn colId="530" showButton="0"/>
    <filterColumn colId="531" showButton="0"/>
    <filterColumn colId="532" showButton="0"/>
    <filterColumn colId="533" showButton="0"/>
    <filterColumn colId="534" showButton="0"/>
    <filterColumn colId="535" showButton="0"/>
    <filterColumn colId="536" showButton="0"/>
    <filterColumn colId="537" showButton="0"/>
    <filterColumn colId="538" showButton="0"/>
    <sortState xmlns:xlrd2="http://schemas.microsoft.com/office/spreadsheetml/2017/richdata2" ref="A6:TT31">
      <sortCondition descending="1" ref="F1:F32"/>
    </sortState>
  </autoFilter>
  <mergeCells count="99">
    <mergeCell ref="PA2:PE2"/>
    <mergeCell ref="LH2:LL2"/>
    <mergeCell ref="LM2:LQ2"/>
    <mergeCell ref="MF2:MJ2"/>
    <mergeCell ref="MK2:MO2"/>
    <mergeCell ref="MP2:MT2"/>
    <mergeCell ref="MU2:MY2"/>
    <mergeCell ref="TD2:TH2"/>
    <mergeCell ref="RL2:RP2"/>
    <mergeCell ref="RQ2:RU2"/>
    <mergeCell ref="RV2:RZ2"/>
    <mergeCell ref="SA2:SE2"/>
    <mergeCell ref="ST2:SX2"/>
    <mergeCell ref="SY2:TC2"/>
    <mergeCell ref="PF2:PJ2"/>
    <mergeCell ref="PK2:PO2"/>
    <mergeCell ref="QD2:QH2"/>
    <mergeCell ref="QI2:QM2"/>
    <mergeCell ref="QN2:QR2"/>
    <mergeCell ref="QS2:QW2"/>
    <mergeCell ref="IH2:IL2"/>
    <mergeCell ref="IM2:IQ2"/>
    <mergeCell ref="IR2:IV2"/>
    <mergeCell ref="IW2:JA2"/>
    <mergeCell ref="NN2:NR2"/>
    <mergeCell ref="NS2:NW2"/>
    <mergeCell ref="NX2:OB2"/>
    <mergeCell ref="OC2:OG2"/>
    <mergeCell ref="OV2:OZ2"/>
    <mergeCell ref="JP2:JT2"/>
    <mergeCell ref="JU2:JY2"/>
    <mergeCell ref="JZ2:KD2"/>
    <mergeCell ref="KE2:KI2"/>
    <mergeCell ref="KX2:LB2"/>
    <mergeCell ref="LC2:LG2"/>
    <mergeCell ref="DG2:DK2"/>
    <mergeCell ref="NN1:OU1"/>
    <mergeCell ref="OV1:QC1"/>
    <mergeCell ref="QD1:RK1"/>
    <mergeCell ref="FR2:FV2"/>
    <mergeCell ref="FW2:GA2"/>
    <mergeCell ref="GB2:GF2"/>
    <mergeCell ref="GG2:GK2"/>
    <mergeCell ref="GZ2:HD2"/>
    <mergeCell ref="HE2:HI2"/>
    <mergeCell ref="DL2:DP2"/>
    <mergeCell ref="DQ2:DU2"/>
    <mergeCell ref="EJ2:EN2"/>
    <mergeCell ref="EO2:ES2"/>
    <mergeCell ref="ET2:EX2"/>
    <mergeCell ref="EY2:FC2"/>
    <mergeCell ref="HJ2:HN2"/>
    <mergeCell ref="HO2:HS2"/>
    <mergeCell ref="RL1:SS1"/>
    <mergeCell ref="ST1:TT1"/>
    <mergeCell ref="W2:AA2"/>
    <mergeCell ref="AB2:AF2"/>
    <mergeCell ref="AG2:AK2"/>
    <mergeCell ref="AX2:BB2"/>
    <mergeCell ref="BC2:BG2"/>
    <mergeCell ref="FR1:GY1"/>
    <mergeCell ref="GZ1:IG1"/>
    <mergeCell ref="IH1:JO1"/>
    <mergeCell ref="JP1:KW1"/>
    <mergeCell ref="KX1:ME1"/>
    <mergeCell ref="MF1:NM1"/>
    <mergeCell ref="W1:AW1"/>
    <mergeCell ref="AX1:BX1"/>
    <mergeCell ref="BY1:CY1"/>
    <mergeCell ref="CZ1:DA1"/>
    <mergeCell ref="DB1:EI1"/>
    <mergeCell ref="EJ1:FQ1"/>
    <mergeCell ref="BH2:BL2"/>
    <mergeCell ref="BY2:CC2"/>
    <mergeCell ref="CD2:CH2"/>
    <mergeCell ref="CI2:CM2"/>
    <mergeCell ref="DB2:DF2"/>
    <mergeCell ref="V1:V3"/>
    <mergeCell ref="M1:M3"/>
    <mergeCell ref="N1:N3"/>
    <mergeCell ref="O1:O3"/>
    <mergeCell ref="P1:P3"/>
    <mergeCell ref="Q1:Q3"/>
    <mergeCell ref="R1:R3"/>
    <mergeCell ref="S1:S3"/>
    <mergeCell ref="T1:T3"/>
    <mergeCell ref="U1:U3"/>
    <mergeCell ref="L1:L3"/>
    <mergeCell ref="A1:A3"/>
    <mergeCell ref="B1:B3"/>
    <mergeCell ref="C1:C3"/>
    <mergeCell ref="D1:D3"/>
    <mergeCell ref="E1:E3"/>
    <mergeCell ref="F1:F3"/>
    <mergeCell ref="G1:G3"/>
    <mergeCell ref="H1:H3"/>
    <mergeCell ref="I1:I3"/>
    <mergeCell ref="J1:J3"/>
    <mergeCell ref="K1:K3"/>
  </mergeCells>
  <conditionalFormatting sqref="H1:H1048576">
    <cfRule type="containsText" dxfId="267" priority="35" operator="containsText" text="No DD">
      <formula>NOT(ISERROR(SEARCH("No DD",H1)))</formula>
    </cfRule>
    <cfRule type="containsText" dxfId="266" priority="36" operator="containsText" text="Merit">
      <formula>NOT(ISERROR(SEARCH("Merit",H1)))</formula>
    </cfRule>
    <cfRule type="containsText" dxfId="265" priority="37" operator="containsText" text="Excellence">
      <formula>NOT(ISERROR(SEARCH("Excellence",H1)))</formula>
    </cfRule>
    <cfRule type="containsText" dxfId="264" priority="38" operator="containsText" text="Worlds Team">
      <formula>NOT(ISERROR(SEARCH("Worlds Team",H1)))</formula>
    </cfRule>
    <cfRule type="containsText" dxfId="263" priority="39" operator="containsText" text="National Team">
      <formula>NOT(ISERROR(SEARCH("National Team",H1)))</formula>
    </cfRule>
  </conditionalFormatting>
  <conditionalFormatting sqref="A1:A1048576">
    <cfRule type="expression" dxfId="262" priority="40">
      <formula>AND(G1&lt;&gt;"",F1="")</formula>
    </cfRule>
  </conditionalFormatting>
  <conditionalFormatting sqref="W4:AW31">
    <cfRule type="expression" dxfId="261" priority="41" stopIfTrue="1">
      <formula>IF($AL4&lt;&gt;"",1,0)</formula>
    </cfRule>
  </conditionalFormatting>
  <conditionalFormatting sqref="AX4:BX31">
    <cfRule type="expression" dxfId="260" priority="34" stopIfTrue="1">
      <formula>IF($BM4&lt;&gt;"",1,0)</formula>
    </cfRule>
  </conditionalFormatting>
  <conditionalFormatting sqref="BY4:CY31">
    <cfRule type="expression" dxfId="259" priority="33" stopIfTrue="1">
      <formula>IF($CN4&lt;&gt;"",1,0)</formula>
    </cfRule>
  </conditionalFormatting>
  <conditionalFormatting sqref="BU42:BU1048576 BN1:BN1048576 BQ1:BQ1048576 BU1:BU40">
    <cfRule type="cellIs" dxfId="258" priority="46" operator="between">
      <formula>$BX$37</formula>
      <formula>1000</formula>
    </cfRule>
    <cfRule type="cellIs" dxfId="257" priority="47" operator="between">
      <formula>$BX$36</formula>
      <formula>$BX$37</formula>
    </cfRule>
    <cfRule type="cellIs" dxfId="256" priority="48" operator="between">
      <formula>$BX$35</formula>
      <formula>$BX$36</formula>
    </cfRule>
    <cfRule type="cellIs" dxfId="255" priority="49" operator="between">
      <formula>$BX$34</formula>
      <formula>$BX$35</formula>
    </cfRule>
  </conditionalFormatting>
  <conditionalFormatting sqref="CV42:CV1048576 CO1:CO1048576 CR1:CR1048576 CV1:CV40">
    <cfRule type="cellIs" dxfId="254" priority="42" operator="between">
      <formula>$CY$37</formula>
      <formula>1000</formula>
    </cfRule>
    <cfRule type="cellIs" dxfId="253" priority="43" operator="between">
      <formula>$CY$36</formula>
      <formula>$CY$37</formula>
    </cfRule>
    <cfRule type="cellIs" dxfId="252" priority="44" operator="between">
      <formula>$CY$35</formula>
      <formula>$CY$36</formula>
    </cfRule>
    <cfRule type="cellIs" dxfId="251" priority="45" operator="between">
      <formula>$CY$34</formula>
      <formula>$CY$35</formula>
    </cfRule>
  </conditionalFormatting>
  <conditionalFormatting sqref="EF42:EF1048576 DV1:DV1048576 DY1:DY1048576 EC1:EC1048576 EF1:EF40">
    <cfRule type="cellIs" dxfId="250" priority="53" operator="between">
      <formula>$EI$37</formula>
      <formula>1000</formula>
    </cfRule>
    <cfRule type="cellIs" dxfId="249" priority="54" operator="between">
      <formula>$EI$36</formula>
      <formula>$EI$37</formula>
    </cfRule>
    <cfRule type="cellIs" dxfId="248" priority="55" operator="between">
      <formula>$EI$35</formula>
      <formula>$EI$36</formula>
    </cfRule>
    <cfRule type="cellIs" dxfId="247" priority="56" operator="between">
      <formula>$EI$34</formula>
      <formula>$EI$35</formula>
    </cfRule>
  </conditionalFormatting>
  <conditionalFormatting sqref="FN42:FN1048576 FD1:FD1048576 FG1:FG1048576 FK1:FK1048576 FN1:FN40">
    <cfRule type="cellIs" dxfId="246" priority="29" operator="between">
      <formula>$FQ$37</formula>
      <formula>1000</formula>
    </cfRule>
    <cfRule type="cellIs" dxfId="245" priority="30" operator="between">
      <formula>$FQ$36</formula>
      <formula>$FQ$37</formula>
    </cfRule>
    <cfRule type="cellIs" dxfId="244" priority="31" operator="between">
      <formula>$FQ$35</formula>
      <formula>$FQ$36</formula>
    </cfRule>
    <cfRule type="cellIs" dxfId="243" priority="32" operator="between">
      <formula>$FQ$34</formula>
      <formula>$FQ$35</formula>
    </cfRule>
  </conditionalFormatting>
  <conditionalFormatting sqref="ID42:ID1048576 HT1:HT1048576 HW1:HW1048576 IA1:IA1048576 ID1:ID40">
    <cfRule type="cellIs" dxfId="242" priority="25" operator="between">
      <formula>$IG$37</formula>
      <formula>1000</formula>
    </cfRule>
    <cfRule type="cellIs" dxfId="241" priority="26" operator="between">
      <formula>$IG$36</formula>
      <formula>$IG$37</formula>
    </cfRule>
    <cfRule type="cellIs" dxfId="240" priority="27" operator="between">
      <formula>$IG$35</formula>
      <formula>$IG$36</formula>
    </cfRule>
    <cfRule type="cellIs" dxfId="239" priority="28" operator="between">
      <formula>$IG$34</formula>
      <formula>$IG$35</formula>
    </cfRule>
  </conditionalFormatting>
  <conditionalFormatting sqref="AU41 AM1:AM1048576 AP1:AP1048576 AT1:AT1048576">
    <cfRule type="cellIs" dxfId="238" priority="21" operator="between">
      <formula>$AW$37</formula>
      <formula>1000</formula>
    </cfRule>
    <cfRule type="cellIs" dxfId="237" priority="22" operator="between">
      <formula>$AW$36</formula>
      <formula>$AW$37</formula>
    </cfRule>
    <cfRule type="cellIs" dxfId="236" priority="23" operator="between">
      <formula>$AW$35</formula>
      <formula>$AW$36</formula>
    </cfRule>
    <cfRule type="cellIs" dxfId="235" priority="24" operator="between">
      <formula>$AW$34</formula>
      <formula>$AW$35</formula>
    </cfRule>
  </conditionalFormatting>
  <conditionalFormatting sqref="BU41">
    <cfRule type="cellIs" dxfId="234" priority="17" operator="between">
      <formula>$AW$37</formula>
      <formula>1000</formula>
    </cfRule>
    <cfRule type="cellIs" dxfId="233" priority="18" operator="between">
      <formula>$AW$36</formula>
      <formula>$AW$37</formula>
    </cfRule>
    <cfRule type="cellIs" dxfId="232" priority="19" operator="between">
      <formula>$AW$35</formula>
      <formula>$AW$36</formula>
    </cfRule>
    <cfRule type="cellIs" dxfId="231" priority="20" operator="between">
      <formula>$AW$34</formula>
      <formula>$AW$35</formula>
    </cfRule>
  </conditionalFormatting>
  <conditionalFormatting sqref="CV41">
    <cfRule type="cellIs" dxfId="230" priority="13" operator="between">
      <formula>$AW$37</formula>
      <formula>1000</formula>
    </cfRule>
    <cfRule type="cellIs" dxfId="229" priority="14" operator="between">
      <formula>$AW$36</formula>
      <formula>$AW$37</formula>
    </cfRule>
    <cfRule type="cellIs" dxfId="228" priority="15" operator="between">
      <formula>$AW$35</formula>
      <formula>$AW$36</formula>
    </cfRule>
    <cfRule type="cellIs" dxfId="227" priority="16" operator="between">
      <formula>$AW$34</formula>
      <formula>$AW$35</formula>
    </cfRule>
  </conditionalFormatting>
  <conditionalFormatting sqref="EF41">
    <cfRule type="cellIs" dxfId="226" priority="9" operator="between">
      <formula>$AW$37</formula>
      <formula>1000</formula>
    </cfRule>
    <cfRule type="cellIs" dxfId="225" priority="10" operator="between">
      <formula>$AW$36</formula>
      <formula>$AW$37</formula>
    </cfRule>
    <cfRule type="cellIs" dxfId="224" priority="11" operator="between">
      <formula>$AW$35</formula>
      <formula>$AW$36</formula>
    </cfRule>
    <cfRule type="cellIs" dxfId="223" priority="12" operator="between">
      <formula>$AW$34</formula>
      <formula>$AW$35</formula>
    </cfRule>
  </conditionalFormatting>
  <conditionalFormatting sqref="FN41">
    <cfRule type="cellIs" dxfId="222" priority="5" operator="between">
      <formula>$AW$37</formula>
      <formula>1000</formula>
    </cfRule>
    <cfRule type="cellIs" dxfId="221" priority="6" operator="between">
      <formula>$AW$36</formula>
      <formula>$AW$37</formula>
    </cfRule>
    <cfRule type="cellIs" dxfId="220" priority="7" operator="between">
      <formula>$AW$35</formula>
      <formula>$AW$36</formula>
    </cfRule>
    <cfRule type="cellIs" dxfId="219" priority="8" operator="between">
      <formula>$AW$34</formula>
      <formula>$AW$35</formula>
    </cfRule>
  </conditionalFormatting>
  <conditionalFormatting sqref="ID41">
    <cfRule type="cellIs" dxfId="218" priority="1" operator="between">
      <formula>$AW$37</formula>
      <formula>1000</formula>
    </cfRule>
    <cfRule type="cellIs" dxfId="217" priority="2" operator="between">
      <formula>$AW$36</formula>
      <formula>$AW$37</formula>
    </cfRule>
    <cfRule type="cellIs" dxfId="216" priority="3" operator="between">
      <formula>$AW$35</formula>
      <formula>$AW$36</formula>
    </cfRule>
    <cfRule type="cellIs" dxfId="215" priority="4" operator="between">
      <formula>$AW$34</formula>
      <formula>$AW$35</formula>
    </cfRule>
  </conditionalFormatting>
  <conditionalFormatting sqref="K1:K1048576 M1:M1048576 O1:O1048576 Q1:Q1048576 S1:S1048576">
    <cfRule type="expression" dxfId="214" priority="50">
      <formula>IF(K1=$BY$1,1,0)</formula>
    </cfRule>
    <cfRule type="expression" dxfId="213" priority="51" stopIfTrue="1">
      <formula>IF(K1=$AX$1,1,0)</formula>
    </cfRule>
    <cfRule type="expression" dxfId="212" priority="52">
      <formula>IF(K1=$W$1,1,0)</formula>
    </cfRule>
  </conditionalFormatting>
  <conditionalFormatting sqref="CT1:CT1048576 AR1:AR1048576">
    <cfRule type="cellIs" dxfId="211" priority="105801" operator="between">
      <formula>AW$41</formula>
      <formula>1000</formula>
    </cfRule>
    <cfRule type="cellIs" dxfId="210" priority="105802" operator="between">
      <formula>AW$40</formula>
      <formula>AW$41</formula>
    </cfRule>
  </conditionalFormatting>
  <conditionalFormatting sqref="EA1:EA1048576 FI1:FI1048576 GQ1:GQ1048576 HY1:HY1048576 JG1:JG1048576 KO1:KO1048576 LW1:LW1048576 NE1:NE1048576 OM1:OM1048576 PU1:PU1048576 RC1:RC1048576 SK1:SK1048576">
    <cfRule type="cellIs" dxfId="209" priority="105813" operator="between">
      <formula>EI$41</formula>
      <formula>1000</formula>
    </cfRule>
    <cfRule type="cellIs" dxfId="208" priority="105814" operator="between">
      <formula>EI$40</formula>
      <formula>EI$41</formula>
    </cfRule>
  </conditionalFormatting>
  <conditionalFormatting sqref="AO1:AO1048576 AR1:AR1048576 AV1:AV1048576">
    <cfRule type="cellIs" dxfId="207" priority="105885" operator="between">
      <formula>$AW$41</formula>
      <formula>1000</formula>
    </cfRule>
    <cfRule type="cellIs" dxfId="206" priority="105886" operator="between">
      <formula>$AW$40</formula>
      <formula>$AW$41</formula>
    </cfRule>
    <cfRule type="cellIs" dxfId="205" priority="105887" operator="between">
      <formula>$AW$39</formula>
      <formula>$AW$40</formula>
    </cfRule>
    <cfRule type="cellIs" dxfId="204" priority="105888" operator="between">
      <formula>$AW$38</formula>
      <formula>$AW$39</formula>
    </cfRule>
  </conditionalFormatting>
  <conditionalFormatting sqref="BP1:BP1048576 BS1:BS1048576 BW1:BW1048576">
    <cfRule type="cellIs" dxfId="203" priority="105921" operator="between">
      <formula>$BX$41</formula>
      <formula>1000</formula>
    </cfRule>
    <cfRule type="cellIs" dxfId="202" priority="105922" operator="between">
      <formula>$BX$40</formula>
      <formula>$BX$41</formula>
    </cfRule>
    <cfRule type="cellIs" dxfId="201" priority="105923" operator="between">
      <formula>$BX$39</formula>
      <formula>$BX$40</formula>
    </cfRule>
    <cfRule type="cellIs" dxfId="200" priority="105924" operator="between">
      <formula>$BX$38</formula>
      <formula>$BX$39</formula>
    </cfRule>
  </conditionalFormatting>
  <conditionalFormatting sqref="CQ1:CQ1048576 CT1:CT1048576 CX1:CX1048576">
    <cfRule type="cellIs" dxfId="199" priority="105957" operator="between">
      <formula>$CY$41</formula>
      <formula>1000</formula>
    </cfRule>
    <cfRule type="cellIs" dxfId="198" priority="105958" operator="between">
      <formula>$CY$40</formula>
      <formula>$CY$41</formula>
    </cfRule>
    <cfRule type="cellIs" dxfId="197" priority="105959" operator="between">
      <formula>$CY$39</formula>
      <formula>$CY$40</formula>
    </cfRule>
    <cfRule type="cellIs" dxfId="196" priority="105960" operator="between">
      <formula>$CY$38</formula>
      <formula>$CY$39</formula>
    </cfRule>
  </conditionalFormatting>
  <conditionalFormatting sqref="MZ1:MZ1048576 NC1:NC1048576 NG1:NG1048576 NJ1:NJ1048576">
    <cfRule type="cellIs" dxfId="195" priority="105993" operator="between">
      <formula>$NM$34</formula>
      <formula>$NM$35</formula>
    </cfRule>
  </conditionalFormatting>
  <conditionalFormatting sqref="DX1:DX1048576 EA1:EA1048576 EE1:EE1048576 EH1:EH1048576">
    <cfRule type="cellIs" dxfId="194" priority="106005" operator="between">
      <formula>$EI$41</formula>
      <formula>1000</formula>
    </cfRule>
    <cfRule type="cellIs" dxfId="193" priority="106006" operator="between">
      <formula>$EI$40</formula>
      <formula>$EI$41</formula>
    </cfRule>
    <cfRule type="cellIs" dxfId="192" priority="106007" operator="between">
      <formula>$EI$39</formula>
      <formula>$EI$40</formula>
    </cfRule>
    <cfRule type="cellIs" dxfId="191" priority="106008" operator="between">
      <formula>$EI$38</formula>
      <formula>$EI$39</formula>
    </cfRule>
  </conditionalFormatting>
  <conditionalFormatting sqref="FF1:FF1048576 FI1:FI1048576 FM1:FM1048576 FP1:FP1048576">
    <cfRule type="cellIs" dxfId="190" priority="106053" operator="between">
      <formula>$FQ$41</formula>
      <formula>1000</formula>
    </cfRule>
    <cfRule type="cellIs" dxfId="189" priority="106054" operator="between">
      <formula>$FQ$40</formula>
      <formula>$FQ$41</formula>
    </cfRule>
    <cfRule type="cellIs" dxfId="188" priority="106055" operator="between">
      <formula>$FQ$39</formula>
      <formula>$FQ$40</formula>
    </cfRule>
    <cfRule type="cellIs" dxfId="187" priority="106056" operator="between">
      <formula>$FQ$38</formula>
      <formula>$FQ$39</formula>
    </cfRule>
  </conditionalFormatting>
  <conditionalFormatting sqref="GL1:GL1048576 GO1:GO1048576 GS1:GS1048576 GV1:GV1048576">
    <cfRule type="cellIs" dxfId="186" priority="106101" operator="between">
      <formula>$GY$37</formula>
      <formula>1000</formula>
    </cfRule>
    <cfRule type="cellIs" dxfId="185" priority="106102" operator="between">
      <formula>$GY$36</formula>
      <formula>$GY$37</formula>
    </cfRule>
    <cfRule type="cellIs" dxfId="184" priority="106103" operator="between">
      <formula>$GY$35</formula>
      <formula>$GY$36</formula>
    </cfRule>
    <cfRule type="cellIs" dxfId="183" priority="106104" operator="between">
      <formula>$GY$34</formula>
      <formula>$GY$35</formula>
    </cfRule>
  </conditionalFormatting>
  <conditionalFormatting sqref="GN1:GN1048576 GQ1:GQ1048576 GU1:GU1048576 GX1:GX1048576">
    <cfRule type="cellIs" dxfId="182" priority="106149" operator="between">
      <formula>$GY$41</formula>
      <formula>1000</formula>
    </cfRule>
    <cfRule type="cellIs" dxfId="181" priority="106150" operator="between">
      <formula>$GY$40</formula>
      <formula>$GY$41</formula>
    </cfRule>
    <cfRule type="cellIs" dxfId="180" priority="106151" operator="between">
      <formula>$GY$39</formula>
      <formula>$GY$40</formula>
    </cfRule>
    <cfRule type="cellIs" dxfId="179" priority="106152" operator="between">
      <formula>$GY$38</formula>
      <formula>$GY$39</formula>
    </cfRule>
  </conditionalFormatting>
  <conditionalFormatting sqref="HV1:HV1048576 HY1:HY1048576 IC1:IC1048576 IF1:IF1048576">
    <cfRule type="cellIs" dxfId="178" priority="106197" operator="between">
      <formula>$IG$41</formula>
      <formula>1000</formula>
    </cfRule>
    <cfRule type="cellIs" dxfId="177" priority="106198" operator="between">
      <formula>$IG$40</formula>
      <formula>$IG$41</formula>
    </cfRule>
    <cfRule type="cellIs" dxfId="176" priority="106199" operator="between">
      <formula>$IG$39</formula>
      <formula>$IG$40</formula>
    </cfRule>
    <cfRule type="cellIs" dxfId="175" priority="106200" operator="between">
      <formula>$IG$38</formula>
      <formula>$IG$39</formula>
    </cfRule>
  </conditionalFormatting>
  <conditionalFormatting sqref="JB1:JB1048576 JE1:JE1048576 JI1:JI1048576 JL1:JL1048576">
    <cfRule type="cellIs" dxfId="174" priority="106245" operator="between">
      <formula>$JO$37</formula>
      <formula>1000</formula>
    </cfRule>
    <cfRule type="cellIs" dxfId="173" priority="106246" operator="between">
      <formula>$JO$36</formula>
      <formula>$JO$37</formula>
    </cfRule>
    <cfRule type="cellIs" dxfId="172" priority="106247" operator="between">
      <formula>$JO$35</formula>
      <formula>$JO$36</formula>
    </cfRule>
    <cfRule type="cellIs" dxfId="171" priority="106248" operator="between">
      <formula>$JO$34</formula>
      <formula>$JO$35</formula>
    </cfRule>
  </conditionalFormatting>
  <conditionalFormatting sqref="JD1:JD1048576 JG1:JG1048576 JK1:JK1048576 JN1:JN1048576">
    <cfRule type="cellIs" dxfId="170" priority="106293" operator="between">
      <formula>$JO$41</formula>
      <formula>1000</formula>
    </cfRule>
    <cfRule type="cellIs" dxfId="169" priority="106294" operator="between">
      <formula>$JO$40</formula>
      <formula>$JO$41</formula>
    </cfRule>
    <cfRule type="cellIs" dxfId="168" priority="106295" operator="between">
      <formula>$JO$39</formula>
      <formula>$JO$40</formula>
    </cfRule>
    <cfRule type="cellIs" dxfId="167" priority="106296" operator="between">
      <formula>$JO$38</formula>
      <formula>$JO$39</formula>
    </cfRule>
  </conditionalFormatting>
  <conditionalFormatting sqref="KJ1:KJ1048576 KM1:KM1048576 KQ1:KQ1048576 KT1:KT1048576">
    <cfRule type="cellIs" dxfId="166" priority="106341" operator="between">
      <formula>$KW$37</formula>
      <formula>1000</formula>
    </cfRule>
    <cfRule type="cellIs" dxfId="165" priority="106342" operator="between">
      <formula>$KW$36</formula>
      <formula>$KW$37</formula>
    </cfRule>
    <cfRule type="cellIs" dxfId="164" priority="106343" operator="between">
      <formula>$KW$35</formula>
      <formula>$KW$36</formula>
    </cfRule>
    <cfRule type="cellIs" dxfId="163" priority="106344" operator="between">
      <formula>$KW$34</formula>
      <formula>$KW$35</formula>
    </cfRule>
  </conditionalFormatting>
  <conditionalFormatting sqref="KL1:KL1048576 KO1:KO1048576 KS1:KS1048576 KV1:KV1048576">
    <cfRule type="cellIs" dxfId="162" priority="106389" operator="between">
      <formula>$KW$41</formula>
      <formula>1000</formula>
    </cfRule>
    <cfRule type="cellIs" dxfId="161" priority="106390" operator="between">
      <formula>$KW$40</formula>
      <formula>$KW$41</formula>
    </cfRule>
    <cfRule type="cellIs" dxfId="160" priority="106391" operator="between">
      <formula>$KW$39</formula>
      <formula>$KW$40</formula>
    </cfRule>
    <cfRule type="cellIs" dxfId="159" priority="106392" operator="between">
      <formula>$KW$38</formula>
      <formula>$KW$39</formula>
    </cfRule>
  </conditionalFormatting>
  <conditionalFormatting sqref="LR1:LR1048576 LU1:LU1048576 LY1:LY1048576 MB1:MB1048576">
    <cfRule type="cellIs" dxfId="158" priority="106437" operator="between">
      <formula>$ME$37</formula>
      <formula>1000</formula>
    </cfRule>
    <cfRule type="cellIs" dxfId="157" priority="106438" operator="between">
      <formula>$ME$36</formula>
      <formula>$ME$37</formula>
    </cfRule>
    <cfRule type="cellIs" dxfId="156" priority="106439" operator="between">
      <formula>$ME$35</formula>
      <formula>$ME$36</formula>
    </cfRule>
    <cfRule type="cellIs" dxfId="155" priority="106440" operator="between">
      <formula>$ME$34</formula>
      <formula>$ME$35</formula>
    </cfRule>
  </conditionalFormatting>
  <conditionalFormatting sqref="LT1:LT1048576 LW1:LW1048576 MA1:MA1048576 MD1:MD1048576">
    <cfRule type="cellIs" dxfId="154" priority="106485" operator="between">
      <formula>$ME$41</formula>
      <formula>1000</formula>
    </cfRule>
    <cfRule type="cellIs" dxfId="153" priority="106486" operator="between">
      <formula>$ME$40</formula>
      <formula>$ME$41</formula>
    </cfRule>
    <cfRule type="cellIs" dxfId="152" priority="106487" operator="between">
      <formula>$ME$39</formula>
      <formula>$ME$40</formula>
    </cfRule>
    <cfRule type="cellIs" dxfId="151" priority="106488" operator="between">
      <formula>$ME$38</formula>
      <formula>$ME$39</formula>
    </cfRule>
  </conditionalFormatting>
  <conditionalFormatting sqref="MZ1:MZ1048576 NC1:NC1048576 NG1:NG1048576">
    <cfRule type="cellIs" dxfId="150" priority="106533" operator="between">
      <formula>$NM$37</formula>
      <formula>1000</formula>
    </cfRule>
    <cfRule type="cellIs" dxfId="149" priority="106534" operator="between">
      <formula>$NM$36</formula>
      <formula>$NM$37</formula>
    </cfRule>
    <cfRule type="cellIs" dxfId="148" priority="106535" operator="between">
      <formula>$NM$35</formula>
      <formula>$NM$36</formula>
    </cfRule>
  </conditionalFormatting>
  <conditionalFormatting sqref="NB1:NB1048576 NE1:NE1048576 NI1:NI1048576 NL1:NL1048576">
    <cfRule type="cellIs" dxfId="147" priority="106560" operator="between">
      <formula>$NM$41</formula>
      <formula>1000</formula>
    </cfRule>
    <cfRule type="cellIs" dxfId="146" priority="106561" operator="between">
      <formula>$NM$40</formula>
      <formula>$NM$41</formula>
    </cfRule>
    <cfRule type="cellIs" dxfId="145" priority="106562" operator="between">
      <formula>$NM$39</formula>
      <formula>$NM$40</formula>
    </cfRule>
    <cfRule type="cellIs" dxfId="144" priority="106563" operator="between">
      <formula>$NM$38</formula>
      <formula>$NM$39</formula>
    </cfRule>
  </conditionalFormatting>
  <conditionalFormatting sqref="OH1:OH1048576 OK1:OK1048576 OO1:OO1048576 OR1:OR1048576">
    <cfRule type="cellIs" dxfId="143" priority="106608" operator="between">
      <formula>$OU$37</formula>
      <formula>1000</formula>
    </cfRule>
    <cfRule type="cellIs" dxfId="142" priority="106609" operator="between">
      <formula>$OU$36</formula>
      <formula>$OU$37</formula>
    </cfRule>
    <cfRule type="cellIs" dxfId="141" priority="106610" operator="between">
      <formula>$OU$35</formula>
      <formula>$OU$36</formula>
    </cfRule>
    <cfRule type="cellIs" dxfId="140" priority="106611" operator="between">
      <formula>$OU$34</formula>
      <formula>$OU$35</formula>
    </cfRule>
  </conditionalFormatting>
  <conditionalFormatting sqref="OJ1:OJ1048576 OM1:OM1048576 OQ1:OQ1048576 OT1:OT1048576">
    <cfRule type="cellIs" dxfId="139" priority="106656" operator="between">
      <formula>$OU$41</formula>
      <formula>1000</formula>
    </cfRule>
    <cfRule type="cellIs" dxfId="138" priority="106657" operator="between">
      <formula>$OU$40</formula>
      <formula>$OU$41</formula>
    </cfRule>
    <cfRule type="cellIs" dxfId="137" priority="106658" operator="between">
      <formula>$OU$39</formula>
      <formula>$OU$40</formula>
    </cfRule>
    <cfRule type="cellIs" dxfId="136" priority="106659" operator="between">
      <formula>$OU$38</formula>
      <formula>$OU$39</formula>
    </cfRule>
  </conditionalFormatting>
  <conditionalFormatting sqref="PP1:PP1048576 PS1:PS1048576 PW1:PW1048576 PZ1:PZ1048576">
    <cfRule type="cellIs" dxfId="135" priority="106704" operator="between">
      <formula>$QC$37</formula>
      <formula>1000</formula>
    </cfRule>
    <cfRule type="cellIs" dxfId="134" priority="106705" operator="between">
      <formula>$QC$36</formula>
      <formula>$QC$37</formula>
    </cfRule>
    <cfRule type="cellIs" dxfId="133" priority="106706" operator="between">
      <formula>$QC$35</formula>
      <formula>$QC$36</formula>
    </cfRule>
    <cfRule type="cellIs" dxfId="132" priority="106707" operator="between">
      <formula>$QC$34</formula>
      <formula>$QC$35</formula>
    </cfRule>
  </conditionalFormatting>
  <conditionalFormatting sqref="PR1:PR1048576 PU1:PU1048576 PY1:PY1048576 QB1:QB1048576">
    <cfRule type="cellIs" dxfId="131" priority="106752" operator="between">
      <formula>$QC$41</formula>
      <formula>1000</formula>
    </cfRule>
    <cfRule type="cellIs" dxfId="130" priority="106753" operator="between">
      <formula>$QC$40</formula>
      <formula>$QC$41</formula>
    </cfRule>
    <cfRule type="cellIs" dxfId="129" priority="106754" operator="between">
      <formula>$QC$39</formula>
      <formula>$QC$40</formula>
    </cfRule>
    <cfRule type="cellIs" dxfId="128" priority="106755" operator="between">
      <formula>$QC$38</formula>
      <formula>$QC$39</formula>
    </cfRule>
  </conditionalFormatting>
  <conditionalFormatting sqref="QX1:QX1048576 RA1:RA1048576 RE1:RE1048576 RH1:RH1048576">
    <cfRule type="cellIs" dxfId="127" priority="106800" operator="between">
      <formula>$RK$37</formula>
      <formula>1000</formula>
    </cfRule>
    <cfRule type="cellIs" dxfId="126" priority="106801" operator="between">
      <formula>$RK$36</formula>
      <formula>$RK$37</formula>
    </cfRule>
    <cfRule type="cellIs" dxfId="125" priority="106802" operator="between">
      <formula>$RK$35</formula>
      <formula>$RK$36</formula>
    </cfRule>
    <cfRule type="cellIs" dxfId="124" priority="106803" operator="between">
      <formula>$RK$34</formula>
      <formula>$RK$35</formula>
    </cfRule>
  </conditionalFormatting>
  <conditionalFormatting sqref="QZ1:QZ1048576 RC1:RC1048576 RG1:RG1048576 RJ1:RJ1048576">
    <cfRule type="cellIs" dxfId="123" priority="106848" operator="between">
      <formula>$RK$41</formula>
      <formula>1000</formula>
    </cfRule>
    <cfRule type="cellIs" dxfId="122" priority="106849" operator="between">
      <formula>$RK$40</formula>
      <formula>$RK$41</formula>
    </cfRule>
    <cfRule type="cellIs" dxfId="121" priority="106850" operator="between">
      <formula>$RK$39</formula>
      <formula>$RK$40</formula>
    </cfRule>
    <cfRule type="cellIs" dxfId="120" priority="106851" operator="between">
      <formula>$RK$38</formula>
      <formula>$RK$39</formula>
    </cfRule>
  </conditionalFormatting>
  <conditionalFormatting sqref="SF1:SF1048576 SI1:SI1048576 SM1:SM1048576 SP1:SP1048576">
    <cfRule type="cellIs" dxfId="119" priority="106896" operator="between">
      <formula>$SS$37</formula>
      <formula>1000</formula>
    </cfRule>
    <cfRule type="cellIs" dxfId="118" priority="106897" operator="between">
      <formula>$SS$36</formula>
      <formula>$SS$37</formula>
    </cfRule>
    <cfRule type="cellIs" dxfId="117" priority="106898" operator="between">
      <formula>$SS$35</formula>
      <formula>$SS$36</formula>
    </cfRule>
    <cfRule type="cellIs" dxfId="116" priority="106899" operator="between">
      <formula>$SS$34</formula>
      <formula>$SS$35</formula>
    </cfRule>
  </conditionalFormatting>
  <conditionalFormatting sqref="SH1:SH1048576 SK1:SK1048576 SO1:SO1048576 SR1:SR1048576">
    <cfRule type="cellIs" dxfId="115" priority="106944" operator="between">
      <formula>$SS$41</formula>
      <formula>1000</formula>
    </cfRule>
    <cfRule type="cellIs" dxfId="114" priority="106945" operator="between">
      <formula>$SS$40</formula>
      <formula>$SS$41</formula>
    </cfRule>
    <cfRule type="cellIs" dxfId="113" priority="106946" operator="between">
      <formula>$SS$39</formula>
      <formula>$SS$40</formula>
    </cfRule>
    <cfRule type="cellIs" dxfId="112" priority="106947" operator="between">
      <formula>$SS$38</formula>
      <formula>$SS$39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2C6DCA-CC42-3044-B5F7-4065DAFFC028}">
  <sheetPr codeName="Sheet15"/>
  <dimension ref="A1:RG35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8" max="8" width="13.33203125" style="36" bestFit="1" customWidth="1"/>
    <col min="9" max="9" width="15.33203125" customWidth="1"/>
    <col min="11" max="11" width="27.5" bestFit="1" customWidth="1"/>
    <col min="12" max="12" width="10.5" customWidth="1"/>
    <col min="13" max="13" width="27.5" bestFit="1" customWidth="1"/>
    <col min="14" max="14" width="10.5" customWidth="1"/>
    <col min="15" max="15" width="27.5" customWidth="1"/>
    <col min="16" max="16" width="10.83203125" customWidth="1"/>
    <col min="17" max="17" width="27.5" customWidth="1"/>
    <col min="18" max="18" width="24.6640625" customWidth="1"/>
    <col min="19" max="19" width="13" customWidth="1"/>
    <col min="20" max="20" width="31.5" customWidth="1"/>
    <col min="21" max="41" width="10.83203125" hidden="1" customWidth="1"/>
    <col min="42" max="49" width="10.83203125" style="36" customWidth="1"/>
    <col min="50" max="70" width="10.83203125" hidden="1" customWidth="1"/>
    <col min="71" max="78" width="10.83203125" style="36" customWidth="1"/>
    <col min="79" max="99" width="10.83203125" hidden="1" customWidth="1"/>
    <col min="100" max="110" width="10.83203125" style="36" customWidth="1"/>
    <col min="111" max="130" width="10.83203125" hidden="1" customWidth="1"/>
    <col min="131" max="138" width="10.83203125" style="36" customWidth="1"/>
    <col min="139" max="158" width="10.83203125" hidden="1" customWidth="1"/>
    <col min="159" max="166" width="10.83203125" style="36" customWidth="1"/>
    <col min="167" max="186" width="10.83203125" hidden="1" customWidth="1"/>
    <col min="187" max="194" width="10.83203125" style="36" customWidth="1"/>
    <col min="195" max="214" width="10.83203125" hidden="1" customWidth="1"/>
    <col min="215" max="222" width="10.83203125" style="36" customWidth="1"/>
    <col min="223" max="242" width="10.83203125" hidden="1" customWidth="1"/>
    <col min="243" max="250" width="10.83203125" style="36" customWidth="1"/>
    <col min="251" max="270" width="10.83203125" hidden="1" customWidth="1"/>
    <col min="271" max="278" width="10.83203125" style="36" customWidth="1"/>
    <col min="279" max="298" width="10.83203125" hidden="1" customWidth="1"/>
    <col min="299" max="306" width="10.83203125" style="36" customWidth="1"/>
    <col min="307" max="326" width="10.83203125" hidden="1" customWidth="1"/>
    <col min="327" max="334" width="10.83203125" style="36" customWidth="1"/>
    <col min="335" max="354" width="10.83203125" hidden="1" customWidth="1"/>
    <col min="355" max="362" width="10.83203125" style="36" hidden="1" customWidth="1"/>
    <col min="363" max="382" width="10.83203125" hidden="1" customWidth="1"/>
    <col min="383" max="390" width="10.83203125" style="36" hidden="1" customWidth="1"/>
    <col min="391" max="410" width="10.83203125" hidden="1" customWidth="1"/>
    <col min="411" max="418" width="10.83203125" style="36" hidden="1" customWidth="1"/>
    <col min="419" max="438" width="10.83203125" hidden="1" customWidth="1"/>
    <col min="439" max="446" width="10.83203125" style="36" hidden="1" customWidth="1"/>
    <col min="447" max="467" width="10.83203125" hidden="1" customWidth="1"/>
    <col min="468" max="475" width="10.83203125" style="36" hidden="1" customWidth="1"/>
  </cols>
  <sheetData>
    <row r="1" spans="1:475" ht="16" customHeight="1" x14ac:dyDescent="0.2">
      <c r="A1" s="71" t="s">
        <v>1</v>
      </c>
      <c r="B1" s="71" t="s">
        <v>22</v>
      </c>
      <c r="C1" s="71" t="s">
        <v>0</v>
      </c>
      <c r="D1" s="71" t="s">
        <v>48</v>
      </c>
      <c r="E1" s="71" t="s">
        <v>2</v>
      </c>
      <c r="F1" s="74" t="s">
        <v>53</v>
      </c>
      <c r="G1" s="74" t="s">
        <v>8</v>
      </c>
      <c r="H1" s="71" t="s">
        <v>9</v>
      </c>
      <c r="I1" s="74" t="s">
        <v>71</v>
      </c>
      <c r="J1" s="72" t="s">
        <v>99</v>
      </c>
      <c r="K1" s="70" t="s">
        <v>25</v>
      </c>
      <c r="L1" s="72" t="s">
        <v>100</v>
      </c>
      <c r="M1" s="70" t="s">
        <v>25</v>
      </c>
      <c r="N1" s="72" t="s">
        <v>101</v>
      </c>
      <c r="O1" s="70" t="s">
        <v>25</v>
      </c>
      <c r="P1" s="70" t="s">
        <v>10</v>
      </c>
      <c r="Q1" s="70" t="s">
        <v>25</v>
      </c>
      <c r="R1" s="73" t="s">
        <v>11</v>
      </c>
      <c r="S1" s="70" t="s">
        <v>26</v>
      </c>
      <c r="T1" s="70" t="s">
        <v>25</v>
      </c>
      <c r="U1" s="66" t="s">
        <v>119</v>
      </c>
      <c r="V1" s="66"/>
      <c r="W1" s="66"/>
      <c r="X1" s="66"/>
      <c r="Y1" s="66"/>
      <c r="Z1" s="66"/>
      <c r="AA1" s="66"/>
      <c r="AB1" s="66"/>
      <c r="AC1" s="66"/>
      <c r="AD1" s="66"/>
      <c r="AE1" s="66"/>
      <c r="AF1" s="66"/>
      <c r="AG1" s="66"/>
      <c r="AH1" s="66"/>
      <c r="AI1" s="66"/>
      <c r="AJ1" s="66"/>
      <c r="AK1" s="66"/>
      <c r="AL1" s="66"/>
      <c r="AM1" s="66"/>
      <c r="AN1" s="66"/>
      <c r="AO1" s="66"/>
      <c r="AP1" s="66"/>
      <c r="AQ1" s="66"/>
      <c r="AR1" s="66"/>
      <c r="AS1" s="66"/>
      <c r="AT1" s="66"/>
      <c r="AU1" s="66"/>
      <c r="AV1" s="66"/>
      <c r="AW1" s="66"/>
      <c r="AX1" s="67" t="s">
        <v>129</v>
      </c>
      <c r="AY1" s="67"/>
      <c r="AZ1" s="67"/>
      <c r="BA1" s="67"/>
      <c r="BB1" s="67"/>
      <c r="BC1" s="67"/>
      <c r="BD1" s="67"/>
      <c r="BE1" s="67"/>
      <c r="BF1" s="67"/>
      <c r="BG1" s="67"/>
      <c r="BH1" s="67"/>
      <c r="BI1" s="67"/>
      <c r="BJ1" s="67"/>
      <c r="BK1" s="67"/>
      <c r="BL1" s="67"/>
      <c r="BM1" s="67"/>
      <c r="BN1" s="67"/>
      <c r="BO1" s="67"/>
      <c r="BP1" s="67"/>
      <c r="BQ1" s="67"/>
      <c r="BR1" s="67"/>
      <c r="BS1" s="67"/>
      <c r="BT1" s="67"/>
      <c r="BU1" s="67"/>
      <c r="BV1" s="67"/>
      <c r="BW1" s="67"/>
      <c r="BX1" s="67"/>
      <c r="BY1" s="67"/>
      <c r="BZ1" s="67"/>
      <c r="CA1" s="66" t="s">
        <v>199</v>
      </c>
      <c r="CB1" s="66"/>
      <c r="CC1" s="66"/>
      <c r="CD1" s="66"/>
      <c r="CE1" s="66"/>
      <c r="CF1" s="66"/>
      <c r="CG1" s="66"/>
      <c r="CH1" s="66"/>
      <c r="CI1" s="66"/>
      <c r="CJ1" s="66"/>
      <c r="CK1" s="66"/>
      <c r="CL1" s="66"/>
      <c r="CM1" s="66"/>
      <c r="CN1" s="66"/>
      <c r="CO1" s="66"/>
      <c r="CP1" s="66"/>
      <c r="CQ1" s="66"/>
      <c r="CR1" s="66"/>
      <c r="CS1" s="66"/>
      <c r="CT1" s="66"/>
      <c r="CU1" s="66"/>
      <c r="CV1" s="66"/>
      <c r="CW1" s="66"/>
      <c r="CX1" s="66"/>
      <c r="CY1" s="66"/>
      <c r="CZ1" s="66"/>
      <c r="DA1" s="66"/>
      <c r="DB1" s="66"/>
      <c r="DC1" s="66"/>
      <c r="DD1" s="69" t="s">
        <v>52</v>
      </c>
      <c r="DE1" s="69"/>
      <c r="DF1" s="69"/>
      <c r="DG1" s="66" t="s">
        <v>109</v>
      </c>
      <c r="DH1" s="66"/>
      <c r="DI1" s="66"/>
      <c r="DJ1" s="66"/>
      <c r="DK1" s="66"/>
      <c r="DL1" s="66"/>
      <c r="DM1" s="66"/>
      <c r="DN1" s="66"/>
      <c r="DO1" s="66"/>
      <c r="DP1" s="66"/>
      <c r="DQ1" s="66"/>
      <c r="DR1" s="66"/>
      <c r="DS1" s="66"/>
      <c r="DT1" s="66"/>
      <c r="DU1" s="66"/>
      <c r="DV1" s="66"/>
      <c r="DW1" s="66"/>
      <c r="DX1" s="66"/>
      <c r="DY1" s="66"/>
      <c r="DZ1" s="66"/>
      <c r="EA1" s="66"/>
      <c r="EB1" s="66"/>
      <c r="EC1" s="66"/>
      <c r="ED1" s="66"/>
      <c r="EE1" s="66"/>
      <c r="EF1" s="66"/>
      <c r="EG1" s="66"/>
      <c r="EH1" s="66"/>
      <c r="EI1" s="67" t="s">
        <v>110</v>
      </c>
      <c r="EJ1" s="67"/>
      <c r="EK1" s="67"/>
      <c r="EL1" s="67"/>
      <c r="EM1" s="67"/>
      <c r="EN1" s="67"/>
      <c r="EO1" s="67"/>
      <c r="EP1" s="67"/>
      <c r="EQ1" s="67"/>
      <c r="ER1" s="67"/>
      <c r="ES1" s="67"/>
      <c r="ET1" s="67"/>
      <c r="EU1" s="67"/>
      <c r="EV1" s="67"/>
      <c r="EW1" s="67"/>
      <c r="EX1" s="67"/>
      <c r="EY1" s="67"/>
      <c r="EZ1" s="67"/>
      <c r="FA1" s="67"/>
      <c r="FB1" s="67"/>
      <c r="FC1" s="67"/>
      <c r="FD1" s="67"/>
      <c r="FE1" s="67"/>
      <c r="FF1" s="67"/>
      <c r="FG1" s="67"/>
      <c r="FH1" s="67"/>
      <c r="FI1" s="67"/>
      <c r="FJ1" s="67"/>
      <c r="FK1" s="66" t="s">
        <v>113</v>
      </c>
      <c r="FL1" s="66"/>
      <c r="FM1" s="66"/>
      <c r="FN1" s="66"/>
      <c r="FO1" s="66"/>
      <c r="FP1" s="66"/>
      <c r="FQ1" s="66"/>
      <c r="FR1" s="66"/>
      <c r="FS1" s="66"/>
      <c r="FT1" s="66"/>
      <c r="FU1" s="66"/>
      <c r="FV1" s="66"/>
      <c r="FW1" s="66"/>
      <c r="FX1" s="66"/>
      <c r="FY1" s="66"/>
      <c r="FZ1" s="66"/>
      <c r="GA1" s="66"/>
      <c r="GB1" s="66"/>
      <c r="GC1" s="66"/>
      <c r="GD1" s="66"/>
      <c r="GE1" s="66"/>
      <c r="GF1" s="66"/>
      <c r="GG1" s="66"/>
      <c r="GH1" s="66"/>
      <c r="GI1" s="66"/>
      <c r="GJ1" s="66"/>
      <c r="GK1" s="66"/>
      <c r="GL1" s="66"/>
      <c r="GM1" s="67" t="s">
        <v>115</v>
      </c>
      <c r="GN1" s="67"/>
      <c r="GO1" s="67"/>
      <c r="GP1" s="67"/>
      <c r="GQ1" s="67"/>
      <c r="GR1" s="67"/>
      <c r="GS1" s="67"/>
      <c r="GT1" s="67"/>
      <c r="GU1" s="67"/>
      <c r="GV1" s="67"/>
      <c r="GW1" s="67"/>
      <c r="GX1" s="67"/>
      <c r="GY1" s="67"/>
      <c r="GZ1" s="67"/>
      <c r="HA1" s="67"/>
      <c r="HB1" s="67"/>
      <c r="HC1" s="67"/>
      <c r="HD1" s="67"/>
      <c r="HE1" s="67"/>
      <c r="HF1" s="67"/>
      <c r="HG1" s="67"/>
      <c r="HH1" s="67"/>
      <c r="HI1" s="67"/>
      <c r="HJ1" s="67"/>
      <c r="HK1" s="67"/>
      <c r="HL1" s="67"/>
      <c r="HM1" s="67"/>
      <c r="HN1" s="67"/>
      <c r="HO1" s="66" t="s">
        <v>116</v>
      </c>
      <c r="HP1" s="66"/>
      <c r="HQ1" s="66"/>
      <c r="HR1" s="66"/>
      <c r="HS1" s="66"/>
      <c r="HT1" s="66"/>
      <c r="HU1" s="66"/>
      <c r="HV1" s="66"/>
      <c r="HW1" s="66"/>
      <c r="HX1" s="66"/>
      <c r="HY1" s="66"/>
      <c r="HZ1" s="66"/>
      <c r="IA1" s="66"/>
      <c r="IB1" s="66"/>
      <c r="IC1" s="66"/>
      <c r="ID1" s="66"/>
      <c r="IE1" s="66"/>
      <c r="IF1" s="66"/>
      <c r="IG1" s="66"/>
      <c r="IH1" s="66"/>
      <c r="II1" s="66"/>
      <c r="IJ1" s="66"/>
      <c r="IK1" s="66"/>
      <c r="IL1" s="66"/>
      <c r="IM1" s="66"/>
      <c r="IN1" s="66"/>
      <c r="IO1" s="66"/>
      <c r="IP1" s="66"/>
      <c r="IQ1" s="67" t="s">
        <v>133</v>
      </c>
      <c r="IR1" s="67"/>
      <c r="IS1" s="67"/>
      <c r="IT1" s="67"/>
      <c r="IU1" s="67"/>
      <c r="IV1" s="67"/>
      <c r="IW1" s="67"/>
      <c r="IX1" s="67"/>
      <c r="IY1" s="67"/>
      <c r="IZ1" s="67"/>
      <c r="JA1" s="67"/>
      <c r="JB1" s="67"/>
      <c r="JC1" s="67"/>
      <c r="JD1" s="67"/>
      <c r="JE1" s="67"/>
      <c r="JF1" s="67"/>
      <c r="JG1" s="67"/>
      <c r="JH1" s="67"/>
      <c r="JI1" s="67"/>
      <c r="JJ1" s="67"/>
      <c r="JK1" s="67"/>
      <c r="JL1" s="67"/>
      <c r="JM1" s="67"/>
      <c r="JN1" s="67"/>
      <c r="JO1" s="67"/>
      <c r="JP1" s="67"/>
      <c r="JQ1" s="67"/>
      <c r="JR1" s="67"/>
      <c r="JS1" s="66" t="s">
        <v>135</v>
      </c>
      <c r="JT1" s="66"/>
      <c r="JU1" s="66"/>
      <c r="JV1" s="66"/>
      <c r="JW1" s="66"/>
      <c r="JX1" s="66"/>
      <c r="JY1" s="66"/>
      <c r="JZ1" s="66"/>
      <c r="KA1" s="66"/>
      <c r="KB1" s="66"/>
      <c r="KC1" s="66"/>
      <c r="KD1" s="66"/>
      <c r="KE1" s="66"/>
      <c r="KF1" s="66"/>
      <c r="KG1" s="66"/>
      <c r="KH1" s="66"/>
      <c r="KI1" s="66"/>
      <c r="KJ1" s="66"/>
      <c r="KK1" s="66"/>
      <c r="KL1" s="66"/>
      <c r="KM1" s="66"/>
      <c r="KN1" s="66"/>
      <c r="KO1" s="66"/>
      <c r="KP1" s="66"/>
      <c r="KQ1" s="66"/>
      <c r="KR1" s="66"/>
      <c r="KS1" s="66"/>
      <c r="KT1" s="66"/>
      <c r="KU1" s="67" t="s">
        <v>140</v>
      </c>
      <c r="KV1" s="67"/>
      <c r="KW1" s="67"/>
      <c r="KX1" s="67"/>
      <c r="KY1" s="67"/>
      <c r="KZ1" s="67"/>
      <c r="LA1" s="67"/>
      <c r="LB1" s="67"/>
      <c r="LC1" s="67"/>
      <c r="LD1" s="67"/>
      <c r="LE1" s="67"/>
      <c r="LF1" s="67"/>
      <c r="LG1" s="67"/>
      <c r="LH1" s="67"/>
      <c r="LI1" s="67"/>
      <c r="LJ1" s="67"/>
      <c r="LK1" s="67"/>
      <c r="LL1" s="67"/>
      <c r="LM1" s="67"/>
      <c r="LN1" s="67"/>
      <c r="LO1" s="67"/>
      <c r="LP1" s="67"/>
      <c r="LQ1" s="67"/>
      <c r="LR1" s="67"/>
      <c r="LS1" s="67"/>
      <c r="LT1" s="67"/>
      <c r="LU1" s="67"/>
      <c r="LV1" s="67"/>
      <c r="LW1" s="66"/>
      <c r="LX1" s="66"/>
      <c r="LY1" s="66"/>
      <c r="LZ1" s="66"/>
      <c r="MA1" s="66"/>
      <c r="MB1" s="66"/>
      <c r="MC1" s="66"/>
      <c r="MD1" s="66"/>
      <c r="ME1" s="66"/>
      <c r="MF1" s="66"/>
      <c r="MG1" s="66"/>
      <c r="MH1" s="66"/>
      <c r="MI1" s="66"/>
      <c r="MJ1" s="66"/>
      <c r="MK1" s="66"/>
      <c r="ML1" s="66"/>
      <c r="MM1" s="66"/>
      <c r="MN1" s="66"/>
      <c r="MO1" s="66"/>
      <c r="MP1" s="66"/>
      <c r="MQ1" s="66"/>
      <c r="MR1" s="66"/>
      <c r="MS1" s="66"/>
      <c r="MT1" s="66"/>
      <c r="MU1" s="66"/>
      <c r="MV1" s="66"/>
      <c r="MW1" s="66"/>
      <c r="MX1" s="66"/>
      <c r="MY1" s="67"/>
      <c r="MZ1" s="67"/>
      <c r="NA1" s="67"/>
      <c r="NB1" s="67"/>
      <c r="NC1" s="67"/>
      <c r="ND1" s="67"/>
      <c r="NE1" s="67"/>
      <c r="NF1" s="67"/>
      <c r="NG1" s="67"/>
      <c r="NH1" s="67"/>
      <c r="NI1" s="67"/>
      <c r="NJ1" s="67"/>
      <c r="NK1" s="67"/>
      <c r="NL1" s="67"/>
      <c r="NM1" s="67"/>
      <c r="NN1" s="67"/>
      <c r="NO1" s="67"/>
      <c r="NP1" s="67"/>
      <c r="NQ1" s="67"/>
      <c r="NR1" s="67"/>
      <c r="NS1" s="67"/>
      <c r="NT1" s="67"/>
      <c r="NU1" s="67"/>
      <c r="NV1" s="67"/>
      <c r="NW1" s="67"/>
      <c r="NX1" s="67"/>
      <c r="NY1" s="67"/>
      <c r="NZ1" s="67"/>
      <c r="OA1" s="66"/>
      <c r="OB1" s="66"/>
      <c r="OC1" s="66"/>
      <c r="OD1" s="66"/>
      <c r="OE1" s="66"/>
      <c r="OF1" s="66"/>
      <c r="OG1" s="66"/>
      <c r="OH1" s="66"/>
      <c r="OI1" s="66"/>
      <c r="OJ1" s="66"/>
      <c r="OK1" s="66"/>
      <c r="OL1" s="66"/>
      <c r="OM1" s="66"/>
      <c r="ON1" s="66"/>
      <c r="OO1" s="66"/>
      <c r="OP1" s="66"/>
      <c r="OQ1" s="66"/>
      <c r="OR1" s="66"/>
      <c r="OS1" s="66"/>
      <c r="OT1" s="66"/>
      <c r="OU1" s="66"/>
      <c r="OV1" s="66"/>
      <c r="OW1" s="66"/>
      <c r="OX1" s="66"/>
      <c r="OY1" s="66"/>
      <c r="OZ1" s="66"/>
      <c r="PA1" s="66"/>
      <c r="PB1" s="66"/>
      <c r="PC1" s="67"/>
      <c r="PD1" s="67"/>
      <c r="PE1" s="67"/>
      <c r="PF1" s="67"/>
      <c r="PG1" s="67"/>
      <c r="PH1" s="67"/>
      <c r="PI1" s="67"/>
      <c r="PJ1" s="67"/>
      <c r="PK1" s="67"/>
      <c r="PL1" s="67"/>
      <c r="PM1" s="67"/>
      <c r="PN1" s="67"/>
      <c r="PO1" s="67"/>
      <c r="PP1" s="67"/>
      <c r="PQ1" s="67"/>
      <c r="PR1" s="67"/>
      <c r="PS1" s="67"/>
      <c r="PT1" s="67"/>
      <c r="PU1" s="67"/>
      <c r="PV1" s="67"/>
      <c r="PW1" s="67"/>
      <c r="PX1" s="67"/>
      <c r="PY1" s="67"/>
      <c r="PZ1" s="67"/>
      <c r="QA1" s="67"/>
      <c r="QB1" s="67"/>
      <c r="QC1" s="67"/>
      <c r="QD1" s="67"/>
      <c r="QE1" s="66" t="s">
        <v>56</v>
      </c>
      <c r="QF1" s="66"/>
      <c r="QG1" s="66"/>
      <c r="QH1" s="66"/>
      <c r="QI1" s="66"/>
      <c r="QJ1" s="66"/>
      <c r="QK1" s="66"/>
      <c r="QL1" s="66"/>
      <c r="QM1" s="66"/>
      <c r="QN1" s="66"/>
      <c r="QO1" s="66"/>
      <c r="QP1" s="66"/>
      <c r="QQ1" s="66"/>
      <c r="QR1" s="66"/>
      <c r="QS1" s="66"/>
      <c r="QT1" s="66"/>
      <c r="QU1" s="66"/>
      <c r="QV1" s="66"/>
      <c r="QW1" s="66"/>
      <c r="QX1" s="66"/>
      <c r="QY1" s="66"/>
      <c r="QZ1" s="66"/>
      <c r="RA1" s="66"/>
      <c r="RB1" s="66"/>
      <c r="RC1" s="66"/>
      <c r="RD1" s="66"/>
      <c r="RE1" s="66"/>
      <c r="RF1" s="66"/>
      <c r="RG1" s="66"/>
    </row>
    <row r="2" spans="1:475" x14ac:dyDescent="0.2">
      <c r="A2" s="71"/>
      <c r="B2" s="71"/>
      <c r="C2" s="71"/>
      <c r="D2" s="71"/>
      <c r="E2" s="71"/>
      <c r="F2" s="74"/>
      <c r="G2" s="74"/>
      <c r="H2" s="71"/>
      <c r="I2" s="74"/>
      <c r="J2" s="72"/>
      <c r="K2" s="70"/>
      <c r="L2" s="72"/>
      <c r="M2" s="70"/>
      <c r="N2" s="72"/>
      <c r="O2" s="70"/>
      <c r="P2" s="70"/>
      <c r="Q2" s="70"/>
      <c r="R2" s="73"/>
      <c r="S2" s="70"/>
      <c r="T2" s="70"/>
      <c r="U2" s="68" t="s">
        <v>91</v>
      </c>
      <c r="V2" s="68"/>
      <c r="W2" s="68"/>
      <c r="X2" s="68"/>
      <c r="Y2" s="68" t="s">
        <v>92</v>
      </c>
      <c r="Z2" s="68"/>
      <c r="AA2" s="68"/>
      <c r="AB2" s="68"/>
      <c r="AC2" s="68" t="s">
        <v>93</v>
      </c>
      <c r="AD2" s="68"/>
      <c r="AE2" s="68"/>
      <c r="AF2" s="68"/>
      <c r="AG2" s="68" t="s">
        <v>94</v>
      </c>
      <c r="AH2" s="68"/>
      <c r="AI2" s="68"/>
      <c r="AJ2" s="68"/>
      <c r="AK2" s="75" t="s">
        <v>95</v>
      </c>
      <c r="AL2" s="75"/>
      <c r="AM2" s="75"/>
      <c r="AN2" s="75"/>
      <c r="AO2" s="14"/>
      <c r="AP2" s="14" t="s">
        <v>96</v>
      </c>
      <c r="AQ2" s="14" t="s">
        <v>97</v>
      </c>
      <c r="AR2" s="14" t="s">
        <v>93</v>
      </c>
      <c r="AS2" s="14" t="s">
        <v>102</v>
      </c>
      <c r="AT2" s="14" t="s">
        <v>21</v>
      </c>
      <c r="AU2" s="14" t="s">
        <v>57</v>
      </c>
      <c r="AV2" s="14" t="s">
        <v>98</v>
      </c>
      <c r="AW2" s="14" t="s">
        <v>15</v>
      </c>
      <c r="AX2" s="65" t="s">
        <v>91</v>
      </c>
      <c r="AY2" s="65"/>
      <c r="AZ2" s="65"/>
      <c r="BA2" s="65"/>
      <c r="BB2" s="65" t="s">
        <v>92</v>
      </c>
      <c r="BC2" s="65"/>
      <c r="BD2" s="65"/>
      <c r="BE2" s="65"/>
      <c r="BF2" s="65" t="s">
        <v>93</v>
      </c>
      <c r="BG2" s="65"/>
      <c r="BH2" s="65"/>
      <c r="BI2" s="65"/>
      <c r="BJ2" s="65" t="s">
        <v>94</v>
      </c>
      <c r="BK2" s="65"/>
      <c r="BL2" s="65"/>
      <c r="BM2" s="65"/>
      <c r="BN2" s="76" t="s">
        <v>95</v>
      </c>
      <c r="BO2" s="76"/>
      <c r="BP2" s="76"/>
      <c r="BQ2" s="76"/>
      <c r="BR2" s="13"/>
      <c r="BS2" s="13" t="s">
        <v>96</v>
      </c>
      <c r="BT2" s="13" t="s">
        <v>97</v>
      </c>
      <c r="BU2" s="13" t="s">
        <v>93</v>
      </c>
      <c r="BV2" s="13" t="s">
        <v>102</v>
      </c>
      <c r="BW2" s="13" t="s">
        <v>21</v>
      </c>
      <c r="BX2" s="13" t="s">
        <v>57</v>
      </c>
      <c r="BY2" s="13" t="s">
        <v>98</v>
      </c>
      <c r="BZ2" s="13" t="s">
        <v>15</v>
      </c>
      <c r="CA2" s="68" t="s">
        <v>91</v>
      </c>
      <c r="CB2" s="68"/>
      <c r="CC2" s="68"/>
      <c r="CD2" s="68"/>
      <c r="CE2" s="68" t="s">
        <v>92</v>
      </c>
      <c r="CF2" s="68"/>
      <c r="CG2" s="68"/>
      <c r="CH2" s="68"/>
      <c r="CI2" s="68" t="s">
        <v>93</v>
      </c>
      <c r="CJ2" s="68"/>
      <c r="CK2" s="68"/>
      <c r="CL2" s="68"/>
      <c r="CM2" s="68" t="s">
        <v>94</v>
      </c>
      <c r="CN2" s="68"/>
      <c r="CO2" s="68"/>
      <c r="CP2" s="68"/>
      <c r="CQ2" s="75" t="s">
        <v>95</v>
      </c>
      <c r="CR2" s="75"/>
      <c r="CS2" s="75"/>
      <c r="CT2" s="75"/>
      <c r="CU2" s="14"/>
      <c r="CV2" s="14" t="s">
        <v>96</v>
      </c>
      <c r="CW2" s="14" t="s">
        <v>97</v>
      </c>
      <c r="CX2" s="14" t="s">
        <v>93</v>
      </c>
      <c r="CY2" s="14" t="s">
        <v>102</v>
      </c>
      <c r="CZ2" s="14" t="s">
        <v>21</v>
      </c>
      <c r="DA2" s="14" t="s">
        <v>57</v>
      </c>
      <c r="DB2" s="14" t="s">
        <v>98</v>
      </c>
      <c r="DC2" s="14" t="s">
        <v>15</v>
      </c>
      <c r="DD2" s="49" t="s">
        <v>97</v>
      </c>
      <c r="DE2" s="49" t="s">
        <v>93</v>
      </c>
      <c r="DF2" s="49" t="s">
        <v>20</v>
      </c>
      <c r="DG2" s="68" t="s">
        <v>91</v>
      </c>
      <c r="DH2" s="68"/>
      <c r="DI2" s="68"/>
      <c r="DJ2" s="68"/>
      <c r="DK2" s="68" t="s">
        <v>92</v>
      </c>
      <c r="DL2" s="68"/>
      <c r="DM2" s="68"/>
      <c r="DN2" s="68"/>
      <c r="DO2" s="68" t="s">
        <v>93</v>
      </c>
      <c r="DP2" s="68"/>
      <c r="DQ2" s="68"/>
      <c r="DR2" s="68"/>
      <c r="DS2" s="68" t="s">
        <v>94</v>
      </c>
      <c r="DT2" s="68"/>
      <c r="DU2" s="68"/>
      <c r="DV2" s="68"/>
      <c r="DW2" s="77" t="s">
        <v>95</v>
      </c>
      <c r="DX2" s="77"/>
      <c r="DY2" s="77"/>
      <c r="DZ2" s="77"/>
      <c r="EA2" s="14" t="s">
        <v>96</v>
      </c>
      <c r="EB2" s="14" t="s">
        <v>97</v>
      </c>
      <c r="EC2" s="14" t="s">
        <v>93</v>
      </c>
      <c r="ED2" s="14" t="s">
        <v>102</v>
      </c>
      <c r="EE2" s="14" t="s">
        <v>21</v>
      </c>
      <c r="EF2" s="14" t="s">
        <v>57</v>
      </c>
      <c r="EG2" s="14" t="s">
        <v>98</v>
      </c>
      <c r="EH2" s="14" t="s">
        <v>15</v>
      </c>
      <c r="EI2" s="65" t="s">
        <v>91</v>
      </c>
      <c r="EJ2" s="65"/>
      <c r="EK2" s="65"/>
      <c r="EL2" s="65"/>
      <c r="EM2" s="65" t="s">
        <v>92</v>
      </c>
      <c r="EN2" s="65"/>
      <c r="EO2" s="65"/>
      <c r="EP2" s="65"/>
      <c r="EQ2" s="65" t="s">
        <v>93</v>
      </c>
      <c r="ER2" s="65"/>
      <c r="ES2" s="65"/>
      <c r="ET2" s="65"/>
      <c r="EU2" s="65" t="s">
        <v>94</v>
      </c>
      <c r="EV2" s="65"/>
      <c r="EW2" s="65"/>
      <c r="EX2" s="65"/>
      <c r="EY2" s="76" t="s">
        <v>95</v>
      </c>
      <c r="EZ2" s="76"/>
      <c r="FA2" s="76"/>
      <c r="FB2" s="76"/>
      <c r="FC2" s="13" t="s">
        <v>96</v>
      </c>
      <c r="FD2" s="13" t="s">
        <v>97</v>
      </c>
      <c r="FE2" s="13" t="s">
        <v>93</v>
      </c>
      <c r="FF2" s="13" t="s">
        <v>102</v>
      </c>
      <c r="FG2" s="13" t="s">
        <v>21</v>
      </c>
      <c r="FH2" s="13" t="s">
        <v>57</v>
      </c>
      <c r="FI2" s="13" t="s">
        <v>98</v>
      </c>
      <c r="FJ2" s="13" t="s">
        <v>15</v>
      </c>
      <c r="FK2" s="68" t="s">
        <v>91</v>
      </c>
      <c r="FL2" s="68"/>
      <c r="FM2" s="68"/>
      <c r="FN2" s="68"/>
      <c r="FO2" s="68" t="s">
        <v>92</v>
      </c>
      <c r="FP2" s="68"/>
      <c r="FQ2" s="68"/>
      <c r="FR2" s="68"/>
      <c r="FS2" s="68" t="s">
        <v>93</v>
      </c>
      <c r="FT2" s="68"/>
      <c r="FU2" s="68"/>
      <c r="FV2" s="68"/>
      <c r="FW2" s="68" t="s">
        <v>94</v>
      </c>
      <c r="FX2" s="68"/>
      <c r="FY2" s="68"/>
      <c r="FZ2" s="68"/>
      <c r="GA2" s="77" t="s">
        <v>95</v>
      </c>
      <c r="GB2" s="77"/>
      <c r="GC2" s="77"/>
      <c r="GD2" s="77"/>
      <c r="GE2" s="14" t="s">
        <v>96</v>
      </c>
      <c r="GF2" s="14" t="s">
        <v>97</v>
      </c>
      <c r="GG2" s="14" t="s">
        <v>93</v>
      </c>
      <c r="GH2" s="14" t="s">
        <v>102</v>
      </c>
      <c r="GI2" s="14" t="s">
        <v>21</v>
      </c>
      <c r="GJ2" s="14" t="s">
        <v>57</v>
      </c>
      <c r="GK2" s="14" t="s">
        <v>98</v>
      </c>
      <c r="GL2" s="14" t="s">
        <v>15</v>
      </c>
      <c r="GM2" s="65" t="s">
        <v>91</v>
      </c>
      <c r="GN2" s="65"/>
      <c r="GO2" s="65"/>
      <c r="GP2" s="65"/>
      <c r="GQ2" s="65" t="s">
        <v>92</v>
      </c>
      <c r="GR2" s="65"/>
      <c r="GS2" s="65"/>
      <c r="GT2" s="65"/>
      <c r="GU2" s="65" t="s">
        <v>93</v>
      </c>
      <c r="GV2" s="65"/>
      <c r="GW2" s="65"/>
      <c r="GX2" s="65"/>
      <c r="GY2" s="65" t="s">
        <v>94</v>
      </c>
      <c r="GZ2" s="65"/>
      <c r="HA2" s="65"/>
      <c r="HB2" s="65"/>
      <c r="HC2" s="76" t="s">
        <v>95</v>
      </c>
      <c r="HD2" s="76"/>
      <c r="HE2" s="76"/>
      <c r="HF2" s="76"/>
      <c r="HG2" s="13" t="s">
        <v>96</v>
      </c>
      <c r="HH2" s="13" t="s">
        <v>97</v>
      </c>
      <c r="HI2" s="13" t="s">
        <v>93</v>
      </c>
      <c r="HJ2" s="13" t="s">
        <v>102</v>
      </c>
      <c r="HK2" s="13" t="s">
        <v>21</v>
      </c>
      <c r="HL2" s="13" t="s">
        <v>57</v>
      </c>
      <c r="HM2" s="13" t="s">
        <v>98</v>
      </c>
      <c r="HN2" s="13" t="s">
        <v>15</v>
      </c>
      <c r="HO2" s="68" t="s">
        <v>91</v>
      </c>
      <c r="HP2" s="68"/>
      <c r="HQ2" s="68"/>
      <c r="HR2" s="68"/>
      <c r="HS2" s="68" t="s">
        <v>92</v>
      </c>
      <c r="HT2" s="68"/>
      <c r="HU2" s="68"/>
      <c r="HV2" s="68"/>
      <c r="HW2" s="68" t="s">
        <v>93</v>
      </c>
      <c r="HX2" s="68"/>
      <c r="HY2" s="68"/>
      <c r="HZ2" s="68"/>
      <c r="IA2" s="68" t="s">
        <v>94</v>
      </c>
      <c r="IB2" s="68"/>
      <c r="IC2" s="68"/>
      <c r="ID2" s="68"/>
      <c r="IE2" s="77" t="s">
        <v>95</v>
      </c>
      <c r="IF2" s="77"/>
      <c r="IG2" s="77"/>
      <c r="IH2" s="77"/>
      <c r="II2" s="14" t="s">
        <v>96</v>
      </c>
      <c r="IJ2" s="14" t="s">
        <v>97</v>
      </c>
      <c r="IK2" s="14" t="s">
        <v>93</v>
      </c>
      <c r="IL2" s="14" t="s">
        <v>102</v>
      </c>
      <c r="IM2" s="14" t="s">
        <v>21</v>
      </c>
      <c r="IN2" s="14" t="s">
        <v>57</v>
      </c>
      <c r="IO2" s="14" t="s">
        <v>98</v>
      </c>
      <c r="IP2" s="14" t="s">
        <v>15</v>
      </c>
      <c r="IQ2" s="65" t="s">
        <v>91</v>
      </c>
      <c r="IR2" s="65"/>
      <c r="IS2" s="65"/>
      <c r="IT2" s="65"/>
      <c r="IU2" s="65" t="s">
        <v>92</v>
      </c>
      <c r="IV2" s="65"/>
      <c r="IW2" s="65"/>
      <c r="IX2" s="65"/>
      <c r="IY2" s="65" t="s">
        <v>93</v>
      </c>
      <c r="IZ2" s="65"/>
      <c r="JA2" s="65"/>
      <c r="JB2" s="65"/>
      <c r="JC2" s="65" t="s">
        <v>94</v>
      </c>
      <c r="JD2" s="65"/>
      <c r="JE2" s="65"/>
      <c r="JF2" s="65"/>
      <c r="JG2" s="76" t="s">
        <v>95</v>
      </c>
      <c r="JH2" s="76"/>
      <c r="JI2" s="76"/>
      <c r="JJ2" s="76"/>
      <c r="JK2" s="13" t="s">
        <v>96</v>
      </c>
      <c r="JL2" s="13" t="s">
        <v>97</v>
      </c>
      <c r="JM2" s="13" t="s">
        <v>93</v>
      </c>
      <c r="JN2" s="13" t="s">
        <v>102</v>
      </c>
      <c r="JO2" s="13" t="s">
        <v>21</v>
      </c>
      <c r="JP2" s="13" t="s">
        <v>57</v>
      </c>
      <c r="JQ2" s="13" t="s">
        <v>98</v>
      </c>
      <c r="JR2" s="13" t="s">
        <v>15</v>
      </c>
      <c r="JS2" s="68" t="s">
        <v>91</v>
      </c>
      <c r="JT2" s="68"/>
      <c r="JU2" s="68"/>
      <c r="JV2" s="68"/>
      <c r="JW2" s="68" t="s">
        <v>92</v>
      </c>
      <c r="JX2" s="68"/>
      <c r="JY2" s="68"/>
      <c r="JZ2" s="68"/>
      <c r="KA2" s="68" t="s">
        <v>93</v>
      </c>
      <c r="KB2" s="68"/>
      <c r="KC2" s="68"/>
      <c r="KD2" s="68"/>
      <c r="KE2" s="68" t="s">
        <v>94</v>
      </c>
      <c r="KF2" s="68"/>
      <c r="KG2" s="68"/>
      <c r="KH2" s="68"/>
      <c r="KI2" s="77" t="s">
        <v>95</v>
      </c>
      <c r="KJ2" s="77"/>
      <c r="KK2" s="77"/>
      <c r="KL2" s="77"/>
      <c r="KM2" s="14" t="s">
        <v>96</v>
      </c>
      <c r="KN2" s="14" t="s">
        <v>97</v>
      </c>
      <c r="KO2" s="14" t="s">
        <v>93</v>
      </c>
      <c r="KP2" s="14" t="s">
        <v>102</v>
      </c>
      <c r="KQ2" s="14" t="s">
        <v>21</v>
      </c>
      <c r="KR2" s="14" t="s">
        <v>57</v>
      </c>
      <c r="KS2" s="14" t="s">
        <v>98</v>
      </c>
      <c r="KT2" s="14" t="s">
        <v>15</v>
      </c>
      <c r="KU2" s="65" t="s">
        <v>91</v>
      </c>
      <c r="KV2" s="65"/>
      <c r="KW2" s="65"/>
      <c r="KX2" s="65"/>
      <c r="KY2" s="65" t="s">
        <v>92</v>
      </c>
      <c r="KZ2" s="65"/>
      <c r="LA2" s="65"/>
      <c r="LB2" s="65"/>
      <c r="LC2" s="65" t="s">
        <v>93</v>
      </c>
      <c r="LD2" s="65"/>
      <c r="LE2" s="65"/>
      <c r="LF2" s="65"/>
      <c r="LG2" s="65" t="s">
        <v>94</v>
      </c>
      <c r="LH2" s="65"/>
      <c r="LI2" s="65"/>
      <c r="LJ2" s="65"/>
      <c r="LK2" s="76" t="s">
        <v>95</v>
      </c>
      <c r="LL2" s="76"/>
      <c r="LM2" s="76"/>
      <c r="LN2" s="76"/>
      <c r="LO2" s="13" t="s">
        <v>96</v>
      </c>
      <c r="LP2" s="13" t="s">
        <v>97</v>
      </c>
      <c r="LQ2" s="13" t="s">
        <v>93</v>
      </c>
      <c r="LR2" s="13" t="s">
        <v>102</v>
      </c>
      <c r="LS2" s="13" t="s">
        <v>21</v>
      </c>
      <c r="LT2" s="13" t="s">
        <v>57</v>
      </c>
      <c r="LU2" s="13" t="s">
        <v>98</v>
      </c>
      <c r="LV2" s="13" t="s">
        <v>15</v>
      </c>
      <c r="LW2" s="68" t="s">
        <v>91</v>
      </c>
      <c r="LX2" s="68"/>
      <c r="LY2" s="68"/>
      <c r="LZ2" s="68"/>
      <c r="MA2" s="68" t="s">
        <v>92</v>
      </c>
      <c r="MB2" s="68"/>
      <c r="MC2" s="68"/>
      <c r="MD2" s="68"/>
      <c r="ME2" s="68" t="s">
        <v>93</v>
      </c>
      <c r="MF2" s="68"/>
      <c r="MG2" s="68"/>
      <c r="MH2" s="68"/>
      <c r="MI2" s="68" t="s">
        <v>94</v>
      </c>
      <c r="MJ2" s="68"/>
      <c r="MK2" s="68"/>
      <c r="ML2" s="68"/>
      <c r="MM2" s="77" t="s">
        <v>95</v>
      </c>
      <c r="MN2" s="77"/>
      <c r="MO2" s="77"/>
      <c r="MP2" s="77"/>
      <c r="MQ2" s="14" t="s">
        <v>96</v>
      </c>
      <c r="MR2" s="14" t="s">
        <v>97</v>
      </c>
      <c r="MS2" s="14" t="s">
        <v>93</v>
      </c>
      <c r="MT2" s="14" t="s">
        <v>102</v>
      </c>
      <c r="MU2" s="14" t="s">
        <v>21</v>
      </c>
      <c r="MV2" s="14" t="s">
        <v>57</v>
      </c>
      <c r="MW2" s="14" t="s">
        <v>98</v>
      </c>
      <c r="MX2" s="14" t="s">
        <v>15</v>
      </c>
      <c r="MY2" s="65" t="s">
        <v>91</v>
      </c>
      <c r="MZ2" s="65"/>
      <c r="NA2" s="65"/>
      <c r="NB2" s="65"/>
      <c r="NC2" s="65" t="s">
        <v>92</v>
      </c>
      <c r="ND2" s="65"/>
      <c r="NE2" s="65"/>
      <c r="NF2" s="65"/>
      <c r="NG2" s="65" t="s">
        <v>93</v>
      </c>
      <c r="NH2" s="65"/>
      <c r="NI2" s="65"/>
      <c r="NJ2" s="65"/>
      <c r="NK2" s="65" t="s">
        <v>94</v>
      </c>
      <c r="NL2" s="65"/>
      <c r="NM2" s="65"/>
      <c r="NN2" s="65"/>
      <c r="NO2" s="76" t="s">
        <v>95</v>
      </c>
      <c r="NP2" s="76"/>
      <c r="NQ2" s="76"/>
      <c r="NR2" s="76"/>
      <c r="NS2" s="13" t="s">
        <v>96</v>
      </c>
      <c r="NT2" s="13" t="s">
        <v>97</v>
      </c>
      <c r="NU2" s="13" t="s">
        <v>93</v>
      </c>
      <c r="NV2" s="13" t="s">
        <v>102</v>
      </c>
      <c r="NW2" s="13" t="s">
        <v>21</v>
      </c>
      <c r="NX2" s="13" t="s">
        <v>57</v>
      </c>
      <c r="NY2" s="13" t="s">
        <v>98</v>
      </c>
      <c r="NZ2" s="13" t="s">
        <v>15</v>
      </c>
      <c r="OA2" s="68" t="s">
        <v>91</v>
      </c>
      <c r="OB2" s="68"/>
      <c r="OC2" s="68"/>
      <c r="OD2" s="68"/>
      <c r="OE2" s="68" t="s">
        <v>92</v>
      </c>
      <c r="OF2" s="68"/>
      <c r="OG2" s="68"/>
      <c r="OH2" s="68"/>
      <c r="OI2" s="68" t="s">
        <v>93</v>
      </c>
      <c r="OJ2" s="68"/>
      <c r="OK2" s="68"/>
      <c r="OL2" s="68"/>
      <c r="OM2" s="68" t="s">
        <v>94</v>
      </c>
      <c r="ON2" s="68"/>
      <c r="OO2" s="68"/>
      <c r="OP2" s="68"/>
      <c r="OQ2" s="77" t="s">
        <v>95</v>
      </c>
      <c r="OR2" s="77"/>
      <c r="OS2" s="77"/>
      <c r="OT2" s="77"/>
      <c r="OU2" s="14" t="s">
        <v>96</v>
      </c>
      <c r="OV2" s="14" t="s">
        <v>97</v>
      </c>
      <c r="OW2" s="14" t="s">
        <v>93</v>
      </c>
      <c r="OX2" s="14" t="s">
        <v>102</v>
      </c>
      <c r="OY2" s="14" t="s">
        <v>21</v>
      </c>
      <c r="OZ2" s="14" t="s">
        <v>57</v>
      </c>
      <c r="PA2" s="14" t="s">
        <v>98</v>
      </c>
      <c r="PB2" s="14" t="s">
        <v>15</v>
      </c>
      <c r="PC2" s="65" t="s">
        <v>91</v>
      </c>
      <c r="PD2" s="65"/>
      <c r="PE2" s="65"/>
      <c r="PF2" s="65"/>
      <c r="PG2" s="65" t="s">
        <v>92</v>
      </c>
      <c r="PH2" s="65"/>
      <c r="PI2" s="65"/>
      <c r="PJ2" s="65"/>
      <c r="PK2" s="65" t="s">
        <v>93</v>
      </c>
      <c r="PL2" s="65"/>
      <c r="PM2" s="65"/>
      <c r="PN2" s="65"/>
      <c r="PO2" s="65" t="s">
        <v>94</v>
      </c>
      <c r="PP2" s="65"/>
      <c r="PQ2" s="65"/>
      <c r="PR2" s="65"/>
      <c r="PS2" s="76" t="s">
        <v>95</v>
      </c>
      <c r="PT2" s="76"/>
      <c r="PU2" s="76"/>
      <c r="PV2" s="76"/>
      <c r="PW2" s="13" t="s">
        <v>96</v>
      </c>
      <c r="PX2" s="13" t="s">
        <v>97</v>
      </c>
      <c r="PY2" s="13" t="s">
        <v>93</v>
      </c>
      <c r="PZ2" s="13" t="s">
        <v>102</v>
      </c>
      <c r="QA2" s="13" t="s">
        <v>21</v>
      </c>
      <c r="QB2" s="13" t="s">
        <v>57</v>
      </c>
      <c r="QC2" s="13" t="s">
        <v>98</v>
      </c>
      <c r="QD2" s="13" t="s">
        <v>15</v>
      </c>
      <c r="QE2" s="68" t="s">
        <v>91</v>
      </c>
      <c r="QF2" s="68"/>
      <c r="QG2" s="68"/>
      <c r="QH2" s="68"/>
      <c r="QI2" s="68" t="s">
        <v>92</v>
      </c>
      <c r="QJ2" s="68"/>
      <c r="QK2" s="68"/>
      <c r="QL2" s="68"/>
      <c r="QM2" s="68" t="s">
        <v>93</v>
      </c>
      <c r="QN2" s="68"/>
      <c r="QO2" s="68"/>
      <c r="QP2" s="68"/>
      <c r="QQ2" s="68" t="s">
        <v>94</v>
      </c>
      <c r="QR2" s="68"/>
      <c r="QS2" s="68"/>
      <c r="QT2" s="68"/>
      <c r="QU2" s="75" t="s">
        <v>95</v>
      </c>
      <c r="QV2" s="75"/>
      <c r="QW2" s="75"/>
      <c r="QX2" s="75"/>
      <c r="QY2" s="14"/>
      <c r="QZ2" s="14" t="s">
        <v>96</v>
      </c>
      <c r="RA2" s="14" t="s">
        <v>97</v>
      </c>
      <c r="RB2" s="14" t="s">
        <v>93</v>
      </c>
      <c r="RC2" s="14" t="s">
        <v>102</v>
      </c>
      <c r="RD2" s="14" t="s">
        <v>21</v>
      </c>
      <c r="RE2" s="14" t="s">
        <v>57</v>
      </c>
      <c r="RF2" s="14" t="s">
        <v>98</v>
      </c>
      <c r="RG2" s="14" t="s">
        <v>15</v>
      </c>
    </row>
    <row r="3" spans="1:475" x14ac:dyDescent="0.2">
      <c r="A3" s="71"/>
      <c r="B3" s="71"/>
      <c r="C3" s="71"/>
      <c r="D3" s="71"/>
      <c r="E3" s="71"/>
      <c r="F3" s="74"/>
      <c r="G3" s="74"/>
      <c r="H3" s="71"/>
      <c r="I3" s="74"/>
      <c r="J3" s="72"/>
      <c r="K3" s="70"/>
      <c r="L3" s="72"/>
      <c r="M3" s="70"/>
      <c r="N3" s="72"/>
      <c r="O3" s="70"/>
      <c r="P3" s="70"/>
      <c r="Q3" s="70"/>
      <c r="R3" s="73"/>
      <c r="S3" s="70"/>
      <c r="T3" s="70"/>
      <c r="U3" s="14" t="s">
        <v>12</v>
      </c>
      <c r="V3" s="14" t="s">
        <v>7</v>
      </c>
      <c r="W3" s="14" t="s">
        <v>23</v>
      </c>
      <c r="X3" s="14" t="s">
        <v>24</v>
      </c>
      <c r="Y3" s="14" t="s">
        <v>12</v>
      </c>
      <c r="Z3" s="14" t="s">
        <v>7</v>
      </c>
      <c r="AA3" s="14" t="s">
        <v>23</v>
      </c>
      <c r="AB3" s="14" t="s">
        <v>24</v>
      </c>
      <c r="AC3" s="14" t="s">
        <v>12</v>
      </c>
      <c r="AD3" s="14" t="s">
        <v>7</v>
      </c>
      <c r="AE3" s="14" t="s">
        <v>23</v>
      </c>
      <c r="AF3" s="14" t="s">
        <v>24</v>
      </c>
      <c r="AG3" s="14" t="s">
        <v>12</v>
      </c>
      <c r="AH3" s="14" t="s">
        <v>7</v>
      </c>
      <c r="AI3" s="14" t="s">
        <v>23</v>
      </c>
      <c r="AJ3" s="14" t="s">
        <v>24</v>
      </c>
      <c r="AK3" s="21" t="s">
        <v>12</v>
      </c>
      <c r="AL3" s="21" t="s">
        <v>7</v>
      </c>
      <c r="AM3" s="21" t="s">
        <v>23</v>
      </c>
      <c r="AN3" s="21" t="s">
        <v>24</v>
      </c>
      <c r="AO3" s="14" t="s">
        <v>45</v>
      </c>
      <c r="AP3" s="14"/>
      <c r="AQ3" s="14"/>
      <c r="AR3" s="14"/>
      <c r="AS3" s="14"/>
      <c r="AT3" s="14"/>
      <c r="AU3" s="14"/>
      <c r="AV3" s="14"/>
      <c r="AW3" s="14"/>
      <c r="AX3" s="13" t="s">
        <v>12</v>
      </c>
      <c r="AY3" s="13" t="s">
        <v>7</v>
      </c>
      <c r="AZ3" s="13" t="s">
        <v>23</v>
      </c>
      <c r="BA3" s="13" t="s">
        <v>24</v>
      </c>
      <c r="BB3" s="13" t="s">
        <v>12</v>
      </c>
      <c r="BC3" s="13" t="s">
        <v>7</v>
      </c>
      <c r="BD3" s="13" t="s">
        <v>23</v>
      </c>
      <c r="BE3" s="13" t="s">
        <v>24</v>
      </c>
      <c r="BF3" s="13" t="s">
        <v>12</v>
      </c>
      <c r="BG3" s="13" t="s">
        <v>7</v>
      </c>
      <c r="BH3" s="13" t="s">
        <v>23</v>
      </c>
      <c r="BI3" s="13" t="s">
        <v>24</v>
      </c>
      <c r="BJ3" s="13" t="s">
        <v>12</v>
      </c>
      <c r="BK3" s="13" t="s">
        <v>7</v>
      </c>
      <c r="BL3" s="13" t="s">
        <v>23</v>
      </c>
      <c r="BM3" s="13" t="s">
        <v>24</v>
      </c>
      <c r="BN3" s="16" t="s">
        <v>12</v>
      </c>
      <c r="BO3" s="16" t="s">
        <v>7</v>
      </c>
      <c r="BP3" s="16" t="s">
        <v>23</v>
      </c>
      <c r="BQ3" s="16" t="s">
        <v>24</v>
      </c>
      <c r="BR3" s="13" t="s">
        <v>45</v>
      </c>
      <c r="BS3" s="13"/>
      <c r="BT3" s="13"/>
      <c r="BU3" s="13"/>
      <c r="BV3" s="13"/>
      <c r="BW3" s="13"/>
      <c r="BX3" s="13"/>
      <c r="BY3" s="13"/>
      <c r="BZ3" s="13"/>
      <c r="CA3" s="14" t="s">
        <v>12</v>
      </c>
      <c r="CB3" s="14" t="s">
        <v>7</v>
      </c>
      <c r="CC3" s="14" t="s">
        <v>23</v>
      </c>
      <c r="CD3" s="14" t="s">
        <v>24</v>
      </c>
      <c r="CE3" s="14" t="s">
        <v>12</v>
      </c>
      <c r="CF3" s="14" t="s">
        <v>7</v>
      </c>
      <c r="CG3" s="14" t="s">
        <v>23</v>
      </c>
      <c r="CH3" s="14" t="s">
        <v>24</v>
      </c>
      <c r="CI3" s="14" t="s">
        <v>12</v>
      </c>
      <c r="CJ3" s="14" t="s">
        <v>7</v>
      </c>
      <c r="CK3" s="14" t="s">
        <v>23</v>
      </c>
      <c r="CL3" s="14" t="s">
        <v>24</v>
      </c>
      <c r="CM3" s="14" t="s">
        <v>12</v>
      </c>
      <c r="CN3" s="14" t="s">
        <v>7</v>
      </c>
      <c r="CO3" s="14" t="s">
        <v>23</v>
      </c>
      <c r="CP3" s="14" t="s">
        <v>24</v>
      </c>
      <c r="CQ3" s="21" t="s">
        <v>12</v>
      </c>
      <c r="CR3" s="21" t="s">
        <v>7</v>
      </c>
      <c r="CS3" s="21" t="s">
        <v>23</v>
      </c>
      <c r="CT3" s="21" t="s">
        <v>24</v>
      </c>
      <c r="CU3" s="14" t="s">
        <v>45</v>
      </c>
      <c r="CV3" s="14"/>
      <c r="CW3" s="14"/>
      <c r="CX3" s="14"/>
      <c r="CY3" s="14"/>
      <c r="CZ3" s="14"/>
      <c r="DA3" s="14"/>
      <c r="DB3" s="14"/>
      <c r="DC3" s="14"/>
      <c r="DD3" s="49"/>
      <c r="DE3" s="49"/>
      <c r="DF3" s="49"/>
      <c r="DG3" s="14" t="s">
        <v>12</v>
      </c>
      <c r="DH3" s="14" t="s">
        <v>7</v>
      </c>
      <c r="DI3" s="14" t="s">
        <v>23</v>
      </c>
      <c r="DJ3" s="14" t="s">
        <v>24</v>
      </c>
      <c r="DK3" s="14" t="s">
        <v>12</v>
      </c>
      <c r="DL3" s="14" t="s">
        <v>7</v>
      </c>
      <c r="DM3" s="14" t="s">
        <v>23</v>
      </c>
      <c r="DN3" s="14" t="s">
        <v>24</v>
      </c>
      <c r="DO3" s="14" t="s">
        <v>12</v>
      </c>
      <c r="DP3" s="14" t="s">
        <v>7</v>
      </c>
      <c r="DQ3" s="14" t="s">
        <v>23</v>
      </c>
      <c r="DR3" s="14" t="s">
        <v>24</v>
      </c>
      <c r="DS3" s="14" t="s">
        <v>12</v>
      </c>
      <c r="DT3" s="14" t="s">
        <v>7</v>
      </c>
      <c r="DU3" s="14" t="s">
        <v>23</v>
      </c>
      <c r="DV3" s="14" t="s">
        <v>24</v>
      </c>
      <c r="DW3" s="15" t="s">
        <v>12</v>
      </c>
      <c r="DX3" s="15" t="s">
        <v>7</v>
      </c>
      <c r="DY3" s="15" t="s">
        <v>23</v>
      </c>
      <c r="DZ3" s="15" t="s">
        <v>24</v>
      </c>
      <c r="EA3" s="14"/>
      <c r="EB3" s="14"/>
      <c r="EC3" s="14"/>
      <c r="ED3" s="14"/>
      <c r="EE3" s="14"/>
      <c r="EF3" s="14"/>
      <c r="EG3" s="14"/>
      <c r="EH3" s="14"/>
      <c r="EI3" s="13" t="s">
        <v>12</v>
      </c>
      <c r="EJ3" s="13" t="s">
        <v>7</v>
      </c>
      <c r="EK3" s="13" t="s">
        <v>23</v>
      </c>
      <c r="EL3" s="13" t="s">
        <v>24</v>
      </c>
      <c r="EM3" s="13" t="s">
        <v>12</v>
      </c>
      <c r="EN3" s="13" t="s">
        <v>7</v>
      </c>
      <c r="EO3" s="13" t="s">
        <v>23</v>
      </c>
      <c r="EP3" s="13" t="s">
        <v>24</v>
      </c>
      <c r="EQ3" s="13" t="s">
        <v>12</v>
      </c>
      <c r="ER3" s="13" t="s">
        <v>7</v>
      </c>
      <c r="ES3" s="13" t="s">
        <v>23</v>
      </c>
      <c r="ET3" s="13" t="s">
        <v>24</v>
      </c>
      <c r="EU3" s="13" t="s">
        <v>12</v>
      </c>
      <c r="EV3" s="13" t="s">
        <v>7</v>
      </c>
      <c r="EW3" s="13" t="s">
        <v>23</v>
      </c>
      <c r="EX3" s="13" t="s">
        <v>24</v>
      </c>
      <c r="EY3" s="16" t="s">
        <v>12</v>
      </c>
      <c r="EZ3" s="16" t="s">
        <v>7</v>
      </c>
      <c r="FA3" s="16" t="s">
        <v>23</v>
      </c>
      <c r="FB3" s="16" t="s">
        <v>24</v>
      </c>
      <c r="FC3" s="13"/>
      <c r="FD3" s="13"/>
      <c r="FE3" s="13"/>
      <c r="FF3" s="13"/>
      <c r="FG3" s="13"/>
      <c r="FH3" s="13"/>
      <c r="FI3" s="13"/>
      <c r="FJ3" s="13"/>
      <c r="FK3" s="14" t="s">
        <v>12</v>
      </c>
      <c r="FL3" s="14" t="s">
        <v>7</v>
      </c>
      <c r="FM3" s="14" t="s">
        <v>23</v>
      </c>
      <c r="FN3" s="14" t="s">
        <v>24</v>
      </c>
      <c r="FO3" s="14" t="s">
        <v>12</v>
      </c>
      <c r="FP3" s="14" t="s">
        <v>7</v>
      </c>
      <c r="FQ3" s="14" t="s">
        <v>23</v>
      </c>
      <c r="FR3" s="14" t="s">
        <v>24</v>
      </c>
      <c r="FS3" s="14" t="s">
        <v>12</v>
      </c>
      <c r="FT3" s="14" t="s">
        <v>7</v>
      </c>
      <c r="FU3" s="14" t="s">
        <v>23</v>
      </c>
      <c r="FV3" s="14" t="s">
        <v>24</v>
      </c>
      <c r="FW3" s="14" t="s">
        <v>12</v>
      </c>
      <c r="FX3" s="14" t="s">
        <v>7</v>
      </c>
      <c r="FY3" s="14" t="s">
        <v>23</v>
      </c>
      <c r="FZ3" s="14" t="s">
        <v>24</v>
      </c>
      <c r="GA3" s="15" t="s">
        <v>12</v>
      </c>
      <c r="GB3" s="15" t="s">
        <v>7</v>
      </c>
      <c r="GC3" s="15" t="s">
        <v>23</v>
      </c>
      <c r="GD3" s="15" t="s">
        <v>24</v>
      </c>
      <c r="GE3" s="14"/>
      <c r="GF3" s="14"/>
      <c r="GG3" s="14"/>
      <c r="GH3" s="14"/>
      <c r="GI3" s="14"/>
      <c r="GJ3" s="14"/>
      <c r="GK3" s="14"/>
      <c r="GL3" s="14"/>
      <c r="GM3" s="13" t="s">
        <v>12</v>
      </c>
      <c r="GN3" s="13" t="s">
        <v>7</v>
      </c>
      <c r="GO3" s="13" t="s">
        <v>23</v>
      </c>
      <c r="GP3" s="13" t="s">
        <v>24</v>
      </c>
      <c r="GQ3" s="13" t="s">
        <v>12</v>
      </c>
      <c r="GR3" s="13" t="s">
        <v>7</v>
      </c>
      <c r="GS3" s="13" t="s">
        <v>23</v>
      </c>
      <c r="GT3" s="13" t="s">
        <v>24</v>
      </c>
      <c r="GU3" s="13" t="s">
        <v>12</v>
      </c>
      <c r="GV3" s="13" t="s">
        <v>7</v>
      </c>
      <c r="GW3" s="13" t="s">
        <v>23</v>
      </c>
      <c r="GX3" s="13" t="s">
        <v>24</v>
      </c>
      <c r="GY3" s="13" t="s">
        <v>12</v>
      </c>
      <c r="GZ3" s="13" t="s">
        <v>7</v>
      </c>
      <c r="HA3" s="13" t="s">
        <v>23</v>
      </c>
      <c r="HB3" s="13" t="s">
        <v>24</v>
      </c>
      <c r="HC3" s="16" t="s">
        <v>12</v>
      </c>
      <c r="HD3" s="16" t="s">
        <v>7</v>
      </c>
      <c r="HE3" s="16" t="s">
        <v>23</v>
      </c>
      <c r="HF3" s="16" t="s">
        <v>24</v>
      </c>
      <c r="HG3" s="13"/>
      <c r="HH3" s="13"/>
      <c r="HI3" s="13"/>
      <c r="HJ3" s="13"/>
      <c r="HK3" s="13"/>
      <c r="HL3" s="13"/>
      <c r="HM3" s="13"/>
      <c r="HN3" s="13"/>
      <c r="HO3" s="14" t="s">
        <v>12</v>
      </c>
      <c r="HP3" s="14" t="s">
        <v>7</v>
      </c>
      <c r="HQ3" s="14" t="s">
        <v>23</v>
      </c>
      <c r="HR3" s="14" t="s">
        <v>24</v>
      </c>
      <c r="HS3" s="14" t="s">
        <v>12</v>
      </c>
      <c r="HT3" s="14" t="s">
        <v>7</v>
      </c>
      <c r="HU3" s="14" t="s">
        <v>23</v>
      </c>
      <c r="HV3" s="14" t="s">
        <v>24</v>
      </c>
      <c r="HW3" s="14" t="s">
        <v>12</v>
      </c>
      <c r="HX3" s="14" t="s">
        <v>7</v>
      </c>
      <c r="HY3" s="14" t="s">
        <v>23</v>
      </c>
      <c r="HZ3" s="14" t="s">
        <v>24</v>
      </c>
      <c r="IA3" s="14" t="s">
        <v>12</v>
      </c>
      <c r="IB3" s="14" t="s">
        <v>7</v>
      </c>
      <c r="IC3" s="14" t="s">
        <v>23</v>
      </c>
      <c r="ID3" s="14" t="s">
        <v>24</v>
      </c>
      <c r="IE3" s="15" t="s">
        <v>12</v>
      </c>
      <c r="IF3" s="15" t="s">
        <v>7</v>
      </c>
      <c r="IG3" s="15" t="s">
        <v>23</v>
      </c>
      <c r="IH3" s="15" t="s">
        <v>24</v>
      </c>
      <c r="II3" s="14"/>
      <c r="IJ3" s="14"/>
      <c r="IK3" s="14"/>
      <c r="IL3" s="14"/>
      <c r="IM3" s="14"/>
      <c r="IN3" s="14"/>
      <c r="IO3" s="14"/>
      <c r="IP3" s="14"/>
      <c r="IQ3" s="13" t="s">
        <v>12</v>
      </c>
      <c r="IR3" s="13" t="s">
        <v>7</v>
      </c>
      <c r="IS3" s="13" t="s">
        <v>23</v>
      </c>
      <c r="IT3" s="13" t="s">
        <v>24</v>
      </c>
      <c r="IU3" s="13" t="s">
        <v>12</v>
      </c>
      <c r="IV3" s="13" t="s">
        <v>7</v>
      </c>
      <c r="IW3" s="13" t="s">
        <v>23</v>
      </c>
      <c r="IX3" s="13" t="s">
        <v>24</v>
      </c>
      <c r="IY3" s="13" t="s">
        <v>12</v>
      </c>
      <c r="IZ3" s="13" t="s">
        <v>7</v>
      </c>
      <c r="JA3" s="13" t="s">
        <v>23</v>
      </c>
      <c r="JB3" s="13" t="s">
        <v>24</v>
      </c>
      <c r="JC3" s="13" t="s">
        <v>12</v>
      </c>
      <c r="JD3" s="13" t="s">
        <v>7</v>
      </c>
      <c r="JE3" s="13" t="s">
        <v>23</v>
      </c>
      <c r="JF3" s="13" t="s">
        <v>24</v>
      </c>
      <c r="JG3" s="16" t="s">
        <v>12</v>
      </c>
      <c r="JH3" s="16" t="s">
        <v>7</v>
      </c>
      <c r="JI3" s="16" t="s">
        <v>23</v>
      </c>
      <c r="JJ3" s="16" t="s">
        <v>24</v>
      </c>
      <c r="JK3" s="13"/>
      <c r="JL3" s="13"/>
      <c r="JM3" s="13"/>
      <c r="JN3" s="13"/>
      <c r="JO3" s="13"/>
      <c r="JP3" s="13"/>
      <c r="JQ3" s="13"/>
      <c r="JR3" s="13"/>
      <c r="JS3" s="14" t="s">
        <v>12</v>
      </c>
      <c r="JT3" s="14" t="s">
        <v>7</v>
      </c>
      <c r="JU3" s="14" t="s">
        <v>23</v>
      </c>
      <c r="JV3" s="14" t="s">
        <v>24</v>
      </c>
      <c r="JW3" s="14" t="s">
        <v>12</v>
      </c>
      <c r="JX3" s="14" t="s">
        <v>7</v>
      </c>
      <c r="JY3" s="14" t="s">
        <v>23</v>
      </c>
      <c r="JZ3" s="14" t="s">
        <v>24</v>
      </c>
      <c r="KA3" s="14" t="s">
        <v>12</v>
      </c>
      <c r="KB3" s="14" t="s">
        <v>7</v>
      </c>
      <c r="KC3" s="14" t="s">
        <v>23</v>
      </c>
      <c r="KD3" s="14" t="s">
        <v>24</v>
      </c>
      <c r="KE3" s="14" t="s">
        <v>12</v>
      </c>
      <c r="KF3" s="14" t="s">
        <v>7</v>
      </c>
      <c r="KG3" s="14" t="s">
        <v>23</v>
      </c>
      <c r="KH3" s="14" t="s">
        <v>24</v>
      </c>
      <c r="KI3" s="15" t="s">
        <v>12</v>
      </c>
      <c r="KJ3" s="15" t="s">
        <v>7</v>
      </c>
      <c r="KK3" s="15" t="s">
        <v>23</v>
      </c>
      <c r="KL3" s="15" t="s">
        <v>24</v>
      </c>
      <c r="KM3" s="14"/>
      <c r="KN3" s="14"/>
      <c r="KO3" s="14"/>
      <c r="KP3" s="14"/>
      <c r="KQ3" s="14"/>
      <c r="KR3" s="14"/>
      <c r="KS3" s="14"/>
      <c r="KT3" s="14"/>
      <c r="KU3" s="13" t="s">
        <v>12</v>
      </c>
      <c r="KV3" s="13" t="s">
        <v>7</v>
      </c>
      <c r="KW3" s="13" t="s">
        <v>23</v>
      </c>
      <c r="KX3" s="13" t="s">
        <v>24</v>
      </c>
      <c r="KY3" s="13" t="s">
        <v>12</v>
      </c>
      <c r="KZ3" s="13" t="s">
        <v>7</v>
      </c>
      <c r="LA3" s="13" t="s">
        <v>23</v>
      </c>
      <c r="LB3" s="13" t="s">
        <v>24</v>
      </c>
      <c r="LC3" s="13" t="s">
        <v>12</v>
      </c>
      <c r="LD3" s="13" t="s">
        <v>7</v>
      </c>
      <c r="LE3" s="13" t="s">
        <v>23</v>
      </c>
      <c r="LF3" s="13" t="s">
        <v>24</v>
      </c>
      <c r="LG3" s="13" t="s">
        <v>12</v>
      </c>
      <c r="LH3" s="13" t="s">
        <v>7</v>
      </c>
      <c r="LI3" s="13" t="s">
        <v>23</v>
      </c>
      <c r="LJ3" s="13" t="s">
        <v>24</v>
      </c>
      <c r="LK3" s="16" t="s">
        <v>12</v>
      </c>
      <c r="LL3" s="16" t="s">
        <v>7</v>
      </c>
      <c r="LM3" s="16" t="s">
        <v>23</v>
      </c>
      <c r="LN3" s="16" t="s">
        <v>24</v>
      </c>
      <c r="LO3" s="13"/>
      <c r="LP3" s="13"/>
      <c r="LQ3" s="13"/>
      <c r="LR3" s="13"/>
      <c r="LS3" s="13"/>
      <c r="LT3" s="13"/>
      <c r="LU3" s="13"/>
      <c r="LV3" s="13"/>
      <c r="LW3" s="14" t="s">
        <v>12</v>
      </c>
      <c r="LX3" s="14" t="s">
        <v>7</v>
      </c>
      <c r="LY3" s="14" t="s">
        <v>23</v>
      </c>
      <c r="LZ3" s="14" t="s">
        <v>24</v>
      </c>
      <c r="MA3" s="14" t="s">
        <v>12</v>
      </c>
      <c r="MB3" s="14" t="s">
        <v>7</v>
      </c>
      <c r="MC3" s="14" t="s">
        <v>23</v>
      </c>
      <c r="MD3" s="14" t="s">
        <v>24</v>
      </c>
      <c r="ME3" s="14" t="s">
        <v>12</v>
      </c>
      <c r="MF3" s="14" t="s">
        <v>7</v>
      </c>
      <c r="MG3" s="14" t="s">
        <v>23</v>
      </c>
      <c r="MH3" s="14" t="s">
        <v>24</v>
      </c>
      <c r="MI3" s="14" t="s">
        <v>12</v>
      </c>
      <c r="MJ3" s="14" t="s">
        <v>7</v>
      </c>
      <c r="MK3" s="14" t="s">
        <v>23</v>
      </c>
      <c r="ML3" s="14" t="s">
        <v>24</v>
      </c>
      <c r="MM3" s="15" t="s">
        <v>12</v>
      </c>
      <c r="MN3" s="15" t="s">
        <v>7</v>
      </c>
      <c r="MO3" s="15" t="s">
        <v>23</v>
      </c>
      <c r="MP3" s="15" t="s">
        <v>24</v>
      </c>
      <c r="MQ3" s="14"/>
      <c r="MR3" s="14"/>
      <c r="MS3" s="14"/>
      <c r="MT3" s="14"/>
      <c r="MU3" s="14"/>
      <c r="MV3" s="14"/>
      <c r="MW3" s="14"/>
      <c r="MX3" s="14"/>
      <c r="MY3" s="13" t="s">
        <v>12</v>
      </c>
      <c r="MZ3" s="13" t="s">
        <v>7</v>
      </c>
      <c r="NA3" s="13" t="s">
        <v>23</v>
      </c>
      <c r="NB3" s="13" t="s">
        <v>24</v>
      </c>
      <c r="NC3" s="13" t="s">
        <v>12</v>
      </c>
      <c r="ND3" s="13" t="s">
        <v>7</v>
      </c>
      <c r="NE3" s="13" t="s">
        <v>23</v>
      </c>
      <c r="NF3" s="13" t="s">
        <v>24</v>
      </c>
      <c r="NG3" s="13" t="s">
        <v>12</v>
      </c>
      <c r="NH3" s="13" t="s">
        <v>7</v>
      </c>
      <c r="NI3" s="13" t="s">
        <v>23</v>
      </c>
      <c r="NJ3" s="13" t="s">
        <v>24</v>
      </c>
      <c r="NK3" s="13" t="s">
        <v>12</v>
      </c>
      <c r="NL3" s="13" t="s">
        <v>7</v>
      </c>
      <c r="NM3" s="13" t="s">
        <v>23</v>
      </c>
      <c r="NN3" s="13" t="s">
        <v>24</v>
      </c>
      <c r="NO3" s="16" t="s">
        <v>12</v>
      </c>
      <c r="NP3" s="16" t="s">
        <v>7</v>
      </c>
      <c r="NQ3" s="16" t="s">
        <v>23</v>
      </c>
      <c r="NR3" s="16" t="s">
        <v>24</v>
      </c>
      <c r="NS3" s="13"/>
      <c r="NT3" s="13"/>
      <c r="NU3" s="13"/>
      <c r="NV3" s="13"/>
      <c r="NW3" s="13"/>
      <c r="NX3" s="13"/>
      <c r="NY3" s="13"/>
      <c r="NZ3" s="13"/>
      <c r="OA3" s="14" t="s">
        <v>12</v>
      </c>
      <c r="OB3" s="14" t="s">
        <v>7</v>
      </c>
      <c r="OC3" s="14" t="s">
        <v>23</v>
      </c>
      <c r="OD3" s="14" t="s">
        <v>24</v>
      </c>
      <c r="OE3" s="14" t="s">
        <v>12</v>
      </c>
      <c r="OF3" s="14" t="s">
        <v>7</v>
      </c>
      <c r="OG3" s="14" t="s">
        <v>23</v>
      </c>
      <c r="OH3" s="14" t="s">
        <v>24</v>
      </c>
      <c r="OI3" s="14" t="s">
        <v>12</v>
      </c>
      <c r="OJ3" s="14" t="s">
        <v>7</v>
      </c>
      <c r="OK3" s="14" t="s">
        <v>23</v>
      </c>
      <c r="OL3" s="14" t="s">
        <v>24</v>
      </c>
      <c r="OM3" s="14" t="s">
        <v>12</v>
      </c>
      <c r="ON3" s="14" t="s">
        <v>7</v>
      </c>
      <c r="OO3" s="14" t="s">
        <v>23</v>
      </c>
      <c r="OP3" s="14" t="s">
        <v>24</v>
      </c>
      <c r="OQ3" s="15" t="s">
        <v>12</v>
      </c>
      <c r="OR3" s="15" t="s">
        <v>7</v>
      </c>
      <c r="OS3" s="15" t="s">
        <v>23</v>
      </c>
      <c r="OT3" s="15" t="s">
        <v>24</v>
      </c>
      <c r="OU3" s="14"/>
      <c r="OV3" s="14"/>
      <c r="OW3" s="14"/>
      <c r="OX3" s="14"/>
      <c r="OY3" s="14"/>
      <c r="OZ3" s="14"/>
      <c r="PA3" s="14"/>
      <c r="PB3" s="14"/>
      <c r="PC3" s="13" t="s">
        <v>12</v>
      </c>
      <c r="PD3" s="13" t="s">
        <v>7</v>
      </c>
      <c r="PE3" s="13" t="s">
        <v>23</v>
      </c>
      <c r="PF3" s="13" t="s">
        <v>24</v>
      </c>
      <c r="PG3" s="13" t="s">
        <v>12</v>
      </c>
      <c r="PH3" s="13" t="s">
        <v>7</v>
      </c>
      <c r="PI3" s="13" t="s">
        <v>23</v>
      </c>
      <c r="PJ3" s="13" t="s">
        <v>24</v>
      </c>
      <c r="PK3" s="13" t="s">
        <v>12</v>
      </c>
      <c r="PL3" s="13" t="s">
        <v>7</v>
      </c>
      <c r="PM3" s="13" t="s">
        <v>23</v>
      </c>
      <c r="PN3" s="13" t="s">
        <v>24</v>
      </c>
      <c r="PO3" s="13" t="s">
        <v>12</v>
      </c>
      <c r="PP3" s="13" t="s">
        <v>7</v>
      </c>
      <c r="PQ3" s="13" t="s">
        <v>23</v>
      </c>
      <c r="PR3" s="13" t="s">
        <v>24</v>
      </c>
      <c r="PS3" s="16" t="s">
        <v>12</v>
      </c>
      <c r="PT3" s="16" t="s">
        <v>7</v>
      </c>
      <c r="PU3" s="16" t="s">
        <v>23</v>
      </c>
      <c r="PV3" s="16" t="s">
        <v>24</v>
      </c>
      <c r="PW3" s="13"/>
      <c r="PX3" s="13"/>
      <c r="PY3" s="13"/>
      <c r="PZ3" s="13"/>
      <c r="QA3" s="13"/>
      <c r="QB3" s="13"/>
      <c r="QC3" s="13"/>
      <c r="QD3" s="13"/>
      <c r="QE3" s="14" t="s">
        <v>12</v>
      </c>
      <c r="QF3" s="14" t="s">
        <v>7</v>
      </c>
      <c r="QG3" s="14" t="s">
        <v>23</v>
      </c>
      <c r="QH3" s="14" t="s">
        <v>24</v>
      </c>
      <c r="QI3" s="14" t="s">
        <v>12</v>
      </c>
      <c r="QJ3" s="14" t="s">
        <v>7</v>
      </c>
      <c r="QK3" s="14" t="s">
        <v>23</v>
      </c>
      <c r="QL3" s="14" t="s">
        <v>24</v>
      </c>
      <c r="QM3" s="14" t="s">
        <v>12</v>
      </c>
      <c r="QN3" s="14" t="s">
        <v>7</v>
      </c>
      <c r="QO3" s="14" t="s">
        <v>23</v>
      </c>
      <c r="QP3" s="14" t="s">
        <v>24</v>
      </c>
      <c r="QQ3" s="14" t="s">
        <v>12</v>
      </c>
      <c r="QR3" s="14" t="s">
        <v>7</v>
      </c>
      <c r="QS3" s="14" t="s">
        <v>23</v>
      </c>
      <c r="QT3" s="14" t="s">
        <v>24</v>
      </c>
      <c r="QU3" s="21" t="s">
        <v>12</v>
      </c>
      <c r="QV3" s="21" t="s">
        <v>7</v>
      </c>
      <c r="QW3" s="21" t="s">
        <v>23</v>
      </c>
      <c r="QX3" s="21" t="s">
        <v>24</v>
      </c>
      <c r="QY3" s="14" t="s">
        <v>45</v>
      </c>
      <c r="QZ3" s="14"/>
      <c r="RA3" s="14"/>
      <c r="RB3" s="14"/>
      <c r="RC3" s="14"/>
      <c r="RD3" s="14"/>
      <c r="RE3" s="14"/>
      <c r="RF3" s="14"/>
      <c r="RG3" s="14"/>
    </row>
    <row r="4" spans="1:475" x14ac:dyDescent="0.2">
      <c r="A4" s="4">
        <f t="shared" ref="A4:A15" si="0">IF(AND(F4="P",G4="P"),SUMPRODUCT((F$4:F$18="P")*(G$4:G$18="P")*(E$4:E$18&gt;E4))+1,IF(G4="P",SUMPRODUCT((F$4:F$18="")*(G$4:G$18="P")*(E$4:E$18&gt;E4))+1+SUMPRODUCT((F$4:F$18="P")*(G$4:G$18="P")),""))</f>
        <v>1</v>
      </c>
      <c r="B4" s="5" t="s">
        <v>103</v>
      </c>
      <c r="C4" s="4" t="s">
        <v>3</v>
      </c>
      <c r="D4" s="4">
        <v>2003</v>
      </c>
      <c r="E4" s="9">
        <f t="shared" ref="E4:E17" si="1">SUM(J4:R4)+SUM(J4:N4)*0.0000001+SUM(J4)*0.0000000000001</f>
        <v>183.40001279000518</v>
      </c>
      <c r="F4" s="3" t="str">
        <f t="shared" ref="F4:F17" si="2">IF(OR(AND(AP4&gt;=AW$20,AQ4&gt;=AW$24,AP4&lt;&gt;"",AO4=""),AND(AU4&gt;=AW$20,AV4&gt;=AW$24,AU4&lt;&gt;"",AO4=""),AND(BS4&gt;=BZ$20,BT4&gt;=BZ$24,BS4&lt;&gt;"",BR4=""),AND(BX4&gt;=BZ$20,BY4&gt;=BZ$24,BX4&lt;&gt;"",BR4=""),AND(CV4&gt;=DC$20,CW4&gt;=DC$24,CV4&lt;&gt;"",CU4=""),AND(DA4&gt;=DC$20,DB4&gt;=DC$24,DA4&lt;&gt;""),AND(EA4&gt;=EH$20,EB4&gt;=EH$24,EA4&lt;&gt;""),AND(EF4&gt;=EH$20,EG4&gt;=EH$24,EF4&lt;&gt;""),AND(FC4&gt;=FJ$20,FD4&gt;=FJ$24,FC4&lt;&gt;""),AND(FH4&gt;=FJ$20,FI4&gt;=FJ$24,FH4&lt;&gt;""),AND(GE4&gt;=GL$20,GF4&gt;=GL$24,GE4&lt;&gt;""),AND(GJ4&gt;=GL$20,GK4&gt;=GL$24,GJ4&lt;&gt;""),AND(HG4&gt;=HN$20,HH4&gt;=HN$24,HG4&lt;&gt;""),AND(HL4&gt;=HN$20,HM4&gt;=HN$24,HL4&lt;&gt;""),AND(II4&gt;=IP$20,IJ4&gt;=IP$24,II4&lt;&gt;""),AND(IN4&gt;=IP$20,IO4&gt;=IP$24,IN4&lt;&gt;""),AND(JK4&gt;=JR$20,JL4&gt;=JR$24,JK4&lt;&gt;""),AND(JP4&gt;=JR$20,JQ4&gt;=JR$24,JP4&lt;&gt;""),AND(KM4&gt;=KT$20,KN4&gt;=KT$24,KM4&lt;&gt;""),AND(KR4&gt;=KT$20,KS4&gt;=KT$24,KR4&lt;&gt;""),AND(LO4&gt;=LV$20,LP4&gt;=LV$24,LO4&lt;&gt;""),AND(LT4&gt;=LV$20,LU4&gt;=LV$24,LT4&lt;&gt;""),AND(MQ4&gt;=MX$20,MR4&gt;=MX$24,MQ4&lt;&gt;""),AND(MV4&gt;=MX$20,MW4&gt;=MX$24,MV4&lt;&gt;""),AND(NS4&gt;=NZ$20,NT4&gt;=NZ$24,NS4&lt;&gt;""),AND(NX4&gt;=NZ$20,NY4&gt;=NZ$24,NX4&lt;&gt;""),AND(OU4&gt;=PB$20,OV4&gt;=PB$24,OU4&lt;&gt;""),AND(OZ4&gt;=PB$20,PA4&gt;=PB$24,OZ4&lt;&gt;""),AND(PW4&gt;=QD$20,PX4&gt;=QD$24,PW4&lt;&gt;""),AND(QB4&gt;=QD$20,QC4&gt;=QD$24,QB4&lt;&gt;"")),"P","")</f>
        <v>P</v>
      </c>
      <c r="G4" s="3" t="str">
        <f t="shared" ref="G4:G17" si="3">IF(OR(AND(AQ4&gt;=AW$24,AQ4&lt;&gt;"",AO4=""),AND(AV4&gt;=AW$24,AV4&lt;&gt;"",AO4=""),AND(BT4&gt;=BZ$24,BT4&lt;&gt;"",BR4=""),AND(BY4&gt;=BZ$24,BY4&lt;&gt;"",BR4=""),AND(CW4&gt;=DC$24,CW4&lt;&gt;"",CU4=""),AND(DB4&gt;=DC$24,DB4&lt;&gt;"",CU4=""),AND(EB4&gt;=EH$24,EB4&lt;&gt;""),AND(EG4&gt;=EH$24,EG4&lt;&gt;""),AND(FD4&gt;=FJ$24,FD4&lt;&gt;""),AND(FI4&gt;=FJ$24,FI4&lt;&gt;""),AND(GF4&gt;=GL$24,GF4&lt;&gt;""),AND(GK4&gt;=GL$24,GK4&lt;&gt;""),AND(HH4&gt;=HN$24,HH4&lt;&gt;""),AND(HM4&gt;=HN$24,HM4&lt;&gt;""),AND(IJ4&gt;=IP$24,IJ4&lt;&gt;""),AND(IO4&gt;=IP$24,IO4&lt;&gt;""),AND(JL4&gt;=JR$24,JL4&lt;&gt;""),AND(JQ4&gt;=JR$24,JQ4&lt;&gt;""),AND(KN4&gt;=KT$24,KN4&lt;&gt;""),AND(KS4&gt;=KT$24,KS4&lt;&gt;""),AND(LP4&gt;=LV$24,LP4&lt;&gt;""),AND(LU4&gt;=LV$24,LU4&lt;&gt;""),AND(MR4&gt;=MX$24,MR4&lt;&gt;""),AND(MW4&gt;=MX$24,MW4&lt;&gt;""),AND(NT4&gt;=NZ$24,NT4&lt;&gt;""),AND(NY4&gt;=NZ$24,NY4&lt;&gt;""),AND(OV4&gt;=PB$24,OV4&lt;&gt;""),AND(PA4&gt;=PB$24,PA4&lt;&gt;""),AND(PX4&gt;=QD$24,PX4&lt;&gt;""),AND(QC4&gt;=QD$24,QC4&lt;&gt;"")),"P","")</f>
        <v>P</v>
      </c>
      <c r="H4" s="36" t="str">
        <f t="shared" ref="H4:H17" si="4">IF(AND(G4="P",F4=""),"No DD",IF(OR(AND(AS4&gt;=AW$23,AT4&gt;=AW$27,AS4&lt;&gt;"",AO4=""),AND(BV4&gt;=BZ$23,BW4&gt;=BZ$27,BV4&lt;&gt;"",BR4=""),AND(CY4&gt;=DC$23,CZ4&gt;=DC$27,CY4&lt;&gt;"",CU4=""),AND(ED4&gt;=EH$23,EE4&gt;=EH$27,ED4&lt;&gt;""),AND(FF4&gt;=FJ$23,FG4&gt;=FJ$27,FF4&lt;&gt;""),AND(GH4&gt;=GL$23,GI4&gt;=GL$27,GH4&lt;&gt;""),AND(HJ4&gt;=HN$23,HK4&gt;=HN$27,HJ4&lt;&gt;""),AND(IL4&gt;=IP$23,IM4&gt;=IP$27,IL4&lt;&gt;""),AND(JN4&gt;=JR$23,JO4&gt;=JR$27,JN4&lt;&gt;""),AND(KP4&gt;=KT$23,KQ4&gt;=KT$27,KP4&lt;&gt;""),AND(LR4&gt;=LV$23,LS4&gt;=LV$27,LR4&lt;&gt;""),AND(MT4&gt;=MX$23,MU4&gt;=MX$27,MT4&lt;&gt;""),AND(NV4&gt;=NZ$23,NW4&gt;=NZ$27,NV4&lt;&gt;""),AND(OX4&gt;=PB$23,OY4&gt;=PB$27,OX4&lt;&gt;""),AND(PZ4&gt;=QD$23,QA4&gt;=QD$27,PZ4&lt;&gt;"")),"Merit",IF(OR(AND(AS4&gt;=AW$22,AT4&gt;=AW$26,AS4&lt;&gt;"",AO4=""),AND(BV4&gt;=BZ$22,BW4&gt;=BZ$26,BV4&lt;&gt;"",BR4=""),AND(CY4&gt;=DC$22,CZ4&gt;=DC$26,CY4&lt;&gt;"",CU4=""),AND(ED4&gt;=EH$22,EE4&gt;=EH$26,ED4&lt;&gt;""),AND(FF4&gt;=FJ$22,FG4&gt;=FJ$26,FF4&lt;&gt;""),AND(GH4&gt;=GL$22,GI4&gt;=GL$26,GH4&lt;&gt;""),AND(HJ4&gt;=HN$22,HK4&gt;=HN$26,HJ4&lt;&gt;""),AND(IL4&gt;=IP$22,IM4&gt;=IP$26,IL4&lt;&gt;""),AND(JN4&gt;=JR$22,JO4&gt;=JR$26,JN4&lt;&gt;""),AND(KP4&gt;=KT$22,KQ4&gt;=KT$26,KP4&lt;&gt;""),AND(LR4&gt;=LV$22,LS4&gt;=LV$26,LR4&lt;&gt;""),AND(MT4&gt;=MX$22,MU4&gt;=MX$26,MT4&lt;&gt;""),AND(NV4&gt;=NZ$22,NW4&gt;=NZ$26,NV4&lt;&gt;""),AND(OX4&gt;=PB$22,OY4&gt;=PB$26,OX4&lt;&gt;""),AND(PZ4&gt;=QD$22,QA4&gt;=QD$26,PZ4&lt;&gt;"")),"Excellence",IF(I4="P","Worlds Team",IF(F4="P","National Team","")))))</f>
        <v>National Team</v>
      </c>
      <c r="I4" s="3" t="str">
        <f t="shared" ref="I4:I17" si="5">IF(OR(AND(AS4&gt;=AW$21,AT4&gt;=AW$25,AS4&lt;&gt;"",AO4=""),AND(BV4&gt;=BZ$21,BW4&gt;=BZ$25,BV4&lt;&gt;"",BR4=""),AND(CY4&gt;=DC$21,CZ4&gt;=DC$25,CY4&lt;&gt;"",CU4=""),AND(ED4&gt;=EH$21,EE4&gt;=EH$25,ED4&lt;&gt;""),AND(FF4&gt;=FJ$21,FG4&gt;=FJ$25,FF4&lt;&gt;""),AND(GH4&gt;=GL$21,GI4&gt;=GL$25,GH4&lt;&gt;""),AND(HJ4&gt;=HN$21,HK4&gt;=HN$25,HJ4&lt;&gt;""),AND(IL4&gt;=IP$21,IM4&gt;=IP$25,IL4&lt;&gt;""),AND(JN4&gt;=JR$21,JO4&gt;=JR$25,JN4&lt;&gt;""),AND(KP4&gt;=KT$21,KQ4&gt;=KT$25,KP4&lt;&gt;""),AND(LR4&gt;=LV$21,LS4&gt;=LV$25,LR4&lt;&gt;""),AND(MT4&gt;=MX$21,MU4&gt;=MX$25,MT4&lt;&gt;""),AND(NV4&gt;=NZ$21,NW4&gt;=NZ$25,NV4&lt;&gt;""),AND(OX4&gt;=PB$21,OY4&gt;=PB$25,OX4&lt;&gt;""),AND(PZ4&gt;=QD$21,QA4&gt;=QD$25,PZ4&lt;&gt;"")),"P","")</f>
        <v/>
      </c>
      <c r="J4" s="8">
        <f>IF(COUNT(AQ4,BT4,CW4)&gt;0,LARGE((AQ4,BT4,CW4),1),0)</f>
        <v>51.599999999999994</v>
      </c>
      <c r="K4" s="8" t="str">
        <f t="shared" ref="K4:K17" si="6">IF(J4=0,"",IF(J4=CW4,$CA$1,IF(J4=BT4,$AX$1,IF(J4=AQ4,$U$1,""))))</f>
        <v>2023 Elite Canada</v>
      </c>
      <c r="L4" s="8">
        <f>IF(COUNT(AQ4,BT4,CW4)&gt;1,LARGE((AQ4,BT4,CW4),2),0)</f>
        <v>49.300000000000004</v>
      </c>
      <c r="M4" s="8" t="str">
        <f t="shared" ref="M4:M17" si="7">IF(L4=0,"",IF(L4=CW4,$CA$1,IF(L4=BT4,$AX$1,IF(L4=AQ4,$U$1,""))))</f>
        <v>2022 3rd Domestic Trial</v>
      </c>
      <c r="N4" s="8">
        <f>IF(COUNT(AR4,BU4,CX4)&gt;0,LARGE((AR4,BU4,CX4),1),0)</f>
        <v>27</v>
      </c>
      <c r="O4" s="8" t="str">
        <f t="shared" ref="O4:O17" si="8">IF(N4=0,"",IF(N4=CX4,$CA$1,IF(N4=BU4,$AX$1,IF(N4=AR4,$U$1,""))))</f>
        <v>2023 Elite Canada</v>
      </c>
      <c r="P4" s="8">
        <f t="shared" ref="P4:P17" si="9">IF(MAX(AV4,BY4,DB4)&gt;0,MAX(AV4,BY4,DB4),0)</f>
        <v>53.400000000000006</v>
      </c>
      <c r="Q4" s="8" t="str">
        <f t="shared" ref="Q4:Q17" si="10">IF(P4=0,"",IF(P4=DB4,$CA$1,IF(P4=BY4,$AX$1,IF(P4=AV4,$U$1,""))))</f>
        <v>2023 Elite Canada</v>
      </c>
      <c r="R4" s="8">
        <f t="shared" ref="R4:R17" si="11">IF(MAX(DD4:DF4)&gt;0,MAX(DD4:DF4),"")</f>
        <v>2.0999999999999943</v>
      </c>
      <c r="S4" s="11" t="str">
        <f t="shared" ref="S4:S17" si="12">IF(R4="","",IF(R4=DD4,"("&amp;DD$2&amp;")",IF(R4=DE4,"("&amp;DE$2&amp;")",IF(R4=DF4,"("&amp;DF$2&amp;")"))))</f>
        <v>(Q1)</v>
      </c>
      <c r="T4" s="8" t="str">
        <f t="shared" ref="T4:T17" si="13">IF(R4="","",IF(R4=DD4,IF(R4+IF(L4="",0,L4)=PX4,$PC$1,IF(R4+IF(L4="",0,L4)=OV4,$OA$1,IF(R4+IF(L4="",0,L4)=NT4,$MY$1,IF(R4+IF(L4="",0,L4)=MR4,$LW$1,IF(R4+IF(L4="",0,L4)=LP4,$KU$1,IF(R4+IF(L4="",0,L4)=KN4,$JS$1,IF(R4+IF(L4="",0,L4)=JL4,$IQ$1,IF(R4+IF(L4="",0,L4)=IJ4,$HO$1,IF(R4+IF(L4="",0,L4)=HH4,$GM$1,IF(R4+IF(L4="",0,L4)=GF4,$FK$1,IF(R4+IF(L4="",0,L4)=FD4,$EI$1,IF(R4+IF(L4="",0,L4)=EB4,$DG$1)))))))))))),IF(R4=DE4,IF(R4+IF(N4="",0,N4)=PY4,$PC$1,IF(R4+IF(N4="",0,N4)=OW4,$OA$1,IF(R4+IF(N4="",0,N4)=NU4,$MY$1,IF(R4+IF(N4="",0,N4)=MS4,$LW$1,IF(R4+IF(N4="",0,N4)=LQ4,$KU$1,IF(R4+IF(N4="",0,N4)=KO4,$JS$1,IF(R4+IF(N4="",0,N4)=JM4,$IQ$1,IF(R4+IF(N4="",0,N4)=IK4,$HO$1,IF(R4+IF(N4="",0,N4)=HI4,$GM$1,IF(R4+IF(N4="",0,N4)=GG4,$FK$1,IF(R4+IF(N4="",0,N4)=FE4,$EI$1,IF(R4+IF(N4="",0,N4)=EC4,$DG$1)))))))))))),IF(R4=DF4,IF(R4+IF(P4="",0,P4)=QC4,$PC$1,IF(R4+IF(P4="",0,P4)=PA4,$OA$1,IF(R4+IF(P4="",0,P4)=NY4,$MY$1,IF(R4+IF(P4="",0,P4)=MW4,$LW$1,IF(R4+IF(P4="",0,P4)=LU4,$KU$1,IF(R4+IF(P4="",0,P4)=KS4,$JS$1,IF(R4+IF(P4="",0,P4)=JQ4,$IQ$1,IF(R4+IF(P4="",0,P4)=IO4,$HO$1,IF(R4+IF(P4="",0,P4)=HM4,$GM$1,IF(R4+IF(P4="",0,P4)=GK4,$FK$1,IF(R4+IF(P4="",0,P4)=FI4,$EI$1,IF(R4+IF(P4="",0,P4)=EG4,$DG$1))))))))))))))))</f>
        <v>2022 Worlds (Nov 18)</v>
      </c>
      <c r="U4" s="19">
        <v>8.75</v>
      </c>
      <c r="V4" s="19">
        <v>3.25</v>
      </c>
      <c r="W4" s="19">
        <v>0</v>
      </c>
      <c r="X4" s="19">
        <v>0</v>
      </c>
      <c r="Y4" s="19">
        <v>9.18</v>
      </c>
      <c r="Z4" s="19">
        <v>2.95</v>
      </c>
      <c r="AA4" s="19">
        <v>0</v>
      </c>
      <c r="AB4" s="19">
        <v>0</v>
      </c>
      <c r="AC4" s="19"/>
      <c r="AD4" s="19"/>
      <c r="AE4" s="19"/>
      <c r="AF4" s="19"/>
      <c r="AG4" s="19">
        <v>9.0500000000000007</v>
      </c>
      <c r="AH4" s="19">
        <v>3.25</v>
      </c>
      <c r="AI4" s="19">
        <v>0</v>
      </c>
      <c r="AJ4" s="19">
        <v>0</v>
      </c>
      <c r="AK4" s="19">
        <v>9.1</v>
      </c>
      <c r="AL4" s="19">
        <v>2.95</v>
      </c>
      <c r="AM4" s="19">
        <v>0</v>
      </c>
      <c r="AN4" s="19">
        <v>0</v>
      </c>
      <c r="AO4" s="27" t="s">
        <v>46</v>
      </c>
      <c r="AP4" s="40">
        <f t="shared" ref="AP4:AP17" si="14">IF(SUM(V4,Z4)&gt;0,SUM(V4,Z4),"")</f>
        <v>6.2</v>
      </c>
      <c r="AQ4" s="40">
        <f t="shared" ref="AQ4:AQ17" si="15">IF(SUM(U4:V4,X4:Z4,AB4)-W4-AA4&gt;0,SUM(U4:V4,X4:Z4,AB4)-W4-AA4,"")</f>
        <v>24.13</v>
      </c>
      <c r="AR4" s="40" t="str">
        <f t="shared" ref="AR4:AR17" si="16">IF(SUM(AC4:AD4,AF4)-AE4&gt;0,SUM(AC4:AD4,AF4)-AE4,"")</f>
        <v/>
      </c>
      <c r="AS4" s="40">
        <f t="shared" ref="AS4:AS17" si="17">IF(SUM(V4,Z4,AD4)&gt;0,SUM(V4,Z4,AD4),"")</f>
        <v>6.2</v>
      </c>
      <c r="AT4" s="40">
        <f t="shared" ref="AT4:AT17" si="18">IF(SUM(AQ4,AR4)&gt;0,SUM(AQ4,AR4),"")</f>
        <v>24.13</v>
      </c>
      <c r="AU4" s="40">
        <f t="shared" ref="AU4:AU17" si="19">IF(SUM(AH4,AL4)&gt;0,SUM(AH4,AL4),"")</f>
        <v>6.2</v>
      </c>
      <c r="AV4" s="40">
        <f t="shared" ref="AV4:AV17" si="20">IF(SUM(AG4:AH4,AJ4:AL4,AN4)-SUM(AI4,AM4)&gt;0,SUM(AG4:AH4,AJ4:AL4,AN4)-SUM(AI4,AM4),"")</f>
        <v>24.349999999999998</v>
      </c>
      <c r="AW4" s="40">
        <f t="shared" ref="AW4:AW17" si="21">IF(SUM(AQ4,AV4)&gt;0,SUM(AQ4,AV4),"")</f>
        <v>48.48</v>
      </c>
      <c r="AX4" s="18">
        <v>17.8</v>
      </c>
      <c r="AY4" s="18">
        <v>6.9</v>
      </c>
      <c r="AZ4" s="18">
        <v>0</v>
      </c>
      <c r="BA4" s="18">
        <v>0</v>
      </c>
      <c r="BB4" s="18">
        <v>17.7</v>
      </c>
      <c r="BC4" s="18">
        <v>6.9</v>
      </c>
      <c r="BD4" s="18">
        <v>0</v>
      </c>
      <c r="BE4" s="18">
        <v>0</v>
      </c>
      <c r="BF4" s="18"/>
      <c r="BG4" s="18"/>
      <c r="BH4" s="18"/>
      <c r="BI4" s="18"/>
      <c r="BJ4" s="18">
        <v>17.96</v>
      </c>
      <c r="BK4" s="18">
        <v>6.9</v>
      </c>
      <c r="BL4" s="18">
        <v>0</v>
      </c>
      <c r="BM4" s="18">
        <v>0</v>
      </c>
      <c r="BN4" s="18">
        <v>17.7</v>
      </c>
      <c r="BO4" s="18">
        <v>6.9</v>
      </c>
      <c r="BP4" s="18">
        <v>0</v>
      </c>
      <c r="BQ4" s="18">
        <v>0</v>
      </c>
      <c r="BR4" s="28"/>
      <c r="BS4" s="11">
        <f t="shared" ref="BS4:BS17" si="22">IF(SUM(AY4,BC4)&gt;0,SUM(AY4,BC4),"")</f>
        <v>13.8</v>
      </c>
      <c r="BT4" s="11">
        <f t="shared" ref="BT4:BT17" si="23">IF(SUM(AX4:AY4,BA4:BC4,BE4)-AZ4-BD4&gt;0,SUM(AX4:AY4,BA4:BC4,BE4)-AZ4-BD4,"")</f>
        <v>49.300000000000004</v>
      </c>
      <c r="BU4" s="11" t="str">
        <f t="shared" ref="BU4:BU17" si="24">IF(SUM(BF4:BG4,BI4)-BH4&gt;0,SUM(BF4:BG4,BI4)-BH4,"")</f>
        <v/>
      </c>
      <c r="BV4" s="11">
        <f t="shared" ref="BV4:BV17" si="25">IF(SUM(AY4,BC4,BG4)&gt;0,SUM(AY4,BC4,BG4),"")</f>
        <v>13.8</v>
      </c>
      <c r="BW4" s="11">
        <f t="shared" ref="BW4:BW17" si="26">IF(SUM(BT4,BU4)&gt;0,SUM(BT4,BU4),"")</f>
        <v>49.300000000000004</v>
      </c>
      <c r="BX4" s="11">
        <f t="shared" ref="BX4:BX17" si="27">IF(SUM(BK4,BO4)&gt;0,SUM(BK4,BO4),"")</f>
        <v>13.8</v>
      </c>
      <c r="BY4" s="11">
        <f t="shared" ref="BY4:BY17" si="28">IF(SUM(BJ4:BK4,BM4:BO4,BQ4)-SUM(BL4,BP4)&gt;0,SUM(BJ4:BK4,BM4:BO4,BQ4)-SUM(BL4,BP4),"")</f>
        <v>49.46</v>
      </c>
      <c r="BZ4" s="11">
        <f t="shared" ref="BZ4:BZ17" si="29">IF(SUM(BT4,BY4)&gt;0,SUM(BT4,BY4),"")</f>
        <v>98.76</v>
      </c>
      <c r="CA4" s="19">
        <v>18.8</v>
      </c>
      <c r="CB4" s="19">
        <v>8.1</v>
      </c>
      <c r="CC4" s="19">
        <v>0</v>
      </c>
      <c r="CD4" s="19">
        <v>0</v>
      </c>
      <c r="CE4" s="19">
        <v>18.2</v>
      </c>
      <c r="CF4" s="19">
        <v>6.5</v>
      </c>
      <c r="CG4" s="19">
        <v>0</v>
      </c>
      <c r="CH4" s="19">
        <v>0</v>
      </c>
      <c r="CI4" s="19">
        <v>18.899999999999999</v>
      </c>
      <c r="CJ4" s="19">
        <v>8.1</v>
      </c>
      <c r="CK4" s="19">
        <v>0</v>
      </c>
      <c r="CL4" s="19">
        <v>0</v>
      </c>
      <c r="CM4" s="19">
        <v>19.100000000000001</v>
      </c>
      <c r="CN4" s="19">
        <v>8.1</v>
      </c>
      <c r="CO4" s="19">
        <v>0</v>
      </c>
      <c r="CP4" s="19">
        <v>0</v>
      </c>
      <c r="CQ4" s="19">
        <v>18.5</v>
      </c>
      <c r="CR4" s="19">
        <v>7.7</v>
      </c>
      <c r="CS4" s="19">
        <v>0</v>
      </c>
      <c r="CT4" s="19">
        <v>0</v>
      </c>
      <c r="CU4" s="27"/>
      <c r="CV4" s="40">
        <f t="shared" ref="CV4:CV17" si="30">IF(SUM(CB4,CF4)&gt;0,SUM(CB4,CF4),"")</f>
        <v>14.6</v>
      </c>
      <c r="CW4" s="40">
        <f t="shared" ref="CW4:CW17" si="31">IF(SUM(CA4:CB4,CD4:CF4,CH4)-CC4-CG4&gt;0,SUM(CA4:CB4,CD4:CF4,CH4)-CC4-CG4,"")</f>
        <v>51.599999999999994</v>
      </c>
      <c r="CX4" s="40">
        <f t="shared" ref="CX4:CX17" si="32">IF(SUM(CI4:CJ4,CL4)-CK4&gt;0,SUM(CI4:CJ4,CL4)-CK4,"")</f>
        <v>27</v>
      </c>
      <c r="CY4" s="40">
        <f t="shared" ref="CY4:CY17" si="33">IF(SUM(CB4,CF4,CJ4)&gt;0,SUM(CB4,CF4,CJ4),"")</f>
        <v>22.7</v>
      </c>
      <c r="CZ4" s="40">
        <f t="shared" ref="CZ4:CZ17" si="34">IF(SUM(CW4,CX4)&gt;0,SUM(CW4,CX4),"")</f>
        <v>78.599999999999994</v>
      </c>
      <c r="DA4" s="40">
        <f t="shared" ref="DA4:DA17" si="35">IF(SUM(CN4,CR4)&gt;0,SUM(CN4,CR4),"")</f>
        <v>15.8</v>
      </c>
      <c r="DB4" s="40">
        <f t="shared" ref="DB4:DB17" si="36">IF(SUM(CM4:CN4,CP4:CR4,CT4)-SUM(CO4,CS4)&gt;0,SUM(CM4:CN4,CP4:CR4,CT4)-SUM(CO4,CS4),"")</f>
        <v>53.400000000000006</v>
      </c>
      <c r="DC4" s="40">
        <f t="shared" ref="DC4:DC17" si="37">IF(SUM(CW4,DB4)&gt;0,SUM(CW4,DB4),"")</f>
        <v>105</v>
      </c>
      <c r="DD4" s="50">
        <f t="shared" ref="DD4:DD17" si="38">IF(MAX(EB4,FD4,GF4,HH4,IJ4,JL4,KN4,LP4,MR4,NT4,OV4,PX4)-IF(L4="",0,L4)&gt;0.001,MAX(EB4,FD4,GF4,HH4,IJ4,JL4,KN4,LP4,MR4,NT4,OV4,PX4)-IF(L4="",0,L4),"")</f>
        <v>2.0999999999999943</v>
      </c>
      <c r="DE4" s="50" t="str">
        <f t="shared" ref="DE4:DE17" si="39">IF(MAX(EC4,FE4,GG4,HI4,IK4,JM4,KO4,LQ4,MS4,NU4,OW4,PY4)-IF(N4="",0,N4)&gt;0.001,MAX(EC4,FE4,GG4,HI4,IK4,JM4,KO4,LQ4,MS4,NU4,OW4,PY4)-IF(N4="",0,N4),"")</f>
        <v/>
      </c>
      <c r="DF4" s="50" t="str">
        <f t="shared" ref="DF4:DF17" si="40">IF(MAX(EG4,FI4,GK4,HM4,IO4,JQ4,KS4,LU4,MW4,NY4,PA4,QC4)-IF(P4="",0,P4)&gt;0.001,MAX(EG4,FI4,GK4,HM4,IO4,JQ4,KS4,LU4,MW4,NY4,PA4,QC4)-IF(P4="",0,P4),"")</f>
        <v/>
      </c>
      <c r="DG4" s="17">
        <v>17.8</v>
      </c>
      <c r="DH4" s="17">
        <v>6.9</v>
      </c>
      <c r="DI4" s="17">
        <v>0</v>
      </c>
      <c r="DJ4" s="17">
        <v>0</v>
      </c>
      <c r="DK4" s="17">
        <v>17.3</v>
      </c>
      <c r="DL4" s="17">
        <v>5.7</v>
      </c>
      <c r="DM4" s="17">
        <v>0</v>
      </c>
      <c r="DN4" s="17">
        <v>0</v>
      </c>
      <c r="DO4" s="17"/>
      <c r="DP4" s="17"/>
      <c r="DQ4" s="17"/>
      <c r="DR4" s="17"/>
      <c r="DS4" s="17">
        <v>17.5</v>
      </c>
      <c r="DT4" s="17">
        <v>6.5</v>
      </c>
      <c r="DU4" s="17">
        <v>0</v>
      </c>
      <c r="DV4" s="17">
        <v>0</v>
      </c>
      <c r="DW4" s="17">
        <v>16.2</v>
      </c>
      <c r="DX4" s="17">
        <v>3.7</v>
      </c>
      <c r="DY4" s="17">
        <v>0</v>
      </c>
      <c r="DZ4" s="17">
        <v>0</v>
      </c>
      <c r="EA4" s="40">
        <f t="shared" ref="EA4:EA17" si="41">IF(SUM(DH4,DL4)&gt;0,SUM(DH4,DL4),"")</f>
        <v>12.600000000000001</v>
      </c>
      <c r="EB4" s="40">
        <f t="shared" ref="EB4:EB17" si="42">IF(SUM(DG4:DH4,DJ4:DL4,DN4)-DI4-DM4&gt;0,SUM(DG4:DH4,DJ4:DL4,DN4)-DI4-DM4,"")</f>
        <v>47.7</v>
      </c>
      <c r="EC4" s="40" t="str">
        <f t="shared" ref="EC4:EC17" si="43">IF(SUM(DO4:DP4,DR4)-DQ4&gt;0,SUM(DO4:DP4,DR4)-DQ4,"")</f>
        <v/>
      </c>
      <c r="ED4" s="40">
        <f t="shared" ref="ED4:ED17" si="44">IF(SUM(DH4,DL4,DP4)&gt;0,SUM(DH4,DL4,DP4),"")</f>
        <v>12.600000000000001</v>
      </c>
      <c r="EE4" s="40">
        <f t="shared" ref="EE4:EE17" si="45">IF(SUM(EB4,EC4)&gt;0,SUM(EB4,EC4),"")</f>
        <v>47.7</v>
      </c>
      <c r="EF4" s="40">
        <f t="shared" ref="EF4:EF17" si="46">IF(SUM(DT4,DX4)&gt;0,SUM(DT4,DX4),"")</f>
        <v>10.199999999999999</v>
      </c>
      <c r="EG4" s="40">
        <f t="shared" ref="EG4:EG17" si="47">IF(SUM(DS4:DT4,DV4:DX4,DZ4)-SUM(DU4,DY4)&gt;0,SUM(DS4:DT4,DV4:DX4,DZ4)-SUM(DU4,DY4),"")</f>
        <v>43.900000000000006</v>
      </c>
      <c r="EH4" s="40">
        <f t="shared" ref="EH4:EH17" si="48">IF(SUM(EB4,EG4)&gt;0,SUM(EB4,EG4),"")</f>
        <v>91.600000000000009</v>
      </c>
      <c r="EI4" s="18">
        <v>17.7</v>
      </c>
      <c r="EJ4" s="18">
        <v>7.7</v>
      </c>
      <c r="EK4" s="18">
        <v>0</v>
      </c>
      <c r="EL4" s="18">
        <v>0</v>
      </c>
      <c r="EM4" s="18">
        <v>17.600000000000001</v>
      </c>
      <c r="EN4" s="18">
        <v>6.9</v>
      </c>
      <c r="EO4" s="18">
        <v>0</v>
      </c>
      <c r="EP4" s="18">
        <v>0</v>
      </c>
      <c r="EQ4" s="18"/>
      <c r="ER4" s="18"/>
      <c r="ES4" s="18"/>
      <c r="ET4" s="18"/>
      <c r="EU4" s="18">
        <v>18</v>
      </c>
      <c r="EV4" s="18">
        <v>7.7</v>
      </c>
      <c r="EW4" s="18">
        <v>0</v>
      </c>
      <c r="EX4" s="18">
        <v>0</v>
      </c>
      <c r="EY4" s="18"/>
      <c r="EZ4" s="18"/>
      <c r="FA4" s="18"/>
      <c r="FB4" s="18"/>
      <c r="FC4" s="11">
        <f t="shared" ref="FC4:FC17" si="49">IF(SUM(EJ4,EN4)&gt;0,SUM(EJ4,EN4),"")</f>
        <v>14.600000000000001</v>
      </c>
      <c r="FD4" s="11">
        <f t="shared" ref="FD4:FD17" si="50">IF(SUM(EI4:EJ4,EL4:EN4,EP4)-EK4-EO4&gt;0,SUM(EI4:EJ4,EL4:EN4,EP4)-EK4-EO4,"")</f>
        <v>49.9</v>
      </c>
      <c r="FE4" s="11" t="str">
        <f t="shared" ref="FE4:FE17" si="51">IF(SUM(EQ4:ER4,ET4)-ES4&gt;0,SUM(EQ4:ER4,ET4)-ES4,"")</f>
        <v/>
      </c>
      <c r="FF4" s="11">
        <f t="shared" ref="FF4:FF17" si="52">IF(SUM(EJ4,EN4,ER4)&gt;0,SUM(EJ4,EN4,ER4),"")</f>
        <v>14.600000000000001</v>
      </c>
      <c r="FG4" s="11">
        <f t="shared" ref="FG4:FG17" si="53">IF(SUM(FD4,FE4)&gt;0,SUM(FD4,FE4),"")</f>
        <v>49.9</v>
      </c>
      <c r="FH4" s="11">
        <f t="shared" ref="FH4:FH17" si="54">IF(SUM(EV4,EZ4)&gt;0,SUM(EV4,EZ4),"")</f>
        <v>7.7</v>
      </c>
      <c r="FI4" s="11">
        <f t="shared" ref="FI4:FI17" si="55">IF(SUM(EU4:EV4,EX4:EZ4,FB4)-SUM(EW4,FA4)&gt;0,SUM(EU4:EV4,EX4:EZ4,FB4)-SUM(EW4,FA4),"")</f>
        <v>25.7</v>
      </c>
      <c r="FJ4" s="11">
        <f t="shared" ref="FJ4:FJ17" si="56">IF(SUM(FD4,FI4)&gt;0,SUM(FD4,FI4),"")</f>
        <v>75.599999999999994</v>
      </c>
      <c r="FK4" s="17"/>
      <c r="FL4" s="17"/>
      <c r="FM4" s="17"/>
      <c r="FN4" s="17"/>
      <c r="FO4" s="17"/>
      <c r="FP4" s="17"/>
      <c r="FQ4" s="17"/>
      <c r="FR4" s="17"/>
      <c r="FS4" s="17"/>
      <c r="FT4" s="17"/>
      <c r="FU4" s="17"/>
      <c r="FV4" s="17"/>
      <c r="FW4" s="17"/>
      <c r="FX4" s="17"/>
      <c r="FY4" s="17"/>
      <c r="FZ4" s="17"/>
      <c r="GA4" s="17"/>
      <c r="GB4" s="17"/>
      <c r="GC4" s="17"/>
      <c r="GD4" s="17"/>
      <c r="GE4" s="40" t="str">
        <f t="shared" ref="GE4:GE17" si="57">IF(SUM(FL4,FP4)&gt;0,SUM(FL4,FP4),"")</f>
        <v/>
      </c>
      <c r="GF4" s="40" t="str">
        <f t="shared" ref="GF4:GF17" si="58">IF(SUM(FK4:FL4,FN4:FP4,FR4)-FM4-FQ4&gt;0,SUM(FK4:FL4,FN4:FP4,FR4)-FM4-FQ4,"")</f>
        <v/>
      </c>
      <c r="GG4" s="40" t="str">
        <f t="shared" ref="GG4:GG17" si="59">IF(SUM(FS4:FT4,FV4)-FU4&gt;0,SUM(FS4:FT4,FV4)-FU4,"")</f>
        <v/>
      </c>
      <c r="GH4" s="40" t="str">
        <f t="shared" ref="GH4:GH17" si="60">IF(SUM(FL4,FP4,FT4)&gt;0,SUM(FL4,FP4,FT4),"")</f>
        <v/>
      </c>
      <c r="GI4" s="40" t="str">
        <f t="shared" ref="GI4:GI17" si="61">IF(SUM(GF4,GG4)&gt;0,SUM(GF4,GG4),"")</f>
        <v/>
      </c>
      <c r="GJ4" s="40" t="str">
        <f t="shared" ref="GJ4:GJ17" si="62">IF(SUM(FX4,GB4)&gt;0,SUM(FX4,GB4),"")</f>
        <v/>
      </c>
      <c r="GK4" s="40" t="str">
        <f t="shared" ref="GK4:GK17" si="63">IF(SUM(FW4:FX4,FZ4:GB4,GD4)-SUM(FY4,GC4)&gt;0,SUM(FW4:FX4,FZ4:GB4,GD4)-SUM(FY4,GC4),"")</f>
        <v/>
      </c>
      <c r="GL4" s="40" t="str">
        <f t="shared" ref="GL4:GL17" si="64">IF(SUM(GF4,GK4)&gt;0,SUM(GF4,GK4),"")</f>
        <v/>
      </c>
      <c r="GM4" s="18"/>
      <c r="GN4" s="18"/>
      <c r="GO4" s="18"/>
      <c r="GP4" s="18"/>
      <c r="GQ4" s="18"/>
      <c r="GR4" s="18"/>
      <c r="GS4" s="18"/>
      <c r="GT4" s="18"/>
      <c r="GU4" s="18"/>
      <c r="GV4" s="18"/>
      <c r="GW4" s="18"/>
      <c r="GX4" s="18"/>
      <c r="GY4" s="18"/>
      <c r="GZ4" s="18"/>
      <c r="HA4" s="18"/>
      <c r="HB4" s="18"/>
      <c r="HC4" s="18"/>
      <c r="HD4" s="18"/>
      <c r="HE4" s="18"/>
      <c r="HF4" s="18"/>
      <c r="HG4" s="11" t="str">
        <f t="shared" ref="HG4:HG17" si="65">IF(SUM(GN4,GR4)&gt;0,SUM(GN4,GR4),"")</f>
        <v/>
      </c>
      <c r="HH4" s="11" t="str">
        <f t="shared" ref="HH4:HH17" si="66">IF(SUM(GM4:GN4,GP4:GR4,GT4)-GO4-GS4&gt;0,SUM(GM4:GN4,GP4:GR4,GT4)-GO4-GS4,"")</f>
        <v/>
      </c>
      <c r="HI4" s="11" t="str">
        <f t="shared" ref="HI4:HI17" si="67">IF(SUM(GU4:GV4,GX4)-GW4&gt;0,SUM(GU4:GV4,GX4)-GW4,"")</f>
        <v/>
      </c>
      <c r="HJ4" s="11" t="str">
        <f t="shared" ref="HJ4:HJ17" si="68">IF(SUM(GN4,GR4,GV4)&gt;0,SUM(GN4,GR4,GV4),"")</f>
        <v/>
      </c>
      <c r="HK4" s="11" t="str">
        <f t="shared" ref="HK4:HK17" si="69">IF(SUM(HH4,HI4)&gt;0,SUM(HH4,HI4),"")</f>
        <v/>
      </c>
      <c r="HL4" s="11" t="str">
        <f t="shared" ref="HL4:HL17" si="70">IF(SUM(GZ4,HD4)&gt;0,SUM(GZ4,HD4),"")</f>
        <v/>
      </c>
      <c r="HM4" s="11" t="str">
        <f t="shared" ref="HM4:HM17" si="71">IF(SUM(GY4:GZ4,HB4:HD4,HF4)-SUM(HA4,HE4)&gt;0,SUM(GY4:GZ4,HB4:HD4,HF4)-SUM(HA4,HE4),"")</f>
        <v/>
      </c>
      <c r="HN4" s="11" t="str">
        <f t="shared" ref="HN4:HN17" si="72">IF(SUM(HH4,HM4)&gt;0,SUM(HH4,HM4),"")</f>
        <v/>
      </c>
      <c r="HO4" s="17">
        <v>16.8</v>
      </c>
      <c r="HP4" s="17">
        <v>7.3</v>
      </c>
      <c r="HQ4" s="17">
        <v>0</v>
      </c>
      <c r="HR4" s="17">
        <v>0</v>
      </c>
      <c r="HS4" s="17">
        <v>16.399999999999999</v>
      </c>
      <c r="HT4" s="17">
        <v>3.7</v>
      </c>
      <c r="HU4" s="17">
        <v>0</v>
      </c>
      <c r="HV4" s="17">
        <v>0</v>
      </c>
      <c r="HW4" s="17"/>
      <c r="HX4" s="17"/>
      <c r="HY4" s="17"/>
      <c r="HZ4" s="17"/>
      <c r="IA4" s="17"/>
      <c r="IB4" s="17"/>
      <c r="IC4" s="17"/>
      <c r="ID4" s="17"/>
      <c r="IE4" s="17"/>
      <c r="IF4" s="17"/>
      <c r="IG4" s="17"/>
      <c r="IH4" s="17"/>
      <c r="II4" s="40">
        <f t="shared" ref="II4:II17" si="73">IF(SUM(HP4,HT4)&gt;0,SUM(HP4,HT4),"")</f>
        <v>11</v>
      </c>
      <c r="IJ4" s="40">
        <f t="shared" ref="IJ4:IJ17" si="74">IF(SUM(HO4:HP4,HR4:HT4,HV4)-HQ4-HU4&gt;0,SUM(HO4:HP4,HR4:HT4,HV4)-HQ4-HU4,"")</f>
        <v>44.2</v>
      </c>
      <c r="IK4" s="40" t="str">
        <f t="shared" ref="IK4:IK17" si="75">IF(SUM(HW4:HX4,HZ4)-HY4&gt;0,SUM(HW4:HX4,HZ4)-HY4,"")</f>
        <v/>
      </c>
      <c r="IL4" s="40">
        <f t="shared" ref="IL4:IL17" si="76">IF(SUM(HP4,HT4,HX4)&gt;0,SUM(HP4,HT4,HX4),"")</f>
        <v>11</v>
      </c>
      <c r="IM4" s="40">
        <f t="shared" ref="IM4:IM17" si="77">IF(SUM(IJ4,IK4)&gt;0,SUM(IJ4,IK4),"")</f>
        <v>44.2</v>
      </c>
      <c r="IN4" s="40" t="str">
        <f t="shared" ref="IN4:IN17" si="78">IF(SUM(IB4,IF4)&gt;0,SUM(IB4,IF4),"")</f>
        <v/>
      </c>
      <c r="IO4" s="40" t="str">
        <f t="shared" ref="IO4:IO17" si="79">IF(SUM(IA4:IB4,ID4:IF4,IH4)-SUM(IC4,IG4)&gt;0,SUM(IA4:IB4,ID4:IF4,IH4)-SUM(IC4,IG4),"")</f>
        <v/>
      </c>
      <c r="IP4" s="40">
        <f t="shared" ref="IP4:IP17" si="80">IF(SUM(IJ4,IO4)&gt;0,SUM(IJ4,IO4),"")</f>
        <v>44.2</v>
      </c>
      <c r="IQ4" s="18">
        <v>17.8</v>
      </c>
      <c r="IR4" s="18">
        <v>8.1</v>
      </c>
      <c r="IS4" s="18">
        <v>0.2</v>
      </c>
      <c r="IT4" s="18">
        <v>0</v>
      </c>
      <c r="IU4" s="18">
        <v>18</v>
      </c>
      <c r="IV4" s="18">
        <v>7.7</v>
      </c>
      <c r="IW4" s="18">
        <v>0</v>
      </c>
      <c r="IX4" s="18">
        <v>0</v>
      </c>
      <c r="IY4" s="18">
        <v>17.7</v>
      </c>
      <c r="IZ4" s="18">
        <v>8.9</v>
      </c>
      <c r="JA4" s="18">
        <v>0</v>
      </c>
      <c r="JB4" s="18">
        <v>0</v>
      </c>
      <c r="JC4" s="18"/>
      <c r="JD4" s="18"/>
      <c r="JE4" s="18"/>
      <c r="JF4" s="18"/>
      <c r="JG4" s="18"/>
      <c r="JH4" s="18"/>
      <c r="JI4" s="18"/>
      <c r="JJ4" s="18"/>
      <c r="JK4" s="11">
        <f t="shared" ref="JK4:JK17" si="81">IF(SUM(IR4,IV4)&gt;0,SUM(IR4,IV4),"")</f>
        <v>15.8</v>
      </c>
      <c r="JL4" s="11">
        <f t="shared" ref="JL4:JL17" si="82">IF(SUM(IQ4:IR4,IT4:IV4,IX4)-IS4-IW4&gt;0,SUM(IQ4:IR4,IT4:IV4,IX4)-IS4-IW4,"")</f>
        <v>51.4</v>
      </c>
      <c r="JM4" s="11">
        <f t="shared" ref="JM4:JM17" si="83">IF(SUM(IY4:IZ4,JB4)-JA4&gt;0,SUM(IY4:IZ4,JB4)-JA4,"")</f>
        <v>26.6</v>
      </c>
      <c r="JN4" s="11">
        <f t="shared" ref="JN4:JN17" si="84">IF(SUM(IR4,IV4,IZ4)&gt;0,SUM(IR4,IV4,IZ4),"")</f>
        <v>24.700000000000003</v>
      </c>
      <c r="JO4" s="11">
        <f t="shared" ref="JO4:JO17" si="85">IF(SUM(JL4,JM4)&gt;0,SUM(JL4,JM4),"")</f>
        <v>78</v>
      </c>
      <c r="JP4" s="11" t="str">
        <f t="shared" ref="JP4:JP17" si="86">IF(SUM(JD4,JH4)&gt;0,SUM(JD4,JH4),"")</f>
        <v/>
      </c>
      <c r="JQ4" s="11" t="str">
        <f t="shared" ref="JQ4:JQ17" si="87">IF(SUM(JC4:JD4,JF4:JH4,JJ4)-SUM(JE4,JI4)&gt;0,SUM(JC4:JD4,JF4:JH4,JJ4)-SUM(JE4,JI4),"")</f>
        <v/>
      </c>
      <c r="JR4" s="11">
        <f t="shared" ref="JR4:JR17" si="88">IF(SUM(JL4,JQ4)&gt;0,SUM(JL4,JQ4),"")</f>
        <v>51.4</v>
      </c>
      <c r="JS4" s="17"/>
      <c r="JT4" s="17"/>
      <c r="JU4" s="17"/>
      <c r="JV4" s="17"/>
      <c r="JW4" s="17"/>
      <c r="JX4" s="17"/>
      <c r="JY4" s="17"/>
      <c r="JZ4" s="17"/>
      <c r="KA4" s="17"/>
      <c r="KB4" s="17"/>
      <c r="KC4" s="17"/>
      <c r="KD4" s="17"/>
      <c r="KE4" s="17"/>
      <c r="KF4" s="17"/>
      <c r="KG4" s="17"/>
      <c r="KH4" s="17"/>
      <c r="KI4" s="17">
        <v>17.899999999999999</v>
      </c>
      <c r="KJ4" s="17">
        <v>7.7</v>
      </c>
      <c r="KK4" s="17">
        <v>0</v>
      </c>
      <c r="KL4" s="17">
        <v>0</v>
      </c>
      <c r="KM4" s="40" t="str">
        <f t="shared" ref="KM4:KM17" si="89">IF(SUM(JT4,JX4)&gt;0,SUM(JT4,JX4),"")</f>
        <v/>
      </c>
      <c r="KN4" s="40" t="str">
        <f t="shared" ref="KN4:KN17" si="90">IF(SUM(JS4:JT4,JV4:JX4,JZ4)-JU4-JY4&gt;0,SUM(JS4:JT4,JV4:JX4,JZ4)-JU4-JY4,"")</f>
        <v/>
      </c>
      <c r="KO4" s="40" t="str">
        <f t="shared" ref="KO4:KO17" si="91">IF(SUM(KA4:KB4,KD4)-KC4&gt;0,SUM(KA4:KB4,KD4)-KC4,"")</f>
        <v/>
      </c>
      <c r="KP4" s="40" t="str">
        <f t="shared" ref="KP4:KP17" si="92">IF(SUM(JT4,JX4,KB4)&gt;0,SUM(JT4,JX4,KB4),"")</f>
        <v/>
      </c>
      <c r="KQ4" s="40" t="str">
        <f t="shared" ref="KQ4:KQ17" si="93">IF(SUM(KN4,KO4)&gt;0,SUM(KN4,KO4),"")</f>
        <v/>
      </c>
      <c r="KR4" s="40">
        <f t="shared" ref="KR4:KR17" si="94">IF(SUM(KF4,KJ4)&gt;0,SUM(KF4,KJ4),"")</f>
        <v>7.7</v>
      </c>
      <c r="KS4" s="40">
        <f t="shared" ref="KS4:KS17" si="95">IF(SUM(KE4:KF4,KH4:KJ4,KL4)-SUM(KG4,KK4)&gt;0,SUM(KE4:KF4,KH4:KJ4,KL4)-SUM(KG4,KK4),"")</f>
        <v>25.599999999999998</v>
      </c>
      <c r="KT4" s="40">
        <f t="shared" ref="KT4:KT17" si="96">IF(SUM(KN4,KS4)&gt;0,SUM(KN4,KS4),"")</f>
        <v>25.599999999999998</v>
      </c>
      <c r="KU4" s="18"/>
      <c r="KV4" s="18"/>
      <c r="KW4" s="18"/>
      <c r="KX4" s="18"/>
      <c r="KY4" s="18"/>
      <c r="KZ4" s="18"/>
      <c r="LA4" s="18"/>
      <c r="LB4" s="18"/>
      <c r="LC4" s="18"/>
      <c r="LD4" s="18"/>
      <c r="LE4" s="18"/>
      <c r="LF4" s="18"/>
      <c r="LG4" s="18"/>
      <c r="LH4" s="18"/>
      <c r="LI4" s="18"/>
      <c r="LJ4" s="18"/>
      <c r="LK4" s="18"/>
      <c r="LL4" s="18"/>
      <c r="LM4" s="18"/>
      <c r="LN4" s="18"/>
      <c r="LO4" s="11" t="str">
        <f t="shared" ref="LO4:LO17" si="97">IF(SUM(KV4,KZ4)&gt;0,SUM(KV4,KZ4),"")</f>
        <v/>
      </c>
      <c r="LP4" s="11" t="str">
        <f t="shared" ref="LP4:LP17" si="98">IF(SUM(KU4:KV4,KX4:KZ4,LB4)-KW4-LA4&gt;0,SUM(KU4:KV4,KX4:KZ4,LB4)-KW4-LA4,"")</f>
        <v/>
      </c>
      <c r="LQ4" s="11" t="str">
        <f t="shared" ref="LQ4:LQ17" si="99">IF(SUM(LC4:LD4,LF4)-LE4&gt;0,SUM(LC4:LD4,LF4)-LE4,"")</f>
        <v/>
      </c>
      <c r="LR4" s="11" t="str">
        <f t="shared" ref="LR4:LR17" si="100">IF(SUM(KV4,KZ4,LD4)&gt;0,SUM(KV4,KZ4,LD4),"")</f>
        <v/>
      </c>
      <c r="LS4" s="11" t="str">
        <f t="shared" ref="LS4:LS17" si="101">IF(SUM(LP4,LQ4)&gt;0,SUM(LP4,LQ4),"")</f>
        <v/>
      </c>
      <c r="LT4" s="11" t="str">
        <f t="shared" ref="LT4:LT17" si="102">IF(SUM(LH4,LL4)&gt;0,SUM(LH4,LL4),"")</f>
        <v/>
      </c>
      <c r="LU4" s="11" t="str">
        <f t="shared" ref="LU4:LU17" si="103">IF(SUM(LG4:LH4,LJ4:LL4,LN4)-SUM(LI4,LM4)&gt;0,SUM(LG4:LH4,LJ4:LL4,LN4)-SUM(LI4,LM4),"")</f>
        <v/>
      </c>
      <c r="LV4" s="11" t="str">
        <f t="shared" ref="LV4:LV17" si="104">IF(SUM(LP4,LU4)&gt;0,SUM(LP4,LU4),"")</f>
        <v/>
      </c>
      <c r="LW4" s="17"/>
      <c r="LX4" s="17"/>
      <c r="LY4" s="17"/>
      <c r="LZ4" s="17"/>
      <c r="MA4" s="17"/>
      <c r="MB4" s="17"/>
      <c r="MC4" s="17"/>
      <c r="MD4" s="17"/>
      <c r="ME4" s="17"/>
      <c r="MF4" s="17"/>
      <c r="MG4" s="17"/>
      <c r="MH4" s="17"/>
      <c r="MI4" s="17"/>
      <c r="MJ4" s="17"/>
      <c r="MK4" s="17"/>
      <c r="ML4" s="17"/>
      <c r="MM4" s="17"/>
      <c r="MN4" s="17"/>
      <c r="MO4" s="17"/>
      <c r="MP4" s="17"/>
      <c r="MQ4" s="40" t="str">
        <f t="shared" ref="MQ4:MQ17" si="105">IF(SUM(LX4,MB4)&gt;0,SUM(LX4,MB4),"")</f>
        <v/>
      </c>
      <c r="MR4" s="40" t="str">
        <f t="shared" ref="MR4:MR17" si="106">IF(SUM(LW4:LX4,LZ4:MB4,MD4)-LY4-MC4&gt;0,SUM(LW4:LX4,LZ4:MB4,MD4)-LY4-MC4,"")</f>
        <v/>
      </c>
      <c r="MS4" s="40" t="str">
        <f t="shared" ref="MS4:MS17" si="107">IF(SUM(ME4:MF4,MH4)-MG4&gt;0,SUM(ME4:MF4,MH4)-MG4,"")</f>
        <v/>
      </c>
      <c r="MT4" s="40" t="str">
        <f t="shared" ref="MT4:MT17" si="108">IF(SUM(LX4,MB4,MF4)&gt;0,SUM(LX4,MB4,MF4),"")</f>
        <v/>
      </c>
      <c r="MU4" s="40" t="str">
        <f t="shared" ref="MU4:MU17" si="109">IF(SUM(MR4,MS4)&gt;0,SUM(MR4,MS4),"")</f>
        <v/>
      </c>
      <c r="MV4" s="40" t="str">
        <f t="shared" ref="MV4:MV17" si="110">IF(SUM(MJ4,MN4)&gt;0,SUM(MJ4,MN4),"")</f>
        <v/>
      </c>
      <c r="MW4" s="40" t="str">
        <f t="shared" ref="MW4:MW17" si="111">IF(SUM(MI4:MJ4,ML4:MN4,MP4)-SUM(MK4,MO4)&gt;0,SUM(MI4:MJ4,ML4:MN4,MP4)-SUM(MK4,MO4),"")</f>
        <v/>
      </c>
      <c r="MX4" s="40" t="str">
        <f t="shared" ref="MX4:MX17" si="112">IF(SUM(MR4,MW4)&gt;0,SUM(MR4,MW4),"")</f>
        <v/>
      </c>
      <c r="MY4" s="18"/>
      <c r="MZ4" s="18"/>
      <c r="NA4" s="18"/>
      <c r="NB4" s="18"/>
      <c r="NC4" s="18"/>
      <c r="ND4" s="18"/>
      <c r="NE4" s="18"/>
      <c r="NF4" s="18"/>
      <c r="NG4" s="18"/>
      <c r="NH4" s="18"/>
      <c r="NI4" s="18"/>
      <c r="NJ4" s="18"/>
      <c r="NK4" s="18"/>
      <c r="NL4" s="18"/>
      <c r="NM4" s="18"/>
      <c r="NN4" s="18"/>
      <c r="NO4" s="18"/>
      <c r="NP4" s="18"/>
      <c r="NQ4" s="18"/>
      <c r="NR4" s="18"/>
      <c r="NS4" s="11" t="str">
        <f t="shared" ref="NS4:NS17" si="113">IF(SUM(MZ4,ND4)&gt;0,SUM(MZ4,ND4),"")</f>
        <v/>
      </c>
      <c r="NT4" s="11" t="str">
        <f t="shared" ref="NT4:NT17" si="114">IF(SUM(MY4:MZ4,NB4:ND4,NF4)-NA4-NE4&gt;0,SUM(MY4:MZ4,NB4:ND4,NF4)-NA4-NE4,"")</f>
        <v/>
      </c>
      <c r="NU4" s="11" t="str">
        <f t="shared" ref="NU4:NU17" si="115">IF(SUM(NG4:NH4,NJ4)-NI4&gt;0,SUM(NG4:NH4,NJ4)-NI4,"")</f>
        <v/>
      </c>
      <c r="NV4" s="11" t="str">
        <f t="shared" ref="NV4:NV17" si="116">IF(SUM(MZ4,ND4,NH4)&gt;0,SUM(MZ4,ND4,NH4),"")</f>
        <v/>
      </c>
      <c r="NW4" s="11" t="str">
        <f t="shared" ref="NW4:NW17" si="117">IF(SUM(NT4,NU4)&gt;0,SUM(NT4,NU4),"")</f>
        <v/>
      </c>
      <c r="NX4" s="11" t="str">
        <f t="shared" ref="NX4:NX17" si="118">IF(SUM(NL4,NP4)&gt;0,SUM(NL4,NP4),"")</f>
        <v/>
      </c>
      <c r="NY4" s="11" t="str">
        <f t="shared" ref="NY4:NY17" si="119">IF(SUM(NK4:NL4,NN4:NP4,NR4)-SUM(NM4,NQ4)&gt;0,SUM(NK4:NL4,NN4:NP4,NR4)-SUM(NM4,NQ4),"")</f>
        <v/>
      </c>
      <c r="NZ4" s="11" t="str">
        <f t="shared" ref="NZ4:NZ17" si="120">IF(SUM(NT4,NY4)&gt;0,SUM(NT4,NY4),"")</f>
        <v/>
      </c>
      <c r="OA4" s="17"/>
      <c r="OB4" s="17"/>
      <c r="OC4" s="17"/>
      <c r="OD4" s="17"/>
      <c r="OE4" s="17"/>
      <c r="OF4" s="17"/>
      <c r="OG4" s="17"/>
      <c r="OH4" s="17"/>
      <c r="OI4" s="17"/>
      <c r="OJ4" s="17"/>
      <c r="OK4" s="17"/>
      <c r="OL4" s="17"/>
      <c r="OM4" s="17"/>
      <c r="ON4" s="17"/>
      <c r="OO4" s="17"/>
      <c r="OP4" s="17"/>
      <c r="OQ4" s="17"/>
      <c r="OR4" s="17"/>
      <c r="OS4" s="17"/>
      <c r="OT4" s="17"/>
      <c r="OU4" s="40" t="str">
        <f t="shared" ref="OU4:OU17" si="121">IF(SUM(OB4,OF4)&gt;0,SUM(OB4,OF4),"")</f>
        <v/>
      </c>
      <c r="OV4" s="40" t="str">
        <f t="shared" ref="OV4:OV17" si="122">IF(SUM(OA4:OB4,OD4:OF4,OH4)-OC4-OG4&gt;0,SUM(OA4:OB4,OD4:OF4,OH4)-OC4-OG4,"")</f>
        <v/>
      </c>
      <c r="OW4" s="40" t="str">
        <f t="shared" ref="OW4:OW17" si="123">IF(SUM(OI4:OJ4,OL4)-OK4&gt;0,SUM(OI4:OJ4,OL4)-OK4,"")</f>
        <v/>
      </c>
      <c r="OX4" s="40" t="str">
        <f t="shared" ref="OX4:OX17" si="124">IF(SUM(OB4,OF4,OJ4)&gt;0,SUM(OB4,OF4,OJ4),"")</f>
        <v/>
      </c>
      <c r="OY4" s="40" t="str">
        <f t="shared" ref="OY4:OY17" si="125">IF(SUM(OV4,OW4)&gt;0,SUM(OV4,OW4),"")</f>
        <v/>
      </c>
      <c r="OZ4" s="40" t="str">
        <f t="shared" ref="OZ4:OZ17" si="126">IF(SUM(ON4,OR4)&gt;0,SUM(ON4,OR4),"")</f>
        <v/>
      </c>
      <c r="PA4" s="40" t="str">
        <f t="shared" ref="PA4:PA17" si="127">IF(SUM(OM4:ON4,OP4:OR4,OT4)-SUM(OO4,OS4)&gt;0,SUM(OM4:ON4,OP4:OR4,OT4)-SUM(OO4,OS4),"")</f>
        <v/>
      </c>
      <c r="PB4" s="40" t="str">
        <f t="shared" ref="PB4:PB17" si="128">IF(SUM(OV4,PA4)&gt;0,SUM(OV4,PA4),"")</f>
        <v/>
      </c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8"/>
      <c r="PS4" s="18"/>
      <c r="PT4" s="18"/>
      <c r="PU4" s="18"/>
      <c r="PV4" s="18"/>
      <c r="PW4" s="11" t="str">
        <f t="shared" ref="PW4:PW17" si="129">IF(SUM(PD4,PH4)&gt;0,SUM(PD4,PH4),"")</f>
        <v/>
      </c>
      <c r="PX4" s="11" t="str">
        <f t="shared" ref="PX4:PX17" si="130">IF(SUM(PC4:PD4,PF4:PH4,PJ4)-PE4-PI4&gt;0,SUM(PC4:PD4,PF4:PH4,PJ4)-PE4-PI4,"")</f>
        <v/>
      </c>
      <c r="PY4" s="11" t="str">
        <f t="shared" ref="PY4:PY17" si="131">IF(SUM(PK4:PL4,PN4)-PM4&gt;0,SUM(PK4:PL4,PN4)-PM4,"")</f>
        <v/>
      </c>
      <c r="PZ4" s="11" t="str">
        <f t="shared" ref="PZ4:PZ17" si="132">IF(SUM(PD4,PH4,PL4)&gt;0,SUM(PD4,PH4,PL4),"")</f>
        <v/>
      </c>
      <c r="QA4" s="11" t="str">
        <f t="shared" ref="QA4:QA17" si="133">IF(SUM(PX4,PY4)&gt;0,SUM(PX4,PY4),"")</f>
        <v/>
      </c>
      <c r="QB4" s="11" t="str">
        <f t="shared" ref="QB4:QB17" si="134">IF(SUM(PP4,PT4)&gt;0,SUM(PP4,PT4),"")</f>
        <v/>
      </c>
      <c r="QC4" s="11" t="str">
        <f t="shared" ref="QC4:QC17" si="135">IF(SUM(PO4:PP4,PR4:PT4,PV4)-SUM(PQ4,PU4)&gt;0,SUM(PO4:PP4,PR4:PT4,PV4)-SUM(PQ4,PU4),"")</f>
        <v/>
      </c>
      <c r="QD4" s="11" t="str">
        <f t="shared" ref="QD4:QD17" si="136">IF(SUM(PX4,QC4)&gt;0,SUM(PX4,QC4),"")</f>
        <v/>
      </c>
      <c r="QE4" s="22">
        <f t="shared" ref="QE4:QE17" si="137">IF($CU4="P",CA4,(CA4+AX4)/2)</f>
        <v>18.3</v>
      </c>
      <c r="QF4" s="22">
        <f t="shared" ref="QF4:QF17" si="138">IF($CU4="P",CB4,(CB4+AY4)/2)</f>
        <v>7.5</v>
      </c>
      <c r="QG4" s="22">
        <f t="shared" ref="QG4:QG17" si="139">IF($CU4="P",CC4,(CC4+AZ4)/2)</f>
        <v>0</v>
      </c>
      <c r="QH4" s="22">
        <f t="shared" ref="QH4:QH17" si="140">IF($CU4="P",CD4,(CD4+BA4)/2)</f>
        <v>0</v>
      </c>
      <c r="QI4" s="22">
        <f t="shared" ref="QI4:QI17" si="141">IF($CU4="P",CE4,(CE4+BB4)/2)</f>
        <v>17.95</v>
      </c>
      <c r="QJ4" s="22">
        <f t="shared" ref="QJ4:QJ17" si="142">IF($CU4="P",CF4,(CF4+BC4)/2)</f>
        <v>6.7</v>
      </c>
      <c r="QK4" s="22">
        <f t="shared" ref="QK4:QK17" si="143">IF($CU4="P",CG4,(CG4+BD4)/2)</f>
        <v>0</v>
      </c>
      <c r="QL4" s="22">
        <f t="shared" ref="QL4:QL17" si="144">IF($CU4="P",CH4,(CH4+BE4)/2)</f>
        <v>0</v>
      </c>
      <c r="QM4" s="22">
        <f t="shared" ref="QM4:QM17" si="145">IF($CU4="P",CI4,(CI4+BF4)/2)</f>
        <v>9.4499999999999993</v>
      </c>
      <c r="QN4" s="22">
        <f t="shared" ref="QN4:QN17" si="146">IF($CU4="P",CJ4,(CJ4+BG4)/2)</f>
        <v>4.05</v>
      </c>
      <c r="QO4" s="22">
        <f t="shared" ref="QO4:QO17" si="147">IF($CU4="P",CK4,(CK4+BH4)/2)</f>
        <v>0</v>
      </c>
      <c r="QP4" s="22">
        <f t="shared" ref="QP4:QP17" si="148">IF($CU4="P",CL4,(CL4+BI4)/2)</f>
        <v>0</v>
      </c>
      <c r="QQ4" s="22">
        <f t="shared" ref="QQ4:QQ17" si="149">IF($CU4="P",CM4,(CM4+BJ4)/2)</f>
        <v>18.53</v>
      </c>
      <c r="QR4" s="22">
        <f t="shared" ref="QR4:QR17" si="150">IF($CU4="P",CN4,(CN4+BK4)/2)</f>
        <v>7.5</v>
      </c>
      <c r="QS4" s="22">
        <f t="shared" ref="QS4:QS17" si="151">IF($CU4="P",CO4,(CO4+BL4)/2)</f>
        <v>0</v>
      </c>
      <c r="QT4" s="22">
        <f t="shared" ref="QT4:QT17" si="152">IF($CU4="P",CP4,(CP4+BM4)/2)</f>
        <v>0</v>
      </c>
      <c r="QU4" s="22">
        <f t="shared" ref="QU4:QU17" si="153">IF($CU4="P",CQ4,(CQ4+BN4)/2)</f>
        <v>18.100000000000001</v>
      </c>
      <c r="QV4" s="22">
        <f t="shared" ref="QV4:QV17" si="154">IF($CU4="P",CR4,(CR4+BO4)/2)</f>
        <v>7.3000000000000007</v>
      </c>
      <c r="QW4" s="22">
        <f t="shared" ref="QW4:QW17" si="155">IF($CU4="P",CS4,(CS4+BP4)/2)</f>
        <v>0</v>
      </c>
      <c r="QX4" s="22">
        <f t="shared" ref="QX4:QX17" si="156">IF($CU4="P",CT4,(CT4+BQ4)/2)</f>
        <v>0</v>
      </c>
      <c r="QY4" s="27" t="s">
        <v>46</v>
      </c>
      <c r="QZ4" s="40">
        <f t="shared" ref="QZ4:QZ17" si="157">IF(SUM(QF4,QJ4)&gt;0,SUM(QF4,QJ4),"")</f>
        <v>14.2</v>
      </c>
      <c r="RA4" s="40">
        <f t="shared" ref="RA4:RA17" si="158">IF(SUM(QE4:QF4,QH4:QJ4,QL4)-QG4-QK4&gt;0,SUM(QE4:QF4,QH4:QJ4,QL4)-QG4-QK4,"")</f>
        <v>50.45</v>
      </c>
      <c r="RB4" s="40">
        <f t="shared" ref="RB4:RB17" si="159">IF(SUM(QM4:QN4,QP4)-QO4&gt;0,SUM(QM4:QN4,QP4)-QO4,"")</f>
        <v>13.5</v>
      </c>
      <c r="RC4" s="40">
        <f t="shared" ref="RC4:RC17" si="160">IF(SUM(QF4,QJ4,QN4)&gt;0,SUM(QF4,QJ4,QN4),"")</f>
        <v>18.25</v>
      </c>
      <c r="RD4" s="40">
        <f t="shared" ref="RD4:RD17" si="161">IF(SUM(RA4,RB4)&gt;0,SUM(RA4,RB4),"")</f>
        <v>63.95</v>
      </c>
      <c r="RE4" s="40">
        <f t="shared" ref="RE4:RE17" si="162">IF(SUM(QR4,QV4)&gt;0,SUM(QR4,QV4),"")</f>
        <v>14.8</v>
      </c>
      <c r="RF4" s="40">
        <f t="shared" ref="RF4:RF17" si="163">IF(SUM(QQ4:QR4,QT4:QV4,QX4)-SUM(QS4,QW4)&gt;0,SUM(QQ4:QR4,QT4:QV4,QX4)-SUM(QS4,QW4),"")</f>
        <v>51.430000000000007</v>
      </c>
      <c r="RG4" s="40">
        <f t="shared" ref="RG4:RG17" si="164">IF(SUM(RA4,RF4)&gt;0,SUM(RA4,RF4),"")</f>
        <v>101.88000000000001</v>
      </c>
    </row>
    <row r="5" spans="1:475" x14ac:dyDescent="0.2">
      <c r="A5" s="4">
        <f t="shared" si="0"/>
        <v>2</v>
      </c>
      <c r="B5" s="5" t="s">
        <v>214</v>
      </c>
      <c r="C5" s="4" t="s">
        <v>3</v>
      </c>
      <c r="D5" s="4">
        <v>2006</v>
      </c>
      <c r="E5" s="9">
        <f t="shared" si="1"/>
        <v>176.00001203000497</v>
      </c>
      <c r="F5" s="3" t="str">
        <f t="shared" si="2"/>
        <v>P</v>
      </c>
      <c r="G5" s="3" t="str">
        <f t="shared" si="3"/>
        <v>P</v>
      </c>
      <c r="H5" s="36" t="str">
        <f t="shared" si="4"/>
        <v>National Team</v>
      </c>
      <c r="I5" s="3" t="str">
        <f t="shared" si="5"/>
        <v/>
      </c>
      <c r="J5" s="8">
        <f>IF(COUNT(AQ5,BT5,CW5)&gt;0,LARGE((AQ5,BT5,CW5),1),0)</f>
        <v>49.6</v>
      </c>
      <c r="K5" s="8" t="str">
        <f t="shared" si="6"/>
        <v>2022 3rd Domestic Trial</v>
      </c>
      <c r="L5" s="8">
        <f>IF(COUNT(AQ5,BT5,CW5)&gt;1,LARGE((AQ5,BT5,CW5),2),0)</f>
        <v>45.6</v>
      </c>
      <c r="M5" s="8" t="str">
        <f t="shared" si="7"/>
        <v>2023 Elite Canada</v>
      </c>
      <c r="N5" s="8">
        <f>IF(COUNT(AR5,BU5,CX5)&gt;0,LARGE((AR5,BU5,CX5),1),0)</f>
        <v>25.1</v>
      </c>
      <c r="O5" s="8" t="str">
        <f t="shared" si="8"/>
        <v>2023 Elite Canada</v>
      </c>
      <c r="P5" s="8">
        <f t="shared" si="9"/>
        <v>50.699999999999996</v>
      </c>
      <c r="Q5" s="8" t="str">
        <f t="shared" si="10"/>
        <v>2023 Elite Canada</v>
      </c>
      <c r="R5" s="8">
        <f t="shared" si="11"/>
        <v>4.9999999999999929</v>
      </c>
      <c r="S5" s="11" t="str">
        <f t="shared" si="12"/>
        <v>(Q1)</v>
      </c>
      <c r="T5" s="8" t="str">
        <f t="shared" si="13"/>
        <v>2022 WAGC (Nov 24)</v>
      </c>
      <c r="U5" s="19">
        <v>8.85</v>
      </c>
      <c r="V5" s="19">
        <v>3.45</v>
      </c>
      <c r="W5" s="19">
        <v>0.1</v>
      </c>
      <c r="X5" s="19">
        <v>0.15</v>
      </c>
      <c r="Y5" s="19">
        <v>8.5</v>
      </c>
      <c r="Z5" s="19">
        <v>3.15</v>
      </c>
      <c r="AA5" s="19">
        <v>0</v>
      </c>
      <c r="AB5" s="19">
        <v>0.15</v>
      </c>
      <c r="AC5" s="19"/>
      <c r="AD5" s="19"/>
      <c r="AE5" s="19"/>
      <c r="AF5" s="19"/>
      <c r="AG5" s="19">
        <v>8.85</v>
      </c>
      <c r="AH5" s="19">
        <v>3.25</v>
      </c>
      <c r="AI5" s="19">
        <v>0</v>
      </c>
      <c r="AJ5" s="19">
        <v>0.15</v>
      </c>
      <c r="AK5" s="19">
        <v>8.65</v>
      </c>
      <c r="AL5" s="19">
        <v>3.15</v>
      </c>
      <c r="AM5" s="19">
        <v>0</v>
      </c>
      <c r="AN5" s="19">
        <v>0.15</v>
      </c>
      <c r="AO5" s="27" t="s">
        <v>46</v>
      </c>
      <c r="AP5" s="40">
        <f t="shared" si="14"/>
        <v>6.6</v>
      </c>
      <c r="AQ5" s="40">
        <f t="shared" si="15"/>
        <v>24.15</v>
      </c>
      <c r="AR5" s="40" t="str">
        <f t="shared" si="16"/>
        <v/>
      </c>
      <c r="AS5" s="40">
        <f t="shared" si="17"/>
        <v>6.6</v>
      </c>
      <c r="AT5" s="40">
        <f t="shared" si="18"/>
        <v>24.15</v>
      </c>
      <c r="AU5" s="40">
        <f t="shared" si="19"/>
        <v>6.4</v>
      </c>
      <c r="AV5" s="40">
        <f t="shared" si="20"/>
        <v>24.199999999999996</v>
      </c>
      <c r="AW5" s="40">
        <f t="shared" si="21"/>
        <v>48.349999999999994</v>
      </c>
      <c r="AX5" s="18">
        <v>17.2</v>
      </c>
      <c r="AY5" s="18">
        <v>7.8</v>
      </c>
      <c r="AZ5" s="18">
        <v>0</v>
      </c>
      <c r="BA5" s="18">
        <v>0.3</v>
      </c>
      <c r="BB5" s="18">
        <v>17.100000000000001</v>
      </c>
      <c r="BC5" s="18">
        <v>6.9</v>
      </c>
      <c r="BD5" s="18">
        <v>0</v>
      </c>
      <c r="BE5" s="18">
        <v>0.3</v>
      </c>
      <c r="BF5" s="18"/>
      <c r="BG5" s="18"/>
      <c r="BH5" s="18"/>
      <c r="BI5" s="18"/>
      <c r="BJ5" s="18">
        <v>17.100000000000001</v>
      </c>
      <c r="BK5" s="18">
        <v>7.8</v>
      </c>
      <c r="BL5" s="18">
        <v>0</v>
      </c>
      <c r="BM5" s="18">
        <v>0.3</v>
      </c>
      <c r="BN5" s="18">
        <v>17.3</v>
      </c>
      <c r="BO5" s="18">
        <v>7.3</v>
      </c>
      <c r="BP5" s="18">
        <v>0</v>
      </c>
      <c r="BQ5" s="18">
        <v>0.3</v>
      </c>
      <c r="BR5" s="28"/>
      <c r="BS5" s="11">
        <f t="shared" si="22"/>
        <v>14.7</v>
      </c>
      <c r="BT5" s="11">
        <f t="shared" si="23"/>
        <v>49.6</v>
      </c>
      <c r="BU5" s="11" t="str">
        <f t="shared" si="24"/>
        <v/>
      </c>
      <c r="BV5" s="11">
        <f t="shared" si="25"/>
        <v>14.7</v>
      </c>
      <c r="BW5" s="11">
        <f t="shared" si="26"/>
        <v>49.6</v>
      </c>
      <c r="BX5" s="11">
        <f t="shared" si="27"/>
        <v>15.1</v>
      </c>
      <c r="BY5" s="11">
        <f t="shared" si="28"/>
        <v>50.099999999999994</v>
      </c>
      <c r="BZ5" s="11">
        <f t="shared" si="29"/>
        <v>99.699999999999989</v>
      </c>
      <c r="CA5" s="19">
        <v>16.899999999999999</v>
      </c>
      <c r="CB5" s="19">
        <v>3.3</v>
      </c>
      <c r="CC5" s="19">
        <v>0</v>
      </c>
      <c r="CD5" s="19">
        <v>0</v>
      </c>
      <c r="CE5" s="19">
        <v>18.5</v>
      </c>
      <c r="CF5" s="19">
        <v>6.9</v>
      </c>
      <c r="CG5" s="19">
        <v>0</v>
      </c>
      <c r="CH5" s="19">
        <v>0</v>
      </c>
      <c r="CI5" s="19">
        <v>18.600000000000001</v>
      </c>
      <c r="CJ5" s="19">
        <v>6.5</v>
      </c>
      <c r="CK5" s="19">
        <v>0</v>
      </c>
      <c r="CL5" s="19">
        <v>0</v>
      </c>
      <c r="CM5" s="19">
        <v>18.899999999999999</v>
      </c>
      <c r="CN5" s="19">
        <v>6.9</v>
      </c>
      <c r="CO5" s="19">
        <v>0</v>
      </c>
      <c r="CP5" s="19">
        <v>0</v>
      </c>
      <c r="CQ5" s="19">
        <v>18</v>
      </c>
      <c r="CR5" s="19">
        <v>6.9</v>
      </c>
      <c r="CS5" s="19">
        <v>0</v>
      </c>
      <c r="CT5" s="19">
        <v>0</v>
      </c>
      <c r="CU5" s="27"/>
      <c r="CV5" s="40">
        <f t="shared" si="30"/>
        <v>10.199999999999999</v>
      </c>
      <c r="CW5" s="40">
        <f t="shared" si="31"/>
        <v>45.6</v>
      </c>
      <c r="CX5" s="40">
        <f t="shared" si="32"/>
        <v>25.1</v>
      </c>
      <c r="CY5" s="40">
        <f t="shared" si="33"/>
        <v>16.7</v>
      </c>
      <c r="CZ5" s="40">
        <f t="shared" si="34"/>
        <v>70.7</v>
      </c>
      <c r="DA5" s="40">
        <f t="shared" si="35"/>
        <v>13.8</v>
      </c>
      <c r="DB5" s="40">
        <f t="shared" si="36"/>
        <v>50.699999999999996</v>
      </c>
      <c r="DC5" s="40">
        <f t="shared" si="37"/>
        <v>96.3</v>
      </c>
      <c r="DD5" s="50">
        <f t="shared" si="38"/>
        <v>4.9999999999999929</v>
      </c>
      <c r="DE5" s="50" t="str">
        <f t="shared" si="39"/>
        <v/>
      </c>
      <c r="DF5" s="50" t="str">
        <f t="shared" si="40"/>
        <v/>
      </c>
      <c r="DG5" s="17"/>
      <c r="DH5" s="17"/>
      <c r="DI5" s="17"/>
      <c r="DJ5" s="17"/>
      <c r="DK5" s="17"/>
      <c r="DL5" s="17"/>
      <c r="DM5" s="17"/>
      <c r="DN5" s="17"/>
      <c r="DO5" s="17"/>
      <c r="DP5" s="17"/>
      <c r="DQ5" s="17"/>
      <c r="DR5" s="17"/>
      <c r="DS5" s="17"/>
      <c r="DT5" s="17"/>
      <c r="DU5" s="17"/>
      <c r="DV5" s="17"/>
      <c r="DW5" s="17"/>
      <c r="DX5" s="17"/>
      <c r="DY5" s="17"/>
      <c r="DZ5" s="17"/>
      <c r="EA5" s="40" t="str">
        <f t="shared" si="41"/>
        <v/>
      </c>
      <c r="EB5" s="40" t="str">
        <f t="shared" si="42"/>
        <v/>
      </c>
      <c r="EC5" s="40" t="str">
        <f t="shared" si="43"/>
        <v/>
      </c>
      <c r="ED5" s="40" t="str">
        <f t="shared" si="44"/>
        <v/>
      </c>
      <c r="EE5" s="40" t="str">
        <f t="shared" si="45"/>
        <v/>
      </c>
      <c r="EF5" s="40" t="str">
        <f t="shared" si="46"/>
        <v/>
      </c>
      <c r="EG5" s="40" t="str">
        <f t="shared" si="47"/>
        <v/>
      </c>
      <c r="EH5" s="40" t="str">
        <f t="shared" si="48"/>
        <v/>
      </c>
      <c r="EI5" s="18"/>
      <c r="EJ5" s="18"/>
      <c r="EK5" s="18"/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8"/>
      <c r="EY5" s="18"/>
      <c r="EZ5" s="18"/>
      <c r="FA5" s="18"/>
      <c r="FB5" s="18"/>
      <c r="FC5" s="11" t="str">
        <f t="shared" si="49"/>
        <v/>
      </c>
      <c r="FD5" s="11" t="str">
        <f t="shared" si="50"/>
        <v/>
      </c>
      <c r="FE5" s="11" t="str">
        <f t="shared" si="51"/>
        <v/>
      </c>
      <c r="FF5" s="11" t="str">
        <f t="shared" si="52"/>
        <v/>
      </c>
      <c r="FG5" s="11" t="str">
        <f t="shared" si="53"/>
        <v/>
      </c>
      <c r="FH5" s="11" t="str">
        <f t="shared" si="54"/>
        <v/>
      </c>
      <c r="FI5" s="11" t="str">
        <f t="shared" si="55"/>
        <v/>
      </c>
      <c r="FJ5" s="11" t="str">
        <f t="shared" si="56"/>
        <v/>
      </c>
      <c r="FK5" s="17"/>
      <c r="FL5" s="17"/>
      <c r="FM5" s="17"/>
      <c r="FN5" s="17"/>
      <c r="FO5" s="17"/>
      <c r="FP5" s="17"/>
      <c r="FQ5" s="17"/>
      <c r="FR5" s="17"/>
      <c r="FS5" s="17"/>
      <c r="FT5" s="17"/>
      <c r="FU5" s="17"/>
      <c r="FV5" s="17"/>
      <c r="FW5" s="17"/>
      <c r="FX5" s="17"/>
      <c r="FY5" s="17"/>
      <c r="FZ5" s="17"/>
      <c r="GA5" s="17"/>
      <c r="GB5" s="17"/>
      <c r="GC5" s="17"/>
      <c r="GD5" s="17"/>
      <c r="GE5" s="40" t="str">
        <f t="shared" si="57"/>
        <v/>
      </c>
      <c r="GF5" s="40" t="str">
        <f t="shared" si="58"/>
        <v/>
      </c>
      <c r="GG5" s="40" t="str">
        <f t="shared" si="59"/>
        <v/>
      </c>
      <c r="GH5" s="40" t="str">
        <f t="shared" si="60"/>
        <v/>
      </c>
      <c r="GI5" s="40" t="str">
        <f t="shared" si="61"/>
        <v/>
      </c>
      <c r="GJ5" s="40" t="str">
        <f t="shared" si="62"/>
        <v/>
      </c>
      <c r="GK5" s="40" t="str">
        <f t="shared" si="63"/>
        <v/>
      </c>
      <c r="GL5" s="40" t="str">
        <f t="shared" si="64"/>
        <v/>
      </c>
      <c r="GM5" s="18"/>
      <c r="GN5" s="18"/>
      <c r="GO5" s="18"/>
      <c r="GP5" s="18"/>
      <c r="GQ5" s="18"/>
      <c r="GR5" s="18"/>
      <c r="GS5" s="18"/>
      <c r="GT5" s="18"/>
      <c r="GU5" s="18"/>
      <c r="GV5" s="18"/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1" t="str">
        <f t="shared" si="65"/>
        <v/>
      </c>
      <c r="HH5" s="11" t="str">
        <f t="shared" si="66"/>
        <v/>
      </c>
      <c r="HI5" s="11" t="str">
        <f t="shared" si="67"/>
        <v/>
      </c>
      <c r="HJ5" s="11" t="str">
        <f t="shared" si="68"/>
        <v/>
      </c>
      <c r="HK5" s="11" t="str">
        <f t="shared" si="69"/>
        <v/>
      </c>
      <c r="HL5" s="11" t="str">
        <f t="shared" si="70"/>
        <v/>
      </c>
      <c r="HM5" s="11" t="str">
        <f t="shared" si="71"/>
        <v/>
      </c>
      <c r="HN5" s="11" t="str">
        <f t="shared" si="72"/>
        <v/>
      </c>
      <c r="HO5" s="17"/>
      <c r="HP5" s="17"/>
      <c r="HQ5" s="17"/>
      <c r="HR5" s="17"/>
      <c r="HS5" s="17"/>
      <c r="HT5" s="17"/>
      <c r="HU5" s="17"/>
      <c r="HV5" s="17"/>
      <c r="HW5" s="17"/>
      <c r="HX5" s="17"/>
      <c r="HY5" s="17"/>
      <c r="HZ5" s="17"/>
      <c r="IA5" s="17"/>
      <c r="IB5" s="17"/>
      <c r="IC5" s="17"/>
      <c r="ID5" s="17"/>
      <c r="IE5" s="17"/>
      <c r="IF5" s="17"/>
      <c r="IG5" s="17"/>
      <c r="IH5" s="17"/>
      <c r="II5" s="40" t="str">
        <f t="shared" si="73"/>
        <v/>
      </c>
      <c r="IJ5" s="40" t="str">
        <f t="shared" si="74"/>
        <v/>
      </c>
      <c r="IK5" s="40" t="str">
        <f t="shared" si="75"/>
        <v/>
      </c>
      <c r="IL5" s="40" t="str">
        <f t="shared" si="76"/>
        <v/>
      </c>
      <c r="IM5" s="40" t="str">
        <f t="shared" si="77"/>
        <v/>
      </c>
      <c r="IN5" s="40" t="str">
        <f t="shared" si="78"/>
        <v/>
      </c>
      <c r="IO5" s="40" t="str">
        <f t="shared" si="79"/>
        <v/>
      </c>
      <c r="IP5" s="40" t="str">
        <f t="shared" si="80"/>
        <v/>
      </c>
      <c r="IQ5" s="18"/>
      <c r="IR5" s="18"/>
      <c r="IS5" s="18"/>
      <c r="IT5" s="18"/>
      <c r="IU5" s="18"/>
      <c r="IV5" s="18"/>
      <c r="IW5" s="18"/>
      <c r="IX5" s="18"/>
      <c r="IY5" s="18"/>
      <c r="IZ5" s="18"/>
      <c r="JA5" s="18"/>
      <c r="JB5" s="18"/>
      <c r="JC5" s="18"/>
      <c r="JD5" s="18"/>
      <c r="JE5" s="18"/>
      <c r="JF5" s="18"/>
      <c r="JG5" s="18"/>
      <c r="JH5" s="18"/>
      <c r="JI5" s="18"/>
      <c r="JJ5" s="18"/>
      <c r="JK5" s="11" t="str">
        <f t="shared" si="81"/>
        <v/>
      </c>
      <c r="JL5" s="11" t="str">
        <f t="shared" si="82"/>
        <v/>
      </c>
      <c r="JM5" s="11" t="str">
        <f t="shared" si="83"/>
        <v/>
      </c>
      <c r="JN5" s="11" t="str">
        <f t="shared" si="84"/>
        <v/>
      </c>
      <c r="JO5" s="11" t="str">
        <f t="shared" si="85"/>
        <v/>
      </c>
      <c r="JP5" s="11" t="str">
        <f t="shared" si="86"/>
        <v/>
      </c>
      <c r="JQ5" s="11" t="str">
        <f t="shared" si="87"/>
        <v/>
      </c>
      <c r="JR5" s="11" t="str">
        <f t="shared" si="88"/>
        <v/>
      </c>
      <c r="JS5" s="17"/>
      <c r="JT5" s="17"/>
      <c r="JU5" s="17"/>
      <c r="JV5" s="17"/>
      <c r="JW5" s="17"/>
      <c r="JX5" s="17"/>
      <c r="JY5" s="17"/>
      <c r="JZ5" s="17"/>
      <c r="KA5" s="17"/>
      <c r="KB5" s="17"/>
      <c r="KC5" s="17"/>
      <c r="KD5" s="17"/>
      <c r="KE5" s="17"/>
      <c r="KF5" s="17"/>
      <c r="KG5" s="17"/>
      <c r="KH5" s="17"/>
      <c r="KI5" s="17"/>
      <c r="KJ5" s="17"/>
      <c r="KK5" s="17"/>
      <c r="KL5" s="17"/>
      <c r="KM5" s="40" t="str">
        <f t="shared" si="89"/>
        <v/>
      </c>
      <c r="KN5" s="40" t="str">
        <f t="shared" si="90"/>
        <v/>
      </c>
      <c r="KO5" s="40" t="str">
        <f t="shared" si="91"/>
        <v/>
      </c>
      <c r="KP5" s="40" t="str">
        <f t="shared" si="92"/>
        <v/>
      </c>
      <c r="KQ5" s="40" t="str">
        <f t="shared" si="93"/>
        <v/>
      </c>
      <c r="KR5" s="40" t="str">
        <f t="shared" si="94"/>
        <v/>
      </c>
      <c r="KS5" s="40" t="str">
        <f t="shared" si="95"/>
        <v/>
      </c>
      <c r="KT5" s="40" t="str">
        <f t="shared" si="96"/>
        <v/>
      </c>
      <c r="KU5" s="18">
        <v>18.3</v>
      </c>
      <c r="KV5" s="18">
        <v>7.6</v>
      </c>
      <c r="KW5" s="18">
        <v>0</v>
      </c>
      <c r="KX5" s="18">
        <v>0</v>
      </c>
      <c r="KY5" s="18">
        <v>17.399999999999999</v>
      </c>
      <c r="KZ5" s="18">
        <v>7.3</v>
      </c>
      <c r="LA5" s="18">
        <v>0</v>
      </c>
      <c r="LB5" s="18">
        <v>0</v>
      </c>
      <c r="LC5" s="18"/>
      <c r="LD5" s="18"/>
      <c r="LE5" s="18"/>
      <c r="LF5" s="18"/>
      <c r="LG5" s="18">
        <v>16.7</v>
      </c>
      <c r="LH5" s="18">
        <v>8.8000000000000007</v>
      </c>
      <c r="LI5" s="18">
        <v>0</v>
      </c>
      <c r="LJ5" s="18">
        <v>0</v>
      </c>
      <c r="LK5" s="18">
        <v>16.5</v>
      </c>
      <c r="LL5" s="18">
        <v>3.3</v>
      </c>
      <c r="LM5" s="18">
        <v>0</v>
      </c>
      <c r="LN5" s="18">
        <v>0</v>
      </c>
      <c r="LO5" s="11">
        <f t="shared" si="97"/>
        <v>14.899999999999999</v>
      </c>
      <c r="LP5" s="11">
        <f t="shared" si="98"/>
        <v>50.599999999999994</v>
      </c>
      <c r="LQ5" s="11" t="str">
        <f t="shared" si="99"/>
        <v/>
      </c>
      <c r="LR5" s="11">
        <f t="shared" si="100"/>
        <v>14.899999999999999</v>
      </c>
      <c r="LS5" s="11">
        <f t="shared" si="101"/>
        <v>50.599999999999994</v>
      </c>
      <c r="LT5" s="11">
        <f t="shared" si="102"/>
        <v>12.100000000000001</v>
      </c>
      <c r="LU5" s="11">
        <f t="shared" si="103"/>
        <v>45.3</v>
      </c>
      <c r="LV5" s="11">
        <f t="shared" si="104"/>
        <v>95.899999999999991</v>
      </c>
      <c r="LW5" s="17"/>
      <c r="LX5" s="17"/>
      <c r="LY5" s="17"/>
      <c r="LZ5" s="17"/>
      <c r="MA5" s="17"/>
      <c r="MB5" s="17"/>
      <c r="MC5" s="17"/>
      <c r="MD5" s="17"/>
      <c r="ME5" s="17"/>
      <c r="MF5" s="17"/>
      <c r="MG5" s="17"/>
      <c r="MH5" s="17"/>
      <c r="MI5" s="17"/>
      <c r="MJ5" s="17"/>
      <c r="MK5" s="17"/>
      <c r="ML5" s="17"/>
      <c r="MM5" s="17"/>
      <c r="MN5" s="17"/>
      <c r="MO5" s="17"/>
      <c r="MP5" s="17"/>
      <c r="MQ5" s="40" t="str">
        <f t="shared" si="105"/>
        <v/>
      </c>
      <c r="MR5" s="40" t="str">
        <f t="shared" si="106"/>
        <v/>
      </c>
      <c r="MS5" s="40" t="str">
        <f t="shared" si="107"/>
        <v/>
      </c>
      <c r="MT5" s="40" t="str">
        <f t="shared" si="108"/>
        <v/>
      </c>
      <c r="MU5" s="40" t="str">
        <f t="shared" si="109"/>
        <v/>
      </c>
      <c r="MV5" s="40" t="str">
        <f t="shared" si="110"/>
        <v/>
      </c>
      <c r="MW5" s="40" t="str">
        <f t="shared" si="111"/>
        <v/>
      </c>
      <c r="MX5" s="40" t="str">
        <f t="shared" si="112"/>
        <v/>
      </c>
      <c r="MY5" s="18"/>
      <c r="MZ5" s="18"/>
      <c r="NA5" s="18"/>
      <c r="NB5" s="18"/>
      <c r="NC5" s="18"/>
      <c r="ND5" s="18"/>
      <c r="NE5" s="18"/>
      <c r="NF5" s="18"/>
      <c r="NG5" s="18"/>
      <c r="NH5" s="18"/>
      <c r="NI5" s="18"/>
      <c r="NJ5" s="18"/>
      <c r="NK5" s="18"/>
      <c r="NL5" s="18"/>
      <c r="NM5" s="18"/>
      <c r="NN5" s="18"/>
      <c r="NO5" s="18"/>
      <c r="NP5" s="18"/>
      <c r="NQ5" s="18"/>
      <c r="NR5" s="18"/>
      <c r="NS5" s="11" t="str">
        <f t="shared" si="113"/>
        <v/>
      </c>
      <c r="NT5" s="11" t="str">
        <f t="shared" si="114"/>
        <v/>
      </c>
      <c r="NU5" s="11" t="str">
        <f t="shared" si="115"/>
        <v/>
      </c>
      <c r="NV5" s="11" t="str">
        <f t="shared" si="116"/>
        <v/>
      </c>
      <c r="NW5" s="11" t="str">
        <f t="shared" si="117"/>
        <v/>
      </c>
      <c r="NX5" s="11" t="str">
        <f t="shared" si="118"/>
        <v/>
      </c>
      <c r="NY5" s="11" t="str">
        <f t="shared" si="119"/>
        <v/>
      </c>
      <c r="NZ5" s="11" t="str">
        <f t="shared" si="120"/>
        <v/>
      </c>
      <c r="OA5" s="17"/>
      <c r="OB5" s="17"/>
      <c r="OC5" s="17"/>
      <c r="OD5" s="17"/>
      <c r="OE5" s="17"/>
      <c r="OF5" s="17"/>
      <c r="OG5" s="17"/>
      <c r="OH5" s="17"/>
      <c r="OI5" s="17"/>
      <c r="OJ5" s="17"/>
      <c r="OK5" s="17"/>
      <c r="OL5" s="17"/>
      <c r="OM5" s="17"/>
      <c r="ON5" s="17"/>
      <c r="OO5" s="17"/>
      <c r="OP5" s="17"/>
      <c r="OQ5" s="17"/>
      <c r="OR5" s="17"/>
      <c r="OS5" s="17"/>
      <c r="OT5" s="17"/>
      <c r="OU5" s="40" t="str">
        <f t="shared" si="121"/>
        <v/>
      </c>
      <c r="OV5" s="40" t="str">
        <f t="shared" si="122"/>
        <v/>
      </c>
      <c r="OW5" s="40" t="str">
        <f t="shared" si="123"/>
        <v/>
      </c>
      <c r="OX5" s="40" t="str">
        <f t="shared" si="124"/>
        <v/>
      </c>
      <c r="OY5" s="40" t="str">
        <f t="shared" si="125"/>
        <v/>
      </c>
      <c r="OZ5" s="40" t="str">
        <f t="shared" si="126"/>
        <v/>
      </c>
      <c r="PA5" s="40" t="str">
        <f t="shared" si="127"/>
        <v/>
      </c>
      <c r="PB5" s="40" t="str">
        <f t="shared" si="128"/>
        <v/>
      </c>
      <c r="PC5" s="18"/>
      <c r="PD5" s="18"/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8"/>
      <c r="PS5" s="18"/>
      <c r="PT5" s="18"/>
      <c r="PU5" s="18"/>
      <c r="PV5" s="18"/>
      <c r="PW5" s="11" t="str">
        <f t="shared" si="129"/>
        <v/>
      </c>
      <c r="PX5" s="11" t="str">
        <f t="shared" si="130"/>
        <v/>
      </c>
      <c r="PY5" s="11" t="str">
        <f t="shared" si="131"/>
        <v/>
      </c>
      <c r="PZ5" s="11" t="str">
        <f t="shared" si="132"/>
        <v/>
      </c>
      <c r="QA5" s="11" t="str">
        <f t="shared" si="133"/>
        <v/>
      </c>
      <c r="QB5" s="11" t="str">
        <f t="shared" si="134"/>
        <v/>
      </c>
      <c r="QC5" s="11" t="str">
        <f t="shared" si="135"/>
        <v/>
      </c>
      <c r="QD5" s="11" t="str">
        <f t="shared" si="136"/>
        <v/>
      </c>
      <c r="QE5" s="22">
        <f t="shared" si="137"/>
        <v>17.049999999999997</v>
      </c>
      <c r="QF5" s="22">
        <f t="shared" si="138"/>
        <v>5.55</v>
      </c>
      <c r="QG5" s="22">
        <f t="shared" si="139"/>
        <v>0</v>
      </c>
      <c r="QH5" s="22">
        <f t="shared" si="140"/>
        <v>0.15</v>
      </c>
      <c r="QI5" s="22">
        <f t="shared" si="141"/>
        <v>17.8</v>
      </c>
      <c r="QJ5" s="22">
        <f t="shared" si="142"/>
        <v>6.9</v>
      </c>
      <c r="QK5" s="22">
        <f t="shared" si="143"/>
        <v>0</v>
      </c>
      <c r="QL5" s="22">
        <f t="shared" si="144"/>
        <v>0.15</v>
      </c>
      <c r="QM5" s="22">
        <f t="shared" si="145"/>
        <v>9.3000000000000007</v>
      </c>
      <c r="QN5" s="22">
        <f t="shared" si="146"/>
        <v>3.25</v>
      </c>
      <c r="QO5" s="22">
        <f t="shared" si="147"/>
        <v>0</v>
      </c>
      <c r="QP5" s="22">
        <f t="shared" si="148"/>
        <v>0</v>
      </c>
      <c r="QQ5" s="22">
        <f t="shared" si="149"/>
        <v>18</v>
      </c>
      <c r="QR5" s="22">
        <f t="shared" si="150"/>
        <v>7.35</v>
      </c>
      <c r="QS5" s="22">
        <f t="shared" si="151"/>
        <v>0</v>
      </c>
      <c r="QT5" s="22">
        <f t="shared" si="152"/>
        <v>0.15</v>
      </c>
      <c r="QU5" s="22">
        <f t="shared" si="153"/>
        <v>17.649999999999999</v>
      </c>
      <c r="QV5" s="22">
        <f t="shared" si="154"/>
        <v>7.1</v>
      </c>
      <c r="QW5" s="22">
        <f t="shared" si="155"/>
        <v>0</v>
      </c>
      <c r="QX5" s="22">
        <f t="shared" si="156"/>
        <v>0.15</v>
      </c>
      <c r="QY5" s="27" t="s">
        <v>46</v>
      </c>
      <c r="QZ5" s="40">
        <f t="shared" si="157"/>
        <v>12.45</v>
      </c>
      <c r="RA5" s="40">
        <f t="shared" si="158"/>
        <v>47.599999999999994</v>
      </c>
      <c r="RB5" s="40">
        <f t="shared" si="159"/>
        <v>12.55</v>
      </c>
      <c r="RC5" s="40">
        <f t="shared" si="160"/>
        <v>15.7</v>
      </c>
      <c r="RD5" s="40">
        <f t="shared" si="161"/>
        <v>60.149999999999991</v>
      </c>
      <c r="RE5" s="40">
        <f t="shared" si="162"/>
        <v>14.45</v>
      </c>
      <c r="RF5" s="40">
        <f t="shared" si="163"/>
        <v>50.4</v>
      </c>
      <c r="RG5" s="40">
        <f t="shared" si="164"/>
        <v>98</v>
      </c>
    </row>
    <row r="6" spans="1:475" x14ac:dyDescent="0.2">
      <c r="A6" s="4">
        <f t="shared" si="0"/>
        <v>3</v>
      </c>
      <c r="B6" s="5" t="s">
        <v>67</v>
      </c>
      <c r="C6" s="4" t="s">
        <v>4</v>
      </c>
      <c r="D6" s="4">
        <v>2002</v>
      </c>
      <c r="E6" s="9">
        <f t="shared" si="1"/>
        <v>163.00001120000456</v>
      </c>
      <c r="F6" s="3" t="str">
        <f t="shared" si="2"/>
        <v>P</v>
      </c>
      <c r="G6" s="3" t="str">
        <f t="shared" si="3"/>
        <v>P</v>
      </c>
      <c r="H6" s="36" t="str">
        <f t="shared" si="4"/>
        <v>National Team</v>
      </c>
      <c r="I6" s="3" t="str">
        <f t="shared" si="5"/>
        <v/>
      </c>
      <c r="J6" s="8">
        <f>IF(COUNT(AQ6,BT6,CW6)&gt;0,LARGE((AQ6,BT6,CW6),1),0)</f>
        <v>45.9</v>
      </c>
      <c r="K6" s="8" t="str">
        <f t="shared" si="6"/>
        <v>2023 Elite Canada</v>
      </c>
      <c r="L6" s="8">
        <f>IF(COUNT(AQ6,BT6,CW6)&gt;1,LARGE((AQ6,BT6,CW6),2),0)</f>
        <v>42.7</v>
      </c>
      <c r="M6" s="8" t="str">
        <f t="shared" si="7"/>
        <v>2022 Nationals</v>
      </c>
      <c r="N6" s="8">
        <f>IF(COUNT(AR6,BU6,CX6)&gt;0,LARGE((AR6,BU6,CX6),1),0)</f>
        <v>23.4</v>
      </c>
      <c r="O6" s="8" t="str">
        <f t="shared" si="8"/>
        <v>2023 Elite Canada</v>
      </c>
      <c r="P6" s="8">
        <f t="shared" si="9"/>
        <v>46.9</v>
      </c>
      <c r="Q6" s="8" t="str">
        <f t="shared" si="10"/>
        <v>2022 Nationals</v>
      </c>
      <c r="R6" s="8">
        <f t="shared" si="11"/>
        <v>4.1000000000000014</v>
      </c>
      <c r="S6" s="11" t="str">
        <f t="shared" si="12"/>
        <v>(Q1)</v>
      </c>
      <c r="T6" s="8" t="str">
        <f t="shared" si="13"/>
        <v>2022 World Cup POR (June 26)</v>
      </c>
      <c r="U6" s="19">
        <v>16.3</v>
      </c>
      <c r="V6" s="19">
        <v>3.4</v>
      </c>
      <c r="W6" s="19">
        <v>0</v>
      </c>
      <c r="X6" s="19">
        <v>0</v>
      </c>
      <c r="Y6" s="19">
        <v>17.3</v>
      </c>
      <c r="Z6" s="19">
        <v>5.7</v>
      </c>
      <c r="AA6" s="19">
        <v>0</v>
      </c>
      <c r="AB6" s="19">
        <v>0</v>
      </c>
      <c r="AC6" s="19"/>
      <c r="AD6" s="19"/>
      <c r="AE6" s="19"/>
      <c r="AF6" s="19"/>
      <c r="AG6" s="19">
        <v>17.600000000000001</v>
      </c>
      <c r="AH6" s="19">
        <v>6.1</v>
      </c>
      <c r="AI6" s="19">
        <v>0.2</v>
      </c>
      <c r="AJ6" s="19">
        <v>0</v>
      </c>
      <c r="AK6" s="19">
        <v>17.5</v>
      </c>
      <c r="AL6" s="19">
        <v>5.9</v>
      </c>
      <c r="AM6" s="19">
        <v>0</v>
      </c>
      <c r="AN6" s="19">
        <v>0</v>
      </c>
      <c r="AO6" s="27"/>
      <c r="AP6" s="40">
        <f t="shared" si="14"/>
        <v>9.1</v>
      </c>
      <c r="AQ6" s="40">
        <f t="shared" si="15"/>
        <v>42.7</v>
      </c>
      <c r="AR6" s="40" t="str">
        <f t="shared" si="16"/>
        <v/>
      </c>
      <c r="AS6" s="40">
        <f t="shared" si="17"/>
        <v>9.1</v>
      </c>
      <c r="AT6" s="40">
        <f t="shared" si="18"/>
        <v>42.7</v>
      </c>
      <c r="AU6" s="40">
        <f t="shared" si="19"/>
        <v>12</v>
      </c>
      <c r="AV6" s="40">
        <f t="shared" si="20"/>
        <v>46.9</v>
      </c>
      <c r="AW6" s="40">
        <f t="shared" si="21"/>
        <v>89.6</v>
      </c>
      <c r="AX6" s="18">
        <v>17.100000000000001</v>
      </c>
      <c r="AY6" s="18">
        <v>6.1</v>
      </c>
      <c r="AZ6" s="18">
        <v>0</v>
      </c>
      <c r="BA6" s="18">
        <v>0</v>
      </c>
      <c r="BB6" s="18">
        <v>15.2</v>
      </c>
      <c r="BC6" s="18">
        <v>3.7</v>
      </c>
      <c r="BD6" s="18">
        <v>0</v>
      </c>
      <c r="BE6" s="18">
        <v>0</v>
      </c>
      <c r="BF6" s="18"/>
      <c r="BG6" s="18"/>
      <c r="BH6" s="18"/>
      <c r="BI6" s="18"/>
      <c r="BJ6" s="18">
        <v>16.5</v>
      </c>
      <c r="BK6" s="18">
        <v>5.3</v>
      </c>
      <c r="BL6" s="18">
        <v>0.2</v>
      </c>
      <c r="BM6" s="18">
        <v>0</v>
      </c>
      <c r="BN6" s="18">
        <v>16.2</v>
      </c>
      <c r="BO6" s="18">
        <v>6.1</v>
      </c>
      <c r="BP6" s="18">
        <v>0</v>
      </c>
      <c r="BQ6" s="18">
        <v>0</v>
      </c>
      <c r="BR6" s="28"/>
      <c r="BS6" s="11">
        <f t="shared" si="22"/>
        <v>9.8000000000000007</v>
      </c>
      <c r="BT6" s="11">
        <f t="shared" si="23"/>
        <v>42.100000000000009</v>
      </c>
      <c r="BU6" s="11" t="str">
        <f t="shared" si="24"/>
        <v/>
      </c>
      <c r="BV6" s="11">
        <f t="shared" si="25"/>
        <v>9.8000000000000007</v>
      </c>
      <c r="BW6" s="11">
        <f t="shared" si="26"/>
        <v>42.100000000000009</v>
      </c>
      <c r="BX6" s="11">
        <f t="shared" si="27"/>
        <v>11.399999999999999</v>
      </c>
      <c r="BY6" s="11">
        <f t="shared" si="28"/>
        <v>43.9</v>
      </c>
      <c r="BZ6" s="11">
        <f t="shared" si="29"/>
        <v>86</v>
      </c>
      <c r="CA6" s="19">
        <v>17.399999999999999</v>
      </c>
      <c r="CB6" s="19">
        <v>5.7</v>
      </c>
      <c r="CC6" s="19">
        <v>0</v>
      </c>
      <c r="CD6" s="19">
        <v>0</v>
      </c>
      <c r="CE6" s="19">
        <v>16.899999999999999</v>
      </c>
      <c r="CF6" s="19">
        <v>5.9</v>
      </c>
      <c r="CG6" s="19">
        <v>0</v>
      </c>
      <c r="CH6" s="19">
        <v>0</v>
      </c>
      <c r="CI6" s="19">
        <v>17.3</v>
      </c>
      <c r="CJ6" s="19">
        <v>6.1</v>
      </c>
      <c r="CK6" s="19">
        <v>0</v>
      </c>
      <c r="CL6" s="19">
        <v>0</v>
      </c>
      <c r="CM6" s="19">
        <v>18.2</v>
      </c>
      <c r="CN6" s="19">
        <v>5.3</v>
      </c>
      <c r="CO6" s="19">
        <v>0</v>
      </c>
      <c r="CP6" s="19">
        <v>0</v>
      </c>
      <c r="CQ6" s="19">
        <v>17.3</v>
      </c>
      <c r="CR6" s="19">
        <v>4.3</v>
      </c>
      <c r="CS6" s="19">
        <v>0.5</v>
      </c>
      <c r="CT6" s="19">
        <v>0</v>
      </c>
      <c r="CU6" s="27"/>
      <c r="CV6" s="40">
        <f t="shared" si="30"/>
        <v>11.600000000000001</v>
      </c>
      <c r="CW6" s="40">
        <f t="shared" si="31"/>
        <v>45.9</v>
      </c>
      <c r="CX6" s="40">
        <f t="shared" si="32"/>
        <v>23.4</v>
      </c>
      <c r="CY6" s="40">
        <f t="shared" si="33"/>
        <v>17.700000000000003</v>
      </c>
      <c r="CZ6" s="40">
        <f t="shared" si="34"/>
        <v>69.3</v>
      </c>
      <c r="DA6" s="40">
        <f t="shared" si="35"/>
        <v>9.6</v>
      </c>
      <c r="DB6" s="40">
        <f t="shared" si="36"/>
        <v>44.599999999999994</v>
      </c>
      <c r="DC6" s="40">
        <f t="shared" si="37"/>
        <v>90.5</v>
      </c>
      <c r="DD6" s="50">
        <f t="shared" si="38"/>
        <v>4.1000000000000014</v>
      </c>
      <c r="DE6" s="50" t="str">
        <f t="shared" si="39"/>
        <v/>
      </c>
      <c r="DF6" s="50" t="str">
        <f t="shared" si="40"/>
        <v/>
      </c>
      <c r="DG6" s="17">
        <v>16.8</v>
      </c>
      <c r="DH6" s="17">
        <v>5.9</v>
      </c>
      <c r="DI6" s="17">
        <v>0</v>
      </c>
      <c r="DJ6" s="17">
        <v>0</v>
      </c>
      <c r="DK6" s="17">
        <v>17.2</v>
      </c>
      <c r="DL6" s="17">
        <v>6.1</v>
      </c>
      <c r="DM6" s="17">
        <v>0</v>
      </c>
      <c r="DN6" s="17">
        <v>0</v>
      </c>
      <c r="DO6" s="17"/>
      <c r="DP6" s="17"/>
      <c r="DQ6" s="17"/>
      <c r="DR6" s="17"/>
      <c r="DS6" s="17">
        <v>17.3</v>
      </c>
      <c r="DT6" s="17">
        <v>6.1</v>
      </c>
      <c r="DU6" s="17">
        <v>0</v>
      </c>
      <c r="DV6" s="17">
        <v>0</v>
      </c>
      <c r="DW6" s="17">
        <v>17.3</v>
      </c>
      <c r="DX6" s="17">
        <v>5.9</v>
      </c>
      <c r="DY6" s="17">
        <v>0</v>
      </c>
      <c r="DZ6" s="17">
        <v>0</v>
      </c>
      <c r="EA6" s="40">
        <f t="shared" si="41"/>
        <v>12</v>
      </c>
      <c r="EB6" s="40">
        <f t="shared" si="42"/>
        <v>46.000000000000007</v>
      </c>
      <c r="EC6" s="40" t="str">
        <f t="shared" si="43"/>
        <v/>
      </c>
      <c r="ED6" s="40">
        <f t="shared" si="44"/>
        <v>12</v>
      </c>
      <c r="EE6" s="40">
        <f t="shared" si="45"/>
        <v>46.000000000000007</v>
      </c>
      <c r="EF6" s="40">
        <f t="shared" si="46"/>
        <v>12</v>
      </c>
      <c r="EG6" s="40">
        <f t="shared" si="47"/>
        <v>46.6</v>
      </c>
      <c r="EH6" s="40">
        <f t="shared" si="48"/>
        <v>92.600000000000009</v>
      </c>
      <c r="EI6" s="18">
        <v>16.899999999999999</v>
      </c>
      <c r="EJ6" s="18">
        <v>6.1</v>
      </c>
      <c r="EK6" s="18">
        <v>0</v>
      </c>
      <c r="EL6" s="18">
        <v>0</v>
      </c>
      <c r="EM6" s="18">
        <v>16.2</v>
      </c>
      <c r="EN6" s="18">
        <v>4</v>
      </c>
      <c r="EO6" s="18">
        <v>2</v>
      </c>
      <c r="EP6" s="18">
        <v>0</v>
      </c>
      <c r="EQ6" s="18"/>
      <c r="ER6" s="18"/>
      <c r="ES6" s="18"/>
      <c r="ET6" s="18"/>
      <c r="EU6" s="18">
        <v>17.2</v>
      </c>
      <c r="EV6" s="18">
        <v>6.5</v>
      </c>
      <c r="EW6" s="18">
        <v>0</v>
      </c>
      <c r="EX6" s="18">
        <v>0</v>
      </c>
      <c r="EY6" s="18"/>
      <c r="EZ6" s="18"/>
      <c r="FA6" s="18"/>
      <c r="FB6" s="18"/>
      <c r="FC6" s="11">
        <f t="shared" si="49"/>
        <v>10.1</v>
      </c>
      <c r="FD6" s="11">
        <f t="shared" si="50"/>
        <v>41.2</v>
      </c>
      <c r="FE6" s="11" t="str">
        <f t="shared" si="51"/>
        <v/>
      </c>
      <c r="FF6" s="11">
        <f t="shared" si="52"/>
        <v>10.1</v>
      </c>
      <c r="FG6" s="11">
        <f t="shared" si="53"/>
        <v>41.2</v>
      </c>
      <c r="FH6" s="11">
        <f t="shared" si="54"/>
        <v>6.5</v>
      </c>
      <c r="FI6" s="11">
        <f t="shared" si="55"/>
        <v>23.7</v>
      </c>
      <c r="FJ6" s="11">
        <f t="shared" si="56"/>
        <v>64.900000000000006</v>
      </c>
      <c r="FK6" s="17">
        <v>17.600000000000001</v>
      </c>
      <c r="FL6" s="17">
        <v>6.1</v>
      </c>
      <c r="FM6" s="17">
        <v>0</v>
      </c>
      <c r="FN6" s="17">
        <v>0</v>
      </c>
      <c r="FO6" s="17">
        <v>17.2</v>
      </c>
      <c r="FP6" s="17">
        <v>5.9</v>
      </c>
      <c r="FQ6" s="17">
        <v>0</v>
      </c>
      <c r="FR6" s="17">
        <v>0</v>
      </c>
      <c r="FS6" s="17"/>
      <c r="FT6" s="17"/>
      <c r="FU6" s="17"/>
      <c r="FV6" s="17"/>
      <c r="FW6" s="17">
        <v>13.2</v>
      </c>
      <c r="FX6" s="17">
        <v>3.6</v>
      </c>
      <c r="FY6" s="17">
        <v>0</v>
      </c>
      <c r="FZ6" s="17">
        <v>0</v>
      </c>
      <c r="GA6" s="17"/>
      <c r="GB6" s="17"/>
      <c r="GC6" s="17"/>
      <c r="GD6" s="17"/>
      <c r="GE6" s="40">
        <f t="shared" si="57"/>
        <v>12</v>
      </c>
      <c r="GF6" s="40">
        <f t="shared" si="58"/>
        <v>46.800000000000004</v>
      </c>
      <c r="GG6" s="40" t="str">
        <f t="shared" si="59"/>
        <v/>
      </c>
      <c r="GH6" s="40">
        <f t="shared" si="60"/>
        <v>12</v>
      </c>
      <c r="GI6" s="40">
        <f t="shared" si="61"/>
        <v>46.800000000000004</v>
      </c>
      <c r="GJ6" s="40">
        <f t="shared" si="62"/>
        <v>3.6</v>
      </c>
      <c r="GK6" s="40">
        <f t="shared" si="63"/>
        <v>16.8</v>
      </c>
      <c r="GL6" s="40">
        <f t="shared" si="64"/>
        <v>63.600000000000009</v>
      </c>
      <c r="GM6" s="18"/>
      <c r="GN6" s="18"/>
      <c r="GO6" s="18"/>
      <c r="GP6" s="18"/>
      <c r="GQ6" s="18"/>
      <c r="GR6" s="18"/>
      <c r="GS6" s="18"/>
      <c r="GT6" s="18"/>
      <c r="GU6" s="18"/>
      <c r="GV6" s="18"/>
      <c r="GW6" s="18"/>
      <c r="GX6" s="18"/>
      <c r="GY6" s="18"/>
      <c r="GZ6" s="18"/>
      <c r="HA6" s="18"/>
      <c r="HB6" s="18"/>
      <c r="HC6" s="18"/>
      <c r="HD6" s="18"/>
      <c r="HE6" s="18"/>
      <c r="HF6" s="18"/>
      <c r="HG6" s="11" t="str">
        <f t="shared" si="65"/>
        <v/>
      </c>
      <c r="HH6" s="11" t="str">
        <f t="shared" si="66"/>
        <v/>
      </c>
      <c r="HI6" s="11" t="str">
        <f t="shared" si="67"/>
        <v/>
      </c>
      <c r="HJ6" s="11" t="str">
        <f t="shared" si="68"/>
        <v/>
      </c>
      <c r="HK6" s="11" t="str">
        <f t="shared" si="69"/>
        <v/>
      </c>
      <c r="HL6" s="11" t="str">
        <f t="shared" si="70"/>
        <v/>
      </c>
      <c r="HM6" s="11" t="str">
        <f t="shared" si="71"/>
        <v/>
      </c>
      <c r="HN6" s="11" t="str">
        <f t="shared" si="72"/>
        <v/>
      </c>
      <c r="HO6" s="17"/>
      <c r="HP6" s="17"/>
      <c r="HQ6" s="17"/>
      <c r="HR6" s="17"/>
      <c r="HS6" s="17"/>
      <c r="HT6" s="17"/>
      <c r="HU6" s="17"/>
      <c r="HV6" s="17"/>
      <c r="HW6" s="17"/>
      <c r="HX6" s="17"/>
      <c r="HY6" s="17"/>
      <c r="HZ6" s="17"/>
      <c r="IA6" s="17"/>
      <c r="IB6" s="17"/>
      <c r="IC6" s="17"/>
      <c r="ID6" s="17"/>
      <c r="IE6" s="17"/>
      <c r="IF6" s="17"/>
      <c r="IG6" s="17"/>
      <c r="IH6" s="17"/>
      <c r="II6" s="40" t="str">
        <f t="shared" si="73"/>
        <v/>
      </c>
      <c r="IJ6" s="40" t="str">
        <f t="shared" si="74"/>
        <v/>
      </c>
      <c r="IK6" s="40" t="str">
        <f t="shared" si="75"/>
        <v/>
      </c>
      <c r="IL6" s="40" t="str">
        <f t="shared" si="76"/>
        <v/>
      </c>
      <c r="IM6" s="40" t="str">
        <f t="shared" si="77"/>
        <v/>
      </c>
      <c r="IN6" s="40" t="str">
        <f t="shared" si="78"/>
        <v/>
      </c>
      <c r="IO6" s="40" t="str">
        <f t="shared" si="79"/>
        <v/>
      </c>
      <c r="IP6" s="40" t="str">
        <f t="shared" si="80"/>
        <v/>
      </c>
      <c r="IQ6" s="18">
        <v>15</v>
      </c>
      <c r="IR6" s="18">
        <v>3.8</v>
      </c>
      <c r="IS6" s="18">
        <v>0</v>
      </c>
      <c r="IT6" s="18">
        <v>0</v>
      </c>
      <c r="IU6" s="18">
        <v>8.4</v>
      </c>
      <c r="IV6" s="18">
        <v>2.7</v>
      </c>
      <c r="IW6" s="18">
        <v>0</v>
      </c>
      <c r="IX6" s="18">
        <v>0</v>
      </c>
      <c r="IY6" s="18"/>
      <c r="IZ6" s="18"/>
      <c r="JA6" s="18"/>
      <c r="JB6" s="18"/>
      <c r="JC6" s="18"/>
      <c r="JD6" s="18"/>
      <c r="JE6" s="18"/>
      <c r="JF6" s="18"/>
      <c r="JG6" s="18"/>
      <c r="JH6" s="18"/>
      <c r="JI6" s="18"/>
      <c r="JJ6" s="18"/>
      <c r="JK6" s="11">
        <f t="shared" si="81"/>
        <v>6.5</v>
      </c>
      <c r="JL6" s="11">
        <f t="shared" si="82"/>
        <v>29.900000000000002</v>
      </c>
      <c r="JM6" s="11" t="str">
        <f t="shared" si="83"/>
        <v/>
      </c>
      <c r="JN6" s="11">
        <f t="shared" si="84"/>
        <v>6.5</v>
      </c>
      <c r="JO6" s="11">
        <f t="shared" si="85"/>
        <v>29.900000000000002</v>
      </c>
      <c r="JP6" s="11" t="str">
        <f t="shared" si="86"/>
        <v/>
      </c>
      <c r="JQ6" s="11" t="str">
        <f t="shared" si="87"/>
        <v/>
      </c>
      <c r="JR6" s="11">
        <f t="shared" si="88"/>
        <v>29.900000000000002</v>
      </c>
      <c r="JS6" s="17"/>
      <c r="JT6" s="17"/>
      <c r="JU6" s="17"/>
      <c r="JV6" s="17"/>
      <c r="JW6" s="17"/>
      <c r="JX6" s="17"/>
      <c r="JY6" s="17"/>
      <c r="JZ6" s="17"/>
      <c r="KA6" s="17"/>
      <c r="KB6" s="17"/>
      <c r="KC6" s="17"/>
      <c r="KD6" s="17"/>
      <c r="KE6" s="17"/>
      <c r="KF6" s="17"/>
      <c r="KG6" s="17"/>
      <c r="KH6" s="17"/>
      <c r="KI6" s="17"/>
      <c r="KJ6" s="17"/>
      <c r="KK6" s="17"/>
      <c r="KL6" s="17"/>
      <c r="KM6" s="40" t="str">
        <f t="shared" si="89"/>
        <v/>
      </c>
      <c r="KN6" s="40" t="str">
        <f t="shared" si="90"/>
        <v/>
      </c>
      <c r="KO6" s="40" t="str">
        <f t="shared" si="91"/>
        <v/>
      </c>
      <c r="KP6" s="40" t="str">
        <f t="shared" si="92"/>
        <v/>
      </c>
      <c r="KQ6" s="40" t="str">
        <f t="shared" si="93"/>
        <v/>
      </c>
      <c r="KR6" s="40" t="str">
        <f t="shared" si="94"/>
        <v/>
      </c>
      <c r="KS6" s="40" t="str">
        <f t="shared" si="95"/>
        <v/>
      </c>
      <c r="KT6" s="40" t="str">
        <f t="shared" si="96"/>
        <v/>
      </c>
      <c r="KU6" s="18"/>
      <c r="KV6" s="18"/>
      <c r="KW6" s="18"/>
      <c r="KX6" s="18"/>
      <c r="KY6" s="18"/>
      <c r="KZ6" s="18"/>
      <c r="LA6" s="18"/>
      <c r="LB6" s="18"/>
      <c r="LC6" s="18"/>
      <c r="LD6" s="18"/>
      <c r="LE6" s="18"/>
      <c r="LF6" s="18"/>
      <c r="LG6" s="18"/>
      <c r="LH6" s="18"/>
      <c r="LI6" s="18"/>
      <c r="LJ6" s="18"/>
      <c r="LK6" s="18"/>
      <c r="LL6" s="18"/>
      <c r="LM6" s="18"/>
      <c r="LN6" s="18"/>
      <c r="LO6" s="11" t="str">
        <f t="shared" si="97"/>
        <v/>
      </c>
      <c r="LP6" s="11" t="str">
        <f t="shared" si="98"/>
        <v/>
      </c>
      <c r="LQ6" s="11" t="str">
        <f t="shared" si="99"/>
        <v/>
      </c>
      <c r="LR6" s="11" t="str">
        <f t="shared" si="100"/>
        <v/>
      </c>
      <c r="LS6" s="11" t="str">
        <f t="shared" si="101"/>
        <v/>
      </c>
      <c r="LT6" s="11" t="str">
        <f t="shared" si="102"/>
        <v/>
      </c>
      <c r="LU6" s="11" t="str">
        <f t="shared" si="103"/>
        <v/>
      </c>
      <c r="LV6" s="11" t="str">
        <f t="shared" si="104"/>
        <v/>
      </c>
      <c r="LW6" s="17"/>
      <c r="LX6" s="17"/>
      <c r="LY6" s="17"/>
      <c r="LZ6" s="17"/>
      <c r="MA6" s="17"/>
      <c r="MB6" s="17"/>
      <c r="MC6" s="17"/>
      <c r="MD6" s="17"/>
      <c r="ME6" s="17"/>
      <c r="MF6" s="17"/>
      <c r="MG6" s="17"/>
      <c r="MH6" s="17"/>
      <c r="MI6" s="17"/>
      <c r="MJ6" s="17"/>
      <c r="MK6" s="17"/>
      <c r="ML6" s="17"/>
      <c r="MM6" s="17"/>
      <c r="MN6" s="17"/>
      <c r="MO6" s="17"/>
      <c r="MP6" s="17"/>
      <c r="MQ6" s="40" t="str">
        <f t="shared" si="105"/>
        <v/>
      </c>
      <c r="MR6" s="40" t="str">
        <f t="shared" si="106"/>
        <v/>
      </c>
      <c r="MS6" s="40" t="str">
        <f t="shared" si="107"/>
        <v/>
      </c>
      <c r="MT6" s="40" t="str">
        <f t="shared" si="108"/>
        <v/>
      </c>
      <c r="MU6" s="40" t="str">
        <f t="shared" si="109"/>
        <v/>
      </c>
      <c r="MV6" s="40" t="str">
        <f t="shared" si="110"/>
        <v/>
      </c>
      <c r="MW6" s="40" t="str">
        <f t="shared" si="111"/>
        <v/>
      </c>
      <c r="MX6" s="40" t="str">
        <f t="shared" si="112"/>
        <v/>
      </c>
      <c r="MY6" s="18"/>
      <c r="MZ6" s="18"/>
      <c r="NA6" s="18"/>
      <c r="NB6" s="18"/>
      <c r="NC6" s="18"/>
      <c r="ND6" s="18"/>
      <c r="NE6" s="18"/>
      <c r="NF6" s="18"/>
      <c r="NG6" s="18"/>
      <c r="NH6" s="18"/>
      <c r="NI6" s="18"/>
      <c r="NJ6" s="18"/>
      <c r="NK6" s="18"/>
      <c r="NL6" s="18"/>
      <c r="NM6" s="18"/>
      <c r="NN6" s="18"/>
      <c r="NO6" s="18"/>
      <c r="NP6" s="18"/>
      <c r="NQ6" s="18"/>
      <c r="NR6" s="18"/>
      <c r="NS6" s="11" t="str">
        <f t="shared" si="113"/>
        <v/>
      </c>
      <c r="NT6" s="11" t="str">
        <f t="shared" si="114"/>
        <v/>
      </c>
      <c r="NU6" s="11" t="str">
        <f t="shared" si="115"/>
        <v/>
      </c>
      <c r="NV6" s="11" t="str">
        <f t="shared" si="116"/>
        <v/>
      </c>
      <c r="NW6" s="11" t="str">
        <f t="shared" si="117"/>
        <v/>
      </c>
      <c r="NX6" s="11" t="str">
        <f t="shared" si="118"/>
        <v/>
      </c>
      <c r="NY6" s="11" t="str">
        <f t="shared" si="119"/>
        <v/>
      </c>
      <c r="NZ6" s="11" t="str">
        <f t="shared" si="120"/>
        <v/>
      </c>
      <c r="OA6" s="17"/>
      <c r="OB6" s="17"/>
      <c r="OC6" s="17"/>
      <c r="OD6" s="17"/>
      <c r="OE6" s="17"/>
      <c r="OF6" s="17"/>
      <c r="OG6" s="17"/>
      <c r="OH6" s="17"/>
      <c r="OI6" s="17"/>
      <c r="OJ6" s="17"/>
      <c r="OK6" s="17"/>
      <c r="OL6" s="17"/>
      <c r="OM6" s="17"/>
      <c r="ON6" s="17"/>
      <c r="OO6" s="17"/>
      <c r="OP6" s="17"/>
      <c r="OQ6" s="17"/>
      <c r="OR6" s="17"/>
      <c r="OS6" s="17"/>
      <c r="OT6" s="17"/>
      <c r="OU6" s="40" t="str">
        <f t="shared" si="121"/>
        <v/>
      </c>
      <c r="OV6" s="40" t="str">
        <f t="shared" si="122"/>
        <v/>
      </c>
      <c r="OW6" s="40" t="str">
        <f t="shared" si="123"/>
        <v/>
      </c>
      <c r="OX6" s="40" t="str">
        <f t="shared" si="124"/>
        <v/>
      </c>
      <c r="OY6" s="40" t="str">
        <f t="shared" si="125"/>
        <v/>
      </c>
      <c r="OZ6" s="40" t="str">
        <f t="shared" si="126"/>
        <v/>
      </c>
      <c r="PA6" s="40" t="str">
        <f t="shared" si="127"/>
        <v/>
      </c>
      <c r="PB6" s="40" t="str">
        <f t="shared" si="128"/>
        <v/>
      </c>
      <c r="PC6" s="18"/>
      <c r="PD6" s="18"/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8"/>
      <c r="PS6" s="18"/>
      <c r="PT6" s="18"/>
      <c r="PU6" s="18"/>
      <c r="PV6" s="18"/>
      <c r="PW6" s="11" t="str">
        <f t="shared" si="129"/>
        <v/>
      </c>
      <c r="PX6" s="11" t="str">
        <f t="shared" si="130"/>
        <v/>
      </c>
      <c r="PY6" s="11" t="str">
        <f t="shared" si="131"/>
        <v/>
      </c>
      <c r="PZ6" s="11" t="str">
        <f t="shared" si="132"/>
        <v/>
      </c>
      <c r="QA6" s="11" t="str">
        <f t="shared" si="133"/>
        <v/>
      </c>
      <c r="QB6" s="11" t="str">
        <f t="shared" si="134"/>
        <v/>
      </c>
      <c r="QC6" s="11" t="str">
        <f t="shared" si="135"/>
        <v/>
      </c>
      <c r="QD6" s="11" t="str">
        <f t="shared" si="136"/>
        <v/>
      </c>
      <c r="QE6" s="22">
        <f t="shared" si="137"/>
        <v>17.25</v>
      </c>
      <c r="QF6" s="22">
        <f t="shared" si="138"/>
        <v>5.9</v>
      </c>
      <c r="QG6" s="22">
        <f t="shared" si="139"/>
        <v>0</v>
      </c>
      <c r="QH6" s="22">
        <f t="shared" si="140"/>
        <v>0</v>
      </c>
      <c r="QI6" s="22">
        <f t="shared" si="141"/>
        <v>16.049999999999997</v>
      </c>
      <c r="QJ6" s="22">
        <f t="shared" si="142"/>
        <v>4.8000000000000007</v>
      </c>
      <c r="QK6" s="22">
        <f t="shared" si="143"/>
        <v>0</v>
      </c>
      <c r="QL6" s="22">
        <f t="shared" si="144"/>
        <v>0</v>
      </c>
      <c r="QM6" s="22">
        <f t="shared" si="145"/>
        <v>8.65</v>
      </c>
      <c r="QN6" s="22">
        <f t="shared" si="146"/>
        <v>3.05</v>
      </c>
      <c r="QO6" s="22">
        <f t="shared" si="147"/>
        <v>0</v>
      </c>
      <c r="QP6" s="22">
        <f t="shared" si="148"/>
        <v>0</v>
      </c>
      <c r="QQ6" s="22">
        <f t="shared" si="149"/>
        <v>17.350000000000001</v>
      </c>
      <c r="QR6" s="22">
        <f t="shared" si="150"/>
        <v>5.3</v>
      </c>
      <c r="QS6" s="22">
        <f t="shared" si="151"/>
        <v>0.1</v>
      </c>
      <c r="QT6" s="22">
        <f t="shared" si="152"/>
        <v>0</v>
      </c>
      <c r="QU6" s="22">
        <f t="shared" si="153"/>
        <v>16.75</v>
      </c>
      <c r="QV6" s="22">
        <f t="shared" si="154"/>
        <v>5.1999999999999993</v>
      </c>
      <c r="QW6" s="22">
        <f t="shared" si="155"/>
        <v>0.25</v>
      </c>
      <c r="QX6" s="22">
        <f t="shared" si="156"/>
        <v>0</v>
      </c>
      <c r="QY6" s="27" t="s">
        <v>46</v>
      </c>
      <c r="QZ6" s="40">
        <f t="shared" si="157"/>
        <v>10.700000000000001</v>
      </c>
      <c r="RA6" s="40">
        <f t="shared" si="158"/>
        <v>44</v>
      </c>
      <c r="RB6" s="40">
        <f t="shared" si="159"/>
        <v>11.7</v>
      </c>
      <c r="RC6" s="40">
        <f t="shared" si="160"/>
        <v>13.75</v>
      </c>
      <c r="RD6" s="40">
        <f t="shared" si="161"/>
        <v>55.7</v>
      </c>
      <c r="RE6" s="40">
        <f t="shared" si="162"/>
        <v>10.5</v>
      </c>
      <c r="RF6" s="40">
        <f t="shared" si="163"/>
        <v>44.250000000000007</v>
      </c>
      <c r="RG6" s="40">
        <f t="shared" si="164"/>
        <v>88.25</v>
      </c>
    </row>
    <row r="7" spans="1:475" x14ac:dyDescent="0.2">
      <c r="A7" s="4">
        <f t="shared" si="0"/>
        <v>4</v>
      </c>
      <c r="B7" s="5" t="s">
        <v>107</v>
      </c>
      <c r="C7" s="4" t="s">
        <v>4</v>
      </c>
      <c r="D7" s="4">
        <v>2004</v>
      </c>
      <c r="E7" s="9">
        <f t="shared" si="1"/>
        <v>156.30001114000453</v>
      </c>
      <c r="F7" s="3" t="str">
        <f t="shared" si="2"/>
        <v>P</v>
      </c>
      <c r="G7" s="3" t="str">
        <f t="shared" si="3"/>
        <v>P</v>
      </c>
      <c r="H7" s="36" t="str">
        <f t="shared" si="4"/>
        <v>National Team</v>
      </c>
      <c r="I7" s="3" t="str">
        <f t="shared" si="5"/>
        <v/>
      </c>
      <c r="J7" s="8">
        <f>IF(COUNT(AQ7,BT7,CW7)&gt;0,LARGE((AQ7,BT7,CW7),1),0)</f>
        <v>45.2</v>
      </c>
      <c r="K7" s="8" t="str">
        <f t="shared" si="6"/>
        <v>2023 Elite Canada</v>
      </c>
      <c r="L7" s="8">
        <f>IF(COUNT(AQ7,BT7,CW7)&gt;1,LARGE((AQ7,BT7,CW7),2),0)</f>
        <v>43.699999999999996</v>
      </c>
      <c r="M7" s="8" t="str">
        <f t="shared" si="7"/>
        <v>2022 Nationals</v>
      </c>
      <c r="N7" s="8">
        <f>IF(COUNT(AR7,BU7,CX7)&gt;0,LARGE((AR7,BU7,CX7),1),0)</f>
        <v>22.5</v>
      </c>
      <c r="O7" s="8" t="str">
        <f t="shared" si="8"/>
        <v>2023 Elite Canada</v>
      </c>
      <c r="P7" s="8">
        <f t="shared" si="9"/>
        <v>43.74</v>
      </c>
      <c r="Q7" s="8" t="str">
        <f t="shared" si="10"/>
        <v>2022 3rd Domestic Trial</v>
      </c>
      <c r="R7" s="8">
        <f t="shared" si="11"/>
        <v>1.1599999999999966</v>
      </c>
      <c r="S7" s="11" t="str">
        <f t="shared" si="12"/>
        <v>(Final)</v>
      </c>
      <c r="T7" s="8" t="str">
        <f t="shared" si="13"/>
        <v>2022 Coimbra Gym Fest (June 26)</v>
      </c>
      <c r="U7" s="19">
        <v>17.600000000000001</v>
      </c>
      <c r="V7" s="19">
        <v>4.8</v>
      </c>
      <c r="W7" s="19">
        <v>0.9</v>
      </c>
      <c r="X7" s="19">
        <v>0</v>
      </c>
      <c r="Y7" s="19">
        <v>16.399999999999999</v>
      </c>
      <c r="Z7" s="19">
        <v>5.8</v>
      </c>
      <c r="AA7" s="19">
        <v>0</v>
      </c>
      <c r="AB7" s="19">
        <v>0</v>
      </c>
      <c r="AC7" s="19"/>
      <c r="AD7" s="19"/>
      <c r="AE7" s="19"/>
      <c r="AF7" s="19"/>
      <c r="AG7" s="19">
        <v>15.5</v>
      </c>
      <c r="AH7" s="19">
        <v>4.4000000000000004</v>
      </c>
      <c r="AI7" s="19">
        <v>0.6</v>
      </c>
      <c r="AJ7" s="19">
        <v>0</v>
      </c>
      <c r="AK7" s="19">
        <v>15.6</v>
      </c>
      <c r="AL7" s="19">
        <v>3</v>
      </c>
      <c r="AM7" s="19">
        <v>0</v>
      </c>
      <c r="AN7" s="19">
        <v>0</v>
      </c>
      <c r="AO7" s="27"/>
      <c r="AP7" s="40">
        <f t="shared" si="14"/>
        <v>10.6</v>
      </c>
      <c r="AQ7" s="40">
        <f t="shared" si="15"/>
        <v>43.699999999999996</v>
      </c>
      <c r="AR7" s="40" t="str">
        <f t="shared" si="16"/>
        <v/>
      </c>
      <c r="AS7" s="40">
        <f t="shared" si="17"/>
        <v>10.6</v>
      </c>
      <c r="AT7" s="40">
        <f t="shared" si="18"/>
        <v>43.699999999999996</v>
      </c>
      <c r="AU7" s="40">
        <f t="shared" si="19"/>
        <v>7.4</v>
      </c>
      <c r="AV7" s="40">
        <f t="shared" si="20"/>
        <v>37.9</v>
      </c>
      <c r="AW7" s="40">
        <f t="shared" si="21"/>
        <v>81.599999999999994</v>
      </c>
      <c r="AX7" s="18">
        <v>15.3</v>
      </c>
      <c r="AY7" s="18">
        <v>5.5</v>
      </c>
      <c r="AZ7" s="18">
        <v>0</v>
      </c>
      <c r="BA7" s="18">
        <v>0</v>
      </c>
      <c r="BB7" s="18">
        <v>16.8</v>
      </c>
      <c r="BC7" s="18">
        <v>5.5</v>
      </c>
      <c r="BD7" s="18">
        <v>0</v>
      </c>
      <c r="BE7" s="18">
        <v>0</v>
      </c>
      <c r="BF7" s="18"/>
      <c r="BG7" s="18"/>
      <c r="BH7" s="18"/>
      <c r="BI7" s="18"/>
      <c r="BJ7" s="18">
        <v>16.54</v>
      </c>
      <c r="BK7" s="18">
        <v>5.7</v>
      </c>
      <c r="BL7" s="18">
        <v>0</v>
      </c>
      <c r="BM7" s="18">
        <v>0</v>
      </c>
      <c r="BN7" s="18">
        <v>16.399999999999999</v>
      </c>
      <c r="BO7" s="18">
        <v>5.0999999999999996</v>
      </c>
      <c r="BP7" s="18">
        <v>0</v>
      </c>
      <c r="BQ7" s="18">
        <v>0</v>
      </c>
      <c r="BR7" s="28"/>
      <c r="BS7" s="11">
        <f t="shared" si="22"/>
        <v>11</v>
      </c>
      <c r="BT7" s="11">
        <f t="shared" si="23"/>
        <v>43.1</v>
      </c>
      <c r="BU7" s="11" t="str">
        <f t="shared" si="24"/>
        <v/>
      </c>
      <c r="BV7" s="11">
        <f t="shared" si="25"/>
        <v>11</v>
      </c>
      <c r="BW7" s="11">
        <f t="shared" si="26"/>
        <v>43.1</v>
      </c>
      <c r="BX7" s="11">
        <f t="shared" si="27"/>
        <v>10.8</v>
      </c>
      <c r="BY7" s="11">
        <f t="shared" si="28"/>
        <v>43.74</v>
      </c>
      <c r="BZ7" s="11">
        <f t="shared" si="29"/>
        <v>86.84</v>
      </c>
      <c r="CA7" s="19">
        <v>16.5</v>
      </c>
      <c r="CB7" s="19">
        <v>6.1</v>
      </c>
      <c r="CC7" s="19">
        <v>0.2</v>
      </c>
      <c r="CD7" s="19">
        <v>0</v>
      </c>
      <c r="CE7" s="19">
        <v>16.600000000000001</v>
      </c>
      <c r="CF7" s="19">
        <v>6.2</v>
      </c>
      <c r="CG7" s="19">
        <v>0</v>
      </c>
      <c r="CH7" s="19">
        <v>0</v>
      </c>
      <c r="CI7" s="19">
        <v>16.3</v>
      </c>
      <c r="CJ7" s="19">
        <v>6.2</v>
      </c>
      <c r="CK7" s="19">
        <v>0</v>
      </c>
      <c r="CL7" s="19">
        <v>0</v>
      </c>
      <c r="CM7" s="19">
        <v>15.8</v>
      </c>
      <c r="CN7" s="19">
        <v>3.3</v>
      </c>
      <c r="CO7" s="19">
        <v>0</v>
      </c>
      <c r="CP7" s="19">
        <v>0</v>
      </c>
      <c r="CQ7" s="19">
        <v>13.5</v>
      </c>
      <c r="CR7" s="19">
        <v>5.7</v>
      </c>
      <c r="CS7" s="19">
        <v>0</v>
      </c>
      <c r="CT7" s="19">
        <v>0</v>
      </c>
      <c r="CU7" s="27"/>
      <c r="CV7" s="40">
        <f t="shared" si="30"/>
        <v>12.3</v>
      </c>
      <c r="CW7" s="40">
        <f t="shared" si="31"/>
        <v>45.2</v>
      </c>
      <c r="CX7" s="40">
        <f t="shared" si="32"/>
        <v>22.5</v>
      </c>
      <c r="CY7" s="40">
        <f t="shared" si="33"/>
        <v>18.5</v>
      </c>
      <c r="CZ7" s="40">
        <f t="shared" si="34"/>
        <v>67.7</v>
      </c>
      <c r="DA7" s="40">
        <f t="shared" si="35"/>
        <v>9</v>
      </c>
      <c r="DB7" s="40">
        <f t="shared" si="36"/>
        <v>38.300000000000004</v>
      </c>
      <c r="DC7" s="40">
        <f t="shared" si="37"/>
        <v>83.5</v>
      </c>
      <c r="DD7" s="50" t="str">
        <f t="shared" si="38"/>
        <v/>
      </c>
      <c r="DE7" s="50" t="str">
        <f t="shared" si="39"/>
        <v/>
      </c>
      <c r="DF7" s="50">
        <f t="shared" si="40"/>
        <v>1.1599999999999966</v>
      </c>
      <c r="DG7" s="17">
        <v>15.3</v>
      </c>
      <c r="DH7" s="17">
        <v>2.9</v>
      </c>
      <c r="DI7" s="17">
        <v>0</v>
      </c>
      <c r="DJ7" s="17">
        <v>0</v>
      </c>
      <c r="DK7" s="17">
        <v>17</v>
      </c>
      <c r="DL7" s="17">
        <v>4.8</v>
      </c>
      <c r="DM7" s="17">
        <v>0</v>
      </c>
      <c r="DN7" s="17">
        <v>0</v>
      </c>
      <c r="DO7" s="17"/>
      <c r="DP7" s="17"/>
      <c r="DQ7" s="17"/>
      <c r="DR7" s="17"/>
      <c r="DS7" s="17">
        <v>16.600000000000001</v>
      </c>
      <c r="DT7" s="17">
        <v>5.3</v>
      </c>
      <c r="DU7" s="17">
        <v>0.2</v>
      </c>
      <c r="DV7" s="17">
        <v>0</v>
      </c>
      <c r="DW7" s="17">
        <v>16.899999999999999</v>
      </c>
      <c r="DX7" s="17">
        <v>4.4000000000000004</v>
      </c>
      <c r="DY7" s="17">
        <v>0.4</v>
      </c>
      <c r="DZ7" s="17">
        <v>0</v>
      </c>
      <c r="EA7" s="40">
        <f t="shared" si="41"/>
        <v>7.6999999999999993</v>
      </c>
      <c r="EB7" s="40">
        <f t="shared" si="42"/>
        <v>40</v>
      </c>
      <c r="EC7" s="40" t="str">
        <f t="shared" si="43"/>
        <v/>
      </c>
      <c r="ED7" s="40">
        <f t="shared" si="44"/>
        <v>7.6999999999999993</v>
      </c>
      <c r="EE7" s="40">
        <f t="shared" si="45"/>
        <v>40</v>
      </c>
      <c r="EF7" s="40">
        <f t="shared" si="46"/>
        <v>9.6999999999999993</v>
      </c>
      <c r="EG7" s="40">
        <f t="shared" si="47"/>
        <v>42.599999999999994</v>
      </c>
      <c r="EH7" s="40">
        <f t="shared" si="48"/>
        <v>82.6</v>
      </c>
      <c r="EI7" s="18"/>
      <c r="EJ7" s="18"/>
      <c r="EK7" s="18"/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8"/>
      <c r="FA7" s="18"/>
      <c r="FB7" s="18"/>
      <c r="FC7" s="11" t="str">
        <f t="shared" si="49"/>
        <v/>
      </c>
      <c r="FD7" s="11" t="str">
        <f t="shared" si="50"/>
        <v/>
      </c>
      <c r="FE7" s="11" t="str">
        <f t="shared" si="51"/>
        <v/>
      </c>
      <c r="FF7" s="11" t="str">
        <f t="shared" si="52"/>
        <v/>
      </c>
      <c r="FG7" s="11" t="str">
        <f t="shared" si="53"/>
        <v/>
      </c>
      <c r="FH7" s="11" t="str">
        <f t="shared" si="54"/>
        <v/>
      </c>
      <c r="FI7" s="11" t="str">
        <f t="shared" si="55"/>
        <v/>
      </c>
      <c r="FJ7" s="11" t="str">
        <f t="shared" si="56"/>
        <v/>
      </c>
      <c r="FK7" s="17"/>
      <c r="FL7" s="17"/>
      <c r="FM7" s="17"/>
      <c r="FN7" s="17"/>
      <c r="FO7" s="17"/>
      <c r="FP7" s="17"/>
      <c r="FQ7" s="17"/>
      <c r="FR7" s="17"/>
      <c r="FS7" s="17"/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40" t="str">
        <f t="shared" si="57"/>
        <v/>
      </c>
      <c r="GF7" s="40" t="str">
        <f t="shared" si="58"/>
        <v/>
      </c>
      <c r="GG7" s="40" t="str">
        <f t="shared" si="59"/>
        <v/>
      </c>
      <c r="GH7" s="40" t="str">
        <f t="shared" si="60"/>
        <v/>
      </c>
      <c r="GI7" s="40" t="str">
        <f t="shared" si="61"/>
        <v/>
      </c>
      <c r="GJ7" s="40" t="str">
        <f t="shared" si="62"/>
        <v/>
      </c>
      <c r="GK7" s="40" t="str">
        <f t="shared" si="63"/>
        <v/>
      </c>
      <c r="GL7" s="40" t="str">
        <f t="shared" si="64"/>
        <v/>
      </c>
      <c r="GM7" s="18">
        <v>15.3</v>
      </c>
      <c r="GN7" s="18">
        <v>5.3</v>
      </c>
      <c r="GO7" s="18">
        <v>0</v>
      </c>
      <c r="GP7" s="18">
        <v>0</v>
      </c>
      <c r="GQ7" s="18">
        <v>16.5</v>
      </c>
      <c r="GR7" s="18">
        <v>4.8</v>
      </c>
      <c r="GS7" s="18">
        <v>0.2</v>
      </c>
      <c r="GT7" s="18">
        <v>0</v>
      </c>
      <c r="GU7" s="18"/>
      <c r="GV7" s="18"/>
      <c r="GW7" s="18"/>
      <c r="GX7" s="18"/>
      <c r="GY7" s="18">
        <v>17.399999999999999</v>
      </c>
      <c r="GZ7" s="18">
        <v>4.8</v>
      </c>
      <c r="HA7" s="18">
        <v>0</v>
      </c>
      <c r="HB7" s="18">
        <v>0</v>
      </c>
      <c r="HC7" s="18">
        <v>17.2</v>
      </c>
      <c r="HD7" s="18">
        <v>5.7</v>
      </c>
      <c r="HE7" s="18">
        <v>0.2</v>
      </c>
      <c r="HF7" s="18">
        <v>0</v>
      </c>
      <c r="HG7" s="11">
        <f t="shared" si="65"/>
        <v>10.1</v>
      </c>
      <c r="HH7" s="11">
        <f t="shared" si="66"/>
        <v>41.699999999999996</v>
      </c>
      <c r="HI7" s="11" t="str">
        <f t="shared" si="67"/>
        <v/>
      </c>
      <c r="HJ7" s="11">
        <f t="shared" si="68"/>
        <v>10.1</v>
      </c>
      <c r="HK7" s="11">
        <f t="shared" si="69"/>
        <v>41.699999999999996</v>
      </c>
      <c r="HL7" s="11">
        <f t="shared" si="70"/>
        <v>10.5</v>
      </c>
      <c r="HM7" s="11">
        <f t="shared" si="71"/>
        <v>44.9</v>
      </c>
      <c r="HN7" s="11">
        <f t="shared" si="72"/>
        <v>86.6</v>
      </c>
      <c r="HO7" s="17"/>
      <c r="HP7" s="17"/>
      <c r="HQ7" s="17"/>
      <c r="HR7" s="17"/>
      <c r="HS7" s="17"/>
      <c r="HT7" s="17"/>
      <c r="HU7" s="17"/>
      <c r="HV7" s="17"/>
      <c r="HW7" s="17"/>
      <c r="HX7" s="17"/>
      <c r="HY7" s="17"/>
      <c r="HZ7" s="17"/>
      <c r="IA7" s="17"/>
      <c r="IB7" s="17"/>
      <c r="IC7" s="17"/>
      <c r="ID7" s="17"/>
      <c r="IE7" s="17"/>
      <c r="IF7" s="17"/>
      <c r="IG7" s="17"/>
      <c r="IH7" s="17"/>
      <c r="II7" s="40" t="str">
        <f t="shared" si="73"/>
        <v/>
      </c>
      <c r="IJ7" s="40" t="str">
        <f t="shared" si="74"/>
        <v/>
      </c>
      <c r="IK7" s="40" t="str">
        <f t="shared" si="75"/>
        <v/>
      </c>
      <c r="IL7" s="40" t="str">
        <f t="shared" si="76"/>
        <v/>
      </c>
      <c r="IM7" s="40" t="str">
        <f t="shared" si="77"/>
        <v/>
      </c>
      <c r="IN7" s="40" t="str">
        <f t="shared" si="78"/>
        <v/>
      </c>
      <c r="IO7" s="40" t="str">
        <f t="shared" si="79"/>
        <v/>
      </c>
      <c r="IP7" s="40" t="str">
        <f t="shared" si="80"/>
        <v/>
      </c>
      <c r="IQ7" s="18"/>
      <c r="IR7" s="18"/>
      <c r="IS7" s="18"/>
      <c r="IT7" s="18"/>
      <c r="IU7" s="18"/>
      <c r="IV7" s="18"/>
      <c r="IW7" s="18"/>
      <c r="IX7" s="18"/>
      <c r="IY7" s="18"/>
      <c r="IZ7" s="18"/>
      <c r="JA7" s="18"/>
      <c r="JB7" s="18"/>
      <c r="JC7" s="18"/>
      <c r="JD7" s="18"/>
      <c r="JE7" s="18"/>
      <c r="JF7" s="18"/>
      <c r="JG7" s="18"/>
      <c r="JH7" s="18"/>
      <c r="JI7" s="18"/>
      <c r="JJ7" s="18"/>
      <c r="JK7" s="11" t="str">
        <f t="shared" si="81"/>
        <v/>
      </c>
      <c r="JL7" s="11" t="str">
        <f t="shared" si="82"/>
        <v/>
      </c>
      <c r="JM7" s="11" t="str">
        <f t="shared" si="83"/>
        <v/>
      </c>
      <c r="JN7" s="11" t="str">
        <f t="shared" si="84"/>
        <v/>
      </c>
      <c r="JO7" s="11" t="str">
        <f t="shared" si="85"/>
        <v/>
      </c>
      <c r="JP7" s="11" t="str">
        <f t="shared" si="86"/>
        <v/>
      </c>
      <c r="JQ7" s="11" t="str">
        <f t="shared" si="87"/>
        <v/>
      </c>
      <c r="JR7" s="11" t="str">
        <f t="shared" si="88"/>
        <v/>
      </c>
      <c r="JS7" s="17"/>
      <c r="JT7" s="17"/>
      <c r="JU7" s="17"/>
      <c r="JV7" s="17"/>
      <c r="JW7" s="17"/>
      <c r="JX7" s="17"/>
      <c r="JY7" s="17"/>
      <c r="JZ7" s="17"/>
      <c r="KA7" s="17"/>
      <c r="KB7" s="17"/>
      <c r="KC7" s="17"/>
      <c r="KD7" s="17"/>
      <c r="KE7" s="17"/>
      <c r="KF7" s="17"/>
      <c r="KG7" s="17"/>
      <c r="KH7" s="17"/>
      <c r="KI7" s="17"/>
      <c r="KJ7" s="17"/>
      <c r="KK7" s="17"/>
      <c r="KL7" s="17"/>
      <c r="KM7" s="40" t="str">
        <f t="shared" si="89"/>
        <v/>
      </c>
      <c r="KN7" s="40" t="str">
        <f t="shared" si="90"/>
        <v/>
      </c>
      <c r="KO7" s="40" t="str">
        <f t="shared" si="91"/>
        <v/>
      </c>
      <c r="KP7" s="40" t="str">
        <f t="shared" si="92"/>
        <v/>
      </c>
      <c r="KQ7" s="40" t="str">
        <f t="shared" si="93"/>
        <v/>
      </c>
      <c r="KR7" s="40" t="str">
        <f t="shared" si="94"/>
        <v/>
      </c>
      <c r="KS7" s="40" t="str">
        <f t="shared" si="95"/>
        <v/>
      </c>
      <c r="KT7" s="40" t="str">
        <f t="shared" si="96"/>
        <v/>
      </c>
      <c r="KU7" s="18">
        <v>12.3</v>
      </c>
      <c r="KV7" s="18">
        <v>2.6</v>
      </c>
      <c r="KW7" s="18">
        <v>0</v>
      </c>
      <c r="KX7" s="18">
        <v>0</v>
      </c>
      <c r="KY7" s="18">
        <v>18</v>
      </c>
      <c r="KZ7" s="18">
        <v>4.8</v>
      </c>
      <c r="LA7" s="18">
        <v>0</v>
      </c>
      <c r="LB7" s="18">
        <v>0</v>
      </c>
      <c r="LC7" s="18"/>
      <c r="LD7" s="18"/>
      <c r="LE7" s="18"/>
      <c r="LF7" s="18"/>
      <c r="LG7" s="18"/>
      <c r="LH7" s="18"/>
      <c r="LI7" s="18"/>
      <c r="LJ7" s="18"/>
      <c r="LK7" s="18"/>
      <c r="LL7" s="18"/>
      <c r="LM7" s="18"/>
      <c r="LN7" s="18"/>
      <c r="LO7" s="11">
        <f t="shared" si="97"/>
        <v>7.4</v>
      </c>
      <c r="LP7" s="11">
        <f t="shared" si="98"/>
        <v>37.699999999999996</v>
      </c>
      <c r="LQ7" s="11" t="str">
        <f t="shared" si="99"/>
        <v/>
      </c>
      <c r="LR7" s="11">
        <f t="shared" si="100"/>
        <v>7.4</v>
      </c>
      <c r="LS7" s="11">
        <f t="shared" si="101"/>
        <v>37.699999999999996</v>
      </c>
      <c r="LT7" s="11" t="str">
        <f t="shared" si="102"/>
        <v/>
      </c>
      <c r="LU7" s="11" t="str">
        <f t="shared" si="103"/>
        <v/>
      </c>
      <c r="LV7" s="11">
        <f t="shared" si="104"/>
        <v>37.699999999999996</v>
      </c>
      <c r="LW7" s="17"/>
      <c r="LX7" s="17"/>
      <c r="LY7" s="17"/>
      <c r="LZ7" s="17"/>
      <c r="MA7" s="17"/>
      <c r="MB7" s="17"/>
      <c r="MC7" s="17"/>
      <c r="MD7" s="17"/>
      <c r="ME7" s="17"/>
      <c r="MF7" s="17"/>
      <c r="MG7" s="17"/>
      <c r="MH7" s="17"/>
      <c r="MI7" s="17"/>
      <c r="MJ7" s="17"/>
      <c r="MK7" s="17"/>
      <c r="ML7" s="17"/>
      <c r="MM7" s="17"/>
      <c r="MN7" s="17"/>
      <c r="MO7" s="17"/>
      <c r="MP7" s="17"/>
      <c r="MQ7" s="40" t="str">
        <f t="shared" si="105"/>
        <v/>
      </c>
      <c r="MR7" s="40" t="str">
        <f t="shared" si="106"/>
        <v/>
      </c>
      <c r="MS7" s="40" t="str">
        <f t="shared" si="107"/>
        <v/>
      </c>
      <c r="MT7" s="40" t="str">
        <f t="shared" si="108"/>
        <v/>
      </c>
      <c r="MU7" s="40" t="str">
        <f t="shared" si="109"/>
        <v/>
      </c>
      <c r="MV7" s="40" t="str">
        <f t="shared" si="110"/>
        <v/>
      </c>
      <c r="MW7" s="40" t="str">
        <f t="shared" si="111"/>
        <v/>
      </c>
      <c r="MX7" s="40" t="str">
        <f t="shared" si="112"/>
        <v/>
      </c>
      <c r="MY7" s="18"/>
      <c r="MZ7" s="18"/>
      <c r="NA7" s="18"/>
      <c r="NB7" s="18"/>
      <c r="NC7" s="18"/>
      <c r="ND7" s="18"/>
      <c r="NE7" s="18"/>
      <c r="NF7" s="18"/>
      <c r="NG7" s="18"/>
      <c r="NH7" s="18"/>
      <c r="NI7" s="18"/>
      <c r="NJ7" s="18"/>
      <c r="NK7" s="18"/>
      <c r="NL7" s="18"/>
      <c r="NM7" s="18"/>
      <c r="NN7" s="18"/>
      <c r="NO7" s="18"/>
      <c r="NP7" s="18"/>
      <c r="NQ7" s="18"/>
      <c r="NR7" s="18"/>
      <c r="NS7" s="11" t="str">
        <f t="shared" si="113"/>
        <v/>
      </c>
      <c r="NT7" s="11" t="str">
        <f t="shared" si="114"/>
        <v/>
      </c>
      <c r="NU7" s="11" t="str">
        <f t="shared" si="115"/>
        <v/>
      </c>
      <c r="NV7" s="11" t="str">
        <f t="shared" si="116"/>
        <v/>
      </c>
      <c r="NW7" s="11" t="str">
        <f t="shared" si="117"/>
        <v/>
      </c>
      <c r="NX7" s="11" t="str">
        <f t="shared" si="118"/>
        <v/>
      </c>
      <c r="NY7" s="11" t="str">
        <f t="shared" si="119"/>
        <v/>
      </c>
      <c r="NZ7" s="11" t="str">
        <f t="shared" si="120"/>
        <v/>
      </c>
      <c r="OA7" s="17"/>
      <c r="OB7" s="17"/>
      <c r="OC7" s="17"/>
      <c r="OD7" s="17"/>
      <c r="OE7" s="17"/>
      <c r="OF7" s="17"/>
      <c r="OG7" s="17"/>
      <c r="OH7" s="17"/>
      <c r="OI7" s="17"/>
      <c r="OJ7" s="17"/>
      <c r="OK7" s="17"/>
      <c r="OL7" s="17"/>
      <c r="OM7" s="17"/>
      <c r="ON7" s="17"/>
      <c r="OO7" s="17"/>
      <c r="OP7" s="17"/>
      <c r="OQ7" s="17"/>
      <c r="OR7" s="17"/>
      <c r="OS7" s="17"/>
      <c r="OT7" s="17"/>
      <c r="OU7" s="40" t="str">
        <f t="shared" si="121"/>
        <v/>
      </c>
      <c r="OV7" s="40" t="str">
        <f t="shared" si="122"/>
        <v/>
      </c>
      <c r="OW7" s="40" t="str">
        <f t="shared" si="123"/>
        <v/>
      </c>
      <c r="OX7" s="40" t="str">
        <f t="shared" si="124"/>
        <v/>
      </c>
      <c r="OY7" s="40" t="str">
        <f t="shared" si="125"/>
        <v/>
      </c>
      <c r="OZ7" s="40" t="str">
        <f t="shared" si="126"/>
        <v/>
      </c>
      <c r="PA7" s="40" t="str">
        <f t="shared" si="127"/>
        <v/>
      </c>
      <c r="PB7" s="40" t="str">
        <f t="shared" si="128"/>
        <v/>
      </c>
      <c r="PC7" s="18"/>
      <c r="PD7" s="18"/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8"/>
      <c r="PS7" s="18"/>
      <c r="PT7" s="18"/>
      <c r="PU7" s="18"/>
      <c r="PV7" s="18"/>
      <c r="PW7" s="11" t="str">
        <f t="shared" si="129"/>
        <v/>
      </c>
      <c r="PX7" s="11" t="str">
        <f t="shared" si="130"/>
        <v/>
      </c>
      <c r="PY7" s="11" t="str">
        <f t="shared" si="131"/>
        <v/>
      </c>
      <c r="PZ7" s="11" t="str">
        <f t="shared" si="132"/>
        <v/>
      </c>
      <c r="QA7" s="11" t="str">
        <f t="shared" si="133"/>
        <v/>
      </c>
      <c r="QB7" s="11" t="str">
        <f t="shared" si="134"/>
        <v/>
      </c>
      <c r="QC7" s="11" t="str">
        <f t="shared" si="135"/>
        <v/>
      </c>
      <c r="QD7" s="11" t="str">
        <f t="shared" si="136"/>
        <v/>
      </c>
      <c r="QE7" s="22">
        <f t="shared" si="137"/>
        <v>15.9</v>
      </c>
      <c r="QF7" s="22">
        <f t="shared" si="138"/>
        <v>5.8</v>
      </c>
      <c r="QG7" s="22">
        <f t="shared" si="139"/>
        <v>0.1</v>
      </c>
      <c r="QH7" s="22">
        <f t="shared" si="140"/>
        <v>0</v>
      </c>
      <c r="QI7" s="22">
        <f t="shared" si="141"/>
        <v>16.700000000000003</v>
      </c>
      <c r="QJ7" s="22">
        <f t="shared" si="142"/>
        <v>5.85</v>
      </c>
      <c r="QK7" s="22">
        <f t="shared" si="143"/>
        <v>0</v>
      </c>
      <c r="QL7" s="22">
        <f t="shared" si="144"/>
        <v>0</v>
      </c>
      <c r="QM7" s="22">
        <f t="shared" si="145"/>
        <v>8.15</v>
      </c>
      <c r="QN7" s="22">
        <f t="shared" si="146"/>
        <v>3.1</v>
      </c>
      <c r="QO7" s="22">
        <f t="shared" si="147"/>
        <v>0</v>
      </c>
      <c r="QP7" s="22">
        <f t="shared" si="148"/>
        <v>0</v>
      </c>
      <c r="QQ7" s="22">
        <f t="shared" si="149"/>
        <v>16.170000000000002</v>
      </c>
      <c r="QR7" s="22">
        <f t="shared" si="150"/>
        <v>4.5</v>
      </c>
      <c r="QS7" s="22">
        <f t="shared" si="151"/>
        <v>0</v>
      </c>
      <c r="QT7" s="22">
        <f t="shared" si="152"/>
        <v>0</v>
      </c>
      <c r="QU7" s="22">
        <f t="shared" si="153"/>
        <v>14.95</v>
      </c>
      <c r="QV7" s="22">
        <f t="shared" si="154"/>
        <v>5.4</v>
      </c>
      <c r="QW7" s="22">
        <f t="shared" si="155"/>
        <v>0</v>
      </c>
      <c r="QX7" s="22">
        <f t="shared" si="156"/>
        <v>0</v>
      </c>
      <c r="QY7" s="27" t="s">
        <v>46</v>
      </c>
      <c r="QZ7" s="40">
        <f t="shared" si="157"/>
        <v>11.649999999999999</v>
      </c>
      <c r="RA7" s="40">
        <f t="shared" si="158"/>
        <v>44.150000000000006</v>
      </c>
      <c r="RB7" s="40">
        <f t="shared" si="159"/>
        <v>11.25</v>
      </c>
      <c r="RC7" s="40">
        <f t="shared" si="160"/>
        <v>14.749999999999998</v>
      </c>
      <c r="RD7" s="40">
        <f t="shared" si="161"/>
        <v>55.400000000000006</v>
      </c>
      <c r="RE7" s="40">
        <f t="shared" si="162"/>
        <v>9.9</v>
      </c>
      <c r="RF7" s="40">
        <f t="shared" si="163"/>
        <v>41.02</v>
      </c>
      <c r="RG7" s="40">
        <f t="shared" si="164"/>
        <v>85.170000000000016</v>
      </c>
    </row>
    <row r="8" spans="1:475" x14ac:dyDescent="0.2">
      <c r="A8" s="4">
        <f t="shared" si="0"/>
        <v>5</v>
      </c>
      <c r="B8" s="5" t="s">
        <v>124</v>
      </c>
      <c r="C8" s="4" t="s">
        <v>3</v>
      </c>
      <c r="D8" s="4">
        <v>2003</v>
      </c>
      <c r="E8" s="9">
        <f t="shared" si="1"/>
        <v>152.10001042000459</v>
      </c>
      <c r="F8" s="3" t="str">
        <f t="shared" si="2"/>
        <v>P</v>
      </c>
      <c r="G8" s="3" t="str">
        <f t="shared" si="3"/>
        <v>P</v>
      </c>
      <c r="H8" s="36" t="str">
        <f t="shared" si="4"/>
        <v>National Team</v>
      </c>
      <c r="I8" s="3" t="str">
        <f t="shared" si="5"/>
        <v/>
      </c>
      <c r="J8" s="8">
        <f>IF(COUNT(AQ8,BT8,CW8)&gt;0,LARGE((AQ8,BT8,CW8),1),0)</f>
        <v>45.7</v>
      </c>
      <c r="K8" s="8" t="str">
        <f t="shared" si="6"/>
        <v>2023 Elite Canada</v>
      </c>
      <c r="L8" s="8">
        <f>IF(COUNT(AQ8,BT8,CW8)&gt;1,LARGE((AQ8,BT8,CW8),2),0)</f>
        <v>39.800000000000004</v>
      </c>
      <c r="M8" s="8" t="str">
        <f t="shared" si="7"/>
        <v>2022 Nationals</v>
      </c>
      <c r="N8" s="8">
        <f>IF(COUNT(AR8,BU8,CX8)&gt;0,LARGE((AR8,BU8,CX8),1),0)</f>
        <v>18.7</v>
      </c>
      <c r="O8" s="8" t="str">
        <f t="shared" si="8"/>
        <v>2023 Elite Canada</v>
      </c>
      <c r="P8" s="8">
        <f t="shared" si="9"/>
        <v>45.6</v>
      </c>
      <c r="Q8" s="8" t="str">
        <f t="shared" si="10"/>
        <v>2022 Nationals</v>
      </c>
      <c r="R8" s="8">
        <f t="shared" si="11"/>
        <v>2.3000000000000043</v>
      </c>
      <c r="S8" s="11" t="str">
        <f t="shared" si="12"/>
        <v>(Q1)</v>
      </c>
      <c r="T8" s="8" t="str">
        <f t="shared" si="13"/>
        <v>2022 Coimbra Gym Fest (June 26)</v>
      </c>
      <c r="U8" s="19">
        <v>18.100000000000001</v>
      </c>
      <c r="V8" s="19">
        <v>5.3</v>
      </c>
      <c r="W8" s="19">
        <v>0.2</v>
      </c>
      <c r="X8" s="19">
        <v>0</v>
      </c>
      <c r="Y8" s="19">
        <v>16</v>
      </c>
      <c r="Z8" s="19">
        <v>2.6</v>
      </c>
      <c r="AA8" s="19">
        <v>2</v>
      </c>
      <c r="AB8" s="19">
        <v>0</v>
      </c>
      <c r="AC8" s="19"/>
      <c r="AD8" s="19"/>
      <c r="AE8" s="19"/>
      <c r="AF8" s="19"/>
      <c r="AG8" s="19">
        <v>17.5</v>
      </c>
      <c r="AH8" s="19">
        <v>5.3</v>
      </c>
      <c r="AI8" s="19">
        <v>0</v>
      </c>
      <c r="AJ8" s="19">
        <v>0</v>
      </c>
      <c r="AK8" s="19">
        <v>17.8</v>
      </c>
      <c r="AL8" s="19">
        <v>5</v>
      </c>
      <c r="AM8" s="19">
        <v>0</v>
      </c>
      <c r="AN8" s="19">
        <v>0</v>
      </c>
      <c r="AO8" s="27"/>
      <c r="AP8" s="40">
        <f t="shared" si="14"/>
        <v>7.9</v>
      </c>
      <c r="AQ8" s="40">
        <f t="shared" si="15"/>
        <v>39.800000000000004</v>
      </c>
      <c r="AR8" s="40" t="str">
        <f t="shared" si="16"/>
        <v/>
      </c>
      <c r="AS8" s="40">
        <f t="shared" si="17"/>
        <v>7.9</v>
      </c>
      <c r="AT8" s="40">
        <f t="shared" si="18"/>
        <v>39.800000000000004</v>
      </c>
      <c r="AU8" s="40">
        <f t="shared" si="19"/>
        <v>10.3</v>
      </c>
      <c r="AV8" s="40">
        <f t="shared" si="20"/>
        <v>45.6</v>
      </c>
      <c r="AW8" s="40">
        <f t="shared" si="21"/>
        <v>85.4</v>
      </c>
      <c r="AX8" s="18">
        <v>16.3</v>
      </c>
      <c r="AY8" s="18">
        <v>5.3</v>
      </c>
      <c r="AZ8" s="18">
        <v>0.2</v>
      </c>
      <c r="BA8" s="18">
        <v>0</v>
      </c>
      <c r="BB8" s="18">
        <v>16</v>
      </c>
      <c r="BC8" s="18">
        <v>1.9</v>
      </c>
      <c r="BD8" s="18">
        <v>0</v>
      </c>
      <c r="BE8" s="18">
        <v>0</v>
      </c>
      <c r="BF8" s="18"/>
      <c r="BG8" s="18"/>
      <c r="BH8" s="18"/>
      <c r="BI8" s="18"/>
      <c r="BJ8" s="18">
        <v>0</v>
      </c>
      <c r="BK8" s="18">
        <v>0</v>
      </c>
      <c r="BL8" s="18">
        <v>0</v>
      </c>
      <c r="BM8" s="18">
        <v>0</v>
      </c>
      <c r="BN8" s="18">
        <v>0</v>
      </c>
      <c r="BO8" s="18">
        <v>0</v>
      </c>
      <c r="BP8" s="18">
        <v>0</v>
      </c>
      <c r="BQ8" s="18">
        <v>0</v>
      </c>
      <c r="BR8" s="28"/>
      <c r="BS8" s="11">
        <f t="shared" si="22"/>
        <v>7.1999999999999993</v>
      </c>
      <c r="BT8" s="11">
        <f t="shared" si="23"/>
        <v>39.299999999999997</v>
      </c>
      <c r="BU8" s="11" t="str">
        <f t="shared" si="24"/>
        <v/>
      </c>
      <c r="BV8" s="11">
        <f t="shared" si="25"/>
        <v>7.1999999999999993</v>
      </c>
      <c r="BW8" s="11">
        <f t="shared" si="26"/>
        <v>39.299999999999997</v>
      </c>
      <c r="BX8" s="11" t="str">
        <f t="shared" si="27"/>
        <v/>
      </c>
      <c r="BY8" s="11" t="str">
        <f t="shared" si="28"/>
        <v/>
      </c>
      <c r="BZ8" s="11">
        <f t="shared" si="29"/>
        <v>39.299999999999997</v>
      </c>
      <c r="CA8" s="19">
        <v>17</v>
      </c>
      <c r="CB8" s="19">
        <v>5.5</v>
      </c>
      <c r="CC8" s="19">
        <v>0</v>
      </c>
      <c r="CD8" s="19">
        <v>0</v>
      </c>
      <c r="CE8" s="19">
        <v>17.600000000000001</v>
      </c>
      <c r="CF8" s="19">
        <v>5.6</v>
      </c>
      <c r="CG8" s="19">
        <v>0</v>
      </c>
      <c r="CH8" s="19">
        <v>0</v>
      </c>
      <c r="CI8" s="19">
        <v>16.7</v>
      </c>
      <c r="CJ8" s="19">
        <v>3</v>
      </c>
      <c r="CK8" s="19">
        <v>1</v>
      </c>
      <c r="CL8" s="19">
        <v>0</v>
      </c>
      <c r="CM8" s="19">
        <v>17.399999999999999</v>
      </c>
      <c r="CN8" s="19">
        <v>5.5</v>
      </c>
      <c r="CO8" s="19">
        <v>0</v>
      </c>
      <c r="CP8" s="19">
        <v>0</v>
      </c>
      <c r="CQ8" s="19">
        <v>16</v>
      </c>
      <c r="CR8" s="19">
        <v>3.7</v>
      </c>
      <c r="CS8" s="19">
        <v>0</v>
      </c>
      <c r="CT8" s="19">
        <v>0</v>
      </c>
      <c r="CU8" s="27"/>
      <c r="CV8" s="40">
        <f t="shared" si="30"/>
        <v>11.1</v>
      </c>
      <c r="CW8" s="40">
        <f t="shared" si="31"/>
        <v>45.7</v>
      </c>
      <c r="CX8" s="40">
        <f t="shared" si="32"/>
        <v>18.7</v>
      </c>
      <c r="CY8" s="40">
        <f t="shared" si="33"/>
        <v>14.1</v>
      </c>
      <c r="CZ8" s="40">
        <f t="shared" si="34"/>
        <v>64.400000000000006</v>
      </c>
      <c r="DA8" s="40">
        <f t="shared" si="35"/>
        <v>9.1999999999999993</v>
      </c>
      <c r="DB8" s="40">
        <f t="shared" si="36"/>
        <v>42.6</v>
      </c>
      <c r="DC8" s="40">
        <f t="shared" si="37"/>
        <v>88.300000000000011</v>
      </c>
      <c r="DD8" s="50">
        <f t="shared" si="38"/>
        <v>2.3000000000000043</v>
      </c>
      <c r="DE8" s="50" t="str">
        <f t="shared" si="39"/>
        <v/>
      </c>
      <c r="DF8" s="50">
        <f t="shared" si="40"/>
        <v>1.9999999999999929</v>
      </c>
      <c r="DG8" s="17"/>
      <c r="DH8" s="17"/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17"/>
      <c r="DW8" s="17"/>
      <c r="DX8" s="17"/>
      <c r="DY8" s="17"/>
      <c r="DZ8" s="17"/>
      <c r="EA8" s="40" t="str">
        <f t="shared" si="41"/>
        <v/>
      </c>
      <c r="EB8" s="40" t="str">
        <f t="shared" si="42"/>
        <v/>
      </c>
      <c r="EC8" s="40" t="str">
        <f t="shared" si="43"/>
        <v/>
      </c>
      <c r="ED8" s="40" t="str">
        <f t="shared" si="44"/>
        <v/>
      </c>
      <c r="EE8" s="40" t="str">
        <f t="shared" si="45"/>
        <v/>
      </c>
      <c r="EF8" s="40" t="str">
        <f t="shared" si="46"/>
        <v/>
      </c>
      <c r="EG8" s="40" t="str">
        <f t="shared" si="47"/>
        <v/>
      </c>
      <c r="EH8" s="40" t="str">
        <f t="shared" si="48"/>
        <v/>
      </c>
      <c r="EI8" s="18"/>
      <c r="EJ8" s="18"/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8"/>
      <c r="FA8" s="18"/>
      <c r="FB8" s="18"/>
      <c r="FC8" s="11" t="str">
        <f t="shared" si="49"/>
        <v/>
      </c>
      <c r="FD8" s="11" t="str">
        <f t="shared" si="50"/>
        <v/>
      </c>
      <c r="FE8" s="11" t="str">
        <f t="shared" si="51"/>
        <v/>
      </c>
      <c r="FF8" s="11" t="str">
        <f t="shared" si="52"/>
        <v/>
      </c>
      <c r="FG8" s="11" t="str">
        <f t="shared" si="53"/>
        <v/>
      </c>
      <c r="FH8" s="11" t="str">
        <f t="shared" si="54"/>
        <v/>
      </c>
      <c r="FI8" s="11" t="str">
        <f t="shared" si="55"/>
        <v/>
      </c>
      <c r="FJ8" s="11" t="str">
        <f t="shared" si="56"/>
        <v/>
      </c>
      <c r="FK8" s="17"/>
      <c r="FL8" s="17"/>
      <c r="FM8" s="17"/>
      <c r="FN8" s="17"/>
      <c r="FO8" s="17"/>
      <c r="FP8" s="17"/>
      <c r="FQ8" s="17"/>
      <c r="FR8" s="17"/>
      <c r="FS8" s="17"/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40" t="str">
        <f t="shared" si="57"/>
        <v/>
      </c>
      <c r="GF8" s="40" t="str">
        <f t="shared" si="58"/>
        <v/>
      </c>
      <c r="GG8" s="40" t="str">
        <f t="shared" si="59"/>
        <v/>
      </c>
      <c r="GH8" s="40" t="str">
        <f t="shared" si="60"/>
        <v/>
      </c>
      <c r="GI8" s="40" t="str">
        <f t="shared" si="61"/>
        <v/>
      </c>
      <c r="GJ8" s="40" t="str">
        <f t="shared" si="62"/>
        <v/>
      </c>
      <c r="GK8" s="40" t="str">
        <f t="shared" si="63"/>
        <v/>
      </c>
      <c r="GL8" s="40" t="str">
        <f t="shared" si="64"/>
        <v/>
      </c>
      <c r="GM8" s="18">
        <v>17.3</v>
      </c>
      <c r="GN8" s="18">
        <v>5.3</v>
      </c>
      <c r="GO8" s="18">
        <v>0</v>
      </c>
      <c r="GP8" s="18">
        <v>0</v>
      </c>
      <c r="GQ8" s="18">
        <v>15.8</v>
      </c>
      <c r="GR8" s="18">
        <v>3.7</v>
      </c>
      <c r="GS8" s="18">
        <v>0</v>
      </c>
      <c r="GT8" s="18">
        <v>0</v>
      </c>
      <c r="GU8" s="18"/>
      <c r="GV8" s="18"/>
      <c r="GW8" s="18"/>
      <c r="GX8" s="18"/>
      <c r="GY8" s="18">
        <v>18.3</v>
      </c>
      <c r="GZ8" s="18">
        <v>5.7</v>
      </c>
      <c r="HA8" s="18">
        <v>0</v>
      </c>
      <c r="HB8" s="18">
        <v>0</v>
      </c>
      <c r="HC8" s="18">
        <v>18</v>
      </c>
      <c r="HD8" s="18">
        <v>5.8</v>
      </c>
      <c r="HE8" s="18">
        <v>0.2</v>
      </c>
      <c r="HF8" s="18">
        <v>0</v>
      </c>
      <c r="HG8" s="11">
        <f t="shared" si="65"/>
        <v>9</v>
      </c>
      <c r="HH8" s="11">
        <f t="shared" si="66"/>
        <v>42.100000000000009</v>
      </c>
      <c r="HI8" s="11" t="str">
        <f t="shared" si="67"/>
        <v/>
      </c>
      <c r="HJ8" s="11">
        <f t="shared" si="68"/>
        <v>9</v>
      </c>
      <c r="HK8" s="11">
        <f t="shared" si="69"/>
        <v>42.100000000000009</v>
      </c>
      <c r="HL8" s="11">
        <f t="shared" si="70"/>
        <v>11.5</v>
      </c>
      <c r="HM8" s="11">
        <f t="shared" si="71"/>
        <v>47.599999999999994</v>
      </c>
      <c r="HN8" s="11">
        <f t="shared" si="72"/>
        <v>89.7</v>
      </c>
      <c r="HO8" s="17"/>
      <c r="HP8" s="17"/>
      <c r="HQ8" s="17"/>
      <c r="HR8" s="17"/>
      <c r="HS8" s="17"/>
      <c r="HT8" s="17"/>
      <c r="HU8" s="17"/>
      <c r="HV8" s="17"/>
      <c r="HW8" s="17"/>
      <c r="HX8" s="17"/>
      <c r="HY8" s="17"/>
      <c r="HZ8" s="17"/>
      <c r="IA8" s="17"/>
      <c r="IB8" s="17"/>
      <c r="IC8" s="17"/>
      <c r="ID8" s="17"/>
      <c r="IE8" s="17"/>
      <c r="IF8" s="17"/>
      <c r="IG8" s="17"/>
      <c r="IH8" s="17"/>
      <c r="II8" s="40" t="str">
        <f t="shared" si="73"/>
        <v/>
      </c>
      <c r="IJ8" s="40" t="str">
        <f t="shared" si="74"/>
        <v/>
      </c>
      <c r="IK8" s="40" t="str">
        <f t="shared" si="75"/>
        <v/>
      </c>
      <c r="IL8" s="40" t="str">
        <f t="shared" si="76"/>
        <v/>
      </c>
      <c r="IM8" s="40" t="str">
        <f t="shared" si="77"/>
        <v/>
      </c>
      <c r="IN8" s="40" t="str">
        <f t="shared" si="78"/>
        <v/>
      </c>
      <c r="IO8" s="40" t="str">
        <f t="shared" si="79"/>
        <v/>
      </c>
      <c r="IP8" s="40" t="str">
        <f t="shared" si="80"/>
        <v/>
      </c>
      <c r="IQ8" s="18"/>
      <c r="IR8" s="18"/>
      <c r="IS8" s="18"/>
      <c r="IT8" s="18"/>
      <c r="IU8" s="18"/>
      <c r="IV8" s="18"/>
      <c r="IW8" s="18"/>
      <c r="IX8" s="18"/>
      <c r="IY8" s="18"/>
      <c r="IZ8" s="18"/>
      <c r="JA8" s="18"/>
      <c r="JB8" s="18"/>
      <c r="JC8" s="18"/>
      <c r="JD8" s="18"/>
      <c r="JE8" s="18"/>
      <c r="JF8" s="18"/>
      <c r="JG8" s="18"/>
      <c r="JH8" s="18"/>
      <c r="JI8" s="18"/>
      <c r="JJ8" s="18"/>
      <c r="JK8" s="11" t="str">
        <f t="shared" si="81"/>
        <v/>
      </c>
      <c r="JL8" s="11" t="str">
        <f t="shared" si="82"/>
        <v/>
      </c>
      <c r="JM8" s="11" t="str">
        <f t="shared" si="83"/>
        <v/>
      </c>
      <c r="JN8" s="11" t="str">
        <f t="shared" si="84"/>
        <v/>
      </c>
      <c r="JO8" s="11" t="str">
        <f t="shared" si="85"/>
        <v/>
      </c>
      <c r="JP8" s="11" t="str">
        <f t="shared" si="86"/>
        <v/>
      </c>
      <c r="JQ8" s="11" t="str">
        <f t="shared" si="87"/>
        <v/>
      </c>
      <c r="JR8" s="11" t="str">
        <f t="shared" si="88"/>
        <v/>
      </c>
      <c r="JS8" s="17"/>
      <c r="JT8" s="17"/>
      <c r="JU8" s="17"/>
      <c r="JV8" s="17"/>
      <c r="JW8" s="17"/>
      <c r="JX8" s="17"/>
      <c r="JY8" s="17"/>
      <c r="JZ8" s="17"/>
      <c r="KA8" s="17"/>
      <c r="KB8" s="17"/>
      <c r="KC8" s="17"/>
      <c r="KD8" s="17"/>
      <c r="KE8" s="17"/>
      <c r="KF8" s="17"/>
      <c r="KG8" s="17"/>
      <c r="KH8" s="17"/>
      <c r="KI8" s="17"/>
      <c r="KJ8" s="17"/>
      <c r="KK8" s="17"/>
      <c r="KL8" s="17"/>
      <c r="KM8" s="40" t="str">
        <f t="shared" si="89"/>
        <v/>
      </c>
      <c r="KN8" s="40" t="str">
        <f t="shared" si="90"/>
        <v/>
      </c>
      <c r="KO8" s="40" t="str">
        <f t="shared" si="91"/>
        <v/>
      </c>
      <c r="KP8" s="40" t="str">
        <f t="shared" si="92"/>
        <v/>
      </c>
      <c r="KQ8" s="40" t="str">
        <f t="shared" si="93"/>
        <v/>
      </c>
      <c r="KR8" s="40" t="str">
        <f t="shared" si="94"/>
        <v/>
      </c>
      <c r="KS8" s="40" t="str">
        <f t="shared" si="95"/>
        <v/>
      </c>
      <c r="KT8" s="40" t="str">
        <f t="shared" si="96"/>
        <v/>
      </c>
      <c r="KU8" s="18">
        <v>15.5</v>
      </c>
      <c r="KV8" s="18">
        <v>3.3</v>
      </c>
      <c r="KW8" s="18">
        <v>0</v>
      </c>
      <c r="KX8" s="18">
        <v>0</v>
      </c>
      <c r="KY8" s="18">
        <v>16.899999999999999</v>
      </c>
      <c r="KZ8" s="18">
        <v>5.5</v>
      </c>
      <c r="LA8" s="18">
        <v>0.2</v>
      </c>
      <c r="LB8" s="18">
        <v>0</v>
      </c>
      <c r="LC8" s="18"/>
      <c r="LD8" s="18"/>
      <c r="LE8" s="18"/>
      <c r="LF8" s="18"/>
      <c r="LG8" s="18"/>
      <c r="LH8" s="18"/>
      <c r="LI8" s="18"/>
      <c r="LJ8" s="18"/>
      <c r="LK8" s="18"/>
      <c r="LL8" s="18"/>
      <c r="LM8" s="18"/>
      <c r="LN8" s="18"/>
      <c r="LO8" s="11">
        <f t="shared" si="97"/>
        <v>8.8000000000000007</v>
      </c>
      <c r="LP8" s="11">
        <f t="shared" si="98"/>
        <v>41</v>
      </c>
      <c r="LQ8" s="11" t="str">
        <f t="shared" si="99"/>
        <v/>
      </c>
      <c r="LR8" s="11">
        <f t="shared" si="100"/>
        <v>8.8000000000000007</v>
      </c>
      <c r="LS8" s="11">
        <f t="shared" si="101"/>
        <v>41</v>
      </c>
      <c r="LT8" s="11" t="str">
        <f t="shared" si="102"/>
        <v/>
      </c>
      <c r="LU8" s="11" t="str">
        <f t="shared" si="103"/>
        <v/>
      </c>
      <c r="LV8" s="11">
        <f t="shared" si="104"/>
        <v>41</v>
      </c>
      <c r="LW8" s="17"/>
      <c r="LX8" s="17"/>
      <c r="LY8" s="17"/>
      <c r="LZ8" s="17"/>
      <c r="MA8" s="17"/>
      <c r="MB8" s="17"/>
      <c r="MC8" s="17"/>
      <c r="MD8" s="17"/>
      <c r="ME8" s="17"/>
      <c r="MF8" s="17"/>
      <c r="MG8" s="17"/>
      <c r="MH8" s="17"/>
      <c r="MI8" s="17"/>
      <c r="MJ8" s="17"/>
      <c r="MK8" s="17"/>
      <c r="ML8" s="17"/>
      <c r="MM8" s="17"/>
      <c r="MN8" s="17"/>
      <c r="MO8" s="17"/>
      <c r="MP8" s="17"/>
      <c r="MQ8" s="40" t="str">
        <f t="shared" si="105"/>
        <v/>
      </c>
      <c r="MR8" s="40" t="str">
        <f t="shared" si="106"/>
        <v/>
      </c>
      <c r="MS8" s="40" t="str">
        <f t="shared" si="107"/>
        <v/>
      </c>
      <c r="MT8" s="40" t="str">
        <f t="shared" si="108"/>
        <v/>
      </c>
      <c r="MU8" s="40" t="str">
        <f t="shared" si="109"/>
        <v/>
      </c>
      <c r="MV8" s="40" t="str">
        <f t="shared" si="110"/>
        <v/>
      </c>
      <c r="MW8" s="40" t="str">
        <f t="shared" si="111"/>
        <v/>
      </c>
      <c r="MX8" s="40" t="str">
        <f t="shared" si="112"/>
        <v/>
      </c>
      <c r="MY8" s="18"/>
      <c r="MZ8" s="18"/>
      <c r="NA8" s="18"/>
      <c r="NB8" s="18"/>
      <c r="NC8" s="18"/>
      <c r="ND8" s="18"/>
      <c r="NE8" s="18"/>
      <c r="NF8" s="18"/>
      <c r="NG8" s="18"/>
      <c r="NH8" s="18"/>
      <c r="NI8" s="18"/>
      <c r="NJ8" s="18"/>
      <c r="NK8" s="18"/>
      <c r="NL8" s="18"/>
      <c r="NM8" s="18"/>
      <c r="NN8" s="18"/>
      <c r="NO8" s="18"/>
      <c r="NP8" s="18"/>
      <c r="NQ8" s="18"/>
      <c r="NR8" s="18"/>
      <c r="NS8" s="11" t="str">
        <f t="shared" si="113"/>
        <v/>
      </c>
      <c r="NT8" s="11" t="str">
        <f t="shared" si="114"/>
        <v/>
      </c>
      <c r="NU8" s="11" t="str">
        <f t="shared" si="115"/>
        <v/>
      </c>
      <c r="NV8" s="11" t="str">
        <f t="shared" si="116"/>
        <v/>
      </c>
      <c r="NW8" s="11" t="str">
        <f t="shared" si="117"/>
        <v/>
      </c>
      <c r="NX8" s="11" t="str">
        <f t="shared" si="118"/>
        <v/>
      </c>
      <c r="NY8" s="11" t="str">
        <f t="shared" si="119"/>
        <v/>
      </c>
      <c r="NZ8" s="11" t="str">
        <f t="shared" si="120"/>
        <v/>
      </c>
      <c r="OA8" s="17"/>
      <c r="OB8" s="17"/>
      <c r="OC8" s="17"/>
      <c r="OD8" s="17"/>
      <c r="OE8" s="17"/>
      <c r="OF8" s="17"/>
      <c r="OG8" s="17"/>
      <c r="OH8" s="17"/>
      <c r="OI8" s="17"/>
      <c r="OJ8" s="17"/>
      <c r="OK8" s="17"/>
      <c r="OL8" s="17"/>
      <c r="OM8" s="17"/>
      <c r="ON8" s="17"/>
      <c r="OO8" s="17"/>
      <c r="OP8" s="17"/>
      <c r="OQ8" s="17"/>
      <c r="OR8" s="17"/>
      <c r="OS8" s="17"/>
      <c r="OT8" s="17"/>
      <c r="OU8" s="40" t="str">
        <f t="shared" si="121"/>
        <v/>
      </c>
      <c r="OV8" s="40" t="str">
        <f t="shared" si="122"/>
        <v/>
      </c>
      <c r="OW8" s="40" t="str">
        <f t="shared" si="123"/>
        <v/>
      </c>
      <c r="OX8" s="40" t="str">
        <f t="shared" si="124"/>
        <v/>
      </c>
      <c r="OY8" s="40" t="str">
        <f t="shared" si="125"/>
        <v/>
      </c>
      <c r="OZ8" s="40" t="str">
        <f t="shared" si="126"/>
        <v/>
      </c>
      <c r="PA8" s="40" t="str">
        <f t="shared" si="127"/>
        <v/>
      </c>
      <c r="PB8" s="40" t="str">
        <f t="shared" si="128"/>
        <v/>
      </c>
      <c r="PC8" s="18"/>
      <c r="PD8" s="18"/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8"/>
      <c r="PS8" s="18"/>
      <c r="PT8" s="18"/>
      <c r="PU8" s="18"/>
      <c r="PV8" s="18"/>
      <c r="PW8" s="11" t="str">
        <f t="shared" si="129"/>
        <v/>
      </c>
      <c r="PX8" s="11" t="str">
        <f t="shared" si="130"/>
        <v/>
      </c>
      <c r="PY8" s="11" t="str">
        <f t="shared" si="131"/>
        <v/>
      </c>
      <c r="PZ8" s="11" t="str">
        <f t="shared" si="132"/>
        <v/>
      </c>
      <c r="QA8" s="11" t="str">
        <f t="shared" si="133"/>
        <v/>
      </c>
      <c r="QB8" s="11" t="str">
        <f t="shared" si="134"/>
        <v/>
      </c>
      <c r="QC8" s="11" t="str">
        <f t="shared" si="135"/>
        <v/>
      </c>
      <c r="QD8" s="11" t="str">
        <f t="shared" si="136"/>
        <v/>
      </c>
      <c r="QE8" s="22">
        <f t="shared" si="137"/>
        <v>16.649999999999999</v>
      </c>
      <c r="QF8" s="22">
        <f t="shared" si="138"/>
        <v>5.4</v>
      </c>
      <c r="QG8" s="22">
        <f t="shared" si="139"/>
        <v>0.1</v>
      </c>
      <c r="QH8" s="22">
        <f t="shared" si="140"/>
        <v>0</v>
      </c>
      <c r="QI8" s="22">
        <f t="shared" si="141"/>
        <v>16.8</v>
      </c>
      <c r="QJ8" s="22">
        <f t="shared" si="142"/>
        <v>3.75</v>
      </c>
      <c r="QK8" s="22">
        <f t="shared" si="143"/>
        <v>0</v>
      </c>
      <c r="QL8" s="22">
        <f t="shared" si="144"/>
        <v>0</v>
      </c>
      <c r="QM8" s="22">
        <f t="shared" si="145"/>
        <v>8.35</v>
      </c>
      <c r="QN8" s="22">
        <f t="shared" si="146"/>
        <v>1.5</v>
      </c>
      <c r="QO8" s="22">
        <f t="shared" si="147"/>
        <v>0.5</v>
      </c>
      <c r="QP8" s="22">
        <f t="shared" si="148"/>
        <v>0</v>
      </c>
      <c r="QQ8" s="22">
        <f t="shared" si="149"/>
        <v>8.6999999999999993</v>
      </c>
      <c r="QR8" s="22">
        <f t="shared" si="150"/>
        <v>2.75</v>
      </c>
      <c r="QS8" s="22">
        <f t="shared" si="151"/>
        <v>0</v>
      </c>
      <c r="QT8" s="22">
        <f t="shared" si="152"/>
        <v>0</v>
      </c>
      <c r="QU8" s="22">
        <f t="shared" si="153"/>
        <v>8</v>
      </c>
      <c r="QV8" s="22">
        <f t="shared" si="154"/>
        <v>1.85</v>
      </c>
      <c r="QW8" s="22">
        <f t="shared" si="155"/>
        <v>0</v>
      </c>
      <c r="QX8" s="22">
        <f t="shared" si="156"/>
        <v>0</v>
      </c>
      <c r="QY8" s="27" t="s">
        <v>46</v>
      </c>
      <c r="QZ8" s="40">
        <f t="shared" si="157"/>
        <v>9.15</v>
      </c>
      <c r="RA8" s="40">
        <f t="shared" si="158"/>
        <v>42.499999999999993</v>
      </c>
      <c r="RB8" s="40">
        <f t="shared" si="159"/>
        <v>9.35</v>
      </c>
      <c r="RC8" s="40">
        <f t="shared" si="160"/>
        <v>10.65</v>
      </c>
      <c r="RD8" s="40">
        <f t="shared" si="161"/>
        <v>51.849999999999994</v>
      </c>
      <c r="RE8" s="40">
        <f t="shared" si="162"/>
        <v>4.5999999999999996</v>
      </c>
      <c r="RF8" s="40">
        <f t="shared" si="163"/>
        <v>21.3</v>
      </c>
      <c r="RG8" s="40">
        <f t="shared" si="164"/>
        <v>63.8</v>
      </c>
    </row>
    <row r="9" spans="1:475" x14ac:dyDescent="0.2">
      <c r="A9" s="4">
        <f t="shared" si="0"/>
        <v>6</v>
      </c>
      <c r="B9" s="5" t="s">
        <v>173</v>
      </c>
      <c r="C9" s="4" t="s">
        <v>4</v>
      </c>
      <c r="D9" s="4">
        <v>2004</v>
      </c>
      <c r="E9" s="9">
        <f t="shared" si="1"/>
        <v>149.20001053000431</v>
      </c>
      <c r="F9" s="3" t="str">
        <f t="shared" si="2"/>
        <v>P</v>
      </c>
      <c r="G9" s="3" t="str">
        <f t="shared" si="3"/>
        <v>P</v>
      </c>
      <c r="H9" s="36" t="str">
        <f t="shared" si="4"/>
        <v>National Team</v>
      </c>
      <c r="I9" s="3" t="str">
        <f t="shared" si="5"/>
        <v/>
      </c>
      <c r="J9" s="8">
        <f>IF(COUNT(AQ9,BT9,CW9)&gt;0,LARGE((AQ9,BT9,CW9),1),0)</f>
        <v>42.800000000000004</v>
      </c>
      <c r="K9" s="8" t="str">
        <f t="shared" si="6"/>
        <v>2022 3rd Domestic Trial</v>
      </c>
      <c r="L9" s="8">
        <f>IF(COUNT(AQ9,BT9,CW9)&gt;1,LARGE((AQ9,BT9,CW9),2),0)</f>
        <v>42.400000000000006</v>
      </c>
      <c r="M9" s="8" t="str">
        <f t="shared" si="7"/>
        <v>2022 Nationals</v>
      </c>
      <c r="N9" s="8">
        <f>IF(COUNT(AR9,BU9,CX9)&gt;0,LARGE((AR9,BU9,CX9),1),0)</f>
        <v>20.100000000000001</v>
      </c>
      <c r="O9" s="8" t="str">
        <f t="shared" si="8"/>
        <v>2023 Elite Canada</v>
      </c>
      <c r="P9" s="8">
        <f t="shared" si="9"/>
        <v>43.9</v>
      </c>
      <c r="Q9" s="8" t="str">
        <f t="shared" si="10"/>
        <v>2023 Elite Canada</v>
      </c>
      <c r="R9" s="8" t="str">
        <f t="shared" si="11"/>
        <v/>
      </c>
      <c r="S9" s="11" t="str">
        <f t="shared" si="12"/>
        <v/>
      </c>
      <c r="T9" s="8" t="str">
        <f t="shared" si="13"/>
        <v/>
      </c>
      <c r="U9" s="19">
        <v>16.3</v>
      </c>
      <c r="V9" s="19">
        <v>5</v>
      </c>
      <c r="W9" s="19">
        <v>0</v>
      </c>
      <c r="X9" s="19">
        <v>0.6</v>
      </c>
      <c r="Y9" s="19">
        <v>15.5</v>
      </c>
      <c r="Z9" s="19">
        <v>5.0999999999999996</v>
      </c>
      <c r="AA9" s="19">
        <v>0.4</v>
      </c>
      <c r="AB9" s="19">
        <v>0.3</v>
      </c>
      <c r="AC9" s="19"/>
      <c r="AD9" s="19"/>
      <c r="AE9" s="19"/>
      <c r="AF9" s="19"/>
      <c r="AG9" s="19">
        <v>14.6</v>
      </c>
      <c r="AH9" s="19">
        <v>4.5999999999999996</v>
      </c>
      <c r="AI9" s="19">
        <v>0</v>
      </c>
      <c r="AJ9" s="19">
        <v>0.3</v>
      </c>
      <c r="AK9" s="19">
        <v>14.7</v>
      </c>
      <c r="AL9" s="19">
        <v>2.9</v>
      </c>
      <c r="AM9" s="19">
        <v>0</v>
      </c>
      <c r="AN9" s="19">
        <v>0.3</v>
      </c>
      <c r="AO9" s="27"/>
      <c r="AP9" s="40">
        <f t="shared" si="14"/>
        <v>10.1</v>
      </c>
      <c r="AQ9" s="40">
        <f t="shared" si="15"/>
        <v>42.400000000000006</v>
      </c>
      <c r="AR9" s="40" t="str">
        <f t="shared" si="16"/>
        <v/>
      </c>
      <c r="AS9" s="40">
        <f t="shared" si="17"/>
        <v>10.1</v>
      </c>
      <c r="AT9" s="40">
        <f t="shared" si="18"/>
        <v>42.400000000000006</v>
      </c>
      <c r="AU9" s="40">
        <f t="shared" si="19"/>
        <v>7.5</v>
      </c>
      <c r="AV9" s="40">
        <f t="shared" si="20"/>
        <v>37.4</v>
      </c>
      <c r="AW9" s="40">
        <f t="shared" si="21"/>
        <v>79.800000000000011</v>
      </c>
      <c r="AX9" s="18">
        <v>16.3</v>
      </c>
      <c r="AY9" s="18">
        <v>5</v>
      </c>
      <c r="AZ9" s="18">
        <v>0</v>
      </c>
      <c r="BA9" s="18">
        <v>0.6</v>
      </c>
      <c r="BB9" s="18">
        <v>15.5</v>
      </c>
      <c r="BC9" s="18">
        <v>5.0999999999999996</v>
      </c>
      <c r="BD9" s="18">
        <v>0</v>
      </c>
      <c r="BE9" s="18">
        <v>0.3</v>
      </c>
      <c r="BF9" s="18"/>
      <c r="BG9" s="18"/>
      <c r="BH9" s="18"/>
      <c r="BI9" s="18"/>
      <c r="BJ9" s="18">
        <v>13.68</v>
      </c>
      <c r="BK9" s="18">
        <v>4.0999999999999996</v>
      </c>
      <c r="BL9" s="18">
        <v>0.4</v>
      </c>
      <c r="BM9" s="18">
        <v>0.3</v>
      </c>
      <c r="BN9" s="18">
        <v>15.1</v>
      </c>
      <c r="BO9" s="18">
        <v>2.9</v>
      </c>
      <c r="BP9" s="18">
        <v>0</v>
      </c>
      <c r="BQ9" s="18">
        <v>0.3</v>
      </c>
      <c r="BR9" s="28"/>
      <c r="BS9" s="11">
        <f t="shared" si="22"/>
        <v>10.1</v>
      </c>
      <c r="BT9" s="11">
        <f t="shared" si="23"/>
        <v>42.800000000000004</v>
      </c>
      <c r="BU9" s="11" t="str">
        <f t="shared" si="24"/>
        <v/>
      </c>
      <c r="BV9" s="11">
        <f t="shared" si="25"/>
        <v>10.1</v>
      </c>
      <c r="BW9" s="11">
        <f t="shared" si="26"/>
        <v>42.800000000000004</v>
      </c>
      <c r="BX9" s="11">
        <f t="shared" si="27"/>
        <v>7</v>
      </c>
      <c r="BY9" s="11">
        <f t="shared" si="28"/>
        <v>35.979999999999997</v>
      </c>
      <c r="BZ9" s="11">
        <f t="shared" si="29"/>
        <v>78.78</v>
      </c>
      <c r="CA9" s="19">
        <v>16.2</v>
      </c>
      <c r="CB9" s="19">
        <v>4.8</v>
      </c>
      <c r="CC9" s="19">
        <v>0.2</v>
      </c>
      <c r="CD9" s="19">
        <v>0.6</v>
      </c>
      <c r="CE9" s="19">
        <v>15.2</v>
      </c>
      <c r="CF9" s="19">
        <v>4.5999999999999996</v>
      </c>
      <c r="CG9" s="19">
        <v>0.4</v>
      </c>
      <c r="CH9" s="19">
        <v>0.6</v>
      </c>
      <c r="CI9" s="19">
        <v>15.7</v>
      </c>
      <c r="CJ9" s="19">
        <v>4.2</v>
      </c>
      <c r="CK9" s="19">
        <v>0.4</v>
      </c>
      <c r="CL9" s="19">
        <v>0.6</v>
      </c>
      <c r="CM9" s="19">
        <v>16.5</v>
      </c>
      <c r="CN9" s="19">
        <v>4.8</v>
      </c>
      <c r="CO9" s="19">
        <v>0</v>
      </c>
      <c r="CP9" s="19">
        <v>0.6</v>
      </c>
      <c r="CQ9" s="19">
        <v>16.100000000000001</v>
      </c>
      <c r="CR9" s="19">
        <v>5.3</v>
      </c>
      <c r="CS9" s="19">
        <v>0</v>
      </c>
      <c r="CT9" s="19">
        <v>0.6</v>
      </c>
      <c r="CU9" s="27"/>
      <c r="CV9" s="40">
        <f t="shared" si="30"/>
        <v>9.3999999999999986</v>
      </c>
      <c r="CW9" s="40">
        <f t="shared" si="31"/>
        <v>41.4</v>
      </c>
      <c r="CX9" s="40">
        <f t="shared" si="32"/>
        <v>20.100000000000001</v>
      </c>
      <c r="CY9" s="40">
        <f t="shared" si="33"/>
        <v>13.599999999999998</v>
      </c>
      <c r="CZ9" s="40">
        <f t="shared" si="34"/>
        <v>61.5</v>
      </c>
      <c r="DA9" s="40">
        <f t="shared" si="35"/>
        <v>10.1</v>
      </c>
      <c r="DB9" s="40">
        <f t="shared" si="36"/>
        <v>43.9</v>
      </c>
      <c r="DC9" s="40">
        <f t="shared" si="37"/>
        <v>85.3</v>
      </c>
      <c r="DD9" s="50" t="str">
        <f t="shared" si="38"/>
        <v/>
      </c>
      <c r="DE9" s="50" t="str">
        <f t="shared" si="39"/>
        <v/>
      </c>
      <c r="DF9" s="50" t="str">
        <f t="shared" si="40"/>
        <v/>
      </c>
      <c r="DG9" s="17"/>
      <c r="DH9" s="17"/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17"/>
      <c r="DY9" s="17"/>
      <c r="DZ9" s="17"/>
      <c r="EA9" s="40" t="str">
        <f t="shared" si="41"/>
        <v/>
      </c>
      <c r="EB9" s="40" t="str">
        <f t="shared" si="42"/>
        <v/>
      </c>
      <c r="EC9" s="40" t="str">
        <f t="shared" si="43"/>
        <v/>
      </c>
      <c r="ED9" s="40" t="str">
        <f t="shared" si="44"/>
        <v/>
      </c>
      <c r="EE9" s="40" t="str">
        <f t="shared" si="45"/>
        <v/>
      </c>
      <c r="EF9" s="40" t="str">
        <f t="shared" si="46"/>
        <v/>
      </c>
      <c r="EG9" s="40" t="str">
        <f t="shared" si="47"/>
        <v/>
      </c>
      <c r="EH9" s="40" t="str">
        <f t="shared" si="48"/>
        <v/>
      </c>
      <c r="EI9" s="18"/>
      <c r="EJ9" s="18"/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8"/>
      <c r="FC9" s="11" t="str">
        <f t="shared" si="49"/>
        <v/>
      </c>
      <c r="FD9" s="11" t="str">
        <f t="shared" si="50"/>
        <v/>
      </c>
      <c r="FE9" s="11" t="str">
        <f t="shared" si="51"/>
        <v/>
      </c>
      <c r="FF9" s="11" t="str">
        <f t="shared" si="52"/>
        <v/>
      </c>
      <c r="FG9" s="11" t="str">
        <f t="shared" si="53"/>
        <v/>
      </c>
      <c r="FH9" s="11" t="str">
        <f t="shared" si="54"/>
        <v/>
      </c>
      <c r="FI9" s="11" t="str">
        <f t="shared" si="55"/>
        <v/>
      </c>
      <c r="FJ9" s="11" t="str">
        <f t="shared" si="56"/>
        <v/>
      </c>
      <c r="FK9" s="17"/>
      <c r="FL9" s="17"/>
      <c r="FM9" s="17"/>
      <c r="FN9" s="17"/>
      <c r="FO9" s="17"/>
      <c r="FP9" s="17"/>
      <c r="FQ9" s="17"/>
      <c r="FR9" s="17"/>
      <c r="FS9" s="17"/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40" t="str">
        <f t="shared" si="57"/>
        <v/>
      </c>
      <c r="GF9" s="40" t="str">
        <f t="shared" si="58"/>
        <v/>
      </c>
      <c r="GG9" s="40" t="str">
        <f t="shared" si="59"/>
        <v/>
      </c>
      <c r="GH9" s="40" t="str">
        <f t="shared" si="60"/>
        <v/>
      </c>
      <c r="GI9" s="40" t="str">
        <f t="shared" si="61"/>
        <v/>
      </c>
      <c r="GJ9" s="40" t="str">
        <f t="shared" si="62"/>
        <v/>
      </c>
      <c r="GK9" s="40" t="str">
        <f t="shared" si="63"/>
        <v/>
      </c>
      <c r="GL9" s="40" t="str">
        <f t="shared" si="64"/>
        <v/>
      </c>
      <c r="GM9" s="18"/>
      <c r="GN9" s="18"/>
      <c r="GO9" s="18"/>
      <c r="GP9" s="18"/>
      <c r="GQ9" s="18"/>
      <c r="GR9" s="18"/>
      <c r="GS9" s="18"/>
      <c r="GT9" s="18"/>
      <c r="GU9" s="18"/>
      <c r="GV9" s="18"/>
      <c r="GW9" s="18"/>
      <c r="GX9" s="18"/>
      <c r="GY9" s="18"/>
      <c r="GZ9" s="18"/>
      <c r="HA9" s="18"/>
      <c r="HB9" s="18"/>
      <c r="HC9" s="18"/>
      <c r="HD9" s="18"/>
      <c r="HE9" s="18"/>
      <c r="HF9" s="18"/>
      <c r="HG9" s="11" t="str">
        <f t="shared" si="65"/>
        <v/>
      </c>
      <c r="HH9" s="11" t="str">
        <f t="shared" si="66"/>
        <v/>
      </c>
      <c r="HI9" s="11" t="str">
        <f t="shared" si="67"/>
        <v/>
      </c>
      <c r="HJ9" s="11" t="str">
        <f t="shared" si="68"/>
        <v/>
      </c>
      <c r="HK9" s="11" t="str">
        <f t="shared" si="69"/>
        <v/>
      </c>
      <c r="HL9" s="11" t="str">
        <f t="shared" si="70"/>
        <v/>
      </c>
      <c r="HM9" s="11" t="str">
        <f t="shared" si="71"/>
        <v/>
      </c>
      <c r="HN9" s="11" t="str">
        <f t="shared" si="72"/>
        <v/>
      </c>
      <c r="HO9" s="17"/>
      <c r="HP9" s="17"/>
      <c r="HQ9" s="17"/>
      <c r="HR9" s="17"/>
      <c r="HS9" s="17"/>
      <c r="HT9" s="17"/>
      <c r="HU9" s="17"/>
      <c r="HV9" s="17"/>
      <c r="HW9" s="17"/>
      <c r="HX9" s="17"/>
      <c r="HY9" s="17"/>
      <c r="HZ9" s="17"/>
      <c r="IA9" s="17"/>
      <c r="IB9" s="17"/>
      <c r="IC9" s="17"/>
      <c r="ID9" s="17"/>
      <c r="IE9" s="17"/>
      <c r="IF9" s="17"/>
      <c r="IG9" s="17"/>
      <c r="IH9" s="17"/>
      <c r="II9" s="40" t="str">
        <f t="shared" si="73"/>
        <v/>
      </c>
      <c r="IJ9" s="40" t="str">
        <f t="shared" si="74"/>
        <v/>
      </c>
      <c r="IK9" s="40" t="str">
        <f t="shared" si="75"/>
        <v/>
      </c>
      <c r="IL9" s="40" t="str">
        <f t="shared" si="76"/>
        <v/>
      </c>
      <c r="IM9" s="40" t="str">
        <f t="shared" si="77"/>
        <v/>
      </c>
      <c r="IN9" s="40" t="str">
        <f t="shared" si="78"/>
        <v/>
      </c>
      <c r="IO9" s="40" t="str">
        <f t="shared" si="79"/>
        <v/>
      </c>
      <c r="IP9" s="40" t="str">
        <f t="shared" si="80"/>
        <v/>
      </c>
      <c r="IQ9" s="18"/>
      <c r="IR9" s="18"/>
      <c r="IS9" s="18"/>
      <c r="IT9" s="18"/>
      <c r="IU9" s="18"/>
      <c r="IV9" s="18"/>
      <c r="IW9" s="18"/>
      <c r="IX9" s="18"/>
      <c r="IY9" s="18"/>
      <c r="IZ9" s="18"/>
      <c r="JA9" s="18"/>
      <c r="JB9" s="18"/>
      <c r="JC9" s="18"/>
      <c r="JD9" s="18"/>
      <c r="JE9" s="18"/>
      <c r="JF9" s="18"/>
      <c r="JG9" s="18"/>
      <c r="JH9" s="18"/>
      <c r="JI9" s="18"/>
      <c r="JJ9" s="18"/>
      <c r="JK9" s="11" t="str">
        <f t="shared" si="81"/>
        <v/>
      </c>
      <c r="JL9" s="11" t="str">
        <f t="shared" si="82"/>
        <v/>
      </c>
      <c r="JM9" s="11" t="str">
        <f t="shared" si="83"/>
        <v/>
      </c>
      <c r="JN9" s="11" t="str">
        <f t="shared" si="84"/>
        <v/>
      </c>
      <c r="JO9" s="11" t="str">
        <f t="shared" si="85"/>
        <v/>
      </c>
      <c r="JP9" s="11" t="str">
        <f t="shared" si="86"/>
        <v/>
      </c>
      <c r="JQ9" s="11" t="str">
        <f t="shared" si="87"/>
        <v/>
      </c>
      <c r="JR9" s="11" t="str">
        <f t="shared" si="88"/>
        <v/>
      </c>
      <c r="JS9" s="17"/>
      <c r="JT9" s="17"/>
      <c r="JU9" s="17"/>
      <c r="JV9" s="17"/>
      <c r="JW9" s="17"/>
      <c r="JX9" s="17"/>
      <c r="JY9" s="17"/>
      <c r="JZ9" s="17"/>
      <c r="KA9" s="17"/>
      <c r="KB9" s="17"/>
      <c r="KC9" s="17"/>
      <c r="KD9" s="17"/>
      <c r="KE9" s="17"/>
      <c r="KF9" s="17"/>
      <c r="KG9" s="17"/>
      <c r="KH9" s="17"/>
      <c r="KI9" s="17"/>
      <c r="KJ9" s="17"/>
      <c r="KK9" s="17"/>
      <c r="KL9" s="17"/>
      <c r="KM9" s="40" t="str">
        <f t="shared" si="89"/>
        <v/>
      </c>
      <c r="KN9" s="40" t="str">
        <f t="shared" si="90"/>
        <v/>
      </c>
      <c r="KO9" s="40" t="str">
        <f t="shared" si="91"/>
        <v/>
      </c>
      <c r="KP9" s="40" t="str">
        <f t="shared" si="92"/>
        <v/>
      </c>
      <c r="KQ9" s="40" t="str">
        <f t="shared" si="93"/>
        <v/>
      </c>
      <c r="KR9" s="40" t="str">
        <f t="shared" si="94"/>
        <v/>
      </c>
      <c r="KS9" s="40" t="str">
        <f t="shared" si="95"/>
        <v/>
      </c>
      <c r="KT9" s="40" t="str">
        <f t="shared" si="96"/>
        <v/>
      </c>
      <c r="KU9" s="18"/>
      <c r="KV9" s="18"/>
      <c r="KW9" s="18"/>
      <c r="KX9" s="18"/>
      <c r="KY9" s="18"/>
      <c r="KZ9" s="18"/>
      <c r="LA9" s="18"/>
      <c r="LB9" s="18"/>
      <c r="LC9" s="18"/>
      <c r="LD9" s="18"/>
      <c r="LE9" s="18"/>
      <c r="LF9" s="18"/>
      <c r="LG9" s="18"/>
      <c r="LH9" s="18"/>
      <c r="LI9" s="18"/>
      <c r="LJ9" s="18"/>
      <c r="LK9" s="18"/>
      <c r="LL9" s="18"/>
      <c r="LM9" s="18"/>
      <c r="LN9" s="18"/>
      <c r="LO9" s="11" t="str">
        <f t="shared" si="97"/>
        <v/>
      </c>
      <c r="LP9" s="11" t="str">
        <f t="shared" si="98"/>
        <v/>
      </c>
      <c r="LQ9" s="11" t="str">
        <f t="shared" si="99"/>
        <v/>
      </c>
      <c r="LR9" s="11" t="str">
        <f t="shared" si="100"/>
        <v/>
      </c>
      <c r="LS9" s="11" t="str">
        <f t="shared" si="101"/>
        <v/>
      </c>
      <c r="LT9" s="11" t="str">
        <f t="shared" si="102"/>
        <v/>
      </c>
      <c r="LU9" s="11" t="str">
        <f t="shared" si="103"/>
        <v/>
      </c>
      <c r="LV9" s="11" t="str">
        <f t="shared" si="104"/>
        <v/>
      </c>
      <c r="LW9" s="17"/>
      <c r="LX9" s="17"/>
      <c r="LY9" s="17"/>
      <c r="LZ9" s="17"/>
      <c r="MA9" s="17"/>
      <c r="MB9" s="17"/>
      <c r="MC9" s="17"/>
      <c r="MD9" s="17"/>
      <c r="ME9" s="17"/>
      <c r="MF9" s="17"/>
      <c r="MG9" s="17"/>
      <c r="MH9" s="17"/>
      <c r="MI9" s="17"/>
      <c r="MJ9" s="17"/>
      <c r="MK9" s="17"/>
      <c r="ML9" s="17"/>
      <c r="MM9" s="17"/>
      <c r="MN9" s="17"/>
      <c r="MO9" s="17"/>
      <c r="MP9" s="17"/>
      <c r="MQ9" s="40" t="str">
        <f t="shared" si="105"/>
        <v/>
      </c>
      <c r="MR9" s="40" t="str">
        <f t="shared" si="106"/>
        <v/>
      </c>
      <c r="MS9" s="40" t="str">
        <f t="shared" si="107"/>
        <v/>
      </c>
      <c r="MT9" s="40" t="str">
        <f t="shared" si="108"/>
        <v/>
      </c>
      <c r="MU9" s="40" t="str">
        <f t="shared" si="109"/>
        <v/>
      </c>
      <c r="MV9" s="40" t="str">
        <f t="shared" si="110"/>
        <v/>
      </c>
      <c r="MW9" s="40" t="str">
        <f t="shared" si="111"/>
        <v/>
      </c>
      <c r="MX9" s="40" t="str">
        <f t="shared" si="112"/>
        <v/>
      </c>
      <c r="MY9" s="18"/>
      <c r="MZ9" s="18"/>
      <c r="NA9" s="18"/>
      <c r="NB9" s="18"/>
      <c r="NC9" s="18"/>
      <c r="ND9" s="18"/>
      <c r="NE9" s="18"/>
      <c r="NF9" s="18"/>
      <c r="NG9" s="18"/>
      <c r="NH9" s="18"/>
      <c r="NI9" s="18"/>
      <c r="NJ9" s="18"/>
      <c r="NK9" s="18"/>
      <c r="NL9" s="18"/>
      <c r="NM9" s="18"/>
      <c r="NN9" s="18"/>
      <c r="NO9" s="18"/>
      <c r="NP9" s="18"/>
      <c r="NQ9" s="18"/>
      <c r="NR9" s="18"/>
      <c r="NS9" s="11" t="str">
        <f t="shared" si="113"/>
        <v/>
      </c>
      <c r="NT9" s="11" t="str">
        <f t="shared" si="114"/>
        <v/>
      </c>
      <c r="NU9" s="11" t="str">
        <f t="shared" si="115"/>
        <v/>
      </c>
      <c r="NV9" s="11" t="str">
        <f t="shared" si="116"/>
        <v/>
      </c>
      <c r="NW9" s="11" t="str">
        <f t="shared" si="117"/>
        <v/>
      </c>
      <c r="NX9" s="11" t="str">
        <f t="shared" si="118"/>
        <v/>
      </c>
      <c r="NY9" s="11" t="str">
        <f t="shared" si="119"/>
        <v/>
      </c>
      <c r="NZ9" s="11" t="str">
        <f t="shared" si="120"/>
        <v/>
      </c>
      <c r="OA9" s="17"/>
      <c r="OB9" s="17"/>
      <c r="OC9" s="17"/>
      <c r="OD9" s="17"/>
      <c r="OE9" s="17"/>
      <c r="OF9" s="17"/>
      <c r="OG9" s="17"/>
      <c r="OH9" s="17"/>
      <c r="OI9" s="17"/>
      <c r="OJ9" s="17"/>
      <c r="OK9" s="17"/>
      <c r="OL9" s="17"/>
      <c r="OM9" s="17"/>
      <c r="ON9" s="17"/>
      <c r="OO9" s="17"/>
      <c r="OP9" s="17"/>
      <c r="OQ9" s="17"/>
      <c r="OR9" s="17"/>
      <c r="OS9" s="17"/>
      <c r="OT9" s="17"/>
      <c r="OU9" s="40" t="str">
        <f t="shared" si="121"/>
        <v/>
      </c>
      <c r="OV9" s="40" t="str">
        <f t="shared" si="122"/>
        <v/>
      </c>
      <c r="OW9" s="40" t="str">
        <f t="shared" si="123"/>
        <v/>
      </c>
      <c r="OX9" s="40" t="str">
        <f t="shared" si="124"/>
        <v/>
      </c>
      <c r="OY9" s="40" t="str">
        <f t="shared" si="125"/>
        <v/>
      </c>
      <c r="OZ9" s="40" t="str">
        <f t="shared" si="126"/>
        <v/>
      </c>
      <c r="PA9" s="40" t="str">
        <f t="shared" si="127"/>
        <v/>
      </c>
      <c r="PB9" s="40" t="str">
        <f t="shared" si="128"/>
        <v/>
      </c>
      <c r="PC9" s="18"/>
      <c r="PD9" s="18"/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8"/>
      <c r="PS9" s="18"/>
      <c r="PT9" s="18"/>
      <c r="PU9" s="18"/>
      <c r="PV9" s="18"/>
      <c r="PW9" s="11" t="str">
        <f t="shared" si="129"/>
        <v/>
      </c>
      <c r="PX9" s="11" t="str">
        <f t="shared" si="130"/>
        <v/>
      </c>
      <c r="PY9" s="11" t="str">
        <f t="shared" si="131"/>
        <v/>
      </c>
      <c r="PZ9" s="11" t="str">
        <f t="shared" si="132"/>
        <v/>
      </c>
      <c r="QA9" s="11" t="str">
        <f t="shared" si="133"/>
        <v/>
      </c>
      <c r="QB9" s="11" t="str">
        <f t="shared" si="134"/>
        <v/>
      </c>
      <c r="QC9" s="11" t="str">
        <f t="shared" si="135"/>
        <v/>
      </c>
      <c r="QD9" s="11" t="str">
        <f t="shared" si="136"/>
        <v/>
      </c>
      <c r="QE9" s="22">
        <f t="shared" si="137"/>
        <v>16.25</v>
      </c>
      <c r="QF9" s="22">
        <f t="shared" si="138"/>
        <v>4.9000000000000004</v>
      </c>
      <c r="QG9" s="22">
        <f t="shared" si="139"/>
        <v>0.1</v>
      </c>
      <c r="QH9" s="22">
        <f t="shared" si="140"/>
        <v>0.6</v>
      </c>
      <c r="QI9" s="22">
        <f t="shared" si="141"/>
        <v>15.35</v>
      </c>
      <c r="QJ9" s="22">
        <f t="shared" si="142"/>
        <v>4.8499999999999996</v>
      </c>
      <c r="QK9" s="22">
        <f t="shared" si="143"/>
        <v>0.2</v>
      </c>
      <c r="QL9" s="22">
        <f t="shared" si="144"/>
        <v>0.44999999999999996</v>
      </c>
      <c r="QM9" s="22">
        <f t="shared" si="145"/>
        <v>7.85</v>
      </c>
      <c r="QN9" s="22">
        <f t="shared" si="146"/>
        <v>2.1</v>
      </c>
      <c r="QO9" s="22">
        <f t="shared" si="147"/>
        <v>0.2</v>
      </c>
      <c r="QP9" s="22">
        <f t="shared" si="148"/>
        <v>0.3</v>
      </c>
      <c r="QQ9" s="22">
        <f t="shared" si="149"/>
        <v>15.09</v>
      </c>
      <c r="QR9" s="22">
        <f t="shared" si="150"/>
        <v>4.4499999999999993</v>
      </c>
      <c r="QS9" s="22">
        <f t="shared" si="151"/>
        <v>0.2</v>
      </c>
      <c r="QT9" s="22">
        <f t="shared" si="152"/>
        <v>0.44999999999999996</v>
      </c>
      <c r="QU9" s="22">
        <f t="shared" si="153"/>
        <v>15.600000000000001</v>
      </c>
      <c r="QV9" s="22">
        <f t="shared" si="154"/>
        <v>4.0999999999999996</v>
      </c>
      <c r="QW9" s="22">
        <f t="shared" si="155"/>
        <v>0</v>
      </c>
      <c r="QX9" s="22">
        <f t="shared" si="156"/>
        <v>0.44999999999999996</v>
      </c>
      <c r="QY9" s="27" t="s">
        <v>46</v>
      </c>
      <c r="QZ9" s="40">
        <f t="shared" si="157"/>
        <v>9.75</v>
      </c>
      <c r="RA9" s="40">
        <f t="shared" si="158"/>
        <v>42.1</v>
      </c>
      <c r="RB9" s="40">
        <f t="shared" si="159"/>
        <v>10.050000000000001</v>
      </c>
      <c r="RC9" s="40">
        <f t="shared" si="160"/>
        <v>11.85</v>
      </c>
      <c r="RD9" s="40">
        <f t="shared" si="161"/>
        <v>52.150000000000006</v>
      </c>
      <c r="RE9" s="40">
        <f t="shared" si="162"/>
        <v>8.5499999999999989</v>
      </c>
      <c r="RF9" s="40">
        <f t="shared" si="163"/>
        <v>39.940000000000005</v>
      </c>
      <c r="RG9" s="40">
        <f t="shared" si="164"/>
        <v>82.04</v>
      </c>
    </row>
    <row r="10" spans="1:475" x14ac:dyDescent="0.2">
      <c r="A10" s="4">
        <f t="shared" si="0"/>
        <v>7</v>
      </c>
      <c r="B10" s="5" t="s">
        <v>171</v>
      </c>
      <c r="C10" s="4" t="s">
        <v>4</v>
      </c>
      <c r="D10" s="4">
        <v>2004</v>
      </c>
      <c r="E10" s="9">
        <f t="shared" si="1"/>
        <v>132.10000440000439</v>
      </c>
      <c r="F10" s="3" t="str">
        <f t="shared" si="2"/>
        <v>P</v>
      </c>
      <c r="G10" s="3" t="str">
        <f t="shared" si="3"/>
        <v>P</v>
      </c>
      <c r="H10" s="36" t="str">
        <f t="shared" si="4"/>
        <v>National Team</v>
      </c>
      <c r="I10" s="3" t="str">
        <f t="shared" si="5"/>
        <v/>
      </c>
      <c r="J10" s="8">
        <f>IF(COUNT(AQ10,BT10,CW10)&gt;0,LARGE((AQ10,BT10,CW10),1),0)</f>
        <v>44</v>
      </c>
      <c r="K10" s="8" t="str">
        <f t="shared" si="6"/>
        <v>2022 Nationals</v>
      </c>
      <c r="L10" s="8">
        <f>IF(COUNT(AQ10,BT10,CW10)&gt;1,LARGE((AQ10,BT10,CW10),2),0)</f>
        <v>0</v>
      </c>
      <c r="M10" s="8" t="str">
        <f t="shared" si="7"/>
        <v/>
      </c>
      <c r="N10" s="8">
        <f>IF(COUNT(AR10,BU10,CX10)&gt;0,LARGE((AR10,BU10,CX10),1),0)</f>
        <v>0</v>
      </c>
      <c r="O10" s="8" t="str">
        <f t="shared" si="8"/>
        <v/>
      </c>
      <c r="P10" s="8">
        <f t="shared" si="9"/>
        <v>46.199999999999996</v>
      </c>
      <c r="Q10" s="8" t="str">
        <f t="shared" si="10"/>
        <v>2022 Nationals</v>
      </c>
      <c r="R10" s="8">
        <f t="shared" si="11"/>
        <v>41.9</v>
      </c>
      <c r="S10" s="11" t="str">
        <f t="shared" si="12"/>
        <v>(Q1)</v>
      </c>
      <c r="T10" s="8" t="str">
        <f t="shared" si="13"/>
        <v>2022 WAGC (Nov 24)</v>
      </c>
      <c r="U10" s="19">
        <v>18.3</v>
      </c>
      <c r="V10" s="19">
        <v>4.3</v>
      </c>
      <c r="W10" s="19">
        <v>0</v>
      </c>
      <c r="X10" s="19">
        <v>0.3</v>
      </c>
      <c r="Y10" s="19">
        <v>16.100000000000001</v>
      </c>
      <c r="Z10" s="19">
        <v>5.0999999999999996</v>
      </c>
      <c r="AA10" s="19">
        <v>0.4</v>
      </c>
      <c r="AB10" s="19">
        <v>0.3</v>
      </c>
      <c r="AC10" s="19"/>
      <c r="AD10" s="19"/>
      <c r="AE10" s="19"/>
      <c r="AF10" s="19"/>
      <c r="AG10" s="19">
        <v>17.7</v>
      </c>
      <c r="AH10" s="19">
        <v>5</v>
      </c>
      <c r="AI10" s="19">
        <v>0</v>
      </c>
      <c r="AJ10" s="19">
        <v>0.6</v>
      </c>
      <c r="AK10" s="19">
        <v>17.5</v>
      </c>
      <c r="AL10" s="19">
        <v>5.0999999999999996</v>
      </c>
      <c r="AM10" s="19">
        <v>0</v>
      </c>
      <c r="AN10" s="19">
        <v>0.3</v>
      </c>
      <c r="AO10" s="27"/>
      <c r="AP10" s="40">
        <f t="shared" si="14"/>
        <v>9.3999999999999986</v>
      </c>
      <c r="AQ10" s="40">
        <f t="shared" si="15"/>
        <v>44</v>
      </c>
      <c r="AR10" s="40" t="str">
        <f t="shared" si="16"/>
        <v/>
      </c>
      <c r="AS10" s="40">
        <f t="shared" si="17"/>
        <v>9.3999999999999986</v>
      </c>
      <c r="AT10" s="40">
        <f t="shared" si="18"/>
        <v>44</v>
      </c>
      <c r="AU10" s="40">
        <f t="shared" si="19"/>
        <v>10.1</v>
      </c>
      <c r="AV10" s="40">
        <f t="shared" si="20"/>
        <v>46.199999999999996</v>
      </c>
      <c r="AW10" s="40">
        <f t="shared" si="21"/>
        <v>90.199999999999989</v>
      </c>
      <c r="AX10" s="18"/>
      <c r="AY10" s="18"/>
      <c r="AZ10" s="18"/>
      <c r="BA10" s="18"/>
      <c r="BB10" s="18"/>
      <c r="BC10" s="18"/>
      <c r="BD10" s="18"/>
      <c r="BE10" s="18"/>
      <c r="BF10" s="18"/>
      <c r="BG10" s="18"/>
      <c r="BH10" s="18"/>
      <c r="BI10" s="18"/>
      <c r="BJ10" s="18"/>
      <c r="BK10" s="18"/>
      <c r="BL10" s="18"/>
      <c r="BM10" s="18"/>
      <c r="BN10" s="18"/>
      <c r="BO10" s="18"/>
      <c r="BP10" s="18"/>
      <c r="BQ10" s="18"/>
      <c r="BR10" s="28"/>
      <c r="BS10" s="11" t="str">
        <f t="shared" si="22"/>
        <v/>
      </c>
      <c r="BT10" s="11" t="str">
        <f t="shared" si="23"/>
        <v/>
      </c>
      <c r="BU10" s="11" t="str">
        <f t="shared" si="24"/>
        <v/>
      </c>
      <c r="BV10" s="11" t="str">
        <f t="shared" si="25"/>
        <v/>
      </c>
      <c r="BW10" s="11" t="str">
        <f t="shared" si="26"/>
        <v/>
      </c>
      <c r="BX10" s="11" t="str">
        <f t="shared" si="27"/>
        <v/>
      </c>
      <c r="BY10" s="11" t="str">
        <f t="shared" si="28"/>
        <v/>
      </c>
      <c r="BZ10" s="11" t="str">
        <f t="shared" si="29"/>
        <v/>
      </c>
      <c r="CA10" s="19"/>
      <c r="CB10" s="19"/>
      <c r="CC10" s="19"/>
      <c r="CD10" s="19"/>
      <c r="CE10" s="19"/>
      <c r="CF10" s="19"/>
      <c r="CG10" s="19"/>
      <c r="CH10" s="19"/>
      <c r="CI10" s="19"/>
      <c r="CJ10" s="19"/>
      <c r="CK10" s="19"/>
      <c r="CL10" s="19"/>
      <c r="CM10" s="19"/>
      <c r="CN10" s="19"/>
      <c r="CO10" s="19"/>
      <c r="CP10" s="19"/>
      <c r="CQ10" s="19"/>
      <c r="CR10" s="19"/>
      <c r="CS10" s="19"/>
      <c r="CT10" s="19"/>
      <c r="CU10" s="27"/>
      <c r="CV10" s="40" t="str">
        <f t="shared" si="30"/>
        <v/>
      </c>
      <c r="CW10" s="40" t="str">
        <f t="shared" si="31"/>
        <v/>
      </c>
      <c r="CX10" s="40" t="str">
        <f t="shared" si="32"/>
        <v/>
      </c>
      <c r="CY10" s="40" t="str">
        <f t="shared" si="33"/>
        <v/>
      </c>
      <c r="CZ10" s="40" t="str">
        <f t="shared" si="34"/>
        <v/>
      </c>
      <c r="DA10" s="40" t="str">
        <f t="shared" si="35"/>
        <v/>
      </c>
      <c r="DB10" s="40" t="str">
        <f t="shared" si="36"/>
        <v/>
      </c>
      <c r="DC10" s="40" t="str">
        <f t="shared" si="37"/>
        <v/>
      </c>
      <c r="DD10" s="50">
        <f t="shared" si="38"/>
        <v>41.9</v>
      </c>
      <c r="DE10" s="50" t="str">
        <f t="shared" si="39"/>
        <v/>
      </c>
      <c r="DF10" s="50" t="str">
        <f t="shared" si="40"/>
        <v/>
      </c>
      <c r="DG10" s="17"/>
      <c r="DH10" s="17"/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17"/>
      <c r="DY10" s="17"/>
      <c r="DZ10" s="17"/>
      <c r="EA10" s="40" t="str">
        <f t="shared" si="41"/>
        <v/>
      </c>
      <c r="EB10" s="40" t="str">
        <f t="shared" si="42"/>
        <v/>
      </c>
      <c r="EC10" s="40" t="str">
        <f t="shared" si="43"/>
        <v/>
      </c>
      <c r="ED10" s="40" t="str">
        <f t="shared" si="44"/>
        <v/>
      </c>
      <c r="EE10" s="40" t="str">
        <f t="shared" si="45"/>
        <v/>
      </c>
      <c r="EF10" s="40" t="str">
        <f t="shared" si="46"/>
        <v/>
      </c>
      <c r="EG10" s="40" t="str">
        <f t="shared" si="47"/>
        <v/>
      </c>
      <c r="EH10" s="40" t="str">
        <f t="shared" si="48"/>
        <v/>
      </c>
      <c r="EI10" s="18"/>
      <c r="EJ10" s="18"/>
      <c r="EK10" s="18"/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8"/>
      <c r="FC10" s="11" t="str">
        <f t="shared" si="49"/>
        <v/>
      </c>
      <c r="FD10" s="11" t="str">
        <f t="shared" si="50"/>
        <v/>
      </c>
      <c r="FE10" s="11" t="str">
        <f t="shared" si="51"/>
        <v/>
      </c>
      <c r="FF10" s="11" t="str">
        <f t="shared" si="52"/>
        <v/>
      </c>
      <c r="FG10" s="11" t="str">
        <f t="shared" si="53"/>
        <v/>
      </c>
      <c r="FH10" s="11" t="str">
        <f t="shared" si="54"/>
        <v/>
      </c>
      <c r="FI10" s="11" t="str">
        <f t="shared" si="55"/>
        <v/>
      </c>
      <c r="FJ10" s="11" t="str">
        <f t="shared" si="56"/>
        <v/>
      </c>
      <c r="FK10" s="17"/>
      <c r="FL10" s="17"/>
      <c r="FM10" s="17"/>
      <c r="FN10" s="17"/>
      <c r="FO10" s="17"/>
      <c r="FP10" s="17"/>
      <c r="FQ10" s="17"/>
      <c r="FR10" s="17"/>
      <c r="FS10" s="17"/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40" t="str">
        <f t="shared" si="57"/>
        <v/>
      </c>
      <c r="GF10" s="40" t="str">
        <f t="shared" si="58"/>
        <v/>
      </c>
      <c r="GG10" s="40" t="str">
        <f t="shared" si="59"/>
        <v/>
      </c>
      <c r="GH10" s="40" t="str">
        <f t="shared" si="60"/>
        <v/>
      </c>
      <c r="GI10" s="40" t="str">
        <f t="shared" si="61"/>
        <v/>
      </c>
      <c r="GJ10" s="40" t="str">
        <f t="shared" si="62"/>
        <v/>
      </c>
      <c r="GK10" s="40" t="str">
        <f t="shared" si="63"/>
        <v/>
      </c>
      <c r="GL10" s="40" t="str">
        <f t="shared" si="64"/>
        <v/>
      </c>
      <c r="GM10" s="18"/>
      <c r="GN10" s="18"/>
      <c r="GO10" s="18"/>
      <c r="GP10" s="18"/>
      <c r="GQ10" s="18"/>
      <c r="GR10" s="18"/>
      <c r="GS10" s="18"/>
      <c r="GT10" s="18"/>
      <c r="GU10" s="18"/>
      <c r="GV10" s="18"/>
      <c r="GW10" s="18"/>
      <c r="GX10" s="18"/>
      <c r="GY10" s="18"/>
      <c r="GZ10" s="18"/>
      <c r="HA10" s="18"/>
      <c r="HB10" s="18"/>
      <c r="HC10" s="18"/>
      <c r="HD10" s="18"/>
      <c r="HE10" s="18"/>
      <c r="HF10" s="18"/>
      <c r="HG10" s="11" t="str">
        <f t="shared" si="65"/>
        <v/>
      </c>
      <c r="HH10" s="11" t="str">
        <f t="shared" si="66"/>
        <v/>
      </c>
      <c r="HI10" s="11" t="str">
        <f t="shared" si="67"/>
        <v/>
      </c>
      <c r="HJ10" s="11" t="str">
        <f t="shared" si="68"/>
        <v/>
      </c>
      <c r="HK10" s="11" t="str">
        <f t="shared" si="69"/>
        <v/>
      </c>
      <c r="HL10" s="11" t="str">
        <f t="shared" si="70"/>
        <v/>
      </c>
      <c r="HM10" s="11" t="str">
        <f t="shared" si="71"/>
        <v/>
      </c>
      <c r="HN10" s="11" t="str">
        <f t="shared" si="72"/>
        <v/>
      </c>
      <c r="HO10" s="17"/>
      <c r="HP10" s="17"/>
      <c r="HQ10" s="17"/>
      <c r="HR10" s="17"/>
      <c r="HS10" s="17"/>
      <c r="HT10" s="17"/>
      <c r="HU10" s="17"/>
      <c r="HV10" s="17"/>
      <c r="HW10" s="17"/>
      <c r="HX10" s="17"/>
      <c r="HY10" s="17"/>
      <c r="HZ10" s="17"/>
      <c r="IA10" s="17"/>
      <c r="IB10" s="17"/>
      <c r="IC10" s="17"/>
      <c r="ID10" s="17"/>
      <c r="IE10" s="17"/>
      <c r="IF10" s="17"/>
      <c r="IG10" s="17"/>
      <c r="IH10" s="17"/>
      <c r="II10" s="40" t="str">
        <f t="shared" si="73"/>
        <v/>
      </c>
      <c r="IJ10" s="40" t="str">
        <f t="shared" si="74"/>
        <v/>
      </c>
      <c r="IK10" s="40" t="str">
        <f t="shared" si="75"/>
        <v/>
      </c>
      <c r="IL10" s="40" t="str">
        <f t="shared" si="76"/>
        <v/>
      </c>
      <c r="IM10" s="40" t="str">
        <f t="shared" si="77"/>
        <v/>
      </c>
      <c r="IN10" s="40" t="str">
        <f t="shared" si="78"/>
        <v/>
      </c>
      <c r="IO10" s="40" t="str">
        <f t="shared" si="79"/>
        <v/>
      </c>
      <c r="IP10" s="40" t="str">
        <f t="shared" si="80"/>
        <v/>
      </c>
      <c r="IQ10" s="18"/>
      <c r="IR10" s="18"/>
      <c r="IS10" s="18"/>
      <c r="IT10" s="18"/>
      <c r="IU10" s="18"/>
      <c r="IV10" s="18"/>
      <c r="IW10" s="18"/>
      <c r="IX10" s="18"/>
      <c r="IY10" s="18"/>
      <c r="IZ10" s="18"/>
      <c r="JA10" s="18"/>
      <c r="JB10" s="18"/>
      <c r="JC10" s="18"/>
      <c r="JD10" s="18"/>
      <c r="JE10" s="18"/>
      <c r="JF10" s="18"/>
      <c r="JG10" s="18"/>
      <c r="JH10" s="18"/>
      <c r="JI10" s="18"/>
      <c r="JJ10" s="18"/>
      <c r="JK10" s="11" t="str">
        <f t="shared" si="81"/>
        <v/>
      </c>
      <c r="JL10" s="11" t="str">
        <f t="shared" si="82"/>
        <v/>
      </c>
      <c r="JM10" s="11" t="str">
        <f t="shared" si="83"/>
        <v/>
      </c>
      <c r="JN10" s="11" t="str">
        <f t="shared" si="84"/>
        <v/>
      </c>
      <c r="JO10" s="11" t="str">
        <f t="shared" si="85"/>
        <v/>
      </c>
      <c r="JP10" s="11" t="str">
        <f t="shared" si="86"/>
        <v/>
      </c>
      <c r="JQ10" s="11" t="str">
        <f t="shared" si="87"/>
        <v/>
      </c>
      <c r="JR10" s="11" t="str">
        <f t="shared" si="88"/>
        <v/>
      </c>
      <c r="JS10" s="17"/>
      <c r="JT10" s="17"/>
      <c r="JU10" s="17"/>
      <c r="JV10" s="17"/>
      <c r="JW10" s="17"/>
      <c r="JX10" s="17"/>
      <c r="JY10" s="17"/>
      <c r="JZ10" s="17"/>
      <c r="KA10" s="17"/>
      <c r="KB10" s="17"/>
      <c r="KC10" s="17"/>
      <c r="KD10" s="17"/>
      <c r="KE10" s="17"/>
      <c r="KF10" s="17"/>
      <c r="KG10" s="17"/>
      <c r="KH10" s="17"/>
      <c r="KI10" s="17"/>
      <c r="KJ10" s="17"/>
      <c r="KK10" s="17"/>
      <c r="KL10" s="17"/>
      <c r="KM10" s="40" t="str">
        <f t="shared" si="89"/>
        <v/>
      </c>
      <c r="KN10" s="40" t="str">
        <f t="shared" si="90"/>
        <v/>
      </c>
      <c r="KO10" s="40" t="str">
        <f t="shared" si="91"/>
        <v/>
      </c>
      <c r="KP10" s="40" t="str">
        <f t="shared" si="92"/>
        <v/>
      </c>
      <c r="KQ10" s="40" t="str">
        <f t="shared" si="93"/>
        <v/>
      </c>
      <c r="KR10" s="40" t="str">
        <f t="shared" si="94"/>
        <v/>
      </c>
      <c r="KS10" s="40" t="str">
        <f t="shared" si="95"/>
        <v/>
      </c>
      <c r="KT10" s="40" t="str">
        <f t="shared" si="96"/>
        <v/>
      </c>
      <c r="KU10" s="18">
        <v>17.2</v>
      </c>
      <c r="KV10" s="18">
        <v>5.7</v>
      </c>
      <c r="KW10" s="18">
        <v>0</v>
      </c>
      <c r="KX10" s="18">
        <v>0</v>
      </c>
      <c r="KY10" s="18">
        <v>15.3</v>
      </c>
      <c r="KZ10" s="18">
        <v>3.9</v>
      </c>
      <c r="LA10" s="18">
        <v>0.2</v>
      </c>
      <c r="LB10" s="18">
        <v>0</v>
      </c>
      <c r="LC10" s="18"/>
      <c r="LD10" s="18"/>
      <c r="LE10" s="18"/>
      <c r="LF10" s="18"/>
      <c r="LG10" s="18"/>
      <c r="LH10" s="18"/>
      <c r="LI10" s="18"/>
      <c r="LJ10" s="18"/>
      <c r="LK10" s="18"/>
      <c r="LL10" s="18"/>
      <c r="LM10" s="18"/>
      <c r="LN10" s="18"/>
      <c r="LO10" s="11">
        <f t="shared" si="97"/>
        <v>9.6</v>
      </c>
      <c r="LP10" s="11">
        <f t="shared" si="98"/>
        <v>41.9</v>
      </c>
      <c r="LQ10" s="11" t="str">
        <f t="shared" si="99"/>
        <v/>
      </c>
      <c r="LR10" s="11">
        <f t="shared" si="100"/>
        <v>9.6</v>
      </c>
      <c r="LS10" s="11">
        <f t="shared" si="101"/>
        <v>41.9</v>
      </c>
      <c r="LT10" s="11" t="str">
        <f t="shared" si="102"/>
        <v/>
      </c>
      <c r="LU10" s="11" t="str">
        <f t="shared" si="103"/>
        <v/>
      </c>
      <c r="LV10" s="11">
        <f t="shared" si="104"/>
        <v>41.9</v>
      </c>
      <c r="LW10" s="17"/>
      <c r="LX10" s="17"/>
      <c r="LY10" s="17"/>
      <c r="LZ10" s="17"/>
      <c r="MA10" s="17"/>
      <c r="MB10" s="17"/>
      <c r="MC10" s="17"/>
      <c r="MD10" s="17"/>
      <c r="ME10" s="17"/>
      <c r="MF10" s="17"/>
      <c r="MG10" s="17"/>
      <c r="MH10" s="17"/>
      <c r="MI10" s="17"/>
      <c r="MJ10" s="17"/>
      <c r="MK10" s="17"/>
      <c r="ML10" s="17"/>
      <c r="MM10" s="17"/>
      <c r="MN10" s="17"/>
      <c r="MO10" s="17"/>
      <c r="MP10" s="17"/>
      <c r="MQ10" s="40" t="str">
        <f t="shared" si="105"/>
        <v/>
      </c>
      <c r="MR10" s="40" t="str">
        <f t="shared" si="106"/>
        <v/>
      </c>
      <c r="MS10" s="40" t="str">
        <f t="shared" si="107"/>
        <v/>
      </c>
      <c r="MT10" s="40" t="str">
        <f t="shared" si="108"/>
        <v/>
      </c>
      <c r="MU10" s="40" t="str">
        <f t="shared" si="109"/>
        <v/>
      </c>
      <c r="MV10" s="40" t="str">
        <f t="shared" si="110"/>
        <v/>
      </c>
      <c r="MW10" s="40" t="str">
        <f t="shared" si="111"/>
        <v/>
      </c>
      <c r="MX10" s="40" t="str">
        <f t="shared" si="112"/>
        <v/>
      </c>
      <c r="MY10" s="18"/>
      <c r="MZ10" s="18"/>
      <c r="NA10" s="18"/>
      <c r="NB10" s="18"/>
      <c r="NC10" s="18"/>
      <c r="ND10" s="18"/>
      <c r="NE10" s="18"/>
      <c r="NF10" s="18"/>
      <c r="NG10" s="18"/>
      <c r="NH10" s="18"/>
      <c r="NI10" s="18"/>
      <c r="NJ10" s="18"/>
      <c r="NK10" s="18"/>
      <c r="NL10" s="18"/>
      <c r="NM10" s="18"/>
      <c r="NN10" s="18"/>
      <c r="NO10" s="18"/>
      <c r="NP10" s="18"/>
      <c r="NQ10" s="18"/>
      <c r="NR10" s="18"/>
      <c r="NS10" s="11" t="str">
        <f t="shared" si="113"/>
        <v/>
      </c>
      <c r="NT10" s="11" t="str">
        <f t="shared" si="114"/>
        <v/>
      </c>
      <c r="NU10" s="11" t="str">
        <f t="shared" si="115"/>
        <v/>
      </c>
      <c r="NV10" s="11" t="str">
        <f t="shared" si="116"/>
        <v/>
      </c>
      <c r="NW10" s="11" t="str">
        <f t="shared" si="117"/>
        <v/>
      </c>
      <c r="NX10" s="11" t="str">
        <f t="shared" si="118"/>
        <v/>
      </c>
      <c r="NY10" s="11" t="str">
        <f t="shared" si="119"/>
        <v/>
      </c>
      <c r="NZ10" s="11" t="str">
        <f t="shared" si="120"/>
        <v/>
      </c>
      <c r="OA10" s="17"/>
      <c r="OB10" s="17"/>
      <c r="OC10" s="17"/>
      <c r="OD10" s="17"/>
      <c r="OE10" s="17"/>
      <c r="OF10" s="17"/>
      <c r="OG10" s="17"/>
      <c r="OH10" s="17"/>
      <c r="OI10" s="17"/>
      <c r="OJ10" s="17"/>
      <c r="OK10" s="17"/>
      <c r="OL10" s="17"/>
      <c r="OM10" s="17"/>
      <c r="ON10" s="17"/>
      <c r="OO10" s="17"/>
      <c r="OP10" s="17"/>
      <c r="OQ10" s="17"/>
      <c r="OR10" s="17"/>
      <c r="OS10" s="17"/>
      <c r="OT10" s="17"/>
      <c r="OU10" s="40" t="str">
        <f t="shared" si="121"/>
        <v/>
      </c>
      <c r="OV10" s="40" t="str">
        <f t="shared" si="122"/>
        <v/>
      </c>
      <c r="OW10" s="40" t="str">
        <f t="shared" si="123"/>
        <v/>
      </c>
      <c r="OX10" s="40" t="str">
        <f t="shared" si="124"/>
        <v/>
      </c>
      <c r="OY10" s="40" t="str">
        <f t="shared" si="125"/>
        <v/>
      </c>
      <c r="OZ10" s="40" t="str">
        <f t="shared" si="126"/>
        <v/>
      </c>
      <c r="PA10" s="40" t="str">
        <f t="shared" si="127"/>
        <v/>
      </c>
      <c r="PB10" s="40" t="str">
        <f t="shared" si="128"/>
        <v/>
      </c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8"/>
      <c r="PS10" s="18"/>
      <c r="PT10" s="18"/>
      <c r="PU10" s="18"/>
      <c r="PV10" s="18"/>
      <c r="PW10" s="11" t="str">
        <f t="shared" si="129"/>
        <v/>
      </c>
      <c r="PX10" s="11" t="str">
        <f t="shared" si="130"/>
        <v/>
      </c>
      <c r="PY10" s="11" t="str">
        <f t="shared" si="131"/>
        <v/>
      </c>
      <c r="PZ10" s="11" t="str">
        <f t="shared" si="132"/>
        <v/>
      </c>
      <c r="QA10" s="11" t="str">
        <f t="shared" si="133"/>
        <v/>
      </c>
      <c r="QB10" s="11" t="str">
        <f t="shared" si="134"/>
        <v/>
      </c>
      <c r="QC10" s="11" t="str">
        <f t="shared" si="135"/>
        <v/>
      </c>
      <c r="QD10" s="11" t="str">
        <f t="shared" si="136"/>
        <v/>
      </c>
      <c r="QE10" s="22">
        <f t="shared" si="137"/>
        <v>0</v>
      </c>
      <c r="QF10" s="22">
        <f t="shared" si="138"/>
        <v>0</v>
      </c>
      <c r="QG10" s="22">
        <f t="shared" si="139"/>
        <v>0</v>
      </c>
      <c r="QH10" s="22">
        <f t="shared" si="140"/>
        <v>0</v>
      </c>
      <c r="QI10" s="22">
        <f t="shared" si="141"/>
        <v>0</v>
      </c>
      <c r="QJ10" s="22">
        <f t="shared" si="142"/>
        <v>0</v>
      </c>
      <c r="QK10" s="22">
        <f t="shared" si="143"/>
        <v>0</v>
      </c>
      <c r="QL10" s="22">
        <f t="shared" si="144"/>
        <v>0</v>
      </c>
      <c r="QM10" s="22">
        <f t="shared" si="145"/>
        <v>0</v>
      </c>
      <c r="QN10" s="22">
        <f t="shared" si="146"/>
        <v>0</v>
      </c>
      <c r="QO10" s="22">
        <f t="shared" si="147"/>
        <v>0</v>
      </c>
      <c r="QP10" s="22">
        <f t="shared" si="148"/>
        <v>0</v>
      </c>
      <c r="QQ10" s="22">
        <f t="shared" si="149"/>
        <v>0</v>
      </c>
      <c r="QR10" s="22">
        <f t="shared" si="150"/>
        <v>0</v>
      </c>
      <c r="QS10" s="22">
        <f t="shared" si="151"/>
        <v>0</v>
      </c>
      <c r="QT10" s="22">
        <f t="shared" si="152"/>
        <v>0</v>
      </c>
      <c r="QU10" s="22">
        <f t="shared" si="153"/>
        <v>0</v>
      </c>
      <c r="QV10" s="22">
        <f t="shared" si="154"/>
        <v>0</v>
      </c>
      <c r="QW10" s="22">
        <f t="shared" si="155"/>
        <v>0</v>
      </c>
      <c r="QX10" s="22">
        <f t="shared" si="156"/>
        <v>0</v>
      </c>
      <c r="QY10" s="27" t="s">
        <v>46</v>
      </c>
      <c r="QZ10" s="40" t="str">
        <f t="shared" si="157"/>
        <v/>
      </c>
      <c r="RA10" s="40" t="str">
        <f t="shared" si="158"/>
        <v/>
      </c>
      <c r="RB10" s="40" t="str">
        <f t="shared" si="159"/>
        <v/>
      </c>
      <c r="RC10" s="40" t="str">
        <f t="shared" si="160"/>
        <v/>
      </c>
      <c r="RD10" s="40" t="str">
        <f t="shared" si="161"/>
        <v/>
      </c>
      <c r="RE10" s="40" t="str">
        <f t="shared" si="162"/>
        <v/>
      </c>
      <c r="RF10" s="40" t="str">
        <f t="shared" si="163"/>
        <v/>
      </c>
      <c r="RG10" s="40" t="str">
        <f t="shared" si="164"/>
        <v/>
      </c>
    </row>
    <row r="11" spans="1:475" x14ac:dyDescent="0.2">
      <c r="A11" s="4">
        <f t="shared" si="0"/>
        <v>8</v>
      </c>
      <c r="B11" s="5" t="s">
        <v>196</v>
      </c>
      <c r="C11" s="4" t="s">
        <v>6</v>
      </c>
      <c r="D11" s="4">
        <v>2006</v>
      </c>
      <c r="E11" s="9">
        <f t="shared" si="1"/>
        <v>107.60000635000411</v>
      </c>
      <c r="F11" s="3" t="str">
        <f t="shared" si="2"/>
        <v>P</v>
      </c>
      <c r="G11" s="3" t="str">
        <f t="shared" si="3"/>
        <v>P</v>
      </c>
      <c r="H11" s="36" t="str">
        <f t="shared" si="4"/>
        <v>National Team</v>
      </c>
      <c r="I11" s="3" t="str">
        <f t="shared" si="5"/>
        <v/>
      </c>
      <c r="J11" s="8">
        <f>IF(COUNT(AQ11,BT11,CW11)&gt;0,LARGE((AQ11,BT11,CW11),1),0)</f>
        <v>41</v>
      </c>
      <c r="K11" s="8" t="str">
        <f t="shared" si="6"/>
        <v>2023 Elite Canada</v>
      </c>
      <c r="L11" s="8">
        <f>IF(COUNT(AQ11,BT11,CW11)&gt;1,LARGE((AQ11,BT11,CW11),2),0)</f>
        <v>0</v>
      </c>
      <c r="M11" s="8" t="str">
        <f t="shared" si="7"/>
        <v/>
      </c>
      <c r="N11" s="8">
        <f>IF(COUNT(AR11,BU11,CX11)&gt;0,LARGE((AR11,BU11,CX11),1),0)</f>
        <v>22.500000000000004</v>
      </c>
      <c r="O11" s="8" t="str">
        <f t="shared" si="8"/>
        <v>2023 Elite Canada</v>
      </c>
      <c r="P11" s="8">
        <f t="shared" si="9"/>
        <v>44.1</v>
      </c>
      <c r="Q11" s="8" t="str">
        <f t="shared" si="10"/>
        <v>2023 Elite Canada</v>
      </c>
      <c r="R11" s="8" t="str">
        <f t="shared" si="11"/>
        <v/>
      </c>
      <c r="S11" s="11" t="str">
        <f t="shared" si="12"/>
        <v/>
      </c>
      <c r="T11" s="8" t="str">
        <f t="shared" si="13"/>
        <v/>
      </c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19"/>
      <c r="AJ11" s="19"/>
      <c r="AK11" s="19"/>
      <c r="AL11" s="19"/>
      <c r="AM11" s="19"/>
      <c r="AN11" s="19"/>
      <c r="AO11" s="27"/>
      <c r="AP11" s="40" t="str">
        <f t="shared" si="14"/>
        <v/>
      </c>
      <c r="AQ11" s="40" t="str">
        <f t="shared" si="15"/>
        <v/>
      </c>
      <c r="AR11" s="40" t="str">
        <f t="shared" si="16"/>
        <v/>
      </c>
      <c r="AS11" s="40" t="str">
        <f t="shared" si="17"/>
        <v/>
      </c>
      <c r="AT11" s="40" t="str">
        <f t="shared" si="18"/>
        <v/>
      </c>
      <c r="AU11" s="40" t="str">
        <f t="shared" si="19"/>
        <v/>
      </c>
      <c r="AV11" s="40" t="str">
        <f t="shared" si="20"/>
        <v/>
      </c>
      <c r="AW11" s="40" t="str">
        <f t="shared" si="21"/>
        <v/>
      </c>
      <c r="AX11" s="18"/>
      <c r="AY11" s="18"/>
      <c r="AZ11" s="18"/>
      <c r="BA11" s="18"/>
      <c r="BB11" s="18"/>
      <c r="BC11" s="18"/>
      <c r="BD11" s="18"/>
      <c r="BE11" s="18"/>
      <c r="BF11" s="18"/>
      <c r="BG11" s="18"/>
      <c r="BH11" s="18"/>
      <c r="BI11" s="18"/>
      <c r="BJ11" s="18"/>
      <c r="BK11" s="18"/>
      <c r="BL11" s="18"/>
      <c r="BM11" s="18"/>
      <c r="BN11" s="18"/>
      <c r="BO11" s="18"/>
      <c r="BP11" s="18"/>
      <c r="BQ11" s="18"/>
      <c r="BR11" s="28"/>
      <c r="BS11" s="11" t="str">
        <f t="shared" si="22"/>
        <v/>
      </c>
      <c r="BT11" s="11" t="str">
        <f t="shared" si="23"/>
        <v/>
      </c>
      <c r="BU11" s="11" t="str">
        <f t="shared" si="24"/>
        <v/>
      </c>
      <c r="BV11" s="11" t="str">
        <f t="shared" si="25"/>
        <v/>
      </c>
      <c r="BW11" s="11" t="str">
        <f t="shared" si="26"/>
        <v/>
      </c>
      <c r="BX11" s="11" t="str">
        <f t="shared" si="27"/>
        <v/>
      </c>
      <c r="BY11" s="11" t="str">
        <f t="shared" si="28"/>
        <v/>
      </c>
      <c r="BZ11" s="11" t="str">
        <f t="shared" si="29"/>
        <v/>
      </c>
      <c r="CA11" s="19">
        <v>16.399999999999999</v>
      </c>
      <c r="CB11" s="19">
        <v>5.2</v>
      </c>
      <c r="CC11" s="19">
        <v>0</v>
      </c>
      <c r="CD11" s="19">
        <v>0.6</v>
      </c>
      <c r="CE11" s="19">
        <v>14.9</v>
      </c>
      <c r="CF11" s="19">
        <v>3.3</v>
      </c>
      <c r="CG11" s="19">
        <v>0</v>
      </c>
      <c r="CH11" s="19">
        <v>0.6</v>
      </c>
      <c r="CI11" s="19">
        <v>17.100000000000001</v>
      </c>
      <c r="CJ11" s="19">
        <v>4.8</v>
      </c>
      <c r="CK11" s="19">
        <v>0</v>
      </c>
      <c r="CL11" s="19">
        <v>0.6</v>
      </c>
      <c r="CM11" s="19">
        <v>16.899999999999999</v>
      </c>
      <c r="CN11" s="19">
        <v>4.8</v>
      </c>
      <c r="CO11" s="19">
        <v>0</v>
      </c>
      <c r="CP11" s="19">
        <v>0.6</v>
      </c>
      <c r="CQ11" s="19">
        <v>15.9</v>
      </c>
      <c r="CR11" s="19">
        <v>5.3</v>
      </c>
      <c r="CS11" s="19">
        <v>0</v>
      </c>
      <c r="CT11" s="19">
        <v>0.6</v>
      </c>
      <c r="CU11" s="27"/>
      <c r="CV11" s="40">
        <f t="shared" si="30"/>
        <v>8.5</v>
      </c>
      <c r="CW11" s="40">
        <f t="shared" si="31"/>
        <v>41</v>
      </c>
      <c r="CX11" s="40">
        <f t="shared" si="32"/>
        <v>22.500000000000004</v>
      </c>
      <c r="CY11" s="40">
        <f t="shared" si="33"/>
        <v>13.3</v>
      </c>
      <c r="CZ11" s="40">
        <f t="shared" si="34"/>
        <v>63.5</v>
      </c>
      <c r="DA11" s="40">
        <f t="shared" si="35"/>
        <v>10.1</v>
      </c>
      <c r="DB11" s="40">
        <f t="shared" si="36"/>
        <v>44.1</v>
      </c>
      <c r="DC11" s="40">
        <f t="shared" si="37"/>
        <v>85.1</v>
      </c>
      <c r="DD11" s="50" t="str">
        <f t="shared" si="38"/>
        <v/>
      </c>
      <c r="DE11" s="50" t="str">
        <f t="shared" si="39"/>
        <v/>
      </c>
      <c r="DF11" s="50" t="str">
        <f t="shared" si="40"/>
        <v/>
      </c>
      <c r="DG11" s="17"/>
      <c r="DH11" s="17"/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17"/>
      <c r="DY11" s="17"/>
      <c r="DZ11" s="17"/>
      <c r="EA11" s="40" t="str">
        <f t="shared" si="41"/>
        <v/>
      </c>
      <c r="EB11" s="40" t="str">
        <f t="shared" si="42"/>
        <v/>
      </c>
      <c r="EC11" s="40" t="str">
        <f t="shared" si="43"/>
        <v/>
      </c>
      <c r="ED11" s="40" t="str">
        <f t="shared" si="44"/>
        <v/>
      </c>
      <c r="EE11" s="40" t="str">
        <f t="shared" si="45"/>
        <v/>
      </c>
      <c r="EF11" s="40" t="str">
        <f t="shared" si="46"/>
        <v/>
      </c>
      <c r="EG11" s="40" t="str">
        <f t="shared" si="47"/>
        <v/>
      </c>
      <c r="EH11" s="40" t="str">
        <f t="shared" si="48"/>
        <v/>
      </c>
      <c r="EI11" s="18"/>
      <c r="EJ11" s="18"/>
      <c r="EK11" s="18"/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8"/>
      <c r="FC11" s="11" t="str">
        <f t="shared" si="49"/>
        <v/>
      </c>
      <c r="FD11" s="11" t="str">
        <f t="shared" si="50"/>
        <v/>
      </c>
      <c r="FE11" s="11" t="str">
        <f t="shared" si="51"/>
        <v/>
      </c>
      <c r="FF11" s="11" t="str">
        <f t="shared" si="52"/>
        <v/>
      </c>
      <c r="FG11" s="11" t="str">
        <f t="shared" si="53"/>
        <v/>
      </c>
      <c r="FH11" s="11" t="str">
        <f t="shared" si="54"/>
        <v/>
      </c>
      <c r="FI11" s="11" t="str">
        <f t="shared" si="55"/>
        <v/>
      </c>
      <c r="FJ11" s="11" t="str">
        <f t="shared" si="56"/>
        <v/>
      </c>
      <c r="FK11" s="17"/>
      <c r="FL11" s="17"/>
      <c r="FM11" s="17"/>
      <c r="FN11" s="17"/>
      <c r="FO11" s="17"/>
      <c r="FP11" s="17"/>
      <c r="FQ11" s="17"/>
      <c r="FR11" s="17"/>
      <c r="FS11" s="17"/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40" t="str">
        <f t="shared" si="57"/>
        <v/>
      </c>
      <c r="GF11" s="40" t="str">
        <f t="shared" si="58"/>
        <v/>
      </c>
      <c r="GG11" s="40" t="str">
        <f t="shared" si="59"/>
        <v/>
      </c>
      <c r="GH11" s="40" t="str">
        <f t="shared" si="60"/>
        <v/>
      </c>
      <c r="GI11" s="40" t="str">
        <f t="shared" si="61"/>
        <v/>
      </c>
      <c r="GJ11" s="40" t="str">
        <f t="shared" si="62"/>
        <v/>
      </c>
      <c r="GK11" s="40" t="str">
        <f t="shared" si="63"/>
        <v/>
      </c>
      <c r="GL11" s="40" t="str">
        <f t="shared" si="64"/>
        <v/>
      </c>
      <c r="GM11" s="18"/>
      <c r="GN11" s="18"/>
      <c r="GO11" s="18"/>
      <c r="GP11" s="18"/>
      <c r="GQ11" s="18"/>
      <c r="GR11" s="18"/>
      <c r="GS11" s="18"/>
      <c r="GT11" s="18"/>
      <c r="GU11" s="18"/>
      <c r="GV11" s="18"/>
      <c r="GW11" s="18"/>
      <c r="GX11" s="18"/>
      <c r="GY11" s="18"/>
      <c r="GZ11" s="18"/>
      <c r="HA11" s="18"/>
      <c r="HB11" s="18"/>
      <c r="HC11" s="18"/>
      <c r="HD11" s="18"/>
      <c r="HE11" s="18"/>
      <c r="HF11" s="18"/>
      <c r="HG11" s="11" t="str">
        <f t="shared" si="65"/>
        <v/>
      </c>
      <c r="HH11" s="11" t="str">
        <f t="shared" si="66"/>
        <v/>
      </c>
      <c r="HI11" s="11" t="str">
        <f t="shared" si="67"/>
        <v/>
      </c>
      <c r="HJ11" s="11" t="str">
        <f t="shared" si="68"/>
        <v/>
      </c>
      <c r="HK11" s="11" t="str">
        <f t="shared" si="69"/>
        <v/>
      </c>
      <c r="HL11" s="11" t="str">
        <f t="shared" si="70"/>
        <v/>
      </c>
      <c r="HM11" s="11" t="str">
        <f t="shared" si="71"/>
        <v/>
      </c>
      <c r="HN11" s="11" t="str">
        <f t="shared" si="72"/>
        <v/>
      </c>
      <c r="HO11" s="17"/>
      <c r="HP11" s="17"/>
      <c r="HQ11" s="17"/>
      <c r="HR11" s="17"/>
      <c r="HS11" s="17"/>
      <c r="HT11" s="17"/>
      <c r="HU11" s="17"/>
      <c r="HV11" s="17"/>
      <c r="HW11" s="17"/>
      <c r="HX11" s="17"/>
      <c r="HY11" s="17"/>
      <c r="HZ11" s="17"/>
      <c r="IA11" s="17"/>
      <c r="IB11" s="17"/>
      <c r="IC11" s="17"/>
      <c r="ID11" s="17"/>
      <c r="IE11" s="17"/>
      <c r="IF11" s="17"/>
      <c r="IG11" s="17"/>
      <c r="IH11" s="17"/>
      <c r="II11" s="40" t="str">
        <f t="shared" si="73"/>
        <v/>
      </c>
      <c r="IJ11" s="40" t="str">
        <f t="shared" si="74"/>
        <v/>
      </c>
      <c r="IK11" s="40" t="str">
        <f t="shared" si="75"/>
        <v/>
      </c>
      <c r="IL11" s="40" t="str">
        <f t="shared" si="76"/>
        <v/>
      </c>
      <c r="IM11" s="40" t="str">
        <f t="shared" si="77"/>
        <v/>
      </c>
      <c r="IN11" s="40" t="str">
        <f t="shared" si="78"/>
        <v/>
      </c>
      <c r="IO11" s="40" t="str">
        <f t="shared" si="79"/>
        <v/>
      </c>
      <c r="IP11" s="40" t="str">
        <f t="shared" si="80"/>
        <v/>
      </c>
      <c r="IQ11" s="18"/>
      <c r="IR11" s="18"/>
      <c r="IS11" s="18"/>
      <c r="IT11" s="18"/>
      <c r="IU11" s="18"/>
      <c r="IV11" s="18"/>
      <c r="IW11" s="18"/>
      <c r="IX11" s="18"/>
      <c r="IY11" s="18"/>
      <c r="IZ11" s="18"/>
      <c r="JA11" s="18"/>
      <c r="JB11" s="18"/>
      <c r="JC11" s="18"/>
      <c r="JD11" s="18"/>
      <c r="JE11" s="18"/>
      <c r="JF11" s="18"/>
      <c r="JG11" s="18"/>
      <c r="JH11" s="18"/>
      <c r="JI11" s="18"/>
      <c r="JJ11" s="18"/>
      <c r="JK11" s="11" t="str">
        <f t="shared" si="81"/>
        <v/>
      </c>
      <c r="JL11" s="11" t="str">
        <f t="shared" si="82"/>
        <v/>
      </c>
      <c r="JM11" s="11" t="str">
        <f t="shared" si="83"/>
        <v/>
      </c>
      <c r="JN11" s="11" t="str">
        <f t="shared" si="84"/>
        <v/>
      </c>
      <c r="JO11" s="11" t="str">
        <f t="shared" si="85"/>
        <v/>
      </c>
      <c r="JP11" s="11" t="str">
        <f t="shared" si="86"/>
        <v/>
      </c>
      <c r="JQ11" s="11" t="str">
        <f t="shared" si="87"/>
        <v/>
      </c>
      <c r="JR11" s="11" t="str">
        <f t="shared" si="88"/>
        <v/>
      </c>
      <c r="JS11" s="17"/>
      <c r="JT11" s="17"/>
      <c r="JU11" s="17"/>
      <c r="JV11" s="17"/>
      <c r="JW11" s="17"/>
      <c r="JX11" s="17"/>
      <c r="JY11" s="17"/>
      <c r="JZ11" s="17"/>
      <c r="KA11" s="17"/>
      <c r="KB11" s="17"/>
      <c r="KC11" s="17"/>
      <c r="KD11" s="17"/>
      <c r="KE11" s="17"/>
      <c r="KF11" s="17"/>
      <c r="KG11" s="17"/>
      <c r="KH11" s="17"/>
      <c r="KI11" s="17"/>
      <c r="KJ11" s="17"/>
      <c r="KK11" s="17"/>
      <c r="KL11" s="17"/>
      <c r="KM11" s="40" t="str">
        <f t="shared" si="89"/>
        <v/>
      </c>
      <c r="KN11" s="40" t="str">
        <f t="shared" si="90"/>
        <v/>
      </c>
      <c r="KO11" s="40" t="str">
        <f t="shared" si="91"/>
        <v/>
      </c>
      <c r="KP11" s="40" t="str">
        <f t="shared" si="92"/>
        <v/>
      </c>
      <c r="KQ11" s="40" t="str">
        <f t="shared" si="93"/>
        <v/>
      </c>
      <c r="KR11" s="40" t="str">
        <f t="shared" si="94"/>
        <v/>
      </c>
      <c r="KS11" s="40" t="str">
        <f t="shared" si="95"/>
        <v/>
      </c>
      <c r="KT11" s="40" t="str">
        <f t="shared" si="96"/>
        <v/>
      </c>
      <c r="KU11" s="18"/>
      <c r="KV11" s="18"/>
      <c r="KW11" s="18"/>
      <c r="KX11" s="18"/>
      <c r="KY11" s="18"/>
      <c r="KZ11" s="18"/>
      <c r="LA11" s="18"/>
      <c r="LB11" s="18"/>
      <c r="LC11" s="18"/>
      <c r="LD11" s="18"/>
      <c r="LE11" s="18"/>
      <c r="LF11" s="18"/>
      <c r="LG11" s="18"/>
      <c r="LH11" s="18"/>
      <c r="LI11" s="18"/>
      <c r="LJ11" s="18"/>
      <c r="LK11" s="18"/>
      <c r="LL11" s="18"/>
      <c r="LM11" s="18"/>
      <c r="LN11" s="18"/>
      <c r="LO11" s="11" t="str">
        <f t="shared" si="97"/>
        <v/>
      </c>
      <c r="LP11" s="11" t="str">
        <f t="shared" si="98"/>
        <v/>
      </c>
      <c r="LQ11" s="11" t="str">
        <f t="shared" si="99"/>
        <v/>
      </c>
      <c r="LR11" s="11" t="str">
        <f t="shared" si="100"/>
        <v/>
      </c>
      <c r="LS11" s="11" t="str">
        <f t="shared" si="101"/>
        <v/>
      </c>
      <c r="LT11" s="11" t="str">
        <f t="shared" si="102"/>
        <v/>
      </c>
      <c r="LU11" s="11" t="str">
        <f t="shared" si="103"/>
        <v/>
      </c>
      <c r="LV11" s="11" t="str">
        <f t="shared" si="104"/>
        <v/>
      </c>
      <c r="LW11" s="17"/>
      <c r="LX11" s="17"/>
      <c r="LY11" s="17"/>
      <c r="LZ11" s="17"/>
      <c r="MA11" s="17"/>
      <c r="MB11" s="17"/>
      <c r="MC11" s="17"/>
      <c r="MD11" s="17"/>
      <c r="ME11" s="17"/>
      <c r="MF11" s="17"/>
      <c r="MG11" s="17"/>
      <c r="MH11" s="17"/>
      <c r="MI11" s="17"/>
      <c r="MJ11" s="17"/>
      <c r="MK11" s="17"/>
      <c r="ML11" s="17"/>
      <c r="MM11" s="17"/>
      <c r="MN11" s="17"/>
      <c r="MO11" s="17"/>
      <c r="MP11" s="17"/>
      <c r="MQ11" s="40" t="str">
        <f t="shared" si="105"/>
        <v/>
      </c>
      <c r="MR11" s="40" t="str">
        <f t="shared" si="106"/>
        <v/>
      </c>
      <c r="MS11" s="40" t="str">
        <f t="shared" si="107"/>
        <v/>
      </c>
      <c r="MT11" s="40" t="str">
        <f t="shared" si="108"/>
        <v/>
      </c>
      <c r="MU11" s="40" t="str">
        <f t="shared" si="109"/>
        <v/>
      </c>
      <c r="MV11" s="40" t="str">
        <f t="shared" si="110"/>
        <v/>
      </c>
      <c r="MW11" s="40" t="str">
        <f t="shared" si="111"/>
        <v/>
      </c>
      <c r="MX11" s="40" t="str">
        <f t="shared" si="112"/>
        <v/>
      </c>
      <c r="MY11" s="18"/>
      <c r="MZ11" s="18"/>
      <c r="NA11" s="18"/>
      <c r="NB11" s="18"/>
      <c r="NC11" s="18"/>
      <c r="ND11" s="18"/>
      <c r="NE11" s="18"/>
      <c r="NF11" s="18"/>
      <c r="NG11" s="18"/>
      <c r="NH11" s="18"/>
      <c r="NI11" s="18"/>
      <c r="NJ11" s="18"/>
      <c r="NK11" s="18"/>
      <c r="NL11" s="18"/>
      <c r="NM11" s="18"/>
      <c r="NN11" s="18"/>
      <c r="NO11" s="18"/>
      <c r="NP11" s="18"/>
      <c r="NQ11" s="18"/>
      <c r="NR11" s="18"/>
      <c r="NS11" s="11" t="str">
        <f t="shared" si="113"/>
        <v/>
      </c>
      <c r="NT11" s="11" t="str">
        <f t="shared" si="114"/>
        <v/>
      </c>
      <c r="NU11" s="11" t="str">
        <f t="shared" si="115"/>
        <v/>
      </c>
      <c r="NV11" s="11" t="str">
        <f t="shared" si="116"/>
        <v/>
      </c>
      <c r="NW11" s="11" t="str">
        <f t="shared" si="117"/>
        <v/>
      </c>
      <c r="NX11" s="11" t="str">
        <f t="shared" si="118"/>
        <v/>
      </c>
      <c r="NY11" s="11" t="str">
        <f t="shared" si="119"/>
        <v/>
      </c>
      <c r="NZ11" s="11" t="str">
        <f t="shared" si="120"/>
        <v/>
      </c>
      <c r="OA11" s="17"/>
      <c r="OB11" s="17"/>
      <c r="OC11" s="17"/>
      <c r="OD11" s="17"/>
      <c r="OE11" s="17"/>
      <c r="OF11" s="17"/>
      <c r="OG11" s="17"/>
      <c r="OH11" s="17"/>
      <c r="OI11" s="17"/>
      <c r="OJ11" s="17"/>
      <c r="OK11" s="17"/>
      <c r="OL11" s="17"/>
      <c r="OM11" s="17"/>
      <c r="ON11" s="17"/>
      <c r="OO11" s="17"/>
      <c r="OP11" s="17"/>
      <c r="OQ11" s="17"/>
      <c r="OR11" s="17"/>
      <c r="OS11" s="17"/>
      <c r="OT11" s="17"/>
      <c r="OU11" s="40" t="str">
        <f t="shared" si="121"/>
        <v/>
      </c>
      <c r="OV11" s="40" t="str">
        <f t="shared" si="122"/>
        <v/>
      </c>
      <c r="OW11" s="40" t="str">
        <f t="shared" si="123"/>
        <v/>
      </c>
      <c r="OX11" s="40" t="str">
        <f t="shared" si="124"/>
        <v/>
      </c>
      <c r="OY11" s="40" t="str">
        <f t="shared" si="125"/>
        <v/>
      </c>
      <c r="OZ11" s="40" t="str">
        <f t="shared" si="126"/>
        <v/>
      </c>
      <c r="PA11" s="40" t="str">
        <f t="shared" si="127"/>
        <v/>
      </c>
      <c r="PB11" s="40" t="str">
        <f t="shared" si="128"/>
        <v/>
      </c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8"/>
      <c r="PS11" s="18"/>
      <c r="PT11" s="18"/>
      <c r="PU11" s="18"/>
      <c r="PV11" s="18"/>
      <c r="PW11" s="11" t="str">
        <f t="shared" si="129"/>
        <v/>
      </c>
      <c r="PX11" s="11" t="str">
        <f t="shared" si="130"/>
        <v/>
      </c>
      <c r="PY11" s="11" t="str">
        <f t="shared" si="131"/>
        <v/>
      </c>
      <c r="PZ11" s="11" t="str">
        <f t="shared" si="132"/>
        <v/>
      </c>
      <c r="QA11" s="11" t="str">
        <f t="shared" si="133"/>
        <v/>
      </c>
      <c r="QB11" s="11" t="str">
        <f t="shared" si="134"/>
        <v/>
      </c>
      <c r="QC11" s="11" t="str">
        <f t="shared" si="135"/>
        <v/>
      </c>
      <c r="QD11" s="11" t="str">
        <f t="shared" si="136"/>
        <v/>
      </c>
      <c r="QE11" s="22">
        <f t="shared" si="137"/>
        <v>8.1999999999999993</v>
      </c>
      <c r="QF11" s="22">
        <f t="shared" si="138"/>
        <v>2.6</v>
      </c>
      <c r="QG11" s="22">
        <f t="shared" si="139"/>
        <v>0</v>
      </c>
      <c r="QH11" s="22">
        <f t="shared" si="140"/>
        <v>0.3</v>
      </c>
      <c r="QI11" s="22">
        <f t="shared" si="141"/>
        <v>7.45</v>
      </c>
      <c r="QJ11" s="22">
        <f t="shared" si="142"/>
        <v>1.65</v>
      </c>
      <c r="QK11" s="22">
        <f t="shared" si="143"/>
        <v>0</v>
      </c>
      <c r="QL11" s="22">
        <f t="shared" si="144"/>
        <v>0.3</v>
      </c>
      <c r="QM11" s="22">
        <f t="shared" si="145"/>
        <v>8.5500000000000007</v>
      </c>
      <c r="QN11" s="22">
        <f t="shared" si="146"/>
        <v>2.4</v>
      </c>
      <c r="QO11" s="22">
        <f t="shared" si="147"/>
        <v>0</v>
      </c>
      <c r="QP11" s="22">
        <f t="shared" si="148"/>
        <v>0.3</v>
      </c>
      <c r="QQ11" s="22">
        <f t="shared" si="149"/>
        <v>8.4499999999999993</v>
      </c>
      <c r="QR11" s="22">
        <f t="shared" si="150"/>
        <v>2.4</v>
      </c>
      <c r="QS11" s="22">
        <f t="shared" si="151"/>
        <v>0</v>
      </c>
      <c r="QT11" s="22">
        <f t="shared" si="152"/>
        <v>0.3</v>
      </c>
      <c r="QU11" s="22">
        <f t="shared" si="153"/>
        <v>7.95</v>
      </c>
      <c r="QV11" s="22">
        <f t="shared" si="154"/>
        <v>2.65</v>
      </c>
      <c r="QW11" s="22">
        <f t="shared" si="155"/>
        <v>0</v>
      </c>
      <c r="QX11" s="22">
        <f t="shared" si="156"/>
        <v>0.3</v>
      </c>
      <c r="QY11" s="27" t="s">
        <v>46</v>
      </c>
      <c r="QZ11" s="40">
        <f t="shared" si="157"/>
        <v>4.25</v>
      </c>
      <c r="RA11" s="40">
        <f t="shared" si="158"/>
        <v>20.5</v>
      </c>
      <c r="RB11" s="40">
        <f t="shared" si="159"/>
        <v>11.250000000000002</v>
      </c>
      <c r="RC11" s="40">
        <f t="shared" si="160"/>
        <v>6.65</v>
      </c>
      <c r="RD11" s="40">
        <f t="shared" si="161"/>
        <v>31.75</v>
      </c>
      <c r="RE11" s="40">
        <f t="shared" si="162"/>
        <v>5.05</v>
      </c>
      <c r="RF11" s="40">
        <f t="shared" si="163"/>
        <v>22.05</v>
      </c>
      <c r="RG11" s="40">
        <f t="shared" si="164"/>
        <v>42.55</v>
      </c>
    </row>
    <row r="12" spans="1:475" x14ac:dyDescent="0.2">
      <c r="A12" s="4">
        <f t="shared" si="0"/>
        <v>9</v>
      </c>
      <c r="B12" s="5" t="s">
        <v>128</v>
      </c>
      <c r="C12" s="4" t="s">
        <v>127</v>
      </c>
      <c r="D12" s="4">
        <v>2002</v>
      </c>
      <c r="E12" s="9">
        <f t="shared" si="1"/>
        <v>84.700004430004427</v>
      </c>
      <c r="F12" s="3" t="str">
        <f t="shared" si="2"/>
        <v>P</v>
      </c>
      <c r="G12" s="3" t="str">
        <f t="shared" si="3"/>
        <v>P</v>
      </c>
      <c r="H12" s="36" t="str">
        <f t="shared" si="4"/>
        <v>National Team</v>
      </c>
      <c r="I12" s="3" t="str">
        <f t="shared" si="5"/>
        <v/>
      </c>
      <c r="J12" s="8">
        <f>IF(COUNT(AQ12,BT12,CW12)&gt;0,LARGE((AQ12,BT12,CW12),1),0)</f>
        <v>44.3</v>
      </c>
      <c r="K12" s="8" t="str">
        <f t="shared" si="6"/>
        <v>2022 Nationals</v>
      </c>
      <c r="L12" s="8">
        <f>IF(COUNT(AQ12,BT12,CW12)&gt;1,LARGE((AQ12,BT12,CW12),2),0)</f>
        <v>0</v>
      </c>
      <c r="M12" s="8" t="str">
        <f t="shared" si="7"/>
        <v/>
      </c>
      <c r="N12" s="8">
        <f>IF(COUNT(AR12,BU12,CX12)&gt;0,LARGE((AR12,BU12,CX12),1),0)</f>
        <v>0</v>
      </c>
      <c r="O12" s="8" t="str">
        <f t="shared" si="8"/>
        <v/>
      </c>
      <c r="P12" s="8">
        <f t="shared" si="9"/>
        <v>40.4</v>
      </c>
      <c r="Q12" s="8" t="str">
        <f t="shared" si="10"/>
        <v>2022 Nationals</v>
      </c>
      <c r="R12" s="8" t="str">
        <f t="shared" si="11"/>
        <v/>
      </c>
      <c r="S12" s="11" t="str">
        <f t="shared" si="12"/>
        <v/>
      </c>
      <c r="T12" s="8" t="str">
        <f t="shared" si="13"/>
        <v/>
      </c>
      <c r="U12" s="19">
        <v>17.600000000000001</v>
      </c>
      <c r="V12" s="19">
        <v>4.3</v>
      </c>
      <c r="W12" s="19">
        <v>0</v>
      </c>
      <c r="X12" s="19">
        <v>0.3</v>
      </c>
      <c r="Y12" s="19">
        <v>16.399999999999999</v>
      </c>
      <c r="Z12" s="19">
        <v>5.4</v>
      </c>
      <c r="AA12" s="19">
        <v>0</v>
      </c>
      <c r="AB12" s="19">
        <v>0.3</v>
      </c>
      <c r="AC12" s="19"/>
      <c r="AD12" s="19"/>
      <c r="AE12" s="19"/>
      <c r="AF12" s="19"/>
      <c r="AG12" s="19">
        <v>16.100000000000001</v>
      </c>
      <c r="AH12" s="19">
        <v>1.9</v>
      </c>
      <c r="AI12" s="19">
        <v>0</v>
      </c>
      <c r="AJ12" s="19">
        <v>0.3</v>
      </c>
      <c r="AK12" s="19">
        <v>17.3</v>
      </c>
      <c r="AL12" s="19">
        <v>4.8</v>
      </c>
      <c r="AM12" s="19">
        <v>0</v>
      </c>
      <c r="AN12" s="19">
        <v>0</v>
      </c>
      <c r="AO12" s="27"/>
      <c r="AP12" s="40">
        <f t="shared" si="14"/>
        <v>9.6999999999999993</v>
      </c>
      <c r="AQ12" s="40">
        <f t="shared" si="15"/>
        <v>44.3</v>
      </c>
      <c r="AR12" s="40" t="str">
        <f t="shared" si="16"/>
        <v/>
      </c>
      <c r="AS12" s="40">
        <f t="shared" si="17"/>
        <v>9.6999999999999993</v>
      </c>
      <c r="AT12" s="40">
        <f t="shared" si="18"/>
        <v>44.3</v>
      </c>
      <c r="AU12" s="40">
        <f t="shared" si="19"/>
        <v>6.6999999999999993</v>
      </c>
      <c r="AV12" s="40">
        <f t="shared" si="20"/>
        <v>40.4</v>
      </c>
      <c r="AW12" s="40">
        <f t="shared" si="21"/>
        <v>84.699999999999989</v>
      </c>
      <c r="AX12" s="18"/>
      <c r="AY12" s="18"/>
      <c r="AZ12" s="18"/>
      <c r="BA12" s="18"/>
      <c r="BB12" s="18"/>
      <c r="BC12" s="18"/>
      <c r="BD12" s="18"/>
      <c r="BE12" s="18"/>
      <c r="BF12" s="18"/>
      <c r="BG12" s="18"/>
      <c r="BH12" s="18"/>
      <c r="BI12" s="18"/>
      <c r="BJ12" s="18"/>
      <c r="BK12" s="18"/>
      <c r="BL12" s="18"/>
      <c r="BM12" s="18"/>
      <c r="BN12" s="18"/>
      <c r="BO12" s="18"/>
      <c r="BP12" s="18"/>
      <c r="BQ12" s="18"/>
      <c r="BR12" s="28"/>
      <c r="BS12" s="11" t="str">
        <f t="shared" si="22"/>
        <v/>
      </c>
      <c r="BT12" s="11" t="str">
        <f t="shared" si="23"/>
        <v/>
      </c>
      <c r="BU12" s="11" t="str">
        <f t="shared" si="24"/>
        <v/>
      </c>
      <c r="BV12" s="11" t="str">
        <f t="shared" si="25"/>
        <v/>
      </c>
      <c r="BW12" s="11" t="str">
        <f t="shared" si="26"/>
        <v/>
      </c>
      <c r="BX12" s="11" t="str">
        <f t="shared" si="27"/>
        <v/>
      </c>
      <c r="BY12" s="11" t="str">
        <f t="shared" si="28"/>
        <v/>
      </c>
      <c r="BZ12" s="11" t="str">
        <f t="shared" si="29"/>
        <v/>
      </c>
      <c r="CA12" s="19"/>
      <c r="CB12" s="19"/>
      <c r="CC12" s="19"/>
      <c r="CD12" s="19"/>
      <c r="CE12" s="19"/>
      <c r="CF12" s="19"/>
      <c r="CG12" s="19"/>
      <c r="CH12" s="19"/>
      <c r="CI12" s="19"/>
      <c r="CJ12" s="19"/>
      <c r="CK12" s="19"/>
      <c r="CL12" s="19"/>
      <c r="CM12" s="19"/>
      <c r="CN12" s="19"/>
      <c r="CO12" s="19"/>
      <c r="CP12" s="19"/>
      <c r="CQ12" s="19"/>
      <c r="CR12" s="19"/>
      <c r="CS12" s="19"/>
      <c r="CT12" s="19"/>
      <c r="CU12" s="27"/>
      <c r="CV12" s="40" t="str">
        <f t="shared" si="30"/>
        <v/>
      </c>
      <c r="CW12" s="40" t="str">
        <f t="shared" si="31"/>
        <v/>
      </c>
      <c r="CX12" s="40" t="str">
        <f t="shared" si="32"/>
        <v/>
      </c>
      <c r="CY12" s="40" t="str">
        <f t="shared" si="33"/>
        <v/>
      </c>
      <c r="CZ12" s="40" t="str">
        <f t="shared" si="34"/>
        <v/>
      </c>
      <c r="DA12" s="40" t="str">
        <f t="shared" si="35"/>
        <v/>
      </c>
      <c r="DB12" s="40" t="str">
        <f t="shared" si="36"/>
        <v/>
      </c>
      <c r="DC12" s="40" t="str">
        <f t="shared" si="37"/>
        <v/>
      </c>
      <c r="DD12" s="50" t="str">
        <f t="shared" si="38"/>
        <v/>
      </c>
      <c r="DE12" s="50" t="str">
        <f t="shared" si="39"/>
        <v/>
      </c>
      <c r="DF12" s="50" t="str">
        <f t="shared" si="40"/>
        <v/>
      </c>
      <c r="DG12" s="17"/>
      <c r="DH12" s="17"/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17"/>
      <c r="DY12" s="17"/>
      <c r="DZ12" s="17"/>
      <c r="EA12" s="40" t="str">
        <f t="shared" si="41"/>
        <v/>
      </c>
      <c r="EB12" s="40" t="str">
        <f t="shared" si="42"/>
        <v/>
      </c>
      <c r="EC12" s="40" t="str">
        <f t="shared" si="43"/>
        <v/>
      </c>
      <c r="ED12" s="40" t="str">
        <f t="shared" si="44"/>
        <v/>
      </c>
      <c r="EE12" s="40" t="str">
        <f t="shared" si="45"/>
        <v/>
      </c>
      <c r="EF12" s="40" t="str">
        <f t="shared" si="46"/>
        <v/>
      </c>
      <c r="EG12" s="40" t="str">
        <f t="shared" si="47"/>
        <v/>
      </c>
      <c r="EH12" s="40" t="str">
        <f t="shared" si="48"/>
        <v/>
      </c>
      <c r="EI12" s="18"/>
      <c r="EJ12" s="18"/>
      <c r="EK12" s="18"/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8"/>
      <c r="FA12" s="18"/>
      <c r="FB12" s="18"/>
      <c r="FC12" s="11" t="str">
        <f t="shared" si="49"/>
        <v/>
      </c>
      <c r="FD12" s="11" t="str">
        <f t="shared" si="50"/>
        <v/>
      </c>
      <c r="FE12" s="11" t="str">
        <f t="shared" si="51"/>
        <v/>
      </c>
      <c r="FF12" s="11" t="str">
        <f t="shared" si="52"/>
        <v/>
      </c>
      <c r="FG12" s="11" t="str">
        <f t="shared" si="53"/>
        <v/>
      </c>
      <c r="FH12" s="11" t="str">
        <f t="shared" si="54"/>
        <v/>
      </c>
      <c r="FI12" s="11" t="str">
        <f t="shared" si="55"/>
        <v/>
      </c>
      <c r="FJ12" s="11" t="str">
        <f t="shared" si="56"/>
        <v/>
      </c>
      <c r="FK12" s="17"/>
      <c r="FL12" s="17"/>
      <c r="FM12" s="17"/>
      <c r="FN12" s="17"/>
      <c r="FO12" s="17"/>
      <c r="FP12" s="17"/>
      <c r="FQ12" s="17"/>
      <c r="FR12" s="17"/>
      <c r="FS12" s="17"/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40" t="str">
        <f t="shared" si="57"/>
        <v/>
      </c>
      <c r="GF12" s="40" t="str">
        <f t="shared" si="58"/>
        <v/>
      </c>
      <c r="GG12" s="40" t="str">
        <f t="shared" si="59"/>
        <v/>
      </c>
      <c r="GH12" s="40" t="str">
        <f t="shared" si="60"/>
        <v/>
      </c>
      <c r="GI12" s="40" t="str">
        <f t="shared" si="61"/>
        <v/>
      </c>
      <c r="GJ12" s="40" t="str">
        <f t="shared" si="62"/>
        <v/>
      </c>
      <c r="GK12" s="40" t="str">
        <f t="shared" si="63"/>
        <v/>
      </c>
      <c r="GL12" s="40" t="str">
        <f t="shared" si="64"/>
        <v/>
      </c>
      <c r="GM12" s="18"/>
      <c r="GN12" s="18"/>
      <c r="GO12" s="18"/>
      <c r="GP12" s="18"/>
      <c r="GQ12" s="18"/>
      <c r="GR12" s="18"/>
      <c r="GS12" s="18"/>
      <c r="GT12" s="18"/>
      <c r="GU12" s="18"/>
      <c r="GV12" s="18"/>
      <c r="GW12" s="18"/>
      <c r="GX12" s="18"/>
      <c r="GY12" s="18"/>
      <c r="GZ12" s="18"/>
      <c r="HA12" s="18"/>
      <c r="HB12" s="18"/>
      <c r="HC12" s="18"/>
      <c r="HD12" s="18"/>
      <c r="HE12" s="18"/>
      <c r="HF12" s="18"/>
      <c r="HG12" s="11" t="str">
        <f t="shared" si="65"/>
        <v/>
      </c>
      <c r="HH12" s="11" t="str">
        <f t="shared" si="66"/>
        <v/>
      </c>
      <c r="HI12" s="11" t="str">
        <f t="shared" si="67"/>
        <v/>
      </c>
      <c r="HJ12" s="11" t="str">
        <f t="shared" si="68"/>
        <v/>
      </c>
      <c r="HK12" s="11" t="str">
        <f t="shared" si="69"/>
        <v/>
      </c>
      <c r="HL12" s="11" t="str">
        <f t="shared" si="70"/>
        <v/>
      </c>
      <c r="HM12" s="11" t="str">
        <f t="shared" si="71"/>
        <v/>
      </c>
      <c r="HN12" s="11" t="str">
        <f t="shared" si="72"/>
        <v/>
      </c>
      <c r="HO12" s="17"/>
      <c r="HP12" s="17"/>
      <c r="HQ12" s="17"/>
      <c r="HR12" s="17"/>
      <c r="HS12" s="17"/>
      <c r="HT12" s="17"/>
      <c r="HU12" s="17"/>
      <c r="HV12" s="17"/>
      <c r="HW12" s="17"/>
      <c r="HX12" s="17"/>
      <c r="HY12" s="17"/>
      <c r="HZ12" s="17"/>
      <c r="IA12" s="17"/>
      <c r="IB12" s="17"/>
      <c r="IC12" s="17"/>
      <c r="ID12" s="17"/>
      <c r="IE12" s="17"/>
      <c r="IF12" s="17"/>
      <c r="IG12" s="17"/>
      <c r="IH12" s="17"/>
      <c r="II12" s="40" t="str">
        <f t="shared" si="73"/>
        <v/>
      </c>
      <c r="IJ12" s="40" t="str">
        <f t="shared" si="74"/>
        <v/>
      </c>
      <c r="IK12" s="40" t="str">
        <f t="shared" si="75"/>
        <v/>
      </c>
      <c r="IL12" s="40" t="str">
        <f t="shared" si="76"/>
        <v/>
      </c>
      <c r="IM12" s="40" t="str">
        <f t="shared" si="77"/>
        <v/>
      </c>
      <c r="IN12" s="40" t="str">
        <f t="shared" si="78"/>
        <v/>
      </c>
      <c r="IO12" s="40" t="str">
        <f t="shared" si="79"/>
        <v/>
      </c>
      <c r="IP12" s="40" t="str">
        <f t="shared" si="80"/>
        <v/>
      </c>
      <c r="IQ12" s="18"/>
      <c r="IR12" s="18"/>
      <c r="IS12" s="18"/>
      <c r="IT12" s="18"/>
      <c r="IU12" s="18"/>
      <c r="IV12" s="18"/>
      <c r="IW12" s="18"/>
      <c r="IX12" s="18"/>
      <c r="IY12" s="18"/>
      <c r="IZ12" s="18"/>
      <c r="JA12" s="18"/>
      <c r="JB12" s="18"/>
      <c r="JC12" s="18"/>
      <c r="JD12" s="18"/>
      <c r="JE12" s="18"/>
      <c r="JF12" s="18"/>
      <c r="JG12" s="18"/>
      <c r="JH12" s="18"/>
      <c r="JI12" s="18"/>
      <c r="JJ12" s="18"/>
      <c r="JK12" s="11" t="str">
        <f t="shared" si="81"/>
        <v/>
      </c>
      <c r="JL12" s="11" t="str">
        <f t="shared" si="82"/>
        <v/>
      </c>
      <c r="JM12" s="11" t="str">
        <f t="shared" si="83"/>
        <v/>
      </c>
      <c r="JN12" s="11" t="str">
        <f t="shared" si="84"/>
        <v/>
      </c>
      <c r="JO12" s="11" t="str">
        <f t="shared" si="85"/>
        <v/>
      </c>
      <c r="JP12" s="11" t="str">
        <f t="shared" si="86"/>
        <v/>
      </c>
      <c r="JQ12" s="11" t="str">
        <f t="shared" si="87"/>
        <v/>
      </c>
      <c r="JR12" s="11" t="str">
        <f t="shared" si="88"/>
        <v/>
      </c>
      <c r="JS12" s="17"/>
      <c r="JT12" s="17"/>
      <c r="JU12" s="17"/>
      <c r="JV12" s="17"/>
      <c r="JW12" s="17"/>
      <c r="JX12" s="17"/>
      <c r="JY12" s="17"/>
      <c r="JZ12" s="17"/>
      <c r="KA12" s="17"/>
      <c r="KB12" s="17"/>
      <c r="KC12" s="17"/>
      <c r="KD12" s="17"/>
      <c r="KE12" s="17"/>
      <c r="KF12" s="17"/>
      <c r="KG12" s="17"/>
      <c r="KH12" s="17"/>
      <c r="KI12" s="17"/>
      <c r="KJ12" s="17"/>
      <c r="KK12" s="17"/>
      <c r="KL12" s="17"/>
      <c r="KM12" s="40" t="str">
        <f t="shared" si="89"/>
        <v/>
      </c>
      <c r="KN12" s="40" t="str">
        <f t="shared" si="90"/>
        <v/>
      </c>
      <c r="KO12" s="40" t="str">
        <f t="shared" si="91"/>
        <v/>
      </c>
      <c r="KP12" s="40" t="str">
        <f t="shared" si="92"/>
        <v/>
      </c>
      <c r="KQ12" s="40" t="str">
        <f t="shared" si="93"/>
        <v/>
      </c>
      <c r="KR12" s="40" t="str">
        <f t="shared" si="94"/>
        <v/>
      </c>
      <c r="KS12" s="40" t="str">
        <f t="shared" si="95"/>
        <v/>
      </c>
      <c r="KT12" s="40" t="str">
        <f t="shared" si="96"/>
        <v/>
      </c>
      <c r="KU12" s="18"/>
      <c r="KV12" s="18"/>
      <c r="KW12" s="18"/>
      <c r="KX12" s="18"/>
      <c r="KY12" s="18"/>
      <c r="KZ12" s="18"/>
      <c r="LA12" s="18"/>
      <c r="LB12" s="18"/>
      <c r="LC12" s="18"/>
      <c r="LD12" s="18"/>
      <c r="LE12" s="18"/>
      <c r="LF12" s="18"/>
      <c r="LG12" s="18"/>
      <c r="LH12" s="18"/>
      <c r="LI12" s="18"/>
      <c r="LJ12" s="18"/>
      <c r="LK12" s="18"/>
      <c r="LL12" s="18"/>
      <c r="LM12" s="18"/>
      <c r="LN12" s="18"/>
      <c r="LO12" s="11" t="str">
        <f t="shared" si="97"/>
        <v/>
      </c>
      <c r="LP12" s="11" t="str">
        <f t="shared" si="98"/>
        <v/>
      </c>
      <c r="LQ12" s="11" t="str">
        <f t="shared" si="99"/>
        <v/>
      </c>
      <c r="LR12" s="11" t="str">
        <f t="shared" si="100"/>
        <v/>
      </c>
      <c r="LS12" s="11" t="str">
        <f t="shared" si="101"/>
        <v/>
      </c>
      <c r="LT12" s="11" t="str">
        <f t="shared" si="102"/>
        <v/>
      </c>
      <c r="LU12" s="11" t="str">
        <f t="shared" si="103"/>
        <v/>
      </c>
      <c r="LV12" s="11" t="str">
        <f t="shared" si="104"/>
        <v/>
      </c>
      <c r="LW12" s="17"/>
      <c r="LX12" s="17"/>
      <c r="LY12" s="17"/>
      <c r="LZ12" s="17"/>
      <c r="MA12" s="17"/>
      <c r="MB12" s="17"/>
      <c r="MC12" s="17"/>
      <c r="MD12" s="17"/>
      <c r="ME12" s="17"/>
      <c r="MF12" s="17"/>
      <c r="MG12" s="17"/>
      <c r="MH12" s="17"/>
      <c r="MI12" s="17"/>
      <c r="MJ12" s="17"/>
      <c r="MK12" s="17"/>
      <c r="ML12" s="17"/>
      <c r="MM12" s="17"/>
      <c r="MN12" s="17"/>
      <c r="MO12" s="17"/>
      <c r="MP12" s="17"/>
      <c r="MQ12" s="40" t="str">
        <f t="shared" si="105"/>
        <v/>
      </c>
      <c r="MR12" s="40" t="str">
        <f t="shared" si="106"/>
        <v/>
      </c>
      <c r="MS12" s="40" t="str">
        <f t="shared" si="107"/>
        <v/>
      </c>
      <c r="MT12" s="40" t="str">
        <f t="shared" si="108"/>
        <v/>
      </c>
      <c r="MU12" s="40" t="str">
        <f t="shared" si="109"/>
        <v/>
      </c>
      <c r="MV12" s="40" t="str">
        <f t="shared" si="110"/>
        <v/>
      </c>
      <c r="MW12" s="40" t="str">
        <f t="shared" si="111"/>
        <v/>
      </c>
      <c r="MX12" s="40" t="str">
        <f t="shared" si="112"/>
        <v/>
      </c>
      <c r="MY12" s="18"/>
      <c r="MZ12" s="18"/>
      <c r="NA12" s="18"/>
      <c r="NB12" s="18"/>
      <c r="NC12" s="18"/>
      <c r="ND12" s="18"/>
      <c r="NE12" s="18"/>
      <c r="NF12" s="18"/>
      <c r="NG12" s="18"/>
      <c r="NH12" s="18"/>
      <c r="NI12" s="18"/>
      <c r="NJ12" s="18"/>
      <c r="NK12" s="18"/>
      <c r="NL12" s="18"/>
      <c r="NM12" s="18"/>
      <c r="NN12" s="18"/>
      <c r="NO12" s="18"/>
      <c r="NP12" s="18"/>
      <c r="NQ12" s="18"/>
      <c r="NR12" s="18"/>
      <c r="NS12" s="11" t="str">
        <f t="shared" si="113"/>
        <v/>
      </c>
      <c r="NT12" s="11" t="str">
        <f t="shared" si="114"/>
        <v/>
      </c>
      <c r="NU12" s="11" t="str">
        <f t="shared" si="115"/>
        <v/>
      </c>
      <c r="NV12" s="11" t="str">
        <f t="shared" si="116"/>
        <v/>
      </c>
      <c r="NW12" s="11" t="str">
        <f t="shared" si="117"/>
        <v/>
      </c>
      <c r="NX12" s="11" t="str">
        <f t="shared" si="118"/>
        <v/>
      </c>
      <c r="NY12" s="11" t="str">
        <f t="shared" si="119"/>
        <v/>
      </c>
      <c r="NZ12" s="11" t="str">
        <f t="shared" si="120"/>
        <v/>
      </c>
      <c r="OA12" s="17"/>
      <c r="OB12" s="17"/>
      <c r="OC12" s="17"/>
      <c r="OD12" s="17"/>
      <c r="OE12" s="17"/>
      <c r="OF12" s="17"/>
      <c r="OG12" s="17"/>
      <c r="OH12" s="17"/>
      <c r="OI12" s="17"/>
      <c r="OJ12" s="17"/>
      <c r="OK12" s="17"/>
      <c r="OL12" s="17"/>
      <c r="OM12" s="17"/>
      <c r="ON12" s="17"/>
      <c r="OO12" s="17"/>
      <c r="OP12" s="17"/>
      <c r="OQ12" s="17"/>
      <c r="OR12" s="17"/>
      <c r="OS12" s="17"/>
      <c r="OT12" s="17"/>
      <c r="OU12" s="40" t="str">
        <f t="shared" si="121"/>
        <v/>
      </c>
      <c r="OV12" s="40" t="str">
        <f t="shared" si="122"/>
        <v/>
      </c>
      <c r="OW12" s="40" t="str">
        <f t="shared" si="123"/>
        <v/>
      </c>
      <c r="OX12" s="40" t="str">
        <f t="shared" si="124"/>
        <v/>
      </c>
      <c r="OY12" s="40" t="str">
        <f t="shared" si="125"/>
        <v/>
      </c>
      <c r="OZ12" s="40" t="str">
        <f t="shared" si="126"/>
        <v/>
      </c>
      <c r="PA12" s="40" t="str">
        <f t="shared" si="127"/>
        <v/>
      </c>
      <c r="PB12" s="40" t="str">
        <f t="shared" si="128"/>
        <v/>
      </c>
      <c r="PC12" s="18"/>
      <c r="PD12" s="18"/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8"/>
      <c r="PS12" s="18"/>
      <c r="PT12" s="18"/>
      <c r="PU12" s="18"/>
      <c r="PV12" s="18"/>
      <c r="PW12" s="11" t="str">
        <f t="shared" si="129"/>
        <v/>
      </c>
      <c r="PX12" s="11" t="str">
        <f t="shared" si="130"/>
        <v/>
      </c>
      <c r="PY12" s="11" t="str">
        <f t="shared" si="131"/>
        <v/>
      </c>
      <c r="PZ12" s="11" t="str">
        <f t="shared" si="132"/>
        <v/>
      </c>
      <c r="QA12" s="11" t="str">
        <f t="shared" si="133"/>
        <v/>
      </c>
      <c r="QB12" s="11" t="str">
        <f t="shared" si="134"/>
        <v/>
      </c>
      <c r="QC12" s="11" t="str">
        <f t="shared" si="135"/>
        <v/>
      </c>
      <c r="QD12" s="11" t="str">
        <f t="shared" si="136"/>
        <v/>
      </c>
      <c r="QE12" s="22">
        <f t="shared" si="137"/>
        <v>0</v>
      </c>
      <c r="QF12" s="22">
        <f t="shared" si="138"/>
        <v>0</v>
      </c>
      <c r="QG12" s="22">
        <f t="shared" si="139"/>
        <v>0</v>
      </c>
      <c r="QH12" s="22">
        <f t="shared" si="140"/>
        <v>0</v>
      </c>
      <c r="QI12" s="22">
        <f t="shared" si="141"/>
        <v>0</v>
      </c>
      <c r="QJ12" s="22">
        <f t="shared" si="142"/>
        <v>0</v>
      </c>
      <c r="QK12" s="22">
        <f t="shared" si="143"/>
        <v>0</v>
      </c>
      <c r="QL12" s="22">
        <f t="shared" si="144"/>
        <v>0</v>
      </c>
      <c r="QM12" s="22">
        <f t="shared" si="145"/>
        <v>0</v>
      </c>
      <c r="QN12" s="22">
        <f t="shared" si="146"/>
        <v>0</v>
      </c>
      <c r="QO12" s="22">
        <f t="shared" si="147"/>
        <v>0</v>
      </c>
      <c r="QP12" s="22">
        <f t="shared" si="148"/>
        <v>0</v>
      </c>
      <c r="QQ12" s="22">
        <f t="shared" si="149"/>
        <v>0</v>
      </c>
      <c r="QR12" s="22">
        <f t="shared" si="150"/>
        <v>0</v>
      </c>
      <c r="QS12" s="22">
        <f t="shared" si="151"/>
        <v>0</v>
      </c>
      <c r="QT12" s="22">
        <f t="shared" si="152"/>
        <v>0</v>
      </c>
      <c r="QU12" s="22">
        <f t="shared" si="153"/>
        <v>0</v>
      </c>
      <c r="QV12" s="22">
        <f t="shared" si="154"/>
        <v>0</v>
      </c>
      <c r="QW12" s="22">
        <f t="shared" si="155"/>
        <v>0</v>
      </c>
      <c r="QX12" s="22">
        <f t="shared" si="156"/>
        <v>0</v>
      </c>
      <c r="QY12" s="27" t="s">
        <v>46</v>
      </c>
      <c r="QZ12" s="40" t="str">
        <f t="shared" si="157"/>
        <v/>
      </c>
      <c r="RA12" s="40" t="str">
        <f t="shared" si="158"/>
        <v/>
      </c>
      <c r="RB12" s="40" t="str">
        <f t="shared" si="159"/>
        <v/>
      </c>
      <c r="RC12" s="40" t="str">
        <f t="shared" si="160"/>
        <v/>
      </c>
      <c r="RD12" s="40" t="str">
        <f t="shared" si="161"/>
        <v/>
      </c>
      <c r="RE12" s="40" t="str">
        <f t="shared" si="162"/>
        <v/>
      </c>
      <c r="RF12" s="40" t="str">
        <f t="shared" si="163"/>
        <v/>
      </c>
      <c r="RG12" s="40" t="str">
        <f t="shared" si="164"/>
        <v/>
      </c>
    </row>
    <row r="13" spans="1:475" x14ac:dyDescent="0.2">
      <c r="A13" s="4" t="str">
        <f t="shared" si="0"/>
        <v/>
      </c>
      <c r="B13" s="5" t="s">
        <v>69</v>
      </c>
      <c r="C13" s="4" t="s">
        <v>4</v>
      </c>
      <c r="D13" s="4">
        <v>2003</v>
      </c>
      <c r="E13" s="9">
        <f t="shared" si="1"/>
        <v>149.70001060000428</v>
      </c>
      <c r="F13" s="3" t="str">
        <f t="shared" si="2"/>
        <v/>
      </c>
      <c r="G13" s="3" t="str">
        <f t="shared" si="3"/>
        <v/>
      </c>
      <c r="H13" s="36" t="str">
        <f t="shared" si="4"/>
        <v/>
      </c>
      <c r="I13" s="3" t="str">
        <f t="shared" si="5"/>
        <v/>
      </c>
      <c r="J13" s="8">
        <f>IF(COUNT(AQ13,BT13,CW13)&gt;0,LARGE((AQ13,BT13,CW13),1),0)</f>
        <v>42.5</v>
      </c>
      <c r="K13" s="8" t="str">
        <f t="shared" si="6"/>
        <v>2023 Elite Canada</v>
      </c>
      <c r="L13" s="8">
        <f>IF(COUNT(AQ13,BT13,CW13)&gt;1,LARGE((AQ13,BT13,CW13),2),0)</f>
        <v>40.800000000000004</v>
      </c>
      <c r="M13" s="8" t="str">
        <f t="shared" si="7"/>
        <v>2022 Nationals</v>
      </c>
      <c r="N13" s="8">
        <f>IF(COUNT(AR13,BU13,CX13)&gt;0,LARGE((AR13,BU13,CX13),1),0)</f>
        <v>22.700000000000003</v>
      </c>
      <c r="O13" s="8" t="str">
        <f t="shared" si="8"/>
        <v>2023 Elite Canada</v>
      </c>
      <c r="P13" s="8">
        <f t="shared" si="9"/>
        <v>43.70000000000001</v>
      </c>
      <c r="Q13" s="8" t="str">
        <f t="shared" si="10"/>
        <v>2022 Nationals</v>
      </c>
      <c r="R13" s="8" t="str">
        <f t="shared" si="11"/>
        <v/>
      </c>
      <c r="S13" s="11" t="str">
        <f t="shared" si="12"/>
        <v/>
      </c>
      <c r="T13" s="8" t="str">
        <f t="shared" si="13"/>
        <v/>
      </c>
      <c r="U13" s="19">
        <v>16.600000000000001</v>
      </c>
      <c r="V13" s="19">
        <v>5.0999999999999996</v>
      </c>
      <c r="W13" s="19">
        <v>0</v>
      </c>
      <c r="X13" s="19">
        <v>0.3</v>
      </c>
      <c r="Y13" s="19">
        <v>14.9</v>
      </c>
      <c r="Z13" s="19">
        <v>3.3</v>
      </c>
      <c r="AA13" s="19">
        <v>0</v>
      </c>
      <c r="AB13" s="19">
        <v>0.6</v>
      </c>
      <c r="AC13" s="19"/>
      <c r="AD13" s="19"/>
      <c r="AE13" s="19"/>
      <c r="AF13" s="19"/>
      <c r="AG13" s="19">
        <v>16.600000000000001</v>
      </c>
      <c r="AH13" s="19">
        <v>5.0999999999999996</v>
      </c>
      <c r="AI13" s="19">
        <v>0</v>
      </c>
      <c r="AJ13" s="19">
        <v>0.3</v>
      </c>
      <c r="AK13" s="19">
        <v>16.100000000000001</v>
      </c>
      <c r="AL13" s="19">
        <v>5</v>
      </c>
      <c r="AM13" s="19">
        <v>0</v>
      </c>
      <c r="AN13" s="19">
        <v>0.6</v>
      </c>
      <c r="AO13" s="27"/>
      <c r="AP13" s="40">
        <f t="shared" si="14"/>
        <v>8.3999999999999986</v>
      </c>
      <c r="AQ13" s="40">
        <f t="shared" si="15"/>
        <v>40.800000000000004</v>
      </c>
      <c r="AR13" s="40" t="str">
        <f t="shared" si="16"/>
        <v/>
      </c>
      <c r="AS13" s="40">
        <f t="shared" si="17"/>
        <v>8.3999999999999986</v>
      </c>
      <c r="AT13" s="40">
        <f t="shared" si="18"/>
        <v>40.800000000000004</v>
      </c>
      <c r="AU13" s="40">
        <f t="shared" si="19"/>
        <v>10.1</v>
      </c>
      <c r="AV13" s="40">
        <f t="shared" si="20"/>
        <v>43.70000000000001</v>
      </c>
      <c r="AW13" s="40">
        <f t="shared" si="21"/>
        <v>84.500000000000014</v>
      </c>
      <c r="AX13" s="18">
        <v>15.3</v>
      </c>
      <c r="AY13" s="18">
        <v>5.7</v>
      </c>
      <c r="AZ13" s="18">
        <v>0</v>
      </c>
      <c r="BA13" s="18">
        <v>0.6</v>
      </c>
      <c r="BB13" s="18">
        <v>14.5</v>
      </c>
      <c r="BC13" s="18">
        <v>2.9</v>
      </c>
      <c r="BD13" s="18">
        <v>0</v>
      </c>
      <c r="BE13" s="18">
        <v>0.3</v>
      </c>
      <c r="BF13" s="18"/>
      <c r="BG13" s="18"/>
      <c r="BH13" s="18"/>
      <c r="BI13" s="18"/>
      <c r="BJ13" s="18">
        <v>14.8</v>
      </c>
      <c r="BK13" s="18">
        <v>2.9</v>
      </c>
      <c r="BL13" s="18">
        <v>0</v>
      </c>
      <c r="BM13" s="18">
        <v>0.3</v>
      </c>
      <c r="BN13" s="18">
        <v>15.5</v>
      </c>
      <c r="BO13" s="18">
        <v>5</v>
      </c>
      <c r="BP13" s="18">
        <v>0</v>
      </c>
      <c r="BQ13" s="18">
        <v>0.6</v>
      </c>
      <c r="BR13" s="28"/>
      <c r="BS13" s="11">
        <f t="shared" si="22"/>
        <v>8.6</v>
      </c>
      <c r="BT13" s="11">
        <f t="shared" si="23"/>
        <v>39.299999999999997</v>
      </c>
      <c r="BU13" s="11" t="str">
        <f t="shared" si="24"/>
        <v/>
      </c>
      <c r="BV13" s="11">
        <f t="shared" si="25"/>
        <v>8.6</v>
      </c>
      <c r="BW13" s="11">
        <f t="shared" si="26"/>
        <v>39.299999999999997</v>
      </c>
      <c r="BX13" s="11">
        <f t="shared" si="27"/>
        <v>7.9</v>
      </c>
      <c r="BY13" s="11">
        <f t="shared" si="28"/>
        <v>39.1</v>
      </c>
      <c r="BZ13" s="11">
        <f t="shared" si="29"/>
        <v>78.400000000000006</v>
      </c>
      <c r="CA13" s="19">
        <v>16.2</v>
      </c>
      <c r="CB13" s="19">
        <v>5.3</v>
      </c>
      <c r="CC13" s="19">
        <v>0</v>
      </c>
      <c r="CD13" s="19">
        <v>0.3</v>
      </c>
      <c r="CE13" s="19">
        <v>14.1</v>
      </c>
      <c r="CF13" s="19">
        <v>6.2</v>
      </c>
      <c r="CG13" s="19">
        <v>0.2</v>
      </c>
      <c r="CH13" s="19">
        <v>0.6</v>
      </c>
      <c r="CI13" s="19">
        <v>16.100000000000001</v>
      </c>
      <c r="CJ13" s="19">
        <v>6</v>
      </c>
      <c r="CK13" s="19">
        <v>0</v>
      </c>
      <c r="CL13" s="19">
        <v>0.6</v>
      </c>
      <c r="CM13" s="19">
        <v>15.8</v>
      </c>
      <c r="CN13" s="19">
        <v>4.5</v>
      </c>
      <c r="CO13" s="19">
        <v>0</v>
      </c>
      <c r="CP13" s="19">
        <v>0.3</v>
      </c>
      <c r="CQ13" s="19">
        <v>15.8</v>
      </c>
      <c r="CR13" s="19">
        <v>6.4</v>
      </c>
      <c r="CS13" s="19">
        <v>0.2</v>
      </c>
      <c r="CT13" s="19">
        <v>0.6</v>
      </c>
      <c r="CU13" s="27"/>
      <c r="CV13" s="40">
        <f t="shared" si="30"/>
        <v>11.5</v>
      </c>
      <c r="CW13" s="40">
        <f t="shared" si="31"/>
        <v>42.5</v>
      </c>
      <c r="CX13" s="40">
        <f t="shared" si="32"/>
        <v>22.700000000000003</v>
      </c>
      <c r="CY13" s="40">
        <f t="shared" si="33"/>
        <v>17.5</v>
      </c>
      <c r="CZ13" s="40">
        <f t="shared" si="34"/>
        <v>65.2</v>
      </c>
      <c r="DA13" s="40">
        <f t="shared" si="35"/>
        <v>10.9</v>
      </c>
      <c r="DB13" s="40">
        <f t="shared" si="36"/>
        <v>43.2</v>
      </c>
      <c r="DC13" s="40">
        <f t="shared" si="37"/>
        <v>85.7</v>
      </c>
      <c r="DD13" s="50" t="str">
        <f t="shared" si="38"/>
        <v/>
      </c>
      <c r="DE13" s="50" t="str">
        <f t="shared" si="39"/>
        <v/>
      </c>
      <c r="DF13" s="50" t="str">
        <f t="shared" si="40"/>
        <v/>
      </c>
      <c r="DG13" s="17"/>
      <c r="DH13" s="17"/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17"/>
      <c r="DY13" s="17"/>
      <c r="DZ13" s="17"/>
      <c r="EA13" s="40" t="str">
        <f t="shared" si="41"/>
        <v/>
      </c>
      <c r="EB13" s="40" t="str">
        <f t="shared" si="42"/>
        <v/>
      </c>
      <c r="EC13" s="40" t="str">
        <f t="shared" si="43"/>
        <v/>
      </c>
      <c r="ED13" s="40" t="str">
        <f t="shared" si="44"/>
        <v/>
      </c>
      <c r="EE13" s="40" t="str">
        <f t="shared" si="45"/>
        <v/>
      </c>
      <c r="EF13" s="40" t="str">
        <f t="shared" si="46"/>
        <v/>
      </c>
      <c r="EG13" s="40" t="str">
        <f t="shared" si="47"/>
        <v/>
      </c>
      <c r="EH13" s="40" t="str">
        <f t="shared" si="48"/>
        <v/>
      </c>
      <c r="EI13" s="18"/>
      <c r="EJ13" s="18"/>
      <c r="EK13" s="18"/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8"/>
      <c r="FA13" s="18"/>
      <c r="FB13" s="18"/>
      <c r="FC13" s="11" t="str">
        <f t="shared" si="49"/>
        <v/>
      </c>
      <c r="FD13" s="11" t="str">
        <f t="shared" si="50"/>
        <v/>
      </c>
      <c r="FE13" s="11" t="str">
        <f t="shared" si="51"/>
        <v/>
      </c>
      <c r="FF13" s="11" t="str">
        <f t="shared" si="52"/>
        <v/>
      </c>
      <c r="FG13" s="11" t="str">
        <f t="shared" si="53"/>
        <v/>
      </c>
      <c r="FH13" s="11" t="str">
        <f t="shared" si="54"/>
        <v/>
      </c>
      <c r="FI13" s="11" t="str">
        <f t="shared" si="55"/>
        <v/>
      </c>
      <c r="FJ13" s="11" t="str">
        <f t="shared" si="56"/>
        <v/>
      </c>
      <c r="FK13" s="17"/>
      <c r="FL13" s="17"/>
      <c r="FM13" s="17"/>
      <c r="FN13" s="17"/>
      <c r="FO13" s="17"/>
      <c r="FP13" s="17"/>
      <c r="FQ13" s="17"/>
      <c r="FR13" s="17"/>
      <c r="FS13" s="17"/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40" t="str">
        <f t="shared" si="57"/>
        <v/>
      </c>
      <c r="GF13" s="40" t="str">
        <f t="shared" si="58"/>
        <v/>
      </c>
      <c r="GG13" s="40" t="str">
        <f t="shared" si="59"/>
        <v/>
      </c>
      <c r="GH13" s="40" t="str">
        <f t="shared" si="60"/>
        <v/>
      </c>
      <c r="GI13" s="40" t="str">
        <f t="shared" si="61"/>
        <v/>
      </c>
      <c r="GJ13" s="40" t="str">
        <f t="shared" si="62"/>
        <v/>
      </c>
      <c r="GK13" s="40" t="str">
        <f t="shared" si="63"/>
        <v/>
      </c>
      <c r="GL13" s="40" t="str">
        <f t="shared" si="64"/>
        <v/>
      </c>
      <c r="GM13" s="18"/>
      <c r="GN13" s="18"/>
      <c r="GO13" s="18"/>
      <c r="GP13" s="18"/>
      <c r="GQ13" s="18"/>
      <c r="GR13" s="18"/>
      <c r="GS13" s="18"/>
      <c r="GT13" s="18"/>
      <c r="GU13" s="18"/>
      <c r="GV13" s="18"/>
      <c r="GW13" s="18"/>
      <c r="GX13" s="18"/>
      <c r="GY13" s="18"/>
      <c r="GZ13" s="18"/>
      <c r="HA13" s="18"/>
      <c r="HB13" s="18"/>
      <c r="HC13" s="18"/>
      <c r="HD13" s="18"/>
      <c r="HE13" s="18"/>
      <c r="HF13" s="18"/>
      <c r="HG13" s="11" t="str">
        <f t="shared" si="65"/>
        <v/>
      </c>
      <c r="HH13" s="11" t="str">
        <f t="shared" si="66"/>
        <v/>
      </c>
      <c r="HI13" s="11" t="str">
        <f t="shared" si="67"/>
        <v/>
      </c>
      <c r="HJ13" s="11" t="str">
        <f t="shared" si="68"/>
        <v/>
      </c>
      <c r="HK13" s="11" t="str">
        <f t="shared" si="69"/>
        <v/>
      </c>
      <c r="HL13" s="11" t="str">
        <f t="shared" si="70"/>
        <v/>
      </c>
      <c r="HM13" s="11" t="str">
        <f t="shared" si="71"/>
        <v/>
      </c>
      <c r="HN13" s="11" t="str">
        <f t="shared" si="72"/>
        <v/>
      </c>
      <c r="HO13" s="17"/>
      <c r="HP13" s="17"/>
      <c r="HQ13" s="17"/>
      <c r="HR13" s="17"/>
      <c r="HS13" s="17"/>
      <c r="HT13" s="17"/>
      <c r="HU13" s="17"/>
      <c r="HV13" s="17"/>
      <c r="HW13" s="17"/>
      <c r="HX13" s="17"/>
      <c r="HY13" s="17"/>
      <c r="HZ13" s="17"/>
      <c r="IA13" s="17"/>
      <c r="IB13" s="17"/>
      <c r="IC13" s="17"/>
      <c r="ID13" s="17"/>
      <c r="IE13" s="17"/>
      <c r="IF13" s="17"/>
      <c r="IG13" s="17"/>
      <c r="IH13" s="17"/>
      <c r="II13" s="40" t="str">
        <f t="shared" si="73"/>
        <v/>
      </c>
      <c r="IJ13" s="40" t="str">
        <f t="shared" si="74"/>
        <v/>
      </c>
      <c r="IK13" s="40" t="str">
        <f t="shared" si="75"/>
        <v/>
      </c>
      <c r="IL13" s="40" t="str">
        <f t="shared" si="76"/>
        <v/>
      </c>
      <c r="IM13" s="40" t="str">
        <f t="shared" si="77"/>
        <v/>
      </c>
      <c r="IN13" s="40" t="str">
        <f t="shared" si="78"/>
        <v/>
      </c>
      <c r="IO13" s="40" t="str">
        <f t="shared" si="79"/>
        <v/>
      </c>
      <c r="IP13" s="40" t="str">
        <f t="shared" si="80"/>
        <v/>
      </c>
      <c r="IQ13" s="18"/>
      <c r="IR13" s="18"/>
      <c r="IS13" s="18"/>
      <c r="IT13" s="18"/>
      <c r="IU13" s="18"/>
      <c r="IV13" s="18"/>
      <c r="IW13" s="18"/>
      <c r="IX13" s="18"/>
      <c r="IY13" s="18"/>
      <c r="IZ13" s="18"/>
      <c r="JA13" s="18"/>
      <c r="JB13" s="18"/>
      <c r="JC13" s="18"/>
      <c r="JD13" s="18"/>
      <c r="JE13" s="18"/>
      <c r="JF13" s="18"/>
      <c r="JG13" s="18"/>
      <c r="JH13" s="18"/>
      <c r="JI13" s="18"/>
      <c r="JJ13" s="18"/>
      <c r="JK13" s="11" t="str">
        <f t="shared" si="81"/>
        <v/>
      </c>
      <c r="JL13" s="11" t="str">
        <f t="shared" si="82"/>
        <v/>
      </c>
      <c r="JM13" s="11" t="str">
        <f t="shared" si="83"/>
        <v/>
      </c>
      <c r="JN13" s="11" t="str">
        <f t="shared" si="84"/>
        <v/>
      </c>
      <c r="JO13" s="11" t="str">
        <f t="shared" si="85"/>
        <v/>
      </c>
      <c r="JP13" s="11" t="str">
        <f t="shared" si="86"/>
        <v/>
      </c>
      <c r="JQ13" s="11" t="str">
        <f t="shared" si="87"/>
        <v/>
      </c>
      <c r="JR13" s="11" t="str">
        <f t="shared" si="88"/>
        <v/>
      </c>
      <c r="JS13" s="17"/>
      <c r="JT13" s="17"/>
      <c r="JU13" s="17"/>
      <c r="JV13" s="17"/>
      <c r="JW13" s="17"/>
      <c r="JX13" s="17"/>
      <c r="JY13" s="17"/>
      <c r="JZ13" s="17"/>
      <c r="KA13" s="17"/>
      <c r="KB13" s="17"/>
      <c r="KC13" s="17"/>
      <c r="KD13" s="17"/>
      <c r="KE13" s="17"/>
      <c r="KF13" s="17"/>
      <c r="KG13" s="17"/>
      <c r="KH13" s="17"/>
      <c r="KI13" s="17"/>
      <c r="KJ13" s="17"/>
      <c r="KK13" s="17"/>
      <c r="KL13" s="17"/>
      <c r="KM13" s="40" t="str">
        <f t="shared" si="89"/>
        <v/>
      </c>
      <c r="KN13" s="40" t="str">
        <f t="shared" si="90"/>
        <v/>
      </c>
      <c r="KO13" s="40" t="str">
        <f t="shared" si="91"/>
        <v/>
      </c>
      <c r="KP13" s="40" t="str">
        <f t="shared" si="92"/>
        <v/>
      </c>
      <c r="KQ13" s="40" t="str">
        <f t="shared" si="93"/>
        <v/>
      </c>
      <c r="KR13" s="40" t="str">
        <f t="shared" si="94"/>
        <v/>
      </c>
      <c r="KS13" s="40" t="str">
        <f t="shared" si="95"/>
        <v/>
      </c>
      <c r="KT13" s="40" t="str">
        <f t="shared" si="96"/>
        <v/>
      </c>
      <c r="KU13" s="18">
        <v>15.5</v>
      </c>
      <c r="KV13" s="18">
        <v>2.9</v>
      </c>
      <c r="KW13" s="18">
        <v>0</v>
      </c>
      <c r="KX13" s="18">
        <v>0</v>
      </c>
      <c r="KY13" s="18">
        <v>16.2</v>
      </c>
      <c r="KZ13" s="18">
        <v>5.7</v>
      </c>
      <c r="LA13" s="18">
        <v>0</v>
      </c>
      <c r="LB13" s="18">
        <v>0</v>
      </c>
      <c r="LC13" s="18"/>
      <c r="LD13" s="18"/>
      <c r="LE13" s="18"/>
      <c r="LF13" s="18"/>
      <c r="LG13" s="18"/>
      <c r="LH13" s="18"/>
      <c r="LI13" s="18"/>
      <c r="LJ13" s="18"/>
      <c r="LK13" s="18"/>
      <c r="LL13" s="18"/>
      <c r="LM13" s="18"/>
      <c r="LN13" s="18"/>
      <c r="LO13" s="11">
        <f t="shared" si="97"/>
        <v>8.6</v>
      </c>
      <c r="LP13" s="11">
        <f t="shared" si="98"/>
        <v>40.299999999999997</v>
      </c>
      <c r="LQ13" s="11" t="str">
        <f t="shared" si="99"/>
        <v/>
      </c>
      <c r="LR13" s="11">
        <f t="shared" si="100"/>
        <v>8.6</v>
      </c>
      <c r="LS13" s="11">
        <f t="shared" si="101"/>
        <v>40.299999999999997</v>
      </c>
      <c r="LT13" s="11" t="str">
        <f t="shared" si="102"/>
        <v/>
      </c>
      <c r="LU13" s="11" t="str">
        <f t="shared" si="103"/>
        <v/>
      </c>
      <c r="LV13" s="11">
        <f t="shared" si="104"/>
        <v>40.299999999999997</v>
      </c>
      <c r="LW13" s="17"/>
      <c r="LX13" s="17"/>
      <c r="LY13" s="17"/>
      <c r="LZ13" s="17"/>
      <c r="MA13" s="17"/>
      <c r="MB13" s="17"/>
      <c r="MC13" s="17"/>
      <c r="MD13" s="17"/>
      <c r="ME13" s="17"/>
      <c r="MF13" s="17"/>
      <c r="MG13" s="17"/>
      <c r="MH13" s="17"/>
      <c r="MI13" s="17"/>
      <c r="MJ13" s="17"/>
      <c r="MK13" s="17"/>
      <c r="ML13" s="17"/>
      <c r="MM13" s="17"/>
      <c r="MN13" s="17"/>
      <c r="MO13" s="17"/>
      <c r="MP13" s="17"/>
      <c r="MQ13" s="40" t="str">
        <f t="shared" si="105"/>
        <v/>
      </c>
      <c r="MR13" s="40" t="str">
        <f t="shared" si="106"/>
        <v/>
      </c>
      <c r="MS13" s="40" t="str">
        <f t="shared" si="107"/>
        <v/>
      </c>
      <c r="MT13" s="40" t="str">
        <f t="shared" si="108"/>
        <v/>
      </c>
      <c r="MU13" s="40" t="str">
        <f t="shared" si="109"/>
        <v/>
      </c>
      <c r="MV13" s="40" t="str">
        <f t="shared" si="110"/>
        <v/>
      </c>
      <c r="MW13" s="40" t="str">
        <f t="shared" si="111"/>
        <v/>
      </c>
      <c r="MX13" s="40" t="str">
        <f t="shared" si="112"/>
        <v/>
      </c>
      <c r="MY13" s="18"/>
      <c r="MZ13" s="18"/>
      <c r="NA13" s="18"/>
      <c r="NB13" s="18"/>
      <c r="NC13" s="18"/>
      <c r="ND13" s="18"/>
      <c r="NE13" s="18"/>
      <c r="NF13" s="18"/>
      <c r="NG13" s="18"/>
      <c r="NH13" s="18"/>
      <c r="NI13" s="18"/>
      <c r="NJ13" s="18"/>
      <c r="NK13" s="18"/>
      <c r="NL13" s="18"/>
      <c r="NM13" s="18"/>
      <c r="NN13" s="18"/>
      <c r="NO13" s="18"/>
      <c r="NP13" s="18"/>
      <c r="NQ13" s="18"/>
      <c r="NR13" s="18"/>
      <c r="NS13" s="11" t="str">
        <f t="shared" si="113"/>
        <v/>
      </c>
      <c r="NT13" s="11" t="str">
        <f t="shared" si="114"/>
        <v/>
      </c>
      <c r="NU13" s="11" t="str">
        <f t="shared" si="115"/>
        <v/>
      </c>
      <c r="NV13" s="11" t="str">
        <f t="shared" si="116"/>
        <v/>
      </c>
      <c r="NW13" s="11" t="str">
        <f t="shared" si="117"/>
        <v/>
      </c>
      <c r="NX13" s="11" t="str">
        <f t="shared" si="118"/>
        <v/>
      </c>
      <c r="NY13" s="11" t="str">
        <f t="shared" si="119"/>
        <v/>
      </c>
      <c r="NZ13" s="11" t="str">
        <f t="shared" si="120"/>
        <v/>
      </c>
      <c r="OA13" s="17"/>
      <c r="OB13" s="17"/>
      <c r="OC13" s="17"/>
      <c r="OD13" s="17"/>
      <c r="OE13" s="17"/>
      <c r="OF13" s="17"/>
      <c r="OG13" s="17"/>
      <c r="OH13" s="17"/>
      <c r="OI13" s="17"/>
      <c r="OJ13" s="17"/>
      <c r="OK13" s="17"/>
      <c r="OL13" s="17"/>
      <c r="OM13" s="17"/>
      <c r="ON13" s="17"/>
      <c r="OO13" s="17"/>
      <c r="OP13" s="17"/>
      <c r="OQ13" s="17"/>
      <c r="OR13" s="17"/>
      <c r="OS13" s="17"/>
      <c r="OT13" s="17"/>
      <c r="OU13" s="40" t="str">
        <f t="shared" si="121"/>
        <v/>
      </c>
      <c r="OV13" s="40" t="str">
        <f t="shared" si="122"/>
        <v/>
      </c>
      <c r="OW13" s="40" t="str">
        <f t="shared" si="123"/>
        <v/>
      </c>
      <c r="OX13" s="40" t="str">
        <f t="shared" si="124"/>
        <v/>
      </c>
      <c r="OY13" s="40" t="str">
        <f t="shared" si="125"/>
        <v/>
      </c>
      <c r="OZ13" s="40" t="str">
        <f t="shared" si="126"/>
        <v/>
      </c>
      <c r="PA13" s="40" t="str">
        <f t="shared" si="127"/>
        <v/>
      </c>
      <c r="PB13" s="40" t="str">
        <f t="shared" si="128"/>
        <v/>
      </c>
      <c r="PC13" s="18"/>
      <c r="PD13" s="18"/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8"/>
      <c r="PQ13" s="18"/>
      <c r="PR13" s="18"/>
      <c r="PS13" s="18"/>
      <c r="PT13" s="18"/>
      <c r="PU13" s="18"/>
      <c r="PV13" s="18"/>
      <c r="PW13" s="11" t="str">
        <f t="shared" si="129"/>
        <v/>
      </c>
      <c r="PX13" s="11" t="str">
        <f t="shared" si="130"/>
        <v/>
      </c>
      <c r="PY13" s="11" t="str">
        <f t="shared" si="131"/>
        <v/>
      </c>
      <c r="PZ13" s="11" t="str">
        <f t="shared" si="132"/>
        <v/>
      </c>
      <c r="QA13" s="11" t="str">
        <f t="shared" si="133"/>
        <v/>
      </c>
      <c r="QB13" s="11" t="str">
        <f t="shared" si="134"/>
        <v/>
      </c>
      <c r="QC13" s="11" t="str">
        <f t="shared" si="135"/>
        <v/>
      </c>
      <c r="QD13" s="11" t="str">
        <f t="shared" si="136"/>
        <v/>
      </c>
      <c r="QE13" s="22">
        <f t="shared" si="137"/>
        <v>15.75</v>
      </c>
      <c r="QF13" s="22">
        <f t="shared" si="138"/>
        <v>5.5</v>
      </c>
      <c r="QG13" s="22">
        <f t="shared" si="139"/>
        <v>0</v>
      </c>
      <c r="QH13" s="22">
        <f t="shared" si="140"/>
        <v>0.44999999999999996</v>
      </c>
      <c r="QI13" s="22">
        <f t="shared" si="141"/>
        <v>14.3</v>
      </c>
      <c r="QJ13" s="22">
        <f t="shared" si="142"/>
        <v>4.55</v>
      </c>
      <c r="QK13" s="22">
        <f t="shared" si="143"/>
        <v>0.1</v>
      </c>
      <c r="QL13" s="22">
        <f t="shared" si="144"/>
        <v>0.44999999999999996</v>
      </c>
      <c r="QM13" s="22">
        <f t="shared" si="145"/>
        <v>8.0500000000000007</v>
      </c>
      <c r="QN13" s="22">
        <f t="shared" si="146"/>
        <v>3</v>
      </c>
      <c r="QO13" s="22">
        <f t="shared" si="147"/>
        <v>0</v>
      </c>
      <c r="QP13" s="22">
        <f t="shared" si="148"/>
        <v>0.3</v>
      </c>
      <c r="QQ13" s="22">
        <f t="shared" si="149"/>
        <v>15.3</v>
      </c>
      <c r="QR13" s="22">
        <f t="shared" si="150"/>
        <v>3.7</v>
      </c>
      <c r="QS13" s="22">
        <f t="shared" si="151"/>
        <v>0</v>
      </c>
      <c r="QT13" s="22">
        <f t="shared" si="152"/>
        <v>0.3</v>
      </c>
      <c r="QU13" s="22">
        <f t="shared" si="153"/>
        <v>15.65</v>
      </c>
      <c r="QV13" s="22">
        <f t="shared" si="154"/>
        <v>5.7</v>
      </c>
      <c r="QW13" s="22">
        <f t="shared" si="155"/>
        <v>0.1</v>
      </c>
      <c r="QX13" s="22">
        <f t="shared" si="156"/>
        <v>0.6</v>
      </c>
      <c r="QY13" s="27" t="s">
        <v>46</v>
      </c>
      <c r="QZ13" s="40">
        <f t="shared" si="157"/>
        <v>10.050000000000001</v>
      </c>
      <c r="RA13" s="40">
        <f t="shared" si="158"/>
        <v>40.9</v>
      </c>
      <c r="RB13" s="40">
        <f t="shared" si="159"/>
        <v>11.350000000000001</v>
      </c>
      <c r="RC13" s="40">
        <f t="shared" si="160"/>
        <v>13.05</v>
      </c>
      <c r="RD13" s="40">
        <f t="shared" si="161"/>
        <v>52.25</v>
      </c>
      <c r="RE13" s="40">
        <f t="shared" si="162"/>
        <v>9.4</v>
      </c>
      <c r="RF13" s="40">
        <f t="shared" si="163"/>
        <v>41.150000000000006</v>
      </c>
      <c r="RG13" s="40">
        <f t="shared" si="164"/>
        <v>82.050000000000011</v>
      </c>
    </row>
    <row r="14" spans="1:475" x14ac:dyDescent="0.2">
      <c r="A14" s="4" t="str">
        <f t="shared" si="0"/>
        <v/>
      </c>
      <c r="B14" s="5" t="s">
        <v>174</v>
      </c>
      <c r="C14" s="4" t="s">
        <v>4</v>
      </c>
      <c r="D14" s="4">
        <v>2005</v>
      </c>
      <c r="E14" s="9">
        <f t="shared" si="1"/>
        <v>129.900009050004</v>
      </c>
      <c r="F14" s="3" t="str">
        <f t="shared" si="2"/>
        <v/>
      </c>
      <c r="G14" s="3" t="str">
        <f t="shared" si="3"/>
        <v/>
      </c>
      <c r="H14" s="36" t="str">
        <f t="shared" si="4"/>
        <v/>
      </c>
      <c r="I14" s="3" t="str">
        <f t="shared" si="5"/>
        <v/>
      </c>
      <c r="J14" s="8">
        <f>IF(COUNT(AQ14,BT14,CW14)&gt;0,LARGE((AQ14,BT14,CW14),1),0)</f>
        <v>40.29999999999999</v>
      </c>
      <c r="K14" s="8" t="str">
        <f t="shared" si="6"/>
        <v>2022 Nationals</v>
      </c>
      <c r="L14" s="8">
        <f>IF(COUNT(AQ14,BT14,CW14)&gt;1,LARGE((AQ14,BT14,CW14),2),0)</f>
        <v>32.399999999999991</v>
      </c>
      <c r="M14" s="8" t="str">
        <f t="shared" si="7"/>
        <v>2023 Elite Canada</v>
      </c>
      <c r="N14" s="8">
        <f>IF(COUNT(AR14,BU14,CX14)&gt;0,LARGE((AR14,BU14,CX14),1),0)</f>
        <v>17.8</v>
      </c>
      <c r="O14" s="8" t="str">
        <f t="shared" si="8"/>
        <v>2023 Elite Canada</v>
      </c>
      <c r="P14" s="8">
        <f t="shared" si="9"/>
        <v>39.4</v>
      </c>
      <c r="Q14" s="8" t="str">
        <f t="shared" si="10"/>
        <v>2023 Elite Canada</v>
      </c>
      <c r="R14" s="8" t="str">
        <f t="shared" si="11"/>
        <v/>
      </c>
      <c r="S14" s="11" t="str">
        <f t="shared" si="12"/>
        <v/>
      </c>
      <c r="T14" s="8" t="str">
        <f t="shared" si="13"/>
        <v/>
      </c>
      <c r="U14" s="19">
        <v>16.7</v>
      </c>
      <c r="V14" s="19">
        <v>3.4</v>
      </c>
      <c r="W14" s="19">
        <v>0</v>
      </c>
      <c r="X14" s="19">
        <v>0</v>
      </c>
      <c r="Y14" s="19">
        <v>16</v>
      </c>
      <c r="Z14" s="19">
        <v>3.9</v>
      </c>
      <c r="AA14" s="19">
        <v>0</v>
      </c>
      <c r="AB14" s="19">
        <v>0.3</v>
      </c>
      <c r="AC14" s="19"/>
      <c r="AD14" s="19"/>
      <c r="AE14" s="19"/>
      <c r="AF14" s="19"/>
      <c r="AG14" s="19">
        <v>14.9</v>
      </c>
      <c r="AH14" s="19">
        <v>1.2</v>
      </c>
      <c r="AI14" s="19">
        <v>0</v>
      </c>
      <c r="AJ14" s="19">
        <v>0</v>
      </c>
      <c r="AK14" s="19">
        <v>15.2</v>
      </c>
      <c r="AL14" s="19">
        <v>3.9</v>
      </c>
      <c r="AM14" s="19">
        <v>0</v>
      </c>
      <c r="AN14" s="19">
        <v>0.3</v>
      </c>
      <c r="AO14" s="27"/>
      <c r="AP14" s="40">
        <f t="shared" si="14"/>
        <v>7.3</v>
      </c>
      <c r="AQ14" s="40">
        <f t="shared" si="15"/>
        <v>40.29999999999999</v>
      </c>
      <c r="AR14" s="40" t="str">
        <f t="shared" si="16"/>
        <v/>
      </c>
      <c r="AS14" s="40">
        <f t="shared" si="17"/>
        <v>7.3</v>
      </c>
      <c r="AT14" s="40">
        <f t="shared" si="18"/>
        <v>40.29999999999999</v>
      </c>
      <c r="AU14" s="40">
        <f t="shared" si="19"/>
        <v>5.0999999999999996</v>
      </c>
      <c r="AV14" s="40">
        <f t="shared" si="20"/>
        <v>35.5</v>
      </c>
      <c r="AW14" s="40">
        <f t="shared" si="21"/>
        <v>75.799999999999983</v>
      </c>
      <c r="AX14" s="18"/>
      <c r="AY14" s="18"/>
      <c r="AZ14" s="18"/>
      <c r="BA14" s="18"/>
      <c r="BB14" s="18"/>
      <c r="BC14" s="18"/>
      <c r="BD14" s="18"/>
      <c r="BE14" s="18"/>
      <c r="BF14" s="18"/>
      <c r="BG14" s="18"/>
      <c r="BH14" s="18"/>
      <c r="BI14" s="18"/>
      <c r="BJ14" s="18"/>
      <c r="BK14" s="18"/>
      <c r="BL14" s="18"/>
      <c r="BM14" s="18"/>
      <c r="BN14" s="18"/>
      <c r="BO14" s="18"/>
      <c r="BP14" s="18"/>
      <c r="BQ14" s="18"/>
      <c r="BR14" s="28"/>
      <c r="BS14" s="11" t="str">
        <f t="shared" si="22"/>
        <v/>
      </c>
      <c r="BT14" s="11" t="str">
        <f t="shared" si="23"/>
        <v/>
      </c>
      <c r="BU14" s="11" t="str">
        <f t="shared" si="24"/>
        <v/>
      </c>
      <c r="BV14" s="11" t="str">
        <f t="shared" si="25"/>
        <v/>
      </c>
      <c r="BW14" s="11" t="str">
        <f t="shared" si="26"/>
        <v/>
      </c>
      <c r="BX14" s="11" t="str">
        <f t="shared" si="27"/>
        <v/>
      </c>
      <c r="BY14" s="11" t="str">
        <f t="shared" si="28"/>
        <v/>
      </c>
      <c r="BZ14" s="11" t="str">
        <f t="shared" si="29"/>
        <v/>
      </c>
      <c r="CA14" s="19">
        <v>15.1</v>
      </c>
      <c r="CB14" s="19">
        <v>2.5</v>
      </c>
      <c r="CC14" s="19">
        <v>2.7</v>
      </c>
      <c r="CD14" s="19">
        <v>0.3</v>
      </c>
      <c r="CE14" s="19">
        <v>14.1</v>
      </c>
      <c r="CF14" s="19">
        <v>2.9</v>
      </c>
      <c r="CG14" s="19">
        <v>0.1</v>
      </c>
      <c r="CH14" s="19">
        <v>0.3</v>
      </c>
      <c r="CI14" s="19">
        <v>14.9</v>
      </c>
      <c r="CJ14" s="19">
        <v>2.9</v>
      </c>
      <c r="CK14" s="19">
        <v>0.3</v>
      </c>
      <c r="CL14" s="19">
        <v>0.3</v>
      </c>
      <c r="CM14" s="19">
        <v>15.6</v>
      </c>
      <c r="CN14" s="19">
        <v>4.3</v>
      </c>
      <c r="CO14" s="19">
        <v>0.2</v>
      </c>
      <c r="CP14" s="19">
        <v>0.3</v>
      </c>
      <c r="CQ14" s="19">
        <v>15.5</v>
      </c>
      <c r="CR14" s="19">
        <v>3.8</v>
      </c>
      <c r="CS14" s="19">
        <v>0.2</v>
      </c>
      <c r="CT14" s="19">
        <v>0.3</v>
      </c>
      <c r="CU14" s="27"/>
      <c r="CV14" s="40">
        <f t="shared" si="30"/>
        <v>5.4</v>
      </c>
      <c r="CW14" s="40">
        <f t="shared" si="31"/>
        <v>32.399999999999991</v>
      </c>
      <c r="CX14" s="40">
        <f t="shared" si="32"/>
        <v>17.8</v>
      </c>
      <c r="CY14" s="40">
        <f t="shared" si="33"/>
        <v>8.3000000000000007</v>
      </c>
      <c r="CZ14" s="40">
        <f t="shared" si="34"/>
        <v>50.199999999999989</v>
      </c>
      <c r="DA14" s="40">
        <f t="shared" si="35"/>
        <v>8.1</v>
      </c>
      <c r="DB14" s="40">
        <f t="shared" si="36"/>
        <v>39.4</v>
      </c>
      <c r="DC14" s="40">
        <f t="shared" si="37"/>
        <v>71.799999999999983</v>
      </c>
      <c r="DD14" s="50" t="str">
        <f t="shared" si="38"/>
        <v/>
      </c>
      <c r="DE14" s="50" t="str">
        <f t="shared" si="39"/>
        <v/>
      </c>
      <c r="DF14" s="50" t="str">
        <f t="shared" si="40"/>
        <v/>
      </c>
      <c r="DG14" s="17"/>
      <c r="DH14" s="17"/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17"/>
      <c r="DY14" s="17"/>
      <c r="DZ14" s="17"/>
      <c r="EA14" s="40" t="str">
        <f t="shared" si="41"/>
        <v/>
      </c>
      <c r="EB14" s="40" t="str">
        <f t="shared" si="42"/>
        <v/>
      </c>
      <c r="EC14" s="40" t="str">
        <f t="shared" si="43"/>
        <v/>
      </c>
      <c r="ED14" s="40" t="str">
        <f t="shared" si="44"/>
        <v/>
      </c>
      <c r="EE14" s="40" t="str">
        <f t="shared" si="45"/>
        <v/>
      </c>
      <c r="EF14" s="40" t="str">
        <f t="shared" si="46"/>
        <v/>
      </c>
      <c r="EG14" s="40" t="str">
        <f t="shared" si="47"/>
        <v/>
      </c>
      <c r="EH14" s="40" t="str">
        <f t="shared" si="48"/>
        <v/>
      </c>
      <c r="EI14" s="18"/>
      <c r="EJ14" s="18"/>
      <c r="EK14" s="18"/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8"/>
      <c r="FA14" s="18"/>
      <c r="FB14" s="18"/>
      <c r="FC14" s="11" t="str">
        <f t="shared" si="49"/>
        <v/>
      </c>
      <c r="FD14" s="11" t="str">
        <f t="shared" si="50"/>
        <v/>
      </c>
      <c r="FE14" s="11" t="str">
        <f t="shared" si="51"/>
        <v/>
      </c>
      <c r="FF14" s="11" t="str">
        <f t="shared" si="52"/>
        <v/>
      </c>
      <c r="FG14" s="11" t="str">
        <f t="shared" si="53"/>
        <v/>
      </c>
      <c r="FH14" s="11" t="str">
        <f t="shared" si="54"/>
        <v/>
      </c>
      <c r="FI14" s="11" t="str">
        <f t="shared" si="55"/>
        <v/>
      </c>
      <c r="FJ14" s="11" t="str">
        <f t="shared" si="56"/>
        <v/>
      </c>
      <c r="FK14" s="17"/>
      <c r="FL14" s="17"/>
      <c r="FM14" s="17"/>
      <c r="FN14" s="17"/>
      <c r="FO14" s="17"/>
      <c r="FP14" s="17"/>
      <c r="FQ14" s="17"/>
      <c r="FR14" s="17"/>
      <c r="FS14" s="17"/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40" t="str">
        <f t="shared" si="57"/>
        <v/>
      </c>
      <c r="GF14" s="40" t="str">
        <f t="shared" si="58"/>
        <v/>
      </c>
      <c r="GG14" s="40" t="str">
        <f t="shared" si="59"/>
        <v/>
      </c>
      <c r="GH14" s="40" t="str">
        <f t="shared" si="60"/>
        <v/>
      </c>
      <c r="GI14" s="40" t="str">
        <f t="shared" si="61"/>
        <v/>
      </c>
      <c r="GJ14" s="40" t="str">
        <f t="shared" si="62"/>
        <v/>
      </c>
      <c r="GK14" s="40" t="str">
        <f t="shared" si="63"/>
        <v/>
      </c>
      <c r="GL14" s="40" t="str">
        <f t="shared" si="64"/>
        <v/>
      </c>
      <c r="GM14" s="18"/>
      <c r="GN14" s="18"/>
      <c r="GO14" s="18"/>
      <c r="GP14" s="18"/>
      <c r="GQ14" s="18"/>
      <c r="GR14" s="18"/>
      <c r="GS14" s="18"/>
      <c r="GT14" s="18"/>
      <c r="GU14" s="18"/>
      <c r="GV14" s="18"/>
      <c r="GW14" s="18"/>
      <c r="GX14" s="18"/>
      <c r="GY14" s="18"/>
      <c r="GZ14" s="18"/>
      <c r="HA14" s="18"/>
      <c r="HB14" s="18"/>
      <c r="HC14" s="18"/>
      <c r="HD14" s="18"/>
      <c r="HE14" s="18"/>
      <c r="HF14" s="18"/>
      <c r="HG14" s="11" t="str">
        <f t="shared" si="65"/>
        <v/>
      </c>
      <c r="HH14" s="11" t="str">
        <f t="shared" si="66"/>
        <v/>
      </c>
      <c r="HI14" s="11" t="str">
        <f t="shared" si="67"/>
        <v/>
      </c>
      <c r="HJ14" s="11" t="str">
        <f t="shared" si="68"/>
        <v/>
      </c>
      <c r="HK14" s="11" t="str">
        <f t="shared" si="69"/>
        <v/>
      </c>
      <c r="HL14" s="11" t="str">
        <f t="shared" si="70"/>
        <v/>
      </c>
      <c r="HM14" s="11" t="str">
        <f t="shared" si="71"/>
        <v/>
      </c>
      <c r="HN14" s="11" t="str">
        <f t="shared" si="72"/>
        <v/>
      </c>
      <c r="HO14" s="17"/>
      <c r="HP14" s="17"/>
      <c r="HQ14" s="17"/>
      <c r="HR14" s="17"/>
      <c r="HS14" s="17"/>
      <c r="HT14" s="17"/>
      <c r="HU14" s="17"/>
      <c r="HV14" s="17"/>
      <c r="HW14" s="17"/>
      <c r="HX14" s="17"/>
      <c r="HY14" s="17"/>
      <c r="HZ14" s="17"/>
      <c r="IA14" s="17"/>
      <c r="IB14" s="17"/>
      <c r="IC14" s="17"/>
      <c r="ID14" s="17"/>
      <c r="IE14" s="17"/>
      <c r="IF14" s="17"/>
      <c r="IG14" s="17"/>
      <c r="IH14" s="17"/>
      <c r="II14" s="40" t="str">
        <f t="shared" si="73"/>
        <v/>
      </c>
      <c r="IJ14" s="40" t="str">
        <f t="shared" si="74"/>
        <v/>
      </c>
      <c r="IK14" s="40" t="str">
        <f t="shared" si="75"/>
        <v/>
      </c>
      <c r="IL14" s="40" t="str">
        <f t="shared" si="76"/>
        <v/>
      </c>
      <c r="IM14" s="40" t="str">
        <f t="shared" si="77"/>
        <v/>
      </c>
      <c r="IN14" s="40" t="str">
        <f t="shared" si="78"/>
        <v/>
      </c>
      <c r="IO14" s="40" t="str">
        <f t="shared" si="79"/>
        <v/>
      </c>
      <c r="IP14" s="40" t="str">
        <f t="shared" si="80"/>
        <v/>
      </c>
      <c r="IQ14" s="18"/>
      <c r="IR14" s="18"/>
      <c r="IS14" s="18"/>
      <c r="IT14" s="18"/>
      <c r="IU14" s="18"/>
      <c r="IV14" s="18"/>
      <c r="IW14" s="18"/>
      <c r="IX14" s="18"/>
      <c r="IY14" s="18"/>
      <c r="IZ14" s="18"/>
      <c r="JA14" s="18"/>
      <c r="JB14" s="18"/>
      <c r="JC14" s="18"/>
      <c r="JD14" s="18"/>
      <c r="JE14" s="18"/>
      <c r="JF14" s="18"/>
      <c r="JG14" s="18"/>
      <c r="JH14" s="18"/>
      <c r="JI14" s="18"/>
      <c r="JJ14" s="18"/>
      <c r="JK14" s="11" t="str">
        <f t="shared" si="81"/>
        <v/>
      </c>
      <c r="JL14" s="11" t="str">
        <f t="shared" si="82"/>
        <v/>
      </c>
      <c r="JM14" s="11" t="str">
        <f t="shared" si="83"/>
        <v/>
      </c>
      <c r="JN14" s="11" t="str">
        <f t="shared" si="84"/>
        <v/>
      </c>
      <c r="JO14" s="11" t="str">
        <f t="shared" si="85"/>
        <v/>
      </c>
      <c r="JP14" s="11" t="str">
        <f t="shared" si="86"/>
        <v/>
      </c>
      <c r="JQ14" s="11" t="str">
        <f t="shared" si="87"/>
        <v/>
      </c>
      <c r="JR14" s="11" t="str">
        <f t="shared" si="88"/>
        <v/>
      </c>
      <c r="JS14" s="17"/>
      <c r="JT14" s="17"/>
      <c r="JU14" s="17"/>
      <c r="JV14" s="17"/>
      <c r="JW14" s="17"/>
      <c r="JX14" s="17"/>
      <c r="JY14" s="17"/>
      <c r="JZ14" s="17"/>
      <c r="KA14" s="17"/>
      <c r="KB14" s="17"/>
      <c r="KC14" s="17"/>
      <c r="KD14" s="17"/>
      <c r="KE14" s="17"/>
      <c r="KF14" s="17"/>
      <c r="KG14" s="17"/>
      <c r="KH14" s="17"/>
      <c r="KI14" s="17"/>
      <c r="KJ14" s="17"/>
      <c r="KK14" s="17"/>
      <c r="KL14" s="17"/>
      <c r="KM14" s="40" t="str">
        <f t="shared" si="89"/>
        <v/>
      </c>
      <c r="KN14" s="40" t="str">
        <f t="shared" si="90"/>
        <v/>
      </c>
      <c r="KO14" s="40" t="str">
        <f t="shared" si="91"/>
        <v/>
      </c>
      <c r="KP14" s="40" t="str">
        <f t="shared" si="92"/>
        <v/>
      </c>
      <c r="KQ14" s="40" t="str">
        <f t="shared" si="93"/>
        <v/>
      </c>
      <c r="KR14" s="40" t="str">
        <f t="shared" si="94"/>
        <v/>
      </c>
      <c r="KS14" s="40" t="str">
        <f t="shared" si="95"/>
        <v/>
      </c>
      <c r="KT14" s="40" t="str">
        <f t="shared" si="96"/>
        <v/>
      </c>
      <c r="KU14" s="18"/>
      <c r="KV14" s="18"/>
      <c r="KW14" s="18"/>
      <c r="KX14" s="18"/>
      <c r="KY14" s="18"/>
      <c r="KZ14" s="18"/>
      <c r="LA14" s="18"/>
      <c r="LB14" s="18"/>
      <c r="LC14" s="18"/>
      <c r="LD14" s="18"/>
      <c r="LE14" s="18"/>
      <c r="LF14" s="18"/>
      <c r="LG14" s="18"/>
      <c r="LH14" s="18"/>
      <c r="LI14" s="18"/>
      <c r="LJ14" s="18"/>
      <c r="LK14" s="18"/>
      <c r="LL14" s="18"/>
      <c r="LM14" s="18"/>
      <c r="LN14" s="18"/>
      <c r="LO14" s="11" t="str">
        <f t="shared" si="97"/>
        <v/>
      </c>
      <c r="LP14" s="11" t="str">
        <f t="shared" si="98"/>
        <v/>
      </c>
      <c r="LQ14" s="11" t="str">
        <f t="shared" si="99"/>
        <v/>
      </c>
      <c r="LR14" s="11" t="str">
        <f t="shared" si="100"/>
        <v/>
      </c>
      <c r="LS14" s="11" t="str">
        <f t="shared" si="101"/>
        <v/>
      </c>
      <c r="LT14" s="11" t="str">
        <f t="shared" si="102"/>
        <v/>
      </c>
      <c r="LU14" s="11" t="str">
        <f t="shared" si="103"/>
        <v/>
      </c>
      <c r="LV14" s="11" t="str">
        <f t="shared" si="104"/>
        <v/>
      </c>
      <c r="LW14" s="17"/>
      <c r="LX14" s="17"/>
      <c r="LY14" s="17"/>
      <c r="LZ14" s="17"/>
      <c r="MA14" s="17"/>
      <c r="MB14" s="17"/>
      <c r="MC14" s="17"/>
      <c r="MD14" s="17"/>
      <c r="ME14" s="17"/>
      <c r="MF14" s="17"/>
      <c r="MG14" s="17"/>
      <c r="MH14" s="17"/>
      <c r="MI14" s="17"/>
      <c r="MJ14" s="17"/>
      <c r="MK14" s="17"/>
      <c r="ML14" s="17"/>
      <c r="MM14" s="17"/>
      <c r="MN14" s="17"/>
      <c r="MO14" s="17"/>
      <c r="MP14" s="17"/>
      <c r="MQ14" s="40" t="str">
        <f t="shared" si="105"/>
        <v/>
      </c>
      <c r="MR14" s="40" t="str">
        <f t="shared" si="106"/>
        <v/>
      </c>
      <c r="MS14" s="40" t="str">
        <f t="shared" si="107"/>
        <v/>
      </c>
      <c r="MT14" s="40" t="str">
        <f t="shared" si="108"/>
        <v/>
      </c>
      <c r="MU14" s="40" t="str">
        <f t="shared" si="109"/>
        <v/>
      </c>
      <c r="MV14" s="40" t="str">
        <f t="shared" si="110"/>
        <v/>
      </c>
      <c r="MW14" s="40" t="str">
        <f t="shared" si="111"/>
        <v/>
      </c>
      <c r="MX14" s="40" t="str">
        <f t="shared" si="112"/>
        <v/>
      </c>
      <c r="MY14" s="18"/>
      <c r="MZ14" s="18"/>
      <c r="NA14" s="18"/>
      <c r="NB14" s="18"/>
      <c r="NC14" s="18"/>
      <c r="ND14" s="18"/>
      <c r="NE14" s="18"/>
      <c r="NF14" s="18"/>
      <c r="NG14" s="18"/>
      <c r="NH14" s="18"/>
      <c r="NI14" s="18"/>
      <c r="NJ14" s="18"/>
      <c r="NK14" s="18"/>
      <c r="NL14" s="18"/>
      <c r="NM14" s="18"/>
      <c r="NN14" s="18"/>
      <c r="NO14" s="18"/>
      <c r="NP14" s="18"/>
      <c r="NQ14" s="18"/>
      <c r="NR14" s="18"/>
      <c r="NS14" s="11" t="str">
        <f t="shared" si="113"/>
        <v/>
      </c>
      <c r="NT14" s="11" t="str">
        <f t="shared" si="114"/>
        <v/>
      </c>
      <c r="NU14" s="11" t="str">
        <f t="shared" si="115"/>
        <v/>
      </c>
      <c r="NV14" s="11" t="str">
        <f t="shared" si="116"/>
        <v/>
      </c>
      <c r="NW14" s="11" t="str">
        <f t="shared" si="117"/>
        <v/>
      </c>
      <c r="NX14" s="11" t="str">
        <f t="shared" si="118"/>
        <v/>
      </c>
      <c r="NY14" s="11" t="str">
        <f t="shared" si="119"/>
        <v/>
      </c>
      <c r="NZ14" s="11" t="str">
        <f t="shared" si="120"/>
        <v/>
      </c>
      <c r="OA14" s="17"/>
      <c r="OB14" s="17"/>
      <c r="OC14" s="17"/>
      <c r="OD14" s="17"/>
      <c r="OE14" s="17"/>
      <c r="OF14" s="17"/>
      <c r="OG14" s="17"/>
      <c r="OH14" s="17"/>
      <c r="OI14" s="17"/>
      <c r="OJ14" s="17"/>
      <c r="OK14" s="17"/>
      <c r="OL14" s="17"/>
      <c r="OM14" s="17"/>
      <c r="ON14" s="17"/>
      <c r="OO14" s="17"/>
      <c r="OP14" s="17"/>
      <c r="OQ14" s="17"/>
      <c r="OR14" s="17"/>
      <c r="OS14" s="17"/>
      <c r="OT14" s="17"/>
      <c r="OU14" s="40" t="str">
        <f t="shared" si="121"/>
        <v/>
      </c>
      <c r="OV14" s="40" t="str">
        <f t="shared" si="122"/>
        <v/>
      </c>
      <c r="OW14" s="40" t="str">
        <f t="shared" si="123"/>
        <v/>
      </c>
      <c r="OX14" s="40" t="str">
        <f t="shared" si="124"/>
        <v/>
      </c>
      <c r="OY14" s="40" t="str">
        <f t="shared" si="125"/>
        <v/>
      </c>
      <c r="OZ14" s="40" t="str">
        <f t="shared" si="126"/>
        <v/>
      </c>
      <c r="PA14" s="40" t="str">
        <f t="shared" si="127"/>
        <v/>
      </c>
      <c r="PB14" s="40" t="str">
        <f t="shared" si="128"/>
        <v/>
      </c>
      <c r="PC14" s="18"/>
      <c r="PD14" s="18"/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8"/>
      <c r="PQ14" s="18"/>
      <c r="PR14" s="18"/>
      <c r="PS14" s="18"/>
      <c r="PT14" s="18"/>
      <c r="PU14" s="18"/>
      <c r="PV14" s="18"/>
      <c r="PW14" s="11" t="str">
        <f t="shared" si="129"/>
        <v/>
      </c>
      <c r="PX14" s="11" t="str">
        <f t="shared" si="130"/>
        <v/>
      </c>
      <c r="PY14" s="11" t="str">
        <f t="shared" si="131"/>
        <v/>
      </c>
      <c r="PZ14" s="11" t="str">
        <f t="shared" si="132"/>
        <v/>
      </c>
      <c r="QA14" s="11" t="str">
        <f t="shared" si="133"/>
        <v/>
      </c>
      <c r="QB14" s="11" t="str">
        <f t="shared" si="134"/>
        <v/>
      </c>
      <c r="QC14" s="11" t="str">
        <f t="shared" si="135"/>
        <v/>
      </c>
      <c r="QD14" s="11" t="str">
        <f t="shared" si="136"/>
        <v/>
      </c>
      <c r="QE14" s="22">
        <f t="shared" si="137"/>
        <v>7.55</v>
      </c>
      <c r="QF14" s="22">
        <f t="shared" si="138"/>
        <v>1.25</v>
      </c>
      <c r="QG14" s="22">
        <f t="shared" si="139"/>
        <v>1.35</v>
      </c>
      <c r="QH14" s="22">
        <f t="shared" si="140"/>
        <v>0.15</v>
      </c>
      <c r="QI14" s="22">
        <f t="shared" si="141"/>
        <v>7.05</v>
      </c>
      <c r="QJ14" s="22">
        <f t="shared" si="142"/>
        <v>1.45</v>
      </c>
      <c r="QK14" s="22">
        <f t="shared" si="143"/>
        <v>0.05</v>
      </c>
      <c r="QL14" s="22">
        <f t="shared" si="144"/>
        <v>0.15</v>
      </c>
      <c r="QM14" s="22">
        <f t="shared" si="145"/>
        <v>7.45</v>
      </c>
      <c r="QN14" s="22">
        <f t="shared" si="146"/>
        <v>1.45</v>
      </c>
      <c r="QO14" s="22">
        <f t="shared" si="147"/>
        <v>0.15</v>
      </c>
      <c r="QP14" s="22">
        <f t="shared" si="148"/>
        <v>0.15</v>
      </c>
      <c r="QQ14" s="22">
        <f t="shared" si="149"/>
        <v>7.8</v>
      </c>
      <c r="QR14" s="22">
        <f t="shared" si="150"/>
        <v>2.15</v>
      </c>
      <c r="QS14" s="22">
        <f t="shared" si="151"/>
        <v>0.1</v>
      </c>
      <c r="QT14" s="22">
        <f t="shared" si="152"/>
        <v>0.15</v>
      </c>
      <c r="QU14" s="22">
        <f t="shared" si="153"/>
        <v>7.75</v>
      </c>
      <c r="QV14" s="22">
        <f t="shared" si="154"/>
        <v>1.9</v>
      </c>
      <c r="QW14" s="22">
        <f t="shared" si="155"/>
        <v>0.1</v>
      </c>
      <c r="QX14" s="22">
        <f t="shared" si="156"/>
        <v>0.15</v>
      </c>
      <c r="QY14" s="27" t="s">
        <v>46</v>
      </c>
      <c r="QZ14" s="40">
        <f t="shared" si="157"/>
        <v>2.7</v>
      </c>
      <c r="RA14" s="40">
        <f t="shared" si="158"/>
        <v>16.199999999999996</v>
      </c>
      <c r="RB14" s="40">
        <f t="shared" si="159"/>
        <v>8.9</v>
      </c>
      <c r="RC14" s="40">
        <f t="shared" si="160"/>
        <v>4.1500000000000004</v>
      </c>
      <c r="RD14" s="40">
        <f t="shared" si="161"/>
        <v>25.099999999999994</v>
      </c>
      <c r="RE14" s="40">
        <f t="shared" si="162"/>
        <v>4.05</v>
      </c>
      <c r="RF14" s="40">
        <f t="shared" si="163"/>
        <v>19.7</v>
      </c>
      <c r="RG14" s="40">
        <f t="shared" si="164"/>
        <v>35.899999999999991</v>
      </c>
    </row>
    <row r="15" spans="1:475" x14ac:dyDescent="0.2">
      <c r="A15" s="4" t="str">
        <f t="shared" si="0"/>
        <v/>
      </c>
      <c r="B15" s="5" t="s">
        <v>172</v>
      </c>
      <c r="C15" s="4" t="s">
        <v>3</v>
      </c>
      <c r="D15" s="4">
        <v>2004</v>
      </c>
      <c r="E15" s="9">
        <f t="shared" si="1"/>
        <v>127.70000843000432</v>
      </c>
      <c r="F15" s="3" t="str">
        <f t="shared" si="2"/>
        <v/>
      </c>
      <c r="G15" s="3" t="str">
        <f t="shared" si="3"/>
        <v/>
      </c>
      <c r="H15" s="36" t="str">
        <f t="shared" si="4"/>
        <v/>
      </c>
      <c r="I15" s="3" t="str">
        <f t="shared" si="5"/>
        <v/>
      </c>
      <c r="J15" s="8">
        <f>IF(COUNT(AQ15,BT15,CW15)&gt;0,LARGE((AQ15,BT15,CW15),1),0)</f>
        <v>43</v>
      </c>
      <c r="K15" s="8" t="str">
        <f t="shared" si="6"/>
        <v>2022 Nationals</v>
      </c>
      <c r="L15" s="8">
        <f>IF(COUNT(AQ15,BT15,CW15)&gt;1,LARGE((AQ15,BT15,CW15),2),0)</f>
        <v>41.300000000000004</v>
      </c>
      <c r="M15" s="8" t="str">
        <f t="shared" si="7"/>
        <v>2022 3rd Domestic Trial</v>
      </c>
      <c r="N15" s="8">
        <f>IF(COUNT(AR15,BU15,CX15)&gt;0,LARGE((AR15,BU15,CX15),1),0)</f>
        <v>0</v>
      </c>
      <c r="O15" s="8" t="str">
        <f t="shared" si="8"/>
        <v/>
      </c>
      <c r="P15" s="8">
        <f t="shared" si="9"/>
        <v>43.400000000000006</v>
      </c>
      <c r="Q15" s="8" t="str">
        <f t="shared" si="10"/>
        <v>2022 3rd Domestic Trial</v>
      </c>
      <c r="R15" s="8" t="str">
        <f t="shared" si="11"/>
        <v/>
      </c>
      <c r="S15" s="11" t="str">
        <f t="shared" si="12"/>
        <v/>
      </c>
      <c r="T15" s="8" t="str">
        <f t="shared" si="13"/>
        <v/>
      </c>
      <c r="U15" s="19">
        <v>16.5</v>
      </c>
      <c r="V15" s="19">
        <v>4.5999999999999996</v>
      </c>
      <c r="W15" s="19">
        <v>0.2</v>
      </c>
      <c r="X15" s="19">
        <v>0.6</v>
      </c>
      <c r="Y15" s="19">
        <v>16.5</v>
      </c>
      <c r="Z15" s="19">
        <v>4.8</v>
      </c>
      <c r="AA15" s="19">
        <v>0.4</v>
      </c>
      <c r="AB15" s="19">
        <v>0.6</v>
      </c>
      <c r="AC15" s="19"/>
      <c r="AD15" s="19"/>
      <c r="AE15" s="19"/>
      <c r="AF15" s="19"/>
      <c r="AG15" s="19">
        <v>15.9</v>
      </c>
      <c r="AH15" s="19">
        <v>5.2</v>
      </c>
      <c r="AI15" s="19">
        <v>0.2</v>
      </c>
      <c r="AJ15" s="19">
        <v>0.6</v>
      </c>
      <c r="AK15" s="19">
        <v>16.100000000000001</v>
      </c>
      <c r="AL15" s="19">
        <v>5</v>
      </c>
      <c r="AM15" s="19">
        <v>0</v>
      </c>
      <c r="AN15" s="19">
        <v>0.6</v>
      </c>
      <c r="AO15" s="27"/>
      <c r="AP15" s="40">
        <f t="shared" si="14"/>
        <v>9.3999999999999986</v>
      </c>
      <c r="AQ15" s="40">
        <f t="shared" si="15"/>
        <v>43</v>
      </c>
      <c r="AR15" s="40" t="str">
        <f t="shared" si="16"/>
        <v/>
      </c>
      <c r="AS15" s="40">
        <f t="shared" si="17"/>
        <v>9.3999999999999986</v>
      </c>
      <c r="AT15" s="40">
        <f t="shared" si="18"/>
        <v>43</v>
      </c>
      <c r="AU15" s="40">
        <f t="shared" si="19"/>
        <v>10.199999999999999</v>
      </c>
      <c r="AV15" s="40">
        <f t="shared" si="20"/>
        <v>43.2</v>
      </c>
      <c r="AW15" s="40">
        <f t="shared" si="21"/>
        <v>86.2</v>
      </c>
      <c r="AX15" s="18">
        <v>14.3</v>
      </c>
      <c r="AY15" s="18">
        <v>5.5</v>
      </c>
      <c r="AZ15" s="18">
        <v>0.2</v>
      </c>
      <c r="BA15" s="18">
        <v>0.6</v>
      </c>
      <c r="BB15" s="18">
        <v>15.7</v>
      </c>
      <c r="BC15" s="18">
        <v>5.2</v>
      </c>
      <c r="BD15" s="18">
        <v>0.4</v>
      </c>
      <c r="BE15" s="18">
        <v>0.6</v>
      </c>
      <c r="BF15" s="18"/>
      <c r="BG15" s="18"/>
      <c r="BH15" s="18"/>
      <c r="BI15" s="18"/>
      <c r="BJ15" s="18">
        <v>15.2</v>
      </c>
      <c r="BK15" s="18">
        <v>5.7</v>
      </c>
      <c r="BL15" s="18">
        <v>0.2</v>
      </c>
      <c r="BM15" s="18">
        <v>0.6</v>
      </c>
      <c r="BN15" s="18">
        <v>16.5</v>
      </c>
      <c r="BO15" s="18">
        <v>5.2</v>
      </c>
      <c r="BP15" s="18">
        <v>0.2</v>
      </c>
      <c r="BQ15" s="18">
        <v>0.6</v>
      </c>
      <c r="BR15" s="28"/>
      <c r="BS15" s="11">
        <f t="shared" si="22"/>
        <v>10.7</v>
      </c>
      <c r="BT15" s="11">
        <f t="shared" si="23"/>
        <v>41.300000000000004</v>
      </c>
      <c r="BU15" s="11" t="str">
        <f t="shared" si="24"/>
        <v/>
      </c>
      <c r="BV15" s="11">
        <f t="shared" si="25"/>
        <v>10.7</v>
      </c>
      <c r="BW15" s="11">
        <f t="shared" si="26"/>
        <v>41.300000000000004</v>
      </c>
      <c r="BX15" s="11">
        <f t="shared" si="27"/>
        <v>10.9</v>
      </c>
      <c r="BY15" s="11">
        <f t="shared" si="28"/>
        <v>43.400000000000006</v>
      </c>
      <c r="BZ15" s="11">
        <f t="shared" si="29"/>
        <v>84.700000000000017</v>
      </c>
      <c r="CA15" s="19"/>
      <c r="CB15" s="19"/>
      <c r="CC15" s="19"/>
      <c r="CD15" s="19"/>
      <c r="CE15" s="19"/>
      <c r="CF15" s="19"/>
      <c r="CG15" s="19"/>
      <c r="CH15" s="19"/>
      <c r="CI15" s="19"/>
      <c r="CJ15" s="19"/>
      <c r="CK15" s="19"/>
      <c r="CL15" s="19"/>
      <c r="CM15" s="19"/>
      <c r="CN15" s="19"/>
      <c r="CO15" s="19"/>
      <c r="CP15" s="19"/>
      <c r="CQ15" s="19"/>
      <c r="CR15" s="19"/>
      <c r="CS15" s="19"/>
      <c r="CT15" s="19"/>
      <c r="CU15" s="27"/>
      <c r="CV15" s="40" t="str">
        <f t="shared" si="30"/>
        <v/>
      </c>
      <c r="CW15" s="40" t="str">
        <f t="shared" si="31"/>
        <v/>
      </c>
      <c r="CX15" s="40" t="str">
        <f t="shared" si="32"/>
        <v/>
      </c>
      <c r="CY15" s="40" t="str">
        <f t="shared" si="33"/>
        <v/>
      </c>
      <c r="CZ15" s="40" t="str">
        <f t="shared" si="34"/>
        <v/>
      </c>
      <c r="DA15" s="40" t="str">
        <f t="shared" si="35"/>
        <v/>
      </c>
      <c r="DB15" s="40" t="str">
        <f t="shared" si="36"/>
        <v/>
      </c>
      <c r="DC15" s="40" t="str">
        <f t="shared" si="37"/>
        <v/>
      </c>
      <c r="DD15" s="50" t="str">
        <f t="shared" si="38"/>
        <v/>
      </c>
      <c r="DE15" s="50" t="str">
        <f t="shared" si="39"/>
        <v/>
      </c>
      <c r="DF15" s="50" t="str">
        <f t="shared" si="40"/>
        <v/>
      </c>
      <c r="DG15" s="17"/>
      <c r="DH15" s="17"/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17"/>
      <c r="DY15" s="17"/>
      <c r="DZ15" s="17"/>
      <c r="EA15" s="40" t="str">
        <f t="shared" si="41"/>
        <v/>
      </c>
      <c r="EB15" s="40" t="str">
        <f t="shared" si="42"/>
        <v/>
      </c>
      <c r="EC15" s="40" t="str">
        <f t="shared" si="43"/>
        <v/>
      </c>
      <c r="ED15" s="40" t="str">
        <f t="shared" si="44"/>
        <v/>
      </c>
      <c r="EE15" s="40" t="str">
        <f t="shared" si="45"/>
        <v/>
      </c>
      <c r="EF15" s="40" t="str">
        <f t="shared" si="46"/>
        <v/>
      </c>
      <c r="EG15" s="40" t="str">
        <f t="shared" si="47"/>
        <v/>
      </c>
      <c r="EH15" s="40" t="str">
        <f t="shared" si="48"/>
        <v/>
      </c>
      <c r="EI15" s="18"/>
      <c r="EJ15" s="18"/>
      <c r="EK15" s="18"/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8"/>
      <c r="EY15" s="18"/>
      <c r="EZ15" s="18"/>
      <c r="FA15" s="18"/>
      <c r="FB15" s="18"/>
      <c r="FC15" s="11" t="str">
        <f t="shared" si="49"/>
        <v/>
      </c>
      <c r="FD15" s="11" t="str">
        <f t="shared" si="50"/>
        <v/>
      </c>
      <c r="FE15" s="11" t="str">
        <f t="shared" si="51"/>
        <v/>
      </c>
      <c r="FF15" s="11" t="str">
        <f t="shared" si="52"/>
        <v/>
      </c>
      <c r="FG15" s="11" t="str">
        <f t="shared" si="53"/>
        <v/>
      </c>
      <c r="FH15" s="11" t="str">
        <f t="shared" si="54"/>
        <v/>
      </c>
      <c r="FI15" s="11" t="str">
        <f t="shared" si="55"/>
        <v/>
      </c>
      <c r="FJ15" s="11" t="str">
        <f t="shared" si="56"/>
        <v/>
      </c>
      <c r="FK15" s="17"/>
      <c r="FL15" s="17"/>
      <c r="FM15" s="17"/>
      <c r="FN15" s="17"/>
      <c r="FO15" s="17"/>
      <c r="FP15" s="17"/>
      <c r="FQ15" s="17"/>
      <c r="FR15" s="17"/>
      <c r="FS15" s="17"/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40" t="str">
        <f t="shared" si="57"/>
        <v/>
      </c>
      <c r="GF15" s="40" t="str">
        <f t="shared" si="58"/>
        <v/>
      </c>
      <c r="GG15" s="40" t="str">
        <f t="shared" si="59"/>
        <v/>
      </c>
      <c r="GH15" s="40" t="str">
        <f t="shared" si="60"/>
        <v/>
      </c>
      <c r="GI15" s="40" t="str">
        <f t="shared" si="61"/>
        <v/>
      </c>
      <c r="GJ15" s="40" t="str">
        <f t="shared" si="62"/>
        <v/>
      </c>
      <c r="GK15" s="40" t="str">
        <f t="shared" si="63"/>
        <v/>
      </c>
      <c r="GL15" s="40" t="str">
        <f t="shared" si="64"/>
        <v/>
      </c>
      <c r="GM15" s="18"/>
      <c r="GN15" s="18"/>
      <c r="GO15" s="18"/>
      <c r="GP15" s="18"/>
      <c r="GQ15" s="18"/>
      <c r="GR15" s="18"/>
      <c r="GS15" s="18"/>
      <c r="GT15" s="18"/>
      <c r="GU15" s="18"/>
      <c r="GV15" s="18"/>
      <c r="GW15" s="18"/>
      <c r="GX15" s="18"/>
      <c r="GY15" s="18"/>
      <c r="GZ15" s="18"/>
      <c r="HA15" s="18"/>
      <c r="HB15" s="18"/>
      <c r="HC15" s="18"/>
      <c r="HD15" s="18"/>
      <c r="HE15" s="18"/>
      <c r="HF15" s="18"/>
      <c r="HG15" s="11" t="str">
        <f t="shared" si="65"/>
        <v/>
      </c>
      <c r="HH15" s="11" t="str">
        <f t="shared" si="66"/>
        <v/>
      </c>
      <c r="HI15" s="11" t="str">
        <f t="shared" si="67"/>
        <v/>
      </c>
      <c r="HJ15" s="11" t="str">
        <f t="shared" si="68"/>
        <v/>
      </c>
      <c r="HK15" s="11" t="str">
        <f t="shared" si="69"/>
        <v/>
      </c>
      <c r="HL15" s="11" t="str">
        <f t="shared" si="70"/>
        <v/>
      </c>
      <c r="HM15" s="11" t="str">
        <f t="shared" si="71"/>
        <v/>
      </c>
      <c r="HN15" s="11" t="str">
        <f t="shared" si="72"/>
        <v/>
      </c>
      <c r="HO15" s="17"/>
      <c r="HP15" s="17"/>
      <c r="HQ15" s="17"/>
      <c r="HR15" s="17"/>
      <c r="HS15" s="17"/>
      <c r="HT15" s="17"/>
      <c r="HU15" s="17"/>
      <c r="HV15" s="17"/>
      <c r="HW15" s="17"/>
      <c r="HX15" s="17"/>
      <c r="HY15" s="17"/>
      <c r="HZ15" s="17"/>
      <c r="IA15" s="17"/>
      <c r="IB15" s="17"/>
      <c r="IC15" s="17"/>
      <c r="ID15" s="17"/>
      <c r="IE15" s="17"/>
      <c r="IF15" s="17"/>
      <c r="IG15" s="17"/>
      <c r="IH15" s="17"/>
      <c r="II15" s="40" t="str">
        <f t="shared" si="73"/>
        <v/>
      </c>
      <c r="IJ15" s="40" t="str">
        <f t="shared" si="74"/>
        <v/>
      </c>
      <c r="IK15" s="40" t="str">
        <f t="shared" si="75"/>
        <v/>
      </c>
      <c r="IL15" s="40" t="str">
        <f t="shared" si="76"/>
        <v/>
      </c>
      <c r="IM15" s="40" t="str">
        <f t="shared" si="77"/>
        <v/>
      </c>
      <c r="IN15" s="40" t="str">
        <f t="shared" si="78"/>
        <v/>
      </c>
      <c r="IO15" s="40" t="str">
        <f t="shared" si="79"/>
        <v/>
      </c>
      <c r="IP15" s="40" t="str">
        <f t="shared" si="80"/>
        <v/>
      </c>
      <c r="IQ15" s="18"/>
      <c r="IR15" s="18"/>
      <c r="IS15" s="18"/>
      <c r="IT15" s="18"/>
      <c r="IU15" s="18"/>
      <c r="IV15" s="18"/>
      <c r="IW15" s="18"/>
      <c r="IX15" s="18"/>
      <c r="IY15" s="18"/>
      <c r="IZ15" s="18"/>
      <c r="JA15" s="18"/>
      <c r="JB15" s="18"/>
      <c r="JC15" s="18"/>
      <c r="JD15" s="18"/>
      <c r="JE15" s="18"/>
      <c r="JF15" s="18"/>
      <c r="JG15" s="18"/>
      <c r="JH15" s="18"/>
      <c r="JI15" s="18"/>
      <c r="JJ15" s="18"/>
      <c r="JK15" s="11" t="str">
        <f t="shared" si="81"/>
        <v/>
      </c>
      <c r="JL15" s="11" t="str">
        <f t="shared" si="82"/>
        <v/>
      </c>
      <c r="JM15" s="11" t="str">
        <f t="shared" si="83"/>
        <v/>
      </c>
      <c r="JN15" s="11" t="str">
        <f t="shared" si="84"/>
        <v/>
      </c>
      <c r="JO15" s="11" t="str">
        <f t="shared" si="85"/>
        <v/>
      </c>
      <c r="JP15" s="11" t="str">
        <f t="shared" si="86"/>
        <v/>
      </c>
      <c r="JQ15" s="11" t="str">
        <f t="shared" si="87"/>
        <v/>
      </c>
      <c r="JR15" s="11" t="str">
        <f t="shared" si="88"/>
        <v/>
      </c>
      <c r="JS15" s="17"/>
      <c r="JT15" s="17"/>
      <c r="JU15" s="17"/>
      <c r="JV15" s="17"/>
      <c r="JW15" s="17"/>
      <c r="JX15" s="17"/>
      <c r="JY15" s="17"/>
      <c r="JZ15" s="17"/>
      <c r="KA15" s="17"/>
      <c r="KB15" s="17"/>
      <c r="KC15" s="17"/>
      <c r="KD15" s="17"/>
      <c r="KE15" s="17"/>
      <c r="KF15" s="17"/>
      <c r="KG15" s="17"/>
      <c r="KH15" s="17"/>
      <c r="KI15" s="17"/>
      <c r="KJ15" s="17"/>
      <c r="KK15" s="17"/>
      <c r="KL15" s="17"/>
      <c r="KM15" s="40" t="str">
        <f t="shared" si="89"/>
        <v/>
      </c>
      <c r="KN15" s="40" t="str">
        <f t="shared" si="90"/>
        <v/>
      </c>
      <c r="KO15" s="40" t="str">
        <f t="shared" si="91"/>
        <v/>
      </c>
      <c r="KP15" s="40" t="str">
        <f t="shared" si="92"/>
        <v/>
      </c>
      <c r="KQ15" s="40" t="str">
        <f t="shared" si="93"/>
        <v/>
      </c>
      <c r="KR15" s="40" t="str">
        <f t="shared" si="94"/>
        <v/>
      </c>
      <c r="KS15" s="40" t="str">
        <f t="shared" si="95"/>
        <v/>
      </c>
      <c r="KT15" s="40" t="str">
        <f t="shared" si="96"/>
        <v/>
      </c>
      <c r="KU15" s="18"/>
      <c r="KV15" s="18"/>
      <c r="KW15" s="18"/>
      <c r="KX15" s="18"/>
      <c r="KY15" s="18"/>
      <c r="KZ15" s="18"/>
      <c r="LA15" s="18"/>
      <c r="LB15" s="18"/>
      <c r="LC15" s="18"/>
      <c r="LD15" s="18"/>
      <c r="LE15" s="18"/>
      <c r="LF15" s="18"/>
      <c r="LG15" s="18"/>
      <c r="LH15" s="18"/>
      <c r="LI15" s="18"/>
      <c r="LJ15" s="18"/>
      <c r="LK15" s="18"/>
      <c r="LL15" s="18"/>
      <c r="LM15" s="18"/>
      <c r="LN15" s="18"/>
      <c r="LO15" s="11" t="str">
        <f t="shared" si="97"/>
        <v/>
      </c>
      <c r="LP15" s="11" t="str">
        <f t="shared" si="98"/>
        <v/>
      </c>
      <c r="LQ15" s="11" t="str">
        <f t="shared" si="99"/>
        <v/>
      </c>
      <c r="LR15" s="11" t="str">
        <f t="shared" si="100"/>
        <v/>
      </c>
      <c r="LS15" s="11" t="str">
        <f t="shared" si="101"/>
        <v/>
      </c>
      <c r="LT15" s="11" t="str">
        <f t="shared" si="102"/>
        <v/>
      </c>
      <c r="LU15" s="11" t="str">
        <f t="shared" si="103"/>
        <v/>
      </c>
      <c r="LV15" s="11" t="str">
        <f t="shared" si="104"/>
        <v/>
      </c>
      <c r="LW15" s="17"/>
      <c r="LX15" s="17"/>
      <c r="LY15" s="17"/>
      <c r="LZ15" s="17"/>
      <c r="MA15" s="17"/>
      <c r="MB15" s="17"/>
      <c r="MC15" s="17"/>
      <c r="MD15" s="17"/>
      <c r="ME15" s="17"/>
      <c r="MF15" s="17"/>
      <c r="MG15" s="17"/>
      <c r="MH15" s="17"/>
      <c r="MI15" s="17"/>
      <c r="MJ15" s="17"/>
      <c r="MK15" s="17"/>
      <c r="ML15" s="17"/>
      <c r="MM15" s="17"/>
      <c r="MN15" s="17"/>
      <c r="MO15" s="17"/>
      <c r="MP15" s="17"/>
      <c r="MQ15" s="40" t="str">
        <f t="shared" si="105"/>
        <v/>
      </c>
      <c r="MR15" s="40" t="str">
        <f t="shared" si="106"/>
        <v/>
      </c>
      <c r="MS15" s="40" t="str">
        <f t="shared" si="107"/>
        <v/>
      </c>
      <c r="MT15" s="40" t="str">
        <f t="shared" si="108"/>
        <v/>
      </c>
      <c r="MU15" s="40" t="str">
        <f t="shared" si="109"/>
        <v/>
      </c>
      <c r="MV15" s="40" t="str">
        <f t="shared" si="110"/>
        <v/>
      </c>
      <c r="MW15" s="40" t="str">
        <f t="shared" si="111"/>
        <v/>
      </c>
      <c r="MX15" s="40" t="str">
        <f t="shared" si="112"/>
        <v/>
      </c>
      <c r="MY15" s="18"/>
      <c r="MZ15" s="18"/>
      <c r="NA15" s="18"/>
      <c r="NB15" s="18"/>
      <c r="NC15" s="18"/>
      <c r="ND15" s="18"/>
      <c r="NE15" s="18"/>
      <c r="NF15" s="18"/>
      <c r="NG15" s="18"/>
      <c r="NH15" s="18"/>
      <c r="NI15" s="18"/>
      <c r="NJ15" s="18"/>
      <c r="NK15" s="18"/>
      <c r="NL15" s="18"/>
      <c r="NM15" s="18"/>
      <c r="NN15" s="18"/>
      <c r="NO15" s="18"/>
      <c r="NP15" s="18"/>
      <c r="NQ15" s="18"/>
      <c r="NR15" s="18"/>
      <c r="NS15" s="11" t="str">
        <f t="shared" si="113"/>
        <v/>
      </c>
      <c r="NT15" s="11" t="str">
        <f t="shared" si="114"/>
        <v/>
      </c>
      <c r="NU15" s="11" t="str">
        <f t="shared" si="115"/>
        <v/>
      </c>
      <c r="NV15" s="11" t="str">
        <f t="shared" si="116"/>
        <v/>
      </c>
      <c r="NW15" s="11" t="str">
        <f t="shared" si="117"/>
        <v/>
      </c>
      <c r="NX15" s="11" t="str">
        <f t="shared" si="118"/>
        <v/>
      </c>
      <c r="NY15" s="11" t="str">
        <f t="shared" si="119"/>
        <v/>
      </c>
      <c r="NZ15" s="11" t="str">
        <f t="shared" si="120"/>
        <v/>
      </c>
      <c r="OA15" s="17"/>
      <c r="OB15" s="17"/>
      <c r="OC15" s="17"/>
      <c r="OD15" s="17"/>
      <c r="OE15" s="17"/>
      <c r="OF15" s="17"/>
      <c r="OG15" s="17"/>
      <c r="OH15" s="17"/>
      <c r="OI15" s="17"/>
      <c r="OJ15" s="17"/>
      <c r="OK15" s="17"/>
      <c r="OL15" s="17"/>
      <c r="OM15" s="17"/>
      <c r="ON15" s="17"/>
      <c r="OO15" s="17"/>
      <c r="OP15" s="17"/>
      <c r="OQ15" s="17"/>
      <c r="OR15" s="17"/>
      <c r="OS15" s="17"/>
      <c r="OT15" s="17"/>
      <c r="OU15" s="40" t="str">
        <f t="shared" si="121"/>
        <v/>
      </c>
      <c r="OV15" s="40" t="str">
        <f t="shared" si="122"/>
        <v/>
      </c>
      <c r="OW15" s="40" t="str">
        <f t="shared" si="123"/>
        <v/>
      </c>
      <c r="OX15" s="40" t="str">
        <f t="shared" si="124"/>
        <v/>
      </c>
      <c r="OY15" s="40" t="str">
        <f t="shared" si="125"/>
        <v/>
      </c>
      <c r="OZ15" s="40" t="str">
        <f t="shared" si="126"/>
        <v/>
      </c>
      <c r="PA15" s="40" t="str">
        <f t="shared" si="127"/>
        <v/>
      </c>
      <c r="PB15" s="40" t="str">
        <f t="shared" si="128"/>
        <v/>
      </c>
      <c r="PC15" s="18"/>
      <c r="PD15" s="18"/>
      <c r="PE15" s="18"/>
      <c r="PF15" s="18"/>
      <c r="PG15" s="18"/>
      <c r="PH15" s="18"/>
      <c r="PI15" s="18"/>
      <c r="PJ15" s="18"/>
      <c r="PK15" s="18"/>
      <c r="PL15" s="18"/>
      <c r="PM15" s="18"/>
      <c r="PN15" s="18"/>
      <c r="PO15" s="18"/>
      <c r="PP15" s="18"/>
      <c r="PQ15" s="18"/>
      <c r="PR15" s="18"/>
      <c r="PS15" s="18"/>
      <c r="PT15" s="18"/>
      <c r="PU15" s="18"/>
      <c r="PV15" s="18"/>
      <c r="PW15" s="11" t="str">
        <f t="shared" si="129"/>
        <v/>
      </c>
      <c r="PX15" s="11" t="str">
        <f t="shared" si="130"/>
        <v/>
      </c>
      <c r="PY15" s="11" t="str">
        <f t="shared" si="131"/>
        <v/>
      </c>
      <c r="PZ15" s="11" t="str">
        <f t="shared" si="132"/>
        <v/>
      </c>
      <c r="QA15" s="11" t="str">
        <f t="shared" si="133"/>
        <v/>
      </c>
      <c r="QB15" s="11" t="str">
        <f t="shared" si="134"/>
        <v/>
      </c>
      <c r="QC15" s="11" t="str">
        <f t="shared" si="135"/>
        <v/>
      </c>
      <c r="QD15" s="11" t="str">
        <f t="shared" si="136"/>
        <v/>
      </c>
      <c r="QE15" s="22">
        <f t="shared" si="137"/>
        <v>7.15</v>
      </c>
      <c r="QF15" s="22">
        <f t="shared" si="138"/>
        <v>2.75</v>
      </c>
      <c r="QG15" s="22">
        <f t="shared" si="139"/>
        <v>0.1</v>
      </c>
      <c r="QH15" s="22">
        <f t="shared" si="140"/>
        <v>0.3</v>
      </c>
      <c r="QI15" s="22">
        <f t="shared" si="141"/>
        <v>7.85</v>
      </c>
      <c r="QJ15" s="22">
        <f t="shared" si="142"/>
        <v>2.6</v>
      </c>
      <c r="QK15" s="22">
        <f t="shared" si="143"/>
        <v>0.2</v>
      </c>
      <c r="QL15" s="22">
        <f t="shared" si="144"/>
        <v>0.3</v>
      </c>
      <c r="QM15" s="22">
        <f t="shared" si="145"/>
        <v>0</v>
      </c>
      <c r="QN15" s="22">
        <f t="shared" si="146"/>
        <v>0</v>
      </c>
      <c r="QO15" s="22">
        <f t="shared" si="147"/>
        <v>0</v>
      </c>
      <c r="QP15" s="22">
        <f t="shared" si="148"/>
        <v>0</v>
      </c>
      <c r="QQ15" s="22">
        <f t="shared" si="149"/>
        <v>7.6</v>
      </c>
      <c r="QR15" s="22">
        <f t="shared" si="150"/>
        <v>2.85</v>
      </c>
      <c r="QS15" s="22">
        <f t="shared" si="151"/>
        <v>0.1</v>
      </c>
      <c r="QT15" s="22">
        <f t="shared" si="152"/>
        <v>0.3</v>
      </c>
      <c r="QU15" s="22">
        <f t="shared" si="153"/>
        <v>8.25</v>
      </c>
      <c r="QV15" s="22">
        <f t="shared" si="154"/>
        <v>2.6</v>
      </c>
      <c r="QW15" s="22">
        <f t="shared" si="155"/>
        <v>0.1</v>
      </c>
      <c r="QX15" s="22">
        <f t="shared" si="156"/>
        <v>0.3</v>
      </c>
      <c r="QY15" s="27" t="s">
        <v>46</v>
      </c>
      <c r="QZ15" s="40">
        <f t="shared" si="157"/>
        <v>5.35</v>
      </c>
      <c r="RA15" s="40">
        <f t="shared" si="158"/>
        <v>20.650000000000002</v>
      </c>
      <c r="RB15" s="40" t="str">
        <f t="shared" si="159"/>
        <v/>
      </c>
      <c r="RC15" s="40">
        <f t="shared" si="160"/>
        <v>5.35</v>
      </c>
      <c r="RD15" s="40">
        <f t="shared" si="161"/>
        <v>20.650000000000002</v>
      </c>
      <c r="RE15" s="40">
        <f t="shared" si="162"/>
        <v>5.45</v>
      </c>
      <c r="RF15" s="40">
        <f t="shared" si="163"/>
        <v>21.700000000000003</v>
      </c>
      <c r="RG15" s="40">
        <f t="shared" si="164"/>
        <v>42.350000000000009</v>
      </c>
    </row>
    <row r="16" spans="1:475" x14ac:dyDescent="0.2">
      <c r="A16" s="4" t="str" cm="1">
        <f t="array" ref="A16">IF(AND(F16="P",G16="P"),SUMPRODUCT((F$4:F$18="P")*(G$4:G$18="P")*(E$4:E$18&gt;E16))+1,IF(G16="P",SUMPRODUCT((F$4:F$18="")*(G$4:G$18="P")*(E$4:E$18&gt;E16))+1+SUMPRODUCT((F$4:F$18="P")*(G$4:G$18="P")),""))</f>
        <v/>
      </c>
      <c r="B16" s="5" t="s">
        <v>123</v>
      </c>
      <c r="C16" s="4" t="s">
        <v>4</v>
      </c>
      <c r="D16" s="4">
        <v>2003</v>
      </c>
      <c r="E16" s="9">
        <f t="shared" si="1"/>
        <v>122.30000797000434</v>
      </c>
      <c r="F16" s="3" t="str">
        <f t="shared" si="2"/>
        <v/>
      </c>
      <c r="G16" s="3" t="str">
        <f t="shared" si="3"/>
        <v/>
      </c>
      <c r="H16" s="36" t="str">
        <f t="shared" si="4"/>
        <v/>
      </c>
      <c r="I16" s="3" t="str">
        <f t="shared" si="5"/>
        <v/>
      </c>
      <c r="J16" s="8">
        <f>IF(COUNT(AQ16,BT16,CW16)&gt;0,LARGE((AQ16,BT16,CW16),1),0)</f>
        <v>43.5</v>
      </c>
      <c r="K16" s="8" t="str">
        <f t="shared" si="6"/>
        <v>2022 Nationals</v>
      </c>
      <c r="L16" s="8">
        <f>IF(COUNT(AQ16,BT16,CW16)&gt;1,LARGE((AQ16,BT16,CW16),2),0)</f>
        <v>36.199999999999996</v>
      </c>
      <c r="M16" s="8" t="str">
        <f t="shared" si="7"/>
        <v>2022 3rd Domestic Trial</v>
      </c>
      <c r="N16" s="8">
        <f>IF(COUNT(AR16,BU16,CX16)&gt;0,LARGE((AR16,BU16,CX16),1),0)</f>
        <v>0</v>
      </c>
      <c r="O16" s="8" t="str">
        <f t="shared" si="8"/>
        <v/>
      </c>
      <c r="P16" s="8">
        <f t="shared" si="9"/>
        <v>42.600000000000009</v>
      </c>
      <c r="Q16" s="8" t="str">
        <f t="shared" si="10"/>
        <v>2022 Nationals</v>
      </c>
      <c r="R16" s="8" t="str">
        <f t="shared" si="11"/>
        <v/>
      </c>
      <c r="S16" s="11" t="str">
        <f t="shared" si="12"/>
        <v/>
      </c>
      <c r="T16" s="8" t="str">
        <f t="shared" si="13"/>
        <v/>
      </c>
      <c r="U16" s="19">
        <v>16.399999999999999</v>
      </c>
      <c r="V16" s="19">
        <v>5.5</v>
      </c>
      <c r="W16" s="19">
        <v>0.2</v>
      </c>
      <c r="X16" s="19">
        <v>0</v>
      </c>
      <c r="Y16" s="19">
        <v>16.3</v>
      </c>
      <c r="Z16" s="19">
        <v>5.5</v>
      </c>
      <c r="AA16" s="19">
        <v>0</v>
      </c>
      <c r="AB16" s="19">
        <v>0</v>
      </c>
      <c r="AC16" s="19"/>
      <c r="AD16" s="19"/>
      <c r="AE16" s="19"/>
      <c r="AF16" s="19"/>
      <c r="AG16" s="19">
        <v>17</v>
      </c>
      <c r="AH16" s="19">
        <v>5.3</v>
      </c>
      <c r="AI16" s="19">
        <v>0</v>
      </c>
      <c r="AJ16" s="19">
        <v>0</v>
      </c>
      <c r="AK16" s="19">
        <v>16.100000000000001</v>
      </c>
      <c r="AL16" s="19">
        <v>4.7</v>
      </c>
      <c r="AM16" s="19">
        <v>0.5</v>
      </c>
      <c r="AN16" s="19">
        <v>0</v>
      </c>
      <c r="AO16" s="27"/>
      <c r="AP16" s="40">
        <f t="shared" si="14"/>
        <v>11</v>
      </c>
      <c r="AQ16" s="40">
        <f t="shared" si="15"/>
        <v>43.5</v>
      </c>
      <c r="AR16" s="40" t="str">
        <f t="shared" si="16"/>
        <v/>
      </c>
      <c r="AS16" s="40">
        <f t="shared" si="17"/>
        <v>11</v>
      </c>
      <c r="AT16" s="40">
        <f t="shared" si="18"/>
        <v>43.5</v>
      </c>
      <c r="AU16" s="40">
        <f t="shared" si="19"/>
        <v>10</v>
      </c>
      <c r="AV16" s="40">
        <f t="shared" si="20"/>
        <v>42.600000000000009</v>
      </c>
      <c r="AW16" s="40">
        <f t="shared" si="21"/>
        <v>86.100000000000009</v>
      </c>
      <c r="AX16" s="18">
        <v>15.8</v>
      </c>
      <c r="AY16" s="18">
        <v>2.9</v>
      </c>
      <c r="AZ16" s="18">
        <v>0</v>
      </c>
      <c r="BA16" s="18">
        <v>0</v>
      </c>
      <c r="BB16" s="18">
        <v>14.1</v>
      </c>
      <c r="BC16" s="18">
        <v>4.3</v>
      </c>
      <c r="BD16" s="18">
        <v>0.9</v>
      </c>
      <c r="BE16" s="18">
        <v>0</v>
      </c>
      <c r="BF16" s="18"/>
      <c r="BG16" s="18"/>
      <c r="BH16" s="18"/>
      <c r="BI16" s="18"/>
      <c r="BJ16" s="18">
        <v>0</v>
      </c>
      <c r="BK16" s="18">
        <v>0</v>
      </c>
      <c r="BL16" s="18">
        <v>0</v>
      </c>
      <c r="BM16" s="18">
        <v>0</v>
      </c>
      <c r="BN16" s="18">
        <v>0</v>
      </c>
      <c r="BO16" s="18">
        <v>0</v>
      </c>
      <c r="BP16" s="18">
        <v>0</v>
      </c>
      <c r="BQ16" s="18">
        <v>0</v>
      </c>
      <c r="BR16" s="28"/>
      <c r="BS16" s="11">
        <f t="shared" si="22"/>
        <v>7.1999999999999993</v>
      </c>
      <c r="BT16" s="11">
        <f t="shared" si="23"/>
        <v>36.199999999999996</v>
      </c>
      <c r="BU16" s="11" t="str">
        <f t="shared" si="24"/>
        <v/>
      </c>
      <c r="BV16" s="11">
        <f t="shared" si="25"/>
        <v>7.1999999999999993</v>
      </c>
      <c r="BW16" s="11">
        <f t="shared" si="26"/>
        <v>36.199999999999996</v>
      </c>
      <c r="BX16" s="11" t="str">
        <f t="shared" si="27"/>
        <v/>
      </c>
      <c r="BY16" s="11" t="str">
        <f t="shared" si="28"/>
        <v/>
      </c>
      <c r="BZ16" s="11">
        <f t="shared" si="29"/>
        <v>36.199999999999996</v>
      </c>
      <c r="CA16" s="19"/>
      <c r="CB16" s="19"/>
      <c r="CC16" s="19"/>
      <c r="CD16" s="19"/>
      <c r="CE16" s="19"/>
      <c r="CF16" s="19"/>
      <c r="CG16" s="19"/>
      <c r="CH16" s="19"/>
      <c r="CI16" s="19"/>
      <c r="CJ16" s="19"/>
      <c r="CK16" s="19"/>
      <c r="CL16" s="19"/>
      <c r="CM16" s="19"/>
      <c r="CN16" s="19"/>
      <c r="CO16" s="19"/>
      <c r="CP16" s="19"/>
      <c r="CQ16" s="19"/>
      <c r="CR16" s="19"/>
      <c r="CS16" s="19"/>
      <c r="CT16" s="19"/>
      <c r="CU16" s="27"/>
      <c r="CV16" s="40" t="str">
        <f t="shared" si="30"/>
        <v/>
      </c>
      <c r="CW16" s="40" t="str">
        <f t="shared" si="31"/>
        <v/>
      </c>
      <c r="CX16" s="40" t="str">
        <f t="shared" si="32"/>
        <v/>
      </c>
      <c r="CY16" s="40" t="str">
        <f t="shared" si="33"/>
        <v/>
      </c>
      <c r="CZ16" s="40" t="str">
        <f t="shared" si="34"/>
        <v/>
      </c>
      <c r="DA16" s="40" t="str">
        <f t="shared" si="35"/>
        <v/>
      </c>
      <c r="DB16" s="40" t="str">
        <f t="shared" si="36"/>
        <v/>
      </c>
      <c r="DC16" s="40" t="str">
        <f t="shared" si="37"/>
        <v/>
      </c>
      <c r="DD16" s="50" t="str">
        <f t="shared" si="38"/>
        <v/>
      </c>
      <c r="DE16" s="50" t="str">
        <f t="shared" si="39"/>
        <v/>
      </c>
      <c r="DF16" s="50" t="str">
        <f t="shared" si="40"/>
        <v/>
      </c>
      <c r="DG16" s="17"/>
      <c r="DH16" s="17"/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17"/>
      <c r="DY16" s="17"/>
      <c r="DZ16" s="17"/>
      <c r="EA16" s="40" t="str">
        <f t="shared" si="41"/>
        <v/>
      </c>
      <c r="EB16" s="40" t="str">
        <f t="shared" si="42"/>
        <v/>
      </c>
      <c r="EC16" s="40" t="str">
        <f t="shared" si="43"/>
        <v/>
      </c>
      <c r="ED16" s="40" t="str">
        <f t="shared" si="44"/>
        <v/>
      </c>
      <c r="EE16" s="40" t="str">
        <f t="shared" si="45"/>
        <v/>
      </c>
      <c r="EF16" s="40" t="str">
        <f t="shared" si="46"/>
        <v/>
      </c>
      <c r="EG16" s="40" t="str">
        <f t="shared" si="47"/>
        <v/>
      </c>
      <c r="EH16" s="40" t="str">
        <f t="shared" si="48"/>
        <v/>
      </c>
      <c r="EI16" s="18"/>
      <c r="EJ16" s="18"/>
      <c r="EK16" s="18"/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8"/>
      <c r="EY16" s="18"/>
      <c r="EZ16" s="18"/>
      <c r="FA16" s="18"/>
      <c r="FB16" s="18"/>
      <c r="FC16" s="11" t="str">
        <f t="shared" si="49"/>
        <v/>
      </c>
      <c r="FD16" s="11" t="str">
        <f t="shared" si="50"/>
        <v/>
      </c>
      <c r="FE16" s="11" t="str">
        <f t="shared" si="51"/>
        <v/>
      </c>
      <c r="FF16" s="11" t="str">
        <f t="shared" si="52"/>
        <v/>
      </c>
      <c r="FG16" s="11" t="str">
        <f t="shared" si="53"/>
        <v/>
      </c>
      <c r="FH16" s="11" t="str">
        <f t="shared" si="54"/>
        <v/>
      </c>
      <c r="FI16" s="11" t="str">
        <f t="shared" si="55"/>
        <v/>
      </c>
      <c r="FJ16" s="11" t="str">
        <f t="shared" si="56"/>
        <v/>
      </c>
      <c r="FK16" s="17"/>
      <c r="FL16" s="17"/>
      <c r="FM16" s="17"/>
      <c r="FN16" s="17"/>
      <c r="FO16" s="17"/>
      <c r="FP16" s="17"/>
      <c r="FQ16" s="17"/>
      <c r="FR16" s="17"/>
      <c r="FS16" s="17"/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17"/>
      <c r="GE16" s="40" t="str">
        <f t="shared" si="57"/>
        <v/>
      </c>
      <c r="GF16" s="40" t="str">
        <f t="shared" si="58"/>
        <v/>
      </c>
      <c r="GG16" s="40" t="str">
        <f t="shared" si="59"/>
        <v/>
      </c>
      <c r="GH16" s="40" t="str">
        <f t="shared" si="60"/>
        <v/>
      </c>
      <c r="GI16" s="40" t="str">
        <f t="shared" si="61"/>
        <v/>
      </c>
      <c r="GJ16" s="40" t="str">
        <f t="shared" si="62"/>
        <v/>
      </c>
      <c r="GK16" s="40" t="str">
        <f t="shared" si="63"/>
        <v/>
      </c>
      <c r="GL16" s="40" t="str">
        <f t="shared" si="64"/>
        <v/>
      </c>
      <c r="GM16" s="18"/>
      <c r="GN16" s="18"/>
      <c r="GO16" s="18"/>
      <c r="GP16" s="18"/>
      <c r="GQ16" s="18"/>
      <c r="GR16" s="18"/>
      <c r="GS16" s="18"/>
      <c r="GT16" s="18"/>
      <c r="GU16" s="18"/>
      <c r="GV16" s="18"/>
      <c r="GW16" s="18"/>
      <c r="GX16" s="18"/>
      <c r="GY16" s="18"/>
      <c r="GZ16" s="18"/>
      <c r="HA16" s="18"/>
      <c r="HB16" s="18"/>
      <c r="HC16" s="18"/>
      <c r="HD16" s="18"/>
      <c r="HE16" s="18"/>
      <c r="HF16" s="18"/>
      <c r="HG16" s="11" t="str">
        <f t="shared" si="65"/>
        <v/>
      </c>
      <c r="HH16" s="11" t="str">
        <f t="shared" si="66"/>
        <v/>
      </c>
      <c r="HI16" s="11" t="str">
        <f t="shared" si="67"/>
        <v/>
      </c>
      <c r="HJ16" s="11" t="str">
        <f t="shared" si="68"/>
        <v/>
      </c>
      <c r="HK16" s="11" t="str">
        <f t="shared" si="69"/>
        <v/>
      </c>
      <c r="HL16" s="11" t="str">
        <f t="shared" si="70"/>
        <v/>
      </c>
      <c r="HM16" s="11" t="str">
        <f t="shared" si="71"/>
        <v/>
      </c>
      <c r="HN16" s="11" t="str">
        <f t="shared" si="72"/>
        <v/>
      </c>
      <c r="HO16" s="17"/>
      <c r="HP16" s="17"/>
      <c r="HQ16" s="17"/>
      <c r="HR16" s="17"/>
      <c r="HS16" s="17"/>
      <c r="HT16" s="17"/>
      <c r="HU16" s="17"/>
      <c r="HV16" s="17"/>
      <c r="HW16" s="17"/>
      <c r="HX16" s="17"/>
      <c r="HY16" s="17"/>
      <c r="HZ16" s="17"/>
      <c r="IA16" s="17"/>
      <c r="IB16" s="17"/>
      <c r="IC16" s="17"/>
      <c r="ID16" s="17"/>
      <c r="IE16" s="17"/>
      <c r="IF16" s="17"/>
      <c r="IG16" s="17"/>
      <c r="IH16" s="17"/>
      <c r="II16" s="40" t="str">
        <f t="shared" si="73"/>
        <v/>
      </c>
      <c r="IJ16" s="40" t="str">
        <f t="shared" si="74"/>
        <v/>
      </c>
      <c r="IK16" s="40" t="str">
        <f t="shared" si="75"/>
        <v/>
      </c>
      <c r="IL16" s="40" t="str">
        <f t="shared" si="76"/>
        <v/>
      </c>
      <c r="IM16" s="40" t="str">
        <f t="shared" si="77"/>
        <v/>
      </c>
      <c r="IN16" s="40" t="str">
        <f t="shared" si="78"/>
        <v/>
      </c>
      <c r="IO16" s="40" t="str">
        <f t="shared" si="79"/>
        <v/>
      </c>
      <c r="IP16" s="40" t="str">
        <f t="shared" si="80"/>
        <v/>
      </c>
      <c r="IQ16" s="18"/>
      <c r="IR16" s="18"/>
      <c r="IS16" s="18"/>
      <c r="IT16" s="18"/>
      <c r="IU16" s="18"/>
      <c r="IV16" s="18"/>
      <c r="IW16" s="18"/>
      <c r="IX16" s="18"/>
      <c r="IY16" s="18"/>
      <c r="IZ16" s="18"/>
      <c r="JA16" s="18"/>
      <c r="JB16" s="18"/>
      <c r="JC16" s="18"/>
      <c r="JD16" s="18"/>
      <c r="JE16" s="18"/>
      <c r="JF16" s="18"/>
      <c r="JG16" s="18"/>
      <c r="JH16" s="18"/>
      <c r="JI16" s="18"/>
      <c r="JJ16" s="18"/>
      <c r="JK16" s="11" t="str">
        <f t="shared" si="81"/>
        <v/>
      </c>
      <c r="JL16" s="11" t="str">
        <f t="shared" si="82"/>
        <v/>
      </c>
      <c r="JM16" s="11" t="str">
        <f t="shared" si="83"/>
        <v/>
      </c>
      <c r="JN16" s="11" t="str">
        <f t="shared" si="84"/>
        <v/>
      </c>
      <c r="JO16" s="11" t="str">
        <f t="shared" si="85"/>
        <v/>
      </c>
      <c r="JP16" s="11" t="str">
        <f t="shared" si="86"/>
        <v/>
      </c>
      <c r="JQ16" s="11" t="str">
        <f t="shared" si="87"/>
        <v/>
      </c>
      <c r="JR16" s="11" t="str">
        <f t="shared" si="88"/>
        <v/>
      </c>
      <c r="JS16" s="17"/>
      <c r="JT16" s="17"/>
      <c r="JU16" s="17"/>
      <c r="JV16" s="17"/>
      <c r="JW16" s="17"/>
      <c r="JX16" s="17"/>
      <c r="JY16" s="17"/>
      <c r="JZ16" s="17"/>
      <c r="KA16" s="17"/>
      <c r="KB16" s="17"/>
      <c r="KC16" s="17"/>
      <c r="KD16" s="17"/>
      <c r="KE16" s="17"/>
      <c r="KF16" s="17"/>
      <c r="KG16" s="17"/>
      <c r="KH16" s="17"/>
      <c r="KI16" s="17"/>
      <c r="KJ16" s="17"/>
      <c r="KK16" s="17"/>
      <c r="KL16" s="17"/>
      <c r="KM16" s="40" t="str">
        <f t="shared" si="89"/>
        <v/>
      </c>
      <c r="KN16" s="40" t="str">
        <f t="shared" si="90"/>
        <v/>
      </c>
      <c r="KO16" s="40" t="str">
        <f t="shared" si="91"/>
        <v/>
      </c>
      <c r="KP16" s="40" t="str">
        <f t="shared" si="92"/>
        <v/>
      </c>
      <c r="KQ16" s="40" t="str">
        <f t="shared" si="93"/>
        <v/>
      </c>
      <c r="KR16" s="40" t="str">
        <f t="shared" si="94"/>
        <v/>
      </c>
      <c r="KS16" s="40" t="str">
        <f t="shared" si="95"/>
        <v/>
      </c>
      <c r="KT16" s="40" t="str">
        <f t="shared" si="96"/>
        <v/>
      </c>
      <c r="KU16" s="18"/>
      <c r="KV16" s="18"/>
      <c r="KW16" s="18"/>
      <c r="KX16" s="18"/>
      <c r="KY16" s="18"/>
      <c r="KZ16" s="18"/>
      <c r="LA16" s="18"/>
      <c r="LB16" s="18"/>
      <c r="LC16" s="18"/>
      <c r="LD16" s="18"/>
      <c r="LE16" s="18"/>
      <c r="LF16" s="18"/>
      <c r="LG16" s="18"/>
      <c r="LH16" s="18"/>
      <c r="LI16" s="18"/>
      <c r="LJ16" s="18"/>
      <c r="LK16" s="18"/>
      <c r="LL16" s="18"/>
      <c r="LM16" s="18"/>
      <c r="LN16" s="18"/>
      <c r="LO16" s="11" t="str">
        <f t="shared" si="97"/>
        <v/>
      </c>
      <c r="LP16" s="11" t="str">
        <f t="shared" si="98"/>
        <v/>
      </c>
      <c r="LQ16" s="11" t="str">
        <f t="shared" si="99"/>
        <v/>
      </c>
      <c r="LR16" s="11" t="str">
        <f t="shared" si="100"/>
        <v/>
      </c>
      <c r="LS16" s="11" t="str">
        <f t="shared" si="101"/>
        <v/>
      </c>
      <c r="LT16" s="11" t="str">
        <f t="shared" si="102"/>
        <v/>
      </c>
      <c r="LU16" s="11" t="str">
        <f t="shared" si="103"/>
        <v/>
      </c>
      <c r="LV16" s="11" t="str">
        <f t="shared" si="104"/>
        <v/>
      </c>
      <c r="LW16" s="17"/>
      <c r="LX16" s="17"/>
      <c r="LY16" s="17"/>
      <c r="LZ16" s="17"/>
      <c r="MA16" s="17"/>
      <c r="MB16" s="17"/>
      <c r="MC16" s="17"/>
      <c r="MD16" s="17"/>
      <c r="ME16" s="17"/>
      <c r="MF16" s="17"/>
      <c r="MG16" s="17"/>
      <c r="MH16" s="17"/>
      <c r="MI16" s="17"/>
      <c r="MJ16" s="17"/>
      <c r="MK16" s="17"/>
      <c r="ML16" s="17"/>
      <c r="MM16" s="17"/>
      <c r="MN16" s="17"/>
      <c r="MO16" s="17"/>
      <c r="MP16" s="17"/>
      <c r="MQ16" s="40" t="str">
        <f t="shared" si="105"/>
        <v/>
      </c>
      <c r="MR16" s="40" t="str">
        <f t="shared" si="106"/>
        <v/>
      </c>
      <c r="MS16" s="40" t="str">
        <f t="shared" si="107"/>
        <v/>
      </c>
      <c r="MT16" s="40" t="str">
        <f t="shared" si="108"/>
        <v/>
      </c>
      <c r="MU16" s="40" t="str">
        <f t="shared" si="109"/>
        <v/>
      </c>
      <c r="MV16" s="40" t="str">
        <f t="shared" si="110"/>
        <v/>
      </c>
      <c r="MW16" s="40" t="str">
        <f t="shared" si="111"/>
        <v/>
      </c>
      <c r="MX16" s="40" t="str">
        <f t="shared" si="112"/>
        <v/>
      </c>
      <c r="MY16" s="18"/>
      <c r="MZ16" s="18"/>
      <c r="NA16" s="18"/>
      <c r="NB16" s="18"/>
      <c r="NC16" s="18"/>
      <c r="ND16" s="18"/>
      <c r="NE16" s="18"/>
      <c r="NF16" s="18"/>
      <c r="NG16" s="18"/>
      <c r="NH16" s="18"/>
      <c r="NI16" s="18"/>
      <c r="NJ16" s="18"/>
      <c r="NK16" s="18"/>
      <c r="NL16" s="18"/>
      <c r="NM16" s="18"/>
      <c r="NN16" s="18"/>
      <c r="NO16" s="18"/>
      <c r="NP16" s="18"/>
      <c r="NQ16" s="18"/>
      <c r="NR16" s="18"/>
      <c r="NS16" s="11" t="str">
        <f t="shared" si="113"/>
        <v/>
      </c>
      <c r="NT16" s="11" t="str">
        <f t="shared" si="114"/>
        <v/>
      </c>
      <c r="NU16" s="11" t="str">
        <f t="shared" si="115"/>
        <v/>
      </c>
      <c r="NV16" s="11" t="str">
        <f t="shared" si="116"/>
        <v/>
      </c>
      <c r="NW16" s="11" t="str">
        <f t="shared" si="117"/>
        <v/>
      </c>
      <c r="NX16" s="11" t="str">
        <f t="shared" si="118"/>
        <v/>
      </c>
      <c r="NY16" s="11" t="str">
        <f t="shared" si="119"/>
        <v/>
      </c>
      <c r="NZ16" s="11" t="str">
        <f t="shared" si="120"/>
        <v/>
      </c>
      <c r="OA16" s="17"/>
      <c r="OB16" s="17"/>
      <c r="OC16" s="17"/>
      <c r="OD16" s="17"/>
      <c r="OE16" s="17"/>
      <c r="OF16" s="17"/>
      <c r="OG16" s="17"/>
      <c r="OH16" s="17"/>
      <c r="OI16" s="17"/>
      <c r="OJ16" s="17"/>
      <c r="OK16" s="17"/>
      <c r="OL16" s="17"/>
      <c r="OM16" s="17"/>
      <c r="ON16" s="17"/>
      <c r="OO16" s="17"/>
      <c r="OP16" s="17"/>
      <c r="OQ16" s="17"/>
      <c r="OR16" s="17"/>
      <c r="OS16" s="17"/>
      <c r="OT16" s="17"/>
      <c r="OU16" s="40" t="str">
        <f t="shared" si="121"/>
        <v/>
      </c>
      <c r="OV16" s="40" t="str">
        <f t="shared" si="122"/>
        <v/>
      </c>
      <c r="OW16" s="40" t="str">
        <f t="shared" si="123"/>
        <v/>
      </c>
      <c r="OX16" s="40" t="str">
        <f t="shared" si="124"/>
        <v/>
      </c>
      <c r="OY16" s="40" t="str">
        <f t="shared" si="125"/>
        <v/>
      </c>
      <c r="OZ16" s="40" t="str">
        <f t="shared" si="126"/>
        <v/>
      </c>
      <c r="PA16" s="40" t="str">
        <f t="shared" si="127"/>
        <v/>
      </c>
      <c r="PB16" s="40" t="str">
        <f t="shared" si="128"/>
        <v/>
      </c>
      <c r="PC16" s="18"/>
      <c r="PD16" s="18"/>
      <c r="PE16" s="18"/>
      <c r="PF16" s="18"/>
      <c r="PG16" s="18"/>
      <c r="PH16" s="18"/>
      <c r="PI16" s="18"/>
      <c r="PJ16" s="18"/>
      <c r="PK16" s="18"/>
      <c r="PL16" s="18"/>
      <c r="PM16" s="18"/>
      <c r="PN16" s="18"/>
      <c r="PO16" s="18"/>
      <c r="PP16" s="18"/>
      <c r="PQ16" s="18"/>
      <c r="PR16" s="18"/>
      <c r="PS16" s="18"/>
      <c r="PT16" s="18"/>
      <c r="PU16" s="18"/>
      <c r="PV16" s="18"/>
      <c r="PW16" s="11" t="str">
        <f t="shared" si="129"/>
        <v/>
      </c>
      <c r="PX16" s="11" t="str">
        <f t="shared" si="130"/>
        <v/>
      </c>
      <c r="PY16" s="11" t="str">
        <f t="shared" si="131"/>
        <v/>
      </c>
      <c r="PZ16" s="11" t="str">
        <f t="shared" si="132"/>
        <v/>
      </c>
      <c r="QA16" s="11" t="str">
        <f t="shared" si="133"/>
        <v/>
      </c>
      <c r="QB16" s="11" t="str">
        <f t="shared" si="134"/>
        <v/>
      </c>
      <c r="QC16" s="11" t="str">
        <f t="shared" si="135"/>
        <v/>
      </c>
      <c r="QD16" s="11" t="str">
        <f t="shared" si="136"/>
        <v/>
      </c>
      <c r="QE16" s="22">
        <f t="shared" si="137"/>
        <v>7.9</v>
      </c>
      <c r="QF16" s="22">
        <f t="shared" si="138"/>
        <v>1.45</v>
      </c>
      <c r="QG16" s="22">
        <f t="shared" si="139"/>
        <v>0</v>
      </c>
      <c r="QH16" s="22">
        <f t="shared" si="140"/>
        <v>0</v>
      </c>
      <c r="QI16" s="22">
        <f t="shared" si="141"/>
        <v>7.05</v>
      </c>
      <c r="QJ16" s="22">
        <f t="shared" si="142"/>
        <v>2.15</v>
      </c>
      <c r="QK16" s="22">
        <f t="shared" si="143"/>
        <v>0.45</v>
      </c>
      <c r="QL16" s="22">
        <f t="shared" si="144"/>
        <v>0</v>
      </c>
      <c r="QM16" s="22">
        <f t="shared" si="145"/>
        <v>0</v>
      </c>
      <c r="QN16" s="22">
        <f t="shared" si="146"/>
        <v>0</v>
      </c>
      <c r="QO16" s="22">
        <f t="shared" si="147"/>
        <v>0</v>
      </c>
      <c r="QP16" s="22">
        <f t="shared" si="148"/>
        <v>0</v>
      </c>
      <c r="QQ16" s="22">
        <f t="shared" si="149"/>
        <v>0</v>
      </c>
      <c r="QR16" s="22">
        <f t="shared" si="150"/>
        <v>0</v>
      </c>
      <c r="QS16" s="22">
        <f t="shared" si="151"/>
        <v>0</v>
      </c>
      <c r="QT16" s="22">
        <f t="shared" si="152"/>
        <v>0</v>
      </c>
      <c r="QU16" s="22">
        <f t="shared" si="153"/>
        <v>0</v>
      </c>
      <c r="QV16" s="22">
        <f t="shared" si="154"/>
        <v>0</v>
      </c>
      <c r="QW16" s="22">
        <f t="shared" si="155"/>
        <v>0</v>
      </c>
      <c r="QX16" s="22">
        <f t="shared" si="156"/>
        <v>0</v>
      </c>
      <c r="QY16" s="27" t="s">
        <v>46</v>
      </c>
      <c r="QZ16" s="40">
        <f t="shared" si="157"/>
        <v>3.5999999999999996</v>
      </c>
      <c r="RA16" s="40">
        <f t="shared" si="158"/>
        <v>18.099999999999998</v>
      </c>
      <c r="RB16" s="40" t="str">
        <f t="shared" si="159"/>
        <v/>
      </c>
      <c r="RC16" s="40">
        <f t="shared" si="160"/>
        <v>3.5999999999999996</v>
      </c>
      <c r="RD16" s="40">
        <f t="shared" si="161"/>
        <v>18.099999999999998</v>
      </c>
      <c r="RE16" s="40" t="str">
        <f t="shared" si="162"/>
        <v/>
      </c>
      <c r="RF16" s="40" t="str">
        <f t="shared" si="163"/>
        <v/>
      </c>
      <c r="RG16" s="40">
        <f t="shared" si="164"/>
        <v>18.099999999999998</v>
      </c>
    </row>
    <row r="17" spans="1:475" x14ac:dyDescent="0.2">
      <c r="A17" s="4" t="str">
        <f>IF(AND(F17="P",G17="P"),SUMPRODUCT((F$4:F$18="P")*(G$4:G$18="P")*(E$4:E$18&gt;E17))+1,IF(G17="P",SUMPRODUCT((F$4:F$18="")*(G$4:G$18="P")*(E$4:E$18&gt;E17))+1+SUMPRODUCT((F$4:F$18="P")*(G$4:G$18="P")),""))</f>
        <v/>
      </c>
      <c r="B17" s="5" t="s">
        <v>184</v>
      </c>
      <c r="C17" s="4" t="s">
        <v>127</v>
      </c>
      <c r="D17" s="4">
        <v>2005</v>
      </c>
      <c r="E17" s="9">
        <f t="shared" si="1"/>
        <v>105.80000637000423</v>
      </c>
      <c r="F17" s="3" t="str">
        <f t="shared" si="2"/>
        <v/>
      </c>
      <c r="G17" s="3" t="str">
        <f t="shared" si="3"/>
        <v/>
      </c>
      <c r="H17" s="36" t="str">
        <f t="shared" si="4"/>
        <v/>
      </c>
      <c r="I17" s="3" t="str">
        <f t="shared" si="5"/>
        <v/>
      </c>
      <c r="J17" s="8">
        <f>IF(COUNT(AQ17,BT17,CW17)&gt;0,LARGE((AQ17,BT17,CW17),1),0)</f>
        <v>42.2</v>
      </c>
      <c r="K17" s="8" t="str">
        <f t="shared" si="6"/>
        <v>2023 Elite Canada</v>
      </c>
      <c r="L17" s="8">
        <f>IF(COUNT(AQ17,BT17,CW17)&gt;1,LARGE((AQ17,BT17,CW17),2),0)</f>
        <v>0</v>
      </c>
      <c r="M17" s="8" t="str">
        <f t="shared" si="7"/>
        <v/>
      </c>
      <c r="N17" s="8">
        <f>IF(COUNT(AR17,BU17,CX17)&gt;0,LARGE((AR17,BU17,CX17),1),0)</f>
        <v>21.5</v>
      </c>
      <c r="O17" s="8" t="str">
        <f t="shared" si="8"/>
        <v>2023 Elite Canada</v>
      </c>
      <c r="P17" s="8">
        <f t="shared" si="9"/>
        <v>42.100000000000009</v>
      </c>
      <c r="Q17" s="8" t="str">
        <f t="shared" si="10"/>
        <v>2023 Elite Canada</v>
      </c>
      <c r="R17" s="8" t="str">
        <f t="shared" si="11"/>
        <v/>
      </c>
      <c r="S17" s="11" t="str">
        <f t="shared" si="12"/>
        <v/>
      </c>
      <c r="T17" s="8" t="str">
        <f t="shared" si="13"/>
        <v/>
      </c>
      <c r="U17" s="19"/>
      <c r="V17" s="19"/>
      <c r="W17" s="19"/>
      <c r="X17" s="19"/>
      <c r="Y17" s="19"/>
      <c r="Z17" s="19"/>
      <c r="AA17" s="19"/>
      <c r="AB17" s="19"/>
      <c r="AC17" s="19"/>
      <c r="AD17" s="19"/>
      <c r="AE17" s="19"/>
      <c r="AF17" s="19"/>
      <c r="AG17" s="19"/>
      <c r="AH17" s="19"/>
      <c r="AI17" s="19"/>
      <c r="AJ17" s="19"/>
      <c r="AK17" s="19"/>
      <c r="AL17" s="19"/>
      <c r="AM17" s="19"/>
      <c r="AN17" s="19"/>
      <c r="AO17" s="27"/>
      <c r="AP17" s="40" t="str">
        <f t="shared" si="14"/>
        <v/>
      </c>
      <c r="AQ17" s="40" t="str">
        <f t="shared" si="15"/>
        <v/>
      </c>
      <c r="AR17" s="40" t="str">
        <f t="shared" si="16"/>
        <v/>
      </c>
      <c r="AS17" s="40" t="str">
        <f t="shared" si="17"/>
        <v/>
      </c>
      <c r="AT17" s="40" t="str">
        <f t="shared" si="18"/>
        <v/>
      </c>
      <c r="AU17" s="40" t="str">
        <f t="shared" si="19"/>
        <v/>
      </c>
      <c r="AV17" s="40" t="str">
        <f t="shared" si="20"/>
        <v/>
      </c>
      <c r="AW17" s="40" t="str">
        <f t="shared" si="21"/>
        <v/>
      </c>
      <c r="AX17" s="18"/>
      <c r="AY17" s="18"/>
      <c r="AZ17" s="18"/>
      <c r="BA17" s="18"/>
      <c r="BB17" s="18"/>
      <c r="BC17" s="18"/>
      <c r="BD17" s="18"/>
      <c r="BE17" s="18"/>
      <c r="BF17" s="18"/>
      <c r="BG17" s="18"/>
      <c r="BH17" s="18"/>
      <c r="BI17" s="18"/>
      <c r="BJ17" s="18"/>
      <c r="BK17" s="18"/>
      <c r="BL17" s="18"/>
      <c r="BM17" s="18"/>
      <c r="BN17" s="18"/>
      <c r="BO17" s="18"/>
      <c r="BP17" s="18"/>
      <c r="BQ17" s="18"/>
      <c r="BR17" s="28"/>
      <c r="BS17" s="11" t="str">
        <f t="shared" si="22"/>
        <v/>
      </c>
      <c r="BT17" s="11" t="str">
        <f t="shared" si="23"/>
        <v/>
      </c>
      <c r="BU17" s="11" t="str">
        <f t="shared" si="24"/>
        <v/>
      </c>
      <c r="BV17" s="11" t="str">
        <f t="shared" si="25"/>
        <v/>
      </c>
      <c r="BW17" s="11" t="str">
        <f t="shared" si="26"/>
        <v/>
      </c>
      <c r="BX17" s="11" t="str">
        <f t="shared" si="27"/>
        <v/>
      </c>
      <c r="BY17" s="11" t="str">
        <f t="shared" si="28"/>
        <v/>
      </c>
      <c r="BZ17" s="11" t="str">
        <f t="shared" si="29"/>
        <v/>
      </c>
      <c r="CA17" s="19">
        <v>16.5</v>
      </c>
      <c r="CB17" s="19">
        <v>4.0999999999999996</v>
      </c>
      <c r="CC17" s="19">
        <v>0</v>
      </c>
      <c r="CD17" s="19">
        <v>0.3</v>
      </c>
      <c r="CE17" s="19">
        <v>17.5</v>
      </c>
      <c r="CF17" s="19">
        <v>3.8</v>
      </c>
      <c r="CG17" s="19">
        <v>0</v>
      </c>
      <c r="CH17" s="19">
        <v>0</v>
      </c>
      <c r="CI17" s="19">
        <v>17.7</v>
      </c>
      <c r="CJ17" s="19">
        <v>3.8</v>
      </c>
      <c r="CK17" s="19">
        <v>0</v>
      </c>
      <c r="CL17" s="19">
        <v>0</v>
      </c>
      <c r="CM17" s="19">
        <v>17</v>
      </c>
      <c r="CN17" s="19">
        <v>4.0999999999999996</v>
      </c>
      <c r="CO17" s="19">
        <v>0</v>
      </c>
      <c r="CP17" s="19">
        <v>0.3</v>
      </c>
      <c r="CQ17" s="19">
        <v>17.5</v>
      </c>
      <c r="CR17" s="19">
        <v>3.2</v>
      </c>
      <c r="CS17" s="19">
        <v>0</v>
      </c>
      <c r="CT17" s="19">
        <v>0</v>
      </c>
      <c r="CU17" s="27"/>
      <c r="CV17" s="40">
        <f t="shared" si="30"/>
        <v>7.8999999999999995</v>
      </c>
      <c r="CW17" s="40">
        <f t="shared" si="31"/>
        <v>42.2</v>
      </c>
      <c r="CX17" s="40">
        <f t="shared" si="32"/>
        <v>21.5</v>
      </c>
      <c r="CY17" s="40">
        <f t="shared" si="33"/>
        <v>11.7</v>
      </c>
      <c r="CZ17" s="40">
        <f t="shared" si="34"/>
        <v>63.7</v>
      </c>
      <c r="DA17" s="40">
        <f t="shared" si="35"/>
        <v>7.3</v>
      </c>
      <c r="DB17" s="40">
        <f t="shared" si="36"/>
        <v>42.100000000000009</v>
      </c>
      <c r="DC17" s="40">
        <f t="shared" si="37"/>
        <v>84.300000000000011</v>
      </c>
      <c r="DD17" s="50" t="str">
        <f t="shared" si="38"/>
        <v/>
      </c>
      <c r="DE17" s="50" t="str">
        <f t="shared" si="39"/>
        <v/>
      </c>
      <c r="DF17" s="50" t="str">
        <f t="shared" si="40"/>
        <v/>
      </c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17"/>
      <c r="DY17" s="17"/>
      <c r="DZ17" s="17"/>
      <c r="EA17" s="40" t="str">
        <f t="shared" si="41"/>
        <v/>
      </c>
      <c r="EB17" s="40" t="str">
        <f t="shared" si="42"/>
        <v/>
      </c>
      <c r="EC17" s="40" t="str">
        <f t="shared" si="43"/>
        <v/>
      </c>
      <c r="ED17" s="40" t="str">
        <f t="shared" si="44"/>
        <v/>
      </c>
      <c r="EE17" s="40" t="str">
        <f t="shared" si="45"/>
        <v/>
      </c>
      <c r="EF17" s="40" t="str">
        <f t="shared" si="46"/>
        <v/>
      </c>
      <c r="EG17" s="40" t="str">
        <f t="shared" si="47"/>
        <v/>
      </c>
      <c r="EH17" s="40" t="str">
        <f t="shared" si="48"/>
        <v/>
      </c>
      <c r="EI17" s="18"/>
      <c r="EJ17" s="18"/>
      <c r="EK17" s="18"/>
      <c r="EL17" s="18"/>
      <c r="EM17" s="18"/>
      <c r="EN17" s="18"/>
      <c r="EO17" s="18"/>
      <c r="EP17" s="18"/>
      <c r="EQ17" s="18"/>
      <c r="ER17" s="18"/>
      <c r="ES17" s="18"/>
      <c r="ET17" s="18"/>
      <c r="EU17" s="18"/>
      <c r="EV17" s="18"/>
      <c r="EW17" s="18"/>
      <c r="EX17" s="18"/>
      <c r="EY17" s="18"/>
      <c r="EZ17" s="18"/>
      <c r="FA17" s="18"/>
      <c r="FB17" s="18"/>
      <c r="FC17" s="11" t="str">
        <f t="shared" si="49"/>
        <v/>
      </c>
      <c r="FD17" s="11" t="str">
        <f t="shared" si="50"/>
        <v/>
      </c>
      <c r="FE17" s="11" t="str">
        <f t="shared" si="51"/>
        <v/>
      </c>
      <c r="FF17" s="11" t="str">
        <f t="shared" si="52"/>
        <v/>
      </c>
      <c r="FG17" s="11" t="str">
        <f t="shared" si="53"/>
        <v/>
      </c>
      <c r="FH17" s="11" t="str">
        <f t="shared" si="54"/>
        <v/>
      </c>
      <c r="FI17" s="11" t="str">
        <f t="shared" si="55"/>
        <v/>
      </c>
      <c r="FJ17" s="11" t="str">
        <f t="shared" si="56"/>
        <v/>
      </c>
      <c r="FK17" s="17"/>
      <c r="FL17" s="17"/>
      <c r="FM17" s="17"/>
      <c r="FN17" s="17"/>
      <c r="FO17" s="17"/>
      <c r="FP17" s="17"/>
      <c r="FQ17" s="17"/>
      <c r="FR17" s="17"/>
      <c r="FS17" s="17"/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17"/>
      <c r="GE17" s="40" t="str">
        <f t="shared" si="57"/>
        <v/>
      </c>
      <c r="GF17" s="40" t="str">
        <f t="shared" si="58"/>
        <v/>
      </c>
      <c r="GG17" s="40" t="str">
        <f t="shared" si="59"/>
        <v/>
      </c>
      <c r="GH17" s="40" t="str">
        <f t="shared" si="60"/>
        <v/>
      </c>
      <c r="GI17" s="40" t="str">
        <f t="shared" si="61"/>
        <v/>
      </c>
      <c r="GJ17" s="40" t="str">
        <f t="shared" si="62"/>
        <v/>
      </c>
      <c r="GK17" s="40" t="str">
        <f t="shared" si="63"/>
        <v/>
      </c>
      <c r="GL17" s="40" t="str">
        <f t="shared" si="64"/>
        <v/>
      </c>
      <c r="GM17" s="18"/>
      <c r="GN17" s="18"/>
      <c r="GO17" s="18"/>
      <c r="GP17" s="18"/>
      <c r="GQ17" s="18"/>
      <c r="GR17" s="18"/>
      <c r="GS17" s="18"/>
      <c r="GT17" s="18"/>
      <c r="GU17" s="18"/>
      <c r="GV17" s="18"/>
      <c r="GW17" s="18"/>
      <c r="GX17" s="18"/>
      <c r="GY17" s="18"/>
      <c r="GZ17" s="18"/>
      <c r="HA17" s="18"/>
      <c r="HB17" s="18"/>
      <c r="HC17" s="18"/>
      <c r="HD17" s="18"/>
      <c r="HE17" s="18"/>
      <c r="HF17" s="18"/>
      <c r="HG17" s="11" t="str">
        <f t="shared" si="65"/>
        <v/>
      </c>
      <c r="HH17" s="11" t="str">
        <f t="shared" si="66"/>
        <v/>
      </c>
      <c r="HI17" s="11" t="str">
        <f t="shared" si="67"/>
        <v/>
      </c>
      <c r="HJ17" s="11" t="str">
        <f t="shared" si="68"/>
        <v/>
      </c>
      <c r="HK17" s="11" t="str">
        <f t="shared" si="69"/>
        <v/>
      </c>
      <c r="HL17" s="11" t="str">
        <f t="shared" si="70"/>
        <v/>
      </c>
      <c r="HM17" s="11" t="str">
        <f t="shared" si="71"/>
        <v/>
      </c>
      <c r="HN17" s="11" t="str">
        <f t="shared" si="72"/>
        <v/>
      </c>
      <c r="HO17" s="17"/>
      <c r="HP17" s="17"/>
      <c r="HQ17" s="17"/>
      <c r="HR17" s="17"/>
      <c r="HS17" s="17"/>
      <c r="HT17" s="17"/>
      <c r="HU17" s="17"/>
      <c r="HV17" s="17"/>
      <c r="HW17" s="17"/>
      <c r="HX17" s="17"/>
      <c r="HY17" s="17"/>
      <c r="HZ17" s="17"/>
      <c r="IA17" s="17"/>
      <c r="IB17" s="17"/>
      <c r="IC17" s="17"/>
      <c r="ID17" s="17"/>
      <c r="IE17" s="17"/>
      <c r="IF17" s="17"/>
      <c r="IG17" s="17"/>
      <c r="IH17" s="17"/>
      <c r="II17" s="40" t="str">
        <f t="shared" si="73"/>
        <v/>
      </c>
      <c r="IJ17" s="40" t="str">
        <f t="shared" si="74"/>
        <v/>
      </c>
      <c r="IK17" s="40" t="str">
        <f t="shared" si="75"/>
        <v/>
      </c>
      <c r="IL17" s="40" t="str">
        <f t="shared" si="76"/>
        <v/>
      </c>
      <c r="IM17" s="40" t="str">
        <f t="shared" si="77"/>
        <v/>
      </c>
      <c r="IN17" s="40" t="str">
        <f t="shared" si="78"/>
        <v/>
      </c>
      <c r="IO17" s="40" t="str">
        <f t="shared" si="79"/>
        <v/>
      </c>
      <c r="IP17" s="40" t="str">
        <f t="shared" si="80"/>
        <v/>
      </c>
      <c r="IQ17" s="18"/>
      <c r="IR17" s="18"/>
      <c r="IS17" s="18"/>
      <c r="IT17" s="18"/>
      <c r="IU17" s="18"/>
      <c r="IV17" s="18"/>
      <c r="IW17" s="18"/>
      <c r="IX17" s="18"/>
      <c r="IY17" s="18"/>
      <c r="IZ17" s="18"/>
      <c r="JA17" s="18"/>
      <c r="JB17" s="18"/>
      <c r="JC17" s="18"/>
      <c r="JD17" s="18"/>
      <c r="JE17" s="18"/>
      <c r="JF17" s="18"/>
      <c r="JG17" s="18"/>
      <c r="JH17" s="18"/>
      <c r="JI17" s="18"/>
      <c r="JJ17" s="18"/>
      <c r="JK17" s="11" t="str">
        <f t="shared" si="81"/>
        <v/>
      </c>
      <c r="JL17" s="11" t="str">
        <f t="shared" si="82"/>
        <v/>
      </c>
      <c r="JM17" s="11" t="str">
        <f t="shared" si="83"/>
        <v/>
      </c>
      <c r="JN17" s="11" t="str">
        <f t="shared" si="84"/>
        <v/>
      </c>
      <c r="JO17" s="11" t="str">
        <f t="shared" si="85"/>
        <v/>
      </c>
      <c r="JP17" s="11" t="str">
        <f t="shared" si="86"/>
        <v/>
      </c>
      <c r="JQ17" s="11" t="str">
        <f t="shared" si="87"/>
        <v/>
      </c>
      <c r="JR17" s="11" t="str">
        <f t="shared" si="88"/>
        <v/>
      </c>
      <c r="JS17" s="17"/>
      <c r="JT17" s="17"/>
      <c r="JU17" s="17"/>
      <c r="JV17" s="17"/>
      <c r="JW17" s="17"/>
      <c r="JX17" s="17"/>
      <c r="JY17" s="17"/>
      <c r="JZ17" s="17"/>
      <c r="KA17" s="17"/>
      <c r="KB17" s="17"/>
      <c r="KC17" s="17"/>
      <c r="KD17" s="17"/>
      <c r="KE17" s="17"/>
      <c r="KF17" s="17"/>
      <c r="KG17" s="17"/>
      <c r="KH17" s="17"/>
      <c r="KI17" s="17"/>
      <c r="KJ17" s="17"/>
      <c r="KK17" s="17"/>
      <c r="KL17" s="17"/>
      <c r="KM17" s="40" t="str">
        <f t="shared" si="89"/>
        <v/>
      </c>
      <c r="KN17" s="40" t="str">
        <f t="shared" si="90"/>
        <v/>
      </c>
      <c r="KO17" s="40" t="str">
        <f t="shared" si="91"/>
        <v/>
      </c>
      <c r="KP17" s="40" t="str">
        <f t="shared" si="92"/>
        <v/>
      </c>
      <c r="KQ17" s="40" t="str">
        <f t="shared" si="93"/>
        <v/>
      </c>
      <c r="KR17" s="40" t="str">
        <f t="shared" si="94"/>
        <v/>
      </c>
      <c r="KS17" s="40" t="str">
        <f t="shared" si="95"/>
        <v/>
      </c>
      <c r="KT17" s="40" t="str">
        <f t="shared" si="96"/>
        <v/>
      </c>
      <c r="KU17" s="18"/>
      <c r="KV17" s="18"/>
      <c r="KW17" s="18"/>
      <c r="KX17" s="18"/>
      <c r="KY17" s="18"/>
      <c r="KZ17" s="18"/>
      <c r="LA17" s="18"/>
      <c r="LB17" s="18"/>
      <c r="LC17" s="18"/>
      <c r="LD17" s="18"/>
      <c r="LE17" s="18"/>
      <c r="LF17" s="18"/>
      <c r="LG17" s="18"/>
      <c r="LH17" s="18"/>
      <c r="LI17" s="18"/>
      <c r="LJ17" s="18"/>
      <c r="LK17" s="18"/>
      <c r="LL17" s="18"/>
      <c r="LM17" s="18"/>
      <c r="LN17" s="18"/>
      <c r="LO17" s="11" t="str">
        <f t="shared" si="97"/>
        <v/>
      </c>
      <c r="LP17" s="11" t="str">
        <f t="shared" si="98"/>
        <v/>
      </c>
      <c r="LQ17" s="11" t="str">
        <f t="shared" si="99"/>
        <v/>
      </c>
      <c r="LR17" s="11" t="str">
        <f t="shared" si="100"/>
        <v/>
      </c>
      <c r="LS17" s="11" t="str">
        <f t="shared" si="101"/>
        <v/>
      </c>
      <c r="LT17" s="11" t="str">
        <f t="shared" si="102"/>
        <v/>
      </c>
      <c r="LU17" s="11" t="str">
        <f t="shared" si="103"/>
        <v/>
      </c>
      <c r="LV17" s="11" t="str">
        <f t="shared" si="104"/>
        <v/>
      </c>
      <c r="LW17" s="17"/>
      <c r="LX17" s="17"/>
      <c r="LY17" s="17"/>
      <c r="LZ17" s="17"/>
      <c r="MA17" s="17"/>
      <c r="MB17" s="17"/>
      <c r="MC17" s="17"/>
      <c r="MD17" s="17"/>
      <c r="ME17" s="17"/>
      <c r="MF17" s="17"/>
      <c r="MG17" s="17"/>
      <c r="MH17" s="17"/>
      <c r="MI17" s="17"/>
      <c r="MJ17" s="17"/>
      <c r="MK17" s="17"/>
      <c r="ML17" s="17"/>
      <c r="MM17" s="17"/>
      <c r="MN17" s="17"/>
      <c r="MO17" s="17"/>
      <c r="MP17" s="17"/>
      <c r="MQ17" s="40" t="str">
        <f t="shared" si="105"/>
        <v/>
      </c>
      <c r="MR17" s="40" t="str">
        <f t="shared" si="106"/>
        <v/>
      </c>
      <c r="MS17" s="40" t="str">
        <f t="shared" si="107"/>
        <v/>
      </c>
      <c r="MT17" s="40" t="str">
        <f t="shared" si="108"/>
        <v/>
      </c>
      <c r="MU17" s="40" t="str">
        <f t="shared" si="109"/>
        <v/>
      </c>
      <c r="MV17" s="40" t="str">
        <f t="shared" si="110"/>
        <v/>
      </c>
      <c r="MW17" s="40" t="str">
        <f t="shared" si="111"/>
        <v/>
      </c>
      <c r="MX17" s="40" t="str">
        <f t="shared" si="112"/>
        <v/>
      </c>
      <c r="MY17" s="18"/>
      <c r="MZ17" s="18"/>
      <c r="NA17" s="18"/>
      <c r="NB17" s="18"/>
      <c r="NC17" s="18"/>
      <c r="ND17" s="18"/>
      <c r="NE17" s="18"/>
      <c r="NF17" s="18"/>
      <c r="NG17" s="18"/>
      <c r="NH17" s="18"/>
      <c r="NI17" s="18"/>
      <c r="NJ17" s="18"/>
      <c r="NK17" s="18"/>
      <c r="NL17" s="18"/>
      <c r="NM17" s="18"/>
      <c r="NN17" s="18"/>
      <c r="NO17" s="18"/>
      <c r="NP17" s="18"/>
      <c r="NQ17" s="18"/>
      <c r="NR17" s="18"/>
      <c r="NS17" s="11" t="str">
        <f t="shared" si="113"/>
        <v/>
      </c>
      <c r="NT17" s="11" t="str">
        <f t="shared" si="114"/>
        <v/>
      </c>
      <c r="NU17" s="11" t="str">
        <f t="shared" si="115"/>
        <v/>
      </c>
      <c r="NV17" s="11" t="str">
        <f t="shared" si="116"/>
        <v/>
      </c>
      <c r="NW17" s="11" t="str">
        <f t="shared" si="117"/>
        <v/>
      </c>
      <c r="NX17" s="11" t="str">
        <f t="shared" si="118"/>
        <v/>
      </c>
      <c r="NY17" s="11" t="str">
        <f t="shared" si="119"/>
        <v/>
      </c>
      <c r="NZ17" s="11" t="str">
        <f t="shared" si="120"/>
        <v/>
      </c>
      <c r="OA17" s="17"/>
      <c r="OB17" s="17"/>
      <c r="OC17" s="17"/>
      <c r="OD17" s="17"/>
      <c r="OE17" s="17"/>
      <c r="OF17" s="17"/>
      <c r="OG17" s="17"/>
      <c r="OH17" s="17"/>
      <c r="OI17" s="17"/>
      <c r="OJ17" s="17"/>
      <c r="OK17" s="17"/>
      <c r="OL17" s="17"/>
      <c r="OM17" s="17"/>
      <c r="ON17" s="17"/>
      <c r="OO17" s="17"/>
      <c r="OP17" s="17"/>
      <c r="OQ17" s="17"/>
      <c r="OR17" s="17"/>
      <c r="OS17" s="17"/>
      <c r="OT17" s="17"/>
      <c r="OU17" s="40" t="str">
        <f t="shared" si="121"/>
        <v/>
      </c>
      <c r="OV17" s="40" t="str">
        <f t="shared" si="122"/>
        <v/>
      </c>
      <c r="OW17" s="40" t="str">
        <f t="shared" si="123"/>
        <v/>
      </c>
      <c r="OX17" s="40" t="str">
        <f t="shared" si="124"/>
        <v/>
      </c>
      <c r="OY17" s="40" t="str">
        <f t="shared" si="125"/>
        <v/>
      </c>
      <c r="OZ17" s="40" t="str">
        <f t="shared" si="126"/>
        <v/>
      </c>
      <c r="PA17" s="40" t="str">
        <f t="shared" si="127"/>
        <v/>
      </c>
      <c r="PB17" s="40" t="str">
        <f t="shared" si="128"/>
        <v/>
      </c>
      <c r="PC17" s="18"/>
      <c r="PD17" s="18"/>
      <c r="PE17" s="18"/>
      <c r="PF17" s="18"/>
      <c r="PG17" s="18"/>
      <c r="PH17" s="18"/>
      <c r="PI17" s="18"/>
      <c r="PJ17" s="18"/>
      <c r="PK17" s="18"/>
      <c r="PL17" s="18"/>
      <c r="PM17" s="18"/>
      <c r="PN17" s="18"/>
      <c r="PO17" s="18"/>
      <c r="PP17" s="18"/>
      <c r="PQ17" s="18"/>
      <c r="PR17" s="18"/>
      <c r="PS17" s="18"/>
      <c r="PT17" s="18"/>
      <c r="PU17" s="18"/>
      <c r="PV17" s="18"/>
      <c r="PW17" s="11" t="str">
        <f t="shared" si="129"/>
        <v/>
      </c>
      <c r="PX17" s="11" t="str">
        <f t="shared" si="130"/>
        <v/>
      </c>
      <c r="PY17" s="11" t="str">
        <f t="shared" si="131"/>
        <v/>
      </c>
      <c r="PZ17" s="11" t="str">
        <f t="shared" si="132"/>
        <v/>
      </c>
      <c r="QA17" s="11" t="str">
        <f t="shared" si="133"/>
        <v/>
      </c>
      <c r="QB17" s="11" t="str">
        <f t="shared" si="134"/>
        <v/>
      </c>
      <c r="QC17" s="11" t="str">
        <f t="shared" si="135"/>
        <v/>
      </c>
      <c r="QD17" s="11" t="str">
        <f t="shared" si="136"/>
        <v/>
      </c>
      <c r="QE17" s="22">
        <f t="shared" si="137"/>
        <v>8.25</v>
      </c>
      <c r="QF17" s="22">
        <f t="shared" si="138"/>
        <v>2.0499999999999998</v>
      </c>
      <c r="QG17" s="22">
        <f t="shared" si="139"/>
        <v>0</v>
      </c>
      <c r="QH17" s="22">
        <f t="shared" si="140"/>
        <v>0.15</v>
      </c>
      <c r="QI17" s="22">
        <f t="shared" si="141"/>
        <v>8.75</v>
      </c>
      <c r="QJ17" s="22">
        <f t="shared" si="142"/>
        <v>1.9</v>
      </c>
      <c r="QK17" s="22">
        <f t="shared" si="143"/>
        <v>0</v>
      </c>
      <c r="QL17" s="22">
        <f t="shared" si="144"/>
        <v>0</v>
      </c>
      <c r="QM17" s="22">
        <f t="shared" si="145"/>
        <v>8.85</v>
      </c>
      <c r="QN17" s="22">
        <f t="shared" si="146"/>
        <v>1.9</v>
      </c>
      <c r="QO17" s="22">
        <f t="shared" si="147"/>
        <v>0</v>
      </c>
      <c r="QP17" s="22">
        <f t="shared" si="148"/>
        <v>0</v>
      </c>
      <c r="QQ17" s="22">
        <f t="shared" si="149"/>
        <v>8.5</v>
      </c>
      <c r="QR17" s="22">
        <f t="shared" si="150"/>
        <v>2.0499999999999998</v>
      </c>
      <c r="QS17" s="22">
        <f t="shared" si="151"/>
        <v>0</v>
      </c>
      <c r="QT17" s="22">
        <f t="shared" si="152"/>
        <v>0.15</v>
      </c>
      <c r="QU17" s="22">
        <f t="shared" si="153"/>
        <v>8.75</v>
      </c>
      <c r="QV17" s="22">
        <f t="shared" si="154"/>
        <v>1.6</v>
      </c>
      <c r="QW17" s="22">
        <f t="shared" si="155"/>
        <v>0</v>
      </c>
      <c r="QX17" s="22">
        <f t="shared" si="156"/>
        <v>0</v>
      </c>
      <c r="QY17" s="27" t="s">
        <v>46</v>
      </c>
      <c r="QZ17" s="40">
        <f t="shared" si="157"/>
        <v>3.9499999999999997</v>
      </c>
      <c r="RA17" s="40">
        <f t="shared" si="158"/>
        <v>21.1</v>
      </c>
      <c r="RB17" s="40">
        <f t="shared" si="159"/>
        <v>10.75</v>
      </c>
      <c r="RC17" s="40">
        <f t="shared" si="160"/>
        <v>5.85</v>
      </c>
      <c r="RD17" s="40">
        <f t="shared" si="161"/>
        <v>31.85</v>
      </c>
      <c r="RE17" s="40">
        <f t="shared" si="162"/>
        <v>3.65</v>
      </c>
      <c r="RF17" s="40">
        <f t="shared" si="163"/>
        <v>21.050000000000004</v>
      </c>
      <c r="RG17" s="40">
        <f t="shared" si="164"/>
        <v>42.150000000000006</v>
      </c>
    </row>
    <row r="18" spans="1:475" ht="17" x14ac:dyDescent="0.2">
      <c r="R18" s="10"/>
      <c r="S18" s="10"/>
      <c r="T18" s="10"/>
    </row>
    <row r="19" spans="1:475" ht="17" x14ac:dyDescent="0.2">
      <c r="R19" s="10"/>
      <c r="S19" s="10"/>
      <c r="T19" s="10"/>
    </row>
    <row r="20" spans="1:475" ht="17" x14ac:dyDescent="0.2">
      <c r="B20" s="23" t="s">
        <v>44</v>
      </c>
      <c r="R20" s="10"/>
      <c r="S20" s="10"/>
      <c r="T20" s="10"/>
      <c r="AP20" s="4"/>
      <c r="AW20" s="42">
        <v>9.1</v>
      </c>
      <c r="BS20" s="4"/>
      <c r="BZ20" s="42">
        <v>9.1</v>
      </c>
      <c r="CV20" s="4"/>
      <c r="DC20" s="42">
        <v>9.5</v>
      </c>
      <c r="EA20" s="4"/>
      <c r="EH20" s="42">
        <v>9.1</v>
      </c>
      <c r="FC20" s="4"/>
      <c r="FJ20" s="42">
        <v>9.1</v>
      </c>
      <c r="GE20" s="4"/>
      <c r="GL20" s="42">
        <v>9.1</v>
      </c>
      <c r="HG20" s="4"/>
      <c r="HN20" s="42">
        <v>9.1</v>
      </c>
      <c r="II20" s="4"/>
      <c r="IP20" s="42">
        <v>9.1</v>
      </c>
      <c r="JK20" s="4"/>
      <c r="JR20" s="42">
        <v>9.1</v>
      </c>
      <c r="KM20" s="4"/>
      <c r="KT20" s="42">
        <v>9.1</v>
      </c>
      <c r="LO20" s="4"/>
      <c r="LV20" s="42">
        <v>9.1</v>
      </c>
      <c r="MQ20" s="4"/>
      <c r="MX20" s="42">
        <v>9.5</v>
      </c>
      <c r="NS20" s="4"/>
      <c r="NZ20" s="42">
        <v>9.5</v>
      </c>
      <c r="OU20" s="4"/>
      <c r="PB20" s="42">
        <v>9.5</v>
      </c>
      <c r="PW20" s="4"/>
      <c r="QD20" s="42">
        <v>9.5</v>
      </c>
    </row>
    <row r="21" spans="1:475" ht="17" hidden="1" x14ac:dyDescent="0.2">
      <c r="B21" s="30" t="s">
        <v>43</v>
      </c>
      <c r="R21" s="10"/>
      <c r="S21" s="10"/>
      <c r="T21" s="10"/>
      <c r="AP21" s="4"/>
      <c r="AW21" s="51">
        <v>1000</v>
      </c>
      <c r="BS21" s="4"/>
      <c r="BZ21" s="51">
        <v>1000</v>
      </c>
      <c r="CV21" s="4"/>
      <c r="DC21" s="51">
        <v>1000</v>
      </c>
      <c r="EA21" s="4"/>
      <c r="EH21" s="51">
        <v>1000</v>
      </c>
      <c r="FC21" s="4"/>
      <c r="FJ21" s="51">
        <v>1000</v>
      </c>
      <c r="GE21" s="4"/>
      <c r="GL21" s="51">
        <v>1000</v>
      </c>
      <c r="HG21" s="4"/>
      <c r="HN21" s="51">
        <v>1000</v>
      </c>
      <c r="II21" s="4"/>
      <c r="IP21" s="51">
        <v>1000</v>
      </c>
      <c r="JK21" s="4"/>
      <c r="JR21" s="51">
        <v>1000</v>
      </c>
      <c r="KM21" s="4"/>
      <c r="KT21" s="51">
        <v>1000</v>
      </c>
      <c r="LO21" s="4"/>
      <c r="LV21" s="51">
        <v>1000</v>
      </c>
      <c r="MQ21" s="4"/>
      <c r="MX21" s="51">
        <v>1000</v>
      </c>
      <c r="NS21" s="4"/>
      <c r="NZ21" s="51">
        <v>1000</v>
      </c>
      <c r="OU21" s="4"/>
      <c r="PB21" s="51">
        <v>1000</v>
      </c>
      <c r="PW21" s="4"/>
      <c r="QD21" s="51">
        <v>1000</v>
      </c>
    </row>
    <row r="22" spans="1:475" ht="17" hidden="1" x14ac:dyDescent="0.2">
      <c r="A22" s="5"/>
      <c r="B22" s="31" t="s">
        <v>55</v>
      </c>
      <c r="C22" s="20"/>
      <c r="R22" s="10"/>
      <c r="S22" s="10"/>
      <c r="T22" s="10"/>
      <c r="AP22" s="4"/>
      <c r="AW22" s="43">
        <v>1000</v>
      </c>
      <c r="BS22" s="4"/>
      <c r="BZ22" s="43">
        <v>1000</v>
      </c>
      <c r="CV22" s="4"/>
      <c r="DC22" s="43">
        <v>1000</v>
      </c>
      <c r="EA22" s="4"/>
      <c r="EH22" s="43">
        <v>1000</v>
      </c>
      <c r="FC22" s="4"/>
      <c r="FJ22" s="43">
        <v>1000</v>
      </c>
      <c r="GE22" s="4"/>
      <c r="GL22" s="43">
        <v>1000</v>
      </c>
      <c r="HG22" s="4"/>
      <c r="HN22" s="43">
        <v>1000</v>
      </c>
      <c r="II22" s="4"/>
      <c r="IP22" s="43">
        <v>1000</v>
      </c>
      <c r="JK22" s="4"/>
      <c r="JR22" s="43">
        <v>1000</v>
      </c>
      <c r="KM22" s="4"/>
      <c r="KT22" s="43">
        <v>1000</v>
      </c>
      <c r="LO22" s="4"/>
      <c r="LV22" s="43">
        <v>1000</v>
      </c>
      <c r="MQ22" s="4"/>
      <c r="MX22" s="43">
        <v>1000</v>
      </c>
      <c r="NS22" s="4"/>
      <c r="NZ22" s="43">
        <v>1000</v>
      </c>
      <c r="OU22" s="4"/>
      <c r="PB22" s="43">
        <v>1000</v>
      </c>
      <c r="PW22" s="4"/>
      <c r="QD22" s="43">
        <v>1000</v>
      </c>
    </row>
    <row r="23" spans="1:475" ht="17" hidden="1" x14ac:dyDescent="0.2">
      <c r="A23" s="5"/>
      <c r="B23" s="35" t="s">
        <v>62</v>
      </c>
      <c r="C23" s="20"/>
      <c r="R23" s="10"/>
      <c r="S23" s="10"/>
      <c r="T23" s="10"/>
      <c r="AP23" s="4"/>
      <c r="AW23" s="44">
        <v>1000</v>
      </c>
      <c r="BS23" s="4"/>
      <c r="BZ23" s="44">
        <v>1000</v>
      </c>
      <c r="CV23" s="4"/>
      <c r="DC23" s="44">
        <v>1000</v>
      </c>
      <c r="EA23" s="4"/>
      <c r="EH23" s="44">
        <v>1000</v>
      </c>
      <c r="FC23" s="4"/>
      <c r="FJ23" s="44">
        <v>1000</v>
      </c>
      <c r="GE23" s="4"/>
      <c r="GL23" s="44">
        <v>1000</v>
      </c>
      <c r="HG23" s="4"/>
      <c r="HN23" s="44">
        <v>1000</v>
      </c>
      <c r="II23" s="4"/>
      <c r="IP23" s="44">
        <v>1000</v>
      </c>
      <c r="JK23" s="4"/>
      <c r="JR23" s="44">
        <v>1000</v>
      </c>
      <c r="KM23" s="4"/>
      <c r="KT23" s="44">
        <v>1000</v>
      </c>
      <c r="LO23" s="4"/>
      <c r="LV23" s="44">
        <v>1000</v>
      </c>
      <c r="MQ23" s="4"/>
      <c r="MX23" s="44">
        <v>1000</v>
      </c>
      <c r="NS23" s="4"/>
      <c r="NZ23" s="44">
        <v>1000</v>
      </c>
      <c r="OU23" s="4"/>
      <c r="PB23" s="44">
        <v>1000</v>
      </c>
      <c r="PW23" s="4"/>
      <c r="QD23" s="44">
        <v>1000</v>
      </c>
    </row>
    <row r="24" spans="1:475" ht="17" x14ac:dyDescent="0.2">
      <c r="A24" s="5"/>
      <c r="B24" s="34" t="s">
        <v>41</v>
      </c>
      <c r="C24" s="20"/>
      <c r="R24" s="10"/>
      <c r="S24" s="10"/>
      <c r="T24" s="10"/>
      <c r="AP24" s="4"/>
      <c r="AW24" s="45">
        <v>44.1</v>
      </c>
      <c r="BS24" s="4"/>
      <c r="BZ24" s="45">
        <v>44.1</v>
      </c>
      <c r="CV24" s="4"/>
      <c r="DC24" s="45">
        <v>43.9</v>
      </c>
      <c r="EA24" s="4"/>
      <c r="EH24" s="45">
        <v>44.1</v>
      </c>
      <c r="FC24" s="4"/>
      <c r="FJ24" s="45">
        <v>44.1</v>
      </c>
      <c r="GE24" s="4"/>
      <c r="GL24" s="45">
        <v>44.1</v>
      </c>
      <c r="HG24" s="4"/>
      <c r="HN24" s="45">
        <v>44.1</v>
      </c>
      <c r="II24" s="4"/>
      <c r="IP24" s="45">
        <v>44.1</v>
      </c>
      <c r="JK24" s="4"/>
      <c r="JR24" s="45">
        <v>44.1</v>
      </c>
      <c r="KM24" s="4"/>
      <c r="KT24" s="45">
        <v>44.1</v>
      </c>
      <c r="LO24" s="4"/>
      <c r="LV24" s="45">
        <v>44.1</v>
      </c>
      <c r="MQ24" s="4"/>
      <c r="MX24" s="45">
        <v>43.9</v>
      </c>
      <c r="NS24" s="4"/>
      <c r="NZ24" s="45">
        <v>43.9</v>
      </c>
      <c r="OU24" s="4"/>
      <c r="PB24" s="45">
        <v>43.9</v>
      </c>
      <c r="PW24" s="4"/>
      <c r="QD24" s="45">
        <v>43.9</v>
      </c>
    </row>
    <row r="25" spans="1:475" ht="17" hidden="1" x14ac:dyDescent="0.2">
      <c r="A25" s="5"/>
      <c r="B25" s="24" t="s">
        <v>42</v>
      </c>
      <c r="C25" s="20"/>
      <c r="R25" s="10"/>
      <c r="S25" s="10"/>
      <c r="T25" s="10"/>
      <c r="AP25" s="4"/>
      <c r="AW25" s="46">
        <v>1000</v>
      </c>
      <c r="BS25" s="4"/>
      <c r="BZ25" s="46">
        <v>1000</v>
      </c>
      <c r="CV25" s="4"/>
      <c r="DC25" s="46">
        <v>1000</v>
      </c>
      <c r="EA25" s="4"/>
      <c r="EH25" s="46">
        <v>1000</v>
      </c>
      <c r="FC25" s="4"/>
      <c r="FJ25" s="46">
        <v>1000</v>
      </c>
      <c r="GE25" s="4"/>
      <c r="GL25" s="46">
        <v>1000</v>
      </c>
      <c r="HG25" s="4"/>
      <c r="HN25" s="46">
        <v>1000</v>
      </c>
      <c r="II25" s="4"/>
      <c r="IP25" s="46">
        <v>1000</v>
      </c>
      <c r="JK25" s="4"/>
      <c r="JR25" s="46">
        <v>1000</v>
      </c>
      <c r="KM25" s="4"/>
      <c r="KT25" s="46">
        <v>1000</v>
      </c>
      <c r="LO25" s="4"/>
      <c r="LV25" s="46">
        <v>1000</v>
      </c>
      <c r="MQ25" s="4"/>
      <c r="MX25" s="46">
        <v>1000</v>
      </c>
      <c r="NS25" s="4"/>
      <c r="NZ25" s="46">
        <v>1000</v>
      </c>
      <c r="OU25" s="4"/>
      <c r="PB25" s="46">
        <v>1000</v>
      </c>
      <c r="PW25" s="4"/>
      <c r="QD25" s="46">
        <v>1000</v>
      </c>
    </row>
    <row r="26" spans="1:475" ht="17" hidden="1" x14ac:dyDescent="0.2">
      <c r="A26" s="5"/>
      <c r="B26" s="33" t="s">
        <v>54</v>
      </c>
      <c r="C26" s="20"/>
      <c r="R26" s="10"/>
      <c r="S26" s="10"/>
      <c r="T26" s="10"/>
      <c r="AP26" s="4"/>
      <c r="AW26" s="47">
        <v>1000</v>
      </c>
      <c r="BS26" s="4"/>
      <c r="BZ26" s="47">
        <v>1000</v>
      </c>
      <c r="CV26" s="4"/>
      <c r="DC26" s="47">
        <v>1000</v>
      </c>
      <c r="EA26" s="4"/>
      <c r="EH26" s="47">
        <v>1000</v>
      </c>
      <c r="FC26" s="4"/>
      <c r="FJ26" s="47">
        <v>1000</v>
      </c>
      <c r="GE26" s="4"/>
      <c r="GL26" s="47">
        <v>1000</v>
      </c>
      <c r="HG26" s="4"/>
      <c r="HN26" s="47">
        <v>1000</v>
      </c>
      <c r="II26" s="4"/>
      <c r="IP26" s="47">
        <v>1000</v>
      </c>
      <c r="JK26" s="4"/>
      <c r="JR26" s="47">
        <v>1000</v>
      </c>
      <c r="KM26" s="4"/>
      <c r="KT26" s="47">
        <v>1000</v>
      </c>
      <c r="LO26" s="4"/>
      <c r="LV26" s="47">
        <v>1000</v>
      </c>
      <c r="MQ26" s="4"/>
      <c r="MX26" s="47">
        <v>1000</v>
      </c>
      <c r="NS26" s="4"/>
      <c r="NZ26" s="47">
        <v>1000</v>
      </c>
      <c r="OU26" s="4"/>
      <c r="PB26" s="47">
        <v>1000</v>
      </c>
      <c r="PW26" s="4"/>
      <c r="QD26" s="47">
        <v>1000</v>
      </c>
    </row>
    <row r="27" spans="1:475" ht="17" hidden="1" x14ac:dyDescent="0.2">
      <c r="A27" s="5"/>
      <c r="B27" s="25" t="s">
        <v>27</v>
      </c>
      <c r="C27" s="20"/>
      <c r="R27" s="10"/>
      <c r="S27" s="10"/>
      <c r="T27" s="10"/>
      <c r="AP27" s="4"/>
      <c r="AW27" s="48">
        <v>1000</v>
      </c>
      <c r="BS27" s="4"/>
      <c r="BZ27" s="48">
        <v>1000</v>
      </c>
      <c r="CV27" s="4"/>
      <c r="DC27" s="48">
        <v>1000</v>
      </c>
      <c r="EA27" s="4"/>
      <c r="EH27" s="48">
        <v>1000</v>
      </c>
      <c r="FC27" s="4"/>
      <c r="FJ27" s="48">
        <v>1000</v>
      </c>
      <c r="GE27" s="4"/>
      <c r="GL27" s="48">
        <v>1000</v>
      </c>
      <c r="HG27" s="4"/>
      <c r="HN27" s="48">
        <v>1000</v>
      </c>
      <c r="II27" s="4"/>
      <c r="IP27" s="48">
        <v>1000</v>
      </c>
      <c r="JK27" s="4"/>
      <c r="JR27" s="48">
        <v>1000</v>
      </c>
      <c r="KM27" s="4"/>
      <c r="KT27" s="48">
        <v>1000</v>
      </c>
      <c r="LO27" s="4"/>
      <c r="LV27" s="48">
        <v>1000</v>
      </c>
      <c r="MQ27" s="4"/>
      <c r="MX27" s="48">
        <v>1000</v>
      </c>
      <c r="NS27" s="4"/>
      <c r="NZ27" s="48">
        <v>1000</v>
      </c>
      <c r="OU27" s="4"/>
      <c r="PB27" s="48">
        <v>1000</v>
      </c>
      <c r="PW27" s="4"/>
      <c r="QD27" s="48">
        <v>1000</v>
      </c>
    </row>
    <row r="28" spans="1:475" x14ac:dyDescent="0.2">
      <c r="B28" s="29" t="s">
        <v>47</v>
      </c>
      <c r="C28" s="2"/>
    </row>
    <row r="29" spans="1:475" x14ac:dyDescent="0.2">
      <c r="A29" s="5"/>
      <c r="B29" s="5"/>
      <c r="C29" s="20"/>
      <c r="QF29" s="2"/>
      <c r="QG29" s="2"/>
      <c r="QH29" s="2"/>
      <c r="QI29" s="2"/>
      <c r="QJ29" s="2"/>
      <c r="QK29" s="2"/>
      <c r="QL29" s="2"/>
      <c r="QM29" s="2"/>
      <c r="QN29" s="2"/>
    </row>
    <row r="30" spans="1:475" x14ac:dyDescent="0.2">
      <c r="A30" s="5"/>
      <c r="B30" s="5"/>
      <c r="C30" s="20"/>
    </row>
    <row r="31" spans="1:475" x14ac:dyDescent="0.2">
      <c r="A31" s="5"/>
      <c r="B31" s="5"/>
      <c r="C31" s="20"/>
    </row>
    <row r="32" spans="1:475" x14ac:dyDescent="0.2">
      <c r="A32" s="5"/>
      <c r="B32" s="5"/>
      <c r="C32" s="5"/>
    </row>
    <row r="35" spans="2:2" x14ac:dyDescent="0.2">
      <c r="B35" s="52"/>
    </row>
  </sheetData>
  <sheetProtection sheet="1" formatCells="0" formatColumns="0" formatRows="0"/>
  <autoFilter ref="A1:RG13" xr:uid="{BB9C3AB3-2D15-174E-B900-3E2F789706E1}"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7" showButton="0"/>
    <filterColumn colId="108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sortState xmlns:xlrd2="http://schemas.microsoft.com/office/spreadsheetml/2017/richdata2" ref="A6:RG17">
      <sortCondition descending="1" ref="F1:F18"/>
    </sortState>
  </autoFilter>
  <mergeCells count="117">
    <mergeCell ref="A1:A3"/>
    <mergeCell ref="B1:B3"/>
    <mergeCell ref="C1:C3"/>
    <mergeCell ref="D1:D3"/>
    <mergeCell ref="E1:E3"/>
    <mergeCell ref="F1:F3"/>
    <mergeCell ref="M1:M3"/>
    <mergeCell ref="N1:N3"/>
    <mergeCell ref="O1:O3"/>
    <mergeCell ref="P1:P3"/>
    <mergeCell ref="Q1:Q3"/>
    <mergeCell ref="R1:R3"/>
    <mergeCell ref="G1:G3"/>
    <mergeCell ref="H1:H3"/>
    <mergeCell ref="I1:I3"/>
    <mergeCell ref="J1:J3"/>
    <mergeCell ref="K1:K3"/>
    <mergeCell ref="L1:L3"/>
    <mergeCell ref="FK1:GL1"/>
    <mergeCell ref="GM1:HN1"/>
    <mergeCell ref="HO1:IP1"/>
    <mergeCell ref="IQ1:JR1"/>
    <mergeCell ref="S1:S3"/>
    <mergeCell ref="T1:T3"/>
    <mergeCell ref="U1:AW1"/>
    <mergeCell ref="AX1:BZ1"/>
    <mergeCell ref="CA1:DC1"/>
    <mergeCell ref="DD1:DF1"/>
    <mergeCell ref="BN2:BQ2"/>
    <mergeCell ref="CA2:CD2"/>
    <mergeCell ref="CE2:CH2"/>
    <mergeCell ref="CI2:CL2"/>
    <mergeCell ref="CM2:CP2"/>
    <mergeCell ref="CQ2:CT2"/>
    <mergeCell ref="DG2:DJ2"/>
    <mergeCell ref="DK2:DN2"/>
    <mergeCell ref="DO2:DR2"/>
    <mergeCell ref="DS2:DV2"/>
    <mergeCell ref="DW2:DZ2"/>
    <mergeCell ref="EI2:EL2"/>
    <mergeCell ref="EM2:EP2"/>
    <mergeCell ref="EQ2:ET2"/>
    <mergeCell ref="QE1:RG1"/>
    <mergeCell ref="U2:X2"/>
    <mergeCell ref="Y2:AB2"/>
    <mergeCell ref="AC2:AF2"/>
    <mergeCell ref="AG2:AJ2"/>
    <mergeCell ref="AK2:AN2"/>
    <mergeCell ref="AX2:BA2"/>
    <mergeCell ref="BB2:BE2"/>
    <mergeCell ref="BF2:BI2"/>
    <mergeCell ref="BJ2:BM2"/>
    <mergeCell ref="JS1:KT1"/>
    <mergeCell ref="KU1:LV1"/>
    <mergeCell ref="LW1:MX1"/>
    <mergeCell ref="MY1:NZ1"/>
    <mergeCell ref="OA1:PB1"/>
    <mergeCell ref="PC1:QD1"/>
    <mergeCell ref="DG1:EH1"/>
    <mergeCell ref="EI1:FJ1"/>
    <mergeCell ref="FK2:FN2"/>
    <mergeCell ref="FO2:FR2"/>
    <mergeCell ref="FS2:FV2"/>
    <mergeCell ref="FW2:FZ2"/>
    <mergeCell ref="GA2:GD2"/>
    <mergeCell ref="GM2:GP2"/>
    <mergeCell ref="EU2:EX2"/>
    <mergeCell ref="EY2:FB2"/>
    <mergeCell ref="HW2:HZ2"/>
    <mergeCell ref="IA2:ID2"/>
    <mergeCell ref="IE2:IH2"/>
    <mergeCell ref="IQ2:IT2"/>
    <mergeCell ref="IU2:IX2"/>
    <mergeCell ref="IY2:JB2"/>
    <mergeCell ref="GQ2:GT2"/>
    <mergeCell ref="GU2:GX2"/>
    <mergeCell ref="GY2:HB2"/>
    <mergeCell ref="HC2:HF2"/>
    <mergeCell ref="HO2:HR2"/>
    <mergeCell ref="HS2:HV2"/>
    <mergeCell ref="KI2:KL2"/>
    <mergeCell ref="KU2:KX2"/>
    <mergeCell ref="KY2:LB2"/>
    <mergeCell ref="LC2:LF2"/>
    <mergeCell ref="LG2:LJ2"/>
    <mergeCell ref="LK2:LN2"/>
    <mergeCell ref="JC2:JF2"/>
    <mergeCell ref="JG2:JJ2"/>
    <mergeCell ref="JS2:JV2"/>
    <mergeCell ref="JW2:JZ2"/>
    <mergeCell ref="KA2:KD2"/>
    <mergeCell ref="KE2:KH2"/>
    <mergeCell ref="NC2:NF2"/>
    <mergeCell ref="NG2:NJ2"/>
    <mergeCell ref="NK2:NN2"/>
    <mergeCell ref="NO2:NR2"/>
    <mergeCell ref="OA2:OD2"/>
    <mergeCell ref="OE2:OH2"/>
    <mergeCell ref="LW2:LZ2"/>
    <mergeCell ref="MA2:MD2"/>
    <mergeCell ref="ME2:MH2"/>
    <mergeCell ref="MI2:ML2"/>
    <mergeCell ref="MM2:MP2"/>
    <mergeCell ref="MY2:NB2"/>
    <mergeCell ref="QU2:QX2"/>
    <mergeCell ref="PO2:PR2"/>
    <mergeCell ref="PS2:PV2"/>
    <mergeCell ref="QE2:QH2"/>
    <mergeCell ref="QI2:QL2"/>
    <mergeCell ref="QM2:QP2"/>
    <mergeCell ref="QQ2:QT2"/>
    <mergeCell ref="OI2:OL2"/>
    <mergeCell ref="OM2:OP2"/>
    <mergeCell ref="OQ2:OT2"/>
    <mergeCell ref="PC2:PF2"/>
    <mergeCell ref="PG2:PJ2"/>
    <mergeCell ref="PK2:PN2"/>
  </mergeCells>
  <conditionalFormatting sqref="U4:AW17">
    <cfRule type="expression" dxfId="111" priority="28" stopIfTrue="1">
      <formula>IF($AO4&lt;&gt;"",1,0)</formula>
    </cfRule>
  </conditionalFormatting>
  <conditionalFormatting sqref="AX4:BZ17">
    <cfRule type="expression" dxfId="110" priority="27" stopIfTrue="1">
      <formula>IF($BR4&lt;&gt;"",1,0)</formula>
    </cfRule>
  </conditionalFormatting>
  <conditionalFormatting sqref="M1:M3 O1:O3 K1:K1048576 Q1:Q1048576 M4:O1048576">
    <cfRule type="expression" dxfId="109" priority="24">
      <formula>IF(K1=$CA$1,1,0)</formula>
    </cfRule>
    <cfRule type="expression" dxfId="108" priority="25">
      <formula>IF(K1=$AX$1,1,0)</formula>
    </cfRule>
    <cfRule type="expression" dxfId="107" priority="26">
      <formula>IF(K1=$U$1,1,0)</formula>
    </cfRule>
  </conditionalFormatting>
  <conditionalFormatting sqref="CA4:DC17">
    <cfRule type="expression" dxfId="106" priority="23" stopIfTrue="1">
      <formula>IF($CU4&lt;&gt;"",1,0)</formula>
    </cfRule>
  </conditionalFormatting>
  <conditionalFormatting sqref="A1:A1048576">
    <cfRule type="expression" dxfId="105" priority="22">
      <formula>AND(G1="P",F1="")</formula>
    </cfRule>
  </conditionalFormatting>
  <conditionalFormatting sqref="H1:H1048576">
    <cfRule type="containsText" dxfId="104" priority="17" operator="containsText" text="No DD">
      <formula>NOT(ISERROR(SEARCH("No DD",H1)))</formula>
    </cfRule>
    <cfRule type="containsText" dxfId="103" priority="18" operator="containsText" text="Merit">
      <formula>NOT(ISERROR(SEARCH("Merit",H1)))</formula>
    </cfRule>
    <cfRule type="containsText" dxfId="102" priority="19" operator="containsText" text="Excellence">
      <formula>NOT(ISERROR(SEARCH("Excellence",H1)))</formula>
    </cfRule>
    <cfRule type="containsText" dxfId="101" priority="20" operator="containsText" text="Worlds Team">
      <formula>NOT(ISERROR(SEARCH("Worlds Team",H1)))</formula>
    </cfRule>
    <cfRule type="containsText" dxfId="100" priority="21" operator="containsText" text="National Team">
      <formula>NOT(ISERROR(SEARCH("National Team",H1)))</formula>
    </cfRule>
  </conditionalFormatting>
  <conditionalFormatting sqref="AT28:AT1048576 BW28:BW1048576 EE28:EE1048576 BW1:BW26 CZ1:CZ1048576 EE1:EE26 FG1:FG1048576 GI1:GI1048576 HK1:HK1048576 IM1:IM1048576 JO1:JO1048576 KQ1:KQ1048576 LS1:LS1048576 MU1:MU1048576 NW1:NW1048576 OY1:OY1048576 QA1:QA1048576 AT1:AT26">
    <cfRule type="cellIs" dxfId="99" priority="14" operator="between">
      <formula>AW$27</formula>
      <formula>1000</formula>
    </cfRule>
    <cfRule type="cellIs" dxfId="98" priority="15" operator="between">
      <formula>AW$26</formula>
      <formula>AW$27</formula>
    </cfRule>
    <cfRule type="cellIs" dxfId="97" priority="16" operator="between">
      <formula>AW$25</formula>
      <formula>AW$26</formula>
    </cfRule>
  </conditionalFormatting>
  <conditionalFormatting sqref="PW1:PW1048576 AP1:AP1048576 BS1:BS1048576 CV1:CV1048576 EA1:EA1048576 FC1:FC1048576 GE1:GE1048576 HG1:HG1048576 II1:II1048576 JK1:JK1048576 KM1:KM1048576 LO1:LO1048576 MQ1:MQ1048576 NS1:NS1048576 OU1:OU1048576">
    <cfRule type="cellIs" dxfId="96" priority="107761" operator="between">
      <formula>AW$20</formula>
      <formula>1000</formula>
    </cfRule>
  </conditionalFormatting>
  <conditionalFormatting sqref="PX1:PX1048576 AQ1:AQ1048576 BT1:BT1048576 CW1:CW1048576 EB1:EB1048576 FD1:FD1048576 GF1:GF1048576 HH1:HH1048576 IJ1:IJ1048576 JL1:JL1048576 KN1:KN1048576 LP1:LP1048576 MR1:MR1048576 NT1:NT1048576 OV1:OV1048576">
    <cfRule type="cellIs" dxfId="95" priority="107806" operator="between">
      <formula>AW$24</formula>
      <formula>1000</formula>
    </cfRule>
  </conditionalFormatting>
  <conditionalFormatting sqref="AU1:AU1048576 BX1:BX1048576 DA1:DA1048576 EF1:EF1048576 FH1:FH1048576 GJ1:GJ1048576 HL1:HL1048576 IN1:IN1048576 JP1:JP1048576 KR1:KR1048576 LT1:LT1048576 MV1:MV1048576 NX1:NX1048576 OZ1:OZ1048576 QB1:QB1048576">
    <cfRule type="cellIs" dxfId="94" priority="107851" operator="between">
      <formula>AW$20</formula>
      <formula>AW$21</formula>
    </cfRule>
    <cfRule type="cellIs" dxfId="93" priority="107852" operator="between">
      <formula>AW$21</formula>
      <formula>AW$22</formula>
    </cfRule>
    <cfRule type="cellIs" dxfId="92" priority="107853" operator="between">
      <formula>AW$22</formula>
      <formula>AW$23</formula>
    </cfRule>
    <cfRule type="cellIs" dxfId="91" priority="107854" operator="between">
      <formula>AW$23</formula>
      <formula>1000</formula>
    </cfRule>
  </conditionalFormatting>
  <conditionalFormatting sqref="AV1:AV1048576 BY1:BY1048576 DB1:DB1048576 EG1:EG1048576 FI1:FI1048576 GK1:GK1048576 HM1:HM1048576 IO1:IO1048576 JQ1:JQ1048576 KS1:KS1048576 LU1:LU1048576 MW1:MW1048576 NY1:NY1048576 PA1:PA1048576 QC1:QC1048576">
    <cfRule type="cellIs" dxfId="90" priority="108031" operator="between">
      <formula>AW$24</formula>
      <formula>AW$25</formula>
    </cfRule>
    <cfRule type="cellIs" dxfId="89" priority="108032" operator="between">
      <formula>AW$25</formula>
      <formula>AW$26</formula>
    </cfRule>
    <cfRule type="cellIs" dxfId="88" priority="108033" operator="between">
      <formula>AW$26</formula>
      <formula>AW$27</formula>
    </cfRule>
    <cfRule type="cellIs" dxfId="87" priority="108034" operator="between">
      <formula>AW$27</formula>
      <formula>1000</formula>
    </cfRule>
  </conditionalFormatting>
  <conditionalFormatting sqref="AS1:AS1048576 BV1:BV1048576 CY1:CY1048576 FF1:FF1048576 GH1:GH1048576 HJ1:HJ1048576 IL1:IL1048576 JN1:JN1048576 KP1:KP1048576 LR1:LR1048576 MT1:MT1048576 NV1:NV1048576 OX1:OX1048576 PZ1:PZ1048576 ED1:ED1048576">
    <cfRule type="cellIs" dxfId="86" priority="108211" operator="between">
      <formula>AW$23</formula>
      <formula>1000</formula>
    </cfRule>
    <cfRule type="cellIs" dxfId="85" priority="108212" operator="between">
      <formula>AW$22</formula>
      <formula>AW$23</formula>
    </cfRule>
    <cfRule type="cellIs" dxfId="84" priority="108213" operator="between">
      <formula>AW$21</formula>
      <formula>AW$22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2E3596-2F6A-9A40-8CEA-C9D4F0DC5B18}">
  <sheetPr codeName="Sheet16"/>
  <dimension ref="A1:RG38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8" max="8" width="13.33203125" style="36" bestFit="1" customWidth="1"/>
    <col min="9" max="9" width="15.33203125" customWidth="1"/>
    <col min="11" max="11" width="27.5" bestFit="1" customWidth="1"/>
    <col min="12" max="12" width="10.5" customWidth="1"/>
    <col min="13" max="13" width="27.5" bestFit="1" customWidth="1"/>
    <col min="14" max="14" width="10.5" customWidth="1"/>
    <col min="15" max="15" width="27.5" customWidth="1"/>
    <col min="16" max="16" width="10.83203125" customWidth="1"/>
    <col min="17" max="17" width="27.5" customWidth="1"/>
    <col min="18" max="18" width="24.6640625" customWidth="1"/>
    <col min="19" max="19" width="13" customWidth="1"/>
    <col min="20" max="20" width="40.33203125" bestFit="1" customWidth="1"/>
    <col min="21" max="41" width="10.83203125" hidden="1" customWidth="1"/>
    <col min="42" max="49" width="10.83203125" style="36" customWidth="1"/>
    <col min="50" max="70" width="10.83203125" hidden="1" customWidth="1"/>
    <col min="71" max="78" width="10.83203125" style="36" customWidth="1"/>
    <col min="79" max="99" width="10.83203125" hidden="1" customWidth="1"/>
    <col min="100" max="110" width="10.83203125" style="36" customWidth="1"/>
    <col min="111" max="130" width="10.83203125" hidden="1" customWidth="1"/>
    <col min="131" max="138" width="10.83203125" style="36" customWidth="1"/>
    <col min="139" max="158" width="10.83203125" hidden="1" customWidth="1"/>
    <col min="159" max="166" width="10.83203125" style="36" customWidth="1"/>
    <col min="167" max="186" width="10.83203125" hidden="1" customWidth="1"/>
    <col min="187" max="194" width="10.83203125" style="36" customWidth="1"/>
    <col min="195" max="214" width="10.83203125" hidden="1" customWidth="1"/>
    <col min="215" max="222" width="10.83203125" style="36" customWidth="1"/>
    <col min="223" max="242" width="10.83203125" hidden="1" customWidth="1"/>
    <col min="243" max="250" width="10.83203125" style="36" customWidth="1"/>
    <col min="251" max="270" width="10.83203125" hidden="1" customWidth="1"/>
    <col min="271" max="278" width="10.83203125" style="36" customWidth="1"/>
    <col min="279" max="298" width="10.83203125" hidden="1" customWidth="1"/>
    <col min="299" max="306" width="10.83203125" style="36" hidden="1" customWidth="1"/>
    <col min="307" max="326" width="10.83203125" hidden="1" customWidth="1"/>
    <col min="327" max="334" width="10.83203125" style="36" hidden="1" customWidth="1"/>
    <col min="335" max="354" width="10.83203125" hidden="1" customWidth="1"/>
    <col min="355" max="362" width="10.83203125" style="36" hidden="1" customWidth="1"/>
    <col min="363" max="382" width="10.83203125" hidden="1" customWidth="1"/>
    <col min="383" max="390" width="10.83203125" style="36" hidden="1" customWidth="1"/>
    <col min="391" max="410" width="10.83203125" hidden="1" customWidth="1"/>
    <col min="411" max="418" width="10.83203125" style="36" hidden="1" customWidth="1"/>
    <col min="419" max="438" width="10.83203125" hidden="1" customWidth="1"/>
    <col min="439" max="446" width="10.83203125" style="36" hidden="1" customWidth="1"/>
    <col min="447" max="467" width="10.83203125" hidden="1" customWidth="1"/>
    <col min="468" max="475" width="10.83203125" style="36" hidden="1" customWidth="1"/>
  </cols>
  <sheetData>
    <row r="1" spans="1:475" ht="16" customHeight="1" x14ac:dyDescent="0.2">
      <c r="A1" s="71" t="s">
        <v>1</v>
      </c>
      <c r="B1" s="71" t="s">
        <v>22</v>
      </c>
      <c r="C1" s="71" t="s">
        <v>0</v>
      </c>
      <c r="D1" s="71" t="s">
        <v>48</v>
      </c>
      <c r="E1" s="71" t="s">
        <v>2</v>
      </c>
      <c r="F1" s="74" t="s">
        <v>53</v>
      </c>
      <c r="G1" s="74" t="s">
        <v>8</v>
      </c>
      <c r="H1" s="71" t="s">
        <v>9</v>
      </c>
      <c r="I1" s="74" t="s">
        <v>71</v>
      </c>
      <c r="J1" s="72" t="s">
        <v>99</v>
      </c>
      <c r="K1" s="70" t="s">
        <v>25</v>
      </c>
      <c r="L1" s="72" t="s">
        <v>100</v>
      </c>
      <c r="M1" s="70" t="s">
        <v>25</v>
      </c>
      <c r="N1" s="72" t="s">
        <v>101</v>
      </c>
      <c r="O1" s="70" t="s">
        <v>25</v>
      </c>
      <c r="P1" s="70" t="s">
        <v>10</v>
      </c>
      <c r="Q1" s="70" t="s">
        <v>25</v>
      </c>
      <c r="R1" s="73" t="s">
        <v>11</v>
      </c>
      <c r="S1" s="70" t="s">
        <v>26</v>
      </c>
      <c r="T1" s="70" t="s">
        <v>25</v>
      </c>
      <c r="U1" s="66" t="s">
        <v>119</v>
      </c>
      <c r="V1" s="66"/>
      <c r="W1" s="66"/>
      <c r="X1" s="66"/>
      <c r="Y1" s="66"/>
      <c r="Z1" s="66"/>
      <c r="AA1" s="66"/>
      <c r="AB1" s="66"/>
      <c r="AC1" s="66"/>
      <c r="AD1" s="66"/>
      <c r="AE1" s="66"/>
      <c r="AF1" s="66"/>
      <c r="AG1" s="66"/>
      <c r="AH1" s="66"/>
      <c r="AI1" s="66"/>
      <c r="AJ1" s="66"/>
      <c r="AK1" s="66"/>
      <c r="AL1" s="66"/>
      <c r="AM1" s="66"/>
      <c r="AN1" s="66"/>
      <c r="AO1" s="66"/>
      <c r="AP1" s="66"/>
      <c r="AQ1" s="66"/>
      <c r="AR1" s="66"/>
      <c r="AS1" s="66"/>
      <c r="AT1" s="66"/>
      <c r="AU1" s="66"/>
      <c r="AV1" s="66"/>
      <c r="AW1" s="66"/>
      <c r="AX1" s="67" t="s">
        <v>129</v>
      </c>
      <c r="AY1" s="67"/>
      <c r="AZ1" s="67"/>
      <c r="BA1" s="67"/>
      <c r="BB1" s="67"/>
      <c r="BC1" s="67"/>
      <c r="BD1" s="67"/>
      <c r="BE1" s="67"/>
      <c r="BF1" s="67"/>
      <c r="BG1" s="67"/>
      <c r="BH1" s="67"/>
      <c r="BI1" s="67"/>
      <c r="BJ1" s="67"/>
      <c r="BK1" s="67"/>
      <c r="BL1" s="67"/>
      <c r="BM1" s="67"/>
      <c r="BN1" s="67"/>
      <c r="BO1" s="67"/>
      <c r="BP1" s="67"/>
      <c r="BQ1" s="67"/>
      <c r="BR1" s="67"/>
      <c r="BS1" s="67"/>
      <c r="BT1" s="67"/>
      <c r="BU1" s="67"/>
      <c r="BV1" s="67"/>
      <c r="BW1" s="67"/>
      <c r="BX1" s="67"/>
      <c r="BY1" s="67"/>
      <c r="BZ1" s="67"/>
      <c r="CA1" s="66" t="s">
        <v>199</v>
      </c>
      <c r="CB1" s="66"/>
      <c r="CC1" s="66"/>
      <c r="CD1" s="66"/>
      <c r="CE1" s="66"/>
      <c r="CF1" s="66"/>
      <c r="CG1" s="66"/>
      <c r="CH1" s="66"/>
      <c r="CI1" s="66"/>
      <c r="CJ1" s="66"/>
      <c r="CK1" s="66"/>
      <c r="CL1" s="66"/>
      <c r="CM1" s="66"/>
      <c r="CN1" s="66"/>
      <c r="CO1" s="66"/>
      <c r="CP1" s="66"/>
      <c r="CQ1" s="66"/>
      <c r="CR1" s="66"/>
      <c r="CS1" s="66"/>
      <c r="CT1" s="66"/>
      <c r="CU1" s="66"/>
      <c r="CV1" s="66"/>
      <c r="CW1" s="66"/>
      <c r="CX1" s="66"/>
      <c r="CY1" s="66"/>
      <c r="CZ1" s="66"/>
      <c r="DA1" s="66"/>
      <c r="DB1" s="66"/>
      <c r="DC1" s="66"/>
      <c r="DD1" s="69" t="s">
        <v>52</v>
      </c>
      <c r="DE1" s="69"/>
      <c r="DF1" s="69"/>
      <c r="DG1" s="66" t="s">
        <v>109</v>
      </c>
      <c r="DH1" s="66"/>
      <c r="DI1" s="66"/>
      <c r="DJ1" s="66"/>
      <c r="DK1" s="66"/>
      <c r="DL1" s="66"/>
      <c r="DM1" s="66"/>
      <c r="DN1" s="66"/>
      <c r="DO1" s="66"/>
      <c r="DP1" s="66"/>
      <c r="DQ1" s="66"/>
      <c r="DR1" s="66"/>
      <c r="DS1" s="66"/>
      <c r="DT1" s="66"/>
      <c r="DU1" s="66"/>
      <c r="DV1" s="66"/>
      <c r="DW1" s="66"/>
      <c r="DX1" s="66"/>
      <c r="DY1" s="66"/>
      <c r="DZ1" s="66"/>
      <c r="EA1" s="66"/>
      <c r="EB1" s="66"/>
      <c r="EC1" s="66"/>
      <c r="ED1" s="66"/>
      <c r="EE1" s="66"/>
      <c r="EF1" s="66"/>
      <c r="EG1" s="66"/>
      <c r="EH1" s="66"/>
      <c r="EI1" s="67" t="s">
        <v>115</v>
      </c>
      <c r="EJ1" s="67"/>
      <c r="EK1" s="67"/>
      <c r="EL1" s="67"/>
      <c r="EM1" s="67"/>
      <c r="EN1" s="67"/>
      <c r="EO1" s="67"/>
      <c r="EP1" s="67"/>
      <c r="EQ1" s="67"/>
      <c r="ER1" s="67"/>
      <c r="ES1" s="67"/>
      <c r="ET1" s="67"/>
      <c r="EU1" s="67"/>
      <c r="EV1" s="67"/>
      <c r="EW1" s="67"/>
      <c r="EX1" s="67"/>
      <c r="EY1" s="67"/>
      <c r="EZ1" s="67"/>
      <c r="FA1" s="67"/>
      <c r="FB1" s="67"/>
      <c r="FC1" s="67"/>
      <c r="FD1" s="67"/>
      <c r="FE1" s="67"/>
      <c r="FF1" s="67"/>
      <c r="FG1" s="67"/>
      <c r="FH1" s="67"/>
      <c r="FI1" s="67"/>
      <c r="FJ1" s="67"/>
      <c r="FK1" s="66" t="s">
        <v>117</v>
      </c>
      <c r="FL1" s="66"/>
      <c r="FM1" s="66"/>
      <c r="FN1" s="66"/>
      <c r="FO1" s="66"/>
      <c r="FP1" s="66"/>
      <c r="FQ1" s="66"/>
      <c r="FR1" s="66"/>
      <c r="FS1" s="66"/>
      <c r="FT1" s="66"/>
      <c r="FU1" s="66"/>
      <c r="FV1" s="66"/>
      <c r="FW1" s="66"/>
      <c r="FX1" s="66"/>
      <c r="FY1" s="66"/>
      <c r="FZ1" s="66"/>
      <c r="GA1" s="66"/>
      <c r="GB1" s="66"/>
      <c r="GC1" s="66"/>
      <c r="GD1" s="66"/>
      <c r="GE1" s="66"/>
      <c r="GF1" s="66"/>
      <c r="GG1" s="66"/>
      <c r="GH1" s="66"/>
      <c r="GI1" s="66"/>
      <c r="GJ1" s="66"/>
      <c r="GK1" s="66"/>
      <c r="GL1" s="66"/>
      <c r="GM1" s="67" t="s">
        <v>134</v>
      </c>
      <c r="GN1" s="67"/>
      <c r="GO1" s="67"/>
      <c r="GP1" s="67"/>
      <c r="GQ1" s="67"/>
      <c r="GR1" s="67"/>
      <c r="GS1" s="67"/>
      <c r="GT1" s="67"/>
      <c r="GU1" s="67"/>
      <c r="GV1" s="67"/>
      <c r="GW1" s="67"/>
      <c r="GX1" s="67"/>
      <c r="GY1" s="67"/>
      <c r="GZ1" s="67"/>
      <c r="HA1" s="67"/>
      <c r="HB1" s="67"/>
      <c r="HC1" s="67"/>
      <c r="HD1" s="67"/>
      <c r="HE1" s="67"/>
      <c r="HF1" s="67"/>
      <c r="HG1" s="67"/>
      <c r="HH1" s="67"/>
      <c r="HI1" s="67"/>
      <c r="HJ1" s="67"/>
      <c r="HK1" s="67"/>
      <c r="HL1" s="67"/>
      <c r="HM1" s="67"/>
      <c r="HN1" s="67"/>
      <c r="HO1" s="66" t="s">
        <v>135</v>
      </c>
      <c r="HP1" s="66"/>
      <c r="HQ1" s="66"/>
      <c r="HR1" s="66"/>
      <c r="HS1" s="66"/>
      <c r="HT1" s="66"/>
      <c r="HU1" s="66"/>
      <c r="HV1" s="66"/>
      <c r="HW1" s="66"/>
      <c r="HX1" s="66"/>
      <c r="HY1" s="66"/>
      <c r="HZ1" s="66"/>
      <c r="IA1" s="66"/>
      <c r="IB1" s="66"/>
      <c r="IC1" s="66"/>
      <c r="ID1" s="66"/>
      <c r="IE1" s="66"/>
      <c r="IF1" s="66"/>
      <c r="IG1" s="66"/>
      <c r="IH1" s="66"/>
      <c r="II1" s="66"/>
      <c r="IJ1" s="66"/>
      <c r="IK1" s="66"/>
      <c r="IL1" s="66"/>
      <c r="IM1" s="66"/>
      <c r="IN1" s="66"/>
      <c r="IO1" s="66"/>
      <c r="IP1" s="66"/>
      <c r="IQ1" s="67" t="s">
        <v>140</v>
      </c>
      <c r="IR1" s="67"/>
      <c r="IS1" s="67"/>
      <c r="IT1" s="67"/>
      <c r="IU1" s="67"/>
      <c r="IV1" s="67"/>
      <c r="IW1" s="67"/>
      <c r="IX1" s="67"/>
      <c r="IY1" s="67"/>
      <c r="IZ1" s="67"/>
      <c r="JA1" s="67"/>
      <c r="JB1" s="67"/>
      <c r="JC1" s="67"/>
      <c r="JD1" s="67"/>
      <c r="JE1" s="67"/>
      <c r="JF1" s="67"/>
      <c r="JG1" s="67"/>
      <c r="JH1" s="67"/>
      <c r="JI1" s="67"/>
      <c r="JJ1" s="67"/>
      <c r="JK1" s="67"/>
      <c r="JL1" s="67"/>
      <c r="JM1" s="67"/>
      <c r="JN1" s="67"/>
      <c r="JO1" s="67"/>
      <c r="JP1" s="67"/>
      <c r="JQ1" s="67"/>
      <c r="JR1" s="67"/>
      <c r="JS1" s="66"/>
      <c r="JT1" s="66"/>
      <c r="JU1" s="66"/>
      <c r="JV1" s="66"/>
      <c r="JW1" s="66"/>
      <c r="JX1" s="66"/>
      <c r="JY1" s="66"/>
      <c r="JZ1" s="66"/>
      <c r="KA1" s="66"/>
      <c r="KB1" s="66"/>
      <c r="KC1" s="66"/>
      <c r="KD1" s="66"/>
      <c r="KE1" s="66"/>
      <c r="KF1" s="66"/>
      <c r="KG1" s="66"/>
      <c r="KH1" s="66"/>
      <c r="KI1" s="66"/>
      <c r="KJ1" s="66"/>
      <c r="KK1" s="66"/>
      <c r="KL1" s="66"/>
      <c r="KM1" s="66"/>
      <c r="KN1" s="66"/>
      <c r="KO1" s="66"/>
      <c r="KP1" s="66"/>
      <c r="KQ1" s="66"/>
      <c r="KR1" s="66"/>
      <c r="KS1" s="66"/>
      <c r="KT1" s="66"/>
      <c r="KU1" s="67"/>
      <c r="KV1" s="67"/>
      <c r="KW1" s="67"/>
      <c r="KX1" s="67"/>
      <c r="KY1" s="67"/>
      <c r="KZ1" s="67"/>
      <c r="LA1" s="67"/>
      <c r="LB1" s="67"/>
      <c r="LC1" s="67"/>
      <c r="LD1" s="67"/>
      <c r="LE1" s="67"/>
      <c r="LF1" s="67"/>
      <c r="LG1" s="67"/>
      <c r="LH1" s="67"/>
      <c r="LI1" s="67"/>
      <c r="LJ1" s="67"/>
      <c r="LK1" s="67"/>
      <c r="LL1" s="67"/>
      <c r="LM1" s="67"/>
      <c r="LN1" s="67"/>
      <c r="LO1" s="67"/>
      <c r="LP1" s="67"/>
      <c r="LQ1" s="67"/>
      <c r="LR1" s="67"/>
      <c r="LS1" s="67"/>
      <c r="LT1" s="67"/>
      <c r="LU1" s="67"/>
      <c r="LV1" s="67"/>
      <c r="LW1" s="66"/>
      <c r="LX1" s="66"/>
      <c r="LY1" s="66"/>
      <c r="LZ1" s="66"/>
      <c r="MA1" s="66"/>
      <c r="MB1" s="66"/>
      <c r="MC1" s="66"/>
      <c r="MD1" s="66"/>
      <c r="ME1" s="66"/>
      <c r="MF1" s="66"/>
      <c r="MG1" s="66"/>
      <c r="MH1" s="66"/>
      <c r="MI1" s="66"/>
      <c r="MJ1" s="66"/>
      <c r="MK1" s="66"/>
      <c r="ML1" s="66"/>
      <c r="MM1" s="66"/>
      <c r="MN1" s="66"/>
      <c r="MO1" s="66"/>
      <c r="MP1" s="66"/>
      <c r="MQ1" s="66"/>
      <c r="MR1" s="66"/>
      <c r="MS1" s="66"/>
      <c r="MT1" s="66"/>
      <c r="MU1" s="66"/>
      <c r="MV1" s="66"/>
      <c r="MW1" s="66"/>
      <c r="MX1" s="66"/>
      <c r="MY1" s="67"/>
      <c r="MZ1" s="67"/>
      <c r="NA1" s="67"/>
      <c r="NB1" s="67"/>
      <c r="NC1" s="67"/>
      <c r="ND1" s="67"/>
      <c r="NE1" s="67"/>
      <c r="NF1" s="67"/>
      <c r="NG1" s="67"/>
      <c r="NH1" s="67"/>
      <c r="NI1" s="67"/>
      <c r="NJ1" s="67"/>
      <c r="NK1" s="67"/>
      <c r="NL1" s="67"/>
      <c r="NM1" s="67"/>
      <c r="NN1" s="67"/>
      <c r="NO1" s="67"/>
      <c r="NP1" s="67"/>
      <c r="NQ1" s="67"/>
      <c r="NR1" s="67"/>
      <c r="NS1" s="67"/>
      <c r="NT1" s="67"/>
      <c r="NU1" s="67"/>
      <c r="NV1" s="67"/>
      <c r="NW1" s="67"/>
      <c r="NX1" s="67"/>
      <c r="NY1" s="67"/>
      <c r="NZ1" s="67"/>
      <c r="OA1" s="66"/>
      <c r="OB1" s="66"/>
      <c r="OC1" s="66"/>
      <c r="OD1" s="66"/>
      <c r="OE1" s="66"/>
      <c r="OF1" s="66"/>
      <c r="OG1" s="66"/>
      <c r="OH1" s="66"/>
      <c r="OI1" s="66"/>
      <c r="OJ1" s="66"/>
      <c r="OK1" s="66"/>
      <c r="OL1" s="66"/>
      <c r="OM1" s="66"/>
      <c r="ON1" s="66"/>
      <c r="OO1" s="66"/>
      <c r="OP1" s="66"/>
      <c r="OQ1" s="66"/>
      <c r="OR1" s="66"/>
      <c r="OS1" s="66"/>
      <c r="OT1" s="66"/>
      <c r="OU1" s="66"/>
      <c r="OV1" s="66"/>
      <c r="OW1" s="66"/>
      <c r="OX1" s="66"/>
      <c r="OY1" s="66"/>
      <c r="OZ1" s="66"/>
      <c r="PA1" s="66"/>
      <c r="PB1" s="66"/>
      <c r="PC1" s="67"/>
      <c r="PD1" s="67"/>
      <c r="PE1" s="67"/>
      <c r="PF1" s="67"/>
      <c r="PG1" s="67"/>
      <c r="PH1" s="67"/>
      <c r="PI1" s="67"/>
      <c r="PJ1" s="67"/>
      <c r="PK1" s="67"/>
      <c r="PL1" s="67"/>
      <c r="PM1" s="67"/>
      <c r="PN1" s="67"/>
      <c r="PO1" s="67"/>
      <c r="PP1" s="67"/>
      <c r="PQ1" s="67"/>
      <c r="PR1" s="67"/>
      <c r="PS1" s="67"/>
      <c r="PT1" s="67"/>
      <c r="PU1" s="67"/>
      <c r="PV1" s="67"/>
      <c r="PW1" s="67"/>
      <c r="PX1" s="67"/>
      <c r="PY1" s="67"/>
      <c r="PZ1" s="67"/>
      <c r="QA1" s="67"/>
      <c r="QB1" s="67"/>
      <c r="QC1" s="67"/>
      <c r="QD1" s="67"/>
      <c r="QE1" s="66" t="s">
        <v>56</v>
      </c>
      <c r="QF1" s="66"/>
      <c r="QG1" s="66"/>
      <c r="QH1" s="66"/>
      <c r="QI1" s="66"/>
      <c r="QJ1" s="66"/>
      <c r="QK1" s="66"/>
      <c r="QL1" s="66"/>
      <c r="QM1" s="66"/>
      <c r="QN1" s="66"/>
      <c r="QO1" s="66"/>
      <c r="QP1" s="66"/>
      <c r="QQ1" s="66"/>
      <c r="QR1" s="66"/>
      <c r="QS1" s="66"/>
      <c r="QT1" s="66"/>
      <c r="QU1" s="66"/>
      <c r="QV1" s="66"/>
      <c r="QW1" s="66"/>
      <c r="QX1" s="66"/>
      <c r="QY1" s="66"/>
      <c r="QZ1" s="66"/>
      <c r="RA1" s="66"/>
      <c r="RB1" s="66"/>
      <c r="RC1" s="66"/>
      <c r="RD1" s="66"/>
      <c r="RE1" s="66"/>
      <c r="RF1" s="66"/>
      <c r="RG1" s="66"/>
    </row>
    <row r="2" spans="1:475" x14ac:dyDescent="0.2">
      <c r="A2" s="71"/>
      <c r="B2" s="71"/>
      <c r="C2" s="71"/>
      <c r="D2" s="71"/>
      <c r="E2" s="71"/>
      <c r="F2" s="74"/>
      <c r="G2" s="74"/>
      <c r="H2" s="71"/>
      <c r="I2" s="74"/>
      <c r="J2" s="72"/>
      <c r="K2" s="70"/>
      <c r="L2" s="72"/>
      <c r="M2" s="70"/>
      <c r="N2" s="72"/>
      <c r="O2" s="70"/>
      <c r="P2" s="70"/>
      <c r="Q2" s="70"/>
      <c r="R2" s="73"/>
      <c r="S2" s="70"/>
      <c r="T2" s="70"/>
      <c r="U2" s="68" t="s">
        <v>91</v>
      </c>
      <c r="V2" s="68"/>
      <c r="W2" s="68"/>
      <c r="X2" s="68"/>
      <c r="Y2" s="68" t="s">
        <v>92</v>
      </c>
      <c r="Z2" s="68"/>
      <c r="AA2" s="68"/>
      <c r="AB2" s="68"/>
      <c r="AC2" s="68" t="s">
        <v>93</v>
      </c>
      <c r="AD2" s="68"/>
      <c r="AE2" s="68"/>
      <c r="AF2" s="68"/>
      <c r="AG2" s="68" t="s">
        <v>94</v>
      </c>
      <c r="AH2" s="68"/>
      <c r="AI2" s="68"/>
      <c r="AJ2" s="68"/>
      <c r="AK2" s="75" t="s">
        <v>95</v>
      </c>
      <c r="AL2" s="75"/>
      <c r="AM2" s="75"/>
      <c r="AN2" s="75"/>
      <c r="AO2" s="14"/>
      <c r="AP2" s="14" t="s">
        <v>96</v>
      </c>
      <c r="AQ2" s="14" t="s">
        <v>97</v>
      </c>
      <c r="AR2" s="14" t="s">
        <v>93</v>
      </c>
      <c r="AS2" s="14" t="s">
        <v>102</v>
      </c>
      <c r="AT2" s="14" t="s">
        <v>21</v>
      </c>
      <c r="AU2" s="14" t="s">
        <v>57</v>
      </c>
      <c r="AV2" s="14" t="s">
        <v>98</v>
      </c>
      <c r="AW2" s="14" t="s">
        <v>15</v>
      </c>
      <c r="AX2" s="65" t="s">
        <v>91</v>
      </c>
      <c r="AY2" s="65"/>
      <c r="AZ2" s="65"/>
      <c r="BA2" s="65"/>
      <c r="BB2" s="65" t="s">
        <v>92</v>
      </c>
      <c r="BC2" s="65"/>
      <c r="BD2" s="65"/>
      <c r="BE2" s="65"/>
      <c r="BF2" s="65" t="s">
        <v>93</v>
      </c>
      <c r="BG2" s="65"/>
      <c r="BH2" s="65"/>
      <c r="BI2" s="65"/>
      <c r="BJ2" s="65" t="s">
        <v>94</v>
      </c>
      <c r="BK2" s="65"/>
      <c r="BL2" s="65"/>
      <c r="BM2" s="65"/>
      <c r="BN2" s="76" t="s">
        <v>95</v>
      </c>
      <c r="BO2" s="76"/>
      <c r="BP2" s="76"/>
      <c r="BQ2" s="76"/>
      <c r="BR2" s="13"/>
      <c r="BS2" s="13" t="s">
        <v>96</v>
      </c>
      <c r="BT2" s="13" t="s">
        <v>97</v>
      </c>
      <c r="BU2" s="13" t="s">
        <v>93</v>
      </c>
      <c r="BV2" s="13" t="s">
        <v>102</v>
      </c>
      <c r="BW2" s="13" t="s">
        <v>21</v>
      </c>
      <c r="BX2" s="13" t="s">
        <v>57</v>
      </c>
      <c r="BY2" s="13" t="s">
        <v>98</v>
      </c>
      <c r="BZ2" s="13" t="s">
        <v>15</v>
      </c>
      <c r="CA2" s="68" t="s">
        <v>91</v>
      </c>
      <c r="CB2" s="68"/>
      <c r="CC2" s="68"/>
      <c r="CD2" s="68"/>
      <c r="CE2" s="68" t="s">
        <v>92</v>
      </c>
      <c r="CF2" s="68"/>
      <c r="CG2" s="68"/>
      <c r="CH2" s="68"/>
      <c r="CI2" s="68" t="s">
        <v>93</v>
      </c>
      <c r="CJ2" s="68"/>
      <c r="CK2" s="68"/>
      <c r="CL2" s="68"/>
      <c r="CM2" s="68" t="s">
        <v>94</v>
      </c>
      <c r="CN2" s="68"/>
      <c r="CO2" s="68"/>
      <c r="CP2" s="68"/>
      <c r="CQ2" s="75" t="s">
        <v>95</v>
      </c>
      <c r="CR2" s="75"/>
      <c r="CS2" s="75"/>
      <c r="CT2" s="75"/>
      <c r="CU2" s="14"/>
      <c r="CV2" s="14" t="s">
        <v>96</v>
      </c>
      <c r="CW2" s="14" t="s">
        <v>97</v>
      </c>
      <c r="CX2" s="14" t="s">
        <v>93</v>
      </c>
      <c r="CY2" s="14" t="s">
        <v>102</v>
      </c>
      <c r="CZ2" s="14" t="s">
        <v>21</v>
      </c>
      <c r="DA2" s="14" t="s">
        <v>57</v>
      </c>
      <c r="DB2" s="14" t="s">
        <v>98</v>
      </c>
      <c r="DC2" s="14" t="s">
        <v>15</v>
      </c>
      <c r="DD2" s="49" t="s">
        <v>97</v>
      </c>
      <c r="DE2" s="49" t="s">
        <v>93</v>
      </c>
      <c r="DF2" s="49" t="s">
        <v>20</v>
      </c>
      <c r="DG2" s="68" t="s">
        <v>91</v>
      </c>
      <c r="DH2" s="68"/>
      <c r="DI2" s="68"/>
      <c r="DJ2" s="68"/>
      <c r="DK2" s="68" t="s">
        <v>92</v>
      </c>
      <c r="DL2" s="68"/>
      <c r="DM2" s="68"/>
      <c r="DN2" s="68"/>
      <c r="DO2" s="68" t="s">
        <v>93</v>
      </c>
      <c r="DP2" s="68"/>
      <c r="DQ2" s="68"/>
      <c r="DR2" s="68"/>
      <c r="DS2" s="68" t="s">
        <v>94</v>
      </c>
      <c r="DT2" s="68"/>
      <c r="DU2" s="68"/>
      <c r="DV2" s="68"/>
      <c r="DW2" s="77" t="s">
        <v>95</v>
      </c>
      <c r="DX2" s="77"/>
      <c r="DY2" s="77"/>
      <c r="DZ2" s="77"/>
      <c r="EA2" s="14" t="s">
        <v>96</v>
      </c>
      <c r="EB2" s="14" t="s">
        <v>97</v>
      </c>
      <c r="EC2" s="14" t="s">
        <v>93</v>
      </c>
      <c r="ED2" s="14" t="s">
        <v>102</v>
      </c>
      <c r="EE2" s="14" t="s">
        <v>21</v>
      </c>
      <c r="EF2" s="14" t="s">
        <v>57</v>
      </c>
      <c r="EG2" s="14" t="s">
        <v>98</v>
      </c>
      <c r="EH2" s="14" t="s">
        <v>15</v>
      </c>
      <c r="EI2" s="65" t="s">
        <v>91</v>
      </c>
      <c r="EJ2" s="65"/>
      <c r="EK2" s="65"/>
      <c r="EL2" s="65"/>
      <c r="EM2" s="65" t="s">
        <v>92</v>
      </c>
      <c r="EN2" s="65"/>
      <c r="EO2" s="65"/>
      <c r="EP2" s="65"/>
      <c r="EQ2" s="65" t="s">
        <v>93</v>
      </c>
      <c r="ER2" s="65"/>
      <c r="ES2" s="65"/>
      <c r="ET2" s="65"/>
      <c r="EU2" s="65" t="s">
        <v>94</v>
      </c>
      <c r="EV2" s="65"/>
      <c r="EW2" s="65"/>
      <c r="EX2" s="65"/>
      <c r="EY2" s="76" t="s">
        <v>95</v>
      </c>
      <c r="EZ2" s="76"/>
      <c r="FA2" s="76"/>
      <c r="FB2" s="76"/>
      <c r="FC2" s="13" t="s">
        <v>96</v>
      </c>
      <c r="FD2" s="13" t="s">
        <v>97</v>
      </c>
      <c r="FE2" s="13" t="s">
        <v>93</v>
      </c>
      <c r="FF2" s="13" t="s">
        <v>102</v>
      </c>
      <c r="FG2" s="13" t="s">
        <v>21</v>
      </c>
      <c r="FH2" s="13" t="s">
        <v>57</v>
      </c>
      <c r="FI2" s="13" t="s">
        <v>98</v>
      </c>
      <c r="FJ2" s="13" t="s">
        <v>15</v>
      </c>
      <c r="FK2" s="68" t="s">
        <v>91</v>
      </c>
      <c r="FL2" s="68"/>
      <c r="FM2" s="68"/>
      <c r="FN2" s="68"/>
      <c r="FO2" s="68" t="s">
        <v>92</v>
      </c>
      <c r="FP2" s="68"/>
      <c r="FQ2" s="68"/>
      <c r="FR2" s="68"/>
      <c r="FS2" s="68" t="s">
        <v>93</v>
      </c>
      <c r="FT2" s="68"/>
      <c r="FU2" s="68"/>
      <c r="FV2" s="68"/>
      <c r="FW2" s="68" t="s">
        <v>94</v>
      </c>
      <c r="FX2" s="68"/>
      <c r="FY2" s="68"/>
      <c r="FZ2" s="68"/>
      <c r="GA2" s="77" t="s">
        <v>95</v>
      </c>
      <c r="GB2" s="77"/>
      <c r="GC2" s="77"/>
      <c r="GD2" s="77"/>
      <c r="GE2" s="14" t="s">
        <v>96</v>
      </c>
      <c r="GF2" s="14" t="s">
        <v>97</v>
      </c>
      <c r="GG2" s="14" t="s">
        <v>93</v>
      </c>
      <c r="GH2" s="14" t="s">
        <v>102</v>
      </c>
      <c r="GI2" s="14" t="s">
        <v>21</v>
      </c>
      <c r="GJ2" s="14" t="s">
        <v>57</v>
      </c>
      <c r="GK2" s="14" t="s">
        <v>98</v>
      </c>
      <c r="GL2" s="14" t="s">
        <v>15</v>
      </c>
      <c r="GM2" s="65" t="s">
        <v>91</v>
      </c>
      <c r="GN2" s="65"/>
      <c r="GO2" s="65"/>
      <c r="GP2" s="65"/>
      <c r="GQ2" s="65" t="s">
        <v>92</v>
      </c>
      <c r="GR2" s="65"/>
      <c r="GS2" s="65"/>
      <c r="GT2" s="65"/>
      <c r="GU2" s="65" t="s">
        <v>93</v>
      </c>
      <c r="GV2" s="65"/>
      <c r="GW2" s="65"/>
      <c r="GX2" s="65"/>
      <c r="GY2" s="65" t="s">
        <v>94</v>
      </c>
      <c r="GZ2" s="65"/>
      <c r="HA2" s="65"/>
      <c r="HB2" s="65"/>
      <c r="HC2" s="76" t="s">
        <v>95</v>
      </c>
      <c r="HD2" s="76"/>
      <c r="HE2" s="76"/>
      <c r="HF2" s="76"/>
      <c r="HG2" s="13" t="s">
        <v>96</v>
      </c>
      <c r="HH2" s="13" t="s">
        <v>97</v>
      </c>
      <c r="HI2" s="13" t="s">
        <v>93</v>
      </c>
      <c r="HJ2" s="13" t="s">
        <v>102</v>
      </c>
      <c r="HK2" s="13" t="s">
        <v>21</v>
      </c>
      <c r="HL2" s="13" t="s">
        <v>57</v>
      </c>
      <c r="HM2" s="13" t="s">
        <v>98</v>
      </c>
      <c r="HN2" s="13" t="s">
        <v>15</v>
      </c>
      <c r="HO2" s="68" t="s">
        <v>91</v>
      </c>
      <c r="HP2" s="68"/>
      <c r="HQ2" s="68"/>
      <c r="HR2" s="68"/>
      <c r="HS2" s="68" t="s">
        <v>92</v>
      </c>
      <c r="HT2" s="68"/>
      <c r="HU2" s="68"/>
      <c r="HV2" s="68"/>
      <c r="HW2" s="68" t="s">
        <v>93</v>
      </c>
      <c r="HX2" s="68"/>
      <c r="HY2" s="68"/>
      <c r="HZ2" s="68"/>
      <c r="IA2" s="68" t="s">
        <v>94</v>
      </c>
      <c r="IB2" s="68"/>
      <c r="IC2" s="68"/>
      <c r="ID2" s="68"/>
      <c r="IE2" s="77" t="s">
        <v>95</v>
      </c>
      <c r="IF2" s="77"/>
      <c r="IG2" s="77"/>
      <c r="IH2" s="77"/>
      <c r="II2" s="14" t="s">
        <v>96</v>
      </c>
      <c r="IJ2" s="14" t="s">
        <v>97</v>
      </c>
      <c r="IK2" s="14" t="s">
        <v>93</v>
      </c>
      <c r="IL2" s="14" t="s">
        <v>102</v>
      </c>
      <c r="IM2" s="14" t="s">
        <v>21</v>
      </c>
      <c r="IN2" s="14" t="s">
        <v>57</v>
      </c>
      <c r="IO2" s="14" t="s">
        <v>98</v>
      </c>
      <c r="IP2" s="14" t="s">
        <v>15</v>
      </c>
      <c r="IQ2" s="65" t="s">
        <v>91</v>
      </c>
      <c r="IR2" s="65"/>
      <c r="IS2" s="65"/>
      <c r="IT2" s="65"/>
      <c r="IU2" s="65" t="s">
        <v>92</v>
      </c>
      <c r="IV2" s="65"/>
      <c r="IW2" s="65"/>
      <c r="IX2" s="65"/>
      <c r="IY2" s="65" t="s">
        <v>93</v>
      </c>
      <c r="IZ2" s="65"/>
      <c r="JA2" s="65"/>
      <c r="JB2" s="65"/>
      <c r="JC2" s="65" t="s">
        <v>94</v>
      </c>
      <c r="JD2" s="65"/>
      <c r="JE2" s="65"/>
      <c r="JF2" s="65"/>
      <c r="JG2" s="76" t="s">
        <v>95</v>
      </c>
      <c r="JH2" s="76"/>
      <c r="JI2" s="76"/>
      <c r="JJ2" s="76"/>
      <c r="JK2" s="13" t="s">
        <v>96</v>
      </c>
      <c r="JL2" s="13" t="s">
        <v>97</v>
      </c>
      <c r="JM2" s="13" t="s">
        <v>93</v>
      </c>
      <c r="JN2" s="13" t="s">
        <v>102</v>
      </c>
      <c r="JO2" s="13" t="s">
        <v>21</v>
      </c>
      <c r="JP2" s="13" t="s">
        <v>57</v>
      </c>
      <c r="JQ2" s="13" t="s">
        <v>98</v>
      </c>
      <c r="JR2" s="13" t="s">
        <v>15</v>
      </c>
      <c r="JS2" s="68" t="s">
        <v>91</v>
      </c>
      <c r="JT2" s="68"/>
      <c r="JU2" s="68"/>
      <c r="JV2" s="68"/>
      <c r="JW2" s="68" t="s">
        <v>92</v>
      </c>
      <c r="JX2" s="68"/>
      <c r="JY2" s="68"/>
      <c r="JZ2" s="68"/>
      <c r="KA2" s="68" t="s">
        <v>93</v>
      </c>
      <c r="KB2" s="68"/>
      <c r="KC2" s="68"/>
      <c r="KD2" s="68"/>
      <c r="KE2" s="68" t="s">
        <v>94</v>
      </c>
      <c r="KF2" s="68"/>
      <c r="KG2" s="68"/>
      <c r="KH2" s="68"/>
      <c r="KI2" s="77" t="s">
        <v>95</v>
      </c>
      <c r="KJ2" s="77"/>
      <c r="KK2" s="77"/>
      <c r="KL2" s="77"/>
      <c r="KM2" s="14" t="s">
        <v>96</v>
      </c>
      <c r="KN2" s="14" t="s">
        <v>97</v>
      </c>
      <c r="KO2" s="14" t="s">
        <v>93</v>
      </c>
      <c r="KP2" s="14" t="s">
        <v>102</v>
      </c>
      <c r="KQ2" s="14" t="s">
        <v>21</v>
      </c>
      <c r="KR2" s="14" t="s">
        <v>57</v>
      </c>
      <c r="KS2" s="14" t="s">
        <v>98</v>
      </c>
      <c r="KT2" s="14" t="s">
        <v>15</v>
      </c>
      <c r="KU2" s="65" t="s">
        <v>91</v>
      </c>
      <c r="KV2" s="65"/>
      <c r="KW2" s="65"/>
      <c r="KX2" s="65"/>
      <c r="KY2" s="65" t="s">
        <v>92</v>
      </c>
      <c r="KZ2" s="65"/>
      <c r="LA2" s="65"/>
      <c r="LB2" s="65"/>
      <c r="LC2" s="65" t="s">
        <v>93</v>
      </c>
      <c r="LD2" s="65"/>
      <c r="LE2" s="65"/>
      <c r="LF2" s="65"/>
      <c r="LG2" s="65" t="s">
        <v>94</v>
      </c>
      <c r="LH2" s="65"/>
      <c r="LI2" s="65"/>
      <c r="LJ2" s="65"/>
      <c r="LK2" s="76" t="s">
        <v>95</v>
      </c>
      <c r="LL2" s="76"/>
      <c r="LM2" s="76"/>
      <c r="LN2" s="76"/>
      <c r="LO2" s="13" t="s">
        <v>96</v>
      </c>
      <c r="LP2" s="13" t="s">
        <v>97</v>
      </c>
      <c r="LQ2" s="13" t="s">
        <v>93</v>
      </c>
      <c r="LR2" s="13" t="s">
        <v>102</v>
      </c>
      <c r="LS2" s="13" t="s">
        <v>21</v>
      </c>
      <c r="LT2" s="13" t="s">
        <v>57</v>
      </c>
      <c r="LU2" s="13" t="s">
        <v>98</v>
      </c>
      <c r="LV2" s="13" t="s">
        <v>15</v>
      </c>
      <c r="LW2" s="68" t="s">
        <v>91</v>
      </c>
      <c r="LX2" s="68"/>
      <c r="LY2" s="68"/>
      <c r="LZ2" s="68"/>
      <c r="MA2" s="68" t="s">
        <v>92</v>
      </c>
      <c r="MB2" s="68"/>
      <c r="MC2" s="68"/>
      <c r="MD2" s="68"/>
      <c r="ME2" s="68" t="s">
        <v>93</v>
      </c>
      <c r="MF2" s="68"/>
      <c r="MG2" s="68"/>
      <c r="MH2" s="68"/>
      <c r="MI2" s="68" t="s">
        <v>94</v>
      </c>
      <c r="MJ2" s="68"/>
      <c r="MK2" s="68"/>
      <c r="ML2" s="68"/>
      <c r="MM2" s="77" t="s">
        <v>95</v>
      </c>
      <c r="MN2" s="77"/>
      <c r="MO2" s="77"/>
      <c r="MP2" s="77"/>
      <c r="MQ2" s="14" t="s">
        <v>96</v>
      </c>
      <c r="MR2" s="14" t="s">
        <v>97</v>
      </c>
      <c r="MS2" s="14" t="s">
        <v>93</v>
      </c>
      <c r="MT2" s="14" t="s">
        <v>102</v>
      </c>
      <c r="MU2" s="14" t="s">
        <v>21</v>
      </c>
      <c r="MV2" s="14" t="s">
        <v>57</v>
      </c>
      <c r="MW2" s="14" t="s">
        <v>98</v>
      </c>
      <c r="MX2" s="14" t="s">
        <v>15</v>
      </c>
      <c r="MY2" s="65" t="s">
        <v>91</v>
      </c>
      <c r="MZ2" s="65"/>
      <c r="NA2" s="65"/>
      <c r="NB2" s="65"/>
      <c r="NC2" s="65" t="s">
        <v>92</v>
      </c>
      <c r="ND2" s="65"/>
      <c r="NE2" s="65"/>
      <c r="NF2" s="65"/>
      <c r="NG2" s="65" t="s">
        <v>93</v>
      </c>
      <c r="NH2" s="65"/>
      <c r="NI2" s="65"/>
      <c r="NJ2" s="65"/>
      <c r="NK2" s="65" t="s">
        <v>94</v>
      </c>
      <c r="NL2" s="65"/>
      <c r="NM2" s="65"/>
      <c r="NN2" s="65"/>
      <c r="NO2" s="76" t="s">
        <v>95</v>
      </c>
      <c r="NP2" s="76"/>
      <c r="NQ2" s="76"/>
      <c r="NR2" s="76"/>
      <c r="NS2" s="13" t="s">
        <v>96</v>
      </c>
      <c r="NT2" s="13" t="s">
        <v>97</v>
      </c>
      <c r="NU2" s="13" t="s">
        <v>93</v>
      </c>
      <c r="NV2" s="13" t="s">
        <v>102</v>
      </c>
      <c r="NW2" s="13" t="s">
        <v>21</v>
      </c>
      <c r="NX2" s="13" t="s">
        <v>57</v>
      </c>
      <c r="NY2" s="13" t="s">
        <v>98</v>
      </c>
      <c r="NZ2" s="13" t="s">
        <v>15</v>
      </c>
      <c r="OA2" s="68" t="s">
        <v>91</v>
      </c>
      <c r="OB2" s="68"/>
      <c r="OC2" s="68"/>
      <c r="OD2" s="68"/>
      <c r="OE2" s="68" t="s">
        <v>92</v>
      </c>
      <c r="OF2" s="68"/>
      <c r="OG2" s="68"/>
      <c r="OH2" s="68"/>
      <c r="OI2" s="68" t="s">
        <v>93</v>
      </c>
      <c r="OJ2" s="68"/>
      <c r="OK2" s="68"/>
      <c r="OL2" s="68"/>
      <c r="OM2" s="68" t="s">
        <v>94</v>
      </c>
      <c r="ON2" s="68"/>
      <c r="OO2" s="68"/>
      <c r="OP2" s="68"/>
      <c r="OQ2" s="77" t="s">
        <v>95</v>
      </c>
      <c r="OR2" s="77"/>
      <c r="OS2" s="77"/>
      <c r="OT2" s="77"/>
      <c r="OU2" s="14" t="s">
        <v>96</v>
      </c>
      <c r="OV2" s="14" t="s">
        <v>97</v>
      </c>
      <c r="OW2" s="14" t="s">
        <v>93</v>
      </c>
      <c r="OX2" s="14" t="s">
        <v>102</v>
      </c>
      <c r="OY2" s="14" t="s">
        <v>21</v>
      </c>
      <c r="OZ2" s="14" t="s">
        <v>57</v>
      </c>
      <c r="PA2" s="14" t="s">
        <v>98</v>
      </c>
      <c r="PB2" s="14" t="s">
        <v>15</v>
      </c>
      <c r="PC2" s="65" t="s">
        <v>91</v>
      </c>
      <c r="PD2" s="65"/>
      <c r="PE2" s="65"/>
      <c r="PF2" s="65"/>
      <c r="PG2" s="65" t="s">
        <v>92</v>
      </c>
      <c r="PH2" s="65"/>
      <c r="PI2" s="65"/>
      <c r="PJ2" s="65"/>
      <c r="PK2" s="65" t="s">
        <v>93</v>
      </c>
      <c r="PL2" s="65"/>
      <c r="PM2" s="65"/>
      <c r="PN2" s="65"/>
      <c r="PO2" s="65" t="s">
        <v>94</v>
      </c>
      <c r="PP2" s="65"/>
      <c r="PQ2" s="65"/>
      <c r="PR2" s="65"/>
      <c r="PS2" s="76" t="s">
        <v>95</v>
      </c>
      <c r="PT2" s="76"/>
      <c r="PU2" s="76"/>
      <c r="PV2" s="76"/>
      <c r="PW2" s="13" t="s">
        <v>96</v>
      </c>
      <c r="PX2" s="13" t="s">
        <v>97</v>
      </c>
      <c r="PY2" s="13" t="s">
        <v>93</v>
      </c>
      <c r="PZ2" s="13" t="s">
        <v>102</v>
      </c>
      <c r="QA2" s="13" t="s">
        <v>21</v>
      </c>
      <c r="QB2" s="13" t="s">
        <v>57</v>
      </c>
      <c r="QC2" s="13" t="s">
        <v>98</v>
      </c>
      <c r="QD2" s="13" t="s">
        <v>15</v>
      </c>
      <c r="QE2" s="68" t="s">
        <v>91</v>
      </c>
      <c r="QF2" s="68"/>
      <c r="QG2" s="68"/>
      <c r="QH2" s="68"/>
      <c r="QI2" s="68" t="s">
        <v>92</v>
      </c>
      <c r="QJ2" s="68"/>
      <c r="QK2" s="68"/>
      <c r="QL2" s="68"/>
      <c r="QM2" s="68" t="s">
        <v>93</v>
      </c>
      <c r="QN2" s="68"/>
      <c r="QO2" s="68"/>
      <c r="QP2" s="68"/>
      <c r="QQ2" s="68" t="s">
        <v>94</v>
      </c>
      <c r="QR2" s="68"/>
      <c r="QS2" s="68"/>
      <c r="QT2" s="68"/>
      <c r="QU2" s="75" t="s">
        <v>95</v>
      </c>
      <c r="QV2" s="75"/>
      <c r="QW2" s="75"/>
      <c r="QX2" s="75"/>
      <c r="QY2" s="14"/>
      <c r="QZ2" s="14" t="s">
        <v>96</v>
      </c>
      <c r="RA2" s="14" t="s">
        <v>97</v>
      </c>
      <c r="RB2" s="14" t="s">
        <v>93</v>
      </c>
      <c r="RC2" s="14" t="s">
        <v>102</v>
      </c>
      <c r="RD2" s="14" t="s">
        <v>21</v>
      </c>
      <c r="RE2" s="14" t="s">
        <v>57</v>
      </c>
      <c r="RF2" s="14" t="s">
        <v>98</v>
      </c>
      <c r="RG2" s="14" t="s">
        <v>15</v>
      </c>
    </row>
    <row r="3" spans="1:475" x14ac:dyDescent="0.2">
      <c r="A3" s="71"/>
      <c r="B3" s="71"/>
      <c r="C3" s="71"/>
      <c r="D3" s="71"/>
      <c r="E3" s="71"/>
      <c r="F3" s="74"/>
      <c r="G3" s="74"/>
      <c r="H3" s="71"/>
      <c r="I3" s="74"/>
      <c r="J3" s="72"/>
      <c r="K3" s="70"/>
      <c r="L3" s="72"/>
      <c r="M3" s="70"/>
      <c r="N3" s="72"/>
      <c r="O3" s="70"/>
      <c r="P3" s="70"/>
      <c r="Q3" s="70"/>
      <c r="R3" s="73"/>
      <c r="S3" s="70"/>
      <c r="T3" s="70"/>
      <c r="U3" s="14" t="s">
        <v>12</v>
      </c>
      <c r="V3" s="14" t="s">
        <v>7</v>
      </c>
      <c r="W3" s="14" t="s">
        <v>23</v>
      </c>
      <c r="X3" s="14" t="s">
        <v>24</v>
      </c>
      <c r="Y3" s="14" t="s">
        <v>12</v>
      </c>
      <c r="Z3" s="14" t="s">
        <v>7</v>
      </c>
      <c r="AA3" s="14" t="s">
        <v>23</v>
      </c>
      <c r="AB3" s="14" t="s">
        <v>24</v>
      </c>
      <c r="AC3" s="14" t="s">
        <v>12</v>
      </c>
      <c r="AD3" s="14" t="s">
        <v>7</v>
      </c>
      <c r="AE3" s="14" t="s">
        <v>23</v>
      </c>
      <c r="AF3" s="14" t="s">
        <v>24</v>
      </c>
      <c r="AG3" s="14" t="s">
        <v>12</v>
      </c>
      <c r="AH3" s="14" t="s">
        <v>7</v>
      </c>
      <c r="AI3" s="14" t="s">
        <v>23</v>
      </c>
      <c r="AJ3" s="14" t="s">
        <v>24</v>
      </c>
      <c r="AK3" s="21" t="s">
        <v>12</v>
      </c>
      <c r="AL3" s="21" t="s">
        <v>7</v>
      </c>
      <c r="AM3" s="21" t="s">
        <v>23</v>
      </c>
      <c r="AN3" s="21" t="s">
        <v>24</v>
      </c>
      <c r="AO3" s="14" t="s">
        <v>45</v>
      </c>
      <c r="AP3" s="14"/>
      <c r="AQ3" s="14"/>
      <c r="AR3" s="14"/>
      <c r="AS3" s="14"/>
      <c r="AT3" s="14"/>
      <c r="AU3" s="14"/>
      <c r="AV3" s="14"/>
      <c r="AW3" s="14"/>
      <c r="AX3" s="13" t="s">
        <v>12</v>
      </c>
      <c r="AY3" s="13" t="s">
        <v>7</v>
      </c>
      <c r="AZ3" s="13" t="s">
        <v>23</v>
      </c>
      <c r="BA3" s="13" t="s">
        <v>24</v>
      </c>
      <c r="BB3" s="13" t="s">
        <v>12</v>
      </c>
      <c r="BC3" s="13" t="s">
        <v>7</v>
      </c>
      <c r="BD3" s="13" t="s">
        <v>23</v>
      </c>
      <c r="BE3" s="13" t="s">
        <v>24</v>
      </c>
      <c r="BF3" s="13" t="s">
        <v>12</v>
      </c>
      <c r="BG3" s="13" t="s">
        <v>7</v>
      </c>
      <c r="BH3" s="13" t="s">
        <v>23</v>
      </c>
      <c r="BI3" s="13" t="s">
        <v>24</v>
      </c>
      <c r="BJ3" s="13" t="s">
        <v>12</v>
      </c>
      <c r="BK3" s="13" t="s">
        <v>7</v>
      </c>
      <c r="BL3" s="13" t="s">
        <v>23</v>
      </c>
      <c r="BM3" s="13" t="s">
        <v>24</v>
      </c>
      <c r="BN3" s="16" t="s">
        <v>12</v>
      </c>
      <c r="BO3" s="16" t="s">
        <v>7</v>
      </c>
      <c r="BP3" s="16" t="s">
        <v>23</v>
      </c>
      <c r="BQ3" s="16" t="s">
        <v>24</v>
      </c>
      <c r="BR3" s="13" t="s">
        <v>45</v>
      </c>
      <c r="BS3" s="13"/>
      <c r="BT3" s="13"/>
      <c r="BU3" s="13"/>
      <c r="BV3" s="13"/>
      <c r="BW3" s="13"/>
      <c r="BX3" s="13"/>
      <c r="BY3" s="13"/>
      <c r="BZ3" s="13"/>
      <c r="CA3" s="14" t="s">
        <v>12</v>
      </c>
      <c r="CB3" s="14" t="s">
        <v>7</v>
      </c>
      <c r="CC3" s="14" t="s">
        <v>23</v>
      </c>
      <c r="CD3" s="14" t="s">
        <v>24</v>
      </c>
      <c r="CE3" s="14" t="s">
        <v>12</v>
      </c>
      <c r="CF3" s="14" t="s">
        <v>7</v>
      </c>
      <c r="CG3" s="14" t="s">
        <v>23</v>
      </c>
      <c r="CH3" s="14" t="s">
        <v>24</v>
      </c>
      <c r="CI3" s="14" t="s">
        <v>12</v>
      </c>
      <c r="CJ3" s="14" t="s">
        <v>7</v>
      </c>
      <c r="CK3" s="14" t="s">
        <v>23</v>
      </c>
      <c r="CL3" s="14" t="s">
        <v>24</v>
      </c>
      <c r="CM3" s="14" t="s">
        <v>12</v>
      </c>
      <c r="CN3" s="14" t="s">
        <v>7</v>
      </c>
      <c r="CO3" s="14" t="s">
        <v>23</v>
      </c>
      <c r="CP3" s="14" t="s">
        <v>24</v>
      </c>
      <c r="CQ3" s="21" t="s">
        <v>12</v>
      </c>
      <c r="CR3" s="21" t="s">
        <v>7</v>
      </c>
      <c r="CS3" s="21" t="s">
        <v>23</v>
      </c>
      <c r="CT3" s="21" t="s">
        <v>24</v>
      </c>
      <c r="CU3" s="14" t="s">
        <v>45</v>
      </c>
      <c r="CV3" s="14"/>
      <c r="CW3" s="14"/>
      <c r="CX3" s="14"/>
      <c r="CY3" s="14"/>
      <c r="CZ3" s="14"/>
      <c r="DA3" s="14"/>
      <c r="DB3" s="14"/>
      <c r="DC3" s="14"/>
      <c r="DD3" s="49"/>
      <c r="DE3" s="49"/>
      <c r="DF3" s="49"/>
      <c r="DG3" s="14" t="s">
        <v>12</v>
      </c>
      <c r="DH3" s="14" t="s">
        <v>7</v>
      </c>
      <c r="DI3" s="14" t="s">
        <v>23</v>
      </c>
      <c r="DJ3" s="14" t="s">
        <v>24</v>
      </c>
      <c r="DK3" s="14" t="s">
        <v>12</v>
      </c>
      <c r="DL3" s="14" t="s">
        <v>7</v>
      </c>
      <c r="DM3" s="14" t="s">
        <v>23</v>
      </c>
      <c r="DN3" s="14" t="s">
        <v>24</v>
      </c>
      <c r="DO3" s="14" t="s">
        <v>12</v>
      </c>
      <c r="DP3" s="14" t="s">
        <v>7</v>
      </c>
      <c r="DQ3" s="14" t="s">
        <v>23</v>
      </c>
      <c r="DR3" s="14" t="s">
        <v>24</v>
      </c>
      <c r="DS3" s="14" t="s">
        <v>12</v>
      </c>
      <c r="DT3" s="14" t="s">
        <v>7</v>
      </c>
      <c r="DU3" s="14" t="s">
        <v>23</v>
      </c>
      <c r="DV3" s="14" t="s">
        <v>24</v>
      </c>
      <c r="DW3" s="15" t="s">
        <v>12</v>
      </c>
      <c r="DX3" s="15" t="s">
        <v>7</v>
      </c>
      <c r="DY3" s="15" t="s">
        <v>23</v>
      </c>
      <c r="DZ3" s="15" t="s">
        <v>24</v>
      </c>
      <c r="EA3" s="14"/>
      <c r="EB3" s="14"/>
      <c r="EC3" s="14"/>
      <c r="ED3" s="14"/>
      <c r="EE3" s="14"/>
      <c r="EF3" s="14"/>
      <c r="EG3" s="14"/>
      <c r="EH3" s="14"/>
      <c r="EI3" s="13" t="s">
        <v>12</v>
      </c>
      <c r="EJ3" s="13" t="s">
        <v>7</v>
      </c>
      <c r="EK3" s="13" t="s">
        <v>23</v>
      </c>
      <c r="EL3" s="13" t="s">
        <v>24</v>
      </c>
      <c r="EM3" s="13" t="s">
        <v>12</v>
      </c>
      <c r="EN3" s="13" t="s">
        <v>7</v>
      </c>
      <c r="EO3" s="13" t="s">
        <v>23</v>
      </c>
      <c r="EP3" s="13" t="s">
        <v>24</v>
      </c>
      <c r="EQ3" s="13" t="s">
        <v>12</v>
      </c>
      <c r="ER3" s="13" t="s">
        <v>7</v>
      </c>
      <c r="ES3" s="13" t="s">
        <v>23</v>
      </c>
      <c r="ET3" s="13" t="s">
        <v>24</v>
      </c>
      <c r="EU3" s="13" t="s">
        <v>12</v>
      </c>
      <c r="EV3" s="13" t="s">
        <v>7</v>
      </c>
      <c r="EW3" s="13" t="s">
        <v>23</v>
      </c>
      <c r="EX3" s="13" t="s">
        <v>24</v>
      </c>
      <c r="EY3" s="16" t="s">
        <v>12</v>
      </c>
      <c r="EZ3" s="16" t="s">
        <v>7</v>
      </c>
      <c r="FA3" s="16" t="s">
        <v>23</v>
      </c>
      <c r="FB3" s="16" t="s">
        <v>24</v>
      </c>
      <c r="FC3" s="13"/>
      <c r="FD3" s="13"/>
      <c r="FE3" s="13"/>
      <c r="FF3" s="13"/>
      <c r="FG3" s="13"/>
      <c r="FH3" s="13"/>
      <c r="FI3" s="13"/>
      <c r="FJ3" s="13"/>
      <c r="FK3" s="14" t="s">
        <v>12</v>
      </c>
      <c r="FL3" s="14" t="s">
        <v>7</v>
      </c>
      <c r="FM3" s="14" t="s">
        <v>23</v>
      </c>
      <c r="FN3" s="14" t="s">
        <v>24</v>
      </c>
      <c r="FO3" s="14" t="s">
        <v>12</v>
      </c>
      <c r="FP3" s="14" t="s">
        <v>7</v>
      </c>
      <c r="FQ3" s="14" t="s">
        <v>23</v>
      </c>
      <c r="FR3" s="14" t="s">
        <v>24</v>
      </c>
      <c r="FS3" s="14" t="s">
        <v>12</v>
      </c>
      <c r="FT3" s="14" t="s">
        <v>7</v>
      </c>
      <c r="FU3" s="14" t="s">
        <v>23</v>
      </c>
      <c r="FV3" s="14" t="s">
        <v>24</v>
      </c>
      <c r="FW3" s="14" t="s">
        <v>12</v>
      </c>
      <c r="FX3" s="14" t="s">
        <v>7</v>
      </c>
      <c r="FY3" s="14" t="s">
        <v>23</v>
      </c>
      <c r="FZ3" s="14" t="s">
        <v>24</v>
      </c>
      <c r="GA3" s="15" t="s">
        <v>12</v>
      </c>
      <c r="GB3" s="15" t="s">
        <v>7</v>
      </c>
      <c r="GC3" s="15" t="s">
        <v>23</v>
      </c>
      <c r="GD3" s="15" t="s">
        <v>24</v>
      </c>
      <c r="GE3" s="14"/>
      <c r="GF3" s="14"/>
      <c r="GG3" s="14"/>
      <c r="GH3" s="14"/>
      <c r="GI3" s="14"/>
      <c r="GJ3" s="14"/>
      <c r="GK3" s="14"/>
      <c r="GL3" s="14"/>
      <c r="GM3" s="13" t="s">
        <v>12</v>
      </c>
      <c r="GN3" s="13" t="s">
        <v>7</v>
      </c>
      <c r="GO3" s="13" t="s">
        <v>23</v>
      </c>
      <c r="GP3" s="13" t="s">
        <v>24</v>
      </c>
      <c r="GQ3" s="13" t="s">
        <v>12</v>
      </c>
      <c r="GR3" s="13" t="s">
        <v>7</v>
      </c>
      <c r="GS3" s="13" t="s">
        <v>23</v>
      </c>
      <c r="GT3" s="13" t="s">
        <v>24</v>
      </c>
      <c r="GU3" s="13" t="s">
        <v>12</v>
      </c>
      <c r="GV3" s="13" t="s">
        <v>7</v>
      </c>
      <c r="GW3" s="13" t="s">
        <v>23</v>
      </c>
      <c r="GX3" s="13" t="s">
        <v>24</v>
      </c>
      <c r="GY3" s="13" t="s">
        <v>12</v>
      </c>
      <c r="GZ3" s="13" t="s">
        <v>7</v>
      </c>
      <c r="HA3" s="13" t="s">
        <v>23</v>
      </c>
      <c r="HB3" s="13" t="s">
        <v>24</v>
      </c>
      <c r="HC3" s="16" t="s">
        <v>12</v>
      </c>
      <c r="HD3" s="16" t="s">
        <v>7</v>
      </c>
      <c r="HE3" s="16" t="s">
        <v>23</v>
      </c>
      <c r="HF3" s="16" t="s">
        <v>24</v>
      </c>
      <c r="HG3" s="13"/>
      <c r="HH3" s="13"/>
      <c r="HI3" s="13"/>
      <c r="HJ3" s="13"/>
      <c r="HK3" s="13"/>
      <c r="HL3" s="13"/>
      <c r="HM3" s="13"/>
      <c r="HN3" s="13"/>
      <c r="HO3" s="14" t="s">
        <v>12</v>
      </c>
      <c r="HP3" s="14" t="s">
        <v>7</v>
      </c>
      <c r="HQ3" s="14" t="s">
        <v>23</v>
      </c>
      <c r="HR3" s="14" t="s">
        <v>24</v>
      </c>
      <c r="HS3" s="14" t="s">
        <v>12</v>
      </c>
      <c r="HT3" s="14" t="s">
        <v>7</v>
      </c>
      <c r="HU3" s="14" t="s">
        <v>23</v>
      </c>
      <c r="HV3" s="14" t="s">
        <v>24</v>
      </c>
      <c r="HW3" s="14" t="s">
        <v>12</v>
      </c>
      <c r="HX3" s="14" t="s">
        <v>7</v>
      </c>
      <c r="HY3" s="14" t="s">
        <v>23</v>
      </c>
      <c r="HZ3" s="14" t="s">
        <v>24</v>
      </c>
      <c r="IA3" s="14" t="s">
        <v>12</v>
      </c>
      <c r="IB3" s="14" t="s">
        <v>7</v>
      </c>
      <c r="IC3" s="14" t="s">
        <v>23</v>
      </c>
      <c r="ID3" s="14" t="s">
        <v>24</v>
      </c>
      <c r="IE3" s="15" t="s">
        <v>12</v>
      </c>
      <c r="IF3" s="15" t="s">
        <v>7</v>
      </c>
      <c r="IG3" s="15" t="s">
        <v>23</v>
      </c>
      <c r="IH3" s="15" t="s">
        <v>24</v>
      </c>
      <c r="II3" s="14"/>
      <c r="IJ3" s="14"/>
      <c r="IK3" s="14"/>
      <c r="IL3" s="14"/>
      <c r="IM3" s="14"/>
      <c r="IN3" s="14"/>
      <c r="IO3" s="14"/>
      <c r="IP3" s="14"/>
      <c r="IQ3" s="13" t="s">
        <v>12</v>
      </c>
      <c r="IR3" s="13" t="s">
        <v>7</v>
      </c>
      <c r="IS3" s="13" t="s">
        <v>23</v>
      </c>
      <c r="IT3" s="13" t="s">
        <v>24</v>
      </c>
      <c r="IU3" s="13" t="s">
        <v>12</v>
      </c>
      <c r="IV3" s="13" t="s">
        <v>7</v>
      </c>
      <c r="IW3" s="13" t="s">
        <v>23</v>
      </c>
      <c r="IX3" s="13" t="s">
        <v>24</v>
      </c>
      <c r="IY3" s="13" t="s">
        <v>12</v>
      </c>
      <c r="IZ3" s="13" t="s">
        <v>7</v>
      </c>
      <c r="JA3" s="13" t="s">
        <v>23</v>
      </c>
      <c r="JB3" s="13" t="s">
        <v>24</v>
      </c>
      <c r="JC3" s="13" t="s">
        <v>12</v>
      </c>
      <c r="JD3" s="13" t="s">
        <v>7</v>
      </c>
      <c r="JE3" s="13" t="s">
        <v>23</v>
      </c>
      <c r="JF3" s="13" t="s">
        <v>24</v>
      </c>
      <c r="JG3" s="16" t="s">
        <v>12</v>
      </c>
      <c r="JH3" s="16" t="s">
        <v>7</v>
      </c>
      <c r="JI3" s="16" t="s">
        <v>23</v>
      </c>
      <c r="JJ3" s="16" t="s">
        <v>24</v>
      </c>
      <c r="JK3" s="13"/>
      <c r="JL3" s="13"/>
      <c r="JM3" s="13"/>
      <c r="JN3" s="13"/>
      <c r="JO3" s="13"/>
      <c r="JP3" s="13"/>
      <c r="JQ3" s="13"/>
      <c r="JR3" s="13"/>
      <c r="JS3" s="14" t="s">
        <v>12</v>
      </c>
      <c r="JT3" s="14" t="s">
        <v>7</v>
      </c>
      <c r="JU3" s="14" t="s">
        <v>23</v>
      </c>
      <c r="JV3" s="14" t="s">
        <v>24</v>
      </c>
      <c r="JW3" s="14" t="s">
        <v>12</v>
      </c>
      <c r="JX3" s="14" t="s">
        <v>7</v>
      </c>
      <c r="JY3" s="14" t="s">
        <v>23</v>
      </c>
      <c r="JZ3" s="14" t="s">
        <v>24</v>
      </c>
      <c r="KA3" s="14" t="s">
        <v>12</v>
      </c>
      <c r="KB3" s="14" t="s">
        <v>7</v>
      </c>
      <c r="KC3" s="14" t="s">
        <v>23</v>
      </c>
      <c r="KD3" s="14" t="s">
        <v>24</v>
      </c>
      <c r="KE3" s="14" t="s">
        <v>12</v>
      </c>
      <c r="KF3" s="14" t="s">
        <v>7</v>
      </c>
      <c r="KG3" s="14" t="s">
        <v>23</v>
      </c>
      <c r="KH3" s="14" t="s">
        <v>24</v>
      </c>
      <c r="KI3" s="15" t="s">
        <v>12</v>
      </c>
      <c r="KJ3" s="15" t="s">
        <v>7</v>
      </c>
      <c r="KK3" s="15" t="s">
        <v>23</v>
      </c>
      <c r="KL3" s="15" t="s">
        <v>24</v>
      </c>
      <c r="KM3" s="14"/>
      <c r="KN3" s="14"/>
      <c r="KO3" s="14"/>
      <c r="KP3" s="14"/>
      <c r="KQ3" s="14"/>
      <c r="KR3" s="14"/>
      <c r="KS3" s="14"/>
      <c r="KT3" s="14"/>
      <c r="KU3" s="13" t="s">
        <v>12</v>
      </c>
      <c r="KV3" s="13" t="s">
        <v>7</v>
      </c>
      <c r="KW3" s="13" t="s">
        <v>23</v>
      </c>
      <c r="KX3" s="13" t="s">
        <v>24</v>
      </c>
      <c r="KY3" s="13" t="s">
        <v>12</v>
      </c>
      <c r="KZ3" s="13" t="s">
        <v>7</v>
      </c>
      <c r="LA3" s="13" t="s">
        <v>23</v>
      </c>
      <c r="LB3" s="13" t="s">
        <v>24</v>
      </c>
      <c r="LC3" s="13" t="s">
        <v>12</v>
      </c>
      <c r="LD3" s="13" t="s">
        <v>7</v>
      </c>
      <c r="LE3" s="13" t="s">
        <v>23</v>
      </c>
      <c r="LF3" s="13" t="s">
        <v>24</v>
      </c>
      <c r="LG3" s="13" t="s">
        <v>12</v>
      </c>
      <c r="LH3" s="13" t="s">
        <v>7</v>
      </c>
      <c r="LI3" s="13" t="s">
        <v>23</v>
      </c>
      <c r="LJ3" s="13" t="s">
        <v>24</v>
      </c>
      <c r="LK3" s="16" t="s">
        <v>12</v>
      </c>
      <c r="LL3" s="16" t="s">
        <v>7</v>
      </c>
      <c r="LM3" s="16" t="s">
        <v>23</v>
      </c>
      <c r="LN3" s="16" t="s">
        <v>24</v>
      </c>
      <c r="LO3" s="13"/>
      <c r="LP3" s="13"/>
      <c r="LQ3" s="13"/>
      <c r="LR3" s="13"/>
      <c r="LS3" s="13"/>
      <c r="LT3" s="13"/>
      <c r="LU3" s="13"/>
      <c r="LV3" s="13"/>
      <c r="LW3" s="14" t="s">
        <v>12</v>
      </c>
      <c r="LX3" s="14" t="s">
        <v>7</v>
      </c>
      <c r="LY3" s="14" t="s">
        <v>23</v>
      </c>
      <c r="LZ3" s="14" t="s">
        <v>24</v>
      </c>
      <c r="MA3" s="14" t="s">
        <v>12</v>
      </c>
      <c r="MB3" s="14" t="s">
        <v>7</v>
      </c>
      <c r="MC3" s="14" t="s">
        <v>23</v>
      </c>
      <c r="MD3" s="14" t="s">
        <v>24</v>
      </c>
      <c r="ME3" s="14" t="s">
        <v>12</v>
      </c>
      <c r="MF3" s="14" t="s">
        <v>7</v>
      </c>
      <c r="MG3" s="14" t="s">
        <v>23</v>
      </c>
      <c r="MH3" s="14" t="s">
        <v>24</v>
      </c>
      <c r="MI3" s="14" t="s">
        <v>12</v>
      </c>
      <c r="MJ3" s="14" t="s">
        <v>7</v>
      </c>
      <c r="MK3" s="14" t="s">
        <v>23</v>
      </c>
      <c r="ML3" s="14" t="s">
        <v>24</v>
      </c>
      <c r="MM3" s="15" t="s">
        <v>12</v>
      </c>
      <c r="MN3" s="15" t="s">
        <v>7</v>
      </c>
      <c r="MO3" s="15" t="s">
        <v>23</v>
      </c>
      <c r="MP3" s="15" t="s">
        <v>24</v>
      </c>
      <c r="MQ3" s="14"/>
      <c r="MR3" s="14"/>
      <c r="MS3" s="14"/>
      <c r="MT3" s="14"/>
      <c r="MU3" s="14"/>
      <c r="MV3" s="14"/>
      <c r="MW3" s="14"/>
      <c r="MX3" s="14"/>
      <c r="MY3" s="13" t="s">
        <v>12</v>
      </c>
      <c r="MZ3" s="13" t="s">
        <v>7</v>
      </c>
      <c r="NA3" s="13" t="s">
        <v>23</v>
      </c>
      <c r="NB3" s="13" t="s">
        <v>24</v>
      </c>
      <c r="NC3" s="13" t="s">
        <v>12</v>
      </c>
      <c r="ND3" s="13" t="s">
        <v>7</v>
      </c>
      <c r="NE3" s="13" t="s">
        <v>23</v>
      </c>
      <c r="NF3" s="13" t="s">
        <v>24</v>
      </c>
      <c r="NG3" s="13" t="s">
        <v>12</v>
      </c>
      <c r="NH3" s="13" t="s">
        <v>7</v>
      </c>
      <c r="NI3" s="13" t="s">
        <v>23</v>
      </c>
      <c r="NJ3" s="13" t="s">
        <v>24</v>
      </c>
      <c r="NK3" s="13" t="s">
        <v>12</v>
      </c>
      <c r="NL3" s="13" t="s">
        <v>7</v>
      </c>
      <c r="NM3" s="13" t="s">
        <v>23</v>
      </c>
      <c r="NN3" s="13" t="s">
        <v>24</v>
      </c>
      <c r="NO3" s="16" t="s">
        <v>12</v>
      </c>
      <c r="NP3" s="16" t="s">
        <v>7</v>
      </c>
      <c r="NQ3" s="16" t="s">
        <v>23</v>
      </c>
      <c r="NR3" s="16" t="s">
        <v>24</v>
      </c>
      <c r="NS3" s="13"/>
      <c r="NT3" s="13"/>
      <c r="NU3" s="13"/>
      <c r="NV3" s="13"/>
      <c r="NW3" s="13"/>
      <c r="NX3" s="13"/>
      <c r="NY3" s="13"/>
      <c r="NZ3" s="13"/>
      <c r="OA3" s="14" t="s">
        <v>12</v>
      </c>
      <c r="OB3" s="14" t="s">
        <v>7</v>
      </c>
      <c r="OC3" s="14" t="s">
        <v>23</v>
      </c>
      <c r="OD3" s="14" t="s">
        <v>24</v>
      </c>
      <c r="OE3" s="14" t="s">
        <v>12</v>
      </c>
      <c r="OF3" s="14" t="s">
        <v>7</v>
      </c>
      <c r="OG3" s="14" t="s">
        <v>23</v>
      </c>
      <c r="OH3" s="14" t="s">
        <v>24</v>
      </c>
      <c r="OI3" s="14" t="s">
        <v>12</v>
      </c>
      <c r="OJ3" s="14" t="s">
        <v>7</v>
      </c>
      <c r="OK3" s="14" t="s">
        <v>23</v>
      </c>
      <c r="OL3" s="14" t="s">
        <v>24</v>
      </c>
      <c r="OM3" s="14" t="s">
        <v>12</v>
      </c>
      <c r="ON3" s="14" t="s">
        <v>7</v>
      </c>
      <c r="OO3" s="14" t="s">
        <v>23</v>
      </c>
      <c r="OP3" s="14" t="s">
        <v>24</v>
      </c>
      <c r="OQ3" s="15" t="s">
        <v>12</v>
      </c>
      <c r="OR3" s="15" t="s">
        <v>7</v>
      </c>
      <c r="OS3" s="15" t="s">
        <v>23</v>
      </c>
      <c r="OT3" s="15" t="s">
        <v>24</v>
      </c>
      <c r="OU3" s="14"/>
      <c r="OV3" s="14"/>
      <c r="OW3" s="14"/>
      <c r="OX3" s="14"/>
      <c r="OY3" s="14"/>
      <c r="OZ3" s="14"/>
      <c r="PA3" s="14"/>
      <c r="PB3" s="14"/>
      <c r="PC3" s="13" t="s">
        <v>12</v>
      </c>
      <c r="PD3" s="13" t="s">
        <v>7</v>
      </c>
      <c r="PE3" s="13" t="s">
        <v>23</v>
      </c>
      <c r="PF3" s="13" t="s">
        <v>24</v>
      </c>
      <c r="PG3" s="13" t="s">
        <v>12</v>
      </c>
      <c r="PH3" s="13" t="s">
        <v>7</v>
      </c>
      <c r="PI3" s="13" t="s">
        <v>23</v>
      </c>
      <c r="PJ3" s="13" t="s">
        <v>24</v>
      </c>
      <c r="PK3" s="13" t="s">
        <v>12</v>
      </c>
      <c r="PL3" s="13" t="s">
        <v>7</v>
      </c>
      <c r="PM3" s="13" t="s">
        <v>23</v>
      </c>
      <c r="PN3" s="13" t="s">
        <v>24</v>
      </c>
      <c r="PO3" s="13" t="s">
        <v>12</v>
      </c>
      <c r="PP3" s="13" t="s">
        <v>7</v>
      </c>
      <c r="PQ3" s="13" t="s">
        <v>23</v>
      </c>
      <c r="PR3" s="13" t="s">
        <v>24</v>
      </c>
      <c r="PS3" s="16" t="s">
        <v>12</v>
      </c>
      <c r="PT3" s="16" t="s">
        <v>7</v>
      </c>
      <c r="PU3" s="16" t="s">
        <v>23</v>
      </c>
      <c r="PV3" s="16" t="s">
        <v>24</v>
      </c>
      <c r="PW3" s="13"/>
      <c r="PX3" s="13"/>
      <c r="PY3" s="13"/>
      <c r="PZ3" s="13"/>
      <c r="QA3" s="13"/>
      <c r="QB3" s="13"/>
      <c r="QC3" s="13"/>
      <c r="QD3" s="13"/>
      <c r="QE3" s="14" t="s">
        <v>12</v>
      </c>
      <c r="QF3" s="14" t="s">
        <v>7</v>
      </c>
      <c r="QG3" s="14" t="s">
        <v>23</v>
      </c>
      <c r="QH3" s="14" t="s">
        <v>24</v>
      </c>
      <c r="QI3" s="14" t="s">
        <v>12</v>
      </c>
      <c r="QJ3" s="14" t="s">
        <v>7</v>
      </c>
      <c r="QK3" s="14" t="s">
        <v>23</v>
      </c>
      <c r="QL3" s="14" t="s">
        <v>24</v>
      </c>
      <c r="QM3" s="14" t="s">
        <v>12</v>
      </c>
      <c r="QN3" s="14" t="s">
        <v>7</v>
      </c>
      <c r="QO3" s="14" t="s">
        <v>23</v>
      </c>
      <c r="QP3" s="14" t="s">
        <v>24</v>
      </c>
      <c r="QQ3" s="14" t="s">
        <v>12</v>
      </c>
      <c r="QR3" s="14" t="s">
        <v>7</v>
      </c>
      <c r="QS3" s="14" t="s">
        <v>23</v>
      </c>
      <c r="QT3" s="14" t="s">
        <v>24</v>
      </c>
      <c r="QU3" s="21" t="s">
        <v>12</v>
      </c>
      <c r="QV3" s="21" t="s">
        <v>7</v>
      </c>
      <c r="QW3" s="21" t="s">
        <v>23</v>
      </c>
      <c r="QX3" s="21" t="s">
        <v>24</v>
      </c>
      <c r="QY3" s="14" t="s">
        <v>45</v>
      </c>
      <c r="QZ3" s="14"/>
      <c r="RA3" s="14"/>
      <c r="RB3" s="14"/>
      <c r="RC3" s="14"/>
      <c r="RD3" s="14"/>
      <c r="RE3" s="14"/>
      <c r="RF3" s="14"/>
      <c r="RG3" s="14"/>
    </row>
    <row r="4" spans="1:475" x14ac:dyDescent="0.2">
      <c r="A4" s="4">
        <f>IF(AND(F4="P",G4="P"),SUMPRODUCT((F$4:F$24="P")*(G$4:G$24="P")*(E$4:E$24&gt;E4))+1,IF(G4="P",SUMPRODUCT((F$4:F$24="")*(G$4:G$24="P")*(E$4:E$24&gt;E4))+1+SUMPRODUCT((F$4:F$24="P")*(G$4:G$24="P")),""))</f>
        <v>1</v>
      </c>
      <c r="B4" s="5" t="s">
        <v>209</v>
      </c>
      <c r="C4" s="4" t="s">
        <v>4</v>
      </c>
      <c r="D4" s="4">
        <v>2006</v>
      </c>
      <c r="E4" s="9">
        <f t="shared" ref="E4:E23" si="0">SUM(J4:R4)+SUM(J4:N4)*0.0000001+SUM(J4)*0.0000000000001</f>
        <v>152.80001090000437</v>
      </c>
      <c r="F4" s="3" t="str">
        <f t="shared" ref="F4:F23" si="1">IF(OR(AND(AP4&gt;=AW$26,AQ4&gt;=AW$30,AP4&lt;&gt;"",AO4=""),AND(AU4&gt;=AW$26,AV4&gt;=AW$30,AU4&lt;&gt;"",AO4=""),AND(BS4&gt;=BZ$26,BT4&gt;=BZ$30,BS4&lt;&gt;"",BR4=""),AND(BX4&gt;=BZ$26,BY4&gt;=BZ$30,BX4&lt;&gt;"",BR4=""),AND(CV4&gt;=DC$26,CW4&gt;=DC$30,CV4&lt;&gt;"",CU4=""),AND(DA4&gt;=DC$26,DB4&gt;=DC$30,DA4&lt;&gt;""),AND(EA4&gt;=EH$26,EB4&gt;=EH$30,EA4&lt;&gt;""),AND(EF4&gt;=EH$26,EG4&gt;=EH$30,EF4&lt;&gt;""),AND(FC4&gt;=FJ$26,FD4&gt;=FJ$30,FC4&lt;&gt;""),AND(FH4&gt;=FJ$26,FI4&gt;=FJ$30,FH4&lt;&gt;""),AND(GE4&gt;=GL$26,GF4&gt;=GL$30,GE4&lt;&gt;""),AND(GJ4&gt;=GL$26,GK4&gt;=GL$30,GJ4&lt;&gt;""),AND(HG4&gt;=HN$26,HH4&gt;=HN$30,HG4&lt;&gt;""),AND(HL4&gt;=HN$26,HM4&gt;=HN$30,HL4&lt;&gt;""),AND(II4&gt;=IP$26,IJ4&gt;=IP$30,II4&lt;&gt;""),AND(IN4&gt;=IP$26,IO4&gt;=IP$30,IN4&lt;&gt;""),AND(JK4&gt;=JR$26,JL4&gt;=JR$30,JK4&lt;&gt;""),AND(JP4&gt;=JR$26,JQ4&gt;=JR$30,JP4&lt;&gt;""),AND(KM4&gt;=KT$26,KN4&gt;=KT$30,KM4&lt;&gt;""),AND(KR4&gt;=KT$26,KS4&gt;=KT$30,KR4&lt;&gt;""),AND(LO4&gt;=LV$26,LP4&gt;=LV$30,LO4&lt;&gt;""),AND(LT4&gt;=LV$26,LU4&gt;=LV$30,LT4&lt;&gt;""),AND(MQ4&gt;=MX$26,MR4&gt;=MX$30,MQ4&lt;&gt;""),AND(MV4&gt;=MX$26,MW4&gt;=MX$30,MV4&lt;&gt;""),AND(NS4&gt;=NZ$26,NT4&gt;=NZ$30,NS4&lt;&gt;""),AND(NX4&gt;=NZ$26,NY4&gt;=NZ$30,NX4&lt;&gt;""),AND(OU4&gt;=PB$26,OV4&gt;=PB$30,OU4&lt;&gt;""),AND(OZ4&gt;=PB$26,PA4&gt;=PB$30,OZ4&lt;&gt;""),AND(PW4&gt;=QD$26,PX4&gt;=QD$30,PW4&lt;&gt;""),AND(QB4&gt;=QD$26,QC4&gt;=QD$30,QB4&lt;&gt;"")),"P","")</f>
        <v>P</v>
      </c>
      <c r="G4" s="3" t="str">
        <f t="shared" ref="G4:G23" si="2">IF(OR(AND(AQ4&gt;=AW$30,AQ4&lt;&gt;"",AO4=""),AND(AV4&gt;=AW$30,AV4&lt;&gt;"",AO4=""),AND(BT4&gt;=BZ$30,BT4&lt;&gt;"",BR4=""),AND(BY4&gt;=BZ$30,BY4&lt;&gt;"",BR4=""),AND(CW4&gt;=DC$30,CW4&lt;&gt;"",CU4=""),AND(DB4&gt;=DC$30,DB4&lt;&gt;"",CU4=""),AND(EB4&gt;=EH$30,EB4&lt;&gt;""),AND(EG4&gt;=EH$30,EG4&lt;&gt;""),AND(FD4&gt;=FJ$30,FD4&lt;&gt;""),AND(FI4&gt;=FJ$30,FI4&lt;&gt;""),AND(GF4&gt;=GL$30,GF4&lt;&gt;""),AND(GK4&gt;=GL$30,GK4&lt;&gt;""),AND(HH4&gt;=HN$30,HH4&lt;&gt;""),AND(HM4&gt;=HN$30,HM4&lt;&gt;""),AND(IJ4&gt;=IP$30,IJ4&lt;&gt;""),AND(IO4&gt;=IP$30,IO4&lt;&gt;""),AND(JL4&gt;=JR$30,JL4&lt;&gt;""),AND(JQ4&gt;=JR$30,JQ4&lt;&gt;""),AND(KN4&gt;=KT$30,KN4&lt;&gt;""),AND(KS4&gt;=KT$30,KS4&lt;&gt;""),AND(LP4&gt;=LV$30,LP4&lt;&gt;""),AND(LU4&gt;=LV$30,LU4&lt;&gt;""),AND(MR4&gt;=MX$30,MR4&lt;&gt;""),AND(MW4&gt;=MX$30,MW4&lt;&gt;""),AND(NT4&gt;=NZ$30,NT4&lt;&gt;""),AND(NY4&gt;=NZ$30,NY4&lt;&gt;""),AND(OV4&gt;=PB$30,OV4&lt;&gt;""),AND(PA4&gt;=PB$30,PA4&lt;&gt;""),AND(PX4&gt;=QD$30,PX4&lt;&gt;""),AND(QC4&gt;=QD$30,QC4&lt;&gt;"")),"P","")</f>
        <v>P</v>
      </c>
      <c r="H4" s="36" t="str">
        <f t="shared" ref="H4:H23" si="3">IF(AND(G4="P",F4=""),"No DD",IF(OR(AND(AS4&gt;=AW$29,AT4&gt;=AW$33,AS4&lt;&gt;"",AO4=""),AND(BV4&gt;=BZ$29,BW4&gt;=BZ$33,BV4&lt;&gt;"",BR4=""),AND(CY4&gt;=DC$29,CZ4&gt;=DC$33,CY4&lt;&gt;"",CU4=""),AND(ED4&gt;=EH$29,EE4&gt;=EH$33,ED4&lt;&gt;""),AND(FF4&gt;=FJ$29,FG4&gt;=FJ$33,FF4&lt;&gt;""),AND(GH4&gt;=GL$29,GI4&gt;=GL$33,GH4&lt;&gt;""),AND(HJ4&gt;=HN$29,HK4&gt;=HN$33,HJ4&lt;&gt;""),AND(IL4&gt;=IP$29,IM4&gt;=IP$33,IL4&lt;&gt;""),AND(JN4&gt;=JR$29,JO4&gt;=JR$33,JN4&lt;&gt;""),AND(KP4&gt;=KT$29,KQ4&gt;=KT$33,KP4&lt;&gt;""),AND(LR4&gt;=LV$29,LS4&gt;=LV$33,LR4&lt;&gt;""),AND(MT4&gt;=MX$29,MU4&gt;=MX$33,MT4&lt;&gt;""),AND(NV4&gt;=NZ$29,NW4&gt;=NZ$33,NV4&lt;&gt;""),AND(OX4&gt;=PB$29,OY4&gt;=PB$33,OX4&lt;&gt;""),AND(PZ4&gt;=QD$29,QA4&gt;=QD$33,PZ4&lt;&gt;"")),"Merit",IF(OR(AND(AS4&gt;=AW$28,AT4&gt;=AW$32,AS4&lt;&gt;"",AO4=""),AND(BV4&gt;=BZ$28,BW4&gt;=BZ$32,BV4&lt;&gt;"",BR4=""),AND(CY4&gt;=DC$28,CZ4&gt;=DC$32,CY4&lt;&gt;"",CU4=""),AND(ED4&gt;=EH$28,EE4&gt;=EH$32,ED4&lt;&gt;""),AND(FF4&gt;=FJ$28,FG4&gt;=FJ$32,FF4&lt;&gt;""),AND(GH4&gt;=GL$28,GI4&gt;=GL$32,GH4&lt;&gt;""),AND(HJ4&gt;=HN$28,HK4&gt;=HN$32,HJ4&lt;&gt;""),AND(IL4&gt;=IP$28,IM4&gt;=IP$32,IL4&lt;&gt;""),AND(JN4&gt;=JR$28,JO4&gt;=JR$32,JN4&lt;&gt;""),AND(KP4&gt;=KT$28,KQ4&gt;=KT$32,KP4&lt;&gt;""),AND(LR4&gt;=LV$28,LS4&gt;=LV$32,LR4&lt;&gt;""),AND(MT4&gt;=MX$28,MU4&gt;=MX$32,MT4&lt;&gt;""),AND(NV4&gt;=NZ$28,NW4&gt;=NZ$32,NV4&lt;&gt;""),AND(OX4&gt;=PB$28,OY4&gt;=PB$32,OX4&lt;&gt;""),AND(PZ4&gt;=QD$28,QA4&gt;=QD$32,PZ4&lt;&gt;"")),"Excellence",IF(I4="P","Worlds Team",IF(F4="P","National Team","")))))</f>
        <v>National Team</v>
      </c>
      <c r="I4" s="3" t="str">
        <f t="shared" ref="I4:I23" si="4">IF(OR(AND(AS4&gt;=AW$27,AT4&gt;=AW$31,AS4&lt;&gt;"",AO4=""),AND(BV4&gt;=BZ$27,BW4&gt;=BZ$31,BV4&lt;&gt;"",BR4=""),AND(CY4&gt;=DC$27,CZ4&gt;=DC$31,CY4&lt;&gt;"",CU4=""),AND(ED4&gt;=EH$27,EE4&gt;=EH$31,ED4&lt;&gt;""),AND(FF4&gt;=FJ$27,FG4&gt;=FJ$31,FF4&lt;&gt;""),AND(GH4&gt;=GL$27,GI4&gt;=GL$31,GH4&lt;&gt;""),AND(HJ4&gt;=HN$27,HK4&gt;=HN$31,HJ4&lt;&gt;""),AND(IL4&gt;=IP$27,IM4&gt;=IP$31,IL4&lt;&gt;""),AND(JN4&gt;=JR$27,JO4&gt;=JR$31,JN4&lt;&gt;""),AND(KP4&gt;=KT$27,KQ4&gt;=KT$31,KP4&lt;&gt;""),AND(LR4&gt;=LV$27,LS4&gt;=LV$31,LR4&lt;&gt;""),AND(MT4&gt;=MX$27,MU4&gt;=MX$31,MT4&lt;&gt;""),AND(NV4&gt;=NZ$27,NW4&gt;=NZ$31,NV4&lt;&gt;""),AND(OX4&gt;=PB$27,OY4&gt;=PB$31,OX4&lt;&gt;""),AND(PZ4&gt;=QD$27,QA4&gt;=QD$31,PZ4&lt;&gt;"")),"P","")</f>
        <v/>
      </c>
      <c r="J4" s="8">
        <f>IF(COUNT(AQ4,BT4,CW4)&gt;0,LARGE((AQ4,BT4,CW4),1),0)</f>
        <v>43.5</v>
      </c>
      <c r="K4" s="8" t="str">
        <f t="shared" ref="K4:K23" si="5">IF(J4=0,"",IF(J4=CW4,$CA$1,IF(J4=BT4,$AX$1,IF(J4=AQ4,$U$1,""))))</f>
        <v>2023 Elite Canada</v>
      </c>
      <c r="L4" s="8">
        <f>IF(COUNT(AQ4,BT4,CW4)&gt;1,LARGE((AQ4,BT4,CW4),2),0)</f>
        <v>43.300000000000004</v>
      </c>
      <c r="M4" s="8" t="str">
        <f t="shared" ref="M4:M23" si="6">IF(L4=0,"",IF(L4=CW4,$CA$1,IF(L4=BT4,$AX$1,IF(L4=AQ4,$U$1,""))))</f>
        <v>2022 Nationals</v>
      </c>
      <c r="N4" s="8">
        <f>IF(COUNT(AR4,BU4,CX4)&gt;0,LARGE((AR4,BU4,CX4),1),0)</f>
        <v>22.200000000000003</v>
      </c>
      <c r="O4" s="8" t="str">
        <f t="shared" ref="O4:O23" si="7">IF(N4=0,"",IF(N4=CX4,$CA$1,IF(N4=BU4,$AX$1,IF(N4=AR4,$U$1,""))))</f>
        <v>2023 Elite Canada</v>
      </c>
      <c r="P4" s="8">
        <f t="shared" ref="P4:P23" si="8">IF(MAX(AV4,BY4,DB4)&gt;0,MAX(AV4,BY4,DB4),0)</f>
        <v>43.800000000000004</v>
      </c>
      <c r="Q4" s="8" t="str">
        <f t="shared" ref="Q4:Q23" si="9">IF(P4=0,"",IF(P4=DB4,$CA$1,IF(P4=BY4,$AX$1,IF(P4=AV4,$U$1,""))))</f>
        <v>2022 Nationals</v>
      </c>
      <c r="R4" s="8" t="str">
        <f t="shared" ref="R4:R23" si="10">IF(MAX(DD4:DF4)&gt;0,MAX(DD4:DF4),"")</f>
        <v/>
      </c>
      <c r="S4" s="11" t="str">
        <f t="shared" ref="S4:S23" si="11">IF(R4="","",IF(R4=DD4,"("&amp;DD$2&amp;")",IF(R4=DE4,"("&amp;DE$2&amp;")",IF(R4=DF4,"("&amp;DF$2&amp;")"))))</f>
        <v/>
      </c>
      <c r="T4" s="8" t="str">
        <f t="shared" ref="T4:T23" si="12">IF(R4="","",IF(R4=DD4,IF(R4+IF(L4="",0,L4)=PX4,$PC$1,IF(R4+IF(L4="",0,L4)=OV4,$OA$1,IF(R4+IF(L4="",0,L4)=NT4,$MY$1,IF(R4+IF(L4="",0,L4)=MR4,$LW$1,IF(R4+IF(L4="",0,L4)=LP4,$KU$1,IF(R4+IF(L4="",0,L4)=KN4,$JS$1,IF(R4+IF(L4="",0,L4)=JL4,$IQ$1,IF(R4+IF(L4="",0,L4)=IJ4,$HO$1,IF(R4+IF(L4="",0,L4)=HH4,$GM$1,IF(R4+IF(L4="",0,L4)=GF4,$FK$1,IF(R4+IF(L4="",0,L4)=FD4,$EI$1,IF(R4+IF(L4="",0,L4)=EB4,$DG$1)))))))))))),IF(R4=DE4,IF(R4+IF(N4="",0,N4)=PY4,$PC$1,IF(R4+IF(N4="",0,N4)=OW4,$OA$1,IF(R4+IF(N4="",0,N4)=NU4,$MY$1,IF(R4+IF(N4="",0,N4)=MS4,$LW$1,IF(R4+IF(N4="",0,N4)=LQ4,$KU$1,IF(R4+IF(N4="",0,N4)=KO4,$JS$1,IF(R4+IF(N4="",0,N4)=JM4,$IQ$1,IF(R4+IF(N4="",0,N4)=IK4,$HO$1,IF(R4+IF(N4="",0,N4)=HI4,$GM$1,IF(R4+IF(N4="",0,N4)=GG4,$FK$1,IF(R4+IF(N4="",0,N4)=FE4,$EI$1,IF(R4+IF(N4="",0,N4)=EC4,$DG$1)))))))))))),IF(R4=DF4,IF(R4+IF(P4="",0,P4)=QC4,$PC$1,IF(R4+IF(P4="",0,P4)=PA4,$OA$1,IF(R4+IF(P4="",0,P4)=NY4,$MY$1,IF(R4+IF(P4="",0,P4)=MW4,$LW$1,IF(R4+IF(P4="",0,P4)=LU4,$KU$1,IF(R4+IF(P4="",0,P4)=KS4,$JS$1,IF(R4+IF(P4="",0,P4)=JQ4,$IQ$1,IF(R4+IF(P4="",0,P4)=IO4,$HO$1,IF(R4+IF(P4="",0,P4)=HM4,$GM$1,IF(R4+IF(P4="",0,P4)=GK4,$FK$1,IF(R4+IF(P4="",0,P4)=FI4,$EI$1,IF(R4+IF(P4="",0,P4)=EG4,$DG$1))))))))))))))))</f>
        <v/>
      </c>
      <c r="U4" s="19">
        <v>17.7</v>
      </c>
      <c r="V4" s="19">
        <v>3.6</v>
      </c>
      <c r="W4" s="19">
        <v>0</v>
      </c>
      <c r="X4" s="19">
        <v>0</v>
      </c>
      <c r="Y4" s="19">
        <v>16.600000000000001</v>
      </c>
      <c r="Z4" s="19">
        <v>4.8</v>
      </c>
      <c r="AA4" s="19">
        <v>0</v>
      </c>
      <c r="AB4" s="19">
        <v>0.6</v>
      </c>
      <c r="AC4" s="19"/>
      <c r="AD4" s="19"/>
      <c r="AE4" s="19"/>
      <c r="AF4" s="19"/>
      <c r="AG4" s="19">
        <v>17.5</v>
      </c>
      <c r="AH4" s="19">
        <v>3.6</v>
      </c>
      <c r="AI4" s="19">
        <v>0</v>
      </c>
      <c r="AJ4" s="19">
        <v>0</v>
      </c>
      <c r="AK4" s="19">
        <v>17.3</v>
      </c>
      <c r="AL4" s="19">
        <v>4.8</v>
      </c>
      <c r="AM4" s="19">
        <v>0</v>
      </c>
      <c r="AN4" s="19">
        <v>0.6</v>
      </c>
      <c r="AO4" s="27"/>
      <c r="AP4" s="40">
        <f t="shared" ref="AP4:AP23" si="13">IF(SUM(V4,Z4)&gt;0,SUM(V4,Z4),"")</f>
        <v>8.4</v>
      </c>
      <c r="AQ4" s="40">
        <f t="shared" ref="AQ4:AQ23" si="14">IF(SUM(U4:V4,X4:Z4,AB4)-W4-AA4&gt;0,SUM(U4:V4,X4:Z4,AB4)-W4-AA4,"")</f>
        <v>43.300000000000004</v>
      </c>
      <c r="AR4" s="40" t="str">
        <f t="shared" ref="AR4:AR23" si="15">IF(SUM(AC4:AD4,AF4)-AE4&gt;0,SUM(AC4:AD4,AF4)-AE4,"")</f>
        <v/>
      </c>
      <c r="AS4" s="40">
        <f t="shared" ref="AS4:AS23" si="16">IF(SUM(V4,Z4,AD4)&gt;0,SUM(V4,Z4,AD4),"")</f>
        <v>8.4</v>
      </c>
      <c r="AT4" s="40">
        <f t="shared" ref="AT4:AT23" si="17">IF(SUM(AQ4,AR4)&gt;0,SUM(AQ4,AR4),"")</f>
        <v>43.300000000000004</v>
      </c>
      <c r="AU4" s="40">
        <f t="shared" ref="AU4:AU23" si="18">IF(SUM(AH4,AL4)&gt;0,SUM(AH4,AL4),"")</f>
        <v>8.4</v>
      </c>
      <c r="AV4" s="40">
        <f t="shared" ref="AV4:AV23" si="19">IF(SUM(AG4:AH4,AJ4:AL4,AN4)-SUM(AI4,AM4)&gt;0,SUM(AG4:AH4,AJ4:AL4,AN4)-SUM(AI4,AM4),"")</f>
        <v>43.800000000000004</v>
      </c>
      <c r="AW4" s="40">
        <f t="shared" ref="AW4:AW23" si="20">IF(SUM(AQ4,AV4)&gt;0,SUM(AQ4,AV4),"")</f>
        <v>87.100000000000009</v>
      </c>
      <c r="AX4" s="18"/>
      <c r="AY4" s="18"/>
      <c r="AZ4" s="18"/>
      <c r="BA4" s="18"/>
      <c r="BB4" s="18"/>
      <c r="BC4" s="18"/>
      <c r="BD4" s="18"/>
      <c r="BE4" s="18"/>
      <c r="BF4" s="18"/>
      <c r="BG4" s="18"/>
      <c r="BH4" s="18"/>
      <c r="BI4" s="18"/>
      <c r="BJ4" s="18"/>
      <c r="BK4" s="18"/>
      <c r="BL4" s="18"/>
      <c r="BM4" s="18"/>
      <c r="BN4" s="18"/>
      <c r="BO4" s="18"/>
      <c r="BP4" s="18"/>
      <c r="BQ4" s="18"/>
      <c r="BR4" s="28"/>
      <c r="BS4" s="11" t="str">
        <f t="shared" ref="BS4:BS23" si="21">IF(SUM(AY4,BC4)&gt;0,SUM(AY4,BC4),"")</f>
        <v/>
      </c>
      <c r="BT4" s="11" t="str">
        <f t="shared" ref="BT4:BT23" si="22">IF(SUM(AX4:AY4,BA4:BC4,BE4)-AZ4-BD4&gt;0,SUM(AX4:AY4,BA4:BC4,BE4)-AZ4-BD4,"")</f>
        <v/>
      </c>
      <c r="BU4" s="11" t="str">
        <f t="shared" ref="BU4:BU23" si="23">IF(SUM(BF4:BG4,BI4)-BH4&gt;0,SUM(BF4:BG4,BI4)-BH4,"")</f>
        <v/>
      </c>
      <c r="BV4" s="11" t="str">
        <f t="shared" ref="BV4:BV23" si="24">IF(SUM(AY4,BC4,BG4)&gt;0,SUM(AY4,BC4,BG4),"")</f>
        <v/>
      </c>
      <c r="BW4" s="11" t="str">
        <f t="shared" ref="BW4:BW23" si="25">IF(SUM(BT4,BU4)&gt;0,SUM(BT4,BU4),"")</f>
        <v/>
      </c>
      <c r="BX4" s="11" t="str">
        <f t="shared" ref="BX4:BX23" si="26">IF(SUM(BK4,BO4)&gt;0,SUM(BK4,BO4),"")</f>
        <v/>
      </c>
      <c r="BY4" s="11" t="str">
        <f t="shared" ref="BY4:BY23" si="27">IF(SUM(BJ4:BK4,BM4:BO4,BQ4)-SUM(BL4,BP4)&gt;0,SUM(BJ4:BK4,BM4:BO4,BQ4)-SUM(BL4,BP4),"")</f>
        <v/>
      </c>
      <c r="BZ4" s="11" t="str">
        <f t="shared" ref="BZ4:BZ23" si="28">IF(SUM(BT4,BY4)&gt;0,SUM(BT4,BY4),"")</f>
        <v/>
      </c>
      <c r="CA4" s="19">
        <v>16.7</v>
      </c>
      <c r="CB4" s="19">
        <v>4.8</v>
      </c>
      <c r="CC4" s="19">
        <v>0</v>
      </c>
      <c r="CD4" s="19">
        <v>0.6</v>
      </c>
      <c r="CE4" s="19">
        <v>16.2</v>
      </c>
      <c r="CF4" s="19">
        <v>4.5999999999999996</v>
      </c>
      <c r="CG4" s="19">
        <v>0</v>
      </c>
      <c r="CH4" s="19">
        <v>0.6</v>
      </c>
      <c r="CI4" s="19">
        <v>16.8</v>
      </c>
      <c r="CJ4" s="19">
        <v>4.8</v>
      </c>
      <c r="CK4" s="19">
        <v>0</v>
      </c>
      <c r="CL4" s="19">
        <v>0.6</v>
      </c>
      <c r="CM4" s="19">
        <v>17.3</v>
      </c>
      <c r="CN4" s="19">
        <v>4.0999999999999996</v>
      </c>
      <c r="CO4" s="19">
        <v>0</v>
      </c>
      <c r="CP4" s="19">
        <v>0.3</v>
      </c>
      <c r="CQ4" s="19">
        <v>16.3</v>
      </c>
      <c r="CR4" s="19">
        <v>4.5999999999999996</v>
      </c>
      <c r="CS4" s="19">
        <v>0</v>
      </c>
      <c r="CT4" s="19">
        <v>0.6</v>
      </c>
      <c r="CU4" s="27"/>
      <c r="CV4" s="40">
        <f t="shared" ref="CV4:CV23" si="29">IF(SUM(CB4,CF4)&gt;0,SUM(CB4,CF4),"")</f>
        <v>9.3999999999999986</v>
      </c>
      <c r="CW4" s="40">
        <f t="shared" ref="CW4:CW23" si="30">IF(SUM(CA4:CB4,CD4:CF4,CH4)-CC4-CG4&gt;0,SUM(CA4:CB4,CD4:CF4,CH4)-CC4-CG4,"")</f>
        <v>43.5</v>
      </c>
      <c r="CX4" s="40">
        <f t="shared" ref="CX4:CX23" si="31">IF(SUM(CI4:CJ4,CL4)-CK4&gt;0,SUM(CI4:CJ4,CL4)-CK4,"")</f>
        <v>22.200000000000003</v>
      </c>
      <c r="CY4" s="40">
        <f t="shared" ref="CY4:CY23" si="32">IF(SUM(CB4,CF4,CJ4)&gt;0,SUM(CB4,CF4,CJ4),"")</f>
        <v>14.2</v>
      </c>
      <c r="CZ4" s="40">
        <f t="shared" ref="CZ4:CZ23" si="33">IF(SUM(CW4,CX4)&gt;0,SUM(CW4,CX4),"")</f>
        <v>65.7</v>
      </c>
      <c r="DA4" s="40">
        <f t="shared" ref="DA4:DA23" si="34">IF(SUM(CN4,CR4)&gt;0,SUM(CN4,CR4),"")</f>
        <v>8.6999999999999993</v>
      </c>
      <c r="DB4" s="40">
        <f t="shared" ref="DB4:DB23" si="35">IF(SUM(CM4:CN4,CP4:CR4,CT4)-SUM(CO4,CS4)&gt;0,SUM(CM4:CN4,CP4:CR4,CT4)-SUM(CO4,CS4),"")</f>
        <v>43.2</v>
      </c>
      <c r="DC4" s="40">
        <f t="shared" ref="DC4:DC23" si="36">IF(SUM(CW4,DB4)&gt;0,SUM(CW4,DB4),"")</f>
        <v>86.7</v>
      </c>
      <c r="DD4" s="50" t="str">
        <f t="shared" ref="DD4:DD23" si="37">IF(MAX(EB4,FD4,GF4,HH4,IJ4,JL4,KN4,LP4,MR4,NT4,OV4,PX4)-IF(L4="",0,L4)&gt;0.001,MAX(EB4,FD4,GF4,HH4,IJ4,JL4,KN4,LP4,MR4,NT4,OV4,PX4)-IF(L4="",0,L4),"")</f>
        <v/>
      </c>
      <c r="DE4" s="50" t="str">
        <f t="shared" ref="DE4:DE23" si="38">IF(MAX(EC4,FE4,GG4,HI4,IK4,JM4,KO4,LQ4,MS4,NU4,OW4,PY4)-IF(N4="",0,N4)&gt;0.001,MAX(EC4,FE4,GG4,HI4,IK4,JM4,KO4,LQ4,MS4,NU4,OW4,PY4)-IF(N4="",0,N4),"")</f>
        <v/>
      </c>
      <c r="DF4" s="50" t="str">
        <f t="shared" ref="DF4:DF23" si="39">IF(MAX(EG4,FI4,GK4,HM4,IO4,JQ4,KS4,LU4,MW4,NY4,PA4,QC4)-IF(P4="",0,P4)&gt;0.001,MAX(EG4,FI4,GK4,HM4,IO4,JQ4,KS4,LU4,MW4,NY4,PA4,QC4)-IF(P4="",0,P4),"")</f>
        <v/>
      </c>
      <c r="DG4" s="17"/>
      <c r="DH4" s="17"/>
      <c r="DI4" s="17"/>
      <c r="DJ4" s="17"/>
      <c r="DK4" s="17"/>
      <c r="DL4" s="17"/>
      <c r="DM4" s="17"/>
      <c r="DN4" s="17"/>
      <c r="DO4" s="17"/>
      <c r="DP4" s="17"/>
      <c r="DQ4" s="17"/>
      <c r="DR4" s="17"/>
      <c r="DS4" s="17"/>
      <c r="DT4" s="17"/>
      <c r="DU4" s="17"/>
      <c r="DV4" s="17"/>
      <c r="DW4" s="17"/>
      <c r="DX4" s="17"/>
      <c r="DY4" s="17"/>
      <c r="DZ4" s="17"/>
      <c r="EA4" s="40" t="str">
        <f t="shared" ref="EA4:EA23" si="40">IF(SUM(DH4,DL4)&gt;0,SUM(DH4,DL4),"")</f>
        <v/>
      </c>
      <c r="EB4" s="40" t="str">
        <f t="shared" ref="EB4:EB23" si="41">IF(SUM(DG4:DH4,DJ4:DL4,DN4)-DI4-DM4&gt;0,SUM(DG4:DH4,DJ4:DL4,DN4)-DI4-DM4,"")</f>
        <v/>
      </c>
      <c r="EC4" s="40" t="str">
        <f t="shared" ref="EC4:EC23" si="42">IF(SUM(DO4:DP4,DR4)-DQ4&gt;0,SUM(DO4:DP4,DR4)-DQ4,"")</f>
        <v/>
      </c>
      <c r="ED4" s="40" t="str">
        <f t="shared" ref="ED4:ED23" si="43">IF(SUM(DH4,DL4,DP4)&gt;0,SUM(DH4,DL4,DP4),"")</f>
        <v/>
      </c>
      <c r="EE4" s="40" t="str">
        <f t="shared" ref="EE4:EE23" si="44">IF(SUM(EB4,EC4)&gt;0,SUM(EB4,EC4),"")</f>
        <v/>
      </c>
      <c r="EF4" s="40" t="str">
        <f t="shared" ref="EF4:EF23" si="45">IF(SUM(DT4,DX4)&gt;0,SUM(DT4,DX4),"")</f>
        <v/>
      </c>
      <c r="EG4" s="40" t="str">
        <f t="shared" ref="EG4:EG23" si="46">IF(SUM(DS4:DT4,DV4:DX4,DZ4)-SUM(DU4,DY4)&gt;0,SUM(DS4:DT4,DV4:DX4,DZ4)-SUM(DU4,DY4),"")</f>
        <v/>
      </c>
      <c r="EH4" s="40" t="str">
        <f t="shared" ref="EH4:EH23" si="47">IF(SUM(EB4,EG4)&gt;0,SUM(EB4,EG4),"")</f>
        <v/>
      </c>
      <c r="EI4" s="18"/>
      <c r="EJ4" s="18"/>
      <c r="EK4" s="18"/>
      <c r="EL4" s="18"/>
      <c r="EM4" s="18"/>
      <c r="EN4" s="18"/>
      <c r="EO4" s="18"/>
      <c r="EP4" s="18"/>
      <c r="EQ4" s="18"/>
      <c r="ER4" s="18"/>
      <c r="ES4" s="18"/>
      <c r="ET4" s="18"/>
      <c r="EU4" s="18"/>
      <c r="EV4" s="18"/>
      <c r="EW4" s="18"/>
      <c r="EX4" s="18"/>
      <c r="EY4" s="18"/>
      <c r="EZ4" s="18"/>
      <c r="FA4" s="18"/>
      <c r="FB4" s="18"/>
      <c r="FC4" s="11" t="str">
        <f t="shared" ref="FC4:FC23" si="48">IF(SUM(EJ4,EN4)&gt;0,SUM(EJ4,EN4),"")</f>
        <v/>
      </c>
      <c r="FD4" s="11" t="str">
        <f t="shared" ref="FD4:FD23" si="49">IF(SUM(EI4:EJ4,EL4:EN4,EP4)-EK4-EO4&gt;0,SUM(EI4:EJ4,EL4:EN4,EP4)-EK4-EO4,"")</f>
        <v/>
      </c>
      <c r="FE4" s="11" t="str">
        <f t="shared" ref="FE4:FE23" si="50">IF(SUM(EQ4:ER4,ET4)-ES4&gt;0,SUM(EQ4:ER4,ET4)-ES4,"")</f>
        <v/>
      </c>
      <c r="FF4" s="11" t="str">
        <f t="shared" ref="FF4:FF23" si="51">IF(SUM(EJ4,EN4,ER4)&gt;0,SUM(EJ4,EN4,ER4),"")</f>
        <v/>
      </c>
      <c r="FG4" s="11" t="str">
        <f t="shared" ref="FG4:FG23" si="52">IF(SUM(FD4,FE4)&gt;0,SUM(FD4,FE4),"")</f>
        <v/>
      </c>
      <c r="FH4" s="11" t="str">
        <f t="shared" ref="FH4:FH23" si="53">IF(SUM(EV4,EZ4)&gt;0,SUM(EV4,EZ4),"")</f>
        <v/>
      </c>
      <c r="FI4" s="11" t="str">
        <f t="shared" ref="FI4:FI23" si="54">IF(SUM(EU4:EV4,EX4:EZ4,FB4)-SUM(EW4,FA4)&gt;0,SUM(EU4:EV4,EX4:EZ4,FB4)-SUM(EW4,FA4),"")</f>
        <v/>
      </c>
      <c r="FJ4" s="11" t="str">
        <f t="shared" ref="FJ4:FJ23" si="55">IF(SUM(FD4,FI4)&gt;0,SUM(FD4,FI4),"")</f>
        <v/>
      </c>
      <c r="FK4" s="17"/>
      <c r="FL4" s="17"/>
      <c r="FM4" s="17"/>
      <c r="FN4" s="17"/>
      <c r="FO4" s="17"/>
      <c r="FP4" s="17"/>
      <c r="FQ4" s="17"/>
      <c r="FR4" s="17"/>
      <c r="FS4" s="17"/>
      <c r="FT4" s="17"/>
      <c r="FU4" s="17"/>
      <c r="FV4" s="17"/>
      <c r="FW4" s="17"/>
      <c r="FX4" s="17"/>
      <c r="FY4" s="17"/>
      <c r="FZ4" s="17"/>
      <c r="GA4" s="17"/>
      <c r="GB4" s="17"/>
      <c r="GC4" s="17"/>
      <c r="GD4" s="17"/>
      <c r="GE4" s="40" t="str">
        <f t="shared" ref="GE4:GE23" si="56">IF(SUM(FL4,FP4)&gt;0,SUM(FL4,FP4),"")</f>
        <v/>
      </c>
      <c r="GF4" s="40" t="str">
        <f t="shared" ref="GF4:GF23" si="57">IF(SUM(FK4:FL4,FN4:FP4,FR4)-FM4-FQ4&gt;0,SUM(FK4:FL4,FN4:FP4,FR4)-FM4-FQ4,"")</f>
        <v/>
      </c>
      <c r="GG4" s="40" t="str">
        <f t="shared" ref="GG4:GG23" si="58">IF(SUM(FS4:FT4,FV4)-FU4&gt;0,SUM(FS4:FT4,FV4)-FU4,"")</f>
        <v/>
      </c>
      <c r="GH4" s="40" t="str">
        <f t="shared" ref="GH4:GH23" si="59">IF(SUM(FL4,FP4,FT4)&gt;0,SUM(FL4,FP4,FT4),"")</f>
        <v/>
      </c>
      <c r="GI4" s="40" t="str">
        <f t="shared" ref="GI4:GI23" si="60">IF(SUM(GF4,GG4)&gt;0,SUM(GF4,GG4),"")</f>
        <v/>
      </c>
      <c r="GJ4" s="40" t="str">
        <f t="shared" ref="GJ4:GJ23" si="61">IF(SUM(FX4,GB4)&gt;0,SUM(FX4,GB4),"")</f>
        <v/>
      </c>
      <c r="GK4" s="40" t="str">
        <f t="shared" ref="GK4:GK23" si="62">IF(SUM(FW4:FX4,FZ4:GB4,GD4)-SUM(FY4,GC4)&gt;0,SUM(FW4:FX4,FZ4:GB4,GD4)-SUM(FY4,GC4),"")</f>
        <v/>
      </c>
      <c r="GL4" s="40" t="str">
        <f t="shared" ref="GL4:GL23" si="63">IF(SUM(GF4,GK4)&gt;0,SUM(GF4,GK4),"")</f>
        <v/>
      </c>
      <c r="GM4" s="18"/>
      <c r="GN4" s="18"/>
      <c r="GO4" s="18"/>
      <c r="GP4" s="18"/>
      <c r="GQ4" s="18"/>
      <c r="GR4" s="18"/>
      <c r="GS4" s="18"/>
      <c r="GT4" s="18"/>
      <c r="GU4" s="18"/>
      <c r="GV4" s="18"/>
      <c r="GW4" s="18"/>
      <c r="GX4" s="18"/>
      <c r="GY4" s="18"/>
      <c r="GZ4" s="18"/>
      <c r="HA4" s="18"/>
      <c r="HB4" s="18"/>
      <c r="HC4" s="18"/>
      <c r="HD4" s="18"/>
      <c r="HE4" s="18"/>
      <c r="HF4" s="18"/>
      <c r="HG4" s="11" t="str">
        <f t="shared" ref="HG4:HG23" si="64">IF(SUM(GN4,GR4)&gt;0,SUM(GN4,GR4),"")</f>
        <v/>
      </c>
      <c r="HH4" s="11" t="str">
        <f t="shared" ref="HH4:HH23" si="65">IF(SUM(GM4:GN4,GP4:GR4,GT4)-GO4-GS4&gt;0,SUM(GM4:GN4,GP4:GR4,GT4)-GO4-GS4,"")</f>
        <v/>
      </c>
      <c r="HI4" s="11" t="str">
        <f t="shared" ref="HI4:HI23" si="66">IF(SUM(GU4:GV4,GX4)-GW4&gt;0,SUM(GU4:GV4,GX4)-GW4,"")</f>
        <v/>
      </c>
      <c r="HJ4" s="11" t="str">
        <f t="shared" ref="HJ4:HJ23" si="67">IF(SUM(GN4,GR4,GV4)&gt;0,SUM(GN4,GR4,GV4),"")</f>
        <v/>
      </c>
      <c r="HK4" s="11" t="str">
        <f t="shared" ref="HK4:HK23" si="68">IF(SUM(HH4,HI4)&gt;0,SUM(HH4,HI4),"")</f>
        <v/>
      </c>
      <c r="HL4" s="11" t="str">
        <f t="shared" ref="HL4:HL23" si="69">IF(SUM(GZ4,HD4)&gt;0,SUM(GZ4,HD4),"")</f>
        <v/>
      </c>
      <c r="HM4" s="11" t="str">
        <f t="shared" ref="HM4:HM23" si="70">IF(SUM(GY4:GZ4,HB4:HD4,HF4)-SUM(HA4,HE4)&gt;0,SUM(GY4:GZ4,HB4:HD4,HF4)-SUM(HA4,HE4),"")</f>
        <v/>
      </c>
      <c r="HN4" s="11" t="str">
        <f t="shared" ref="HN4:HN23" si="71">IF(SUM(HH4,HM4)&gt;0,SUM(HH4,HM4),"")</f>
        <v/>
      </c>
      <c r="HO4" s="17"/>
      <c r="HP4" s="17"/>
      <c r="HQ4" s="17"/>
      <c r="HR4" s="17"/>
      <c r="HS4" s="17"/>
      <c r="HT4" s="17"/>
      <c r="HU4" s="17"/>
      <c r="HV4" s="17"/>
      <c r="HW4" s="17"/>
      <c r="HX4" s="17"/>
      <c r="HY4" s="17"/>
      <c r="HZ4" s="17"/>
      <c r="IA4" s="17"/>
      <c r="IB4" s="17"/>
      <c r="IC4" s="17"/>
      <c r="ID4" s="17"/>
      <c r="IE4" s="17"/>
      <c r="IF4" s="17"/>
      <c r="IG4" s="17"/>
      <c r="IH4" s="17"/>
      <c r="II4" s="40" t="str">
        <f t="shared" ref="II4:II23" si="72">IF(SUM(HP4,HT4)&gt;0,SUM(HP4,HT4),"")</f>
        <v/>
      </c>
      <c r="IJ4" s="40" t="str">
        <f t="shared" ref="IJ4:IJ23" si="73">IF(SUM(HO4:HP4,HR4:HT4,HV4)-HQ4-HU4&gt;0,SUM(HO4:HP4,HR4:HT4,HV4)-HQ4-HU4,"")</f>
        <v/>
      </c>
      <c r="IK4" s="40" t="str">
        <f t="shared" ref="IK4:IK23" si="74">IF(SUM(HW4:HX4,HZ4)-HY4&gt;0,SUM(HW4:HX4,HZ4)-HY4,"")</f>
        <v/>
      </c>
      <c r="IL4" s="40" t="str">
        <f t="shared" ref="IL4:IL23" si="75">IF(SUM(HP4,HT4,HX4)&gt;0,SUM(HP4,HT4,HX4),"")</f>
        <v/>
      </c>
      <c r="IM4" s="40" t="str">
        <f t="shared" ref="IM4:IM23" si="76">IF(SUM(IJ4,IK4)&gt;0,SUM(IJ4,IK4),"")</f>
        <v/>
      </c>
      <c r="IN4" s="40" t="str">
        <f t="shared" ref="IN4:IN23" si="77">IF(SUM(IB4,IF4)&gt;0,SUM(IB4,IF4),"")</f>
        <v/>
      </c>
      <c r="IO4" s="40" t="str">
        <f t="shared" ref="IO4:IO23" si="78">IF(SUM(IA4:IB4,ID4:IF4,IH4)-SUM(IC4,IG4)&gt;0,SUM(IA4:IB4,ID4:IF4,IH4)-SUM(IC4,IG4),"")</f>
        <v/>
      </c>
      <c r="IP4" s="40" t="str">
        <f t="shared" ref="IP4:IP23" si="79">IF(SUM(IJ4,IO4)&gt;0,SUM(IJ4,IO4),"")</f>
        <v/>
      </c>
      <c r="IQ4" s="18">
        <v>16.100000000000001</v>
      </c>
      <c r="IR4" s="18">
        <v>1.9</v>
      </c>
      <c r="IS4" s="18">
        <v>0</v>
      </c>
      <c r="IT4" s="18">
        <v>0</v>
      </c>
      <c r="IU4" s="18">
        <v>17.100000000000001</v>
      </c>
      <c r="IV4" s="18">
        <v>4.5999999999999996</v>
      </c>
      <c r="IW4" s="18">
        <v>0</v>
      </c>
      <c r="IX4" s="18">
        <v>0</v>
      </c>
      <c r="IY4" s="18"/>
      <c r="IZ4" s="18"/>
      <c r="JA4" s="18"/>
      <c r="JB4" s="18"/>
      <c r="JC4" s="18"/>
      <c r="JD4" s="18"/>
      <c r="JE4" s="18"/>
      <c r="JF4" s="18"/>
      <c r="JG4" s="18"/>
      <c r="JH4" s="18"/>
      <c r="JI4" s="18"/>
      <c r="JJ4" s="18"/>
      <c r="JK4" s="11">
        <f t="shared" ref="JK4:JK23" si="80">IF(SUM(IR4,IV4)&gt;0,SUM(IR4,IV4),"")</f>
        <v>6.5</v>
      </c>
      <c r="JL4" s="11">
        <f t="shared" ref="JL4:JL23" si="81">IF(SUM(IQ4:IR4,IT4:IV4,IX4)-IS4-IW4&gt;0,SUM(IQ4:IR4,IT4:IV4,IX4)-IS4-IW4,"")</f>
        <v>39.700000000000003</v>
      </c>
      <c r="JM4" s="11" t="str">
        <f t="shared" ref="JM4:JM23" si="82">IF(SUM(IY4:IZ4,JB4)-JA4&gt;0,SUM(IY4:IZ4,JB4)-JA4,"")</f>
        <v/>
      </c>
      <c r="JN4" s="11">
        <f t="shared" ref="JN4:JN23" si="83">IF(SUM(IR4,IV4,IZ4)&gt;0,SUM(IR4,IV4,IZ4),"")</f>
        <v>6.5</v>
      </c>
      <c r="JO4" s="11">
        <f t="shared" ref="JO4:JO23" si="84">IF(SUM(JL4,JM4)&gt;0,SUM(JL4,JM4),"")</f>
        <v>39.700000000000003</v>
      </c>
      <c r="JP4" s="11" t="str">
        <f t="shared" ref="JP4:JP23" si="85">IF(SUM(JD4,JH4)&gt;0,SUM(JD4,JH4),"")</f>
        <v/>
      </c>
      <c r="JQ4" s="11" t="str">
        <f t="shared" ref="JQ4:JQ23" si="86">IF(SUM(JC4:JD4,JF4:JH4,JJ4)-SUM(JE4,JI4)&gt;0,SUM(JC4:JD4,JF4:JH4,JJ4)-SUM(JE4,JI4),"")</f>
        <v/>
      </c>
      <c r="JR4" s="11">
        <f t="shared" ref="JR4:JR23" si="87">IF(SUM(JL4,JQ4)&gt;0,SUM(JL4,JQ4),"")</f>
        <v>39.700000000000003</v>
      </c>
      <c r="JS4" s="17"/>
      <c r="JT4" s="17"/>
      <c r="JU4" s="17"/>
      <c r="JV4" s="17"/>
      <c r="JW4" s="17"/>
      <c r="JX4" s="17"/>
      <c r="JY4" s="17"/>
      <c r="JZ4" s="17"/>
      <c r="KA4" s="17"/>
      <c r="KB4" s="17"/>
      <c r="KC4" s="17"/>
      <c r="KD4" s="17"/>
      <c r="KE4" s="17"/>
      <c r="KF4" s="17"/>
      <c r="KG4" s="17"/>
      <c r="KH4" s="17"/>
      <c r="KI4" s="17"/>
      <c r="KJ4" s="17"/>
      <c r="KK4" s="17"/>
      <c r="KL4" s="17"/>
      <c r="KM4" s="40" t="str">
        <f t="shared" ref="KM4:KM23" si="88">IF(SUM(JT4,JX4)&gt;0,SUM(JT4,JX4),"")</f>
        <v/>
      </c>
      <c r="KN4" s="40" t="str">
        <f t="shared" ref="KN4:KN23" si="89">IF(SUM(JS4:JT4,JV4:JX4,JZ4)-JU4-JY4&gt;0,SUM(JS4:JT4,JV4:JX4,JZ4)-JU4-JY4,"")</f>
        <v/>
      </c>
      <c r="KO4" s="40" t="str">
        <f t="shared" ref="KO4:KO23" si="90">IF(SUM(KA4:KB4,KD4)-KC4&gt;0,SUM(KA4:KB4,KD4)-KC4,"")</f>
        <v/>
      </c>
      <c r="KP4" s="40" t="str">
        <f t="shared" ref="KP4:KP23" si="91">IF(SUM(JT4,JX4,KB4)&gt;0,SUM(JT4,JX4,KB4),"")</f>
        <v/>
      </c>
      <c r="KQ4" s="40" t="str">
        <f t="shared" ref="KQ4:KQ23" si="92">IF(SUM(KN4,KO4)&gt;0,SUM(KN4,KO4),"")</f>
        <v/>
      </c>
      <c r="KR4" s="40" t="str">
        <f t="shared" ref="KR4:KR23" si="93">IF(SUM(KF4,KJ4)&gt;0,SUM(KF4,KJ4),"")</f>
        <v/>
      </c>
      <c r="KS4" s="40" t="str">
        <f t="shared" ref="KS4:KS23" si="94">IF(SUM(KE4:KF4,KH4:KJ4,KL4)-SUM(KG4,KK4)&gt;0,SUM(KE4:KF4,KH4:KJ4,KL4)-SUM(KG4,KK4),"")</f>
        <v/>
      </c>
      <c r="KT4" s="40" t="str">
        <f t="shared" ref="KT4:KT23" si="95">IF(SUM(KN4,KS4)&gt;0,SUM(KN4,KS4),"")</f>
        <v/>
      </c>
      <c r="KU4" s="18"/>
      <c r="KV4" s="18"/>
      <c r="KW4" s="18"/>
      <c r="KX4" s="18"/>
      <c r="KY4" s="18"/>
      <c r="KZ4" s="18"/>
      <c r="LA4" s="18"/>
      <c r="LB4" s="18"/>
      <c r="LC4" s="18"/>
      <c r="LD4" s="18"/>
      <c r="LE4" s="18"/>
      <c r="LF4" s="18"/>
      <c r="LG4" s="18"/>
      <c r="LH4" s="18"/>
      <c r="LI4" s="18"/>
      <c r="LJ4" s="18"/>
      <c r="LK4" s="18"/>
      <c r="LL4" s="18"/>
      <c r="LM4" s="18"/>
      <c r="LN4" s="18"/>
      <c r="LO4" s="11" t="str">
        <f t="shared" ref="LO4:LO23" si="96">IF(SUM(KV4,KZ4)&gt;0,SUM(KV4,KZ4),"")</f>
        <v/>
      </c>
      <c r="LP4" s="11" t="str">
        <f t="shared" ref="LP4:LP23" si="97">IF(SUM(KU4:KV4,KX4:KZ4,LB4)-KW4-LA4&gt;0,SUM(KU4:KV4,KX4:KZ4,LB4)-KW4-LA4,"")</f>
        <v/>
      </c>
      <c r="LQ4" s="11" t="str">
        <f t="shared" ref="LQ4:LQ23" si="98">IF(SUM(LC4:LD4,LF4)-LE4&gt;0,SUM(LC4:LD4,LF4)-LE4,"")</f>
        <v/>
      </c>
      <c r="LR4" s="11" t="str">
        <f t="shared" ref="LR4:LR23" si="99">IF(SUM(KV4,KZ4,LD4)&gt;0,SUM(KV4,KZ4,LD4),"")</f>
        <v/>
      </c>
      <c r="LS4" s="11" t="str">
        <f t="shared" ref="LS4:LS23" si="100">IF(SUM(LP4,LQ4)&gt;0,SUM(LP4,LQ4),"")</f>
        <v/>
      </c>
      <c r="LT4" s="11" t="str">
        <f t="shared" ref="LT4:LT23" si="101">IF(SUM(LH4,LL4)&gt;0,SUM(LH4,LL4),"")</f>
        <v/>
      </c>
      <c r="LU4" s="11" t="str">
        <f t="shared" ref="LU4:LU23" si="102">IF(SUM(LG4:LH4,LJ4:LL4,LN4)-SUM(LI4,LM4)&gt;0,SUM(LG4:LH4,LJ4:LL4,LN4)-SUM(LI4,LM4),"")</f>
        <v/>
      </c>
      <c r="LV4" s="11" t="str">
        <f t="shared" ref="LV4:LV23" si="103">IF(SUM(LP4,LU4)&gt;0,SUM(LP4,LU4),"")</f>
        <v/>
      </c>
      <c r="LW4" s="17"/>
      <c r="LX4" s="17"/>
      <c r="LY4" s="17"/>
      <c r="LZ4" s="17"/>
      <c r="MA4" s="17"/>
      <c r="MB4" s="17"/>
      <c r="MC4" s="17"/>
      <c r="MD4" s="17"/>
      <c r="ME4" s="17"/>
      <c r="MF4" s="17"/>
      <c r="MG4" s="17"/>
      <c r="MH4" s="17"/>
      <c r="MI4" s="17"/>
      <c r="MJ4" s="17"/>
      <c r="MK4" s="17"/>
      <c r="ML4" s="17"/>
      <c r="MM4" s="17"/>
      <c r="MN4" s="17"/>
      <c r="MO4" s="17"/>
      <c r="MP4" s="17"/>
      <c r="MQ4" s="40" t="str">
        <f t="shared" ref="MQ4:MQ23" si="104">IF(SUM(LX4,MB4)&gt;0,SUM(LX4,MB4),"")</f>
        <v/>
      </c>
      <c r="MR4" s="40" t="str">
        <f t="shared" ref="MR4:MR23" si="105">IF(SUM(LW4:LX4,LZ4:MB4,MD4)-LY4-MC4&gt;0,SUM(LW4:LX4,LZ4:MB4,MD4)-LY4-MC4,"")</f>
        <v/>
      </c>
      <c r="MS4" s="40" t="str">
        <f t="shared" ref="MS4:MS23" si="106">IF(SUM(ME4:MF4,MH4)-MG4&gt;0,SUM(ME4:MF4,MH4)-MG4,"")</f>
        <v/>
      </c>
      <c r="MT4" s="40" t="str">
        <f t="shared" ref="MT4:MT23" si="107">IF(SUM(LX4,MB4,MF4)&gt;0,SUM(LX4,MB4,MF4),"")</f>
        <v/>
      </c>
      <c r="MU4" s="40" t="str">
        <f t="shared" ref="MU4:MU23" si="108">IF(SUM(MR4,MS4)&gt;0,SUM(MR4,MS4),"")</f>
        <v/>
      </c>
      <c r="MV4" s="40" t="str">
        <f t="shared" ref="MV4:MV23" si="109">IF(SUM(MJ4,MN4)&gt;0,SUM(MJ4,MN4),"")</f>
        <v/>
      </c>
      <c r="MW4" s="40" t="str">
        <f t="shared" ref="MW4:MW23" si="110">IF(SUM(MI4:MJ4,ML4:MN4,MP4)-SUM(MK4,MO4)&gt;0,SUM(MI4:MJ4,ML4:MN4,MP4)-SUM(MK4,MO4),"")</f>
        <v/>
      </c>
      <c r="MX4" s="40" t="str">
        <f t="shared" ref="MX4:MX23" si="111">IF(SUM(MR4,MW4)&gt;0,SUM(MR4,MW4),"")</f>
        <v/>
      </c>
      <c r="MY4" s="18"/>
      <c r="MZ4" s="18"/>
      <c r="NA4" s="18"/>
      <c r="NB4" s="18"/>
      <c r="NC4" s="18"/>
      <c r="ND4" s="18"/>
      <c r="NE4" s="18"/>
      <c r="NF4" s="18"/>
      <c r="NG4" s="18"/>
      <c r="NH4" s="18"/>
      <c r="NI4" s="18"/>
      <c r="NJ4" s="18"/>
      <c r="NK4" s="18"/>
      <c r="NL4" s="18"/>
      <c r="NM4" s="18"/>
      <c r="NN4" s="18"/>
      <c r="NO4" s="18"/>
      <c r="NP4" s="18"/>
      <c r="NQ4" s="18"/>
      <c r="NR4" s="18"/>
      <c r="NS4" s="11" t="str">
        <f t="shared" ref="NS4:NS23" si="112">IF(SUM(MZ4,ND4)&gt;0,SUM(MZ4,ND4),"")</f>
        <v/>
      </c>
      <c r="NT4" s="11" t="str">
        <f t="shared" ref="NT4:NT23" si="113">IF(SUM(MY4:MZ4,NB4:ND4,NF4)-NA4-NE4&gt;0,SUM(MY4:MZ4,NB4:ND4,NF4)-NA4-NE4,"")</f>
        <v/>
      </c>
      <c r="NU4" s="11" t="str">
        <f t="shared" ref="NU4:NU23" si="114">IF(SUM(NG4:NH4,NJ4)-NI4&gt;0,SUM(NG4:NH4,NJ4)-NI4,"")</f>
        <v/>
      </c>
      <c r="NV4" s="11" t="str">
        <f t="shared" ref="NV4:NV23" si="115">IF(SUM(MZ4,ND4,NH4)&gt;0,SUM(MZ4,ND4,NH4),"")</f>
        <v/>
      </c>
      <c r="NW4" s="11" t="str">
        <f t="shared" ref="NW4:NW23" si="116">IF(SUM(NT4,NU4)&gt;0,SUM(NT4,NU4),"")</f>
        <v/>
      </c>
      <c r="NX4" s="11" t="str">
        <f t="shared" ref="NX4:NX23" si="117">IF(SUM(NL4,NP4)&gt;0,SUM(NL4,NP4),"")</f>
        <v/>
      </c>
      <c r="NY4" s="11" t="str">
        <f t="shared" ref="NY4:NY23" si="118">IF(SUM(NK4:NL4,NN4:NP4,NR4)-SUM(NM4,NQ4)&gt;0,SUM(NK4:NL4,NN4:NP4,NR4)-SUM(NM4,NQ4),"")</f>
        <v/>
      </c>
      <c r="NZ4" s="11" t="str">
        <f t="shared" ref="NZ4:NZ23" si="119">IF(SUM(NT4,NY4)&gt;0,SUM(NT4,NY4),"")</f>
        <v/>
      </c>
      <c r="OA4" s="17"/>
      <c r="OB4" s="17"/>
      <c r="OC4" s="17"/>
      <c r="OD4" s="17"/>
      <c r="OE4" s="17"/>
      <c r="OF4" s="17"/>
      <c r="OG4" s="17"/>
      <c r="OH4" s="17"/>
      <c r="OI4" s="17"/>
      <c r="OJ4" s="17"/>
      <c r="OK4" s="17"/>
      <c r="OL4" s="17"/>
      <c r="OM4" s="17"/>
      <c r="ON4" s="17"/>
      <c r="OO4" s="17"/>
      <c r="OP4" s="17"/>
      <c r="OQ4" s="17"/>
      <c r="OR4" s="17"/>
      <c r="OS4" s="17"/>
      <c r="OT4" s="17"/>
      <c r="OU4" s="40" t="str">
        <f t="shared" ref="OU4:OU23" si="120">IF(SUM(OB4,OF4)&gt;0,SUM(OB4,OF4),"")</f>
        <v/>
      </c>
      <c r="OV4" s="40" t="str">
        <f t="shared" ref="OV4:OV23" si="121">IF(SUM(OA4:OB4,OD4:OF4,OH4)-OC4-OG4&gt;0,SUM(OA4:OB4,OD4:OF4,OH4)-OC4-OG4,"")</f>
        <v/>
      </c>
      <c r="OW4" s="40" t="str">
        <f t="shared" ref="OW4:OW23" si="122">IF(SUM(OI4:OJ4,OL4)-OK4&gt;0,SUM(OI4:OJ4,OL4)-OK4,"")</f>
        <v/>
      </c>
      <c r="OX4" s="40" t="str">
        <f t="shared" ref="OX4:OX23" si="123">IF(SUM(OB4,OF4,OJ4)&gt;0,SUM(OB4,OF4,OJ4),"")</f>
        <v/>
      </c>
      <c r="OY4" s="40" t="str">
        <f t="shared" ref="OY4:OY23" si="124">IF(SUM(OV4,OW4)&gt;0,SUM(OV4,OW4),"")</f>
        <v/>
      </c>
      <c r="OZ4" s="40" t="str">
        <f t="shared" ref="OZ4:OZ23" si="125">IF(SUM(ON4,OR4)&gt;0,SUM(ON4,OR4),"")</f>
        <v/>
      </c>
      <c r="PA4" s="40" t="str">
        <f t="shared" ref="PA4:PA23" si="126">IF(SUM(OM4:ON4,OP4:OR4,OT4)-SUM(OO4,OS4)&gt;0,SUM(OM4:ON4,OP4:OR4,OT4)-SUM(OO4,OS4),"")</f>
        <v/>
      </c>
      <c r="PB4" s="40" t="str">
        <f t="shared" ref="PB4:PB23" si="127">IF(SUM(OV4,PA4)&gt;0,SUM(OV4,PA4),"")</f>
        <v/>
      </c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8"/>
      <c r="PS4" s="18"/>
      <c r="PT4" s="18"/>
      <c r="PU4" s="18"/>
      <c r="PV4" s="18"/>
      <c r="PW4" s="11" t="str">
        <f t="shared" ref="PW4:PW23" si="128">IF(SUM(PD4,PH4)&gt;0,SUM(PD4,PH4),"")</f>
        <v/>
      </c>
      <c r="PX4" s="11" t="str">
        <f t="shared" ref="PX4:PX23" si="129">IF(SUM(PC4:PD4,PF4:PH4,PJ4)-PE4-PI4&gt;0,SUM(PC4:PD4,PF4:PH4,PJ4)-PE4-PI4,"")</f>
        <v/>
      </c>
      <c r="PY4" s="11" t="str">
        <f t="shared" ref="PY4:PY23" si="130">IF(SUM(PK4:PL4,PN4)-PM4&gt;0,SUM(PK4:PL4,PN4)-PM4,"")</f>
        <v/>
      </c>
      <c r="PZ4" s="11" t="str">
        <f t="shared" ref="PZ4:PZ23" si="131">IF(SUM(PD4,PH4,PL4)&gt;0,SUM(PD4,PH4,PL4),"")</f>
        <v/>
      </c>
      <c r="QA4" s="11" t="str">
        <f t="shared" ref="QA4:QA23" si="132">IF(SUM(PX4,PY4)&gt;0,SUM(PX4,PY4),"")</f>
        <v/>
      </c>
      <c r="QB4" s="11" t="str">
        <f t="shared" ref="QB4:QB23" si="133">IF(SUM(PP4,PT4)&gt;0,SUM(PP4,PT4),"")</f>
        <v/>
      </c>
      <c r="QC4" s="11" t="str">
        <f t="shared" ref="QC4:QC23" si="134">IF(SUM(PO4:PP4,PR4:PT4,PV4)-SUM(PQ4,PU4)&gt;0,SUM(PO4:PP4,PR4:PT4,PV4)-SUM(PQ4,PU4),"")</f>
        <v/>
      </c>
      <c r="QD4" s="11" t="str">
        <f t="shared" ref="QD4:QD23" si="135">IF(SUM(PX4,QC4)&gt;0,SUM(PX4,QC4),"")</f>
        <v/>
      </c>
      <c r="QE4" s="22">
        <f t="shared" ref="QE4:QE23" si="136">IF($CU4="P",CA4,(CA4+AX4)/2)</f>
        <v>8.35</v>
      </c>
      <c r="QF4" s="22">
        <f t="shared" ref="QF4:QF23" si="137">IF($CU4="P",CB4,(CB4+AY4)/2)</f>
        <v>2.4</v>
      </c>
      <c r="QG4" s="22">
        <f t="shared" ref="QG4:QG23" si="138">IF($CU4="P",CC4,(CC4+AZ4)/2)</f>
        <v>0</v>
      </c>
      <c r="QH4" s="22">
        <f t="shared" ref="QH4:QH23" si="139">IF($CU4="P",CD4,(CD4+BA4)/2)</f>
        <v>0.3</v>
      </c>
      <c r="QI4" s="22">
        <f t="shared" ref="QI4:QI23" si="140">IF($CU4="P",CE4,(CE4+BB4)/2)</f>
        <v>8.1</v>
      </c>
      <c r="QJ4" s="22">
        <f t="shared" ref="QJ4:QJ23" si="141">IF($CU4="P",CF4,(CF4+BC4)/2)</f>
        <v>2.2999999999999998</v>
      </c>
      <c r="QK4" s="22">
        <f t="shared" ref="QK4:QK23" si="142">IF($CU4="P",CG4,(CG4+BD4)/2)</f>
        <v>0</v>
      </c>
      <c r="QL4" s="22">
        <f t="shared" ref="QL4:QL23" si="143">IF($CU4="P",CH4,(CH4+BE4)/2)</f>
        <v>0.3</v>
      </c>
      <c r="QM4" s="22">
        <f t="shared" ref="QM4:QM23" si="144">IF($CU4="P",CI4,(CI4+BF4)/2)</f>
        <v>8.4</v>
      </c>
      <c r="QN4" s="22">
        <f t="shared" ref="QN4:QN23" si="145">IF($CU4="P",CJ4,(CJ4+BG4)/2)</f>
        <v>2.4</v>
      </c>
      <c r="QO4" s="22">
        <f t="shared" ref="QO4:QO23" si="146">IF($CU4="P",CK4,(CK4+BH4)/2)</f>
        <v>0</v>
      </c>
      <c r="QP4" s="22">
        <f t="shared" ref="QP4:QP23" si="147">IF($CU4="P",CL4,(CL4+BI4)/2)</f>
        <v>0.3</v>
      </c>
      <c r="QQ4" s="22">
        <f t="shared" ref="QQ4:QQ23" si="148">IF($CU4="P",CM4,(CM4+BJ4)/2)</f>
        <v>8.65</v>
      </c>
      <c r="QR4" s="22">
        <f t="shared" ref="QR4:QR23" si="149">IF($CU4="P",CN4,(CN4+BK4)/2)</f>
        <v>2.0499999999999998</v>
      </c>
      <c r="QS4" s="22">
        <f t="shared" ref="QS4:QS23" si="150">IF($CU4="P",CO4,(CO4+BL4)/2)</f>
        <v>0</v>
      </c>
      <c r="QT4" s="22">
        <f t="shared" ref="QT4:QT23" si="151">IF($CU4="P",CP4,(CP4+BM4)/2)</f>
        <v>0.15</v>
      </c>
      <c r="QU4" s="22">
        <f t="shared" ref="QU4:QU23" si="152">IF($CU4="P",CQ4,(CQ4+BN4)/2)</f>
        <v>8.15</v>
      </c>
      <c r="QV4" s="22">
        <f t="shared" ref="QV4:QV23" si="153">IF($CU4="P",CR4,(CR4+BO4)/2)</f>
        <v>2.2999999999999998</v>
      </c>
      <c r="QW4" s="22">
        <f t="shared" ref="QW4:QW23" si="154">IF($CU4="P",CS4,(CS4+BP4)/2)</f>
        <v>0</v>
      </c>
      <c r="QX4" s="22">
        <f t="shared" ref="QX4:QX23" si="155">IF($CU4="P",CT4,(CT4+BQ4)/2)</f>
        <v>0.3</v>
      </c>
      <c r="QY4" s="27" t="s">
        <v>46</v>
      </c>
      <c r="QZ4" s="40">
        <f t="shared" ref="QZ4:QZ23" si="156">IF(SUM(QF4,QJ4)&gt;0,SUM(QF4,QJ4),"")</f>
        <v>4.6999999999999993</v>
      </c>
      <c r="RA4" s="40">
        <f t="shared" ref="RA4:RA23" si="157">IF(SUM(QE4:QF4,QH4:QJ4,QL4)-QG4-QK4&gt;0,SUM(QE4:QF4,QH4:QJ4,QL4)-QG4-QK4,"")</f>
        <v>21.75</v>
      </c>
      <c r="RB4" s="40">
        <f t="shared" ref="RB4:RB23" si="158">IF(SUM(QM4:QN4,QP4)-QO4&gt;0,SUM(QM4:QN4,QP4)-QO4,"")</f>
        <v>11.100000000000001</v>
      </c>
      <c r="RC4" s="40">
        <f t="shared" ref="RC4:RC23" si="159">IF(SUM(QF4,QJ4,QN4)&gt;0,SUM(QF4,QJ4,QN4),"")</f>
        <v>7.1</v>
      </c>
      <c r="RD4" s="40">
        <f t="shared" ref="RD4:RD23" si="160">IF(SUM(RA4,RB4)&gt;0,SUM(RA4,RB4),"")</f>
        <v>32.85</v>
      </c>
      <c r="RE4" s="40">
        <f t="shared" ref="RE4:RE23" si="161">IF(SUM(QR4,QV4)&gt;0,SUM(QR4,QV4),"")</f>
        <v>4.3499999999999996</v>
      </c>
      <c r="RF4" s="40">
        <f t="shared" ref="RF4:RF23" si="162">IF(SUM(QQ4:QR4,QT4:QV4,QX4)-SUM(QS4,QW4)&gt;0,SUM(QQ4:QR4,QT4:QV4,QX4)-SUM(QS4,QW4),"")</f>
        <v>21.6</v>
      </c>
      <c r="RG4" s="40">
        <f t="shared" ref="RG4:RG23" si="163">IF(SUM(RA4,RF4)&gt;0,SUM(RA4,RF4),"")</f>
        <v>43.35</v>
      </c>
    </row>
    <row r="5" spans="1:475" x14ac:dyDescent="0.2">
      <c r="A5" s="4">
        <f>IF(AND(F5="P",G5="P"),SUMPRODUCT((F$4:F$24="P")*(G$4:G$24="P")*(E$4:E$24&gt;E5))+1,IF(G5="P",SUMPRODUCT((F$4:F$24="")*(G$4:G$24="P")*(E$4:E$24&gt;E5))+1+SUMPRODUCT((F$4:F$24="P")*(G$4:G$24="P")),""))</f>
        <v>2</v>
      </c>
      <c r="B5" s="5" t="s">
        <v>60</v>
      </c>
      <c r="C5" s="4" t="s">
        <v>3</v>
      </c>
      <c r="D5" s="4">
        <v>2003</v>
      </c>
      <c r="E5" s="9">
        <f t="shared" si="0"/>
        <v>150.90001052000434</v>
      </c>
      <c r="F5" s="3" t="str">
        <f t="shared" si="1"/>
        <v>P</v>
      </c>
      <c r="G5" s="3" t="str">
        <f t="shared" si="2"/>
        <v>P</v>
      </c>
      <c r="H5" s="36" t="str">
        <f t="shared" si="3"/>
        <v>National Team</v>
      </c>
      <c r="I5" s="3" t="str">
        <f t="shared" si="4"/>
        <v/>
      </c>
      <c r="J5" s="8">
        <f>IF(COUNT(AQ5,BT5,CW5)&gt;0,LARGE((AQ5,BT5,CW5),1),0)</f>
        <v>43.399999999999991</v>
      </c>
      <c r="K5" s="8" t="str">
        <f t="shared" si="5"/>
        <v>2023 Elite Canada</v>
      </c>
      <c r="L5" s="8">
        <f>IF(COUNT(AQ5,BT5,CW5)&gt;1,LARGE((AQ5,BT5,CW5),2),0)</f>
        <v>39.599999999999994</v>
      </c>
      <c r="M5" s="8" t="str">
        <f t="shared" si="6"/>
        <v>2022 Nationals</v>
      </c>
      <c r="N5" s="8">
        <f>IF(COUNT(AR5,BU5,CX5)&gt;0,LARGE((AR5,BU5,CX5),1),0)</f>
        <v>22.200000000000003</v>
      </c>
      <c r="O5" s="8" t="str">
        <f t="shared" si="7"/>
        <v>2023 Elite Canada</v>
      </c>
      <c r="P5" s="8">
        <f t="shared" si="8"/>
        <v>44.4</v>
      </c>
      <c r="Q5" s="8" t="str">
        <f t="shared" si="9"/>
        <v>2022 Nationals</v>
      </c>
      <c r="R5" s="8">
        <f t="shared" si="10"/>
        <v>1.3000000000000043</v>
      </c>
      <c r="S5" s="11" t="str">
        <f t="shared" si="11"/>
        <v>(Q1)</v>
      </c>
      <c r="T5" s="8" t="str">
        <f t="shared" si="12"/>
        <v>2022 Worlds (Nov 17)</v>
      </c>
      <c r="U5" s="19">
        <v>16.8</v>
      </c>
      <c r="V5" s="19">
        <v>3.9</v>
      </c>
      <c r="W5" s="19">
        <v>0</v>
      </c>
      <c r="X5" s="19">
        <v>0.3</v>
      </c>
      <c r="Y5" s="19">
        <v>16.399999999999999</v>
      </c>
      <c r="Z5" s="19">
        <v>1.9</v>
      </c>
      <c r="AA5" s="19">
        <v>0</v>
      </c>
      <c r="AB5" s="19">
        <v>0.3</v>
      </c>
      <c r="AC5" s="19"/>
      <c r="AD5" s="19"/>
      <c r="AE5" s="19"/>
      <c r="AF5" s="19"/>
      <c r="AG5" s="19">
        <v>17.399999999999999</v>
      </c>
      <c r="AH5" s="19">
        <v>4.3</v>
      </c>
      <c r="AI5" s="19">
        <v>0.2</v>
      </c>
      <c r="AJ5" s="19">
        <v>0.3</v>
      </c>
      <c r="AK5" s="19">
        <v>17</v>
      </c>
      <c r="AL5" s="19">
        <v>5</v>
      </c>
      <c r="AM5" s="19">
        <v>0</v>
      </c>
      <c r="AN5" s="19">
        <v>0.6</v>
      </c>
      <c r="AO5" s="27"/>
      <c r="AP5" s="40">
        <f t="shared" si="13"/>
        <v>5.8</v>
      </c>
      <c r="AQ5" s="40">
        <f t="shared" si="14"/>
        <v>39.599999999999994</v>
      </c>
      <c r="AR5" s="40" t="str">
        <f t="shared" si="15"/>
        <v/>
      </c>
      <c r="AS5" s="40">
        <f t="shared" si="16"/>
        <v>5.8</v>
      </c>
      <c r="AT5" s="40">
        <f t="shared" si="17"/>
        <v>39.599999999999994</v>
      </c>
      <c r="AU5" s="40">
        <f t="shared" si="18"/>
        <v>9.3000000000000007</v>
      </c>
      <c r="AV5" s="40">
        <f t="shared" si="19"/>
        <v>44.4</v>
      </c>
      <c r="AW5" s="40">
        <f t="shared" si="20"/>
        <v>84</v>
      </c>
      <c r="AX5" s="18">
        <v>16.8</v>
      </c>
      <c r="AY5" s="18">
        <v>4.0999999999999996</v>
      </c>
      <c r="AZ5" s="18">
        <v>0</v>
      </c>
      <c r="BA5" s="18">
        <v>0.3</v>
      </c>
      <c r="BB5" s="18">
        <v>16.100000000000001</v>
      </c>
      <c r="BC5" s="18">
        <v>3.1</v>
      </c>
      <c r="BD5" s="18">
        <v>4.7</v>
      </c>
      <c r="BE5" s="18">
        <v>0.6</v>
      </c>
      <c r="BF5" s="18"/>
      <c r="BG5" s="18"/>
      <c r="BH5" s="18"/>
      <c r="BI5" s="18"/>
      <c r="BJ5" s="18"/>
      <c r="BK5" s="18"/>
      <c r="BL5" s="18"/>
      <c r="BM5" s="18"/>
      <c r="BN5" s="18"/>
      <c r="BO5" s="18"/>
      <c r="BP5" s="18"/>
      <c r="BQ5" s="18"/>
      <c r="BR5" s="28"/>
      <c r="BS5" s="11">
        <f t="shared" si="21"/>
        <v>7.1999999999999993</v>
      </c>
      <c r="BT5" s="11">
        <f t="shared" si="22"/>
        <v>36.299999999999997</v>
      </c>
      <c r="BU5" s="11" t="str">
        <f t="shared" si="23"/>
        <v/>
      </c>
      <c r="BV5" s="11">
        <f t="shared" si="24"/>
        <v>7.1999999999999993</v>
      </c>
      <c r="BW5" s="11">
        <f t="shared" si="25"/>
        <v>36.299999999999997</v>
      </c>
      <c r="BX5" s="11" t="str">
        <f t="shared" si="26"/>
        <v/>
      </c>
      <c r="BY5" s="11" t="str">
        <f t="shared" si="27"/>
        <v/>
      </c>
      <c r="BZ5" s="11">
        <f t="shared" si="28"/>
        <v>36.299999999999997</v>
      </c>
      <c r="CA5" s="19">
        <v>17.3</v>
      </c>
      <c r="CB5" s="19">
        <v>3.9</v>
      </c>
      <c r="CC5" s="19">
        <v>0</v>
      </c>
      <c r="CD5" s="19">
        <v>0.3</v>
      </c>
      <c r="CE5" s="19">
        <v>17.3</v>
      </c>
      <c r="CF5" s="19">
        <v>4.3</v>
      </c>
      <c r="CG5" s="19">
        <v>0</v>
      </c>
      <c r="CH5" s="19">
        <v>0.3</v>
      </c>
      <c r="CI5" s="19">
        <v>16.8</v>
      </c>
      <c r="CJ5" s="19">
        <v>4.8</v>
      </c>
      <c r="CK5" s="19">
        <v>0</v>
      </c>
      <c r="CL5" s="19">
        <v>0.6</v>
      </c>
      <c r="CM5" s="19">
        <v>17.100000000000001</v>
      </c>
      <c r="CN5" s="19">
        <v>4.3</v>
      </c>
      <c r="CO5" s="19">
        <v>0</v>
      </c>
      <c r="CP5" s="19">
        <v>0.3</v>
      </c>
      <c r="CQ5" s="19">
        <v>14.9</v>
      </c>
      <c r="CR5" s="19">
        <v>4.8</v>
      </c>
      <c r="CS5" s="19">
        <v>0</v>
      </c>
      <c r="CT5" s="19">
        <v>0.6</v>
      </c>
      <c r="CU5" s="27"/>
      <c r="CV5" s="40">
        <f t="shared" si="29"/>
        <v>8.1999999999999993</v>
      </c>
      <c r="CW5" s="40">
        <f t="shared" si="30"/>
        <v>43.399999999999991</v>
      </c>
      <c r="CX5" s="40">
        <f t="shared" si="31"/>
        <v>22.200000000000003</v>
      </c>
      <c r="CY5" s="40">
        <f t="shared" si="32"/>
        <v>13</v>
      </c>
      <c r="CZ5" s="40">
        <f t="shared" si="33"/>
        <v>65.599999999999994</v>
      </c>
      <c r="DA5" s="40">
        <f t="shared" si="34"/>
        <v>9.1</v>
      </c>
      <c r="DB5" s="40">
        <f t="shared" si="35"/>
        <v>42</v>
      </c>
      <c r="DC5" s="40">
        <f t="shared" si="36"/>
        <v>85.399999999999991</v>
      </c>
      <c r="DD5" s="50">
        <f t="shared" si="37"/>
        <v>1.3000000000000043</v>
      </c>
      <c r="DE5" s="50" t="str">
        <f t="shared" si="38"/>
        <v/>
      </c>
      <c r="DF5" s="50" t="str">
        <f t="shared" si="39"/>
        <v/>
      </c>
      <c r="DG5" s="17">
        <v>16.2</v>
      </c>
      <c r="DH5" s="17">
        <v>1.2</v>
      </c>
      <c r="DI5" s="17">
        <v>0</v>
      </c>
      <c r="DJ5" s="17">
        <v>0</v>
      </c>
      <c r="DK5" s="17">
        <v>16.3</v>
      </c>
      <c r="DL5" s="17">
        <v>3.9</v>
      </c>
      <c r="DM5" s="17">
        <v>0.2</v>
      </c>
      <c r="DN5" s="17">
        <v>0.3</v>
      </c>
      <c r="DO5" s="17"/>
      <c r="DP5" s="17"/>
      <c r="DQ5" s="17"/>
      <c r="DR5" s="17"/>
      <c r="DS5" s="17">
        <v>17.5</v>
      </c>
      <c r="DT5" s="17">
        <v>3.6</v>
      </c>
      <c r="DU5" s="17">
        <v>0</v>
      </c>
      <c r="DV5" s="17">
        <v>0</v>
      </c>
      <c r="DW5" s="17">
        <v>17</v>
      </c>
      <c r="DX5" s="17">
        <v>4.3</v>
      </c>
      <c r="DY5" s="17">
        <v>0</v>
      </c>
      <c r="DZ5" s="17">
        <v>0.3</v>
      </c>
      <c r="EA5" s="40">
        <f t="shared" si="40"/>
        <v>5.0999999999999996</v>
      </c>
      <c r="EB5" s="40">
        <f t="shared" si="41"/>
        <v>37.699999999999996</v>
      </c>
      <c r="EC5" s="40" t="str">
        <f t="shared" si="42"/>
        <v/>
      </c>
      <c r="ED5" s="40">
        <f t="shared" si="43"/>
        <v>5.0999999999999996</v>
      </c>
      <c r="EE5" s="40">
        <f t="shared" si="44"/>
        <v>37.699999999999996</v>
      </c>
      <c r="EF5" s="40">
        <f t="shared" si="45"/>
        <v>7.9</v>
      </c>
      <c r="EG5" s="40">
        <f t="shared" si="46"/>
        <v>42.699999999999996</v>
      </c>
      <c r="EH5" s="40">
        <f t="shared" si="47"/>
        <v>80.399999999999991</v>
      </c>
      <c r="EI5" s="18"/>
      <c r="EJ5" s="18"/>
      <c r="EK5" s="18"/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8"/>
      <c r="EY5" s="18"/>
      <c r="EZ5" s="18"/>
      <c r="FA5" s="18"/>
      <c r="FB5" s="18"/>
      <c r="FC5" s="11" t="str">
        <f t="shared" si="48"/>
        <v/>
      </c>
      <c r="FD5" s="11" t="str">
        <f t="shared" si="49"/>
        <v/>
      </c>
      <c r="FE5" s="11" t="str">
        <f t="shared" si="50"/>
        <v/>
      </c>
      <c r="FF5" s="11" t="str">
        <f t="shared" si="51"/>
        <v/>
      </c>
      <c r="FG5" s="11" t="str">
        <f t="shared" si="52"/>
        <v/>
      </c>
      <c r="FH5" s="11" t="str">
        <f t="shared" si="53"/>
        <v/>
      </c>
      <c r="FI5" s="11" t="str">
        <f t="shared" si="54"/>
        <v/>
      </c>
      <c r="FJ5" s="11" t="str">
        <f t="shared" si="55"/>
        <v/>
      </c>
      <c r="FK5" s="17">
        <v>17.5</v>
      </c>
      <c r="FL5" s="17">
        <v>4.3</v>
      </c>
      <c r="FM5" s="17">
        <v>0</v>
      </c>
      <c r="FN5" s="17">
        <v>0</v>
      </c>
      <c r="FO5" s="17">
        <v>15.6</v>
      </c>
      <c r="FP5" s="17">
        <v>2.6</v>
      </c>
      <c r="FQ5" s="17">
        <v>0</v>
      </c>
      <c r="FR5" s="17">
        <v>0</v>
      </c>
      <c r="FS5" s="17"/>
      <c r="FT5" s="17"/>
      <c r="FU5" s="17"/>
      <c r="FV5" s="17"/>
      <c r="FW5" s="17"/>
      <c r="FX5" s="17"/>
      <c r="FY5" s="17"/>
      <c r="FZ5" s="17"/>
      <c r="GA5" s="17"/>
      <c r="GB5" s="17"/>
      <c r="GC5" s="17"/>
      <c r="GD5" s="17"/>
      <c r="GE5" s="40">
        <f t="shared" si="56"/>
        <v>6.9</v>
      </c>
      <c r="GF5" s="40">
        <f t="shared" si="57"/>
        <v>40</v>
      </c>
      <c r="GG5" s="40" t="str">
        <f t="shared" si="58"/>
        <v/>
      </c>
      <c r="GH5" s="40">
        <f t="shared" si="59"/>
        <v>6.9</v>
      </c>
      <c r="GI5" s="40">
        <f t="shared" si="60"/>
        <v>40</v>
      </c>
      <c r="GJ5" s="40" t="str">
        <f t="shared" si="61"/>
        <v/>
      </c>
      <c r="GK5" s="40" t="str">
        <f t="shared" si="62"/>
        <v/>
      </c>
      <c r="GL5" s="40">
        <f t="shared" si="63"/>
        <v>40</v>
      </c>
      <c r="GM5" s="18">
        <v>16.7</v>
      </c>
      <c r="GN5" s="18">
        <v>4.5999999999999996</v>
      </c>
      <c r="GO5" s="18">
        <v>0</v>
      </c>
      <c r="GP5" s="18">
        <v>0</v>
      </c>
      <c r="GQ5" s="18">
        <v>15.2</v>
      </c>
      <c r="GR5" s="18">
        <v>4.8</v>
      </c>
      <c r="GS5" s="18">
        <v>0.4</v>
      </c>
      <c r="GT5" s="18">
        <v>0</v>
      </c>
      <c r="GU5" s="18"/>
      <c r="GV5" s="18"/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1">
        <f t="shared" si="64"/>
        <v>9.3999999999999986</v>
      </c>
      <c r="HH5" s="11">
        <f t="shared" si="65"/>
        <v>40.9</v>
      </c>
      <c r="HI5" s="11" t="str">
        <f t="shared" si="66"/>
        <v/>
      </c>
      <c r="HJ5" s="11">
        <f t="shared" si="67"/>
        <v>9.3999999999999986</v>
      </c>
      <c r="HK5" s="11">
        <f t="shared" si="68"/>
        <v>40.9</v>
      </c>
      <c r="HL5" s="11" t="str">
        <f t="shared" si="69"/>
        <v/>
      </c>
      <c r="HM5" s="11" t="str">
        <f t="shared" si="70"/>
        <v/>
      </c>
      <c r="HN5" s="11">
        <f t="shared" si="71"/>
        <v>40.9</v>
      </c>
      <c r="HO5" s="17"/>
      <c r="HP5" s="17"/>
      <c r="HQ5" s="17"/>
      <c r="HR5" s="17"/>
      <c r="HS5" s="17"/>
      <c r="HT5" s="17"/>
      <c r="HU5" s="17"/>
      <c r="HV5" s="17"/>
      <c r="HW5" s="17"/>
      <c r="HX5" s="17"/>
      <c r="HY5" s="17"/>
      <c r="HZ5" s="17"/>
      <c r="IA5" s="17"/>
      <c r="IB5" s="17"/>
      <c r="IC5" s="17"/>
      <c r="ID5" s="17"/>
      <c r="IE5" s="17"/>
      <c r="IF5" s="17"/>
      <c r="IG5" s="17"/>
      <c r="IH5" s="17"/>
      <c r="II5" s="40" t="str">
        <f t="shared" si="72"/>
        <v/>
      </c>
      <c r="IJ5" s="40" t="str">
        <f t="shared" si="73"/>
        <v/>
      </c>
      <c r="IK5" s="40" t="str">
        <f t="shared" si="74"/>
        <v/>
      </c>
      <c r="IL5" s="40" t="str">
        <f t="shared" si="75"/>
        <v/>
      </c>
      <c r="IM5" s="40" t="str">
        <f t="shared" si="76"/>
        <v/>
      </c>
      <c r="IN5" s="40" t="str">
        <f t="shared" si="77"/>
        <v/>
      </c>
      <c r="IO5" s="40" t="str">
        <f t="shared" si="78"/>
        <v/>
      </c>
      <c r="IP5" s="40" t="str">
        <f t="shared" si="79"/>
        <v/>
      </c>
      <c r="IQ5" s="18"/>
      <c r="IR5" s="18"/>
      <c r="IS5" s="18"/>
      <c r="IT5" s="18"/>
      <c r="IU5" s="18"/>
      <c r="IV5" s="18"/>
      <c r="IW5" s="18"/>
      <c r="IX5" s="18"/>
      <c r="IY5" s="18"/>
      <c r="IZ5" s="18"/>
      <c r="JA5" s="18"/>
      <c r="JB5" s="18"/>
      <c r="JC5" s="18"/>
      <c r="JD5" s="18"/>
      <c r="JE5" s="18"/>
      <c r="JF5" s="18"/>
      <c r="JG5" s="18"/>
      <c r="JH5" s="18"/>
      <c r="JI5" s="18"/>
      <c r="JJ5" s="18"/>
      <c r="JK5" s="11" t="str">
        <f t="shared" si="80"/>
        <v/>
      </c>
      <c r="JL5" s="11" t="str">
        <f t="shared" si="81"/>
        <v/>
      </c>
      <c r="JM5" s="11" t="str">
        <f t="shared" si="82"/>
        <v/>
      </c>
      <c r="JN5" s="11" t="str">
        <f t="shared" si="83"/>
        <v/>
      </c>
      <c r="JO5" s="11" t="str">
        <f t="shared" si="84"/>
        <v/>
      </c>
      <c r="JP5" s="11" t="str">
        <f t="shared" si="85"/>
        <v/>
      </c>
      <c r="JQ5" s="11" t="str">
        <f t="shared" si="86"/>
        <v/>
      </c>
      <c r="JR5" s="11" t="str">
        <f t="shared" si="87"/>
        <v/>
      </c>
      <c r="JS5" s="17"/>
      <c r="JT5" s="17"/>
      <c r="JU5" s="17"/>
      <c r="JV5" s="17"/>
      <c r="JW5" s="17"/>
      <c r="JX5" s="17"/>
      <c r="JY5" s="17"/>
      <c r="JZ5" s="17"/>
      <c r="KA5" s="17"/>
      <c r="KB5" s="17"/>
      <c r="KC5" s="17"/>
      <c r="KD5" s="17"/>
      <c r="KE5" s="17"/>
      <c r="KF5" s="17"/>
      <c r="KG5" s="17"/>
      <c r="KH5" s="17"/>
      <c r="KI5" s="17"/>
      <c r="KJ5" s="17"/>
      <c r="KK5" s="17"/>
      <c r="KL5" s="17"/>
      <c r="KM5" s="40" t="str">
        <f t="shared" si="88"/>
        <v/>
      </c>
      <c r="KN5" s="40" t="str">
        <f t="shared" si="89"/>
        <v/>
      </c>
      <c r="KO5" s="40" t="str">
        <f t="shared" si="90"/>
        <v/>
      </c>
      <c r="KP5" s="40" t="str">
        <f t="shared" si="91"/>
        <v/>
      </c>
      <c r="KQ5" s="40" t="str">
        <f t="shared" si="92"/>
        <v/>
      </c>
      <c r="KR5" s="40" t="str">
        <f t="shared" si="93"/>
        <v/>
      </c>
      <c r="KS5" s="40" t="str">
        <f t="shared" si="94"/>
        <v/>
      </c>
      <c r="KT5" s="40" t="str">
        <f t="shared" si="95"/>
        <v/>
      </c>
      <c r="KU5" s="18"/>
      <c r="KV5" s="18"/>
      <c r="KW5" s="18"/>
      <c r="KX5" s="18"/>
      <c r="KY5" s="18"/>
      <c r="KZ5" s="18"/>
      <c r="LA5" s="18"/>
      <c r="LB5" s="18"/>
      <c r="LC5" s="18"/>
      <c r="LD5" s="18"/>
      <c r="LE5" s="18"/>
      <c r="LF5" s="18"/>
      <c r="LG5" s="18"/>
      <c r="LH5" s="18"/>
      <c r="LI5" s="18"/>
      <c r="LJ5" s="18"/>
      <c r="LK5" s="18"/>
      <c r="LL5" s="18"/>
      <c r="LM5" s="18"/>
      <c r="LN5" s="18"/>
      <c r="LO5" s="11" t="str">
        <f t="shared" si="96"/>
        <v/>
      </c>
      <c r="LP5" s="11" t="str">
        <f t="shared" si="97"/>
        <v/>
      </c>
      <c r="LQ5" s="11" t="str">
        <f t="shared" si="98"/>
        <v/>
      </c>
      <c r="LR5" s="11" t="str">
        <f t="shared" si="99"/>
        <v/>
      </c>
      <c r="LS5" s="11" t="str">
        <f t="shared" si="100"/>
        <v/>
      </c>
      <c r="LT5" s="11" t="str">
        <f t="shared" si="101"/>
        <v/>
      </c>
      <c r="LU5" s="11" t="str">
        <f t="shared" si="102"/>
        <v/>
      </c>
      <c r="LV5" s="11" t="str">
        <f t="shared" si="103"/>
        <v/>
      </c>
      <c r="LW5" s="17"/>
      <c r="LX5" s="17"/>
      <c r="LY5" s="17"/>
      <c r="LZ5" s="17"/>
      <c r="MA5" s="17"/>
      <c r="MB5" s="17"/>
      <c r="MC5" s="17"/>
      <c r="MD5" s="17"/>
      <c r="ME5" s="17"/>
      <c r="MF5" s="17"/>
      <c r="MG5" s="17"/>
      <c r="MH5" s="17"/>
      <c r="MI5" s="17"/>
      <c r="MJ5" s="17"/>
      <c r="MK5" s="17"/>
      <c r="ML5" s="17"/>
      <c r="MM5" s="17"/>
      <c r="MN5" s="17"/>
      <c r="MO5" s="17"/>
      <c r="MP5" s="17"/>
      <c r="MQ5" s="40" t="str">
        <f t="shared" si="104"/>
        <v/>
      </c>
      <c r="MR5" s="40" t="str">
        <f t="shared" si="105"/>
        <v/>
      </c>
      <c r="MS5" s="40" t="str">
        <f t="shared" si="106"/>
        <v/>
      </c>
      <c r="MT5" s="40" t="str">
        <f t="shared" si="107"/>
        <v/>
      </c>
      <c r="MU5" s="40" t="str">
        <f t="shared" si="108"/>
        <v/>
      </c>
      <c r="MV5" s="40" t="str">
        <f t="shared" si="109"/>
        <v/>
      </c>
      <c r="MW5" s="40" t="str">
        <f t="shared" si="110"/>
        <v/>
      </c>
      <c r="MX5" s="40" t="str">
        <f t="shared" si="111"/>
        <v/>
      </c>
      <c r="MY5" s="18"/>
      <c r="MZ5" s="18"/>
      <c r="NA5" s="18"/>
      <c r="NB5" s="18"/>
      <c r="NC5" s="18"/>
      <c r="ND5" s="18"/>
      <c r="NE5" s="18"/>
      <c r="NF5" s="18"/>
      <c r="NG5" s="18"/>
      <c r="NH5" s="18"/>
      <c r="NI5" s="18"/>
      <c r="NJ5" s="18"/>
      <c r="NK5" s="18"/>
      <c r="NL5" s="18"/>
      <c r="NM5" s="18"/>
      <c r="NN5" s="18"/>
      <c r="NO5" s="18"/>
      <c r="NP5" s="18"/>
      <c r="NQ5" s="18"/>
      <c r="NR5" s="18"/>
      <c r="NS5" s="11" t="str">
        <f t="shared" si="112"/>
        <v/>
      </c>
      <c r="NT5" s="11" t="str">
        <f t="shared" si="113"/>
        <v/>
      </c>
      <c r="NU5" s="11" t="str">
        <f t="shared" si="114"/>
        <v/>
      </c>
      <c r="NV5" s="11" t="str">
        <f t="shared" si="115"/>
        <v/>
      </c>
      <c r="NW5" s="11" t="str">
        <f t="shared" si="116"/>
        <v/>
      </c>
      <c r="NX5" s="11" t="str">
        <f t="shared" si="117"/>
        <v/>
      </c>
      <c r="NY5" s="11" t="str">
        <f t="shared" si="118"/>
        <v/>
      </c>
      <c r="NZ5" s="11" t="str">
        <f t="shared" si="119"/>
        <v/>
      </c>
      <c r="OA5" s="17"/>
      <c r="OB5" s="17"/>
      <c r="OC5" s="17"/>
      <c r="OD5" s="17"/>
      <c r="OE5" s="17"/>
      <c r="OF5" s="17"/>
      <c r="OG5" s="17"/>
      <c r="OH5" s="17"/>
      <c r="OI5" s="17"/>
      <c r="OJ5" s="17"/>
      <c r="OK5" s="17"/>
      <c r="OL5" s="17"/>
      <c r="OM5" s="17"/>
      <c r="ON5" s="17"/>
      <c r="OO5" s="17"/>
      <c r="OP5" s="17"/>
      <c r="OQ5" s="17"/>
      <c r="OR5" s="17"/>
      <c r="OS5" s="17"/>
      <c r="OT5" s="17"/>
      <c r="OU5" s="40" t="str">
        <f t="shared" si="120"/>
        <v/>
      </c>
      <c r="OV5" s="40" t="str">
        <f t="shared" si="121"/>
        <v/>
      </c>
      <c r="OW5" s="40" t="str">
        <f t="shared" si="122"/>
        <v/>
      </c>
      <c r="OX5" s="40" t="str">
        <f t="shared" si="123"/>
        <v/>
      </c>
      <c r="OY5" s="40" t="str">
        <f t="shared" si="124"/>
        <v/>
      </c>
      <c r="OZ5" s="40" t="str">
        <f t="shared" si="125"/>
        <v/>
      </c>
      <c r="PA5" s="40" t="str">
        <f t="shared" si="126"/>
        <v/>
      </c>
      <c r="PB5" s="40" t="str">
        <f t="shared" si="127"/>
        <v/>
      </c>
      <c r="PC5" s="18"/>
      <c r="PD5" s="18"/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8"/>
      <c r="PS5" s="18"/>
      <c r="PT5" s="18"/>
      <c r="PU5" s="18"/>
      <c r="PV5" s="18"/>
      <c r="PW5" s="11" t="str">
        <f t="shared" si="128"/>
        <v/>
      </c>
      <c r="PX5" s="11" t="str">
        <f t="shared" si="129"/>
        <v/>
      </c>
      <c r="PY5" s="11" t="str">
        <f t="shared" si="130"/>
        <v/>
      </c>
      <c r="PZ5" s="11" t="str">
        <f t="shared" si="131"/>
        <v/>
      </c>
      <c r="QA5" s="11" t="str">
        <f t="shared" si="132"/>
        <v/>
      </c>
      <c r="QB5" s="11" t="str">
        <f t="shared" si="133"/>
        <v/>
      </c>
      <c r="QC5" s="11" t="str">
        <f t="shared" si="134"/>
        <v/>
      </c>
      <c r="QD5" s="11" t="str">
        <f t="shared" si="135"/>
        <v/>
      </c>
      <c r="QE5" s="22">
        <f t="shared" si="136"/>
        <v>17.05</v>
      </c>
      <c r="QF5" s="22">
        <f t="shared" si="137"/>
        <v>4</v>
      </c>
      <c r="QG5" s="22">
        <f t="shared" si="138"/>
        <v>0</v>
      </c>
      <c r="QH5" s="22">
        <f t="shared" si="139"/>
        <v>0.3</v>
      </c>
      <c r="QI5" s="22">
        <f t="shared" si="140"/>
        <v>16.700000000000003</v>
      </c>
      <c r="QJ5" s="22">
        <f t="shared" si="141"/>
        <v>3.7</v>
      </c>
      <c r="QK5" s="22">
        <f t="shared" si="142"/>
        <v>2.35</v>
      </c>
      <c r="QL5" s="22">
        <f t="shared" si="143"/>
        <v>0.44999999999999996</v>
      </c>
      <c r="QM5" s="22">
        <f t="shared" si="144"/>
        <v>8.4</v>
      </c>
      <c r="QN5" s="22">
        <f t="shared" si="145"/>
        <v>2.4</v>
      </c>
      <c r="QO5" s="22">
        <f t="shared" si="146"/>
        <v>0</v>
      </c>
      <c r="QP5" s="22">
        <f t="shared" si="147"/>
        <v>0.3</v>
      </c>
      <c r="QQ5" s="22">
        <f t="shared" si="148"/>
        <v>8.5500000000000007</v>
      </c>
      <c r="QR5" s="22">
        <f t="shared" si="149"/>
        <v>2.15</v>
      </c>
      <c r="QS5" s="22">
        <f t="shared" si="150"/>
        <v>0</v>
      </c>
      <c r="QT5" s="22">
        <f t="shared" si="151"/>
        <v>0.15</v>
      </c>
      <c r="QU5" s="22">
        <f t="shared" si="152"/>
        <v>7.45</v>
      </c>
      <c r="QV5" s="22">
        <f t="shared" si="153"/>
        <v>2.4</v>
      </c>
      <c r="QW5" s="22">
        <f t="shared" si="154"/>
        <v>0</v>
      </c>
      <c r="QX5" s="22">
        <f t="shared" si="155"/>
        <v>0.3</v>
      </c>
      <c r="QY5" s="27" t="s">
        <v>46</v>
      </c>
      <c r="QZ5" s="40">
        <f t="shared" si="156"/>
        <v>7.7</v>
      </c>
      <c r="RA5" s="40">
        <f t="shared" si="157"/>
        <v>39.850000000000009</v>
      </c>
      <c r="RB5" s="40">
        <f t="shared" si="158"/>
        <v>11.100000000000001</v>
      </c>
      <c r="RC5" s="40">
        <f t="shared" si="159"/>
        <v>10.1</v>
      </c>
      <c r="RD5" s="40">
        <f t="shared" si="160"/>
        <v>50.95000000000001</v>
      </c>
      <c r="RE5" s="40">
        <f t="shared" si="161"/>
        <v>4.55</v>
      </c>
      <c r="RF5" s="40">
        <f t="shared" si="162"/>
        <v>21</v>
      </c>
      <c r="RG5" s="40">
        <f t="shared" si="163"/>
        <v>60.850000000000009</v>
      </c>
    </row>
    <row r="6" spans="1:475" x14ac:dyDescent="0.2">
      <c r="A6" s="4">
        <f>IF(AND(F6="P",G6="P"),SUMPRODUCT((F$4:F$24="P")*(G$4:G$24="P")*(E$4:E$24&gt;E6))+1,IF(G6="P",SUMPRODUCT((F$4:F$24="")*(G$4:G$24="P")*(E$4:E$24&gt;E6))+1+SUMPRODUCT((F$4:F$24="P")*(G$4:G$24="P")),""))</f>
        <v>3</v>
      </c>
      <c r="B6" s="5" t="s">
        <v>131</v>
      </c>
      <c r="C6" s="4" t="s">
        <v>4</v>
      </c>
      <c r="D6" s="4">
        <v>2003</v>
      </c>
      <c r="E6" s="9">
        <f t="shared" si="0"/>
        <v>150.80001070000432</v>
      </c>
      <c r="F6" s="3" t="str">
        <f t="shared" si="1"/>
        <v>P</v>
      </c>
      <c r="G6" s="3" t="str">
        <f t="shared" si="2"/>
        <v>P</v>
      </c>
      <c r="H6" s="36" t="str">
        <f t="shared" si="3"/>
        <v>National Team</v>
      </c>
      <c r="I6" s="3" t="str">
        <f t="shared" si="4"/>
        <v/>
      </c>
      <c r="J6" s="8">
        <f>IF(COUNT(AQ6,BT6,CW6)&gt;0,LARGE((AQ6,BT6,CW6),1),0)</f>
        <v>43.1</v>
      </c>
      <c r="K6" s="8" t="str">
        <f t="shared" si="5"/>
        <v>2022 Nationals</v>
      </c>
      <c r="L6" s="8">
        <f>IF(COUNT(AQ6,BT6,CW6)&gt;1,LARGE((AQ6,BT6,CW6),2),0)</f>
        <v>42.6</v>
      </c>
      <c r="M6" s="8" t="str">
        <f t="shared" si="6"/>
        <v>2022 3rd Domestic Trial</v>
      </c>
      <c r="N6" s="8">
        <f>IF(COUNT(AR6,BU6,CX6)&gt;0,LARGE((AR6,BU6,CX6),1),0)</f>
        <v>21.3</v>
      </c>
      <c r="O6" s="8" t="str">
        <f t="shared" si="7"/>
        <v>2023 Elite Canada</v>
      </c>
      <c r="P6" s="8">
        <f t="shared" si="8"/>
        <v>42.800000000000011</v>
      </c>
      <c r="Q6" s="8" t="str">
        <f t="shared" si="9"/>
        <v>2023 Elite Canada</v>
      </c>
      <c r="R6" s="8">
        <f t="shared" si="10"/>
        <v>1</v>
      </c>
      <c r="S6" s="11" t="str">
        <f t="shared" si="11"/>
        <v>(Q1)</v>
      </c>
      <c r="T6" s="8" t="str">
        <f t="shared" si="12"/>
        <v>2022 WAGC (Nov 24)</v>
      </c>
      <c r="U6" s="19">
        <v>17.2</v>
      </c>
      <c r="V6" s="19">
        <v>3.9</v>
      </c>
      <c r="W6" s="19">
        <v>0</v>
      </c>
      <c r="X6" s="19">
        <v>0.3</v>
      </c>
      <c r="Y6" s="19">
        <v>17.3</v>
      </c>
      <c r="Z6" s="19">
        <v>4.0999999999999996</v>
      </c>
      <c r="AA6" s="19">
        <v>0</v>
      </c>
      <c r="AB6" s="19">
        <v>0.3</v>
      </c>
      <c r="AC6" s="19"/>
      <c r="AD6" s="19"/>
      <c r="AE6" s="19"/>
      <c r="AF6" s="19"/>
      <c r="AG6" s="19">
        <v>17.100000000000001</v>
      </c>
      <c r="AH6" s="19">
        <v>3.9</v>
      </c>
      <c r="AI6" s="19">
        <v>0</v>
      </c>
      <c r="AJ6" s="19">
        <v>0.3</v>
      </c>
      <c r="AK6" s="19">
        <v>16.2</v>
      </c>
      <c r="AL6" s="19">
        <v>1.9</v>
      </c>
      <c r="AM6" s="19">
        <v>0</v>
      </c>
      <c r="AN6" s="19">
        <v>0.3</v>
      </c>
      <c r="AO6" s="27"/>
      <c r="AP6" s="40">
        <f t="shared" si="13"/>
        <v>8</v>
      </c>
      <c r="AQ6" s="40">
        <f t="shared" si="14"/>
        <v>43.1</v>
      </c>
      <c r="AR6" s="40" t="str">
        <f t="shared" si="15"/>
        <v/>
      </c>
      <c r="AS6" s="40">
        <f t="shared" si="16"/>
        <v>8</v>
      </c>
      <c r="AT6" s="40">
        <f t="shared" si="17"/>
        <v>43.1</v>
      </c>
      <c r="AU6" s="40">
        <f t="shared" si="18"/>
        <v>5.8</v>
      </c>
      <c r="AV6" s="40">
        <f t="shared" si="19"/>
        <v>39.699999999999996</v>
      </c>
      <c r="AW6" s="40">
        <f t="shared" si="20"/>
        <v>82.8</v>
      </c>
      <c r="AX6" s="18">
        <v>16.600000000000001</v>
      </c>
      <c r="AY6" s="18">
        <v>4.3</v>
      </c>
      <c r="AZ6" s="18">
        <v>0</v>
      </c>
      <c r="BA6" s="18">
        <v>0.3</v>
      </c>
      <c r="BB6" s="18">
        <v>16</v>
      </c>
      <c r="BC6" s="18">
        <v>4.8</v>
      </c>
      <c r="BD6" s="18">
        <v>0</v>
      </c>
      <c r="BE6" s="18">
        <v>0.6</v>
      </c>
      <c r="BF6" s="18"/>
      <c r="BG6" s="18"/>
      <c r="BH6" s="18"/>
      <c r="BI6" s="18"/>
      <c r="BJ6" s="18">
        <v>15.3</v>
      </c>
      <c r="BK6" s="18">
        <v>1.9</v>
      </c>
      <c r="BL6" s="18">
        <v>0</v>
      </c>
      <c r="BM6" s="18">
        <v>0.3</v>
      </c>
      <c r="BN6" s="18">
        <v>15.6</v>
      </c>
      <c r="BO6" s="18">
        <v>1.9</v>
      </c>
      <c r="BP6" s="18">
        <v>0</v>
      </c>
      <c r="BQ6" s="18">
        <v>0.3</v>
      </c>
      <c r="BR6" s="28"/>
      <c r="BS6" s="11">
        <f t="shared" si="21"/>
        <v>9.1</v>
      </c>
      <c r="BT6" s="11">
        <f t="shared" si="22"/>
        <v>42.6</v>
      </c>
      <c r="BU6" s="11" t="str">
        <f t="shared" si="23"/>
        <v/>
      </c>
      <c r="BV6" s="11">
        <f t="shared" si="24"/>
        <v>9.1</v>
      </c>
      <c r="BW6" s="11">
        <f t="shared" si="25"/>
        <v>42.6</v>
      </c>
      <c r="BX6" s="11">
        <f t="shared" si="26"/>
        <v>3.8</v>
      </c>
      <c r="BY6" s="11">
        <f t="shared" si="27"/>
        <v>35.299999999999997</v>
      </c>
      <c r="BZ6" s="11">
        <f t="shared" si="28"/>
        <v>77.900000000000006</v>
      </c>
      <c r="CA6" s="19">
        <v>17.100000000000001</v>
      </c>
      <c r="CB6" s="19">
        <v>3.9</v>
      </c>
      <c r="CC6" s="19">
        <v>0</v>
      </c>
      <c r="CD6" s="19">
        <v>0.3</v>
      </c>
      <c r="CE6" s="19">
        <v>16.399999999999999</v>
      </c>
      <c r="CF6" s="19">
        <v>1.9</v>
      </c>
      <c r="CG6" s="19">
        <v>0</v>
      </c>
      <c r="CH6" s="19">
        <v>0.3</v>
      </c>
      <c r="CI6" s="19">
        <v>16.899999999999999</v>
      </c>
      <c r="CJ6" s="19">
        <v>4.0999999999999996</v>
      </c>
      <c r="CK6" s="19">
        <v>0</v>
      </c>
      <c r="CL6" s="19">
        <v>0.3</v>
      </c>
      <c r="CM6" s="19">
        <v>17.600000000000001</v>
      </c>
      <c r="CN6" s="19">
        <v>4.0999999999999996</v>
      </c>
      <c r="CO6" s="19">
        <v>0</v>
      </c>
      <c r="CP6" s="19">
        <v>0.3</v>
      </c>
      <c r="CQ6" s="19">
        <v>17.399999999999999</v>
      </c>
      <c r="CR6" s="19">
        <v>3.2</v>
      </c>
      <c r="CS6" s="19">
        <v>0.4</v>
      </c>
      <c r="CT6" s="19">
        <v>0.6</v>
      </c>
      <c r="CU6" s="27"/>
      <c r="CV6" s="40">
        <f t="shared" si="29"/>
        <v>5.8</v>
      </c>
      <c r="CW6" s="40">
        <f t="shared" si="30"/>
        <v>39.9</v>
      </c>
      <c r="CX6" s="40">
        <f t="shared" si="31"/>
        <v>21.3</v>
      </c>
      <c r="CY6" s="40">
        <f t="shared" si="32"/>
        <v>9.8999999999999986</v>
      </c>
      <c r="CZ6" s="40">
        <f t="shared" si="33"/>
        <v>61.2</v>
      </c>
      <c r="DA6" s="40">
        <f t="shared" si="34"/>
        <v>7.3</v>
      </c>
      <c r="DB6" s="40">
        <f t="shared" si="35"/>
        <v>42.800000000000011</v>
      </c>
      <c r="DC6" s="40">
        <f t="shared" si="36"/>
        <v>82.700000000000017</v>
      </c>
      <c r="DD6" s="50">
        <f t="shared" si="37"/>
        <v>1</v>
      </c>
      <c r="DE6" s="50" t="str">
        <f t="shared" si="38"/>
        <v/>
      </c>
      <c r="DF6" s="50" t="str">
        <f t="shared" si="39"/>
        <v/>
      </c>
      <c r="DG6" s="17"/>
      <c r="DH6" s="17"/>
      <c r="DI6" s="17"/>
      <c r="DJ6" s="17"/>
      <c r="DK6" s="17"/>
      <c r="DL6" s="17"/>
      <c r="DM6" s="17"/>
      <c r="DN6" s="17"/>
      <c r="DO6" s="17"/>
      <c r="DP6" s="17"/>
      <c r="DQ6" s="17"/>
      <c r="DR6" s="17"/>
      <c r="DS6" s="17"/>
      <c r="DT6" s="17"/>
      <c r="DU6" s="17"/>
      <c r="DV6" s="17"/>
      <c r="DW6" s="17"/>
      <c r="DX6" s="17"/>
      <c r="DY6" s="17"/>
      <c r="DZ6" s="17"/>
      <c r="EA6" s="40" t="str">
        <f t="shared" si="40"/>
        <v/>
      </c>
      <c r="EB6" s="40" t="str">
        <f t="shared" si="41"/>
        <v/>
      </c>
      <c r="EC6" s="40" t="str">
        <f t="shared" si="42"/>
        <v/>
      </c>
      <c r="ED6" s="40" t="str">
        <f t="shared" si="43"/>
        <v/>
      </c>
      <c r="EE6" s="40" t="str">
        <f t="shared" si="44"/>
        <v/>
      </c>
      <c r="EF6" s="40" t="str">
        <f t="shared" si="45"/>
        <v/>
      </c>
      <c r="EG6" s="40" t="str">
        <f t="shared" si="46"/>
        <v/>
      </c>
      <c r="EH6" s="40" t="str">
        <f t="shared" si="47"/>
        <v/>
      </c>
      <c r="EI6" s="18"/>
      <c r="EJ6" s="18"/>
      <c r="EK6" s="18"/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8"/>
      <c r="EY6" s="18"/>
      <c r="EZ6" s="18"/>
      <c r="FA6" s="18"/>
      <c r="FB6" s="18"/>
      <c r="FC6" s="11" t="str">
        <f t="shared" si="48"/>
        <v/>
      </c>
      <c r="FD6" s="11" t="str">
        <f t="shared" si="49"/>
        <v/>
      </c>
      <c r="FE6" s="11" t="str">
        <f t="shared" si="50"/>
        <v/>
      </c>
      <c r="FF6" s="11" t="str">
        <f t="shared" si="51"/>
        <v/>
      </c>
      <c r="FG6" s="11" t="str">
        <f t="shared" si="52"/>
        <v/>
      </c>
      <c r="FH6" s="11" t="str">
        <f t="shared" si="53"/>
        <v/>
      </c>
      <c r="FI6" s="11" t="str">
        <f t="shared" si="54"/>
        <v/>
      </c>
      <c r="FJ6" s="11" t="str">
        <f t="shared" si="55"/>
        <v/>
      </c>
      <c r="FK6" s="17"/>
      <c r="FL6" s="17"/>
      <c r="FM6" s="17"/>
      <c r="FN6" s="17"/>
      <c r="FO6" s="17"/>
      <c r="FP6" s="17"/>
      <c r="FQ6" s="17"/>
      <c r="FR6" s="17"/>
      <c r="FS6" s="17"/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40" t="str">
        <f t="shared" si="56"/>
        <v/>
      </c>
      <c r="GF6" s="40" t="str">
        <f t="shared" si="57"/>
        <v/>
      </c>
      <c r="GG6" s="40" t="str">
        <f t="shared" si="58"/>
        <v/>
      </c>
      <c r="GH6" s="40" t="str">
        <f t="shared" si="59"/>
        <v/>
      </c>
      <c r="GI6" s="40" t="str">
        <f t="shared" si="60"/>
        <v/>
      </c>
      <c r="GJ6" s="40" t="str">
        <f t="shared" si="61"/>
        <v/>
      </c>
      <c r="GK6" s="40" t="str">
        <f t="shared" si="62"/>
        <v/>
      </c>
      <c r="GL6" s="40" t="str">
        <f t="shared" si="63"/>
        <v/>
      </c>
      <c r="GM6" s="18"/>
      <c r="GN6" s="18"/>
      <c r="GO6" s="18"/>
      <c r="GP6" s="18"/>
      <c r="GQ6" s="18"/>
      <c r="GR6" s="18"/>
      <c r="GS6" s="18"/>
      <c r="GT6" s="18"/>
      <c r="GU6" s="18"/>
      <c r="GV6" s="18"/>
      <c r="GW6" s="18"/>
      <c r="GX6" s="18"/>
      <c r="GY6" s="18"/>
      <c r="GZ6" s="18"/>
      <c r="HA6" s="18"/>
      <c r="HB6" s="18"/>
      <c r="HC6" s="18"/>
      <c r="HD6" s="18"/>
      <c r="HE6" s="18"/>
      <c r="HF6" s="18"/>
      <c r="HG6" s="11" t="str">
        <f t="shared" si="64"/>
        <v/>
      </c>
      <c r="HH6" s="11" t="str">
        <f t="shared" si="65"/>
        <v/>
      </c>
      <c r="HI6" s="11" t="str">
        <f t="shared" si="66"/>
        <v/>
      </c>
      <c r="HJ6" s="11" t="str">
        <f t="shared" si="67"/>
        <v/>
      </c>
      <c r="HK6" s="11" t="str">
        <f t="shared" si="68"/>
        <v/>
      </c>
      <c r="HL6" s="11" t="str">
        <f t="shared" si="69"/>
        <v/>
      </c>
      <c r="HM6" s="11" t="str">
        <f t="shared" si="70"/>
        <v/>
      </c>
      <c r="HN6" s="11" t="str">
        <f t="shared" si="71"/>
        <v/>
      </c>
      <c r="HO6" s="17"/>
      <c r="HP6" s="17"/>
      <c r="HQ6" s="17"/>
      <c r="HR6" s="17"/>
      <c r="HS6" s="17"/>
      <c r="HT6" s="17"/>
      <c r="HU6" s="17"/>
      <c r="HV6" s="17"/>
      <c r="HW6" s="17"/>
      <c r="HX6" s="17"/>
      <c r="HY6" s="17"/>
      <c r="HZ6" s="17"/>
      <c r="IA6" s="17"/>
      <c r="IB6" s="17"/>
      <c r="IC6" s="17"/>
      <c r="ID6" s="17"/>
      <c r="IE6" s="17"/>
      <c r="IF6" s="17"/>
      <c r="IG6" s="17"/>
      <c r="IH6" s="17"/>
      <c r="II6" s="40" t="str">
        <f t="shared" si="72"/>
        <v/>
      </c>
      <c r="IJ6" s="40" t="str">
        <f t="shared" si="73"/>
        <v/>
      </c>
      <c r="IK6" s="40" t="str">
        <f t="shared" si="74"/>
        <v/>
      </c>
      <c r="IL6" s="40" t="str">
        <f t="shared" si="75"/>
        <v/>
      </c>
      <c r="IM6" s="40" t="str">
        <f t="shared" si="76"/>
        <v/>
      </c>
      <c r="IN6" s="40" t="str">
        <f t="shared" si="77"/>
        <v/>
      </c>
      <c r="IO6" s="40" t="str">
        <f t="shared" si="78"/>
        <v/>
      </c>
      <c r="IP6" s="40" t="str">
        <f t="shared" si="79"/>
        <v/>
      </c>
      <c r="IQ6" s="18">
        <v>17.8</v>
      </c>
      <c r="IR6" s="18">
        <v>4.3</v>
      </c>
      <c r="IS6" s="18">
        <v>0</v>
      </c>
      <c r="IT6" s="18">
        <v>0</v>
      </c>
      <c r="IU6" s="18">
        <v>16.899999999999999</v>
      </c>
      <c r="IV6" s="18">
        <v>4.5999999999999996</v>
      </c>
      <c r="IW6" s="18">
        <v>0</v>
      </c>
      <c r="IX6" s="18">
        <v>0</v>
      </c>
      <c r="IY6" s="18"/>
      <c r="IZ6" s="18"/>
      <c r="JA6" s="18"/>
      <c r="JB6" s="18"/>
      <c r="JC6" s="18"/>
      <c r="JD6" s="18"/>
      <c r="JE6" s="18"/>
      <c r="JF6" s="18"/>
      <c r="JG6" s="18"/>
      <c r="JH6" s="18"/>
      <c r="JI6" s="18"/>
      <c r="JJ6" s="18"/>
      <c r="JK6" s="11">
        <f t="shared" si="80"/>
        <v>8.8999999999999986</v>
      </c>
      <c r="JL6" s="11">
        <f t="shared" si="81"/>
        <v>43.6</v>
      </c>
      <c r="JM6" s="11" t="str">
        <f t="shared" si="82"/>
        <v/>
      </c>
      <c r="JN6" s="11">
        <f t="shared" si="83"/>
        <v>8.8999999999999986</v>
      </c>
      <c r="JO6" s="11">
        <f t="shared" si="84"/>
        <v>43.6</v>
      </c>
      <c r="JP6" s="11" t="str">
        <f t="shared" si="85"/>
        <v/>
      </c>
      <c r="JQ6" s="11" t="str">
        <f t="shared" si="86"/>
        <v/>
      </c>
      <c r="JR6" s="11">
        <f t="shared" si="87"/>
        <v>43.6</v>
      </c>
      <c r="JS6" s="17"/>
      <c r="JT6" s="17"/>
      <c r="JU6" s="17"/>
      <c r="JV6" s="17"/>
      <c r="JW6" s="17"/>
      <c r="JX6" s="17"/>
      <c r="JY6" s="17"/>
      <c r="JZ6" s="17"/>
      <c r="KA6" s="17"/>
      <c r="KB6" s="17"/>
      <c r="KC6" s="17"/>
      <c r="KD6" s="17"/>
      <c r="KE6" s="17"/>
      <c r="KF6" s="17"/>
      <c r="KG6" s="17"/>
      <c r="KH6" s="17"/>
      <c r="KI6" s="17"/>
      <c r="KJ6" s="17"/>
      <c r="KK6" s="17"/>
      <c r="KL6" s="17"/>
      <c r="KM6" s="40" t="str">
        <f t="shared" si="88"/>
        <v/>
      </c>
      <c r="KN6" s="40" t="str">
        <f t="shared" si="89"/>
        <v/>
      </c>
      <c r="KO6" s="40" t="str">
        <f t="shared" si="90"/>
        <v/>
      </c>
      <c r="KP6" s="40" t="str">
        <f t="shared" si="91"/>
        <v/>
      </c>
      <c r="KQ6" s="40" t="str">
        <f t="shared" si="92"/>
        <v/>
      </c>
      <c r="KR6" s="40" t="str">
        <f t="shared" si="93"/>
        <v/>
      </c>
      <c r="KS6" s="40" t="str">
        <f t="shared" si="94"/>
        <v/>
      </c>
      <c r="KT6" s="40" t="str">
        <f t="shared" si="95"/>
        <v/>
      </c>
      <c r="KU6" s="18"/>
      <c r="KV6" s="18"/>
      <c r="KW6" s="18"/>
      <c r="KX6" s="18"/>
      <c r="KY6" s="18"/>
      <c r="KZ6" s="18"/>
      <c r="LA6" s="18"/>
      <c r="LB6" s="18"/>
      <c r="LC6" s="18"/>
      <c r="LD6" s="18"/>
      <c r="LE6" s="18"/>
      <c r="LF6" s="18"/>
      <c r="LG6" s="18"/>
      <c r="LH6" s="18"/>
      <c r="LI6" s="18"/>
      <c r="LJ6" s="18"/>
      <c r="LK6" s="18"/>
      <c r="LL6" s="18"/>
      <c r="LM6" s="18"/>
      <c r="LN6" s="18"/>
      <c r="LO6" s="11" t="str">
        <f t="shared" si="96"/>
        <v/>
      </c>
      <c r="LP6" s="11" t="str">
        <f t="shared" si="97"/>
        <v/>
      </c>
      <c r="LQ6" s="11" t="str">
        <f t="shared" si="98"/>
        <v/>
      </c>
      <c r="LR6" s="11" t="str">
        <f t="shared" si="99"/>
        <v/>
      </c>
      <c r="LS6" s="11" t="str">
        <f t="shared" si="100"/>
        <v/>
      </c>
      <c r="LT6" s="11" t="str">
        <f t="shared" si="101"/>
        <v/>
      </c>
      <c r="LU6" s="11" t="str">
        <f t="shared" si="102"/>
        <v/>
      </c>
      <c r="LV6" s="11" t="str">
        <f t="shared" si="103"/>
        <v/>
      </c>
      <c r="LW6" s="17"/>
      <c r="LX6" s="17"/>
      <c r="LY6" s="17"/>
      <c r="LZ6" s="17"/>
      <c r="MA6" s="17"/>
      <c r="MB6" s="17"/>
      <c r="MC6" s="17"/>
      <c r="MD6" s="17"/>
      <c r="ME6" s="17"/>
      <c r="MF6" s="17"/>
      <c r="MG6" s="17"/>
      <c r="MH6" s="17"/>
      <c r="MI6" s="17"/>
      <c r="MJ6" s="17"/>
      <c r="MK6" s="17"/>
      <c r="ML6" s="17"/>
      <c r="MM6" s="17"/>
      <c r="MN6" s="17"/>
      <c r="MO6" s="17"/>
      <c r="MP6" s="17"/>
      <c r="MQ6" s="40" t="str">
        <f t="shared" si="104"/>
        <v/>
      </c>
      <c r="MR6" s="40" t="str">
        <f t="shared" si="105"/>
        <v/>
      </c>
      <c r="MS6" s="40" t="str">
        <f t="shared" si="106"/>
        <v/>
      </c>
      <c r="MT6" s="40" t="str">
        <f t="shared" si="107"/>
        <v/>
      </c>
      <c r="MU6" s="40" t="str">
        <f t="shared" si="108"/>
        <v/>
      </c>
      <c r="MV6" s="40" t="str">
        <f t="shared" si="109"/>
        <v/>
      </c>
      <c r="MW6" s="40" t="str">
        <f t="shared" si="110"/>
        <v/>
      </c>
      <c r="MX6" s="40" t="str">
        <f t="shared" si="111"/>
        <v/>
      </c>
      <c r="MY6" s="18"/>
      <c r="MZ6" s="18"/>
      <c r="NA6" s="18"/>
      <c r="NB6" s="18"/>
      <c r="NC6" s="18"/>
      <c r="ND6" s="18"/>
      <c r="NE6" s="18"/>
      <c r="NF6" s="18"/>
      <c r="NG6" s="18"/>
      <c r="NH6" s="18"/>
      <c r="NI6" s="18"/>
      <c r="NJ6" s="18"/>
      <c r="NK6" s="18"/>
      <c r="NL6" s="18"/>
      <c r="NM6" s="18"/>
      <c r="NN6" s="18"/>
      <c r="NO6" s="18"/>
      <c r="NP6" s="18"/>
      <c r="NQ6" s="18"/>
      <c r="NR6" s="18"/>
      <c r="NS6" s="11" t="str">
        <f t="shared" si="112"/>
        <v/>
      </c>
      <c r="NT6" s="11" t="str">
        <f t="shared" si="113"/>
        <v/>
      </c>
      <c r="NU6" s="11" t="str">
        <f t="shared" si="114"/>
        <v/>
      </c>
      <c r="NV6" s="11" t="str">
        <f t="shared" si="115"/>
        <v/>
      </c>
      <c r="NW6" s="11" t="str">
        <f t="shared" si="116"/>
        <v/>
      </c>
      <c r="NX6" s="11" t="str">
        <f t="shared" si="117"/>
        <v/>
      </c>
      <c r="NY6" s="11" t="str">
        <f t="shared" si="118"/>
        <v/>
      </c>
      <c r="NZ6" s="11" t="str">
        <f t="shared" si="119"/>
        <v/>
      </c>
      <c r="OA6" s="17"/>
      <c r="OB6" s="17"/>
      <c r="OC6" s="17"/>
      <c r="OD6" s="17"/>
      <c r="OE6" s="17"/>
      <c r="OF6" s="17"/>
      <c r="OG6" s="17"/>
      <c r="OH6" s="17"/>
      <c r="OI6" s="17"/>
      <c r="OJ6" s="17"/>
      <c r="OK6" s="17"/>
      <c r="OL6" s="17"/>
      <c r="OM6" s="17"/>
      <c r="ON6" s="17"/>
      <c r="OO6" s="17"/>
      <c r="OP6" s="17"/>
      <c r="OQ6" s="17"/>
      <c r="OR6" s="17"/>
      <c r="OS6" s="17"/>
      <c r="OT6" s="17"/>
      <c r="OU6" s="40" t="str">
        <f t="shared" si="120"/>
        <v/>
      </c>
      <c r="OV6" s="40" t="str">
        <f t="shared" si="121"/>
        <v/>
      </c>
      <c r="OW6" s="40" t="str">
        <f t="shared" si="122"/>
        <v/>
      </c>
      <c r="OX6" s="40" t="str">
        <f t="shared" si="123"/>
        <v/>
      </c>
      <c r="OY6" s="40" t="str">
        <f t="shared" si="124"/>
        <v/>
      </c>
      <c r="OZ6" s="40" t="str">
        <f t="shared" si="125"/>
        <v/>
      </c>
      <c r="PA6" s="40" t="str">
        <f t="shared" si="126"/>
        <v/>
      </c>
      <c r="PB6" s="40" t="str">
        <f t="shared" si="127"/>
        <v/>
      </c>
      <c r="PC6" s="18"/>
      <c r="PD6" s="18"/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8"/>
      <c r="PS6" s="18"/>
      <c r="PT6" s="18"/>
      <c r="PU6" s="18"/>
      <c r="PV6" s="18"/>
      <c r="PW6" s="11" t="str">
        <f t="shared" si="128"/>
        <v/>
      </c>
      <c r="PX6" s="11" t="str">
        <f t="shared" si="129"/>
        <v/>
      </c>
      <c r="PY6" s="11" t="str">
        <f t="shared" si="130"/>
        <v/>
      </c>
      <c r="PZ6" s="11" t="str">
        <f t="shared" si="131"/>
        <v/>
      </c>
      <c r="QA6" s="11" t="str">
        <f t="shared" si="132"/>
        <v/>
      </c>
      <c r="QB6" s="11" t="str">
        <f t="shared" si="133"/>
        <v/>
      </c>
      <c r="QC6" s="11" t="str">
        <f t="shared" si="134"/>
        <v/>
      </c>
      <c r="QD6" s="11" t="str">
        <f t="shared" si="135"/>
        <v/>
      </c>
      <c r="QE6" s="22">
        <f t="shared" si="136"/>
        <v>16.850000000000001</v>
      </c>
      <c r="QF6" s="22">
        <f t="shared" si="137"/>
        <v>4.0999999999999996</v>
      </c>
      <c r="QG6" s="22">
        <f t="shared" si="138"/>
        <v>0</v>
      </c>
      <c r="QH6" s="22">
        <f t="shared" si="139"/>
        <v>0.3</v>
      </c>
      <c r="QI6" s="22">
        <f t="shared" si="140"/>
        <v>16.2</v>
      </c>
      <c r="QJ6" s="22">
        <f t="shared" si="141"/>
        <v>3.3499999999999996</v>
      </c>
      <c r="QK6" s="22">
        <f t="shared" si="142"/>
        <v>0</v>
      </c>
      <c r="QL6" s="22">
        <f t="shared" si="143"/>
        <v>0.44999999999999996</v>
      </c>
      <c r="QM6" s="22">
        <f t="shared" si="144"/>
        <v>8.4499999999999993</v>
      </c>
      <c r="QN6" s="22">
        <f t="shared" si="145"/>
        <v>2.0499999999999998</v>
      </c>
      <c r="QO6" s="22">
        <f t="shared" si="146"/>
        <v>0</v>
      </c>
      <c r="QP6" s="22">
        <f t="shared" si="147"/>
        <v>0.15</v>
      </c>
      <c r="QQ6" s="22">
        <f t="shared" si="148"/>
        <v>16.450000000000003</v>
      </c>
      <c r="QR6" s="22">
        <f t="shared" si="149"/>
        <v>3</v>
      </c>
      <c r="QS6" s="22">
        <f t="shared" si="150"/>
        <v>0</v>
      </c>
      <c r="QT6" s="22">
        <f t="shared" si="151"/>
        <v>0.3</v>
      </c>
      <c r="QU6" s="22">
        <f t="shared" si="152"/>
        <v>16.5</v>
      </c>
      <c r="QV6" s="22">
        <f t="shared" si="153"/>
        <v>2.5499999999999998</v>
      </c>
      <c r="QW6" s="22">
        <f t="shared" si="154"/>
        <v>0.2</v>
      </c>
      <c r="QX6" s="22">
        <f t="shared" si="155"/>
        <v>0.44999999999999996</v>
      </c>
      <c r="QY6" s="27" t="s">
        <v>46</v>
      </c>
      <c r="QZ6" s="40">
        <f t="shared" si="156"/>
        <v>7.4499999999999993</v>
      </c>
      <c r="RA6" s="40">
        <f t="shared" si="157"/>
        <v>41.250000000000007</v>
      </c>
      <c r="RB6" s="40">
        <f t="shared" si="158"/>
        <v>10.65</v>
      </c>
      <c r="RC6" s="40">
        <f t="shared" si="159"/>
        <v>9.5</v>
      </c>
      <c r="RD6" s="40">
        <f t="shared" si="160"/>
        <v>51.900000000000006</v>
      </c>
      <c r="RE6" s="40">
        <f t="shared" si="161"/>
        <v>5.55</v>
      </c>
      <c r="RF6" s="40">
        <f t="shared" si="162"/>
        <v>39.049999999999997</v>
      </c>
      <c r="RG6" s="40">
        <f t="shared" si="163"/>
        <v>80.300000000000011</v>
      </c>
    </row>
    <row r="7" spans="1:475" x14ac:dyDescent="0.2">
      <c r="A7" s="4">
        <f>IF(AND(F7="P",G7="P"),SUMPRODUCT((F$4:F$24="P")*(G$4:G$24="P")*(E$4:E$24&gt;E7))+1,IF(G7="P",SUMPRODUCT((F$4:F$24="")*(G$4:G$24="P")*(E$4:E$24&gt;E7))+1+SUMPRODUCT((F$4:F$24="P")*(G$4:G$24="P")),""))</f>
        <v>4</v>
      </c>
      <c r="B7" s="5" t="s">
        <v>111</v>
      </c>
      <c r="C7" s="4" t="s">
        <v>4</v>
      </c>
      <c r="D7" s="4">
        <v>2003</v>
      </c>
      <c r="E7" s="9">
        <f t="shared" si="0"/>
        <v>146.80001020000432</v>
      </c>
      <c r="F7" s="3" t="str">
        <f t="shared" si="1"/>
        <v>P</v>
      </c>
      <c r="G7" s="3" t="str">
        <f t="shared" si="2"/>
        <v>P</v>
      </c>
      <c r="H7" s="36" t="str">
        <f t="shared" si="3"/>
        <v>National Team</v>
      </c>
      <c r="I7" s="3" t="str">
        <f t="shared" si="4"/>
        <v/>
      </c>
      <c r="J7" s="8">
        <f>IF(COUNT(AQ7,BT7,CW7)&gt;0,LARGE((AQ7,BT7,CW7),1),0)</f>
        <v>43.199999999999989</v>
      </c>
      <c r="K7" s="8" t="str">
        <f t="shared" si="5"/>
        <v>2022 Nationals</v>
      </c>
      <c r="L7" s="8">
        <f>IF(COUNT(AQ7,BT7,CW7)&gt;1,LARGE((AQ7,BT7,CW7),2),0)</f>
        <v>40.800000000000004</v>
      </c>
      <c r="M7" s="8" t="str">
        <f t="shared" si="6"/>
        <v>2023 Elite Canada</v>
      </c>
      <c r="N7" s="8">
        <f>IF(COUNT(AR7,BU7,CX7)&gt;0,LARGE((AR7,BU7,CX7),1),0)</f>
        <v>18</v>
      </c>
      <c r="O7" s="8" t="str">
        <f t="shared" si="7"/>
        <v>2023 Elite Canada</v>
      </c>
      <c r="P7" s="8">
        <f t="shared" si="8"/>
        <v>40.400000000000006</v>
      </c>
      <c r="Q7" s="8" t="str">
        <f t="shared" si="9"/>
        <v>2022 Nationals</v>
      </c>
      <c r="R7" s="8">
        <f t="shared" si="10"/>
        <v>4.3999999999999915</v>
      </c>
      <c r="S7" s="11" t="str">
        <f t="shared" si="11"/>
        <v>(Final)</v>
      </c>
      <c r="T7" s="8" t="str">
        <f t="shared" si="12"/>
        <v>2022 Coimbra Gym Fest (June 26)</v>
      </c>
      <c r="U7" s="19">
        <v>17.2</v>
      </c>
      <c r="V7" s="19">
        <v>4.0999999999999996</v>
      </c>
      <c r="W7" s="19">
        <v>0.2</v>
      </c>
      <c r="X7" s="19">
        <v>0.3</v>
      </c>
      <c r="Y7" s="19">
        <v>17.399999999999999</v>
      </c>
      <c r="Z7" s="19">
        <v>4.3</v>
      </c>
      <c r="AA7" s="19">
        <v>0.2</v>
      </c>
      <c r="AB7" s="19">
        <v>0.3</v>
      </c>
      <c r="AC7" s="19"/>
      <c r="AD7" s="19"/>
      <c r="AE7" s="19"/>
      <c r="AF7" s="19"/>
      <c r="AG7" s="19">
        <v>16.5</v>
      </c>
      <c r="AH7" s="19">
        <v>2.8</v>
      </c>
      <c r="AI7" s="19">
        <v>1.2</v>
      </c>
      <c r="AJ7" s="19">
        <v>0.3</v>
      </c>
      <c r="AK7" s="19">
        <v>16.8</v>
      </c>
      <c r="AL7" s="19">
        <v>4.5999999999999996</v>
      </c>
      <c r="AM7" s="19">
        <v>0</v>
      </c>
      <c r="AN7" s="19">
        <v>0.6</v>
      </c>
      <c r="AO7" s="27"/>
      <c r="AP7" s="40">
        <f t="shared" si="13"/>
        <v>8.3999999999999986</v>
      </c>
      <c r="AQ7" s="40">
        <f t="shared" si="14"/>
        <v>43.199999999999989</v>
      </c>
      <c r="AR7" s="40" t="str">
        <f t="shared" si="15"/>
        <v/>
      </c>
      <c r="AS7" s="40">
        <f t="shared" si="16"/>
        <v>8.3999999999999986</v>
      </c>
      <c r="AT7" s="40">
        <f t="shared" si="17"/>
        <v>43.199999999999989</v>
      </c>
      <c r="AU7" s="40">
        <f t="shared" si="18"/>
        <v>7.3999999999999995</v>
      </c>
      <c r="AV7" s="40">
        <f t="shared" si="19"/>
        <v>40.400000000000006</v>
      </c>
      <c r="AW7" s="40">
        <f t="shared" si="20"/>
        <v>83.6</v>
      </c>
      <c r="AX7" s="18">
        <v>14.7</v>
      </c>
      <c r="AY7" s="18">
        <v>3.9</v>
      </c>
      <c r="AZ7" s="18">
        <v>0.4</v>
      </c>
      <c r="BA7" s="18">
        <v>0.3</v>
      </c>
      <c r="BB7" s="18">
        <v>15.9</v>
      </c>
      <c r="BC7" s="18">
        <v>2.4</v>
      </c>
      <c r="BD7" s="18">
        <v>5.4</v>
      </c>
      <c r="BE7" s="18">
        <v>0.3</v>
      </c>
      <c r="BF7" s="18"/>
      <c r="BG7" s="18"/>
      <c r="BH7" s="18"/>
      <c r="BI7" s="18"/>
      <c r="BJ7" s="18">
        <v>0</v>
      </c>
      <c r="BK7" s="18">
        <v>0</v>
      </c>
      <c r="BL7" s="18">
        <v>0</v>
      </c>
      <c r="BM7" s="18">
        <v>0</v>
      </c>
      <c r="BN7" s="18">
        <v>0</v>
      </c>
      <c r="BO7" s="18">
        <v>0</v>
      </c>
      <c r="BP7" s="18">
        <v>0</v>
      </c>
      <c r="BQ7" s="18">
        <v>0</v>
      </c>
      <c r="BR7" s="28"/>
      <c r="BS7" s="11">
        <f t="shared" si="21"/>
        <v>6.3</v>
      </c>
      <c r="BT7" s="11">
        <f t="shared" si="22"/>
        <v>31.699999999999996</v>
      </c>
      <c r="BU7" s="11" t="str">
        <f t="shared" si="23"/>
        <v/>
      </c>
      <c r="BV7" s="11">
        <f t="shared" si="24"/>
        <v>6.3</v>
      </c>
      <c r="BW7" s="11">
        <f t="shared" si="25"/>
        <v>31.699999999999996</v>
      </c>
      <c r="BX7" s="11" t="str">
        <f t="shared" si="26"/>
        <v/>
      </c>
      <c r="BY7" s="11" t="str">
        <f t="shared" si="27"/>
        <v/>
      </c>
      <c r="BZ7" s="11">
        <f t="shared" si="28"/>
        <v>31.699999999999996</v>
      </c>
      <c r="CA7" s="19">
        <v>17.3</v>
      </c>
      <c r="CB7" s="19">
        <v>3.9</v>
      </c>
      <c r="CC7" s="19">
        <v>0</v>
      </c>
      <c r="CD7" s="19">
        <v>0.3</v>
      </c>
      <c r="CE7" s="19">
        <v>16.100000000000001</v>
      </c>
      <c r="CF7" s="19">
        <v>2.6</v>
      </c>
      <c r="CG7" s="19">
        <v>0</v>
      </c>
      <c r="CH7" s="19">
        <v>0.6</v>
      </c>
      <c r="CI7" s="19">
        <v>15.8</v>
      </c>
      <c r="CJ7" s="19">
        <v>1.9</v>
      </c>
      <c r="CK7" s="19">
        <v>0</v>
      </c>
      <c r="CL7" s="19">
        <v>0.3</v>
      </c>
      <c r="CM7" s="19">
        <v>17</v>
      </c>
      <c r="CN7" s="19">
        <v>3.9</v>
      </c>
      <c r="CO7" s="19">
        <v>0.2</v>
      </c>
      <c r="CP7" s="19">
        <v>0.3</v>
      </c>
      <c r="CQ7" s="19">
        <v>16.399999999999999</v>
      </c>
      <c r="CR7" s="19">
        <v>1.9</v>
      </c>
      <c r="CS7" s="19">
        <v>0</v>
      </c>
      <c r="CT7" s="19">
        <v>0.3</v>
      </c>
      <c r="CU7" s="27"/>
      <c r="CV7" s="40">
        <f t="shared" si="29"/>
        <v>6.5</v>
      </c>
      <c r="CW7" s="40">
        <f t="shared" si="30"/>
        <v>40.800000000000004</v>
      </c>
      <c r="CX7" s="40">
        <f t="shared" si="31"/>
        <v>18</v>
      </c>
      <c r="CY7" s="40">
        <f t="shared" si="32"/>
        <v>8.4</v>
      </c>
      <c r="CZ7" s="40">
        <f t="shared" si="33"/>
        <v>58.800000000000004</v>
      </c>
      <c r="DA7" s="40">
        <f t="shared" si="34"/>
        <v>5.8</v>
      </c>
      <c r="DB7" s="40">
        <f t="shared" si="35"/>
        <v>39.599999999999987</v>
      </c>
      <c r="DC7" s="40">
        <f t="shared" si="36"/>
        <v>80.399999999999991</v>
      </c>
      <c r="DD7" s="50">
        <f t="shared" si="37"/>
        <v>2.9999999999999929</v>
      </c>
      <c r="DE7" s="50" t="str">
        <f t="shared" si="38"/>
        <v/>
      </c>
      <c r="DF7" s="50">
        <f t="shared" si="39"/>
        <v>4.3999999999999915</v>
      </c>
      <c r="DG7" s="17">
        <v>16.899999999999999</v>
      </c>
      <c r="DH7" s="17">
        <v>4.3</v>
      </c>
      <c r="DI7" s="17">
        <v>0</v>
      </c>
      <c r="DJ7" s="17">
        <v>0.3</v>
      </c>
      <c r="DK7" s="17">
        <v>16.7</v>
      </c>
      <c r="DL7" s="17">
        <v>4.5999999999999996</v>
      </c>
      <c r="DM7" s="17">
        <v>0</v>
      </c>
      <c r="DN7" s="17">
        <v>0.6</v>
      </c>
      <c r="DO7" s="17"/>
      <c r="DP7" s="17"/>
      <c r="DQ7" s="17"/>
      <c r="DR7" s="17"/>
      <c r="DS7" s="17">
        <v>16.100000000000001</v>
      </c>
      <c r="DT7" s="17">
        <v>4.0999999999999996</v>
      </c>
      <c r="DU7" s="17">
        <v>0</v>
      </c>
      <c r="DV7" s="17">
        <v>0.3</v>
      </c>
      <c r="DW7" s="17">
        <v>15.2</v>
      </c>
      <c r="DX7" s="17">
        <v>1.9</v>
      </c>
      <c r="DY7" s="17">
        <v>0</v>
      </c>
      <c r="DZ7" s="17">
        <v>0.3</v>
      </c>
      <c r="EA7" s="40">
        <f t="shared" si="40"/>
        <v>8.8999999999999986</v>
      </c>
      <c r="EB7" s="40">
        <f t="shared" si="41"/>
        <v>43.400000000000006</v>
      </c>
      <c r="EC7" s="40" t="str">
        <f t="shared" si="42"/>
        <v/>
      </c>
      <c r="ED7" s="40">
        <f t="shared" si="43"/>
        <v>8.8999999999999986</v>
      </c>
      <c r="EE7" s="40">
        <f t="shared" si="44"/>
        <v>43.400000000000006</v>
      </c>
      <c r="EF7" s="40">
        <f t="shared" si="45"/>
        <v>6</v>
      </c>
      <c r="EG7" s="40">
        <f t="shared" si="46"/>
        <v>37.9</v>
      </c>
      <c r="EH7" s="40">
        <f t="shared" si="47"/>
        <v>81.300000000000011</v>
      </c>
      <c r="EI7" s="18">
        <v>17.399999999999999</v>
      </c>
      <c r="EJ7" s="18">
        <v>3.9</v>
      </c>
      <c r="EK7" s="18">
        <v>0</v>
      </c>
      <c r="EL7" s="18">
        <v>0</v>
      </c>
      <c r="EM7" s="18">
        <v>18.2</v>
      </c>
      <c r="EN7" s="18">
        <v>4.3</v>
      </c>
      <c r="EO7" s="18">
        <v>0</v>
      </c>
      <c r="EP7" s="18">
        <v>0</v>
      </c>
      <c r="EQ7" s="18"/>
      <c r="ER7" s="18"/>
      <c r="ES7" s="18"/>
      <c r="ET7" s="18"/>
      <c r="EU7" s="18">
        <v>17.600000000000001</v>
      </c>
      <c r="EV7" s="18">
        <v>4.5999999999999996</v>
      </c>
      <c r="EW7" s="18">
        <v>0</v>
      </c>
      <c r="EX7" s="18">
        <v>0</v>
      </c>
      <c r="EY7" s="18">
        <v>18.3</v>
      </c>
      <c r="EZ7" s="18">
        <v>4.3</v>
      </c>
      <c r="FA7" s="18">
        <v>0</v>
      </c>
      <c r="FB7" s="18">
        <v>0</v>
      </c>
      <c r="FC7" s="11">
        <f t="shared" si="48"/>
        <v>8.1999999999999993</v>
      </c>
      <c r="FD7" s="11">
        <f t="shared" si="49"/>
        <v>43.8</v>
      </c>
      <c r="FE7" s="11" t="str">
        <f t="shared" si="50"/>
        <v/>
      </c>
      <c r="FF7" s="11">
        <f t="shared" si="51"/>
        <v>8.1999999999999993</v>
      </c>
      <c r="FG7" s="11">
        <f t="shared" si="52"/>
        <v>43.8</v>
      </c>
      <c r="FH7" s="11">
        <f t="shared" si="53"/>
        <v>8.8999999999999986</v>
      </c>
      <c r="FI7" s="11">
        <f t="shared" si="54"/>
        <v>44.8</v>
      </c>
      <c r="FJ7" s="11">
        <f t="shared" si="55"/>
        <v>88.6</v>
      </c>
      <c r="FK7" s="17"/>
      <c r="FL7" s="17"/>
      <c r="FM7" s="17"/>
      <c r="FN7" s="17"/>
      <c r="FO7" s="17"/>
      <c r="FP7" s="17"/>
      <c r="FQ7" s="17"/>
      <c r="FR7" s="17"/>
      <c r="FS7" s="17"/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40" t="str">
        <f t="shared" si="56"/>
        <v/>
      </c>
      <c r="GF7" s="40" t="str">
        <f t="shared" si="57"/>
        <v/>
      </c>
      <c r="GG7" s="40" t="str">
        <f t="shared" si="58"/>
        <v/>
      </c>
      <c r="GH7" s="40" t="str">
        <f t="shared" si="59"/>
        <v/>
      </c>
      <c r="GI7" s="40" t="str">
        <f t="shared" si="60"/>
        <v/>
      </c>
      <c r="GJ7" s="40" t="str">
        <f t="shared" si="61"/>
        <v/>
      </c>
      <c r="GK7" s="40" t="str">
        <f t="shared" si="62"/>
        <v/>
      </c>
      <c r="GL7" s="40" t="str">
        <f t="shared" si="63"/>
        <v/>
      </c>
      <c r="GM7" s="18">
        <v>17.399999999999999</v>
      </c>
      <c r="GN7" s="18">
        <v>4.3</v>
      </c>
      <c r="GO7" s="18">
        <v>0</v>
      </c>
      <c r="GP7" s="18">
        <v>0</v>
      </c>
      <c r="GQ7" s="18">
        <v>17.399999999999999</v>
      </c>
      <c r="GR7" s="18">
        <v>4.5999999999999996</v>
      </c>
      <c r="GS7" s="18">
        <v>0</v>
      </c>
      <c r="GT7" s="18">
        <v>0</v>
      </c>
      <c r="GU7" s="18"/>
      <c r="GV7" s="18"/>
      <c r="GW7" s="18"/>
      <c r="GX7" s="18"/>
      <c r="GY7" s="18"/>
      <c r="GZ7" s="18"/>
      <c r="HA7" s="18"/>
      <c r="HB7" s="18"/>
      <c r="HC7" s="18"/>
      <c r="HD7" s="18"/>
      <c r="HE7" s="18"/>
      <c r="HF7" s="18"/>
      <c r="HG7" s="11">
        <f t="shared" si="64"/>
        <v>8.8999999999999986</v>
      </c>
      <c r="HH7" s="11">
        <f t="shared" si="65"/>
        <v>43.699999999999996</v>
      </c>
      <c r="HI7" s="11" t="str">
        <f t="shared" si="66"/>
        <v/>
      </c>
      <c r="HJ7" s="11">
        <f t="shared" si="67"/>
        <v>8.8999999999999986</v>
      </c>
      <c r="HK7" s="11">
        <f t="shared" si="68"/>
        <v>43.699999999999996</v>
      </c>
      <c r="HL7" s="11" t="str">
        <f t="shared" si="69"/>
        <v/>
      </c>
      <c r="HM7" s="11" t="str">
        <f t="shared" si="70"/>
        <v/>
      </c>
      <c r="HN7" s="11">
        <f t="shared" si="71"/>
        <v>43.699999999999996</v>
      </c>
      <c r="HO7" s="17"/>
      <c r="HP7" s="17"/>
      <c r="HQ7" s="17"/>
      <c r="HR7" s="17"/>
      <c r="HS7" s="17"/>
      <c r="HT7" s="17"/>
      <c r="HU7" s="17"/>
      <c r="HV7" s="17"/>
      <c r="HW7" s="17"/>
      <c r="HX7" s="17"/>
      <c r="HY7" s="17"/>
      <c r="HZ7" s="17"/>
      <c r="IA7" s="17"/>
      <c r="IB7" s="17"/>
      <c r="IC7" s="17"/>
      <c r="ID7" s="17"/>
      <c r="IE7" s="17">
        <v>17.3</v>
      </c>
      <c r="IF7" s="17">
        <v>4.8</v>
      </c>
      <c r="IG7" s="17">
        <v>0</v>
      </c>
      <c r="IH7" s="17">
        <v>0</v>
      </c>
      <c r="II7" s="40" t="str">
        <f t="shared" si="72"/>
        <v/>
      </c>
      <c r="IJ7" s="40" t="str">
        <f t="shared" si="73"/>
        <v/>
      </c>
      <c r="IK7" s="40" t="str">
        <f t="shared" si="74"/>
        <v/>
      </c>
      <c r="IL7" s="40" t="str">
        <f t="shared" si="75"/>
        <v/>
      </c>
      <c r="IM7" s="40" t="str">
        <f t="shared" si="76"/>
        <v/>
      </c>
      <c r="IN7" s="40">
        <f t="shared" si="77"/>
        <v>4.8</v>
      </c>
      <c r="IO7" s="40">
        <f t="shared" si="78"/>
        <v>22.1</v>
      </c>
      <c r="IP7" s="40">
        <f t="shared" si="79"/>
        <v>22.1</v>
      </c>
      <c r="IQ7" s="18"/>
      <c r="IR7" s="18"/>
      <c r="IS7" s="18"/>
      <c r="IT7" s="18"/>
      <c r="IU7" s="18"/>
      <c r="IV7" s="18"/>
      <c r="IW7" s="18"/>
      <c r="IX7" s="18"/>
      <c r="IY7" s="18"/>
      <c r="IZ7" s="18"/>
      <c r="JA7" s="18"/>
      <c r="JB7" s="18"/>
      <c r="JC7" s="18"/>
      <c r="JD7" s="18"/>
      <c r="JE7" s="18"/>
      <c r="JF7" s="18"/>
      <c r="JG7" s="18"/>
      <c r="JH7" s="18"/>
      <c r="JI7" s="18"/>
      <c r="JJ7" s="18"/>
      <c r="JK7" s="11" t="str">
        <f t="shared" si="80"/>
        <v/>
      </c>
      <c r="JL7" s="11" t="str">
        <f t="shared" si="81"/>
        <v/>
      </c>
      <c r="JM7" s="11" t="str">
        <f t="shared" si="82"/>
        <v/>
      </c>
      <c r="JN7" s="11" t="str">
        <f t="shared" si="83"/>
        <v/>
      </c>
      <c r="JO7" s="11" t="str">
        <f t="shared" si="84"/>
        <v/>
      </c>
      <c r="JP7" s="11" t="str">
        <f t="shared" si="85"/>
        <v/>
      </c>
      <c r="JQ7" s="11" t="str">
        <f t="shared" si="86"/>
        <v/>
      </c>
      <c r="JR7" s="11" t="str">
        <f t="shared" si="87"/>
        <v/>
      </c>
      <c r="JS7" s="17"/>
      <c r="JT7" s="17"/>
      <c r="JU7" s="17"/>
      <c r="JV7" s="17"/>
      <c r="JW7" s="17"/>
      <c r="JX7" s="17"/>
      <c r="JY7" s="17"/>
      <c r="JZ7" s="17"/>
      <c r="KA7" s="17"/>
      <c r="KB7" s="17"/>
      <c r="KC7" s="17"/>
      <c r="KD7" s="17"/>
      <c r="KE7" s="17"/>
      <c r="KF7" s="17"/>
      <c r="KG7" s="17"/>
      <c r="KH7" s="17"/>
      <c r="KI7" s="17"/>
      <c r="KJ7" s="17"/>
      <c r="KK7" s="17"/>
      <c r="KL7" s="17"/>
      <c r="KM7" s="40" t="str">
        <f t="shared" si="88"/>
        <v/>
      </c>
      <c r="KN7" s="40" t="str">
        <f t="shared" si="89"/>
        <v/>
      </c>
      <c r="KO7" s="40" t="str">
        <f t="shared" si="90"/>
        <v/>
      </c>
      <c r="KP7" s="40" t="str">
        <f t="shared" si="91"/>
        <v/>
      </c>
      <c r="KQ7" s="40" t="str">
        <f t="shared" si="92"/>
        <v/>
      </c>
      <c r="KR7" s="40" t="str">
        <f t="shared" si="93"/>
        <v/>
      </c>
      <c r="KS7" s="40" t="str">
        <f t="shared" si="94"/>
        <v/>
      </c>
      <c r="KT7" s="40" t="str">
        <f t="shared" si="95"/>
        <v/>
      </c>
      <c r="KU7" s="18"/>
      <c r="KV7" s="18"/>
      <c r="KW7" s="18"/>
      <c r="KX7" s="18"/>
      <c r="KY7" s="18"/>
      <c r="KZ7" s="18"/>
      <c r="LA7" s="18"/>
      <c r="LB7" s="18"/>
      <c r="LC7" s="18"/>
      <c r="LD7" s="18"/>
      <c r="LE7" s="18"/>
      <c r="LF7" s="18"/>
      <c r="LG7" s="18"/>
      <c r="LH7" s="18"/>
      <c r="LI7" s="18"/>
      <c r="LJ7" s="18"/>
      <c r="LK7" s="18"/>
      <c r="LL7" s="18"/>
      <c r="LM7" s="18"/>
      <c r="LN7" s="18"/>
      <c r="LO7" s="11" t="str">
        <f t="shared" si="96"/>
        <v/>
      </c>
      <c r="LP7" s="11" t="str">
        <f t="shared" si="97"/>
        <v/>
      </c>
      <c r="LQ7" s="11" t="str">
        <f t="shared" si="98"/>
        <v/>
      </c>
      <c r="LR7" s="11" t="str">
        <f t="shared" si="99"/>
        <v/>
      </c>
      <c r="LS7" s="11" t="str">
        <f t="shared" si="100"/>
        <v/>
      </c>
      <c r="LT7" s="11" t="str">
        <f t="shared" si="101"/>
        <v/>
      </c>
      <c r="LU7" s="11" t="str">
        <f t="shared" si="102"/>
        <v/>
      </c>
      <c r="LV7" s="11" t="str">
        <f t="shared" si="103"/>
        <v/>
      </c>
      <c r="LW7" s="17"/>
      <c r="LX7" s="17"/>
      <c r="LY7" s="17"/>
      <c r="LZ7" s="17"/>
      <c r="MA7" s="17"/>
      <c r="MB7" s="17"/>
      <c r="MC7" s="17"/>
      <c r="MD7" s="17"/>
      <c r="ME7" s="17"/>
      <c r="MF7" s="17"/>
      <c r="MG7" s="17"/>
      <c r="MH7" s="17"/>
      <c r="MI7" s="17"/>
      <c r="MJ7" s="17"/>
      <c r="MK7" s="17"/>
      <c r="ML7" s="17"/>
      <c r="MM7" s="17"/>
      <c r="MN7" s="17"/>
      <c r="MO7" s="17"/>
      <c r="MP7" s="17"/>
      <c r="MQ7" s="40" t="str">
        <f t="shared" si="104"/>
        <v/>
      </c>
      <c r="MR7" s="40" t="str">
        <f t="shared" si="105"/>
        <v/>
      </c>
      <c r="MS7" s="40" t="str">
        <f t="shared" si="106"/>
        <v/>
      </c>
      <c r="MT7" s="40" t="str">
        <f t="shared" si="107"/>
        <v/>
      </c>
      <c r="MU7" s="40" t="str">
        <f t="shared" si="108"/>
        <v/>
      </c>
      <c r="MV7" s="40" t="str">
        <f t="shared" si="109"/>
        <v/>
      </c>
      <c r="MW7" s="40" t="str">
        <f t="shared" si="110"/>
        <v/>
      </c>
      <c r="MX7" s="40" t="str">
        <f t="shared" si="111"/>
        <v/>
      </c>
      <c r="MY7" s="18"/>
      <c r="MZ7" s="18"/>
      <c r="NA7" s="18"/>
      <c r="NB7" s="18"/>
      <c r="NC7" s="18"/>
      <c r="ND7" s="18"/>
      <c r="NE7" s="18"/>
      <c r="NF7" s="18"/>
      <c r="NG7" s="18"/>
      <c r="NH7" s="18"/>
      <c r="NI7" s="18"/>
      <c r="NJ7" s="18"/>
      <c r="NK7" s="18"/>
      <c r="NL7" s="18"/>
      <c r="NM7" s="18"/>
      <c r="NN7" s="18"/>
      <c r="NO7" s="18"/>
      <c r="NP7" s="18"/>
      <c r="NQ7" s="18"/>
      <c r="NR7" s="18"/>
      <c r="NS7" s="11" t="str">
        <f t="shared" si="112"/>
        <v/>
      </c>
      <c r="NT7" s="11" t="str">
        <f t="shared" si="113"/>
        <v/>
      </c>
      <c r="NU7" s="11" t="str">
        <f t="shared" si="114"/>
        <v/>
      </c>
      <c r="NV7" s="11" t="str">
        <f t="shared" si="115"/>
        <v/>
      </c>
      <c r="NW7" s="11" t="str">
        <f t="shared" si="116"/>
        <v/>
      </c>
      <c r="NX7" s="11" t="str">
        <f t="shared" si="117"/>
        <v/>
      </c>
      <c r="NY7" s="11" t="str">
        <f t="shared" si="118"/>
        <v/>
      </c>
      <c r="NZ7" s="11" t="str">
        <f t="shared" si="119"/>
        <v/>
      </c>
      <c r="OA7" s="17"/>
      <c r="OB7" s="17"/>
      <c r="OC7" s="17"/>
      <c r="OD7" s="17"/>
      <c r="OE7" s="17"/>
      <c r="OF7" s="17"/>
      <c r="OG7" s="17"/>
      <c r="OH7" s="17"/>
      <c r="OI7" s="17"/>
      <c r="OJ7" s="17"/>
      <c r="OK7" s="17"/>
      <c r="OL7" s="17"/>
      <c r="OM7" s="17"/>
      <c r="ON7" s="17"/>
      <c r="OO7" s="17"/>
      <c r="OP7" s="17"/>
      <c r="OQ7" s="17"/>
      <c r="OR7" s="17"/>
      <c r="OS7" s="17"/>
      <c r="OT7" s="17"/>
      <c r="OU7" s="40" t="str">
        <f t="shared" si="120"/>
        <v/>
      </c>
      <c r="OV7" s="40" t="str">
        <f t="shared" si="121"/>
        <v/>
      </c>
      <c r="OW7" s="40" t="str">
        <f t="shared" si="122"/>
        <v/>
      </c>
      <c r="OX7" s="40" t="str">
        <f t="shared" si="123"/>
        <v/>
      </c>
      <c r="OY7" s="40" t="str">
        <f t="shared" si="124"/>
        <v/>
      </c>
      <c r="OZ7" s="40" t="str">
        <f t="shared" si="125"/>
        <v/>
      </c>
      <c r="PA7" s="40" t="str">
        <f t="shared" si="126"/>
        <v/>
      </c>
      <c r="PB7" s="40" t="str">
        <f t="shared" si="127"/>
        <v/>
      </c>
      <c r="PC7" s="18"/>
      <c r="PD7" s="18"/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8"/>
      <c r="PS7" s="18"/>
      <c r="PT7" s="18"/>
      <c r="PU7" s="18"/>
      <c r="PV7" s="18"/>
      <c r="PW7" s="11" t="str">
        <f t="shared" si="128"/>
        <v/>
      </c>
      <c r="PX7" s="11" t="str">
        <f t="shared" si="129"/>
        <v/>
      </c>
      <c r="PY7" s="11" t="str">
        <f t="shared" si="130"/>
        <v/>
      </c>
      <c r="PZ7" s="11" t="str">
        <f t="shared" si="131"/>
        <v/>
      </c>
      <c r="QA7" s="11" t="str">
        <f t="shared" si="132"/>
        <v/>
      </c>
      <c r="QB7" s="11" t="str">
        <f t="shared" si="133"/>
        <v/>
      </c>
      <c r="QC7" s="11" t="str">
        <f t="shared" si="134"/>
        <v/>
      </c>
      <c r="QD7" s="11" t="str">
        <f t="shared" si="135"/>
        <v/>
      </c>
      <c r="QE7" s="22">
        <f t="shared" si="136"/>
        <v>16</v>
      </c>
      <c r="QF7" s="22">
        <f t="shared" si="137"/>
        <v>3.9</v>
      </c>
      <c r="QG7" s="22">
        <f t="shared" si="138"/>
        <v>0.2</v>
      </c>
      <c r="QH7" s="22">
        <f t="shared" si="139"/>
        <v>0.3</v>
      </c>
      <c r="QI7" s="22">
        <f t="shared" si="140"/>
        <v>16</v>
      </c>
      <c r="QJ7" s="22">
        <f t="shared" si="141"/>
        <v>2.5</v>
      </c>
      <c r="QK7" s="22">
        <f t="shared" si="142"/>
        <v>2.7</v>
      </c>
      <c r="QL7" s="22">
        <f t="shared" si="143"/>
        <v>0.44999999999999996</v>
      </c>
      <c r="QM7" s="22">
        <f t="shared" si="144"/>
        <v>7.9</v>
      </c>
      <c r="QN7" s="22">
        <f t="shared" si="145"/>
        <v>0.95</v>
      </c>
      <c r="QO7" s="22">
        <f t="shared" si="146"/>
        <v>0</v>
      </c>
      <c r="QP7" s="22">
        <f t="shared" si="147"/>
        <v>0.15</v>
      </c>
      <c r="QQ7" s="22">
        <f t="shared" si="148"/>
        <v>8.5</v>
      </c>
      <c r="QR7" s="22">
        <f t="shared" si="149"/>
        <v>1.95</v>
      </c>
      <c r="QS7" s="22">
        <f t="shared" si="150"/>
        <v>0.1</v>
      </c>
      <c r="QT7" s="22">
        <f t="shared" si="151"/>
        <v>0.15</v>
      </c>
      <c r="QU7" s="22">
        <f t="shared" si="152"/>
        <v>8.1999999999999993</v>
      </c>
      <c r="QV7" s="22">
        <f t="shared" si="153"/>
        <v>0.95</v>
      </c>
      <c r="QW7" s="22">
        <f t="shared" si="154"/>
        <v>0</v>
      </c>
      <c r="QX7" s="22">
        <f t="shared" si="155"/>
        <v>0.15</v>
      </c>
      <c r="QY7" s="27" t="s">
        <v>46</v>
      </c>
      <c r="QZ7" s="40">
        <f t="shared" si="156"/>
        <v>6.4</v>
      </c>
      <c r="RA7" s="40">
        <f t="shared" si="157"/>
        <v>36.25</v>
      </c>
      <c r="RB7" s="40">
        <f t="shared" si="158"/>
        <v>9</v>
      </c>
      <c r="RC7" s="40">
        <f t="shared" si="159"/>
        <v>7.3500000000000005</v>
      </c>
      <c r="RD7" s="40">
        <f t="shared" si="160"/>
        <v>45.25</v>
      </c>
      <c r="RE7" s="40">
        <f t="shared" si="161"/>
        <v>2.9</v>
      </c>
      <c r="RF7" s="40">
        <f t="shared" si="162"/>
        <v>19.799999999999994</v>
      </c>
      <c r="RG7" s="40">
        <f t="shared" si="163"/>
        <v>56.05</v>
      </c>
    </row>
    <row r="8" spans="1:475" x14ac:dyDescent="0.2">
      <c r="A8" s="4" cm="1">
        <f t="array" ref="A8">IF(AND(F8="P",G8="P"),SUMPRODUCT((F$4:F$24="P")*(G$4:G$24="P")*(E$4:E$24&gt;E8))+1,IF(G8="P",SUMPRODUCT((F$4:F$24="")*(G$4:G$24="P")*(E$4:E$24&gt;E8))+1+SUMPRODUCT((F$4:F$24="P")*(G$4:G$24="P")),""))</f>
        <v>5</v>
      </c>
      <c r="B8" s="5" t="s">
        <v>125</v>
      </c>
      <c r="C8" s="4" t="s">
        <v>3</v>
      </c>
      <c r="D8" s="4">
        <v>2004</v>
      </c>
      <c r="E8" s="9">
        <f t="shared" si="0"/>
        <v>141.14000978400412</v>
      </c>
      <c r="F8" s="3" t="str">
        <f t="shared" si="1"/>
        <v>P</v>
      </c>
      <c r="G8" s="3" t="str">
        <f t="shared" si="2"/>
        <v>P</v>
      </c>
      <c r="H8" s="36" t="str">
        <f t="shared" si="3"/>
        <v>National Team</v>
      </c>
      <c r="I8" s="3" t="str">
        <f t="shared" si="4"/>
        <v/>
      </c>
      <c r="J8" s="8">
        <f>IF(COUNT(AQ8,BT8,CW8)&gt;0,LARGE((AQ8,BT8,CW8),1),0)</f>
        <v>41.199999999999996</v>
      </c>
      <c r="K8" s="8" t="str">
        <f t="shared" si="5"/>
        <v>2023 Elite Canada</v>
      </c>
      <c r="L8" s="8">
        <f>IF(COUNT(AQ8,BT8,CW8)&gt;1,LARGE((AQ8,BT8,CW8),2),0)</f>
        <v>35.800000000000004</v>
      </c>
      <c r="M8" s="8" t="str">
        <f t="shared" si="6"/>
        <v>2022 Nationals</v>
      </c>
      <c r="N8" s="8">
        <f>IF(COUNT(AR8,BU8,CX8)&gt;0,LARGE((AR8,BU8,CX8),1),0)</f>
        <v>20.84</v>
      </c>
      <c r="O8" s="8" t="str">
        <f t="shared" si="7"/>
        <v>2023 Elite Canada</v>
      </c>
      <c r="P8" s="8">
        <f t="shared" si="8"/>
        <v>43.3</v>
      </c>
      <c r="Q8" s="8" t="str">
        <f t="shared" si="9"/>
        <v>2023 Elite Canada</v>
      </c>
      <c r="R8" s="8" t="str">
        <f t="shared" si="10"/>
        <v/>
      </c>
      <c r="S8" s="11" t="str">
        <f t="shared" si="11"/>
        <v/>
      </c>
      <c r="T8" s="8" t="str">
        <f t="shared" si="12"/>
        <v/>
      </c>
      <c r="U8" s="19">
        <v>15.3</v>
      </c>
      <c r="V8" s="19">
        <v>3.4</v>
      </c>
      <c r="W8" s="19">
        <v>0.4</v>
      </c>
      <c r="X8" s="19">
        <v>0</v>
      </c>
      <c r="Y8" s="19">
        <v>16.3</v>
      </c>
      <c r="Z8" s="19">
        <v>1.2</v>
      </c>
      <c r="AA8" s="19">
        <v>0</v>
      </c>
      <c r="AB8" s="19">
        <v>0</v>
      </c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27"/>
      <c r="AP8" s="40">
        <f t="shared" si="13"/>
        <v>4.5999999999999996</v>
      </c>
      <c r="AQ8" s="40">
        <f t="shared" si="14"/>
        <v>35.800000000000004</v>
      </c>
      <c r="AR8" s="40" t="str">
        <f t="shared" si="15"/>
        <v/>
      </c>
      <c r="AS8" s="40">
        <f t="shared" si="16"/>
        <v>4.5999999999999996</v>
      </c>
      <c r="AT8" s="40">
        <f t="shared" si="17"/>
        <v>35.800000000000004</v>
      </c>
      <c r="AU8" s="40" t="str">
        <f t="shared" si="18"/>
        <v/>
      </c>
      <c r="AV8" s="40" t="str">
        <f t="shared" si="19"/>
        <v/>
      </c>
      <c r="AW8" s="40">
        <f t="shared" si="20"/>
        <v>35.800000000000004</v>
      </c>
      <c r="AX8" s="18"/>
      <c r="AY8" s="18"/>
      <c r="AZ8" s="18"/>
      <c r="BA8" s="18"/>
      <c r="BB8" s="18"/>
      <c r="BC8" s="18"/>
      <c r="BD8" s="18"/>
      <c r="BE8" s="18"/>
      <c r="BF8" s="18"/>
      <c r="BG8" s="18"/>
      <c r="BH8" s="18"/>
      <c r="BI8" s="18"/>
      <c r="BJ8" s="18"/>
      <c r="BK8" s="18"/>
      <c r="BL8" s="18"/>
      <c r="BM8" s="18"/>
      <c r="BN8" s="18"/>
      <c r="BO8" s="18"/>
      <c r="BP8" s="18"/>
      <c r="BQ8" s="18"/>
      <c r="BR8" s="28"/>
      <c r="BS8" s="11" t="str">
        <f t="shared" si="21"/>
        <v/>
      </c>
      <c r="BT8" s="11" t="str">
        <f t="shared" si="22"/>
        <v/>
      </c>
      <c r="BU8" s="11" t="str">
        <f t="shared" si="23"/>
        <v/>
      </c>
      <c r="BV8" s="11" t="str">
        <f t="shared" si="24"/>
        <v/>
      </c>
      <c r="BW8" s="11" t="str">
        <f t="shared" si="25"/>
        <v/>
      </c>
      <c r="BX8" s="11" t="str">
        <f t="shared" si="26"/>
        <v/>
      </c>
      <c r="BY8" s="11" t="str">
        <f t="shared" si="27"/>
        <v/>
      </c>
      <c r="BZ8" s="11" t="str">
        <f t="shared" si="28"/>
        <v/>
      </c>
      <c r="CA8" s="19">
        <v>16.600000000000001</v>
      </c>
      <c r="CB8" s="19">
        <v>3.6</v>
      </c>
      <c r="CC8" s="19">
        <v>0.2</v>
      </c>
      <c r="CD8" s="19">
        <v>0</v>
      </c>
      <c r="CE8" s="19">
        <v>17</v>
      </c>
      <c r="CF8" s="19">
        <v>4.0999999999999996</v>
      </c>
      <c r="CG8" s="19">
        <v>0.2</v>
      </c>
      <c r="CH8" s="19">
        <v>0.3</v>
      </c>
      <c r="CI8" s="19">
        <v>16.440000000000001</v>
      </c>
      <c r="CJ8" s="19">
        <v>4.0999999999999996</v>
      </c>
      <c r="CK8" s="19">
        <v>0</v>
      </c>
      <c r="CL8" s="19">
        <v>0.3</v>
      </c>
      <c r="CM8" s="19">
        <v>17.5</v>
      </c>
      <c r="CN8" s="19">
        <v>4.0999999999999996</v>
      </c>
      <c r="CO8" s="19">
        <v>0</v>
      </c>
      <c r="CP8" s="19">
        <v>0.3</v>
      </c>
      <c r="CQ8" s="19">
        <v>17.2</v>
      </c>
      <c r="CR8" s="19">
        <v>3.9</v>
      </c>
      <c r="CS8" s="19">
        <v>0</v>
      </c>
      <c r="CT8" s="19">
        <v>0.3</v>
      </c>
      <c r="CU8" s="27"/>
      <c r="CV8" s="40">
        <f t="shared" si="29"/>
        <v>7.6999999999999993</v>
      </c>
      <c r="CW8" s="40">
        <f t="shared" si="30"/>
        <v>41.199999999999996</v>
      </c>
      <c r="CX8" s="40">
        <f t="shared" si="31"/>
        <v>20.84</v>
      </c>
      <c r="CY8" s="40">
        <f t="shared" si="32"/>
        <v>11.799999999999999</v>
      </c>
      <c r="CZ8" s="40">
        <f t="shared" si="33"/>
        <v>62.039999999999992</v>
      </c>
      <c r="DA8" s="40">
        <f t="shared" si="34"/>
        <v>8</v>
      </c>
      <c r="DB8" s="40">
        <f t="shared" si="35"/>
        <v>43.3</v>
      </c>
      <c r="DC8" s="40">
        <f t="shared" si="36"/>
        <v>84.5</v>
      </c>
      <c r="DD8" s="50" t="str">
        <f t="shared" si="37"/>
        <v/>
      </c>
      <c r="DE8" s="50" t="str">
        <f t="shared" si="38"/>
        <v/>
      </c>
      <c r="DF8" s="50" t="str">
        <f t="shared" si="39"/>
        <v/>
      </c>
      <c r="DG8" s="17"/>
      <c r="DH8" s="17"/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17"/>
      <c r="DW8" s="17"/>
      <c r="DX8" s="17"/>
      <c r="DY8" s="17"/>
      <c r="DZ8" s="17"/>
      <c r="EA8" s="40" t="str">
        <f t="shared" si="40"/>
        <v/>
      </c>
      <c r="EB8" s="40" t="str">
        <f t="shared" si="41"/>
        <v/>
      </c>
      <c r="EC8" s="40" t="str">
        <f t="shared" si="42"/>
        <v/>
      </c>
      <c r="ED8" s="40" t="str">
        <f t="shared" si="43"/>
        <v/>
      </c>
      <c r="EE8" s="40" t="str">
        <f t="shared" si="44"/>
        <v/>
      </c>
      <c r="EF8" s="40" t="str">
        <f t="shared" si="45"/>
        <v/>
      </c>
      <c r="EG8" s="40" t="str">
        <f t="shared" si="46"/>
        <v/>
      </c>
      <c r="EH8" s="40" t="str">
        <f t="shared" si="47"/>
        <v/>
      </c>
      <c r="EI8" s="18"/>
      <c r="EJ8" s="18"/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8"/>
      <c r="FA8" s="18"/>
      <c r="FB8" s="18"/>
      <c r="FC8" s="11" t="str">
        <f t="shared" si="48"/>
        <v/>
      </c>
      <c r="FD8" s="11" t="str">
        <f t="shared" si="49"/>
        <v/>
      </c>
      <c r="FE8" s="11" t="str">
        <f t="shared" si="50"/>
        <v/>
      </c>
      <c r="FF8" s="11" t="str">
        <f t="shared" si="51"/>
        <v/>
      </c>
      <c r="FG8" s="11" t="str">
        <f t="shared" si="52"/>
        <v/>
      </c>
      <c r="FH8" s="11" t="str">
        <f t="shared" si="53"/>
        <v/>
      </c>
      <c r="FI8" s="11" t="str">
        <f t="shared" si="54"/>
        <v/>
      </c>
      <c r="FJ8" s="11" t="str">
        <f t="shared" si="55"/>
        <v/>
      </c>
      <c r="FK8" s="17"/>
      <c r="FL8" s="17"/>
      <c r="FM8" s="17"/>
      <c r="FN8" s="17"/>
      <c r="FO8" s="17"/>
      <c r="FP8" s="17"/>
      <c r="FQ8" s="17"/>
      <c r="FR8" s="17"/>
      <c r="FS8" s="17"/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40" t="str">
        <f t="shared" si="56"/>
        <v/>
      </c>
      <c r="GF8" s="40" t="str">
        <f t="shared" si="57"/>
        <v/>
      </c>
      <c r="GG8" s="40" t="str">
        <f t="shared" si="58"/>
        <v/>
      </c>
      <c r="GH8" s="40" t="str">
        <f t="shared" si="59"/>
        <v/>
      </c>
      <c r="GI8" s="40" t="str">
        <f t="shared" si="60"/>
        <v/>
      </c>
      <c r="GJ8" s="40" t="str">
        <f t="shared" si="61"/>
        <v/>
      </c>
      <c r="GK8" s="40" t="str">
        <f t="shared" si="62"/>
        <v/>
      </c>
      <c r="GL8" s="40" t="str">
        <f t="shared" si="63"/>
        <v/>
      </c>
      <c r="GM8" s="18"/>
      <c r="GN8" s="18"/>
      <c r="GO8" s="18"/>
      <c r="GP8" s="18"/>
      <c r="GQ8" s="18"/>
      <c r="GR8" s="18"/>
      <c r="GS8" s="18"/>
      <c r="GT8" s="18"/>
      <c r="GU8" s="18"/>
      <c r="GV8" s="18"/>
      <c r="GW8" s="18"/>
      <c r="GX8" s="18"/>
      <c r="GY8" s="18"/>
      <c r="GZ8" s="18"/>
      <c r="HA8" s="18"/>
      <c r="HB8" s="18"/>
      <c r="HC8" s="18"/>
      <c r="HD8" s="18"/>
      <c r="HE8" s="18"/>
      <c r="HF8" s="18"/>
      <c r="HG8" s="11" t="str">
        <f t="shared" si="64"/>
        <v/>
      </c>
      <c r="HH8" s="11" t="str">
        <f t="shared" si="65"/>
        <v/>
      </c>
      <c r="HI8" s="11" t="str">
        <f t="shared" si="66"/>
        <v/>
      </c>
      <c r="HJ8" s="11" t="str">
        <f t="shared" si="67"/>
        <v/>
      </c>
      <c r="HK8" s="11" t="str">
        <f t="shared" si="68"/>
        <v/>
      </c>
      <c r="HL8" s="11" t="str">
        <f t="shared" si="69"/>
        <v/>
      </c>
      <c r="HM8" s="11" t="str">
        <f t="shared" si="70"/>
        <v/>
      </c>
      <c r="HN8" s="11" t="str">
        <f t="shared" si="71"/>
        <v/>
      </c>
      <c r="HO8" s="17"/>
      <c r="HP8" s="17"/>
      <c r="HQ8" s="17"/>
      <c r="HR8" s="17"/>
      <c r="HS8" s="17"/>
      <c r="HT8" s="17"/>
      <c r="HU8" s="17"/>
      <c r="HV8" s="17"/>
      <c r="HW8" s="17"/>
      <c r="HX8" s="17"/>
      <c r="HY8" s="17"/>
      <c r="HZ8" s="17"/>
      <c r="IA8" s="17"/>
      <c r="IB8" s="17"/>
      <c r="IC8" s="17"/>
      <c r="ID8" s="17"/>
      <c r="IE8" s="17"/>
      <c r="IF8" s="17"/>
      <c r="IG8" s="17"/>
      <c r="IH8" s="17"/>
      <c r="II8" s="40" t="str">
        <f t="shared" si="72"/>
        <v/>
      </c>
      <c r="IJ8" s="40" t="str">
        <f t="shared" si="73"/>
        <v/>
      </c>
      <c r="IK8" s="40" t="str">
        <f t="shared" si="74"/>
        <v/>
      </c>
      <c r="IL8" s="40" t="str">
        <f t="shared" si="75"/>
        <v/>
      </c>
      <c r="IM8" s="40" t="str">
        <f t="shared" si="76"/>
        <v/>
      </c>
      <c r="IN8" s="40" t="str">
        <f t="shared" si="77"/>
        <v/>
      </c>
      <c r="IO8" s="40" t="str">
        <f t="shared" si="78"/>
        <v/>
      </c>
      <c r="IP8" s="40" t="str">
        <f t="shared" si="79"/>
        <v/>
      </c>
      <c r="IQ8" s="18"/>
      <c r="IR8" s="18"/>
      <c r="IS8" s="18"/>
      <c r="IT8" s="18"/>
      <c r="IU8" s="18"/>
      <c r="IV8" s="18"/>
      <c r="IW8" s="18"/>
      <c r="IX8" s="18"/>
      <c r="IY8" s="18"/>
      <c r="IZ8" s="18"/>
      <c r="JA8" s="18"/>
      <c r="JB8" s="18"/>
      <c r="JC8" s="18"/>
      <c r="JD8" s="18"/>
      <c r="JE8" s="18"/>
      <c r="JF8" s="18"/>
      <c r="JG8" s="18"/>
      <c r="JH8" s="18"/>
      <c r="JI8" s="18"/>
      <c r="JJ8" s="18"/>
      <c r="JK8" s="11" t="str">
        <f t="shared" si="80"/>
        <v/>
      </c>
      <c r="JL8" s="11" t="str">
        <f t="shared" si="81"/>
        <v/>
      </c>
      <c r="JM8" s="11" t="str">
        <f t="shared" si="82"/>
        <v/>
      </c>
      <c r="JN8" s="11" t="str">
        <f t="shared" si="83"/>
        <v/>
      </c>
      <c r="JO8" s="11" t="str">
        <f t="shared" si="84"/>
        <v/>
      </c>
      <c r="JP8" s="11" t="str">
        <f t="shared" si="85"/>
        <v/>
      </c>
      <c r="JQ8" s="11" t="str">
        <f t="shared" si="86"/>
        <v/>
      </c>
      <c r="JR8" s="11" t="str">
        <f t="shared" si="87"/>
        <v/>
      </c>
      <c r="JS8" s="17"/>
      <c r="JT8" s="17"/>
      <c r="JU8" s="17"/>
      <c r="JV8" s="17"/>
      <c r="JW8" s="17"/>
      <c r="JX8" s="17"/>
      <c r="JY8" s="17"/>
      <c r="JZ8" s="17"/>
      <c r="KA8" s="17"/>
      <c r="KB8" s="17"/>
      <c r="KC8" s="17"/>
      <c r="KD8" s="17"/>
      <c r="KE8" s="17"/>
      <c r="KF8" s="17"/>
      <c r="KG8" s="17"/>
      <c r="KH8" s="17"/>
      <c r="KI8" s="17"/>
      <c r="KJ8" s="17"/>
      <c r="KK8" s="17"/>
      <c r="KL8" s="17"/>
      <c r="KM8" s="40" t="str">
        <f t="shared" si="88"/>
        <v/>
      </c>
      <c r="KN8" s="40" t="str">
        <f t="shared" si="89"/>
        <v/>
      </c>
      <c r="KO8" s="40" t="str">
        <f t="shared" si="90"/>
        <v/>
      </c>
      <c r="KP8" s="40" t="str">
        <f t="shared" si="91"/>
        <v/>
      </c>
      <c r="KQ8" s="40" t="str">
        <f t="shared" si="92"/>
        <v/>
      </c>
      <c r="KR8" s="40" t="str">
        <f t="shared" si="93"/>
        <v/>
      </c>
      <c r="KS8" s="40" t="str">
        <f t="shared" si="94"/>
        <v/>
      </c>
      <c r="KT8" s="40" t="str">
        <f t="shared" si="95"/>
        <v/>
      </c>
      <c r="KU8" s="18"/>
      <c r="KV8" s="18"/>
      <c r="KW8" s="18"/>
      <c r="KX8" s="18"/>
      <c r="KY8" s="18"/>
      <c r="KZ8" s="18"/>
      <c r="LA8" s="18"/>
      <c r="LB8" s="18"/>
      <c r="LC8" s="18"/>
      <c r="LD8" s="18"/>
      <c r="LE8" s="18"/>
      <c r="LF8" s="18"/>
      <c r="LG8" s="18"/>
      <c r="LH8" s="18"/>
      <c r="LI8" s="18"/>
      <c r="LJ8" s="18"/>
      <c r="LK8" s="18"/>
      <c r="LL8" s="18"/>
      <c r="LM8" s="18"/>
      <c r="LN8" s="18"/>
      <c r="LO8" s="11" t="str">
        <f t="shared" si="96"/>
        <v/>
      </c>
      <c r="LP8" s="11" t="str">
        <f t="shared" si="97"/>
        <v/>
      </c>
      <c r="LQ8" s="11" t="str">
        <f t="shared" si="98"/>
        <v/>
      </c>
      <c r="LR8" s="11" t="str">
        <f t="shared" si="99"/>
        <v/>
      </c>
      <c r="LS8" s="11" t="str">
        <f t="shared" si="100"/>
        <v/>
      </c>
      <c r="LT8" s="11" t="str">
        <f t="shared" si="101"/>
        <v/>
      </c>
      <c r="LU8" s="11" t="str">
        <f t="shared" si="102"/>
        <v/>
      </c>
      <c r="LV8" s="11" t="str">
        <f t="shared" si="103"/>
        <v/>
      </c>
      <c r="LW8" s="17"/>
      <c r="LX8" s="17"/>
      <c r="LY8" s="17"/>
      <c r="LZ8" s="17"/>
      <c r="MA8" s="17"/>
      <c r="MB8" s="17"/>
      <c r="MC8" s="17"/>
      <c r="MD8" s="17"/>
      <c r="ME8" s="17"/>
      <c r="MF8" s="17"/>
      <c r="MG8" s="17"/>
      <c r="MH8" s="17"/>
      <c r="MI8" s="17"/>
      <c r="MJ8" s="17"/>
      <c r="MK8" s="17"/>
      <c r="ML8" s="17"/>
      <c r="MM8" s="17"/>
      <c r="MN8" s="17"/>
      <c r="MO8" s="17"/>
      <c r="MP8" s="17"/>
      <c r="MQ8" s="40" t="str">
        <f t="shared" si="104"/>
        <v/>
      </c>
      <c r="MR8" s="40" t="str">
        <f t="shared" si="105"/>
        <v/>
      </c>
      <c r="MS8" s="40" t="str">
        <f t="shared" si="106"/>
        <v/>
      </c>
      <c r="MT8" s="40" t="str">
        <f t="shared" si="107"/>
        <v/>
      </c>
      <c r="MU8" s="40" t="str">
        <f t="shared" si="108"/>
        <v/>
      </c>
      <c r="MV8" s="40" t="str">
        <f t="shared" si="109"/>
        <v/>
      </c>
      <c r="MW8" s="40" t="str">
        <f t="shared" si="110"/>
        <v/>
      </c>
      <c r="MX8" s="40" t="str">
        <f t="shared" si="111"/>
        <v/>
      </c>
      <c r="MY8" s="18"/>
      <c r="MZ8" s="18"/>
      <c r="NA8" s="18"/>
      <c r="NB8" s="18"/>
      <c r="NC8" s="18"/>
      <c r="ND8" s="18"/>
      <c r="NE8" s="18"/>
      <c r="NF8" s="18"/>
      <c r="NG8" s="18"/>
      <c r="NH8" s="18"/>
      <c r="NI8" s="18"/>
      <c r="NJ8" s="18"/>
      <c r="NK8" s="18"/>
      <c r="NL8" s="18"/>
      <c r="NM8" s="18"/>
      <c r="NN8" s="18"/>
      <c r="NO8" s="18"/>
      <c r="NP8" s="18"/>
      <c r="NQ8" s="18"/>
      <c r="NR8" s="18"/>
      <c r="NS8" s="11" t="str">
        <f t="shared" si="112"/>
        <v/>
      </c>
      <c r="NT8" s="11" t="str">
        <f t="shared" si="113"/>
        <v/>
      </c>
      <c r="NU8" s="11" t="str">
        <f t="shared" si="114"/>
        <v/>
      </c>
      <c r="NV8" s="11" t="str">
        <f t="shared" si="115"/>
        <v/>
      </c>
      <c r="NW8" s="11" t="str">
        <f t="shared" si="116"/>
        <v/>
      </c>
      <c r="NX8" s="11" t="str">
        <f t="shared" si="117"/>
        <v/>
      </c>
      <c r="NY8" s="11" t="str">
        <f t="shared" si="118"/>
        <v/>
      </c>
      <c r="NZ8" s="11" t="str">
        <f t="shared" si="119"/>
        <v/>
      </c>
      <c r="OA8" s="17"/>
      <c r="OB8" s="17"/>
      <c r="OC8" s="17"/>
      <c r="OD8" s="17"/>
      <c r="OE8" s="17"/>
      <c r="OF8" s="17"/>
      <c r="OG8" s="17"/>
      <c r="OH8" s="17"/>
      <c r="OI8" s="17"/>
      <c r="OJ8" s="17"/>
      <c r="OK8" s="17"/>
      <c r="OL8" s="17"/>
      <c r="OM8" s="17"/>
      <c r="ON8" s="17"/>
      <c r="OO8" s="17"/>
      <c r="OP8" s="17"/>
      <c r="OQ8" s="17"/>
      <c r="OR8" s="17"/>
      <c r="OS8" s="17"/>
      <c r="OT8" s="17"/>
      <c r="OU8" s="40" t="str">
        <f t="shared" si="120"/>
        <v/>
      </c>
      <c r="OV8" s="40" t="str">
        <f t="shared" si="121"/>
        <v/>
      </c>
      <c r="OW8" s="40" t="str">
        <f t="shared" si="122"/>
        <v/>
      </c>
      <c r="OX8" s="40" t="str">
        <f t="shared" si="123"/>
        <v/>
      </c>
      <c r="OY8" s="40" t="str">
        <f t="shared" si="124"/>
        <v/>
      </c>
      <c r="OZ8" s="40" t="str">
        <f t="shared" si="125"/>
        <v/>
      </c>
      <c r="PA8" s="40" t="str">
        <f t="shared" si="126"/>
        <v/>
      </c>
      <c r="PB8" s="40" t="str">
        <f t="shared" si="127"/>
        <v/>
      </c>
      <c r="PC8" s="18"/>
      <c r="PD8" s="18"/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8"/>
      <c r="PS8" s="18"/>
      <c r="PT8" s="18"/>
      <c r="PU8" s="18"/>
      <c r="PV8" s="18"/>
      <c r="PW8" s="11" t="str">
        <f t="shared" si="128"/>
        <v/>
      </c>
      <c r="PX8" s="11" t="str">
        <f t="shared" si="129"/>
        <v/>
      </c>
      <c r="PY8" s="11" t="str">
        <f t="shared" si="130"/>
        <v/>
      </c>
      <c r="PZ8" s="11" t="str">
        <f t="shared" si="131"/>
        <v/>
      </c>
      <c r="QA8" s="11" t="str">
        <f t="shared" si="132"/>
        <v/>
      </c>
      <c r="QB8" s="11" t="str">
        <f t="shared" si="133"/>
        <v/>
      </c>
      <c r="QC8" s="11" t="str">
        <f t="shared" si="134"/>
        <v/>
      </c>
      <c r="QD8" s="11" t="str">
        <f t="shared" si="135"/>
        <v/>
      </c>
      <c r="QE8" s="22">
        <f t="shared" si="136"/>
        <v>8.3000000000000007</v>
      </c>
      <c r="QF8" s="22">
        <f t="shared" si="137"/>
        <v>1.8</v>
      </c>
      <c r="QG8" s="22">
        <f t="shared" si="138"/>
        <v>0.1</v>
      </c>
      <c r="QH8" s="22">
        <f t="shared" si="139"/>
        <v>0</v>
      </c>
      <c r="QI8" s="22">
        <f t="shared" si="140"/>
        <v>8.5</v>
      </c>
      <c r="QJ8" s="22">
        <f t="shared" si="141"/>
        <v>2.0499999999999998</v>
      </c>
      <c r="QK8" s="22">
        <f t="shared" si="142"/>
        <v>0.1</v>
      </c>
      <c r="QL8" s="22">
        <f t="shared" si="143"/>
        <v>0.15</v>
      </c>
      <c r="QM8" s="22">
        <f t="shared" si="144"/>
        <v>8.2200000000000006</v>
      </c>
      <c r="QN8" s="22">
        <f t="shared" si="145"/>
        <v>2.0499999999999998</v>
      </c>
      <c r="QO8" s="22">
        <f t="shared" si="146"/>
        <v>0</v>
      </c>
      <c r="QP8" s="22">
        <f t="shared" si="147"/>
        <v>0.15</v>
      </c>
      <c r="QQ8" s="22">
        <f t="shared" si="148"/>
        <v>8.75</v>
      </c>
      <c r="QR8" s="22">
        <f t="shared" si="149"/>
        <v>2.0499999999999998</v>
      </c>
      <c r="QS8" s="22">
        <f t="shared" si="150"/>
        <v>0</v>
      </c>
      <c r="QT8" s="22">
        <f t="shared" si="151"/>
        <v>0.15</v>
      </c>
      <c r="QU8" s="22">
        <f t="shared" si="152"/>
        <v>8.6</v>
      </c>
      <c r="QV8" s="22">
        <f t="shared" si="153"/>
        <v>1.95</v>
      </c>
      <c r="QW8" s="22">
        <f t="shared" si="154"/>
        <v>0</v>
      </c>
      <c r="QX8" s="22">
        <f t="shared" si="155"/>
        <v>0.15</v>
      </c>
      <c r="QY8" s="27" t="s">
        <v>46</v>
      </c>
      <c r="QZ8" s="40">
        <f t="shared" si="156"/>
        <v>3.8499999999999996</v>
      </c>
      <c r="RA8" s="40">
        <f t="shared" si="157"/>
        <v>20.599999999999998</v>
      </c>
      <c r="RB8" s="40">
        <f t="shared" si="158"/>
        <v>10.42</v>
      </c>
      <c r="RC8" s="40">
        <f t="shared" si="159"/>
        <v>5.8999999999999995</v>
      </c>
      <c r="RD8" s="40">
        <f t="shared" si="160"/>
        <v>31.019999999999996</v>
      </c>
      <c r="RE8" s="40">
        <f t="shared" si="161"/>
        <v>4</v>
      </c>
      <c r="RF8" s="40">
        <f t="shared" si="162"/>
        <v>21.65</v>
      </c>
      <c r="RG8" s="40">
        <f t="shared" si="163"/>
        <v>42.25</v>
      </c>
    </row>
    <row r="9" spans="1:475" x14ac:dyDescent="0.2">
      <c r="A9" s="4">
        <f t="shared" ref="A9:A23" si="164">IF(AND(F9="P",G9="P"),SUMPRODUCT((F$4:F$24="P")*(G$4:G$24="P")*(E$4:E$24&gt;E9))+1,IF(G9="P",SUMPRODUCT((F$4:F$24="")*(G$4:G$24="P")*(E$4:E$24&gt;E9))+1+SUMPRODUCT((F$4:F$24="P")*(G$4:G$24="P")),""))</f>
        <v>6</v>
      </c>
      <c r="B9" s="5" t="s">
        <v>77</v>
      </c>
      <c r="C9" s="4" t="s">
        <v>5</v>
      </c>
      <c r="D9" s="4">
        <v>2004</v>
      </c>
      <c r="E9" s="9">
        <f t="shared" si="0"/>
        <v>138.40000951000394</v>
      </c>
      <c r="F9" s="3" t="str">
        <f t="shared" si="1"/>
        <v>P</v>
      </c>
      <c r="G9" s="3" t="str">
        <f t="shared" si="2"/>
        <v>P</v>
      </c>
      <c r="H9" s="36" t="str">
        <f t="shared" si="3"/>
        <v>National Team</v>
      </c>
      <c r="I9" s="3" t="str">
        <f t="shared" si="4"/>
        <v/>
      </c>
      <c r="J9" s="8">
        <f>IF(COUNT(AQ9,BT9,CW9)&gt;0,LARGE((AQ9,BT9,CW9),1),0)</f>
        <v>39.1</v>
      </c>
      <c r="K9" s="8" t="str">
        <f t="shared" si="5"/>
        <v>2022 3rd Domestic Trial</v>
      </c>
      <c r="L9" s="8">
        <f>IF(COUNT(AQ9,BT9,CW9)&gt;1,LARGE((AQ9,BT9,CW9),2),0)</f>
        <v>37.500000000000007</v>
      </c>
      <c r="M9" s="8" t="str">
        <f t="shared" si="6"/>
        <v>2023 Elite Canada</v>
      </c>
      <c r="N9" s="8">
        <f>IF(COUNT(AR9,BU9,CX9)&gt;0,LARGE((AR9,BU9,CX9),1),0)</f>
        <v>18.500000000000004</v>
      </c>
      <c r="O9" s="8" t="str">
        <f t="shared" si="7"/>
        <v>2023 Elite Canada</v>
      </c>
      <c r="P9" s="8">
        <f t="shared" si="8"/>
        <v>42.2</v>
      </c>
      <c r="Q9" s="8" t="str">
        <f t="shared" si="9"/>
        <v>2023 Elite Canada</v>
      </c>
      <c r="R9" s="8">
        <f t="shared" si="10"/>
        <v>1.1000000000000014</v>
      </c>
      <c r="S9" s="11" t="str">
        <f t="shared" si="11"/>
        <v>(Q1)</v>
      </c>
      <c r="T9" s="8" t="str">
        <f t="shared" si="12"/>
        <v>2022 Coimbra Gym Fest (June 26)</v>
      </c>
      <c r="U9" s="19">
        <v>14.9</v>
      </c>
      <c r="V9" s="19">
        <v>3.2</v>
      </c>
      <c r="W9" s="19">
        <v>0.2</v>
      </c>
      <c r="X9" s="19">
        <v>0.3</v>
      </c>
      <c r="Y9" s="19">
        <v>15.6</v>
      </c>
      <c r="Z9" s="19">
        <v>3.5</v>
      </c>
      <c r="AA9" s="19">
        <v>2.4</v>
      </c>
      <c r="AB9" s="19">
        <v>0.6</v>
      </c>
      <c r="AC9" s="19"/>
      <c r="AD9" s="19"/>
      <c r="AE9" s="19"/>
      <c r="AF9" s="19"/>
      <c r="AG9" s="19"/>
      <c r="AH9" s="19"/>
      <c r="AI9" s="19"/>
      <c r="AJ9" s="19"/>
      <c r="AK9" s="19"/>
      <c r="AL9" s="19"/>
      <c r="AM9" s="19"/>
      <c r="AN9" s="19"/>
      <c r="AO9" s="27"/>
      <c r="AP9" s="40">
        <f t="shared" si="13"/>
        <v>6.7</v>
      </c>
      <c r="AQ9" s="40">
        <f t="shared" si="14"/>
        <v>35.5</v>
      </c>
      <c r="AR9" s="40" t="str">
        <f t="shared" si="15"/>
        <v/>
      </c>
      <c r="AS9" s="40">
        <f t="shared" si="16"/>
        <v>6.7</v>
      </c>
      <c r="AT9" s="40">
        <f t="shared" si="17"/>
        <v>35.5</v>
      </c>
      <c r="AU9" s="40" t="str">
        <f t="shared" si="18"/>
        <v/>
      </c>
      <c r="AV9" s="40" t="str">
        <f t="shared" si="19"/>
        <v/>
      </c>
      <c r="AW9" s="40">
        <f t="shared" si="20"/>
        <v>35.5</v>
      </c>
      <c r="AX9" s="18">
        <v>16.399999999999999</v>
      </c>
      <c r="AY9" s="18">
        <v>3.4</v>
      </c>
      <c r="AZ9" s="18">
        <v>0</v>
      </c>
      <c r="BA9" s="18">
        <v>0</v>
      </c>
      <c r="BB9" s="18">
        <v>15.6</v>
      </c>
      <c r="BC9" s="18">
        <v>3.5</v>
      </c>
      <c r="BD9" s="18">
        <v>0.4</v>
      </c>
      <c r="BE9" s="18">
        <v>0.6</v>
      </c>
      <c r="BF9" s="18"/>
      <c r="BG9" s="18"/>
      <c r="BH9" s="18"/>
      <c r="BI9" s="18"/>
      <c r="BJ9" s="18">
        <v>16.2</v>
      </c>
      <c r="BK9" s="18">
        <v>3.4</v>
      </c>
      <c r="BL9" s="18">
        <v>0</v>
      </c>
      <c r="BM9" s="18">
        <v>0</v>
      </c>
      <c r="BN9" s="18">
        <v>16.100000000000001</v>
      </c>
      <c r="BO9" s="18">
        <v>4.5999999999999996</v>
      </c>
      <c r="BP9" s="18">
        <v>0</v>
      </c>
      <c r="BQ9" s="18">
        <v>0.6</v>
      </c>
      <c r="BR9" s="28"/>
      <c r="BS9" s="11">
        <f t="shared" si="21"/>
        <v>6.9</v>
      </c>
      <c r="BT9" s="11">
        <f t="shared" si="22"/>
        <v>39.1</v>
      </c>
      <c r="BU9" s="11" t="str">
        <f t="shared" si="23"/>
        <v/>
      </c>
      <c r="BV9" s="11">
        <f t="shared" si="24"/>
        <v>6.9</v>
      </c>
      <c r="BW9" s="11">
        <f t="shared" si="25"/>
        <v>39.1</v>
      </c>
      <c r="BX9" s="11">
        <f t="shared" si="26"/>
        <v>8</v>
      </c>
      <c r="BY9" s="11">
        <f t="shared" si="27"/>
        <v>40.900000000000006</v>
      </c>
      <c r="BZ9" s="11">
        <f t="shared" si="28"/>
        <v>80</v>
      </c>
      <c r="CA9" s="19">
        <v>16.8</v>
      </c>
      <c r="CB9" s="19">
        <v>3.4</v>
      </c>
      <c r="CC9" s="19">
        <v>0.4</v>
      </c>
      <c r="CD9" s="19">
        <v>0</v>
      </c>
      <c r="CE9" s="19">
        <v>14.5</v>
      </c>
      <c r="CF9" s="19">
        <v>4.5999999999999996</v>
      </c>
      <c r="CG9" s="19">
        <v>2</v>
      </c>
      <c r="CH9" s="19">
        <v>0.6</v>
      </c>
      <c r="CI9" s="19">
        <v>15.3</v>
      </c>
      <c r="CJ9" s="19">
        <v>2.6</v>
      </c>
      <c r="CK9" s="19">
        <v>0</v>
      </c>
      <c r="CL9" s="19">
        <v>0.6</v>
      </c>
      <c r="CM9" s="19">
        <v>16.600000000000001</v>
      </c>
      <c r="CN9" s="19">
        <v>3.8</v>
      </c>
      <c r="CO9" s="19">
        <v>0</v>
      </c>
      <c r="CP9" s="19">
        <v>0</v>
      </c>
      <c r="CQ9" s="19">
        <v>16.600000000000001</v>
      </c>
      <c r="CR9" s="19">
        <v>4.5999999999999996</v>
      </c>
      <c r="CS9" s="19">
        <v>0</v>
      </c>
      <c r="CT9" s="19">
        <v>0.6</v>
      </c>
      <c r="CU9" s="27"/>
      <c r="CV9" s="40">
        <f t="shared" si="29"/>
        <v>8</v>
      </c>
      <c r="CW9" s="40">
        <f t="shared" si="30"/>
        <v>37.500000000000007</v>
      </c>
      <c r="CX9" s="40">
        <f t="shared" si="31"/>
        <v>18.500000000000004</v>
      </c>
      <c r="CY9" s="40">
        <f t="shared" si="32"/>
        <v>10.6</v>
      </c>
      <c r="CZ9" s="40">
        <f t="shared" si="33"/>
        <v>56.000000000000014</v>
      </c>
      <c r="DA9" s="40">
        <f t="shared" si="34"/>
        <v>8.3999999999999986</v>
      </c>
      <c r="DB9" s="40">
        <f t="shared" si="35"/>
        <v>42.2</v>
      </c>
      <c r="DC9" s="40">
        <f t="shared" si="36"/>
        <v>79.700000000000017</v>
      </c>
      <c r="DD9" s="50">
        <f t="shared" si="37"/>
        <v>1.1000000000000014</v>
      </c>
      <c r="DE9" s="50" t="str">
        <f t="shared" si="38"/>
        <v/>
      </c>
      <c r="DF9" s="50" t="str">
        <f t="shared" si="39"/>
        <v/>
      </c>
      <c r="DG9" s="17"/>
      <c r="DH9" s="17"/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17"/>
      <c r="DY9" s="17"/>
      <c r="DZ9" s="17"/>
      <c r="EA9" s="40" t="str">
        <f t="shared" si="40"/>
        <v/>
      </c>
      <c r="EB9" s="40" t="str">
        <f t="shared" si="41"/>
        <v/>
      </c>
      <c r="EC9" s="40" t="str">
        <f t="shared" si="42"/>
        <v/>
      </c>
      <c r="ED9" s="40" t="str">
        <f t="shared" si="43"/>
        <v/>
      </c>
      <c r="EE9" s="40" t="str">
        <f t="shared" si="44"/>
        <v/>
      </c>
      <c r="EF9" s="40" t="str">
        <f t="shared" si="45"/>
        <v/>
      </c>
      <c r="EG9" s="40" t="str">
        <f t="shared" si="46"/>
        <v/>
      </c>
      <c r="EH9" s="40" t="str">
        <f t="shared" si="47"/>
        <v/>
      </c>
      <c r="EI9" s="18">
        <v>16.600000000000001</v>
      </c>
      <c r="EJ9" s="18">
        <v>2.1</v>
      </c>
      <c r="EK9" s="18">
        <v>0</v>
      </c>
      <c r="EL9" s="18">
        <v>0</v>
      </c>
      <c r="EM9" s="18">
        <v>15.7</v>
      </c>
      <c r="EN9" s="18">
        <v>4.5999999999999996</v>
      </c>
      <c r="EO9" s="18">
        <v>0.4</v>
      </c>
      <c r="EP9" s="18">
        <v>0</v>
      </c>
      <c r="EQ9" s="18"/>
      <c r="ER9" s="18"/>
      <c r="ES9" s="18"/>
      <c r="ET9" s="18"/>
      <c r="EU9" s="18">
        <v>17.7</v>
      </c>
      <c r="EV9" s="18">
        <v>4.0999999999999996</v>
      </c>
      <c r="EW9" s="18">
        <v>0</v>
      </c>
      <c r="EX9" s="18">
        <v>0</v>
      </c>
      <c r="EY9" s="18"/>
      <c r="EZ9" s="18"/>
      <c r="FA9" s="18"/>
      <c r="FB9" s="18"/>
      <c r="FC9" s="11">
        <f t="shared" si="48"/>
        <v>6.6999999999999993</v>
      </c>
      <c r="FD9" s="11">
        <f t="shared" si="49"/>
        <v>38.600000000000009</v>
      </c>
      <c r="FE9" s="11" t="str">
        <f t="shared" si="50"/>
        <v/>
      </c>
      <c r="FF9" s="11">
        <f t="shared" si="51"/>
        <v>6.6999999999999993</v>
      </c>
      <c r="FG9" s="11">
        <f t="shared" si="52"/>
        <v>38.600000000000009</v>
      </c>
      <c r="FH9" s="11">
        <f t="shared" si="53"/>
        <v>4.0999999999999996</v>
      </c>
      <c r="FI9" s="11">
        <f t="shared" si="54"/>
        <v>21.799999999999997</v>
      </c>
      <c r="FJ9" s="11">
        <f t="shared" si="55"/>
        <v>60.400000000000006</v>
      </c>
      <c r="FK9" s="17"/>
      <c r="FL9" s="17"/>
      <c r="FM9" s="17"/>
      <c r="FN9" s="17"/>
      <c r="FO9" s="17"/>
      <c r="FP9" s="17"/>
      <c r="FQ9" s="17"/>
      <c r="FR9" s="17"/>
      <c r="FS9" s="17"/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40" t="str">
        <f t="shared" si="56"/>
        <v/>
      </c>
      <c r="GF9" s="40" t="str">
        <f t="shared" si="57"/>
        <v/>
      </c>
      <c r="GG9" s="40" t="str">
        <f t="shared" si="58"/>
        <v/>
      </c>
      <c r="GH9" s="40" t="str">
        <f t="shared" si="59"/>
        <v/>
      </c>
      <c r="GI9" s="40" t="str">
        <f t="shared" si="60"/>
        <v/>
      </c>
      <c r="GJ9" s="40" t="str">
        <f t="shared" si="61"/>
        <v/>
      </c>
      <c r="GK9" s="40" t="str">
        <f t="shared" si="62"/>
        <v/>
      </c>
      <c r="GL9" s="40" t="str">
        <f t="shared" si="63"/>
        <v/>
      </c>
      <c r="GM9" s="18"/>
      <c r="GN9" s="18"/>
      <c r="GO9" s="18"/>
      <c r="GP9" s="18"/>
      <c r="GQ9" s="18"/>
      <c r="GR9" s="18"/>
      <c r="GS9" s="18"/>
      <c r="GT9" s="18"/>
      <c r="GU9" s="18"/>
      <c r="GV9" s="18"/>
      <c r="GW9" s="18"/>
      <c r="GX9" s="18"/>
      <c r="GY9" s="18"/>
      <c r="GZ9" s="18"/>
      <c r="HA9" s="18"/>
      <c r="HB9" s="18"/>
      <c r="HC9" s="18"/>
      <c r="HD9" s="18"/>
      <c r="HE9" s="18"/>
      <c r="HF9" s="18"/>
      <c r="HG9" s="11" t="str">
        <f t="shared" si="64"/>
        <v/>
      </c>
      <c r="HH9" s="11" t="str">
        <f t="shared" si="65"/>
        <v/>
      </c>
      <c r="HI9" s="11" t="str">
        <f t="shared" si="66"/>
        <v/>
      </c>
      <c r="HJ9" s="11" t="str">
        <f t="shared" si="67"/>
        <v/>
      </c>
      <c r="HK9" s="11" t="str">
        <f t="shared" si="68"/>
        <v/>
      </c>
      <c r="HL9" s="11" t="str">
        <f t="shared" si="69"/>
        <v/>
      </c>
      <c r="HM9" s="11" t="str">
        <f t="shared" si="70"/>
        <v/>
      </c>
      <c r="HN9" s="11" t="str">
        <f t="shared" si="71"/>
        <v/>
      </c>
      <c r="HO9" s="17"/>
      <c r="HP9" s="17"/>
      <c r="HQ9" s="17"/>
      <c r="HR9" s="17"/>
      <c r="HS9" s="17"/>
      <c r="HT9" s="17"/>
      <c r="HU9" s="17"/>
      <c r="HV9" s="17"/>
      <c r="HW9" s="17"/>
      <c r="HX9" s="17"/>
      <c r="HY9" s="17"/>
      <c r="HZ9" s="17"/>
      <c r="IA9" s="17"/>
      <c r="IB9" s="17"/>
      <c r="IC9" s="17"/>
      <c r="ID9" s="17"/>
      <c r="IE9" s="17"/>
      <c r="IF9" s="17"/>
      <c r="IG9" s="17"/>
      <c r="IH9" s="17"/>
      <c r="II9" s="40" t="str">
        <f t="shared" si="72"/>
        <v/>
      </c>
      <c r="IJ9" s="40" t="str">
        <f t="shared" si="73"/>
        <v/>
      </c>
      <c r="IK9" s="40" t="str">
        <f t="shared" si="74"/>
        <v/>
      </c>
      <c r="IL9" s="40" t="str">
        <f t="shared" si="75"/>
        <v/>
      </c>
      <c r="IM9" s="40" t="str">
        <f t="shared" si="76"/>
        <v/>
      </c>
      <c r="IN9" s="40" t="str">
        <f t="shared" si="77"/>
        <v/>
      </c>
      <c r="IO9" s="40" t="str">
        <f t="shared" si="78"/>
        <v/>
      </c>
      <c r="IP9" s="40" t="str">
        <f t="shared" si="79"/>
        <v/>
      </c>
      <c r="IQ9" s="18"/>
      <c r="IR9" s="18"/>
      <c r="IS9" s="18"/>
      <c r="IT9" s="18"/>
      <c r="IU9" s="18"/>
      <c r="IV9" s="18"/>
      <c r="IW9" s="18"/>
      <c r="IX9" s="18"/>
      <c r="IY9" s="18"/>
      <c r="IZ9" s="18"/>
      <c r="JA9" s="18"/>
      <c r="JB9" s="18"/>
      <c r="JC9" s="18"/>
      <c r="JD9" s="18"/>
      <c r="JE9" s="18"/>
      <c r="JF9" s="18"/>
      <c r="JG9" s="18"/>
      <c r="JH9" s="18"/>
      <c r="JI9" s="18"/>
      <c r="JJ9" s="18"/>
      <c r="JK9" s="11" t="str">
        <f t="shared" si="80"/>
        <v/>
      </c>
      <c r="JL9" s="11" t="str">
        <f t="shared" si="81"/>
        <v/>
      </c>
      <c r="JM9" s="11" t="str">
        <f t="shared" si="82"/>
        <v/>
      </c>
      <c r="JN9" s="11" t="str">
        <f t="shared" si="83"/>
        <v/>
      </c>
      <c r="JO9" s="11" t="str">
        <f t="shared" si="84"/>
        <v/>
      </c>
      <c r="JP9" s="11" t="str">
        <f t="shared" si="85"/>
        <v/>
      </c>
      <c r="JQ9" s="11" t="str">
        <f t="shared" si="86"/>
        <v/>
      </c>
      <c r="JR9" s="11" t="str">
        <f t="shared" si="87"/>
        <v/>
      </c>
      <c r="JS9" s="17"/>
      <c r="JT9" s="17"/>
      <c r="JU9" s="17"/>
      <c r="JV9" s="17"/>
      <c r="JW9" s="17"/>
      <c r="JX9" s="17"/>
      <c r="JY9" s="17"/>
      <c r="JZ9" s="17"/>
      <c r="KA9" s="17"/>
      <c r="KB9" s="17"/>
      <c r="KC9" s="17"/>
      <c r="KD9" s="17"/>
      <c r="KE9" s="17"/>
      <c r="KF9" s="17"/>
      <c r="KG9" s="17"/>
      <c r="KH9" s="17"/>
      <c r="KI9" s="17"/>
      <c r="KJ9" s="17"/>
      <c r="KK9" s="17"/>
      <c r="KL9" s="17"/>
      <c r="KM9" s="40" t="str">
        <f t="shared" si="88"/>
        <v/>
      </c>
      <c r="KN9" s="40" t="str">
        <f t="shared" si="89"/>
        <v/>
      </c>
      <c r="KO9" s="40" t="str">
        <f t="shared" si="90"/>
        <v/>
      </c>
      <c r="KP9" s="40" t="str">
        <f t="shared" si="91"/>
        <v/>
      </c>
      <c r="KQ9" s="40" t="str">
        <f t="shared" si="92"/>
        <v/>
      </c>
      <c r="KR9" s="40" t="str">
        <f t="shared" si="93"/>
        <v/>
      </c>
      <c r="KS9" s="40" t="str">
        <f t="shared" si="94"/>
        <v/>
      </c>
      <c r="KT9" s="40" t="str">
        <f t="shared" si="95"/>
        <v/>
      </c>
      <c r="KU9" s="18"/>
      <c r="KV9" s="18"/>
      <c r="KW9" s="18"/>
      <c r="KX9" s="18"/>
      <c r="KY9" s="18"/>
      <c r="KZ9" s="18"/>
      <c r="LA9" s="18"/>
      <c r="LB9" s="18"/>
      <c r="LC9" s="18"/>
      <c r="LD9" s="18"/>
      <c r="LE9" s="18"/>
      <c r="LF9" s="18"/>
      <c r="LG9" s="18"/>
      <c r="LH9" s="18"/>
      <c r="LI9" s="18"/>
      <c r="LJ9" s="18"/>
      <c r="LK9" s="18"/>
      <c r="LL9" s="18"/>
      <c r="LM9" s="18"/>
      <c r="LN9" s="18"/>
      <c r="LO9" s="11" t="str">
        <f t="shared" si="96"/>
        <v/>
      </c>
      <c r="LP9" s="11" t="str">
        <f t="shared" si="97"/>
        <v/>
      </c>
      <c r="LQ9" s="11" t="str">
        <f t="shared" si="98"/>
        <v/>
      </c>
      <c r="LR9" s="11" t="str">
        <f t="shared" si="99"/>
        <v/>
      </c>
      <c r="LS9" s="11" t="str">
        <f t="shared" si="100"/>
        <v/>
      </c>
      <c r="LT9" s="11" t="str">
        <f t="shared" si="101"/>
        <v/>
      </c>
      <c r="LU9" s="11" t="str">
        <f t="shared" si="102"/>
        <v/>
      </c>
      <c r="LV9" s="11" t="str">
        <f t="shared" si="103"/>
        <v/>
      </c>
      <c r="LW9" s="17"/>
      <c r="LX9" s="17"/>
      <c r="LY9" s="17"/>
      <c r="LZ9" s="17"/>
      <c r="MA9" s="17"/>
      <c r="MB9" s="17"/>
      <c r="MC9" s="17"/>
      <c r="MD9" s="17"/>
      <c r="ME9" s="17"/>
      <c r="MF9" s="17"/>
      <c r="MG9" s="17"/>
      <c r="MH9" s="17"/>
      <c r="MI9" s="17"/>
      <c r="MJ9" s="17"/>
      <c r="MK9" s="17"/>
      <c r="ML9" s="17"/>
      <c r="MM9" s="17"/>
      <c r="MN9" s="17"/>
      <c r="MO9" s="17"/>
      <c r="MP9" s="17"/>
      <c r="MQ9" s="40" t="str">
        <f t="shared" si="104"/>
        <v/>
      </c>
      <c r="MR9" s="40" t="str">
        <f t="shared" si="105"/>
        <v/>
      </c>
      <c r="MS9" s="40" t="str">
        <f t="shared" si="106"/>
        <v/>
      </c>
      <c r="MT9" s="40" t="str">
        <f t="shared" si="107"/>
        <v/>
      </c>
      <c r="MU9" s="40" t="str">
        <f t="shared" si="108"/>
        <v/>
      </c>
      <c r="MV9" s="40" t="str">
        <f t="shared" si="109"/>
        <v/>
      </c>
      <c r="MW9" s="40" t="str">
        <f t="shared" si="110"/>
        <v/>
      </c>
      <c r="MX9" s="40" t="str">
        <f t="shared" si="111"/>
        <v/>
      </c>
      <c r="MY9" s="18"/>
      <c r="MZ9" s="18"/>
      <c r="NA9" s="18"/>
      <c r="NB9" s="18"/>
      <c r="NC9" s="18"/>
      <c r="ND9" s="18"/>
      <c r="NE9" s="18"/>
      <c r="NF9" s="18"/>
      <c r="NG9" s="18"/>
      <c r="NH9" s="18"/>
      <c r="NI9" s="18"/>
      <c r="NJ9" s="18"/>
      <c r="NK9" s="18"/>
      <c r="NL9" s="18"/>
      <c r="NM9" s="18"/>
      <c r="NN9" s="18"/>
      <c r="NO9" s="18"/>
      <c r="NP9" s="18"/>
      <c r="NQ9" s="18"/>
      <c r="NR9" s="18"/>
      <c r="NS9" s="11" t="str">
        <f t="shared" si="112"/>
        <v/>
      </c>
      <c r="NT9" s="11" t="str">
        <f t="shared" si="113"/>
        <v/>
      </c>
      <c r="NU9" s="11" t="str">
        <f t="shared" si="114"/>
        <v/>
      </c>
      <c r="NV9" s="11" t="str">
        <f t="shared" si="115"/>
        <v/>
      </c>
      <c r="NW9" s="11" t="str">
        <f t="shared" si="116"/>
        <v/>
      </c>
      <c r="NX9" s="11" t="str">
        <f t="shared" si="117"/>
        <v/>
      </c>
      <c r="NY9" s="11" t="str">
        <f t="shared" si="118"/>
        <v/>
      </c>
      <c r="NZ9" s="11" t="str">
        <f t="shared" si="119"/>
        <v/>
      </c>
      <c r="OA9" s="17"/>
      <c r="OB9" s="17"/>
      <c r="OC9" s="17"/>
      <c r="OD9" s="17"/>
      <c r="OE9" s="17"/>
      <c r="OF9" s="17"/>
      <c r="OG9" s="17"/>
      <c r="OH9" s="17"/>
      <c r="OI9" s="17"/>
      <c r="OJ9" s="17"/>
      <c r="OK9" s="17"/>
      <c r="OL9" s="17"/>
      <c r="OM9" s="17"/>
      <c r="ON9" s="17"/>
      <c r="OO9" s="17"/>
      <c r="OP9" s="17"/>
      <c r="OQ9" s="17"/>
      <c r="OR9" s="17"/>
      <c r="OS9" s="17"/>
      <c r="OT9" s="17"/>
      <c r="OU9" s="40" t="str">
        <f t="shared" si="120"/>
        <v/>
      </c>
      <c r="OV9" s="40" t="str">
        <f t="shared" si="121"/>
        <v/>
      </c>
      <c r="OW9" s="40" t="str">
        <f t="shared" si="122"/>
        <v/>
      </c>
      <c r="OX9" s="40" t="str">
        <f t="shared" si="123"/>
        <v/>
      </c>
      <c r="OY9" s="40" t="str">
        <f t="shared" si="124"/>
        <v/>
      </c>
      <c r="OZ9" s="40" t="str">
        <f t="shared" si="125"/>
        <v/>
      </c>
      <c r="PA9" s="40" t="str">
        <f t="shared" si="126"/>
        <v/>
      </c>
      <c r="PB9" s="40" t="str">
        <f t="shared" si="127"/>
        <v/>
      </c>
      <c r="PC9" s="18"/>
      <c r="PD9" s="18"/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8"/>
      <c r="PS9" s="18"/>
      <c r="PT9" s="18"/>
      <c r="PU9" s="18"/>
      <c r="PV9" s="18"/>
      <c r="PW9" s="11" t="str">
        <f t="shared" si="128"/>
        <v/>
      </c>
      <c r="PX9" s="11" t="str">
        <f t="shared" si="129"/>
        <v/>
      </c>
      <c r="PY9" s="11" t="str">
        <f t="shared" si="130"/>
        <v/>
      </c>
      <c r="PZ9" s="11" t="str">
        <f t="shared" si="131"/>
        <v/>
      </c>
      <c r="QA9" s="11" t="str">
        <f t="shared" si="132"/>
        <v/>
      </c>
      <c r="QB9" s="11" t="str">
        <f t="shared" si="133"/>
        <v/>
      </c>
      <c r="QC9" s="11" t="str">
        <f t="shared" si="134"/>
        <v/>
      </c>
      <c r="QD9" s="11" t="str">
        <f t="shared" si="135"/>
        <v/>
      </c>
      <c r="QE9" s="22">
        <f t="shared" si="136"/>
        <v>16.600000000000001</v>
      </c>
      <c r="QF9" s="22">
        <f t="shared" si="137"/>
        <v>3.4</v>
      </c>
      <c r="QG9" s="22">
        <f t="shared" si="138"/>
        <v>0.2</v>
      </c>
      <c r="QH9" s="22">
        <f t="shared" si="139"/>
        <v>0</v>
      </c>
      <c r="QI9" s="22">
        <f t="shared" si="140"/>
        <v>15.05</v>
      </c>
      <c r="QJ9" s="22">
        <f t="shared" si="141"/>
        <v>4.05</v>
      </c>
      <c r="QK9" s="22">
        <f t="shared" si="142"/>
        <v>1.2</v>
      </c>
      <c r="QL9" s="22">
        <f t="shared" si="143"/>
        <v>0.6</v>
      </c>
      <c r="QM9" s="22">
        <f t="shared" si="144"/>
        <v>7.65</v>
      </c>
      <c r="QN9" s="22">
        <f t="shared" si="145"/>
        <v>1.3</v>
      </c>
      <c r="QO9" s="22">
        <f t="shared" si="146"/>
        <v>0</v>
      </c>
      <c r="QP9" s="22">
        <f t="shared" si="147"/>
        <v>0.3</v>
      </c>
      <c r="QQ9" s="22">
        <f t="shared" si="148"/>
        <v>16.399999999999999</v>
      </c>
      <c r="QR9" s="22">
        <f t="shared" si="149"/>
        <v>3.5999999999999996</v>
      </c>
      <c r="QS9" s="22">
        <f t="shared" si="150"/>
        <v>0</v>
      </c>
      <c r="QT9" s="22">
        <f t="shared" si="151"/>
        <v>0</v>
      </c>
      <c r="QU9" s="22">
        <f t="shared" si="152"/>
        <v>16.350000000000001</v>
      </c>
      <c r="QV9" s="22">
        <f t="shared" si="153"/>
        <v>4.5999999999999996</v>
      </c>
      <c r="QW9" s="22">
        <f t="shared" si="154"/>
        <v>0</v>
      </c>
      <c r="QX9" s="22">
        <f t="shared" si="155"/>
        <v>0.6</v>
      </c>
      <c r="QY9" s="27" t="s">
        <v>46</v>
      </c>
      <c r="QZ9" s="40">
        <f t="shared" si="156"/>
        <v>7.4499999999999993</v>
      </c>
      <c r="RA9" s="40">
        <f t="shared" si="157"/>
        <v>38.29999999999999</v>
      </c>
      <c r="RB9" s="40">
        <f t="shared" si="158"/>
        <v>9.2500000000000018</v>
      </c>
      <c r="RC9" s="40">
        <f t="shared" si="159"/>
        <v>8.75</v>
      </c>
      <c r="RD9" s="40">
        <f t="shared" si="160"/>
        <v>47.54999999999999</v>
      </c>
      <c r="RE9" s="40">
        <f t="shared" si="161"/>
        <v>8.1999999999999993</v>
      </c>
      <c r="RF9" s="40">
        <f t="shared" si="162"/>
        <v>41.550000000000004</v>
      </c>
      <c r="RG9" s="40">
        <f t="shared" si="163"/>
        <v>79.849999999999994</v>
      </c>
    </row>
    <row r="10" spans="1:475" x14ac:dyDescent="0.2">
      <c r="A10" s="4">
        <f t="shared" si="164"/>
        <v>7</v>
      </c>
      <c r="B10" s="5" t="s">
        <v>126</v>
      </c>
      <c r="C10" s="4" t="s">
        <v>3</v>
      </c>
      <c r="D10" s="4">
        <v>2004</v>
      </c>
      <c r="E10" s="9">
        <f t="shared" si="0"/>
        <v>129.25000854500431</v>
      </c>
      <c r="F10" s="3" t="str">
        <f t="shared" si="1"/>
        <v>P</v>
      </c>
      <c r="G10" s="3" t="str">
        <f t="shared" si="2"/>
        <v>P</v>
      </c>
      <c r="H10" s="36" t="str">
        <f t="shared" si="3"/>
        <v>National Team</v>
      </c>
      <c r="I10" s="3" t="str">
        <f t="shared" si="4"/>
        <v/>
      </c>
      <c r="J10" s="8">
        <f>IF(COUNT(AQ10,BT10,CW10)&gt;0,LARGE((AQ10,BT10,CW10),1),0)</f>
        <v>43.1</v>
      </c>
      <c r="K10" s="8" t="str">
        <f t="shared" si="5"/>
        <v>2022 Nationals</v>
      </c>
      <c r="L10" s="8">
        <f>IF(COUNT(AQ10,BT10,CW10)&gt;1,LARGE((AQ10,BT10,CW10),2),0)</f>
        <v>42.349999999999994</v>
      </c>
      <c r="M10" s="8" t="str">
        <f t="shared" si="6"/>
        <v>2022 3rd Domestic Trial</v>
      </c>
      <c r="N10" s="8">
        <f>IF(COUNT(AR10,BU10,CX10)&gt;0,LARGE((AR10,BU10,CX10),1),0)</f>
        <v>0</v>
      </c>
      <c r="O10" s="8" t="str">
        <f t="shared" si="7"/>
        <v/>
      </c>
      <c r="P10" s="8">
        <f t="shared" si="8"/>
        <v>42.399999999999991</v>
      </c>
      <c r="Q10" s="8" t="str">
        <f t="shared" si="9"/>
        <v>2022 Nationals</v>
      </c>
      <c r="R10" s="8">
        <f t="shared" si="10"/>
        <v>1.4000000000000057</v>
      </c>
      <c r="S10" s="11" t="str">
        <f t="shared" si="11"/>
        <v>(Final)</v>
      </c>
      <c r="T10" s="8" t="str">
        <f t="shared" si="12"/>
        <v>2022 Coimbra Gym Fest (June 26)</v>
      </c>
      <c r="U10" s="19">
        <v>17.2</v>
      </c>
      <c r="V10" s="19">
        <v>4.3</v>
      </c>
      <c r="W10" s="19">
        <v>0</v>
      </c>
      <c r="X10" s="19">
        <v>0.3</v>
      </c>
      <c r="Y10" s="19">
        <v>16.899999999999999</v>
      </c>
      <c r="Z10" s="19">
        <v>4.0999999999999996</v>
      </c>
      <c r="AA10" s="19">
        <v>0</v>
      </c>
      <c r="AB10" s="19">
        <v>0.3</v>
      </c>
      <c r="AC10" s="19"/>
      <c r="AD10" s="19"/>
      <c r="AE10" s="19"/>
      <c r="AF10" s="19"/>
      <c r="AG10" s="19">
        <v>16.3</v>
      </c>
      <c r="AH10" s="19">
        <v>4.0999999999999996</v>
      </c>
      <c r="AI10" s="19">
        <v>0</v>
      </c>
      <c r="AJ10" s="19">
        <v>0.3</v>
      </c>
      <c r="AK10" s="19">
        <v>17.100000000000001</v>
      </c>
      <c r="AL10" s="19">
        <v>4.3</v>
      </c>
      <c r="AM10" s="19">
        <v>0</v>
      </c>
      <c r="AN10" s="19">
        <v>0.3</v>
      </c>
      <c r="AO10" s="27"/>
      <c r="AP10" s="40">
        <f t="shared" si="13"/>
        <v>8.3999999999999986</v>
      </c>
      <c r="AQ10" s="40">
        <f t="shared" si="14"/>
        <v>43.1</v>
      </c>
      <c r="AR10" s="40" t="str">
        <f t="shared" si="15"/>
        <v/>
      </c>
      <c r="AS10" s="40">
        <f t="shared" si="16"/>
        <v>8.3999999999999986</v>
      </c>
      <c r="AT10" s="40">
        <f t="shared" si="17"/>
        <v>43.1</v>
      </c>
      <c r="AU10" s="40">
        <f t="shared" si="18"/>
        <v>8.3999999999999986</v>
      </c>
      <c r="AV10" s="40">
        <f t="shared" si="19"/>
        <v>42.399999999999991</v>
      </c>
      <c r="AW10" s="40">
        <f t="shared" si="20"/>
        <v>85.5</v>
      </c>
      <c r="AX10" s="18">
        <v>16.850000000000001</v>
      </c>
      <c r="AY10" s="18">
        <v>4.1999999999999993</v>
      </c>
      <c r="AZ10" s="18">
        <v>0</v>
      </c>
      <c r="BA10" s="18">
        <v>0.3</v>
      </c>
      <c r="BB10" s="18">
        <v>16.7</v>
      </c>
      <c r="BC10" s="18">
        <v>4</v>
      </c>
      <c r="BD10" s="18">
        <v>0</v>
      </c>
      <c r="BE10" s="18">
        <v>0.3</v>
      </c>
      <c r="BF10" s="18">
        <v>0</v>
      </c>
      <c r="BG10" s="18">
        <v>0</v>
      </c>
      <c r="BH10" s="18">
        <v>0</v>
      </c>
      <c r="BI10" s="18">
        <v>0</v>
      </c>
      <c r="BJ10" s="18">
        <v>16.5</v>
      </c>
      <c r="BK10" s="18">
        <v>4.0999999999999996</v>
      </c>
      <c r="BL10" s="18">
        <v>0</v>
      </c>
      <c r="BM10" s="18">
        <v>0.3</v>
      </c>
      <c r="BN10" s="18">
        <v>16.98</v>
      </c>
      <c r="BO10" s="18">
        <v>4.0999999999999996</v>
      </c>
      <c r="BP10" s="18">
        <v>0</v>
      </c>
      <c r="BQ10" s="18">
        <v>0.3</v>
      </c>
      <c r="BR10" s="28" t="s">
        <v>46</v>
      </c>
      <c r="BS10" s="11">
        <f t="shared" si="21"/>
        <v>8.1999999999999993</v>
      </c>
      <c r="BT10" s="11">
        <f t="shared" si="22"/>
        <v>42.349999999999994</v>
      </c>
      <c r="BU10" s="11" t="str">
        <f t="shared" si="23"/>
        <v/>
      </c>
      <c r="BV10" s="11">
        <f t="shared" si="24"/>
        <v>8.1999999999999993</v>
      </c>
      <c r="BW10" s="11">
        <f t="shared" si="25"/>
        <v>42.349999999999994</v>
      </c>
      <c r="BX10" s="11">
        <f t="shared" si="26"/>
        <v>8.1999999999999993</v>
      </c>
      <c r="BY10" s="11">
        <f t="shared" si="27"/>
        <v>42.28</v>
      </c>
      <c r="BZ10" s="11">
        <f t="shared" si="28"/>
        <v>84.63</v>
      </c>
      <c r="CA10" s="19"/>
      <c r="CB10" s="19"/>
      <c r="CC10" s="19"/>
      <c r="CD10" s="19"/>
      <c r="CE10" s="19"/>
      <c r="CF10" s="19"/>
      <c r="CG10" s="19"/>
      <c r="CH10" s="19"/>
      <c r="CI10" s="19"/>
      <c r="CJ10" s="19"/>
      <c r="CK10" s="19"/>
      <c r="CL10" s="19"/>
      <c r="CM10" s="19"/>
      <c r="CN10" s="19"/>
      <c r="CO10" s="19"/>
      <c r="CP10" s="19"/>
      <c r="CQ10" s="19"/>
      <c r="CR10" s="19"/>
      <c r="CS10" s="19"/>
      <c r="CT10" s="19"/>
      <c r="CU10" s="27"/>
      <c r="CV10" s="40" t="str">
        <f t="shared" si="29"/>
        <v/>
      </c>
      <c r="CW10" s="40" t="str">
        <f t="shared" si="30"/>
        <v/>
      </c>
      <c r="CX10" s="40" t="str">
        <f t="shared" si="31"/>
        <v/>
      </c>
      <c r="CY10" s="40" t="str">
        <f t="shared" si="32"/>
        <v/>
      </c>
      <c r="CZ10" s="40" t="str">
        <f t="shared" si="33"/>
        <v/>
      </c>
      <c r="DA10" s="40" t="str">
        <f t="shared" si="34"/>
        <v/>
      </c>
      <c r="DB10" s="40" t="str">
        <f t="shared" si="35"/>
        <v/>
      </c>
      <c r="DC10" s="40" t="str">
        <f t="shared" si="36"/>
        <v/>
      </c>
      <c r="DD10" s="50" t="str">
        <f t="shared" si="37"/>
        <v/>
      </c>
      <c r="DE10" s="50" t="str">
        <f t="shared" si="38"/>
        <v/>
      </c>
      <c r="DF10" s="50">
        <f t="shared" si="39"/>
        <v>1.4000000000000057</v>
      </c>
      <c r="DG10" s="17"/>
      <c r="DH10" s="17"/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17"/>
      <c r="DY10" s="17"/>
      <c r="DZ10" s="17"/>
      <c r="EA10" s="40" t="str">
        <f t="shared" si="40"/>
        <v/>
      </c>
      <c r="EB10" s="40" t="str">
        <f t="shared" si="41"/>
        <v/>
      </c>
      <c r="EC10" s="40" t="str">
        <f t="shared" si="42"/>
        <v/>
      </c>
      <c r="ED10" s="40" t="str">
        <f t="shared" si="43"/>
        <v/>
      </c>
      <c r="EE10" s="40" t="str">
        <f t="shared" si="44"/>
        <v/>
      </c>
      <c r="EF10" s="40" t="str">
        <f t="shared" si="45"/>
        <v/>
      </c>
      <c r="EG10" s="40" t="str">
        <f t="shared" si="46"/>
        <v/>
      </c>
      <c r="EH10" s="40" t="str">
        <f t="shared" si="47"/>
        <v/>
      </c>
      <c r="EI10" s="18">
        <v>16.899999999999999</v>
      </c>
      <c r="EJ10" s="18">
        <v>4.2</v>
      </c>
      <c r="EK10" s="18">
        <v>0.2</v>
      </c>
      <c r="EL10" s="18">
        <v>0</v>
      </c>
      <c r="EM10" s="18">
        <v>16.2</v>
      </c>
      <c r="EN10" s="18">
        <v>3.9</v>
      </c>
      <c r="EO10" s="18">
        <v>0</v>
      </c>
      <c r="EP10" s="18">
        <v>0</v>
      </c>
      <c r="EQ10" s="18"/>
      <c r="ER10" s="18"/>
      <c r="ES10" s="18"/>
      <c r="ET10" s="18"/>
      <c r="EU10" s="18">
        <v>17.8</v>
      </c>
      <c r="EV10" s="18">
        <v>4.0999999999999996</v>
      </c>
      <c r="EW10" s="18">
        <v>0</v>
      </c>
      <c r="EX10" s="18">
        <v>0</v>
      </c>
      <c r="EY10" s="18">
        <v>18</v>
      </c>
      <c r="EZ10" s="18">
        <v>3.9</v>
      </c>
      <c r="FA10" s="18">
        <v>0</v>
      </c>
      <c r="FB10" s="18">
        <v>0</v>
      </c>
      <c r="FC10" s="11">
        <f t="shared" si="48"/>
        <v>8.1</v>
      </c>
      <c r="FD10" s="11">
        <f t="shared" si="49"/>
        <v>40.999999999999993</v>
      </c>
      <c r="FE10" s="11" t="str">
        <f t="shared" si="50"/>
        <v/>
      </c>
      <c r="FF10" s="11">
        <f t="shared" si="51"/>
        <v>8.1</v>
      </c>
      <c r="FG10" s="11">
        <f t="shared" si="52"/>
        <v>40.999999999999993</v>
      </c>
      <c r="FH10" s="11">
        <f t="shared" si="53"/>
        <v>8</v>
      </c>
      <c r="FI10" s="11">
        <f t="shared" si="54"/>
        <v>43.8</v>
      </c>
      <c r="FJ10" s="11">
        <f t="shared" si="55"/>
        <v>84.799999999999983</v>
      </c>
      <c r="FK10" s="17"/>
      <c r="FL10" s="17"/>
      <c r="FM10" s="17"/>
      <c r="FN10" s="17"/>
      <c r="FO10" s="17"/>
      <c r="FP10" s="17"/>
      <c r="FQ10" s="17"/>
      <c r="FR10" s="17"/>
      <c r="FS10" s="17"/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40" t="str">
        <f t="shared" si="56"/>
        <v/>
      </c>
      <c r="GF10" s="40" t="str">
        <f t="shared" si="57"/>
        <v/>
      </c>
      <c r="GG10" s="40" t="str">
        <f t="shared" si="58"/>
        <v/>
      </c>
      <c r="GH10" s="40" t="str">
        <f t="shared" si="59"/>
        <v/>
      </c>
      <c r="GI10" s="40" t="str">
        <f t="shared" si="60"/>
        <v/>
      </c>
      <c r="GJ10" s="40" t="str">
        <f t="shared" si="61"/>
        <v/>
      </c>
      <c r="GK10" s="40" t="str">
        <f t="shared" si="62"/>
        <v/>
      </c>
      <c r="GL10" s="40" t="str">
        <f t="shared" si="63"/>
        <v/>
      </c>
      <c r="GM10" s="18"/>
      <c r="GN10" s="18"/>
      <c r="GO10" s="18"/>
      <c r="GP10" s="18"/>
      <c r="GQ10" s="18"/>
      <c r="GR10" s="18"/>
      <c r="GS10" s="18"/>
      <c r="GT10" s="18"/>
      <c r="GU10" s="18"/>
      <c r="GV10" s="18"/>
      <c r="GW10" s="18"/>
      <c r="GX10" s="18"/>
      <c r="GY10" s="18"/>
      <c r="GZ10" s="18"/>
      <c r="HA10" s="18"/>
      <c r="HB10" s="18"/>
      <c r="HC10" s="18"/>
      <c r="HD10" s="18"/>
      <c r="HE10" s="18"/>
      <c r="HF10" s="18"/>
      <c r="HG10" s="11" t="str">
        <f t="shared" si="64"/>
        <v/>
      </c>
      <c r="HH10" s="11" t="str">
        <f t="shared" si="65"/>
        <v/>
      </c>
      <c r="HI10" s="11" t="str">
        <f t="shared" si="66"/>
        <v/>
      </c>
      <c r="HJ10" s="11" t="str">
        <f t="shared" si="67"/>
        <v/>
      </c>
      <c r="HK10" s="11" t="str">
        <f t="shared" si="68"/>
        <v/>
      </c>
      <c r="HL10" s="11" t="str">
        <f t="shared" si="69"/>
        <v/>
      </c>
      <c r="HM10" s="11" t="str">
        <f t="shared" si="70"/>
        <v/>
      </c>
      <c r="HN10" s="11" t="str">
        <f t="shared" si="71"/>
        <v/>
      </c>
      <c r="HO10" s="17"/>
      <c r="HP10" s="17"/>
      <c r="HQ10" s="17"/>
      <c r="HR10" s="17"/>
      <c r="HS10" s="17"/>
      <c r="HT10" s="17"/>
      <c r="HU10" s="17"/>
      <c r="HV10" s="17"/>
      <c r="HW10" s="17"/>
      <c r="HX10" s="17"/>
      <c r="HY10" s="17"/>
      <c r="HZ10" s="17"/>
      <c r="IA10" s="17"/>
      <c r="IB10" s="17"/>
      <c r="IC10" s="17"/>
      <c r="ID10" s="17"/>
      <c r="IE10" s="17"/>
      <c r="IF10" s="17"/>
      <c r="IG10" s="17"/>
      <c r="IH10" s="17"/>
      <c r="II10" s="40" t="str">
        <f t="shared" si="72"/>
        <v/>
      </c>
      <c r="IJ10" s="40" t="str">
        <f t="shared" si="73"/>
        <v/>
      </c>
      <c r="IK10" s="40" t="str">
        <f t="shared" si="74"/>
        <v/>
      </c>
      <c r="IL10" s="40" t="str">
        <f t="shared" si="75"/>
        <v/>
      </c>
      <c r="IM10" s="40" t="str">
        <f t="shared" si="76"/>
        <v/>
      </c>
      <c r="IN10" s="40" t="str">
        <f t="shared" si="77"/>
        <v/>
      </c>
      <c r="IO10" s="40" t="str">
        <f t="shared" si="78"/>
        <v/>
      </c>
      <c r="IP10" s="40" t="str">
        <f t="shared" si="79"/>
        <v/>
      </c>
      <c r="IQ10" s="18">
        <v>17</v>
      </c>
      <c r="IR10" s="18">
        <v>4.0999999999999996</v>
      </c>
      <c r="IS10" s="18">
        <v>0</v>
      </c>
      <c r="IT10" s="18">
        <v>0</v>
      </c>
      <c r="IU10" s="18">
        <v>16.3</v>
      </c>
      <c r="IV10" s="18">
        <v>1.9</v>
      </c>
      <c r="IW10" s="18">
        <v>0</v>
      </c>
      <c r="IX10" s="18">
        <v>0</v>
      </c>
      <c r="IY10" s="18"/>
      <c r="IZ10" s="18"/>
      <c r="JA10" s="18"/>
      <c r="JB10" s="18"/>
      <c r="JC10" s="18"/>
      <c r="JD10" s="18"/>
      <c r="JE10" s="18"/>
      <c r="JF10" s="18"/>
      <c r="JG10" s="18"/>
      <c r="JH10" s="18"/>
      <c r="JI10" s="18"/>
      <c r="JJ10" s="18"/>
      <c r="JK10" s="11">
        <f t="shared" si="80"/>
        <v>6</v>
      </c>
      <c r="JL10" s="11">
        <f t="shared" si="81"/>
        <v>39.300000000000004</v>
      </c>
      <c r="JM10" s="11" t="str">
        <f t="shared" si="82"/>
        <v/>
      </c>
      <c r="JN10" s="11">
        <f t="shared" si="83"/>
        <v>6</v>
      </c>
      <c r="JO10" s="11">
        <f t="shared" si="84"/>
        <v>39.300000000000004</v>
      </c>
      <c r="JP10" s="11" t="str">
        <f t="shared" si="85"/>
        <v/>
      </c>
      <c r="JQ10" s="11" t="str">
        <f t="shared" si="86"/>
        <v/>
      </c>
      <c r="JR10" s="11">
        <f t="shared" si="87"/>
        <v>39.300000000000004</v>
      </c>
      <c r="JS10" s="17"/>
      <c r="JT10" s="17"/>
      <c r="JU10" s="17"/>
      <c r="JV10" s="17"/>
      <c r="JW10" s="17"/>
      <c r="JX10" s="17"/>
      <c r="JY10" s="17"/>
      <c r="JZ10" s="17"/>
      <c r="KA10" s="17"/>
      <c r="KB10" s="17"/>
      <c r="KC10" s="17"/>
      <c r="KD10" s="17"/>
      <c r="KE10" s="17"/>
      <c r="KF10" s="17"/>
      <c r="KG10" s="17"/>
      <c r="KH10" s="17"/>
      <c r="KI10" s="17"/>
      <c r="KJ10" s="17"/>
      <c r="KK10" s="17"/>
      <c r="KL10" s="17"/>
      <c r="KM10" s="40" t="str">
        <f t="shared" si="88"/>
        <v/>
      </c>
      <c r="KN10" s="40" t="str">
        <f t="shared" si="89"/>
        <v/>
      </c>
      <c r="KO10" s="40" t="str">
        <f t="shared" si="90"/>
        <v/>
      </c>
      <c r="KP10" s="40" t="str">
        <f t="shared" si="91"/>
        <v/>
      </c>
      <c r="KQ10" s="40" t="str">
        <f t="shared" si="92"/>
        <v/>
      </c>
      <c r="KR10" s="40" t="str">
        <f t="shared" si="93"/>
        <v/>
      </c>
      <c r="KS10" s="40" t="str">
        <f t="shared" si="94"/>
        <v/>
      </c>
      <c r="KT10" s="40" t="str">
        <f t="shared" si="95"/>
        <v/>
      </c>
      <c r="KU10" s="18"/>
      <c r="KV10" s="18"/>
      <c r="KW10" s="18"/>
      <c r="KX10" s="18"/>
      <c r="KY10" s="18"/>
      <c r="KZ10" s="18"/>
      <c r="LA10" s="18"/>
      <c r="LB10" s="18"/>
      <c r="LC10" s="18"/>
      <c r="LD10" s="18"/>
      <c r="LE10" s="18"/>
      <c r="LF10" s="18"/>
      <c r="LG10" s="18"/>
      <c r="LH10" s="18"/>
      <c r="LI10" s="18"/>
      <c r="LJ10" s="18"/>
      <c r="LK10" s="18"/>
      <c r="LL10" s="18"/>
      <c r="LM10" s="18"/>
      <c r="LN10" s="18"/>
      <c r="LO10" s="11" t="str">
        <f t="shared" si="96"/>
        <v/>
      </c>
      <c r="LP10" s="11" t="str">
        <f t="shared" si="97"/>
        <v/>
      </c>
      <c r="LQ10" s="11" t="str">
        <f t="shared" si="98"/>
        <v/>
      </c>
      <c r="LR10" s="11" t="str">
        <f t="shared" si="99"/>
        <v/>
      </c>
      <c r="LS10" s="11" t="str">
        <f t="shared" si="100"/>
        <v/>
      </c>
      <c r="LT10" s="11" t="str">
        <f t="shared" si="101"/>
        <v/>
      </c>
      <c r="LU10" s="11" t="str">
        <f t="shared" si="102"/>
        <v/>
      </c>
      <c r="LV10" s="11" t="str">
        <f t="shared" si="103"/>
        <v/>
      </c>
      <c r="LW10" s="17"/>
      <c r="LX10" s="17"/>
      <c r="LY10" s="17"/>
      <c r="LZ10" s="17"/>
      <c r="MA10" s="17"/>
      <c r="MB10" s="17"/>
      <c r="MC10" s="17"/>
      <c r="MD10" s="17"/>
      <c r="ME10" s="17"/>
      <c r="MF10" s="17"/>
      <c r="MG10" s="17"/>
      <c r="MH10" s="17"/>
      <c r="MI10" s="17"/>
      <c r="MJ10" s="17"/>
      <c r="MK10" s="17"/>
      <c r="ML10" s="17"/>
      <c r="MM10" s="17"/>
      <c r="MN10" s="17"/>
      <c r="MO10" s="17"/>
      <c r="MP10" s="17"/>
      <c r="MQ10" s="40" t="str">
        <f t="shared" si="104"/>
        <v/>
      </c>
      <c r="MR10" s="40" t="str">
        <f t="shared" si="105"/>
        <v/>
      </c>
      <c r="MS10" s="40" t="str">
        <f t="shared" si="106"/>
        <v/>
      </c>
      <c r="MT10" s="40" t="str">
        <f t="shared" si="107"/>
        <v/>
      </c>
      <c r="MU10" s="40" t="str">
        <f t="shared" si="108"/>
        <v/>
      </c>
      <c r="MV10" s="40" t="str">
        <f t="shared" si="109"/>
        <v/>
      </c>
      <c r="MW10" s="40" t="str">
        <f t="shared" si="110"/>
        <v/>
      </c>
      <c r="MX10" s="40" t="str">
        <f t="shared" si="111"/>
        <v/>
      </c>
      <c r="MY10" s="18"/>
      <c r="MZ10" s="18"/>
      <c r="NA10" s="18"/>
      <c r="NB10" s="18"/>
      <c r="NC10" s="18"/>
      <c r="ND10" s="18"/>
      <c r="NE10" s="18"/>
      <c r="NF10" s="18"/>
      <c r="NG10" s="18"/>
      <c r="NH10" s="18"/>
      <c r="NI10" s="18"/>
      <c r="NJ10" s="18"/>
      <c r="NK10" s="18"/>
      <c r="NL10" s="18"/>
      <c r="NM10" s="18"/>
      <c r="NN10" s="18"/>
      <c r="NO10" s="18"/>
      <c r="NP10" s="18"/>
      <c r="NQ10" s="18"/>
      <c r="NR10" s="18"/>
      <c r="NS10" s="11" t="str">
        <f t="shared" si="112"/>
        <v/>
      </c>
      <c r="NT10" s="11" t="str">
        <f t="shared" si="113"/>
        <v/>
      </c>
      <c r="NU10" s="11" t="str">
        <f t="shared" si="114"/>
        <v/>
      </c>
      <c r="NV10" s="11" t="str">
        <f t="shared" si="115"/>
        <v/>
      </c>
      <c r="NW10" s="11" t="str">
        <f t="shared" si="116"/>
        <v/>
      </c>
      <c r="NX10" s="11" t="str">
        <f t="shared" si="117"/>
        <v/>
      </c>
      <c r="NY10" s="11" t="str">
        <f t="shared" si="118"/>
        <v/>
      </c>
      <c r="NZ10" s="11" t="str">
        <f t="shared" si="119"/>
        <v/>
      </c>
      <c r="OA10" s="17"/>
      <c r="OB10" s="17"/>
      <c r="OC10" s="17"/>
      <c r="OD10" s="17"/>
      <c r="OE10" s="17"/>
      <c r="OF10" s="17"/>
      <c r="OG10" s="17"/>
      <c r="OH10" s="17"/>
      <c r="OI10" s="17"/>
      <c r="OJ10" s="17"/>
      <c r="OK10" s="17"/>
      <c r="OL10" s="17"/>
      <c r="OM10" s="17"/>
      <c r="ON10" s="17"/>
      <c r="OO10" s="17"/>
      <c r="OP10" s="17"/>
      <c r="OQ10" s="17"/>
      <c r="OR10" s="17"/>
      <c r="OS10" s="17"/>
      <c r="OT10" s="17"/>
      <c r="OU10" s="40" t="str">
        <f t="shared" si="120"/>
        <v/>
      </c>
      <c r="OV10" s="40" t="str">
        <f t="shared" si="121"/>
        <v/>
      </c>
      <c r="OW10" s="40" t="str">
        <f t="shared" si="122"/>
        <v/>
      </c>
      <c r="OX10" s="40" t="str">
        <f t="shared" si="123"/>
        <v/>
      </c>
      <c r="OY10" s="40" t="str">
        <f t="shared" si="124"/>
        <v/>
      </c>
      <c r="OZ10" s="40" t="str">
        <f t="shared" si="125"/>
        <v/>
      </c>
      <c r="PA10" s="40" t="str">
        <f t="shared" si="126"/>
        <v/>
      </c>
      <c r="PB10" s="40" t="str">
        <f t="shared" si="127"/>
        <v/>
      </c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8"/>
      <c r="PS10" s="18"/>
      <c r="PT10" s="18"/>
      <c r="PU10" s="18"/>
      <c r="PV10" s="18"/>
      <c r="PW10" s="11" t="str">
        <f t="shared" si="128"/>
        <v/>
      </c>
      <c r="PX10" s="11" t="str">
        <f t="shared" si="129"/>
        <v/>
      </c>
      <c r="PY10" s="11" t="str">
        <f t="shared" si="130"/>
        <v/>
      </c>
      <c r="PZ10" s="11" t="str">
        <f t="shared" si="131"/>
        <v/>
      </c>
      <c r="QA10" s="11" t="str">
        <f t="shared" si="132"/>
        <v/>
      </c>
      <c r="QB10" s="11" t="str">
        <f t="shared" si="133"/>
        <v/>
      </c>
      <c r="QC10" s="11" t="str">
        <f t="shared" si="134"/>
        <v/>
      </c>
      <c r="QD10" s="11" t="str">
        <f t="shared" si="135"/>
        <v/>
      </c>
      <c r="QE10" s="22">
        <f t="shared" si="136"/>
        <v>8.4250000000000007</v>
      </c>
      <c r="QF10" s="22">
        <f t="shared" si="137"/>
        <v>2.0999999999999996</v>
      </c>
      <c r="QG10" s="22">
        <f t="shared" si="138"/>
        <v>0</v>
      </c>
      <c r="QH10" s="22">
        <f t="shared" si="139"/>
        <v>0.15</v>
      </c>
      <c r="QI10" s="22">
        <f t="shared" si="140"/>
        <v>8.35</v>
      </c>
      <c r="QJ10" s="22">
        <f t="shared" si="141"/>
        <v>2</v>
      </c>
      <c r="QK10" s="22">
        <f t="shared" si="142"/>
        <v>0</v>
      </c>
      <c r="QL10" s="22">
        <f t="shared" si="143"/>
        <v>0.15</v>
      </c>
      <c r="QM10" s="22">
        <f t="shared" si="144"/>
        <v>0</v>
      </c>
      <c r="QN10" s="22">
        <f t="shared" si="145"/>
        <v>0</v>
      </c>
      <c r="QO10" s="22">
        <f t="shared" si="146"/>
        <v>0</v>
      </c>
      <c r="QP10" s="22">
        <f t="shared" si="147"/>
        <v>0</v>
      </c>
      <c r="QQ10" s="22">
        <f t="shared" si="148"/>
        <v>8.25</v>
      </c>
      <c r="QR10" s="22">
        <f t="shared" si="149"/>
        <v>2.0499999999999998</v>
      </c>
      <c r="QS10" s="22">
        <f t="shared" si="150"/>
        <v>0</v>
      </c>
      <c r="QT10" s="22">
        <f t="shared" si="151"/>
        <v>0.15</v>
      </c>
      <c r="QU10" s="22">
        <f t="shared" si="152"/>
        <v>8.49</v>
      </c>
      <c r="QV10" s="22">
        <f t="shared" si="153"/>
        <v>2.0499999999999998</v>
      </c>
      <c r="QW10" s="22">
        <f t="shared" si="154"/>
        <v>0</v>
      </c>
      <c r="QX10" s="22">
        <f t="shared" si="155"/>
        <v>0.15</v>
      </c>
      <c r="QY10" s="27" t="s">
        <v>46</v>
      </c>
      <c r="QZ10" s="40">
        <f t="shared" si="156"/>
        <v>4.0999999999999996</v>
      </c>
      <c r="RA10" s="40">
        <f t="shared" si="157"/>
        <v>21.174999999999997</v>
      </c>
      <c r="RB10" s="40" t="str">
        <f t="shared" si="158"/>
        <v/>
      </c>
      <c r="RC10" s="40">
        <f t="shared" si="159"/>
        <v>4.0999999999999996</v>
      </c>
      <c r="RD10" s="40">
        <f t="shared" si="160"/>
        <v>21.174999999999997</v>
      </c>
      <c r="RE10" s="40">
        <f t="shared" si="161"/>
        <v>4.0999999999999996</v>
      </c>
      <c r="RF10" s="40">
        <f t="shared" si="162"/>
        <v>21.14</v>
      </c>
      <c r="RG10" s="40">
        <f t="shared" si="163"/>
        <v>42.314999999999998</v>
      </c>
    </row>
    <row r="11" spans="1:475" x14ac:dyDescent="0.2">
      <c r="A11" s="4">
        <f t="shared" si="164"/>
        <v>8</v>
      </c>
      <c r="B11" s="5" t="s">
        <v>104</v>
      </c>
      <c r="C11" s="4" t="s">
        <v>3</v>
      </c>
      <c r="D11" s="4">
        <v>2004</v>
      </c>
      <c r="E11" s="9">
        <f t="shared" si="0"/>
        <v>118.63667046222601</v>
      </c>
      <c r="F11" s="3" t="str">
        <f t="shared" si="1"/>
        <v>P</v>
      </c>
      <c r="G11" s="3" t="str">
        <f t="shared" si="2"/>
        <v>P</v>
      </c>
      <c r="H11" s="36" t="str">
        <f t="shared" si="3"/>
        <v>National Team</v>
      </c>
      <c r="I11" s="3" t="str">
        <f t="shared" si="4"/>
        <v/>
      </c>
      <c r="J11" s="8">
        <f>IF(COUNT(AQ11,BT11,CW11)&gt;0,LARGE((AQ11,BT11,CW11),1),0)</f>
        <v>37.955555555555549</v>
      </c>
      <c r="K11" s="8" t="str">
        <f t="shared" si="5"/>
        <v>2022 Nationals</v>
      </c>
      <c r="L11" s="8">
        <f>IF(COUNT(AQ11,BT11,CW11)&gt;1,LARGE((AQ11,BT11,CW11),2),0)</f>
        <v>0</v>
      </c>
      <c r="M11" s="8" t="str">
        <f t="shared" si="6"/>
        <v/>
      </c>
      <c r="N11" s="8">
        <f>IF(COUNT(AR11,BU11,CX11)&gt;0,LARGE((AR11,BU11,CX11),1),0)</f>
        <v>0</v>
      </c>
      <c r="O11" s="8" t="str">
        <f t="shared" si="7"/>
        <v/>
      </c>
      <c r="P11" s="8">
        <f t="shared" si="8"/>
        <v>37.481111111111105</v>
      </c>
      <c r="Q11" s="8" t="str">
        <f t="shared" si="9"/>
        <v>2022 Nationals</v>
      </c>
      <c r="R11" s="8">
        <f t="shared" si="10"/>
        <v>43.199999999999996</v>
      </c>
      <c r="S11" s="11" t="str">
        <f t="shared" si="11"/>
        <v>(Q1)</v>
      </c>
      <c r="T11" s="8" t="str">
        <f t="shared" si="12"/>
        <v>2022 World Games Technical Trial #2 (May 15)</v>
      </c>
      <c r="U11" s="19">
        <v>14.833333333333332</v>
      </c>
      <c r="V11" s="19">
        <v>3.75</v>
      </c>
      <c r="W11" s="19">
        <v>0</v>
      </c>
      <c r="X11" s="19">
        <v>0.15</v>
      </c>
      <c r="Y11" s="19">
        <v>14.622222222222224</v>
      </c>
      <c r="Z11" s="19">
        <v>4.3</v>
      </c>
      <c r="AA11" s="19">
        <v>0</v>
      </c>
      <c r="AB11" s="19">
        <v>0.3</v>
      </c>
      <c r="AC11" s="19"/>
      <c r="AD11" s="19"/>
      <c r="AE11" s="19"/>
      <c r="AF11" s="19"/>
      <c r="AG11" s="19">
        <v>14.636666666666667</v>
      </c>
      <c r="AH11" s="19">
        <v>3.75</v>
      </c>
      <c r="AI11" s="19">
        <v>0.1</v>
      </c>
      <c r="AJ11" s="19">
        <v>0.15</v>
      </c>
      <c r="AK11" s="19">
        <v>14.544444444444444</v>
      </c>
      <c r="AL11" s="19">
        <v>4.3</v>
      </c>
      <c r="AM11" s="19">
        <v>0.1</v>
      </c>
      <c r="AN11" s="19">
        <v>0.3</v>
      </c>
      <c r="AO11" s="27" t="s">
        <v>46</v>
      </c>
      <c r="AP11" s="40">
        <f t="shared" si="13"/>
        <v>8.0500000000000007</v>
      </c>
      <c r="AQ11" s="40">
        <f t="shared" si="14"/>
        <v>37.955555555555549</v>
      </c>
      <c r="AR11" s="40" t="str">
        <f t="shared" si="15"/>
        <v/>
      </c>
      <c r="AS11" s="40">
        <f t="shared" si="16"/>
        <v>8.0500000000000007</v>
      </c>
      <c r="AT11" s="40">
        <f t="shared" si="17"/>
        <v>37.955555555555549</v>
      </c>
      <c r="AU11" s="40">
        <f t="shared" si="18"/>
        <v>8.0500000000000007</v>
      </c>
      <c r="AV11" s="40">
        <f t="shared" si="19"/>
        <v>37.481111111111105</v>
      </c>
      <c r="AW11" s="40">
        <f t="shared" si="20"/>
        <v>75.436666666666653</v>
      </c>
      <c r="AX11" s="18"/>
      <c r="AY11" s="18"/>
      <c r="AZ11" s="18"/>
      <c r="BA11" s="18"/>
      <c r="BB11" s="18"/>
      <c r="BC11" s="18"/>
      <c r="BD11" s="18"/>
      <c r="BE11" s="18"/>
      <c r="BF11" s="18"/>
      <c r="BG11" s="18"/>
      <c r="BH11" s="18"/>
      <c r="BI11" s="18"/>
      <c r="BJ11" s="18"/>
      <c r="BK11" s="18"/>
      <c r="BL11" s="18"/>
      <c r="BM11" s="18"/>
      <c r="BN11" s="18"/>
      <c r="BO11" s="18"/>
      <c r="BP11" s="18"/>
      <c r="BQ11" s="18"/>
      <c r="BR11" s="28"/>
      <c r="BS11" s="11" t="str">
        <f t="shared" si="21"/>
        <v/>
      </c>
      <c r="BT11" s="11" t="str">
        <f t="shared" si="22"/>
        <v/>
      </c>
      <c r="BU11" s="11" t="str">
        <f t="shared" si="23"/>
        <v/>
      </c>
      <c r="BV11" s="11" t="str">
        <f t="shared" si="24"/>
        <v/>
      </c>
      <c r="BW11" s="11" t="str">
        <f t="shared" si="25"/>
        <v/>
      </c>
      <c r="BX11" s="11" t="str">
        <f t="shared" si="26"/>
        <v/>
      </c>
      <c r="BY11" s="11" t="str">
        <f t="shared" si="27"/>
        <v/>
      </c>
      <c r="BZ11" s="11" t="str">
        <f t="shared" si="28"/>
        <v/>
      </c>
      <c r="CA11" s="19"/>
      <c r="CB11" s="19"/>
      <c r="CC11" s="19"/>
      <c r="CD11" s="19"/>
      <c r="CE11" s="19"/>
      <c r="CF11" s="19"/>
      <c r="CG11" s="19"/>
      <c r="CH11" s="19"/>
      <c r="CI11" s="19"/>
      <c r="CJ11" s="19"/>
      <c r="CK11" s="19"/>
      <c r="CL11" s="19"/>
      <c r="CM11" s="19"/>
      <c r="CN11" s="19"/>
      <c r="CO11" s="19"/>
      <c r="CP11" s="19"/>
      <c r="CQ11" s="19"/>
      <c r="CR11" s="19"/>
      <c r="CS11" s="19"/>
      <c r="CT11" s="19"/>
      <c r="CU11" s="27"/>
      <c r="CV11" s="40" t="str">
        <f t="shared" si="29"/>
        <v/>
      </c>
      <c r="CW11" s="40" t="str">
        <f t="shared" si="30"/>
        <v/>
      </c>
      <c r="CX11" s="40" t="str">
        <f t="shared" si="31"/>
        <v/>
      </c>
      <c r="CY11" s="40" t="str">
        <f t="shared" si="32"/>
        <v/>
      </c>
      <c r="CZ11" s="40" t="str">
        <f t="shared" si="33"/>
        <v/>
      </c>
      <c r="DA11" s="40" t="str">
        <f t="shared" si="34"/>
        <v/>
      </c>
      <c r="DB11" s="40" t="str">
        <f t="shared" si="35"/>
        <v/>
      </c>
      <c r="DC11" s="40" t="str">
        <f t="shared" si="36"/>
        <v/>
      </c>
      <c r="DD11" s="50">
        <f t="shared" si="37"/>
        <v>43.199999999999996</v>
      </c>
      <c r="DE11" s="50" t="str">
        <f t="shared" si="38"/>
        <v/>
      </c>
      <c r="DF11" s="50">
        <f t="shared" si="39"/>
        <v>5.6188888888888897</v>
      </c>
      <c r="DG11" s="17">
        <v>16.7</v>
      </c>
      <c r="DH11" s="17">
        <v>4.5</v>
      </c>
      <c r="DI11" s="17">
        <v>0</v>
      </c>
      <c r="DJ11" s="17">
        <v>0.3</v>
      </c>
      <c r="DK11" s="17">
        <v>17.100000000000001</v>
      </c>
      <c r="DL11" s="17">
        <v>4.3</v>
      </c>
      <c r="DM11" s="17">
        <v>0</v>
      </c>
      <c r="DN11" s="17">
        <v>0.3</v>
      </c>
      <c r="DO11" s="17"/>
      <c r="DP11" s="17"/>
      <c r="DQ11" s="17"/>
      <c r="DR11" s="17"/>
      <c r="DS11" s="17">
        <v>16.600000000000001</v>
      </c>
      <c r="DT11" s="17">
        <v>4.5</v>
      </c>
      <c r="DU11" s="17">
        <v>0</v>
      </c>
      <c r="DV11" s="17">
        <v>0.3</v>
      </c>
      <c r="DW11" s="17">
        <v>17.100000000000001</v>
      </c>
      <c r="DX11" s="17">
        <v>4.3</v>
      </c>
      <c r="DY11" s="17">
        <v>0</v>
      </c>
      <c r="DZ11" s="17">
        <v>0.3</v>
      </c>
      <c r="EA11" s="40">
        <f t="shared" si="40"/>
        <v>8.8000000000000007</v>
      </c>
      <c r="EB11" s="40">
        <f t="shared" si="41"/>
        <v>43.199999999999996</v>
      </c>
      <c r="EC11" s="40" t="str">
        <f t="shared" si="42"/>
        <v/>
      </c>
      <c r="ED11" s="40">
        <f t="shared" si="43"/>
        <v>8.8000000000000007</v>
      </c>
      <c r="EE11" s="40">
        <f t="shared" si="44"/>
        <v>43.199999999999996</v>
      </c>
      <c r="EF11" s="40">
        <f t="shared" si="45"/>
        <v>8.8000000000000007</v>
      </c>
      <c r="EG11" s="40">
        <f t="shared" si="46"/>
        <v>43.099999999999994</v>
      </c>
      <c r="EH11" s="40">
        <f t="shared" si="47"/>
        <v>86.299999999999983</v>
      </c>
      <c r="EI11" s="18"/>
      <c r="EJ11" s="18"/>
      <c r="EK11" s="18"/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8"/>
      <c r="FC11" s="11" t="str">
        <f t="shared" si="48"/>
        <v/>
      </c>
      <c r="FD11" s="11" t="str">
        <f t="shared" si="49"/>
        <v/>
      </c>
      <c r="FE11" s="11" t="str">
        <f t="shared" si="50"/>
        <v/>
      </c>
      <c r="FF11" s="11" t="str">
        <f t="shared" si="51"/>
        <v/>
      </c>
      <c r="FG11" s="11" t="str">
        <f t="shared" si="52"/>
        <v/>
      </c>
      <c r="FH11" s="11" t="str">
        <f t="shared" si="53"/>
        <v/>
      </c>
      <c r="FI11" s="11" t="str">
        <f t="shared" si="54"/>
        <v/>
      </c>
      <c r="FJ11" s="11" t="str">
        <f t="shared" si="55"/>
        <v/>
      </c>
      <c r="FK11" s="17"/>
      <c r="FL11" s="17"/>
      <c r="FM11" s="17"/>
      <c r="FN11" s="17"/>
      <c r="FO11" s="17"/>
      <c r="FP11" s="17"/>
      <c r="FQ11" s="17"/>
      <c r="FR11" s="17"/>
      <c r="FS11" s="17"/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40" t="str">
        <f t="shared" si="56"/>
        <v/>
      </c>
      <c r="GF11" s="40" t="str">
        <f t="shared" si="57"/>
        <v/>
      </c>
      <c r="GG11" s="40" t="str">
        <f t="shared" si="58"/>
        <v/>
      </c>
      <c r="GH11" s="40" t="str">
        <f t="shared" si="59"/>
        <v/>
      </c>
      <c r="GI11" s="40" t="str">
        <f t="shared" si="60"/>
        <v/>
      </c>
      <c r="GJ11" s="40" t="str">
        <f t="shared" si="61"/>
        <v/>
      </c>
      <c r="GK11" s="40" t="str">
        <f t="shared" si="62"/>
        <v/>
      </c>
      <c r="GL11" s="40" t="str">
        <f t="shared" si="63"/>
        <v/>
      </c>
      <c r="GM11" s="18"/>
      <c r="GN11" s="18"/>
      <c r="GO11" s="18"/>
      <c r="GP11" s="18"/>
      <c r="GQ11" s="18"/>
      <c r="GR11" s="18"/>
      <c r="GS11" s="18"/>
      <c r="GT11" s="18"/>
      <c r="GU11" s="18"/>
      <c r="GV11" s="18"/>
      <c r="GW11" s="18"/>
      <c r="GX11" s="18"/>
      <c r="GY11" s="18"/>
      <c r="GZ11" s="18"/>
      <c r="HA11" s="18"/>
      <c r="HB11" s="18"/>
      <c r="HC11" s="18"/>
      <c r="HD11" s="18"/>
      <c r="HE11" s="18"/>
      <c r="HF11" s="18"/>
      <c r="HG11" s="11" t="str">
        <f t="shared" si="64"/>
        <v/>
      </c>
      <c r="HH11" s="11" t="str">
        <f t="shared" si="65"/>
        <v/>
      </c>
      <c r="HI11" s="11" t="str">
        <f t="shared" si="66"/>
        <v/>
      </c>
      <c r="HJ11" s="11" t="str">
        <f t="shared" si="67"/>
        <v/>
      </c>
      <c r="HK11" s="11" t="str">
        <f t="shared" si="68"/>
        <v/>
      </c>
      <c r="HL11" s="11" t="str">
        <f t="shared" si="69"/>
        <v/>
      </c>
      <c r="HM11" s="11" t="str">
        <f t="shared" si="70"/>
        <v/>
      </c>
      <c r="HN11" s="11" t="str">
        <f t="shared" si="71"/>
        <v/>
      </c>
      <c r="HO11" s="17"/>
      <c r="HP11" s="17"/>
      <c r="HQ11" s="17"/>
      <c r="HR11" s="17"/>
      <c r="HS11" s="17"/>
      <c r="HT11" s="17"/>
      <c r="HU11" s="17"/>
      <c r="HV11" s="17"/>
      <c r="HW11" s="17"/>
      <c r="HX11" s="17"/>
      <c r="HY11" s="17"/>
      <c r="HZ11" s="17"/>
      <c r="IA11" s="17"/>
      <c r="IB11" s="17"/>
      <c r="IC11" s="17"/>
      <c r="ID11" s="17"/>
      <c r="IE11" s="17"/>
      <c r="IF11" s="17"/>
      <c r="IG11" s="17"/>
      <c r="IH11" s="17"/>
      <c r="II11" s="40" t="str">
        <f t="shared" si="72"/>
        <v/>
      </c>
      <c r="IJ11" s="40" t="str">
        <f t="shared" si="73"/>
        <v/>
      </c>
      <c r="IK11" s="40" t="str">
        <f t="shared" si="74"/>
        <v/>
      </c>
      <c r="IL11" s="40" t="str">
        <f t="shared" si="75"/>
        <v/>
      </c>
      <c r="IM11" s="40" t="str">
        <f t="shared" si="76"/>
        <v/>
      </c>
      <c r="IN11" s="40" t="str">
        <f t="shared" si="77"/>
        <v/>
      </c>
      <c r="IO11" s="40" t="str">
        <f t="shared" si="78"/>
        <v/>
      </c>
      <c r="IP11" s="40" t="str">
        <f t="shared" si="79"/>
        <v/>
      </c>
      <c r="IQ11" s="18"/>
      <c r="IR11" s="18"/>
      <c r="IS11" s="18"/>
      <c r="IT11" s="18"/>
      <c r="IU11" s="18"/>
      <c r="IV11" s="18"/>
      <c r="IW11" s="18"/>
      <c r="IX11" s="18"/>
      <c r="IY11" s="18"/>
      <c r="IZ11" s="18"/>
      <c r="JA11" s="18"/>
      <c r="JB11" s="18"/>
      <c r="JC11" s="18"/>
      <c r="JD11" s="18"/>
      <c r="JE11" s="18"/>
      <c r="JF11" s="18"/>
      <c r="JG11" s="18"/>
      <c r="JH11" s="18"/>
      <c r="JI11" s="18"/>
      <c r="JJ11" s="18"/>
      <c r="JK11" s="11" t="str">
        <f t="shared" si="80"/>
        <v/>
      </c>
      <c r="JL11" s="11" t="str">
        <f t="shared" si="81"/>
        <v/>
      </c>
      <c r="JM11" s="11" t="str">
        <f t="shared" si="82"/>
        <v/>
      </c>
      <c r="JN11" s="11" t="str">
        <f t="shared" si="83"/>
        <v/>
      </c>
      <c r="JO11" s="11" t="str">
        <f t="shared" si="84"/>
        <v/>
      </c>
      <c r="JP11" s="11" t="str">
        <f t="shared" si="85"/>
        <v/>
      </c>
      <c r="JQ11" s="11" t="str">
        <f t="shared" si="86"/>
        <v/>
      </c>
      <c r="JR11" s="11" t="str">
        <f t="shared" si="87"/>
        <v/>
      </c>
      <c r="JS11" s="17"/>
      <c r="JT11" s="17"/>
      <c r="JU11" s="17"/>
      <c r="JV11" s="17"/>
      <c r="JW11" s="17"/>
      <c r="JX11" s="17"/>
      <c r="JY11" s="17"/>
      <c r="JZ11" s="17"/>
      <c r="KA11" s="17"/>
      <c r="KB11" s="17"/>
      <c r="KC11" s="17"/>
      <c r="KD11" s="17"/>
      <c r="KE11" s="17"/>
      <c r="KF11" s="17"/>
      <c r="KG11" s="17"/>
      <c r="KH11" s="17"/>
      <c r="KI11" s="17"/>
      <c r="KJ11" s="17"/>
      <c r="KK11" s="17"/>
      <c r="KL11" s="17"/>
      <c r="KM11" s="40" t="str">
        <f t="shared" si="88"/>
        <v/>
      </c>
      <c r="KN11" s="40" t="str">
        <f t="shared" si="89"/>
        <v/>
      </c>
      <c r="KO11" s="40" t="str">
        <f t="shared" si="90"/>
        <v/>
      </c>
      <c r="KP11" s="40" t="str">
        <f t="shared" si="91"/>
        <v/>
      </c>
      <c r="KQ11" s="40" t="str">
        <f t="shared" si="92"/>
        <v/>
      </c>
      <c r="KR11" s="40" t="str">
        <f t="shared" si="93"/>
        <v/>
      </c>
      <c r="KS11" s="40" t="str">
        <f t="shared" si="94"/>
        <v/>
      </c>
      <c r="KT11" s="40" t="str">
        <f t="shared" si="95"/>
        <v/>
      </c>
      <c r="KU11" s="18"/>
      <c r="KV11" s="18"/>
      <c r="KW11" s="18"/>
      <c r="KX11" s="18"/>
      <c r="KY11" s="18"/>
      <c r="KZ11" s="18"/>
      <c r="LA11" s="18"/>
      <c r="LB11" s="18"/>
      <c r="LC11" s="18"/>
      <c r="LD11" s="18"/>
      <c r="LE11" s="18"/>
      <c r="LF11" s="18"/>
      <c r="LG11" s="18"/>
      <c r="LH11" s="18"/>
      <c r="LI11" s="18"/>
      <c r="LJ11" s="18"/>
      <c r="LK11" s="18"/>
      <c r="LL11" s="18"/>
      <c r="LM11" s="18"/>
      <c r="LN11" s="18"/>
      <c r="LO11" s="11" t="str">
        <f t="shared" si="96"/>
        <v/>
      </c>
      <c r="LP11" s="11" t="str">
        <f t="shared" si="97"/>
        <v/>
      </c>
      <c r="LQ11" s="11" t="str">
        <f t="shared" si="98"/>
        <v/>
      </c>
      <c r="LR11" s="11" t="str">
        <f t="shared" si="99"/>
        <v/>
      </c>
      <c r="LS11" s="11" t="str">
        <f t="shared" si="100"/>
        <v/>
      </c>
      <c r="LT11" s="11" t="str">
        <f t="shared" si="101"/>
        <v/>
      </c>
      <c r="LU11" s="11" t="str">
        <f t="shared" si="102"/>
        <v/>
      </c>
      <c r="LV11" s="11" t="str">
        <f t="shared" si="103"/>
        <v/>
      </c>
      <c r="LW11" s="17"/>
      <c r="LX11" s="17"/>
      <c r="LY11" s="17"/>
      <c r="LZ11" s="17"/>
      <c r="MA11" s="17"/>
      <c r="MB11" s="17"/>
      <c r="MC11" s="17"/>
      <c r="MD11" s="17"/>
      <c r="ME11" s="17"/>
      <c r="MF11" s="17"/>
      <c r="MG11" s="17"/>
      <c r="MH11" s="17"/>
      <c r="MI11" s="17"/>
      <c r="MJ11" s="17"/>
      <c r="MK11" s="17"/>
      <c r="ML11" s="17"/>
      <c r="MM11" s="17"/>
      <c r="MN11" s="17"/>
      <c r="MO11" s="17"/>
      <c r="MP11" s="17"/>
      <c r="MQ11" s="40" t="str">
        <f t="shared" si="104"/>
        <v/>
      </c>
      <c r="MR11" s="40" t="str">
        <f t="shared" si="105"/>
        <v/>
      </c>
      <c r="MS11" s="40" t="str">
        <f t="shared" si="106"/>
        <v/>
      </c>
      <c r="MT11" s="40" t="str">
        <f t="shared" si="107"/>
        <v/>
      </c>
      <c r="MU11" s="40" t="str">
        <f t="shared" si="108"/>
        <v/>
      </c>
      <c r="MV11" s="40" t="str">
        <f t="shared" si="109"/>
        <v/>
      </c>
      <c r="MW11" s="40" t="str">
        <f t="shared" si="110"/>
        <v/>
      </c>
      <c r="MX11" s="40" t="str">
        <f t="shared" si="111"/>
        <v/>
      </c>
      <c r="MY11" s="18"/>
      <c r="MZ11" s="18"/>
      <c r="NA11" s="18"/>
      <c r="NB11" s="18"/>
      <c r="NC11" s="18"/>
      <c r="ND11" s="18"/>
      <c r="NE11" s="18"/>
      <c r="NF11" s="18"/>
      <c r="NG11" s="18"/>
      <c r="NH11" s="18"/>
      <c r="NI11" s="18"/>
      <c r="NJ11" s="18"/>
      <c r="NK11" s="18"/>
      <c r="NL11" s="18"/>
      <c r="NM11" s="18"/>
      <c r="NN11" s="18"/>
      <c r="NO11" s="18"/>
      <c r="NP11" s="18"/>
      <c r="NQ11" s="18"/>
      <c r="NR11" s="18"/>
      <c r="NS11" s="11" t="str">
        <f t="shared" si="112"/>
        <v/>
      </c>
      <c r="NT11" s="11" t="str">
        <f t="shared" si="113"/>
        <v/>
      </c>
      <c r="NU11" s="11" t="str">
        <f t="shared" si="114"/>
        <v/>
      </c>
      <c r="NV11" s="11" t="str">
        <f t="shared" si="115"/>
        <v/>
      </c>
      <c r="NW11" s="11" t="str">
        <f t="shared" si="116"/>
        <v/>
      </c>
      <c r="NX11" s="11" t="str">
        <f t="shared" si="117"/>
        <v/>
      </c>
      <c r="NY11" s="11" t="str">
        <f t="shared" si="118"/>
        <v/>
      </c>
      <c r="NZ11" s="11" t="str">
        <f t="shared" si="119"/>
        <v/>
      </c>
      <c r="OA11" s="17"/>
      <c r="OB11" s="17"/>
      <c r="OC11" s="17"/>
      <c r="OD11" s="17"/>
      <c r="OE11" s="17"/>
      <c r="OF11" s="17"/>
      <c r="OG11" s="17"/>
      <c r="OH11" s="17"/>
      <c r="OI11" s="17"/>
      <c r="OJ11" s="17"/>
      <c r="OK11" s="17"/>
      <c r="OL11" s="17"/>
      <c r="OM11" s="17"/>
      <c r="ON11" s="17"/>
      <c r="OO11" s="17"/>
      <c r="OP11" s="17"/>
      <c r="OQ11" s="17"/>
      <c r="OR11" s="17"/>
      <c r="OS11" s="17"/>
      <c r="OT11" s="17"/>
      <c r="OU11" s="40" t="str">
        <f t="shared" si="120"/>
        <v/>
      </c>
      <c r="OV11" s="40" t="str">
        <f t="shared" si="121"/>
        <v/>
      </c>
      <c r="OW11" s="40" t="str">
        <f t="shared" si="122"/>
        <v/>
      </c>
      <c r="OX11" s="40" t="str">
        <f t="shared" si="123"/>
        <v/>
      </c>
      <c r="OY11" s="40" t="str">
        <f t="shared" si="124"/>
        <v/>
      </c>
      <c r="OZ11" s="40" t="str">
        <f t="shared" si="125"/>
        <v/>
      </c>
      <c r="PA11" s="40" t="str">
        <f t="shared" si="126"/>
        <v/>
      </c>
      <c r="PB11" s="40" t="str">
        <f t="shared" si="127"/>
        <v/>
      </c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8"/>
      <c r="PS11" s="18"/>
      <c r="PT11" s="18"/>
      <c r="PU11" s="18"/>
      <c r="PV11" s="18"/>
      <c r="PW11" s="11" t="str">
        <f t="shared" si="128"/>
        <v/>
      </c>
      <c r="PX11" s="11" t="str">
        <f t="shared" si="129"/>
        <v/>
      </c>
      <c r="PY11" s="11" t="str">
        <f t="shared" si="130"/>
        <v/>
      </c>
      <c r="PZ11" s="11" t="str">
        <f t="shared" si="131"/>
        <v/>
      </c>
      <c r="QA11" s="11" t="str">
        <f t="shared" si="132"/>
        <v/>
      </c>
      <c r="QB11" s="11" t="str">
        <f t="shared" si="133"/>
        <v/>
      </c>
      <c r="QC11" s="11" t="str">
        <f t="shared" si="134"/>
        <v/>
      </c>
      <c r="QD11" s="11" t="str">
        <f t="shared" si="135"/>
        <v/>
      </c>
      <c r="QE11" s="22">
        <f t="shared" si="136"/>
        <v>0</v>
      </c>
      <c r="QF11" s="22">
        <f t="shared" si="137"/>
        <v>0</v>
      </c>
      <c r="QG11" s="22">
        <f t="shared" si="138"/>
        <v>0</v>
      </c>
      <c r="QH11" s="22">
        <f t="shared" si="139"/>
        <v>0</v>
      </c>
      <c r="QI11" s="22">
        <f t="shared" si="140"/>
        <v>0</v>
      </c>
      <c r="QJ11" s="22">
        <f t="shared" si="141"/>
        <v>0</v>
      </c>
      <c r="QK11" s="22">
        <f t="shared" si="142"/>
        <v>0</v>
      </c>
      <c r="QL11" s="22">
        <f t="shared" si="143"/>
        <v>0</v>
      </c>
      <c r="QM11" s="22">
        <f t="shared" si="144"/>
        <v>0</v>
      </c>
      <c r="QN11" s="22">
        <f t="shared" si="145"/>
        <v>0</v>
      </c>
      <c r="QO11" s="22">
        <f t="shared" si="146"/>
        <v>0</v>
      </c>
      <c r="QP11" s="22">
        <f t="shared" si="147"/>
        <v>0</v>
      </c>
      <c r="QQ11" s="22">
        <f t="shared" si="148"/>
        <v>0</v>
      </c>
      <c r="QR11" s="22">
        <f t="shared" si="149"/>
        <v>0</v>
      </c>
      <c r="QS11" s="22">
        <f t="shared" si="150"/>
        <v>0</v>
      </c>
      <c r="QT11" s="22">
        <f t="shared" si="151"/>
        <v>0</v>
      </c>
      <c r="QU11" s="22">
        <f t="shared" si="152"/>
        <v>0</v>
      </c>
      <c r="QV11" s="22">
        <f t="shared" si="153"/>
        <v>0</v>
      </c>
      <c r="QW11" s="22">
        <f t="shared" si="154"/>
        <v>0</v>
      </c>
      <c r="QX11" s="22">
        <f t="shared" si="155"/>
        <v>0</v>
      </c>
      <c r="QY11" s="27" t="s">
        <v>46</v>
      </c>
      <c r="QZ11" s="40" t="str">
        <f t="shared" si="156"/>
        <v/>
      </c>
      <c r="RA11" s="40" t="str">
        <f t="shared" si="157"/>
        <v/>
      </c>
      <c r="RB11" s="40" t="str">
        <f t="shared" si="158"/>
        <v/>
      </c>
      <c r="RC11" s="40" t="str">
        <f t="shared" si="159"/>
        <v/>
      </c>
      <c r="RD11" s="40" t="str">
        <f t="shared" si="160"/>
        <v/>
      </c>
      <c r="RE11" s="40" t="str">
        <f t="shared" si="161"/>
        <v/>
      </c>
      <c r="RF11" s="40" t="str">
        <f t="shared" si="162"/>
        <v/>
      </c>
      <c r="RG11" s="40" t="str">
        <f t="shared" si="163"/>
        <v/>
      </c>
    </row>
    <row r="12" spans="1:475" x14ac:dyDescent="0.2">
      <c r="A12" s="4">
        <f t="shared" si="164"/>
        <v>9</v>
      </c>
      <c r="B12" s="5" t="s">
        <v>78</v>
      </c>
      <c r="C12" s="4" t="s">
        <v>3</v>
      </c>
      <c r="D12" s="4">
        <v>2003</v>
      </c>
      <c r="E12" s="9">
        <f t="shared" si="0"/>
        <v>109.60000654000437</v>
      </c>
      <c r="F12" s="3" t="str">
        <f t="shared" si="1"/>
        <v>P</v>
      </c>
      <c r="G12" s="3" t="str">
        <f t="shared" si="2"/>
        <v>P</v>
      </c>
      <c r="H12" s="36" t="str">
        <f t="shared" si="3"/>
        <v>National Team</v>
      </c>
      <c r="I12" s="3" t="str">
        <f t="shared" si="4"/>
        <v/>
      </c>
      <c r="J12" s="8">
        <f>IF(COUNT(AQ12,BT12,CW12)&gt;0,LARGE((AQ12,BT12,CW12),1),0)</f>
        <v>43.6</v>
      </c>
      <c r="K12" s="8" t="str">
        <f t="shared" si="5"/>
        <v>2022 Nationals</v>
      </c>
      <c r="L12" s="8">
        <f>IF(COUNT(AQ12,BT12,CW12)&gt;1,LARGE((AQ12,BT12,CW12),2),0)</f>
        <v>21.8</v>
      </c>
      <c r="M12" s="8" t="str">
        <f t="shared" si="6"/>
        <v>2022 3rd Domestic Trial</v>
      </c>
      <c r="N12" s="8">
        <f>IF(COUNT(AR12,BU12,CX12)&gt;0,LARGE((AR12,BU12,CX12),1),0)</f>
        <v>0</v>
      </c>
      <c r="O12" s="8" t="str">
        <f t="shared" si="7"/>
        <v/>
      </c>
      <c r="P12" s="8">
        <f t="shared" si="8"/>
        <v>44.2</v>
      </c>
      <c r="Q12" s="8" t="str">
        <f t="shared" si="9"/>
        <v>2022 Nationals</v>
      </c>
      <c r="R12" s="8" t="str">
        <f t="shared" si="10"/>
        <v/>
      </c>
      <c r="S12" s="11" t="str">
        <f t="shared" si="11"/>
        <v/>
      </c>
      <c r="T12" s="8" t="str">
        <f t="shared" si="12"/>
        <v/>
      </c>
      <c r="U12" s="19">
        <v>17.2</v>
      </c>
      <c r="V12" s="19">
        <v>4.3</v>
      </c>
      <c r="W12" s="19">
        <v>0</v>
      </c>
      <c r="X12" s="19">
        <v>0.3</v>
      </c>
      <c r="Y12" s="19">
        <v>17.399999999999999</v>
      </c>
      <c r="Z12" s="19">
        <v>4.0999999999999996</v>
      </c>
      <c r="AA12" s="19">
        <v>0</v>
      </c>
      <c r="AB12" s="19">
        <v>0.3</v>
      </c>
      <c r="AC12" s="19"/>
      <c r="AD12" s="19"/>
      <c r="AE12" s="19"/>
      <c r="AF12" s="19"/>
      <c r="AG12" s="19">
        <v>17.600000000000001</v>
      </c>
      <c r="AH12" s="19">
        <v>4.3</v>
      </c>
      <c r="AI12" s="19">
        <v>0</v>
      </c>
      <c r="AJ12" s="19">
        <v>0.3</v>
      </c>
      <c r="AK12" s="19">
        <v>17.600000000000001</v>
      </c>
      <c r="AL12" s="19">
        <v>4.0999999999999996</v>
      </c>
      <c r="AM12" s="19">
        <v>0</v>
      </c>
      <c r="AN12" s="19">
        <v>0.3</v>
      </c>
      <c r="AO12" s="27"/>
      <c r="AP12" s="40">
        <f t="shared" si="13"/>
        <v>8.3999999999999986</v>
      </c>
      <c r="AQ12" s="40">
        <f t="shared" si="14"/>
        <v>43.6</v>
      </c>
      <c r="AR12" s="40" t="str">
        <f t="shared" si="15"/>
        <v/>
      </c>
      <c r="AS12" s="40">
        <f t="shared" si="16"/>
        <v>8.3999999999999986</v>
      </c>
      <c r="AT12" s="40">
        <f t="shared" si="17"/>
        <v>43.6</v>
      </c>
      <c r="AU12" s="40">
        <f t="shared" si="18"/>
        <v>8.3999999999999986</v>
      </c>
      <c r="AV12" s="40">
        <f t="shared" si="19"/>
        <v>44.2</v>
      </c>
      <c r="AW12" s="40">
        <f t="shared" si="20"/>
        <v>87.800000000000011</v>
      </c>
      <c r="AX12" s="18">
        <v>8.6</v>
      </c>
      <c r="AY12" s="18">
        <v>2.15</v>
      </c>
      <c r="AZ12" s="18">
        <v>0</v>
      </c>
      <c r="BA12" s="18">
        <v>0.15</v>
      </c>
      <c r="BB12" s="18">
        <v>8.6999999999999993</v>
      </c>
      <c r="BC12" s="18">
        <v>2.0499999999999998</v>
      </c>
      <c r="BD12" s="18">
        <v>0</v>
      </c>
      <c r="BE12" s="18">
        <v>0.15</v>
      </c>
      <c r="BF12" s="18">
        <v>0</v>
      </c>
      <c r="BG12" s="18">
        <v>0</v>
      </c>
      <c r="BH12" s="18">
        <v>0</v>
      </c>
      <c r="BI12" s="18">
        <v>0</v>
      </c>
      <c r="BJ12" s="18">
        <v>8.8000000000000007</v>
      </c>
      <c r="BK12" s="18">
        <v>2.15</v>
      </c>
      <c r="BL12" s="18">
        <v>0</v>
      </c>
      <c r="BM12" s="18">
        <v>0.15</v>
      </c>
      <c r="BN12" s="18">
        <v>8.8000000000000007</v>
      </c>
      <c r="BO12" s="18">
        <v>2.0499999999999998</v>
      </c>
      <c r="BP12" s="18">
        <v>0</v>
      </c>
      <c r="BQ12" s="18">
        <v>0.15</v>
      </c>
      <c r="BR12" s="28" t="s">
        <v>46</v>
      </c>
      <c r="BS12" s="11">
        <f t="shared" si="21"/>
        <v>4.1999999999999993</v>
      </c>
      <c r="BT12" s="11">
        <f t="shared" si="22"/>
        <v>21.8</v>
      </c>
      <c r="BU12" s="11" t="str">
        <f t="shared" si="23"/>
        <v/>
      </c>
      <c r="BV12" s="11">
        <f t="shared" si="24"/>
        <v>4.1999999999999993</v>
      </c>
      <c r="BW12" s="11">
        <f t="shared" si="25"/>
        <v>21.8</v>
      </c>
      <c r="BX12" s="11">
        <f t="shared" si="26"/>
        <v>4.1999999999999993</v>
      </c>
      <c r="BY12" s="11">
        <f t="shared" si="27"/>
        <v>22.1</v>
      </c>
      <c r="BZ12" s="11">
        <f t="shared" si="28"/>
        <v>43.900000000000006</v>
      </c>
      <c r="CA12" s="19"/>
      <c r="CB12" s="19"/>
      <c r="CC12" s="19"/>
      <c r="CD12" s="19"/>
      <c r="CE12" s="19"/>
      <c r="CF12" s="19"/>
      <c r="CG12" s="19"/>
      <c r="CH12" s="19"/>
      <c r="CI12" s="19"/>
      <c r="CJ12" s="19"/>
      <c r="CK12" s="19"/>
      <c r="CL12" s="19"/>
      <c r="CM12" s="19"/>
      <c r="CN12" s="19"/>
      <c r="CO12" s="19"/>
      <c r="CP12" s="19"/>
      <c r="CQ12" s="19"/>
      <c r="CR12" s="19"/>
      <c r="CS12" s="19"/>
      <c r="CT12" s="19"/>
      <c r="CU12" s="27"/>
      <c r="CV12" s="40" t="str">
        <f t="shared" si="29"/>
        <v/>
      </c>
      <c r="CW12" s="40" t="str">
        <f t="shared" si="30"/>
        <v/>
      </c>
      <c r="CX12" s="40" t="str">
        <f t="shared" si="31"/>
        <v/>
      </c>
      <c r="CY12" s="40" t="str">
        <f t="shared" si="32"/>
        <v/>
      </c>
      <c r="CZ12" s="40" t="str">
        <f t="shared" si="33"/>
        <v/>
      </c>
      <c r="DA12" s="40" t="str">
        <f t="shared" si="34"/>
        <v/>
      </c>
      <c r="DB12" s="40" t="str">
        <f t="shared" si="35"/>
        <v/>
      </c>
      <c r="DC12" s="40" t="str">
        <f t="shared" si="36"/>
        <v/>
      </c>
      <c r="DD12" s="50" t="str">
        <f t="shared" si="37"/>
        <v/>
      </c>
      <c r="DE12" s="50" t="str">
        <f t="shared" si="38"/>
        <v/>
      </c>
      <c r="DF12" s="50" t="str">
        <f t="shared" si="39"/>
        <v/>
      </c>
      <c r="DG12" s="17"/>
      <c r="DH12" s="17"/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17"/>
      <c r="DY12" s="17"/>
      <c r="DZ12" s="17"/>
      <c r="EA12" s="40" t="str">
        <f t="shared" si="40"/>
        <v/>
      </c>
      <c r="EB12" s="40" t="str">
        <f t="shared" si="41"/>
        <v/>
      </c>
      <c r="EC12" s="40" t="str">
        <f t="shared" si="42"/>
        <v/>
      </c>
      <c r="ED12" s="40" t="str">
        <f t="shared" si="43"/>
        <v/>
      </c>
      <c r="EE12" s="40" t="str">
        <f t="shared" si="44"/>
        <v/>
      </c>
      <c r="EF12" s="40" t="str">
        <f t="shared" si="45"/>
        <v/>
      </c>
      <c r="EG12" s="40" t="str">
        <f t="shared" si="46"/>
        <v/>
      </c>
      <c r="EH12" s="40" t="str">
        <f t="shared" si="47"/>
        <v/>
      </c>
      <c r="EI12" s="18"/>
      <c r="EJ12" s="18"/>
      <c r="EK12" s="18"/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8"/>
      <c r="FA12" s="18"/>
      <c r="FB12" s="18"/>
      <c r="FC12" s="11" t="str">
        <f t="shared" si="48"/>
        <v/>
      </c>
      <c r="FD12" s="11" t="str">
        <f t="shared" si="49"/>
        <v/>
      </c>
      <c r="FE12" s="11" t="str">
        <f t="shared" si="50"/>
        <v/>
      </c>
      <c r="FF12" s="11" t="str">
        <f t="shared" si="51"/>
        <v/>
      </c>
      <c r="FG12" s="11" t="str">
        <f t="shared" si="52"/>
        <v/>
      </c>
      <c r="FH12" s="11" t="str">
        <f t="shared" si="53"/>
        <v/>
      </c>
      <c r="FI12" s="11" t="str">
        <f t="shared" si="54"/>
        <v/>
      </c>
      <c r="FJ12" s="11" t="str">
        <f t="shared" si="55"/>
        <v/>
      </c>
      <c r="FK12" s="17"/>
      <c r="FL12" s="17"/>
      <c r="FM12" s="17"/>
      <c r="FN12" s="17"/>
      <c r="FO12" s="17"/>
      <c r="FP12" s="17"/>
      <c r="FQ12" s="17"/>
      <c r="FR12" s="17"/>
      <c r="FS12" s="17"/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40" t="str">
        <f t="shared" si="56"/>
        <v/>
      </c>
      <c r="GF12" s="40" t="str">
        <f t="shared" si="57"/>
        <v/>
      </c>
      <c r="GG12" s="40" t="str">
        <f t="shared" si="58"/>
        <v/>
      </c>
      <c r="GH12" s="40" t="str">
        <f t="shared" si="59"/>
        <v/>
      </c>
      <c r="GI12" s="40" t="str">
        <f t="shared" si="60"/>
        <v/>
      </c>
      <c r="GJ12" s="40" t="str">
        <f t="shared" si="61"/>
        <v/>
      </c>
      <c r="GK12" s="40" t="str">
        <f t="shared" si="62"/>
        <v/>
      </c>
      <c r="GL12" s="40" t="str">
        <f t="shared" si="63"/>
        <v/>
      </c>
      <c r="GM12" s="18"/>
      <c r="GN12" s="18"/>
      <c r="GO12" s="18"/>
      <c r="GP12" s="18"/>
      <c r="GQ12" s="18"/>
      <c r="GR12" s="18"/>
      <c r="GS12" s="18"/>
      <c r="GT12" s="18"/>
      <c r="GU12" s="18"/>
      <c r="GV12" s="18"/>
      <c r="GW12" s="18"/>
      <c r="GX12" s="18"/>
      <c r="GY12" s="18"/>
      <c r="GZ12" s="18"/>
      <c r="HA12" s="18"/>
      <c r="HB12" s="18"/>
      <c r="HC12" s="18"/>
      <c r="HD12" s="18"/>
      <c r="HE12" s="18"/>
      <c r="HF12" s="18"/>
      <c r="HG12" s="11" t="str">
        <f t="shared" si="64"/>
        <v/>
      </c>
      <c r="HH12" s="11" t="str">
        <f t="shared" si="65"/>
        <v/>
      </c>
      <c r="HI12" s="11" t="str">
        <f t="shared" si="66"/>
        <v/>
      </c>
      <c r="HJ12" s="11" t="str">
        <f t="shared" si="67"/>
        <v/>
      </c>
      <c r="HK12" s="11" t="str">
        <f t="shared" si="68"/>
        <v/>
      </c>
      <c r="HL12" s="11" t="str">
        <f t="shared" si="69"/>
        <v/>
      </c>
      <c r="HM12" s="11" t="str">
        <f t="shared" si="70"/>
        <v/>
      </c>
      <c r="HN12" s="11" t="str">
        <f t="shared" si="71"/>
        <v/>
      </c>
      <c r="HO12" s="17"/>
      <c r="HP12" s="17"/>
      <c r="HQ12" s="17"/>
      <c r="HR12" s="17"/>
      <c r="HS12" s="17"/>
      <c r="HT12" s="17"/>
      <c r="HU12" s="17"/>
      <c r="HV12" s="17"/>
      <c r="HW12" s="17"/>
      <c r="HX12" s="17"/>
      <c r="HY12" s="17"/>
      <c r="HZ12" s="17"/>
      <c r="IA12" s="17"/>
      <c r="IB12" s="17"/>
      <c r="IC12" s="17"/>
      <c r="ID12" s="17"/>
      <c r="IE12" s="17"/>
      <c r="IF12" s="17"/>
      <c r="IG12" s="17"/>
      <c r="IH12" s="17"/>
      <c r="II12" s="40" t="str">
        <f t="shared" si="72"/>
        <v/>
      </c>
      <c r="IJ12" s="40" t="str">
        <f t="shared" si="73"/>
        <v/>
      </c>
      <c r="IK12" s="40" t="str">
        <f t="shared" si="74"/>
        <v/>
      </c>
      <c r="IL12" s="40" t="str">
        <f t="shared" si="75"/>
        <v/>
      </c>
      <c r="IM12" s="40" t="str">
        <f t="shared" si="76"/>
        <v/>
      </c>
      <c r="IN12" s="40" t="str">
        <f t="shared" si="77"/>
        <v/>
      </c>
      <c r="IO12" s="40" t="str">
        <f t="shared" si="78"/>
        <v/>
      </c>
      <c r="IP12" s="40" t="str">
        <f t="shared" si="79"/>
        <v/>
      </c>
      <c r="IQ12" s="18"/>
      <c r="IR12" s="18"/>
      <c r="IS12" s="18"/>
      <c r="IT12" s="18"/>
      <c r="IU12" s="18"/>
      <c r="IV12" s="18"/>
      <c r="IW12" s="18"/>
      <c r="IX12" s="18"/>
      <c r="IY12" s="18"/>
      <c r="IZ12" s="18"/>
      <c r="JA12" s="18"/>
      <c r="JB12" s="18"/>
      <c r="JC12" s="18"/>
      <c r="JD12" s="18"/>
      <c r="JE12" s="18"/>
      <c r="JF12" s="18"/>
      <c r="JG12" s="18"/>
      <c r="JH12" s="18"/>
      <c r="JI12" s="18"/>
      <c r="JJ12" s="18"/>
      <c r="JK12" s="11" t="str">
        <f t="shared" si="80"/>
        <v/>
      </c>
      <c r="JL12" s="11" t="str">
        <f t="shared" si="81"/>
        <v/>
      </c>
      <c r="JM12" s="11" t="str">
        <f t="shared" si="82"/>
        <v/>
      </c>
      <c r="JN12" s="11" t="str">
        <f t="shared" si="83"/>
        <v/>
      </c>
      <c r="JO12" s="11" t="str">
        <f t="shared" si="84"/>
        <v/>
      </c>
      <c r="JP12" s="11" t="str">
        <f t="shared" si="85"/>
        <v/>
      </c>
      <c r="JQ12" s="11" t="str">
        <f t="shared" si="86"/>
        <v/>
      </c>
      <c r="JR12" s="11" t="str">
        <f t="shared" si="87"/>
        <v/>
      </c>
      <c r="JS12" s="17"/>
      <c r="JT12" s="17"/>
      <c r="JU12" s="17"/>
      <c r="JV12" s="17"/>
      <c r="JW12" s="17"/>
      <c r="JX12" s="17"/>
      <c r="JY12" s="17"/>
      <c r="JZ12" s="17"/>
      <c r="KA12" s="17"/>
      <c r="KB12" s="17"/>
      <c r="KC12" s="17"/>
      <c r="KD12" s="17"/>
      <c r="KE12" s="17"/>
      <c r="KF12" s="17"/>
      <c r="KG12" s="17"/>
      <c r="KH12" s="17"/>
      <c r="KI12" s="17"/>
      <c r="KJ12" s="17"/>
      <c r="KK12" s="17"/>
      <c r="KL12" s="17"/>
      <c r="KM12" s="40" t="str">
        <f t="shared" si="88"/>
        <v/>
      </c>
      <c r="KN12" s="40" t="str">
        <f t="shared" si="89"/>
        <v/>
      </c>
      <c r="KO12" s="40" t="str">
        <f t="shared" si="90"/>
        <v/>
      </c>
      <c r="KP12" s="40" t="str">
        <f t="shared" si="91"/>
        <v/>
      </c>
      <c r="KQ12" s="40" t="str">
        <f t="shared" si="92"/>
        <v/>
      </c>
      <c r="KR12" s="40" t="str">
        <f t="shared" si="93"/>
        <v/>
      </c>
      <c r="KS12" s="40" t="str">
        <f t="shared" si="94"/>
        <v/>
      </c>
      <c r="KT12" s="40" t="str">
        <f t="shared" si="95"/>
        <v/>
      </c>
      <c r="KU12" s="18"/>
      <c r="KV12" s="18"/>
      <c r="KW12" s="18"/>
      <c r="KX12" s="18"/>
      <c r="KY12" s="18"/>
      <c r="KZ12" s="18"/>
      <c r="LA12" s="18"/>
      <c r="LB12" s="18"/>
      <c r="LC12" s="18"/>
      <c r="LD12" s="18"/>
      <c r="LE12" s="18"/>
      <c r="LF12" s="18"/>
      <c r="LG12" s="18"/>
      <c r="LH12" s="18"/>
      <c r="LI12" s="18"/>
      <c r="LJ12" s="18"/>
      <c r="LK12" s="18"/>
      <c r="LL12" s="18"/>
      <c r="LM12" s="18"/>
      <c r="LN12" s="18"/>
      <c r="LO12" s="11" t="str">
        <f t="shared" si="96"/>
        <v/>
      </c>
      <c r="LP12" s="11" t="str">
        <f t="shared" si="97"/>
        <v/>
      </c>
      <c r="LQ12" s="11" t="str">
        <f t="shared" si="98"/>
        <v/>
      </c>
      <c r="LR12" s="11" t="str">
        <f t="shared" si="99"/>
        <v/>
      </c>
      <c r="LS12" s="11" t="str">
        <f t="shared" si="100"/>
        <v/>
      </c>
      <c r="LT12" s="11" t="str">
        <f t="shared" si="101"/>
        <v/>
      </c>
      <c r="LU12" s="11" t="str">
        <f t="shared" si="102"/>
        <v/>
      </c>
      <c r="LV12" s="11" t="str">
        <f t="shared" si="103"/>
        <v/>
      </c>
      <c r="LW12" s="17"/>
      <c r="LX12" s="17"/>
      <c r="LY12" s="17"/>
      <c r="LZ12" s="17"/>
      <c r="MA12" s="17"/>
      <c r="MB12" s="17"/>
      <c r="MC12" s="17"/>
      <c r="MD12" s="17"/>
      <c r="ME12" s="17"/>
      <c r="MF12" s="17"/>
      <c r="MG12" s="17"/>
      <c r="MH12" s="17"/>
      <c r="MI12" s="17"/>
      <c r="MJ12" s="17"/>
      <c r="MK12" s="17"/>
      <c r="ML12" s="17"/>
      <c r="MM12" s="17"/>
      <c r="MN12" s="17"/>
      <c r="MO12" s="17"/>
      <c r="MP12" s="17"/>
      <c r="MQ12" s="40" t="str">
        <f t="shared" si="104"/>
        <v/>
      </c>
      <c r="MR12" s="40" t="str">
        <f t="shared" si="105"/>
        <v/>
      </c>
      <c r="MS12" s="40" t="str">
        <f t="shared" si="106"/>
        <v/>
      </c>
      <c r="MT12" s="40" t="str">
        <f t="shared" si="107"/>
        <v/>
      </c>
      <c r="MU12" s="40" t="str">
        <f t="shared" si="108"/>
        <v/>
      </c>
      <c r="MV12" s="40" t="str">
        <f t="shared" si="109"/>
        <v/>
      </c>
      <c r="MW12" s="40" t="str">
        <f t="shared" si="110"/>
        <v/>
      </c>
      <c r="MX12" s="40" t="str">
        <f t="shared" si="111"/>
        <v/>
      </c>
      <c r="MY12" s="18"/>
      <c r="MZ12" s="18"/>
      <c r="NA12" s="18"/>
      <c r="NB12" s="18"/>
      <c r="NC12" s="18"/>
      <c r="ND12" s="18"/>
      <c r="NE12" s="18"/>
      <c r="NF12" s="18"/>
      <c r="NG12" s="18"/>
      <c r="NH12" s="18"/>
      <c r="NI12" s="18"/>
      <c r="NJ12" s="18"/>
      <c r="NK12" s="18"/>
      <c r="NL12" s="18"/>
      <c r="NM12" s="18"/>
      <c r="NN12" s="18"/>
      <c r="NO12" s="18"/>
      <c r="NP12" s="18"/>
      <c r="NQ12" s="18"/>
      <c r="NR12" s="18"/>
      <c r="NS12" s="11" t="str">
        <f t="shared" si="112"/>
        <v/>
      </c>
      <c r="NT12" s="11" t="str">
        <f t="shared" si="113"/>
        <v/>
      </c>
      <c r="NU12" s="11" t="str">
        <f t="shared" si="114"/>
        <v/>
      </c>
      <c r="NV12" s="11" t="str">
        <f t="shared" si="115"/>
        <v/>
      </c>
      <c r="NW12" s="11" t="str">
        <f t="shared" si="116"/>
        <v/>
      </c>
      <c r="NX12" s="11" t="str">
        <f t="shared" si="117"/>
        <v/>
      </c>
      <c r="NY12" s="11" t="str">
        <f t="shared" si="118"/>
        <v/>
      </c>
      <c r="NZ12" s="11" t="str">
        <f t="shared" si="119"/>
        <v/>
      </c>
      <c r="OA12" s="17"/>
      <c r="OB12" s="17"/>
      <c r="OC12" s="17"/>
      <c r="OD12" s="17"/>
      <c r="OE12" s="17"/>
      <c r="OF12" s="17"/>
      <c r="OG12" s="17"/>
      <c r="OH12" s="17"/>
      <c r="OI12" s="17"/>
      <c r="OJ12" s="17"/>
      <c r="OK12" s="17"/>
      <c r="OL12" s="17"/>
      <c r="OM12" s="17"/>
      <c r="ON12" s="17"/>
      <c r="OO12" s="17"/>
      <c r="OP12" s="17"/>
      <c r="OQ12" s="17"/>
      <c r="OR12" s="17"/>
      <c r="OS12" s="17"/>
      <c r="OT12" s="17"/>
      <c r="OU12" s="40" t="str">
        <f t="shared" si="120"/>
        <v/>
      </c>
      <c r="OV12" s="40" t="str">
        <f t="shared" si="121"/>
        <v/>
      </c>
      <c r="OW12" s="40" t="str">
        <f t="shared" si="122"/>
        <v/>
      </c>
      <c r="OX12" s="40" t="str">
        <f t="shared" si="123"/>
        <v/>
      </c>
      <c r="OY12" s="40" t="str">
        <f t="shared" si="124"/>
        <v/>
      </c>
      <c r="OZ12" s="40" t="str">
        <f t="shared" si="125"/>
        <v/>
      </c>
      <c r="PA12" s="40" t="str">
        <f t="shared" si="126"/>
        <v/>
      </c>
      <c r="PB12" s="40" t="str">
        <f t="shared" si="127"/>
        <v/>
      </c>
      <c r="PC12" s="18"/>
      <c r="PD12" s="18"/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8"/>
      <c r="PS12" s="18"/>
      <c r="PT12" s="18"/>
      <c r="PU12" s="18"/>
      <c r="PV12" s="18"/>
      <c r="PW12" s="11" t="str">
        <f t="shared" si="128"/>
        <v/>
      </c>
      <c r="PX12" s="11" t="str">
        <f t="shared" si="129"/>
        <v/>
      </c>
      <c r="PY12" s="11" t="str">
        <f t="shared" si="130"/>
        <v/>
      </c>
      <c r="PZ12" s="11" t="str">
        <f t="shared" si="131"/>
        <v/>
      </c>
      <c r="QA12" s="11" t="str">
        <f t="shared" si="132"/>
        <v/>
      </c>
      <c r="QB12" s="11" t="str">
        <f t="shared" si="133"/>
        <v/>
      </c>
      <c r="QC12" s="11" t="str">
        <f t="shared" si="134"/>
        <v/>
      </c>
      <c r="QD12" s="11" t="str">
        <f t="shared" si="135"/>
        <v/>
      </c>
      <c r="QE12" s="22">
        <f t="shared" si="136"/>
        <v>4.3</v>
      </c>
      <c r="QF12" s="22">
        <f t="shared" si="137"/>
        <v>1.075</v>
      </c>
      <c r="QG12" s="22">
        <f t="shared" si="138"/>
        <v>0</v>
      </c>
      <c r="QH12" s="22">
        <f t="shared" si="139"/>
        <v>7.4999999999999997E-2</v>
      </c>
      <c r="QI12" s="22">
        <f t="shared" si="140"/>
        <v>4.3499999999999996</v>
      </c>
      <c r="QJ12" s="22">
        <f t="shared" si="141"/>
        <v>1.0249999999999999</v>
      </c>
      <c r="QK12" s="22">
        <f t="shared" si="142"/>
        <v>0</v>
      </c>
      <c r="QL12" s="22">
        <f t="shared" si="143"/>
        <v>7.4999999999999997E-2</v>
      </c>
      <c r="QM12" s="22">
        <f t="shared" si="144"/>
        <v>0</v>
      </c>
      <c r="QN12" s="22">
        <f t="shared" si="145"/>
        <v>0</v>
      </c>
      <c r="QO12" s="22">
        <f t="shared" si="146"/>
        <v>0</v>
      </c>
      <c r="QP12" s="22">
        <f t="shared" si="147"/>
        <v>0</v>
      </c>
      <c r="QQ12" s="22">
        <f t="shared" si="148"/>
        <v>4.4000000000000004</v>
      </c>
      <c r="QR12" s="22">
        <f t="shared" si="149"/>
        <v>1.075</v>
      </c>
      <c r="QS12" s="22">
        <f t="shared" si="150"/>
        <v>0</v>
      </c>
      <c r="QT12" s="22">
        <f t="shared" si="151"/>
        <v>7.4999999999999997E-2</v>
      </c>
      <c r="QU12" s="22">
        <f t="shared" si="152"/>
        <v>4.4000000000000004</v>
      </c>
      <c r="QV12" s="22">
        <f t="shared" si="153"/>
        <v>1.0249999999999999</v>
      </c>
      <c r="QW12" s="22">
        <f t="shared" si="154"/>
        <v>0</v>
      </c>
      <c r="QX12" s="22">
        <f t="shared" si="155"/>
        <v>7.4999999999999997E-2</v>
      </c>
      <c r="QY12" s="27" t="s">
        <v>46</v>
      </c>
      <c r="QZ12" s="40">
        <f t="shared" si="156"/>
        <v>2.0999999999999996</v>
      </c>
      <c r="RA12" s="40">
        <f t="shared" si="157"/>
        <v>10.9</v>
      </c>
      <c r="RB12" s="40" t="str">
        <f t="shared" si="158"/>
        <v/>
      </c>
      <c r="RC12" s="40">
        <f t="shared" si="159"/>
        <v>2.0999999999999996</v>
      </c>
      <c r="RD12" s="40">
        <f t="shared" si="160"/>
        <v>10.9</v>
      </c>
      <c r="RE12" s="40">
        <f t="shared" si="161"/>
        <v>2.0999999999999996</v>
      </c>
      <c r="RF12" s="40">
        <f t="shared" si="162"/>
        <v>11.05</v>
      </c>
      <c r="RG12" s="40">
        <f t="shared" si="163"/>
        <v>21.950000000000003</v>
      </c>
    </row>
    <row r="13" spans="1:475" x14ac:dyDescent="0.2">
      <c r="A13" s="4">
        <f t="shared" si="164"/>
        <v>10</v>
      </c>
      <c r="B13" s="5" t="s">
        <v>210</v>
      </c>
      <c r="C13" s="4" t="s">
        <v>4</v>
      </c>
      <c r="D13" s="4">
        <v>2005</v>
      </c>
      <c r="E13" s="9">
        <f t="shared" si="0"/>
        <v>94.700005240003165</v>
      </c>
      <c r="F13" s="3" t="str">
        <f t="shared" si="1"/>
        <v>P</v>
      </c>
      <c r="G13" s="3" t="str">
        <f t="shared" si="2"/>
        <v>P</v>
      </c>
      <c r="H13" s="36" t="str">
        <f t="shared" si="3"/>
        <v>National Team</v>
      </c>
      <c r="I13" s="3" t="str">
        <f t="shared" si="4"/>
        <v/>
      </c>
      <c r="J13" s="8">
        <f>IF(COUNT(AQ13,BT13,CW13)&gt;0,LARGE((AQ13,BT13,CW13),1),0)</f>
        <v>31.8</v>
      </c>
      <c r="K13" s="8" t="str">
        <f t="shared" si="5"/>
        <v>2023 Elite Canada</v>
      </c>
      <c r="L13" s="8">
        <f>IF(COUNT(AQ13,BT13,CW13)&gt;1,LARGE((AQ13,BT13,CW13),2),0)</f>
        <v>0</v>
      </c>
      <c r="M13" s="8" t="str">
        <f t="shared" si="6"/>
        <v/>
      </c>
      <c r="N13" s="8">
        <f>IF(COUNT(AR13,BU13,CX13)&gt;0,LARGE((AR13,BU13,CX13),1),0)</f>
        <v>20.599999999999998</v>
      </c>
      <c r="O13" s="8" t="str">
        <f t="shared" si="7"/>
        <v>2023 Elite Canada</v>
      </c>
      <c r="P13" s="8">
        <f t="shared" si="8"/>
        <v>42.3</v>
      </c>
      <c r="Q13" s="8" t="str">
        <f t="shared" si="9"/>
        <v>2023 Elite Canada</v>
      </c>
      <c r="R13" s="8" t="str">
        <f t="shared" si="10"/>
        <v/>
      </c>
      <c r="S13" s="11" t="str">
        <f t="shared" si="11"/>
        <v/>
      </c>
      <c r="T13" s="8" t="str">
        <f t="shared" si="12"/>
        <v/>
      </c>
      <c r="U13" s="19"/>
      <c r="V13" s="19"/>
      <c r="W13" s="19"/>
      <c r="X13" s="19"/>
      <c r="Y13" s="19"/>
      <c r="Z13" s="19"/>
      <c r="AA13" s="19"/>
      <c r="AB13" s="19"/>
      <c r="AC13" s="19"/>
      <c r="AD13" s="19"/>
      <c r="AE13" s="19"/>
      <c r="AF13" s="19"/>
      <c r="AG13" s="19"/>
      <c r="AH13" s="19"/>
      <c r="AI13" s="19"/>
      <c r="AJ13" s="19"/>
      <c r="AK13" s="19"/>
      <c r="AL13" s="19"/>
      <c r="AM13" s="19"/>
      <c r="AN13" s="19"/>
      <c r="AO13" s="27"/>
      <c r="AP13" s="40" t="str">
        <f t="shared" si="13"/>
        <v/>
      </c>
      <c r="AQ13" s="40" t="str">
        <f t="shared" si="14"/>
        <v/>
      </c>
      <c r="AR13" s="40" t="str">
        <f t="shared" si="15"/>
        <v/>
      </c>
      <c r="AS13" s="40" t="str">
        <f t="shared" si="16"/>
        <v/>
      </c>
      <c r="AT13" s="40" t="str">
        <f t="shared" si="17"/>
        <v/>
      </c>
      <c r="AU13" s="40" t="str">
        <f t="shared" si="18"/>
        <v/>
      </c>
      <c r="AV13" s="40" t="str">
        <f t="shared" si="19"/>
        <v/>
      </c>
      <c r="AW13" s="40" t="str">
        <f t="shared" si="20"/>
        <v/>
      </c>
      <c r="AX13" s="18"/>
      <c r="AY13" s="18"/>
      <c r="AZ13" s="18"/>
      <c r="BA13" s="18"/>
      <c r="BB13" s="18"/>
      <c r="BC13" s="18"/>
      <c r="BD13" s="18"/>
      <c r="BE13" s="18"/>
      <c r="BF13" s="18"/>
      <c r="BG13" s="18"/>
      <c r="BH13" s="18"/>
      <c r="BI13" s="18"/>
      <c r="BJ13" s="18"/>
      <c r="BK13" s="18"/>
      <c r="BL13" s="18"/>
      <c r="BM13" s="18"/>
      <c r="BN13" s="18"/>
      <c r="BO13" s="18"/>
      <c r="BP13" s="18"/>
      <c r="BQ13" s="18"/>
      <c r="BR13" s="28"/>
      <c r="BS13" s="11" t="str">
        <f t="shared" si="21"/>
        <v/>
      </c>
      <c r="BT13" s="11" t="str">
        <f t="shared" si="22"/>
        <v/>
      </c>
      <c r="BU13" s="11" t="str">
        <f t="shared" si="23"/>
        <v/>
      </c>
      <c r="BV13" s="11" t="str">
        <f t="shared" si="24"/>
        <v/>
      </c>
      <c r="BW13" s="11" t="str">
        <f t="shared" si="25"/>
        <v/>
      </c>
      <c r="BX13" s="11" t="str">
        <f t="shared" si="26"/>
        <v/>
      </c>
      <c r="BY13" s="11" t="str">
        <f t="shared" si="27"/>
        <v/>
      </c>
      <c r="BZ13" s="11" t="str">
        <f t="shared" si="28"/>
        <v/>
      </c>
      <c r="CA13" s="19">
        <v>16.100000000000001</v>
      </c>
      <c r="CB13" s="19">
        <v>1.2</v>
      </c>
      <c r="CC13" s="19">
        <v>0</v>
      </c>
      <c r="CD13" s="19">
        <v>0</v>
      </c>
      <c r="CE13" s="19">
        <v>11.7</v>
      </c>
      <c r="CF13" s="19">
        <v>2.2000000000000002</v>
      </c>
      <c r="CG13" s="19">
        <v>0</v>
      </c>
      <c r="CH13" s="19">
        <v>0.6</v>
      </c>
      <c r="CI13" s="19">
        <v>17.399999999999999</v>
      </c>
      <c r="CJ13" s="19">
        <v>3.2</v>
      </c>
      <c r="CK13" s="19">
        <v>0</v>
      </c>
      <c r="CL13" s="19">
        <v>0</v>
      </c>
      <c r="CM13" s="19">
        <v>17.3</v>
      </c>
      <c r="CN13" s="19">
        <v>3.4</v>
      </c>
      <c r="CO13" s="19">
        <v>0.2</v>
      </c>
      <c r="CP13" s="19">
        <v>0</v>
      </c>
      <c r="CQ13" s="19">
        <v>16.600000000000001</v>
      </c>
      <c r="CR13" s="19">
        <v>4.5999999999999996</v>
      </c>
      <c r="CS13" s="19">
        <v>0</v>
      </c>
      <c r="CT13" s="19">
        <v>0.6</v>
      </c>
      <c r="CU13" s="27"/>
      <c r="CV13" s="40">
        <f t="shared" si="29"/>
        <v>3.4000000000000004</v>
      </c>
      <c r="CW13" s="40">
        <f t="shared" si="30"/>
        <v>31.8</v>
      </c>
      <c r="CX13" s="40">
        <f t="shared" si="31"/>
        <v>20.599999999999998</v>
      </c>
      <c r="CY13" s="40">
        <f t="shared" si="32"/>
        <v>6.6000000000000005</v>
      </c>
      <c r="CZ13" s="40">
        <f t="shared" si="33"/>
        <v>52.4</v>
      </c>
      <c r="DA13" s="40">
        <f t="shared" si="34"/>
        <v>8</v>
      </c>
      <c r="DB13" s="40">
        <f t="shared" si="35"/>
        <v>42.3</v>
      </c>
      <c r="DC13" s="40">
        <f t="shared" si="36"/>
        <v>74.099999999999994</v>
      </c>
      <c r="DD13" s="50" t="str">
        <f t="shared" si="37"/>
        <v/>
      </c>
      <c r="DE13" s="50" t="str">
        <f t="shared" si="38"/>
        <v/>
      </c>
      <c r="DF13" s="50" t="str">
        <f t="shared" si="39"/>
        <v/>
      </c>
      <c r="DG13" s="17"/>
      <c r="DH13" s="17"/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17"/>
      <c r="DY13" s="17"/>
      <c r="DZ13" s="17"/>
      <c r="EA13" s="40" t="str">
        <f t="shared" si="40"/>
        <v/>
      </c>
      <c r="EB13" s="40" t="str">
        <f t="shared" si="41"/>
        <v/>
      </c>
      <c r="EC13" s="40" t="str">
        <f t="shared" si="42"/>
        <v/>
      </c>
      <c r="ED13" s="40" t="str">
        <f t="shared" si="43"/>
        <v/>
      </c>
      <c r="EE13" s="40" t="str">
        <f t="shared" si="44"/>
        <v/>
      </c>
      <c r="EF13" s="40" t="str">
        <f t="shared" si="45"/>
        <v/>
      </c>
      <c r="EG13" s="40" t="str">
        <f t="shared" si="46"/>
        <v/>
      </c>
      <c r="EH13" s="40" t="str">
        <f t="shared" si="47"/>
        <v/>
      </c>
      <c r="EI13" s="18"/>
      <c r="EJ13" s="18"/>
      <c r="EK13" s="18"/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8"/>
      <c r="FA13" s="18"/>
      <c r="FB13" s="18"/>
      <c r="FC13" s="11" t="str">
        <f t="shared" si="48"/>
        <v/>
      </c>
      <c r="FD13" s="11" t="str">
        <f t="shared" si="49"/>
        <v/>
      </c>
      <c r="FE13" s="11" t="str">
        <f t="shared" si="50"/>
        <v/>
      </c>
      <c r="FF13" s="11" t="str">
        <f t="shared" si="51"/>
        <v/>
      </c>
      <c r="FG13" s="11" t="str">
        <f t="shared" si="52"/>
        <v/>
      </c>
      <c r="FH13" s="11" t="str">
        <f t="shared" si="53"/>
        <v/>
      </c>
      <c r="FI13" s="11" t="str">
        <f t="shared" si="54"/>
        <v/>
      </c>
      <c r="FJ13" s="11" t="str">
        <f t="shared" si="55"/>
        <v/>
      </c>
      <c r="FK13" s="17"/>
      <c r="FL13" s="17"/>
      <c r="FM13" s="17"/>
      <c r="FN13" s="17"/>
      <c r="FO13" s="17"/>
      <c r="FP13" s="17"/>
      <c r="FQ13" s="17"/>
      <c r="FR13" s="17"/>
      <c r="FS13" s="17"/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40" t="str">
        <f t="shared" si="56"/>
        <v/>
      </c>
      <c r="GF13" s="40" t="str">
        <f t="shared" si="57"/>
        <v/>
      </c>
      <c r="GG13" s="40" t="str">
        <f t="shared" si="58"/>
        <v/>
      </c>
      <c r="GH13" s="40" t="str">
        <f t="shared" si="59"/>
        <v/>
      </c>
      <c r="GI13" s="40" t="str">
        <f t="shared" si="60"/>
        <v/>
      </c>
      <c r="GJ13" s="40" t="str">
        <f t="shared" si="61"/>
        <v/>
      </c>
      <c r="GK13" s="40" t="str">
        <f t="shared" si="62"/>
        <v/>
      </c>
      <c r="GL13" s="40" t="str">
        <f t="shared" si="63"/>
        <v/>
      </c>
      <c r="GM13" s="18"/>
      <c r="GN13" s="18"/>
      <c r="GO13" s="18"/>
      <c r="GP13" s="18"/>
      <c r="GQ13" s="18"/>
      <c r="GR13" s="18"/>
      <c r="GS13" s="18"/>
      <c r="GT13" s="18"/>
      <c r="GU13" s="18"/>
      <c r="GV13" s="18"/>
      <c r="GW13" s="18"/>
      <c r="GX13" s="18"/>
      <c r="GY13" s="18"/>
      <c r="GZ13" s="18"/>
      <c r="HA13" s="18"/>
      <c r="HB13" s="18"/>
      <c r="HC13" s="18"/>
      <c r="HD13" s="18"/>
      <c r="HE13" s="18"/>
      <c r="HF13" s="18"/>
      <c r="HG13" s="11" t="str">
        <f t="shared" si="64"/>
        <v/>
      </c>
      <c r="HH13" s="11" t="str">
        <f t="shared" si="65"/>
        <v/>
      </c>
      <c r="HI13" s="11" t="str">
        <f t="shared" si="66"/>
        <v/>
      </c>
      <c r="HJ13" s="11" t="str">
        <f t="shared" si="67"/>
        <v/>
      </c>
      <c r="HK13" s="11" t="str">
        <f t="shared" si="68"/>
        <v/>
      </c>
      <c r="HL13" s="11" t="str">
        <f t="shared" si="69"/>
        <v/>
      </c>
      <c r="HM13" s="11" t="str">
        <f t="shared" si="70"/>
        <v/>
      </c>
      <c r="HN13" s="11" t="str">
        <f t="shared" si="71"/>
        <v/>
      </c>
      <c r="HO13" s="17"/>
      <c r="HP13" s="17"/>
      <c r="HQ13" s="17"/>
      <c r="HR13" s="17"/>
      <c r="HS13" s="17"/>
      <c r="HT13" s="17"/>
      <c r="HU13" s="17"/>
      <c r="HV13" s="17"/>
      <c r="HW13" s="17"/>
      <c r="HX13" s="17"/>
      <c r="HY13" s="17"/>
      <c r="HZ13" s="17"/>
      <c r="IA13" s="17"/>
      <c r="IB13" s="17"/>
      <c r="IC13" s="17"/>
      <c r="ID13" s="17"/>
      <c r="IE13" s="17"/>
      <c r="IF13" s="17"/>
      <c r="IG13" s="17"/>
      <c r="IH13" s="17"/>
      <c r="II13" s="40" t="str">
        <f t="shared" si="72"/>
        <v/>
      </c>
      <c r="IJ13" s="40" t="str">
        <f t="shared" si="73"/>
        <v/>
      </c>
      <c r="IK13" s="40" t="str">
        <f t="shared" si="74"/>
        <v/>
      </c>
      <c r="IL13" s="40" t="str">
        <f t="shared" si="75"/>
        <v/>
      </c>
      <c r="IM13" s="40" t="str">
        <f t="shared" si="76"/>
        <v/>
      </c>
      <c r="IN13" s="40" t="str">
        <f t="shared" si="77"/>
        <v/>
      </c>
      <c r="IO13" s="40" t="str">
        <f t="shared" si="78"/>
        <v/>
      </c>
      <c r="IP13" s="40" t="str">
        <f t="shared" si="79"/>
        <v/>
      </c>
      <c r="IQ13" s="18"/>
      <c r="IR13" s="18"/>
      <c r="IS13" s="18"/>
      <c r="IT13" s="18"/>
      <c r="IU13" s="18"/>
      <c r="IV13" s="18"/>
      <c r="IW13" s="18"/>
      <c r="IX13" s="18"/>
      <c r="IY13" s="18"/>
      <c r="IZ13" s="18"/>
      <c r="JA13" s="18"/>
      <c r="JB13" s="18"/>
      <c r="JC13" s="18"/>
      <c r="JD13" s="18"/>
      <c r="JE13" s="18"/>
      <c r="JF13" s="18"/>
      <c r="JG13" s="18"/>
      <c r="JH13" s="18"/>
      <c r="JI13" s="18"/>
      <c r="JJ13" s="18"/>
      <c r="JK13" s="11" t="str">
        <f t="shared" si="80"/>
        <v/>
      </c>
      <c r="JL13" s="11" t="str">
        <f t="shared" si="81"/>
        <v/>
      </c>
      <c r="JM13" s="11" t="str">
        <f t="shared" si="82"/>
        <v/>
      </c>
      <c r="JN13" s="11" t="str">
        <f t="shared" si="83"/>
        <v/>
      </c>
      <c r="JO13" s="11" t="str">
        <f t="shared" si="84"/>
        <v/>
      </c>
      <c r="JP13" s="11" t="str">
        <f t="shared" si="85"/>
        <v/>
      </c>
      <c r="JQ13" s="11" t="str">
        <f t="shared" si="86"/>
        <v/>
      </c>
      <c r="JR13" s="11" t="str">
        <f t="shared" si="87"/>
        <v/>
      </c>
      <c r="JS13" s="17"/>
      <c r="JT13" s="17"/>
      <c r="JU13" s="17"/>
      <c r="JV13" s="17"/>
      <c r="JW13" s="17"/>
      <c r="JX13" s="17"/>
      <c r="JY13" s="17"/>
      <c r="JZ13" s="17"/>
      <c r="KA13" s="17"/>
      <c r="KB13" s="17"/>
      <c r="KC13" s="17"/>
      <c r="KD13" s="17"/>
      <c r="KE13" s="17"/>
      <c r="KF13" s="17"/>
      <c r="KG13" s="17"/>
      <c r="KH13" s="17"/>
      <c r="KI13" s="17"/>
      <c r="KJ13" s="17"/>
      <c r="KK13" s="17"/>
      <c r="KL13" s="17"/>
      <c r="KM13" s="40" t="str">
        <f t="shared" si="88"/>
        <v/>
      </c>
      <c r="KN13" s="40" t="str">
        <f t="shared" si="89"/>
        <v/>
      </c>
      <c r="KO13" s="40" t="str">
        <f t="shared" si="90"/>
        <v/>
      </c>
      <c r="KP13" s="40" t="str">
        <f t="shared" si="91"/>
        <v/>
      </c>
      <c r="KQ13" s="40" t="str">
        <f t="shared" si="92"/>
        <v/>
      </c>
      <c r="KR13" s="40" t="str">
        <f t="shared" si="93"/>
        <v/>
      </c>
      <c r="KS13" s="40" t="str">
        <f t="shared" si="94"/>
        <v/>
      </c>
      <c r="KT13" s="40" t="str">
        <f t="shared" si="95"/>
        <v/>
      </c>
      <c r="KU13" s="18"/>
      <c r="KV13" s="18"/>
      <c r="KW13" s="18"/>
      <c r="KX13" s="18"/>
      <c r="KY13" s="18"/>
      <c r="KZ13" s="18"/>
      <c r="LA13" s="18"/>
      <c r="LB13" s="18"/>
      <c r="LC13" s="18"/>
      <c r="LD13" s="18"/>
      <c r="LE13" s="18"/>
      <c r="LF13" s="18"/>
      <c r="LG13" s="18"/>
      <c r="LH13" s="18"/>
      <c r="LI13" s="18"/>
      <c r="LJ13" s="18"/>
      <c r="LK13" s="18"/>
      <c r="LL13" s="18"/>
      <c r="LM13" s="18"/>
      <c r="LN13" s="18"/>
      <c r="LO13" s="11" t="str">
        <f t="shared" si="96"/>
        <v/>
      </c>
      <c r="LP13" s="11" t="str">
        <f t="shared" si="97"/>
        <v/>
      </c>
      <c r="LQ13" s="11" t="str">
        <f t="shared" si="98"/>
        <v/>
      </c>
      <c r="LR13" s="11" t="str">
        <f t="shared" si="99"/>
        <v/>
      </c>
      <c r="LS13" s="11" t="str">
        <f t="shared" si="100"/>
        <v/>
      </c>
      <c r="LT13" s="11" t="str">
        <f t="shared" si="101"/>
        <v/>
      </c>
      <c r="LU13" s="11" t="str">
        <f t="shared" si="102"/>
        <v/>
      </c>
      <c r="LV13" s="11" t="str">
        <f t="shared" si="103"/>
        <v/>
      </c>
      <c r="LW13" s="17"/>
      <c r="LX13" s="17"/>
      <c r="LY13" s="17"/>
      <c r="LZ13" s="17"/>
      <c r="MA13" s="17"/>
      <c r="MB13" s="17"/>
      <c r="MC13" s="17"/>
      <c r="MD13" s="17"/>
      <c r="ME13" s="17"/>
      <c r="MF13" s="17"/>
      <c r="MG13" s="17"/>
      <c r="MH13" s="17"/>
      <c r="MI13" s="17"/>
      <c r="MJ13" s="17"/>
      <c r="MK13" s="17"/>
      <c r="ML13" s="17"/>
      <c r="MM13" s="17"/>
      <c r="MN13" s="17"/>
      <c r="MO13" s="17"/>
      <c r="MP13" s="17"/>
      <c r="MQ13" s="40" t="str">
        <f t="shared" si="104"/>
        <v/>
      </c>
      <c r="MR13" s="40" t="str">
        <f t="shared" si="105"/>
        <v/>
      </c>
      <c r="MS13" s="40" t="str">
        <f t="shared" si="106"/>
        <v/>
      </c>
      <c r="MT13" s="40" t="str">
        <f t="shared" si="107"/>
        <v/>
      </c>
      <c r="MU13" s="40" t="str">
        <f t="shared" si="108"/>
        <v/>
      </c>
      <c r="MV13" s="40" t="str">
        <f t="shared" si="109"/>
        <v/>
      </c>
      <c r="MW13" s="40" t="str">
        <f t="shared" si="110"/>
        <v/>
      </c>
      <c r="MX13" s="40" t="str">
        <f t="shared" si="111"/>
        <v/>
      </c>
      <c r="MY13" s="18"/>
      <c r="MZ13" s="18"/>
      <c r="NA13" s="18"/>
      <c r="NB13" s="18"/>
      <c r="NC13" s="18"/>
      <c r="ND13" s="18"/>
      <c r="NE13" s="18"/>
      <c r="NF13" s="18"/>
      <c r="NG13" s="18"/>
      <c r="NH13" s="18"/>
      <c r="NI13" s="18"/>
      <c r="NJ13" s="18"/>
      <c r="NK13" s="18"/>
      <c r="NL13" s="18"/>
      <c r="NM13" s="18"/>
      <c r="NN13" s="18"/>
      <c r="NO13" s="18"/>
      <c r="NP13" s="18"/>
      <c r="NQ13" s="18"/>
      <c r="NR13" s="18"/>
      <c r="NS13" s="11" t="str">
        <f t="shared" si="112"/>
        <v/>
      </c>
      <c r="NT13" s="11" t="str">
        <f t="shared" si="113"/>
        <v/>
      </c>
      <c r="NU13" s="11" t="str">
        <f t="shared" si="114"/>
        <v/>
      </c>
      <c r="NV13" s="11" t="str">
        <f t="shared" si="115"/>
        <v/>
      </c>
      <c r="NW13" s="11" t="str">
        <f t="shared" si="116"/>
        <v/>
      </c>
      <c r="NX13" s="11" t="str">
        <f t="shared" si="117"/>
        <v/>
      </c>
      <c r="NY13" s="11" t="str">
        <f t="shared" si="118"/>
        <v/>
      </c>
      <c r="NZ13" s="11" t="str">
        <f t="shared" si="119"/>
        <v/>
      </c>
      <c r="OA13" s="17"/>
      <c r="OB13" s="17"/>
      <c r="OC13" s="17"/>
      <c r="OD13" s="17"/>
      <c r="OE13" s="17"/>
      <c r="OF13" s="17"/>
      <c r="OG13" s="17"/>
      <c r="OH13" s="17"/>
      <c r="OI13" s="17"/>
      <c r="OJ13" s="17"/>
      <c r="OK13" s="17"/>
      <c r="OL13" s="17"/>
      <c r="OM13" s="17"/>
      <c r="ON13" s="17"/>
      <c r="OO13" s="17"/>
      <c r="OP13" s="17"/>
      <c r="OQ13" s="17"/>
      <c r="OR13" s="17"/>
      <c r="OS13" s="17"/>
      <c r="OT13" s="17"/>
      <c r="OU13" s="40" t="str">
        <f t="shared" si="120"/>
        <v/>
      </c>
      <c r="OV13" s="40" t="str">
        <f t="shared" si="121"/>
        <v/>
      </c>
      <c r="OW13" s="40" t="str">
        <f t="shared" si="122"/>
        <v/>
      </c>
      <c r="OX13" s="40" t="str">
        <f t="shared" si="123"/>
        <v/>
      </c>
      <c r="OY13" s="40" t="str">
        <f t="shared" si="124"/>
        <v/>
      </c>
      <c r="OZ13" s="40" t="str">
        <f t="shared" si="125"/>
        <v/>
      </c>
      <c r="PA13" s="40" t="str">
        <f t="shared" si="126"/>
        <v/>
      </c>
      <c r="PB13" s="40" t="str">
        <f t="shared" si="127"/>
        <v/>
      </c>
      <c r="PC13" s="18"/>
      <c r="PD13" s="18"/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8"/>
      <c r="PQ13" s="18"/>
      <c r="PR13" s="18"/>
      <c r="PS13" s="18"/>
      <c r="PT13" s="18"/>
      <c r="PU13" s="18"/>
      <c r="PV13" s="18"/>
      <c r="PW13" s="11" t="str">
        <f t="shared" si="128"/>
        <v/>
      </c>
      <c r="PX13" s="11" t="str">
        <f t="shared" si="129"/>
        <v/>
      </c>
      <c r="PY13" s="11" t="str">
        <f t="shared" si="130"/>
        <v/>
      </c>
      <c r="PZ13" s="11" t="str">
        <f t="shared" si="131"/>
        <v/>
      </c>
      <c r="QA13" s="11" t="str">
        <f t="shared" si="132"/>
        <v/>
      </c>
      <c r="QB13" s="11" t="str">
        <f t="shared" si="133"/>
        <v/>
      </c>
      <c r="QC13" s="11" t="str">
        <f t="shared" si="134"/>
        <v/>
      </c>
      <c r="QD13" s="11" t="str">
        <f t="shared" si="135"/>
        <v/>
      </c>
      <c r="QE13" s="22">
        <f t="shared" si="136"/>
        <v>8.0500000000000007</v>
      </c>
      <c r="QF13" s="22">
        <f t="shared" si="137"/>
        <v>0.6</v>
      </c>
      <c r="QG13" s="22">
        <f t="shared" si="138"/>
        <v>0</v>
      </c>
      <c r="QH13" s="22">
        <f t="shared" si="139"/>
        <v>0</v>
      </c>
      <c r="QI13" s="22">
        <f t="shared" si="140"/>
        <v>5.85</v>
      </c>
      <c r="QJ13" s="22">
        <f t="shared" si="141"/>
        <v>1.1000000000000001</v>
      </c>
      <c r="QK13" s="22">
        <f t="shared" si="142"/>
        <v>0</v>
      </c>
      <c r="QL13" s="22">
        <f t="shared" si="143"/>
        <v>0.3</v>
      </c>
      <c r="QM13" s="22">
        <f t="shared" si="144"/>
        <v>8.6999999999999993</v>
      </c>
      <c r="QN13" s="22">
        <f t="shared" si="145"/>
        <v>1.6</v>
      </c>
      <c r="QO13" s="22">
        <f t="shared" si="146"/>
        <v>0</v>
      </c>
      <c r="QP13" s="22">
        <f t="shared" si="147"/>
        <v>0</v>
      </c>
      <c r="QQ13" s="22">
        <f t="shared" si="148"/>
        <v>8.65</v>
      </c>
      <c r="QR13" s="22">
        <f t="shared" si="149"/>
        <v>1.7</v>
      </c>
      <c r="QS13" s="22">
        <f t="shared" si="150"/>
        <v>0.1</v>
      </c>
      <c r="QT13" s="22">
        <f t="shared" si="151"/>
        <v>0</v>
      </c>
      <c r="QU13" s="22">
        <f t="shared" si="152"/>
        <v>8.3000000000000007</v>
      </c>
      <c r="QV13" s="22">
        <f t="shared" si="153"/>
        <v>2.2999999999999998</v>
      </c>
      <c r="QW13" s="22">
        <f t="shared" si="154"/>
        <v>0</v>
      </c>
      <c r="QX13" s="22">
        <f t="shared" si="155"/>
        <v>0.3</v>
      </c>
      <c r="QY13" s="27" t="s">
        <v>46</v>
      </c>
      <c r="QZ13" s="40">
        <f t="shared" si="156"/>
        <v>1.7000000000000002</v>
      </c>
      <c r="RA13" s="40">
        <f t="shared" si="157"/>
        <v>15.9</v>
      </c>
      <c r="RB13" s="40">
        <f t="shared" si="158"/>
        <v>10.299999999999999</v>
      </c>
      <c r="RC13" s="40">
        <f t="shared" si="159"/>
        <v>3.3000000000000003</v>
      </c>
      <c r="RD13" s="40">
        <f t="shared" si="160"/>
        <v>26.2</v>
      </c>
      <c r="RE13" s="40">
        <f t="shared" si="161"/>
        <v>4</v>
      </c>
      <c r="RF13" s="40">
        <f t="shared" si="162"/>
        <v>21.15</v>
      </c>
      <c r="RG13" s="40">
        <f t="shared" si="163"/>
        <v>37.049999999999997</v>
      </c>
    </row>
    <row r="14" spans="1:475" x14ac:dyDescent="0.2">
      <c r="A14" s="4">
        <f t="shared" si="164"/>
        <v>11</v>
      </c>
      <c r="B14" s="5" t="s">
        <v>175</v>
      </c>
      <c r="C14" s="4" t="s">
        <v>3</v>
      </c>
      <c r="D14" s="4">
        <v>2005</v>
      </c>
      <c r="E14" s="9">
        <f t="shared" si="0"/>
        <v>44.1</v>
      </c>
      <c r="F14" s="3" t="str">
        <f t="shared" si="1"/>
        <v>P</v>
      </c>
      <c r="G14" s="3" t="str">
        <f t="shared" si="2"/>
        <v>P</v>
      </c>
      <c r="H14" s="36" t="str">
        <f t="shared" si="3"/>
        <v>National Team</v>
      </c>
      <c r="I14" s="3" t="str">
        <f t="shared" si="4"/>
        <v/>
      </c>
      <c r="J14" s="8">
        <f>IF(COUNT(AQ14,BT14,CW14)&gt;0,LARGE((AQ14,BT14,CW14),1),0)</f>
        <v>0</v>
      </c>
      <c r="K14" s="8" t="str">
        <f t="shared" si="5"/>
        <v/>
      </c>
      <c r="L14" s="8">
        <f>IF(COUNT(AQ14,BT14,CW14)&gt;1,LARGE((AQ14,BT14,CW14),2),0)</f>
        <v>0</v>
      </c>
      <c r="M14" s="8" t="str">
        <f t="shared" si="6"/>
        <v/>
      </c>
      <c r="N14" s="8">
        <f>IF(COUNT(AR14,BU14,CX14)&gt;0,LARGE((AR14,BU14,CX14),1),0)</f>
        <v>0</v>
      </c>
      <c r="O14" s="8" t="str">
        <f t="shared" si="7"/>
        <v/>
      </c>
      <c r="P14" s="8">
        <f t="shared" si="8"/>
        <v>0</v>
      </c>
      <c r="Q14" s="8" t="str">
        <f t="shared" si="9"/>
        <v/>
      </c>
      <c r="R14" s="8">
        <f t="shared" si="10"/>
        <v>44.1</v>
      </c>
      <c r="S14" s="11" t="str">
        <f t="shared" si="11"/>
        <v>(Final)</v>
      </c>
      <c r="T14" s="8" t="str">
        <f t="shared" si="12"/>
        <v>2022 Coimbra Gym Fest (June 26)</v>
      </c>
      <c r="U14" s="19"/>
      <c r="V14" s="19"/>
      <c r="W14" s="19"/>
      <c r="X14" s="19"/>
      <c r="Y14" s="19"/>
      <c r="Z14" s="19"/>
      <c r="AA14" s="19"/>
      <c r="AB14" s="19"/>
      <c r="AC14" s="19"/>
      <c r="AD14" s="19"/>
      <c r="AE14" s="19"/>
      <c r="AF14" s="19"/>
      <c r="AG14" s="19"/>
      <c r="AH14" s="19"/>
      <c r="AI14" s="19"/>
      <c r="AJ14" s="19"/>
      <c r="AK14" s="19"/>
      <c r="AL14" s="19"/>
      <c r="AM14" s="19"/>
      <c r="AN14" s="19"/>
      <c r="AO14" s="27"/>
      <c r="AP14" s="40" t="str">
        <f t="shared" si="13"/>
        <v/>
      </c>
      <c r="AQ14" s="40" t="str">
        <f t="shared" si="14"/>
        <v/>
      </c>
      <c r="AR14" s="40" t="str">
        <f t="shared" si="15"/>
        <v/>
      </c>
      <c r="AS14" s="40" t="str">
        <f t="shared" si="16"/>
        <v/>
      </c>
      <c r="AT14" s="40" t="str">
        <f t="shared" si="17"/>
        <v/>
      </c>
      <c r="AU14" s="40" t="str">
        <f t="shared" si="18"/>
        <v/>
      </c>
      <c r="AV14" s="40" t="str">
        <f t="shared" si="19"/>
        <v/>
      </c>
      <c r="AW14" s="40" t="str">
        <f t="shared" si="20"/>
        <v/>
      </c>
      <c r="AX14" s="18"/>
      <c r="AY14" s="18"/>
      <c r="AZ14" s="18"/>
      <c r="BA14" s="18"/>
      <c r="BB14" s="18"/>
      <c r="BC14" s="18"/>
      <c r="BD14" s="18"/>
      <c r="BE14" s="18"/>
      <c r="BF14" s="18"/>
      <c r="BG14" s="18"/>
      <c r="BH14" s="18"/>
      <c r="BI14" s="18"/>
      <c r="BJ14" s="18"/>
      <c r="BK14" s="18"/>
      <c r="BL14" s="18"/>
      <c r="BM14" s="18"/>
      <c r="BN14" s="18"/>
      <c r="BO14" s="18"/>
      <c r="BP14" s="18"/>
      <c r="BQ14" s="18"/>
      <c r="BR14" s="28"/>
      <c r="BS14" s="11" t="str">
        <f t="shared" si="21"/>
        <v/>
      </c>
      <c r="BT14" s="11" t="str">
        <f t="shared" si="22"/>
        <v/>
      </c>
      <c r="BU14" s="11" t="str">
        <f t="shared" si="23"/>
        <v/>
      </c>
      <c r="BV14" s="11" t="str">
        <f t="shared" si="24"/>
        <v/>
      </c>
      <c r="BW14" s="11" t="str">
        <f t="shared" si="25"/>
        <v/>
      </c>
      <c r="BX14" s="11" t="str">
        <f t="shared" si="26"/>
        <v/>
      </c>
      <c r="BY14" s="11" t="str">
        <f t="shared" si="27"/>
        <v/>
      </c>
      <c r="BZ14" s="11" t="str">
        <f t="shared" si="28"/>
        <v/>
      </c>
      <c r="CA14" s="19"/>
      <c r="CB14" s="19"/>
      <c r="CC14" s="19"/>
      <c r="CD14" s="19"/>
      <c r="CE14" s="19"/>
      <c r="CF14" s="19"/>
      <c r="CG14" s="19"/>
      <c r="CH14" s="19"/>
      <c r="CI14" s="19"/>
      <c r="CJ14" s="19"/>
      <c r="CK14" s="19"/>
      <c r="CL14" s="19"/>
      <c r="CM14" s="19"/>
      <c r="CN14" s="19"/>
      <c r="CO14" s="19"/>
      <c r="CP14" s="19"/>
      <c r="CQ14" s="19"/>
      <c r="CR14" s="19"/>
      <c r="CS14" s="19"/>
      <c r="CT14" s="19"/>
      <c r="CU14" s="27"/>
      <c r="CV14" s="40" t="str">
        <f t="shared" si="29"/>
        <v/>
      </c>
      <c r="CW14" s="40" t="str">
        <f t="shared" si="30"/>
        <v/>
      </c>
      <c r="CX14" s="40" t="str">
        <f t="shared" si="31"/>
        <v/>
      </c>
      <c r="CY14" s="40" t="str">
        <f t="shared" si="32"/>
        <v/>
      </c>
      <c r="CZ14" s="40" t="str">
        <f t="shared" si="33"/>
        <v/>
      </c>
      <c r="DA14" s="40" t="str">
        <f t="shared" si="34"/>
        <v/>
      </c>
      <c r="DB14" s="40" t="str">
        <f t="shared" si="35"/>
        <v/>
      </c>
      <c r="DC14" s="40" t="str">
        <f t="shared" si="36"/>
        <v/>
      </c>
      <c r="DD14" s="50">
        <f t="shared" si="37"/>
        <v>37.999999999999993</v>
      </c>
      <c r="DE14" s="50" t="str">
        <f t="shared" si="38"/>
        <v/>
      </c>
      <c r="DF14" s="50">
        <f t="shared" si="39"/>
        <v>44.1</v>
      </c>
      <c r="DG14" s="17"/>
      <c r="DH14" s="17"/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17"/>
      <c r="DY14" s="17"/>
      <c r="DZ14" s="17"/>
      <c r="EA14" s="40" t="str">
        <f t="shared" si="40"/>
        <v/>
      </c>
      <c r="EB14" s="40" t="str">
        <f t="shared" si="41"/>
        <v/>
      </c>
      <c r="EC14" s="40" t="str">
        <f t="shared" si="42"/>
        <v/>
      </c>
      <c r="ED14" s="40" t="str">
        <f t="shared" si="43"/>
        <v/>
      </c>
      <c r="EE14" s="40" t="str">
        <f t="shared" si="44"/>
        <v/>
      </c>
      <c r="EF14" s="40" t="str">
        <f t="shared" si="45"/>
        <v/>
      </c>
      <c r="EG14" s="40" t="str">
        <f t="shared" si="46"/>
        <v/>
      </c>
      <c r="EH14" s="40" t="str">
        <f t="shared" si="47"/>
        <v/>
      </c>
      <c r="EI14" s="18">
        <v>16</v>
      </c>
      <c r="EJ14" s="18">
        <v>1.9</v>
      </c>
      <c r="EK14" s="18">
        <v>0</v>
      </c>
      <c r="EL14" s="18">
        <v>0</v>
      </c>
      <c r="EM14" s="18">
        <v>16.2</v>
      </c>
      <c r="EN14" s="18">
        <v>4.0999999999999996</v>
      </c>
      <c r="EO14" s="18">
        <v>0.2</v>
      </c>
      <c r="EP14" s="18">
        <v>0</v>
      </c>
      <c r="EQ14" s="18"/>
      <c r="ER14" s="18"/>
      <c r="ES14" s="18"/>
      <c r="ET14" s="18"/>
      <c r="EU14" s="18">
        <v>17.899999999999999</v>
      </c>
      <c r="EV14" s="18">
        <v>4.0999999999999996</v>
      </c>
      <c r="EW14" s="18">
        <v>0</v>
      </c>
      <c r="EX14" s="18">
        <v>0</v>
      </c>
      <c r="EY14" s="18">
        <v>18.2</v>
      </c>
      <c r="EZ14" s="18">
        <v>3.9</v>
      </c>
      <c r="FA14" s="18">
        <v>0</v>
      </c>
      <c r="FB14" s="18">
        <v>0</v>
      </c>
      <c r="FC14" s="11">
        <f t="shared" si="48"/>
        <v>6</v>
      </c>
      <c r="FD14" s="11">
        <f t="shared" si="49"/>
        <v>37.999999999999993</v>
      </c>
      <c r="FE14" s="11" t="str">
        <f t="shared" si="50"/>
        <v/>
      </c>
      <c r="FF14" s="11">
        <f t="shared" si="51"/>
        <v>6</v>
      </c>
      <c r="FG14" s="11">
        <f t="shared" si="52"/>
        <v>37.999999999999993</v>
      </c>
      <c r="FH14" s="11">
        <f t="shared" si="53"/>
        <v>8</v>
      </c>
      <c r="FI14" s="11">
        <f t="shared" si="54"/>
        <v>44.1</v>
      </c>
      <c r="FJ14" s="11">
        <f t="shared" si="55"/>
        <v>82.1</v>
      </c>
      <c r="FK14" s="17"/>
      <c r="FL14" s="17"/>
      <c r="FM14" s="17"/>
      <c r="FN14" s="17"/>
      <c r="FO14" s="17"/>
      <c r="FP14" s="17"/>
      <c r="FQ14" s="17"/>
      <c r="FR14" s="17"/>
      <c r="FS14" s="17"/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40" t="str">
        <f t="shared" si="56"/>
        <v/>
      </c>
      <c r="GF14" s="40" t="str">
        <f t="shared" si="57"/>
        <v/>
      </c>
      <c r="GG14" s="40" t="str">
        <f t="shared" si="58"/>
        <v/>
      </c>
      <c r="GH14" s="40" t="str">
        <f t="shared" si="59"/>
        <v/>
      </c>
      <c r="GI14" s="40" t="str">
        <f t="shared" si="60"/>
        <v/>
      </c>
      <c r="GJ14" s="40" t="str">
        <f t="shared" si="61"/>
        <v/>
      </c>
      <c r="GK14" s="40" t="str">
        <f t="shared" si="62"/>
        <v/>
      </c>
      <c r="GL14" s="40" t="str">
        <f t="shared" si="63"/>
        <v/>
      </c>
      <c r="GM14" s="18"/>
      <c r="GN14" s="18"/>
      <c r="GO14" s="18"/>
      <c r="GP14" s="18"/>
      <c r="GQ14" s="18"/>
      <c r="GR14" s="18"/>
      <c r="GS14" s="18"/>
      <c r="GT14" s="18"/>
      <c r="GU14" s="18"/>
      <c r="GV14" s="18"/>
      <c r="GW14" s="18"/>
      <c r="GX14" s="18"/>
      <c r="GY14" s="18"/>
      <c r="GZ14" s="18"/>
      <c r="HA14" s="18"/>
      <c r="HB14" s="18"/>
      <c r="HC14" s="18"/>
      <c r="HD14" s="18"/>
      <c r="HE14" s="18"/>
      <c r="HF14" s="18"/>
      <c r="HG14" s="11" t="str">
        <f t="shared" si="64"/>
        <v/>
      </c>
      <c r="HH14" s="11" t="str">
        <f t="shared" si="65"/>
        <v/>
      </c>
      <c r="HI14" s="11" t="str">
        <f t="shared" si="66"/>
        <v/>
      </c>
      <c r="HJ14" s="11" t="str">
        <f t="shared" si="67"/>
        <v/>
      </c>
      <c r="HK14" s="11" t="str">
        <f t="shared" si="68"/>
        <v/>
      </c>
      <c r="HL14" s="11" t="str">
        <f t="shared" si="69"/>
        <v/>
      </c>
      <c r="HM14" s="11" t="str">
        <f t="shared" si="70"/>
        <v/>
      </c>
      <c r="HN14" s="11" t="str">
        <f t="shared" si="71"/>
        <v/>
      </c>
      <c r="HO14" s="17"/>
      <c r="HP14" s="17"/>
      <c r="HQ14" s="17"/>
      <c r="HR14" s="17"/>
      <c r="HS14" s="17"/>
      <c r="HT14" s="17"/>
      <c r="HU14" s="17"/>
      <c r="HV14" s="17"/>
      <c r="HW14" s="17"/>
      <c r="HX14" s="17"/>
      <c r="HY14" s="17"/>
      <c r="HZ14" s="17"/>
      <c r="IA14" s="17"/>
      <c r="IB14" s="17"/>
      <c r="IC14" s="17"/>
      <c r="ID14" s="17"/>
      <c r="IE14" s="17"/>
      <c r="IF14" s="17"/>
      <c r="IG14" s="17"/>
      <c r="IH14" s="17"/>
      <c r="II14" s="40" t="str">
        <f t="shared" si="72"/>
        <v/>
      </c>
      <c r="IJ14" s="40" t="str">
        <f t="shared" si="73"/>
        <v/>
      </c>
      <c r="IK14" s="40" t="str">
        <f t="shared" si="74"/>
        <v/>
      </c>
      <c r="IL14" s="40" t="str">
        <f t="shared" si="75"/>
        <v/>
      </c>
      <c r="IM14" s="40" t="str">
        <f t="shared" si="76"/>
        <v/>
      </c>
      <c r="IN14" s="40" t="str">
        <f t="shared" si="77"/>
        <v/>
      </c>
      <c r="IO14" s="40" t="str">
        <f t="shared" si="78"/>
        <v/>
      </c>
      <c r="IP14" s="40" t="str">
        <f t="shared" si="79"/>
        <v/>
      </c>
      <c r="IQ14" s="18"/>
      <c r="IR14" s="18"/>
      <c r="IS14" s="18"/>
      <c r="IT14" s="18"/>
      <c r="IU14" s="18"/>
      <c r="IV14" s="18"/>
      <c r="IW14" s="18"/>
      <c r="IX14" s="18"/>
      <c r="IY14" s="18"/>
      <c r="IZ14" s="18"/>
      <c r="JA14" s="18"/>
      <c r="JB14" s="18"/>
      <c r="JC14" s="18"/>
      <c r="JD14" s="18"/>
      <c r="JE14" s="18"/>
      <c r="JF14" s="18"/>
      <c r="JG14" s="18"/>
      <c r="JH14" s="18"/>
      <c r="JI14" s="18"/>
      <c r="JJ14" s="18"/>
      <c r="JK14" s="11" t="str">
        <f t="shared" si="80"/>
        <v/>
      </c>
      <c r="JL14" s="11" t="str">
        <f t="shared" si="81"/>
        <v/>
      </c>
      <c r="JM14" s="11" t="str">
        <f t="shared" si="82"/>
        <v/>
      </c>
      <c r="JN14" s="11" t="str">
        <f t="shared" si="83"/>
        <v/>
      </c>
      <c r="JO14" s="11" t="str">
        <f t="shared" si="84"/>
        <v/>
      </c>
      <c r="JP14" s="11" t="str">
        <f t="shared" si="85"/>
        <v/>
      </c>
      <c r="JQ14" s="11" t="str">
        <f t="shared" si="86"/>
        <v/>
      </c>
      <c r="JR14" s="11" t="str">
        <f t="shared" si="87"/>
        <v/>
      </c>
      <c r="JS14" s="17"/>
      <c r="JT14" s="17"/>
      <c r="JU14" s="17"/>
      <c r="JV14" s="17"/>
      <c r="JW14" s="17"/>
      <c r="JX14" s="17"/>
      <c r="JY14" s="17"/>
      <c r="JZ14" s="17"/>
      <c r="KA14" s="17"/>
      <c r="KB14" s="17"/>
      <c r="KC14" s="17"/>
      <c r="KD14" s="17"/>
      <c r="KE14" s="17"/>
      <c r="KF14" s="17"/>
      <c r="KG14" s="17"/>
      <c r="KH14" s="17"/>
      <c r="KI14" s="17"/>
      <c r="KJ14" s="17"/>
      <c r="KK14" s="17"/>
      <c r="KL14" s="17"/>
      <c r="KM14" s="40" t="str">
        <f t="shared" si="88"/>
        <v/>
      </c>
      <c r="KN14" s="40" t="str">
        <f t="shared" si="89"/>
        <v/>
      </c>
      <c r="KO14" s="40" t="str">
        <f t="shared" si="90"/>
        <v/>
      </c>
      <c r="KP14" s="40" t="str">
        <f t="shared" si="91"/>
        <v/>
      </c>
      <c r="KQ14" s="40" t="str">
        <f t="shared" si="92"/>
        <v/>
      </c>
      <c r="KR14" s="40" t="str">
        <f t="shared" si="93"/>
        <v/>
      </c>
      <c r="KS14" s="40" t="str">
        <f t="shared" si="94"/>
        <v/>
      </c>
      <c r="KT14" s="40" t="str">
        <f t="shared" si="95"/>
        <v/>
      </c>
      <c r="KU14" s="18"/>
      <c r="KV14" s="18"/>
      <c r="KW14" s="18"/>
      <c r="KX14" s="18"/>
      <c r="KY14" s="18"/>
      <c r="KZ14" s="18"/>
      <c r="LA14" s="18"/>
      <c r="LB14" s="18"/>
      <c r="LC14" s="18"/>
      <c r="LD14" s="18"/>
      <c r="LE14" s="18"/>
      <c r="LF14" s="18"/>
      <c r="LG14" s="18"/>
      <c r="LH14" s="18"/>
      <c r="LI14" s="18"/>
      <c r="LJ14" s="18"/>
      <c r="LK14" s="18"/>
      <c r="LL14" s="18"/>
      <c r="LM14" s="18"/>
      <c r="LN14" s="18"/>
      <c r="LO14" s="11" t="str">
        <f t="shared" si="96"/>
        <v/>
      </c>
      <c r="LP14" s="11" t="str">
        <f t="shared" si="97"/>
        <v/>
      </c>
      <c r="LQ14" s="11" t="str">
        <f t="shared" si="98"/>
        <v/>
      </c>
      <c r="LR14" s="11" t="str">
        <f t="shared" si="99"/>
        <v/>
      </c>
      <c r="LS14" s="11" t="str">
        <f t="shared" si="100"/>
        <v/>
      </c>
      <c r="LT14" s="11" t="str">
        <f t="shared" si="101"/>
        <v/>
      </c>
      <c r="LU14" s="11" t="str">
        <f t="shared" si="102"/>
        <v/>
      </c>
      <c r="LV14" s="11" t="str">
        <f t="shared" si="103"/>
        <v/>
      </c>
      <c r="LW14" s="17"/>
      <c r="LX14" s="17"/>
      <c r="LY14" s="17"/>
      <c r="LZ14" s="17"/>
      <c r="MA14" s="17"/>
      <c r="MB14" s="17"/>
      <c r="MC14" s="17"/>
      <c r="MD14" s="17"/>
      <c r="ME14" s="17"/>
      <c r="MF14" s="17"/>
      <c r="MG14" s="17"/>
      <c r="MH14" s="17"/>
      <c r="MI14" s="17"/>
      <c r="MJ14" s="17"/>
      <c r="MK14" s="17"/>
      <c r="ML14" s="17"/>
      <c r="MM14" s="17"/>
      <c r="MN14" s="17"/>
      <c r="MO14" s="17"/>
      <c r="MP14" s="17"/>
      <c r="MQ14" s="40" t="str">
        <f t="shared" si="104"/>
        <v/>
      </c>
      <c r="MR14" s="40" t="str">
        <f t="shared" si="105"/>
        <v/>
      </c>
      <c r="MS14" s="40" t="str">
        <f t="shared" si="106"/>
        <v/>
      </c>
      <c r="MT14" s="40" t="str">
        <f t="shared" si="107"/>
        <v/>
      </c>
      <c r="MU14" s="40" t="str">
        <f t="shared" si="108"/>
        <v/>
      </c>
      <c r="MV14" s="40" t="str">
        <f t="shared" si="109"/>
        <v/>
      </c>
      <c r="MW14" s="40" t="str">
        <f t="shared" si="110"/>
        <v/>
      </c>
      <c r="MX14" s="40" t="str">
        <f t="shared" si="111"/>
        <v/>
      </c>
      <c r="MY14" s="18"/>
      <c r="MZ14" s="18"/>
      <c r="NA14" s="18"/>
      <c r="NB14" s="18"/>
      <c r="NC14" s="18"/>
      <c r="ND14" s="18"/>
      <c r="NE14" s="18"/>
      <c r="NF14" s="18"/>
      <c r="NG14" s="18"/>
      <c r="NH14" s="18"/>
      <c r="NI14" s="18"/>
      <c r="NJ14" s="18"/>
      <c r="NK14" s="18"/>
      <c r="NL14" s="18"/>
      <c r="NM14" s="18"/>
      <c r="NN14" s="18"/>
      <c r="NO14" s="18"/>
      <c r="NP14" s="18"/>
      <c r="NQ14" s="18"/>
      <c r="NR14" s="18"/>
      <c r="NS14" s="11" t="str">
        <f t="shared" si="112"/>
        <v/>
      </c>
      <c r="NT14" s="11" t="str">
        <f t="shared" si="113"/>
        <v/>
      </c>
      <c r="NU14" s="11" t="str">
        <f t="shared" si="114"/>
        <v/>
      </c>
      <c r="NV14" s="11" t="str">
        <f t="shared" si="115"/>
        <v/>
      </c>
      <c r="NW14" s="11" t="str">
        <f t="shared" si="116"/>
        <v/>
      </c>
      <c r="NX14" s="11" t="str">
        <f t="shared" si="117"/>
        <v/>
      </c>
      <c r="NY14" s="11" t="str">
        <f t="shared" si="118"/>
        <v/>
      </c>
      <c r="NZ14" s="11" t="str">
        <f t="shared" si="119"/>
        <v/>
      </c>
      <c r="OA14" s="17"/>
      <c r="OB14" s="17"/>
      <c r="OC14" s="17"/>
      <c r="OD14" s="17"/>
      <c r="OE14" s="17"/>
      <c r="OF14" s="17"/>
      <c r="OG14" s="17"/>
      <c r="OH14" s="17"/>
      <c r="OI14" s="17"/>
      <c r="OJ14" s="17"/>
      <c r="OK14" s="17"/>
      <c r="OL14" s="17"/>
      <c r="OM14" s="17"/>
      <c r="ON14" s="17"/>
      <c r="OO14" s="17"/>
      <c r="OP14" s="17"/>
      <c r="OQ14" s="17"/>
      <c r="OR14" s="17"/>
      <c r="OS14" s="17"/>
      <c r="OT14" s="17"/>
      <c r="OU14" s="40" t="str">
        <f t="shared" si="120"/>
        <v/>
      </c>
      <c r="OV14" s="40" t="str">
        <f t="shared" si="121"/>
        <v/>
      </c>
      <c r="OW14" s="40" t="str">
        <f t="shared" si="122"/>
        <v/>
      </c>
      <c r="OX14" s="40" t="str">
        <f t="shared" si="123"/>
        <v/>
      </c>
      <c r="OY14" s="40" t="str">
        <f t="shared" si="124"/>
        <v/>
      </c>
      <c r="OZ14" s="40" t="str">
        <f t="shared" si="125"/>
        <v/>
      </c>
      <c r="PA14" s="40" t="str">
        <f t="shared" si="126"/>
        <v/>
      </c>
      <c r="PB14" s="40" t="str">
        <f t="shared" si="127"/>
        <v/>
      </c>
      <c r="PC14" s="18"/>
      <c r="PD14" s="18"/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8"/>
      <c r="PQ14" s="18"/>
      <c r="PR14" s="18"/>
      <c r="PS14" s="18"/>
      <c r="PT14" s="18"/>
      <c r="PU14" s="18"/>
      <c r="PV14" s="18"/>
      <c r="PW14" s="11" t="str">
        <f t="shared" si="128"/>
        <v/>
      </c>
      <c r="PX14" s="11" t="str">
        <f t="shared" si="129"/>
        <v/>
      </c>
      <c r="PY14" s="11" t="str">
        <f t="shared" si="130"/>
        <v/>
      </c>
      <c r="PZ14" s="11" t="str">
        <f t="shared" si="131"/>
        <v/>
      </c>
      <c r="QA14" s="11" t="str">
        <f t="shared" si="132"/>
        <v/>
      </c>
      <c r="QB14" s="11" t="str">
        <f t="shared" si="133"/>
        <v/>
      </c>
      <c r="QC14" s="11" t="str">
        <f t="shared" si="134"/>
        <v/>
      </c>
      <c r="QD14" s="11" t="str">
        <f t="shared" si="135"/>
        <v/>
      </c>
      <c r="QE14" s="22">
        <f t="shared" si="136"/>
        <v>0</v>
      </c>
      <c r="QF14" s="22">
        <f t="shared" si="137"/>
        <v>0</v>
      </c>
      <c r="QG14" s="22">
        <f t="shared" si="138"/>
        <v>0</v>
      </c>
      <c r="QH14" s="22">
        <f t="shared" si="139"/>
        <v>0</v>
      </c>
      <c r="QI14" s="22">
        <f t="shared" si="140"/>
        <v>0</v>
      </c>
      <c r="QJ14" s="22">
        <f t="shared" si="141"/>
        <v>0</v>
      </c>
      <c r="QK14" s="22">
        <f t="shared" si="142"/>
        <v>0</v>
      </c>
      <c r="QL14" s="22">
        <f t="shared" si="143"/>
        <v>0</v>
      </c>
      <c r="QM14" s="22">
        <f t="shared" si="144"/>
        <v>0</v>
      </c>
      <c r="QN14" s="22">
        <f t="shared" si="145"/>
        <v>0</v>
      </c>
      <c r="QO14" s="22">
        <f t="shared" si="146"/>
        <v>0</v>
      </c>
      <c r="QP14" s="22">
        <f t="shared" si="147"/>
        <v>0</v>
      </c>
      <c r="QQ14" s="22">
        <f t="shared" si="148"/>
        <v>0</v>
      </c>
      <c r="QR14" s="22">
        <f t="shared" si="149"/>
        <v>0</v>
      </c>
      <c r="QS14" s="22">
        <f t="shared" si="150"/>
        <v>0</v>
      </c>
      <c r="QT14" s="22">
        <f t="shared" si="151"/>
        <v>0</v>
      </c>
      <c r="QU14" s="22">
        <f t="shared" si="152"/>
        <v>0</v>
      </c>
      <c r="QV14" s="22">
        <f t="shared" si="153"/>
        <v>0</v>
      </c>
      <c r="QW14" s="22">
        <f t="shared" si="154"/>
        <v>0</v>
      </c>
      <c r="QX14" s="22">
        <f t="shared" si="155"/>
        <v>0</v>
      </c>
      <c r="QY14" s="27" t="s">
        <v>46</v>
      </c>
      <c r="QZ14" s="40" t="str">
        <f t="shared" si="156"/>
        <v/>
      </c>
      <c r="RA14" s="40" t="str">
        <f t="shared" si="157"/>
        <v/>
      </c>
      <c r="RB14" s="40" t="str">
        <f t="shared" si="158"/>
        <v/>
      </c>
      <c r="RC14" s="40" t="str">
        <f t="shared" si="159"/>
        <v/>
      </c>
      <c r="RD14" s="40" t="str">
        <f t="shared" si="160"/>
        <v/>
      </c>
      <c r="RE14" s="40" t="str">
        <f t="shared" si="161"/>
        <v/>
      </c>
      <c r="RF14" s="40" t="str">
        <f t="shared" si="162"/>
        <v/>
      </c>
      <c r="RG14" s="40" t="str">
        <f t="shared" si="163"/>
        <v/>
      </c>
    </row>
    <row r="15" spans="1:475" x14ac:dyDescent="0.2">
      <c r="A15" s="4" t="str">
        <f t="shared" si="164"/>
        <v/>
      </c>
      <c r="B15" s="5" t="s">
        <v>177</v>
      </c>
      <c r="C15" s="4" t="s">
        <v>3</v>
      </c>
      <c r="D15" s="4">
        <v>2004</v>
      </c>
      <c r="E15" s="9">
        <f t="shared" si="0"/>
        <v>141.70001005000401</v>
      </c>
      <c r="F15" s="3" t="str">
        <f t="shared" si="1"/>
        <v/>
      </c>
      <c r="G15" s="3" t="str">
        <f t="shared" si="2"/>
        <v/>
      </c>
      <c r="H15" s="36" t="str">
        <f t="shared" si="3"/>
        <v/>
      </c>
      <c r="I15" s="3" t="str">
        <f t="shared" si="4"/>
        <v/>
      </c>
      <c r="J15" s="8">
        <f>IF(COUNT(AQ15,BT15,CW15)&gt;0,LARGE((AQ15,BT15,CW15),1),0)</f>
        <v>40.300000000000004</v>
      </c>
      <c r="K15" s="8" t="str">
        <f t="shared" si="5"/>
        <v>2023 Elite Canada</v>
      </c>
      <c r="L15" s="8">
        <f>IF(COUNT(AQ15,BT15,CW15)&gt;1,LARGE((AQ15,BT15,CW15),2),0)</f>
        <v>40.299999999999997</v>
      </c>
      <c r="M15" s="8" t="str">
        <f t="shared" si="6"/>
        <v>2023 Elite Canada</v>
      </c>
      <c r="N15" s="8">
        <f>IF(COUNT(AR15,BU15,CX15)&gt;0,LARGE((AR15,BU15,CX15),1),0)</f>
        <v>19.899999999999999</v>
      </c>
      <c r="O15" s="8" t="str">
        <f t="shared" si="7"/>
        <v>2023 Elite Canada</v>
      </c>
      <c r="P15" s="8">
        <f t="shared" si="8"/>
        <v>41.199999999999996</v>
      </c>
      <c r="Q15" s="8" t="str">
        <f t="shared" si="9"/>
        <v>2023 Elite Canada</v>
      </c>
      <c r="R15" s="8" t="str">
        <f t="shared" si="10"/>
        <v/>
      </c>
      <c r="S15" s="11" t="str">
        <f t="shared" si="11"/>
        <v/>
      </c>
      <c r="T15" s="8" t="str">
        <f t="shared" si="12"/>
        <v/>
      </c>
      <c r="U15" s="19">
        <v>16.5</v>
      </c>
      <c r="V15" s="19">
        <v>2.5</v>
      </c>
      <c r="W15" s="19">
        <v>0.7</v>
      </c>
      <c r="X15" s="19">
        <v>0.3</v>
      </c>
      <c r="Y15" s="19">
        <v>15.8</v>
      </c>
      <c r="Z15" s="19">
        <v>1.9</v>
      </c>
      <c r="AA15" s="19">
        <v>0</v>
      </c>
      <c r="AB15" s="19">
        <v>0.3</v>
      </c>
      <c r="AC15" s="19"/>
      <c r="AD15" s="19"/>
      <c r="AE15" s="19"/>
      <c r="AF15" s="19"/>
      <c r="AG15" s="19">
        <v>16.600000000000001</v>
      </c>
      <c r="AH15" s="19">
        <v>3.2</v>
      </c>
      <c r="AI15" s="19">
        <v>0</v>
      </c>
      <c r="AJ15" s="19">
        <v>0.3</v>
      </c>
      <c r="AK15" s="19">
        <v>17.2</v>
      </c>
      <c r="AL15" s="19">
        <v>3</v>
      </c>
      <c r="AM15" s="19">
        <v>0</v>
      </c>
      <c r="AN15" s="19">
        <v>0.3</v>
      </c>
      <c r="AO15" s="27"/>
      <c r="AP15" s="40">
        <f t="shared" si="13"/>
        <v>4.4000000000000004</v>
      </c>
      <c r="AQ15" s="40">
        <f t="shared" si="14"/>
        <v>36.599999999999994</v>
      </c>
      <c r="AR15" s="40" t="str">
        <f t="shared" si="15"/>
        <v/>
      </c>
      <c r="AS15" s="40">
        <f t="shared" si="16"/>
        <v>4.4000000000000004</v>
      </c>
      <c r="AT15" s="40">
        <f t="shared" si="17"/>
        <v>36.599999999999994</v>
      </c>
      <c r="AU15" s="40">
        <f t="shared" si="18"/>
        <v>6.2</v>
      </c>
      <c r="AV15" s="40">
        <f t="shared" si="19"/>
        <v>40.599999999999994</v>
      </c>
      <c r="AW15" s="40">
        <f t="shared" si="20"/>
        <v>77.199999999999989</v>
      </c>
      <c r="AX15" s="18">
        <v>16.5</v>
      </c>
      <c r="AY15" s="18">
        <v>3.9</v>
      </c>
      <c r="AZ15" s="18">
        <v>0</v>
      </c>
      <c r="BA15" s="18">
        <v>0.3</v>
      </c>
      <c r="BB15" s="18">
        <v>15.3</v>
      </c>
      <c r="BC15" s="18">
        <v>3.7</v>
      </c>
      <c r="BD15" s="18">
        <v>0</v>
      </c>
      <c r="BE15" s="18">
        <v>0.6</v>
      </c>
      <c r="BF15" s="18"/>
      <c r="BG15" s="18"/>
      <c r="BH15" s="18"/>
      <c r="BI15" s="18"/>
      <c r="BJ15" s="18">
        <v>15.5</v>
      </c>
      <c r="BK15" s="18">
        <v>1.9</v>
      </c>
      <c r="BL15" s="18">
        <v>0</v>
      </c>
      <c r="BM15" s="18">
        <v>0.3</v>
      </c>
      <c r="BN15" s="18">
        <v>16</v>
      </c>
      <c r="BO15" s="18">
        <v>3.9</v>
      </c>
      <c r="BP15" s="18">
        <v>0</v>
      </c>
      <c r="BQ15" s="18">
        <v>0.6</v>
      </c>
      <c r="BR15" s="28"/>
      <c r="BS15" s="11">
        <f t="shared" si="21"/>
        <v>7.6</v>
      </c>
      <c r="BT15" s="11">
        <f t="shared" si="22"/>
        <v>40.300000000000004</v>
      </c>
      <c r="BU15" s="11" t="str">
        <f t="shared" si="23"/>
        <v/>
      </c>
      <c r="BV15" s="11">
        <f t="shared" si="24"/>
        <v>7.6</v>
      </c>
      <c r="BW15" s="11">
        <f t="shared" si="25"/>
        <v>40.300000000000004</v>
      </c>
      <c r="BX15" s="11">
        <f t="shared" si="26"/>
        <v>5.8</v>
      </c>
      <c r="BY15" s="11">
        <f t="shared" si="27"/>
        <v>38.200000000000003</v>
      </c>
      <c r="BZ15" s="11">
        <f t="shared" si="28"/>
        <v>78.5</v>
      </c>
      <c r="CA15" s="19">
        <v>17.100000000000001</v>
      </c>
      <c r="CB15" s="19">
        <v>3.9</v>
      </c>
      <c r="CC15" s="19">
        <v>0</v>
      </c>
      <c r="CD15" s="19">
        <v>0.3</v>
      </c>
      <c r="CE15" s="19">
        <v>15.5</v>
      </c>
      <c r="CF15" s="19">
        <v>3.2</v>
      </c>
      <c r="CG15" s="19">
        <v>0</v>
      </c>
      <c r="CH15" s="19">
        <v>0.3</v>
      </c>
      <c r="CI15" s="19">
        <v>16.399999999999999</v>
      </c>
      <c r="CJ15" s="19">
        <v>3.2</v>
      </c>
      <c r="CK15" s="19">
        <v>0</v>
      </c>
      <c r="CL15" s="19">
        <v>0.3</v>
      </c>
      <c r="CM15" s="19">
        <v>16.899999999999999</v>
      </c>
      <c r="CN15" s="19">
        <v>3.9</v>
      </c>
      <c r="CO15" s="19">
        <v>0</v>
      </c>
      <c r="CP15" s="19">
        <v>0.3</v>
      </c>
      <c r="CQ15" s="19">
        <v>16.8</v>
      </c>
      <c r="CR15" s="19">
        <v>3.2</v>
      </c>
      <c r="CS15" s="19">
        <v>0.2</v>
      </c>
      <c r="CT15" s="19">
        <v>0.3</v>
      </c>
      <c r="CU15" s="27"/>
      <c r="CV15" s="40">
        <f t="shared" si="29"/>
        <v>7.1</v>
      </c>
      <c r="CW15" s="40">
        <f t="shared" si="30"/>
        <v>40.299999999999997</v>
      </c>
      <c r="CX15" s="40">
        <f t="shared" si="31"/>
        <v>19.899999999999999</v>
      </c>
      <c r="CY15" s="40">
        <f t="shared" si="32"/>
        <v>10.3</v>
      </c>
      <c r="CZ15" s="40">
        <f t="shared" si="33"/>
        <v>60.199999999999996</v>
      </c>
      <c r="DA15" s="40">
        <f t="shared" si="34"/>
        <v>7.1</v>
      </c>
      <c r="DB15" s="40">
        <f t="shared" si="35"/>
        <v>41.199999999999996</v>
      </c>
      <c r="DC15" s="40">
        <f t="shared" si="36"/>
        <v>81.5</v>
      </c>
      <c r="DD15" s="50" t="str">
        <f t="shared" si="37"/>
        <v/>
      </c>
      <c r="DE15" s="50" t="str">
        <f t="shared" si="38"/>
        <v/>
      </c>
      <c r="DF15" s="50" t="str">
        <f t="shared" si="39"/>
        <v/>
      </c>
      <c r="DG15" s="17"/>
      <c r="DH15" s="17"/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17"/>
      <c r="DY15" s="17"/>
      <c r="DZ15" s="17"/>
      <c r="EA15" s="40" t="str">
        <f t="shared" si="40"/>
        <v/>
      </c>
      <c r="EB15" s="40" t="str">
        <f t="shared" si="41"/>
        <v/>
      </c>
      <c r="EC15" s="40" t="str">
        <f t="shared" si="42"/>
        <v/>
      </c>
      <c r="ED15" s="40" t="str">
        <f t="shared" si="43"/>
        <v/>
      </c>
      <c r="EE15" s="40" t="str">
        <f t="shared" si="44"/>
        <v/>
      </c>
      <c r="EF15" s="40" t="str">
        <f t="shared" si="45"/>
        <v/>
      </c>
      <c r="EG15" s="40" t="str">
        <f t="shared" si="46"/>
        <v/>
      </c>
      <c r="EH15" s="40" t="str">
        <f t="shared" si="47"/>
        <v/>
      </c>
      <c r="EI15" s="18"/>
      <c r="EJ15" s="18"/>
      <c r="EK15" s="18"/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8"/>
      <c r="EY15" s="18"/>
      <c r="EZ15" s="18"/>
      <c r="FA15" s="18"/>
      <c r="FB15" s="18"/>
      <c r="FC15" s="11" t="str">
        <f t="shared" si="48"/>
        <v/>
      </c>
      <c r="FD15" s="11" t="str">
        <f t="shared" si="49"/>
        <v/>
      </c>
      <c r="FE15" s="11" t="str">
        <f t="shared" si="50"/>
        <v/>
      </c>
      <c r="FF15" s="11" t="str">
        <f t="shared" si="51"/>
        <v/>
      </c>
      <c r="FG15" s="11" t="str">
        <f t="shared" si="52"/>
        <v/>
      </c>
      <c r="FH15" s="11" t="str">
        <f t="shared" si="53"/>
        <v/>
      </c>
      <c r="FI15" s="11" t="str">
        <f t="shared" si="54"/>
        <v/>
      </c>
      <c r="FJ15" s="11" t="str">
        <f t="shared" si="55"/>
        <v/>
      </c>
      <c r="FK15" s="17"/>
      <c r="FL15" s="17"/>
      <c r="FM15" s="17"/>
      <c r="FN15" s="17"/>
      <c r="FO15" s="17"/>
      <c r="FP15" s="17"/>
      <c r="FQ15" s="17"/>
      <c r="FR15" s="17"/>
      <c r="FS15" s="17"/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40" t="str">
        <f t="shared" si="56"/>
        <v/>
      </c>
      <c r="GF15" s="40" t="str">
        <f t="shared" si="57"/>
        <v/>
      </c>
      <c r="GG15" s="40" t="str">
        <f t="shared" si="58"/>
        <v/>
      </c>
      <c r="GH15" s="40" t="str">
        <f t="shared" si="59"/>
        <v/>
      </c>
      <c r="GI15" s="40" t="str">
        <f t="shared" si="60"/>
        <v/>
      </c>
      <c r="GJ15" s="40" t="str">
        <f t="shared" si="61"/>
        <v/>
      </c>
      <c r="GK15" s="40" t="str">
        <f t="shared" si="62"/>
        <v/>
      </c>
      <c r="GL15" s="40" t="str">
        <f t="shared" si="63"/>
        <v/>
      </c>
      <c r="GM15" s="18"/>
      <c r="GN15" s="18"/>
      <c r="GO15" s="18"/>
      <c r="GP15" s="18"/>
      <c r="GQ15" s="18"/>
      <c r="GR15" s="18"/>
      <c r="GS15" s="18"/>
      <c r="GT15" s="18"/>
      <c r="GU15" s="18"/>
      <c r="GV15" s="18"/>
      <c r="GW15" s="18"/>
      <c r="GX15" s="18"/>
      <c r="GY15" s="18"/>
      <c r="GZ15" s="18"/>
      <c r="HA15" s="18"/>
      <c r="HB15" s="18"/>
      <c r="HC15" s="18"/>
      <c r="HD15" s="18"/>
      <c r="HE15" s="18"/>
      <c r="HF15" s="18"/>
      <c r="HG15" s="11" t="str">
        <f t="shared" si="64"/>
        <v/>
      </c>
      <c r="HH15" s="11" t="str">
        <f t="shared" si="65"/>
        <v/>
      </c>
      <c r="HI15" s="11" t="str">
        <f t="shared" si="66"/>
        <v/>
      </c>
      <c r="HJ15" s="11" t="str">
        <f t="shared" si="67"/>
        <v/>
      </c>
      <c r="HK15" s="11" t="str">
        <f t="shared" si="68"/>
        <v/>
      </c>
      <c r="HL15" s="11" t="str">
        <f t="shared" si="69"/>
        <v/>
      </c>
      <c r="HM15" s="11" t="str">
        <f t="shared" si="70"/>
        <v/>
      </c>
      <c r="HN15" s="11" t="str">
        <f t="shared" si="71"/>
        <v/>
      </c>
      <c r="HO15" s="17"/>
      <c r="HP15" s="17"/>
      <c r="HQ15" s="17"/>
      <c r="HR15" s="17"/>
      <c r="HS15" s="17"/>
      <c r="HT15" s="17"/>
      <c r="HU15" s="17"/>
      <c r="HV15" s="17"/>
      <c r="HW15" s="17"/>
      <c r="HX15" s="17"/>
      <c r="HY15" s="17"/>
      <c r="HZ15" s="17"/>
      <c r="IA15" s="17"/>
      <c r="IB15" s="17"/>
      <c r="IC15" s="17"/>
      <c r="ID15" s="17"/>
      <c r="IE15" s="17"/>
      <c r="IF15" s="17"/>
      <c r="IG15" s="17"/>
      <c r="IH15" s="17"/>
      <c r="II15" s="40" t="str">
        <f t="shared" si="72"/>
        <v/>
      </c>
      <c r="IJ15" s="40" t="str">
        <f t="shared" si="73"/>
        <v/>
      </c>
      <c r="IK15" s="40" t="str">
        <f t="shared" si="74"/>
        <v/>
      </c>
      <c r="IL15" s="40" t="str">
        <f t="shared" si="75"/>
        <v/>
      </c>
      <c r="IM15" s="40" t="str">
        <f t="shared" si="76"/>
        <v/>
      </c>
      <c r="IN15" s="40" t="str">
        <f t="shared" si="77"/>
        <v/>
      </c>
      <c r="IO15" s="40" t="str">
        <f t="shared" si="78"/>
        <v/>
      </c>
      <c r="IP15" s="40" t="str">
        <f t="shared" si="79"/>
        <v/>
      </c>
      <c r="IQ15" s="18"/>
      <c r="IR15" s="18"/>
      <c r="IS15" s="18"/>
      <c r="IT15" s="18"/>
      <c r="IU15" s="18"/>
      <c r="IV15" s="18"/>
      <c r="IW15" s="18"/>
      <c r="IX15" s="18"/>
      <c r="IY15" s="18"/>
      <c r="IZ15" s="18"/>
      <c r="JA15" s="18"/>
      <c r="JB15" s="18"/>
      <c r="JC15" s="18"/>
      <c r="JD15" s="18"/>
      <c r="JE15" s="18"/>
      <c r="JF15" s="18"/>
      <c r="JG15" s="18"/>
      <c r="JH15" s="18"/>
      <c r="JI15" s="18"/>
      <c r="JJ15" s="18"/>
      <c r="JK15" s="11" t="str">
        <f t="shared" si="80"/>
        <v/>
      </c>
      <c r="JL15" s="11" t="str">
        <f t="shared" si="81"/>
        <v/>
      </c>
      <c r="JM15" s="11" t="str">
        <f t="shared" si="82"/>
        <v/>
      </c>
      <c r="JN15" s="11" t="str">
        <f t="shared" si="83"/>
        <v/>
      </c>
      <c r="JO15" s="11" t="str">
        <f t="shared" si="84"/>
        <v/>
      </c>
      <c r="JP15" s="11" t="str">
        <f t="shared" si="85"/>
        <v/>
      </c>
      <c r="JQ15" s="11" t="str">
        <f t="shared" si="86"/>
        <v/>
      </c>
      <c r="JR15" s="11" t="str">
        <f t="shared" si="87"/>
        <v/>
      </c>
      <c r="JS15" s="17"/>
      <c r="JT15" s="17"/>
      <c r="JU15" s="17"/>
      <c r="JV15" s="17"/>
      <c r="JW15" s="17"/>
      <c r="JX15" s="17"/>
      <c r="JY15" s="17"/>
      <c r="JZ15" s="17"/>
      <c r="KA15" s="17"/>
      <c r="KB15" s="17"/>
      <c r="KC15" s="17"/>
      <c r="KD15" s="17"/>
      <c r="KE15" s="17"/>
      <c r="KF15" s="17"/>
      <c r="KG15" s="17"/>
      <c r="KH15" s="17"/>
      <c r="KI15" s="17"/>
      <c r="KJ15" s="17"/>
      <c r="KK15" s="17"/>
      <c r="KL15" s="17"/>
      <c r="KM15" s="40" t="str">
        <f t="shared" si="88"/>
        <v/>
      </c>
      <c r="KN15" s="40" t="str">
        <f t="shared" si="89"/>
        <v/>
      </c>
      <c r="KO15" s="40" t="str">
        <f t="shared" si="90"/>
        <v/>
      </c>
      <c r="KP15" s="40" t="str">
        <f t="shared" si="91"/>
        <v/>
      </c>
      <c r="KQ15" s="40" t="str">
        <f t="shared" si="92"/>
        <v/>
      </c>
      <c r="KR15" s="40" t="str">
        <f t="shared" si="93"/>
        <v/>
      </c>
      <c r="KS15" s="40" t="str">
        <f t="shared" si="94"/>
        <v/>
      </c>
      <c r="KT15" s="40" t="str">
        <f t="shared" si="95"/>
        <v/>
      </c>
      <c r="KU15" s="18"/>
      <c r="KV15" s="18"/>
      <c r="KW15" s="18"/>
      <c r="KX15" s="18"/>
      <c r="KY15" s="18"/>
      <c r="KZ15" s="18"/>
      <c r="LA15" s="18"/>
      <c r="LB15" s="18"/>
      <c r="LC15" s="18"/>
      <c r="LD15" s="18"/>
      <c r="LE15" s="18"/>
      <c r="LF15" s="18"/>
      <c r="LG15" s="18"/>
      <c r="LH15" s="18"/>
      <c r="LI15" s="18"/>
      <c r="LJ15" s="18"/>
      <c r="LK15" s="18"/>
      <c r="LL15" s="18"/>
      <c r="LM15" s="18"/>
      <c r="LN15" s="18"/>
      <c r="LO15" s="11" t="str">
        <f t="shared" si="96"/>
        <v/>
      </c>
      <c r="LP15" s="11" t="str">
        <f t="shared" si="97"/>
        <v/>
      </c>
      <c r="LQ15" s="11" t="str">
        <f t="shared" si="98"/>
        <v/>
      </c>
      <c r="LR15" s="11" t="str">
        <f t="shared" si="99"/>
        <v/>
      </c>
      <c r="LS15" s="11" t="str">
        <f t="shared" si="100"/>
        <v/>
      </c>
      <c r="LT15" s="11" t="str">
        <f t="shared" si="101"/>
        <v/>
      </c>
      <c r="LU15" s="11" t="str">
        <f t="shared" si="102"/>
        <v/>
      </c>
      <c r="LV15" s="11" t="str">
        <f t="shared" si="103"/>
        <v/>
      </c>
      <c r="LW15" s="17"/>
      <c r="LX15" s="17"/>
      <c r="LY15" s="17"/>
      <c r="LZ15" s="17"/>
      <c r="MA15" s="17"/>
      <c r="MB15" s="17"/>
      <c r="MC15" s="17"/>
      <c r="MD15" s="17"/>
      <c r="ME15" s="17"/>
      <c r="MF15" s="17"/>
      <c r="MG15" s="17"/>
      <c r="MH15" s="17"/>
      <c r="MI15" s="17"/>
      <c r="MJ15" s="17"/>
      <c r="MK15" s="17"/>
      <c r="ML15" s="17"/>
      <c r="MM15" s="17"/>
      <c r="MN15" s="17"/>
      <c r="MO15" s="17"/>
      <c r="MP15" s="17"/>
      <c r="MQ15" s="40" t="str">
        <f t="shared" si="104"/>
        <v/>
      </c>
      <c r="MR15" s="40" t="str">
        <f t="shared" si="105"/>
        <v/>
      </c>
      <c r="MS15" s="40" t="str">
        <f t="shared" si="106"/>
        <v/>
      </c>
      <c r="MT15" s="40" t="str">
        <f t="shared" si="107"/>
        <v/>
      </c>
      <c r="MU15" s="40" t="str">
        <f t="shared" si="108"/>
        <v/>
      </c>
      <c r="MV15" s="40" t="str">
        <f t="shared" si="109"/>
        <v/>
      </c>
      <c r="MW15" s="40" t="str">
        <f t="shared" si="110"/>
        <v/>
      </c>
      <c r="MX15" s="40" t="str">
        <f t="shared" si="111"/>
        <v/>
      </c>
      <c r="MY15" s="18"/>
      <c r="MZ15" s="18"/>
      <c r="NA15" s="18"/>
      <c r="NB15" s="18"/>
      <c r="NC15" s="18"/>
      <c r="ND15" s="18"/>
      <c r="NE15" s="18"/>
      <c r="NF15" s="18"/>
      <c r="NG15" s="18"/>
      <c r="NH15" s="18"/>
      <c r="NI15" s="18"/>
      <c r="NJ15" s="18"/>
      <c r="NK15" s="18"/>
      <c r="NL15" s="18"/>
      <c r="NM15" s="18"/>
      <c r="NN15" s="18"/>
      <c r="NO15" s="18"/>
      <c r="NP15" s="18"/>
      <c r="NQ15" s="18"/>
      <c r="NR15" s="18"/>
      <c r="NS15" s="11" t="str">
        <f t="shared" si="112"/>
        <v/>
      </c>
      <c r="NT15" s="11" t="str">
        <f t="shared" si="113"/>
        <v/>
      </c>
      <c r="NU15" s="11" t="str">
        <f t="shared" si="114"/>
        <v/>
      </c>
      <c r="NV15" s="11" t="str">
        <f t="shared" si="115"/>
        <v/>
      </c>
      <c r="NW15" s="11" t="str">
        <f t="shared" si="116"/>
        <v/>
      </c>
      <c r="NX15" s="11" t="str">
        <f t="shared" si="117"/>
        <v/>
      </c>
      <c r="NY15" s="11" t="str">
        <f t="shared" si="118"/>
        <v/>
      </c>
      <c r="NZ15" s="11" t="str">
        <f t="shared" si="119"/>
        <v/>
      </c>
      <c r="OA15" s="17"/>
      <c r="OB15" s="17"/>
      <c r="OC15" s="17"/>
      <c r="OD15" s="17"/>
      <c r="OE15" s="17"/>
      <c r="OF15" s="17"/>
      <c r="OG15" s="17"/>
      <c r="OH15" s="17"/>
      <c r="OI15" s="17"/>
      <c r="OJ15" s="17"/>
      <c r="OK15" s="17"/>
      <c r="OL15" s="17"/>
      <c r="OM15" s="17"/>
      <c r="ON15" s="17"/>
      <c r="OO15" s="17"/>
      <c r="OP15" s="17"/>
      <c r="OQ15" s="17"/>
      <c r="OR15" s="17"/>
      <c r="OS15" s="17"/>
      <c r="OT15" s="17"/>
      <c r="OU15" s="40" t="str">
        <f t="shared" si="120"/>
        <v/>
      </c>
      <c r="OV15" s="40" t="str">
        <f t="shared" si="121"/>
        <v/>
      </c>
      <c r="OW15" s="40" t="str">
        <f t="shared" si="122"/>
        <v/>
      </c>
      <c r="OX15" s="40" t="str">
        <f t="shared" si="123"/>
        <v/>
      </c>
      <c r="OY15" s="40" t="str">
        <f t="shared" si="124"/>
        <v/>
      </c>
      <c r="OZ15" s="40" t="str">
        <f t="shared" si="125"/>
        <v/>
      </c>
      <c r="PA15" s="40" t="str">
        <f t="shared" si="126"/>
        <v/>
      </c>
      <c r="PB15" s="40" t="str">
        <f t="shared" si="127"/>
        <v/>
      </c>
      <c r="PC15" s="18"/>
      <c r="PD15" s="18"/>
      <c r="PE15" s="18"/>
      <c r="PF15" s="18"/>
      <c r="PG15" s="18"/>
      <c r="PH15" s="18"/>
      <c r="PI15" s="18"/>
      <c r="PJ15" s="18"/>
      <c r="PK15" s="18"/>
      <c r="PL15" s="18"/>
      <c r="PM15" s="18"/>
      <c r="PN15" s="18"/>
      <c r="PO15" s="18"/>
      <c r="PP15" s="18"/>
      <c r="PQ15" s="18"/>
      <c r="PR15" s="18"/>
      <c r="PS15" s="18"/>
      <c r="PT15" s="18"/>
      <c r="PU15" s="18"/>
      <c r="PV15" s="18"/>
      <c r="PW15" s="11" t="str">
        <f t="shared" si="128"/>
        <v/>
      </c>
      <c r="PX15" s="11" t="str">
        <f t="shared" si="129"/>
        <v/>
      </c>
      <c r="PY15" s="11" t="str">
        <f t="shared" si="130"/>
        <v/>
      </c>
      <c r="PZ15" s="11" t="str">
        <f t="shared" si="131"/>
        <v/>
      </c>
      <c r="QA15" s="11" t="str">
        <f t="shared" si="132"/>
        <v/>
      </c>
      <c r="QB15" s="11" t="str">
        <f t="shared" si="133"/>
        <v/>
      </c>
      <c r="QC15" s="11" t="str">
        <f t="shared" si="134"/>
        <v/>
      </c>
      <c r="QD15" s="11" t="str">
        <f t="shared" si="135"/>
        <v/>
      </c>
      <c r="QE15" s="22">
        <f t="shared" si="136"/>
        <v>16.8</v>
      </c>
      <c r="QF15" s="22">
        <f t="shared" si="137"/>
        <v>3.9</v>
      </c>
      <c r="QG15" s="22">
        <f t="shared" si="138"/>
        <v>0</v>
      </c>
      <c r="QH15" s="22">
        <f t="shared" si="139"/>
        <v>0.3</v>
      </c>
      <c r="QI15" s="22">
        <f t="shared" si="140"/>
        <v>15.4</v>
      </c>
      <c r="QJ15" s="22">
        <f t="shared" si="141"/>
        <v>3.45</v>
      </c>
      <c r="QK15" s="22">
        <f t="shared" si="142"/>
        <v>0</v>
      </c>
      <c r="QL15" s="22">
        <f t="shared" si="143"/>
        <v>0.44999999999999996</v>
      </c>
      <c r="QM15" s="22">
        <f t="shared" si="144"/>
        <v>8.1999999999999993</v>
      </c>
      <c r="QN15" s="22">
        <f t="shared" si="145"/>
        <v>1.6</v>
      </c>
      <c r="QO15" s="22">
        <f t="shared" si="146"/>
        <v>0</v>
      </c>
      <c r="QP15" s="22">
        <f t="shared" si="147"/>
        <v>0.15</v>
      </c>
      <c r="QQ15" s="22">
        <f t="shared" si="148"/>
        <v>16.2</v>
      </c>
      <c r="QR15" s="22">
        <f t="shared" si="149"/>
        <v>2.9</v>
      </c>
      <c r="QS15" s="22">
        <f t="shared" si="150"/>
        <v>0</v>
      </c>
      <c r="QT15" s="22">
        <f t="shared" si="151"/>
        <v>0.3</v>
      </c>
      <c r="QU15" s="22">
        <f t="shared" si="152"/>
        <v>16.399999999999999</v>
      </c>
      <c r="QV15" s="22">
        <f t="shared" si="153"/>
        <v>3.55</v>
      </c>
      <c r="QW15" s="22">
        <f t="shared" si="154"/>
        <v>0.1</v>
      </c>
      <c r="QX15" s="22">
        <f t="shared" si="155"/>
        <v>0.44999999999999996</v>
      </c>
      <c r="QY15" s="27" t="s">
        <v>46</v>
      </c>
      <c r="QZ15" s="40">
        <f t="shared" si="156"/>
        <v>7.35</v>
      </c>
      <c r="RA15" s="40">
        <f t="shared" si="157"/>
        <v>40.300000000000004</v>
      </c>
      <c r="RB15" s="40">
        <f t="shared" si="158"/>
        <v>9.9499999999999993</v>
      </c>
      <c r="RC15" s="40">
        <f t="shared" si="159"/>
        <v>8.9499999999999993</v>
      </c>
      <c r="RD15" s="40">
        <f t="shared" si="160"/>
        <v>50.25</v>
      </c>
      <c r="RE15" s="40">
        <f t="shared" si="161"/>
        <v>6.4499999999999993</v>
      </c>
      <c r="RF15" s="40">
        <f t="shared" si="162"/>
        <v>39.699999999999996</v>
      </c>
      <c r="RG15" s="40">
        <f t="shared" si="163"/>
        <v>80</v>
      </c>
    </row>
    <row r="16" spans="1:475" x14ac:dyDescent="0.2">
      <c r="A16" s="4" t="str">
        <f t="shared" si="164"/>
        <v/>
      </c>
      <c r="B16" s="5" t="s">
        <v>178</v>
      </c>
      <c r="C16" s="4" t="s">
        <v>6</v>
      </c>
      <c r="D16" s="4">
        <v>2005</v>
      </c>
      <c r="E16" s="9">
        <f t="shared" si="0"/>
        <v>137.36000964600382</v>
      </c>
      <c r="F16" s="3" t="str">
        <f t="shared" si="1"/>
        <v/>
      </c>
      <c r="G16" s="3" t="str">
        <f t="shared" si="2"/>
        <v/>
      </c>
      <c r="H16" s="36" t="str">
        <f t="shared" si="3"/>
        <v/>
      </c>
      <c r="I16" s="3" t="str">
        <f t="shared" si="4"/>
        <v/>
      </c>
      <c r="J16" s="8">
        <f>IF(COUNT(AQ16,BT16,CW16)&gt;0,LARGE((AQ16,BT16,CW16),1),0)</f>
        <v>38.299999999999997</v>
      </c>
      <c r="K16" s="8" t="str">
        <f t="shared" si="5"/>
        <v>2022 Nationals</v>
      </c>
      <c r="L16" s="8">
        <f>IF(COUNT(AQ16,BT16,CW16)&gt;1,LARGE((AQ16,BT16,CW16),2),0)</f>
        <v>37.86</v>
      </c>
      <c r="M16" s="8" t="str">
        <f t="shared" si="6"/>
        <v>2023 Elite Canada</v>
      </c>
      <c r="N16" s="8">
        <f>IF(COUNT(AR16,BU16,CX16)&gt;0,LARGE((AR16,BU16,CX16),1),0)</f>
        <v>20.3</v>
      </c>
      <c r="O16" s="8" t="str">
        <f t="shared" si="7"/>
        <v>2023 Elite Canada</v>
      </c>
      <c r="P16" s="8">
        <f t="shared" si="8"/>
        <v>40.9</v>
      </c>
      <c r="Q16" s="8" t="str">
        <f t="shared" si="9"/>
        <v>2023 Elite Canada</v>
      </c>
      <c r="R16" s="8" t="str">
        <f t="shared" si="10"/>
        <v/>
      </c>
      <c r="S16" s="11" t="str">
        <f t="shared" si="11"/>
        <v/>
      </c>
      <c r="T16" s="8" t="str">
        <f t="shared" si="12"/>
        <v/>
      </c>
      <c r="U16" s="19">
        <v>16.7</v>
      </c>
      <c r="V16" s="19">
        <v>1.2</v>
      </c>
      <c r="W16" s="19">
        <v>0</v>
      </c>
      <c r="X16" s="19">
        <v>0</v>
      </c>
      <c r="Y16" s="19">
        <v>16.899999999999999</v>
      </c>
      <c r="Z16" s="19">
        <v>3.2</v>
      </c>
      <c r="AA16" s="19">
        <v>0</v>
      </c>
      <c r="AB16" s="19">
        <v>0.3</v>
      </c>
      <c r="AC16" s="19"/>
      <c r="AD16" s="19"/>
      <c r="AE16" s="19"/>
      <c r="AF16" s="19"/>
      <c r="AG16" s="19">
        <v>15.7</v>
      </c>
      <c r="AH16" s="19">
        <v>3.2</v>
      </c>
      <c r="AI16" s="19">
        <v>0</v>
      </c>
      <c r="AJ16" s="19">
        <v>0</v>
      </c>
      <c r="AK16" s="19">
        <v>16.600000000000001</v>
      </c>
      <c r="AL16" s="19">
        <v>3.2</v>
      </c>
      <c r="AM16" s="19">
        <v>0</v>
      </c>
      <c r="AN16" s="19">
        <v>0.3</v>
      </c>
      <c r="AO16" s="27"/>
      <c r="AP16" s="40">
        <f t="shared" si="13"/>
        <v>4.4000000000000004</v>
      </c>
      <c r="AQ16" s="40">
        <f t="shared" si="14"/>
        <v>38.299999999999997</v>
      </c>
      <c r="AR16" s="40" t="str">
        <f t="shared" si="15"/>
        <v/>
      </c>
      <c r="AS16" s="40">
        <f t="shared" si="16"/>
        <v>4.4000000000000004</v>
      </c>
      <c r="AT16" s="40">
        <f t="shared" si="17"/>
        <v>38.299999999999997</v>
      </c>
      <c r="AU16" s="40">
        <f t="shared" si="18"/>
        <v>6.4</v>
      </c>
      <c r="AV16" s="40">
        <f t="shared" si="19"/>
        <v>39</v>
      </c>
      <c r="AW16" s="40">
        <f t="shared" si="20"/>
        <v>77.3</v>
      </c>
      <c r="AX16" s="18"/>
      <c r="AY16" s="18"/>
      <c r="AZ16" s="18"/>
      <c r="BA16" s="18"/>
      <c r="BB16" s="18"/>
      <c r="BC16" s="18"/>
      <c r="BD16" s="18"/>
      <c r="BE16" s="18"/>
      <c r="BF16" s="18"/>
      <c r="BG16" s="18"/>
      <c r="BH16" s="18"/>
      <c r="BI16" s="18"/>
      <c r="BJ16" s="18"/>
      <c r="BK16" s="18"/>
      <c r="BL16" s="18"/>
      <c r="BM16" s="18"/>
      <c r="BN16" s="18"/>
      <c r="BO16" s="18"/>
      <c r="BP16" s="18"/>
      <c r="BQ16" s="18"/>
      <c r="BR16" s="28"/>
      <c r="BS16" s="11" t="str">
        <f t="shared" si="21"/>
        <v/>
      </c>
      <c r="BT16" s="11" t="str">
        <f t="shared" si="22"/>
        <v/>
      </c>
      <c r="BU16" s="11" t="str">
        <f t="shared" si="23"/>
        <v/>
      </c>
      <c r="BV16" s="11" t="str">
        <f t="shared" si="24"/>
        <v/>
      </c>
      <c r="BW16" s="11" t="str">
        <f t="shared" si="25"/>
        <v/>
      </c>
      <c r="BX16" s="11" t="str">
        <f t="shared" si="26"/>
        <v/>
      </c>
      <c r="BY16" s="11" t="str">
        <f t="shared" si="27"/>
        <v/>
      </c>
      <c r="BZ16" s="11" t="str">
        <f t="shared" si="28"/>
        <v/>
      </c>
      <c r="CA16" s="19">
        <v>16.600000000000001</v>
      </c>
      <c r="CB16" s="19">
        <v>1.2</v>
      </c>
      <c r="CC16" s="19">
        <v>0</v>
      </c>
      <c r="CD16" s="19">
        <v>0</v>
      </c>
      <c r="CE16" s="19">
        <v>16.559999999999999</v>
      </c>
      <c r="CF16" s="19">
        <v>3.2</v>
      </c>
      <c r="CG16" s="19">
        <v>0</v>
      </c>
      <c r="CH16" s="19">
        <v>0.3</v>
      </c>
      <c r="CI16" s="19">
        <v>16.8</v>
      </c>
      <c r="CJ16" s="19">
        <v>3.2</v>
      </c>
      <c r="CK16" s="19">
        <v>0</v>
      </c>
      <c r="CL16" s="19">
        <v>0.3</v>
      </c>
      <c r="CM16" s="19">
        <v>17.2</v>
      </c>
      <c r="CN16" s="19">
        <v>3.2</v>
      </c>
      <c r="CO16" s="19">
        <v>0</v>
      </c>
      <c r="CP16" s="19">
        <v>0</v>
      </c>
      <c r="CQ16" s="19">
        <v>17</v>
      </c>
      <c r="CR16" s="19">
        <v>3.2</v>
      </c>
      <c r="CS16" s="19">
        <v>0</v>
      </c>
      <c r="CT16" s="19">
        <v>0.3</v>
      </c>
      <c r="CU16" s="27"/>
      <c r="CV16" s="40">
        <f t="shared" si="29"/>
        <v>4.4000000000000004</v>
      </c>
      <c r="CW16" s="40">
        <f t="shared" si="30"/>
        <v>37.86</v>
      </c>
      <c r="CX16" s="40">
        <f t="shared" si="31"/>
        <v>20.3</v>
      </c>
      <c r="CY16" s="40">
        <f t="shared" si="32"/>
        <v>7.6000000000000005</v>
      </c>
      <c r="CZ16" s="40">
        <f t="shared" si="33"/>
        <v>58.16</v>
      </c>
      <c r="DA16" s="40">
        <f t="shared" si="34"/>
        <v>6.4</v>
      </c>
      <c r="DB16" s="40">
        <f t="shared" si="35"/>
        <v>40.9</v>
      </c>
      <c r="DC16" s="40">
        <f t="shared" si="36"/>
        <v>78.759999999999991</v>
      </c>
      <c r="DD16" s="50" t="str">
        <f t="shared" si="37"/>
        <v/>
      </c>
      <c r="DE16" s="50" t="str">
        <f t="shared" si="38"/>
        <v/>
      </c>
      <c r="DF16" s="50" t="str">
        <f t="shared" si="39"/>
        <v/>
      </c>
      <c r="DG16" s="17"/>
      <c r="DH16" s="17"/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17"/>
      <c r="DY16" s="17"/>
      <c r="DZ16" s="17"/>
      <c r="EA16" s="40" t="str">
        <f t="shared" si="40"/>
        <v/>
      </c>
      <c r="EB16" s="40" t="str">
        <f t="shared" si="41"/>
        <v/>
      </c>
      <c r="EC16" s="40" t="str">
        <f t="shared" si="42"/>
        <v/>
      </c>
      <c r="ED16" s="40" t="str">
        <f t="shared" si="43"/>
        <v/>
      </c>
      <c r="EE16" s="40" t="str">
        <f t="shared" si="44"/>
        <v/>
      </c>
      <c r="EF16" s="40" t="str">
        <f t="shared" si="45"/>
        <v/>
      </c>
      <c r="EG16" s="40" t="str">
        <f t="shared" si="46"/>
        <v/>
      </c>
      <c r="EH16" s="40" t="str">
        <f t="shared" si="47"/>
        <v/>
      </c>
      <c r="EI16" s="18"/>
      <c r="EJ16" s="18"/>
      <c r="EK16" s="18"/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8"/>
      <c r="EY16" s="18"/>
      <c r="EZ16" s="18"/>
      <c r="FA16" s="18"/>
      <c r="FB16" s="18"/>
      <c r="FC16" s="11" t="str">
        <f t="shared" si="48"/>
        <v/>
      </c>
      <c r="FD16" s="11" t="str">
        <f t="shared" si="49"/>
        <v/>
      </c>
      <c r="FE16" s="11" t="str">
        <f t="shared" si="50"/>
        <v/>
      </c>
      <c r="FF16" s="11" t="str">
        <f t="shared" si="51"/>
        <v/>
      </c>
      <c r="FG16" s="11" t="str">
        <f t="shared" si="52"/>
        <v/>
      </c>
      <c r="FH16" s="11" t="str">
        <f t="shared" si="53"/>
        <v/>
      </c>
      <c r="FI16" s="11" t="str">
        <f t="shared" si="54"/>
        <v/>
      </c>
      <c r="FJ16" s="11" t="str">
        <f t="shared" si="55"/>
        <v/>
      </c>
      <c r="FK16" s="17"/>
      <c r="FL16" s="17"/>
      <c r="FM16" s="17"/>
      <c r="FN16" s="17"/>
      <c r="FO16" s="17"/>
      <c r="FP16" s="17"/>
      <c r="FQ16" s="17"/>
      <c r="FR16" s="17"/>
      <c r="FS16" s="17"/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17"/>
      <c r="GE16" s="40" t="str">
        <f t="shared" si="56"/>
        <v/>
      </c>
      <c r="GF16" s="40" t="str">
        <f t="shared" si="57"/>
        <v/>
      </c>
      <c r="GG16" s="40" t="str">
        <f t="shared" si="58"/>
        <v/>
      </c>
      <c r="GH16" s="40" t="str">
        <f t="shared" si="59"/>
        <v/>
      </c>
      <c r="GI16" s="40" t="str">
        <f t="shared" si="60"/>
        <v/>
      </c>
      <c r="GJ16" s="40" t="str">
        <f t="shared" si="61"/>
        <v/>
      </c>
      <c r="GK16" s="40" t="str">
        <f t="shared" si="62"/>
        <v/>
      </c>
      <c r="GL16" s="40" t="str">
        <f t="shared" si="63"/>
        <v/>
      </c>
      <c r="GM16" s="18"/>
      <c r="GN16" s="18"/>
      <c r="GO16" s="18"/>
      <c r="GP16" s="18"/>
      <c r="GQ16" s="18"/>
      <c r="GR16" s="18"/>
      <c r="GS16" s="18"/>
      <c r="GT16" s="18"/>
      <c r="GU16" s="18"/>
      <c r="GV16" s="18"/>
      <c r="GW16" s="18"/>
      <c r="GX16" s="18"/>
      <c r="GY16" s="18"/>
      <c r="GZ16" s="18"/>
      <c r="HA16" s="18"/>
      <c r="HB16" s="18"/>
      <c r="HC16" s="18"/>
      <c r="HD16" s="18"/>
      <c r="HE16" s="18"/>
      <c r="HF16" s="18"/>
      <c r="HG16" s="11" t="str">
        <f t="shared" si="64"/>
        <v/>
      </c>
      <c r="HH16" s="11" t="str">
        <f t="shared" si="65"/>
        <v/>
      </c>
      <c r="HI16" s="11" t="str">
        <f t="shared" si="66"/>
        <v/>
      </c>
      <c r="HJ16" s="11" t="str">
        <f t="shared" si="67"/>
        <v/>
      </c>
      <c r="HK16" s="11" t="str">
        <f t="shared" si="68"/>
        <v/>
      </c>
      <c r="HL16" s="11" t="str">
        <f t="shared" si="69"/>
        <v/>
      </c>
      <c r="HM16" s="11" t="str">
        <f t="shared" si="70"/>
        <v/>
      </c>
      <c r="HN16" s="11" t="str">
        <f t="shared" si="71"/>
        <v/>
      </c>
      <c r="HO16" s="17"/>
      <c r="HP16" s="17"/>
      <c r="HQ16" s="17"/>
      <c r="HR16" s="17"/>
      <c r="HS16" s="17"/>
      <c r="HT16" s="17"/>
      <c r="HU16" s="17"/>
      <c r="HV16" s="17"/>
      <c r="HW16" s="17"/>
      <c r="HX16" s="17"/>
      <c r="HY16" s="17"/>
      <c r="HZ16" s="17"/>
      <c r="IA16" s="17"/>
      <c r="IB16" s="17"/>
      <c r="IC16" s="17"/>
      <c r="ID16" s="17"/>
      <c r="IE16" s="17"/>
      <c r="IF16" s="17"/>
      <c r="IG16" s="17"/>
      <c r="IH16" s="17"/>
      <c r="II16" s="40" t="str">
        <f t="shared" si="72"/>
        <v/>
      </c>
      <c r="IJ16" s="40" t="str">
        <f t="shared" si="73"/>
        <v/>
      </c>
      <c r="IK16" s="40" t="str">
        <f t="shared" si="74"/>
        <v/>
      </c>
      <c r="IL16" s="40" t="str">
        <f t="shared" si="75"/>
        <v/>
      </c>
      <c r="IM16" s="40" t="str">
        <f t="shared" si="76"/>
        <v/>
      </c>
      <c r="IN16" s="40" t="str">
        <f t="shared" si="77"/>
        <v/>
      </c>
      <c r="IO16" s="40" t="str">
        <f t="shared" si="78"/>
        <v/>
      </c>
      <c r="IP16" s="40" t="str">
        <f t="shared" si="79"/>
        <v/>
      </c>
      <c r="IQ16" s="18"/>
      <c r="IR16" s="18"/>
      <c r="IS16" s="18"/>
      <c r="IT16" s="18"/>
      <c r="IU16" s="18"/>
      <c r="IV16" s="18"/>
      <c r="IW16" s="18"/>
      <c r="IX16" s="18"/>
      <c r="IY16" s="18"/>
      <c r="IZ16" s="18"/>
      <c r="JA16" s="18"/>
      <c r="JB16" s="18"/>
      <c r="JC16" s="18"/>
      <c r="JD16" s="18"/>
      <c r="JE16" s="18"/>
      <c r="JF16" s="18"/>
      <c r="JG16" s="18"/>
      <c r="JH16" s="18"/>
      <c r="JI16" s="18"/>
      <c r="JJ16" s="18"/>
      <c r="JK16" s="11" t="str">
        <f t="shared" si="80"/>
        <v/>
      </c>
      <c r="JL16" s="11" t="str">
        <f t="shared" si="81"/>
        <v/>
      </c>
      <c r="JM16" s="11" t="str">
        <f t="shared" si="82"/>
        <v/>
      </c>
      <c r="JN16" s="11" t="str">
        <f t="shared" si="83"/>
        <v/>
      </c>
      <c r="JO16" s="11" t="str">
        <f t="shared" si="84"/>
        <v/>
      </c>
      <c r="JP16" s="11" t="str">
        <f t="shared" si="85"/>
        <v/>
      </c>
      <c r="JQ16" s="11" t="str">
        <f t="shared" si="86"/>
        <v/>
      </c>
      <c r="JR16" s="11" t="str">
        <f t="shared" si="87"/>
        <v/>
      </c>
      <c r="JS16" s="17"/>
      <c r="JT16" s="17"/>
      <c r="JU16" s="17"/>
      <c r="JV16" s="17"/>
      <c r="JW16" s="17"/>
      <c r="JX16" s="17"/>
      <c r="JY16" s="17"/>
      <c r="JZ16" s="17"/>
      <c r="KA16" s="17"/>
      <c r="KB16" s="17"/>
      <c r="KC16" s="17"/>
      <c r="KD16" s="17"/>
      <c r="KE16" s="17"/>
      <c r="KF16" s="17"/>
      <c r="KG16" s="17"/>
      <c r="KH16" s="17"/>
      <c r="KI16" s="17"/>
      <c r="KJ16" s="17"/>
      <c r="KK16" s="17"/>
      <c r="KL16" s="17"/>
      <c r="KM16" s="40" t="str">
        <f t="shared" si="88"/>
        <v/>
      </c>
      <c r="KN16" s="40" t="str">
        <f t="shared" si="89"/>
        <v/>
      </c>
      <c r="KO16" s="40" t="str">
        <f t="shared" si="90"/>
        <v/>
      </c>
      <c r="KP16" s="40" t="str">
        <f t="shared" si="91"/>
        <v/>
      </c>
      <c r="KQ16" s="40" t="str">
        <f t="shared" si="92"/>
        <v/>
      </c>
      <c r="KR16" s="40" t="str">
        <f t="shared" si="93"/>
        <v/>
      </c>
      <c r="KS16" s="40" t="str">
        <f t="shared" si="94"/>
        <v/>
      </c>
      <c r="KT16" s="40" t="str">
        <f t="shared" si="95"/>
        <v/>
      </c>
      <c r="KU16" s="18"/>
      <c r="KV16" s="18"/>
      <c r="KW16" s="18"/>
      <c r="KX16" s="18"/>
      <c r="KY16" s="18"/>
      <c r="KZ16" s="18"/>
      <c r="LA16" s="18"/>
      <c r="LB16" s="18"/>
      <c r="LC16" s="18"/>
      <c r="LD16" s="18"/>
      <c r="LE16" s="18"/>
      <c r="LF16" s="18"/>
      <c r="LG16" s="18"/>
      <c r="LH16" s="18"/>
      <c r="LI16" s="18"/>
      <c r="LJ16" s="18"/>
      <c r="LK16" s="18"/>
      <c r="LL16" s="18"/>
      <c r="LM16" s="18"/>
      <c r="LN16" s="18"/>
      <c r="LO16" s="11" t="str">
        <f t="shared" si="96"/>
        <v/>
      </c>
      <c r="LP16" s="11" t="str">
        <f t="shared" si="97"/>
        <v/>
      </c>
      <c r="LQ16" s="11" t="str">
        <f t="shared" si="98"/>
        <v/>
      </c>
      <c r="LR16" s="11" t="str">
        <f t="shared" si="99"/>
        <v/>
      </c>
      <c r="LS16" s="11" t="str">
        <f t="shared" si="100"/>
        <v/>
      </c>
      <c r="LT16" s="11" t="str">
        <f t="shared" si="101"/>
        <v/>
      </c>
      <c r="LU16" s="11" t="str">
        <f t="shared" si="102"/>
        <v/>
      </c>
      <c r="LV16" s="11" t="str">
        <f t="shared" si="103"/>
        <v/>
      </c>
      <c r="LW16" s="17"/>
      <c r="LX16" s="17"/>
      <c r="LY16" s="17"/>
      <c r="LZ16" s="17"/>
      <c r="MA16" s="17"/>
      <c r="MB16" s="17"/>
      <c r="MC16" s="17"/>
      <c r="MD16" s="17"/>
      <c r="ME16" s="17"/>
      <c r="MF16" s="17"/>
      <c r="MG16" s="17"/>
      <c r="MH16" s="17"/>
      <c r="MI16" s="17"/>
      <c r="MJ16" s="17"/>
      <c r="MK16" s="17"/>
      <c r="ML16" s="17"/>
      <c r="MM16" s="17"/>
      <c r="MN16" s="17"/>
      <c r="MO16" s="17"/>
      <c r="MP16" s="17"/>
      <c r="MQ16" s="40" t="str">
        <f t="shared" si="104"/>
        <v/>
      </c>
      <c r="MR16" s="40" t="str">
        <f t="shared" si="105"/>
        <v/>
      </c>
      <c r="MS16" s="40" t="str">
        <f t="shared" si="106"/>
        <v/>
      </c>
      <c r="MT16" s="40" t="str">
        <f t="shared" si="107"/>
        <v/>
      </c>
      <c r="MU16" s="40" t="str">
        <f t="shared" si="108"/>
        <v/>
      </c>
      <c r="MV16" s="40" t="str">
        <f t="shared" si="109"/>
        <v/>
      </c>
      <c r="MW16" s="40" t="str">
        <f t="shared" si="110"/>
        <v/>
      </c>
      <c r="MX16" s="40" t="str">
        <f t="shared" si="111"/>
        <v/>
      </c>
      <c r="MY16" s="18"/>
      <c r="MZ16" s="18"/>
      <c r="NA16" s="18"/>
      <c r="NB16" s="18"/>
      <c r="NC16" s="18"/>
      <c r="ND16" s="18"/>
      <c r="NE16" s="18"/>
      <c r="NF16" s="18"/>
      <c r="NG16" s="18"/>
      <c r="NH16" s="18"/>
      <c r="NI16" s="18"/>
      <c r="NJ16" s="18"/>
      <c r="NK16" s="18"/>
      <c r="NL16" s="18"/>
      <c r="NM16" s="18"/>
      <c r="NN16" s="18"/>
      <c r="NO16" s="18"/>
      <c r="NP16" s="18"/>
      <c r="NQ16" s="18"/>
      <c r="NR16" s="18"/>
      <c r="NS16" s="11" t="str">
        <f t="shared" si="112"/>
        <v/>
      </c>
      <c r="NT16" s="11" t="str">
        <f t="shared" si="113"/>
        <v/>
      </c>
      <c r="NU16" s="11" t="str">
        <f t="shared" si="114"/>
        <v/>
      </c>
      <c r="NV16" s="11" t="str">
        <f t="shared" si="115"/>
        <v/>
      </c>
      <c r="NW16" s="11" t="str">
        <f t="shared" si="116"/>
        <v/>
      </c>
      <c r="NX16" s="11" t="str">
        <f t="shared" si="117"/>
        <v/>
      </c>
      <c r="NY16" s="11" t="str">
        <f t="shared" si="118"/>
        <v/>
      </c>
      <c r="NZ16" s="11" t="str">
        <f t="shared" si="119"/>
        <v/>
      </c>
      <c r="OA16" s="17"/>
      <c r="OB16" s="17"/>
      <c r="OC16" s="17"/>
      <c r="OD16" s="17"/>
      <c r="OE16" s="17"/>
      <c r="OF16" s="17"/>
      <c r="OG16" s="17"/>
      <c r="OH16" s="17"/>
      <c r="OI16" s="17"/>
      <c r="OJ16" s="17"/>
      <c r="OK16" s="17"/>
      <c r="OL16" s="17"/>
      <c r="OM16" s="17"/>
      <c r="ON16" s="17"/>
      <c r="OO16" s="17"/>
      <c r="OP16" s="17"/>
      <c r="OQ16" s="17"/>
      <c r="OR16" s="17"/>
      <c r="OS16" s="17"/>
      <c r="OT16" s="17"/>
      <c r="OU16" s="40" t="str">
        <f t="shared" si="120"/>
        <v/>
      </c>
      <c r="OV16" s="40" t="str">
        <f t="shared" si="121"/>
        <v/>
      </c>
      <c r="OW16" s="40" t="str">
        <f t="shared" si="122"/>
        <v/>
      </c>
      <c r="OX16" s="40" t="str">
        <f t="shared" si="123"/>
        <v/>
      </c>
      <c r="OY16" s="40" t="str">
        <f t="shared" si="124"/>
        <v/>
      </c>
      <c r="OZ16" s="40" t="str">
        <f t="shared" si="125"/>
        <v/>
      </c>
      <c r="PA16" s="40" t="str">
        <f t="shared" si="126"/>
        <v/>
      </c>
      <c r="PB16" s="40" t="str">
        <f t="shared" si="127"/>
        <v/>
      </c>
      <c r="PC16" s="18"/>
      <c r="PD16" s="18"/>
      <c r="PE16" s="18"/>
      <c r="PF16" s="18"/>
      <c r="PG16" s="18"/>
      <c r="PH16" s="18"/>
      <c r="PI16" s="18"/>
      <c r="PJ16" s="18"/>
      <c r="PK16" s="18"/>
      <c r="PL16" s="18"/>
      <c r="PM16" s="18"/>
      <c r="PN16" s="18"/>
      <c r="PO16" s="18"/>
      <c r="PP16" s="18"/>
      <c r="PQ16" s="18"/>
      <c r="PR16" s="18"/>
      <c r="PS16" s="18"/>
      <c r="PT16" s="18"/>
      <c r="PU16" s="18"/>
      <c r="PV16" s="18"/>
      <c r="PW16" s="11" t="str">
        <f t="shared" si="128"/>
        <v/>
      </c>
      <c r="PX16" s="11" t="str">
        <f t="shared" si="129"/>
        <v/>
      </c>
      <c r="PY16" s="11" t="str">
        <f t="shared" si="130"/>
        <v/>
      </c>
      <c r="PZ16" s="11" t="str">
        <f t="shared" si="131"/>
        <v/>
      </c>
      <c r="QA16" s="11" t="str">
        <f t="shared" si="132"/>
        <v/>
      </c>
      <c r="QB16" s="11" t="str">
        <f t="shared" si="133"/>
        <v/>
      </c>
      <c r="QC16" s="11" t="str">
        <f t="shared" si="134"/>
        <v/>
      </c>
      <c r="QD16" s="11" t="str">
        <f t="shared" si="135"/>
        <v/>
      </c>
      <c r="QE16" s="22">
        <f t="shared" si="136"/>
        <v>8.3000000000000007</v>
      </c>
      <c r="QF16" s="22">
        <f t="shared" si="137"/>
        <v>0.6</v>
      </c>
      <c r="QG16" s="22">
        <f t="shared" si="138"/>
        <v>0</v>
      </c>
      <c r="QH16" s="22">
        <f t="shared" si="139"/>
        <v>0</v>
      </c>
      <c r="QI16" s="22">
        <f t="shared" si="140"/>
        <v>8.2799999999999994</v>
      </c>
      <c r="QJ16" s="22">
        <f t="shared" si="141"/>
        <v>1.6</v>
      </c>
      <c r="QK16" s="22">
        <f t="shared" si="142"/>
        <v>0</v>
      </c>
      <c r="QL16" s="22">
        <f t="shared" si="143"/>
        <v>0.15</v>
      </c>
      <c r="QM16" s="22">
        <f t="shared" si="144"/>
        <v>8.4</v>
      </c>
      <c r="QN16" s="22">
        <f t="shared" si="145"/>
        <v>1.6</v>
      </c>
      <c r="QO16" s="22">
        <f t="shared" si="146"/>
        <v>0</v>
      </c>
      <c r="QP16" s="22">
        <f t="shared" si="147"/>
        <v>0.15</v>
      </c>
      <c r="QQ16" s="22">
        <f t="shared" si="148"/>
        <v>8.6</v>
      </c>
      <c r="QR16" s="22">
        <f t="shared" si="149"/>
        <v>1.6</v>
      </c>
      <c r="QS16" s="22">
        <f t="shared" si="150"/>
        <v>0</v>
      </c>
      <c r="QT16" s="22">
        <f t="shared" si="151"/>
        <v>0</v>
      </c>
      <c r="QU16" s="22">
        <f t="shared" si="152"/>
        <v>8.5</v>
      </c>
      <c r="QV16" s="22">
        <f t="shared" si="153"/>
        <v>1.6</v>
      </c>
      <c r="QW16" s="22">
        <f t="shared" si="154"/>
        <v>0</v>
      </c>
      <c r="QX16" s="22">
        <f t="shared" si="155"/>
        <v>0.15</v>
      </c>
      <c r="QY16" s="27" t="s">
        <v>46</v>
      </c>
      <c r="QZ16" s="40">
        <f t="shared" si="156"/>
        <v>2.2000000000000002</v>
      </c>
      <c r="RA16" s="40">
        <f t="shared" si="157"/>
        <v>18.93</v>
      </c>
      <c r="RB16" s="40">
        <f t="shared" si="158"/>
        <v>10.15</v>
      </c>
      <c r="RC16" s="40">
        <f t="shared" si="159"/>
        <v>3.8000000000000003</v>
      </c>
      <c r="RD16" s="40">
        <f t="shared" si="160"/>
        <v>29.08</v>
      </c>
      <c r="RE16" s="40">
        <f t="shared" si="161"/>
        <v>3.2</v>
      </c>
      <c r="RF16" s="40">
        <f t="shared" si="162"/>
        <v>20.45</v>
      </c>
      <c r="RG16" s="40">
        <f t="shared" si="163"/>
        <v>39.379999999999995</v>
      </c>
    </row>
    <row r="17" spans="1:475" x14ac:dyDescent="0.2">
      <c r="A17" s="4" t="str">
        <f t="shared" si="164"/>
        <v/>
      </c>
      <c r="B17" s="5" t="s">
        <v>159</v>
      </c>
      <c r="C17" s="4" t="s">
        <v>4</v>
      </c>
      <c r="D17" s="4">
        <v>2005</v>
      </c>
      <c r="E17" s="9">
        <f t="shared" si="0"/>
        <v>132.50000944000379</v>
      </c>
      <c r="F17" s="3" t="str">
        <f t="shared" si="1"/>
        <v/>
      </c>
      <c r="G17" s="3" t="str">
        <f t="shared" si="2"/>
        <v/>
      </c>
      <c r="H17" s="36" t="str">
        <f t="shared" si="3"/>
        <v/>
      </c>
      <c r="I17" s="3" t="str">
        <f t="shared" si="4"/>
        <v/>
      </c>
      <c r="J17" s="8">
        <f>IF(COUNT(AQ17,BT17,CW17)&gt;0,LARGE((AQ17,BT17,CW17),1),0)</f>
        <v>37.900000000000006</v>
      </c>
      <c r="K17" s="8" t="str">
        <f t="shared" si="5"/>
        <v>2022 Nationals</v>
      </c>
      <c r="L17" s="8">
        <f>IF(COUNT(AQ17,BT17,CW17)&gt;1,LARGE((AQ17,BT17,CW17),2),0)</f>
        <v>37.1</v>
      </c>
      <c r="M17" s="8" t="str">
        <f t="shared" si="6"/>
        <v>2022 3rd Domestic Trial</v>
      </c>
      <c r="N17" s="8">
        <f>IF(COUNT(AR17,BU17,CX17)&gt;0,LARGE((AR17,BU17,CX17),1),0)</f>
        <v>19.399999999999999</v>
      </c>
      <c r="O17" s="8" t="str">
        <f t="shared" si="7"/>
        <v>2023 Elite Canada</v>
      </c>
      <c r="P17" s="8">
        <f t="shared" si="8"/>
        <v>37.9</v>
      </c>
      <c r="Q17" s="8" t="str">
        <f t="shared" si="9"/>
        <v>2022 Nationals</v>
      </c>
      <c r="R17" s="8">
        <f t="shared" si="10"/>
        <v>0.19999999999999574</v>
      </c>
      <c r="S17" s="11" t="str">
        <f t="shared" si="11"/>
        <v>(Q1)</v>
      </c>
      <c r="T17" s="8" t="str">
        <f t="shared" si="12"/>
        <v>2022 Coimbra Gym Fest (June 26)</v>
      </c>
      <c r="U17" s="19">
        <v>15.8</v>
      </c>
      <c r="V17" s="19">
        <v>1.2</v>
      </c>
      <c r="W17" s="19">
        <v>0</v>
      </c>
      <c r="X17" s="19">
        <v>0</v>
      </c>
      <c r="Y17" s="19">
        <v>16.600000000000001</v>
      </c>
      <c r="Z17" s="19">
        <v>3.7</v>
      </c>
      <c r="AA17" s="19">
        <v>0</v>
      </c>
      <c r="AB17" s="19">
        <v>0.6</v>
      </c>
      <c r="AC17" s="19"/>
      <c r="AD17" s="19"/>
      <c r="AE17" s="19"/>
      <c r="AF17" s="19"/>
      <c r="AG17" s="19">
        <v>16.399999999999999</v>
      </c>
      <c r="AH17" s="19">
        <v>2.5</v>
      </c>
      <c r="AI17" s="19">
        <v>0.9</v>
      </c>
      <c r="AJ17" s="19">
        <v>0</v>
      </c>
      <c r="AK17" s="19">
        <v>16.2</v>
      </c>
      <c r="AL17" s="19">
        <v>3.5</v>
      </c>
      <c r="AM17" s="19">
        <v>0.4</v>
      </c>
      <c r="AN17" s="19">
        <v>0.6</v>
      </c>
      <c r="AO17" s="27"/>
      <c r="AP17" s="40">
        <f t="shared" si="13"/>
        <v>4.9000000000000004</v>
      </c>
      <c r="AQ17" s="40">
        <f t="shared" si="14"/>
        <v>37.900000000000006</v>
      </c>
      <c r="AR17" s="40" t="str">
        <f t="shared" si="15"/>
        <v/>
      </c>
      <c r="AS17" s="40">
        <f t="shared" si="16"/>
        <v>4.9000000000000004</v>
      </c>
      <c r="AT17" s="40">
        <f t="shared" si="17"/>
        <v>37.900000000000006</v>
      </c>
      <c r="AU17" s="40">
        <f t="shared" si="18"/>
        <v>6</v>
      </c>
      <c r="AV17" s="40">
        <f t="shared" si="19"/>
        <v>37.9</v>
      </c>
      <c r="AW17" s="40">
        <f t="shared" si="20"/>
        <v>75.800000000000011</v>
      </c>
      <c r="AX17" s="18">
        <v>16.399999999999999</v>
      </c>
      <c r="AY17" s="18">
        <v>3.4</v>
      </c>
      <c r="AZ17" s="18">
        <v>0</v>
      </c>
      <c r="BA17" s="18">
        <v>0</v>
      </c>
      <c r="BB17" s="18">
        <v>14.1</v>
      </c>
      <c r="BC17" s="18">
        <v>2.6</v>
      </c>
      <c r="BD17" s="18">
        <v>0</v>
      </c>
      <c r="BE17" s="18">
        <v>0.6</v>
      </c>
      <c r="BF17" s="18"/>
      <c r="BG17" s="18"/>
      <c r="BH17" s="18"/>
      <c r="BI17" s="18"/>
      <c r="BJ17" s="18">
        <v>15.4</v>
      </c>
      <c r="BK17" s="18">
        <v>1.2</v>
      </c>
      <c r="BL17" s="18">
        <v>0</v>
      </c>
      <c r="BM17" s="18">
        <v>0</v>
      </c>
      <c r="BN17" s="18">
        <v>15.3</v>
      </c>
      <c r="BO17" s="18">
        <v>2.8</v>
      </c>
      <c r="BP17" s="18">
        <v>0.6</v>
      </c>
      <c r="BQ17" s="18">
        <v>0.3</v>
      </c>
      <c r="BR17" s="28"/>
      <c r="BS17" s="11">
        <f t="shared" si="21"/>
        <v>6</v>
      </c>
      <c r="BT17" s="11">
        <f t="shared" si="22"/>
        <v>37.1</v>
      </c>
      <c r="BU17" s="11" t="str">
        <f t="shared" si="23"/>
        <v/>
      </c>
      <c r="BV17" s="11">
        <f t="shared" si="24"/>
        <v>6</v>
      </c>
      <c r="BW17" s="11">
        <f t="shared" si="25"/>
        <v>37.1</v>
      </c>
      <c r="BX17" s="11">
        <f t="shared" si="26"/>
        <v>4</v>
      </c>
      <c r="BY17" s="11">
        <f t="shared" si="27"/>
        <v>34.4</v>
      </c>
      <c r="BZ17" s="11">
        <f t="shared" si="28"/>
        <v>71.5</v>
      </c>
      <c r="CA17" s="19">
        <v>15.6</v>
      </c>
      <c r="CB17" s="19">
        <v>1.2</v>
      </c>
      <c r="CC17" s="19">
        <v>0</v>
      </c>
      <c r="CD17" s="19">
        <v>0</v>
      </c>
      <c r="CE17" s="19">
        <v>15.8</v>
      </c>
      <c r="CF17" s="19">
        <v>3.2</v>
      </c>
      <c r="CG17" s="19">
        <v>0.4</v>
      </c>
      <c r="CH17" s="19">
        <v>0.3</v>
      </c>
      <c r="CI17" s="19">
        <v>16.399999999999999</v>
      </c>
      <c r="CJ17" s="19">
        <v>3.2</v>
      </c>
      <c r="CK17" s="19">
        <v>0.2</v>
      </c>
      <c r="CL17" s="19">
        <v>0</v>
      </c>
      <c r="CM17" s="19">
        <v>15.8</v>
      </c>
      <c r="CN17" s="19">
        <v>1.2</v>
      </c>
      <c r="CO17" s="19">
        <v>0</v>
      </c>
      <c r="CP17" s="19">
        <v>0</v>
      </c>
      <c r="CQ17" s="19">
        <v>16.399999999999999</v>
      </c>
      <c r="CR17" s="19">
        <v>3.2</v>
      </c>
      <c r="CS17" s="19">
        <v>0</v>
      </c>
      <c r="CT17" s="19">
        <v>0.3</v>
      </c>
      <c r="CU17" s="27"/>
      <c r="CV17" s="40">
        <f t="shared" si="29"/>
        <v>4.4000000000000004</v>
      </c>
      <c r="CW17" s="40">
        <f t="shared" si="30"/>
        <v>35.700000000000003</v>
      </c>
      <c r="CX17" s="40">
        <f t="shared" si="31"/>
        <v>19.399999999999999</v>
      </c>
      <c r="CY17" s="40">
        <f t="shared" si="32"/>
        <v>7.6000000000000005</v>
      </c>
      <c r="CZ17" s="40">
        <f t="shared" si="33"/>
        <v>55.1</v>
      </c>
      <c r="DA17" s="40">
        <f t="shared" si="34"/>
        <v>4.4000000000000004</v>
      </c>
      <c r="DB17" s="40">
        <f t="shared" si="35"/>
        <v>36.9</v>
      </c>
      <c r="DC17" s="40">
        <f t="shared" si="36"/>
        <v>72.599999999999994</v>
      </c>
      <c r="DD17" s="50">
        <f t="shared" si="37"/>
        <v>0.19999999999999574</v>
      </c>
      <c r="DE17" s="50" t="str">
        <f t="shared" si="38"/>
        <v/>
      </c>
      <c r="DF17" s="50" t="str">
        <f t="shared" si="39"/>
        <v/>
      </c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17"/>
      <c r="DY17" s="17"/>
      <c r="DZ17" s="17"/>
      <c r="EA17" s="40" t="str">
        <f t="shared" si="40"/>
        <v/>
      </c>
      <c r="EB17" s="40" t="str">
        <f t="shared" si="41"/>
        <v/>
      </c>
      <c r="EC17" s="40" t="str">
        <f t="shared" si="42"/>
        <v/>
      </c>
      <c r="ED17" s="40" t="str">
        <f t="shared" si="43"/>
        <v/>
      </c>
      <c r="EE17" s="40" t="str">
        <f t="shared" si="44"/>
        <v/>
      </c>
      <c r="EF17" s="40" t="str">
        <f t="shared" si="45"/>
        <v/>
      </c>
      <c r="EG17" s="40" t="str">
        <f t="shared" si="46"/>
        <v/>
      </c>
      <c r="EH17" s="40" t="str">
        <f t="shared" si="47"/>
        <v/>
      </c>
      <c r="EI17" s="18">
        <v>16.399999999999999</v>
      </c>
      <c r="EJ17" s="18">
        <v>1.2</v>
      </c>
      <c r="EK17" s="18">
        <v>0</v>
      </c>
      <c r="EL17" s="18">
        <v>0</v>
      </c>
      <c r="EM17" s="18">
        <v>16.2</v>
      </c>
      <c r="EN17" s="18">
        <v>3.5</v>
      </c>
      <c r="EO17" s="18">
        <v>0</v>
      </c>
      <c r="EP17" s="18">
        <v>0</v>
      </c>
      <c r="EQ17" s="18"/>
      <c r="ER17" s="18"/>
      <c r="ES17" s="18"/>
      <c r="ET17" s="18"/>
      <c r="EU17" s="18">
        <v>16.600000000000001</v>
      </c>
      <c r="EV17" s="18">
        <v>3.4</v>
      </c>
      <c r="EW17" s="18">
        <v>0.4</v>
      </c>
      <c r="EX17" s="18">
        <v>0</v>
      </c>
      <c r="EY17" s="18"/>
      <c r="EZ17" s="18"/>
      <c r="FA17" s="18"/>
      <c r="FB17" s="18"/>
      <c r="FC17" s="11">
        <f t="shared" si="48"/>
        <v>4.7</v>
      </c>
      <c r="FD17" s="11">
        <f t="shared" si="49"/>
        <v>37.299999999999997</v>
      </c>
      <c r="FE17" s="11" t="str">
        <f t="shared" si="50"/>
        <v/>
      </c>
      <c r="FF17" s="11">
        <f t="shared" si="51"/>
        <v>4.7</v>
      </c>
      <c r="FG17" s="11">
        <f t="shared" si="52"/>
        <v>37.299999999999997</v>
      </c>
      <c r="FH17" s="11">
        <f t="shared" si="53"/>
        <v>3.4</v>
      </c>
      <c r="FI17" s="11">
        <f t="shared" si="54"/>
        <v>19.600000000000001</v>
      </c>
      <c r="FJ17" s="11">
        <f t="shared" si="55"/>
        <v>56.9</v>
      </c>
      <c r="FK17" s="17"/>
      <c r="FL17" s="17"/>
      <c r="FM17" s="17"/>
      <c r="FN17" s="17"/>
      <c r="FO17" s="17"/>
      <c r="FP17" s="17"/>
      <c r="FQ17" s="17"/>
      <c r="FR17" s="17"/>
      <c r="FS17" s="17"/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17"/>
      <c r="GE17" s="40" t="str">
        <f t="shared" si="56"/>
        <v/>
      </c>
      <c r="GF17" s="40" t="str">
        <f t="shared" si="57"/>
        <v/>
      </c>
      <c r="GG17" s="40" t="str">
        <f t="shared" si="58"/>
        <v/>
      </c>
      <c r="GH17" s="40" t="str">
        <f t="shared" si="59"/>
        <v/>
      </c>
      <c r="GI17" s="40" t="str">
        <f t="shared" si="60"/>
        <v/>
      </c>
      <c r="GJ17" s="40" t="str">
        <f t="shared" si="61"/>
        <v/>
      </c>
      <c r="GK17" s="40" t="str">
        <f t="shared" si="62"/>
        <v/>
      </c>
      <c r="GL17" s="40" t="str">
        <f t="shared" si="63"/>
        <v/>
      </c>
      <c r="GM17" s="18"/>
      <c r="GN17" s="18"/>
      <c r="GO17" s="18"/>
      <c r="GP17" s="18"/>
      <c r="GQ17" s="18"/>
      <c r="GR17" s="18"/>
      <c r="GS17" s="18"/>
      <c r="GT17" s="18"/>
      <c r="GU17" s="18"/>
      <c r="GV17" s="18"/>
      <c r="GW17" s="18"/>
      <c r="GX17" s="18"/>
      <c r="GY17" s="18"/>
      <c r="GZ17" s="18"/>
      <c r="HA17" s="18"/>
      <c r="HB17" s="18"/>
      <c r="HC17" s="18"/>
      <c r="HD17" s="18"/>
      <c r="HE17" s="18"/>
      <c r="HF17" s="18"/>
      <c r="HG17" s="11" t="str">
        <f t="shared" si="64"/>
        <v/>
      </c>
      <c r="HH17" s="11" t="str">
        <f t="shared" si="65"/>
        <v/>
      </c>
      <c r="HI17" s="11" t="str">
        <f t="shared" si="66"/>
        <v/>
      </c>
      <c r="HJ17" s="11" t="str">
        <f t="shared" si="67"/>
        <v/>
      </c>
      <c r="HK17" s="11" t="str">
        <f t="shared" si="68"/>
        <v/>
      </c>
      <c r="HL17" s="11" t="str">
        <f t="shared" si="69"/>
        <v/>
      </c>
      <c r="HM17" s="11" t="str">
        <f t="shared" si="70"/>
        <v/>
      </c>
      <c r="HN17" s="11" t="str">
        <f t="shared" si="71"/>
        <v/>
      </c>
      <c r="HO17" s="17"/>
      <c r="HP17" s="17"/>
      <c r="HQ17" s="17"/>
      <c r="HR17" s="17"/>
      <c r="HS17" s="17"/>
      <c r="HT17" s="17"/>
      <c r="HU17" s="17"/>
      <c r="HV17" s="17"/>
      <c r="HW17" s="17"/>
      <c r="HX17" s="17"/>
      <c r="HY17" s="17"/>
      <c r="HZ17" s="17"/>
      <c r="IA17" s="17"/>
      <c r="IB17" s="17"/>
      <c r="IC17" s="17"/>
      <c r="ID17" s="17"/>
      <c r="IE17" s="17"/>
      <c r="IF17" s="17"/>
      <c r="IG17" s="17"/>
      <c r="IH17" s="17"/>
      <c r="II17" s="40" t="str">
        <f t="shared" si="72"/>
        <v/>
      </c>
      <c r="IJ17" s="40" t="str">
        <f t="shared" si="73"/>
        <v/>
      </c>
      <c r="IK17" s="40" t="str">
        <f t="shared" si="74"/>
        <v/>
      </c>
      <c r="IL17" s="40" t="str">
        <f t="shared" si="75"/>
        <v/>
      </c>
      <c r="IM17" s="40" t="str">
        <f t="shared" si="76"/>
        <v/>
      </c>
      <c r="IN17" s="40" t="str">
        <f t="shared" si="77"/>
        <v/>
      </c>
      <c r="IO17" s="40" t="str">
        <f t="shared" si="78"/>
        <v/>
      </c>
      <c r="IP17" s="40" t="str">
        <f t="shared" si="79"/>
        <v/>
      </c>
      <c r="IQ17" s="18"/>
      <c r="IR17" s="18"/>
      <c r="IS17" s="18"/>
      <c r="IT17" s="18"/>
      <c r="IU17" s="18"/>
      <c r="IV17" s="18"/>
      <c r="IW17" s="18"/>
      <c r="IX17" s="18"/>
      <c r="IY17" s="18"/>
      <c r="IZ17" s="18"/>
      <c r="JA17" s="18"/>
      <c r="JB17" s="18"/>
      <c r="JC17" s="18"/>
      <c r="JD17" s="18"/>
      <c r="JE17" s="18"/>
      <c r="JF17" s="18"/>
      <c r="JG17" s="18"/>
      <c r="JH17" s="18"/>
      <c r="JI17" s="18"/>
      <c r="JJ17" s="18"/>
      <c r="JK17" s="11" t="str">
        <f t="shared" si="80"/>
        <v/>
      </c>
      <c r="JL17" s="11" t="str">
        <f t="shared" si="81"/>
        <v/>
      </c>
      <c r="JM17" s="11" t="str">
        <f t="shared" si="82"/>
        <v/>
      </c>
      <c r="JN17" s="11" t="str">
        <f t="shared" si="83"/>
        <v/>
      </c>
      <c r="JO17" s="11" t="str">
        <f t="shared" si="84"/>
        <v/>
      </c>
      <c r="JP17" s="11" t="str">
        <f t="shared" si="85"/>
        <v/>
      </c>
      <c r="JQ17" s="11" t="str">
        <f t="shared" si="86"/>
        <v/>
      </c>
      <c r="JR17" s="11" t="str">
        <f t="shared" si="87"/>
        <v/>
      </c>
      <c r="JS17" s="17"/>
      <c r="JT17" s="17"/>
      <c r="JU17" s="17"/>
      <c r="JV17" s="17"/>
      <c r="JW17" s="17"/>
      <c r="JX17" s="17"/>
      <c r="JY17" s="17"/>
      <c r="JZ17" s="17"/>
      <c r="KA17" s="17"/>
      <c r="KB17" s="17"/>
      <c r="KC17" s="17"/>
      <c r="KD17" s="17"/>
      <c r="KE17" s="17"/>
      <c r="KF17" s="17"/>
      <c r="KG17" s="17"/>
      <c r="KH17" s="17"/>
      <c r="KI17" s="17"/>
      <c r="KJ17" s="17"/>
      <c r="KK17" s="17"/>
      <c r="KL17" s="17"/>
      <c r="KM17" s="40" t="str">
        <f t="shared" si="88"/>
        <v/>
      </c>
      <c r="KN17" s="40" t="str">
        <f t="shared" si="89"/>
        <v/>
      </c>
      <c r="KO17" s="40" t="str">
        <f t="shared" si="90"/>
        <v/>
      </c>
      <c r="KP17" s="40" t="str">
        <f t="shared" si="91"/>
        <v/>
      </c>
      <c r="KQ17" s="40" t="str">
        <f t="shared" si="92"/>
        <v/>
      </c>
      <c r="KR17" s="40" t="str">
        <f t="shared" si="93"/>
        <v/>
      </c>
      <c r="KS17" s="40" t="str">
        <f t="shared" si="94"/>
        <v/>
      </c>
      <c r="KT17" s="40" t="str">
        <f t="shared" si="95"/>
        <v/>
      </c>
      <c r="KU17" s="18"/>
      <c r="KV17" s="18"/>
      <c r="KW17" s="18"/>
      <c r="KX17" s="18"/>
      <c r="KY17" s="18"/>
      <c r="KZ17" s="18"/>
      <c r="LA17" s="18"/>
      <c r="LB17" s="18"/>
      <c r="LC17" s="18"/>
      <c r="LD17" s="18"/>
      <c r="LE17" s="18"/>
      <c r="LF17" s="18"/>
      <c r="LG17" s="18"/>
      <c r="LH17" s="18"/>
      <c r="LI17" s="18"/>
      <c r="LJ17" s="18"/>
      <c r="LK17" s="18"/>
      <c r="LL17" s="18"/>
      <c r="LM17" s="18"/>
      <c r="LN17" s="18"/>
      <c r="LO17" s="11" t="str">
        <f t="shared" si="96"/>
        <v/>
      </c>
      <c r="LP17" s="11" t="str">
        <f t="shared" si="97"/>
        <v/>
      </c>
      <c r="LQ17" s="11" t="str">
        <f t="shared" si="98"/>
        <v/>
      </c>
      <c r="LR17" s="11" t="str">
        <f t="shared" si="99"/>
        <v/>
      </c>
      <c r="LS17" s="11" t="str">
        <f t="shared" si="100"/>
        <v/>
      </c>
      <c r="LT17" s="11" t="str">
        <f t="shared" si="101"/>
        <v/>
      </c>
      <c r="LU17" s="11" t="str">
        <f t="shared" si="102"/>
        <v/>
      </c>
      <c r="LV17" s="11" t="str">
        <f t="shared" si="103"/>
        <v/>
      </c>
      <c r="LW17" s="17"/>
      <c r="LX17" s="17"/>
      <c r="LY17" s="17"/>
      <c r="LZ17" s="17"/>
      <c r="MA17" s="17"/>
      <c r="MB17" s="17"/>
      <c r="MC17" s="17"/>
      <c r="MD17" s="17"/>
      <c r="ME17" s="17"/>
      <c r="MF17" s="17"/>
      <c r="MG17" s="17"/>
      <c r="MH17" s="17"/>
      <c r="MI17" s="17"/>
      <c r="MJ17" s="17"/>
      <c r="MK17" s="17"/>
      <c r="ML17" s="17"/>
      <c r="MM17" s="17"/>
      <c r="MN17" s="17"/>
      <c r="MO17" s="17"/>
      <c r="MP17" s="17"/>
      <c r="MQ17" s="40" t="str">
        <f t="shared" si="104"/>
        <v/>
      </c>
      <c r="MR17" s="40" t="str">
        <f t="shared" si="105"/>
        <v/>
      </c>
      <c r="MS17" s="40" t="str">
        <f t="shared" si="106"/>
        <v/>
      </c>
      <c r="MT17" s="40" t="str">
        <f t="shared" si="107"/>
        <v/>
      </c>
      <c r="MU17" s="40" t="str">
        <f t="shared" si="108"/>
        <v/>
      </c>
      <c r="MV17" s="40" t="str">
        <f t="shared" si="109"/>
        <v/>
      </c>
      <c r="MW17" s="40" t="str">
        <f t="shared" si="110"/>
        <v/>
      </c>
      <c r="MX17" s="40" t="str">
        <f t="shared" si="111"/>
        <v/>
      </c>
      <c r="MY17" s="18"/>
      <c r="MZ17" s="18"/>
      <c r="NA17" s="18"/>
      <c r="NB17" s="18"/>
      <c r="NC17" s="18"/>
      <c r="ND17" s="18"/>
      <c r="NE17" s="18"/>
      <c r="NF17" s="18"/>
      <c r="NG17" s="18"/>
      <c r="NH17" s="18"/>
      <c r="NI17" s="18"/>
      <c r="NJ17" s="18"/>
      <c r="NK17" s="18"/>
      <c r="NL17" s="18"/>
      <c r="NM17" s="18"/>
      <c r="NN17" s="18"/>
      <c r="NO17" s="18"/>
      <c r="NP17" s="18"/>
      <c r="NQ17" s="18"/>
      <c r="NR17" s="18"/>
      <c r="NS17" s="11" t="str">
        <f t="shared" si="112"/>
        <v/>
      </c>
      <c r="NT17" s="11" t="str">
        <f t="shared" si="113"/>
        <v/>
      </c>
      <c r="NU17" s="11" t="str">
        <f t="shared" si="114"/>
        <v/>
      </c>
      <c r="NV17" s="11" t="str">
        <f t="shared" si="115"/>
        <v/>
      </c>
      <c r="NW17" s="11" t="str">
        <f t="shared" si="116"/>
        <v/>
      </c>
      <c r="NX17" s="11" t="str">
        <f t="shared" si="117"/>
        <v/>
      </c>
      <c r="NY17" s="11" t="str">
        <f t="shared" si="118"/>
        <v/>
      </c>
      <c r="NZ17" s="11" t="str">
        <f t="shared" si="119"/>
        <v/>
      </c>
      <c r="OA17" s="17"/>
      <c r="OB17" s="17"/>
      <c r="OC17" s="17"/>
      <c r="OD17" s="17"/>
      <c r="OE17" s="17"/>
      <c r="OF17" s="17"/>
      <c r="OG17" s="17"/>
      <c r="OH17" s="17"/>
      <c r="OI17" s="17"/>
      <c r="OJ17" s="17"/>
      <c r="OK17" s="17"/>
      <c r="OL17" s="17"/>
      <c r="OM17" s="17"/>
      <c r="ON17" s="17"/>
      <c r="OO17" s="17"/>
      <c r="OP17" s="17"/>
      <c r="OQ17" s="17"/>
      <c r="OR17" s="17"/>
      <c r="OS17" s="17"/>
      <c r="OT17" s="17"/>
      <c r="OU17" s="40" t="str">
        <f t="shared" si="120"/>
        <v/>
      </c>
      <c r="OV17" s="40" t="str">
        <f t="shared" si="121"/>
        <v/>
      </c>
      <c r="OW17" s="40" t="str">
        <f t="shared" si="122"/>
        <v/>
      </c>
      <c r="OX17" s="40" t="str">
        <f t="shared" si="123"/>
        <v/>
      </c>
      <c r="OY17" s="40" t="str">
        <f t="shared" si="124"/>
        <v/>
      </c>
      <c r="OZ17" s="40" t="str">
        <f t="shared" si="125"/>
        <v/>
      </c>
      <c r="PA17" s="40" t="str">
        <f t="shared" si="126"/>
        <v/>
      </c>
      <c r="PB17" s="40" t="str">
        <f t="shared" si="127"/>
        <v/>
      </c>
      <c r="PC17" s="18"/>
      <c r="PD17" s="18"/>
      <c r="PE17" s="18"/>
      <c r="PF17" s="18"/>
      <c r="PG17" s="18"/>
      <c r="PH17" s="18"/>
      <c r="PI17" s="18"/>
      <c r="PJ17" s="18"/>
      <c r="PK17" s="18"/>
      <c r="PL17" s="18"/>
      <c r="PM17" s="18"/>
      <c r="PN17" s="18"/>
      <c r="PO17" s="18"/>
      <c r="PP17" s="18"/>
      <c r="PQ17" s="18"/>
      <c r="PR17" s="18"/>
      <c r="PS17" s="18"/>
      <c r="PT17" s="18"/>
      <c r="PU17" s="18"/>
      <c r="PV17" s="18"/>
      <c r="PW17" s="11" t="str">
        <f t="shared" si="128"/>
        <v/>
      </c>
      <c r="PX17" s="11" t="str">
        <f t="shared" si="129"/>
        <v/>
      </c>
      <c r="PY17" s="11" t="str">
        <f t="shared" si="130"/>
        <v/>
      </c>
      <c r="PZ17" s="11" t="str">
        <f t="shared" si="131"/>
        <v/>
      </c>
      <c r="QA17" s="11" t="str">
        <f t="shared" si="132"/>
        <v/>
      </c>
      <c r="QB17" s="11" t="str">
        <f t="shared" si="133"/>
        <v/>
      </c>
      <c r="QC17" s="11" t="str">
        <f t="shared" si="134"/>
        <v/>
      </c>
      <c r="QD17" s="11" t="str">
        <f t="shared" si="135"/>
        <v/>
      </c>
      <c r="QE17" s="22">
        <f t="shared" si="136"/>
        <v>16</v>
      </c>
      <c r="QF17" s="22">
        <f t="shared" si="137"/>
        <v>2.2999999999999998</v>
      </c>
      <c r="QG17" s="22">
        <f t="shared" si="138"/>
        <v>0</v>
      </c>
      <c r="QH17" s="22">
        <f t="shared" si="139"/>
        <v>0</v>
      </c>
      <c r="QI17" s="22">
        <f t="shared" si="140"/>
        <v>14.95</v>
      </c>
      <c r="QJ17" s="22">
        <f t="shared" si="141"/>
        <v>2.9000000000000004</v>
      </c>
      <c r="QK17" s="22">
        <f t="shared" si="142"/>
        <v>0.2</v>
      </c>
      <c r="QL17" s="22">
        <f t="shared" si="143"/>
        <v>0.44999999999999996</v>
      </c>
      <c r="QM17" s="22">
        <f t="shared" si="144"/>
        <v>8.1999999999999993</v>
      </c>
      <c r="QN17" s="22">
        <f t="shared" si="145"/>
        <v>1.6</v>
      </c>
      <c r="QO17" s="22">
        <f t="shared" si="146"/>
        <v>0.1</v>
      </c>
      <c r="QP17" s="22">
        <f t="shared" si="147"/>
        <v>0</v>
      </c>
      <c r="QQ17" s="22">
        <f t="shared" si="148"/>
        <v>15.600000000000001</v>
      </c>
      <c r="QR17" s="22">
        <f t="shared" si="149"/>
        <v>1.2</v>
      </c>
      <c r="QS17" s="22">
        <f t="shared" si="150"/>
        <v>0</v>
      </c>
      <c r="QT17" s="22">
        <f t="shared" si="151"/>
        <v>0</v>
      </c>
      <c r="QU17" s="22">
        <f t="shared" si="152"/>
        <v>15.85</v>
      </c>
      <c r="QV17" s="22">
        <f t="shared" si="153"/>
        <v>3</v>
      </c>
      <c r="QW17" s="22">
        <f t="shared" si="154"/>
        <v>0.3</v>
      </c>
      <c r="QX17" s="22">
        <f t="shared" si="155"/>
        <v>0.3</v>
      </c>
      <c r="QY17" s="27" t="s">
        <v>46</v>
      </c>
      <c r="QZ17" s="40">
        <f t="shared" si="156"/>
        <v>5.2</v>
      </c>
      <c r="RA17" s="40">
        <f t="shared" si="157"/>
        <v>36.4</v>
      </c>
      <c r="RB17" s="40">
        <f t="shared" si="158"/>
        <v>9.6999999999999993</v>
      </c>
      <c r="RC17" s="40">
        <f t="shared" si="159"/>
        <v>6.8000000000000007</v>
      </c>
      <c r="RD17" s="40">
        <f t="shared" si="160"/>
        <v>46.099999999999994</v>
      </c>
      <c r="RE17" s="40">
        <f t="shared" si="161"/>
        <v>4.2</v>
      </c>
      <c r="RF17" s="40">
        <f t="shared" si="162"/>
        <v>35.65</v>
      </c>
      <c r="RG17" s="40">
        <f t="shared" si="163"/>
        <v>72.05</v>
      </c>
    </row>
    <row r="18" spans="1:475" x14ac:dyDescent="0.2">
      <c r="A18" s="4" t="str">
        <f t="shared" si="164"/>
        <v/>
      </c>
      <c r="B18" s="5" t="s">
        <v>176</v>
      </c>
      <c r="C18" s="4" t="s">
        <v>31</v>
      </c>
      <c r="D18" s="4">
        <v>2005</v>
      </c>
      <c r="E18" s="9">
        <f t="shared" si="0"/>
        <v>82.500004110004113</v>
      </c>
      <c r="F18" s="3" t="str">
        <f t="shared" si="1"/>
        <v/>
      </c>
      <c r="G18" s="3" t="str">
        <f t="shared" si="2"/>
        <v/>
      </c>
      <c r="H18" s="36" t="str">
        <f t="shared" si="3"/>
        <v/>
      </c>
      <c r="I18" s="3" t="str">
        <f t="shared" si="4"/>
        <v/>
      </c>
      <c r="J18" s="8">
        <f>IF(COUNT(AQ18,BT18,CW18)&gt;0,LARGE((AQ18,BT18,CW18),1),0)</f>
        <v>41.099999999999994</v>
      </c>
      <c r="K18" s="8" t="str">
        <f t="shared" si="5"/>
        <v>2022 Nationals</v>
      </c>
      <c r="L18" s="8">
        <f>IF(COUNT(AQ18,BT18,CW18)&gt;1,LARGE((AQ18,BT18,CW18),2),0)</f>
        <v>0</v>
      </c>
      <c r="M18" s="8" t="str">
        <f t="shared" si="6"/>
        <v/>
      </c>
      <c r="N18" s="8">
        <f>IF(COUNT(AR18,BU18,CX18)&gt;0,LARGE((AR18,BU18,CX18),1),0)</f>
        <v>0</v>
      </c>
      <c r="O18" s="8" t="str">
        <f t="shared" si="7"/>
        <v/>
      </c>
      <c r="P18" s="8">
        <f t="shared" si="8"/>
        <v>41.4</v>
      </c>
      <c r="Q18" s="8" t="str">
        <f t="shared" si="9"/>
        <v>2022 Nationals</v>
      </c>
      <c r="R18" s="8" t="str">
        <f t="shared" si="10"/>
        <v/>
      </c>
      <c r="S18" s="11" t="str">
        <f t="shared" si="11"/>
        <v/>
      </c>
      <c r="T18" s="8" t="str">
        <f t="shared" si="12"/>
        <v/>
      </c>
      <c r="U18" s="19">
        <v>17.7</v>
      </c>
      <c r="V18" s="19">
        <v>3.3</v>
      </c>
      <c r="W18" s="19">
        <v>0</v>
      </c>
      <c r="X18" s="19">
        <v>0</v>
      </c>
      <c r="Y18" s="19">
        <v>16.8</v>
      </c>
      <c r="Z18" s="19">
        <v>3</v>
      </c>
      <c r="AA18" s="19">
        <v>0</v>
      </c>
      <c r="AB18" s="19">
        <v>0.3</v>
      </c>
      <c r="AC18" s="19"/>
      <c r="AD18" s="19"/>
      <c r="AE18" s="19"/>
      <c r="AF18" s="19"/>
      <c r="AG18" s="19">
        <v>17.399999999999999</v>
      </c>
      <c r="AH18" s="19">
        <v>3.3</v>
      </c>
      <c r="AI18" s="19">
        <v>0</v>
      </c>
      <c r="AJ18" s="19">
        <v>0</v>
      </c>
      <c r="AK18" s="19">
        <v>16.5</v>
      </c>
      <c r="AL18" s="19">
        <v>3.9</v>
      </c>
      <c r="AM18" s="19">
        <v>0</v>
      </c>
      <c r="AN18" s="19">
        <v>0.3</v>
      </c>
      <c r="AO18" s="27"/>
      <c r="AP18" s="40">
        <f t="shared" si="13"/>
        <v>6.3</v>
      </c>
      <c r="AQ18" s="40">
        <f t="shared" si="14"/>
        <v>41.099999999999994</v>
      </c>
      <c r="AR18" s="40" t="str">
        <f t="shared" si="15"/>
        <v/>
      </c>
      <c r="AS18" s="40">
        <f t="shared" si="16"/>
        <v>6.3</v>
      </c>
      <c r="AT18" s="40">
        <f t="shared" si="17"/>
        <v>41.099999999999994</v>
      </c>
      <c r="AU18" s="40">
        <f t="shared" si="18"/>
        <v>7.1999999999999993</v>
      </c>
      <c r="AV18" s="40">
        <f t="shared" si="19"/>
        <v>41.4</v>
      </c>
      <c r="AW18" s="40">
        <f t="shared" si="20"/>
        <v>82.5</v>
      </c>
      <c r="AX18" s="18"/>
      <c r="AY18" s="18"/>
      <c r="AZ18" s="18"/>
      <c r="BA18" s="18"/>
      <c r="BB18" s="18"/>
      <c r="BC18" s="18"/>
      <c r="BD18" s="18"/>
      <c r="BE18" s="18"/>
      <c r="BF18" s="18"/>
      <c r="BG18" s="18"/>
      <c r="BH18" s="18"/>
      <c r="BI18" s="18"/>
      <c r="BJ18" s="18"/>
      <c r="BK18" s="18"/>
      <c r="BL18" s="18"/>
      <c r="BM18" s="18"/>
      <c r="BN18" s="18"/>
      <c r="BO18" s="18"/>
      <c r="BP18" s="18"/>
      <c r="BQ18" s="18"/>
      <c r="BR18" s="28"/>
      <c r="BS18" s="11" t="str">
        <f t="shared" si="21"/>
        <v/>
      </c>
      <c r="BT18" s="11" t="str">
        <f t="shared" si="22"/>
        <v/>
      </c>
      <c r="BU18" s="11" t="str">
        <f t="shared" si="23"/>
        <v/>
      </c>
      <c r="BV18" s="11" t="str">
        <f t="shared" si="24"/>
        <v/>
      </c>
      <c r="BW18" s="11" t="str">
        <f t="shared" si="25"/>
        <v/>
      </c>
      <c r="BX18" s="11" t="str">
        <f t="shared" si="26"/>
        <v/>
      </c>
      <c r="BY18" s="11" t="str">
        <f t="shared" si="27"/>
        <v/>
      </c>
      <c r="BZ18" s="11" t="str">
        <f t="shared" si="28"/>
        <v/>
      </c>
      <c r="CA18" s="19"/>
      <c r="CB18" s="19"/>
      <c r="CC18" s="19"/>
      <c r="CD18" s="19"/>
      <c r="CE18" s="19"/>
      <c r="CF18" s="19"/>
      <c r="CG18" s="19"/>
      <c r="CH18" s="19"/>
      <c r="CI18" s="19"/>
      <c r="CJ18" s="19"/>
      <c r="CK18" s="19"/>
      <c r="CL18" s="19"/>
      <c r="CM18" s="19"/>
      <c r="CN18" s="19"/>
      <c r="CO18" s="19"/>
      <c r="CP18" s="19"/>
      <c r="CQ18" s="19"/>
      <c r="CR18" s="19"/>
      <c r="CS18" s="19"/>
      <c r="CT18" s="19"/>
      <c r="CU18" s="27"/>
      <c r="CV18" s="40" t="str">
        <f t="shared" si="29"/>
        <v/>
      </c>
      <c r="CW18" s="40" t="str">
        <f t="shared" si="30"/>
        <v/>
      </c>
      <c r="CX18" s="40" t="str">
        <f t="shared" si="31"/>
        <v/>
      </c>
      <c r="CY18" s="40" t="str">
        <f t="shared" si="32"/>
        <v/>
      </c>
      <c r="CZ18" s="40" t="str">
        <f t="shared" si="33"/>
        <v/>
      </c>
      <c r="DA18" s="40" t="str">
        <f t="shared" si="34"/>
        <v/>
      </c>
      <c r="DB18" s="40" t="str">
        <f t="shared" si="35"/>
        <v/>
      </c>
      <c r="DC18" s="40" t="str">
        <f t="shared" si="36"/>
        <v/>
      </c>
      <c r="DD18" s="50" t="str">
        <f t="shared" si="37"/>
        <v/>
      </c>
      <c r="DE18" s="50" t="str">
        <f t="shared" si="38"/>
        <v/>
      </c>
      <c r="DF18" s="50" t="str">
        <f t="shared" si="39"/>
        <v/>
      </c>
      <c r="DG18" s="17"/>
      <c r="DH18" s="17"/>
      <c r="DI18" s="17"/>
      <c r="DJ18" s="17"/>
      <c r="DK18" s="17"/>
      <c r="DL18" s="17"/>
      <c r="DM18" s="17"/>
      <c r="DN18" s="17"/>
      <c r="DO18" s="17"/>
      <c r="DP18" s="17"/>
      <c r="DQ18" s="17"/>
      <c r="DR18" s="17"/>
      <c r="DS18" s="17"/>
      <c r="DT18" s="17"/>
      <c r="DU18" s="17"/>
      <c r="DV18" s="17"/>
      <c r="DW18" s="17"/>
      <c r="DX18" s="17"/>
      <c r="DY18" s="17"/>
      <c r="DZ18" s="17"/>
      <c r="EA18" s="40" t="str">
        <f t="shared" si="40"/>
        <v/>
      </c>
      <c r="EB18" s="40" t="str">
        <f t="shared" si="41"/>
        <v/>
      </c>
      <c r="EC18" s="40" t="str">
        <f t="shared" si="42"/>
        <v/>
      </c>
      <c r="ED18" s="40" t="str">
        <f t="shared" si="43"/>
        <v/>
      </c>
      <c r="EE18" s="40" t="str">
        <f t="shared" si="44"/>
        <v/>
      </c>
      <c r="EF18" s="40" t="str">
        <f t="shared" si="45"/>
        <v/>
      </c>
      <c r="EG18" s="40" t="str">
        <f t="shared" si="46"/>
        <v/>
      </c>
      <c r="EH18" s="40" t="str">
        <f t="shared" si="47"/>
        <v/>
      </c>
      <c r="EI18" s="18"/>
      <c r="EJ18" s="18"/>
      <c r="EK18" s="18"/>
      <c r="EL18" s="18"/>
      <c r="EM18" s="18"/>
      <c r="EN18" s="18"/>
      <c r="EO18" s="18"/>
      <c r="EP18" s="18"/>
      <c r="EQ18" s="18"/>
      <c r="ER18" s="18"/>
      <c r="ES18" s="18"/>
      <c r="ET18" s="18"/>
      <c r="EU18" s="18"/>
      <c r="EV18" s="18"/>
      <c r="EW18" s="18"/>
      <c r="EX18" s="18"/>
      <c r="EY18" s="18"/>
      <c r="EZ18" s="18"/>
      <c r="FA18" s="18"/>
      <c r="FB18" s="18"/>
      <c r="FC18" s="11" t="str">
        <f t="shared" si="48"/>
        <v/>
      </c>
      <c r="FD18" s="11" t="str">
        <f t="shared" si="49"/>
        <v/>
      </c>
      <c r="FE18" s="11" t="str">
        <f t="shared" si="50"/>
        <v/>
      </c>
      <c r="FF18" s="11" t="str">
        <f t="shared" si="51"/>
        <v/>
      </c>
      <c r="FG18" s="11" t="str">
        <f t="shared" si="52"/>
        <v/>
      </c>
      <c r="FH18" s="11" t="str">
        <f t="shared" si="53"/>
        <v/>
      </c>
      <c r="FI18" s="11" t="str">
        <f t="shared" si="54"/>
        <v/>
      </c>
      <c r="FJ18" s="11" t="str">
        <f t="shared" si="55"/>
        <v/>
      </c>
      <c r="FK18" s="17"/>
      <c r="FL18" s="17"/>
      <c r="FM18" s="17"/>
      <c r="FN18" s="17"/>
      <c r="FO18" s="17"/>
      <c r="FP18" s="17"/>
      <c r="FQ18" s="17"/>
      <c r="FR18" s="17"/>
      <c r="FS18" s="17"/>
      <c r="FT18" s="17"/>
      <c r="FU18" s="17"/>
      <c r="FV18" s="17"/>
      <c r="FW18" s="17"/>
      <c r="FX18" s="17"/>
      <c r="FY18" s="17"/>
      <c r="FZ18" s="17"/>
      <c r="GA18" s="17"/>
      <c r="GB18" s="17"/>
      <c r="GC18" s="17"/>
      <c r="GD18" s="17"/>
      <c r="GE18" s="40" t="str">
        <f t="shared" si="56"/>
        <v/>
      </c>
      <c r="GF18" s="40" t="str">
        <f t="shared" si="57"/>
        <v/>
      </c>
      <c r="GG18" s="40" t="str">
        <f t="shared" si="58"/>
        <v/>
      </c>
      <c r="GH18" s="40" t="str">
        <f t="shared" si="59"/>
        <v/>
      </c>
      <c r="GI18" s="40" t="str">
        <f t="shared" si="60"/>
        <v/>
      </c>
      <c r="GJ18" s="40" t="str">
        <f t="shared" si="61"/>
        <v/>
      </c>
      <c r="GK18" s="40" t="str">
        <f t="shared" si="62"/>
        <v/>
      </c>
      <c r="GL18" s="40" t="str">
        <f t="shared" si="63"/>
        <v/>
      </c>
      <c r="GM18" s="18"/>
      <c r="GN18" s="18"/>
      <c r="GO18" s="18"/>
      <c r="GP18" s="18"/>
      <c r="GQ18" s="18"/>
      <c r="GR18" s="18"/>
      <c r="GS18" s="18"/>
      <c r="GT18" s="18"/>
      <c r="GU18" s="18"/>
      <c r="GV18" s="18"/>
      <c r="GW18" s="18"/>
      <c r="GX18" s="18"/>
      <c r="GY18" s="18"/>
      <c r="GZ18" s="18"/>
      <c r="HA18" s="18"/>
      <c r="HB18" s="18"/>
      <c r="HC18" s="18"/>
      <c r="HD18" s="18"/>
      <c r="HE18" s="18"/>
      <c r="HF18" s="18"/>
      <c r="HG18" s="11" t="str">
        <f t="shared" si="64"/>
        <v/>
      </c>
      <c r="HH18" s="11" t="str">
        <f t="shared" si="65"/>
        <v/>
      </c>
      <c r="HI18" s="11" t="str">
        <f t="shared" si="66"/>
        <v/>
      </c>
      <c r="HJ18" s="11" t="str">
        <f t="shared" si="67"/>
        <v/>
      </c>
      <c r="HK18" s="11" t="str">
        <f t="shared" si="68"/>
        <v/>
      </c>
      <c r="HL18" s="11" t="str">
        <f t="shared" si="69"/>
        <v/>
      </c>
      <c r="HM18" s="11" t="str">
        <f t="shared" si="70"/>
        <v/>
      </c>
      <c r="HN18" s="11" t="str">
        <f t="shared" si="71"/>
        <v/>
      </c>
      <c r="HO18" s="17"/>
      <c r="HP18" s="17"/>
      <c r="HQ18" s="17"/>
      <c r="HR18" s="17"/>
      <c r="HS18" s="17"/>
      <c r="HT18" s="17"/>
      <c r="HU18" s="17"/>
      <c r="HV18" s="17"/>
      <c r="HW18" s="17"/>
      <c r="HX18" s="17"/>
      <c r="HY18" s="17"/>
      <c r="HZ18" s="17"/>
      <c r="IA18" s="17"/>
      <c r="IB18" s="17"/>
      <c r="IC18" s="17"/>
      <c r="ID18" s="17"/>
      <c r="IE18" s="17"/>
      <c r="IF18" s="17"/>
      <c r="IG18" s="17"/>
      <c r="IH18" s="17"/>
      <c r="II18" s="40" t="str">
        <f t="shared" si="72"/>
        <v/>
      </c>
      <c r="IJ18" s="40" t="str">
        <f t="shared" si="73"/>
        <v/>
      </c>
      <c r="IK18" s="40" t="str">
        <f t="shared" si="74"/>
        <v/>
      </c>
      <c r="IL18" s="40" t="str">
        <f t="shared" si="75"/>
        <v/>
      </c>
      <c r="IM18" s="40" t="str">
        <f t="shared" si="76"/>
        <v/>
      </c>
      <c r="IN18" s="40" t="str">
        <f t="shared" si="77"/>
        <v/>
      </c>
      <c r="IO18" s="40" t="str">
        <f t="shared" si="78"/>
        <v/>
      </c>
      <c r="IP18" s="40" t="str">
        <f t="shared" si="79"/>
        <v/>
      </c>
      <c r="IQ18" s="18"/>
      <c r="IR18" s="18"/>
      <c r="IS18" s="18"/>
      <c r="IT18" s="18"/>
      <c r="IU18" s="18"/>
      <c r="IV18" s="18"/>
      <c r="IW18" s="18"/>
      <c r="IX18" s="18"/>
      <c r="IY18" s="18"/>
      <c r="IZ18" s="18"/>
      <c r="JA18" s="18"/>
      <c r="JB18" s="18"/>
      <c r="JC18" s="18"/>
      <c r="JD18" s="18"/>
      <c r="JE18" s="18"/>
      <c r="JF18" s="18"/>
      <c r="JG18" s="18"/>
      <c r="JH18" s="18"/>
      <c r="JI18" s="18"/>
      <c r="JJ18" s="18"/>
      <c r="JK18" s="11" t="str">
        <f t="shared" si="80"/>
        <v/>
      </c>
      <c r="JL18" s="11" t="str">
        <f t="shared" si="81"/>
        <v/>
      </c>
      <c r="JM18" s="11" t="str">
        <f t="shared" si="82"/>
        <v/>
      </c>
      <c r="JN18" s="11" t="str">
        <f t="shared" si="83"/>
        <v/>
      </c>
      <c r="JO18" s="11" t="str">
        <f t="shared" si="84"/>
        <v/>
      </c>
      <c r="JP18" s="11" t="str">
        <f t="shared" si="85"/>
        <v/>
      </c>
      <c r="JQ18" s="11" t="str">
        <f t="shared" si="86"/>
        <v/>
      </c>
      <c r="JR18" s="11" t="str">
        <f t="shared" si="87"/>
        <v/>
      </c>
      <c r="JS18" s="17"/>
      <c r="JT18" s="17"/>
      <c r="JU18" s="17"/>
      <c r="JV18" s="17"/>
      <c r="JW18" s="17"/>
      <c r="JX18" s="17"/>
      <c r="JY18" s="17"/>
      <c r="JZ18" s="17"/>
      <c r="KA18" s="17"/>
      <c r="KB18" s="17"/>
      <c r="KC18" s="17"/>
      <c r="KD18" s="17"/>
      <c r="KE18" s="17"/>
      <c r="KF18" s="17"/>
      <c r="KG18" s="17"/>
      <c r="KH18" s="17"/>
      <c r="KI18" s="17"/>
      <c r="KJ18" s="17"/>
      <c r="KK18" s="17"/>
      <c r="KL18" s="17"/>
      <c r="KM18" s="40" t="str">
        <f t="shared" si="88"/>
        <v/>
      </c>
      <c r="KN18" s="40" t="str">
        <f t="shared" si="89"/>
        <v/>
      </c>
      <c r="KO18" s="40" t="str">
        <f t="shared" si="90"/>
        <v/>
      </c>
      <c r="KP18" s="40" t="str">
        <f t="shared" si="91"/>
        <v/>
      </c>
      <c r="KQ18" s="40" t="str">
        <f t="shared" si="92"/>
        <v/>
      </c>
      <c r="KR18" s="40" t="str">
        <f t="shared" si="93"/>
        <v/>
      </c>
      <c r="KS18" s="40" t="str">
        <f t="shared" si="94"/>
        <v/>
      </c>
      <c r="KT18" s="40" t="str">
        <f t="shared" si="95"/>
        <v/>
      </c>
      <c r="KU18" s="18"/>
      <c r="KV18" s="18"/>
      <c r="KW18" s="18"/>
      <c r="KX18" s="18"/>
      <c r="KY18" s="18"/>
      <c r="KZ18" s="18"/>
      <c r="LA18" s="18"/>
      <c r="LB18" s="18"/>
      <c r="LC18" s="18"/>
      <c r="LD18" s="18"/>
      <c r="LE18" s="18"/>
      <c r="LF18" s="18"/>
      <c r="LG18" s="18"/>
      <c r="LH18" s="18"/>
      <c r="LI18" s="18"/>
      <c r="LJ18" s="18"/>
      <c r="LK18" s="18"/>
      <c r="LL18" s="18"/>
      <c r="LM18" s="18"/>
      <c r="LN18" s="18"/>
      <c r="LO18" s="11" t="str">
        <f t="shared" si="96"/>
        <v/>
      </c>
      <c r="LP18" s="11" t="str">
        <f t="shared" si="97"/>
        <v/>
      </c>
      <c r="LQ18" s="11" t="str">
        <f t="shared" si="98"/>
        <v/>
      </c>
      <c r="LR18" s="11" t="str">
        <f t="shared" si="99"/>
        <v/>
      </c>
      <c r="LS18" s="11" t="str">
        <f t="shared" si="100"/>
        <v/>
      </c>
      <c r="LT18" s="11" t="str">
        <f t="shared" si="101"/>
        <v/>
      </c>
      <c r="LU18" s="11" t="str">
        <f t="shared" si="102"/>
        <v/>
      </c>
      <c r="LV18" s="11" t="str">
        <f t="shared" si="103"/>
        <v/>
      </c>
      <c r="LW18" s="17"/>
      <c r="LX18" s="17"/>
      <c r="LY18" s="17"/>
      <c r="LZ18" s="17"/>
      <c r="MA18" s="17"/>
      <c r="MB18" s="17"/>
      <c r="MC18" s="17"/>
      <c r="MD18" s="17"/>
      <c r="ME18" s="17"/>
      <c r="MF18" s="17"/>
      <c r="MG18" s="17"/>
      <c r="MH18" s="17"/>
      <c r="MI18" s="17"/>
      <c r="MJ18" s="17"/>
      <c r="MK18" s="17"/>
      <c r="ML18" s="17"/>
      <c r="MM18" s="17"/>
      <c r="MN18" s="17"/>
      <c r="MO18" s="17"/>
      <c r="MP18" s="17"/>
      <c r="MQ18" s="40" t="str">
        <f t="shared" si="104"/>
        <v/>
      </c>
      <c r="MR18" s="40" t="str">
        <f t="shared" si="105"/>
        <v/>
      </c>
      <c r="MS18" s="40" t="str">
        <f t="shared" si="106"/>
        <v/>
      </c>
      <c r="MT18" s="40" t="str">
        <f t="shared" si="107"/>
        <v/>
      </c>
      <c r="MU18" s="40" t="str">
        <f t="shared" si="108"/>
        <v/>
      </c>
      <c r="MV18" s="40" t="str">
        <f t="shared" si="109"/>
        <v/>
      </c>
      <c r="MW18" s="40" t="str">
        <f t="shared" si="110"/>
        <v/>
      </c>
      <c r="MX18" s="40" t="str">
        <f t="shared" si="111"/>
        <v/>
      </c>
      <c r="MY18" s="18"/>
      <c r="MZ18" s="18"/>
      <c r="NA18" s="18"/>
      <c r="NB18" s="18"/>
      <c r="NC18" s="18"/>
      <c r="ND18" s="18"/>
      <c r="NE18" s="18"/>
      <c r="NF18" s="18"/>
      <c r="NG18" s="18"/>
      <c r="NH18" s="18"/>
      <c r="NI18" s="18"/>
      <c r="NJ18" s="18"/>
      <c r="NK18" s="18"/>
      <c r="NL18" s="18"/>
      <c r="NM18" s="18"/>
      <c r="NN18" s="18"/>
      <c r="NO18" s="18"/>
      <c r="NP18" s="18"/>
      <c r="NQ18" s="18"/>
      <c r="NR18" s="18"/>
      <c r="NS18" s="11" t="str">
        <f t="shared" si="112"/>
        <v/>
      </c>
      <c r="NT18" s="11" t="str">
        <f t="shared" si="113"/>
        <v/>
      </c>
      <c r="NU18" s="11" t="str">
        <f t="shared" si="114"/>
        <v/>
      </c>
      <c r="NV18" s="11" t="str">
        <f t="shared" si="115"/>
        <v/>
      </c>
      <c r="NW18" s="11" t="str">
        <f t="shared" si="116"/>
        <v/>
      </c>
      <c r="NX18" s="11" t="str">
        <f t="shared" si="117"/>
        <v/>
      </c>
      <c r="NY18" s="11" t="str">
        <f t="shared" si="118"/>
        <v/>
      </c>
      <c r="NZ18" s="11" t="str">
        <f t="shared" si="119"/>
        <v/>
      </c>
      <c r="OA18" s="17"/>
      <c r="OB18" s="17"/>
      <c r="OC18" s="17"/>
      <c r="OD18" s="17"/>
      <c r="OE18" s="17"/>
      <c r="OF18" s="17"/>
      <c r="OG18" s="17"/>
      <c r="OH18" s="17"/>
      <c r="OI18" s="17"/>
      <c r="OJ18" s="17"/>
      <c r="OK18" s="17"/>
      <c r="OL18" s="17"/>
      <c r="OM18" s="17"/>
      <c r="ON18" s="17"/>
      <c r="OO18" s="17"/>
      <c r="OP18" s="17"/>
      <c r="OQ18" s="17"/>
      <c r="OR18" s="17"/>
      <c r="OS18" s="17"/>
      <c r="OT18" s="17"/>
      <c r="OU18" s="40" t="str">
        <f t="shared" si="120"/>
        <v/>
      </c>
      <c r="OV18" s="40" t="str">
        <f t="shared" si="121"/>
        <v/>
      </c>
      <c r="OW18" s="40" t="str">
        <f t="shared" si="122"/>
        <v/>
      </c>
      <c r="OX18" s="40" t="str">
        <f t="shared" si="123"/>
        <v/>
      </c>
      <c r="OY18" s="40" t="str">
        <f t="shared" si="124"/>
        <v/>
      </c>
      <c r="OZ18" s="40" t="str">
        <f t="shared" si="125"/>
        <v/>
      </c>
      <c r="PA18" s="40" t="str">
        <f t="shared" si="126"/>
        <v/>
      </c>
      <c r="PB18" s="40" t="str">
        <f t="shared" si="127"/>
        <v/>
      </c>
      <c r="PC18" s="18"/>
      <c r="PD18" s="18"/>
      <c r="PE18" s="18"/>
      <c r="PF18" s="18"/>
      <c r="PG18" s="18"/>
      <c r="PH18" s="18"/>
      <c r="PI18" s="18"/>
      <c r="PJ18" s="18"/>
      <c r="PK18" s="18"/>
      <c r="PL18" s="18"/>
      <c r="PM18" s="18"/>
      <c r="PN18" s="18"/>
      <c r="PO18" s="18"/>
      <c r="PP18" s="18"/>
      <c r="PQ18" s="18"/>
      <c r="PR18" s="18"/>
      <c r="PS18" s="18"/>
      <c r="PT18" s="18"/>
      <c r="PU18" s="18"/>
      <c r="PV18" s="18"/>
      <c r="PW18" s="11" t="str">
        <f t="shared" si="128"/>
        <v/>
      </c>
      <c r="PX18" s="11" t="str">
        <f t="shared" si="129"/>
        <v/>
      </c>
      <c r="PY18" s="11" t="str">
        <f t="shared" si="130"/>
        <v/>
      </c>
      <c r="PZ18" s="11" t="str">
        <f t="shared" si="131"/>
        <v/>
      </c>
      <c r="QA18" s="11" t="str">
        <f t="shared" si="132"/>
        <v/>
      </c>
      <c r="QB18" s="11" t="str">
        <f t="shared" si="133"/>
        <v/>
      </c>
      <c r="QC18" s="11" t="str">
        <f t="shared" si="134"/>
        <v/>
      </c>
      <c r="QD18" s="11" t="str">
        <f t="shared" si="135"/>
        <v/>
      </c>
      <c r="QE18" s="22">
        <f t="shared" si="136"/>
        <v>0</v>
      </c>
      <c r="QF18" s="22">
        <f t="shared" si="137"/>
        <v>0</v>
      </c>
      <c r="QG18" s="22">
        <f t="shared" si="138"/>
        <v>0</v>
      </c>
      <c r="QH18" s="22">
        <f t="shared" si="139"/>
        <v>0</v>
      </c>
      <c r="QI18" s="22">
        <f t="shared" si="140"/>
        <v>0</v>
      </c>
      <c r="QJ18" s="22">
        <f t="shared" si="141"/>
        <v>0</v>
      </c>
      <c r="QK18" s="22">
        <f t="shared" si="142"/>
        <v>0</v>
      </c>
      <c r="QL18" s="22">
        <f t="shared" si="143"/>
        <v>0</v>
      </c>
      <c r="QM18" s="22">
        <f t="shared" si="144"/>
        <v>0</v>
      </c>
      <c r="QN18" s="22">
        <f t="shared" si="145"/>
        <v>0</v>
      </c>
      <c r="QO18" s="22">
        <f t="shared" si="146"/>
        <v>0</v>
      </c>
      <c r="QP18" s="22">
        <f t="shared" si="147"/>
        <v>0</v>
      </c>
      <c r="QQ18" s="22">
        <f t="shared" si="148"/>
        <v>0</v>
      </c>
      <c r="QR18" s="22">
        <f t="shared" si="149"/>
        <v>0</v>
      </c>
      <c r="QS18" s="22">
        <f t="shared" si="150"/>
        <v>0</v>
      </c>
      <c r="QT18" s="22">
        <f t="shared" si="151"/>
        <v>0</v>
      </c>
      <c r="QU18" s="22">
        <f t="shared" si="152"/>
        <v>0</v>
      </c>
      <c r="QV18" s="22">
        <f t="shared" si="153"/>
        <v>0</v>
      </c>
      <c r="QW18" s="22">
        <f t="shared" si="154"/>
        <v>0</v>
      </c>
      <c r="QX18" s="22">
        <f t="shared" si="155"/>
        <v>0</v>
      </c>
      <c r="QY18" s="27" t="s">
        <v>46</v>
      </c>
      <c r="QZ18" s="40" t="str">
        <f t="shared" si="156"/>
        <v/>
      </c>
      <c r="RA18" s="40" t="str">
        <f t="shared" si="157"/>
        <v/>
      </c>
      <c r="RB18" s="40" t="str">
        <f t="shared" si="158"/>
        <v/>
      </c>
      <c r="RC18" s="40" t="str">
        <f t="shared" si="159"/>
        <v/>
      </c>
      <c r="RD18" s="40" t="str">
        <f t="shared" si="160"/>
        <v/>
      </c>
      <c r="RE18" s="40" t="str">
        <f t="shared" si="161"/>
        <v/>
      </c>
      <c r="RF18" s="40" t="str">
        <f t="shared" si="162"/>
        <v/>
      </c>
      <c r="RG18" s="40" t="str">
        <f t="shared" si="163"/>
        <v/>
      </c>
    </row>
    <row r="19" spans="1:475" x14ac:dyDescent="0.2">
      <c r="A19" s="4" t="str">
        <f t="shared" si="164"/>
        <v/>
      </c>
      <c r="B19" s="5" t="s">
        <v>180</v>
      </c>
      <c r="C19" s="4" t="s">
        <v>3</v>
      </c>
      <c r="D19" s="4">
        <v>2004</v>
      </c>
      <c r="E19" s="9">
        <f t="shared" si="0"/>
        <v>80.80000407000405</v>
      </c>
      <c r="F19" s="3" t="str">
        <f t="shared" si="1"/>
        <v/>
      </c>
      <c r="G19" s="3" t="str">
        <f t="shared" si="2"/>
        <v/>
      </c>
      <c r="H19" s="36" t="str">
        <f t="shared" si="3"/>
        <v/>
      </c>
      <c r="I19" s="3" t="str">
        <f t="shared" si="4"/>
        <v/>
      </c>
      <c r="J19" s="8">
        <f>IF(COUNT(AQ19,BT19,CW19)&gt;0,LARGE((AQ19,BT19,CW19),1),0)</f>
        <v>40.699999999999996</v>
      </c>
      <c r="K19" s="8" t="str">
        <f t="shared" si="5"/>
        <v>2022 Nationals</v>
      </c>
      <c r="L19" s="8">
        <f>IF(COUNT(AQ19,BT19,CW19)&gt;1,LARGE((AQ19,BT19,CW19),2),0)</f>
        <v>0</v>
      </c>
      <c r="M19" s="8" t="str">
        <f t="shared" si="6"/>
        <v/>
      </c>
      <c r="N19" s="8">
        <f>IF(COUNT(AR19,BU19,CX19)&gt;0,LARGE((AR19,BU19,CX19),1),0)</f>
        <v>0</v>
      </c>
      <c r="O19" s="8" t="str">
        <f t="shared" si="7"/>
        <v/>
      </c>
      <c r="P19" s="8">
        <f t="shared" si="8"/>
        <v>40.099999999999994</v>
      </c>
      <c r="Q19" s="8" t="str">
        <f t="shared" si="9"/>
        <v>2022 Nationals</v>
      </c>
      <c r="R19" s="8" t="str">
        <f t="shared" si="10"/>
        <v/>
      </c>
      <c r="S19" s="11" t="str">
        <f t="shared" si="11"/>
        <v/>
      </c>
      <c r="T19" s="8" t="str">
        <f t="shared" si="12"/>
        <v/>
      </c>
      <c r="U19" s="19">
        <v>17.2</v>
      </c>
      <c r="V19" s="19">
        <v>3.4</v>
      </c>
      <c r="W19" s="19">
        <v>0</v>
      </c>
      <c r="X19" s="19">
        <v>0</v>
      </c>
      <c r="Y19" s="19">
        <v>15.9</v>
      </c>
      <c r="Z19" s="19">
        <v>3.9</v>
      </c>
      <c r="AA19" s="19">
        <v>0</v>
      </c>
      <c r="AB19" s="19">
        <v>0.3</v>
      </c>
      <c r="AC19" s="19"/>
      <c r="AD19" s="19"/>
      <c r="AE19" s="19"/>
      <c r="AF19" s="19"/>
      <c r="AG19" s="19">
        <v>16.8</v>
      </c>
      <c r="AH19" s="19">
        <v>3.4</v>
      </c>
      <c r="AI19" s="19">
        <v>0</v>
      </c>
      <c r="AJ19" s="19">
        <v>0</v>
      </c>
      <c r="AK19" s="19">
        <v>15.7</v>
      </c>
      <c r="AL19" s="19">
        <v>3.9</v>
      </c>
      <c r="AM19" s="19">
        <v>0</v>
      </c>
      <c r="AN19" s="19">
        <v>0.3</v>
      </c>
      <c r="AO19" s="27"/>
      <c r="AP19" s="40">
        <f t="shared" si="13"/>
        <v>7.3</v>
      </c>
      <c r="AQ19" s="40">
        <f t="shared" si="14"/>
        <v>40.699999999999996</v>
      </c>
      <c r="AR19" s="40" t="str">
        <f t="shared" si="15"/>
        <v/>
      </c>
      <c r="AS19" s="40">
        <f t="shared" si="16"/>
        <v>7.3</v>
      </c>
      <c r="AT19" s="40">
        <f t="shared" si="17"/>
        <v>40.699999999999996</v>
      </c>
      <c r="AU19" s="40">
        <f t="shared" si="18"/>
        <v>7.3</v>
      </c>
      <c r="AV19" s="40">
        <f t="shared" si="19"/>
        <v>40.099999999999994</v>
      </c>
      <c r="AW19" s="40">
        <f t="shared" si="20"/>
        <v>80.799999999999983</v>
      </c>
      <c r="AX19" s="18"/>
      <c r="AY19" s="18"/>
      <c r="AZ19" s="18"/>
      <c r="BA19" s="18"/>
      <c r="BB19" s="18"/>
      <c r="BC19" s="18"/>
      <c r="BD19" s="18"/>
      <c r="BE19" s="18"/>
      <c r="BF19" s="18"/>
      <c r="BG19" s="18"/>
      <c r="BH19" s="18"/>
      <c r="BI19" s="18"/>
      <c r="BJ19" s="18"/>
      <c r="BK19" s="18"/>
      <c r="BL19" s="18"/>
      <c r="BM19" s="18"/>
      <c r="BN19" s="18"/>
      <c r="BO19" s="18"/>
      <c r="BP19" s="18"/>
      <c r="BQ19" s="18"/>
      <c r="BR19" s="28"/>
      <c r="BS19" s="11" t="str">
        <f t="shared" si="21"/>
        <v/>
      </c>
      <c r="BT19" s="11" t="str">
        <f t="shared" si="22"/>
        <v/>
      </c>
      <c r="BU19" s="11" t="str">
        <f t="shared" si="23"/>
        <v/>
      </c>
      <c r="BV19" s="11" t="str">
        <f t="shared" si="24"/>
        <v/>
      </c>
      <c r="BW19" s="11" t="str">
        <f t="shared" si="25"/>
        <v/>
      </c>
      <c r="BX19" s="11" t="str">
        <f t="shared" si="26"/>
        <v/>
      </c>
      <c r="BY19" s="11" t="str">
        <f t="shared" si="27"/>
        <v/>
      </c>
      <c r="BZ19" s="11" t="str">
        <f t="shared" si="28"/>
        <v/>
      </c>
      <c r="CA19" s="19"/>
      <c r="CB19" s="19"/>
      <c r="CC19" s="19"/>
      <c r="CD19" s="19"/>
      <c r="CE19" s="19"/>
      <c r="CF19" s="19"/>
      <c r="CG19" s="19"/>
      <c r="CH19" s="19"/>
      <c r="CI19" s="19"/>
      <c r="CJ19" s="19"/>
      <c r="CK19" s="19"/>
      <c r="CL19" s="19"/>
      <c r="CM19" s="19"/>
      <c r="CN19" s="19"/>
      <c r="CO19" s="19"/>
      <c r="CP19" s="19"/>
      <c r="CQ19" s="19"/>
      <c r="CR19" s="19"/>
      <c r="CS19" s="19"/>
      <c r="CT19" s="19"/>
      <c r="CU19" s="27"/>
      <c r="CV19" s="40" t="str">
        <f t="shared" si="29"/>
        <v/>
      </c>
      <c r="CW19" s="40" t="str">
        <f t="shared" si="30"/>
        <v/>
      </c>
      <c r="CX19" s="40" t="str">
        <f t="shared" si="31"/>
        <v/>
      </c>
      <c r="CY19" s="40" t="str">
        <f t="shared" si="32"/>
        <v/>
      </c>
      <c r="CZ19" s="40" t="str">
        <f t="shared" si="33"/>
        <v/>
      </c>
      <c r="DA19" s="40" t="str">
        <f t="shared" si="34"/>
        <v/>
      </c>
      <c r="DB19" s="40" t="str">
        <f t="shared" si="35"/>
        <v/>
      </c>
      <c r="DC19" s="40" t="str">
        <f t="shared" si="36"/>
        <v/>
      </c>
      <c r="DD19" s="50" t="str">
        <f t="shared" si="37"/>
        <v/>
      </c>
      <c r="DE19" s="50" t="str">
        <f t="shared" si="38"/>
        <v/>
      </c>
      <c r="DF19" s="50" t="str">
        <f t="shared" si="39"/>
        <v/>
      </c>
      <c r="DG19" s="17"/>
      <c r="DH19" s="17"/>
      <c r="DI19" s="17"/>
      <c r="DJ19" s="17"/>
      <c r="DK19" s="17"/>
      <c r="DL19" s="17"/>
      <c r="DM19" s="17"/>
      <c r="DN19" s="17"/>
      <c r="DO19" s="17"/>
      <c r="DP19" s="17"/>
      <c r="DQ19" s="17"/>
      <c r="DR19" s="17"/>
      <c r="DS19" s="17"/>
      <c r="DT19" s="17"/>
      <c r="DU19" s="17"/>
      <c r="DV19" s="17"/>
      <c r="DW19" s="17"/>
      <c r="DX19" s="17"/>
      <c r="DY19" s="17"/>
      <c r="DZ19" s="17"/>
      <c r="EA19" s="40" t="str">
        <f t="shared" si="40"/>
        <v/>
      </c>
      <c r="EB19" s="40" t="str">
        <f t="shared" si="41"/>
        <v/>
      </c>
      <c r="EC19" s="40" t="str">
        <f t="shared" si="42"/>
        <v/>
      </c>
      <c r="ED19" s="40" t="str">
        <f t="shared" si="43"/>
        <v/>
      </c>
      <c r="EE19" s="40" t="str">
        <f t="shared" si="44"/>
        <v/>
      </c>
      <c r="EF19" s="40" t="str">
        <f t="shared" si="45"/>
        <v/>
      </c>
      <c r="EG19" s="40" t="str">
        <f t="shared" si="46"/>
        <v/>
      </c>
      <c r="EH19" s="40" t="str">
        <f t="shared" si="47"/>
        <v/>
      </c>
      <c r="EI19" s="18"/>
      <c r="EJ19" s="18"/>
      <c r="EK19" s="18"/>
      <c r="EL19" s="18"/>
      <c r="EM19" s="18"/>
      <c r="EN19" s="18"/>
      <c r="EO19" s="18"/>
      <c r="EP19" s="18"/>
      <c r="EQ19" s="18"/>
      <c r="ER19" s="18"/>
      <c r="ES19" s="18"/>
      <c r="ET19" s="18"/>
      <c r="EU19" s="18"/>
      <c r="EV19" s="18"/>
      <c r="EW19" s="18"/>
      <c r="EX19" s="18"/>
      <c r="EY19" s="18"/>
      <c r="EZ19" s="18"/>
      <c r="FA19" s="18"/>
      <c r="FB19" s="18"/>
      <c r="FC19" s="11" t="str">
        <f t="shared" si="48"/>
        <v/>
      </c>
      <c r="FD19" s="11" t="str">
        <f t="shared" si="49"/>
        <v/>
      </c>
      <c r="FE19" s="11" t="str">
        <f t="shared" si="50"/>
        <v/>
      </c>
      <c r="FF19" s="11" t="str">
        <f t="shared" si="51"/>
        <v/>
      </c>
      <c r="FG19" s="11" t="str">
        <f t="shared" si="52"/>
        <v/>
      </c>
      <c r="FH19" s="11" t="str">
        <f t="shared" si="53"/>
        <v/>
      </c>
      <c r="FI19" s="11" t="str">
        <f t="shared" si="54"/>
        <v/>
      </c>
      <c r="FJ19" s="11" t="str">
        <f t="shared" si="55"/>
        <v/>
      </c>
      <c r="FK19" s="17"/>
      <c r="FL19" s="17"/>
      <c r="FM19" s="17"/>
      <c r="FN19" s="17"/>
      <c r="FO19" s="17"/>
      <c r="FP19" s="17"/>
      <c r="FQ19" s="17"/>
      <c r="FR19" s="17"/>
      <c r="FS19" s="17"/>
      <c r="FT19" s="17"/>
      <c r="FU19" s="17"/>
      <c r="FV19" s="17"/>
      <c r="FW19" s="17"/>
      <c r="FX19" s="17"/>
      <c r="FY19" s="17"/>
      <c r="FZ19" s="17"/>
      <c r="GA19" s="17"/>
      <c r="GB19" s="17"/>
      <c r="GC19" s="17"/>
      <c r="GD19" s="17"/>
      <c r="GE19" s="40" t="str">
        <f t="shared" si="56"/>
        <v/>
      </c>
      <c r="GF19" s="40" t="str">
        <f t="shared" si="57"/>
        <v/>
      </c>
      <c r="GG19" s="40" t="str">
        <f t="shared" si="58"/>
        <v/>
      </c>
      <c r="GH19" s="40" t="str">
        <f t="shared" si="59"/>
        <v/>
      </c>
      <c r="GI19" s="40" t="str">
        <f t="shared" si="60"/>
        <v/>
      </c>
      <c r="GJ19" s="40" t="str">
        <f t="shared" si="61"/>
        <v/>
      </c>
      <c r="GK19" s="40" t="str">
        <f t="shared" si="62"/>
        <v/>
      </c>
      <c r="GL19" s="40" t="str">
        <f t="shared" si="63"/>
        <v/>
      </c>
      <c r="GM19" s="18"/>
      <c r="GN19" s="18"/>
      <c r="GO19" s="18"/>
      <c r="GP19" s="18"/>
      <c r="GQ19" s="18"/>
      <c r="GR19" s="18"/>
      <c r="GS19" s="18"/>
      <c r="GT19" s="18"/>
      <c r="GU19" s="18"/>
      <c r="GV19" s="18"/>
      <c r="GW19" s="18"/>
      <c r="GX19" s="18"/>
      <c r="GY19" s="18"/>
      <c r="GZ19" s="18"/>
      <c r="HA19" s="18"/>
      <c r="HB19" s="18"/>
      <c r="HC19" s="18"/>
      <c r="HD19" s="18"/>
      <c r="HE19" s="18"/>
      <c r="HF19" s="18"/>
      <c r="HG19" s="11" t="str">
        <f t="shared" si="64"/>
        <v/>
      </c>
      <c r="HH19" s="11" t="str">
        <f t="shared" si="65"/>
        <v/>
      </c>
      <c r="HI19" s="11" t="str">
        <f t="shared" si="66"/>
        <v/>
      </c>
      <c r="HJ19" s="11" t="str">
        <f t="shared" si="67"/>
        <v/>
      </c>
      <c r="HK19" s="11" t="str">
        <f t="shared" si="68"/>
        <v/>
      </c>
      <c r="HL19" s="11" t="str">
        <f t="shared" si="69"/>
        <v/>
      </c>
      <c r="HM19" s="11" t="str">
        <f t="shared" si="70"/>
        <v/>
      </c>
      <c r="HN19" s="11" t="str">
        <f t="shared" si="71"/>
        <v/>
      </c>
      <c r="HO19" s="17"/>
      <c r="HP19" s="17"/>
      <c r="HQ19" s="17"/>
      <c r="HR19" s="17"/>
      <c r="HS19" s="17"/>
      <c r="HT19" s="17"/>
      <c r="HU19" s="17"/>
      <c r="HV19" s="17"/>
      <c r="HW19" s="17"/>
      <c r="HX19" s="17"/>
      <c r="HY19" s="17"/>
      <c r="HZ19" s="17"/>
      <c r="IA19" s="17"/>
      <c r="IB19" s="17"/>
      <c r="IC19" s="17"/>
      <c r="ID19" s="17"/>
      <c r="IE19" s="17"/>
      <c r="IF19" s="17"/>
      <c r="IG19" s="17"/>
      <c r="IH19" s="17"/>
      <c r="II19" s="40" t="str">
        <f t="shared" si="72"/>
        <v/>
      </c>
      <c r="IJ19" s="40" t="str">
        <f t="shared" si="73"/>
        <v/>
      </c>
      <c r="IK19" s="40" t="str">
        <f t="shared" si="74"/>
        <v/>
      </c>
      <c r="IL19" s="40" t="str">
        <f t="shared" si="75"/>
        <v/>
      </c>
      <c r="IM19" s="40" t="str">
        <f t="shared" si="76"/>
        <v/>
      </c>
      <c r="IN19" s="40" t="str">
        <f t="shared" si="77"/>
        <v/>
      </c>
      <c r="IO19" s="40" t="str">
        <f t="shared" si="78"/>
        <v/>
      </c>
      <c r="IP19" s="40" t="str">
        <f t="shared" si="79"/>
        <v/>
      </c>
      <c r="IQ19" s="18"/>
      <c r="IR19" s="18"/>
      <c r="IS19" s="18"/>
      <c r="IT19" s="18"/>
      <c r="IU19" s="18"/>
      <c r="IV19" s="18"/>
      <c r="IW19" s="18"/>
      <c r="IX19" s="18"/>
      <c r="IY19" s="18"/>
      <c r="IZ19" s="18"/>
      <c r="JA19" s="18"/>
      <c r="JB19" s="18"/>
      <c r="JC19" s="18"/>
      <c r="JD19" s="18"/>
      <c r="JE19" s="18"/>
      <c r="JF19" s="18"/>
      <c r="JG19" s="18"/>
      <c r="JH19" s="18"/>
      <c r="JI19" s="18"/>
      <c r="JJ19" s="18"/>
      <c r="JK19" s="11" t="str">
        <f t="shared" si="80"/>
        <v/>
      </c>
      <c r="JL19" s="11" t="str">
        <f t="shared" si="81"/>
        <v/>
      </c>
      <c r="JM19" s="11" t="str">
        <f t="shared" si="82"/>
        <v/>
      </c>
      <c r="JN19" s="11" t="str">
        <f t="shared" si="83"/>
        <v/>
      </c>
      <c r="JO19" s="11" t="str">
        <f t="shared" si="84"/>
        <v/>
      </c>
      <c r="JP19" s="11" t="str">
        <f t="shared" si="85"/>
        <v/>
      </c>
      <c r="JQ19" s="11" t="str">
        <f t="shared" si="86"/>
        <v/>
      </c>
      <c r="JR19" s="11" t="str">
        <f t="shared" si="87"/>
        <v/>
      </c>
      <c r="JS19" s="17"/>
      <c r="JT19" s="17"/>
      <c r="JU19" s="17"/>
      <c r="JV19" s="17"/>
      <c r="JW19" s="17"/>
      <c r="JX19" s="17"/>
      <c r="JY19" s="17"/>
      <c r="JZ19" s="17"/>
      <c r="KA19" s="17"/>
      <c r="KB19" s="17"/>
      <c r="KC19" s="17"/>
      <c r="KD19" s="17"/>
      <c r="KE19" s="17"/>
      <c r="KF19" s="17"/>
      <c r="KG19" s="17"/>
      <c r="KH19" s="17"/>
      <c r="KI19" s="17"/>
      <c r="KJ19" s="17"/>
      <c r="KK19" s="17"/>
      <c r="KL19" s="17"/>
      <c r="KM19" s="40" t="str">
        <f t="shared" si="88"/>
        <v/>
      </c>
      <c r="KN19" s="40" t="str">
        <f t="shared" si="89"/>
        <v/>
      </c>
      <c r="KO19" s="40" t="str">
        <f t="shared" si="90"/>
        <v/>
      </c>
      <c r="KP19" s="40" t="str">
        <f t="shared" si="91"/>
        <v/>
      </c>
      <c r="KQ19" s="40" t="str">
        <f t="shared" si="92"/>
        <v/>
      </c>
      <c r="KR19" s="40" t="str">
        <f t="shared" si="93"/>
        <v/>
      </c>
      <c r="KS19" s="40" t="str">
        <f t="shared" si="94"/>
        <v/>
      </c>
      <c r="KT19" s="40" t="str">
        <f t="shared" si="95"/>
        <v/>
      </c>
      <c r="KU19" s="18"/>
      <c r="KV19" s="18"/>
      <c r="KW19" s="18"/>
      <c r="KX19" s="18"/>
      <c r="KY19" s="18"/>
      <c r="KZ19" s="18"/>
      <c r="LA19" s="18"/>
      <c r="LB19" s="18"/>
      <c r="LC19" s="18"/>
      <c r="LD19" s="18"/>
      <c r="LE19" s="18"/>
      <c r="LF19" s="18"/>
      <c r="LG19" s="18"/>
      <c r="LH19" s="18"/>
      <c r="LI19" s="18"/>
      <c r="LJ19" s="18"/>
      <c r="LK19" s="18"/>
      <c r="LL19" s="18"/>
      <c r="LM19" s="18"/>
      <c r="LN19" s="18"/>
      <c r="LO19" s="11" t="str">
        <f t="shared" si="96"/>
        <v/>
      </c>
      <c r="LP19" s="11" t="str">
        <f t="shared" si="97"/>
        <v/>
      </c>
      <c r="LQ19" s="11" t="str">
        <f t="shared" si="98"/>
        <v/>
      </c>
      <c r="LR19" s="11" t="str">
        <f t="shared" si="99"/>
        <v/>
      </c>
      <c r="LS19" s="11" t="str">
        <f t="shared" si="100"/>
        <v/>
      </c>
      <c r="LT19" s="11" t="str">
        <f t="shared" si="101"/>
        <v/>
      </c>
      <c r="LU19" s="11" t="str">
        <f t="shared" si="102"/>
        <v/>
      </c>
      <c r="LV19" s="11" t="str">
        <f t="shared" si="103"/>
        <v/>
      </c>
      <c r="LW19" s="17"/>
      <c r="LX19" s="17"/>
      <c r="LY19" s="17"/>
      <c r="LZ19" s="17"/>
      <c r="MA19" s="17"/>
      <c r="MB19" s="17"/>
      <c r="MC19" s="17"/>
      <c r="MD19" s="17"/>
      <c r="ME19" s="17"/>
      <c r="MF19" s="17"/>
      <c r="MG19" s="17"/>
      <c r="MH19" s="17"/>
      <c r="MI19" s="17"/>
      <c r="MJ19" s="17"/>
      <c r="MK19" s="17"/>
      <c r="ML19" s="17"/>
      <c r="MM19" s="17"/>
      <c r="MN19" s="17"/>
      <c r="MO19" s="17"/>
      <c r="MP19" s="17"/>
      <c r="MQ19" s="40" t="str">
        <f t="shared" si="104"/>
        <v/>
      </c>
      <c r="MR19" s="40" t="str">
        <f t="shared" si="105"/>
        <v/>
      </c>
      <c r="MS19" s="40" t="str">
        <f t="shared" si="106"/>
        <v/>
      </c>
      <c r="MT19" s="40" t="str">
        <f t="shared" si="107"/>
        <v/>
      </c>
      <c r="MU19" s="40" t="str">
        <f t="shared" si="108"/>
        <v/>
      </c>
      <c r="MV19" s="40" t="str">
        <f t="shared" si="109"/>
        <v/>
      </c>
      <c r="MW19" s="40" t="str">
        <f t="shared" si="110"/>
        <v/>
      </c>
      <c r="MX19" s="40" t="str">
        <f t="shared" si="111"/>
        <v/>
      </c>
      <c r="MY19" s="18"/>
      <c r="MZ19" s="18"/>
      <c r="NA19" s="18"/>
      <c r="NB19" s="18"/>
      <c r="NC19" s="18"/>
      <c r="ND19" s="18"/>
      <c r="NE19" s="18"/>
      <c r="NF19" s="18"/>
      <c r="NG19" s="18"/>
      <c r="NH19" s="18"/>
      <c r="NI19" s="18"/>
      <c r="NJ19" s="18"/>
      <c r="NK19" s="18"/>
      <c r="NL19" s="18"/>
      <c r="NM19" s="18"/>
      <c r="NN19" s="18"/>
      <c r="NO19" s="18"/>
      <c r="NP19" s="18"/>
      <c r="NQ19" s="18"/>
      <c r="NR19" s="18"/>
      <c r="NS19" s="11" t="str">
        <f t="shared" si="112"/>
        <v/>
      </c>
      <c r="NT19" s="11" t="str">
        <f t="shared" si="113"/>
        <v/>
      </c>
      <c r="NU19" s="11" t="str">
        <f t="shared" si="114"/>
        <v/>
      </c>
      <c r="NV19" s="11" t="str">
        <f t="shared" si="115"/>
        <v/>
      </c>
      <c r="NW19" s="11" t="str">
        <f t="shared" si="116"/>
        <v/>
      </c>
      <c r="NX19" s="11" t="str">
        <f t="shared" si="117"/>
        <v/>
      </c>
      <c r="NY19" s="11" t="str">
        <f t="shared" si="118"/>
        <v/>
      </c>
      <c r="NZ19" s="11" t="str">
        <f t="shared" si="119"/>
        <v/>
      </c>
      <c r="OA19" s="17"/>
      <c r="OB19" s="17"/>
      <c r="OC19" s="17"/>
      <c r="OD19" s="17"/>
      <c r="OE19" s="17"/>
      <c r="OF19" s="17"/>
      <c r="OG19" s="17"/>
      <c r="OH19" s="17"/>
      <c r="OI19" s="17"/>
      <c r="OJ19" s="17"/>
      <c r="OK19" s="17"/>
      <c r="OL19" s="17"/>
      <c r="OM19" s="17"/>
      <c r="ON19" s="17"/>
      <c r="OO19" s="17"/>
      <c r="OP19" s="17"/>
      <c r="OQ19" s="17"/>
      <c r="OR19" s="17"/>
      <c r="OS19" s="17"/>
      <c r="OT19" s="17"/>
      <c r="OU19" s="40" t="str">
        <f t="shared" si="120"/>
        <v/>
      </c>
      <c r="OV19" s="40" t="str">
        <f t="shared" si="121"/>
        <v/>
      </c>
      <c r="OW19" s="40" t="str">
        <f t="shared" si="122"/>
        <v/>
      </c>
      <c r="OX19" s="40" t="str">
        <f t="shared" si="123"/>
        <v/>
      </c>
      <c r="OY19" s="40" t="str">
        <f t="shared" si="124"/>
        <v/>
      </c>
      <c r="OZ19" s="40" t="str">
        <f t="shared" si="125"/>
        <v/>
      </c>
      <c r="PA19" s="40" t="str">
        <f t="shared" si="126"/>
        <v/>
      </c>
      <c r="PB19" s="40" t="str">
        <f t="shared" si="127"/>
        <v/>
      </c>
      <c r="PC19" s="18"/>
      <c r="PD19" s="18"/>
      <c r="PE19" s="18"/>
      <c r="PF19" s="18"/>
      <c r="PG19" s="18"/>
      <c r="PH19" s="18"/>
      <c r="PI19" s="18"/>
      <c r="PJ19" s="18"/>
      <c r="PK19" s="18"/>
      <c r="PL19" s="18"/>
      <c r="PM19" s="18"/>
      <c r="PN19" s="18"/>
      <c r="PO19" s="18"/>
      <c r="PP19" s="18"/>
      <c r="PQ19" s="18"/>
      <c r="PR19" s="18"/>
      <c r="PS19" s="18"/>
      <c r="PT19" s="18"/>
      <c r="PU19" s="18"/>
      <c r="PV19" s="18"/>
      <c r="PW19" s="11" t="str">
        <f t="shared" si="128"/>
        <v/>
      </c>
      <c r="PX19" s="11" t="str">
        <f t="shared" si="129"/>
        <v/>
      </c>
      <c r="PY19" s="11" t="str">
        <f t="shared" si="130"/>
        <v/>
      </c>
      <c r="PZ19" s="11" t="str">
        <f t="shared" si="131"/>
        <v/>
      </c>
      <c r="QA19" s="11" t="str">
        <f t="shared" si="132"/>
        <v/>
      </c>
      <c r="QB19" s="11" t="str">
        <f t="shared" si="133"/>
        <v/>
      </c>
      <c r="QC19" s="11" t="str">
        <f t="shared" si="134"/>
        <v/>
      </c>
      <c r="QD19" s="11" t="str">
        <f t="shared" si="135"/>
        <v/>
      </c>
      <c r="QE19" s="22">
        <f t="shared" si="136"/>
        <v>0</v>
      </c>
      <c r="QF19" s="22">
        <f t="shared" si="137"/>
        <v>0</v>
      </c>
      <c r="QG19" s="22">
        <f t="shared" si="138"/>
        <v>0</v>
      </c>
      <c r="QH19" s="22">
        <f t="shared" si="139"/>
        <v>0</v>
      </c>
      <c r="QI19" s="22">
        <f t="shared" si="140"/>
        <v>0</v>
      </c>
      <c r="QJ19" s="22">
        <f t="shared" si="141"/>
        <v>0</v>
      </c>
      <c r="QK19" s="22">
        <f t="shared" si="142"/>
        <v>0</v>
      </c>
      <c r="QL19" s="22">
        <f t="shared" si="143"/>
        <v>0</v>
      </c>
      <c r="QM19" s="22">
        <f t="shared" si="144"/>
        <v>0</v>
      </c>
      <c r="QN19" s="22">
        <f t="shared" si="145"/>
        <v>0</v>
      </c>
      <c r="QO19" s="22">
        <f t="shared" si="146"/>
        <v>0</v>
      </c>
      <c r="QP19" s="22">
        <f t="shared" si="147"/>
        <v>0</v>
      </c>
      <c r="QQ19" s="22">
        <f t="shared" si="148"/>
        <v>0</v>
      </c>
      <c r="QR19" s="22">
        <f t="shared" si="149"/>
        <v>0</v>
      </c>
      <c r="QS19" s="22">
        <f t="shared" si="150"/>
        <v>0</v>
      </c>
      <c r="QT19" s="22">
        <f t="shared" si="151"/>
        <v>0</v>
      </c>
      <c r="QU19" s="22">
        <f t="shared" si="152"/>
        <v>0</v>
      </c>
      <c r="QV19" s="22">
        <f t="shared" si="153"/>
        <v>0</v>
      </c>
      <c r="QW19" s="22">
        <f t="shared" si="154"/>
        <v>0</v>
      </c>
      <c r="QX19" s="22">
        <f t="shared" si="155"/>
        <v>0</v>
      </c>
      <c r="QY19" s="27" t="s">
        <v>46</v>
      </c>
      <c r="QZ19" s="40" t="str">
        <f t="shared" si="156"/>
        <v/>
      </c>
      <c r="RA19" s="40" t="str">
        <f t="shared" si="157"/>
        <v/>
      </c>
      <c r="RB19" s="40" t="str">
        <f t="shared" si="158"/>
        <v/>
      </c>
      <c r="RC19" s="40" t="str">
        <f t="shared" si="159"/>
        <v/>
      </c>
      <c r="RD19" s="40" t="str">
        <f t="shared" si="160"/>
        <v/>
      </c>
      <c r="RE19" s="40" t="str">
        <f t="shared" si="161"/>
        <v/>
      </c>
      <c r="RF19" s="40" t="str">
        <f t="shared" si="162"/>
        <v/>
      </c>
      <c r="RG19" s="40" t="str">
        <f t="shared" si="163"/>
        <v/>
      </c>
    </row>
    <row r="20" spans="1:475" x14ac:dyDescent="0.2">
      <c r="A20" s="4" t="str">
        <f t="shared" si="164"/>
        <v/>
      </c>
      <c r="B20" s="5" t="s">
        <v>73</v>
      </c>
      <c r="C20" s="4" t="s">
        <v>5</v>
      </c>
      <c r="D20" s="4">
        <v>2003</v>
      </c>
      <c r="E20" s="9">
        <f t="shared" si="0"/>
        <v>80.600004070004061</v>
      </c>
      <c r="F20" s="3" t="str">
        <f t="shared" si="1"/>
        <v/>
      </c>
      <c r="G20" s="3" t="str">
        <f t="shared" si="2"/>
        <v/>
      </c>
      <c r="H20" s="36" t="str">
        <f t="shared" si="3"/>
        <v/>
      </c>
      <c r="I20" s="3" t="str">
        <f t="shared" si="4"/>
        <v/>
      </c>
      <c r="J20" s="8">
        <f>IF(COUNT(AQ20,BT20,CW20)&gt;0,LARGE((AQ20,BT20,CW20),1),0)</f>
        <v>40.699999999999996</v>
      </c>
      <c r="K20" s="8" t="str">
        <f t="shared" si="5"/>
        <v>2022 Nationals</v>
      </c>
      <c r="L20" s="8">
        <f>IF(COUNT(AQ20,BT20,CW20)&gt;1,LARGE((AQ20,BT20,CW20),2),0)</f>
        <v>0</v>
      </c>
      <c r="M20" s="8" t="str">
        <f t="shared" si="6"/>
        <v/>
      </c>
      <c r="N20" s="8">
        <f>IF(COUNT(AR20,BU20,CX20)&gt;0,LARGE((AR20,BU20,CX20),1),0)</f>
        <v>0</v>
      </c>
      <c r="O20" s="8" t="str">
        <f t="shared" si="7"/>
        <v/>
      </c>
      <c r="P20" s="8">
        <f t="shared" si="8"/>
        <v>39.9</v>
      </c>
      <c r="Q20" s="8" t="str">
        <f t="shared" si="9"/>
        <v>2022 Nationals</v>
      </c>
      <c r="R20" s="8" t="str">
        <f t="shared" si="10"/>
        <v/>
      </c>
      <c r="S20" s="11" t="str">
        <f t="shared" si="11"/>
        <v/>
      </c>
      <c r="T20" s="8" t="str">
        <f t="shared" si="12"/>
        <v/>
      </c>
      <c r="U20" s="19">
        <v>17.5</v>
      </c>
      <c r="V20" s="19">
        <v>3.4</v>
      </c>
      <c r="W20" s="19">
        <v>0</v>
      </c>
      <c r="X20" s="19">
        <v>0</v>
      </c>
      <c r="Y20" s="19">
        <v>16.399999999999999</v>
      </c>
      <c r="Z20" s="19">
        <v>3.1</v>
      </c>
      <c r="AA20" s="19">
        <v>0</v>
      </c>
      <c r="AB20" s="19">
        <v>0.3</v>
      </c>
      <c r="AC20" s="19"/>
      <c r="AD20" s="19"/>
      <c r="AE20" s="19"/>
      <c r="AF20" s="19"/>
      <c r="AG20" s="19">
        <v>16.899999999999999</v>
      </c>
      <c r="AH20" s="19">
        <v>3.4</v>
      </c>
      <c r="AI20" s="19">
        <v>0</v>
      </c>
      <c r="AJ20" s="19">
        <v>0</v>
      </c>
      <c r="AK20" s="19">
        <v>16.2</v>
      </c>
      <c r="AL20" s="19">
        <v>3.1</v>
      </c>
      <c r="AM20" s="19">
        <v>0</v>
      </c>
      <c r="AN20" s="19">
        <v>0.3</v>
      </c>
      <c r="AO20" s="27"/>
      <c r="AP20" s="40">
        <f t="shared" si="13"/>
        <v>6.5</v>
      </c>
      <c r="AQ20" s="40">
        <f t="shared" si="14"/>
        <v>40.699999999999996</v>
      </c>
      <c r="AR20" s="40" t="str">
        <f t="shared" si="15"/>
        <v/>
      </c>
      <c r="AS20" s="40">
        <f t="shared" si="16"/>
        <v>6.5</v>
      </c>
      <c r="AT20" s="40">
        <f t="shared" si="17"/>
        <v>40.699999999999996</v>
      </c>
      <c r="AU20" s="40">
        <f t="shared" si="18"/>
        <v>6.5</v>
      </c>
      <c r="AV20" s="40">
        <f t="shared" si="19"/>
        <v>39.9</v>
      </c>
      <c r="AW20" s="40">
        <f t="shared" si="20"/>
        <v>80.599999999999994</v>
      </c>
      <c r="AX20" s="18"/>
      <c r="AY20" s="18"/>
      <c r="AZ20" s="18"/>
      <c r="BA20" s="18"/>
      <c r="BB20" s="18"/>
      <c r="BC20" s="18"/>
      <c r="BD20" s="18"/>
      <c r="BE20" s="18"/>
      <c r="BF20" s="18"/>
      <c r="BG20" s="18"/>
      <c r="BH20" s="18"/>
      <c r="BI20" s="18"/>
      <c r="BJ20" s="18"/>
      <c r="BK20" s="18"/>
      <c r="BL20" s="18"/>
      <c r="BM20" s="18"/>
      <c r="BN20" s="18"/>
      <c r="BO20" s="18"/>
      <c r="BP20" s="18"/>
      <c r="BQ20" s="18"/>
      <c r="BR20" s="28"/>
      <c r="BS20" s="11" t="str">
        <f t="shared" si="21"/>
        <v/>
      </c>
      <c r="BT20" s="11" t="str">
        <f t="shared" si="22"/>
        <v/>
      </c>
      <c r="BU20" s="11" t="str">
        <f t="shared" si="23"/>
        <v/>
      </c>
      <c r="BV20" s="11" t="str">
        <f t="shared" si="24"/>
        <v/>
      </c>
      <c r="BW20" s="11" t="str">
        <f t="shared" si="25"/>
        <v/>
      </c>
      <c r="BX20" s="11" t="str">
        <f t="shared" si="26"/>
        <v/>
      </c>
      <c r="BY20" s="11" t="str">
        <f t="shared" si="27"/>
        <v/>
      </c>
      <c r="BZ20" s="11" t="str">
        <f t="shared" si="28"/>
        <v/>
      </c>
      <c r="CA20" s="19"/>
      <c r="CB20" s="19"/>
      <c r="CC20" s="19"/>
      <c r="CD20" s="19"/>
      <c r="CE20" s="19"/>
      <c r="CF20" s="19"/>
      <c r="CG20" s="19"/>
      <c r="CH20" s="19"/>
      <c r="CI20" s="19"/>
      <c r="CJ20" s="19"/>
      <c r="CK20" s="19"/>
      <c r="CL20" s="19"/>
      <c r="CM20" s="19"/>
      <c r="CN20" s="19"/>
      <c r="CO20" s="19"/>
      <c r="CP20" s="19"/>
      <c r="CQ20" s="19"/>
      <c r="CR20" s="19"/>
      <c r="CS20" s="19"/>
      <c r="CT20" s="19"/>
      <c r="CU20" s="27"/>
      <c r="CV20" s="40" t="str">
        <f t="shared" si="29"/>
        <v/>
      </c>
      <c r="CW20" s="40" t="str">
        <f t="shared" si="30"/>
        <v/>
      </c>
      <c r="CX20" s="40" t="str">
        <f t="shared" si="31"/>
        <v/>
      </c>
      <c r="CY20" s="40" t="str">
        <f t="shared" si="32"/>
        <v/>
      </c>
      <c r="CZ20" s="40" t="str">
        <f t="shared" si="33"/>
        <v/>
      </c>
      <c r="DA20" s="40" t="str">
        <f t="shared" si="34"/>
        <v/>
      </c>
      <c r="DB20" s="40" t="str">
        <f t="shared" si="35"/>
        <v/>
      </c>
      <c r="DC20" s="40" t="str">
        <f t="shared" si="36"/>
        <v/>
      </c>
      <c r="DD20" s="50" t="str">
        <f t="shared" si="37"/>
        <v/>
      </c>
      <c r="DE20" s="50" t="str">
        <f t="shared" si="38"/>
        <v/>
      </c>
      <c r="DF20" s="50" t="str">
        <f t="shared" si="39"/>
        <v/>
      </c>
      <c r="DG20" s="17"/>
      <c r="DH20" s="17"/>
      <c r="DI20" s="17"/>
      <c r="DJ20" s="17"/>
      <c r="DK20" s="17"/>
      <c r="DL20" s="17"/>
      <c r="DM20" s="17"/>
      <c r="DN20" s="17"/>
      <c r="DO20" s="17"/>
      <c r="DP20" s="17"/>
      <c r="DQ20" s="17"/>
      <c r="DR20" s="17"/>
      <c r="DS20" s="17"/>
      <c r="DT20" s="17"/>
      <c r="DU20" s="17"/>
      <c r="DV20" s="17"/>
      <c r="DW20" s="17"/>
      <c r="DX20" s="17"/>
      <c r="DY20" s="17"/>
      <c r="DZ20" s="17"/>
      <c r="EA20" s="40" t="str">
        <f t="shared" si="40"/>
        <v/>
      </c>
      <c r="EB20" s="40" t="str">
        <f t="shared" si="41"/>
        <v/>
      </c>
      <c r="EC20" s="40" t="str">
        <f t="shared" si="42"/>
        <v/>
      </c>
      <c r="ED20" s="40" t="str">
        <f t="shared" si="43"/>
        <v/>
      </c>
      <c r="EE20" s="40" t="str">
        <f t="shared" si="44"/>
        <v/>
      </c>
      <c r="EF20" s="40" t="str">
        <f t="shared" si="45"/>
        <v/>
      </c>
      <c r="EG20" s="40" t="str">
        <f t="shared" si="46"/>
        <v/>
      </c>
      <c r="EH20" s="40" t="str">
        <f t="shared" si="47"/>
        <v/>
      </c>
      <c r="EI20" s="18"/>
      <c r="EJ20" s="18"/>
      <c r="EK20" s="18"/>
      <c r="EL20" s="18"/>
      <c r="EM20" s="18"/>
      <c r="EN20" s="18"/>
      <c r="EO20" s="18"/>
      <c r="EP20" s="18"/>
      <c r="EQ20" s="18"/>
      <c r="ER20" s="18"/>
      <c r="ES20" s="18"/>
      <c r="ET20" s="18"/>
      <c r="EU20" s="18"/>
      <c r="EV20" s="18"/>
      <c r="EW20" s="18"/>
      <c r="EX20" s="18"/>
      <c r="EY20" s="18"/>
      <c r="EZ20" s="18"/>
      <c r="FA20" s="18"/>
      <c r="FB20" s="18"/>
      <c r="FC20" s="11" t="str">
        <f t="shared" si="48"/>
        <v/>
      </c>
      <c r="FD20" s="11" t="str">
        <f t="shared" si="49"/>
        <v/>
      </c>
      <c r="FE20" s="11" t="str">
        <f t="shared" si="50"/>
        <v/>
      </c>
      <c r="FF20" s="11" t="str">
        <f t="shared" si="51"/>
        <v/>
      </c>
      <c r="FG20" s="11" t="str">
        <f t="shared" si="52"/>
        <v/>
      </c>
      <c r="FH20" s="11" t="str">
        <f t="shared" si="53"/>
        <v/>
      </c>
      <c r="FI20" s="11" t="str">
        <f t="shared" si="54"/>
        <v/>
      </c>
      <c r="FJ20" s="11" t="str">
        <f t="shared" si="55"/>
        <v/>
      </c>
      <c r="FK20" s="17"/>
      <c r="FL20" s="17"/>
      <c r="FM20" s="17"/>
      <c r="FN20" s="17"/>
      <c r="FO20" s="17"/>
      <c r="FP20" s="17"/>
      <c r="FQ20" s="17"/>
      <c r="FR20" s="17"/>
      <c r="FS20" s="17"/>
      <c r="FT20" s="17"/>
      <c r="FU20" s="17"/>
      <c r="FV20" s="17"/>
      <c r="FW20" s="17"/>
      <c r="FX20" s="17"/>
      <c r="FY20" s="17"/>
      <c r="FZ20" s="17"/>
      <c r="GA20" s="17"/>
      <c r="GB20" s="17"/>
      <c r="GC20" s="17"/>
      <c r="GD20" s="17"/>
      <c r="GE20" s="40" t="str">
        <f t="shared" si="56"/>
        <v/>
      </c>
      <c r="GF20" s="40" t="str">
        <f t="shared" si="57"/>
        <v/>
      </c>
      <c r="GG20" s="40" t="str">
        <f t="shared" si="58"/>
        <v/>
      </c>
      <c r="GH20" s="40" t="str">
        <f t="shared" si="59"/>
        <v/>
      </c>
      <c r="GI20" s="40" t="str">
        <f t="shared" si="60"/>
        <v/>
      </c>
      <c r="GJ20" s="40" t="str">
        <f t="shared" si="61"/>
        <v/>
      </c>
      <c r="GK20" s="40" t="str">
        <f t="shared" si="62"/>
        <v/>
      </c>
      <c r="GL20" s="40" t="str">
        <f t="shared" si="63"/>
        <v/>
      </c>
      <c r="GM20" s="18"/>
      <c r="GN20" s="18"/>
      <c r="GO20" s="18"/>
      <c r="GP20" s="18"/>
      <c r="GQ20" s="18"/>
      <c r="GR20" s="18"/>
      <c r="GS20" s="18"/>
      <c r="GT20" s="18"/>
      <c r="GU20" s="18"/>
      <c r="GV20" s="18"/>
      <c r="GW20" s="18"/>
      <c r="GX20" s="18"/>
      <c r="GY20" s="18"/>
      <c r="GZ20" s="18"/>
      <c r="HA20" s="18"/>
      <c r="HB20" s="18"/>
      <c r="HC20" s="18"/>
      <c r="HD20" s="18"/>
      <c r="HE20" s="18"/>
      <c r="HF20" s="18"/>
      <c r="HG20" s="11" t="str">
        <f t="shared" si="64"/>
        <v/>
      </c>
      <c r="HH20" s="11" t="str">
        <f t="shared" si="65"/>
        <v/>
      </c>
      <c r="HI20" s="11" t="str">
        <f t="shared" si="66"/>
        <v/>
      </c>
      <c r="HJ20" s="11" t="str">
        <f t="shared" si="67"/>
        <v/>
      </c>
      <c r="HK20" s="11" t="str">
        <f t="shared" si="68"/>
        <v/>
      </c>
      <c r="HL20" s="11" t="str">
        <f t="shared" si="69"/>
        <v/>
      </c>
      <c r="HM20" s="11" t="str">
        <f t="shared" si="70"/>
        <v/>
      </c>
      <c r="HN20" s="11" t="str">
        <f t="shared" si="71"/>
        <v/>
      </c>
      <c r="HO20" s="17"/>
      <c r="HP20" s="17"/>
      <c r="HQ20" s="17"/>
      <c r="HR20" s="17"/>
      <c r="HS20" s="17"/>
      <c r="HT20" s="17"/>
      <c r="HU20" s="17"/>
      <c r="HV20" s="17"/>
      <c r="HW20" s="17"/>
      <c r="HX20" s="17"/>
      <c r="HY20" s="17"/>
      <c r="HZ20" s="17"/>
      <c r="IA20" s="17"/>
      <c r="IB20" s="17"/>
      <c r="IC20" s="17"/>
      <c r="ID20" s="17"/>
      <c r="IE20" s="17"/>
      <c r="IF20" s="17"/>
      <c r="IG20" s="17"/>
      <c r="IH20" s="17"/>
      <c r="II20" s="40" t="str">
        <f t="shared" si="72"/>
        <v/>
      </c>
      <c r="IJ20" s="40" t="str">
        <f t="shared" si="73"/>
        <v/>
      </c>
      <c r="IK20" s="40" t="str">
        <f t="shared" si="74"/>
        <v/>
      </c>
      <c r="IL20" s="40" t="str">
        <f t="shared" si="75"/>
        <v/>
      </c>
      <c r="IM20" s="40" t="str">
        <f t="shared" si="76"/>
        <v/>
      </c>
      <c r="IN20" s="40" t="str">
        <f t="shared" si="77"/>
        <v/>
      </c>
      <c r="IO20" s="40" t="str">
        <f t="shared" si="78"/>
        <v/>
      </c>
      <c r="IP20" s="40" t="str">
        <f t="shared" si="79"/>
        <v/>
      </c>
      <c r="IQ20" s="18"/>
      <c r="IR20" s="18"/>
      <c r="IS20" s="18"/>
      <c r="IT20" s="18"/>
      <c r="IU20" s="18"/>
      <c r="IV20" s="18"/>
      <c r="IW20" s="18"/>
      <c r="IX20" s="18"/>
      <c r="IY20" s="18"/>
      <c r="IZ20" s="18"/>
      <c r="JA20" s="18"/>
      <c r="JB20" s="18"/>
      <c r="JC20" s="18"/>
      <c r="JD20" s="18"/>
      <c r="JE20" s="18"/>
      <c r="JF20" s="18"/>
      <c r="JG20" s="18"/>
      <c r="JH20" s="18"/>
      <c r="JI20" s="18"/>
      <c r="JJ20" s="18"/>
      <c r="JK20" s="11" t="str">
        <f t="shared" si="80"/>
        <v/>
      </c>
      <c r="JL20" s="11" t="str">
        <f t="shared" si="81"/>
        <v/>
      </c>
      <c r="JM20" s="11" t="str">
        <f t="shared" si="82"/>
        <v/>
      </c>
      <c r="JN20" s="11" t="str">
        <f t="shared" si="83"/>
        <v/>
      </c>
      <c r="JO20" s="11" t="str">
        <f t="shared" si="84"/>
        <v/>
      </c>
      <c r="JP20" s="11" t="str">
        <f t="shared" si="85"/>
        <v/>
      </c>
      <c r="JQ20" s="11" t="str">
        <f t="shared" si="86"/>
        <v/>
      </c>
      <c r="JR20" s="11" t="str">
        <f t="shared" si="87"/>
        <v/>
      </c>
      <c r="JS20" s="17"/>
      <c r="JT20" s="17"/>
      <c r="JU20" s="17"/>
      <c r="JV20" s="17"/>
      <c r="JW20" s="17"/>
      <c r="JX20" s="17"/>
      <c r="JY20" s="17"/>
      <c r="JZ20" s="17"/>
      <c r="KA20" s="17"/>
      <c r="KB20" s="17"/>
      <c r="KC20" s="17"/>
      <c r="KD20" s="17"/>
      <c r="KE20" s="17"/>
      <c r="KF20" s="17"/>
      <c r="KG20" s="17"/>
      <c r="KH20" s="17"/>
      <c r="KI20" s="17"/>
      <c r="KJ20" s="17"/>
      <c r="KK20" s="17"/>
      <c r="KL20" s="17"/>
      <c r="KM20" s="40" t="str">
        <f t="shared" si="88"/>
        <v/>
      </c>
      <c r="KN20" s="40" t="str">
        <f t="shared" si="89"/>
        <v/>
      </c>
      <c r="KO20" s="40" t="str">
        <f t="shared" si="90"/>
        <v/>
      </c>
      <c r="KP20" s="40" t="str">
        <f t="shared" si="91"/>
        <v/>
      </c>
      <c r="KQ20" s="40" t="str">
        <f t="shared" si="92"/>
        <v/>
      </c>
      <c r="KR20" s="40" t="str">
        <f t="shared" si="93"/>
        <v/>
      </c>
      <c r="KS20" s="40" t="str">
        <f t="shared" si="94"/>
        <v/>
      </c>
      <c r="KT20" s="40" t="str">
        <f t="shared" si="95"/>
        <v/>
      </c>
      <c r="KU20" s="18"/>
      <c r="KV20" s="18"/>
      <c r="KW20" s="18"/>
      <c r="KX20" s="18"/>
      <c r="KY20" s="18"/>
      <c r="KZ20" s="18"/>
      <c r="LA20" s="18"/>
      <c r="LB20" s="18"/>
      <c r="LC20" s="18"/>
      <c r="LD20" s="18"/>
      <c r="LE20" s="18"/>
      <c r="LF20" s="18"/>
      <c r="LG20" s="18"/>
      <c r="LH20" s="18"/>
      <c r="LI20" s="18"/>
      <c r="LJ20" s="18"/>
      <c r="LK20" s="18"/>
      <c r="LL20" s="18"/>
      <c r="LM20" s="18"/>
      <c r="LN20" s="18"/>
      <c r="LO20" s="11" t="str">
        <f t="shared" si="96"/>
        <v/>
      </c>
      <c r="LP20" s="11" t="str">
        <f t="shared" si="97"/>
        <v/>
      </c>
      <c r="LQ20" s="11" t="str">
        <f t="shared" si="98"/>
        <v/>
      </c>
      <c r="LR20" s="11" t="str">
        <f t="shared" si="99"/>
        <v/>
      </c>
      <c r="LS20" s="11" t="str">
        <f t="shared" si="100"/>
        <v/>
      </c>
      <c r="LT20" s="11" t="str">
        <f t="shared" si="101"/>
        <v/>
      </c>
      <c r="LU20" s="11" t="str">
        <f t="shared" si="102"/>
        <v/>
      </c>
      <c r="LV20" s="11" t="str">
        <f t="shared" si="103"/>
        <v/>
      </c>
      <c r="LW20" s="17"/>
      <c r="LX20" s="17"/>
      <c r="LY20" s="17"/>
      <c r="LZ20" s="17"/>
      <c r="MA20" s="17"/>
      <c r="MB20" s="17"/>
      <c r="MC20" s="17"/>
      <c r="MD20" s="17"/>
      <c r="ME20" s="17"/>
      <c r="MF20" s="17"/>
      <c r="MG20" s="17"/>
      <c r="MH20" s="17"/>
      <c r="MI20" s="17"/>
      <c r="MJ20" s="17"/>
      <c r="MK20" s="17"/>
      <c r="ML20" s="17"/>
      <c r="MM20" s="17"/>
      <c r="MN20" s="17"/>
      <c r="MO20" s="17"/>
      <c r="MP20" s="17"/>
      <c r="MQ20" s="40" t="str">
        <f t="shared" si="104"/>
        <v/>
      </c>
      <c r="MR20" s="40" t="str">
        <f t="shared" si="105"/>
        <v/>
      </c>
      <c r="MS20" s="40" t="str">
        <f t="shared" si="106"/>
        <v/>
      </c>
      <c r="MT20" s="40" t="str">
        <f t="shared" si="107"/>
        <v/>
      </c>
      <c r="MU20" s="40" t="str">
        <f t="shared" si="108"/>
        <v/>
      </c>
      <c r="MV20" s="40" t="str">
        <f t="shared" si="109"/>
        <v/>
      </c>
      <c r="MW20" s="40" t="str">
        <f t="shared" si="110"/>
        <v/>
      </c>
      <c r="MX20" s="40" t="str">
        <f t="shared" si="111"/>
        <v/>
      </c>
      <c r="MY20" s="18"/>
      <c r="MZ20" s="18"/>
      <c r="NA20" s="18"/>
      <c r="NB20" s="18"/>
      <c r="NC20" s="18"/>
      <c r="ND20" s="18"/>
      <c r="NE20" s="18"/>
      <c r="NF20" s="18"/>
      <c r="NG20" s="18"/>
      <c r="NH20" s="18"/>
      <c r="NI20" s="18"/>
      <c r="NJ20" s="18"/>
      <c r="NK20" s="18"/>
      <c r="NL20" s="18"/>
      <c r="NM20" s="18"/>
      <c r="NN20" s="18"/>
      <c r="NO20" s="18"/>
      <c r="NP20" s="18"/>
      <c r="NQ20" s="18"/>
      <c r="NR20" s="18"/>
      <c r="NS20" s="11" t="str">
        <f t="shared" si="112"/>
        <v/>
      </c>
      <c r="NT20" s="11" t="str">
        <f t="shared" si="113"/>
        <v/>
      </c>
      <c r="NU20" s="11" t="str">
        <f t="shared" si="114"/>
        <v/>
      </c>
      <c r="NV20" s="11" t="str">
        <f t="shared" si="115"/>
        <v/>
      </c>
      <c r="NW20" s="11" t="str">
        <f t="shared" si="116"/>
        <v/>
      </c>
      <c r="NX20" s="11" t="str">
        <f t="shared" si="117"/>
        <v/>
      </c>
      <c r="NY20" s="11" t="str">
        <f t="shared" si="118"/>
        <v/>
      </c>
      <c r="NZ20" s="11" t="str">
        <f t="shared" si="119"/>
        <v/>
      </c>
      <c r="OA20" s="17"/>
      <c r="OB20" s="17"/>
      <c r="OC20" s="17"/>
      <c r="OD20" s="17"/>
      <c r="OE20" s="17"/>
      <c r="OF20" s="17"/>
      <c r="OG20" s="17"/>
      <c r="OH20" s="17"/>
      <c r="OI20" s="17"/>
      <c r="OJ20" s="17"/>
      <c r="OK20" s="17"/>
      <c r="OL20" s="17"/>
      <c r="OM20" s="17"/>
      <c r="ON20" s="17"/>
      <c r="OO20" s="17"/>
      <c r="OP20" s="17"/>
      <c r="OQ20" s="17"/>
      <c r="OR20" s="17"/>
      <c r="OS20" s="17"/>
      <c r="OT20" s="17"/>
      <c r="OU20" s="40" t="str">
        <f t="shared" si="120"/>
        <v/>
      </c>
      <c r="OV20" s="40" t="str">
        <f t="shared" si="121"/>
        <v/>
      </c>
      <c r="OW20" s="40" t="str">
        <f t="shared" si="122"/>
        <v/>
      </c>
      <c r="OX20" s="40" t="str">
        <f t="shared" si="123"/>
        <v/>
      </c>
      <c r="OY20" s="40" t="str">
        <f t="shared" si="124"/>
        <v/>
      </c>
      <c r="OZ20" s="40" t="str">
        <f t="shared" si="125"/>
        <v/>
      </c>
      <c r="PA20" s="40" t="str">
        <f t="shared" si="126"/>
        <v/>
      </c>
      <c r="PB20" s="40" t="str">
        <f t="shared" si="127"/>
        <v/>
      </c>
      <c r="PC20" s="18"/>
      <c r="PD20" s="18"/>
      <c r="PE20" s="18"/>
      <c r="PF20" s="18"/>
      <c r="PG20" s="18"/>
      <c r="PH20" s="18"/>
      <c r="PI20" s="18"/>
      <c r="PJ20" s="18"/>
      <c r="PK20" s="18"/>
      <c r="PL20" s="18"/>
      <c r="PM20" s="18"/>
      <c r="PN20" s="18"/>
      <c r="PO20" s="18"/>
      <c r="PP20" s="18"/>
      <c r="PQ20" s="18"/>
      <c r="PR20" s="18"/>
      <c r="PS20" s="18"/>
      <c r="PT20" s="18"/>
      <c r="PU20" s="18"/>
      <c r="PV20" s="18"/>
      <c r="PW20" s="11" t="str">
        <f t="shared" si="128"/>
        <v/>
      </c>
      <c r="PX20" s="11" t="str">
        <f t="shared" si="129"/>
        <v/>
      </c>
      <c r="PY20" s="11" t="str">
        <f t="shared" si="130"/>
        <v/>
      </c>
      <c r="PZ20" s="11" t="str">
        <f t="shared" si="131"/>
        <v/>
      </c>
      <c r="QA20" s="11" t="str">
        <f t="shared" si="132"/>
        <v/>
      </c>
      <c r="QB20" s="11" t="str">
        <f t="shared" si="133"/>
        <v/>
      </c>
      <c r="QC20" s="11" t="str">
        <f t="shared" si="134"/>
        <v/>
      </c>
      <c r="QD20" s="11" t="str">
        <f t="shared" si="135"/>
        <v/>
      </c>
      <c r="QE20" s="22">
        <f t="shared" si="136"/>
        <v>0</v>
      </c>
      <c r="QF20" s="22">
        <f t="shared" si="137"/>
        <v>0</v>
      </c>
      <c r="QG20" s="22">
        <f t="shared" si="138"/>
        <v>0</v>
      </c>
      <c r="QH20" s="22">
        <f t="shared" si="139"/>
        <v>0</v>
      </c>
      <c r="QI20" s="22">
        <f t="shared" si="140"/>
        <v>0</v>
      </c>
      <c r="QJ20" s="22">
        <f t="shared" si="141"/>
        <v>0</v>
      </c>
      <c r="QK20" s="22">
        <f t="shared" si="142"/>
        <v>0</v>
      </c>
      <c r="QL20" s="22">
        <f t="shared" si="143"/>
        <v>0</v>
      </c>
      <c r="QM20" s="22">
        <f t="shared" si="144"/>
        <v>0</v>
      </c>
      <c r="QN20" s="22">
        <f t="shared" si="145"/>
        <v>0</v>
      </c>
      <c r="QO20" s="22">
        <f t="shared" si="146"/>
        <v>0</v>
      </c>
      <c r="QP20" s="22">
        <f t="shared" si="147"/>
        <v>0</v>
      </c>
      <c r="QQ20" s="22">
        <f t="shared" si="148"/>
        <v>0</v>
      </c>
      <c r="QR20" s="22">
        <f t="shared" si="149"/>
        <v>0</v>
      </c>
      <c r="QS20" s="22">
        <f t="shared" si="150"/>
        <v>0</v>
      </c>
      <c r="QT20" s="22">
        <f t="shared" si="151"/>
        <v>0</v>
      </c>
      <c r="QU20" s="22">
        <f t="shared" si="152"/>
        <v>0</v>
      </c>
      <c r="QV20" s="22">
        <f t="shared" si="153"/>
        <v>0</v>
      </c>
      <c r="QW20" s="22">
        <f t="shared" si="154"/>
        <v>0</v>
      </c>
      <c r="QX20" s="22">
        <f t="shared" si="155"/>
        <v>0</v>
      </c>
      <c r="QY20" s="27" t="s">
        <v>46</v>
      </c>
      <c r="QZ20" s="40" t="str">
        <f t="shared" si="156"/>
        <v/>
      </c>
      <c r="RA20" s="40" t="str">
        <f t="shared" si="157"/>
        <v/>
      </c>
      <c r="RB20" s="40" t="str">
        <f t="shared" si="158"/>
        <v/>
      </c>
      <c r="RC20" s="40" t="str">
        <f t="shared" si="159"/>
        <v/>
      </c>
      <c r="RD20" s="40" t="str">
        <f t="shared" si="160"/>
        <v/>
      </c>
      <c r="RE20" s="40" t="str">
        <f t="shared" si="161"/>
        <v/>
      </c>
      <c r="RF20" s="40" t="str">
        <f t="shared" si="162"/>
        <v/>
      </c>
      <c r="RG20" s="40" t="str">
        <f t="shared" si="163"/>
        <v/>
      </c>
    </row>
    <row r="21" spans="1:475" x14ac:dyDescent="0.2">
      <c r="A21" s="4" t="str">
        <f t="shared" si="164"/>
        <v/>
      </c>
      <c r="B21" s="5" t="s">
        <v>181</v>
      </c>
      <c r="C21" s="4" t="s">
        <v>5</v>
      </c>
      <c r="D21" s="4">
        <v>2005</v>
      </c>
      <c r="E21" s="9">
        <f t="shared" si="0"/>
        <v>74.800003750003739</v>
      </c>
      <c r="F21" s="3" t="str">
        <f t="shared" si="1"/>
        <v/>
      </c>
      <c r="G21" s="3" t="str">
        <f t="shared" si="2"/>
        <v/>
      </c>
      <c r="H21" s="36" t="str">
        <f t="shared" si="3"/>
        <v/>
      </c>
      <c r="I21" s="3" t="str">
        <f t="shared" si="4"/>
        <v/>
      </c>
      <c r="J21" s="8">
        <f>IF(COUNT(AQ21,BT21,CW21)&gt;0,LARGE((AQ21,BT21,CW21),1),0)</f>
        <v>37.499999999999993</v>
      </c>
      <c r="K21" s="8" t="str">
        <f t="shared" si="5"/>
        <v>2022 Nationals</v>
      </c>
      <c r="L21" s="8">
        <f>IF(COUNT(AQ21,BT21,CW21)&gt;1,LARGE((AQ21,BT21,CW21),2),0)</f>
        <v>0</v>
      </c>
      <c r="M21" s="8" t="str">
        <f t="shared" si="6"/>
        <v/>
      </c>
      <c r="N21" s="8">
        <f>IF(COUNT(AR21,BU21,CX21)&gt;0,LARGE((AR21,BU21,CX21),1),0)</f>
        <v>0</v>
      </c>
      <c r="O21" s="8" t="str">
        <f t="shared" si="7"/>
        <v/>
      </c>
      <c r="P21" s="8">
        <f t="shared" si="8"/>
        <v>37.29999999999999</v>
      </c>
      <c r="Q21" s="8" t="str">
        <f t="shared" si="9"/>
        <v>2022 Nationals</v>
      </c>
      <c r="R21" s="8" t="str">
        <f t="shared" si="10"/>
        <v/>
      </c>
      <c r="S21" s="11" t="str">
        <f t="shared" si="11"/>
        <v/>
      </c>
      <c r="T21" s="8" t="str">
        <f t="shared" si="12"/>
        <v/>
      </c>
      <c r="U21" s="19">
        <v>16.399999999999999</v>
      </c>
      <c r="V21" s="19">
        <v>3.3</v>
      </c>
      <c r="W21" s="19">
        <v>0</v>
      </c>
      <c r="X21" s="19">
        <v>0</v>
      </c>
      <c r="Y21" s="19">
        <v>16.7</v>
      </c>
      <c r="Z21" s="19">
        <v>2.8</v>
      </c>
      <c r="AA21" s="19">
        <v>2</v>
      </c>
      <c r="AB21" s="19">
        <v>0.3</v>
      </c>
      <c r="AC21" s="19"/>
      <c r="AD21" s="19"/>
      <c r="AE21" s="19"/>
      <c r="AF21" s="19"/>
      <c r="AG21" s="19">
        <v>14.6</v>
      </c>
      <c r="AH21" s="19">
        <v>3.3</v>
      </c>
      <c r="AI21" s="19">
        <v>0</v>
      </c>
      <c r="AJ21" s="19">
        <v>0</v>
      </c>
      <c r="AK21" s="19">
        <v>16.5</v>
      </c>
      <c r="AL21" s="19">
        <v>2.8</v>
      </c>
      <c r="AM21" s="19">
        <v>0.2</v>
      </c>
      <c r="AN21" s="19">
        <v>0.3</v>
      </c>
      <c r="AO21" s="27"/>
      <c r="AP21" s="40">
        <f t="shared" si="13"/>
        <v>6.1</v>
      </c>
      <c r="AQ21" s="40">
        <f t="shared" si="14"/>
        <v>37.499999999999993</v>
      </c>
      <c r="AR21" s="40" t="str">
        <f t="shared" si="15"/>
        <v/>
      </c>
      <c r="AS21" s="40">
        <f t="shared" si="16"/>
        <v>6.1</v>
      </c>
      <c r="AT21" s="40">
        <f t="shared" si="17"/>
        <v>37.499999999999993</v>
      </c>
      <c r="AU21" s="40">
        <f t="shared" si="18"/>
        <v>6.1</v>
      </c>
      <c r="AV21" s="40">
        <f t="shared" si="19"/>
        <v>37.29999999999999</v>
      </c>
      <c r="AW21" s="40">
        <f t="shared" si="20"/>
        <v>74.799999999999983</v>
      </c>
      <c r="AX21" s="18"/>
      <c r="AY21" s="18"/>
      <c r="AZ21" s="18"/>
      <c r="BA21" s="18"/>
      <c r="BB21" s="18"/>
      <c r="BC21" s="18"/>
      <c r="BD21" s="18"/>
      <c r="BE21" s="18"/>
      <c r="BF21" s="18"/>
      <c r="BG21" s="18"/>
      <c r="BH21" s="18"/>
      <c r="BI21" s="18"/>
      <c r="BJ21" s="18"/>
      <c r="BK21" s="18"/>
      <c r="BL21" s="18"/>
      <c r="BM21" s="18"/>
      <c r="BN21" s="18"/>
      <c r="BO21" s="18"/>
      <c r="BP21" s="18"/>
      <c r="BQ21" s="18"/>
      <c r="BR21" s="28"/>
      <c r="BS21" s="11" t="str">
        <f t="shared" si="21"/>
        <v/>
      </c>
      <c r="BT21" s="11" t="str">
        <f t="shared" si="22"/>
        <v/>
      </c>
      <c r="BU21" s="11" t="str">
        <f t="shared" si="23"/>
        <v/>
      </c>
      <c r="BV21" s="11" t="str">
        <f t="shared" si="24"/>
        <v/>
      </c>
      <c r="BW21" s="11" t="str">
        <f t="shared" si="25"/>
        <v/>
      </c>
      <c r="BX21" s="11" t="str">
        <f t="shared" si="26"/>
        <v/>
      </c>
      <c r="BY21" s="11" t="str">
        <f t="shared" si="27"/>
        <v/>
      </c>
      <c r="BZ21" s="11" t="str">
        <f t="shared" si="28"/>
        <v/>
      </c>
      <c r="CA21" s="19"/>
      <c r="CB21" s="19"/>
      <c r="CC21" s="19"/>
      <c r="CD21" s="19"/>
      <c r="CE21" s="19"/>
      <c r="CF21" s="19"/>
      <c r="CG21" s="19"/>
      <c r="CH21" s="19"/>
      <c r="CI21" s="19"/>
      <c r="CJ21" s="19"/>
      <c r="CK21" s="19"/>
      <c r="CL21" s="19"/>
      <c r="CM21" s="19"/>
      <c r="CN21" s="19"/>
      <c r="CO21" s="19"/>
      <c r="CP21" s="19"/>
      <c r="CQ21" s="19"/>
      <c r="CR21" s="19"/>
      <c r="CS21" s="19"/>
      <c r="CT21" s="19"/>
      <c r="CU21" s="27"/>
      <c r="CV21" s="40" t="str">
        <f t="shared" si="29"/>
        <v/>
      </c>
      <c r="CW21" s="40" t="str">
        <f t="shared" si="30"/>
        <v/>
      </c>
      <c r="CX21" s="40" t="str">
        <f t="shared" si="31"/>
        <v/>
      </c>
      <c r="CY21" s="40" t="str">
        <f t="shared" si="32"/>
        <v/>
      </c>
      <c r="CZ21" s="40" t="str">
        <f t="shared" si="33"/>
        <v/>
      </c>
      <c r="DA21" s="40" t="str">
        <f t="shared" si="34"/>
        <v/>
      </c>
      <c r="DB21" s="40" t="str">
        <f t="shared" si="35"/>
        <v/>
      </c>
      <c r="DC21" s="40" t="str">
        <f t="shared" si="36"/>
        <v/>
      </c>
      <c r="DD21" s="50" t="str">
        <f t="shared" si="37"/>
        <v/>
      </c>
      <c r="DE21" s="50" t="str">
        <f t="shared" si="38"/>
        <v/>
      </c>
      <c r="DF21" s="50" t="str">
        <f t="shared" si="39"/>
        <v/>
      </c>
      <c r="DG21" s="17"/>
      <c r="DH21" s="17"/>
      <c r="DI21" s="17"/>
      <c r="DJ21" s="17"/>
      <c r="DK21" s="17"/>
      <c r="DL21" s="17"/>
      <c r="DM21" s="17"/>
      <c r="DN21" s="17"/>
      <c r="DO21" s="17"/>
      <c r="DP21" s="17"/>
      <c r="DQ21" s="17"/>
      <c r="DR21" s="17"/>
      <c r="DS21" s="17"/>
      <c r="DT21" s="17"/>
      <c r="DU21" s="17"/>
      <c r="DV21" s="17"/>
      <c r="DW21" s="17"/>
      <c r="DX21" s="17"/>
      <c r="DY21" s="17"/>
      <c r="DZ21" s="17"/>
      <c r="EA21" s="40" t="str">
        <f t="shared" si="40"/>
        <v/>
      </c>
      <c r="EB21" s="40" t="str">
        <f t="shared" si="41"/>
        <v/>
      </c>
      <c r="EC21" s="40" t="str">
        <f t="shared" si="42"/>
        <v/>
      </c>
      <c r="ED21" s="40" t="str">
        <f t="shared" si="43"/>
        <v/>
      </c>
      <c r="EE21" s="40" t="str">
        <f t="shared" si="44"/>
        <v/>
      </c>
      <c r="EF21" s="40" t="str">
        <f t="shared" si="45"/>
        <v/>
      </c>
      <c r="EG21" s="40" t="str">
        <f t="shared" si="46"/>
        <v/>
      </c>
      <c r="EH21" s="40" t="str">
        <f t="shared" si="47"/>
        <v/>
      </c>
      <c r="EI21" s="18"/>
      <c r="EJ21" s="18"/>
      <c r="EK21" s="18"/>
      <c r="EL21" s="18"/>
      <c r="EM21" s="18"/>
      <c r="EN21" s="18"/>
      <c r="EO21" s="18"/>
      <c r="EP21" s="18"/>
      <c r="EQ21" s="18"/>
      <c r="ER21" s="18"/>
      <c r="ES21" s="18"/>
      <c r="ET21" s="18"/>
      <c r="EU21" s="18"/>
      <c r="EV21" s="18"/>
      <c r="EW21" s="18"/>
      <c r="EX21" s="18"/>
      <c r="EY21" s="18"/>
      <c r="EZ21" s="18"/>
      <c r="FA21" s="18"/>
      <c r="FB21" s="18"/>
      <c r="FC21" s="11" t="str">
        <f t="shared" si="48"/>
        <v/>
      </c>
      <c r="FD21" s="11" t="str">
        <f t="shared" si="49"/>
        <v/>
      </c>
      <c r="FE21" s="11" t="str">
        <f t="shared" si="50"/>
        <v/>
      </c>
      <c r="FF21" s="11" t="str">
        <f t="shared" si="51"/>
        <v/>
      </c>
      <c r="FG21" s="11" t="str">
        <f t="shared" si="52"/>
        <v/>
      </c>
      <c r="FH21" s="11" t="str">
        <f t="shared" si="53"/>
        <v/>
      </c>
      <c r="FI21" s="11" t="str">
        <f t="shared" si="54"/>
        <v/>
      </c>
      <c r="FJ21" s="11" t="str">
        <f t="shared" si="55"/>
        <v/>
      </c>
      <c r="FK21" s="17"/>
      <c r="FL21" s="17"/>
      <c r="FM21" s="17"/>
      <c r="FN21" s="17"/>
      <c r="FO21" s="17"/>
      <c r="FP21" s="17"/>
      <c r="FQ21" s="17"/>
      <c r="FR21" s="17"/>
      <c r="FS21" s="17"/>
      <c r="FT21" s="17"/>
      <c r="FU21" s="17"/>
      <c r="FV21" s="17"/>
      <c r="FW21" s="17"/>
      <c r="FX21" s="17"/>
      <c r="FY21" s="17"/>
      <c r="FZ21" s="17"/>
      <c r="GA21" s="17"/>
      <c r="GB21" s="17"/>
      <c r="GC21" s="17"/>
      <c r="GD21" s="17"/>
      <c r="GE21" s="40" t="str">
        <f t="shared" si="56"/>
        <v/>
      </c>
      <c r="GF21" s="40" t="str">
        <f t="shared" si="57"/>
        <v/>
      </c>
      <c r="GG21" s="40" t="str">
        <f t="shared" si="58"/>
        <v/>
      </c>
      <c r="GH21" s="40" t="str">
        <f t="shared" si="59"/>
        <v/>
      </c>
      <c r="GI21" s="40" t="str">
        <f t="shared" si="60"/>
        <v/>
      </c>
      <c r="GJ21" s="40" t="str">
        <f t="shared" si="61"/>
        <v/>
      </c>
      <c r="GK21" s="40" t="str">
        <f t="shared" si="62"/>
        <v/>
      </c>
      <c r="GL21" s="40" t="str">
        <f t="shared" si="63"/>
        <v/>
      </c>
      <c r="GM21" s="18"/>
      <c r="GN21" s="18"/>
      <c r="GO21" s="18"/>
      <c r="GP21" s="18"/>
      <c r="GQ21" s="18"/>
      <c r="GR21" s="18"/>
      <c r="GS21" s="18"/>
      <c r="GT21" s="18"/>
      <c r="GU21" s="18"/>
      <c r="GV21" s="18"/>
      <c r="GW21" s="18"/>
      <c r="GX21" s="18"/>
      <c r="GY21" s="18"/>
      <c r="GZ21" s="18"/>
      <c r="HA21" s="18"/>
      <c r="HB21" s="18"/>
      <c r="HC21" s="18"/>
      <c r="HD21" s="18"/>
      <c r="HE21" s="18"/>
      <c r="HF21" s="18"/>
      <c r="HG21" s="11" t="str">
        <f t="shared" si="64"/>
        <v/>
      </c>
      <c r="HH21" s="11" t="str">
        <f t="shared" si="65"/>
        <v/>
      </c>
      <c r="HI21" s="11" t="str">
        <f t="shared" si="66"/>
        <v/>
      </c>
      <c r="HJ21" s="11" t="str">
        <f t="shared" si="67"/>
        <v/>
      </c>
      <c r="HK21" s="11" t="str">
        <f t="shared" si="68"/>
        <v/>
      </c>
      <c r="HL21" s="11" t="str">
        <f t="shared" si="69"/>
        <v/>
      </c>
      <c r="HM21" s="11" t="str">
        <f t="shared" si="70"/>
        <v/>
      </c>
      <c r="HN21" s="11" t="str">
        <f t="shared" si="71"/>
        <v/>
      </c>
      <c r="HO21" s="17"/>
      <c r="HP21" s="17"/>
      <c r="HQ21" s="17"/>
      <c r="HR21" s="17"/>
      <c r="HS21" s="17"/>
      <c r="HT21" s="17"/>
      <c r="HU21" s="17"/>
      <c r="HV21" s="17"/>
      <c r="HW21" s="17"/>
      <c r="HX21" s="17"/>
      <c r="HY21" s="17"/>
      <c r="HZ21" s="17"/>
      <c r="IA21" s="17"/>
      <c r="IB21" s="17"/>
      <c r="IC21" s="17"/>
      <c r="ID21" s="17"/>
      <c r="IE21" s="17"/>
      <c r="IF21" s="17"/>
      <c r="IG21" s="17"/>
      <c r="IH21" s="17"/>
      <c r="II21" s="40" t="str">
        <f t="shared" si="72"/>
        <v/>
      </c>
      <c r="IJ21" s="40" t="str">
        <f t="shared" si="73"/>
        <v/>
      </c>
      <c r="IK21" s="40" t="str">
        <f t="shared" si="74"/>
        <v/>
      </c>
      <c r="IL21" s="40" t="str">
        <f t="shared" si="75"/>
        <v/>
      </c>
      <c r="IM21" s="40" t="str">
        <f t="shared" si="76"/>
        <v/>
      </c>
      <c r="IN21" s="40" t="str">
        <f t="shared" si="77"/>
        <v/>
      </c>
      <c r="IO21" s="40" t="str">
        <f t="shared" si="78"/>
        <v/>
      </c>
      <c r="IP21" s="40" t="str">
        <f t="shared" si="79"/>
        <v/>
      </c>
      <c r="IQ21" s="18"/>
      <c r="IR21" s="18"/>
      <c r="IS21" s="18"/>
      <c r="IT21" s="18"/>
      <c r="IU21" s="18"/>
      <c r="IV21" s="18"/>
      <c r="IW21" s="18"/>
      <c r="IX21" s="18"/>
      <c r="IY21" s="18"/>
      <c r="IZ21" s="18"/>
      <c r="JA21" s="18"/>
      <c r="JB21" s="18"/>
      <c r="JC21" s="18"/>
      <c r="JD21" s="18"/>
      <c r="JE21" s="18"/>
      <c r="JF21" s="18"/>
      <c r="JG21" s="18"/>
      <c r="JH21" s="18"/>
      <c r="JI21" s="18"/>
      <c r="JJ21" s="18"/>
      <c r="JK21" s="11" t="str">
        <f t="shared" si="80"/>
        <v/>
      </c>
      <c r="JL21" s="11" t="str">
        <f t="shared" si="81"/>
        <v/>
      </c>
      <c r="JM21" s="11" t="str">
        <f t="shared" si="82"/>
        <v/>
      </c>
      <c r="JN21" s="11" t="str">
        <f t="shared" si="83"/>
        <v/>
      </c>
      <c r="JO21" s="11" t="str">
        <f t="shared" si="84"/>
        <v/>
      </c>
      <c r="JP21" s="11" t="str">
        <f t="shared" si="85"/>
        <v/>
      </c>
      <c r="JQ21" s="11" t="str">
        <f t="shared" si="86"/>
        <v/>
      </c>
      <c r="JR21" s="11" t="str">
        <f t="shared" si="87"/>
        <v/>
      </c>
      <c r="JS21" s="17"/>
      <c r="JT21" s="17"/>
      <c r="JU21" s="17"/>
      <c r="JV21" s="17"/>
      <c r="JW21" s="17"/>
      <c r="JX21" s="17"/>
      <c r="JY21" s="17"/>
      <c r="JZ21" s="17"/>
      <c r="KA21" s="17"/>
      <c r="KB21" s="17"/>
      <c r="KC21" s="17"/>
      <c r="KD21" s="17"/>
      <c r="KE21" s="17"/>
      <c r="KF21" s="17"/>
      <c r="KG21" s="17"/>
      <c r="KH21" s="17"/>
      <c r="KI21" s="17"/>
      <c r="KJ21" s="17"/>
      <c r="KK21" s="17"/>
      <c r="KL21" s="17"/>
      <c r="KM21" s="40" t="str">
        <f t="shared" si="88"/>
        <v/>
      </c>
      <c r="KN21" s="40" t="str">
        <f t="shared" si="89"/>
        <v/>
      </c>
      <c r="KO21" s="40" t="str">
        <f t="shared" si="90"/>
        <v/>
      </c>
      <c r="KP21" s="40" t="str">
        <f t="shared" si="91"/>
        <v/>
      </c>
      <c r="KQ21" s="40" t="str">
        <f t="shared" si="92"/>
        <v/>
      </c>
      <c r="KR21" s="40" t="str">
        <f t="shared" si="93"/>
        <v/>
      </c>
      <c r="KS21" s="40" t="str">
        <f t="shared" si="94"/>
        <v/>
      </c>
      <c r="KT21" s="40" t="str">
        <f t="shared" si="95"/>
        <v/>
      </c>
      <c r="KU21" s="18"/>
      <c r="KV21" s="18"/>
      <c r="KW21" s="18"/>
      <c r="KX21" s="18"/>
      <c r="KY21" s="18"/>
      <c r="KZ21" s="18"/>
      <c r="LA21" s="18"/>
      <c r="LB21" s="18"/>
      <c r="LC21" s="18"/>
      <c r="LD21" s="18"/>
      <c r="LE21" s="18"/>
      <c r="LF21" s="18"/>
      <c r="LG21" s="18"/>
      <c r="LH21" s="18"/>
      <c r="LI21" s="18"/>
      <c r="LJ21" s="18"/>
      <c r="LK21" s="18"/>
      <c r="LL21" s="18"/>
      <c r="LM21" s="18"/>
      <c r="LN21" s="18"/>
      <c r="LO21" s="11" t="str">
        <f t="shared" si="96"/>
        <v/>
      </c>
      <c r="LP21" s="11" t="str">
        <f t="shared" si="97"/>
        <v/>
      </c>
      <c r="LQ21" s="11" t="str">
        <f t="shared" si="98"/>
        <v/>
      </c>
      <c r="LR21" s="11" t="str">
        <f t="shared" si="99"/>
        <v/>
      </c>
      <c r="LS21" s="11" t="str">
        <f t="shared" si="100"/>
        <v/>
      </c>
      <c r="LT21" s="11" t="str">
        <f t="shared" si="101"/>
        <v/>
      </c>
      <c r="LU21" s="11" t="str">
        <f t="shared" si="102"/>
        <v/>
      </c>
      <c r="LV21" s="11" t="str">
        <f t="shared" si="103"/>
        <v/>
      </c>
      <c r="LW21" s="17"/>
      <c r="LX21" s="17"/>
      <c r="LY21" s="17"/>
      <c r="LZ21" s="17"/>
      <c r="MA21" s="17"/>
      <c r="MB21" s="17"/>
      <c r="MC21" s="17"/>
      <c r="MD21" s="17"/>
      <c r="ME21" s="17"/>
      <c r="MF21" s="17"/>
      <c r="MG21" s="17"/>
      <c r="MH21" s="17"/>
      <c r="MI21" s="17"/>
      <c r="MJ21" s="17"/>
      <c r="MK21" s="17"/>
      <c r="ML21" s="17"/>
      <c r="MM21" s="17"/>
      <c r="MN21" s="17"/>
      <c r="MO21" s="17"/>
      <c r="MP21" s="17"/>
      <c r="MQ21" s="40" t="str">
        <f t="shared" si="104"/>
        <v/>
      </c>
      <c r="MR21" s="40" t="str">
        <f t="shared" si="105"/>
        <v/>
      </c>
      <c r="MS21" s="40" t="str">
        <f t="shared" si="106"/>
        <v/>
      </c>
      <c r="MT21" s="40" t="str">
        <f t="shared" si="107"/>
        <v/>
      </c>
      <c r="MU21" s="40" t="str">
        <f t="shared" si="108"/>
        <v/>
      </c>
      <c r="MV21" s="40" t="str">
        <f t="shared" si="109"/>
        <v/>
      </c>
      <c r="MW21" s="40" t="str">
        <f t="shared" si="110"/>
        <v/>
      </c>
      <c r="MX21" s="40" t="str">
        <f t="shared" si="111"/>
        <v/>
      </c>
      <c r="MY21" s="18"/>
      <c r="MZ21" s="18"/>
      <c r="NA21" s="18"/>
      <c r="NB21" s="18"/>
      <c r="NC21" s="18"/>
      <c r="ND21" s="18"/>
      <c r="NE21" s="18"/>
      <c r="NF21" s="18"/>
      <c r="NG21" s="18"/>
      <c r="NH21" s="18"/>
      <c r="NI21" s="18"/>
      <c r="NJ21" s="18"/>
      <c r="NK21" s="18"/>
      <c r="NL21" s="18"/>
      <c r="NM21" s="18"/>
      <c r="NN21" s="18"/>
      <c r="NO21" s="18"/>
      <c r="NP21" s="18"/>
      <c r="NQ21" s="18"/>
      <c r="NR21" s="18"/>
      <c r="NS21" s="11" t="str">
        <f t="shared" si="112"/>
        <v/>
      </c>
      <c r="NT21" s="11" t="str">
        <f t="shared" si="113"/>
        <v/>
      </c>
      <c r="NU21" s="11" t="str">
        <f t="shared" si="114"/>
        <v/>
      </c>
      <c r="NV21" s="11" t="str">
        <f t="shared" si="115"/>
        <v/>
      </c>
      <c r="NW21" s="11" t="str">
        <f t="shared" si="116"/>
        <v/>
      </c>
      <c r="NX21" s="11" t="str">
        <f t="shared" si="117"/>
        <v/>
      </c>
      <c r="NY21" s="11" t="str">
        <f t="shared" si="118"/>
        <v/>
      </c>
      <c r="NZ21" s="11" t="str">
        <f t="shared" si="119"/>
        <v/>
      </c>
      <c r="OA21" s="17"/>
      <c r="OB21" s="17"/>
      <c r="OC21" s="17"/>
      <c r="OD21" s="17"/>
      <c r="OE21" s="17"/>
      <c r="OF21" s="17"/>
      <c r="OG21" s="17"/>
      <c r="OH21" s="17"/>
      <c r="OI21" s="17"/>
      <c r="OJ21" s="17"/>
      <c r="OK21" s="17"/>
      <c r="OL21" s="17"/>
      <c r="OM21" s="17"/>
      <c r="ON21" s="17"/>
      <c r="OO21" s="17"/>
      <c r="OP21" s="17"/>
      <c r="OQ21" s="17"/>
      <c r="OR21" s="17"/>
      <c r="OS21" s="17"/>
      <c r="OT21" s="17"/>
      <c r="OU21" s="40" t="str">
        <f t="shared" si="120"/>
        <v/>
      </c>
      <c r="OV21" s="40" t="str">
        <f t="shared" si="121"/>
        <v/>
      </c>
      <c r="OW21" s="40" t="str">
        <f t="shared" si="122"/>
        <v/>
      </c>
      <c r="OX21" s="40" t="str">
        <f t="shared" si="123"/>
        <v/>
      </c>
      <c r="OY21" s="40" t="str">
        <f t="shared" si="124"/>
        <v/>
      </c>
      <c r="OZ21" s="40" t="str">
        <f t="shared" si="125"/>
        <v/>
      </c>
      <c r="PA21" s="40" t="str">
        <f t="shared" si="126"/>
        <v/>
      </c>
      <c r="PB21" s="40" t="str">
        <f t="shared" si="127"/>
        <v/>
      </c>
      <c r="PC21" s="18"/>
      <c r="PD21" s="18"/>
      <c r="PE21" s="18"/>
      <c r="PF21" s="18"/>
      <c r="PG21" s="18"/>
      <c r="PH21" s="18"/>
      <c r="PI21" s="18"/>
      <c r="PJ21" s="18"/>
      <c r="PK21" s="18"/>
      <c r="PL21" s="18"/>
      <c r="PM21" s="18"/>
      <c r="PN21" s="18"/>
      <c r="PO21" s="18"/>
      <c r="PP21" s="18"/>
      <c r="PQ21" s="18"/>
      <c r="PR21" s="18"/>
      <c r="PS21" s="18"/>
      <c r="PT21" s="18"/>
      <c r="PU21" s="18"/>
      <c r="PV21" s="18"/>
      <c r="PW21" s="11" t="str">
        <f t="shared" si="128"/>
        <v/>
      </c>
      <c r="PX21" s="11" t="str">
        <f t="shared" si="129"/>
        <v/>
      </c>
      <c r="PY21" s="11" t="str">
        <f t="shared" si="130"/>
        <v/>
      </c>
      <c r="PZ21" s="11" t="str">
        <f t="shared" si="131"/>
        <v/>
      </c>
      <c r="QA21" s="11" t="str">
        <f t="shared" si="132"/>
        <v/>
      </c>
      <c r="QB21" s="11" t="str">
        <f t="shared" si="133"/>
        <v/>
      </c>
      <c r="QC21" s="11" t="str">
        <f t="shared" si="134"/>
        <v/>
      </c>
      <c r="QD21" s="11" t="str">
        <f t="shared" si="135"/>
        <v/>
      </c>
      <c r="QE21" s="22">
        <f t="shared" si="136"/>
        <v>0</v>
      </c>
      <c r="QF21" s="22">
        <f t="shared" si="137"/>
        <v>0</v>
      </c>
      <c r="QG21" s="22">
        <f t="shared" si="138"/>
        <v>0</v>
      </c>
      <c r="QH21" s="22">
        <f t="shared" si="139"/>
        <v>0</v>
      </c>
      <c r="QI21" s="22">
        <f t="shared" si="140"/>
        <v>0</v>
      </c>
      <c r="QJ21" s="22">
        <f t="shared" si="141"/>
        <v>0</v>
      </c>
      <c r="QK21" s="22">
        <f t="shared" si="142"/>
        <v>0</v>
      </c>
      <c r="QL21" s="22">
        <f t="shared" si="143"/>
        <v>0</v>
      </c>
      <c r="QM21" s="22">
        <f t="shared" si="144"/>
        <v>0</v>
      </c>
      <c r="QN21" s="22">
        <f t="shared" si="145"/>
        <v>0</v>
      </c>
      <c r="QO21" s="22">
        <f t="shared" si="146"/>
        <v>0</v>
      </c>
      <c r="QP21" s="22">
        <f t="shared" si="147"/>
        <v>0</v>
      </c>
      <c r="QQ21" s="22">
        <f t="shared" si="148"/>
        <v>0</v>
      </c>
      <c r="QR21" s="22">
        <f t="shared" si="149"/>
        <v>0</v>
      </c>
      <c r="QS21" s="22">
        <f t="shared" si="150"/>
        <v>0</v>
      </c>
      <c r="QT21" s="22">
        <f t="shared" si="151"/>
        <v>0</v>
      </c>
      <c r="QU21" s="22">
        <f t="shared" si="152"/>
        <v>0</v>
      </c>
      <c r="QV21" s="22">
        <f t="shared" si="153"/>
        <v>0</v>
      </c>
      <c r="QW21" s="22">
        <f t="shared" si="154"/>
        <v>0</v>
      </c>
      <c r="QX21" s="22">
        <f t="shared" si="155"/>
        <v>0</v>
      </c>
      <c r="QY21" s="27" t="s">
        <v>46</v>
      </c>
      <c r="QZ21" s="40" t="str">
        <f t="shared" si="156"/>
        <v/>
      </c>
      <c r="RA21" s="40" t="str">
        <f t="shared" si="157"/>
        <v/>
      </c>
      <c r="RB21" s="40" t="str">
        <f t="shared" si="158"/>
        <v/>
      </c>
      <c r="RC21" s="40" t="str">
        <f t="shared" si="159"/>
        <v/>
      </c>
      <c r="RD21" s="40" t="str">
        <f t="shared" si="160"/>
        <v/>
      </c>
      <c r="RE21" s="40" t="str">
        <f t="shared" si="161"/>
        <v/>
      </c>
      <c r="RF21" s="40" t="str">
        <f t="shared" si="162"/>
        <v/>
      </c>
      <c r="RG21" s="40" t="str">
        <f t="shared" si="163"/>
        <v/>
      </c>
    </row>
    <row r="22" spans="1:475" x14ac:dyDescent="0.2">
      <c r="A22" s="4" t="str">
        <f t="shared" si="164"/>
        <v/>
      </c>
      <c r="B22" s="5" t="s">
        <v>74</v>
      </c>
      <c r="C22" s="4" t="s">
        <v>5</v>
      </c>
      <c r="D22" s="4">
        <v>2003</v>
      </c>
      <c r="E22" s="9">
        <f t="shared" si="0"/>
        <v>48.700004870003212</v>
      </c>
      <c r="F22" s="3" t="str">
        <f t="shared" si="1"/>
        <v/>
      </c>
      <c r="G22" s="3" t="str">
        <f t="shared" si="2"/>
        <v/>
      </c>
      <c r="H22" s="36" t="str">
        <f t="shared" si="3"/>
        <v/>
      </c>
      <c r="I22" s="3" t="str">
        <f t="shared" si="4"/>
        <v/>
      </c>
      <c r="J22" s="8">
        <f>IF(COUNT(AQ22,BT22,CW22)&gt;0,LARGE((AQ22,BT22,CW22),1),0)</f>
        <v>32.1</v>
      </c>
      <c r="K22" s="8" t="str">
        <f t="shared" si="5"/>
        <v>2023 Elite Canada</v>
      </c>
      <c r="L22" s="8">
        <f>IF(COUNT(AQ22,BT22,CW22)&gt;1,LARGE((AQ22,BT22,CW22),2),0)</f>
        <v>0</v>
      </c>
      <c r="M22" s="8" t="str">
        <f t="shared" si="6"/>
        <v/>
      </c>
      <c r="N22" s="8">
        <f>IF(COUNT(AR22,BU22,CX22)&gt;0,LARGE((AR22,BU22,CX22),1),0)</f>
        <v>16.600000000000001</v>
      </c>
      <c r="O22" s="8" t="str">
        <f t="shared" si="7"/>
        <v>2023 Elite Canada</v>
      </c>
      <c r="P22" s="8">
        <f t="shared" si="8"/>
        <v>0</v>
      </c>
      <c r="Q22" s="8" t="str">
        <f t="shared" si="9"/>
        <v/>
      </c>
      <c r="R22" s="8" t="str">
        <f t="shared" si="10"/>
        <v/>
      </c>
      <c r="S22" s="11" t="str">
        <f t="shared" si="11"/>
        <v/>
      </c>
      <c r="T22" s="8" t="str">
        <f t="shared" si="12"/>
        <v/>
      </c>
      <c r="U22" s="19"/>
      <c r="V22" s="19"/>
      <c r="W22" s="19"/>
      <c r="X22" s="19"/>
      <c r="Y22" s="19"/>
      <c r="Z22" s="19"/>
      <c r="AA22" s="19"/>
      <c r="AB22" s="19"/>
      <c r="AC22" s="19"/>
      <c r="AD22" s="19"/>
      <c r="AE22" s="19"/>
      <c r="AF22" s="19"/>
      <c r="AG22" s="19"/>
      <c r="AH22" s="19"/>
      <c r="AI22" s="19"/>
      <c r="AJ22" s="19"/>
      <c r="AK22" s="19"/>
      <c r="AL22" s="19"/>
      <c r="AM22" s="19"/>
      <c r="AN22" s="19"/>
      <c r="AO22" s="27"/>
      <c r="AP22" s="40" t="str">
        <f t="shared" si="13"/>
        <v/>
      </c>
      <c r="AQ22" s="40" t="str">
        <f t="shared" si="14"/>
        <v/>
      </c>
      <c r="AR22" s="40" t="str">
        <f t="shared" si="15"/>
        <v/>
      </c>
      <c r="AS22" s="40" t="str">
        <f t="shared" si="16"/>
        <v/>
      </c>
      <c r="AT22" s="40" t="str">
        <f t="shared" si="17"/>
        <v/>
      </c>
      <c r="AU22" s="40" t="str">
        <f t="shared" si="18"/>
        <v/>
      </c>
      <c r="AV22" s="40" t="str">
        <f t="shared" si="19"/>
        <v/>
      </c>
      <c r="AW22" s="40" t="str">
        <f t="shared" si="20"/>
        <v/>
      </c>
      <c r="AX22" s="18"/>
      <c r="AY22" s="18"/>
      <c r="AZ22" s="18"/>
      <c r="BA22" s="18"/>
      <c r="BB22" s="18"/>
      <c r="BC22" s="18"/>
      <c r="BD22" s="18"/>
      <c r="BE22" s="18"/>
      <c r="BF22" s="18"/>
      <c r="BG22" s="18"/>
      <c r="BH22" s="18"/>
      <c r="BI22" s="18"/>
      <c r="BJ22" s="18"/>
      <c r="BK22" s="18"/>
      <c r="BL22" s="18"/>
      <c r="BM22" s="18"/>
      <c r="BN22" s="18"/>
      <c r="BO22" s="18"/>
      <c r="BP22" s="18"/>
      <c r="BQ22" s="18"/>
      <c r="BR22" s="28"/>
      <c r="BS22" s="11" t="str">
        <f t="shared" si="21"/>
        <v/>
      </c>
      <c r="BT22" s="11" t="str">
        <f t="shared" si="22"/>
        <v/>
      </c>
      <c r="BU22" s="11" t="str">
        <f t="shared" si="23"/>
        <v/>
      </c>
      <c r="BV22" s="11" t="str">
        <f t="shared" si="24"/>
        <v/>
      </c>
      <c r="BW22" s="11" t="str">
        <f t="shared" si="25"/>
        <v/>
      </c>
      <c r="BX22" s="11" t="str">
        <f t="shared" si="26"/>
        <v/>
      </c>
      <c r="BY22" s="11" t="str">
        <f t="shared" si="27"/>
        <v/>
      </c>
      <c r="BZ22" s="11" t="str">
        <f t="shared" si="28"/>
        <v/>
      </c>
      <c r="CA22" s="19">
        <v>15.2</v>
      </c>
      <c r="CB22" s="19">
        <v>1.9</v>
      </c>
      <c r="CC22" s="19">
        <v>0</v>
      </c>
      <c r="CD22" s="19">
        <v>0.3</v>
      </c>
      <c r="CE22" s="19">
        <v>12.6</v>
      </c>
      <c r="CF22" s="19">
        <v>1.8</v>
      </c>
      <c r="CG22" s="19">
        <v>0</v>
      </c>
      <c r="CH22" s="19">
        <v>0.3</v>
      </c>
      <c r="CI22" s="19">
        <v>15.4</v>
      </c>
      <c r="CJ22" s="19">
        <v>1.2</v>
      </c>
      <c r="CK22" s="19">
        <v>0</v>
      </c>
      <c r="CL22" s="19">
        <v>0</v>
      </c>
      <c r="CM22" s="19"/>
      <c r="CN22" s="19"/>
      <c r="CO22" s="19"/>
      <c r="CP22" s="19"/>
      <c r="CQ22" s="19"/>
      <c r="CR22" s="19"/>
      <c r="CS22" s="19"/>
      <c r="CT22" s="19"/>
      <c r="CU22" s="27"/>
      <c r="CV22" s="40">
        <f t="shared" si="29"/>
        <v>3.7</v>
      </c>
      <c r="CW22" s="40">
        <f t="shared" si="30"/>
        <v>32.1</v>
      </c>
      <c r="CX22" s="40">
        <f t="shared" si="31"/>
        <v>16.600000000000001</v>
      </c>
      <c r="CY22" s="40">
        <f t="shared" si="32"/>
        <v>4.9000000000000004</v>
      </c>
      <c r="CZ22" s="40">
        <f t="shared" si="33"/>
        <v>48.7</v>
      </c>
      <c r="DA22" s="40" t="str">
        <f t="shared" si="34"/>
        <v/>
      </c>
      <c r="DB22" s="40" t="str">
        <f t="shared" si="35"/>
        <v/>
      </c>
      <c r="DC22" s="40">
        <f t="shared" si="36"/>
        <v>32.1</v>
      </c>
      <c r="DD22" s="50" t="str">
        <f t="shared" si="37"/>
        <v/>
      </c>
      <c r="DE22" s="50" t="str">
        <f t="shared" si="38"/>
        <v/>
      </c>
      <c r="DF22" s="50" t="str">
        <f t="shared" si="39"/>
        <v/>
      </c>
      <c r="DG22" s="17"/>
      <c r="DH22" s="17"/>
      <c r="DI22" s="17"/>
      <c r="DJ22" s="17"/>
      <c r="DK22" s="17"/>
      <c r="DL22" s="17"/>
      <c r="DM22" s="17"/>
      <c r="DN22" s="17"/>
      <c r="DO22" s="17"/>
      <c r="DP22" s="17"/>
      <c r="DQ22" s="17"/>
      <c r="DR22" s="17"/>
      <c r="DS22" s="17"/>
      <c r="DT22" s="17"/>
      <c r="DU22" s="17"/>
      <c r="DV22" s="17"/>
      <c r="DW22" s="17"/>
      <c r="DX22" s="17"/>
      <c r="DY22" s="17"/>
      <c r="DZ22" s="17"/>
      <c r="EA22" s="40" t="str">
        <f t="shared" si="40"/>
        <v/>
      </c>
      <c r="EB22" s="40" t="str">
        <f t="shared" si="41"/>
        <v/>
      </c>
      <c r="EC22" s="40" t="str">
        <f t="shared" si="42"/>
        <v/>
      </c>
      <c r="ED22" s="40" t="str">
        <f t="shared" si="43"/>
        <v/>
      </c>
      <c r="EE22" s="40" t="str">
        <f t="shared" si="44"/>
        <v/>
      </c>
      <c r="EF22" s="40" t="str">
        <f t="shared" si="45"/>
        <v/>
      </c>
      <c r="EG22" s="40" t="str">
        <f t="shared" si="46"/>
        <v/>
      </c>
      <c r="EH22" s="40" t="str">
        <f t="shared" si="47"/>
        <v/>
      </c>
      <c r="EI22" s="18"/>
      <c r="EJ22" s="18"/>
      <c r="EK22" s="18"/>
      <c r="EL22" s="18"/>
      <c r="EM22" s="18"/>
      <c r="EN22" s="18"/>
      <c r="EO22" s="18"/>
      <c r="EP22" s="18"/>
      <c r="EQ22" s="18"/>
      <c r="ER22" s="18"/>
      <c r="ES22" s="18"/>
      <c r="ET22" s="18"/>
      <c r="EU22" s="18"/>
      <c r="EV22" s="18"/>
      <c r="EW22" s="18"/>
      <c r="EX22" s="18"/>
      <c r="EY22" s="18"/>
      <c r="EZ22" s="18"/>
      <c r="FA22" s="18"/>
      <c r="FB22" s="18"/>
      <c r="FC22" s="11" t="str">
        <f t="shared" si="48"/>
        <v/>
      </c>
      <c r="FD22" s="11" t="str">
        <f t="shared" si="49"/>
        <v/>
      </c>
      <c r="FE22" s="11" t="str">
        <f t="shared" si="50"/>
        <v/>
      </c>
      <c r="FF22" s="11" t="str">
        <f t="shared" si="51"/>
        <v/>
      </c>
      <c r="FG22" s="11" t="str">
        <f t="shared" si="52"/>
        <v/>
      </c>
      <c r="FH22" s="11" t="str">
        <f t="shared" si="53"/>
        <v/>
      </c>
      <c r="FI22" s="11" t="str">
        <f t="shared" si="54"/>
        <v/>
      </c>
      <c r="FJ22" s="11" t="str">
        <f t="shared" si="55"/>
        <v/>
      </c>
      <c r="FK22" s="17"/>
      <c r="FL22" s="17"/>
      <c r="FM22" s="17"/>
      <c r="FN22" s="17"/>
      <c r="FO22" s="17"/>
      <c r="FP22" s="17"/>
      <c r="FQ22" s="17"/>
      <c r="FR22" s="17"/>
      <c r="FS22" s="17"/>
      <c r="FT22" s="17"/>
      <c r="FU22" s="17"/>
      <c r="FV22" s="17"/>
      <c r="FW22" s="17"/>
      <c r="FX22" s="17"/>
      <c r="FY22" s="17"/>
      <c r="FZ22" s="17"/>
      <c r="GA22" s="17"/>
      <c r="GB22" s="17"/>
      <c r="GC22" s="17"/>
      <c r="GD22" s="17"/>
      <c r="GE22" s="40" t="str">
        <f t="shared" si="56"/>
        <v/>
      </c>
      <c r="GF22" s="40" t="str">
        <f t="shared" si="57"/>
        <v/>
      </c>
      <c r="GG22" s="40" t="str">
        <f t="shared" si="58"/>
        <v/>
      </c>
      <c r="GH22" s="40" t="str">
        <f t="shared" si="59"/>
        <v/>
      </c>
      <c r="GI22" s="40" t="str">
        <f t="shared" si="60"/>
        <v/>
      </c>
      <c r="GJ22" s="40" t="str">
        <f t="shared" si="61"/>
        <v/>
      </c>
      <c r="GK22" s="40" t="str">
        <f t="shared" si="62"/>
        <v/>
      </c>
      <c r="GL22" s="40" t="str">
        <f t="shared" si="63"/>
        <v/>
      </c>
      <c r="GM22" s="18"/>
      <c r="GN22" s="18"/>
      <c r="GO22" s="18"/>
      <c r="GP22" s="18"/>
      <c r="GQ22" s="18"/>
      <c r="GR22" s="18"/>
      <c r="GS22" s="18"/>
      <c r="GT22" s="18"/>
      <c r="GU22" s="18"/>
      <c r="GV22" s="18"/>
      <c r="GW22" s="18"/>
      <c r="GX22" s="18"/>
      <c r="GY22" s="18"/>
      <c r="GZ22" s="18"/>
      <c r="HA22" s="18"/>
      <c r="HB22" s="18"/>
      <c r="HC22" s="18"/>
      <c r="HD22" s="18"/>
      <c r="HE22" s="18"/>
      <c r="HF22" s="18"/>
      <c r="HG22" s="11" t="str">
        <f t="shared" si="64"/>
        <v/>
      </c>
      <c r="HH22" s="11" t="str">
        <f t="shared" si="65"/>
        <v/>
      </c>
      <c r="HI22" s="11" t="str">
        <f t="shared" si="66"/>
        <v/>
      </c>
      <c r="HJ22" s="11" t="str">
        <f t="shared" si="67"/>
        <v/>
      </c>
      <c r="HK22" s="11" t="str">
        <f t="shared" si="68"/>
        <v/>
      </c>
      <c r="HL22" s="11" t="str">
        <f t="shared" si="69"/>
        <v/>
      </c>
      <c r="HM22" s="11" t="str">
        <f t="shared" si="70"/>
        <v/>
      </c>
      <c r="HN22" s="11" t="str">
        <f t="shared" si="71"/>
        <v/>
      </c>
      <c r="HO22" s="17"/>
      <c r="HP22" s="17"/>
      <c r="HQ22" s="17"/>
      <c r="HR22" s="17"/>
      <c r="HS22" s="17"/>
      <c r="HT22" s="17"/>
      <c r="HU22" s="17"/>
      <c r="HV22" s="17"/>
      <c r="HW22" s="17"/>
      <c r="HX22" s="17"/>
      <c r="HY22" s="17"/>
      <c r="HZ22" s="17"/>
      <c r="IA22" s="17"/>
      <c r="IB22" s="17"/>
      <c r="IC22" s="17"/>
      <c r="ID22" s="17"/>
      <c r="IE22" s="17"/>
      <c r="IF22" s="17"/>
      <c r="IG22" s="17"/>
      <c r="IH22" s="17"/>
      <c r="II22" s="40" t="str">
        <f t="shared" si="72"/>
        <v/>
      </c>
      <c r="IJ22" s="40" t="str">
        <f t="shared" si="73"/>
        <v/>
      </c>
      <c r="IK22" s="40" t="str">
        <f t="shared" si="74"/>
        <v/>
      </c>
      <c r="IL22" s="40" t="str">
        <f t="shared" si="75"/>
        <v/>
      </c>
      <c r="IM22" s="40" t="str">
        <f t="shared" si="76"/>
        <v/>
      </c>
      <c r="IN22" s="40" t="str">
        <f t="shared" si="77"/>
        <v/>
      </c>
      <c r="IO22" s="40" t="str">
        <f t="shared" si="78"/>
        <v/>
      </c>
      <c r="IP22" s="40" t="str">
        <f t="shared" si="79"/>
        <v/>
      </c>
      <c r="IQ22" s="18"/>
      <c r="IR22" s="18"/>
      <c r="IS22" s="18"/>
      <c r="IT22" s="18"/>
      <c r="IU22" s="18"/>
      <c r="IV22" s="18"/>
      <c r="IW22" s="18"/>
      <c r="IX22" s="18"/>
      <c r="IY22" s="18"/>
      <c r="IZ22" s="18"/>
      <c r="JA22" s="18"/>
      <c r="JB22" s="18"/>
      <c r="JC22" s="18"/>
      <c r="JD22" s="18"/>
      <c r="JE22" s="18"/>
      <c r="JF22" s="18"/>
      <c r="JG22" s="18"/>
      <c r="JH22" s="18"/>
      <c r="JI22" s="18"/>
      <c r="JJ22" s="18"/>
      <c r="JK22" s="11" t="str">
        <f t="shared" si="80"/>
        <v/>
      </c>
      <c r="JL22" s="11" t="str">
        <f t="shared" si="81"/>
        <v/>
      </c>
      <c r="JM22" s="11" t="str">
        <f t="shared" si="82"/>
        <v/>
      </c>
      <c r="JN22" s="11" t="str">
        <f t="shared" si="83"/>
        <v/>
      </c>
      <c r="JO22" s="11" t="str">
        <f t="shared" si="84"/>
        <v/>
      </c>
      <c r="JP22" s="11" t="str">
        <f t="shared" si="85"/>
        <v/>
      </c>
      <c r="JQ22" s="11" t="str">
        <f t="shared" si="86"/>
        <v/>
      </c>
      <c r="JR22" s="11" t="str">
        <f t="shared" si="87"/>
        <v/>
      </c>
      <c r="JS22" s="17"/>
      <c r="JT22" s="17"/>
      <c r="JU22" s="17"/>
      <c r="JV22" s="17"/>
      <c r="JW22" s="17"/>
      <c r="JX22" s="17"/>
      <c r="JY22" s="17"/>
      <c r="JZ22" s="17"/>
      <c r="KA22" s="17"/>
      <c r="KB22" s="17"/>
      <c r="KC22" s="17"/>
      <c r="KD22" s="17"/>
      <c r="KE22" s="17"/>
      <c r="KF22" s="17"/>
      <c r="KG22" s="17"/>
      <c r="KH22" s="17"/>
      <c r="KI22" s="17"/>
      <c r="KJ22" s="17"/>
      <c r="KK22" s="17"/>
      <c r="KL22" s="17"/>
      <c r="KM22" s="40" t="str">
        <f t="shared" si="88"/>
        <v/>
      </c>
      <c r="KN22" s="40" t="str">
        <f t="shared" si="89"/>
        <v/>
      </c>
      <c r="KO22" s="40" t="str">
        <f t="shared" si="90"/>
        <v/>
      </c>
      <c r="KP22" s="40" t="str">
        <f t="shared" si="91"/>
        <v/>
      </c>
      <c r="KQ22" s="40" t="str">
        <f t="shared" si="92"/>
        <v/>
      </c>
      <c r="KR22" s="40" t="str">
        <f t="shared" si="93"/>
        <v/>
      </c>
      <c r="KS22" s="40" t="str">
        <f t="shared" si="94"/>
        <v/>
      </c>
      <c r="KT22" s="40" t="str">
        <f t="shared" si="95"/>
        <v/>
      </c>
      <c r="KU22" s="18"/>
      <c r="KV22" s="18"/>
      <c r="KW22" s="18"/>
      <c r="KX22" s="18"/>
      <c r="KY22" s="18"/>
      <c r="KZ22" s="18"/>
      <c r="LA22" s="18"/>
      <c r="LB22" s="18"/>
      <c r="LC22" s="18"/>
      <c r="LD22" s="18"/>
      <c r="LE22" s="18"/>
      <c r="LF22" s="18"/>
      <c r="LG22" s="18"/>
      <c r="LH22" s="18"/>
      <c r="LI22" s="18"/>
      <c r="LJ22" s="18"/>
      <c r="LK22" s="18"/>
      <c r="LL22" s="18"/>
      <c r="LM22" s="18"/>
      <c r="LN22" s="18"/>
      <c r="LO22" s="11" t="str">
        <f t="shared" si="96"/>
        <v/>
      </c>
      <c r="LP22" s="11" t="str">
        <f t="shared" si="97"/>
        <v/>
      </c>
      <c r="LQ22" s="11" t="str">
        <f t="shared" si="98"/>
        <v/>
      </c>
      <c r="LR22" s="11" t="str">
        <f t="shared" si="99"/>
        <v/>
      </c>
      <c r="LS22" s="11" t="str">
        <f t="shared" si="100"/>
        <v/>
      </c>
      <c r="LT22" s="11" t="str">
        <f t="shared" si="101"/>
        <v/>
      </c>
      <c r="LU22" s="11" t="str">
        <f t="shared" si="102"/>
        <v/>
      </c>
      <c r="LV22" s="11" t="str">
        <f t="shared" si="103"/>
        <v/>
      </c>
      <c r="LW22" s="17"/>
      <c r="LX22" s="17"/>
      <c r="LY22" s="17"/>
      <c r="LZ22" s="17"/>
      <c r="MA22" s="17"/>
      <c r="MB22" s="17"/>
      <c r="MC22" s="17"/>
      <c r="MD22" s="17"/>
      <c r="ME22" s="17"/>
      <c r="MF22" s="17"/>
      <c r="MG22" s="17"/>
      <c r="MH22" s="17"/>
      <c r="MI22" s="17"/>
      <c r="MJ22" s="17"/>
      <c r="MK22" s="17"/>
      <c r="ML22" s="17"/>
      <c r="MM22" s="17"/>
      <c r="MN22" s="17"/>
      <c r="MO22" s="17"/>
      <c r="MP22" s="17"/>
      <c r="MQ22" s="40" t="str">
        <f t="shared" si="104"/>
        <v/>
      </c>
      <c r="MR22" s="40" t="str">
        <f t="shared" si="105"/>
        <v/>
      </c>
      <c r="MS22" s="40" t="str">
        <f t="shared" si="106"/>
        <v/>
      </c>
      <c r="MT22" s="40" t="str">
        <f t="shared" si="107"/>
        <v/>
      </c>
      <c r="MU22" s="40" t="str">
        <f t="shared" si="108"/>
        <v/>
      </c>
      <c r="MV22" s="40" t="str">
        <f t="shared" si="109"/>
        <v/>
      </c>
      <c r="MW22" s="40" t="str">
        <f t="shared" si="110"/>
        <v/>
      </c>
      <c r="MX22" s="40" t="str">
        <f t="shared" si="111"/>
        <v/>
      </c>
      <c r="MY22" s="18"/>
      <c r="MZ22" s="18"/>
      <c r="NA22" s="18"/>
      <c r="NB22" s="18"/>
      <c r="NC22" s="18"/>
      <c r="ND22" s="18"/>
      <c r="NE22" s="18"/>
      <c r="NF22" s="18"/>
      <c r="NG22" s="18"/>
      <c r="NH22" s="18"/>
      <c r="NI22" s="18"/>
      <c r="NJ22" s="18"/>
      <c r="NK22" s="18"/>
      <c r="NL22" s="18"/>
      <c r="NM22" s="18"/>
      <c r="NN22" s="18"/>
      <c r="NO22" s="18"/>
      <c r="NP22" s="18"/>
      <c r="NQ22" s="18"/>
      <c r="NR22" s="18"/>
      <c r="NS22" s="11" t="str">
        <f t="shared" si="112"/>
        <v/>
      </c>
      <c r="NT22" s="11" t="str">
        <f t="shared" si="113"/>
        <v/>
      </c>
      <c r="NU22" s="11" t="str">
        <f t="shared" si="114"/>
        <v/>
      </c>
      <c r="NV22" s="11" t="str">
        <f t="shared" si="115"/>
        <v/>
      </c>
      <c r="NW22" s="11" t="str">
        <f t="shared" si="116"/>
        <v/>
      </c>
      <c r="NX22" s="11" t="str">
        <f t="shared" si="117"/>
        <v/>
      </c>
      <c r="NY22" s="11" t="str">
        <f t="shared" si="118"/>
        <v/>
      </c>
      <c r="NZ22" s="11" t="str">
        <f t="shared" si="119"/>
        <v/>
      </c>
      <c r="OA22" s="17"/>
      <c r="OB22" s="17"/>
      <c r="OC22" s="17"/>
      <c r="OD22" s="17"/>
      <c r="OE22" s="17"/>
      <c r="OF22" s="17"/>
      <c r="OG22" s="17"/>
      <c r="OH22" s="17"/>
      <c r="OI22" s="17"/>
      <c r="OJ22" s="17"/>
      <c r="OK22" s="17"/>
      <c r="OL22" s="17"/>
      <c r="OM22" s="17"/>
      <c r="ON22" s="17"/>
      <c r="OO22" s="17"/>
      <c r="OP22" s="17"/>
      <c r="OQ22" s="17"/>
      <c r="OR22" s="17"/>
      <c r="OS22" s="17"/>
      <c r="OT22" s="17"/>
      <c r="OU22" s="40" t="str">
        <f t="shared" si="120"/>
        <v/>
      </c>
      <c r="OV22" s="40" t="str">
        <f t="shared" si="121"/>
        <v/>
      </c>
      <c r="OW22" s="40" t="str">
        <f t="shared" si="122"/>
        <v/>
      </c>
      <c r="OX22" s="40" t="str">
        <f t="shared" si="123"/>
        <v/>
      </c>
      <c r="OY22" s="40" t="str">
        <f t="shared" si="124"/>
        <v/>
      </c>
      <c r="OZ22" s="40" t="str">
        <f t="shared" si="125"/>
        <v/>
      </c>
      <c r="PA22" s="40" t="str">
        <f t="shared" si="126"/>
        <v/>
      </c>
      <c r="PB22" s="40" t="str">
        <f t="shared" si="127"/>
        <v/>
      </c>
      <c r="PC22" s="18"/>
      <c r="PD22" s="18"/>
      <c r="PE22" s="18"/>
      <c r="PF22" s="18"/>
      <c r="PG22" s="18"/>
      <c r="PH22" s="18"/>
      <c r="PI22" s="18"/>
      <c r="PJ22" s="18"/>
      <c r="PK22" s="18"/>
      <c r="PL22" s="18"/>
      <c r="PM22" s="18"/>
      <c r="PN22" s="18"/>
      <c r="PO22" s="18"/>
      <c r="PP22" s="18"/>
      <c r="PQ22" s="18"/>
      <c r="PR22" s="18"/>
      <c r="PS22" s="18"/>
      <c r="PT22" s="18"/>
      <c r="PU22" s="18"/>
      <c r="PV22" s="18"/>
      <c r="PW22" s="11" t="str">
        <f t="shared" si="128"/>
        <v/>
      </c>
      <c r="PX22" s="11" t="str">
        <f t="shared" si="129"/>
        <v/>
      </c>
      <c r="PY22" s="11" t="str">
        <f t="shared" si="130"/>
        <v/>
      </c>
      <c r="PZ22" s="11" t="str">
        <f t="shared" si="131"/>
        <v/>
      </c>
      <c r="QA22" s="11" t="str">
        <f t="shared" si="132"/>
        <v/>
      </c>
      <c r="QB22" s="11" t="str">
        <f t="shared" si="133"/>
        <v/>
      </c>
      <c r="QC22" s="11" t="str">
        <f t="shared" si="134"/>
        <v/>
      </c>
      <c r="QD22" s="11" t="str">
        <f t="shared" si="135"/>
        <v/>
      </c>
      <c r="QE22" s="22">
        <f t="shared" si="136"/>
        <v>7.6</v>
      </c>
      <c r="QF22" s="22">
        <f t="shared" si="137"/>
        <v>0.95</v>
      </c>
      <c r="QG22" s="22">
        <f t="shared" si="138"/>
        <v>0</v>
      </c>
      <c r="QH22" s="22">
        <f t="shared" si="139"/>
        <v>0.15</v>
      </c>
      <c r="QI22" s="22">
        <f t="shared" si="140"/>
        <v>6.3</v>
      </c>
      <c r="QJ22" s="22">
        <f t="shared" si="141"/>
        <v>0.9</v>
      </c>
      <c r="QK22" s="22">
        <f t="shared" si="142"/>
        <v>0</v>
      </c>
      <c r="QL22" s="22">
        <f t="shared" si="143"/>
        <v>0.15</v>
      </c>
      <c r="QM22" s="22">
        <f t="shared" si="144"/>
        <v>7.7</v>
      </c>
      <c r="QN22" s="22">
        <f t="shared" si="145"/>
        <v>0.6</v>
      </c>
      <c r="QO22" s="22">
        <f t="shared" si="146"/>
        <v>0</v>
      </c>
      <c r="QP22" s="22">
        <f t="shared" si="147"/>
        <v>0</v>
      </c>
      <c r="QQ22" s="22">
        <f t="shared" si="148"/>
        <v>0</v>
      </c>
      <c r="QR22" s="22">
        <f t="shared" si="149"/>
        <v>0</v>
      </c>
      <c r="QS22" s="22">
        <f t="shared" si="150"/>
        <v>0</v>
      </c>
      <c r="QT22" s="22">
        <f t="shared" si="151"/>
        <v>0</v>
      </c>
      <c r="QU22" s="22">
        <f t="shared" si="152"/>
        <v>0</v>
      </c>
      <c r="QV22" s="22">
        <f t="shared" si="153"/>
        <v>0</v>
      </c>
      <c r="QW22" s="22">
        <f t="shared" si="154"/>
        <v>0</v>
      </c>
      <c r="QX22" s="22">
        <f t="shared" si="155"/>
        <v>0</v>
      </c>
      <c r="QY22" s="27" t="s">
        <v>46</v>
      </c>
      <c r="QZ22" s="40">
        <f t="shared" si="156"/>
        <v>1.85</v>
      </c>
      <c r="RA22" s="40">
        <f t="shared" si="157"/>
        <v>16.05</v>
      </c>
      <c r="RB22" s="40">
        <f t="shared" si="158"/>
        <v>8.3000000000000007</v>
      </c>
      <c r="RC22" s="40">
        <f t="shared" si="159"/>
        <v>2.4500000000000002</v>
      </c>
      <c r="RD22" s="40">
        <f t="shared" si="160"/>
        <v>24.35</v>
      </c>
      <c r="RE22" s="40" t="str">
        <f t="shared" si="161"/>
        <v/>
      </c>
      <c r="RF22" s="40" t="str">
        <f t="shared" si="162"/>
        <v/>
      </c>
      <c r="RG22" s="40">
        <f t="shared" si="163"/>
        <v>16.05</v>
      </c>
    </row>
    <row r="23" spans="1:475" x14ac:dyDescent="0.2">
      <c r="A23" s="4" t="str">
        <f t="shared" si="164"/>
        <v/>
      </c>
      <c r="B23" s="5" t="s">
        <v>179</v>
      </c>
      <c r="C23" s="4" t="s">
        <v>3</v>
      </c>
      <c r="D23" s="4">
        <v>2004</v>
      </c>
      <c r="E23" s="9">
        <f t="shared" si="0"/>
        <v>33.200003320003312</v>
      </c>
      <c r="F23" s="3" t="str">
        <f t="shared" si="1"/>
        <v/>
      </c>
      <c r="G23" s="3" t="str">
        <f t="shared" si="2"/>
        <v/>
      </c>
      <c r="H23" s="36" t="str">
        <f t="shared" si="3"/>
        <v/>
      </c>
      <c r="I23" s="3" t="str">
        <f t="shared" si="4"/>
        <v/>
      </c>
      <c r="J23" s="8">
        <f>IF(COUNT(AQ23,BT23,CW23)&gt;0,LARGE((AQ23,BT23,CW23),1),0)</f>
        <v>33.199999999999996</v>
      </c>
      <c r="K23" s="8" t="str">
        <f t="shared" si="5"/>
        <v>2022 Nationals</v>
      </c>
      <c r="L23" s="8">
        <f>IF(COUNT(AQ23,BT23,CW23)&gt;1,LARGE((AQ23,BT23,CW23),2),0)</f>
        <v>0</v>
      </c>
      <c r="M23" s="8" t="str">
        <f t="shared" si="6"/>
        <v/>
      </c>
      <c r="N23" s="8">
        <f>IF(COUNT(AR23,BU23,CX23)&gt;0,LARGE((AR23,BU23,CX23),1),0)</f>
        <v>0</v>
      </c>
      <c r="O23" s="8" t="str">
        <f t="shared" si="7"/>
        <v/>
      </c>
      <c r="P23" s="8">
        <f t="shared" si="8"/>
        <v>0</v>
      </c>
      <c r="Q23" s="8" t="str">
        <f t="shared" si="9"/>
        <v/>
      </c>
      <c r="R23" s="8" t="str">
        <f t="shared" si="10"/>
        <v/>
      </c>
      <c r="S23" s="11" t="str">
        <f t="shared" si="11"/>
        <v/>
      </c>
      <c r="T23" s="8" t="str">
        <f t="shared" si="12"/>
        <v/>
      </c>
      <c r="U23" s="19">
        <v>16.7</v>
      </c>
      <c r="V23" s="19">
        <v>1.8</v>
      </c>
      <c r="W23" s="19">
        <v>1.2</v>
      </c>
      <c r="X23" s="19">
        <v>0</v>
      </c>
      <c r="Y23" s="19">
        <v>16.899999999999999</v>
      </c>
      <c r="Z23" s="19">
        <v>2</v>
      </c>
      <c r="AA23" s="19">
        <v>3</v>
      </c>
      <c r="AB23" s="19">
        <v>0</v>
      </c>
      <c r="AC23" s="19"/>
      <c r="AD23" s="19"/>
      <c r="AE23" s="19"/>
      <c r="AF23" s="19"/>
      <c r="AG23" s="19"/>
      <c r="AH23" s="19"/>
      <c r="AI23" s="19"/>
      <c r="AJ23" s="19"/>
      <c r="AK23" s="19"/>
      <c r="AL23" s="19"/>
      <c r="AM23" s="19"/>
      <c r="AN23" s="19"/>
      <c r="AO23" s="27"/>
      <c r="AP23" s="40">
        <f t="shared" si="13"/>
        <v>3.8</v>
      </c>
      <c r="AQ23" s="40">
        <f t="shared" si="14"/>
        <v>33.199999999999996</v>
      </c>
      <c r="AR23" s="40" t="str">
        <f t="shared" si="15"/>
        <v/>
      </c>
      <c r="AS23" s="40">
        <f t="shared" si="16"/>
        <v>3.8</v>
      </c>
      <c r="AT23" s="40">
        <f t="shared" si="17"/>
        <v>33.199999999999996</v>
      </c>
      <c r="AU23" s="40" t="str">
        <f t="shared" si="18"/>
        <v/>
      </c>
      <c r="AV23" s="40" t="str">
        <f t="shared" si="19"/>
        <v/>
      </c>
      <c r="AW23" s="40">
        <f t="shared" si="20"/>
        <v>33.199999999999996</v>
      </c>
      <c r="AX23" s="18"/>
      <c r="AY23" s="18"/>
      <c r="AZ23" s="18"/>
      <c r="BA23" s="18"/>
      <c r="BB23" s="18"/>
      <c r="BC23" s="18"/>
      <c r="BD23" s="18"/>
      <c r="BE23" s="18"/>
      <c r="BF23" s="18"/>
      <c r="BG23" s="18"/>
      <c r="BH23" s="18"/>
      <c r="BI23" s="18"/>
      <c r="BJ23" s="18"/>
      <c r="BK23" s="18"/>
      <c r="BL23" s="18"/>
      <c r="BM23" s="18"/>
      <c r="BN23" s="18"/>
      <c r="BO23" s="18"/>
      <c r="BP23" s="18"/>
      <c r="BQ23" s="18"/>
      <c r="BR23" s="28"/>
      <c r="BS23" s="11" t="str">
        <f t="shared" si="21"/>
        <v/>
      </c>
      <c r="BT23" s="11" t="str">
        <f t="shared" si="22"/>
        <v/>
      </c>
      <c r="BU23" s="11" t="str">
        <f t="shared" si="23"/>
        <v/>
      </c>
      <c r="BV23" s="11" t="str">
        <f t="shared" si="24"/>
        <v/>
      </c>
      <c r="BW23" s="11" t="str">
        <f t="shared" si="25"/>
        <v/>
      </c>
      <c r="BX23" s="11" t="str">
        <f t="shared" si="26"/>
        <v/>
      </c>
      <c r="BY23" s="11" t="str">
        <f t="shared" si="27"/>
        <v/>
      </c>
      <c r="BZ23" s="11" t="str">
        <f t="shared" si="28"/>
        <v/>
      </c>
      <c r="CA23" s="19"/>
      <c r="CB23" s="19"/>
      <c r="CC23" s="19"/>
      <c r="CD23" s="19"/>
      <c r="CE23" s="19"/>
      <c r="CF23" s="19"/>
      <c r="CG23" s="19"/>
      <c r="CH23" s="19"/>
      <c r="CI23" s="19"/>
      <c r="CJ23" s="19"/>
      <c r="CK23" s="19"/>
      <c r="CL23" s="19"/>
      <c r="CM23" s="19"/>
      <c r="CN23" s="19"/>
      <c r="CO23" s="19"/>
      <c r="CP23" s="19"/>
      <c r="CQ23" s="19"/>
      <c r="CR23" s="19"/>
      <c r="CS23" s="19"/>
      <c r="CT23" s="19"/>
      <c r="CU23" s="27"/>
      <c r="CV23" s="40" t="str">
        <f t="shared" si="29"/>
        <v/>
      </c>
      <c r="CW23" s="40" t="str">
        <f t="shared" si="30"/>
        <v/>
      </c>
      <c r="CX23" s="40" t="str">
        <f t="shared" si="31"/>
        <v/>
      </c>
      <c r="CY23" s="40" t="str">
        <f t="shared" si="32"/>
        <v/>
      </c>
      <c r="CZ23" s="40" t="str">
        <f t="shared" si="33"/>
        <v/>
      </c>
      <c r="DA23" s="40" t="str">
        <f t="shared" si="34"/>
        <v/>
      </c>
      <c r="DB23" s="40" t="str">
        <f t="shared" si="35"/>
        <v/>
      </c>
      <c r="DC23" s="40" t="str">
        <f t="shared" si="36"/>
        <v/>
      </c>
      <c r="DD23" s="50" t="str">
        <f t="shared" si="37"/>
        <v/>
      </c>
      <c r="DE23" s="50" t="str">
        <f t="shared" si="38"/>
        <v/>
      </c>
      <c r="DF23" s="50" t="str">
        <f t="shared" si="39"/>
        <v/>
      </c>
      <c r="DG23" s="17"/>
      <c r="DH23" s="17"/>
      <c r="DI23" s="17"/>
      <c r="DJ23" s="17"/>
      <c r="DK23" s="17"/>
      <c r="DL23" s="17"/>
      <c r="DM23" s="17"/>
      <c r="DN23" s="17"/>
      <c r="DO23" s="17"/>
      <c r="DP23" s="17"/>
      <c r="DQ23" s="17"/>
      <c r="DR23" s="17"/>
      <c r="DS23" s="17"/>
      <c r="DT23" s="17"/>
      <c r="DU23" s="17"/>
      <c r="DV23" s="17"/>
      <c r="DW23" s="17"/>
      <c r="DX23" s="17"/>
      <c r="DY23" s="17"/>
      <c r="DZ23" s="17"/>
      <c r="EA23" s="40" t="str">
        <f t="shared" si="40"/>
        <v/>
      </c>
      <c r="EB23" s="40" t="str">
        <f t="shared" si="41"/>
        <v/>
      </c>
      <c r="EC23" s="40" t="str">
        <f t="shared" si="42"/>
        <v/>
      </c>
      <c r="ED23" s="40" t="str">
        <f t="shared" si="43"/>
        <v/>
      </c>
      <c r="EE23" s="40" t="str">
        <f t="shared" si="44"/>
        <v/>
      </c>
      <c r="EF23" s="40" t="str">
        <f t="shared" si="45"/>
        <v/>
      </c>
      <c r="EG23" s="40" t="str">
        <f t="shared" si="46"/>
        <v/>
      </c>
      <c r="EH23" s="40" t="str">
        <f t="shared" si="47"/>
        <v/>
      </c>
      <c r="EI23" s="18"/>
      <c r="EJ23" s="18"/>
      <c r="EK23" s="18"/>
      <c r="EL23" s="18"/>
      <c r="EM23" s="18"/>
      <c r="EN23" s="18"/>
      <c r="EO23" s="18"/>
      <c r="EP23" s="18"/>
      <c r="EQ23" s="18"/>
      <c r="ER23" s="18"/>
      <c r="ES23" s="18"/>
      <c r="ET23" s="18"/>
      <c r="EU23" s="18"/>
      <c r="EV23" s="18"/>
      <c r="EW23" s="18"/>
      <c r="EX23" s="18"/>
      <c r="EY23" s="18"/>
      <c r="EZ23" s="18"/>
      <c r="FA23" s="18"/>
      <c r="FB23" s="18"/>
      <c r="FC23" s="11" t="str">
        <f t="shared" si="48"/>
        <v/>
      </c>
      <c r="FD23" s="11" t="str">
        <f t="shared" si="49"/>
        <v/>
      </c>
      <c r="FE23" s="11" t="str">
        <f t="shared" si="50"/>
        <v/>
      </c>
      <c r="FF23" s="11" t="str">
        <f t="shared" si="51"/>
        <v/>
      </c>
      <c r="FG23" s="11" t="str">
        <f t="shared" si="52"/>
        <v/>
      </c>
      <c r="FH23" s="11" t="str">
        <f t="shared" si="53"/>
        <v/>
      </c>
      <c r="FI23" s="11" t="str">
        <f t="shared" si="54"/>
        <v/>
      </c>
      <c r="FJ23" s="11" t="str">
        <f t="shared" si="55"/>
        <v/>
      </c>
      <c r="FK23" s="17"/>
      <c r="FL23" s="17"/>
      <c r="FM23" s="17"/>
      <c r="FN23" s="17"/>
      <c r="FO23" s="17"/>
      <c r="FP23" s="17"/>
      <c r="FQ23" s="17"/>
      <c r="FR23" s="17"/>
      <c r="FS23" s="17"/>
      <c r="FT23" s="17"/>
      <c r="FU23" s="17"/>
      <c r="FV23" s="17"/>
      <c r="FW23" s="17"/>
      <c r="FX23" s="17"/>
      <c r="FY23" s="17"/>
      <c r="FZ23" s="17"/>
      <c r="GA23" s="17"/>
      <c r="GB23" s="17"/>
      <c r="GC23" s="17"/>
      <c r="GD23" s="17"/>
      <c r="GE23" s="40" t="str">
        <f t="shared" si="56"/>
        <v/>
      </c>
      <c r="GF23" s="40" t="str">
        <f t="shared" si="57"/>
        <v/>
      </c>
      <c r="GG23" s="40" t="str">
        <f t="shared" si="58"/>
        <v/>
      </c>
      <c r="GH23" s="40" t="str">
        <f t="shared" si="59"/>
        <v/>
      </c>
      <c r="GI23" s="40" t="str">
        <f t="shared" si="60"/>
        <v/>
      </c>
      <c r="GJ23" s="40" t="str">
        <f t="shared" si="61"/>
        <v/>
      </c>
      <c r="GK23" s="40" t="str">
        <f t="shared" si="62"/>
        <v/>
      </c>
      <c r="GL23" s="40" t="str">
        <f t="shared" si="63"/>
        <v/>
      </c>
      <c r="GM23" s="18"/>
      <c r="GN23" s="18"/>
      <c r="GO23" s="18"/>
      <c r="GP23" s="18"/>
      <c r="GQ23" s="18"/>
      <c r="GR23" s="18"/>
      <c r="GS23" s="18"/>
      <c r="GT23" s="18"/>
      <c r="GU23" s="18"/>
      <c r="GV23" s="18"/>
      <c r="GW23" s="18"/>
      <c r="GX23" s="18"/>
      <c r="GY23" s="18"/>
      <c r="GZ23" s="18"/>
      <c r="HA23" s="18"/>
      <c r="HB23" s="18"/>
      <c r="HC23" s="18"/>
      <c r="HD23" s="18"/>
      <c r="HE23" s="18"/>
      <c r="HF23" s="18"/>
      <c r="HG23" s="11" t="str">
        <f t="shared" si="64"/>
        <v/>
      </c>
      <c r="HH23" s="11" t="str">
        <f t="shared" si="65"/>
        <v/>
      </c>
      <c r="HI23" s="11" t="str">
        <f t="shared" si="66"/>
        <v/>
      </c>
      <c r="HJ23" s="11" t="str">
        <f t="shared" si="67"/>
        <v/>
      </c>
      <c r="HK23" s="11" t="str">
        <f t="shared" si="68"/>
        <v/>
      </c>
      <c r="HL23" s="11" t="str">
        <f t="shared" si="69"/>
        <v/>
      </c>
      <c r="HM23" s="11" t="str">
        <f t="shared" si="70"/>
        <v/>
      </c>
      <c r="HN23" s="11" t="str">
        <f t="shared" si="71"/>
        <v/>
      </c>
      <c r="HO23" s="17"/>
      <c r="HP23" s="17"/>
      <c r="HQ23" s="17"/>
      <c r="HR23" s="17"/>
      <c r="HS23" s="17"/>
      <c r="HT23" s="17"/>
      <c r="HU23" s="17"/>
      <c r="HV23" s="17"/>
      <c r="HW23" s="17"/>
      <c r="HX23" s="17"/>
      <c r="HY23" s="17"/>
      <c r="HZ23" s="17"/>
      <c r="IA23" s="17"/>
      <c r="IB23" s="17"/>
      <c r="IC23" s="17"/>
      <c r="ID23" s="17"/>
      <c r="IE23" s="17"/>
      <c r="IF23" s="17"/>
      <c r="IG23" s="17"/>
      <c r="IH23" s="17"/>
      <c r="II23" s="40" t="str">
        <f t="shared" si="72"/>
        <v/>
      </c>
      <c r="IJ23" s="40" t="str">
        <f t="shared" si="73"/>
        <v/>
      </c>
      <c r="IK23" s="40" t="str">
        <f t="shared" si="74"/>
        <v/>
      </c>
      <c r="IL23" s="40" t="str">
        <f t="shared" si="75"/>
        <v/>
      </c>
      <c r="IM23" s="40" t="str">
        <f t="shared" si="76"/>
        <v/>
      </c>
      <c r="IN23" s="40" t="str">
        <f t="shared" si="77"/>
        <v/>
      </c>
      <c r="IO23" s="40" t="str">
        <f t="shared" si="78"/>
        <v/>
      </c>
      <c r="IP23" s="40" t="str">
        <f t="shared" si="79"/>
        <v/>
      </c>
      <c r="IQ23" s="18"/>
      <c r="IR23" s="18"/>
      <c r="IS23" s="18"/>
      <c r="IT23" s="18"/>
      <c r="IU23" s="18"/>
      <c r="IV23" s="18"/>
      <c r="IW23" s="18"/>
      <c r="IX23" s="18"/>
      <c r="IY23" s="18"/>
      <c r="IZ23" s="18"/>
      <c r="JA23" s="18"/>
      <c r="JB23" s="18"/>
      <c r="JC23" s="18"/>
      <c r="JD23" s="18"/>
      <c r="JE23" s="18"/>
      <c r="JF23" s="18"/>
      <c r="JG23" s="18"/>
      <c r="JH23" s="18"/>
      <c r="JI23" s="18"/>
      <c r="JJ23" s="18"/>
      <c r="JK23" s="11" t="str">
        <f t="shared" si="80"/>
        <v/>
      </c>
      <c r="JL23" s="11" t="str">
        <f t="shared" si="81"/>
        <v/>
      </c>
      <c r="JM23" s="11" t="str">
        <f t="shared" si="82"/>
        <v/>
      </c>
      <c r="JN23" s="11" t="str">
        <f t="shared" si="83"/>
        <v/>
      </c>
      <c r="JO23" s="11" t="str">
        <f t="shared" si="84"/>
        <v/>
      </c>
      <c r="JP23" s="11" t="str">
        <f t="shared" si="85"/>
        <v/>
      </c>
      <c r="JQ23" s="11" t="str">
        <f t="shared" si="86"/>
        <v/>
      </c>
      <c r="JR23" s="11" t="str">
        <f t="shared" si="87"/>
        <v/>
      </c>
      <c r="JS23" s="17"/>
      <c r="JT23" s="17"/>
      <c r="JU23" s="17"/>
      <c r="JV23" s="17"/>
      <c r="JW23" s="17"/>
      <c r="JX23" s="17"/>
      <c r="JY23" s="17"/>
      <c r="JZ23" s="17"/>
      <c r="KA23" s="17"/>
      <c r="KB23" s="17"/>
      <c r="KC23" s="17"/>
      <c r="KD23" s="17"/>
      <c r="KE23" s="17"/>
      <c r="KF23" s="17"/>
      <c r="KG23" s="17"/>
      <c r="KH23" s="17"/>
      <c r="KI23" s="17"/>
      <c r="KJ23" s="17"/>
      <c r="KK23" s="17"/>
      <c r="KL23" s="17"/>
      <c r="KM23" s="40" t="str">
        <f t="shared" si="88"/>
        <v/>
      </c>
      <c r="KN23" s="40" t="str">
        <f t="shared" si="89"/>
        <v/>
      </c>
      <c r="KO23" s="40" t="str">
        <f t="shared" si="90"/>
        <v/>
      </c>
      <c r="KP23" s="40" t="str">
        <f t="shared" si="91"/>
        <v/>
      </c>
      <c r="KQ23" s="40" t="str">
        <f t="shared" si="92"/>
        <v/>
      </c>
      <c r="KR23" s="40" t="str">
        <f t="shared" si="93"/>
        <v/>
      </c>
      <c r="KS23" s="40" t="str">
        <f t="shared" si="94"/>
        <v/>
      </c>
      <c r="KT23" s="40" t="str">
        <f t="shared" si="95"/>
        <v/>
      </c>
      <c r="KU23" s="18"/>
      <c r="KV23" s="18"/>
      <c r="KW23" s="18"/>
      <c r="KX23" s="18"/>
      <c r="KY23" s="18"/>
      <c r="KZ23" s="18"/>
      <c r="LA23" s="18"/>
      <c r="LB23" s="18"/>
      <c r="LC23" s="18"/>
      <c r="LD23" s="18"/>
      <c r="LE23" s="18"/>
      <c r="LF23" s="18"/>
      <c r="LG23" s="18"/>
      <c r="LH23" s="18"/>
      <c r="LI23" s="18"/>
      <c r="LJ23" s="18"/>
      <c r="LK23" s="18"/>
      <c r="LL23" s="18"/>
      <c r="LM23" s="18"/>
      <c r="LN23" s="18"/>
      <c r="LO23" s="11" t="str">
        <f t="shared" si="96"/>
        <v/>
      </c>
      <c r="LP23" s="11" t="str">
        <f t="shared" si="97"/>
        <v/>
      </c>
      <c r="LQ23" s="11" t="str">
        <f t="shared" si="98"/>
        <v/>
      </c>
      <c r="LR23" s="11" t="str">
        <f t="shared" si="99"/>
        <v/>
      </c>
      <c r="LS23" s="11" t="str">
        <f t="shared" si="100"/>
        <v/>
      </c>
      <c r="LT23" s="11" t="str">
        <f t="shared" si="101"/>
        <v/>
      </c>
      <c r="LU23" s="11" t="str">
        <f t="shared" si="102"/>
        <v/>
      </c>
      <c r="LV23" s="11" t="str">
        <f t="shared" si="103"/>
        <v/>
      </c>
      <c r="LW23" s="17"/>
      <c r="LX23" s="17"/>
      <c r="LY23" s="17"/>
      <c r="LZ23" s="17"/>
      <c r="MA23" s="17"/>
      <c r="MB23" s="17"/>
      <c r="MC23" s="17"/>
      <c r="MD23" s="17"/>
      <c r="ME23" s="17"/>
      <c r="MF23" s="17"/>
      <c r="MG23" s="17"/>
      <c r="MH23" s="17"/>
      <c r="MI23" s="17"/>
      <c r="MJ23" s="17"/>
      <c r="MK23" s="17"/>
      <c r="ML23" s="17"/>
      <c r="MM23" s="17"/>
      <c r="MN23" s="17"/>
      <c r="MO23" s="17"/>
      <c r="MP23" s="17"/>
      <c r="MQ23" s="40" t="str">
        <f t="shared" si="104"/>
        <v/>
      </c>
      <c r="MR23" s="40" t="str">
        <f t="shared" si="105"/>
        <v/>
      </c>
      <c r="MS23" s="40" t="str">
        <f t="shared" si="106"/>
        <v/>
      </c>
      <c r="MT23" s="40" t="str">
        <f t="shared" si="107"/>
        <v/>
      </c>
      <c r="MU23" s="40" t="str">
        <f t="shared" si="108"/>
        <v/>
      </c>
      <c r="MV23" s="40" t="str">
        <f t="shared" si="109"/>
        <v/>
      </c>
      <c r="MW23" s="40" t="str">
        <f t="shared" si="110"/>
        <v/>
      </c>
      <c r="MX23" s="40" t="str">
        <f t="shared" si="111"/>
        <v/>
      </c>
      <c r="MY23" s="18"/>
      <c r="MZ23" s="18"/>
      <c r="NA23" s="18"/>
      <c r="NB23" s="18"/>
      <c r="NC23" s="18"/>
      <c r="ND23" s="18"/>
      <c r="NE23" s="18"/>
      <c r="NF23" s="18"/>
      <c r="NG23" s="18"/>
      <c r="NH23" s="18"/>
      <c r="NI23" s="18"/>
      <c r="NJ23" s="18"/>
      <c r="NK23" s="18"/>
      <c r="NL23" s="18"/>
      <c r="NM23" s="18"/>
      <c r="NN23" s="18"/>
      <c r="NO23" s="18"/>
      <c r="NP23" s="18"/>
      <c r="NQ23" s="18"/>
      <c r="NR23" s="18"/>
      <c r="NS23" s="11" t="str">
        <f t="shared" si="112"/>
        <v/>
      </c>
      <c r="NT23" s="11" t="str">
        <f t="shared" si="113"/>
        <v/>
      </c>
      <c r="NU23" s="11" t="str">
        <f t="shared" si="114"/>
        <v/>
      </c>
      <c r="NV23" s="11" t="str">
        <f t="shared" si="115"/>
        <v/>
      </c>
      <c r="NW23" s="11" t="str">
        <f t="shared" si="116"/>
        <v/>
      </c>
      <c r="NX23" s="11" t="str">
        <f t="shared" si="117"/>
        <v/>
      </c>
      <c r="NY23" s="11" t="str">
        <f t="shared" si="118"/>
        <v/>
      </c>
      <c r="NZ23" s="11" t="str">
        <f t="shared" si="119"/>
        <v/>
      </c>
      <c r="OA23" s="17"/>
      <c r="OB23" s="17"/>
      <c r="OC23" s="17"/>
      <c r="OD23" s="17"/>
      <c r="OE23" s="17"/>
      <c r="OF23" s="17"/>
      <c r="OG23" s="17"/>
      <c r="OH23" s="17"/>
      <c r="OI23" s="17"/>
      <c r="OJ23" s="17"/>
      <c r="OK23" s="17"/>
      <c r="OL23" s="17"/>
      <c r="OM23" s="17"/>
      <c r="ON23" s="17"/>
      <c r="OO23" s="17"/>
      <c r="OP23" s="17"/>
      <c r="OQ23" s="17"/>
      <c r="OR23" s="17"/>
      <c r="OS23" s="17"/>
      <c r="OT23" s="17"/>
      <c r="OU23" s="40" t="str">
        <f t="shared" si="120"/>
        <v/>
      </c>
      <c r="OV23" s="40" t="str">
        <f t="shared" si="121"/>
        <v/>
      </c>
      <c r="OW23" s="40" t="str">
        <f t="shared" si="122"/>
        <v/>
      </c>
      <c r="OX23" s="40" t="str">
        <f t="shared" si="123"/>
        <v/>
      </c>
      <c r="OY23" s="40" t="str">
        <f t="shared" si="124"/>
        <v/>
      </c>
      <c r="OZ23" s="40" t="str">
        <f t="shared" si="125"/>
        <v/>
      </c>
      <c r="PA23" s="40" t="str">
        <f t="shared" si="126"/>
        <v/>
      </c>
      <c r="PB23" s="40" t="str">
        <f t="shared" si="127"/>
        <v/>
      </c>
      <c r="PC23" s="18"/>
      <c r="PD23" s="18"/>
      <c r="PE23" s="18"/>
      <c r="PF23" s="18"/>
      <c r="PG23" s="18"/>
      <c r="PH23" s="18"/>
      <c r="PI23" s="18"/>
      <c r="PJ23" s="18"/>
      <c r="PK23" s="18"/>
      <c r="PL23" s="18"/>
      <c r="PM23" s="18"/>
      <c r="PN23" s="18"/>
      <c r="PO23" s="18"/>
      <c r="PP23" s="18"/>
      <c r="PQ23" s="18"/>
      <c r="PR23" s="18"/>
      <c r="PS23" s="18"/>
      <c r="PT23" s="18"/>
      <c r="PU23" s="18"/>
      <c r="PV23" s="18"/>
      <c r="PW23" s="11" t="str">
        <f t="shared" si="128"/>
        <v/>
      </c>
      <c r="PX23" s="11" t="str">
        <f t="shared" si="129"/>
        <v/>
      </c>
      <c r="PY23" s="11" t="str">
        <f t="shared" si="130"/>
        <v/>
      </c>
      <c r="PZ23" s="11" t="str">
        <f t="shared" si="131"/>
        <v/>
      </c>
      <c r="QA23" s="11" t="str">
        <f t="shared" si="132"/>
        <v/>
      </c>
      <c r="QB23" s="11" t="str">
        <f t="shared" si="133"/>
        <v/>
      </c>
      <c r="QC23" s="11" t="str">
        <f t="shared" si="134"/>
        <v/>
      </c>
      <c r="QD23" s="11" t="str">
        <f t="shared" si="135"/>
        <v/>
      </c>
      <c r="QE23" s="22">
        <f t="shared" si="136"/>
        <v>0</v>
      </c>
      <c r="QF23" s="22">
        <f t="shared" si="137"/>
        <v>0</v>
      </c>
      <c r="QG23" s="22">
        <f t="shared" si="138"/>
        <v>0</v>
      </c>
      <c r="QH23" s="22">
        <f t="shared" si="139"/>
        <v>0</v>
      </c>
      <c r="QI23" s="22">
        <f t="shared" si="140"/>
        <v>0</v>
      </c>
      <c r="QJ23" s="22">
        <f t="shared" si="141"/>
        <v>0</v>
      </c>
      <c r="QK23" s="22">
        <f t="shared" si="142"/>
        <v>0</v>
      </c>
      <c r="QL23" s="22">
        <f t="shared" si="143"/>
        <v>0</v>
      </c>
      <c r="QM23" s="22">
        <f t="shared" si="144"/>
        <v>0</v>
      </c>
      <c r="QN23" s="22">
        <f t="shared" si="145"/>
        <v>0</v>
      </c>
      <c r="QO23" s="22">
        <f t="shared" si="146"/>
        <v>0</v>
      </c>
      <c r="QP23" s="22">
        <f t="shared" si="147"/>
        <v>0</v>
      </c>
      <c r="QQ23" s="22">
        <f t="shared" si="148"/>
        <v>0</v>
      </c>
      <c r="QR23" s="22">
        <f t="shared" si="149"/>
        <v>0</v>
      </c>
      <c r="QS23" s="22">
        <f t="shared" si="150"/>
        <v>0</v>
      </c>
      <c r="QT23" s="22">
        <f t="shared" si="151"/>
        <v>0</v>
      </c>
      <c r="QU23" s="22">
        <f t="shared" si="152"/>
        <v>0</v>
      </c>
      <c r="QV23" s="22">
        <f t="shared" si="153"/>
        <v>0</v>
      </c>
      <c r="QW23" s="22">
        <f t="shared" si="154"/>
        <v>0</v>
      </c>
      <c r="QX23" s="22">
        <f t="shared" si="155"/>
        <v>0</v>
      </c>
      <c r="QY23" s="27" t="s">
        <v>46</v>
      </c>
      <c r="QZ23" s="40" t="str">
        <f t="shared" si="156"/>
        <v/>
      </c>
      <c r="RA23" s="40" t="str">
        <f t="shared" si="157"/>
        <v/>
      </c>
      <c r="RB23" s="40" t="str">
        <f t="shared" si="158"/>
        <v/>
      </c>
      <c r="RC23" s="40" t="str">
        <f t="shared" si="159"/>
        <v/>
      </c>
      <c r="RD23" s="40" t="str">
        <f t="shared" si="160"/>
        <v/>
      </c>
      <c r="RE23" s="40" t="str">
        <f t="shared" si="161"/>
        <v/>
      </c>
      <c r="RF23" s="40" t="str">
        <f t="shared" si="162"/>
        <v/>
      </c>
      <c r="RG23" s="40" t="str">
        <f t="shared" si="163"/>
        <v/>
      </c>
    </row>
    <row r="24" spans="1:475" ht="17" x14ac:dyDescent="0.2">
      <c r="R24" s="10"/>
      <c r="S24" s="10"/>
      <c r="T24" s="10"/>
    </row>
    <row r="25" spans="1:475" ht="17" x14ac:dyDescent="0.2">
      <c r="R25" s="10"/>
      <c r="S25" s="10"/>
      <c r="T25" s="10"/>
    </row>
    <row r="26" spans="1:475" ht="17" x14ac:dyDescent="0.2">
      <c r="B26" s="23" t="s">
        <v>44</v>
      </c>
      <c r="R26" s="10"/>
      <c r="S26" s="10"/>
      <c r="T26" s="10"/>
      <c r="AP26" s="4"/>
      <c r="AW26" s="42">
        <v>7.2</v>
      </c>
      <c r="BS26" s="4"/>
      <c r="BZ26" s="42">
        <v>7.2</v>
      </c>
      <c r="CV26" s="4"/>
      <c r="DC26" s="42">
        <v>8</v>
      </c>
      <c r="EA26" s="4"/>
      <c r="EH26" s="42">
        <v>7.2</v>
      </c>
      <c r="FC26" s="4"/>
      <c r="FJ26" s="42">
        <v>7.2</v>
      </c>
      <c r="GE26" s="4"/>
      <c r="GL26" s="42">
        <v>7.2</v>
      </c>
      <c r="HG26" s="4"/>
      <c r="HN26" s="42">
        <v>7.2</v>
      </c>
      <c r="II26" s="4"/>
      <c r="IP26" s="42">
        <v>7.2</v>
      </c>
      <c r="JK26" s="4"/>
      <c r="JR26" s="42">
        <v>7.2</v>
      </c>
      <c r="KM26" s="4"/>
      <c r="KT26" s="42">
        <v>8</v>
      </c>
      <c r="LO26" s="4"/>
      <c r="LV26" s="42">
        <v>8</v>
      </c>
      <c r="MQ26" s="4"/>
      <c r="MX26" s="42">
        <v>8</v>
      </c>
      <c r="NS26" s="4"/>
      <c r="NZ26" s="42">
        <v>8</v>
      </c>
      <c r="OU26" s="4"/>
      <c r="PB26" s="42">
        <v>8</v>
      </c>
      <c r="PW26" s="4"/>
      <c r="QD26" s="42">
        <v>8</v>
      </c>
    </row>
    <row r="27" spans="1:475" ht="17" hidden="1" x14ac:dyDescent="0.2">
      <c r="B27" s="30" t="s">
        <v>43</v>
      </c>
      <c r="R27" s="10"/>
      <c r="S27" s="10"/>
      <c r="T27" s="10"/>
      <c r="AP27" s="4"/>
      <c r="AW27" s="51">
        <v>1000</v>
      </c>
      <c r="BS27" s="4"/>
      <c r="BZ27" s="51">
        <v>1000</v>
      </c>
      <c r="CV27" s="4"/>
      <c r="DC27" s="51">
        <v>1000</v>
      </c>
      <c r="EA27" s="4"/>
      <c r="EH27" s="51">
        <v>1000</v>
      </c>
      <c r="FC27" s="4"/>
      <c r="FJ27" s="51">
        <v>1000</v>
      </c>
      <c r="GE27" s="4"/>
      <c r="GL27" s="51">
        <v>1000</v>
      </c>
      <c r="HG27" s="4"/>
      <c r="HN27" s="51">
        <v>1000</v>
      </c>
      <c r="II27" s="4"/>
      <c r="IP27" s="51">
        <v>1000</v>
      </c>
      <c r="JK27" s="4"/>
      <c r="JR27" s="51">
        <v>1000</v>
      </c>
      <c r="KM27" s="4"/>
      <c r="KT27" s="51">
        <v>1000</v>
      </c>
      <c r="LO27" s="4"/>
      <c r="LV27" s="51">
        <v>1000</v>
      </c>
      <c r="MQ27" s="4"/>
      <c r="MX27" s="51">
        <v>1000</v>
      </c>
      <c r="NS27" s="4"/>
      <c r="NZ27" s="51">
        <v>1000</v>
      </c>
      <c r="OU27" s="4"/>
      <c r="PB27" s="51">
        <v>1000</v>
      </c>
      <c r="PW27" s="4"/>
      <c r="QD27" s="51">
        <v>1000</v>
      </c>
    </row>
    <row r="28" spans="1:475" ht="17" hidden="1" x14ac:dyDescent="0.2">
      <c r="A28" s="5"/>
      <c r="B28" s="31" t="s">
        <v>55</v>
      </c>
      <c r="C28" s="20"/>
      <c r="R28" s="10"/>
      <c r="S28" s="10"/>
      <c r="T28" s="10"/>
      <c r="AP28" s="4"/>
      <c r="AW28" s="43">
        <v>1000</v>
      </c>
      <c r="BS28" s="4"/>
      <c r="BZ28" s="43">
        <v>1000</v>
      </c>
      <c r="CV28" s="4"/>
      <c r="DC28" s="43">
        <v>1000</v>
      </c>
      <c r="EA28" s="4"/>
      <c r="EH28" s="43">
        <v>1000</v>
      </c>
      <c r="FC28" s="4"/>
      <c r="FJ28" s="43">
        <v>1000</v>
      </c>
      <c r="GE28" s="4"/>
      <c r="GL28" s="43">
        <v>1000</v>
      </c>
      <c r="HG28" s="4"/>
      <c r="HN28" s="43">
        <v>1000</v>
      </c>
      <c r="II28" s="4"/>
      <c r="IP28" s="43">
        <v>1000</v>
      </c>
      <c r="JK28" s="4"/>
      <c r="JR28" s="43">
        <v>1000</v>
      </c>
      <c r="KM28" s="4"/>
      <c r="KT28" s="43">
        <v>1000</v>
      </c>
      <c r="LO28" s="4"/>
      <c r="LV28" s="43">
        <v>1000</v>
      </c>
      <c r="MQ28" s="4"/>
      <c r="MX28" s="43">
        <v>1000</v>
      </c>
      <c r="NS28" s="4"/>
      <c r="NZ28" s="43">
        <v>1000</v>
      </c>
      <c r="OU28" s="4"/>
      <c r="PB28" s="43">
        <v>1000</v>
      </c>
      <c r="PW28" s="4"/>
      <c r="QD28" s="43">
        <v>1000</v>
      </c>
    </row>
    <row r="29" spans="1:475" ht="17" hidden="1" x14ac:dyDescent="0.2">
      <c r="A29" s="5"/>
      <c r="B29" s="35" t="s">
        <v>62</v>
      </c>
      <c r="C29" s="20"/>
      <c r="R29" s="10"/>
      <c r="S29" s="10"/>
      <c r="T29" s="10"/>
      <c r="AP29" s="4"/>
      <c r="AW29" s="44">
        <v>1000</v>
      </c>
      <c r="BS29" s="4"/>
      <c r="BZ29" s="44">
        <v>1000</v>
      </c>
      <c r="CV29" s="4"/>
      <c r="DC29" s="44">
        <v>1000</v>
      </c>
      <c r="EA29" s="4"/>
      <c r="EH29" s="44">
        <v>1000</v>
      </c>
      <c r="FC29" s="4"/>
      <c r="FJ29" s="44">
        <v>1000</v>
      </c>
      <c r="GE29" s="4"/>
      <c r="GL29" s="44">
        <v>1000</v>
      </c>
      <c r="HG29" s="4"/>
      <c r="HN29" s="44">
        <v>1000</v>
      </c>
      <c r="II29" s="4"/>
      <c r="IP29" s="44">
        <v>1000</v>
      </c>
      <c r="JK29" s="4"/>
      <c r="JR29" s="44">
        <v>1000</v>
      </c>
      <c r="KM29" s="4"/>
      <c r="KT29" s="44">
        <v>1000</v>
      </c>
      <c r="LO29" s="4"/>
      <c r="LV29" s="44">
        <v>1000</v>
      </c>
      <c r="MQ29" s="4"/>
      <c r="MX29" s="44">
        <v>1000</v>
      </c>
      <c r="NS29" s="4"/>
      <c r="NZ29" s="44">
        <v>1000</v>
      </c>
      <c r="OU29" s="4"/>
      <c r="PB29" s="44">
        <v>1000</v>
      </c>
      <c r="PW29" s="4"/>
      <c r="QD29" s="44">
        <v>1000</v>
      </c>
    </row>
    <row r="30" spans="1:475" ht="17" x14ac:dyDescent="0.2">
      <c r="A30" s="5"/>
      <c r="B30" s="34" t="s">
        <v>41</v>
      </c>
      <c r="C30" s="20"/>
      <c r="R30" s="10"/>
      <c r="S30" s="10"/>
      <c r="T30" s="10"/>
      <c r="AP30" s="4"/>
      <c r="AW30" s="45">
        <v>42.4</v>
      </c>
      <c r="BS30" s="4"/>
      <c r="BZ30" s="45">
        <v>42.4</v>
      </c>
      <c r="CV30" s="4"/>
      <c r="DC30" s="45">
        <v>42.1</v>
      </c>
      <c r="EA30" s="4"/>
      <c r="EH30" s="45">
        <v>42.4</v>
      </c>
      <c r="FC30" s="4"/>
      <c r="FJ30" s="45">
        <v>42.4</v>
      </c>
      <c r="GE30" s="4"/>
      <c r="GL30" s="45">
        <v>42.4</v>
      </c>
      <c r="HG30" s="4"/>
      <c r="HN30" s="45">
        <v>42.4</v>
      </c>
      <c r="II30" s="4"/>
      <c r="IP30" s="45">
        <v>42.4</v>
      </c>
      <c r="JK30" s="4"/>
      <c r="JR30" s="45">
        <v>42.4</v>
      </c>
      <c r="KM30" s="4"/>
      <c r="KT30" s="45">
        <v>42.1</v>
      </c>
      <c r="LO30" s="4"/>
      <c r="LV30" s="45">
        <v>42.1</v>
      </c>
      <c r="MQ30" s="4"/>
      <c r="MX30" s="45">
        <v>42.1</v>
      </c>
      <c r="NS30" s="4"/>
      <c r="NZ30" s="45">
        <v>42.1</v>
      </c>
      <c r="OU30" s="4"/>
      <c r="PB30" s="45">
        <v>42.1</v>
      </c>
      <c r="PW30" s="4"/>
      <c r="QD30" s="45">
        <v>42.1</v>
      </c>
    </row>
    <row r="31" spans="1:475" ht="17" hidden="1" x14ac:dyDescent="0.2">
      <c r="A31" s="5"/>
      <c r="B31" s="24" t="s">
        <v>42</v>
      </c>
      <c r="C31" s="20"/>
      <c r="R31" s="10"/>
      <c r="S31" s="10"/>
      <c r="T31" s="10"/>
      <c r="AP31" s="4"/>
      <c r="AW31" s="46">
        <v>1000</v>
      </c>
      <c r="BS31" s="4"/>
      <c r="BZ31" s="46">
        <v>1000</v>
      </c>
      <c r="CV31" s="4"/>
      <c r="DC31" s="46">
        <v>1000</v>
      </c>
      <c r="EA31" s="4"/>
      <c r="EH31" s="46">
        <v>1000</v>
      </c>
      <c r="FC31" s="4"/>
      <c r="FJ31" s="46">
        <v>1000</v>
      </c>
      <c r="GE31" s="4"/>
      <c r="GL31" s="46">
        <v>1000</v>
      </c>
      <c r="HG31" s="4"/>
      <c r="HN31" s="46">
        <v>1000</v>
      </c>
      <c r="II31" s="4"/>
      <c r="IP31" s="46">
        <v>1000</v>
      </c>
      <c r="JK31" s="4"/>
      <c r="JR31" s="46">
        <v>1000</v>
      </c>
      <c r="KM31" s="4"/>
      <c r="KT31" s="46">
        <v>1000</v>
      </c>
      <c r="LO31" s="4"/>
      <c r="LV31" s="46">
        <v>1000</v>
      </c>
      <c r="MQ31" s="4"/>
      <c r="MX31" s="46">
        <v>1000</v>
      </c>
      <c r="NS31" s="4"/>
      <c r="NZ31" s="46">
        <v>1000</v>
      </c>
      <c r="OU31" s="4"/>
      <c r="PB31" s="46">
        <v>1000</v>
      </c>
      <c r="PW31" s="4"/>
      <c r="QD31" s="46">
        <v>1000</v>
      </c>
    </row>
    <row r="32" spans="1:475" ht="17" hidden="1" x14ac:dyDescent="0.2">
      <c r="A32" s="5"/>
      <c r="B32" s="33" t="s">
        <v>54</v>
      </c>
      <c r="C32" s="20"/>
      <c r="R32" s="10"/>
      <c r="S32" s="10"/>
      <c r="T32" s="10"/>
      <c r="AP32" s="4"/>
      <c r="AW32" s="47">
        <v>1000</v>
      </c>
      <c r="BS32" s="4"/>
      <c r="BZ32" s="47">
        <v>1000</v>
      </c>
      <c r="CV32" s="4"/>
      <c r="DC32" s="47">
        <v>1000</v>
      </c>
      <c r="EA32" s="4"/>
      <c r="EH32" s="47">
        <v>1000</v>
      </c>
      <c r="FC32" s="4"/>
      <c r="FJ32" s="47">
        <v>1000</v>
      </c>
      <c r="GE32" s="4"/>
      <c r="GL32" s="47">
        <v>1000</v>
      </c>
      <c r="HG32" s="4"/>
      <c r="HN32" s="47">
        <v>1000</v>
      </c>
      <c r="II32" s="4"/>
      <c r="IP32" s="47">
        <v>1000</v>
      </c>
      <c r="JK32" s="4"/>
      <c r="JR32" s="47">
        <v>1000</v>
      </c>
      <c r="KM32" s="4"/>
      <c r="KT32" s="47">
        <v>1000</v>
      </c>
      <c r="LO32" s="4"/>
      <c r="LV32" s="47">
        <v>1000</v>
      </c>
      <c r="MQ32" s="4"/>
      <c r="MX32" s="47">
        <v>1000</v>
      </c>
      <c r="NS32" s="4"/>
      <c r="NZ32" s="47">
        <v>1000</v>
      </c>
      <c r="OU32" s="4"/>
      <c r="PB32" s="47">
        <v>1000</v>
      </c>
      <c r="PW32" s="4"/>
      <c r="QD32" s="47">
        <v>1000</v>
      </c>
    </row>
    <row r="33" spans="1:456" ht="17" hidden="1" x14ac:dyDescent="0.2">
      <c r="A33" s="5"/>
      <c r="B33" s="25" t="s">
        <v>27</v>
      </c>
      <c r="C33" s="20"/>
      <c r="R33" s="10"/>
      <c r="S33" s="10"/>
      <c r="T33" s="10"/>
      <c r="AP33" s="4"/>
      <c r="AW33" s="48">
        <v>1000</v>
      </c>
      <c r="BS33" s="4"/>
      <c r="BZ33" s="48">
        <v>1000</v>
      </c>
      <c r="CV33" s="4"/>
      <c r="DC33" s="48">
        <v>1000</v>
      </c>
      <c r="EA33" s="4"/>
      <c r="EH33" s="48">
        <v>1000</v>
      </c>
      <c r="FC33" s="4"/>
      <c r="FJ33" s="48">
        <v>1000</v>
      </c>
      <c r="GE33" s="4"/>
      <c r="GL33" s="48">
        <v>1000</v>
      </c>
      <c r="HG33" s="4"/>
      <c r="HN33" s="48">
        <v>1000</v>
      </c>
      <c r="II33" s="4"/>
      <c r="IP33" s="48">
        <v>1000</v>
      </c>
      <c r="JK33" s="4"/>
      <c r="JR33" s="48">
        <v>1000</v>
      </c>
      <c r="KM33" s="4"/>
      <c r="KT33" s="48">
        <v>1000</v>
      </c>
      <c r="LO33" s="4"/>
      <c r="LV33" s="48">
        <v>1000</v>
      </c>
      <c r="MQ33" s="4"/>
      <c r="MX33" s="48">
        <v>1000</v>
      </c>
      <c r="NS33" s="4"/>
      <c r="NZ33" s="48">
        <v>1000</v>
      </c>
      <c r="OU33" s="4"/>
      <c r="PB33" s="48">
        <v>1000</v>
      </c>
      <c r="PW33" s="4"/>
      <c r="QD33" s="48">
        <v>1000</v>
      </c>
    </row>
    <row r="34" spans="1:456" x14ac:dyDescent="0.2">
      <c r="B34" s="29" t="s">
        <v>47</v>
      </c>
      <c r="C34" s="2"/>
    </row>
    <row r="35" spans="1:456" x14ac:dyDescent="0.2">
      <c r="A35" s="5"/>
      <c r="B35" s="5"/>
      <c r="C35" s="20"/>
      <c r="QF35" s="2"/>
      <c r="QG35" s="2"/>
      <c r="QH35" s="2"/>
      <c r="QI35" s="2"/>
      <c r="QJ35" s="2"/>
      <c r="QK35" s="2"/>
      <c r="QL35" s="2"/>
      <c r="QM35" s="2"/>
      <c r="QN35" s="2"/>
    </row>
    <row r="36" spans="1:456" x14ac:dyDescent="0.2">
      <c r="A36" s="5"/>
      <c r="B36" s="5"/>
      <c r="C36" s="20"/>
    </row>
    <row r="37" spans="1:456" x14ac:dyDescent="0.2">
      <c r="A37" s="5"/>
      <c r="B37" s="5"/>
      <c r="C37" s="20"/>
    </row>
    <row r="38" spans="1:456" x14ac:dyDescent="0.2">
      <c r="A38" s="5"/>
      <c r="B38" s="5"/>
      <c r="C38" s="5"/>
    </row>
  </sheetData>
  <sheetProtection sheet="1" formatCells="0" formatColumns="0" formatRows="0"/>
  <autoFilter ref="A1:RG16" xr:uid="{BB9C3AB3-2D15-174E-B900-3E2F789706E1}"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7" showButton="0"/>
    <filterColumn colId="108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sortState xmlns:xlrd2="http://schemas.microsoft.com/office/spreadsheetml/2017/richdata2" ref="A6:RG23">
      <sortCondition descending="1" ref="F1:F24"/>
    </sortState>
  </autoFilter>
  <mergeCells count="117">
    <mergeCell ref="A1:A3"/>
    <mergeCell ref="B1:B3"/>
    <mergeCell ref="C1:C3"/>
    <mergeCell ref="D1:D3"/>
    <mergeCell ref="E1:E3"/>
    <mergeCell ref="F1:F3"/>
    <mergeCell ref="M1:M3"/>
    <mergeCell ref="N1:N3"/>
    <mergeCell ref="O1:O3"/>
    <mergeCell ref="P1:P3"/>
    <mergeCell ref="Q1:Q3"/>
    <mergeCell ref="R1:R3"/>
    <mergeCell ref="G1:G3"/>
    <mergeCell ref="H1:H3"/>
    <mergeCell ref="I1:I3"/>
    <mergeCell ref="J1:J3"/>
    <mergeCell ref="K1:K3"/>
    <mergeCell ref="L1:L3"/>
    <mergeCell ref="FK1:GL1"/>
    <mergeCell ref="GM1:HN1"/>
    <mergeCell ref="HO1:IP1"/>
    <mergeCell ref="IQ1:JR1"/>
    <mergeCell ref="S1:S3"/>
    <mergeCell ref="T1:T3"/>
    <mergeCell ref="U1:AW1"/>
    <mergeCell ref="AX1:BZ1"/>
    <mergeCell ref="CA1:DC1"/>
    <mergeCell ref="DD1:DF1"/>
    <mergeCell ref="BN2:BQ2"/>
    <mergeCell ref="CA2:CD2"/>
    <mergeCell ref="CE2:CH2"/>
    <mergeCell ref="CI2:CL2"/>
    <mergeCell ref="CM2:CP2"/>
    <mergeCell ref="CQ2:CT2"/>
    <mergeCell ref="DG2:DJ2"/>
    <mergeCell ref="DK2:DN2"/>
    <mergeCell ref="DO2:DR2"/>
    <mergeCell ref="DS2:DV2"/>
    <mergeCell ref="DW2:DZ2"/>
    <mergeCell ref="EI2:EL2"/>
    <mergeCell ref="EM2:EP2"/>
    <mergeCell ref="EQ2:ET2"/>
    <mergeCell ref="QE1:RG1"/>
    <mergeCell ref="U2:X2"/>
    <mergeCell ref="Y2:AB2"/>
    <mergeCell ref="AC2:AF2"/>
    <mergeCell ref="AG2:AJ2"/>
    <mergeCell ref="AK2:AN2"/>
    <mergeCell ref="AX2:BA2"/>
    <mergeCell ref="BB2:BE2"/>
    <mergeCell ref="BF2:BI2"/>
    <mergeCell ref="BJ2:BM2"/>
    <mergeCell ref="JS1:KT1"/>
    <mergeCell ref="KU1:LV1"/>
    <mergeCell ref="LW1:MX1"/>
    <mergeCell ref="MY1:NZ1"/>
    <mergeCell ref="OA1:PB1"/>
    <mergeCell ref="PC1:QD1"/>
    <mergeCell ref="DG1:EH1"/>
    <mergeCell ref="EI1:FJ1"/>
    <mergeCell ref="FK2:FN2"/>
    <mergeCell ref="FO2:FR2"/>
    <mergeCell ref="FS2:FV2"/>
    <mergeCell ref="FW2:FZ2"/>
    <mergeCell ref="GA2:GD2"/>
    <mergeCell ref="GM2:GP2"/>
    <mergeCell ref="EU2:EX2"/>
    <mergeCell ref="EY2:FB2"/>
    <mergeCell ref="HW2:HZ2"/>
    <mergeCell ref="IA2:ID2"/>
    <mergeCell ref="IE2:IH2"/>
    <mergeCell ref="IQ2:IT2"/>
    <mergeCell ref="IU2:IX2"/>
    <mergeCell ref="IY2:JB2"/>
    <mergeCell ref="GQ2:GT2"/>
    <mergeCell ref="GU2:GX2"/>
    <mergeCell ref="GY2:HB2"/>
    <mergeCell ref="HC2:HF2"/>
    <mergeCell ref="HO2:HR2"/>
    <mergeCell ref="HS2:HV2"/>
    <mergeCell ref="KI2:KL2"/>
    <mergeCell ref="KU2:KX2"/>
    <mergeCell ref="KY2:LB2"/>
    <mergeCell ref="LC2:LF2"/>
    <mergeCell ref="LG2:LJ2"/>
    <mergeCell ref="LK2:LN2"/>
    <mergeCell ref="JC2:JF2"/>
    <mergeCell ref="JG2:JJ2"/>
    <mergeCell ref="JS2:JV2"/>
    <mergeCell ref="JW2:JZ2"/>
    <mergeCell ref="KA2:KD2"/>
    <mergeCell ref="KE2:KH2"/>
    <mergeCell ref="NC2:NF2"/>
    <mergeCell ref="NG2:NJ2"/>
    <mergeCell ref="NK2:NN2"/>
    <mergeCell ref="NO2:NR2"/>
    <mergeCell ref="OA2:OD2"/>
    <mergeCell ref="OE2:OH2"/>
    <mergeCell ref="LW2:LZ2"/>
    <mergeCell ref="MA2:MD2"/>
    <mergeCell ref="ME2:MH2"/>
    <mergeCell ref="MI2:ML2"/>
    <mergeCell ref="MM2:MP2"/>
    <mergeCell ref="MY2:NB2"/>
    <mergeCell ref="QU2:QX2"/>
    <mergeCell ref="PO2:PR2"/>
    <mergeCell ref="PS2:PV2"/>
    <mergeCell ref="QE2:QH2"/>
    <mergeCell ref="QI2:QL2"/>
    <mergeCell ref="QM2:QP2"/>
    <mergeCell ref="QQ2:QT2"/>
    <mergeCell ref="OI2:OL2"/>
    <mergeCell ref="OM2:OP2"/>
    <mergeCell ref="OQ2:OT2"/>
    <mergeCell ref="PC2:PF2"/>
    <mergeCell ref="PG2:PJ2"/>
    <mergeCell ref="PK2:PN2"/>
  </mergeCells>
  <conditionalFormatting sqref="U4:AW23">
    <cfRule type="expression" dxfId="83" priority="28" stopIfTrue="1">
      <formula>IF($AO4&lt;&gt;"",1,0)</formula>
    </cfRule>
  </conditionalFormatting>
  <conditionalFormatting sqref="AX4:BZ23">
    <cfRule type="expression" dxfId="82" priority="27" stopIfTrue="1">
      <formula>IF($BR4&lt;&gt;"",1,0)</formula>
    </cfRule>
  </conditionalFormatting>
  <conditionalFormatting sqref="M1:M3 O1:O3 K1:K1048576 Q1:Q1048576 M4:O1048576">
    <cfRule type="expression" dxfId="81" priority="24">
      <formula>IF(K1=$CA$1,1,0)</formula>
    </cfRule>
    <cfRule type="expression" dxfId="80" priority="25">
      <formula>IF(K1=$AX$1,1,0)</formula>
    </cfRule>
    <cfRule type="expression" dxfId="79" priority="26">
      <formula>IF(K1=$U$1,1,0)</formula>
    </cfRule>
  </conditionalFormatting>
  <conditionalFormatting sqref="CA4:DC23">
    <cfRule type="expression" dxfId="78" priority="23" stopIfTrue="1">
      <formula>IF($CU4&lt;&gt;"",1,0)</formula>
    </cfRule>
  </conditionalFormatting>
  <conditionalFormatting sqref="A1:A1048576">
    <cfRule type="expression" dxfId="77" priority="22">
      <formula>AND(G1="P",F1="")</formula>
    </cfRule>
  </conditionalFormatting>
  <conditionalFormatting sqref="H1:H1048576">
    <cfRule type="containsText" dxfId="76" priority="17" operator="containsText" text="No DD">
      <formula>NOT(ISERROR(SEARCH("No DD",H1)))</formula>
    </cfRule>
    <cfRule type="containsText" dxfId="75" priority="18" operator="containsText" text="Merit">
      <formula>NOT(ISERROR(SEARCH("Merit",H1)))</formula>
    </cfRule>
    <cfRule type="containsText" dxfId="74" priority="19" operator="containsText" text="Excellence">
      <formula>NOT(ISERROR(SEARCH("Excellence",H1)))</formula>
    </cfRule>
    <cfRule type="containsText" dxfId="73" priority="20" operator="containsText" text="Worlds Team">
      <formula>NOT(ISERROR(SEARCH("Worlds Team",H1)))</formula>
    </cfRule>
    <cfRule type="containsText" dxfId="72" priority="21" operator="containsText" text="National Team">
      <formula>NOT(ISERROR(SEARCH("National Team",H1)))</formula>
    </cfRule>
  </conditionalFormatting>
  <conditionalFormatting sqref="AT34:AT1048576 BW34:BW1048576 EE34:EE1048576 BW1:BW32 CZ1:CZ1048576 EE1:EE32 FG1:FG1048576 GI1:GI1048576 HK1:HK1048576 IM1:IM1048576 JO1:JO1048576 KQ1:KQ1048576 LS1:LS1048576 MU1:MU1048576 NW1:NW1048576 OY1:OY1048576 QA1:QA1048576 AT1:AT32">
    <cfRule type="cellIs" dxfId="71" priority="14" operator="between">
      <formula>AW$33</formula>
      <formula>1000</formula>
    </cfRule>
    <cfRule type="cellIs" dxfId="70" priority="15" operator="between">
      <formula>AW$32</formula>
      <formula>AW$33</formula>
    </cfRule>
    <cfRule type="cellIs" dxfId="69" priority="16" operator="between">
      <formula>AW$31</formula>
      <formula>AW$32</formula>
    </cfRule>
  </conditionalFormatting>
  <conditionalFormatting sqref="PW1:PW1048576 AP1:AP1048576 BS1:BS1048576 CV1:CV1048576 EA1:EA1048576 FC1:FC1048576 GE1:GE1048576 HG1:HG1048576 II1:II1048576 JK1:JK1048576 KM1:KM1048576 LO1:LO1048576 MQ1:MQ1048576 NS1:NS1048576 OU1:OU1048576">
    <cfRule type="cellIs" dxfId="68" priority="107128" operator="between">
      <formula>AW$26</formula>
      <formula>1000</formula>
    </cfRule>
  </conditionalFormatting>
  <conditionalFormatting sqref="PX1:PX1048576 AQ1:AQ1048576 BT1:BT1048576 CW1:CW1048576 EB1:EB1048576 FD1:FD1048576 GF1:GF1048576 HH1:HH1048576 IJ1:IJ1048576 JL1:JL1048576 KN1:KN1048576 LP1:LP1048576 MR1:MR1048576 NT1:NT1048576 OV1:OV1048576">
    <cfRule type="cellIs" dxfId="67" priority="107173" operator="between">
      <formula>AW$30</formula>
      <formula>1000</formula>
    </cfRule>
  </conditionalFormatting>
  <conditionalFormatting sqref="AU1:AU1048576 BX1:BX1048576 DA1:DA1048576 EF1:EF1048576 FH1:FH1048576 GJ1:GJ1048576 HL1:HL1048576 IN1:IN1048576 JP1:JP1048576 KR1:KR1048576 LT1:LT1048576 MV1:MV1048576 NX1:NX1048576 OZ1:OZ1048576 QB1:QB1048576">
    <cfRule type="cellIs" dxfId="66" priority="107218" operator="between">
      <formula>AW$26</formula>
      <formula>AW$27</formula>
    </cfRule>
    <cfRule type="cellIs" dxfId="65" priority="107219" operator="between">
      <formula>AW$27</formula>
      <formula>AW$28</formula>
    </cfRule>
    <cfRule type="cellIs" dxfId="64" priority="107220" operator="between">
      <formula>AW$28</formula>
      <formula>AW$29</formula>
    </cfRule>
    <cfRule type="cellIs" dxfId="63" priority="107221" operator="between">
      <formula>AW$29</formula>
      <formula>1000</formula>
    </cfRule>
  </conditionalFormatting>
  <conditionalFormatting sqref="AV1:AV1048576 BY1:BY1048576 DB1:DB1048576 EG1:EG1048576 FI1:FI1048576 GK1:GK1048576 HM1:HM1048576 IO1:IO1048576 JQ1:JQ1048576 KS1:KS1048576 LU1:LU1048576 MW1:MW1048576 NY1:NY1048576 PA1:PA1048576 QC1:QC1048576">
    <cfRule type="cellIs" dxfId="62" priority="107398" operator="between">
      <formula>AW$30</formula>
      <formula>AW$31</formula>
    </cfRule>
    <cfRule type="cellIs" dxfId="61" priority="107399" operator="between">
      <formula>AW$31</formula>
      <formula>AW$32</formula>
    </cfRule>
    <cfRule type="cellIs" dxfId="60" priority="107400" operator="between">
      <formula>AW$32</formula>
      <formula>AW$33</formula>
    </cfRule>
    <cfRule type="cellIs" dxfId="59" priority="107401" operator="between">
      <formula>AW$33</formula>
      <formula>1000</formula>
    </cfRule>
  </conditionalFormatting>
  <conditionalFormatting sqref="AS1:AS1048576 BV1:BV1048576 CY1:CY1048576 FF1:FF1048576 GH1:GH1048576 HJ1:HJ1048576 IL1:IL1048576 JN1:JN1048576 KP1:KP1048576 LR1:LR1048576 MT1:MT1048576 NV1:NV1048576 OX1:OX1048576 PZ1:PZ1048576 ED1:ED1048576">
    <cfRule type="cellIs" dxfId="58" priority="107578" operator="between">
      <formula>AW$29</formula>
      <formula>1000</formula>
    </cfRule>
    <cfRule type="cellIs" dxfId="57" priority="107579" operator="between">
      <formula>AW$28</formula>
      <formula>AW$29</formula>
    </cfRule>
    <cfRule type="cellIs" dxfId="56" priority="107580" operator="between">
      <formula>AW$27</formula>
      <formula>AW$28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900E07-0F8D-4D43-9400-0E253474C223}">
  <sheetPr codeName="Sheet12"/>
  <dimension ref="A1:RG51"/>
  <sheetViews>
    <sheetView zoomScaleNormal="100"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8" max="8" width="13.33203125" style="36" bestFit="1" customWidth="1"/>
    <col min="9" max="9" width="15.33203125" customWidth="1"/>
    <col min="11" max="11" width="27.5" bestFit="1" customWidth="1"/>
    <col min="12" max="12" width="10.5" customWidth="1"/>
    <col min="13" max="13" width="27.5" bestFit="1" customWidth="1"/>
    <col min="14" max="14" width="10.5" customWidth="1"/>
    <col min="15" max="15" width="27.5" customWidth="1"/>
    <col min="16" max="16" width="10.83203125" customWidth="1"/>
    <col min="17" max="17" width="27.5" customWidth="1"/>
    <col min="18" max="18" width="24.6640625" customWidth="1"/>
    <col min="19" max="19" width="13" customWidth="1"/>
    <col min="20" max="20" width="40.33203125" bestFit="1" customWidth="1"/>
    <col min="21" max="41" width="10.83203125" hidden="1" customWidth="1"/>
    <col min="42" max="49" width="10.83203125" style="36" customWidth="1"/>
    <col min="50" max="70" width="10.83203125" hidden="1" customWidth="1"/>
    <col min="71" max="78" width="10.83203125" style="36" customWidth="1"/>
    <col min="79" max="99" width="10.83203125" hidden="1" customWidth="1"/>
    <col min="100" max="110" width="10.83203125" style="36" customWidth="1"/>
    <col min="111" max="130" width="10.83203125" hidden="1" customWidth="1"/>
    <col min="131" max="138" width="10.83203125" style="36" customWidth="1"/>
    <col min="139" max="158" width="10.83203125" hidden="1" customWidth="1"/>
    <col min="159" max="166" width="10.83203125" style="36" customWidth="1"/>
    <col min="167" max="186" width="10.83203125" hidden="1" customWidth="1"/>
    <col min="187" max="194" width="10.83203125" style="36" customWidth="1"/>
    <col min="195" max="214" width="10.83203125" hidden="1" customWidth="1"/>
    <col min="215" max="222" width="10.83203125" style="36" customWidth="1"/>
    <col min="223" max="242" width="10.83203125" hidden="1" customWidth="1"/>
    <col min="243" max="250" width="10.83203125" style="36" customWidth="1"/>
    <col min="251" max="270" width="10.83203125" hidden="1" customWidth="1"/>
    <col min="271" max="278" width="10.83203125" style="36" customWidth="1"/>
    <col min="279" max="298" width="10.83203125" hidden="1" customWidth="1"/>
    <col min="299" max="306" width="10.83203125" style="36" customWidth="1"/>
    <col min="307" max="326" width="10.83203125" hidden="1" customWidth="1"/>
    <col min="327" max="334" width="10.83203125" style="36" customWidth="1"/>
    <col min="335" max="354" width="10.83203125" hidden="1" customWidth="1"/>
    <col min="355" max="362" width="10.83203125" style="36" customWidth="1"/>
    <col min="363" max="382" width="10.83203125" hidden="1" customWidth="1"/>
    <col min="383" max="390" width="10.83203125" style="36" hidden="1" customWidth="1"/>
    <col min="391" max="410" width="10.83203125" hidden="1" customWidth="1"/>
    <col min="411" max="418" width="10.83203125" style="36" hidden="1" customWidth="1"/>
    <col min="419" max="438" width="10.83203125" hidden="1" customWidth="1"/>
    <col min="439" max="446" width="10.83203125" style="36" hidden="1" customWidth="1"/>
    <col min="447" max="467" width="10.83203125" hidden="1" customWidth="1"/>
    <col min="468" max="475" width="10.83203125" style="36" hidden="1" customWidth="1"/>
  </cols>
  <sheetData>
    <row r="1" spans="1:475" ht="16" customHeight="1" x14ac:dyDescent="0.2">
      <c r="A1" s="71" t="s">
        <v>1</v>
      </c>
      <c r="B1" s="71" t="s">
        <v>22</v>
      </c>
      <c r="C1" s="71" t="s">
        <v>0</v>
      </c>
      <c r="D1" s="71" t="s">
        <v>48</v>
      </c>
      <c r="E1" s="71" t="s">
        <v>2</v>
      </c>
      <c r="F1" s="74" t="s">
        <v>53</v>
      </c>
      <c r="G1" s="74" t="s">
        <v>8</v>
      </c>
      <c r="H1" s="71" t="s">
        <v>9</v>
      </c>
      <c r="I1" s="74" t="s">
        <v>71</v>
      </c>
      <c r="J1" s="72" t="s">
        <v>99</v>
      </c>
      <c r="K1" s="70" t="s">
        <v>25</v>
      </c>
      <c r="L1" s="72" t="s">
        <v>100</v>
      </c>
      <c r="M1" s="70" t="s">
        <v>25</v>
      </c>
      <c r="N1" s="72" t="s">
        <v>101</v>
      </c>
      <c r="O1" s="70" t="s">
        <v>25</v>
      </c>
      <c r="P1" s="70" t="s">
        <v>10</v>
      </c>
      <c r="Q1" s="70" t="s">
        <v>25</v>
      </c>
      <c r="R1" s="73" t="s">
        <v>11</v>
      </c>
      <c r="S1" s="70" t="s">
        <v>26</v>
      </c>
      <c r="T1" s="70" t="s">
        <v>25</v>
      </c>
      <c r="U1" s="66" t="s">
        <v>119</v>
      </c>
      <c r="V1" s="66"/>
      <c r="W1" s="66"/>
      <c r="X1" s="66"/>
      <c r="Y1" s="66"/>
      <c r="Z1" s="66"/>
      <c r="AA1" s="66"/>
      <c r="AB1" s="66"/>
      <c r="AC1" s="66"/>
      <c r="AD1" s="66"/>
      <c r="AE1" s="66"/>
      <c r="AF1" s="66"/>
      <c r="AG1" s="66"/>
      <c r="AH1" s="66"/>
      <c r="AI1" s="66"/>
      <c r="AJ1" s="66"/>
      <c r="AK1" s="66"/>
      <c r="AL1" s="66"/>
      <c r="AM1" s="66"/>
      <c r="AN1" s="66"/>
      <c r="AO1" s="66"/>
      <c r="AP1" s="66"/>
      <c r="AQ1" s="66"/>
      <c r="AR1" s="66"/>
      <c r="AS1" s="66"/>
      <c r="AT1" s="66"/>
      <c r="AU1" s="66"/>
      <c r="AV1" s="66"/>
      <c r="AW1" s="66"/>
      <c r="AX1" s="67" t="s">
        <v>129</v>
      </c>
      <c r="AY1" s="67"/>
      <c r="AZ1" s="67"/>
      <c r="BA1" s="67"/>
      <c r="BB1" s="67"/>
      <c r="BC1" s="67"/>
      <c r="BD1" s="67"/>
      <c r="BE1" s="67"/>
      <c r="BF1" s="67"/>
      <c r="BG1" s="67"/>
      <c r="BH1" s="67"/>
      <c r="BI1" s="67"/>
      <c r="BJ1" s="67"/>
      <c r="BK1" s="67"/>
      <c r="BL1" s="67"/>
      <c r="BM1" s="67"/>
      <c r="BN1" s="67"/>
      <c r="BO1" s="67"/>
      <c r="BP1" s="67"/>
      <c r="BQ1" s="67"/>
      <c r="BR1" s="67"/>
      <c r="BS1" s="67"/>
      <c r="BT1" s="67"/>
      <c r="BU1" s="67"/>
      <c r="BV1" s="67"/>
      <c r="BW1" s="67"/>
      <c r="BX1" s="67"/>
      <c r="BY1" s="67"/>
      <c r="BZ1" s="67"/>
      <c r="CA1" s="66" t="s">
        <v>199</v>
      </c>
      <c r="CB1" s="66"/>
      <c r="CC1" s="66"/>
      <c r="CD1" s="66"/>
      <c r="CE1" s="66"/>
      <c r="CF1" s="66"/>
      <c r="CG1" s="66"/>
      <c r="CH1" s="66"/>
      <c r="CI1" s="66"/>
      <c r="CJ1" s="66"/>
      <c r="CK1" s="66"/>
      <c r="CL1" s="66"/>
      <c r="CM1" s="66"/>
      <c r="CN1" s="66"/>
      <c r="CO1" s="66"/>
      <c r="CP1" s="66"/>
      <c r="CQ1" s="66"/>
      <c r="CR1" s="66"/>
      <c r="CS1" s="66"/>
      <c r="CT1" s="66"/>
      <c r="CU1" s="66"/>
      <c r="CV1" s="66"/>
      <c r="CW1" s="66"/>
      <c r="CX1" s="66"/>
      <c r="CY1" s="66"/>
      <c r="CZ1" s="66"/>
      <c r="DA1" s="66"/>
      <c r="DB1" s="66"/>
      <c r="DC1" s="66"/>
      <c r="DD1" s="69" t="s">
        <v>52</v>
      </c>
      <c r="DE1" s="69"/>
      <c r="DF1" s="69"/>
      <c r="DG1" s="66" t="s">
        <v>109</v>
      </c>
      <c r="DH1" s="66"/>
      <c r="DI1" s="66"/>
      <c r="DJ1" s="66"/>
      <c r="DK1" s="66"/>
      <c r="DL1" s="66"/>
      <c r="DM1" s="66"/>
      <c r="DN1" s="66"/>
      <c r="DO1" s="66"/>
      <c r="DP1" s="66"/>
      <c r="DQ1" s="66"/>
      <c r="DR1" s="66"/>
      <c r="DS1" s="66"/>
      <c r="DT1" s="66"/>
      <c r="DU1" s="66"/>
      <c r="DV1" s="66"/>
      <c r="DW1" s="66"/>
      <c r="DX1" s="66"/>
      <c r="DY1" s="66"/>
      <c r="DZ1" s="66"/>
      <c r="EA1" s="66"/>
      <c r="EB1" s="66"/>
      <c r="EC1" s="66"/>
      <c r="ED1" s="66"/>
      <c r="EE1" s="66"/>
      <c r="EF1" s="66"/>
      <c r="EG1" s="66"/>
      <c r="EH1" s="66"/>
      <c r="EI1" s="67" t="s">
        <v>110</v>
      </c>
      <c r="EJ1" s="67"/>
      <c r="EK1" s="67"/>
      <c r="EL1" s="67"/>
      <c r="EM1" s="67"/>
      <c r="EN1" s="67"/>
      <c r="EO1" s="67"/>
      <c r="EP1" s="67"/>
      <c r="EQ1" s="67"/>
      <c r="ER1" s="67"/>
      <c r="ES1" s="67"/>
      <c r="ET1" s="67"/>
      <c r="EU1" s="67"/>
      <c r="EV1" s="67"/>
      <c r="EW1" s="67"/>
      <c r="EX1" s="67"/>
      <c r="EY1" s="67"/>
      <c r="EZ1" s="67"/>
      <c r="FA1" s="67"/>
      <c r="FB1" s="67"/>
      <c r="FC1" s="67"/>
      <c r="FD1" s="67"/>
      <c r="FE1" s="67"/>
      <c r="FF1" s="67"/>
      <c r="FG1" s="67"/>
      <c r="FH1" s="67"/>
      <c r="FI1" s="67"/>
      <c r="FJ1" s="67"/>
      <c r="FK1" s="66" t="s">
        <v>113</v>
      </c>
      <c r="FL1" s="66"/>
      <c r="FM1" s="66"/>
      <c r="FN1" s="66"/>
      <c r="FO1" s="66"/>
      <c r="FP1" s="66"/>
      <c r="FQ1" s="66"/>
      <c r="FR1" s="66"/>
      <c r="FS1" s="66"/>
      <c r="FT1" s="66"/>
      <c r="FU1" s="66"/>
      <c r="FV1" s="66"/>
      <c r="FW1" s="66"/>
      <c r="FX1" s="66"/>
      <c r="FY1" s="66"/>
      <c r="FZ1" s="66"/>
      <c r="GA1" s="66"/>
      <c r="GB1" s="66"/>
      <c r="GC1" s="66"/>
      <c r="GD1" s="66"/>
      <c r="GE1" s="66"/>
      <c r="GF1" s="66"/>
      <c r="GG1" s="66"/>
      <c r="GH1" s="66"/>
      <c r="GI1" s="66"/>
      <c r="GJ1" s="66"/>
      <c r="GK1" s="66"/>
      <c r="GL1" s="66"/>
      <c r="GM1" s="67" t="s">
        <v>115</v>
      </c>
      <c r="GN1" s="67"/>
      <c r="GO1" s="67"/>
      <c r="GP1" s="67"/>
      <c r="GQ1" s="67"/>
      <c r="GR1" s="67"/>
      <c r="GS1" s="67"/>
      <c r="GT1" s="67"/>
      <c r="GU1" s="67"/>
      <c r="GV1" s="67"/>
      <c r="GW1" s="67"/>
      <c r="GX1" s="67"/>
      <c r="GY1" s="67"/>
      <c r="GZ1" s="67"/>
      <c r="HA1" s="67"/>
      <c r="HB1" s="67"/>
      <c r="HC1" s="67"/>
      <c r="HD1" s="67"/>
      <c r="HE1" s="67"/>
      <c r="HF1" s="67"/>
      <c r="HG1" s="67"/>
      <c r="HH1" s="67"/>
      <c r="HI1" s="67"/>
      <c r="HJ1" s="67"/>
      <c r="HK1" s="67"/>
      <c r="HL1" s="67"/>
      <c r="HM1" s="67"/>
      <c r="HN1" s="67"/>
      <c r="HO1" s="66" t="s">
        <v>118</v>
      </c>
      <c r="HP1" s="66"/>
      <c r="HQ1" s="66"/>
      <c r="HR1" s="66"/>
      <c r="HS1" s="66"/>
      <c r="HT1" s="66"/>
      <c r="HU1" s="66"/>
      <c r="HV1" s="66"/>
      <c r="HW1" s="66"/>
      <c r="HX1" s="66"/>
      <c r="HY1" s="66"/>
      <c r="HZ1" s="66"/>
      <c r="IA1" s="66"/>
      <c r="IB1" s="66"/>
      <c r="IC1" s="66"/>
      <c r="ID1" s="66"/>
      <c r="IE1" s="66"/>
      <c r="IF1" s="66"/>
      <c r="IG1" s="66"/>
      <c r="IH1" s="66"/>
      <c r="II1" s="66"/>
      <c r="IJ1" s="66"/>
      <c r="IK1" s="66"/>
      <c r="IL1" s="66"/>
      <c r="IM1" s="66"/>
      <c r="IN1" s="66"/>
      <c r="IO1" s="66"/>
      <c r="IP1" s="66"/>
      <c r="IQ1" s="67" t="s">
        <v>133</v>
      </c>
      <c r="IR1" s="67"/>
      <c r="IS1" s="67"/>
      <c r="IT1" s="67"/>
      <c r="IU1" s="67"/>
      <c r="IV1" s="67"/>
      <c r="IW1" s="67"/>
      <c r="IX1" s="67"/>
      <c r="IY1" s="67"/>
      <c r="IZ1" s="67"/>
      <c r="JA1" s="67"/>
      <c r="JB1" s="67"/>
      <c r="JC1" s="67"/>
      <c r="JD1" s="67"/>
      <c r="JE1" s="67"/>
      <c r="JF1" s="67"/>
      <c r="JG1" s="67"/>
      <c r="JH1" s="67"/>
      <c r="JI1" s="67"/>
      <c r="JJ1" s="67"/>
      <c r="JK1" s="67"/>
      <c r="JL1" s="67"/>
      <c r="JM1" s="67"/>
      <c r="JN1" s="67"/>
      <c r="JO1" s="67"/>
      <c r="JP1" s="67"/>
      <c r="JQ1" s="67"/>
      <c r="JR1" s="67"/>
      <c r="JS1" s="66" t="s">
        <v>136</v>
      </c>
      <c r="JT1" s="66"/>
      <c r="JU1" s="66"/>
      <c r="JV1" s="66"/>
      <c r="JW1" s="66"/>
      <c r="JX1" s="66"/>
      <c r="JY1" s="66"/>
      <c r="JZ1" s="66"/>
      <c r="KA1" s="66"/>
      <c r="KB1" s="66"/>
      <c r="KC1" s="66"/>
      <c r="KD1" s="66"/>
      <c r="KE1" s="66"/>
      <c r="KF1" s="66"/>
      <c r="KG1" s="66"/>
      <c r="KH1" s="66"/>
      <c r="KI1" s="66"/>
      <c r="KJ1" s="66"/>
      <c r="KK1" s="66"/>
      <c r="KL1" s="66"/>
      <c r="KM1" s="66"/>
      <c r="KN1" s="66"/>
      <c r="KO1" s="66"/>
      <c r="KP1" s="66"/>
      <c r="KQ1" s="66"/>
      <c r="KR1" s="66"/>
      <c r="KS1" s="66"/>
      <c r="KT1" s="66"/>
      <c r="KU1" s="67" t="s">
        <v>132</v>
      </c>
      <c r="KV1" s="67"/>
      <c r="KW1" s="67"/>
      <c r="KX1" s="67"/>
      <c r="KY1" s="67"/>
      <c r="KZ1" s="67"/>
      <c r="LA1" s="67"/>
      <c r="LB1" s="67"/>
      <c r="LC1" s="67"/>
      <c r="LD1" s="67"/>
      <c r="LE1" s="67"/>
      <c r="LF1" s="67"/>
      <c r="LG1" s="67"/>
      <c r="LH1" s="67"/>
      <c r="LI1" s="67"/>
      <c r="LJ1" s="67"/>
      <c r="LK1" s="67"/>
      <c r="LL1" s="67"/>
      <c r="LM1" s="67"/>
      <c r="LN1" s="67"/>
      <c r="LO1" s="67"/>
      <c r="LP1" s="67"/>
      <c r="LQ1" s="67"/>
      <c r="LR1" s="67"/>
      <c r="LS1" s="67"/>
      <c r="LT1" s="67"/>
      <c r="LU1" s="67"/>
      <c r="LV1" s="67"/>
      <c r="LW1" s="66" t="s">
        <v>138</v>
      </c>
      <c r="LX1" s="66"/>
      <c r="LY1" s="66"/>
      <c r="LZ1" s="66"/>
      <c r="MA1" s="66"/>
      <c r="MB1" s="66"/>
      <c r="MC1" s="66"/>
      <c r="MD1" s="66"/>
      <c r="ME1" s="66"/>
      <c r="MF1" s="66"/>
      <c r="MG1" s="66"/>
      <c r="MH1" s="66"/>
      <c r="MI1" s="66"/>
      <c r="MJ1" s="66"/>
      <c r="MK1" s="66"/>
      <c r="ML1" s="66"/>
      <c r="MM1" s="66"/>
      <c r="MN1" s="66"/>
      <c r="MO1" s="66"/>
      <c r="MP1" s="66"/>
      <c r="MQ1" s="66"/>
      <c r="MR1" s="66"/>
      <c r="MS1" s="66"/>
      <c r="MT1" s="66"/>
      <c r="MU1" s="66"/>
      <c r="MV1" s="66"/>
      <c r="MW1" s="66"/>
      <c r="MX1" s="66"/>
      <c r="MY1" s="67"/>
      <c r="MZ1" s="67"/>
      <c r="NA1" s="67"/>
      <c r="NB1" s="67"/>
      <c r="NC1" s="67"/>
      <c r="ND1" s="67"/>
      <c r="NE1" s="67"/>
      <c r="NF1" s="67"/>
      <c r="NG1" s="67"/>
      <c r="NH1" s="67"/>
      <c r="NI1" s="67"/>
      <c r="NJ1" s="67"/>
      <c r="NK1" s="67"/>
      <c r="NL1" s="67"/>
      <c r="NM1" s="67"/>
      <c r="NN1" s="67"/>
      <c r="NO1" s="67"/>
      <c r="NP1" s="67"/>
      <c r="NQ1" s="67"/>
      <c r="NR1" s="67"/>
      <c r="NS1" s="67"/>
      <c r="NT1" s="67"/>
      <c r="NU1" s="67"/>
      <c r="NV1" s="67"/>
      <c r="NW1" s="67"/>
      <c r="NX1" s="67"/>
      <c r="NY1" s="67"/>
      <c r="NZ1" s="67"/>
      <c r="OA1" s="66"/>
      <c r="OB1" s="66"/>
      <c r="OC1" s="66"/>
      <c r="OD1" s="66"/>
      <c r="OE1" s="66"/>
      <c r="OF1" s="66"/>
      <c r="OG1" s="66"/>
      <c r="OH1" s="66"/>
      <c r="OI1" s="66"/>
      <c r="OJ1" s="66"/>
      <c r="OK1" s="66"/>
      <c r="OL1" s="66"/>
      <c r="OM1" s="66"/>
      <c r="ON1" s="66"/>
      <c r="OO1" s="66"/>
      <c r="OP1" s="66"/>
      <c r="OQ1" s="66"/>
      <c r="OR1" s="66"/>
      <c r="OS1" s="66"/>
      <c r="OT1" s="66"/>
      <c r="OU1" s="66"/>
      <c r="OV1" s="66"/>
      <c r="OW1" s="66"/>
      <c r="OX1" s="66"/>
      <c r="OY1" s="66"/>
      <c r="OZ1" s="66"/>
      <c r="PA1" s="66"/>
      <c r="PB1" s="66"/>
      <c r="PC1" s="67"/>
      <c r="PD1" s="67"/>
      <c r="PE1" s="67"/>
      <c r="PF1" s="67"/>
      <c r="PG1" s="67"/>
      <c r="PH1" s="67"/>
      <c r="PI1" s="67"/>
      <c r="PJ1" s="67"/>
      <c r="PK1" s="67"/>
      <c r="PL1" s="67"/>
      <c r="PM1" s="67"/>
      <c r="PN1" s="67"/>
      <c r="PO1" s="67"/>
      <c r="PP1" s="67"/>
      <c r="PQ1" s="67"/>
      <c r="PR1" s="67"/>
      <c r="PS1" s="67"/>
      <c r="PT1" s="67"/>
      <c r="PU1" s="67"/>
      <c r="PV1" s="67"/>
      <c r="PW1" s="67"/>
      <c r="PX1" s="67"/>
      <c r="PY1" s="67"/>
      <c r="PZ1" s="67"/>
      <c r="QA1" s="67"/>
      <c r="QB1" s="67"/>
      <c r="QC1" s="67"/>
      <c r="QD1" s="67"/>
      <c r="QE1" s="66" t="s">
        <v>56</v>
      </c>
      <c r="QF1" s="66"/>
      <c r="QG1" s="66"/>
      <c r="QH1" s="66"/>
      <c r="QI1" s="66"/>
      <c r="QJ1" s="66"/>
      <c r="QK1" s="66"/>
      <c r="QL1" s="66"/>
      <c r="QM1" s="66"/>
      <c r="QN1" s="66"/>
      <c r="QO1" s="66"/>
      <c r="QP1" s="66"/>
      <c r="QQ1" s="66"/>
      <c r="QR1" s="66"/>
      <c r="QS1" s="66"/>
      <c r="QT1" s="66"/>
      <c r="QU1" s="66"/>
      <c r="QV1" s="66"/>
      <c r="QW1" s="66"/>
      <c r="QX1" s="66"/>
      <c r="QY1" s="66"/>
      <c r="QZ1" s="66"/>
      <c r="RA1" s="66"/>
      <c r="RB1" s="66"/>
      <c r="RC1" s="66"/>
      <c r="RD1" s="66"/>
      <c r="RE1" s="66"/>
      <c r="RF1" s="66"/>
      <c r="RG1" s="66"/>
    </row>
    <row r="2" spans="1:475" x14ac:dyDescent="0.2">
      <c r="A2" s="71"/>
      <c r="B2" s="71"/>
      <c r="C2" s="71"/>
      <c r="D2" s="71"/>
      <c r="E2" s="71"/>
      <c r="F2" s="74"/>
      <c r="G2" s="74"/>
      <c r="H2" s="71"/>
      <c r="I2" s="74"/>
      <c r="J2" s="72"/>
      <c r="K2" s="70"/>
      <c r="L2" s="72"/>
      <c r="M2" s="70"/>
      <c r="N2" s="72"/>
      <c r="O2" s="70"/>
      <c r="P2" s="70"/>
      <c r="Q2" s="70"/>
      <c r="R2" s="73"/>
      <c r="S2" s="70"/>
      <c r="T2" s="70"/>
      <c r="U2" s="68" t="s">
        <v>91</v>
      </c>
      <c r="V2" s="68"/>
      <c r="W2" s="68"/>
      <c r="X2" s="68"/>
      <c r="Y2" s="68" t="s">
        <v>92</v>
      </c>
      <c r="Z2" s="68"/>
      <c r="AA2" s="68"/>
      <c r="AB2" s="68"/>
      <c r="AC2" s="68" t="s">
        <v>93</v>
      </c>
      <c r="AD2" s="68"/>
      <c r="AE2" s="68"/>
      <c r="AF2" s="68"/>
      <c r="AG2" s="68" t="s">
        <v>94</v>
      </c>
      <c r="AH2" s="68"/>
      <c r="AI2" s="68"/>
      <c r="AJ2" s="68"/>
      <c r="AK2" s="75" t="s">
        <v>95</v>
      </c>
      <c r="AL2" s="75"/>
      <c r="AM2" s="75"/>
      <c r="AN2" s="75"/>
      <c r="AO2" s="14"/>
      <c r="AP2" s="14" t="s">
        <v>96</v>
      </c>
      <c r="AQ2" s="14" t="s">
        <v>97</v>
      </c>
      <c r="AR2" s="14" t="s">
        <v>93</v>
      </c>
      <c r="AS2" s="14" t="s">
        <v>102</v>
      </c>
      <c r="AT2" s="14" t="s">
        <v>21</v>
      </c>
      <c r="AU2" s="14" t="s">
        <v>57</v>
      </c>
      <c r="AV2" s="14" t="s">
        <v>98</v>
      </c>
      <c r="AW2" s="14" t="s">
        <v>15</v>
      </c>
      <c r="AX2" s="65" t="s">
        <v>91</v>
      </c>
      <c r="AY2" s="65"/>
      <c r="AZ2" s="65"/>
      <c r="BA2" s="65"/>
      <c r="BB2" s="65" t="s">
        <v>92</v>
      </c>
      <c r="BC2" s="65"/>
      <c r="BD2" s="65"/>
      <c r="BE2" s="65"/>
      <c r="BF2" s="65" t="s">
        <v>93</v>
      </c>
      <c r="BG2" s="65"/>
      <c r="BH2" s="65"/>
      <c r="BI2" s="65"/>
      <c r="BJ2" s="65" t="s">
        <v>94</v>
      </c>
      <c r="BK2" s="65"/>
      <c r="BL2" s="65"/>
      <c r="BM2" s="65"/>
      <c r="BN2" s="76" t="s">
        <v>95</v>
      </c>
      <c r="BO2" s="76"/>
      <c r="BP2" s="76"/>
      <c r="BQ2" s="76"/>
      <c r="BR2" s="13"/>
      <c r="BS2" s="13" t="s">
        <v>96</v>
      </c>
      <c r="BT2" s="13" t="s">
        <v>97</v>
      </c>
      <c r="BU2" s="13" t="s">
        <v>93</v>
      </c>
      <c r="BV2" s="13" t="s">
        <v>102</v>
      </c>
      <c r="BW2" s="13" t="s">
        <v>21</v>
      </c>
      <c r="BX2" s="13" t="s">
        <v>57</v>
      </c>
      <c r="BY2" s="13" t="s">
        <v>98</v>
      </c>
      <c r="BZ2" s="13" t="s">
        <v>15</v>
      </c>
      <c r="CA2" s="68" t="s">
        <v>91</v>
      </c>
      <c r="CB2" s="68"/>
      <c r="CC2" s="68"/>
      <c r="CD2" s="68"/>
      <c r="CE2" s="68" t="s">
        <v>92</v>
      </c>
      <c r="CF2" s="68"/>
      <c r="CG2" s="68"/>
      <c r="CH2" s="68"/>
      <c r="CI2" s="68" t="s">
        <v>93</v>
      </c>
      <c r="CJ2" s="68"/>
      <c r="CK2" s="68"/>
      <c r="CL2" s="68"/>
      <c r="CM2" s="68" t="s">
        <v>94</v>
      </c>
      <c r="CN2" s="68"/>
      <c r="CO2" s="68"/>
      <c r="CP2" s="68"/>
      <c r="CQ2" s="75" t="s">
        <v>95</v>
      </c>
      <c r="CR2" s="75"/>
      <c r="CS2" s="75"/>
      <c r="CT2" s="75"/>
      <c r="CU2" s="14"/>
      <c r="CV2" s="14" t="s">
        <v>96</v>
      </c>
      <c r="CW2" s="14" t="s">
        <v>97</v>
      </c>
      <c r="CX2" s="14" t="s">
        <v>93</v>
      </c>
      <c r="CY2" s="14" t="s">
        <v>102</v>
      </c>
      <c r="CZ2" s="14" t="s">
        <v>21</v>
      </c>
      <c r="DA2" s="14" t="s">
        <v>57</v>
      </c>
      <c r="DB2" s="14" t="s">
        <v>98</v>
      </c>
      <c r="DC2" s="14" t="s">
        <v>15</v>
      </c>
      <c r="DD2" s="49" t="s">
        <v>97</v>
      </c>
      <c r="DE2" s="49" t="s">
        <v>93</v>
      </c>
      <c r="DF2" s="49" t="s">
        <v>20</v>
      </c>
      <c r="DG2" s="68" t="s">
        <v>91</v>
      </c>
      <c r="DH2" s="68"/>
      <c r="DI2" s="68"/>
      <c r="DJ2" s="68"/>
      <c r="DK2" s="68" t="s">
        <v>92</v>
      </c>
      <c r="DL2" s="68"/>
      <c r="DM2" s="68"/>
      <c r="DN2" s="68"/>
      <c r="DO2" s="68" t="s">
        <v>93</v>
      </c>
      <c r="DP2" s="68"/>
      <c r="DQ2" s="68"/>
      <c r="DR2" s="68"/>
      <c r="DS2" s="68" t="s">
        <v>94</v>
      </c>
      <c r="DT2" s="68"/>
      <c r="DU2" s="68"/>
      <c r="DV2" s="68"/>
      <c r="DW2" s="77" t="s">
        <v>95</v>
      </c>
      <c r="DX2" s="77"/>
      <c r="DY2" s="77"/>
      <c r="DZ2" s="77"/>
      <c r="EA2" s="14" t="s">
        <v>96</v>
      </c>
      <c r="EB2" s="14" t="s">
        <v>97</v>
      </c>
      <c r="EC2" s="14" t="s">
        <v>93</v>
      </c>
      <c r="ED2" s="14" t="s">
        <v>102</v>
      </c>
      <c r="EE2" s="14" t="s">
        <v>21</v>
      </c>
      <c r="EF2" s="14" t="s">
        <v>57</v>
      </c>
      <c r="EG2" s="14" t="s">
        <v>98</v>
      </c>
      <c r="EH2" s="14" t="s">
        <v>15</v>
      </c>
      <c r="EI2" s="65" t="s">
        <v>91</v>
      </c>
      <c r="EJ2" s="65"/>
      <c r="EK2" s="65"/>
      <c r="EL2" s="65"/>
      <c r="EM2" s="65" t="s">
        <v>92</v>
      </c>
      <c r="EN2" s="65"/>
      <c r="EO2" s="65"/>
      <c r="EP2" s="65"/>
      <c r="EQ2" s="65" t="s">
        <v>93</v>
      </c>
      <c r="ER2" s="65"/>
      <c r="ES2" s="65"/>
      <c r="ET2" s="65"/>
      <c r="EU2" s="65" t="s">
        <v>94</v>
      </c>
      <c r="EV2" s="65"/>
      <c r="EW2" s="65"/>
      <c r="EX2" s="65"/>
      <c r="EY2" s="76" t="s">
        <v>95</v>
      </c>
      <c r="EZ2" s="76"/>
      <c r="FA2" s="76"/>
      <c r="FB2" s="76"/>
      <c r="FC2" s="13" t="s">
        <v>96</v>
      </c>
      <c r="FD2" s="13" t="s">
        <v>97</v>
      </c>
      <c r="FE2" s="13" t="s">
        <v>93</v>
      </c>
      <c r="FF2" s="13" t="s">
        <v>102</v>
      </c>
      <c r="FG2" s="13" t="s">
        <v>21</v>
      </c>
      <c r="FH2" s="13" t="s">
        <v>57</v>
      </c>
      <c r="FI2" s="13" t="s">
        <v>98</v>
      </c>
      <c r="FJ2" s="13" t="s">
        <v>15</v>
      </c>
      <c r="FK2" s="68" t="s">
        <v>91</v>
      </c>
      <c r="FL2" s="68"/>
      <c r="FM2" s="68"/>
      <c r="FN2" s="68"/>
      <c r="FO2" s="68" t="s">
        <v>92</v>
      </c>
      <c r="FP2" s="68"/>
      <c r="FQ2" s="68"/>
      <c r="FR2" s="68"/>
      <c r="FS2" s="68" t="s">
        <v>93</v>
      </c>
      <c r="FT2" s="68"/>
      <c r="FU2" s="68"/>
      <c r="FV2" s="68"/>
      <c r="FW2" s="68" t="s">
        <v>94</v>
      </c>
      <c r="FX2" s="68"/>
      <c r="FY2" s="68"/>
      <c r="FZ2" s="68"/>
      <c r="GA2" s="77" t="s">
        <v>95</v>
      </c>
      <c r="GB2" s="77"/>
      <c r="GC2" s="77"/>
      <c r="GD2" s="77"/>
      <c r="GE2" s="14" t="s">
        <v>96</v>
      </c>
      <c r="GF2" s="14" t="s">
        <v>97</v>
      </c>
      <c r="GG2" s="14" t="s">
        <v>93</v>
      </c>
      <c r="GH2" s="14" t="s">
        <v>102</v>
      </c>
      <c r="GI2" s="14" t="s">
        <v>21</v>
      </c>
      <c r="GJ2" s="14" t="s">
        <v>57</v>
      </c>
      <c r="GK2" s="14" t="s">
        <v>98</v>
      </c>
      <c r="GL2" s="14" t="s">
        <v>15</v>
      </c>
      <c r="GM2" s="65" t="s">
        <v>91</v>
      </c>
      <c r="GN2" s="65"/>
      <c r="GO2" s="65"/>
      <c r="GP2" s="65"/>
      <c r="GQ2" s="65" t="s">
        <v>92</v>
      </c>
      <c r="GR2" s="65"/>
      <c r="GS2" s="65"/>
      <c r="GT2" s="65"/>
      <c r="GU2" s="65" t="s">
        <v>93</v>
      </c>
      <c r="GV2" s="65"/>
      <c r="GW2" s="65"/>
      <c r="GX2" s="65"/>
      <c r="GY2" s="65" t="s">
        <v>94</v>
      </c>
      <c r="GZ2" s="65"/>
      <c r="HA2" s="65"/>
      <c r="HB2" s="65"/>
      <c r="HC2" s="76" t="s">
        <v>95</v>
      </c>
      <c r="HD2" s="76"/>
      <c r="HE2" s="76"/>
      <c r="HF2" s="76"/>
      <c r="HG2" s="13" t="s">
        <v>96</v>
      </c>
      <c r="HH2" s="13" t="s">
        <v>97</v>
      </c>
      <c r="HI2" s="13" t="s">
        <v>93</v>
      </c>
      <c r="HJ2" s="13" t="s">
        <v>102</v>
      </c>
      <c r="HK2" s="13" t="s">
        <v>21</v>
      </c>
      <c r="HL2" s="13" t="s">
        <v>57</v>
      </c>
      <c r="HM2" s="13" t="s">
        <v>98</v>
      </c>
      <c r="HN2" s="13" t="s">
        <v>15</v>
      </c>
      <c r="HO2" s="68" t="s">
        <v>91</v>
      </c>
      <c r="HP2" s="68"/>
      <c r="HQ2" s="68"/>
      <c r="HR2" s="68"/>
      <c r="HS2" s="68" t="s">
        <v>92</v>
      </c>
      <c r="HT2" s="68"/>
      <c r="HU2" s="68"/>
      <c r="HV2" s="68"/>
      <c r="HW2" s="68" t="s">
        <v>93</v>
      </c>
      <c r="HX2" s="68"/>
      <c r="HY2" s="68"/>
      <c r="HZ2" s="68"/>
      <c r="IA2" s="68" t="s">
        <v>94</v>
      </c>
      <c r="IB2" s="68"/>
      <c r="IC2" s="68"/>
      <c r="ID2" s="68"/>
      <c r="IE2" s="77" t="s">
        <v>95</v>
      </c>
      <c r="IF2" s="77"/>
      <c r="IG2" s="77"/>
      <c r="IH2" s="77"/>
      <c r="II2" s="14" t="s">
        <v>96</v>
      </c>
      <c r="IJ2" s="14" t="s">
        <v>97</v>
      </c>
      <c r="IK2" s="14" t="s">
        <v>93</v>
      </c>
      <c r="IL2" s="14" t="s">
        <v>102</v>
      </c>
      <c r="IM2" s="14" t="s">
        <v>21</v>
      </c>
      <c r="IN2" s="14" t="s">
        <v>57</v>
      </c>
      <c r="IO2" s="14" t="s">
        <v>98</v>
      </c>
      <c r="IP2" s="14" t="s">
        <v>15</v>
      </c>
      <c r="IQ2" s="65" t="s">
        <v>91</v>
      </c>
      <c r="IR2" s="65"/>
      <c r="IS2" s="65"/>
      <c r="IT2" s="65"/>
      <c r="IU2" s="65" t="s">
        <v>92</v>
      </c>
      <c r="IV2" s="65"/>
      <c r="IW2" s="65"/>
      <c r="IX2" s="65"/>
      <c r="IY2" s="65" t="s">
        <v>93</v>
      </c>
      <c r="IZ2" s="65"/>
      <c r="JA2" s="65"/>
      <c r="JB2" s="65"/>
      <c r="JC2" s="65" t="s">
        <v>94</v>
      </c>
      <c r="JD2" s="65"/>
      <c r="JE2" s="65"/>
      <c r="JF2" s="65"/>
      <c r="JG2" s="76" t="s">
        <v>95</v>
      </c>
      <c r="JH2" s="76"/>
      <c r="JI2" s="76"/>
      <c r="JJ2" s="76"/>
      <c r="JK2" s="13" t="s">
        <v>96</v>
      </c>
      <c r="JL2" s="13" t="s">
        <v>97</v>
      </c>
      <c r="JM2" s="13" t="s">
        <v>93</v>
      </c>
      <c r="JN2" s="13" t="s">
        <v>102</v>
      </c>
      <c r="JO2" s="13" t="s">
        <v>21</v>
      </c>
      <c r="JP2" s="13" t="s">
        <v>57</v>
      </c>
      <c r="JQ2" s="13" t="s">
        <v>98</v>
      </c>
      <c r="JR2" s="13" t="s">
        <v>15</v>
      </c>
      <c r="JS2" s="68" t="s">
        <v>91</v>
      </c>
      <c r="JT2" s="68"/>
      <c r="JU2" s="68"/>
      <c r="JV2" s="68"/>
      <c r="JW2" s="68" t="s">
        <v>92</v>
      </c>
      <c r="JX2" s="68"/>
      <c r="JY2" s="68"/>
      <c r="JZ2" s="68"/>
      <c r="KA2" s="68" t="s">
        <v>93</v>
      </c>
      <c r="KB2" s="68"/>
      <c r="KC2" s="68"/>
      <c r="KD2" s="68"/>
      <c r="KE2" s="68" t="s">
        <v>94</v>
      </c>
      <c r="KF2" s="68"/>
      <c r="KG2" s="68"/>
      <c r="KH2" s="68"/>
      <c r="KI2" s="77" t="s">
        <v>95</v>
      </c>
      <c r="KJ2" s="77"/>
      <c r="KK2" s="77"/>
      <c r="KL2" s="77"/>
      <c r="KM2" s="14" t="s">
        <v>96</v>
      </c>
      <c r="KN2" s="14" t="s">
        <v>97</v>
      </c>
      <c r="KO2" s="14" t="s">
        <v>93</v>
      </c>
      <c r="KP2" s="14" t="s">
        <v>102</v>
      </c>
      <c r="KQ2" s="14" t="s">
        <v>21</v>
      </c>
      <c r="KR2" s="14" t="s">
        <v>57</v>
      </c>
      <c r="KS2" s="14" t="s">
        <v>98</v>
      </c>
      <c r="KT2" s="14" t="s">
        <v>15</v>
      </c>
      <c r="KU2" s="65" t="s">
        <v>91</v>
      </c>
      <c r="KV2" s="65"/>
      <c r="KW2" s="65"/>
      <c r="KX2" s="65"/>
      <c r="KY2" s="65" t="s">
        <v>92</v>
      </c>
      <c r="KZ2" s="65"/>
      <c r="LA2" s="65"/>
      <c r="LB2" s="65"/>
      <c r="LC2" s="65" t="s">
        <v>93</v>
      </c>
      <c r="LD2" s="65"/>
      <c r="LE2" s="65"/>
      <c r="LF2" s="65"/>
      <c r="LG2" s="65" t="s">
        <v>94</v>
      </c>
      <c r="LH2" s="65"/>
      <c r="LI2" s="65"/>
      <c r="LJ2" s="65"/>
      <c r="LK2" s="76" t="s">
        <v>95</v>
      </c>
      <c r="LL2" s="76"/>
      <c r="LM2" s="76"/>
      <c r="LN2" s="76"/>
      <c r="LO2" s="13" t="s">
        <v>96</v>
      </c>
      <c r="LP2" s="13" t="s">
        <v>97</v>
      </c>
      <c r="LQ2" s="13" t="s">
        <v>93</v>
      </c>
      <c r="LR2" s="13" t="s">
        <v>102</v>
      </c>
      <c r="LS2" s="13" t="s">
        <v>21</v>
      </c>
      <c r="LT2" s="13" t="s">
        <v>57</v>
      </c>
      <c r="LU2" s="13" t="s">
        <v>98</v>
      </c>
      <c r="LV2" s="13" t="s">
        <v>15</v>
      </c>
      <c r="LW2" s="68" t="s">
        <v>91</v>
      </c>
      <c r="LX2" s="68"/>
      <c r="LY2" s="68"/>
      <c r="LZ2" s="68"/>
      <c r="MA2" s="68" t="s">
        <v>92</v>
      </c>
      <c r="MB2" s="68"/>
      <c r="MC2" s="68"/>
      <c r="MD2" s="68"/>
      <c r="ME2" s="68" t="s">
        <v>93</v>
      </c>
      <c r="MF2" s="68"/>
      <c r="MG2" s="68"/>
      <c r="MH2" s="68"/>
      <c r="MI2" s="68" t="s">
        <v>94</v>
      </c>
      <c r="MJ2" s="68"/>
      <c r="MK2" s="68"/>
      <c r="ML2" s="68"/>
      <c r="MM2" s="77" t="s">
        <v>95</v>
      </c>
      <c r="MN2" s="77"/>
      <c r="MO2" s="77"/>
      <c r="MP2" s="77"/>
      <c r="MQ2" s="14" t="s">
        <v>96</v>
      </c>
      <c r="MR2" s="14" t="s">
        <v>97</v>
      </c>
      <c r="MS2" s="14" t="s">
        <v>93</v>
      </c>
      <c r="MT2" s="14" t="s">
        <v>102</v>
      </c>
      <c r="MU2" s="14" t="s">
        <v>21</v>
      </c>
      <c r="MV2" s="14" t="s">
        <v>57</v>
      </c>
      <c r="MW2" s="14" t="s">
        <v>98</v>
      </c>
      <c r="MX2" s="14" t="s">
        <v>15</v>
      </c>
      <c r="MY2" s="65" t="s">
        <v>91</v>
      </c>
      <c r="MZ2" s="65"/>
      <c r="NA2" s="65"/>
      <c r="NB2" s="65"/>
      <c r="NC2" s="65" t="s">
        <v>92</v>
      </c>
      <c r="ND2" s="65"/>
      <c r="NE2" s="65"/>
      <c r="NF2" s="65"/>
      <c r="NG2" s="65" t="s">
        <v>93</v>
      </c>
      <c r="NH2" s="65"/>
      <c r="NI2" s="65"/>
      <c r="NJ2" s="65"/>
      <c r="NK2" s="65" t="s">
        <v>94</v>
      </c>
      <c r="NL2" s="65"/>
      <c r="NM2" s="65"/>
      <c r="NN2" s="65"/>
      <c r="NO2" s="76" t="s">
        <v>95</v>
      </c>
      <c r="NP2" s="76"/>
      <c r="NQ2" s="76"/>
      <c r="NR2" s="76"/>
      <c r="NS2" s="13" t="s">
        <v>96</v>
      </c>
      <c r="NT2" s="13" t="s">
        <v>97</v>
      </c>
      <c r="NU2" s="13" t="s">
        <v>93</v>
      </c>
      <c r="NV2" s="13" t="s">
        <v>102</v>
      </c>
      <c r="NW2" s="13" t="s">
        <v>21</v>
      </c>
      <c r="NX2" s="13" t="s">
        <v>57</v>
      </c>
      <c r="NY2" s="13" t="s">
        <v>98</v>
      </c>
      <c r="NZ2" s="13" t="s">
        <v>15</v>
      </c>
      <c r="OA2" s="68" t="s">
        <v>91</v>
      </c>
      <c r="OB2" s="68"/>
      <c r="OC2" s="68"/>
      <c r="OD2" s="68"/>
      <c r="OE2" s="68" t="s">
        <v>92</v>
      </c>
      <c r="OF2" s="68"/>
      <c r="OG2" s="68"/>
      <c r="OH2" s="68"/>
      <c r="OI2" s="68" t="s">
        <v>93</v>
      </c>
      <c r="OJ2" s="68"/>
      <c r="OK2" s="68"/>
      <c r="OL2" s="68"/>
      <c r="OM2" s="68" t="s">
        <v>94</v>
      </c>
      <c r="ON2" s="68"/>
      <c r="OO2" s="68"/>
      <c r="OP2" s="68"/>
      <c r="OQ2" s="77" t="s">
        <v>95</v>
      </c>
      <c r="OR2" s="77"/>
      <c r="OS2" s="77"/>
      <c r="OT2" s="77"/>
      <c r="OU2" s="14" t="s">
        <v>96</v>
      </c>
      <c r="OV2" s="14" t="s">
        <v>97</v>
      </c>
      <c r="OW2" s="14" t="s">
        <v>93</v>
      </c>
      <c r="OX2" s="14" t="s">
        <v>102</v>
      </c>
      <c r="OY2" s="14" t="s">
        <v>21</v>
      </c>
      <c r="OZ2" s="14" t="s">
        <v>57</v>
      </c>
      <c r="PA2" s="14" t="s">
        <v>98</v>
      </c>
      <c r="PB2" s="14" t="s">
        <v>15</v>
      </c>
      <c r="PC2" s="65" t="s">
        <v>91</v>
      </c>
      <c r="PD2" s="65"/>
      <c r="PE2" s="65"/>
      <c r="PF2" s="65"/>
      <c r="PG2" s="65" t="s">
        <v>92</v>
      </c>
      <c r="PH2" s="65"/>
      <c r="PI2" s="65"/>
      <c r="PJ2" s="65"/>
      <c r="PK2" s="65" t="s">
        <v>93</v>
      </c>
      <c r="PL2" s="65"/>
      <c r="PM2" s="65"/>
      <c r="PN2" s="65"/>
      <c r="PO2" s="65" t="s">
        <v>94</v>
      </c>
      <c r="PP2" s="65"/>
      <c r="PQ2" s="65"/>
      <c r="PR2" s="65"/>
      <c r="PS2" s="76" t="s">
        <v>95</v>
      </c>
      <c r="PT2" s="76"/>
      <c r="PU2" s="76"/>
      <c r="PV2" s="76"/>
      <c r="PW2" s="13" t="s">
        <v>96</v>
      </c>
      <c r="PX2" s="13" t="s">
        <v>97</v>
      </c>
      <c r="PY2" s="13" t="s">
        <v>93</v>
      </c>
      <c r="PZ2" s="13" t="s">
        <v>102</v>
      </c>
      <c r="QA2" s="13" t="s">
        <v>21</v>
      </c>
      <c r="QB2" s="13" t="s">
        <v>57</v>
      </c>
      <c r="QC2" s="13" t="s">
        <v>98</v>
      </c>
      <c r="QD2" s="13" t="s">
        <v>15</v>
      </c>
      <c r="QE2" s="68" t="s">
        <v>91</v>
      </c>
      <c r="QF2" s="68"/>
      <c r="QG2" s="68"/>
      <c r="QH2" s="68"/>
      <c r="QI2" s="68" t="s">
        <v>92</v>
      </c>
      <c r="QJ2" s="68"/>
      <c r="QK2" s="68"/>
      <c r="QL2" s="68"/>
      <c r="QM2" s="68" t="s">
        <v>93</v>
      </c>
      <c r="QN2" s="68"/>
      <c r="QO2" s="68"/>
      <c r="QP2" s="68"/>
      <c r="QQ2" s="68" t="s">
        <v>94</v>
      </c>
      <c r="QR2" s="68"/>
      <c r="QS2" s="68"/>
      <c r="QT2" s="68"/>
      <c r="QU2" s="75" t="s">
        <v>95</v>
      </c>
      <c r="QV2" s="75"/>
      <c r="QW2" s="75"/>
      <c r="QX2" s="75"/>
      <c r="QY2" s="14"/>
      <c r="QZ2" s="14" t="s">
        <v>96</v>
      </c>
      <c r="RA2" s="14" t="s">
        <v>97</v>
      </c>
      <c r="RB2" s="14" t="s">
        <v>93</v>
      </c>
      <c r="RC2" s="14" t="s">
        <v>102</v>
      </c>
      <c r="RD2" s="14" t="s">
        <v>21</v>
      </c>
      <c r="RE2" s="14" t="s">
        <v>57</v>
      </c>
      <c r="RF2" s="14" t="s">
        <v>98</v>
      </c>
      <c r="RG2" s="14" t="s">
        <v>15</v>
      </c>
    </row>
    <row r="3" spans="1:475" x14ac:dyDescent="0.2">
      <c r="A3" s="71"/>
      <c r="B3" s="71"/>
      <c r="C3" s="71"/>
      <c r="D3" s="71"/>
      <c r="E3" s="71"/>
      <c r="F3" s="74"/>
      <c r="G3" s="74"/>
      <c r="H3" s="71"/>
      <c r="I3" s="74"/>
      <c r="J3" s="72"/>
      <c r="K3" s="70"/>
      <c r="L3" s="72"/>
      <c r="M3" s="70"/>
      <c r="N3" s="72"/>
      <c r="O3" s="70"/>
      <c r="P3" s="70"/>
      <c r="Q3" s="70"/>
      <c r="R3" s="73"/>
      <c r="S3" s="70"/>
      <c r="T3" s="70"/>
      <c r="U3" s="14" t="s">
        <v>12</v>
      </c>
      <c r="V3" s="14" t="s">
        <v>7</v>
      </c>
      <c r="W3" s="14" t="s">
        <v>23</v>
      </c>
      <c r="X3" s="14" t="s">
        <v>24</v>
      </c>
      <c r="Y3" s="14" t="s">
        <v>12</v>
      </c>
      <c r="Z3" s="14" t="s">
        <v>7</v>
      </c>
      <c r="AA3" s="14" t="s">
        <v>23</v>
      </c>
      <c r="AB3" s="14" t="s">
        <v>24</v>
      </c>
      <c r="AC3" s="14" t="s">
        <v>12</v>
      </c>
      <c r="AD3" s="14" t="s">
        <v>7</v>
      </c>
      <c r="AE3" s="14" t="s">
        <v>23</v>
      </c>
      <c r="AF3" s="14" t="s">
        <v>24</v>
      </c>
      <c r="AG3" s="14" t="s">
        <v>12</v>
      </c>
      <c r="AH3" s="14" t="s">
        <v>7</v>
      </c>
      <c r="AI3" s="14" t="s">
        <v>23</v>
      </c>
      <c r="AJ3" s="14" t="s">
        <v>24</v>
      </c>
      <c r="AK3" s="21" t="s">
        <v>12</v>
      </c>
      <c r="AL3" s="21" t="s">
        <v>7</v>
      </c>
      <c r="AM3" s="21" t="s">
        <v>23</v>
      </c>
      <c r="AN3" s="21" t="s">
        <v>24</v>
      </c>
      <c r="AO3" s="14" t="s">
        <v>45</v>
      </c>
      <c r="AP3" s="14"/>
      <c r="AQ3" s="14"/>
      <c r="AR3" s="14"/>
      <c r="AS3" s="14"/>
      <c r="AT3" s="14"/>
      <c r="AU3" s="14"/>
      <c r="AV3" s="14"/>
      <c r="AW3" s="14"/>
      <c r="AX3" s="13" t="s">
        <v>12</v>
      </c>
      <c r="AY3" s="13" t="s">
        <v>7</v>
      </c>
      <c r="AZ3" s="13" t="s">
        <v>23</v>
      </c>
      <c r="BA3" s="13" t="s">
        <v>24</v>
      </c>
      <c r="BB3" s="13" t="s">
        <v>12</v>
      </c>
      <c r="BC3" s="13" t="s">
        <v>7</v>
      </c>
      <c r="BD3" s="13" t="s">
        <v>23</v>
      </c>
      <c r="BE3" s="13" t="s">
        <v>24</v>
      </c>
      <c r="BF3" s="13" t="s">
        <v>12</v>
      </c>
      <c r="BG3" s="13" t="s">
        <v>7</v>
      </c>
      <c r="BH3" s="13" t="s">
        <v>23</v>
      </c>
      <c r="BI3" s="13" t="s">
        <v>24</v>
      </c>
      <c r="BJ3" s="13" t="s">
        <v>12</v>
      </c>
      <c r="BK3" s="13" t="s">
        <v>7</v>
      </c>
      <c r="BL3" s="13" t="s">
        <v>23</v>
      </c>
      <c r="BM3" s="13" t="s">
        <v>24</v>
      </c>
      <c r="BN3" s="16" t="s">
        <v>12</v>
      </c>
      <c r="BO3" s="16" t="s">
        <v>7</v>
      </c>
      <c r="BP3" s="16" t="s">
        <v>23</v>
      </c>
      <c r="BQ3" s="16" t="s">
        <v>24</v>
      </c>
      <c r="BR3" s="13" t="s">
        <v>45</v>
      </c>
      <c r="BS3" s="13"/>
      <c r="BT3" s="13"/>
      <c r="BU3" s="13"/>
      <c r="BV3" s="13"/>
      <c r="BW3" s="13"/>
      <c r="BX3" s="13"/>
      <c r="BY3" s="13"/>
      <c r="BZ3" s="13"/>
      <c r="CA3" s="14" t="s">
        <v>12</v>
      </c>
      <c r="CB3" s="14" t="s">
        <v>7</v>
      </c>
      <c r="CC3" s="14" t="s">
        <v>23</v>
      </c>
      <c r="CD3" s="14" t="s">
        <v>24</v>
      </c>
      <c r="CE3" s="14" t="s">
        <v>12</v>
      </c>
      <c r="CF3" s="14" t="s">
        <v>7</v>
      </c>
      <c r="CG3" s="14" t="s">
        <v>23</v>
      </c>
      <c r="CH3" s="14" t="s">
        <v>24</v>
      </c>
      <c r="CI3" s="14" t="s">
        <v>12</v>
      </c>
      <c r="CJ3" s="14" t="s">
        <v>7</v>
      </c>
      <c r="CK3" s="14" t="s">
        <v>23</v>
      </c>
      <c r="CL3" s="14" t="s">
        <v>24</v>
      </c>
      <c r="CM3" s="14" t="s">
        <v>12</v>
      </c>
      <c r="CN3" s="14" t="s">
        <v>7</v>
      </c>
      <c r="CO3" s="14" t="s">
        <v>23</v>
      </c>
      <c r="CP3" s="14" t="s">
        <v>24</v>
      </c>
      <c r="CQ3" s="21" t="s">
        <v>12</v>
      </c>
      <c r="CR3" s="21" t="s">
        <v>7</v>
      </c>
      <c r="CS3" s="21" t="s">
        <v>23</v>
      </c>
      <c r="CT3" s="21" t="s">
        <v>24</v>
      </c>
      <c r="CU3" s="14" t="s">
        <v>45</v>
      </c>
      <c r="CV3" s="14"/>
      <c r="CW3" s="14"/>
      <c r="CX3" s="14"/>
      <c r="CY3" s="14"/>
      <c r="CZ3" s="14"/>
      <c r="DA3" s="14"/>
      <c r="DB3" s="14"/>
      <c r="DC3" s="14"/>
      <c r="DD3" s="49"/>
      <c r="DE3" s="49"/>
      <c r="DF3" s="49"/>
      <c r="DG3" s="14" t="s">
        <v>12</v>
      </c>
      <c r="DH3" s="14" t="s">
        <v>7</v>
      </c>
      <c r="DI3" s="14" t="s">
        <v>23</v>
      </c>
      <c r="DJ3" s="14" t="s">
        <v>24</v>
      </c>
      <c r="DK3" s="14" t="s">
        <v>12</v>
      </c>
      <c r="DL3" s="14" t="s">
        <v>7</v>
      </c>
      <c r="DM3" s="14" t="s">
        <v>23</v>
      </c>
      <c r="DN3" s="14" t="s">
        <v>24</v>
      </c>
      <c r="DO3" s="14" t="s">
        <v>12</v>
      </c>
      <c r="DP3" s="14" t="s">
        <v>7</v>
      </c>
      <c r="DQ3" s="14" t="s">
        <v>23</v>
      </c>
      <c r="DR3" s="14" t="s">
        <v>24</v>
      </c>
      <c r="DS3" s="14" t="s">
        <v>12</v>
      </c>
      <c r="DT3" s="14" t="s">
        <v>7</v>
      </c>
      <c r="DU3" s="14" t="s">
        <v>23</v>
      </c>
      <c r="DV3" s="14" t="s">
        <v>24</v>
      </c>
      <c r="DW3" s="15" t="s">
        <v>12</v>
      </c>
      <c r="DX3" s="15" t="s">
        <v>7</v>
      </c>
      <c r="DY3" s="15" t="s">
        <v>23</v>
      </c>
      <c r="DZ3" s="15" t="s">
        <v>24</v>
      </c>
      <c r="EA3" s="14"/>
      <c r="EB3" s="14"/>
      <c r="EC3" s="14"/>
      <c r="ED3" s="14"/>
      <c r="EE3" s="14"/>
      <c r="EF3" s="14"/>
      <c r="EG3" s="14"/>
      <c r="EH3" s="14"/>
      <c r="EI3" s="13" t="s">
        <v>12</v>
      </c>
      <c r="EJ3" s="13" t="s">
        <v>7</v>
      </c>
      <c r="EK3" s="13" t="s">
        <v>23</v>
      </c>
      <c r="EL3" s="13" t="s">
        <v>24</v>
      </c>
      <c r="EM3" s="13" t="s">
        <v>12</v>
      </c>
      <c r="EN3" s="13" t="s">
        <v>7</v>
      </c>
      <c r="EO3" s="13" t="s">
        <v>23</v>
      </c>
      <c r="EP3" s="13" t="s">
        <v>24</v>
      </c>
      <c r="EQ3" s="13" t="s">
        <v>12</v>
      </c>
      <c r="ER3" s="13" t="s">
        <v>7</v>
      </c>
      <c r="ES3" s="13" t="s">
        <v>23</v>
      </c>
      <c r="ET3" s="13" t="s">
        <v>24</v>
      </c>
      <c r="EU3" s="13" t="s">
        <v>12</v>
      </c>
      <c r="EV3" s="13" t="s">
        <v>7</v>
      </c>
      <c r="EW3" s="13" t="s">
        <v>23</v>
      </c>
      <c r="EX3" s="13" t="s">
        <v>24</v>
      </c>
      <c r="EY3" s="16" t="s">
        <v>12</v>
      </c>
      <c r="EZ3" s="16" t="s">
        <v>7</v>
      </c>
      <c r="FA3" s="16" t="s">
        <v>23</v>
      </c>
      <c r="FB3" s="16" t="s">
        <v>24</v>
      </c>
      <c r="FC3" s="13"/>
      <c r="FD3" s="13"/>
      <c r="FE3" s="13"/>
      <c r="FF3" s="13"/>
      <c r="FG3" s="13"/>
      <c r="FH3" s="13"/>
      <c r="FI3" s="13"/>
      <c r="FJ3" s="13"/>
      <c r="FK3" s="14" t="s">
        <v>12</v>
      </c>
      <c r="FL3" s="14" t="s">
        <v>7</v>
      </c>
      <c r="FM3" s="14" t="s">
        <v>23</v>
      </c>
      <c r="FN3" s="14" t="s">
        <v>24</v>
      </c>
      <c r="FO3" s="14" t="s">
        <v>12</v>
      </c>
      <c r="FP3" s="14" t="s">
        <v>7</v>
      </c>
      <c r="FQ3" s="14" t="s">
        <v>23</v>
      </c>
      <c r="FR3" s="14" t="s">
        <v>24</v>
      </c>
      <c r="FS3" s="14" t="s">
        <v>12</v>
      </c>
      <c r="FT3" s="14" t="s">
        <v>7</v>
      </c>
      <c r="FU3" s="14" t="s">
        <v>23</v>
      </c>
      <c r="FV3" s="14" t="s">
        <v>24</v>
      </c>
      <c r="FW3" s="14" t="s">
        <v>12</v>
      </c>
      <c r="FX3" s="14" t="s">
        <v>7</v>
      </c>
      <c r="FY3" s="14" t="s">
        <v>23</v>
      </c>
      <c r="FZ3" s="14" t="s">
        <v>24</v>
      </c>
      <c r="GA3" s="15" t="s">
        <v>12</v>
      </c>
      <c r="GB3" s="15" t="s">
        <v>7</v>
      </c>
      <c r="GC3" s="15" t="s">
        <v>23</v>
      </c>
      <c r="GD3" s="15" t="s">
        <v>24</v>
      </c>
      <c r="GE3" s="14"/>
      <c r="GF3" s="14"/>
      <c r="GG3" s="14"/>
      <c r="GH3" s="14"/>
      <c r="GI3" s="14"/>
      <c r="GJ3" s="14"/>
      <c r="GK3" s="14"/>
      <c r="GL3" s="14"/>
      <c r="GM3" s="13" t="s">
        <v>12</v>
      </c>
      <c r="GN3" s="13" t="s">
        <v>7</v>
      </c>
      <c r="GO3" s="13" t="s">
        <v>23</v>
      </c>
      <c r="GP3" s="13" t="s">
        <v>24</v>
      </c>
      <c r="GQ3" s="13" t="s">
        <v>12</v>
      </c>
      <c r="GR3" s="13" t="s">
        <v>7</v>
      </c>
      <c r="GS3" s="13" t="s">
        <v>23</v>
      </c>
      <c r="GT3" s="13" t="s">
        <v>24</v>
      </c>
      <c r="GU3" s="13" t="s">
        <v>12</v>
      </c>
      <c r="GV3" s="13" t="s">
        <v>7</v>
      </c>
      <c r="GW3" s="13" t="s">
        <v>23</v>
      </c>
      <c r="GX3" s="13" t="s">
        <v>24</v>
      </c>
      <c r="GY3" s="13" t="s">
        <v>12</v>
      </c>
      <c r="GZ3" s="13" t="s">
        <v>7</v>
      </c>
      <c r="HA3" s="13" t="s">
        <v>23</v>
      </c>
      <c r="HB3" s="13" t="s">
        <v>24</v>
      </c>
      <c r="HC3" s="16" t="s">
        <v>12</v>
      </c>
      <c r="HD3" s="16" t="s">
        <v>7</v>
      </c>
      <c r="HE3" s="16" t="s">
        <v>23</v>
      </c>
      <c r="HF3" s="16" t="s">
        <v>24</v>
      </c>
      <c r="HG3" s="13"/>
      <c r="HH3" s="13"/>
      <c r="HI3" s="13"/>
      <c r="HJ3" s="13"/>
      <c r="HK3" s="13"/>
      <c r="HL3" s="13"/>
      <c r="HM3" s="13"/>
      <c r="HN3" s="13"/>
      <c r="HO3" s="14" t="s">
        <v>12</v>
      </c>
      <c r="HP3" s="14" t="s">
        <v>7</v>
      </c>
      <c r="HQ3" s="14" t="s">
        <v>23</v>
      </c>
      <c r="HR3" s="14" t="s">
        <v>24</v>
      </c>
      <c r="HS3" s="14" t="s">
        <v>12</v>
      </c>
      <c r="HT3" s="14" t="s">
        <v>7</v>
      </c>
      <c r="HU3" s="14" t="s">
        <v>23</v>
      </c>
      <c r="HV3" s="14" t="s">
        <v>24</v>
      </c>
      <c r="HW3" s="14" t="s">
        <v>12</v>
      </c>
      <c r="HX3" s="14" t="s">
        <v>7</v>
      </c>
      <c r="HY3" s="14" t="s">
        <v>23</v>
      </c>
      <c r="HZ3" s="14" t="s">
        <v>24</v>
      </c>
      <c r="IA3" s="14" t="s">
        <v>12</v>
      </c>
      <c r="IB3" s="14" t="s">
        <v>7</v>
      </c>
      <c r="IC3" s="14" t="s">
        <v>23</v>
      </c>
      <c r="ID3" s="14" t="s">
        <v>24</v>
      </c>
      <c r="IE3" s="15" t="s">
        <v>12</v>
      </c>
      <c r="IF3" s="15" t="s">
        <v>7</v>
      </c>
      <c r="IG3" s="15" t="s">
        <v>23</v>
      </c>
      <c r="IH3" s="15" t="s">
        <v>24</v>
      </c>
      <c r="II3" s="14"/>
      <c r="IJ3" s="14"/>
      <c r="IK3" s="14"/>
      <c r="IL3" s="14"/>
      <c r="IM3" s="14"/>
      <c r="IN3" s="14"/>
      <c r="IO3" s="14"/>
      <c r="IP3" s="14"/>
      <c r="IQ3" s="13" t="s">
        <v>12</v>
      </c>
      <c r="IR3" s="13" t="s">
        <v>7</v>
      </c>
      <c r="IS3" s="13" t="s">
        <v>23</v>
      </c>
      <c r="IT3" s="13" t="s">
        <v>24</v>
      </c>
      <c r="IU3" s="13" t="s">
        <v>12</v>
      </c>
      <c r="IV3" s="13" t="s">
        <v>7</v>
      </c>
      <c r="IW3" s="13" t="s">
        <v>23</v>
      </c>
      <c r="IX3" s="13" t="s">
        <v>24</v>
      </c>
      <c r="IY3" s="13" t="s">
        <v>12</v>
      </c>
      <c r="IZ3" s="13" t="s">
        <v>7</v>
      </c>
      <c r="JA3" s="13" t="s">
        <v>23</v>
      </c>
      <c r="JB3" s="13" t="s">
        <v>24</v>
      </c>
      <c r="JC3" s="13" t="s">
        <v>12</v>
      </c>
      <c r="JD3" s="13" t="s">
        <v>7</v>
      </c>
      <c r="JE3" s="13" t="s">
        <v>23</v>
      </c>
      <c r="JF3" s="13" t="s">
        <v>24</v>
      </c>
      <c r="JG3" s="16" t="s">
        <v>12</v>
      </c>
      <c r="JH3" s="16" t="s">
        <v>7</v>
      </c>
      <c r="JI3" s="16" t="s">
        <v>23</v>
      </c>
      <c r="JJ3" s="16" t="s">
        <v>24</v>
      </c>
      <c r="JK3" s="13"/>
      <c r="JL3" s="13"/>
      <c r="JM3" s="13"/>
      <c r="JN3" s="13"/>
      <c r="JO3" s="13"/>
      <c r="JP3" s="13"/>
      <c r="JQ3" s="13"/>
      <c r="JR3" s="13"/>
      <c r="JS3" s="14" t="s">
        <v>12</v>
      </c>
      <c r="JT3" s="14" t="s">
        <v>7</v>
      </c>
      <c r="JU3" s="14" t="s">
        <v>23</v>
      </c>
      <c r="JV3" s="14" t="s">
        <v>24</v>
      </c>
      <c r="JW3" s="14" t="s">
        <v>12</v>
      </c>
      <c r="JX3" s="14" t="s">
        <v>7</v>
      </c>
      <c r="JY3" s="14" t="s">
        <v>23</v>
      </c>
      <c r="JZ3" s="14" t="s">
        <v>24</v>
      </c>
      <c r="KA3" s="14" t="s">
        <v>12</v>
      </c>
      <c r="KB3" s="14" t="s">
        <v>7</v>
      </c>
      <c r="KC3" s="14" t="s">
        <v>23</v>
      </c>
      <c r="KD3" s="14" t="s">
        <v>24</v>
      </c>
      <c r="KE3" s="14" t="s">
        <v>12</v>
      </c>
      <c r="KF3" s="14" t="s">
        <v>7</v>
      </c>
      <c r="KG3" s="14" t="s">
        <v>23</v>
      </c>
      <c r="KH3" s="14" t="s">
        <v>24</v>
      </c>
      <c r="KI3" s="15" t="s">
        <v>12</v>
      </c>
      <c r="KJ3" s="15" t="s">
        <v>7</v>
      </c>
      <c r="KK3" s="15" t="s">
        <v>23</v>
      </c>
      <c r="KL3" s="15" t="s">
        <v>24</v>
      </c>
      <c r="KM3" s="14"/>
      <c r="KN3" s="14"/>
      <c r="KO3" s="14"/>
      <c r="KP3" s="14"/>
      <c r="KQ3" s="14"/>
      <c r="KR3" s="14"/>
      <c r="KS3" s="14"/>
      <c r="KT3" s="14"/>
      <c r="KU3" s="13" t="s">
        <v>12</v>
      </c>
      <c r="KV3" s="13" t="s">
        <v>7</v>
      </c>
      <c r="KW3" s="13" t="s">
        <v>23</v>
      </c>
      <c r="KX3" s="13" t="s">
        <v>24</v>
      </c>
      <c r="KY3" s="13" t="s">
        <v>12</v>
      </c>
      <c r="KZ3" s="13" t="s">
        <v>7</v>
      </c>
      <c r="LA3" s="13" t="s">
        <v>23</v>
      </c>
      <c r="LB3" s="13" t="s">
        <v>24</v>
      </c>
      <c r="LC3" s="13" t="s">
        <v>12</v>
      </c>
      <c r="LD3" s="13" t="s">
        <v>7</v>
      </c>
      <c r="LE3" s="13" t="s">
        <v>23</v>
      </c>
      <c r="LF3" s="13" t="s">
        <v>24</v>
      </c>
      <c r="LG3" s="13" t="s">
        <v>12</v>
      </c>
      <c r="LH3" s="13" t="s">
        <v>7</v>
      </c>
      <c r="LI3" s="13" t="s">
        <v>23</v>
      </c>
      <c r="LJ3" s="13" t="s">
        <v>24</v>
      </c>
      <c r="LK3" s="16" t="s">
        <v>12</v>
      </c>
      <c r="LL3" s="16" t="s">
        <v>7</v>
      </c>
      <c r="LM3" s="16" t="s">
        <v>23</v>
      </c>
      <c r="LN3" s="16" t="s">
        <v>24</v>
      </c>
      <c r="LO3" s="13"/>
      <c r="LP3" s="13"/>
      <c r="LQ3" s="13"/>
      <c r="LR3" s="13"/>
      <c r="LS3" s="13"/>
      <c r="LT3" s="13"/>
      <c r="LU3" s="13"/>
      <c r="LV3" s="13"/>
      <c r="LW3" s="14" t="s">
        <v>12</v>
      </c>
      <c r="LX3" s="14" t="s">
        <v>7</v>
      </c>
      <c r="LY3" s="14" t="s">
        <v>23</v>
      </c>
      <c r="LZ3" s="14" t="s">
        <v>24</v>
      </c>
      <c r="MA3" s="14" t="s">
        <v>12</v>
      </c>
      <c r="MB3" s="14" t="s">
        <v>7</v>
      </c>
      <c r="MC3" s="14" t="s">
        <v>23</v>
      </c>
      <c r="MD3" s="14" t="s">
        <v>24</v>
      </c>
      <c r="ME3" s="14" t="s">
        <v>12</v>
      </c>
      <c r="MF3" s="14" t="s">
        <v>7</v>
      </c>
      <c r="MG3" s="14" t="s">
        <v>23</v>
      </c>
      <c r="MH3" s="14" t="s">
        <v>24</v>
      </c>
      <c r="MI3" s="14" t="s">
        <v>12</v>
      </c>
      <c r="MJ3" s="14" t="s">
        <v>7</v>
      </c>
      <c r="MK3" s="14" t="s">
        <v>23</v>
      </c>
      <c r="ML3" s="14" t="s">
        <v>24</v>
      </c>
      <c r="MM3" s="15" t="s">
        <v>12</v>
      </c>
      <c r="MN3" s="15" t="s">
        <v>7</v>
      </c>
      <c r="MO3" s="15" t="s">
        <v>23</v>
      </c>
      <c r="MP3" s="15" t="s">
        <v>24</v>
      </c>
      <c r="MQ3" s="14"/>
      <c r="MR3" s="14"/>
      <c r="MS3" s="14"/>
      <c r="MT3" s="14"/>
      <c r="MU3" s="14"/>
      <c r="MV3" s="14"/>
      <c r="MW3" s="14"/>
      <c r="MX3" s="14"/>
      <c r="MY3" s="13" t="s">
        <v>12</v>
      </c>
      <c r="MZ3" s="13" t="s">
        <v>7</v>
      </c>
      <c r="NA3" s="13" t="s">
        <v>23</v>
      </c>
      <c r="NB3" s="13" t="s">
        <v>24</v>
      </c>
      <c r="NC3" s="13" t="s">
        <v>12</v>
      </c>
      <c r="ND3" s="13" t="s">
        <v>7</v>
      </c>
      <c r="NE3" s="13" t="s">
        <v>23</v>
      </c>
      <c r="NF3" s="13" t="s">
        <v>24</v>
      </c>
      <c r="NG3" s="13" t="s">
        <v>12</v>
      </c>
      <c r="NH3" s="13" t="s">
        <v>7</v>
      </c>
      <c r="NI3" s="13" t="s">
        <v>23</v>
      </c>
      <c r="NJ3" s="13" t="s">
        <v>24</v>
      </c>
      <c r="NK3" s="13" t="s">
        <v>12</v>
      </c>
      <c r="NL3" s="13" t="s">
        <v>7</v>
      </c>
      <c r="NM3" s="13" t="s">
        <v>23</v>
      </c>
      <c r="NN3" s="13" t="s">
        <v>24</v>
      </c>
      <c r="NO3" s="16" t="s">
        <v>12</v>
      </c>
      <c r="NP3" s="16" t="s">
        <v>7</v>
      </c>
      <c r="NQ3" s="16" t="s">
        <v>23</v>
      </c>
      <c r="NR3" s="16" t="s">
        <v>24</v>
      </c>
      <c r="NS3" s="13"/>
      <c r="NT3" s="13"/>
      <c r="NU3" s="13"/>
      <c r="NV3" s="13"/>
      <c r="NW3" s="13"/>
      <c r="NX3" s="13"/>
      <c r="NY3" s="13"/>
      <c r="NZ3" s="13"/>
      <c r="OA3" s="14" t="s">
        <v>12</v>
      </c>
      <c r="OB3" s="14" t="s">
        <v>7</v>
      </c>
      <c r="OC3" s="14" t="s">
        <v>23</v>
      </c>
      <c r="OD3" s="14" t="s">
        <v>24</v>
      </c>
      <c r="OE3" s="14" t="s">
        <v>12</v>
      </c>
      <c r="OF3" s="14" t="s">
        <v>7</v>
      </c>
      <c r="OG3" s="14" t="s">
        <v>23</v>
      </c>
      <c r="OH3" s="14" t="s">
        <v>24</v>
      </c>
      <c r="OI3" s="14" t="s">
        <v>12</v>
      </c>
      <c r="OJ3" s="14" t="s">
        <v>7</v>
      </c>
      <c r="OK3" s="14" t="s">
        <v>23</v>
      </c>
      <c r="OL3" s="14" t="s">
        <v>24</v>
      </c>
      <c r="OM3" s="14" t="s">
        <v>12</v>
      </c>
      <c r="ON3" s="14" t="s">
        <v>7</v>
      </c>
      <c r="OO3" s="14" t="s">
        <v>23</v>
      </c>
      <c r="OP3" s="14" t="s">
        <v>24</v>
      </c>
      <c r="OQ3" s="15" t="s">
        <v>12</v>
      </c>
      <c r="OR3" s="15" t="s">
        <v>7</v>
      </c>
      <c r="OS3" s="15" t="s">
        <v>23</v>
      </c>
      <c r="OT3" s="15" t="s">
        <v>24</v>
      </c>
      <c r="OU3" s="14"/>
      <c r="OV3" s="14"/>
      <c r="OW3" s="14"/>
      <c r="OX3" s="14"/>
      <c r="OY3" s="14"/>
      <c r="OZ3" s="14"/>
      <c r="PA3" s="14"/>
      <c r="PB3" s="14"/>
      <c r="PC3" s="13" t="s">
        <v>12</v>
      </c>
      <c r="PD3" s="13" t="s">
        <v>7</v>
      </c>
      <c r="PE3" s="13" t="s">
        <v>23</v>
      </c>
      <c r="PF3" s="13" t="s">
        <v>24</v>
      </c>
      <c r="PG3" s="13" t="s">
        <v>12</v>
      </c>
      <c r="PH3" s="13" t="s">
        <v>7</v>
      </c>
      <c r="PI3" s="13" t="s">
        <v>23</v>
      </c>
      <c r="PJ3" s="13" t="s">
        <v>24</v>
      </c>
      <c r="PK3" s="13" t="s">
        <v>12</v>
      </c>
      <c r="PL3" s="13" t="s">
        <v>7</v>
      </c>
      <c r="PM3" s="13" t="s">
        <v>23</v>
      </c>
      <c r="PN3" s="13" t="s">
        <v>24</v>
      </c>
      <c r="PO3" s="13" t="s">
        <v>12</v>
      </c>
      <c r="PP3" s="13" t="s">
        <v>7</v>
      </c>
      <c r="PQ3" s="13" t="s">
        <v>23</v>
      </c>
      <c r="PR3" s="13" t="s">
        <v>24</v>
      </c>
      <c r="PS3" s="16" t="s">
        <v>12</v>
      </c>
      <c r="PT3" s="16" t="s">
        <v>7</v>
      </c>
      <c r="PU3" s="16" t="s">
        <v>23</v>
      </c>
      <c r="PV3" s="16" t="s">
        <v>24</v>
      </c>
      <c r="PW3" s="13"/>
      <c r="PX3" s="13"/>
      <c r="PY3" s="13"/>
      <c r="PZ3" s="13"/>
      <c r="QA3" s="13"/>
      <c r="QB3" s="13"/>
      <c r="QC3" s="13"/>
      <c r="QD3" s="13"/>
      <c r="QE3" s="14" t="s">
        <v>12</v>
      </c>
      <c r="QF3" s="14" t="s">
        <v>7</v>
      </c>
      <c r="QG3" s="14" t="s">
        <v>23</v>
      </c>
      <c r="QH3" s="14" t="s">
        <v>24</v>
      </c>
      <c r="QI3" s="14" t="s">
        <v>12</v>
      </c>
      <c r="QJ3" s="14" t="s">
        <v>7</v>
      </c>
      <c r="QK3" s="14" t="s">
        <v>23</v>
      </c>
      <c r="QL3" s="14" t="s">
        <v>24</v>
      </c>
      <c r="QM3" s="14" t="s">
        <v>12</v>
      </c>
      <c r="QN3" s="14" t="s">
        <v>7</v>
      </c>
      <c r="QO3" s="14" t="s">
        <v>23</v>
      </c>
      <c r="QP3" s="14" t="s">
        <v>24</v>
      </c>
      <c r="QQ3" s="14" t="s">
        <v>12</v>
      </c>
      <c r="QR3" s="14" t="s">
        <v>7</v>
      </c>
      <c r="QS3" s="14" t="s">
        <v>23</v>
      </c>
      <c r="QT3" s="14" t="s">
        <v>24</v>
      </c>
      <c r="QU3" s="21" t="s">
        <v>12</v>
      </c>
      <c r="QV3" s="21" t="s">
        <v>7</v>
      </c>
      <c r="QW3" s="21" t="s">
        <v>23</v>
      </c>
      <c r="QX3" s="21" t="s">
        <v>24</v>
      </c>
      <c r="QY3" s="14" t="s">
        <v>45</v>
      </c>
      <c r="QZ3" s="14"/>
      <c r="RA3" s="14"/>
      <c r="RB3" s="14"/>
      <c r="RC3" s="14"/>
      <c r="RD3" s="14"/>
      <c r="RE3" s="14"/>
      <c r="RF3" s="14"/>
      <c r="RG3" s="14"/>
    </row>
    <row r="4" spans="1:475" x14ac:dyDescent="0.2">
      <c r="A4" s="4">
        <f>IF(AND(F4="P",G4="P"),SUMPRODUCT((F$4:F$37="P")*(G$4:G$37="P")*(E$4:E$37&gt;E4))+1,IF(G4="P",SUMPRODUCT((F$4:F$37="")*(G$4:G$37="P")*(E$4:E$37&gt;E4))+1+SUMPRODUCT((F$4:F$37="P")*(G$4:G$37="P")),""))</f>
        <v>1</v>
      </c>
      <c r="B4" s="5" t="s">
        <v>72</v>
      </c>
      <c r="C4" s="4" t="s">
        <v>5</v>
      </c>
      <c r="D4" s="4">
        <v>2003</v>
      </c>
      <c r="E4" s="9">
        <f>SUM(J4:R4)+SUM(J4:N4)*0.0000001+SUM(J4)*0.0000000000001</f>
        <v>202.56001437600591</v>
      </c>
      <c r="F4" s="3" t="str">
        <f t="shared" ref="F4:F36" si="0">IF(OR(AND(AP4&gt;=AW$39,AQ4&gt;=AW$43,AP4&lt;&gt;"",AO4=""),AND(AU4&gt;=AW$39,AV4&gt;=AW$43,AU4&lt;&gt;"",AO4=""),AND(BS4&gt;=BZ$39,BT4&gt;=BZ$43,BS4&lt;&gt;"",BR4=""),AND(BX4&gt;=BZ$39,BY4&gt;=BZ$43,BX4&lt;&gt;"",BR4=""),AND(CV4&gt;=DC$39,CW4&gt;=DC$43,CV4&lt;&gt;"",CU4=""),AND(DA4&gt;=DC$39,DB4&gt;=DC$43,DA4&lt;&gt;""),AND(EA4&gt;=EH$39,EB4&gt;=EH$43,EA4&lt;&gt;""),AND(EF4&gt;=EH$39,EG4&gt;=EH$43,EF4&lt;&gt;""),AND(FC4&gt;=FJ$39,FD4&gt;=FJ$43,FC4&lt;&gt;""),AND(FH4&gt;=FJ$39,FI4&gt;=FJ$43,FH4&lt;&gt;""),AND(GE4&gt;=GL$39,GF4&gt;=GL$43,GE4&lt;&gt;""),AND(GJ4&gt;=GL$39,GK4&gt;=GL$43,GJ4&lt;&gt;""),AND(HG4&gt;=HN$39,HH4&gt;=HN$43,HG4&lt;&gt;""),AND(HL4&gt;=HN$39,HM4&gt;=HN$43,HL4&lt;&gt;""),AND(II4&gt;=IP$39,IJ4&gt;=IP$43,II4&lt;&gt;""),AND(IN4&gt;=IP$39,IO4&gt;=IP$43,IN4&lt;&gt;""),AND(JK4&gt;=JR$39,JL4&gt;=JR$43,JK4&lt;&gt;""),AND(JP4&gt;=JR$39,JQ4&gt;=JR$43,JP4&lt;&gt;""),AND(KM4&gt;=KT$39,KN4&gt;=KT$43,KM4&lt;&gt;""),AND(KR4&gt;=KT$39,KS4&gt;=KT$43,KR4&lt;&gt;""),AND(LO4&gt;=LV$39,LP4&gt;=LV$43,LO4&lt;&gt;""),AND(LT4&gt;=LV$39,LU4&gt;=LV$43,LT4&lt;&gt;""),AND(MQ4&gt;=MX$39,MR4&gt;=MX$43,MQ4&lt;&gt;""),AND(MV4&gt;=MX$39,MW4&gt;=MX$43,MV4&lt;&gt;""),AND(NS4&gt;=NZ$39,NT4&gt;=NZ$43,NS4&lt;&gt;""),AND(NX4&gt;=NZ$39,NY4&gt;=NZ$43,NX4&lt;&gt;""),AND(OU4&gt;=PB$39,OV4&gt;=PB$43,OU4&lt;&gt;""),AND(OZ4&gt;=PB$39,PA4&gt;=PB$43,OZ4&lt;&gt;""),AND(PW4&gt;=QD$39,PX4&gt;=QD$43,PW4&lt;&gt;""),AND(QB4&gt;=QD$39,QC4&gt;=QD$43,QB4&lt;&gt;"")),"P","")</f>
        <v>P</v>
      </c>
      <c r="G4" s="3" t="str">
        <f t="shared" ref="G4:G36" si="1">IF(OR(AND(AQ4&gt;=AW$43,AQ4&lt;&gt;"",AO4=""),AND(AV4&gt;=AW$43,AV4&lt;&gt;"",AO4=""),AND(BT4&gt;=BZ$43,BT4&lt;&gt;"",BR4=""),AND(BY4&gt;=BZ$43,BY4&lt;&gt;"",BR4=""),AND(CW4&gt;=DC$43,CW4&lt;&gt;"",CU4=""),AND(DB4&gt;=DC$43,DB4&lt;&gt;"",CU4=""),AND(EB4&gt;=EH$43,EB4&lt;&gt;""),AND(EG4&gt;=EH$43,EG4&lt;&gt;""),AND(FD4&gt;=FJ$43,FD4&lt;&gt;""),AND(FI4&gt;=FJ$43,FI4&lt;&gt;""),AND(GF4&gt;=GL$43,GF4&lt;&gt;""),AND(GK4&gt;=GL$43,GK4&lt;&gt;""),AND(HH4&gt;=HN$43,HH4&lt;&gt;""),AND(HM4&gt;=HN$43,HM4&lt;&gt;""),AND(IJ4&gt;=IP$43,IJ4&lt;&gt;""),AND(IO4&gt;=IP$43,IO4&lt;&gt;""),AND(JL4&gt;=JR$43,JL4&lt;&gt;""),AND(JQ4&gt;=JR$43,JQ4&lt;&gt;""),AND(KN4&gt;=KT$43,KN4&lt;&gt;""),AND(KS4&gt;=KT$43,KS4&lt;&gt;""),AND(LP4&gt;=LV$43,LP4&lt;&gt;""),AND(LU4&gt;=LV$43,LU4&lt;&gt;""),AND(MR4&gt;=MX$43,MR4&lt;&gt;""),AND(MW4&gt;=MX$43,MW4&lt;&gt;""),AND(NT4&gt;=NZ$43,NT4&lt;&gt;""),AND(NY4&gt;=NZ$43,NY4&lt;&gt;""),AND(OV4&gt;=PB$43,OV4&lt;&gt;""),AND(PA4&gt;=PB$43,PA4&lt;&gt;""),AND(PX4&gt;=QD$43,PX4&lt;&gt;""),AND(QC4&gt;=QD$43,QC4&lt;&gt;"")),"P","")</f>
        <v>P</v>
      </c>
      <c r="H4" s="36" t="str">
        <f t="shared" ref="H4:H36" si="2">IF(AND(G4="P",F4=""),"No DD",IF(OR(AND(AS4&gt;=AW$42,AT4&gt;=AW$46,AS4&lt;&gt;"",AO4=""),AND(BV4&gt;=BZ$42,BW4&gt;=BZ$46,BV4&lt;&gt;"",BR4=""),AND(CY4&gt;=DC$42,CZ4&gt;=DC$46,CY4&lt;&gt;"",CU4=""),AND(ED4&gt;=EH$42,EE4&gt;=EH$46,ED4&lt;&gt;""),AND(FF4&gt;=FJ$42,FG4&gt;=FJ$46,FF4&lt;&gt;""),AND(GH4&gt;=GL$42,GI4&gt;=GL$46,GH4&lt;&gt;""),AND(HJ4&gt;=HN$42,HK4&gt;=HN$46,HJ4&lt;&gt;""),AND(IL4&gt;=IP$42,IM4&gt;=IP$46,IL4&lt;&gt;""),AND(JN4&gt;=JR$42,JO4&gt;=JR$46,JN4&lt;&gt;""),AND(KP4&gt;=KT$42,KQ4&gt;=KT$46,KP4&lt;&gt;""),AND(LR4&gt;=LV$42,LS4&gt;=LV$46,LR4&lt;&gt;""),AND(MT4&gt;=MX$42,MU4&gt;=MX$46,MT4&lt;&gt;""),AND(NV4&gt;=NZ$42,NW4&gt;=NZ$46,NV4&lt;&gt;""),AND(OX4&gt;=PB$42,OY4&gt;=PB$46,OX4&lt;&gt;""),AND(PZ4&gt;=QD$42,QA4&gt;=QD$46,PZ4&lt;&gt;"")),"Merit",IF(OR(AND(AS4&gt;=AW$41,AT4&gt;=AW$45,AS4&lt;&gt;"",AO4=""),AND(BV4&gt;=BZ$41,BW4&gt;=BZ$45,BV4&lt;&gt;"",BR4=""),AND(CY4&gt;=DC$41,CZ4&gt;=DC$45,CY4&lt;&gt;"",CU4=""),AND(ED4&gt;=EH$41,EE4&gt;=EH$45,ED4&lt;&gt;""),AND(FF4&gt;=FJ$41,FG4&gt;=FJ$45,FF4&lt;&gt;""),AND(GH4&gt;=GL$41,GI4&gt;=GL$45,GH4&lt;&gt;""),AND(HJ4&gt;=HN$41,HK4&gt;=HN$45,HJ4&lt;&gt;""),AND(IL4&gt;=IP$41,IM4&gt;=IP$45,IL4&lt;&gt;""),AND(JN4&gt;=JR$41,JO4&gt;=JR$45,JN4&lt;&gt;""),AND(KP4&gt;=KT$41,KQ4&gt;=KT$45,KP4&lt;&gt;""),AND(LR4&gt;=LV$41,LS4&gt;=LV$45,LR4&lt;&gt;""),AND(MT4&gt;=MX$41,MU4&gt;=MX$45,MT4&lt;&gt;""),AND(NV4&gt;=NZ$41,NW4&gt;=NZ$45,NV4&lt;&gt;""),AND(OX4&gt;=PB$41,OY4&gt;=PB$45,OX4&lt;&gt;""),AND(PZ4&gt;=QD$41,QA4&gt;=QD$45,PZ4&lt;&gt;"")),"Excellence",IF(I4="P","Worlds Team",IF(F4="P","National Team","")))))</f>
        <v>National Team</v>
      </c>
      <c r="I4" s="3" t="str">
        <f t="shared" ref="I4:I36" si="3">IF(OR(AND(AS4&gt;=AW$40,AT4&gt;=AW$44,AS4&lt;&gt;"",AO4=""),AND(BV4&gt;=BZ$40,BW4&gt;=BZ$44,BV4&lt;&gt;"",BR4=""),AND(CY4&gt;=DC$40,CZ4&gt;=DC$44,CY4&lt;&gt;"",CU4=""),AND(ED4&gt;=EH$40,EE4&gt;=EH$44,ED4&lt;&gt;""),AND(FF4&gt;=FJ$40,FG4&gt;=FJ$44,FF4&lt;&gt;""),AND(GH4&gt;=GL$40,GI4&gt;=GL$44,GH4&lt;&gt;""),AND(HJ4&gt;=HN$40,HK4&gt;=HN$44,HJ4&lt;&gt;""),AND(IL4&gt;=IP$40,IM4&gt;=IP$44,IL4&lt;&gt;""),AND(JN4&gt;=JR$40,JO4&gt;=JR$44,JN4&lt;&gt;""),AND(KP4&gt;=KT$40,KQ4&gt;=KT$44,KP4&lt;&gt;""),AND(LR4&gt;=LV$40,LS4&gt;=LV$44,LR4&lt;&gt;""),AND(MT4&gt;=MX$40,MU4&gt;=MX$44,MT4&lt;&gt;""),AND(NV4&gt;=NZ$40,NW4&gt;=NZ$44,NV4&lt;&gt;""),AND(OX4&gt;=PB$40,OY4&gt;=PB$44,OX4&lt;&gt;""),AND(PZ4&gt;=QD$40,QA4&gt;=QD$44,PZ4&lt;&gt;"")),"P","")</f>
        <v/>
      </c>
      <c r="J4" s="8">
        <f>IF(COUNT(AQ4,BT4,CW4)&gt;0,LARGE((AQ4,BT4,CW4),1),0)</f>
        <v>58.699999999999996</v>
      </c>
      <c r="K4" s="8" t="str">
        <f t="shared" ref="K4:K36" si="4">IF(J4=0,"",IF(J4=CW4,$CA$1,IF(J4=BT4,$AX$1,IF(J4=AQ4,$U$1,""))))</f>
        <v>2023 Elite Canada</v>
      </c>
      <c r="L4" s="8">
        <f>IF(COUNT(AQ4,BT4,CW4)&gt;1,LARGE((AQ4,BT4,CW4),2),0)</f>
        <v>56.760000000000005</v>
      </c>
      <c r="M4" s="8" t="str">
        <f t="shared" ref="M4:M36" si="5">IF(L4=0,"",IF(L4=CW4,$CA$1,IF(L4=BT4,$AX$1,IF(L4=AQ4,$U$1,""))))</f>
        <v>2022 3rd Domestic Trial</v>
      </c>
      <c r="N4" s="8">
        <f>IF(COUNT(AR4,BU4,CX4)&gt;0,LARGE((AR4,BU4,CX4),1),0)</f>
        <v>28.3</v>
      </c>
      <c r="O4" s="8" t="str">
        <f t="shared" ref="O4:O36" si="6">IF(N4=0,"",IF(N4=CX4,$CA$1,IF(N4=BU4,$AX$1,IF(N4=AR4,$U$1,""))))</f>
        <v>2022 Nationals</v>
      </c>
      <c r="P4" s="8">
        <f t="shared" ref="P4:P36" si="7">IF(MAX(AV4,BY4,DB4)&gt;0,MAX(AV4,BY4,DB4),0)</f>
        <v>58.800000000000004</v>
      </c>
      <c r="Q4" s="8" t="str">
        <f t="shared" ref="Q4:Q36" si="8">IF(P4=0,"",IF(P4=DB4,$CA$1,IF(P4=BY4,$AX$1,IF(P4=AV4,$U$1,""))))</f>
        <v>2023 Elite Canada</v>
      </c>
      <c r="R4" s="8" t="str">
        <f t="shared" ref="R4:R36" si="9">IF(MAX(DD4:DF4)&gt;0,MAX(DD4:DF4),"")</f>
        <v/>
      </c>
      <c r="S4" s="11" t="str">
        <f t="shared" ref="S4:S36" si="10">IF(R4="","",IF(R4=DD4,"("&amp;DD$2&amp;")",IF(R4=DE4,"("&amp;DE$2&amp;")",IF(R4=DF4,"("&amp;DF$2&amp;")"))))</f>
        <v/>
      </c>
      <c r="T4" s="8" t="str">
        <f t="shared" ref="T4:T36" si="11">IF(R4="","",IF(R4=DD4,IF(R4+IF(L4="",0,L4)=PX4,$PC$1,IF(R4+IF(L4="",0,L4)=OV4,$OA$1,IF(R4+IF(L4="",0,L4)=NT4,$MY$1,IF(R4+IF(L4="",0,L4)=MR4,$LW$1,IF(R4+IF(L4="",0,L4)=LP4,$KU$1,IF(R4+IF(L4="",0,L4)=KN4,$JS$1,IF(R4+IF(L4="",0,L4)=JL4,$IQ$1,IF(R4+IF(L4="",0,L4)=IJ4,$HO$1,IF(R4+IF(L4="",0,L4)=HH4,$GM$1,IF(R4+IF(L4="",0,L4)=GF4,$FK$1,IF(R4+IF(L4="",0,L4)=FD4,$EI$1,IF(R4+IF(L4="",0,L4)=EB4,$DG$1)))))))))))),IF(R4=DE4,IF(R4+IF(N4="",0,N4)=PY4,$PC$1,IF(R4+IF(N4="",0,N4)=OW4,$OA$1,IF(R4+IF(N4="",0,N4)=NU4,$MY$1,IF(R4+IF(N4="",0,N4)=MS4,$LW$1,IF(R4+IF(N4="",0,N4)=LQ4,$KU$1,IF(R4+IF(N4="",0,N4)=KO4,$JS$1,IF(R4+IF(N4="",0,N4)=JM4,$IQ$1,IF(R4+IF(N4="",0,N4)=IK4,$HO$1,IF(R4+IF(N4="",0,N4)=HI4,$GM$1,IF(R4+IF(N4="",0,N4)=GG4,$FK$1,IF(R4+IF(N4="",0,N4)=FE4,$EI$1,IF(R4+IF(N4="",0,N4)=EC4,$DG$1)))))))))))),IF(R4=DF4,IF(R4+IF(P4="",0,P4)=QC4,$PC$1,IF(R4+IF(P4="",0,P4)=PA4,$OA$1,IF(R4+IF(P4="",0,P4)=NY4,$MY$1,IF(R4+IF(P4="",0,P4)=MW4,$LW$1,IF(R4+IF(P4="",0,P4)=LU4,$KU$1,IF(R4+IF(P4="",0,P4)=KS4,$JS$1,IF(R4+IF(P4="",0,P4)=JQ4,$IQ$1,IF(R4+IF(P4="",0,P4)=IO4,$HO$1,IF(R4+IF(P4="",0,P4)=HM4,$GM$1,IF(R4+IF(P4="",0,P4)=GK4,$FK$1,IF(R4+IF(P4="",0,P4)=FI4,$EI$1,IF(R4+IF(P4="",0,P4)=EG4,$DG$1))))))))))))))))</f>
        <v/>
      </c>
      <c r="U4" s="19">
        <v>18.7</v>
      </c>
      <c r="V4" s="19">
        <v>9.1999999999999993</v>
      </c>
      <c r="W4" s="19">
        <v>0.8</v>
      </c>
      <c r="X4" s="19">
        <v>0.3</v>
      </c>
      <c r="Y4" s="19">
        <v>18.2</v>
      </c>
      <c r="Z4" s="19">
        <v>9.6</v>
      </c>
      <c r="AA4" s="19">
        <v>0.6</v>
      </c>
      <c r="AB4" s="19">
        <v>0.3</v>
      </c>
      <c r="AC4" s="19">
        <v>19.2</v>
      </c>
      <c r="AD4" s="19">
        <v>8.8000000000000007</v>
      </c>
      <c r="AE4" s="19">
        <v>0</v>
      </c>
      <c r="AF4" s="19">
        <v>0.3</v>
      </c>
      <c r="AG4" s="19">
        <v>17.899999999999999</v>
      </c>
      <c r="AH4" s="19">
        <v>10.8</v>
      </c>
      <c r="AI4" s="19">
        <v>0.2</v>
      </c>
      <c r="AJ4" s="19">
        <v>0.6</v>
      </c>
      <c r="AK4" s="19">
        <v>19</v>
      </c>
      <c r="AL4" s="19">
        <v>10</v>
      </c>
      <c r="AM4" s="19">
        <v>0</v>
      </c>
      <c r="AN4" s="19">
        <v>0.6</v>
      </c>
      <c r="AO4" s="27"/>
      <c r="AP4" s="40">
        <f t="shared" ref="AP4:AP36" si="12">IF(SUM(V4,Z4)&gt;0,SUM(V4,Z4),"")</f>
        <v>18.799999999999997</v>
      </c>
      <c r="AQ4" s="40">
        <f t="shared" ref="AQ4:AQ36" si="13">IF(SUM(U4:V4,X4:Z4,AB4)-W4-AA4&gt;0,SUM(U4:V4,X4:Z4,AB4)-W4-AA4,"")</f>
        <v>54.9</v>
      </c>
      <c r="AR4" s="40">
        <f t="shared" ref="AR4:AR36" si="14">IF(SUM(AC4:AD4,AF4)-AE4&gt;0,SUM(AC4:AD4,AF4)-AE4,"")</f>
        <v>28.3</v>
      </c>
      <c r="AS4" s="40">
        <f t="shared" ref="AS4:AS36" si="15">IF(SUM(V4,Z4,AD4)&gt;0,SUM(V4,Z4,AD4),"")</f>
        <v>27.599999999999998</v>
      </c>
      <c r="AT4" s="40">
        <f t="shared" ref="AT4:AT36" si="16">IF(SUM(AQ4,AR4)&gt;0,SUM(AQ4,AR4),"")</f>
        <v>83.2</v>
      </c>
      <c r="AU4" s="40">
        <f t="shared" ref="AU4:AU36" si="17">IF(SUM(AH4,AL4)&gt;0,SUM(AH4,AL4),"")</f>
        <v>20.8</v>
      </c>
      <c r="AV4" s="40">
        <f t="shared" ref="AV4:AV36" si="18">IF(SUM(AG4:AH4,AJ4:AL4,AN4)-SUM(AI4,AM4)&gt;0,SUM(AG4:AH4,AJ4:AL4,AN4)-SUM(AI4,AM4),"")</f>
        <v>58.699999999999996</v>
      </c>
      <c r="AW4" s="40">
        <f t="shared" ref="AW4:AW36" si="19">IF(SUM(AQ4,AV4)&gt;0,SUM(AQ4,AV4),"")</f>
        <v>113.6</v>
      </c>
      <c r="AX4" s="18">
        <v>18.600000000000001</v>
      </c>
      <c r="AY4" s="18">
        <v>9.3000000000000007</v>
      </c>
      <c r="AZ4" s="18">
        <v>0.6</v>
      </c>
      <c r="BA4" s="18">
        <v>0.3</v>
      </c>
      <c r="BB4" s="18">
        <v>17.96</v>
      </c>
      <c r="BC4" s="18">
        <v>10.8</v>
      </c>
      <c r="BD4" s="18">
        <v>0.2</v>
      </c>
      <c r="BE4" s="18">
        <v>0.6</v>
      </c>
      <c r="BF4" s="18">
        <v>17.600000000000001</v>
      </c>
      <c r="BG4" s="18">
        <v>3.6</v>
      </c>
      <c r="BH4" s="18">
        <v>0</v>
      </c>
      <c r="BI4" s="18">
        <v>0</v>
      </c>
      <c r="BJ4" s="18">
        <v>17.600000000000001</v>
      </c>
      <c r="BK4" s="18">
        <v>4.8</v>
      </c>
      <c r="BL4" s="18">
        <v>0</v>
      </c>
      <c r="BM4" s="18">
        <v>0.3</v>
      </c>
      <c r="BN4" s="18">
        <v>18.2</v>
      </c>
      <c r="BO4" s="18">
        <v>9.6</v>
      </c>
      <c r="BP4" s="18">
        <v>0</v>
      </c>
      <c r="BQ4" s="18">
        <v>0.3</v>
      </c>
      <c r="BR4" s="28"/>
      <c r="BS4" s="11">
        <f t="shared" ref="BS4:BS36" si="20">IF(SUM(AY4,BC4)&gt;0,SUM(AY4,BC4),"")</f>
        <v>20.100000000000001</v>
      </c>
      <c r="BT4" s="11">
        <f t="shared" ref="BT4:BT36" si="21">IF(SUM(AX4:AY4,BA4:BC4,BE4)-AZ4-BD4&gt;0,SUM(AX4:AY4,BA4:BC4,BE4)-AZ4-BD4,"")</f>
        <v>56.760000000000005</v>
      </c>
      <c r="BU4" s="11">
        <f t="shared" ref="BU4:BU36" si="22">IF(SUM(BF4:BG4,BI4)-BH4&gt;0,SUM(BF4:BG4,BI4)-BH4,"")</f>
        <v>21.200000000000003</v>
      </c>
      <c r="BV4" s="11">
        <f t="shared" ref="BV4:BV36" si="23">IF(SUM(AY4,BC4,BG4)&gt;0,SUM(AY4,BC4,BG4),"")</f>
        <v>23.700000000000003</v>
      </c>
      <c r="BW4" s="11">
        <f t="shared" ref="BW4:BW36" si="24">IF(SUM(BT4,BU4)&gt;0,SUM(BT4,BU4),"")</f>
        <v>77.960000000000008</v>
      </c>
      <c r="BX4" s="11">
        <f t="shared" ref="BX4:BX36" si="25">IF(SUM(BK4,BO4)&gt;0,SUM(BK4,BO4),"")</f>
        <v>14.399999999999999</v>
      </c>
      <c r="BY4" s="11">
        <f t="shared" ref="BY4:BY36" si="26">IF(SUM(BJ4:BK4,BM4:BO4,BQ4)-SUM(BL4,BP4)&gt;0,SUM(BJ4:BK4,BM4:BO4,BQ4)-SUM(BL4,BP4),"")</f>
        <v>50.800000000000004</v>
      </c>
      <c r="BZ4" s="11">
        <f t="shared" ref="BZ4:BZ36" si="27">IF(SUM(BT4,BY4)&gt;0,SUM(BT4,BY4),"")</f>
        <v>107.56</v>
      </c>
      <c r="CA4" s="19">
        <v>18.8</v>
      </c>
      <c r="CB4" s="19">
        <v>10</v>
      </c>
      <c r="CC4" s="19">
        <v>0.2</v>
      </c>
      <c r="CD4" s="19">
        <v>0.6</v>
      </c>
      <c r="CE4" s="19">
        <v>18.3</v>
      </c>
      <c r="CF4" s="19">
        <v>10.8</v>
      </c>
      <c r="CG4" s="19">
        <v>0.2</v>
      </c>
      <c r="CH4" s="19">
        <v>0.6</v>
      </c>
      <c r="CI4" s="19">
        <v>19.2</v>
      </c>
      <c r="CJ4" s="19">
        <v>8.4</v>
      </c>
      <c r="CK4" s="19">
        <v>0</v>
      </c>
      <c r="CL4" s="19">
        <v>0</v>
      </c>
      <c r="CM4" s="19">
        <v>19</v>
      </c>
      <c r="CN4" s="19">
        <v>10</v>
      </c>
      <c r="CO4" s="19">
        <v>0.2</v>
      </c>
      <c r="CP4" s="19">
        <v>0.6</v>
      </c>
      <c r="CQ4" s="19">
        <v>18.600000000000001</v>
      </c>
      <c r="CR4" s="19">
        <v>10.8</v>
      </c>
      <c r="CS4" s="19">
        <v>0.6</v>
      </c>
      <c r="CT4" s="19">
        <v>0.6</v>
      </c>
      <c r="CU4" s="27"/>
      <c r="CV4" s="40">
        <f t="shared" ref="CV4:CV36" si="28">IF(SUM(CB4,CF4)&gt;0,SUM(CB4,CF4),"")</f>
        <v>20.8</v>
      </c>
      <c r="CW4" s="40">
        <f t="shared" ref="CW4:CW36" si="29">IF(SUM(CA4:CB4,CD4:CF4,CH4)-CC4-CG4&gt;0,SUM(CA4:CB4,CD4:CF4,CH4)-CC4-CG4,"")</f>
        <v>58.699999999999996</v>
      </c>
      <c r="CX4" s="40">
        <f t="shared" ref="CX4:CX36" si="30">IF(SUM(CI4:CJ4,CL4)-CK4&gt;0,SUM(CI4:CJ4,CL4)-CK4,"")</f>
        <v>27.6</v>
      </c>
      <c r="CY4" s="40">
        <f t="shared" ref="CY4:CY36" si="31">IF(SUM(CB4,CF4,CJ4)&gt;0,SUM(CB4,CF4,CJ4),"")</f>
        <v>29.200000000000003</v>
      </c>
      <c r="CZ4" s="40">
        <f t="shared" ref="CZ4:CZ36" si="32">IF(SUM(CW4,CX4)&gt;0,SUM(CW4,CX4),"")</f>
        <v>86.3</v>
      </c>
      <c r="DA4" s="40">
        <f t="shared" ref="DA4:DA36" si="33">IF(SUM(CN4,CR4)&gt;0,SUM(CN4,CR4),"")</f>
        <v>20.8</v>
      </c>
      <c r="DB4" s="40">
        <f t="shared" ref="DB4:DB36" si="34">IF(SUM(CM4:CN4,CP4:CR4,CT4)-SUM(CO4,CS4)&gt;0,SUM(CM4:CN4,CP4:CR4,CT4)-SUM(CO4,CS4),"")</f>
        <v>58.800000000000004</v>
      </c>
      <c r="DC4" s="40">
        <f t="shared" ref="DC4:DC36" si="35">IF(SUM(CW4,DB4)&gt;0,SUM(CW4,DB4),"")</f>
        <v>117.5</v>
      </c>
      <c r="DD4" s="50" t="str">
        <f t="shared" ref="DD4:DD36" si="36">IF(MAX(EB4,FD4,GF4,HH4,IJ4,JL4,KN4,LP4,MR4,NT4,OV4,PX4)-IF(L4="",0,L4)&gt;0.001,MAX(EB4,FD4,GF4,HH4,IJ4,JL4,KN4,LP4,MR4,NT4,OV4,PX4)-IF(L4="",0,L4),"")</f>
        <v/>
      </c>
      <c r="DE4" s="50" t="str">
        <f t="shared" ref="DE4:DE36" si="37">IF(MAX(EC4,FE4,GG4,HI4,IK4,JM4,KO4,LQ4,MS4,NU4,OW4,PY4)-IF(N4="",0,N4)&gt;0.001,MAX(EC4,FE4,GG4,HI4,IK4,JM4,KO4,LQ4,MS4,NU4,OW4,PY4)-IF(N4="",0,N4),"")</f>
        <v/>
      </c>
      <c r="DF4" s="50" t="str">
        <f t="shared" ref="DF4:DF36" si="38">IF(MAX(EG4,FI4,GK4,HM4,IO4,JQ4,KS4,LU4,MW4,NY4,PA4,QC4)-IF(P4="",0,P4)&gt;0.001,MAX(EG4,FI4,GK4,HM4,IO4,JQ4,KS4,LU4,MW4,NY4,PA4,QC4)-IF(P4="",0,P4),"")</f>
        <v/>
      </c>
      <c r="DG4" s="17">
        <v>18.600000000000001</v>
      </c>
      <c r="DH4" s="17">
        <v>7.2</v>
      </c>
      <c r="DI4" s="17">
        <v>0</v>
      </c>
      <c r="DJ4" s="17">
        <v>0</v>
      </c>
      <c r="DK4" s="17">
        <v>19.100000000000001</v>
      </c>
      <c r="DL4" s="17">
        <v>8.4</v>
      </c>
      <c r="DM4" s="17">
        <v>0.2</v>
      </c>
      <c r="DN4" s="17">
        <v>0</v>
      </c>
      <c r="DO4" s="17"/>
      <c r="DP4" s="17"/>
      <c r="DQ4" s="17"/>
      <c r="DR4" s="17"/>
      <c r="DS4" s="17">
        <v>18.2</v>
      </c>
      <c r="DT4" s="17">
        <v>6.4</v>
      </c>
      <c r="DU4" s="17">
        <v>0.8</v>
      </c>
      <c r="DV4" s="17">
        <v>0</v>
      </c>
      <c r="DW4" s="17">
        <v>17.600000000000001</v>
      </c>
      <c r="DX4" s="17">
        <v>4</v>
      </c>
      <c r="DY4" s="17">
        <v>0</v>
      </c>
      <c r="DZ4" s="17">
        <v>0</v>
      </c>
      <c r="EA4" s="40">
        <f t="shared" ref="EA4:EA36" si="39">IF(SUM(DH4,DL4)&gt;0,SUM(DH4,DL4),"")</f>
        <v>15.600000000000001</v>
      </c>
      <c r="EB4" s="40">
        <f t="shared" ref="EB4:EB36" si="40">IF(SUM(DG4:DH4,DJ4:DL4,DN4)-DI4-DM4&gt;0,SUM(DG4:DH4,DJ4:DL4,DN4)-DI4-DM4,"")</f>
        <v>53.1</v>
      </c>
      <c r="EC4" s="40" t="str">
        <f t="shared" ref="EC4:EC36" si="41">IF(SUM(DO4:DP4,DR4)-DQ4&gt;0,SUM(DO4:DP4,DR4)-DQ4,"")</f>
        <v/>
      </c>
      <c r="ED4" s="40">
        <f t="shared" ref="ED4:ED36" si="42">IF(SUM(DH4,DL4,DP4)&gt;0,SUM(DH4,DL4,DP4),"")</f>
        <v>15.600000000000001</v>
      </c>
      <c r="EE4" s="40">
        <f t="shared" ref="EE4:EE36" si="43">IF(SUM(EB4,EC4)&gt;0,SUM(EB4,EC4),"")</f>
        <v>53.1</v>
      </c>
      <c r="EF4" s="40">
        <f t="shared" ref="EF4:EF36" si="44">IF(SUM(DT4,DX4)&gt;0,SUM(DT4,DX4),"")</f>
        <v>10.4</v>
      </c>
      <c r="EG4" s="40">
        <f t="shared" ref="EG4:EG36" si="45">IF(SUM(DS4:DT4,DV4:DX4,DZ4)-SUM(DU4,DY4)&gt;0,SUM(DS4:DT4,DV4:DX4,DZ4)-SUM(DU4,DY4),"")</f>
        <v>45.400000000000006</v>
      </c>
      <c r="EH4" s="40">
        <f t="shared" ref="EH4:EH36" si="46">IF(SUM(EB4,EG4)&gt;0,SUM(EB4,EG4),"")</f>
        <v>98.5</v>
      </c>
      <c r="EI4" s="18">
        <v>18.600000000000001</v>
      </c>
      <c r="EJ4" s="18">
        <v>8.8000000000000007</v>
      </c>
      <c r="EK4" s="18">
        <v>0.6</v>
      </c>
      <c r="EL4" s="18">
        <v>0</v>
      </c>
      <c r="EM4" s="18">
        <v>18.8</v>
      </c>
      <c r="EN4" s="18">
        <v>8.4</v>
      </c>
      <c r="EO4" s="18">
        <v>0</v>
      </c>
      <c r="EP4" s="18">
        <v>0</v>
      </c>
      <c r="EQ4" s="18"/>
      <c r="ER4" s="18"/>
      <c r="ES4" s="18"/>
      <c r="ET4" s="18"/>
      <c r="EU4" s="18">
        <v>18.2</v>
      </c>
      <c r="EV4" s="18">
        <v>8</v>
      </c>
      <c r="EW4" s="18">
        <v>0</v>
      </c>
      <c r="EX4" s="18">
        <v>0</v>
      </c>
      <c r="EY4" s="18"/>
      <c r="EZ4" s="18"/>
      <c r="FA4" s="18"/>
      <c r="FB4" s="18"/>
      <c r="FC4" s="11">
        <f t="shared" ref="FC4:FC36" si="47">IF(SUM(EJ4,EN4)&gt;0,SUM(EJ4,EN4),"")</f>
        <v>17.200000000000003</v>
      </c>
      <c r="FD4" s="11">
        <f t="shared" ref="FD4:FD36" si="48">IF(SUM(EI4:EJ4,EL4:EN4,EP4)-EK4-EO4&gt;0,SUM(EI4:EJ4,EL4:EN4,EP4)-EK4-EO4,"")</f>
        <v>54</v>
      </c>
      <c r="FE4" s="11" t="str">
        <f t="shared" ref="FE4:FE36" si="49">IF(SUM(EQ4:ER4,ET4)-ES4&gt;0,SUM(EQ4:ER4,ET4)-ES4,"")</f>
        <v/>
      </c>
      <c r="FF4" s="11">
        <f t="shared" ref="FF4:FF36" si="50">IF(SUM(EJ4,EN4,ER4)&gt;0,SUM(EJ4,EN4,ER4),"")</f>
        <v>17.200000000000003</v>
      </c>
      <c r="FG4" s="11">
        <f t="shared" ref="FG4:FG36" si="51">IF(SUM(FD4,FE4)&gt;0,SUM(FD4,FE4),"")</f>
        <v>54</v>
      </c>
      <c r="FH4" s="11">
        <f t="shared" ref="FH4:FH36" si="52">IF(SUM(EV4,EZ4)&gt;0,SUM(EV4,EZ4),"")</f>
        <v>8</v>
      </c>
      <c r="FI4" s="11">
        <f t="shared" ref="FI4:FI36" si="53">IF(SUM(EU4:EV4,EX4:EZ4,FB4)-SUM(EW4,FA4)&gt;0,SUM(EU4:EV4,EX4:EZ4,FB4)-SUM(EW4,FA4),"")</f>
        <v>26.2</v>
      </c>
      <c r="FJ4" s="11">
        <f t="shared" ref="FJ4:FJ36" si="54">IF(SUM(FD4,FI4)&gt;0,SUM(FD4,FI4),"")</f>
        <v>80.2</v>
      </c>
      <c r="FK4" s="17">
        <v>19</v>
      </c>
      <c r="FL4" s="17">
        <v>8.8000000000000007</v>
      </c>
      <c r="FM4" s="17">
        <v>0.6</v>
      </c>
      <c r="FN4" s="17">
        <v>0</v>
      </c>
      <c r="FO4" s="17">
        <v>19</v>
      </c>
      <c r="FP4" s="17">
        <v>8.4</v>
      </c>
      <c r="FQ4" s="17">
        <v>0.2</v>
      </c>
      <c r="FR4" s="17">
        <v>0</v>
      </c>
      <c r="FS4" s="17"/>
      <c r="FT4" s="17"/>
      <c r="FU4" s="17"/>
      <c r="FV4" s="17"/>
      <c r="FW4" s="17">
        <v>19</v>
      </c>
      <c r="FX4" s="17">
        <v>8.8000000000000007</v>
      </c>
      <c r="FY4" s="17">
        <v>0</v>
      </c>
      <c r="FZ4" s="17">
        <v>0</v>
      </c>
      <c r="GA4" s="17">
        <v>18.399999999999999</v>
      </c>
      <c r="GB4" s="17">
        <v>8.6999999999999993</v>
      </c>
      <c r="GC4" s="17">
        <v>0.6</v>
      </c>
      <c r="GD4" s="17">
        <v>0</v>
      </c>
      <c r="GE4" s="40">
        <f t="shared" ref="GE4:GE36" si="55">IF(SUM(FL4,FP4)&gt;0,SUM(FL4,FP4),"")</f>
        <v>17.200000000000003</v>
      </c>
      <c r="GF4" s="40">
        <f t="shared" ref="GF4:GF36" si="56">IF(SUM(FK4:FL4,FN4:FP4,FR4)-FM4-FQ4&gt;0,SUM(FK4:FL4,FN4:FP4,FR4)-FM4-FQ4,"")</f>
        <v>54.399999999999991</v>
      </c>
      <c r="GG4" s="40" t="str">
        <f t="shared" ref="GG4:GG36" si="57">IF(SUM(FS4:FT4,FV4)-FU4&gt;0,SUM(FS4:FT4,FV4)-FU4,"")</f>
        <v/>
      </c>
      <c r="GH4" s="40">
        <f t="shared" ref="GH4:GH36" si="58">IF(SUM(FL4,FP4,FT4)&gt;0,SUM(FL4,FP4,FT4),"")</f>
        <v>17.200000000000003</v>
      </c>
      <c r="GI4" s="40">
        <f t="shared" ref="GI4:GI36" si="59">IF(SUM(GF4,GG4)&gt;0,SUM(GF4,GG4),"")</f>
        <v>54.399999999999991</v>
      </c>
      <c r="GJ4" s="40">
        <f t="shared" ref="GJ4:GJ36" si="60">IF(SUM(FX4,GB4)&gt;0,SUM(FX4,GB4),"")</f>
        <v>17.5</v>
      </c>
      <c r="GK4" s="40">
        <f t="shared" ref="GK4:GK36" si="61">IF(SUM(FW4:FX4,FZ4:GB4,GD4)-SUM(FY4,GC4)&gt;0,SUM(FW4:FX4,FZ4:GB4,GD4)-SUM(FY4,GC4),"")</f>
        <v>54.300000000000004</v>
      </c>
      <c r="GL4" s="40">
        <f t="shared" ref="GL4:GL36" si="62">IF(SUM(GF4,GK4)&gt;0,SUM(GF4,GK4),"")</f>
        <v>108.69999999999999</v>
      </c>
      <c r="GM4" s="18"/>
      <c r="GN4" s="18"/>
      <c r="GO4" s="18"/>
      <c r="GP4" s="18"/>
      <c r="GQ4" s="18"/>
      <c r="GR4" s="18"/>
      <c r="GS4" s="18"/>
      <c r="GT4" s="18"/>
      <c r="GU4" s="18"/>
      <c r="GV4" s="18"/>
      <c r="GW4" s="18"/>
      <c r="GX4" s="18"/>
      <c r="GY4" s="18"/>
      <c r="GZ4" s="18"/>
      <c r="HA4" s="18"/>
      <c r="HB4" s="18"/>
      <c r="HC4" s="18"/>
      <c r="HD4" s="18"/>
      <c r="HE4" s="18"/>
      <c r="HF4" s="18"/>
      <c r="HG4" s="11" t="str">
        <f t="shared" ref="HG4:HG36" si="63">IF(SUM(GN4,GR4)&gt;0,SUM(GN4,GR4),"")</f>
        <v/>
      </c>
      <c r="HH4" s="11" t="str">
        <f t="shared" ref="HH4:HH36" si="64">IF(SUM(GM4:GN4,GP4:GR4,GT4)-GO4-GS4&gt;0,SUM(GM4:GN4,GP4:GR4,GT4)-GO4-GS4,"")</f>
        <v/>
      </c>
      <c r="HI4" s="11" t="str">
        <f t="shared" ref="HI4:HI36" si="65">IF(SUM(GU4:GV4,GX4)-GW4&gt;0,SUM(GU4:GV4,GX4)-GW4,"")</f>
        <v/>
      </c>
      <c r="HJ4" s="11" t="str">
        <f t="shared" ref="HJ4:HJ36" si="66">IF(SUM(GN4,GR4,GV4)&gt;0,SUM(GN4,GR4,GV4),"")</f>
        <v/>
      </c>
      <c r="HK4" s="11" t="str">
        <f t="shared" ref="HK4:HK36" si="67">IF(SUM(HH4,HI4)&gt;0,SUM(HH4,HI4),"")</f>
        <v/>
      </c>
      <c r="HL4" s="11" t="str">
        <f t="shared" ref="HL4:HL36" si="68">IF(SUM(GZ4,HD4)&gt;0,SUM(GZ4,HD4),"")</f>
        <v/>
      </c>
      <c r="HM4" s="11" t="str">
        <f t="shared" ref="HM4:HM36" si="69">IF(SUM(GY4:GZ4,HB4:HD4,HF4)-SUM(HA4,HE4)&gt;0,SUM(GY4:GZ4,HB4:HD4,HF4)-SUM(HA4,HE4),"")</f>
        <v/>
      </c>
      <c r="HN4" s="11" t="str">
        <f t="shared" ref="HN4:HN36" si="70">IF(SUM(HH4,HM4)&gt;0,SUM(HH4,HM4),"")</f>
        <v/>
      </c>
      <c r="HO4" s="17"/>
      <c r="HP4" s="17"/>
      <c r="HQ4" s="17"/>
      <c r="HR4" s="17"/>
      <c r="HS4" s="17"/>
      <c r="HT4" s="17"/>
      <c r="HU4" s="17"/>
      <c r="HV4" s="17"/>
      <c r="HW4" s="17"/>
      <c r="HX4" s="17"/>
      <c r="HY4" s="17"/>
      <c r="HZ4" s="17"/>
      <c r="IA4" s="17"/>
      <c r="IB4" s="17"/>
      <c r="IC4" s="17"/>
      <c r="ID4" s="17"/>
      <c r="IE4" s="17"/>
      <c r="IF4" s="17"/>
      <c r="IG4" s="17"/>
      <c r="IH4" s="17"/>
      <c r="II4" s="40" t="str">
        <f t="shared" ref="II4:II36" si="71">IF(SUM(HP4,HT4)&gt;0,SUM(HP4,HT4),"")</f>
        <v/>
      </c>
      <c r="IJ4" s="40" t="str">
        <f t="shared" ref="IJ4:IJ36" si="72">IF(SUM(HO4:HP4,HR4:HT4,HV4)-HQ4-HU4&gt;0,SUM(HO4:HP4,HR4:HT4,HV4)-HQ4-HU4,"")</f>
        <v/>
      </c>
      <c r="IK4" s="40" t="str">
        <f t="shared" ref="IK4:IK36" si="73">IF(SUM(HW4:HX4,HZ4)-HY4&gt;0,SUM(HW4:HX4,HZ4)-HY4,"")</f>
        <v/>
      </c>
      <c r="IL4" s="40" t="str">
        <f t="shared" ref="IL4:IL36" si="74">IF(SUM(HP4,HT4,HX4)&gt;0,SUM(HP4,HT4,HX4),"")</f>
        <v/>
      </c>
      <c r="IM4" s="40" t="str">
        <f t="shared" ref="IM4:IM36" si="75">IF(SUM(IJ4,IK4)&gt;0,SUM(IJ4,IK4),"")</f>
        <v/>
      </c>
      <c r="IN4" s="40" t="str">
        <f t="shared" ref="IN4:IN36" si="76">IF(SUM(IB4,IF4)&gt;0,SUM(IB4,IF4),"")</f>
        <v/>
      </c>
      <c r="IO4" s="40" t="str">
        <f t="shared" ref="IO4:IO36" si="77">IF(SUM(IA4:IB4,ID4:IF4,IH4)-SUM(IC4,IG4)&gt;0,SUM(IA4:IB4,ID4:IF4,IH4)-SUM(IC4,IG4),"")</f>
        <v/>
      </c>
      <c r="IP4" s="40" t="str">
        <f t="shared" ref="IP4:IP36" si="78">IF(SUM(IJ4,IO4)&gt;0,SUM(IJ4,IO4),"")</f>
        <v/>
      </c>
      <c r="IQ4" s="18">
        <v>19</v>
      </c>
      <c r="IR4" s="18">
        <v>9.1999999999999993</v>
      </c>
      <c r="IS4" s="18">
        <v>0</v>
      </c>
      <c r="IT4" s="18">
        <v>0</v>
      </c>
      <c r="IU4" s="18">
        <v>18.8</v>
      </c>
      <c r="IV4" s="18">
        <v>8.4</v>
      </c>
      <c r="IW4" s="18">
        <v>0.6</v>
      </c>
      <c r="IX4" s="18">
        <v>0</v>
      </c>
      <c r="IY4" s="18">
        <v>18</v>
      </c>
      <c r="IZ4" s="18">
        <v>10.8</v>
      </c>
      <c r="JA4" s="18">
        <v>0.6</v>
      </c>
      <c r="JB4" s="18">
        <v>0</v>
      </c>
      <c r="JC4" s="18">
        <v>18.8</v>
      </c>
      <c r="JD4" s="18">
        <v>10</v>
      </c>
      <c r="JE4" s="18">
        <v>0.6</v>
      </c>
      <c r="JF4" s="18">
        <v>0</v>
      </c>
      <c r="JG4" s="18">
        <v>18.399999999999999</v>
      </c>
      <c r="JH4" s="18">
        <v>10.8</v>
      </c>
      <c r="JI4" s="18">
        <v>0</v>
      </c>
      <c r="JJ4" s="18">
        <v>0</v>
      </c>
      <c r="JK4" s="11">
        <f t="shared" ref="JK4:JK36" si="79">IF(SUM(IR4,IV4)&gt;0,SUM(IR4,IV4),"")</f>
        <v>17.600000000000001</v>
      </c>
      <c r="JL4" s="11">
        <f t="shared" ref="JL4:JL36" si="80">IF(SUM(IQ4:IR4,IT4:IV4,IX4)-IS4-IW4&gt;0,SUM(IQ4:IR4,IT4:IV4,IX4)-IS4-IW4,"")</f>
        <v>54.8</v>
      </c>
      <c r="JM4" s="11">
        <f t="shared" ref="JM4:JM36" si="81">IF(SUM(IY4:IZ4,JB4)-JA4&gt;0,SUM(IY4:IZ4,JB4)-JA4,"")</f>
        <v>28.2</v>
      </c>
      <c r="JN4" s="11">
        <f t="shared" ref="JN4:JN36" si="82">IF(SUM(IR4,IV4,IZ4)&gt;0,SUM(IR4,IV4,IZ4),"")</f>
        <v>28.400000000000002</v>
      </c>
      <c r="JO4" s="11">
        <f t="shared" ref="JO4:JO36" si="83">IF(SUM(JL4,JM4)&gt;0,SUM(JL4,JM4),"")</f>
        <v>83</v>
      </c>
      <c r="JP4" s="11">
        <f t="shared" ref="JP4:JP36" si="84">IF(SUM(JD4,JH4)&gt;0,SUM(JD4,JH4),"")</f>
        <v>20.8</v>
      </c>
      <c r="JQ4" s="11">
        <f t="shared" ref="JQ4:JQ36" si="85">IF(SUM(JC4:JD4,JF4:JH4,JJ4)-SUM(JE4,JI4)&gt;0,SUM(JC4:JD4,JF4:JH4,JJ4)-SUM(JE4,JI4),"")</f>
        <v>57.4</v>
      </c>
      <c r="JR4" s="11">
        <f t="shared" ref="JR4:JR36" si="86">IF(SUM(JL4,JQ4)&gt;0,SUM(JL4,JQ4),"")</f>
        <v>112.19999999999999</v>
      </c>
      <c r="JS4" s="17"/>
      <c r="JT4" s="17"/>
      <c r="JU4" s="17"/>
      <c r="JV4" s="17"/>
      <c r="JW4" s="17"/>
      <c r="JX4" s="17"/>
      <c r="JY4" s="17"/>
      <c r="JZ4" s="17"/>
      <c r="KA4" s="17"/>
      <c r="KB4" s="17"/>
      <c r="KC4" s="17"/>
      <c r="KD4" s="17"/>
      <c r="KE4" s="17"/>
      <c r="KF4" s="17"/>
      <c r="KG4" s="17"/>
      <c r="KH4" s="17"/>
      <c r="KI4" s="17">
        <v>18.5</v>
      </c>
      <c r="KJ4" s="17">
        <v>10</v>
      </c>
      <c r="KK4" s="17">
        <v>0</v>
      </c>
      <c r="KL4" s="17">
        <v>0</v>
      </c>
      <c r="KM4" s="40" t="str">
        <f t="shared" ref="KM4:KM36" si="87">IF(SUM(JT4,JX4)&gt;0,SUM(JT4,JX4),"")</f>
        <v/>
      </c>
      <c r="KN4" s="40" t="str">
        <f t="shared" ref="KN4:KN36" si="88">IF(SUM(JS4:JT4,JV4:JX4,JZ4)-JU4-JY4&gt;0,SUM(JS4:JT4,JV4:JX4,JZ4)-JU4-JY4,"")</f>
        <v/>
      </c>
      <c r="KO4" s="40" t="str">
        <f t="shared" ref="KO4:KO36" si="89">IF(SUM(KA4:KB4,KD4)-KC4&gt;0,SUM(KA4:KB4,KD4)-KC4,"")</f>
        <v/>
      </c>
      <c r="KP4" s="40" t="str">
        <f t="shared" ref="KP4:KP36" si="90">IF(SUM(JT4,JX4,KB4)&gt;0,SUM(JT4,JX4,KB4),"")</f>
        <v/>
      </c>
      <c r="KQ4" s="40" t="str">
        <f t="shared" ref="KQ4:KQ36" si="91">IF(SUM(KN4,KO4)&gt;0,SUM(KN4,KO4),"")</f>
        <v/>
      </c>
      <c r="KR4" s="40">
        <f t="shared" ref="KR4:KR36" si="92">IF(SUM(KF4,KJ4)&gt;0,SUM(KF4,KJ4),"")</f>
        <v>10</v>
      </c>
      <c r="KS4" s="40">
        <f t="shared" ref="KS4:KS36" si="93">IF(SUM(KE4:KF4,KH4:KJ4,KL4)-SUM(KG4,KK4)&gt;0,SUM(KE4:KF4,KH4:KJ4,KL4)-SUM(KG4,KK4),"")</f>
        <v>28.5</v>
      </c>
      <c r="KT4" s="40">
        <f t="shared" ref="KT4:KT36" si="94">IF(SUM(KN4,KS4)&gt;0,SUM(KN4,KS4),"")</f>
        <v>28.5</v>
      </c>
      <c r="KU4" s="18"/>
      <c r="KV4" s="18"/>
      <c r="KW4" s="18"/>
      <c r="KX4" s="18"/>
      <c r="KY4" s="18"/>
      <c r="KZ4" s="18"/>
      <c r="LA4" s="18"/>
      <c r="LB4" s="18"/>
      <c r="LC4" s="18"/>
      <c r="LD4" s="18"/>
      <c r="LE4" s="18"/>
      <c r="LF4" s="18"/>
      <c r="LG4" s="18"/>
      <c r="LH4" s="18"/>
      <c r="LI4" s="18"/>
      <c r="LJ4" s="18"/>
      <c r="LK4" s="18">
        <v>18</v>
      </c>
      <c r="LL4" s="18">
        <v>10.8</v>
      </c>
      <c r="LM4" s="18">
        <v>0.6</v>
      </c>
      <c r="LN4" s="18">
        <v>0</v>
      </c>
      <c r="LO4" s="11" t="str">
        <f t="shared" ref="LO4:LO36" si="95">IF(SUM(KV4,KZ4)&gt;0,SUM(KV4,KZ4),"")</f>
        <v/>
      </c>
      <c r="LP4" s="11" t="str">
        <f t="shared" ref="LP4:LP36" si="96">IF(SUM(KU4:KV4,KX4:KZ4,LB4)-KW4-LA4&gt;0,SUM(KU4:KV4,KX4:KZ4,LB4)-KW4-LA4,"")</f>
        <v/>
      </c>
      <c r="LQ4" s="11" t="str">
        <f t="shared" ref="LQ4:LQ36" si="97">IF(SUM(LC4:LD4,LF4)-LE4&gt;0,SUM(LC4:LD4,LF4)-LE4,"")</f>
        <v/>
      </c>
      <c r="LR4" s="11" t="str">
        <f t="shared" ref="LR4:LR36" si="98">IF(SUM(KV4,KZ4,LD4)&gt;0,SUM(KV4,KZ4,LD4),"")</f>
        <v/>
      </c>
      <c r="LS4" s="11" t="str">
        <f t="shared" ref="LS4:LS36" si="99">IF(SUM(LP4,LQ4)&gt;0,SUM(LP4,LQ4),"")</f>
        <v/>
      </c>
      <c r="LT4" s="11">
        <f t="shared" ref="LT4:LT36" si="100">IF(SUM(LH4,LL4)&gt;0,SUM(LH4,LL4),"")</f>
        <v>10.8</v>
      </c>
      <c r="LU4" s="11">
        <f t="shared" ref="LU4:LU36" si="101">IF(SUM(LG4:LH4,LJ4:LL4,LN4)-SUM(LI4,LM4)&gt;0,SUM(LG4:LH4,LJ4:LL4,LN4)-SUM(LI4,LM4),"")</f>
        <v>28.2</v>
      </c>
      <c r="LV4" s="11">
        <f t="shared" ref="LV4:LV36" si="102">IF(SUM(LP4,LU4)&gt;0,SUM(LP4,LU4),"")</f>
        <v>28.2</v>
      </c>
      <c r="LW4" s="17"/>
      <c r="LX4" s="17"/>
      <c r="LY4" s="17"/>
      <c r="LZ4" s="17"/>
      <c r="MA4" s="17"/>
      <c r="MB4" s="17"/>
      <c r="MC4" s="17"/>
      <c r="MD4" s="17"/>
      <c r="ME4" s="17"/>
      <c r="MF4" s="17"/>
      <c r="MG4" s="17"/>
      <c r="MH4" s="17"/>
      <c r="MI4" s="17"/>
      <c r="MJ4" s="17"/>
      <c r="MK4" s="17"/>
      <c r="ML4" s="17"/>
      <c r="MM4" s="17"/>
      <c r="MN4" s="17"/>
      <c r="MO4" s="17"/>
      <c r="MP4" s="17"/>
      <c r="MQ4" s="40" t="str">
        <f t="shared" ref="MQ4:MQ36" si="103">IF(SUM(LX4,MB4)&gt;0,SUM(LX4,MB4),"")</f>
        <v/>
      </c>
      <c r="MR4" s="40" t="str">
        <f t="shared" ref="MR4:MR36" si="104">IF(SUM(LW4:LX4,LZ4:MB4,MD4)-LY4-MC4&gt;0,SUM(LW4:LX4,LZ4:MB4,MD4)-LY4-MC4,"")</f>
        <v/>
      </c>
      <c r="MS4" s="40" t="str">
        <f t="shared" ref="MS4:MS36" si="105">IF(SUM(ME4:MF4,MH4)-MG4&gt;0,SUM(ME4:MF4,MH4)-MG4,"")</f>
        <v/>
      </c>
      <c r="MT4" s="40" t="str">
        <f t="shared" ref="MT4:MT36" si="106">IF(SUM(LX4,MB4,MF4)&gt;0,SUM(LX4,MB4,MF4),"")</f>
        <v/>
      </c>
      <c r="MU4" s="40" t="str">
        <f t="shared" ref="MU4:MU36" si="107">IF(SUM(MR4,MS4)&gt;0,SUM(MR4,MS4),"")</f>
        <v/>
      </c>
      <c r="MV4" s="40" t="str">
        <f t="shared" ref="MV4:MV36" si="108">IF(SUM(MJ4,MN4)&gt;0,SUM(MJ4,MN4),"")</f>
        <v/>
      </c>
      <c r="MW4" s="40" t="str">
        <f t="shared" ref="MW4:MW36" si="109">IF(SUM(MI4:MJ4,ML4:MN4,MP4)-SUM(MK4,MO4)&gt;0,SUM(MI4:MJ4,ML4:MN4,MP4)-SUM(MK4,MO4),"")</f>
        <v/>
      </c>
      <c r="MX4" s="40" t="str">
        <f t="shared" ref="MX4:MX36" si="110">IF(SUM(MR4,MW4)&gt;0,SUM(MR4,MW4),"")</f>
        <v/>
      </c>
      <c r="MY4" s="18"/>
      <c r="MZ4" s="18"/>
      <c r="NA4" s="18"/>
      <c r="NB4" s="18"/>
      <c r="NC4" s="18"/>
      <c r="ND4" s="18"/>
      <c r="NE4" s="18"/>
      <c r="NF4" s="18"/>
      <c r="NG4" s="18"/>
      <c r="NH4" s="18"/>
      <c r="NI4" s="18"/>
      <c r="NJ4" s="18"/>
      <c r="NK4" s="18"/>
      <c r="NL4" s="18"/>
      <c r="NM4" s="18"/>
      <c r="NN4" s="18"/>
      <c r="NO4" s="18"/>
      <c r="NP4" s="18"/>
      <c r="NQ4" s="18"/>
      <c r="NR4" s="18"/>
      <c r="NS4" s="11" t="str">
        <f t="shared" ref="NS4:NS36" si="111">IF(SUM(MZ4,ND4)&gt;0,SUM(MZ4,ND4),"")</f>
        <v/>
      </c>
      <c r="NT4" s="11" t="str">
        <f t="shared" ref="NT4:NT36" si="112">IF(SUM(MY4:MZ4,NB4:ND4,NF4)-NA4-NE4&gt;0,SUM(MY4:MZ4,NB4:ND4,NF4)-NA4-NE4,"")</f>
        <v/>
      </c>
      <c r="NU4" s="11" t="str">
        <f t="shared" ref="NU4:NU36" si="113">IF(SUM(NG4:NH4,NJ4)-NI4&gt;0,SUM(NG4:NH4,NJ4)-NI4,"")</f>
        <v/>
      </c>
      <c r="NV4" s="11" t="str">
        <f t="shared" ref="NV4:NV36" si="114">IF(SUM(MZ4,ND4,NH4)&gt;0,SUM(MZ4,ND4,NH4),"")</f>
        <v/>
      </c>
      <c r="NW4" s="11" t="str">
        <f t="shared" ref="NW4:NW36" si="115">IF(SUM(NT4,NU4)&gt;0,SUM(NT4,NU4),"")</f>
        <v/>
      </c>
      <c r="NX4" s="11" t="str">
        <f t="shared" ref="NX4:NX36" si="116">IF(SUM(NL4,NP4)&gt;0,SUM(NL4,NP4),"")</f>
        <v/>
      </c>
      <c r="NY4" s="11" t="str">
        <f t="shared" ref="NY4:NY36" si="117">IF(SUM(NK4:NL4,NN4:NP4,NR4)-SUM(NM4,NQ4)&gt;0,SUM(NK4:NL4,NN4:NP4,NR4)-SUM(NM4,NQ4),"")</f>
        <v/>
      </c>
      <c r="NZ4" s="11" t="str">
        <f t="shared" ref="NZ4:NZ36" si="118">IF(SUM(NT4,NY4)&gt;0,SUM(NT4,NY4),"")</f>
        <v/>
      </c>
      <c r="OA4" s="17"/>
      <c r="OB4" s="17"/>
      <c r="OC4" s="17"/>
      <c r="OD4" s="17"/>
      <c r="OE4" s="17"/>
      <c r="OF4" s="17"/>
      <c r="OG4" s="17"/>
      <c r="OH4" s="17"/>
      <c r="OI4" s="17"/>
      <c r="OJ4" s="17"/>
      <c r="OK4" s="17"/>
      <c r="OL4" s="17"/>
      <c r="OM4" s="17"/>
      <c r="ON4" s="17"/>
      <c r="OO4" s="17"/>
      <c r="OP4" s="17"/>
      <c r="OQ4" s="17"/>
      <c r="OR4" s="17"/>
      <c r="OS4" s="17"/>
      <c r="OT4" s="17"/>
      <c r="OU4" s="40" t="str">
        <f t="shared" ref="OU4:OU36" si="119">IF(SUM(OB4,OF4)&gt;0,SUM(OB4,OF4),"")</f>
        <v/>
      </c>
      <c r="OV4" s="40" t="str">
        <f t="shared" ref="OV4:OV36" si="120">IF(SUM(OA4:OB4,OD4:OF4,OH4)-OC4-OG4&gt;0,SUM(OA4:OB4,OD4:OF4,OH4)-OC4-OG4,"")</f>
        <v/>
      </c>
      <c r="OW4" s="40" t="str">
        <f t="shared" ref="OW4:OW36" si="121">IF(SUM(OI4:OJ4,OL4)-OK4&gt;0,SUM(OI4:OJ4,OL4)-OK4,"")</f>
        <v/>
      </c>
      <c r="OX4" s="40" t="str">
        <f t="shared" ref="OX4:OX36" si="122">IF(SUM(OB4,OF4,OJ4)&gt;0,SUM(OB4,OF4,OJ4),"")</f>
        <v/>
      </c>
      <c r="OY4" s="40" t="str">
        <f t="shared" ref="OY4:OY36" si="123">IF(SUM(OV4,OW4)&gt;0,SUM(OV4,OW4),"")</f>
        <v/>
      </c>
      <c r="OZ4" s="40" t="str">
        <f t="shared" ref="OZ4:OZ36" si="124">IF(SUM(ON4,OR4)&gt;0,SUM(ON4,OR4),"")</f>
        <v/>
      </c>
      <c r="PA4" s="40" t="str">
        <f t="shared" ref="PA4:PA36" si="125">IF(SUM(OM4:ON4,OP4:OR4,OT4)-SUM(OO4,OS4)&gt;0,SUM(OM4:ON4,OP4:OR4,OT4)-SUM(OO4,OS4),"")</f>
        <v/>
      </c>
      <c r="PB4" s="40" t="str">
        <f t="shared" ref="PB4:PB36" si="126">IF(SUM(OV4,PA4)&gt;0,SUM(OV4,PA4),"")</f>
        <v/>
      </c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8"/>
      <c r="PS4" s="18"/>
      <c r="PT4" s="18"/>
      <c r="PU4" s="18"/>
      <c r="PV4" s="18"/>
      <c r="PW4" s="11" t="str">
        <f t="shared" ref="PW4:PW36" si="127">IF(SUM(PD4,PH4)&gt;0,SUM(PD4,PH4),"")</f>
        <v/>
      </c>
      <c r="PX4" s="11" t="str">
        <f t="shared" ref="PX4:PX36" si="128">IF(SUM(PC4:PD4,PF4:PH4,PJ4)-PE4-PI4&gt;0,SUM(PC4:PD4,PF4:PH4,PJ4)-PE4-PI4,"")</f>
        <v/>
      </c>
      <c r="PY4" s="11" t="str">
        <f t="shared" ref="PY4:PY36" si="129">IF(SUM(PK4:PL4,PN4)-PM4&gt;0,SUM(PK4:PL4,PN4)-PM4,"")</f>
        <v/>
      </c>
      <c r="PZ4" s="11" t="str">
        <f t="shared" ref="PZ4:PZ36" si="130">IF(SUM(PD4,PH4,PL4)&gt;0,SUM(PD4,PH4,PL4),"")</f>
        <v/>
      </c>
      <c r="QA4" s="11" t="str">
        <f t="shared" ref="QA4:QA36" si="131">IF(SUM(PX4,PY4)&gt;0,SUM(PX4,PY4),"")</f>
        <v/>
      </c>
      <c r="QB4" s="11" t="str">
        <f t="shared" ref="QB4:QB36" si="132">IF(SUM(PP4,PT4)&gt;0,SUM(PP4,PT4),"")</f>
        <v/>
      </c>
      <c r="QC4" s="11" t="str">
        <f t="shared" ref="QC4:QC36" si="133">IF(SUM(PO4:PP4,PR4:PT4,PV4)-SUM(PQ4,PU4)&gt;0,SUM(PO4:PP4,PR4:PT4,PV4)-SUM(PQ4,PU4),"")</f>
        <v/>
      </c>
      <c r="QD4" s="11" t="str">
        <f t="shared" ref="QD4:QD36" si="134">IF(SUM(PX4,QC4)&gt;0,SUM(PX4,QC4),"")</f>
        <v/>
      </c>
      <c r="QE4" s="22">
        <f t="shared" ref="QE4:QE36" si="135">IF($CU4="P",CA4,(CA4+AX4)/2)</f>
        <v>18.700000000000003</v>
      </c>
      <c r="QF4" s="22">
        <f t="shared" ref="QF4:QF36" si="136">IF($CU4="P",CB4,(CB4+AY4)/2)</f>
        <v>9.65</v>
      </c>
      <c r="QG4" s="22">
        <f t="shared" ref="QG4:QG36" si="137">IF($CU4="P",CC4,(CC4+AZ4)/2)</f>
        <v>0.4</v>
      </c>
      <c r="QH4" s="22">
        <f t="shared" ref="QH4:QH36" si="138">IF($CU4="P",CD4,(CD4+BA4)/2)</f>
        <v>0.44999999999999996</v>
      </c>
      <c r="QI4" s="22">
        <f t="shared" ref="QI4:QI36" si="139">IF($CU4="P",CE4,(CE4+BB4)/2)</f>
        <v>18.130000000000003</v>
      </c>
      <c r="QJ4" s="22">
        <f t="shared" ref="QJ4:QJ36" si="140">IF($CU4="P",CF4,(CF4+BC4)/2)</f>
        <v>10.8</v>
      </c>
      <c r="QK4" s="22">
        <f t="shared" ref="QK4:QK36" si="141">IF($CU4="P",CG4,(CG4+BD4)/2)</f>
        <v>0.2</v>
      </c>
      <c r="QL4" s="22">
        <f t="shared" ref="QL4:QL36" si="142">IF($CU4="P",CH4,(CH4+BE4)/2)</f>
        <v>0.6</v>
      </c>
      <c r="QM4" s="22">
        <f t="shared" ref="QM4:QM36" si="143">IF($CU4="P",CI4,(CI4+BF4)/2)</f>
        <v>18.399999999999999</v>
      </c>
      <c r="QN4" s="22">
        <f t="shared" ref="QN4:QN36" si="144">IF($CU4="P",CJ4,(CJ4+BG4)/2)</f>
        <v>6</v>
      </c>
      <c r="QO4" s="22">
        <f t="shared" ref="QO4:QO36" si="145">IF($CU4="P",CK4,(CK4+BH4)/2)</f>
        <v>0</v>
      </c>
      <c r="QP4" s="22">
        <f t="shared" ref="QP4:QP36" si="146">IF($CU4="P",CL4,(CL4+BI4)/2)</f>
        <v>0</v>
      </c>
      <c r="QQ4" s="22">
        <f t="shared" ref="QQ4:QQ36" si="147">IF($CU4="P",CM4,(CM4+BJ4)/2)</f>
        <v>18.3</v>
      </c>
      <c r="QR4" s="22">
        <f t="shared" ref="QR4:QR36" si="148">IF($CU4="P",CN4,(CN4+BK4)/2)</f>
        <v>7.4</v>
      </c>
      <c r="QS4" s="22">
        <f t="shared" ref="QS4:QS36" si="149">IF($CU4="P",CO4,(CO4+BL4)/2)</f>
        <v>0.1</v>
      </c>
      <c r="QT4" s="22">
        <f t="shared" ref="QT4:QT36" si="150">IF($CU4="P",CP4,(CP4+BM4)/2)</f>
        <v>0.44999999999999996</v>
      </c>
      <c r="QU4" s="22">
        <f t="shared" ref="QU4:QU36" si="151">IF($CU4="P",CQ4,(CQ4+BN4)/2)</f>
        <v>18.399999999999999</v>
      </c>
      <c r="QV4" s="22">
        <f t="shared" ref="QV4:QV36" si="152">IF($CU4="P",CR4,(CR4+BO4)/2)</f>
        <v>10.199999999999999</v>
      </c>
      <c r="QW4" s="22">
        <f t="shared" ref="QW4:QW36" si="153">IF($CU4="P",CS4,(CS4+BP4)/2)</f>
        <v>0.3</v>
      </c>
      <c r="QX4" s="22">
        <f t="shared" ref="QX4:QX36" si="154">IF($CU4="P",CT4,(CT4+BQ4)/2)</f>
        <v>0.44999999999999996</v>
      </c>
      <c r="QY4" s="27" t="s">
        <v>46</v>
      </c>
      <c r="QZ4" s="40">
        <f t="shared" ref="QZ4:QZ36" si="155">IF(SUM(QF4,QJ4)&gt;0,SUM(QF4,QJ4),"")</f>
        <v>20.450000000000003</v>
      </c>
      <c r="RA4" s="40">
        <f t="shared" ref="RA4:RA36" si="156">IF(SUM(QE4:QF4,QH4:QJ4,QL4)-QG4-QK4&gt;0,SUM(QE4:QF4,QH4:QJ4,QL4)-QG4-QK4,"")</f>
        <v>57.730000000000004</v>
      </c>
      <c r="RB4" s="40">
        <f t="shared" ref="RB4:RB36" si="157">IF(SUM(QM4:QN4,QP4)-QO4&gt;0,SUM(QM4:QN4,QP4)-QO4,"")</f>
        <v>24.4</v>
      </c>
      <c r="RC4" s="40">
        <f t="shared" ref="RC4:RC36" si="158">IF(SUM(QF4,QJ4,QN4)&gt;0,SUM(QF4,QJ4,QN4),"")</f>
        <v>26.450000000000003</v>
      </c>
      <c r="RD4" s="40">
        <f t="shared" ref="RD4:RD36" si="159">IF(SUM(RA4,RB4)&gt;0,SUM(RA4,RB4),"")</f>
        <v>82.13</v>
      </c>
      <c r="RE4" s="40">
        <f t="shared" ref="RE4:RE36" si="160">IF(SUM(QR4,QV4)&gt;0,SUM(QR4,QV4),"")</f>
        <v>17.600000000000001</v>
      </c>
      <c r="RF4" s="40">
        <f t="shared" ref="RF4:RF36" si="161">IF(SUM(QQ4:QR4,QT4:QV4,QX4)-SUM(QS4,QW4)&gt;0,SUM(QQ4:QR4,QT4:QV4,QX4)-SUM(QS4,QW4),"")</f>
        <v>54.800000000000004</v>
      </c>
      <c r="RG4" s="40">
        <f t="shared" ref="RG4:RG36" si="162">IF(SUM(RA4,RF4)&gt;0,SUM(RA4,RF4),"")</f>
        <v>112.53</v>
      </c>
    </row>
    <row r="5" spans="1:475" x14ac:dyDescent="0.2">
      <c r="A5" s="4" cm="1">
        <f t="array" ref="A5">IF(AND(F5="P",G5="P"),SUMPRODUCT((F$4:F$37="P")*(G$4:G$37="P")*(E$4:E$37&gt;E5))+1,IF(G5="P",SUMPRODUCT((F$4:F$37="")*(G$4:G$37="P")*(E$4:E$37&gt;E5))+1+SUMPRODUCT((F$4:F$37="P")*(G$4:G$37="P")),""))</f>
        <v>2</v>
      </c>
      <c r="B5" s="5" t="s">
        <v>61</v>
      </c>
      <c r="C5" s="4" t="s">
        <v>3</v>
      </c>
      <c r="D5" s="4">
        <v>2003</v>
      </c>
      <c r="E5" s="9">
        <f t="shared" ref="E5:E36" si="163">SUM(J5:R5)+SUM(J5:O5)*0.0000001+SUM(J5)*0.0000000000001</f>
        <v>199.60001387000548</v>
      </c>
      <c r="F5" s="3" t="str">
        <f t="shared" si="0"/>
        <v>P</v>
      </c>
      <c r="G5" s="3" t="str">
        <f t="shared" si="1"/>
        <v>P</v>
      </c>
      <c r="H5" s="36" t="str">
        <f t="shared" si="2"/>
        <v>National Team</v>
      </c>
      <c r="I5" s="3" t="str">
        <f t="shared" si="3"/>
        <v/>
      </c>
      <c r="J5" s="8">
        <f>IF(COUNT(AQ5,BT5,CW5)&gt;0,LARGE((AQ5,BT5,CW5),1),0)</f>
        <v>55.199999999999996</v>
      </c>
      <c r="K5" s="8" t="str">
        <f t="shared" si="4"/>
        <v>2022 3rd Domestic Trial</v>
      </c>
      <c r="L5" s="8">
        <f>IF(COUNT(AQ5,BT5,CW5)&gt;1,LARGE((AQ5,BT5,CW5),2),0)</f>
        <v>54.4</v>
      </c>
      <c r="M5" s="8" t="str">
        <f t="shared" si="5"/>
        <v>2022 Nationals</v>
      </c>
      <c r="N5" s="8">
        <f>IF(COUNT(AR5,BU5,CX5)&gt;0,LARGE((AR5,BU5,CX5),1),0)</f>
        <v>29.1</v>
      </c>
      <c r="O5" s="8" t="str">
        <f t="shared" si="6"/>
        <v>2022 Nationals</v>
      </c>
      <c r="P5" s="8">
        <f t="shared" si="7"/>
        <v>58.2</v>
      </c>
      <c r="Q5" s="8" t="str">
        <f t="shared" si="8"/>
        <v>2022 Nationals</v>
      </c>
      <c r="R5" s="8">
        <f t="shared" si="9"/>
        <v>2.7000000000000028</v>
      </c>
      <c r="S5" s="11" t="str">
        <f t="shared" si="10"/>
        <v>(Q1)</v>
      </c>
      <c r="T5" s="8" t="str">
        <f t="shared" si="11"/>
        <v>2022 World Games Technical Trial #2 (May 15)</v>
      </c>
      <c r="U5" s="19">
        <v>19.2</v>
      </c>
      <c r="V5" s="19">
        <v>9.1999999999999993</v>
      </c>
      <c r="W5" s="19">
        <v>0</v>
      </c>
      <c r="X5" s="19">
        <v>0.3</v>
      </c>
      <c r="Y5" s="19">
        <v>16.600000000000001</v>
      </c>
      <c r="Z5" s="19">
        <v>9.6</v>
      </c>
      <c r="AA5" s="19">
        <v>0.8</v>
      </c>
      <c r="AB5" s="19">
        <v>0.3</v>
      </c>
      <c r="AC5" s="19">
        <v>19.600000000000001</v>
      </c>
      <c r="AD5" s="19">
        <v>9.1999999999999993</v>
      </c>
      <c r="AE5" s="19">
        <v>0</v>
      </c>
      <c r="AF5" s="19">
        <v>0.3</v>
      </c>
      <c r="AG5" s="19">
        <v>19</v>
      </c>
      <c r="AH5" s="19">
        <v>10</v>
      </c>
      <c r="AI5" s="19">
        <v>0</v>
      </c>
      <c r="AJ5" s="19">
        <v>0.6</v>
      </c>
      <c r="AK5" s="19">
        <v>17.8</v>
      </c>
      <c r="AL5" s="19">
        <v>10.4</v>
      </c>
      <c r="AM5" s="19">
        <v>0.2</v>
      </c>
      <c r="AN5" s="19">
        <v>0.6</v>
      </c>
      <c r="AO5" s="27"/>
      <c r="AP5" s="40">
        <f t="shared" si="12"/>
        <v>18.799999999999997</v>
      </c>
      <c r="AQ5" s="40">
        <f t="shared" si="13"/>
        <v>54.4</v>
      </c>
      <c r="AR5" s="40">
        <f t="shared" si="14"/>
        <v>29.1</v>
      </c>
      <c r="AS5" s="40">
        <f t="shared" si="15"/>
        <v>27.999999999999996</v>
      </c>
      <c r="AT5" s="40">
        <f t="shared" si="16"/>
        <v>83.5</v>
      </c>
      <c r="AU5" s="40">
        <f t="shared" si="17"/>
        <v>20.399999999999999</v>
      </c>
      <c r="AV5" s="40">
        <f t="shared" si="18"/>
        <v>58.2</v>
      </c>
      <c r="AW5" s="40">
        <f t="shared" si="19"/>
        <v>112.6</v>
      </c>
      <c r="AX5" s="18">
        <v>19</v>
      </c>
      <c r="AY5" s="18">
        <v>9.1999999999999993</v>
      </c>
      <c r="AZ5" s="18">
        <v>0.3</v>
      </c>
      <c r="BA5" s="18">
        <v>0.3</v>
      </c>
      <c r="BB5" s="18">
        <v>17.8</v>
      </c>
      <c r="BC5" s="18">
        <v>9.3999999999999986</v>
      </c>
      <c r="BD5" s="18">
        <v>0.5</v>
      </c>
      <c r="BE5" s="18">
        <v>0.3</v>
      </c>
      <c r="BF5" s="18">
        <v>18.700000000000003</v>
      </c>
      <c r="BG5" s="18">
        <v>6</v>
      </c>
      <c r="BH5" s="18">
        <v>0</v>
      </c>
      <c r="BI5" s="18">
        <v>0.15</v>
      </c>
      <c r="BJ5" s="18">
        <v>19</v>
      </c>
      <c r="BK5" s="18">
        <v>9.25</v>
      </c>
      <c r="BL5" s="18">
        <v>0</v>
      </c>
      <c r="BM5" s="18">
        <v>0.44999999999999996</v>
      </c>
      <c r="BN5" s="18">
        <v>18.25</v>
      </c>
      <c r="BO5" s="18">
        <v>9.4</v>
      </c>
      <c r="BP5" s="18">
        <v>0.4</v>
      </c>
      <c r="BQ5" s="18">
        <v>0.44999999999999996</v>
      </c>
      <c r="BR5" s="28" t="s">
        <v>46</v>
      </c>
      <c r="BS5" s="11">
        <f t="shared" si="20"/>
        <v>18.599999999999998</v>
      </c>
      <c r="BT5" s="11">
        <f t="shared" si="21"/>
        <v>55.199999999999996</v>
      </c>
      <c r="BU5" s="11">
        <f t="shared" si="22"/>
        <v>24.85</v>
      </c>
      <c r="BV5" s="11">
        <f t="shared" si="23"/>
        <v>24.599999999999998</v>
      </c>
      <c r="BW5" s="11">
        <f t="shared" si="24"/>
        <v>80.05</v>
      </c>
      <c r="BX5" s="11">
        <f t="shared" si="25"/>
        <v>18.649999999999999</v>
      </c>
      <c r="BY5" s="11">
        <f t="shared" si="26"/>
        <v>56.400000000000006</v>
      </c>
      <c r="BZ5" s="11">
        <f t="shared" si="27"/>
        <v>111.6</v>
      </c>
      <c r="CA5" s="19"/>
      <c r="CB5" s="19"/>
      <c r="CC5" s="19"/>
      <c r="CD5" s="19"/>
      <c r="CE5" s="19"/>
      <c r="CF5" s="19"/>
      <c r="CG5" s="19"/>
      <c r="CH5" s="19"/>
      <c r="CI5" s="19"/>
      <c r="CJ5" s="19"/>
      <c r="CK5" s="19"/>
      <c r="CL5" s="19"/>
      <c r="CM5" s="19"/>
      <c r="CN5" s="19"/>
      <c r="CO5" s="19"/>
      <c r="CP5" s="19"/>
      <c r="CQ5" s="19"/>
      <c r="CR5" s="19"/>
      <c r="CS5" s="19"/>
      <c r="CT5" s="19"/>
      <c r="CU5" s="27"/>
      <c r="CV5" s="40" t="str">
        <f t="shared" si="28"/>
        <v/>
      </c>
      <c r="CW5" s="40" t="str">
        <f t="shared" si="29"/>
        <v/>
      </c>
      <c r="CX5" s="40" t="str">
        <f t="shared" si="30"/>
        <v/>
      </c>
      <c r="CY5" s="40" t="str">
        <f t="shared" si="31"/>
        <v/>
      </c>
      <c r="CZ5" s="40" t="str">
        <f t="shared" si="32"/>
        <v/>
      </c>
      <c r="DA5" s="40" t="str">
        <f t="shared" si="33"/>
        <v/>
      </c>
      <c r="DB5" s="40" t="str">
        <f t="shared" si="34"/>
        <v/>
      </c>
      <c r="DC5" s="40" t="str">
        <f t="shared" si="35"/>
        <v/>
      </c>
      <c r="DD5" s="50">
        <f t="shared" si="36"/>
        <v>2.7000000000000028</v>
      </c>
      <c r="DE5" s="50" t="str">
        <f t="shared" si="37"/>
        <v/>
      </c>
      <c r="DF5" s="50" t="str">
        <f t="shared" si="38"/>
        <v/>
      </c>
      <c r="DG5" s="17">
        <v>18.600000000000001</v>
      </c>
      <c r="DH5" s="17">
        <v>9.3000000000000007</v>
      </c>
      <c r="DI5" s="17">
        <v>0.2</v>
      </c>
      <c r="DJ5" s="17">
        <v>0.3</v>
      </c>
      <c r="DK5" s="17">
        <v>18.7</v>
      </c>
      <c r="DL5" s="17">
        <v>10</v>
      </c>
      <c r="DM5" s="17">
        <v>0.2</v>
      </c>
      <c r="DN5" s="17">
        <v>0.6</v>
      </c>
      <c r="DO5" s="17"/>
      <c r="DP5" s="17"/>
      <c r="DQ5" s="17"/>
      <c r="DR5" s="17"/>
      <c r="DS5" s="17">
        <v>18.8</v>
      </c>
      <c r="DT5" s="17">
        <v>9.3000000000000007</v>
      </c>
      <c r="DU5" s="17">
        <v>0.8</v>
      </c>
      <c r="DV5" s="17">
        <v>0.3</v>
      </c>
      <c r="DW5" s="17">
        <v>17.399999999999999</v>
      </c>
      <c r="DX5" s="17">
        <v>5.0999999999999996</v>
      </c>
      <c r="DY5" s="17">
        <v>0</v>
      </c>
      <c r="DZ5" s="17">
        <v>0.3</v>
      </c>
      <c r="EA5" s="40">
        <f t="shared" si="39"/>
        <v>19.3</v>
      </c>
      <c r="EB5" s="40">
        <f t="shared" si="40"/>
        <v>57.1</v>
      </c>
      <c r="EC5" s="40" t="str">
        <f t="shared" si="41"/>
        <v/>
      </c>
      <c r="ED5" s="40">
        <f t="shared" si="42"/>
        <v>19.3</v>
      </c>
      <c r="EE5" s="40">
        <f t="shared" si="43"/>
        <v>57.1</v>
      </c>
      <c r="EF5" s="40">
        <f t="shared" si="44"/>
        <v>14.4</v>
      </c>
      <c r="EG5" s="40">
        <f t="shared" si="45"/>
        <v>50.4</v>
      </c>
      <c r="EH5" s="40">
        <f t="shared" si="46"/>
        <v>107.5</v>
      </c>
      <c r="EI5" s="18">
        <v>17.399999999999999</v>
      </c>
      <c r="EJ5" s="18">
        <v>3.2</v>
      </c>
      <c r="EK5" s="18">
        <v>0</v>
      </c>
      <c r="EL5" s="18">
        <v>0</v>
      </c>
      <c r="EM5" s="18">
        <v>17.399999999999999</v>
      </c>
      <c r="EN5" s="18">
        <v>4.8</v>
      </c>
      <c r="EO5" s="18">
        <v>0</v>
      </c>
      <c r="EP5" s="18">
        <v>0</v>
      </c>
      <c r="EQ5" s="18"/>
      <c r="ER5" s="18"/>
      <c r="ES5" s="18"/>
      <c r="ET5" s="18"/>
      <c r="EU5" s="18"/>
      <c r="EV5" s="18"/>
      <c r="EW5" s="18"/>
      <c r="EX5" s="18"/>
      <c r="EY5" s="18"/>
      <c r="EZ5" s="18"/>
      <c r="FA5" s="18"/>
      <c r="FB5" s="18"/>
      <c r="FC5" s="11">
        <f t="shared" si="47"/>
        <v>8</v>
      </c>
      <c r="FD5" s="11">
        <f t="shared" si="48"/>
        <v>42.8</v>
      </c>
      <c r="FE5" s="11" t="str">
        <f t="shared" si="49"/>
        <v/>
      </c>
      <c r="FF5" s="11">
        <f t="shared" si="50"/>
        <v>8</v>
      </c>
      <c r="FG5" s="11">
        <f t="shared" si="51"/>
        <v>42.8</v>
      </c>
      <c r="FH5" s="11" t="str">
        <f t="shared" si="52"/>
        <v/>
      </c>
      <c r="FI5" s="11" t="str">
        <f t="shared" si="53"/>
        <v/>
      </c>
      <c r="FJ5" s="11">
        <f t="shared" si="54"/>
        <v>42.8</v>
      </c>
      <c r="FK5" s="17"/>
      <c r="FL5" s="17"/>
      <c r="FM5" s="17"/>
      <c r="FN5" s="17"/>
      <c r="FO5" s="17"/>
      <c r="FP5" s="17"/>
      <c r="FQ5" s="17"/>
      <c r="FR5" s="17"/>
      <c r="FS5" s="17"/>
      <c r="FT5" s="17"/>
      <c r="FU5" s="17"/>
      <c r="FV5" s="17"/>
      <c r="FW5" s="17"/>
      <c r="FX5" s="17"/>
      <c r="FY5" s="17"/>
      <c r="FZ5" s="17"/>
      <c r="GA5" s="17"/>
      <c r="GB5" s="17"/>
      <c r="GC5" s="17"/>
      <c r="GD5" s="17"/>
      <c r="GE5" s="40" t="str">
        <f t="shared" si="55"/>
        <v/>
      </c>
      <c r="GF5" s="40" t="str">
        <f t="shared" si="56"/>
        <v/>
      </c>
      <c r="GG5" s="40" t="str">
        <f t="shared" si="57"/>
        <v/>
      </c>
      <c r="GH5" s="40" t="str">
        <f t="shared" si="58"/>
        <v/>
      </c>
      <c r="GI5" s="40" t="str">
        <f t="shared" si="59"/>
        <v/>
      </c>
      <c r="GJ5" s="40" t="str">
        <f t="shared" si="60"/>
        <v/>
      </c>
      <c r="GK5" s="40" t="str">
        <f t="shared" si="61"/>
        <v/>
      </c>
      <c r="GL5" s="40" t="str">
        <f t="shared" si="62"/>
        <v/>
      </c>
      <c r="GM5" s="18"/>
      <c r="GN5" s="18"/>
      <c r="GO5" s="18"/>
      <c r="GP5" s="18"/>
      <c r="GQ5" s="18"/>
      <c r="GR5" s="18"/>
      <c r="GS5" s="18"/>
      <c r="GT5" s="18"/>
      <c r="GU5" s="18"/>
      <c r="GV5" s="18"/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1" t="str">
        <f t="shared" si="63"/>
        <v/>
      </c>
      <c r="HH5" s="11" t="str">
        <f t="shared" si="64"/>
        <v/>
      </c>
      <c r="HI5" s="11" t="str">
        <f t="shared" si="65"/>
        <v/>
      </c>
      <c r="HJ5" s="11" t="str">
        <f t="shared" si="66"/>
        <v/>
      </c>
      <c r="HK5" s="11" t="str">
        <f t="shared" si="67"/>
        <v/>
      </c>
      <c r="HL5" s="11" t="str">
        <f t="shared" si="68"/>
        <v/>
      </c>
      <c r="HM5" s="11" t="str">
        <f t="shared" si="69"/>
        <v/>
      </c>
      <c r="HN5" s="11" t="str">
        <f t="shared" si="70"/>
        <v/>
      </c>
      <c r="HO5" s="17">
        <v>18.600000000000001</v>
      </c>
      <c r="HP5" s="17">
        <v>9.1999999999999993</v>
      </c>
      <c r="HQ5" s="17">
        <v>0</v>
      </c>
      <c r="HR5" s="17">
        <v>0</v>
      </c>
      <c r="HS5" s="17">
        <v>17.5</v>
      </c>
      <c r="HT5" s="17">
        <v>4.8</v>
      </c>
      <c r="HU5" s="17">
        <v>0</v>
      </c>
      <c r="HV5" s="17">
        <v>0</v>
      </c>
      <c r="HW5" s="17"/>
      <c r="HX5" s="17"/>
      <c r="HY5" s="17"/>
      <c r="HZ5" s="17"/>
      <c r="IA5" s="17">
        <v>18.399999999999999</v>
      </c>
      <c r="IB5" s="17">
        <v>7.6</v>
      </c>
      <c r="IC5" s="17">
        <v>0.2</v>
      </c>
      <c r="ID5" s="17">
        <v>0</v>
      </c>
      <c r="IE5" s="17"/>
      <c r="IF5" s="17"/>
      <c r="IG5" s="17"/>
      <c r="IH5" s="17"/>
      <c r="II5" s="40">
        <f t="shared" si="71"/>
        <v>14</v>
      </c>
      <c r="IJ5" s="40">
        <f t="shared" si="72"/>
        <v>50.099999999999994</v>
      </c>
      <c r="IK5" s="40" t="str">
        <f t="shared" si="73"/>
        <v/>
      </c>
      <c r="IL5" s="40">
        <f t="shared" si="74"/>
        <v>14</v>
      </c>
      <c r="IM5" s="40">
        <f t="shared" si="75"/>
        <v>50.099999999999994</v>
      </c>
      <c r="IN5" s="40">
        <f t="shared" si="76"/>
        <v>7.6</v>
      </c>
      <c r="IO5" s="40">
        <f t="shared" si="77"/>
        <v>25.8</v>
      </c>
      <c r="IP5" s="40">
        <f t="shared" si="78"/>
        <v>75.899999999999991</v>
      </c>
      <c r="IQ5" s="18"/>
      <c r="IR5" s="18"/>
      <c r="IS5" s="18"/>
      <c r="IT5" s="18"/>
      <c r="IU5" s="18"/>
      <c r="IV5" s="18"/>
      <c r="IW5" s="18"/>
      <c r="IX5" s="18"/>
      <c r="IY5" s="18"/>
      <c r="IZ5" s="18"/>
      <c r="JA5" s="18"/>
      <c r="JB5" s="18"/>
      <c r="JC5" s="18"/>
      <c r="JD5" s="18"/>
      <c r="JE5" s="18"/>
      <c r="JF5" s="18"/>
      <c r="JG5" s="18"/>
      <c r="JH5" s="18"/>
      <c r="JI5" s="18"/>
      <c r="JJ5" s="18"/>
      <c r="JK5" s="11" t="str">
        <f t="shared" si="79"/>
        <v/>
      </c>
      <c r="JL5" s="11" t="str">
        <f t="shared" si="80"/>
        <v/>
      </c>
      <c r="JM5" s="11" t="str">
        <f t="shared" si="81"/>
        <v/>
      </c>
      <c r="JN5" s="11" t="str">
        <f t="shared" si="82"/>
        <v/>
      </c>
      <c r="JO5" s="11" t="str">
        <f t="shared" si="83"/>
        <v/>
      </c>
      <c r="JP5" s="11" t="str">
        <f t="shared" si="84"/>
        <v/>
      </c>
      <c r="JQ5" s="11" t="str">
        <f t="shared" si="85"/>
        <v/>
      </c>
      <c r="JR5" s="11" t="str">
        <f t="shared" si="86"/>
        <v/>
      </c>
      <c r="JS5" s="17"/>
      <c r="JT5" s="17"/>
      <c r="JU5" s="17"/>
      <c r="JV5" s="17"/>
      <c r="JW5" s="17"/>
      <c r="JX5" s="17"/>
      <c r="JY5" s="17"/>
      <c r="JZ5" s="17"/>
      <c r="KA5" s="17"/>
      <c r="KB5" s="17"/>
      <c r="KC5" s="17"/>
      <c r="KD5" s="17"/>
      <c r="KE5" s="17"/>
      <c r="KF5" s="17"/>
      <c r="KG5" s="17"/>
      <c r="KH5" s="17"/>
      <c r="KI5" s="17"/>
      <c r="KJ5" s="17"/>
      <c r="KK5" s="17"/>
      <c r="KL5" s="17"/>
      <c r="KM5" s="40" t="str">
        <f t="shared" si="87"/>
        <v/>
      </c>
      <c r="KN5" s="40" t="str">
        <f t="shared" si="88"/>
        <v/>
      </c>
      <c r="KO5" s="40" t="str">
        <f t="shared" si="89"/>
        <v/>
      </c>
      <c r="KP5" s="40" t="str">
        <f t="shared" si="90"/>
        <v/>
      </c>
      <c r="KQ5" s="40" t="str">
        <f t="shared" si="91"/>
        <v/>
      </c>
      <c r="KR5" s="40" t="str">
        <f t="shared" si="92"/>
        <v/>
      </c>
      <c r="KS5" s="40" t="str">
        <f t="shared" si="93"/>
        <v/>
      </c>
      <c r="KT5" s="40" t="str">
        <f t="shared" si="94"/>
        <v/>
      </c>
      <c r="KU5" s="18"/>
      <c r="KV5" s="18"/>
      <c r="KW5" s="18"/>
      <c r="KX5" s="18"/>
      <c r="KY5" s="18"/>
      <c r="KZ5" s="18"/>
      <c r="LA5" s="18"/>
      <c r="LB5" s="18"/>
      <c r="LC5" s="18"/>
      <c r="LD5" s="18"/>
      <c r="LE5" s="18"/>
      <c r="LF5" s="18"/>
      <c r="LG5" s="18"/>
      <c r="LH5" s="18"/>
      <c r="LI5" s="18"/>
      <c r="LJ5" s="18"/>
      <c r="LK5" s="18"/>
      <c r="LL5" s="18"/>
      <c r="LM5" s="18"/>
      <c r="LN5" s="18"/>
      <c r="LO5" s="11" t="str">
        <f t="shared" si="95"/>
        <v/>
      </c>
      <c r="LP5" s="11" t="str">
        <f t="shared" si="96"/>
        <v/>
      </c>
      <c r="LQ5" s="11" t="str">
        <f t="shared" si="97"/>
        <v/>
      </c>
      <c r="LR5" s="11" t="str">
        <f t="shared" si="98"/>
        <v/>
      </c>
      <c r="LS5" s="11" t="str">
        <f t="shared" si="99"/>
        <v/>
      </c>
      <c r="LT5" s="11" t="str">
        <f t="shared" si="100"/>
        <v/>
      </c>
      <c r="LU5" s="11" t="str">
        <f t="shared" si="101"/>
        <v/>
      </c>
      <c r="LV5" s="11" t="str">
        <f t="shared" si="102"/>
        <v/>
      </c>
      <c r="LW5" s="17"/>
      <c r="LX5" s="17"/>
      <c r="LY5" s="17"/>
      <c r="LZ5" s="17"/>
      <c r="MA5" s="17"/>
      <c r="MB5" s="17"/>
      <c r="MC5" s="17"/>
      <c r="MD5" s="17"/>
      <c r="ME5" s="17"/>
      <c r="MF5" s="17"/>
      <c r="MG5" s="17"/>
      <c r="MH5" s="17"/>
      <c r="MI5" s="17"/>
      <c r="MJ5" s="17"/>
      <c r="MK5" s="17"/>
      <c r="ML5" s="17"/>
      <c r="MM5" s="17"/>
      <c r="MN5" s="17"/>
      <c r="MO5" s="17"/>
      <c r="MP5" s="17"/>
      <c r="MQ5" s="40" t="str">
        <f t="shared" si="103"/>
        <v/>
      </c>
      <c r="MR5" s="40" t="str">
        <f t="shared" si="104"/>
        <v/>
      </c>
      <c r="MS5" s="40" t="str">
        <f t="shared" si="105"/>
        <v/>
      </c>
      <c r="MT5" s="40" t="str">
        <f t="shared" si="106"/>
        <v/>
      </c>
      <c r="MU5" s="40" t="str">
        <f t="shared" si="107"/>
        <v/>
      </c>
      <c r="MV5" s="40" t="str">
        <f t="shared" si="108"/>
        <v/>
      </c>
      <c r="MW5" s="40" t="str">
        <f t="shared" si="109"/>
        <v/>
      </c>
      <c r="MX5" s="40" t="str">
        <f t="shared" si="110"/>
        <v/>
      </c>
      <c r="MY5" s="18"/>
      <c r="MZ5" s="18"/>
      <c r="NA5" s="18"/>
      <c r="NB5" s="18"/>
      <c r="NC5" s="18"/>
      <c r="ND5" s="18"/>
      <c r="NE5" s="18"/>
      <c r="NF5" s="18"/>
      <c r="NG5" s="18"/>
      <c r="NH5" s="18"/>
      <c r="NI5" s="18"/>
      <c r="NJ5" s="18"/>
      <c r="NK5" s="18"/>
      <c r="NL5" s="18"/>
      <c r="NM5" s="18"/>
      <c r="NN5" s="18"/>
      <c r="NO5" s="18"/>
      <c r="NP5" s="18"/>
      <c r="NQ5" s="18"/>
      <c r="NR5" s="18"/>
      <c r="NS5" s="11" t="str">
        <f t="shared" si="111"/>
        <v/>
      </c>
      <c r="NT5" s="11" t="str">
        <f t="shared" si="112"/>
        <v/>
      </c>
      <c r="NU5" s="11" t="str">
        <f t="shared" si="113"/>
        <v/>
      </c>
      <c r="NV5" s="11" t="str">
        <f t="shared" si="114"/>
        <v/>
      </c>
      <c r="NW5" s="11" t="str">
        <f t="shared" si="115"/>
        <v/>
      </c>
      <c r="NX5" s="11" t="str">
        <f t="shared" si="116"/>
        <v/>
      </c>
      <c r="NY5" s="11" t="str">
        <f t="shared" si="117"/>
        <v/>
      </c>
      <c r="NZ5" s="11" t="str">
        <f t="shared" si="118"/>
        <v/>
      </c>
      <c r="OA5" s="17"/>
      <c r="OB5" s="17"/>
      <c r="OC5" s="17"/>
      <c r="OD5" s="17"/>
      <c r="OE5" s="17"/>
      <c r="OF5" s="17"/>
      <c r="OG5" s="17"/>
      <c r="OH5" s="17"/>
      <c r="OI5" s="17"/>
      <c r="OJ5" s="17"/>
      <c r="OK5" s="17"/>
      <c r="OL5" s="17"/>
      <c r="OM5" s="17"/>
      <c r="ON5" s="17"/>
      <c r="OO5" s="17"/>
      <c r="OP5" s="17"/>
      <c r="OQ5" s="17"/>
      <c r="OR5" s="17"/>
      <c r="OS5" s="17"/>
      <c r="OT5" s="17"/>
      <c r="OU5" s="40" t="str">
        <f t="shared" si="119"/>
        <v/>
      </c>
      <c r="OV5" s="40" t="str">
        <f t="shared" si="120"/>
        <v/>
      </c>
      <c r="OW5" s="40" t="str">
        <f t="shared" si="121"/>
        <v/>
      </c>
      <c r="OX5" s="40" t="str">
        <f t="shared" si="122"/>
        <v/>
      </c>
      <c r="OY5" s="40" t="str">
        <f t="shared" si="123"/>
        <v/>
      </c>
      <c r="OZ5" s="40" t="str">
        <f t="shared" si="124"/>
        <v/>
      </c>
      <c r="PA5" s="40" t="str">
        <f t="shared" si="125"/>
        <v/>
      </c>
      <c r="PB5" s="40" t="str">
        <f t="shared" si="126"/>
        <v/>
      </c>
      <c r="PC5" s="18"/>
      <c r="PD5" s="18"/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8"/>
      <c r="PS5" s="18"/>
      <c r="PT5" s="18"/>
      <c r="PU5" s="18"/>
      <c r="PV5" s="18"/>
      <c r="PW5" s="11" t="str">
        <f t="shared" si="127"/>
        <v/>
      </c>
      <c r="PX5" s="11" t="str">
        <f t="shared" si="128"/>
        <v/>
      </c>
      <c r="PY5" s="11" t="str">
        <f t="shared" si="129"/>
        <v/>
      </c>
      <c r="PZ5" s="11" t="str">
        <f t="shared" si="130"/>
        <v/>
      </c>
      <c r="QA5" s="11" t="str">
        <f t="shared" si="131"/>
        <v/>
      </c>
      <c r="QB5" s="11" t="str">
        <f t="shared" si="132"/>
        <v/>
      </c>
      <c r="QC5" s="11" t="str">
        <f t="shared" si="133"/>
        <v/>
      </c>
      <c r="QD5" s="11" t="str">
        <f t="shared" si="134"/>
        <v/>
      </c>
      <c r="QE5" s="22">
        <f t="shared" si="135"/>
        <v>9.5</v>
      </c>
      <c r="QF5" s="22">
        <f t="shared" si="136"/>
        <v>4.5999999999999996</v>
      </c>
      <c r="QG5" s="22">
        <f t="shared" si="137"/>
        <v>0.15</v>
      </c>
      <c r="QH5" s="22">
        <f t="shared" si="138"/>
        <v>0.15</v>
      </c>
      <c r="QI5" s="22">
        <f t="shared" si="139"/>
        <v>8.9</v>
      </c>
      <c r="QJ5" s="22">
        <f t="shared" si="140"/>
        <v>4.6999999999999993</v>
      </c>
      <c r="QK5" s="22">
        <f t="shared" si="141"/>
        <v>0.25</v>
      </c>
      <c r="QL5" s="22">
        <f t="shared" si="142"/>
        <v>0.15</v>
      </c>
      <c r="QM5" s="22">
        <f t="shared" si="143"/>
        <v>9.3500000000000014</v>
      </c>
      <c r="QN5" s="22">
        <f t="shared" si="144"/>
        <v>3</v>
      </c>
      <c r="QO5" s="22">
        <f t="shared" si="145"/>
        <v>0</v>
      </c>
      <c r="QP5" s="22">
        <f t="shared" si="146"/>
        <v>7.4999999999999997E-2</v>
      </c>
      <c r="QQ5" s="22">
        <f t="shared" si="147"/>
        <v>9.5</v>
      </c>
      <c r="QR5" s="22">
        <f t="shared" si="148"/>
        <v>4.625</v>
      </c>
      <c r="QS5" s="22">
        <f t="shared" si="149"/>
        <v>0</v>
      </c>
      <c r="QT5" s="22">
        <f t="shared" si="150"/>
        <v>0.22499999999999998</v>
      </c>
      <c r="QU5" s="22">
        <f t="shared" si="151"/>
        <v>9.125</v>
      </c>
      <c r="QV5" s="22">
        <f t="shared" si="152"/>
        <v>4.7</v>
      </c>
      <c r="QW5" s="22">
        <f t="shared" si="153"/>
        <v>0.2</v>
      </c>
      <c r="QX5" s="22">
        <f t="shared" si="154"/>
        <v>0.22499999999999998</v>
      </c>
      <c r="QY5" s="27" t="s">
        <v>46</v>
      </c>
      <c r="QZ5" s="40">
        <f t="shared" si="155"/>
        <v>9.2999999999999989</v>
      </c>
      <c r="RA5" s="40">
        <f t="shared" si="156"/>
        <v>27.599999999999998</v>
      </c>
      <c r="RB5" s="40">
        <f t="shared" si="157"/>
        <v>12.425000000000001</v>
      </c>
      <c r="RC5" s="40">
        <f t="shared" si="158"/>
        <v>12.299999999999999</v>
      </c>
      <c r="RD5" s="40">
        <f t="shared" si="159"/>
        <v>40.024999999999999</v>
      </c>
      <c r="RE5" s="40">
        <f t="shared" si="160"/>
        <v>9.3249999999999993</v>
      </c>
      <c r="RF5" s="40">
        <f t="shared" si="161"/>
        <v>28.200000000000003</v>
      </c>
      <c r="RG5" s="40">
        <f t="shared" si="162"/>
        <v>55.8</v>
      </c>
    </row>
    <row r="6" spans="1:475" x14ac:dyDescent="0.2">
      <c r="A6" s="4">
        <f t="shared" ref="A6:A36" si="164">IF(AND(F6="P",G6="P"),SUMPRODUCT((F$4:F$37="P")*(G$4:G$37="P")*(E$4:E$37&gt;E6))+1,IF(G6="P",SUMPRODUCT((F$4:F$37="")*(G$4:G$37="P")*(E$4:E$37&gt;E6))+1+SUMPRODUCT((F$4:F$37="P")*(G$4:G$37="P")),""))</f>
        <v>3</v>
      </c>
      <c r="B6" s="5" t="s">
        <v>69</v>
      </c>
      <c r="C6" s="4" t="s">
        <v>4</v>
      </c>
      <c r="D6" s="4">
        <v>2003</v>
      </c>
      <c r="E6" s="9">
        <f t="shared" si="163"/>
        <v>184.68001304800521</v>
      </c>
      <c r="F6" s="3" t="str">
        <f t="shared" si="0"/>
        <v>P</v>
      </c>
      <c r="G6" s="3" t="str">
        <f t="shared" si="1"/>
        <v>P</v>
      </c>
      <c r="H6" s="36" t="str">
        <f t="shared" si="2"/>
        <v>National Team</v>
      </c>
      <c r="I6" s="3" t="str">
        <f t="shared" si="3"/>
        <v/>
      </c>
      <c r="J6" s="8">
        <f>IF(COUNT(AQ6,BT6,CW6)&gt;0,LARGE((AQ6,BT6,CW6),1),0)</f>
        <v>52.3</v>
      </c>
      <c r="K6" s="8" t="str">
        <f t="shared" si="4"/>
        <v>2022 3rd Domestic Trial</v>
      </c>
      <c r="L6" s="8">
        <f>IF(COUNT(AQ6,BT6,CW6)&gt;1,LARGE((AQ6,BT6,CW6),2),0)</f>
        <v>50.800000000000004</v>
      </c>
      <c r="M6" s="8" t="str">
        <f t="shared" si="5"/>
        <v>2023 Elite Canada</v>
      </c>
      <c r="N6" s="8">
        <f>IF(COUNT(AR6,BU6,CX6)&gt;0,LARGE((AR6,BU6,CX6),1),0)</f>
        <v>27.380000000000003</v>
      </c>
      <c r="O6" s="8" t="str">
        <f t="shared" si="6"/>
        <v>2022 3rd Domestic Trial</v>
      </c>
      <c r="P6" s="8">
        <f t="shared" si="7"/>
        <v>52.8</v>
      </c>
      <c r="Q6" s="8" t="str">
        <f t="shared" si="8"/>
        <v>2022 Nationals</v>
      </c>
      <c r="R6" s="8">
        <f t="shared" si="9"/>
        <v>1.3999999999999986</v>
      </c>
      <c r="S6" s="11" t="str">
        <f t="shared" si="10"/>
        <v>(Q1)</v>
      </c>
      <c r="T6" s="8" t="str">
        <f t="shared" si="11"/>
        <v>2022 Worlds (Nov 18)</v>
      </c>
      <c r="U6" s="19">
        <v>19</v>
      </c>
      <c r="V6" s="19">
        <v>8</v>
      </c>
      <c r="W6" s="19">
        <v>0.6</v>
      </c>
      <c r="X6" s="19">
        <v>0.3</v>
      </c>
      <c r="Y6" s="19">
        <v>17.399999999999999</v>
      </c>
      <c r="Z6" s="19">
        <v>4</v>
      </c>
      <c r="AA6" s="19">
        <v>0</v>
      </c>
      <c r="AB6" s="19">
        <v>0</v>
      </c>
      <c r="AC6" s="19">
        <v>19.3</v>
      </c>
      <c r="AD6" s="19">
        <v>6.8</v>
      </c>
      <c r="AE6" s="19">
        <v>0</v>
      </c>
      <c r="AF6" s="19">
        <v>0</v>
      </c>
      <c r="AG6" s="19">
        <v>18.7</v>
      </c>
      <c r="AH6" s="19">
        <v>8</v>
      </c>
      <c r="AI6" s="19">
        <v>0.6</v>
      </c>
      <c r="AJ6" s="19">
        <v>0.3</v>
      </c>
      <c r="AK6" s="19">
        <v>18.600000000000001</v>
      </c>
      <c r="AL6" s="19">
        <v>8.4</v>
      </c>
      <c r="AM6" s="19">
        <v>0.6</v>
      </c>
      <c r="AN6" s="19">
        <v>0</v>
      </c>
      <c r="AO6" s="27"/>
      <c r="AP6" s="40">
        <f t="shared" si="12"/>
        <v>12</v>
      </c>
      <c r="AQ6" s="40">
        <f t="shared" si="13"/>
        <v>48.1</v>
      </c>
      <c r="AR6" s="40">
        <f t="shared" si="14"/>
        <v>26.1</v>
      </c>
      <c r="AS6" s="40">
        <f t="shared" si="15"/>
        <v>18.8</v>
      </c>
      <c r="AT6" s="40">
        <f t="shared" si="16"/>
        <v>74.2</v>
      </c>
      <c r="AU6" s="40">
        <f t="shared" si="17"/>
        <v>16.399999999999999</v>
      </c>
      <c r="AV6" s="40">
        <f t="shared" si="18"/>
        <v>52.8</v>
      </c>
      <c r="AW6" s="40">
        <f t="shared" si="19"/>
        <v>100.9</v>
      </c>
      <c r="AX6" s="18">
        <v>19.2</v>
      </c>
      <c r="AY6" s="18">
        <v>7.6</v>
      </c>
      <c r="AZ6" s="18">
        <v>0.6</v>
      </c>
      <c r="BA6" s="18">
        <v>0.3</v>
      </c>
      <c r="BB6" s="18">
        <v>18.8</v>
      </c>
      <c r="BC6" s="18">
        <v>7.2</v>
      </c>
      <c r="BD6" s="18">
        <v>0.2</v>
      </c>
      <c r="BE6" s="18">
        <v>0</v>
      </c>
      <c r="BF6" s="18">
        <v>18.98</v>
      </c>
      <c r="BG6" s="18">
        <v>8.4</v>
      </c>
      <c r="BH6" s="18">
        <v>0</v>
      </c>
      <c r="BI6" s="18">
        <v>0</v>
      </c>
      <c r="BJ6" s="18">
        <v>18.7</v>
      </c>
      <c r="BK6" s="18">
        <v>6.8</v>
      </c>
      <c r="BL6" s="18">
        <v>0</v>
      </c>
      <c r="BM6" s="18">
        <v>0</v>
      </c>
      <c r="BN6" s="18">
        <v>18.899999999999999</v>
      </c>
      <c r="BO6" s="18">
        <v>6.4</v>
      </c>
      <c r="BP6" s="18">
        <v>0.6</v>
      </c>
      <c r="BQ6" s="18">
        <v>0</v>
      </c>
      <c r="BR6" s="28"/>
      <c r="BS6" s="11">
        <f t="shared" si="20"/>
        <v>14.8</v>
      </c>
      <c r="BT6" s="11">
        <f t="shared" si="21"/>
        <v>52.3</v>
      </c>
      <c r="BU6" s="11">
        <f t="shared" si="22"/>
        <v>27.380000000000003</v>
      </c>
      <c r="BV6" s="11">
        <f t="shared" si="23"/>
        <v>23.200000000000003</v>
      </c>
      <c r="BW6" s="11">
        <f t="shared" si="24"/>
        <v>79.680000000000007</v>
      </c>
      <c r="BX6" s="11">
        <f t="shared" si="25"/>
        <v>13.2</v>
      </c>
      <c r="BY6" s="11">
        <f t="shared" si="26"/>
        <v>50.199999999999996</v>
      </c>
      <c r="BZ6" s="11">
        <f t="shared" si="27"/>
        <v>102.5</v>
      </c>
      <c r="CA6" s="19">
        <v>18.2</v>
      </c>
      <c r="CB6" s="19">
        <v>8.4</v>
      </c>
      <c r="CC6" s="19">
        <v>0.6</v>
      </c>
      <c r="CD6" s="19">
        <v>0</v>
      </c>
      <c r="CE6" s="19">
        <v>17.8</v>
      </c>
      <c r="CF6" s="19">
        <v>7.6</v>
      </c>
      <c r="CG6" s="19">
        <v>0.6</v>
      </c>
      <c r="CH6" s="19">
        <v>0</v>
      </c>
      <c r="CI6" s="19">
        <v>18.8</v>
      </c>
      <c r="CJ6" s="19">
        <v>7.6</v>
      </c>
      <c r="CK6" s="19">
        <v>0</v>
      </c>
      <c r="CL6" s="19">
        <v>0.3</v>
      </c>
      <c r="CM6" s="19">
        <v>18.3</v>
      </c>
      <c r="CN6" s="19">
        <v>7.2</v>
      </c>
      <c r="CO6" s="19">
        <v>0</v>
      </c>
      <c r="CP6" s="19">
        <v>0</v>
      </c>
      <c r="CQ6" s="19">
        <v>18.8</v>
      </c>
      <c r="CR6" s="19">
        <v>7.6</v>
      </c>
      <c r="CS6" s="19">
        <v>0.6</v>
      </c>
      <c r="CT6" s="19">
        <v>0</v>
      </c>
      <c r="CU6" s="27"/>
      <c r="CV6" s="40">
        <f t="shared" si="28"/>
        <v>16</v>
      </c>
      <c r="CW6" s="40">
        <f t="shared" si="29"/>
        <v>50.800000000000004</v>
      </c>
      <c r="CX6" s="40">
        <f t="shared" si="30"/>
        <v>26.7</v>
      </c>
      <c r="CY6" s="40">
        <f t="shared" si="31"/>
        <v>23.6</v>
      </c>
      <c r="CZ6" s="40">
        <f t="shared" si="32"/>
        <v>77.5</v>
      </c>
      <c r="DA6" s="40">
        <f t="shared" si="33"/>
        <v>14.8</v>
      </c>
      <c r="DB6" s="40">
        <f t="shared" si="34"/>
        <v>51.3</v>
      </c>
      <c r="DC6" s="40">
        <f t="shared" si="35"/>
        <v>102.1</v>
      </c>
      <c r="DD6" s="50">
        <f t="shared" si="36"/>
        <v>1.3999999999999986</v>
      </c>
      <c r="DE6" s="50" t="str">
        <f t="shared" si="37"/>
        <v/>
      </c>
      <c r="DF6" s="50" t="str">
        <f t="shared" si="38"/>
        <v/>
      </c>
      <c r="DG6" s="17">
        <v>19</v>
      </c>
      <c r="DH6" s="17">
        <v>8</v>
      </c>
      <c r="DI6" s="17">
        <v>0.8</v>
      </c>
      <c r="DJ6" s="17">
        <v>0.3</v>
      </c>
      <c r="DK6" s="17">
        <v>18.399999999999999</v>
      </c>
      <c r="DL6" s="17">
        <v>6.8</v>
      </c>
      <c r="DM6" s="17">
        <v>0.8</v>
      </c>
      <c r="DN6" s="17">
        <v>0</v>
      </c>
      <c r="DO6" s="17"/>
      <c r="DP6" s="17"/>
      <c r="DQ6" s="17"/>
      <c r="DR6" s="17"/>
      <c r="DS6" s="17">
        <v>17.600000000000001</v>
      </c>
      <c r="DT6" s="17">
        <v>2.8</v>
      </c>
      <c r="DU6" s="17">
        <v>0</v>
      </c>
      <c r="DV6" s="17">
        <v>0</v>
      </c>
      <c r="DW6" s="17">
        <v>18.8</v>
      </c>
      <c r="DX6" s="17">
        <v>4.5999999999999996</v>
      </c>
      <c r="DY6" s="17">
        <v>1.4</v>
      </c>
      <c r="DZ6" s="17">
        <v>0</v>
      </c>
      <c r="EA6" s="40">
        <f t="shared" si="39"/>
        <v>14.8</v>
      </c>
      <c r="EB6" s="40">
        <f t="shared" si="40"/>
        <v>50.900000000000006</v>
      </c>
      <c r="EC6" s="40" t="str">
        <f t="shared" si="41"/>
        <v/>
      </c>
      <c r="ED6" s="40">
        <f t="shared" si="42"/>
        <v>14.8</v>
      </c>
      <c r="EE6" s="40">
        <f t="shared" si="43"/>
        <v>50.900000000000006</v>
      </c>
      <c r="EF6" s="40">
        <f t="shared" si="44"/>
        <v>7.3999999999999995</v>
      </c>
      <c r="EG6" s="40">
        <f t="shared" si="45"/>
        <v>42.400000000000006</v>
      </c>
      <c r="EH6" s="40">
        <f t="shared" si="46"/>
        <v>93.300000000000011</v>
      </c>
      <c r="EI6" s="18"/>
      <c r="EJ6" s="18"/>
      <c r="EK6" s="18"/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8"/>
      <c r="EY6" s="18"/>
      <c r="EZ6" s="18"/>
      <c r="FA6" s="18"/>
      <c r="FB6" s="18"/>
      <c r="FC6" s="11" t="str">
        <f t="shared" si="47"/>
        <v/>
      </c>
      <c r="FD6" s="11" t="str">
        <f t="shared" si="48"/>
        <v/>
      </c>
      <c r="FE6" s="11" t="str">
        <f t="shared" si="49"/>
        <v/>
      </c>
      <c r="FF6" s="11" t="str">
        <f t="shared" si="50"/>
        <v/>
      </c>
      <c r="FG6" s="11" t="str">
        <f t="shared" si="51"/>
        <v/>
      </c>
      <c r="FH6" s="11" t="str">
        <f t="shared" si="52"/>
        <v/>
      </c>
      <c r="FI6" s="11" t="str">
        <f t="shared" si="53"/>
        <v/>
      </c>
      <c r="FJ6" s="11" t="str">
        <f t="shared" si="54"/>
        <v/>
      </c>
      <c r="FK6" s="17"/>
      <c r="FL6" s="17"/>
      <c r="FM6" s="17"/>
      <c r="FN6" s="17"/>
      <c r="FO6" s="17"/>
      <c r="FP6" s="17"/>
      <c r="FQ6" s="17"/>
      <c r="FR6" s="17"/>
      <c r="FS6" s="17"/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40" t="str">
        <f t="shared" si="55"/>
        <v/>
      </c>
      <c r="GF6" s="40" t="str">
        <f t="shared" si="56"/>
        <v/>
      </c>
      <c r="GG6" s="40" t="str">
        <f t="shared" si="57"/>
        <v/>
      </c>
      <c r="GH6" s="40" t="str">
        <f t="shared" si="58"/>
        <v/>
      </c>
      <c r="GI6" s="40" t="str">
        <f t="shared" si="59"/>
        <v/>
      </c>
      <c r="GJ6" s="40" t="str">
        <f t="shared" si="60"/>
        <v/>
      </c>
      <c r="GK6" s="40" t="str">
        <f t="shared" si="61"/>
        <v/>
      </c>
      <c r="GL6" s="40" t="str">
        <f t="shared" si="62"/>
        <v/>
      </c>
      <c r="GM6" s="18"/>
      <c r="GN6" s="18"/>
      <c r="GO6" s="18"/>
      <c r="GP6" s="18"/>
      <c r="GQ6" s="18"/>
      <c r="GR6" s="18"/>
      <c r="GS6" s="18"/>
      <c r="GT6" s="18"/>
      <c r="GU6" s="18"/>
      <c r="GV6" s="18"/>
      <c r="GW6" s="18"/>
      <c r="GX6" s="18"/>
      <c r="GY6" s="18"/>
      <c r="GZ6" s="18"/>
      <c r="HA6" s="18"/>
      <c r="HB6" s="18"/>
      <c r="HC6" s="18"/>
      <c r="HD6" s="18"/>
      <c r="HE6" s="18"/>
      <c r="HF6" s="18"/>
      <c r="HG6" s="11" t="str">
        <f t="shared" si="63"/>
        <v/>
      </c>
      <c r="HH6" s="11" t="str">
        <f t="shared" si="64"/>
        <v/>
      </c>
      <c r="HI6" s="11" t="str">
        <f t="shared" si="65"/>
        <v/>
      </c>
      <c r="HJ6" s="11" t="str">
        <f t="shared" si="66"/>
        <v/>
      </c>
      <c r="HK6" s="11" t="str">
        <f t="shared" si="67"/>
        <v/>
      </c>
      <c r="HL6" s="11" t="str">
        <f t="shared" si="68"/>
        <v/>
      </c>
      <c r="HM6" s="11" t="str">
        <f t="shared" si="69"/>
        <v/>
      </c>
      <c r="HN6" s="11" t="str">
        <f t="shared" si="70"/>
        <v/>
      </c>
      <c r="HO6" s="17"/>
      <c r="HP6" s="17"/>
      <c r="HQ6" s="17"/>
      <c r="HR6" s="17"/>
      <c r="HS6" s="17"/>
      <c r="HT6" s="17"/>
      <c r="HU6" s="17"/>
      <c r="HV6" s="17"/>
      <c r="HW6" s="17"/>
      <c r="HX6" s="17"/>
      <c r="HY6" s="17"/>
      <c r="HZ6" s="17"/>
      <c r="IA6" s="17"/>
      <c r="IB6" s="17"/>
      <c r="IC6" s="17"/>
      <c r="ID6" s="17"/>
      <c r="IE6" s="17"/>
      <c r="IF6" s="17"/>
      <c r="IG6" s="17"/>
      <c r="IH6" s="17"/>
      <c r="II6" s="40" t="str">
        <f t="shared" si="71"/>
        <v/>
      </c>
      <c r="IJ6" s="40" t="str">
        <f t="shared" si="72"/>
        <v/>
      </c>
      <c r="IK6" s="40" t="str">
        <f t="shared" si="73"/>
        <v/>
      </c>
      <c r="IL6" s="40" t="str">
        <f t="shared" si="74"/>
        <v/>
      </c>
      <c r="IM6" s="40" t="str">
        <f t="shared" si="75"/>
        <v/>
      </c>
      <c r="IN6" s="40" t="str">
        <f t="shared" si="76"/>
        <v/>
      </c>
      <c r="IO6" s="40" t="str">
        <f t="shared" si="77"/>
        <v/>
      </c>
      <c r="IP6" s="40" t="str">
        <f t="shared" si="78"/>
        <v/>
      </c>
      <c r="IQ6" s="18">
        <v>18.399999999999999</v>
      </c>
      <c r="IR6" s="18">
        <v>7.6</v>
      </c>
      <c r="IS6" s="18">
        <v>0</v>
      </c>
      <c r="IT6" s="18">
        <v>0</v>
      </c>
      <c r="IU6" s="18">
        <v>18.2</v>
      </c>
      <c r="IV6" s="18">
        <v>8</v>
      </c>
      <c r="IW6" s="18">
        <v>0</v>
      </c>
      <c r="IX6" s="18">
        <v>0</v>
      </c>
      <c r="IY6" s="18"/>
      <c r="IZ6" s="18"/>
      <c r="JA6" s="18"/>
      <c r="JB6" s="18"/>
      <c r="JC6" s="18"/>
      <c r="JD6" s="18"/>
      <c r="JE6" s="18"/>
      <c r="JF6" s="18"/>
      <c r="JG6" s="18"/>
      <c r="JH6" s="18"/>
      <c r="JI6" s="18"/>
      <c r="JJ6" s="18"/>
      <c r="JK6" s="11">
        <f t="shared" si="79"/>
        <v>15.6</v>
      </c>
      <c r="JL6" s="11">
        <f t="shared" si="80"/>
        <v>52.2</v>
      </c>
      <c r="JM6" s="11" t="str">
        <f t="shared" si="81"/>
        <v/>
      </c>
      <c r="JN6" s="11">
        <f t="shared" si="82"/>
        <v>15.6</v>
      </c>
      <c r="JO6" s="11">
        <f t="shared" si="83"/>
        <v>52.2</v>
      </c>
      <c r="JP6" s="11" t="str">
        <f t="shared" si="84"/>
        <v/>
      </c>
      <c r="JQ6" s="11" t="str">
        <f t="shared" si="85"/>
        <v/>
      </c>
      <c r="JR6" s="11">
        <f t="shared" si="86"/>
        <v>52.2</v>
      </c>
      <c r="JS6" s="17"/>
      <c r="JT6" s="17"/>
      <c r="JU6" s="17"/>
      <c r="JV6" s="17"/>
      <c r="JW6" s="17"/>
      <c r="JX6" s="17"/>
      <c r="JY6" s="17"/>
      <c r="JZ6" s="17"/>
      <c r="KA6" s="17"/>
      <c r="KB6" s="17"/>
      <c r="KC6" s="17"/>
      <c r="KD6" s="17"/>
      <c r="KE6" s="17"/>
      <c r="KF6" s="17"/>
      <c r="KG6" s="17"/>
      <c r="KH6" s="17"/>
      <c r="KI6" s="17">
        <v>18.3</v>
      </c>
      <c r="KJ6" s="17">
        <v>5.6</v>
      </c>
      <c r="KK6" s="17">
        <v>0.6</v>
      </c>
      <c r="KL6" s="17">
        <v>0</v>
      </c>
      <c r="KM6" s="40" t="str">
        <f t="shared" si="87"/>
        <v/>
      </c>
      <c r="KN6" s="40" t="str">
        <f t="shared" si="88"/>
        <v/>
      </c>
      <c r="KO6" s="40" t="str">
        <f t="shared" si="89"/>
        <v/>
      </c>
      <c r="KP6" s="40" t="str">
        <f t="shared" si="90"/>
        <v/>
      </c>
      <c r="KQ6" s="40" t="str">
        <f t="shared" si="91"/>
        <v/>
      </c>
      <c r="KR6" s="40">
        <f t="shared" si="92"/>
        <v>5.6</v>
      </c>
      <c r="KS6" s="40">
        <f t="shared" si="93"/>
        <v>23.299999999999997</v>
      </c>
      <c r="KT6" s="40">
        <f t="shared" si="94"/>
        <v>23.299999999999997</v>
      </c>
      <c r="KU6" s="18"/>
      <c r="KV6" s="18"/>
      <c r="KW6" s="18"/>
      <c r="KX6" s="18"/>
      <c r="KY6" s="18"/>
      <c r="KZ6" s="18"/>
      <c r="LA6" s="18"/>
      <c r="LB6" s="18"/>
      <c r="LC6" s="18"/>
      <c r="LD6" s="18"/>
      <c r="LE6" s="18"/>
      <c r="LF6" s="18"/>
      <c r="LG6" s="18"/>
      <c r="LH6" s="18"/>
      <c r="LI6" s="18"/>
      <c r="LJ6" s="18"/>
      <c r="LK6" s="18"/>
      <c r="LL6" s="18"/>
      <c r="LM6" s="18"/>
      <c r="LN6" s="18"/>
      <c r="LO6" s="11" t="str">
        <f t="shared" si="95"/>
        <v/>
      </c>
      <c r="LP6" s="11" t="str">
        <f t="shared" si="96"/>
        <v/>
      </c>
      <c r="LQ6" s="11" t="str">
        <f t="shared" si="97"/>
        <v/>
      </c>
      <c r="LR6" s="11" t="str">
        <f t="shared" si="98"/>
        <v/>
      </c>
      <c r="LS6" s="11" t="str">
        <f t="shared" si="99"/>
        <v/>
      </c>
      <c r="LT6" s="11" t="str">
        <f t="shared" si="100"/>
        <v/>
      </c>
      <c r="LU6" s="11" t="str">
        <f t="shared" si="101"/>
        <v/>
      </c>
      <c r="LV6" s="11" t="str">
        <f t="shared" si="102"/>
        <v/>
      </c>
      <c r="LW6" s="17"/>
      <c r="LX6" s="17"/>
      <c r="LY6" s="17"/>
      <c r="LZ6" s="17"/>
      <c r="MA6" s="17"/>
      <c r="MB6" s="17"/>
      <c r="MC6" s="17"/>
      <c r="MD6" s="17"/>
      <c r="ME6" s="17"/>
      <c r="MF6" s="17"/>
      <c r="MG6" s="17"/>
      <c r="MH6" s="17"/>
      <c r="MI6" s="17"/>
      <c r="MJ6" s="17"/>
      <c r="MK6" s="17"/>
      <c r="ML6" s="17"/>
      <c r="MM6" s="17"/>
      <c r="MN6" s="17"/>
      <c r="MO6" s="17"/>
      <c r="MP6" s="17"/>
      <c r="MQ6" s="40" t="str">
        <f t="shared" si="103"/>
        <v/>
      </c>
      <c r="MR6" s="40" t="str">
        <f t="shared" si="104"/>
        <v/>
      </c>
      <c r="MS6" s="40" t="str">
        <f t="shared" si="105"/>
        <v/>
      </c>
      <c r="MT6" s="40" t="str">
        <f t="shared" si="106"/>
        <v/>
      </c>
      <c r="MU6" s="40" t="str">
        <f t="shared" si="107"/>
        <v/>
      </c>
      <c r="MV6" s="40" t="str">
        <f t="shared" si="108"/>
        <v/>
      </c>
      <c r="MW6" s="40" t="str">
        <f t="shared" si="109"/>
        <v/>
      </c>
      <c r="MX6" s="40" t="str">
        <f t="shared" si="110"/>
        <v/>
      </c>
      <c r="MY6" s="18"/>
      <c r="MZ6" s="18"/>
      <c r="NA6" s="18"/>
      <c r="NB6" s="18"/>
      <c r="NC6" s="18"/>
      <c r="ND6" s="18"/>
      <c r="NE6" s="18"/>
      <c r="NF6" s="18"/>
      <c r="NG6" s="18"/>
      <c r="NH6" s="18"/>
      <c r="NI6" s="18"/>
      <c r="NJ6" s="18"/>
      <c r="NK6" s="18"/>
      <c r="NL6" s="18"/>
      <c r="NM6" s="18"/>
      <c r="NN6" s="18"/>
      <c r="NO6" s="18"/>
      <c r="NP6" s="18"/>
      <c r="NQ6" s="18"/>
      <c r="NR6" s="18"/>
      <c r="NS6" s="11" t="str">
        <f t="shared" si="111"/>
        <v/>
      </c>
      <c r="NT6" s="11" t="str">
        <f t="shared" si="112"/>
        <v/>
      </c>
      <c r="NU6" s="11" t="str">
        <f t="shared" si="113"/>
        <v/>
      </c>
      <c r="NV6" s="11" t="str">
        <f t="shared" si="114"/>
        <v/>
      </c>
      <c r="NW6" s="11" t="str">
        <f t="shared" si="115"/>
        <v/>
      </c>
      <c r="NX6" s="11" t="str">
        <f t="shared" si="116"/>
        <v/>
      </c>
      <c r="NY6" s="11" t="str">
        <f t="shared" si="117"/>
        <v/>
      </c>
      <c r="NZ6" s="11" t="str">
        <f t="shared" si="118"/>
        <v/>
      </c>
      <c r="OA6" s="17"/>
      <c r="OB6" s="17"/>
      <c r="OC6" s="17"/>
      <c r="OD6" s="17"/>
      <c r="OE6" s="17"/>
      <c r="OF6" s="17"/>
      <c r="OG6" s="17"/>
      <c r="OH6" s="17"/>
      <c r="OI6" s="17"/>
      <c r="OJ6" s="17"/>
      <c r="OK6" s="17"/>
      <c r="OL6" s="17"/>
      <c r="OM6" s="17"/>
      <c r="ON6" s="17"/>
      <c r="OO6" s="17"/>
      <c r="OP6" s="17"/>
      <c r="OQ6" s="17"/>
      <c r="OR6" s="17"/>
      <c r="OS6" s="17"/>
      <c r="OT6" s="17"/>
      <c r="OU6" s="40" t="str">
        <f t="shared" si="119"/>
        <v/>
      </c>
      <c r="OV6" s="40" t="str">
        <f t="shared" si="120"/>
        <v/>
      </c>
      <c r="OW6" s="40" t="str">
        <f t="shared" si="121"/>
        <v/>
      </c>
      <c r="OX6" s="40" t="str">
        <f t="shared" si="122"/>
        <v/>
      </c>
      <c r="OY6" s="40" t="str">
        <f t="shared" si="123"/>
        <v/>
      </c>
      <c r="OZ6" s="40" t="str">
        <f t="shared" si="124"/>
        <v/>
      </c>
      <c r="PA6" s="40" t="str">
        <f t="shared" si="125"/>
        <v/>
      </c>
      <c r="PB6" s="40" t="str">
        <f t="shared" si="126"/>
        <v/>
      </c>
      <c r="PC6" s="18"/>
      <c r="PD6" s="18"/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8"/>
      <c r="PS6" s="18"/>
      <c r="PT6" s="18"/>
      <c r="PU6" s="18"/>
      <c r="PV6" s="18"/>
      <c r="PW6" s="11" t="str">
        <f t="shared" si="127"/>
        <v/>
      </c>
      <c r="PX6" s="11" t="str">
        <f t="shared" si="128"/>
        <v/>
      </c>
      <c r="PY6" s="11" t="str">
        <f t="shared" si="129"/>
        <v/>
      </c>
      <c r="PZ6" s="11" t="str">
        <f t="shared" si="130"/>
        <v/>
      </c>
      <c r="QA6" s="11" t="str">
        <f t="shared" si="131"/>
        <v/>
      </c>
      <c r="QB6" s="11" t="str">
        <f t="shared" si="132"/>
        <v/>
      </c>
      <c r="QC6" s="11" t="str">
        <f t="shared" si="133"/>
        <v/>
      </c>
      <c r="QD6" s="11" t="str">
        <f t="shared" si="134"/>
        <v/>
      </c>
      <c r="QE6" s="22">
        <f t="shared" si="135"/>
        <v>18.7</v>
      </c>
      <c r="QF6" s="22">
        <f t="shared" si="136"/>
        <v>8</v>
      </c>
      <c r="QG6" s="22">
        <f t="shared" si="137"/>
        <v>0.6</v>
      </c>
      <c r="QH6" s="22">
        <f t="shared" si="138"/>
        <v>0.15</v>
      </c>
      <c r="QI6" s="22">
        <f t="shared" si="139"/>
        <v>18.3</v>
      </c>
      <c r="QJ6" s="22">
        <f t="shared" si="140"/>
        <v>7.4</v>
      </c>
      <c r="QK6" s="22">
        <f t="shared" si="141"/>
        <v>0.4</v>
      </c>
      <c r="QL6" s="22">
        <f t="shared" si="142"/>
        <v>0</v>
      </c>
      <c r="QM6" s="22">
        <f t="shared" si="143"/>
        <v>18.89</v>
      </c>
      <c r="QN6" s="22">
        <f t="shared" si="144"/>
        <v>8</v>
      </c>
      <c r="QO6" s="22">
        <f t="shared" si="145"/>
        <v>0</v>
      </c>
      <c r="QP6" s="22">
        <f t="shared" si="146"/>
        <v>0.15</v>
      </c>
      <c r="QQ6" s="22">
        <f t="shared" si="147"/>
        <v>18.5</v>
      </c>
      <c r="QR6" s="22">
        <f t="shared" si="148"/>
        <v>7</v>
      </c>
      <c r="QS6" s="22">
        <f t="shared" si="149"/>
        <v>0</v>
      </c>
      <c r="QT6" s="22">
        <f t="shared" si="150"/>
        <v>0</v>
      </c>
      <c r="QU6" s="22">
        <f t="shared" si="151"/>
        <v>18.850000000000001</v>
      </c>
      <c r="QV6" s="22">
        <f t="shared" si="152"/>
        <v>7</v>
      </c>
      <c r="QW6" s="22">
        <f t="shared" si="153"/>
        <v>0.6</v>
      </c>
      <c r="QX6" s="22">
        <f t="shared" si="154"/>
        <v>0</v>
      </c>
      <c r="QY6" s="27" t="s">
        <v>46</v>
      </c>
      <c r="QZ6" s="40">
        <f t="shared" si="155"/>
        <v>15.4</v>
      </c>
      <c r="RA6" s="40">
        <f t="shared" si="156"/>
        <v>51.55</v>
      </c>
      <c r="RB6" s="40">
        <f t="shared" si="157"/>
        <v>27.04</v>
      </c>
      <c r="RC6" s="40">
        <f t="shared" si="158"/>
        <v>23.4</v>
      </c>
      <c r="RD6" s="40">
        <f t="shared" si="159"/>
        <v>78.59</v>
      </c>
      <c r="RE6" s="40">
        <f t="shared" si="160"/>
        <v>14</v>
      </c>
      <c r="RF6" s="40">
        <f t="shared" si="161"/>
        <v>50.75</v>
      </c>
      <c r="RG6" s="40">
        <f t="shared" si="162"/>
        <v>102.3</v>
      </c>
    </row>
    <row r="7" spans="1:475" x14ac:dyDescent="0.2">
      <c r="A7" s="4">
        <f t="shared" si="164"/>
        <v>4</v>
      </c>
      <c r="B7" s="5" t="s">
        <v>67</v>
      </c>
      <c r="C7" s="4" t="s">
        <v>4</v>
      </c>
      <c r="D7" s="4">
        <v>2002</v>
      </c>
      <c r="E7" s="9">
        <f t="shared" si="163"/>
        <v>180.80001010000487</v>
      </c>
      <c r="F7" s="3" t="str">
        <f t="shared" si="0"/>
        <v>P</v>
      </c>
      <c r="G7" s="3" t="str">
        <f t="shared" si="1"/>
        <v>P</v>
      </c>
      <c r="H7" s="36" t="str">
        <f t="shared" si="2"/>
        <v>National Team</v>
      </c>
      <c r="I7" s="3" t="str">
        <f t="shared" si="3"/>
        <v/>
      </c>
      <c r="J7" s="8">
        <f>IF(COUNT(AQ7,BT7,CW7)&gt;0,LARGE((AQ7,BT7,CW7),1),0)</f>
        <v>49</v>
      </c>
      <c r="K7" s="8" t="str">
        <f t="shared" si="4"/>
        <v>2022 3rd Domestic Trial</v>
      </c>
      <c r="L7" s="8">
        <f>IF(COUNT(AQ7,BT7,CW7)&gt;1,LARGE((AQ7,BT7,CW7),2),0)</f>
        <v>25.400000000000002</v>
      </c>
      <c r="M7" s="8" t="str">
        <f t="shared" si="5"/>
        <v>2022 Nationals</v>
      </c>
      <c r="N7" s="8">
        <f>IF(COUNT(AR7,BU7,CX7)&gt;0,LARGE((AR7,BU7,CX7),1),0)</f>
        <v>26.6</v>
      </c>
      <c r="O7" s="8" t="str">
        <f t="shared" si="6"/>
        <v>2023 Elite Canada</v>
      </c>
      <c r="P7" s="8">
        <f t="shared" si="7"/>
        <v>52.099999999999994</v>
      </c>
      <c r="Q7" s="8" t="str">
        <f t="shared" si="8"/>
        <v>2022 3rd Domestic Trial</v>
      </c>
      <c r="R7" s="8">
        <f t="shared" si="9"/>
        <v>27.699999999999992</v>
      </c>
      <c r="S7" s="11" t="str">
        <f t="shared" si="10"/>
        <v>(Q1)</v>
      </c>
      <c r="T7" s="8" t="str">
        <f t="shared" si="11"/>
        <v>2022 World Games Technical Trial #2 (May 15)</v>
      </c>
      <c r="U7" s="19">
        <v>0</v>
      </c>
      <c r="V7" s="19">
        <v>0</v>
      </c>
      <c r="W7" s="19">
        <v>0</v>
      </c>
      <c r="X7" s="19">
        <v>0</v>
      </c>
      <c r="Y7" s="19">
        <v>18.600000000000001</v>
      </c>
      <c r="Z7" s="19">
        <v>6.8</v>
      </c>
      <c r="AA7" s="19">
        <v>0</v>
      </c>
      <c r="AB7" s="19">
        <v>0</v>
      </c>
      <c r="AC7" s="19">
        <v>18.399999999999999</v>
      </c>
      <c r="AD7" s="19">
        <v>7.2</v>
      </c>
      <c r="AE7" s="19">
        <v>0</v>
      </c>
      <c r="AF7" s="19">
        <v>0</v>
      </c>
      <c r="AG7" s="19"/>
      <c r="AH7" s="19"/>
      <c r="AI7" s="19"/>
      <c r="AJ7" s="19"/>
      <c r="AK7" s="19"/>
      <c r="AL7" s="19"/>
      <c r="AM7" s="19"/>
      <c r="AN7" s="19"/>
      <c r="AO7" s="27"/>
      <c r="AP7" s="40">
        <f t="shared" si="12"/>
        <v>6.8</v>
      </c>
      <c r="AQ7" s="40">
        <f t="shared" si="13"/>
        <v>25.400000000000002</v>
      </c>
      <c r="AR7" s="40">
        <f t="shared" si="14"/>
        <v>25.599999999999998</v>
      </c>
      <c r="AS7" s="40">
        <f t="shared" si="15"/>
        <v>14</v>
      </c>
      <c r="AT7" s="40">
        <f t="shared" si="16"/>
        <v>51</v>
      </c>
      <c r="AU7" s="40" t="str">
        <f t="shared" si="17"/>
        <v/>
      </c>
      <c r="AV7" s="40" t="str">
        <f t="shared" si="18"/>
        <v/>
      </c>
      <c r="AW7" s="40">
        <f t="shared" si="19"/>
        <v>25.400000000000002</v>
      </c>
      <c r="AX7" s="18">
        <v>18.600000000000001</v>
      </c>
      <c r="AY7" s="18">
        <v>5.6</v>
      </c>
      <c r="AZ7" s="18">
        <v>1.2</v>
      </c>
      <c r="BA7" s="18">
        <v>0</v>
      </c>
      <c r="BB7" s="18">
        <v>18.5</v>
      </c>
      <c r="BC7" s="18">
        <v>8.5</v>
      </c>
      <c r="BD7" s="18">
        <v>1</v>
      </c>
      <c r="BE7" s="18">
        <v>0</v>
      </c>
      <c r="BF7" s="18">
        <v>18.579999999999998</v>
      </c>
      <c r="BG7" s="18">
        <v>7.2</v>
      </c>
      <c r="BH7" s="18">
        <v>1</v>
      </c>
      <c r="BI7" s="18">
        <v>0</v>
      </c>
      <c r="BJ7" s="18">
        <v>18.899999999999999</v>
      </c>
      <c r="BK7" s="18">
        <v>8.4</v>
      </c>
      <c r="BL7" s="18">
        <v>0.6</v>
      </c>
      <c r="BM7" s="18">
        <v>0</v>
      </c>
      <c r="BN7" s="18">
        <v>18.8</v>
      </c>
      <c r="BO7" s="18">
        <v>7.2</v>
      </c>
      <c r="BP7" s="18">
        <v>0.6</v>
      </c>
      <c r="BQ7" s="18">
        <v>0</v>
      </c>
      <c r="BR7" s="28"/>
      <c r="BS7" s="11">
        <f t="shared" si="20"/>
        <v>14.1</v>
      </c>
      <c r="BT7" s="11">
        <f t="shared" si="21"/>
        <v>49</v>
      </c>
      <c r="BU7" s="11">
        <f t="shared" si="22"/>
        <v>24.779999999999998</v>
      </c>
      <c r="BV7" s="11">
        <f t="shared" si="23"/>
        <v>21.3</v>
      </c>
      <c r="BW7" s="11">
        <f t="shared" si="24"/>
        <v>73.78</v>
      </c>
      <c r="BX7" s="11">
        <f t="shared" si="25"/>
        <v>15.600000000000001</v>
      </c>
      <c r="BY7" s="11">
        <f t="shared" si="26"/>
        <v>52.099999999999994</v>
      </c>
      <c r="BZ7" s="11">
        <f t="shared" si="27"/>
        <v>101.1</v>
      </c>
      <c r="CA7" s="19">
        <v>19</v>
      </c>
      <c r="CB7" s="19">
        <v>6</v>
      </c>
      <c r="CC7" s="19">
        <v>0.6</v>
      </c>
      <c r="CD7" s="19">
        <v>0</v>
      </c>
      <c r="CE7" s="19">
        <v>0</v>
      </c>
      <c r="CF7" s="19">
        <v>0</v>
      </c>
      <c r="CG7" s="19">
        <v>0</v>
      </c>
      <c r="CH7" s="19">
        <v>0</v>
      </c>
      <c r="CI7" s="19">
        <v>18.600000000000001</v>
      </c>
      <c r="CJ7" s="19">
        <v>8</v>
      </c>
      <c r="CK7" s="19">
        <v>0</v>
      </c>
      <c r="CL7" s="19">
        <v>0</v>
      </c>
      <c r="CM7" s="19"/>
      <c r="CN7" s="19"/>
      <c r="CO7" s="19"/>
      <c r="CP7" s="19"/>
      <c r="CQ7" s="19"/>
      <c r="CR7" s="19"/>
      <c r="CS7" s="19"/>
      <c r="CT7" s="19"/>
      <c r="CU7" s="27"/>
      <c r="CV7" s="40">
        <f t="shared" si="28"/>
        <v>6</v>
      </c>
      <c r="CW7" s="40">
        <f t="shared" si="29"/>
        <v>24.4</v>
      </c>
      <c r="CX7" s="40">
        <f t="shared" si="30"/>
        <v>26.6</v>
      </c>
      <c r="CY7" s="40">
        <f t="shared" si="31"/>
        <v>14</v>
      </c>
      <c r="CZ7" s="40">
        <f t="shared" si="32"/>
        <v>51</v>
      </c>
      <c r="DA7" s="40" t="str">
        <f t="shared" si="33"/>
        <v/>
      </c>
      <c r="DB7" s="40" t="str">
        <f t="shared" si="34"/>
        <v/>
      </c>
      <c r="DC7" s="40">
        <f t="shared" si="35"/>
        <v>24.4</v>
      </c>
      <c r="DD7" s="50">
        <f t="shared" si="36"/>
        <v>27.699999999999992</v>
      </c>
      <c r="DE7" s="50" t="str">
        <f t="shared" si="37"/>
        <v/>
      </c>
      <c r="DF7" s="50">
        <f t="shared" si="38"/>
        <v>0.10000000000000853</v>
      </c>
      <c r="DG7" s="17">
        <v>18.899999999999999</v>
      </c>
      <c r="DH7" s="17">
        <v>7.2</v>
      </c>
      <c r="DI7" s="17">
        <v>0</v>
      </c>
      <c r="DJ7" s="17">
        <v>0</v>
      </c>
      <c r="DK7" s="17">
        <v>18.7</v>
      </c>
      <c r="DL7" s="17">
        <v>8.5</v>
      </c>
      <c r="DM7" s="17">
        <v>0.2</v>
      </c>
      <c r="DN7" s="17">
        <v>0</v>
      </c>
      <c r="DO7" s="17"/>
      <c r="DP7" s="17"/>
      <c r="DQ7" s="17"/>
      <c r="DR7" s="17"/>
      <c r="DS7" s="17">
        <v>18.3</v>
      </c>
      <c r="DT7" s="17">
        <v>8.5</v>
      </c>
      <c r="DU7" s="17">
        <v>0.2</v>
      </c>
      <c r="DV7" s="17">
        <v>0</v>
      </c>
      <c r="DW7" s="17">
        <v>19</v>
      </c>
      <c r="DX7" s="17">
        <v>7.2</v>
      </c>
      <c r="DY7" s="17">
        <v>0.6</v>
      </c>
      <c r="DZ7" s="17">
        <v>0</v>
      </c>
      <c r="EA7" s="40">
        <f t="shared" si="39"/>
        <v>15.7</v>
      </c>
      <c r="EB7" s="40">
        <f t="shared" si="40"/>
        <v>53.099999999999994</v>
      </c>
      <c r="EC7" s="40" t="str">
        <f t="shared" si="41"/>
        <v/>
      </c>
      <c r="ED7" s="40">
        <f t="shared" si="42"/>
        <v>15.7</v>
      </c>
      <c r="EE7" s="40">
        <f t="shared" si="43"/>
        <v>53.099999999999994</v>
      </c>
      <c r="EF7" s="40">
        <f t="shared" si="44"/>
        <v>15.7</v>
      </c>
      <c r="EG7" s="40">
        <f t="shared" si="45"/>
        <v>52.2</v>
      </c>
      <c r="EH7" s="40">
        <f t="shared" si="46"/>
        <v>105.3</v>
      </c>
      <c r="EI7" s="18">
        <v>17.399999999999999</v>
      </c>
      <c r="EJ7" s="18">
        <v>4</v>
      </c>
      <c r="EK7" s="18">
        <v>0</v>
      </c>
      <c r="EL7" s="18">
        <v>0</v>
      </c>
      <c r="EM7" s="18">
        <v>18.7</v>
      </c>
      <c r="EN7" s="18">
        <v>7.2</v>
      </c>
      <c r="EO7" s="18">
        <v>0.6</v>
      </c>
      <c r="EP7" s="18">
        <v>0</v>
      </c>
      <c r="EQ7" s="18"/>
      <c r="ER7" s="18"/>
      <c r="ES7" s="18"/>
      <c r="ET7" s="18"/>
      <c r="EU7" s="18"/>
      <c r="EV7" s="18"/>
      <c r="EW7" s="18"/>
      <c r="EX7" s="18"/>
      <c r="EY7" s="18"/>
      <c r="EZ7" s="18"/>
      <c r="FA7" s="18"/>
      <c r="FB7" s="18"/>
      <c r="FC7" s="11">
        <f t="shared" si="47"/>
        <v>11.2</v>
      </c>
      <c r="FD7" s="11">
        <f t="shared" si="48"/>
        <v>46.699999999999996</v>
      </c>
      <c r="FE7" s="11" t="str">
        <f t="shared" si="49"/>
        <v/>
      </c>
      <c r="FF7" s="11">
        <f t="shared" si="50"/>
        <v>11.2</v>
      </c>
      <c r="FG7" s="11">
        <f t="shared" si="51"/>
        <v>46.699999999999996</v>
      </c>
      <c r="FH7" s="11" t="str">
        <f t="shared" si="52"/>
        <v/>
      </c>
      <c r="FI7" s="11" t="str">
        <f t="shared" si="53"/>
        <v/>
      </c>
      <c r="FJ7" s="11">
        <f t="shared" si="54"/>
        <v>46.699999999999996</v>
      </c>
      <c r="FK7" s="17">
        <v>18.5</v>
      </c>
      <c r="FL7" s="17">
        <v>6</v>
      </c>
      <c r="FM7" s="17">
        <v>0.6</v>
      </c>
      <c r="FN7" s="17">
        <v>0</v>
      </c>
      <c r="FO7" s="17">
        <v>17.600000000000001</v>
      </c>
      <c r="FP7" s="17">
        <v>8.1</v>
      </c>
      <c r="FQ7" s="17">
        <v>0.2</v>
      </c>
      <c r="FR7" s="17">
        <v>0</v>
      </c>
      <c r="FS7" s="17"/>
      <c r="FT7" s="17"/>
      <c r="FU7" s="17"/>
      <c r="FV7" s="17"/>
      <c r="FW7" s="17">
        <v>17.399999999999999</v>
      </c>
      <c r="FX7" s="17">
        <v>2.8</v>
      </c>
      <c r="FY7" s="17">
        <v>0</v>
      </c>
      <c r="FZ7" s="17">
        <v>0</v>
      </c>
      <c r="GA7" s="17"/>
      <c r="GB7" s="17"/>
      <c r="GC7" s="17"/>
      <c r="GD7" s="17"/>
      <c r="GE7" s="40">
        <f t="shared" si="55"/>
        <v>14.1</v>
      </c>
      <c r="GF7" s="40">
        <f t="shared" si="56"/>
        <v>49.4</v>
      </c>
      <c r="GG7" s="40" t="str">
        <f t="shared" si="57"/>
        <v/>
      </c>
      <c r="GH7" s="40">
        <f t="shared" si="58"/>
        <v>14.1</v>
      </c>
      <c r="GI7" s="40">
        <f t="shared" si="59"/>
        <v>49.4</v>
      </c>
      <c r="GJ7" s="40">
        <f t="shared" si="60"/>
        <v>2.8</v>
      </c>
      <c r="GK7" s="40">
        <f t="shared" si="61"/>
        <v>20.2</v>
      </c>
      <c r="GL7" s="40">
        <f t="shared" si="62"/>
        <v>69.599999999999994</v>
      </c>
      <c r="GM7" s="18"/>
      <c r="GN7" s="18"/>
      <c r="GO7" s="18"/>
      <c r="GP7" s="18"/>
      <c r="GQ7" s="18"/>
      <c r="GR7" s="18"/>
      <c r="GS7" s="18"/>
      <c r="GT7" s="18"/>
      <c r="GU7" s="18"/>
      <c r="GV7" s="18"/>
      <c r="GW7" s="18"/>
      <c r="GX7" s="18"/>
      <c r="GY7" s="18"/>
      <c r="GZ7" s="18"/>
      <c r="HA7" s="18"/>
      <c r="HB7" s="18"/>
      <c r="HC7" s="18"/>
      <c r="HD7" s="18"/>
      <c r="HE7" s="18"/>
      <c r="HF7" s="18"/>
      <c r="HG7" s="11" t="str">
        <f t="shared" si="63"/>
        <v/>
      </c>
      <c r="HH7" s="11" t="str">
        <f t="shared" si="64"/>
        <v/>
      </c>
      <c r="HI7" s="11" t="str">
        <f t="shared" si="65"/>
        <v/>
      </c>
      <c r="HJ7" s="11" t="str">
        <f t="shared" si="66"/>
        <v/>
      </c>
      <c r="HK7" s="11" t="str">
        <f t="shared" si="67"/>
        <v/>
      </c>
      <c r="HL7" s="11" t="str">
        <f t="shared" si="68"/>
        <v/>
      </c>
      <c r="HM7" s="11" t="str">
        <f t="shared" si="69"/>
        <v/>
      </c>
      <c r="HN7" s="11" t="str">
        <f t="shared" si="70"/>
        <v/>
      </c>
      <c r="HO7" s="17"/>
      <c r="HP7" s="17"/>
      <c r="HQ7" s="17"/>
      <c r="HR7" s="17"/>
      <c r="HS7" s="17"/>
      <c r="HT7" s="17"/>
      <c r="HU7" s="17"/>
      <c r="HV7" s="17"/>
      <c r="HW7" s="17"/>
      <c r="HX7" s="17"/>
      <c r="HY7" s="17"/>
      <c r="HZ7" s="17"/>
      <c r="IA7" s="17"/>
      <c r="IB7" s="17"/>
      <c r="IC7" s="17"/>
      <c r="ID7" s="17"/>
      <c r="IE7" s="17"/>
      <c r="IF7" s="17"/>
      <c r="IG7" s="17"/>
      <c r="IH7" s="17"/>
      <c r="II7" s="40" t="str">
        <f t="shared" si="71"/>
        <v/>
      </c>
      <c r="IJ7" s="40" t="str">
        <f t="shared" si="72"/>
        <v/>
      </c>
      <c r="IK7" s="40" t="str">
        <f t="shared" si="73"/>
        <v/>
      </c>
      <c r="IL7" s="40" t="str">
        <f t="shared" si="74"/>
        <v/>
      </c>
      <c r="IM7" s="40" t="str">
        <f t="shared" si="75"/>
        <v/>
      </c>
      <c r="IN7" s="40" t="str">
        <f t="shared" si="76"/>
        <v/>
      </c>
      <c r="IO7" s="40" t="str">
        <f t="shared" si="77"/>
        <v/>
      </c>
      <c r="IP7" s="40" t="str">
        <f t="shared" si="78"/>
        <v/>
      </c>
      <c r="IQ7" s="18"/>
      <c r="IR7" s="18"/>
      <c r="IS7" s="18"/>
      <c r="IT7" s="18"/>
      <c r="IU7" s="18"/>
      <c r="IV7" s="18"/>
      <c r="IW7" s="18"/>
      <c r="IX7" s="18"/>
      <c r="IY7" s="18"/>
      <c r="IZ7" s="18"/>
      <c r="JA7" s="18"/>
      <c r="JB7" s="18"/>
      <c r="JC7" s="18"/>
      <c r="JD7" s="18"/>
      <c r="JE7" s="18"/>
      <c r="JF7" s="18"/>
      <c r="JG7" s="18"/>
      <c r="JH7" s="18"/>
      <c r="JI7" s="18"/>
      <c r="JJ7" s="18"/>
      <c r="JK7" s="11" t="str">
        <f t="shared" si="79"/>
        <v/>
      </c>
      <c r="JL7" s="11" t="str">
        <f t="shared" si="80"/>
        <v/>
      </c>
      <c r="JM7" s="11" t="str">
        <f t="shared" si="81"/>
        <v/>
      </c>
      <c r="JN7" s="11" t="str">
        <f t="shared" si="82"/>
        <v/>
      </c>
      <c r="JO7" s="11" t="str">
        <f t="shared" si="83"/>
        <v/>
      </c>
      <c r="JP7" s="11" t="str">
        <f t="shared" si="84"/>
        <v/>
      </c>
      <c r="JQ7" s="11" t="str">
        <f t="shared" si="85"/>
        <v/>
      </c>
      <c r="JR7" s="11" t="str">
        <f t="shared" si="86"/>
        <v/>
      </c>
      <c r="JS7" s="17"/>
      <c r="JT7" s="17"/>
      <c r="JU7" s="17"/>
      <c r="JV7" s="17"/>
      <c r="JW7" s="17"/>
      <c r="JX7" s="17"/>
      <c r="JY7" s="17"/>
      <c r="JZ7" s="17"/>
      <c r="KA7" s="17"/>
      <c r="KB7" s="17"/>
      <c r="KC7" s="17"/>
      <c r="KD7" s="17"/>
      <c r="KE7" s="17"/>
      <c r="KF7" s="17"/>
      <c r="KG7" s="17"/>
      <c r="KH7" s="17"/>
      <c r="KI7" s="17"/>
      <c r="KJ7" s="17"/>
      <c r="KK7" s="17"/>
      <c r="KL7" s="17"/>
      <c r="KM7" s="40" t="str">
        <f t="shared" si="87"/>
        <v/>
      </c>
      <c r="KN7" s="40" t="str">
        <f t="shared" si="88"/>
        <v/>
      </c>
      <c r="KO7" s="40" t="str">
        <f t="shared" si="89"/>
        <v/>
      </c>
      <c r="KP7" s="40" t="str">
        <f t="shared" si="90"/>
        <v/>
      </c>
      <c r="KQ7" s="40" t="str">
        <f t="shared" si="91"/>
        <v/>
      </c>
      <c r="KR7" s="40" t="str">
        <f t="shared" si="92"/>
        <v/>
      </c>
      <c r="KS7" s="40" t="str">
        <f t="shared" si="93"/>
        <v/>
      </c>
      <c r="KT7" s="40" t="str">
        <f t="shared" si="94"/>
        <v/>
      </c>
      <c r="KU7" s="18"/>
      <c r="KV7" s="18"/>
      <c r="KW7" s="18"/>
      <c r="KX7" s="18"/>
      <c r="KY7" s="18"/>
      <c r="KZ7" s="18"/>
      <c r="LA7" s="18"/>
      <c r="LB7" s="18"/>
      <c r="LC7" s="18"/>
      <c r="LD7" s="18"/>
      <c r="LE7" s="18"/>
      <c r="LF7" s="18"/>
      <c r="LG7" s="18"/>
      <c r="LH7" s="18"/>
      <c r="LI7" s="18"/>
      <c r="LJ7" s="18"/>
      <c r="LK7" s="18"/>
      <c r="LL7" s="18"/>
      <c r="LM7" s="18"/>
      <c r="LN7" s="18"/>
      <c r="LO7" s="11" t="str">
        <f t="shared" si="95"/>
        <v/>
      </c>
      <c r="LP7" s="11" t="str">
        <f t="shared" si="96"/>
        <v/>
      </c>
      <c r="LQ7" s="11" t="str">
        <f t="shared" si="97"/>
        <v/>
      </c>
      <c r="LR7" s="11" t="str">
        <f t="shared" si="98"/>
        <v/>
      </c>
      <c r="LS7" s="11" t="str">
        <f t="shared" si="99"/>
        <v/>
      </c>
      <c r="LT7" s="11" t="str">
        <f t="shared" si="100"/>
        <v/>
      </c>
      <c r="LU7" s="11" t="str">
        <f t="shared" si="101"/>
        <v/>
      </c>
      <c r="LV7" s="11" t="str">
        <f t="shared" si="102"/>
        <v/>
      </c>
      <c r="LW7" s="17"/>
      <c r="LX7" s="17"/>
      <c r="LY7" s="17"/>
      <c r="LZ7" s="17"/>
      <c r="MA7" s="17"/>
      <c r="MB7" s="17"/>
      <c r="MC7" s="17"/>
      <c r="MD7" s="17"/>
      <c r="ME7" s="17"/>
      <c r="MF7" s="17"/>
      <c r="MG7" s="17"/>
      <c r="MH7" s="17"/>
      <c r="MI7" s="17"/>
      <c r="MJ7" s="17"/>
      <c r="MK7" s="17"/>
      <c r="ML7" s="17"/>
      <c r="MM7" s="17"/>
      <c r="MN7" s="17"/>
      <c r="MO7" s="17"/>
      <c r="MP7" s="17"/>
      <c r="MQ7" s="40" t="str">
        <f t="shared" si="103"/>
        <v/>
      </c>
      <c r="MR7" s="40" t="str">
        <f t="shared" si="104"/>
        <v/>
      </c>
      <c r="MS7" s="40" t="str">
        <f t="shared" si="105"/>
        <v/>
      </c>
      <c r="MT7" s="40" t="str">
        <f t="shared" si="106"/>
        <v/>
      </c>
      <c r="MU7" s="40" t="str">
        <f t="shared" si="107"/>
        <v/>
      </c>
      <c r="MV7" s="40" t="str">
        <f t="shared" si="108"/>
        <v/>
      </c>
      <c r="MW7" s="40" t="str">
        <f t="shared" si="109"/>
        <v/>
      </c>
      <c r="MX7" s="40" t="str">
        <f t="shared" si="110"/>
        <v/>
      </c>
      <c r="MY7" s="18"/>
      <c r="MZ7" s="18"/>
      <c r="NA7" s="18"/>
      <c r="NB7" s="18"/>
      <c r="NC7" s="18"/>
      <c r="ND7" s="18"/>
      <c r="NE7" s="18"/>
      <c r="NF7" s="18"/>
      <c r="NG7" s="18"/>
      <c r="NH7" s="18"/>
      <c r="NI7" s="18"/>
      <c r="NJ7" s="18"/>
      <c r="NK7" s="18"/>
      <c r="NL7" s="18"/>
      <c r="NM7" s="18"/>
      <c r="NN7" s="18"/>
      <c r="NO7" s="18"/>
      <c r="NP7" s="18"/>
      <c r="NQ7" s="18"/>
      <c r="NR7" s="18"/>
      <c r="NS7" s="11" t="str">
        <f t="shared" si="111"/>
        <v/>
      </c>
      <c r="NT7" s="11" t="str">
        <f t="shared" si="112"/>
        <v/>
      </c>
      <c r="NU7" s="11" t="str">
        <f t="shared" si="113"/>
        <v/>
      </c>
      <c r="NV7" s="11" t="str">
        <f t="shared" si="114"/>
        <v/>
      </c>
      <c r="NW7" s="11" t="str">
        <f t="shared" si="115"/>
        <v/>
      </c>
      <c r="NX7" s="11" t="str">
        <f t="shared" si="116"/>
        <v/>
      </c>
      <c r="NY7" s="11" t="str">
        <f t="shared" si="117"/>
        <v/>
      </c>
      <c r="NZ7" s="11" t="str">
        <f t="shared" si="118"/>
        <v/>
      </c>
      <c r="OA7" s="17"/>
      <c r="OB7" s="17"/>
      <c r="OC7" s="17"/>
      <c r="OD7" s="17"/>
      <c r="OE7" s="17"/>
      <c r="OF7" s="17"/>
      <c r="OG7" s="17"/>
      <c r="OH7" s="17"/>
      <c r="OI7" s="17"/>
      <c r="OJ7" s="17"/>
      <c r="OK7" s="17"/>
      <c r="OL7" s="17"/>
      <c r="OM7" s="17"/>
      <c r="ON7" s="17"/>
      <c r="OO7" s="17"/>
      <c r="OP7" s="17"/>
      <c r="OQ7" s="17"/>
      <c r="OR7" s="17"/>
      <c r="OS7" s="17"/>
      <c r="OT7" s="17"/>
      <c r="OU7" s="40" t="str">
        <f t="shared" si="119"/>
        <v/>
      </c>
      <c r="OV7" s="40" t="str">
        <f t="shared" si="120"/>
        <v/>
      </c>
      <c r="OW7" s="40" t="str">
        <f t="shared" si="121"/>
        <v/>
      </c>
      <c r="OX7" s="40" t="str">
        <f t="shared" si="122"/>
        <v/>
      </c>
      <c r="OY7" s="40" t="str">
        <f t="shared" si="123"/>
        <v/>
      </c>
      <c r="OZ7" s="40" t="str">
        <f t="shared" si="124"/>
        <v/>
      </c>
      <c r="PA7" s="40" t="str">
        <f t="shared" si="125"/>
        <v/>
      </c>
      <c r="PB7" s="40" t="str">
        <f t="shared" si="126"/>
        <v/>
      </c>
      <c r="PC7" s="18"/>
      <c r="PD7" s="18"/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8"/>
      <c r="PS7" s="18"/>
      <c r="PT7" s="18"/>
      <c r="PU7" s="18"/>
      <c r="PV7" s="18"/>
      <c r="PW7" s="11" t="str">
        <f t="shared" si="127"/>
        <v/>
      </c>
      <c r="PX7" s="11" t="str">
        <f t="shared" si="128"/>
        <v/>
      </c>
      <c r="PY7" s="11" t="str">
        <f t="shared" si="129"/>
        <v/>
      </c>
      <c r="PZ7" s="11" t="str">
        <f t="shared" si="130"/>
        <v/>
      </c>
      <c r="QA7" s="11" t="str">
        <f t="shared" si="131"/>
        <v/>
      </c>
      <c r="QB7" s="11" t="str">
        <f t="shared" si="132"/>
        <v/>
      </c>
      <c r="QC7" s="11" t="str">
        <f t="shared" si="133"/>
        <v/>
      </c>
      <c r="QD7" s="11" t="str">
        <f t="shared" si="134"/>
        <v/>
      </c>
      <c r="QE7" s="22">
        <f t="shared" si="135"/>
        <v>18.8</v>
      </c>
      <c r="QF7" s="22">
        <f t="shared" si="136"/>
        <v>5.8</v>
      </c>
      <c r="QG7" s="22">
        <f t="shared" si="137"/>
        <v>0.89999999999999991</v>
      </c>
      <c r="QH7" s="22">
        <f t="shared" si="138"/>
        <v>0</v>
      </c>
      <c r="QI7" s="22">
        <f t="shared" si="139"/>
        <v>9.25</v>
      </c>
      <c r="QJ7" s="22">
        <f t="shared" si="140"/>
        <v>4.25</v>
      </c>
      <c r="QK7" s="22">
        <f t="shared" si="141"/>
        <v>0.5</v>
      </c>
      <c r="QL7" s="22">
        <f t="shared" si="142"/>
        <v>0</v>
      </c>
      <c r="QM7" s="22">
        <f t="shared" si="143"/>
        <v>18.59</v>
      </c>
      <c r="QN7" s="22">
        <f t="shared" si="144"/>
        <v>7.6</v>
      </c>
      <c r="QO7" s="22">
        <f t="shared" si="145"/>
        <v>0.5</v>
      </c>
      <c r="QP7" s="22">
        <f t="shared" si="146"/>
        <v>0</v>
      </c>
      <c r="QQ7" s="22">
        <f t="shared" si="147"/>
        <v>9.4499999999999993</v>
      </c>
      <c r="QR7" s="22">
        <f t="shared" si="148"/>
        <v>4.2</v>
      </c>
      <c r="QS7" s="22">
        <f t="shared" si="149"/>
        <v>0.3</v>
      </c>
      <c r="QT7" s="22">
        <f t="shared" si="150"/>
        <v>0</v>
      </c>
      <c r="QU7" s="22">
        <f t="shared" si="151"/>
        <v>9.4</v>
      </c>
      <c r="QV7" s="22">
        <f t="shared" si="152"/>
        <v>3.6</v>
      </c>
      <c r="QW7" s="22">
        <f t="shared" si="153"/>
        <v>0.3</v>
      </c>
      <c r="QX7" s="22">
        <f t="shared" si="154"/>
        <v>0</v>
      </c>
      <c r="QY7" s="27" t="s">
        <v>46</v>
      </c>
      <c r="QZ7" s="40">
        <f t="shared" si="155"/>
        <v>10.050000000000001</v>
      </c>
      <c r="RA7" s="40">
        <f t="shared" si="156"/>
        <v>36.700000000000003</v>
      </c>
      <c r="RB7" s="40">
        <f t="shared" si="157"/>
        <v>25.689999999999998</v>
      </c>
      <c r="RC7" s="40">
        <f t="shared" si="158"/>
        <v>17.649999999999999</v>
      </c>
      <c r="RD7" s="40">
        <f t="shared" si="159"/>
        <v>62.39</v>
      </c>
      <c r="RE7" s="40">
        <f t="shared" si="160"/>
        <v>7.8000000000000007</v>
      </c>
      <c r="RF7" s="40">
        <f t="shared" si="161"/>
        <v>26.049999999999997</v>
      </c>
      <c r="RG7" s="40">
        <f t="shared" si="162"/>
        <v>62.75</v>
      </c>
    </row>
    <row r="8" spans="1:475" x14ac:dyDescent="0.2">
      <c r="A8" s="4">
        <f t="shared" si="164"/>
        <v>5</v>
      </c>
      <c r="B8" s="5" t="s">
        <v>130</v>
      </c>
      <c r="C8" s="4" t="s">
        <v>3</v>
      </c>
      <c r="D8" s="4">
        <v>2002</v>
      </c>
      <c r="E8" s="9">
        <f t="shared" si="163"/>
        <v>180.10001281000515</v>
      </c>
      <c r="F8" s="3" t="str">
        <f t="shared" si="0"/>
        <v>P</v>
      </c>
      <c r="G8" s="3" t="str">
        <f t="shared" si="1"/>
        <v>P</v>
      </c>
      <c r="H8" s="36" t="str">
        <f t="shared" si="2"/>
        <v>National Team</v>
      </c>
      <c r="I8" s="3" t="str">
        <f t="shared" si="3"/>
        <v/>
      </c>
      <c r="J8" s="8">
        <f>IF(COUNT(AQ8,BT8,CW8)&gt;0,LARGE((AQ8,BT8,CW8),1),0)</f>
        <v>51.8</v>
      </c>
      <c r="K8" s="8" t="str">
        <f t="shared" si="4"/>
        <v>2022 Nationals</v>
      </c>
      <c r="L8" s="8">
        <f>IF(COUNT(AQ8,BT8,CW8)&gt;1,LARGE((AQ8,BT8,CW8),2),0)</f>
        <v>51.2</v>
      </c>
      <c r="M8" s="8" t="str">
        <f t="shared" si="5"/>
        <v>2023 Elite Canada</v>
      </c>
      <c r="N8" s="8">
        <f>IF(COUNT(AR8,BU8,CX8)&gt;0,LARGE((AR8,BU8,CX8),1),0)</f>
        <v>25.099999999999998</v>
      </c>
      <c r="O8" s="8" t="str">
        <f t="shared" si="6"/>
        <v>2022 3rd Domestic Trial</v>
      </c>
      <c r="P8" s="8">
        <f t="shared" si="7"/>
        <v>51.999999999999993</v>
      </c>
      <c r="Q8" s="8" t="str">
        <f t="shared" si="8"/>
        <v>2022 Nationals</v>
      </c>
      <c r="R8" s="8" t="str">
        <f t="shared" si="9"/>
        <v/>
      </c>
      <c r="S8" s="11" t="str">
        <f t="shared" si="10"/>
        <v/>
      </c>
      <c r="T8" s="8" t="str">
        <f t="shared" si="11"/>
        <v/>
      </c>
      <c r="U8" s="19">
        <v>18.3</v>
      </c>
      <c r="V8" s="19">
        <v>8.4</v>
      </c>
      <c r="W8" s="19">
        <v>1</v>
      </c>
      <c r="X8" s="19">
        <v>0</v>
      </c>
      <c r="Y8" s="19">
        <v>19.3</v>
      </c>
      <c r="Z8" s="19">
        <v>6.8</v>
      </c>
      <c r="AA8" s="19">
        <v>0</v>
      </c>
      <c r="AB8" s="19">
        <v>0</v>
      </c>
      <c r="AC8" s="19">
        <v>19</v>
      </c>
      <c r="AD8" s="19">
        <v>6</v>
      </c>
      <c r="AE8" s="19">
        <v>0</v>
      </c>
      <c r="AF8" s="19">
        <v>0</v>
      </c>
      <c r="AG8" s="19">
        <v>18.5</v>
      </c>
      <c r="AH8" s="19">
        <v>8.4</v>
      </c>
      <c r="AI8" s="19">
        <v>0.6</v>
      </c>
      <c r="AJ8" s="19">
        <v>0</v>
      </c>
      <c r="AK8" s="19">
        <v>18.899999999999999</v>
      </c>
      <c r="AL8" s="19">
        <v>6.8</v>
      </c>
      <c r="AM8" s="19">
        <v>0</v>
      </c>
      <c r="AN8" s="19">
        <v>0</v>
      </c>
      <c r="AO8" s="27"/>
      <c r="AP8" s="40">
        <f t="shared" si="12"/>
        <v>15.2</v>
      </c>
      <c r="AQ8" s="40">
        <f t="shared" si="13"/>
        <v>51.8</v>
      </c>
      <c r="AR8" s="40">
        <f t="shared" si="14"/>
        <v>25</v>
      </c>
      <c r="AS8" s="40">
        <f t="shared" si="15"/>
        <v>21.2</v>
      </c>
      <c r="AT8" s="40">
        <f t="shared" si="16"/>
        <v>76.8</v>
      </c>
      <c r="AU8" s="40">
        <f t="shared" si="17"/>
        <v>15.2</v>
      </c>
      <c r="AV8" s="40">
        <f t="shared" si="18"/>
        <v>51.999999999999993</v>
      </c>
      <c r="AW8" s="40">
        <f t="shared" si="19"/>
        <v>103.79999999999998</v>
      </c>
      <c r="AX8" s="18">
        <v>18.399999999999999</v>
      </c>
      <c r="AY8" s="18">
        <v>6.8</v>
      </c>
      <c r="AZ8" s="18">
        <v>0.2</v>
      </c>
      <c r="BA8" s="18">
        <v>0</v>
      </c>
      <c r="BB8" s="18">
        <v>18.7</v>
      </c>
      <c r="BC8" s="18">
        <v>6</v>
      </c>
      <c r="BD8" s="18">
        <v>0</v>
      </c>
      <c r="BE8" s="18">
        <v>0</v>
      </c>
      <c r="BF8" s="18">
        <v>18.899999999999999</v>
      </c>
      <c r="BG8" s="18">
        <v>7.2</v>
      </c>
      <c r="BH8" s="18">
        <v>1</v>
      </c>
      <c r="BI8" s="18">
        <v>0</v>
      </c>
      <c r="BJ8" s="18">
        <v>18.100000000000001</v>
      </c>
      <c r="BK8" s="18">
        <v>6</v>
      </c>
      <c r="BL8" s="18">
        <v>0.8</v>
      </c>
      <c r="BM8" s="18">
        <v>0</v>
      </c>
      <c r="BN8" s="18">
        <v>18.7</v>
      </c>
      <c r="BO8" s="18">
        <v>7.2</v>
      </c>
      <c r="BP8" s="18">
        <v>0.6</v>
      </c>
      <c r="BQ8" s="18">
        <v>0</v>
      </c>
      <c r="BR8" s="28"/>
      <c r="BS8" s="11">
        <f t="shared" si="20"/>
        <v>12.8</v>
      </c>
      <c r="BT8" s="11">
        <f t="shared" si="21"/>
        <v>49.699999999999996</v>
      </c>
      <c r="BU8" s="11">
        <f t="shared" si="22"/>
        <v>25.099999999999998</v>
      </c>
      <c r="BV8" s="11">
        <f t="shared" si="23"/>
        <v>20</v>
      </c>
      <c r="BW8" s="11">
        <f t="shared" si="24"/>
        <v>74.8</v>
      </c>
      <c r="BX8" s="11">
        <f t="shared" si="25"/>
        <v>13.2</v>
      </c>
      <c r="BY8" s="11">
        <f t="shared" si="26"/>
        <v>48.6</v>
      </c>
      <c r="BZ8" s="11">
        <f t="shared" si="27"/>
        <v>98.3</v>
      </c>
      <c r="CA8" s="19">
        <v>19</v>
      </c>
      <c r="CB8" s="19">
        <v>6.8</v>
      </c>
      <c r="CC8" s="19">
        <v>0</v>
      </c>
      <c r="CD8" s="19">
        <v>0</v>
      </c>
      <c r="CE8" s="19">
        <v>18.399999999999999</v>
      </c>
      <c r="CF8" s="19">
        <v>7.2</v>
      </c>
      <c r="CG8" s="19">
        <v>0.2</v>
      </c>
      <c r="CH8" s="19">
        <v>0</v>
      </c>
      <c r="CI8" s="19">
        <v>18.100000000000001</v>
      </c>
      <c r="CJ8" s="19">
        <v>6.8</v>
      </c>
      <c r="CK8" s="19">
        <v>0</v>
      </c>
      <c r="CL8" s="19">
        <v>0</v>
      </c>
      <c r="CM8" s="19">
        <v>18</v>
      </c>
      <c r="CN8" s="19">
        <v>8.4</v>
      </c>
      <c r="CO8" s="19">
        <v>0.6</v>
      </c>
      <c r="CP8" s="19">
        <v>0</v>
      </c>
      <c r="CQ8" s="19">
        <v>18.600000000000001</v>
      </c>
      <c r="CR8" s="19">
        <v>6.8</v>
      </c>
      <c r="CS8" s="19">
        <v>0.2</v>
      </c>
      <c r="CT8" s="19">
        <v>0</v>
      </c>
      <c r="CU8" s="27"/>
      <c r="CV8" s="40">
        <f t="shared" si="28"/>
        <v>14</v>
      </c>
      <c r="CW8" s="40">
        <f t="shared" si="29"/>
        <v>51.2</v>
      </c>
      <c r="CX8" s="40">
        <f t="shared" si="30"/>
        <v>24.900000000000002</v>
      </c>
      <c r="CY8" s="40">
        <f t="shared" si="31"/>
        <v>20.8</v>
      </c>
      <c r="CZ8" s="40">
        <f t="shared" si="32"/>
        <v>76.100000000000009</v>
      </c>
      <c r="DA8" s="40">
        <f t="shared" si="33"/>
        <v>15.2</v>
      </c>
      <c r="DB8" s="40">
        <f t="shared" si="34"/>
        <v>51</v>
      </c>
      <c r="DC8" s="40">
        <f t="shared" si="35"/>
        <v>102.2</v>
      </c>
      <c r="DD8" s="50" t="str">
        <f t="shared" si="36"/>
        <v/>
      </c>
      <c r="DE8" s="50" t="str">
        <f t="shared" si="37"/>
        <v/>
      </c>
      <c r="DF8" s="50" t="str">
        <f t="shared" si="38"/>
        <v/>
      </c>
      <c r="DG8" s="17"/>
      <c r="DH8" s="17"/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17"/>
      <c r="DW8" s="17"/>
      <c r="DX8" s="17"/>
      <c r="DY8" s="17"/>
      <c r="DZ8" s="17"/>
      <c r="EA8" s="40" t="str">
        <f t="shared" si="39"/>
        <v/>
      </c>
      <c r="EB8" s="40" t="str">
        <f t="shared" si="40"/>
        <v/>
      </c>
      <c r="EC8" s="40" t="str">
        <f t="shared" si="41"/>
        <v/>
      </c>
      <c r="ED8" s="40" t="str">
        <f t="shared" si="42"/>
        <v/>
      </c>
      <c r="EE8" s="40" t="str">
        <f t="shared" si="43"/>
        <v/>
      </c>
      <c r="EF8" s="40" t="str">
        <f t="shared" si="44"/>
        <v/>
      </c>
      <c r="EG8" s="40" t="str">
        <f t="shared" si="45"/>
        <v/>
      </c>
      <c r="EH8" s="40" t="str">
        <f t="shared" si="46"/>
        <v/>
      </c>
      <c r="EI8" s="18"/>
      <c r="EJ8" s="18"/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8"/>
      <c r="FA8" s="18"/>
      <c r="FB8" s="18"/>
      <c r="FC8" s="11" t="str">
        <f t="shared" si="47"/>
        <v/>
      </c>
      <c r="FD8" s="11" t="str">
        <f t="shared" si="48"/>
        <v/>
      </c>
      <c r="FE8" s="11" t="str">
        <f t="shared" si="49"/>
        <v/>
      </c>
      <c r="FF8" s="11" t="str">
        <f t="shared" si="50"/>
        <v/>
      </c>
      <c r="FG8" s="11" t="str">
        <f t="shared" si="51"/>
        <v/>
      </c>
      <c r="FH8" s="11" t="str">
        <f t="shared" si="52"/>
        <v/>
      </c>
      <c r="FI8" s="11" t="str">
        <f t="shared" si="53"/>
        <v/>
      </c>
      <c r="FJ8" s="11" t="str">
        <f t="shared" si="54"/>
        <v/>
      </c>
      <c r="FK8" s="17"/>
      <c r="FL8" s="17"/>
      <c r="FM8" s="17"/>
      <c r="FN8" s="17"/>
      <c r="FO8" s="17"/>
      <c r="FP8" s="17"/>
      <c r="FQ8" s="17"/>
      <c r="FR8" s="17"/>
      <c r="FS8" s="17"/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40" t="str">
        <f t="shared" si="55"/>
        <v/>
      </c>
      <c r="GF8" s="40" t="str">
        <f t="shared" si="56"/>
        <v/>
      </c>
      <c r="GG8" s="40" t="str">
        <f t="shared" si="57"/>
        <v/>
      </c>
      <c r="GH8" s="40" t="str">
        <f t="shared" si="58"/>
        <v/>
      </c>
      <c r="GI8" s="40" t="str">
        <f t="shared" si="59"/>
        <v/>
      </c>
      <c r="GJ8" s="40" t="str">
        <f t="shared" si="60"/>
        <v/>
      </c>
      <c r="GK8" s="40" t="str">
        <f t="shared" si="61"/>
        <v/>
      </c>
      <c r="GL8" s="40" t="str">
        <f t="shared" si="62"/>
        <v/>
      </c>
      <c r="GM8" s="18"/>
      <c r="GN8" s="18"/>
      <c r="GO8" s="18"/>
      <c r="GP8" s="18"/>
      <c r="GQ8" s="18"/>
      <c r="GR8" s="18"/>
      <c r="GS8" s="18"/>
      <c r="GT8" s="18"/>
      <c r="GU8" s="18"/>
      <c r="GV8" s="18"/>
      <c r="GW8" s="18"/>
      <c r="GX8" s="18"/>
      <c r="GY8" s="18"/>
      <c r="GZ8" s="18"/>
      <c r="HA8" s="18"/>
      <c r="HB8" s="18"/>
      <c r="HC8" s="18"/>
      <c r="HD8" s="18"/>
      <c r="HE8" s="18"/>
      <c r="HF8" s="18"/>
      <c r="HG8" s="11" t="str">
        <f t="shared" si="63"/>
        <v/>
      </c>
      <c r="HH8" s="11" t="str">
        <f t="shared" si="64"/>
        <v/>
      </c>
      <c r="HI8" s="11" t="str">
        <f t="shared" si="65"/>
        <v/>
      </c>
      <c r="HJ8" s="11" t="str">
        <f t="shared" si="66"/>
        <v/>
      </c>
      <c r="HK8" s="11" t="str">
        <f t="shared" si="67"/>
        <v/>
      </c>
      <c r="HL8" s="11" t="str">
        <f t="shared" si="68"/>
        <v/>
      </c>
      <c r="HM8" s="11" t="str">
        <f t="shared" si="69"/>
        <v/>
      </c>
      <c r="HN8" s="11" t="str">
        <f t="shared" si="70"/>
        <v/>
      </c>
      <c r="HO8" s="17"/>
      <c r="HP8" s="17"/>
      <c r="HQ8" s="17"/>
      <c r="HR8" s="17"/>
      <c r="HS8" s="17"/>
      <c r="HT8" s="17"/>
      <c r="HU8" s="17"/>
      <c r="HV8" s="17"/>
      <c r="HW8" s="17"/>
      <c r="HX8" s="17"/>
      <c r="HY8" s="17"/>
      <c r="HZ8" s="17"/>
      <c r="IA8" s="17"/>
      <c r="IB8" s="17"/>
      <c r="IC8" s="17"/>
      <c r="ID8" s="17"/>
      <c r="IE8" s="17"/>
      <c r="IF8" s="17"/>
      <c r="IG8" s="17"/>
      <c r="IH8" s="17"/>
      <c r="II8" s="40" t="str">
        <f t="shared" si="71"/>
        <v/>
      </c>
      <c r="IJ8" s="40" t="str">
        <f t="shared" si="72"/>
        <v/>
      </c>
      <c r="IK8" s="40" t="str">
        <f t="shared" si="73"/>
        <v/>
      </c>
      <c r="IL8" s="40" t="str">
        <f t="shared" si="74"/>
        <v/>
      </c>
      <c r="IM8" s="40" t="str">
        <f t="shared" si="75"/>
        <v/>
      </c>
      <c r="IN8" s="40" t="str">
        <f t="shared" si="76"/>
        <v/>
      </c>
      <c r="IO8" s="40" t="str">
        <f t="shared" si="77"/>
        <v/>
      </c>
      <c r="IP8" s="40" t="str">
        <f t="shared" si="78"/>
        <v/>
      </c>
      <c r="IQ8" s="18"/>
      <c r="IR8" s="18"/>
      <c r="IS8" s="18"/>
      <c r="IT8" s="18"/>
      <c r="IU8" s="18"/>
      <c r="IV8" s="18"/>
      <c r="IW8" s="18"/>
      <c r="IX8" s="18"/>
      <c r="IY8" s="18"/>
      <c r="IZ8" s="18"/>
      <c r="JA8" s="18"/>
      <c r="JB8" s="18"/>
      <c r="JC8" s="18"/>
      <c r="JD8" s="18"/>
      <c r="JE8" s="18"/>
      <c r="JF8" s="18"/>
      <c r="JG8" s="18"/>
      <c r="JH8" s="18"/>
      <c r="JI8" s="18"/>
      <c r="JJ8" s="18"/>
      <c r="JK8" s="11" t="str">
        <f t="shared" si="79"/>
        <v/>
      </c>
      <c r="JL8" s="11" t="str">
        <f t="shared" si="80"/>
        <v/>
      </c>
      <c r="JM8" s="11" t="str">
        <f t="shared" si="81"/>
        <v/>
      </c>
      <c r="JN8" s="11" t="str">
        <f t="shared" si="82"/>
        <v/>
      </c>
      <c r="JO8" s="11" t="str">
        <f t="shared" si="83"/>
        <v/>
      </c>
      <c r="JP8" s="11" t="str">
        <f t="shared" si="84"/>
        <v/>
      </c>
      <c r="JQ8" s="11" t="str">
        <f t="shared" si="85"/>
        <v/>
      </c>
      <c r="JR8" s="11" t="str">
        <f t="shared" si="86"/>
        <v/>
      </c>
      <c r="JS8" s="17"/>
      <c r="JT8" s="17"/>
      <c r="JU8" s="17"/>
      <c r="JV8" s="17"/>
      <c r="JW8" s="17"/>
      <c r="JX8" s="17"/>
      <c r="JY8" s="17"/>
      <c r="JZ8" s="17"/>
      <c r="KA8" s="17"/>
      <c r="KB8" s="17"/>
      <c r="KC8" s="17"/>
      <c r="KD8" s="17"/>
      <c r="KE8" s="17"/>
      <c r="KF8" s="17"/>
      <c r="KG8" s="17"/>
      <c r="KH8" s="17"/>
      <c r="KI8" s="17"/>
      <c r="KJ8" s="17"/>
      <c r="KK8" s="17"/>
      <c r="KL8" s="17"/>
      <c r="KM8" s="40" t="str">
        <f t="shared" si="87"/>
        <v/>
      </c>
      <c r="KN8" s="40" t="str">
        <f t="shared" si="88"/>
        <v/>
      </c>
      <c r="KO8" s="40" t="str">
        <f t="shared" si="89"/>
        <v/>
      </c>
      <c r="KP8" s="40" t="str">
        <f t="shared" si="90"/>
        <v/>
      </c>
      <c r="KQ8" s="40" t="str">
        <f t="shared" si="91"/>
        <v/>
      </c>
      <c r="KR8" s="40" t="str">
        <f t="shared" si="92"/>
        <v/>
      </c>
      <c r="KS8" s="40" t="str">
        <f t="shared" si="93"/>
        <v/>
      </c>
      <c r="KT8" s="40" t="str">
        <f t="shared" si="94"/>
        <v/>
      </c>
      <c r="KU8" s="18"/>
      <c r="KV8" s="18"/>
      <c r="KW8" s="18"/>
      <c r="KX8" s="18"/>
      <c r="KY8" s="18"/>
      <c r="KZ8" s="18"/>
      <c r="LA8" s="18"/>
      <c r="LB8" s="18"/>
      <c r="LC8" s="18"/>
      <c r="LD8" s="18"/>
      <c r="LE8" s="18"/>
      <c r="LF8" s="18"/>
      <c r="LG8" s="18"/>
      <c r="LH8" s="18"/>
      <c r="LI8" s="18"/>
      <c r="LJ8" s="18"/>
      <c r="LK8" s="18"/>
      <c r="LL8" s="18"/>
      <c r="LM8" s="18"/>
      <c r="LN8" s="18"/>
      <c r="LO8" s="11" t="str">
        <f t="shared" si="95"/>
        <v/>
      </c>
      <c r="LP8" s="11" t="str">
        <f t="shared" si="96"/>
        <v/>
      </c>
      <c r="LQ8" s="11" t="str">
        <f t="shared" si="97"/>
        <v/>
      </c>
      <c r="LR8" s="11" t="str">
        <f t="shared" si="98"/>
        <v/>
      </c>
      <c r="LS8" s="11" t="str">
        <f t="shared" si="99"/>
        <v/>
      </c>
      <c r="LT8" s="11" t="str">
        <f t="shared" si="100"/>
        <v/>
      </c>
      <c r="LU8" s="11" t="str">
        <f t="shared" si="101"/>
        <v/>
      </c>
      <c r="LV8" s="11" t="str">
        <f t="shared" si="102"/>
        <v/>
      </c>
      <c r="LW8" s="17"/>
      <c r="LX8" s="17"/>
      <c r="LY8" s="17"/>
      <c r="LZ8" s="17"/>
      <c r="MA8" s="17"/>
      <c r="MB8" s="17"/>
      <c r="MC8" s="17"/>
      <c r="MD8" s="17"/>
      <c r="ME8" s="17"/>
      <c r="MF8" s="17"/>
      <c r="MG8" s="17"/>
      <c r="MH8" s="17"/>
      <c r="MI8" s="17"/>
      <c r="MJ8" s="17"/>
      <c r="MK8" s="17"/>
      <c r="ML8" s="17"/>
      <c r="MM8" s="17"/>
      <c r="MN8" s="17"/>
      <c r="MO8" s="17"/>
      <c r="MP8" s="17"/>
      <c r="MQ8" s="40" t="str">
        <f t="shared" si="103"/>
        <v/>
      </c>
      <c r="MR8" s="40" t="str">
        <f t="shared" si="104"/>
        <v/>
      </c>
      <c r="MS8" s="40" t="str">
        <f t="shared" si="105"/>
        <v/>
      </c>
      <c r="MT8" s="40" t="str">
        <f t="shared" si="106"/>
        <v/>
      </c>
      <c r="MU8" s="40" t="str">
        <f t="shared" si="107"/>
        <v/>
      </c>
      <c r="MV8" s="40" t="str">
        <f t="shared" si="108"/>
        <v/>
      </c>
      <c r="MW8" s="40" t="str">
        <f t="shared" si="109"/>
        <v/>
      </c>
      <c r="MX8" s="40" t="str">
        <f t="shared" si="110"/>
        <v/>
      </c>
      <c r="MY8" s="18"/>
      <c r="MZ8" s="18"/>
      <c r="NA8" s="18"/>
      <c r="NB8" s="18"/>
      <c r="NC8" s="18"/>
      <c r="ND8" s="18"/>
      <c r="NE8" s="18"/>
      <c r="NF8" s="18"/>
      <c r="NG8" s="18"/>
      <c r="NH8" s="18"/>
      <c r="NI8" s="18"/>
      <c r="NJ8" s="18"/>
      <c r="NK8" s="18"/>
      <c r="NL8" s="18"/>
      <c r="NM8" s="18"/>
      <c r="NN8" s="18"/>
      <c r="NO8" s="18"/>
      <c r="NP8" s="18"/>
      <c r="NQ8" s="18"/>
      <c r="NR8" s="18"/>
      <c r="NS8" s="11" t="str">
        <f t="shared" si="111"/>
        <v/>
      </c>
      <c r="NT8" s="11" t="str">
        <f t="shared" si="112"/>
        <v/>
      </c>
      <c r="NU8" s="11" t="str">
        <f t="shared" si="113"/>
        <v/>
      </c>
      <c r="NV8" s="11" t="str">
        <f t="shared" si="114"/>
        <v/>
      </c>
      <c r="NW8" s="11" t="str">
        <f t="shared" si="115"/>
        <v/>
      </c>
      <c r="NX8" s="11" t="str">
        <f t="shared" si="116"/>
        <v/>
      </c>
      <c r="NY8" s="11" t="str">
        <f t="shared" si="117"/>
        <v/>
      </c>
      <c r="NZ8" s="11" t="str">
        <f t="shared" si="118"/>
        <v/>
      </c>
      <c r="OA8" s="17"/>
      <c r="OB8" s="17"/>
      <c r="OC8" s="17"/>
      <c r="OD8" s="17"/>
      <c r="OE8" s="17"/>
      <c r="OF8" s="17"/>
      <c r="OG8" s="17"/>
      <c r="OH8" s="17"/>
      <c r="OI8" s="17"/>
      <c r="OJ8" s="17"/>
      <c r="OK8" s="17"/>
      <c r="OL8" s="17"/>
      <c r="OM8" s="17"/>
      <c r="ON8" s="17"/>
      <c r="OO8" s="17"/>
      <c r="OP8" s="17"/>
      <c r="OQ8" s="17"/>
      <c r="OR8" s="17"/>
      <c r="OS8" s="17"/>
      <c r="OT8" s="17"/>
      <c r="OU8" s="40" t="str">
        <f t="shared" si="119"/>
        <v/>
      </c>
      <c r="OV8" s="40" t="str">
        <f t="shared" si="120"/>
        <v/>
      </c>
      <c r="OW8" s="40" t="str">
        <f t="shared" si="121"/>
        <v/>
      </c>
      <c r="OX8" s="40" t="str">
        <f t="shared" si="122"/>
        <v/>
      </c>
      <c r="OY8" s="40" t="str">
        <f t="shared" si="123"/>
        <v/>
      </c>
      <c r="OZ8" s="40" t="str">
        <f t="shared" si="124"/>
        <v/>
      </c>
      <c r="PA8" s="40" t="str">
        <f t="shared" si="125"/>
        <v/>
      </c>
      <c r="PB8" s="40" t="str">
        <f t="shared" si="126"/>
        <v/>
      </c>
      <c r="PC8" s="18"/>
      <c r="PD8" s="18"/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8"/>
      <c r="PS8" s="18"/>
      <c r="PT8" s="18"/>
      <c r="PU8" s="18"/>
      <c r="PV8" s="18"/>
      <c r="PW8" s="11" t="str">
        <f t="shared" si="127"/>
        <v/>
      </c>
      <c r="PX8" s="11" t="str">
        <f t="shared" si="128"/>
        <v/>
      </c>
      <c r="PY8" s="11" t="str">
        <f t="shared" si="129"/>
        <v/>
      </c>
      <c r="PZ8" s="11" t="str">
        <f t="shared" si="130"/>
        <v/>
      </c>
      <c r="QA8" s="11" t="str">
        <f t="shared" si="131"/>
        <v/>
      </c>
      <c r="QB8" s="11" t="str">
        <f t="shared" si="132"/>
        <v/>
      </c>
      <c r="QC8" s="11" t="str">
        <f t="shared" si="133"/>
        <v/>
      </c>
      <c r="QD8" s="11" t="str">
        <f t="shared" si="134"/>
        <v/>
      </c>
      <c r="QE8" s="22">
        <f t="shared" si="135"/>
        <v>18.7</v>
      </c>
      <c r="QF8" s="22">
        <f t="shared" si="136"/>
        <v>6.8</v>
      </c>
      <c r="QG8" s="22">
        <f t="shared" si="137"/>
        <v>0.1</v>
      </c>
      <c r="QH8" s="22">
        <f t="shared" si="138"/>
        <v>0</v>
      </c>
      <c r="QI8" s="22">
        <f t="shared" si="139"/>
        <v>18.549999999999997</v>
      </c>
      <c r="QJ8" s="22">
        <f t="shared" si="140"/>
        <v>6.6</v>
      </c>
      <c r="QK8" s="22">
        <f t="shared" si="141"/>
        <v>0.1</v>
      </c>
      <c r="QL8" s="22">
        <f t="shared" si="142"/>
        <v>0</v>
      </c>
      <c r="QM8" s="22">
        <f t="shared" si="143"/>
        <v>18.5</v>
      </c>
      <c r="QN8" s="22">
        <f t="shared" si="144"/>
        <v>7</v>
      </c>
      <c r="QO8" s="22">
        <f t="shared" si="145"/>
        <v>0.5</v>
      </c>
      <c r="QP8" s="22">
        <f t="shared" si="146"/>
        <v>0</v>
      </c>
      <c r="QQ8" s="22">
        <f t="shared" si="147"/>
        <v>18.05</v>
      </c>
      <c r="QR8" s="22">
        <f t="shared" si="148"/>
        <v>7.2</v>
      </c>
      <c r="QS8" s="22">
        <f t="shared" si="149"/>
        <v>0.7</v>
      </c>
      <c r="QT8" s="22">
        <f t="shared" si="150"/>
        <v>0</v>
      </c>
      <c r="QU8" s="22">
        <f t="shared" si="151"/>
        <v>18.649999999999999</v>
      </c>
      <c r="QV8" s="22">
        <f t="shared" si="152"/>
        <v>7</v>
      </c>
      <c r="QW8" s="22">
        <f t="shared" si="153"/>
        <v>0.4</v>
      </c>
      <c r="QX8" s="22">
        <f t="shared" si="154"/>
        <v>0</v>
      </c>
      <c r="QY8" s="27" t="s">
        <v>46</v>
      </c>
      <c r="QZ8" s="40">
        <f t="shared" si="155"/>
        <v>13.399999999999999</v>
      </c>
      <c r="RA8" s="40">
        <f t="shared" si="156"/>
        <v>50.449999999999996</v>
      </c>
      <c r="RB8" s="40">
        <f t="shared" si="157"/>
        <v>25</v>
      </c>
      <c r="RC8" s="40">
        <f t="shared" si="158"/>
        <v>20.399999999999999</v>
      </c>
      <c r="RD8" s="40">
        <f t="shared" si="159"/>
        <v>75.449999999999989</v>
      </c>
      <c r="RE8" s="40">
        <f t="shared" si="160"/>
        <v>14.2</v>
      </c>
      <c r="RF8" s="40">
        <f t="shared" si="161"/>
        <v>49.8</v>
      </c>
      <c r="RG8" s="40">
        <f t="shared" si="162"/>
        <v>100.25</v>
      </c>
    </row>
    <row r="9" spans="1:475" x14ac:dyDescent="0.2">
      <c r="A9" s="4">
        <f t="shared" si="164"/>
        <v>6</v>
      </c>
      <c r="B9" s="5" t="s">
        <v>112</v>
      </c>
      <c r="C9" s="4" t="s">
        <v>4</v>
      </c>
      <c r="D9" s="4">
        <v>2004</v>
      </c>
      <c r="E9" s="9">
        <f t="shared" si="163"/>
        <v>179.40001281000508</v>
      </c>
      <c r="F9" s="3" t="str">
        <f t="shared" si="0"/>
        <v>P</v>
      </c>
      <c r="G9" s="3" t="str">
        <f t="shared" si="1"/>
        <v>P</v>
      </c>
      <c r="H9" s="36" t="str">
        <f t="shared" si="2"/>
        <v>National Team</v>
      </c>
      <c r="I9" s="3" t="str">
        <f t="shared" si="3"/>
        <v/>
      </c>
      <c r="J9" s="8">
        <f>IF(COUNT(AQ9,BT9,CW9)&gt;0,LARGE((AQ9,BT9,CW9),1),0)</f>
        <v>50.8</v>
      </c>
      <c r="K9" s="8" t="str">
        <f t="shared" si="4"/>
        <v>2022 3rd Domestic Trial</v>
      </c>
      <c r="L9" s="8">
        <f>IF(COUNT(AQ9,BT9,CW9)&gt;1,LARGE((AQ9,BT9,CW9),2),0)</f>
        <v>50.8</v>
      </c>
      <c r="M9" s="8" t="str">
        <f t="shared" si="5"/>
        <v>2022 3rd Domestic Trial</v>
      </c>
      <c r="N9" s="8">
        <f>IF(COUNT(AR9,BU9,CX9)&gt;0,LARGE((AR9,BU9,CX9),1),0)</f>
        <v>26.5</v>
      </c>
      <c r="O9" s="8" t="str">
        <f t="shared" si="6"/>
        <v>2023 Elite Canada</v>
      </c>
      <c r="P9" s="8">
        <f t="shared" si="7"/>
        <v>51.300000000000004</v>
      </c>
      <c r="Q9" s="8" t="str">
        <f t="shared" si="8"/>
        <v>2023 Elite Canada</v>
      </c>
      <c r="R9" s="8" t="str">
        <f t="shared" si="9"/>
        <v/>
      </c>
      <c r="S9" s="11" t="str">
        <f t="shared" si="10"/>
        <v/>
      </c>
      <c r="T9" s="8" t="str">
        <f t="shared" si="11"/>
        <v/>
      </c>
      <c r="U9" s="19">
        <v>19</v>
      </c>
      <c r="V9" s="19">
        <v>6.8</v>
      </c>
      <c r="W9" s="19">
        <v>0</v>
      </c>
      <c r="X9" s="19">
        <v>0</v>
      </c>
      <c r="Y9" s="19">
        <v>19</v>
      </c>
      <c r="Z9" s="19">
        <v>6.4</v>
      </c>
      <c r="AA9" s="19">
        <v>0.4</v>
      </c>
      <c r="AB9" s="19">
        <v>0</v>
      </c>
      <c r="AC9" s="19">
        <v>18.600000000000001</v>
      </c>
      <c r="AD9" s="19">
        <v>6.4</v>
      </c>
      <c r="AE9" s="19">
        <v>0.2</v>
      </c>
      <c r="AF9" s="19">
        <v>0</v>
      </c>
      <c r="AG9" s="19">
        <v>18.899999999999999</v>
      </c>
      <c r="AH9" s="19">
        <v>7.2</v>
      </c>
      <c r="AI9" s="19">
        <v>0.6</v>
      </c>
      <c r="AJ9" s="19">
        <v>0</v>
      </c>
      <c r="AK9" s="19">
        <v>18.600000000000001</v>
      </c>
      <c r="AL9" s="19">
        <v>7.2</v>
      </c>
      <c r="AM9" s="19">
        <v>0</v>
      </c>
      <c r="AN9" s="19">
        <v>0</v>
      </c>
      <c r="AO9" s="27"/>
      <c r="AP9" s="40">
        <f t="shared" si="12"/>
        <v>13.2</v>
      </c>
      <c r="AQ9" s="40">
        <f t="shared" si="13"/>
        <v>50.8</v>
      </c>
      <c r="AR9" s="40">
        <f t="shared" si="14"/>
        <v>24.8</v>
      </c>
      <c r="AS9" s="40">
        <f t="shared" si="15"/>
        <v>19.600000000000001</v>
      </c>
      <c r="AT9" s="40">
        <f t="shared" si="16"/>
        <v>75.599999999999994</v>
      </c>
      <c r="AU9" s="40">
        <f t="shared" si="17"/>
        <v>14.4</v>
      </c>
      <c r="AV9" s="40">
        <f t="shared" si="18"/>
        <v>51.300000000000004</v>
      </c>
      <c r="AW9" s="40">
        <f t="shared" si="19"/>
        <v>102.1</v>
      </c>
      <c r="AX9" s="18">
        <v>19</v>
      </c>
      <c r="AY9" s="18">
        <v>7.2</v>
      </c>
      <c r="AZ9" s="18">
        <v>0.6</v>
      </c>
      <c r="BA9" s="18">
        <v>0</v>
      </c>
      <c r="BB9" s="18">
        <v>18.399999999999999</v>
      </c>
      <c r="BC9" s="18">
        <v>7.6</v>
      </c>
      <c r="BD9" s="18">
        <v>0.8</v>
      </c>
      <c r="BE9" s="18">
        <v>0</v>
      </c>
      <c r="BF9" s="18">
        <v>18.600000000000001</v>
      </c>
      <c r="BG9" s="18">
        <v>6.4</v>
      </c>
      <c r="BH9" s="18">
        <v>0.8</v>
      </c>
      <c r="BI9" s="18">
        <v>0</v>
      </c>
      <c r="BJ9" s="18">
        <v>18.899999999999999</v>
      </c>
      <c r="BK9" s="18">
        <v>7.2</v>
      </c>
      <c r="BL9" s="18">
        <v>0.6</v>
      </c>
      <c r="BM9" s="18">
        <v>0</v>
      </c>
      <c r="BN9" s="18">
        <v>18.399999999999999</v>
      </c>
      <c r="BO9" s="18">
        <v>7.6</v>
      </c>
      <c r="BP9" s="18">
        <v>0.6</v>
      </c>
      <c r="BQ9" s="18">
        <v>0</v>
      </c>
      <c r="BR9" s="28"/>
      <c r="BS9" s="11">
        <f t="shared" si="20"/>
        <v>14.8</v>
      </c>
      <c r="BT9" s="11">
        <f t="shared" si="21"/>
        <v>50.8</v>
      </c>
      <c r="BU9" s="11">
        <f t="shared" si="22"/>
        <v>24.2</v>
      </c>
      <c r="BV9" s="11">
        <f t="shared" si="23"/>
        <v>21.200000000000003</v>
      </c>
      <c r="BW9" s="11">
        <f t="shared" si="24"/>
        <v>75</v>
      </c>
      <c r="BX9" s="11">
        <f t="shared" si="25"/>
        <v>14.8</v>
      </c>
      <c r="BY9" s="11">
        <f t="shared" si="26"/>
        <v>50.9</v>
      </c>
      <c r="BZ9" s="11">
        <f t="shared" si="27"/>
        <v>101.69999999999999</v>
      </c>
      <c r="CA9" s="19">
        <v>16.5</v>
      </c>
      <c r="CB9" s="19">
        <v>8.1</v>
      </c>
      <c r="CC9" s="19">
        <v>0.2</v>
      </c>
      <c r="CD9" s="19">
        <v>0.3</v>
      </c>
      <c r="CE9" s="19">
        <v>18.3</v>
      </c>
      <c r="CF9" s="19">
        <v>7.6</v>
      </c>
      <c r="CG9" s="19">
        <v>0.6</v>
      </c>
      <c r="CH9" s="19">
        <v>0</v>
      </c>
      <c r="CI9" s="19">
        <v>18.5</v>
      </c>
      <c r="CJ9" s="19">
        <v>8</v>
      </c>
      <c r="CK9" s="19">
        <v>0</v>
      </c>
      <c r="CL9" s="19">
        <v>0</v>
      </c>
      <c r="CM9" s="19">
        <v>18.3</v>
      </c>
      <c r="CN9" s="19">
        <v>7.3</v>
      </c>
      <c r="CO9" s="19">
        <v>0.2</v>
      </c>
      <c r="CP9" s="19">
        <v>0.3</v>
      </c>
      <c r="CQ9" s="19">
        <v>18.399999999999999</v>
      </c>
      <c r="CR9" s="19">
        <v>8</v>
      </c>
      <c r="CS9" s="19">
        <v>0.8</v>
      </c>
      <c r="CT9" s="19">
        <v>0</v>
      </c>
      <c r="CU9" s="27"/>
      <c r="CV9" s="40">
        <f t="shared" si="28"/>
        <v>15.7</v>
      </c>
      <c r="CW9" s="40">
        <f t="shared" si="29"/>
        <v>50</v>
      </c>
      <c r="CX9" s="40">
        <f t="shared" si="30"/>
        <v>26.5</v>
      </c>
      <c r="CY9" s="40">
        <f t="shared" si="31"/>
        <v>23.7</v>
      </c>
      <c r="CZ9" s="40">
        <f t="shared" si="32"/>
        <v>76.5</v>
      </c>
      <c r="DA9" s="40">
        <f t="shared" si="33"/>
        <v>15.3</v>
      </c>
      <c r="DB9" s="40">
        <f t="shared" si="34"/>
        <v>51.3</v>
      </c>
      <c r="DC9" s="40">
        <f t="shared" si="35"/>
        <v>101.3</v>
      </c>
      <c r="DD9" s="50" t="str">
        <f t="shared" si="36"/>
        <v/>
      </c>
      <c r="DE9" s="50" t="str">
        <f t="shared" si="37"/>
        <v/>
      </c>
      <c r="DF9" s="50" t="str">
        <f t="shared" si="38"/>
        <v/>
      </c>
      <c r="DG9" s="17">
        <v>18.899999999999999</v>
      </c>
      <c r="DH9" s="17">
        <v>7.2</v>
      </c>
      <c r="DI9" s="17">
        <v>0.6</v>
      </c>
      <c r="DJ9" s="17">
        <v>0</v>
      </c>
      <c r="DK9" s="17">
        <v>0</v>
      </c>
      <c r="DL9" s="17">
        <v>0</v>
      </c>
      <c r="DM9" s="17">
        <v>0</v>
      </c>
      <c r="DN9" s="17">
        <v>0</v>
      </c>
      <c r="DO9" s="17"/>
      <c r="DP9" s="17"/>
      <c r="DQ9" s="17"/>
      <c r="DR9" s="17"/>
      <c r="DS9" s="17">
        <v>18.2</v>
      </c>
      <c r="DT9" s="17">
        <v>7.2</v>
      </c>
      <c r="DU9" s="17">
        <v>0.6</v>
      </c>
      <c r="DV9" s="17">
        <v>0</v>
      </c>
      <c r="DW9" s="17">
        <v>18.399999999999999</v>
      </c>
      <c r="DX9" s="17">
        <v>6.8</v>
      </c>
      <c r="DY9" s="17">
        <v>0.8</v>
      </c>
      <c r="DZ9" s="17">
        <v>0</v>
      </c>
      <c r="EA9" s="40">
        <f t="shared" si="39"/>
        <v>7.2</v>
      </c>
      <c r="EB9" s="40">
        <f t="shared" si="40"/>
        <v>25.499999999999996</v>
      </c>
      <c r="EC9" s="40" t="str">
        <f t="shared" si="41"/>
        <v/>
      </c>
      <c r="ED9" s="40">
        <f t="shared" si="42"/>
        <v>7.2</v>
      </c>
      <c r="EE9" s="40">
        <f t="shared" si="43"/>
        <v>25.499999999999996</v>
      </c>
      <c r="EF9" s="40">
        <f t="shared" si="44"/>
        <v>14</v>
      </c>
      <c r="EG9" s="40">
        <f t="shared" si="45"/>
        <v>49.199999999999996</v>
      </c>
      <c r="EH9" s="40">
        <f t="shared" si="46"/>
        <v>74.699999999999989</v>
      </c>
      <c r="EI9" s="18"/>
      <c r="EJ9" s="18"/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8"/>
      <c r="FC9" s="11" t="str">
        <f t="shared" si="47"/>
        <v/>
      </c>
      <c r="FD9" s="11" t="str">
        <f t="shared" si="48"/>
        <v/>
      </c>
      <c r="FE9" s="11" t="str">
        <f t="shared" si="49"/>
        <v/>
      </c>
      <c r="FF9" s="11" t="str">
        <f t="shared" si="50"/>
        <v/>
      </c>
      <c r="FG9" s="11" t="str">
        <f t="shared" si="51"/>
        <v/>
      </c>
      <c r="FH9" s="11" t="str">
        <f t="shared" si="52"/>
        <v/>
      </c>
      <c r="FI9" s="11" t="str">
        <f t="shared" si="53"/>
        <v/>
      </c>
      <c r="FJ9" s="11" t="str">
        <f t="shared" si="54"/>
        <v/>
      </c>
      <c r="FK9" s="17"/>
      <c r="FL9" s="17"/>
      <c r="FM9" s="17"/>
      <c r="FN9" s="17"/>
      <c r="FO9" s="17"/>
      <c r="FP9" s="17"/>
      <c r="FQ9" s="17"/>
      <c r="FR9" s="17"/>
      <c r="FS9" s="17"/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40" t="str">
        <f t="shared" si="55"/>
        <v/>
      </c>
      <c r="GF9" s="40" t="str">
        <f t="shared" si="56"/>
        <v/>
      </c>
      <c r="GG9" s="40" t="str">
        <f t="shared" si="57"/>
        <v/>
      </c>
      <c r="GH9" s="40" t="str">
        <f t="shared" si="58"/>
        <v/>
      </c>
      <c r="GI9" s="40" t="str">
        <f t="shared" si="59"/>
        <v/>
      </c>
      <c r="GJ9" s="40" t="str">
        <f t="shared" si="60"/>
        <v/>
      </c>
      <c r="GK9" s="40" t="str">
        <f t="shared" si="61"/>
        <v/>
      </c>
      <c r="GL9" s="40" t="str">
        <f t="shared" si="62"/>
        <v/>
      </c>
      <c r="GM9" s="18">
        <v>18.7</v>
      </c>
      <c r="GN9" s="18">
        <v>6.8</v>
      </c>
      <c r="GO9" s="18">
        <v>0.6</v>
      </c>
      <c r="GP9" s="18">
        <v>0</v>
      </c>
      <c r="GQ9" s="18">
        <v>19</v>
      </c>
      <c r="GR9" s="18">
        <v>6.4</v>
      </c>
      <c r="GS9" s="18">
        <v>0</v>
      </c>
      <c r="GT9" s="18">
        <v>0</v>
      </c>
      <c r="GU9" s="18"/>
      <c r="GV9" s="18"/>
      <c r="GW9" s="18"/>
      <c r="GX9" s="18"/>
      <c r="GY9" s="18">
        <v>18.8</v>
      </c>
      <c r="GZ9" s="18">
        <v>7.2</v>
      </c>
      <c r="HA9" s="18">
        <v>0.6</v>
      </c>
      <c r="HB9" s="18">
        <v>0</v>
      </c>
      <c r="HC9" s="18"/>
      <c r="HD9" s="18"/>
      <c r="HE9" s="18"/>
      <c r="HF9" s="18"/>
      <c r="HG9" s="11">
        <f t="shared" si="63"/>
        <v>13.2</v>
      </c>
      <c r="HH9" s="11">
        <f t="shared" si="64"/>
        <v>50.3</v>
      </c>
      <c r="HI9" s="11" t="str">
        <f t="shared" si="65"/>
        <v/>
      </c>
      <c r="HJ9" s="11">
        <f t="shared" si="66"/>
        <v>13.2</v>
      </c>
      <c r="HK9" s="11">
        <f t="shared" si="67"/>
        <v>50.3</v>
      </c>
      <c r="HL9" s="11">
        <f t="shared" si="68"/>
        <v>7.2</v>
      </c>
      <c r="HM9" s="11">
        <f t="shared" si="69"/>
        <v>25.4</v>
      </c>
      <c r="HN9" s="11">
        <f t="shared" si="70"/>
        <v>75.699999999999989</v>
      </c>
      <c r="HO9" s="17"/>
      <c r="HP9" s="17"/>
      <c r="HQ9" s="17"/>
      <c r="HR9" s="17"/>
      <c r="HS9" s="17"/>
      <c r="HT9" s="17"/>
      <c r="HU9" s="17"/>
      <c r="HV9" s="17"/>
      <c r="HW9" s="17"/>
      <c r="HX9" s="17"/>
      <c r="HY9" s="17"/>
      <c r="HZ9" s="17"/>
      <c r="IA9" s="17"/>
      <c r="IB9" s="17"/>
      <c r="IC9" s="17"/>
      <c r="ID9" s="17"/>
      <c r="IE9" s="17"/>
      <c r="IF9" s="17"/>
      <c r="IG9" s="17"/>
      <c r="IH9" s="17"/>
      <c r="II9" s="40" t="str">
        <f t="shared" si="71"/>
        <v/>
      </c>
      <c r="IJ9" s="40" t="str">
        <f t="shared" si="72"/>
        <v/>
      </c>
      <c r="IK9" s="40" t="str">
        <f t="shared" si="73"/>
        <v/>
      </c>
      <c r="IL9" s="40" t="str">
        <f t="shared" si="74"/>
        <v/>
      </c>
      <c r="IM9" s="40" t="str">
        <f t="shared" si="75"/>
        <v/>
      </c>
      <c r="IN9" s="40" t="str">
        <f t="shared" si="76"/>
        <v/>
      </c>
      <c r="IO9" s="40" t="str">
        <f t="shared" si="77"/>
        <v/>
      </c>
      <c r="IP9" s="40" t="str">
        <f t="shared" si="78"/>
        <v/>
      </c>
      <c r="IQ9" s="18"/>
      <c r="IR9" s="18"/>
      <c r="IS9" s="18"/>
      <c r="IT9" s="18"/>
      <c r="IU9" s="18"/>
      <c r="IV9" s="18"/>
      <c r="IW9" s="18"/>
      <c r="IX9" s="18"/>
      <c r="IY9" s="18"/>
      <c r="IZ9" s="18"/>
      <c r="JA9" s="18"/>
      <c r="JB9" s="18"/>
      <c r="JC9" s="18"/>
      <c r="JD9" s="18"/>
      <c r="JE9" s="18"/>
      <c r="JF9" s="18"/>
      <c r="JG9" s="18"/>
      <c r="JH9" s="18"/>
      <c r="JI9" s="18"/>
      <c r="JJ9" s="18"/>
      <c r="JK9" s="11" t="str">
        <f t="shared" si="79"/>
        <v/>
      </c>
      <c r="JL9" s="11" t="str">
        <f t="shared" si="80"/>
        <v/>
      </c>
      <c r="JM9" s="11" t="str">
        <f t="shared" si="81"/>
        <v/>
      </c>
      <c r="JN9" s="11" t="str">
        <f t="shared" si="82"/>
        <v/>
      </c>
      <c r="JO9" s="11" t="str">
        <f t="shared" si="83"/>
        <v/>
      </c>
      <c r="JP9" s="11" t="str">
        <f t="shared" si="84"/>
        <v/>
      </c>
      <c r="JQ9" s="11" t="str">
        <f t="shared" si="85"/>
        <v/>
      </c>
      <c r="JR9" s="11" t="str">
        <f t="shared" si="86"/>
        <v/>
      </c>
      <c r="JS9" s="17"/>
      <c r="JT9" s="17"/>
      <c r="JU9" s="17"/>
      <c r="JV9" s="17"/>
      <c r="JW9" s="17"/>
      <c r="JX9" s="17"/>
      <c r="JY9" s="17"/>
      <c r="JZ9" s="17"/>
      <c r="KA9" s="17"/>
      <c r="KB9" s="17"/>
      <c r="KC9" s="17"/>
      <c r="KD9" s="17"/>
      <c r="KE9" s="17"/>
      <c r="KF9" s="17"/>
      <c r="KG9" s="17"/>
      <c r="KH9" s="17"/>
      <c r="KI9" s="17"/>
      <c r="KJ9" s="17"/>
      <c r="KK9" s="17"/>
      <c r="KL9" s="17"/>
      <c r="KM9" s="40" t="str">
        <f t="shared" si="87"/>
        <v/>
      </c>
      <c r="KN9" s="40" t="str">
        <f t="shared" si="88"/>
        <v/>
      </c>
      <c r="KO9" s="40" t="str">
        <f t="shared" si="89"/>
        <v/>
      </c>
      <c r="KP9" s="40" t="str">
        <f t="shared" si="90"/>
        <v/>
      </c>
      <c r="KQ9" s="40" t="str">
        <f t="shared" si="91"/>
        <v/>
      </c>
      <c r="KR9" s="40" t="str">
        <f t="shared" si="92"/>
        <v/>
      </c>
      <c r="KS9" s="40" t="str">
        <f t="shared" si="93"/>
        <v/>
      </c>
      <c r="KT9" s="40" t="str">
        <f t="shared" si="94"/>
        <v/>
      </c>
      <c r="KU9" s="18"/>
      <c r="KV9" s="18"/>
      <c r="KW9" s="18"/>
      <c r="KX9" s="18"/>
      <c r="KY9" s="18"/>
      <c r="KZ9" s="18"/>
      <c r="LA9" s="18"/>
      <c r="LB9" s="18"/>
      <c r="LC9" s="18"/>
      <c r="LD9" s="18"/>
      <c r="LE9" s="18"/>
      <c r="LF9" s="18"/>
      <c r="LG9" s="18"/>
      <c r="LH9" s="18"/>
      <c r="LI9" s="18"/>
      <c r="LJ9" s="18"/>
      <c r="LK9" s="18"/>
      <c r="LL9" s="18"/>
      <c r="LM9" s="18"/>
      <c r="LN9" s="18"/>
      <c r="LO9" s="11" t="str">
        <f t="shared" si="95"/>
        <v/>
      </c>
      <c r="LP9" s="11" t="str">
        <f t="shared" si="96"/>
        <v/>
      </c>
      <c r="LQ9" s="11" t="str">
        <f t="shared" si="97"/>
        <v/>
      </c>
      <c r="LR9" s="11" t="str">
        <f t="shared" si="98"/>
        <v/>
      </c>
      <c r="LS9" s="11" t="str">
        <f t="shared" si="99"/>
        <v/>
      </c>
      <c r="LT9" s="11" t="str">
        <f t="shared" si="100"/>
        <v/>
      </c>
      <c r="LU9" s="11" t="str">
        <f t="shared" si="101"/>
        <v/>
      </c>
      <c r="LV9" s="11" t="str">
        <f t="shared" si="102"/>
        <v/>
      </c>
      <c r="LW9" s="17">
        <v>18.600000000000001</v>
      </c>
      <c r="LX9" s="17">
        <v>7.2</v>
      </c>
      <c r="LY9" s="17">
        <v>0.2</v>
      </c>
      <c r="LZ9" s="17">
        <v>0</v>
      </c>
      <c r="MA9" s="17">
        <v>18.8</v>
      </c>
      <c r="MB9" s="17">
        <v>7.6</v>
      </c>
      <c r="MC9" s="17">
        <v>1.2</v>
      </c>
      <c r="MD9" s="17">
        <v>0</v>
      </c>
      <c r="ME9" s="17"/>
      <c r="MF9" s="17"/>
      <c r="MG9" s="17"/>
      <c r="MH9" s="17"/>
      <c r="MI9" s="17"/>
      <c r="MJ9" s="17"/>
      <c r="MK9" s="17"/>
      <c r="ML9" s="17"/>
      <c r="MM9" s="17"/>
      <c r="MN9" s="17"/>
      <c r="MO9" s="17"/>
      <c r="MP9" s="17"/>
      <c r="MQ9" s="40">
        <f t="shared" si="103"/>
        <v>14.8</v>
      </c>
      <c r="MR9" s="40">
        <f t="shared" si="104"/>
        <v>50.8</v>
      </c>
      <c r="MS9" s="40" t="str">
        <f t="shared" si="105"/>
        <v/>
      </c>
      <c r="MT9" s="40">
        <f t="shared" si="106"/>
        <v>14.8</v>
      </c>
      <c r="MU9" s="40">
        <f t="shared" si="107"/>
        <v>50.8</v>
      </c>
      <c r="MV9" s="40" t="str">
        <f t="shared" si="108"/>
        <v/>
      </c>
      <c r="MW9" s="40" t="str">
        <f t="shared" si="109"/>
        <v/>
      </c>
      <c r="MX9" s="40">
        <f t="shared" si="110"/>
        <v>50.8</v>
      </c>
      <c r="MY9" s="18"/>
      <c r="MZ9" s="18"/>
      <c r="NA9" s="18"/>
      <c r="NB9" s="18"/>
      <c r="NC9" s="18"/>
      <c r="ND9" s="18"/>
      <c r="NE9" s="18"/>
      <c r="NF9" s="18"/>
      <c r="NG9" s="18"/>
      <c r="NH9" s="18"/>
      <c r="NI9" s="18"/>
      <c r="NJ9" s="18"/>
      <c r="NK9" s="18"/>
      <c r="NL9" s="18"/>
      <c r="NM9" s="18"/>
      <c r="NN9" s="18"/>
      <c r="NO9" s="18"/>
      <c r="NP9" s="18"/>
      <c r="NQ9" s="18"/>
      <c r="NR9" s="18"/>
      <c r="NS9" s="11" t="str">
        <f t="shared" si="111"/>
        <v/>
      </c>
      <c r="NT9" s="11" t="str">
        <f t="shared" si="112"/>
        <v/>
      </c>
      <c r="NU9" s="11" t="str">
        <f t="shared" si="113"/>
        <v/>
      </c>
      <c r="NV9" s="11" t="str">
        <f t="shared" si="114"/>
        <v/>
      </c>
      <c r="NW9" s="11" t="str">
        <f t="shared" si="115"/>
        <v/>
      </c>
      <c r="NX9" s="11" t="str">
        <f t="shared" si="116"/>
        <v/>
      </c>
      <c r="NY9" s="11" t="str">
        <f t="shared" si="117"/>
        <v/>
      </c>
      <c r="NZ9" s="11" t="str">
        <f t="shared" si="118"/>
        <v/>
      </c>
      <c r="OA9" s="17"/>
      <c r="OB9" s="17"/>
      <c r="OC9" s="17"/>
      <c r="OD9" s="17"/>
      <c r="OE9" s="17"/>
      <c r="OF9" s="17"/>
      <c r="OG9" s="17"/>
      <c r="OH9" s="17"/>
      <c r="OI9" s="17"/>
      <c r="OJ9" s="17"/>
      <c r="OK9" s="17"/>
      <c r="OL9" s="17"/>
      <c r="OM9" s="17"/>
      <c r="ON9" s="17"/>
      <c r="OO9" s="17"/>
      <c r="OP9" s="17"/>
      <c r="OQ9" s="17"/>
      <c r="OR9" s="17"/>
      <c r="OS9" s="17"/>
      <c r="OT9" s="17"/>
      <c r="OU9" s="40" t="str">
        <f t="shared" si="119"/>
        <v/>
      </c>
      <c r="OV9" s="40" t="str">
        <f t="shared" si="120"/>
        <v/>
      </c>
      <c r="OW9" s="40" t="str">
        <f t="shared" si="121"/>
        <v/>
      </c>
      <c r="OX9" s="40" t="str">
        <f t="shared" si="122"/>
        <v/>
      </c>
      <c r="OY9" s="40" t="str">
        <f t="shared" si="123"/>
        <v/>
      </c>
      <c r="OZ9" s="40" t="str">
        <f t="shared" si="124"/>
        <v/>
      </c>
      <c r="PA9" s="40" t="str">
        <f t="shared" si="125"/>
        <v/>
      </c>
      <c r="PB9" s="40" t="str">
        <f t="shared" si="126"/>
        <v/>
      </c>
      <c r="PC9" s="18"/>
      <c r="PD9" s="18"/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8"/>
      <c r="PS9" s="18"/>
      <c r="PT9" s="18"/>
      <c r="PU9" s="18"/>
      <c r="PV9" s="18"/>
      <c r="PW9" s="11" t="str">
        <f t="shared" si="127"/>
        <v/>
      </c>
      <c r="PX9" s="11" t="str">
        <f t="shared" si="128"/>
        <v/>
      </c>
      <c r="PY9" s="11" t="str">
        <f t="shared" si="129"/>
        <v/>
      </c>
      <c r="PZ9" s="11" t="str">
        <f t="shared" si="130"/>
        <v/>
      </c>
      <c r="QA9" s="11" t="str">
        <f t="shared" si="131"/>
        <v/>
      </c>
      <c r="QB9" s="11" t="str">
        <f t="shared" si="132"/>
        <v/>
      </c>
      <c r="QC9" s="11" t="str">
        <f t="shared" si="133"/>
        <v/>
      </c>
      <c r="QD9" s="11" t="str">
        <f t="shared" si="134"/>
        <v/>
      </c>
      <c r="QE9" s="22">
        <f t="shared" si="135"/>
        <v>17.75</v>
      </c>
      <c r="QF9" s="22">
        <f t="shared" si="136"/>
        <v>7.65</v>
      </c>
      <c r="QG9" s="22">
        <f t="shared" si="137"/>
        <v>0.4</v>
      </c>
      <c r="QH9" s="22">
        <f t="shared" si="138"/>
        <v>0.15</v>
      </c>
      <c r="QI9" s="22">
        <f t="shared" si="139"/>
        <v>18.350000000000001</v>
      </c>
      <c r="QJ9" s="22">
        <f t="shared" si="140"/>
        <v>7.6</v>
      </c>
      <c r="QK9" s="22">
        <f t="shared" si="141"/>
        <v>0.7</v>
      </c>
      <c r="QL9" s="22">
        <f t="shared" si="142"/>
        <v>0</v>
      </c>
      <c r="QM9" s="22">
        <f t="shared" si="143"/>
        <v>18.55</v>
      </c>
      <c r="QN9" s="22">
        <f t="shared" si="144"/>
        <v>7.2</v>
      </c>
      <c r="QO9" s="22">
        <f t="shared" si="145"/>
        <v>0.4</v>
      </c>
      <c r="QP9" s="22">
        <f t="shared" si="146"/>
        <v>0</v>
      </c>
      <c r="QQ9" s="22">
        <f t="shared" si="147"/>
        <v>18.600000000000001</v>
      </c>
      <c r="QR9" s="22">
        <f t="shared" si="148"/>
        <v>7.25</v>
      </c>
      <c r="QS9" s="22">
        <f t="shared" si="149"/>
        <v>0.4</v>
      </c>
      <c r="QT9" s="22">
        <f t="shared" si="150"/>
        <v>0.15</v>
      </c>
      <c r="QU9" s="22">
        <f t="shared" si="151"/>
        <v>18.399999999999999</v>
      </c>
      <c r="QV9" s="22">
        <f t="shared" si="152"/>
        <v>7.8</v>
      </c>
      <c r="QW9" s="22">
        <f t="shared" si="153"/>
        <v>0.7</v>
      </c>
      <c r="QX9" s="22">
        <f t="shared" si="154"/>
        <v>0</v>
      </c>
      <c r="QY9" s="27" t="s">
        <v>46</v>
      </c>
      <c r="QZ9" s="40">
        <f t="shared" si="155"/>
        <v>15.25</v>
      </c>
      <c r="RA9" s="40">
        <f t="shared" si="156"/>
        <v>50.4</v>
      </c>
      <c r="RB9" s="40">
        <f t="shared" si="157"/>
        <v>25.35</v>
      </c>
      <c r="RC9" s="40">
        <f t="shared" si="158"/>
        <v>22.45</v>
      </c>
      <c r="RD9" s="40">
        <f t="shared" si="159"/>
        <v>75.75</v>
      </c>
      <c r="RE9" s="40">
        <f t="shared" si="160"/>
        <v>15.05</v>
      </c>
      <c r="RF9" s="40">
        <f t="shared" si="161"/>
        <v>51.099999999999994</v>
      </c>
      <c r="RG9" s="40">
        <f t="shared" si="162"/>
        <v>101.5</v>
      </c>
    </row>
    <row r="10" spans="1:475" x14ac:dyDescent="0.2">
      <c r="A10" s="4">
        <f t="shared" si="164"/>
        <v>7</v>
      </c>
      <c r="B10" s="5" t="s">
        <v>107</v>
      </c>
      <c r="C10" s="4" t="s">
        <v>4</v>
      </c>
      <c r="D10" s="4">
        <v>2004</v>
      </c>
      <c r="E10" s="9">
        <f t="shared" si="163"/>
        <v>175.80001289000512</v>
      </c>
      <c r="F10" s="3" t="str">
        <f t="shared" si="0"/>
        <v>P</v>
      </c>
      <c r="G10" s="3" t="str">
        <f t="shared" si="1"/>
        <v>P</v>
      </c>
      <c r="H10" s="36" t="str">
        <f t="shared" si="2"/>
        <v>National Team</v>
      </c>
      <c r="I10" s="3" t="str">
        <f t="shared" si="3"/>
        <v/>
      </c>
      <c r="J10" s="8">
        <f>IF(COUNT(AQ10,BT10,CW10)&gt;0,LARGE((AQ10,BT10,CW10),1),0)</f>
        <v>51.699999999999996</v>
      </c>
      <c r="K10" s="8" t="str">
        <f t="shared" si="4"/>
        <v>2022 3rd Domestic Trial</v>
      </c>
      <c r="L10" s="8">
        <f>IF(COUNT(AQ10,BT10,CW10)&gt;1,LARGE((AQ10,BT10,CW10),2),0)</f>
        <v>50.599999999999994</v>
      </c>
      <c r="M10" s="8" t="str">
        <f t="shared" si="5"/>
        <v>2022 Nationals</v>
      </c>
      <c r="N10" s="8">
        <f>IF(COUNT(AR10,BU10,CX10)&gt;0,LARGE((AR10,BU10,CX10),1),0)</f>
        <v>26.6</v>
      </c>
      <c r="O10" s="8" t="str">
        <f t="shared" si="6"/>
        <v>2022 3rd Domestic Trial</v>
      </c>
      <c r="P10" s="8">
        <f t="shared" si="7"/>
        <v>46.699999999999996</v>
      </c>
      <c r="Q10" s="8" t="str">
        <f t="shared" si="8"/>
        <v>2022 3rd Domestic Trial</v>
      </c>
      <c r="R10" s="8">
        <f t="shared" si="9"/>
        <v>0.20000000000000284</v>
      </c>
      <c r="S10" s="11" t="str">
        <f t="shared" si="10"/>
        <v>(Final)</v>
      </c>
      <c r="T10" s="8" t="str">
        <f t="shared" si="11"/>
        <v>2022 World Games Technical Trial #2 (May 15)</v>
      </c>
      <c r="U10" s="19">
        <v>18.399999999999999</v>
      </c>
      <c r="V10" s="19">
        <v>7.3</v>
      </c>
      <c r="W10" s="19">
        <v>0</v>
      </c>
      <c r="X10" s="19">
        <v>0</v>
      </c>
      <c r="Y10" s="19">
        <v>17.899999999999999</v>
      </c>
      <c r="Z10" s="19">
        <v>7.2</v>
      </c>
      <c r="AA10" s="19">
        <v>0.2</v>
      </c>
      <c r="AB10" s="19">
        <v>0</v>
      </c>
      <c r="AC10" s="19">
        <v>17.2</v>
      </c>
      <c r="AD10" s="19">
        <v>3.2</v>
      </c>
      <c r="AE10" s="19">
        <v>0</v>
      </c>
      <c r="AF10" s="19">
        <v>0</v>
      </c>
      <c r="AG10" s="19"/>
      <c r="AH10" s="19"/>
      <c r="AI10" s="19"/>
      <c r="AJ10" s="19"/>
      <c r="AK10" s="19"/>
      <c r="AL10" s="19"/>
      <c r="AM10" s="19"/>
      <c r="AN10" s="19"/>
      <c r="AO10" s="27"/>
      <c r="AP10" s="40">
        <f t="shared" si="12"/>
        <v>14.5</v>
      </c>
      <c r="AQ10" s="40">
        <f t="shared" si="13"/>
        <v>50.599999999999994</v>
      </c>
      <c r="AR10" s="40">
        <f t="shared" si="14"/>
        <v>20.399999999999999</v>
      </c>
      <c r="AS10" s="40">
        <f t="shared" si="15"/>
        <v>17.7</v>
      </c>
      <c r="AT10" s="40">
        <f t="shared" si="16"/>
        <v>71</v>
      </c>
      <c r="AU10" s="40" t="str">
        <f t="shared" si="17"/>
        <v/>
      </c>
      <c r="AV10" s="40" t="str">
        <f t="shared" si="18"/>
        <v/>
      </c>
      <c r="AW10" s="40">
        <f t="shared" si="19"/>
        <v>50.599999999999994</v>
      </c>
      <c r="AX10" s="18">
        <v>18.399999999999999</v>
      </c>
      <c r="AY10" s="18">
        <v>7.7</v>
      </c>
      <c r="AZ10" s="18">
        <v>0</v>
      </c>
      <c r="BA10" s="18">
        <v>0.3</v>
      </c>
      <c r="BB10" s="18">
        <v>18.600000000000001</v>
      </c>
      <c r="BC10" s="18">
        <v>7.3</v>
      </c>
      <c r="BD10" s="18">
        <v>0.6</v>
      </c>
      <c r="BE10" s="18">
        <v>0</v>
      </c>
      <c r="BF10" s="18">
        <v>18.8</v>
      </c>
      <c r="BG10" s="18">
        <v>8.4</v>
      </c>
      <c r="BH10" s="18">
        <v>0.6</v>
      </c>
      <c r="BI10" s="18">
        <v>0</v>
      </c>
      <c r="BJ10" s="18">
        <v>17.7</v>
      </c>
      <c r="BK10" s="18">
        <v>2.8</v>
      </c>
      <c r="BL10" s="18">
        <v>0</v>
      </c>
      <c r="BM10" s="18">
        <v>0</v>
      </c>
      <c r="BN10" s="18">
        <v>18.8</v>
      </c>
      <c r="BO10" s="18">
        <v>7.6</v>
      </c>
      <c r="BP10" s="18">
        <v>0.2</v>
      </c>
      <c r="BQ10" s="18">
        <v>0</v>
      </c>
      <c r="BR10" s="28"/>
      <c r="BS10" s="11">
        <f t="shared" si="20"/>
        <v>15</v>
      </c>
      <c r="BT10" s="11">
        <f t="shared" si="21"/>
        <v>51.699999999999996</v>
      </c>
      <c r="BU10" s="11">
        <f t="shared" si="22"/>
        <v>26.6</v>
      </c>
      <c r="BV10" s="11">
        <f t="shared" si="23"/>
        <v>23.4</v>
      </c>
      <c r="BW10" s="11">
        <f t="shared" si="24"/>
        <v>78.3</v>
      </c>
      <c r="BX10" s="11">
        <f t="shared" si="25"/>
        <v>10.399999999999999</v>
      </c>
      <c r="BY10" s="11">
        <f t="shared" si="26"/>
        <v>46.699999999999996</v>
      </c>
      <c r="BZ10" s="11">
        <f t="shared" si="27"/>
        <v>98.399999999999991</v>
      </c>
      <c r="CA10" s="19">
        <v>19</v>
      </c>
      <c r="CB10" s="19">
        <v>8</v>
      </c>
      <c r="CC10" s="19">
        <v>0.6</v>
      </c>
      <c r="CD10" s="19">
        <v>0.3</v>
      </c>
      <c r="CE10" s="19">
        <v>17.3</v>
      </c>
      <c r="CF10" s="19">
        <v>2.4</v>
      </c>
      <c r="CG10" s="19">
        <v>0</v>
      </c>
      <c r="CH10" s="19">
        <v>0</v>
      </c>
      <c r="CI10" s="19">
        <v>16.600000000000001</v>
      </c>
      <c r="CJ10" s="19">
        <v>8.9</v>
      </c>
      <c r="CK10" s="19">
        <v>0.2</v>
      </c>
      <c r="CL10" s="19">
        <v>0.3</v>
      </c>
      <c r="CM10" s="19"/>
      <c r="CN10" s="19"/>
      <c r="CO10" s="19"/>
      <c r="CP10" s="19"/>
      <c r="CQ10" s="19"/>
      <c r="CR10" s="19"/>
      <c r="CS10" s="19"/>
      <c r="CT10" s="19"/>
      <c r="CU10" s="27"/>
      <c r="CV10" s="40">
        <f t="shared" si="28"/>
        <v>10.4</v>
      </c>
      <c r="CW10" s="40">
        <f t="shared" si="29"/>
        <v>46.4</v>
      </c>
      <c r="CX10" s="40">
        <f t="shared" si="30"/>
        <v>25.6</v>
      </c>
      <c r="CY10" s="40">
        <f t="shared" si="31"/>
        <v>19.3</v>
      </c>
      <c r="CZ10" s="40">
        <f t="shared" si="32"/>
        <v>72</v>
      </c>
      <c r="DA10" s="40" t="str">
        <f t="shared" si="33"/>
        <v/>
      </c>
      <c r="DB10" s="40" t="str">
        <f t="shared" si="34"/>
        <v/>
      </c>
      <c r="DC10" s="40">
        <f t="shared" si="35"/>
        <v>46.4</v>
      </c>
      <c r="DD10" s="50" t="str">
        <f t="shared" si="36"/>
        <v/>
      </c>
      <c r="DE10" s="50" t="str">
        <f t="shared" si="37"/>
        <v/>
      </c>
      <c r="DF10" s="50">
        <f t="shared" si="38"/>
        <v>0.20000000000000284</v>
      </c>
      <c r="DG10" s="17">
        <v>18.3</v>
      </c>
      <c r="DH10" s="17">
        <v>6.4</v>
      </c>
      <c r="DI10" s="17">
        <v>0.8</v>
      </c>
      <c r="DJ10" s="17">
        <v>0</v>
      </c>
      <c r="DK10" s="17">
        <v>18.8</v>
      </c>
      <c r="DL10" s="17">
        <v>8</v>
      </c>
      <c r="DM10" s="17">
        <v>0.6</v>
      </c>
      <c r="DN10" s="17">
        <v>0</v>
      </c>
      <c r="DO10" s="17"/>
      <c r="DP10" s="17"/>
      <c r="DQ10" s="17"/>
      <c r="DR10" s="17"/>
      <c r="DS10" s="17">
        <v>17.399999999999999</v>
      </c>
      <c r="DT10" s="17">
        <v>2.8</v>
      </c>
      <c r="DU10" s="17">
        <v>0</v>
      </c>
      <c r="DV10" s="17">
        <v>0</v>
      </c>
      <c r="DW10" s="17">
        <v>18.7</v>
      </c>
      <c r="DX10" s="17">
        <v>8</v>
      </c>
      <c r="DY10" s="17">
        <v>0</v>
      </c>
      <c r="DZ10" s="17">
        <v>0</v>
      </c>
      <c r="EA10" s="40">
        <f t="shared" si="39"/>
        <v>14.4</v>
      </c>
      <c r="EB10" s="40">
        <f t="shared" si="40"/>
        <v>50.1</v>
      </c>
      <c r="EC10" s="40" t="str">
        <f t="shared" si="41"/>
        <v/>
      </c>
      <c r="ED10" s="40">
        <f t="shared" si="42"/>
        <v>14.4</v>
      </c>
      <c r="EE10" s="40">
        <f t="shared" si="43"/>
        <v>50.1</v>
      </c>
      <c r="EF10" s="40">
        <f t="shared" si="44"/>
        <v>10.8</v>
      </c>
      <c r="EG10" s="40">
        <f t="shared" si="45"/>
        <v>46.9</v>
      </c>
      <c r="EH10" s="40">
        <f t="shared" si="46"/>
        <v>97</v>
      </c>
      <c r="EI10" s="18"/>
      <c r="EJ10" s="18"/>
      <c r="EK10" s="18"/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8"/>
      <c r="FC10" s="11" t="str">
        <f t="shared" si="47"/>
        <v/>
      </c>
      <c r="FD10" s="11" t="str">
        <f t="shared" si="48"/>
        <v/>
      </c>
      <c r="FE10" s="11" t="str">
        <f t="shared" si="49"/>
        <v/>
      </c>
      <c r="FF10" s="11" t="str">
        <f t="shared" si="50"/>
        <v/>
      </c>
      <c r="FG10" s="11" t="str">
        <f t="shared" si="51"/>
        <v/>
      </c>
      <c r="FH10" s="11" t="str">
        <f t="shared" si="52"/>
        <v/>
      </c>
      <c r="FI10" s="11" t="str">
        <f t="shared" si="53"/>
        <v/>
      </c>
      <c r="FJ10" s="11" t="str">
        <f t="shared" si="54"/>
        <v/>
      </c>
      <c r="FK10" s="17"/>
      <c r="FL10" s="17"/>
      <c r="FM10" s="17"/>
      <c r="FN10" s="17"/>
      <c r="FO10" s="17"/>
      <c r="FP10" s="17"/>
      <c r="FQ10" s="17"/>
      <c r="FR10" s="17"/>
      <c r="FS10" s="17"/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40" t="str">
        <f t="shared" si="55"/>
        <v/>
      </c>
      <c r="GF10" s="40" t="str">
        <f t="shared" si="56"/>
        <v/>
      </c>
      <c r="GG10" s="40" t="str">
        <f t="shared" si="57"/>
        <v/>
      </c>
      <c r="GH10" s="40" t="str">
        <f t="shared" si="58"/>
        <v/>
      </c>
      <c r="GI10" s="40" t="str">
        <f t="shared" si="59"/>
        <v/>
      </c>
      <c r="GJ10" s="40" t="str">
        <f t="shared" si="60"/>
        <v/>
      </c>
      <c r="GK10" s="40" t="str">
        <f t="shared" si="61"/>
        <v/>
      </c>
      <c r="GL10" s="40" t="str">
        <f t="shared" si="62"/>
        <v/>
      </c>
      <c r="GM10" s="18">
        <v>18.399999999999999</v>
      </c>
      <c r="GN10" s="18">
        <v>7.7</v>
      </c>
      <c r="GO10" s="18">
        <v>0.2</v>
      </c>
      <c r="GP10" s="18">
        <v>0</v>
      </c>
      <c r="GQ10" s="18">
        <v>0</v>
      </c>
      <c r="GR10" s="18">
        <v>0</v>
      </c>
      <c r="GS10" s="18">
        <v>0</v>
      </c>
      <c r="GT10" s="18">
        <v>0</v>
      </c>
      <c r="GU10" s="18"/>
      <c r="GV10" s="18"/>
      <c r="GW10" s="18"/>
      <c r="GX10" s="18"/>
      <c r="GY10" s="18"/>
      <c r="GZ10" s="18"/>
      <c r="HA10" s="18"/>
      <c r="HB10" s="18"/>
      <c r="HC10" s="18"/>
      <c r="HD10" s="18"/>
      <c r="HE10" s="18"/>
      <c r="HF10" s="18"/>
      <c r="HG10" s="11">
        <f t="shared" si="63"/>
        <v>7.7</v>
      </c>
      <c r="HH10" s="11">
        <f t="shared" si="64"/>
        <v>25.9</v>
      </c>
      <c r="HI10" s="11" t="str">
        <f t="shared" si="65"/>
        <v/>
      </c>
      <c r="HJ10" s="11">
        <f t="shared" si="66"/>
        <v>7.7</v>
      </c>
      <c r="HK10" s="11">
        <f t="shared" si="67"/>
        <v>25.9</v>
      </c>
      <c r="HL10" s="11" t="str">
        <f t="shared" si="68"/>
        <v/>
      </c>
      <c r="HM10" s="11" t="str">
        <f t="shared" si="69"/>
        <v/>
      </c>
      <c r="HN10" s="11">
        <f t="shared" si="70"/>
        <v>25.9</v>
      </c>
      <c r="HO10" s="17"/>
      <c r="HP10" s="17"/>
      <c r="HQ10" s="17"/>
      <c r="HR10" s="17"/>
      <c r="HS10" s="17"/>
      <c r="HT10" s="17"/>
      <c r="HU10" s="17"/>
      <c r="HV10" s="17"/>
      <c r="HW10" s="17"/>
      <c r="HX10" s="17"/>
      <c r="HY10" s="17"/>
      <c r="HZ10" s="17"/>
      <c r="IA10" s="17"/>
      <c r="IB10" s="17"/>
      <c r="IC10" s="17"/>
      <c r="ID10" s="17"/>
      <c r="IE10" s="17"/>
      <c r="IF10" s="17"/>
      <c r="IG10" s="17"/>
      <c r="IH10" s="17"/>
      <c r="II10" s="40" t="str">
        <f t="shared" si="71"/>
        <v/>
      </c>
      <c r="IJ10" s="40" t="str">
        <f t="shared" si="72"/>
        <v/>
      </c>
      <c r="IK10" s="40" t="str">
        <f t="shared" si="73"/>
        <v/>
      </c>
      <c r="IL10" s="40" t="str">
        <f t="shared" si="74"/>
        <v/>
      </c>
      <c r="IM10" s="40" t="str">
        <f t="shared" si="75"/>
        <v/>
      </c>
      <c r="IN10" s="40" t="str">
        <f t="shared" si="76"/>
        <v/>
      </c>
      <c r="IO10" s="40" t="str">
        <f t="shared" si="77"/>
        <v/>
      </c>
      <c r="IP10" s="40" t="str">
        <f t="shared" si="78"/>
        <v/>
      </c>
      <c r="IQ10" s="18"/>
      <c r="IR10" s="18"/>
      <c r="IS10" s="18"/>
      <c r="IT10" s="18"/>
      <c r="IU10" s="18"/>
      <c r="IV10" s="18"/>
      <c r="IW10" s="18"/>
      <c r="IX10" s="18"/>
      <c r="IY10" s="18"/>
      <c r="IZ10" s="18"/>
      <c r="JA10" s="18"/>
      <c r="JB10" s="18"/>
      <c r="JC10" s="18"/>
      <c r="JD10" s="18"/>
      <c r="JE10" s="18"/>
      <c r="JF10" s="18"/>
      <c r="JG10" s="18"/>
      <c r="JH10" s="18"/>
      <c r="JI10" s="18"/>
      <c r="JJ10" s="18"/>
      <c r="JK10" s="11" t="str">
        <f t="shared" si="79"/>
        <v/>
      </c>
      <c r="JL10" s="11" t="str">
        <f t="shared" si="80"/>
        <v/>
      </c>
      <c r="JM10" s="11" t="str">
        <f t="shared" si="81"/>
        <v/>
      </c>
      <c r="JN10" s="11" t="str">
        <f t="shared" si="82"/>
        <v/>
      </c>
      <c r="JO10" s="11" t="str">
        <f t="shared" si="83"/>
        <v/>
      </c>
      <c r="JP10" s="11" t="str">
        <f t="shared" si="84"/>
        <v/>
      </c>
      <c r="JQ10" s="11" t="str">
        <f t="shared" si="85"/>
        <v/>
      </c>
      <c r="JR10" s="11" t="str">
        <f t="shared" si="86"/>
        <v/>
      </c>
      <c r="JS10" s="17"/>
      <c r="JT10" s="17"/>
      <c r="JU10" s="17"/>
      <c r="JV10" s="17"/>
      <c r="JW10" s="17"/>
      <c r="JX10" s="17"/>
      <c r="JY10" s="17"/>
      <c r="JZ10" s="17"/>
      <c r="KA10" s="17"/>
      <c r="KB10" s="17"/>
      <c r="KC10" s="17"/>
      <c r="KD10" s="17"/>
      <c r="KE10" s="17"/>
      <c r="KF10" s="17"/>
      <c r="KG10" s="17"/>
      <c r="KH10" s="17"/>
      <c r="KI10" s="17"/>
      <c r="KJ10" s="17"/>
      <c r="KK10" s="17"/>
      <c r="KL10" s="17"/>
      <c r="KM10" s="40" t="str">
        <f t="shared" si="87"/>
        <v/>
      </c>
      <c r="KN10" s="40" t="str">
        <f t="shared" si="88"/>
        <v/>
      </c>
      <c r="KO10" s="40" t="str">
        <f t="shared" si="89"/>
        <v/>
      </c>
      <c r="KP10" s="40" t="str">
        <f t="shared" si="90"/>
        <v/>
      </c>
      <c r="KQ10" s="40" t="str">
        <f t="shared" si="91"/>
        <v/>
      </c>
      <c r="KR10" s="40" t="str">
        <f t="shared" si="92"/>
        <v/>
      </c>
      <c r="KS10" s="40" t="str">
        <f t="shared" si="93"/>
        <v/>
      </c>
      <c r="KT10" s="40" t="str">
        <f t="shared" si="94"/>
        <v/>
      </c>
      <c r="KU10" s="18"/>
      <c r="KV10" s="18"/>
      <c r="KW10" s="18"/>
      <c r="KX10" s="18"/>
      <c r="KY10" s="18"/>
      <c r="KZ10" s="18"/>
      <c r="LA10" s="18"/>
      <c r="LB10" s="18"/>
      <c r="LC10" s="18"/>
      <c r="LD10" s="18"/>
      <c r="LE10" s="18"/>
      <c r="LF10" s="18"/>
      <c r="LG10" s="18"/>
      <c r="LH10" s="18"/>
      <c r="LI10" s="18"/>
      <c r="LJ10" s="18"/>
      <c r="LK10" s="18"/>
      <c r="LL10" s="18"/>
      <c r="LM10" s="18"/>
      <c r="LN10" s="18"/>
      <c r="LO10" s="11" t="str">
        <f t="shared" si="95"/>
        <v/>
      </c>
      <c r="LP10" s="11" t="str">
        <f t="shared" si="96"/>
        <v/>
      </c>
      <c r="LQ10" s="11" t="str">
        <f t="shared" si="97"/>
        <v/>
      </c>
      <c r="LR10" s="11" t="str">
        <f t="shared" si="98"/>
        <v/>
      </c>
      <c r="LS10" s="11" t="str">
        <f t="shared" si="99"/>
        <v/>
      </c>
      <c r="LT10" s="11" t="str">
        <f t="shared" si="100"/>
        <v/>
      </c>
      <c r="LU10" s="11" t="str">
        <f t="shared" si="101"/>
        <v/>
      </c>
      <c r="LV10" s="11" t="str">
        <f t="shared" si="102"/>
        <v/>
      </c>
      <c r="LW10" s="17">
        <v>18.7</v>
      </c>
      <c r="LX10" s="17">
        <v>8.4</v>
      </c>
      <c r="LY10" s="17">
        <v>0.8</v>
      </c>
      <c r="LZ10" s="17">
        <v>0</v>
      </c>
      <c r="MA10" s="17">
        <v>16.899999999999999</v>
      </c>
      <c r="MB10" s="17">
        <v>8</v>
      </c>
      <c r="MC10" s="17">
        <v>1</v>
      </c>
      <c r="MD10" s="17">
        <v>0</v>
      </c>
      <c r="ME10" s="17"/>
      <c r="MF10" s="17"/>
      <c r="MG10" s="17"/>
      <c r="MH10" s="17"/>
      <c r="MI10" s="17"/>
      <c r="MJ10" s="17"/>
      <c r="MK10" s="17"/>
      <c r="ML10" s="17"/>
      <c r="MM10" s="17"/>
      <c r="MN10" s="17"/>
      <c r="MO10" s="17"/>
      <c r="MP10" s="17"/>
      <c r="MQ10" s="40">
        <f t="shared" si="103"/>
        <v>16.399999999999999</v>
      </c>
      <c r="MR10" s="40">
        <f t="shared" si="104"/>
        <v>50.2</v>
      </c>
      <c r="MS10" s="40" t="str">
        <f t="shared" si="105"/>
        <v/>
      </c>
      <c r="MT10" s="40">
        <f t="shared" si="106"/>
        <v>16.399999999999999</v>
      </c>
      <c r="MU10" s="40">
        <f t="shared" si="107"/>
        <v>50.2</v>
      </c>
      <c r="MV10" s="40" t="str">
        <f t="shared" si="108"/>
        <v/>
      </c>
      <c r="MW10" s="40" t="str">
        <f t="shared" si="109"/>
        <v/>
      </c>
      <c r="MX10" s="40">
        <f t="shared" si="110"/>
        <v>50.2</v>
      </c>
      <c r="MY10" s="18"/>
      <c r="MZ10" s="18"/>
      <c r="NA10" s="18"/>
      <c r="NB10" s="18"/>
      <c r="NC10" s="18"/>
      <c r="ND10" s="18"/>
      <c r="NE10" s="18"/>
      <c r="NF10" s="18"/>
      <c r="NG10" s="18"/>
      <c r="NH10" s="18"/>
      <c r="NI10" s="18"/>
      <c r="NJ10" s="18"/>
      <c r="NK10" s="18"/>
      <c r="NL10" s="18"/>
      <c r="NM10" s="18"/>
      <c r="NN10" s="18"/>
      <c r="NO10" s="18"/>
      <c r="NP10" s="18"/>
      <c r="NQ10" s="18"/>
      <c r="NR10" s="18"/>
      <c r="NS10" s="11" t="str">
        <f t="shared" si="111"/>
        <v/>
      </c>
      <c r="NT10" s="11" t="str">
        <f t="shared" si="112"/>
        <v/>
      </c>
      <c r="NU10" s="11" t="str">
        <f t="shared" si="113"/>
        <v/>
      </c>
      <c r="NV10" s="11" t="str">
        <f t="shared" si="114"/>
        <v/>
      </c>
      <c r="NW10" s="11" t="str">
        <f t="shared" si="115"/>
        <v/>
      </c>
      <c r="NX10" s="11" t="str">
        <f t="shared" si="116"/>
        <v/>
      </c>
      <c r="NY10" s="11" t="str">
        <f t="shared" si="117"/>
        <v/>
      </c>
      <c r="NZ10" s="11" t="str">
        <f t="shared" si="118"/>
        <v/>
      </c>
      <c r="OA10" s="17"/>
      <c r="OB10" s="17"/>
      <c r="OC10" s="17"/>
      <c r="OD10" s="17"/>
      <c r="OE10" s="17"/>
      <c r="OF10" s="17"/>
      <c r="OG10" s="17"/>
      <c r="OH10" s="17"/>
      <c r="OI10" s="17"/>
      <c r="OJ10" s="17"/>
      <c r="OK10" s="17"/>
      <c r="OL10" s="17"/>
      <c r="OM10" s="17"/>
      <c r="ON10" s="17"/>
      <c r="OO10" s="17"/>
      <c r="OP10" s="17"/>
      <c r="OQ10" s="17"/>
      <c r="OR10" s="17"/>
      <c r="OS10" s="17"/>
      <c r="OT10" s="17"/>
      <c r="OU10" s="40" t="str">
        <f t="shared" si="119"/>
        <v/>
      </c>
      <c r="OV10" s="40" t="str">
        <f t="shared" si="120"/>
        <v/>
      </c>
      <c r="OW10" s="40" t="str">
        <f t="shared" si="121"/>
        <v/>
      </c>
      <c r="OX10" s="40" t="str">
        <f t="shared" si="122"/>
        <v/>
      </c>
      <c r="OY10" s="40" t="str">
        <f t="shared" si="123"/>
        <v/>
      </c>
      <c r="OZ10" s="40" t="str">
        <f t="shared" si="124"/>
        <v/>
      </c>
      <c r="PA10" s="40" t="str">
        <f t="shared" si="125"/>
        <v/>
      </c>
      <c r="PB10" s="40" t="str">
        <f t="shared" si="126"/>
        <v/>
      </c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8"/>
      <c r="PS10" s="18"/>
      <c r="PT10" s="18"/>
      <c r="PU10" s="18"/>
      <c r="PV10" s="18"/>
      <c r="PW10" s="11" t="str">
        <f t="shared" si="127"/>
        <v/>
      </c>
      <c r="PX10" s="11" t="str">
        <f t="shared" si="128"/>
        <v/>
      </c>
      <c r="PY10" s="11" t="str">
        <f t="shared" si="129"/>
        <v/>
      </c>
      <c r="PZ10" s="11" t="str">
        <f t="shared" si="130"/>
        <v/>
      </c>
      <c r="QA10" s="11" t="str">
        <f t="shared" si="131"/>
        <v/>
      </c>
      <c r="QB10" s="11" t="str">
        <f t="shared" si="132"/>
        <v/>
      </c>
      <c r="QC10" s="11" t="str">
        <f t="shared" si="133"/>
        <v/>
      </c>
      <c r="QD10" s="11" t="str">
        <f t="shared" si="134"/>
        <v/>
      </c>
      <c r="QE10" s="22">
        <f t="shared" si="135"/>
        <v>18.7</v>
      </c>
      <c r="QF10" s="22">
        <f t="shared" si="136"/>
        <v>7.85</v>
      </c>
      <c r="QG10" s="22">
        <f t="shared" si="137"/>
        <v>0.3</v>
      </c>
      <c r="QH10" s="22">
        <f t="shared" si="138"/>
        <v>0.3</v>
      </c>
      <c r="QI10" s="22">
        <f t="shared" si="139"/>
        <v>17.950000000000003</v>
      </c>
      <c r="QJ10" s="22">
        <f t="shared" si="140"/>
        <v>4.8499999999999996</v>
      </c>
      <c r="QK10" s="22">
        <f t="shared" si="141"/>
        <v>0.3</v>
      </c>
      <c r="QL10" s="22">
        <f t="shared" si="142"/>
        <v>0</v>
      </c>
      <c r="QM10" s="22">
        <f t="shared" si="143"/>
        <v>17.700000000000003</v>
      </c>
      <c r="QN10" s="22">
        <f t="shared" si="144"/>
        <v>8.65</v>
      </c>
      <c r="QO10" s="22">
        <f t="shared" si="145"/>
        <v>0.4</v>
      </c>
      <c r="QP10" s="22">
        <f t="shared" si="146"/>
        <v>0.15</v>
      </c>
      <c r="QQ10" s="22">
        <f t="shared" si="147"/>
        <v>8.85</v>
      </c>
      <c r="QR10" s="22">
        <f t="shared" si="148"/>
        <v>1.4</v>
      </c>
      <c r="QS10" s="22">
        <f t="shared" si="149"/>
        <v>0</v>
      </c>
      <c r="QT10" s="22">
        <f t="shared" si="150"/>
        <v>0</v>
      </c>
      <c r="QU10" s="22">
        <f t="shared" si="151"/>
        <v>9.4</v>
      </c>
      <c r="QV10" s="22">
        <f t="shared" si="152"/>
        <v>3.8</v>
      </c>
      <c r="QW10" s="22">
        <f t="shared" si="153"/>
        <v>0.1</v>
      </c>
      <c r="QX10" s="22">
        <f t="shared" si="154"/>
        <v>0</v>
      </c>
      <c r="QY10" s="27" t="s">
        <v>46</v>
      </c>
      <c r="QZ10" s="40">
        <f t="shared" si="155"/>
        <v>12.7</v>
      </c>
      <c r="RA10" s="40">
        <f t="shared" si="156"/>
        <v>49.050000000000004</v>
      </c>
      <c r="RB10" s="40">
        <f t="shared" si="157"/>
        <v>26.1</v>
      </c>
      <c r="RC10" s="40">
        <f t="shared" si="158"/>
        <v>21.35</v>
      </c>
      <c r="RD10" s="40">
        <f t="shared" si="159"/>
        <v>75.150000000000006</v>
      </c>
      <c r="RE10" s="40">
        <f t="shared" si="160"/>
        <v>5.1999999999999993</v>
      </c>
      <c r="RF10" s="40">
        <f t="shared" si="161"/>
        <v>23.349999999999998</v>
      </c>
      <c r="RG10" s="40">
        <f t="shared" si="162"/>
        <v>72.400000000000006</v>
      </c>
    </row>
    <row r="11" spans="1:475" x14ac:dyDescent="0.2">
      <c r="A11" s="4">
        <f t="shared" si="164"/>
        <v>8</v>
      </c>
      <c r="B11" s="5" t="s">
        <v>75</v>
      </c>
      <c r="C11" s="4" t="s">
        <v>6</v>
      </c>
      <c r="D11" s="4">
        <v>2004</v>
      </c>
      <c r="E11" s="9">
        <f t="shared" si="163"/>
        <v>172.50001222000498</v>
      </c>
      <c r="F11" s="3" t="str">
        <f t="shared" si="0"/>
        <v>P</v>
      </c>
      <c r="G11" s="3" t="str">
        <f t="shared" si="1"/>
        <v>P</v>
      </c>
      <c r="H11" s="36" t="str">
        <f t="shared" si="2"/>
        <v>National Team</v>
      </c>
      <c r="I11" s="3" t="str">
        <f t="shared" si="3"/>
        <v/>
      </c>
      <c r="J11" s="8">
        <f>IF(COUNT(AQ11,BT11,CW11)&gt;0,LARGE((AQ11,BT11,CW11),1),0)</f>
        <v>49.699999999999996</v>
      </c>
      <c r="K11" s="8" t="str">
        <f t="shared" si="4"/>
        <v>2023 Elite Canada</v>
      </c>
      <c r="L11" s="8">
        <f>IF(COUNT(AQ11,BT11,CW11)&gt;1,LARGE((AQ11,BT11,CW11),2),0)</f>
        <v>48.8</v>
      </c>
      <c r="M11" s="8" t="str">
        <f t="shared" si="5"/>
        <v>2022 Nationals</v>
      </c>
      <c r="N11" s="8">
        <f>IF(COUNT(AR11,BU11,CX11)&gt;0,LARGE((AR11,BU11,CX11),1),0)</f>
        <v>23.7</v>
      </c>
      <c r="O11" s="8" t="str">
        <f t="shared" si="6"/>
        <v>2022 3rd Domestic Trial</v>
      </c>
      <c r="P11" s="8">
        <f t="shared" si="7"/>
        <v>50.3</v>
      </c>
      <c r="Q11" s="8" t="str">
        <f t="shared" si="8"/>
        <v>2023 Elite Canada</v>
      </c>
      <c r="R11" s="8" t="str">
        <f t="shared" si="9"/>
        <v/>
      </c>
      <c r="S11" s="11" t="str">
        <f t="shared" si="10"/>
        <v/>
      </c>
      <c r="T11" s="8" t="str">
        <f t="shared" si="11"/>
        <v/>
      </c>
      <c r="U11" s="19">
        <v>19.399999999999999</v>
      </c>
      <c r="V11" s="19">
        <v>5.2</v>
      </c>
      <c r="W11" s="19">
        <v>0</v>
      </c>
      <c r="X11" s="19">
        <v>0</v>
      </c>
      <c r="Y11" s="19">
        <v>19</v>
      </c>
      <c r="Z11" s="19">
        <v>5.2</v>
      </c>
      <c r="AA11" s="19">
        <v>0</v>
      </c>
      <c r="AB11" s="19">
        <v>0</v>
      </c>
      <c r="AC11" s="19">
        <v>19.399999999999999</v>
      </c>
      <c r="AD11" s="19">
        <v>4.3</v>
      </c>
      <c r="AE11" s="19">
        <v>0</v>
      </c>
      <c r="AF11" s="19">
        <v>0</v>
      </c>
      <c r="AG11" s="19">
        <v>19</v>
      </c>
      <c r="AH11" s="19">
        <v>6</v>
      </c>
      <c r="AI11" s="19">
        <v>0</v>
      </c>
      <c r="AJ11" s="19">
        <v>0</v>
      </c>
      <c r="AK11" s="19">
        <v>19</v>
      </c>
      <c r="AL11" s="19">
        <v>5.6</v>
      </c>
      <c r="AM11" s="19">
        <v>0</v>
      </c>
      <c r="AN11" s="19">
        <v>0</v>
      </c>
      <c r="AO11" s="27"/>
      <c r="AP11" s="40">
        <f t="shared" si="12"/>
        <v>10.4</v>
      </c>
      <c r="AQ11" s="40">
        <f t="shared" si="13"/>
        <v>48.8</v>
      </c>
      <c r="AR11" s="40">
        <f t="shared" si="14"/>
        <v>23.7</v>
      </c>
      <c r="AS11" s="40">
        <f t="shared" si="15"/>
        <v>14.7</v>
      </c>
      <c r="AT11" s="40">
        <f t="shared" si="16"/>
        <v>72.5</v>
      </c>
      <c r="AU11" s="40">
        <f t="shared" si="17"/>
        <v>11.6</v>
      </c>
      <c r="AV11" s="40">
        <f t="shared" si="18"/>
        <v>49.6</v>
      </c>
      <c r="AW11" s="40">
        <f t="shared" si="19"/>
        <v>98.4</v>
      </c>
      <c r="AX11" s="18">
        <v>19</v>
      </c>
      <c r="AY11" s="18">
        <v>5.2</v>
      </c>
      <c r="AZ11" s="18">
        <v>0.3</v>
      </c>
      <c r="BA11" s="18">
        <v>0</v>
      </c>
      <c r="BB11" s="18">
        <v>18.95</v>
      </c>
      <c r="BC11" s="18">
        <v>5.2</v>
      </c>
      <c r="BD11" s="18">
        <v>0</v>
      </c>
      <c r="BE11" s="18">
        <v>0</v>
      </c>
      <c r="BF11" s="18">
        <v>19.399999999999999</v>
      </c>
      <c r="BG11" s="18">
        <v>4.3</v>
      </c>
      <c r="BH11" s="18">
        <v>0</v>
      </c>
      <c r="BI11" s="18">
        <v>0</v>
      </c>
      <c r="BJ11" s="18">
        <v>18.899999999999999</v>
      </c>
      <c r="BK11" s="18">
        <v>5.6</v>
      </c>
      <c r="BL11" s="18">
        <v>0</v>
      </c>
      <c r="BM11" s="18">
        <v>0</v>
      </c>
      <c r="BN11" s="18">
        <v>18.850000000000001</v>
      </c>
      <c r="BO11" s="18">
        <v>5.4</v>
      </c>
      <c r="BP11" s="18">
        <v>0.1</v>
      </c>
      <c r="BQ11" s="18">
        <v>0</v>
      </c>
      <c r="BR11" s="28" t="s">
        <v>46</v>
      </c>
      <c r="BS11" s="11">
        <f t="shared" si="20"/>
        <v>10.4</v>
      </c>
      <c r="BT11" s="11">
        <f t="shared" si="21"/>
        <v>48.050000000000004</v>
      </c>
      <c r="BU11" s="11">
        <f t="shared" si="22"/>
        <v>23.7</v>
      </c>
      <c r="BV11" s="11">
        <f t="shared" si="23"/>
        <v>14.7</v>
      </c>
      <c r="BW11" s="11">
        <f t="shared" si="24"/>
        <v>71.75</v>
      </c>
      <c r="BX11" s="11">
        <f t="shared" si="25"/>
        <v>11</v>
      </c>
      <c r="BY11" s="11">
        <f t="shared" si="26"/>
        <v>48.65</v>
      </c>
      <c r="BZ11" s="11">
        <f t="shared" si="27"/>
        <v>96.7</v>
      </c>
      <c r="CA11" s="19">
        <v>18.7</v>
      </c>
      <c r="CB11" s="19">
        <v>6</v>
      </c>
      <c r="CC11" s="19">
        <v>0</v>
      </c>
      <c r="CD11" s="19">
        <v>0</v>
      </c>
      <c r="CE11" s="19">
        <v>18.600000000000001</v>
      </c>
      <c r="CF11" s="19">
        <v>6.4</v>
      </c>
      <c r="CG11" s="19">
        <v>0</v>
      </c>
      <c r="CH11" s="19">
        <v>0</v>
      </c>
      <c r="CI11" s="19">
        <v>19.2</v>
      </c>
      <c r="CJ11" s="19">
        <v>4.3</v>
      </c>
      <c r="CK11" s="19">
        <v>0</v>
      </c>
      <c r="CL11" s="19">
        <v>0</v>
      </c>
      <c r="CM11" s="19">
        <v>18.899999999999999</v>
      </c>
      <c r="CN11" s="19">
        <v>6</v>
      </c>
      <c r="CO11" s="19">
        <v>0</v>
      </c>
      <c r="CP11" s="19">
        <v>0</v>
      </c>
      <c r="CQ11" s="19">
        <v>19</v>
      </c>
      <c r="CR11" s="19">
        <v>6.4</v>
      </c>
      <c r="CS11" s="19">
        <v>0</v>
      </c>
      <c r="CT11" s="19">
        <v>0</v>
      </c>
      <c r="CU11" s="27"/>
      <c r="CV11" s="40">
        <f t="shared" si="28"/>
        <v>12.4</v>
      </c>
      <c r="CW11" s="40">
        <f t="shared" si="29"/>
        <v>49.699999999999996</v>
      </c>
      <c r="CX11" s="40">
        <f t="shared" si="30"/>
        <v>23.5</v>
      </c>
      <c r="CY11" s="40">
        <f t="shared" si="31"/>
        <v>16.7</v>
      </c>
      <c r="CZ11" s="40">
        <f t="shared" si="32"/>
        <v>73.199999999999989</v>
      </c>
      <c r="DA11" s="40">
        <f t="shared" si="33"/>
        <v>12.4</v>
      </c>
      <c r="DB11" s="40">
        <f t="shared" si="34"/>
        <v>50.3</v>
      </c>
      <c r="DC11" s="40">
        <f t="shared" si="35"/>
        <v>100</v>
      </c>
      <c r="DD11" s="50" t="str">
        <f t="shared" si="36"/>
        <v/>
      </c>
      <c r="DE11" s="50" t="str">
        <f t="shared" si="37"/>
        <v/>
      </c>
      <c r="DF11" s="50" t="str">
        <f t="shared" si="38"/>
        <v/>
      </c>
      <c r="DG11" s="17"/>
      <c r="DH11" s="17"/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17"/>
      <c r="DY11" s="17"/>
      <c r="DZ11" s="17"/>
      <c r="EA11" s="40" t="str">
        <f t="shared" si="39"/>
        <v/>
      </c>
      <c r="EB11" s="40" t="str">
        <f t="shared" si="40"/>
        <v/>
      </c>
      <c r="EC11" s="40" t="str">
        <f t="shared" si="41"/>
        <v/>
      </c>
      <c r="ED11" s="40" t="str">
        <f t="shared" si="42"/>
        <v/>
      </c>
      <c r="EE11" s="40" t="str">
        <f t="shared" si="43"/>
        <v/>
      </c>
      <c r="EF11" s="40" t="str">
        <f t="shared" si="44"/>
        <v/>
      </c>
      <c r="EG11" s="40" t="str">
        <f t="shared" si="45"/>
        <v/>
      </c>
      <c r="EH11" s="40" t="str">
        <f t="shared" si="46"/>
        <v/>
      </c>
      <c r="EI11" s="18"/>
      <c r="EJ11" s="18"/>
      <c r="EK11" s="18"/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8"/>
      <c r="FC11" s="11" t="str">
        <f t="shared" si="47"/>
        <v/>
      </c>
      <c r="FD11" s="11" t="str">
        <f t="shared" si="48"/>
        <v/>
      </c>
      <c r="FE11" s="11" t="str">
        <f t="shared" si="49"/>
        <v/>
      </c>
      <c r="FF11" s="11" t="str">
        <f t="shared" si="50"/>
        <v/>
      </c>
      <c r="FG11" s="11" t="str">
        <f t="shared" si="51"/>
        <v/>
      </c>
      <c r="FH11" s="11" t="str">
        <f t="shared" si="52"/>
        <v/>
      </c>
      <c r="FI11" s="11" t="str">
        <f t="shared" si="53"/>
        <v/>
      </c>
      <c r="FJ11" s="11" t="str">
        <f t="shared" si="54"/>
        <v/>
      </c>
      <c r="FK11" s="17"/>
      <c r="FL11" s="17"/>
      <c r="FM11" s="17"/>
      <c r="FN11" s="17"/>
      <c r="FO11" s="17"/>
      <c r="FP11" s="17"/>
      <c r="FQ11" s="17"/>
      <c r="FR11" s="17"/>
      <c r="FS11" s="17"/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40" t="str">
        <f t="shared" si="55"/>
        <v/>
      </c>
      <c r="GF11" s="40" t="str">
        <f t="shared" si="56"/>
        <v/>
      </c>
      <c r="GG11" s="40" t="str">
        <f t="shared" si="57"/>
        <v/>
      </c>
      <c r="GH11" s="40" t="str">
        <f t="shared" si="58"/>
        <v/>
      </c>
      <c r="GI11" s="40" t="str">
        <f t="shared" si="59"/>
        <v/>
      </c>
      <c r="GJ11" s="40" t="str">
        <f t="shared" si="60"/>
        <v/>
      </c>
      <c r="GK11" s="40" t="str">
        <f t="shared" si="61"/>
        <v/>
      </c>
      <c r="GL11" s="40" t="str">
        <f t="shared" si="62"/>
        <v/>
      </c>
      <c r="GM11" s="18"/>
      <c r="GN11" s="18"/>
      <c r="GO11" s="18"/>
      <c r="GP11" s="18"/>
      <c r="GQ11" s="18"/>
      <c r="GR11" s="18"/>
      <c r="GS11" s="18"/>
      <c r="GT11" s="18"/>
      <c r="GU11" s="18"/>
      <c r="GV11" s="18"/>
      <c r="GW11" s="18"/>
      <c r="GX11" s="18"/>
      <c r="GY11" s="18"/>
      <c r="GZ11" s="18"/>
      <c r="HA11" s="18"/>
      <c r="HB11" s="18"/>
      <c r="HC11" s="18"/>
      <c r="HD11" s="18"/>
      <c r="HE11" s="18"/>
      <c r="HF11" s="18"/>
      <c r="HG11" s="11" t="str">
        <f t="shared" si="63"/>
        <v/>
      </c>
      <c r="HH11" s="11" t="str">
        <f t="shared" si="64"/>
        <v/>
      </c>
      <c r="HI11" s="11" t="str">
        <f t="shared" si="65"/>
        <v/>
      </c>
      <c r="HJ11" s="11" t="str">
        <f t="shared" si="66"/>
        <v/>
      </c>
      <c r="HK11" s="11" t="str">
        <f t="shared" si="67"/>
        <v/>
      </c>
      <c r="HL11" s="11" t="str">
        <f t="shared" si="68"/>
        <v/>
      </c>
      <c r="HM11" s="11" t="str">
        <f t="shared" si="69"/>
        <v/>
      </c>
      <c r="HN11" s="11" t="str">
        <f t="shared" si="70"/>
        <v/>
      </c>
      <c r="HO11" s="17"/>
      <c r="HP11" s="17"/>
      <c r="HQ11" s="17"/>
      <c r="HR11" s="17"/>
      <c r="HS11" s="17"/>
      <c r="HT11" s="17"/>
      <c r="HU11" s="17"/>
      <c r="HV11" s="17"/>
      <c r="HW11" s="17"/>
      <c r="HX11" s="17"/>
      <c r="HY11" s="17"/>
      <c r="HZ11" s="17"/>
      <c r="IA11" s="17"/>
      <c r="IB11" s="17"/>
      <c r="IC11" s="17"/>
      <c r="ID11" s="17"/>
      <c r="IE11" s="17"/>
      <c r="IF11" s="17"/>
      <c r="IG11" s="17"/>
      <c r="IH11" s="17"/>
      <c r="II11" s="40" t="str">
        <f t="shared" si="71"/>
        <v/>
      </c>
      <c r="IJ11" s="40" t="str">
        <f t="shared" si="72"/>
        <v/>
      </c>
      <c r="IK11" s="40" t="str">
        <f t="shared" si="73"/>
        <v/>
      </c>
      <c r="IL11" s="40" t="str">
        <f t="shared" si="74"/>
        <v/>
      </c>
      <c r="IM11" s="40" t="str">
        <f t="shared" si="75"/>
        <v/>
      </c>
      <c r="IN11" s="40" t="str">
        <f t="shared" si="76"/>
        <v/>
      </c>
      <c r="IO11" s="40" t="str">
        <f t="shared" si="77"/>
        <v/>
      </c>
      <c r="IP11" s="40" t="str">
        <f t="shared" si="78"/>
        <v/>
      </c>
      <c r="IQ11" s="18"/>
      <c r="IR11" s="18"/>
      <c r="IS11" s="18"/>
      <c r="IT11" s="18"/>
      <c r="IU11" s="18"/>
      <c r="IV11" s="18"/>
      <c r="IW11" s="18"/>
      <c r="IX11" s="18"/>
      <c r="IY11" s="18"/>
      <c r="IZ11" s="18"/>
      <c r="JA11" s="18"/>
      <c r="JB11" s="18"/>
      <c r="JC11" s="18"/>
      <c r="JD11" s="18"/>
      <c r="JE11" s="18"/>
      <c r="JF11" s="18"/>
      <c r="JG11" s="18"/>
      <c r="JH11" s="18"/>
      <c r="JI11" s="18"/>
      <c r="JJ11" s="18"/>
      <c r="JK11" s="11" t="str">
        <f t="shared" si="79"/>
        <v/>
      </c>
      <c r="JL11" s="11" t="str">
        <f t="shared" si="80"/>
        <v/>
      </c>
      <c r="JM11" s="11" t="str">
        <f t="shared" si="81"/>
        <v/>
      </c>
      <c r="JN11" s="11" t="str">
        <f t="shared" si="82"/>
        <v/>
      </c>
      <c r="JO11" s="11" t="str">
        <f t="shared" si="83"/>
        <v/>
      </c>
      <c r="JP11" s="11" t="str">
        <f t="shared" si="84"/>
        <v/>
      </c>
      <c r="JQ11" s="11" t="str">
        <f t="shared" si="85"/>
        <v/>
      </c>
      <c r="JR11" s="11" t="str">
        <f t="shared" si="86"/>
        <v/>
      </c>
      <c r="JS11" s="17"/>
      <c r="JT11" s="17"/>
      <c r="JU11" s="17"/>
      <c r="JV11" s="17"/>
      <c r="JW11" s="17"/>
      <c r="JX11" s="17"/>
      <c r="JY11" s="17"/>
      <c r="JZ11" s="17"/>
      <c r="KA11" s="17"/>
      <c r="KB11" s="17"/>
      <c r="KC11" s="17"/>
      <c r="KD11" s="17"/>
      <c r="KE11" s="17"/>
      <c r="KF11" s="17"/>
      <c r="KG11" s="17"/>
      <c r="KH11" s="17"/>
      <c r="KI11" s="17"/>
      <c r="KJ11" s="17"/>
      <c r="KK11" s="17"/>
      <c r="KL11" s="17"/>
      <c r="KM11" s="40" t="str">
        <f t="shared" si="87"/>
        <v/>
      </c>
      <c r="KN11" s="40" t="str">
        <f t="shared" si="88"/>
        <v/>
      </c>
      <c r="KO11" s="40" t="str">
        <f t="shared" si="89"/>
        <v/>
      </c>
      <c r="KP11" s="40" t="str">
        <f t="shared" si="90"/>
        <v/>
      </c>
      <c r="KQ11" s="40" t="str">
        <f t="shared" si="91"/>
        <v/>
      </c>
      <c r="KR11" s="40" t="str">
        <f t="shared" si="92"/>
        <v/>
      </c>
      <c r="KS11" s="40" t="str">
        <f t="shared" si="93"/>
        <v/>
      </c>
      <c r="KT11" s="40" t="str">
        <f t="shared" si="94"/>
        <v/>
      </c>
      <c r="KU11" s="18"/>
      <c r="KV11" s="18"/>
      <c r="KW11" s="18"/>
      <c r="KX11" s="18"/>
      <c r="KY11" s="18"/>
      <c r="KZ11" s="18"/>
      <c r="LA11" s="18"/>
      <c r="LB11" s="18"/>
      <c r="LC11" s="18"/>
      <c r="LD11" s="18"/>
      <c r="LE11" s="18"/>
      <c r="LF11" s="18"/>
      <c r="LG11" s="18"/>
      <c r="LH11" s="18"/>
      <c r="LI11" s="18"/>
      <c r="LJ11" s="18"/>
      <c r="LK11" s="18"/>
      <c r="LL11" s="18"/>
      <c r="LM11" s="18"/>
      <c r="LN11" s="18"/>
      <c r="LO11" s="11" t="str">
        <f t="shared" si="95"/>
        <v/>
      </c>
      <c r="LP11" s="11" t="str">
        <f t="shared" si="96"/>
        <v/>
      </c>
      <c r="LQ11" s="11" t="str">
        <f t="shared" si="97"/>
        <v/>
      </c>
      <c r="LR11" s="11" t="str">
        <f t="shared" si="98"/>
        <v/>
      </c>
      <c r="LS11" s="11" t="str">
        <f t="shared" si="99"/>
        <v/>
      </c>
      <c r="LT11" s="11" t="str">
        <f t="shared" si="100"/>
        <v/>
      </c>
      <c r="LU11" s="11" t="str">
        <f t="shared" si="101"/>
        <v/>
      </c>
      <c r="LV11" s="11" t="str">
        <f t="shared" si="102"/>
        <v/>
      </c>
      <c r="LW11" s="17">
        <v>17.399999999999999</v>
      </c>
      <c r="LX11" s="17">
        <v>2.8</v>
      </c>
      <c r="LY11" s="17">
        <v>0</v>
      </c>
      <c r="LZ11" s="17">
        <v>0</v>
      </c>
      <c r="MA11" s="17">
        <v>18.8</v>
      </c>
      <c r="MB11" s="17">
        <v>6</v>
      </c>
      <c r="MC11" s="17">
        <v>0.6</v>
      </c>
      <c r="MD11" s="17">
        <v>0</v>
      </c>
      <c r="ME11" s="17"/>
      <c r="MF11" s="17"/>
      <c r="MG11" s="17"/>
      <c r="MH11" s="17"/>
      <c r="MI11" s="17"/>
      <c r="MJ11" s="17"/>
      <c r="MK11" s="17"/>
      <c r="ML11" s="17"/>
      <c r="MM11" s="17"/>
      <c r="MN11" s="17"/>
      <c r="MO11" s="17"/>
      <c r="MP11" s="17"/>
      <c r="MQ11" s="40">
        <f t="shared" si="103"/>
        <v>8.8000000000000007</v>
      </c>
      <c r="MR11" s="40">
        <f t="shared" si="104"/>
        <v>44.4</v>
      </c>
      <c r="MS11" s="40" t="str">
        <f t="shared" si="105"/>
        <v/>
      </c>
      <c r="MT11" s="40">
        <f t="shared" si="106"/>
        <v>8.8000000000000007</v>
      </c>
      <c r="MU11" s="40">
        <f t="shared" si="107"/>
        <v>44.4</v>
      </c>
      <c r="MV11" s="40" t="str">
        <f t="shared" si="108"/>
        <v/>
      </c>
      <c r="MW11" s="40" t="str">
        <f t="shared" si="109"/>
        <v/>
      </c>
      <c r="MX11" s="40">
        <f t="shared" si="110"/>
        <v>44.4</v>
      </c>
      <c r="MY11" s="18"/>
      <c r="MZ11" s="18"/>
      <c r="NA11" s="18"/>
      <c r="NB11" s="18"/>
      <c r="NC11" s="18"/>
      <c r="ND11" s="18"/>
      <c r="NE11" s="18"/>
      <c r="NF11" s="18"/>
      <c r="NG11" s="18"/>
      <c r="NH11" s="18"/>
      <c r="NI11" s="18"/>
      <c r="NJ11" s="18"/>
      <c r="NK11" s="18"/>
      <c r="NL11" s="18"/>
      <c r="NM11" s="18"/>
      <c r="NN11" s="18"/>
      <c r="NO11" s="18"/>
      <c r="NP11" s="18"/>
      <c r="NQ11" s="18"/>
      <c r="NR11" s="18"/>
      <c r="NS11" s="11" t="str">
        <f t="shared" si="111"/>
        <v/>
      </c>
      <c r="NT11" s="11" t="str">
        <f t="shared" si="112"/>
        <v/>
      </c>
      <c r="NU11" s="11" t="str">
        <f t="shared" si="113"/>
        <v/>
      </c>
      <c r="NV11" s="11" t="str">
        <f t="shared" si="114"/>
        <v/>
      </c>
      <c r="NW11" s="11" t="str">
        <f t="shared" si="115"/>
        <v/>
      </c>
      <c r="NX11" s="11" t="str">
        <f t="shared" si="116"/>
        <v/>
      </c>
      <c r="NY11" s="11" t="str">
        <f t="shared" si="117"/>
        <v/>
      </c>
      <c r="NZ11" s="11" t="str">
        <f t="shared" si="118"/>
        <v/>
      </c>
      <c r="OA11" s="17"/>
      <c r="OB11" s="17"/>
      <c r="OC11" s="17"/>
      <c r="OD11" s="17"/>
      <c r="OE11" s="17"/>
      <c r="OF11" s="17"/>
      <c r="OG11" s="17"/>
      <c r="OH11" s="17"/>
      <c r="OI11" s="17"/>
      <c r="OJ11" s="17"/>
      <c r="OK11" s="17"/>
      <c r="OL11" s="17"/>
      <c r="OM11" s="17"/>
      <c r="ON11" s="17"/>
      <c r="OO11" s="17"/>
      <c r="OP11" s="17"/>
      <c r="OQ11" s="17"/>
      <c r="OR11" s="17"/>
      <c r="OS11" s="17"/>
      <c r="OT11" s="17"/>
      <c r="OU11" s="40" t="str">
        <f t="shared" si="119"/>
        <v/>
      </c>
      <c r="OV11" s="40" t="str">
        <f t="shared" si="120"/>
        <v/>
      </c>
      <c r="OW11" s="40" t="str">
        <f t="shared" si="121"/>
        <v/>
      </c>
      <c r="OX11" s="40" t="str">
        <f t="shared" si="122"/>
        <v/>
      </c>
      <c r="OY11" s="40" t="str">
        <f t="shared" si="123"/>
        <v/>
      </c>
      <c r="OZ11" s="40" t="str">
        <f t="shared" si="124"/>
        <v/>
      </c>
      <c r="PA11" s="40" t="str">
        <f t="shared" si="125"/>
        <v/>
      </c>
      <c r="PB11" s="40" t="str">
        <f t="shared" si="126"/>
        <v/>
      </c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8"/>
      <c r="PS11" s="18"/>
      <c r="PT11" s="18"/>
      <c r="PU11" s="18"/>
      <c r="PV11" s="18"/>
      <c r="PW11" s="11" t="str">
        <f t="shared" si="127"/>
        <v/>
      </c>
      <c r="PX11" s="11" t="str">
        <f t="shared" si="128"/>
        <v/>
      </c>
      <c r="PY11" s="11" t="str">
        <f t="shared" si="129"/>
        <v/>
      </c>
      <c r="PZ11" s="11" t="str">
        <f t="shared" si="130"/>
        <v/>
      </c>
      <c r="QA11" s="11" t="str">
        <f t="shared" si="131"/>
        <v/>
      </c>
      <c r="QB11" s="11" t="str">
        <f t="shared" si="132"/>
        <v/>
      </c>
      <c r="QC11" s="11" t="str">
        <f t="shared" si="133"/>
        <v/>
      </c>
      <c r="QD11" s="11" t="str">
        <f t="shared" si="134"/>
        <v/>
      </c>
      <c r="QE11" s="22">
        <f t="shared" si="135"/>
        <v>18.850000000000001</v>
      </c>
      <c r="QF11" s="22">
        <f t="shared" si="136"/>
        <v>5.6</v>
      </c>
      <c r="QG11" s="22">
        <f t="shared" si="137"/>
        <v>0.15</v>
      </c>
      <c r="QH11" s="22">
        <f t="shared" si="138"/>
        <v>0</v>
      </c>
      <c r="QI11" s="22">
        <f t="shared" si="139"/>
        <v>18.774999999999999</v>
      </c>
      <c r="QJ11" s="22">
        <f t="shared" si="140"/>
        <v>5.8000000000000007</v>
      </c>
      <c r="QK11" s="22">
        <f t="shared" si="141"/>
        <v>0</v>
      </c>
      <c r="QL11" s="22">
        <f t="shared" si="142"/>
        <v>0</v>
      </c>
      <c r="QM11" s="22">
        <f t="shared" si="143"/>
        <v>19.299999999999997</v>
      </c>
      <c r="QN11" s="22">
        <f t="shared" si="144"/>
        <v>4.3</v>
      </c>
      <c r="QO11" s="22">
        <f t="shared" si="145"/>
        <v>0</v>
      </c>
      <c r="QP11" s="22">
        <f t="shared" si="146"/>
        <v>0</v>
      </c>
      <c r="QQ11" s="22">
        <f t="shared" si="147"/>
        <v>18.899999999999999</v>
      </c>
      <c r="QR11" s="22">
        <f t="shared" si="148"/>
        <v>5.8</v>
      </c>
      <c r="QS11" s="22">
        <f t="shared" si="149"/>
        <v>0</v>
      </c>
      <c r="QT11" s="22">
        <f t="shared" si="150"/>
        <v>0</v>
      </c>
      <c r="QU11" s="22">
        <f t="shared" si="151"/>
        <v>18.925000000000001</v>
      </c>
      <c r="QV11" s="22">
        <f t="shared" si="152"/>
        <v>5.9</v>
      </c>
      <c r="QW11" s="22">
        <f t="shared" si="153"/>
        <v>0.05</v>
      </c>
      <c r="QX11" s="22">
        <f t="shared" si="154"/>
        <v>0</v>
      </c>
      <c r="QY11" s="27" t="s">
        <v>46</v>
      </c>
      <c r="QZ11" s="40">
        <f t="shared" si="155"/>
        <v>11.4</v>
      </c>
      <c r="RA11" s="40">
        <f t="shared" si="156"/>
        <v>48.875000000000007</v>
      </c>
      <c r="RB11" s="40">
        <f t="shared" si="157"/>
        <v>23.599999999999998</v>
      </c>
      <c r="RC11" s="40">
        <f t="shared" si="158"/>
        <v>15.7</v>
      </c>
      <c r="RD11" s="40">
        <f t="shared" si="159"/>
        <v>72.475000000000009</v>
      </c>
      <c r="RE11" s="40">
        <f t="shared" si="160"/>
        <v>11.7</v>
      </c>
      <c r="RF11" s="40">
        <f t="shared" si="161"/>
        <v>49.475000000000001</v>
      </c>
      <c r="RG11" s="40">
        <f t="shared" si="162"/>
        <v>98.350000000000009</v>
      </c>
    </row>
    <row r="12" spans="1:475" x14ac:dyDescent="0.2">
      <c r="A12" s="4">
        <f t="shared" si="164"/>
        <v>9</v>
      </c>
      <c r="B12" s="5" t="s">
        <v>184</v>
      </c>
      <c r="C12" s="4" t="s">
        <v>127</v>
      </c>
      <c r="D12" s="4">
        <v>2005</v>
      </c>
      <c r="E12" s="9">
        <f t="shared" si="163"/>
        <v>170.80001210000484</v>
      </c>
      <c r="F12" s="3" t="str">
        <f t="shared" si="0"/>
        <v>P</v>
      </c>
      <c r="G12" s="3" t="str">
        <f t="shared" si="1"/>
        <v>P</v>
      </c>
      <c r="H12" s="36" t="str">
        <f t="shared" si="2"/>
        <v>National Team</v>
      </c>
      <c r="I12" s="3" t="str">
        <f t="shared" si="3"/>
        <v/>
      </c>
      <c r="J12" s="8">
        <f>IF(COUNT(AQ12,BT12,CW12)&gt;0,LARGE((AQ12,BT12,CW12),1),0)</f>
        <v>48.400000000000006</v>
      </c>
      <c r="K12" s="8" t="str">
        <f t="shared" si="4"/>
        <v>2023 Elite Canada</v>
      </c>
      <c r="L12" s="8">
        <f>IF(COUNT(AQ12,BT12,CW12)&gt;1,LARGE((AQ12,BT12,CW12),2),0)</f>
        <v>48</v>
      </c>
      <c r="M12" s="8" t="str">
        <f t="shared" si="5"/>
        <v>2022 Nationals</v>
      </c>
      <c r="N12" s="8">
        <f>IF(COUNT(AR12,BU12,CX12)&gt;0,LARGE((AR12,BU12,CX12),1),0)</f>
        <v>24.6</v>
      </c>
      <c r="O12" s="8" t="str">
        <f t="shared" si="6"/>
        <v>2023 Elite Canada</v>
      </c>
      <c r="P12" s="8">
        <f t="shared" si="7"/>
        <v>49.800000000000004</v>
      </c>
      <c r="Q12" s="8" t="str">
        <f t="shared" si="8"/>
        <v>2023 Elite Canada</v>
      </c>
      <c r="R12" s="8" t="str">
        <f t="shared" si="9"/>
        <v/>
      </c>
      <c r="S12" s="11" t="str">
        <f t="shared" si="10"/>
        <v/>
      </c>
      <c r="T12" s="8" t="str">
        <f t="shared" si="11"/>
        <v/>
      </c>
      <c r="U12" s="19">
        <v>18.600000000000001</v>
      </c>
      <c r="V12" s="19">
        <v>5.6</v>
      </c>
      <c r="W12" s="19">
        <v>0.8</v>
      </c>
      <c r="X12" s="19">
        <v>0</v>
      </c>
      <c r="Y12" s="19">
        <v>18.8</v>
      </c>
      <c r="Z12" s="19">
        <v>6</v>
      </c>
      <c r="AA12" s="19">
        <v>0.2</v>
      </c>
      <c r="AB12" s="19">
        <v>0</v>
      </c>
      <c r="AC12" s="19">
        <v>18.8</v>
      </c>
      <c r="AD12" s="19">
        <v>4</v>
      </c>
      <c r="AE12" s="19">
        <v>0.6</v>
      </c>
      <c r="AF12" s="19">
        <v>0</v>
      </c>
      <c r="AG12" s="19">
        <v>18.3</v>
      </c>
      <c r="AH12" s="19">
        <v>5.6</v>
      </c>
      <c r="AI12" s="19">
        <v>0.8</v>
      </c>
      <c r="AJ12" s="19">
        <v>0</v>
      </c>
      <c r="AK12" s="19">
        <v>18.600000000000001</v>
      </c>
      <c r="AL12" s="19">
        <v>6</v>
      </c>
      <c r="AM12" s="19">
        <v>0</v>
      </c>
      <c r="AN12" s="19">
        <v>0</v>
      </c>
      <c r="AO12" s="27"/>
      <c r="AP12" s="40">
        <f t="shared" si="12"/>
        <v>11.6</v>
      </c>
      <c r="AQ12" s="40">
        <f t="shared" si="13"/>
        <v>48</v>
      </c>
      <c r="AR12" s="40">
        <f t="shared" si="14"/>
        <v>22.2</v>
      </c>
      <c r="AS12" s="40">
        <f t="shared" si="15"/>
        <v>15.6</v>
      </c>
      <c r="AT12" s="40">
        <f t="shared" si="16"/>
        <v>70.2</v>
      </c>
      <c r="AU12" s="40">
        <f t="shared" si="17"/>
        <v>11.6</v>
      </c>
      <c r="AV12" s="40">
        <f t="shared" si="18"/>
        <v>47.7</v>
      </c>
      <c r="AW12" s="40">
        <f t="shared" si="19"/>
        <v>95.7</v>
      </c>
      <c r="AX12" s="18"/>
      <c r="AY12" s="18"/>
      <c r="AZ12" s="18"/>
      <c r="BA12" s="18"/>
      <c r="BB12" s="18"/>
      <c r="BC12" s="18"/>
      <c r="BD12" s="18"/>
      <c r="BE12" s="18"/>
      <c r="BF12" s="18"/>
      <c r="BG12" s="18"/>
      <c r="BH12" s="18"/>
      <c r="BI12" s="18"/>
      <c r="BJ12" s="18"/>
      <c r="BK12" s="18"/>
      <c r="BL12" s="18"/>
      <c r="BM12" s="18"/>
      <c r="BN12" s="18"/>
      <c r="BO12" s="18"/>
      <c r="BP12" s="18"/>
      <c r="BQ12" s="18"/>
      <c r="BR12" s="28"/>
      <c r="BS12" s="11" t="str">
        <f t="shared" si="20"/>
        <v/>
      </c>
      <c r="BT12" s="11" t="str">
        <f t="shared" si="21"/>
        <v/>
      </c>
      <c r="BU12" s="11" t="str">
        <f t="shared" si="22"/>
        <v/>
      </c>
      <c r="BV12" s="11" t="str">
        <f t="shared" si="23"/>
        <v/>
      </c>
      <c r="BW12" s="11" t="str">
        <f t="shared" si="24"/>
        <v/>
      </c>
      <c r="BX12" s="11" t="str">
        <f t="shared" si="25"/>
        <v/>
      </c>
      <c r="BY12" s="11" t="str">
        <f t="shared" si="26"/>
        <v/>
      </c>
      <c r="BZ12" s="11" t="str">
        <f t="shared" si="27"/>
        <v/>
      </c>
      <c r="CA12" s="19">
        <v>18.600000000000001</v>
      </c>
      <c r="CB12" s="19">
        <v>6</v>
      </c>
      <c r="CC12" s="19">
        <v>0.8</v>
      </c>
      <c r="CD12" s="19">
        <v>0</v>
      </c>
      <c r="CE12" s="19">
        <v>18.8</v>
      </c>
      <c r="CF12" s="19">
        <v>6.4</v>
      </c>
      <c r="CG12" s="19">
        <v>0.6</v>
      </c>
      <c r="CH12" s="19">
        <v>0</v>
      </c>
      <c r="CI12" s="19">
        <v>18.600000000000001</v>
      </c>
      <c r="CJ12" s="19">
        <v>6</v>
      </c>
      <c r="CK12" s="19">
        <v>0</v>
      </c>
      <c r="CL12" s="19">
        <v>0</v>
      </c>
      <c r="CM12" s="19">
        <v>18.7</v>
      </c>
      <c r="CN12" s="19">
        <v>6.8</v>
      </c>
      <c r="CO12" s="19">
        <v>0.6</v>
      </c>
      <c r="CP12" s="19">
        <v>0</v>
      </c>
      <c r="CQ12" s="19">
        <v>18.7</v>
      </c>
      <c r="CR12" s="19">
        <v>6.4</v>
      </c>
      <c r="CS12" s="19">
        <v>0.2</v>
      </c>
      <c r="CT12" s="19">
        <v>0</v>
      </c>
      <c r="CU12" s="27"/>
      <c r="CV12" s="40">
        <f t="shared" si="28"/>
        <v>12.4</v>
      </c>
      <c r="CW12" s="40">
        <f t="shared" si="29"/>
        <v>48.400000000000006</v>
      </c>
      <c r="CX12" s="40">
        <f t="shared" si="30"/>
        <v>24.6</v>
      </c>
      <c r="CY12" s="40">
        <f t="shared" si="31"/>
        <v>18.399999999999999</v>
      </c>
      <c r="CZ12" s="40">
        <f t="shared" si="32"/>
        <v>73</v>
      </c>
      <c r="DA12" s="40">
        <f t="shared" si="33"/>
        <v>13.2</v>
      </c>
      <c r="DB12" s="40">
        <f t="shared" si="34"/>
        <v>49.800000000000004</v>
      </c>
      <c r="DC12" s="40">
        <f t="shared" si="35"/>
        <v>98.200000000000017</v>
      </c>
      <c r="DD12" s="50" t="str">
        <f t="shared" si="36"/>
        <v/>
      </c>
      <c r="DE12" s="50" t="str">
        <f t="shared" si="37"/>
        <v/>
      </c>
      <c r="DF12" s="50" t="str">
        <f t="shared" si="38"/>
        <v/>
      </c>
      <c r="DG12" s="17"/>
      <c r="DH12" s="17"/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17"/>
      <c r="DY12" s="17"/>
      <c r="DZ12" s="17"/>
      <c r="EA12" s="40" t="str">
        <f t="shared" si="39"/>
        <v/>
      </c>
      <c r="EB12" s="40" t="str">
        <f t="shared" si="40"/>
        <v/>
      </c>
      <c r="EC12" s="40" t="str">
        <f t="shared" si="41"/>
        <v/>
      </c>
      <c r="ED12" s="40" t="str">
        <f t="shared" si="42"/>
        <v/>
      </c>
      <c r="EE12" s="40" t="str">
        <f t="shared" si="43"/>
        <v/>
      </c>
      <c r="EF12" s="40" t="str">
        <f t="shared" si="44"/>
        <v/>
      </c>
      <c r="EG12" s="40" t="str">
        <f t="shared" si="45"/>
        <v/>
      </c>
      <c r="EH12" s="40" t="str">
        <f t="shared" si="46"/>
        <v/>
      </c>
      <c r="EI12" s="18"/>
      <c r="EJ12" s="18"/>
      <c r="EK12" s="18"/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8"/>
      <c r="FA12" s="18"/>
      <c r="FB12" s="18"/>
      <c r="FC12" s="11" t="str">
        <f t="shared" si="47"/>
        <v/>
      </c>
      <c r="FD12" s="11" t="str">
        <f t="shared" si="48"/>
        <v/>
      </c>
      <c r="FE12" s="11" t="str">
        <f t="shared" si="49"/>
        <v/>
      </c>
      <c r="FF12" s="11" t="str">
        <f t="shared" si="50"/>
        <v/>
      </c>
      <c r="FG12" s="11" t="str">
        <f t="shared" si="51"/>
        <v/>
      </c>
      <c r="FH12" s="11" t="str">
        <f t="shared" si="52"/>
        <v/>
      </c>
      <c r="FI12" s="11" t="str">
        <f t="shared" si="53"/>
        <v/>
      </c>
      <c r="FJ12" s="11" t="str">
        <f t="shared" si="54"/>
        <v/>
      </c>
      <c r="FK12" s="17"/>
      <c r="FL12" s="17"/>
      <c r="FM12" s="17"/>
      <c r="FN12" s="17"/>
      <c r="FO12" s="17"/>
      <c r="FP12" s="17"/>
      <c r="FQ12" s="17"/>
      <c r="FR12" s="17"/>
      <c r="FS12" s="17"/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40" t="str">
        <f t="shared" si="55"/>
        <v/>
      </c>
      <c r="GF12" s="40" t="str">
        <f t="shared" si="56"/>
        <v/>
      </c>
      <c r="GG12" s="40" t="str">
        <f t="shared" si="57"/>
        <v/>
      </c>
      <c r="GH12" s="40" t="str">
        <f t="shared" si="58"/>
        <v/>
      </c>
      <c r="GI12" s="40" t="str">
        <f t="shared" si="59"/>
        <v/>
      </c>
      <c r="GJ12" s="40" t="str">
        <f t="shared" si="60"/>
        <v/>
      </c>
      <c r="GK12" s="40" t="str">
        <f t="shared" si="61"/>
        <v/>
      </c>
      <c r="GL12" s="40" t="str">
        <f t="shared" si="62"/>
        <v/>
      </c>
      <c r="GM12" s="18"/>
      <c r="GN12" s="18"/>
      <c r="GO12" s="18"/>
      <c r="GP12" s="18"/>
      <c r="GQ12" s="18"/>
      <c r="GR12" s="18"/>
      <c r="GS12" s="18"/>
      <c r="GT12" s="18"/>
      <c r="GU12" s="18"/>
      <c r="GV12" s="18"/>
      <c r="GW12" s="18"/>
      <c r="GX12" s="18"/>
      <c r="GY12" s="18"/>
      <c r="GZ12" s="18"/>
      <c r="HA12" s="18"/>
      <c r="HB12" s="18"/>
      <c r="HC12" s="18"/>
      <c r="HD12" s="18"/>
      <c r="HE12" s="18"/>
      <c r="HF12" s="18"/>
      <c r="HG12" s="11" t="str">
        <f t="shared" si="63"/>
        <v/>
      </c>
      <c r="HH12" s="11" t="str">
        <f t="shared" si="64"/>
        <v/>
      </c>
      <c r="HI12" s="11" t="str">
        <f t="shared" si="65"/>
        <v/>
      </c>
      <c r="HJ12" s="11" t="str">
        <f t="shared" si="66"/>
        <v/>
      </c>
      <c r="HK12" s="11" t="str">
        <f t="shared" si="67"/>
        <v/>
      </c>
      <c r="HL12" s="11" t="str">
        <f t="shared" si="68"/>
        <v/>
      </c>
      <c r="HM12" s="11" t="str">
        <f t="shared" si="69"/>
        <v/>
      </c>
      <c r="HN12" s="11" t="str">
        <f t="shared" si="70"/>
        <v/>
      </c>
      <c r="HO12" s="17"/>
      <c r="HP12" s="17"/>
      <c r="HQ12" s="17"/>
      <c r="HR12" s="17"/>
      <c r="HS12" s="17"/>
      <c r="HT12" s="17"/>
      <c r="HU12" s="17"/>
      <c r="HV12" s="17"/>
      <c r="HW12" s="17"/>
      <c r="HX12" s="17"/>
      <c r="HY12" s="17"/>
      <c r="HZ12" s="17"/>
      <c r="IA12" s="17"/>
      <c r="IB12" s="17"/>
      <c r="IC12" s="17"/>
      <c r="ID12" s="17"/>
      <c r="IE12" s="17"/>
      <c r="IF12" s="17"/>
      <c r="IG12" s="17"/>
      <c r="IH12" s="17"/>
      <c r="II12" s="40" t="str">
        <f t="shared" si="71"/>
        <v/>
      </c>
      <c r="IJ12" s="40" t="str">
        <f t="shared" si="72"/>
        <v/>
      </c>
      <c r="IK12" s="40" t="str">
        <f t="shared" si="73"/>
        <v/>
      </c>
      <c r="IL12" s="40" t="str">
        <f t="shared" si="74"/>
        <v/>
      </c>
      <c r="IM12" s="40" t="str">
        <f t="shared" si="75"/>
        <v/>
      </c>
      <c r="IN12" s="40" t="str">
        <f t="shared" si="76"/>
        <v/>
      </c>
      <c r="IO12" s="40" t="str">
        <f t="shared" si="77"/>
        <v/>
      </c>
      <c r="IP12" s="40" t="str">
        <f t="shared" si="78"/>
        <v/>
      </c>
      <c r="IQ12" s="18"/>
      <c r="IR12" s="18"/>
      <c r="IS12" s="18"/>
      <c r="IT12" s="18"/>
      <c r="IU12" s="18"/>
      <c r="IV12" s="18"/>
      <c r="IW12" s="18"/>
      <c r="IX12" s="18"/>
      <c r="IY12" s="18"/>
      <c r="IZ12" s="18"/>
      <c r="JA12" s="18"/>
      <c r="JB12" s="18"/>
      <c r="JC12" s="18"/>
      <c r="JD12" s="18"/>
      <c r="JE12" s="18"/>
      <c r="JF12" s="18"/>
      <c r="JG12" s="18"/>
      <c r="JH12" s="18"/>
      <c r="JI12" s="18"/>
      <c r="JJ12" s="18"/>
      <c r="JK12" s="11" t="str">
        <f t="shared" si="79"/>
        <v/>
      </c>
      <c r="JL12" s="11" t="str">
        <f t="shared" si="80"/>
        <v/>
      </c>
      <c r="JM12" s="11" t="str">
        <f t="shared" si="81"/>
        <v/>
      </c>
      <c r="JN12" s="11" t="str">
        <f t="shared" si="82"/>
        <v/>
      </c>
      <c r="JO12" s="11" t="str">
        <f t="shared" si="83"/>
        <v/>
      </c>
      <c r="JP12" s="11" t="str">
        <f t="shared" si="84"/>
        <v/>
      </c>
      <c r="JQ12" s="11" t="str">
        <f t="shared" si="85"/>
        <v/>
      </c>
      <c r="JR12" s="11" t="str">
        <f t="shared" si="86"/>
        <v/>
      </c>
      <c r="JS12" s="17"/>
      <c r="JT12" s="17"/>
      <c r="JU12" s="17"/>
      <c r="JV12" s="17"/>
      <c r="JW12" s="17"/>
      <c r="JX12" s="17"/>
      <c r="JY12" s="17"/>
      <c r="JZ12" s="17"/>
      <c r="KA12" s="17"/>
      <c r="KB12" s="17"/>
      <c r="KC12" s="17"/>
      <c r="KD12" s="17"/>
      <c r="KE12" s="17"/>
      <c r="KF12" s="17"/>
      <c r="KG12" s="17"/>
      <c r="KH12" s="17"/>
      <c r="KI12" s="17"/>
      <c r="KJ12" s="17"/>
      <c r="KK12" s="17"/>
      <c r="KL12" s="17"/>
      <c r="KM12" s="40" t="str">
        <f t="shared" si="87"/>
        <v/>
      </c>
      <c r="KN12" s="40" t="str">
        <f t="shared" si="88"/>
        <v/>
      </c>
      <c r="KO12" s="40" t="str">
        <f t="shared" si="89"/>
        <v/>
      </c>
      <c r="KP12" s="40" t="str">
        <f t="shared" si="90"/>
        <v/>
      </c>
      <c r="KQ12" s="40" t="str">
        <f t="shared" si="91"/>
        <v/>
      </c>
      <c r="KR12" s="40" t="str">
        <f t="shared" si="92"/>
        <v/>
      </c>
      <c r="KS12" s="40" t="str">
        <f t="shared" si="93"/>
        <v/>
      </c>
      <c r="KT12" s="40" t="str">
        <f t="shared" si="94"/>
        <v/>
      </c>
      <c r="KU12" s="18"/>
      <c r="KV12" s="18"/>
      <c r="KW12" s="18"/>
      <c r="KX12" s="18"/>
      <c r="KY12" s="18"/>
      <c r="KZ12" s="18"/>
      <c r="LA12" s="18"/>
      <c r="LB12" s="18"/>
      <c r="LC12" s="18"/>
      <c r="LD12" s="18"/>
      <c r="LE12" s="18"/>
      <c r="LF12" s="18"/>
      <c r="LG12" s="18"/>
      <c r="LH12" s="18"/>
      <c r="LI12" s="18"/>
      <c r="LJ12" s="18"/>
      <c r="LK12" s="18"/>
      <c r="LL12" s="18"/>
      <c r="LM12" s="18"/>
      <c r="LN12" s="18"/>
      <c r="LO12" s="11" t="str">
        <f t="shared" si="95"/>
        <v/>
      </c>
      <c r="LP12" s="11" t="str">
        <f t="shared" si="96"/>
        <v/>
      </c>
      <c r="LQ12" s="11" t="str">
        <f t="shared" si="97"/>
        <v/>
      </c>
      <c r="LR12" s="11" t="str">
        <f t="shared" si="98"/>
        <v/>
      </c>
      <c r="LS12" s="11" t="str">
        <f t="shared" si="99"/>
        <v/>
      </c>
      <c r="LT12" s="11" t="str">
        <f t="shared" si="100"/>
        <v/>
      </c>
      <c r="LU12" s="11" t="str">
        <f t="shared" si="101"/>
        <v/>
      </c>
      <c r="LV12" s="11" t="str">
        <f t="shared" si="102"/>
        <v/>
      </c>
      <c r="LW12" s="17"/>
      <c r="LX12" s="17"/>
      <c r="LY12" s="17"/>
      <c r="LZ12" s="17"/>
      <c r="MA12" s="17"/>
      <c r="MB12" s="17"/>
      <c r="MC12" s="17"/>
      <c r="MD12" s="17"/>
      <c r="ME12" s="17"/>
      <c r="MF12" s="17"/>
      <c r="MG12" s="17"/>
      <c r="MH12" s="17"/>
      <c r="MI12" s="17"/>
      <c r="MJ12" s="17"/>
      <c r="MK12" s="17"/>
      <c r="ML12" s="17"/>
      <c r="MM12" s="17"/>
      <c r="MN12" s="17"/>
      <c r="MO12" s="17"/>
      <c r="MP12" s="17"/>
      <c r="MQ12" s="40" t="str">
        <f t="shared" si="103"/>
        <v/>
      </c>
      <c r="MR12" s="40" t="str">
        <f t="shared" si="104"/>
        <v/>
      </c>
      <c r="MS12" s="40" t="str">
        <f t="shared" si="105"/>
        <v/>
      </c>
      <c r="MT12" s="40" t="str">
        <f t="shared" si="106"/>
        <v/>
      </c>
      <c r="MU12" s="40" t="str">
        <f t="shared" si="107"/>
        <v/>
      </c>
      <c r="MV12" s="40" t="str">
        <f t="shared" si="108"/>
        <v/>
      </c>
      <c r="MW12" s="40" t="str">
        <f t="shared" si="109"/>
        <v/>
      </c>
      <c r="MX12" s="40" t="str">
        <f t="shared" si="110"/>
        <v/>
      </c>
      <c r="MY12" s="18"/>
      <c r="MZ12" s="18"/>
      <c r="NA12" s="18"/>
      <c r="NB12" s="18"/>
      <c r="NC12" s="18"/>
      <c r="ND12" s="18"/>
      <c r="NE12" s="18"/>
      <c r="NF12" s="18"/>
      <c r="NG12" s="18"/>
      <c r="NH12" s="18"/>
      <c r="NI12" s="18"/>
      <c r="NJ12" s="18"/>
      <c r="NK12" s="18"/>
      <c r="NL12" s="18"/>
      <c r="NM12" s="18"/>
      <c r="NN12" s="18"/>
      <c r="NO12" s="18"/>
      <c r="NP12" s="18"/>
      <c r="NQ12" s="18"/>
      <c r="NR12" s="18"/>
      <c r="NS12" s="11" t="str">
        <f t="shared" si="111"/>
        <v/>
      </c>
      <c r="NT12" s="11" t="str">
        <f t="shared" si="112"/>
        <v/>
      </c>
      <c r="NU12" s="11" t="str">
        <f t="shared" si="113"/>
        <v/>
      </c>
      <c r="NV12" s="11" t="str">
        <f t="shared" si="114"/>
        <v/>
      </c>
      <c r="NW12" s="11" t="str">
        <f t="shared" si="115"/>
        <v/>
      </c>
      <c r="NX12" s="11" t="str">
        <f t="shared" si="116"/>
        <v/>
      </c>
      <c r="NY12" s="11" t="str">
        <f t="shared" si="117"/>
        <v/>
      </c>
      <c r="NZ12" s="11" t="str">
        <f t="shared" si="118"/>
        <v/>
      </c>
      <c r="OA12" s="17"/>
      <c r="OB12" s="17"/>
      <c r="OC12" s="17"/>
      <c r="OD12" s="17"/>
      <c r="OE12" s="17"/>
      <c r="OF12" s="17"/>
      <c r="OG12" s="17"/>
      <c r="OH12" s="17"/>
      <c r="OI12" s="17"/>
      <c r="OJ12" s="17"/>
      <c r="OK12" s="17"/>
      <c r="OL12" s="17"/>
      <c r="OM12" s="17"/>
      <c r="ON12" s="17"/>
      <c r="OO12" s="17"/>
      <c r="OP12" s="17"/>
      <c r="OQ12" s="17"/>
      <c r="OR12" s="17"/>
      <c r="OS12" s="17"/>
      <c r="OT12" s="17"/>
      <c r="OU12" s="40" t="str">
        <f t="shared" si="119"/>
        <v/>
      </c>
      <c r="OV12" s="40" t="str">
        <f t="shared" si="120"/>
        <v/>
      </c>
      <c r="OW12" s="40" t="str">
        <f t="shared" si="121"/>
        <v/>
      </c>
      <c r="OX12" s="40" t="str">
        <f t="shared" si="122"/>
        <v/>
      </c>
      <c r="OY12" s="40" t="str">
        <f t="shared" si="123"/>
        <v/>
      </c>
      <c r="OZ12" s="40" t="str">
        <f t="shared" si="124"/>
        <v/>
      </c>
      <c r="PA12" s="40" t="str">
        <f t="shared" si="125"/>
        <v/>
      </c>
      <c r="PB12" s="40" t="str">
        <f t="shared" si="126"/>
        <v/>
      </c>
      <c r="PC12" s="18"/>
      <c r="PD12" s="18"/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8"/>
      <c r="PS12" s="18"/>
      <c r="PT12" s="18"/>
      <c r="PU12" s="18"/>
      <c r="PV12" s="18"/>
      <c r="PW12" s="11" t="str">
        <f t="shared" si="127"/>
        <v/>
      </c>
      <c r="PX12" s="11" t="str">
        <f t="shared" si="128"/>
        <v/>
      </c>
      <c r="PY12" s="11" t="str">
        <f t="shared" si="129"/>
        <v/>
      </c>
      <c r="PZ12" s="11" t="str">
        <f t="shared" si="130"/>
        <v/>
      </c>
      <c r="QA12" s="11" t="str">
        <f t="shared" si="131"/>
        <v/>
      </c>
      <c r="QB12" s="11" t="str">
        <f t="shared" si="132"/>
        <v/>
      </c>
      <c r="QC12" s="11" t="str">
        <f t="shared" si="133"/>
        <v/>
      </c>
      <c r="QD12" s="11" t="str">
        <f t="shared" si="134"/>
        <v/>
      </c>
      <c r="QE12" s="22">
        <f t="shared" si="135"/>
        <v>9.3000000000000007</v>
      </c>
      <c r="QF12" s="22">
        <f t="shared" si="136"/>
        <v>3</v>
      </c>
      <c r="QG12" s="22">
        <f t="shared" si="137"/>
        <v>0.4</v>
      </c>
      <c r="QH12" s="22">
        <f t="shared" si="138"/>
        <v>0</v>
      </c>
      <c r="QI12" s="22">
        <f t="shared" si="139"/>
        <v>9.4</v>
      </c>
      <c r="QJ12" s="22">
        <f t="shared" si="140"/>
        <v>3.2</v>
      </c>
      <c r="QK12" s="22">
        <f t="shared" si="141"/>
        <v>0.3</v>
      </c>
      <c r="QL12" s="22">
        <f t="shared" si="142"/>
        <v>0</v>
      </c>
      <c r="QM12" s="22">
        <f t="shared" si="143"/>
        <v>9.3000000000000007</v>
      </c>
      <c r="QN12" s="22">
        <f t="shared" si="144"/>
        <v>3</v>
      </c>
      <c r="QO12" s="22">
        <f t="shared" si="145"/>
        <v>0</v>
      </c>
      <c r="QP12" s="22">
        <f t="shared" si="146"/>
        <v>0</v>
      </c>
      <c r="QQ12" s="22">
        <f t="shared" si="147"/>
        <v>9.35</v>
      </c>
      <c r="QR12" s="22">
        <f t="shared" si="148"/>
        <v>3.4</v>
      </c>
      <c r="QS12" s="22">
        <f t="shared" si="149"/>
        <v>0.3</v>
      </c>
      <c r="QT12" s="22">
        <f t="shared" si="150"/>
        <v>0</v>
      </c>
      <c r="QU12" s="22">
        <f t="shared" si="151"/>
        <v>9.35</v>
      </c>
      <c r="QV12" s="22">
        <f t="shared" si="152"/>
        <v>3.2</v>
      </c>
      <c r="QW12" s="22">
        <f t="shared" si="153"/>
        <v>0.1</v>
      </c>
      <c r="QX12" s="22">
        <f t="shared" si="154"/>
        <v>0</v>
      </c>
      <c r="QY12" s="27" t="s">
        <v>46</v>
      </c>
      <c r="QZ12" s="40">
        <f t="shared" si="155"/>
        <v>6.2</v>
      </c>
      <c r="RA12" s="40">
        <f t="shared" si="156"/>
        <v>24.200000000000003</v>
      </c>
      <c r="RB12" s="40">
        <f t="shared" si="157"/>
        <v>12.3</v>
      </c>
      <c r="RC12" s="40">
        <f t="shared" si="158"/>
        <v>9.1999999999999993</v>
      </c>
      <c r="RD12" s="40">
        <f t="shared" si="159"/>
        <v>36.5</v>
      </c>
      <c r="RE12" s="40">
        <f t="shared" si="160"/>
        <v>6.6</v>
      </c>
      <c r="RF12" s="40">
        <f t="shared" si="161"/>
        <v>24.900000000000002</v>
      </c>
      <c r="RG12" s="40">
        <f t="shared" si="162"/>
        <v>49.100000000000009</v>
      </c>
    </row>
    <row r="13" spans="1:475" x14ac:dyDescent="0.2">
      <c r="A13" s="4">
        <f t="shared" si="164"/>
        <v>10</v>
      </c>
      <c r="B13" s="5" t="s">
        <v>105</v>
      </c>
      <c r="C13" s="4" t="s">
        <v>5</v>
      </c>
      <c r="D13" s="4">
        <v>2003</v>
      </c>
      <c r="E13" s="9">
        <f t="shared" si="163"/>
        <v>167.2000122700052</v>
      </c>
      <c r="F13" s="3" t="str">
        <f t="shared" si="0"/>
        <v>P</v>
      </c>
      <c r="G13" s="3" t="str">
        <f t="shared" si="1"/>
        <v>P</v>
      </c>
      <c r="H13" s="36" t="str">
        <f t="shared" si="2"/>
        <v>National Team</v>
      </c>
      <c r="I13" s="3" t="str">
        <f t="shared" si="3"/>
        <v/>
      </c>
      <c r="J13" s="8">
        <f>IF(COUNT(AQ13,BT13,CW13)&gt;0,LARGE((AQ13,BT13,CW13),1),0)</f>
        <v>52.100000000000009</v>
      </c>
      <c r="K13" s="8" t="str">
        <f t="shared" si="4"/>
        <v>2022 3rd Domestic Trial</v>
      </c>
      <c r="L13" s="8">
        <f>IF(COUNT(AQ13,BT13,CW13)&gt;1,LARGE((AQ13,BT13,CW13),2),0)</f>
        <v>45.499999999999993</v>
      </c>
      <c r="M13" s="8" t="str">
        <f t="shared" si="5"/>
        <v>2023 Elite Canada</v>
      </c>
      <c r="N13" s="8">
        <f>IF(COUNT(AR13,BU13,CX13)&gt;0,LARGE((AR13,BU13,CX13),1),0)</f>
        <v>25.099999999999998</v>
      </c>
      <c r="O13" s="8" t="str">
        <f t="shared" si="6"/>
        <v>2022 Nationals</v>
      </c>
      <c r="P13" s="8">
        <f t="shared" si="7"/>
        <v>43.2</v>
      </c>
      <c r="Q13" s="8" t="str">
        <f t="shared" si="8"/>
        <v>2022 3rd Domestic Trial</v>
      </c>
      <c r="R13" s="8">
        <f t="shared" si="9"/>
        <v>1.3000000000000043</v>
      </c>
      <c r="S13" s="11" t="str">
        <f t="shared" si="10"/>
        <v>(Q1)</v>
      </c>
      <c r="T13" s="8" t="str">
        <f t="shared" si="11"/>
        <v>2022 World Games Technical Trial #2 (May 15)</v>
      </c>
      <c r="U13" s="19">
        <v>17.8</v>
      </c>
      <c r="V13" s="19">
        <v>4.8</v>
      </c>
      <c r="W13" s="19">
        <v>1.7999999999999998</v>
      </c>
      <c r="X13" s="19">
        <v>0</v>
      </c>
      <c r="Y13" s="19">
        <v>16.600000000000001</v>
      </c>
      <c r="Z13" s="19">
        <v>7.7</v>
      </c>
      <c r="AA13" s="19">
        <v>0.8</v>
      </c>
      <c r="AB13" s="19">
        <v>0</v>
      </c>
      <c r="AC13" s="19">
        <v>18.2</v>
      </c>
      <c r="AD13" s="19">
        <v>7.7</v>
      </c>
      <c r="AE13" s="19">
        <v>0.8</v>
      </c>
      <c r="AF13" s="19">
        <v>0</v>
      </c>
      <c r="AG13" s="19"/>
      <c r="AH13" s="19"/>
      <c r="AI13" s="19"/>
      <c r="AJ13" s="19"/>
      <c r="AK13" s="19"/>
      <c r="AL13" s="19"/>
      <c r="AM13" s="19"/>
      <c r="AN13" s="19"/>
      <c r="AO13" s="27"/>
      <c r="AP13" s="40">
        <f t="shared" si="12"/>
        <v>12.5</v>
      </c>
      <c r="AQ13" s="40">
        <f t="shared" si="13"/>
        <v>44.300000000000011</v>
      </c>
      <c r="AR13" s="40">
        <f t="shared" si="14"/>
        <v>25.099999999999998</v>
      </c>
      <c r="AS13" s="40">
        <f t="shared" si="15"/>
        <v>20.2</v>
      </c>
      <c r="AT13" s="40">
        <f t="shared" si="16"/>
        <v>69.400000000000006</v>
      </c>
      <c r="AU13" s="40" t="str">
        <f t="shared" si="17"/>
        <v/>
      </c>
      <c r="AV13" s="40" t="str">
        <f t="shared" si="18"/>
        <v/>
      </c>
      <c r="AW13" s="40">
        <f t="shared" si="19"/>
        <v>44.300000000000011</v>
      </c>
      <c r="AX13" s="18">
        <v>18.600000000000001</v>
      </c>
      <c r="AY13" s="18">
        <v>8.1</v>
      </c>
      <c r="AZ13" s="18">
        <v>0.6</v>
      </c>
      <c r="BA13" s="18">
        <v>0.3</v>
      </c>
      <c r="BB13" s="18">
        <v>18.600000000000001</v>
      </c>
      <c r="BC13" s="18">
        <v>7.7</v>
      </c>
      <c r="BD13" s="18">
        <v>0.6</v>
      </c>
      <c r="BE13" s="18">
        <v>0</v>
      </c>
      <c r="BF13" s="18">
        <v>17.399999999999999</v>
      </c>
      <c r="BG13" s="18">
        <v>2.4</v>
      </c>
      <c r="BH13" s="18">
        <v>0</v>
      </c>
      <c r="BI13" s="18">
        <v>0</v>
      </c>
      <c r="BJ13" s="18">
        <v>18.399999999999999</v>
      </c>
      <c r="BK13" s="18">
        <v>5.2</v>
      </c>
      <c r="BL13" s="18">
        <v>1</v>
      </c>
      <c r="BM13" s="18">
        <v>0</v>
      </c>
      <c r="BN13" s="18">
        <v>17.399999999999999</v>
      </c>
      <c r="BO13" s="18">
        <v>3.2</v>
      </c>
      <c r="BP13" s="18">
        <v>0</v>
      </c>
      <c r="BQ13" s="18">
        <v>0</v>
      </c>
      <c r="BR13" s="28"/>
      <c r="BS13" s="11">
        <f t="shared" si="20"/>
        <v>15.8</v>
      </c>
      <c r="BT13" s="11">
        <f t="shared" si="21"/>
        <v>52.100000000000009</v>
      </c>
      <c r="BU13" s="11">
        <f t="shared" si="22"/>
        <v>19.799999999999997</v>
      </c>
      <c r="BV13" s="11">
        <f t="shared" si="23"/>
        <v>18.2</v>
      </c>
      <c r="BW13" s="11">
        <f t="shared" si="24"/>
        <v>71.900000000000006</v>
      </c>
      <c r="BX13" s="11">
        <f t="shared" si="25"/>
        <v>8.4</v>
      </c>
      <c r="BY13" s="11">
        <f t="shared" si="26"/>
        <v>43.2</v>
      </c>
      <c r="BZ13" s="11">
        <f t="shared" si="27"/>
        <v>95.300000000000011</v>
      </c>
      <c r="CA13" s="19">
        <v>17.399999999999999</v>
      </c>
      <c r="CB13" s="19">
        <v>2.4</v>
      </c>
      <c r="CC13" s="19">
        <v>0</v>
      </c>
      <c r="CD13" s="19">
        <v>0</v>
      </c>
      <c r="CE13" s="19">
        <v>18.399999999999999</v>
      </c>
      <c r="CF13" s="19">
        <v>7.3</v>
      </c>
      <c r="CG13" s="19">
        <v>0</v>
      </c>
      <c r="CH13" s="19">
        <v>0</v>
      </c>
      <c r="CI13" s="19">
        <v>17.399999999999999</v>
      </c>
      <c r="CJ13" s="19">
        <v>4.4000000000000004</v>
      </c>
      <c r="CK13" s="19">
        <v>2</v>
      </c>
      <c r="CL13" s="19">
        <v>0</v>
      </c>
      <c r="CM13" s="19"/>
      <c r="CN13" s="19"/>
      <c r="CO13" s="19"/>
      <c r="CP13" s="19"/>
      <c r="CQ13" s="19"/>
      <c r="CR13" s="19"/>
      <c r="CS13" s="19"/>
      <c r="CT13" s="19"/>
      <c r="CU13" s="27"/>
      <c r="CV13" s="40">
        <f t="shared" si="28"/>
        <v>9.6999999999999993</v>
      </c>
      <c r="CW13" s="40">
        <f t="shared" si="29"/>
        <v>45.499999999999993</v>
      </c>
      <c r="CX13" s="40">
        <f t="shared" si="30"/>
        <v>19.799999999999997</v>
      </c>
      <c r="CY13" s="40">
        <f t="shared" si="31"/>
        <v>14.1</v>
      </c>
      <c r="CZ13" s="40">
        <f t="shared" si="32"/>
        <v>65.299999999999983</v>
      </c>
      <c r="DA13" s="40" t="str">
        <f t="shared" si="33"/>
        <v/>
      </c>
      <c r="DB13" s="40" t="str">
        <f t="shared" si="34"/>
        <v/>
      </c>
      <c r="DC13" s="40">
        <f t="shared" si="35"/>
        <v>45.499999999999993</v>
      </c>
      <c r="DD13" s="50">
        <f t="shared" si="36"/>
        <v>1.3000000000000043</v>
      </c>
      <c r="DE13" s="50" t="str">
        <f t="shared" si="37"/>
        <v/>
      </c>
      <c r="DF13" s="50">
        <f t="shared" si="38"/>
        <v>0.59999999999999432</v>
      </c>
      <c r="DG13" s="17">
        <v>18.7</v>
      </c>
      <c r="DH13" s="17">
        <v>7.7</v>
      </c>
      <c r="DI13" s="17">
        <v>0</v>
      </c>
      <c r="DJ13" s="17">
        <v>0</v>
      </c>
      <c r="DK13" s="17">
        <v>17.600000000000001</v>
      </c>
      <c r="DL13" s="17">
        <v>2.8</v>
      </c>
      <c r="DM13" s="17">
        <v>0</v>
      </c>
      <c r="DN13" s="17">
        <v>0</v>
      </c>
      <c r="DO13" s="17"/>
      <c r="DP13" s="17"/>
      <c r="DQ13" s="17"/>
      <c r="DR13" s="17"/>
      <c r="DS13" s="17">
        <v>16.600000000000001</v>
      </c>
      <c r="DT13" s="17">
        <v>7.7</v>
      </c>
      <c r="DU13" s="17">
        <v>0.8</v>
      </c>
      <c r="DV13" s="17">
        <v>0</v>
      </c>
      <c r="DW13" s="17">
        <v>17.5</v>
      </c>
      <c r="DX13" s="17">
        <v>2.8</v>
      </c>
      <c r="DY13" s="17">
        <v>0</v>
      </c>
      <c r="DZ13" s="17">
        <v>0</v>
      </c>
      <c r="EA13" s="40">
        <f t="shared" si="39"/>
        <v>10.5</v>
      </c>
      <c r="EB13" s="40">
        <f t="shared" si="40"/>
        <v>46.8</v>
      </c>
      <c r="EC13" s="40" t="str">
        <f t="shared" si="41"/>
        <v/>
      </c>
      <c r="ED13" s="40">
        <f t="shared" si="42"/>
        <v>10.5</v>
      </c>
      <c r="EE13" s="40">
        <f t="shared" si="43"/>
        <v>46.8</v>
      </c>
      <c r="EF13" s="40">
        <f t="shared" si="44"/>
        <v>10.5</v>
      </c>
      <c r="EG13" s="40">
        <f t="shared" si="45"/>
        <v>43.8</v>
      </c>
      <c r="EH13" s="40">
        <f t="shared" si="46"/>
        <v>90.6</v>
      </c>
      <c r="EI13" s="18"/>
      <c r="EJ13" s="18"/>
      <c r="EK13" s="18"/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8"/>
      <c r="FA13" s="18"/>
      <c r="FB13" s="18"/>
      <c r="FC13" s="11" t="str">
        <f t="shared" si="47"/>
        <v/>
      </c>
      <c r="FD13" s="11" t="str">
        <f t="shared" si="48"/>
        <v/>
      </c>
      <c r="FE13" s="11" t="str">
        <f t="shared" si="49"/>
        <v/>
      </c>
      <c r="FF13" s="11" t="str">
        <f t="shared" si="50"/>
        <v/>
      </c>
      <c r="FG13" s="11" t="str">
        <f t="shared" si="51"/>
        <v/>
      </c>
      <c r="FH13" s="11" t="str">
        <f t="shared" si="52"/>
        <v/>
      </c>
      <c r="FI13" s="11" t="str">
        <f t="shared" si="53"/>
        <v/>
      </c>
      <c r="FJ13" s="11" t="str">
        <f t="shared" si="54"/>
        <v/>
      </c>
      <c r="FK13" s="17"/>
      <c r="FL13" s="17"/>
      <c r="FM13" s="17"/>
      <c r="FN13" s="17"/>
      <c r="FO13" s="17"/>
      <c r="FP13" s="17"/>
      <c r="FQ13" s="17"/>
      <c r="FR13" s="17"/>
      <c r="FS13" s="17"/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40" t="str">
        <f t="shared" si="55"/>
        <v/>
      </c>
      <c r="GF13" s="40" t="str">
        <f t="shared" si="56"/>
        <v/>
      </c>
      <c r="GG13" s="40" t="str">
        <f t="shared" si="57"/>
        <v/>
      </c>
      <c r="GH13" s="40" t="str">
        <f t="shared" si="58"/>
        <v/>
      </c>
      <c r="GI13" s="40" t="str">
        <f t="shared" si="59"/>
        <v/>
      </c>
      <c r="GJ13" s="40" t="str">
        <f t="shared" si="60"/>
        <v/>
      </c>
      <c r="GK13" s="40" t="str">
        <f t="shared" si="61"/>
        <v/>
      </c>
      <c r="GL13" s="40" t="str">
        <f t="shared" si="62"/>
        <v/>
      </c>
      <c r="GM13" s="18"/>
      <c r="GN13" s="18"/>
      <c r="GO13" s="18"/>
      <c r="GP13" s="18"/>
      <c r="GQ13" s="18"/>
      <c r="GR13" s="18"/>
      <c r="GS13" s="18"/>
      <c r="GT13" s="18"/>
      <c r="GU13" s="18"/>
      <c r="GV13" s="18"/>
      <c r="GW13" s="18"/>
      <c r="GX13" s="18"/>
      <c r="GY13" s="18"/>
      <c r="GZ13" s="18"/>
      <c r="HA13" s="18"/>
      <c r="HB13" s="18"/>
      <c r="HC13" s="18"/>
      <c r="HD13" s="18"/>
      <c r="HE13" s="18"/>
      <c r="HF13" s="18"/>
      <c r="HG13" s="11" t="str">
        <f t="shared" si="63"/>
        <v/>
      </c>
      <c r="HH13" s="11" t="str">
        <f t="shared" si="64"/>
        <v/>
      </c>
      <c r="HI13" s="11" t="str">
        <f t="shared" si="65"/>
        <v/>
      </c>
      <c r="HJ13" s="11" t="str">
        <f t="shared" si="66"/>
        <v/>
      </c>
      <c r="HK13" s="11" t="str">
        <f t="shared" si="67"/>
        <v/>
      </c>
      <c r="HL13" s="11" t="str">
        <f t="shared" si="68"/>
        <v/>
      </c>
      <c r="HM13" s="11" t="str">
        <f t="shared" si="69"/>
        <v/>
      </c>
      <c r="HN13" s="11" t="str">
        <f t="shared" si="70"/>
        <v/>
      </c>
      <c r="HO13" s="17"/>
      <c r="HP13" s="17"/>
      <c r="HQ13" s="17"/>
      <c r="HR13" s="17"/>
      <c r="HS13" s="17"/>
      <c r="HT13" s="17"/>
      <c r="HU13" s="17"/>
      <c r="HV13" s="17"/>
      <c r="HW13" s="17"/>
      <c r="HX13" s="17"/>
      <c r="HY13" s="17"/>
      <c r="HZ13" s="17"/>
      <c r="IA13" s="17"/>
      <c r="IB13" s="17"/>
      <c r="IC13" s="17"/>
      <c r="ID13" s="17"/>
      <c r="IE13" s="17"/>
      <c r="IF13" s="17"/>
      <c r="IG13" s="17"/>
      <c r="IH13" s="17"/>
      <c r="II13" s="40" t="str">
        <f t="shared" si="71"/>
        <v/>
      </c>
      <c r="IJ13" s="40" t="str">
        <f t="shared" si="72"/>
        <v/>
      </c>
      <c r="IK13" s="40" t="str">
        <f t="shared" si="73"/>
        <v/>
      </c>
      <c r="IL13" s="40" t="str">
        <f t="shared" si="74"/>
        <v/>
      </c>
      <c r="IM13" s="40" t="str">
        <f t="shared" si="75"/>
        <v/>
      </c>
      <c r="IN13" s="40" t="str">
        <f t="shared" si="76"/>
        <v/>
      </c>
      <c r="IO13" s="40" t="str">
        <f t="shared" si="77"/>
        <v/>
      </c>
      <c r="IP13" s="40" t="str">
        <f t="shared" si="78"/>
        <v/>
      </c>
      <c r="IQ13" s="18"/>
      <c r="IR13" s="18"/>
      <c r="IS13" s="18"/>
      <c r="IT13" s="18"/>
      <c r="IU13" s="18"/>
      <c r="IV13" s="18"/>
      <c r="IW13" s="18"/>
      <c r="IX13" s="18"/>
      <c r="IY13" s="18"/>
      <c r="IZ13" s="18"/>
      <c r="JA13" s="18"/>
      <c r="JB13" s="18"/>
      <c r="JC13" s="18"/>
      <c r="JD13" s="18"/>
      <c r="JE13" s="18"/>
      <c r="JF13" s="18"/>
      <c r="JG13" s="18"/>
      <c r="JH13" s="18"/>
      <c r="JI13" s="18"/>
      <c r="JJ13" s="18"/>
      <c r="JK13" s="11" t="str">
        <f t="shared" si="79"/>
        <v/>
      </c>
      <c r="JL13" s="11" t="str">
        <f t="shared" si="80"/>
        <v/>
      </c>
      <c r="JM13" s="11" t="str">
        <f t="shared" si="81"/>
        <v/>
      </c>
      <c r="JN13" s="11" t="str">
        <f t="shared" si="82"/>
        <v/>
      </c>
      <c r="JO13" s="11" t="str">
        <f t="shared" si="83"/>
        <v/>
      </c>
      <c r="JP13" s="11" t="str">
        <f t="shared" si="84"/>
        <v/>
      </c>
      <c r="JQ13" s="11" t="str">
        <f t="shared" si="85"/>
        <v/>
      </c>
      <c r="JR13" s="11" t="str">
        <f t="shared" si="86"/>
        <v/>
      </c>
      <c r="JS13" s="17"/>
      <c r="JT13" s="17"/>
      <c r="JU13" s="17"/>
      <c r="JV13" s="17"/>
      <c r="JW13" s="17"/>
      <c r="JX13" s="17"/>
      <c r="JY13" s="17"/>
      <c r="JZ13" s="17"/>
      <c r="KA13" s="17"/>
      <c r="KB13" s="17"/>
      <c r="KC13" s="17"/>
      <c r="KD13" s="17"/>
      <c r="KE13" s="17"/>
      <c r="KF13" s="17"/>
      <c r="KG13" s="17"/>
      <c r="KH13" s="17"/>
      <c r="KI13" s="17"/>
      <c r="KJ13" s="17"/>
      <c r="KK13" s="17"/>
      <c r="KL13" s="17"/>
      <c r="KM13" s="40" t="str">
        <f t="shared" si="87"/>
        <v/>
      </c>
      <c r="KN13" s="40" t="str">
        <f t="shared" si="88"/>
        <v/>
      </c>
      <c r="KO13" s="40" t="str">
        <f t="shared" si="89"/>
        <v/>
      </c>
      <c r="KP13" s="40" t="str">
        <f t="shared" si="90"/>
        <v/>
      </c>
      <c r="KQ13" s="40" t="str">
        <f t="shared" si="91"/>
        <v/>
      </c>
      <c r="KR13" s="40" t="str">
        <f t="shared" si="92"/>
        <v/>
      </c>
      <c r="KS13" s="40" t="str">
        <f t="shared" si="93"/>
        <v/>
      </c>
      <c r="KT13" s="40" t="str">
        <f t="shared" si="94"/>
        <v/>
      </c>
      <c r="KU13" s="18"/>
      <c r="KV13" s="18"/>
      <c r="KW13" s="18"/>
      <c r="KX13" s="18"/>
      <c r="KY13" s="18"/>
      <c r="KZ13" s="18"/>
      <c r="LA13" s="18"/>
      <c r="LB13" s="18"/>
      <c r="LC13" s="18"/>
      <c r="LD13" s="18"/>
      <c r="LE13" s="18"/>
      <c r="LF13" s="18"/>
      <c r="LG13" s="18"/>
      <c r="LH13" s="18"/>
      <c r="LI13" s="18"/>
      <c r="LJ13" s="18"/>
      <c r="LK13" s="18"/>
      <c r="LL13" s="18"/>
      <c r="LM13" s="18"/>
      <c r="LN13" s="18"/>
      <c r="LO13" s="11" t="str">
        <f t="shared" si="95"/>
        <v/>
      </c>
      <c r="LP13" s="11" t="str">
        <f t="shared" si="96"/>
        <v/>
      </c>
      <c r="LQ13" s="11" t="str">
        <f t="shared" si="97"/>
        <v/>
      </c>
      <c r="LR13" s="11" t="str">
        <f t="shared" si="98"/>
        <v/>
      </c>
      <c r="LS13" s="11" t="str">
        <f t="shared" si="99"/>
        <v/>
      </c>
      <c r="LT13" s="11" t="str">
        <f t="shared" si="100"/>
        <v/>
      </c>
      <c r="LU13" s="11" t="str">
        <f t="shared" si="101"/>
        <v/>
      </c>
      <c r="LV13" s="11" t="str">
        <f t="shared" si="102"/>
        <v/>
      </c>
      <c r="LW13" s="17"/>
      <c r="LX13" s="17"/>
      <c r="LY13" s="17"/>
      <c r="LZ13" s="17"/>
      <c r="MA13" s="17"/>
      <c r="MB13" s="17"/>
      <c r="MC13" s="17"/>
      <c r="MD13" s="17"/>
      <c r="ME13" s="17"/>
      <c r="MF13" s="17"/>
      <c r="MG13" s="17"/>
      <c r="MH13" s="17"/>
      <c r="MI13" s="17"/>
      <c r="MJ13" s="17"/>
      <c r="MK13" s="17"/>
      <c r="ML13" s="17"/>
      <c r="MM13" s="17"/>
      <c r="MN13" s="17"/>
      <c r="MO13" s="17"/>
      <c r="MP13" s="17"/>
      <c r="MQ13" s="40" t="str">
        <f t="shared" si="103"/>
        <v/>
      </c>
      <c r="MR13" s="40" t="str">
        <f t="shared" si="104"/>
        <v/>
      </c>
      <c r="MS13" s="40" t="str">
        <f t="shared" si="105"/>
        <v/>
      </c>
      <c r="MT13" s="40" t="str">
        <f t="shared" si="106"/>
        <v/>
      </c>
      <c r="MU13" s="40" t="str">
        <f t="shared" si="107"/>
        <v/>
      </c>
      <c r="MV13" s="40" t="str">
        <f t="shared" si="108"/>
        <v/>
      </c>
      <c r="MW13" s="40" t="str">
        <f t="shared" si="109"/>
        <v/>
      </c>
      <c r="MX13" s="40" t="str">
        <f t="shared" si="110"/>
        <v/>
      </c>
      <c r="MY13" s="18"/>
      <c r="MZ13" s="18"/>
      <c r="NA13" s="18"/>
      <c r="NB13" s="18"/>
      <c r="NC13" s="18"/>
      <c r="ND13" s="18"/>
      <c r="NE13" s="18"/>
      <c r="NF13" s="18"/>
      <c r="NG13" s="18"/>
      <c r="NH13" s="18"/>
      <c r="NI13" s="18"/>
      <c r="NJ13" s="18"/>
      <c r="NK13" s="18"/>
      <c r="NL13" s="18"/>
      <c r="NM13" s="18"/>
      <c r="NN13" s="18"/>
      <c r="NO13" s="18"/>
      <c r="NP13" s="18"/>
      <c r="NQ13" s="18"/>
      <c r="NR13" s="18"/>
      <c r="NS13" s="11" t="str">
        <f t="shared" si="111"/>
        <v/>
      </c>
      <c r="NT13" s="11" t="str">
        <f t="shared" si="112"/>
        <v/>
      </c>
      <c r="NU13" s="11" t="str">
        <f t="shared" si="113"/>
        <v/>
      </c>
      <c r="NV13" s="11" t="str">
        <f t="shared" si="114"/>
        <v/>
      </c>
      <c r="NW13" s="11" t="str">
        <f t="shared" si="115"/>
        <v/>
      </c>
      <c r="NX13" s="11" t="str">
        <f t="shared" si="116"/>
        <v/>
      </c>
      <c r="NY13" s="11" t="str">
        <f t="shared" si="117"/>
        <v/>
      </c>
      <c r="NZ13" s="11" t="str">
        <f t="shared" si="118"/>
        <v/>
      </c>
      <c r="OA13" s="17"/>
      <c r="OB13" s="17"/>
      <c r="OC13" s="17"/>
      <c r="OD13" s="17"/>
      <c r="OE13" s="17"/>
      <c r="OF13" s="17"/>
      <c r="OG13" s="17"/>
      <c r="OH13" s="17"/>
      <c r="OI13" s="17"/>
      <c r="OJ13" s="17"/>
      <c r="OK13" s="17"/>
      <c r="OL13" s="17"/>
      <c r="OM13" s="17"/>
      <c r="ON13" s="17"/>
      <c r="OO13" s="17"/>
      <c r="OP13" s="17"/>
      <c r="OQ13" s="17"/>
      <c r="OR13" s="17"/>
      <c r="OS13" s="17"/>
      <c r="OT13" s="17"/>
      <c r="OU13" s="40" t="str">
        <f t="shared" si="119"/>
        <v/>
      </c>
      <c r="OV13" s="40" t="str">
        <f t="shared" si="120"/>
        <v/>
      </c>
      <c r="OW13" s="40" t="str">
        <f t="shared" si="121"/>
        <v/>
      </c>
      <c r="OX13" s="40" t="str">
        <f t="shared" si="122"/>
        <v/>
      </c>
      <c r="OY13" s="40" t="str">
        <f t="shared" si="123"/>
        <v/>
      </c>
      <c r="OZ13" s="40" t="str">
        <f t="shared" si="124"/>
        <v/>
      </c>
      <c r="PA13" s="40" t="str">
        <f t="shared" si="125"/>
        <v/>
      </c>
      <c r="PB13" s="40" t="str">
        <f t="shared" si="126"/>
        <v/>
      </c>
      <c r="PC13" s="18"/>
      <c r="PD13" s="18"/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8"/>
      <c r="PQ13" s="18"/>
      <c r="PR13" s="18"/>
      <c r="PS13" s="18"/>
      <c r="PT13" s="18"/>
      <c r="PU13" s="18"/>
      <c r="PV13" s="18"/>
      <c r="PW13" s="11" t="str">
        <f t="shared" si="127"/>
        <v/>
      </c>
      <c r="PX13" s="11" t="str">
        <f t="shared" si="128"/>
        <v/>
      </c>
      <c r="PY13" s="11" t="str">
        <f t="shared" si="129"/>
        <v/>
      </c>
      <c r="PZ13" s="11" t="str">
        <f t="shared" si="130"/>
        <v/>
      </c>
      <c r="QA13" s="11" t="str">
        <f t="shared" si="131"/>
        <v/>
      </c>
      <c r="QB13" s="11" t="str">
        <f t="shared" si="132"/>
        <v/>
      </c>
      <c r="QC13" s="11" t="str">
        <f t="shared" si="133"/>
        <v/>
      </c>
      <c r="QD13" s="11" t="str">
        <f t="shared" si="134"/>
        <v/>
      </c>
      <c r="QE13" s="22">
        <f t="shared" si="135"/>
        <v>18</v>
      </c>
      <c r="QF13" s="22">
        <f t="shared" si="136"/>
        <v>5.25</v>
      </c>
      <c r="QG13" s="22">
        <f t="shared" si="137"/>
        <v>0.3</v>
      </c>
      <c r="QH13" s="22">
        <f t="shared" si="138"/>
        <v>0.15</v>
      </c>
      <c r="QI13" s="22">
        <f t="shared" si="139"/>
        <v>18.5</v>
      </c>
      <c r="QJ13" s="22">
        <f t="shared" si="140"/>
        <v>7.5</v>
      </c>
      <c r="QK13" s="22">
        <f t="shared" si="141"/>
        <v>0.3</v>
      </c>
      <c r="QL13" s="22">
        <f t="shared" si="142"/>
        <v>0</v>
      </c>
      <c r="QM13" s="22">
        <f t="shared" si="143"/>
        <v>17.399999999999999</v>
      </c>
      <c r="QN13" s="22">
        <f t="shared" si="144"/>
        <v>3.4000000000000004</v>
      </c>
      <c r="QO13" s="22">
        <f t="shared" si="145"/>
        <v>1</v>
      </c>
      <c r="QP13" s="22">
        <f t="shared" si="146"/>
        <v>0</v>
      </c>
      <c r="QQ13" s="22">
        <f t="shared" si="147"/>
        <v>9.1999999999999993</v>
      </c>
      <c r="QR13" s="22">
        <f t="shared" si="148"/>
        <v>2.6</v>
      </c>
      <c r="QS13" s="22">
        <f t="shared" si="149"/>
        <v>0.5</v>
      </c>
      <c r="QT13" s="22">
        <f t="shared" si="150"/>
        <v>0</v>
      </c>
      <c r="QU13" s="22">
        <f t="shared" si="151"/>
        <v>8.6999999999999993</v>
      </c>
      <c r="QV13" s="22">
        <f t="shared" si="152"/>
        <v>1.6</v>
      </c>
      <c r="QW13" s="22">
        <f t="shared" si="153"/>
        <v>0</v>
      </c>
      <c r="QX13" s="22">
        <f t="shared" si="154"/>
        <v>0</v>
      </c>
      <c r="QY13" s="27" t="s">
        <v>46</v>
      </c>
      <c r="QZ13" s="40">
        <f t="shared" si="155"/>
        <v>12.75</v>
      </c>
      <c r="RA13" s="40">
        <f t="shared" si="156"/>
        <v>48.800000000000004</v>
      </c>
      <c r="RB13" s="40">
        <f t="shared" si="157"/>
        <v>19.799999999999997</v>
      </c>
      <c r="RC13" s="40">
        <f t="shared" si="158"/>
        <v>16.149999999999999</v>
      </c>
      <c r="RD13" s="40">
        <f t="shared" si="159"/>
        <v>68.599999999999994</v>
      </c>
      <c r="RE13" s="40">
        <f t="shared" si="160"/>
        <v>4.2</v>
      </c>
      <c r="RF13" s="40">
        <f t="shared" si="161"/>
        <v>21.6</v>
      </c>
      <c r="RG13" s="40">
        <f t="shared" si="162"/>
        <v>70.400000000000006</v>
      </c>
    </row>
    <row r="14" spans="1:475" x14ac:dyDescent="0.2">
      <c r="A14" s="4">
        <f t="shared" si="164"/>
        <v>11</v>
      </c>
      <c r="B14" s="5" t="s">
        <v>174</v>
      </c>
      <c r="C14" s="4" t="s">
        <v>4</v>
      </c>
      <c r="D14" s="4">
        <v>2005</v>
      </c>
      <c r="E14" s="9">
        <f t="shared" si="163"/>
        <v>166.90001073000488</v>
      </c>
      <c r="F14" s="3" t="str">
        <f t="shared" si="0"/>
        <v>P</v>
      </c>
      <c r="G14" s="3" t="str">
        <f t="shared" si="1"/>
        <v>P</v>
      </c>
      <c r="H14" s="36" t="str">
        <f t="shared" si="2"/>
        <v>National Team</v>
      </c>
      <c r="I14" s="3" t="str">
        <f t="shared" si="3"/>
        <v/>
      </c>
      <c r="J14" s="8">
        <f>IF(COUNT(AQ14,BT14,CW14)&gt;0,LARGE((AQ14,BT14,CW14),1),0)</f>
        <v>48.5</v>
      </c>
      <c r="K14" s="8" t="str">
        <f t="shared" si="4"/>
        <v>2023 Elite Canada</v>
      </c>
      <c r="L14" s="8">
        <f>IF(COUNT(AQ14,BT14,CW14)&gt;1,LARGE((AQ14,BT14,CW14),2),0)</f>
        <v>35.699999999999996</v>
      </c>
      <c r="M14" s="8" t="str">
        <f t="shared" si="5"/>
        <v>2022 Nationals</v>
      </c>
      <c r="N14" s="8">
        <f>IF(COUNT(AR14,BU14,CX14)&gt;0,LARGE((AR14,BU14,CX14),1),0)</f>
        <v>23.1</v>
      </c>
      <c r="O14" s="8" t="str">
        <f t="shared" si="6"/>
        <v>2023 Elite Canada</v>
      </c>
      <c r="P14" s="8">
        <f t="shared" si="7"/>
        <v>49.300000000000004</v>
      </c>
      <c r="Q14" s="8" t="str">
        <f t="shared" si="8"/>
        <v>2023 Elite Canada</v>
      </c>
      <c r="R14" s="8">
        <f t="shared" si="9"/>
        <v>10.300000000000004</v>
      </c>
      <c r="S14" s="11" t="str">
        <f t="shared" si="10"/>
        <v>(Q1)</v>
      </c>
      <c r="T14" s="8" t="str">
        <f t="shared" si="11"/>
        <v>2022 Coimbra Gym Fest (June 26)</v>
      </c>
      <c r="U14" s="19">
        <v>18</v>
      </c>
      <c r="V14" s="19">
        <v>4.4000000000000004</v>
      </c>
      <c r="W14" s="19">
        <v>1</v>
      </c>
      <c r="X14" s="19">
        <v>0</v>
      </c>
      <c r="Y14" s="19">
        <v>18.2</v>
      </c>
      <c r="Z14" s="19">
        <v>0</v>
      </c>
      <c r="AA14" s="19">
        <v>3.9</v>
      </c>
      <c r="AB14" s="19">
        <v>0</v>
      </c>
      <c r="AC14" s="19">
        <v>18.399999999999999</v>
      </c>
      <c r="AD14" s="19">
        <v>3.5</v>
      </c>
      <c r="AE14" s="19">
        <v>0.2</v>
      </c>
      <c r="AF14" s="19">
        <v>0</v>
      </c>
      <c r="AG14" s="19"/>
      <c r="AH14" s="19"/>
      <c r="AI14" s="19"/>
      <c r="AJ14" s="19"/>
      <c r="AK14" s="19"/>
      <c r="AL14" s="19"/>
      <c r="AM14" s="19"/>
      <c r="AN14" s="19"/>
      <c r="AO14" s="27"/>
      <c r="AP14" s="40">
        <f t="shared" si="12"/>
        <v>4.4000000000000004</v>
      </c>
      <c r="AQ14" s="40">
        <f t="shared" si="13"/>
        <v>35.699999999999996</v>
      </c>
      <c r="AR14" s="40">
        <f t="shared" si="14"/>
        <v>21.7</v>
      </c>
      <c r="AS14" s="40">
        <f t="shared" si="15"/>
        <v>7.9</v>
      </c>
      <c r="AT14" s="40">
        <f t="shared" si="16"/>
        <v>57.399999999999991</v>
      </c>
      <c r="AU14" s="40" t="str">
        <f t="shared" si="17"/>
        <v/>
      </c>
      <c r="AV14" s="40" t="str">
        <f t="shared" si="18"/>
        <v/>
      </c>
      <c r="AW14" s="40">
        <f t="shared" si="19"/>
        <v>35.699999999999996</v>
      </c>
      <c r="AX14" s="18"/>
      <c r="AY14" s="18"/>
      <c r="AZ14" s="18"/>
      <c r="BA14" s="18"/>
      <c r="BB14" s="18"/>
      <c r="BC14" s="18"/>
      <c r="BD14" s="18"/>
      <c r="BE14" s="18"/>
      <c r="BF14" s="18"/>
      <c r="BG14" s="18"/>
      <c r="BH14" s="18"/>
      <c r="BI14" s="18"/>
      <c r="BJ14" s="18"/>
      <c r="BK14" s="18"/>
      <c r="BL14" s="18"/>
      <c r="BM14" s="18"/>
      <c r="BN14" s="18"/>
      <c r="BO14" s="18"/>
      <c r="BP14" s="18"/>
      <c r="BQ14" s="18"/>
      <c r="BR14" s="28"/>
      <c r="BS14" s="11" t="str">
        <f t="shared" si="20"/>
        <v/>
      </c>
      <c r="BT14" s="11" t="str">
        <f t="shared" si="21"/>
        <v/>
      </c>
      <c r="BU14" s="11" t="str">
        <f t="shared" si="22"/>
        <v/>
      </c>
      <c r="BV14" s="11" t="str">
        <f t="shared" si="23"/>
        <v/>
      </c>
      <c r="BW14" s="11" t="str">
        <f t="shared" si="24"/>
        <v/>
      </c>
      <c r="BX14" s="11" t="str">
        <f t="shared" si="25"/>
        <v/>
      </c>
      <c r="BY14" s="11" t="str">
        <f t="shared" si="26"/>
        <v/>
      </c>
      <c r="BZ14" s="11" t="str">
        <f t="shared" si="27"/>
        <v/>
      </c>
      <c r="CA14" s="19">
        <v>18.3</v>
      </c>
      <c r="CB14" s="19">
        <v>6.9</v>
      </c>
      <c r="CC14" s="19">
        <v>0.8</v>
      </c>
      <c r="CD14" s="19">
        <v>0</v>
      </c>
      <c r="CE14" s="19">
        <v>18.3</v>
      </c>
      <c r="CF14" s="19">
        <v>6.4</v>
      </c>
      <c r="CG14" s="19">
        <v>0.6</v>
      </c>
      <c r="CH14" s="19">
        <v>0</v>
      </c>
      <c r="CI14" s="19">
        <v>18.8</v>
      </c>
      <c r="CJ14" s="19">
        <v>4.3</v>
      </c>
      <c r="CK14" s="19">
        <v>0</v>
      </c>
      <c r="CL14" s="19">
        <v>0</v>
      </c>
      <c r="CM14" s="19">
        <v>18</v>
      </c>
      <c r="CN14" s="19">
        <v>6.9</v>
      </c>
      <c r="CO14" s="19">
        <v>0.2</v>
      </c>
      <c r="CP14" s="19">
        <v>0</v>
      </c>
      <c r="CQ14" s="19">
        <v>18.8</v>
      </c>
      <c r="CR14" s="19">
        <v>6.4</v>
      </c>
      <c r="CS14" s="19">
        <v>0.6</v>
      </c>
      <c r="CT14" s="19">
        <v>0</v>
      </c>
      <c r="CU14" s="27"/>
      <c r="CV14" s="40">
        <f t="shared" si="28"/>
        <v>13.3</v>
      </c>
      <c r="CW14" s="40">
        <f t="shared" si="29"/>
        <v>48.5</v>
      </c>
      <c r="CX14" s="40">
        <f t="shared" si="30"/>
        <v>23.1</v>
      </c>
      <c r="CY14" s="40">
        <f t="shared" si="31"/>
        <v>17.600000000000001</v>
      </c>
      <c r="CZ14" s="40">
        <f t="shared" si="32"/>
        <v>71.599999999999994</v>
      </c>
      <c r="DA14" s="40">
        <f t="shared" si="33"/>
        <v>13.3</v>
      </c>
      <c r="DB14" s="40">
        <f t="shared" si="34"/>
        <v>49.300000000000004</v>
      </c>
      <c r="DC14" s="40">
        <f t="shared" si="35"/>
        <v>97.800000000000011</v>
      </c>
      <c r="DD14" s="50">
        <f t="shared" si="36"/>
        <v>10.300000000000004</v>
      </c>
      <c r="DE14" s="50" t="str">
        <f t="shared" si="37"/>
        <v/>
      </c>
      <c r="DF14" s="50" t="str">
        <f t="shared" si="38"/>
        <v/>
      </c>
      <c r="DG14" s="17"/>
      <c r="DH14" s="17"/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17"/>
      <c r="DY14" s="17"/>
      <c r="DZ14" s="17"/>
      <c r="EA14" s="40" t="str">
        <f t="shared" si="39"/>
        <v/>
      </c>
      <c r="EB14" s="40" t="str">
        <f t="shared" si="40"/>
        <v/>
      </c>
      <c r="EC14" s="40" t="str">
        <f t="shared" si="41"/>
        <v/>
      </c>
      <c r="ED14" s="40" t="str">
        <f t="shared" si="42"/>
        <v/>
      </c>
      <c r="EE14" s="40" t="str">
        <f t="shared" si="43"/>
        <v/>
      </c>
      <c r="EF14" s="40" t="str">
        <f t="shared" si="44"/>
        <v/>
      </c>
      <c r="EG14" s="40" t="str">
        <f t="shared" si="45"/>
        <v/>
      </c>
      <c r="EH14" s="40" t="str">
        <f t="shared" si="46"/>
        <v/>
      </c>
      <c r="EI14" s="18"/>
      <c r="EJ14" s="18"/>
      <c r="EK14" s="18"/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8"/>
      <c r="FA14" s="18"/>
      <c r="FB14" s="18"/>
      <c r="FC14" s="11" t="str">
        <f t="shared" si="47"/>
        <v/>
      </c>
      <c r="FD14" s="11" t="str">
        <f t="shared" si="48"/>
        <v/>
      </c>
      <c r="FE14" s="11" t="str">
        <f t="shared" si="49"/>
        <v/>
      </c>
      <c r="FF14" s="11" t="str">
        <f t="shared" si="50"/>
        <v/>
      </c>
      <c r="FG14" s="11" t="str">
        <f t="shared" si="51"/>
        <v/>
      </c>
      <c r="FH14" s="11" t="str">
        <f t="shared" si="52"/>
        <v/>
      </c>
      <c r="FI14" s="11" t="str">
        <f t="shared" si="53"/>
        <v/>
      </c>
      <c r="FJ14" s="11" t="str">
        <f t="shared" si="54"/>
        <v/>
      </c>
      <c r="FK14" s="17"/>
      <c r="FL14" s="17"/>
      <c r="FM14" s="17"/>
      <c r="FN14" s="17"/>
      <c r="FO14" s="17"/>
      <c r="FP14" s="17"/>
      <c r="FQ14" s="17"/>
      <c r="FR14" s="17"/>
      <c r="FS14" s="17"/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40" t="str">
        <f t="shared" si="55"/>
        <v/>
      </c>
      <c r="GF14" s="40" t="str">
        <f t="shared" si="56"/>
        <v/>
      </c>
      <c r="GG14" s="40" t="str">
        <f t="shared" si="57"/>
        <v/>
      </c>
      <c r="GH14" s="40" t="str">
        <f t="shared" si="58"/>
        <v/>
      </c>
      <c r="GI14" s="40" t="str">
        <f t="shared" si="59"/>
        <v/>
      </c>
      <c r="GJ14" s="40" t="str">
        <f t="shared" si="60"/>
        <v/>
      </c>
      <c r="GK14" s="40" t="str">
        <f t="shared" si="61"/>
        <v/>
      </c>
      <c r="GL14" s="40" t="str">
        <f t="shared" si="62"/>
        <v/>
      </c>
      <c r="GM14" s="18">
        <v>18.399999999999999</v>
      </c>
      <c r="GN14" s="18">
        <v>4.4000000000000004</v>
      </c>
      <c r="GO14" s="18">
        <v>0.6</v>
      </c>
      <c r="GP14" s="18">
        <v>0</v>
      </c>
      <c r="GQ14" s="18">
        <v>18.600000000000001</v>
      </c>
      <c r="GR14" s="18">
        <v>5.2</v>
      </c>
      <c r="GS14" s="18">
        <v>0</v>
      </c>
      <c r="GT14" s="18">
        <v>0</v>
      </c>
      <c r="GU14" s="18"/>
      <c r="GV14" s="18"/>
      <c r="GW14" s="18"/>
      <c r="GX14" s="18"/>
      <c r="GY14" s="18"/>
      <c r="GZ14" s="18"/>
      <c r="HA14" s="18"/>
      <c r="HB14" s="18"/>
      <c r="HC14" s="18"/>
      <c r="HD14" s="18"/>
      <c r="HE14" s="18"/>
      <c r="HF14" s="18"/>
      <c r="HG14" s="11">
        <f t="shared" si="63"/>
        <v>9.6000000000000014</v>
      </c>
      <c r="HH14" s="11">
        <f t="shared" si="64"/>
        <v>46</v>
      </c>
      <c r="HI14" s="11" t="str">
        <f t="shared" si="65"/>
        <v/>
      </c>
      <c r="HJ14" s="11">
        <f t="shared" si="66"/>
        <v>9.6000000000000014</v>
      </c>
      <c r="HK14" s="11">
        <f t="shared" si="67"/>
        <v>46</v>
      </c>
      <c r="HL14" s="11" t="str">
        <f t="shared" si="68"/>
        <v/>
      </c>
      <c r="HM14" s="11" t="str">
        <f t="shared" si="69"/>
        <v/>
      </c>
      <c r="HN14" s="11">
        <f t="shared" si="70"/>
        <v>46</v>
      </c>
      <c r="HO14" s="17"/>
      <c r="HP14" s="17"/>
      <c r="HQ14" s="17"/>
      <c r="HR14" s="17"/>
      <c r="HS14" s="17"/>
      <c r="HT14" s="17"/>
      <c r="HU14" s="17"/>
      <c r="HV14" s="17"/>
      <c r="HW14" s="17"/>
      <c r="HX14" s="17"/>
      <c r="HY14" s="17"/>
      <c r="HZ14" s="17"/>
      <c r="IA14" s="17"/>
      <c r="IB14" s="17"/>
      <c r="IC14" s="17"/>
      <c r="ID14" s="17"/>
      <c r="IE14" s="17"/>
      <c r="IF14" s="17"/>
      <c r="IG14" s="17"/>
      <c r="IH14" s="17"/>
      <c r="II14" s="40" t="str">
        <f t="shared" si="71"/>
        <v/>
      </c>
      <c r="IJ14" s="40" t="str">
        <f t="shared" si="72"/>
        <v/>
      </c>
      <c r="IK14" s="40" t="str">
        <f t="shared" si="73"/>
        <v/>
      </c>
      <c r="IL14" s="40" t="str">
        <f t="shared" si="74"/>
        <v/>
      </c>
      <c r="IM14" s="40" t="str">
        <f t="shared" si="75"/>
        <v/>
      </c>
      <c r="IN14" s="40" t="str">
        <f t="shared" si="76"/>
        <v/>
      </c>
      <c r="IO14" s="40" t="str">
        <f t="shared" si="77"/>
        <v/>
      </c>
      <c r="IP14" s="40" t="str">
        <f t="shared" si="78"/>
        <v/>
      </c>
      <c r="IQ14" s="18"/>
      <c r="IR14" s="18"/>
      <c r="IS14" s="18"/>
      <c r="IT14" s="18"/>
      <c r="IU14" s="18"/>
      <c r="IV14" s="18"/>
      <c r="IW14" s="18"/>
      <c r="IX14" s="18"/>
      <c r="IY14" s="18"/>
      <c r="IZ14" s="18"/>
      <c r="JA14" s="18"/>
      <c r="JB14" s="18"/>
      <c r="JC14" s="18"/>
      <c r="JD14" s="18"/>
      <c r="JE14" s="18"/>
      <c r="JF14" s="18"/>
      <c r="JG14" s="18"/>
      <c r="JH14" s="18"/>
      <c r="JI14" s="18"/>
      <c r="JJ14" s="18"/>
      <c r="JK14" s="11" t="str">
        <f t="shared" si="79"/>
        <v/>
      </c>
      <c r="JL14" s="11" t="str">
        <f t="shared" si="80"/>
        <v/>
      </c>
      <c r="JM14" s="11" t="str">
        <f t="shared" si="81"/>
        <v/>
      </c>
      <c r="JN14" s="11" t="str">
        <f t="shared" si="82"/>
        <v/>
      </c>
      <c r="JO14" s="11" t="str">
        <f t="shared" si="83"/>
        <v/>
      </c>
      <c r="JP14" s="11" t="str">
        <f t="shared" si="84"/>
        <v/>
      </c>
      <c r="JQ14" s="11" t="str">
        <f t="shared" si="85"/>
        <v/>
      </c>
      <c r="JR14" s="11" t="str">
        <f t="shared" si="86"/>
        <v/>
      </c>
      <c r="JS14" s="17"/>
      <c r="JT14" s="17"/>
      <c r="JU14" s="17"/>
      <c r="JV14" s="17"/>
      <c r="JW14" s="17"/>
      <c r="JX14" s="17"/>
      <c r="JY14" s="17"/>
      <c r="JZ14" s="17"/>
      <c r="KA14" s="17"/>
      <c r="KB14" s="17"/>
      <c r="KC14" s="17"/>
      <c r="KD14" s="17"/>
      <c r="KE14" s="17"/>
      <c r="KF14" s="17"/>
      <c r="KG14" s="17"/>
      <c r="KH14" s="17"/>
      <c r="KI14" s="17"/>
      <c r="KJ14" s="17"/>
      <c r="KK14" s="17"/>
      <c r="KL14" s="17"/>
      <c r="KM14" s="40" t="str">
        <f t="shared" si="87"/>
        <v/>
      </c>
      <c r="KN14" s="40" t="str">
        <f t="shared" si="88"/>
        <v/>
      </c>
      <c r="KO14" s="40" t="str">
        <f t="shared" si="89"/>
        <v/>
      </c>
      <c r="KP14" s="40" t="str">
        <f t="shared" si="90"/>
        <v/>
      </c>
      <c r="KQ14" s="40" t="str">
        <f t="shared" si="91"/>
        <v/>
      </c>
      <c r="KR14" s="40" t="str">
        <f t="shared" si="92"/>
        <v/>
      </c>
      <c r="KS14" s="40" t="str">
        <f t="shared" si="93"/>
        <v/>
      </c>
      <c r="KT14" s="40" t="str">
        <f t="shared" si="94"/>
        <v/>
      </c>
      <c r="KU14" s="18"/>
      <c r="KV14" s="18"/>
      <c r="KW14" s="18"/>
      <c r="KX14" s="18"/>
      <c r="KY14" s="18"/>
      <c r="KZ14" s="18"/>
      <c r="LA14" s="18"/>
      <c r="LB14" s="18"/>
      <c r="LC14" s="18"/>
      <c r="LD14" s="18"/>
      <c r="LE14" s="18"/>
      <c r="LF14" s="18"/>
      <c r="LG14" s="18"/>
      <c r="LH14" s="18"/>
      <c r="LI14" s="18"/>
      <c r="LJ14" s="18"/>
      <c r="LK14" s="18"/>
      <c r="LL14" s="18"/>
      <c r="LM14" s="18"/>
      <c r="LN14" s="18"/>
      <c r="LO14" s="11" t="str">
        <f t="shared" si="95"/>
        <v/>
      </c>
      <c r="LP14" s="11" t="str">
        <f t="shared" si="96"/>
        <v/>
      </c>
      <c r="LQ14" s="11" t="str">
        <f t="shared" si="97"/>
        <v/>
      </c>
      <c r="LR14" s="11" t="str">
        <f t="shared" si="98"/>
        <v/>
      </c>
      <c r="LS14" s="11" t="str">
        <f t="shared" si="99"/>
        <v/>
      </c>
      <c r="LT14" s="11" t="str">
        <f t="shared" si="100"/>
        <v/>
      </c>
      <c r="LU14" s="11" t="str">
        <f t="shared" si="101"/>
        <v/>
      </c>
      <c r="LV14" s="11" t="str">
        <f t="shared" si="102"/>
        <v/>
      </c>
      <c r="LW14" s="17"/>
      <c r="LX14" s="17"/>
      <c r="LY14" s="17"/>
      <c r="LZ14" s="17"/>
      <c r="MA14" s="17"/>
      <c r="MB14" s="17"/>
      <c r="MC14" s="17"/>
      <c r="MD14" s="17"/>
      <c r="ME14" s="17"/>
      <c r="MF14" s="17"/>
      <c r="MG14" s="17"/>
      <c r="MH14" s="17"/>
      <c r="MI14" s="17"/>
      <c r="MJ14" s="17"/>
      <c r="MK14" s="17"/>
      <c r="ML14" s="17"/>
      <c r="MM14" s="17"/>
      <c r="MN14" s="17"/>
      <c r="MO14" s="17"/>
      <c r="MP14" s="17"/>
      <c r="MQ14" s="40" t="str">
        <f t="shared" si="103"/>
        <v/>
      </c>
      <c r="MR14" s="40" t="str">
        <f t="shared" si="104"/>
        <v/>
      </c>
      <c r="MS14" s="40" t="str">
        <f t="shared" si="105"/>
        <v/>
      </c>
      <c r="MT14" s="40" t="str">
        <f t="shared" si="106"/>
        <v/>
      </c>
      <c r="MU14" s="40" t="str">
        <f t="shared" si="107"/>
        <v/>
      </c>
      <c r="MV14" s="40" t="str">
        <f t="shared" si="108"/>
        <v/>
      </c>
      <c r="MW14" s="40" t="str">
        <f t="shared" si="109"/>
        <v/>
      </c>
      <c r="MX14" s="40" t="str">
        <f t="shared" si="110"/>
        <v/>
      </c>
      <c r="MY14" s="18"/>
      <c r="MZ14" s="18"/>
      <c r="NA14" s="18"/>
      <c r="NB14" s="18"/>
      <c r="NC14" s="18"/>
      <c r="ND14" s="18"/>
      <c r="NE14" s="18"/>
      <c r="NF14" s="18"/>
      <c r="NG14" s="18"/>
      <c r="NH14" s="18"/>
      <c r="NI14" s="18"/>
      <c r="NJ14" s="18"/>
      <c r="NK14" s="18"/>
      <c r="NL14" s="18"/>
      <c r="NM14" s="18"/>
      <c r="NN14" s="18"/>
      <c r="NO14" s="18"/>
      <c r="NP14" s="18"/>
      <c r="NQ14" s="18"/>
      <c r="NR14" s="18"/>
      <c r="NS14" s="11" t="str">
        <f t="shared" si="111"/>
        <v/>
      </c>
      <c r="NT14" s="11" t="str">
        <f t="shared" si="112"/>
        <v/>
      </c>
      <c r="NU14" s="11" t="str">
        <f t="shared" si="113"/>
        <v/>
      </c>
      <c r="NV14" s="11" t="str">
        <f t="shared" si="114"/>
        <v/>
      </c>
      <c r="NW14" s="11" t="str">
        <f t="shared" si="115"/>
        <v/>
      </c>
      <c r="NX14" s="11" t="str">
        <f t="shared" si="116"/>
        <v/>
      </c>
      <c r="NY14" s="11" t="str">
        <f t="shared" si="117"/>
        <v/>
      </c>
      <c r="NZ14" s="11" t="str">
        <f t="shared" si="118"/>
        <v/>
      </c>
      <c r="OA14" s="17"/>
      <c r="OB14" s="17"/>
      <c r="OC14" s="17"/>
      <c r="OD14" s="17"/>
      <c r="OE14" s="17"/>
      <c r="OF14" s="17"/>
      <c r="OG14" s="17"/>
      <c r="OH14" s="17"/>
      <c r="OI14" s="17"/>
      <c r="OJ14" s="17"/>
      <c r="OK14" s="17"/>
      <c r="OL14" s="17"/>
      <c r="OM14" s="17"/>
      <c r="ON14" s="17"/>
      <c r="OO14" s="17"/>
      <c r="OP14" s="17"/>
      <c r="OQ14" s="17"/>
      <c r="OR14" s="17"/>
      <c r="OS14" s="17"/>
      <c r="OT14" s="17"/>
      <c r="OU14" s="40" t="str">
        <f t="shared" si="119"/>
        <v/>
      </c>
      <c r="OV14" s="40" t="str">
        <f t="shared" si="120"/>
        <v/>
      </c>
      <c r="OW14" s="40" t="str">
        <f t="shared" si="121"/>
        <v/>
      </c>
      <c r="OX14" s="40" t="str">
        <f t="shared" si="122"/>
        <v/>
      </c>
      <c r="OY14" s="40" t="str">
        <f t="shared" si="123"/>
        <v/>
      </c>
      <c r="OZ14" s="40" t="str">
        <f t="shared" si="124"/>
        <v/>
      </c>
      <c r="PA14" s="40" t="str">
        <f t="shared" si="125"/>
        <v/>
      </c>
      <c r="PB14" s="40" t="str">
        <f t="shared" si="126"/>
        <v/>
      </c>
      <c r="PC14" s="18"/>
      <c r="PD14" s="18"/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8"/>
      <c r="PQ14" s="18"/>
      <c r="PR14" s="18"/>
      <c r="PS14" s="18"/>
      <c r="PT14" s="18"/>
      <c r="PU14" s="18"/>
      <c r="PV14" s="18"/>
      <c r="PW14" s="11" t="str">
        <f t="shared" si="127"/>
        <v/>
      </c>
      <c r="PX14" s="11" t="str">
        <f t="shared" si="128"/>
        <v/>
      </c>
      <c r="PY14" s="11" t="str">
        <f t="shared" si="129"/>
        <v/>
      </c>
      <c r="PZ14" s="11" t="str">
        <f t="shared" si="130"/>
        <v/>
      </c>
      <c r="QA14" s="11" t="str">
        <f t="shared" si="131"/>
        <v/>
      </c>
      <c r="QB14" s="11" t="str">
        <f t="shared" si="132"/>
        <v/>
      </c>
      <c r="QC14" s="11" t="str">
        <f t="shared" si="133"/>
        <v/>
      </c>
      <c r="QD14" s="11" t="str">
        <f t="shared" si="134"/>
        <v/>
      </c>
      <c r="QE14" s="22">
        <f t="shared" si="135"/>
        <v>9.15</v>
      </c>
      <c r="QF14" s="22">
        <f t="shared" si="136"/>
        <v>3.45</v>
      </c>
      <c r="QG14" s="22">
        <f t="shared" si="137"/>
        <v>0.4</v>
      </c>
      <c r="QH14" s="22">
        <f t="shared" si="138"/>
        <v>0</v>
      </c>
      <c r="QI14" s="22">
        <f t="shared" si="139"/>
        <v>9.15</v>
      </c>
      <c r="QJ14" s="22">
        <f t="shared" si="140"/>
        <v>3.2</v>
      </c>
      <c r="QK14" s="22">
        <f t="shared" si="141"/>
        <v>0.3</v>
      </c>
      <c r="QL14" s="22">
        <f t="shared" si="142"/>
        <v>0</v>
      </c>
      <c r="QM14" s="22">
        <f t="shared" si="143"/>
        <v>9.4</v>
      </c>
      <c r="QN14" s="22">
        <f t="shared" si="144"/>
        <v>2.15</v>
      </c>
      <c r="QO14" s="22">
        <f t="shared" si="145"/>
        <v>0</v>
      </c>
      <c r="QP14" s="22">
        <f t="shared" si="146"/>
        <v>0</v>
      </c>
      <c r="QQ14" s="22">
        <f t="shared" si="147"/>
        <v>9</v>
      </c>
      <c r="QR14" s="22">
        <f t="shared" si="148"/>
        <v>3.45</v>
      </c>
      <c r="QS14" s="22">
        <f t="shared" si="149"/>
        <v>0.1</v>
      </c>
      <c r="QT14" s="22">
        <f t="shared" si="150"/>
        <v>0</v>
      </c>
      <c r="QU14" s="22">
        <f t="shared" si="151"/>
        <v>9.4</v>
      </c>
      <c r="QV14" s="22">
        <f t="shared" si="152"/>
        <v>3.2</v>
      </c>
      <c r="QW14" s="22">
        <f t="shared" si="153"/>
        <v>0.3</v>
      </c>
      <c r="QX14" s="22">
        <f t="shared" si="154"/>
        <v>0</v>
      </c>
      <c r="QY14" s="27" t="s">
        <v>46</v>
      </c>
      <c r="QZ14" s="40">
        <f t="shared" si="155"/>
        <v>6.65</v>
      </c>
      <c r="RA14" s="40">
        <f t="shared" si="156"/>
        <v>24.25</v>
      </c>
      <c r="RB14" s="40">
        <f t="shared" si="157"/>
        <v>11.55</v>
      </c>
      <c r="RC14" s="40">
        <f t="shared" si="158"/>
        <v>8.8000000000000007</v>
      </c>
      <c r="RD14" s="40">
        <f t="shared" si="159"/>
        <v>35.799999999999997</v>
      </c>
      <c r="RE14" s="40">
        <f t="shared" si="160"/>
        <v>6.65</v>
      </c>
      <c r="RF14" s="40">
        <f t="shared" si="161"/>
        <v>24.650000000000002</v>
      </c>
      <c r="RG14" s="40">
        <f t="shared" si="162"/>
        <v>48.900000000000006</v>
      </c>
    </row>
    <row r="15" spans="1:475" x14ac:dyDescent="0.2">
      <c r="A15" s="4">
        <f t="shared" si="164"/>
        <v>12</v>
      </c>
      <c r="B15" s="5" t="s">
        <v>183</v>
      </c>
      <c r="C15" s="4" t="s">
        <v>6</v>
      </c>
      <c r="D15" s="4">
        <v>2004</v>
      </c>
      <c r="E15" s="9">
        <f t="shared" si="163"/>
        <v>164.40001148000485</v>
      </c>
      <c r="F15" s="3" t="str">
        <f t="shared" si="0"/>
        <v>P</v>
      </c>
      <c r="G15" s="3" t="str">
        <f t="shared" si="1"/>
        <v>P</v>
      </c>
      <c r="H15" s="36" t="str">
        <f t="shared" si="2"/>
        <v>National Team</v>
      </c>
      <c r="I15" s="3" t="str">
        <f t="shared" si="3"/>
        <v/>
      </c>
      <c r="J15" s="8">
        <f>IF(COUNT(AQ15,BT15,CW15)&gt;0,LARGE((AQ15,BT15,CW15),1),0)</f>
        <v>48.300000000000004</v>
      </c>
      <c r="K15" s="8" t="str">
        <f t="shared" si="4"/>
        <v>2022 Nationals</v>
      </c>
      <c r="L15" s="8">
        <f>IF(COUNT(AQ15,BT15,CW15)&gt;1,LARGE((AQ15,BT15,CW15),2),0)</f>
        <v>43.29999999999999</v>
      </c>
      <c r="M15" s="8" t="str">
        <f t="shared" si="5"/>
        <v>2023 Elite Canada</v>
      </c>
      <c r="N15" s="8">
        <f>IF(COUNT(AR15,BU15,CX15)&gt;0,LARGE((AR15,BU15,CX15),1),0)</f>
        <v>23.2</v>
      </c>
      <c r="O15" s="8" t="str">
        <f t="shared" si="6"/>
        <v>2023 Elite Canada</v>
      </c>
      <c r="P15" s="8">
        <f t="shared" si="7"/>
        <v>49.6</v>
      </c>
      <c r="Q15" s="8" t="str">
        <f t="shared" si="8"/>
        <v>2023 Elite Canada</v>
      </c>
      <c r="R15" s="8" t="str">
        <f t="shared" si="9"/>
        <v/>
      </c>
      <c r="S15" s="11" t="str">
        <f t="shared" si="10"/>
        <v/>
      </c>
      <c r="T15" s="8" t="str">
        <f t="shared" si="11"/>
        <v/>
      </c>
      <c r="U15" s="19">
        <v>19.3</v>
      </c>
      <c r="V15" s="19">
        <v>5.2</v>
      </c>
      <c r="W15" s="19">
        <v>0</v>
      </c>
      <c r="X15" s="19">
        <v>0</v>
      </c>
      <c r="Y15" s="19">
        <v>19.2</v>
      </c>
      <c r="Z15" s="19">
        <v>5.2</v>
      </c>
      <c r="AA15" s="19">
        <v>0.6</v>
      </c>
      <c r="AB15" s="19">
        <v>0</v>
      </c>
      <c r="AC15" s="19">
        <v>19.3</v>
      </c>
      <c r="AD15" s="19">
        <v>4.3</v>
      </c>
      <c r="AE15" s="19">
        <v>0.6</v>
      </c>
      <c r="AF15" s="19">
        <v>0</v>
      </c>
      <c r="AG15" s="19">
        <v>17.600000000000001</v>
      </c>
      <c r="AH15" s="19">
        <v>2.4</v>
      </c>
      <c r="AI15" s="19">
        <v>0</v>
      </c>
      <c r="AJ15" s="19">
        <v>0</v>
      </c>
      <c r="AK15" s="19">
        <v>19.600000000000001</v>
      </c>
      <c r="AL15" s="19">
        <v>5.6</v>
      </c>
      <c r="AM15" s="19">
        <v>0</v>
      </c>
      <c r="AN15" s="19">
        <v>0</v>
      </c>
      <c r="AO15" s="27"/>
      <c r="AP15" s="40">
        <f t="shared" si="12"/>
        <v>10.4</v>
      </c>
      <c r="AQ15" s="40">
        <f t="shared" si="13"/>
        <v>48.300000000000004</v>
      </c>
      <c r="AR15" s="40">
        <f t="shared" si="14"/>
        <v>23</v>
      </c>
      <c r="AS15" s="40">
        <f t="shared" si="15"/>
        <v>14.7</v>
      </c>
      <c r="AT15" s="40">
        <f t="shared" si="16"/>
        <v>71.300000000000011</v>
      </c>
      <c r="AU15" s="40">
        <f t="shared" si="17"/>
        <v>8</v>
      </c>
      <c r="AV15" s="40">
        <f t="shared" si="18"/>
        <v>45.2</v>
      </c>
      <c r="AW15" s="40">
        <f t="shared" si="19"/>
        <v>93.5</v>
      </c>
      <c r="AX15" s="18"/>
      <c r="AY15" s="18"/>
      <c r="AZ15" s="18"/>
      <c r="BA15" s="18"/>
      <c r="BB15" s="18"/>
      <c r="BC15" s="18"/>
      <c r="BD15" s="18"/>
      <c r="BE15" s="18"/>
      <c r="BF15" s="18"/>
      <c r="BG15" s="18"/>
      <c r="BH15" s="18"/>
      <c r="BI15" s="18"/>
      <c r="BJ15" s="18"/>
      <c r="BK15" s="18"/>
      <c r="BL15" s="18"/>
      <c r="BM15" s="18"/>
      <c r="BN15" s="18"/>
      <c r="BO15" s="18"/>
      <c r="BP15" s="18"/>
      <c r="BQ15" s="18"/>
      <c r="BR15" s="28"/>
      <c r="BS15" s="11" t="str">
        <f t="shared" si="20"/>
        <v/>
      </c>
      <c r="BT15" s="11" t="str">
        <f t="shared" si="21"/>
        <v/>
      </c>
      <c r="BU15" s="11" t="str">
        <f t="shared" si="22"/>
        <v/>
      </c>
      <c r="BV15" s="11" t="str">
        <f t="shared" si="23"/>
        <v/>
      </c>
      <c r="BW15" s="11" t="str">
        <f t="shared" si="24"/>
        <v/>
      </c>
      <c r="BX15" s="11" t="str">
        <f t="shared" si="25"/>
        <v/>
      </c>
      <c r="BY15" s="11" t="str">
        <f t="shared" si="26"/>
        <v/>
      </c>
      <c r="BZ15" s="11" t="str">
        <f t="shared" si="27"/>
        <v/>
      </c>
      <c r="CA15" s="19">
        <v>17.7</v>
      </c>
      <c r="CB15" s="19">
        <v>2.4</v>
      </c>
      <c r="CC15" s="19">
        <v>0</v>
      </c>
      <c r="CD15" s="19">
        <v>0</v>
      </c>
      <c r="CE15" s="19">
        <v>19</v>
      </c>
      <c r="CF15" s="19">
        <v>4.8</v>
      </c>
      <c r="CG15" s="19">
        <v>0.6</v>
      </c>
      <c r="CH15" s="19">
        <v>0</v>
      </c>
      <c r="CI15" s="19">
        <v>18.899999999999999</v>
      </c>
      <c r="CJ15" s="19">
        <v>4.3</v>
      </c>
      <c r="CK15" s="19">
        <v>0</v>
      </c>
      <c r="CL15" s="19">
        <v>0</v>
      </c>
      <c r="CM15" s="19">
        <v>19.2</v>
      </c>
      <c r="CN15" s="19">
        <v>6</v>
      </c>
      <c r="CO15" s="19">
        <v>0</v>
      </c>
      <c r="CP15" s="19">
        <v>0</v>
      </c>
      <c r="CQ15" s="19">
        <v>18.8</v>
      </c>
      <c r="CR15" s="19">
        <v>5.6</v>
      </c>
      <c r="CS15" s="19">
        <v>0</v>
      </c>
      <c r="CT15" s="19">
        <v>0</v>
      </c>
      <c r="CU15" s="27"/>
      <c r="CV15" s="40">
        <f t="shared" si="28"/>
        <v>7.1999999999999993</v>
      </c>
      <c r="CW15" s="40">
        <f t="shared" si="29"/>
        <v>43.29999999999999</v>
      </c>
      <c r="CX15" s="40">
        <f t="shared" si="30"/>
        <v>23.2</v>
      </c>
      <c r="CY15" s="40">
        <f t="shared" si="31"/>
        <v>11.5</v>
      </c>
      <c r="CZ15" s="40">
        <f t="shared" si="32"/>
        <v>66.499999999999986</v>
      </c>
      <c r="DA15" s="40">
        <f t="shared" si="33"/>
        <v>11.6</v>
      </c>
      <c r="DB15" s="40">
        <f t="shared" si="34"/>
        <v>49.6</v>
      </c>
      <c r="DC15" s="40">
        <f t="shared" si="35"/>
        <v>92.899999999999991</v>
      </c>
      <c r="DD15" s="50" t="str">
        <f t="shared" si="36"/>
        <v/>
      </c>
      <c r="DE15" s="50" t="str">
        <f t="shared" si="37"/>
        <v/>
      </c>
      <c r="DF15" s="50" t="str">
        <f t="shared" si="38"/>
        <v/>
      </c>
      <c r="DG15" s="17"/>
      <c r="DH15" s="17"/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17"/>
      <c r="DY15" s="17"/>
      <c r="DZ15" s="17"/>
      <c r="EA15" s="40" t="str">
        <f t="shared" si="39"/>
        <v/>
      </c>
      <c r="EB15" s="40" t="str">
        <f t="shared" si="40"/>
        <v/>
      </c>
      <c r="EC15" s="40" t="str">
        <f t="shared" si="41"/>
        <v/>
      </c>
      <c r="ED15" s="40" t="str">
        <f t="shared" si="42"/>
        <v/>
      </c>
      <c r="EE15" s="40" t="str">
        <f t="shared" si="43"/>
        <v/>
      </c>
      <c r="EF15" s="40" t="str">
        <f t="shared" si="44"/>
        <v/>
      </c>
      <c r="EG15" s="40" t="str">
        <f t="shared" si="45"/>
        <v/>
      </c>
      <c r="EH15" s="40" t="str">
        <f t="shared" si="46"/>
        <v/>
      </c>
      <c r="EI15" s="18"/>
      <c r="EJ15" s="18"/>
      <c r="EK15" s="18"/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8"/>
      <c r="EY15" s="18"/>
      <c r="EZ15" s="18"/>
      <c r="FA15" s="18"/>
      <c r="FB15" s="18"/>
      <c r="FC15" s="11" t="str">
        <f t="shared" si="47"/>
        <v/>
      </c>
      <c r="FD15" s="11" t="str">
        <f t="shared" si="48"/>
        <v/>
      </c>
      <c r="FE15" s="11" t="str">
        <f t="shared" si="49"/>
        <v/>
      </c>
      <c r="FF15" s="11" t="str">
        <f t="shared" si="50"/>
        <v/>
      </c>
      <c r="FG15" s="11" t="str">
        <f t="shared" si="51"/>
        <v/>
      </c>
      <c r="FH15" s="11" t="str">
        <f t="shared" si="52"/>
        <v/>
      </c>
      <c r="FI15" s="11" t="str">
        <f t="shared" si="53"/>
        <v/>
      </c>
      <c r="FJ15" s="11" t="str">
        <f t="shared" si="54"/>
        <v/>
      </c>
      <c r="FK15" s="17"/>
      <c r="FL15" s="17"/>
      <c r="FM15" s="17"/>
      <c r="FN15" s="17"/>
      <c r="FO15" s="17"/>
      <c r="FP15" s="17"/>
      <c r="FQ15" s="17"/>
      <c r="FR15" s="17"/>
      <c r="FS15" s="17"/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40" t="str">
        <f t="shared" si="55"/>
        <v/>
      </c>
      <c r="GF15" s="40" t="str">
        <f t="shared" si="56"/>
        <v/>
      </c>
      <c r="GG15" s="40" t="str">
        <f t="shared" si="57"/>
        <v/>
      </c>
      <c r="GH15" s="40" t="str">
        <f t="shared" si="58"/>
        <v/>
      </c>
      <c r="GI15" s="40" t="str">
        <f t="shared" si="59"/>
        <v/>
      </c>
      <c r="GJ15" s="40" t="str">
        <f t="shared" si="60"/>
        <v/>
      </c>
      <c r="GK15" s="40" t="str">
        <f t="shared" si="61"/>
        <v/>
      </c>
      <c r="GL15" s="40" t="str">
        <f t="shared" si="62"/>
        <v/>
      </c>
      <c r="GM15" s="18"/>
      <c r="GN15" s="18"/>
      <c r="GO15" s="18"/>
      <c r="GP15" s="18"/>
      <c r="GQ15" s="18"/>
      <c r="GR15" s="18"/>
      <c r="GS15" s="18"/>
      <c r="GT15" s="18"/>
      <c r="GU15" s="18"/>
      <c r="GV15" s="18"/>
      <c r="GW15" s="18"/>
      <c r="GX15" s="18"/>
      <c r="GY15" s="18"/>
      <c r="GZ15" s="18"/>
      <c r="HA15" s="18"/>
      <c r="HB15" s="18"/>
      <c r="HC15" s="18"/>
      <c r="HD15" s="18"/>
      <c r="HE15" s="18"/>
      <c r="HF15" s="18"/>
      <c r="HG15" s="11" t="str">
        <f t="shared" si="63"/>
        <v/>
      </c>
      <c r="HH15" s="11" t="str">
        <f t="shared" si="64"/>
        <v/>
      </c>
      <c r="HI15" s="11" t="str">
        <f t="shared" si="65"/>
        <v/>
      </c>
      <c r="HJ15" s="11" t="str">
        <f t="shared" si="66"/>
        <v/>
      </c>
      <c r="HK15" s="11" t="str">
        <f t="shared" si="67"/>
        <v/>
      </c>
      <c r="HL15" s="11" t="str">
        <f t="shared" si="68"/>
        <v/>
      </c>
      <c r="HM15" s="11" t="str">
        <f t="shared" si="69"/>
        <v/>
      </c>
      <c r="HN15" s="11" t="str">
        <f t="shared" si="70"/>
        <v/>
      </c>
      <c r="HO15" s="17"/>
      <c r="HP15" s="17"/>
      <c r="HQ15" s="17"/>
      <c r="HR15" s="17"/>
      <c r="HS15" s="17"/>
      <c r="HT15" s="17"/>
      <c r="HU15" s="17"/>
      <c r="HV15" s="17"/>
      <c r="HW15" s="17"/>
      <c r="HX15" s="17"/>
      <c r="HY15" s="17"/>
      <c r="HZ15" s="17"/>
      <c r="IA15" s="17"/>
      <c r="IB15" s="17"/>
      <c r="IC15" s="17"/>
      <c r="ID15" s="17"/>
      <c r="IE15" s="17"/>
      <c r="IF15" s="17"/>
      <c r="IG15" s="17"/>
      <c r="IH15" s="17"/>
      <c r="II15" s="40" t="str">
        <f t="shared" si="71"/>
        <v/>
      </c>
      <c r="IJ15" s="40" t="str">
        <f t="shared" si="72"/>
        <v/>
      </c>
      <c r="IK15" s="40" t="str">
        <f t="shared" si="73"/>
        <v/>
      </c>
      <c r="IL15" s="40" t="str">
        <f t="shared" si="74"/>
        <v/>
      </c>
      <c r="IM15" s="40" t="str">
        <f t="shared" si="75"/>
        <v/>
      </c>
      <c r="IN15" s="40" t="str">
        <f t="shared" si="76"/>
        <v/>
      </c>
      <c r="IO15" s="40" t="str">
        <f t="shared" si="77"/>
        <v/>
      </c>
      <c r="IP15" s="40" t="str">
        <f t="shared" si="78"/>
        <v/>
      </c>
      <c r="IQ15" s="18"/>
      <c r="IR15" s="18"/>
      <c r="IS15" s="18"/>
      <c r="IT15" s="18"/>
      <c r="IU15" s="18"/>
      <c r="IV15" s="18"/>
      <c r="IW15" s="18"/>
      <c r="IX15" s="18"/>
      <c r="IY15" s="18"/>
      <c r="IZ15" s="18"/>
      <c r="JA15" s="18"/>
      <c r="JB15" s="18"/>
      <c r="JC15" s="18"/>
      <c r="JD15" s="18"/>
      <c r="JE15" s="18"/>
      <c r="JF15" s="18"/>
      <c r="JG15" s="18"/>
      <c r="JH15" s="18"/>
      <c r="JI15" s="18"/>
      <c r="JJ15" s="18"/>
      <c r="JK15" s="11" t="str">
        <f t="shared" si="79"/>
        <v/>
      </c>
      <c r="JL15" s="11" t="str">
        <f t="shared" si="80"/>
        <v/>
      </c>
      <c r="JM15" s="11" t="str">
        <f t="shared" si="81"/>
        <v/>
      </c>
      <c r="JN15" s="11" t="str">
        <f t="shared" si="82"/>
        <v/>
      </c>
      <c r="JO15" s="11" t="str">
        <f t="shared" si="83"/>
        <v/>
      </c>
      <c r="JP15" s="11" t="str">
        <f t="shared" si="84"/>
        <v/>
      </c>
      <c r="JQ15" s="11" t="str">
        <f t="shared" si="85"/>
        <v/>
      </c>
      <c r="JR15" s="11" t="str">
        <f t="shared" si="86"/>
        <v/>
      </c>
      <c r="JS15" s="17"/>
      <c r="JT15" s="17"/>
      <c r="JU15" s="17"/>
      <c r="JV15" s="17"/>
      <c r="JW15" s="17"/>
      <c r="JX15" s="17"/>
      <c r="JY15" s="17"/>
      <c r="JZ15" s="17"/>
      <c r="KA15" s="17"/>
      <c r="KB15" s="17"/>
      <c r="KC15" s="17"/>
      <c r="KD15" s="17"/>
      <c r="KE15" s="17"/>
      <c r="KF15" s="17"/>
      <c r="KG15" s="17"/>
      <c r="KH15" s="17"/>
      <c r="KI15" s="17"/>
      <c r="KJ15" s="17"/>
      <c r="KK15" s="17"/>
      <c r="KL15" s="17"/>
      <c r="KM15" s="40" t="str">
        <f t="shared" si="87"/>
        <v/>
      </c>
      <c r="KN15" s="40" t="str">
        <f t="shared" si="88"/>
        <v/>
      </c>
      <c r="KO15" s="40" t="str">
        <f t="shared" si="89"/>
        <v/>
      </c>
      <c r="KP15" s="40" t="str">
        <f t="shared" si="90"/>
        <v/>
      </c>
      <c r="KQ15" s="40" t="str">
        <f t="shared" si="91"/>
        <v/>
      </c>
      <c r="KR15" s="40" t="str">
        <f t="shared" si="92"/>
        <v/>
      </c>
      <c r="KS15" s="40" t="str">
        <f t="shared" si="93"/>
        <v/>
      </c>
      <c r="KT15" s="40" t="str">
        <f t="shared" si="94"/>
        <v/>
      </c>
      <c r="KU15" s="18"/>
      <c r="KV15" s="18"/>
      <c r="KW15" s="18"/>
      <c r="KX15" s="18"/>
      <c r="KY15" s="18"/>
      <c r="KZ15" s="18"/>
      <c r="LA15" s="18"/>
      <c r="LB15" s="18"/>
      <c r="LC15" s="18"/>
      <c r="LD15" s="18"/>
      <c r="LE15" s="18"/>
      <c r="LF15" s="18"/>
      <c r="LG15" s="18"/>
      <c r="LH15" s="18"/>
      <c r="LI15" s="18"/>
      <c r="LJ15" s="18"/>
      <c r="LK15" s="18"/>
      <c r="LL15" s="18"/>
      <c r="LM15" s="18"/>
      <c r="LN15" s="18"/>
      <c r="LO15" s="11" t="str">
        <f t="shared" si="95"/>
        <v/>
      </c>
      <c r="LP15" s="11" t="str">
        <f t="shared" si="96"/>
        <v/>
      </c>
      <c r="LQ15" s="11" t="str">
        <f t="shared" si="97"/>
        <v/>
      </c>
      <c r="LR15" s="11" t="str">
        <f t="shared" si="98"/>
        <v/>
      </c>
      <c r="LS15" s="11" t="str">
        <f t="shared" si="99"/>
        <v/>
      </c>
      <c r="LT15" s="11" t="str">
        <f t="shared" si="100"/>
        <v/>
      </c>
      <c r="LU15" s="11" t="str">
        <f t="shared" si="101"/>
        <v/>
      </c>
      <c r="LV15" s="11" t="str">
        <f t="shared" si="102"/>
        <v/>
      </c>
      <c r="LW15" s="17"/>
      <c r="LX15" s="17"/>
      <c r="LY15" s="17"/>
      <c r="LZ15" s="17"/>
      <c r="MA15" s="17"/>
      <c r="MB15" s="17"/>
      <c r="MC15" s="17"/>
      <c r="MD15" s="17"/>
      <c r="ME15" s="17"/>
      <c r="MF15" s="17"/>
      <c r="MG15" s="17"/>
      <c r="MH15" s="17"/>
      <c r="MI15" s="17"/>
      <c r="MJ15" s="17"/>
      <c r="MK15" s="17"/>
      <c r="ML15" s="17"/>
      <c r="MM15" s="17"/>
      <c r="MN15" s="17"/>
      <c r="MO15" s="17"/>
      <c r="MP15" s="17"/>
      <c r="MQ15" s="40" t="str">
        <f t="shared" si="103"/>
        <v/>
      </c>
      <c r="MR15" s="40" t="str">
        <f t="shared" si="104"/>
        <v/>
      </c>
      <c r="MS15" s="40" t="str">
        <f t="shared" si="105"/>
        <v/>
      </c>
      <c r="MT15" s="40" t="str">
        <f t="shared" si="106"/>
        <v/>
      </c>
      <c r="MU15" s="40" t="str">
        <f t="shared" si="107"/>
        <v/>
      </c>
      <c r="MV15" s="40" t="str">
        <f t="shared" si="108"/>
        <v/>
      </c>
      <c r="MW15" s="40" t="str">
        <f t="shared" si="109"/>
        <v/>
      </c>
      <c r="MX15" s="40" t="str">
        <f t="shared" si="110"/>
        <v/>
      </c>
      <c r="MY15" s="18"/>
      <c r="MZ15" s="18"/>
      <c r="NA15" s="18"/>
      <c r="NB15" s="18"/>
      <c r="NC15" s="18"/>
      <c r="ND15" s="18"/>
      <c r="NE15" s="18"/>
      <c r="NF15" s="18"/>
      <c r="NG15" s="18"/>
      <c r="NH15" s="18"/>
      <c r="NI15" s="18"/>
      <c r="NJ15" s="18"/>
      <c r="NK15" s="18"/>
      <c r="NL15" s="18"/>
      <c r="NM15" s="18"/>
      <c r="NN15" s="18"/>
      <c r="NO15" s="18"/>
      <c r="NP15" s="18"/>
      <c r="NQ15" s="18"/>
      <c r="NR15" s="18"/>
      <c r="NS15" s="11" t="str">
        <f t="shared" si="111"/>
        <v/>
      </c>
      <c r="NT15" s="11" t="str">
        <f t="shared" si="112"/>
        <v/>
      </c>
      <c r="NU15" s="11" t="str">
        <f t="shared" si="113"/>
        <v/>
      </c>
      <c r="NV15" s="11" t="str">
        <f t="shared" si="114"/>
        <v/>
      </c>
      <c r="NW15" s="11" t="str">
        <f t="shared" si="115"/>
        <v/>
      </c>
      <c r="NX15" s="11" t="str">
        <f t="shared" si="116"/>
        <v/>
      </c>
      <c r="NY15" s="11" t="str">
        <f t="shared" si="117"/>
        <v/>
      </c>
      <c r="NZ15" s="11" t="str">
        <f t="shared" si="118"/>
        <v/>
      </c>
      <c r="OA15" s="17"/>
      <c r="OB15" s="17"/>
      <c r="OC15" s="17"/>
      <c r="OD15" s="17"/>
      <c r="OE15" s="17"/>
      <c r="OF15" s="17"/>
      <c r="OG15" s="17"/>
      <c r="OH15" s="17"/>
      <c r="OI15" s="17"/>
      <c r="OJ15" s="17"/>
      <c r="OK15" s="17"/>
      <c r="OL15" s="17"/>
      <c r="OM15" s="17"/>
      <c r="ON15" s="17"/>
      <c r="OO15" s="17"/>
      <c r="OP15" s="17"/>
      <c r="OQ15" s="17"/>
      <c r="OR15" s="17"/>
      <c r="OS15" s="17"/>
      <c r="OT15" s="17"/>
      <c r="OU15" s="40" t="str">
        <f t="shared" si="119"/>
        <v/>
      </c>
      <c r="OV15" s="40" t="str">
        <f t="shared" si="120"/>
        <v/>
      </c>
      <c r="OW15" s="40" t="str">
        <f t="shared" si="121"/>
        <v/>
      </c>
      <c r="OX15" s="40" t="str">
        <f t="shared" si="122"/>
        <v/>
      </c>
      <c r="OY15" s="40" t="str">
        <f t="shared" si="123"/>
        <v/>
      </c>
      <c r="OZ15" s="40" t="str">
        <f t="shared" si="124"/>
        <v/>
      </c>
      <c r="PA15" s="40" t="str">
        <f t="shared" si="125"/>
        <v/>
      </c>
      <c r="PB15" s="40" t="str">
        <f t="shared" si="126"/>
        <v/>
      </c>
      <c r="PC15" s="18"/>
      <c r="PD15" s="18"/>
      <c r="PE15" s="18"/>
      <c r="PF15" s="18"/>
      <c r="PG15" s="18"/>
      <c r="PH15" s="18"/>
      <c r="PI15" s="18"/>
      <c r="PJ15" s="18"/>
      <c r="PK15" s="18"/>
      <c r="PL15" s="18"/>
      <c r="PM15" s="18"/>
      <c r="PN15" s="18"/>
      <c r="PO15" s="18"/>
      <c r="PP15" s="18"/>
      <c r="PQ15" s="18"/>
      <c r="PR15" s="18"/>
      <c r="PS15" s="18"/>
      <c r="PT15" s="18"/>
      <c r="PU15" s="18"/>
      <c r="PV15" s="18"/>
      <c r="PW15" s="11" t="str">
        <f t="shared" si="127"/>
        <v/>
      </c>
      <c r="PX15" s="11" t="str">
        <f t="shared" si="128"/>
        <v/>
      </c>
      <c r="PY15" s="11" t="str">
        <f t="shared" si="129"/>
        <v/>
      </c>
      <c r="PZ15" s="11" t="str">
        <f t="shared" si="130"/>
        <v/>
      </c>
      <c r="QA15" s="11" t="str">
        <f t="shared" si="131"/>
        <v/>
      </c>
      <c r="QB15" s="11" t="str">
        <f t="shared" si="132"/>
        <v/>
      </c>
      <c r="QC15" s="11" t="str">
        <f t="shared" si="133"/>
        <v/>
      </c>
      <c r="QD15" s="11" t="str">
        <f t="shared" si="134"/>
        <v/>
      </c>
      <c r="QE15" s="22">
        <f t="shared" si="135"/>
        <v>8.85</v>
      </c>
      <c r="QF15" s="22">
        <f t="shared" si="136"/>
        <v>1.2</v>
      </c>
      <c r="QG15" s="22">
        <f t="shared" si="137"/>
        <v>0</v>
      </c>
      <c r="QH15" s="22">
        <f t="shared" si="138"/>
        <v>0</v>
      </c>
      <c r="QI15" s="22">
        <f t="shared" si="139"/>
        <v>9.5</v>
      </c>
      <c r="QJ15" s="22">
        <f t="shared" si="140"/>
        <v>2.4</v>
      </c>
      <c r="QK15" s="22">
        <f t="shared" si="141"/>
        <v>0.3</v>
      </c>
      <c r="QL15" s="22">
        <f t="shared" si="142"/>
        <v>0</v>
      </c>
      <c r="QM15" s="22">
        <f t="shared" si="143"/>
        <v>9.4499999999999993</v>
      </c>
      <c r="QN15" s="22">
        <f t="shared" si="144"/>
        <v>2.15</v>
      </c>
      <c r="QO15" s="22">
        <f t="shared" si="145"/>
        <v>0</v>
      </c>
      <c r="QP15" s="22">
        <f t="shared" si="146"/>
        <v>0</v>
      </c>
      <c r="QQ15" s="22">
        <f t="shared" si="147"/>
        <v>9.6</v>
      </c>
      <c r="QR15" s="22">
        <f t="shared" si="148"/>
        <v>3</v>
      </c>
      <c r="QS15" s="22">
        <f t="shared" si="149"/>
        <v>0</v>
      </c>
      <c r="QT15" s="22">
        <f t="shared" si="150"/>
        <v>0</v>
      </c>
      <c r="QU15" s="22">
        <f t="shared" si="151"/>
        <v>9.4</v>
      </c>
      <c r="QV15" s="22">
        <f t="shared" si="152"/>
        <v>2.8</v>
      </c>
      <c r="QW15" s="22">
        <f t="shared" si="153"/>
        <v>0</v>
      </c>
      <c r="QX15" s="22">
        <f t="shared" si="154"/>
        <v>0</v>
      </c>
      <c r="QY15" s="27" t="s">
        <v>46</v>
      </c>
      <c r="QZ15" s="40">
        <f t="shared" si="155"/>
        <v>3.5999999999999996</v>
      </c>
      <c r="RA15" s="40">
        <f t="shared" si="156"/>
        <v>21.649999999999995</v>
      </c>
      <c r="RB15" s="40">
        <f t="shared" si="157"/>
        <v>11.6</v>
      </c>
      <c r="RC15" s="40">
        <f t="shared" si="158"/>
        <v>5.75</v>
      </c>
      <c r="RD15" s="40">
        <f t="shared" si="159"/>
        <v>33.249999999999993</v>
      </c>
      <c r="RE15" s="40">
        <f t="shared" si="160"/>
        <v>5.8</v>
      </c>
      <c r="RF15" s="40">
        <f t="shared" si="161"/>
        <v>24.8</v>
      </c>
      <c r="RG15" s="40">
        <f t="shared" si="162"/>
        <v>46.449999999999996</v>
      </c>
    </row>
    <row r="16" spans="1:475" x14ac:dyDescent="0.2">
      <c r="A16" s="4">
        <f t="shared" si="164"/>
        <v>13</v>
      </c>
      <c r="B16" s="5" t="s">
        <v>108</v>
      </c>
      <c r="C16" s="4" t="s">
        <v>6</v>
      </c>
      <c r="D16" s="4">
        <v>2005</v>
      </c>
      <c r="E16" s="9">
        <f t="shared" si="163"/>
        <v>163.50001176000495</v>
      </c>
      <c r="F16" s="3" t="str">
        <f t="shared" si="0"/>
        <v>P</v>
      </c>
      <c r="G16" s="3" t="str">
        <f t="shared" si="1"/>
        <v>P</v>
      </c>
      <c r="H16" s="36" t="str">
        <f t="shared" si="2"/>
        <v>National Team</v>
      </c>
      <c r="I16" s="3" t="str">
        <f t="shared" si="3"/>
        <v/>
      </c>
      <c r="J16" s="8">
        <f>IF(COUNT(AQ16,BT16,CW16)&gt;0,LARGE((AQ16,BT16,CW16),1),0)</f>
        <v>49.500000000000007</v>
      </c>
      <c r="K16" s="8" t="str">
        <f t="shared" si="4"/>
        <v>2023 Elite Canada</v>
      </c>
      <c r="L16" s="8">
        <f>IF(COUNT(AQ16,BT16,CW16)&gt;1,LARGE((AQ16,BT16,CW16),2),0)</f>
        <v>43.099999999999994</v>
      </c>
      <c r="M16" s="8" t="str">
        <f t="shared" si="5"/>
        <v>2022 Nationals</v>
      </c>
      <c r="N16" s="8">
        <f>IF(COUNT(AR16,BU16,CX16)&gt;0,LARGE((AR16,BU16,CX16),1),0)</f>
        <v>25</v>
      </c>
      <c r="O16" s="8" t="str">
        <f t="shared" si="6"/>
        <v>2023 Elite Canada</v>
      </c>
      <c r="P16" s="8">
        <f t="shared" si="7"/>
        <v>45.9</v>
      </c>
      <c r="Q16" s="8" t="str">
        <f t="shared" si="8"/>
        <v>2023 Elite Canada</v>
      </c>
      <c r="R16" s="8" t="str">
        <f t="shared" si="9"/>
        <v/>
      </c>
      <c r="S16" s="11" t="str">
        <f t="shared" si="10"/>
        <v/>
      </c>
      <c r="T16" s="8" t="str">
        <f t="shared" si="11"/>
        <v/>
      </c>
      <c r="U16" s="19">
        <v>18.899999999999999</v>
      </c>
      <c r="V16" s="19">
        <v>6.8</v>
      </c>
      <c r="W16" s="19">
        <v>0.2</v>
      </c>
      <c r="X16" s="19">
        <v>0</v>
      </c>
      <c r="Y16" s="19">
        <v>17.600000000000001</v>
      </c>
      <c r="Z16" s="19">
        <v>0</v>
      </c>
      <c r="AA16" s="19">
        <v>0</v>
      </c>
      <c r="AB16" s="19">
        <v>0</v>
      </c>
      <c r="AC16" s="19">
        <v>17.2</v>
      </c>
      <c r="AD16" s="19">
        <v>3.2</v>
      </c>
      <c r="AE16" s="19">
        <v>0</v>
      </c>
      <c r="AF16" s="19">
        <v>0</v>
      </c>
      <c r="AG16" s="19"/>
      <c r="AH16" s="19"/>
      <c r="AI16" s="19"/>
      <c r="AJ16" s="19"/>
      <c r="AK16" s="19"/>
      <c r="AL16" s="19"/>
      <c r="AM16" s="19"/>
      <c r="AN16" s="19"/>
      <c r="AO16" s="27"/>
      <c r="AP16" s="40">
        <f t="shared" si="12"/>
        <v>6.8</v>
      </c>
      <c r="AQ16" s="40">
        <f t="shared" si="13"/>
        <v>43.099999999999994</v>
      </c>
      <c r="AR16" s="40">
        <f t="shared" si="14"/>
        <v>20.399999999999999</v>
      </c>
      <c r="AS16" s="40">
        <f t="shared" si="15"/>
        <v>10</v>
      </c>
      <c r="AT16" s="40">
        <f t="shared" si="16"/>
        <v>63.499999999999993</v>
      </c>
      <c r="AU16" s="40" t="str">
        <f t="shared" si="17"/>
        <v/>
      </c>
      <c r="AV16" s="40" t="str">
        <f t="shared" si="18"/>
        <v/>
      </c>
      <c r="AW16" s="40">
        <f t="shared" si="19"/>
        <v>43.099999999999994</v>
      </c>
      <c r="AX16" s="18"/>
      <c r="AY16" s="18"/>
      <c r="AZ16" s="18"/>
      <c r="BA16" s="18"/>
      <c r="BB16" s="18"/>
      <c r="BC16" s="18"/>
      <c r="BD16" s="18"/>
      <c r="BE16" s="18"/>
      <c r="BF16" s="18"/>
      <c r="BG16" s="18"/>
      <c r="BH16" s="18"/>
      <c r="BI16" s="18"/>
      <c r="BJ16" s="18"/>
      <c r="BK16" s="18"/>
      <c r="BL16" s="18"/>
      <c r="BM16" s="18"/>
      <c r="BN16" s="18"/>
      <c r="BO16" s="18"/>
      <c r="BP16" s="18"/>
      <c r="BQ16" s="18"/>
      <c r="BR16" s="28"/>
      <c r="BS16" s="11" t="str">
        <f t="shared" si="20"/>
        <v/>
      </c>
      <c r="BT16" s="11" t="str">
        <f t="shared" si="21"/>
        <v/>
      </c>
      <c r="BU16" s="11" t="str">
        <f t="shared" si="22"/>
        <v/>
      </c>
      <c r="BV16" s="11" t="str">
        <f t="shared" si="23"/>
        <v/>
      </c>
      <c r="BW16" s="11" t="str">
        <f t="shared" si="24"/>
        <v/>
      </c>
      <c r="BX16" s="11" t="str">
        <f t="shared" si="25"/>
        <v/>
      </c>
      <c r="BY16" s="11" t="str">
        <f t="shared" si="26"/>
        <v/>
      </c>
      <c r="BZ16" s="11" t="str">
        <f t="shared" si="27"/>
        <v/>
      </c>
      <c r="CA16" s="19">
        <v>19.3</v>
      </c>
      <c r="CB16" s="19">
        <v>6.8</v>
      </c>
      <c r="CC16" s="19">
        <v>0.6</v>
      </c>
      <c r="CD16" s="19">
        <v>0</v>
      </c>
      <c r="CE16" s="19">
        <v>18.8</v>
      </c>
      <c r="CF16" s="19">
        <v>5.6</v>
      </c>
      <c r="CG16" s="19">
        <v>0.4</v>
      </c>
      <c r="CH16" s="19">
        <v>0</v>
      </c>
      <c r="CI16" s="19">
        <v>18.8</v>
      </c>
      <c r="CJ16" s="19">
        <v>6.8</v>
      </c>
      <c r="CK16" s="19">
        <v>0.6</v>
      </c>
      <c r="CL16" s="19">
        <v>0</v>
      </c>
      <c r="CM16" s="19">
        <v>19</v>
      </c>
      <c r="CN16" s="19">
        <v>5.2</v>
      </c>
      <c r="CO16" s="19">
        <v>1.6</v>
      </c>
      <c r="CP16" s="19">
        <v>0</v>
      </c>
      <c r="CQ16" s="19">
        <v>18.7</v>
      </c>
      <c r="CR16" s="19">
        <v>5.6</v>
      </c>
      <c r="CS16" s="19">
        <v>1</v>
      </c>
      <c r="CT16" s="19">
        <v>0</v>
      </c>
      <c r="CU16" s="27"/>
      <c r="CV16" s="40">
        <f t="shared" si="28"/>
        <v>12.399999999999999</v>
      </c>
      <c r="CW16" s="40">
        <f t="shared" si="29"/>
        <v>49.500000000000007</v>
      </c>
      <c r="CX16" s="40">
        <f t="shared" si="30"/>
        <v>25</v>
      </c>
      <c r="CY16" s="40">
        <f t="shared" si="31"/>
        <v>19.2</v>
      </c>
      <c r="CZ16" s="40">
        <f t="shared" si="32"/>
        <v>74.5</v>
      </c>
      <c r="DA16" s="40">
        <f t="shared" si="33"/>
        <v>10.8</v>
      </c>
      <c r="DB16" s="40">
        <f t="shared" si="34"/>
        <v>45.9</v>
      </c>
      <c r="DC16" s="40">
        <f t="shared" si="35"/>
        <v>95.4</v>
      </c>
      <c r="DD16" s="50" t="str">
        <f t="shared" si="36"/>
        <v/>
      </c>
      <c r="DE16" s="50" t="str">
        <f t="shared" si="37"/>
        <v/>
      </c>
      <c r="DF16" s="50" t="str">
        <f t="shared" si="38"/>
        <v/>
      </c>
      <c r="DG16" s="17"/>
      <c r="DH16" s="17"/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17"/>
      <c r="DY16" s="17"/>
      <c r="DZ16" s="17"/>
      <c r="EA16" s="40" t="str">
        <f t="shared" si="39"/>
        <v/>
      </c>
      <c r="EB16" s="40" t="str">
        <f t="shared" si="40"/>
        <v/>
      </c>
      <c r="EC16" s="40" t="str">
        <f t="shared" si="41"/>
        <v/>
      </c>
      <c r="ED16" s="40" t="str">
        <f t="shared" si="42"/>
        <v/>
      </c>
      <c r="EE16" s="40" t="str">
        <f t="shared" si="43"/>
        <v/>
      </c>
      <c r="EF16" s="40" t="str">
        <f t="shared" si="44"/>
        <v/>
      </c>
      <c r="EG16" s="40" t="str">
        <f t="shared" si="45"/>
        <v/>
      </c>
      <c r="EH16" s="40" t="str">
        <f t="shared" si="46"/>
        <v/>
      </c>
      <c r="EI16" s="18"/>
      <c r="EJ16" s="18"/>
      <c r="EK16" s="18"/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8"/>
      <c r="EY16" s="18"/>
      <c r="EZ16" s="18"/>
      <c r="FA16" s="18"/>
      <c r="FB16" s="18"/>
      <c r="FC16" s="11" t="str">
        <f t="shared" si="47"/>
        <v/>
      </c>
      <c r="FD16" s="11" t="str">
        <f t="shared" si="48"/>
        <v/>
      </c>
      <c r="FE16" s="11" t="str">
        <f t="shared" si="49"/>
        <v/>
      </c>
      <c r="FF16" s="11" t="str">
        <f t="shared" si="50"/>
        <v/>
      </c>
      <c r="FG16" s="11" t="str">
        <f t="shared" si="51"/>
        <v/>
      </c>
      <c r="FH16" s="11" t="str">
        <f t="shared" si="52"/>
        <v/>
      </c>
      <c r="FI16" s="11" t="str">
        <f t="shared" si="53"/>
        <v/>
      </c>
      <c r="FJ16" s="11" t="str">
        <f t="shared" si="54"/>
        <v/>
      </c>
      <c r="FK16" s="17"/>
      <c r="FL16" s="17"/>
      <c r="FM16" s="17"/>
      <c r="FN16" s="17"/>
      <c r="FO16" s="17"/>
      <c r="FP16" s="17"/>
      <c r="FQ16" s="17"/>
      <c r="FR16" s="17"/>
      <c r="FS16" s="17"/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17"/>
      <c r="GE16" s="40" t="str">
        <f t="shared" si="55"/>
        <v/>
      </c>
      <c r="GF16" s="40" t="str">
        <f t="shared" si="56"/>
        <v/>
      </c>
      <c r="GG16" s="40" t="str">
        <f t="shared" si="57"/>
        <v/>
      </c>
      <c r="GH16" s="40" t="str">
        <f t="shared" si="58"/>
        <v/>
      </c>
      <c r="GI16" s="40" t="str">
        <f t="shared" si="59"/>
        <v/>
      </c>
      <c r="GJ16" s="40" t="str">
        <f t="shared" si="60"/>
        <v/>
      </c>
      <c r="GK16" s="40" t="str">
        <f t="shared" si="61"/>
        <v/>
      </c>
      <c r="GL16" s="40" t="str">
        <f t="shared" si="62"/>
        <v/>
      </c>
      <c r="GM16" s="18"/>
      <c r="GN16" s="18"/>
      <c r="GO16" s="18"/>
      <c r="GP16" s="18"/>
      <c r="GQ16" s="18"/>
      <c r="GR16" s="18"/>
      <c r="GS16" s="18"/>
      <c r="GT16" s="18"/>
      <c r="GU16" s="18"/>
      <c r="GV16" s="18"/>
      <c r="GW16" s="18"/>
      <c r="GX16" s="18"/>
      <c r="GY16" s="18"/>
      <c r="GZ16" s="18"/>
      <c r="HA16" s="18"/>
      <c r="HB16" s="18"/>
      <c r="HC16" s="18"/>
      <c r="HD16" s="18"/>
      <c r="HE16" s="18"/>
      <c r="HF16" s="18"/>
      <c r="HG16" s="11" t="str">
        <f t="shared" si="63"/>
        <v/>
      </c>
      <c r="HH16" s="11" t="str">
        <f t="shared" si="64"/>
        <v/>
      </c>
      <c r="HI16" s="11" t="str">
        <f t="shared" si="65"/>
        <v/>
      </c>
      <c r="HJ16" s="11" t="str">
        <f t="shared" si="66"/>
        <v/>
      </c>
      <c r="HK16" s="11" t="str">
        <f t="shared" si="67"/>
        <v/>
      </c>
      <c r="HL16" s="11" t="str">
        <f t="shared" si="68"/>
        <v/>
      </c>
      <c r="HM16" s="11" t="str">
        <f t="shared" si="69"/>
        <v/>
      </c>
      <c r="HN16" s="11" t="str">
        <f t="shared" si="70"/>
        <v/>
      </c>
      <c r="HO16" s="17"/>
      <c r="HP16" s="17"/>
      <c r="HQ16" s="17"/>
      <c r="HR16" s="17"/>
      <c r="HS16" s="17"/>
      <c r="HT16" s="17"/>
      <c r="HU16" s="17"/>
      <c r="HV16" s="17"/>
      <c r="HW16" s="17"/>
      <c r="HX16" s="17"/>
      <c r="HY16" s="17"/>
      <c r="HZ16" s="17"/>
      <c r="IA16" s="17"/>
      <c r="IB16" s="17"/>
      <c r="IC16" s="17"/>
      <c r="ID16" s="17"/>
      <c r="IE16" s="17"/>
      <c r="IF16" s="17"/>
      <c r="IG16" s="17"/>
      <c r="IH16" s="17"/>
      <c r="II16" s="40" t="str">
        <f t="shared" si="71"/>
        <v/>
      </c>
      <c r="IJ16" s="40" t="str">
        <f t="shared" si="72"/>
        <v/>
      </c>
      <c r="IK16" s="40" t="str">
        <f t="shared" si="73"/>
        <v/>
      </c>
      <c r="IL16" s="40" t="str">
        <f t="shared" si="74"/>
        <v/>
      </c>
      <c r="IM16" s="40" t="str">
        <f t="shared" si="75"/>
        <v/>
      </c>
      <c r="IN16" s="40" t="str">
        <f t="shared" si="76"/>
        <v/>
      </c>
      <c r="IO16" s="40" t="str">
        <f t="shared" si="77"/>
        <v/>
      </c>
      <c r="IP16" s="40" t="str">
        <f t="shared" si="78"/>
        <v/>
      </c>
      <c r="IQ16" s="18"/>
      <c r="IR16" s="18"/>
      <c r="IS16" s="18"/>
      <c r="IT16" s="18"/>
      <c r="IU16" s="18"/>
      <c r="IV16" s="18"/>
      <c r="IW16" s="18"/>
      <c r="IX16" s="18"/>
      <c r="IY16" s="18"/>
      <c r="IZ16" s="18"/>
      <c r="JA16" s="18"/>
      <c r="JB16" s="18"/>
      <c r="JC16" s="18"/>
      <c r="JD16" s="18"/>
      <c r="JE16" s="18"/>
      <c r="JF16" s="18"/>
      <c r="JG16" s="18"/>
      <c r="JH16" s="18"/>
      <c r="JI16" s="18"/>
      <c r="JJ16" s="18"/>
      <c r="JK16" s="11" t="str">
        <f t="shared" si="79"/>
        <v/>
      </c>
      <c r="JL16" s="11" t="str">
        <f t="shared" si="80"/>
        <v/>
      </c>
      <c r="JM16" s="11" t="str">
        <f t="shared" si="81"/>
        <v/>
      </c>
      <c r="JN16" s="11" t="str">
        <f t="shared" si="82"/>
        <v/>
      </c>
      <c r="JO16" s="11" t="str">
        <f t="shared" si="83"/>
        <v/>
      </c>
      <c r="JP16" s="11" t="str">
        <f t="shared" si="84"/>
        <v/>
      </c>
      <c r="JQ16" s="11" t="str">
        <f t="shared" si="85"/>
        <v/>
      </c>
      <c r="JR16" s="11" t="str">
        <f t="shared" si="86"/>
        <v/>
      </c>
      <c r="JS16" s="17"/>
      <c r="JT16" s="17"/>
      <c r="JU16" s="17"/>
      <c r="JV16" s="17"/>
      <c r="JW16" s="17"/>
      <c r="JX16" s="17"/>
      <c r="JY16" s="17"/>
      <c r="JZ16" s="17"/>
      <c r="KA16" s="17"/>
      <c r="KB16" s="17"/>
      <c r="KC16" s="17"/>
      <c r="KD16" s="17"/>
      <c r="KE16" s="17"/>
      <c r="KF16" s="17"/>
      <c r="KG16" s="17"/>
      <c r="KH16" s="17"/>
      <c r="KI16" s="17"/>
      <c r="KJ16" s="17"/>
      <c r="KK16" s="17"/>
      <c r="KL16" s="17"/>
      <c r="KM16" s="40" t="str">
        <f t="shared" si="87"/>
        <v/>
      </c>
      <c r="KN16" s="40" t="str">
        <f t="shared" si="88"/>
        <v/>
      </c>
      <c r="KO16" s="40" t="str">
        <f t="shared" si="89"/>
        <v/>
      </c>
      <c r="KP16" s="40" t="str">
        <f t="shared" si="90"/>
        <v/>
      </c>
      <c r="KQ16" s="40" t="str">
        <f t="shared" si="91"/>
        <v/>
      </c>
      <c r="KR16" s="40" t="str">
        <f t="shared" si="92"/>
        <v/>
      </c>
      <c r="KS16" s="40" t="str">
        <f t="shared" si="93"/>
        <v/>
      </c>
      <c r="KT16" s="40" t="str">
        <f t="shared" si="94"/>
        <v/>
      </c>
      <c r="KU16" s="18"/>
      <c r="KV16" s="18"/>
      <c r="KW16" s="18"/>
      <c r="KX16" s="18"/>
      <c r="KY16" s="18"/>
      <c r="KZ16" s="18"/>
      <c r="LA16" s="18"/>
      <c r="LB16" s="18"/>
      <c r="LC16" s="18"/>
      <c r="LD16" s="18"/>
      <c r="LE16" s="18"/>
      <c r="LF16" s="18"/>
      <c r="LG16" s="18"/>
      <c r="LH16" s="18"/>
      <c r="LI16" s="18"/>
      <c r="LJ16" s="18"/>
      <c r="LK16" s="18"/>
      <c r="LL16" s="18"/>
      <c r="LM16" s="18"/>
      <c r="LN16" s="18"/>
      <c r="LO16" s="11" t="str">
        <f t="shared" si="95"/>
        <v/>
      </c>
      <c r="LP16" s="11" t="str">
        <f t="shared" si="96"/>
        <v/>
      </c>
      <c r="LQ16" s="11" t="str">
        <f t="shared" si="97"/>
        <v/>
      </c>
      <c r="LR16" s="11" t="str">
        <f t="shared" si="98"/>
        <v/>
      </c>
      <c r="LS16" s="11" t="str">
        <f t="shared" si="99"/>
        <v/>
      </c>
      <c r="LT16" s="11" t="str">
        <f t="shared" si="100"/>
        <v/>
      </c>
      <c r="LU16" s="11" t="str">
        <f t="shared" si="101"/>
        <v/>
      </c>
      <c r="LV16" s="11" t="str">
        <f t="shared" si="102"/>
        <v/>
      </c>
      <c r="LW16" s="17"/>
      <c r="LX16" s="17"/>
      <c r="LY16" s="17"/>
      <c r="LZ16" s="17"/>
      <c r="MA16" s="17"/>
      <c r="MB16" s="17"/>
      <c r="MC16" s="17"/>
      <c r="MD16" s="17"/>
      <c r="ME16" s="17"/>
      <c r="MF16" s="17"/>
      <c r="MG16" s="17"/>
      <c r="MH16" s="17"/>
      <c r="MI16" s="17"/>
      <c r="MJ16" s="17"/>
      <c r="MK16" s="17"/>
      <c r="ML16" s="17"/>
      <c r="MM16" s="17"/>
      <c r="MN16" s="17"/>
      <c r="MO16" s="17"/>
      <c r="MP16" s="17"/>
      <c r="MQ16" s="40" t="str">
        <f t="shared" si="103"/>
        <v/>
      </c>
      <c r="MR16" s="40" t="str">
        <f t="shared" si="104"/>
        <v/>
      </c>
      <c r="MS16" s="40" t="str">
        <f t="shared" si="105"/>
        <v/>
      </c>
      <c r="MT16" s="40" t="str">
        <f t="shared" si="106"/>
        <v/>
      </c>
      <c r="MU16" s="40" t="str">
        <f t="shared" si="107"/>
        <v/>
      </c>
      <c r="MV16" s="40" t="str">
        <f t="shared" si="108"/>
        <v/>
      </c>
      <c r="MW16" s="40" t="str">
        <f t="shared" si="109"/>
        <v/>
      </c>
      <c r="MX16" s="40" t="str">
        <f t="shared" si="110"/>
        <v/>
      </c>
      <c r="MY16" s="18"/>
      <c r="MZ16" s="18"/>
      <c r="NA16" s="18"/>
      <c r="NB16" s="18"/>
      <c r="NC16" s="18"/>
      <c r="ND16" s="18"/>
      <c r="NE16" s="18"/>
      <c r="NF16" s="18"/>
      <c r="NG16" s="18"/>
      <c r="NH16" s="18"/>
      <c r="NI16" s="18"/>
      <c r="NJ16" s="18"/>
      <c r="NK16" s="18"/>
      <c r="NL16" s="18"/>
      <c r="NM16" s="18"/>
      <c r="NN16" s="18"/>
      <c r="NO16" s="18"/>
      <c r="NP16" s="18"/>
      <c r="NQ16" s="18"/>
      <c r="NR16" s="18"/>
      <c r="NS16" s="11" t="str">
        <f t="shared" si="111"/>
        <v/>
      </c>
      <c r="NT16" s="11" t="str">
        <f t="shared" si="112"/>
        <v/>
      </c>
      <c r="NU16" s="11" t="str">
        <f t="shared" si="113"/>
        <v/>
      </c>
      <c r="NV16" s="11" t="str">
        <f t="shared" si="114"/>
        <v/>
      </c>
      <c r="NW16" s="11" t="str">
        <f t="shared" si="115"/>
        <v/>
      </c>
      <c r="NX16" s="11" t="str">
        <f t="shared" si="116"/>
        <v/>
      </c>
      <c r="NY16" s="11" t="str">
        <f t="shared" si="117"/>
        <v/>
      </c>
      <c r="NZ16" s="11" t="str">
        <f t="shared" si="118"/>
        <v/>
      </c>
      <c r="OA16" s="17"/>
      <c r="OB16" s="17"/>
      <c r="OC16" s="17"/>
      <c r="OD16" s="17"/>
      <c r="OE16" s="17"/>
      <c r="OF16" s="17"/>
      <c r="OG16" s="17"/>
      <c r="OH16" s="17"/>
      <c r="OI16" s="17"/>
      <c r="OJ16" s="17"/>
      <c r="OK16" s="17"/>
      <c r="OL16" s="17"/>
      <c r="OM16" s="17"/>
      <c r="ON16" s="17"/>
      <c r="OO16" s="17"/>
      <c r="OP16" s="17"/>
      <c r="OQ16" s="17"/>
      <c r="OR16" s="17"/>
      <c r="OS16" s="17"/>
      <c r="OT16" s="17"/>
      <c r="OU16" s="40" t="str">
        <f t="shared" si="119"/>
        <v/>
      </c>
      <c r="OV16" s="40" t="str">
        <f t="shared" si="120"/>
        <v/>
      </c>
      <c r="OW16" s="40" t="str">
        <f t="shared" si="121"/>
        <v/>
      </c>
      <c r="OX16" s="40" t="str">
        <f t="shared" si="122"/>
        <v/>
      </c>
      <c r="OY16" s="40" t="str">
        <f t="shared" si="123"/>
        <v/>
      </c>
      <c r="OZ16" s="40" t="str">
        <f t="shared" si="124"/>
        <v/>
      </c>
      <c r="PA16" s="40" t="str">
        <f t="shared" si="125"/>
        <v/>
      </c>
      <c r="PB16" s="40" t="str">
        <f t="shared" si="126"/>
        <v/>
      </c>
      <c r="PC16" s="18"/>
      <c r="PD16" s="18"/>
      <c r="PE16" s="18"/>
      <c r="PF16" s="18"/>
      <c r="PG16" s="18"/>
      <c r="PH16" s="18"/>
      <c r="PI16" s="18"/>
      <c r="PJ16" s="18"/>
      <c r="PK16" s="18"/>
      <c r="PL16" s="18"/>
      <c r="PM16" s="18"/>
      <c r="PN16" s="18"/>
      <c r="PO16" s="18"/>
      <c r="PP16" s="18"/>
      <c r="PQ16" s="18"/>
      <c r="PR16" s="18"/>
      <c r="PS16" s="18"/>
      <c r="PT16" s="18"/>
      <c r="PU16" s="18"/>
      <c r="PV16" s="18"/>
      <c r="PW16" s="11" t="str">
        <f t="shared" si="127"/>
        <v/>
      </c>
      <c r="PX16" s="11" t="str">
        <f t="shared" si="128"/>
        <v/>
      </c>
      <c r="PY16" s="11" t="str">
        <f t="shared" si="129"/>
        <v/>
      </c>
      <c r="PZ16" s="11" t="str">
        <f t="shared" si="130"/>
        <v/>
      </c>
      <c r="QA16" s="11" t="str">
        <f t="shared" si="131"/>
        <v/>
      </c>
      <c r="QB16" s="11" t="str">
        <f t="shared" si="132"/>
        <v/>
      </c>
      <c r="QC16" s="11" t="str">
        <f t="shared" si="133"/>
        <v/>
      </c>
      <c r="QD16" s="11" t="str">
        <f t="shared" si="134"/>
        <v/>
      </c>
      <c r="QE16" s="22">
        <f t="shared" si="135"/>
        <v>9.65</v>
      </c>
      <c r="QF16" s="22">
        <f t="shared" si="136"/>
        <v>3.4</v>
      </c>
      <c r="QG16" s="22">
        <f t="shared" si="137"/>
        <v>0.3</v>
      </c>
      <c r="QH16" s="22">
        <f t="shared" si="138"/>
        <v>0</v>
      </c>
      <c r="QI16" s="22">
        <f t="shared" si="139"/>
        <v>9.4</v>
      </c>
      <c r="QJ16" s="22">
        <f t="shared" si="140"/>
        <v>2.8</v>
      </c>
      <c r="QK16" s="22">
        <f t="shared" si="141"/>
        <v>0.2</v>
      </c>
      <c r="QL16" s="22">
        <f t="shared" si="142"/>
        <v>0</v>
      </c>
      <c r="QM16" s="22">
        <f t="shared" si="143"/>
        <v>9.4</v>
      </c>
      <c r="QN16" s="22">
        <f t="shared" si="144"/>
        <v>3.4</v>
      </c>
      <c r="QO16" s="22">
        <f t="shared" si="145"/>
        <v>0.3</v>
      </c>
      <c r="QP16" s="22">
        <f t="shared" si="146"/>
        <v>0</v>
      </c>
      <c r="QQ16" s="22">
        <f t="shared" si="147"/>
        <v>9.5</v>
      </c>
      <c r="QR16" s="22">
        <f t="shared" si="148"/>
        <v>2.6</v>
      </c>
      <c r="QS16" s="22">
        <f t="shared" si="149"/>
        <v>0.8</v>
      </c>
      <c r="QT16" s="22">
        <f t="shared" si="150"/>
        <v>0</v>
      </c>
      <c r="QU16" s="22">
        <f t="shared" si="151"/>
        <v>9.35</v>
      </c>
      <c r="QV16" s="22">
        <f t="shared" si="152"/>
        <v>2.8</v>
      </c>
      <c r="QW16" s="22">
        <f t="shared" si="153"/>
        <v>0.5</v>
      </c>
      <c r="QX16" s="22">
        <f t="shared" si="154"/>
        <v>0</v>
      </c>
      <c r="QY16" s="27" t="s">
        <v>46</v>
      </c>
      <c r="QZ16" s="40">
        <f t="shared" si="155"/>
        <v>6.1999999999999993</v>
      </c>
      <c r="RA16" s="40">
        <f t="shared" si="156"/>
        <v>24.750000000000004</v>
      </c>
      <c r="RB16" s="40">
        <f t="shared" si="157"/>
        <v>12.5</v>
      </c>
      <c r="RC16" s="40">
        <f t="shared" si="158"/>
        <v>9.6</v>
      </c>
      <c r="RD16" s="40">
        <f t="shared" si="159"/>
        <v>37.25</v>
      </c>
      <c r="RE16" s="40">
        <f t="shared" si="160"/>
        <v>5.4</v>
      </c>
      <c r="RF16" s="40">
        <f t="shared" si="161"/>
        <v>22.95</v>
      </c>
      <c r="RG16" s="40">
        <f t="shared" si="162"/>
        <v>47.7</v>
      </c>
    </row>
    <row r="17" spans="1:475" x14ac:dyDescent="0.2">
      <c r="A17" s="4">
        <f t="shared" si="164"/>
        <v>14</v>
      </c>
      <c r="B17" s="5" t="s">
        <v>217</v>
      </c>
      <c r="C17" s="4" t="s">
        <v>3</v>
      </c>
      <c r="D17" s="4">
        <v>2006</v>
      </c>
      <c r="E17" s="9">
        <f t="shared" si="163"/>
        <v>161.5000114400049</v>
      </c>
      <c r="F17" s="3" t="str">
        <f t="shared" si="0"/>
        <v>P</v>
      </c>
      <c r="G17" s="3" t="str">
        <f t="shared" si="1"/>
        <v>P</v>
      </c>
      <c r="H17" s="36" t="str">
        <f t="shared" si="2"/>
        <v>National Team</v>
      </c>
      <c r="I17" s="3" t="str">
        <f t="shared" si="3"/>
        <v/>
      </c>
      <c r="J17" s="8">
        <f>IF(COUNT(AQ17,BT17,CW17)&gt;0,LARGE((AQ17,BT17,CW17),1),0)</f>
        <v>49</v>
      </c>
      <c r="K17" s="8" t="str">
        <f t="shared" si="4"/>
        <v>2023 Elite Canada</v>
      </c>
      <c r="L17" s="8">
        <f>IF(COUNT(AQ17,BT17,CW17)&gt;1,LARGE((AQ17,BT17,CW17),2),0)</f>
        <v>47.1</v>
      </c>
      <c r="M17" s="8" t="str">
        <f t="shared" si="5"/>
        <v>2022 Nationals</v>
      </c>
      <c r="N17" s="8">
        <f>IF(COUNT(AR17,BU17,CX17)&gt;0,LARGE((AR17,BU17,CX17),1),0)</f>
        <v>18.3</v>
      </c>
      <c r="O17" s="8" t="str">
        <f t="shared" si="6"/>
        <v>2023 Elite Canada</v>
      </c>
      <c r="P17" s="8">
        <f t="shared" si="7"/>
        <v>47.1</v>
      </c>
      <c r="Q17" s="8" t="str">
        <f t="shared" si="8"/>
        <v>2023 Elite Canada</v>
      </c>
      <c r="R17" s="8" t="str">
        <f t="shared" si="9"/>
        <v/>
      </c>
      <c r="S17" s="11" t="str">
        <f t="shared" si="10"/>
        <v/>
      </c>
      <c r="T17" s="8" t="str">
        <f t="shared" si="11"/>
        <v/>
      </c>
      <c r="U17" s="19">
        <v>18.5</v>
      </c>
      <c r="V17" s="19">
        <v>5.2</v>
      </c>
      <c r="W17" s="19">
        <v>0</v>
      </c>
      <c r="X17" s="19">
        <v>0</v>
      </c>
      <c r="Y17" s="19">
        <v>18.2</v>
      </c>
      <c r="Z17" s="19">
        <v>5.2</v>
      </c>
      <c r="AA17" s="19">
        <v>0</v>
      </c>
      <c r="AB17" s="19">
        <v>0</v>
      </c>
      <c r="AC17" s="19"/>
      <c r="AD17" s="19"/>
      <c r="AE17" s="19"/>
      <c r="AF17" s="19"/>
      <c r="AG17" s="19">
        <v>18.8</v>
      </c>
      <c r="AH17" s="19">
        <v>4.3</v>
      </c>
      <c r="AI17" s="19">
        <v>0</v>
      </c>
      <c r="AJ17" s="19">
        <v>0</v>
      </c>
      <c r="AK17" s="19">
        <v>18.600000000000001</v>
      </c>
      <c r="AL17" s="19">
        <v>3.4</v>
      </c>
      <c r="AM17" s="19">
        <v>0</v>
      </c>
      <c r="AN17" s="19">
        <v>0</v>
      </c>
      <c r="AO17" s="27"/>
      <c r="AP17" s="40">
        <f t="shared" si="12"/>
        <v>10.4</v>
      </c>
      <c r="AQ17" s="40">
        <f t="shared" si="13"/>
        <v>47.1</v>
      </c>
      <c r="AR17" s="40" t="str">
        <f t="shared" si="14"/>
        <v/>
      </c>
      <c r="AS17" s="40">
        <f t="shared" si="15"/>
        <v>10.4</v>
      </c>
      <c r="AT17" s="40">
        <f t="shared" si="16"/>
        <v>47.1</v>
      </c>
      <c r="AU17" s="40">
        <f t="shared" si="17"/>
        <v>7.6999999999999993</v>
      </c>
      <c r="AV17" s="40">
        <f t="shared" si="18"/>
        <v>45.1</v>
      </c>
      <c r="AW17" s="40">
        <f t="shared" si="19"/>
        <v>92.2</v>
      </c>
      <c r="AX17" s="18"/>
      <c r="AY17" s="18"/>
      <c r="AZ17" s="18"/>
      <c r="BA17" s="18"/>
      <c r="BB17" s="18"/>
      <c r="BC17" s="18"/>
      <c r="BD17" s="18"/>
      <c r="BE17" s="18"/>
      <c r="BF17" s="18"/>
      <c r="BG17" s="18"/>
      <c r="BH17" s="18"/>
      <c r="BI17" s="18"/>
      <c r="BJ17" s="18"/>
      <c r="BK17" s="18"/>
      <c r="BL17" s="18"/>
      <c r="BM17" s="18"/>
      <c r="BN17" s="18"/>
      <c r="BO17" s="18"/>
      <c r="BP17" s="18"/>
      <c r="BQ17" s="18"/>
      <c r="BR17" s="28"/>
      <c r="BS17" s="11" t="str">
        <f t="shared" si="20"/>
        <v/>
      </c>
      <c r="BT17" s="11" t="str">
        <f t="shared" si="21"/>
        <v/>
      </c>
      <c r="BU17" s="11" t="str">
        <f t="shared" si="22"/>
        <v/>
      </c>
      <c r="BV17" s="11" t="str">
        <f t="shared" si="23"/>
        <v/>
      </c>
      <c r="BW17" s="11" t="str">
        <f t="shared" si="24"/>
        <v/>
      </c>
      <c r="BX17" s="11" t="str">
        <f t="shared" si="25"/>
        <v/>
      </c>
      <c r="BY17" s="11" t="str">
        <f t="shared" si="26"/>
        <v/>
      </c>
      <c r="BZ17" s="11" t="str">
        <f t="shared" si="27"/>
        <v/>
      </c>
      <c r="CA17" s="19">
        <v>18.899999999999999</v>
      </c>
      <c r="CB17" s="19">
        <v>6</v>
      </c>
      <c r="CC17" s="19">
        <v>0.2</v>
      </c>
      <c r="CD17" s="19">
        <v>0</v>
      </c>
      <c r="CE17" s="19">
        <v>18.3</v>
      </c>
      <c r="CF17" s="19">
        <v>6</v>
      </c>
      <c r="CG17" s="19">
        <v>0</v>
      </c>
      <c r="CH17" s="19">
        <v>0</v>
      </c>
      <c r="CI17" s="19">
        <v>17.600000000000001</v>
      </c>
      <c r="CJ17" s="19">
        <v>0.7</v>
      </c>
      <c r="CK17" s="19">
        <v>0</v>
      </c>
      <c r="CL17" s="19">
        <v>0</v>
      </c>
      <c r="CM17" s="19">
        <v>18.600000000000001</v>
      </c>
      <c r="CN17" s="19">
        <v>6</v>
      </c>
      <c r="CO17" s="19">
        <v>0.2</v>
      </c>
      <c r="CP17" s="19">
        <v>0</v>
      </c>
      <c r="CQ17" s="19">
        <v>17.899999999999999</v>
      </c>
      <c r="CR17" s="19">
        <v>5.6</v>
      </c>
      <c r="CS17" s="19">
        <v>0.8</v>
      </c>
      <c r="CT17" s="19">
        <v>0</v>
      </c>
      <c r="CU17" s="27"/>
      <c r="CV17" s="40">
        <f t="shared" si="28"/>
        <v>12</v>
      </c>
      <c r="CW17" s="40">
        <f t="shared" si="29"/>
        <v>49</v>
      </c>
      <c r="CX17" s="40">
        <f t="shared" si="30"/>
        <v>18.3</v>
      </c>
      <c r="CY17" s="40">
        <f t="shared" si="31"/>
        <v>12.7</v>
      </c>
      <c r="CZ17" s="40">
        <f t="shared" si="32"/>
        <v>67.3</v>
      </c>
      <c r="DA17" s="40">
        <f t="shared" si="33"/>
        <v>11.6</v>
      </c>
      <c r="DB17" s="40">
        <f t="shared" si="34"/>
        <v>47.1</v>
      </c>
      <c r="DC17" s="40">
        <f t="shared" si="35"/>
        <v>96.1</v>
      </c>
      <c r="DD17" s="50" t="str">
        <f t="shared" si="36"/>
        <v/>
      </c>
      <c r="DE17" s="50" t="str">
        <f t="shared" si="37"/>
        <v/>
      </c>
      <c r="DF17" s="50" t="str">
        <f t="shared" si="38"/>
        <v/>
      </c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17"/>
      <c r="DY17" s="17"/>
      <c r="DZ17" s="17"/>
      <c r="EA17" s="40" t="str">
        <f t="shared" si="39"/>
        <v/>
      </c>
      <c r="EB17" s="40" t="str">
        <f t="shared" si="40"/>
        <v/>
      </c>
      <c r="EC17" s="40" t="str">
        <f t="shared" si="41"/>
        <v/>
      </c>
      <c r="ED17" s="40" t="str">
        <f t="shared" si="42"/>
        <v/>
      </c>
      <c r="EE17" s="40" t="str">
        <f t="shared" si="43"/>
        <v/>
      </c>
      <c r="EF17" s="40" t="str">
        <f t="shared" si="44"/>
        <v/>
      </c>
      <c r="EG17" s="40" t="str">
        <f t="shared" si="45"/>
        <v/>
      </c>
      <c r="EH17" s="40" t="str">
        <f t="shared" si="46"/>
        <v/>
      </c>
      <c r="EI17" s="18"/>
      <c r="EJ17" s="18"/>
      <c r="EK17" s="18"/>
      <c r="EL17" s="18"/>
      <c r="EM17" s="18"/>
      <c r="EN17" s="18"/>
      <c r="EO17" s="18"/>
      <c r="EP17" s="18"/>
      <c r="EQ17" s="18"/>
      <c r="ER17" s="18"/>
      <c r="ES17" s="18"/>
      <c r="ET17" s="18"/>
      <c r="EU17" s="18"/>
      <c r="EV17" s="18"/>
      <c r="EW17" s="18"/>
      <c r="EX17" s="18"/>
      <c r="EY17" s="18"/>
      <c r="EZ17" s="18"/>
      <c r="FA17" s="18"/>
      <c r="FB17" s="18"/>
      <c r="FC17" s="11" t="str">
        <f t="shared" si="47"/>
        <v/>
      </c>
      <c r="FD17" s="11" t="str">
        <f t="shared" si="48"/>
        <v/>
      </c>
      <c r="FE17" s="11" t="str">
        <f t="shared" si="49"/>
        <v/>
      </c>
      <c r="FF17" s="11" t="str">
        <f t="shared" si="50"/>
        <v/>
      </c>
      <c r="FG17" s="11" t="str">
        <f t="shared" si="51"/>
        <v/>
      </c>
      <c r="FH17" s="11" t="str">
        <f t="shared" si="52"/>
        <v/>
      </c>
      <c r="FI17" s="11" t="str">
        <f t="shared" si="53"/>
        <v/>
      </c>
      <c r="FJ17" s="11" t="str">
        <f t="shared" si="54"/>
        <v/>
      </c>
      <c r="FK17" s="17"/>
      <c r="FL17" s="17"/>
      <c r="FM17" s="17"/>
      <c r="FN17" s="17"/>
      <c r="FO17" s="17"/>
      <c r="FP17" s="17"/>
      <c r="FQ17" s="17"/>
      <c r="FR17" s="17"/>
      <c r="FS17" s="17"/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17"/>
      <c r="GE17" s="40" t="str">
        <f t="shared" si="55"/>
        <v/>
      </c>
      <c r="GF17" s="40" t="str">
        <f t="shared" si="56"/>
        <v/>
      </c>
      <c r="GG17" s="40" t="str">
        <f t="shared" si="57"/>
        <v/>
      </c>
      <c r="GH17" s="40" t="str">
        <f t="shared" si="58"/>
        <v/>
      </c>
      <c r="GI17" s="40" t="str">
        <f t="shared" si="59"/>
        <v/>
      </c>
      <c r="GJ17" s="40" t="str">
        <f t="shared" si="60"/>
        <v/>
      </c>
      <c r="GK17" s="40" t="str">
        <f t="shared" si="61"/>
        <v/>
      </c>
      <c r="GL17" s="40" t="str">
        <f t="shared" si="62"/>
        <v/>
      </c>
      <c r="GM17" s="18"/>
      <c r="GN17" s="18"/>
      <c r="GO17" s="18"/>
      <c r="GP17" s="18"/>
      <c r="GQ17" s="18"/>
      <c r="GR17" s="18"/>
      <c r="GS17" s="18"/>
      <c r="GT17" s="18"/>
      <c r="GU17" s="18"/>
      <c r="GV17" s="18"/>
      <c r="GW17" s="18"/>
      <c r="GX17" s="18"/>
      <c r="GY17" s="18"/>
      <c r="GZ17" s="18"/>
      <c r="HA17" s="18"/>
      <c r="HB17" s="18"/>
      <c r="HC17" s="18"/>
      <c r="HD17" s="18"/>
      <c r="HE17" s="18"/>
      <c r="HF17" s="18"/>
      <c r="HG17" s="11" t="str">
        <f t="shared" si="63"/>
        <v/>
      </c>
      <c r="HH17" s="11" t="str">
        <f t="shared" si="64"/>
        <v/>
      </c>
      <c r="HI17" s="11" t="str">
        <f t="shared" si="65"/>
        <v/>
      </c>
      <c r="HJ17" s="11" t="str">
        <f t="shared" si="66"/>
        <v/>
      </c>
      <c r="HK17" s="11" t="str">
        <f t="shared" si="67"/>
        <v/>
      </c>
      <c r="HL17" s="11" t="str">
        <f t="shared" si="68"/>
        <v/>
      </c>
      <c r="HM17" s="11" t="str">
        <f t="shared" si="69"/>
        <v/>
      </c>
      <c r="HN17" s="11" t="str">
        <f t="shared" si="70"/>
        <v/>
      </c>
      <c r="HO17" s="17"/>
      <c r="HP17" s="17"/>
      <c r="HQ17" s="17"/>
      <c r="HR17" s="17"/>
      <c r="HS17" s="17"/>
      <c r="HT17" s="17"/>
      <c r="HU17" s="17"/>
      <c r="HV17" s="17"/>
      <c r="HW17" s="17"/>
      <c r="HX17" s="17"/>
      <c r="HY17" s="17"/>
      <c r="HZ17" s="17"/>
      <c r="IA17" s="17"/>
      <c r="IB17" s="17"/>
      <c r="IC17" s="17"/>
      <c r="ID17" s="17"/>
      <c r="IE17" s="17"/>
      <c r="IF17" s="17"/>
      <c r="IG17" s="17"/>
      <c r="IH17" s="17"/>
      <c r="II17" s="40" t="str">
        <f t="shared" si="71"/>
        <v/>
      </c>
      <c r="IJ17" s="40" t="str">
        <f t="shared" si="72"/>
        <v/>
      </c>
      <c r="IK17" s="40" t="str">
        <f t="shared" si="73"/>
        <v/>
      </c>
      <c r="IL17" s="40" t="str">
        <f t="shared" si="74"/>
        <v/>
      </c>
      <c r="IM17" s="40" t="str">
        <f t="shared" si="75"/>
        <v/>
      </c>
      <c r="IN17" s="40" t="str">
        <f t="shared" si="76"/>
        <v/>
      </c>
      <c r="IO17" s="40" t="str">
        <f t="shared" si="77"/>
        <v/>
      </c>
      <c r="IP17" s="40" t="str">
        <f t="shared" si="78"/>
        <v/>
      </c>
      <c r="IQ17" s="18"/>
      <c r="IR17" s="18"/>
      <c r="IS17" s="18"/>
      <c r="IT17" s="18"/>
      <c r="IU17" s="18"/>
      <c r="IV17" s="18"/>
      <c r="IW17" s="18"/>
      <c r="IX17" s="18"/>
      <c r="IY17" s="18"/>
      <c r="IZ17" s="18"/>
      <c r="JA17" s="18"/>
      <c r="JB17" s="18"/>
      <c r="JC17" s="18"/>
      <c r="JD17" s="18"/>
      <c r="JE17" s="18"/>
      <c r="JF17" s="18"/>
      <c r="JG17" s="18"/>
      <c r="JH17" s="18"/>
      <c r="JI17" s="18"/>
      <c r="JJ17" s="18"/>
      <c r="JK17" s="11" t="str">
        <f t="shared" si="79"/>
        <v/>
      </c>
      <c r="JL17" s="11" t="str">
        <f t="shared" si="80"/>
        <v/>
      </c>
      <c r="JM17" s="11" t="str">
        <f t="shared" si="81"/>
        <v/>
      </c>
      <c r="JN17" s="11" t="str">
        <f t="shared" si="82"/>
        <v/>
      </c>
      <c r="JO17" s="11" t="str">
        <f t="shared" si="83"/>
        <v/>
      </c>
      <c r="JP17" s="11" t="str">
        <f t="shared" si="84"/>
        <v/>
      </c>
      <c r="JQ17" s="11" t="str">
        <f t="shared" si="85"/>
        <v/>
      </c>
      <c r="JR17" s="11" t="str">
        <f t="shared" si="86"/>
        <v/>
      </c>
      <c r="JS17" s="17"/>
      <c r="JT17" s="17"/>
      <c r="JU17" s="17"/>
      <c r="JV17" s="17"/>
      <c r="JW17" s="17"/>
      <c r="JX17" s="17"/>
      <c r="JY17" s="17"/>
      <c r="JZ17" s="17"/>
      <c r="KA17" s="17"/>
      <c r="KB17" s="17"/>
      <c r="KC17" s="17"/>
      <c r="KD17" s="17"/>
      <c r="KE17" s="17"/>
      <c r="KF17" s="17"/>
      <c r="KG17" s="17"/>
      <c r="KH17" s="17"/>
      <c r="KI17" s="17"/>
      <c r="KJ17" s="17"/>
      <c r="KK17" s="17"/>
      <c r="KL17" s="17"/>
      <c r="KM17" s="40" t="str">
        <f t="shared" si="87"/>
        <v/>
      </c>
      <c r="KN17" s="40" t="str">
        <f t="shared" si="88"/>
        <v/>
      </c>
      <c r="KO17" s="40" t="str">
        <f t="shared" si="89"/>
        <v/>
      </c>
      <c r="KP17" s="40" t="str">
        <f t="shared" si="90"/>
        <v/>
      </c>
      <c r="KQ17" s="40" t="str">
        <f t="shared" si="91"/>
        <v/>
      </c>
      <c r="KR17" s="40" t="str">
        <f t="shared" si="92"/>
        <v/>
      </c>
      <c r="KS17" s="40" t="str">
        <f t="shared" si="93"/>
        <v/>
      </c>
      <c r="KT17" s="40" t="str">
        <f t="shared" si="94"/>
        <v/>
      </c>
      <c r="KU17" s="18"/>
      <c r="KV17" s="18"/>
      <c r="KW17" s="18"/>
      <c r="KX17" s="18"/>
      <c r="KY17" s="18"/>
      <c r="KZ17" s="18"/>
      <c r="LA17" s="18"/>
      <c r="LB17" s="18"/>
      <c r="LC17" s="18"/>
      <c r="LD17" s="18"/>
      <c r="LE17" s="18"/>
      <c r="LF17" s="18"/>
      <c r="LG17" s="18"/>
      <c r="LH17" s="18"/>
      <c r="LI17" s="18"/>
      <c r="LJ17" s="18"/>
      <c r="LK17" s="18"/>
      <c r="LL17" s="18"/>
      <c r="LM17" s="18"/>
      <c r="LN17" s="18"/>
      <c r="LO17" s="11" t="str">
        <f t="shared" si="95"/>
        <v/>
      </c>
      <c r="LP17" s="11" t="str">
        <f t="shared" si="96"/>
        <v/>
      </c>
      <c r="LQ17" s="11" t="str">
        <f t="shared" si="97"/>
        <v/>
      </c>
      <c r="LR17" s="11" t="str">
        <f t="shared" si="98"/>
        <v/>
      </c>
      <c r="LS17" s="11" t="str">
        <f t="shared" si="99"/>
        <v/>
      </c>
      <c r="LT17" s="11" t="str">
        <f t="shared" si="100"/>
        <v/>
      </c>
      <c r="LU17" s="11" t="str">
        <f t="shared" si="101"/>
        <v/>
      </c>
      <c r="LV17" s="11" t="str">
        <f t="shared" si="102"/>
        <v/>
      </c>
      <c r="LW17" s="17"/>
      <c r="LX17" s="17"/>
      <c r="LY17" s="17"/>
      <c r="LZ17" s="17"/>
      <c r="MA17" s="17"/>
      <c r="MB17" s="17"/>
      <c r="MC17" s="17"/>
      <c r="MD17" s="17"/>
      <c r="ME17" s="17"/>
      <c r="MF17" s="17"/>
      <c r="MG17" s="17"/>
      <c r="MH17" s="17"/>
      <c r="MI17" s="17"/>
      <c r="MJ17" s="17"/>
      <c r="MK17" s="17"/>
      <c r="ML17" s="17"/>
      <c r="MM17" s="17"/>
      <c r="MN17" s="17"/>
      <c r="MO17" s="17"/>
      <c r="MP17" s="17"/>
      <c r="MQ17" s="40" t="str">
        <f t="shared" si="103"/>
        <v/>
      </c>
      <c r="MR17" s="40" t="str">
        <f t="shared" si="104"/>
        <v/>
      </c>
      <c r="MS17" s="40" t="str">
        <f t="shared" si="105"/>
        <v/>
      </c>
      <c r="MT17" s="40" t="str">
        <f t="shared" si="106"/>
        <v/>
      </c>
      <c r="MU17" s="40" t="str">
        <f t="shared" si="107"/>
        <v/>
      </c>
      <c r="MV17" s="40" t="str">
        <f t="shared" si="108"/>
        <v/>
      </c>
      <c r="MW17" s="40" t="str">
        <f t="shared" si="109"/>
        <v/>
      </c>
      <c r="MX17" s="40" t="str">
        <f t="shared" si="110"/>
        <v/>
      </c>
      <c r="MY17" s="18"/>
      <c r="MZ17" s="18"/>
      <c r="NA17" s="18"/>
      <c r="NB17" s="18"/>
      <c r="NC17" s="18"/>
      <c r="ND17" s="18"/>
      <c r="NE17" s="18"/>
      <c r="NF17" s="18"/>
      <c r="NG17" s="18"/>
      <c r="NH17" s="18"/>
      <c r="NI17" s="18"/>
      <c r="NJ17" s="18"/>
      <c r="NK17" s="18"/>
      <c r="NL17" s="18"/>
      <c r="NM17" s="18"/>
      <c r="NN17" s="18"/>
      <c r="NO17" s="18"/>
      <c r="NP17" s="18"/>
      <c r="NQ17" s="18"/>
      <c r="NR17" s="18"/>
      <c r="NS17" s="11" t="str">
        <f t="shared" si="111"/>
        <v/>
      </c>
      <c r="NT17" s="11" t="str">
        <f t="shared" si="112"/>
        <v/>
      </c>
      <c r="NU17" s="11" t="str">
        <f t="shared" si="113"/>
        <v/>
      </c>
      <c r="NV17" s="11" t="str">
        <f t="shared" si="114"/>
        <v/>
      </c>
      <c r="NW17" s="11" t="str">
        <f t="shared" si="115"/>
        <v/>
      </c>
      <c r="NX17" s="11" t="str">
        <f t="shared" si="116"/>
        <v/>
      </c>
      <c r="NY17" s="11" t="str">
        <f t="shared" si="117"/>
        <v/>
      </c>
      <c r="NZ17" s="11" t="str">
        <f t="shared" si="118"/>
        <v/>
      </c>
      <c r="OA17" s="17"/>
      <c r="OB17" s="17"/>
      <c r="OC17" s="17"/>
      <c r="OD17" s="17"/>
      <c r="OE17" s="17"/>
      <c r="OF17" s="17"/>
      <c r="OG17" s="17"/>
      <c r="OH17" s="17"/>
      <c r="OI17" s="17"/>
      <c r="OJ17" s="17"/>
      <c r="OK17" s="17"/>
      <c r="OL17" s="17"/>
      <c r="OM17" s="17"/>
      <c r="ON17" s="17"/>
      <c r="OO17" s="17"/>
      <c r="OP17" s="17"/>
      <c r="OQ17" s="17"/>
      <c r="OR17" s="17"/>
      <c r="OS17" s="17"/>
      <c r="OT17" s="17"/>
      <c r="OU17" s="40" t="str">
        <f t="shared" si="119"/>
        <v/>
      </c>
      <c r="OV17" s="40" t="str">
        <f t="shared" si="120"/>
        <v/>
      </c>
      <c r="OW17" s="40" t="str">
        <f t="shared" si="121"/>
        <v/>
      </c>
      <c r="OX17" s="40" t="str">
        <f t="shared" si="122"/>
        <v/>
      </c>
      <c r="OY17" s="40" t="str">
        <f t="shared" si="123"/>
        <v/>
      </c>
      <c r="OZ17" s="40" t="str">
        <f t="shared" si="124"/>
        <v/>
      </c>
      <c r="PA17" s="40" t="str">
        <f t="shared" si="125"/>
        <v/>
      </c>
      <c r="PB17" s="40" t="str">
        <f t="shared" si="126"/>
        <v/>
      </c>
      <c r="PC17" s="18"/>
      <c r="PD17" s="18"/>
      <c r="PE17" s="18"/>
      <c r="PF17" s="18"/>
      <c r="PG17" s="18"/>
      <c r="PH17" s="18"/>
      <c r="PI17" s="18"/>
      <c r="PJ17" s="18"/>
      <c r="PK17" s="18"/>
      <c r="PL17" s="18"/>
      <c r="PM17" s="18"/>
      <c r="PN17" s="18"/>
      <c r="PO17" s="18"/>
      <c r="PP17" s="18"/>
      <c r="PQ17" s="18"/>
      <c r="PR17" s="18"/>
      <c r="PS17" s="18"/>
      <c r="PT17" s="18"/>
      <c r="PU17" s="18"/>
      <c r="PV17" s="18"/>
      <c r="PW17" s="11" t="str">
        <f t="shared" si="127"/>
        <v/>
      </c>
      <c r="PX17" s="11" t="str">
        <f t="shared" si="128"/>
        <v/>
      </c>
      <c r="PY17" s="11" t="str">
        <f t="shared" si="129"/>
        <v/>
      </c>
      <c r="PZ17" s="11" t="str">
        <f t="shared" si="130"/>
        <v/>
      </c>
      <c r="QA17" s="11" t="str">
        <f t="shared" si="131"/>
        <v/>
      </c>
      <c r="QB17" s="11" t="str">
        <f t="shared" si="132"/>
        <v/>
      </c>
      <c r="QC17" s="11" t="str">
        <f t="shared" si="133"/>
        <v/>
      </c>
      <c r="QD17" s="11" t="str">
        <f t="shared" si="134"/>
        <v/>
      </c>
      <c r="QE17" s="22">
        <f t="shared" si="135"/>
        <v>9.4499999999999993</v>
      </c>
      <c r="QF17" s="22">
        <f t="shared" si="136"/>
        <v>3</v>
      </c>
      <c r="QG17" s="22">
        <f t="shared" si="137"/>
        <v>0.1</v>
      </c>
      <c r="QH17" s="22">
        <f t="shared" si="138"/>
        <v>0</v>
      </c>
      <c r="QI17" s="22">
        <f t="shared" si="139"/>
        <v>9.15</v>
      </c>
      <c r="QJ17" s="22">
        <f t="shared" si="140"/>
        <v>3</v>
      </c>
      <c r="QK17" s="22">
        <f t="shared" si="141"/>
        <v>0</v>
      </c>
      <c r="QL17" s="22">
        <f t="shared" si="142"/>
        <v>0</v>
      </c>
      <c r="QM17" s="22">
        <f t="shared" si="143"/>
        <v>8.8000000000000007</v>
      </c>
      <c r="QN17" s="22">
        <f t="shared" si="144"/>
        <v>0.35</v>
      </c>
      <c r="QO17" s="22">
        <f t="shared" si="145"/>
        <v>0</v>
      </c>
      <c r="QP17" s="22">
        <f t="shared" si="146"/>
        <v>0</v>
      </c>
      <c r="QQ17" s="22">
        <f t="shared" si="147"/>
        <v>9.3000000000000007</v>
      </c>
      <c r="QR17" s="22">
        <f t="shared" si="148"/>
        <v>3</v>
      </c>
      <c r="QS17" s="22">
        <f t="shared" si="149"/>
        <v>0.1</v>
      </c>
      <c r="QT17" s="22">
        <f t="shared" si="150"/>
        <v>0</v>
      </c>
      <c r="QU17" s="22">
        <f t="shared" si="151"/>
        <v>8.9499999999999993</v>
      </c>
      <c r="QV17" s="22">
        <f t="shared" si="152"/>
        <v>2.8</v>
      </c>
      <c r="QW17" s="22">
        <f t="shared" si="153"/>
        <v>0.4</v>
      </c>
      <c r="QX17" s="22">
        <f t="shared" si="154"/>
        <v>0</v>
      </c>
      <c r="QY17" s="27" t="s">
        <v>46</v>
      </c>
      <c r="QZ17" s="40">
        <f t="shared" si="155"/>
        <v>6</v>
      </c>
      <c r="RA17" s="40">
        <f t="shared" si="156"/>
        <v>24.5</v>
      </c>
      <c r="RB17" s="40">
        <f t="shared" si="157"/>
        <v>9.15</v>
      </c>
      <c r="RC17" s="40">
        <f t="shared" si="158"/>
        <v>6.35</v>
      </c>
      <c r="RD17" s="40">
        <f t="shared" si="159"/>
        <v>33.65</v>
      </c>
      <c r="RE17" s="40">
        <f t="shared" si="160"/>
        <v>5.8</v>
      </c>
      <c r="RF17" s="40">
        <f t="shared" si="161"/>
        <v>23.55</v>
      </c>
      <c r="RG17" s="40">
        <f t="shared" si="162"/>
        <v>48.05</v>
      </c>
    </row>
    <row r="18" spans="1:475" x14ac:dyDescent="0.2">
      <c r="A18" s="4">
        <f t="shared" si="164"/>
        <v>15</v>
      </c>
      <c r="B18" s="5" t="s">
        <v>196</v>
      </c>
      <c r="C18" s="4" t="s">
        <v>6</v>
      </c>
      <c r="D18" s="4">
        <v>2006</v>
      </c>
      <c r="E18" s="9">
        <f t="shared" si="163"/>
        <v>125.40000744000511</v>
      </c>
      <c r="F18" s="3" t="str">
        <f t="shared" si="0"/>
        <v>P</v>
      </c>
      <c r="G18" s="3" t="str">
        <f t="shared" si="1"/>
        <v>P</v>
      </c>
      <c r="H18" s="36" t="str">
        <f t="shared" si="2"/>
        <v>National Team</v>
      </c>
      <c r="I18" s="3" t="str">
        <f t="shared" si="3"/>
        <v/>
      </c>
      <c r="J18" s="8">
        <f>IF(COUNT(AQ18,BT18,CW18)&gt;0,LARGE((AQ18,BT18,CW18),1),0)</f>
        <v>51</v>
      </c>
      <c r="K18" s="8" t="str">
        <f t="shared" si="4"/>
        <v>2023 Elite Canada</v>
      </c>
      <c r="L18" s="8">
        <f>IF(COUNT(AQ18,BT18,CW18)&gt;1,LARGE((AQ18,BT18,CW18),2),0)</f>
        <v>0</v>
      </c>
      <c r="M18" s="8" t="str">
        <f t="shared" si="5"/>
        <v/>
      </c>
      <c r="N18" s="8">
        <f>IF(COUNT(AR18,BU18,CX18)&gt;0,LARGE((AR18,BU18,CX18),1),0)</f>
        <v>23.4</v>
      </c>
      <c r="O18" s="8" t="str">
        <f t="shared" si="6"/>
        <v>2023 Elite Canada</v>
      </c>
      <c r="P18" s="8">
        <f t="shared" si="7"/>
        <v>50.999999999999993</v>
      </c>
      <c r="Q18" s="8" t="str">
        <f t="shared" si="8"/>
        <v>2023 Elite Canada</v>
      </c>
      <c r="R18" s="8" t="str">
        <f t="shared" si="9"/>
        <v/>
      </c>
      <c r="S18" s="11" t="str">
        <f t="shared" si="10"/>
        <v/>
      </c>
      <c r="T18" s="8" t="str">
        <f t="shared" si="11"/>
        <v/>
      </c>
      <c r="U18" s="19"/>
      <c r="V18" s="19"/>
      <c r="W18" s="19"/>
      <c r="X18" s="19"/>
      <c r="Y18" s="19"/>
      <c r="Z18" s="19"/>
      <c r="AA18" s="19"/>
      <c r="AB18" s="19"/>
      <c r="AC18" s="19"/>
      <c r="AD18" s="19"/>
      <c r="AE18" s="19"/>
      <c r="AF18" s="19"/>
      <c r="AG18" s="19"/>
      <c r="AH18" s="19"/>
      <c r="AI18" s="19"/>
      <c r="AJ18" s="19"/>
      <c r="AK18" s="19"/>
      <c r="AL18" s="19"/>
      <c r="AM18" s="19"/>
      <c r="AN18" s="19"/>
      <c r="AO18" s="27"/>
      <c r="AP18" s="40" t="str">
        <f t="shared" si="12"/>
        <v/>
      </c>
      <c r="AQ18" s="40" t="str">
        <f t="shared" si="13"/>
        <v/>
      </c>
      <c r="AR18" s="40" t="str">
        <f t="shared" si="14"/>
        <v/>
      </c>
      <c r="AS18" s="40" t="str">
        <f t="shared" si="15"/>
        <v/>
      </c>
      <c r="AT18" s="40" t="str">
        <f t="shared" si="16"/>
        <v/>
      </c>
      <c r="AU18" s="40" t="str">
        <f t="shared" si="17"/>
        <v/>
      </c>
      <c r="AV18" s="40" t="str">
        <f t="shared" si="18"/>
        <v/>
      </c>
      <c r="AW18" s="40" t="str">
        <f t="shared" si="19"/>
        <v/>
      </c>
      <c r="AX18" s="18"/>
      <c r="AY18" s="18"/>
      <c r="AZ18" s="18"/>
      <c r="BA18" s="18"/>
      <c r="BB18" s="18"/>
      <c r="BC18" s="18"/>
      <c r="BD18" s="18"/>
      <c r="BE18" s="18"/>
      <c r="BF18" s="18"/>
      <c r="BG18" s="18"/>
      <c r="BH18" s="18"/>
      <c r="BI18" s="18"/>
      <c r="BJ18" s="18"/>
      <c r="BK18" s="18"/>
      <c r="BL18" s="18"/>
      <c r="BM18" s="18"/>
      <c r="BN18" s="18"/>
      <c r="BO18" s="18"/>
      <c r="BP18" s="18"/>
      <c r="BQ18" s="18"/>
      <c r="BR18" s="28"/>
      <c r="BS18" s="11" t="str">
        <f t="shared" si="20"/>
        <v/>
      </c>
      <c r="BT18" s="11" t="str">
        <f t="shared" si="21"/>
        <v/>
      </c>
      <c r="BU18" s="11" t="str">
        <f t="shared" si="22"/>
        <v/>
      </c>
      <c r="BV18" s="11" t="str">
        <f t="shared" si="23"/>
        <v/>
      </c>
      <c r="BW18" s="11" t="str">
        <f t="shared" si="24"/>
        <v/>
      </c>
      <c r="BX18" s="11" t="str">
        <f t="shared" si="25"/>
        <v/>
      </c>
      <c r="BY18" s="11" t="str">
        <f t="shared" si="26"/>
        <v/>
      </c>
      <c r="BZ18" s="11" t="str">
        <f t="shared" si="27"/>
        <v/>
      </c>
      <c r="CA18" s="19">
        <v>18.399999999999999</v>
      </c>
      <c r="CB18" s="19">
        <v>7.6</v>
      </c>
      <c r="CC18" s="19">
        <v>0.2</v>
      </c>
      <c r="CD18" s="19">
        <v>0</v>
      </c>
      <c r="CE18" s="19">
        <v>18.2</v>
      </c>
      <c r="CF18" s="19">
        <v>7.6</v>
      </c>
      <c r="CG18" s="19">
        <v>0.6</v>
      </c>
      <c r="CH18" s="19">
        <v>0</v>
      </c>
      <c r="CI18" s="19">
        <v>18.8</v>
      </c>
      <c r="CJ18" s="19">
        <v>5.6</v>
      </c>
      <c r="CK18" s="19">
        <v>1</v>
      </c>
      <c r="CL18" s="19">
        <v>0</v>
      </c>
      <c r="CM18" s="19">
        <v>17.8</v>
      </c>
      <c r="CN18" s="19">
        <v>7.6</v>
      </c>
      <c r="CO18" s="19">
        <v>0.2</v>
      </c>
      <c r="CP18" s="19">
        <v>0</v>
      </c>
      <c r="CQ18" s="19">
        <v>18.2</v>
      </c>
      <c r="CR18" s="19">
        <v>7.6</v>
      </c>
      <c r="CS18" s="19">
        <v>0</v>
      </c>
      <c r="CT18" s="19">
        <v>0</v>
      </c>
      <c r="CU18" s="27"/>
      <c r="CV18" s="40">
        <f t="shared" si="28"/>
        <v>15.2</v>
      </c>
      <c r="CW18" s="40">
        <f t="shared" si="29"/>
        <v>51</v>
      </c>
      <c r="CX18" s="40">
        <f t="shared" si="30"/>
        <v>23.4</v>
      </c>
      <c r="CY18" s="40">
        <f t="shared" si="31"/>
        <v>20.799999999999997</v>
      </c>
      <c r="CZ18" s="40">
        <f t="shared" si="32"/>
        <v>74.400000000000006</v>
      </c>
      <c r="DA18" s="40">
        <f t="shared" si="33"/>
        <v>15.2</v>
      </c>
      <c r="DB18" s="40">
        <f t="shared" si="34"/>
        <v>50.999999999999993</v>
      </c>
      <c r="DC18" s="40">
        <f t="shared" si="35"/>
        <v>102</v>
      </c>
      <c r="DD18" s="50" t="str">
        <f t="shared" si="36"/>
        <v/>
      </c>
      <c r="DE18" s="50" t="str">
        <f t="shared" si="37"/>
        <v/>
      </c>
      <c r="DF18" s="50" t="str">
        <f t="shared" si="38"/>
        <v/>
      </c>
      <c r="DG18" s="17"/>
      <c r="DH18" s="17"/>
      <c r="DI18" s="17"/>
      <c r="DJ18" s="17"/>
      <c r="DK18" s="17"/>
      <c r="DL18" s="17"/>
      <c r="DM18" s="17"/>
      <c r="DN18" s="17"/>
      <c r="DO18" s="17"/>
      <c r="DP18" s="17"/>
      <c r="DQ18" s="17"/>
      <c r="DR18" s="17"/>
      <c r="DS18" s="17"/>
      <c r="DT18" s="17"/>
      <c r="DU18" s="17"/>
      <c r="DV18" s="17"/>
      <c r="DW18" s="17"/>
      <c r="DX18" s="17"/>
      <c r="DY18" s="17"/>
      <c r="DZ18" s="17"/>
      <c r="EA18" s="40" t="str">
        <f t="shared" si="39"/>
        <v/>
      </c>
      <c r="EB18" s="40" t="str">
        <f t="shared" si="40"/>
        <v/>
      </c>
      <c r="EC18" s="40" t="str">
        <f t="shared" si="41"/>
        <v/>
      </c>
      <c r="ED18" s="40" t="str">
        <f t="shared" si="42"/>
        <v/>
      </c>
      <c r="EE18" s="40" t="str">
        <f t="shared" si="43"/>
        <v/>
      </c>
      <c r="EF18" s="40" t="str">
        <f t="shared" si="44"/>
        <v/>
      </c>
      <c r="EG18" s="40" t="str">
        <f t="shared" si="45"/>
        <v/>
      </c>
      <c r="EH18" s="40" t="str">
        <f t="shared" si="46"/>
        <v/>
      </c>
      <c r="EI18" s="18"/>
      <c r="EJ18" s="18"/>
      <c r="EK18" s="18"/>
      <c r="EL18" s="18"/>
      <c r="EM18" s="18"/>
      <c r="EN18" s="18"/>
      <c r="EO18" s="18"/>
      <c r="EP18" s="18"/>
      <c r="EQ18" s="18"/>
      <c r="ER18" s="18"/>
      <c r="ES18" s="18"/>
      <c r="ET18" s="18"/>
      <c r="EU18" s="18"/>
      <c r="EV18" s="18"/>
      <c r="EW18" s="18"/>
      <c r="EX18" s="18"/>
      <c r="EY18" s="18"/>
      <c r="EZ18" s="18"/>
      <c r="FA18" s="18"/>
      <c r="FB18" s="18"/>
      <c r="FC18" s="11" t="str">
        <f t="shared" si="47"/>
        <v/>
      </c>
      <c r="FD18" s="11" t="str">
        <f t="shared" si="48"/>
        <v/>
      </c>
      <c r="FE18" s="11" t="str">
        <f t="shared" si="49"/>
        <v/>
      </c>
      <c r="FF18" s="11" t="str">
        <f t="shared" si="50"/>
        <v/>
      </c>
      <c r="FG18" s="11" t="str">
        <f t="shared" si="51"/>
        <v/>
      </c>
      <c r="FH18" s="11" t="str">
        <f t="shared" si="52"/>
        <v/>
      </c>
      <c r="FI18" s="11" t="str">
        <f t="shared" si="53"/>
        <v/>
      </c>
      <c r="FJ18" s="11" t="str">
        <f t="shared" si="54"/>
        <v/>
      </c>
      <c r="FK18" s="17"/>
      <c r="FL18" s="17"/>
      <c r="FM18" s="17"/>
      <c r="FN18" s="17"/>
      <c r="FO18" s="17"/>
      <c r="FP18" s="17"/>
      <c r="FQ18" s="17"/>
      <c r="FR18" s="17"/>
      <c r="FS18" s="17"/>
      <c r="FT18" s="17"/>
      <c r="FU18" s="17"/>
      <c r="FV18" s="17"/>
      <c r="FW18" s="17"/>
      <c r="FX18" s="17"/>
      <c r="FY18" s="17"/>
      <c r="FZ18" s="17"/>
      <c r="GA18" s="17"/>
      <c r="GB18" s="17"/>
      <c r="GC18" s="17"/>
      <c r="GD18" s="17"/>
      <c r="GE18" s="40" t="str">
        <f t="shared" si="55"/>
        <v/>
      </c>
      <c r="GF18" s="40" t="str">
        <f t="shared" si="56"/>
        <v/>
      </c>
      <c r="GG18" s="40" t="str">
        <f t="shared" si="57"/>
        <v/>
      </c>
      <c r="GH18" s="40" t="str">
        <f t="shared" si="58"/>
        <v/>
      </c>
      <c r="GI18" s="40" t="str">
        <f t="shared" si="59"/>
        <v/>
      </c>
      <c r="GJ18" s="40" t="str">
        <f t="shared" si="60"/>
        <v/>
      </c>
      <c r="GK18" s="40" t="str">
        <f t="shared" si="61"/>
        <v/>
      </c>
      <c r="GL18" s="40" t="str">
        <f t="shared" si="62"/>
        <v/>
      </c>
      <c r="GM18" s="18"/>
      <c r="GN18" s="18"/>
      <c r="GO18" s="18"/>
      <c r="GP18" s="18"/>
      <c r="GQ18" s="18"/>
      <c r="GR18" s="18"/>
      <c r="GS18" s="18"/>
      <c r="GT18" s="18"/>
      <c r="GU18" s="18"/>
      <c r="GV18" s="18"/>
      <c r="GW18" s="18"/>
      <c r="GX18" s="18"/>
      <c r="GY18" s="18"/>
      <c r="GZ18" s="18"/>
      <c r="HA18" s="18"/>
      <c r="HB18" s="18"/>
      <c r="HC18" s="18"/>
      <c r="HD18" s="18"/>
      <c r="HE18" s="18"/>
      <c r="HF18" s="18"/>
      <c r="HG18" s="11" t="str">
        <f t="shared" si="63"/>
        <v/>
      </c>
      <c r="HH18" s="11" t="str">
        <f t="shared" si="64"/>
        <v/>
      </c>
      <c r="HI18" s="11" t="str">
        <f t="shared" si="65"/>
        <v/>
      </c>
      <c r="HJ18" s="11" t="str">
        <f t="shared" si="66"/>
        <v/>
      </c>
      <c r="HK18" s="11" t="str">
        <f t="shared" si="67"/>
        <v/>
      </c>
      <c r="HL18" s="11" t="str">
        <f t="shared" si="68"/>
        <v/>
      </c>
      <c r="HM18" s="11" t="str">
        <f t="shared" si="69"/>
        <v/>
      </c>
      <c r="HN18" s="11" t="str">
        <f t="shared" si="70"/>
        <v/>
      </c>
      <c r="HO18" s="17"/>
      <c r="HP18" s="17"/>
      <c r="HQ18" s="17"/>
      <c r="HR18" s="17"/>
      <c r="HS18" s="17"/>
      <c r="HT18" s="17"/>
      <c r="HU18" s="17"/>
      <c r="HV18" s="17"/>
      <c r="HW18" s="17"/>
      <c r="HX18" s="17"/>
      <c r="HY18" s="17"/>
      <c r="HZ18" s="17"/>
      <c r="IA18" s="17"/>
      <c r="IB18" s="17"/>
      <c r="IC18" s="17"/>
      <c r="ID18" s="17"/>
      <c r="IE18" s="17"/>
      <c r="IF18" s="17"/>
      <c r="IG18" s="17"/>
      <c r="IH18" s="17"/>
      <c r="II18" s="40" t="str">
        <f t="shared" si="71"/>
        <v/>
      </c>
      <c r="IJ18" s="40" t="str">
        <f t="shared" si="72"/>
        <v/>
      </c>
      <c r="IK18" s="40" t="str">
        <f t="shared" si="73"/>
        <v/>
      </c>
      <c r="IL18" s="40" t="str">
        <f t="shared" si="74"/>
        <v/>
      </c>
      <c r="IM18" s="40" t="str">
        <f t="shared" si="75"/>
        <v/>
      </c>
      <c r="IN18" s="40" t="str">
        <f t="shared" si="76"/>
        <v/>
      </c>
      <c r="IO18" s="40" t="str">
        <f t="shared" si="77"/>
        <v/>
      </c>
      <c r="IP18" s="40" t="str">
        <f t="shared" si="78"/>
        <v/>
      </c>
      <c r="IQ18" s="18"/>
      <c r="IR18" s="18"/>
      <c r="IS18" s="18"/>
      <c r="IT18" s="18"/>
      <c r="IU18" s="18"/>
      <c r="IV18" s="18"/>
      <c r="IW18" s="18"/>
      <c r="IX18" s="18"/>
      <c r="IY18" s="18"/>
      <c r="IZ18" s="18"/>
      <c r="JA18" s="18"/>
      <c r="JB18" s="18"/>
      <c r="JC18" s="18"/>
      <c r="JD18" s="18"/>
      <c r="JE18" s="18"/>
      <c r="JF18" s="18"/>
      <c r="JG18" s="18"/>
      <c r="JH18" s="18"/>
      <c r="JI18" s="18"/>
      <c r="JJ18" s="18"/>
      <c r="JK18" s="11" t="str">
        <f t="shared" si="79"/>
        <v/>
      </c>
      <c r="JL18" s="11" t="str">
        <f t="shared" si="80"/>
        <v/>
      </c>
      <c r="JM18" s="11" t="str">
        <f t="shared" si="81"/>
        <v/>
      </c>
      <c r="JN18" s="11" t="str">
        <f t="shared" si="82"/>
        <v/>
      </c>
      <c r="JO18" s="11" t="str">
        <f t="shared" si="83"/>
        <v/>
      </c>
      <c r="JP18" s="11" t="str">
        <f t="shared" si="84"/>
        <v/>
      </c>
      <c r="JQ18" s="11" t="str">
        <f t="shared" si="85"/>
        <v/>
      </c>
      <c r="JR18" s="11" t="str">
        <f t="shared" si="86"/>
        <v/>
      </c>
      <c r="JS18" s="17"/>
      <c r="JT18" s="17"/>
      <c r="JU18" s="17"/>
      <c r="JV18" s="17"/>
      <c r="JW18" s="17"/>
      <c r="JX18" s="17"/>
      <c r="JY18" s="17"/>
      <c r="JZ18" s="17"/>
      <c r="KA18" s="17"/>
      <c r="KB18" s="17"/>
      <c r="KC18" s="17"/>
      <c r="KD18" s="17"/>
      <c r="KE18" s="17"/>
      <c r="KF18" s="17"/>
      <c r="KG18" s="17"/>
      <c r="KH18" s="17"/>
      <c r="KI18" s="17"/>
      <c r="KJ18" s="17"/>
      <c r="KK18" s="17"/>
      <c r="KL18" s="17"/>
      <c r="KM18" s="40" t="str">
        <f t="shared" si="87"/>
        <v/>
      </c>
      <c r="KN18" s="40" t="str">
        <f t="shared" si="88"/>
        <v/>
      </c>
      <c r="KO18" s="40" t="str">
        <f t="shared" si="89"/>
        <v/>
      </c>
      <c r="KP18" s="40" t="str">
        <f t="shared" si="90"/>
        <v/>
      </c>
      <c r="KQ18" s="40" t="str">
        <f t="shared" si="91"/>
        <v/>
      </c>
      <c r="KR18" s="40" t="str">
        <f t="shared" si="92"/>
        <v/>
      </c>
      <c r="KS18" s="40" t="str">
        <f t="shared" si="93"/>
        <v/>
      </c>
      <c r="KT18" s="40" t="str">
        <f t="shared" si="94"/>
        <v/>
      </c>
      <c r="KU18" s="18"/>
      <c r="KV18" s="18"/>
      <c r="KW18" s="18"/>
      <c r="KX18" s="18"/>
      <c r="KY18" s="18"/>
      <c r="KZ18" s="18"/>
      <c r="LA18" s="18"/>
      <c r="LB18" s="18"/>
      <c r="LC18" s="18"/>
      <c r="LD18" s="18"/>
      <c r="LE18" s="18"/>
      <c r="LF18" s="18"/>
      <c r="LG18" s="18"/>
      <c r="LH18" s="18"/>
      <c r="LI18" s="18"/>
      <c r="LJ18" s="18"/>
      <c r="LK18" s="18"/>
      <c r="LL18" s="18"/>
      <c r="LM18" s="18"/>
      <c r="LN18" s="18"/>
      <c r="LO18" s="11" t="str">
        <f t="shared" si="95"/>
        <v/>
      </c>
      <c r="LP18" s="11" t="str">
        <f t="shared" si="96"/>
        <v/>
      </c>
      <c r="LQ18" s="11" t="str">
        <f t="shared" si="97"/>
        <v/>
      </c>
      <c r="LR18" s="11" t="str">
        <f t="shared" si="98"/>
        <v/>
      </c>
      <c r="LS18" s="11" t="str">
        <f t="shared" si="99"/>
        <v/>
      </c>
      <c r="LT18" s="11" t="str">
        <f t="shared" si="100"/>
        <v/>
      </c>
      <c r="LU18" s="11" t="str">
        <f t="shared" si="101"/>
        <v/>
      </c>
      <c r="LV18" s="11" t="str">
        <f t="shared" si="102"/>
        <v/>
      </c>
      <c r="LW18" s="17"/>
      <c r="LX18" s="17"/>
      <c r="LY18" s="17"/>
      <c r="LZ18" s="17"/>
      <c r="MA18" s="17"/>
      <c r="MB18" s="17"/>
      <c r="MC18" s="17"/>
      <c r="MD18" s="17"/>
      <c r="ME18" s="17"/>
      <c r="MF18" s="17"/>
      <c r="MG18" s="17"/>
      <c r="MH18" s="17"/>
      <c r="MI18" s="17"/>
      <c r="MJ18" s="17"/>
      <c r="MK18" s="17"/>
      <c r="ML18" s="17"/>
      <c r="MM18" s="17"/>
      <c r="MN18" s="17"/>
      <c r="MO18" s="17"/>
      <c r="MP18" s="17"/>
      <c r="MQ18" s="40" t="str">
        <f t="shared" si="103"/>
        <v/>
      </c>
      <c r="MR18" s="40" t="str">
        <f t="shared" si="104"/>
        <v/>
      </c>
      <c r="MS18" s="40" t="str">
        <f t="shared" si="105"/>
        <v/>
      </c>
      <c r="MT18" s="40" t="str">
        <f t="shared" si="106"/>
        <v/>
      </c>
      <c r="MU18" s="40" t="str">
        <f t="shared" si="107"/>
        <v/>
      </c>
      <c r="MV18" s="40" t="str">
        <f t="shared" si="108"/>
        <v/>
      </c>
      <c r="MW18" s="40" t="str">
        <f t="shared" si="109"/>
        <v/>
      </c>
      <c r="MX18" s="40" t="str">
        <f t="shared" si="110"/>
        <v/>
      </c>
      <c r="MY18" s="18"/>
      <c r="MZ18" s="18"/>
      <c r="NA18" s="18"/>
      <c r="NB18" s="18"/>
      <c r="NC18" s="18"/>
      <c r="ND18" s="18"/>
      <c r="NE18" s="18"/>
      <c r="NF18" s="18"/>
      <c r="NG18" s="18"/>
      <c r="NH18" s="18"/>
      <c r="NI18" s="18"/>
      <c r="NJ18" s="18"/>
      <c r="NK18" s="18"/>
      <c r="NL18" s="18"/>
      <c r="NM18" s="18"/>
      <c r="NN18" s="18"/>
      <c r="NO18" s="18"/>
      <c r="NP18" s="18"/>
      <c r="NQ18" s="18"/>
      <c r="NR18" s="18"/>
      <c r="NS18" s="11" t="str">
        <f t="shared" si="111"/>
        <v/>
      </c>
      <c r="NT18" s="11" t="str">
        <f t="shared" si="112"/>
        <v/>
      </c>
      <c r="NU18" s="11" t="str">
        <f t="shared" si="113"/>
        <v/>
      </c>
      <c r="NV18" s="11" t="str">
        <f t="shared" si="114"/>
        <v/>
      </c>
      <c r="NW18" s="11" t="str">
        <f t="shared" si="115"/>
        <v/>
      </c>
      <c r="NX18" s="11" t="str">
        <f t="shared" si="116"/>
        <v/>
      </c>
      <c r="NY18" s="11" t="str">
        <f t="shared" si="117"/>
        <v/>
      </c>
      <c r="NZ18" s="11" t="str">
        <f t="shared" si="118"/>
        <v/>
      </c>
      <c r="OA18" s="17"/>
      <c r="OB18" s="17"/>
      <c r="OC18" s="17"/>
      <c r="OD18" s="17"/>
      <c r="OE18" s="17"/>
      <c r="OF18" s="17"/>
      <c r="OG18" s="17"/>
      <c r="OH18" s="17"/>
      <c r="OI18" s="17"/>
      <c r="OJ18" s="17"/>
      <c r="OK18" s="17"/>
      <c r="OL18" s="17"/>
      <c r="OM18" s="17"/>
      <c r="ON18" s="17"/>
      <c r="OO18" s="17"/>
      <c r="OP18" s="17"/>
      <c r="OQ18" s="17"/>
      <c r="OR18" s="17"/>
      <c r="OS18" s="17"/>
      <c r="OT18" s="17"/>
      <c r="OU18" s="40" t="str">
        <f t="shared" si="119"/>
        <v/>
      </c>
      <c r="OV18" s="40" t="str">
        <f t="shared" si="120"/>
        <v/>
      </c>
      <c r="OW18" s="40" t="str">
        <f t="shared" si="121"/>
        <v/>
      </c>
      <c r="OX18" s="40" t="str">
        <f t="shared" si="122"/>
        <v/>
      </c>
      <c r="OY18" s="40" t="str">
        <f t="shared" si="123"/>
        <v/>
      </c>
      <c r="OZ18" s="40" t="str">
        <f t="shared" si="124"/>
        <v/>
      </c>
      <c r="PA18" s="40" t="str">
        <f t="shared" si="125"/>
        <v/>
      </c>
      <c r="PB18" s="40" t="str">
        <f t="shared" si="126"/>
        <v/>
      </c>
      <c r="PC18" s="18"/>
      <c r="PD18" s="18"/>
      <c r="PE18" s="18"/>
      <c r="PF18" s="18"/>
      <c r="PG18" s="18"/>
      <c r="PH18" s="18"/>
      <c r="PI18" s="18"/>
      <c r="PJ18" s="18"/>
      <c r="PK18" s="18"/>
      <c r="PL18" s="18"/>
      <c r="PM18" s="18"/>
      <c r="PN18" s="18"/>
      <c r="PO18" s="18"/>
      <c r="PP18" s="18"/>
      <c r="PQ18" s="18"/>
      <c r="PR18" s="18"/>
      <c r="PS18" s="18"/>
      <c r="PT18" s="18"/>
      <c r="PU18" s="18"/>
      <c r="PV18" s="18"/>
      <c r="PW18" s="11" t="str">
        <f t="shared" si="127"/>
        <v/>
      </c>
      <c r="PX18" s="11" t="str">
        <f t="shared" si="128"/>
        <v/>
      </c>
      <c r="PY18" s="11" t="str">
        <f t="shared" si="129"/>
        <v/>
      </c>
      <c r="PZ18" s="11" t="str">
        <f t="shared" si="130"/>
        <v/>
      </c>
      <c r="QA18" s="11" t="str">
        <f t="shared" si="131"/>
        <v/>
      </c>
      <c r="QB18" s="11" t="str">
        <f t="shared" si="132"/>
        <v/>
      </c>
      <c r="QC18" s="11" t="str">
        <f t="shared" si="133"/>
        <v/>
      </c>
      <c r="QD18" s="11" t="str">
        <f t="shared" si="134"/>
        <v/>
      </c>
      <c r="QE18" s="22">
        <f t="shared" si="135"/>
        <v>9.1999999999999993</v>
      </c>
      <c r="QF18" s="22">
        <f t="shared" si="136"/>
        <v>3.8</v>
      </c>
      <c r="QG18" s="22">
        <f t="shared" si="137"/>
        <v>0.1</v>
      </c>
      <c r="QH18" s="22">
        <f t="shared" si="138"/>
        <v>0</v>
      </c>
      <c r="QI18" s="22">
        <f t="shared" si="139"/>
        <v>9.1</v>
      </c>
      <c r="QJ18" s="22">
        <f t="shared" si="140"/>
        <v>3.8</v>
      </c>
      <c r="QK18" s="22">
        <f t="shared" si="141"/>
        <v>0.3</v>
      </c>
      <c r="QL18" s="22">
        <f t="shared" si="142"/>
        <v>0</v>
      </c>
      <c r="QM18" s="22">
        <f t="shared" si="143"/>
        <v>9.4</v>
      </c>
      <c r="QN18" s="22">
        <f t="shared" si="144"/>
        <v>2.8</v>
      </c>
      <c r="QO18" s="22">
        <f t="shared" si="145"/>
        <v>0.5</v>
      </c>
      <c r="QP18" s="22">
        <f t="shared" si="146"/>
        <v>0</v>
      </c>
      <c r="QQ18" s="22">
        <f t="shared" si="147"/>
        <v>8.9</v>
      </c>
      <c r="QR18" s="22">
        <f t="shared" si="148"/>
        <v>3.8</v>
      </c>
      <c r="QS18" s="22">
        <f t="shared" si="149"/>
        <v>0.1</v>
      </c>
      <c r="QT18" s="22">
        <f t="shared" si="150"/>
        <v>0</v>
      </c>
      <c r="QU18" s="22">
        <f t="shared" si="151"/>
        <v>9.1</v>
      </c>
      <c r="QV18" s="22">
        <f t="shared" si="152"/>
        <v>3.8</v>
      </c>
      <c r="QW18" s="22">
        <f t="shared" si="153"/>
        <v>0</v>
      </c>
      <c r="QX18" s="22">
        <f t="shared" si="154"/>
        <v>0</v>
      </c>
      <c r="QY18" s="27" t="s">
        <v>46</v>
      </c>
      <c r="QZ18" s="40">
        <f t="shared" si="155"/>
        <v>7.6</v>
      </c>
      <c r="RA18" s="40">
        <f t="shared" si="156"/>
        <v>25.5</v>
      </c>
      <c r="RB18" s="40">
        <f t="shared" si="157"/>
        <v>11.7</v>
      </c>
      <c r="RC18" s="40">
        <f t="shared" si="158"/>
        <v>10.399999999999999</v>
      </c>
      <c r="RD18" s="40">
        <f t="shared" si="159"/>
        <v>37.200000000000003</v>
      </c>
      <c r="RE18" s="40">
        <f t="shared" si="160"/>
        <v>7.6</v>
      </c>
      <c r="RF18" s="40">
        <f t="shared" si="161"/>
        <v>25.499999999999996</v>
      </c>
      <c r="RG18" s="40">
        <f t="shared" si="162"/>
        <v>51</v>
      </c>
    </row>
    <row r="19" spans="1:475" x14ac:dyDescent="0.2">
      <c r="A19" s="4">
        <f t="shared" si="164"/>
        <v>16</v>
      </c>
      <c r="B19" s="5" t="s">
        <v>128</v>
      </c>
      <c r="C19" s="4" t="s">
        <v>127</v>
      </c>
      <c r="D19" s="4">
        <v>2002</v>
      </c>
      <c r="E19" s="9">
        <f t="shared" si="163"/>
        <v>119.80000706000502</v>
      </c>
      <c r="F19" s="3" t="str">
        <f t="shared" si="0"/>
        <v>P</v>
      </c>
      <c r="G19" s="3" t="str">
        <f t="shared" si="1"/>
        <v>P</v>
      </c>
      <c r="H19" s="36" t="str">
        <f t="shared" si="2"/>
        <v>National Team</v>
      </c>
      <c r="I19" s="3" t="str">
        <f t="shared" si="3"/>
        <v/>
      </c>
      <c r="J19" s="8">
        <f>IF(COUNT(AQ19,BT19,CW19)&gt;0,LARGE((AQ19,BT19,CW19),1),0)</f>
        <v>50.2</v>
      </c>
      <c r="K19" s="8" t="str">
        <f t="shared" si="4"/>
        <v>2022 Nationals</v>
      </c>
      <c r="L19" s="8">
        <f>IF(COUNT(AQ19,BT19,CW19)&gt;1,LARGE((AQ19,BT19,CW19),2),0)</f>
        <v>0</v>
      </c>
      <c r="M19" s="8" t="str">
        <f t="shared" si="5"/>
        <v/>
      </c>
      <c r="N19" s="8">
        <f>IF(COUNT(AR19,BU19,CX19)&gt;0,LARGE((AR19,BU19,CX19),1),0)</f>
        <v>20.399999999999999</v>
      </c>
      <c r="O19" s="8" t="str">
        <f t="shared" si="6"/>
        <v>2022 Nationals</v>
      </c>
      <c r="P19" s="8">
        <f t="shared" si="7"/>
        <v>0</v>
      </c>
      <c r="Q19" s="8" t="str">
        <f t="shared" si="8"/>
        <v/>
      </c>
      <c r="R19" s="8">
        <f t="shared" si="9"/>
        <v>49.2</v>
      </c>
      <c r="S19" s="11" t="str">
        <f t="shared" si="10"/>
        <v>(Q1)</v>
      </c>
      <c r="T19" s="8" t="str">
        <f t="shared" si="11"/>
        <v>2022 Coimbra Gym Fest (June 26)</v>
      </c>
      <c r="U19" s="19">
        <v>18.5</v>
      </c>
      <c r="V19" s="19">
        <v>7.2</v>
      </c>
      <c r="W19" s="19">
        <v>0</v>
      </c>
      <c r="X19" s="19">
        <v>0</v>
      </c>
      <c r="Y19" s="19">
        <v>18.5</v>
      </c>
      <c r="Z19" s="19">
        <v>6.8</v>
      </c>
      <c r="AA19" s="19">
        <v>0.8</v>
      </c>
      <c r="AB19" s="19">
        <v>0</v>
      </c>
      <c r="AC19" s="19">
        <v>17.2</v>
      </c>
      <c r="AD19" s="19">
        <v>3.2</v>
      </c>
      <c r="AE19" s="19">
        <v>0</v>
      </c>
      <c r="AF19" s="19">
        <v>0</v>
      </c>
      <c r="AG19" s="19"/>
      <c r="AH19" s="19"/>
      <c r="AI19" s="19"/>
      <c r="AJ19" s="19"/>
      <c r="AK19" s="19"/>
      <c r="AL19" s="19"/>
      <c r="AM19" s="19"/>
      <c r="AN19" s="19"/>
      <c r="AO19" s="27"/>
      <c r="AP19" s="40">
        <f t="shared" si="12"/>
        <v>14</v>
      </c>
      <c r="AQ19" s="40">
        <f t="shared" si="13"/>
        <v>50.2</v>
      </c>
      <c r="AR19" s="40">
        <f t="shared" si="14"/>
        <v>20.399999999999999</v>
      </c>
      <c r="AS19" s="40">
        <f t="shared" si="15"/>
        <v>17.2</v>
      </c>
      <c r="AT19" s="40">
        <f t="shared" si="16"/>
        <v>70.599999999999994</v>
      </c>
      <c r="AU19" s="40" t="str">
        <f t="shared" si="17"/>
        <v/>
      </c>
      <c r="AV19" s="40" t="str">
        <f t="shared" si="18"/>
        <v/>
      </c>
      <c r="AW19" s="40">
        <f t="shared" si="19"/>
        <v>50.2</v>
      </c>
      <c r="AX19" s="18"/>
      <c r="AY19" s="18"/>
      <c r="AZ19" s="18"/>
      <c r="BA19" s="18"/>
      <c r="BB19" s="18"/>
      <c r="BC19" s="18"/>
      <c r="BD19" s="18"/>
      <c r="BE19" s="18"/>
      <c r="BF19" s="18"/>
      <c r="BG19" s="18"/>
      <c r="BH19" s="18"/>
      <c r="BI19" s="18"/>
      <c r="BJ19" s="18"/>
      <c r="BK19" s="18"/>
      <c r="BL19" s="18"/>
      <c r="BM19" s="18"/>
      <c r="BN19" s="18"/>
      <c r="BO19" s="18"/>
      <c r="BP19" s="18"/>
      <c r="BQ19" s="18"/>
      <c r="BR19" s="28"/>
      <c r="BS19" s="11" t="str">
        <f t="shared" si="20"/>
        <v/>
      </c>
      <c r="BT19" s="11" t="str">
        <f t="shared" si="21"/>
        <v/>
      </c>
      <c r="BU19" s="11" t="str">
        <f t="shared" si="22"/>
        <v/>
      </c>
      <c r="BV19" s="11" t="str">
        <f t="shared" si="23"/>
        <v/>
      </c>
      <c r="BW19" s="11" t="str">
        <f t="shared" si="24"/>
        <v/>
      </c>
      <c r="BX19" s="11" t="str">
        <f t="shared" si="25"/>
        <v/>
      </c>
      <c r="BY19" s="11" t="str">
        <f t="shared" si="26"/>
        <v/>
      </c>
      <c r="BZ19" s="11" t="str">
        <f t="shared" si="27"/>
        <v/>
      </c>
      <c r="CA19" s="19"/>
      <c r="CB19" s="19"/>
      <c r="CC19" s="19"/>
      <c r="CD19" s="19"/>
      <c r="CE19" s="19"/>
      <c r="CF19" s="19"/>
      <c r="CG19" s="19"/>
      <c r="CH19" s="19"/>
      <c r="CI19" s="19"/>
      <c r="CJ19" s="19"/>
      <c r="CK19" s="19"/>
      <c r="CL19" s="19"/>
      <c r="CM19" s="19"/>
      <c r="CN19" s="19"/>
      <c r="CO19" s="19"/>
      <c r="CP19" s="19"/>
      <c r="CQ19" s="19"/>
      <c r="CR19" s="19"/>
      <c r="CS19" s="19"/>
      <c r="CT19" s="19"/>
      <c r="CU19" s="27"/>
      <c r="CV19" s="40" t="str">
        <f t="shared" si="28"/>
        <v/>
      </c>
      <c r="CW19" s="40" t="str">
        <f t="shared" si="29"/>
        <v/>
      </c>
      <c r="CX19" s="40" t="str">
        <f t="shared" si="30"/>
        <v/>
      </c>
      <c r="CY19" s="40" t="str">
        <f t="shared" si="31"/>
        <v/>
      </c>
      <c r="CZ19" s="40" t="str">
        <f t="shared" si="32"/>
        <v/>
      </c>
      <c r="DA19" s="40" t="str">
        <f t="shared" si="33"/>
        <v/>
      </c>
      <c r="DB19" s="40" t="str">
        <f t="shared" si="34"/>
        <v/>
      </c>
      <c r="DC19" s="40" t="str">
        <f t="shared" si="35"/>
        <v/>
      </c>
      <c r="DD19" s="50">
        <f t="shared" si="36"/>
        <v>49.2</v>
      </c>
      <c r="DE19" s="50" t="str">
        <f t="shared" si="37"/>
        <v/>
      </c>
      <c r="DF19" s="50" t="str">
        <f t="shared" si="38"/>
        <v/>
      </c>
      <c r="DG19" s="17"/>
      <c r="DH19" s="17"/>
      <c r="DI19" s="17"/>
      <c r="DJ19" s="17"/>
      <c r="DK19" s="17"/>
      <c r="DL19" s="17"/>
      <c r="DM19" s="17"/>
      <c r="DN19" s="17"/>
      <c r="DO19" s="17"/>
      <c r="DP19" s="17"/>
      <c r="DQ19" s="17"/>
      <c r="DR19" s="17"/>
      <c r="DS19" s="17"/>
      <c r="DT19" s="17"/>
      <c r="DU19" s="17"/>
      <c r="DV19" s="17"/>
      <c r="DW19" s="17"/>
      <c r="DX19" s="17"/>
      <c r="DY19" s="17"/>
      <c r="DZ19" s="17"/>
      <c r="EA19" s="40" t="str">
        <f t="shared" si="39"/>
        <v/>
      </c>
      <c r="EB19" s="40" t="str">
        <f t="shared" si="40"/>
        <v/>
      </c>
      <c r="EC19" s="40" t="str">
        <f t="shared" si="41"/>
        <v/>
      </c>
      <c r="ED19" s="40" t="str">
        <f t="shared" si="42"/>
        <v/>
      </c>
      <c r="EE19" s="40" t="str">
        <f t="shared" si="43"/>
        <v/>
      </c>
      <c r="EF19" s="40" t="str">
        <f t="shared" si="44"/>
        <v/>
      </c>
      <c r="EG19" s="40" t="str">
        <f t="shared" si="45"/>
        <v/>
      </c>
      <c r="EH19" s="40" t="str">
        <f t="shared" si="46"/>
        <v/>
      </c>
      <c r="EI19" s="18"/>
      <c r="EJ19" s="18"/>
      <c r="EK19" s="18"/>
      <c r="EL19" s="18"/>
      <c r="EM19" s="18"/>
      <c r="EN19" s="18"/>
      <c r="EO19" s="18"/>
      <c r="EP19" s="18"/>
      <c r="EQ19" s="18"/>
      <c r="ER19" s="18"/>
      <c r="ES19" s="18"/>
      <c r="ET19" s="18"/>
      <c r="EU19" s="18"/>
      <c r="EV19" s="18"/>
      <c r="EW19" s="18"/>
      <c r="EX19" s="18"/>
      <c r="EY19" s="18"/>
      <c r="EZ19" s="18"/>
      <c r="FA19" s="18"/>
      <c r="FB19" s="18"/>
      <c r="FC19" s="11" t="str">
        <f t="shared" si="47"/>
        <v/>
      </c>
      <c r="FD19" s="11" t="str">
        <f t="shared" si="48"/>
        <v/>
      </c>
      <c r="FE19" s="11" t="str">
        <f t="shared" si="49"/>
        <v/>
      </c>
      <c r="FF19" s="11" t="str">
        <f t="shared" si="50"/>
        <v/>
      </c>
      <c r="FG19" s="11" t="str">
        <f t="shared" si="51"/>
        <v/>
      </c>
      <c r="FH19" s="11" t="str">
        <f t="shared" si="52"/>
        <v/>
      </c>
      <c r="FI19" s="11" t="str">
        <f t="shared" si="53"/>
        <v/>
      </c>
      <c r="FJ19" s="11" t="str">
        <f t="shared" si="54"/>
        <v/>
      </c>
      <c r="FK19" s="17"/>
      <c r="FL19" s="17"/>
      <c r="FM19" s="17"/>
      <c r="FN19" s="17"/>
      <c r="FO19" s="17"/>
      <c r="FP19" s="17"/>
      <c r="FQ19" s="17"/>
      <c r="FR19" s="17"/>
      <c r="FS19" s="17"/>
      <c r="FT19" s="17"/>
      <c r="FU19" s="17"/>
      <c r="FV19" s="17"/>
      <c r="FW19" s="17"/>
      <c r="FX19" s="17"/>
      <c r="FY19" s="17"/>
      <c r="FZ19" s="17"/>
      <c r="GA19" s="17"/>
      <c r="GB19" s="17"/>
      <c r="GC19" s="17"/>
      <c r="GD19" s="17"/>
      <c r="GE19" s="40" t="str">
        <f t="shared" si="55"/>
        <v/>
      </c>
      <c r="GF19" s="40" t="str">
        <f t="shared" si="56"/>
        <v/>
      </c>
      <c r="GG19" s="40" t="str">
        <f t="shared" si="57"/>
        <v/>
      </c>
      <c r="GH19" s="40" t="str">
        <f t="shared" si="58"/>
        <v/>
      </c>
      <c r="GI19" s="40" t="str">
        <f t="shared" si="59"/>
        <v/>
      </c>
      <c r="GJ19" s="40" t="str">
        <f t="shared" si="60"/>
        <v/>
      </c>
      <c r="GK19" s="40" t="str">
        <f t="shared" si="61"/>
        <v/>
      </c>
      <c r="GL19" s="40" t="str">
        <f t="shared" si="62"/>
        <v/>
      </c>
      <c r="GM19" s="18">
        <v>18.600000000000001</v>
      </c>
      <c r="GN19" s="18">
        <v>6</v>
      </c>
      <c r="GO19" s="18">
        <v>0.6</v>
      </c>
      <c r="GP19" s="18">
        <v>0</v>
      </c>
      <c r="GQ19" s="18">
        <v>18.600000000000001</v>
      </c>
      <c r="GR19" s="18">
        <v>7.2</v>
      </c>
      <c r="GS19" s="18">
        <v>0.6</v>
      </c>
      <c r="GT19" s="18">
        <v>0</v>
      </c>
      <c r="GU19" s="18"/>
      <c r="GV19" s="18"/>
      <c r="GW19" s="18"/>
      <c r="GX19" s="18"/>
      <c r="GY19" s="18"/>
      <c r="GZ19" s="18"/>
      <c r="HA19" s="18"/>
      <c r="HB19" s="18"/>
      <c r="HC19" s="18"/>
      <c r="HD19" s="18"/>
      <c r="HE19" s="18"/>
      <c r="HF19" s="18"/>
      <c r="HG19" s="11">
        <f t="shared" si="63"/>
        <v>13.2</v>
      </c>
      <c r="HH19" s="11">
        <f t="shared" si="64"/>
        <v>49.2</v>
      </c>
      <c r="HI19" s="11" t="str">
        <f t="shared" si="65"/>
        <v/>
      </c>
      <c r="HJ19" s="11">
        <f t="shared" si="66"/>
        <v>13.2</v>
      </c>
      <c r="HK19" s="11">
        <f t="shared" si="67"/>
        <v>49.2</v>
      </c>
      <c r="HL19" s="11" t="str">
        <f t="shared" si="68"/>
        <v/>
      </c>
      <c r="HM19" s="11" t="str">
        <f t="shared" si="69"/>
        <v/>
      </c>
      <c r="HN19" s="11">
        <f t="shared" si="70"/>
        <v>49.2</v>
      </c>
      <c r="HO19" s="17"/>
      <c r="HP19" s="17"/>
      <c r="HQ19" s="17"/>
      <c r="HR19" s="17"/>
      <c r="HS19" s="17"/>
      <c r="HT19" s="17"/>
      <c r="HU19" s="17"/>
      <c r="HV19" s="17"/>
      <c r="HW19" s="17"/>
      <c r="HX19" s="17"/>
      <c r="HY19" s="17"/>
      <c r="HZ19" s="17"/>
      <c r="IA19" s="17"/>
      <c r="IB19" s="17"/>
      <c r="IC19" s="17"/>
      <c r="ID19" s="17"/>
      <c r="IE19" s="17"/>
      <c r="IF19" s="17"/>
      <c r="IG19" s="17"/>
      <c r="IH19" s="17"/>
      <c r="II19" s="40" t="str">
        <f t="shared" si="71"/>
        <v/>
      </c>
      <c r="IJ19" s="40" t="str">
        <f t="shared" si="72"/>
        <v/>
      </c>
      <c r="IK19" s="40" t="str">
        <f t="shared" si="73"/>
        <v/>
      </c>
      <c r="IL19" s="40" t="str">
        <f t="shared" si="74"/>
        <v/>
      </c>
      <c r="IM19" s="40" t="str">
        <f t="shared" si="75"/>
        <v/>
      </c>
      <c r="IN19" s="40" t="str">
        <f t="shared" si="76"/>
        <v/>
      </c>
      <c r="IO19" s="40" t="str">
        <f t="shared" si="77"/>
        <v/>
      </c>
      <c r="IP19" s="40" t="str">
        <f t="shared" si="78"/>
        <v/>
      </c>
      <c r="IQ19" s="18"/>
      <c r="IR19" s="18"/>
      <c r="IS19" s="18"/>
      <c r="IT19" s="18"/>
      <c r="IU19" s="18"/>
      <c r="IV19" s="18"/>
      <c r="IW19" s="18"/>
      <c r="IX19" s="18"/>
      <c r="IY19" s="18"/>
      <c r="IZ19" s="18"/>
      <c r="JA19" s="18"/>
      <c r="JB19" s="18"/>
      <c r="JC19" s="18"/>
      <c r="JD19" s="18"/>
      <c r="JE19" s="18"/>
      <c r="JF19" s="18"/>
      <c r="JG19" s="18"/>
      <c r="JH19" s="18"/>
      <c r="JI19" s="18"/>
      <c r="JJ19" s="18"/>
      <c r="JK19" s="11" t="str">
        <f t="shared" si="79"/>
        <v/>
      </c>
      <c r="JL19" s="11" t="str">
        <f t="shared" si="80"/>
        <v/>
      </c>
      <c r="JM19" s="11" t="str">
        <f t="shared" si="81"/>
        <v/>
      </c>
      <c r="JN19" s="11" t="str">
        <f t="shared" si="82"/>
        <v/>
      </c>
      <c r="JO19" s="11" t="str">
        <f t="shared" si="83"/>
        <v/>
      </c>
      <c r="JP19" s="11" t="str">
        <f t="shared" si="84"/>
        <v/>
      </c>
      <c r="JQ19" s="11" t="str">
        <f t="shared" si="85"/>
        <v/>
      </c>
      <c r="JR19" s="11" t="str">
        <f t="shared" si="86"/>
        <v/>
      </c>
      <c r="JS19" s="17"/>
      <c r="JT19" s="17"/>
      <c r="JU19" s="17"/>
      <c r="JV19" s="17"/>
      <c r="JW19" s="17"/>
      <c r="JX19" s="17"/>
      <c r="JY19" s="17"/>
      <c r="JZ19" s="17"/>
      <c r="KA19" s="17"/>
      <c r="KB19" s="17"/>
      <c r="KC19" s="17"/>
      <c r="KD19" s="17"/>
      <c r="KE19" s="17"/>
      <c r="KF19" s="17"/>
      <c r="KG19" s="17"/>
      <c r="KH19" s="17"/>
      <c r="KI19" s="17"/>
      <c r="KJ19" s="17"/>
      <c r="KK19" s="17"/>
      <c r="KL19" s="17"/>
      <c r="KM19" s="40" t="str">
        <f t="shared" si="87"/>
        <v/>
      </c>
      <c r="KN19" s="40" t="str">
        <f t="shared" si="88"/>
        <v/>
      </c>
      <c r="KO19" s="40" t="str">
        <f t="shared" si="89"/>
        <v/>
      </c>
      <c r="KP19" s="40" t="str">
        <f t="shared" si="90"/>
        <v/>
      </c>
      <c r="KQ19" s="40" t="str">
        <f t="shared" si="91"/>
        <v/>
      </c>
      <c r="KR19" s="40" t="str">
        <f t="shared" si="92"/>
        <v/>
      </c>
      <c r="KS19" s="40" t="str">
        <f t="shared" si="93"/>
        <v/>
      </c>
      <c r="KT19" s="40" t="str">
        <f t="shared" si="94"/>
        <v/>
      </c>
      <c r="KU19" s="18"/>
      <c r="KV19" s="18"/>
      <c r="KW19" s="18"/>
      <c r="KX19" s="18"/>
      <c r="KY19" s="18"/>
      <c r="KZ19" s="18"/>
      <c r="LA19" s="18"/>
      <c r="LB19" s="18"/>
      <c r="LC19" s="18"/>
      <c r="LD19" s="18"/>
      <c r="LE19" s="18"/>
      <c r="LF19" s="18"/>
      <c r="LG19" s="18"/>
      <c r="LH19" s="18"/>
      <c r="LI19" s="18"/>
      <c r="LJ19" s="18"/>
      <c r="LK19" s="18"/>
      <c r="LL19" s="18"/>
      <c r="LM19" s="18"/>
      <c r="LN19" s="18"/>
      <c r="LO19" s="11" t="str">
        <f t="shared" si="95"/>
        <v/>
      </c>
      <c r="LP19" s="11" t="str">
        <f t="shared" si="96"/>
        <v/>
      </c>
      <c r="LQ19" s="11" t="str">
        <f t="shared" si="97"/>
        <v/>
      </c>
      <c r="LR19" s="11" t="str">
        <f t="shared" si="98"/>
        <v/>
      </c>
      <c r="LS19" s="11" t="str">
        <f t="shared" si="99"/>
        <v/>
      </c>
      <c r="LT19" s="11" t="str">
        <f t="shared" si="100"/>
        <v/>
      </c>
      <c r="LU19" s="11" t="str">
        <f t="shared" si="101"/>
        <v/>
      </c>
      <c r="LV19" s="11" t="str">
        <f t="shared" si="102"/>
        <v/>
      </c>
      <c r="LW19" s="17"/>
      <c r="LX19" s="17"/>
      <c r="LY19" s="17"/>
      <c r="LZ19" s="17"/>
      <c r="MA19" s="17"/>
      <c r="MB19" s="17"/>
      <c r="MC19" s="17"/>
      <c r="MD19" s="17"/>
      <c r="ME19" s="17"/>
      <c r="MF19" s="17"/>
      <c r="MG19" s="17"/>
      <c r="MH19" s="17"/>
      <c r="MI19" s="17"/>
      <c r="MJ19" s="17"/>
      <c r="MK19" s="17"/>
      <c r="ML19" s="17"/>
      <c r="MM19" s="17"/>
      <c r="MN19" s="17"/>
      <c r="MO19" s="17"/>
      <c r="MP19" s="17"/>
      <c r="MQ19" s="40" t="str">
        <f t="shared" si="103"/>
        <v/>
      </c>
      <c r="MR19" s="40" t="str">
        <f t="shared" si="104"/>
        <v/>
      </c>
      <c r="MS19" s="40" t="str">
        <f t="shared" si="105"/>
        <v/>
      </c>
      <c r="MT19" s="40" t="str">
        <f t="shared" si="106"/>
        <v/>
      </c>
      <c r="MU19" s="40" t="str">
        <f t="shared" si="107"/>
        <v/>
      </c>
      <c r="MV19" s="40" t="str">
        <f t="shared" si="108"/>
        <v/>
      </c>
      <c r="MW19" s="40" t="str">
        <f t="shared" si="109"/>
        <v/>
      </c>
      <c r="MX19" s="40" t="str">
        <f t="shared" si="110"/>
        <v/>
      </c>
      <c r="MY19" s="18"/>
      <c r="MZ19" s="18"/>
      <c r="NA19" s="18"/>
      <c r="NB19" s="18"/>
      <c r="NC19" s="18"/>
      <c r="ND19" s="18"/>
      <c r="NE19" s="18"/>
      <c r="NF19" s="18"/>
      <c r="NG19" s="18"/>
      <c r="NH19" s="18"/>
      <c r="NI19" s="18"/>
      <c r="NJ19" s="18"/>
      <c r="NK19" s="18"/>
      <c r="NL19" s="18"/>
      <c r="NM19" s="18"/>
      <c r="NN19" s="18"/>
      <c r="NO19" s="18"/>
      <c r="NP19" s="18"/>
      <c r="NQ19" s="18"/>
      <c r="NR19" s="18"/>
      <c r="NS19" s="11" t="str">
        <f t="shared" si="111"/>
        <v/>
      </c>
      <c r="NT19" s="11" t="str">
        <f t="shared" si="112"/>
        <v/>
      </c>
      <c r="NU19" s="11" t="str">
        <f t="shared" si="113"/>
        <v/>
      </c>
      <c r="NV19" s="11" t="str">
        <f t="shared" si="114"/>
        <v/>
      </c>
      <c r="NW19" s="11" t="str">
        <f t="shared" si="115"/>
        <v/>
      </c>
      <c r="NX19" s="11" t="str">
        <f t="shared" si="116"/>
        <v/>
      </c>
      <c r="NY19" s="11" t="str">
        <f t="shared" si="117"/>
        <v/>
      </c>
      <c r="NZ19" s="11" t="str">
        <f t="shared" si="118"/>
        <v/>
      </c>
      <c r="OA19" s="17"/>
      <c r="OB19" s="17"/>
      <c r="OC19" s="17"/>
      <c r="OD19" s="17"/>
      <c r="OE19" s="17"/>
      <c r="OF19" s="17"/>
      <c r="OG19" s="17"/>
      <c r="OH19" s="17"/>
      <c r="OI19" s="17"/>
      <c r="OJ19" s="17"/>
      <c r="OK19" s="17"/>
      <c r="OL19" s="17"/>
      <c r="OM19" s="17"/>
      <c r="ON19" s="17"/>
      <c r="OO19" s="17"/>
      <c r="OP19" s="17"/>
      <c r="OQ19" s="17"/>
      <c r="OR19" s="17"/>
      <c r="OS19" s="17"/>
      <c r="OT19" s="17"/>
      <c r="OU19" s="40" t="str">
        <f t="shared" si="119"/>
        <v/>
      </c>
      <c r="OV19" s="40" t="str">
        <f t="shared" si="120"/>
        <v/>
      </c>
      <c r="OW19" s="40" t="str">
        <f t="shared" si="121"/>
        <v/>
      </c>
      <c r="OX19" s="40" t="str">
        <f t="shared" si="122"/>
        <v/>
      </c>
      <c r="OY19" s="40" t="str">
        <f t="shared" si="123"/>
        <v/>
      </c>
      <c r="OZ19" s="40" t="str">
        <f t="shared" si="124"/>
        <v/>
      </c>
      <c r="PA19" s="40" t="str">
        <f t="shared" si="125"/>
        <v/>
      </c>
      <c r="PB19" s="40" t="str">
        <f t="shared" si="126"/>
        <v/>
      </c>
      <c r="PC19" s="18"/>
      <c r="PD19" s="18"/>
      <c r="PE19" s="18"/>
      <c r="PF19" s="18"/>
      <c r="PG19" s="18"/>
      <c r="PH19" s="18"/>
      <c r="PI19" s="18"/>
      <c r="PJ19" s="18"/>
      <c r="PK19" s="18"/>
      <c r="PL19" s="18"/>
      <c r="PM19" s="18"/>
      <c r="PN19" s="18"/>
      <c r="PO19" s="18"/>
      <c r="PP19" s="18"/>
      <c r="PQ19" s="18"/>
      <c r="PR19" s="18"/>
      <c r="PS19" s="18"/>
      <c r="PT19" s="18"/>
      <c r="PU19" s="18"/>
      <c r="PV19" s="18"/>
      <c r="PW19" s="11" t="str">
        <f t="shared" si="127"/>
        <v/>
      </c>
      <c r="PX19" s="11" t="str">
        <f t="shared" si="128"/>
        <v/>
      </c>
      <c r="PY19" s="11" t="str">
        <f t="shared" si="129"/>
        <v/>
      </c>
      <c r="PZ19" s="11" t="str">
        <f t="shared" si="130"/>
        <v/>
      </c>
      <c r="QA19" s="11" t="str">
        <f t="shared" si="131"/>
        <v/>
      </c>
      <c r="QB19" s="11" t="str">
        <f t="shared" si="132"/>
        <v/>
      </c>
      <c r="QC19" s="11" t="str">
        <f t="shared" si="133"/>
        <v/>
      </c>
      <c r="QD19" s="11" t="str">
        <f t="shared" si="134"/>
        <v/>
      </c>
      <c r="QE19" s="22">
        <f t="shared" si="135"/>
        <v>0</v>
      </c>
      <c r="QF19" s="22">
        <f t="shared" si="136"/>
        <v>0</v>
      </c>
      <c r="QG19" s="22">
        <f t="shared" si="137"/>
        <v>0</v>
      </c>
      <c r="QH19" s="22">
        <f t="shared" si="138"/>
        <v>0</v>
      </c>
      <c r="QI19" s="22">
        <f t="shared" si="139"/>
        <v>0</v>
      </c>
      <c r="QJ19" s="22">
        <f t="shared" si="140"/>
        <v>0</v>
      </c>
      <c r="QK19" s="22">
        <f t="shared" si="141"/>
        <v>0</v>
      </c>
      <c r="QL19" s="22">
        <f t="shared" si="142"/>
        <v>0</v>
      </c>
      <c r="QM19" s="22">
        <f t="shared" si="143"/>
        <v>0</v>
      </c>
      <c r="QN19" s="22">
        <f t="shared" si="144"/>
        <v>0</v>
      </c>
      <c r="QO19" s="22">
        <f t="shared" si="145"/>
        <v>0</v>
      </c>
      <c r="QP19" s="22">
        <f t="shared" si="146"/>
        <v>0</v>
      </c>
      <c r="QQ19" s="22">
        <f t="shared" si="147"/>
        <v>0</v>
      </c>
      <c r="QR19" s="22">
        <f t="shared" si="148"/>
        <v>0</v>
      </c>
      <c r="QS19" s="22">
        <f t="shared" si="149"/>
        <v>0</v>
      </c>
      <c r="QT19" s="22">
        <f t="shared" si="150"/>
        <v>0</v>
      </c>
      <c r="QU19" s="22">
        <f t="shared" si="151"/>
        <v>0</v>
      </c>
      <c r="QV19" s="22">
        <f t="shared" si="152"/>
        <v>0</v>
      </c>
      <c r="QW19" s="22">
        <f t="shared" si="153"/>
        <v>0</v>
      </c>
      <c r="QX19" s="22">
        <f t="shared" si="154"/>
        <v>0</v>
      </c>
      <c r="QY19" s="27" t="s">
        <v>46</v>
      </c>
      <c r="QZ19" s="40" t="str">
        <f t="shared" si="155"/>
        <v/>
      </c>
      <c r="RA19" s="40" t="str">
        <f t="shared" si="156"/>
        <v/>
      </c>
      <c r="RB19" s="40" t="str">
        <f t="shared" si="157"/>
        <v/>
      </c>
      <c r="RC19" s="40" t="str">
        <f t="shared" si="158"/>
        <v/>
      </c>
      <c r="RD19" s="40" t="str">
        <f t="shared" si="159"/>
        <v/>
      </c>
      <c r="RE19" s="40" t="str">
        <f t="shared" si="160"/>
        <v/>
      </c>
      <c r="RF19" s="40" t="str">
        <f t="shared" si="161"/>
        <v/>
      </c>
      <c r="RG19" s="40" t="str">
        <f t="shared" si="162"/>
        <v/>
      </c>
    </row>
    <row r="20" spans="1:475" x14ac:dyDescent="0.2">
      <c r="A20" s="4">
        <f t="shared" si="164"/>
        <v>17</v>
      </c>
      <c r="B20" s="5" t="s">
        <v>149</v>
      </c>
      <c r="C20" s="4" t="s">
        <v>5</v>
      </c>
      <c r="D20" s="4">
        <v>2005</v>
      </c>
      <c r="E20" s="9">
        <f t="shared" si="163"/>
        <v>70.500007050004967</v>
      </c>
      <c r="F20" s="3" t="str">
        <f t="shared" si="0"/>
        <v>P</v>
      </c>
      <c r="G20" s="3" t="str">
        <f t="shared" si="1"/>
        <v>P</v>
      </c>
      <c r="H20" s="36" t="str">
        <f t="shared" si="2"/>
        <v>National Team</v>
      </c>
      <c r="I20" s="3" t="str">
        <f t="shared" si="3"/>
        <v/>
      </c>
      <c r="J20" s="8">
        <f>IF(COUNT(AQ20,BT20,CW20)&gt;0,LARGE((AQ20,BT20,CW20),1),0)</f>
        <v>49.7</v>
      </c>
      <c r="K20" s="8" t="str">
        <f t="shared" si="4"/>
        <v>2023 Elite Canada</v>
      </c>
      <c r="L20" s="8">
        <f>IF(COUNT(AQ20,BT20,CW20)&gt;1,LARGE((AQ20,BT20,CW20),2),0)</f>
        <v>0</v>
      </c>
      <c r="M20" s="8" t="str">
        <f t="shared" si="5"/>
        <v/>
      </c>
      <c r="N20" s="8">
        <f>IF(COUNT(AR20,BU20,CX20)&gt;0,LARGE((AR20,BU20,CX20),1),0)</f>
        <v>20.8</v>
      </c>
      <c r="O20" s="8" t="str">
        <f t="shared" si="6"/>
        <v>2023 Elite Canada</v>
      </c>
      <c r="P20" s="8">
        <f t="shared" si="7"/>
        <v>0</v>
      </c>
      <c r="Q20" s="8" t="str">
        <f t="shared" si="8"/>
        <v/>
      </c>
      <c r="R20" s="8" t="str">
        <f t="shared" si="9"/>
        <v/>
      </c>
      <c r="S20" s="11" t="str">
        <f t="shared" si="10"/>
        <v/>
      </c>
      <c r="T20" s="8" t="str">
        <f t="shared" si="11"/>
        <v/>
      </c>
      <c r="U20" s="19"/>
      <c r="V20" s="19"/>
      <c r="W20" s="19"/>
      <c r="X20" s="19"/>
      <c r="Y20" s="19"/>
      <c r="Z20" s="19"/>
      <c r="AA20" s="19"/>
      <c r="AB20" s="19"/>
      <c r="AC20" s="19"/>
      <c r="AD20" s="19"/>
      <c r="AE20" s="19"/>
      <c r="AF20" s="19"/>
      <c r="AG20" s="19"/>
      <c r="AH20" s="19"/>
      <c r="AI20" s="19"/>
      <c r="AJ20" s="19"/>
      <c r="AK20" s="19"/>
      <c r="AL20" s="19"/>
      <c r="AM20" s="19"/>
      <c r="AN20" s="19"/>
      <c r="AO20" s="27"/>
      <c r="AP20" s="40" t="str">
        <f t="shared" si="12"/>
        <v/>
      </c>
      <c r="AQ20" s="40" t="str">
        <f t="shared" si="13"/>
        <v/>
      </c>
      <c r="AR20" s="40" t="str">
        <f t="shared" si="14"/>
        <v/>
      </c>
      <c r="AS20" s="40" t="str">
        <f t="shared" si="15"/>
        <v/>
      </c>
      <c r="AT20" s="40" t="str">
        <f t="shared" si="16"/>
        <v/>
      </c>
      <c r="AU20" s="40" t="str">
        <f t="shared" si="17"/>
        <v/>
      </c>
      <c r="AV20" s="40" t="str">
        <f t="shared" si="18"/>
        <v/>
      </c>
      <c r="AW20" s="40" t="str">
        <f t="shared" si="19"/>
        <v/>
      </c>
      <c r="AX20" s="18"/>
      <c r="AY20" s="18"/>
      <c r="AZ20" s="18"/>
      <c r="BA20" s="18"/>
      <c r="BB20" s="18"/>
      <c r="BC20" s="18"/>
      <c r="BD20" s="18"/>
      <c r="BE20" s="18"/>
      <c r="BF20" s="18"/>
      <c r="BG20" s="18"/>
      <c r="BH20" s="18"/>
      <c r="BI20" s="18"/>
      <c r="BJ20" s="18"/>
      <c r="BK20" s="18"/>
      <c r="BL20" s="18"/>
      <c r="BM20" s="18"/>
      <c r="BN20" s="18"/>
      <c r="BO20" s="18"/>
      <c r="BP20" s="18"/>
      <c r="BQ20" s="18"/>
      <c r="BR20" s="28"/>
      <c r="BS20" s="11" t="str">
        <f t="shared" si="20"/>
        <v/>
      </c>
      <c r="BT20" s="11" t="str">
        <f t="shared" si="21"/>
        <v/>
      </c>
      <c r="BU20" s="11" t="str">
        <f t="shared" si="22"/>
        <v/>
      </c>
      <c r="BV20" s="11" t="str">
        <f t="shared" si="23"/>
        <v/>
      </c>
      <c r="BW20" s="11" t="str">
        <f t="shared" si="24"/>
        <v/>
      </c>
      <c r="BX20" s="11" t="str">
        <f t="shared" si="25"/>
        <v/>
      </c>
      <c r="BY20" s="11" t="str">
        <f t="shared" si="26"/>
        <v/>
      </c>
      <c r="BZ20" s="11" t="str">
        <f t="shared" si="27"/>
        <v/>
      </c>
      <c r="CA20" s="19">
        <v>18.5</v>
      </c>
      <c r="CB20" s="19">
        <v>7.2</v>
      </c>
      <c r="CC20" s="19">
        <v>0</v>
      </c>
      <c r="CD20" s="19">
        <v>0</v>
      </c>
      <c r="CE20" s="19">
        <v>18</v>
      </c>
      <c r="CF20" s="19">
        <v>6.8</v>
      </c>
      <c r="CG20" s="19">
        <v>0.8</v>
      </c>
      <c r="CH20" s="19">
        <v>0</v>
      </c>
      <c r="CI20" s="19">
        <v>17.600000000000001</v>
      </c>
      <c r="CJ20" s="19">
        <v>4.4000000000000004</v>
      </c>
      <c r="CK20" s="19">
        <v>1.2</v>
      </c>
      <c r="CL20" s="19">
        <v>0</v>
      </c>
      <c r="CM20" s="19"/>
      <c r="CN20" s="19"/>
      <c r="CO20" s="19"/>
      <c r="CP20" s="19"/>
      <c r="CQ20" s="19"/>
      <c r="CR20" s="19"/>
      <c r="CS20" s="19"/>
      <c r="CT20" s="19"/>
      <c r="CU20" s="27"/>
      <c r="CV20" s="40">
        <f t="shared" si="28"/>
        <v>14</v>
      </c>
      <c r="CW20" s="40">
        <f t="shared" si="29"/>
        <v>49.7</v>
      </c>
      <c r="CX20" s="40">
        <f t="shared" si="30"/>
        <v>20.8</v>
      </c>
      <c r="CY20" s="40">
        <f t="shared" si="31"/>
        <v>18.399999999999999</v>
      </c>
      <c r="CZ20" s="40">
        <f t="shared" si="32"/>
        <v>70.5</v>
      </c>
      <c r="DA20" s="40" t="str">
        <f t="shared" si="33"/>
        <v/>
      </c>
      <c r="DB20" s="40" t="str">
        <f t="shared" si="34"/>
        <v/>
      </c>
      <c r="DC20" s="40">
        <f t="shared" si="35"/>
        <v>49.7</v>
      </c>
      <c r="DD20" s="50" t="str">
        <f t="shared" si="36"/>
        <v/>
      </c>
      <c r="DE20" s="50" t="str">
        <f t="shared" si="37"/>
        <v/>
      </c>
      <c r="DF20" s="50" t="str">
        <f t="shared" si="38"/>
        <v/>
      </c>
      <c r="DG20" s="17"/>
      <c r="DH20" s="17"/>
      <c r="DI20" s="17"/>
      <c r="DJ20" s="17"/>
      <c r="DK20" s="17"/>
      <c r="DL20" s="17"/>
      <c r="DM20" s="17"/>
      <c r="DN20" s="17"/>
      <c r="DO20" s="17"/>
      <c r="DP20" s="17"/>
      <c r="DQ20" s="17"/>
      <c r="DR20" s="17"/>
      <c r="DS20" s="17"/>
      <c r="DT20" s="17"/>
      <c r="DU20" s="17"/>
      <c r="DV20" s="17"/>
      <c r="DW20" s="17"/>
      <c r="DX20" s="17"/>
      <c r="DY20" s="17"/>
      <c r="DZ20" s="17"/>
      <c r="EA20" s="40" t="str">
        <f t="shared" si="39"/>
        <v/>
      </c>
      <c r="EB20" s="40" t="str">
        <f t="shared" si="40"/>
        <v/>
      </c>
      <c r="EC20" s="40" t="str">
        <f t="shared" si="41"/>
        <v/>
      </c>
      <c r="ED20" s="40" t="str">
        <f t="shared" si="42"/>
        <v/>
      </c>
      <c r="EE20" s="40" t="str">
        <f t="shared" si="43"/>
        <v/>
      </c>
      <c r="EF20" s="40" t="str">
        <f t="shared" si="44"/>
        <v/>
      </c>
      <c r="EG20" s="40" t="str">
        <f t="shared" si="45"/>
        <v/>
      </c>
      <c r="EH20" s="40" t="str">
        <f t="shared" si="46"/>
        <v/>
      </c>
      <c r="EI20" s="18"/>
      <c r="EJ20" s="18"/>
      <c r="EK20" s="18"/>
      <c r="EL20" s="18"/>
      <c r="EM20" s="18"/>
      <c r="EN20" s="18"/>
      <c r="EO20" s="18"/>
      <c r="EP20" s="18"/>
      <c r="EQ20" s="18"/>
      <c r="ER20" s="18"/>
      <c r="ES20" s="18"/>
      <c r="ET20" s="18"/>
      <c r="EU20" s="18"/>
      <c r="EV20" s="18"/>
      <c r="EW20" s="18"/>
      <c r="EX20" s="18"/>
      <c r="EY20" s="18"/>
      <c r="EZ20" s="18"/>
      <c r="FA20" s="18"/>
      <c r="FB20" s="18"/>
      <c r="FC20" s="11" t="str">
        <f t="shared" si="47"/>
        <v/>
      </c>
      <c r="FD20" s="11" t="str">
        <f t="shared" si="48"/>
        <v/>
      </c>
      <c r="FE20" s="11" t="str">
        <f t="shared" si="49"/>
        <v/>
      </c>
      <c r="FF20" s="11" t="str">
        <f t="shared" si="50"/>
        <v/>
      </c>
      <c r="FG20" s="11" t="str">
        <f t="shared" si="51"/>
        <v/>
      </c>
      <c r="FH20" s="11" t="str">
        <f t="shared" si="52"/>
        <v/>
      </c>
      <c r="FI20" s="11" t="str">
        <f t="shared" si="53"/>
        <v/>
      </c>
      <c r="FJ20" s="11" t="str">
        <f t="shared" si="54"/>
        <v/>
      </c>
      <c r="FK20" s="17"/>
      <c r="FL20" s="17"/>
      <c r="FM20" s="17"/>
      <c r="FN20" s="17"/>
      <c r="FO20" s="17"/>
      <c r="FP20" s="17"/>
      <c r="FQ20" s="17"/>
      <c r="FR20" s="17"/>
      <c r="FS20" s="17"/>
      <c r="FT20" s="17"/>
      <c r="FU20" s="17"/>
      <c r="FV20" s="17"/>
      <c r="FW20" s="17"/>
      <c r="FX20" s="17"/>
      <c r="FY20" s="17"/>
      <c r="FZ20" s="17"/>
      <c r="GA20" s="17"/>
      <c r="GB20" s="17"/>
      <c r="GC20" s="17"/>
      <c r="GD20" s="17"/>
      <c r="GE20" s="40" t="str">
        <f t="shared" si="55"/>
        <v/>
      </c>
      <c r="GF20" s="40" t="str">
        <f t="shared" si="56"/>
        <v/>
      </c>
      <c r="GG20" s="40" t="str">
        <f t="shared" si="57"/>
        <v/>
      </c>
      <c r="GH20" s="40" t="str">
        <f t="shared" si="58"/>
        <v/>
      </c>
      <c r="GI20" s="40" t="str">
        <f t="shared" si="59"/>
        <v/>
      </c>
      <c r="GJ20" s="40" t="str">
        <f t="shared" si="60"/>
        <v/>
      </c>
      <c r="GK20" s="40" t="str">
        <f t="shared" si="61"/>
        <v/>
      </c>
      <c r="GL20" s="40" t="str">
        <f t="shared" si="62"/>
        <v/>
      </c>
      <c r="GM20" s="18"/>
      <c r="GN20" s="18"/>
      <c r="GO20" s="18"/>
      <c r="GP20" s="18"/>
      <c r="GQ20" s="18"/>
      <c r="GR20" s="18"/>
      <c r="GS20" s="18"/>
      <c r="GT20" s="18"/>
      <c r="GU20" s="18"/>
      <c r="GV20" s="18"/>
      <c r="GW20" s="18"/>
      <c r="GX20" s="18"/>
      <c r="GY20" s="18"/>
      <c r="GZ20" s="18"/>
      <c r="HA20" s="18"/>
      <c r="HB20" s="18"/>
      <c r="HC20" s="18"/>
      <c r="HD20" s="18"/>
      <c r="HE20" s="18"/>
      <c r="HF20" s="18"/>
      <c r="HG20" s="11" t="str">
        <f t="shared" si="63"/>
        <v/>
      </c>
      <c r="HH20" s="11" t="str">
        <f t="shared" si="64"/>
        <v/>
      </c>
      <c r="HI20" s="11" t="str">
        <f t="shared" si="65"/>
        <v/>
      </c>
      <c r="HJ20" s="11" t="str">
        <f t="shared" si="66"/>
        <v/>
      </c>
      <c r="HK20" s="11" t="str">
        <f t="shared" si="67"/>
        <v/>
      </c>
      <c r="HL20" s="11" t="str">
        <f t="shared" si="68"/>
        <v/>
      </c>
      <c r="HM20" s="11" t="str">
        <f t="shared" si="69"/>
        <v/>
      </c>
      <c r="HN20" s="11" t="str">
        <f t="shared" si="70"/>
        <v/>
      </c>
      <c r="HO20" s="17"/>
      <c r="HP20" s="17"/>
      <c r="HQ20" s="17"/>
      <c r="HR20" s="17"/>
      <c r="HS20" s="17"/>
      <c r="HT20" s="17"/>
      <c r="HU20" s="17"/>
      <c r="HV20" s="17"/>
      <c r="HW20" s="17"/>
      <c r="HX20" s="17"/>
      <c r="HY20" s="17"/>
      <c r="HZ20" s="17"/>
      <c r="IA20" s="17"/>
      <c r="IB20" s="17"/>
      <c r="IC20" s="17"/>
      <c r="ID20" s="17"/>
      <c r="IE20" s="17"/>
      <c r="IF20" s="17"/>
      <c r="IG20" s="17"/>
      <c r="IH20" s="17"/>
      <c r="II20" s="40" t="str">
        <f t="shared" si="71"/>
        <v/>
      </c>
      <c r="IJ20" s="40" t="str">
        <f t="shared" si="72"/>
        <v/>
      </c>
      <c r="IK20" s="40" t="str">
        <f t="shared" si="73"/>
        <v/>
      </c>
      <c r="IL20" s="40" t="str">
        <f t="shared" si="74"/>
        <v/>
      </c>
      <c r="IM20" s="40" t="str">
        <f t="shared" si="75"/>
        <v/>
      </c>
      <c r="IN20" s="40" t="str">
        <f t="shared" si="76"/>
        <v/>
      </c>
      <c r="IO20" s="40" t="str">
        <f t="shared" si="77"/>
        <v/>
      </c>
      <c r="IP20" s="40" t="str">
        <f t="shared" si="78"/>
        <v/>
      </c>
      <c r="IQ20" s="18"/>
      <c r="IR20" s="18"/>
      <c r="IS20" s="18"/>
      <c r="IT20" s="18"/>
      <c r="IU20" s="18"/>
      <c r="IV20" s="18"/>
      <c r="IW20" s="18"/>
      <c r="IX20" s="18"/>
      <c r="IY20" s="18"/>
      <c r="IZ20" s="18"/>
      <c r="JA20" s="18"/>
      <c r="JB20" s="18"/>
      <c r="JC20" s="18"/>
      <c r="JD20" s="18"/>
      <c r="JE20" s="18"/>
      <c r="JF20" s="18"/>
      <c r="JG20" s="18"/>
      <c r="JH20" s="18"/>
      <c r="JI20" s="18"/>
      <c r="JJ20" s="18"/>
      <c r="JK20" s="11" t="str">
        <f t="shared" si="79"/>
        <v/>
      </c>
      <c r="JL20" s="11" t="str">
        <f t="shared" si="80"/>
        <v/>
      </c>
      <c r="JM20" s="11" t="str">
        <f t="shared" si="81"/>
        <v/>
      </c>
      <c r="JN20" s="11" t="str">
        <f t="shared" si="82"/>
        <v/>
      </c>
      <c r="JO20" s="11" t="str">
        <f t="shared" si="83"/>
        <v/>
      </c>
      <c r="JP20" s="11" t="str">
        <f t="shared" si="84"/>
        <v/>
      </c>
      <c r="JQ20" s="11" t="str">
        <f t="shared" si="85"/>
        <v/>
      </c>
      <c r="JR20" s="11" t="str">
        <f t="shared" si="86"/>
        <v/>
      </c>
      <c r="JS20" s="17"/>
      <c r="JT20" s="17"/>
      <c r="JU20" s="17"/>
      <c r="JV20" s="17"/>
      <c r="JW20" s="17"/>
      <c r="JX20" s="17"/>
      <c r="JY20" s="17"/>
      <c r="JZ20" s="17"/>
      <c r="KA20" s="17"/>
      <c r="KB20" s="17"/>
      <c r="KC20" s="17"/>
      <c r="KD20" s="17"/>
      <c r="KE20" s="17"/>
      <c r="KF20" s="17"/>
      <c r="KG20" s="17"/>
      <c r="KH20" s="17"/>
      <c r="KI20" s="17"/>
      <c r="KJ20" s="17"/>
      <c r="KK20" s="17"/>
      <c r="KL20" s="17"/>
      <c r="KM20" s="40" t="str">
        <f t="shared" si="87"/>
        <v/>
      </c>
      <c r="KN20" s="40" t="str">
        <f t="shared" si="88"/>
        <v/>
      </c>
      <c r="KO20" s="40" t="str">
        <f t="shared" si="89"/>
        <v/>
      </c>
      <c r="KP20" s="40" t="str">
        <f t="shared" si="90"/>
        <v/>
      </c>
      <c r="KQ20" s="40" t="str">
        <f t="shared" si="91"/>
        <v/>
      </c>
      <c r="KR20" s="40" t="str">
        <f t="shared" si="92"/>
        <v/>
      </c>
      <c r="KS20" s="40" t="str">
        <f t="shared" si="93"/>
        <v/>
      </c>
      <c r="KT20" s="40" t="str">
        <f t="shared" si="94"/>
        <v/>
      </c>
      <c r="KU20" s="18"/>
      <c r="KV20" s="18"/>
      <c r="KW20" s="18"/>
      <c r="KX20" s="18"/>
      <c r="KY20" s="18"/>
      <c r="KZ20" s="18"/>
      <c r="LA20" s="18"/>
      <c r="LB20" s="18"/>
      <c r="LC20" s="18"/>
      <c r="LD20" s="18"/>
      <c r="LE20" s="18"/>
      <c r="LF20" s="18"/>
      <c r="LG20" s="18"/>
      <c r="LH20" s="18"/>
      <c r="LI20" s="18"/>
      <c r="LJ20" s="18"/>
      <c r="LK20" s="18"/>
      <c r="LL20" s="18"/>
      <c r="LM20" s="18"/>
      <c r="LN20" s="18"/>
      <c r="LO20" s="11" t="str">
        <f t="shared" si="95"/>
        <v/>
      </c>
      <c r="LP20" s="11" t="str">
        <f t="shared" si="96"/>
        <v/>
      </c>
      <c r="LQ20" s="11" t="str">
        <f t="shared" si="97"/>
        <v/>
      </c>
      <c r="LR20" s="11" t="str">
        <f t="shared" si="98"/>
        <v/>
      </c>
      <c r="LS20" s="11" t="str">
        <f t="shared" si="99"/>
        <v/>
      </c>
      <c r="LT20" s="11" t="str">
        <f t="shared" si="100"/>
        <v/>
      </c>
      <c r="LU20" s="11" t="str">
        <f t="shared" si="101"/>
        <v/>
      </c>
      <c r="LV20" s="11" t="str">
        <f t="shared" si="102"/>
        <v/>
      </c>
      <c r="LW20" s="17"/>
      <c r="LX20" s="17"/>
      <c r="LY20" s="17"/>
      <c r="LZ20" s="17"/>
      <c r="MA20" s="17"/>
      <c r="MB20" s="17"/>
      <c r="MC20" s="17"/>
      <c r="MD20" s="17"/>
      <c r="ME20" s="17"/>
      <c r="MF20" s="17"/>
      <c r="MG20" s="17"/>
      <c r="MH20" s="17"/>
      <c r="MI20" s="17"/>
      <c r="MJ20" s="17"/>
      <c r="MK20" s="17"/>
      <c r="ML20" s="17"/>
      <c r="MM20" s="17"/>
      <c r="MN20" s="17"/>
      <c r="MO20" s="17"/>
      <c r="MP20" s="17"/>
      <c r="MQ20" s="40" t="str">
        <f t="shared" si="103"/>
        <v/>
      </c>
      <c r="MR20" s="40" t="str">
        <f t="shared" si="104"/>
        <v/>
      </c>
      <c r="MS20" s="40" t="str">
        <f t="shared" si="105"/>
        <v/>
      </c>
      <c r="MT20" s="40" t="str">
        <f t="shared" si="106"/>
        <v/>
      </c>
      <c r="MU20" s="40" t="str">
        <f t="shared" si="107"/>
        <v/>
      </c>
      <c r="MV20" s="40" t="str">
        <f t="shared" si="108"/>
        <v/>
      </c>
      <c r="MW20" s="40" t="str">
        <f t="shared" si="109"/>
        <v/>
      </c>
      <c r="MX20" s="40" t="str">
        <f t="shared" si="110"/>
        <v/>
      </c>
      <c r="MY20" s="18"/>
      <c r="MZ20" s="18"/>
      <c r="NA20" s="18"/>
      <c r="NB20" s="18"/>
      <c r="NC20" s="18"/>
      <c r="ND20" s="18"/>
      <c r="NE20" s="18"/>
      <c r="NF20" s="18"/>
      <c r="NG20" s="18"/>
      <c r="NH20" s="18"/>
      <c r="NI20" s="18"/>
      <c r="NJ20" s="18"/>
      <c r="NK20" s="18"/>
      <c r="NL20" s="18"/>
      <c r="NM20" s="18"/>
      <c r="NN20" s="18"/>
      <c r="NO20" s="18"/>
      <c r="NP20" s="18"/>
      <c r="NQ20" s="18"/>
      <c r="NR20" s="18"/>
      <c r="NS20" s="11" t="str">
        <f t="shared" si="111"/>
        <v/>
      </c>
      <c r="NT20" s="11" t="str">
        <f t="shared" si="112"/>
        <v/>
      </c>
      <c r="NU20" s="11" t="str">
        <f t="shared" si="113"/>
        <v/>
      </c>
      <c r="NV20" s="11" t="str">
        <f t="shared" si="114"/>
        <v/>
      </c>
      <c r="NW20" s="11" t="str">
        <f t="shared" si="115"/>
        <v/>
      </c>
      <c r="NX20" s="11" t="str">
        <f t="shared" si="116"/>
        <v/>
      </c>
      <c r="NY20" s="11" t="str">
        <f t="shared" si="117"/>
        <v/>
      </c>
      <c r="NZ20" s="11" t="str">
        <f t="shared" si="118"/>
        <v/>
      </c>
      <c r="OA20" s="17"/>
      <c r="OB20" s="17"/>
      <c r="OC20" s="17"/>
      <c r="OD20" s="17"/>
      <c r="OE20" s="17"/>
      <c r="OF20" s="17"/>
      <c r="OG20" s="17"/>
      <c r="OH20" s="17"/>
      <c r="OI20" s="17"/>
      <c r="OJ20" s="17"/>
      <c r="OK20" s="17"/>
      <c r="OL20" s="17"/>
      <c r="OM20" s="17"/>
      <c r="ON20" s="17"/>
      <c r="OO20" s="17"/>
      <c r="OP20" s="17"/>
      <c r="OQ20" s="17"/>
      <c r="OR20" s="17"/>
      <c r="OS20" s="17"/>
      <c r="OT20" s="17"/>
      <c r="OU20" s="40" t="str">
        <f t="shared" si="119"/>
        <v/>
      </c>
      <c r="OV20" s="40" t="str">
        <f t="shared" si="120"/>
        <v/>
      </c>
      <c r="OW20" s="40" t="str">
        <f t="shared" si="121"/>
        <v/>
      </c>
      <c r="OX20" s="40" t="str">
        <f t="shared" si="122"/>
        <v/>
      </c>
      <c r="OY20" s="40" t="str">
        <f t="shared" si="123"/>
        <v/>
      </c>
      <c r="OZ20" s="40" t="str">
        <f t="shared" si="124"/>
        <v/>
      </c>
      <c r="PA20" s="40" t="str">
        <f t="shared" si="125"/>
        <v/>
      </c>
      <c r="PB20" s="40" t="str">
        <f t="shared" si="126"/>
        <v/>
      </c>
      <c r="PC20" s="18"/>
      <c r="PD20" s="18"/>
      <c r="PE20" s="18"/>
      <c r="PF20" s="18"/>
      <c r="PG20" s="18"/>
      <c r="PH20" s="18"/>
      <c r="PI20" s="18"/>
      <c r="PJ20" s="18"/>
      <c r="PK20" s="18"/>
      <c r="PL20" s="18"/>
      <c r="PM20" s="18"/>
      <c r="PN20" s="18"/>
      <c r="PO20" s="18"/>
      <c r="PP20" s="18"/>
      <c r="PQ20" s="18"/>
      <c r="PR20" s="18"/>
      <c r="PS20" s="18"/>
      <c r="PT20" s="18"/>
      <c r="PU20" s="18"/>
      <c r="PV20" s="18"/>
      <c r="PW20" s="11" t="str">
        <f t="shared" si="127"/>
        <v/>
      </c>
      <c r="PX20" s="11" t="str">
        <f t="shared" si="128"/>
        <v/>
      </c>
      <c r="PY20" s="11" t="str">
        <f t="shared" si="129"/>
        <v/>
      </c>
      <c r="PZ20" s="11" t="str">
        <f t="shared" si="130"/>
        <v/>
      </c>
      <c r="QA20" s="11" t="str">
        <f t="shared" si="131"/>
        <v/>
      </c>
      <c r="QB20" s="11" t="str">
        <f t="shared" si="132"/>
        <v/>
      </c>
      <c r="QC20" s="11" t="str">
        <f t="shared" si="133"/>
        <v/>
      </c>
      <c r="QD20" s="11" t="str">
        <f t="shared" si="134"/>
        <v/>
      </c>
      <c r="QE20" s="22">
        <f t="shared" si="135"/>
        <v>9.25</v>
      </c>
      <c r="QF20" s="22">
        <f t="shared" si="136"/>
        <v>3.6</v>
      </c>
      <c r="QG20" s="22">
        <f t="shared" si="137"/>
        <v>0</v>
      </c>
      <c r="QH20" s="22">
        <f t="shared" si="138"/>
        <v>0</v>
      </c>
      <c r="QI20" s="22">
        <f t="shared" si="139"/>
        <v>9</v>
      </c>
      <c r="QJ20" s="22">
        <f t="shared" si="140"/>
        <v>3.4</v>
      </c>
      <c r="QK20" s="22">
        <f t="shared" si="141"/>
        <v>0.4</v>
      </c>
      <c r="QL20" s="22">
        <f t="shared" si="142"/>
        <v>0</v>
      </c>
      <c r="QM20" s="22">
        <f t="shared" si="143"/>
        <v>8.8000000000000007</v>
      </c>
      <c r="QN20" s="22">
        <f t="shared" si="144"/>
        <v>2.2000000000000002</v>
      </c>
      <c r="QO20" s="22">
        <f t="shared" si="145"/>
        <v>0.6</v>
      </c>
      <c r="QP20" s="22">
        <f t="shared" si="146"/>
        <v>0</v>
      </c>
      <c r="QQ20" s="22">
        <f t="shared" si="147"/>
        <v>0</v>
      </c>
      <c r="QR20" s="22">
        <f t="shared" si="148"/>
        <v>0</v>
      </c>
      <c r="QS20" s="22">
        <f t="shared" si="149"/>
        <v>0</v>
      </c>
      <c r="QT20" s="22">
        <f t="shared" si="150"/>
        <v>0</v>
      </c>
      <c r="QU20" s="22">
        <f t="shared" si="151"/>
        <v>0</v>
      </c>
      <c r="QV20" s="22">
        <f t="shared" si="152"/>
        <v>0</v>
      </c>
      <c r="QW20" s="22">
        <f t="shared" si="153"/>
        <v>0</v>
      </c>
      <c r="QX20" s="22">
        <f t="shared" si="154"/>
        <v>0</v>
      </c>
      <c r="QY20" s="27" t="s">
        <v>46</v>
      </c>
      <c r="QZ20" s="40">
        <f t="shared" si="155"/>
        <v>7</v>
      </c>
      <c r="RA20" s="40">
        <f t="shared" si="156"/>
        <v>24.85</v>
      </c>
      <c r="RB20" s="40">
        <f t="shared" si="157"/>
        <v>10.4</v>
      </c>
      <c r="RC20" s="40">
        <f t="shared" si="158"/>
        <v>9.1999999999999993</v>
      </c>
      <c r="RD20" s="40">
        <f t="shared" si="159"/>
        <v>35.25</v>
      </c>
      <c r="RE20" s="40" t="str">
        <f t="shared" si="160"/>
        <v/>
      </c>
      <c r="RF20" s="40" t="str">
        <f t="shared" si="161"/>
        <v/>
      </c>
      <c r="RG20" s="40">
        <f t="shared" si="162"/>
        <v>24.85</v>
      </c>
    </row>
    <row r="21" spans="1:475" x14ac:dyDescent="0.2">
      <c r="A21" s="4">
        <f t="shared" si="164"/>
        <v>18</v>
      </c>
      <c r="B21" s="5" t="s">
        <v>151</v>
      </c>
      <c r="C21" s="4" t="s">
        <v>3</v>
      </c>
      <c r="D21" s="4">
        <v>2005</v>
      </c>
      <c r="E21" s="9">
        <f t="shared" si="163"/>
        <v>50.29999999999999</v>
      </c>
      <c r="F21" s="3" t="str">
        <f t="shared" si="0"/>
        <v>P</v>
      </c>
      <c r="G21" s="3" t="str">
        <f t="shared" si="1"/>
        <v>P</v>
      </c>
      <c r="H21" s="36" t="str">
        <f t="shared" si="2"/>
        <v>National Team</v>
      </c>
      <c r="I21" s="3" t="str">
        <f t="shared" si="3"/>
        <v/>
      </c>
      <c r="J21" s="8">
        <f>IF(COUNT(AQ21,BT21,CW21)&gt;0,LARGE((AQ21,BT21,CW21),1),0)</f>
        <v>0</v>
      </c>
      <c r="K21" s="8" t="str">
        <f t="shared" si="4"/>
        <v/>
      </c>
      <c r="L21" s="8">
        <f>IF(COUNT(AQ21,BT21,CW21)&gt;1,LARGE((AQ21,BT21,CW21),2),0)</f>
        <v>0</v>
      </c>
      <c r="M21" s="8" t="str">
        <f t="shared" si="5"/>
        <v/>
      </c>
      <c r="N21" s="8">
        <f>IF(COUNT(AR21,BU21,CX21)&gt;0,LARGE((AR21,BU21,CX21),1),0)</f>
        <v>0</v>
      </c>
      <c r="O21" s="8" t="str">
        <f t="shared" si="6"/>
        <v/>
      </c>
      <c r="P21" s="8">
        <f t="shared" si="7"/>
        <v>0</v>
      </c>
      <c r="Q21" s="8" t="str">
        <f t="shared" si="8"/>
        <v/>
      </c>
      <c r="R21" s="8">
        <f t="shared" si="9"/>
        <v>50.29999999999999</v>
      </c>
      <c r="S21" s="11" t="str">
        <f t="shared" si="10"/>
        <v>(Q1)</v>
      </c>
      <c r="T21" s="8" t="str">
        <f t="shared" si="11"/>
        <v>2022 Coimbra Gym Fest (June 26)</v>
      </c>
      <c r="U21" s="19"/>
      <c r="V21" s="19"/>
      <c r="W21" s="19"/>
      <c r="X21" s="19"/>
      <c r="Y21" s="19"/>
      <c r="Z21" s="19"/>
      <c r="AA21" s="19"/>
      <c r="AB21" s="19"/>
      <c r="AC21" s="19"/>
      <c r="AD21" s="19"/>
      <c r="AE21" s="19"/>
      <c r="AF21" s="19"/>
      <c r="AG21" s="19"/>
      <c r="AH21" s="19"/>
      <c r="AI21" s="19"/>
      <c r="AJ21" s="19"/>
      <c r="AK21" s="19"/>
      <c r="AL21" s="19"/>
      <c r="AM21" s="19"/>
      <c r="AN21" s="19"/>
      <c r="AO21" s="27"/>
      <c r="AP21" s="40" t="str">
        <f t="shared" si="12"/>
        <v/>
      </c>
      <c r="AQ21" s="40" t="str">
        <f t="shared" si="13"/>
        <v/>
      </c>
      <c r="AR21" s="40" t="str">
        <f t="shared" si="14"/>
        <v/>
      </c>
      <c r="AS21" s="40" t="str">
        <f t="shared" si="15"/>
        <v/>
      </c>
      <c r="AT21" s="40" t="str">
        <f t="shared" si="16"/>
        <v/>
      </c>
      <c r="AU21" s="40" t="str">
        <f t="shared" si="17"/>
        <v/>
      </c>
      <c r="AV21" s="40" t="str">
        <f t="shared" si="18"/>
        <v/>
      </c>
      <c r="AW21" s="40" t="str">
        <f t="shared" si="19"/>
        <v/>
      </c>
      <c r="AX21" s="18"/>
      <c r="AY21" s="18"/>
      <c r="AZ21" s="18"/>
      <c r="BA21" s="18"/>
      <c r="BB21" s="18"/>
      <c r="BC21" s="18"/>
      <c r="BD21" s="18"/>
      <c r="BE21" s="18"/>
      <c r="BF21" s="18"/>
      <c r="BG21" s="18"/>
      <c r="BH21" s="18"/>
      <c r="BI21" s="18"/>
      <c r="BJ21" s="18"/>
      <c r="BK21" s="18"/>
      <c r="BL21" s="18"/>
      <c r="BM21" s="18"/>
      <c r="BN21" s="18"/>
      <c r="BO21" s="18"/>
      <c r="BP21" s="18"/>
      <c r="BQ21" s="18"/>
      <c r="BR21" s="28"/>
      <c r="BS21" s="11" t="str">
        <f t="shared" si="20"/>
        <v/>
      </c>
      <c r="BT21" s="11" t="str">
        <f t="shared" si="21"/>
        <v/>
      </c>
      <c r="BU21" s="11" t="str">
        <f t="shared" si="22"/>
        <v/>
      </c>
      <c r="BV21" s="11" t="str">
        <f t="shared" si="23"/>
        <v/>
      </c>
      <c r="BW21" s="11" t="str">
        <f t="shared" si="24"/>
        <v/>
      </c>
      <c r="BX21" s="11" t="str">
        <f t="shared" si="25"/>
        <v/>
      </c>
      <c r="BY21" s="11" t="str">
        <f t="shared" si="26"/>
        <v/>
      </c>
      <c r="BZ21" s="11" t="str">
        <f t="shared" si="27"/>
        <v/>
      </c>
      <c r="CA21" s="19"/>
      <c r="CB21" s="19"/>
      <c r="CC21" s="19"/>
      <c r="CD21" s="19"/>
      <c r="CE21" s="19"/>
      <c r="CF21" s="19"/>
      <c r="CG21" s="19"/>
      <c r="CH21" s="19"/>
      <c r="CI21" s="19"/>
      <c r="CJ21" s="19"/>
      <c r="CK21" s="19"/>
      <c r="CL21" s="19"/>
      <c r="CM21" s="19"/>
      <c r="CN21" s="19"/>
      <c r="CO21" s="19"/>
      <c r="CP21" s="19"/>
      <c r="CQ21" s="19"/>
      <c r="CR21" s="19"/>
      <c r="CS21" s="19"/>
      <c r="CT21" s="19"/>
      <c r="CU21" s="27"/>
      <c r="CV21" s="40" t="str">
        <f t="shared" si="28"/>
        <v/>
      </c>
      <c r="CW21" s="40" t="str">
        <f t="shared" si="29"/>
        <v/>
      </c>
      <c r="CX21" s="40" t="str">
        <f t="shared" si="30"/>
        <v/>
      </c>
      <c r="CY21" s="40" t="str">
        <f t="shared" si="31"/>
        <v/>
      </c>
      <c r="CZ21" s="40" t="str">
        <f t="shared" si="32"/>
        <v/>
      </c>
      <c r="DA21" s="40" t="str">
        <f t="shared" si="33"/>
        <v/>
      </c>
      <c r="DB21" s="40" t="str">
        <f t="shared" si="34"/>
        <v/>
      </c>
      <c r="DC21" s="40" t="str">
        <f t="shared" si="35"/>
        <v/>
      </c>
      <c r="DD21" s="50">
        <f t="shared" si="36"/>
        <v>50.29999999999999</v>
      </c>
      <c r="DE21" s="50" t="str">
        <f t="shared" si="37"/>
        <v/>
      </c>
      <c r="DF21" s="50">
        <f t="shared" si="38"/>
        <v>23.3</v>
      </c>
      <c r="DG21" s="17"/>
      <c r="DH21" s="17"/>
      <c r="DI21" s="17"/>
      <c r="DJ21" s="17"/>
      <c r="DK21" s="17"/>
      <c r="DL21" s="17"/>
      <c r="DM21" s="17"/>
      <c r="DN21" s="17"/>
      <c r="DO21" s="17"/>
      <c r="DP21" s="17"/>
      <c r="DQ21" s="17"/>
      <c r="DR21" s="17"/>
      <c r="DS21" s="17"/>
      <c r="DT21" s="17"/>
      <c r="DU21" s="17"/>
      <c r="DV21" s="17"/>
      <c r="DW21" s="17"/>
      <c r="DX21" s="17"/>
      <c r="DY21" s="17"/>
      <c r="DZ21" s="17"/>
      <c r="EA21" s="40" t="str">
        <f t="shared" si="39"/>
        <v/>
      </c>
      <c r="EB21" s="40" t="str">
        <f t="shared" si="40"/>
        <v/>
      </c>
      <c r="EC21" s="40" t="str">
        <f t="shared" si="41"/>
        <v/>
      </c>
      <c r="ED21" s="40" t="str">
        <f t="shared" si="42"/>
        <v/>
      </c>
      <c r="EE21" s="40" t="str">
        <f t="shared" si="43"/>
        <v/>
      </c>
      <c r="EF21" s="40" t="str">
        <f t="shared" si="44"/>
        <v/>
      </c>
      <c r="EG21" s="40" t="str">
        <f t="shared" si="45"/>
        <v/>
      </c>
      <c r="EH21" s="40" t="str">
        <f t="shared" si="46"/>
        <v/>
      </c>
      <c r="EI21" s="18"/>
      <c r="EJ21" s="18"/>
      <c r="EK21" s="18"/>
      <c r="EL21" s="18"/>
      <c r="EM21" s="18"/>
      <c r="EN21" s="18"/>
      <c r="EO21" s="18"/>
      <c r="EP21" s="18"/>
      <c r="EQ21" s="18"/>
      <c r="ER21" s="18"/>
      <c r="ES21" s="18"/>
      <c r="ET21" s="18"/>
      <c r="EU21" s="18"/>
      <c r="EV21" s="18"/>
      <c r="EW21" s="18"/>
      <c r="EX21" s="18"/>
      <c r="EY21" s="18"/>
      <c r="EZ21" s="18"/>
      <c r="FA21" s="18"/>
      <c r="FB21" s="18"/>
      <c r="FC21" s="11" t="str">
        <f t="shared" si="47"/>
        <v/>
      </c>
      <c r="FD21" s="11" t="str">
        <f t="shared" si="48"/>
        <v/>
      </c>
      <c r="FE21" s="11" t="str">
        <f t="shared" si="49"/>
        <v/>
      </c>
      <c r="FF21" s="11" t="str">
        <f t="shared" si="50"/>
        <v/>
      </c>
      <c r="FG21" s="11" t="str">
        <f t="shared" si="51"/>
        <v/>
      </c>
      <c r="FH21" s="11" t="str">
        <f t="shared" si="52"/>
        <v/>
      </c>
      <c r="FI21" s="11" t="str">
        <f t="shared" si="53"/>
        <v/>
      </c>
      <c r="FJ21" s="11" t="str">
        <f t="shared" si="54"/>
        <v/>
      </c>
      <c r="FK21" s="17"/>
      <c r="FL21" s="17"/>
      <c r="FM21" s="17"/>
      <c r="FN21" s="17"/>
      <c r="FO21" s="17"/>
      <c r="FP21" s="17"/>
      <c r="FQ21" s="17"/>
      <c r="FR21" s="17"/>
      <c r="FS21" s="17"/>
      <c r="FT21" s="17"/>
      <c r="FU21" s="17"/>
      <c r="FV21" s="17"/>
      <c r="FW21" s="17"/>
      <c r="FX21" s="17"/>
      <c r="FY21" s="17"/>
      <c r="FZ21" s="17"/>
      <c r="GA21" s="17"/>
      <c r="GB21" s="17"/>
      <c r="GC21" s="17"/>
      <c r="GD21" s="17"/>
      <c r="GE21" s="40" t="str">
        <f t="shared" si="55"/>
        <v/>
      </c>
      <c r="GF21" s="40" t="str">
        <f t="shared" si="56"/>
        <v/>
      </c>
      <c r="GG21" s="40" t="str">
        <f t="shared" si="57"/>
        <v/>
      </c>
      <c r="GH21" s="40" t="str">
        <f t="shared" si="58"/>
        <v/>
      </c>
      <c r="GI21" s="40" t="str">
        <f t="shared" si="59"/>
        <v/>
      </c>
      <c r="GJ21" s="40" t="str">
        <f t="shared" si="60"/>
        <v/>
      </c>
      <c r="GK21" s="40" t="str">
        <f t="shared" si="61"/>
        <v/>
      </c>
      <c r="GL21" s="40" t="str">
        <f t="shared" si="62"/>
        <v/>
      </c>
      <c r="GM21" s="18">
        <v>18.600000000000001</v>
      </c>
      <c r="GN21" s="18">
        <v>6.8</v>
      </c>
      <c r="GO21" s="18">
        <v>0.2</v>
      </c>
      <c r="GP21" s="18">
        <v>0</v>
      </c>
      <c r="GQ21" s="18">
        <v>18.899999999999999</v>
      </c>
      <c r="GR21" s="18">
        <v>6.4</v>
      </c>
      <c r="GS21" s="18">
        <v>0.2</v>
      </c>
      <c r="GT21" s="18">
        <v>0</v>
      </c>
      <c r="GU21" s="18"/>
      <c r="GV21" s="18"/>
      <c r="GW21" s="18"/>
      <c r="GX21" s="18"/>
      <c r="GY21" s="18">
        <v>18.5</v>
      </c>
      <c r="GZ21" s="18">
        <v>5.6</v>
      </c>
      <c r="HA21" s="18">
        <v>0.8</v>
      </c>
      <c r="HB21" s="18">
        <v>0</v>
      </c>
      <c r="HC21" s="18"/>
      <c r="HD21" s="18"/>
      <c r="HE21" s="18"/>
      <c r="HF21" s="18"/>
      <c r="HG21" s="11">
        <f t="shared" si="63"/>
        <v>13.2</v>
      </c>
      <c r="HH21" s="11">
        <f t="shared" si="64"/>
        <v>50.29999999999999</v>
      </c>
      <c r="HI21" s="11" t="str">
        <f t="shared" si="65"/>
        <v/>
      </c>
      <c r="HJ21" s="11">
        <f t="shared" si="66"/>
        <v>13.2</v>
      </c>
      <c r="HK21" s="11">
        <f t="shared" si="67"/>
        <v>50.29999999999999</v>
      </c>
      <c r="HL21" s="11">
        <f t="shared" si="68"/>
        <v>5.6</v>
      </c>
      <c r="HM21" s="11">
        <f t="shared" si="69"/>
        <v>23.3</v>
      </c>
      <c r="HN21" s="11">
        <f t="shared" si="70"/>
        <v>73.599999999999994</v>
      </c>
      <c r="HO21" s="17"/>
      <c r="HP21" s="17"/>
      <c r="HQ21" s="17"/>
      <c r="HR21" s="17"/>
      <c r="HS21" s="17"/>
      <c r="HT21" s="17"/>
      <c r="HU21" s="17"/>
      <c r="HV21" s="17"/>
      <c r="HW21" s="17"/>
      <c r="HX21" s="17"/>
      <c r="HY21" s="17"/>
      <c r="HZ21" s="17"/>
      <c r="IA21" s="17"/>
      <c r="IB21" s="17"/>
      <c r="IC21" s="17"/>
      <c r="ID21" s="17"/>
      <c r="IE21" s="17"/>
      <c r="IF21" s="17"/>
      <c r="IG21" s="17"/>
      <c r="IH21" s="17"/>
      <c r="II21" s="40" t="str">
        <f t="shared" si="71"/>
        <v/>
      </c>
      <c r="IJ21" s="40" t="str">
        <f t="shared" si="72"/>
        <v/>
      </c>
      <c r="IK21" s="40" t="str">
        <f t="shared" si="73"/>
        <v/>
      </c>
      <c r="IL21" s="40" t="str">
        <f t="shared" si="74"/>
        <v/>
      </c>
      <c r="IM21" s="40" t="str">
        <f t="shared" si="75"/>
        <v/>
      </c>
      <c r="IN21" s="40" t="str">
        <f t="shared" si="76"/>
        <v/>
      </c>
      <c r="IO21" s="40" t="str">
        <f t="shared" si="77"/>
        <v/>
      </c>
      <c r="IP21" s="40" t="str">
        <f t="shared" si="78"/>
        <v/>
      </c>
      <c r="IQ21" s="18"/>
      <c r="IR21" s="18"/>
      <c r="IS21" s="18"/>
      <c r="IT21" s="18"/>
      <c r="IU21" s="18"/>
      <c r="IV21" s="18"/>
      <c r="IW21" s="18"/>
      <c r="IX21" s="18"/>
      <c r="IY21" s="18"/>
      <c r="IZ21" s="18"/>
      <c r="JA21" s="18"/>
      <c r="JB21" s="18"/>
      <c r="JC21" s="18"/>
      <c r="JD21" s="18"/>
      <c r="JE21" s="18"/>
      <c r="JF21" s="18"/>
      <c r="JG21" s="18"/>
      <c r="JH21" s="18"/>
      <c r="JI21" s="18"/>
      <c r="JJ21" s="18"/>
      <c r="JK21" s="11" t="str">
        <f t="shared" si="79"/>
        <v/>
      </c>
      <c r="JL21" s="11" t="str">
        <f t="shared" si="80"/>
        <v/>
      </c>
      <c r="JM21" s="11" t="str">
        <f t="shared" si="81"/>
        <v/>
      </c>
      <c r="JN21" s="11" t="str">
        <f t="shared" si="82"/>
        <v/>
      </c>
      <c r="JO21" s="11" t="str">
        <f t="shared" si="83"/>
        <v/>
      </c>
      <c r="JP21" s="11" t="str">
        <f t="shared" si="84"/>
        <v/>
      </c>
      <c r="JQ21" s="11" t="str">
        <f t="shared" si="85"/>
        <v/>
      </c>
      <c r="JR21" s="11" t="str">
        <f t="shared" si="86"/>
        <v/>
      </c>
      <c r="JS21" s="17"/>
      <c r="JT21" s="17"/>
      <c r="JU21" s="17"/>
      <c r="JV21" s="17"/>
      <c r="JW21" s="17"/>
      <c r="JX21" s="17"/>
      <c r="JY21" s="17"/>
      <c r="JZ21" s="17"/>
      <c r="KA21" s="17"/>
      <c r="KB21" s="17"/>
      <c r="KC21" s="17"/>
      <c r="KD21" s="17"/>
      <c r="KE21" s="17"/>
      <c r="KF21" s="17"/>
      <c r="KG21" s="17"/>
      <c r="KH21" s="17"/>
      <c r="KI21" s="17"/>
      <c r="KJ21" s="17"/>
      <c r="KK21" s="17"/>
      <c r="KL21" s="17"/>
      <c r="KM21" s="40" t="str">
        <f t="shared" si="87"/>
        <v/>
      </c>
      <c r="KN21" s="40" t="str">
        <f t="shared" si="88"/>
        <v/>
      </c>
      <c r="KO21" s="40" t="str">
        <f t="shared" si="89"/>
        <v/>
      </c>
      <c r="KP21" s="40" t="str">
        <f t="shared" si="90"/>
        <v/>
      </c>
      <c r="KQ21" s="40" t="str">
        <f t="shared" si="91"/>
        <v/>
      </c>
      <c r="KR21" s="40" t="str">
        <f t="shared" si="92"/>
        <v/>
      </c>
      <c r="KS21" s="40" t="str">
        <f t="shared" si="93"/>
        <v/>
      </c>
      <c r="KT21" s="40" t="str">
        <f t="shared" si="94"/>
        <v/>
      </c>
      <c r="KU21" s="18"/>
      <c r="KV21" s="18"/>
      <c r="KW21" s="18"/>
      <c r="KX21" s="18"/>
      <c r="KY21" s="18"/>
      <c r="KZ21" s="18"/>
      <c r="LA21" s="18"/>
      <c r="LB21" s="18"/>
      <c r="LC21" s="18"/>
      <c r="LD21" s="18"/>
      <c r="LE21" s="18"/>
      <c r="LF21" s="18"/>
      <c r="LG21" s="18"/>
      <c r="LH21" s="18"/>
      <c r="LI21" s="18"/>
      <c r="LJ21" s="18"/>
      <c r="LK21" s="18"/>
      <c r="LL21" s="18"/>
      <c r="LM21" s="18"/>
      <c r="LN21" s="18"/>
      <c r="LO21" s="11" t="str">
        <f t="shared" si="95"/>
        <v/>
      </c>
      <c r="LP21" s="11" t="str">
        <f t="shared" si="96"/>
        <v/>
      </c>
      <c r="LQ21" s="11" t="str">
        <f t="shared" si="97"/>
        <v/>
      </c>
      <c r="LR21" s="11" t="str">
        <f t="shared" si="98"/>
        <v/>
      </c>
      <c r="LS21" s="11" t="str">
        <f t="shared" si="99"/>
        <v/>
      </c>
      <c r="LT21" s="11" t="str">
        <f t="shared" si="100"/>
        <v/>
      </c>
      <c r="LU21" s="11" t="str">
        <f t="shared" si="101"/>
        <v/>
      </c>
      <c r="LV21" s="11" t="str">
        <f t="shared" si="102"/>
        <v/>
      </c>
      <c r="LW21" s="17"/>
      <c r="LX21" s="17"/>
      <c r="LY21" s="17"/>
      <c r="LZ21" s="17"/>
      <c r="MA21" s="17"/>
      <c r="MB21" s="17"/>
      <c r="MC21" s="17"/>
      <c r="MD21" s="17"/>
      <c r="ME21" s="17"/>
      <c r="MF21" s="17"/>
      <c r="MG21" s="17"/>
      <c r="MH21" s="17"/>
      <c r="MI21" s="17"/>
      <c r="MJ21" s="17"/>
      <c r="MK21" s="17"/>
      <c r="ML21" s="17"/>
      <c r="MM21" s="17"/>
      <c r="MN21" s="17"/>
      <c r="MO21" s="17"/>
      <c r="MP21" s="17"/>
      <c r="MQ21" s="40" t="str">
        <f t="shared" si="103"/>
        <v/>
      </c>
      <c r="MR21" s="40" t="str">
        <f t="shared" si="104"/>
        <v/>
      </c>
      <c r="MS21" s="40" t="str">
        <f t="shared" si="105"/>
        <v/>
      </c>
      <c r="MT21" s="40" t="str">
        <f t="shared" si="106"/>
        <v/>
      </c>
      <c r="MU21" s="40" t="str">
        <f t="shared" si="107"/>
        <v/>
      </c>
      <c r="MV21" s="40" t="str">
        <f t="shared" si="108"/>
        <v/>
      </c>
      <c r="MW21" s="40" t="str">
        <f t="shared" si="109"/>
        <v/>
      </c>
      <c r="MX21" s="40" t="str">
        <f t="shared" si="110"/>
        <v/>
      </c>
      <c r="MY21" s="18"/>
      <c r="MZ21" s="18"/>
      <c r="NA21" s="18"/>
      <c r="NB21" s="18"/>
      <c r="NC21" s="18"/>
      <c r="ND21" s="18"/>
      <c r="NE21" s="18"/>
      <c r="NF21" s="18"/>
      <c r="NG21" s="18"/>
      <c r="NH21" s="18"/>
      <c r="NI21" s="18"/>
      <c r="NJ21" s="18"/>
      <c r="NK21" s="18"/>
      <c r="NL21" s="18"/>
      <c r="NM21" s="18"/>
      <c r="NN21" s="18"/>
      <c r="NO21" s="18"/>
      <c r="NP21" s="18"/>
      <c r="NQ21" s="18"/>
      <c r="NR21" s="18"/>
      <c r="NS21" s="11" t="str">
        <f t="shared" si="111"/>
        <v/>
      </c>
      <c r="NT21" s="11" t="str">
        <f t="shared" si="112"/>
        <v/>
      </c>
      <c r="NU21" s="11" t="str">
        <f t="shared" si="113"/>
        <v/>
      </c>
      <c r="NV21" s="11" t="str">
        <f t="shared" si="114"/>
        <v/>
      </c>
      <c r="NW21" s="11" t="str">
        <f t="shared" si="115"/>
        <v/>
      </c>
      <c r="NX21" s="11" t="str">
        <f t="shared" si="116"/>
        <v/>
      </c>
      <c r="NY21" s="11" t="str">
        <f t="shared" si="117"/>
        <v/>
      </c>
      <c r="NZ21" s="11" t="str">
        <f t="shared" si="118"/>
        <v/>
      </c>
      <c r="OA21" s="17"/>
      <c r="OB21" s="17"/>
      <c r="OC21" s="17"/>
      <c r="OD21" s="17"/>
      <c r="OE21" s="17"/>
      <c r="OF21" s="17"/>
      <c r="OG21" s="17"/>
      <c r="OH21" s="17"/>
      <c r="OI21" s="17"/>
      <c r="OJ21" s="17"/>
      <c r="OK21" s="17"/>
      <c r="OL21" s="17"/>
      <c r="OM21" s="17"/>
      <c r="ON21" s="17"/>
      <c r="OO21" s="17"/>
      <c r="OP21" s="17"/>
      <c r="OQ21" s="17"/>
      <c r="OR21" s="17"/>
      <c r="OS21" s="17"/>
      <c r="OT21" s="17"/>
      <c r="OU21" s="40" t="str">
        <f t="shared" si="119"/>
        <v/>
      </c>
      <c r="OV21" s="40" t="str">
        <f t="shared" si="120"/>
        <v/>
      </c>
      <c r="OW21" s="40" t="str">
        <f t="shared" si="121"/>
        <v/>
      </c>
      <c r="OX21" s="40" t="str">
        <f t="shared" si="122"/>
        <v/>
      </c>
      <c r="OY21" s="40" t="str">
        <f t="shared" si="123"/>
        <v/>
      </c>
      <c r="OZ21" s="40" t="str">
        <f t="shared" si="124"/>
        <v/>
      </c>
      <c r="PA21" s="40" t="str">
        <f t="shared" si="125"/>
        <v/>
      </c>
      <c r="PB21" s="40" t="str">
        <f t="shared" si="126"/>
        <v/>
      </c>
      <c r="PC21" s="18"/>
      <c r="PD21" s="18"/>
      <c r="PE21" s="18"/>
      <c r="PF21" s="18"/>
      <c r="PG21" s="18"/>
      <c r="PH21" s="18"/>
      <c r="PI21" s="18"/>
      <c r="PJ21" s="18"/>
      <c r="PK21" s="18"/>
      <c r="PL21" s="18"/>
      <c r="PM21" s="18"/>
      <c r="PN21" s="18"/>
      <c r="PO21" s="18"/>
      <c r="PP21" s="18"/>
      <c r="PQ21" s="18"/>
      <c r="PR21" s="18"/>
      <c r="PS21" s="18"/>
      <c r="PT21" s="18"/>
      <c r="PU21" s="18"/>
      <c r="PV21" s="18"/>
      <c r="PW21" s="11" t="str">
        <f t="shared" si="127"/>
        <v/>
      </c>
      <c r="PX21" s="11" t="str">
        <f t="shared" si="128"/>
        <v/>
      </c>
      <c r="PY21" s="11" t="str">
        <f t="shared" si="129"/>
        <v/>
      </c>
      <c r="PZ21" s="11" t="str">
        <f t="shared" si="130"/>
        <v/>
      </c>
      <c r="QA21" s="11" t="str">
        <f t="shared" si="131"/>
        <v/>
      </c>
      <c r="QB21" s="11" t="str">
        <f t="shared" si="132"/>
        <v/>
      </c>
      <c r="QC21" s="11" t="str">
        <f t="shared" si="133"/>
        <v/>
      </c>
      <c r="QD21" s="11" t="str">
        <f t="shared" si="134"/>
        <v/>
      </c>
      <c r="QE21" s="22">
        <f t="shared" si="135"/>
        <v>0</v>
      </c>
      <c r="QF21" s="22">
        <f t="shared" si="136"/>
        <v>0</v>
      </c>
      <c r="QG21" s="22">
        <f t="shared" si="137"/>
        <v>0</v>
      </c>
      <c r="QH21" s="22">
        <f t="shared" si="138"/>
        <v>0</v>
      </c>
      <c r="QI21" s="22">
        <f t="shared" si="139"/>
        <v>0</v>
      </c>
      <c r="QJ21" s="22">
        <f t="shared" si="140"/>
        <v>0</v>
      </c>
      <c r="QK21" s="22">
        <f t="shared" si="141"/>
        <v>0</v>
      </c>
      <c r="QL21" s="22">
        <f t="shared" si="142"/>
        <v>0</v>
      </c>
      <c r="QM21" s="22">
        <f t="shared" si="143"/>
        <v>0</v>
      </c>
      <c r="QN21" s="22">
        <f t="shared" si="144"/>
        <v>0</v>
      </c>
      <c r="QO21" s="22">
        <f t="shared" si="145"/>
        <v>0</v>
      </c>
      <c r="QP21" s="22">
        <f t="shared" si="146"/>
        <v>0</v>
      </c>
      <c r="QQ21" s="22">
        <f t="shared" si="147"/>
        <v>0</v>
      </c>
      <c r="QR21" s="22">
        <f t="shared" si="148"/>
        <v>0</v>
      </c>
      <c r="QS21" s="22">
        <f t="shared" si="149"/>
        <v>0</v>
      </c>
      <c r="QT21" s="22">
        <f t="shared" si="150"/>
        <v>0</v>
      </c>
      <c r="QU21" s="22">
        <f t="shared" si="151"/>
        <v>0</v>
      </c>
      <c r="QV21" s="22">
        <f t="shared" si="152"/>
        <v>0</v>
      </c>
      <c r="QW21" s="22">
        <f t="shared" si="153"/>
        <v>0</v>
      </c>
      <c r="QX21" s="22">
        <f t="shared" si="154"/>
        <v>0</v>
      </c>
      <c r="QY21" s="27" t="s">
        <v>46</v>
      </c>
      <c r="QZ21" s="40" t="str">
        <f t="shared" si="155"/>
        <v/>
      </c>
      <c r="RA21" s="40" t="str">
        <f t="shared" si="156"/>
        <v/>
      </c>
      <c r="RB21" s="40" t="str">
        <f t="shared" si="157"/>
        <v/>
      </c>
      <c r="RC21" s="40" t="str">
        <f t="shared" si="158"/>
        <v/>
      </c>
      <c r="RD21" s="40" t="str">
        <f t="shared" si="159"/>
        <v/>
      </c>
      <c r="RE21" s="40" t="str">
        <f t="shared" si="160"/>
        <v/>
      </c>
      <c r="RF21" s="40" t="str">
        <f t="shared" si="161"/>
        <v/>
      </c>
      <c r="RG21" s="40" t="str">
        <f t="shared" si="162"/>
        <v/>
      </c>
    </row>
    <row r="22" spans="1:475" x14ac:dyDescent="0.2">
      <c r="A22" s="4" t="str">
        <f t="shared" si="164"/>
        <v/>
      </c>
      <c r="B22" s="5" t="s">
        <v>147</v>
      </c>
      <c r="C22" s="4" t="s">
        <v>3</v>
      </c>
      <c r="D22" s="4">
        <v>2005</v>
      </c>
      <c r="E22" s="9">
        <f t="shared" si="163"/>
        <v>167.50001202000476</v>
      </c>
      <c r="F22" s="3" t="str">
        <f t="shared" si="0"/>
        <v/>
      </c>
      <c r="G22" s="3" t="str">
        <f t="shared" si="1"/>
        <v/>
      </c>
      <c r="H22" s="36" t="str">
        <f t="shared" si="2"/>
        <v/>
      </c>
      <c r="I22" s="3" t="str">
        <f t="shared" si="3"/>
        <v/>
      </c>
      <c r="J22" s="8">
        <f>IF(COUNT(AQ22,BT22,CW22)&gt;0,LARGE((AQ22,BT22,CW22),1),0)</f>
        <v>47.4</v>
      </c>
      <c r="K22" s="8" t="str">
        <f t="shared" si="4"/>
        <v>2022 Nationals</v>
      </c>
      <c r="L22" s="8">
        <f>IF(COUNT(AQ22,BT22,CW22)&gt;1,LARGE((AQ22,BT22,CW22),2),0)</f>
        <v>47.099999999999994</v>
      </c>
      <c r="M22" s="8" t="str">
        <f t="shared" si="5"/>
        <v>2022 3rd Domestic Trial</v>
      </c>
      <c r="N22" s="8">
        <f>IF(COUNT(AR22,BU22,CX22)&gt;0,LARGE((AR22,BU22,CX22),1),0)</f>
        <v>25.7</v>
      </c>
      <c r="O22" s="8" t="str">
        <f t="shared" si="6"/>
        <v>2023 Elite Canada</v>
      </c>
      <c r="P22" s="8">
        <f t="shared" si="7"/>
        <v>47.29999999999999</v>
      </c>
      <c r="Q22" s="8" t="str">
        <f t="shared" si="8"/>
        <v>2022 Nationals</v>
      </c>
      <c r="R22" s="8" t="str">
        <f t="shared" si="9"/>
        <v/>
      </c>
      <c r="S22" s="11" t="str">
        <f t="shared" si="10"/>
        <v/>
      </c>
      <c r="T22" s="8" t="str">
        <f t="shared" si="11"/>
        <v/>
      </c>
      <c r="U22" s="19">
        <v>19.2</v>
      </c>
      <c r="V22" s="19">
        <v>4.8</v>
      </c>
      <c r="W22" s="19">
        <v>0</v>
      </c>
      <c r="X22" s="19">
        <v>0</v>
      </c>
      <c r="Y22" s="19">
        <v>19.100000000000001</v>
      </c>
      <c r="Z22" s="19">
        <v>4.3</v>
      </c>
      <c r="AA22" s="19">
        <v>0</v>
      </c>
      <c r="AB22" s="19">
        <v>0</v>
      </c>
      <c r="AC22" s="19">
        <v>19.100000000000001</v>
      </c>
      <c r="AD22" s="19">
        <v>4</v>
      </c>
      <c r="AE22" s="19">
        <v>0</v>
      </c>
      <c r="AF22" s="19">
        <v>0</v>
      </c>
      <c r="AG22" s="19">
        <v>18.5</v>
      </c>
      <c r="AH22" s="19">
        <v>5.2</v>
      </c>
      <c r="AI22" s="19">
        <v>0.6</v>
      </c>
      <c r="AJ22" s="19">
        <v>0</v>
      </c>
      <c r="AK22" s="19">
        <v>18.899999999999999</v>
      </c>
      <c r="AL22" s="19">
        <v>5.3</v>
      </c>
      <c r="AM22" s="19">
        <v>0</v>
      </c>
      <c r="AN22" s="19">
        <v>0</v>
      </c>
      <c r="AO22" s="27"/>
      <c r="AP22" s="40">
        <f t="shared" si="12"/>
        <v>9.1</v>
      </c>
      <c r="AQ22" s="40">
        <f t="shared" si="13"/>
        <v>47.4</v>
      </c>
      <c r="AR22" s="40">
        <f t="shared" si="14"/>
        <v>23.1</v>
      </c>
      <c r="AS22" s="40">
        <f t="shared" si="15"/>
        <v>13.1</v>
      </c>
      <c r="AT22" s="40">
        <f t="shared" si="16"/>
        <v>70.5</v>
      </c>
      <c r="AU22" s="40">
        <f t="shared" si="17"/>
        <v>10.5</v>
      </c>
      <c r="AV22" s="40">
        <f t="shared" si="18"/>
        <v>47.29999999999999</v>
      </c>
      <c r="AW22" s="40">
        <f t="shared" si="19"/>
        <v>94.699999999999989</v>
      </c>
      <c r="AX22" s="18">
        <v>18.600000000000001</v>
      </c>
      <c r="AY22" s="18">
        <v>4.8</v>
      </c>
      <c r="AZ22" s="18">
        <v>0</v>
      </c>
      <c r="BA22" s="18">
        <v>0</v>
      </c>
      <c r="BB22" s="18">
        <v>18.899999999999999</v>
      </c>
      <c r="BC22" s="18">
        <v>4.8</v>
      </c>
      <c r="BD22" s="18">
        <v>0</v>
      </c>
      <c r="BE22" s="18">
        <v>0</v>
      </c>
      <c r="BF22" s="18">
        <v>19.04</v>
      </c>
      <c r="BG22" s="18">
        <v>4.3</v>
      </c>
      <c r="BH22" s="18">
        <v>0</v>
      </c>
      <c r="BI22" s="18">
        <v>0</v>
      </c>
      <c r="BJ22" s="18">
        <v>18.600000000000001</v>
      </c>
      <c r="BK22" s="18">
        <v>4.8</v>
      </c>
      <c r="BL22" s="18">
        <v>0.2</v>
      </c>
      <c r="BM22" s="18">
        <v>0</v>
      </c>
      <c r="BN22" s="18">
        <v>17.2</v>
      </c>
      <c r="BO22" s="18">
        <v>2</v>
      </c>
      <c r="BP22" s="18">
        <v>0</v>
      </c>
      <c r="BQ22" s="18">
        <v>0</v>
      </c>
      <c r="BR22" s="28"/>
      <c r="BS22" s="11">
        <f t="shared" si="20"/>
        <v>9.6</v>
      </c>
      <c r="BT22" s="11">
        <f t="shared" si="21"/>
        <v>47.099999999999994</v>
      </c>
      <c r="BU22" s="11">
        <f t="shared" si="22"/>
        <v>23.34</v>
      </c>
      <c r="BV22" s="11">
        <f t="shared" si="23"/>
        <v>13.899999999999999</v>
      </c>
      <c r="BW22" s="11">
        <f t="shared" si="24"/>
        <v>70.44</v>
      </c>
      <c r="BX22" s="11">
        <f t="shared" si="25"/>
        <v>6.8</v>
      </c>
      <c r="BY22" s="11">
        <f t="shared" si="26"/>
        <v>42.4</v>
      </c>
      <c r="BZ22" s="11">
        <f t="shared" si="27"/>
        <v>89.5</v>
      </c>
      <c r="CA22" s="19">
        <v>18.8</v>
      </c>
      <c r="CB22" s="19">
        <v>6</v>
      </c>
      <c r="CC22" s="19">
        <v>0.6</v>
      </c>
      <c r="CD22" s="19">
        <v>0</v>
      </c>
      <c r="CE22" s="19">
        <v>0</v>
      </c>
      <c r="CF22" s="19">
        <v>0</v>
      </c>
      <c r="CG22" s="19">
        <v>0</v>
      </c>
      <c r="CH22" s="19">
        <v>0</v>
      </c>
      <c r="CI22" s="19">
        <v>18.5</v>
      </c>
      <c r="CJ22" s="19">
        <v>7.2</v>
      </c>
      <c r="CK22" s="19">
        <v>0</v>
      </c>
      <c r="CL22" s="19">
        <v>0</v>
      </c>
      <c r="CM22" s="19"/>
      <c r="CN22" s="19"/>
      <c r="CO22" s="19"/>
      <c r="CP22" s="19"/>
      <c r="CQ22" s="19"/>
      <c r="CR22" s="19"/>
      <c r="CS22" s="19"/>
      <c r="CT22" s="19"/>
      <c r="CU22" s="27"/>
      <c r="CV22" s="40">
        <f t="shared" si="28"/>
        <v>6</v>
      </c>
      <c r="CW22" s="40">
        <f t="shared" si="29"/>
        <v>24.2</v>
      </c>
      <c r="CX22" s="40">
        <f t="shared" si="30"/>
        <v>25.7</v>
      </c>
      <c r="CY22" s="40">
        <f t="shared" si="31"/>
        <v>13.2</v>
      </c>
      <c r="CZ22" s="40">
        <f t="shared" si="32"/>
        <v>49.9</v>
      </c>
      <c r="DA22" s="40" t="str">
        <f t="shared" si="33"/>
        <v/>
      </c>
      <c r="DB22" s="40" t="str">
        <f t="shared" si="34"/>
        <v/>
      </c>
      <c r="DC22" s="40">
        <f t="shared" si="35"/>
        <v>24.2</v>
      </c>
      <c r="DD22" s="50" t="str">
        <f t="shared" si="36"/>
        <v/>
      </c>
      <c r="DE22" s="50" t="str">
        <f t="shared" si="37"/>
        <v/>
      </c>
      <c r="DF22" s="50" t="str">
        <f t="shared" si="38"/>
        <v/>
      </c>
      <c r="DG22" s="17"/>
      <c r="DH22" s="17"/>
      <c r="DI22" s="17"/>
      <c r="DJ22" s="17"/>
      <c r="DK22" s="17"/>
      <c r="DL22" s="17"/>
      <c r="DM22" s="17"/>
      <c r="DN22" s="17"/>
      <c r="DO22" s="17"/>
      <c r="DP22" s="17"/>
      <c r="DQ22" s="17"/>
      <c r="DR22" s="17"/>
      <c r="DS22" s="17"/>
      <c r="DT22" s="17"/>
      <c r="DU22" s="17"/>
      <c r="DV22" s="17"/>
      <c r="DW22" s="17"/>
      <c r="DX22" s="17"/>
      <c r="DY22" s="17"/>
      <c r="DZ22" s="17"/>
      <c r="EA22" s="40" t="str">
        <f t="shared" si="39"/>
        <v/>
      </c>
      <c r="EB22" s="40" t="str">
        <f t="shared" si="40"/>
        <v/>
      </c>
      <c r="EC22" s="40" t="str">
        <f t="shared" si="41"/>
        <v/>
      </c>
      <c r="ED22" s="40" t="str">
        <f t="shared" si="42"/>
        <v/>
      </c>
      <c r="EE22" s="40" t="str">
        <f t="shared" si="43"/>
        <v/>
      </c>
      <c r="EF22" s="40" t="str">
        <f t="shared" si="44"/>
        <v/>
      </c>
      <c r="EG22" s="40" t="str">
        <f t="shared" si="45"/>
        <v/>
      </c>
      <c r="EH22" s="40" t="str">
        <f t="shared" si="46"/>
        <v/>
      </c>
      <c r="EI22" s="18"/>
      <c r="EJ22" s="18"/>
      <c r="EK22" s="18"/>
      <c r="EL22" s="18"/>
      <c r="EM22" s="18"/>
      <c r="EN22" s="18"/>
      <c r="EO22" s="18"/>
      <c r="EP22" s="18"/>
      <c r="EQ22" s="18"/>
      <c r="ER22" s="18"/>
      <c r="ES22" s="18"/>
      <c r="ET22" s="18"/>
      <c r="EU22" s="18"/>
      <c r="EV22" s="18"/>
      <c r="EW22" s="18"/>
      <c r="EX22" s="18"/>
      <c r="EY22" s="18"/>
      <c r="EZ22" s="18"/>
      <c r="FA22" s="18"/>
      <c r="FB22" s="18"/>
      <c r="FC22" s="11" t="str">
        <f t="shared" si="47"/>
        <v/>
      </c>
      <c r="FD22" s="11" t="str">
        <f t="shared" si="48"/>
        <v/>
      </c>
      <c r="FE22" s="11" t="str">
        <f t="shared" si="49"/>
        <v/>
      </c>
      <c r="FF22" s="11" t="str">
        <f t="shared" si="50"/>
        <v/>
      </c>
      <c r="FG22" s="11" t="str">
        <f t="shared" si="51"/>
        <v/>
      </c>
      <c r="FH22" s="11" t="str">
        <f t="shared" si="52"/>
        <v/>
      </c>
      <c r="FI22" s="11" t="str">
        <f t="shared" si="53"/>
        <v/>
      </c>
      <c r="FJ22" s="11" t="str">
        <f t="shared" si="54"/>
        <v/>
      </c>
      <c r="FK22" s="17"/>
      <c r="FL22" s="17"/>
      <c r="FM22" s="17"/>
      <c r="FN22" s="17"/>
      <c r="FO22" s="17"/>
      <c r="FP22" s="17"/>
      <c r="FQ22" s="17"/>
      <c r="FR22" s="17"/>
      <c r="FS22" s="17"/>
      <c r="FT22" s="17"/>
      <c r="FU22" s="17"/>
      <c r="FV22" s="17"/>
      <c r="FW22" s="17"/>
      <c r="FX22" s="17"/>
      <c r="FY22" s="17"/>
      <c r="FZ22" s="17"/>
      <c r="GA22" s="17"/>
      <c r="GB22" s="17"/>
      <c r="GC22" s="17"/>
      <c r="GD22" s="17"/>
      <c r="GE22" s="40" t="str">
        <f t="shared" si="55"/>
        <v/>
      </c>
      <c r="GF22" s="40" t="str">
        <f t="shared" si="56"/>
        <v/>
      </c>
      <c r="GG22" s="40" t="str">
        <f t="shared" si="57"/>
        <v/>
      </c>
      <c r="GH22" s="40" t="str">
        <f t="shared" si="58"/>
        <v/>
      </c>
      <c r="GI22" s="40" t="str">
        <f t="shared" si="59"/>
        <v/>
      </c>
      <c r="GJ22" s="40" t="str">
        <f t="shared" si="60"/>
        <v/>
      </c>
      <c r="GK22" s="40" t="str">
        <f t="shared" si="61"/>
        <v/>
      </c>
      <c r="GL22" s="40" t="str">
        <f t="shared" si="62"/>
        <v/>
      </c>
      <c r="GM22" s="18"/>
      <c r="GN22" s="18"/>
      <c r="GO22" s="18"/>
      <c r="GP22" s="18"/>
      <c r="GQ22" s="18"/>
      <c r="GR22" s="18"/>
      <c r="GS22" s="18"/>
      <c r="GT22" s="18"/>
      <c r="GU22" s="18"/>
      <c r="GV22" s="18"/>
      <c r="GW22" s="18"/>
      <c r="GX22" s="18"/>
      <c r="GY22" s="18"/>
      <c r="GZ22" s="18"/>
      <c r="HA22" s="18"/>
      <c r="HB22" s="18"/>
      <c r="HC22" s="18"/>
      <c r="HD22" s="18"/>
      <c r="HE22" s="18"/>
      <c r="HF22" s="18"/>
      <c r="HG22" s="11" t="str">
        <f t="shared" si="63"/>
        <v/>
      </c>
      <c r="HH22" s="11" t="str">
        <f t="shared" si="64"/>
        <v/>
      </c>
      <c r="HI22" s="11" t="str">
        <f t="shared" si="65"/>
        <v/>
      </c>
      <c r="HJ22" s="11" t="str">
        <f t="shared" si="66"/>
        <v/>
      </c>
      <c r="HK22" s="11" t="str">
        <f t="shared" si="67"/>
        <v/>
      </c>
      <c r="HL22" s="11" t="str">
        <f t="shared" si="68"/>
        <v/>
      </c>
      <c r="HM22" s="11" t="str">
        <f t="shared" si="69"/>
        <v/>
      </c>
      <c r="HN22" s="11" t="str">
        <f t="shared" si="70"/>
        <v/>
      </c>
      <c r="HO22" s="17"/>
      <c r="HP22" s="17"/>
      <c r="HQ22" s="17"/>
      <c r="HR22" s="17"/>
      <c r="HS22" s="17"/>
      <c r="HT22" s="17"/>
      <c r="HU22" s="17"/>
      <c r="HV22" s="17"/>
      <c r="HW22" s="17"/>
      <c r="HX22" s="17"/>
      <c r="HY22" s="17"/>
      <c r="HZ22" s="17"/>
      <c r="IA22" s="17"/>
      <c r="IB22" s="17"/>
      <c r="IC22" s="17"/>
      <c r="ID22" s="17"/>
      <c r="IE22" s="17"/>
      <c r="IF22" s="17"/>
      <c r="IG22" s="17"/>
      <c r="IH22" s="17"/>
      <c r="II22" s="40" t="str">
        <f t="shared" si="71"/>
        <v/>
      </c>
      <c r="IJ22" s="40" t="str">
        <f t="shared" si="72"/>
        <v/>
      </c>
      <c r="IK22" s="40" t="str">
        <f t="shared" si="73"/>
        <v/>
      </c>
      <c r="IL22" s="40" t="str">
        <f t="shared" si="74"/>
        <v/>
      </c>
      <c r="IM22" s="40" t="str">
        <f t="shared" si="75"/>
        <v/>
      </c>
      <c r="IN22" s="40" t="str">
        <f t="shared" si="76"/>
        <v/>
      </c>
      <c r="IO22" s="40" t="str">
        <f t="shared" si="77"/>
        <v/>
      </c>
      <c r="IP22" s="40" t="str">
        <f t="shared" si="78"/>
        <v/>
      </c>
      <c r="IQ22" s="18"/>
      <c r="IR22" s="18"/>
      <c r="IS22" s="18"/>
      <c r="IT22" s="18"/>
      <c r="IU22" s="18"/>
      <c r="IV22" s="18"/>
      <c r="IW22" s="18"/>
      <c r="IX22" s="18"/>
      <c r="IY22" s="18"/>
      <c r="IZ22" s="18"/>
      <c r="JA22" s="18"/>
      <c r="JB22" s="18"/>
      <c r="JC22" s="18"/>
      <c r="JD22" s="18"/>
      <c r="JE22" s="18"/>
      <c r="JF22" s="18"/>
      <c r="JG22" s="18"/>
      <c r="JH22" s="18"/>
      <c r="JI22" s="18"/>
      <c r="JJ22" s="18"/>
      <c r="JK22" s="11" t="str">
        <f t="shared" si="79"/>
        <v/>
      </c>
      <c r="JL22" s="11" t="str">
        <f t="shared" si="80"/>
        <v/>
      </c>
      <c r="JM22" s="11" t="str">
        <f t="shared" si="81"/>
        <v/>
      </c>
      <c r="JN22" s="11" t="str">
        <f t="shared" si="82"/>
        <v/>
      </c>
      <c r="JO22" s="11" t="str">
        <f t="shared" si="83"/>
        <v/>
      </c>
      <c r="JP22" s="11" t="str">
        <f t="shared" si="84"/>
        <v/>
      </c>
      <c r="JQ22" s="11" t="str">
        <f t="shared" si="85"/>
        <v/>
      </c>
      <c r="JR22" s="11" t="str">
        <f t="shared" si="86"/>
        <v/>
      </c>
      <c r="JS22" s="17"/>
      <c r="JT22" s="17"/>
      <c r="JU22" s="17"/>
      <c r="JV22" s="17"/>
      <c r="JW22" s="17"/>
      <c r="JX22" s="17"/>
      <c r="JY22" s="17"/>
      <c r="JZ22" s="17"/>
      <c r="KA22" s="17"/>
      <c r="KB22" s="17"/>
      <c r="KC22" s="17"/>
      <c r="KD22" s="17"/>
      <c r="KE22" s="17"/>
      <c r="KF22" s="17"/>
      <c r="KG22" s="17"/>
      <c r="KH22" s="17"/>
      <c r="KI22" s="17"/>
      <c r="KJ22" s="17"/>
      <c r="KK22" s="17"/>
      <c r="KL22" s="17"/>
      <c r="KM22" s="40" t="str">
        <f t="shared" si="87"/>
        <v/>
      </c>
      <c r="KN22" s="40" t="str">
        <f t="shared" si="88"/>
        <v/>
      </c>
      <c r="KO22" s="40" t="str">
        <f t="shared" si="89"/>
        <v/>
      </c>
      <c r="KP22" s="40" t="str">
        <f t="shared" si="90"/>
        <v/>
      </c>
      <c r="KQ22" s="40" t="str">
        <f t="shared" si="91"/>
        <v/>
      </c>
      <c r="KR22" s="40" t="str">
        <f t="shared" si="92"/>
        <v/>
      </c>
      <c r="KS22" s="40" t="str">
        <f t="shared" si="93"/>
        <v/>
      </c>
      <c r="KT22" s="40" t="str">
        <f t="shared" si="94"/>
        <v/>
      </c>
      <c r="KU22" s="18"/>
      <c r="KV22" s="18"/>
      <c r="KW22" s="18"/>
      <c r="KX22" s="18"/>
      <c r="KY22" s="18"/>
      <c r="KZ22" s="18"/>
      <c r="LA22" s="18"/>
      <c r="LB22" s="18"/>
      <c r="LC22" s="18"/>
      <c r="LD22" s="18"/>
      <c r="LE22" s="18"/>
      <c r="LF22" s="18"/>
      <c r="LG22" s="18"/>
      <c r="LH22" s="18"/>
      <c r="LI22" s="18"/>
      <c r="LJ22" s="18"/>
      <c r="LK22" s="18"/>
      <c r="LL22" s="18"/>
      <c r="LM22" s="18"/>
      <c r="LN22" s="18"/>
      <c r="LO22" s="11" t="str">
        <f t="shared" si="95"/>
        <v/>
      </c>
      <c r="LP22" s="11" t="str">
        <f t="shared" si="96"/>
        <v/>
      </c>
      <c r="LQ22" s="11" t="str">
        <f t="shared" si="97"/>
        <v/>
      </c>
      <c r="LR22" s="11" t="str">
        <f t="shared" si="98"/>
        <v/>
      </c>
      <c r="LS22" s="11" t="str">
        <f t="shared" si="99"/>
        <v/>
      </c>
      <c r="LT22" s="11" t="str">
        <f t="shared" si="100"/>
        <v/>
      </c>
      <c r="LU22" s="11" t="str">
        <f t="shared" si="101"/>
        <v/>
      </c>
      <c r="LV22" s="11" t="str">
        <f t="shared" si="102"/>
        <v/>
      </c>
      <c r="LW22" s="17"/>
      <c r="LX22" s="17"/>
      <c r="LY22" s="17"/>
      <c r="LZ22" s="17"/>
      <c r="MA22" s="17"/>
      <c r="MB22" s="17"/>
      <c r="MC22" s="17"/>
      <c r="MD22" s="17"/>
      <c r="ME22" s="17"/>
      <c r="MF22" s="17"/>
      <c r="MG22" s="17"/>
      <c r="MH22" s="17"/>
      <c r="MI22" s="17"/>
      <c r="MJ22" s="17"/>
      <c r="MK22" s="17"/>
      <c r="ML22" s="17"/>
      <c r="MM22" s="17"/>
      <c r="MN22" s="17"/>
      <c r="MO22" s="17"/>
      <c r="MP22" s="17"/>
      <c r="MQ22" s="40" t="str">
        <f t="shared" si="103"/>
        <v/>
      </c>
      <c r="MR22" s="40" t="str">
        <f t="shared" si="104"/>
        <v/>
      </c>
      <c r="MS22" s="40" t="str">
        <f t="shared" si="105"/>
        <v/>
      </c>
      <c r="MT22" s="40" t="str">
        <f t="shared" si="106"/>
        <v/>
      </c>
      <c r="MU22" s="40" t="str">
        <f t="shared" si="107"/>
        <v/>
      </c>
      <c r="MV22" s="40" t="str">
        <f t="shared" si="108"/>
        <v/>
      </c>
      <c r="MW22" s="40" t="str">
        <f t="shared" si="109"/>
        <v/>
      </c>
      <c r="MX22" s="40" t="str">
        <f t="shared" si="110"/>
        <v/>
      </c>
      <c r="MY22" s="18"/>
      <c r="MZ22" s="18"/>
      <c r="NA22" s="18"/>
      <c r="NB22" s="18"/>
      <c r="NC22" s="18"/>
      <c r="ND22" s="18"/>
      <c r="NE22" s="18"/>
      <c r="NF22" s="18"/>
      <c r="NG22" s="18"/>
      <c r="NH22" s="18"/>
      <c r="NI22" s="18"/>
      <c r="NJ22" s="18"/>
      <c r="NK22" s="18"/>
      <c r="NL22" s="18"/>
      <c r="NM22" s="18"/>
      <c r="NN22" s="18"/>
      <c r="NO22" s="18"/>
      <c r="NP22" s="18"/>
      <c r="NQ22" s="18"/>
      <c r="NR22" s="18"/>
      <c r="NS22" s="11" t="str">
        <f t="shared" si="111"/>
        <v/>
      </c>
      <c r="NT22" s="11" t="str">
        <f t="shared" si="112"/>
        <v/>
      </c>
      <c r="NU22" s="11" t="str">
        <f t="shared" si="113"/>
        <v/>
      </c>
      <c r="NV22" s="11" t="str">
        <f t="shared" si="114"/>
        <v/>
      </c>
      <c r="NW22" s="11" t="str">
        <f t="shared" si="115"/>
        <v/>
      </c>
      <c r="NX22" s="11" t="str">
        <f t="shared" si="116"/>
        <v/>
      </c>
      <c r="NY22" s="11" t="str">
        <f t="shared" si="117"/>
        <v/>
      </c>
      <c r="NZ22" s="11" t="str">
        <f t="shared" si="118"/>
        <v/>
      </c>
      <c r="OA22" s="17"/>
      <c r="OB22" s="17"/>
      <c r="OC22" s="17"/>
      <c r="OD22" s="17"/>
      <c r="OE22" s="17"/>
      <c r="OF22" s="17"/>
      <c r="OG22" s="17"/>
      <c r="OH22" s="17"/>
      <c r="OI22" s="17"/>
      <c r="OJ22" s="17"/>
      <c r="OK22" s="17"/>
      <c r="OL22" s="17"/>
      <c r="OM22" s="17"/>
      <c r="ON22" s="17"/>
      <c r="OO22" s="17"/>
      <c r="OP22" s="17"/>
      <c r="OQ22" s="17"/>
      <c r="OR22" s="17"/>
      <c r="OS22" s="17"/>
      <c r="OT22" s="17"/>
      <c r="OU22" s="40" t="str">
        <f t="shared" si="119"/>
        <v/>
      </c>
      <c r="OV22" s="40" t="str">
        <f t="shared" si="120"/>
        <v/>
      </c>
      <c r="OW22" s="40" t="str">
        <f t="shared" si="121"/>
        <v/>
      </c>
      <c r="OX22" s="40" t="str">
        <f t="shared" si="122"/>
        <v/>
      </c>
      <c r="OY22" s="40" t="str">
        <f t="shared" si="123"/>
        <v/>
      </c>
      <c r="OZ22" s="40" t="str">
        <f t="shared" si="124"/>
        <v/>
      </c>
      <c r="PA22" s="40" t="str">
        <f t="shared" si="125"/>
        <v/>
      </c>
      <c r="PB22" s="40" t="str">
        <f t="shared" si="126"/>
        <v/>
      </c>
      <c r="PC22" s="18"/>
      <c r="PD22" s="18"/>
      <c r="PE22" s="18"/>
      <c r="PF22" s="18"/>
      <c r="PG22" s="18"/>
      <c r="PH22" s="18"/>
      <c r="PI22" s="18"/>
      <c r="PJ22" s="18"/>
      <c r="PK22" s="18"/>
      <c r="PL22" s="18"/>
      <c r="PM22" s="18"/>
      <c r="PN22" s="18"/>
      <c r="PO22" s="18"/>
      <c r="PP22" s="18"/>
      <c r="PQ22" s="18"/>
      <c r="PR22" s="18"/>
      <c r="PS22" s="18"/>
      <c r="PT22" s="18"/>
      <c r="PU22" s="18"/>
      <c r="PV22" s="18"/>
      <c r="PW22" s="11" t="str">
        <f t="shared" si="127"/>
        <v/>
      </c>
      <c r="PX22" s="11" t="str">
        <f t="shared" si="128"/>
        <v/>
      </c>
      <c r="PY22" s="11" t="str">
        <f t="shared" si="129"/>
        <v/>
      </c>
      <c r="PZ22" s="11" t="str">
        <f t="shared" si="130"/>
        <v/>
      </c>
      <c r="QA22" s="11" t="str">
        <f t="shared" si="131"/>
        <v/>
      </c>
      <c r="QB22" s="11" t="str">
        <f t="shared" si="132"/>
        <v/>
      </c>
      <c r="QC22" s="11" t="str">
        <f t="shared" si="133"/>
        <v/>
      </c>
      <c r="QD22" s="11" t="str">
        <f t="shared" si="134"/>
        <v/>
      </c>
      <c r="QE22" s="22">
        <f t="shared" si="135"/>
        <v>18.700000000000003</v>
      </c>
      <c r="QF22" s="22">
        <f t="shared" si="136"/>
        <v>5.4</v>
      </c>
      <c r="QG22" s="22">
        <f t="shared" si="137"/>
        <v>0.3</v>
      </c>
      <c r="QH22" s="22">
        <f t="shared" si="138"/>
        <v>0</v>
      </c>
      <c r="QI22" s="22">
        <f t="shared" si="139"/>
        <v>9.4499999999999993</v>
      </c>
      <c r="QJ22" s="22">
        <f t="shared" si="140"/>
        <v>2.4</v>
      </c>
      <c r="QK22" s="22">
        <f t="shared" si="141"/>
        <v>0</v>
      </c>
      <c r="QL22" s="22">
        <f t="shared" si="142"/>
        <v>0</v>
      </c>
      <c r="QM22" s="22">
        <f t="shared" si="143"/>
        <v>18.77</v>
      </c>
      <c r="QN22" s="22">
        <f t="shared" si="144"/>
        <v>5.75</v>
      </c>
      <c r="QO22" s="22">
        <f t="shared" si="145"/>
        <v>0</v>
      </c>
      <c r="QP22" s="22">
        <f t="shared" si="146"/>
        <v>0</v>
      </c>
      <c r="QQ22" s="22">
        <f t="shared" si="147"/>
        <v>9.3000000000000007</v>
      </c>
      <c r="QR22" s="22">
        <f t="shared" si="148"/>
        <v>2.4</v>
      </c>
      <c r="QS22" s="22">
        <f t="shared" si="149"/>
        <v>0.1</v>
      </c>
      <c r="QT22" s="22">
        <f t="shared" si="150"/>
        <v>0</v>
      </c>
      <c r="QU22" s="22">
        <f t="shared" si="151"/>
        <v>8.6</v>
      </c>
      <c r="QV22" s="22">
        <f t="shared" si="152"/>
        <v>1</v>
      </c>
      <c r="QW22" s="22">
        <f t="shared" si="153"/>
        <v>0</v>
      </c>
      <c r="QX22" s="22">
        <f t="shared" si="154"/>
        <v>0</v>
      </c>
      <c r="QY22" s="27" t="s">
        <v>46</v>
      </c>
      <c r="QZ22" s="40">
        <f t="shared" si="155"/>
        <v>7.8000000000000007</v>
      </c>
      <c r="RA22" s="40">
        <f t="shared" si="156"/>
        <v>35.65</v>
      </c>
      <c r="RB22" s="40">
        <f t="shared" si="157"/>
        <v>24.52</v>
      </c>
      <c r="RC22" s="40">
        <f t="shared" si="158"/>
        <v>13.55</v>
      </c>
      <c r="RD22" s="40">
        <f t="shared" si="159"/>
        <v>60.17</v>
      </c>
      <c r="RE22" s="40">
        <f t="shared" si="160"/>
        <v>3.4</v>
      </c>
      <c r="RF22" s="40">
        <f t="shared" si="161"/>
        <v>21.2</v>
      </c>
      <c r="RG22" s="40">
        <f t="shared" si="162"/>
        <v>56.849999999999994</v>
      </c>
    </row>
    <row r="23" spans="1:475" x14ac:dyDescent="0.2">
      <c r="A23" s="4" t="str">
        <f t="shared" si="164"/>
        <v/>
      </c>
      <c r="B23" s="5" t="s">
        <v>153</v>
      </c>
      <c r="C23" s="4" t="s">
        <v>5</v>
      </c>
      <c r="D23" s="4">
        <v>2005</v>
      </c>
      <c r="E23" s="9">
        <f t="shared" si="163"/>
        <v>167.30000969000486</v>
      </c>
      <c r="F23" s="3" t="str">
        <f t="shared" si="0"/>
        <v/>
      </c>
      <c r="G23" s="3" t="str">
        <f t="shared" si="1"/>
        <v/>
      </c>
      <c r="H23" s="36" t="str">
        <f t="shared" si="2"/>
        <v/>
      </c>
      <c r="I23" s="3" t="str">
        <f t="shared" si="3"/>
        <v/>
      </c>
      <c r="J23" s="8">
        <f>IF(COUNT(AQ23,BT23,CW23)&gt;0,LARGE((AQ23,BT23,CW23),1),0)</f>
        <v>48.599999999999994</v>
      </c>
      <c r="K23" s="8" t="str">
        <f t="shared" si="4"/>
        <v>2022 Nationals</v>
      </c>
      <c r="L23" s="8">
        <f>IF(COUNT(AQ23,BT23,CW23)&gt;1,LARGE((AQ23,BT23,CW23),2),0)</f>
        <v>25.400000000000002</v>
      </c>
      <c r="M23" s="8" t="str">
        <f t="shared" si="5"/>
        <v>2022 3rd Domestic Trial</v>
      </c>
      <c r="N23" s="8">
        <f>IF(COUNT(AR23,BU23,CX23)&gt;0,LARGE((AR23,BU23,CX23),1),0)</f>
        <v>22.900000000000002</v>
      </c>
      <c r="O23" s="8" t="str">
        <f t="shared" si="6"/>
        <v>2022 Nationals</v>
      </c>
      <c r="P23" s="8">
        <f t="shared" si="7"/>
        <v>48.199999999999996</v>
      </c>
      <c r="Q23" s="8" t="str">
        <f t="shared" si="8"/>
        <v>2022 Nationals</v>
      </c>
      <c r="R23" s="8">
        <f t="shared" si="9"/>
        <v>22.2</v>
      </c>
      <c r="S23" s="11" t="str">
        <f t="shared" si="10"/>
        <v>(Q1)</v>
      </c>
      <c r="T23" s="8" t="str">
        <f t="shared" si="11"/>
        <v>2022 Coimbra Gym Fest (June 26)</v>
      </c>
      <c r="U23" s="19">
        <v>18</v>
      </c>
      <c r="V23" s="19">
        <v>6</v>
      </c>
      <c r="W23" s="19">
        <v>0.2</v>
      </c>
      <c r="X23" s="19">
        <v>0</v>
      </c>
      <c r="Y23" s="19">
        <v>18.600000000000001</v>
      </c>
      <c r="Z23" s="19">
        <v>6.4</v>
      </c>
      <c r="AA23" s="19">
        <v>0.2</v>
      </c>
      <c r="AB23" s="19">
        <v>0</v>
      </c>
      <c r="AC23" s="19">
        <v>19.100000000000001</v>
      </c>
      <c r="AD23" s="19">
        <v>4</v>
      </c>
      <c r="AE23" s="19">
        <v>0.2</v>
      </c>
      <c r="AF23" s="19">
        <v>0</v>
      </c>
      <c r="AG23" s="19">
        <v>17.8</v>
      </c>
      <c r="AH23" s="19">
        <v>6</v>
      </c>
      <c r="AI23" s="19">
        <v>0</v>
      </c>
      <c r="AJ23" s="19">
        <v>0</v>
      </c>
      <c r="AK23" s="19">
        <v>18.2</v>
      </c>
      <c r="AL23" s="19">
        <v>6.4</v>
      </c>
      <c r="AM23" s="19">
        <v>0.2</v>
      </c>
      <c r="AN23" s="19">
        <v>0</v>
      </c>
      <c r="AO23" s="27"/>
      <c r="AP23" s="40">
        <f t="shared" si="12"/>
        <v>12.4</v>
      </c>
      <c r="AQ23" s="40">
        <f t="shared" si="13"/>
        <v>48.599999999999994</v>
      </c>
      <c r="AR23" s="40">
        <f t="shared" si="14"/>
        <v>22.900000000000002</v>
      </c>
      <c r="AS23" s="40">
        <f t="shared" si="15"/>
        <v>16.399999999999999</v>
      </c>
      <c r="AT23" s="40">
        <f t="shared" si="16"/>
        <v>71.5</v>
      </c>
      <c r="AU23" s="40">
        <f t="shared" si="17"/>
        <v>12.4</v>
      </c>
      <c r="AV23" s="40">
        <f t="shared" si="18"/>
        <v>48.199999999999996</v>
      </c>
      <c r="AW23" s="40">
        <f t="shared" si="19"/>
        <v>96.799999999999983</v>
      </c>
      <c r="AX23" s="18">
        <v>0</v>
      </c>
      <c r="AY23" s="18">
        <v>0</v>
      </c>
      <c r="AZ23" s="18">
        <v>0</v>
      </c>
      <c r="BA23" s="18">
        <v>0</v>
      </c>
      <c r="BB23" s="18">
        <v>18.8</v>
      </c>
      <c r="BC23" s="18">
        <v>6.8</v>
      </c>
      <c r="BD23" s="18">
        <v>0.2</v>
      </c>
      <c r="BE23" s="18">
        <v>0</v>
      </c>
      <c r="BF23" s="18">
        <v>18.399999999999999</v>
      </c>
      <c r="BG23" s="18">
        <v>4.8</v>
      </c>
      <c r="BH23" s="18">
        <v>1</v>
      </c>
      <c r="BI23" s="18">
        <v>0</v>
      </c>
      <c r="BJ23" s="18">
        <v>17.2</v>
      </c>
      <c r="BK23" s="18">
        <v>3.2</v>
      </c>
      <c r="BL23" s="18">
        <v>0</v>
      </c>
      <c r="BM23" s="18">
        <v>0</v>
      </c>
      <c r="BN23" s="18">
        <v>18.3</v>
      </c>
      <c r="BO23" s="18">
        <v>3.6</v>
      </c>
      <c r="BP23" s="18">
        <v>0.8</v>
      </c>
      <c r="BQ23" s="18">
        <v>0</v>
      </c>
      <c r="BR23" s="28"/>
      <c r="BS23" s="11">
        <f t="shared" si="20"/>
        <v>6.8</v>
      </c>
      <c r="BT23" s="11">
        <f t="shared" si="21"/>
        <v>25.400000000000002</v>
      </c>
      <c r="BU23" s="11">
        <f t="shared" si="22"/>
        <v>22.2</v>
      </c>
      <c r="BV23" s="11">
        <f t="shared" si="23"/>
        <v>11.6</v>
      </c>
      <c r="BW23" s="11">
        <f t="shared" si="24"/>
        <v>47.6</v>
      </c>
      <c r="BX23" s="11">
        <f t="shared" si="25"/>
        <v>6.8000000000000007</v>
      </c>
      <c r="BY23" s="11">
        <f t="shared" si="26"/>
        <v>41.500000000000007</v>
      </c>
      <c r="BZ23" s="11">
        <f t="shared" si="27"/>
        <v>66.900000000000006</v>
      </c>
      <c r="CA23" s="19">
        <v>18</v>
      </c>
      <c r="CB23" s="19">
        <v>6.8</v>
      </c>
      <c r="CC23" s="19">
        <v>0.8</v>
      </c>
      <c r="CD23" s="19">
        <v>0</v>
      </c>
      <c r="CE23" s="19">
        <v>0</v>
      </c>
      <c r="CF23" s="19">
        <v>0</v>
      </c>
      <c r="CG23" s="19">
        <v>0</v>
      </c>
      <c r="CH23" s="19">
        <v>0</v>
      </c>
      <c r="CI23" s="19">
        <v>17.2</v>
      </c>
      <c r="CJ23" s="19">
        <v>2.8</v>
      </c>
      <c r="CK23" s="19">
        <v>0</v>
      </c>
      <c r="CL23" s="19">
        <v>0</v>
      </c>
      <c r="CM23" s="19"/>
      <c r="CN23" s="19"/>
      <c r="CO23" s="19"/>
      <c r="CP23" s="19"/>
      <c r="CQ23" s="19"/>
      <c r="CR23" s="19"/>
      <c r="CS23" s="19"/>
      <c r="CT23" s="19"/>
      <c r="CU23" s="27"/>
      <c r="CV23" s="40">
        <f t="shared" si="28"/>
        <v>6.8</v>
      </c>
      <c r="CW23" s="40">
        <f t="shared" si="29"/>
        <v>24</v>
      </c>
      <c r="CX23" s="40">
        <f t="shared" si="30"/>
        <v>20</v>
      </c>
      <c r="CY23" s="40">
        <f t="shared" si="31"/>
        <v>9.6</v>
      </c>
      <c r="CZ23" s="40">
        <f t="shared" si="32"/>
        <v>44</v>
      </c>
      <c r="DA23" s="40" t="str">
        <f t="shared" si="33"/>
        <v/>
      </c>
      <c r="DB23" s="40" t="str">
        <f t="shared" si="34"/>
        <v/>
      </c>
      <c r="DC23" s="40">
        <f t="shared" si="35"/>
        <v>24</v>
      </c>
      <c r="DD23" s="50">
        <f t="shared" si="36"/>
        <v>22.2</v>
      </c>
      <c r="DE23" s="50" t="str">
        <f t="shared" si="37"/>
        <v/>
      </c>
      <c r="DF23" s="50" t="str">
        <f t="shared" si="38"/>
        <v/>
      </c>
      <c r="DG23" s="17"/>
      <c r="DH23" s="17"/>
      <c r="DI23" s="17"/>
      <c r="DJ23" s="17"/>
      <c r="DK23" s="17"/>
      <c r="DL23" s="17"/>
      <c r="DM23" s="17"/>
      <c r="DN23" s="17"/>
      <c r="DO23" s="17"/>
      <c r="DP23" s="17"/>
      <c r="DQ23" s="17"/>
      <c r="DR23" s="17"/>
      <c r="DS23" s="17"/>
      <c r="DT23" s="17"/>
      <c r="DU23" s="17"/>
      <c r="DV23" s="17"/>
      <c r="DW23" s="17"/>
      <c r="DX23" s="17"/>
      <c r="DY23" s="17"/>
      <c r="DZ23" s="17"/>
      <c r="EA23" s="40" t="str">
        <f t="shared" si="39"/>
        <v/>
      </c>
      <c r="EB23" s="40" t="str">
        <f t="shared" si="40"/>
        <v/>
      </c>
      <c r="EC23" s="40" t="str">
        <f t="shared" si="41"/>
        <v/>
      </c>
      <c r="ED23" s="40" t="str">
        <f t="shared" si="42"/>
        <v/>
      </c>
      <c r="EE23" s="40" t="str">
        <f t="shared" si="43"/>
        <v/>
      </c>
      <c r="EF23" s="40" t="str">
        <f t="shared" si="44"/>
        <v/>
      </c>
      <c r="EG23" s="40" t="str">
        <f t="shared" si="45"/>
        <v/>
      </c>
      <c r="EH23" s="40" t="str">
        <f t="shared" si="46"/>
        <v/>
      </c>
      <c r="EI23" s="18"/>
      <c r="EJ23" s="18"/>
      <c r="EK23" s="18"/>
      <c r="EL23" s="18"/>
      <c r="EM23" s="18"/>
      <c r="EN23" s="18"/>
      <c r="EO23" s="18"/>
      <c r="EP23" s="18"/>
      <c r="EQ23" s="18"/>
      <c r="ER23" s="18"/>
      <c r="ES23" s="18"/>
      <c r="ET23" s="18"/>
      <c r="EU23" s="18"/>
      <c r="EV23" s="18"/>
      <c r="EW23" s="18"/>
      <c r="EX23" s="18"/>
      <c r="EY23" s="18"/>
      <c r="EZ23" s="18"/>
      <c r="FA23" s="18"/>
      <c r="FB23" s="18"/>
      <c r="FC23" s="11" t="str">
        <f t="shared" si="47"/>
        <v/>
      </c>
      <c r="FD23" s="11" t="str">
        <f t="shared" si="48"/>
        <v/>
      </c>
      <c r="FE23" s="11" t="str">
        <f t="shared" si="49"/>
        <v/>
      </c>
      <c r="FF23" s="11" t="str">
        <f t="shared" si="50"/>
        <v/>
      </c>
      <c r="FG23" s="11" t="str">
        <f t="shared" si="51"/>
        <v/>
      </c>
      <c r="FH23" s="11" t="str">
        <f t="shared" si="52"/>
        <v/>
      </c>
      <c r="FI23" s="11" t="str">
        <f t="shared" si="53"/>
        <v/>
      </c>
      <c r="FJ23" s="11" t="str">
        <f t="shared" si="54"/>
        <v/>
      </c>
      <c r="FK23" s="17"/>
      <c r="FL23" s="17"/>
      <c r="FM23" s="17"/>
      <c r="FN23" s="17"/>
      <c r="FO23" s="17"/>
      <c r="FP23" s="17"/>
      <c r="FQ23" s="17"/>
      <c r="FR23" s="17"/>
      <c r="FS23" s="17"/>
      <c r="FT23" s="17"/>
      <c r="FU23" s="17"/>
      <c r="FV23" s="17"/>
      <c r="FW23" s="17"/>
      <c r="FX23" s="17"/>
      <c r="FY23" s="17"/>
      <c r="FZ23" s="17"/>
      <c r="GA23" s="17"/>
      <c r="GB23" s="17"/>
      <c r="GC23" s="17"/>
      <c r="GD23" s="17"/>
      <c r="GE23" s="40" t="str">
        <f t="shared" si="55"/>
        <v/>
      </c>
      <c r="GF23" s="40" t="str">
        <f t="shared" si="56"/>
        <v/>
      </c>
      <c r="GG23" s="40" t="str">
        <f t="shared" si="57"/>
        <v/>
      </c>
      <c r="GH23" s="40" t="str">
        <f t="shared" si="58"/>
        <v/>
      </c>
      <c r="GI23" s="40" t="str">
        <f t="shared" si="59"/>
        <v/>
      </c>
      <c r="GJ23" s="40" t="str">
        <f t="shared" si="60"/>
        <v/>
      </c>
      <c r="GK23" s="40" t="str">
        <f t="shared" si="61"/>
        <v/>
      </c>
      <c r="GL23" s="40" t="str">
        <f t="shared" si="62"/>
        <v/>
      </c>
      <c r="GM23" s="18">
        <v>18.5</v>
      </c>
      <c r="GN23" s="18">
        <v>6.4</v>
      </c>
      <c r="GO23" s="18">
        <v>0.6</v>
      </c>
      <c r="GP23" s="18">
        <v>0</v>
      </c>
      <c r="GQ23" s="18">
        <v>18.100000000000001</v>
      </c>
      <c r="GR23" s="18">
        <v>6</v>
      </c>
      <c r="GS23" s="18">
        <v>0.8</v>
      </c>
      <c r="GT23" s="18">
        <v>0</v>
      </c>
      <c r="GU23" s="18"/>
      <c r="GV23" s="18"/>
      <c r="GW23" s="18"/>
      <c r="GX23" s="18"/>
      <c r="GY23" s="18"/>
      <c r="GZ23" s="18"/>
      <c r="HA23" s="18"/>
      <c r="HB23" s="18"/>
      <c r="HC23" s="18"/>
      <c r="HD23" s="18"/>
      <c r="HE23" s="18"/>
      <c r="HF23" s="18"/>
      <c r="HG23" s="11">
        <f t="shared" si="63"/>
        <v>12.4</v>
      </c>
      <c r="HH23" s="11">
        <f t="shared" si="64"/>
        <v>47.6</v>
      </c>
      <c r="HI23" s="11" t="str">
        <f t="shared" si="65"/>
        <v/>
      </c>
      <c r="HJ23" s="11">
        <f t="shared" si="66"/>
        <v>12.4</v>
      </c>
      <c r="HK23" s="11">
        <f t="shared" si="67"/>
        <v>47.6</v>
      </c>
      <c r="HL23" s="11" t="str">
        <f t="shared" si="68"/>
        <v/>
      </c>
      <c r="HM23" s="11" t="str">
        <f t="shared" si="69"/>
        <v/>
      </c>
      <c r="HN23" s="11">
        <f t="shared" si="70"/>
        <v>47.6</v>
      </c>
      <c r="HO23" s="17"/>
      <c r="HP23" s="17"/>
      <c r="HQ23" s="17"/>
      <c r="HR23" s="17"/>
      <c r="HS23" s="17"/>
      <c r="HT23" s="17"/>
      <c r="HU23" s="17"/>
      <c r="HV23" s="17"/>
      <c r="HW23" s="17"/>
      <c r="HX23" s="17"/>
      <c r="HY23" s="17"/>
      <c r="HZ23" s="17"/>
      <c r="IA23" s="17"/>
      <c r="IB23" s="17"/>
      <c r="IC23" s="17"/>
      <c r="ID23" s="17"/>
      <c r="IE23" s="17"/>
      <c r="IF23" s="17"/>
      <c r="IG23" s="17"/>
      <c r="IH23" s="17"/>
      <c r="II23" s="40" t="str">
        <f t="shared" si="71"/>
        <v/>
      </c>
      <c r="IJ23" s="40" t="str">
        <f t="shared" si="72"/>
        <v/>
      </c>
      <c r="IK23" s="40" t="str">
        <f t="shared" si="73"/>
        <v/>
      </c>
      <c r="IL23" s="40" t="str">
        <f t="shared" si="74"/>
        <v/>
      </c>
      <c r="IM23" s="40" t="str">
        <f t="shared" si="75"/>
        <v/>
      </c>
      <c r="IN23" s="40" t="str">
        <f t="shared" si="76"/>
        <v/>
      </c>
      <c r="IO23" s="40" t="str">
        <f t="shared" si="77"/>
        <v/>
      </c>
      <c r="IP23" s="40" t="str">
        <f t="shared" si="78"/>
        <v/>
      </c>
      <c r="IQ23" s="18"/>
      <c r="IR23" s="18"/>
      <c r="IS23" s="18"/>
      <c r="IT23" s="18"/>
      <c r="IU23" s="18"/>
      <c r="IV23" s="18"/>
      <c r="IW23" s="18"/>
      <c r="IX23" s="18"/>
      <c r="IY23" s="18"/>
      <c r="IZ23" s="18"/>
      <c r="JA23" s="18"/>
      <c r="JB23" s="18"/>
      <c r="JC23" s="18"/>
      <c r="JD23" s="18"/>
      <c r="JE23" s="18"/>
      <c r="JF23" s="18"/>
      <c r="JG23" s="18"/>
      <c r="JH23" s="18"/>
      <c r="JI23" s="18"/>
      <c r="JJ23" s="18"/>
      <c r="JK23" s="11" t="str">
        <f t="shared" si="79"/>
        <v/>
      </c>
      <c r="JL23" s="11" t="str">
        <f t="shared" si="80"/>
        <v/>
      </c>
      <c r="JM23" s="11" t="str">
        <f t="shared" si="81"/>
        <v/>
      </c>
      <c r="JN23" s="11" t="str">
        <f t="shared" si="82"/>
        <v/>
      </c>
      <c r="JO23" s="11" t="str">
        <f t="shared" si="83"/>
        <v/>
      </c>
      <c r="JP23" s="11" t="str">
        <f t="shared" si="84"/>
        <v/>
      </c>
      <c r="JQ23" s="11" t="str">
        <f t="shared" si="85"/>
        <v/>
      </c>
      <c r="JR23" s="11" t="str">
        <f t="shared" si="86"/>
        <v/>
      </c>
      <c r="JS23" s="17"/>
      <c r="JT23" s="17"/>
      <c r="JU23" s="17"/>
      <c r="JV23" s="17"/>
      <c r="JW23" s="17"/>
      <c r="JX23" s="17"/>
      <c r="JY23" s="17"/>
      <c r="JZ23" s="17"/>
      <c r="KA23" s="17"/>
      <c r="KB23" s="17"/>
      <c r="KC23" s="17"/>
      <c r="KD23" s="17"/>
      <c r="KE23" s="17"/>
      <c r="KF23" s="17"/>
      <c r="KG23" s="17"/>
      <c r="KH23" s="17"/>
      <c r="KI23" s="17"/>
      <c r="KJ23" s="17"/>
      <c r="KK23" s="17"/>
      <c r="KL23" s="17"/>
      <c r="KM23" s="40" t="str">
        <f t="shared" si="87"/>
        <v/>
      </c>
      <c r="KN23" s="40" t="str">
        <f t="shared" si="88"/>
        <v/>
      </c>
      <c r="KO23" s="40" t="str">
        <f t="shared" si="89"/>
        <v/>
      </c>
      <c r="KP23" s="40" t="str">
        <f t="shared" si="90"/>
        <v/>
      </c>
      <c r="KQ23" s="40" t="str">
        <f t="shared" si="91"/>
        <v/>
      </c>
      <c r="KR23" s="40" t="str">
        <f t="shared" si="92"/>
        <v/>
      </c>
      <c r="KS23" s="40" t="str">
        <f t="shared" si="93"/>
        <v/>
      </c>
      <c r="KT23" s="40" t="str">
        <f t="shared" si="94"/>
        <v/>
      </c>
      <c r="KU23" s="18"/>
      <c r="KV23" s="18"/>
      <c r="KW23" s="18"/>
      <c r="KX23" s="18"/>
      <c r="KY23" s="18"/>
      <c r="KZ23" s="18"/>
      <c r="LA23" s="18"/>
      <c r="LB23" s="18"/>
      <c r="LC23" s="18"/>
      <c r="LD23" s="18"/>
      <c r="LE23" s="18"/>
      <c r="LF23" s="18"/>
      <c r="LG23" s="18"/>
      <c r="LH23" s="18"/>
      <c r="LI23" s="18"/>
      <c r="LJ23" s="18"/>
      <c r="LK23" s="18"/>
      <c r="LL23" s="18"/>
      <c r="LM23" s="18"/>
      <c r="LN23" s="18"/>
      <c r="LO23" s="11" t="str">
        <f t="shared" si="95"/>
        <v/>
      </c>
      <c r="LP23" s="11" t="str">
        <f t="shared" si="96"/>
        <v/>
      </c>
      <c r="LQ23" s="11" t="str">
        <f t="shared" si="97"/>
        <v/>
      </c>
      <c r="LR23" s="11" t="str">
        <f t="shared" si="98"/>
        <v/>
      </c>
      <c r="LS23" s="11" t="str">
        <f t="shared" si="99"/>
        <v/>
      </c>
      <c r="LT23" s="11" t="str">
        <f t="shared" si="100"/>
        <v/>
      </c>
      <c r="LU23" s="11" t="str">
        <f t="shared" si="101"/>
        <v/>
      </c>
      <c r="LV23" s="11" t="str">
        <f t="shared" si="102"/>
        <v/>
      </c>
      <c r="LW23" s="17"/>
      <c r="LX23" s="17"/>
      <c r="LY23" s="17"/>
      <c r="LZ23" s="17"/>
      <c r="MA23" s="17"/>
      <c r="MB23" s="17"/>
      <c r="MC23" s="17"/>
      <c r="MD23" s="17"/>
      <c r="ME23" s="17"/>
      <c r="MF23" s="17"/>
      <c r="MG23" s="17"/>
      <c r="MH23" s="17"/>
      <c r="MI23" s="17"/>
      <c r="MJ23" s="17"/>
      <c r="MK23" s="17"/>
      <c r="ML23" s="17"/>
      <c r="MM23" s="17"/>
      <c r="MN23" s="17"/>
      <c r="MO23" s="17"/>
      <c r="MP23" s="17"/>
      <c r="MQ23" s="40" t="str">
        <f t="shared" si="103"/>
        <v/>
      </c>
      <c r="MR23" s="40" t="str">
        <f t="shared" si="104"/>
        <v/>
      </c>
      <c r="MS23" s="40" t="str">
        <f t="shared" si="105"/>
        <v/>
      </c>
      <c r="MT23" s="40" t="str">
        <f t="shared" si="106"/>
        <v/>
      </c>
      <c r="MU23" s="40" t="str">
        <f t="shared" si="107"/>
        <v/>
      </c>
      <c r="MV23" s="40" t="str">
        <f t="shared" si="108"/>
        <v/>
      </c>
      <c r="MW23" s="40" t="str">
        <f t="shared" si="109"/>
        <v/>
      </c>
      <c r="MX23" s="40" t="str">
        <f t="shared" si="110"/>
        <v/>
      </c>
      <c r="MY23" s="18"/>
      <c r="MZ23" s="18"/>
      <c r="NA23" s="18"/>
      <c r="NB23" s="18"/>
      <c r="NC23" s="18"/>
      <c r="ND23" s="18"/>
      <c r="NE23" s="18"/>
      <c r="NF23" s="18"/>
      <c r="NG23" s="18"/>
      <c r="NH23" s="18"/>
      <c r="NI23" s="18"/>
      <c r="NJ23" s="18"/>
      <c r="NK23" s="18"/>
      <c r="NL23" s="18"/>
      <c r="NM23" s="18"/>
      <c r="NN23" s="18"/>
      <c r="NO23" s="18"/>
      <c r="NP23" s="18"/>
      <c r="NQ23" s="18"/>
      <c r="NR23" s="18"/>
      <c r="NS23" s="11" t="str">
        <f t="shared" si="111"/>
        <v/>
      </c>
      <c r="NT23" s="11" t="str">
        <f t="shared" si="112"/>
        <v/>
      </c>
      <c r="NU23" s="11" t="str">
        <f t="shared" si="113"/>
        <v/>
      </c>
      <c r="NV23" s="11" t="str">
        <f t="shared" si="114"/>
        <v/>
      </c>
      <c r="NW23" s="11" t="str">
        <f t="shared" si="115"/>
        <v/>
      </c>
      <c r="NX23" s="11" t="str">
        <f t="shared" si="116"/>
        <v/>
      </c>
      <c r="NY23" s="11" t="str">
        <f t="shared" si="117"/>
        <v/>
      </c>
      <c r="NZ23" s="11" t="str">
        <f t="shared" si="118"/>
        <v/>
      </c>
      <c r="OA23" s="17"/>
      <c r="OB23" s="17"/>
      <c r="OC23" s="17"/>
      <c r="OD23" s="17"/>
      <c r="OE23" s="17"/>
      <c r="OF23" s="17"/>
      <c r="OG23" s="17"/>
      <c r="OH23" s="17"/>
      <c r="OI23" s="17"/>
      <c r="OJ23" s="17"/>
      <c r="OK23" s="17"/>
      <c r="OL23" s="17"/>
      <c r="OM23" s="17"/>
      <c r="ON23" s="17"/>
      <c r="OO23" s="17"/>
      <c r="OP23" s="17"/>
      <c r="OQ23" s="17"/>
      <c r="OR23" s="17"/>
      <c r="OS23" s="17"/>
      <c r="OT23" s="17"/>
      <c r="OU23" s="40" t="str">
        <f t="shared" si="119"/>
        <v/>
      </c>
      <c r="OV23" s="40" t="str">
        <f t="shared" si="120"/>
        <v/>
      </c>
      <c r="OW23" s="40" t="str">
        <f t="shared" si="121"/>
        <v/>
      </c>
      <c r="OX23" s="40" t="str">
        <f t="shared" si="122"/>
        <v/>
      </c>
      <c r="OY23" s="40" t="str">
        <f t="shared" si="123"/>
        <v/>
      </c>
      <c r="OZ23" s="40" t="str">
        <f t="shared" si="124"/>
        <v/>
      </c>
      <c r="PA23" s="40" t="str">
        <f t="shared" si="125"/>
        <v/>
      </c>
      <c r="PB23" s="40" t="str">
        <f t="shared" si="126"/>
        <v/>
      </c>
      <c r="PC23" s="18"/>
      <c r="PD23" s="18"/>
      <c r="PE23" s="18"/>
      <c r="PF23" s="18"/>
      <c r="PG23" s="18"/>
      <c r="PH23" s="18"/>
      <c r="PI23" s="18"/>
      <c r="PJ23" s="18"/>
      <c r="PK23" s="18"/>
      <c r="PL23" s="18"/>
      <c r="PM23" s="18"/>
      <c r="PN23" s="18"/>
      <c r="PO23" s="18"/>
      <c r="PP23" s="18"/>
      <c r="PQ23" s="18"/>
      <c r="PR23" s="18"/>
      <c r="PS23" s="18"/>
      <c r="PT23" s="18"/>
      <c r="PU23" s="18"/>
      <c r="PV23" s="18"/>
      <c r="PW23" s="11" t="str">
        <f t="shared" si="127"/>
        <v/>
      </c>
      <c r="PX23" s="11" t="str">
        <f t="shared" si="128"/>
        <v/>
      </c>
      <c r="PY23" s="11" t="str">
        <f t="shared" si="129"/>
        <v/>
      </c>
      <c r="PZ23" s="11" t="str">
        <f t="shared" si="130"/>
        <v/>
      </c>
      <c r="QA23" s="11" t="str">
        <f t="shared" si="131"/>
        <v/>
      </c>
      <c r="QB23" s="11" t="str">
        <f t="shared" si="132"/>
        <v/>
      </c>
      <c r="QC23" s="11" t="str">
        <f t="shared" si="133"/>
        <v/>
      </c>
      <c r="QD23" s="11" t="str">
        <f t="shared" si="134"/>
        <v/>
      </c>
      <c r="QE23" s="22">
        <f t="shared" si="135"/>
        <v>9</v>
      </c>
      <c r="QF23" s="22">
        <f t="shared" si="136"/>
        <v>3.4</v>
      </c>
      <c r="QG23" s="22">
        <f t="shared" si="137"/>
        <v>0.4</v>
      </c>
      <c r="QH23" s="22">
        <f t="shared" si="138"/>
        <v>0</v>
      </c>
      <c r="QI23" s="22">
        <f t="shared" si="139"/>
        <v>9.4</v>
      </c>
      <c r="QJ23" s="22">
        <f t="shared" si="140"/>
        <v>3.4</v>
      </c>
      <c r="QK23" s="22">
        <f t="shared" si="141"/>
        <v>0.1</v>
      </c>
      <c r="QL23" s="22">
        <f t="shared" si="142"/>
        <v>0</v>
      </c>
      <c r="QM23" s="22">
        <f t="shared" si="143"/>
        <v>17.799999999999997</v>
      </c>
      <c r="QN23" s="22">
        <f t="shared" si="144"/>
        <v>3.8</v>
      </c>
      <c r="QO23" s="22">
        <f t="shared" si="145"/>
        <v>0.5</v>
      </c>
      <c r="QP23" s="22">
        <f t="shared" si="146"/>
        <v>0</v>
      </c>
      <c r="QQ23" s="22">
        <f t="shared" si="147"/>
        <v>8.6</v>
      </c>
      <c r="QR23" s="22">
        <f t="shared" si="148"/>
        <v>1.6</v>
      </c>
      <c r="QS23" s="22">
        <f t="shared" si="149"/>
        <v>0</v>
      </c>
      <c r="QT23" s="22">
        <f t="shared" si="150"/>
        <v>0</v>
      </c>
      <c r="QU23" s="22">
        <f t="shared" si="151"/>
        <v>9.15</v>
      </c>
      <c r="QV23" s="22">
        <f t="shared" si="152"/>
        <v>1.8</v>
      </c>
      <c r="QW23" s="22">
        <f t="shared" si="153"/>
        <v>0.4</v>
      </c>
      <c r="QX23" s="22">
        <f t="shared" si="154"/>
        <v>0</v>
      </c>
      <c r="QY23" s="27" t="s">
        <v>46</v>
      </c>
      <c r="QZ23" s="40">
        <f t="shared" si="155"/>
        <v>6.8</v>
      </c>
      <c r="RA23" s="40">
        <f t="shared" si="156"/>
        <v>24.7</v>
      </c>
      <c r="RB23" s="40">
        <f t="shared" si="157"/>
        <v>21.099999999999998</v>
      </c>
      <c r="RC23" s="40">
        <f t="shared" si="158"/>
        <v>10.6</v>
      </c>
      <c r="RD23" s="40">
        <f t="shared" si="159"/>
        <v>45.8</v>
      </c>
      <c r="RE23" s="40">
        <f t="shared" si="160"/>
        <v>3.4000000000000004</v>
      </c>
      <c r="RF23" s="40">
        <f t="shared" si="161"/>
        <v>20.750000000000004</v>
      </c>
      <c r="RG23" s="40">
        <f t="shared" si="162"/>
        <v>45.45</v>
      </c>
    </row>
    <row r="24" spans="1:475" x14ac:dyDescent="0.2">
      <c r="A24" s="4" t="str">
        <f t="shared" si="164"/>
        <v/>
      </c>
      <c r="B24" s="5" t="s">
        <v>203</v>
      </c>
      <c r="C24" s="4" t="s">
        <v>3</v>
      </c>
      <c r="D24" s="4">
        <v>2006</v>
      </c>
      <c r="E24" s="9">
        <f t="shared" si="163"/>
        <v>166.00001099000463</v>
      </c>
      <c r="F24" s="3" t="str">
        <f t="shared" si="0"/>
        <v/>
      </c>
      <c r="G24" s="3" t="str">
        <f t="shared" si="1"/>
        <v/>
      </c>
      <c r="H24" s="36" t="str">
        <f t="shared" si="2"/>
        <v/>
      </c>
      <c r="I24" s="3" t="str">
        <f t="shared" si="3"/>
        <v/>
      </c>
      <c r="J24" s="8">
        <f>IF(COUNT(AQ24,BT24,CW24)&gt;0,LARGE((AQ24,BT24,CW24),1),0)</f>
        <v>46.300000000000004</v>
      </c>
      <c r="K24" s="8" t="str">
        <f t="shared" si="4"/>
        <v>2022 Nationals</v>
      </c>
      <c r="L24" s="8">
        <f>IF(COUNT(AQ24,BT24,CW24)&gt;1,LARGE((AQ24,BT24,CW24),2),0)</f>
        <v>40.1</v>
      </c>
      <c r="M24" s="8" t="str">
        <f t="shared" si="5"/>
        <v>2023 Elite Canada</v>
      </c>
      <c r="N24" s="8">
        <f>IF(COUNT(AR24,BU24,CX24)&gt;0,LARGE((AR24,BU24,CX24),1),0)</f>
        <v>23.5</v>
      </c>
      <c r="O24" s="8" t="str">
        <f t="shared" si="6"/>
        <v>2023 Elite Canada</v>
      </c>
      <c r="P24" s="8">
        <f t="shared" si="7"/>
        <v>47.3</v>
      </c>
      <c r="Q24" s="8" t="str">
        <f t="shared" si="8"/>
        <v>2022 Nationals</v>
      </c>
      <c r="R24" s="8">
        <f t="shared" si="9"/>
        <v>8.7999999999999972</v>
      </c>
      <c r="S24" s="11" t="str">
        <f t="shared" si="10"/>
        <v>(Q1)</v>
      </c>
      <c r="T24" s="8" t="str">
        <f t="shared" si="11"/>
        <v>2022 WAGC (Nov 23)</v>
      </c>
      <c r="U24" s="19">
        <v>18.8</v>
      </c>
      <c r="V24" s="19">
        <v>4.8</v>
      </c>
      <c r="W24" s="19">
        <v>0.6</v>
      </c>
      <c r="X24" s="19">
        <v>0</v>
      </c>
      <c r="Y24" s="19">
        <v>19.3</v>
      </c>
      <c r="Z24" s="19">
        <v>4</v>
      </c>
      <c r="AA24" s="19">
        <v>0</v>
      </c>
      <c r="AB24" s="19">
        <v>0</v>
      </c>
      <c r="AC24" s="19"/>
      <c r="AD24" s="19"/>
      <c r="AE24" s="19"/>
      <c r="AF24" s="19"/>
      <c r="AG24" s="19">
        <v>19.3</v>
      </c>
      <c r="AH24" s="19">
        <v>4.8</v>
      </c>
      <c r="AI24" s="19">
        <v>0.6</v>
      </c>
      <c r="AJ24" s="19">
        <v>0</v>
      </c>
      <c r="AK24" s="19">
        <v>19.5</v>
      </c>
      <c r="AL24" s="19">
        <v>4.3</v>
      </c>
      <c r="AM24" s="19">
        <v>0</v>
      </c>
      <c r="AN24" s="19">
        <v>0</v>
      </c>
      <c r="AO24" s="27"/>
      <c r="AP24" s="40">
        <f t="shared" si="12"/>
        <v>8.8000000000000007</v>
      </c>
      <c r="AQ24" s="40">
        <f t="shared" si="13"/>
        <v>46.300000000000004</v>
      </c>
      <c r="AR24" s="40" t="str">
        <f t="shared" si="14"/>
        <v/>
      </c>
      <c r="AS24" s="40">
        <f t="shared" si="15"/>
        <v>8.8000000000000007</v>
      </c>
      <c r="AT24" s="40">
        <f t="shared" si="16"/>
        <v>46.300000000000004</v>
      </c>
      <c r="AU24" s="40">
        <f t="shared" si="17"/>
        <v>9.1</v>
      </c>
      <c r="AV24" s="40">
        <f t="shared" si="18"/>
        <v>47.3</v>
      </c>
      <c r="AW24" s="40">
        <f t="shared" si="19"/>
        <v>93.6</v>
      </c>
      <c r="AX24" s="18"/>
      <c r="AY24" s="18"/>
      <c r="AZ24" s="18"/>
      <c r="BA24" s="18"/>
      <c r="BB24" s="18"/>
      <c r="BC24" s="18"/>
      <c r="BD24" s="18"/>
      <c r="BE24" s="18"/>
      <c r="BF24" s="18"/>
      <c r="BG24" s="18"/>
      <c r="BH24" s="18"/>
      <c r="BI24" s="18"/>
      <c r="BJ24" s="18"/>
      <c r="BK24" s="18"/>
      <c r="BL24" s="18"/>
      <c r="BM24" s="18"/>
      <c r="BN24" s="18"/>
      <c r="BO24" s="18"/>
      <c r="BP24" s="18"/>
      <c r="BQ24" s="18"/>
      <c r="BR24" s="28"/>
      <c r="BS24" s="11" t="str">
        <f t="shared" si="20"/>
        <v/>
      </c>
      <c r="BT24" s="11" t="str">
        <f t="shared" si="21"/>
        <v/>
      </c>
      <c r="BU24" s="11" t="str">
        <f t="shared" si="22"/>
        <v/>
      </c>
      <c r="BV24" s="11" t="str">
        <f t="shared" si="23"/>
        <v/>
      </c>
      <c r="BW24" s="11" t="str">
        <f t="shared" si="24"/>
        <v/>
      </c>
      <c r="BX24" s="11" t="str">
        <f t="shared" si="25"/>
        <v/>
      </c>
      <c r="BY24" s="11" t="str">
        <f t="shared" si="26"/>
        <v/>
      </c>
      <c r="BZ24" s="11" t="str">
        <f t="shared" si="27"/>
        <v/>
      </c>
      <c r="CA24" s="19">
        <v>18.600000000000001</v>
      </c>
      <c r="CB24" s="19">
        <v>0</v>
      </c>
      <c r="CC24" s="19">
        <v>0.8</v>
      </c>
      <c r="CD24" s="19">
        <v>0</v>
      </c>
      <c r="CE24" s="19">
        <v>19</v>
      </c>
      <c r="CF24" s="19">
        <v>3.5</v>
      </c>
      <c r="CG24" s="19">
        <v>0.2</v>
      </c>
      <c r="CH24" s="19">
        <v>0</v>
      </c>
      <c r="CI24" s="19">
        <v>19.100000000000001</v>
      </c>
      <c r="CJ24" s="19">
        <v>4.4000000000000004</v>
      </c>
      <c r="CK24" s="19">
        <v>0</v>
      </c>
      <c r="CL24" s="19">
        <v>0</v>
      </c>
      <c r="CM24" s="19">
        <v>18.8</v>
      </c>
      <c r="CN24" s="19">
        <v>5.2</v>
      </c>
      <c r="CO24" s="19">
        <v>0.6</v>
      </c>
      <c r="CP24" s="19">
        <v>0</v>
      </c>
      <c r="CQ24" s="19">
        <v>18.8</v>
      </c>
      <c r="CR24" s="19">
        <v>4.4000000000000004</v>
      </c>
      <c r="CS24" s="19">
        <v>1</v>
      </c>
      <c r="CT24" s="19">
        <v>0</v>
      </c>
      <c r="CU24" s="27"/>
      <c r="CV24" s="40">
        <f t="shared" si="28"/>
        <v>3.5</v>
      </c>
      <c r="CW24" s="40">
        <f t="shared" si="29"/>
        <v>40.1</v>
      </c>
      <c r="CX24" s="40">
        <f t="shared" si="30"/>
        <v>23.5</v>
      </c>
      <c r="CY24" s="40">
        <f t="shared" si="31"/>
        <v>7.9</v>
      </c>
      <c r="CZ24" s="40">
        <f t="shared" si="32"/>
        <v>63.6</v>
      </c>
      <c r="DA24" s="40">
        <f t="shared" si="33"/>
        <v>9.6000000000000014</v>
      </c>
      <c r="DB24" s="40">
        <f t="shared" si="34"/>
        <v>45.599999999999994</v>
      </c>
      <c r="DC24" s="40">
        <f t="shared" si="35"/>
        <v>85.699999999999989</v>
      </c>
      <c r="DD24" s="50">
        <f t="shared" si="36"/>
        <v>8.7999999999999972</v>
      </c>
      <c r="DE24" s="50" t="str">
        <f t="shared" si="37"/>
        <v/>
      </c>
      <c r="DF24" s="50" t="str">
        <f t="shared" si="38"/>
        <v/>
      </c>
      <c r="DG24" s="17"/>
      <c r="DH24" s="17"/>
      <c r="DI24" s="17"/>
      <c r="DJ24" s="17"/>
      <c r="DK24" s="17"/>
      <c r="DL24" s="17"/>
      <c r="DM24" s="17"/>
      <c r="DN24" s="17"/>
      <c r="DO24" s="17"/>
      <c r="DP24" s="17"/>
      <c r="DQ24" s="17"/>
      <c r="DR24" s="17"/>
      <c r="DS24" s="17"/>
      <c r="DT24" s="17"/>
      <c r="DU24" s="17"/>
      <c r="DV24" s="17"/>
      <c r="DW24" s="17"/>
      <c r="DX24" s="17"/>
      <c r="DY24" s="17"/>
      <c r="DZ24" s="17"/>
      <c r="EA24" s="40" t="str">
        <f t="shared" si="39"/>
        <v/>
      </c>
      <c r="EB24" s="40" t="str">
        <f t="shared" si="40"/>
        <v/>
      </c>
      <c r="EC24" s="40" t="str">
        <f t="shared" si="41"/>
        <v/>
      </c>
      <c r="ED24" s="40" t="str">
        <f t="shared" si="42"/>
        <v/>
      </c>
      <c r="EE24" s="40" t="str">
        <f t="shared" si="43"/>
        <v/>
      </c>
      <c r="EF24" s="40" t="str">
        <f t="shared" si="44"/>
        <v/>
      </c>
      <c r="EG24" s="40" t="str">
        <f t="shared" si="45"/>
        <v/>
      </c>
      <c r="EH24" s="40" t="str">
        <f t="shared" si="46"/>
        <v/>
      </c>
      <c r="EI24" s="18"/>
      <c r="EJ24" s="18"/>
      <c r="EK24" s="18"/>
      <c r="EL24" s="18"/>
      <c r="EM24" s="18"/>
      <c r="EN24" s="18"/>
      <c r="EO24" s="18"/>
      <c r="EP24" s="18"/>
      <c r="EQ24" s="18"/>
      <c r="ER24" s="18"/>
      <c r="ES24" s="18"/>
      <c r="ET24" s="18"/>
      <c r="EU24" s="18"/>
      <c r="EV24" s="18"/>
      <c r="EW24" s="18"/>
      <c r="EX24" s="18"/>
      <c r="EY24" s="18"/>
      <c r="EZ24" s="18"/>
      <c r="FA24" s="18"/>
      <c r="FB24" s="18"/>
      <c r="FC24" s="11" t="str">
        <f t="shared" si="47"/>
        <v/>
      </c>
      <c r="FD24" s="11" t="str">
        <f t="shared" si="48"/>
        <v/>
      </c>
      <c r="FE24" s="11" t="str">
        <f t="shared" si="49"/>
        <v/>
      </c>
      <c r="FF24" s="11" t="str">
        <f t="shared" si="50"/>
        <v/>
      </c>
      <c r="FG24" s="11" t="str">
        <f t="shared" si="51"/>
        <v/>
      </c>
      <c r="FH24" s="11" t="str">
        <f t="shared" si="52"/>
        <v/>
      </c>
      <c r="FI24" s="11" t="str">
        <f t="shared" si="53"/>
        <v/>
      </c>
      <c r="FJ24" s="11" t="str">
        <f t="shared" si="54"/>
        <v/>
      </c>
      <c r="FK24" s="17"/>
      <c r="FL24" s="17"/>
      <c r="FM24" s="17"/>
      <c r="FN24" s="17"/>
      <c r="FO24" s="17"/>
      <c r="FP24" s="17"/>
      <c r="FQ24" s="17"/>
      <c r="FR24" s="17"/>
      <c r="FS24" s="17"/>
      <c r="FT24" s="17"/>
      <c r="FU24" s="17"/>
      <c r="FV24" s="17"/>
      <c r="FW24" s="17"/>
      <c r="FX24" s="17"/>
      <c r="FY24" s="17"/>
      <c r="FZ24" s="17"/>
      <c r="GA24" s="17"/>
      <c r="GB24" s="17"/>
      <c r="GC24" s="17"/>
      <c r="GD24" s="17"/>
      <c r="GE24" s="40" t="str">
        <f t="shared" si="55"/>
        <v/>
      </c>
      <c r="GF24" s="40" t="str">
        <f t="shared" si="56"/>
        <v/>
      </c>
      <c r="GG24" s="40" t="str">
        <f t="shared" si="57"/>
        <v/>
      </c>
      <c r="GH24" s="40" t="str">
        <f t="shared" si="58"/>
        <v/>
      </c>
      <c r="GI24" s="40" t="str">
        <f t="shared" si="59"/>
        <v/>
      </c>
      <c r="GJ24" s="40" t="str">
        <f t="shared" si="60"/>
        <v/>
      </c>
      <c r="GK24" s="40" t="str">
        <f t="shared" si="61"/>
        <v/>
      </c>
      <c r="GL24" s="40" t="str">
        <f t="shared" si="62"/>
        <v/>
      </c>
      <c r="GM24" s="18"/>
      <c r="GN24" s="18"/>
      <c r="GO24" s="18"/>
      <c r="GP24" s="18"/>
      <c r="GQ24" s="18"/>
      <c r="GR24" s="18"/>
      <c r="GS24" s="18"/>
      <c r="GT24" s="18"/>
      <c r="GU24" s="18"/>
      <c r="GV24" s="18"/>
      <c r="GW24" s="18"/>
      <c r="GX24" s="18"/>
      <c r="GY24" s="18"/>
      <c r="GZ24" s="18"/>
      <c r="HA24" s="18"/>
      <c r="HB24" s="18"/>
      <c r="HC24" s="18"/>
      <c r="HD24" s="18"/>
      <c r="HE24" s="18"/>
      <c r="HF24" s="18"/>
      <c r="HG24" s="11" t="str">
        <f t="shared" si="63"/>
        <v/>
      </c>
      <c r="HH24" s="11" t="str">
        <f t="shared" si="64"/>
        <v/>
      </c>
      <c r="HI24" s="11" t="str">
        <f t="shared" si="65"/>
        <v/>
      </c>
      <c r="HJ24" s="11" t="str">
        <f t="shared" si="66"/>
        <v/>
      </c>
      <c r="HK24" s="11" t="str">
        <f t="shared" si="67"/>
        <v/>
      </c>
      <c r="HL24" s="11" t="str">
        <f t="shared" si="68"/>
        <v/>
      </c>
      <c r="HM24" s="11" t="str">
        <f t="shared" si="69"/>
        <v/>
      </c>
      <c r="HN24" s="11" t="str">
        <f t="shared" si="70"/>
        <v/>
      </c>
      <c r="HO24" s="17"/>
      <c r="HP24" s="17"/>
      <c r="HQ24" s="17"/>
      <c r="HR24" s="17"/>
      <c r="HS24" s="17"/>
      <c r="HT24" s="17"/>
      <c r="HU24" s="17"/>
      <c r="HV24" s="17"/>
      <c r="HW24" s="17"/>
      <c r="HX24" s="17"/>
      <c r="HY24" s="17"/>
      <c r="HZ24" s="17"/>
      <c r="IA24" s="17"/>
      <c r="IB24" s="17"/>
      <c r="IC24" s="17"/>
      <c r="ID24" s="17"/>
      <c r="IE24" s="17"/>
      <c r="IF24" s="17"/>
      <c r="IG24" s="17"/>
      <c r="IH24" s="17"/>
      <c r="II24" s="40" t="str">
        <f t="shared" si="71"/>
        <v/>
      </c>
      <c r="IJ24" s="40" t="str">
        <f t="shared" si="72"/>
        <v/>
      </c>
      <c r="IK24" s="40" t="str">
        <f t="shared" si="73"/>
        <v/>
      </c>
      <c r="IL24" s="40" t="str">
        <f t="shared" si="74"/>
        <v/>
      </c>
      <c r="IM24" s="40" t="str">
        <f t="shared" si="75"/>
        <v/>
      </c>
      <c r="IN24" s="40" t="str">
        <f t="shared" si="76"/>
        <v/>
      </c>
      <c r="IO24" s="40" t="str">
        <f t="shared" si="77"/>
        <v/>
      </c>
      <c r="IP24" s="40" t="str">
        <f t="shared" si="78"/>
        <v/>
      </c>
      <c r="IQ24" s="18"/>
      <c r="IR24" s="18"/>
      <c r="IS24" s="18"/>
      <c r="IT24" s="18"/>
      <c r="IU24" s="18"/>
      <c r="IV24" s="18"/>
      <c r="IW24" s="18"/>
      <c r="IX24" s="18"/>
      <c r="IY24" s="18"/>
      <c r="IZ24" s="18"/>
      <c r="JA24" s="18"/>
      <c r="JB24" s="18"/>
      <c r="JC24" s="18"/>
      <c r="JD24" s="18"/>
      <c r="JE24" s="18"/>
      <c r="JF24" s="18"/>
      <c r="JG24" s="18"/>
      <c r="JH24" s="18"/>
      <c r="JI24" s="18"/>
      <c r="JJ24" s="18"/>
      <c r="JK24" s="11" t="str">
        <f t="shared" si="79"/>
        <v/>
      </c>
      <c r="JL24" s="11" t="str">
        <f t="shared" si="80"/>
        <v/>
      </c>
      <c r="JM24" s="11" t="str">
        <f t="shared" si="81"/>
        <v/>
      </c>
      <c r="JN24" s="11" t="str">
        <f t="shared" si="82"/>
        <v/>
      </c>
      <c r="JO24" s="11" t="str">
        <f t="shared" si="83"/>
        <v/>
      </c>
      <c r="JP24" s="11" t="str">
        <f t="shared" si="84"/>
        <v/>
      </c>
      <c r="JQ24" s="11" t="str">
        <f t="shared" si="85"/>
        <v/>
      </c>
      <c r="JR24" s="11" t="str">
        <f t="shared" si="86"/>
        <v/>
      </c>
      <c r="JS24" s="17"/>
      <c r="JT24" s="17"/>
      <c r="JU24" s="17"/>
      <c r="JV24" s="17"/>
      <c r="JW24" s="17"/>
      <c r="JX24" s="17"/>
      <c r="JY24" s="17"/>
      <c r="JZ24" s="17"/>
      <c r="KA24" s="17"/>
      <c r="KB24" s="17"/>
      <c r="KC24" s="17"/>
      <c r="KD24" s="17"/>
      <c r="KE24" s="17"/>
      <c r="KF24" s="17"/>
      <c r="KG24" s="17"/>
      <c r="KH24" s="17"/>
      <c r="KI24" s="17"/>
      <c r="KJ24" s="17"/>
      <c r="KK24" s="17"/>
      <c r="KL24" s="17"/>
      <c r="KM24" s="40" t="str">
        <f t="shared" si="87"/>
        <v/>
      </c>
      <c r="KN24" s="40" t="str">
        <f t="shared" si="88"/>
        <v/>
      </c>
      <c r="KO24" s="40" t="str">
        <f t="shared" si="89"/>
        <v/>
      </c>
      <c r="KP24" s="40" t="str">
        <f t="shared" si="90"/>
        <v/>
      </c>
      <c r="KQ24" s="40" t="str">
        <f t="shared" si="91"/>
        <v/>
      </c>
      <c r="KR24" s="40" t="str">
        <f t="shared" si="92"/>
        <v/>
      </c>
      <c r="KS24" s="40" t="str">
        <f t="shared" si="93"/>
        <v/>
      </c>
      <c r="KT24" s="40" t="str">
        <f t="shared" si="94"/>
        <v/>
      </c>
      <c r="KU24" s="18"/>
      <c r="KV24" s="18"/>
      <c r="KW24" s="18"/>
      <c r="KX24" s="18"/>
      <c r="KY24" s="18"/>
      <c r="KZ24" s="18"/>
      <c r="LA24" s="18"/>
      <c r="LB24" s="18"/>
      <c r="LC24" s="18"/>
      <c r="LD24" s="18"/>
      <c r="LE24" s="18"/>
      <c r="LF24" s="18"/>
      <c r="LG24" s="18"/>
      <c r="LH24" s="18"/>
      <c r="LI24" s="18"/>
      <c r="LJ24" s="18"/>
      <c r="LK24" s="18"/>
      <c r="LL24" s="18"/>
      <c r="LM24" s="18"/>
      <c r="LN24" s="18"/>
      <c r="LO24" s="11" t="str">
        <f t="shared" si="95"/>
        <v/>
      </c>
      <c r="LP24" s="11" t="str">
        <f t="shared" si="96"/>
        <v/>
      </c>
      <c r="LQ24" s="11" t="str">
        <f t="shared" si="97"/>
        <v/>
      </c>
      <c r="LR24" s="11" t="str">
        <f t="shared" si="98"/>
        <v/>
      </c>
      <c r="LS24" s="11" t="str">
        <f t="shared" si="99"/>
        <v/>
      </c>
      <c r="LT24" s="11" t="str">
        <f t="shared" si="100"/>
        <v/>
      </c>
      <c r="LU24" s="11" t="str">
        <f t="shared" si="101"/>
        <v/>
      </c>
      <c r="LV24" s="11" t="str">
        <f t="shared" si="102"/>
        <v/>
      </c>
      <c r="LW24" s="17">
        <v>18.8</v>
      </c>
      <c r="LX24" s="17">
        <v>6</v>
      </c>
      <c r="LY24" s="17">
        <v>0.2</v>
      </c>
      <c r="LZ24" s="17">
        <v>0</v>
      </c>
      <c r="MA24" s="17">
        <v>18.7</v>
      </c>
      <c r="MB24" s="17">
        <v>5.6</v>
      </c>
      <c r="MC24" s="17">
        <v>0</v>
      </c>
      <c r="MD24" s="17">
        <v>0</v>
      </c>
      <c r="ME24" s="17"/>
      <c r="MF24" s="17"/>
      <c r="MG24" s="17"/>
      <c r="MH24" s="17"/>
      <c r="MI24" s="17"/>
      <c r="MJ24" s="17"/>
      <c r="MK24" s="17"/>
      <c r="ML24" s="17"/>
      <c r="MM24" s="17"/>
      <c r="MN24" s="17"/>
      <c r="MO24" s="17"/>
      <c r="MP24" s="17"/>
      <c r="MQ24" s="40">
        <f t="shared" si="103"/>
        <v>11.6</v>
      </c>
      <c r="MR24" s="40">
        <f t="shared" si="104"/>
        <v>48.9</v>
      </c>
      <c r="MS24" s="40" t="str">
        <f t="shared" si="105"/>
        <v/>
      </c>
      <c r="MT24" s="40">
        <f t="shared" si="106"/>
        <v>11.6</v>
      </c>
      <c r="MU24" s="40">
        <f t="shared" si="107"/>
        <v>48.9</v>
      </c>
      <c r="MV24" s="40" t="str">
        <f t="shared" si="108"/>
        <v/>
      </c>
      <c r="MW24" s="40" t="str">
        <f t="shared" si="109"/>
        <v/>
      </c>
      <c r="MX24" s="40">
        <f t="shared" si="110"/>
        <v>48.9</v>
      </c>
      <c r="MY24" s="18"/>
      <c r="MZ24" s="18"/>
      <c r="NA24" s="18"/>
      <c r="NB24" s="18"/>
      <c r="NC24" s="18"/>
      <c r="ND24" s="18"/>
      <c r="NE24" s="18"/>
      <c r="NF24" s="18"/>
      <c r="NG24" s="18"/>
      <c r="NH24" s="18"/>
      <c r="NI24" s="18"/>
      <c r="NJ24" s="18"/>
      <c r="NK24" s="18"/>
      <c r="NL24" s="18"/>
      <c r="NM24" s="18"/>
      <c r="NN24" s="18"/>
      <c r="NO24" s="18"/>
      <c r="NP24" s="18"/>
      <c r="NQ24" s="18"/>
      <c r="NR24" s="18"/>
      <c r="NS24" s="11" t="str">
        <f t="shared" si="111"/>
        <v/>
      </c>
      <c r="NT24" s="11" t="str">
        <f t="shared" si="112"/>
        <v/>
      </c>
      <c r="NU24" s="11" t="str">
        <f t="shared" si="113"/>
        <v/>
      </c>
      <c r="NV24" s="11" t="str">
        <f t="shared" si="114"/>
        <v/>
      </c>
      <c r="NW24" s="11" t="str">
        <f t="shared" si="115"/>
        <v/>
      </c>
      <c r="NX24" s="11" t="str">
        <f t="shared" si="116"/>
        <v/>
      </c>
      <c r="NY24" s="11" t="str">
        <f t="shared" si="117"/>
        <v/>
      </c>
      <c r="NZ24" s="11" t="str">
        <f t="shared" si="118"/>
        <v/>
      </c>
      <c r="OA24" s="17"/>
      <c r="OB24" s="17"/>
      <c r="OC24" s="17"/>
      <c r="OD24" s="17"/>
      <c r="OE24" s="17"/>
      <c r="OF24" s="17"/>
      <c r="OG24" s="17"/>
      <c r="OH24" s="17"/>
      <c r="OI24" s="17"/>
      <c r="OJ24" s="17"/>
      <c r="OK24" s="17"/>
      <c r="OL24" s="17"/>
      <c r="OM24" s="17"/>
      <c r="ON24" s="17"/>
      <c r="OO24" s="17"/>
      <c r="OP24" s="17"/>
      <c r="OQ24" s="17"/>
      <c r="OR24" s="17"/>
      <c r="OS24" s="17"/>
      <c r="OT24" s="17"/>
      <c r="OU24" s="40" t="str">
        <f t="shared" si="119"/>
        <v/>
      </c>
      <c r="OV24" s="40" t="str">
        <f t="shared" si="120"/>
        <v/>
      </c>
      <c r="OW24" s="40" t="str">
        <f t="shared" si="121"/>
        <v/>
      </c>
      <c r="OX24" s="40" t="str">
        <f t="shared" si="122"/>
        <v/>
      </c>
      <c r="OY24" s="40" t="str">
        <f t="shared" si="123"/>
        <v/>
      </c>
      <c r="OZ24" s="40" t="str">
        <f t="shared" si="124"/>
        <v/>
      </c>
      <c r="PA24" s="40" t="str">
        <f t="shared" si="125"/>
        <v/>
      </c>
      <c r="PB24" s="40" t="str">
        <f t="shared" si="126"/>
        <v/>
      </c>
      <c r="PC24" s="18"/>
      <c r="PD24" s="18"/>
      <c r="PE24" s="18"/>
      <c r="PF24" s="18"/>
      <c r="PG24" s="18"/>
      <c r="PH24" s="18"/>
      <c r="PI24" s="18"/>
      <c r="PJ24" s="18"/>
      <c r="PK24" s="18"/>
      <c r="PL24" s="18"/>
      <c r="PM24" s="18"/>
      <c r="PN24" s="18"/>
      <c r="PO24" s="18"/>
      <c r="PP24" s="18"/>
      <c r="PQ24" s="18"/>
      <c r="PR24" s="18"/>
      <c r="PS24" s="18"/>
      <c r="PT24" s="18"/>
      <c r="PU24" s="18"/>
      <c r="PV24" s="18"/>
      <c r="PW24" s="11" t="str">
        <f t="shared" si="127"/>
        <v/>
      </c>
      <c r="PX24" s="11" t="str">
        <f t="shared" si="128"/>
        <v/>
      </c>
      <c r="PY24" s="11" t="str">
        <f t="shared" si="129"/>
        <v/>
      </c>
      <c r="PZ24" s="11" t="str">
        <f t="shared" si="130"/>
        <v/>
      </c>
      <c r="QA24" s="11" t="str">
        <f t="shared" si="131"/>
        <v/>
      </c>
      <c r="QB24" s="11" t="str">
        <f t="shared" si="132"/>
        <v/>
      </c>
      <c r="QC24" s="11" t="str">
        <f t="shared" si="133"/>
        <v/>
      </c>
      <c r="QD24" s="11" t="str">
        <f t="shared" si="134"/>
        <v/>
      </c>
      <c r="QE24" s="22">
        <f t="shared" si="135"/>
        <v>9.3000000000000007</v>
      </c>
      <c r="QF24" s="22">
        <f t="shared" si="136"/>
        <v>0</v>
      </c>
      <c r="QG24" s="22">
        <f t="shared" si="137"/>
        <v>0.4</v>
      </c>
      <c r="QH24" s="22">
        <f t="shared" si="138"/>
        <v>0</v>
      </c>
      <c r="QI24" s="22">
        <f t="shared" si="139"/>
        <v>9.5</v>
      </c>
      <c r="QJ24" s="22">
        <f t="shared" si="140"/>
        <v>1.75</v>
      </c>
      <c r="QK24" s="22">
        <f t="shared" si="141"/>
        <v>0.1</v>
      </c>
      <c r="QL24" s="22">
        <f t="shared" si="142"/>
        <v>0</v>
      </c>
      <c r="QM24" s="22">
        <f t="shared" si="143"/>
        <v>9.5500000000000007</v>
      </c>
      <c r="QN24" s="22">
        <f t="shared" si="144"/>
        <v>2.2000000000000002</v>
      </c>
      <c r="QO24" s="22">
        <f t="shared" si="145"/>
        <v>0</v>
      </c>
      <c r="QP24" s="22">
        <f t="shared" si="146"/>
        <v>0</v>
      </c>
      <c r="QQ24" s="22">
        <f t="shared" si="147"/>
        <v>9.4</v>
      </c>
      <c r="QR24" s="22">
        <f t="shared" si="148"/>
        <v>2.6</v>
      </c>
      <c r="QS24" s="22">
        <f t="shared" si="149"/>
        <v>0.3</v>
      </c>
      <c r="QT24" s="22">
        <f t="shared" si="150"/>
        <v>0</v>
      </c>
      <c r="QU24" s="22">
        <f t="shared" si="151"/>
        <v>9.4</v>
      </c>
      <c r="QV24" s="22">
        <f t="shared" si="152"/>
        <v>2.2000000000000002</v>
      </c>
      <c r="QW24" s="22">
        <f t="shared" si="153"/>
        <v>0.5</v>
      </c>
      <c r="QX24" s="22">
        <f t="shared" si="154"/>
        <v>0</v>
      </c>
      <c r="QY24" s="27" t="s">
        <v>46</v>
      </c>
      <c r="QZ24" s="40">
        <f t="shared" si="155"/>
        <v>1.75</v>
      </c>
      <c r="RA24" s="40">
        <f t="shared" si="156"/>
        <v>20.05</v>
      </c>
      <c r="RB24" s="40">
        <f t="shared" si="157"/>
        <v>11.75</v>
      </c>
      <c r="RC24" s="40">
        <f t="shared" si="158"/>
        <v>3.95</v>
      </c>
      <c r="RD24" s="40">
        <f t="shared" si="159"/>
        <v>31.8</v>
      </c>
      <c r="RE24" s="40">
        <f t="shared" si="160"/>
        <v>4.8000000000000007</v>
      </c>
      <c r="RF24" s="40">
        <f t="shared" si="161"/>
        <v>22.799999999999997</v>
      </c>
      <c r="RG24" s="40">
        <f t="shared" si="162"/>
        <v>42.849999999999994</v>
      </c>
    </row>
    <row r="25" spans="1:475" x14ac:dyDescent="0.2">
      <c r="A25" s="4" t="str">
        <f t="shared" si="164"/>
        <v/>
      </c>
      <c r="B25" s="5" t="s">
        <v>144</v>
      </c>
      <c r="C25" s="4" t="s">
        <v>3</v>
      </c>
      <c r="D25" s="4">
        <v>2002</v>
      </c>
      <c r="E25" s="9">
        <f t="shared" si="163"/>
        <v>155.00001088000437</v>
      </c>
      <c r="F25" s="3" t="str">
        <f t="shared" si="0"/>
        <v/>
      </c>
      <c r="G25" s="3" t="str">
        <f t="shared" si="1"/>
        <v/>
      </c>
      <c r="H25" s="36" t="str">
        <f t="shared" si="2"/>
        <v/>
      </c>
      <c r="I25" s="3" t="str">
        <f t="shared" si="3"/>
        <v/>
      </c>
      <c r="J25" s="8">
        <f>IF(COUNT(AQ25,BT25,CW25)&gt;0,LARGE((AQ25,BT25,CW25),1),0)</f>
        <v>43.800000000000004</v>
      </c>
      <c r="K25" s="8" t="str">
        <f t="shared" si="4"/>
        <v>2022 Nationals</v>
      </c>
      <c r="L25" s="8">
        <f>IF(COUNT(AQ25,BT25,CW25)&gt;1,LARGE((AQ25,BT25,CW25),2),0)</f>
        <v>41.9</v>
      </c>
      <c r="M25" s="8" t="str">
        <f t="shared" si="5"/>
        <v>2022 3rd Domestic Trial</v>
      </c>
      <c r="N25" s="8">
        <f>IF(COUNT(AR25,BU25,CX25)&gt;0,LARGE((AR25,BU25,CX25),1),0)</f>
        <v>23.1</v>
      </c>
      <c r="O25" s="8" t="str">
        <f t="shared" si="6"/>
        <v>2022 Nationals</v>
      </c>
      <c r="P25" s="8">
        <f t="shared" si="7"/>
        <v>46.199999999999989</v>
      </c>
      <c r="Q25" s="8" t="str">
        <f t="shared" si="8"/>
        <v>2022 3rd Domestic Trial</v>
      </c>
      <c r="R25" s="8" t="str">
        <f t="shared" si="9"/>
        <v/>
      </c>
      <c r="S25" s="11" t="str">
        <f t="shared" si="10"/>
        <v/>
      </c>
      <c r="T25" s="8" t="str">
        <f t="shared" si="11"/>
        <v/>
      </c>
      <c r="U25" s="19">
        <v>18.8</v>
      </c>
      <c r="V25" s="19">
        <v>3.5</v>
      </c>
      <c r="W25" s="19">
        <v>0</v>
      </c>
      <c r="X25" s="19">
        <v>0</v>
      </c>
      <c r="Y25" s="19">
        <v>18.600000000000001</v>
      </c>
      <c r="Z25" s="19">
        <v>3.5</v>
      </c>
      <c r="AA25" s="19">
        <v>0.6</v>
      </c>
      <c r="AB25" s="19">
        <v>0</v>
      </c>
      <c r="AC25" s="19">
        <v>18.8</v>
      </c>
      <c r="AD25" s="19">
        <v>4.3</v>
      </c>
      <c r="AE25" s="19">
        <v>0</v>
      </c>
      <c r="AF25" s="19">
        <v>0</v>
      </c>
      <c r="AG25" s="19">
        <v>18</v>
      </c>
      <c r="AH25" s="19">
        <v>4.4000000000000004</v>
      </c>
      <c r="AI25" s="19">
        <v>0.6</v>
      </c>
      <c r="AJ25" s="19">
        <v>0</v>
      </c>
      <c r="AK25" s="19">
        <v>16.100000000000001</v>
      </c>
      <c r="AL25" s="19">
        <v>5.2</v>
      </c>
      <c r="AM25" s="19">
        <v>0.8</v>
      </c>
      <c r="AN25" s="19">
        <v>0</v>
      </c>
      <c r="AO25" s="27"/>
      <c r="AP25" s="40">
        <f t="shared" si="12"/>
        <v>7</v>
      </c>
      <c r="AQ25" s="40">
        <f t="shared" si="13"/>
        <v>43.800000000000004</v>
      </c>
      <c r="AR25" s="40">
        <f t="shared" si="14"/>
        <v>23.1</v>
      </c>
      <c r="AS25" s="40">
        <f t="shared" si="15"/>
        <v>11.3</v>
      </c>
      <c r="AT25" s="40">
        <f t="shared" si="16"/>
        <v>66.900000000000006</v>
      </c>
      <c r="AU25" s="40">
        <f t="shared" si="17"/>
        <v>9.6000000000000014</v>
      </c>
      <c r="AV25" s="40">
        <f t="shared" si="18"/>
        <v>42.300000000000004</v>
      </c>
      <c r="AW25" s="40">
        <f t="shared" si="19"/>
        <v>86.100000000000009</v>
      </c>
      <c r="AX25" s="18">
        <v>17.2</v>
      </c>
      <c r="AY25" s="18">
        <v>2.8</v>
      </c>
      <c r="AZ25" s="18">
        <v>0</v>
      </c>
      <c r="BA25" s="18">
        <v>0</v>
      </c>
      <c r="BB25" s="18">
        <v>18.100000000000001</v>
      </c>
      <c r="BC25" s="18">
        <v>4.8</v>
      </c>
      <c r="BD25" s="18">
        <v>1</v>
      </c>
      <c r="BE25" s="18">
        <v>0</v>
      </c>
      <c r="BF25" s="18">
        <v>18.899999999999999</v>
      </c>
      <c r="BG25" s="18">
        <v>4.3</v>
      </c>
      <c r="BH25" s="18">
        <v>0.2</v>
      </c>
      <c r="BI25" s="18">
        <v>0</v>
      </c>
      <c r="BJ25" s="18">
        <v>18.5</v>
      </c>
      <c r="BK25" s="18">
        <v>4.4000000000000004</v>
      </c>
      <c r="BL25" s="18">
        <v>0</v>
      </c>
      <c r="BM25" s="18">
        <v>0</v>
      </c>
      <c r="BN25" s="18">
        <v>19.2</v>
      </c>
      <c r="BO25" s="18">
        <v>4.3</v>
      </c>
      <c r="BP25" s="18">
        <v>0.2</v>
      </c>
      <c r="BQ25" s="18">
        <v>0</v>
      </c>
      <c r="BR25" s="28"/>
      <c r="BS25" s="11">
        <f t="shared" si="20"/>
        <v>7.6</v>
      </c>
      <c r="BT25" s="11">
        <f t="shared" si="21"/>
        <v>41.9</v>
      </c>
      <c r="BU25" s="11">
        <f t="shared" si="22"/>
        <v>23</v>
      </c>
      <c r="BV25" s="11">
        <f t="shared" si="23"/>
        <v>11.899999999999999</v>
      </c>
      <c r="BW25" s="11">
        <f t="shared" si="24"/>
        <v>64.900000000000006</v>
      </c>
      <c r="BX25" s="11">
        <f t="shared" si="25"/>
        <v>8.6999999999999993</v>
      </c>
      <c r="BY25" s="11">
        <f t="shared" si="26"/>
        <v>46.199999999999989</v>
      </c>
      <c r="BZ25" s="11">
        <f t="shared" si="27"/>
        <v>88.1</v>
      </c>
      <c r="CA25" s="19"/>
      <c r="CB25" s="19"/>
      <c r="CC25" s="19"/>
      <c r="CD25" s="19"/>
      <c r="CE25" s="19"/>
      <c r="CF25" s="19"/>
      <c r="CG25" s="19"/>
      <c r="CH25" s="19"/>
      <c r="CI25" s="19"/>
      <c r="CJ25" s="19"/>
      <c r="CK25" s="19"/>
      <c r="CL25" s="19"/>
      <c r="CM25" s="19"/>
      <c r="CN25" s="19"/>
      <c r="CO25" s="19"/>
      <c r="CP25" s="19"/>
      <c r="CQ25" s="19"/>
      <c r="CR25" s="19"/>
      <c r="CS25" s="19"/>
      <c r="CT25" s="19"/>
      <c r="CU25" s="27"/>
      <c r="CV25" s="40" t="str">
        <f t="shared" si="28"/>
        <v/>
      </c>
      <c r="CW25" s="40" t="str">
        <f t="shared" si="29"/>
        <v/>
      </c>
      <c r="CX25" s="40" t="str">
        <f t="shared" si="30"/>
        <v/>
      </c>
      <c r="CY25" s="40" t="str">
        <f t="shared" si="31"/>
        <v/>
      </c>
      <c r="CZ25" s="40" t="str">
        <f t="shared" si="32"/>
        <v/>
      </c>
      <c r="DA25" s="40" t="str">
        <f t="shared" si="33"/>
        <v/>
      </c>
      <c r="DB25" s="40" t="str">
        <f t="shared" si="34"/>
        <v/>
      </c>
      <c r="DC25" s="40" t="str">
        <f t="shared" si="35"/>
        <v/>
      </c>
      <c r="DD25" s="50" t="str">
        <f t="shared" si="36"/>
        <v/>
      </c>
      <c r="DE25" s="50" t="str">
        <f t="shared" si="37"/>
        <v/>
      </c>
      <c r="DF25" s="50" t="str">
        <f t="shared" si="38"/>
        <v/>
      </c>
      <c r="DG25" s="17"/>
      <c r="DH25" s="17"/>
      <c r="DI25" s="17"/>
      <c r="DJ25" s="17"/>
      <c r="DK25" s="17"/>
      <c r="DL25" s="17"/>
      <c r="DM25" s="17"/>
      <c r="DN25" s="17"/>
      <c r="DO25" s="17"/>
      <c r="DP25" s="17"/>
      <c r="DQ25" s="17"/>
      <c r="DR25" s="17"/>
      <c r="DS25" s="17"/>
      <c r="DT25" s="17"/>
      <c r="DU25" s="17"/>
      <c r="DV25" s="17"/>
      <c r="DW25" s="17"/>
      <c r="DX25" s="17"/>
      <c r="DY25" s="17"/>
      <c r="DZ25" s="17"/>
      <c r="EA25" s="40" t="str">
        <f t="shared" si="39"/>
        <v/>
      </c>
      <c r="EB25" s="40" t="str">
        <f t="shared" si="40"/>
        <v/>
      </c>
      <c r="EC25" s="40" t="str">
        <f t="shared" si="41"/>
        <v/>
      </c>
      <c r="ED25" s="40" t="str">
        <f t="shared" si="42"/>
        <v/>
      </c>
      <c r="EE25" s="40" t="str">
        <f t="shared" si="43"/>
        <v/>
      </c>
      <c r="EF25" s="40" t="str">
        <f t="shared" si="44"/>
        <v/>
      </c>
      <c r="EG25" s="40" t="str">
        <f t="shared" si="45"/>
        <v/>
      </c>
      <c r="EH25" s="40" t="str">
        <f t="shared" si="46"/>
        <v/>
      </c>
      <c r="EI25" s="18"/>
      <c r="EJ25" s="18"/>
      <c r="EK25" s="18"/>
      <c r="EL25" s="18"/>
      <c r="EM25" s="18"/>
      <c r="EN25" s="18"/>
      <c r="EO25" s="18"/>
      <c r="EP25" s="18"/>
      <c r="EQ25" s="18"/>
      <c r="ER25" s="18"/>
      <c r="ES25" s="18"/>
      <c r="ET25" s="18"/>
      <c r="EU25" s="18"/>
      <c r="EV25" s="18"/>
      <c r="EW25" s="18"/>
      <c r="EX25" s="18"/>
      <c r="EY25" s="18"/>
      <c r="EZ25" s="18"/>
      <c r="FA25" s="18"/>
      <c r="FB25" s="18"/>
      <c r="FC25" s="11" t="str">
        <f t="shared" si="47"/>
        <v/>
      </c>
      <c r="FD25" s="11" t="str">
        <f t="shared" si="48"/>
        <v/>
      </c>
      <c r="FE25" s="11" t="str">
        <f t="shared" si="49"/>
        <v/>
      </c>
      <c r="FF25" s="11" t="str">
        <f t="shared" si="50"/>
        <v/>
      </c>
      <c r="FG25" s="11" t="str">
        <f t="shared" si="51"/>
        <v/>
      </c>
      <c r="FH25" s="11" t="str">
        <f t="shared" si="52"/>
        <v/>
      </c>
      <c r="FI25" s="11" t="str">
        <f t="shared" si="53"/>
        <v/>
      </c>
      <c r="FJ25" s="11" t="str">
        <f t="shared" si="54"/>
        <v/>
      </c>
      <c r="FK25" s="17"/>
      <c r="FL25" s="17"/>
      <c r="FM25" s="17"/>
      <c r="FN25" s="17"/>
      <c r="FO25" s="17"/>
      <c r="FP25" s="17"/>
      <c r="FQ25" s="17"/>
      <c r="FR25" s="17"/>
      <c r="FS25" s="17"/>
      <c r="FT25" s="17"/>
      <c r="FU25" s="17"/>
      <c r="FV25" s="17"/>
      <c r="FW25" s="17"/>
      <c r="FX25" s="17"/>
      <c r="FY25" s="17"/>
      <c r="FZ25" s="17"/>
      <c r="GA25" s="17"/>
      <c r="GB25" s="17"/>
      <c r="GC25" s="17"/>
      <c r="GD25" s="17"/>
      <c r="GE25" s="40" t="str">
        <f t="shared" si="55"/>
        <v/>
      </c>
      <c r="GF25" s="40" t="str">
        <f t="shared" si="56"/>
        <v/>
      </c>
      <c r="GG25" s="40" t="str">
        <f t="shared" si="57"/>
        <v/>
      </c>
      <c r="GH25" s="40" t="str">
        <f t="shared" si="58"/>
        <v/>
      </c>
      <c r="GI25" s="40" t="str">
        <f t="shared" si="59"/>
        <v/>
      </c>
      <c r="GJ25" s="40" t="str">
        <f t="shared" si="60"/>
        <v/>
      </c>
      <c r="GK25" s="40" t="str">
        <f t="shared" si="61"/>
        <v/>
      </c>
      <c r="GL25" s="40" t="str">
        <f t="shared" si="62"/>
        <v/>
      </c>
      <c r="GM25" s="18"/>
      <c r="GN25" s="18"/>
      <c r="GO25" s="18"/>
      <c r="GP25" s="18"/>
      <c r="GQ25" s="18"/>
      <c r="GR25" s="18"/>
      <c r="GS25" s="18"/>
      <c r="GT25" s="18"/>
      <c r="GU25" s="18"/>
      <c r="GV25" s="18"/>
      <c r="GW25" s="18"/>
      <c r="GX25" s="18"/>
      <c r="GY25" s="18"/>
      <c r="GZ25" s="18"/>
      <c r="HA25" s="18"/>
      <c r="HB25" s="18"/>
      <c r="HC25" s="18"/>
      <c r="HD25" s="18"/>
      <c r="HE25" s="18"/>
      <c r="HF25" s="18"/>
      <c r="HG25" s="11" t="str">
        <f t="shared" si="63"/>
        <v/>
      </c>
      <c r="HH25" s="11" t="str">
        <f t="shared" si="64"/>
        <v/>
      </c>
      <c r="HI25" s="11" t="str">
        <f t="shared" si="65"/>
        <v/>
      </c>
      <c r="HJ25" s="11" t="str">
        <f t="shared" si="66"/>
        <v/>
      </c>
      <c r="HK25" s="11" t="str">
        <f t="shared" si="67"/>
        <v/>
      </c>
      <c r="HL25" s="11" t="str">
        <f t="shared" si="68"/>
        <v/>
      </c>
      <c r="HM25" s="11" t="str">
        <f t="shared" si="69"/>
        <v/>
      </c>
      <c r="HN25" s="11" t="str">
        <f t="shared" si="70"/>
        <v/>
      </c>
      <c r="HO25" s="17"/>
      <c r="HP25" s="17"/>
      <c r="HQ25" s="17"/>
      <c r="HR25" s="17"/>
      <c r="HS25" s="17"/>
      <c r="HT25" s="17"/>
      <c r="HU25" s="17"/>
      <c r="HV25" s="17"/>
      <c r="HW25" s="17"/>
      <c r="HX25" s="17"/>
      <c r="HY25" s="17"/>
      <c r="HZ25" s="17"/>
      <c r="IA25" s="17"/>
      <c r="IB25" s="17"/>
      <c r="IC25" s="17"/>
      <c r="ID25" s="17"/>
      <c r="IE25" s="17"/>
      <c r="IF25" s="17"/>
      <c r="IG25" s="17"/>
      <c r="IH25" s="17"/>
      <c r="II25" s="40" t="str">
        <f t="shared" si="71"/>
        <v/>
      </c>
      <c r="IJ25" s="40" t="str">
        <f t="shared" si="72"/>
        <v/>
      </c>
      <c r="IK25" s="40" t="str">
        <f t="shared" si="73"/>
        <v/>
      </c>
      <c r="IL25" s="40" t="str">
        <f t="shared" si="74"/>
        <v/>
      </c>
      <c r="IM25" s="40" t="str">
        <f t="shared" si="75"/>
        <v/>
      </c>
      <c r="IN25" s="40" t="str">
        <f t="shared" si="76"/>
        <v/>
      </c>
      <c r="IO25" s="40" t="str">
        <f t="shared" si="77"/>
        <v/>
      </c>
      <c r="IP25" s="40" t="str">
        <f t="shared" si="78"/>
        <v/>
      </c>
      <c r="IQ25" s="18"/>
      <c r="IR25" s="18"/>
      <c r="IS25" s="18"/>
      <c r="IT25" s="18"/>
      <c r="IU25" s="18"/>
      <c r="IV25" s="18"/>
      <c r="IW25" s="18"/>
      <c r="IX25" s="18"/>
      <c r="IY25" s="18"/>
      <c r="IZ25" s="18"/>
      <c r="JA25" s="18"/>
      <c r="JB25" s="18"/>
      <c r="JC25" s="18"/>
      <c r="JD25" s="18"/>
      <c r="JE25" s="18"/>
      <c r="JF25" s="18"/>
      <c r="JG25" s="18"/>
      <c r="JH25" s="18"/>
      <c r="JI25" s="18"/>
      <c r="JJ25" s="18"/>
      <c r="JK25" s="11" t="str">
        <f t="shared" si="79"/>
        <v/>
      </c>
      <c r="JL25" s="11" t="str">
        <f t="shared" si="80"/>
        <v/>
      </c>
      <c r="JM25" s="11" t="str">
        <f t="shared" si="81"/>
        <v/>
      </c>
      <c r="JN25" s="11" t="str">
        <f t="shared" si="82"/>
        <v/>
      </c>
      <c r="JO25" s="11" t="str">
        <f t="shared" si="83"/>
        <v/>
      </c>
      <c r="JP25" s="11" t="str">
        <f t="shared" si="84"/>
        <v/>
      </c>
      <c r="JQ25" s="11" t="str">
        <f t="shared" si="85"/>
        <v/>
      </c>
      <c r="JR25" s="11" t="str">
        <f t="shared" si="86"/>
        <v/>
      </c>
      <c r="JS25" s="17"/>
      <c r="JT25" s="17"/>
      <c r="JU25" s="17"/>
      <c r="JV25" s="17"/>
      <c r="JW25" s="17"/>
      <c r="JX25" s="17"/>
      <c r="JY25" s="17"/>
      <c r="JZ25" s="17"/>
      <c r="KA25" s="17"/>
      <c r="KB25" s="17"/>
      <c r="KC25" s="17"/>
      <c r="KD25" s="17"/>
      <c r="KE25" s="17"/>
      <c r="KF25" s="17"/>
      <c r="KG25" s="17"/>
      <c r="KH25" s="17"/>
      <c r="KI25" s="17"/>
      <c r="KJ25" s="17"/>
      <c r="KK25" s="17"/>
      <c r="KL25" s="17"/>
      <c r="KM25" s="40" t="str">
        <f t="shared" si="87"/>
        <v/>
      </c>
      <c r="KN25" s="40" t="str">
        <f t="shared" si="88"/>
        <v/>
      </c>
      <c r="KO25" s="40" t="str">
        <f t="shared" si="89"/>
        <v/>
      </c>
      <c r="KP25" s="40" t="str">
        <f t="shared" si="90"/>
        <v/>
      </c>
      <c r="KQ25" s="40" t="str">
        <f t="shared" si="91"/>
        <v/>
      </c>
      <c r="KR25" s="40" t="str">
        <f t="shared" si="92"/>
        <v/>
      </c>
      <c r="KS25" s="40" t="str">
        <f t="shared" si="93"/>
        <v/>
      </c>
      <c r="KT25" s="40" t="str">
        <f t="shared" si="94"/>
        <v/>
      </c>
      <c r="KU25" s="18"/>
      <c r="KV25" s="18"/>
      <c r="KW25" s="18"/>
      <c r="KX25" s="18"/>
      <c r="KY25" s="18"/>
      <c r="KZ25" s="18"/>
      <c r="LA25" s="18"/>
      <c r="LB25" s="18"/>
      <c r="LC25" s="18"/>
      <c r="LD25" s="18"/>
      <c r="LE25" s="18"/>
      <c r="LF25" s="18"/>
      <c r="LG25" s="18"/>
      <c r="LH25" s="18"/>
      <c r="LI25" s="18"/>
      <c r="LJ25" s="18"/>
      <c r="LK25" s="18"/>
      <c r="LL25" s="18"/>
      <c r="LM25" s="18"/>
      <c r="LN25" s="18"/>
      <c r="LO25" s="11" t="str">
        <f t="shared" si="95"/>
        <v/>
      </c>
      <c r="LP25" s="11" t="str">
        <f t="shared" si="96"/>
        <v/>
      </c>
      <c r="LQ25" s="11" t="str">
        <f t="shared" si="97"/>
        <v/>
      </c>
      <c r="LR25" s="11" t="str">
        <f t="shared" si="98"/>
        <v/>
      </c>
      <c r="LS25" s="11" t="str">
        <f t="shared" si="99"/>
        <v/>
      </c>
      <c r="LT25" s="11" t="str">
        <f t="shared" si="100"/>
        <v/>
      </c>
      <c r="LU25" s="11" t="str">
        <f t="shared" si="101"/>
        <v/>
      </c>
      <c r="LV25" s="11" t="str">
        <f t="shared" si="102"/>
        <v/>
      </c>
      <c r="LW25" s="17"/>
      <c r="LX25" s="17"/>
      <c r="LY25" s="17"/>
      <c r="LZ25" s="17"/>
      <c r="MA25" s="17"/>
      <c r="MB25" s="17"/>
      <c r="MC25" s="17"/>
      <c r="MD25" s="17"/>
      <c r="ME25" s="17"/>
      <c r="MF25" s="17"/>
      <c r="MG25" s="17"/>
      <c r="MH25" s="17"/>
      <c r="MI25" s="17"/>
      <c r="MJ25" s="17"/>
      <c r="MK25" s="17"/>
      <c r="ML25" s="17"/>
      <c r="MM25" s="17"/>
      <c r="MN25" s="17"/>
      <c r="MO25" s="17"/>
      <c r="MP25" s="17"/>
      <c r="MQ25" s="40" t="str">
        <f t="shared" si="103"/>
        <v/>
      </c>
      <c r="MR25" s="40" t="str">
        <f t="shared" si="104"/>
        <v/>
      </c>
      <c r="MS25" s="40" t="str">
        <f t="shared" si="105"/>
        <v/>
      </c>
      <c r="MT25" s="40" t="str">
        <f t="shared" si="106"/>
        <v/>
      </c>
      <c r="MU25" s="40" t="str">
        <f t="shared" si="107"/>
        <v/>
      </c>
      <c r="MV25" s="40" t="str">
        <f t="shared" si="108"/>
        <v/>
      </c>
      <c r="MW25" s="40" t="str">
        <f t="shared" si="109"/>
        <v/>
      </c>
      <c r="MX25" s="40" t="str">
        <f t="shared" si="110"/>
        <v/>
      </c>
      <c r="MY25" s="18"/>
      <c r="MZ25" s="18"/>
      <c r="NA25" s="18"/>
      <c r="NB25" s="18"/>
      <c r="NC25" s="18"/>
      <c r="ND25" s="18"/>
      <c r="NE25" s="18"/>
      <c r="NF25" s="18"/>
      <c r="NG25" s="18"/>
      <c r="NH25" s="18"/>
      <c r="NI25" s="18"/>
      <c r="NJ25" s="18"/>
      <c r="NK25" s="18"/>
      <c r="NL25" s="18"/>
      <c r="NM25" s="18"/>
      <c r="NN25" s="18"/>
      <c r="NO25" s="18"/>
      <c r="NP25" s="18"/>
      <c r="NQ25" s="18"/>
      <c r="NR25" s="18"/>
      <c r="NS25" s="11" t="str">
        <f t="shared" si="111"/>
        <v/>
      </c>
      <c r="NT25" s="11" t="str">
        <f t="shared" si="112"/>
        <v/>
      </c>
      <c r="NU25" s="11" t="str">
        <f t="shared" si="113"/>
        <v/>
      </c>
      <c r="NV25" s="11" t="str">
        <f t="shared" si="114"/>
        <v/>
      </c>
      <c r="NW25" s="11" t="str">
        <f t="shared" si="115"/>
        <v/>
      </c>
      <c r="NX25" s="11" t="str">
        <f t="shared" si="116"/>
        <v/>
      </c>
      <c r="NY25" s="11" t="str">
        <f t="shared" si="117"/>
        <v/>
      </c>
      <c r="NZ25" s="11" t="str">
        <f t="shared" si="118"/>
        <v/>
      </c>
      <c r="OA25" s="17"/>
      <c r="OB25" s="17"/>
      <c r="OC25" s="17"/>
      <c r="OD25" s="17"/>
      <c r="OE25" s="17"/>
      <c r="OF25" s="17"/>
      <c r="OG25" s="17"/>
      <c r="OH25" s="17"/>
      <c r="OI25" s="17"/>
      <c r="OJ25" s="17"/>
      <c r="OK25" s="17"/>
      <c r="OL25" s="17"/>
      <c r="OM25" s="17"/>
      <c r="ON25" s="17"/>
      <c r="OO25" s="17"/>
      <c r="OP25" s="17"/>
      <c r="OQ25" s="17"/>
      <c r="OR25" s="17"/>
      <c r="OS25" s="17"/>
      <c r="OT25" s="17"/>
      <c r="OU25" s="40" t="str">
        <f t="shared" si="119"/>
        <v/>
      </c>
      <c r="OV25" s="40" t="str">
        <f t="shared" si="120"/>
        <v/>
      </c>
      <c r="OW25" s="40" t="str">
        <f t="shared" si="121"/>
        <v/>
      </c>
      <c r="OX25" s="40" t="str">
        <f t="shared" si="122"/>
        <v/>
      </c>
      <c r="OY25" s="40" t="str">
        <f t="shared" si="123"/>
        <v/>
      </c>
      <c r="OZ25" s="40" t="str">
        <f t="shared" si="124"/>
        <v/>
      </c>
      <c r="PA25" s="40" t="str">
        <f t="shared" si="125"/>
        <v/>
      </c>
      <c r="PB25" s="40" t="str">
        <f t="shared" si="126"/>
        <v/>
      </c>
      <c r="PC25" s="18"/>
      <c r="PD25" s="18"/>
      <c r="PE25" s="18"/>
      <c r="PF25" s="18"/>
      <c r="PG25" s="18"/>
      <c r="PH25" s="18"/>
      <c r="PI25" s="18"/>
      <c r="PJ25" s="18"/>
      <c r="PK25" s="18"/>
      <c r="PL25" s="18"/>
      <c r="PM25" s="18"/>
      <c r="PN25" s="18"/>
      <c r="PO25" s="18"/>
      <c r="PP25" s="18"/>
      <c r="PQ25" s="18"/>
      <c r="PR25" s="18"/>
      <c r="PS25" s="18"/>
      <c r="PT25" s="18"/>
      <c r="PU25" s="18"/>
      <c r="PV25" s="18"/>
      <c r="PW25" s="11" t="str">
        <f t="shared" si="127"/>
        <v/>
      </c>
      <c r="PX25" s="11" t="str">
        <f t="shared" si="128"/>
        <v/>
      </c>
      <c r="PY25" s="11" t="str">
        <f t="shared" si="129"/>
        <v/>
      </c>
      <c r="PZ25" s="11" t="str">
        <f t="shared" si="130"/>
        <v/>
      </c>
      <c r="QA25" s="11" t="str">
        <f t="shared" si="131"/>
        <v/>
      </c>
      <c r="QB25" s="11" t="str">
        <f t="shared" si="132"/>
        <v/>
      </c>
      <c r="QC25" s="11" t="str">
        <f t="shared" si="133"/>
        <v/>
      </c>
      <c r="QD25" s="11" t="str">
        <f t="shared" si="134"/>
        <v/>
      </c>
      <c r="QE25" s="22">
        <f t="shared" si="135"/>
        <v>8.6</v>
      </c>
      <c r="QF25" s="22">
        <f t="shared" si="136"/>
        <v>1.4</v>
      </c>
      <c r="QG25" s="22">
        <f t="shared" si="137"/>
        <v>0</v>
      </c>
      <c r="QH25" s="22">
        <f t="shared" si="138"/>
        <v>0</v>
      </c>
      <c r="QI25" s="22">
        <f t="shared" si="139"/>
        <v>9.0500000000000007</v>
      </c>
      <c r="QJ25" s="22">
        <f t="shared" si="140"/>
        <v>2.4</v>
      </c>
      <c r="QK25" s="22">
        <f t="shared" si="141"/>
        <v>0.5</v>
      </c>
      <c r="QL25" s="22">
        <f t="shared" si="142"/>
        <v>0</v>
      </c>
      <c r="QM25" s="22">
        <f t="shared" si="143"/>
        <v>9.4499999999999993</v>
      </c>
      <c r="QN25" s="22">
        <f t="shared" si="144"/>
        <v>2.15</v>
      </c>
      <c r="QO25" s="22">
        <f t="shared" si="145"/>
        <v>0.1</v>
      </c>
      <c r="QP25" s="22">
        <f t="shared" si="146"/>
        <v>0</v>
      </c>
      <c r="QQ25" s="22">
        <f t="shared" si="147"/>
        <v>9.25</v>
      </c>
      <c r="QR25" s="22">
        <f t="shared" si="148"/>
        <v>2.2000000000000002</v>
      </c>
      <c r="QS25" s="22">
        <f t="shared" si="149"/>
        <v>0</v>
      </c>
      <c r="QT25" s="22">
        <f t="shared" si="150"/>
        <v>0</v>
      </c>
      <c r="QU25" s="22">
        <f t="shared" si="151"/>
        <v>9.6</v>
      </c>
      <c r="QV25" s="22">
        <f t="shared" si="152"/>
        <v>2.15</v>
      </c>
      <c r="QW25" s="22">
        <f t="shared" si="153"/>
        <v>0.1</v>
      </c>
      <c r="QX25" s="22">
        <f t="shared" si="154"/>
        <v>0</v>
      </c>
      <c r="QY25" s="27" t="s">
        <v>46</v>
      </c>
      <c r="QZ25" s="40">
        <f t="shared" si="155"/>
        <v>3.8</v>
      </c>
      <c r="RA25" s="40">
        <f t="shared" si="156"/>
        <v>20.95</v>
      </c>
      <c r="RB25" s="40">
        <f t="shared" si="157"/>
        <v>11.5</v>
      </c>
      <c r="RC25" s="40">
        <f t="shared" si="158"/>
        <v>5.9499999999999993</v>
      </c>
      <c r="RD25" s="40">
        <f t="shared" si="159"/>
        <v>32.450000000000003</v>
      </c>
      <c r="RE25" s="40">
        <f t="shared" si="160"/>
        <v>4.3499999999999996</v>
      </c>
      <c r="RF25" s="40">
        <f t="shared" si="161"/>
        <v>23.099999999999994</v>
      </c>
      <c r="RG25" s="40">
        <f t="shared" si="162"/>
        <v>44.05</v>
      </c>
    </row>
    <row r="26" spans="1:475" x14ac:dyDescent="0.2">
      <c r="A26" s="4" t="str">
        <f t="shared" si="164"/>
        <v/>
      </c>
      <c r="B26" s="5" t="s">
        <v>218</v>
      </c>
      <c r="C26" s="4" t="s">
        <v>5</v>
      </c>
      <c r="D26" s="4">
        <v>2006</v>
      </c>
      <c r="E26" s="9">
        <f t="shared" si="163"/>
        <v>148.40001076000439</v>
      </c>
      <c r="F26" s="3" t="str">
        <f t="shared" si="0"/>
        <v/>
      </c>
      <c r="G26" s="3" t="str">
        <f t="shared" si="1"/>
        <v/>
      </c>
      <c r="H26" s="36" t="str">
        <f t="shared" si="2"/>
        <v/>
      </c>
      <c r="I26" s="3" t="str">
        <f t="shared" si="3"/>
        <v/>
      </c>
      <c r="J26" s="8">
        <f>IF(COUNT(AQ26,BT26,CW26)&gt;0,LARGE((AQ26,BT26,CW26),1),0)</f>
        <v>44.099999999999994</v>
      </c>
      <c r="K26" s="8" t="str">
        <f t="shared" si="4"/>
        <v>2023 Elite Canada</v>
      </c>
      <c r="L26" s="8">
        <f>IF(COUNT(AQ26,BT26,CW26)&gt;1,LARGE((AQ26,BT26,CW26),2),0)</f>
        <v>40.4</v>
      </c>
      <c r="M26" s="8" t="str">
        <f t="shared" si="5"/>
        <v>2022 Nationals</v>
      </c>
      <c r="N26" s="8">
        <f>IF(COUNT(AR26,BU26,CX26)&gt;0,LARGE((AR26,BU26,CX26),1),0)</f>
        <v>23.099999999999998</v>
      </c>
      <c r="O26" s="8" t="str">
        <f t="shared" si="6"/>
        <v>2023 Elite Canada</v>
      </c>
      <c r="P26" s="8">
        <f t="shared" si="7"/>
        <v>40.799999999999997</v>
      </c>
      <c r="Q26" s="8" t="str">
        <f t="shared" si="8"/>
        <v>2023 Elite Canada</v>
      </c>
      <c r="R26" s="8" t="str">
        <f t="shared" si="9"/>
        <v/>
      </c>
      <c r="S26" s="11" t="str">
        <f t="shared" si="10"/>
        <v/>
      </c>
      <c r="T26" s="8" t="str">
        <f t="shared" si="11"/>
        <v/>
      </c>
      <c r="U26" s="19">
        <v>18.100000000000001</v>
      </c>
      <c r="V26" s="19">
        <v>3.5</v>
      </c>
      <c r="W26" s="19">
        <v>0.6</v>
      </c>
      <c r="X26" s="19">
        <v>0</v>
      </c>
      <c r="Y26" s="19">
        <v>17</v>
      </c>
      <c r="Z26" s="19">
        <v>2.4</v>
      </c>
      <c r="AA26" s="19">
        <v>0</v>
      </c>
      <c r="AB26" s="19">
        <v>0</v>
      </c>
      <c r="AC26" s="19"/>
      <c r="AD26" s="19"/>
      <c r="AE26" s="19"/>
      <c r="AF26" s="19"/>
      <c r="AG26" s="19">
        <v>0</v>
      </c>
      <c r="AH26" s="19">
        <v>0</v>
      </c>
      <c r="AI26" s="19">
        <v>0</v>
      </c>
      <c r="AJ26" s="19">
        <v>0</v>
      </c>
      <c r="AK26" s="19">
        <v>17.899999999999999</v>
      </c>
      <c r="AL26" s="19">
        <v>2.9</v>
      </c>
      <c r="AM26" s="19">
        <v>0.4</v>
      </c>
      <c r="AN26" s="19">
        <v>0</v>
      </c>
      <c r="AO26" s="27"/>
      <c r="AP26" s="40">
        <f t="shared" si="12"/>
        <v>5.9</v>
      </c>
      <c r="AQ26" s="40">
        <f t="shared" si="13"/>
        <v>40.4</v>
      </c>
      <c r="AR26" s="40" t="str">
        <f t="shared" si="14"/>
        <v/>
      </c>
      <c r="AS26" s="40">
        <f t="shared" si="15"/>
        <v>5.9</v>
      </c>
      <c r="AT26" s="40">
        <f t="shared" si="16"/>
        <v>40.4</v>
      </c>
      <c r="AU26" s="40">
        <f t="shared" si="17"/>
        <v>2.9</v>
      </c>
      <c r="AV26" s="40">
        <f t="shared" si="18"/>
        <v>20.399999999999999</v>
      </c>
      <c r="AW26" s="40">
        <f t="shared" si="19"/>
        <v>60.8</v>
      </c>
      <c r="AX26" s="18"/>
      <c r="AY26" s="18"/>
      <c r="AZ26" s="18"/>
      <c r="BA26" s="18"/>
      <c r="BB26" s="18"/>
      <c r="BC26" s="18"/>
      <c r="BD26" s="18"/>
      <c r="BE26" s="18"/>
      <c r="BF26" s="18"/>
      <c r="BG26" s="18"/>
      <c r="BH26" s="18"/>
      <c r="BI26" s="18"/>
      <c r="BJ26" s="18"/>
      <c r="BK26" s="18"/>
      <c r="BL26" s="18"/>
      <c r="BM26" s="18"/>
      <c r="BN26" s="18"/>
      <c r="BO26" s="18"/>
      <c r="BP26" s="18"/>
      <c r="BQ26" s="18"/>
      <c r="BR26" s="28"/>
      <c r="BS26" s="11" t="str">
        <f t="shared" si="20"/>
        <v/>
      </c>
      <c r="BT26" s="11" t="str">
        <f t="shared" si="21"/>
        <v/>
      </c>
      <c r="BU26" s="11" t="str">
        <f t="shared" si="22"/>
        <v/>
      </c>
      <c r="BV26" s="11" t="str">
        <f t="shared" si="23"/>
        <v/>
      </c>
      <c r="BW26" s="11" t="str">
        <f t="shared" si="24"/>
        <v/>
      </c>
      <c r="BX26" s="11" t="str">
        <f t="shared" si="25"/>
        <v/>
      </c>
      <c r="BY26" s="11" t="str">
        <f t="shared" si="26"/>
        <v/>
      </c>
      <c r="BZ26" s="11" t="str">
        <f t="shared" si="27"/>
        <v/>
      </c>
      <c r="CA26" s="19">
        <v>18.399999999999999</v>
      </c>
      <c r="CB26" s="19">
        <v>3.5</v>
      </c>
      <c r="CC26" s="19">
        <v>0</v>
      </c>
      <c r="CD26" s="19">
        <v>0</v>
      </c>
      <c r="CE26" s="19">
        <v>18.100000000000001</v>
      </c>
      <c r="CF26" s="19">
        <v>4.3</v>
      </c>
      <c r="CG26" s="19">
        <v>0.2</v>
      </c>
      <c r="CH26" s="19">
        <v>0</v>
      </c>
      <c r="CI26" s="19">
        <v>17.899999999999999</v>
      </c>
      <c r="CJ26" s="19">
        <v>5.2</v>
      </c>
      <c r="CK26" s="19">
        <v>0</v>
      </c>
      <c r="CL26" s="19">
        <v>0</v>
      </c>
      <c r="CM26" s="19">
        <v>18.100000000000001</v>
      </c>
      <c r="CN26" s="19">
        <v>3.5</v>
      </c>
      <c r="CO26" s="19">
        <v>0.2</v>
      </c>
      <c r="CP26" s="19">
        <v>0</v>
      </c>
      <c r="CQ26" s="19">
        <v>17</v>
      </c>
      <c r="CR26" s="19">
        <v>2.4</v>
      </c>
      <c r="CS26" s="19">
        <v>0</v>
      </c>
      <c r="CT26" s="19">
        <v>0</v>
      </c>
      <c r="CU26" s="27"/>
      <c r="CV26" s="40">
        <f t="shared" si="28"/>
        <v>7.8</v>
      </c>
      <c r="CW26" s="40">
        <f t="shared" si="29"/>
        <v>44.099999999999994</v>
      </c>
      <c r="CX26" s="40">
        <f t="shared" si="30"/>
        <v>23.099999999999998</v>
      </c>
      <c r="CY26" s="40">
        <f t="shared" si="31"/>
        <v>13</v>
      </c>
      <c r="CZ26" s="40">
        <f t="shared" si="32"/>
        <v>67.199999999999989</v>
      </c>
      <c r="DA26" s="40">
        <f t="shared" si="33"/>
        <v>5.9</v>
      </c>
      <c r="DB26" s="40">
        <f t="shared" si="34"/>
        <v>40.799999999999997</v>
      </c>
      <c r="DC26" s="40">
        <f t="shared" si="35"/>
        <v>84.899999999999991</v>
      </c>
      <c r="DD26" s="50" t="str">
        <f t="shared" si="36"/>
        <v/>
      </c>
      <c r="DE26" s="50" t="str">
        <f t="shared" si="37"/>
        <v/>
      </c>
      <c r="DF26" s="50" t="str">
        <f t="shared" si="38"/>
        <v/>
      </c>
      <c r="DG26" s="17"/>
      <c r="DH26" s="17"/>
      <c r="DI26" s="17"/>
      <c r="DJ26" s="17"/>
      <c r="DK26" s="17"/>
      <c r="DL26" s="17"/>
      <c r="DM26" s="17"/>
      <c r="DN26" s="17"/>
      <c r="DO26" s="17"/>
      <c r="DP26" s="17"/>
      <c r="DQ26" s="17"/>
      <c r="DR26" s="17"/>
      <c r="DS26" s="17"/>
      <c r="DT26" s="17"/>
      <c r="DU26" s="17"/>
      <c r="DV26" s="17"/>
      <c r="DW26" s="17"/>
      <c r="DX26" s="17"/>
      <c r="DY26" s="17"/>
      <c r="DZ26" s="17"/>
      <c r="EA26" s="40" t="str">
        <f t="shared" si="39"/>
        <v/>
      </c>
      <c r="EB26" s="40" t="str">
        <f t="shared" si="40"/>
        <v/>
      </c>
      <c r="EC26" s="40" t="str">
        <f t="shared" si="41"/>
        <v/>
      </c>
      <c r="ED26" s="40" t="str">
        <f t="shared" si="42"/>
        <v/>
      </c>
      <c r="EE26" s="40" t="str">
        <f t="shared" si="43"/>
        <v/>
      </c>
      <c r="EF26" s="40" t="str">
        <f t="shared" si="44"/>
        <v/>
      </c>
      <c r="EG26" s="40" t="str">
        <f t="shared" si="45"/>
        <v/>
      </c>
      <c r="EH26" s="40" t="str">
        <f t="shared" si="46"/>
        <v/>
      </c>
      <c r="EI26" s="18"/>
      <c r="EJ26" s="18"/>
      <c r="EK26" s="18"/>
      <c r="EL26" s="18"/>
      <c r="EM26" s="18"/>
      <c r="EN26" s="18"/>
      <c r="EO26" s="18"/>
      <c r="EP26" s="18"/>
      <c r="EQ26" s="18"/>
      <c r="ER26" s="18"/>
      <c r="ES26" s="18"/>
      <c r="ET26" s="18"/>
      <c r="EU26" s="18"/>
      <c r="EV26" s="18"/>
      <c r="EW26" s="18"/>
      <c r="EX26" s="18"/>
      <c r="EY26" s="18"/>
      <c r="EZ26" s="18"/>
      <c r="FA26" s="18"/>
      <c r="FB26" s="18"/>
      <c r="FC26" s="11" t="str">
        <f t="shared" si="47"/>
        <v/>
      </c>
      <c r="FD26" s="11" t="str">
        <f t="shared" si="48"/>
        <v/>
      </c>
      <c r="FE26" s="11" t="str">
        <f t="shared" si="49"/>
        <v/>
      </c>
      <c r="FF26" s="11" t="str">
        <f t="shared" si="50"/>
        <v/>
      </c>
      <c r="FG26" s="11" t="str">
        <f t="shared" si="51"/>
        <v/>
      </c>
      <c r="FH26" s="11" t="str">
        <f t="shared" si="52"/>
        <v/>
      </c>
      <c r="FI26" s="11" t="str">
        <f t="shared" si="53"/>
        <v/>
      </c>
      <c r="FJ26" s="11" t="str">
        <f t="shared" si="54"/>
        <v/>
      </c>
      <c r="FK26" s="17"/>
      <c r="FL26" s="17"/>
      <c r="FM26" s="17"/>
      <c r="FN26" s="17"/>
      <c r="FO26" s="17"/>
      <c r="FP26" s="17"/>
      <c r="FQ26" s="17"/>
      <c r="FR26" s="17"/>
      <c r="FS26" s="17"/>
      <c r="FT26" s="17"/>
      <c r="FU26" s="17"/>
      <c r="FV26" s="17"/>
      <c r="FW26" s="17"/>
      <c r="FX26" s="17"/>
      <c r="FY26" s="17"/>
      <c r="FZ26" s="17"/>
      <c r="GA26" s="17"/>
      <c r="GB26" s="17"/>
      <c r="GC26" s="17"/>
      <c r="GD26" s="17"/>
      <c r="GE26" s="40" t="str">
        <f t="shared" si="55"/>
        <v/>
      </c>
      <c r="GF26" s="40" t="str">
        <f t="shared" si="56"/>
        <v/>
      </c>
      <c r="GG26" s="40" t="str">
        <f t="shared" si="57"/>
        <v/>
      </c>
      <c r="GH26" s="40" t="str">
        <f t="shared" si="58"/>
        <v/>
      </c>
      <c r="GI26" s="40" t="str">
        <f t="shared" si="59"/>
        <v/>
      </c>
      <c r="GJ26" s="40" t="str">
        <f t="shared" si="60"/>
        <v/>
      </c>
      <c r="GK26" s="40" t="str">
        <f t="shared" si="61"/>
        <v/>
      </c>
      <c r="GL26" s="40" t="str">
        <f t="shared" si="62"/>
        <v/>
      </c>
      <c r="GM26" s="18"/>
      <c r="GN26" s="18"/>
      <c r="GO26" s="18"/>
      <c r="GP26" s="18"/>
      <c r="GQ26" s="18"/>
      <c r="GR26" s="18"/>
      <c r="GS26" s="18"/>
      <c r="GT26" s="18"/>
      <c r="GU26" s="18"/>
      <c r="GV26" s="18"/>
      <c r="GW26" s="18"/>
      <c r="GX26" s="18"/>
      <c r="GY26" s="18"/>
      <c r="GZ26" s="18"/>
      <c r="HA26" s="18"/>
      <c r="HB26" s="18"/>
      <c r="HC26" s="18"/>
      <c r="HD26" s="18"/>
      <c r="HE26" s="18"/>
      <c r="HF26" s="18"/>
      <c r="HG26" s="11" t="str">
        <f t="shared" si="63"/>
        <v/>
      </c>
      <c r="HH26" s="11" t="str">
        <f t="shared" si="64"/>
        <v/>
      </c>
      <c r="HI26" s="11" t="str">
        <f t="shared" si="65"/>
        <v/>
      </c>
      <c r="HJ26" s="11" t="str">
        <f t="shared" si="66"/>
        <v/>
      </c>
      <c r="HK26" s="11" t="str">
        <f t="shared" si="67"/>
        <v/>
      </c>
      <c r="HL26" s="11" t="str">
        <f t="shared" si="68"/>
        <v/>
      </c>
      <c r="HM26" s="11" t="str">
        <f t="shared" si="69"/>
        <v/>
      </c>
      <c r="HN26" s="11" t="str">
        <f t="shared" si="70"/>
        <v/>
      </c>
      <c r="HO26" s="17"/>
      <c r="HP26" s="17"/>
      <c r="HQ26" s="17"/>
      <c r="HR26" s="17"/>
      <c r="HS26" s="17"/>
      <c r="HT26" s="17"/>
      <c r="HU26" s="17"/>
      <c r="HV26" s="17"/>
      <c r="HW26" s="17"/>
      <c r="HX26" s="17"/>
      <c r="HY26" s="17"/>
      <c r="HZ26" s="17"/>
      <c r="IA26" s="17"/>
      <c r="IB26" s="17"/>
      <c r="IC26" s="17"/>
      <c r="ID26" s="17"/>
      <c r="IE26" s="17"/>
      <c r="IF26" s="17"/>
      <c r="IG26" s="17"/>
      <c r="IH26" s="17"/>
      <c r="II26" s="40" t="str">
        <f t="shared" si="71"/>
        <v/>
      </c>
      <c r="IJ26" s="40" t="str">
        <f t="shared" si="72"/>
        <v/>
      </c>
      <c r="IK26" s="40" t="str">
        <f t="shared" si="73"/>
        <v/>
      </c>
      <c r="IL26" s="40" t="str">
        <f t="shared" si="74"/>
        <v/>
      </c>
      <c r="IM26" s="40" t="str">
        <f t="shared" si="75"/>
        <v/>
      </c>
      <c r="IN26" s="40" t="str">
        <f t="shared" si="76"/>
        <v/>
      </c>
      <c r="IO26" s="40" t="str">
        <f t="shared" si="77"/>
        <v/>
      </c>
      <c r="IP26" s="40" t="str">
        <f t="shared" si="78"/>
        <v/>
      </c>
      <c r="IQ26" s="18"/>
      <c r="IR26" s="18"/>
      <c r="IS26" s="18"/>
      <c r="IT26" s="18"/>
      <c r="IU26" s="18"/>
      <c r="IV26" s="18"/>
      <c r="IW26" s="18"/>
      <c r="IX26" s="18"/>
      <c r="IY26" s="18"/>
      <c r="IZ26" s="18"/>
      <c r="JA26" s="18"/>
      <c r="JB26" s="18"/>
      <c r="JC26" s="18"/>
      <c r="JD26" s="18"/>
      <c r="JE26" s="18"/>
      <c r="JF26" s="18"/>
      <c r="JG26" s="18"/>
      <c r="JH26" s="18"/>
      <c r="JI26" s="18"/>
      <c r="JJ26" s="18"/>
      <c r="JK26" s="11" t="str">
        <f t="shared" si="79"/>
        <v/>
      </c>
      <c r="JL26" s="11" t="str">
        <f t="shared" si="80"/>
        <v/>
      </c>
      <c r="JM26" s="11" t="str">
        <f t="shared" si="81"/>
        <v/>
      </c>
      <c r="JN26" s="11" t="str">
        <f t="shared" si="82"/>
        <v/>
      </c>
      <c r="JO26" s="11" t="str">
        <f t="shared" si="83"/>
        <v/>
      </c>
      <c r="JP26" s="11" t="str">
        <f t="shared" si="84"/>
        <v/>
      </c>
      <c r="JQ26" s="11" t="str">
        <f t="shared" si="85"/>
        <v/>
      </c>
      <c r="JR26" s="11" t="str">
        <f t="shared" si="86"/>
        <v/>
      </c>
      <c r="JS26" s="17"/>
      <c r="JT26" s="17"/>
      <c r="JU26" s="17"/>
      <c r="JV26" s="17"/>
      <c r="JW26" s="17"/>
      <c r="JX26" s="17"/>
      <c r="JY26" s="17"/>
      <c r="JZ26" s="17"/>
      <c r="KA26" s="17"/>
      <c r="KB26" s="17"/>
      <c r="KC26" s="17"/>
      <c r="KD26" s="17"/>
      <c r="KE26" s="17"/>
      <c r="KF26" s="17"/>
      <c r="KG26" s="17"/>
      <c r="KH26" s="17"/>
      <c r="KI26" s="17"/>
      <c r="KJ26" s="17"/>
      <c r="KK26" s="17"/>
      <c r="KL26" s="17"/>
      <c r="KM26" s="40" t="str">
        <f t="shared" si="87"/>
        <v/>
      </c>
      <c r="KN26" s="40" t="str">
        <f t="shared" si="88"/>
        <v/>
      </c>
      <c r="KO26" s="40" t="str">
        <f t="shared" si="89"/>
        <v/>
      </c>
      <c r="KP26" s="40" t="str">
        <f t="shared" si="90"/>
        <v/>
      </c>
      <c r="KQ26" s="40" t="str">
        <f t="shared" si="91"/>
        <v/>
      </c>
      <c r="KR26" s="40" t="str">
        <f t="shared" si="92"/>
        <v/>
      </c>
      <c r="KS26" s="40" t="str">
        <f t="shared" si="93"/>
        <v/>
      </c>
      <c r="KT26" s="40" t="str">
        <f t="shared" si="94"/>
        <v/>
      </c>
      <c r="KU26" s="18"/>
      <c r="KV26" s="18"/>
      <c r="KW26" s="18"/>
      <c r="KX26" s="18"/>
      <c r="KY26" s="18"/>
      <c r="KZ26" s="18"/>
      <c r="LA26" s="18"/>
      <c r="LB26" s="18"/>
      <c r="LC26" s="18"/>
      <c r="LD26" s="18"/>
      <c r="LE26" s="18"/>
      <c r="LF26" s="18"/>
      <c r="LG26" s="18"/>
      <c r="LH26" s="18"/>
      <c r="LI26" s="18"/>
      <c r="LJ26" s="18"/>
      <c r="LK26" s="18"/>
      <c r="LL26" s="18"/>
      <c r="LM26" s="18"/>
      <c r="LN26" s="18"/>
      <c r="LO26" s="11" t="str">
        <f t="shared" si="95"/>
        <v/>
      </c>
      <c r="LP26" s="11" t="str">
        <f t="shared" si="96"/>
        <v/>
      </c>
      <c r="LQ26" s="11" t="str">
        <f t="shared" si="97"/>
        <v/>
      </c>
      <c r="LR26" s="11" t="str">
        <f t="shared" si="98"/>
        <v/>
      </c>
      <c r="LS26" s="11" t="str">
        <f t="shared" si="99"/>
        <v/>
      </c>
      <c r="LT26" s="11" t="str">
        <f t="shared" si="100"/>
        <v/>
      </c>
      <c r="LU26" s="11" t="str">
        <f t="shared" si="101"/>
        <v/>
      </c>
      <c r="LV26" s="11" t="str">
        <f t="shared" si="102"/>
        <v/>
      </c>
      <c r="LW26" s="17"/>
      <c r="LX26" s="17"/>
      <c r="LY26" s="17"/>
      <c r="LZ26" s="17"/>
      <c r="MA26" s="17"/>
      <c r="MB26" s="17"/>
      <c r="MC26" s="17"/>
      <c r="MD26" s="17"/>
      <c r="ME26" s="17"/>
      <c r="MF26" s="17"/>
      <c r="MG26" s="17"/>
      <c r="MH26" s="17"/>
      <c r="MI26" s="17"/>
      <c r="MJ26" s="17"/>
      <c r="MK26" s="17"/>
      <c r="ML26" s="17"/>
      <c r="MM26" s="17"/>
      <c r="MN26" s="17"/>
      <c r="MO26" s="17"/>
      <c r="MP26" s="17"/>
      <c r="MQ26" s="40" t="str">
        <f t="shared" si="103"/>
        <v/>
      </c>
      <c r="MR26" s="40" t="str">
        <f t="shared" si="104"/>
        <v/>
      </c>
      <c r="MS26" s="40" t="str">
        <f t="shared" si="105"/>
        <v/>
      </c>
      <c r="MT26" s="40" t="str">
        <f t="shared" si="106"/>
        <v/>
      </c>
      <c r="MU26" s="40" t="str">
        <f t="shared" si="107"/>
        <v/>
      </c>
      <c r="MV26" s="40" t="str">
        <f t="shared" si="108"/>
        <v/>
      </c>
      <c r="MW26" s="40" t="str">
        <f t="shared" si="109"/>
        <v/>
      </c>
      <c r="MX26" s="40" t="str">
        <f t="shared" si="110"/>
        <v/>
      </c>
      <c r="MY26" s="18"/>
      <c r="MZ26" s="18"/>
      <c r="NA26" s="18"/>
      <c r="NB26" s="18"/>
      <c r="NC26" s="18"/>
      <c r="ND26" s="18"/>
      <c r="NE26" s="18"/>
      <c r="NF26" s="18"/>
      <c r="NG26" s="18"/>
      <c r="NH26" s="18"/>
      <c r="NI26" s="18"/>
      <c r="NJ26" s="18"/>
      <c r="NK26" s="18"/>
      <c r="NL26" s="18"/>
      <c r="NM26" s="18"/>
      <c r="NN26" s="18"/>
      <c r="NO26" s="18"/>
      <c r="NP26" s="18"/>
      <c r="NQ26" s="18"/>
      <c r="NR26" s="18"/>
      <c r="NS26" s="11" t="str">
        <f t="shared" si="111"/>
        <v/>
      </c>
      <c r="NT26" s="11" t="str">
        <f t="shared" si="112"/>
        <v/>
      </c>
      <c r="NU26" s="11" t="str">
        <f t="shared" si="113"/>
        <v/>
      </c>
      <c r="NV26" s="11" t="str">
        <f t="shared" si="114"/>
        <v/>
      </c>
      <c r="NW26" s="11" t="str">
        <f t="shared" si="115"/>
        <v/>
      </c>
      <c r="NX26" s="11" t="str">
        <f t="shared" si="116"/>
        <v/>
      </c>
      <c r="NY26" s="11" t="str">
        <f t="shared" si="117"/>
        <v/>
      </c>
      <c r="NZ26" s="11" t="str">
        <f t="shared" si="118"/>
        <v/>
      </c>
      <c r="OA26" s="17"/>
      <c r="OB26" s="17"/>
      <c r="OC26" s="17"/>
      <c r="OD26" s="17"/>
      <c r="OE26" s="17"/>
      <c r="OF26" s="17"/>
      <c r="OG26" s="17"/>
      <c r="OH26" s="17"/>
      <c r="OI26" s="17"/>
      <c r="OJ26" s="17"/>
      <c r="OK26" s="17"/>
      <c r="OL26" s="17"/>
      <c r="OM26" s="17"/>
      <c r="ON26" s="17"/>
      <c r="OO26" s="17"/>
      <c r="OP26" s="17"/>
      <c r="OQ26" s="17"/>
      <c r="OR26" s="17"/>
      <c r="OS26" s="17"/>
      <c r="OT26" s="17"/>
      <c r="OU26" s="40" t="str">
        <f t="shared" si="119"/>
        <v/>
      </c>
      <c r="OV26" s="40" t="str">
        <f t="shared" si="120"/>
        <v/>
      </c>
      <c r="OW26" s="40" t="str">
        <f t="shared" si="121"/>
        <v/>
      </c>
      <c r="OX26" s="40" t="str">
        <f t="shared" si="122"/>
        <v/>
      </c>
      <c r="OY26" s="40" t="str">
        <f t="shared" si="123"/>
        <v/>
      </c>
      <c r="OZ26" s="40" t="str">
        <f t="shared" si="124"/>
        <v/>
      </c>
      <c r="PA26" s="40" t="str">
        <f t="shared" si="125"/>
        <v/>
      </c>
      <c r="PB26" s="40" t="str">
        <f t="shared" si="126"/>
        <v/>
      </c>
      <c r="PC26" s="18"/>
      <c r="PD26" s="18"/>
      <c r="PE26" s="18"/>
      <c r="PF26" s="18"/>
      <c r="PG26" s="18"/>
      <c r="PH26" s="18"/>
      <c r="PI26" s="18"/>
      <c r="PJ26" s="18"/>
      <c r="PK26" s="18"/>
      <c r="PL26" s="18"/>
      <c r="PM26" s="18"/>
      <c r="PN26" s="18"/>
      <c r="PO26" s="18"/>
      <c r="PP26" s="18"/>
      <c r="PQ26" s="18"/>
      <c r="PR26" s="18"/>
      <c r="PS26" s="18"/>
      <c r="PT26" s="18"/>
      <c r="PU26" s="18"/>
      <c r="PV26" s="18"/>
      <c r="PW26" s="11" t="str">
        <f t="shared" si="127"/>
        <v/>
      </c>
      <c r="PX26" s="11" t="str">
        <f t="shared" si="128"/>
        <v/>
      </c>
      <c r="PY26" s="11" t="str">
        <f t="shared" si="129"/>
        <v/>
      </c>
      <c r="PZ26" s="11" t="str">
        <f t="shared" si="130"/>
        <v/>
      </c>
      <c r="QA26" s="11" t="str">
        <f t="shared" si="131"/>
        <v/>
      </c>
      <c r="QB26" s="11" t="str">
        <f t="shared" si="132"/>
        <v/>
      </c>
      <c r="QC26" s="11" t="str">
        <f t="shared" si="133"/>
        <v/>
      </c>
      <c r="QD26" s="11" t="str">
        <f t="shared" si="134"/>
        <v/>
      </c>
      <c r="QE26" s="22">
        <f t="shared" si="135"/>
        <v>9.1999999999999993</v>
      </c>
      <c r="QF26" s="22">
        <f t="shared" si="136"/>
        <v>1.75</v>
      </c>
      <c r="QG26" s="22">
        <f t="shared" si="137"/>
        <v>0</v>
      </c>
      <c r="QH26" s="22">
        <f t="shared" si="138"/>
        <v>0</v>
      </c>
      <c r="QI26" s="22">
        <f t="shared" si="139"/>
        <v>9.0500000000000007</v>
      </c>
      <c r="QJ26" s="22">
        <f t="shared" si="140"/>
        <v>2.15</v>
      </c>
      <c r="QK26" s="22">
        <f t="shared" si="141"/>
        <v>0.1</v>
      </c>
      <c r="QL26" s="22">
        <f t="shared" si="142"/>
        <v>0</v>
      </c>
      <c r="QM26" s="22">
        <f t="shared" si="143"/>
        <v>8.9499999999999993</v>
      </c>
      <c r="QN26" s="22">
        <f t="shared" si="144"/>
        <v>2.6</v>
      </c>
      <c r="QO26" s="22">
        <f t="shared" si="145"/>
        <v>0</v>
      </c>
      <c r="QP26" s="22">
        <f t="shared" si="146"/>
        <v>0</v>
      </c>
      <c r="QQ26" s="22">
        <f t="shared" si="147"/>
        <v>9.0500000000000007</v>
      </c>
      <c r="QR26" s="22">
        <f t="shared" si="148"/>
        <v>1.75</v>
      </c>
      <c r="QS26" s="22">
        <f t="shared" si="149"/>
        <v>0.1</v>
      </c>
      <c r="QT26" s="22">
        <f t="shared" si="150"/>
        <v>0</v>
      </c>
      <c r="QU26" s="22">
        <f t="shared" si="151"/>
        <v>8.5</v>
      </c>
      <c r="QV26" s="22">
        <f t="shared" si="152"/>
        <v>1.2</v>
      </c>
      <c r="QW26" s="22">
        <f t="shared" si="153"/>
        <v>0</v>
      </c>
      <c r="QX26" s="22">
        <f t="shared" si="154"/>
        <v>0</v>
      </c>
      <c r="QY26" s="27" t="s">
        <v>46</v>
      </c>
      <c r="QZ26" s="40">
        <f t="shared" si="155"/>
        <v>3.9</v>
      </c>
      <c r="RA26" s="40">
        <f t="shared" si="156"/>
        <v>22.049999999999997</v>
      </c>
      <c r="RB26" s="40">
        <f t="shared" si="157"/>
        <v>11.549999999999999</v>
      </c>
      <c r="RC26" s="40">
        <f t="shared" si="158"/>
        <v>6.5</v>
      </c>
      <c r="RD26" s="40">
        <f t="shared" si="159"/>
        <v>33.599999999999994</v>
      </c>
      <c r="RE26" s="40">
        <f t="shared" si="160"/>
        <v>2.95</v>
      </c>
      <c r="RF26" s="40">
        <f t="shared" si="161"/>
        <v>20.399999999999999</v>
      </c>
      <c r="RG26" s="40">
        <f t="shared" si="162"/>
        <v>42.449999999999996</v>
      </c>
    </row>
    <row r="27" spans="1:475" x14ac:dyDescent="0.2">
      <c r="A27" s="4" t="str">
        <f t="shared" si="164"/>
        <v/>
      </c>
      <c r="B27" s="5" t="s">
        <v>186</v>
      </c>
      <c r="C27" s="4" t="s">
        <v>5</v>
      </c>
      <c r="D27" s="4">
        <v>2005</v>
      </c>
      <c r="E27" s="9">
        <f t="shared" si="163"/>
        <v>134.30000891000455</v>
      </c>
      <c r="F27" s="3" t="str">
        <f t="shared" si="0"/>
        <v/>
      </c>
      <c r="G27" s="3" t="str">
        <f t="shared" si="1"/>
        <v/>
      </c>
      <c r="H27" s="36" t="str">
        <f t="shared" si="2"/>
        <v/>
      </c>
      <c r="I27" s="3" t="str">
        <f t="shared" si="3"/>
        <v/>
      </c>
      <c r="J27" s="8">
        <f>IF(COUNT(AQ27,BT27,CW27)&gt;0,LARGE((AQ27,BT27,CW27),1),0)</f>
        <v>45.600000000000009</v>
      </c>
      <c r="K27" s="8" t="str">
        <f t="shared" si="4"/>
        <v>2023 Elite Canada</v>
      </c>
      <c r="L27" s="8">
        <f>IF(COUNT(AQ27,BT27,CW27)&gt;1,LARGE((AQ27,BT27,CW27),2),0)</f>
        <v>22</v>
      </c>
      <c r="M27" s="8" t="str">
        <f t="shared" si="5"/>
        <v>2022 Nationals</v>
      </c>
      <c r="N27" s="8">
        <f>IF(COUNT(AR27,BU27,CX27)&gt;0,LARGE((AR27,BU27,CX27),1),0)</f>
        <v>21.499999999999996</v>
      </c>
      <c r="O27" s="8" t="str">
        <f t="shared" si="6"/>
        <v>2023 Elite Canada</v>
      </c>
      <c r="P27" s="8">
        <f t="shared" si="7"/>
        <v>45.2</v>
      </c>
      <c r="Q27" s="8" t="str">
        <f t="shared" si="8"/>
        <v>2023 Elite Canada</v>
      </c>
      <c r="R27" s="8" t="str">
        <f t="shared" si="9"/>
        <v/>
      </c>
      <c r="S27" s="11" t="str">
        <f t="shared" si="10"/>
        <v/>
      </c>
      <c r="T27" s="8" t="str">
        <f t="shared" si="11"/>
        <v/>
      </c>
      <c r="U27" s="19">
        <v>0</v>
      </c>
      <c r="V27" s="19">
        <v>0</v>
      </c>
      <c r="W27" s="19">
        <v>0</v>
      </c>
      <c r="X27" s="19">
        <v>0</v>
      </c>
      <c r="Y27" s="19">
        <v>18.2</v>
      </c>
      <c r="Z27" s="19">
        <v>4.4000000000000004</v>
      </c>
      <c r="AA27" s="19">
        <v>0.6</v>
      </c>
      <c r="AB27" s="19">
        <v>0</v>
      </c>
      <c r="AC27" s="19">
        <v>16.100000000000001</v>
      </c>
      <c r="AD27" s="19">
        <v>0</v>
      </c>
      <c r="AE27" s="19">
        <v>4.3</v>
      </c>
      <c r="AF27" s="19">
        <v>0</v>
      </c>
      <c r="AG27" s="19"/>
      <c r="AH27" s="19"/>
      <c r="AI27" s="19"/>
      <c r="AJ27" s="19"/>
      <c r="AK27" s="19"/>
      <c r="AL27" s="19"/>
      <c r="AM27" s="19"/>
      <c r="AN27" s="19"/>
      <c r="AO27" s="27"/>
      <c r="AP27" s="40">
        <f t="shared" si="12"/>
        <v>4.4000000000000004</v>
      </c>
      <c r="AQ27" s="40">
        <f t="shared" si="13"/>
        <v>22</v>
      </c>
      <c r="AR27" s="40">
        <f t="shared" si="14"/>
        <v>11.8</v>
      </c>
      <c r="AS27" s="40">
        <f t="shared" si="15"/>
        <v>4.4000000000000004</v>
      </c>
      <c r="AT27" s="40">
        <f t="shared" si="16"/>
        <v>33.799999999999997</v>
      </c>
      <c r="AU27" s="40" t="str">
        <f t="shared" si="17"/>
        <v/>
      </c>
      <c r="AV27" s="40" t="str">
        <f t="shared" si="18"/>
        <v/>
      </c>
      <c r="AW27" s="40">
        <f t="shared" si="19"/>
        <v>22</v>
      </c>
      <c r="AX27" s="18"/>
      <c r="AY27" s="18"/>
      <c r="AZ27" s="18"/>
      <c r="BA27" s="18"/>
      <c r="BB27" s="18"/>
      <c r="BC27" s="18"/>
      <c r="BD27" s="18"/>
      <c r="BE27" s="18"/>
      <c r="BF27" s="18"/>
      <c r="BG27" s="18"/>
      <c r="BH27" s="18"/>
      <c r="BI27" s="18"/>
      <c r="BJ27" s="18"/>
      <c r="BK27" s="18"/>
      <c r="BL27" s="18"/>
      <c r="BM27" s="18"/>
      <c r="BN27" s="18"/>
      <c r="BO27" s="18"/>
      <c r="BP27" s="18"/>
      <c r="BQ27" s="18"/>
      <c r="BR27" s="28"/>
      <c r="BS27" s="11" t="str">
        <f t="shared" si="20"/>
        <v/>
      </c>
      <c r="BT27" s="11" t="str">
        <f t="shared" si="21"/>
        <v/>
      </c>
      <c r="BU27" s="11" t="str">
        <f t="shared" si="22"/>
        <v/>
      </c>
      <c r="BV27" s="11" t="str">
        <f t="shared" si="23"/>
        <v/>
      </c>
      <c r="BW27" s="11" t="str">
        <f t="shared" si="24"/>
        <v/>
      </c>
      <c r="BX27" s="11" t="str">
        <f t="shared" si="25"/>
        <v/>
      </c>
      <c r="BY27" s="11" t="str">
        <f t="shared" si="26"/>
        <v/>
      </c>
      <c r="BZ27" s="11" t="str">
        <f t="shared" si="27"/>
        <v/>
      </c>
      <c r="CA27" s="19">
        <v>18</v>
      </c>
      <c r="CB27" s="19">
        <v>5.2</v>
      </c>
      <c r="CC27" s="19">
        <v>0.8</v>
      </c>
      <c r="CD27" s="19">
        <v>0</v>
      </c>
      <c r="CE27" s="19">
        <v>18</v>
      </c>
      <c r="CF27" s="19">
        <v>5.2</v>
      </c>
      <c r="CG27" s="19">
        <v>0</v>
      </c>
      <c r="CH27" s="19">
        <v>0</v>
      </c>
      <c r="CI27" s="19">
        <v>18.2</v>
      </c>
      <c r="CJ27" s="19">
        <v>3.9</v>
      </c>
      <c r="CK27" s="19">
        <v>0.6</v>
      </c>
      <c r="CL27" s="19">
        <v>0</v>
      </c>
      <c r="CM27" s="19">
        <v>18</v>
      </c>
      <c r="CN27" s="19">
        <v>5.2</v>
      </c>
      <c r="CO27" s="19">
        <v>0.6</v>
      </c>
      <c r="CP27" s="19">
        <v>0</v>
      </c>
      <c r="CQ27" s="19">
        <v>18.2</v>
      </c>
      <c r="CR27" s="19">
        <v>5.2</v>
      </c>
      <c r="CS27" s="19">
        <v>0.8</v>
      </c>
      <c r="CT27" s="19">
        <v>0</v>
      </c>
      <c r="CU27" s="27"/>
      <c r="CV27" s="40">
        <f t="shared" si="28"/>
        <v>10.4</v>
      </c>
      <c r="CW27" s="40">
        <f t="shared" si="29"/>
        <v>45.600000000000009</v>
      </c>
      <c r="CX27" s="40">
        <f t="shared" si="30"/>
        <v>21.499999999999996</v>
      </c>
      <c r="CY27" s="40">
        <f t="shared" si="31"/>
        <v>14.3</v>
      </c>
      <c r="CZ27" s="40">
        <f t="shared" si="32"/>
        <v>67.100000000000009</v>
      </c>
      <c r="DA27" s="40">
        <f t="shared" si="33"/>
        <v>10.4</v>
      </c>
      <c r="DB27" s="40">
        <f t="shared" si="34"/>
        <v>45.2</v>
      </c>
      <c r="DC27" s="40">
        <f t="shared" si="35"/>
        <v>90.800000000000011</v>
      </c>
      <c r="DD27" s="50" t="str">
        <f t="shared" si="36"/>
        <v/>
      </c>
      <c r="DE27" s="50" t="str">
        <f t="shared" si="37"/>
        <v/>
      </c>
      <c r="DF27" s="50" t="str">
        <f t="shared" si="38"/>
        <v/>
      </c>
      <c r="DG27" s="17"/>
      <c r="DH27" s="17"/>
      <c r="DI27" s="17"/>
      <c r="DJ27" s="17"/>
      <c r="DK27" s="17"/>
      <c r="DL27" s="17"/>
      <c r="DM27" s="17"/>
      <c r="DN27" s="17"/>
      <c r="DO27" s="17"/>
      <c r="DP27" s="17"/>
      <c r="DQ27" s="17"/>
      <c r="DR27" s="17"/>
      <c r="DS27" s="17"/>
      <c r="DT27" s="17"/>
      <c r="DU27" s="17"/>
      <c r="DV27" s="17"/>
      <c r="DW27" s="17"/>
      <c r="DX27" s="17"/>
      <c r="DY27" s="17"/>
      <c r="DZ27" s="17"/>
      <c r="EA27" s="40" t="str">
        <f t="shared" si="39"/>
        <v/>
      </c>
      <c r="EB27" s="40" t="str">
        <f t="shared" si="40"/>
        <v/>
      </c>
      <c r="EC27" s="40" t="str">
        <f t="shared" si="41"/>
        <v/>
      </c>
      <c r="ED27" s="40" t="str">
        <f t="shared" si="42"/>
        <v/>
      </c>
      <c r="EE27" s="40" t="str">
        <f t="shared" si="43"/>
        <v/>
      </c>
      <c r="EF27" s="40" t="str">
        <f t="shared" si="44"/>
        <v/>
      </c>
      <c r="EG27" s="40" t="str">
        <f t="shared" si="45"/>
        <v/>
      </c>
      <c r="EH27" s="40" t="str">
        <f t="shared" si="46"/>
        <v/>
      </c>
      <c r="EI27" s="18"/>
      <c r="EJ27" s="18"/>
      <c r="EK27" s="18"/>
      <c r="EL27" s="18"/>
      <c r="EM27" s="18"/>
      <c r="EN27" s="18"/>
      <c r="EO27" s="18"/>
      <c r="EP27" s="18"/>
      <c r="EQ27" s="18"/>
      <c r="ER27" s="18"/>
      <c r="ES27" s="18"/>
      <c r="ET27" s="18"/>
      <c r="EU27" s="18"/>
      <c r="EV27" s="18"/>
      <c r="EW27" s="18"/>
      <c r="EX27" s="18"/>
      <c r="EY27" s="18"/>
      <c r="EZ27" s="18"/>
      <c r="FA27" s="18"/>
      <c r="FB27" s="18"/>
      <c r="FC27" s="11" t="str">
        <f t="shared" si="47"/>
        <v/>
      </c>
      <c r="FD27" s="11" t="str">
        <f t="shared" si="48"/>
        <v/>
      </c>
      <c r="FE27" s="11" t="str">
        <f t="shared" si="49"/>
        <v/>
      </c>
      <c r="FF27" s="11" t="str">
        <f t="shared" si="50"/>
        <v/>
      </c>
      <c r="FG27" s="11" t="str">
        <f t="shared" si="51"/>
        <v/>
      </c>
      <c r="FH27" s="11" t="str">
        <f t="shared" si="52"/>
        <v/>
      </c>
      <c r="FI27" s="11" t="str">
        <f t="shared" si="53"/>
        <v/>
      </c>
      <c r="FJ27" s="11" t="str">
        <f t="shared" si="54"/>
        <v/>
      </c>
      <c r="FK27" s="17"/>
      <c r="FL27" s="17"/>
      <c r="FM27" s="17"/>
      <c r="FN27" s="17"/>
      <c r="FO27" s="17"/>
      <c r="FP27" s="17"/>
      <c r="FQ27" s="17"/>
      <c r="FR27" s="17"/>
      <c r="FS27" s="17"/>
      <c r="FT27" s="17"/>
      <c r="FU27" s="17"/>
      <c r="FV27" s="17"/>
      <c r="FW27" s="17"/>
      <c r="FX27" s="17"/>
      <c r="FY27" s="17"/>
      <c r="FZ27" s="17"/>
      <c r="GA27" s="17"/>
      <c r="GB27" s="17"/>
      <c r="GC27" s="17"/>
      <c r="GD27" s="17"/>
      <c r="GE27" s="40" t="str">
        <f t="shared" si="55"/>
        <v/>
      </c>
      <c r="GF27" s="40" t="str">
        <f t="shared" si="56"/>
        <v/>
      </c>
      <c r="GG27" s="40" t="str">
        <f t="shared" si="57"/>
        <v/>
      </c>
      <c r="GH27" s="40" t="str">
        <f t="shared" si="58"/>
        <v/>
      </c>
      <c r="GI27" s="40" t="str">
        <f t="shared" si="59"/>
        <v/>
      </c>
      <c r="GJ27" s="40" t="str">
        <f t="shared" si="60"/>
        <v/>
      </c>
      <c r="GK27" s="40" t="str">
        <f t="shared" si="61"/>
        <v/>
      </c>
      <c r="GL27" s="40" t="str">
        <f t="shared" si="62"/>
        <v/>
      </c>
      <c r="GM27" s="18"/>
      <c r="GN27" s="18"/>
      <c r="GO27" s="18"/>
      <c r="GP27" s="18"/>
      <c r="GQ27" s="18"/>
      <c r="GR27" s="18"/>
      <c r="GS27" s="18"/>
      <c r="GT27" s="18"/>
      <c r="GU27" s="18"/>
      <c r="GV27" s="18"/>
      <c r="GW27" s="18"/>
      <c r="GX27" s="18"/>
      <c r="GY27" s="18"/>
      <c r="GZ27" s="18"/>
      <c r="HA27" s="18"/>
      <c r="HB27" s="18"/>
      <c r="HC27" s="18"/>
      <c r="HD27" s="18"/>
      <c r="HE27" s="18"/>
      <c r="HF27" s="18"/>
      <c r="HG27" s="11" t="str">
        <f t="shared" si="63"/>
        <v/>
      </c>
      <c r="HH27" s="11" t="str">
        <f t="shared" si="64"/>
        <v/>
      </c>
      <c r="HI27" s="11" t="str">
        <f t="shared" si="65"/>
        <v/>
      </c>
      <c r="HJ27" s="11" t="str">
        <f t="shared" si="66"/>
        <v/>
      </c>
      <c r="HK27" s="11" t="str">
        <f t="shared" si="67"/>
        <v/>
      </c>
      <c r="HL27" s="11" t="str">
        <f t="shared" si="68"/>
        <v/>
      </c>
      <c r="HM27" s="11" t="str">
        <f t="shared" si="69"/>
        <v/>
      </c>
      <c r="HN27" s="11" t="str">
        <f t="shared" si="70"/>
        <v/>
      </c>
      <c r="HO27" s="17"/>
      <c r="HP27" s="17"/>
      <c r="HQ27" s="17"/>
      <c r="HR27" s="17"/>
      <c r="HS27" s="17"/>
      <c r="HT27" s="17"/>
      <c r="HU27" s="17"/>
      <c r="HV27" s="17"/>
      <c r="HW27" s="17"/>
      <c r="HX27" s="17"/>
      <c r="HY27" s="17"/>
      <c r="HZ27" s="17"/>
      <c r="IA27" s="17"/>
      <c r="IB27" s="17"/>
      <c r="IC27" s="17"/>
      <c r="ID27" s="17"/>
      <c r="IE27" s="17"/>
      <c r="IF27" s="17"/>
      <c r="IG27" s="17"/>
      <c r="IH27" s="17"/>
      <c r="II27" s="40" t="str">
        <f t="shared" si="71"/>
        <v/>
      </c>
      <c r="IJ27" s="40" t="str">
        <f t="shared" si="72"/>
        <v/>
      </c>
      <c r="IK27" s="40" t="str">
        <f t="shared" si="73"/>
        <v/>
      </c>
      <c r="IL27" s="40" t="str">
        <f t="shared" si="74"/>
        <v/>
      </c>
      <c r="IM27" s="40" t="str">
        <f t="shared" si="75"/>
        <v/>
      </c>
      <c r="IN27" s="40" t="str">
        <f t="shared" si="76"/>
        <v/>
      </c>
      <c r="IO27" s="40" t="str">
        <f t="shared" si="77"/>
        <v/>
      </c>
      <c r="IP27" s="40" t="str">
        <f t="shared" si="78"/>
        <v/>
      </c>
      <c r="IQ27" s="18"/>
      <c r="IR27" s="18"/>
      <c r="IS27" s="18"/>
      <c r="IT27" s="18"/>
      <c r="IU27" s="18"/>
      <c r="IV27" s="18"/>
      <c r="IW27" s="18"/>
      <c r="IX27" s="18"/>
      <c r="IY27" s="18"/>
      <c r="IZ27" s="18"/>
      <c r="JA27" s="18"/>
      <c r="JB27" s="18"/>
      <c r="JC27" s="18"/>
      <c r="JD27" s="18"/>
      <c r="JE27" s="18"/>
      <c r="JF27" s="18"/>
      <c r="JG27" s="18"/>
      <c r="JH27" s="18"/>
      <c r="JI27" s="18"/>
      <c r="JJ27" s="18"/>
      <c r="JK27" s="11" t="str">
        <f t="shared" si="79"/>
        <v/>
      </c>
      <c r="JL27" s="11" t="str">
        <f t="shared" si="80"/>
        <v/>
      </c>
      <c r="JM27" s="11" t="str">
        <f t="shared" si="81"/>
        <v/>
      </c>
      <c r="JN27" s="11" t="str">
        <f t="shared" si="82"/>
        <v/>
      </c>
      <c r="JO27" s="11" t="str">
        <f t="shared" si="83"/>
        <v/>
      </c>
      <c r="JP27" s="11" t="str">
        <f t="shared" si="84"/>
        <v/>
      </c>
      <c r="JQ27" s="11" t="str">
        <f t="shared" si="85"/>
        <v/>
      </c>
      <c r="JR27" s="11" t="str">
        <f t="shared" si="86"/>
        <v/>
      </c>
      <c r="JS27" s="17"/>
      <c r="JT27" s="17"/>
      <c r="JU27" s="17"/>
      <c r="JV27" s="17"/>
      <c r="JW27" s="17"/>
      <c r="JX27" s="17"/>
      <c r="JY27" s="17"/>
      <c r="JZ27" s="17"/>
      <c r="KA27" s="17"/>
      <c r="KB27" s="17"/>
      <c r="KC27" s="17"/>
      <c r="KD27" s="17"/>
      <c r="KE27" s="17"/>
      <c r="KF27" s="17"/>
      <c r="KG27" s="17"/>
      <c r="KH27" s="17"/>
      <c r="KI27" s="17"/>
      <c r="KJ27" s="17"/>
      <c r="KK27" s="17"/>
      <c r="KL27" s="17"/>
      <c r="KM27" s="40" t="str">
        <f t="shared" si="87"/>
        <v/>
      </c>
      <c r="KN27" s="40" t="str">
        <f t="shared" si="88"/>
        <v/>
      </c>
      <c r="KO27" s="40" t="str">
        <f t="shared" si="89"/>
        <v/>
      </c>
      <c r="KP27" s="40" t="str">
        <f t="shared" si="90"/>
        <v/>
      </c>
      <c r="KQ27" s="40" t="str">
        <f t="shared" si="91"/>
        <v/>
      </c>
      <c r="KR27" s="40" t="str">
        <f t="shared" si="92"/>
        <v/>
      </c>
      <c r="KS27" s="40" t="str">
        <f t="shared" si="93"/>
        <v/>
      </c>
      <c r="KT27" s="40" t="str">
        <f t="shared" si="94"/>
        <v/>
      </c>
      <c r="KU27" s="18"/>
      <c r="KV27" s="18"/>
      <c r="KW27" s="18"/>
      <c r="KX27" s="18"/>
      <c r="KY27" s="18"/>
      <c r="KZ27" s="18"/>
      <c r="LA27" s="18"/>
      <c r="LB27" s="18"/>
      <c r="LC27" s="18"/>
      <c r="LD27" s="18"/>
      <c r="LE27" s="18"/>
      <c r="LF27" s="18"/>
      <c r="LG27" s="18"/>
      <c r="LH27" s="18"/>
      <c r="LI27" s="18"/>
      <c r="LJ27" s="18"/>
      <c r="LK27" s="18"/>
      <c r="LL27" s="18"/>
      <c r="LM27" s="18"/>
      <c r="LN27" s="18"/>
      <c r="LO27" s="11" t="str">
        <f t="shared" si="95"/>
        <v/>
      </c>
      <c r="LP27" s="11" t="str">
        <f t="shared" si="96"/>
        <v/>
      </c>
      <c r="LQ27" s="11" t="str">
        <f t="shared" si="97"/>
        <v/>
      </c>
      <c r="LR27" s="11" t="str">
        <f t="shared" si="98"/>
        <v/>
      </c>
      <c r="LS27" s="11" t="str">
        <f t="shared" si="99"/>
        <v/>
      </c>
      <c r="LT27" s="11" t="str">
        <f t="shared" si="100"/>
        <v/>
      </c>
      <c r="LU27" s="11" t="str">
        <f t="shared" si="101"/>
        <v/>
      </c>
      <c r="LV27" s="11" t="str">
        <f t="shared" si="102"/>
        <v/>
      </c>
      <c r="LW27" s="17"/>
      <c r="LX27" s="17"/>
      <c r="LY27" s="17"/>
      <c r="LZ27" s="17"/>
      <c r="MA27" s="17"/>
      <c r="MB27" s="17"/>
      <c r="MC27" s="17"/>
      <c r="MD27" s="17"/>
      <c r="ME27" s="17"/>
      <c r="MF27" s="17"/>
      <c r="MG27" s="17"/>
      <c r="MH27" s="17"/>
      <c r="MI27" s="17"/>
      <c r="MJ27" s="17"/>
      <c r="MK27" s="17"/>
      <c r="ML27" s="17"/>
      <c r="MM27" s="17"/>
      <c r="MN27" s="17"/>
      <c r="MO27" s="17"/>
      <c r="MP27" s="17"/>
      <c r="MQ27" s="40" t="str">
        <f t="shared" si="103"/>
        <v/>
      </c>
      <c r="MR27" s="40" t="str">
        <f t="shared" si="104"/>
        <v/>
      </c>
      <c r="MS27" s="40" t="str">
        <f t="shared" si="105"/>
        <v/>
      </c>
      <c r="MT27" s="40" t="str">
        <f t="shared" si="106"/>
        <v/>
      </c>
      <c r="MU27" s="40" t="str">
        <f t="shared" si="107"/>
        <v/>
      </c>
      <c r="MV27" s="40" t="str">
        <f t="shared" si="108"/>
        <v/>
      </c>
      <c r="MW27" s="40" t="str">
        <f t="shared" si="109"/>
        <v/>
      </c>
      <c r="MX27" s="40" t="str">
        <f t="shared" si="110"/>
        <v/>
      </c>
      <c r="MY27" s="18"/>
      <c r="MZ27" s="18"/>
      <c r="NA27" s="18"/>
      <c r="NB27" s="18"/>
      <c r="NC27" s="18"/>
      <c r="ND27" s="18"/>
      <c r="NE27" s="18"/>
      <c r="NF27" s="18"/>
      <c r="NG27" s="18"/>
      <c r="NH27" s="18"/>
      <c r="NI27" s="18"/>
      <c r="NJ27" s="18"/>
      <c r="NK27" s="18"/>
      <c r="NL27" s="18"/>
      <c r="NM27" s="18"/>
      <c r="NN27" s="18"/>
      <c r="NO27" s="18"/>
      <c r="NP27" s="18"/>
      <c r="NQ27" s="18"/>
      <c r="NR27" s="18"/>
      <c r="NS27" s="11" t="str">
        <f t="shared" si="111"/>
        <v/>
      </c>
      <c r="NT27" s="11" t="str">
        <f t="shared" si="112"/>
        <v/>
      </c>
      <c r="NU27" s="11" t="str">
        <f t="shared" si="113"/>
        <v/>
      </c>
      <c r="NV27" s="11" t="str">
        <f t="shared" si="114"/>
        <v/>
      </c>
      <c r="NW27" s="11" t="str">
        <f t="shared" si="115"/>
        <v/>
      </c>
      <c r="NX27" s="11" t="str">
        <f t="shared" si="116"/>
        <v/>
      </c>
      <c r="NY27" s="11" t="str">
        <f t="shared" si="117"/>
        <v/>
      </c>
      <c r="NZ27" s="11" t="str">
        <f t="shared" si="118"/>
        <v/>
      </c>
      <c r="OA27" s="17"/>
      <c r="OB27" s="17"/>
      <c r="OC27" s="17"/>
      <c r="OD27" s="17"/>
      <c r="OE27" s="17"/>
      <c r="OF27" s="17"/>
      <c r="OG27" s="17"/>
      <c r="OH27" s="17"/>
      <c r="OI27" s="17"/>
      <c r="OJ27" s="17"/>
      <c r="OK27" s="17"/>
      <c r="OL27" s="17"/>
      <c r="OM27" s="17"/>
      <c r="ON27" s="17"/>
      <c r="OO27" s="17"/>
      <c r="OP27" s="17"/>
      <c r="OQ27" s="17"/>
      <c r="OR27" s="17"/>
      <c r="OS27" s="17"/>
      <c r="OT27" s="17"/>
      <c r="OU27" s="40" t="str">
        <f t="shared" si="119"/>
        <v/>
      </c>
      <c r="OV27" s="40" t="str">
        <f t="shared" si="120"/>
        <v/>
      </c>
      <c r="OW27" s="40" t="str">
        <f t="shared" si="121"/>
        <v/>
      </c>
      <c r="OX27" s="40" t="str">
        <f t="shared" si="122"/>
        <v/>
      </c>
      <c r="OY27" s="40" t="str">
        <f t="shared" si="123"/>
        <v/>
      </c>
      <c r="OZ27" s="40" t="str">
        <f t="shared" si="124"/>
        <v/>
      </c>
      <c r="PA27" s="40" t="str">
        <f t="shared" si="125"/>
        <v/>
      </c>
      <c r="PB27" s="40" t="str">
        <f t="shared" si="126"/>
        <v/>
      </c>
      <c r="PC27" s="18"/>
      <c r="PD27" s="18"/>
      <c r="PE27" s="18"/>
      <c r="PF27" s="18"/>
      <c r="PG27" s="18"/>
      <c r="PH27" s="18"/>
      <c r="PI27" s="18"/>
      <c r="PJ27" s="18"/>
      <c r="PK27" s="18"/>
      <c r="PL27" s="18"/>
      <c r="PM27" s="18"/>
      <c r="PN27" s="18"/>
      <c r="PO27" s="18"/>
      <c r="PP27" s="18"/>
      <c r="PQ27" s="18"/>
      <c r="PR27" s="18"/>
      <c r="PS27" s="18"/>
      <c r="PT27" s="18"/>
      <c r="PU27" s="18"/>
      <c r="PV27" s="18"/>
      <c r="PW27" s="11" t="str">
        <f t="shared" si="127"/>
        <v/>
      </c>
      <c r="PX27" s="11" t="str">
        <f t="shared" si="128"/>
        <v/>
      </c>
      <c r="PY27" s="11" t="str">
        <f t="shared" si="129"/>
        <v/>
      </c>
      <c r="PZ27" s="11" t="str">
        <f t="shared" si="130"/>
        <v/>
      </c>
      <c r="QA27" s="11" t="str">
        <f t="shared" si="131"/>
        <v/>
      </c>
      <c r="QB27" s="11" t="str">
        <f t="shared" si="132"/>
        <v/>
      </c>
      <c r="QC27" s="11" t="str">
        <f t="shared" si="133"/>
        <v/>
      </c>
      <c r="QD27" s="11" t="str">
        <f t="shared" si="134"/>
        <v/>
      </c>
      <c r="QE27" s="22">
        <f t="shared" si="135"/>
        <v>9</v>
      </c>
      <c r="QF27" s="22">
        <f t="shared" si="136"/>
        <v>2.6</v>
      </c>
      <c r="QG27" s="22">
        <f t="shared" si="137"/>
        <v>0.4</v>
      </c>
      <c r="QH27" s="22">
        <f t="shared" si="138"/>
        <v>0</v>
      </c>
      <c r="QI27" s="22">
        <f t="shared" si="139"/>
        <v>9</v>
      </c>
      <c r="QJ27" s="22">
        <f t="shared" si="140"/>
        <v>2.6</v>
      </c>
      <c r="QK27" s="22">
        <f t="shared" si="141"/>
        <v>0</v>
      </c>
      <c r="QL27" s="22">
        <f t="shared" si="142"/>
        <v>0</v>
      </c>
      <c r="QM27" s="22">
        <f t="shared" si="143"/>
        <v>9.1</v>
      </c>
      <c r="QN27" s="22">
        <f t="shared" si="144"/>
        <v>1.95</v>
      </c>
      <c r="QO27" s="22">
        <f t="shared" si="145"/>
        <v>0.3</v>
      </c>
      <c r="QP27" s="22">
        <f t="shared" si="146"/>
        <v>0</v>
      </c>
      <c r="QQ27" s="22">
        <f t="shared" si="147"/>
        <v>9</v>
      </c>
      <c r="QR27" s="22">
        <f t="shared" si="148"/>
        <v>2.6</v>
      </c>
      <c r="QS27" s="22">
        <f t="shared" si="149"/>
        <v>0.3</v>
      </c>
      <c r="QT27" s="22">
        <f t="shared" si="150"/>
        <v>0</v>
      </c>
      <c r="QU27" s="22">
        <f t="shared" si="151"/>
        <v>9.1</v>
      </c>
      <c r="QV27" s="22">
        <f t="shared" si="152"/>
        <v>2.6</v>
      </c>
      <c r="QW27" s="22">
        <f t="shared" si="153"/>
        <v>0.4</v>
      </c>
      <c r="QX27" s="22">
        <f t="shared" si="154"/>
        <v>0</v>
      </c>
      <c r="QY27" s="27" t="s">
        <v>46</v>
      </c>
      <c r="QZ27" s="40">
        <f t="shared" si="155"/>
        <v>5.2</v>
      </c>
      <c r="RA27" s="40">
        <f t="shared" si="156"/>
        <v>22.800000000000004</v>
      </c>
      <c r="RB27" s="40">
        <f t="shared" si="157"/>
        <v>10.749999999999998</v>
      </c>
      <c r="RC27" s="40">
        <f t="shared" si="158"/>
        <v>7.15</v>
      </c>
      <c r="RD27" s="40">
        <f t="shared" si="159"/>
        <v>33.550000000000004</v>
      </c>
      <c r="RE27" s="40">
        <f t="shared" si="160"/>
        <v>5.2</v>
      </c>
      <c r="RF27" s="40">
        <f t="shared" si="161"/>
        <v>22.6</v>
      </c>
      <c r="RG27" s="40">
        <f t="shared" si="162"/>
        <v>45.400000000000006</v>
      </c>
    </row>
    <row r="28" spans="1:475" x14ac:dyDescent="0.2">
      <c r="A28" s="4" t="str">
        <f t="shared" si="164"/>
        <v/>
      </c>
      <c r="B28" s="5" t="s">
        <v>171</v>
      </c>
      <c r="C28" s="4" t="s">
        <v>4</v>
      </c>
      <c r="D28" s="4">
        <v>2004</v>
      </c>
      <c r="E28" s="9">
        <f t="shared" si="163"/>
        <v>122.30000738000493</v>
      </c>
      <c r="F28" s="3" t="str">
        <f t="shared" si="0"/>
        <v/>
      </c>
      <c r="G28" s="3" t="str">
        <f t="shared" si="1"/>
        <v/>
      </c>
      <c r="H28" s="36" t="str">
        <f t="shared" si="2"/>
        <v/>
      </c>
      <c r="I28" s="3" t="str">
        <f t="shared" si="3"/>
        <v/>
      </c>
      <c r="J28" s="8">
        <f>IF(COUNT(AQ28,BT28,CW28)&gt;0,LARGE((AQ28,BT28,CW28),1),0)</f>
        <v>49.2</v>
      </c>
      <c r="K28" s="8" t="str">
        <f t="shared" si="4"/>
        <v>2022 Nationals</v>
      </c>
      <c r="L28" s="8">
        <f>IF(COUNT(AQ28,BT28,CW28)&gt;1,LARGE((AQ28,BT28,CW28),2),0)</f>
        <v>0</v>
      </c>
      <c r="M28" s="8" t="str">
        <f t="shared" si="5"/>
        <v/>
      </c>
      <c r="N28" s="8">
        <f>IF(COUNT(AR28,BU28,CX28)&gt;0,LARGE((AR28,BU28,CX28),1),0)</f>
        <v>24.6</v>
      </c>
      <c r="O28" s="8" t="str">
        <f t="shared" si="6"/>
        <v>2022 Nationals</v>
      </c>
      <c r="P28" s="8">
        <f t="shared" si="7"/>
        <v>48.5</v>
      </c>
      <c r="Q28" s="8" t="str">
        <f t="shared" si="8"/>
        <v>2022 Nationals</v>
      </c>
      <c r="R28" s="8" t="str">
        <f t="shared" si="9"/>
        <v/>
      </c>
      <c r="S28" s="11" t="str">
        <f t="shared" si="10"/>
        <v/>
      </c>
      <c r="T28" s="8" t="str">
        <f t="shared" si="11"/>
        <v/>
      </c>
      <c r="U28" s="19">
        <v>19</v>
      </c>
      <c r="V28" s="19">
        <v>6.4</v>
      </c>
      <c r="W28" s="19">
        <v>0</v>
      </c>
      <c r="X28" s="19">
        <v>0</v>
      </c>
      <c r="Y28" s="19">
        <v>18.600000000000001</v>
      </c>
      <c r="Z28" s="19">
        <v>6</v>
      </c>
      <c r="AA28" s="19">
        <v>0.8</v>
      </c>
      <c r="AB28" s="19">
        <v>0</v>
      </c>
      <c r="AC28" s="19">
        <v>19</v>
      </c>
      <c r="AD28" s="19">
        <v>5.6</v>
      </c>
      <c r="AE28" s="19">
        <v>0</v>
      </c>
      <c r="AF28" s="19">
        <v>0</v>
      </c>
      <c r="AG28" s="19">
        <v>18.600000000000001</v>
      </c>
      <c r="AH28" s="19">
        <v>6.4</v>
      </c>
      <c r="AI28" s="19">
        <v>0.2</v>
      </c>
      <c r="AJ28" s="19">
        <v>0</v>
      </c>
      <c r="AK28" s="19">
        <v>18.3</v>
      </c>
      <c r="AL28" s="19">
        <v>6</v>
      </c>
      <c r="AM28" s="19">
        <v>0.6</v>
      </c>
      <c r="AN28" s="19">
        <v>0</v>
      </c>
      <c r="AO28" s="27"/>
      <c r="AP28" s="40">
        <f t="shared" si="12"/>
        <v>12.4</v>
      </c>
      <c r="AQ28" s="40">
        <f t="shared" si="13"/>
        <v>49.2</v>
      </c>
      <c r="AR28" s="40">
        <f t="shared" si="14"/>
        <v>24.6</v>
      </c>
      <c r="AS28" s="40">
        <f t="shared" si="15"/>
        <v>18</v>
      </c>
      <c r="AT28" s="40">
        <f t="shared" si="16"/>
        <v>73.800000000000011</v>
      </c>
      <c r="AU28" s="40">
        <f t="shared" si="17"/>
        <v>12.4</v>
      </c>
      <c r="AV28" s="40">
        <f t="shared" si="18"/>
        <v>48.5</v>
      </c>
      <c r="AW28" s="40">
        <f t="shared" si="19"/>
        <v>97.7</v>
      </c>
      <c r="AX28" s="18"/>
      <c r="AY28" s="18"/>
      <c r="AZ28" s="18"/>
      <c r="BA28" s="18"/>
      <c r="BB28" s="18"/>
      <c r="BC28" s="18"/>
      <c r="BD28" s="18"/>
      <c r="BE28" s="18"/>
      <c r="BF28" s="18"/>
      <c r="BG28" s="18"/>
      <c r="BH28" s="18"/>
      <c r="BI28" s="18"/>
      <c r="BJ28" s="18"/>
      <c r="BK28" s="18"/>
      <c r="BL28" s="18"/>
      <c r="BM28" s="18"/>
      <c r="BN28" s="18"/>
      <c r="BO28" s="18"/>
      <c r="BP28" s="18"/>
      <c r="BQ28" s="18"/>
      <c r="BR28" s="28"/>
      <c r="BS28" s="11" t="str">
        <f t="shared" si="20"/>
        <v/>
      </c>
      <c r="BT28" s="11" t="str">
        <f t="shared" si="21"/>
        <v/>
      </c>
      <c r="BU28" s="11" t="str">
        <f t="shared" si="22"/>
        <v/>
      </c>
      <c r="BV28" s="11" t="str">
        <f t="shared" si="23"/>
        <v/>
      </c>
      <c r="BW28" s="11" t="str">
        <f t="shared" si="24"/>
        <v/>
      </c>
      <c r="BX28" s="11" t="str">
        <f t="shared" si="25"/>
        <v/>
      </c>
      <c r="BY28" s="11" t="str">
        <f t="shared" si="26"/>
        <v/>
      </c>
      <c r="BZ28" s="11" t="str">
        <f t="shared" si="27"/>
        <v/>
      </c>
      <c r="CA28" s="19"/>
      <c r="CB28" s="19"/>
      <c r="CC28" s="19"/>
      <c r="CD28" s="19"/>
      <c r="CE28" s="19"/>
      <c r="CF28" s="19"/>
      <c r="CG28" s="19"/>
      <c r="CH28" s="19"/>
      <c r="CI28" s="19"/>
      <c r="CJ28" s="19"/>
      <c r="CK28" s="19"/>
      <c r="CL28" s="19"/>
      <c r="CM28" s="19"/>
      <c r="CN28" s="19"/>
      <c r="CO28" s="19"/>
      <c r="CP28" s="19"/>
      <c r="CQ28" s="19"/>
      <c r="CR28" s="19"/>
      <c r="CS28" s="19"/>
      <c r="CT28" s="19"/>
      <c r="CU28" s="27"/>
      <c r="CV28" s="40" t="str">
        <f t="shared" si="28"/>
        <v/>
      </c>
      <c r="CW28" s="40" t="str">
        <f t="shared" si="29"/>
        <v/>
      </c>
      <c r="CX28" s="40" t="str">
        <f t="shared" si="30"/>
        <v/>
      </c>
      <c r="CY28" s="40" t="str">
        <f t="shared" si="31"/>
        <v/>
      </c>
      <c r="CZ28" s="40" t="str">
        <f t="shared" si="32"/>
        <v/>
      </c>
      <c r="DA28" s="40" t="str">
        <f t="shared" si="33"/>
        <v/>
      </c>
      <c r="DB28" s="40" t="str">
        <f t="shared" si="34"/>
        <v/>
      </c>
      <c r="DC28" s="40" t="str">
        <f t="shared" si="35"/>
        <v/>
      </c>
      <c r="DD28" s="50" t="str">
        <f t="shared" si="36"/>
        <v/>
      </c>
      <c r="DE28" s="50" t="str">
        <f t="shared" si="37"/>
        <v/>
      </c>
      <c r="DF28" s="50" t="str">
        <f t="shared" si="38"/>
        <v/>
      </c>
      <c r="DG28" s="17"/>
      <c r="DH28" s="17"/>
      <c r="DI28" s="17"/>
      <c r="DJ28" s="17"/>
      <c r="DK28" s="17"/>
      <c r="DL28" s="17"/>
      <c r="DM28" s="17"/>
      <c r="DN28" s="17"/>
      <c r="DO28" s="17"/>
      <c r="DP28" s="17"/>
      <c r="DQ28" s="17"/>
      <c r="DR28" s="17"/>
      <c r="DS28" s="17"/>
      <c r="DT28" s="17"/>
      <c r="DU28" s="17"/>
      <c r="DV28" s="17"/>
      <c r="DW28" s="17"/>
      <c r="DX28" s="17"/>
      <c r="DY28" s="17"/>
      <c r="DZ28" s="17"/>
      <c r="EA28" s="40" t="str">
        <f t="shared" si="39"/>
        <v/>
      </c>
      <c r="EB28" s="40" t="str">
        <f t="shared" si="40"/>
        <v/>
      </c>
      <c r="EC28" s="40" t="str">
        <f t="shared" si="41"/>
        <v/>
      </c>
      <c r="ED28" s="40" t="str">
        <f t="shared" si="42"/>
        <v/>
      </c>
      <c r="EE28" s="40" t="str">
        <f t="shared" si="43"/>
        <v/>
      </c>
      <c r="EF28" s="40" t="str">
        <f t="shared" si="44"/>
        <v/>
      </c>
      <c r="EG28" s="40" t="str">
        <f t="shared" si="45"/>
        <v/>
      </c>
      <c r="EH28" s="40" t="str">
        <f t="shared" si="46"/>
        <v/>
      </c>
      <c r="EI28" s="18"/>
      <c r="EJ28" s="18"/>
      <c r="EK28" s="18"/>
      <c r="EL28" s="18"/>
      <c r="EM28" s="18"/>
      <c r="EN28" s="18"/>
      <c r="EO28" s="18"/>
      <c r="EP28" s="18"/>
      <c r="EQ28" s="18"/>
      <c r="ER28" s="18"/>
      <c r="ES28" s="18"/>
      <c r="ET28" s="18"/>
      <c r="EU28" s="18"/>
      <c r="EV28" s="18"/>
      <c r="EW28" s="18"/>
      <c r="EX28" s="18"/>
      <c r="EY28" s="18"/>
      <c r="EZ28" s="18"/>
      <c r="FA28" s="18"/>
      <c r="FB28" s="18"/>
      <c r="FC28" s="11" t="str">
        <f t="shared" si="47"/>
        <v/>
      </c>
      <c r="FD28" s="11" t="str">
        <f t="shared" si="48"/>
        <v/>
      </c>
      <c r="FE28" s="11" t="str">
        <f t="shared" si="49"/>
        <v/>
      </c>
      <c r="FF28" s="11" t="str">
        <f t="shared" si="50"/>
        <v/>
      </c>
      <c r="FG28" s="11" t="str">
        <f t="shared" si="51"/>
        <v/>
      </c>
      <c r="FH28" s="11" t="str">
        <f t="shared" si="52"/>
        <v/>
      </c>
      <c r="FI28" s="11" t="str">
        <f t="shared" si="53"/>
        <v/>
      </c>
      <c r="FJ28" s="11" t="str">
        <f t="shared" si="54"/>
        <v/>
      </c>
      <c r="FK28" s="17"/>
      <c r="FL28" s="17"/>
      <c r="FM28" s="17"/>
      <c r="FN28" s="17"/>
      <c r="FO28" s="17"/>
      <c r="FP28" s="17"/>
      <c r="FQ28" s="17"/>
      <c r="FR28" s="17"/>
      <c r="FS28" s="17"/>
      <c r="FT28" s="17"/>
      <c r="FU28" s="17"/>
      <c r="FV28" s="17"/>
      <c r="FW28" s="17"/>
      <c r="FX28" s="17"/>
      <c r="FY28" s="17"/>
      <c r="FZ28" s="17"/>
      <c r="GA28" s="17"/>
      <c r="GB28" s="17"/>
      <c r="GC28" s="17"/>
      <c r="GD28" s="17"/>
      <c r="GE28" s="40" t="str">
        <f t="shared" si="55"/>
        <v/>
      </c>
      <c r="GF28" s="40" t="str">
        <f t="shared" si="56"/>
        <v/>
      </c>
      <c r="GG28" s="40" t="str">
        <f t="shared" si="57"/>
        <v/>
      </c>
      <c r="GH28" s="40" t="str">
        <f t="shared" si="58"/>
        <v/>
      </c>
      <c r="GI28" s="40" t="str">
        <f t="shared" si="59"/>
        <v/>
      </c>
      <c r="GJ28" s="40" t="str">
        <f t="shared" si="60"/>
        <v/>
      </c>
      <c r="GK28" s="40" t="str">
        <f t="shared" si="61"/>
        <v/>
      </c>
      <c r="GL28" s="40" t="str">
        <f t="shared" si="62"/>
        <v/>
      </c>
      <c r="GM28" s="18"/>
      <c r="GN28" s="18"/>
      <c r="GO28" s="18"/>
      <c r="GP28" s="18"/>
      <c r="GQ28" s="18"/>
      <c r="GR28" s="18"/>
      <c r="GS28" s="18"/>
      <c r="GT28" s="18"/>
      <c r="GU28" s="18"/>
      <c r="GV28" s="18"/>
      <c r="GW28" s="18"/>
      <c r="GX28" s="18"/>
      <c r="GY28" s="18"/>
      <c r="GZ28" s="18"/>
      <c r="HA28" s="18"/>
      <c r="HB28" s="18"/>
      <c r="HC28" s="18"/>
      <c r="HD28" s="18"/>
      <c r="HE28" s="18"/>
      <c r="HF28" s="18"/>
      <c r="HG28" s="11" t="str">
        <f t="shared" si="63"/>
        <v/>
      </c>
      <c r="HH28" s="11" t="str">
        <f t="shared" si="64"/>
        <v/>
      </c>
      <c r="HI28" s="11" t="str">
        <f t="shared" si="65"/>
        <v/>
      </c>
      <c r="HJ28" s="11" t="str">
        <f t="shared" si="66"/>
        <v/>
      </c>
      <c r="HK28" s="11" t="str">
        <f t="shared" si="67"/>
        <v/>
      </c>
      <c r="HL28" s="11" t="str">
        <f t="shared" si="68"/>
        <v/>
      </c>
      <c r="HM28" s="11" t="str">
        <f t="shared" si="69"/>
        <v/>
      </c>
      <c r="HN28" s="11" t="str">
        <f t="shared" si="70"/>
        <v/>
      </c>
      <c r="HO28" s="17"/>
      <c r="HP28" s="17"/>
      <c r="HQ28" s="17"/>
      <c r="HR28" s="17"/>
      <c r="HS28" s="17"/>
      <c r="HT28" s="17"/>
      <c r="HU28" s="17"/>
      <c r="HV28" s="17"/>
      <c r="HW28" s="17"/>
      <c r="HX28" s="17"/>
      <c r="HY28" s="17"/>
      <c r="HZ28" s="17"/>
      <c r="IA28" s="17"/>
      <c r="IB28" s="17"/>
      <c r="IC28" s="17"/>
      <c r="ID28" s="17"/>
      <c r="IE28" s="17"/>
      <c r="IF28" s="17"/>
      <c r="IG28" s="17"/>
      <c r="IH28" s="17"/>
      <c r="II28" s="40" t="str">
        <f t="shared" si="71"/>
        <v/>
      </c>
      <c r="IJ28" s="40" t="str">
        <f t="shared" si="72"/>
        <v/>
      </c>
      <c r="IK28" s="40" t="str">
        <f t="shared" si="73"/>
        <v/>
      </c>
      <c r="IL28" s="40" t="str">
        <f t="shared" si="74"/>
        <v/>
      </c>
      <c r="IM28" s="40" t="str">
        <f t="shared" si="75"/>
        <v/>
      </c>
      <c r="IN28" s="40" t="str">
        <f t="shared" si="76"/>
        <v/>
      </c>
      <c r="IO28" s="40" t="str">
        <f t="shared" si="77"/>
        <v/>
      </c>
      <c r="IP28" s="40" t="str">
        <f t="shared" si="78"/>
        <v/>
      </c>
      <c r="IQ28" s="18"/>
      <c r="IR28" s="18"/>
      <c r="IS28" s="18"/>
      <c r="IT28" s="18"/>
      <c r="IU28" s="18"/>
      <c r="IV28" s="18"/>
      <c r="IW28" s="18"/>
      <c r="IX28" s="18"/>
      <c r="IY28" s="18"/>
      <c r="IZ28" s="18"/>
      <c r="JA28" s="18"/>
      <c r="JB28" s="18"/>
      <c r="JC28" s="18"/>
      <c r="JD28" s="18"/>
      <c r="JE28" s="18"/>
      <c r="JF28" s="18"/>
      <c r="JG28" s="18"/>
      <c r="JH28" s="18"/>
      <c r="JI28" s="18"/>
      <c r="JJ28" s="18"/>
      <c r="JK28" s="11" t="str">
        <f t="shared" si="79"/>
        <v/>
      </c>
      <c r="JL28" s="11" t="str">
        <f t="shared" si="80"/>
        <v/>
      </c>
      <c r="JM28" s="11" t="str">
        <f t="shared" si="81"/>
        <v/>
      </c>
      <c r="JN28" s="11" t="str">
        <f t="shared" si="82"/>
        <v/>
      </c>
      <c r="JO28" s="11" t="str">
        <f t="shared" si="83"/>
        <v/>
      </c>
      <c r="JP28" s="11" t="str">
        <f t="shared" si="84"/>
        <v/>
      </c>
      <c r="JQ28" s="11" t="str">
        <f t="shared" si="85"/>
        <v/>
      </c>
      <c r="JR28" s="11" t="str">
        <f t="shared" si="86"/>
        <v/>
      </c>
      <c r="JS28" s="17"/>
      <c r="JT28" s="17"/>
      <c r="JU28" s="17"/>
      <c r="JV28" s="17"/>
      <c r="JW28" s="17"/>
      <c r="JX28" s="17"/>
      <c r="JY28" s="17"/>
      <c r="JZ28" s="17"/>
      <c r="KA28" s="17"/>
      <c r="KB28" s="17"/>
      <c r="KC28" s="17"/>
      <c r="KD28" s="17"/>
      <c r="KE28" s="17"/>
      <c r="KF28" s="17"/>
      <c r="KG28" s="17"/>
      <c r="KH28" s="17"/>
      <c r="KI28" s="17"/>
      <c r="KJ28" s="17"/>
      <c r="KK28" s="17"/>
      <c r="KL28" s="17"/>
      <c r="KM28" s="40" t="str">
        <f t="shared" si="87"/>
        <v/>
      </c>
      <c r="KN28" s="40" t="str">
        <f t="shared" si="88"/>
        <v/>
      </c>
      <c r="KO28" s="40" t="str">
        <f t="shared" si="89"/>
        <v/>
      </c>
      <c r="KP28" s="40" t="str">
        <f t="shared" si="90"/>
        <v/>
      </c>
      <c r="KQ28" s="40" t="str">
        <f t="shared" si="91"/>
        <v/>
      </c>
      <c r="KR28" s="40" t="str">
        <f t="shared" si="92"/>
        <v/>
      </c>
      <c r="KS28" s="40" t="str">
        <f t="shared" si="93"/>
        <v/>
      </c>
      <c r="KT28" s="40" t="str">
        <f t="shared" si="94"/>
        <v/>
      </c>
      <c r="KU28" s="18"/>
      <c r="KV28" s="18"/>
      <c r="KW28" s="18"/>
      <c r="KX28" s="18"/>
      <c r="KY28" s="18"/>
      <c r="KZ28" s="18"/>
      <c r="LA28" s="18"/>
      <c r="LB28" s="18"/>
      <c r="LC28" s="18"/>
      <c r="LD28" s="18"/>
      <c r="LE28" s="18"/>
      <c r="LF28" s="18"/>
      <c r="LG28" s="18"/>
      <c r="LH28" s="18"/>
      <c r="LI28" s="18"/>
      <c r="LJ28" s="18"/>
      <c r="LK28" s="18"/>
      <c r="LL28" s="18"/>
      <c r="LM28" s="18"/>
      <c r="LN28" s="18"/>
      <c r="LO28" s="11" t="str">
        <f t="shared" si="95"/>
        <v/>
      </c>
      <c r="LP28" s="11" t="str">
        <f t="shared" si="96"/>
        <v/>
      </c>
      <c r="LQ28" s="11" t="str">
        <f t="shared" si="97"/>
        <v/>
      </c>
      <c r="LR28" s="11" t="str">
        <f t="shared" si="98"/>
        <v/>
      </c>
      <c r="LS28" s="11" t="str">
        <f t="shared" si="99"/>
        <v/>
      </c>
      <c r="LT28" s="11" t="str">
        <f t="shared" si="100"/>
        <v/>
      </c>
      <c r="LU28" s="11" t="str">
        <f t="shared" si="101"/>
        <v/>
      </c>
      <c r="LV28" s="11" t="str">
        <f t="shared" si="102"/>
        <v/>
      </c>
      <c r="LW28" s="17"/>
      <c r="LX28" s="17"/>
      <c r="LY28" s="17"/>
      <c r="LZ28" s="17"/>
      <c r="MA28" s="17"/>
      <c r="MB28" s="17"/>
      <c r="MC28" s="17"/>
      <c r="MD28" s="17"/>
      <c r="ME28" s="17"/>
      <c r="MF28" s="17"/>
      <c r="MG28" s="17"/>
      <c r="MH28" s="17"/>
      <c r="MI28" s="17"/>
      <c r="MJ28" s="17"/>
      <c r="MK28" s="17"/>
      <c r="ML28" s="17"/>
      <c r="MM28" s="17"/>
      <c r="MN28" s="17"/>
      <c r="MO28" s="17"/>
      <c r="MP28" s="17"/>
      <c r="MQ28" s="40" t="str">
        <f t="shared" si="103"/>
        <v/>
      </c>
      <c r="MR28" s="40" t="str">
        <f t="shared" si="104"/>
        <v/>
      </c>
      <c r="MS28" s="40" t="str">
        <f t="shared" si="105"/>
        <v/>
      </c>
      <c r="MT28" s="40" t="str">
        <f t="shared" si="106"/>
        <v/>
      </c>
      <c r="MU28" s="40" t="str">
        <f t="shared" si="107"/>
        <v/>
      </c>
      <c r="MV28" s="40" t="str">
        <f t="shared" si="108"/>
        <v/>
      </c>
      <c r="MW28" s="40" t="str">
        <f t="shared" si="109"/>
        <v/>
      </c>
      <c r="MX28" s="40" t="str">
        <f t="shared" si="110"/>
        <v/>
      </c>
      <c r="MY28" s="18"/>
      <c r="MZ28" s="18"/>
      <c r="NA28" s="18"/>
      <c r="NB28" s="18"/>
      <c r="NC28" s="18"/>
      <c r="ND28" s="18"/>
      <c r="NE28" s="18"/>
      <c r="NF28" s="18"/>
      <c r="NG28" s="18"/>
      <c r="NH28" s="18"/>
      <c r="NI28" s="18"/>
      <c r="NJ28" s="18"/>
      <c r="NK28" s="18"/>
      <c r="NL28" s="18"/>
      <c r="NM28" s="18"/>
      <c r="NN28" s="18"/>
      <c r="NO28" s="18"/>
      <c r="NP28" s="18"/>
      <c r="NQ28" s="18"/>
      <c r="NR28" s="18"/>
      <c r="NS28" s="11" t="str">
        <f t="shared" si="111"/>
        <v/>
      </c>
      <c r="NT28" s="11" t="str">
        <f t="shared" si="112"/>
        <v/>
      </c>
      <c r="NU28" s="11" t="str">
        <f t="shared" si="113"/>
        <v/>
      </c>
      <c r="NV28" s="11" t="str">
        <f t="shared" si="114"/>
        <v/>
      </c>
      <c r="NW28" s="11" t="str">
        <f t="shared" si="115"/>
        <v/>
      </c>
      <c r="NX28" s="11" t="str">
        <f t="shared" si="116"/>
        <v/>
      </c>
      <c r="NY28" s="11" t="str">
        <f t="shared" si="117"/>
        <v/>
      </c>
      <c r="NZ28" s="11" t="str">
        <f t="shared" si="118"/>
        <v/>
      </c>
      <c r="OA28" s="17"/>
      <c r="OB28" s="17"/>
      <c r="OC28" s="17"/>
      <c r="OD28" s="17"/>
      <c r="OE28" s="17"/>
      <c r="OF28" s="17"/>
      <c r="OG28" s="17"/>
      <c r="OH28" s="17"/>
      <c r="OI28" s="17"/>
      <c r="OJ28" s="17"/>
      <c r="OK28" s="17"/>
      <c r="OL28" s="17"/>
      <c r="OM28" s="17"/>
      <c r="ON28" s="17"/>
      <c r="OO28" s="17"/>
      <c r="OP28" s="17"/>
      <c r="OQ28" s="17"/>
      <c r="OR28" s="17"/>
      <c r="OS28" s="17"/>
      <c r="OT28" s="17"/>
      <c r="OU28" s="40" t="str">
        <f t="shared" si="119"/>
        <v/>
      </c>
      <c r="OV28" s="40" t="str">
        <f t="shared" si="120"/>
        <v/>
      </c>
      <c r="OW28" s="40" t="str">
        <f t="shared" si="121"/>
        <v/>
      </c>
      <c r="OX28" s="40" t="str">
        <f t="shared" si="122"/>
        <v/>
      </c>
      <c r="OY28" s="40" t="str">
        <f t="shared" si="123"/>
        <v/>
      </c>
      <c r="OZ28" s="40" t="str">
        <f t="shared" si="124"/>
        <v/>
      </c>
      <c r="PA28" s="40" t="str">
        <f t="shared" si="125"/>
        <v/>
      </c>
      <c r="PB28" s="40" t="str">
        <f t="shared" si="126"/>
        <v/>
      </c>
      <c r="PC28" s="18"/>
      <c r="PD28" s="18"/>
      <c r="PE28" s="18"/>
      <c r="PF28" s="18"/>
      <c r="PG28" s="18"/>
      <c r="PH28" s="18"/>
      <c r="PI28" s="18"/>
      <c r="PJ28" s="18"/>
      <c r="PK28" s="18"/>
      <c r="PL28" s="18"/>
      <c r="PM28" s="18"/>
      <c r="PN28" s="18"/>
      <c r="PO28" s="18"/>
      <c r="PP28" s="18"/>
      <c r="PQ28" s="18"/>
      <c r="PR28" s="18"/>
      <c r="PS28" s="18"/>
      <c r="PT28" s="18"/>
      <c r="PU28" s="18"/>
      <c r="PV28" s="18"/>
      <c r="PW28" s="11" t="str">
        <f t="shared" si="127"/>
        <v/>
      </c>
      <c r="PX28" s="11" t="str">
        <f t="shared" si="128"/>
        <v/>
      </c>
      <c r="PY28" s="11" t="str">
        <f t="shared" si="129"/>
        <v/>
      </c>
      <c r="PZ28" s="11" t="str">
        <f t="shared" si="130"/>
        <v/>
      </c>
      <c r="QA28" s="11" t="str">
        <f t="shared" si="131"/>
        <v/>
      </c>
      <c r="QB28" s="11" t="str">
        <f t="shared" si="132"/>
        <v/>
      </c>
      <c r="QC28" s="11" t="str">
        <f t="shared" si="133"/>
        <v/>
      </c>
      <c r="QD28" s="11" t="str">
        <f t="shared" si="134"/>
        <v/>
      </c>
      <c r="QE28" s="22">
        <f t="shared" si="135"/>
        <v>0</v>
      </c>
      <c r="QF28" s="22">
        <f t="shared" si="136"/>
        <v>0</v>
      </c>
      <c r="QG28" s="22">
        <f t="shared" si="137"/>
        <v>0</v>
      </c>
      <c r="QH28" s="22">
        <f t="shared" si="138"/>
        <v>0</v>
      </c>
      <c r="QI28" s="22">
        <f t="shared" si="139"/>
        <v>0</v>
      </c>
      <c r="QJ28" s="22">
        <f t="shared" si="140"/>
        <v>0</v>
      </c>
      <c r="QK28" s="22">
        <f t="shared" si="141"/>
        <v>0</v>
      </c>
      <c r="QL28" s="22">
        <f t="shared" si="142"/>
        <v>0</v>
      </c>
      <c r="QM28" s="22">
        <f t="shared" si="143"/>
        <v>0</v>
      </c>
      <c r="QN28" s="22">
        <f t="shared" si="144"/>
        <v>0</v>
      </c>
      <c r="QO28" s="22">
        <f t="shared" si="145"/>
        <v>0</v>
      </c>
      <c r="QP28" s="22">
        <f t="shared" si="146"/>
        <v>0</v>
      </c>
      <c r="QQ28" s="22">
        <f t="shared" si="147"/>
        <v>0</v>
      </c>
      <c r="QR28" s="22">
        <f t="shared" si="148"/>
        <v>0</v>
      </c>
      <c r="QS28" s="22">
        <f t="shared" si="149"/>
        <v>0</v>
      </c>
      <c r="QT28" s="22">
        <f t="shared" si="150"/>
        <v>0</v>
      </c>
      <c r="QU28" s="22">
        <f t="shared" si="151"/>
        <v>0</v>
      </c>
      <c r="QV28" s="22">
        <f t="shared" si="152"/>
        <v>0</v>
      </c>
      <c r="QW28" s="22">
        <f t="shared" si="153"/>
        <v>0</v>
      </c>
      <c r="QX28" s="22">
        <f t="shared" si="154"/>
        <v>0</v>
      </c>
      <c r="QY28" s="27" t="s">
        <v>46</v>
      </c>
      <c r="QZ28" s="40" t="str">
        <f t="shared" si="155"/>
        <v/>
      </c>
      <c r="RA28" s="40" t="str">
        <f t="shared" si="156"/>
        <v/>
      </c>
      <c r="RB28" s="40" t="str">
        <f t="shared" si="157"/>
        <v/>
      </c>
      <c r="RC28" s="40" t="str">
        <f t="shared" si="158"/>
        <v/>
      </c>
      <c r="RD28" s="40" t="str">
        <f t="shared" si="159"/>
        <v/>
      </c>
      <c r="RE28" s="40" t="str">
        <f t="shared" si="160"/>
        <v/>
      </c>
      <c r="RF28" s="40" t="str">
        <f t="shared" si="161"/>
        <v/>
      </c>
      <c r="RG28" s="40" t="str">
        <f t="shared" si="162"/>
        <v/>
      </c>
    </row>
    <row r="29" spans="1:475" x14ac:dyDescent="0.2">
      <c r="A29" s="4" t="str">
        <f t="shared" si="164"/>
        <v/>
      </c>
      <c r="B29" s="5" t="s">
        <v>150</v>
      </c>
      <c r="C29" s="4" t="s">
        <v>5</v>
      </c>
      <c r="D29" s="4">
        <v>2004</v>
      </c>
      <c r="E29" s="9">
        <f t="shared" si="163"/>
        <v>118.10000714000491</v>
      </c>
      <c r="F29" s="3" t="str">
        <f t="shared" si="0"/>
        <v/>
      </c>
      <c r="G29" s="3" t="str">
        <f t="shared" si="1"/>
        <v/>
      </c>
      <c r="H29" s="36" t="str">
        <f t="shared" si="2"/>
        <v/>
      </c>
      <c r="I29" s="3" t="str">
        <f t="shared" si="3"/>
        <v/>
      </c>
      <c r="J29" s="8">
        <f>IF(COUNT(AQ29,BT29,CW29)&gt;0,LARGE((AQ29,BT29,CW29),1),0)</f>
        <v>49</v>
      </c>
      <c r="K29" s="8" t="str">
        <f t="shared" si="4"/>
        <v>2022 Nationals</v>
      </c>
      <c r="L29" s="8">
        <f>IF(COUNT(AQ29,BT29,CW29)&gt;1,LARGE((AQ29,BT29,CW29),2),0)</f>
        <v>0</v>
      </c>
      <c r="M29" s="8" t="str">
        <f t="shared" si="5"/>
        <v/>
      </c>
      <c r="N29" s="8">
        <f>IF(COUNT(AR29,BU29,CX29)&gt;0,LARGE((AR29,BU29,CX29),1),0)</f>
        <v>22.4</v>
      </c>
      <c r="O29" s="8" t="str">
        <f t="shared" si="6"/>
        <v>2022 Nationals</v>
      </c>
      <c r="P29" s="8">
        <f t="shared" si="7"/>
        <v>46.7</v>
      </c>
      <c r="Q29" s="8" t="str">
        <f t="shared" si="8"/>
        <v>2022 Nationals</v>
      </c>
      <c r="R29" s="8" t="str">
        <f t="shared" si="9"/>
        <v/>
      </c>
      <c r="S29" s="11" t="str">
        <f t="shared" si="10"/>
        <v/>
      </c>
      <c r="T29" s="8" t="str">
        <f t="shared" si="11"/>
        <v/>
      </c>
      <c r="U29" s="19">
        <v>18.8</v>
      </c>
      <c r="V29" s="19">
        <v>6</v>
      </c>
      <c r="W29" s="19">
        <v>0</v>
      </c>
      <c r="X29" s="19">
        <v>0</v>
      </c>
      <c r="Y29" s="19">
        <v>18.8</v>
      </c>
      <c r="Z29" s="19">
        <v>5.6</v>
      </c>
      <c r="AA29" s="19">
        <v>0.2</v>
      </c>
      <c r="AB29" s="19">
        <v>0</v>
      </c>
      <c r="AC29" s="19">
        <v>18.5</v>
      </c>
      <c r="AD29" s="19">
        <v>3.9</v>
      </c>
      <c r="AE29" s="19">
        <v>0</v>
      </c>
      <c r="AF29" s="19">
        <v>0</v>
      </c>
      <c r="AG29" s="19">
        <v>18.2</v>
      </c>
      <c r="AH29" s="19">
        <v>5.2</v>
      </c>
      <c r="AI29" s="19">
        <v>0</v>
      </c>
      <c r="AJ29" s="19">
        <v>0</v>
      </c>
      <c r="AK29" s="19">
        <v>18.100000000000001</v>
      </c>
      <c r="AL29" s="19">
        <v>6</v>
      </c>
      <c r="AM29" s="19">
        <v>0.8</v>
      </c>
      <c r="AN29" s="19">
        <v>0</v>
      </c>
      <c r="AO29" s="27"/>
      <c r="AP29" s="40">
        <f t="shared" si="12"/>
        <v>11.6</v>
      </c>
      <c r="AQ29" s="40">
        <f t="shared" si="13"/>
        <v>49</v>
      </c>
      <c r="AR29" s="40">
        <f t="shared" si="14"/>
        <v>22.4</v>
      </c>
      <c r="AS29" s="40">
        <f t="shared" si="15"/>
        <v>15.5</v>
      </c>
      <c r="AT29" s="40">
        <f t="shared" si="16"/>
        <v>71.400000000000006</v>
      </c>
      <c r="AU29" s="40">
        <f t="shared" si="17"/>
        <v>11.2</v>
      </c>
      <c r="AV29" s="40">
        <f t="shared" si="18"/>
        <v>46.7</v>
      </c>
      <c r="AW29" s="40">
        <f t="shared" si="19"/>
        <v>95.7</v>
      </c>
      <c r="AX29" s="18"/>
      <c r="AY29" s="18"/>
      <c r="AZ29" s="18"/>
      <c r="BA29" s="18"/>
      <c r="BB29" s="18"/>
      <c r="BC29" s="18"/>
      <c r="BD29" s="18"/>
      <c r="BE29" s="18"/>
      <c r="BF29" s="18"/>
      <c r="BG29" s="18"/>
      <c r="BH29" s="18"/>
      <c r="BI29" s="18"/>
      <c r="BJ29" s="18"/>
      <c r="BK29" s="18"/>
      <c r="BL29" s="18"/>
      <c r="BM29" s="18"/>
      <c r="BN29" s="18"/>
      <c r="BO29" s="18"/>
      <c r="BP29" s="18"/>
      <c r="BQ29" s="18"/>
      <c r="BR29" s="28"/>
      <c r="BS29" s="11" t="str">
        <f t="shared" si="20"/>
        <v/>
      </c>
      <c r="BT29" s="11" t="str">
        <f t="shared" si="21"/>
        <v/>
      </c>
      <c r="BU29" s="11" t="str">
        <f t="shared" si="22"/>
        <v/>
      </c>
      <c r="BV29" s="11" t="str">
        <f t="shared" si="23"/>
        <v/>
      </c>
      <c r="BW29" s="11" t="str">
        <f t="shared" si="24"/>
        <v/>
      </c>
      <c r="BX29" s="11" t="str">
        <f t="shared" si="25"/>
        <v/>
      </c>
      <c r="BY29" s="11" t="str">
        <f t="shared" si="26"/>
        <v/>
      </c>
      <c r="BZ29" s="11" t="str">
        <f t="shared" si="27"/>
        <v/>
      </c>
      <c r="CA29" s="19"/>
      <c r="CB29" s="19"/>
      <c r="CC29" s="19"/>
      <c r="CD29" s="19"/>
      <c r="CE29" s="19"/>
      <c r="CF29" s="19"/>
      <c r="CG29" s="19"/>
      <c r="CH29" s="19"/>
      <c r="CI29" s="19"/>
      <c r="CJ29" s="19"/>
      <c r="CK29" s="19"/>
      <c r="CL29" s="19"/>
      <c r="CM29" s="19"/>
      <c r="CN29" s="19"/>
      <c r="CO29" s="19"/>
      <c r="CP29" s="19"/>
      <c r="CQ29" s="19"/>
      <c r="CR29" s="19"/>
      <c r="CS29" s="19"/>
      <c r="CT29" s="19"/>
      <c r="CU29" s="27"/>
      <c r="CV29" s="40" t="str">
        <f t="shared" si="28"/>
        <v/>
      </c>
      <c r="CW29" s="40" t="str">
        <f t="shared" si="29"/>
        <v/>
      </c>
      <c r="CX29" s="40" t="str">
        <f t="shared" si="30"/>
        <v/>
      </c>
      <c r="CY29" s="40" t="str">
        <f t="shared" si="31"/>
        <v/>
      </c>
      <c r="CZ29" s="40" t="str">
        <f t="shared" si="32"/>
        <v/>
      </c>
      <c r="DA29" s="40" t="str">
        <f t="shared" si="33"/>
        <v/>
      </c>
      <c r="DB29" s="40" t="str">
        <f t="shared" si="34"/>
        <v/>
      </c>
      <c r="DC29" s="40" t="str">
        <f t="shared" si="35"/>
        <v/>
      </c>
      <c r="DD29" s="50" t="str">
        <f t="shared" si="36"/>
        <v/>
      </c>
      <c r="DE29" s="50" t="str">
        <f t="shared" si="37"/>
        <v/>
      </c>
      <c r="DF29" s="50" t="str">
        <f t="shared" si="38"/>
        <v/>
      </c>
      <c r="DG29" s="17"/>
      <c r="DH29" s="17"/>
      <c r="DI29" s="17"/>
      <c r="DJ29" s="17"/>
      <c r="DK29" s="17"/>
      <c r="DL29" s="17"/>
      <c r="DM29" s="17"/>
      <c r="DN29" s="17"/>
      <c r="DO29" s="17"/>
      <c r="DP29" s="17"/>
      <c r="DQ29" s="17"/>
      <c r="DR29" s="17"/>
      <c r="DS29" s="17"/>
      <c r="DT29" s="17"/>
      <c r="DU29" s="17"/>
      <c r="DV29" s="17"/>
      <c r="DW29" s="17"/>
      <c r="DX29" s="17"/>
      <c r="DY29" s="17"/>
      <c r="DZ29" s="17"/>
      <c r="EA29" s="40" t="str">
        <f t="shared" si="39"/>
        <v/>
      </c>
      <c r="EB29" s="40" t="str">
        <f t="shared" si="40"/>
        <v/>
      </c>
      <c r="EC29" s="40" t="str">
        <f t="shared" si="41"/>
        <v/>
      </c>
      <c r="ED29" s="40" t="str">
        <f t="shared" si="42"/>
        <v/>
      </c>
      <c r="EE29" s="40" t="str">
        <f t="shared" si="43"/>
        <v/>
      </c>
      <c r="EF29" s="40" t="str">
        <f t="shared" si="44"/>
        <v/>
      </c>
      <c r="EG29" s="40" t="str">
        <f t="shared" si="45"/>
        <v/>
      </c>
      <c r="EH29" s="40" t="str">
        <f t="shared" si="46"/>
        <v/>
      </c>
      <c r="EI29" s="18"/>
      <c r="EJ29" s="18"/>
      <c r="EK29" s="18"/>
      <c r="EL29" s="18"/>
      <c r="EM29" s="18"/>
      <c r="EN29" s="18"/>
      <c r="EO29" s="18"/>
      <c r="EP29" s="18"/>
      <c r="EQ29" s="18"/>
      <c r="ER29" s="18"/>
      <c r="ES29" s="18"/>
      <c r="ET29" s="18"/>
      <c r="EU29" s="18"/>
      <c r="EV29" s="18"/>
      <c r="EW29" s="18"/>
      <c r="EX29" s="18"/>
      <c r="EY29" s="18"/>
      <c r="EZ29" s="18"/>
      <c r="FA29" s="18"/>
      <c r="FB29" s="18"/>
      <c r="FC29" s="11" t="str">
        <f t="shared" si="47"/>
        <v/>
      </c>
      <c r="FD29" s="11" t="str">
        <f t="shared" si="48"/>
        <v/>
      </c>
      <c r="FE29" s="11" t="str">
        <f t="shared" si="49"/>
        <v/>
      </c>
      <c r="FF29" s="11" t="str">
        <f t="shared" si="50"/>
        <v/>
      </c>
      <c r="FG29" s="11" t="str">
        <f t="shared" si="51"/>
        <v/>
      </c>
      <c r="FH29" s="11" t="str">
        <f t="shared" si="52"/>
        <v/>
      </c>
      <c r="FI29" s="11" t="str">
        <f t="shared" si="53"/>
        <v/>
      </c>
      <c r="FJ29" s="11" t="str">
        <f t="shared" si="54"/>
        <v/>
      </c>
      <c r="FK29" s="17"/>
      <c r="FL29" s="17"/>
      <c r="FM29" s="17"/>
      <c r="FN29" s="17"/>
      <c r="FO29" s="17"/>
      <c r="FP29" s="17"/>
      <c r="FQ29" s="17"/>
      <c r="FR29" s="17"/>
      <c r="FS29" s="17"/>
      <c r="FT29" s="17"/>
      <c r="FU29" s="17"/>
      <c r="FV29" s="17"/>
      <c r="FW29" s="17"/>
      <c r="FX29" s="17"/>
      <c r="FY29" s="17"/>
      <c r="FZ29" s="17"/>
      <c r="GA29" s="17"/>
      <c r="GB29" s="17"/>
      <c r="GC29" s="17"/>
      <c r="GD29" s="17"/>
      <c r="GE29" s="40" t="str">
        <f t="shared" si="55"/>
        <v/>
      </c>
      <c r="GF29" s="40" t="str">
        <f t="shared" si="56"/>
        <v/>
      </c>
      <c r="GG29" s="40" t="str">
        <f t="shared" si="57"/>
        <v/>
      </c>
      <c r="GH29" s="40" t="str">
        <f t="shared" si="58"/>
        <v/>
      </c>
      <c r="GI29" s="40" t="str">
        <f t="shared" si="59"/>
        <v/>
      </c>
      <c r="GJ29" s="40" t="str">
        <f t="shared" si="60"/>
        <v/>
      </c>
      <c r="GK29" s="40" t="str">
        <f t="shared" si="61"/>
        <v/>
      </c>
      <c r="GL29" s="40" t="str">
        <f t="shared" si="62"/>
        <v/>
      </c>
      <c r="GM29" s="18"/>
      <c r="GN29" s="18"/>
      <c r="GO29" s="18"/>
      <c r="GP29" s="18"/>
      <c r="GQ29" s="18"/>
      <c r="GR29" s="18"/>
      <c r="GS29" s="18"/>
      <c r="GT29" s="18"/>
      <c r="GU29" s="18"/>
      <c r="GV29" s="18"/>
      <c r="GW29" s="18"/>
      <c r="GX29" s="18"/>
      <c r="GY29" s="18"/>
      <c r="GZ29" s="18"/>
      <c r="HA29" s="18"/>
      <c r="HB29" s="18"/>
      <c r="HC29" s="18"/>
      <c r="HD29" s="18"/>
      <c r="HE29" s="18"/>
      <c r="HF29" s="18"/>
      <c r="HG29" s="11" t="str">
        <f t="shared" si="63"/>
        <v/>
      </c>
      <c r="HH29" s="11" t="str">
        <f t="shared" si="64"/>
        <v/>
      </c>
      <c r="HI29" s="11" t="str">
        <f t="shared" si="65"/>
        <v/>
      </c>
      <c r="HJ29" s="11" t="str">
        <f t="shared" si="66"/>
        <v/>
      </c>
      <c r="HK29" s="11" t="str">
        <f t="shared" si="67"/>
        <v/>
      </c>
      <c r="HL29" s="11" t="str">
        <f t="shared" si="68"/>
        <v/>
      </c>
      <c r="HM29" s="11" t="str">
        <f t="shared" si="69"/>
        <v/>
      </c>
      <c r="HN29" s="11" t="str">
        <f t="shared" si="70"/>
        <v/>
      </c>
      <c r="HO29" s="17"/>
      <c r="HP29" s="17"/>
      <c r="HQ29" s="17"/>
      <c r="HR29" s="17"/>
      <c r="HS29" s="17"/>
      <c r="HT29" s="17"/>
      <c r="HU29" s="17"/>
      <c r="HV29" s="17"/>
      <c r="HW29" s="17"/>
      <c r="HX29" s="17"/>
      <c r="HY29" s="17"/>
      <c r="HZ29" s="17"/>
      <c r="IA29" s="17"/>
      <c r="IB29" s="17"/>
      <c r="IC29" s="17"/>
      <c r="ID29" s="17"/>
      <c r="IE29" s="17"/>
      <c r="IF29" s="17"/>
      <c r="IG29" s="17"/>
      <c r="IH29" s="17"/>
      <c r="II29" s="40" t="str">
        <f t="shared" si="71"/>
        <v/>
      </c>
      <c r="IJ29" s="40" t="str">
        <f t="shared" si="72"/>
        <v/>
      </c>
      <c r="IK29" s="40" t="str">
        <f t="shared" si="73"/>
        <v/>
      </c>
      <c r="IL29" s="40" t="str">
        <f t="shared" si="74"/>
        <v/>
      </c>
      <c r="IM29" s="40" t="str">
        <f t="shared" si="75"/>
        <v/>
      </c>
      <c r="IN29" s="40" t="str">
        <f t="shared" si="76"/>
        <v/>
      </c>
      <c r="IO29" s="40" t="str">
        <f t="shared" si="77"/>
        <v/>
      </c>
      <c r="IP29" s="40" t="str">
        <f t="shared" si="78"/>
        <v/>
      </c>
      <c r="IQ29" s="18"/>
      <c r="IR29" s="18"/>
      <c r="IS29" s="18"/>
      <c r="IT29" s="18"/>
      <c r="IU29" s="18"/>
      <c r="IV29" s="18"/>
      <c r="IW29" s="18"/>
      <c r="IX29" s="18"/>
      <c r="IY29" s="18"/>
      <c r="IZ29" s="18"/>
      <c r="JA29" s="18"/>
      <c r="JB29" s="18"/>
      <c r="JC29" s="18"/>
      <c r="JD29" s="18"/>
      <c r="JE29" s="18"/>
      <c r="JF29" s="18"/>
      <c r="JG29" s="18"/>
      <c r="JH29" s="18"/>
      <c r="JI29" s="18"/>
      <c r="JJ29" s="18"/>
      <c r="JK29" s="11" t="str">
        <f t="shared" si="79"/>
        <v/>
      </c>
      <c r="JL29" s="11" t="str">
        <f t="shared" si="80"/>
        <v/>
      </c>
      <c r="JM29" s="11" t="str">
        <f t="shared" si="81"/>
        <v/>
      </c>
      <c r="JN29" s="11" t="str">
        <f t="shared" si="82"/>
        <v/>
      </c>
      <c r="JO29" s="11" t="str">
        <f t="shared" si="83"/>
        <v/>
      </c>
      <c r="JP29" s="11" t="str">
        <f t="shared" si="84"/>
        <v/>
      </c>
      <c r="JQ29" s="11" t="str">
        <f t="shared" si="85"/>
        <v/>
      </c>
      <c r="JR29" s="11" t="str">
        <f t="shared" si="86"/>
        <v/>
      </c>
      <c r="JS29" s="17"/>
      <c r="JT29" s="17"/>
      <c r="JU29" s="17"/>
      <c r="JV29" s="17"/>
      <c r="JW29" s="17"/>
      <c r="JX29" s="17"/>
      <c r="JY29" s="17"/>
      <c r="JZ29" s="17"/>
      <c r="KA29" s="17"/>
      <c r="KB29" s="17"/>
      <c r="KC29" s="17"/>
      <c r="KD29" s="17"/>
      <c r="KE29" s="17"/>
      <c r="KF29" s="17"/>
      <c r="KG29" s="17"/>
      <c r="KH29" s="17"/>
      <c r="KI29" s="17"/>
      <c r="KJ29" s="17"/>
      <c r="KK29" s="17"/>
      <c r="KL29" s="17"/>
      <c r="KM29" s="40" t="str">
        <f t="shared" si="87"/>
        <v/>
      </c>
      <c r="KN29" s="40" t="str">
        <f t="shared" si="88"/>
        <v/>
      </c>
      <c r="KO29" s="40" t="str">
        <f t="shared" si="89"/>
        <v/>
      </c>
      <c r="KP29" s="40" t="str">
        <f t="shared" si="90"/>
        <v/>
      </c>
      <c r="KQ29" s="40" t="str">
        <f t="shared" si="91"/>
        <v/>
      </c>
      <c r="KR29" s="40" t="str">
        <f t="shared" si="92"/>
        <v/>
      </c>
      <c r="KS29" s="40" t="str">
        <f t="shared" si="93"/>
        <v/>
      </c>
      <c r="KT29" s="40" t="str">
        <f t="shared" si="94"/>
        <v/>
      </c>
      <c r="KU29" s="18"/>
      <c r="KV29" s="18"/>
      <c r="KW29" s="18"/>
      <c r="KX29" s="18"/>
      <c r="KY29" s="18"/>
      <c r="KZ29" s="18"/>
      <c r="LA29" s="18"/>
      <c r="LB29" s="18"/>
      <c r="LC29" s="18"/>
      <c r="LD29" s="18"/>
      <c r="LE29" s="18"/>
      <c r="LF29" s="18"/>
      <c r="LG29" s="18"/>
      <c r="LH29" s="18"/>
      <c r="LI29" s="18"/>
      <c r="LJ29" s="18"/>
      <c r="LK29" s="18"/>
      <c r="LL29" s="18"/>
      <c r="LM29" s="18"/>
      <c r="LN29" s="18"/>
      <c r="LO29" s="11" t="str">
        <f t="shared" si="95"/>
        <v/>
      </c>
      <c r="LP29" s="11" t="str">
        <f t="shared" si="96"/>
        <v/>
      </c>
      <c r="LQ29" s="11" t="str">
        <f t="shared" si="97"/>
        <v/>
      </c>
      <c r="LR29" s="11" t="str">
        <f t="shared" si="98"/>
        <v/>
      </c>
      <c r="LS29" s="11" t="str">
        <f t="shared" si="99"/>
        <v/>
      </c>
      <c r="LT29" s="11" t="str">
        <f t="shared" si="100"/>
        <v/>
      </c>
      <c r="LU29" s="11" t="str">
        <f t="shared" si="101"/>
        <v/>
      </c>
      <c r="LV29" s="11" t="str">
        <f t="shared" si="102"/>
        <v/>
      </c>
      <c r="LW29" s="17"/>
      <c r="LX29" s="17"/>
      <c r="LY29" s="17"/>
      <c r="LZ29" s="17"/>
      <c r="MA29" s="17"/>
      <c r="MB29" s="17"/>
      <c r="MC29" s="17"/>
      <c r="MD29" s="17"/>
      <c r="ME29" s="17"/>
      <c r="MF29" s="17"/>
      <c r="MG29" s="17"/>
      <c r="MH29" s="17"/>
      <c r="MI29" s="17"/>
      <c r="MJ29" s="17"/>
      <c r="MK29" s="17"/>
      <c r="ML29" s="17"/>
      <c r="MM29" s="17"/>
      <c r="MN29" s="17"/>
      <c r="MO29" s="17"/>
      <c r="MP29" s="17"/>
      <c r="MQ29" s="40" t="str">
        <f t="shared" si="103"/>
        <v/>
      </c>
      <c r="MR29" s="40" t="str">
        <f t="shared" si="104"/>
        <v/>
      </c>
      <c r="MS29" s="40" t="str">
        <f t="shared" si="105"/>
        <v/>
      </c>
      <c r="MT29" s="40" t="str">
        <f t="shared" si="106"/>
        <v/>
      </c>
      <c r="MU29" s="40" t="str">
        <f t="shared" si="107"/>
        <v/>
      </c>
      <c r="MV29" s="40" t="str">
        <f t="shared" si="108"/>
        <v/>
      </c>
      <c r="MW29" s="40" t="str">
        <f t="shared" si="109"/>
        <v/>
      </c>
      <c r="MX29" s="40" t="str">
        <f t="shared" si="110"/>
        <v/>
      </c>
      <c r="MY29" s="18"/>
      <c r="MZ29" s="18"/>
      <c r="NA29" s="18"/>
      <c r="NB29" s="18"/>
      <c r="NC29" s="18"/>
      <c r="ND29" s="18"/>
      <c r="NE29" s="18"/>
      <c r="NF29" s="18"/>
      <c r="NG29" s="18"/>
      <c r="NH29" s="18"/>
      <c r="NI29" s="18"/>
      <c r="NJ29" s="18"/>
      <c r="NK29" s="18"/>
      <c r="NL29" s="18"/>
      <c r="NM29" s="18"/>
      <c r="NN29" s="18"/>
      <c r="NO29" s="18"/>
      <c r="NP29" s="18"/>
      <c r="NQ29" s="18"/>
      <c r="NR29" s="18"/>
      <c r="NS29" s="11" t="str">
        <f t="shared" si="111"/>
        <v/>
      </c>
      <c r="NT29" s="11" t="str">
        <f t="shared" si="112"/>
        <v/>
      </c>
      <c r="NU29" s="11" t="str">
        <f t="shared" si="113"/>
        <v/>
      </c>
      <c r="NV29" s="11" t="str">
        <f t="shared" si="114"/>
        <v/>
      </c>
      <c r="NW29" s="11" t="str">
        <f t="shared" si="115"/>
        <v/>
      </c>
      <c r="NX29" s="11" t="str">
        <f t="shared" si="116"/>
        <v/>
      </c>
      <c r="NY29" s="11" t="str">
        <f t="shared" si="117"/>
        <v/>
      </c>
      <c r="NZ29" s="11" t="str">
        <f t="shared" si="118"/>
        <v/>
      </c>
      <c r="OA29" s="17"/>
      <c r="OB29" s="17"/>
      <c r="OC29" s="17"/>
      <c r="OD29" s="17"/>
      <c r="OE29" s="17"/>
      <c r="OF29" s="17"/>
      <c r="OG29" s="17"/>
      <c r="OH29" s="17"/>
      <c r="OI29" s="17"/>
      <c r="OJ29" s="17"/>
      <c r="OK29" s="17"/>
      <c r="OL29" s="17"/>
      <c r="OM29" s="17"/>
      <c r="ON29" s="17"/>
      <c r="OO29" s="17"/>
      <c r="OP29" s="17"/>
      <c r="OQ29" s="17"/>
      <c r="OR29" s="17"/>
      <c r="OS29" s="17"/>
      <c r="OT29" s="17"/>
      <c r="OU29" s="40" t="str">
        <f t="shared" si="119"/>
        <v/>
      </c>
      <c r="OV29" s="40" t="str">
        <f t="shared" si="120"/>
        <v/>
      </c>
      <c r="OW29" s="40" t="str">
        <f t="shared" si="121"/>
        <v/>
      </c>
      <c r="OX29" s="40" t="str">
        <f t="shared" si="122"/>
        <v/>
      </c>
      <c r="OY29" s="40" t="str">
        <f t="shared" si="123"/>
        <v/>
      </c>
      <c r="OZ29" s="40" t="str">
        <f t="shared" si="124"/>
        <v/>
      </c>
      <c r="PA29" s="40" t="str">
        <f t="shared" si="125"/>
        <v/>
      </c>
      <c r="PB29" s="40" t="str">
        <f t="shared" si="126"/>
        <v/>
      </c>
      <c r="PC29" s="18"/>
      <c r="PD29" s="18"/>
      <c r="PE29" s="18"/>
      <c r="PF29" s="18"/>
      <c r="PG29" s="18"/>
      <c r="PH29" s="18"/>
      <c r="PI29" s="18"/>
      <c r="PJ29" s="18"/>
      <c r="PK29" s="18"/>
      <c r="PL29" s="18"/>
      <c r="PM29" s="18"/>
      <c r="PN29" s="18"/>
      <c r="PO29" s="18"/>
      <c r="PP29" s="18"/>
      <c r="PQ29" s="18"/>
      <c r="PR29" s="18"/>
      <c r="PS29" s="18"/>
      <c r="PT29" s="18"/>
      <c r="PU29" s="18"/>
      <c r="PV29" s="18"/>
      <c r="PW29" s="11" t="str">
        <f t="shared" si="127"/>
        <v/>
      </c>
      <c r="PX29" s="11" t="str">
        <f t="shared" si="128"/>
        <v/>
      </c>
      <c r="PY29" s="11" t="str">
        <f t="shared" si="129"/>
        <v/>
      </c>
      <c r="PZ29" s="11" t="str">
        <f t="shared" si="130"/>
        <v/>
      </c>
      <c r="QA29" s="11" t="str">
        <f t="shared" si="131"/>
        <v/>
      </c>
      <c r="QB29" s="11" t="str">
        <f t="shared" si="132"/>
        <v/>
      </c>
      <c r="QC29" s="11" t="str">
        <f t="shared" si="133"/>
        <v/>
      </c>
      <c r="QD29" s="11" t="str">
        <f t="shared" si="134"/>
        <v/>
      </c>
      <c r="QE29" s="22">
        <f t="shared" si="135"/>
        <v>0</v>
      </c>
      <c r="QF29" s="22">
        <f t="shared" si="136"/>
        <v>0</v>
      </c>
      <c r="QG29" s="22">
        <f t="shared" si="137"/>
        <v>0</v>
      </c>
      <c r="QH29" s="22">
        <f t="shared" si="138"/>
        <v>0</v>
      </c>
      <c r="QI29" s="22">
        <f t="shared" si="139"/>
        <v>0</v>
      </c>
      <c r="QJ29" s="22">
        <f t="shared" si="140"/>
        <v>0</v>
      </c>
      <c r="QK29" s="22">
        <f t="shared" si="141"/>
        <v>0</v>
      </c>
      <c r="QL29" s="22">
        <f t="shared" si="142"/>
        <v>0</v>
      </c>
      <c r="QM29" s="22">
        <f t="shared" si="143"/>
        <v>0</v>
      </c>
      <c r="QN29" s="22">
        <f t="shared" si="144"/>
        <v>0</v>
      </c>
      <c r="QO29" s="22">
        <f t="shared" si="145"/>
        <v>0</v>
      </c>
      <c r="QP29" s="22">
        <f t="shared" si="146"/>
        <v>0</v>
      </c>
      <c r="QQ29" s="22">
        <f t="shared" si="147"/>
        <v>0</v>
      </c>
      <c r="QR29" s="22">
        <f t="shared" si="148"/>
        <v>0</v>
      </c>
      <c r="QS29" s="22">
        <f t="shared" si="149"/>
        <v>0</v>
      </c>
      <c r="QT29" s="22">
        <f t="shared" si="150"/>
        <v>0</v>
      </c>
      <c r="QU29" s="22">
        <f t="shared" si="151"/>
        <v>0</v>
      </c>
      <c r="QV29" s="22">
        <f t="shared" si="152"/>
        <v>0</v>
      </c>
      <c r="QW29" s="22">
        <f t="shared" si="153"/>
        <v>0</v>
      </c>
      <c r="QX29" s="22">
        <f t="shared" si="154"/>
        <v>0</v>
      </c>
      <c r="QY29" s="27" t="s">
        <v>46</v>
      </c>
      <c r="QZ29" s="40" t="str">
        <f t="shared" si="155"/>
        <v/>
      </c>
      <c r="RA29" s="40" t="str">
        <f t="shared" si="156"/>
        <v/>
      </c>
      <c r="RB29" s="40" t="str">
        <f t="shared" si="157"/>
        <v/>
      </c>
      <c r="RC29" s="40" t="str">
        <f t="shared" si="158"/>
        <v/>
      </c>
      <c r="RD29" s="40" t="str">
        <f t="shared" si="159"/>
        <v/>
      </c>
      <c r="RE29" s="40" t="str">
        <f t="shared" si="160"/>
        <v/>
      </c>
      <c r="RF29" s="40" t="str">
        <f t="shared" si="161"/>
        <v/>
      </c>
      <c r="RG29" s="40" t="str">
        <f t="shared" si="162"/>
        <v/>
      </c>
    </row>
    <row r="30" spans="1:475" x14ac:dyDescent="0.2">
      <c r="A30" s="4" t="str">
        <f t="shared" si="164"/>
        <v/>
      </c>
      <c r="B30" s="5" t="s">
        <v>206</v>
      </c>
      <c r="C30" s="4" t="s">
        <v>3</v>
      </c>
      <c r="D30" s="4">
        <v>2003</v>
      </c>
      <c r="E30" s="9">
        <f t="shared" si="163"/>
        <v>114.40000669000472</v>
      </c>
      <c r="F30" s="3" t="str">
        <f t="shared" si="0"/>
        <v/>
      </c>
      <c r="G30" s="3" t="str">
        <f t="shared" si="1"/>
        <v/>
      </c>
      <c r="H30" s="36" t="str">
        <f t="shared" si="2"/>
        <v/>
      </c>
      <c r="I30" s="3" t="str">
        <f t="shared" si="3"/>
        <v/>
      </c>
      <c r="J30" s="8">
        <f>IF(COUNT(AQ30,BT30,CW30)&gt;0,LARGE((AQ30,BT30,CW30),1),0)</f>
        <v>47.100000000000009</v>
      </c>
      <c r="K30" s="8" t="str">
        <f t="shared" si="4"/>
        <v>2023 Elite Canada</v>
      </c>
      <c r="L30" s="8">
        <f>IF(COUNT(AQ30,BT30,CW30)&gt;1,LARGE((AQ30,BT30,CW30),2),0)</f>
        <v>0</v>
      </c>
      <c r="M30" s="8" t="str">
        <f t="shared" si="5"/>
        <v/>
      </c>
      <c r="N30" s="8">
        <f>IF(COUNT(AR30,BU30,CX30)&gt;0,LARGE((AR30,BU30,CX30),1),0)</f>
        <v>19.8</v>
      </c>
      <c r="O30" s="8" t="str">
        <f t="shared" si="6"/>
        <v>2023 Elite Canada</v>
      </c>
      <c r="P30" s="8">
        <f t="shared" si="7"/>
        <v>47.500000000000007</v>
      </c>
      <c r="Q30" s="8" t="str">
        <f t="shared" si="8"/>
        <v>2023 Elite Canada</v>
      </c>
      <c r="R30" s="8" t="str">
        <f t="shared" si="9"/>
        <v/>
      </c>
      <c r="S30" s="11" t="str">
        <f t="shared" si="10"/>
        <v/>
      </c>
      <c r="T30" s="8" t="str">
        <f t="shared" si="11"/>
        <v/>
      </c>
      <c r="U30" s="19"/>
      <c r="V30" s="19"/>
      <c r="W30" s="19"/>
      <c r="X30" s="19"/>
      <c r="Y30" s="19"/>
      <c r="Z30" s="19"/>
      <c r="AA30" s="19"/>
      <c r="AB30" s="19"/>
      <c r="AC30" s="19"/>
      <c r="AD30" s="19"/>
      <c r="AE30" s="19"/>
      <c r="AF30" s="19"/>
      <c r="AG30" s="19"/>
      <c r="AH30" s="19"/>
      <c r="AI30" s="19"/>
      <c r="AJ30" s="19"/>
      <c r="AK30" s="19"/>
      <c r="AL30" s="19"/>
      <c r="AM30" s="19"/>
      <c r="AN30" s="19"/>
      <c r="AO30" s="27"/>
      <c r="AP30" s="40" t="str">
        <f t="shared" si="12"/>
        <v/>
      </c>
      <c r="AQ30" s="40" t="str">
        <f t="shared" si="13"/>
        <v/>
      </c>
      <c r="AR30" s="40" t="str">
        <f t="shared" si="14"/>
        <v/>
      </c>
      <c r="AS30" s="40" t="str">
        <f t="shared" si="15"/>
        <v/>
      </c>
      <c r="AT30" s="40" t="str">
        <f t="shared" si="16"/>
        <v/>
      </c>
      <c r="AU30" s="40" t="str">
        <f t="shared" si="17"/>
        <v/>
      </c>
      <c r="AV30" s="40" t="str">
        <f t="shared" si="18"/>
        <v/>
      </c>
      <c r="AW30" s="40" t="str">
        <f t="shared" si="19"/>
        <v/>
      </c>
      <c r="AX30" s="18"/>
      <c r="AY30" s="18"/>
      <c r="AZ30" s="18"/>
      <c r="BA30" s="18"/>
      <c r="BB30" s="18"/>
      <c r="BC30" s="18"/>
      <c r="BD30" s="18"/>
      <c r="BE30" s="18"/>
      <c r="BF30" s="18"/>
      <c r="BG30" s="18"/>
      <c r="BH30" s="18"/>
      <c r="BI30" s="18"/>
      <c r="BJ30" s="18"/>
      <c r="BK30" s="18"/>
      <c r="BL30" s="18"/>
      <c r="BM30" s="18"/>
      <c r="BN30" s="18"/>
      <c r="BO30" s="18"/>
      <c r="BP30" s="18"/>
      <c r="BQ30" s="18"/>
      <c r="BR30" s="28"/>
      <c r="BS30" s="11" t="str">
        <f t="shared" si="20"/>
        <v/>
      </c>
      <c r="BT30" s="11" t="str">
        <f t="shared" si="21"/>
        <v/>
      </c>
      <c r="BU30" s="11" t="str">
        <f t="shared" si="22"/>
        <v/>
      </c>
      <c r="BV30" s="11" t="str">
        <f t="shared" si="23"/>
        <v/>
      </c>
      <c r="BW30" s="11" t="str">
        <f t="shared" si="24"/>
        <v/>
      </c>
      <c r="BX30" s="11" t="str">
        <f t="shared" si="25"/>
        <v/>
      </c>
      <c r="BY30" s="11" t="str">
        <f t="shared" si="26"/>
        <v/>
      </c>
      <c r="BZ30" s="11" t="str">
        <f t="shared" si="27"/>
        <v/>
      </c>
      <c r="CA30" s="19">
        <v>18.8</v>
      </c>
      <c r="CB30" s="19">
        <v>5.2</v>
      </c>
      <c r="CC30" s="19">
        <v>0.8</v>
      </c>
      <c r="CD30" s="19">
        <v>0</v>
      </c>
      <c r="CE30" s="19">
        <v>18.7</v>
      </c>
      <c r="CF30" s="19">
        <v>5.2</v>
      </c>
      <c r="CG30" s="19">
        <v>0</v>
      </c>
      <c r="CH30" s="19">
        <v>0</v>
      </c>
      <c r="CI30" s="19">
        <v>19.8</v>
      </c>
      <c r="CJ30" s="19">
        <v>0</v>
      </c>
      <c r="CK30" s="19">
        <v>0</v>
      </c>
      <c r="CL30" s="19">
        <v>0</v>
      </c>
      <c r="CM30" s="19">
        <v>18.8</v>
      </c>
      <c r="CN30" s="19">
        <v>5.2</v>
      </c>
      <c r="CO30" s="19">
        <v>0.2</v>
      </c>
      <c r="CP30" s="19">
        <v>0</v>
      </c>
      <c r="CQ30" s="19">
        <v>18.7</v>
      </c>
      <c r="CR30" s="19">
        <v>5.2</v>
      </c>
      <c r="CS30" s="19">
        <v>0.2</v>
      </c>
      <c r="CT30" s="19">
        <v>0</v>
      </c>
      <c r="CU30" s="27"/>
      <c r="CV30" s="40">
        <f t="shared" si="28"/>
        <v>10.4</v>
      </c>
      <c r="CW30" s="40">
        <f t="shared" si="29"/>
        <v>47.100000000000009</v>
      </c>
      <c r="CX30" s="40">
        <f t="shared" si="30"/>
        <v>19.8</v>
      </c>
      <c r="CY30" s="40">
        <f t="shared" si="31"/>
        <v>10.4</v>
      </c>
      <c r="CZ30" s="40">
        <f t="shared" si="32"/>
        <v>66.900000000000006</v>
      </c>
      <c r="DA30" s="40">
        <f t="shared" si="33"/>
        <v>10.4</v>
      </c>
      <c r="DB30" s="40">
        <f t="shared" si="34"/>
        <v>47.500000000000007</v>
      </c>
      <c r="DC30" s="40">
        <f t="shared" si="35"/>
        <v>94.600000000000023</v>
      </c>
      <c r="DD30" s="50" t="str">
        <f t="shared" si="36"/>
        <v/>
      </c>
      <c r="DE30" s="50" t="str">
        <f t="shared" si="37"/>
        <v/>
      </c>
      <c r="DF30" s="50" t="str">
        <f t="shared" si="38"/>
        <v/>
      </c>
      <c r="DG30" s="17"/>
      <c r="DH30" s="17"/>
      <c r="DI30" s="17"/>
      <c r="DJ30" s="17"/>
      <c r="DK30" s="17"/>
      <c r="DL30" s="17"/>
      <c r="DM30" s="17"/>
      <c r="DN30" s="17"/>
      <c r="DO30" s="17"/>
      <c r="DP30" s="17"/>
      <c r="DQ30" s="17"/>
      <c r="DR30" s="17"/>
      <c r="DS30" s="17"/>
      <c r="DT30" s="17"/>
      <c r="DU30" s="17"/>
      <c r="DV30" s="17"/>
      <c r="DW30" s="17"/>
      <c r="DX30" s="17"/>
      <c r="DY30" s="17"/>
      <c r="DZ30" s="17"/>
      <c r="EA30" s="40" t="str">
        <f t="shared" si="39"/>
        <v/>
      </c>
      <c r="EB30" s="40" t="str">
        <f t="shared" si="40"/>
        <v/>
      </c>
      <c r="EC30" s="40" t="str">
        <f t="shared" si="41"/>
        <v/>
      </c>
      <c r="ED30" s="40" t="str">
        <f t="shared" si="42"/>
        <v/>
      </c>
      <c r="EE30" s="40" t="str">
        <f t="shared" si="43"/>
        <v/>
      </c>
      <c r="EF30" s="40" t="str">
        <f t="shared" si="44"/>
        <v/>
      </c>
      <c r="EG30" s="40" t="str">
        <f t="shared" si="45"/>
        <v/>
      </c>
      <c r="EH30" s="40" t="str">
        <f t="shared" si="46"/>
        <v/>
      </c>
      <c r="EI30" s="18"/>
      <c r="EJ30" s="18"/>
      <c r="EK30" s="18"/>
      <c r="EL30" s="18"/>
      <c r="EM30" s="18"/>
      <c r="EN30" s="18"/>
      <c r="EO30" s="18"/>
      <c r="EP30" s="18"/>
      <c r="EQ30" s="18"/>
      <c r="ER30" s="18"/>
      <c r="ES30" s="18"/>
      <c r="ET30" s="18"/>
      <c r="EU30" s="18"/>
      <c r="EV30" s="18"/>
      <c r="EW30" s="18"/>
      <c r="EX30" s="18"/>
      <c r="EY30" s="18"/>
      <c r="EZ30" s="18"/>
      <c r="FA30" s="18"/>
      <c r="FB30" s="18"/>
      <c r="FC30" s="11" t="str">
        <f t="shared" si="47"/>
        <v/>
      </c>
      <c r="FD30" s="11" t="str">
        <f t="shared" si="48"/>
        <v/>
      </c>
      <c r="FE30" s="11" t="str">
        <f t="shared" si="49"/>
        <v/>
      </c>
      <c r="FF30" s="11" t="str">
        <f t="shared" si="50"/>
        <v/>
      </c>
      <c r="FG30" s="11" t="str">
        <f t="shared" si="51"/>
        <v/>
      </c>
      <c r="FH30" s="11" t="str">
        <f t="shared" si="52"/>
        <v/>
      </c>
      <c r="FI30" s="11" t="str">
        <f t="shared" si="53"/>
        <v/>
      </c>
      <c r="FJ30" s="11" t="str">
        <f t="shared" si="54"/>
        <v/>
      </c>
      <c r="FK30" s="17"/>
      <c r="FL30" s="17"/>
      <c r="FM30" s="17"/>
      <c r="FN30" s="17"/>
      <c r="FO30" s="17"/>
      <c r="FP30" s="17"/>
      <c r="FQ30" s="17"/>
      <c r="FR30" s="17"/>
      <c r="FS30" s="17"/>
      <c r="FT30" s="17"/>
      <c r="FU30" s="17"/>
      <c r="FV30" s="17"/>
      <c r="FW30" s="17"/>
      <c r="FX30" s="17"/>
      <c r="FY30" s="17"/>
      <c r="FZ30" s="17"/>
      <c r="GA30" s="17"/>
      <c r="GB30" s="17"/>
      <c r="GC30" s="17"/>
      <c r="GD30" s="17"/>
      <c r="GE30" s="40" t="str">
        <f t="shared" si="55"/>
        <v/>
      </c>
      <c r="GF30" s="40" t="str">
        <f t="shared" si="56"/>
        <v/>
      </c>
      <c r="GG30" s="40" t="str">
        <f t="shared" si="57"/>
        <v/>
      </c>
      <c r="GH30" s="40" t="str">
        <f t="shared" si="58"/>
        <v/>
      </c>
      <c r="GI30" s="40" t="str">
        <f t="shared" si="59"/>
        <v/>
      </c>
      <c r="GJ30" s="40" t="str">
        <f t="shared" si="60"/>
        <v/>
      </c>
      <c r="GK30" s="40" t="str">
        <f t="shared" si="61"/>
        <v/>
      </c>
      <c r="GL30" s="40" t="str">
        <f t="shared" si="62"/>
        <v/>
      </c>
      <c r="GM30" s="18"/>
      <c r="GN30" s="18"/>
      <c r="GO30" s="18"/>
      <c r="GP30" s="18"/>
      <c r="GQ30" s="18"/>
      <c r="GR30" s="18"/>
      <c r="GS30" s="18"/>
      <c r="GT30" s="18"/>
      <c r="GU30" s="18"/>
      <c r="GV30" s="18"/>
      <c r="GW30" s="18"/>
      <c r="GX30" s="18"/>
      <c r="GY30" s="18"/>
      <c r="GZ30" s="18"/>
      <c r="HA30" s="18"/>
      <c r="HB30" s="18"/>
      <c r="HC30" s="18"/>
      <c r="HD30" s="18"/>
      <c r="HE30" s="18"/>
      <c r="HF30" s="18"/>
      <c r="HG30" s="11" t="str">
        <f t="shared" si="63"/>
        <v/>
      </c>
      <c r="HH30" s="11" t="str">
        <f t="shared" si="64"/>
        <v/>
      </c>
      <c r="HI30" s="11" t="str">
        <f t="shared" si="65"/>
        <v/>
      </c>
      <c r="HJ30" s="11" t="str">
        <f t="shared" si="66"/>
        <v/>
      </c>
      <c r="HK30" s="11" t="str">
        <f t="shared" si="67"/>
        <v/>
      </c>
      <c r="HL30" s="11" t="str">
        <f t="shared" si="68"/>
        <v/>
      </c>
      <c r="HM30" s="11" t="str">
        <f t="shared" si="69"/>
        <v/>
      </c>
      <c r="HN30" s="11" t="str">
        <f t="shared" si="70"/>
        <v/>
      </c>
      <c r="HO30" s="17"/>
      <c r="HP30" s="17"/>
      <c r="HQ30" s="17"/>
      <c r="HR30" s="17"/>
      <c r="HS30" s="17"/>
      <c r="HT30" s="17"/>
      <c r="HU30" s="17"/>
      <c r="HV30" s="17"/>
      <c r="HW30" s="17"/>
      <c r="HX30" s="17"/>
      <c r="HY30" s="17"/>
      <c r="HZ30" s="17"/>
      <c r="IA30" s="17"/>
      <c r="IB30" s="17"/>
      <c r="IC30" s="17"/>
      <c r="ID30" s="17"/>
      <c r="IE30" s="17"/>
      <c r="IF30" s="17"/>
      <c r="IG30" s="17"/>
      <c r="IH30" s="17"/>
      <c r="II30" s="40" t="str">
        <f t="shared" si="71"/>
        <v/>
      </c>
      <c r="IJ30" s="40" t="str">
        <f t="shared" si="72"/>
        <v/>
      </c>
      <c r="IK30" s="40" t="str">
        <f t="shared" si="73"/>
        <v/>
      </c>
      <c r="IL30" s="40" t="str">
        <f t="shared" si="74"/>
        <v/>
      </c>
      <c r="IM30" s="40" t="str">
        <f t="shared" si="75"/>
        <v/>
      </c>
      <c r="IN30" s="40" t="str">
        <f t="shared" si="76"/>
        <v/>
      </c>
      <c r="IO30" s="40" t="str">
        <f t="shared" si="77"/>
        <v/>
      </c>
      <c r="IP30" s="40" t="str">
        <f t="shared" si="78"/>
        <v/>
      </c>
      <c r="IQ30" s="18"/>
      <c r="IR30" s="18"/>
      <c r="IS30" s="18"/>
      <c r="IT30" s="18"/>
      <c r="IU30" s="18"/>
      <c r="IV30" s="18"/>
      <c r="IW30" s="18"/>
      <c r="IX30" s="18"/>
      <c r="IY30" s="18"/>
      <c r="IZ30" s="18"/>
      <c r="JA30" s="18"/>
      <c r="JB30" s="18"/>
      <c r="JC30" s="18"/>
      <c r="JD30" s="18"/>
      <c r="JE30" s="18"/>
      <c r="JF30" s="18"/>
      <c r="JG30" s="18"/>
      <c r="JH30" s="18"/>
      <c r="JI30" s="18"/>
      <c r="JJ30" s="18"/>
      <c r="JK30" s="11" t="str">
        <f t="shared" si="79"/>
        <v/>
      </c>
      <c r="JL30" s="11" t="str">
        <f t="shared" si="80"/>
        <v/>
      </c>
      <c r="JM30" s="11" t="str">
        <f t="shared" si="81"/>
        <v/>
      </c>
      <c r="JN30" s="11" t="str">
        <f t="shared" si="82"/>
        <v/>
      </c>
      <c r="JO30" s="11" t="str">
        <f t="shared" si="83"/>
        <v/>
      </c>
      <c r="JP30" s="11" t="str">
        <f t="shared" si="84"/>
        <v/>
      </c>
      <c r="JQ30" s="11" t="str">
        <f t="shared" si="85"/>
        <v/>
      </c>
      <c r="JR30" s="11" t="str">
        <f t="shared" si="86"/>
        <v/>
      </c>
      <c r="JS30" s="17"/>
      <c r="JT30" s="17"/>
      <c r="JU30" s="17"/>
      <c r="JV30" s="17"/>
      <c r="JW30" s="17"/>
      <c r="JX30" s="17"/>
      <c r="JY30" s="17"/>
      <c r="JZ30" s="17"/>
      <c r="KA30" s="17"/>
      <c r="KB30" s="17"/>
      <c r="KC30" s="17"/>
      <c r="KD30" s="17"/>
      <c r="KE30" s="17"/>
      <c r="KF30" s="17"/>
      <c r="KG30" s="17"/>
      <c r="KH30" s="17"/>
      <c r="KI30" s="17"/>
      <c r="KJ30" s="17"/>
      <c r="KK30" s="17"/>
      <c r="KL30" s="17"/>
      <c r="KM30" s="40" t="str">
        <f t="shared" si="87"/>
        <v/>
      </c>
      <c r="KN30" s="40" t="str">
        <f t="shared" si="88"/>
        <v/>
      </c>
      <c r="KO30" s="40" t="str">
        <f t="shared" si="89"/>
        <v/>
      </c>
      <c r="KP30" s="40" t="str">
        <f t="shared" si="90"/>
        <v/>
      </c>
      <c r="KQ30" s="40" t="str">
        <f t="shared" si="91"/>
        <v/>
      </c>
      <c r="KR30" s="40" t="str">
        <f t="shared" si="92"/>
        <v/>
      </c>
      <c r="KS30" s="40" t="str">
        <f t="shared" si="93"/>
        <v/>
      </c>
      <c r="KT30" s="40" t="str">
        <f t="shared" si="94"/>
        <v/>
      </c>
      <c r="KU30" s="18"/>
      <c r="KV30" s="18"/>
      <c r="KW30" s="18"/>
      <c r="KX30" s="18"/>
      <c r="KY30" s="18"/>
      <c r="KZ30" s="18"/>
      <c r="LA30" s="18"/>
      <c r="LB30" s="18"/>
      <c r="LC30" s="18"/>
      <c r="LD30" s="18"/>
      <c r="LE30" s="18"/>
      <c r="LF30" s="18"/>
      <c r="LG30" s="18"/>
      <c r="LH30" s="18"/>
      <c r="LI30" s="18"/>
      <c r="LJ30" s="18"/>
      <c r="LK30" s="18"/>
      <c r="LL30" s="18"/>
      <c r="LM30" s="18"/>
      <c r="LN30" s="18"/>
      <c r="LO30" s="11" t="str">
        <f t="shared" si="95"/>
        <v/>
      </c>
      <c r="LP30" s="11" t="str">
        <f t="shared" si="96"/>
        <v/>
      </c>
      <c r="LQ30" s="11" t="str">
        <f t="shared" si="97"/>
        <v/>
      </c>
      <c r="LR30" s="11" t="str">
        <f t="shared" si="98"/>
        <v/>
      </c>
      <c r="LS30" s="11" t="str">
        <f t="shared" si="99"/>
        <v/>
      </c>
      <c r="LT30" s="11" t="str">
        <f t="shared" si="100"/>
        <v/>
      </c>
      <c r="LU30" s="11" t="str">
        <f t="shared" si="101"/>
        <v/>
      </c>
      <c r="LV30" s="11" t="str">
        <f t="shared" si="102"/>
        <v/>
      </c>
      <c r="LW30" s="17"/>
      <c r="LX30" s="17"/>
      <c r="LY30" s="17"/>
      <c r="LZ30" s="17"/>
      <c r="MA30" s="17"/>
      <c r="MB30" s="17"/>
      <c r="MC30" s="17"/>
      <c r="MD30" s="17"/>
      <c r="ME30" s="17"/>
      <c r="MF30" s="17"/>
      <c r="MG30" s="17"/>
      <c r="MH30" s="17"/>
      <c r="MI30" s="17"/>
      <c r="MJ30" s="17"/>
      <c r="MK30" s="17"/>
      <c r="ML30" s="17"/>
      <c r="MM30" s="17"/>
      <c r="MN30" s="17"/>
      <c r="MO30" s="17"/>
      <c r="MP30" s="17"/>
      <c r="MQ30" s="40" t="str">
        <f t="shared" si="103"/>
        <v/>
      </c>
      <c r="MR30" s="40" t="str">
        <f t="shared" si="104"/>
        <v/>
      </c>
      <c r="MS30" s="40" t="str">
        <f t="shared" si="105"/>
        <v/>
      </c>
      <c r="MT30" s="40" t="str">
        <f t="shared" si="106"/>
        <v/>
      </c>
      <c r="MU30" s="40" t="str">
        <f t="shared" si="107"/>
        <v/>
      </c>
      <c r="MV30" s="40" t="str">
        <f t="shared" si="108"/>
        <v/>
      </c>
      <c r="MW30" s="40" t="str">
        <f t="shared" si="109"/>
        <v/>
      </c>
      <c r="MX30" s="40" t="str">
        <f t="shared" si="110"/>
        <v/>
      </c>
      <c r="MY30" s="18"/>
      <c r="MZ30" s="18"/>
      <c r="NA30" s="18"/>
      <c r="NB30" s="18"/>
      <c r="NC30" s="18"/>
      <c r="ND30" s="18"/>
      <c r="NE30" s="18"/>
      <c r="NF30" s="18"/>
      <c r="NG30" s="18"/>
      <c r="NH30" s="18"/>
      <c r="NI30" s="18"/>
      <c r="NJ30" s="18"/>
      <c r="NK30" s="18"/>
      <c r="NL30" s="18"/>
      <c r="NM30" s="18"/>
      <c r="NN30" s="18"/>
      <c r="NO30" s="18"/>
      <c r="NP30" s="18"/>
      <c r="NQ30" s="18"/>
      <c r="NR30" s="18"/>
      <c r="NS30" s="11" t="str">
        <f t="shared" si="111"/>
        <v/>
      </c>
      <c r="NT30" s="11" t="str">
        <f t="shared" si="112"/>
        <v/>
      </c>
      <c r="NU30" s="11" t="str">
        <f t="shared" si="113"/>
        <v/>
      </c>
      <c r="NV30" s="11" t="str">
        <f t="shared" si="114"/>
        <v/>
      </c>
      <c r="NW30" s="11" t="str">
        <f t="shared" si="115"/>
        <v/>
      </c>
      <c r="NX30" s="11" t="str">
        <f t="shared" si="116"/>
        <v/>
      </c>
      <c r="NY30" s="11" t="str">
        <f t="shared" si="117"/>
        <v/>
      </c>
      <c r="NZ30" s="11" t="str">
        <f t="shared" si="118"/>
        <v/>
      </c>
      <c r="OA30" s="17"/>
      <c r="OB30" s="17"/>
      <c r="OC30" s="17"/>
      <c r="OD30" s="17"/>
      <c r="OE30" s="17"/>
      <c r="OF30" s="17"/>
      <c r="OG30" s="17"/>
      <c r="OH30" s="17"/>
      <c r="OI30" s="17"/>
      <c r="OJ30" s="17"/>
      <c r="OK30" s="17"/>
      <c r="OL30" s="17"/>
      <c r="OM30" s="17"/>
      <c r="ON30" s="17"/>
      <c r="OO30" s="17"/>
      <c r="OP30" s="17"/>
      <c r="OQ30" s="17"/>
      <c r="OR30" s="17"/>
      <c r="OS30" s="17"/>
      <c r="OT30" s="17"/>
      <c r="OU30" s="40" t="str">
        <f t="shared" si="119"/>
        <v/>
      </c>
      <c r="OV30" s="40" t="str">
        <f t="shared" si="120"/>
        <v/>
      </c>
      <c r="OW30" s="40" t="str">
        <f t="shared" si="121"/>
        <v/>
      </c>
      <c r="OX30" s="40" t="str">
        <f t="shared" si="122"/>
        <v/>
      </c>
      <c r="OY30" s="40" t="str">
        <f t="shared" si="123"/>
        <v/>
      </c>
      <c r="OZ30" s="40" t="str">
        <f t="shared" si="124"/>
        <v/>
      </c>
      <c r="PA30" s="40" t="str">
        <f t="shared" si="125"/>
        <v/>
      </c>
      <c r="PB30" s="40" t="str">
        <f t="shared" si="126"/>
        <v/>
      </c>
      <c r="PC30" s="18"/>
      <c r="PD30" s="18"/>
      <c r="PE30" s="18"/>
      <c r="PF30" s="18"/>
      <c r="PG30" s="18"/>
      <c r="PH30" s="18"/>
      <c r="PI30" s="18"/>
      <c r="PJ30" s="18"/>
      <c r="PK30" s="18"/>
      <c r="PL30" s="18"/>
      <c r="PM30" s="18"/>
      <c r="PN30" s="18"/>
      <c r="PO30" s="18"/>
      <c r="PP30" s="18"/>
      <c r="PQ30" s="18"/>
      <c r="PR30" s="18"/>
      <c r="PS30" s="18"/>
      <c r="PT30" s="18"/>
      <c r="PU30" s="18"/>
      <c r="PV30" s="18"/>
      <c r="PW30" s="11" t="str">
        <f t="shared" si="127"/>
        <v/>
      </c>
      <c r="PX30" s="11" t="str">
        <f t="shared" si="128"/>
        <v/>
      </c>
      <c r="PY30" s="11" t="str">
        <f t="shared" si="129"/>
        <v/>
      </c>
      <c r="PZ30" s="11" t="str">
        <f t="shared" si="130"/>
        <v/>
      </c>
      <c r="QA30" s="11" t="str">
        <f t="shared" si="131"/>
        <v/>
      </c>
      <c r="QB30" s="11" t="str">
        <f t="shared" si="132"/>
        <v/>
      </c>
      <c r="QC30" s="11" t="str">
        <f t="shared" si="133"/>
        <v/>
      </c>
      <c r="QD30" s="11" t="str">
        <f t="shared" si="134"/>
        <v/>
      </c>
      <c r="QE30" s="22">
        <f t="shared" si="135"/>
        <v>9.4</v>
      </c>
      <c r="QF30" s="22">
        <f t="shared" si="136"/>
        <v>2.6</v>
      </c>
      <c r="QG30" s="22">
        <f t="shared" si="137"/>
        <v>0.4</v>
      </c>
      <c r="QH30" s="22">
        <f t="shared" si="138"/>
        <v>0</v>
      </c>
      <c r="QI30" s="22">
        <f t="shared" si="139"/>
        <v>9.35</v>
      </c>
      <c r="QJ30" s="22">
        <f t="shared" si="140"/>
        <v>2.6</v>
      </c>
      <c r="QK30" s="22">
        <f t="shared" si="141"/>
        <v>0</v>
      </c>
      <c r="QL30" s="22">
        <f t="shared" si="142"/>
        <v>0</v>
      </c>
      <c r="QM30" s="22">
        <f t="shared" si="143"/>
        <v>9.9</v>
      </c>
      <c r="QN30" s="22">
        <f t="shared" si="144"/>
        <v>0</v>
      </c>
      <c r="QO30" s="22">
        <f t="shared" si="145"/>
        <v>0</v>
      </c>
      <c r="QP30" s="22">
        <f t="shared" si="146"/>
        <v>0</v>
      </c>
      <c r="QQ30" s="22">
        <f t="shared" si="147"/>
        <v>9.4</v>
      </c>
      <c r="QR30" s="22">
        <f t="shared" si="148"/>
        <v>2.6</v>
      </c>
      <c r="QS30" s="22">
        <f t="shared" si="149"/>
        <v>0.1</v>
      </c>
      <c r="QT30" s="22">
        <f t="shared" si="150"/>
        <v>0</v>
      </c>
      <c r="QU30" s="22">
        <f t="shared" si="151"/>
        <v>9.35</v>
      </c>
      <c r="QV30" s="22">
        <f t="shared" si="152"/>
        <v>2.6</v>
      </c>
      <c r="QW30" s="22">
        <f t="shared" si="153"/>
        <v>0.1</v>
      </c>
      <c r="QX30" s="22">
        <f t="shared" si="154"/>
        <v>0</v>
      </c>
      <c r="QY30" s="27" t="s">
        <v>46</v>
      </c>
      <c r="QZ30" s="40">
        <f t="shared" si="155"/>
        <v>5.2</v>
      </c>
      <c r="RA30" s="40">
        <f t="shared" si="156"/>
        <v>23.550000000000004</v>
      </c>
      <c r="RB30" s="40">
        <f t="shared" si="157"/>
        <v>9.9</v>
      </c>
      <c r="RC30" s="40">
        <f t="shared" si="158"/>
        <v>5.2</v>
      </c>
      <c r="RD30" s="40">
        <f t="shared" si="159"/>
        <v>33.450000000000003</v>
      </c>
      <c r="RE30" s="40">
        <f t="shared" si="160"/>
        <v>5.2</v>
      </c>
      <c r="RF30" s="40">
        <f t="shared" si="161"/>
        <v>23.750000000000004</v>
      </c>
      <c r="RG30" s="40">
        <f t="shared" si="162"/>
        <v>47.300000000000011</v>
      </c>
    </row>
    <row r="31" spans="1:475" x14ac:dyDescent="0.2">
      <c r="A31" s="4" t="str">
        <f t="shared" si="164"/>
        <v/>
      </c>
      <c r="B31" s="5" t="s">
        <v>106</v>
      </c>
      <c r="C31" s="4" t="s">
        <v>5</v>
      </c>
      <c r="D31" s="4">
        <v>2005</v>
      </c>
      <c r="E31" s="9">
        <f t="shared" si="163"/>
        <v>73.000007300002594</v>
      </c>
      <c r="F31" s="3" t="str">
        <f t="shared" si="0"/>
        <v/>
      </c>
      <c r="G31" s="3" t="str">
        <f t="shared" si="1"/>
        <v/>
      </c>
      <c r="H31" s="36" t="str">
        <f t="shared" si="2"/>
        <v/>
      </c>
      <c r="I31" s="3" t="str">
        <f t="shared" si="3"/>
        <v/>
      </c>
      <c r="J31" s="8">
        <f>IF(COUNT(AQ31,BT31,CW31)&gt;0,LARGE((AQ31,BT31,CW31),1),0)</f>
        <v>26</v>
      </c>
      <c r="K31" s="8" t="str">
        <f t="shared" si="4"/>
        <v>2022 3rd Domestic Trial</v>
      </c>
      <c r="L31" s="8">
        <f>IF(COUNT(AQ31,BT31,CW31)&gt;1,LARGE((AQ31,BT31,CW31),2),0)</f>
        <v>24.6</v>
      </c>
      <c r="M31" s="8" t="str">
        <f t="shared" si="5"/>
        <v>2022 Nationals</v>
      </c>
      <c r="N31" s="8">
        <f>IF(COUNT(AR31,BU31,CX31)&gt;0,LARGE((AR31,BU31,CX31),1),0)</f>
        <v>22.400000000000002</v>
      </c>
      <c r="O31" s="8" t="str">
        <f t="shared" si="6"/>
        <v>2022 3rd Domestic Trial</v>
      </c>
      <c r="P31" s="8">
        <f t="shared" si="7"/>
        <v>0</v>
      </c>
      <c r="Q31" s="8" t="str">
        <f t="shared" si="8"/>
        <v/>
      </c>
      <c r="R31" s="8" t="str">
        <f t="shared" si="9"/>
        <v/>
      </c>
      <c r="S31" s="11" t="str">
        <f t="shared" si="10"/>
        <v/>
      </c>
      <c r="T31" s="8" t="str">
        <f t="shared" si="11"/>
        <v/>
      </c>
      <c r="U31" s="19">
        <v>18.8</v>
      </c>
      <c r="V31" s="19">
        <v>6</v>
      </c>
      <c r="W31" s="19">
        <v>0.2</v>
      </c>
      <c r="X31" s="19">
        <v>0</v>
      </c>
      <c r="Y31" s="19">
        <v>0</v>
      </c>
      <c r="Z31" s="19">
        <v>0</v>
      </c>
      <c r="AA31" s="19">
        <v>0</v>
      </c>
      <c r="AB31" s="19">
        <v>0</v>
      </c>
      <c r="AC31" s="19">
        <v>0</v>
      </c>
      <c r="AD31" s="19">
        <v>0</v>
      </c>
      <c r="AE31" s="19">
        <v>0</v>
      </c>
      <c r="AF31" s="19">
        <v>0</v>
      </c>
      <c r="AG31" s="19"/>
      <c r="AH31" s="19"/>
      <c r="AI31" s="19"/>
      <c r="AJ31" s="19"/>
      <c r="AK31" s="19"/>
      <c r="AL31" s="19"/>
      <c r="AM31" s="19"/>
      <c r="AN31" s="19"/>
      <c r="AO31" s="27"/>
      <c r="AP31" s="40">
        <f t="shared" si="12"/>
        <v>6</v>
      </c>
      <c r="AQ31" s="40">
        <f t="shared" si="13"/>
        <v>24.6</v>
      </c>
      <c r="AR31" s="40" t="str">
        <f t="shared" si="14"/>
        <v/>
      </c>
      <c r="AS31" s="40">
        <f t="shared" si="15"/>
        <v>6</v>
      </c>
      <c r="AT31" s="40">
        <f t="shared" si="16"/>
        <v>24.6</v>
      </c>
      <c r="AU31" s="40" t="str">
        <f t="shared" si="17"/>
        <v/>
      </c>
      <c r="AV31" s="40" t="str">
        <f t="shared" si="18"/>
        <v/>
      </c>
      <c r="AW31" s="40">
        <f t="shared" si="19"/>
        <v>24.6</v>
      </c>
      <c r="AX31" s="18">
        <v>19</v>
      </c>
      <c r="AY31" s="18">
        <v>7.2</v>
      </c>
      <c r="AZ31" s="18">
        <v>0.2</v>
      </c>
      <c r="BA31" s="18">
        <v>0</v>
      </c>
      <c r="BB31" s="18">
        <v>0</v>
      </c>
      <c r="BC31" s="18">
        <v>0</v>
      </c>
      <c r="BD31" s="18">
        <v>0</v>
      </c>
      <c r="BE31" s="18">
        <v>0</v>
      </c>
      <c r="BF31" s="18">
        <v>16.600000000000001</v>
      </c>
      <c r="BG31" s="18">
        <v>6.8</v>
      </c>
      <c r="BH31" s="18">
        <v>1</v>
      </c>
      <c r="BI31" s="18">
        <v>0</v>
      </c>
      <c r="BJ31" s="18"/>
      <c r="BK31" s="18"/>
      <c r="BL31" s="18"/>
      <c r="BM31" s="18"/>
      <c r="BN31" s="18"/>
      <c r="BO31" s="18"/>
      <c r="BP31" s="18"/>
      <c r="BQ31" s="18"/>
      <c r="BR31" s="28"/>
      <c r="BS31" s="11">
        <f t="shared" si="20"/>
        <v>7.2</v>
      </c>
      <c r="BT31" s="11">
        <f t="shared" si="21"/>
        <v>26</v>
      </c>
      <c r="BU31" s="11">
        <f t="shared" si="22"/>
        <v>22.400000000000002</v>
      </c>
      <c r="BV31" s="11">
        <f t="shared" si="23"/>
        <v>14</v>
      </c>
      <c r="BW31" s="11">
        <f t="shared" si="24"/>
        <v>48.400000000000006</v>
      </c>
      <c r="BX31" s="11" t="str">
        <f t="shared" si="25"/>
        <v/>
      </c>
      <c r="BY31" s="11" t="str">
        <f t="shared" si="26"/>
        <v/>
      </c>
      <c r="BZ31" s="11">
        <f t="shared" si="27"/>
        <v>26</v>
      </c>
      <c r="CA31" s="19"/>
      <c r="CB31" s="19"/>
      <c r="CC31" s="19"/>
      <c r="CD31" s="19"/>
      <c r="CE31" s="19"/>
      <c r="CF31" s="19"/>
      <c r="CG31" s="19"/>
      <c r="CH31" s="19"/>
      <c r="CI31" s="19"/>
      <c r="CJ31" s="19"/>
      <c r="CK31" s="19"/>
      <c r="CL31" s="19"/>
      <c r="CM31" s="19"/>
      <c r="CN31" s="19"/>
      <c r="CO31" s="19"/>
      <c r="CP31" s="19"/>
      <c r="CQ31" s="19"/>
      <c r="CR31" s="19"/>
      <c r="CS31" s="19"/>
      <c r="CT31" s="19"/>
      <c r="CU31" s="27"/>
      <c r="CV31" s="40" t="str">
        <f t="shared" si="28"/>
        <v/>
      </c>
      <c r="CW31" s="40" t="str">
        <f t="shared" si="29"/>
        <v/>
      </c>
      <c r="CX31" s="40" t="str">
        <f t="shared" si="30"/>
        <v/>
      </c>
      <c r="CY31" s="40" t="str">
        <f t="shared" si="31"/>
        <v/>
      </c>
      <c r="CZ31" s="40" t="str">
        <f t="shared" si="32"/>
        <v/>
      </c>
      <c r="DA31" s="40" t="str">
        <f t="shared" si="33"/>
        <v/>
      </c>
      <c r="DB31" s="40" t="str">
        <f t="shared" si="34"/>
        <v/>
      </c>
      <c r="DC31" s="40" t="str">
        <f t="shared" si="35"/>
        <v/>
      </c>
      <c r="DD31" s="50" t="str">
        <f t="shared" si="36"/>
        <v/>
      </c>
      <c r="DE31" s="50" t="str">
        <f t="shared" si="37"/>
        <v/>
      </c>
      <c r="DF31" s="50" t="str">
        <f t="shared" si="38"/>
        <v/>
      </c>
      <c r="DG31" s="17"/>
      <c r="DH31" s="17"/>
      <c r="DI31" s="17"/>
      <c r="DJ31" s="17"/>
      <c r="DK31" s="17"/>
      <c r="DL31" s="17"/>
      <c r="DM31" s="17"/>
      <c r="DN31" s="17"/>
      <c r="DO31" s="17"/>
      <c r="DP31" s="17"/>
      <c r="DQ31" s="17"/>
      <c r="DR31" s="17"/>
      <c r="DS31" s="17"/>
      <c r="DT31" s="17"/>
      <c r="DU31" s="17"/>
      <c r="DV31" s="17"/>
      <c r="DW31" s="17"/>
      <c r="DX31" s="17"/>
      <c r="DY31" s="17"/>
      <c r="DZ31" s="17"/>
      <c r="EA31" s="40" t="str">
        <f t="shared" si="39"/>
        <v/>
      </c>
      <c r="EB31" s="40" t="str">
        <f t="shared" si="40"/>
        <v/>
      </c>
      <c r="EC31" s="40" t="str">
        <f t="shared" si="41"/>
        <v/>
      </c>
      <c r="ED31" s="40" t="str">
        <f t="shared" si="42"/>
        <v/>
      </c>
      <c r="EE31" s="40" t="str">
        <f t="shared" si="43"/>
        <v/>
      </c>
      <c r="EF31" s="40" t="str">
        <f t="shared" si="44"/>
        <v/>
      </c>
      <c r="EG31" s="40" t="str">
        <f t="shared" si="45"/>
        <v/>
      </c>
      <c r="EH31" s="40" t="str">
        <f t="shared" si="46"/>
        <v/>
      </c>
      <c r="EI31" s="18"/>
      <c r="EJ31" s="18"/>
      <c r="EK31" s="18"/>
      <c r="EL31" s="18"/>
      <c r="EM31" s="18"/>
      <c r="EN31" s="18"/>
      <c r="EO31" s="18"/>
      <c r="EP31" s="18"/>
      <c r="EQ31" s="18"/>
      <c r="ER31" s="18"/>
      <c r="ES31" s="18"/>
      <c r="ET31" s="18"/>
      <c r="EU31" s="18"/>
      <c r="EV31" s="18"/>
      <c r="EW31" s="18"/>
      <c r="EX31" s="18"/>
      <c r="EY31" s="18"/>
      <c r="EZ31" s="18"/>
      <c r="FA31" s="18"/>
      <c r="FB31" s="18"/>
      <c r="FC31" s="11" t="str">
        <f t="shared" si="47"/>
        <v/>
      </c>
      <c r="FD31" s="11" t="str">
        <f t="shared" si="48"/>
        <v/>
      </c>
      <c r="FE31" s="11" t="str">
        <f t="shared" si="49"/>
        <v/>
      </c>
      <c r="FF31" s="11" t="str">
        <f t="shared" si="50"/>
        <v/>
      </c>
      <c r="FG31" s="11" t="str">
        <f t="shared" si="51"/>
        <v/>
      </c>
      <c r="FH31" s="11" t="str">
        <f t="shared" si="52"/>
        <v/>
      </c>
      <c r="FI31" s="11" t="str">
        <f t="shared" si="53"/>
        <v/>
      </c>
      <c r="FJ31" s="11" t="str">
        <f t="shared" si="54"/>
        <v/>
      </c>
      <c r="FK31" s="17"/>
      <c r="FL31" s="17"/>
      <c r="FM31" s="17"/>
      <c r="FN31" s="17"/>
      <c r="FO31" s="17"/>
      <c r="FP31" s="17"/>
      <c r="FQ31" s="17"/>
      <c r="FR31" s="17"/>
      <c r="FS31" s="17"/>
      <c r="FT31" s="17"/>
      <c r="FU31" s="17"/>
      <c r="FV31" s="17"/>
      <c r="FW31" s="17"/>
      <c r="FX31" s="17"/>
      <c r="FY31" s="17"/>
      <c r="FZ31" s="17"/>
      <c r="GA31" s="17"/>
      <c r="GB31" s="17"/>
      <c r="GC31" s="17"/>
      <c r="GD31" s="17"/>
      <c r="GE31" s="40" t="str">
        <f t="shared" si="55"/>
        <v/>
      </c>
      <c r="GF31" s="40" t="str">
        <f t="shared" si="56"/>
        <v/>
      </c>
      <c r="GG31" s="40" t="str">
        <f t="shared" si="57"/>
        <v/>
      </c>
      <c r="GH31" s="40" t="str">
        <f t="shared" si="58"/>
        <v/>
      </c>
      <c r="GI31" s="40" t="str">
        <f t="shared" si="59"/>
        <v/>
      </c>
      <c r="GJ31" s="40" t="str">
        <f t="shared" si="60"/>
        <v/>
      </c>
      <c r="GK31" s="40" t="str">
        <f t="shared" si="61"/>
        <v/>
      </c>
      <c r="GL31" s="40" t="str">
        <f t="shared" si="62"/>
        <v/>
      </c>
      <c r="GM31" s="18"/>
      <c r="GN31" s="18"/>
      <c r="GO31" s="18"/>
      <c r="GP31" s="18"/>
      <c r="GQ31" s="18"/>
      <c r="GR31" s="18"/>
      <c r="GS31" s="18"/>
      <c r="GT31" s="18"/>
      <c r="GU31" s="18"/>
      <c r="GV31" s="18"/>
      <c r="GW31" s="18"/>
      <c r="GX31" s="18"/>
      <c r="GY31" s="18"/>
      <c r="GZ31" s="18"/>
      <c r="HA31" s="18"/>
      <c r="HB31" s="18"/>
      <c r="HC31" s="18"/>
      <c r="HD31" s="18"/>
      <c r="HE31" s="18"/>
      <c r="HF31" s="18"/>
      <c r="HG31" s="11" t="str">
        <f t="shared" si="63"/>
        <v/>
      </c>
      <c r="HH31" s="11" t="str">
        <f t="shared" si="64"/>
        <v/>
      </c>
      <c r="HI31" s="11" t="str">
        <f t="shared" si="65"/>
        <v/>
      </c>
      <c r="HJ31" s="11" t="str">
        <f t="shared" si="66"/>
        <v/>
      </c>
      <c r="HK31" s="11" t="str">
        <f t="shared" si="67"/>
        <v/>
      </c>
      <c r="HL31" s="11" t="str">
        <f t="shared" si="68"/>
        <v/>
      </c>
      <c r="HM31" s="11" t="str">
        <f t="shared" si="69"/>
        <v/>
      </c>
      <c r="HN31" s="11" t="str">
        <f t="shared" si="70"/>
        <v/>
      </c>
      <c r="HO31" s="17"/>
      <c r="HP31" s="17"/>
      <c r="HQ31" s="17"/>
      <c r="HR31" s="17"/>
      <c r="HS31" s="17"/>
      <c r="HT31" s="17"/>
      <c r="HU31" s="17"/>
      <c r="HV31" s="17"/>
      <c r="HW31" s="17"/>
      <c r="HX31" s="17"/>
      <c r="HY31" s="17"/>
      <c r="HZ31" s="17"/>
      <c r="IA31" s="17"/>
      <c r="IB31" s="17"/>
      <c r="IC31" s="17"/>
      <c r="ID31" s="17"/>
      <c r="IE31" s="17"/>
      <c r="IF31" s="17"/>
      <c r="IG31" s="17"/>
      <c r="IH31" s="17"/>
      <c r="II31" s="40" t="str">
        <f t="shared" si="71"/>
        <v/>
      </c>
      <c r="IJ31" s="40" t="str">
        <f t="shared" si="72"/>
        <v/>
      </c>
      <c r="IK31" s="40" t="str">
        <f t="shared" si="73"/>
        <v/>
      </c>
      <c r="IL31" s="40" t="str">
        <f t="shared" si="74"/>
        <v/>
      </c>
      <c r="IM31" s="40" t="str">
        <f t="shared" si="75"/>
        <v/>
      </c>
      <c r="IN31" s="40" t="str">
        <f t="shared" si="76"/>
        <v/>
      </c>
      <c r="IO31" s="40" t="str">
        <f t="shared" si="77"/>
        <v/>
      </c>
      <c r="IP31" s="40" t="str">
        <f t="shared" si="78"/>
        <v/>
      </c>
      <c r="IQ31" s="18"/>
      <c r="IR31" s="18"/>
      <c r="IS31" s="18"/>
      <c r="IT31" s="18"/>
      <c r="IU31" s="18"/>
      <c r="IV31" s="18"/>
      <c r="IW31" s="18"/>
      <c r="IX31" s="18"/>
      <c r="IY31" s="18"/>
      <c r="IZ31" s="18"/>
      <c r="JA31" s="18"/>
      <c r="JB31" s="18"/>
      <c r="JC31" s="18"/>
      <c r="JD31" s="18"/>
      <c r="JE31" s="18"/>
      <c r="JF31" s="18"/>
      <c r="JG31" s="18"/>
      <c r="JH31" s="18"/>
      <c r="JI31" s="18"/>
      <c r="JJ31" s="18"/>
      <c r="JK31" s="11" t="str">
        <f t="shared" si="79"/>
        <v/>
      </c>
      <c r="JL31" s="11" t="str">
        <f t="shared" si="80"/>
        <v/>
      </c>
      <c r="JM31" s="11" t="str">
        <f t="shared" si="81"/>
        <v/>
      </c>
      <c r="JN31" s="11" t="str">
        <f t="shared" si="82"/>
        <v/>
      </c>
      <c r="JO31" s="11" t="str">
        <f t="shared" si="83"/>
        <v/>
      </c>
      <c r="JP31" s="11" t="str">
        <f t="shared" si="84"/>
        <v/>
      </c>
      <c r="JQ31" s="11" t="str">
        <f t="shared" si="85"/>
        <v/>
      </c>
      <c r="JR31" s="11" t="str">
        <f t="shared" si="86"/>
        <v/>
      </c>
      <c r="JS31" s="17"/>
      <c r="JT31" s="17"/>
      <c r="JU31" s="17"/>
      <c r="JV31" s="17"/>
      <c r="JW31" s="17"/>
      <c r="JX31" s="17"/>
      <c r="JY31" s="17"/>
      <c r="JZ31" s="17"/>
      <c r="KA31" s="17"/>
      <c r="KB31" s="17"/>
      <c r="KC31" s="17"/>
      <c r="KD31" s="17"/>
      <c r="KE31" s="17"/>
      <c r="KF31" s="17"/>
      <c r="KG31" s="17"/>
      <c r="KH31" s="17"/>
      <c r="KI31" s="17"/>
      <c r="KJ31" s="17"/>
      <c r="KK31" s="17"/>
      <c r="KL31" s="17"/>
      <c r="KM31" s="40" t="str">
        <f t="shared" si="87"/>
        <v/>
      </c>
      <c r="KN31" s="40" t="str">
        <f t="shared" si="88"/>
        <v/>
      </c>
      <c r="KO31" s="40" t="str">
        <f t="shared" si="89"/>
        <v/>
      </c>
      <c r="KP31" s="40" t="str">
        <f t="shared" si="90"/>
        <v/>
      </c>
      <c r="KQ31" s="40" t="str">
        <f t="shared" si="91"/>
        <v/>
      </c>
      <c r="KR31" s="40" t="str">
        <f t="shared" si="92"/>
        <v/>
      </c>
      <c r="KS31" s="40" t="str">
        <f t="shared" si="93"/>
        <v/>
      </c>
      <c r="KT31" s="40" t="str">
        <f t="shared" si="94"/>
        <v/>
      </c>
      <c r="KU31" s="18"/>
      <c r="KV31" s="18"/>
      <c r="KW31" s="18"/>
      <c r="KX31" s="18"/>
      <c r="KY31" s="18"/>
      <c r="KZ31" s="18"/>
      <c r="LA31" s="18"/>
      <c r="LB31" s="18"/>
      <c r="LC31" s="18"/>
      <c r="LD31" s="18"/>
      <c r="LE31" s="18"/>
      <c r="LF31" s="18"/>
      <c r="LG31" s="18"/>
      <c r="LH31" s="18"/>
      <c r="LI31" s="18"/>
      <c r="LJ31" s="18"/>
      <c r="LK31" s="18"/>
      <c r="LL31" s="18"/>
      <c r="LM31" s="18"/>
      <c r="LN31" s="18"/>
      <c r="LO31" s="11" t="str">
        <f t="shared" si="95"/>
        <v/>
      </c>
      <c r="LP31" s="11" t="str">
        <f t="shared" si="96"/>
        <v/>
      </c>
      <c r="LQ31" s="11" t="str">
        <f t="shared" si="97"/>
        <v/>
      </c>
      <c r="LR31" s="11" t="str">
        <f t="shared" si="98"/>
        <v/>
      </c>
      <c r="LS31" s="11" t="str">
        <f t="shared" si="99"/>
        <v/>
      </c>
      <c r="LT31" s="11" t="str">
        <f t="shared" si="100"/>
        <v/>
      </c>
      <c r="LU31" s="11" t="str">
        <f t="shared" si="101"/>
        <v/>
      </c>
      <c r="LV31" s="11" t="str">
        <f t="shared" si="102"/>
        <v/>
      </c>
      <c r="LW31" s="17"/>
      <c r="LX31" s="17"/>
      <c r="LY31" s="17"/>
      <c r="LZ31" s="17"/>
      <c r="MA31" s="17"/>
      <c r="MB31" s="17"/>
      <c r="MC31" s="17"/>
      <c r="MD31" s="17"/>
      <c r="ME31" s="17"/>
      <c r="MF31" s="17"/>
      <c r="MG31" s="17"/>
      <c r="MH31" s="17"/>
      <c r="MI31" s="17"/>
      <c r="MJ31" s="17"/>
      <c r="MK31" s="17"/>
      <c r="ML31" s="17"/>
      <c r="MM31" s="17"/>
      <c r="MN31" s="17"/>
      <c r="MO31" s="17"/>
      <c r="MP31" s="17"/>
      <c r="MQ31" s="40" t="str">
        <f t="shared" si="103"/>
        <v/>
      </c>
      <c r="MR31" s="40" t="str">
        <f t="shared" si="104"/>
        <v/>
      </c>
      <c r="MS31" s="40" t="str">
        <f t="shared" si="105"/>
        <v/>
      </c>
      <c r="MT31" s="40" t="str">
        <f t="shared" si="106"/>
        <v/>
      </c>
      <c r="MU31" s="40" t="str">
        <f t="shared" si="107"/>
        <v/>
      </c>
      <c r="MV31" s="40" t="str">
        <f t="shared" si="108"/>
        <v/>
      </c>
      <c r="MW31" s="40" t="str">
        <f t="shared" si="109"/>
        <v/>
      </c>
      <c r="MX31" s="40" t="str">
        <f t="shared" si="110"/>
        <v/>
      </c>
      <c r="MY31" s="18"/>
      <c r="MZ31" s="18"/>
      <c r="NA31" s="18"/>
      <c r="NB31" s="18"/>
      <c r="NC31" s="18"/>
      <c r="ND31" s="18"/>
      <c r="NE31" s="18"/>
      <c r="NF31" s="18"/>
      <c r="NG31" s="18"/>
      <c r="NH31" s="18"/>
      <c r="NI31" s="18"/>
      <c r="NJ31" s="18"/>
      <c r="NK31" s="18"/>
      <c r="NL31" s="18"/>
      <c r="NM31" s="18"/>
      <c r="NN31" s="18"/>
      <c r="NO31" s="18"/>
      <c r="NP31" s="18"/>
      <c r="NQ31" s="18"/>
      <c r="NR31" s="18"/>
      <c r="NS31" s="11" t="str">
        <f t="shared" si="111"/>
        <v/>
      </c>
      <c r="NT31" s="11" t="str">
        <f t="shared" si="112"/>
        <v/>
      </c>
      <c r="NU31" s="11" t="str">
        <f t="shared" si="113"/>
        <v/>
      </c>
      <c r="NV31" s="11" t="str">
        <f t="shared" si="114"/>
        <v/>
      </c>
      <c r="NW31" s="11" t="str">
        <f t="shared" si="115"/>
        <v/>
      </c>
      <c r="NX31" s="11" t="str">
        <f t="shared" si="116"/>
        <v/>
      </c>
      <c r="NY31" s="11" t="str">
        <f t="shared" si="117"/>
        <v/>
      </c>
      <c r="NZ31" s="11" t="str">
        <f t="shared" si="118"/>
        <v/>
      </c>
      <c r="OA31" s="17"/>
      <c r="OB31" s="17"/>
      <c r="OC31" s="17"/>
      <c r="OD31" s="17"/>
      <c r="OE31" s="17"/>
      <c r="OF31" s="17"/>
      <c r="OG31" s="17"/>
      <c r="OH31" s="17"/>
      <c r="OI31" s="17"/>
      <c r="OJ31" s="17"/>
      <c r="OK31" s="17"/>
      <c r="OL31" s="17"/>
      <c r="OM31" s="17"/>
      <c r="ON31" s="17"/>
      <c r="OO31" s="17"/>
      <c r="OP31" s="17"/>
      <c r="OQ31" s="17"/>
      <c r="OR31" s="17"/>
      <c r="OS31" s="17"/>
      <c r="OT31" s="17"/>
      <c r="OU31" s="40" t="str">
        <f t="shared" si="119"/>
        <v/>
      </c>
      <c r="OV31" s="40" t="str">
        <f t="shared" si="120"/>
        <v/>
      </c>
      <c r="OW31" s="40" t="str">
        <f t="shared" si="121"/>
        <v/>
      </c>
      <c r="OX31" s="40" t="str">
        <f t="shared" si="122"/>
        <v/>
      </c>
      <c r="OY31" s="40" t="str">
        <f t="shared" si="123"/>
        <v/>
      </c>
      <c r="OZ31" s="40" t="str">
        <f t="shared" si="124"/>
        <v/>
      </c>
      <c r="PA31" s="40" t="str">
        <f t="shared" si="125"/>
        <v/>
      </c>
      <c r="PB31" s="40" t="str">
        <f t="shared" si="126"/>
        <v/>
      </c>
      <c r="PC31" s="18"/>
      <c r="PD31" s="18"/>
      <c r="PE31" s="18"/>
      <c r="PF31" s="18"/>
      <c r="PG31" s="18"/>
      <c r="PH31" s="18"/>
      <c r="PI31" s="18"/>
      <c r="PJ31" s="18"/>
      <c r="PK31" s="18"/>
      <c r="PL31" s="18"/>
      <c r="PM31" s="18"/>
      <c r="PN31" s="18"/>
      <c r="PO31" s="18"/>
      <c r="PP31" s="18"/>
      <c r="PQ31" s="18"/>
      <c r="PR31" s="18"/>
      <c r="PS31" s="18"/>
      <c r="PT31" s="18"/>
      <c r="PU31" s="18"/>
      <c r="PV31" s="18"/>
      <c r="PW31" s="11" t="str">
        <f t="shared" si="127"/>
        <v/>
      </c>
      <c r="PX31" s="11" t="str">
        <f t="shared" si="128"/>
        <v/>
      </c>
      <c r="PY31" s="11" t="str">
        <f t="shared" si="129"/>
        <v/>
      </c>
      <c r="PZ31" s="11" t="str">
        <f t="shared" si="130"/>
        <v/>
      </c>
      <c r="QA31" s="11" t="str">
        <f t="shared" si="131"/>
        <v/>
      </c>
      <c r="QB31" s="11" t="str">
        <f t="shared" si="132"/>
        <v/>
      </c>
      <c r="QC31" s="11" t="str">
        <f t="shared" si="133"/>
        <v/>
      </c>
      <c r="QD31" s="11" t="str">
        <f t="shared" si="134"/>
        <v/>
      </c>
      <c r="QE31" s="22">
        <f t="shared" si="135"/>
        <v>9.5</v>
      </c>
      <c r="QF31" s="22">
        <f t="shared" si="136"/>
        <v>3.6</v>
      </c>
      <c r="QG31" s="22">
        <f t="shared" si="137"/>
        <v>0.1</v>
      </c>
      <c r="QH31" s="22">
        <f t="shared" si="138"/>
        <v>0</v>
      </c>
      <c r="QI31" s="22">
        <f t="shared" si="139"/>
        <v>0</v>
      </c>
      <c r="QJ31" s="22">
        <f t="shared" si="140"/>
        <v>0</v>
      </c>
      <c r="QK31" s="22">
        <f t="shared" si="141"/>
        <v>0</v>
      </c>
      <c r="QL31" s="22">
        <f t="shared" si="142"/>
        <v>0</v>
      </c>
      <c r="QM31" s="22">
        <f t="shared" si="143"/>
        <v>8.3000000000000007</v>
      </c>
      <c r="QN31" s="22">
        <f t="shared" si="144"/>
        <v>3.4</v>
      </c>
      <c r="QO31" s="22">
        <f t="shared" si="145"/>
        <v>0.5</v>
      </c>
      <c r="QP31" s="22">
        <f t="shared" si="146"/>
        <v>0</v>
      </c>
      <c r="QQ31" s="22">
        <f t="shared" si="147"/>
        <v>0</v>
      </c>
      <c r="QR31" s="22">
        <f t="shared" si="148"/>
        <v>0</v>
      </c>
      <c r="QS31" s="22">
        <f t="shared" si="149"/>
        <v>0</v>
      </c>
      <c r="QT31" s="22">
        <f t="shared" si="150"/>
        <v>0</v>
      </c>
      <c r="QU31" s="22">
        <f t="shared" si="151"/>
        <v>0</v>
      </c>
      <c r="QV31" s="22">
        <f t="shared" si="152"/>
        <v>0</v>
      </c>
      <c r="QW31" s="22">
        <f t="shared" si="153"/>
        <v>0</v>
      </c>
      <c r="QX31" s="22">
        <f t="shared" si="154"/>
        <v>0</v>
      </c>
      <c r="QY31" s="27" t="s">
        <v>46</v>
      </c>
      <c r="QZ31" s="40">
        <f t="shared" si="155"/>
        <v>3.6</v>
      </c>
      <c r="RA31" s="40">
        <f t="shared" si="156"/>
        <v>13</v>
      </c>
      <c r="RB31" s="40">
        <f t="shared" si="157"/>
        <v>11.200000000000001</v>
      </c>
      <c r="RC31" s="40">
        <f t="shared" si="158"/>
        <v>7</v>
      </c>
      <c r="RD31" s="40">
        <f t="shared" si="159"/>
        <v>24.200000000000003</v>
      </c>
      <c r="RE31" s="40" t="str">
        <f t="shared" si="160"/>
        <v/>
      </c>
      <c r="RF31" s="40" t="str">
        <f t="shared" si="161"/>
        <v/>
      </c>
      <c r="RG31" s="40">
        <f t="shared" si="162"/>
        <v>13</v>
      </c>
    </row>
    <row r="32" spans="1:475" x14ac:dyDescent="0.2">
      <c r="A32" s="4" t="str">
        <f t="shared" si="164"/>
        <v/>
      </c>
      <c r="B32" s="5" t="s">
        <v>182</v>
      </c>
      <c r="C32" s="4" t="s">
        <v>4</v>
      </c>
      <c r="D32" s="4">
        <v>2004</v>
      </c>
      <c r="E32" s="9">
        <f t="shared" si="163"/>
        <v>66.400006640004875</v>
      </c>
      <c r="F32" s="3" t="str">
        <f t="shared" si="0"/>
        <v/>
      </c>
      <c r="G32" s="3" t="str">
        <f t="shared" si="1"/>
        <v/>
      </c>
      <c r="H32" s="36" t="str">
        <f t="shared" si="2"/>
        <v/>
      </c>
      <c r="I32" s="3" t="str">
        <f t="shared" si="3"/>
        <v/>
      </c>
      <c r="J32" s="8">
        <f>IF(COUNT(AQ32,BT32,CW32)&gt;0,LARGE((AQ32,BT32,CW32),1),0)</f>
        <v>48.899999999999991</v>
      </c>
      <c r="K32" s="8" t="str">
        <f t="shared" si="4"/>
        <v>2022 Nationals</v>
      </c>
      <c r="L32" s="8">
        <f>IF(COUNT(AQ32,BT32,CW32)&gt;1,LARGE((AQ32,BT32,CW32),2),0)</f>
        <v>0</v>
      </c>
      <c r="M32" s="8" t="str">
        <f t="shared" si="5"/>
        <v/>
      </c>
      <c r="N32" s="8">
        <f>IF(COUNT(AR32,BU32,CX32)&gt;0,LARGE((AR32,BU32,CX32),1),0)</f>
        <v>17.5</v>
      </c>
      <c r="O32" s="8" t="str">
        <f t="shared" si="6"/>
        <v>2022 Nationals</v>
      </c>
      <c r="P32" s="8">
        <f t="shared" si="7"/>
        <v>0</v>
      </c>
      <c r="Q32" s="8" t="str">
        <f t="shared" si="8"/>
        <v/>
      </c>
      <c r="R32" s="8" t="str">
        <f t="shared" si="9"/>
        <v/>
      </c>
      <c r="S32" s="11" t="str">
        <f t="shared" si="10"/>
        <v/>
      </c>
      <c r="T32" s="8" t="str">
        <f t="shared" si="11"/>
        <v/>
      </c>
      <c r="U32" s="19">
        <v>18.2</v>
      </c>
      <c r="V32" s="19">
        <v>6</v>
      </c>
      <c r="W32" s="19">
        <v>0.2</v>
      </c>
      <c r="X32" s="19">
        <v>0</v>
      </c>
      <c r="Y32" s="19">
        <v>18.899999999999999</v>
      </c>
      <c r="Z32" s="19">
        <v>6</v>
      </c>
      <c r="AA32" s="19">
        <v>0</v>
      </c>
      <c r="AB32" s="19">
        <v>0</v>
      </c>
      <c r="AC32" s="19">
        <v>17.5</v>
      </c>
      <c r="AD32" s="19">
        <v>0</v>
      </c>
      <c r="AE32" s="19">
        <v>0</v>
      </c>
      <c r="AF32" s="19">
        <v>0</v>
      </c>
      <c r="AG32" s="19"/>
      <c r="AH32" s="19"/>
      <c r="AI32" s="19"/>
      <c r="AJ32" s="19"/>
      <c r="AK32" s="19"/>
      <c r="AL32" s="19"/>
      <c r="AM32" s="19"/>
      <c r="AN32" s="19"/>
      <c r="AO32" s="27"/>
      <c r="AP32" s="40">
        <f t="shared" si="12"/>
        <v>12</v>
      </c>
      <c r="AQ32" s="40">
        <f t="shared" si="13"/>
        <v>48.899999999999991</v>
      </c>
      <c r="AR32" s="40">
        <f t="shared" si="14"/>
        <v>17.5</v>
      </c>
      <c r="AS32" s="40">
        <f t="shared" si="15"/>
        <v>12</v>
      </c>
      <c r="AT32" s="40">
        <f t="shared" si="16"/>
        <v>66.399999999999991</v>
      </c>
      <c r="AU32" s="40" t="str">
        <f t="shared" si="17"/>
        <v/>
      </c>
      <c r="AV32" s="40" t="str">
        <f t="shared" si="18"/>
        <v/>
      </c>
      <c r="AW32" s="40">
        <f t="shared" si="19"/>
        <v>48.899999999999991</v>
      </c>
      <c r="AX32" s="18"/>
      <c r="AY32" s="18"/>
      <c r="AZ32" s="18"/>
      <c r="BA32" s="18"/>
      <c r="BB32" s="18"/>
      <c r="BC32" s="18"/>
      <c r="BD32" s="18"/>
      <c r="BE32" s="18"/>
      <c r="BF32" s="18"/>
      <c r="BG32" s="18"/>
      <c r="BH32" s="18"/>
      <c r="BI32" s="18"/>
      <c r="BJ32" s="18"/>
      <c r="BK32" s="18"/>
      <c r="BL32" s="18"/>
      <c r="BM32" s="18"/>
      <c r="BN32" s="18"/>
      <c r="BO32" s="18"/>
      <c r="BP32" s="18"/>
      <c r="BQ32" s="18"/>
      <c r="BR32" s="28"/>
      <c r="BS32" s="11" t="str">
        <f t="shared" si="20"/>
        <v/>
      </c>
      <c r="BT32" s="11" t="str">
        <f t="shared" si="21"/>
        <v/>
      </c>
      <c r="BU32" s="11" t="str">
        <f t="shared" si="22"/>
        <v/>
      </c>
      <c r="BV32" s="11" t="str">
        <f t="shared" si="23"/>
        <v/>
      </c>
      <c r="BW32" s="11" t="str">
        <f t="shared" si="24"/>
        <v/>
      </c>
      <c r="BX32" s="11" t="str">
        <f t="shared" si="25"/>
        <v/>
      </c>
      <c r="BY32" s="11" t="str">
        <f t="shared" si="26"/>
        <v/>
      </c>
      <c r="BZ32" s="11" t="str">
        <f t="shared" si="27"/>
        <v/>
      </c>
      <c r="CA32" s="19"/>
      <c r="CB32" s="19"/>
      <c r="CC32" s="19"/>
      <c r="CD32" s="19"/>
      <c r="CE32" s="19"/>
      <c r="CF32" s="19"/>
      <c r="CG32" s="19"/>
      <c r="CH32" s="19"/>
      <c r="CI32" s="19"/>
      <c r="CJ32" s="19"/>
      <c r="CK32" s="19"/>
      <c r="CL32" s="19"/>
      <c r="CM32" s="19"/>
      <c r="CN32" s="19"/>
      <c r="CO32" s="19"/>
      <c r="CP32" s="19"/>
      <c r="CQ32" s="19"/>
      <c r="CR32" s="19"/>
      <c r="CS32" s="19"/>
      <c r="CT32" s="19"/>
      <c r="CU32" s="27"/>
      <c r="CV32" s="40" t="str">
        <f t="shared" si="28"/>
        <v/>
      </c>
      <c r="CW32" s="40" t="str">
        <f t="shared" si="29"/>
        <v/>
      </c>
      <c r="CX32" s="40" t="str">
        <f t="shared" si="30"/>
        <v/>
      </c>
      <c r="CY32" s="40" t="str">
        <f t="shared" si="31"/>
        <v/>
      </c>
      <c r="CZ32" s="40" t="str">
        <f t="shared" si="32"/>
        <v/>
      </c>
      <c r="DA32" s="40" t="str">
        <f t="shared" si="33"/>
        <v/>
      </c>
      <c r="DB32" s="40" t="str">
        <f t="shared" si="34"/>
        <v/>
      </c>
      <c r="DC32" s="40" t="str">
        <f t="shared" si="35"/>
        <v/>
      </c>
      <c r="DD32" s="50" t="str">
        <f t="shared" si="36"/>
        <v/>
      </c>
      <c r="DE32" s="50" t="str">
        <f t="shared" si="37"/>
        <v/>
      </c>
      <c r="DF32" s="50" t="str">
        <f t="shared" si="38"/>
        <v/>
      </c>
      <c r="DG32" s="17"/>
      <c r="DH32" s="17"/>
      <c r="DI32" s="17"/>
      <c r="DJ32" s="17"/>
      <c r="DK32" s="17"/>
      <c r="DL32" s="17"/>
      <c r="DM32" s="17"/>
      <c r="DN32" s="17"/>
      <c r="DO32" s="17"/>
      <c r="DP32" s="17"/>
      <c r="DQ32" s="17"/>
      <c r="DR32" s="17"/>
      <c r="DS32" s="17"/>
      <c r="DT32" s="17"/>
      <c r="DU32" s="17"/>
      <c r="DV32" s="17"/>
      <c r="DW32" s="17"/>
      <c r="DX32" s="17"/>
      <c r="DY32" s="17"/>
      <c r="DZ32" s="17"/>
      <c r="EA32" s="40" t="str">
        <f t="shared" si="39"/>
        <v/>
      </c>
      <c r="EB32" s="40" t="str">
        <f t="shared" si="40"/>
        <v/>
      </c>
      <c r="EC32" s="40" t="str">
        <f t="shared" si="41"/>
        <v/>
      </c>
      <c r="ED32" s="40" t="str">
        <f t="shared" si="42"/>
        <v/>
      </c>
      <c r="EE32" s="40" t="str">
        <f t="shared" si="43"/>
        <v/>
      </c>
      <c r="EF32" s="40" t="str">
        <f t="shared" si="44"/>
        <v/>
      </c>
      <c r="EG32" s="40" t="str">
        <f t="shared" si="45"/>
        <v/>
      </c>
      <c r="EH32" s="40" t="str">
        <f t="shared" si="46"/>
        <v/>
      </c>
      <c r="EI32" s="18"/>
      <c r="EJ32" s="18"/>
      <c r="EK32" s="18"/>
      <c r="EL32" s="18"/>
      <c r="EM32" s="18"/>
      <c r="EN32" s="18"/>
      <c r="EO32" s="18"/>
      <c r="EP32" s="18"/>
      <c r="EQ32" s="18"/>
      <c r="ER32" s="18"/>
      <c r="ES32" s="18"/>
      <c r="ET32" s="18"/>
      <c r="EU32" s="18"/>
      <c r="EV32" s="18"/>
      <c r="EW32" s="18"/>
      <c r="EX32" s="18"/>
      <c r="EY32" s="18"/>
      <c r="EZ32" s="18"/>
      <c r="FA32" s="18"/>
      <c r="FB32" s="18"/>
      <c r="FC32" s="11" t="str">
        <f t="shared" si="47"/>
        <v/>
      </c>
      <c r="FD32" s="11" t="str">
        <f t="shared" si="48"/>
        <v/>
      </c>
      <c r="FE32" s="11" t="str">
        <f t="shared" si="49"/>
        <v/>
      </c>
      <c r="FF32" s="11" t="str">
        <f t="shared" si="50"/>
        <v/>
      </c>
      <c r="FG32" s="11" t="str">
        <f t="shared" si="51"/>
        <v/>
      </c>
      <c r="FH32" s="11" t="str">
        <f t="shared" si="52"/>
        <v/>
      </c>
      <c r="FI32" s="11" t="str">
        <f t="shared" si="53"/>
        <v/>
      </c>
      <c r="FJ32" s="11" t="str">
        <f t="shared" si="54"/>
        <v/>
      </c>
      <c r="FK32" s="17"/>
      <c r="FL32" s="17"/>
      <c r="FM32" s="17"/>
      <c r="FN32" s="17"/>
      <c r="FO32" s="17"/>
      <c r="FP32" s="17"/>
      <c r="FQ32" s="17"/>
      <c r="FR32" s="17"/>
      <c r="FS32" s="17"/>
      <c r="FT32" s="17"/>
      <c r="FU32" s="17"/>
      <c r="FV32" s="17"/>
      <c r="FW32" s="17"/>
      <c r="FX32" s="17"/>
      <c r="FY32" s="17"/>
      <c r="FZ32" s="17"/>
      <c r="GA32" s="17"/>
      <c r="GB32" s="17"/>
      <c r="GC32" s="17"/>
      <c r="GD32" s="17"/>
      <c r="GE32" s="40" t="str">
        <f t="shared" si="55"/>
        <v/>
      </c>
      <c r="GF32" s="40" t="str">
        <f t="shared" si="56"/>
        <v/>
      </c>
      <c r="GG32" s="40" t="str">
        <f t="shared" si="57"/>
        <v/>
      </c>
      <c r="GH32" s="40" t="str">
        <f t="shared" si="58"/>
        <v/>
      </c>
      <c r="GI32" s="40" t="str">
        <f t="shared" si="59"/>
        <v/>
      </c>
      <c r="GJ32" s="40" t="str">
        <f t="shared" si="60"/>
        <v/>
      </c>
      <c r="GK32" s="40" t="str">
        <f t="shared" si="61"/>
        <v/>
      </c>
      <c r="GL32" s="40" t="str">
        <f t="shared" si="62"/>
        <v/>
      </c>
      <c r="GM32" s="18"/>
      <c r="GN32" s="18"/>
      <c r="GO32" s="18"/>
      <c r="GP32" s="18"/>
      <c r="GQ32" s="18"/>
      <c r="GR32" s="18"/>
      <c r="GS32" s="18"/>
      <c r="GT32" s="18"/>
      <c r="GU32" s="18"/>
      <c r="GV32" s="18"/>
      <c r="GW32" s="18"/>
      <c r="GX32" s="18"/>
      <c r="GY32" s="18"/>
      <c r="GZ32" s="18"/>
      <c r="HA32" s="18"/>
      <c r="HB32" s="18"/>
      <c r="HC32" s="18"/>
      <c r="HD32" s="18"/>
      <c r="HE32" s="18"/>
      <c r="HF32" s="18"/>
      <c r="HG32" s="11" t="str">
        <f t="shared" si="63"/>
        <v/>
      </c>
      <c r="HH32" s="11" t="str">
        <f t="shared" si="64"/>
        <v/>
      </c>
      <c r="HI32" s="11" t="str">
        <f t="shared" si="65"/>
        <v/>
      </c>
      <c r="HJ32" s="11" t="str">
        <f t="shared" si="66"/>
        <v/>
      </c>
      <c r="HK32" s="11" t="str">
        <f t="shared" si="67"/>
        <v/>
      </c>
      <c r="HL32" s="11" t="str">
        <f t="shared" si="68"/>
        <v/>
      </c>
      <c r="HM32" s="11" t="str">
        <f t="shared" si="69"/>
        <v/>
      </c>
      <c r="HN32" s="11" t="str">
        <f t="shared" si="70"/>
        <v/>
      </c>
      <c r="HO32" s="17"/>
      <c r="HP32" s="17"/>
      <c r="HQ32" s="17"/>
      <c r="HR32" s="17"/>
      <c r="HS32" s="17"/>
      <c r="HT32" s="17"/>
      <c r="HU32" s="17"/>
      <c r="HV32" s="17"/>
      <c r="HW32" s="17"/>
      <c r="HX32" s="17"/>
      <c r="HY32" s="17"/>
      <c r="HZ32" s="17"/>
      <c r="IA32" s="17"/>
      <c r="IB32" s="17"/>
      <c r="IC32" s="17"/>
      <c r="ID32" s="17"/>
      <c r="IE32" s="17"/>
      <c r="IF32" s="17"/>
      <c r="IG32" s="17"/>
      <c r="IH32" s="17"/>
      <c r="II32" s="40" t="str">
        <f t="shared" si="71"/>
        <v/>
      </c>
      <c r="IJ32" s="40" t="str">
        <f t="shared" si="72"/>
        <v/>
      </c>
      <c r="IK32" s="40" t="str">
        <f t="shared" si="73"/>
        <v/>
      </c>
      <c r="IL32" s="40" t="str">
        <f t="shared" si="74"/>
        <v/>
      </c>
      <c r="IM32" s="40" t="str">
        <f t="shared" si="75"/>
        <v/>
      </c>
      <c r="IN32" s="40" t="str">
        <f t="shared" si="76"/>
        <v/>
      </c>
      <c r="IO32" s="40" t="str">
        <f t="shared" si="77"/>
        <v/>
      </c>
      <c r="IP32" s="40" t="str">
        <f t="shared" si="78"/>
        <v/>
      </c>
      <c r="IQ32" s="18"/>
      <c r="IR32" s="18"/>
      <c r="IS32" s="18"/>
      <c r="IT32" s="18"/>
      <c r="IU32" s="18"/>
      <c r="IV32" s="18"/>
      <c r="IW32" s="18"/>
      <c r="IX32" s="18"/>
      <c r="IY32" s="18"/>
      <c r="IZ32" s="18"/>
      <c r="JA32" s="18"/>
      <c r="JB32" s="18"/>
      <c r="JC32" s="18"/>
      <c r="JD32" s="18"/>
      <c r="JE32" s="18"/>
      <c r="JF32" s="18"/>
      <c r="JG32" s="18"/>
      <c r="JH32" s="18"/>
      <c r="JI32" s="18"/>
      <c r="JJ32" s="18"/>
      <c r="JK32" s="11" t="str">
        <f t="shared" si="79"/>
        <v/>
      </c>
      <c r="JL32" s="11" t="str">
        <f t="shared" si="80"/>
        <v/>
      </c>
      <c r="JM32" s="11" t="str">
        <f t="shared" si="81"/>
        <v/>
      </c>
      <c r="JN32" s="11" t="str">
        <f t="shared" si="82"/>
        <v/>
      </c>
      <c r="JO32" s="11" t="str">
        <f t="shared" si="83"/>
        <v/>
      </c>
      <c r="JP32" s="11" t="str">
        <f t="shared" si="84"/>
        <v/>
      </c>
      <c r="JQ32" s="11" t="str">
        <f t="shared" si="85"/>
        <v/>
      </c>
      <c r="JR32" s="11" t="str">
        <f t="shared" si="86"/>
        <v/>
      </c>
      <c r="JS32" s="17"/>
      <c r="JT32" s="17"/>
      <c r="JU32" s="17"/>
      <c r="JV32" s="17"/>
      <c r="JW32" s="17"/>
      <c r="JX32" s="17"/>
      <c r="JY32" s="17"/>
      <c r="JZ32" s="17"/>
      <c r="KA32" s="17"/>
      <c r="KB32" s="17"/>
      <c r="KC32" s="17"/>
      <c r="KD32" s="17"/>
      <c r="KE32" s="17"/>
      <c r="KF32" s="17"/>
      <c r="KG32" s="17"/>
      <c r="KH32" s="17"/>
      <c r="KI32" s="17"/>
      <c r="KJ32" s="17"/>
      <c r="KK32" s="17"/>
      <c r="KL32" s="17"/>
      <c r="KM32" s="40" t="str">
        <f t="shared" si="87"/>
        <v/>
      </c>
      <c r="KN32" s="40" t="str">
        <f t="shared" si="88"/>
        <v/>
      </c>
      <c r="KO32" s="40" t="str">
        <f t="shared" si="89"/>
        <v/>
      </c>
      <c r="KP32" s="40" t="str">
        <f t="shared" si="90"/>
        <v/>
      </c>
      <c r="KQ32" s="40" t="str">
        <f t="shared" si="91"/>
        <v/>
      </c>
      <c r="KR32" s="40" t="str">
        <f t="shared" si="92"/>
        <v/>
      </c>
      <c r="KS32" s="40" t="str">
        <f t="shared" si="93"/>
        <v/>
      </c>
      <c r="KT32" s="40" t="str">
        <f t="shared" si="94"/>
        <v/>
      </c>
      <c r="KU32" s="18"/>
      <c r="KV32" s="18"/>
      <c r="KW32" s="18"/>
      <c r="KX32" s="18"/>
      <c r="KY32" s="18"/>
      <c r="KZ32" s="18"/>
      <c r="LA32" s="18"/>
      <c r="LB32" s="18"/>
      <c r="LC32" s="18"/>
      <c r="LD32" s="18"/>
      <c r="LE32" s="18"/>
      <c r="LF32" s="18"/>
      <c r="LG32" s="18"/>
      <c r="LH32" s="18"/>
      <c r="LI32" s="18"/>
      <c r="LJ32" s="18"/>
      <c r="LK32" s="18"/>
      <c r="LL32" s="18"/>
      <c r="LM32" s="18"/>
      <c r="LN32" s="18"/>
      <c r="LO32" s="11" t="str">
        <f t="shared" si="95"/>
        <v/>
      </c>
      <c r="LP32" s="11" t="str">
        <f t="shared" si="96"/>
        <v/>
      </c>
      <c r="LQ32" s="11" t="str">
        <f t="shared" si="97"/>
        <v/>
      </c>
      <c r="LR32" s="11" t="str">
        <f t="shared" si="98"/>
        <v/>
      </c>
      <c r="LS32" s="11" t="str">
        <f t="shared" si="99"/>
        <v/>
      </c>
      <c r="LT32" s="11" t="str">
        <f t="shared" si="100"/>
        <v/>
      </c>
      <c r="LU32" s="11" t="str">
        <f t="shared" si="101"/>
        <v/>
      </c>
      <c r="LV32" s="11" t="str">
        <f t="shared" si="102"/>
        <v/>
      </c>
      <c r="LW32" s="17"/>
      <c r="LX32" s="17"/>
      <c r="LY32" s="17"/>
      <c r="LZ32" s="17"/>
      <c r="MA32" s="17"/>
      <c r="MB32" s="17"/>
      <c r="MC32" s="17"/>
      <c r="MD32" s="17"/>
      <c r="ME32" s="17"/>
      <c r="MF32" s="17"/>
      <c r="MG32" s="17"/>
      <c r="MH32" s="17"/>
      <c r="MI32" s="17"/>
      <c r="MJ32" s="17"/>
      <c r="MK32" s="17"/>
      <c r="ML32" s="17"/>
      <c r="MM32" s="17"/>
      <c r="MN32" s="17"/>
      <c r="MO32" s="17"/>
      <c r="MP32" s="17"/>
      <c r="MQ32" s="40" t="str">
        <f t="shared" si="103"/>
        <v/>
      </c>
      <c r="MR32" s="40" t="str">
        <f t="shared" si="104"/>
        <v/>
      </c>
      <c r="MS32" s="40" t="str">
        <f t="shared" si="105"/>
        <v/>
      </c>
      <c r="MT32" s="40" t="str">
        <f t="shared" si="106"/>
        <v/>
      </c>
      <c r="MU32" s="40" t="str">
        <f t="shared" si="107"/>
        <v/>
      </c>
      <c r="MV32" s="40" t="str">
        <f t="shared" si="108"/>
        <v/>
      </c>
      <c r="MW32" s="40" t="str">
        <f t="shared" si="109"/>
        <v/>
      </c>
      <c r="MX32" s="40" t="str">
        <f t="shared" si="110"/>
        <v/>
      </c>
      <c r="MY32" s="18"/>
      <c r="MZ32" s="18"/>
      <c r="NA32" s="18"/>
      <c r="NB32" s="18"/>
      <c r="NC32" s="18"/>
      <c r="ND32" s="18"/>
      <c r="NE32" s="18"/>
      <c r="NF32" s="18"/>
      <c r="NG32" s="18"/>
      <c r="NH32" s="18"/>
      <c r="NI32" s="18"/>
      <c r="NJ32" s="18"/>
      <c r="NK32" s="18"/>
      <c r="NL32" s="18"/>
      <c r="NM32" s="18"/>
      <c r="NN32" s="18"/>
      <c r="NO32" s="18"/>
      <c r="NP32" s="18"/>
      <c r="NQ32" s="18"/>
      <c r="NR32" s="18"/>
      <c r="NS32" s="11" t="str">
        <f t="shared" si="111"/>
        <v/>
      </c>
      <c r="NT32" s="11" t="str">
        <f t="shared" si="112"/>
        <v/>
      </c>
      <c r="NU32" s="11" t="str">
        <f t="shared" si="113"/>
        <v/>
      </c>
      <c r="NV32" s="11" t="str">
        <f t="shared" si="114"/>
        <v/>
      </c>
      <c r="NW32" s="11" t="str">
        <f t="shared" si="115"/>
        <v/>
      </c>
      <c r="NX32" s="11" t="str">
        <f t="shared" si="116"/>
        <v/>
      </c>
      <c r="NY32" s="11" t="str">
        <f t="shared" si="117"/>
        <v/>
      </c>
      <c r="NZ32" s="11" t="str">
        <f t="shared" si="118"/>
        <v/>
      </c>
      <c r="OA32" s="17"/>
      <c r="OB32" s="17"/>
      <c r="OC32" s="17"/>
      <c r="OD32" s="17"/>
      <c r="OE32" s="17"/>
      <c r="OF32" s="17"/>
      <c r="OG32" s="17"/>
      <c r="OH32" s="17"/>
      <c r="OI32" s="17"/>
      <c r="OJ32" s="17"/>
      <c r="OK32" s="17"/>
      <c r="OL32" s="17"/>
      <c r="OM32" s="17"/>
      <c r="ON32" s="17"/>
      <c r="OO32" s="17"/>
      <c r="OP32" s="17"/>
      <c r="OQ32" s="17"/>
      <c r="OR32" s="17"/>
      <c r="OS32" s="17"/>
      <c r="OT32" s="17"/>
      <c r="OU32" s="40" t="str">
        <f t="shared" si="119"/>
        <v/>
      </c>
      <c r="OV32" s="40" t="str">
        <f t="shared" si="120"/>
        <v/>
      </c>
      <c r="OW32" s="40" t="str">
        <f t="shared" si="121"/>
        <v/>
      </c>
      <c r="OX32" s="40" t="str">
        <f t="shared" si="122"/>
        <v/>
      </c>
      <c r="OY32" s="40" t="str">
        <f t="shared" si="123"/>
        <v/>
      </c>
      <c r="OZ32" s="40" t="str">
        <f t="shared" si="124"/>
        <v/>
      </c>
      <c r="PA32" s="40" t="str">
        <f t="shared" si="125"/>
        <v/>
      </c>
      <c r="PB32" s="40" t="str">
        <f t="shared" si="126"/>
        <v/>
      </c>
      <c r="PC32" s="18"/>
      <c r="PD32" s="18"/>
      <c r="PE32" s="18"/>
      <c r="PF32" s="18"/>
      <c r="PG32" s="18"/>
      <c r="PH32" s="18"/>
      <c r="PI32" s="18"/>
      <c r="PJ32" s="18"/>
      <c r="PK32" s="18"/>
      <c r="PL32" s="18"/>
      <c r="PM32" s="18"/>
      <c r="PN32" s="18"/>
      <c r="PO32" s="18"/>
      <c r="PP32" s="18"/>
      <c r="PQ32" s="18"/>
      <c r="PR32" s="18"/>
      <c r="PS32" s="18"/>
      <c r="PT32" s="18"/>
      <c r="PU32" s="18"/>
      <c r="PV32" s="18"/>
      <c r="PW32" s="11" t="str">
        <f t="shared" si="127"/>
        <v/>
      </c>
      <c r="PX32" s="11" t="str">
        <f t="shared" si="128"/>
        <v/>
      </c>
      <c r="PY32" s="11" t="str">
        <f t="shared" si="129"/>
        <v/>
      </c>
      <c r="PZ32" s="11" t="str">
        <f t="shared" si="130"/>
        <v/>
      </c>
      <c r="QA32" s="11" t="str">
        <f t="shared" si="131"/>
        <v/>
      </c>
      <c r="QB32" s="11" t="str">
        <f t="shared" si="132"/>
        <v/>
      </c>
      <c r="QC32" s="11" t="str">
        <f t="shared" si="133"/>
        <v/>
      </c>
      <c r="QD32" s="11" t="str">
        <f t="shared" si="134"/>
        <v/>
      </c>
      <c r="QE32" s="22">
        <f t="shared" si="135"/>
        <v>0</v>
      </c>
      <c r="QF32" s="22">
        <f t="shared" si="136"/>
        <v>0</v>
      </c>
      <c r="QG32" s="22">
        <f t="shared" si="137"/>
        <v>0</v>
      </c>
      <c r="QH32" s="22">
        <f t="shared" si="138"/>
        <v>0</v>
      </c>
      <c r="QI32" s="22">
        <f t="shared" si="139"/>
        <v>0</v>
      </c>
      <c r="QJ32" s="22">
        <f t="shared" si="140"/>
        <v>0</v>
      </c>
      <c r="QK32" s="22">
        <f t="shared" si="141"/>
        <v>0</v>
      </c>
      <c r="QL32" s="22">
        <f t="shared" si="142"/>
        <v>0</v>
      </c>
      <c r="QM32" s="22">
        <f t="shared" si="143"/>
        <v>0</v>
      </c>
      <c r="QN32" s="22">
        <f t="shared" si="144"/>
        <v>0</v>
      </c>
      <c r="QO32" s="22">
        <f t="shared" si="145"/>
        <v>0</v>
      </c>
      <c r="QP32" s="22">
        <f t="shared" si="146"/>
        <v>0</v>
      </c>
      <c r="QQ32" s="22">
        <f t="shared" si="147"/>
        <v>0</v>
      </c>
      <c r="QR32" s="22">
        <f t="shared" si="148"/>
        <v>0</v>
      </c>
      <c r="QS32" s="22">
        <f t="shared" si="149"/>
        <v>0</v>
      </c>
      <c r="QT32" s="22">
        <f t="shared" si="150"/>
        <v>0</v>
      </c>
      <c r="QU32" s="22">
        <f t="shared" si="151"/>
        <v>0</v>
      </c>
      <c r="QV32" s="22">
        <f t="shared" si="152"/>
        <v>0</v>
      </c>
      <c r="QW32" s="22">
        <f t="shared" si="153"/>
        <v>0</v>
      </c>
      <c r="QX32" s="22">
        <f t="shared" si="154"/>
        <v>0</v>
      </c>
      <c r="QY32" s="27" t="s">
        <v>46</v>
      </c>
      <c r="QZ32" s="40" t="str">
        <f t="shared" si="155"/>
        <v/>
      </c>
      <c r="RA32" s="40" t="str">
        <f t="shared" si="156"/>
        <v/>
      </c>
      <c r="RB32" s="40" t="str">
        <f t="shared" si="157"/>
        <v/>
      </c>
      <c r="RC32" s="40" t="str">
        <f t="shared" si="158"/>
        <v/>
      </c>
      <c r="RD32" s="40" t="str">
        <f t="shared" si="159"/>
        <v/>
      </c>
      <c r="RE32" s="40" t="str">
        <f t="shared" si="160"/>
        <v/>
      </c>
      <c r="RF32" s="40" t="str">
        <f t="shared" si="161"/>
        <v/>
      </c>
      <c r="RG32" s="40" t="str">
        <f t="shared" si="162"/>
        <v/>
      </c>
    </row>
    <row r="33" spans="1:475" x14ac:dyDescent="0.2">
      <c r="A33" s="4" t="str">
        <f t="shared" si="164"/>
        <v/>
      </c>
      <c r="B33" s="5" t="s">
        <v>185</v>
      </c>
      <c r="C33" s="4" t="s">
        <v>5</v>
      </c>
      <c r="D33" s="4">
        <v>2004</v>
      </c>
      <c r="E33" s="9">
        <f t="shared" si="163"/>
        <v>63.900006390004293</v>
      </c>
      <c r="F33" s="3" t="str">
        <f t="shared" si="0"/>
        <v/>
      </c>
      <c r="G33" s="3" t="str">
        <f t="shared" si="1"/>
        <v/>
      </c>
      <c r="H33" s="36" t="str">
        <f t="shared" si="2"/>
        <v/>
      </c>
      <c r="I33" s="3" t="str">
        <f t="shared" si="3"/>
        <v/>
      </c>
      <c r="J33" s="8">
        <f>IF(COUNT(AQ33,BT33,CW33)&gt;0,LARGE((AQ33,BT33,CW33),1),0)</f>
        <v>42.999999999999993</v>
      </c>
      <c r="K33" s="8" t="str">
        <f t="shared" si="4"/>
        <v>2022 Nationals</v>
      </c>
      <c r="L33" s="8">
        <f>IF(COUNT(AQ33,BT33,CW33)&gt;1,LARGE((AQ33,BT33,CW33),2),0)</f>
        <v>0</v>
      </c>
      <c r="M33" s="8" t="str">
        <f t="shared" si="5"/>
        <v/>
      </c>
      <c r="N33" s="8">
        <f>IF(COUNT(AR33,BU33,CX33)&gt;0,LARGE((AR33,BU33,CX33),1),0)</f>
        <v>20.900000000000002</v>
      </c>
      <c r="O33" s="8" t="str">
        <f t="shared" si="6"/>
        <v>2022 Nationals</v>
      </c>
      <c r="P33" s="8">
        <f t="shared" si="7"/>
        <v>0</v>
      </c>
      <c r="Q33" s="8" t="str">
        <f t="shared" si="8"/>
        <v/>
      </c>
      <c r="R33" s="8" t="str">
        <f t="shared" si="9"/>
        <v/>
      </c>
      <c r="S33" s="11" t="str">
        <f t="shared" si="10"/>
        <v/>
      </c>
      <c r="T33" s="8" t="str">
        <f t="shared" si="11"/>
        <v/>
      </c>
      <c r="U33" s="19">
        <v>18.399999999999999</v>
      </c>
      <c r="V33" s="19">
        <v>3</v>
      </c>
      <c r="W33" s="19">
        <v>1.1000000000000001</v>
      </c>
      <c r="X33" s="19">
        <v>0</v>
      </c>
      <c r="Y33" s="19">
        <v>18.5</v>
      </c>
      <c r="Z33" s="19">
        <v>4.8</v>
      </c>
      <c r="AA33" s="19">
        <v>0.6</v>
      </c>
      <c r="AB33" s="19">
        <v>0</v>
      </c>
      <c r="AC33" s="19">
        <v>18.100000000000001</v>
      </c>
      <c r="AD33" s="19">
        <v>3.6</v>
      </c>
      <c r="AE33" s="19">
        <v>0.8</v>
      </c>
      <c r="AF33" s="19">
        <v>0</v>
      </c>
      <c r="AG33" s="19"/>
      <c r="AH33" s="19"/>
      <c r="AI33" s="19"/>
      <c r="AJ33" s="19"/>
      <c r="AK33" s="19"/>
      <c r="AL33" s="19"/>
      <c r="AM33" s="19"/>
      <c r="AN33" s="19"/>
      <c r="AO33" s="27"/>
      <c r="AP33" s="40">
        <f t="shared" si="12"/>
        <v>7.8</v>
      </c>
      <c r="AQ33" s="40">
        <f t="shared" si="13"/>
        <v>42.999999999999993</v>
      </c>
      <c r="AR33" s="40">
        <f t="shared" si="14"/>
        <v>20.900000000000002</v>
      </c>
      <c r="AS33" s="40">
        <f t="shared" si="15"/>
        <v>11.4</v>
      </c>
      <c r="AT33" s="40">
        <f t="shared" si="16"/>
        <v>63.899999999999991</v>
      </c>
      <c r="AU33" s="40" t="str">
        <f t="shared" si="17"/>
        <v/>
      </c>
      <c r="AV33" s="40" t="str">
        <f t="shared" si="18"/>
        <v/>
      </c>
      <c r="AW33" s="40">
        <f t="shared" si="19"/>
        <v>42.999999999999993</v>
      </c>
      <c r="AX33" s="18"/>
      <c r="AY33" s="18"/>
      <c r="AZ33" s="18"/>
      <c r="BA33" s="18"/>
      <c r="BB33" s="18"/>
      <c r="BC33" s="18"/>
      <c r="BD33" s="18"/>
      <c r="BE33" s="18"/>
      <c r="BF33" s="18"/>
      <c r="BG33" s="18"/>
      <c r="BH33" s="18"/>
      <c r="BI33" s="18"/>
      <c r="BJ33" s="18"/>
      <c r="BK33" s="18"/>
      <c r="BL33" s="18"/>
      <c r="BM33" s="18"/>
      <c r="BN33" s="18"/>
      <c r="BO33" s="18"/>
      <c r="BP33" s="18"/>
      <c r="BQ33" s="18"/>
      <c r="BR33" s="28"/>
      <c r="BS33" s="11" t="str">
        <f t="shared" si="20"/>
        <v/>
      </c>
      <c r="BT33" s="11" t="str">
        <f t="shared" si="21"/>
        <v/>
      </c>
      <c r="BU33" s="11" t="str">
        <f t="shared" si="22"/>
        <v/>
      </c>
      <c r="BV33" s="11" t="str">
        <f t="shared" si="23"/>
        <v/>
      </c>
      <c r="BW33" s="11" t="str">
        <f t="shared" si="24"/>
        <v/>
      </c>
      <c r="BX33" s="11" t="str">
        <f t="shared" si="25"/>
        <v/>
      </c>
      <c r="BY33" s="11" t="str">
        <f t="shared" si="26"/>
        <v/>
      </c>
      <c r="BZ33" s="11" t="str">
        <f t="shared" si="27"/>
        <v/>
      </c>
      <c r="CA33" s="19"/>
      <c r="CB33" s="19"/>
      <c r="CC33" s="19"/>
      <c r="CD33" s="19"/>
      <c r="CE33" s="19"/>
      <c r="CF33" s="19"/>
      <c r="CG33" s="19"/>
      <c r="CH33" s="19"/>
      <c r="CI33" s="19"/>
      <c r="CJ33" s="19"/>
      <c r="CK33" s="19"/>
      <c r="CL33" s="19"/>
      <c r="CM33" s="19"/>
      <c r="CN33" s="19"/>
      <c r="CO33" s="19"/>
      <c r="CP33" s="19"/>
      <c r="CQ33" s="19"/>
      <c r="CR33" s="19"/>
      <c r="CS33" s="19"/>
      <c r="CT33" s="19"/>
      <c r="CU33" s="27"/>
      <c r="CV33" s="40" t="str">
        <f t="shared" si="28"/>
        <v/>
      </c>
      <c r="CW33" s="40" t="str">
        <f t="shared" si="29"/>
        <v/>
      </c>
      <c r="CX33" s="40" t="str">
        <f t="shared" si="30"/>
        <v/>
      </c>
      <c r="CY33" s="40" t="str">
        <f t="shared" si="31"/>
        <v/>
      </c>
      <c r="CZ33" s="40" t="str">
        <f t="shared" si="32"/>
        <v/>
      </c>
      <c r="DA33" s="40" t="str">
        <f t="shared" si="33"/>
        <v/>
      </c>
      <c r="DB33" s="40" t="str">
        <f t="shared" si="34"/>
        <v/>
      </c>
      <c r="DC33" s="40" t="str">
        <f t="shared" si="35"/>
        <v/>
      </c>
      <c r="DD33" s="50" t="str">
        <f t="shared" si="36"/>
        <v/>
      </c>
      <c r="DE33" s="50" t="str">
        <f t="shared" si="37"/>
        <v/>
      </c>
      <c r="DF33" s="50" t="str">
        <f t="shared" si="38"/>
        <v/>
      </c>
      <c r="DG33" s="17"/>
      <c r="DH33" s="17"/>
      <c r="DI33" s="17"/>
      <c r="DJ33" s="17"/>
      <c r="DK33" s="17"/>
      <c r="DL33" s="17"/>
      <c r="DM33" s="17"/>
      <c r="DN33" s="17"/>
      <c r="DO33" s="17"/>
      <c r="DP33" s="17"/>
      <c r="DQ33" s="17"/>
      <c r="DR33" s="17"/>
      <c r="DS33" s="17"/>
      <c r="DT33" s="17"/>
      <c r="DU33" s="17"/>
      <c r="DV33" s="17"/>
      <c r="DW33" s="17"/>
      <c r="DX33" s="17"/>
      <c r="DY33" s="17"/>
      <c r="DZ33" s="17"/>
      <c r="EA33" s="40" t="str">
        <f t="shared" si="39"/>
        <v/>
      </c>
      <c r="EB33" s="40" t="str">
        <f t="shared" si="40"/>
        <v/>
      </c>
      <c r="EC33" s="40" t="str">
        <f t="shared" si="41"/>
        <v/>
      </c>
      <c r="ED33" s="40" t="str">
        <f t="shared" si="42"/>
        <v/>
      </c>
      <c r="EE33" s="40" t="str">
        <f t="shared" si="43"/>
        <v/>
      </c>
      <c r="EF33" s="40" t="str">
        <f t="shared" si="44"/>
        <v/>
      </c>
      <c r="EG33" s="40" t="str">
        <f t="shared" si="45"/>
        <v/>
      </c>
      <c r="EH33" s="40" t="str">
        <f t="shared" si="46"/>
        <v/>
      </c>
      <c r="EI33" s="18"/>
      <c r="EJ33" s="18"/>
      <c r="EK33" s="18"/>
      <c r="EL33" s="18"/>
      <c r="EM33" s="18"/>
      <c r="EN33" s="18"/>
      <c r="EO33" s="18"/>
      <c r="EP33" s="18"/>
      <c r="EQ33" s="18"/>
      <c r="ER33" s="18"/>
      <c r="ES33" s="18"/>
      <c r="ET33" s="18"/>
      <c r="EU33" s="18"/>
      <c r="EV33" s="18"/>
      <c r="EW33" s="18"/>
      <c r="EX33" s="18"/>
      <c r="EY33" s="18"/>
      <c r="EZ33" s="18"/>
      <c r="FA33" s="18"/>
      <c r="FB33" s="18"/>
      <c r="FC33" s="11" t="str">
        <f t="shared" si="47"/>
        <v/>
      </c>
      <c r="FD33" s="11" t="str">
        <f t="shared" si="48"/>
        <v/>
      </c>
      <c r="FE33" s="11" t="str">
        <f t="shared" si="49"/>
        <v/>
      </c>
      <c r="FF33" s="11" t="str">
        <f t="shared" si="50"/>
        <v/>
      </c>
      <c r="FG33" s="11" t="str">
        <f t="shared" si="51"/>
        <v/>
      </c>
      <c r="FH33" s="11" t="str">
        <f t="shared" si="52"/>
        <v/>
      </c>
      <c r="FI33" s="11" t="str">
        <f t="shared" si="53"/>
        <v/>
      </c>
      <c r="FJ33" s="11" t="str">
        <f t="shared" si="54"/>
        <v/>
      </c>
      <c r="FK33" s="17"/>
      <c r="FL33" s="17"/>
      <c r="FM33" s="17"/>
      <c r="FN33" s="17"/>
      <c r="FO33" s="17"/>
      <c r="FP33" s="17"/>
      <c r="FQ33" s="17"/>
      <c r="FR33" s="17"/>
      <c r="FS33" s="17"/>
      <c r="FT33" s="17"/>
      <c r="FU33" s="17"/>
      <c r="FV33" s="17"/>
      <c r="FW33" s="17"/>
      <c r="FX33" s="17"/>
      <c r="FY33" s="17"/>
      <c r="FZ33" s="17"/>
      <c r="GA33" s="17"/>
      <c r="GB33" s="17"/>
      <c r="GC33" s="17"/>
      <c r="GD33" s="17"/>
      <c r="GE33" s="40" t="str">
        <f t="shared" si="55"/>
        <v/>
      </c>
      <c r="GF33" s="40" t="str">
        <f t="shared" si="56"/>
        <v/>
      </c>
      <c r="GG33" s="40" t="str">
        <f t="shared" si="57"/>
        <v/>
      </c>
      <c r="GH33" s="40" t="str">
        <f t="shared" si="58"/>
        <v/>
      </c>
      <c r="GI33" s="40" t="str">
        <f t="shared" si="59"/>
        <v/>
      </c>
      <c r="GJ33" s="40" t="str">
        <f t="shared" si="60"/>
        <v/>
      </c>
      <c r="GK33" s="40" t="str">
        <f t="shared" si="61"/>
        <v/>
      </c>
      <c r="GL33" s="40" t="str">
        <f t="shared" si="62"/>
        <v/>
      </c>
      <c r="GM33" s="18"/>
      <c r="GN33" s="18"/>
      <c r="GO33" s="18"/>
      <c r="GP33" s="18"/>
      <c r="GQ33" s="18"/>
      <c r="GR33" s="18"/>
      <c r="GS33" s="18"/>
      <c r="GT33" s="18"/>
      <c r="GU33" s="18"/>
      <c r="GV33" s="18"/>
      <c r="GW33" s="18"/>
      <c r="GX33" s="18"/>
      <c r="GY33" s="18"/>
      <c r="GZ33" s="18"/>
      <c r="HA33" s="18"/>
      <c r="HB33" s="18"/>
      <c r="HC33" s="18"/>
      <c r="HD33" s="18"/>
      <c r="HE33" s="18"/>
      <c r="HF33" s="18"/>
      <c r="HG33" s="11" t="str">
        <f t="shared" si="63"/>
        <v/>
      </c>
      <c r="HH33" s="11" t="str">
        <f t="shared" si="64"/>
        <v/>
      </c>
      <c r="HI33" s="11" t="str">
        <f t="shared" si="65"/>
        <v/>
      </c>
      <c r="HJ33" s="11" t="str">
        <f t="shared" si="66"/>
        <v/>
      </c>
      <c r="HK33" s="11" t="str">
        <f t="shared" si="67"/>
        <v/>
      </c>
      <c r="HL33" s="11" t="str">
        <f t="shared" si="68"/>
        <v/>
      </c>
      <c r="HM33" s="11" t="str">
        <f t="shared" si="69"/>
        <v/>
      </c>
      <c r="HN33" s="11" t="str">
        <f t="shared" si="70"/>
        <v/>
      </c>
      <c r="HO33" s="17"/>
      <c r="HP33" s="17"/>
      <c r="HQ33" s="17"/>
      <c r="HR33" s="17"/>
      <c r="HS33" s="17"/>
      <c r="HT33" s="17"/>
      <c r="HU33" s="17"/>
      <c r="HV33" s="17"/>
      <c r="HW33" s="17"/>
      <c r="HX33" s="17"/>
      <c r="HY33" s="17"/>
      <c r="HZ33" s="17"/>
      <c r="IA33" s="17"/>
      <c r="IB33" s="17"/>
      <c r="IC33" s="17"/>
      <c r="ID33" s="17"/>
      <c r="IE33" s="17"/>
      <c r="IF33" s="17"/>
      <c r="IG33" s="17"/>
      <c r="IH33" s="17"/>
      <c r="II33" s="40" t="str">
        <f t="shared" si="71"/>
        <v/>
      </c>
      <c r="IJ33" s="40" t="str">
        <f t="shared" si="72"/>
        <v/>
      </c>
      <c r="IK33" s="40" t="str">
        <f t="shared" si="73"/>
        <v/>
      </c>
      <c r="IL33" s="40" t="str">
        <f t="shared" si="74"/>
        <v/>
      </c>
      <c r="IM33" s="40" t="str">
        <f t="shared" si="75"/>
        <v/>
      </c>
      <c r="IN33" s="40" t="str">
        <f t="shared" si="76"/>
        <v/>
      </c>
      <c r="IO33" s="40" t="str">
        <f t="shared" si="77"/>
        <v/>
      </c>
      <c r="IP33" s="40" t="str">
        <f t="shared" si="78"/>
        <v/>
      </c>
      <c r="IQ33" s="18"/>
      <c r="IR33" s="18"/>
      <c r="IS33" s="18"/>
      <c r="IT33" s="18"/>
      <c r="IU33" s="18"/>
      <c r="IV33" s="18"/>
      <c r="IW33" s="18"/>
      <c r="IX33" s="18"/>
      <c r="IY33" s="18"/>
      <c r="IZ33" s="18"/>
      <c r="JA33" s="18"/>
      <c r="JB33" s="18"/>
      <c r="JC33" s="18"/>
      <c r="JD33" s="18"/>
      <c r="JE33" s="18"/>
      <c r="JF33" s="18"/>
      <c r="JG33" s="18"/>
      <c r="JH33" s="18"/>
      <c r="JI33" s="18"/>
      <c r="JJ33" s="18"/>
      <c r="JK33" s="11" t="str">
        <f t="shared" si="79"/>
        <v/>
      </c>
      <c r="JL33" s="11" t="str">
        <f t="shared" si="80"/>
        <v/>
      </c>
      <c r="JM33" s="11" t="str">
        <f t="shared" si="81"/>
        <v/>
      </c>
      <c r="JN33" s="11" t="str">
        <f t="shared" si="82"/>
        <v/>
      </c>
      <c r="JO33" s="11" t="str">
        <f t="shared" si="83"/>
        <v/>
      </c>
      <c r="JP33" s="11" t="str">
        <f t="shared" si="84"/>
        <v/>
      </c>
      <c r="JQ33" s="11" t="str">
        <f t="shared" si="85"/>
        <v/>
      </c>
      <c r="JR33" s="11" t="str">
        <f t="shared" si="86"/>
        <v/>
      </c>
      <c r="JS33" s="17"/>
      <c r="JT33" s="17"/>
      <c r="JU33" s="17"/>
      <c r="JV33" s="17"/>
      <c r="JW33" s="17"/>
      <c r="JX33" s="17"/>
      <c r="JY33" s="17"/>
      <c r="JZ33" s="17"/>
      <c r="KA33" s="17"/>
      <c r="KB33" s="17"/>
      <c r="KC33" s="17"/>
      <c r="KD33" s="17"/>
      <c r="KE33" s="17"/>
      <c r="KF33" s="17"/>
      <c r="KG33" s="17"/>
      <c r="KH33" s="17"/>
      <c r="KI33" s="17"/>
      <c r="KJ33" s="17"/>
      <c r="KK33" s="17"/>
      <c r="KL33" s="17"/>
      <c r="KM33" s="40" t="str">
        <f t="shared" si="87"/>
        <v/>
      </c>
      <c r="KN33" s="40" t="str">
        <f t="shared" si="88"/>
        <v/>
      </c>
      <c r="KO33" s="40" t="str">
        <f t="shared" si="89"/>
        <v/>
      </c>
      <c r="KP33" s="40" t="str">
        <f t="shared" si="90"/>
        <v/>
      </c>
      <c r="KQ33" s="40" t="str">
        <f t="shared" si="91"/>
        <v/>
      </c>
      <c r="KR33" s="40" t="str">
        <f t="shared" si="92"/>
        <v/>
      </c>
      <c r="KS33" s="40" t="str">
        <f t="shared" si="93"/>
        <v/>
      </c>
      <c r="KT33" s="40" t="str">
        <f t="shared" si="94"/>
        <v/>
      </c>
      <c r="KU33" s="18"/>
      <c r="KV33" s="18"/>
      <c r="KW33" s="18"/>
      <c r="KX33" s="18"/>
      <c r="KY33" s="18"/>
      <c r="KZ33" s="18"/>
      <c r="LA33" s="18"/>
      <c r="LB33" s="18"/>
      <c r="LC33" s="18"/>
      <c r="LD33" s="18"/>
      <c r="LE33" s="18"/>
      <c r="LF33" s="18"/>
      <c r="LG33" s="18"/>
      <c r="LH33" s="18"/>
      <c r="LI33" s="18"/>
      <c r="LJ33" s="18"/>
      <c r="LK33" s="18"/>
      <c r="LL33" s="18"/>
      <c r="LM33" s="18"/>
      <c r="LN33" s="18"/>
      <c r="LO33" s="11" t="str">
        <f t="shared" si="95"/>
        <v/>
      </c>
      <c r="LP33" s="11" t="str">
        <f t="shared" si="96"/>
        <v/>
      </c>
      <c r="LQ33" s="11" t="str">
        <f t="shared" si="97"/>
        <v/>
      </c>
      <c r="LR33" s="11" t="str">
        <f t="shared" si="98"/>
        <v/>
      </c>
      <c r="LS33" s="11" t="str">
        <f t="shared" si="99"/>
        <v/>
      </c>
      <c r="LT33" s="11" t="str">
        <f t="shared" si="100"/>
        <v/>
      </c>
      <c r="LU33" s="11" t="str">
        <f t="shared" si="101"/>
        <v/>
      </c>
      <c r="LV33" s="11" t="str">
        <f t="shared" si="102"/>
        <v/>
      </c>
      <c r="LW33" s="17"/>
      <c r="LX33" s="17"/>
      <c r="LY33" s="17"/>
      <c r="LZ33" s="17"/>
      <c r="MA33" s="17"/>
      <c r="MB33" s="17"/>
      <c r="MC33" s="17"/>
      <c r="MD33" s="17"/>
      <c r="ME33" s="17"/>
      <c r="MF33" s="17"/>
      <c r="MG33" s="17"/>
      <c r="MH33" s="17"/>
      <c r="MI33" s="17"/>
      <c r="MJ33" s="17"/>
      <c r="MK33" s="17"/>
      <c r="ML33" s="17"/>
      <c r="MM33" s="17"/>
      <c r="MN33" s="17"/>
      <c r="MO33" s="17"/>
      <c r="MP33" s="17"/>
      <c r="MQ33" s="40" t="str">
        <f t="shared" si="103"/>
        <v/>
      </c>
      <c r="MR33" s="40" t="str">
        <f t="shared" si="104"/>
        <v/>
      </c>
      <c r="MS33" s="40" t="str">
        <f t="shared" si="105"/>
        <v/>
      </c>
      <c r="MT33" s="40" t="str">
        <f t="shared" si="106"/>
        <v/>
      </c>
      <c r="MU33" s="40" t="str">
        <f t="shared" si="107"/>
        <v/>
      </c>
      <c r="MV33" s="40" t="str">
        <f t="shared" si="108"/>
        <v/>
      </c>
      <c r="MW33" s="40" t="str">
        <f t="shared" si="109"/>
        <v/>
      </c>
      <c r="MX33" s="40" t="str">
        <f t="shared" si="110"/>
        <v/>
      </c>
      <c r="MY33" s="18"/>
      <c r="MZ33" s="18"/>
      <c r="NA33" s="18"/>
      <c r="NB33" s="18"/>
      <c r="NC33" s="18"/>
      <c r="ND33" s="18"/>
      <c r="NE33" s="18"/>
      <c r="NF33" s="18"/>
      <c r="NG33" s="18"/>
      <c r="NH33" s="18"/>
      <c r="NI33" s="18"/>
      <c r="NJ33" s="18"/>
      <c r="NK33" s="18"/>
      <c r="NL33" s="18"/>
      <c r="NM33" s="18"/>
      <c r="NN33" s="18"/>
      <c r="NO33" s="18"/>
      <c r="NP33" s="18"/>
      <c r="NQ33" s="18"/>
      <c r="NR33" s="18"/>
      <c r="NS33" s="11" t="str">
        <f t="shared" si="111"/>
        <v/>
      </c>
      <c r="NT33" s="11" t="str">
        <f t="shared" si="112"/>
        <v/>
      </c>
      <c r="NU33" s="11" t="str">
        <f t="shared" si="113"/>
        <v/>
      </c>
      <c r="NV33" s="11" t="str">
        <f t="shared" si="114"/>
        <v/>
      </c>
      <c r="NW33" s="11" t="str">
        <f t="shared" si="115"/>
        <v/>
      </c>
      <c r="NX33" s="11" t="str">
        <f t="shared" si="116"/>
        <v/>
      </c>
      <c r="NY33" s="11" t="str">
        <f t="shared" si="117"/>
        <v/>
      </c>
      <c r="NZ33" s="11" t="str">
        <f t="shared" si="118"/>
        <v/>
      </c>
      <c r="OA33" s="17"/>
      <c r="OB33" s="17"/>
      <c r="OC33" s="17"/>
      <c r="OD33" s="17"/>
      <c r="OE33" s="17"/>
      <c r="OF33" s="17"/>
      <c r="OG33" s="17"/>
      <c r="OH33" s="17"/>
      <c r="OI33" s="17"/>
      <c r="OJ33" s="17"/>
      <c r="OK33" s="17"/>
      <c r="OL33" s="17"/>
      <c r="OM33" s="17"/>
      <c r="ON33" s="17"/>
      <c r="OO33" s="17"/>
      <c r="OP33" s="17"/>
      <c r="OQ33" s="17"/>
      <c r="OR33" s="17"/>
      <c r="OS33" s="17"/>
      <c r="OT33" s="17"/>
      <c r="OU33" s="40" t="str">
        <f t="shared" si="119"/>
        <v/>
      </c>
      <c r="OV33" s="40" t="str">
        <f t="shared" si="120"/>
        <v/>
      </c>
      <c r="OW33" s="40" t="str">
        <f t="shared" si="121"/>
        <v/>
      </c>
      <c r="OX33" s="40" t="str">
        <f t="shared" si="122"/>
        <v/>
      </c>
      <c r="OY33" s="40" t="str">
        <f t="shared" si="123"/>
        <v/>
      </c>
      <c r="OZ33" s="40" t="str">
        <f t="shared" si="124"/>
        <v/>
      </c>
      <c r="PA33" s="40" t="str">
        <f t="shared" si="125"/>
        <v/>
      </c>
      <c r="PB33" s="40" t="str">
        <f t="shared" si="126"/>
        <v/>
      </c>
      <c r="PC33" s="18"/>
      <c r="PD33" s="18"/>
      <c r="PE33" s="18"/>
      <c r="PF33" s="18"/>
      <c r="PG33" s="18"/>
      <c r="PH33" s="18"/>
      <c r="PI33" s="18"/>
      <c r="PJ33" s="18"/>
      <c r="PK33" s="18"/>
      <c r="PL33" s="18"/>
      <c r="PM33" s="18"/>
      <c r="PN33" s="18"/>
      <c r="PO33" s="18"/>
      <c r="PP33" s="18"/>
      <c r="PQ33" s="18"/>
      <c r="PR33" s="18"/>
      <c r="PS33" s="18"/>
      <c r="PT33" s="18"/>
      <c r="PU33" s="18"/>
      <c r="PV33" s="18"/>
      <c r="PW33" s="11" t="str">
        <f t="shared" si="127"/>
        <v/>
      </c>
      <c r="PX33" s="11" t="str">
        <f t="shared" si="128"/>
        <v/>
      </c>
      <c r="PY33" s="11" t="str">
        <f t="shared" si="129"/>
        <v/>
      </c>
      <c r="PZ33" s="11" t="str">
        <f t="shared" si="130"/>
        <v/>
      </c>
      <c r="QA33" s="11" t="str">
        <f t="shared" si="131"/>
        <v/>
      </c>
      <c r="QB33" s="11" t="str">
        <f t="shared" si="132"/>
        <v/>
      </c>
      <c r="QC33" s="11" t="str">
        <f t="shared" si="133"/>
        <v/>
      </c>
      <c r="QD33" s="11" t="str">
        <f t="shared" si="134"/>
        <v/>
      </c>
      <c r="QE33" s="22">
        <f t="shared" si="135"/>
        <v>0</v>
      </c>
      <c r="QF33" s="22">
        <f t="shared" si="136"/>
        <v>0</v>
      </c>
      <c r="QG33" s="22">
        <f t="shared" si="137"/>
        <v>0</v>
      </c>
      <c r="QH33" s="22">
        <f t="shared" si="138"/>
        <v>0</v>
      </c>
      <c r="QI33" s="22">
        <f t="shared" si="139"/>
        <v>0</v>
      </c>
      <c r="QJ33" s="22">
        <f t="shared" si="140"/>
        <v>0</v>
      </c>
      <c r="QK33" s="22">
        <f t="shared" si="141"/>
        <v>0</v>
      </c>
      <c r="QL33" s="22">
        <f t="shared" si="142"/>
        <v>0</v>
      </c>
      <c r="QM33" s="22">
        <f t="shared" si="143"/>
        <v>0</v>
      </c>
      <c r="QN33" s="22">
        <f t="shared" si="144"/>
        <v>0</v>
      </c>
      <c r="QO33" s="22">
        <f t="shared" si="145"/>
        <v>0</v>
      </c>
      <c r="QP33" s="22">
        <f t="shared" si="146"/>
        <v>0</v>
      </c>
      <c r="QQ33" s="22">
        <f t="shared" si="147"/>
        <v>0</v>
      </c>
      <c r="QR33" s="22">
        <f t="shared" si="148"/>
        <v>0</v>
      </c>
      <c r="QS33" s="22">
        <f t="shared" si="149"/>
        <v>0</v>
      </c>
      <c r="QT33" s="22">
        <f t="shared" si="150"/>
        <v>0</v>
      </c>
      <c r="QU33" s="22">
        <f t="shared" si="151"/>
        <v>0</v>
      </c>
      <c r="QV33" s="22">
        <f t="shared" si="152"/>
        <v>0</v>
      </c>
      <c r="QW33" s="22">
        <f t="shared" si="153"/>
        <v>0</v>
      </c>
      <c r="QX33" s="22">
        <f t="shared" si="154"/>
        <v>0</v>
      </c>
      <c r="QY33" s="27" t="s">
        <v>46</v>
      </c>
      <c r="QZ33" s="40" t="str">
        <f t="shared" si="155"/>
        <v/>
      </c>
      <c r="RA33" s="40" t="str">
        <f t="shared" si="156"/>
        <v/>
      </c>
      <c r="RB33" s="40" t="str">
        <f t="shared" si="157"/>
        <v/>
      </c>
      <c r="RC33" s="40" t="str">
        <f t="shared" si="158"/>
        <v/>
      </c>
      <c r="RD33" s="40" t="str">
        <f t="shared" si="159"/>
        <v/>
      </c>
      <c r="RE33" s="40" t="str">
        <f t="shared" si="160"/>
        <v/>
      </c>
      <c r="RF33" s="40" t="str">
        <f t="shared" si="161"/>
        <v/>
      </c>
      <c r="RG33" s="40" t="str">
        <f t="shared" si="162"/>
        <v/>
      </c>
    </row>
    <row r="34" spans="1:475" x14ac:dyDescent="0.2">
      <c r="A34" s="4" t="str">
        <f t="shared" si="164"/>
        <v/>
      </c>
      <c r="B34" s="5" t="s">
        <v>216</v>
      </c>
      <c r="C34" s="4" t="s">
        <v>4</v>
      </c>
      <c r="D34" s="4">
        <v>2005</v>
      </c>
      <c r="E34" s="9">
        <f t="shared" si="163"/>
        <v>59.300005930003579</v>
      </c>
      <c r="F34" s="3" t="str">
        <f t="shared" si="0"/>
        <v/>
      </c>
      <c r="G34" s="3" t="str">
        <f t="shared" si="1"/>
        <v/>
      </c>
      <c r="H34" s="36" t="str">
        <f t="shared" si="2"/>
        <v/>
      </c>
      <c r="I34" s="3" t="str">
        <f t="shared" si="3"/>
        <v/>
      </c>
      <c r="J34" s="8">
        <f>IF(COUNT(AQ34,BT34,CW34)&gt;0,LARGE((AQ34,BT34,CW34),1),0)</f>
        <v>35.799999999999997</v>
      </c>
      <c r="K34" s="8" t="str">
        <f t="shared" si="4"/>
        <v>2023 Elite Canada</v>
      </c>
      <c r="L34" s="8">
        <f>IF(COUNT(AQ34,BT34,CW34)&gt;1,LARGE((AQ34,BT34,CW34),2),0)</f>
        <v>0</v>
      </c>
      <c r="M34" s="8" t="str">
        <f t="shared" si="5"/>
        <v/>
      </c>
      <c r="N34" s="8">
        <f>IF(COUNT(AR34,BU34,CX34)&gt;0,LARGE((AR34,BU34,CX34),1),0)</f>
        <v>23.5</v>
      </c>
      <c r="O34" s="8" t="str">
        <f t="shared" si="6"/>
        <v>2023 Elite Canada</v>
      </c>
      <c r="P34" s="8">
        <f t="shared" si="7"/>
        <v>0</v>
      </c>
      <c r="Q34" s="8" t="str">
        <f t="shared" si="8"/>
        <v/>
      </c>
      <c r="R34" s="8" t="str">
        <f t="shared" si="9"/>
        <v/>
      </c>
      <c r="S34" s="11" t="str">
        <f t="shared" si="10"/>
        <v/>
      </c>
      <c r="T34" s="8" t="str">
        <f t="shared" si="11"/>
        <v/>
      </c>
      <c r="U34" s="19"/>
      <c r="V34" s="19"/>
      <c r="W34" s="19"/>
      <c r="X34" s="19"/>
      <c r="Y34" s="19"/>
      <c r="Z34" s="19"/>
      <c r="AA34" s="19"/>
      <c r="AB34" s="19"/>
      <c r="AC34" s="19"/>
      <c r="AD34" s="19"/>
      <c r="AE34" s="19"/>
      <c r="AF34" s="19"/>
      <c r="AG34" s="19"/>
      <c r="AH34" s="19"/>
      <c r="AI34" s="19"/>
      <c r="AJ34" s="19"/>
      <c r="AK34" s="19"/>
      <c r="AL34" s="19"/>
      <c r="AM34" s="19"/>
      <c r="AN34" s="19"/>
      <c r="AO34" s="27"/>
      <c r="AP34" s="40" t="str">
        <f t="shared" si="12"/>
        <v/>
      </c>
      <c r="AQ34" s="40" t="str">
        <f t="shared" si="13"/>
        <v/>
      </c>
      <c r="AR34" s="40" t="str">
        <f t="shared" si="14"/>
        <v/>
      </c>
      <c r="AS34" s="40" t="str">
        <f t="shared" si="15"/>
        <v/>
      </c>
      <c r="AT34" s="40" t="str">
        <f t="shared" si="16"/>
        <v/>
      </c>
      <c r="AU34" s="40" t="str">
        <f t="shared" si="17"/>
        <v/>
      </c>
      <c r="AV34" s="40" t="str">
        <f t="shared" si="18"/>
        <v/>
      </c>
      <c r="AW34" s="40" t="str">
        <f t="shared" si="19"/>
        <v/>
      </c>
      <c r="AX34" s="18"/>
      <c r="AY34" s="18"/>
      <c r="AZ34" s="18"/>
      <c r="BA34" s="18"/>
      <c r="BB34" s="18"/>
      <c r="BC34" s="18"/>
      <c r="BD34" s="18"/>
      <c r="BE34" s="18"/>
      <c r="BF34" s="18"/>
      <c r="BG34" s="18"/>
      <c r="BH34" s="18"/>
      <c r="BI34" s="18"/>
      <c r="BJ34" s="18"/>
      <c r="BK34" s="18"/>
      <c r="BL34" s="18"/>
      <c r="BM34" s="18"/>
      <c r="BN34" s="18"/>
      <c r="BO34" s="18"/>
      <c r="BP34" s="18"/>
      <c r="BQ34" s="18"/>
      <c r="BR34" s="28"/>
      <c r="BS34" s="11" t="str">
        <f t="shared" si="20"/>
        <v/>
      </c>
      <c r="BT34" s="11" t="str">
        <f t="shared" si="21"/>
        <v/>
      </c>
      <c r="BU34" s="11" t="str">
        <f t="shared" si="22"/>
        <v/>
      </c>
      <c r="BV34" s="11" t="str">
        <f t="shared" si="23"/>
        <v/>
      </c>
      <c r="BW34" s="11" t="str">
        <f t="shared" si="24"/>
        <v/>
      </c>
      <c r="BX34" s="11" t="str">
        <f t="shared" si="25"/>
        <v/>
      </c>
      <c r="BY34" s="11" t="str">
        <f t="shared" si="26"/>
        <v/>
      </c>
      <c r="BZ34" s="11" t="str">
        <f t="shared" si="27"/>
        <v/>
      </c>
      <c r="CA34" s="19">
        <v>18.100000000000001</v>
      </c>
      <c r="CB34" s="19">
        <v>4.8</v>
      </c>
      <c r="CC34" s="19">
        <v>1</v>
      </c>
      <c r="CD34" s="19">
        <v>0</v>
      </c>
      <c r="CE34" s="19">
        <v>16.600000000000001</v>
      </c>
      <c r="CF34" s="19">
        <v>1.3</v>
      </c>
      <c r="CG34" s="19">
        <v>4</v>
      </c>
      <c r="CH34" s="19">
        <v>0</v>
      </c>
      <c r="CI34" s="19">
        <v>18.3</v>
      </c>
      <c r="CJ34" s="19">
        <v>5.2</v>
      </c>
      <c r="CK34" s="19">
        <v>0</v>
      </c>
      <c r="CL34" s="19">
        <v>0</v>
      </c>
      <c r="CM34" s="19"/>
      <c r="CN34" s="19"/>
      <c r="CO34" s="19"/>
      <c r="CP34" s="19"/>
      <c r="CQ34" s="19"/>
      <c r="CR34" s="19"/>
      <c r="CS34" s="19"/>
      <c r="CT34" s="19"/>
      <c r="CU34" s="27"/>
      <c r="CV34" s="40">
        <f t="shared" si="28"/>
        <v>6.1</v>
      </c>
      <c r="CW34" s="40">
        <f t="shared" si="29"/>
        <v>35.799999999999997</v>
      </c>
      <c r="CX34" s="40">
        <f t="shared" si="30"/>
        <v>23.5</v>
      </c>
      <c r="CY34" s="40">
        <f t="shared" si="31"/>
        <v>11.3</v>
      </c>
      <c r="CZ34" s="40">
        <f t="shared" si="32"/>
        <v>59.3</v>
      </c>
      <c r="DA34" s="40" t="str">
        <f t="shared" si="33"/>
        <v/>
      </c>
      <c r="DB34" s="40" t="str">
        <f t="shared" si="34"/>
        <v/>
      </c>
      <c r="DC34" s="40">
        <f t="shared" si="35"/>
        <v>35.799999999999997</v>
      </c>
      <c r="DD34" s="50" t="str">
        <f t="shared" si="36"/>
        <v/>
      </c>
      <c r="DE34" s="50" t="str">
        <f t="shared" si="37"/>
        <v/>
      </c>
      <c r="DF34" s="50" t="str">
        <f t="shared" si="38"/>
        <v/>
      </c>
      <c r="DG34" s="17"/>
      <c r="DH34" s="17"/>
      <c r="DI34" s="17"/>
      <c r="DJ34" s="17"/>
      <c r="DK34" s="17"/>
      <c r="DL34" s="17"/>
      <c r="DM34" s="17"/>
      <c r="DN34" s="17"/>
      <c r="DO34" s="17"/>
      <c r="DP34" s="17"/>
      <c r="DQ34" s="17"/>
      <c r="DR34" s="17"/>
      <c r="DS34" s="17"/>
      <c r="DT34" s="17"/>
      <c r="DU34" s="17"/>
      <c r="DV34" s="17"/>
      <c r="DW34" s="17"/>
      <c r="DX34" s="17"/>
      <c r="DY34" s="17"/>
      <c r="DZ34" s="17"/>
      <c r="EA34" s="40" t="str">
        <f t="shared" si="39"/>
        <v/>
      </c>
      <c r="EB34" s="40" t="str">
        <f t="shared" si="40"/>
        <v/>
      </c>
      <c r="EC34" s="40" t="str">
        <f t="shared" si="41"/>
        <v/>
      </c>
      <c r="ED34" s="40" t="str">
        <f t="shared" si="42"/>
        <v/>
      </c>
      <c r="EE34" s="40" t="str">
        <f t="shared" si="43"/>
        <v/>
      </c>
      <c r="EF34" s="40" t="str">
        <f t="shared" si="44"/>
        <v/>
      </c>
      <c r="EG34" s="40" t="str">
        <f t="shared" si="45"/>
        <v/>
      </c>
      <c r="EH34" s="40" t="str">
        <f t="shared" si="46"/>
        <v/>
      </c>
      <c r="EI34" s="18"/>
      <c r="EJ34" s="18"/>
      <c r="EK34" s="18"/>
      <c r="EL34" s="18"/>
      <c r="EM34" s="18"/>
      <c r="EN34" s="18"/>
      <c r="EO34" s="18"/>
      <c r="EP34" s="18"/>
      <c r="EQ34" s="18"/>
      <c r="ER34" s="18"/>
      <c r="ES34" s="18"/>
      <c r="ET34" s="18"/>
      <c r="EU34" s="18"/>
      <c r="EV34" s="18"/>
      <c r="EW34" s="18"/>
      <c r="EX34" s="18"/>
      <c r="EY34" s="18"/>
      <c r="EZ34" s="18"/>
      <c r="FA34" s="18"/>
      <c r="FB34" s="18"/>
      <c r="FC34" s="11" t="str">
        <f t="shared" si="47"/>
        <v/>
      </c>
      <c r="FD34" s="11" t="str">
        <f t="shared" si="48"/>
        <v/>
      </c>
      <c r="FE34" s="11" t="str">
        <f t="shared" si="49"/>
        <v/>
      </c>
      <c r="FF34" s="11" t="str">
        <f t="shared" si="50"/>
        <v/>
      </c>
      <c r="FG34" s="11" t="str">
        <f t="shared" si="51"/>
        <v/>
      </c>
      <c r="FH34" s="11" t="str">
        <f t="shared" si="52"/>
        <v/>
      </c>
      <c r="FI34" s="11" t="str">
        <f t="shared" si="53"/>
        <v/>
      </c>
      <c r="FJ34" s="11" t="str">
        <f t="shared" si="54"/>
        <v/>
      </c>
      <c r="FK34" s="17"/>
      <c r="FL34" s="17"/>
      <c r="FM34" s="17"/>
      <c r="FN34" s="17"/>
      <c r="FO34" s="17"/>
      <c r="FP34" s="17"/>
      <c r="FQ34" s="17"/>
      <c r="FR34" s="17"/>
      <c r="FS34" s="17"/>
      <c r="FT34" s="17"/>
      <c r="FU34" s="17"/>
      <c r="FV34" s="17"/>
      <c r="FW34" s="17"/>
      <c r="FX34" s="17"/>
      <c r="FY34" s="17"/>
      <c r="FZ34" s="17"/>
      <c r="GA34" s="17"/>
      <c r="GB34" s="17"/>
      <c r="GC34" s="17"/>
      <c r="GD34" s="17"/>
      <c r="GE34" s="40" t="str">
        <f t="shared" si="55"/>
        <v/>
      </c>
      <c r="GF34" s="40" t="str">
        <f t="shared" si="56"/>
        <v/>
      </c>
      <c r="GG34" s="40" t="str">
        <f t="shared" si="57"/>
        <v/>
      </c>
      <c r="GH34" s="40" t="str">
        <f t="shared" si="58"/>
        <v/>
      </c>
      <c r="GI34" s="40" t="str">
        <f t="shared" si="59"/>
        <v/>
      </c>
      <c r="GJ34" s="40" t="str">
        <f t="shared" si="60"/>
        <v/>
      </c>
      <c r="GK34" s="40" t="str">
        <f t="shared" si="61"/>
        <v/>
      </c>
      <c r="GL34" s="40" t="str">
        <f t="shared" si="62"/>
        <v/>
      </c>
      <c r="GM34" s="18"/>
      <c r="GN34" s="18"/>
      <c r="GO34" s="18"/>
      <c r="GP34" s="18"/>
      <c r="GQ34" s="18"/>
      <c r="GR34" s="18"/>
      <c r="GS34" s="18"/>
      <c r="GT34" s="18"/>
      <c r="GU34" s="18"/>
      <c r="GV34" s="18"/>
      <c r="GW34" s="18"/>
      <c r="GX34" s="18"/>
      <c r="GY34" s="18"/>
      <c r="GZ34" s="18"/>
      <c r="HA34" s="18"/>
      <c r="HB34" s="18"/>
      <c r="HC34" s="18"/>
      <c r="HD34" s="18"/>
      <c r="HE34" s="18"/>
      <c r="HF34" s="18"/>
      <c r="HG34" s="11" t="str">
        <f t="shared" si="63"/>
        <v/>
      </c>
      <c r="HH34" s="11" t="str">
        <f t="shared" si="64"/>
        <v/>
      </c>
      <c r="HI34" s="11" t="str">
        <f t="shared" si="65"/>
        <v/>
      </c>
      <c r="HJ34" s="11" t="str">
        <f t="shared" si="66"/>
        <v/>
      </c>
      <c r="HK34" s="11" t="str">
        <f t="shared" si="67"/>
        <v/>
      </c>
      <c r="HL34" s="11" t="str">
        <f t="shared" si="68"/>
        <v/>
      </c>
      <c r="HM34" s="11" t="str">
        <f t="shared" si="69"/>
        <v/>
      </c>
      <c r="HN34" s="11" t="str">
        <f t="shared" si="70"/>
        <v/>
      </c>
      <c r="HO34" s="17"/>
      <c r="HP34" s="17"/>
      <c r="HQ34" s="17"/>
      <c r="HR34" s="17"/>
      <c r="HS34" s="17"/>
      <c r="HT34" s="17"/>
      <c r="HU34" s="17"/>
      <c r="HV34" s="17"/>
      <c r="HW34" s="17"/>
      <c r="HX34" s="17"/>
      <c r="HY34" s="17"/>
      <c r="HZ34" s="17"/>
      <c r="IA34" s="17"/>
      <c r="IB34" s="17"/>
      <c r="IC34" s="17"/>
      <c r="ID34" s="17"/>
      <c r="IE34" s="17"/>
      <c r="IF34" s="17"/>
      <c r="IG34" s="17"/>
      <c r="IH34" s="17"/>
      <c r="II34" s="40" t="str">
        <f t="shared" si="71"/>
        <v/>
      </c>
      <c r="IJ34" s="40" t="str">
        <f t="shared" si="72"/>
        <v/>
      </c>
      <c r="IK34" s="40" t="str">
        <f t="shared" si="73"/>
        <v/>
      </c>
      <c r="IL34" s="40" t="str">
        <f t="shared" si="74"/>
        <v/>
      </c>
      <c r="IM34" s="40" t="str">
        <f t="shared" si="75"/>
        <v/>
      </c>
      <c r="IN34" s="40" t="str">
        <f t="shared" si="76"/>
        <v/>
      </c>
      <c r="IO34" s="40" t="str">
        <f t="shared" si="77"/>
        <v/>
      </c>
      <c r="IP34" s="40" t="str">
        <f t="shared" si="78"/>
        <v/>
      </c>
      <c r="IQ34" s="18"/>
      <c r="IR34" s="18"/>
      <c r="IS34" s="18"/>
      <c r="IT34" s="18"/>
      <c r="IU34" s="18"/>
      <c r="IV34" s="18"/>
      <c r="IW34" s="18"/>
      <c r="IX34" s="18"/>
      <c r="IY34" s="18"/>
      <c r="IZ34" s="18"/>
      <c r="JA34" s="18"/>
      <c r="JB34" s="18"/>
      <c r="JC34" s="18"/>
      <c r="JD34" s="18"/>
      <c r="JE34" s="18"/>
      <c r="JF34" s="18"/>
      <c r="JG34" s="18"/>
      <c r="JH34" s="18"/>
      <c r="JI34" s="18"/>
      <c r="JJ34" s="18"/>
      <c r="JK34" s="11" t="str">
        <f t="shared" si="79"/>
        <v/>
      </c>
      <c r="JL34" s="11" t="str">
        <f t="shared" si="80"/>
        <v/>
      </c>
      <c r="JM34" s="11" t="str">
        <f t="shared" si="81"/>
        <v/>
      </c>
      <c r="JN34" s="11" t="str">
        <f t="shared" si="82"/>
        <v/>
      </c>
      <c r="JO34" s="11" t="str">
        <f t="shared" si="83"/>
        <v/>
      </c>
      <c r="JP34" s="11" t="str">
        <f t="shared" si="84"/>
        <v/>
      </c>
      <c r="JQ34" s="11" t="str">
        <f t="shared" si="85"/>
        <v/>
      </c>
      <c r="JR34" s="11" t="str">
        <f t="shared" si="86"/>
        <v/>
      </c>
      <c r="JS34" s="17"/>
      <c r="JT34" s="17"/>
      <c r="JU34" s="17"/>
      <c r="JV34" s="17"/>
      <c r="JW34" s="17"/>
      <c r="JX34" s="17"/>
      <c r="JY34" s="17"/>
      <c r="JZ34" s="17"/>
      <c r="KA34" s="17"/>
      <c r="KB34" s="17"/>
      <c r="KC34" s="17"/>
      <c r="KD34" s="17"/>
      <c r="KE34" s="17"/>
      <c r="KF34" s="17"/>
      <c r="KG34" s="17"/>
      <c r="KH34" s="17"/>
      <c r="KI34" s="17"/>
      <c r="KJ34" s="17"/>
      <c r="KK34" s="17"/>
      <c r="KL34" s="17"/>
      <c r="KM34" s="40" t="str">
        <f t="shared" si="87"/>
        <v/>
      </c>
      <c r="KN34" s="40" t="str">
        <f t="shared" si="88"/>
        <v/>
      </c>
      <c r="KO34" s="40" t="str">
        <f t="shared" si="89"/>
        <v/>
      </c>
      <c r="KP34" s="40" t="str">
        <f t="shared" si="90"/>
        <v/>
      </c>
      <c r="KQ34" s="40" t="str">
        <f t="shared" si="91"/>
        <v/>
      </c>
      <c r="KR34" s="40" t="str">
        <f t="shared" si="92"/>
        <v/>
      </c>
      <c r="KS34" s="40" t="str">
        <f t="shared" si="93"/>
        <v/>
      </c>
      <c r="KT34" s="40" t="str">
        <f t="shared" si="94"/>
        <v/>
      </c>
      <c r="KU34" s="18"/>
      <c r="KV34" s="18"/>
      <c r="KW34" s="18"/>
      <c r="KX34" s="18"/>
      <c r="KY34" s="18"/>
      <c r="KZ34" s="18"/>
      <c r="LA34" s="18"/>
      <c r="LB34" s="18"/>
      <c r="LC34" s="18"/>
      <c r="LD34" s="18"/>
      <c r="LE34" s="18"/>
      <c r="LF34" s="18"/>
      <c r="LG34" s="18"/>
      <c r="LH34" s="18"/>
      <c r="LI34" s="18"/>
      <c r="LJ34" s="18"/>
      <c r="LK34" s="18"/>
      <c r="LL34" s="18"/>
      <c r="LM34" s="18"/>
      <c r="LN34" s="18"/>
      <c r="LO34" s="11" t="str">
        <f t="shared" si="95"/>
        <v/>
      </c>
      <c r="LP34" s="11" t="str">
        <f t="shared" si="96"/>
        <v/>
      </c>
      <c r="LQ34" s="11" t="str">
        <f t="shared" si="97"/>
        <v/>
      </c>
      <c r="LR34" s="11" t="str">
        <f t="shared" si="98"/>
        <v/>
      </c>
      <c r="LS34" s="11" t="str">
        <f t="shared" si="99"/>
        <v/>
      </c>
      <c r="LT34" s="11" t="str">
        <f t="shared" si="100"/>
        <v/>
      </c>
      <c r="LU34" s="11" t="str">
        <f t="shared" si="101"/>
        <v/>
      </c>
      <c r="LV34" s="11" t="str">
        <f t="shared" si="102"/>
        <v/>
      </c>
      <c r="LW34" s="17"/>
      <c r="LX34" s="17"/>
      <c r="LY34" s="17"/>
      <c r="LZ34" s="17"/>
      <c r="MA34" s="17"/>
      <c r="MB34" s="17"/>
      <c r="MC34" s="17"/>
      <c r="MD34" s="17"/>
      <c r="ME34" s="17"/>
      <c r="MF34" s="17"/>
      <c r="MG34" s="17"/>
      <c r="MH34" s="17"/>
      <c r="MI34" s="17"/>
      <c r="MJ34" s="17"/>
      <c r="MK34" s="17"/>
      <c r="ML34" s="17"/>
      <c r="MM34" s="17"/>
      <c r="MN34" s="17"/>
      <c r="MO34" s="17"/>
      <c r="MP34" s="17"/>
      <c r="MQ34" s="40" t="str">
        <f t="shared" si="103"/>
        <v/>
      </c>
      <c r="MR34" s="40" t="str">
        <f t="shared" si="104"/>
        <v/>
      </c>
      <c r="MS34" s="40" t="str">
        <f t="shared" si="105"/>
        <v/>
      </c>
      <c r="MT34" s="40" t="str">
        <f t="shared" si="106"/>
        <v/>
      </c>
      <c r="MU34" s="40" t="str">
        <f t="shared" si="107"/>
        <v/>
      </c>
      <c r="MV34" s="40" t="str">
        <f t="shared" si="108"/>
        <v/>
      </c>
      <c r="MW34" s="40" t="str">
        <f t="shared" si="109"/>
        <v/>
      </c>
      <c r="MX34" s="40" t="str">
        <f t="shared" si="110"/>
        <v/>
      </c>
      <c r="MY34" s="18"/>
      <c r="MZ34" s="18"/>
      <c r="NA34" s="18"/>
      <c r="NB34" s="18"/>
      <c r="NC34" s="18"/>
      <c r="ND34" s="18"/>
      <c r="NE34" s="18"/>
      <c r="NF34" s="18"/>
      <c r="NG34" s="18"/>
      <c r="NH34" s="18"/>
      <c r="NI34" s="18"/>
      <c r="NJ34" s="18"/>
      <c r="NK34" s="18"/>
      <c r="NL34" s="18"/>
      <c r="NM34" s="18"/>
      <c r="NN34" s="18"/>
      <c r="NO34" s="18"/>
      <c r="NP34" s="18"/>
      <c r="NQ34" s="18"/>
      <c r="NR34" s="18"/>
      <c r="NS34" s="11" t="str">
        <f t="shared" si="111"/>
        <v/>
      </c>
      <c r="NT34" s="11" t="str">
        <f t="shared" si="112"/>
        <v/>
      </c>
      <c r="NU34" s="11" t="str">
        <f t="shared" si="113"/>
        <v/>
      </c>
      <c r="NV34" s="11" t="str">
        <f t="shared" si="114"/>
        <v/>
      </c>
      <c r="NW34" s="11" t="str">
        <f t="shared" si="115"/>
        <v/>
      </c>
      <c r="NX34" s="11" t="str">
        <f t="shared" si="116"/>
        <v/>
      </c>
      <c r="NY34" s="11" t="str">
        <f t="shared" si="117"/>
        <v/>
      </c>
      <c r="NZ34" s="11" t="str">
        <f t="shared" si="118"/>
        <v/>
      </c>
      <c r="OA34" s="17"/>
      <c r="OB34" s="17"/>
      <c r="OC34" s="17"/>
      <c r="OD34" s="17"/>
      <c r="OE34" s="17"/>
      <c r="OF34" s="17"/>
      <c r="OG34" s="17"/>
      <c r="OH34" s="17"/>
      <c r="OI34" s="17"/>
      <c r="OJ34" s="17"/>
      <c r="OK34" s="17"/>
      <c r="OL34" s="17"/>
      <c r="OM34" s="17"/>
      <c r="ON34" s="17"/>
      <c r="OO34" s="17"/>
      <c r="OP34" s="17"/>
      <c r="OQ34" s="17"/>
      <c r="OR34" s="17"/>
      <c r="OS34" s="17"/>
      <c r="OT34" s="17"/>
      <c r="OU34" s="40" t="str">
        <f t="shared" si="119"/>
        <v/>
      </c>
      <c r="OV34" s="40" t="str">
        <f t="shared" si="120"/>
        <v/>
      </c>
      <c r="OW34" s="40" t="str">
        <f t="shared" si="121"/>
        <v/>
      </c>
      <c r="OX34" s="40" t="str">
        <f t="shared" si="122"/>
        <v/>
      </c>
      <c r="OY34" s="40" t="str">
        <f t="shared" si="123"/>
        <v/>
      </c>
      <c r="OZ34" s="40" t="str">
        <f t="shared" si="124"/>
        <v/>
      </c>
      <c r="PA34" s="40" t="str">
        <f t="shared" si="125"/>
        <v/>
      </c>
      <c r="PB34" s="40" t="str">
        <f t="shared" si="126"/>
        <v/>
      </c>
      <c r="PC34" s="18"/>
      <c r="PD34" s="18"/>
      <c r="PE34" s="18"/>
      <c r="PF34" s="18"/>
      <c r="PG34" s="18"/>
      <c r="PH34" s="18"/>
      <c r="PI34" s="18"/>
      <c r="PJ34" s="18"/>
      <c r="PK34" s="18"/>
      <c r="PL34" s="18"/>
      <c r="PM34" s="18"/>
      <c r="PN34" s="18"/>
      <c r="PO34" s="18"/>
      <c r="PP34" s="18"/>
      <c r="PQ34" s="18"/>
      <c r="PR34" s="18"/>
      <c r="PS34" s="18"/>
      <c r="PT34" s="18"/>
      <c r="PU34" s="18"/>
      <c r="PV34" s="18"/>
      <c r="PW34" s="11" t="str">
        <f t="shared" si="127"/>
        <v/>
      </c>
      <c r="PX34" s="11" t="str">
        <f t="shared" si="128"/>
        <v/>
      </c>
      <c r="PY34" s="11" t="str">
        <f t="shared" si="129"/>
        <v/>
      </c>
      <c r="PZ34" s="11" t="str">
        <f t="shared" si="130"/>
        <v/>
      </c>
      <c r="QA34" s="11" t="str">
        <f t="shared" si="131"/>
        <v/>
      </c>
      <c r="QB34" s="11" t="str">
        <f t="shared" si="132"/>
        <v/>
      </c>
      <c r="QC34" s="11" t="str">
        <f t="shared" si="133"/>
        <v/>
      </c>
      <c r="QD34" s="11" t="str">
        <f t="shared" si="134"/>
        <v/>
      </c>
      <c r="QE34" s="22">
        <f t="shared" si="135"/>
        <v>9.0500000000000007</v>
      </c>
      <c r="QF34" s="22">
        <f t="shared" si="136"/>
        <v>2.4</v>
      </c>
      <c r="QG34" s="22">
        <f t="shared" si="137"/>
        <v>0.5</v>
      </c>
      <c r="QH34" s="22">
        <f t="shared" si="138"/>
        <v>0</v>
      </c>
      <c r="QI34" s="22">
        <f t="shared" si="139"/>
        <v>8.3000000000000007</v>
      </c>
      <c r="QJ34" s="22">
        <f t="shared" si="140"/>
        <v>0.65</v>
      </c>
      <c r="QK34" s="22">
        <f t="shared" si="141"/>
        <v>2</v>
      </c>
      <c r="QL34" s="22">
        <f t="shared" si="142"/>
        <v>0</v>
      </c>
      <c r="QM34" s="22">
        <f t="shared" si="143"/>
        <v>9.15</v>
      </c>
      <c r="QN34" s="22">
        <f t="shared" si="144"/>
        <v>2.6</v>
      </c>
      <c r="QO34" s="22">
        <f t="shared" si="145"/>
        <v>0</v>
      </c>
      <c r="QP34" s="22">
        <f t="shared" si="146"/>
        <v>0</v>
      </c>
      <c r="QQ34" s="22">
        <f t="shared" si="147"/>
        <v>0</v>
      </c>
      <c r="QR34" s="22">
        <f t="shared" si="148"/>
        <v>0</v>
      </c>
      <c r="QS34" s="22">
        <f t="shared" si="149"/>
        <v>0</v>
      </c>
      <c r="QT34" s="22">
        <f t="shared" si="150"/>
        <v>0</v>
      </c>
      <c r="QU34" s="22">
        <f t="shared" si="151"/>
        <v>0</v>
      </c>
      <c r="QV34" s="22">
        <f t="shared" si="152"/>
        <v>0</v>
      </c>
      <c r="QW34" s="22">
        <f t="shared" si="153"/>
        <v>0</v>
      </c>
      <c r="QX34" s="22">
        <f t="shared" si="154"/>
        <v>0</v>
      </c>
      <c r="QY34" s="27" t="s">
        <v>46</v>
      </c>
      <c r="QZ34" s="40">
        <f t="shared" si="155"/>
        <v>3.05</v>
      </c>
      <c r="RA34" s="40">
        <f t="shared" si="156"/>
        <v>17.899999999999999</v>
      </c>
      <c r="RB34" s="40">
        <f t="shared" si="157"/>
        <v>11.75</v>
      </c>
      <c r="RC34" s="40">
        <f t="shared" si="158"/>
        <v>5.65</v>
      </c>
      <c r="RD34" s="40">
        <f t="shared" si="159"/>
        <v>29.65</v>
      </c>
      <c r="RE34" s="40" t="str">
        <f t="shared" si="160"/>
        <v/>
      </c>
      <c r="RF34" s="40" t="str">
        <f t="shared" si="161"/>
        <v/>
      </c>
      <c r="RG34" s="40">
        <f t="shared" si="162"/>
        <v>17.899999999999999</v>
      </c>
    </row>
    <row r="35" spans="1:475" x14ac:dyDescent="0.2">
      <c r="A35" s="4" t="str">
        <f t="shared" si="164"/>
        <v/>
      </c>
      <c r="B35" s="5" t="s">
        <v>70</v>
      </c>
      <c r="C35" s="4" t="s">
        <v>5</v>
      </c>
      <c r="D35" s="4">
        <v>2002</v>
      </c>
      <c r="E35" s="9">
        <f t="shared" si="163"/>
        <v>58.400005840004219</v>
      </c>
      <c r="F35" s="3" t="str">
        <f t="shared" si="0"/>
        <v/>
      </c>
      <c r="G35" s="3" t="str">
        <f t="shared" si="1"/>
        <v/>
      </c>
      <c r="H35" s="36" t="str">
        <f t="shared" si="2"/>
        <v/>
      </c>
      <c r="I35" s="3" t="str">
        <f t="shared" si="3"/>
        <v/>
      </c>
      <c r="J35" s="8">
        <f>IF(COUNT(AQ35,BT35,CW35)&gt;0,LARGE((AQ35,BT35,CW35),1),0)</f>
        <v>42.1</v>
      </c>
      <c r="K35" s="8" t="str">
        <f t="shared" si="4"/>
        <v>2022 Nationals</v>
      </c>
      <c r="L35" s="8">
        <f>IF(COUNT(AQ35,BT35,CW35)&gt;1,LARGE((AQ35,BT35,CW35),2),0)</f>
        <v>0</v>
      </c>
      <c r="M35" s="8" t="str">
        <f t="shared" si="5"/>
        <v/>
      </c>
      <c r="N35" s="8">
        <f>IF(COUNT(AR35,BU35,CX35)&gt;0,LARGE((AR35,BU35,CX35),1),0)</f>
        <v>16.3</v>
      </c>
      <c r="O35" s="8" t="str">
        <f t="shared" si="6"/>
        <v>2022 Nationals</v>
      </c>
      <c r="P35" s="8">
        <f t="shared" si="7"/>
        <v>0</v>
      </c>
      <c r="Q35" s="8" t="str">
        <f t="shared" si="8"/>
        <v/>
      </c>
      <c r="R35" s="8" t="str">
        <f t="shared" si="9"/>
        <v/>
      </c>
      <c r="S35" s="11" t="str">
        <f t="shared" si="10"/>
        <v/>
      </c>
      <c r="T35" s="8" t="str">
        <f t="shared" si="11"/>
        <v/>
      </c>
      <c r="U35" s="19">
        <v>18</v>
      </c>
      <c r="V35" s="19">
        <v>5.6</v>
      </c>
      <c r="W35" s="19">
        <v>1</v>
      </c>
      <c r="X35" s="19">
        <v>0</v>
      </c>
      <c r="Y35" s="19">
        <v>18.5</v>
      </c>
      <c r="Z35" s="19">
        <v>3.8</v>
      </c>
      <c r="AA35" s="19">
        <v>2.8000000000000003</v>
      </c>
      <c r="AB35" s="19">
        <v>0</v>
      </c>
      <c r="AC35" s="19">
        <v>16.3</v>
      </c>
      <c r="AD35" s="19">
        <v>3.3</v>
      </c>
      <c r="AE35" s="19">
        <v>3.3000000000000003</v>
      </c>
      <c r="AF35" s="19">
        <v>0</v>
      </c>
      <c r="AG35" s="19"/>
      <c r="AH35" s="19"/>
      <c r="AI35" s="19"/>
      <c r="AJ35" s="19"/>
      <c r="AK35" s="19"/>
      <c r="AL35" s="19"/>
      <c r="AM35" s="19"/>
      <c r="AN35" s="19"/>
      <c r="AO35" s="27"/>
      <c r="AP35" s="40">
        <f t="shared" si="12"/>
        <v>9.3999999999999986</v>
      </c>
      <c r="AQ35" s="40">
        <f t="shared" si="13"/>
        <v>42.1</v>
      </c>
      <c r="AR35" s="40">
        <f t="shared" si="14"/>
        <v>16.3</v>
      </c>
      <c r="AS35" s="40">
        <f t="shared" si="15"/>
        <v>12.7</v>
      </c>
      <c r="AT35" s="40">
        <f t="shared" si="16"/>
        <v>58.400000000000006</v>
      </c>
      <c r="AU35" s="40" t="str">
        <f t="shared" si="17"/>
        <v/>
      </c>
      <c r="AV35" s="40" t="str">
        <f t="shared" si="18"/>
        <v/>
      </c>
      <c r="AW35" s="40">
        <f t="shared" si="19"/>
        <v>42.1</v>
      </c>
      <c r="AX35" s="18"/>
      <c r="AY35" s="18"/>
      <c r="AZ35" s="18"/>
      <c r="BA35" s="18"/>
      <c r="BB35" s="18"/>
      <c r="BC35" s="18"/>
      <c r="BD35" s="18"/>
      <c r="BE35" s="18"/>
      <c r="BF35" s="18"/>
      <c r="BG35" s="18"/>
      <c r="BH35" s="18"/>
      <c r="BI35" s="18"/>
      <c r="BJ35" s="18"/>
      <c r="BK35" s="18"/>
      <c r="BL35" s="18"/>
      <c r="BM35" s="18"/>
      <c r="BN35" s="18"/>
      <c r="BO35" s="18"/>
      <c r="BP35" s="18"/>
      <c r="BQ35" s="18"/>
      <c r="BR35" s="28"/>
      <c r="BS35" s="11" t="str">
        <f t="shared" si="20"/>
        <v/>
      </c>
      <c r="BT35" s="11" t="str">
        <f t="shared" si="21"/>
        <v/>
      </c>
      <c r="BU35" s="11" t="str">
        <f t="shared" si="22"/>
        <v/>
      </c>
      <c r="BV35" s="11" t="str">
        <f t="shared" si="23"/>
        <v/>
      </c>
      <c r="BW35" s="11" t="str">
        <f t="shared" si="24"/>
        <v/>
      </c>
      <c r="BX35" s="11" t="str">
        <f t="shared" si="25"/>
        <v/>
      </c>
      <c r="BY35" s="11" t="str">
        <f t="shared" si="26"/>
        <v/>
      </c>
      <c r="BZ35" s="11" t="str">
        <f t="shared" si="27"/>
        <v/>
      </c>
      <c r="CA35" s="19"/>
      <c r="CB35" s="19"/>
      <c r="CC35" s="19"/>
      <c r="CD35" s="19"/>
      <c r="CE35" s="19"/>
      <c r="CF35" s="19"/>
      <c r="CG35" s="19"/>
      <c r="CH35" s="19"/>
      <c r="CI35" s="19"/>
      <c r="CJ35" s="19"/>
      <c r="CK35" s="19"/>
      <c r="CL35" s="19"/>
      <c r="CM35" s="19"/>
      <c r="CN35" s="19"/>
      <c r="CO35" s="19"/>
      <c r="CP35" s="19"/>
      <c r="CQ35" s="19"/>
      <c r="CR35" s="19"/>
      <c r="CS35" s="19"/>
      <c r="CT35" s="19"/>
      <c r="CU35" s="27"/>
      <c r="CV35" s="40" t="str">
        <f t="shared" si="28"/>
        <v/>
      </c>
      <c r="CW35" s="40" t="str">
        <f t="shared" si="29"/>
        <v/>
      </c>
      <c r="CX35" s="40" t="str">
        <f t="shared" si="30"/>
        <v/>
      </c>
      <c r="CY35" s="40" t="str">
        <f t="shared" si="31"/>
        <v/>
      </c>
      <c r="CZ35" s="40" t="str">
        <f t="shared" si="32"/>
        <v/>
      </c>
      <c r="DA35" s="40" t="str">
        <f t="shared" si="33"/>
        <v/>
      </c>
      <c r="DB35" s="40" t="str">
        <f t="shared" si="34"/>
        <v/>
      </c>
      <c r="DC35" s="40" t="str">
        <f t="shared" si="35"/>
        <v/>
      </c>
      <c r="DD35" s="50" t="str">
        <f t="shared" si="36"/>
        <v/>
      </c>
      <c r="DE35" s="50" t="str">
        <f t="shared" si="37"/>
        <v/>
      </c>
      <c r="DF35" s="50" t="str">
        <f t="shared" si="38"/>
        <v/>
      </c>
      <c r="DG35" s="17"/>
      <c r="DH35" s="17"/>
      <c r="DI35" s="17"/>
      <c r="DJ35" s="17"/>
      <c r="DK35" s="17"/>
      <c r="DL35" s="17"/>
      <c r="DM35" s="17"/>
      <c r="DN35" s="17"/>
      <c r="DO35" s="17"/>
      <c r="DP35" s="17"/>
      <c r="DQ35" s="17"/>
      <c r="DR35" s="17"/>
      <c r="DS35" s="17"/>
      <c r="DT35" s="17"/>
      <c r="DU35" s="17"/>
      <c r="DV35" s="17"/>
      <c r="DW35" s="17"/>
      <c r="DX35" s="17"/>
      <c r="DY35" s="17"/>
      <c r="DZ35" s="17"/>
      <c r="EA35" s="40" t="str">
        <f t="shared" si="39"/>
        <v/>
      </c>
      <c r="EB35" s="40" t="str">
        <f t="shared" si="40"/>
        <v/>
      </c>
      <c r="EC35" s="40" t="str">
        <f t="shared" si="41"/>
        <v/>
      </c>
      <c r="ED35" s="40" t="str">
        <f t="shared" si="42"/>
        <v/>
      </c>
      <c r="EE35" s="40" t="str">
        <f t="shared" si="43"/>
        <v/>
      </c>
      <c r="EF35" s="40" t="str">
        <f t="shared" si="44"/>
        <v/>
      </c>
      <c r="EG35" s="40" t="str">
        <f t="shared" si="45"/>
        <v/>
      </c>
      <c r="EH35" s="40" t="str">
        <f t="shared" si="46"/>
        <v/>
      </c>
      <c r="EI35" s="18"/>
      <c r="EJ35" s="18"/>
      <c r="EK35" s="18"/>
      <c r="EL35" s="18"/>
      <c r="EM35" s="18"/>
      <c r="EN35" s="18"/>
      <c r="EO35" s="18"/>
      <c r="EP35" s="18"/>
      <c r="EQ35" s="18"/>
      <c r="ER35" s="18"/>
      <c r="ES35" s="18"/>
      <c r="ET35" s="18"/>
      <c r="EU35" s="18"/>
      <c r="EV35" s="18"/>
      <c r="EW35" s="18"/>
      <c r="EX35" s="18"/>
      <c r="EY35" s="18"/>
      <c r="EZ35" s="18"/>
      <c r="FA35" s="18"/>
      <c r="FB35" s="18"/>
      <c r="FC35" s="11" t="str">
        <f t="shared" si="47"/>
        <v/>
      </c>
      <c r="FD35" s="11" t="str">
        <f t="shared" si="48"/>
        <v/>
      </c>
      <c r="FE35" s="11" t="str">
        <f t="shared" si="49"/>
        <v/>
      </c>
      <c r="FF35" s="11" t="str">
        <f t="shared" si="50"/>
        <v/>
      </c>
      <c r="FG35" s="11" t="str">
        <f t="shared" si="51"/>
        <v/>
      </c>
      <c r="FH35" s="11" t="str">
        <f t="shared" si="52"/>
        <v/>
      </c>
      <c r="FI35" s="11" t="str">
        <f t="shared" si="53"/>
        <v/>
      </c>
      <c r="FJ35" s="11" t="str">
        <f t="shared" si="54"/>
        <v/>
      </c>
      <c r="FK35" s="17"/>
      <c r="FL35" s="17"/>
      <c r="FM35" s="17"/>
      <c r="FN35" s="17"/>
      <c r="FO35" s="17"/>
      <c r="FP35" s="17"/>
      <c r="FQ35" s="17"/>
      <c r="FR35" s="17"/>
      <c r="FS35" s="17"/>
      <c r="FT35" s="17"/>
      <c r="FU35" s="17"/>
      <c r="FV35" s="17"/>
      <c r="FW35" s="17"/>
      <c r="FX35" s="17"/>
      <c r="FY35" s="17"/>
      <c r="FZ35" s="17"/>
      <c r="GA35" s="17"/>
      <c r="GB35" s="17"/>
      <c r="GC35" s="17"/>
      <c r="GD35" s="17"/>
      <c r="GE35" s="40" t="str">
        <f t="shared" si="55"/>
        <v/>
      </c>
      <c r="GF35" s="40" t="str">
        <f t="shared" si="56"/>
        <v/>
      </c>
      <c r="GG35" s="40" t="str">
        <f t="shared" si="57"/>
        <v/>
      </c>
      <c r="GH35" s="40" t="str">
        <f t="shared" si="58"/>
        <v/>
      </c>
      <c r="GI35" s="40" t="str">
        <f t="shared" si="59"/>
        <v/>
      </c>
      <c r="GJ35" s="40" t="str">
        <f t="shared" si="60"/>
        <v/>
      </c>
      <c r="GK35" s="40" t="str">
        <f t="shared" si="61"/>
        <v/>
      </c>
      <c r="GL35" s="40" t="str">
        <f t="shared" si="62"/>
        <v/>
      </c>
      <c r="GM35" s="18"/>
      <c r="GN35" s="18"/>
      <c r="GO35" s="18"/>
      <c r="GP35" s="18"/>
      <c r="GQ35" s="18"/>
      <c r="GR35" s="18"/>
      <c r="GS35" s="18"/>
      <c r="GT35" s="18"/>
      <c r="GU35" s="18"/>
      <c r="GV35" s="18"/>
      <c r="GW35" s="18"/>
      <c r="GX35" s="18"/>
      <c r="GY35" s="18"/>
      <c r="GZ35" s="18"/>
      <c r="HA35" s="18"/>
      <c r="HB35" s="18"/>
      <c r="HC35" s="18"/>
      <c r="HD35" s="18"/>
      <c r="HE35" s="18"/>
      <c r="HF35" s="18"/>
      <c r="HG35" s="11" t="str">
        <f t="shared" si="63"/>
        <v/>
      </c>
      <c r="HH35" s="11" t="str">
        <f t="shared" si="64"/>
        <v/>
      </c>
      <c r="HI35" s="11" t="str">
        <f t="shared" si="65"/>
        <v/>
      </c>
      <c r="HJ35" s="11" t="str">
        <f t="shared" si="66"/>
        <v/>
      </c>
      <c r="HK35" s="11" t="str">
        <f t="shared" si="67"/>
        <v/>
      </c>
      <c r="HL35" s="11" t="str">
        <f t="shared" si="68"/>
        <v/>
      </c>
      <c r="HM35" s="11" t="str">
        <f t="shared" si="69"/>
        <v/>
      </c>
      <c r="HN35" s="11" t="str">
        <f t="shared" si="70"/>
        <v/>
      </c>
      <c r="HO35" s="17"/>
      <c r="HP35" s="17"/>
      <c r="HQ35" s="17"/>
      <c r="HR35" s="17"/>
      <c r="HS35" s="17"/>
      <c r="HT35" s="17"/>
      <c r="HU35" s="17"/>
      <c r="HV35" s="17"/>
      <c r="HW35" s="17"/>
      <c r="HX35" s="17"/>
      <c r="HY35" s="17"/>
      <c r="HZ35" s="17"/>
      <c r="IA35" s="17"/>
      <c r="IB35" s="17"/>
      <c r="IC35" s="17"/>
      <c r="ID35" s="17"/>
      <c r="IE35" s="17"/>
      <c r="IF35" s="17"/>
      <c r="IG35" s="17"/>
      <c r="IH35" s="17"/>
      <c r="II35" s="40" t="str">
        <f t="shared" si="71"/>
        <v/>
      </c>
      <c r="IJ35" s="40" t="str">
        <f t="shared" si="72"/>
        <v/>
      </c>
      <c r="IK35" s="40" t="str">
        <f t="shared" si="73"/>
        <v/>
      </c>
      <c r="IL35" s="40" t="str">
        <f t="shared" si="74"/>
        <v/>
      </c>
      <c r="IM35" s="40" t="str">
        <f t="shared" si="75"/>
        <v/>
      </c>
      <c r="IN35" s="40" t="str">
        <f t="shared" si="76"/>
        <v/>
      </c>
      <c r="IO35" s="40" t="str">
        <f t="shared" si="77"/>
        <v/>
      </c>
      <c r="IP35" s="40" t="str">
        <f t="shared" si="78"/>
        <v/>
      </c>
      <c r="IQ35" s="18"/>
      <c r="IR35" s="18"/>
      <c r="IS35" s="18"/>
      <c r="IT35" s="18"/>
      <c r="IU35" s="18"/>
      <c r="IV35" s="18"/>
      <c r="IW35" s="18"/>
      <c r="IX35" s="18"/>
      <c r="IY35" s="18"/>
      <c r="IZ35" s="18"/>
      <c r="JA35" s="18"/>
      <c r="JB35" s="18"/>
      <c r="JC35" s="18"/>
      <c r="JD35" s="18"/>
      <c r="JE35" s="18"/>
      <c r="JF35" s="18"/>
      <c r="JG35" s="18"/>
      <c r="JH35" s="18"/>
      <c r="JI35" s="18"/>
      <c r="JJ35" s="18"/>
      <c r="JK35" s="11" t="str">
        <f t="shared" si="79"/>
        <v/>
      </c>
      <c r="JL35" s="11" t="str">
        <f t="shared" si="80"/>
        <v/>
      </c>
      <c r="JM35" s="11" t="str">
        <f t="shared" si="81"/>
        <v/>
      </c>
      <c r="JN35" s="11" t="str">
        <f t="shared" si="82"/>
        <v/>
      </c>
      <c r="JO35" s="11" t="str">
        <f t="shared" si="83"/>
        <v/>
      </c>
      <c r="JP35" s="11" t="str">
        <f t="shared" si="84"/>
        <v/>
      </c>
      <c r="JQ35" s="11" t="str">
        <f t="shared" si="85"/>
        <v/>
      </c>
      <c r="JR35" s="11" t="str">
        <f t="shared" si="86"/>
        <v/>
      </c>
      <c r="JS35" s="17"/>
      <c r="JT35" s="17"/>
      <c r="JU35" s="17"/>
      <c r="JV35" s="17"/>
      <c r="JW35" s="17"/>
      <c r="JX35" s="17"/>
      <c r="JY35" s="17"/>
      <c r="JZ35" s="17"/>
      <c r="KA35" s="17"/>
      <c r="KB35" s="17"/>
      <c r="KC35" s="17"/>
      <c r="KD35" s="17"/>
      <c r="KE35" s="17"/>
      <c r="KF35" s="17"/>
      <c r="KG35" s="17"/>
      <c r="KH35" s="17"/>
      <c r="KI35" s="17"/>
      <c r="KJ35" s="17"/>
      <c r="KK35" s="17"/>
      <c r="KL35" s="17"/>
      <c r="KM35" s="40" t="str">
        <f t="shared" si="87"/>
        <v/>
      </c>
      <c r="KN35" s="40" t="str">
        <f t="shared" si="88"/>
        <v/>
      </c>
      <c r="KO35" s="40" t="str">
        <f t="shared" si="89"/>
        <v/>
      </c>
      <c r="KP35" s="40" t="str">
        <f t="shared" si="90"/>
        <v/>
      </c>
      <c r="KQ35" s="40" t="str">
        <f t="shared" si="91"/>
        <v/>
      </c>
      <c r="KR35" s="40" t="str">
        <f t="shared" si="92"/>
        <v/>
      </c>
      <c r="KS35" s="40" t="str">
        <f t="shared" si="93"/>
        <v/>
      </c>
      <c r="KT35" s="40" t="str">
        <f t="shared" si="94"/>
        <v/>
      </c>
      <c r="KU35" s="18"/>
      <c r="KV35" s="18"/>
      <c r="KW35" s="18"/>
      <c r="KX35" s="18"/>
      <c r="KY35" s="18"/>
      <c r="KZ35" s="18"/>
      <c r="LA35" s="18"/>
      <c r="LB35" s="18"/>
      <c r="LC35" s="18"/>
      <c r="LD35" s="18"/>
      <c r="LE35" s="18"/>
      <c r="LF35" s="18"/>
      <c r="LG35" s="18"/>
      <c r="LH35" s="18"/>
      <c r="LI35" s="18"/>
      <c r="LJ35" s="18"/>
      <c r="LK35" s="18"/>
      <c r="LL35" s="18"/>
      <c r="LM35" s="18"/>
      <c r="LN35" s="18"/>
      <c r="LO35" s="11" t="str">
        <f t="shared" si="95"/>
        <v/>
      </c>
      <c r="LP35" s="11" t="str">
        <f t="shared" si="96"/>
        <v/>
      </c>
      <c r="LQ35" s="11" t="str">
        <f t="shared" si="97"/>
        <v/>
      </c>
      <c r="LR35" s="11" t="str">
        <f t="shared" si="98"/>
        <v/>
      </c>
      <c r="LS35" s="11" t="str">
        <f t="shared" si="99"/>
        <v/>
      </c>
      <c r="LT35" s="11" t="str">
        <f t="shared" si="100"/>
        <v/>
      </c>
      <c r="LU35" s="11" t="str">
        <f t="shared" si="101"/>
        <v/>
      </c>
      <c r="LV35" s="11" t="str">
        <f t="shared" si="102"/>
        <v/>
      </c>
      <c r="LW35" s="17"/>
      <c r="LX35" s="17"/>
      <c r="LY35" s="17"/>
      <c r="LZ35" s="17"/>
      <c r="MA35" s="17"/>
      <c r="MB35" s="17"/>
      <c r="MC35" s="17"/>
      <c r="MD35" s="17"/>
      <c r="ME35" s="17"/>
      <c r="MF35" s="17"/>
      <c r="MG35" s="17"/>
      <c r="MH35" s="17"/>
      <c r="MI35" s="17"/>
      <c r="MJ35" s="17"/>
      <c r="MK35" s="17"/>
      <c r="ML35" s="17"/>
      <c r="MM35" s="17"/>
      <c r="MN35" s="17"/>
      <c r="MO35" s="17"/>
      <c r="MP35" s="17"/>
      <c r="MQ35" s="40" t="str">
        <f t="shared" si="103"/>
        <v/>
      </c>
      <c r="MR35" s="40" t="str">
        <f t="shared" si="104"/>
        <v/>
      </c>
      <c r="MS35" s="40" t="str">
        <f t="shared" si="105"/>
        <v/>
      </c>
      <c r="MT35" s="40" t="str">
        <f t="shared" si="106"/>
        <v/>
      </c>
      <c r="MU35" s="40" t="str">
        <f t="shared" si="107"/>
        <v/>
      </c>
      <c r="MV35" s="40" t="str">
        <f t="shared" si="108"/>
        <v/>
      </c>
      <c r="MW35" s="40" t="str">
        <f t="shared" si="109"/>
        <v/>
      </c>
      <c r="MX35" s="40" t="str">
        <f t="shared" si="110"/>
        <v/>
      </c>
      <c r="MY35" s="18"/>
      <c r="MZ35" s="18"/>
      <c r="NA35" s="18"/>
      <c r="NB35" s="18"/>
      <c r="NC35" s="18"/>
      <c r="ND35" s="18"/>
      <c r="NE35" s="18"/>
      <c r="NF35" s="18"/>
      <c r="NG35" s="18"/>
      <c r="NH35" s="18"/>
      <c r="NI35" s="18"/>
      <c r="NJ35" s="18"/>
      <c r="NK35" s="18"/>
      <c r="NL35" s="18"/>
      <c r="NM35" s="18"/>
      <c r="NN35" s="18"/>
      <c r="NO35" s="18"/>
      <c r="NP35" s="18"/>
      <c r="NQ35" s="18"/>
      <c r="NR35" s="18"/>
      <c r="NS35" s="11" t="str">
        <f t="shared" si="111"/>
        <v/>
      </c>
      <c r="NT35" s="11" t="str">
        <f t="shared" si="112"/>
        <v/>
      </c>
      <c r="NU35" s="11" t="str">
        <f t="shared" si="113"/>
        <v/>
      </c>
      <c r="NV35" s="11" t="str">
        <f t="shared" si="114"/>
        <v/>
      </c>
      <c r="NW35" s="11" t="str">
        <f t="shared" si="115"/>
        <v/>
      </c>
      <c r="NX35" s="11" t="str">
        <f t="shared" si="116"/>
        <v/>
      </c>
      <c r="NY35" s="11" t="str">
        <f t="shared" si="117"/>
        <v/>
      </c>
      <c r="NZ35" s="11" t="str">
        <f t="shared" si="118"/>
        <v/>
      </c>
      <c r="OA35" s="17"/>
      <c r="OB35" s="17"/>
      <c r="OC35" s="17"/>
      <c r="OD35" s="17"/>
      <c r="OE35" s="17"/>
      <c r="OF35" s="17"/>
      <c r="OG35" s="17"/>
      <c r="OH35" s="17"/>
      <c r="OI35" s="17"/>
      <c r="OJ35" s="17"/>
      <c r="OK35" s="17"/>
      <c r="OL35" s="17"/>
      <c r="OM35" s="17"/>
      <c r="ON35" s="17"/>
      <c r="OO35" s="17"/>
      <c r="OP35" s="17"/>
      <c r="OQ35" s="17"/>
      <c r="OR35" s="17"/>
      <c r="OS35" s="17"/>
      <c r="OT35" s="17"/>
      <c r="OU35" s="40" t="str">
        <f t="shared" si="119"/>
        <v/>
      </c>
      <c r="OV35" s="40" t="str">
        <f t="shared" si="120"/>
        <v/>
      </c>
      <c r="OW35" s="40" t="str">
        <f t="shared" si="121"/>
        <v/>
      </c>
      <c r="OX35" s="40" t="str">
        <f t="shared" si="122"/>
        <v/>
      </c>
      <c r="OY35" s="40" t="str">
        <f t="shared" si="123"/>
        <v/>
      </c>
      <c r="OZ35" s="40" t="str">
        <f t="shared" si="124"/>
        <v/>
      </c>
      <c r="PA35" s="40" t="str">
        <f t="shared" si="125"/>
        <v/>
      </c>
      <c r="PB35" s="40" t="str">
        <f t="shared" si="126"/>
        <v/>
      </c>
      <c r="PC35" s="18"/>
      <c r="PD35" s="18"/>
      <c r="PE35" s="18"/>
      <c r="PF35" s="18"/>
      <c r="PG35" s="18"/>
      <c r="PH35" s="18"/>
      <c r="PI35" s="18"/>
      <c r="PJ35" s="18"/>
      <c r="PK35" s="18"/>
      <c r="PL35" s="18"/>
      <c r="PM35" s="18"/>
      <c r="PN35" s="18"/>
      <c r="PO35" s="18"/>
      <c r="PP35" s="18"/>
      <c r="PQ35" s="18"/>
      <c r="PR35" s="18"/>
      <c r="PS35" s="18"/>
      <c r="PT35" s="18"/>
      <c r="PU35" s="18"/>
      <c r="PV35" s="18"/>
      <c r="PW35" s="11" t="str">
        <f t="shared" si="127"/>
        <v/>
      </c>
      <c r="PX35" s="11" t="str">
        <f t="shared" si="128"/>
        <v/>
      </c>
      <c r="PY35" s="11" t="str">
        <f t="shared" si="129"/>
        <v/>
      </c>
      <c r="PZ35" s="11" t="str">
        <f t="shared" si="130"/>
        <v/>
      </c>
      <c r="QA35" s="11" t="str">
        <f t="shared" si="131"/>
        <v/>
      </c>
      <c r="QB35" s="11" t="str">
        <f t="shared" si="132"/>
        <v/>
      </c>
      <c r="QC35" s="11" t="str">
        <f t="shared" si="133"/>
        <v/>
      </c>
      <c r="QD35" s="11" t="str">
        <f t="shared" si="134"/>
        <v/>
      </c>
      <c r="QE35" s="22">
        <f t="shared" si="135"/>
        <v>0</v>
      </c>
      <c r="QF35" s="22">
        <f t="shared" si="136"/>
        <v>0</v>
      </c>
      <c r="QG35" s="22">
        <f t="shared" si="137"/>
        <v>0</v>
      </c>
      <c r="QH35" s="22">
        <f t="shared" si="138"/>
        <v>0</v>
      </c>
      <c r="QI35" s="22">
        <f t="shared" si="139"/>
        <v>0</v>
      </c>
      <c r="QJ35" s="22">
        <f t="shared" si="140"/>
        <v>0</v>
      </c>
      <c r="QK35" s="22">
        <f t="shared" si="141"/>
        <v>0</v>
      </c>
      <c r="QL35" s="22">
        <f t="shared" si="142"/>
        <v>0</v>
      </c>
      <c r="QM35" s="22">
        <f t="shared" si="143"/>
        <v>0</v>
      </c>
      <c r="QN35" s="22">
        <f t="shared" si="144"/>
        <v>0</v>
      </c>
      <c r="QO35" s="22">
        <f t="shared" si="145"/>
        <v>0</v>
      </c>
      <c r="QP35" s="22">
        <f t="shared" si="146"/>
        <v>0</v>
      </c>
      <c r="QQ35" s="22">
        <f t="shared" si="147"/>
        <v>0</v>
      </c>
      <c r="QR35" s="22">
        <f t="shared" si="148"/>
        <v>0</v>
      </c>
      <c r="QS35" s="22">
        <f t="shared" si="149"/>
        <v>0</v>
      </c>
      <c r="QT35" s="22">
        <f t="shared" si="150"/>
        <v>0</v>
      </c>
      <c r="QU35" s="22">
        <f t="shared" si="151"/>
        <v>0</v>
      </c>
      <c r="QV35" s="22">
        <f t="shared" si="152"/>
        <v>0</v>
      </c>
      <c r="QW35" s="22">
        <f t="shared" si="153"/>
        <v>0</v>
      </c>
      <c r="QX35" s="22">
        <f t="shared" si="154"/>
        <v>0</v>
      </c>
      <c r="QY35" s="27" t="s">
        <v>46</v>
      </c>
      <c r="QZ35" s="40" t="str">
        <f t="shared" si="155"/>
        <v/>
      </c>
      <c r="RA35" s="40" t="str">
        <f t="shared" si="156"/>
        <v/>
      </c>
      <c r="RB35" s="40" t="str">
        <f t="shared" si="157"/>
        <v/>
      </c>
      <c r="RC35" s="40" t="str">
        <f t="shared" si="158"/>
        <v/>
      </c>
      <c r="RD35" s="40" t="str">
        <f t="shared" si="159"/>
        <v/>
      </c>
      <c r="RE35" s="40" t="str">
        <f t="shared" si="160"/>
        <v/>
      </c>
      <c r="RF35" s="40" t="str">
        <f t="shared" si="161"/>
        <v/>
      </c>
      <c r="RG35" s="40" t="str">
        <f t="shared" si="162"/>
        <v/>
      </c>
    </row>
    <row r="36" spans="1:475" x14ac:dyDescent="0.2">
      <c r="A36" s="4" t="str">
        <f t="shared" si="164"/>
        <v/>
      </c>
      <c r="B36" s="5" t="s">
        <v>215</v>
      </c>
      <c r="C36" s="4" t="s">
        <v>6</v>
      </c>
      <c r="D36" s="4">
        <v>2005</v>
      </c>
      <c r="E36" s="9">
        <f t="shared" si="163"/>
        <v>47.400004740004739</v>
      </c>
      <c r="F36" s="3" t="str">
        <f t="shared" si="0"/>
        <v/>
      </c>
      <c r="G36" s="3" t="str">
        <f t="shared" si="1"/>
        <v/>
      </c>
      <c r="H36" s="36" t="str">
        <f t="shared" si="2"/>
        <v/>
      </c>
      <c r="I36" s="3" t="str">
        <f t="shared" si="3"/>
        <v/>
      </c>
      <c r="J36" s="8">
        <f>IF(COUNT(AQ36,BT36,CW36)&gt;0,LARGE((AQ36,BT36,CW36),1),0)</f>
        <v>47.4</v>
      </c>
      <c r="K36" s="8" t="str">
        <f t="shared" si="4"/>
        <v>2023 Elite Canada</v>
      </c>
      <c r="L36" s="8">
        <f>IF(COUNT(AQ36,BT36,CW36)&gt;1,LARGE((AQ36,BT36,CW36),2),0)</f>
        <v>0</v>
      </c>
      <c r="M36" s="8" t="str">
        <f t="shared" si="5"/>
        <v/>
      </c>
      <c r="N36" s="8">
        <f>IF(COUNT(AR36,BU36,CX36)&gt;0,LARGE((AR36,BU36,CX36),1),0)</f>
        <v>0</v>
      </c>
      <c r="O36" s="8" t="str">
        <f t="shared" si="6"/>
        <v/>
      </c>
      <c r="P36" s="8">
        <f t="shared" si="7"/>
        <v>0</v>
      </c>
      <c r="Q36" s="8" t="str">
        <f t="shared" si="8"/>
        <v/>
      </c>
      <c r="R36" s="8" t="str">
        <f t="shared" si="9"/>
        <v/>
      </c>
      <c r="S36" s="11" t="str">
        <f t="shared" si="10"/>
        <v/>
      </c>
      <c r="T36" s="8" t="str">
        <f t="shared" si="11"/>
        <v/>
      </c>
      <c r="U36" s="19"/>
      <c r="V36" s="19"/>
      <c r="W36" s="19"/>
      <c r="X36" s="19"/>
      <c r="Y36" s="19"/>
      <c r="Z36" s="19"/>
      <c r="AA36" s="19"/>
      <c r="AB36" s="19"/>
      <c r="AC36" s="19"/>
      <c r="AD36" s="19"/>
      <c r="AE36" s="19"/>
      <c r="AF36" s="19"/>
      <c r="AG36" s="19"/>
      <c r="AH36" s="19"/>
      <c r="AI36" s="19"/>
      <c r="AJ36" s="19"/>
      <c r="AK36" s="19"/>
      <c r="AL36" s="19"/>
      <c r="AM36" s="19"/>
      <c r="AN36" s="19"/>
      <c r="AO36" s="27"/>
      <c r="AP36" s="40" t="str">
        <f t="shared" si="12"/>
        <v/>
      </c>
      <c r="AQ36" s="40" t="str">
        <f t="shared" si="13"/>
        <v/>
      </c>
      <c r="AR36" s="40" t="str">
        <f t="shared" si="14"/>
        <v/>
      </c>
      <c r="AS36" s="40" t="str">
        <f t="shared" si="15"/>
        <v/>
      </c>
      <c r="AT36" s="40" t="str">
        <f t="shared" si="16"/>
        <v/>
      </c>
      <c r="AU36" s="40" t="str">
        <f t="shared" si="17"/>
        <v/>
      </c>
      <c r="AV36" s="40" t="str">
        <f t="shared" si="18"/>
        <v/>
      </c>
      <c r="AW36" s="40" t="str">
        <f t="shared" si="19"/>
        <v/>
      </c>
      <c r="AX36" s="18"/>
      <c r="AY36" s="18"/>
      <c r="AZ36" s="18"/>
      <c r="BA36" s="18"/>
      <c r="BB36" s="18"/>
      <c r="BC36" s="18"/>
      <c r="BD36" s="18"/>
      <c r="BE36" s="18"/>
      <c r="BF36" s="18"/>
      <c r="BG36" s="18"/>
      <c r="BH36" s="18"/>
      <c r="BI36" s="18"/>
      <c r="BJ36" s="18"/>
      <c r="BK36" s="18"/>
      <c r="BL36" s="18"/>
      <c r="BM36" s="18"/>
      <c r="BN36" s="18"/>
      <c r="BO36" s="18"/>
      <c r="BP36" s="18"/>
      <c r="BQ36" s="18"/>
      <c r="BR36" s="28"/>
      <c r="BS36" s="11" t="str">
        <f t="shared" si="20"/>
        <v/>
      </c>
      <c r="BT36" s="11" t="str">
        <f t="shared" si="21"/>
        <v/>
      </c>
      <c r="BU36" s="11" t="str">
        <f t="shared" si="22"/>
        <v/>
      </c>
      <c r="BV36" s="11" t="str">
        <f t="shared" si="23"/>
        <v/>
      </c>
      <c r="BW36" s="11" t="str">
        <f t="shared" si="24"/>
        <v/>
      </c>
      <c r="BX36" s="11" t="str">
        <f t="shared" si="25"/>
        <v/>
      </c>
      <c r="BY36" s="11" t="str">
        <f t="shared" si="26"/>
        <v/>
      </c>
      <c r="BZ36" s="11" t="str">
        <f t="shared" si="27"/>
        <v/>
      </c>
      <c r="CA36" s="19">
        <v>18.8</v>
      </c>
      <c r="CB36" s="19">
        <v>5.2</v>
      </c>
      <c r="CC36" s="19">
        <v>0</v>
      </c>
      <c r="CD36" s="19">
        <v>0</v>
      </c>
      <c r="CE36" s="19">
        <v>19</v>
      </c>
      <c r="CF36" s="19">
        <v>4.4000000000000004</v>
      </c>
      <c r="CG36" s="19">
        <v>0</v>
      </c>
      <c r="CH36" s="19">
        <v>0</v>
      </c>
      <c r="CI36" s="19">
        <v>0</v>
      </c>
      <c r="CJ36" s="19">
        <v>0</v>
      </c>
      <c r="CK36" s="19">
        <v>0</v>
      </c>
      <c r="CL36" s="19">
        <v>0</v>
      </c>
      <c r="CM36" s="19"/>
      <c r="CN36" s="19"/>
      <c r="CO36" s="19"/>
      <c r="CP36" s="19"/>
      <c r="CQ36" s="19"/>
      <c r="CR36" s="19"/>
      <c r="CS36" s="19"/>
      <c r="CT36" s="19"/>
      <c r="CU36" s="27"/>
      <c r="CV36" s="40">
        <f t="shared" si="28"/>
        <v>9.6000000000000014</v>
      </c>
      <c r="CW36" s="40">
        <f t="shared" si="29"/>
        <v>47.4</v>
      </c>
      <c r="CX36" s="40" t="str">
        <f t="shared" si="30"/>
        <v/>
      </c>
      <c r="CY36" s="40">
        <f t="shared" si="31"/>
        <v>9.6000000000000014</v>
      </c>
      <c r="CZ36" s="40">
        <f t="shared" si="32"/>
        <v>47.4</v>
      </c>
      <c r="DA36" s="40" t="str">
        <f t="shared" si="33"/>
        <v/>
      </c>
      <c r="DB36" s="40" t="str">
        <f t="shared" si="34"/>
        <v/>
      </c>
      <c r="DC36" s="40">
        <f t="shared" si="35"/>
        <v>47.4</v>
      </c>
      <c r="DD36" s="50" t="str">
        <f t="shared" si="36"/>
        <v/>
      </c>
      <c r="DE36" s="50" t="str">
        <f t="shared" si="37"/>
        <v/>
      </c>
      <c r="DF36" s="50" t="str">
        <f t="shared" si="38"/>
        <v/>
      </c>
      <c r="DG36" s="17"/>
      <c r="DH36" s="17"/>
      <c r="DI36" s="17"/>
      <c r="DJ36" s="17"/>
      <c r="DK36" s="17"/>
      <c r="DL36" s="17"/>
      <c r="DM36" s="17"/>
      <c r="DN36" s="17"/>
      <c r="DO36" s="17"/>
      <c r="DP36" s="17"/>
      <c r="DQ36" s="17"/>
      <c r="DR36" s="17"/>
      <c r="DS36" s="17"/>
      <c r="DT36" s="17"/>
      <c r="DU36" s="17"/>
      <c r="DV36" s="17"/>
      <c r="DW36" s="17"/>
      <c r="DX36" s="17"/>
      <c r="DY36" s="17"/>
      <c r="DZ36" s="17"/>
      <c r="EA36" s="40" t="str">
        <f t="shared" si="39"/>
        <v/>
      </c>
      <c r="EB36" s="40" t="str">
        <f t="shared" si="40"/>
        <v/>
      </c>
      <c r="EC36" s="40" t="str">
        <f t="shared" si="41"/>
        <v/>
      </c>
      <c r="ED36" s="40" t="str">
        <f t="shared" si="42"/>
        <v/>
      </c>
      <c r="EE36" s="40" t="str">
        <f t="shared" si="43"/>
        <v/>
      </c>
      <c r="EF36" s="40" t="str">
        <f t="shared" si="44"/>
        <v/>
      </c>
      <c r="EG36" s="40" t="str">
        <f t="shared" si="45"/>
        <v/>
      </c>
      <c r="EH36" s="40" t="str">
        <f t="shared" si="46"/>
        <v/>
      </c>
      <c r="EI36" s="18"/>
      <c r="EJ36" s="18"/>
      <c r="EK36" s="18"/>
      <c r="EL36" s="18"/>
      <c r="EM36" s="18"/>
      <c r="EN36" s="18"/>
      <c r="EO36" s="18"/>
      <c r="EP36" s="18"/>
      <c r="EQ36" s="18"/>
      <c r="ER36" s="18"/>
      <c r="ES36" s="18"/>
      <c r="ET36" s="18"/>
      <c r="EU36" s="18"/>
      <c r="EV36" s="18"/>
      <c r="EW36" s="18"/>
      <c r="EX36" s="18"/>
      <c r="EY36" s="18"/>
      <c r="EZ36" s="18"/>
      <c r="FA36" s="18"/>
      <c r="FB36" s="18"/>
      <c r="FC36" s="11" t="str">
        <f t="shared" si="47"/>
        <v/>
      </c>
      <c r="FD36" s="11" t="str">
        <f t="shared" si="48"/>
        <v/>
      </c>
      <c r="FE36" s="11" t="str">
        <f t="shared" si="49"/>
        <v/>
      </c>
      <c r="FF36" s="11" t="str">
        <f t="shared" si="50"/>
        <v/>
      </c>
      <c r="FG36" s="11" t="str">
        <f t="shared" si="51"/>
        <v/>
      </c>
      <c r="FH36" s="11" t="str">
        <f t="shared" si="52"/>
        <v/>
      </c>
      <c r="FI36" s="11" t="str">
        <f t="shared" si="53"/>
        <v/>
      </c>
      <c r="FJ36" s="11" t="str">
        <f t="shared" si="54"/>
        <v/>
      </c>
      <c r="FK36" s="17"/>
      <c r="FL36" s="17"/>
      <c r="FM36" s="17"/>
      <c r="FN36" s="17"/>
      <c r="FO36" s="17"/>
      <c r="FP36" s="17"/>
      <c r="FQ36" s="17"/>
      <c r="FR36" s="17"/>
      <c r="FS36" s="17"/>
      <c r="FT36" s="17"/>
      <c r="FU36" s="17"/>
      <c r="FV36" s="17"/>
      <c r="FW36" s="17"/>
      <c r="FX36" s="17"/>
      <c r="FY36" s="17"/>
      <c r="FZ36" s="17"/>
      <c r="GA36" s="17"/>
      <c r="GB36" s="17"/>
      <c r="GC36" s="17"/>
      <c r="GD36" s="17"/>
      <c r="GE36" s="40" t="str">
        <f t="shared" si="55"/>
        <v/>
      </c>
      <c r="GF36" s="40" t="str">
        <f t="shared" si="56"/>
        <v/>
      </c>
      <c r="GG36" s="40" t="str">
        <f t="shared" si="57"/>
        <v/>
      </c>
      <c r="GH36" s="40" t="str">
        <f t="shared" si="58"/>
        <v/>
      </c>
      <c r="GI36" s="40" t="str">
        <f t="shared" si="59"/>
        <v/>
      </c>
      <c r="GJ36" s="40" t="str">
        <f t="shared" si="60"/>
        <v/>
      </c>
      <c r="GK36" s="40" t="str">
        <f t="shared" si="61"/>
        <v/>
      </c>
      <c r="GL36" s="40" t="str">
        <f t="shared" si="62"/>
        <v/>
      </c>
      <c r="GM36" s="18"/>
      <c r="GN36" s="18"/>
      <c r="GO36" s="18"/>
      <c r="GP36" s="18"/>
      <c r="GQ36" s="18"/>
      <c r="GR36" s="18"/>
      <c r="GS36" s="18"/>
      <c r="GT36" s="18"/>
      <c r="GU36" s="18"/>
      <c r="GV36" s="18"/>
      <c r="GW36" s="18"/>
      <c r="GX36" s="18"/>
      <c r="GY36" s="18"/>
      <c r="GZ36" s="18"/>
      <c r="HA36" s="18"/>
      <c r="HB36" s="18"/>
      <c r="HC36" s="18"/>
      <c r="HD36" s="18"/>
      <c r="HE36" s="18"/>
      <c r="HF36" s="18"/>
      <c r="HG36" s="11" t="str">
        <f t="shared" si="63"/>
        <v/>
      </c>
      <c r="HH36" s="11" t="str">
        <f t="shared" si="64"/>
        <v/>
      </c>
      <c r="HI36" s="11" t="str">
        <f t="shared" si="65"/>
        <v/>
      </c>
      <c r="HJ36" s="11" t="str">
        <f t="shared" si="66"/>
        <v/>
      </c>
      <c r="HK36" s="11" t="str">
        <f t="shared" si="67"/>
        <v/>
      </c>
      <c r="HL36" s="11" t="str">
        <f t="shared" si="68"/>
        <v/>
      </c>
      <c r="HM36" s="11" t="str">
        <f t="shared" si="69"/>
        <v/>
      </c>
      <c r="HN36" s="11" t="str">
        <f t="shared" si="70"/>
        <v/>
      </c>
      <c r="HO36" s="17"/>
      <c r="HP36" s="17"/>
      <c r="HQ36" s="17"/>
      <c r="HR36" s="17"/>
      <c r="HS36" s="17"/>
      <c r="HT36" s="17"/>
      <c r="HU36" s="17"/>
      <c r="HV36" s="17"/>
      <c r="HW36" s="17"/>
      <c r="HX36" s="17"/>
      <c r="HY36" s="17"/>
      <c r="HZ36" s="17"/>
      <c r="IA36" s="17"/>
      <c r="IB36" s="17"/>
      <c r="IC36" s="17"/>
      <c r="ID36" s="17"/>
      <c r="IE36" s="17"/>
      <c r="IF36" s="17"/>
      <c r="IG36" s="17"/>
      <c r="IH36" s="17"/>
      <c r="II36" s="40" t="str">
        <f t="shared" si="71"/>
        <v/>
      </c>
      <c r="IJ36" s="40" t="str">
        <f t="shared" si="72"/>
        <v/>
      </c>
      <c r="IK36" s="40" t="str">
        <f t="shared" si="73"/>
        <v/>
      </c>
      <c r="IL36" s="40" t="str">
        <f t="shared" si="74"/>
        <v/>
      </c>
      <c r="IM36" s="40" t="str">
        <f t="shared" si="75"/>
        <v/>
      </c>
      <c r="IN36" s="40" t="str">
        <f t="shared" si="76"/>
        <v/>
      </c>
      <c r="IO36" s="40" t="str">
        <f t="shared" si="77"/>
        <v/>
      </c>
      <c r="IP36" s="40" t="str">
        <f t="shared" si="78"/>
        <v/>
      </c>
      <c r="IQ36" s="18"/>
      <c r="IR36" s="18"/>
      <c r="IS36" s="18"/>
      <c r="IT36" s="18"/>
      <c r="IU36" s="18"/>
      <c r="IV36" s="18"/>
      <c r="IW36" s="18"/>
      <c r="IX36" s="18"/>
      <c r="IY36" s="18"/>
      <c r="IZ36" s="18"/>
      <c r="JA36" s="18"/>
      <c r="JB36" s="18"/>
      <c r="JC36" s="18"/>
      <c r="JD36" s="18"/>
      <c r="JE36" s="18"/>
      <c r="JF36" s="18"/>
      <c r="JG36" s="18"/>
      <c r="JH36" s="18"/>
      <c r="JI36" s="18"/>
      <c r="JJ36" s="18"/>
      <c r="JK36" s="11" t="str">
        <f t="shared" si="79"/>
        <v/>
      </c>
      <c r="JL36" s="11" t="str">
        <f t="shared" si="80"/>
        <v/>
      </c>
      <c r="JM36" s="11" t="str">
        <f t="shared" si="81"/>
        <v/>
      </c>
      <c r="JN36" s="11" t="str">
        <f t="shared" si="82"/>
        <v/>
      </c>
      <c r="JO36" s="11" t="str">
        <f t="shared" si="83"/>
        <v/>
      </c>
      <c r="JP36" s="11" t="str">
        <f t="shared" si="84"/>
        <v/>
      </c>
      <c r="JQ36" s="11" t="str">
        <f t="shared" si="85"/>
        <v/>
      </c>
      <c r="JR36" s="11" t="str">
        <f t="shared" si="86"/>
        <v/>
      </c>
      <c r="JS36" s="17"/>
      <c r="JT36" s="17"/>
      <c r="JU36" s="17"/>
      <c r="JV36" s="17"/>
      <c r="JW36" s="17"/>
      <c r="JX36" s="17"/>
      <c r="JY36" s="17"/>
      <c r="JZ36" s="17"/>
      <c r="KA36" s="17"/>
      <c r="KB36" s="17"/>
      <c r="KC36" s="17"/>
      <c r="KD36" s="17"/>
      <c r="KE36" s="17"/>
      <c r="KF36" s="17"/>
      <c r="KG36" s="17"/>
      <c r="KH36" s="17"/>
      <c r="KI36" s="17"/>
      <c r="KJ36" s="17"/>
      <c r="KK36" s="17"/>
      <c r="KL36" s="17"/>
      <c r="KM36" s="40" t="str">
        <f t="shared" si="87"/>
        <v/>
      </c>
      <c r="KN36" s="40" t="str">
        <f t="shared" si="88"/>
        <v/>
      </c>
      <c r="KO36" s="40" t="str">
        <f t="shared" si="89"/>
        <v/>
      </c>
      <c r="KP36" s="40" t="str">
        <f t="shared" si="90"/>
        <v/>
      </c>
      <c r="KQ36" s="40" t="str">
        <f t="shared" si="91"/>
        <v/>
      </c>
      <c r="KR36" s="40" t="str">
        <f t="shared" si="92"/>
        <v/>
      </c>
      <c r="KS36" s="40" t="str">
        <f t="shared" si="93"/>
        <v/>
      </c>
      <c r="KT36" s="40" t="str">
        <f t="shared" si="94"/>
        <v/>
      </c>
      <c r="KU36" s="18"/>
      <c r="KV36" s="18"/>
      <c r="KW36" s="18"/>
      <c r="KX36" s="18"/>
      <c r="KY36" s="18"/>
      <c r="KZ36" s="18"/>
      <c r="LA36" s="18"/>
      <c r="LB36" s="18"/>
      <c r="LC36" s="18"/>
      <c r="LD36" s="18"/>
      <c r="LE36" s="18"/>
      <c r="LF36" s="18"/>
      <c r="LG36" s="18"/>
      <c r="LH36" s="18"/>
      <c r="LI36" s="18"/>
      <c r="LJ36" s="18"/>
      <c r="LK36" s="18"/>
      <c r="LL36" s="18"/>
      <c r="LM36" s="18"/>
      <c r="LN36" s="18"/>
      <c r="LO36" s="11" t="str">
        <f t="shared" si="95"/>
        <v/>
      </c>
      <c r="LP36" s="11" t="str">
        <f t="shared" si="96"/>
        <v/>
      </c>
      <c r="LQ36" s="11" t="str">
        <f t="shared" si="97"/>
        <v/>
      </c>
      <c r="LR36" s="11" t="str">
        <f t="shared" si="98"/>
        <v/>
      </c>
      <c r="LS36" s="11" t="str">
        <f t="shared" si="99"/>
        <v/>
      </c>
      <c r="LT36" s="11" t="str">
        <f t="shared" si="100"/>
        <v/>
      </c>
      <c r="LU36" s="11" t="str">
        <f t="shared" si="101"/>
        <v/>
      </c>
      <c r="LV36" s="11" t="str">
        <f t="shared" si="102"/>
        <v/>
      </c>
      <c r="LW36" s="17"/>
      <c r="LX36" s="17"/>
      <c r="LY36" s="17"/>
      <c r="LZ36" s="17"/>
      <c r="MA36" s="17"/>
      <c r="MB36" s="17"/>
      <c r="MC36" s="17"/>
      <c r="MD36" s="17"/>
      <c r="ME36" s="17"/>
      <c r="MF36" s="17"/>
      <c r="MG36" s="17"/>
      <c r="MH36" s="17"/>
      <c r="MI36" s="17"/>
      <c r="MJ36" s="17"/>
      <c r="MK36" s="17"/>
      <c r="ML36" s="17"/>
      <c r="MM36" s="17"/>
      <c r="MN36" s="17"/>
      <c r="MO36" s="17"/>
      <c r="MP36" s="17"/>
      <c r="MQ36" s="40" t="str">
        <f t="shared" si="103"/>
        <v/>
      </c>
      <c r="MR36" s="40" t="str">
        <f t="shared" si="104"/>
        <v/>
      </c>
      <c r="MS36" s="40" t="str">
        <f t="shared" si="105"/>
        <v/>
      </c>
      <c r="MT36" s="40" t="str">
        <f t="shared" si="106"/>
        <v/>
      </c>
      <c r="MU36" s="40" t="str">
        <f t="shared" si="107"/>
        <v/>
      </c>
      <c r="MV36" s="40" t="str">
        <f t="shared" si="108"/>
        <v/>
      </c>
      <c r="MW36" s="40" t="str">
        <f t="shared" si="109"/>
        <v/>
      </c>
      <c r="MX36" s="40" t="str">
        <f t="shared" si="110"/>
        <v/>
      </c>
      <c r="MY36" s="18"/>
      <c r="MZ36" s="18"/>
      <c r="NA36" s="18"/>
      <c r="NB36" s="18"/>
      <c r="NC36" s="18"/>
      <c r="ND36" s="18"/>
      <c r="NE36" s="18"/>
      <c r="NF36" s="18"/>
      <c r="NG36" s="18"/>
      <c r="NH36" s="18"/>
      <c r="NI36" s="18"/>
      <c r="NJ36" s="18"/>
      <c r="NK36" s="18"/>
      <c r="NL36" s="18"/>
      <c r="NM36" s="18"/>
      <c r="NN36" s="18"/>
      <c r="NO36" s="18"/>
      <c r="NP36" s="18"/>
      <c r="NQ36" s="18"/>
      <c r="NR36" s="18"/>
      <c r="NS36" s="11" t="str">
        <f t="shared" si="111"/>
        <v/>
      </c>
      <c r="NT36" s="11" t="str">
        <f t="shared" si="112"/>
        <v/>
      </c>
      <c r="NU36" s="11" t="str">
        <f t="shared" si="113"/>
        <v/>
      </c>
      <c r="NV36" s="11" t="str">
        <f t="shared" si="114"/>
        <v/>
      </c>
      <c r="NW36" s="11" t="str">
        <f t="shared" si="115"/>
        <v/>
      </c>
      <c r="NX36" s="11" t="str">
        <f t="shared" si="116"/>
        <v/>
      </c>
      <c r="NY36" s="11" t="str">
        <f t="shared" si="117"/>
        <v/>
      </c>
      <c r="NZ36" s="11" t="str">
        <f t="shared" si="118"/>
        <v/>
      </c>
      <c r="OA36" s="17"/>
      <c r="OB36" s="17"/>
      <c r="OC36" s="17"/>
      <c r="OD36" s="17"/>
      <c r="OE36" s="17"/>
      <c r="OF36" s="17"/>
      <c r="OG36" s="17"/>
      <c r="OH36" s="17"/>
      <c r="OI36" s="17"/>
      <c r="OJ36" s="17"/>
      <c r="OK36" s="17"/>
      <c r="OL36" s="17"/>
      <c r="OM36" s="17"/>
      <c r="ON36" s="17"/>
      <c r="OO36" s="17"/>
      <c r="OP36" s="17"/>
      <c r="OQ36" s="17"/>
      <c r="OR36" s="17"/>
      <c r="OS36" s="17"/>
      <c r="OT36" s="17"/>
      <c r="OU36" s="40" t="str">
        <f t="shared" si="119"/>
        <v/>
      </c>
      <c r="OV36" s="40" t="str">
        <f t="shared" si="120"/>
        <v/>
      </c>
      <c r="OW36" s="40" t="str">
        <f t="shared" si="121"/>
        <v/>
      </c>
      <c r="OX36" s="40" t="str">
        <f t="shared" si="122"/>
        <v/>
      </c>
      <c r="OY36" s="40" t="str">
        <f t="shared" si="123"/>
        <v/>
      </c>
      <c r="OZ36" s="40" t="str">
        <f t="shared" si="124"/>
        <v/>
      </c>
      <c r="PA36" s="40" t="str">
        <f t="shared" si="125"/>
        <v/>
      </c>
      <c r="PB36" s="40" t="str">
        <f t="shared" si="126"/>
        <v/>
      </c>
      <c r="PC36" s="18"/>
      <c r="PD36" s="18"/>
      <c r="PE36" s="18"/>
      <c r="PF36" s="18"/>
      <c r="PG36" s="18"/>
      <c r="PH36" s="18"/>
      <c r="PI36" s="18"/>
      <c r="PJ36" s="18"/>
      <c r="PK36" s="18"/>
      <c r="PL36" s="18"/>
      <c r="PM36" s="18"/>
      <c r="PN36" s="18"/>
      <c r="PO36" s="18"/>
      <c r="PP36" s="18"/>
      <c r="PQ36" s="18"/>
      <c r="PR36" s="18"/>
      <c r="PS36" s="18"/>
      <c r="PT36" s="18"/>
      <c r="PU36" s="18"/>
      <c r="PV36" s="18"/>
      <c r="PW36" s="11" t="str">
        <f t="shared" si="127"/>
        <v/>
      </c>
      <c r="PX36" s="11" t="str">
        <f t="shared" si="128"/>
        <v/>
      </c>
      <c r="PY36" s="11" t="str">
        <f t="shared" si="129"/>
        <v/>
      </c>
      <c r="PZ36" s="11" t="str">
        <f t="shared" si="130"/>
        <v/>
      </c>
      <c r="QA36" s="11" t="str">
        <f t="shared" si="131"/>
        <v/>
      </c>
      <c r="QB36" s="11" t="str">
        <f t="shared" si="132"/>
        <v/>
      </c>
      <c r="QC36" s="11" t="str">
        <f t="shared" si="133"/>
        <v/>
      </c>
      <c r="QD36" s="11" t="str">
        <f t="shared" si="134"/>
        <v/>
      </c>
      <c r="QE36" s="22">
        <f t="shared" si="135"/>
        <v>9.4</v>
      </c>
      <c r="QF36" s="22">
        <f t="shared" si="136"/>
        <v>2.6</v>
      </c>
      <c r="QG36" s="22">
        <f t="shared" si="137"/>
        <v>0</v>
      </c>
      <c r="QH36" s="22">
        <f t="shared" si="138"/>
        <v>0</v>
      </c>
      <c r="QI36" s="22">
        <f t="shared" si="139"/>
        <v>9.5</v>
      </c>
      <c r="QJ36" s="22">
        <f t="shared" si="140"/>
        <v>2.2000000000000002</v>
      </c>
      <c r="QK36" s="22">
        <f t="shared" si="141"/>
        <v>0</v>
      </c>
      <c r="QL36" s="22">
        <f t="shared" si="142"/>
        <v>0</v>
      </c>
      <c r="QM36" s="22">
        <f t="shared" si="143"/>
        <v>0</v>
      </c>
      <c r="QN36" s="22">
        <f t="shared" si="144"/>
        <v>0</v>
      </c>
      <c r="QO36" s="22">
        <f t="shared" si="145"/>
        <v>0</v>
      </c>
      <c r="QP36" s="22">
        <f t="shared" si="146"/>
        <v>0</v>
      </c>
      <c r="QQ36" s="22">
        <f t="shared" si="147"/>
        <v>0</v>
      </c>
      <c r="QR36" s="22">
        <f t="shared" si="148"/>
        <v>0</v>
      </c>
      <c r="QS36" s="22">
        <f t="shared" si="149"/>
        <v>0</v>
      </c>
      <c r="QT36" s="22">
        <f t="shared" si="150"/>
        <v>0</v>
      </c>
      <c r="QU36" s="22">
        <f t="shared" si="151"/>
        <v>0</v>
      </c>
      <c r="QV36" s="22">
        <f t="shared" si="152"/>
        <v>0</v>
      </c>
      <c r="QW36" s="22">
        <f t="shared" si="153"/>
        <v>0</v>
      </c>
      <c r="QX36" s="22">
        <f t="shared" si="154"/>
        <v>0</v>
      </c>
      <c r="QY36" s="27" t="s">
        <v>46</v>
      </c>
      <c r="QZ36" s="40">
        <f t="shared" si="155"/>
        <v>4.8000000000000007</v>
      </c>
      <c r="RA36" s="40">
        <f t="shared" si="156"/>
        <v>23.7</v>
      </c>
      <c r="RB36" s="40" t="str">
        <f t="shared" si="157"/>
        <v/>
      </c>
      <c r="RC36" s="40">
        <f t="shared" si="158"/>
        <v>4.8000000000000007</v>
      </c>
      <c r="RD36" s="40">
        <f t="shared" si="159"/>
        <v>23.7</v>
      </c>
      <c r="RE36" s="40" t="str">
        <f t="shared" si="160"/>
        <v/>
      </c>
      <c r="RF36" s="40" t="str">
        <f t="shared" si="161"/>
        <v/>
      </c>
      <c r="RG36" s="40">
        <f t="shared" si="162"/>
        <v>23.7</v>
      </c>
    </row>
    <row r="37" spans="1:475" ht="17" x14ac:dyDescent="0.2">
      <c r="R37" s="10"/>
      <c r="S37" s="10"/>
      <c r="T37" s="10"/>
    </row>
    <row r="38" spans="1:475" ht="17" x14ac:dyDescent="0.2">
      <c r="R38" s="10"/>
      <c r="S38" s="10"/>
      <c r="T38" s="10"/>
    </row>
    <row r="39" spans="1:475" ht="17" x14ac:dyDescent="0.2">
      <c r="B39" s="23" t="s">
        <v>44</v>
      </c>
      <c r="R39" s="10"/>
      <c r="S39" s="10"/>
      <c r="T39" s="10"/>
      <c r="AP39" s="4"/>
      <c r="AW39" s="42">
        <v>13.2</v>
      </c>
      <c r="BS39" s="4"/>
      <c r="BZ39" s="42">
        <v>13.2</v>
      </c>
      <c r="CV39" s="4"/>
      <c r="DC39" s="42">
        <v>11.2</v>
      </c>
      <c r="EA39" s="4"/>
      <c r="EH39" s="42">
        <v>13.2</v>
      </c>
      <c r="FC39" s="4"/>
      <c r="FJ39" s="42">
        <v>13.2</v>
      </c>
      <c r="GE39" s="4"/>
      <c r="GL39" s="42">
        <v>13.2</v>
      </c>
      <c r="HG39" s="4"/>
      <c r="HN39" s="42">
        <v>13.2</v>
      </c>
      <c r="II39" s="4"/>
      <c r="IP39" s="42">
        <v>13.2</v>
      </c>
      <c r="JK39" s="4"/>
      <c r="JR39" s="42">
        <v>13.2</v>
      </c>
      <c r="KM39" s="4"/>
      <c r="KT39" s="42">
        <v>13.2</v>
      </c>
      <c r="LO39" s="4"/>
      <c r="LV39" s="42">
        <v>13.2</v>
      </c>
      <c r="MQ39" s="4"/>
      <c r="MX39" s="42">
        <v>13.2</v>
      </c>
      <c r="NS39" s="4"/>
      <c r="NZ39" s="42">
        <v>11.2</v>
      </c>
      <c r="OU39" s="4"/>
      <c r="PB39" s="42">
        <v>11.2</v>
      </c>
      <c r="PW39" s="4"/>
      <c r="QD39" s="42">
        <v>11.2</v>
      </c>
    </row>
    <row r="40" spans="1:475" ht="17" hidden="1" x14ac:dyDescent="0.2">
      <c r="B40" s="30" t="s">
        <v>43</v>
      </c>
      <c r="R40" s="10"/>
      <c r="S40" s="10"/>
      <c r="T40" s="10"/>
      <c r="AP40" s="4"/>
      <c r="AW40" s="51">
        <v>1000</v>
      </c>
      <c r="BS40" s="4"/>
      <c r="BZ40" s="51">
        <v>1000</v>
      </c>
      <c r="CV40" s="4"/>
      <c r="DC40" s="51">
        <v>1000</v>
      </c>
      <c r="EA40" s="4"/>
      <c r="EH40" s="51">
        <v>1000</v>
      </c>
      <c r="FC40" s="4"/>
      <c r="FJ40" s="51">
        <v>1000</v>
      </c>
      <c r="GE40" s="4"/>
      <c r="GL40" s="51">
        <v>1000</v>
      </c>
      <c r="HG40" s="4"/>
      <c r="HN40" s="51">
        <v>1000</v>
      </c>
      <c r="II40" s="4"/>
      <c r="IP40" s="51">
        <v>1000</v>
      </c>
      <c r="JK40" s="4"/>
      <c r="JR40" s="51">
        <v>1000</v>
      </c>
      <c r="KM40" s="4"/>
      <c r="KT40" s="51">
        <v>1000</v>
      </c>
      <c r="LO40" s="4"/>
      <c r="LV40" s="51">
        <v>1000</v>
      </c>
      <c r="MQ40" s="4"/>
      <c r="MX40" s="51">
        <v>1000</v>
      </c>
      <c r="NS40" s="4"/>
      <c r="NZ40" s="51">
        <v>1000</v>
      </c>
      <c r="OU40" s="4"/>
      <c r="PB40" s="51">
        <v>1000</v>
      </c>
      <c r="PW40" s="4"/>
      <c r="QD40" s="51">
        <v>1000</v>
      </c>
    </row>
    <row r="41" spans="1:475" ht="17" hidden="1" x14ac:dyDescent="0.2">
      <c r="A41" s="5"/>
      <c r="B41" s="31" t="s">
        <v>55</v>
      </c>
      <c r="C41" s="20"/>
      <c r="R41" s="10"/>
      <c r="S41" s="10"/>
      <c r="T41" s="10"/>
      <c r="AP41" s="4"/>
      <c r="AW41" s="43">
        <v>1000</v>
      </c>
      <c r="BS41" s="4"/>
      <c r="BZ41" s="43">
        <v>1000</v>
      </c>
      <c r="CV41" s="4"/>
      <c r="DC41" s="43">
        <v>1000</v>
      </c>
      <c r="EA41" s="4"/>
      <c r="EH41" s="43">
        <v>1000</v>
      </c>
      <c r="FC41" s="4"/>
      <c r="FJ41" s="43">
        <v>1000</v>
      </c>
      <c r="GE41" s="4"/>
      <c r="GL41" s="43">
        <v>1000</v>
      </c>
      <c r="HG41" s="4"/>
      <c r="HN41" s="43">
        <v>1000</v>
      </c>
      <c r="II41" s="4"/>
      <c r="IP41" s="43">
        <v>1000</v>
      </c>
      <c r="JK41" s="4"/>
      <c r="JR41" s="43">
        <v>1000</v>
      </c>
      <c r="KM41" s="4"/>
      <c r="KT41" s="43">
        <v>1000</v>
      </c>
      <c r="LO41" s="4"/>
      <c r="LV41" s="43">
        <v>1000</v>
      </c>
      <c r="MQ41" s="4"/>
      <c r="MX41" s="43">
        <v>1000</v>
      </c>
      <c r="NS41" s="4"/>
      <c r="NZ41" s="43">
        <v>1000</v>
      </c>
      <c r="OU41" s="4"/>
      <c r="PB41" s="43">
        <v>1000</v>
      </c>
      <c r="PW41" s="4"/>
      <c r="QD41" s="43">
        <v>1000</v>
      </c>
    </row>
    <row r="42" spans="1:475" ht="17" hidden="1" x14ac:dyDescent="0.2">
      <c r="A42" s="5"/>
      <c r="B42" s="35" t="s">
        <v>62</v>
      </c>
      <c r="C42" s="20"/>
      <c r="R42" s="10"/>
      <c r="S42" s="10"/>
      <c r="T42" s="10"/>
      <c r="AP42" s="4"/>
      <c r="AW42" s="62">
        <v>1000</v>
      </c>
      <c r="BS42" s="4"/>
      <c r="BZ42" s="62">
        <v>1000</v>
      </c>
      <c r="CV42" s="4"/>
      <c r="DC42" s="62">
        <v>1000</v>
      </c>
      <c r="EA42" s="4"/>
      <c r="EH42" s="62">
        <v>1000</v>
      </c>
      <c r="FC42" s="4"/>
      <c r="FJ42" s="62">
        <v>1000</v>
      </c>
      <c r="GE42" s="4"/>
      <c r="GL42" s="62">
        <v>1000</v>
      </c>
      <c r="HG42" s="4"/>
      <c r="HN42" s="62">
        <v>1000</v>
      </c>
      <c r="II42" s="4"/>
      <c r="IP42" s="62">
        <v>1000</v>
      </c>
      <c r="JK42" s="4"/>
      <c r="JR42" s="62">
        <v>1000</v>
      </c>
      <c r="KM42" s="4"/>
      <c r="KT42" s="62">
        <v>1000</v>
      </c>
      <c r="LO42" s="4"/>
      <c r="LV42" s="62">
        <v>1000</v>
      </c>
      <c r="MQ42" s="4"/>
      <c r="MX42" s="62">
        <v>1000</v>
      </c>
      <c r="NS42" s="4"/>
      <c r="NZ42" s="62">
        <v>1000</v>
      </c>
      <c r="OU42" s="4"/>
      <c r="PB42" s="62">
        <v>1000</v>
      </c>
      <c r="PW42" s="4"/>
      <c r="QD42" s="62">
        <v>1000</v>
      </c>
    </row>
    <row r="43" spans="1:475" ht="17" x14ac:dyDescent="0.2">
      <c r="A43" s="5"/>
      <c r="B43" s="34" t="s">
        <v>41</v>
      </c>
      <c r="C43" s="20"/>
      <c r="R43" s="10"/>
      <c r="S43" s="10"/>
      <c r="T43" s="10"/>
      <c r="AP43" s="4"/>
      <c r="AW43" s="63">
        <v>49.6</v>
      </c>
      <c r="BS43" s="4"/>
      <c r="BZ43" s="63">
        <v>49.6</v>
      </c>
      <c r="CV43" s="4"/>
      <c r="DC43" s="63">
        <v>48</v>
      </c>
      <c r="EA43" s="4"/>
      <c r="EH43" s="63">
        <v>49.6</v>
      </c>
      <c r="FC43" s="4"/>
      <c r="FJ43" s="63">
        <v>49.6</v>
      </c>
      <c r="GE43" s="4"/>
      <c r="GL43" s="63">
        <v>49.6</v>
      </c>
      <c r="HG43" s="4"/>
      <c r="HN43" s="63">
        <v>49.6</v>
      </c>
      <c r="II43" s="4"/>
      <c r="IP43" s="63">
        <v>49.6</v>
      </c>
      <c r="JK43" s="4"/>
      <c r="JR43" s="63">
        <v>49.6</v>
      </c>
      <c r="KM43" s="4"/>
      <c r="KT43" s="63">
        <v>49.6</v>
      </c>
      <c r="LO43" s="4"/>
      <c r="LV43" s="63">
        <v>49.6</v>
      </c>
      <c r="MQ43" s="4"/>
      <c r="MX43" s="63">
        <v>49.6</v>
      </c>
      <c r="NS43" s="4"/>
      <c r="NZ43" s="63">
        <v>48</v>
      </c>
      <c r="OU43" s="4"/>
      <c r="PB43" s="63">
        <v>48</v>
      </c>
      <c r="PW43" s="4"/>
      <c r="QD43" s="63">
        <v>48</v>
      </c>
    </row>
    <row r="44" spans="1:475" ht="17" hidden="1" x14ac:dyDescent="0.2">
      <c r="A44" s="5"/>
      <c r="B44" s="24" t="s">
        <v>42</v>
      </c>
      <c r="C44" s="20"/>
      <c r="R44" s="10"/>
      <c r="S44" s="10"/>
      <c r="T44" s="10"/>
      <c r="AP44" s="4"/>
      <c r="AW44" s="46">
        <v>1000</v>
      </c>
      <c r="BS44" s="4"/>
      <c r="BZ44" s="46">
        <v>1000</v>
      </c>
      <c r="CV44" s="4"/>
      <c r="DC44" s="46">
        <v>1000</v>
      </c>
      <c r="EA44" s="4"/>
      <c r="EH44" s="46">
        <v>1000</v>
      </c>
      <c r="FC44" s="4"/>
      <c r="FJ44" s="46">
        <v>1000</v>
      </c>
      <c r="GE44" s="4"/>
      <c r="GL44" s="46">
        <v>1000</v>
      </c>
      <c r="HG44" s="4"/>
      <c r="HN44" s="46">
        <v>1000</v>
      </c>
      <c r="II44" s="4"/>
      <c r="IP44" s="46">
        <v>1000</v>
      </c>
      <c r="JK44" s="4"/>
      <c r="JR44" s="46">
        <v>1000</v>
      </c>
      <c r="KM44" s="4"/>
      <c r="KT44" s="46">
        <v>1000</v>
      </c>
      <c r="LO44" s="4"/>
      <c r="LV44" s="46">
        <v>1000</v>
      </c>
      <c r="MQ44" s="4"/>
      <c r="MX44" s="46">
        <v>1000</v>
      </c>
      <c r="NS44" s="4"/>
      <c r="NZ44" s="46">
        <v>1000</v>
      </c>
      <c r="OU44" s="4"/>
      <c r="PB44" s="46">
        <v>1000</v>
      </c>
      <c r="PW44" s="4"/>
      <c r="QD44" s="46">
        <v>1000</v>
      </c>
    </row>
    <row r="45" spans="1:475" ht="17" hidden="1" x14ac:dyDescent="0.2">
      <c r="A45" s="5"/>
      <c r="B45" s="33" t="s">
        <v>54</v>
      </c>
      <c r="C45" s="20"/>
      <c r="R45" s="10"/>
      <c r="S45" s="10"/>
      <c r="T45" s="10"/>
      <c r="AP45" s="4"/>
      <c r="AW45" s="47">
        <v>1000</v>
      </c>
      <c r="BS45" s="4"/>
      <c r="BZ45" s="47">
        <v>1000</v>
      </c>
      <c r="CV45" s="4"/>
      <c r="DC45" s="47">
        <v>1000</v>
      </c>
      <c r="EA45" s="4"/>
      <c r="EH45" s="47">
        <v>1000</v>
      </c>
      <c r="FC45" s="4"/>
      <c r="FJ45" s="47">
        <v>1000</v>
      </c>
      <c r="GE45" s="4"/>
      <c r="GL45" s="47">
        <v>1000</v>
      </c>
      <c r="HG45" s="4"/>
      <c r="HN45" s="47">
        <v>1000</v>
      </c>
      <c r="II45" s="4"/>
      <c r="IP45" s="47">
        <v>1000</v>
      </c>
      <c r="JK45" s="4"/>
      <c r="JR45" s="47">
        <v>1000</v>
      </c>
      <c r="KM45" s="4"/>
      <c r="KT45" s="47">
        <v>1000</v>
      </c>
      <c r="LO45" s="4"/>
      <c r="LV45" s="47">
        <v>1000</v>
      </c>
      <c r="MQ45" s="4"/>
      <c r="MX45" s="47">
        <v>1000</v>
      </c>
      <c r="NS45" s="4"/>
      <c r="NZ45" s="47">
        <v>1000</v>
      </c>
      <c r="OU45" s="4"/>
      <c r="PB45" s="47">
        <v>1000</v>
      </c>
      <c r="PW45" s="4"/>
      <c r="QD45" s="47">
        <v>1000</v>
      </c>
    </row>
    <row r="46" spans="1:475" ht="17" hidden="1" x14ac:dyDescent="0.2">
      <c r="A46" s="5"/>
      <c r="B46" s="25" t="s">
        <v>27</v>
      </c>
      <c r="C46" s="20"/>
      <c r="R46" s="10"/>
      <c r="S46" s="10"/>
      <c r="T46" s="10"/>
      <c r="AP46" s="4"/>
      <c r="AW46" s="48">
        <v>1000</v>
      </c>
      <c r="BS46" s="4"/>
      <c r="BZ46" s="48">
        <v>1000</v>
      </c>
      <c r="CV46" s="4"/>
      <c r="DC46" s="48">
        <v>1000</v>
      </c>
      <c r="EA46" s="4"/>
      <c r="EH46" s="48">
        <v>1000</v>
      </c>
      <c r="FC46" s="4"/>
      <c r="FJ46" s="48">
        <v>1000</v>
      </c>
      <c r="GE46" s="4"/>
      <c r="GL46" s="48">
        <v>1000</v>
      </c>
      <c r="HG46" s="4"/>
      <c r="HN46" s="48">
        <v>1000</v>
      </c>
      <c r="II46" s="4"/>
      <c r="IP46" s="48">
        <v>1000</v>
      </c>
      <c r="JK46" s="4"/>
      <c r="JR46" s="48">
        <v>1000</v>
      </c>
      <c r="KM46" s="4"/>
      <c r="KT46" s="48">
        <v>1000</v>
      </c>
      <c r="LO46" s="4"/>
      <c r="LV46" s="48">
        <v>1000</v>
      </c>
      <c r="MQ46" s="4"/>
      <c r="MX46" s="48">
        <v>1000</v>
      </c>
      <c r="NS46" s="4"/>
      <c r="NZ46" s="48">
        <v>1000</v>
      </c>
      <c r="OU46" s="4"/>
      <c r="PB46" s="48">
        <v>1000</v>
      </c>
      <c r="PW46" s="4"/>
      <c r="QD46" s="48">
        <v>1000</v>
      </c>
    </row>
    <row r="47" spans="1:475" x14ac:dyDescent="0.2">
      <c r="B47" s="29" t="s">
        <v>47</v>
      </c>
      <c r="C47" s="2"/>
    </row>
    <row r="48" spans="1:475" x14ac:dyDescent="0.2">
      <c r="A48" s="5"/>
      <c r="B48" s="5"/>
      <c r="C48" s="20"/>
      <c r="QF48" s="2"/>
      <c r="QG48" s="2"/>
      <c r="QH48" s="2"/>
      <c r="QI48" s="2"/>
      <c r="QJ48" s="2"/>
      <c r="QK48" s="2"/>
      <c r="QL48" s="2"/>
      <c r="QM48" s="2"/>
      <c r="QN48" s="2"/>
    </row>
    <row r="49" spans="1:3" x14ac:dyDescent="0.2">
      <c r="A49" s="5"/>
      <c r="B49" s="5"/>
      <c r="C49" s="20"/>
    </row>
    <row r="50" spans="1:3" x14ac:dyDescent="0.2">
      <c r="A50" s="5"/>
      <c r="B50" s="5"/>
      <c r="C50" s="20"/>
    </row>
    <row r="51" spans="1:3" x14ac:dyDescent="0.2">
      <c r="A51" s="5"/>
      <c r="B51" s="5"/>
      <c r="C51" s="5"/>
    </row>
  </sheetData>
  <sheetProtection sheet="1" formatCells="0" formatColumns="0" formatRows="0"/>
  <autoFilter ref="A1:RG6" xr:uid="{BB9C3AB3-2D15-174E-B900-3E2F789706E1}"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7" showButton="0"/>
    <filterColumn colId="108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sortState xmlns:xlrd2="http://schemas.microsoft.com/office/spreadsheetml/2017/richdata2" ref="A6:RG36">
      <sortCondition descending="1" ref="F1:F37"/>
    </sortState>
  </autoFilter>
  <mergeCells count="117">
    <mergeCell ref="QM2:QP2"/>
    <mergeCell ref="QQ2:QT2"/>
    <mergeCell ref="QU2:QX2"/>
    <mergeCell ref="N1:N3"/>
    <mergeCell ref="O1:O3"/>
    <mergeCell ref="PG2:PJ2"/>
    <mergeCell ref="PK2:PN2"/>
    <mergeCell ref="PO2:PR2"/>
    <mergeCell ref="PS2:PV2"/>
    <mergeCell ref="QE2:QH2"/>
    <mergeCell ref="QI2:QL2"/>
    <mergeCell ref="OA2:OD2"/>
    <mergeCell ref="OE2:OH2"/>
    <mergeCell ref="OI2:OL2"/>
    <mergeCell ref="OM2:OP2"/>
    <mergeCell ref="OQ2:OT2"/>
    <mergeCell ref="PC2:PF2"/>
    <mergeCell ref="MM2:MP2"/>
    <mergeCell ref="MY2:NB2"/>
    <mergeCell ref="NC2:NF2"/>
    <mergeCell ref="NG2:NJ2"/>
    <mergeCell ref="NK2:NN2"/>
    <mergeCell ref="JW2:JZ2"/>
    <mergeCell ref="HO2:HR2"/>
    <mergeCell ref="NO2:NR2"/>
    <mergeCell ref="LG2:LJ2"/>
    <mergeCell ref="LK2:LN2"/>
    <mergeCell ref="LW2:LZ2"/>
    <mergeCell ref="MA2:MD2"/>
    <mergeCell ref="ME2:MH2"/>
    <mergeCell ref="MI2:ML2"/>
    <mergeCell ref="KA2:KD2"/>
    <mergeCell ref="KE2:KH2"/>
    <mergeCell ref="KI2:KL2"/>
    <mergeCell ref="KU2:KX2"/>
    <mergeCell ref="KY2:LB2"/>
    <mergeCell ref="LC2:LF2"/>
    <mergeCell ref="FK2:FN2"/>
    <mergeCell ref="FO2:FR2"/>
    <mergeCell ref="FS2:FV2"/>
    <mergeCell ref="FW2:FZ2"/>
    <mergeCell ref="IU2:IX2"/>
    <mergeCell ref="IY2:JB2"/>
    <mergeCell ref="JC2:JF2"/>
    <mergeCell ref="JG2:JJ2"/>
    <mergeCell ref="JS2:JV2"/>
    <mergeCell ref="HS2:HV2"/>
    <mergeCell ref="HW2:HZ2"/>
    <mergeCell ref="IA2:ID2"/>
    <mergeCell ref="IE2:IH2"/>
    <mergeCell ref="IQ2:IT2"/>
    <mergeCell ref="CA2:CD2"/>
    <mergeCell ref="LW1:MX1"/>
    <mergeCell ref="MY1:NZ1"/>
    <mergeCell ref="OA1:PB1"/>
    <mergeCell ref="DO2:DR2"/>
    <mergeCell ref="DS2:DV2"/>
    <mergeCell ref="DW2:DZ2"/>
    <mergeCell ref="EI2:EL2"/>
    <mergeCell ref="EM2:EP2"/>
    <mergeCell ref="EQ2:ET2"/>
    <mergeCell ref="CE2:CH2"/>
    <mergeCell ref="CI2:CL2"/>
    <mergeCell ref="CM2:CP2"/>
    <mergeCell ref="CQ2:CT2"/>
    <mergeCell ref="DG2:DJ2"/>
    <mergeCell ref="DK2:DN2"/>
    <mergeCell ref="GA2:GD2"/>
    <mergeCell ref="GM2:GP2"/>
    <mergeCell ref="GQ2:GT2"/>
    <mergeCell ref="GU2:GX2"/>
    <mergeCell ref="GY2:HB2"/>
    <mergeCell ref="HC2:HF2"/>
    <mergeCell ref="EU2:EX2"/>
    <mergeCell ref="EY2:FB2"/>
    <mergeCell ref="PC1:QD1"/>
    <mergeCell ref="QE1:RG1"/>
    <mergeCell ref="U2:X2"/>
    <mergeCell ref="Y2:AB2"/>
    <mergeCell ref="AC2:AF2"/>
    <mergeCell ref="AG2:AJ2"/>
    <mergeCell ref="AK2:AN2"/>
    <mergeCell ref="FK1:GL1"/>
    <mergeCell ref="GM1:HN1"/>
    <mergeCell ref="HO1:IP1"/>
    <mergeCell ref="IQ1:JR1"/>
    <mergeCell ref="JS1:KT1"/>
    <mergeCell ref="KU1:LV1"/>
    <mergeCell ref="U1:AW1"/>
    <mergeCell ref="AX1:BZ1"/>
    <mergeCell ref="CA1:DC1"/>
    <mergeCell ref="DD1:DF1"/>
    <mergeCell ref="DG1:EH1"/>
    <mergeCell ref="EI1:FJ1"/>
    <mergeCell ref="AX2:BA2"/>
    <mergeCell ref="BB2:BE2"/>
    <mergeCell ref="BF2:BI2"/>
    <mergeCell ref="BJ2:BM2"/>
    <mergeCell ref="BN2:BQ2"/>
    <mergeCell ref="R1:R3"/>
    <mergeCell ref="S1:S3"/>
    <mergeCell ref="T1:T3"/>
    <mergeCell ref="G1:G3"/>
    <mergeCell ref="H1:H3"/>
    <mergeCell ref="I1:I3"/>
    <mergeCell ref="J1:J3"/>
    <mergeCell ref="K1:K3"/>
    <mergeCell ref="L1:L3"/>
    <mergeCell ref="A1:A3"/>
    <mergeCell ref="B1:B3"/>
    <mergeCell ref="C1:C3"/>
    <mergeCell ref="D1:D3"/>
    <mergeCell ref="E1:E3"/>
    <mergeCell ref="F1:F3"/>
    <mergeCell ref="M1:M3"/>
    <mergeCell ref="P1:P3"/>
    <mergeCell ref="Q1:Q3"/>
  </mergeCells>
  <conditionalFormatting sqref="U4:AW36">
    <cfRule type="expression" dxfId="55" priority="5" stopIfTrue="1">
      <formula>IF($AO4&lt;&gt;"",1,0)</formula>
    </cfRule>
  </conditionalFormatting>
  <conditionalFormatting sqref="AX4:BZ36">
    <cfRule type="expression" dxfId="54" priority="10" stopIfTrue="1">
      <formula>IF($BR4&lt;&gt;"",1,0)</formula>
    </cfRule>
  </conditionalFormatting>
  <conditionalFormatting sqref="M1:M3 O1:O3 K1:K1048576 Q1:Q1048576 M4:O1048576">
    <cfRule type="expression" dxfId="53" priority="17">
      <formula>IF(K1=$CA$1,1,0)</formula>
    </cfRule>
    <cfRule type="expression" dxfId="52" priority="18">
      <formula>IF(K1=$AX$1,1,0)</formula>
    </cfRule>
    <cfRule type="expression" dxfId="51" priority="19">
      <formula>IF(K1=$U$1,1,0)</formula>
    </cfRule>
  </conditionalFormatting>
  <conditionalFormatting sqref="CA4:DC36">
    <cfRule type="expression" dxfId="50" priority="11" stopIfTrue="1">
      <formula>IF($CU4&lt;&gt;"",1,0)</formula>
    </cfRule>
  </conditionalFormatting>
  <conditionalFormatting sqref="A1:A1048576">
    <cfRule type="expression" dxfId="49" priority="20">
      <formula>AND(G1="P",F1="")</formula>
    </cfRule>
  </conditionalFormatting>
  <conditionalFormatting sqref="H1:H1048576">
    <cfRule type="containsText" dxfId="48" priority="12" operator="containsText" text="No DD">
      <formula>NOT(ISERROR(SEARCH("No DD",H1)))</formula>
    </cfRule>
    <cfRule type="containsText" dxfId="47" priority="13" operator="containsText" text="Merit">
      <formula>NOT(ISERROR(SEARCH("Merit",H1)))</formula>
    </cfRule>
    <cfRule type="containsText" dxfId="46" priority="14" operator="containsText" text="Excellence">
      <formula>NOT(ISERROR(SEARCH("Excellence",H1)))</formula>
    </cfRule>
    <cfRule type="containsText" dxfId="45" priority="15" operator="containsText" text="Worlds Team">
      <formula>NOT(ISERROR(SEARCH("Worlds Team",H1)))</formula>
    </cfRule>
    <cfRule type="containsText" dxfId="44" priority="16" operator="containsText" text="National Team">
      <formula>NOT(ISERROR(SEARCH("National Team",H1)))</formula>
    </cfRule>
  </conditionalFormatting>
  <conditionalFormatting sqref="AT47:AT1048576 BW47:BW1048576 EE47:EE1048576 FG47:FG1048576 BW1:BW45 CZ1:CZ1048576 EE1:EE45 FG1:FG45 GI1:GI1048576 HK1:HK1048576 IM1:IM1048576 JO1:JO1048576 KQ1:KQ1048576 LS1:LS1048576 MU1:MU1048576 NW1:NW1048576 OY1:OY1048576 QA1:QA1048576 AT1:AT45">
    <cfRule type="cellIs" dxfId="43" priority="59086" operator="between">
      <formula>AW$46</formula>
      <formula>1000</formula>
    </cfRule>
    <cfRule type="cellIs" dxfId="42" priority="59087" operator="between">
      <formula>AW$45</formula>
      <formula>AW$46</formula>
    </cfRule>
    <cfRule type="cellIs" dxfId="41" priority="59088" operator="between">
      <formula>AW$44</formula>
      <formula>AW$45</formula>
    </cfRule>
  </conditionalFormatting>
  <conditionalFormatting sqref="PW1:PW1048576 AP1:AP1048576 BS1:BS1048576 CV1:CV1048576 EA1:EA1048576 FC1:FC1048576 GE1:GE1048576 HG1:HG1048576 II1:II1048576 JK1:JK1048576 KM1:KM1048576 LO1:LO1048576 MQ1:MQ1048576 NS1:NS1048576 OU1:OU1048576">
    <cfRule type="cellIs" dxfId="40" priority="100712" operator="between">
      <formula>AW$39</formula>
      <formula>1000</formula>
    </cfRule>
  </conditionalFormatting>
  <conditionalFormatting sqref="PX1:PX1048576 AQ1:AQ1048576 BT1:BT1048576 CW1:CW1048576 EB1:EB1048576 FD1:FD1048576 GF1:GF1048576 HH1:HH1048576 IJ1:IJ1048576 JL1:JL1048576 KN1:KN1048576 LP1:LP1048576 MR1:MR1048576 NT1:NT1048576 OV1:OV1048576">
    <cfRule type="cellIs" dxfId="39" priority="100757" operator="between">
      <formula>AW$43</formula>
      <formula>1000</formula>
    </cfRule>
  </conditionalFormatting>
  <conditionalFormatting sqref="AU1:AU1048576 BX1:BX1048576 DA1:DA1048576 EF1:EF1048576 FH1:FH1048576 GJ1:GJ1048576 HL1:HL1048576 IN1:IN1048576 JP1:JP1048576 KR1:KR1048576 LT1:LT1048576 MV1:MV1048576 NX1:NX1048576 OZ1:OZ1048576 QB1:QB1048576">
    <cfRule type="cellIs" dxfId="38" priority="100802" operator="between">
      <formula>AW$39</formula>
      <formula>AW$40</formula>
    </cfRule>
    <cfRule type="cellIs" dxfId="37" priority="100803" operator="between">
      <formula>AW$40</formula>
      <formula>AW$41</formula>
    </cfRule>
    <cfRule type="cellIs" dxfId="36" priority="100804" operator="between">
      <formula>AW$41</formula>
      <formula>AW$42</formula>
    </cfRule>
    <cfRule type="cellIs" dxfId="35" priority="100805" operator="between">
      <formula>AW$42</formula>
      <formula>1000</formula>
    </cfRule>
  </conditionalFormatting>
  <conditionalFormatting sqref="AV1:AV1048576 BY1:BY1048576 DB1:DB1048576 EG1:EG1048576 FI1:FI1048576 GK1:GK1048576 HM1:HM1048576 IO1:IO1048576 JQ1:JQ1048576 KS1:KS1048576 LU1:LU1048576 MW1:MW1048576 NY1:NY1048576 PA1:PA1048576 QC1:QC1048576">
    <cfRule type="cellIs" dxfId="34" priority="100982" operator="between">
      <formula>AW$43</formula>
      <formula>AW$44</formula>
    </cfRule>
    <cfRule type="cellIs" dxfId="33" priority="100983" operator="between">
      <formula>AW$44</formula>
      <formula>AW$45</formula>
    </cfRule>
    <cfRule type="cellIs" dxfId="32" priority="100984" operator="between">
      <formula>AW$45</formula>
      <formula>AW$46</formula>
    </cfRule>
    <cfRule type="cellIs" dxfId="31" priority="100985" operator="between">
      <formula>AW$46</formula>
      <formula>1000</formula>
    </cfRule>
  </conditionalFormatting>
  <conditionalFormatting sqref="AS1:AS1048576 BV1:BV1048576 CY1:CY1048576 FF1:FF1048576 GH1:GH1048576 HJ1:HJ1048576 IL1:IL1048576 JN1:JN1048576 KP1:KP1048576 LR1:LR1048576 MT1:MT1048576 NV1:NV1048576 OX1:OX1048576 PZ1:PZ1048576 ED1:ED1048576">
    <cfRule type="cellIs" dxfId="30" priority="101162" operator="between">
      <formula>AW$42</formula>
      <formula>1000</formula>
    </cfRule>
    <cfRule type="cellIs" dxfId="29" priority="101163" operator="between">
      <formula>AW$41</formula>
      <formula>AW$42</formula>
    </cfRule>
    <cfRule type="cellIs" dxfId="28" priority="101164" operator="between">
      <formula>AW$40</formula>
      <formula>AW$41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B02682-89BB-3C4E-82F9-A33BA40CF782}">
  <sheetPr codeName="Sheet14"/>
  <dimension ref="A1:RG41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4.83203125" bestFit="1" customWidth="1"/>
    <col min="3" max="3" width="8.1640625" bestFit="1" customWidth="1"/>
    <col min="4" max="4" width="12" customWidth="1"/>
    <col min="6" max="6" width="16.33203125" customWidth="1"/>
    <col min="8" max="8" width="13.33203125" style="36" bestFit="1" customWidth="1"/>
    <col min="9" max="9" width="15.33203125" customWidth="1"/>
    <col min="11" max="11" width="27.5" bestFit="1" customWidth="1"/>
    <col min="12" max="12" width="10.5" customWidth="1"/>
    <col min="13" max="13" width="27.5" bestFit="1" customWidth="1"/>
    <col min="14" max="14" width="10.5" customWidth="1"/>
    <col min="15" max="15" width="27.5" customWidth="1"/>
    <col min="16" max="16" width="10.83203125" customWidth="1"/>
    <col min="17" max="17" width="27.5" customWidth="1"/>
    <col min="18" max="18" width="24.6640625" customWidth="1"/>
    <col min="19" max="19" width="13" customWidth="1"/>
    <col min="20" max="20" width="31.5" customWidth="1"/>
    <col min="21" max="41" width="10.83203125" hidden="1" customWidth="1"/>
    <col min="42" max="49" width="10.83203125" style="36" customWidth="1"/>
    <col min="50" max="70" width="10.83203125" hidden="1" customWidth="1"/>
    <col min="71" max="78" width="10.83203125" style="36" customWidth="1"/>
    <col min="79" max="99" width="10.83203125" hidden="1" customWidth="1"/>
    <col min="100" max="110" width="10.83203125" style="36" customWidth="1"/>
    <col min="111" max="130" width="10.83203125" hidden="1" customWidth="1"/>
    <col min="131" max="138" width="10.83203125" style="36" customWidth="1"/>
    <col min="139" max="158" width="10.83203125" hidden="1" customWidth="1"/>
    <col min="159" max="166" width="10.83203125" style="36" customWidth="1"/>
    <col min="167" max="186" width="10.83203125" hidden="1" customWidth="1"/>
    <col min="187" max="194" width="10.83203125" style="36" customWidth="1"/>
    <col min="195" max="214" width="10.83203125" hidden="1" customWidth="1"/>
    <col min="215" max="222" width="10.83203125" style="36" customWidth="1"/>
    <col min="223" max="242" width="10.83203125" hidden="1" customWidth="1"/>
    <col min="243" max="250" width="10.83203125" style="36" customWidth="1"/>
    <col min="251" max="270" width="10.83203125" hidden="1" customWidth="1"/>
    <col min="271" max="278" width="10.83203125" style="36" customWidth="1"/>
    <col min="279" max="298" width="10.83203125" hidden="1" customWidth="1"/>
    <col min="299" max="306" width="10.83203125" style="36" customWidth="1"/>
    <col min="307" max="326" width="10.83203125" hidden="1" customWidth="1"/>
    <col min="327" max="334" width="10.83203125" style="36" hidden="1" customWidth="1"/>
    <col min="335" max="354" width="10.83203125" hidden="1" customWidth="1"/>
    <col min="355" max="362" width="10.83203125" style="36" hidden="1" customWidth="1"/>
    <col min="363" max="382" width="10.83203125" hidden="1" customWidth="1"/>
    <col min="383" max="390" width="10.83203125" style="36" hidden="1" customWidth="1"/>
    <col min="391" max="410" width="10.83203125" hidden="1" customWidth="1"/>
    <col min="411" max="418" width="10.83203125" style="36" hidden="1" customWidth="1"/>
    <col min="419" max="438" width="10.83203125" hidden="1" customWidth="1"/>
    <col min="439" max="446" width="10.83203125" style="36" hidden="1" customWidth="1"/>
    <col min="447" max="467" width="10.83203125" hidden="1" customWidth="1"/>
    <col min="468" max="475" width="10.83203125" style="36" hidden="1" customWidth="1"/>
  </cols>
  <sheetData>
    <row r="1" spans="1:475" ht="16" customHeight="1" x14ac:dyDescent="0.2">
      <c r="A1" s="71" t="s">
        <v>1</v>
      </c>
      <c r="B1" s="71" t="s">
        <v>22</v>
      </c>
      <c r="C1" s="71" t="s">
        <v>0</v>
      </c>
      <c r="D1" s="71" t="s">
        <v>48</v>
      </c>
      <c r="E1" s="71" t="s">
        <v>2</v>
      </c>
      <c r="F1" s="74" t="s">
        <v>53</v>
      </c>
      <c r="G1" s="74" t="s">
        <v>8</v>
      </c>
      <c r="H1" s="71" t="s">
        <v>9</v>
      </c>
      <c r="I1" s="74" t="s">
        <v>71</v>
      </c>
      <c r="J1" s="72" t="s">
        <v>99</v>
      </c>
      <c r="K1" s="70" t="s">
        <v>25</v>
      </c>
      <c r="L1" s="72" t="s">
        <v>100</v>
      </c>
      <c r="M1" s="70" t="s">
        <v>25</v>
      </c>
      <c r="N1" s="72" t="s">
        <v>101</v>
      </c>
      <c r="O1" s="70" t="s">
        <v>25</v>
      </c>
      <c r="P1" s="70" t="s">
        <v>10</v>
      </c>
      <c r="Q1" s="70" t="s">
        <v>25</v>
      </c>
      <c r="R1" s="73" t="s">
        <v>11</v>
      </c>
      <c r="S1" s="70" t="s">
        <v>26</v>
      </c>
      <c r="T1" s="70" t="s">
        <v>25</v>
      </c>
      <c r="U1" s="66" t="s">
        <v>119</v>
      </c>
      <c r="V1" s="66"/>
      <c r="W1" s="66"/>
      <c r="X1" s="66"/>
      <c r="Y1" s="66"/>
      <c r="Z1" s="66"/>
      <c r="AA1" s="66"/>
      <c r="AB1" s="66"/>
      <c r="AC1" s="66"/>
      <c r="AD1" s="66"/>
      <c r="AE1" s="66"/>
      <c r="AF1" s="66"/>
      <c r="AG1" s="66"/>
      <c r="AH1" s="66"/>
      <c r="AI1" s="66"/>
      <c r="AJ1" s="66"/>
      <c r="AK1" s="66"/>
      <c r="AL1" s="66"/>
      <c r="AM1" s="66"/>
      <c r="AN1" s="66"/>
      <c r="AO1" s="66"/>
      <c r="AP1" s="66"/>
      <c r="AQ1" s="66"/>
      <c r="AR1" s="66"/>
      <c r="AS1" s="66"/>
      <c r="AT1" s="66"/>
      <c r="AU1" s="66"/>
      <c r="AV1" s="66"/>
      <c r="AW1" s="66"/>
      <c r="AX1" s="67" t="s">
        <v>129</v>
      </c>
      <c r="AY1" s="67"/>
      <c r="AZ1" s="67"/>
      <c r="BA1" s="67"/>
      <c r="BB1" s="67"/>
      <c r="BC1" s="67"/>
      <c r="BD1" s="67"/>
      <c r="BE1" s="67"/>
      <c r="BF1" s="67"/>
      <c r="BG1" s="67"/>
      <c r="BH1" s="67"/>
      <c r="BI1" s="67"/>
      <c r="BJ1" s="67"/>
      <c r="BK1" s="67"/>
      <c r="BL1" s="67"/>
      <c r="BM1" s="67"/>
      <c r="BN1" s="67"/>
      <c r="BO1" s="67"/>
      <c r="BP1" s="67"/>
      <c r="BQ1" s="67"/>
      <c r="BR1" s="67"/>
      <c r="BS1" s="67"/>
      <c r="BT1" s="67"/>
      <c r="BU1" s="67"/>
      <c r="BV1" s="67"/>
      <c r="BW1" s="67"/>
      <c r="BX1" s="67"/>
      <c r="BY1" s="67"/>
      <c r="BZ1" s="67"/>
      <c r="CA1" s="66" t="s">
        <v>199</v>
      </c>
      <c r="CB1" s="66"/>
      <c r="CC1" s="66"/>
      <c r="CD1" s="66"/>
      <c r="CE1" s="66"/>
      <c r="CF1" s="66"/>
      <c r="CG1" s="66"/>
      <c r="CH1" s="66"/>
      <c r="CI1" s="66"/>
      <c r="CJ1" s="66"/>
      <c r="CK1" s="66"/>
      <c r="CL1" s="66"/>
      <c r="CM1" s="66"/>
      <c r="CN1" s="66"/>
      <c r="CO1" s="66"/>
      <c r="CP1" s="66"/>
      <c r="CQ1" s="66"/>
      <c r="CR1" s="66"/>
      <c r="CS1" s="66"/>
      <c r="CT1" s="66"/>
      <c r="CU1" s="66"/>
      <c r="CV1" s="66"/>
      <c r="CW1" s="66"/>
      <c r="CX1" s="66"/>
      <c r="CY1" s="66"/>
      <c r="CZ1" s="66"/>
      <c r="DA1" s="66"/>
      <c r="DB1" s="66"/>
      <c r="DC1" s="66"/>
      <c r="DD1" s="69" t="s">
        <v>52</v>
      </c>
      <c r="DE1" s="69"/>
      <c r="DF1" s="69"/>
      <c r="DG1" s="66" t="s">
        <v>109</v>
      </c>
      <c r="DH1" s="66"/>
      <c r="DI1" s="66"/>
      <c r="DJ1" s="66"/>
      <c r="DK1" s="66"/>
      <c r="DL1" s="66"/>
      <c r="DM1" s="66"/>
      <c r="DN1" s="66"/>
      <c r="DO1" s="66"/>
      <c r="DP1" s="66"/>
      <c r="DQ1" s="66"/>
      <c r="DR1" s="66"/>
      <c r="DS1" s="66"/>
      <c r="DT1" s="66"/>
      <c r="DU1" s="66"/>
      <c r="DV1" s="66"/>
      <c r="DW1" s="66"/>
      <c r="DX1" s="66"/>
      <c r="DY1" s="66"/>
      <c r="DZ1" s="66"/>
      <c r="EA1" s="66"/>
      <c r="EB1" s="66"/>
      <c r="EC1" s="66"/>
      <c r="ED1" s="66"/>
      <c r="EE1" s="66"/>
      <c r="EF1" s="66"/>
      <c r="EG1" s="66"/>
      <c r="EH1" s="66"/>
      <c r="EI1" s="67" t="s">
        <v>110</v>
      </c>
      <c r="EJ1" s="67"/>
      <c r="EK1" s="67"/>
      <c r="EL1" s="67"/>
      <c r="EM1" s="67"/>
      <c r="EN1" s="67"/>
      <c r="EO1" s="67"/>
      <c r="EP1" s="67"/>
      <c r="EQ1" s="67"/>
      <c r="ER1" s="67"/>
      <c r="ES1" s="67"/>
      <c r="ET1" s="67"/>
      <c r="EU1" s="67"/>
      <c r="EV1" s="67"/>
      <c r="EW1" s="67"/>
      <c r="EX1" s="67"/>
      <c r="EY1" s="67"/>
      <c r="EZ1" s="67"/>
      <c r="FA1" s="67"/>
      <c r="FB1" s="67"/>
      <c r="FC1" s="67"/>
      <c r="FD1" s="67"/>
      <c r="FE1" s="67"/>
      <c r="FF1" s="67"/>
      <c r="FG1" s="67"/>
      <c r="FH1" s="67"/>
      <c r="FI1" s="67"/>
      <c r="FJ1" s="67"/>
      <c r="FK1" s="66" t="s">
        <v>113</v>
      </c>
      <c r="FL1" s="66"/>
      <c r="FM1" s="66"/>
      <c r="FN1" s="66"/>
      <c r="FO1" s="66"/>
      <c r="FP1" s="66"/>
      <c r="FQ1" s="66"/>
      <c r="FR1" s="66"/>
      <c r="FS1" s="66"/>
      <c r="FT1" s="66"/>
      <c r="FU1" s="66"/>
      <c r="FV1" s="66"/>
      <c r="FW1" s="66"/>
      <c r="FX1" s="66"/>
      <c r="FY1" s="66"/>
      <c r="FZ1" s="66"/>
      <c r="GA1" s="66"/>
      <c r="GB1" s="66"/>
      <c r="GC1" s="66"/>
      <c r="GD1" s="66"/>
      <c r="GE1" s="66"/>
      <c r="GF1" s="66"/>
      <c r="GG1" s="66"/>
      <c r="GH1" s="66"/>
      <c r="GI1" s="66"/>
      <c r="GJ1" s="66"/>
      <c r="GK1" s="66"/>
      <c r="GL1" s="66"/>
      <c r="GM1" s="67" t="s">
        <v>115</v>
      </c>
      <c r="GN1" s="67"/>
      <c r="GO1" s="67"/>
      <c r="GP1" s="67"/>
      <c r="GQ1" s="67"/>
      <c r="GR1" s="67"/>
      <c r="GS1" s="67"/>
      <c r="GT1" s="67"/>
      <c r="GU1" s="67"/>
      <c r="GV1" s="67"/>
      <c r="GW1" s="67"/>
      <c r="GX1" s="67"/>
      <c r="GY1" s="67"/>
      <c r="GZ1" s="67"/>
      <c r="HA1" s="67"/>
      <c r="HB1" s="67"/>
      <c r="HC1" s="67"/>
      <c r="HD1" s="67"/>
      <c r="HE1" s="67"/>
      <c r="HF1" s="67"/>
      <c r="HG1" s="67"/>
      <c r="HH1" s="67"/>
      <c r="HI1" s="67"/>
      <c r="HJ1" s="67"/>
      <c r="HK1" s="67"/>
      <c r="HL1" s="67"/>
      <c r="HM1" s="67"/>
      <c r="HN1" s="67"/>
      <c r="HO1" s="66" t="s">
        <v>137</v>
      </c>
      <c r="HP1" s="66"/>
      <c r="HQ1" s="66"/>
      <c r="HR1" s="66"/>
      <c r="HS1" s="66"/>
      <c r="HT1" s="66"/>
      <c r="HU1" s="66"/>
      <c r="HV1" s="66"/>
      <c r="HW1" s="66"/>
      <c r="HX1" s="66"/>
      <c r="HY1" s="66"/>
      <c r="HZ1" s="66"/>
      <c r="IA1" s="66"/>
      <c r="IB1" s="66"/>
      <c r="IC1" s="66"/>
      <c r="ID1" s="66"/>
      <c r="IE1" s="66"/>
      <c r="IF1" s="66"/>
      <c r="IG1" s="66"/>
      <c r="IH1" s="66"/>
      <c r="II1" s="66"/>
      <c r="IJ1" s="66"/>
      <c r="IK1" s="66"/>
      <c r="IL1" s="66"/>
      <c r="IM1" s="66"/>
      <c r="IN1" s="66"/>
      <c r="IO1" s="66"/>
      <c r="IP1" s="66"/>
      <c r="IQ1" s="67" t="s">
        <v>136</v>
      </c>
      <c r="IR1" s="67"/>
      <c r="IS1" s="67"/>
      <c r="IT1" s="67"/>
      <c r="IU1" s="67"/>
      <c r="IV1" s="67"/>
      <c r="IW1" s="67"/>
      <c r="IX1" s="67"/>
      <c r="IY1" s="67"/>
      <c r="IZ1" s="67"/>
      <c r="JA1" s="67"/>
      <c r="JB1" s="67"/>
      <c r="JC1" s="67"/>
      <c r="JD1" s="67"/>
      <c r="JE1" s="67"/>
      <c r="JF1" s="67"/>
      <c r="JG1" s="67"/>
      <c r="JH1" s="67"/>
      <c r="JI1" s="67"/>
      <c r="JJ1" s="67"/>
      <c r="JK1" s="67"/>
      <c r="JL1" s="67"/>
      <c r="JM1" s="67"/>
      <c r="JN1" s="67"/>
      <c r="JO1" s="67"/>
      <c r="JP1" s="67"/>
      <c r="JQ1" s="67"/>
      <c r="JR1" s="67"/>
      <c r="JS1" s="66" t="s">
        <v>138</v>
      </c>
      <c r="JT1" s="66"/>
      <c r="JU1" s="66"/>
      <c r="JV1" s="66"/>
      <c r="JW1" s="66"/>
      <c r="JX1" s="66"/>
      <c r="JY1" s="66"/>
      <c r="JZ1" s="66"/>
      <c r="KA1" s="66"/>
      <c r="KB1" s="66"/>
      <c r="KC1" s="66"/>
      <c r="KD1" s="66"/>
      <c r="KE1" s="66"/>
      <c r="KF1" s="66"/>
      <c r="KG1" s="66"/>
      <c r="KH1" s="66"/>
      <c r="KI1" s="66"/>
      <c r="KJ1" s="66"/>
      <c r="KK1" s="66"/>
      <c r="KL1" s="66"/>
      <c r="KM1" s="66"/>
      <c r="KN1" s="66"/>
      <c r="KO1" s="66"/>
      <c r="KP1" s="66"/>
      <c r="KQ1" s="66"/>
      <c r="KR1" s="66"/>
      <c r="KS1" s="66"/>
      <c r="KT1" s="66"/>
      <c r="KU1" s="67"/>
      <c r="KV1" s="67"/>
      <c r="KW1" s="67"/>
      <c r="KX1" s="67"/>
      <c r="KY1" s="67"/>
      <c r="KZ1" s="67"/>
      <c r="LA1" s="67"/>
      <c r="LB1" s="67"/>
      <c r="LC1" s="67"/>
      <c r="LD1" s="67"/>
      <c r="LE1" s="67"/>
      <c r="LF1" s="67"/>
      <c r="LG1" s="67"/>
      <c r="LH1" s="67"/>
      <c r="LI1" s="67"/>
      <c r="LJ1" s="67"/>
      <c r="LK1" s="67"/>
      <c r="LL1" s="67"/>
      <c r="LM1" s="67"/>
      <c r="LN1" s="67"/>
      <c r="LO1" s="67"/>
      <c r="LP1" s="67"/>
      <c r="LQ1" s="67"/>
      <c r="LR1" s="67"/>
      <c r="LS1" s="67"/>
      <c r="LT1" s="67"/>
      <c r="LU1" s="67"/>
      <c r="LV1" s="67"/>
      <c r="LW1" s="66"/>
      <c r="LX1" s="66"/>
      <c r="LY1" s="66"/>
      <c r="LZ1" s="66"/>
      <c r="MA1" s="66"/>
      <c r="MB1" s="66"/>
      <c r="MC1" s="66"/>
      <c r="MD1" s="66"/>
      <c r="ME1" s="66"/>
      <c r="MF1" s="66"/>
      <c r="MG1" s="66"/>
      <c r="MH1" s="66"/>
      <c r="MI1" s="66"/>
      <c r="MJ1" s="66"/>
      <c r="MK1" s="66"/>
      <c r="ML1" s="66"/>
      <c r="MM1" s="66"/>
      <c r="MN1" s="66"/>
      <c r="MO1" s="66"/>
      <c r="MP1" s="66"/>
      <c r="MQ1" s="66"/>
      <c r="MR1" s="66"/>
      <c r="MS1" s="66"/>
      <c r="MT1" s="66"/>
      <c r="MU1" s="66"/>
      <c r="MV1" s="66"/>
      <c r="MW1" s="66"/>
      <c r="MX1" s="66"/>
      <c r="MY1" s="67"/>
      <c r="MZ1" s="67"/>
      <c r="NA1" s="67"/>
      <c r="NB1" s="67"/>
      <c r="NC1" s="67"/>
      <c r="ND1" s="67"/>
      <c r="NE1" s="67"/>
      <c r="NF1" s="67"/>
      <c r="NG1" s="67"/>
      <c r="NH1" s="67"/>
      <c r="NI1" s="67"/>
      <c r="NJ1" s="67"/>
      <c r="NK1" s="67"/>
      <c r="NL1" s="67"/>
      <c r="NM1" s="67"/>
      <c r="NN1" s="67"/>
      <c r="NO1" s="67"/>
      <c r="NP1" s="67"/>
      <c r="NQ1" s="67"/>
      <c r="NR1" s="67"/>
      <c r="NS1" s="67"/>
      <c r="NT1" s="67"/>
      <c r="NU1" s="67"/>
      <c r="NV1" s="67"/>
      <c r="NW1" s="67"/>
      <c r="NX1" s="67"/>
      <c r="NY1" s="67"/>
      <c r="NZ1" s="67"/>
      <c r="OA1" s="66"/>
      <c r="OB1" s="66"/>
      <c r="OC1" s="66"/>
      <c r="OD1" s="66"/>
      <c r="OE1" s="66"/>
      <c r="OF1" s="66"/>
      <c r="OG1" s="66"/>
      <c r="OH1" s="66"/>
      <c r="OI1" s="66"/>
      <c r="OJ1" s="66"/>
      <c r="OK1" s="66"/>
      <c r="OL1" s="66"/>
      <c r="OM1" s="66"/>
      <c r="ON1" s="66"/>
      <c r="OO1" s="66"/>
      <c r="OP1" s="66"/>
      <c r="OQ1" s="66"/>
      <c r="OR1" s="66"/>
      <c r="OS1" s="66"/>
      <c r="OT1" s="66"/>
      <c r="OU1" s="66"/>
      <c r="OV1" s="66"/>
      <c r="OW1" s="66"/>
      <c r="OX1" s="66"/>
      <c r="OY1" s="66"/>
      <c r="OZ1" s="66"/>
      <c r="PA1" s="66"/>
      <c r="PB1" s="66"/>
      <c r="PC1" s="67"/>
      <c r="PD1" s="67"/>
      <c r="PE1" s="67"/>
      <c r="PF1" s="67"/>
      <c r="PG1" s="67"/>
      <c r="PH1" s="67"/>
      <c r="PI1" s="67"/>
      <c r="PJ1" s="67"/>
      <c r="PK1" s="67"/>
      <c r="PL1" s="67"/>
      <c r="PM1" s="67"/>
      <c r="PN1" s="67"/>
      <c r="PO1" s="67"/>
      <c r="PP1" s="67"/>
      <c r="PQ1" s="67"/>
      <c r="PR1" s="67"/>
      <c r="PS1" s="67"/>
      <c r="PT1" s="67"/>
      <c r="PU1" s="67"/>
      <c r="PV1" s="67"/>
      <c r="PW1" s="67"/>
      <c r="PX1" s="67"/>
      <c r="PY1" s="67"/>
      <c r="PZ1" s="67"/>
      <c r="QA1" s="67"/>
      <c r="QB1" s="67"/>
      <c r="QC1" s="67"/>
      <c r="QD1" s="67"/>
      <c r="QE1" s="66" t="s">
        <v>56</v>
      </c>
      <c r="QF1" s="66"/>
      <c r="QG1" s="66"/>
      <c r="QH1" s="66"/>
      <c r="QI1" s="66"/>
      <c r="QJ1" s="66"/>
      <c r="QK1" s="66"/>
      <c r="QL1" s="66"/>
      <c r="QM1" s="66"/>
      <c r="QN1" s="66"/>
      <c r="QO1" s="66"/>
      <c r="QP1" s="66"/>
      <c r="QQ1" s="66"/>
      <c r="QR1" s="66"/>
      <c r="QS1" s="66"/>
      <c r="QT1" s="66"/>
      <c r="QU1" s="66"/>
      <c r="QV1" s="66"/>
      <c r="QW1" s="66"/>
      <c r="QX1" s="66"/>
      <c r="QY1" s="66"/>
      <c r="QZ1" s="66"/>
      <c r="RA1" s="66"/>
      <c r="RB1" s="66"/>
      <c r="RC1" s="66"/>
      <c r="RD1" s="66"/>
      <c r="RE1" s="66"/>
      <c r="RF1" s="66"/>
      <c r="RG1" s="66"/>
    </row>
    <row r="2" spans="1:475" x14ac:dyDescent="0.2">
      <c r="A2" s="71"/>
      <c r="B2" s="71"/>
      <c r="C2" s="71"/>
      <c r="D2" s="71"/>
      <c r="E2" s="71"/>
      <c r="F2" s="74"/>
      <c r="G2" s="74"/>
      <c r="H2" s="71"/>
      <c r="I2" s="74"/>
      <c r="J2" s="72"/>
      <c r="K2" s="70"/>
      <c r="L2" s="72"/>
      <c r="M2" s="70"/>
      <c r="N2" s="72"/>
      <c r="O2" s="70"/>
      <c r="P2" s="70"/>
      <c r="Q2" s="70"/>
      <c r="R2" s="73"/>
      <c r="S2" s="70"/>
      <c r="T2" s="70"/>
      <c r="U2" s="68" t="s">
        <v>91</v>
      </c>
      <c r="V2" s="68"/>
      <c r="W2" s="68"/>
      <c r="X2" s="68"/>
      <c r="Y2" s="68" t="s">
        <v>92</v>
      </c>
      <c r="Z2" s="68"/>
      <c r="AA2" s="68"/>
      <c r="AB2" s="68"/>
      <c r="AC2" s="68" t="s">
        <v>93</v>
      </c>
      <c r="AD2" s="68"/>
      <c r="AE2" s="68"/>
      <c r="AF2" s="68"/>
      <c r="AG2" s="68" t="s">
        <v>94</v>
      </c>
      <c r="AH2" s="68"/>
      <c r="AI2" s="68"/>
      <c r="AJ2" s="68"/>
      <c r="AK2" s="75" t="s">
        <v>95</v>
      </c>
      <c r="AL2" s="75"/>
      <c r="AM2" s="75"/>
      <c r="AN2" s="75"/>
      <c r="AO2" s="14"/>
      <c r="AP2" s="14" t="s">
        <v>96</v>
      </c>
      <c r="AQ2" s="14" t="s">
        <v>97</v>
      </c>
      <c r="AR2" s="14" t="s">
        <v>93</v>
      </c>
      <c r="AS2" s="14" t="s">
        <v>102</v>
      </c>
      <c r="AT2" s="14" t="s">
        <v>21</v>
      </c>
      <c r="AU2" s="14" t="s">
        <v>57</v>
      </c>
      <c r="AV2" s="14" t="s">
        <v>98</v>
      </c>
      <c r="AW2" s="14" t="s">
        <v>15</v>
      </c>
      <c r="AX2" s="65" t="s">
        <v>91</v>
      </c>
      <c r="AY2" s="65"/>
      <c r="AZ2" s="65"/>
      <c r="BA2" s="65"/>
      <c r="BB2" s="65" t="s">
        <v>92</v>
      </c>
      <c r="BC2" s="65"/>
      <c r="BD2" s="65"/>
      <c r="BE2" s="65"/>
      <c r="BF2" s="65" t="s">
        <v>93</v>
      </c>
      <c r="BG2" s="65"/>
      <c r="BH2" s="65"/>
      <c r="BI2" s="65"/>
      <c r="BJ2" s="65" t="s">
        <v>94</v>
      </c>
      <c r="BK2" s="65"/>
      <c r="BL2" s="65"/>
      <c r="BM2" s="65"/>
      <c r="BN2" s="76" t="s">
        <v>95</v>
      </c>
      <c r="BO2" s="76"/>
      <c r="BP2" s="76"/>
      <c r="BQ2" s="76"/>
      <c r="BR2" s="13"/>
      <c r="BS2" s="13" t="s">
        <v>96</v>
      </c>
      <c r="BT2" s="13" t="s">
        <v>97</v>
      </c>
      <c r="BU2" s="13" t="s">
        <v>93</v>
      </c>
      <c r="BV2" s="13" t="s">
        <v>102</v>
      </c>
      <c r="BW2" s="13" t="s">
        <v>21</v>
      </c>
      <c r="BX2" s="13" t="s">
        <v>57</v>
      </c>
      <c r="BY2" s="13" t="s">
        <v>98</v>
      </c>
      <c r="BZ2" s="13" t="s">
        <v>15</v>
      </c>
      <c r="CA2" s="68" t="s">
        <v>91</v>
      </c>
      <c r="CB2" s="68"/>
      <c r="CC2" s="68"/>
      <c r="CD2" s="68"/>
      <c r="CE2" s="68" t="s">
        <v>92</v>
      </c>
      <c r="CF2" s="68"/>
      <c r="CG2" s="68"/>
      <c r="CH2" s="68"/>
      <c r="CI2" s="68" t="s">
        <v>93</v>
      </c>
      <c r="CJ2" s="68"/>
      <c r="CK2" s="68"/>
      <c r="CL2" s="68"/>
      <c r="CM2" s="68" t="s">
        <v>94</v>
      </c>
      <c r="CN2" s="68"/>
      <c r="CO2" s="68"/>
      <c r="CP2" s="68"/>
      <c r="CQ2" s="75" t="s">
        <v>95</v>
      </c>
      <c r="CR2" s="75"/>
      <c r="CS2" s="75"/>
      <c r="CT2" s="75"/>
      <c r="CU2" s="14"/>
      <c r="CV2" s="14" t="s">
        <v>96</v>
      </c>
      <c r="CW2" s="14" t="s">
        <v>97</v>
      </c>
      <c r="CX2" s="14" t="s">
        <v>93</v>
      </c>
      <c r="CY2" s="14" t="s">
        <v>102</v>
      </c>
      <c r="CZ2" s="14" t="s">
        <v>21</v>
      </c>
      <c r="DA2" s="14" t="s">
        <v>57</v>
      </c>
      <c r="DB2" s="14" t="s">
        <v>98</v>
      </c>
      <c r="DC2" s="14" t="s">
        <v>15</v>
      </c>
      <c r="DD2" s="49" t="s">
        <v>97</v>
      </c>
      <c r="DE2" s="49" t="s">
        <v>93</v>
      </c>
      <c r="DF2" s="49" t="s">
        <v>20</v>
      </c>
      <c r="DG2" s="68" t="s">
        <v>91</v>
      </c>
      <c r="DH2" s="68"/>
      <c r="DI2" s="68"/>
      <c r="DJ2" s="68"/>
      <c r="DK2" s="68" t="s">
        <v>92</v>
      </c>
      <c r="DL2" s="68"/>
      <c r="DM2" s="68"/>
      <c r="DN2" s="68"/>
      <c r="DO2" s="68" t="s">
        <v>93</v>
      </c>
      <c r="DP2" s="68"/>
      <c r="DQ2" s="68"/>
      <c r="DR2" s="68"/>
      <c r="DS2" s="68" t="s">
        <v>94</v>
      </c>
      <c r="DT2" s="68"/>
      <c r="DU2" s="68"/>
      <c r="DV2" s="68"/>
      <c r="DW2" s="77" t="s">
        <v>95</v>
      </c>
      <c r="DX2" s="77"/>
      <c r="DY2" s="77"/>
      <c r="DZ2" s="77"/>
      <c r="EA2" s="14" t="s">
        <v>96</v>
      </c>
      <c r="EB2" s="14" t="s">
        <v>97</v>
      </c>
      <c r="EC2" s="14" t="s">
        <v>93</v>
      </c>
      <c r="ED2" s="14" t="s">
        <v>102</v>
      </c>
      <c r="EE2" s="14" t="s">
        <v>21</v>
      </c>
      <c r="EF2" s="14" t="s">
        <v>57</v>
      </c>
      <c r="EG2" s="14" t="s">
        <v>98</v>
      </c>
      <c r="EH2" s="14" t="s">
        <v>15</v>
      </c>
      <c r="EI2" s="65" t="s">
        <v>91</v>
      </c>
      <c r="EJ2" s="65"/>
      <c r="EK2" s="65"/>
      <c r="EL2" s="65"/>
      <c r="EM2" s="65" t="s">
        <v>92</v>
      </c>
      <c r="EN2" s="65"/>
      <c r="EO2" s="65"/>
      <c r="EP2" s="65"/>
      <c r="EQ2" s="65" t="s">
        <v>93</v>
      </c>
      <c r="ER2" s="65"/>
      <c r="ES2" s="65"/>
      <c r="ET2" s="65"/>
      <c r="EU2" s="65" t="s">
        <v>94</v>
      </c>
      <c r="EV2" s="65"/>
      <c r="EW2" s="65"/>
      <c r="EX2" s="65"/>
      <c r="EY2" s="76" t="s">
        <v>95</v>
      </c>
      <c r="EZ2" s="76"/>
      <c r="FA2" s="76"/>
      <c r="FB2" s="76"/>
      <c r="FC2" s="13" t="s">
        <v>96</v>
      </c>
      <c r="FD2" s="13" t="s">
        <v>97</v>
      </c>
      <c r="FE2" s="13" t="s">
        <v>93</v>
      </c>
      <c r="FF2" s="13" t="s">
        <v>102</v>
      </c>
      <c r="FG2" s="13" t="s">
        <v>21</v>
      </c>
      <c r="FH2" s="13" t="s">
        <v>57</v>
      </c>
      <c r="FI2" s="13" t="s">
        <v>98</v>
      </c>
      <c r="FJ2" s="13" t="s">
        <v>15</v>
      </c>
      <c r="FK2" s="68" t="s">
        <v>91</v>
      </c>
      <c r="FL2" s="68"/>
      <c r="FM2" s="68"/>
      <c r="FN2" s="68"/>
      <c r="FO2" s="68" t="s">
        <v>92</v>
      </c>
      <c r="FP2" s="68"/>
      <c r="FQ2" s="68"/>
      <c r="FR2" s="68"/>
      <c r="FS2" s="68" t="s">
        <v>93</v>
      </c>
      <c r="FT2" s="68"/>
      <c r="FU2" s="68"/>
      <c r="FV2" s="68"/>
      <c r="FW2" s="68" t="s">
        <v>94</v>
      </c>
      <c r="FX2" s="68"/>
      <c r="FY2" s="68"/>
      <c r="FZ2" s="68"/>
      <c r="GA2" s="77" t="s">
        <v>95</v>
      </c>
      <c r="GB2" s="77"/>
      <c r="GC2" s="77"/>
      <c r="GD2" s="77"/>
      <c r="GE2" s="14" t="s">
        <v>96</v>
      </c>
      <c r="GF2" s="14" t="s">
        <v>97</v>
      </c>
      <c r="GG2" s="14" t="s">
        <v>93</v>
      </c>
      <c r="GH2" s="14" t="s">
        <v>102</v>
      </c>
      <c r="GI2" s="14" t="s">
        <v>21</v>
      </c>
      <c r="GJ2" s="14" t="s">
        <v>57</v>
      </c>
      <c r="GK2" s="14" t="s">
        <v>98</v>
      </c>
      <c r="GL2" s="14" t="s">
        <v>15</v>
      </c>
      <c r="GM2" s="65" t="s">
        <v>91</v>
      </c>
      <c r="GN2" s="65"/>
      <c r="GO2" s="65"/>
      <c r="GP2" s="65"/>
      <c r="GQ2" s="65" t="s">
        <v>92</v>
      </c>
      <c r="GR2" s="65"/>
      <c r="GS2" s="65"/>
      <c r="GT2" s="65"/>
      <c r="GU2" s="65" t="s">
        <v>93</v>
      </c>
      <c r="GV2" s="65"/>
      <c r="GW2" s="65"/>
      <c r="GX2" s="65"/>
      <c r="GY2" s="65" t="s">
        <v>94</v>
      </c>
      <c r="GZ2" s="65"/>
      <c r="HA2" s="65"/>
      <c r="HB2" s="65"/>
      <c r="HC2" s="76" t="s">
        <v>95</v>
      </c>
      <c r="HD2" s="76"/>
      <c r="HE2" s="76"/>
      <c r="HF2" s="76"/>
      <c r="HG2" s="13" t="s">
        <v>96</v>
      </c>
      <c r="HH2" s="13" t="s">
        <v>97</v>
      </c>
      <c r="HI2" s="13" t="s">
        <v>93</v>
      </c>
      <c r="HJ2" s="13" t="s">
        <v>102</v>
      </c>
      <c r="HK2" s="13" t="s">
        <v>21</v>
      </c>
      <c r="HL2" s="13" t="s">
        <v>57</v>
      </c>
      <c r="HM2" s="13" t="s">
        <v>98</v>
      </c>
      <c r="HN2" s="13" t="s">
        <v>15</v>
      </c>
      <c r="HO2" s="68" t="s">
        <v>91</v>
      </c>
      <c r="HP2" s="68"/>
      <c r="HQ2" s="68"/>
      <c r="HR2" s="68"/>
      <c r="HS2" s="68" t="s">
        <v>92</v>
      </c>
      <c r="HT2" s="68"/>
      <c r="HU2" s="68"/>
      <c r="HV2" s="68"/>
      <c r="HW2" s="68" t="s">
        <v>93</v>
      </c>
      <c r="HX2" s="68"/>
      <c r="HY2" s="68"/>
      <c r="HZ2" s="68"/>
      <c r="IA2" s="68" t="s">
        <v>94</v>
      </c>
      <c r="IB2" s="68"/>
      <c r="IC2" s="68"/>
      <c r="ID2" s="68"/>
      <c r="IE2" s="77" t="s">
        <v>95</v>
      </c>
      <c r="IF2" s="77"/>
      <c r="IG2" s="77"/>
      <c r="IH2" s="77"/>
      <c r="II2" s="14" t="s">
        <v>96</v>
      </c>
      <c r="IJ2" s="14" t="s">
        <v>97</v>
      </c>
      <c r="IK2" s="14" t="s">
        <v>93</v>
      </c>
      <c r="IL2" s="14" t="s">
        <v>102</v>
      </c>
      <c r="IM2" s="14" t="s">
        <v>21</v>
      </c>
      <c r="IN2" s="14" t="s">
        <v>57</v>
      </c>
      <c r="IO2" s="14" t="s">
        <v>98</v>
      </c>
      <c r="IP2" s="14" t="s">
        <v>15</v>
      </c>
      <c r="IQ2" s="65" t="s">
        <v>91</v>
      </c>
      <c r="IR2" s="65"/>
      <c r="IS2" s="65"/>
      <c r="IT2" s="65"/>
      <c r="IU2" s="65" t="s">
        <v>92</v>
      </c>
      <c r="IV2" s="65"/>
      <c r="IW2" s="65"/>
      <c r="IX2" s="65"/>
      <c r="IY2" s="65" t="s">
        <v>93</v>
      </c>
      <c r="IZ2" s="65"/>
      <c r="JA2" s="65"/>
      <c r="JB2" s="65"/>
      <c r="JC2" s="65" t="s">
        <v>94</v>
      </c>
      <c r="JD2" s="65"/>
      <c r="JE2" s="65"/>
      <c r="JF2" s="65"/>
      <c r="JG2" s="76" t="s">
        <v>95</v>
      </c>
      <c r="JH2" s="76"/>
      <c r="JI2" s="76"/>
      <c r="JJ2" s="76"/>
      <c r="JK2" s="13" t="s">
        <v>96</v>
      </c>
      <c r="JL2" s="13" t="s">
        <v>97</v>
      </c>
      <c r="JM2" s="13" t="s">
        <v>93</v>
      </c>
      <c r="JN2" s="13" t="s">
        <v>102</v>
      </c>
      <c r="JO2" s="13" t="s">
        <v>21</v>
      </c>
      <c r="JP2" s="13" t="s">
        <v>57</v>
      </c>
      <c r="JQ2" s="13" t="s">
        <v>98</v>
      </c>
      <c r="JR2" s="13" t="s">
        <v>15</v>
      </c>
      <c r="JS2" s="68" t="s">
        <v>91</v>
      </c>
      <c r="JT2" s="68"/>
      <c r="JU2" s="68"/>
      <c r="JV2" s="68"/>
      <c r="JW2" s="68" t="s">
        <v>92</v>
      </c>
      <c r="JX2" s="68"/>
      <c r="JY2" s="68"/>
      <c r="JZ2" s="68"/>
      <c r="KA2" s="68" t="s">
        <v>93</v>
      </c>
      <c r="KB2" s="68"/>
      <c r="KC2" s="68"/>
      <c r="KD2" s="68"/>
      <c r="KE2" s="68" t="s">
        <v>94</v>
      </c>
      <c r="KF2" s="68"/>
      <c r="KG2" s="68"/>
      <c r="KH2" s="68"/>
      <c r="KI2" s="77" t="s">
        <v>95</v>
      </c>
      <c r="KJ2" s="77"/>
      <c r="KK2" s="77"/>
      <c r="KL2" s="77"/>
      <c r="KM2" s="14" t="s">
        <v>96</v>
      </c>
      <c r="KN2" s="14" t="s">
        <v>97</v>
      </c>
      <c r="KO2" s="14" t="s">
        <v>93</v>
      </c>
      <c r="KP2" s="14" t="s">
        <v>102</v>
      </c>
      <c r="KQ2" s="14" t="s">
        <v>21</v>
      </c>
      <c r="KR2" s="14" t="s">
        <v>57</v>
      </c>
      <c r="KS2" s="14" t="s">
        <v>98</v>
      </c>
      <c r="KT2" s="14" t="s">
        <v>15</v>
      </c>
      <c r="KU2" s="65" t="s">
        <v>91</v>
      </c>
      <c r="KV2" s="65"/>
      <c r="KW2" s="65"/>
      <c r="KX2" s="65"/>
      <c r="KY2" s="65" t="s">
        <v>92</v>
      </c>
      <c r="KZ2" s="65"/>
      <c r="LA2" s="65"/>
      <c r="LB2" s="65"/>
      <c r="LC2" s="65" t="s">
        <v>93</v>
      </c>
      <c r="LD2" s="65"/>
      <c r="LE2" s="65"/>
      <c r="LF2" s="65"/>
      <c r="LG2" s="65" t="s">
        <v>94</v>
      </c>
      <c r="LH2" s="65"/>
      <c r="LI2" s="65"/>
      <c r="LJ2" s="65"/>
      <c r="LK2" s="76" t="s">
        <v>95</v>
      </c>
      <c r="LL2" s="76"/>
      <c r="LM2" s="76"/>
      <c r="LN2" s="76"/>
      <c r="LO2" s="13" t="s">
        <v>96</v>
      </c>
      <c r="LP2" s="13" t="s">
        <v>97</v>
      </c>
      <c r="LQ2" s="13" t="s">
        <v>93</v>
      </c>
      <c r="LR2" s="13" t="s">
        <v>102</v>
      </c>
      <c r="LS2" s="13" t="s">
        <v>21</v>
      </c>
      <c r="LT2" s="13" t="s">
        <v>57</v>
      </c>
      <c r="LU2" s="13" t="s">
        <v>98</v>
      </c>
      <c r="LV2" s="13" t="s">
        <v>15</v>
      </c>
      <c r="LW2" s="68" t="s">
        <v>91</v>
      </c>
      <c r="LX2" s="68"/>
      <c r="LY2" s="68"/>
      <c r="LZ2" s="68"/>
      <c r="MA2" s="68" t="s">
        <v>92</v>
      </c>
      <c r="MB2" s="68"/>
      <c r="MC2" s="68"/>
      <c r="MD2" s="68"/>
      <c r="ME2" s="68" t="s">
        <v>93</v>
      </c>
      <c r="MF2" s="68"/>
      <c r="MG2" s="68"/>
      <c r="MH2" s="68"/>
      <c r="MI2" s="68" t="s">
        <v>94</v>
      </c>
      <c r="MJ2" s="68"/>
      <c r="MK2" s="68"/>
      <c r="ML2" s="68"/>
      <c r="MM2" s="77" t="s">
        <v>95</v>
      </c>
      <c r="MN2" s="77"/>
      <c r="MO2" s="77"/>
      <c r="MP2" s="77"/>
      <c r="MQ2" s="14" t="s">
        <v>96</v>
      </c>
      <c r="MR2" s="14" t="s">
        <v>97</v>
      </c>
      <c r="MS2" s="14" t="s">
        <v>93</v>
      </c>
      <c r="MT2" s="14" t="s">
        <v>102</v>
      </c>
      <c r="MU2" s="14" t="s">
        <v>21</v>
      </c>
      <c r="MV2" s="14" t="s">
        <v>57</v>
      </c>
      <c r="MW2" s="14" t="s">
        <v>98</v>
      </c>
      <c r="MX2" s="14" t="s">
        <v>15</v>
      </c>
      <c r="MY2" s="65" t="s">
        <v>91</v>
      </c>
      <c r="MZ2" s="65"/>
      <c r="NA2" s="65"/>
      <c r="NB2" s="65"/>
      <c r="NC2" s="65" t="s">
        <v>92</v>
      </c>
      <c r="ND2" s="65"/>
      <c r="NE2" s="65"/>
      <c r="NF2" s="65"/>
      <c r="NG2" s="65" t="s">
        <v>93</v>
      </c>
      <c r="NH2" s="65"/>
      <c r="NI2" s="65"/>
      <c r="NJ2" s="65"/>
      <c r="NK2" s="65" t="s">
        <v>94</v>
      </c>
      <c r="NL2" s="65"/>
      <c r="NM2" s="65"/>
      <c r="NN2" s="65"/>
      <c r="NO2" s="76" t="s">
        <v>95</v>
      </c>
      <c r="NP2" s="76"/>
      <c r="NQ2" s="76"/>
      <c r="NR2" s="76"/>
      <c r="NS2" s="13" t="s">
        <v>96</v>
      </c>
      <c r="NT2" s="13" t="s">
        <v>97</v>
      </c>
      <c r="NU2" s="13" t="s">
        <v>93</v>
      </c>
      <c r="NV2" s="13" t="s">
        <v>102</v>
      </c>
      <c r="NW2" s="13" t="s">
        <v>21</v>
      </c>
      <c r="NX2" s="13" t="s">
        <v>57</v>
      </c>
      <c r="NY2" s="13" t="s">
        <v>98</v>
      </c>
      <c r="NZ2" s="13" t="s">
        <v>15</v>
      </c>
      <c r="OA2" s="68" t="s">
        <v>91</v>
      </c>
      <c r="OB2" s="68"/>
      <c r="OC2" s="68"/>
      <c r="OD2" s="68"/>
      <c r="OE2" s="68" t="s">
        <v>92</v>
      </c>
      <c r="OF2" s="68"/>
      <c r="OG2" s="68"/>
      <c r="OH2" s="68"/>
      <c r="OI2" s="68" t="s">
        <v>93</v>
      </c>
      <c r="OJ2" s="68"/>
      <c r="OK2" s="68"/>
      <c r="OL2" s="68"/>
      <c r="OM2" s="68" t="s">
        <v>94</v>
      </c>
      <c r="ON2" s="68"/>
      <c r="OO2" s="68"/>
      <c r="OP2" s="68"/>
      <c r="OQ2" s="77" t="s">
        <v>95</v>
      </c>
      <c r="OR2" s="77"/>
      <c r="OS2" s="77"/>
      <c r="OT2" s="77"/>
      <c r="OU2" s="14" t="s">
        <v>96</v>
      </c>
      <c r="OV2" s="14" t="s">
        <v>97</v>
      </c>
      <c r="OW2" s="14" t="s">
        <v>93</v>
      </c>
      <c r="OX2" s="14" t="s">
        <v>102</v>
      </c>
      <c r="OY2" s="14" t="s">
        <v>21</v>
      </c>
      <c r="OZ2" s="14" t="s">
        <v>57</v>
      </c>
      <c r="PA2" s="14" t="s">
        <v>98</v>
      </c>
      <c r="PB2" s="14" t="s">
        <v>15</v>
      </c>
      <c r="PC2" s="65" t="s">
        <v>91</v>
      </c>
      <c r="PD2" s="65"/>
      <c r="PE2" s="65"/>
      <c r="PF2" s="65"/>
      <c r="PG2" s="65" t="s">
        <v>92</v>
      </c>
      <c r="PH2" s="65"/>
      <c r="PI2" s="65"/>
      <c r="PJ2" s="65"/>
      <c r="PK2" s="65" t="s">
        <v>93</v>
      </c>
      <c r="PL2" s="65"/>
      <c r="PM2" s="65"/>
      <c r="PN2" s="65"/>
      <c r="PO2" s="65" t="s">
        <v>94</v>
      </c>
      <c r="PP2" s="65"/>
      <c r="PQ2" s="65"/>
      <c r="PR2" s="65"/>
      <c r="PS2" s="76" t="s">
        <v>95</v>
      </c>
      <c r="PT2" s="76"/>
      <c r="PU2" s="76"/>
      <c r="PV2" s="76"/>
      <c r="PW2" s="13" t="s">
        <v>96</v>
      </c>
      <c r="PX2" s="13" t="s">
        <v>97</v>
      </c>
      <c r="PY2" s="13" t="s">
        <v>93</v>
      </c>
      <c r="PZ2" s="13" t="s">
        <v>102</v>
      </c>
      <c r="QA2" s="13" t="s">
        <v>21</v>
      </c>
      <c r="QB2" s="13" t="s">
        <v>57</v>
      </c>
      <c r="QC2" s="13" t="s">
        <v>98</v>
      </c>
      <c r="QD2" s="13" t="s">
        <v>15</v>
      </c>
      <c r="QE2" s="68" t="s">
        <v>91</v>
      </c>
      <c r="QF2" s="68"/>
      <c r="QG2" s="68"/>
      <c r="QH2" s="68"/>
      <c r="QI2" s="68" t="s">
        <v>92</v>
      </c>
      <c r="QJ2" s="68"/>
      <c r="QK2" s="68"/>
      <c r="QL2" s="68"/>
      <c r="QM2" s="68" t="s">
        <v>93</v>
      </c>
      <c r="QN2" s="68"/>
      <c r="QO2" s="68"/>
      <c r="QP2" s="68"/>
      <c r="QQ2" s="68" t="s">
        <v>94</v>
      </c>
      <c r="QR2" s="68"/>
      <c r="QS2" s="68"/>
      <c r="QT2" s="68"/>
      <c r="QU2" s="75" t="s">
        <v>95</v>
      </c>
      <c r="QV2" s="75"/>
      <c r="QW2" s="75"/>
      <c r="QX2" s="75"/>
      <c r="QY2" s="14"/>
      <c r="QZ2" s="14" t="s">
        <v>96</v>
      </c>
      <c r="RA2" s="14" t="s">
        <v>97</v>
      </c>
      <c r="RB2" s="14" t="s">
        <v>93</v>
      </c>
      <c r="RC2" s="14" t="s">
        <v>102</v>
      </c>
      <c r="RD2" s="14" t="s">
        <v>21</v>
      </c>
      <c r="RE2" s="14" t="s">
        <v>57</v>
      </c>
      <c r="RF2" s="14" t="s">
        <v>98</v>
      </c>
      <c r="RG2" s="14" t="s">
        <v>15</v>
      </c>
    </row>
    <row r="3" spans="1:475" x14ac:dyDescent="0.2">
      <c r="A3" s="71"/>
      <c r="B3" s="71"/>
      <c r="C3" s="71"/>
      <c r="D3" s="71"/>
      <c r="E3" s="71"/>
      <c r="F3" s="74"/>
      <c r="G3" s="74"/>
      <c r="H3" s="71"/>
      <c r="I3" s="74"/>
      <c r="J3" s="72"/>
      <c r="K3" s="70"/>
      <c r="L3" s="72"/>
      <c r="M3" s="70"/>
      <c r="N3" s="72"/>
      <c r="O3" s="70"/>
      <c r="P3" s="70"/>
      <c r="Q3" s="70"/>
      <c r="R3" s="73"/>
      <c r="S3" s="70"/>
      <c r="T3" s="70"/>
      <c r="U3" s="14" t="s">
        <v>12</v>
      </c>
      <c r="V3" s="14" t="s">
        <v>7</v>
      </c>
      <c r="W3" s="14" t="s">
        <v>23</v>
      </c>
      <c r="X3" s="14" t="s">
        <v>24</v>
      </c>
      <c r="Y3" s="14" t="s">
        <v>12</v>
      </c>
      <c r="Z3" s="14" t="s">
        <v>7</v>
      </c>
      <c r="AA3" s="14" t="s">
        <v>23</v>
      </c>
      <c r="AB3" s="14" t="s">
        <v>24</v>
      </c>
      <c r="AC3" s="14" t="s">
        <v>12</v>
      </c>
      <c r="AD3" s="14" t="s">
        <v>7</v>
      </c>
      <c r="AE3" s="14" t="s">
        <v>23</v>
      </c>
      <c r="AF3" s="14" t="s">
        <v>24</v>
      </c>
      <c r="AG3" s="14" t="s">
        <v>12</v>
      </c>
      <c r="AH3" s="14" t="s">
        <v>7</v>
      </c>
      <c r="AI3" s="14" t="s">
        <v>23</v>
      </c>
      <c r="AJ3" s="14" t="s">
        <v>24</v>
      </c>
      <c r="AK3" s="21" t="s">
        <v>12</v>
      </c>
      <c r="AL3" s="21" t="s">
        <v>7</v>
      </c>
      <c r="AM3" s="21" t="s">
        <v>23</v>
      </c>
      <c r="AN3" s="21" t="s">
        <v>24</v>
      </c>
      <c r="AO3" s="14" t="s">
        <v>45</v>
      </c>
      <c r="AP3" s="14"/>
      <c r="AQ3" s="14"/>
      <c r="AR3" s="14"/>
      <c r="AS3" s="14"/>
      <c r="AT3" s="14"/>
      <c r="AU3" s="14"/>
      <c r="AV3" s="14"/>
      <c r="AW3" s="14"/>
      <c r="AX3" s="13" t="s">
        <v>12</v>
      </c>
      <c r="AY3" s="13" t="s">
        <v>7</v>
      </c>
      <c r="AZ3" s="13" t="s">
        <v>23</v>
      </c>
      <c r="BA3" s="13" t="s">
        <v>24</v>
      </c>
      <c r="BB3" s="13" t="s">
        <v>12</v>
      </c>
      <c r="BC3" s="13" t="s">
        <v>7</v>
      </c>
      <c r="BD3" s="13" t="s">
        <v>23</v>
      </c>
      <c r="BE3" s="13" t="s">
        <v>24</v>
      </c>
      <c r="BF3" s="13" t="s">
        <v>12</v>
      </c>
      <c r="BG3" s="13" t="s">
        <v>7</v>
      </c>
      <c r="BH3" s="13" t="s">
        <v>23</v>
      </c>
      <c r="BI3" s="13" t="s">
        <v>24</v>
      </c>
      <c r="BJ3" s="13" t="s">
        <v>12</v>
      </c>
      <c r="BK3" s="13" t="s">
        <v>7</v>
      </c>
      <c r="BL3" s="13" t="s">
        <v>23</v>
      </c>
      <c r="BM3" s="13" t="s">
        <v>24</v>
      </c>
      <c r="BN3" s="16" t="s">
        <v>12</v>
      </c>
      <c r="BO3" s="16" t="s">
        <v>7</v>
      </c>
      <c r="BP3" s="16" t="s">
        <v>23</v>
      </c>
      <c r="BQ3" s="16" t="s">
        <v>24</v>
      </c>
      <c r="BR3" s="13" t="s">
        <v>45</v>
      </c>
      <c r="BS3" s="13"/>
      <c r="BT3" s="13"/>
      <c r="BU3" s="13"/>
      <c r="BV3" s="13"/>
      <c r="BW3" s="13"/>
      <c r="BX3" s="13"/>
      <c r="BY3" s="13"/>
      <c r="BZ3" s="13"/>
      <c r="CA3" s="14" t="s">
        <v>12</v>
      </c>
      <c r="CB3" s="14" t="s">
        <v>7</v>
      </c>
      <c r="CC3" s="14" t="s">
        <v>23</v>
      </c>
      <c r="CD3" s="14" t="s">
        <v>24</v>
      </c>
      <c r="CE3" s="14" t="s">
        <v>12</v>
      </c>
      <c r="CF3" s="14" t="s">
        <v>7</v>
      </c>
      <c r="CG3" s="14" t="s">
        <v>23</v>
      </c>
      <c r="CH3" s="14" t="s">
        <v>24</v>
      </c>
      <c r="CI3" s="14" t="s">
        <v>12</v>
      </c>
      <c r="CJ3" s="14" t="s">
        <v>7</v>
      </c>
      <c r="CK3" s="14" t="s">
        <v>23</v>
      </c>
      <c r="CL3" s="14" t="s">
        <v>24</v>
      </c>
      <c r="CM3" s="14" t="s">
        <v>12</v>
      </c>
      <c r="CN3" s="14" t="s">
        <v>7</v>
      </c>
      <c r="CO3" s="14" t="s">
        <v>23</v>
      </c>
      <c r="CP3" s="14" t="s">
        <v>24</v>
      </c>
      <c r="CQ3" s="21" t="s">
        <v>12</v>
      </c>
      <c r="CR3" s="21" t="s">
        <v>7</v>
      </c>
      <c r="CS3" s="21" t="s">
        <v>23</v>
      </c>
      <c r="CT3" s="21" t="s">
        <v>24</v>
      </c>
      <c r="CU3" s="14" t="s">
        <v>45</v>
      </c>
      <c r="CV3" s="14"/>
      <c r="CW3" s="14"/>
      <c r="CX3" s="14"/>
      <c r="CY3" s="14"/>
      <c r="CZ3" s="14"/>
      <c r="DA3" s="14"/>
      <c r="DB3" s="14"/>
      <c r="DC3" s="14"/>
      <c r="DD3" s="49"/>
      <c r="DE3" s="49"/>
      <c r="DF3" s="49"/>
      <c r="DG3" s="14" t="s">
        <v>12</v>
      </c>
      <c r="DH3" s="14" t="s">
        <v>7</v>
      </c>
      <c r="DI3" s="14" t="s">
        <v>23</v>
      </c>
      <c r="DJ3" s="14" t="s">
        <v>24</v>
      </c>
      <c r="DK3" s="14" t="s">
        <v>12</v>
      </c>
      <c r="DL3" s="14" t="s">
        <v>7</v>
      </c>
      <c r="DM3" s="14" t="s">
        <v>23</v>
      </c>
      <c r="DN3" s="14" t="s">
        <v>24</v>
      </c>
      <c r="DO3" s="14" t="s">
        <v>12</v>
      </c>
      <c r="DP3" s="14" t="s">
        <v>7</v>
      </c>
      <c r="DQ3" s="14" t="s">
        <v>23</v>
      </c>
      <c r="DR3" s="14" t="s">
        <v>24</v>
      </c>
      <c r="DS3" s="14" t="s">
        <v>12</v>
      </c>
      <c r="DT3" s="14" t="s">
        <v>7</v>
      </c>
      <c r="DU3" s="14" t="s">
        <v>23</v>
      </c>
      <c r="DV3" s="14" t="s">
        <v>24</v>
      </c>
      <c r="DW3" s="15" t="s">
        <v>12</v>
      </c>
      <c r="DX3" s="15" t="s">
        <v>7</v>
      </c>
      <c r="DY3" s="15" t="s">
        <v>23</v>
      </c>
      <c r="DZ3" s="15" t="s">
        <v>24</v>
      </c>
      <c r="EA3" s="14"/>
      <c r="EB3" s="14"/>
      <c r="EC3" s="14"/>
      <c r="ED3" s="14"/>
      <c r="EE3" s="14"/>
      <c r="EF3" s="14"/>
      <c r="EG3" s="14"/>
      <c r="EH3" s="14"/>
      <c r="EI3" s="13" t="s">
        <v>12</v>
      </c>
      <c r="EJ3" s="13" t="s">
        <v>7</v>
      </c>
      <c r="EK3" s="13" t="s">
        <v>23</v>
      </c>
      <c r="EL3" s="13" t="s">
        <v>24</v>
      </c>
      <c r="EM3" s="13" t="s">
        <v>12</v>
      </c>
      <c r="EN3" s="13" t="s">
        <v>7</v>
      </c>
      <c r="EO3" s="13" t="s">
        <v>23</v>
      </c>
      <c r="EP3" s="13" t="s">
        <v>24</v>
      </c>
      <c r="EQ3" s="13" t="s">
        <v>12</v>
      </c>
      <c r="ER3" s="13" t="s">
        <v>7</v>
      </c>
      <c r="ES3" s="13" t="s">
        <v>23</v>
      </c>
      <c r="ET3" s="13" t="s">
        <v>24</v>
      </c>
      <c r="EU3" s="13" t="s">
        <v>12</v>
      </c>
      <c r="EV3" s="13" t="s">
        <v>7</v>
      </c>
      <c r="EW3" s="13" t="s">
        <v>23</v>
      </c>
      <c r="EX3" s="13" t="s">
        <v>24</v>
      </c>
      <c r="EY3" s="16" t="s">
        <v>12</v>
      </c>
      <c r="EZ3" s="16" t="s">
        <v>7</v>
      </c>
      <c r="FA3" s="16" t="s">
        <v>23</v>
      </c>
      <c r="FB3" s="16" t="s">
        <v>24</v>
      </c>
      <c r="FC3" s="13"/>
      <c r="FD3" s="13"/>
      <c r="FE3" s="13"/>
      <c r="FF3" s="13"/>
      <c r="FG3" s="13"/>
      <c r="FH3" s="13"/>
      <c r="FI3" s="13"/>
      <c r="FJ3" s="13"/>
      <c r="FK3" s="14" t="s">
        <v>12</v>
      </c>
      <c r="FL3" s="14" t="s">
        <v>7</v>
      </c>
      <c r="FM3" s="14" t="s">
        <v>23</v>
      </c>
      <c r="FN3" s="14" t="s">
        <v>24</v>
      </c>
      <c r="FO3" s="14" t="s">
        <v>12</v>
      </c>
      <c r="FP3" s="14" t="s">
        <v>7</v>
      </c>
      <c r="FQ3" s="14" t="s">
        <v>23</v>
      </c>
      <c r="FR3" s="14" t="s">
        <v>24</v>
      </c>
      <c r="FS3" s="14" t="s">
        <v>12</v>
      </c>
      <c r="FT3" s="14" t="s">
        <v>7</v>
      </c>
      <c r="FU3" s="14" t="s">
        <v>23</v>
      </c>
      <c r="FV3" s="14" t="s">
        <v>24</v>
      </c>
      <c r="FW3" s="14" t="s">
        <v>12</v>
      </c>
      <c r="FX3" s="14" t="s">
        <v>7</v>
      </c>
      <c r="FY3" s="14" t="s">
        <v>23</v>
      </c>
      <c r="FZ3" s="14" t="s">
        <v>24</v>
      </c>
      <c r="GA3" s="15" t="s">
        <v>12</v>
      </c>
      <c r="GB3" s="15" t="s">
        <v>7</v>
      </c>
      <c r="GC3" s="15" t="s">
        <v>23</v>
      </c>
      <c r="GD3" s="15" t="s">
        <v>24</v>
      </c>
      <c r="GE3" s="14"/>
      <c r="GF3" s="14"/>
      <c r="GG3" s="14"/>
      <c r="GH3" s="14"/>
      <c r="GI3" s="14"/>
      <c r="GJ3" s="14"/>
      <c r="GK3" s="14"/>
      <c r="GL3" s="14"/>
      <c r="GM3" s="13" t="s">
        <v>12</v>
      </c>
      <c r="GN3" s="13" t="s">
        <v>7</v>
      </c>
      <c r="GO3" s="13" t="s">
        <v>23</v>
      </c>
      <c r="GP3" s="13" t="s">
        <v>24</v>
      </c>
      <c r="GQ3" s="13" t="s">
        <v>12</v>
      </c>
      <c r="GR3" s="13" t="s">
        <v>7</v>
      </c>
      <c r="GS3" s="13" t="s">
        <v>23</v>
      </c>
      <c r="GT3" s="13" t="s">
        <v>24</v>
      </c>
      <c r="GU3" s="13" t="s">
        <v>12</v>
      </c>
      <c r="GV3" s="13" t="s">
        <v>7</v>
      </c>
      <c r="GW3" s="13" t="s">
        <v>23</v>
      </c>
      <c r="GX3" s="13" t="s">
        <v>24</v>
      </c>
      <c r="GY3" s="13" t="s">
        <v>12</v>
      </c>
      <c r="GZ3" s="13" t="s">
        <v>7</v>
      </c>
      <c r="HA3" s="13" t="s">
        <v>23</v>
      </c>
      <c r="HB3" s="13" t="s">
        <v>24</v>
      </c>
      <c r="HC3" s="16" t="s">
        <v>12</v>
      </c>
      <c r="HD3" s="16" t="s">
        <v>7</v>
      </c>
      <c r="HE3" s="16" t="s">
        <v>23</v>
      </c>
      <c r="HF3" s="16" t="s">
        <v>24</v>
      </c>
      <c r="HG3" s="13"/>
      <c r="HH3" s="13"/>
      <c r="HI3" s="13"/>
      <c r="HJ3" s="13"/>
      <c r="HK3" s="13"/>
      <c r="HL3" s="13"/>
      <c r="HM3" s="13"/>
      <c r="HN3" s="13"/>
      <c r="HO3" s="14" t="s">
        <v>12</v>
      </c>
      <c r="HP3" s="14" t="s">
        <v>7</v>
      </c>
      <c r="HQ3" s="14" t="s">
        <v>23</v>
      </c>
      <c r="HR3" s="14" t="s">
        <v>24</v>
      </c>
      <c r="HS3" s="14" t="s">
        <v>12</v>
      </c>
      <c r="HT3" s="14" t="s">
        <v>7</v>
      </c>
      <c r="HU3" s="14" t="s">
        <v>23</v>
      </c>
      <c r="HV3" s="14" t="s">
        <v>24</v>
      </c>
      <c r="HW3" s="14" t="s">
        <v>12</v>
      </c>
      <c r="HX3" s="14" t="s">
        <v>7</v>
      </c>
      <c r="HY3" s="14" t="s">
        <v>23</v>
      </c>
      <c r="HZ3" s="14" t="s">
        <v>24</v>
      </c>
      <c r="IA3" s="14" t="s">
        <v>12</v>
      </c>
      <c r="IB3" s="14" t="s">
        <v>7</v>
      </c>
      <c r="IC3" s="14" t="s">
        <v>23</v>
      </c>
      <c r="ID3" s="14" t="s">
        <v>24</v>
      </c>
      <c r="IE3" s="15" t="s">
        <v>12</v>
      </c>
      <c r="IF3" s="15" t="s">
        <v>7</v>
      </c>
      <c r="IG3" s="15" t="s">
        <v>23</v>
      </c>
      <c r="IH3" s="15" t="s">
        <v>24</v>
      </c>
      <c r="II3" s="14"/>
      <c r="IJ3" s="14"/>
      <c r="IK3" s="14"/>
      <c r="IL3" s="14"/>
      <c r="IM3" s="14"/>
      <c r="IN3" s="14"/>
      <c r="IO3" s="14"/>
      <c r="IP3" s="14"/>
      <c r="IQ3" s="13" t="s">
        <v>12</v>
      </c>
      <c r="IR3" s="13" t="s">
        <v>7</v>
      </c>
      <c r="IS3" s="13" t="s">
        <v>23</v>
      </c>
      <c r="IT3" s="13" t="s">
        <v>24</v>
      </c>
      <c r="IU3" s="13" t="s">
        <v>12</v>
      </c>
      <c r="IV3" s="13" t="s">
        <v>7</v>
      </c>
      <c r="IW3" s="13" t="s">
        <v>23</v>
      </c>
      <c r="IX3" s="13" t="s">
        <v>24</v>
      </c>
      <c r="IY3" s="13" t="s">
        <v>12</v>
      </c>
      <c r="IZ3" s="13" t="s">
        <v>7</v>
      </c>
      <c r="JA3" s="13" t="s">
        <v>23</v>
      </c>
      <c r="JB3" s="13" t="s">
        <v>24</v>
      </c>
      <c r="JC3" s="13" t="s">
        <v>12</v>
      </c>
      <c r="JD3" s="13" t="s">
        <v>7</v>
      </c>
      <c r="JE3" s="13" t="s">
        <v>23</v>
      </c>
      <c r="JF3" s="13" t="s">
        <v>24</v>
      </c>
      <c r="JG3" s="16" t="s">
        <v>12</v>
      </c>
      <c r="JH3" s="16" t="s">
        <v>7</v>
      </c>
      <c r="JI3" s="16" t="s">
        <v>23</v>
      </c>
      <c r="JJ3" s="16" t="s">
        <v>24</v>
      </c>
      <c r="JK3" s="13"/>
      <c r="JL3" s="13"/>
      <c r="JM3" s="13"/>
      <c r="JN3" s="13"/>
      <c r="JO3" s="13"/>
      <c r="JP3" s="13"/>
      <c r="JQ3" s="13"/>
      <c r="JR3" s="13"/>
      <c r="JS3" s="14" t="s">
        <v>12</v>
      </c>
      <c r="JT3" s="14" t="s">
        <v>7</v>
      </c>
      <c r="JU3" s="14" t="s">
        <v>23</v>
      </c>
      <c r="JV3" s="14" t="s">
        <v>24</v>
      </c>
      <c r="JW3" s="14" t="s">
        <v>12</v>
      </c>
      <c r="JX3" s="14" t="s">
        <v>7</v>
      </c>
      <c r="JY3" s="14" t="s">
        <v>23</v>
      </c>
      <c r="JZ3" s="14" t="s">
        <v>24</v>
      </c>
      <c r="KA3" s="14" t="s">
        <v>12</v>
      </c>
      <c r="KB3" s="14" t="s">
        <v>7</v>
      </c>
      <c r="KC3" s="14" t="s">
        <v>23</v>
      </c>
      <c r="KD3" s="14" t="s">
        <v>24</v>
      </c>
      <c r="KE3" s="14" t="s">
        <v>12</v>
      </c>
      <c r="KF3" s="14" t="s">
        <v>7</v>
      </c>
      <c r="KG3" s="14" t="s">
        <v>23</v>
      </c>
      <c r="KH3" s="14" t="s">
        <v>24</v>
      </c>
      <c r="KI3" s="15" t="s">
        <v>12</v>
      </c>
      <c r="KJ3" s="15" t="s">
        <v>7</v>
      </c>
      <c r="KK3" s="15" t="s">
        <v>23</v>
      </c>
      <c r="KL3" s="15" t="s">
        <v>24</v>
      </c>
      <c r="KM3" s="14"/>
      <c r="KN3" s="14"/>
      <c r="KO3" s="14"/>
      <c r="KP3" s="14"/>
      <c r="KQ3" s="14"/>
      <c r="KR3" s="14"/>
      <c r="KS3" s="14"/>
      <c r="KT3" s="14"/>
      <c r="KU3" s="13" t="s">
        <v>12</v>
      </c>
      <c r="KV3" s="13" t="s">
        <v>7</v>
      </c>
      <c r="KW3" s="13" t="s">
        <v>23</v>
      </c>
      <c r="KX3" s="13" t="s">
        <v>24</v>
      </c>
      <c r="KY3" s="13" t="s">
        <v>12</v>
      </c>
      <c r="KZ3" s="13" t="s">
        <v>7</v>
      </c>
      <c r="LA3" s="13" t="s">
        <v>23</v>
      </c>
      <c r="LB3" s="13" t="s">
        <v>24</v>
      </c>
      <c r="LC3" s="13" t="s">
        <v>12</v>
      </c>
      <c r="LD3" s="13" t="s">
        <v>7</v>
      </c>
      <c r="LE3" s="13" t="s">
        <v>23</v>
      </c>
      <c r="LF3" s="13" t="s">
        <v>24</v>
      </c>
      <c r="LG3" s="13" t="s">
        <v>12</v>
      </c>
      <c r="LH3" s="13" t="s">
        <v>7</v>
      </c>
      <c r="LI3" s="13" t="s">
        <v>23</v>
      </c>
      <c r="LJ3" s="13" t="s">
        <v>24</v>
      </c>
      <c r="LK3" s="16" t="s">
        <v>12</v>
      </c>
      <c r="LL3" s="16" t="s">
        <v>7</v>
      </c>
      <c r="LM3" s="16" t="s">
        <v>23</v>
      </c>
      <c r="LN3" s="16" t="s">
        <v>24</v>
      </c>
      <c r="LO3" s="13"/>
      <c r="LP3" s="13"/>
      <c r="LQ3" s="13"/>
      <c r="LR3" s="13"/>
      <c r="LS3" s="13"/>
      <c r="LT3" s="13"/>
      <c r="LU3" s="13"/>
      <c r="LV3" s="13"/>
      <c r="LW3" s="14" t="s">
        <v>12</v>
      </c>
      <c r="LX3" s="14" t="s">
        <v>7</v>
      </c>
      <c r="LY3" s="14" t="s">
        <v>23</v>
      </c>
      <c r="LZ3" s="14" t="s">
        <v>24</v>
      </c>
      <c r="MA3" s="14" t="s">
        <v>12</v>
      </c>
      <c r="MB3" s="14" t="s">
        <v>7</v>
      </c>
      <c r="MC3" s="14" t="s">
        <v>23</v>
      </c>
      <c r="MD3" s="14" t="s">
        <v>24</v>
      </c>
      <c r="ME3" s="14" t="s">
        <v>12</v>
      </c>
      <c r="MF3" s="14" t="s">
        <v>7</v>
      </c>
      <c r="MG3" s="14" t="s">
        <v>23</v>
      </c>
      <c r="MH3" s="14" t="s">
        <v>24</v>
      </c>
      <c r="MI3" s="14" t="s">
        <v>12</v>
      </c>
      <c r="MJ3" s="14" t="s">
        <v>7</v>
      </c>
      <c r="MK3" s="14" t="s">
        <v>23</v>
      </c>
      <c r="ML3" s="14" t="s">
        <v>24</v>
      </c>
      <c r="MM3" s="15" t="s">
        <v>12</v>
      </c>
      <c r="MN3" s="15" t="s">
        <v>7</v>
      </c>
      <c r="MO3" s="15" t="s">
        <v>23</v>
      </c>
      <c r="MP3" s="15" t="s">
        <v>24</v>
      </c>
      <c r="MQ3" s="14"/>
      <c r="MR3" s="14"/>
      <c r="MS3" s="14"/>
      <c r="MT3" s="14"/>
      <c r="MU3" s="14"/>
      <c r="MV3" s="14"/>
      <c r="MW3" s="14"/>
      <c r="MX3" s="14"/>
      <c r="MY3" s="13" t="s">
        <v>12</v>
      </c>
      <c r="MZ3" s="13" t="s">
        <v>7</v>
      </c>
      <c r="NA3" s="13" t="s">
        <v>23</v>
      </c>
      <c r="NB3" s="13" t="s">
        <v>24</v>
      </c>
      <c r="NC3" s="13" t="s">
        <v>12</v>
      </c>
      <c r="ND3" s="13" t="s">
        <v>7</v>
      </c>
      <c r="NE3" s="13" t="s">
        <v>23</v>
      </c>
      <c r="NF3" s="13" t="s">
        <v>24</v>
      </c>
      <c r="NG3" s="13" t="s">
        <v>12</v>
      </c>
      <c r="NH3" s="13" t="s">
        <v>7</v>
      </c>
      <c r="NI3" s="13" t="s">
        <v>23</v>
      </c>
      <c r="NJ3" s="13" t="s">
        <v>24</v>
      </c>
      <c r="NK3" s="13" t="s">
        <v>12</v>
      </c>
      <c r="NL3" s="13" t="s">
        <v>7</v>
      </c>
      <c r="NM3" s="13" t="s">
        <v>23</v>
      </c>
      <c r="NN3" s="13" t="s">
        <v>24</v>
      </c>
      <c r="NO3" s="16" t="s">
        <v>12</v>
      </c>
      <c r="NP3" s="16" t="s">
        <v>7</v>
      </c>
      <c r="NQ3" s="16" t="s">
        <v>23</v>
      </c>
      <c r="NR3" s="16" t="s">
        <v>24</v>
      </c>
      <c r="NS3" s="13"/>
      <c r="NT3" s="13"/>
      <c r="NU3" s="13"/>
      <c r="NV3" s="13"/>
      <c r="NW3" s="13"/>
      <c r="NX3" s="13"/>
      <c r="NY3" s="13"/>
      <c r="NZ3" s="13"/>
      <c r="OA3" s="14" t="s">
        <v>12</v>
      </c>
      <c r="OB3" s="14" t="s">
        <v>7</v>
      </c>
      <c r="OC3" s="14" t="s">
        <v>23</v>
      </c>
      <c r="OD3" s="14" t="s">
        <v>24</v>
      </c>
      <c r="OE3" s="14" t="s">
        <v>12</v>
      </c>
      <c r="OF3" s="14" t="s">
        <v>7</v>
      </c>
      <c r="OG3" s="14" t="s">
        <v>23</v>
      </c>
      <c r="OH3" s="14" t="s">
        <v>24</v>
      </c>
      <c r="OI3" s="14" t="s">
        <v>12</v>
      </c>
      <c r="OJ3" s="14" t="s">
        <v>7</v>
      </c>
      <c r="OK3" s="14" t="s">
        <v>23</v>
      </c>
      <c r="OL3" s="14" t="s">
        <v>24</v>
      </c>
      <c r="OM3" s="14" t="s">
        <v>12</v>
      </c>
      <c r="ON3" s="14" t="s">
        <v>7</v>
      </c>
      <c r="OO3" s="14" t="s">
        <v>23</v>
      </c>
      <c r="OP3" s="14" t="s">
        <v>24</v>
      </c>
      <c r="OQ3" s="15" t="s">
        <v>12</v>
      </c>
      <c r="OR3" s="15" t="s">
        <v>7</v>
      </c>
      <c r="OS3" s="15" t="s">
        <v>23</v>
      </c>
      <c r="OT3" s="15" t="s">
        <v>24</v>
      </c>
      <c r="OU3" s="14"/>
      <c r="OV3" s="14"/>
      <c r="OW3" s="14"/>
      <c r="OX3" s="14"/>
      <c r="OY3" s="14"/>
      <c r="OZ3" s="14"/>
      <c r="PA3" s="14"/>
      <c r="PB3" s="14"/>
      <c r="PC3" s="13" t="s">
        <v>12</v>
      </c>
      <c r="PD3" s="13" t="s">
        <v>7</v>
      </c>
      <c r="PE3" s="13" t="s">
        <v>23</v>
      </c>
      <c r="PF3" s="13" t="s">
        <v>24</v>
      </c>
      <c r="PG3" s="13" t="s">
        <v>12</v>
      </c>
      <c r="PH3" s="13" t="s">
        <v>7</v>
      </c>
      <c r="PI3" s="13" t="s">
        <v>23</v>
      </c>
      <c r="PJ3" s="13" t="s">
        <v>24</v>
      </c>
      <c r="PK3" s="13" t="s">
        <v>12</v>
      </c>
      <c r="PL3" s="13" t="s">
        <v>7</v>
      </c>
      <c r="PM3" s="13" t="s">
        <v>23</v>
      </c>
      <c r="PN3" s="13" t="s">
        <v>24</v>
      </c>
      <c r="PO3" s="13" t="s">
        <v>12</v>
      </c>
      <c r="PP3" s="13" t="s">
        <v>7</v>
      </c>
      <c r="PQ3" s="13" t="s">
        <v>23</v>
      </c>
      <c r="PR3" s="13" t="s">
        <v>24</v>
      </c>
      <c r="PS3" s="16" t="s">
        <v>12</v>
      </c>
      <c r="PT3" s="16" t="s">
        <v>7</v>
      </c>
      <c r="PU3" s="16" t="s">
        <v>23</v>
      </c>
      <c r="PV3" s="16" t="s">
        <v>24</v>
      </c>
      <c r="PW3" s="13"/>
      <c r="PX3" s="13"/>
      <c r="PY3" s="13"/>
      <c r="PZ3" s="13"/>
      <c r="QA3" s="13"/>
      <c r="QB3" s="13"/>
      <c r="QC3" s="13"/>
      <c r="QD3" s="13"/>
      <c r="QE3" s="14" t="s">
        <v>12</v>
      </c>
      <c r="QF3" s="14" t="s">
        <v>7</v>
      </c>
      <c r="QG3" s="14" t="s">
        <v>23</v>
      </c>
      <c r="QH3" s="14" t="s">
        <v>24</v>
      </c>
      <c r="QI3" s="14" t="s">
        <v>12</v>
      </c>
      <c r="QJ3" s="14" t="s">
        <v>7</v>
      </c>
      <c r="QK3" s="14" t="s">
        <v>23</v>
      </c>
      <c r="QL3" s="14" t="s">
        <v>24</v>
      </c>
      <c r="QM3" s="14" t="s">
        <v>12</v>
      </c>
      <c r="QN3" s="14" t="s">
        <v>7</v>
      </c>
      <c r="QO3" s="14" t="s">
        <v>23</v>
      </c>
      <c r="QP3" s="14" t="s">
        <v>24</v>
      </c>
      <c r="QQ3" s="14" t="s">
        <v>12</v>
      </c>
      <c r="QR3" s="14" t="s">
        <v>7</v>
      </c>
      <c r="QS3" s="14" t="s">
        <v>23</v>
      </c>
      <c r="QT3" s="14" t="s">
        <v>24</v>
      </c>
      <c r="QU3" s="21" t="s">
        <v>12</v>
      </c>
      <c r="QV3" s="21" t="s">
        <v>7</v>
      </c>
      <c r="QW3" s="21" t="s">
        <v>23</v>
      </c>
      <c r="QX3" s="21" t="s">
        <v>24</v>
      </c>
      <c r="QY3" s="14" t="s">
        <v>45</v>
      </c>
      <c r="QZ3" s="14"/>
      <c r="RA3" s="14"/>
      <c r="RB3" s="14"/>
      <c r="RC3" s="14"/>
      <c r="RD3" s="14"/>
      <c r="RE3" s="14"/>
      <c r="RF3" s="14"/>
      <c r="RG3" s="14"/>
    </row>
    <row r="4" spans="1:475" x14ac:dyDescent="0.2">
      <c r="A4" s="4">
        <f t="shared" ref="A4:A26" si="0">IF(AND(F4="P",G4="P"),SUMPRODUCT((F$4:F$27="P")*(G$4:G$27="P")*(E$4:E$27&gt;E4))+1,IF(G4="P",SUMPRODUCT((F$4:F$27="")*(G$4:G$27="P")*(E$4:E$27&gt;E4))+1+SUMPRODUCT((F$4:F$27="P")*(G$4:G$27="P")),""))</f>
        <v>1</v>
      </c>
      <c r="B4" s="5" t="s">
        <v>76</v>
      </c>
      <c r="C4" s="4" t="s">
        <v>31</v>
      </c>
      <c r="D4" s="4">
        <v>2002</v>
      </c>
      <c r="E4" s="9">
        <f t="shared" ref="E4:E26" si="1">SUM(J4:R4)+SUM(J4:N4)*0.0000001+SUM(J4)*0.0000000000001</f>
        <v>177.90001263000502</v>
      </c>
      <c r="F4" s="3" t="str">
        <f t="shared" ref="F4:F26" si="2">IF(OR(AND(AP4&gt;=AW$29,AQ4&gt;=AW$33,AP4&lt;&gt;"",AO4=""),AND(AU4&gt;=AW$29,AV4&gt;=AW$33,AU4&lt;&gt;"",AO4=""),AND(BS4&gt;=BZ$29,BT4&gt;=BZ$33,BS4&lt;&gt;"",BR4=""),AND(BX4&gt;=BZ$29,BY4&gt;=BZ$33,BX4&lt;&gt;"",BR4=""),AND(CV4&gt;=DC$29,CW4&gt;=DC$33,CV4&lt;&gt;"",CU4=""),AND(DA4&gt;=DC$29,DB4&gt;=DC$33,DA4&lt;&gt;""),AND(EA4&gt;=EH$29,EB4&gt;=EH$33,EA4&lt;&gt;""),AND(EF4&gt;=EH$29,EG4&gt;=EH$33,EF4&lt;&gt;""),AND(FC4&gt;=FJ$29,FD4&gt;=FJ$33,FC4&lt;&gt;""),AND(FH4&gt;=FJ$29,FI4&gt;=FJ$33,FH4&lt;&gt;""),AND(GE4&gt;=GL$29,GF4&gt;=GL$33,GE4&lt;&gt;""),AND(GJ4&gt;=GL$29,GK4&gt;=GL$33,GJ4&lt;&gt;""),AND(HG4&gt;=HN$29,HH4&gt;=HN$33,HG4&lt;&gt;""),AND(HL4&gt;=HN$29,HM4&gt;=HN$33,HL4&lt;&gt;""),AND(II4&gt;=IP$29,IJ4&gt;=IP$33,II4&lt;&gt;""),AND(IN4&gt;=IP$29,IO4&gt;=IP$33,IN4&lt;&gt;""),AND(JK4&gt;=JR$29,JL4&gt;=JR$33,JK4&lt;&gt;""),AND(JP4&gt;=JR$29,JQ4&gt;=JR$33,JP4&lt;&gt;""),AND(KM4&gt;=KT$29,KN4&gt;=KT$33,KM4&lt;&gt;""),AND(KR4&gt;=KT$29,KS4&gt;=KT$33,KR4&lt;&gt;""),AND(LO4&gt;=LV$29,LP4&gt;=LV$33,LO4&lt;&gt;""),AND(LT4&gt;=LV$29,LU4&gt;=LV$33,LT4&lt;&gt;""),AND(MQ4&gt;=MX$29,MR4&gt;=MX$33,MQ4&lt;&gt;""),AND(MV4&gt;=MX$29,MW4&gt;=MX$33,MV4&lt;&gt;""),AND(NS4&gt;=NZ$29,NT4&gt;=NZ$33,NS4&lt;&gt;""),AND(NX4&gt;=NZ$29,NY4&gt;=NZ$33,NX4&lt;&gt;""),AND(OU4&gt;=PB$29,OV4&gt;=PB$33,OU4&lt;&gt;""),AND(OZ4&gt;=PB$29,PA4&gt;=PB$33,OZ4&lt;&gt;""),AND(PW4&gt;=QD$29,PX4&gt;=QD$33,PW4&lt;&gt;""),AND(QB4&gt;=QD$29,QC4&gt;=QD$33,QB4&lt;&gt;"")),"P","")</f>
        <v>P</v>
      </c>
      <c r="G4" s="3" t="str">
        <f t="shared" ref="G4:G26" si="3">IF(OR(AND(AQ4&gt;=AW$33,AQ4&lt;&gt;"",AO4=""),AND(AV4&gt;=AW$33,AV4&lt;&gt;"",AO4=""),AND(BT4&gt;=BZ$33,BT4&lt;&gt;"",BR4=""),AND(BY4&gt;=BZ$33,BY4&lt;&gt;"",BR4=""),AND(CW4&gt;=DC$33,CW4&lt;&gt;"",CU4=""),AND(DB4&gt;=DC$33,DB4&lt;&gt;"",CU4=""),AND(EB4&gt;=EH$33,EB4&lt;&gt;""),AND(EG4&gt;=EH$33,EG4&lt;&gt;""),AND(FD4&gt;=FJ$33,FD4&lt;&gt;""),AND(FI4&gt;=FJ$33,FI4&lt;&gt;""),AND(GF4&gt;=GL$33,GF4&lt;&gt;""),AND(GK4&gt;=GL$33,GK4&lt;&gt;""),AND(HH4&gt;=HN$33,HH4&lt;&gt;""),AND(HM4&gt;=HN$33,HM4&lt;&gt;""),AND(IJ4&gt;=IP$33,IJ4&lt;&gt;""),AND(IO4&gt;=IP$33,IO4&lt;&gt;""),AND(JL4&gt;=JR$33,JL4&lt;&gt;""),AND(JQ4&gt;=JR$33,JQ4&lt;&gt;""),AND(KN4&gt;=KT$33,KN4&lt;&gt;""),AND(KS4&gt;=KT$33,KS4&lt;&gt;""),AND(LP4&gt;=LV$33,LP4&lt;&gt;""),AND(LU4&gt;=LV$33,LU4&lt;&gt;""),AND(MR4&gt;=MX$33,MR4&lt;&gt;""),AND(MW4&gt;=MX$33,MW4&lt;&gt;""),AND(NT4&gt;=NZ$33,NT4&lt;&gt;""),AND(NY4&gt;=NZ$33,NY4&lt;&gt;""),AND(OV4&gt;=PB$33,OV4&lt;&gt;""),AND(PA4&gt;=PB$33,PA4&lt;&gt;""),AND(PX4&gt;=QD$33,PX4&lt;&gt;""),AND(QC4&gt;=QD$33,QC4&lt;&gt;"")),"P","")</f>
        <v>P</v>
      </c>
      <c r="H4" s="36" t="str">
        <f t="shared" ref="H4:H26" si="4">IF(AND(G4="P",F4=""),"No DD",IF(OR(AND(AS4&gt;=AW$32,AT4&gt;=AW$36,AS4&lt;&gt;"",AO4=""),AND(BV4&gt;=BZ$32,BW4&gt;=BZ$36,BV4&lt;&gt;"",BR4=""),AND(CY4&gt;=DC$32,CZ4&gt;=DC$36,CY4&lt;&gt;"",CU4=""),AND(ED4&gt;=EH$32,EE4&gt;=EH$36,ED4&lt;&gt;""),AND(FF4&gt;=FJ$32,FG4&gt;=FJ$36,FF4&lt;&gt;""),AND(GH4&gt;=GL$32,GI4&gt;=GL$36,GH4&lt;&gt;""),AND(HJ4&gt;=HN$32,HK4&gt;=HN$36,HJ4&lt;&gt;""),AND(IL4&gt;=IP$32,IM4&gt;=IP$36,IL4&lt;&gt;""),AND(JN4&gt;=JR$32,JO4&gt;=JR$36,JN4&lt;&gt;""),AND(KP4&gt;=KT$32,KQ4&gt;=KT$36,KP4&lt;&gt;""),AND(LR4&gt;=LV$32,LS4&gt;=LV$36,LR4&lt;&gt;""),AND(MT4&gt;=MX$32,MU4&gt;=MX$36,MT4&lt;&gt;""),AND(NV4&gt;=NZ$32,NW4&gt;=NZ$36,NV4&lt;&gt;""),AND(OX4&gt;=PB$32,OY4&gt;=PB$36,OX4&lt;&gt;""),AND(PZ4&gt;=QD$32,QA4&gt;=QD$36,PZ4&lt;&gt;"")),"Merit",IF(OR(AND(AS4&gt;=AW$31,AT4&gt;=AW$35,AS4&lt;&gt;"",AO4=""),AND(BV4&gt;=BZ$31,BW4&gt;=BZ$35,BV4&lt;&gt;"",BR4=""),AND(CY4&gt;=DC$31,CZ4&gt;=DC$35,CY4&lt;&gt;"",CU4=""),AND(ED4&gt;=EH$31,EE4&gt;=EH$35,ED4&lt;&gt;""),AND(FF4&gt;=FJ$31,FG4&gt;=FJ$35,FF4&lt;&gt;""),AND(GH4&gt;=GL$31,GI4&gt;=GL$35,GH4&lt;&gt;""),AND(HJ4&gt;=HN$31,HK4&gt;=HN$35,HJ4&lt;&gt;""),AND(IL4&gt;=IP$31,IM4&gt;=IP$35,IL4&lt;&gt;""),AND(JN4&gt;=JR$31,JO4&gt;=JR$35,JN4&lt;&gt;""),AND(KP4&gt;=KT$31,KQ4&gt;=KT$35,KP4&lt;&gt;""),AND(LR4&gt;=LV$31,LS4&gt;=LV$35,LR4&lt;&gt;""),AND(MT4&gt;=MX$31,MU4&gt;=MX$35,MT4&lt;&gt;""),AND(NV4&gt;=NZ$31,NW4&gt;=NZ$35,NV4&lt;&gt;""),AND(OX4&gt;=PB$31,OY4&gt;=PB$35,OX4&lt;&gt;""),AND(PZ4&gt;=QD$31,QA4&gt;=QD$35,PZ4&lt;&gt;"")),"Excellence",IF(I4="P","Worlds Team",IF(F4="P","National Team","")))))</f>
        <v>National Team</v>
      </c>
      <c r="I4" s="3" t="str">
        <f t="shared" ref="I4:I26" si="5">IF(OR(AND(AS4&gt;=AW$30,AT4&gt;=AW$34,AS4&lt;&gt;"",AO4=""),AND(BV4&gt;=BZ$30,BW4&gt;=BZ$34,BV4&lt;&gt;"",BR4=""),AND(CY4&gt;=DC$30,CZ4&gt;=DC$34,CY4&lt;&gt;"",CU4=""),AND(ED4&gt;=EH$30,EE4&gt;=EH$34,ED4&lt;&gt;""),AND(FF4&gt;=FJ$30,FG4&gt;=FJ$34,FF4&lt;&gt;""),AND(GH4&gt;=GL$30,GI4&gt;=GL$34,GH4&lt;&gt;""),AND(HJ4&gt;=HN$30,HK4&gt;=HN$34,HJ4&lt;&gt;""),AND(IL4&gt;=IP$30,IM4&gt;=IP$34,IL4&lt;&gt;""),AND(JN4&gt;=JR$30,JO4&gt;=JR$34,JN4&lt;&gt;""),AND(KP4&gt;=KT$30,KQ4&gt;=KT$34,KP4&lt;&gt;""),AND(LR4&gt;=LV$30,LS4&gt;=LV$34,LR4&lt;&gt;""),AND(MT4&gt;=MX$30,MU4&gt;=MX$34,MT4&lt;&gt;""),AND(NV4&gt;=NZ$30,NW4&gt;=NZ$34,NV4&lt;&gt;""),AND(OX4&gt;=PB$30,OY4&gt;=PB$34,OX4&lt;&gt;""),AND(PZ4&gt;=QD$30,QA4&gt;=QD$34,PZ4&lt;&gt;"")),"P","")</f>
        <v/>
      </c>
      <c r="J4" s="8">
        <f>IF(COUNT(AQ4,BT4,CW4)&gt;0,LARGE((AQ4,BT4,CW4),1),0)</f>
        <v>50.699999999999996</v>
      </c>
      <c r="K4" s="8" t="str">
        <f t="shared" ref="K4:K26" si="6">IF(J4=0,"",IF(J4=CW4,$CA$1,IF(J4=BT4,$AX$1,IF(J4=AQ4,$U$1,""))))</f>
        <v>2022 Nationals</v>
      </c>
      <c r="L4" s="8">
        <f>IF(COUNT(AQ4,BT4,CW4)&gt;1,LARGE((AQ4,BT4,CW4),2),0)</f>
        <v>50.499999999999993</v>
      </c>
      <c r="M4" s="8" t="str">
        <f t="shared" ref="M4:M26" si="7">IF(L4=0,"",IF(L4=CW4,$CA$1,IF(L4=BT4,$AX$1,IF(L4=AQ4,$U$1,""))))</f>
        <v>2023 Elite Canada</v>
      </c>
      <c r="N4" s="8">
        <f>IF(COUNT(AR4,BU4,CX4)&gt;0,LARGE((AR4,BU4,CX4),1),0)</f>
        <v>25.1</v>
      </c>
      <c r="O4" s="8" t="str">
        <f t="shared" ref="O4:O26" si="8">IF(N4=0,"",IF(N4=CX4,$CA$1,IF(N4=BU4,$AX$1,IF(N4=AR4,$U$1,""))))</f>
        <v>2022 3rd Domestic Trial</v>
      </c>
      <c r="P4" s="8">
        <f t="shared" ref="P4:P26" si="9">IF(MAX(AV4,BY4,DB4)&gt;0,MAX(AV4,BY4,DB4),0)</f>
        <v>50.699999999999996</v>
      </c>
      <c r="Q4" s="8" t="str">
        <f t="shared" ref="Q4:Q26" si="10">IF(P4=0,"",IF(P4=DB4,$CA$1,IF(P4=BY4,$AX$1,IF(P4=AV4,$U$1,""))))</f>
        <v>2022 Nationals</v>
      </c>
      <c r="R4" s="8">
        <f t="shared" ref="R4:R26" si="11">IF(MAX(DD4:DF4)&gt;0,MAX(DD4:DF4),"")</f>
        <v>0.89999999999999858</v>
      </c>
      <c r="S4" s="11" t="str">
        <f t="shared" ref="S4:S26" si="12">IF(R4="","",IF(R4=DD4,"("&amp;DD$2&amp;")",IF(R4=DE4,"("&amp;DE$2&amp;")",IF(R4=DF4,"("&amp;DF$2&amp;")"))))</f>
        <v>(Q1)</v>
      </c>
      <c r="T4" s="8" t="str">
        <f t="shared" ref="T4:T26" si="13">IF(R4="","",IF(R4=DD4,IF(R4+IF(L4="",0,L4)=PX4,$PC$1,IF(R4+IF(L4="",0,L4)=OV4,$OA$1,IF(R4+IF(L4="",0,L4)=NT4,$MY$1,IF(R4+IF(L4="",0,L4)=MR4,$LW$1,IF(R4+IF(L4="",0,L4)=LP4,$KU$1,IF(R4+IF(L4="",0,L4)=KN4,$JS$1,IF(R4+IF(L4="",0,L4)=JL4,$IQ$1,IF(R4+IF(L4="",0,L4)=IJ4,$HO$1,IF(R4+IF(L4="",0,L4)=HH4,$GM$1,IF(R4+IF(L4="",0,L4)=GF4,$FK$1,IF(R4+IF(L4="",0,L4)=FD4,$EI$1,IF(R4+IF(L4="",0,L4)=EB4,$DG$1)))))))))))),IF(R4=DE4,IF(R4+IF(N4="",0,N4)=PY4,$PC$1,IF(R4+IF(N4="",0,N4)=OW4,$OA$1,IF(R4+IF(N4="",0,N4)=NU4,$MY$1,IF(R4+IF(N4="",0,N4)=MS4,$LW$1,IF(R4+IF(N4="",0,N4)=LQ4,$KU$1,IF(R4+IF(N4="",0,N4)=KO4,$JS$1,IF(R4+IF(N4="",0,N4)=JM4,$IQ$1,IF(R4+IF(N4="",0,N4)=IK4,$HO$1,IF(R4+IF(N4="",0,N4)=HI4,$GM$1,IF(R4+IF(N4="",0,N4)=GG4,$FK$1,IF(R4+IF(N4="",0,N4)=FE4,$EI$1,IF(R4+IF(N4="",0,N4)=EC4,$DG$1)))))))))))),IF(R4=DF4,IF(R4+IF(P4="",0,P4)=QC4,$PC$1,IF(R4+IF(P4="",0,P4)=PA4,$OA$1,IF(R4+IF(P4="",0,P4)=NY4,$MY$1,IF(R4+IF(P4="",0,P4)=MW4,$LW$1,IF(R4+IF(P4="",0,P4)=LU4,$KU$1,IF(R4+IF(P4="",0,P4)=KS4,$JS$1,IF(R4+IF(P4="",0,P4)=JQ4,$IQ$1,IF(R4+IF(P4="",0,P4)=IO4,$HO$1,IF(R4+IF(P4="",0,P4)=HM4,$GM$1,IF(R4+IF(P4="",0,P4)=GK4,$FK$1,IF(R4+IF(P4="",0,P4)=FI4,$EI$1,IF(R4+IF(P4="",0,P4)=EG4,$DG$1))))))))))))))))</f>
        <v>2022 World Games Technical Trial #2 (May 15)</v>
      </c>
      <c r="U4" s="19">
        <v>18.600000000000001</v>
      </c>
      <c r="V4" s="19">
        <v>6.4</v>
      </c>
      <c r="W4" s="19">
        <v>0</v>
      </c>
      <c r="X4" s="19">
        <v>0</v>
      </c>
      <c r="Y4" s="19">
        <v>18.600000000000001</v>
      </c>
      <c r="Z4" s="19">
        <v>6.8</v>
      </c>
      <c r="AA4" s="19">
        <v>0</v>
      </c>
      <c r="AB4" s="19">
        <v>0.3</v>
      </c>
      <c r="AC4" s="19">
        <v>18.399999999999999</v>
      </c>
      <c r="AD4" s="19">
        <v>6</v>
      </c>
      <c r="AE4" s="19">
        <v>0.2</v>
      </c>
      <c r="AF4" s="19">
        <v>0.3</v>
      </c>
      <c r="AG4" s="19">
        <v>18.600000000000001</v>
      </c>
      <c r="AH4" s="19">
        <v>6.4</v>
      </c>
      <c r="AI4" s="19">
        <v>0</v>
      </c>
      <c r="AJ4" s="19">
        <v>0</v>
      </c>
      <c r="AK4" s="19">
        <v>18.600000000000001</v>
      </c>
      <c r="AL4" s="19">
        <v>6.8</v>
      </c>
      <c r="AM4" s="19">
        <v>0</v>
      </c>
      <c r="AN4" s="19">
        <v>0.3</v>
      </c>
      <c r="AO4" s="27"/>
      <c r="AP4" s="40">
        <f t="shared" ref="AP4:AP26" si="14">IF(SUM(V4,Z4)&gt;0,SUM(V4,Z4),"")</f>
        <v>13.2</v>
      </c>
      <c r="AQ4" s="40">
        <f t="shared" ref="AQ4:AQ26" si="15">IF(SUM(U4:V4,X4:Z4,AB4)-W4-AA4&gt;0,SUM(U4:V4,X4:Z4,AB4)-W4-AA4,"")</f>
        <v>50.699999999999996</v>
      </c>
      <c r="AR4" s="40">
        <f t="shared" ref="AR4:AR26" si="16">IF(SUM(AC4:AD4,AF4)-AE4&gt;0,SUM(AC4:AD4,AF4)-AE4,"")</f>
        <v>24.5</v>
      </c>
      <c r="AS4" s="40">
        <f t="shared" ref="AS4:AS26" si="17">IF(SUM(V4,Z4,AD4)&gt;0,SUM(V4,Z4,AD4),"")</f>
        <v>19.2</v>
      </c>
      <c r="AT4" s="40">
        <f t="shared" ref="AT4:AT26" si="18">IF(SUM(AQ4,AR4)&gt;0,SUM(AQ4,AR4),"")</f>
        <v>75.199999999999989</v>
      </c>
      <c r="AU4" s="40">
        <f t="shared" ref="AU4:AU26" si="19">IF(SUM(AH4,AL4)&gt;0,SUM(AH4,AL4),"")</f>
        <v>13.2</v>
      </c>
      <c r="AV4" s="40">
        <f t="shared" ref="AV4:AV26" si="20">IF(SUM(AG4:AH4,AJ4:AL4,AN4)-SUM(AI4,AM4)&gt;0,SUM(AG4:AH4,AJ4:AL4,AN4)-SUM(AI4,AM4),"")</f>
        <v>50.699999999999996</v>
      </c>
      <c r="AW4" s="40">
        <f t="shared" ref="AW4:AW26" si="21">IF(SUM(AQ4,AV4)&gt;0,SUM(AQ4,AV4),"")</f>
        <v>101.39999999999999</v>
      </c>
      <c r="AX4" s="18">
        <v>18.7</v>
      </c>
      <c r="AY4" s="18">
        <v>5.6</v>
      </c>
      <c r="AZ4" s="18">
        <v>0.2</v>
      </c>
      <c r="BA4" s="18">
        <v>0</v>
      </c>
      <c r="BB4" s="18">
        <v>18.2</v>
      </c>
      <c r="BC4" s="18">
        <v>6</v>
      </c>
      <c r="BD4" s="18">
        <v>0.8</v>
      </c>
      <c r="BE4" s="18">
        <v>0.3</v>
      </c>
      <c r="BF4" s="18">
        <v>18.7</v>
      </c>
      <c r="BG4" s="18">
        <v>6.4</v>
      </c>
      <c r="BH4" s="18">
        <v>0</v>
      </c>
      <c r="BI4" s="18">
        <v>0</v>
      </c>
      <c r="BJ4" s="18">
        <v>18.600000000000001</v>
      </c>
      <c r="BK4" s="18">
        <v>6.4</v>
      </c>
      <c r="BL4" s="18">
        <v>0</v>
      </c>
      <c r="BM4" s="18">
        <v>0</v>
      </c>
      <c r="BN4" s="18">
        <v>18.7</v>
      </c>
      <c r="BO4" s="18">
        <v>5.2</v>
      </c>
      <c r="BP4" s="18">
        <v>0.2</v>
      </c>
      <c r="BQ4" s="18">
        <v>0</v>
      </c>
      <c r="BR4" s="28"/>
      <c r="BS4" s="11">
        <f t="shared" ref="BS4:BS26" si="22">IF(SUM(AY4,BC4)&gt;0,SUM(AY4,BC4),"")</f>
        <v>11.6</v>
      </c>
      <c r="BT4" s="11">
        <f t="shared" ref="BT4:BT26" si="23">IF(SUM(AX4:AY4,BA4:BC4,BE4)-AZ4-BD4&gt;0,SUM(AX4:AY4,BA4:BC4,BE4)-AZ4-BD4,"")</f>
        <v>47.8</v>
      </c>
      <c r="BU4" s="11">
        <f t="shared" ref="BU4:BU26" si="24">IF(SUM(BF4:BG4,BI4)-BH4&gt;0,SUM(BF4:BG4,BI4)-BH4,"")</f>
        <v>25.1</v>
      </c>
      <c r="BV4" s="11">
        <f t="shared" ref="BV4:BV26" si="25">IF(SUM(AY4,BC4,BG4)&gt;0,SUM(AY4,BC4,BG4),"")</f>
        <v>18</v>
      </c>
      <c r="BW4" s="11">
        <f t="shared" ref="BW4:BW26" si="26">IF(SUM(BT4,BU4)&gt;0,SUM(BT4,BU4),"")</f>
        <v>72.900000000000006</v>
      </c>
      <c r="BX4" s="11">
        <f t="shared" ref="BX4:BX26" si="27">IF(SUM(BK4,BO4)&gt;0,SUM(BK4,BO4),"")</f>
        <v>11.600000000000001</v>
      </c>
      <c r="BY4" s="11">
        <f t="shared" ref="BY4:BY26" si="28">IF(SUM(BJ4:BK4,BM4:BO4,BQ4)-SUM(BL4,BP4)&gt;0,SUM(BJ4:BK4,BM4:BO4,BQ4)-SUM(BL4,BP4),"")</f>
        <v>48.7</v>
      </c>
      <c r="BZ4" s="11">
        <f t="shared" ref="BZ4:BZ26" si="29">IF(SUM(BT4,BY4)&gt;0,SUM(BT4,BY4),"")</f>
        <v>96.5</v>
      </c>
      <c r="CA4" s="19">
        <v>18.600000000000001</v>
      </c>
      <c r="CB4" s="19">
        <v>6.4</v>
      </c>
      <c r="CC4" s="19">
        <v>0</v>
      </c>
      <c r="CD4" s="19">
        <v>0</v>
      </c>
      <c r="CE4" s="19">
        <v>18.399999999999999</v>
      </c>
      <c r="CF4" s="19">
        <v>6.8</v>
      </c>
      <c r="CG4" s="19">
        <v>0</v>
      </c>
      <c r="CH4" s="19">
        <v>0.3</v>
      </c>
      <c r="CI4" s="19">
        <v>16.2</v>
      </c>
      <c r="CJ4" s="19">
        <v>5.2</v>
      </c>
      <c r="CK4" s="19">
        <v>0.2</v>
      </c>
      <c r="CL4" s="19">
        <v>0.3</v>
      </c>
      <c r="CM4" s="19">
        <v>18.399999999999999</v>
      </c>
      <c r="CN4" s="19">
        <v>6.4</v>
      </c>
      <c r="CO4" s="19">
        <v>0.2</v>
      </c>
      <c r="CP4" s="19">
        <v>0</v>
      </c>
      <c r="CQ4" s="19">
        <v>18.5</v>
      </c>
      <c r="CR4" s="19">
        <v>6.8</v>
      </c>
      <c r="CS4" s="19">
        <v>0.2</v>
      </c>
      <c r="CT4" s="19">
        <v>0.3</v>
      </c>
      <c r="CU4" s="27"/>
      <c r="CV4" s="40">
        <f t="shared" ref="CV4:CV26" si="30">IF(SUM(CB4,CF4)&gt;0,SUM(CB4,CF4),"")</f>
        <v>13.2</v>
      </c>
      <c r="CW4" s="40">
        <f t="shared" ref="CW4:CW26" si="31">IF(SUM(CA4:CB4,CD4:CF4,CH4)-CC4-CG4&gt;0,SUM(CA4:CB4,CD4:CF4,CH4)-CC4-CG4,"")</f>
        <v>50.499999999999993</v>
      </c>
      <c r="CX4" s="40">
        <f t="shared" ref="CX4:CX26" si="32">IF(SUM(CI4:CJ4,CL4)-CK4&gt;0,SUM(CI4:CJ4,CL4)-CK4,"")</f>
        <v>21.5</v>
      </c>
      <c r="CY4" s="40">
        <f t="shared" ref="CY4:CY26" si="33">IF(SUM(CB4,CF4,CJ4)&gt;0,SUM(CB4,CF4,CJ4),"")</f>
        <v>18.399999999999999</v>
      </c>
      <c r="CZ4" s="40">
        <f t="shared" ref="CZ4:CZ26" si="34">IF(SUM(CW4,CX4)&gt;0,SUM(CW4,CX4),"")</f>
        <v>72</v>
      </c>
      <c r="DA4" s="40">
        <f t="shared" ref="DA4:DA26" si="35">IF(SUM(CN4,CR4)&gt;0,SUM(CN4,CR4),"")</f>
        <v>13.2</v>
      </c>
      <c r="DB4" s="40">
        <f t="shared" ref="DB4:DB26" si="36">IF(SUM(CM4:CN4,CP4:CR4,CT4)-SUM(CO4,CS4)&gt;0,SUM(CM4:CN4,CP4:CR4,CT4)-SUM(CO4,CS4),"")</f>
        <v>49.999999999999993</v>
      </c>
      <c r="DC4" s="40">
        <f t="shared" ref="DC4:DC26" si="37">IF(SUM(CW4,DB4)&gt;0,SUM(CW4,DB4),"")</f>
        <v>100.49999999999999</v>
      </c>
      <c r="DD4" s="50">
        <f t="shared" ref="DD4:DD26" si="38">IF(MAX(EB4,FD4,GF4,HH4,IJ4,JL4,KN4,LP4,MR4,NT4,OV4,PX4)-IF(L4="",0,L4)&gt;0.001,MAX(EB4,FD4,GF4,HH4,IJ4,JL4,KN4,LP4,MR4,NT4,OV4,PX4)-IF(L4="",0,L4),"")</f>
        <v>0.89999999999999858</v>
      </c>
      <c r="DE4" s="50" t="str">
        <f t="shared" ref="DE4:DE26" si="39">IF(MAX(EC4,FE4,GG4,HI4,IK4,JM4,KO4,LQ4,MS4,NU4,OW4,PY4)-IF(N4="",0,N4)&gt;0.001,MAX(EC4,FE4,GG4,HI4,IK4,JM4,KO4,LQ4,MS4,NU4,OW4,PY4)-IF(N4="",0,N4),"")</f>
        <v/>
      </c>
      <c r="DF4" s="50" t="str">
        <f t="shared" ref="DF4:DF26" si="40">IF(MAX(EG4,FI4,GK4,HM4,IO4,JQ4,KS4,LU4,MW4,NY4,PA4,QC4)-IF(P4="",0,P4)&gt;0.001,MAX(EG4,FI4,GK4,HM4,IO4,JQ4,KS4,LU4,MW4,NY4,PA4,QC4)-IF(P4="",0,P4),"")</f>
        <v/>
      </c>
      <c r="DG4" s="17">
        <v>18.600000000000001</v>
      </c>
      <c r="DH4" s="17">
        <v>7.2</v>
      </c>
      <c r="DI4" s="17">
        <v>0</v>
      </c>
      <c r="DJ4" s="17">
        <v>0.3</v>
      </c>
      <c r="DK4" s="17">
        <v>18.399999999999999</v>
      </c>
      <c r="DL4" s="17">
        <v>6.8</v>
      </c>
      <c r="DM4" s="17">
        <v>0.2</v>
      </c>
      <c r="DN4" s="17">
        <v>0.3</v>
      </c>
      <c r="DO4" s="17"/>
      <c r="DP4" s="17"/>
      <c r="DQ4" s="17"/>
      <c r="DR4" s="17"/>
      <c r="DS4" s="17">
        <v>17.399999999999999</v>
      </c>
      <c r="DT4" s="17">
        <v>2.8</v>
      </c>
      <c r="DU4" s="17">
        <v>0</v>
      </c>
      <c r="DV4" s="17">
        <v>0</v>
      </c>
      <c r="DW4" s="17">
        <v>17.2</v>
      </c>
      <c r="DX4" s="17">
        <v>3.2</v>
      </c>
      <c r="DY4" s="17">
        <v>0</v>
      </c>
      <c r="DZ4" s="17">
        <v>0.3</v>
      </c>
      <c r="EA4" s="40">
        <f t="shared" ref="EA4:EA26" si="41">IF(SUM(DH4,DL4)&gt;0,SUM(DH4,DL4),"")</f>
        <v>14</v>
      </c>
      <c r="EB4" s="40">
        <f t="shared" ref="EB4:EB26" si="42">IF(SUM(DG4:DH4,DJ4:DL4,DN4)-DI4-DM4&gt;0,SUM(DG4:DH4,DJ4:DL4,DN4)-DI4-DM4,"")</f>
        <v>51.399999999999991</v>
      </c>
      <c r="EC4" s="40" t="str">
        <f t="shared" ref="EC4:EC26" si="43">IF(SUM(DO4:DP4,DR4)-DQ4&gt;0,SUM(DO4:DP4,DR4)-DQ4,"")</f>
        <v/>
      </c>
      <c r="ED4" s="40">
        <f t="shared" ref="ED4:ED26" si="44">IF(SUM(DH4,DL4,DP4)&gt;0,SUM(DH4,DL4,DP4),"")</f>
        <v>14</v>
      </c>
      <c r="EE4" s="40">
        <f t="shared" ref="EE4:EE26" si="45">IF(SUM(EB4,EC4)&gt;0,SUM(EB4,EC4),"")</f>
        <v>51.399999999999991</v>
      </c>
      <c r="EF4" s="40">
        <f t="shared" ref="EF4:EF26" si="46">IF(SUM(DT4,DX4)&gt;0,SUM(DT4,DX4),"")</f>
        <v>6</v>
      </c>
      <c r="EG4" s="40">
        <f t="shared" ref="EG4:EG26" si="47">IF(SUM(DS4:DT4,DV4:DX4,DZ4)-SUM(DU4,DY4)&gt;0,SUM(DS4:DT4,DV4:DX4,DZ4)-SUM(DU4,DY4),"")</f>
        <v>40.9</v>
      </c>
      <c r="EH4" s="40">
        <f t="shared" ref="EH4:EH26" si="48">IF(SUM(EB4,EG4)&gt;0,SUM(EB4,EG4),"")</f>
        <v>92.299999999999983</v>
      </c>
      <c r="EI4" s="18">
        <v>18.5</v>
      </c>
      <c r="EJ4" s="18">
        <v>6.4</v>
      </c>
      <c r="EK4" s="18">
        <v>0.2</v>
      </c>
      <c r="EL4" s="18">
        <v>0</v>
      </c>
      <c r="EM4" s="18">
        <v>17.8</v>
      </c>
      <c r="EN4" s="18">
        <v>5.2</v>
      </c>
      <c r="EO4" s="18">
        <v>0.2</v>
      </c>
      <c r="EP4" s="18">
        <v>0</v>
      </c>
      <c r="EQ4" s="18"/>
      <c r="ER4" s="18"/>
      <c r="ES4" s="18"/>
      <c r="ET4" s="18"/>
      <c r="EU4" s="18"/>
      <c r="EV4" s="18"/>
      <c r="EW4" s="18"/>
      <c r="EX4" s="18"/>
      <c r="EY4" s="18"/>
      <c r="EZ4" s="18"/>
      <c r="FA4" s="18"/>
      <c r="FB4" s="18"/>
      <c r="FC4" s="11">
        <f t="shared" ref="FC4:FC26" si="49">IF(SUM(EJ4,EN4)&gt;0,SUM(EJ4,EN4),"")</f>
        <v>11.600000000000001</v>
      </c>
      <c r="FD4" s="11">
        <f t="shared" ref="FD4:FD26" si="50">IF(SUM(EI4:EJ4,EL4:EN4,EP4)-EK4-EO4&gt;0,SUM(EI4:EJ4,EL4:EN4,EP4)-EK4-EO4,"")</f>
        <v>47.5</v>
      </c>
      <c r="FE4" s="11" t="str">
        <f t="shared" ref="FE4:FE26" si="51">IF(SUM(EQ4:ER4,ET4)-ES4&gt;0,SUM(EQ4:ER4,ET4)-ES4,"")</f>
        <v/>
      </c>
      <c r="FF4" s="11">
        <f t="shared" ref="FF4:FF26" si="52">IF(SUM(EJ4,EN4,ER4)&gt;0,SUM(EJ4,EN4,ER4),"")</f>
        <v>11.600000000000001</v>
      </c>
      <c r="FG4" s="11">
        <f t="shared" ref="FG4:FG26" si="53">IF(SUM(FD4,FE4)&gt;0,SUM(FD4,FE4),"")</f>
        <v>47.5</v>
      </c>
      <c r="FH4" s="11" t="str">
        <f t="shared" ref="FH4:FH26" si="54">IF(SUM(EV4,EZ4)&gt;0,SUM(EV4,EZ4),"")</f>
        <v/>
      </c>
      <c r="FI4" s="11" t="str">
        <f t="shared" ref="FI4:FI26" si="55">IF(SUM(EU4:EV4,EX4:EZ4,FB4)-SUM(EW4,FA4)&gt;0,SUM(EU4:EV4,EX4:EZ4,FB4)-SUM(EW4,FA4),"")</f>
        <v/>
      </c>
      <c r="FJ4" s="11">
        <f t="shared" ref="FJ4:FJ26" si="56">IF(SUM(FD4,FI4)&gt;0,SUM(FD4,FI4),"")</f>
        <v>47.5</v>
      </c>
      <c r="FK4" s="17">
        <v>18.600000000000001</v>
      </c>
      <c r="FL4" s="17">
        <v>6.4</v>
      </c>
      <c r="FM4" s="17">
        <v>0.2</v>
      </c>
      <c r="FN4" s="17">
        <v>0</v>
      </c>
      <c r="FO4" s="17">
        <v>17.399999999999999</v>
      </c>
      <c r="FP4" s="17">
        <v>2.4</v>
      </c>
      <c r="FQ4" s="17">
        <v>0</v>
      </c>
      <c r="FR4" s="17">
        <v>0</v>
      </c>
      <c r="FS4" s="17"/>
      <c r="FT4" s="17"/>
      <c r="FU4" s="17"/>
      <c r="FV4" s="17"/>
      <c r="FW4" s="17"/>
      <c r="FX4" s="17"/>
      <c r="FY4" s="17"/>
      <c r="FZ4" s="17"/>
      <c r="GA4" s="17"/>
      <c r="GB4" s="17"/>
      <c r="GC4" s="17"/>
      <c r="GD4" s="17"/>
      <c r="GE4" s="40">
        <f t="shared" ref="GE4:GE26" si="57">IF(SUM(FL4,FP4)&gt;0,SUM(FL4,FP4),"")</f>
        <v>8.8000000000000007</v>
      </c>
      <c r="GF4" s="40">
        <f t="shared" ref="GF4:GF26" si="58">IF(SUM(FK4:FL4,FN4:FP4,FR4)-FM4-FQ4&gt;0,SUM(FK4:FL4,FN4:FP4,FR4)-FM4-FQ4,"")</f>
        <v>44.599999999999994</v>
      </c>
      <c r="GG4" s="40" t="str">
        <f t="shared" ref="GG4:GG26" si="59">IF(SUM(FS4:FT4,FV4)-FU4&gt;0,SUM(FS4:FT4,FV4)-FU4,"")</f>
        <v/>
      </c>
      <c r="GH4" s="40">
        <f t="shared" ref="GH4:GH26" si="60">IF(SUM(FL4,FP4,FT4)&gt;0,SUM(FL4,FP4,FT4),"")</f>
        <v>8.8000000000000007</v>
      </c>
      <c r="GI4" s="40">
        <f t="shared" ref="GI4:GI26" si="61">IF(SUM(GF4,GG4)&gt;0,SUM(GF4,GG4),"")</f>
        <v>44.599999999999994</v>
      </c>
      <c r="GJ4" s="40" t="str">
        <f t="shared" ref="GJ4:GJ26" si="62">IF(SUM(FX4,GB4)&gt;0,SUM(FX4,GB4),"")</f>
        <v/>
      </c>
      <c r="GK4" s="40" t="str">
        <f t="shared" ref="GK4:GK26" si="63">IF(SUM(FW4:FX4,FZ4:GB4,GD4)-SUM(FY4,GC4)&gt;0,SUM(FW4:FX4,FZ4:GB4,GD4)-SUM(FY4,GC4),"")</f>
        <v/>
      </c>
      <c r="GL4" s="40">
        <f t="shared" ref="GL4:GL26" si="64">IF(SUM(GF4,GK4)&gt;0,SUM(GF4,GK4),"")</f>
        <v>44.599999999999994</v>
      </c>
      <c r="GM4" s="18"/>
      <c r="GN4" s="18"/>
      <c r="GO4" s="18"/>
      <c r="GP4" s="18"/>
      <c r="GQ4" s="18"/>
      <c r="GR4" s="18"/>
      <c r="GS4" s="18"/>
      <c r="GT4" s="18"/>
      <c r="GU4" s="18"/>
      <c r="GV4" s="18"/>
      <c r="GW4" s="18"/>
      <c r="GX4" s="18"/>
      <c r="GY4" s="18"/>
      <c r="GZ4" s="18"/>
      <c r="HA4" s="18"/>
      <c r="HB4" s="18"/>
      <c r="HC4" s="18"/>
      <c r="HD4" s="18"/>
      <c r="HE4" s="18"/>
      <c r="HF4" s="18"/>
      <c r="HG4" s="11" t="str">
        <f t="shared" ref="HG4:HG26" si="65">IF(SUM(GN4,GR4)&gt;0,SUM(GN4,GR4),"")</f>
        <v/>
      </c>
      <c r="HH4" s="11" t="str">
        <f t="shared" ref="HH4:HH26" si="66">IF(SUM(GM4:GN4,GP4:GR4,GT4)-GO4-GS4&gt;0,SUM(GM4:GN4,GP4:GR4,GT4)-GO4-GS4,"")</f>
        <v/>
      </c>
      <c r="HI4" s="11" t="str">
        <f t="shared" ref="HI4:HI26" si="67">IF(SUM(GU4:GV4,GX4)-GW4&gt;0,SUM(GU4:GV4,GX4)-GW4,"")</f>
        <v/>
      </c>
      <c r="HJ4" s="11" t="str">
        <f t="shared" ref="HJ4:HJ26" si="68">IF(SUM(GN4,GR4,GV4)&gt;0,SUM(GN4,GR4,GV4),"")</f>
        <v/>
      </c>
      <c r="HK4" s="11" t="str">
        <f t="shared" ref="HK4:HK26" si="69">IF(SUM(HH4,HI4)&gt;0,SUM(HH4,HI4),"")</f>
        <v/>
      </c>
      <c r="HL4" s="11" t="str">
        <f t="shared" ref="HL4:HL26" si="70">IF(SUM(GZ4,HD4)&gt;0,SUM(GZ4,HD4),"")</f>
        <v/>
      </c>
      <c r="HM4" s="11" t="str">
        <f t="shared" ref="HM4:HM26" si="71">IF(SUM(GY4:GZ4,HB4:HD4,HF4)-SUM(HA4,HE4)&gt;0,SUM(GY4:GZ4,HB4:HD4,HF4)-SUM(HA4,HE4),"")</f>
        <v/>
      </c>
      <c r="HN4" s="11" t="str">
        <f t="shared" ref="HN4:HN26" si="72">IF(SUM(HH4,HM4)&gt;0,SUM(HH4,HM4),"")</f>
        <v/>
      </c>
      <c r="HO4" s="17">
        <v>18.2</v>
      </c>
      <c r="HP4" s="17">
        <v>7.2</v>
      </c>
      <c r="HQ4" s="17">
        <v>0.2</v>
      </c>
      <c r="HR4" s="17">
        <v>0</v>
      </c>
      <c r="HS4" s="17">
        <v>17.600000000000001</v>
      </c>
      <c r="HT4" s="17">
        <v>6</v>
      </c>
      <c r="HU4" s="17">
        <v>0.8</v>
      </c>
      <c r="HV4" s="17">
        <v>0</v>
      </c>
      <c r="HW4" s="17"/>
      <c r="HX4" s="17"/>
      <c r="HY4" s="17"/>
      <c r="HZ4" s="17"/>
      <c r="IA4" s="17"/>
      <c r="IB4" s="17"/>
      <c r="IC4" s="17"/>
      <c r="ID4" s="17"/>
      <c r="IE4" s="17"/>
      <c r="IF4" s="17"/>
      <c r="IG4" s="17"/>
      <c r="IH4" s="17"/>
      <c r="II4" s="40">
        <f t="shared" ref="II4:II26" si="73">IF(SUM(HP4,HT4)&gt;0,SUM(HP4,HT4),"")</f>
        <v>13.2</v>
      </c>
      <c r="IJ4" s="40">
        <f t="shared" ref="IJ4:IJ26" si="74">IF(SUM(HO4:HP4,HR4:HT4,HV4)-HQ4-HU4&gt;0,SUM(HO4:HP4,HR4:HT4,HV4)-HQ4-HU4,"")</f>
        <v>48</v>
      </c>
      <c r="IK4" s="40" t="str">
        <f t="shared" ref="IK4:IK26" si="75">IF(SUM(HW4:HX4,HZ4)-HY4&gt;0,SUM(HW4:HX4,HZ4)-HY4,"")</f>
        <v/>
      </c>
      <c r="IL4" s="40">
        <f t="shared" ref="IL4:IL26" si="76">IF(SUM(HP4,HT4,HX4)&gt;0,SUM(HP4,HT4,HX4),"")</f>
        <v>13.2</v>
      </c>
      <c r="IM4" s="40">
        <f t="shared" ref="IM4:IM26" si="77">IF(SUM(IJ4,IK4)&gt;0,SUM(IJ4,IK4),"")</f>
        <v>48</v>
      </c>
      <c r="IN4" s="40" t="str">
        <f t="shared" ref="IN4:IN26" si="78">IF(SUM(IB4,IF4)&gt;0,SUM(IB4,IF4),"")</f>
        <v/>
      </c>
      <c r="IO4" s="40" t="str">
        <f t="shared" ref="IO4:IO26" si="79">IF(SUM(IA4:IB4,ID4:IF4,IH4)-SUM(IC4,IG4)&gt;0,SUM(IA4:IB4,ID4:IF4,IH4)-SUM(IC4,IG4),"")</f>
        <v/>
      </c>
      <c r="IP4" s="40">
        <f t="shared" ref="IP4:IP26" si="80">IF(SUM(IJ4,IO4)&gt;0,SUM(IJ4,IO4),"")</f>
        <v>48</v>
      </c>
      <c r="IQ4" s="18"/>
      <c r="IR4" s="18"/>
      <c r="IS4" s="18"/>
      <c r="IT4" s="18"/>
      <c r="IU4" s="18"/>
      <c r="IV4" s="18"/>
      <c r="IW4" s="18"/>
      <c r="IX4" s="18"/>
      <c r="IY4" s="18"/>
      <c r="IZ4" s="18"/>
      <c r="JA4" s="18"/>
      <c r="JB4" s="18"/>
      <c r="JC4" s="18"/>
      <c r="JD4" s="18"/>
      <c r="JE4" s="18"/>
      <c r="JF4" s="18"/>
      <c r="JG4" s="18">
        <v>17.8</v>
      </c>
      <c r="JH4" s="18">
        <v>7.2</v>
      </c>
      <c r="JI4" s="18">
        <v>0.2</v>
      </c>
      <c r="JJ4" s="18">
        <v>0</v>
      </c>
      <c r="JK4" s="11" t="str">
        <f t="shared" ref="JK4:JK26" si="81">IF(SUM(IR4,IV4)&gt;0,SUM(IR4,IV4),"")</f>
        <v/>
      </c>
      <c r="JL4" s="11" t="str">
        <f t="shared" ref="JL4:JL26" si="82">IF(SUM(IQ4:IR4,IT4:IV4,IX4)-IS4-IW4&gt;0,SUM(IQ4:IR4,IT4:IV4,IX4)-IS4-IW4,"")</f>
        <v/>
      </c>
      <c r="JM4" s="11" t="str">
        <f t="shared" ref="JM4:JM26" si="83">IF(SUM(IY4:IZ4,JB4)-JA4&gt;0,SUM(IY4:IZ4,JB4)-JA4,"")</f>
        <v/>
      </c>
      <c r="JN4" s="11" t="str">
        <f t="shared" ref="JN4:JN26" si="84">IF(SUM(IR4,IV4,IZ4)&gt;0,SUM(IR4,IV4,IZ4),"")</f>
        <v/>
      </c>
      <c r="JO4" s="11" t="str">
        <f t="shared" ref="JO4:JO26" si="85">IF(SUM(JL4,JM4)&gt;0,SUM(JL4,JM4),"")</f>
        <v/>
      </c>
      <c r="JP4" s="11">
        <f t="shared" ref="JP4:JP26" si="86">IF(SUM(JD4,JH4)&gt;0,SUM(JD4,JH4),"")</f>
        <v>7.2</v>
      </c>
      <c r="JQ4" s="11">
        <f t="shared" ref="JQ4:JQ26" si="87">IF(SUM(JC4:JD4,JF4:JH4,JJ4)-SUM(JE4,JI4)&gt;0,SUM(JC4:JD4,JF4:JH4,JJ4)-SUM(JE4,JI4),"")</f>
        <v>24.8</v>
      </c>
      <c r="JR4" s="11">
        <f t="shared" ref="JR4:JR26" si="88">IF(SUM(JL4,JQ4)&gt;0,SUM(JL4,JQ4),"")</f>
        <v>24.8</v>
      </c>
      <c r="JS4" s="17"/>
      <c r="JT4" s="17"/>
      <c r="JU4" s="17"/>
      <c r="JV4" s="17"/>
      <c r="JW4" s="17"/>
      <c r="JX4" s="17"/>
      <c r="JY4" s="17"/>
      <c r="JZ4" s="17"/>
      <c r="KA4" s="17"/>
      <c r="KB4" s="17"/>
      <c r="KC4" s="17"/>
      <c r="KD4" s="17"/>
      <c r="KE4" s="17"/>
      <c r="KF4" s="17"/>
      <c r="KG4" s="17"/>
      <c r="KH4" s="17"/>
      <c r="KI4" s="17"/>
      <c r="KJ4" s="17"/>
      <c r="KK4" s="17"/>
      <c r="KL4" s="17"/>
      <c r="KM4" s="40" t="str">
        <f t="shared" ref="KM4:KM26" si="89">IF(SUM(JT4,JX4)&gt;0,SUM(JT4,JX4),"")</f>
        <v/>
      </c>
      <c r="KN4" s="40" t="str">
        <f t="shared" ref="KN4:KN26" si="90">IF(SUM(JS4:JT4,JV4:JX4,JZ4)-JU4-JY4&gt;0,SUM(JS4:JT4,JV4:JX4,JZ4)-JU4-JY4,"")</f>
        <v/>
      </c>
      <c r="KO4" s="40" t="str">
        <f t="shared" ref="KO4:KO26" si="91">IF(SUM(KA4:KB4,KD4)-KC4&gt;0,SUM(KA4:KB4,KD4)-KC4,"")</f>
        <v/>
      </c>
      <c r="KP4" s="40" t="str">
        <f t="shared" ref="KP4:KP26" si="92">IF(SUM(JT4,JX4,KB4)&gt;0,SUM(JT4,JX4,KB4),"")</f>
        <v/>
      </c>
      <c r="KQ4" s="40" t="str">
        <f t="shared" ref="KQ4:KQ26" si="93">IF(SUM(KN4,KO4)&gt;0,SUM(KN4,KO4),"")</f>
        <v/>
      </c>
      <c r="KR4" s="40" t="str">
        <f t="shared" ref="KR4:KR26" si="94">IF(SUM(KF4,KJ4)&gt;0,SUM(KF4,KJ4),"")</f>
        <v/>
      </c>
      <c r="KS4" s="40" t="str">
        <f t="shared" ref="KS4:KS26" si="95">IF(SUM(KE4:KF4,KH4:KJ4,KL4)-SUM(KG4,KK4)&gt;0,SUM(KE4:KF4,KH4:KJ4,KL4)-SUM(KG4,KK4),"")</f>
        <v/>
      </c>
      <c r="KT4" s="40" t="str">
        <f t="shared" ref="KT4:KT26" si="96">IF(SUM(KN4,KS4)&gt;0,SUM(KN4,KS4),"")</f>
        <v/>
      </c>
      <c r="KU4" s="18"/>
      <c r="KV4" s="18"/>
      <c r="KW4" s="18"/>
      <c r="KX4" s="18"/>
      <c r="KY4" s="18"/>
      <c r="KZ4" s="18"/>
      <c r="LA4" s="18"/>
      <c r="LB4" s="18"/>
      <c r="LC4" s="18"/>
      <c r="LD4" s="18"/>
      <c r="LE4" s="18"/>
      <c r="LF4" s="18"/>
      <c r="LG4" s="18"/>
      <c r="LH4" s="18"/>
      <c r="LI4" s="18"/>
      <c r="LJ4" s="18"/>
      <c r="LK4" s="18"/>
      <c r="LL4" s="18"/>
      <c r="LM4" s="18"/>
      <c r="LN4" s="18"/>
      <c r="LO4" s="11" t="str">
        <f t="shared" ref="LO4:LO26" si="97">IF(SUM(KV4,KZ4)&gt;0,SUM(KV4,KZ4),"")</f>
        <v/>
      </c>
      <c r="LP4" s="11" t="str">
        <f t="shared" ref="LP4:LP26" si="98">IF(SUM(KU4:KV4,KX4:KZ4,LB4)-KW4-LA4&gt;0,SUM(KU4:KV4,KX4:KZ4,LB4)-KW4-LA4,"")</f>
        <v/>
      </c>
      <c r="LQ4" s="11" t="str">
        <f t="shared" ref="LQ4:LQ26" si="99">IF(SUM(LC4:LD4,LF4)-LE4&gt;0,SUM(LC4:LD4,LF4)-LE4,"")</f>
        <v/>
      </c>
      <c r="LR4" s="11" t="str">
        <f t="shared" ref="LR4:LR26" si="100">IF(SUM(KV4,KZ4,LD4)&gt;0,SUM(KV4,KZ4,LD4),"")</f>
        <v/>
      </c>
      <c r="LS4" s="11" t="str">
        <f t="shared" ref="LS4:LS26" si="101">IF(SUM(LP4,LQ4)&gt;0,SUM(LP4,LQ4),"")</f>
        <v/>
      </c>
      <c r="LT4" s="11" t="str">
        <f t="shared" ref="LT4:LT26" si="102">IF(SUM(LH4,LL4)&gt;0,SUM(LH4,LL4),"")</f>
        <v/>
      </c>
      <c r="LU4" s="11" t="str">
        <f t="shared" ref="LU4:LU26" si="103">IF(SUM(LG4:LH4,LJ4:LL4,LN4)-SUM(LI4,LM4)&gt;0,SUM(LG4:LH4,LJ4:LL4,LN4)-SUM(LI4,LM4),"")</f>
        <v/>
      </c>
      <c r="LV4" s="11" t="str">
        <f t="shared" ref="LV4:LV26" si="104">IF(SUM(LP4,LU4)&gt;0,SUM(LP4,LU4),"")</f>
        <v/>
      </c>
      <c r="LW4" s="17"/>
      <c r="LX4" s="17"/>
      <c r="LY4" s="17"/>
      <c r="LZ4" s="17"/>
      <c r="MA4" s="17"/>
      <c r="MB4" s="17"/>
      <c r="MC4" s="17"/>
      <c r="MD4" s="17"/>
      <c r="ME4" s="17"/>
      <c r="MF4" s="17"/>
      <c r="MG4" s="17"/>
      <c r="MH4" s="17"/>
      <c r="MI4" s="17"/>
      <c r="MJ4" s="17"/>
      <c r="MK4" s="17"/>
      <c r="ML4" s="17"/>
      <c r="MM4" s="17"/>
      <c r="MN4" s="17"/>
      <c r="MO4" s="17"/>
      <c r="MP4" s="17"/>
      <c r="MQ4" s="40" t="str">
        <f t="shared" ref="MQ4:MQ26" si="105">IF(SUM(LX4,MB4)&gt;0,SUM(LX4,MB4),"")</f>
        <v/>
      </c>
      <c r="MR4" s="40" t="str">
        <f t="shared" ref="MR4:MR26" si="106">IF(SUM(LW4:LX4,LZ4:MB4,MD4)-LY4-MC4&gt;0,SUM(LW4:LX4,LZ4:MB4,MD4)-LY4-MC4,"")</f>
        <v/>
      </c>
      <c r="MS4" s="40" t="str">
        <f t="shared" ref="MS4:MS26" si="107">IF(SUM(ME4:MF4,MH4)-MG4&gt;0,SUM(ME4:MF4,MH4)-MG4,"")</f>
        <v/>
      </c>
      <c r="MT4" s="40" t="str">
        <f t="shared" ref="MT4:MT26" si="108">IF(SUM(LX4,MB4,MF4)&gt;0,SUM(LX4,MB4,MF4),"")</f>
        <v/>
      </c>
      <c r="MU4" s="40" t="str">
        <f t="shared" ref="MU4:MU26" si="109">IF(SUM(MR4,MS4)&gt;0,SUM(MR4,MS4),"")</f>
        <v/>
      </c>
      <c r="MV4" s="40" t="str">
        <f t="shared" ref="MV4:MV26" si="110">IF(SUM(MJ4,MN4)&gt;0,SUM(MJ4,MN4),"")</f>
        <v/>
      </c>
      <c r="MW4" s="40" t="str">
        <f t="shared" ref="MW4:MW26" si="111">IF(SUM(MI4:MJ4,ML4:MN4,MP4)-SUM(MK4,MO4)&gt;0,SUM(MI4:MJ4,ML4:MN4,MP4)-SUM(MK4,MO4),"")</f>
        <v/>
      </c>
      <c r="MX4" s="40" t="str">
        <f t="shared" ref="MX4:MX26" si="112">IF(SUM(MR4,MW4)&gt;0,SUM(MR4,MW4),"")</f>
        <v/>
      </c>
      <c r="MY4" s="18"/>
      <c r="MZ4" s="18"/>
      <c r="NA4" s="18"/>
      <c r="NB4" s="18"/>
      <c r="NC4" s="18"/>
      <c r="ND4" s="18"/>
      <c r="NE4" s="18"/>
      <c r="NF4" s="18"/>
      <c r="NG4" s="18"/>
      <c r="NH4" s="18"/>
      <c r="NI4" s="18"/>
      <c r="NJ4" s="18"/>
      <c r="NK4" s="18"/>
      <c r="NL4" s="18"/>
      <c r="NM4" s="18"/>
      <c r="NN4" s="18"/>
      <c r="NO4" s="18"/>
      <c r="NP4" s="18"/>
      <c r="NQ4" s="18"/>
      <c r="NR4" s="18"/>
      <c r="NS4" s="11" t="str">
        <f t="shared" ref="NS4:NS26" si="113">IF(SUM(MZ4,ND4)&gt;0,SUM(MZ4,ND4),"")</f>
        <v/>
      </c>
      <c r="NT4" s="11" t="str">
        <f t="shared" ref="NT4:NT26" si="114">IF(SUM(MY4:MZ4,NB4:ND4,NF4)-NA4-NE4&gt;0,SUM(MY4:MZ4,NB4:ND4,NF4)-NA4-NE4,"")</f>
        <v/>
      </c>
      <c r="NU4" s="11" t="str">
        <f t="shared" ref="NU4:NU26" si="115">IF(SUM(NG4:NH4,NJ4)-NI4&gt;0,SUM(NG4:NH4,NJ4)-NI4,"")</f>
        <v/>
      </c>
      <c r="NV4" s="11" t="str">
        <f t="shared" ref="NV4:NV26" si="116">IF(SUM(MZ4,ND4,NH4)&gt;0,SUM(MZ4,ND4,NH4),"")</f>
        <v/>
      </c>
      <c r="NW4" s="11" t="str">
        <f t="shared" ref="NW4:NW26" si="117">IF(SUM(NT4,NU4)&gt;0,SUM(NT4,NU4),"")</f>
        <v/>
      </c>
      <c r="NX4" s="11" t="str">
        <f t="shared" ref="NX4:NX26" si="118">IF(SUM(NL4,NP4)&gt;0,SUM(NL4,NP4),"")</f>
        <v/>
      </c>
      <c r="NY4" s="11" t="str">
        <f t="shared" ref="NY4:NY26" si="119">IF(SUM(NK4:NL4,NN4:NP4,NR4)-SUM(NM4,NQ4)&gt;0,SUM(NK4:NL4,NN4:NP4,NR4)-SUM(NM4,NQ4),"")</f>
        <v/>
      </c>
      <c r="NZ4" s="11" t="str">
        <f t="shared" ref="NZ4:NZ26" si="120">IF(SUM(NT4,NY4)&gt;0,SUM(NT4,NY4),"")</f>
        <v/>
      </c>
      <c r="OA4" s="17"/>
      <c r="OB4" s="17"/>
      <c r="OC4" s="17"/>
      <c r="OD4" s="17"/>
      <c r="OE4" s="17"/>
      <c r="OF4" s="17"/>
      <c r="OG4" s="17"/>
      <c r="OH4" s="17"/>
      <c r="OI4" s="17"/>
      <c r="OJ4" s="17"/>
      <c r="OK4" s="17"/>
      <c r="OL4" s="17"/>
      <c r="OM4" s="17"/>
      <c r="ON4" s="17"/>
      <c r="OO4" s="17"/>
      <c r="OP4" s="17"/>
      <c r="OQ4" s="17"/>
      <c r="OR4" s="17"/>
      <c r="OS4" s="17"/>
      <c r="OT4" s="17"/>
      <c r="OU4" s="40" t="str">
        <f t="shared" ref="OU4:OU26" si="121">IF(SUM(OB4,OF4)&gt;0,SUM(OB4,OF4),"")</f>
        <v/>
      </c>
      <c r="OV4" s="40" t="str">
        <f t="shared" ref="OV4:OV26" si="122">IF(SUM(OA4:OB4,OD4:OF4,OH4)-OC4-OG4&gt;0,SUM(OA4:OB4,OD4:OF4,OH4)-OC4-OG4,"")</f>
        <v/>
      </c>
      <c r="OW4" s="40" t="str">
        <f t="shared" ref="OW4:OW26" si="123">IF(SUM(OI4:OJ4,OL4)-OK4&gt;0,SUM(OI4:OJ4,OL4)-OK4,"")</f>
        <v/>
      </c>
      <c r="OX4" s="40" t="str">
        <f t="shared" ref="OX4:OX26" si="124">IF(SUM(OB4,OF4,OJ4)&gt;0,SUM(OB4,OF4,OJ4),"")</f>
        <v/>
      </c>
      <c r="OY4" s="40" t="str">
        <f t="shared" ref="OY4:OY26" si="125">IF(SUM(OV4,OW4)&gt;0,SUM(OV4,OW4),"")</f>
        <v/>
      </c>
      <c r="OZ4" s="40" t="str">
        <f t="shared" ref="OZ4:OZ26" si="126">IF(SUM(ON4,OR4)&gt;0,SUM(ON4,OR4),"")</f>
        <v/>
      </c>
      <c r="PA4" s="40" t="str">
        <f t="shared" ref="PA4:PA26" si="127">IF(SUM(OM4:ON4,OP4:OR4,OT4)-SUM(OO4,OS4)&gt;0,SUM(OM4:ON4,OP4:OR4,OT4)-SUM(OO4,OS4),"")</f>
        <v/>
      </c>
      <c r="PB4" s="40" t="str">
        <f t="shared" ref="PB4:PB26" si="128">IF(SUM(OV4,PA4)&gt;0,SUM(OV4,PA4),"")</f>
        <v/>
      </c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8"/>
      <c r="PS4" s="18"/>
      <c r="PT4" s="18"/>
      <c r="PU4" s="18"/>
      <c r="PV4" s="18"/>
      <c r="PW4" s="11" t="str">
        <f t="shared" ref="PW4:PW26" si="129">IF(SUM(PD4,PH4)&gt;0,SUM(PD4,PH4),"")</f>
        <v/>
      </c>
      <c r="PX4" s="11" t="str">
        <f t="shared" ref="PX4:PX26" si="130">IF(SUM(PC4:PD4,PF4:PH4,PJ4)-PE4-PI4&gt;0,SUM(PC4:PD4,PF4:PH4,PJ4)-PE4-PI4,"")</f>
        <v/>
      </c>
      <c r="PY4" s="11" t="str">
        <f t="shared" ref="PY4:PY26" si="131">IF(SUM(PK4:PL4,PN4)-PM4&gt;0,SUM(PK4:PL4,PN4)-PM4,"")</f>
        <v/>
      </c>
      <c r="PZ4" s="11" t="str">
        <f t="shared" ref="PZ4:PZ26" si="132">IF(SUM(PD4,PH4,PL4)&gt;0,SUM(PD4,PH4,PL4),"")</f>
        <v/>
      </c>
      <c r="QA4" s="11" t="str">
        <f t="shared" ref="QA4:QA26" si="133">IF(SUM(PX4,PY4)&gt;0,SUM(PX4,PY4),"")</f>
        <v/>
      </c>
      <c r="QB4" s="11" t="str">
        <f t="shared" ref="QB4:QB26" si="134">IF(SUM(PP4,PT4)&gt;0,SUM(PP4,PT4),"")</f>
        <v/>
      </c>
      <c r="QC4" s="11" t="str">
        <f t="shared" ref="QC4:QC26" si="135">IF(SUM(PO4:PP4,PR4:PT4,PV4)-SUM(PQ4,PU4)&gt;0,SUM(PO4:PP4,PR4:PT4,PV4)-SUM(PQ4,PU4),"")</f>
        <v/>
      </c>
      <c r="QD4" s="11" t="str">
        <f t="shared" ref="QD4:QD26" si="136">IF(SUM(PX4,QC4)&gt;0,SUM(PX4,QC4),"")</f>
        <v/>
      </c>
      <c r="QE4" s="22">
        <f t="shared" ref="QE4:QE26" si="137">IF($CU4="P",CA4,(CA4+AX4)/2)</f>
        <v>18.649999999999999</v>
      </c>
      <c r="QF4" s="22">
        <f t="shared" ref="QF4:QF26" si="138">IF($CU4="P",CB4,(CB4+AY4)/2)</f>
        <v>6</v>
      </c>
      <c r="QG4" s="22">
        <f t="shared" ref="QG4:QG26" si="139">IF($CU4="P",CC4,(CC4+AZ4)/2)</f>
        <v>0.1</v>
      </c>
      <c r="QH4" s="22">
        <f t="shared" ref="QH4:QH26" si="140">IF($CU4="P",CD4,(CD4+BA4)/2)</f>
        <v>0</v>
      </c>
      <c r="QI4" s="22">
        <f t="shared" ref="QI4:QI26" si="141">IF($CU4="P",CE4,(CE4+BB4)/2)</f>
        <v>18.299999999999997</v>
      </c>
      <c r="QJ4" s="22">
        <f t="shared" ref="QJ4:QJ26" si="142">IF($CU4="P",CF4,(CF4+BC4)/2)</f>
        <v>6.4</v>
      </c>
      <c r="QK4" s="22">
        <f t="shared" ref="QK4:QK26" si="143">IF($CU4="P",CG4,(CG4+BD4)/2)</f>
        <v>0.4</v>
      </c>
      <c r="QL4" s="22">
        <f t="shared" ref="QL4:QL26" si="144">IF($CU4="P",CH4,(CH4+BE4)/2)</f>
        <v>0.3</v>
      </c>
      <c r="QM4" s="22">
        <f t="shared" ref="QM4:QM26" si="145">IF($CU4="P",CI4,(CI4+BF4)/2)</f>
        <v>17.45</v>
      </c>
      <c r="QN4" s="22">
        <f t="shared" ref="QN4:QN26" si="146">IF($CU4="P",CJ4,(CJ4+BG4)/2)</f>
        <v>5.8000000000000007</v>
      </c>
      <c r="QO4" s="22">
        <f t="shared" ref="QO4:QO26" si="147">IF($CU4="P",CK4,(CK4+BH4)/2)</f>
        <v>0.1</v>
      </c>
      <c r="QP4" s="22">
        <f t="shared" ref="QP4:QP26" si="148">IF($CU4="P",CL4,(CL4+BI4)/2)</f>
        <v>0.15</v>
      </c>
      <c r="QQ4" s="22">
        <f t="shared" ref="QQ4:QQ26" si="149">IF($CU4="P",CM4,(CM4+BJ4)/2)</f>
        <v>18.5</v>
      </c>
      <c r="QR4" s="22">
        <f t="shared" ref="QR4:QR26" si="150">IF($CU4="P",CN4,(CN4+BK4)/2)</f>
        <v>6.4</v>
      </c>
      <c r="QS4" s="22">
        <f t="shared" ref="QS4:QS26" si="151">IF($CU4="P",CO4,(CO4+BL4)/2)</f>
        <v>0.1</v>
      </c>
      <c r="QT4" s="22">
        <f t="shared" ref="QT4:QT26" si="152">IF($CU4="P",CP4,(CP4+BM4)/2)</f>
        <v>0</v>
      </c>
      <c r="QU4" s="22">
        <f t="shared" ref="QU4:QU26" si="153">IF($CU4="P",CQ4,(CQ4+BN4)/2)</f>
        <v>18.600000000000001</v>
      </c>
      <c r="QV4" s="22">
        <f t="shared" ref="QV4:QV26" si="154">IF($CU4="P",CR4,(CR4+BO4)/2)</f>
        <v>6</v>
      </c>
      <c r="QW4" s="22">
        <f t="shared" ref="QW4:QW26" si="155">IF($CU4="P",CS4,(CS4+BP4)/2)</f>
        <v>0.2</v>
      </c>
      <c r="QX4" s="22">
        <f t="shared" ref="QX4:QX26" si="156">IF($CU4="P",CT4,(CT4+BQ4)/2)</f>
        <v>0.15</v>
      </c>
      <c r="QY4" s="27" t="s">
        <v>46</v>
      </c>
      <c r="QZ4" s="40">
        <f t="shared" ref="QZ4:QZ26" si="157">IF(SUM(QF4,QJ4)&gt;0,SUM(QF4,QJ4),"")</f>
        <v>12.4</v>
      </c>
      <c r="RA4" s="40">
        <f t="shared" ref="RA4:RA26" si="158">IF(SUM(QE4:QF4,QH4:QJ4,QL4)-QG4-QK4&gt;0,SUM(QE4:QF4,QH4:QJ4,QL4)-QG4-QK4,"")</f>
        <v>49.149999999999991</v>
      </c>
      <c r="RB4" s="40">
        <f t="shared" ref="RB4:RB26" si="159">IF(SUM(QM4:QN4,QP4)-QO4&gt;0,SUM(QM4:QN4,QP4)-QO4,"")</f>
        <v>23.299999999999997</v>
      </c>
      <c r="RC4" s="40">
        <f t="shared" ref="RC4:RC26" si="160">IF(SUM(QF4,QJ4,QN4)&gt;0,SUM(QF4,QJ4,QN4),"")</f>
        <v>18.200000000000003</v>
      </c>
      <c r="RD4" s="40">
        <f t="shared" ref="RD4:RD26" si="161">IF(SUM(RA4,RB4)&gt;0,SUM(RA4,RB4),"")</f>
        <v>72.449999999999989</v>
      </c>
      <c r="RE4" s="40">
        <f t="shared" ref="RE4:RE26" si="162">IF(SUM(QR4,QV4)&gt;0,SUM(QR4,QV4),"")</f>
        <v>12.4</v>
      </c>
      <c r="RF4" s="40">
        <f t="shared" ref="RF4:RF26" si="163">IF(SUM(QQ4:QR4,QT4:QV4,QX4)-SUM(QS4,QW4)&gt;0,SUM(QQ4:QR4,QT4:QV4,QX4)-SUM(QS4,QW4),"")</f>
        <v>49.35</v>
      </c>
      <c r="RG4" s="40">
        <f t="shared" ref="RG4:RG26" si="164">IF(SUM(RA4,RF4)&gt;0,SUM(RA4,RF4),"")</f>
        <v>98.5</v>
      </c>
    </row>
    <row r="5" spans="1:475" x14ac:dyDescent="0.2">
      <c r="A5" s="4">
        <f t="shared" si="0"/>
        <v>2</v>
      </c>
      <c r="B5" s="5" t="s">
        <v>68</v>
      </c>
      <c r="C5" s="4" t="s">
        <v>4</v>
      </c>
      <c r="D5" s="4">
        <v>2003</v>
      </c>
      <c r="E5" s="9">
        <f t="shared" si="1"/>
        <v>172.90001215000498</v>
      </c>
      <c r="F5" s="3" t="str">
        <f t="shared" si="2"/>
        <v>P</v>
      </c>
      <c r="G5" s="3" t="str">
        <f t="shared" si="3"/>
        <v>P</v>
      </c>
      <c r="H5" s="36" t="str">
        <f t="shared" si="4"/>
        <v>National Team</v>
      </c>
      <c r="I5" s="3" t="str">
        <f t="shared" si="5"/>
        <v/>
      </c>
      <c r="J5" s="8">
        <f>IF(COUNT(AQ5,BT5,CW5)&gt;0,LARGE((AQ5,BT5,CW5),1),0)</f>
        <v>49.9</v>
      </c>
      <c r="K5" s="8" t="str">
        <f t="shared" si="6"/>
        <v>2023 Elite Canada</v>
      </c>
      <c r="L5" s="8">
        <f>IF(COUNT(AQ5,BT5,CW5)&gt;1,LARGE((AQ5,BT5,CW5),2),0)</f>
        <v>47.599999999999994</v>
      </c>
      <c r="M5" s="8" t="str">
        <f t="shared" si="7"/>
        <v>2022 3rd Domestic Trial</v>
      </c>
      <c r="N5" s="8">
        <f>IF(COUNT(AR5,BU5,CX5)&gt;0,LARGE((AR5,BU5,CX5),1),0)</f>
        <v>24</v>
      </c>
      <c r="O5" s="8" t="str">
        <f t="shared" si="8"/>
        <v>2022 Nationals</v>
      </c>
      <c r="P5" s="8">
        <f t="shared" si="9"/>
        <v>49.199999999999996</v>
      </c>
      <c r="Q5" s="8" t="str">
        <f t="shared" si="10"/>
        <v>2023 Elite Canada</v>
      </c>
      <c r="R5" s="8">
        <f t="shared" si="11"/>
        <v>2.2000000000000028</v>
      </c>
      <c r="S5" s="11" t="str">
        <f t="shared" si="12"/>
        <v>(Q1)</v>
      </c>
      <c r="T5" s="8" t="str">
        <f t="shared" si="13"/>
        <v>2022 World Games Technical Trial #2 (May 15)</v>
      </c>
      <c r="U5" s="19">
        <v>18.100000000000001</v>
      </c>
      <c r="V5" s="19">
        <v>2.9</v>
      </c>
      <c r="W5" s="19">
        <v>2.1</v>
      </c>
      <c r="X5" s="19">
        <v>0</v>
      </c>
      <c r="Y5" s="19">
        <v>18</v>
      </c>
      <c r="Z5" s="19">
        <v>6</v>
      </c>
      <c r="AA5" s="19">
        <v>0</v>
      </c>
      <c r="AB5" s="19">
        <v>0.3</v>
      </c>
      <c r="AC5" s="19">
        <v>18.399999999999999</v>
      </c>
      <c r="AD5" s="19">
        <v>5.6</v>
      </c>
      <c r="AE5" s="19">
        <v>0</v>
      </c>
      <c r="AF5" s="19">
        <v>0</v>
      </c>
      <c r="AG5" s="19">
        <v>18.5</v>
      </c>
      <c r="AH5" s="19">
        <v>6.4</v>
      </c>
      <c r="AI5" s="19">
        <v>0.2</v>
      </c>
      <c r="AJ5" s="19">
        <v>0</v>
      </c>
      <c r="AK5" s="19">
        <v>17.2</v>
      </c>
      <c r="AL5" s="19">
        <v>2.4</v>
      </c>
      <c r="AM5" s="19">
        <v>0</v>
      </c>
      <c r="AN5" s="19">
        <v>0</v>
      </c>
      <c r="AO5" s="27"/>
      <c r="AP5" s="40">
        <f t="shared" si="14"/>
        <v>8.9</v>
      </c>
      <c r="AQ5" s="40">
        <f t="shared" si="15"/>
        <v>43.199999999999996</v>
      </c>
      <c r="AR5" s="40">
        <f t="shared" si="16"/>
        <v>24</v>
      </c>
      <c r="AS5" s="40">
        <f t="shared" si="17"/>
        <v>14.5</v>
      </c>
      <c r="AT5" s="40">
        <f t="shared" si="18"/>
        <v>67.199999999999989</v>
      </c>
      <c r="AU5" s="40">
        <f t="shared" si="19"/>
        <v>8.8000000000000007</v>
      </c>
      <c r="AV5" s="40">
        <f t="shared" si="20"/>
        <v>44.29999999999999</v>
      </c>
      <c r="AW5" s="40">
        <f t="shared" si="21"/>
        <v>87.499999999999986</v>
      </c>
      <c r="AX5" s="18">
        <v>18.899999999999999</v>
      </c>
      <c r="AY5" s="18">
        <v>5.2</v>
      </c>
      <c r="AZ5" s="18">
        <v>0.2</v>
      </c>
      <c r="BA5" s="18">
        <v>0</v>
      </c>
      <c r="BB5" s="18">
        <v>18.399999999999999</v>
      </c>
      <c r="BC5" s="18">
        <v>5.2</v>
      </c>
      <c r="BD5" s="18">
        <v>0.2</v>
      </c>
      <c r="BE5" s="18">
        <v>0.3</v>
      </c>
      <c r="BF5" s="18">
        <v>18.5</v>
      </c>
      <c r="BG5" s="18">
        <v>5.6</v>
      </c>
      <c r="BH5" s="18">
        <v>0.6</v>
      </c>
      <c r="BI5" s="18">
        <v>0</v>
      </c>
      <c r="BJ5" s="18">
        <v>18.600000000000001</v>
      </c>
      <c r="BK5" s="18">
        <v>6.4</v>
      </c>
      <c r="BL5" s="18">
        <v>0</v>
      </c>
      <c r="BM5" s="18">
        <v>0</v>
      </c>
      <c r="BN5" s="18">
        <v>18.579999999999998</v>
      </c>
      <c r="BO5" s="18">
        <v>5.2</v>
      </c>
      <c r="BP5" s="18">
        <v>0</v>
      </c>
      <c r="BQ5" s="18">
        <v>0</v>
      </c>
      <c r="BR5" s="28"/>
      <c r="BS5" s="11">
        <f t="shared" si="22"/>
        <v>10.4</v>
      </c>
      <c r="BT5" s="11">
        <f t="shared" si="23"/>
        <v>47.599999999999994</v>
      </c>
      <c r="BU5" s="11">
        <f t="shared" si="24"/>
        <v>23.5</v>
      </c>
      <c r="BV5" s="11">
        <f t="shared" si="25"/>
        <v>16</v>
      </c>
      <c r="BW5" s="11">
        <f t="shared" si="26"/>
        <v>71.099999999999994</v>
      </c>
      <c r="BX5" s="11">
        <f t="shared" si="27"/>
        <v>11.600000000000001</v>
      </c>
      <c r="BY5" s="11">
        <f t="shared" si="28"/>
        <v>48.78</v>
      </c>
      <c r="BZ5" s="11">
        <f t="shared" si="29"/>
        <v>96.38</v>
      </c>
      <c r="CA5" s="19">
        <v>18.600000000000001</v>
      </c>
      <c r="CB5" s="19">
        <v>6.4</v>
      </c>
      <c r="CC5" s="19">
        <v>0</v>
      </c>
      <c r="CD5" s="19">
        <v>0</v>
      </c>
      <c r="CE5" s="19">
        <v>18.600000000000001</v>
      </c>
      <c r="CF5" s="19">
        <v>6</v>
      </c>
      <c r="CG5" s="19">
        <v>0</v>
      </c>
      <c r="CH5" s="19">
        <v>0.3</v>
      </c>
      <c r="CI5" s="19">
        <v>18.100000000000001</v>
      </c>
      <c r="CJ5" s="19">
        <v>5.2</v>
      </c>
      <c r="CK5" s="19">
        <v>0.6</v>
      </c>
      <c r="CL5" s="19">
        <v>0</v>
      </c>
      <c r="CM5" s="19">
        <v>18.7</v>
      </c>
      <c r="CN5" s="19">
        <v>6.4</v>
      </c>
      <c r="CO5" s="19">
        <v>0</v>
      </c>
      <c r="CP5" s="19">
        <v>0</v>
      </c>
      <c r="CQ5" s="19">
        <v>18.399999999999999</v>
      </c>
      <c r="CR5" s="19">
        <v>6</v>
      </c>
      <c r="CS5" s="19">
        <v>0.6</v>
      </c>
      <c r="CT5" s="19">
        <v>0.3</v>
      </c>
      <c r="CU5" s="27"/>
      <c r="CV5" s="40">
        <f t="shared" si="30"/>
        <v>12.4</v>
      </c>
      <c r="CW5" s="40">
        <f t="shared" si="31"/>
        <v>49.9</v>
      </c>
      <c r="CX5" s="40">
        <f t="shared" si="32"/>
        <v>22.7</v>
      </c>
      <c r="CY5" s="40">
        <f t="shared" si="33"/>
        <v>17.600000000000001</v>
      </c>
      <c r="CZ5" s="40">
        <f t="shared" si="34"/>
        <v>72.599999999999994</v>
      </c>
      <c r="DA5" s="40">
        <f t="shared" si="35"/>
        <v>12.4</v>
      </c>
      <c r="DB5" s="40">
        <f t="shared" si="36"/>
        <v>49.199999999999996</v>
      </c>
      <c r="DC5" s="40">
        <f t="shared" si="37"/>
        <v>99.1</v>
      </c>
      <c r="DD5" s="50">
        <f t="shared" si="38"/>
        <v>2.2000000000000028</v>
      </c>
      <c r="DE5" s="50" t="str">
        <f t="shared" si="39"/>
        <v/>
      </c>
      <c r="DF5" s="50" t="str">
        <f t="shared" si="40"/>
        <v/>
      </c>
      <c r="DG5" s="17">
        <v>18.600000000000001</v>
      </c>
      <c r="DH5" s="17">
        <v>6.4</v>
      </c>
      <c r="DI5" s="17">
        <v>0</v>
      </c>
      <c r="DJ5" s="17">
        <v>0</v>
      </c>
      <c r="DK5" s="17">
        <v>18.5</v>
      </c>
      <c r="DL5" s="17">
        <v>6</v>
      </c>
      <c r="DM5" s="17">
        <v>0</v>
      </c>
      <c r="DN5" s="17">
        <v>0.3</v>
      </c>
      <c r="DO5" s="17"/>
      <c r="DP5" s="17"/>
      <c r="DQ5" s="17"/>
      <c r="DR5" s="17"/>
      <c r="DS5" s="17">
        <v>17.399999999999999</v>
      </c>
      <c r="DT5" s="17">
        <v>2.8</v>
      </c>
      <c r="DU5" s="17">
        <v>0</v>
      </c>
      <c r="DV5" s="17">
        <v>0</v>
      </c>
      <c r="DW5" s="17">
        <v>17.399999999999999</v>
      </c>
      <c r="DX5" s="17">
        <v>2.4</v>
      </c>
      <c r="DY5" s="17">
        <v>0</v>
      </c>
      <c r="DZ5" s="17">
        <v>0</v>
      </c>
      <c r="EA5" s="40">
        <f t="shared" si="41"/>
        <v>12.4</v>
      </c>
      <c r="EB5" s="40">
        <f t="shared" si="42"/>
        <v>49.8</v>
      </c>
      <c r="EC5" s="40" t="str">
        <f t="shared" si="43"/>
        <v/>
      </c>
      <c r="ED5" s="40">
        <f t="shared" si="44"/>
        <v>12.4</v>
      </c>
      <c r="EE5" s="40">
        <f t="shared" si="45"/>
        <v>49.8</v>
      </c>
      <c r="EF5" s="40">
        <f t="shared" si="46"/>
        <v>5.1999999999999993</v>
      </c>
      <c r="EG5" s="40">
        <f t="shared" si="47"/>
        <v>39.999999999999993</v>
      </c>
      <c r="EH5" s="40">
        <f t="shared" si="48"/>
        <v>89.799999999999983</v>
      </c>
      <c r="EI5" s="18">
        <v>18.399999999999999</v>
      </c>
      <c r="EJ5" s="18">
        <v>5.6</v>
      </c>
      <c r="EK5" s="18">
        <v>0</v>
      </c>
      <c r="EL5" s="18">
        <v>0</v>
      </c>
      <c r="EM5" s="18">
        <v>18.399999999999999</v>
      </c>
      <c r="EN5" s="18">
        <v>6.8</v>
      </c>
      <c r="EO5" s="18">
        <v>0</v>
      </c>
      <c r="EP5" s="18">
        <v>0</v>
      </c>
      <c r="EQ5" s="18"/>
      <c r="ER5" s="18"/>
      <c r="ES5" s="18"/>
      <c r="ET5" s="18"/>
      <c r="EU5" s="18">
        <v>18.2</v>
      </c>
      <c r="EV5" s="18">
        <v>6.4</v>
      </c>
      <c r="EW5" s="18">
        <v>0.8</v>
      </c>
      <c r="EX5" s="18">
        <v>0</v>
      </c>
      <c r="EY5" s="18"/>
      <c r="EZ5" s="18"/>
      <c r="FA5" s="18"/>
      <c r="FB5" s="18"/>
      <c r="FC5" s="11">
        <f t="shared" si="49"/>
        <v>12.399999999999999</v>
      </c>
      <c r="FD5" s="11">
        <f t="shared" si="50"/>
        <v>49.199999999999996</v>
      </c>
      <c r="FE5" s="11" t="str">
        <f t="shared" si="51"/>
        <v/>
      </c>
      <c r="FF5" s="11">
        <f t="shared" si="52"/>
        <v>12.399999999999999</v>
      </c>
      <c r="FG5" s="11">
        <f t="shared" si="53"/>
        <v>49.199999999999996</v>
      </c>
      <c r="FH5" s="11">
        <f t="shared" si="54"/>
        <v>6.4</v>
      </c>
      <c r="FI5" s="11">
        <f t="shared" si="55"/>
        <v>23.8</v>
      </c>
      <c r="FJ5" s="11">
        <f t="shared" si="56"/>
        <v>73</v>
      </c>
      <c r="FK5" s="17">
        <v>18.7</v>
      </c>
      <c r="FL5" s="17">
        <v>6.4</v>
      </c>
      <c r="FM5" s="17">
        <v>0</v>
      </c>
      <c r="FN5" s="17">
        <v>0</v>
      </c>
      <c r="FO5" s="17">
        <v>18.399999999999999</v>
      </c>
      <c r="FP5" s="17">
        <v>6</v>
      </c>
      <c r="FQ5" s="17">
        <v>0</v>
      </c>
      <c r="FR5" s="17">
        <v>0</v>
      </c>
      <c r="FS5" s="17"/>
      <c r="FT5" s="17"/>
      <c r="FU5" s="17"/>
      <c r="FV5" s="17"/>
      <c r="FW5" s="17">
        <v>0</v>
      </c>
      <c r="FX5" s="17">
        <v>0</v>
      </c>
      <c r="FY5" s="17">
        <v>0</v>
      </c>
      <c r="FZ5" s="17">
        <v>0</v>
      </c>
      <c r="GA5" s="17"/>
      <c r="GB5" s="17"/>
      <c r="GC5" s="17"/>
      <c r="GD5" s="17"/>
      <c r="GE5" s="40">
        <f t="shared" si="57"/>
        <v>12.4</v>
      </c>
      <c r="GF5" s="40">
        <f t="shared" si="58"/>
        <v>49.5</v>
      </c>
      <c r="GG5" s="40" t="str">
        <f t="shared" si="59"/>
        <v/>
      </c>
      <c r="GH5" s="40">
        <f t="shared" si="60"/>
        <v>12.4</v>
      </c>
      <c r="GI5" s="40">
        <f t="shared" si="61"/>
        <v>49.5</v>
      </c>
      <c r="GJ5" s="40" t="str">
        <f t="shared" si="62"/>
        <v/>
      </c>
      <c r="GK5" s="40" t="str">
        <f t="shared" si="63"/>
        <v/>
      </c>
      <c r="GL5" s="40">
        <f t="shared" si="64"/>
        <v>49.5</v>
      </c>
      <c r="GM5" s="18"/>
      <c r="GN5" s="18"/>
      <c r="GO5" s="18"/>
      <c r="GP5" s="18"/>
      <c r="GQ5" s="18"/>
      <c r="GR5" s="18"/>
      <c r="GS5" s="18"/>
      <c r="GT5" s="18"/>
      <c r="GU5" s="18"/>
      <c r="GV5" s="18"/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1" t="str">
        <f t="shared" si="65"/>
        <v/>
      </c>
      <c r="HH5" s="11" t="str">
        <f t="shared" si="66"/>
        <v/>
      </c>
      <c r="HI5" s="11" t="str">
        <f t="shared" si="67"/>
        <v/>
      </c>
      <c r="HJ5" s="11" t="str">
        <f t="shared" si="68"/>
        <v/>
      </c>
      <c r="HK5" s="11" t="str">
        <f t="shared" si="69"/>
        <v/>
      </c>
      <c r="HL5" s="11" t="str">
        <f t="shared" si="70"/>
        <v/>
      </c>
      <c r="HM5" s="11" t="str">
        <f t="shared" si="71"/>
        <v/>
      </c>
      <c r="HN5" s="11" t="str">
        <f t="shared" si="72"/>
        <v/>
      </c>
      <c r="HO5" s="17">
        <v>18.100000000000001</v>
      </c>
      <c r="HP5" s="17">
        <v>5.6</v>
      </c>
      <c r="HQ5" s="17">
        <v>0</v>
      </c>
      <c r="HR5" s="17">
        <v>0</v>
      </c>
      <c r="HS5" s="17">
        <v>17.5</v>
      </c>
      <c r="HT5" s="17">
        <v>6.8</v>
      </c>
      <c r="HU5" s="17">
        <v>0</v>
      </c>
      <c r="HV5" s="17">
        <v>0</v>
      </c>
      <c r="HW5" s="17"/>
      <c r="HX5" s="17"/>
      <c r="HY5" s="17"/>
      <c r="HZ5" s="17"/>
      <c r="IA5" s="17"/>
      <c r="IB5" s="17"/>
      <c r="IC5" s="17"/>
      <c r="ID5" s="17"/>
      <c r="IE5" s="17"/>
      <c r="IF5" s="17"/>
      <c r="IG5" s="17"/>
      <c r="IH5" s="17"/>
      <c r="II5" s="40">
        <f t="shared" si="73"/>
        <v>12.399999999999999</v>
      </c>
      <c r="IJ5" s="40">
        <f t="shared" si="74"/>
        <v>48</v>
      </c>
      <c r="IK5" s="40" t="str">
        <f t="shared" si="75"/>
        <v/>
      </c>
      <c r="IL5" s="40">
        <f t="shared" si="76"/>
        <v>12.399999999999999</v>
      </c>
      <c r="IM5" s="40">
        <f t="shared" si="77"/>
        <v>48</v>
      </c>
      <c r="IN5" s="40" t="str">
        <f t="shared" si="78"/>
        <v/>
      </c>
      <c r="IO5" s="40" t="str">
        <f t="shared" si="79"/>
        <v/>
      </c>
      <c r="IP5" s="40">
        <f t="shared" si="80"/>
        <v>48</v>
      </c>
      <c r="IQ5" s="18"/>
      <c r="IR5" s="18"/>
      <c r="IS5" s="18"/>
      <c r="IT5" s="18"/>
      <c r="IU5" s="18"/>
      <c r="IV5" s="18"/>
      <c r="IW5" s="18"/>
      <c r="IX5" s="18"/>
      <c r="IY5" s="18"/>
      <c r="IZ5" s="18"/>
      <c r="JA5" s="18"/>
      <c r="JB5" s="18"/>
      <c r="JC5" s="18"/>
      <c r="JD5" s="18"/>
      <c r="JE5" s="18"/>
      <c r="JF5" s="18"/>
      <c r="JG5" s="18"/>
      <c r="JH5" s="18"/>
      <c r="JI5" s="18"/>
      <c r="JJ5" s="18"/>
      <c r="JK5" s="11" t="str">
        <f t="shared" si="81"/>
        <v/>
      </c>
      <c r="JL5" s="11" t="str">
        <f t="shared" si="82"/>
        <v/>
      </c>
      <c r="JM5" s="11" t="str">
        <f t="shared" si="83"/>
        <v/>
      </c>
      <c r="JN5" s="11" t="str">
        <f t="shared" si="84"/>
        <v/>
      </c>
      <c r="JO5" s="11" t="str">
        <f t="shared" si="85"/>
        <v/>
      </c>
      <c r="JP5" s="11" t="str">
        <f t="shared" si="86"/>
        <v/>
      </c>
      <c r="JQ5" s="11" t="str">
        <f t="shared" si="87"/>
        <v/>
      </c>
      <c r="JR5" s="11" t="str">
        <f t="shared" si="88"/>
        <v/>
      </c>
      <c r="JS5" s="17"/>
      <c r="JT5" s="17"/>
      <c r="JU5" s="17"/>
      <c r="JV5" s="17"/>
      <c r="JW5" s="17"/>
      <c r="JX5" s="17"/>
      <c r="JY5" s="17"/>
      <c r="JZ5" s="17"/>
      <c r="KA5" s="17"/>
      <c r="KB5" s="17"/>
      <c r="KC5" s="17"/>
      <c r="KD5" s="17"/>
      <c r="KE5" s="17"/>
      <c r="KF5" s="17"/>
      <c r="KG5" s="17"/>
      <c r="KH5" s="17"/>
      <c r="KI5" s="17"/>
      <c r="KJ5" s="17"/>
      <c r="KK5" s="17"/>
      <c r="KL5" s="17"/>
      <c r="KM5" s="40" t="str">
        <f t="shared" si="89"/>
        <v/>
      </c>
      <c r="KN5" s="40" t="str">
        <f t="shared" si="90"/>
        <v/>
      </c>
      <c r="KO5" s="40" t="str">
        <f t="shared" si="91"/>
        <v/>
      </c>
      <c r="KP5" s="40" t="str">
        <f t="shared" si="92"/>
        <v/>
      </c>
      <c r="KQ5" s="40" t="str">
        <f t="shared" si="93"/>
        <v/>
      </c>
      <c r="KR5" s="40" t="str">
        <f t="shared" si="94"/>
        <v/>
      </c>
      <c r="KS5" s="40" t="str">
        <f t="shared" si="95"/>
        <v/>
      </c>
      <c r="KT5" s="40" t="str">
        <f t="shared" si="96"/>
        <v/>
      </c>
      <c r="KU5" s="18"/>
      <c r="KV5" s="18"/>
      <c r="KW5" s="18"/>
      <c r="KX5" s="18"/>
      <c r="KY5" s="18"/>
      <c r="KZ5" s="18"/>
      <c r="LA5" s="18"/>
      <c r="LB5" s="18"/>
      <c r="LC5" s="18"/>
      <c r="LD5" s="18"/>
      <c r="LE5" s="18"/>
      <c r="LF5" s="18"/>
      <c r="LG5" s="18"/>
      <c r="LH5" s="18"/>
      <c r="LI5" s="18"/>
      <c r="LJ5" s="18"/>
      <c r="LK5" s="18"/>
      <c r="LL5" s="18"/>
      <c r="LM5" s="18"/>
      <c r="LN5" s="18"/>
      <c r="LO5" s="11" t="str">
        <f t="shared" si="97"/>
        <v/>
      </c>
      <c r="LP5" s="11" t="str">
        <f t="shared" si="98"/>
        <v/>
      </c>
      <c r="LQ5" s="11" t="str">
        <f t="shared" si="99"/>
        <v/>
      </c>
      <c r="LR5" s="11" t="str">
        <f t="shared" si="100"/>
        <v/>
      </c>
      <c r="LS5" s="11" t="str">
        <f t="shared" si="101"/>
        <v/>
      </c>
      <c r="LT5" s="11" t="str">
        <f t="shared" si="102"/>
        <v/>
      </c>
      <c r="LU5" s="11" t="str">
        <f t="shared" si="103"/>
        <v/>
      </c>
      <c r="LV5" s="11" t="str">
        <f t="shared" si="104"/>
        <v/>
      </c>
      <c r="LW5" s="17"/>
      <c r="LX5" s="17"/>
      <c r="LY5" s="17"/>
      <c r="LZ5" s="17"/>
      <c r="MA5" s="17"/>
      <c r="MB5" s="17"/>
      <c r="MC5" s="17"/>
      <c r="MD5" s="17"/>
      <c r="ME5" s="17"/>
      <c r="MF5" s="17"/>
      <c r="MG5" s="17"/>
      <c r="MH5" s="17"/>
      <c r="MI5" s="17"/>
      <c r="MJ5" s="17"/>
      <c r="MK5" s="17"/>
      <c r="ML5" s="17"/>
      <c r="MM5" s="17"/>
      <c r="MN5" s="17"/>
      <c r="MO5" s="17"/>
      <c r="MP5" s="17"/>
      <c r="MQ5" s="40" t="str">
        <f t="shared" si="105"/>
        <v/>
      </c>
      <c r="MR5" s="40" t="str">
        <f t="shared" si="106"/>
        <v/>
      </c>
      <c r="MS5" s="40" t="str">
        <f t="shared" si="107"/>
        <v/>
      </c>
      <c r="MT5" s="40" t="str">
        <f t="shared" si="108"/>
        <v/>
      </c>
      <c r="MU5" s="40" t="str">
        <f t="shared" si="109"/>
        <v/>
      </c>
      <c r="MV5" s="40" t="str">
        <f t="shared" si="110"/>
        <v/>
      </c>
      <c r="MW5" s="40" t="str">
        <f t="shared" si="111"/>
        <v/>
      </c>
      <c r="MX5" s="40" t="str">
        <f t="shared" si="112"/>
        <v/>
      </c>
      <c r="MY5" s="18"/>
      <c r="MZ5" s="18"/>
      <c r="NA5" s="18"/>
      <c r="NB5" s="18"/>
      <c r="NC5" s="18"/>
      <c r="ND5" s="18"/>
      <c r="NE5" s="18"/>
      <c r="NF5" s="18"/>
      <c r="NG5" s="18"/>
      <c r="NH5" s="18"/>
      <c r="NI5" s="18"/>
      <c r="NJ5" s="18"/>
      <c r="NK5" s="18"/>
      <c r="NL5" s="18"/>
      <c r="NM5" s="18"/>
      <c r="NN5" s="18"/>
      <c r="NO5" s="18"/>
      <c r="NP5" s="18"/>
      <c r="NQ5" s="18"/>
      <c r="NR5" s="18"/>
      <c r="NS5" s="11" t="str">
        <f t="shared" si="113"/>
        <v/>
      </c>
      <c r="NT5" s="11" t="str">
        <f t="shared" si="114"/>
        <v/>
      </c>
      <c r="NU5" s="11" t="str">
        <f t="shared" si="115"/>
        <v/>
      </c>
      <c r="NV5" s="11" t="str">
        <f t="shared" si="116"/>
        <v/>
      </c>
      <c r="NW5" s="11" t="str">
        <f t="shared" si="117"/>
        <v/>
      </c>
      <c r="NX5" s="11" t="str">
        <f t="shared" si="118"/>
        <v/>
      </c>
      <c r="NY5" s="11" t="str">
        <f t="shared" si="119"/>
        <v/>
      </c>
      <c r="NZ5" s="11" t="str">
        <f t="shared" si="120"/>
        <v/>
      </c>
      <c r="OA5" s="17"/>
      <c r="OB5" s="17"/>
      <c r="OC5" s="17"/>
      <c r="OD5" s="17"/>
      <c r="OE5" s="17"/>
      <c r="OF5" s="17"/>
      <c r="OG5" s="17"/>
      <c r="OH5" s="17"/>
      <c r="OI5" s="17"/>
      <c r="OJ5" s="17"/>
      <c r="OK5" s="17"/>
      <c r="OL5" s="17"/>
      <c r="OM5" s="17"/>
      <c r="ON5" s="17"/>
      <c r="OO5" s="17"/>
      <c r="OP5" s="17"/>
      <c r="OQ5" s="17"/>
      <c r="OR5" s="17"/>
      <c r="OS5" s="17"/>
      <c r="OT5" s="17"/>
      <c r="OU5" s="40" t="str">
        <f t="shared" si="121"/>
        <v/>
      </c>
      <c r="OV5" s="40" t="str">
        <f t="shared" si="122"/>
        <v/>
      </c>
      <c r="OW5" s="40" t="str">
        <f t="shared" si="123"/>
        <v/>
      </c>
      <c r="OX5" s="40" t="str">
        <f t="shared" si="124"/>
        <v/>
      </c>
      <c r="OY5" s="40" t="str">
        <f t="shared" si="125"/>
        <v/>
      </c>
      <c r="OZ5" s="40" t="str">
        <f t="shared" si="126"/>
        <v/>
      </c>
      <c r="PA5" s="40" t="str">
        <f t="shared" si="127"/>
        <v/>
      </c>
      <c r="PB5" s="40" t="str">
        <f t="shared" si="128"/>
        <v/>
      </c>
      <c r="PC5" s="18"/>
      <c r="PD5" s="18"/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8"/>
      <c r="PS5" s="18"/>
      <c r="PT5" s="18"/>
      <c r="PU5" s="18"/>
      <c r="PV5" s="18"/>
      <c r="PW5" s="11" t="str">
        <f t="shared" si="129"/>
        <v/>
      </c>
      <c r="PX5" s="11" t="str">
        <f t="shared" si="130"/>
        <v/>
      </c>
      <c r="PY5" s="11" t="str">
        <f t="shared" si="131"/>
        <v/>
      </c>
      <c r="PZ5" s="11" t="str">
        <f t="shared" si="132"/>
        <v/>
      </c>
      <c r="QA5" s="11" t="str">
        <f t="shared" si="133"/>
        <v/>
      </c>
      <c r="QB5" s="11" t="str">
        <f t="shared" si="134"/>
        <v/>
      </c>
      <c r="QC5" s="11" t="str">
        <f t="shared" si="135"/>
        <v/>
      </c>
      <c r="QD5" s="11" t="str">
        <f t="shared" si="136"/>
        <v/>
      </c>
      <c r="QE5" s="22">
        <f t="shared" si="137"/>
        <v>18.75</v>
      </c>
      <c r="QF5" s="22">
        <f t="shared" si="138"/>
        <v>5.8000000000000007</v>
      </c>
      <c r="QG5" s="22">
        <f t="shared" si="139"/>
        <v>0.1</v>
      </c>
      <c r="QH5" s="22">
        <f t="shared" si="140"/>
        <v>0</v>
      </c>
      <c r="QI5" s="22">
        <f t="shared" si="141"/>
        <v>18.5</v>
      </c>
      <c r="QJ5" s="22">
        <f t="shared" si="142"/>
        <v>5.6</v>
      </c>
      <c r="QK5" s="22">
        <f t="shared" si="143"/>
        <v>0.1</v>
      </c>
      <c r="QL5" s="22">
        <f t="shared" si="144"/>
        <v>0.3</v>
      </c>
      <c r="QM5" s="22">
        <f t="shared" si="145"/>
        <v>18.3</v>
      </c>
      <c r="QN5" s="22">
        <f t="shared" si="146"/>
        <v>5.4</v>
      </c>
      <c r="QO5" s="22">
        <f t="shared" si="147"/>
        <v>0.6</v>
      </c>
      <c r="QP5" s="22">
        <f t="shared" si="148"/>
        <v>0</v>
      </c>
      <c r="QQ5" s="22">
        <f t="shared" si="149"/>
        <v>18.649999999999999</v>
      </c>
      <c r="QR5" s="22">
        <f t="shared" si="150"/>
        <v>6.4</v>
      </c>
      <c r="QS5" s="22">
        <f t="shared" si="151"/>
        <v>0</v>
      </c>
      <c r="QT5" s="22">
        <f t="shared" si="152"/>
        <v>0</v>
      </c>
      <c r="QU5" s="22">
        <f t="shared" si="153"/>
        <v>18.489999999999998</v>
      </c>
      <c r="QV5" s="22">
        <f t="shared" si="154"/>
        <v>5.6</v>
      </c>
      <c r="QW5" s="22">
        <f t="shared" si="155"/>
        <v>0.3</v>
      </c>
      <c r="QX5" s="22">
        <f t="shared" si="156"/>
        <v>0.15</v>
      </c>
      <c r="QY5" s="27" t="s">
        <v>46</v>
      </c>
      <c r="QZ5" s="40">
        <f t="shared" si="157"/>
        <v>11.4</v>
      </c>
      <c r="RA5" s="40">
        <f t="shared" si="158"/>
        <v>48.749999999999993</v>
      </c>
      <c r="RB5" s="40">
        <f t="shared" si="159"/>
        <v>23.1</v>
      </c>
      <c r="RC5" s="40">
        <f t="shared" si="160"/>
        <v>16.8</v>
      </c>
      <c r="RD5" s="40">
        <f t="shared" si="161"/>
        <v>71.849999999999994</v>
      </c>
      <c r="RE5" s="40">
        <f t="shared" si="162"/>
        <v>12</v>
      </c>
      <c r="RF5" s="40">
        <f t="shared" si="163"/>
        <v>48.989999999999995</v>
      </c>
      <c r="RG5" s="40">
        <f t="shared" si="164"/>
        <v>97.739999999999981</v>
      </c>
    </row>
    <row r="6" spans="1:475" x14ac:dyDescent="0.2">
      <c r="A6" s="4">
        <f t="shared" si="0"/>
        <v>3</v>
      </c>
      <c r="B6" s="5" t="s">
        <v>77</v>
      </c>
      <c r="C6" s="4" t="s">
        <v>5</v>
      </c>
      <c r="D6" s="4">
        <v>2004</v>
      </c>
      <c r="E6" s="9">
        <f t="shared" si="1"/>
        <v>170.80001202000489</v>
      </c>
      <c r="F6" s="3" t="str">
        <f t="shared" si="2"/>
        <v>P</v>
      </c>
      <c r="G6" s="3" t="str">
        <f t="shared" si="3"/>
        <v>P</v>
      </c>
      <c r="H6" s="36" t="str">
        <f t="shared" si="4"/>
        <v>National Team</v>
      </c>
      <c r="I6" s="3" t="str">
        <f t="shared" si="5"/>
        <v/>
      </c>
      <c r="J6" s="8">
        <f>IF(COUNT(AQ6,BT6,CW6)&gt;0,LARGE((AQ6,BT6,CW6),1),0)</f>
        <v>48.6</v>
      </c>
      <c r="K6" s="8" t="str">
        <f t="shared" si="6"/>
        <v>2023 Elite Canada</v>
      </c>
      <c r="L6" s="8">
        <f>IF(COUNT(AQ6,BT6,CW6)&gt;1,LARGE((AQ6,BT6,CW6),2),0)</f>
        <v>47.3</v>
      </c>
      <c r="M6" s="8" t="str">
        <f t="shared" si="7"/>
        <v>2022 Nationals</v>
      </c>
      <c r="N6" s="8">
        <f>IF(COUNT(AR6,BU6,CX6)&gt;0,LARGE((AR6,BU6,CX6),1),0)</f>
        <v>24.299999999999997</v>
      </c>
      <c r="O6" s="8" t="str">
        <f t="shared" si="8"/>
        <v>2022 3rd Domestic Trial</v>
      </c>
      <c r="P6" s="8">
        <f t="shared" si="9"/>
        <v>49.4</v>
      </c>
      <c r="Q6" s="8" t="str">
        <f t="shared" si="10"/>
        <v>2022 Nationals</v>
      </c>
      <c r="R6" s="8">
        <f t="shared" si="11"/>
        <v>1.2000000000000028</v>
      </c>
      <c r="S6" s="11" t="str">
        <f t="shared" si="12"/>
        <v>(Q1)</v>
      </c>
      <c r="T6" s="8" t="str">
        <f t="shared" si="13"/>
        <v>2022 Coimbra Gym Fest (June 26)</v>
      </c>
      <c r="U6" s="19">
        <v>18.3</v>
      </c>
      <c r="V6" s="19">
        <v>5.2</v>
      </c>
      <c r="W6" s="19">
        <v>0</v>
      </c>
      <c r="X6" s="19">
        <v>0</v>
      </c>
      <c r="Y6" s="19">
        <v>18.8</v>
      </c>
      <c r="Z6" s="19">
        <v>5.6</v>
      </c>
      <c r="AA6" s="19">
        <v>0.6</v>
      </c>
      <c r="AB6" s="19">
        <v>0</v>
      </c>
      <c r="AC6" s="19">
        <v>18.399999999999999</v>
      </c>
      <c r="AD6" s="19">
        <v>5.2</v>
      </c>
      <c r="AE6" s="19">
        <v>0</v>
      </c>
      <c r="AF6" s="19">
        <v>0</v>
      </c>
      <c r="AG6" s="19">
        <v>19</v>
      </c>
      <c r="AH6" s="19">
        <v>6</v>
      </c>
      <c r="AI6" s="19">
        <v>0</v>
      </c>
      <c r="AJ6" s="19">
        <v>0</v>
      </c>
      <c r="AK6" s="19">
        <v>19.399999999999999</v>
      </c>
      <c r="AL6" s="19">
        <v>5.6</v>
      </c>
      <c r="AM6" s="19">
        <v>0.6</v>
      </c>
      <c r="AN6" s="19">
        <v>0</v>
      </c>
      <c r="AO6" s="27"/>
      <c r="AP6" s="40">
        <f t="shared" si="14"/>
        <v>10.8</v>
      </c>
      <c r="AQ6" s="40">
        <f t="shared" si="15"/>
        <v>47.3</v>
      </c>
      <c r="AR6" s="40">
        <f t="shared" si="16"/>
        <v>23.599999999999998</v>
      </c>
      <c r="AS6" s="40">
        <f t="shared" si="17"/>
        <v>16</v>
      </c>
      <c r="AT6" s="40">
        <f t="shared" si="18"/>
        <v>70.899999999999991</v>
      </c>
      <c r="AU6" s="40">
        <f t="shared" si="19"/>
        <v>11.6</v>
      </c>
      <c r="AV6" s="40">
        <f t="shared" si="20"/>
        <v>49.4</v>
      </c>
      <c r="AW6" s="40">
        <f t="shared" si="21"/>
        <v>96.699999999999989</v>
      </c>
      <c r="AX6" s="18">
        <v>19</v>
      </c>
      <c r="AY6" s="18">
        <v>5.2</v>
      </c>
      <c r="AZ6" s="18">
        <v>0.2</v>
      </c>
      <c r="BA6" s="18">
        <v>0</v>
      </c>
      <c r="BB6" s="18">
        <v>17.399999999999999</v>
      </c>
      <c r="BC6" s="18">
        <v>2.8</v>
      </c>
      <c r="BD6" s="18">
        <v>0</v>
      </c>
      <c r="BE6" s="18">
        <v>0</v>
      </c>
      <c r="BF6" s="18">
        <v>18.5</v>
      </c>
      <c r="BG6" s="18">
        <v>6.4</v>
      </c>
      <c r="BH6" s="18">
        <v>0.6</v>
      </c>
      <c r="BI6" s="18">
        <v>0</v>
      </c>
      <c r="BJ6" s="18">
        <v>17</v>
      </c>
      <c r="BK6" s="18">
        <v>6</v>
      </c>
      <c r="BL6" s="18">
        <v>0.8</v>
      </c>
      <c r="BM6" s="18">
        <v>0</v>
      </c>
      <c r="BN6" s="18">
        <v>18.2</v>
      </c>
      <c r="BO6" s="18">
        <v>6</v>
      </c>
      <c r="BP6" s="18">
        <v>0.8</v>
      </c>
      <c r="BQ6" s="18">
        <v>0</v>
      </c>
      <c r="BR6" s="28"/>
      <c r="BS6" s="11">
        <f t="shared" si="22"/>
        <v>8</v>
      </c>
      <c r="BT6" s="11">
        <f t="shared" si="23"/>
        <v>44.199999999999989</v>
      </c>
      <c r="BU6" s="11">
        <f t="shared" si="24"/>
        <v>24.299999999999997</v>
      </c>
      <c r="BV6" s="11">
        <f t="shared" si="25"/>
        <v>14.4</v>
      </c>
      <c r="BW6" s="11">
        <f t="shared" si="26"/>
        <v>68.499999999999986</v>
      </c>
      <c r="BX6" s="11">
        <f t="shared" si="27"/>
        <v>12</v>
      </c>
      <c r="BY6" s="11">
        <f t="shared" si="28"/>
        <v>45.6</v>
      </c>
      <c r="BZ6" s="11">
        <f t="shared" si="29"/>
        <v>89.799999999999983</v>
      </c>
      <c r="CA6" s="19">
        <v>18.5</v>
      </c>
      <c r="CB6" s="19">
        <v>6</v>
      </c>
      <c r="CC6" s="19">
        <v>0.2</v>
      </c>
      <c r="CD6" s="19">
        <v>0</v>
      </c>
      <c r="CE6" s="19">
        <v>18.7</v>
      </c>
      <c r="CF6" s="19">
        <v>5.6</v>
      </c>
      <c r="CG6" s="19">
        <v>0</v>
      </c>
      <c r="CH6" s="19">
        <v>0</v>
      </c>
      <c r="CI6" s="19">
        <v>18.8</v>
      </c>
      <c r="CJ6" s="19">
        <v>5.2</v>
      </c>
      <c r="CK6" s="19">
        <v>0</v>
      </c>
      <c r="CL6" s="19">
        <v>0</v>
      </c>
      <c r="CM6" s="19">
        <v>18.2</v>
      </c>
      <c r="CN6" s="19">
        <v>5.6</v>
      </c>
      <c r="CO6" s="19">
        <v>0.2</v>
      </c>
      <c r="CP6" s="19">
        <v>0</v>
      </c>
      <c r="CQ6" s="19">
        <v>18.7</v>
      </c>
      <c r="CR6" s="19">
        <v>5.6</v>
      </c>
      <c r="CS6" s="19">
        <v>0.8</v>
      </c>
      <c r="CT6" s="19">
        <v>0</v>
      </c>
      <c r="CU6" s="27"/>
      <c r="CV6" s="40">
        <f t="shared" si="30"/>
        <v>11.6</v>
      </c>
      <c r="CW6" s="40">
        <f t="shared" si="31"/>
        <v>48.6</v>
      </c>
      <c r="CX6" s="40">
        <f t="shared" si="32"/>
        <v>24</v>
      </c>
      <c r="CY6" s="40">
        <f t="shared" si="33"/>
        <v>16.8</v>
      </c>
      <c r="CZ6" s="40">
        <f t="shared" si="34"/>
        <v>72.599999999999994</v>
      </c>
      <c r="DA6" s="40">
        <f t="shared" si="35"/>
        <v>11.2</v>
      </c>
      <c r="DB6" s="40">
        <f t="shared" si="36"/>
        <v>47.1</v>
      </c>
      <c r="DC6" s="40">
        <f t="shared" si="37"/>
        <v>95.7</v>
      </c>
      <c r="DD6" s="50">
        <f t="shared" si="38"/>
        <v>1.2000000000000028</v>
      </c>
      <c r="DE6" s="50" t="str">
        <f t="shared" si="39"/>
        <v/>
      </c>
      <c r="DF6" s="50" t="str">
        <f t="shared" si="40"/>
        <v/>
      </c>
      <c r="DG6" s="17">
        <v>17.399999999999999</v>
      </c>
      <c r="DH6" s="17">
        <v>2.4</v>
      </c>
      <c r="DI6" s="17">
        <v>0</v>
      </c>
      <c r="DJ6" s="17">
        <v>0</v>
      </c>
      <c r="DK6" s="17">
        <v>18.2</v>
      </c>
      <c r="DL6" s="17">
        <v>5.6</v>
      </c>
      <c r="DM6" s="17">
        <v>0.2</v>
      </c>
      <c r="DN6" s="17">
        <v>0</v>
      </c>
      <c r="DO6" s="17"/>
      <c r="DP6" s="17"/>
      <c r="DQ6" s="17"/>
      <c r="DR6" s="17"/>
      <c r="DS6" s="17">
        <v>18.399999999999999</v>
      </c>
      <c r="DT6" s="17">
        <v>5.6</v>
      </c>
      <c r="DU6" s="17">
        <v>0.2</v>
      </c>
      <c r="DV6" s="17">
        <v>0</v>
      </c>
      <c r="DW6" s="17">
        <v>18.8</v>
      </c>
      <c r="DX6" s="17">
        <v>5.6</v>
      </c>
      <c r="DY6" s="17">
        <v>0</v>
      </c>
      <c r="DZ6" s="17">
        <v>0</v>
      </c>
      <c r="EA6" s="40">
        <f t="shared" si="41"/>
        <v>8</v>
      </c>
      <c r="EB6" s="40">
        <f t="shared" si="42"/>
        <v>43.4</v>
      </c>
      <c r="EC6" s="40" t="str">
        <f t="shared" si="43"/>
        <v/>
      </c>
      <c r="ED6" s="40">
        <f t="shared" si="44"/>
        <v>8</v>
      </c>
      <c r="EE6" s="40">
        <f t="shared" si="45"/>
        <v>43.4</v>
      </c>
      <c r="EF6" s="40">
        <f t="shared" si="46"/>
        <v>11.2</v>
      </c>
      <c r="EG6" s="40">
        <f t="shared" si="47"/>
        <v>48.199999999999996</v>
      </c>
      <c r="EH6" s="40">
        <f t="shared" si="48"/>
        <v>91.6</v>
      </c>
      <c r="EI6" s="18"/>
      <c r="EJ6" s="18"/>
      <c r="EK6" s="18"/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8"/>
      <c r="EY6" s="18"/>
      <c r="EZ6" s="18"/>
      <c r="FA6" s="18"/>
      <c r="FB6" s="18"/>
      <c r="FC6" s="11" t="str">
        <f t="shared" si="49"/>
        <v/>
      </c>
      <c r="FD6" s="11" t="str">
        <f t="shared" si="50"/>
        <v/>
      </c>
      <c r="FE6" s="11" t="str">
        <f t="shared" si="51"/>
        <v/>
      </c>
      <c r="FF6" s="11" t="str">
        <f t="shared" si="52"/>
        <v/>
      </c>
      <c r="FG6" s="11" t="str">
        <f t="shared" si="53"/>
        <v/>
      </c>
      <c r="FH6" s="11" t="str">
        <f t="shared" si="54"/>
        <v/>
      </c>
      <c r="FI6" s="11" t="str">
        <f t="shared" si="55"/>
        <v/>
      </c>
      <c r="FJ6" s="11" t="str">
        <f t="shared" si="56"/>
        <v/>
      </c>
      <c r="FK6" s="17"/>
      <c r="FL6" s="17"/>
      <c r="FM6" s="17"/>
      <c r="FN6" s="17"/>
      <c r="FO6" s="17"/>
      <c r="FP6" s="17"/>
      <c r="FQ6" s="17"/>
      <c r="FR6" s="17"/>
      <c r="FS6" s="17"/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40" t="str">
        <f t="shared" si="57"/>
        <v/>
      </c>
      <c r="GF6" s="40" t="str">
        <f t="shared" si="58"/>
        <v/>
      </c>
      <c r="GG6" s="40" t="str">
        <f t="shared" si="59"/>
        <v/>
      </c>
      <c r="GH6" s="40" t="str">
        <f t="shared" si="60"/>
        <v/>
      </c>
      <c r="GI6" s="40" t="str">
        <f t="shared" si="61"/>
        <v/>
      </c>
      <c r="GJ6" s="40" t="str">
        <f t="shared" si="62"/>
        <v/>
      </c>
      <c r="GK6" s="40" t="str">
        <f t="shared" si="63"/>
        <v/>
      </c>
      <c r="GL6" s="40" t="str">
        <f t="shared" si="64"/>
        <v/>
      </c>
      <c r="GM6" s="18">
        <v>18.600000000000001</v>
      </c>
      <c r="GN6" s="18">
        <v>6</v>
      </c>
      <c r="GO6" s="18">
        <v>0.6</v>
      </c>
      <c r="GP6" s="18">
        <v>0</v>
      </c>
      <c r="GQ6" s="18">
        <v>18.899999999999999</v>
      </c>
      <c r="GR6" s="18">
        <v>5.6</v>
      </c>
      <c r="GS6" s="18">
        <v>0</v>
      </c>
      <c r="GT6" s="18">
        <v>0</v>
      </c>
      <c r="GU6" s="18"/>
      <c r="GV6" s="18"/>
      <c r="GW6" s="18"/>
      <c r="GX6" s="18"/>
      <c r="GY6" s="18">
        <v>18.600000000000001</v>
      </c>
      <c r="GZ6" s="18">
        <v>5.6</v>
      </c>
      <c r="HA6" s="18">
        <v>0</v>
      </c>
      <c r="HB6" s="18">
        <v>0</v>
      </c>
      <c r="HC6" s="18">
        <v>18</v>
      </c>
      <c r="HD6" s="18">
        <v>5.6</v>
      </c>
      <c r="HE6" s="18">
        <v>0.2</v>
      </c>
      <c r="HF6" s="18">
        <v>0</v>
      </c>
      <c r="HG6" s="11">
        <f t="shared" si="65"/>
        <v>11.6</v>
      </c>
      <c r="HH6" s="11">
        <f t="shared" si="66"/>
        <v>48.5</v>
      </c>
      <c r="HI6" s="11" t="str">
        <f t="shared" si="67"/>
        <v/>
      </c>
      <c r="HJ6" s="11">
        <f t="shared" si="68"/>
        <v>11.6</v>
      </c>
      <c r="HK6" s="11">
        <f t="shared" si="69"/>
        <v>48.5</v>
      </c>
      <c r="HL6" s="11">
        <f t="shared" si="70"/>
        <v>11.2</v>
      </c>
      <c r="HM6" s="11">
        <f t="shared" si="71"/>
        <v>47.6</v>
      </c>
      <c r="HN6" s="11">
        <f t="shared" si="72"/>
        <v>96.1</v>
      </c>
      <c r="HO6" s="17"/>
      <c r="HP6" s="17"/>
      <c r="HQ6" s="17"/>
      <c r="HR6" s="17"/>
      <c r="HS6" s="17"/>
      <c r="HT6" s="17"/>
      <c r="HU6" s="17"/>
      <c r="HV6" s="17"/>
      <c r="HW6" s="17"/>
      <c r="HX6" s="17"/>
      <c r="HY6" s="17"/>
      <c r="HZ6" s="17"/>
      <c r="IA6" s="17"/>
      <c r="IB6" s="17"/>
      <c r="IC6" s="17"/>
      <c r="ID6" s="17"/>
      <c r="IE6" s="17"/>
      <c r="IF6" s="17"/>
      <c r="IG6" s="17"/>
      <c r="IH6" s="17"/>
      <c r="II6" s="40" t="str">
        <f t="shared" si="73"/>
        <v/>
      </c>
      <c r="IJ6" s="40" t="str">
        <f t="shared" si="74"/>
        <v/>
      </c>
      <c r="IK6" s="40" t="str">
        <f t="shared" si="75"/>
        <v/>
      </c>
      <c r="IL6" s="40" t="str">
        <f t="shared" si="76"/>
        <v/>
      </c>
      <c r="IM6" s="40" t="str">
        <f t="shared" si="77"/>
        <v/>
      </c>
      <c r="IN6" s="40" t="str">
        <f t="shared" si="78"/>
        <v/>
      </c>
      <c r="IO6" s="40" t="str">
        <f t="shared" si="79"/>
        <v/>
      </c>
      <c r="IP6" s="40" t="str">
        <f t="shared" si="80"/>
        <v/>
      </c>
      <c r="IQ6" s="18"/>
      <c r="IR6" s="18"/>
      <c r="IS6" s="18"/>
      <c r="IT6" s="18"/>
      <c r="IU6" s="18"/>
      <c r="IV6" s="18"/>
      <c r="IW6" s="18"/>
      <c r="IX6" s="18"/>
      <c r="IY6" s="18"/>
      <c r="IZ6" s="18"/>
      <c r="JA6" s="18"/>
      <c r="JB6" s="18"/>
      <c r="JC6" s="18"/>
      <c r="JD6" s="18"/>
      <c r="JE6" s="18"/>
      <c r="JF6" s="18"/>
      <c r="JG6" s="18"/>
      <c r="JH6" s="18"/>
      <c r="JI6" s="18"/>
      <c r="JJ6" s="18"/>
      <c r="JK6" s="11" t="str">
        <f t="shared" si="81"/>
        <v/>
      </c>
      <c r="JL6" s="11" t="str">
        <f t="shared" si="82"/>
        <v/>
      </c>
      <c r="JM6" s="11" t="str">
        <f t="shared" si="83"/>
        <v/>
      </c>
      <c r="JN6" s="11" t="str">
        <f t="shared" si="84"/>
        <v/>
      </c>
      <c r="JO6" s="11" t="str">
        <f t="shared" si="85"/>
        <v/>
      </c>
      <c r="JP6" s="11" t="str">
        <f t="shared" si="86"/>
        <v/>
      </c>
      <c r="JQ6" s="11" t="str">
        <f t="shared" si="87"/>
        <v/>
      </c>
      <c r="JR6" s="11" t="str">
        <f t="shared" si="88"/>
        <v/>
      </c>
      <c r="JS6" s="17">
        <v>16.899999999999999</v>
      </c>
      <c r="JT6" s="17">
        <v>6</v>
      </c>
      <c r="JU6" s="17">
        <v>0.8</v>
      </c>
      <c r="JV6" s="17">
        <v>0</v>
      </c>
      <c r="JW6" s="17">
        <v>18.8</v>
      </c>
      <c r="JX6" s="17">
        <v>5.6</v>
      </c>
      <c r="JY6" s="17">
        <v>0</v>
      </c>
      <c r="JZ6" s="17">
        <v>0</v>
      </c>
      <c r="KA6" s="17"/>
      <c r="KB6" s="17"/>
      <c r="KC6" s="17"/>
      <c r="KD6" s="17"/>
      <c r="KE6" s="17"/>
      <c r="KF6" s="17"/>
      <c r="KG6" s="17"/>
      <c r="KH6" s="17"/>
      <c r="KI6" s="17"/>
      <c r="KJ6" s="17"/>
      <c r="KK6" s="17"/>
      <c r="KL6" s="17"/>
      <c r="KM6" s="40">
        <f t="shared" si="89"/>
        <v>11.6</v>
      </c>
      <c r="KN6" s="40">
        <f t="shared" si="90"/>
        <v>46.500000000000007</v>
      </c>
      <c r="KO6" s="40" t="str">
        <f t="shared" si="91"/>
        <v/>
      </c>
      <c r="KP6" s="40">
        <f t="shared" si="92"/>
        <v>11.6</v>
      </c>
      <c r="KQ6" s="40">
        <f t="shared" si="93"/>
        <v>46.500000000000007</v>
      </c>
      <c r="KR6" s="40" t="str">
        <f t="shared" si="94"/>
        <v/>
      </c>
      <c r="KS6" s="40" t="str">
        <f t="shared" si="95"/>
        <v/>
      </c>
      <c r="KT6" s="40">
        <f t="shared" si="96"/>
        <v>46.500000000000007</v>
      </c>
      <c r="KU6" s="18"/>
      <c r="KV6" s="18"/>
      <c r="KW6" s="18"/>
      <c r="KX6" s="18"/>
      <c r="KY6" s="18"/>
      <c r="KZ6" s="18"/>
      <c r="LA6" s="18"/>
      <c r="LB6" s="18"/>
      <c r="LC6" s="18"/>
      <c r="LD6" s="18"/>
      <c r="LE6" s="18"/>
      <c r="LF6" s="18"/>
      <c r="LG6" s="18"/>
      <c r="LH6" s="18"/>
      <c r="LI6" s="18"/>
      <c r="LJ6" s="18"/>
      <c r="LK6" s="18"/>
      <c r="LL6" s="18"/>
      <c r="LM6" s="18"/>
      <c r="LN6" s="18"/>
      <c r="LO6" s="11" t="str">
        <f t="shared" si="97"/>
        <v/>
      </c>
      <c r="LP6" s="11" t="str">
        <f t="shared" si="98"/>
        <v/>
      </c>
      <c r="LQ6" s="11" t="str">
        <f t="shared" si="99"/>
        <v/>
      </c>
      <c r="LR6" s="11" t="str">
        <f t="shared" si="100"/>
        <v/>
      </c>
      <c r="LS6" s="11" t="str">
        <f t="shared" si="101"/>
        <v/>
      </c>
      <c r="LT6" s="11" t="str">
        <f t="shared" si="102"/>
        <v/>
      </c>
      <c r="LU6" s="11" t="str">
        <f t="shared" si="103"/>
        <v/>
      </c>
      <c r="LV6" s="11" t="str">
        <f t="shared" si="104"/>
        <v/>
      </c>
      <c r="LW6" s="17"/>
      <c r="LX6" s="17"/>
      <c r="LY6" s="17"/>
      <c r="LZ6" s="17"/>
      <c r="MA6" s="17"/>
      <c r="MB6" s="17"/>
      <c r="MC6" s="17"/>
      <c r="MD6" s="17"/>
      <c r="ME6" s="17"/>
      <c r="MF6" s="17"/>
      <c r="MG6" s="17"/>
      <c r="MH6" s="17"/>
      <c r="MI6" s="17"/>
      <c r="MJ6" s="17"/>
      <c r="MK6" s="17"/>
      <c r="ML6" s="17"/>
      <c r="MM6" s="17"/>
      <c r="MN6" s="17"/>
      <c r="MO6" s="17"/>
      <c r="MP6" s="17"/>
      <c r="MQ6" s="40" t="str">
        <f t="shared" si="105"/>
        <v/>
      </c>
      <c r="MR6" s="40" t="str">
        <f t="shared" si="106"/>
        <v/>
      </c>
      <c r="MS6" s="40" t="str">
        <f t="shared" si="107"/>
        <v/>
      </c>
      <c r="MT6" s="40" t="str">
        <f t="shared" si="108"/>
        <v/>
      </c>
      <c r="MU6" s="40" t="str">
        <f t="shared" si="109"/>
        <v/>
      </c>
      <c r="MV6" s="40" t="str">
        <f t="shared" si="110"/>
        <v/>
      </c>
      <c r="MW6" s="40" t="str">
        <f t="shared" si="111"/>
        <v/>
      </c>
      <c r="MX6" s="40" t="str">
        <f t="shared" si="112"/>
        <v/>
      </c>
      <c r="MY6" s="18"/>
      <c r="MZ6" s="18"/>
      <c r="NA6" s="18"/>
      <c r="NB6" s="18"/>
      <c r="NC6" s="18"/>
      <c r="ND6" s="18"/>
      <c r="NE6" s="18"/>
      <c r="NF6" s="18"/>
      <c r="NG6" s="18"/>
      <c r="NH6" s="18"/>
      <c r="NI6" s="18"/>
      <c r="NJ6" s="18"/>
      <c r="NK6" s="18"/>
      <c r="NL6" s="18"/>
      <c r="NM6" s="18"/>
      <c r="NN6" s="18"/>
      <c r="NO6" s="18"/>
      <c r="NP6" s="18"/>
      <c r="NQ6" s="18"/>
      <c r="NR6" s="18"/>
      <c r="NS6" s="11" t="str">
        <f t="shared" si="113"/>
        <v/>
      </c>
      <c r="NT6" s="11" t="str">
        <f t="shared" si="114"/>
        <v/>
      </c>
      <c r="NU6" s="11" t="str">
        <f t="shared" si="115"/>
        <v/>
      </c>
      <c r="NV6" s="11" t="str">
        <f t="shared" si="116"/>
        <v/>
      </c>
      <c r="NW6" s="11" t="str">
        <f t="shared" si="117"/>
        <v/>
      </c>
      <c r="NX6" s="11" t="str">
        <f t="shared" si="118"/>
        <v/>
      </c>
      <c r="NY6" s="11" t="str">
        <f t="shared" si="119"/>
        <v/>
      </c>
      <c r="NZ6" s="11" t="str">
        <f t="shared" si="120"/>
        <v/>
      </c>
      <c r="OA6" s="17"/>
      <c r="OB6" s="17"/>
      <c r="OC6" s="17"/>
      <c r="OD6" s="17"/>
      <c r="OE6" s="17"/>
      <c r="OF6" s="17"/>
      <c r="OG6" s="17"/>
      <c r="OH6" s="17"/>
      <c r="OI6" s="17"/>
      <c r="OJ6" s="17"/>
      <c r="OK6" s="17"/>
      <c r="OL6" s="17"/>
      <c r="OM6" s="17"/>
      <c r="ON6" s="17"/>
      <c r="OO6" s="17"/>
      <c r="OP6" s="17"/>
      <c r="OQ6" s="17"/>
      <c r="OR6" s="17"/>
      <c r="OS6" s="17"/>
      <c r="OT6" s="17"/>
      <c r="OU6" s="40" t="str">
        <f t="shared" si="121"/>
        <v/>
      </c>
      <c r="OV6" s="40" t="str">
        <f t="shared" si="122"/>
        <v/>
      </c>
      <c r="OW6" s="40" t="str">
        <f t="shared" si="123"/>
        <v/>
      </c>
      <c r="OX6" s="40" t="str">
        <f t="shared" si="124"/>
        <v/>
      </c>
      <c r="OY6" s="40" t="str">
        <f t="shared" si="125"/>
        <v/>
      </c>
      <c r="OZ6" s="40" t="str">
        <f t="shared" si="126"/>
        <v/>
      </c>
      <c r="PA6" s="40" t="str">
        <f t="shared" si="127"/>
        <v/>
      </c>
      <c r="PB6" s="40" t="str">
        <f t="shared" si="128"/>
        <v/>
      </c>
      <c r="PC6" s="18"/>
      <c r="PD6" s="18"/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8"/>
      <c r="PS6" s="18"/>
      <c r="PT6" s="18"/>
      <c r="PU6" s="18"/>
      <c r="PV6" s="18"/>
      <c r="PW6" s="11" t="str">
        <f t="shared" si="129"/>
        <v/>
      </c>
      <c r="PX6" s="11" t="str">
        <f t="shared" si="130"/>
        <v/>
      </c>
      <c r="PY6" s="11" t="str">
        <f t="shared" si="131"/>
        <v/>
      </c>
      <c r="PZ6" s="11" t="str">
        <f t="shared" si="132"/>
        <v/>
      </c>
      <c r="QA6" s="11" t="str">
        <f t="shared" si="133"/>
        <v/>
      </c>
      <c r="QB6" s="11" t="str">
        <f t="shared" si="134"/>
        <v/>
      </c>
      <c r="QC6" s="11" t="str">
        <f t="shared" si="135"/>
        <v/>
      </c>
      <c r="QD6" s="11" t="str">
        <f t="shared" si="136"/>
        <v/>
      </c>
      <c r="QE6" s="22">
        <f t="shared" si="137"/>
        <v>18.75</v>
      </c>
      <c r="QF6" s="22">
        <f t="shared" si="138"/>
        <v>5.6</v>
      </c>
      <c r="QG6" s="22">
        <f t="shared" si="139"/>
        <v>0.2</v>
      </c>
      <c r="QH6" s="22">
        <f t="shared" si="140"/>
        <v>0</v>
      </c>
      <c r="QI6" s="22">
        <f t="shared" si="141"/>
        <v>18.049999999999997</v>
      </c>
      <c r="QJ6" s="22">
        <f t="shared" si="142"/>
        <v>4.1999999999999993</v>
      </c>
      <c r="QK6" s="22">
        <f t="shared" si="143"/>
        <v>0</v>
      </c>
      <c r="QL6" s="22">
        <f t="shared" si="144"/>
        <v>0</v>
      </c>
      <c r="QM6" s="22">
        <f t="shared" si="145"/>
        <v>18.649999999999999</v>
      </c>
      <c r="QN6" s="22">
        <f t="shared" si="146"/>
        <v>5.8000000000000007</v>
      </c>
      <c r="QO6" s="22">
        <f t="shared" si="147"/>
        <v>0.3</v>
      </c>
      <c r="QP6" s="22">
        <f t="shared" si="148"/>
        <v>0</v>
      </c>
      <c r="QQ6" s="22">
        <f t="shared" si="149"/>
        <v>17.600000000000001</v>
      </c>
      <c r="QR6" s="22">
        <f t="shared" si="150"/>
        <v>5.8</v>
      </c>
      <c r="QS6" s="22">
        <f t="shared" si="151"/>
        <v>0.5</v>
      </c>
      <c r="QT6" s="22">
        <f t="shared" si="152"/>
        <v>0</v>
      </c>
      <c r="QU6" s="22">
        <f t="shared" si="153"/>
        <v>18.45</v>
      </c>
      <c r="QV6" s="22">
        <f t="shared" si="154"/>
        <v>5.8</v>
      </c>
      <c r="QW6" s="22">
        <f t="shared" si="155"/>
        <v>0.8</v>
      </c>
      <c r="QX6" s="22">
        <f t="shared" si="156"/>
        <v>0</v>
      </c>
      <c r="QY6" s="27" t="s">
        <v>46</v>
      </c>
      <c r="QZ6" s="40">
        <f t="shared" si="157"/>
        <v>9.7999999999999989</v>
      </c>
      <c r="RA6" s="40">
        <f t="shared" si="158"/>
        <v>46.399999999999991</v>
      </c>
      <c r="RB6" s="40">
        <f t="shared" si="159"/>
        <v>24.15</v>
      </c>
      <c r="RC6" s="40">
        <f t="shared" si="160"/>
        <v>15.6</v>
      </c>
      <c r="RD6" s="40">
        <f t="shared" si="161"/>
        <v>70.549999999999983</v>
      </c>
      <c r="RE6" s="40">
        <f t="shared" si="162"/>
        <v>11.6</v>
      </c>
      <c r="RF6" s="40">
        <f t="shared" si="163"/>
        <v>46.35</v>
      </c>
      <c r="RG6" s="40">
        <f t="shared" si="164"/>
        <v>92.75</v>
      </c>
    </row>
    <row r="7" spans="1:475" x14ac:dyDescent="0.2">
      <c r="A7" s="4">
        <f t="shared" si="0"/>
        <v>4</v>
      </c>
      <c r="B7" s="5" t="s">
        <v>73</v>
      </c>
      <c r="C7" s="4" t="s">
        <v>5</v>
      </c>
      <c r="D7" s="4">
        <v>2003</v>
      </c>
      <c r="E7" s="9">
        <f t="shared" si="1"/>
        <v>166.80000700000477</v>
      </c>
      <c r="F7" s="3" t="str">
        <f t="shared" si="2"/>
        <v>P</v>
      </c>
      <c r="G7" s="3" t="str">
        <f t="shared" si="3"/>
        <v>P</v>
      </c>
      <c r="H7" s="36" t="str">
        <f t="shared" si="4"/>
        <v>National Team</v>
      </c>
      <c r="I7" s="3" t="str">
        <f t="shared" si="5"/>
        <v/>
      </c>
      <c r="J7" s="8">
        <f>IF(COUNT(AQ7,BT7,CW7)&gt;0,LARGE((AQ7,BT7,CW7),1),0)</f>
        <v>47.8</v>
      </c>
      <c r="K7" s="8" t="str">
        <f t="shared" si="6"/>
        <v>2022 Nationals</v>
      </c>
      <c r="L7" s="8">
        <f>IF(COUNT(AQ7,BT7,CW7)&gt;1,LARGE((AQ7,BT7,CW7),2),0)</f>
        <v>0</v>
      </c>
      <c r="M7" s="8" t="str">
        <f t="shared" si="7"/>
        <v/>
      </c>
      <c r="N7" s="8">
        <f>IF(COUNT(AR7,BU7,CX7)&gt;0,LARGE((AR7,BU7,CX7),1),0)</f>
        <v>22.2</v>
      </c>
      <c r="O7" s="8" t="str">
        <f t="shared" si="8"/>
        <v>2022 Nationals</v>
      </c>
      <c r="P7" s="8">
        <f t="shared" si="9"/>
        <v>48.199999999999996</v>
      </c>
      <c r="Q7" s="8" t="str">
        <f t="shared" si="10"/>
        <v>2022 Nationals</v>
      </c>
      <c r="R7" s="8">
        <f t="shared" si="11"/>
        <v>48.6</v>
      </c>
      <c r="S7" s="11" t="str">
        <f t="shared" si="12"/>
        <v>(Q1)</v>
      </c>
      <c r="T7" s="8" t="str">
        <f t="shared" si="13"/>
        <v>2022 World Games Technical Trial #2 (May 15)</v>
      </c>
      <c r="U7" s="19">
        <v>18.399999999999999</v>
      </c>
      <c r="V7" s="19">
        <v>6</v>
      </c>
      <c r="W7" s="19">
        <v>0</v>
      </c>
      <c r="X7" s="19">
        <v>0</v>
      </c>
      <c r="Y7" s="19">
        <v>18.399999999999999</v>
      </c>
      <c r="Z7" s="19">
        <v>5.6</v>
      </c>
      <c r="AA7" s="19">
        <v>0.6</v>
      </c>
      <c r="AB7" s="19">
        <v>0</v>
      </c>
      <c r="AC7" s="19">
        <v>18</v>
      </c>
      <c r="AD7" s="19">
        <v>4.8</v>
      </c>
      <c r="AE7" s="19">
        <v>0.6</v>
      </c>
      <c r="AF7" s="19">
        <v>0</v>
      </c>
      <c r="AG7" s="19">
        <v>18.2</v>
      </c>
      <c r="AH7" s="19">
        <v>6</v>
      </c>
      <c r="AI7" s="19">
        <v>0</v>
      </c>
      <c r="AJ7" s="19">
        <v>0</v>
      </c>
      <c r="AK7" s="19">
        <v>18.399999999999999</v>
      </c>
      <c r="AL7" s="19">
        <v>5.6</v>
      </c>
      <c r="AM7" s="19">
        <v>0</v>
      </c>
      <c r="AN7" s="19">
        <v>0</v>
      </c>
      <c r="AO7" s="27"/>
      <c r="AP7" s="40">
        <f t="shared" si="14"/>
        <v>11.6</v>
      </c>
      <c r="AQ7" s="40">
        <f t="shared" si="15"/>
        <v>47.8</v>
      </c>
      <c r="AR7" s="40">
        <f t="shared" si="16"/>
        <v>22.2</v>
      </c>
      <c r="AS7" s="40">
        <f t="shared" si="17"/>
        <v>16.399999999999999</v>
      </c>
      <c r="AT7" s="40">
        <f t="shared" si="18"/>
        <v>70</v>
      </c>
      <c r="AU7" s="40">
        <f t="shared" si="19"/>
        <v>11.6</v>
      </c>
      <c r="AV7" s="40">
        <f t="shared" si="20"/>
        <v>48.199999999999996</v>
      </c>
      <c r="AW7" s="40">
        <f t="shared" si="21"/>
        <v>96</v>
      </c>
      <c r="AX7" s="18"/>
      <c r="AY7" s="18"/>
      <c r="AZ7" s="18"/>
      <c r="BA7" s="18"/>
      <c r="BB7" s="18"/>
      <c r="BC7" s="18"/>
      <c r="BD7" s="18"/>
      <c r="BE7" s="18"/>
      <c r="BF7" s="18"/>
      <c r="BG7" s="18"/>
      <c r="BH7" s="18"/>
      <c r="BI7" s="18"/>
      <c r="BJ7" s="18"/>
      <c r="BK7" s="18"/>
      <c r="BL7" s="18"/>
      <c r="BM7" s="18"/>
      <c r="BN7" s="18"/>
      <c r="BO7" s="18"/>
      <c r="BP7" s="18"/>
      <c r="BQ7" s="18"/>
      <c r="BR7" s="28"/>
      <c r="BS7" s="11" t="str">
        <f t="shared" si="22"/>
        <v/>
      </c>
      <c r="BT7" s="11" t="str">
        <f t="shared" si="23"/>
        <v/>
      </c>
      <c r="BU7" s="11" t="str">
        <f t="shared" si="24"/>
        <v/>
      </c>
      <c r="BV7" s="11" t="str">
        <f t="shared" si="25"/>
        <v/>
      </c>
      <c r="BW7" s="11" t="str">
        <f t="shared" si="26"/>
        <v/>
      </c>
      <c r="BX7" s="11" t="str">
        <f t="shared" si="27"/>
        <v/>
      </c>
      <c r="BY7" s="11" t="str">
        <f t="shared" si="28"/>
        <v/>
      </c>
      <c r="BZ7" s="11" t="str">
        <f t="shared" si="29"/>
        <v/>
      </c>
      <c r="CA7" s="19"/>
      <c r="CB7" s="19"/>
      <c r="CC7" s="19"/>
      <c r="CD7" s="19"/>
      <c r="CE7" s="19"/>
      <c r="CF7" s="19"/>
      <c r="CG7" s="19"/>
      <c r="CH7" s="19"/>
      <c r="CI7" s="19"/>
      <c r="CJ7" s="19"/>
      <c r="CK7" s="19"/>
      <c r="CL7" s="19"/>
      <c r="CM7" s="19"/>
      <c r="CN7" s="19"/>
      <c r="CO7" s="19"/>
      <c r="CP7" s="19"/>
      <c r="CQ7" s="19"/>
      <c r="CR7" s="19"/>
      <c r="CS7" s="19"/>
      <c r="CT7" s="19"/>
      <c r="CU7" s="27"/>
      <c r="CV7" s="40" t="str">
        <f t="shared" si="30"/>
        <v/>
      </c>
      <c r="CW7" s="40" t="str">
        <f t="shared" si="31"/>
        <v/>
      </c>
      <c r="CX7" s="40" t="str">
        <f t="shared" si="32"/>
        <v/>
      </c>
      <c r="CY7" s="40" t="str">
        <f t="shared" si="33"/>
        <v/>
      </c>
      <c r="CZ7" s="40" t="str">
        <f t="shared" si="34"/>
        <v/>
      </c>
      <c r="DA7" s="40" t="str">
        <f t="shared" si="35"/>
        <v/>
      </c>
      <c r="DB7" s="40" t="str">
        <f t="shared" si="36"/>
        <v/>
      </c>
      <c r="DC7" s="40" t="str">
        <f t="shared" si="37"/>
        <v/>
      </c>
      <c r="DD7" s="50">
        <f t="shared" si="38"/>
        <v>48.6</v>
      </c>
      <c r="DE7" s="50" t="str">
        <f t="shared" si="39"/>
        <v/>
      </c>
      <c r="DF7" s="50" t="str">
        <f t="shared" si="40"/>
        <v/>
      </c>
      <c r="DG7" s="17">
        <v>18.600000000000001</v>
      </c>
      <c r="DH7" s="17">
        <v>6</v>
      </c>
      <c r="DI7" s="17">
        <v>0.2</v>
      </c>
      <c r="DJ7" s="17">
        <v>0</v>
      </c>
      <c r="DK7" s="17">
        <v>18.8</v>
      </c>
      <c r="DL7" s="17">
        <v>5.6</v>
      </c>
      <c r="DM7" s="17">
        <v>0.2</v>
      </c>
      <c r="DN7" s="17">
        <v>0</v>
      </c>
      <c r="DO7" s="17"/>
      <c r="DP7" s="17"/>
      <c r="DQ7" s="17"/>
      <c r="DR7" s="17"/>
      <c r="DS7" s="17">
        <v>18.2</v>
      </c>
      <c r="DT7" s="17">
        <v>4.4000000000000004</v>
      </c>
      <c r="DU7" s="17">
        <v>0.2</v>
      </c>
      <c r="DV7" s="17">
        <v>0</v>
      </c>
      <c r="DW7" s="17">
        <v>18.5</v>
      </c>
      <c r="DX7" s="17">
        <v>6.4</v>
      </c>
      <c r="DY7" s="17">
        <v>0</v>
      </c>
      <c r="DZ7" s="17">
        <v>0</v>
      </c>
      <c r="EA7" s="40">
        <f t="shared" si="41"/>
        <v>11.6</v>
      </c>
      <c r="EB7" s="40">
        <f t="shared" si="42"/>
        <v>48.6</v>
      </c>
      <c r="EC7" s="40" t="str">
        <f t="shared" si="43"/>
        <v/>
      </c>
      <c r="ED7" s="40">
        <f t="shared" si="44"/>
        <v>11.6</v>
      </c>
      <c r="EE7" s="40">
        <f t="shared" si="45"/>
        <v>48.6</v>
      </c>
      <c r="EF7" s="40">
        <f t="shared" si="46"/>
        <v>10.8</v>
      </c>
      <c r="EG7" s="40">
        <f t="shared" si="47"/>
        <v>47.3</v>
      </c>
      <c r="EH7" s="40">
        <f t="shared" si="48"/>
        <v>95.9</v>
      </c>
      <c r="EI7" s="18"/>
      <c r="EJ7" s="18"/>
      <c r="EK7" s="18"/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8"/>
      <c r="FA7" s="18"/>
      <c r="FB7" s="18"/>
      <c r="FC7" s="11" t="str">
        <f t="shared" si="49"/>
        <v/>
      </c>
      <c r="FD7" s="11" t="str">
        <f t="shared" si="50"/>
        <v/>
      </c>
      <c r="FE7" s="11" t="str">
        <f t="shared" si="51"/>
        <v/>
      </c>
      <c r="FF7" s="11" t="str">
        <f t="shared" si="52"/>
        <v/>
      </c>
      <c r="FG7" s="11" t="str">
        <f t="shared" si="53"/>
        <v/>
      </c>
      <c r="FH7" s="11" t="str">
        <f t="shared" si="54"/>
        <v/>
      </c>
      <c r="FI7" s="11" t="str">
        <f t="shared" si="55"/>
        <v/>
      </c>
      <c r="FJ7" s="11" t="str">
        <f t="shared" si="56"/>
        <v/>
      </c>
      <c r="FK7" s="17"/>
      <c r="FL7" s="17"/>
      <c r="FM7" s="17"/>
      <c r="FN7" s="17"/>
      <c r="FO7" s="17"/>
      <c r="FP7" s="17"/>
      <c r="FQ7" s="17"/>
      <c r="FR7" s="17"/>
      <c r="FS7" s="17"/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40" t="str">
        <f t="shared" si="57"/>
        <v/>
      </c>
      <c r="GF7" s="40" t="str">
        <f t="shared" si="58"/>
        <v/>
      </c>
      <c r="GG7" s="40" t="str">
        <f t="shared" si="59"/>
        <v/>
      </c>
      <c r="GH7" s="40" t="str">
        <f t="shared" si="60"/>
        <v/>
      </c>
      <c r="GI7" s="40" t="str">
        <f t="shared" si="61"/>
        <v/>
      </c>
      <c r="GJ7" s="40" t="str">
        <f t="shared" si="62"/>
        <v/>
      </c>
      <c r="GK7" s="40" t="str">
        <f t="shared" si="63"/>
        <v/>
      </c>
      <c r="GL7" s="40" t="str">
        <f t="shared" si="64"/>
        <v/>
      </c>
      <c r="GM7" s="18">
        <v>18.100000000000001</v>
      </c>
      <c r="GN7" s="18">
        <v>6</v>
      </c>
      <c r="GO7" s="18">
        <v>0</v>
      </c>
      <c r="GP7" s="18">
        <v>0</v>
      </c>
      <c r="GQ7" s="18">
        <v>18.2</v>
      </c>
      <c r="GR7" s="18">
        <v>5.6</v>
      </c>
      <c r="GS7" s="18">
        <v>0</v>
      </c>
      <c r="GT7" s="18">
        <v>0</v>
      </c>
      <c r="GU7" s="18"/>
      <c r="GV7" s="18"/>
      <c r="GW7" s="18"/>
      <c r="GX7" s="18"/>
      <c r="GY7" s="18">
        <v>17.899999999999999</v>
      </c>
      <c r="GZ7" s="18">
        <v>6.4</v>
      </c>
      <c r="HA7" s="18">
        <v>0.8</v>
      </c>
      <c r="HB7" s="18">
        <v>0</v>
      </c>
      <c r="HC7" s="18"/>
      <c r="HD7" s="18"/>
      <c r="HE7" s="18"/>
      <c r="HF7" s="18"/>
      <c r="HG7" s="11">
        <f t="shared" si="65"/>
        <v>11.6</v>
      </c>
      <c r="HH7" s="11">
        <f t="shared" si="66"/>
        <v>47.9</v>
      </c>
      <c r="HI7" s="11" t="str">
        <f t="shared" si="67"/>
        <v/>
      </c>
      <c r="HJ7" s="11">
        <f t="shared" si="68"/>
        <v>11.6</v>
      </c>
      <c r="HK7" s="11">
        <f t="shared" si="69"/>
        <v>47.9</v>
      </c>
      <c r="HL7" s="11">
        <f t="shared" si="70"/>
        <v>6.4</v>
      </c>
      <c r="HM7" s="11">
        <f t="shared" si="71"/>
        <v>23.499999999999996</v>
      </c>
      <c r="HN7" s="11">
        <f t="shared" si="72"/>
        <v>71.399999999999991</v>
      </c>
      <c r="HO7" s="17"/>
      <c r="HP7" s="17"/>
      <c r="HQ7" s="17"/>
      <c r="HR7" s="17"/>
      <c r="HS7" s="17"/>
      <c r="HT7" s="17"/>
      <c r="HU7" s="17"/>
      <c r="HV7" s="17"/>
      <c r="HW7" s="17"/>
      <c r="HX7" s="17"/>
      <c r="HY7" s="17"/>
      <c r="HZ7" s="17"/>
      <c r="IA7" s="17"/>
      <c r="IB7" s="17"/>
      <c r="IC7" s="17"/>
      <c r="ID7" s="17"/>
      <c r="IE7" s="17"/>
      <c r="IF7" s="17"/>
      <c r="IG7" s="17"/>
      <c r="IH7" s="17"/>
      <c r="II7" s="40" t="str">
        <f t="shared" si="73"/>
        <v/>
      </c>
      <c r="IJ7" s="40" t="str">
        <f t="shared" si="74"/>
        <v/>
      </c>
      <c r="IK7" s="40" t="str">
        <f t="shared" si="75"/>
        <v/>
      </c>
      <c r="IL7" s="40" t="str">
        <f t="shared" si="76"/>
        <v/>
      </c>
      <c r="IM7" s="40" t="str">
        <f t="shared" si="77"/>
        <v/>
      </c>
      <c r="IN7" s="40" t="str">
        <f t="shared" si="78"/>
        <v/>
      </c>
      <c r="IO7" s="40" t="str">
        <f t="shared" si="79"/>
        <v/>
      </c>
      <c r="IP7" s="40" t="str">
        <f t="shared" si="80"/>
        <v/>
      </c>
      <c r="IQ7" s="18"/>
      <c r="IR7" s="18"/>
      <c r="IS7" s="18"/>
      <c r="IT7" s="18"/>
      <c r="IU7" s="18"/>
      <c r="IV7" s="18"/>
      <c r="IW7" s="18"/>
      <c r="IX7" s="18"/>
      <c r="IY7" s="18"/>
      <c r="IZ7" s="18"/>
      <c r="JA7" s="18"/>
      <c r="JB7" s="18"/>
      <c r="JC7" s="18"/>
      <c r="JD7" s="18"/>
      <c r="JE7" s="18"/>
      <c r="JF7" s="18"/>
      <c r="JG7" s="18"/>
      <c r="JH7" s="18"/>
      <c r="JI7" s="18"/>
      <c r="JJ7" s="18"/>
      <c r="JK7" s="11" t="str">
        <f t="shared" si="81"/>
        <v/>
      </c>
      <c r="JL7" s="11" t="str">
        <f t="shared" si="82"/>
        <v/>
      </c>
      <c r="JM7" s="11" t="str">
        <f t="shared" si="83"/>
        <v/>
      </c>
      <c r="JN7" s="11" t="str">
        <f t="shared" si="84"/>
        <v/>
      </c>
      <c r="JO7" s="11" t="str">
        <f t="shared" si="85"/>
        <v/>
      </c>
      <c r="JP7" s="11" t="str">
        <f t="shared" si="86"/>
        <v/>
      </c>
      <c r="JQ7" s="11" t="str">
        <f t="shared" si="87"/>
        <v/>
      </c>
      <c r="JR7" s="11" t="str">
        <f t="shared" si="88"/>
        <v/>
      </c>
      <c r="JS7" s="17">
        <v>18.100000000000001</v>
      </c>
      <c r="JT7" s="17">
        <v>6</v>
      </c>
      <c r="JU7" s="17">
        <v>0</v>
      </c>
      <c r="JV7" s="17">
        <v>0</v>
      </c>
      <c r="JW7" s="17">
        <v>18.3</v>
      </c>
      <c r="JX7" s="17">
        <v>5.6</v>
      </c>
      <c r="JY7" s="17">
        <v>0.6</v>
      </c>
      <c r="JZ7" s="17">
        <v>0</v>
      </c>
      <c r="KA7" s="17"/>
      <c r="KB7" s="17"/>
      <c r="KC7" s="17"/>
      <c r="KD7" s="17"/>
      <c r="KE7" s="17"/>
      <c r="KF7" s="17"/>
      <c r="KG7" s="17"/>
      <c r="KH7" s="17"/>
      <c r="KI7" s="17"/>
      <c r="KJ7" s="17"/>
      <c r="KK7" s="17"/>
      <c r="KL7" s="17"/>
      <c r="KM7" s="40">
        <f t="shared" si="89"/>
        <v>11.6</v>
      </c>
      <c r="KN7" s="40">
        <f t="shared" si="90"/>
        <v>47.400000000000006</v>
      </c>
      <c r="KO7" s="40" t="str">
        <f t="shared" si="91"/>
        <v/>
      </c>
      <c r="KP7" s="40">
        <f t="shared" si="92"/>
        <v>11.6</v>
      </c>
      <c r="KQ7" s="40">
        <f t="shared" si="93"/>
        <v>47.400000000000006</v>
      </c>
      <c r="KR7" s="40" t="str">
        <f t="shared" si="94"/>
        <v/>
      </c>
      <c r="KS7" s="40" t="str">
        <f t="shared" si="95"/>
        <v/>
      </c>
      <c r="KT7" s="40">
        <f t="shared" si="96"/>
        <v>47.400000000000006</v>
      </c>
      <c r="KU7" s="18"/>
      <c r="KV7" s="18"/>
      <c r="KW7" s="18"/>
      <c r="KX7" s="18"/>
      <c r="KY7" s="18"/>
      <c r="KZ7" s="18"/>
      <c r="LA7" s="18"/>
      <c r="LB7" s="18"/>
      <c r="LC7" s="18"/>
      <c r="LD7" s="18"/>
      <c r="LE7" s="18"/>
      <c r="LF7" s="18"/>
      <c r="LG7" s="18"/>
      <c r="LH7" s="18"/>
      <c r="LI7" s="18"/>
      <c r="LJ7" s="18"/>
      <c r="LK7" s="18"/>
      <c r="LL7" s="18"/>
      <c r="LM7" s="18"/>
      <c r="LN7" s="18"/>
      <c r="LO7" s="11" t="str">
        <f t="shared" si="97"/>
        <v/>
      </c>
      <c r="LP7" s="11" t="str">
        <f t="shared" si="98"/>
        <v/>
      </c>
      <c r="LQ7" s="11" t="str">
        <f t="shared" si="99"/>
        <v/>
      </c>
      <c r="LR7" s="11" t="str">
        <f t="shared" si="100"/>
        <v/>
      </c>
      <c r="LS7" s="11" t="str">
        <f t="shared" si="101"/>
        <v/>
      </c>
      <c r="LT7" s="11" t="str">
        <f t="shared" si="102"/>
        <v/>
      </c>
      <c r="LU7" s="11" t="str">
        <f t="shared" si="103"/>
        <v/>
      </c>
      <c r="LV7" s="11" t="str">
        <f t="shared" si="104"/>
        <v/>
      </c>
      <c r="LW7" s="17"/>
      <c r="LX7" s="17"/>
      <c r="LY7" s="17"/>
      <c r="LZ7" s="17"/>
      <c r="MA7" s="17"/>
      <c r="MB7" s="17"/>
      <c r="MC7" s="17"/>
      <c r="MD7" s="17"/>
      <c r="ME7" s="17"/>
      <c r="MF7" s="17"/>
      <c r="MG7" s="17"/>
      <c r="MH7" s="17"/>
      <c r="MI7" s="17"/>
      <c r="MJ7" s="17"/>
      <c r="MK7" s="17"/>
      <c r="ML7" s="17"/>
      <c r="MM7" s="17"/>
      <c r="MN7" s="17"/>
      <c r="MO7" s="17"/>
      <c r="MP7" s="17"/>
      <c r="MQ7" s="40" t="str">
        <f t="shared" si="105"/>
        <v/>
      </c>
      <c r="MR7" s="40" t="str">
        <f t="shared" si="106"/>
        <v/>
      </c>
      <c r="MS7" s="40" t="str">
        <f t="shared" si="107"/>
        <v/>
      </c>
      <c r="MT7" s="40" t="str">
        <f t="shared" si="108"/>
        <v/>
      </c>
      <c r="MU7" s="40" t="str">
        <f t="shared" si="109"/>
        <v/>
      </c>
      <c r="MV7" s="40" t="str">
        <f t="shared" si="110"/>
        <v/>
      </c>
      <c r="MW7" s="40" t="str">
        <f t="shared" si="111"/>
        <v/>
      </c>
      <c r="MX7" s="40" t="str">
        <f t="shared" si="112"/>
        <v/>
      </c>
      <c r="MY7" s="18"/>
      <c r="MZ7" s="18"/>
      <c r="NA7" s="18"/>
      <c r="NB7" s="18"/>
      <c r="NC7" s="18"/>
      <c r="ND7" s="18"/>
      <c r="NE7" s="18"/>
      <c r="NF7" s="18"/>
      <c r="NG7" s="18"/>
      <c r="NH7" s="18"/>
      <c r="NI7" s="18"/>
      <c r="NJ7" s="18"/>
      <c r="NK7" s="18"/>
      <c r="NL7" s="18"/>
      <c r="NM7" s="18"/>
      <c r="NN7" s="18"/>
      <c r="NO7" s="18"/>
      <c r="NP7" s="18"/>
      <c r="NQ7" s="18"/>
      <c r="NR7" s="18"/>
      <c r="NS7" s="11" t="str">
        <f t="shared" si="113"/>
        <v/>
      </c>
      <c r="NT7" s="11" t="str">
        <f t="shared" si="114"/>
        <v/>
      </c>
      <c r="NU7" s="11" t="str">
        <f t="shared" si="115"/>
        <v/>
      </c>
      <c r="NV7" s="11" t="str">
        <f t="shared" si="116"/>
        <v/>
      </c>
      <c r="NW7" s="11" t="str">
        <f t="shared" si="117"/>
        <v/>
      </c>
      <c r="NX7" s="11" t="str">
        <f t="shared" si="118"/>
        <v/>
      </c>
      <c r="NY7" s="11" t="str">
        <f t="shared" si="119"/>
        <v/>
      </c>
      <c r="NZ7" s="11" t="str">
        <f t="shared" si="120"/>
        <v/>
      </c>
      <c r="OA7" s="17"/>
      <c r="OB7" s="17"/>
      <c r="OC7" s="17"/>
      <c r="OD7" s="17"/>
      <c r="OE7" s="17"/>
      <c r="OF7" s="17"/>
      <c r="OG7" s="17"/>
      <c r="OH7" s="17"/>
      <c r="OI7" s="17"/>
      <c r="OJ7" s="17"/>
      <c r="OK7" s="17"/>
      <c r="OL7" s="17"/>
      <c r="OM7" s="17"/>
      <c r="ON7" s="17"/>
      <c r="OO7" s="17"/>
      <c r="OP7" s="17"/>
      <c r="OQ7" s="17"/>
      <c r="OR7" s="17"/>
      <c r="OS7" s="17"/>
      <c r="OT7" s="17"/>
      <c r="OU7" s="40" t="str">
        <f t="shared" si="121"/>
        <v/>
      </c>
      <c r="OV7" s="40" t="str">
        <f t="shared" si="122"/>
        <v/>
      </c>
      <c r="OW7" s="40" t="str">
        <f t="shared" si="123"/>
        <v/>
      </c>
      <c r="OX7" s="40" t="str">
        <f t="shared" si="124"/>
        <v/>
      </c>
      <c r="OY7" s="40" t="str">
        <f t="shared" si="125"/>
        <v/>
      </c>
      <c r="OZ7" s="40" t="str">
        <f t="shared" si="126"/>
        <v/>
      </c>
      <c r="PA7" s="40" t="str">
        <f t="shared" si="127"/>
        <v/>
      </c>
      <c r="PB7" s="40" t="str">
        <f t="shared" si="128"/>
        <v/>
      </c>
      <c r="PC7" s="18"/>
      <c r="PD7" s="18"/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8"/>
      <c r="PS7" s="18"/>
      <c r="PT7" s="18"/>
      <c r="PU7" s="18"/>
      <c r="PV7" s="18"/>
      <c r="PW7" s="11" t="str">
        <f t="shared" si="129"/>
        <v/>
      </c>
      <c r="PX7" s="11" t="str">
        <f t="shared" si="130"/>
        <v/>
      </c>
      <c r="PY7" s="11" t="str">
        <f t="shared" si="131"/>
        <v/>
      </c>
      <c r="PZ7" s="11" t="str">
        <f t="shared" si="132"/>
        <v/>
      </c>
      <c r="QA7" s="11" t="str">
        <f t="shared" si="133"/>
        <v/>
      </c>
      <c r="QB7" s="11" t="str">
        <f t="shared" si="134"/>
        <v/>
      </c>
      <c r="QC7" s="11" t="str">
        <f t="shared" si="135"/>
        <v/>
      </c>
      <c r="QD7" s="11" t="str">
        <f t="shared" si="136"/>
        <v/>
      </c>
      <c r="QE7" s="22">
        <f t="shared" si="137"/>
        <v>0</v>
      </c>
      <c r="QF7" s="22">
        <f t="shared" si="138"/>
        <v>0</v>
      </c>
      <c r="QG7" s="22">
        <f t="shared" si="139"/>
        <v>0</v>
      </c>
      <c r="QH7" s="22">
        <f t="shared" si="140"/>
        <v>0</v>
      </c>
      <c r="QI7" s="22">
        <f t="shared" si="141"/>
        <v>0</v>
      </c>
      <c r="QJ7" s="22">
        <f t="shared" si="142"/>
        <v>0</v>
      </c>
      <c r="QK7" s="22">
        <f t="shared" si="143"/>
        <v>0</v>
      </c>
      <c r="QL7" s="22">
        <f t="shared" si="144"/>
        <v>0</v>
      </c>
      <c r="QM7" s="22">
        <f t="shared" si="145"/>
        <v>0</v>
      </c>
      <c r="QN7" s="22">
        <f t="shared" si="146"/>
        <v>0</v>
      </c>
      <c r="QO7" s="22">
        <f t="shared" si="147"/>
        <v>0</v>
      </c>
      <c r="QP7" s="22">
        <f t="shared" si="148"/>
        <v>0</v>
      </c>
      <c r="QQ7" s="22">
        <f t="shared" si="149"/>
        <v>0</v>
      </c>
      <c r="QR7" s="22">
        <f t="shared" si="150"/>
        <v>0</v>
      </c>
      <c r="QS7" s="22">
        <f t="shared" si="151"/>
        <v>0</v>
      </c>
      <c r="QT7" s="22">
        <f t="shared" si="152"/>
        <v>0</v>
      </c>
      <c r="QU7" s="22">
        <f t="shared" si="153"/>
        <v>0</v>
      </c>
      <c r="QV7" s="22">
        <f t="shared" si="154"/>
        <v>0</v>
      </c>
      <c r="QW7" s="22">
        <f t="shared" si="155"/>
        <v>0</v>
      </c>
      <c r="QX7" s="22">
        <f t="shared" si="156"/>
        <v>0</v>
      </c>
      <c r="QY7" s="27" t="s">
        <v>46</v>
      </c>
      <c r="QZ7" s="40" t="str">
        <f t="shared" si="157"/>
        <v/>
      </c>
      <c r="RA7" s="40" t="str">
        <f t="shared" si="158"/>
        <v/>
      </c>
      <c r="RB7" s="40" t="str">
        <f t="shared" si="159"/>
        <v/>
      </c>
      <c r="RC7" s="40" t="str">
        <f t="shared" si="160"/>
        <v/>
      </c>
      <c r="RD7" s="40" t="str">
        <f t="shared" si="161"/>
        <v/>
      </c>
      <c r="RE7" s="40" t="str">
        <f t="shared" si="162"/>
        <v/>
      </c>
      <c r="RF7" s="40" t="str">
        <f t="shared" si="163"/>
        <v/>
      </c>
      <c r="RG7" s="40" t="str">
        <f t="shared" si="164"/>
        <v/>
      </c>
    </row>
    <row r="8" spans="1:475" x14ac:dyDescent="0.2">
      <c r="A8" s="4">
        <f t="shared" si="0"/>
        <v>5</v>
      </c>
      <c r="B8" s="5" t="s">
        <v>165</v>
      </c>
      <c r="C8" s="4" t="s">
        <v>6</v>
      </c>
      <c r="D8" s="4">
        <v>2002</v>
      </c>
      <c r="E8" s="9">
        <f t="shared" si="1"/>
        <v>155.80001108000468</v>
      </c>
      <c r="F8" s="3" t="str">
        <f t="shared" si="2"/>
        <v>P</v>
      </c>
      <c r="G8" s="3" t="str">
        <f t="shared" si="3"/>
        <v>P</v>
      </c>
      <c r="H8" s="36" t="str">
        <f t="shared" si="4"/>
        <v>National Team</v>
      </c>
      <c r="I8" s="3" t="str">
        <f t="shared" si="5"/>
        <v/>
      </c>
      <c r="J8" s="8">
        <f>IF(COUNT(AQ8,BT8,CW8)&gt;0,LARGE((AQ8,BT8,CW8),1),0)</f>
        <v>47</v>
      </c>
      <c r="K8" s="8" t="str">
        <f t="shared" si="6"/>
        <v>2023 Elite Canada</v>
      </c>
      <c r="L8" s="8">
        <f>IF(COUNT(AQ8,BT8,CW8)&gt;1,LARGE((AQ8,BT8,CW8),2),0)</f>
        <v>41.5</v>
      </c>
      <c r="M8" s="8" t="str">
        <f t="shared" si="7"/>
        <v>2022 Nationals</v>
      </c>
      <c r="N8" s="8">
        <f>IF(COUNT(AR8,BU8,CX8)&gt;0,LARGE((AR8,BU8,CX8),1),0)</f>
        <v>22.3</v>
      </c>
      <c r="O8" s="8" t="str">
        <f t="shared" si="8"/>
        <v>2022 Nationals</v>
      </c>
      <c r="P8" s="8">
        <f t="shared" si="9"/>
        <v>44.999999999999993</v>
      </c>
      <c r="Q8" s="8" t="str">
        <f t="shared" si="10"/>
        <v>2022 Nationals</v>
      </c>
      <c r="R8" s="8" t="str">
        <f t="shared" si="11"/>
        <v/>
      </c>
      <c r="S8" s="11" t="str">
        <f t="shared" si="12"/>
        <v/>
      </c>
      <c r="T8" s="8" t="str">
        <f t="shared" si="13"/>
        <v/>
      </c>
      <c r="U8" s="19">
        <v>18.899999999999999</v>
      </c>
      <c r="V8" s="19">
        <v>4.4000000000000004</v>
      </c>
      <c r="W8" s="19">
        <v>0.2</v>
      </c>
      <c r="X8" s="19">
        <v>0</v>
      </c>
      <c r="Y8" s="19">
        <v>17.7</v>
      </c>
      <c r="Z8" s="19">
        <v>0.7</v>
      </c>
      <c r="AA8" s="19">
        <v>0</v>
      </c>
      <c r="AB8" s="19">
        <v>0</v>
      </c>
      <c r="AC8" s="19">
        <v>18.8</v>
      </c>
      <c r="AD8" s="19">
        <v>3.5</v>
      </c>
      <c r="AE8" s="19">
        <v>0</v>
      </c>
      <c r="AF8" s="19">
        <v>0</v>
      </c>
      <c r="AG8" s="19">
        <v>18.899999999999999</v>
      </c>
      <c r="AH8" s="19">
        <v>3.5</v>
      </c>
      <c r="AI8" s="19">
        <v>0</v>
      </c>
      <c r="AJ8" s="19">
        <v>0</v>
      </c>
      <c r="AK8" s="19">
        <v>18.399999999999999</v>
      </c>
      <c r="AL8" s="19">
        <v>4.4000000000000004</v>
      </c>
      <c r="AM8" s="19">
        <v>0.2</v>
      </c>
      <c r="AN8" s="19">
        <v>0</v>
      </c>
      <c r="AO8" s="27"/>
      <c r="AP8" s="40">
        <f t="shared" si="14"/>
        <v>5.1000000000000005</v>
      </c>
      <c r="AQ8" s="40">
        <f t="shared" si="15"/>
        <v>41.5</v>
      </c>
      <c r="AR8" s="40">
        <f t="shared" si="16"/>
        <v>22.3</v>
      </c>
      <c r="AS8" s="40">
        <f t="shared" si="17"/>
        <v>8.6000000000000014</v>
      </c>
      <c r="AT8" s="40">
        <f t="shared" si="18"/>
        <v>63.8</v>
      </c>
      <c r="AU8" s="40">
        <f t="shared" si="19"/>
        <v>7.9</v>
      </c>
      <c r="AV8" s="40">
        <f t="shared" si="20"/>
        <v>44.999999999999993</v>
      </c>
      <c r="AW8" s="40">
        <f t="shared" si="21"/>
        <v>86.5</v>
      </c>
      <c r="AX8" s="18"/>
      <c r="AY8" s="18"/>
      <c r="AZ8" s="18"/>
      <c r="BA8" s="18"/>
      <c r="BB8" s="18"/>
      <c r="BC8" s="18"/>
      <c r="BD8" s="18"/>
      <c r="BE8" s="18"/>
      <c r="BF8" s="18"/>
      <c r="BG8" s="18"/>
      <c r="BH8" s="18"/>
      <c r="BI8" s="18"/>
      <c r="BJ8" s="18"/>
      <c r="BK8" s="18"/>
      <c r="BL8" s="18"/>
      <c r="BM8" s="18"/>
      <c r="BN8" s="18"/>
      <c r="BO8" s="18"/>
      <c r="BP8" s="18"/>
      <c r="BQ8" s="18"/>
      <c r="BR8" s="28"/>
      <c r="BS8" s="11" t="str">
        <f t="shared" si="22"/>
        <v/>
      </c>
      <c r="BT8" s="11" t="str">
        <f t="shared" si="23"/>
        <v/>
      </c>
      <c r="BU8" s="11" t="str">
        <f t="shared" si="24"/>
        <v/>
      </c>
      <c r="BV8" s="11" t="str">
        <f t="shared" si="25"/>
        <v/>
      </c>
      <c r="BW8" s="11" t="str">
        <f t="shared" si="26"/>
        <v/>
      </c>
      <c r="BX8" s="11" t="str">
        <f t="shared" si="27"/>
        <v/>
      </c>
      <c r="BY8" s="11" t="str">
        <f t="shared" si="28"/>
        <v/>
      </c>
      <c r="BZ8" s="11" t="str">
        <f t="shared" si="29"/>
        <v/>
      </c>
      <c r="CA8" s="19">
        <v>18.2</v>
      </c>
      <c r="CB8" s="19">
        <v>5.6</v>
      </c>
      <c r="CC8" s="19">
        <v>0.6</v>
      </c>
      <c r="CD8" s="19">
        <v>0</v>
      </c>
      <c r="CE8" s="19">
        <v>18.600000000000001</v>
      </c>
      <c r="CF8" s="19">
        <v>5.2</v>
      </c>
      <c r="CG8" s="19">
        <v>0</v>
      </c>
      <c r="CH8" s="19">
        <v>0</v>
      </c>
      <c r="CI8" s="19">
        <v>19</v>
      </c>
      <c r="CJ8" s="19">
        <v>3.1</v>
      </c>
      <c r="CK8" s="19">
        <v>1</v>
      </c>
      <c r="CL8" s="19">
        <v>0</v>
      </c>
      <c r="CM8" s="19">
        <v>0</v>
      </c>
      <c r="CN8" s="19">
        <v>0</v>
      </c>
      <c r="CO8" s="19">
        <v>0</v>
      </c>
      <c r="CP8" s="19">
        <v>0</v>
      </c>
      <c r="CQ8" s="19">
        <v>18.8</v>
      </c>
      <c r="CR8" s="19">
        <v>5.2</v>
      </c>
      <c r="CS8" s="19">
        <v>0.8</v>
      </c>
      <c r="CT8" s="19">
        <v>0</v>
      </c>
      <c r="CU8" s="27"/>
      <c r="CV8" s="40">
        <f t="shared" si="30"/>
        <v>10.8</v>
      </c>
      <c r="CW8" s="40">
        <f t="shared" si="31"/>
        <v>47</v>
      </c>
      <c r="CX8" s="40">
        <f t="shared" si="32"/>
        <v>21.1</v>
      </c>
      <c r="CY8" s="40">
        <f t="shared" si="33"/>
        <v>13.9</v>
      </c>
      <c r="CZ8" s="40">
        <f t="shared" si="34"/>
        <v>68.099999999999994</v>
      </c>
      <c r="DA8" s="40">
        <f t="shared" si="35"/>
        <v>5.2</v>
      </c>
      <c r="DB8" s="40">
        <f t="shared" si="36"/>
        <v>23.2</v>
      </c>
      <c r="DC8" s="40">
        <f t="shared" si="37"/>
        <v>70.2</v>
      </c>
      <c r="DD8" s="50" t="str">
        <f t="shared" si="38"/>
        <v/>
      </c>
      <c r="DE8" s="50" t="str">
        <f t="shared" si="39"/>
        <v/>
      </c>
      <c r="DF8" s="50" t="str">
        <f t="shared" si="40"/>
        <v/>
      </c>
      <c r="DG8" s="17"/>
      <c r="DH8" s="17"/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17"/>
      <c r="DW8" s="17"/>
      <c r="DX8" s="17"/>
      <c r="DY8" s="17"/>
      <c r="DZ8" s="17"/>
      <c r="EA8" s="40" t="str">
        <f t="shared" si="41"/>
        <v/>
      </c>
      <c r="EB8" s="40" t="str">
        <f t="shared" si="42"/>
        <v/>
      </c>
      <c r="EC8" s="40" t="str">
        <f t="shared" si="43"/>
        <v/>
      </c>
      <c r="ED8" s="40" t="str">
        <f t="shared" si="44"/>
        <v/>
      </c>
      <c r="EE8" s="40" t="str">
        <f t="shared" si="45"/>
        <v/>
      </c>
      <c r="EF8" s="40" t="str">
        <f t="shared" si="46"/>
        <v/>
      </c>
      <c r="EG8" s="40" t="str">
        <f t="shared" si="47"/>
        <v/>
      </c>
      <c r="EH8" s="40" t="str">
        <f t="shared" si="48"/>
        <v/>
      </c>
      <c r="EI8" s="18"/>
      <c r="EJ8" s="18"/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8"/>
      <c r="FA8" s="18"/>
      <c r="FB8" s="18"/>
      <c r="FC8" s="11" t="str">
        <f t="shared" si="49"/>
        <v/>
      </c>
      <c r="FD8" s="11" t="str">
        <f t="shared" si="50"/>
        <v/>
      </c>
      <c r="FE8" s="11" t="str">
        <f t="shared" si="51"/>
        <v/>
      </c>
      <c r="FF8" s="11" t="str">
        <f t="shared" si="52"/>
        <v/>
      </c>
      <c r="FG8" s="11" t="str">
        <f t="shared" si="53"/>
        <v/>
      </c>
      <c r="FH8" s="11" t="str">
        <f t="shared" si="54"/>
        <v/>
      </c>
      <c r="FI8" s="11" t="str">
        <f t="shared" si="55"/>
        <v/>
      </c>
      <c r="FJ8" s="11" t="str">
        <f t="shared" si="56"/>
        <v/>
      </c>
      <c r="FK8" s="17"/>
      <c r="FL8" s="17"/>
      <c r="FM8" s="17"/>
      <c r="FN8" s="17"/>
      <c r="FO8" s="17"/>
      <c r="FP8" s="17"/>
      <c r="FQ8" s="17"/>
      <c r="FR8" s="17"/>
      <c r="FS8" s="17"/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40" t="str">
        <f t="shared" si="57"/>
        <v/>
      </c>
      <c r="GF8" s="40" t="str">
        <f t="shared" si="58"/>
        <v/>
      </c>
      <c r="GG8" s="40" t="str">
        <f t="shared" si="59"/>
        <v/>
      </c>
      <c r="GH8" s="40" t="str">
        <f t="shared" si="60"/>
        <v/>
      </c>
      <c r="GI8" s="40" t="str">
        <f t="shared" si="61"/>
        <v/>
      </c>
      <c r="GJ8" s="40" t="str">
        <f t="shared" si="62"/>
        <v/>
      </c>
      <c r="GK8" s="40" t="str">
        <f t="shared" si="63"/>
        <v/>
      </c>
      <c r="GL8" s="40" t="str">
        <f t="shared" si="64"/>
        <v/>
      </c>
      <c r="GM8" s="18"/>
      <c r="GN8" s="18"/>
      <c r="GO8" s="18"/>
      <c r="GP8" s="18"/>
      <c r="GQ8" s="18"/>
      <c r="GR8" s="18"/>
      <c r="GS8" s="18"/>
      <c r="GT8" s="18"/>
      <c r="GU8" s="18"/>
      <c r="GV8" s="18"/>
      <c r="GW8" s="18"/>
      <c r="GX8" s="18"/>
      <c r="GY8" s="18"/>
      <c r="GZ8" s="18"/>
      <c r="HA8" s="18"/>
      <c r="HB8" s="18"/>
      <c r="HC8" s="18"/>
      <c r="HD8" s="18"/>
      <c r="HE8" s="18"/>
      <c r="HF8" s="18"/>
      <c r="HG8" s="11" t="str">
        <f t="shared" si="65"/>
        <v/>
      </c>
      <c r="HH8" s="11" t="str">
        <f t="shared" si="66"/>
        <v/>
      </c>
      <c r="HI8" s="11" t="str">
        <f t="shared" si="67"/>
        <v/>
      </c>
      <c r="HJ8" s="11" t="str">
        <f t="shared" si="68"/>
        <v/>
      </c>
      <c r="HK8" s="11" t="str">
        <f t="shared" si="69"/>
        <v/>
      </c>
      <c r="HL8" s="11" t="str">
        <f t="shared" si="70"/>
        <v/>
      </c>
      <c r="HM8" s="11" t="str">
        <f t="shared" si="71"/>
        <v/>
      </c>
      <c r="HN8" s="11" t="str">
        <f t="shared" si="72"/>
        <v/>
      </c>
      <c r="HO8" s="17"/>
      <c r="HP8" s="17"/>
      <c r="HQ8" s="17"/>
      <c r="HR8" s="17"/>
      <c r="HS8" s="17"/>
      <c r="HT8" s="17"/>
      <c r="HU8" s="17"/>
      <c r="HV8" s="17"/>
      <c r="HW8" s="17"/>
      <c r="HX8" s="17"/>
      <c r="HY8" s="17"/>
      <c r="HZ8" s="17"/>
      <c r="IA8" s="17"/>
      <c r="IB8" s="17"/>
      <c r="IC8" s="17"/>
      <c r="ID8" s="17"/>
      <c r="IE8" s="17"/>
      <c r="IF8" s="17"/>
      <c r="IG8" s="17"/>
      <c r="IH8" s="17"/>
      <c r="II8" s="40" t="str">
        <f t="shared" si="73"/>
        <v/>
      </c>
      <c r="IJ8" s="40" t="str">
        <f t="shared" si="74"/>
        <v/>
      </c>
      <c r="IK8" s="40" t="str">
        <f t="shared" si="75"/>
        <v/>
      </c>
      <c r="IL8" s="40" t="str">
        <f t="shared" si="76"/>
        <v/>
      </c>
      <c r="IM8" s="40" t="str">
        <f t="shared" si="77"/>
        <v/>
      </c>
      <c r="IN8" s="40" t="str">
        <f t="shared" si="78"/>
        <v/>
      </c>
      <c r="IO8" s="40" t="str">
        <f t="shared" si="79"/>
        <v/>
      </c>
      <c r="IP8" s="40" t="str">
        <f t="shared" si="80"/>
        <v/>
      </c>
      <c r="IQ8" s="18"/>
      <c r="IR8" s="18"/>
      <c r="IS8" s="18"/>
      <c r="IT8" s="18"/>
      <c r="IU8" s="18"/>
      <c r="IV8" s="18"/>
      <c r="IW8" s="18"/>
      <c r="IX8" s="18"/>
      <c r="IY8" s="18"/>
      <c r="IZ8" s="18"/>
      <c r="JA8" s="18"/>
      <c r="JB8" s="18"/>
      <c r="JC8" s="18"/>
      <c r="JD8" s="18"/>
      <c r="JE8" s="18"/>
      <c r="JF8" s="18"/>
      <c r="JG8" s="18"/>
      <c r="JH8" s="18"/>
      <c r="JI8" s="18"/>
      <c r="JJ8" s="18"/>
      <c r="JK8" s="11" t="str">
        <f t="shared" si="81"/>
        <v/>
      </c>
      <c r="JL8" s="11" t="str">
        <f t="shared" si="82"/>
        <v/>
      </c>
      <c r="JM8" s="11" t="str">
        <f t="shared" si="83"/>
        <v/>
      </c>
      <c r="JN8" s="11" t="str">
        <f t="shared" si="84"/>
        <v/>
      </c>
      <c r="JO8" s="11" t="str">
        <f t="shared" si="85"/>
        <v/>
      </c>
      <c r="JP8" s="11" t="str">
        <f t="shared" si="86"/>
        <v/>
      </c>
      <c r="JQ8" s="11" t="str">
        <f t="shared" si="87"/>
        <v/>
      </c>
      <c r="JR8" s="11" t="str">
        <f t="shared" si="88"/>
        <v/>
      </c>
      <c r="JS8" s="17"/>
      <c r="JT8" s="17"/>
      <c r="JU8" s="17"/>
      <c r="JV8" s="17"/>
      <c r="JW8" s="17"/>
      <c r="JX8" s="17"/>
      <c r="JY8" s="17"/>
      <c r="JZ8" s="17"/>
      <c r="KA8" s="17"/>
      <c r="KB8" s="17"/>
      <c r="KC8" s="17"/>
      <c r="KD8" s="17"/>
      <c r="KE8" s="17"/>
      <c r="KF8" s="17"/>
      <c r="KG8" s="17"/>
      <c r="KH8" s="17"/>
      <c r="KI8" s="17"/>
      <c r="KJ8" s="17"/>
      <c r="KK8" s="17"/>
      <c r="KL8" s="17"/>
      <c r="KM8" s="40" t="str">
        <f t="shared" si="89"/>
        <v/>
      </c>
      <c r="KN8" s="40" t="str">
        <f t="shared" si="90"/>
        <v/>
      </c>
      <c r="KO8" s="40" t="str">
        <f t="shared" si="91"/>
        <v/>
      </c>
      <c r="KP8" s="40" t="str">
        <f t="shared" si="92"/>
        <v/>
      </c>
      <c r="KQ8" s="40" t="str">
        <f t="shared" si="93"/>
        <v/>
      </c>
      <c r="KR8" s="40" t="str">
        <f t="shared" si="94"/>
        <v/>
      </c>
      <c r="KS8" s="40" t="str">
        <f t="shared" si="95"/>
        <v/>
      </c>
      <c r="KT8" s="40" t="str">
        <f t="shared" si="96"/>
        <v/>
      </c>
      <c r="KU8" s="18"/>
      <c r="KV8" s="18"/>
      <c r="KW8" s="18"/>
      <c r="KX8" s="18"/>
      <c r="KY8" s="18"/>
      <c r="KZ8" s="18"/>
      <c r="LA8" s="18"/>
      <c r="LB8" s="18"/>
      <c r="LC8" s="18"/>
      <c r="LD8" s="18"/>
      <c r="LE8" s="18"/>
      <c r="LF8" s="18"/>
      <c r="LG8" s="18"/>
      <c r="LH8" s="18"/>
      <c r="LI8" s="18"/>
      <c r="LJ8" s="18"/>
      <c r="LK8" s="18"/>
      <c r="LL8" s="18"/>
      <c r="LM8" s="18"/>
      <c r="LN8" s="18"/>
      <c r="LO8" s="11" t="str">
        <f t="shared" si="97"/>
        <v/>
      </c>
      <c r="LP8" s="11" t="str">
        <f t="shared" si="98"/>
        <v/>
      </c>
      <c r="LQ8" s="11" t="str">
        <f t="shared" si="99"/>
        <v/>
      </c>
      <c r="LR8" s="11" t="str">
        <f t="shared" si="100"/>
        <v/>
      </c>
      <c r="LS8" s="11" t="str">
        <f t="shared" si="101"/>
        <v/>
      </c>
      <c r="LT8" s="11" t="str">
        <f t="shared" si="102"/>
        <v/>
      </c>
      <c r="LU8" s="11" t="str">
        <f t="shared" si="103"/>
        <v/>
      </c>
      <c r="LV8" s="11" t="str">
        <f t="shared" si="104"/>
        <v/>
      </c>
      <c r="LW8" s="17"/>
      <c r="LX8" s="17"/>
      <c r="LY8" s="17"/>
      <c r="LZ8" s="17"/>
      <c r="MA8" s="17"/>
      <c r="MB8" s="17"/>
      <c r="MC8" s="17"/>
      <c r="MD8" s="17"/>
      <c r="ME8" s="17"/>
      <c r="MF8" s="17"/>
      <c r="MG8" s="17"/>
      <c r="MH8" s="17"/>
      <c r="MI8" s="17"/>
      <c r="MJ8" s="17"/>
      <c r="MK8" s="17"/>
      <c r="ML8" s="17"/>
      <c r="MM8" s="17"/>
      <c r="MN8" s="17"/>
      <c r="MO8" s="17"/>
      <c r="MP8" s="17"/>
      <c r="MQ8" s="40" t="str">
        <f t="shared" si="105"/>
        <v/>
      </c>
      <c r="MR8" s="40" t="str">
        <f t="shared" si="106"/>
        <v/>
      </c>
      <c r="MS8" s="40" t="str">
        <f t="shared" si="107"/>
        <v/>
      </c>
      <c r="MT8" s="40" t="str">
        <f t="shared" si="108"/>
        <v/>
      </c>
      <c r="MU8" s="40" t="str">
        <f t="shared" si="109"/>
        <v/>
      </c>
      <c r="MV8" s="40" t="str">
        <f t="shared" si="110"/>
        <v/>
      </c>
      <c r="MW8" s="40" t="str">
        <f t="shared" si="111"/>
        <v/>
      </c>
      <c r="MX8" s="40" t="str">
        <f t="shared" si="112"/>
        <v/>
      </c>
      <c r="MY8" s="18"/>
      <c r="MZ8" s="18"/>
      <c r="NA8" s="18"/>
      <c r="NB8" s="18"/>
      <c r="NC8" s="18"/>
      <c r="ND8" s="18"/>
      <c r="NE8" s="18"/>
      <c r="NF8" s="18"/>
      <c r="NG8" s="18"/>
      <c r="NH8" s="18"/>
      <c r="NI8" s="18"/>
      <c r="NJ8" s="18"/>
      <c r="NK8" s="18"/>
      <c r="NL8" s="18"/>
      <c r="NM8" s="18"/>
      <c r="NN8" s="18"/>
      <c r="NO8" s="18"/>
      <c r="NP8" s="18"/>
      <c r="NQ8" s="18"/>
      <c r="NR8" s="18"/>
      <c r="NS8" s="11" t="str">
        <f t="shared" si="113"/>
        <v/>
      </c>
      <c r="NT8" s="11" t="str">
        <f t="shared" si="114"/>
        <v/>
      </c>
      <c r="NU8" s="11" t="str">
        <f t="shared" si="115"/>
        <v/>
      </c>
      <c r="NV8" s="11" t="str">
        <f t="shared" si="116"/>
        <v/>
      </c>
      <c r="NW8" s="11" t="str">
        <f t="shared" si="117"/>
        <v/>
      </c>
      <c r="NX8" s="11" t="str">
        <f t="shared" si="118"/>
        <v/>
      </c>
      <c r="NY8" s="11" t="str">
        <f t="shared" si="119"/>
        <v/>
      </c>
      <c r="NZ8" s="11" t="str">
        <f t="shared" si="120"/>
        <v/>
      </c>
      <c r="OA8" s="17"/>
      <c r="OB8" s="17"/>
      <c r="OC8" s="17"/>
      <c r="OD8" s="17"/>
      <c r="OE8" s="17"/>
      <c r="OF8" s="17"/>
      <c r="OG8" s="17"/>
      <c r="OH8" s="17"/>
      <c r="OI8" s="17"/>
      <c r="OJ8" s="17"/>
      <c r="OK8" s="17"/>
      <c r="OL8" s="17"/>
      <c r="OM8" s="17"/>
      <c r="ON8" s="17"/>
      <c r="OO8" s="17"/>
      <c r="OP8" s="17"/>
      <c r="OQ8" s="17"/>
      <c r="OR8" s="17"/>
      <c r="OS8" s="17"/>
      <c r="OT8" s="17"/>
      <c r="OU8" s="40" t="str">
        <f t="shared" si="121"/>
        <v/>
      </c>
      <c r="OV8" s="40" t="str">
        <f t="shared" si="122"/>
        <v/>
      </c>
      <c r="OW8" s="40" t="str">
        <f t="shared" si="123"/>
        <v/>
      </c>
      <c r="OX8" s="40" t="str">
        <f t="shared" si="124"/>
        <v/>
      </c>
      <c r="OY8" s="40" t="str">
        <f t="shared" si="125"/>
        <v/>
      </c>
      <c r="OZ8" s="40" t="str">
        <f t="shared" si="126"/>
        <v/>
      </c>
      <c r="PA8" s="40" t="str">
        <f t="shared" si="127"/>
        <v/>
      </c>
      <c r="PB8" s="40" t="str">
        <f t="shared" si="128"/>
        <v/>
      </c>
      <c r="PC8" s="18"/>
      <c r="PD8" s="18"/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8"/>
      <c r="PS8" s="18"/>
      <c r="PT8" s="18"/>
      <c r="PU8" s="18"/>
      <c r="PV8" s="18"/>
      <c r="PW8" s="11" t="str">
        <f t="shared" si="129"/>
        <v/>
      </c>
      <c r="PX8" s="11" t="str">
        <f t="shared" si="130"/>
        <v/>
      </c>
      <c r="PY8" s="11" t="str">
        <f t="shared" si="131"/>
        <v/>
      </c>
      <c r="PZ8" s="11" t="str">
        <f t="shared" si="132"/>
        <v/>
      </c>
      <c r="QA8" s="11" t="str">
        <f t="shared" si="133"/>
        <v/>
      </c>
      <c r="QB8" s="11" t="str">
        <f t="shared" si="134"/>
        <v/>
      </c>
      <c r="QC8" s="11" t="str">
        <f t="shared" si="135"/>
        <v/>
      </c>
      <c r="QD8" s="11" t="str">
        <f t="shared" si="136"/>
        <v/>
      </c>
      <c r="QE8" s="22">
        <f t="shared" si="137"/>
        <v>9.1</v>
      </c>
      <c r="QF8" s="22">
        <f t="shared" si="138"/>
        <v>2.8</v>
      </c>
      <c r="QG8" s="22">
        <f t="shared" si="139"/>
        <v>0.3</v>
      </c>
      <c r="QH8" s="22">
        <f t="shared" si="140"/>
        <v>0</v>
      </c>
      <c r="QI8" s="22">
        <f t="shared" si="141"/>
        <v>9.3000000000000007</v>
      </c>
      <c r="QJ8" s="22">
        <f t="shared" si="142"/>
        <v>2.6</v>
      </c>
      <c r="QK8" s="22">
        <f t="shared" si="143"/>
        <v>0</v>
      </c>
      <c r="QL8" s="22">
        <f t="shared" si="144"/>
        <v>0</v>
      </c>
      <c r="QM8" s="22">
        <f t="shared" si="145"/>
        <v>9.5</v>
      </c>
      <c r="QN8" s="22">
        <f t="shared" si="146"/>
        <v>1.55</v>
      </c>
      <c r="QO8" s="22">
        <f t="shared" si="147"/>
        <v>0.5</v>
      </c>
      <c r="QP8" s="22">
        <f t="shared" si="148"/>
        <v>0</v>
      </c>
      <c r="QQ8" s="22">
        <f t="shared" si="149"/>
        <v>0</v>
      </c>
      <c r="QR8" s="22">
        <f t="shared" si="150"/>
        <v>0</v>
      </c>
      <c r="QS8" s="22">
        <f t="shared" si="151"/>
        <v>0</v>
      </c>
      <c r="QT8" s="22">
        <f t="shared" si="152"/>
        <v>0</v>
      </c>
      <c r="QU8" s="22">
        <f t="shared" si="153"/>
        <v>9.4</v>
      </c>
      <c r="QV8" s="22">
        <f t="shared" si="154"/>
        <v>2.6</v>
      </c>
      <c r="QW8" s="22">
        <f t="shared" si="155"/>
        <v>0.4</v>
      </c>
      <c r="QX8" s="22">
        <f t="shared" si="156"/>
        <v>0</v>
      </c>
      <c r="QY8" s="27" t="s">
        <v>46</v>
      </c>
      <c r="QZ8" s="40">
        <f t="shared" si="157"/>
        <v>5.4</v>
      </c>
      <c r="RA8" s="40">
        <f t="shared" si="158"/>
        <v>23.5</v>
      </c>
      <c r="RB8" s="40">
        <f t="shared" si="159"/>
        <v>10.55</v>
      </c>
      <c r="RC8" s="40">
        <f t="shared" si="160"/>
        <v>6.95</v>
      </c>
      <c r="RD8" s="40">
        <f t="shared" si="161"/>
        <v>34.049999999999997</v>
      </c>
      <c r="RE8" s="40">
        <f t="shared" si="162"/>
        <v>2.6</v>
      </c>
      <c r="RF8" s="40">
        <f t="shared" si="163"/>
        <v>11.6</v>
      </c>
      <c r="RG8" s="40">
        <f t="shared" si="164"/>
        <v>35.1</v>
      </c>
    </row>
    <row r="9" spans="1:475" x14ac:dyDescent="0.2">
      <c r="A9" s="4">
        <f t="shared" si="0"/>
        <v>6</v>
      </c>
      <c r="B9" s="5" t="s">
        <v>210</v>
      </c>
      <c r="C9" s="4" t="s">
        <v>4</v>
      </c>
      <c r="D9" s="4">
        <v>2005</v>
      </c>
      <c r="E9" s="9">
        <f t="shared" si="1"/>
        <v>115.0000068900047</v>
      </c>
      <c r="F9" s="3" t="str">
        <f t="shared" si="2"/>
        <v>P</v>
      </c>
      <c r="G9" s="3" t="str">
        <f t="shared" si="3"/>
        <v>P</v>
      </c>
      <c r="H9" s="36" t="str">
        <f t="shared" si="4"/>
        <v>National Team</v>
      </c>
      <c r="I9" s="3" t="str">
        <f t="shared" si="5"/>
        <v/>
      </c>
      <c r="J9" s="8">
        <f>IF(COUNT(AQ9,BT9,CW9)&gt;0,LARGE((AQ9,BT9,CW9),1),0)</f>
        <v>46.999999999999993</v>
      </c>
      <c r="K9" s="8" t="str">
        <f t="shared" si="6"/>
        <v>2023 Elite Canada</v>
      </c>
      <c r="L9" s="8">
        <f>IF(COUNT(AQ9,BT9,CW9)&gt;1,LARGE((AQ9,BT9,CW9),2),0)</f>
        <v>0</v>
      </c>
      <c r="M9" s="8" t="str">
        <f t="shared" si="7"/>
        <v/>
      </c>
      <c r="N9" s="8">
        <f>IF(COUNT(AR9,BU9,CX9)&gt;0,LARGE((AR9,BU9,CX9),1),0)</f>
        <v>21.9</v>
      </c>
      <c r="O9" s="8" t="str">
        <f t="shared" si="8"/>
        <v>2023 Elite Canada</v>
      </c>
      <c r="P9" s="8">
        <f t="shared" si="9"/>
        <v>46.1</v>
      </c>
      <c r="Q9" s="8" t="str">
        <f t="shared" si="10"/>
        <v>2023 Elite Canada</v>
      </c>
      <c r="R9" s="8" t="str">
        <f t="shared" si="11"/>
        <v/>
      </c>
      <c r="S9" s="11" t="str">
        <f t="shared" si="12"/>
        <v/>
      </c>
      <c r="T9" s="8" t="str">
        <f t="shared" si="13"/>
        <v/>
      </c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  <c r="AH9" s="19"/>
      <c r="AI9" s="19"/>
      <c r="AJ9" s="19"/>
      <c r="AK9" s="19"/>
      <c r="AL9" s="19"/>
      <c r="AM9" s="19"/>
      <c r="AN9" s="19"/>
      <c r="AO9" s="27"/>
      <c r="AP9" s="40" t="str">
        <f t="shared" si="14"/>
        <v/>
      </c>
      <c r="AQ9" s="40" t="str">
        <f t="shared" si="15"/>
        <v/>
      </c>
      <c r="AR9" s="40" t="str">
        <f t="shared" si="16"/>
        <v/>
      </c>
      <c r="AS9" s="40" t="str">
        <f t="shared" si="17"/>
        <v/>
      </c>
      <c r="AT9" s="40" t="str">
        <f t="shared" si="18"/>
        <v/>
      </c>
      <c r="AU9" s="40" t="str">
        <f t="shared" si="19"/>
        <v/>
      </c>
      <c r="AV9" s="40" t="str">
        <f t="shared" si="20"/>
        <v/>
      </c>
      <c r="AW9" s="40" t="str">
        <f t="shared" si="21"/>
        <v/>
      </c>
      <c r="AX9" s="18"/>
      <c r="AY9" s="18"/>
      <c r="AZ9" s="18"/>
      <c r="BA9" s="18"/>
      <c r="BB9" s="18"/>
      <c r="BC9" s="18"/>
      <c r="BD9" s="18"/>
      <c r="BE9" s="18"/>
      <c r="BF9" s="18"/>
      <c r="BG9" s="18"/>
      <c r="BH9" s="18"/>
      <c r="BI9" s="18"/>
      <c r="BJ9" s="18"/>
      <c r="BK9" s="18"/>
      <c r="BL9" s="18"/>
      <c r="BM9" s="18"/>
      <c r="BN9" s="18"/>
      <c r="BO9" s="18"/>
      <c r="BP9" s="18"/>
      <c r="BQ9" s="18"/>
      <c r="BR9" s="28"/>
      <c r="BS9" s="11" t="str">
        <f t="shared" si="22"/>
        <v/>
      </c>
      <c r="BT9" s="11" t="str">
        <f t="shared" si="23"/>
        <v/>
      </c>
      <c r="BU9" s="11" t="str">
        <f t="shared" si="24"/>
        <v/>
      </c>
      <c r="BV9" s="11" t="str">
        <f t="shared" si="25"/>
        <v/>
      </c>
      <c r="BW9" s="11" t="str">
        <f t="shared" si="26"/>
        <v/>
      </c>
      <c r="BX9" s="11" t="str">
        <f t="shared" si="27"/>
        <v/>
      </c>
      <c r="BY9" s="11" t="str">
        <f t="shared" si="28"/>
        <v/>
      </c>
      <c r="BZ9" s="11" t="str">
        <f t="shared" si="29"/>
        <v/>
      </c>
      <c r="CA9" s="19">
        <v>18.7</v>
      </c>
      <c r="CB9" s="19">
        <v>5.2</v>
      </c>
      <c r="CC9" s="19">
        <v>0.2</v>
      </c>
      <c r="CD9" s="19">
        <v>0</v>
      </c>
      <c r="CE9" s="19">
        <v>18.399999999999999</v>
      </c>
      <c r="CF9" s="19">
        <v>5.2</v>
      </c>
      <c r="CG9" s="19">
        <v>0.6</v>
      </c>
      <c r="CH9" s="19">
        <v>0.3</v>
      </c>
      <c r="CI9" s="19">
        <v>18.399999999999999</v>
      </c>
      <c r="CJ9" s="19">
        <v>3.5</v>
      </c>
      <c r="CK9" s="19">
        <v>0</v>
      </c>
      <c r="CL9" s="19">
        <v>0</v>
      </c>
      <c r="CM9" s="19">
        <v>18.100000000000001</v>
      </c>
      <c r="CN9" s="19">
        <v>5.2</v>
      </c>
      <c r="CO9" s="19">
        <v>0.8</v>
      </c>
      <c r="CP9" s="19">
        <v>0</v>
      </c>
      <c r="CQ9" s="19">
        <v>18.7</v>
      </c>
      <c r="CR9" s="19">
        <v>5.2</v>
      </c>
      <c r="CS9" s="19">
        <v>0.6</v>
      </c>
      <c r="CT9" s="19">
        <v>0.3</v>
      </c>
      <c r="CU9" s="27"/>
      <c r="CV9" s="40">
        <f t="shared" si="30"/>
        <v>10.4</v>
      </c>
      <c r="CW9" s="40">
        <f t="shared" si="31"/>
        <v>46.999999999999993</v>
      </c>
      <c r="CX9" s="40">
        <f t="shared" si="32"/>
        <v>21.9</v>
      </c>
      <c r="CY9" s="40">
        <f t="shared" si="33"/>
        <v>13.9</v>
      </c>
      <c r="CZ9" s="40">
        <f t="shared" si="34"/>
        <v>68.899999999999991</v>
      </c>
      <c r="DA9" s="40">
        <f t="shared" si="35"/>
        <v>10.4</v>
      </c>
      <c r="DB9" s="40">
        <f t="shared" si="36"/>
        <v>46.1</v>
      </c>
      <c r="DC9" s="40">
        <f t="shared" si="37"/>
        <v>93.1</v>
      </c>
      <c r="DD9" s="50" t="str">
        <f t="shared" si="38"/>
        <v/>
      </c>
      <c r="DE9" s="50" t="str">
        <f t="shared" si="39"/>
        <v/>
      </c>
      <c r="DF9" s="50" t="str">
        <f t="shared" si="40"/>
        <v/>
      </c>
      <c r="DG9" s="17"/>
      <c r="DH9" s="17"/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17"/>
      <c r="DY9" s="17"/>
      <c r="DZ9" s="17"/>
      <c r="EA9" s="40" t="str">
        <f t="shared" si="41"/>
        <v/>
      </c>
      <c r="EB9" s="40" t="str">
        <f t="shared" si="42"/>
        <v/>
      </c>
      <c r="EC9" s="40" t="str">
        <f t="shared" si="43"/>
        <v/>
      </c>
      <c r="ED9" s="40" t="str">
        <f t="shared" si="44"/>
        <v/>
      </c>
      <c r="EE9" s="40" t="str">
        <f t="shared" si="45"/>
        <v/>
      </c>
      <c r="EF9" s="40" t="str">
        <f t="shared" si="46"/>
        <v/>
      </c>
      <c r="EG9" s="40" t="str">
        <f t="shared" si="47"/>
        <v/>
      </c>
      <c r="EH9" s="40" t="str">
        <f t="shared" si="48"/>
        <v/>
      </c>
      <c r="EI9" s="18"/>
      <c r="EJ9" s="18"/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8"/>
      <c r="FC9" s="11" t="str">
        <f t="shared" si="49"/>
        <v/>
      </c>
      <c r="FD9" s="11" t="str">
        <f t="shared" si="50"/>
        <v/>
      </c>
      <c r="FE9" s="11" t="str">
        <f t="shared" si="51"/>
        <v/>
      </c>
      <c r="FF9" s="11" t="str">
        <f t="shared" si="52"/>
        <v/>
      </c>
      <c r="FG9" s="11" t="str">
        <f t="shared" si="53"/>
        <v/>
      </c>
      <c r="FH9" s="11" t="str">
        <f t="shared" si="54"/>
        <v/>
      </c>
      <c r="FI9" s="11" t="str">
        <f t="shared" si="55"/>
        <v/>
      </c>
      <c r="FJ9" s="11" t="str">
        <f t="shared" si="56"/>
        <v/>
      </c>
      <c r="FK9" s="17"/>
      <c r="FL9" s="17"/>
      <c r="FM9" s="17"/>
      <c r="FN9" s="17"/>
      <c r="FO9" s="17"/>
      <c r="FP9" s="17"/>
      <c r="FQ9" s="17"/>
      <c r="FR9" s="17"/>
      <c r="FS9" s="17"/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40" t="str">
        <f t="shared" si="57"/>
        <v/>
      </c>
      <c r="GF9" s="40" t="str">
        <f t="shared" si="58"/>
        <v/>
      </c>
      <c r="GG9" s="40" t="str">
        <f t="shared" si="59"/>
        <v/>
      </c>
      <c r="GH9" s="40" t="str">
        <f t="shared" si="60"/>
        <v/>
      </c>
      <c r="GI9" s="40" t="str">
        <f t="shared" si="61"/>
        <v/>
      </c>
      <c r="GJ9" s="40" t="str">
        <f t="shared" si="62"/>
        <v/>
      </c>
      <c r="GK9" s="40" t="str">
        <f t="shared" si="63"/>
        <v/>
      </c>
      <c r="GL9" s="40" t="str">
        <f t="shared" si="64"/>
        <v/>
      </c>
      <c r="GM9" s="18"/>
      <c r="GN9" s="18"/>
      <c r="GO9" s="18"/>
      <c r="GP9" s="18"/>
      <c r="GQ9" s="18"/>
      <c r="GR9" s="18"/>
      <c r="GS9" s="18"/>
      <c r="GT9" s="18"/>
      <c r="GU9" s="18"/>
      <c r="GV9" s="18"/>
      <c r="GW9" s="18"/>
      <c r="GX9" s="18"/>
      <c r="GY9" s="18"/>
      <c r="GZ9" s="18"/>
      <c r="HA9" s="18"/>
      <c r="HB9" s="18"/>
      <c r="HC9" s="18"/>
      <c r="HD9" s="18"/>
      <c r="HE9" s="18"/>
      <c r="HF9" s="18"/>
      <c r="HG9" s="11" t="str">
        <f t="shared" si="65"/>
        <v/>
      </c>
      <c r="HH9" s="11" t="str">
        <f t="shared" si="66"/>
        <v/>
      </c>
      <c r="HI9" s="11" t="str">
        <f t="shared" si="67"/>
        <v/>
      </c>
      <c r="HJ9" s="11" t="str">
        <f t="shared" si="68"/>
        <v/>
      </c>
      <c r="HK9" s="11" t="str">
        <f t="shared" si="69"/>
        <v/>
      </c>
      <c r="HL9" s="11" t="str">
        <f t="shared" si="70"/>
        <v/>
      </c>
      <c r="HM9" s="11" t="str">
        <f t="shared" si="71"/>
        <v/>
      </c>
      <c r="HN9" s="11" t="str">
        <f t="shared" si="72"/>
        <v/>
      </c>
      <c r="HO9" s="17"/>
      <c r="HP9" s="17"/>
      <c r="HQ9" s="17"/>
      <c r="HR9" s="17"/>
      <c r="HS9" s="17"/>
      <c r="HT9" s="17"/>
      <c r="HU9" s="17"/>
      <c r="HV9" s="17"/>
      <c r="HW9" s="17"/>
      <c r="HX9" s="17"/>
      <c r="HY9" s="17"/>
      <c r="HZ9" s="17"/>
      <c r="IA9" s="17"/>
      <c r="IB9" s="17"/>
      <c r="IC9" s="17"/>
      <c r="ID9" s="17"/>
      <c r="IE9" s="17"/>
      <c r="IF9" s="17"/>
      <c r="IG9" s="17"/>
      <c r="IH9" s="17"/>
      <c r="II9" s="40" t="str">
        <f t="shared" si="73"/>
        <v/>
      </c>
      <c r="IJ9" s="40" t="str">
        <f t="shared" si="74"/>
        <v/>
      </c>
      <c r="IK9" s="40" t="str">
        <f t="shared" si="75"/>
        <v/>
      </c>
      <c r="IL9" s="40" t="str">
        <f t="shared" si="76"/>
        <v/>
      </c>
      <c r="IM9" s="40" t="str">
        <f t="shared" si="77"/>
        <v/>
      </c>
      <c r="IN9" s="40" t="str">
        <f t="shared" si="78"/>
        <v/>
      </c>
      <c r="IO9" s="40" t="str">
        <f t="shared" si="79"/>
        <v/>
      </c>
      <c r="IP9" s="40" t="str">
        <f t="shared" si="80"/>
        <v/>
      </c>
      <c r="IQ9" s="18"/>
      <c r="IR9" s="18"/>
      <c r="IS9" s="18"/>
      <c r="IT9" s="18"/>
      <c r="IU9" s="18"/>
      <c r="IV9" s="18"/>
      <c r="IW9" s="18"/>
      <c r="IX9" s="18"/>
      <c r="IY9" s="18"/>
      <c r="IZ9" s="18"/>
      <c r="JA9" s="18"/>
      <c r="JB9" s="18"/>
      <c r="JC9" s="18"/>
      <c r="JD9" s="18"/>
      <c r="JE9" s="18"/>
      <c r="JF9" s="18"/>
      <c r="JG9" s="18"/>
      <c r="JH9" s="18"/>
      <c r="JI9" s="18"/>
      <c r="JJ9" s="18"/>
      <c r="JK9" s="11" t="str">
        <f t="shared" si="81"/>
        <v/>
      </c>
      <c r="JL9" s="11" t="str">
        <f t="shared" si="82"/>
        <v/>
      </c>
      <c r="JM9" s="11" t="str">
        <f t="shared" si="83"/>
        <v/>
      </c>
      <c r="JN9" s="11" t="str">
        <f t="shared" si="84"/>
        <v/>
      </c>
      <c r="JO9" s="11" t="str">
        <f t="shared" si="85"/>
        <v/>
      </c>
      <c r="JP9" s="11" t="str">
        <f t="shared" si="86"/>
        <v/>
      </c>
      <c r="JQ9" s="11" t="str">
        <f t="shared" si="87"/>
        <v/>
      </c>
      <c r="JR9" s="11" t="str">
        <f t="shared" si="88"/>
        <v/>
      </c>
      <c r="JS9" s="17"/>
      <c r="JT9" s="17"/>
      <c r="JU9" s="17"/>
      <c r="JV9" s="17"/>
      <c r="JW9" s="17"/>
      <c r="JX9" s="17"/>
      <c r="JY9" s="17"/>
      <c r="JZ9" s="17"/>
      <c r="KA9" s="17"/>
      <c r="KB9" s="17"/>
      <c r="KC9" s="17"/>
      <c r="KD9" s="17"/>
      <c r="KE9" s="17"/>
      <c r="KF9" s="17"/>
      <c r="KG9" s="17"/>
      <c r="KH9" s="17"/>
      <c r="KI9" s="17"/>
      <c r="KJ9" s="17"/>
      <c r="KK9" s="17"/>
      <c r="KL9" s="17"/>
      <c r="KM9" s="40" t="str">
        <f t="shared" si="89"/>
        <v/>
      </c>
      <c r="KN9" s="40" t="str">
        <f t="shared" si="90"/>
        <v/>
      </c>
      <c r="KO9" s="40" t="str">
        <f t="shared" si="91"/>
        <v/>
      </c>
      <c r="KP9" s="40" t="str">
        <f t="shared" si="92"/>
        <v/>
      </c>
      <c r="KQ9" s="40" t="str">
        <f t="shared" si="93"/>
        <v/>
      </c>
      <c r="KR9" s="40" t="str">
        <f t="shared" si="94"/>
        <v/>
      </c>
      <c r="KS9" s="40" t="str">
        <f t="shared" si="95"/>
        <v/>
      </c>
      <c r="KT9" s="40" t="str">
        <f t="shared" si="96"/>
        <v/>
      </c>
      <c r="KU9" s="18"/>
      <c r="KV9" s="18"/>
      <c r="KW9" s="18"/>
      <c r="KX9" s="18"/>
      <c r="KY9" s="18"/>
      <c r="KZ9" s="18"/>
      <c r="LA9" s="18"/>
      <c r="LB9" s="18"/>
      <c r="LC9" s="18"/>
      <c r="LD9" s="18"/>
      <c r="LE9" s="18"/>
      <c r="LF9" s="18"/>
      <c r="LG9" s="18"/>
      <c r="LH9" s="18"/>
      <c r="LI9" s="18"/>
      <c r="LJ9" s="18"/>
      <c r="LK9" s="18"/>
      <c r="LL9" s="18"/>
      <c r="LM9" s="18"/>
      <c r="LN9" s="18"/>
      <c r="LO9" s="11" t="str">
        <f t="shared" si="97"/>
        <v/>
      </c>
      <c r="LP9" s="11" t="str">
        <f t="shared" si="98"/>
        <v/>
      </c>
      <c r="LQ9" s="11" t="str">
        <f t="shared" si="99"/>
        <v/>
      </c>
      <c r="LR9" s="11" t="str">
        <f t="shared" si="100"/>
        <v/>
      </c>
      <c r="LS9" s="11" t="str">
        <f t="shared" si="101"/>
        <v/>
      </c>
      <c r="LT9" s="11" t="str">
        <f t="shared" si="102"/>
        <v/>
      </c>
      <c r="LU9" s="11" t="str">
        <f t="shared" si="103"/>
        <v/>
      </c>
      <c r="LV9" s="11" t="str">
        <f t="shared" si="104"/>
        <v/>
      </c>
      <c r="LW9" s="17"/>
      <c r="LX9" s="17"/>
      <c r="LY9" s="17"/>
      <c r="LZ9" s="17"/>
      <c r="MA9" s="17"/>
      <c r="MB9" s="17"/>
      <c r="MC9" s="17"/>
      <c r="MD9" s="17"/>
      <c r="ME9" s="17"/>
      <c r="MF9" s="17"/>
      <c r="MG9" s="17"/>
      <c r="MH9" s="17"/>
      <c r="MI9" s="17"/>
      <c r="MJ9" s="17"/>
      <c r="MK9" s="17"/>
      <c r="ML9" s="17"/>
      <c r="MM9" s="17"/>
      <c r="MN9" s="17"/>
      <c r="MO9" s="17"/>
      <c r="MP9" s="17"/>
      <c r="MQ9" s="40" t="str">
        <f t="shared" si="105"/>
        <v/>
      </c>
      <c r="MR9" s="40" t="str">
        <f t="shared" si="106"/>
        <v/>
      </c>
      <c r="MS9" s="40" t="str">
        <f t="shared" si="107"/>
        <v/>
      </c>
      <c r="MT9" s="40" t="str">
        <f t="shared" si="108"/>
        <v/>
      </c>
      <c r="MU9" s="40" t="str">
        <f t="shared" si="109"/>
        <v/>
      </c>
      <c r="MV9" s="40" t="str">
        <f t="shared" si="110"/>
        <v/>
      </c>
      <c r="MW9" s="40" t="str">
        <f t="shared" si="111"/>
        <v/>
      </c>
      <c r="MX9" s="40" t="str">
        <f t="shared" si="112"/>
        <v/>
      </c>
      <c r="MY9" s="18"/>
      <c r="MZ9" s="18"/>
      <c r="NA9" s="18"/>
      <c r="NB9" s="18"/>
      <c r="NC9" s="18"/>
      <c r="ND9" s="18"/>
      <c r="NE9" s="18"/>
      <c r="NF9" s="18"/>
      <c r="NG9" s="18"/>
      <c r="NH9" s="18"/>
      <c r="NI9" s="18"/>
      <c r="NJ9" s="18"/>
      <c r="NK9" s="18"/>
      <c r="NL9" s="18"/>
      <c r="NM9" s="18"/>
      <c r="NN9" s="18"/>
      <c r="NO9" s="18"/>
      <c r="NP9" s="18"/>
      <c r="NQ9" s="18"/>
      <c r="NR9" s="18"/>
      <c r="NS9" s="11" t="str">
        <f t="shared" si="113"/>
        <v/>
      </c>
      <c r="NT9" s="11" t="str">
        <f t="shared" si="114"/>
        <v/>
      </c>
      <c r="NU9" s="11" t="str">
        <f t="shared" si="115"/>
        <v/>
      </c>
      <c r="NV9" s="11" t="str">
        <f t="shared" si="116"/>
        <v/>
      </c>
      <c r="NW9" s="11" t="str">
        <f t="shared" si="117"/>
        <v/>
      </c>
      <c r="NX9" s="11" t="str">
        <f t="shared" si="118"/>
        <v/>
      </c>
      <c r="NY9" s="11" t="str">
        <f t="shared" si="119"/>
        <v/>
      </c>
      <c r="NZ9" s="11" t="str">
        <f t="shared" si="120"/>
        <v/>
      </c>
      <c r="OA9" s="17"/>
      <c r="OB9" s="17"/>
      <c r="OC9" s="17"/>
      <c r="OD9" s="17"/>
      <c r="OE9" s="17"/>
      <c r="OF9" s="17"/>
      <c r="OG9" s="17"/>
      <c r="OH9" s="17"/>
      <c r="OI9" s="17"/>
      <c r="OJ9" s="17"/>
      <c r="OK9" s="17"/>
      <c r="OL9" s="17"/>
      <c r="OM9" s="17"/>
      <c r="ON9" s="17"/>
      <c r="OO9" s="17"/>
      <c r="OP9" s="17"/>
      <c r="OQ9" s="17"/>
      <c r="OR9" s="17"/>
      <c r="OS9" s="17"/>
      <c r="OT9" s="17"/>
      <c r="OU9" s="40" t="str">
        <f t="shared" si="121"/>
        <v/>
      </c>
      <c r="OV9" s="40" t="str">
        <f t="shared" si="122"/>
        <v/>
      </c>
      <c r="OW9" s="40" t="str">
        <f t="shared" si="123"/>
        <v/>
      </c>
      <c r="OX9" s="40" t="str">
        <f t="shared" si="124"/>
        <v/>
      </c>
      <c r="OY9" s="40" t="str">
        <f t="shared" si="125"/>
        <v/>
      </c>
      <c r="OZ9" s="40" t="str">
        <f t="shared" si="126"/>
        <v/>
      </c>
      <c r="PA9" s="40" t="str">
        <f t="shared" si="127"/>
        <v/>
      </c>
      <c r="PB9" s="40" t="str">
        <f t="shared" si="128"/>
        <v/>
      </c>
      <c r="PC9" s="18"/>
      <c r="PD9" s="18"/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8"/>
      <c r="PS9" s="18"/>
      <c r="PT9" s="18"/>
      <c r="PU9" s="18"/>
      <c r="PV9" s="18"/>
      <c r="PW9" s="11" t="str">
        <f t="shared" si="129"/>
        <v/>
      </c>
      <c r="PX9" s="11" t="str">
        <f t="shared" si="130"/>
        <v/>
      </c>
      <c r="PY9" s="11" t="str">
        <f t="shared" si="131"/>
        <v/>
      </c>
      <c r="PZ9" s="11" t="str">
        <f t="shared" si="132"/>
        <v/>
      </c>
      <c r="QA9" s="11" t="str">
        <f t="shared" si="133"/>
        <v/>
      </c>
      <c r="QB9" s="11" t="str">
        <f t="shared" si="134"/>
        <v/>
      </c>
      <c r="QC9" s="11" t="str">
        <f t="shared" si="135"/>
        <v/>
      </c>
      <c r="QD9" s="11" t="str">
        <f t="shared" si="136"/>
        <v/>
      </c>
      <c r="QE9" s="22">
        <f t="shared" si="137"/>
        <v>9.35</v>
      </c>
      <c r="QF9" s="22">
        <f t="shared" si="138"/>
        <v>2.6</v>
      </c>
      <c r="QG9" s="22">
        <f t="shared" si="139"/>
        <v>0.1</v>
      </c>
      <c r="QH9" s="22">
        <f t="shared" si="140"/>
        <v>0</v>
      </c>
      <c r="QI9" s="22">
        <f t="shared" si="141"/>
        <v>9.1999999999999993</v>
      </c>
      <c r="QJ9" s="22">
        <f t="shared" si="142"/>
        <v>2.6</v>
      </c>
      <c r="QK9" s="22">
        <f t="shared" si="143"/>
        <v>0.3</v>
      </c>
      <c r="QL9" s="22">
        <f t="shared" si="144"/>
        <v>0.15</v>
      </c>
      <c r="QM9" s="22">
        <f t="shared" si="145"/>
        <v>9.1999999999999993</v>
      </c>
      <c r="QN9" s="22">
        <f t="shared" si="146"/>
        <v>1.75</v>
      </c>
      <c r="QO9" s="22">
        <f t="shared" si="147"/>
        <v>0</v>
      </c>
      <c r="QP9" s="22">
        <f t="shared" si="148"/>
        <v>0</v>
      </c>
      <c r="QQ9" s="22">
        <f t="shared" si="149"/>
        <v>9.0500000000000007</v>
      </c>
      <c r="QR9" s="22">
        <f t="shared" si="150"/>
        <v>2.6</v>
      </c>
      <c r="QS9" s="22">
        <f t="shared" si="151"/>
        <v>0.4</v>
      </c>
      <c r="QT9" s="22">
        <f t="shared" si="152"/>
        <v>0</v>
      </c>
      <c r="QU9" s="22">
        <f t="shared" si="153"/>
        <v>9.35</v>
      </c>
      <c r="QV9" s="22">
        <f t="shared" si="154"/>
        <v>2.6</v>
      </c>
      <c r="QW9" s="22">
        <f t="shared" si="155"/>
        <v>0.3</v>
      </c>
      <c r="QX9" s="22">
        <f t="shared" si="156"/>
        <v>0.15</v>
      </c>
      <c r="QY9" s="27" t="s">
        <v>46</v>
      </c>
      <c r="QZ9" s="40">
        <f t="shared" si="157"/>
        <v>5.2</v>
      </c>
      <c r="RA9" s="40">
        <f t="shared" si="158"/>
        <v>23.499999999999996</v>
      </c>
      <c r="RB9" s="40">
        <f t="shared" si="159"/>
        <v>10.95</v>
      </c>
      <c r="RC9" s="40">
        <f t="shared" si="160"/>
        <v>6.95</v>
      </c>
      <c r="RD9" s="40">
        <f t="shared" si="161"/>
        <v>34.449999999999996</v>
      </c>
      <c r="RE9" s="40">
        <f t="shared" si="162"/>
        <v>5.2</v>
      </c>
      <c r="RF9" s="40">
        <f t="shared" si="163"/>
        <v>23.05</v>
      </c>
      <c r="RG9" s="40">
        <f t="shared" si="164"/>
        <v>46.55</v>
      </c>
    </row>
    <row r="10" spans="1:475" x14ac:dyDescent="0.2">
      <c r="A10" s="4">
        <f t="shared" si="0"/>
        <v>7</v>
      </c>
      <c r="B10" s="5" t="s">
        <v>111</v>
      </c>
      <c r="C10" s="4" t="s">
        <v>4</v>
      </c>
      <c r="D10" s="4">
        <v>2003</v>
      </c>
      <c r="E10" s="9">
        <f t="shared" si="1"/>
        <v>89.600004120002239</v>
      </c>
      <c r="F10" s="3" t="str">
        <f t="shared" si="2"/>
        <v>P</v>
      </c>
      <c r="G10" s="3" t="str">
        <f t="shared" si="3"/>
        <v>P</v>
      </c>
      <c r="H10" s="36" t="str">
        <f t="shared" si="4"/>
        <v>National Team</v>
      </c>
      <c r="I10" s="3" t="str">
        <f t="shared" si="5"/>
        <v/>
      </c>
      <c r="J10" s="8">
        <f>IF(COUNT(AQ10,BT10,CW10)&gt;0,LARGE((AQ10,BT10,CW10),1),0)</f>
        <v>22.400000000000002</v>
      </c>
      <c r="K10" s="8" t="str">
        <f t="shared" si="6"/>
        <v>2022 Nationals</v>
      </c>
      <c r="L10" s="8">
        <f>IF(COUNT(AQ10,BT10,CW10)&gt;1,LARGE((AQ10,BT10,CW10),2),0)</f>
        <v>0</v>
      </c>
      <c r="M10" s="8" t="str">
        <f t="shared" si="7"/>
        <v/>
      </c>
      <c r="N10" s="8">
        <f>IF(COUNT(AR10,BU10,CX10)&gt;0,LARGE((AR10,BU10,CX10),1),0)</f>
        <v>18.799999999999997</v>
      </c>
      <c r="O10" s="8" t="str">
        <f t="shared" si="8"/>
        <v>2022 Nationals</v>
      </c>
      <c r="P10" s="8">
        <f t="shared" si="9"/>
        <v>0</v>
      </c>
      <c r="Q10" s="8" t="str">
        <f t="shared" si="10"/>
        <v/>
      </c>
      <c r="R10" s="8">
        <f t="shared" si="11"/>
        <v>48.4</v>
      </c>
      <c r="S10" s="11" t="str">
        <f t="shared" si="12"/>
        <v>(Q1)</v>
      </c>
      <c r="T10" s="8" t="str">
        <f t="shared" si="13"/>
        <v>2022 Coimbra Gym Fest (June 26)</v>
      </c>
      <c r="U10" s="19">
        <v>17.600000000000001</v>
      </c>
      <c r="V10" s="19">
        <v>4.8</v>
      </c>
      <c r="W10" s="19">
        <v>0</v>
      </c>
      <c r="X10" s="19">
        <v>0</v>
      </c>
      <c r="Y10" s="19">
        <v>0</v>
      </c>
      <c r="Z10" s="19">
        <v>0</v>
      </c>
      <c r="AA10" s="19">
        <v>0</v>
      </c>
      <c r="AB10" s="19">
        <v>0</v>
      </c>
      <c r="AC10" s="19">
        <v>18.399999999999999</v>
      </c>
      <c r="AD10" s="19">
        <v>2.4</v>
      </c>
      <c r="AE10" s="19">
        <v>2</v>
      </c>
      <c r="AF10" s="19">
        <v>0</v>
      </c>
      <c r="AG10" s="19">
        <v>0</v>
      </c>
      <c r="AH10" s="19">
        <v>0</v>
      </c>
      <c r="AI10" s="19">
        <v>0</v>
      </c>
      <c r="AJ10" s="19">
        <v>0</v>
      </c>
      <c r="AK10" s="19">
        <v>0</v>
      </c>
      <c r="AL10" s="19">
        <v>0</v>
      </c>
      <c r="AM10" s="19">
        <v>0</v>
      </c>
      <c r="AN10" s="19">
        <v>0</v>
      </c>
      <c r="AO10" s="27"/>
      <c r="AP10" s="40">
        <f t="shared" si="14"/>
        <v>4.8</v>
      </c>
      <c r="AQ10" s="40">
        <f t="shared" si="15"/>
        <v>22.400000000000002</v>
      </c>
      <c r="AR10" s="40">
        <f t="shared" si="16"/>
        <v>18.799999999999997</v>
      </c>
      <c r="AS10" s="40">
        <f t="shared" si="17"/>
        <v>7.1999999999999993</v>
      </c>
      <c r="AT10" s="40">
        <f t="shared" si="18"/>
        <v>41.2</v>
      </c>
      <c r="AU10" s="40" t="str">
        <f t="shared" si="19"/>
        <v/>
      </c>
      <c r="AV10" s="40" t="str">
        <f t="shared" si="20"/>
        <v/>
      </c>
      <c r="AW10" s="40">
        <f t="shared" si="21"/>
        <v>22.400000000000002</v>
      </c>
      <c r="AX10" s="18"/>
      <c r="AY10" s="18"/>
      <c r="AZ10" s="18"/>
      <c r="BA10" s="18"/>
      <c r="BB10" s="18"/>
      <c r="BC10" s="18"/>
      <c r="BD10" s="18"/>
      <c r="BE10" s="18"/>
      <c r="BF10" s="18"/>
      <c r="BG10" s="18"/>
      <c r="BH10" s="18"/>
      <c r="BI10" s="18"/>
      <c r="BJ10" s="18"/>
      <c r="BK10" s="18"/>
      <c r="BL10" s="18"/>
      <c r="BM10" s="18"/>
      <c r="BN10" s="18"/>
      <c r="BO10" s="18"/>
      <c r="BP10" s="18"/>
      <c r="BQ10" s="18"/>
      <c r="BR10" s="28"/>
      <c r="BS10" s="11" t="str">
        <f t="shared" si="22"/>
        <v/>
      </c>
      <c r="BT10" s="11" t="str">
        <f t="shared" si="23"/>
        <v/>
      </c>
      <c r="BU10" s="11" t="str">
        <f t="shared" si="24"/>
        <v/>
      </c>
      <c r="BV10" s="11" t="str">
        <f t="shared" si="25"/>
        <v/>
      </c>
      <c r="BW10" s="11" t="str">
        <f t="shared" si="26"/>
        <v/>
      </c>
      <c r="BX10" s="11" t="str">
        <f t="shared" si="27"/>
        <v/>
      </c>
      <c r="BY10" s="11" t="str">
        <f t="shared" si="28"/>
        <v/>
      </c>
      <c r="BZ10" s="11" t="str">
        <f t="shared" si="29"/>
        <v/>
      </c>
      <c r="CA10" s="19"/>
      <c r="CB10" s="19"/>
      <c r="CC10" s="19"/>
      <c r="CD10" s="19"/>
      <c r="CE10" s="19"/>
      <c r="CF10" s="19"/>
      <c r="CG10" s="19"/>
      <c r="CH10" s="19"/>
      <c r="CI10" s="19"/>
      <c r="CJ10" s="19"/>
      <c r="CK10" s="19"/>
      <c r="CL10" s="19"/>
      <c r="CM10" s="19"/>
      <c r="CN10" s="19"/>
      <c r="CO10" s="19"/>
      <c r="CP10" s="19"/>
      <c r="CQ10" s="19"/>
      <c r="CR10" s="19"/>
      <c r="CS10" s="19"/>
      <c r="CT10" s="19"/>
      <c r="CU10" s="27"/>
      <c r="CV10" s="40" t="str">
        <f t="shared" si="30"/>
        <v/>
      </c>
      <c r="CW10" s="40" t="str">
        <f t="shared" si="31"/>
        <v/>
      </c>
      <c r="CX10" s="40" t="str">
        <f t="shared" si="32"/>
        <v/>
      </c>
      <c r="CY10" s="40" t="str">
        <f t="shared" si="33"/>
        <v/>
      </c>
      <c r="CZ10" s="40" t="str">
        <f t="shared" si="34"/>
        <v/>
      </c>
      <c r="DA10" s="40" t="str">
        <f t="shared" si="35"/>
        <v/>
      </c>
      <c r="DB10" s="40" t="str">
        <f t="shared" si="36"/>
        <v/>
      </c>
      <c r="DC10" s="40" t="str">
        <f t="shared" si="37"/>
        <v/>
      </c>
      <c r="DD10" s="50">
        <f t="shared" si="38"/>
        <v>48.4</v>
      </c>
      <c r="DE10" s="50" t="str">
        <f t="shared" si="39"/>
        <v/>
      </c>
      <c r="DF10" s="50">
        <f t="shared" si="40"/>
        <v>48.3</v>
      </c>
      <c r="DG10" s="17">
        <v>18.600000000000001</v>
      </c>
      <c r="DH10" s="17">
        <v>5.6</v>
      </c>
      <c r="DI10" s="17">
        <v>0.2</v>
      </c>
      <c r="DJ10" s="17">
        <v>0</v>
      </c>
      <c r="DK10" s="17">
        <v>17.7</v>
      </c>
      <c r="DL10" s="17">
        <v>6</v>
      </c>
      <c r="DM10" s="17">
        <v>1</v>
      </c>
      <c r="DN10" s="17">
        <v>0</v>
      </c>
      <c r="DO10" s="17"/>
      <c r="DP10" s="17"/>
      <c r="DQ10" s="17"/>
      <c r="DR10" s="17"/>
      <c r="DS10" s="17">
        <v>18.7</v>
      </c>
      <c r="DT10" s="17">
        <v>5.6</v>
      </c>
      <c r="DU10" s="17">
        <v>0.2</v>
      </c>
      <c r="DV10" s="17">
        <v>0</v>
      </c>
      <c r="DW10" s="17">
        <v>18.399999999999999</v>
      </c>
      <c r="DX10" s="17">
        <v>6</v>
      </c>
      <c r="DY10" s="17">
        <v>0.2</v>
      </c>
      <c r="DZ10" s="17">
        <v>0</v>
      </c>
      <c r="EA10" s="40">
        <f t="shared" si="41"/>
        <v>11.6</v>
      </c>
      <c r="EB10" s="40">
        <f t="shared" si="42"/>
        <v>46.7</v>
      </c>
      <c r="EC10" s="40" t="str">
        <f t="shared" si="43"/>
        <v/>
      </c>
      <c r="ED10" s="40">
        <f t="shared" si="44"/>
        <v>11.6</v>
      </c>
      <c r="EE10" s="40">
        <f t="shared" si="45"/>
        <v>46.7</v>
      </c>
      <c r="EF10" s="40">
        <f t="shared" si="46"/>
        <v>11.6</v>
      </c>
      <c r="EG10" s="40">
        <f t="shared" si="47"/>
        <v>48.3</v>
      </c>
      <c r="EH10" s="40">
        <f t="shared" si="48"/>
        <v>95</v>
      </c>
      <c r="EI10" s="18"/>
      <c r="EJ10" s="18"/>
      <c r="EK10" s="18"/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8"/>
      <c r="FC10" s="11" t="str">
        <f t="shared" si="49"/>
        <v/>
      </c>
      <c r="FD10" s="11" t="str">
        <f t="shared" si="50"/>
        <v/>
      </c>
      <c r="FE10" s="11" t="str">
        <f t="shared" si="51"/>
        <v/>
      </c>
      <c r="FF10" s="11" t="str">
        <f t="shared" si="52"/>
        <v/>
      </c>
      <c r="FG10" s="11" t="str">
        <f t="shared" si="53"/>
        <v/>
      </c>
      <c r="FH10" s="11" t="str">
        <f t="shared" si="54"/>
        <v/>
      </c>
      <c r="FI10" s="11" t="str">
        <f t="shared" si="55"/>
        <v/>
      </c>
      <c r="FJ10" s="11" t="str">
        <f t="shared" si="56"/>
        <v/>
      </c>
      <c r="FK10" s="17"/>
      <c r="FL10" s="17"/>
      <c r="FM10" s="17"/>
      <c r="FN10" s="17"/>
      <c r="FO10" s="17"/>
      <c r="FP10" s="17"/>
      <c r="FQ10" s="17"/>
      <c r="FR10" s="17"/>
      <c r="FS10" s="17"/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40" t="str">
        <f t="shared" si="57"/>
        <v/>
      </c>
      <c r="GF10" s="40" t="str">
        <f t="shared" si="58"/>
        <v/>
      </c>
      <c r="GG10" s="40" t="str">
        <f t="shared" si="59"/>
        <v/>
      </c>
      <c r="GH10" s="40" t="str">
        <f t="shared" si="60"/>
        <v/>
      </c>
      <c r="GI10" s="40" t="str">
        <f t="shared" si="61"/>
        <v/>
      </c>
      <c r="GJ10" s="40" t="str">
        <f t="shared" si="62"/>
        <v/>
      </c>
      <c r="GK10" s="40" t="str">
        <f t="shared" si="63"/>
        <v/>
      </c>
      <c r="GL10" s="40" t="str">
        <f t="shared" si="64"/>
        <v/>
      </c>
      <c r="GM10" s="18">
        <v>18.600000000000001</v>
      </c>
      <c r="GN10" s="18">
        <v>5.6</v>
      </c>
      <c r="GO10" s="18">
        <v>0</v>
      </c>
      <c r="GP10" s="18">
        <v>0</v>
      </c>
      <c r="GQ10" s="18">
        <v>18.399999999999999</v>
      </c>
      <c r="GR10" s="18">
        <v>6</v>
      </c>
      <c r="GS10" s="18">
        <v>0.2</v>
      </c>
      <c r="GT10" s="18">
        <v>0</v>
      </c>
      <c r="GU10" s="18"/>
      <c r="GV10" s="18"/>
      <c r="GW10" s="18"/>
      <c r="GX10" s="18"/>
      <c r="GY10" s="18">
        <v>18.600000000000001</v>
      </c>
      <c r="GZ10" s="18">
        <v>5.6</v>
      </c>
      <c r="HA10" s="18">
        <v>0.6</v>
      </c>
      <c r="HB10" s="18">
        <v>0</v>
      </c>
      <c r="HC10" s="18">
        <v>18.2</v>
      </c>
      <c r="HD10" s="18">
        <v>6</v>
      </c>
      <c r="HE10" s="18">
        <v>0</v>
      </c>
      <c r="HF10" s="18">
        <v>0</v>
      </c>
      <c r="HG10" s="11">
        <f t="shared" si="65"/>
        <v>11.6</v>
      </c>
      <c r="HH10" s="11">
        <f t="shared" si="66"/>
        <v>48.4</v>
      </c>
      <c r="HI10" s="11" t="str">
        <f t="shared" si="67"/>
        <v/>
      </c>
      <c r="HJ10" s="11">
        <f t="shared" si="68"/>
        <v>11.6</v>
      </c>
      <c r="HK10" s="11">
        <f t="shared" si="69"/>
        <v>48.4</v>
      </c>
      <c r="HL10" s="11">
        <f t="shared" si="70"/>
        <v>11.6</v>
      </c>
      <c r="HM10" s="11">
        <f t="shared" si="71"/>
        <v>47.800000000000004</v>
      </c>
      <c r="HN10" s="11">
        <f t="shared" si="72"/>
        <v>96.2</v>
      </c>
      <c r="HO10" s="17"/>
      <c r="HP10" s="17"/>
      <c r="HQ10" s="17"/>
      <c r="HR10" s="17"/>
      <c r="HS10" s="17"/>
      <c r="HT10" s="17"/>
      <c r="HU10" s="17"/>
      <c r="HV10" s="17"/>
      <c r="HW10" s="17"/>
      <c r="HX10" s="17"/>
      <c r="HY10" s="17"/>
      <c r="HZ10" s="17"/>
      <c r="IA10" s="17"/>
      <c r="IB10" s="17"/>
      <c r="IC10" s="17"/>
      <c r="ID10" s="17"/>
      <c r="IE10" s="17"/>
      <c r="IF10" s="17"/>
      <c r="IG10" s="17"/>
      <c r="IH10" s="17"/>
      <c r="II10" s="40" t="str">
        <f t="shared" si="73"/>
        <v/>
      </c>
      <c r="IJ10" s="40" t="str">
        <f t="shared" si="74"/>
        <v/>
      </c>
      <c r="IK10" s="40" t="str">
        <f t="shared" si="75"/>
        <v/>
      </c>
      <c r="IL10" s="40" t="str">
        <f t="shared" si="76"/>
        <v/>
      </c>
      <c r="IM10" s="40" t="str">
        <f t="shared" si="77"/>
        <v/>
      </c>
      <c r="IN10" s="40" t="str">
        <f t="shared" si="78"/>
        <v/>
      </c>
      <c r="IO10" s="40" t="str">
        <f t="shared" si="79"/>
        <v/>
      </c>
      <c r="IP10" s="40" t="str">
        <f t="shared" si="80"/>
        <v/>
      </c>
      <c r="IQ10" s="18"/>
      <c r="IR10" s="18"/>
      <c r="IS10" s="18"/>
      <c r="IT10" s="18"/>
      <c r="IU10" s="18"/>
      <c r="IV10" s="18"/>
      <c r="IW10" s="18"/>
      <c r="IX10" s="18"/>
      <c r="IY10" s="18"/>
      <c r="IZ10" s="18"/>
      <c r="JA10" s="18"/>
      <c r="JB10" s="18"/>
      <c r="JC10" s="18"/>
      <c r="JD10" s="18"/>
      <c r="JE10" s="18"/>
      <c r="JF10" s="18"/>
      <c r="JG10" s="18"/>
      <c r="JH10" s="18"/>
      <c r="JI10" s="18"/>
      <c r="JJ10" s="18"/>
      <c r="JK10" s="11" t="str">
        <f t="shared" si="81"/>
        <v/>
      </c>
      <c r="JL10" s="11" t="str">
        <f t="shared" si="82"/>
        <v/>
      </c>
      <c r="JM10" s="11" t="str">
        <f t="shared" si="83"/>
        <v/>
      </c>
      <c r="JN10" s="11" t="str">
        <f t="shared" si="84"/>
        <v/>
      </c>
      <c r="JO10" s="11" t="str">
        <f t="shared" si="85"/>
        <v/>
      </c>
      <c r="JP10" s="11" t="str">
        <f t="shared" si="86"/>
        <v/>
      </c>
      <c r="JQ10" s="11" t="str">
        <f t="shared" si="87"/>
        <v/>
      </c>
      <c r="JR10" s="11" t="str">
        <f t="shared" si="88"/>
        <v/>
      </c>
      <c r="JS10" s="17"/>
      <c r="JT10" s="17"/>
      <c r="JU10" s="17"/>
      <c r="JV10" s="17"/>
      <c r="JW10" s="17"/>
      <c r="JX10" s="17"/>
      <c r="JY10" s="17"/>
      <c r="JZ10" s="17"/>
      <c r="KA10" s="17"/>
      <c r="KB10" s="17"/>
      <c r="KC10" s="17"/>
      <c r="KD10" s="17"/>
      <c r="KE10" s="17"/>
      <c r="KF10" s="17"/>
      <c r="KG10" s="17"/>
      <c r="KH10" s="17"/>
      <c r="KI10" s="17"/>
      <c r="KJ10" s="17"/>
      <c r="KK10" s="17"/>
      <c r="KL10" s="17"/>
      <c r="KM10" s="40" t="str">
        <f t="shared" si="89"/>
        <v/>
      </c>
      <c r="KN10" s="40" t="str">
        <f t="shared" si="90"/>
        <v/>
      </c>
      <c r="KO10" s="40" t="str">
        <f t="shared" si="91"/>
        <v/>
      </c>
      <c r="KP10" s="40" t="str">
        <f t="shared" si="92"/>
        <v/>
      </c>
      <c r="KQ10" s="40" t="str">
        <f t="shared" si="93"/>
        <v/>
      </c>
      <c r="KR10" s="40" t="str">
        <f t="shared" si="94"/>
        <v/>
      </c>
      <c r="KS10" s="40" t="str">
        <f t="shared" si="95"/>
        <v/>
      </c>
      <c r="KT10" s="40" t="str">
        <f t="shared" si="96"/>
        <v/>
      </c>
      <c r="KU10" s="18"/>
      <c r="KV10" s="18"/>
      <c r="KW10" s="18"/>
      <c r="KX10" s="18"/>
      <c r="KY10" s="18"/>
      <c r="KZ10" s="18"/>
      <c r="LA10" s="18"/>
      <c r="LB10" s="18"/>
      <c r="LC10" s="18"/>
      <c r="LD10" s="18"/>
      <c r="LE10" s="18"/>
      <c r="LF10" s="18"/>
      <c r="LG10" s="18"/>
      <c r="LH10" s="18"/>
      <c r="LI10" s="18"/>
      <c r="LJ10" s="18"/>
      <c r="LK10" s="18"/>
      <c r="LL10" s="18"/>
      <c r="LM10" s="18"/>
      <c r="LN10" s="18"/>
      <c r="LO10" s="11" t="str">
        <f t="shared" si="97"/>
        <v/>
      </c>
      <c r="LP10" s="11" t="str">
        <f t="shared" si="98"/>
        <v/>
      </c>
      <c r="LQ10" s="11" t="str">
        <f t="shared" si="99"/>
        <v/>
      </c>
      <c r="LR10" s="11" t="str">
        <f t="shared" si="100"/>
        <v/>
      </c>
      <c r="LS10" s="11" t="str">
        <f t="shared" si="101"/>
        <v/>
      </c>
      <c r="LT10" s="11" t="str">
        <f t="shared" si="102"/>
        <v/>
      </c>
      <c r="LU10" s="11" t="str">
        <f t="shared" si="103"/>
        <v/>
      </c>
      <c r="LV10" s="11" t="str">
        <f t="shared" si="104"/>
        <v/>
      </c>
      <c r="LW10" s="17"/>
      <c r="LX10" s="17"/>
      <c r="LY10" s="17"/>
      <c r="LZ10" s="17"/>
      <c r="MA10" s="17"/>
      <c r="MB10" s="17"/>
      <c r="MC10" s="17"/>
      <c r="MD10" s="17"/>
      <c r="ME10" s="17"/>
      <c r="MF10" s="17"/>
      <c r="MG10" s="17"/>
      <c r="MH10" s="17"/>
      <c r="MI10" s="17"/>
      <c r="MJ10" s="17"/>
      <c r="MK10" s="17"/>
      <c r="ML10" s="17"/>
      <c r="MM10" s="17"/>
      <c r="MN10" s="17"/>
      <c r="MO10" s="17"/>
      <c r="MP10" s="17"/>
      <c r="MQ10" s="40" t="str">
        <f t="shared" si="105"/>
        <v/>
      </c>
      <c r="MR10" s="40" t="str">
        <f t="shared" si="106"/>
        <v/>
      </c>
      <c r="MS10" s="40" t="str">
        <f t="shared" si="107"/>
        <v/>
      </c>
      <c r="MT10" s="40" t="str">
        <f t="shared" si="108"/>
        <v/>
      </c>
      <c r="MU10" s="40" t="str">
        <f t="shared" si="109"/>
        <v/>
      </c>
      <c r="MV10" s="40" t="str">
        <f t="shared" si="110"/>
        <v/>
      </c>
      <c r="MW10" s="40" t="str">
        <f t="shared" si="111"/>
        <v/>
      </c>
      <c r="MX10" s="40" t="str">
        <f t="shared" si="112"/>
        <v/>
      </c>
      <c r="MY10" s="18"/>
      <c r="MZ10" s="18"/>
      <c r="NA10" s="18"/>
      <c r="NB10" s="18"/>
      <c r="NC10" s="18"/>
      <c r="ND10" s="18"/>
      <c r="NE10" s="18"/>
      <c r="NF10" s="18"/>
      <c r="NG10" s="18"/>
      <c r="NH10" s="18"/>
      <c r="NI10" s="18"/>
      <c r="NJ10" s="18"/>
      <c r="NK10" s="18"/>
      <c r="NL10" s="18"/>
      <c r="NM10" s="18"/>
      <c r="NN10" s="18"/>
      <c r="NO10" s="18"/>
      <c r="NP10" s="18"/>
      <c r="NQ10" s="18"/>
      <c r="NR10" s="18"/>
      <c r="NS10" s="11" t="str">
        <f t="shared" si="113"/>
        <v/>
      </c>
      <c r="NT10" s="11" t="str">
        <f t="shared" si="114"/>
        <v/>
      </c>
      <c r="NU10" s="11" t="str">
        <f t="shared" si="115"/>
        <v/>
      </c>
      <c r="NV10" s="11" t="str">
        <f t="shared" si="116"/>
        <v/>
      </c>
      <c r="NW10" s="11" t="str">
        <f t="shared" si="117"/>
        <v/>
      </c>
      <c r="NX10" s="11" t="str">
        <f t="shared" si="118"/>
        <v/>
      </c>
      <c r="NY10" s="11" t="str">
        <f t="shared" si="119"/>
        <v/>
      </c>
      <c r="NZ10" s="11" t="str">
        <f t="shared" si="120"/>
        <v/>
      </c>
      <c r="OA10" s="17"/>
      <c r="OB10" s="17"/>
      <c r="OC10" s="17"/>
      <c r="OD10" s="17"/>
      <c r="OE10" s="17"/>
      <c r="OF10" s="17"/>
      <c r="OG10" s="17"/>
      <c r="OH10" s="17"/>
      <c r="OI10" s="17"/>
      <c r="OJ10" s="17"/>
      <c r="OK10" s="17"/>
      <c r="OL10" s="17"/>
      <c r="OM10" s="17"/>
      <c r="ON10" s="17"/>
      <c r="OO10" s="17"/>
      <c r="OP10" s="17"/>
      <c r="OQ10" s="17"/>
      <c r="OR10" s="17"/>
      <c r="OS10" s="17"/>
      <c r="OT10" s="17"/>
      <c r="OU10" s="40" t="str">
        <f t="shared" si="121"/>
        <v/>
      </c>
      <c r="OV10" s="40" t="str">
        <f t="shared" si="122"/>
        <v/>
      </c>
      <c r="OW10" s="40" t="str">
        <f t="shared" si="123"/>
        <v/>
      </c>
      <c r="OX10" s="40" t="str">
        <f t="shared" si="124"/>
        <v/>
      </c>
      <c r="OY10" s="40" t="str">
        <f t="shared" si="125"/>
        <v/>
      </c>
      <c r="OZ10" s="40" t="str">
        <f t="shared" si="126"/>
        <v/>
      </c>
      <c r="PA10" s="40" t="str">
        <f t="shared" si="127"/>
        <v/>
      </c>
      <c r="PB10" s="40" t="str">
        <f t="shared" si="128"/>
        <v/>
      </c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8"/>
      <c r="PS10" s="18"/>
      <c r="PT10" s="18"/>
      <c r="PU10" s="18"/>
      <c r="PV10" s="18"/>
      <c r="PW10" s="11" t="str">
        <f t="shared" si="129"/>
        <v/>
      </c>
      <c r="PX10" s="11" t="str">
        <f t="shared" si="130"/>
        <v/>
      </c>
      <c r="PY10" s="11" t="str">
        <f t="shared" si="131"/>
        <v/>
      </c>
      <c r="PZ10" s="11" t="str">
        <f t="shared" si="132"/>
        <v/>
      </c>
      <c r="QA10" s="11" t="str">
        <f t="shared" si="133"/>
        <v/>
      </c>
      <c r="QB10" s="11" t="str">
        <f t="shared" si="134"/>
        <v/>
      </c>
      <c r="QC10" s="11" t="str">
        <f t="shared" si="135"/>
        <v/>
      </c>
      <c r="QD10" s="11" t="str">
        <f t="shared" si="136"/>
        <v/>
      </c>
      <c r="QE10" s="22">
        <f t="shared" si="137"/>
        <v>0</v>
      </c>
      <c r="QF10" s="22">
        <f t="shared" si="138"/>
        <v>0</v>
      </c>
      <c r="QG10" s="22">
        <f t="shared" si="139"/>
        <v>0</v>
      </c>
      <c r="QH10" s="22">
        <f t="shared" si="140"/>
        <v>0</v>
      </c>
      <c r="QI10" s="22">
        <f t="shared" si="141"/>
        <v>0</v>
      </c>
      <c r="QJ10" s="22">
        <f t="shared" si="142"/>
        <v>0</v>
      </c>
      <c r="QK10" s="22">
        <f t="shared" si="143"/>
        <v>0</v>
      </c>
      <c r="QL10" s="22">
        <f t="shared" si="144"/>
        <v>0</v>
      </c>
      <c r="QM10" s="22">
        <f t="shared" si="145"/>
        <v>0</v>
      </c>
      <c r="QN10" s="22">
        <f t="shared" si="146"/>
        <v>0</v>
      </c>
      <c r="QO10" s="22">
        <f t="shared" si="147"/>
        <v>0</v>
      </c>
      <c r="QP10" s="22">
        <f t="shared" si="148"/>
        <v>0</v>
      </c>
      <c r="QQ10" s="22">
        <f t="shared" si="149"/>
        <v>0</v>
      </c>
      <c r="QR10" s="22">
        <f t="shared" si="150"/>
        <v>0</v>
      </c>
      <c r="QS10" s="22">
        <f t="shared" si="151"/>
        <v>0</v>
      </c>
      <c r="QT10" s="22">
        <f t="shared" si="152"/>
        <v>0</v>
      </c>
      <c r="QU10" s="22">
        <f t="shared" si="153"/>
        <v>0</v>
      </c>
      <c r="QV10" s="22">
        <f t="shared" si="154"/>
        <v>0</v>
      </c>
      <c r="QW10" s="22">
        <f t="shared" si="155"/>
        <v>0</v>
      </c>
      <c r="QX10" s="22">
        <f t="shared" si="156"/>
        <v>0</v>
      </c>
      <c r="QY10" s="27" t="s">
        <v>46</v>
      </c>
      <c r="QZ10" s="40" t="str">
        <f t="shared" si="157"/>
        <v/>
      </c>
      <c r="RA10" s="40" t="str">
        <f t="shared" si="158"/>
        <v/>
      </c>
      <c r="RB10" s="40" t="str">
        <f t="shared" si="159"/>
        <v/>
      </c>
      <c r="RC10" s="40" t="str">
        <f t="shared" si="160"/>
        <v/>
      </c>
      <c r="RD10" s="40" t="str">
        <f t="shared" si="161"/>
        <v/>
      </c>
      <c r="RE10" s="40" t="str">
        <f t="shared" si="162"/>
        <v/>
      </c>
      <c r="RF10" s="40" t="str">
        <f t="shared" si="163"/>
        <v/>
      </c>
      <c r="RG10" s="40" t="str">
        <f t="shared" si="164"/>
        <v/>
      </c>
    </row>
    <row r="11" spans="1:475" x14ac:dyDescent="0.2">
      <c r="A11" s="4" t="str">
        <f t="shared" si="0"/>
        <v/>
      </c>
      <c r="B11" s="5" t="s">
        <v>159</v>
      </c>
      <c r="C11" s="4" t="s">
        <v>4</v>
      </c>
      <c r="D11" s="4">
        <v>2005</v>
      </c>
      <c r="E11" s="9">
        <f t="shared" si="1"/>
        <v>156.30001105000449</v>
      </c>
      <c r="F11" s="3" t="str">
        <f t="shared" si="2"/>
        <v/>
      </c>
      <c r="G11" s="3" t="str">
        <f t="shared" si="3"/>
        <v/>
      </c>
      <c r="H11" s="36" t="str">
        <f t="shared" si="4"/>
        <v/>
      </c>
      <c r="I11" s="3" t="str">
        <f t="shared" si="5"/>
        <v/>
      </c>
      <c r="J11" s="8">
        <f>IF(COUNT(AQ11,BT11,CW11)&gt;0,LARGE((AQ11,BT11,CW11),1),0)</f>
        <v>44.7</v>
      </c>
      <c r="K11" s="8" t="str">
        <f t="shared" si="6"/>
        <v>2023 Elite Canada</v>
      </c>
      <c r="L11" s="8">
        <f>IF(COUNT(AQ11,BT11,CW11)&gt;1,LARGE((AQ11,BT11,CW11),2),0)</f>
        <v>43.1</v>
      </c>
      <c r="M11" s="8" t="str">
        <f t="shared" si="7"/>
        <v>2022 Nationals</v>
      </c>
      <c r="N11" s="8">
        <f>IF(COUNT(AR11,BU11,CX11)&gt;0,LARGE((AR11,BU11,CX11),1),0)</f>
        <v>22.700000000000003</v>
      </c>
      <c r="O11" s="8" t="str">
        <f t="shared" si="8"/>
        <v>2022 Nationals</v>
      </c>
      <c r="P11" s="8">
        <f t="shared" si="9"/>
        <v>44.79999999999999</v>
      </c>
      <c r="Q11" s="8" t="str">
        <f t="shared" si="10"/>
        <v>2023 Elite Canada</v>
      </c>
      <c r="R11" s="8">
        <f t="shared" si="11"/>
        <v>0.99999999999999289</v>
      </c>
      <c r="S11" s="11" t="str">
        <f t="shared" si="12"/>
        <v>(Q1)</v>
      </c>
      <c r="T11" s="8" t="str">
        <f t="shared" si="13"/>
        <v>2022 Coimbra Gym Fest (June 26)</v>
      </c>
      <c r="U11" s="19">
        <v>18.8</v>
      </c>
      <c r="V11" s="19">
        <v>3.5</v>
      </c>
      <c r="W11" s="19">
        <v>0</v>
      </c>
      <c r="X11" s="19">
        <v>0</v>
      </c>
      <c r="Y11" s="19">
        <v>17.3</v>
      </c>
      <c r="Z11" s="19">
        <v>4.0999999999999996</v>
      </c>
      <c r="AA11" s="19">
        <v>0.6</v>
      </c>
      <c r="AB11" s="19">
        <v>0</v>
      </c>
      <c r="AC11" s="19">
        <v>18.3</v>
      </c>
      <c r="AD11" s="19">
        <v>4.4000000000000004</v>
      </c>
      <c r="AE11" s="19">
        <v>0</v>
      </c>
      <c r="AF11" s="19">
        <v>0</v>
      </c>
      <c r="AG11" s="19">
        <v>18.899999999999999</v>
      </c>
      <c r="AH11" s="19">
        <v>3.5</v>
      </c>
      <c r="AI11" s="19">
        <v>0.2</v>
      </c>
      <c r="AJ11" s="19">
        <v>0</v>
      </c>
      <c r="AK11" s="19">
        <v>17.2</v>
      </c>
      <c r="AL11" s="19">
        <v>2.4</v>
      </c>
      <c r="AM11" s="19">
        <v>0</v>
      </c>
      <c r="AN11" s="19">
        <v>0</v>
      </c>
      <c r="AO11" s="27"/>
      <c r="AP11" s="40">
        <f t="shared" si="14"/>
        <v>7.6</v>
      </c>
      <c r="AQ11" s="40">
        <f t="shared" si="15"/>
        <v>43.1</v>
      </c>
      <c r="AR11" s="40">
        <f t="shared" si="16"/>
        <v>22.700000000000003</v>
      </c>
      <c r="AS11" s="40">
        <f t="shared" si="17"/>
        <v>12</v>
      </c>
      <c r="AT11" s="40">
        <f t="shared" si="18"/>
        <v>65.800000000000011</v>
      </c>
      <c r="AU11" s="40">
        <f t="shared" si="19"/>
        <v>5.9</v>
      </c>
      <c r="AV11" s="40">
        <f t="shared" si="20"/>
        <v>41.79999999999999</v>
      </c>
      <c r="AW11" s="40">
        <f t="shared" si="21"/>
        <v>84.899999999999991</v>
      </c>
      <c r="AX11" s="18"/>
      <c r="AY11" s="18"/>
      <c r="AZ11" s="18"/>
      <c r="BA11" s="18"/>
      <c r="BB11" s="18"/>
      <c r="BC11" s="18"/>
      <c r="BD11" s="18"/>
      <c r="BE11" s="18"/>
      <c r="BF11" s="18"/>
      <c r="BG11" s="18"/>
      <c r="BH11" s="18"/>
      <c r="BI11" s="18"/>
      <c r="BJ11" s="18"/>
      <c r="BK11" s="18"/>
      <c r="BL11" s="18"/>
      <c r="BM11" s="18"/>
      <c r="BN11" s="18"/>
      <c r="BO11" s="18"/>
      <c r="BP11" s="18"/>
      <c r="BQ11" s="18"/>
      <c r="BR11" s="28"/>
      <c r="BS11" s="11" t="str">
        <f t="shared" si="22"/>
        <v/>
      </c>
      <c r="BT11" s="11" t="str">
        <f t="shared" si="23"/>
        <v/>
      </c>
      <c r="BU11" s="11" t="str">
        <f t="shared" si="24"/>
        <v/>
      </c>
      <c r="BV11" s="11" t="str">
        <f t="shared" si="25"/>
        <v/>
      </c>
      <c r="BW11" s="11" t="str">
        <f t="shared" si="26"/>
        <v/>
      </c>
      <c r="BX11" s="11" t="str">
        <f t="shared" si="27"/>
        <v/>
      </c>
      <c r="BY11" s="11" t="str">
        <f t="shared" si="28"/>
        <v/>
      </c>
      <c r="BZ11" s="11" t="str">
        <f t="shared" si="29"/>
        <v/>
      </c>
      <c r="CA11" s="19">
        <v>19</v>
      </c>
      <c r="CB11" s="19">
        <v>3.5</v>
      </c>
      <c r="CC11" s="19">
        <v>0</v>
      </c>
      <c r="CD11" s="19">
        <v>0</v>
      </c>
      <c r="CE11" s="19">
        <v>18.2</v>
      </c>
      <c r="CF11" s="19">
        <v>4.8</v>
      </c>
      <c r="CG11" s="19">
        <v>0.8</v>
      </c>
      <c r="CH11" s="19">
        <v>0</v>
      </c>
      <c r="CI11" s="19">
        <v>17.899999999999999</v>
      </c>
      <c r="CJ11" s="19">
        <v>4.4000000000000004</v>
      </c>
      <c r="CK11" s="19">
        <v>0.2</v>
      </c>
      <c r="CL11" s="19">
        <v>0</v>
      </c>
      <c r="CM11" s="19">
        <v>18.7</v>
      </c>
      <c r="CN11" s="19">
        <v>3.5</v>
      </c>
      <c r="CO11" s="19">
        <v>0</v>
      </c>
      <c r="CP11" s="19">
        <v>0</v>
      </c>
      <c r="CQ11" s="19">
        <v>18.399999999999999</v>
      </c>
      <c r="CR11" s="19">
        <v>4.8</v>
      </c>
      <c r="CS11" s="19">
        <v>0.6</v>
      </c>
      <c r="CT11" s="19">
        <v>0</v>
      </c>
      <c r="CU11" s="27"/>
      <c r="CV11" s="40">
        <f t="shared" si="30"/>
        <v>8.3000000000000007</v>
      </c>
      <c r="CW11" s="40">
        <f t="shared" si="31"/>
        <v>44.7</v>
      </c>
      <c r="CX11" s="40">
        <f t="shared" si="32"/>
        <v>22.099999999999998</v>
      </c>
      <c r="CY11" s="40">
        <f t="shared" si="33"/>
        <v>12.700000000000001</v>
      </c>
      <c r="CZ11" s="40">
        <f t="shared" si="34"/>
        <v>66.8</v>
      </c>
      <c r="DA11" s="40">
        <f t="shared" si="35"/>
        <v>8.3000000000000007</v>
      </c>
      <c r="DB11" s="40">
        <f t="shared" si="36"/>
        <v>44.79999999999999</v>
      </c>
      <c r="DC11" s="40">
        <f t="shared" si="37"/>
        <v>89.5</v>
      </c>
      <c r="DD11" s="50">
        <f t="shared" si="38"/>
        <v>0.99999999999999289</v>
      </c>
      <c r="DE11" s="50" t="str">
        <f t="shared" si="39"/>
        <v/>
      </c>
      <c r="DF11" s="50" t="str">
        <f t="shared" si="40"/>
        <v/>
      </c>
      <c r="DG11" s="17"/>
      <c r="DH11" s="17"/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17"/>
      <c r="DY11" s="17"/>
      <c r="DZ11" s="17"/>
      <c r="EA11" s="40" t="str">
        <f t="shared" si="41"/>
        <v/>
      </c>
      <c r="EB11" s="40" t="str">
        <f t="shared" si="42"/>
        <v/>
      </c>
      <c r="EC11" s="40" t="str">
        <f t="shared" si="43"/>
        <v/>
      </c>
      <c r="ED11" s="40" t="str">
        <f t="shared" si="44"/>
        <v/>
      </c>
      <c r="EE11" s="40" t="str">
        <f t="shared" si="45"/>
        <v/>
      </c>
      <c r="EF11" s="40" t="str">
        <f t="shared" si="46"/>
        <v/>
      </c>
      <c r="EG11" s="40" t="str">
        <f t="shared" si="47"/>
        <v/>
      </c>
      <c r="EH11" s="40" t="str">
        <f t="shared" si="48"/>
        <v/>
      </c>
      <c r="EI11" s="18"/>
      <c r="EJ11" s="18"/>
      <c r="EK11" s="18"/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8"/>
      <c r="FC11" s="11" t="str">
        <f t="shared" si="49"/>
        <v/>
      </c>
      <c r="FD11" s="11" t="str">
        <f t="shared" si="50"/>
        <v/>
      </c>
      <c r="FE11" s="11" t="str">
        <f t="shared" si="51"/>
        <v/>
      </c>
      <c r="FF11" s="11" t="str">
        <f t="shared" si="52"/>
        <v/>
      </c>
      <c r="FG11" s="11" t="str">
        <f t="shared" si="53"/>
        <v/>
      </c>
      <c r="FH11" s="11" t="str">
        <f t="shared" si="54"/>
        <v/>
      </c>
      <c r="FI11" s="11" t="str">
        <f t="shared" si="55"/>
        <v/>
      </c>
      <c r="FJ11" s="11" t="str">
        <f t="shared" si="56"/>
        <v/>
      </c>
      <c r="FK11" s="17"/>
      <c r="FL11" s="17"/>
      <c r="FM11" s="17"/>
      <c r="FN11" s="17"/>
      <c r="FO11" s="17"/>
      <c r="FP11" s="17"/>
      <c r="FQ11" s="17"/>
      <c r="FR11" s="17"/>
      <c r="FS11" s="17"/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40" t="str">
        <f t="shared" si="57"/>
        <v/>
      </c>
      <c r="GF11" s="40" t="str">
        <f t="shared" si="58"/>
        <v/>
      </c>
      <c r="GG11" s="40" t="str">
        <f t="shared" si="59"/>
        <v/>
      </c>
      <c r="GH11" s="40" t="str">
        <f t="shared" si="60"/>
        <v/>
      </c>
      <c r="GI11" s="40" t="str">
        <f t="shared" si="61"/>
        <v/>
      </c>
      <c r="GJ11" s="40" t="str">
        <f t="shared" si="62"/>
        <v/>
      </c>
      <c r="GK11" s="40" t="str">
        <f t="shared" si="63"/>
        <v/>
      </c>
      <c r="GL11" s="40" t="str">
        <f t="shared" si="64"/>
        <v/>
      </c>
      <c r="GM11" s="18">
        <v>18.7</v>
      </c>
      <c r="GN11" s="18">
        <v>3.5</v>
      </c>
      <c r="GO11" s="18">
        <v>0</v>
      </c>
      <c r="GP11" s="18">
        <v>0</v>
      </c>
      <c r="GQ11" s="18">
        <v>17.899999999999999</v>
      </c>
      <c r="GR11" s="18">
        <v>4.8</v>
      </c>
      <c r="GS11" s="18">
        <v>0.8</v>
      </c>
      <c r="GT11" s="18">
        <v>0</v>
      </c>
      <c r="GU11" s="18"/>
      <c r="GV11" s="18"/>
      <c r="GW11" s="18"/>
      <c r="GX11" s="18"/>
      <c r="GY11" s="18"/>
      <c r="GZ11" s="18"/>
      <c r="HA11" s="18"/>
      <c r="HB11" s="18"/>
      <c r="HC11" s="18"/>
      <c r="HD11" s="18"/>
      <c r="HE11" s="18"/>
      <c r="HF11" s="18"/>
      <c r="HG11" s="11">
        <f t="shared" si="65"/>
        <v>8.3000000000000007</v>
      </c>
      <c r="HH11" s="11">
        <f t="shared" si="66"/>
        <v>44.099999999999994</v>
      </c>
      <c r="HI11" s="11" t="str">
        <f t="shared" si="67"/>
        <v/>
      </c>
      <c r="HJ11" s="11">
        <f t="shared" si="68"/>
        <v>8.3000000000000007</v>
      </c>
      <c r="HK11" s="11">
        <f t="shared" si="69"/>
        <v>44.099999999999994</v>
      </c>
      <c r="HL11" s="11" t="str">
        <f t="shared" si="70"/>
        <v/>
      </c>
      <c r="HM11" s="11" t="str">
        <f t="shared" si="71"/>
        <v/>
      </c>
      <c r="HN11" s="11">
        <f t="shared" si="72"/>
        <v>44.099999999999994</v>
      </c>
      <c r="HO11" s="17"/>
      <c r="HP11" s="17"/>
      <c r="HQ11" s="17"/>
      <c r="HR11" s="17"/>
      <c r="HS11" s="17"/>
      <c r="HT11" s="17"/>
      <c r="HU11" s="17"/>
      <c r="HV11" s="17"/>
      <c r="HW11" s="17"/>
      <c r="HX11" s="17"/>
      <c r="HY11" s="17"/>
      <c r="HZ11" s="17"/>
      <c r="IA11" s="17"/>
      <c r="IB11" s="17"/>
      <c r="IC11" s="17"/>
      <c r="ID11" s="17"/>
      <c r="IE11" s="17"/>
      <c r="IF11" s="17"/>
      <c r="IG11" s="17"/>
      <c r="IH11" s="17"/>
      <c r="II11" s="40" t="str">
        <f t="shared" si="73"/>
        <v/>
      </c>
      <c r="IJ11" s="40" t="str">
        <f t="shared" si="74"/>
        <v/>
      </c>
      <c r="IK11" s="40" t="str">
        <f t="shared" si="75"/>
        <v/>
      </c>
      <c r="IL11" s="40" t="str">
        <f t="shared" si="76"/>
        <v/>
      </c>
      <c r="IM11" s="40" t="str">
        <f t="shared" si="77"/>
        <v/>
      </c>
      <c r="IN11" s="40" t="str">
        <f t="shared" si="78"/>
        <v/>
      </c>
      <c r="IO11" s="40" t="str">
        <f t="shared" si="79"/>
        <v/>
      </c>
      <c r="IP11" s="40" t="str">
        <f t="shared" si="80"/>
        <v/>
      </c>
      <c r="IQ11" s="18"/>
      <c r="IR11" s="18"/>
      <c r="IS11" s="18"/>
      <c r="IT11" s="18"/>
      <c r="IU11" s="18"/>
      <c r="IV11" s="18"/>
      <c r="IW11" s="18"/>
      <c r="IX11" s="18"/>
      <c r="IY11" s="18"/>
      <c r="IZ11" s="18"/>
      <c r="JA11" s="18"/>
      <c r="JB11" s="18"/>
      <c r="JC11" s="18"/>
      <c r="JD11" s="18"/>
      <c r="JE11" s="18"/>
      <c r="JF11" s="18"/>
      <c r="JG11" s="18"/>
      <c r="JH11" s="18"/>
      <c r="JI11" s="18"/>
      <c r="JJ11" s="18"/>
      <c r="JK11" s="11" t="str">
        <f t="shared" si="81"/>
        <v/>
      </c>
      <c r="JL11" s="11" t="str">
        <f t="shared" si="82"/>
        <v/>
      </c>
      <c r="JM11" s="11" t="str">
        <f t="shared" si="83"/>
        <v/>
      </c>
      <c r="JN11" s="11" t="str">
        <f t="shared" si="84"/>
        <v/>
      </c>
      <c r="JO11" s="11" t="str">
        <f t="shared" si="85"/>
        <v/>
      </c>
      <c r="JP11" s="11" t="str">
        <f t="shared" si="86"/>
        <v/>
      </c>
      <c r="JQ11" s="11" t="str">
        <f t="shared" si="87"/>
        <v/>
      </c>
      <c r="JR11" s="11" t="str">
        <f t="shared" si="88"/>
        <v/>
      </c>
      <c r="JS11" s="17"/>
      <c r="JT11" s="17"/>
      <c r="JU11" s="17"/>
      <c r="JV11" s="17"/>
      <c r="JW11" s="17"/>
      <c r="JX11" s="17"/>
      <c r="JY11" s="17"/>
      <c r="JZ11" s="17"/>
      <c r="KA11" s="17"/>
      <c r="KB11" s="17"/>
      <c r="KC11" s="17"/>
      <c r="KD11" s="17"/>
      <c r="KE11" s="17"/>
      <c r="KF11" s="17"/>
      <c r="KG11" s="17"/>
      <c r="KH11" s="17"/>
      <c r="KI11" s="17"/>
      <c r="KJ11" s="17"/>
      <c r="KK11" s="17"/>
      <c r="KL11" s="17"/>
      <c r="KM11" s="40" t="str">
        <f t="shared" si="89"/>
        <v/>
      </c>
      <c r="KN11" s="40" t="str">
        <f t="shared" si="90"/>
        <v/>
      </c>
      <c r="KO11" s="40" t="str">
        <f t="shared" si="91"/>
        <v/>
      </c>
      <c r="KP11" s="40" t="str">
        <f t="shared" si="92"/>
        <v/>
      </c>
      <c r="KQ11" s="40" t="str">
        <f t="shared" si="93"/>
        <v/>
      </c>
      <c r="KR11" s="40" t="str">
        <f t="shared" si="94"/>
        <v/>
      </c>
      <c r="KS11" s="40" t="str">
        <f t="shared" si="95"/>
        <v/>
      </c>
      <c r="KT11" s="40" t="str">
        <f t="shared" si="96"/>
        <v/>
      </c>
      <c r="KU11" s="18"/>
      <c r="KV11" s="18"/>
      <c r="KW11" s="18"/>
      <c r="KX11" s="18"/>
      <c r="KY11" s="18"/>
      <c r="KZ11" s="18"/>
      <c r="LA11" s="18"/>
      <c r="LB11" s="18"/>
      <c r="LC11" s="18"/>
      <c r="LD11" s="18"/>
      <c r="LE11" s="18"/>
      <c r="LF11" s="18"/>
      <c r="LG11" s="18"/>
      <c r="LH11" s="18"/>
      <c r="LI11" s="18"/>
      <c r="LJ11" s="18"/>
      <c r="LK11" s="18"/>
      <c r="LL11" s="18"/>
      <c r="LM11" s="18"/>
      <c r="LN11" s="18"/>
      <c r="LO11" s="11" t="str">
        <f t="shared" si="97"/>
        <v/>
      </c>
      <c r="LP11" s="11" t="str">
        <f t="shared" si="98"/>
        <v/>
      </c>
      <c r="LQ11" s="11" t="str">
        <f t="shared" si="99"/>
        <v/>
      </c>
      <c r="LR11" s="11" t="str">
        <f t="shared" si="100"/>
        <v/>
      </c>
      <c r="LS11" s="11" t="str">
        <f t="shared" si="101"/>
        <v/>
      </c>
      <c r="LT11" s="11" t="str">
        <f t="shared" si="102"/>
        <v/>
      </c>
      <c r="LU11" s="11" t="str">
        <f t="shared" si="103"/>
        <v/>
      </c>
      <c r="LV11" s="11" t="str">
        <f t="shared" si="104"/>
        <v/>
      </c>
      <c r="LW11" s="17"/>
      <c r="LX11" s="17"/>
      <c r="LY11" s="17"/>
      <c r="LZ11" s="17"/>
      <c r="MA11" s="17"/>
      <c r="MB11" s="17"/>
      <c r="MC11" s="17"/>
      <c r="MD11" s="17"/>
      <c r="ME11" s="17"/>
      <c r="MF11" s="17"/>
      <c r="MG11" s="17"/>
      <c r="MH11" s="17"/>
      <c r="MI11" s="17"/>
      <c r="MJ11" s="17"/>
      <c r="MK11" s="17"/>
      <c r="ML11" s="17"/>
      <c r="MM11" s="17"/>
      <c r="MN11" s="17"/>
      <c r="MO11" s="17"/>
      <c r="MP11" s="17"/>
      <c r="MQ11" s="40" t="str">
        <f t="shared" si="105"/>
        <v/>
      </c>
      <c r="MR11" s="40" t="str">
        <f t="shared" si="106"/>
        <v/>
      </c>
      <c r="MS11" s="40" t="str">
        <f t="shared" si="107"/>
        <v/>
      </c>
      <c r="MT11" s="40" t="str">
        <f t="shared" si="108"/>
        <v/>
      </c>
      <c r="MU11" s="40" t="str">
        <f t="shared" si="109"/>
        <v/>
      </c>
      <c r="MV11" s="40" t="str">
        <f t="shared" si="110"/>
        <v/>
      </c>
      <c r="MW11" s="40" t="str">
        <f t="shared" si="111"/>
        <v/>
      </c>
      <c r="MX11" s="40" t="str">
        <f t="shared" si="112"/>
        <v/>
      </c>
      <c r="MY11" s="18"/>
      <c r="MZ11" s="18"/>
      <c r="NA11" s="18"/>
      <c r="NB11" s="18"/>
      <c r="NC11" s="18"/>
      <c r="ND11" s="18"/>
      <c r="NE11" s="18"/>
      <c r="NF11" s="18"/>
      <c r="NG11" s="18"/>
      <c r="NH11" s="18"/>
      <c r="NI11" s="18"/>
      <c r="NJ11" s="18"/>
      <c r="NK11" s="18"/>
      <c r="NL11" s="18"/>
      <c r="NM11" s="18"/>
      <c r="NN11" s="18"/>
      <c r="NO11" s="18"/>
      <c r="NP11" s="18"/>
      <c r="NQ11" s="18"/>
      <c r="NR11" s="18"/>
      <c r="NS11" s="11" t="str">
        <f t="shared" si="113"/>
        <v/>
      </c>
      <c r="NT11" s="11" t="str">
        <f t="shared" si="114"/>
        <v/>
      </c>
      <c r="NU11" s="11" t="str">
        <f t="shared" si="115"/>
        <v/>
      </c>
      <c r="NV11" s="11" t="str">
        <f t="shared" si="116"/>
        <v/>
      </c>
      <c r="NW11" s="11" t="str">
        <f t="shared" si="117"/>
        <v/>
      </c>
      <c r="NX11" s="11" t="str">
        <f t="shared" si="118"/>
        <v/>
      </c>
      <c r="NY11" s="11" t="str">
        <f t="shared" si="119"/>
        <v/>
      </c>
      <c r="NZ11" s="11" t="str">
        <f t="shared" si="120"/>
        <v/>
      </c>
      <c r="OA11" s="17"/>
      <c r="OB11" s="17"/>
      <c r="OC11" s="17"/>
      <c r="OD11" s="17"/>
      <c r="OE11" s="17"/>
      <c r="OF11" s="17"/>
      <c r="OG11" s="17"/>
      <c r="OH11" s="17"/>
      <c r="OI11" s="17"/>
      <c r="OJ11" s="17"/>
      <c r="OK11" s="17"/>
      <c r="OL11" s="17"/>
      <c r="OM11" s="17"/>
      <c r="ON11" s="17"/>
      <c r="OO11" s="17"/>
      <c r="OP11" s="17"/>
      <c r="OQ11" s="17"/>
      <c r="OR11" s="17"/>
      <c r="OS11" s="17"/>
      <c r="OT11" s="17"/>
      <c r="OU11" s="40" t="str">
        <f t="shared" si="121"/>
        <v/>
      </c>
      <c r="OV11" s="40" t="str">
        <f t="shared" si="122"/>
        <v/>
      </c>
      <c r="OW11" s="40" t="str">
        <f t="shared" si="123"/>
        <v/>
      </c>
      <c r="OX11" s="40" t="str">
        <f t="shared" si="124"/>
        <v/>
      </c>
      <c r="OY11" s="40" t="str">
        <f t="shared" si="125"/>
        <v/>
      </c>
      <c r="OZ11" s="40" t="str">
        <f t="shared" si="126"/>
        <v/>
      </c>
      <c r="PA11" s="40" t="str">
        <f t="shared" si="127"/>
        <v/>
      </c>
      <c r="PB11" s="40" t="str">
        <f t="shared" si="128"/>
        <v/>
      </c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8"/>
      <c r="PS11" s="18"/>
      <c r="PT11" s="18"/>
      <c r="PU11" s="18"/>
      <c r="PV11" s="18"/>
      <c r="PW11" s="11" t="str">
        <f t="shared" si="129"/>
        <v/>
      </c>
      <c r="PX11" s="11" t="str">
        <f t="shared" si="130"/>
        <v/>
      </c>
      <c r="PY11" s="11" t="str">
        <f t="shared" si="131"/>
        <v/>
      </c>
      <c r="PZ11" s="11" t="str">
        <f t="shared" si="132"/>
        <v/>
      </c>
      <c r="QA11" s="11" t="str">
        <f t="shared" si="133"/>
        <v/>
      </c>
      <c r="QB11" s="11" t="str">
        <f t="shared" si="134"/>
        <v/>
      </c>
      <c r="QC11" s="11" t="str">
        <f t="shared" si="135"/>
        <v/>
      </c>
      <c r="QD11" s="11" t="str">
        <f t="shared" si="136"/>
        <v/>
      </c>
      <c r="QE11" s="22">
        <f t="shared" si="137"/>
        <v>9.5</v>
      </c>
      <c r="QF11" s="22">
        <f t="shared" si="138"/>
        <v>1.75</v>
      </c>
      <c r="QG11" s="22">
        <f t="shared" si="139"/>
        <v>0</v>
      </c>
      <c r="QH11" s="22">
        <f t="shared" si="140"/>
        <v>0</v>
      </c>
      <c r="QI11" s="22">
        <f t="shared" si="141"/>
        <v>9.1</v>
      </c>
      <c r="QJ11" s="22">
        <f t="shared" si="142"/>
        <v>2.4</v>
      </c>
      <c r="QK11" s="22">
        <f t="shared" si="143"/>
        <v>0.4</v>
      </c>
      <c r="QL11" s="22">
        <f t="shared" si="144"/>
        <v>0</v>
      </c>
      <c r="QM11" s="22">
        <f t="shared" si="145"/>
        <v>8.9499999999999993</v>
      </c>
      <c r="QN11" s="22">
        <f t="shared" si="146"/>
        <v>2.2000000000000002</v>
      </c>
      <c r="QO11" s="22">
        <f t="shared" si="147"/>
        <v>0.1</v>
      </c>
      <c r="QP11" s="22">
        <f t="shared" si="148"/>
        <v>0</v>
      </c>
      <c r="QQ11" s="22">
        <f t="shared" si="149"/>
        <v>9.35</v>
      </c>
      <c r="QR11" s="22">
        <f t="shared" si="150"/>
        <v>1.75</v>
      </c>
      <c r="QS11" s="22">
        <f t="shared" si="151"/>
        <v>0</v>
      </c>
      <c r="QT11" s="22">
        <f t="shared" si="152"/>
        <v>0</v>
      </c>
      <c r="QU11" s="22">
        <f t="shared" si="153"/>
        <v>9.1999999999999993</v>
      </c>
      <c r="QV11" s="22">
        <f t="shared" si="154"/>
        <v>2.4</v>
      </c>
      <c r="QW11" s="22">
        <f t="shared" si="155"/>
        <v>0.3</v>
      </c>
      <c r="QX11" s="22">
        <f t="shared" si="156"/>
        <v>0</v>
      </c>
      <c r="QY11" s="27" t="s">
        <v>46</v>
      </c>
      <c r="QZ11" s="40">
        <f t="shared" si="157"/>
        <v>4.1500000000000004</v>
      </c>
      <c r="RA11" s="40">
        <f t="shared" si="158"/>
        <v>22.35</v>
      </c>
      <c r="RB11" s="40">
        <f t="shared" si="159"/>
        <v>11.049999999999999</v>
      </c>
      <c r="RC11" s="40">
        <f t="shared" si="160"/>
        <v>6.3500000000000005</v>
      </c>
      <c r="RD11" s="40">
        <f t="shared" si="161"/>
        <v>33.4</v>
      </c>
      <c r="RE11" s="40">
        <f t="shared" si="162"/>
        <v>4.1500000000000004</v>
      </c>
      <c r="RF11" s="40">
        <f t="shared" si="163"/>
        <v>22.399999999999995</v>
      </c>
      <c r="RG11" s="40">
        <f t="shared" si="164"/>
        <v>44.75</v>
      </c>
    </row>
    <row r="12" spans="1:475" x14ac:dyDescent="0.2">
      <c r="A12" s="4" t="str">
        <f t="shared" si="0"/>
        <v/>
      </c>
      <c r="B12" s="5" t="s">
        <v>219</v>
      </c>
      <c r="C12" s="4" t="s">
        <v>31</v>
      </c>
      <c r="D12" s="4">
        <v>2006</v>
      </c>
      <c r="E12" s="9">
        <f t="shared" si="1"/>
        <v>153.70001090000437</v>
      </c>
      <c r="F12" s="3" t="str">
        <f t="shared" si="2"/>
        <v/>
      </c>
      <c r="G12" s="3" t="str">
        <f t="shared" si="3"/>
        <v/>
      </c>
      <c r="H12" s="36" t="str">
        <f t="shared" si="4"/>
        <v/>
      </c>
      <c r="I12" s="3" t="str">
        <f t="shared" si="5"/>
        <v/>
      </c>
      <c r="J12" s="8">
        <f>IF(COUNT(AQ12,BT12,CW12)&gt;0,LARGE((AQ12,BT12,CW12),1),0)</f>
        <v>43.7</v>
      </c>
      <c r="K12" s="8" t="str">
        <f t="shared" si="6"/>
        <v>2022 Nationals</v>
      </c>
      <c r="L12" s="8">
        <f>IF(COUNT(AQ12,BT12,CW12)&gt;1,LARGE((AQ12,BT12,CW12),2),0)</f>
        <v>43.3</v>
      </c>
      <c r="M12" s="8" t="str">
        <f t="shared" si="7"/>
        <v>2023 Elite Canada</v>
      </c>
      <c r="N12" s="8">
        <f>IF(COUNT(AR12,BU12,CX12)&gt;0,LARGE((AR12,BU12,CX12),1),0)</f>
        <v>22</v>
      </c>
      <c r="O12" s="8" t="str">
        <f t="shared" si="8"/>
        <v>2023 Elite Canada</v>
      </c>
      <c r="P12" s="8">
        <f t="shared" si="9"/>
        <v>44.699999999999996</v>
      </c>
      <c r="Q12" s="8" t="str">
        <f t="shared" si="10"/>
        <v>2022 Nationals</v>
      </c>
      <c r="R12" s="8" t="str">
        <f t="shared" si="11"/>
        <v/>
      </c>
      <c r="S12" s="11" t="str">
        <f t="shared" si="12"/>
        <v/>
      </c>
      <c r="T12" s="8" t="str">
        <f t="shared" si="13"/>
        <v/>
      </c>
      <c r="U12" s="19">
        <v>18.8</v>
      </c>
      <c r="V12" s="19">
        <v>3.1</v>
      </c>
      <c r="W12" s="19">
        <v>0</v>
      </c>
      <c r="X12" s="19">
        <v>0</v>
      </c>
      <c r="Y12" s="19">
        <v>18.600000000000001</v>
      </c>
      <c r="Z12" s="19">
        <v>3.2</v>
      </c>
      <c r="AA12" s="19">
        <v>0</v>
      </c>
      <c r="AB12" s="19">
        <v>0</v>
      </c>
      <c r="AC12" s="19"/>
      <c r="AD12" s="19"/>
      <c r="AE12" s="19"/>
      <c r="AF12" s="19"/>
      <c r="AG12" s="19">
        <v>19</v>
      </c>
      <c r="AH12" s="19">
        <v>3.3</v>
      </c>
      <c r="AI12" s="19">
        <v>0</v>
      </c>
      <c r="AJ12" s="19">
        <v>0</v>
      </c>
      <c r="AK12" s="19">
        <v>19</v>
      </c>
      <c r="AL12" s="19">
        <v>3.4</v>
      </c>
      <c r="AM12" s="19">
        <v>0</v>
      </c>
      <c r="AN12" s="19">
        <v>0</v>
      </c>
      <c r="AO12" s="27"/>
      <c r="AP12" s="40">
        <f t="shared" si="14"/>
        <v>6.3000000000000007</v>
      </c>
      <c r="AQ12" s="40">
        <f t="shared" si="15"/>
        <v>43.7</v>
      </c>
      <c r="AR12" s="40" t="str">
        <f t="shared" si="16"/>
        <v/>
      </c>
      <c r="AS12" s="40">
        <f t="shared" si="17"/>
        <v>6.3000000000000007</v>
      </c>
      <c r="AT12" s="40">
        <f t="shared" si="18"/>
        <v>43.7</v>
      </c>
      <c r="AU12" s="40">
        <f t="shared" si="19"/>
        <v>6.6999999999999993</v>
      </c>
      <c r="AV12" s="40">
        <f t="shared" si="20"/>
        <v>44.699999999999996</v>
      </c>
      <c r="AW12" s="40">
        <f t="shared" si="21"/>
        <v>88.4</v>
      </c>
      <c r="AX12" s="18"/>
      <c r="AY12" s="18"/>
      <c r="AZ12" s="18"/>
      <c r="BA12" s="18"/>
      <c r="BB12" s="18"/>
      <c r="BC12" s="18"/>
      <c r="BD12" s="18"/>
      <c r="BE12" s="18"/>
      <c r="BF12" s="18"/>
      <c r="BG12" s="18"/>
      <c r="BH12" s="18"/>
      <c r="BI12" s="18"/>
      <c r="BJ12" s="18"/>
      <c r="BK12" s="18"/>
      <c r="BL12" s="18"/>
      <c r="BM12" s="18"/>
      <c r="BN12" s="18"/>
      <c r="BO12" s="18"/>
      <c r="BP12" s="18"/>
      <c r="BQ12" s="18"/>
      <c r="BR12" s="28"/>
      <c r="BS12" s="11" t="str">
        <f t="shared" si="22"/>
        <v/>
      </c>
      <c r="BT12" s="11" t="str">
        <f t="shared" si="23"/>
        <v/>
      </c>
      <c r="BU12" s="11" t="str">
        <f t="shared" si="24"/>
        <v/>
      </c>
      <c r="BV12" s="11" t="str">
        <f t="shared" si="25"/>
        <v/>
      </c>
      <c r="BW12" s="11" t="str">
        <f t="shared" si="26"/>
        <v/>
      </c>
      <c r="BX12" s="11" t="str">
        <f t="shared" si="27"/>
        <v/>
      </c>
      <c r="BY12" s="11" t="str">
        <f t="shared" si="28"/>
        <v/>
      </c>
      <c r="BZ12" s="11" t="str">
        <f t="shared" si="29"/>
        <v/>
      </c>
      <c r="CA12" s="19">
        <v>18.2</v>
      </c>
      <c r="CB12" s="19">
        <v>3.5</v>
      </c>
      <c r="CC12" s="19">
        <v>0.2</v>
      </c>
      <c r="CD12" s="19">
        <v>0</v>
      </c>
      <c r="CE12" s="19">
        <v>18.2</v>
      </c>
      <c r="CF12" s="19">
        <v>3.6</v>
      </c>
      <c r="CG12" s="19">
        <v>0</v>
      </c>
      <c r="CH12" s="19">
        <v>0</v>
      </c>
      <c r="CI12" s="19">
        <v>18.5</v>
      </c>
      <c r="CJ12" s="19">
        <v>3.7</v>
      </c>
      <c r="CK12" s="19">
        <v>0.2</v>
      </c>
      <c r="CL12" s="19">
        <v>0</v>
      </c>
      <c r="CM12" s="19">
        <v>18.600000000000001</v>
      </c>
      <c r="CN12" s="19">
        <v>3.5</v>
      </c>
      <c r="CO12" s="19">
        <v>0</v>
      </c>
      <c r="CP12" s="19">
        <v>0</v>
      </c>
      <c r="CQ12" s="19">
        <v>18.600000000000001</v>
      </c>
      <c r="CR12" s="19">
        <v>3.6</v>
      </c>
      <c r="CS12" s="19">
        <v>0</v>
      </c>
      <c r="CT12" s="19">
        <v>0</v>
      </c>
      <c r="CU12" s="27"/>
      <c r="CV12" s="40">
        <f t="shared" si="30"/>
        <v>7.1</v>
      </c>
      <c r="CW12" s="40">
        <f t="shared" si="31"/>
        <v>43.3</v>
      </c>
      <c r="CX12" s="40">
        <f t="shared" si="32"/>
        <v>22</v>
      </c>
      <c r="CY12" s="40">
        <f t="shared" si="33"/>
        <v>10.8</v>
      </c>
      <c r="CZ12" s="40">
        <f t="shared" si="34"/>
        <v>65.3</v>
      </c>
      <c r="DA12" s="40">
        <f t="shared" si="35"/>
        <v>7.1</v>
      </c>
      <c r="DB12" s="40">
        <f t="shared" si="36"/>
        <v>44.300000000000004</v>
      </c>
      <c r="DC12" s="40">
        <f t="shared" si="37"/>
        <v>87.6</v>
      </c>
      <c r="DD12" s="50" t="str">
        <f t="shared" si="38"/>
        <v/>
      </c>
      <c r="DE12" s="50" t="str">
        <f t="shared" si="39"/>
        <v/>
      </c>
      <c r="DF12" s="50" t="str">
        <f t="shared" si="40"/>
        <v/>
      </c>
      <c r="DG12" s="17"/>
      <c r="DH12" s="17"/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17"/>
      <c r="DY12" s="17"/>
      <c r="DZ12" s="17"/>
      <c r="EA12" s="40" t="str">
        <f t="shared" si="41"/>
        <v/>
      </c>
      <c r="EB12" s="40" t="str">
        <f t="shared" si="42"/>
        <v/>
      </c>
      <c r="EC12" s="40" t="str">
        <f t="shared" si="43"/>
        <v/>
      </c>
      <c r="ED12" s="40" t="str">
        <f t="shared" si="44"/>
        <v/>
      </c>
      <c r="EE12" s="40" t="str">
        <f t="shared" si="45"/>
        <v/>
      </c>
      <c r="EF12" s="40" t="str">
        <f t="shared" si="46"/>
        <v/>
      </c>
      <c r="EG12" s="40" t="str">
        <f t="shared" si="47"/>
        <v/>
      </c>
      <c r="EH12" s="40" t="str">
        <f t="shared" si="48"/>
        <v/>
      </c>
      <c r="EI12" s="18"/>
      <c r="EJ12" s="18"/>
      <c r="EK12" s="18"/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8"/>
      <c r="FA12" s="18"/>
      <c r="FB12" s="18"/>
      <c r="FC12" s="11" t="str">
        <f t="shared" si="49"/>
        <v/>
      </c>
      <c r="FD12" s="11" t="str">
        <f t="shared" si="50"/>
        <v/>
      </c>
      <c r="FE12" s="11" t="str">
        <f t="shared" si="51"/>
        <v/>
      </c>
      <c r="FF12" s="11" t="str">
        <f t="shared" si="52"/>
        <v/>
      </c>
      <c r="FG12" s="11" t="str">
        <f t="shared" si="53"/>
        <v/>
      </c>
      <c r="FH12" s="11" t="str">
        <f t="shared" si="54"/>
        <v/>
      </c>
      <c r="FI12" s="11" t="str">
        <f t="shared" si="55"/>
        <v/>
      </c>
      <c r="FJ12" s="11" t="str">
        <f t="shared" si="56"/>
        <v/>
      </c>
      <c r="FK12" s="17"/>
      <c r="FL12" s="17"/>
      <c r="FM12" s="17"/>
      <c r="FN12" s="17"/>
      <c r="FO12" s="17"/>
      <c r="FP12" s="17"/>
      <c r="FQ12" s="17"/>
      <c r="FR12" s="17"/>
      <c r="FS12" s="17"/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40" t="str">
        <f t="shared" si="57"/>
        <v/>
      </c>
      <c r="GF12" s="40" t="str">
        <f t="shared" si="58"/>
        <v/>
      </c>
      <c r="GG12" s="40" t="str">
        <f t="shared" si="59"/>
        <v/>
      </c>
      <c r="GH12" s="40" t="str">
        <f t="shared" si="60"/>
        <v/>
      </c>
      <c r="GI12" s="40" t="str">
        <f t="shared" si="61"/>
        <v/>
      </c>
      <c r="GJ12" s="40" t="str">
        <f t="shared" si="62"/>
        <v/>
      </c>
      <c r="GK12" s="40" t="str">
        <f t="shared" si="63"/>
        <v/>
      </c>
      <c r="GL12" s="40" t="str">
        <f t="shared" si="64"/>
        <v/>
      </c>
      <c r="GM12" s="18"/>
      <c r="GN12" s="18"/>
      <c r="GO12" s="18"/>
      <c r="GP12" s="18"/>
      <c r="GQ12" s="18"/>
      <c r="GR12" s="18"/>
      <c r="GS12" s="18"/>
      <c r="GT12" s="18"/>
      <c r="GU12" s="18"/>
      <c r="GV12" s="18"/>
      <c r="GW12" s="18"/>
      <c r="GX12" s="18"/>
      <c r="GY12" s="18"/>
      <c r="GZ12" s="18"/>
      <c r="HA12" s="18"/>
      <c r="HB12" s="18"/>
      <c r="HC12" s="18"/>
      <c r="HD12" s="18"/>
      <c r="HE12" s="18"/>
      <c r="HF12" s="18"/>
      <c r="HG12" s="11" t="str">
        <f t="shared" si="65"/>
        <v/>
      </c>
      <c r="HH12" s="11" t="str">
        <f t="shared" si="66"/>
        <v/>
      </c>
      <c r="HI12" s="11" t="str">
        <f t="shared" si="67"/>
        <v/>
      </c>
      <c r="HJ12" s="11" t="str">
        <f t="shared" si="68"/>
        <v/>
      </c>
      <c r="HK12" s="11" t="str">
        <f t="shared" si="69"/>
        <v/>
      </c>
      <c r="HL12" s="11" t="str">
        <f t="shared" si="70"/>
        <v/>
      </c>
      <c r="HM12" s="11" t="str">
        <f t="shared" si="71"/>
        <v/>
      </c>
      <c r="HN12" s="11" t="str">
        <f t="shared" si="72"/>
        <v/>
      </c>
      <c r="HO12" s="17"/>
      <c r="HP12" s="17"/>
      <c r="HQ12" s="17"/>
      <c r="HR12" s="17"/>
      <c r="HS12" s="17"/>
      <c r="HT12" s="17"/>
      <c r="HU12" s="17"/>
      <c r="HV12" s="17"/>
      <c r="HW12" s="17"/>
      <c r="HX12" s="17"/>
      <c r="HY12" s="17"/>
      <c r="HZ12" s="17"/>
      <c r="IA12" s="17"/>
      <c r="IB12" s="17"/>
      <c r="IC12" s="17"/>
      <c r="ID12" s="17"/>
      <c r="IE12" s="17"/>
      <c r="IF12" s="17"/>
      <c r="IG12" s="17"/>
      <c r="IH12" s="17"/>
      <c r="II12" s="40" t="str">
        <f t="shared" si="73"/>
        <v/>
      </c>
      <c r="IJ12" s="40" t="str">
        <f t="shared" si="74"/>
        <v/>
      </c>
      <c r="IK12" s="40" t="str">
        <f t="shared" si="75"/>
        <v/>
      </c>
      <c r="IL12" s="40" t="str">
        <f t="shared" si="76"/>
        <v/>
      </c>
      <c r="IM12" s="40" t="str">
        <f t="shared" si="77"/>
        <v/>
      </c>
      <c r="IN12" s="40" t="str">
        <f t="shared" si="78"/>
        <v/>
      </c>
      <c r="IO12" s="40" t="str">
        <f t="shared" si="79"/>
        <v/>
      </c>
      <c r="IP12" s="40" t="str">
        <f t="shared" si="80"/>
        <v/>
      </c>
      <c r="IQ12" s="18"/>
      <c r="IR12" s="18"/>
      <c r="IS12" s="18"/>
      <c r="IT12" s="18"/>
      <c r="IU12" s="18"/>
      <c r="IV12" s="18"/>
      <c r="IW12" s="18"/>
      <c r="IX12" s="18"/>
      <c r="IY12" s="18"/>
      <c r="IZ12" s="18"/>
      <c r="JA12" s="18"/>
      <c r="JB12" s="18"/>
      <c r="JC12" s="18"/>
      <c r="JD12" s="18"/>
      <c r="JE12" s="18"/>
      <c r="JF12" s="18"/>
      <c r="JG12" s="18"/>
      <c r="JH12" s="18"/>
      <c r="JI12" s="18"/>
      <c r="JJ12" s="18"/>
      <c r="JK12" s="11" t="str">
        <f t="shared" si="81"/>
        <v/>
      </c>
      <c r="JL12" s="11" t="str">
        <f t="shared" si="82"/>
        <v/>
      </c>
      <c r="JM12" s="11" t="str">
        <f t="shared" si="83"/>
        <v/>
      </c>
      <c r="JN12" s="11" t="str">
        <f t="shared" si="84"/>
        <v/>
      </c>
      <c r="JO12" s="11" t="str">
        <f t="shared" si="85"/>
        <v/>
      </c>
      <c r="JP12" s="11" t="str">
        <f t="shared" si="86"/>
        <v/>
      </c>
      <c r="JQ12" s="11" t="str">
        <f t="shared" si="87"/>
        <v/>
      </c>
      <c r="JR12" s="11" t="str">
        <f t="shared" si="88"/>
        <v/>
      </c>
      <c r="JS12" s="17"/>
      <c r="JT12" s="17"/>
      <c r="JU12" s="17"/>
      <c r="JV12" s="17"/>
      <c r="JW12" s="17"/>
      <c r="JX12" s="17"/>
      <c r="JY12" s="17"/>
      <c r="JZ12" s="17"/>
      <c r="KA12" s="17"/>
      <c r="KB12" s="17"/>
      <c r="KC12" s="17"/>
      <c r="KD12" s="17"/>
      <c r="KE12" s="17"/>
      <c r="KF12" s="17"/>
      <c r="KG12" s="17"/>
      <c r="KH12" s="17"/>
      <c r="KI12" s="17"/>
      <c r="KJ12" s="17"/>
      <c r="KK12" s="17"/>
      <c r="KL12" s="17"/>
      <c r="KM12" s="40" t="str">
        <f t="shared" si="89"/>
        <v/>
      </c>
      <c r="KN12" s="40" t="str">
        <f t="shared" si="90"/>
        <v/>
      </c>
      <c r="KO12" s="40" t="str">
        <f t="shared" si="91"/>
        <v/>
      </c>
      <c r="KP12" s="40" t="str">
        <f t="shared" si="92"/>
        <v/>
      </c>
      <c r="KQ12" s="40" t="str">
        <f t="shared" si="93"/>
        <v/>
      </c>
      <c r="KR12" s="40" t="str">
        <f t="shared" si="94"/>
        <v/>
      </c>
      <c r="KS12" s="40" t="str">
        <f t="shared" si="95"/>
        <v/>
      </c>
      <c r="KT12" s="40" t="str">
        <f t="shared" si="96"/>
        <v/>
      </c>
      <c r="KU12" s="18"/>
      <c r="KV12" s="18"/>
      <c r="KW12" s="18"/>
      <c r="KX12" s="18"/>
      <c r="KY12" s="18"/>
      <c r="KZ12" s="18"/>
      <c r="LA12" s="18"/>
      <c r="LB12" s="18"/>
      <c r="LC12" s="18"/>
      <c r="LD12" s="18"/>
      <c r="LE12" s="18"/>
      <c r="LF12" s="18"/>
      <c r="LG12" s="18"/>
      <c r="LH12" s="18"/>
      <c r="LI12" s="18"/>
      <c r="LJ12" s="18"/>
      <c r="LK12" s="18"/>
      <c r="LL12" s="18"/>
      <c r="LM12" s="18"/>
      <c r="LN12" s="18"/>
      <c r="LO12" s="11" t="str">
        <f t="shared" si="97"/>
        <v/>
      </c>
      <c r="LP12" s="11" t="str">
        <f t="shared" si="98"/>
        <v/>
      </c>
      <c r="LQ12" s="11" t="str">
        <f t="shared" si="99"/>
        <v/>
      </c>
      <c r="LR12" s="11" t="str">
        <f t="shared" si="100"/>
        <v/>
      </c>
      <c r="LS12" s="11" t="str">
        <f t="shared" si="101"/>
        <v/>
      </c>
      <c r="LT12" s="11" t="str">
        <f t="shared" si="102"/>
        <v/>
      </c>
      <c r="LU12" s="11" t="str">
        <f t="shared" si="103"/>
        <v/>
      </c>
      <c r="LV12" s="11" t="str">
        <f t="shared" si="104"/>
        <v/>
      </c>
      <c r="LW12" s="17"/>
      <c r="LX12" s="17"/>
      <c r="LY12" s="17"/>
      <c r="LZ12" s="17"/>
      <c r="MA12" s="17"/>
      <c r="MB12" s="17"/>
      <c r="MC12" s="17"/>
      <c r="MD12" s="17"/>
      <c r="ME12" s="17"/>
      <c r="MF12" s="17"/>
      <c r="MG12" s="17"/>
      <c r="MH12" s="17"/>
      <c r="MI12" s="17"/>
      <c r="MJ12" s="17"/>
      <c r="MK12" s="17"/>
      <c r="ML12" s="17"/>
      <c r="MM12" s="17"/>
      <c r="MN12" s="17"/>
      <c r="MO12" s="17"/>
      <c r="MP12" s="17"/>
      <c r="MQ12" s="40" t="str">
        <f t="shared" si="105"/>
        <v/>
      </c>
      <c r="MR12" s="40" t="str">
        <f t="shared" si="106"/>
        <v/>
      </c>
      <c r="MS12" s="40" t="str">
        <f t="shared" si="107"/>
        <v/>
      </c>
      <c r="MT12" s="40" t="str">
        <f t="shared" si="108"/>
        <v/>
      </c>
      <c r="MU12" s="40" t="str">
        <f t="shared" si="109"/>
        <v/>
      </c>
      <c r="MV12" s="40" t="str">
        <f t="shared" si="110"/>
        <v/>
      </c>
      <c r="MW12" s="40" t="str">
        <f t="shared" si="111"/>
        <v/>
      </c>
      <c r="MX12" s="40" t="str">
        <f t="shared" si="112"/>
        <v/>
      </c>
      <c r="MY12" s="18"/>
      <c r="MZ12" s="18"/>
      <c r="NA12" s="18"/>
      <c r="NB12" s="18"/>
      <c r="NC12" s="18"/>
      <c r="ND12" s="18"/>
      <c r="NE12" s="18"/>
      <c r="NF12" s="18"/>
      <c r="NG12" s="18"/>
      <c r="NH12" s="18"/>
      <c r="NI12" s="18"/>
      <c r="NJ12" s="18"/>
      <c r="NK12" s="18"/>
      <c r="NL12" s="18"/>
      <c r="NM12" s="18"/>
      <c r="NN12" s="18"/>
      <c r="NO12" s="18"/>
      <c r="NP12" s="18"/>
      <c r="NQ12" s="18"/>
      <c r="NR12" s="18"/>
      <c r="NS12" s="11" t="str">
        <f t="shared" si="113"/>
        <v/>
      </c>
      <c r="NT12" s="11" t="str">
        <f t="shared" si="114"/>
        <v/>
      </c>
      <c r="NU12" s="11" t="str">
        <f t="shared" si="115"/>
        <v/>
      </c>
      <c r="NV12" s="11" t="str">
        <f t="shared" si="116"/>
        <v/>
      </c>
      <c r="NW12" s="11" t="str">
        <f t="shared" si="117"/>
        <v/>
      </c>
      <c r="NX12" s="11" t="str">
        <f t="shared" si="118"/>
        <v/>
      </c>
      <c r="NY12" s="11" t="str">
        <f t="shared" si="119"/>
        <v/>
      </c>
      <c r="NZ12" s="11" t="str">
        <f t="shared" si="120"/>
        <v/>
      </c>
      <c r="OA12" s="17"/>
      <c r="OB12" s="17"/>
      <c r="OC12" s="17"/>
      <c r="OD12" s="17"/>
      <c r="OE12" s="17"/>
      <c r="OF12" s="17"/>
      <c r="OG12" s="17"/>
      <c r="OH12" s="17"/>
      <c r="OI12" s="17"/>
      <c r="OJ12" s="17"/>
      <c r="OK12" s="17"/>
      <c r="OL12" s="17"/>
      <c r="OM12" s="17"/>
      <c r="ON12" s="17"/>
      <c r="OO12" s="17"/>
      <c r="OP12" s="17"/>
      <c r="OQ12" s="17"/>
      <c r="OR12" s="17"/>
      <c r="OS12" s="17"/>
      <c r="OT12" s="17"/>
      <c r="OU12" s="40" t="str">
        <f t="shared" si="121"/>
        <v/>
      </c>
      <c r="OV12" s="40" t="str">
        <f t="shared" si="122"/>
        <v/>
      </c>
      <c r="OW12" s="40" t="str">
        <f t="shared" si="123"/>
        <v/>
      </c>
      <c r="OX12" s="40" t="str">
        <f t="shared" si="124"/>
        <v/>
      </c>
      <c r="OY12" s="40" t="str">
        <f t="shared" si="125"/>
        <v/>
      </c>
      <c r="OZ12" s="40" t="str">
        <f t="shared" si="126"/>
        <v/>
      </c>
      <c r="PA12" s="40" t="str">
        <f t="shared" si="127"/>
        <v/>
      </c>
      <c r="PB12" s="40" t="str">
        <f t="shared" si="128"/>
        <v/>
      </c>
      <c r="PC12" s="18"/>
      <c r="PD12" s="18"/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8"/>
      <c r="PS12" s="18"/>
      <c r="PT12" s="18"/>
      <c r="PU12" s="18"/>
      <c r="PV12" s="18"/>
      <c r="PW12" s="11" t="str">
        <f t="shared" si="129"/>
        <v/>
      </c>
      <c r="PX12" s="11" t="str">
        <f t="shared" si="130"/>
        <v/>
      </c>
      <c r="PY12" s="11" t="str">
        <f t="shared" si="131"/>
        <v/>
      </c>
      <c r="PZ12" s="11" t="str">
        <f t="shared" si="132"/>
        <v/>
      </c>
      <c r="QA12" s="11" t="str">
        <f t="shared" si="133"/>
        <v/>
      </c>
      <c r="QB12" s="11" t="str">
        <f t="shared" si="134"/>
        <v/>
      </c>
      <c r="QC12" s="11" t="str">
        <f t="shared" si="135"/>
        <v/>
      </c>
      <c r="QD12" s="11" t="str">
        <f t="shared" si="136"/>
        <v/>
      </c>
      <c r="QE12" s="22">
        <f t="shared" si="137"/>
        <v>9.1</v>
      </c>
      <c r="QF12" s="22">
        <f t="shared" si="138"/>
        <v>1.75</v>
      </c>
      <c r="QG12" s="22">
        <f t="shared" si="139"/>
        <v>0.1</v>
      </c>
      <c r="QH12" s="22">
        <f t="shared" si="140"/>
        <v>0</v>
      </c>
      <c r="QI12" s="22">
        <f t="shared" si="141"/>
        <v>9.1</v>
      </c>
      <c r="QJ12" s="22">
        <f t="shared" si="142"/>
        <v>1.8</v>
      </c>
      <c r="QK12" s="22">
        <f t="shared" si="143"/>
        <v>0</v>
      </c>
      <c r="QL12" s="22">
        <f t="shared" si="144"/>
        <v>0</v>
      </c>
      <c r="QM12" s="22">
        <f t="shared" si="145"/>
        <v>9.25</v>
      </c>
      <c r="QN12" s="22">
        <f t="shared" si="146"/>
        <v>1.85</v>
      </c>
      <c r="QO12" s="22">
        <f t="shared" si="147"/>
        <v>0.1</v>
      </c>
      <c r="QP12" s="22">
        <f t="shared" si="148"/>
        <v>0</v>
      </c>
      <c r="QQ12" s="22">
        <f t="shared" si="149"/>
        <v>9.3000000000000007</v>
      </c>
      <c r="QR12" s="22">
        <f t="shared" si="150"/>
        <v>1.75</v>
      </c>
      <c r="QS12" s="22">
        <f t="shared" si="151"/>
        <v>0</v>
      </c>
      <c r="QT12" s="22">
        <f t="shared" si="152"/>
        <v>0</v>
      </c>
      <c r="QU12" s="22">
        <f t="shared" si="153"/>
        <v>9.3000000000000007</v>
      </c>
      <c r="QV12" s="22">
        <f t="shared" si="154"/>
        <v>1.8</v>
      </c>
      <c r="QW12" s="22">
        <f t="shared" si="155"/>
        <v>0</v>
      </c>
      <c r="QX12" s="22">
        <f t="shared" si="156"/>
        <v>0</v>
      </c>
      <c r="QY12" s="27" t="s">
        <v>46</v>
      </c>
      <c r="QZ12" s="40">
        <f t="shared" si="157"/>
        <v>3.55</v>
      </c>
      <c r="RA12" s="40">
        <f t="shared" si="158"/>
        <v>21.65</v>
      </c>
      <c r="RB12" s="40">
        <f t="shared" si="159"/>
        <v>11</v>
      </c>
      <c r="RC12" s="40">
        <f t="shared" si="160"/>
        <v>5.4</v>
      </c>
      <c r="RD12" s="40">
        <f t="shared" si="161"/>
        <v>32.65</v>
      </c>
      <c r="RE12" s="40">
        <f t="shared" si="162"/>
        <v>3.55</v>
      </c>
      <c r="RF12" s="40">
        <f t="shared" si="163"/>
        <v>22.150000000000002</v>
      </c>
      <c r="RG12" s="40">
        <f t="shared" si="164"/>
        <v>43.8</v>
      </c>
    </row>
    <row r="13" spans="1:475" x14ac:dyDescent="0.2">
      <c r="A13" s="4" t="str">
        <f t="shared" si="0"/>
        <v/>
      </c>
      <c r="B13" s="5" t="s">
        <v>190</v>
      </c>
      <c r="C13" s="4" t="s">
        <v>31</v>
      </c>
      <c r="D13" s="4">
        <v>2005</v>
      </c>
      <c r="E13" s="9">
        <f t="shared" si="1"/>
        <v>151.60001067000437</v>
      </c>
      <c r="F13" s="3" t="str">
        <f t="shared" si="2"/>
        <v/>
      </c>
      <c r="G13" s="3" t="str">
        <f t="shared" si="3"/>
        <v/>
      </c>
      <c r="H13" s="36" t="str">
        <f t="shared" si="4"/>
        <v/>
      </c>
      <c r="I13" s="3" t="str">
        <f t="shared" si="5"/>
        <v/>
      </c>
      <c r="J13" s="8">
        <f>IF(COUNT(AQ13,BT13,CW13)&gt;0,LARGE((AQ13,BT13,CW13),1),0)</f>
        <v>43.7</v>
      </c>
      <c r="K13" s="8" t="str">
        <f t="shared" si="6"/>
        <v>2022 Nationals</v>
      </c>
      <c r="L13" s="8">
        <f>IF(COUNT(AQ13,BT13,CW13)&gt;1,LARGE((AQ13,BT13,CW13),2),0)</f>
        <v>41.5</v>
      </c>
      <c r="M13" s="8" t="str">
        <f t="shared" si="7"/>
        <v>2023 Elite Canada</v>
      </c>
      <c r="N13" s="8">
        <f>IF(COUNT(AR13,BU13,CX13)&gt;0,LARGE((AR13,BU13,CX13),1),0)</f>
        <v>21.5</v>
      </c>
      <c r="O13" s="8" t="str">
        <f t="shared" si="8"/>
        <v>2022 Nationals</v>
      </c>
      <c r="P13" s="8">
        <f t="shared" si="9"/>
        <v>44.9</v>
      </c>
      <c r="Q13" s="8" t="str">
        <f t="shared" si="10"/>
        <v>2023 Elite Canada</v>
      </c>
      <c r="R13" s="8" t="str">
        <f t="shared" si="11"/>
        <v/>
      </c>
      <c r="S13" s="11" t="str">
        <f t="shared" si="12"/>
        <v/>
      </c>
      <c r="T13" s="8" t="str">
        <f t="shared" si="13"/>
        <v/>
      </c>
      <c r="U13" s="19">
        <v>18.100000000000001</v>
      </c>
      <c r="V13" s="19">
        <v>3.6</v>
      </c>
      <c r="W13" s="19">
        <v>0</v>
      </c>
      <c r="X13" s="19">
        <v>0</v>
      </c>
      <c r="Y13" s="19">
        <v>18.5</v>
      </c>
      <c r="Z13" s="19">
        <v>3.5</v>
      </c>
      <c r="AA13" s="19">
        <v>0</v>
      </c>
      <c r="AB13" s="19">
        <v>0</v>
      </c>
      <c r="AC13" s="19">
        <v>17.7</v>
      </c>
      <c r="AD13" s="19">
        <v>4.4000000000000004</v>
      </c>
      <c r="AE13" s="19">
        <v>0.6</v>
      </c>
      <c r="AF13" s="19">
        <v>0</v>
      </c>
      <c r="AG13" s="19">
        <v>17.2</v>
      </c>
      <c r="AH13" s="19">
        <v>1.2</v>
      </c>
      <c r="AI13" s="19">
        <v>0</v>
      </c>
      <c r="AJ13" s="19">
        <v>0</v>
      </c>
      <c r="AK13" s="19">
        <v>17.100000000000001</v>
      </c>
      <c r="AL13" s="19">
        <v>2.4</v>
      </c>
      <c r="AM13" s="19">
        <v>0</v>
      </c>
      <c r="AN13" s="19">
        <v>0</v>
      </c>
      <c r="AO13" s="27"/>
      <c r="AP13" s="40">
        <f t="shared" si="14"/>
        <v>7.1</v>
      </c>
      <c r="AQ13" s="40">
        <f t="shared" si="15"/>
        <v>43.7</v>
      </c>
      <c r="AR13" s="40">
        <f t="shared" si="16"/>
        <v>21.5</v>
      </c>
      <c r="AS13" s="40">
        <f t="shared" si="17"/>
        <v>11.5</v>
      </c>
      <c r="AT13" s="40">
        <f t="shared" si="18"/>
        <v>65.2</v>
      </c>
      <c r="AU13" s="40">
        <f t="shared" si="19"/>
        <v>3.5999999999999996</v>
      </c>
      <c r="AV13" s="40">
        <f t="shared" si="20"/>
        <v>37.9</v>
      </c>
      <c r="AW13" s="40">
        <f t="shared" si="21"/>
        <v>81.599999999999994</v>
      </c>
      <c r="AX13" s="18"/>
      <c r="AY13" s="18"/>
      <c r="AZ13" s="18"/>
      <c r="BA13" s="18"/>
      <c r="BB13" s="18"/>
      <c r="BC13" s="18"/>
      <c r="BD13" s="18"/>
      <c r="BE13" s="18"/>
      <c r="BF13" s="18"/>
      <c r="BG13" s="18"/>
      <c r="BH13" s="18"/>
      <c r="BI13" s="18"/>
      <c r="BJ13" s="18"/>
      <c r="BK13" s="18"/>
      <c r="BL13" s="18"/>
      <c r="BM13" s="18"/>
      <c r="BN13" s="18"/>
      <c r="BO13" s="18"/>
      <c r="BP13" s="18"/>
      <c r="BQ13" s="18"/>
      <c r="BR13" s="28"/>
      <c r="BS13" s="11" t="str">
        <f t="shared" si="22"/>
        <v/>
      </c>
      <c r="BT13" s="11" t="str">
        <f t="shared" si="23"/>
        <v/>
      </c>
      <c r="BU13" s="11" t="str">
        <f t="shared" si="24"/>
        <v/>
      </c>
      <c r="BV13" s="11" t="str">
        <f t="shared" si="25"/>
        <v/>
      </c>
      <c r="BW13" s="11" t="str">
        <f t="shared" si="26"/>
        <v/>
      </c>
      <c r="BX13" s="11" t="str">
        <f t="shared" si="27"/>
        <v/>
      </c>
      <c r="BY13" s="11" t="str">
        <f t="shared" si="28"/>
        <v/>
      </c>
      <c r="BZ13" s="11" t="str">
        <f t="shared" si="29"/>
        <v/>
      </c>
      <c r="CA13" s="19">
        <v>18.3</v>
      </c>
      <c r="CB13" s="19">
        <v>4</v>
      </c>
      <c r="CC13" s="19">
        <v>0.8</v>
      </c>
      <c r="CD13" s="19">
        <v>0</v>
      </c>
      <c r="CE13" s="19">
        <v>16.2</v>
      </c>
      <c r="CF13" s="19">
        <v>4.4000000000000004</v>
      </c>
      <c r="CG13" s="19">
        <v>0.6</v>
      </c>
      <c r="CH13" s="19">
        <v>0</v>
      </c>
      <c r="CI13" s="19">
        <v>18</v>
      </c>
      <c r="CJ13" s="19">
        <v>3.5</v>
      </c>
      <c r="CK13" s="19">
        <v>0.8</v>
      </c>
      <c r="CL13" s="19">
        <v>0</v>
      </c>
      <c r="CM13" s="19">
        <v>18.2</v>
      </c>
      <c r="CN13" s="19">
        <v>4</v>
      </c>
      <c r="CO13" s="19">
        <v>0.2</v>
      </c>
      <c r="CP13" s="19">
        <v>0</v>
      </c>
      <c r="CQ13" s="19">
        <v>18.5</v>
      </c>
      <c r="CR13" s="19">
        <v>4.4000000000000004</v>
      </c>
      <c r="CS13" s="19">
        <v>0</v>
      </c>
      <c r="CT13" s="19">
        <v>0</v>
      </c>
      <c r="CU13" s="27"/>
      <c r="CV13" s="40">
        <f t="shared" si="30"/>
        <v>8.4</v>
      </c>
      <c r="CW13" s="40">
        <f t="shared" si="31"/>
        <v>41.5</v>
      </c>
      <c r="CX13" s="40">
        <f t="shared" si="32"/>
        <v>20.7</v>
      </c>
      <c r="CY13" s="40">
        <f t="shared" si="33"/>
        <v>11.9</v>
      </c>
      <c r="CZ13" s="40">
        <f t="shared" si="34"/>
        <v>62.2</v>
      </c>
      <c r="DA13" s="40">
        <f t="shared" si="35"/>
        <v>8.4</v>
      </c>
      <c r="DB13" s="40">
        <f t="shared" si="36"/>
        <v>44.9</v>
      </c>
      <c r="DC13" s="40">
        <f t="shared" si="37"/>
        <v>86.4</v>
      </c>
      <c r="DD13" s="50" t="str">
        <f t="shared" si="38"/>
        <v/>
      </c>
      <c r="DE13" s="50" t="str">
        <f t="shared" si="39"/>
        <v/>
      </c>
      <c r="DF13" s="50" t="str">
        <f t="shared" si="40"/>
        <v/>
      </c>
      <c r="DG13" s="17"/>
      <c r="DH13" s="17"/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17"/>
      <c r="DY13" s="17"/>
      <c r="DZ13" s="17"/>
      <c r="EA13" s="40" t="str">
        <f t="shared" si="41"/>
        <v/>
      </c>
      <c r="EB13" s="40" t="str">
        <f t="shared" si="42"/>
        <v/>
      </c>
      <c r="EC13" s="40" t="str">
        <f t="shared" si="43"/>
        <v/>
      </c>
      <c r="ED13" s="40" t="str">
        <f t="shared" si="44"/>
        <v/>
      </c>
      <c r="EE13" s="40" t="str">
        <f t="shared" si="45"/>
        <v/>
      </c>
      <c r="EF13" s="40" t="str">
        <f t="shared" si="46"/>
        <v/>
      </c>
      <c r="EG13" s="40" t="str">
        <f t="shared" si="47"/>
        <v/>
      </c>
      <c r="EH13" s="40" t="str">
        <f t="shared" si="48"/>
        <v/>
      </c>
      <c r="EI13" s="18"/>
      <c r="EJ13" s="18"/>
      <c r="EK13" s="18"/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8"/>
      <c r="FA13" s="18"/>
      <c r="FB13" s="18"/>
      <c r="FC13" s="11" t="str">
        <f t="shared" si="49"/>
        <v/>
      </c>
      <c r="FD13" s="11" t="str">
        <f t="shared" si="50"/>
        <v/>
      </c>
      <c r="FE13" s="11" t="str">
        <f t="shared" si="51"/>
        <v/>
      </c>
      <c r="FF13" s="11" t="str">
        <f t="shared" si="52"/>
        <v/>
      </c>
      <c r="FG13" s="11" t="str">
        <f t="shared" si="53"/>
        <v/>
      </c>
      <c r="FH13" s="11" t="str">
        <f t="shared" si="54"/>
        <v/>
      </c>
      <c r="FI13" s="11" t="str">
        <f t="shared" si="55"/>
        <v/>
      </c>
      <c r="FJ13" s="11" t="str">
        <f t="shared" si="56"/>
        <v/>
      </c>
      <c r="FK13" s="17"/>
      <c r="FL13" s="17"/>
      <c r="FM13" s="17"/>
      <c r="FN13" s="17"/>
      <c r="FO13" s="17"/>
      <c r="FP13" s="17"/>
      <c r="FQ13" s="17"/>
      <c r="FR13" s="17"/>
      <c r="FS13" s="17"/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40" t="str">
        <f t="shared" si="57"/>
        <v/>
      </c>
      <c r="GF13" s="40" t="str">
        <f t="shared" si="58"/>
        <v/>
      </c>
      <c r="GG13" s="40" t="str">
        <f t="shared" si="59"/>
        <v/>
      </c>
      <c r="GH13" s="40" t="str">
        <f t="shared" si="60"/>
        <v/>
      </c>
      <c r="GI13" s="40" t="str">
        <f t="shared" si="61"/>
        <v/>
      </c>
      <c r="GJ13" s="40" t="str">
        <f t="shared" si="62"/>
        <v/>
      </c>
      <c r="GK13" s="40" t="str">
        <f t="shared" si="63"/>
        <v/>
      </c>
      <c r="GL13" s="40" t="str">
        <f t="shared" si="64"/>
        <v/>
      </c>
      <c r="GM13" s="18"/>
      <c r="GN13" s="18"/>
      <c r="GO13" s="18"/>
      <c r="GP13" s="18"/>
      <c r="GQ13" s="18"/>
      <c r="GR13" s="18"/>
      <c r="GS13" s="18"/>
      <c r="GT13" s="18"/>
      <c r="GU13" s="18"/>
      <c r="GV13" s="18"/>
      <c r="GW13" s="18"/>
      <c r="GX13" s="18"/>
      <c r="GY13" s="18"/>
      <c r="GZ13" s="18"/>
      <c r="HA13" s="18"/>
      <c r="HB13" s="18"/>
      <c r="HC13" s="18"/>
      <c r="HD13" s="18"/>
      <c r="HE13" s="18"/>
      <c r="HF13" s="18"/>
      <c r="HG13" s="11" t="str">
        <f t="shared" si="65"/>
        <v/>
      </c>
      <c r="HH13" s="11" t="str">
        <f t="shared" si="66"/>
        <v/>
      </c>
      <c r="HI13" s="11" t="str">
        <f t="shared" si="67"/>
        <v/>
      </c>
      <c r="HJ13" s="11" t="str">
        <f t="shared" si="68"/>
        <v/>
      </c>
      <c r="HK13" s="11" t="str">
        <f t="shared" si="69"/>
        <v/>
      </c>
      <c r="HL13" s="11" t="str">
        <f t="shared" si="70"/>
        <v/>
      </c>
      <c r="HM13" s="11" t="str">
        <f t="shared" si="71"/>
        <v/>
      </c>
      <c r="HN13" s="11" t="str">
        <f t="shared" si="72"/>
        <v/>
      </c>
      <c r="HO13" s="17"/>
      <c r="HP13" s="17"/>
      <c r="HQ13" s="17"/>
      <c r="HR13" s="17"/>
      <c r="HS13" s="17"/>
      <c r="HT13" s="17"/>
      <c r="HU13" s="17"/>
      <c r="HV13" s="17"/>
      <c r="HW13" s="17"/>
      <c r="HX13" s="17"/>
      <c r="HY13" s="17"/>
      <c r="HZ13" s="17"/>
      <c r="IA13" s="17"/>
      <c r="IB13" s="17"/>
      <c r="IC13" s="17"/>
      <c r="ID13" s="17"/>
      <c r="IE13" s="17"/>
      <c r="IF13" s="17"/>
      <c r="IG13" s="17"/>
      <c r="IH13" s="17"/>
      <c r="II13" s="40" t="str">
        <f t="shared" si="73"/>
        <v/>
      </c>
      <c r="IJ13" s="40" t="str">
        <f t="shared" si="74"/>
        <v/>
      </c>
      <c r="IK13" s="40" t="str">
        <f t="shared" si="75"/>
        <v/>
      </c>
      <c r="IL13" s="40" t="str">
        <f t="shared" si="76"/>
        <v/>
      </c>
      <c r="IM13" s="40" t="str">
        <f t="shared" si="77"/>
        <v/>
      </c>
      <c r="IN13" s="40" t="str">
        <f t="shared" si="78"/>
        <v/>
      </c>
      <c r="IO13" s="40" t="str">
        <f t="shared" si="79"/>
        <v/>
      </c>
      <c r="IP13" s="40" t="str">
        <f t="shared" si="80"/>
        <v/>
      </c>
      <c r="IQ13" s="18"/>
      <c r="IR13" s="18"/>
      <c r="IS13" s="18"/>
      <c r="IT13" s="18"/>
      <c r="IU13" s="18"/>
      <c r="IV13" s="18"/>
      <c r="IW13" s="18"/>
      <c r="IX13" s="18"/>
      <c r="IY13" s="18"/>
      <c r="IZ13" s="18"/>
      <c r="JA13" s="18"/>
      <c r="JB13" s="18"/>
      <c r="JC13" s="18"/>
      <c r="JD13" s="18"/>
      <c r="JE13" s="18"/>
      <c r="JF13" s="18"/>
      <c r="JG13" s="18"/>
      <c r="JH13" s="18"/>
      <c r="JI13" s="18"/>
      <c r="JJ13" s="18"/>
      <c r="JK13" s="11" t="str">
        <f t="shared" si="81"/>
        <v/>
      </c>
      <c r="JL13" s="11" t="str">
        <f t="shared" si="82"/>
        <v/>
      </c>
      <c r="JM13" s="11" t="str">
        <f t="shared" si="83"/>
        <v/>
      </c>
      <c r="JN13" s="11" t="str">
        <f t="shared" si="84"/>
        <v/>
      </c>
      <c r="JO13" s="11" t="str">
        <f t="shared" si="85"/>
        <v/>
      </c>
      <c r="JP13" s="11" t="str">
        <f t="shared" si="86"/>
        <v/>
      </c>
      <c r="JQ13" s="11" t="str">
        <f t="shared" si="87"/>
        <v/>
      </c>
      <c r="JR13" s="11" t="str">
        <f t="shared" si="88"/>
        <v/>
      </c>
      <c r="JS13" s="17"/>
      <c r="JT13" s="17"/>
      <c r="JU13" s="17"/>
      <c r="JV13" s="17"/>
      <c r="JW13" s="17"/>
      <c r="JX13" s="17"/>
      <c r="JY13" s="17"/>
      <c r="JZ13" s="17"/>
      <c r="KA13" s="17"/>
      <c r="KB13" s="17"/>
      <c r="KC13" s="17"/>
      <c r="KD13" s="17"/>
      <c r="KE13" s="17"/>
      <c r="KF13" s="17"/>
      <c r="KG13" s="17"/>
      <c r="KH13" s="17"/>
      <c r="KI13" s="17"/>
      <c r="KJ13" s="17"/>
      <c r="KK13" s="17"/>
      <c r="KL13" s="17"/>
      <c r="KM13" s="40" t="str">
        <f t="shared" si="89"/>
        <v/>
      </c>
      <c r="KN13" s="40" t="str">
        <f t="shared" si="90"/>
        <v/>
      </c>
      <c r="KO13" s="40" t="str">
        <f t="shared" si="91"/>
        <v/>
      </c>
      <c r="KP13" s="40" t="str">
        <f t="shared" si="92"/>
        <v/>
      </c>
      <c r="KQ13" s="40" t="str">
        <f t="shared" si="93"/>
        <v/>
      </c>
      <c r="KR13" s="40" t="str">
        <f t="shared" si="94"/>
        <v/>
      </c>
      <c r="KS13" s="40" t="str">
        <f t="shared" si="95"/>
        <v/>
      </c>
      <c r="KT13" s="40" t="str">
        <f t="shared" si="96"/>
        <v/>
      </c>
      <c r="KU13" s="18"/>
      <c r="KV13" s="18"/>
      <c r="KW13" s="18"/>
      <c r="KX13" s="18"/>
      <c r="KY13" s="18"/>
      <c r="KZ13" s="18"/>
      <c r="LA13" s="18"/>
      <c r="LB13" s="18"/>
      <c r="LC13" s="18"/>
      <c r="LD13" s="18"/>
      <c r="LE13" s="18"/>
      <c r="LF13" s="18"/>
      <c r="LG13" s="18"/>
      <c r="LH13" s="18"/>
      <c r="LI13" s="18"/>
      <c r="LJ13" s="18"/>
      <c r="LK13" s="18"/>
      <c r="LL13" s="18"/>
      <c r="LM13" s="18"/>
      <c r="LN13" s="18"/>
      <c r="LO13" s="11" t="str">
        <f t="shared" si="97"/>
        <v/>
      </c>
      <c r="LP13" s="11" t="str">
        <f t="shared" si="98"/>
        <v/>
      </c>
      <c r="LQ13" s="11" t="str">
        <f t="shared" si="99"/>
        <v/>
      </c>
      <c r="LR13" s="11" t="str">
        <f t="shared" si="100"/>
        <v/>
      </c>
      <c r="LS13" s="11" t="str">
        <f t="shared" si="101"/>
        <v/>
      </c>
      <c r="LT13" s="11" t="str">
        <f t="shared" si="102"/>
        <v/>
      </c>
      <c r="LU13" s="11" t="str">
        <f t="shared" si="103"/>
        <v/>
      </c>
      <c r="LV13" s="11" t="str">
        <f t="shared" si="104"/>
        <v/>
      </c>
      <c r="LW13" s="17"/>
      <c r="LX13" s="17"/>
      <c r="LY13" s="17"/>
      <c r="LZ13" s="17"/>
      <c r="MA13" s="17"/>
      <c r="MB13" s="17"/>
      <c r="MC13" s="17"/>
      <c r="MD13" s="17"/>
      <c r="ME13" s="17"/>
      <c r="MF13" s="17"/>
      <c r="MG13" s="17"/>
      <c r="MH13" s="17"/>
      <c r="MI13" s="17"/>
      <c r="MJ13" s="17"/>
      <c r="MK13" s="17"/>
      <c r="ML13" s="17"/>
      <c r="MM13" s="17"/>
      <c r="MN13" s="17"/>
      <c r="MO13" s="17"/>
      <c r="MP13" s="17"/>
      <c r="MQ13" s="40" t="str">
        <f t="shared" si="105"/>
        <v/>
      </c>
      <c r="MR13" s="40" t="str">
        <f t="shared" si="106"/>
        <v/>
      </c>
      <c r="MS13" s="40" t="str">
        <f t="shared" si="107"/>
        <v/>
      </c>
      <c r="MT13" s="40" t="str">
        <f t="shared" si="108"/>
        <v/>
      </c>
      <c r="MU13" s="40" t="str">
        <f t="shared" si="109"/>
        <v/>
      </c>
      <c r="MV13" s="40" t="str">
        <f t="shared" si="110"/>
        <v/>
      </c>
      <c r="MW13" s="40" t="str">
        <f t="shared" si="111"/>
        <v/>
      </c>
      <c r="MX13" s="40" t="str">
        <f t="shared" si="112"/>
        <v/>
      </c>
      <c r="MY13" s="18"/>
      <c r="MZ13" s="18"/>
      <c r="NA13" s="18"/>
      <c r="NB13" s="18"/>
      <c r="NC13" s="18"/>
      <c r="ND13" s="18"/>
      <c r="NE13" s="18"/>
      <c r="NF13" s="18"/>
      <c r="NG13" s="18"/>
      <c r="NH13" s="18"/>
      <c r="NI13" s="18"/>
      <c r="NJ13" s="18"/>
      <c r="NK13" s="18"/>
      <c r="NL13" s="18"/>
      <c r="NM13" s="18"/>
      <c r="NN13" s="18"/>
      <c r="NO13" s="18"/>
      <c r="NP13" s="18"/>
      <c r="NQ13" s="18"/>
      <c r="NR13" s="18"/>
      <c r="NS13" s="11" t="str">
        <f t="shared" si="113"/>
        <v/>
      </c>
      <c r="NT13" s="11" t="str">
        <f t="shared" si="114"/>
        <v/>
      </c>
      <c r="NU13" s="11" t="str">
        <f t="shared" si="115"/>
        <v/>
      </c>
      <c r="NV13" s="11" t="str">
        <f t="shared" si="116"/>
        <v/>
      </c>
      <c r="NW13" s="11" t="str">
        <f t="shared" si="117"/>
        <v/>
      </c>
      <c r="NX13" s="11" t="str">
        <f t="shared" si="118"/>
        <v/>
      </c>
      <c r="NY13" s="11" t="str">
        <f t="shared" si="119"/>
        <v/>
      </c>
      <c r="NZ13" s="11" t="str">
        <f t="shared" si="120"/>
        <v/>
      </c>
      <c r="OA13" s="17"/>
      <c r="OB13" s="17"/>
      <c r="OC13" s="17"/>
      <c r="OD13" s="17"/>
      <c r="OE13" s="17"/>
      <c r="OF13" s="17"/>
      <c r="OG13" s="17"/>
      <c r="OH13" s="17"/>
      <c r="OI13" s="17"/>
      <c r="OJ13" s="17"/>
      <c r="OK13" s="17"/>
      <c r="OL13" s="17"/>
      <c r="OM13" s="17"/>
      <c r="ON13" s="17"/>
      <c r="OO13" s="17"/>
      <c r="OP13" s="17"/>
      <c r="OQ13" s="17"/>
      <c r="OR13" s="17"/>
      <c r="OS13" s="17"/>
      <c r="OT13" s="17"/>
      <c r="OU13" s="40" t="str">
        <f t="shared" si="121"/>
        <v/>
      </c>
      <c r="OV13" s="40" t="str">
        <f t="shared" si="122"/>
        <v/>
      </c>
      <c r="OW13" s="40" t="str">
        <f t="shared" si="123"/>
        <v/>
      </c>
      <c r="OX13" s="40" t="str">
        <f t="shared" si="124"/>
        <v/>
      </c>
      <c r="OY13" s="40" t="str">
        <f t="shared" si="125"/>
        <v/>
      </c>
      <c r="OZ13" s="40" t="str">
        <f t="shared" si="126"/>
        <v/>
      </c>
      <c r="PA13" s="40" t="str">
        <f t="shared" si="127"/>
        <v/>
      </c>
      <c r="PB13" s="40" t="str">
        <f t="shared" si="128"/>
        <v/>
      </c>
      <c r="PC13" s="18"/>
      <c r="PD13" s="18"/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8"/>
      <c r="PQ13" s="18"/>
      <c r="PR13" s="18"/>
      <c r="PS13" s="18"/>
      <c r="PT13" s="18"/>
      <c r="PU13" s="18"/>
      <c r="PV13" s="18"/>
      <c r="PW13" s="11" t="str">
        <f t="shared" si="129"/>
        <v/>
      </c>
      <c r="PX13" s="11" t="str">
        <f t="shared" si="130"/>
        <v/>
      </c>
      <c r="PY13" s="11" t="str">
        <f t="shared" si="131"/>
        <v/>
      </c>
      <c r="PZ13" s="11" t="str">
        <f t="shared" si="132"/>
        <v/>
      </c>
      <c r="QA13" s="11" t="str">
        <f t="shared" si="133"/>
        <v/>
      </c>
      <c r="QB13" s="11" t="str">
        <f t="shared" si="134"/>
        <v/>
      </c>
      <c r="QC13" s="11" t="str">
        <f t="shared" si="135"/>
        <v/>
      </c>
      <c r="QD13" s="11" t="str">
        <f t="shared" si="136"/>
        <v/>
      </c>
      <c r="QE13" s="22">
        <f t="shared" si="137"/>
        <v>9.15</v>
      </c>
      <c r="QF13" s="22">
        <f t="shared" si="138"/>
        <v>2</v>
      </c>
      <c r="QG13" s="22">
        <f t="shared" si="139"/>
        <v>0.4</v>
      </c>
      <c r="QH13" s="22">
        <f t="shared" si="140"/>
        <v>0</v>
      </c>
      <c r="QI13" s="22">
        <f t="shared" si="141"/>
        <v>8.1</v>
      </c>
      <c r="QJ13" s="22">
        <f t="shared" si="142"/>
        <v>2.2000000000000002</v>
      </c>
      <c r="QK13" s="22">
        <f t="shared" si="143"/>
        <v>0.3</v>
      </c>
      <c r="QL13" s="22">
        <f t="shared" si="144"/>
        <v>0</v>
      </c>
      <c r="QM13" s="22">
        <f t="shared" si="145"/>
        <v>9</v>
      </c>
      <c r="QN13" s="22">
        <f t="shared" si="146"/>
        <v>1.75</v>
      </c>
      <c r="QO13" s="22">
        <f t="shared" si="147"/>
        <v>0.4</v>
      </c>
      <c r="QP13" s="22">
        <f t="shared" si="148"/>
        <v>0</v>
      </c>
      <c r="QQ13" s="22">
        <f t="shared" si="149"/>
        <v>9.1</v>
      </c>
      <c r="QR13" s="22">
        <f t="shared" si="150"/>
        <v>2</v>
      </c>
      <c r="QS13" s="22">
        <f t="shared" si="151"/>
        <v>0.1</v>
      </c>
      <c r="QT13" s="22">
        <f t="shared" si="152"/>
        <v>0</v>
      </c>
      <c r="QU13" s="22">
        <f t="shared" si="153"/>
        <v>9.25</v>
      </c>
      <c r="QV13" s="22">
        <f t="shared" si="154"/>
        <v>2.2000000000000002</v>
      </c>
      <c r="QW13" s="22">
        <f t="shared" si="155"/>
        <v>0</v>
      </c>
      <c r="QX13" s="22">
        <f t="shared" si="156"/>
        <v>0</v>
      </c>
      <c r="QY13" s="27" t="s">
        <v>46</v>
      </c>
      <c r="QZ13" s="40">
        <f t="shared" si="157"/>
        <v>4.2</v>
      </c>
      <c r="RA13" s="40">
        <f t="shared" si="158"/>
        <v>20.75</v>
      </c>
      <c r="RB13" s="40">
        <f t="shared" si="159"/>
        <v>10.35</v>
      </c>
      <c r="RC13" s="40">
        <f t="shared" si="160"/>
        <v>5.95</v>
      </c>
      <c r="RD13" s="40">
        <f t="shared" si="161"/>
        <v>31.1</v>
      </c>
      <c r="RE13" s="40">
        <f t="shared" si="162"/>
        <v>4.2</v>
      </c>
      <c r="RF13" s="40">
        <f t="shared" si="163"/>
        <v>22.45</v>
      </c>
      <c r="RG13" s="40">
        <f t="shared" si="164"/>
        <v>43.2</v>
      </c>
    </row>
    <row r="14" spans="1:475" x14ac:dyDescent="0.2">
      <c r="A14" s="4" t="str">
        <f t="shared" si="0"/>
        <v/>
      </c>
      <c r="B14" s="5" t="s">
        <v>188</v>
      </c>
      <c r="C14" s="4" t="s">
        <v>4</v>
      </c>
      <c r="D14" s="4">
        <v>2002</v>
      </c>
      <c r="E14" s="9">
        <f t="shared" si="1"/>
        <v>151.10001052000425</v>
      </c>
      <c r="F14" s="3" t="str">
        <f t="shared" si="2"/>
        <v/>
      </c>
      <c r="G14" s="3" t="str">
        <f t="shared" si="3"/>
        <v/>
      </c>
      <c r="H14" s="36" t="str">
        <f t="shared" si="4"/>
        <v/>
      </c>
      <c r="I14" s="3" t="str">
        <f t="shared" si="5"/>
        <v/>
      </c>
      <c r="J14" s="8">
        <f>IF(COUNT(AQ14,BT14,CW14)&gt;0,LARGE((AQ14,BT14,CW14),1),0)</f>
        <v>42.5</v>
      </c>
      <c r="K14" s="8" t="str">
        <f t="shared" si="6"/>
        <v>2023 Elite Canada</v>
      </c>
      <c r="L14" s="8">
        <f>IF(COUNT(AQ14,BT14,CW14)&gt;1,LARGE((AQ14,BT14,CW14),2),0)</f>
        <v>40.6</v>
      </c>
      <c r="M14" s="8" t="str">
        <f t="shared" si="7"/>
        <v>2022 3rd Domestic Trial</v>
      </c>
      <c r="N14" s="8">
        <f>IF(COUNT(AR14,BU14,CX14)&gt;0,LARGE((AR14,BU14,CX14),1),0)</f>
        <v>22.1</v>
      </c>
      <c r="O14" s="8" t="str">
        <f t="shared" si="8"/>
        <v>2022 3rd Domestic Trial</v>
      </c>
      <c r="P14" s="8">
        <f t="shared" si="9"/>
        <v>45.9</v>
      </c>
      <c r="Q14" s="8" t="str">
        <f t="shared" si="10"/>
        <v>2022 3rd Domestic Trial</v>
      </c>
      <c r="R14" s="8" t="str">
        <f t="shared" si="11"/>
        <v/>
      </c>
      <c r="S14" s="11" t="str">
        <f t="shared" si="12"/>
        <v/>
      </c>
      <c r="T14" s="8" t="str">
        <f t="shared" si="13"/>
        <v/>
      </c>
      <c r="U14" s="19">
        <v>17.399999999999999</v>
      </c>
      <c r="V14" s="19">
        <v>0.7</v>
      </c>
      <c r="W14" s="19">
        <v>0</v>
      </c>
      <c r="X14" s="19">
        <v>0</v>
      </c>
      <c r="Y14" s="19">
        <v>16.600000000000001</v>
      </c>
      <c r="Z14" s="19">
        <v>3.5</v>
      </c>
      <c r="AA14" s="19">
        <v>0.8</v>
      </c>
      <c r="AB14" s="19">
        <v>0</v>
      </c>
      <c r="AC14" s="19">
        <v>18.8</v>
      </c>
      <c r="AD14" s="19">
        <v>3.4</v>
      </c>
      <c r="AE14" s="19">
        <v>0.2</v>
      </c>
      <c r="AF14" s="19">
        <v>0</v>
      </c>
      <c r="AG14" s="19"/>
      <c r="AH14" s="19"/>
      <c r="AI14" s="19"/>
      <c r="AJ14" s="19"/>
      <c r="AK14" s="19"/>
      <c r="AL14" s="19"/>
      <c r="AM14" s="19"/>
      <c r="AN14" s="19"/>
      <c r="AO14" s="27"/>
      <c r="AP14" s="40">
        <f t="shared" si="14"/>
        <v>4.2</v>
      </c>
      <c r="AQ14" s="40">
        <f t="shared" si="15"/>
        <v>37.400000000000006</v>
      </c>
      <c r="AR14" s="40">
        <f t="shared" si="16"/>
        <v>22</v>
      </c>
      <c r="AS14" s="40">
        <f t="shared" si="17"/>
        <v>7.6</v>
      </c>
      <c r="AT14" s="40">
        <f t="shared" si="18"/>
        <v>59.400000000000006</v>
      </c>
      <c r="AU14" s="40" t="str">
        <f t="shared" si="19"/>
        <v/>
      </c>
      <c r="AV14" s="40" t="str">
        <f t="shared" si="20"/>
        <v/>
      </c>
      <c r="AW14" s="40">
        <f t="shared" si="21"/>
        <v>37.400000000000006</v>
      </c>
      <c r="AX14" s="18">
        <v>17.399999999999999</v>
      </c>
      <c r="AY14" s="18">
        <v>0.7</v>
      </c>
      <c r="AZ14" s="18">
        <v>0</v>
      </c>
      <c r="BA14" s="18">
        <v>0</v>
      </c>
      <c r="BB14" s="18">
        <v>19.100000000000001</v>
      </c>
      <c r="BC14" s="18">
        <v>3.4</v>
      </c>
      <c r="BD14" s="18">
        <v>0</v>
      </c>
      <c r="BE14" s="18">
        <v>0</v>
      </c>
      <c r="BF14" s="18">
        <v>18.600000000000001</v>
      </c>
      <c r="BG14" s="18">
        <v>3.5</v>
      </c>
      <c r="BH14" s="18">
        <v>0</v>
      </c>
      <c r="BI14" s="18">
        <v>0</v>
      </c>
      <c r="BJ14" s="18">
        <v>19.2</v>
      </c>
      <c r="BK14" s="18">
        <v>4.3</v>
      </c>
      <c r="BL14" s="18">
        <v>0</v>
      </c>
      <c r="BM14" s="18">
        <v>0</v>
      </c>
      <c r="BN14" s="18">
        <v>19</v>
      </c>
      <c r="BO14" s="18">
        <v>3.4</v>
      </c>
      <c r="BP14" s="18">
        <v>0</v>
      </c>
      <c r="BQ14" s="18">
        <v>0</v>
      </c>
      <c r="BR14" s="28"/>
      <c r="BS14" s="11">
        <f t="shared" si="22"/>
        <v>4.0999999999999996</v>
      </c>
      <c r="BT14" s="11">
        <f t="shared" si="23"/>
        <v>40.6</v>
      </c>
      <c r="BU14" s="11">
        <f t="shared" si="24"/>
        <v>22.1</v>
      </c>
      <c r="BV14" s="11">
        <f t="shared" si="25"/>
        <v>7.6</v>
      </c>
      <c r="BW14" s="11">
        <f t="shared" si="26"/>
        <v>62.7</v>
      </c>
      <c r="BX14" s="11">
        <f t="shared" si="27"/>
        <v>7.6999999999999993</v>
      </c>
      <c r="BY14" s="11">
        <f t="shared" si="28"/>
        <v>45.9</v>
      </c>
      <c r="BZ14" s="11">
        <f t="shared" si="29"/>
        <v>86.5</v>
      </c>
      <c r="CA14" s="19">
        <v>18.399999999999999</v>
      </c>
      <c r="CB14" s="19">
        <v>3.5</v>
      </c>
      <c r="CC14" s="19">
        <v>0</v>
      </c>
      <c r="CD14" s="19">
        <v>0</v>
      </c>
      <c r="CE14" s="19">
        <v>18.2</v>
      </c>
      <c r="CF14" s="19">
        <v>2.7</v>
      </c>
      <c r="CG14" s="19">
        <v>0.3</v>
      </c>
      <c r="CH14" s="19">
        <v>0</v>
      </c>
      <c r="CI14" s="19">
        <v>18.600000000000001</v>
      </c>
      <c r="CJ14" s="19">
        <v>3</v>
      </c>
      <c r="CK14" s="19">
        <v>0</v>
      </c>
      <c r="CL14" s="19">
        <v>0</v>
      </c>
      <c r="CM14" s="19">
        <v>18.399999999999999</v>
      </c>
      <c r="CN14" s="19">
        <v>2.7</v>
      </c>
      <c r="CO14" s="19">
        <v>0.3</v>
      </c>
      <c r="CP14" s="19">
        <v>0</v>
      </c>
      <c r="CQ14" s="19">
        <v>18.7</v>
      </c>
      <c r="CR14" s="19">
        <v>3</v>
      </c>
      <c r="CS14" s="19">
        <v>0.8</v>
      </c>
      <c r="CT14" s="19">
        <v>0</v>
      </c>
      <c r="CU14" s="27"/>
      <c r="CV14" s="40">
        <f t="shared" si="30"/>
        <v>6.2</v>
      </c>
      <c r="CW14" s="40">
        <f t="shared" si="31"/>
        <v>42.5</v>
      </c>
      <c r="CX14" s="40">
        <f t="shared" si="32"/>
        <v>21.6</v>
      </c>
      <c r="CY14" s="40">
        <f t="shared" si="33"/>
        <v>9.1999999999999993</v>
      </c>
      <c r="CZ14" s="40">
        <f t="shared" si="34"/>
        <v>64.099999999999994</v>
      </c>
      <c r="DA14" s="40">
        <f t="shared" si="35"/>
        <v>5.7</v>
      </c>
      <c r="DB14" s="40">
        <f t="shared" si="36"/>
        <v>41.699999999999996</v>
      </c>
      <c r="DC14" s="40">
        <f t="shared" si="37"/>
        <v>84.199999999999989</v>
      </c>
      <c r="DD14" s="50" t="str">
        <f t="shared" si="38"/>
        <v/>
      </c>
      <c r="DE14" s="50" t="str">
        <f t="shared" si="39"/>
        <v/>
      </c>
      <c r="DF14" s="50" t="str">
        <f t="shared" si="40"/>
        <v/>
      </c>
      <c r="DG14" s="17"/>
      <c r="DH14" s="17"/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17"/>
      <c r="DY14" s="17"/>
      <c r="DZ14" s="17"/>
      <c r="EA14" s="40" t="str">
        <f t="shared" si="41"/>
        <v/>
      </c>
      <c r="EB14" s="40" t="str">
        <f t="shared" si="42"/>
        <v/>
      </c>
      <c r="EC14" s="40" t="str">
        <f t="shared" si="43"/>
        <v/>
      </c>
      <c r="ED14" s="40" t="str">
        <f t="shared" si="44"/>
        <v/>
      </c>
      <c r="EE14" s="40" t="str">
        <f t="shared" si="45"/>
        <v/>
      </c>
      <c r="EF14" s="40" t="str">
        <f t="shared" si="46"/>
        <v/>
      </c>
      <c r="EG14" s="40" t="str">
        <f t="shared" si="47"/>
        <v/>
      </c>
      <c r="EH14" s="40" t="str">
        <f t="shared" si="48"/>
        <v/>
      </c>
      <c r="EI14" s="18"/>
      <c r="EJ14" s="18"/>
      <c r="EK14" s="18"/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8"/>
      <c r="FA14" s="18"/>
      <c r="FB14" s="18"/>
      <c r="FC14" s="11" t="str">
        <f t="shared" si="49"/>
        <v/>
      </c>
      <c r="FD14" s="11" t="str">
        <f t="shared" si="50"/>
        <v/>
      </c>
      <c r="FE14" s="11" t="str">
        <f t="shared" si="51"/>
        <v/>
      </c>
      <c r="FF14" s="11" t="str">
        <f t="shared" si="52"/>
        <v/>
      </c>
      <c r="FG14" s="11" t="str">
        <f t="shared" si="53"/>
        <v/>
      </c>
      <c r="FH14" s="11" t="str">
        <f t="shared" si="54"/>
        <v/>
      </c>
      <c r="FI14" s="11" t="str">
        <f t="shared" si="55"/>
        <v/>
      </c>
      <c r="FJ14" s="11" t="str">
        <f t="shared" si="56"/>
        <v/>
      </c>
      <c r="FK14" s="17"/>
      <c r="FL14" s="17"/>
      <c r="FM14" s="17"/>
      <c r="FN14" s="17"/>
      <c r="FO14" s="17"/>
      <c r="FP14" s="17"/>
      <c r="FQ14" s="17"/>
      <c r="FR14" s="17"/>
      <c r="FS14" s="17"/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40" t="str">
        <f t="shared" si="57"/>
        <v/>
      </c>
      <c r="GF14" s="40" t="str">
        <f t="shared" si="58"/>
        <v/>
      </c>
      <c r="GG14" s="40" t="str">
        <f t="shared" si="59"/>
        <v/>
      </c>
      <c r="GH14" s="40" t="str">
        <f t="shared" si="60"/>
        <v/>
      </c>
      <c r="GI14" s="40" t="str">
        <f t="shared" si="61"/>
        <v/>
      </c>
      <c r="GJ14" s="40" t="str">
        <f t="shared" si="62"/>
        <v/>
      </c>
      <c r="GK14" s="40" t="str">
        <f t="shared" si="63"/>
        <v/>
      </c>
      <c r="GL14" s="40" t="str">
        <f t="shared" si="64"/>
        <v/>
      </c>
      <c r="GM14" s="18"/>
      <c r="GN14" s="18"/>
      <c r="GO14" s="18"/>
      <c r="GP14" s="18"/>
      <c r="GQ14" s="18"/>
      <c r="GR14" s="18"/>
      <c r="GS14" s="18"/>
      <c r="GT14" s="18"/>
      <c r="GU14" s="18"/>
      <c r="GV14" s="18"/>
      <c r="GW14" s="18"/>
      <c r="GX14" s="18"/>
      <c r="GY14" s="18"/>
      <c r="GZ14" s="18"/>
      <c r="HA14" s="18"/>
      <c r="HB14" s="18"/>
      <c r="HC14" s="18"/>
      <c r="HD14" s="18"/>
      <c r="HE14" s="18"/>
      <c r="HF14" s="18"/>
      <c r="HG14" s="11" t="str">
        <f t="shared" si="65"/>
        <v/>
      </c>
      <c r="HH14" s="11" t="str">
        <f t="shared" si="66"/>
        <v/>
      </c>
      <c r="HI14" s="11" t="str">
        <f t="shared" si="67"/>
        <v/>
      </c>
      <c r="HJ14" s="11" t="str">
        <f t="shared" si="68"/>
        <v/>
      </c>
      <c r="HK14" s="11" t="str">
        <f t="shared" si="69"/>
        <v/>
      </c>
      <c r="HL14" s="11" t="str">
        <f t="shared" si="70"/>
        <v/>
      </c>
      <c r="HM14" s="11" t="str">
        <f t="shared" si="71"/>
        <v/>
      </c>
      <c r="HN14" s="11" t="str">
        <f t="shared" si="72"/>
        <v/>
      </c>
      <c r="HO14" s="17"/>
      <c r="HP14" s="17"/>
      <c r="HQ14" s="17"/>
      <c r="HR14" s="17"/>
      <c r="HS14" s="17"/>
      <c r="HT14" s="17"/>
      <c r="HU14" s="17"/>
      <c r="HV14" s="17"/>
      <c r="HW14" s="17"/>
      <c r="HX14" s="17"/>
      <c r="HY14" s="17"/>
      <c r="HZ14" s="17"/>
      <c r="IA14" s="17"/>
      <c r="IB14" s="17"/>
      <c r="IC14" s="17"/>
      <c r="ID14" s="17"/>
      <c r="IE14" s="17"/>
      <c r="IF14" s="17"/>
      <c r="IG14" s="17"/>
      <c r="IH14" s="17"/>
      <c r="II14" s="40" t="str">
        <f t="shared" si="73"/>
        <v/>
      </c>
      <c r="IJ14" s="40" t="str">
        <f t="shared" si="74"/>
        <v/>
      </c>
      <c r="IK14" s="40" t="str">
        <f t="shared" si="75"/>
        <v/>
      </c>
      <c r="IL14" s="40" t="str">
        <f t="shared" si="76"/>
        <v/>
      </c>
      <c r="IM14" s="40" t="str">
        <f t="shared" si="77"/>
        <v/>
      </c>
      <c r="IN14" s="40" t="str">
        <f t="shared" si="78"/>
        <v/>
      </c>
      <c r="IO14" s="40" t="str">
        <f t="shared" si="79"/>
        <v/>
      </c>
      <c r="IP14" s="40" t="str">
        <f t="shared" si="80"/>
        <v/>
      </c>
      <c r="IQ14" s="18"/>
      <c r="IR14" s="18"/>
      <c r="IS14" s="18"/>
      <c r="IT14" s="18"/>
      <c r="IU14" s="18"/>
      <c r="IV14" s="18"/>
      <c r="IW14" s="18"/>
      <c r="IX14" s="18"/>
      <c r="IY14" s="18"/>
      <c r="IZ14" s="18"/>
      <c r="JA14" s="18"/>
      <c r="JB14" s="18"/>
      <c r="JC14" s="18"/>
      <c r="JD14" s="18"/>
      <c r="JE14" s="18"/>
      <c r="JF14" s="18"/>
      <c r="JG14" s="18"/>
      <c r="JH14" s="18"/>
      <c r="JI14" s="18"/>
      <c r="JJ14" s="18"/>
      <c r="JK14" s="11" t="str">
        <f t="shared" si="81"/>
        <v/>
      </c>
      <c r="JL14" s="11" t="str">
        <f t="shared" si="82"/>
        <v/>
      </c>
      <c r="JM14" s="11" t="str">
        <f t="shared" si="83"/>
        <v/>
      </c>
      <c r="JN14" s="11" t="str">
        <f t="shared" si="84"/>
        <v/>
      </c>
      <c r="JO14" s="11" t="str">
        <f t="shared" si="85"/>
        <v/>
      </c>
      <c r="JP14" s="11" t="str">
        <f t="shared" si="86"/>
        <v/>
      </c>
      <c r="JQ14" s="11" t="str">
        <f t="shared" si="87"/>
        <v/>
      </c>
      <c r="JR14" s="11" t="str">
        <f t="shared" si="88"/>
        <v/>
      </c>
      <c r="JS14" s="17"/>
      <c r="JT14" s="17"/>
      <c r="JU14" s="17"/>
      <c r="JV14" s="17"/>
      <c r="JW14" s="17"/>
      <c r="JX14" s="17"/>
      <c r="JY14" s="17"/>
      <c r="JZ14" s="17"/>
      <c r="KA14" s="17"/>
      <c r="KB14" s="17"/>
      <c r="KC14" s="17"/>
      <c r="KD14" s="17"/>
      <c r="KE14" s="17"/>
      <c r="KF14" s="17"/>
      <c r="KG14" s="17"/>
      <c r="KH14" s="17"/>
      <c r="KI14" s="17"/>
      <c r="KJ14" s="17"/>
      <c r="KK14" s="17"/>
      <c r="KL14" s="17"/>
      <c r="KM14" s="40" t="str">
        <f t="shared" si="89"/>
        <v/>
      </c>
      <c r="KN14" s="40" t="str">
        <f t="shared" si="90"/>
        <v/>
      </c>
      <c r="KO14" s="40" t="str">
        <f t="shared" si="91"/>
        <v/>
      </c>
      <c r="KP14" s="40" t="str">
        <f t="shared" si="92"/>
        <v/>
      </c>
      <c r="KQ14" s="40" t="str">
        <f t="shared" si="93"/>
        <v/>
      </c>
      <c r="KR14" s="40" t="str">
        <f t="shared" si="94"/>
        <v/>
      </c>
      <c r="KS14" s="40" t="str">
        <f t="shared" si="95"/>
        <v/>
      </c>
      <c r="KT14" s="40" t="str">
        <f t="shared" si="96"/>
        <v/>
      </c>
      <c r="KU14" s="18"/>
      <c r="KV14" s="18"/>
      <c r="KW14" s="18"/>
      <c r="KX14" s="18"/>
      <c r="KY14" s="18"/>
      <c r="KZ14" s="18"/>
      <c r="LA14" s="18"/>
      <c r="LB14" s="18"/>
      <c r="LC14" s="18"/>
      <c r="LD14" s="18"/>
      <c r="LE14" s="18"/>
      <c r="LF14" s="18"/>
      <c r="LG14" s="18"/>
      <c r="LH14" s="18"/>
      <c r="LI14" s="18"/>
      <c r="LJ14" s="18"/>
      <c r="LK14" s="18"/>
      <c r="LL14" s="18"/>
      <c r="LM14" s="18"/>
      <c r="LN14" s="18"/>
      <c r="LO14" s="11" t="str">
        <f t="shared" si="97"/>
        <v/>
      </c>
      <c r="LP14" s="11" t="str">
        <f t="shared" si="98"/>
        <v/>
      </c>
      <c r="LQ14" s="11" t="str">
        <f t="shared" si="99"/>
        <v/>
      </c>
      <c r="LR14" s="11" t="str">
        <f t="shared" si="100"/>
        <v/>
      </c>
      <c r="LS14" s="11" t="str">
        <f t="shared" si="101"/>
        <v/>
      </c>
      <c r="LT14" s="11" t="str">
        <f t="shared" si="102"/>
        <v/>
      </c>
      <c r="LU14" s="11" t="str">
        <f t="shared" si="103"/>
        <v/>
      </c>
      <c r="LV14" s="11" t="str">
        <f t="shared" si="104"/>
        <v/>
      </c>
      <c r="LW14" s="17"/>
      <c r="LX14" s="17"/>
      <c r="LY14" s="17"/>
      <c r="LZ14" s="17"/>
      <c r="MA14" s="17"/>
      <c r="MB14" s="17"/>
      <c r="MC14" s="17"/>
      <c r="MD14" s="17"/>
      <c r="ME14" s="17"/>
      <c r="MF14" s="17"/>
      <c r="MG14" s="17"/>
      <c r="MH14" s="17"/>
      <c r="MI14" s="17"/>
      <c r="MJ14" s="17"/>
      <c r="MK14" s="17"/>
      <c r="ML14" s="17"/>
      <c r="MM14" s="17"/>
      <c r="MN14" s="17"/>
      <c r="MO14" s="17"/>
      <c r="MP14" s="17"/>
      <c r="MQ14" s="40" t="str">
        <f t="shared" si="105"/>
        <v/>
      </c>
      <c r="MR14" s="40" t="str">
        <f t="shared" si="106"/>
        <v/>
      </c>
      <c r="MS14" s="40" t="str">
        <f t="shared" si="107"/>
        <v/>
      </c>
      <c r="MT14" s="40" t="str">
        <f t="shared" si="108"/>
        <v/>
      </c>
      <c r="MU14" s="40" t="str">
        <f t="shared" si="109"/>
        <v/>
      </c>
      <c r="MV14" s="40" t="str">
        <f t="shared" si="110"/>
        <v/>
      </c>
      <c r="MW14" s="40" t="str">
        <f t="shared" si="111"/>
        <v/>
      </c>
      <c r="MX14" s="40" t="str">
        <f t="shared" si="112"/>
        <v/>
      </c>
      <c r="MY14" s="18"/>
      <c r="MZ14" s="18"/>
      <c r="NA14" s="18"/>
      <c r="NB14" s="18"/>
      <c r="NC14" s="18"/>
      <c r="ND14" s="18"/>
      <c r="NE14" s="18"/>
      <c r="NF14" s="18"/>
      <c r="NG14" s="18"/>
      <c r="NH14" s="18"/>
      <c r="NI14" s="18"/>
      <c r="NJ14" s="18"/>
      <c r="NK14" s="18"/>
      <c r="NL14" s="18"/>
      <c r="NM14" s="18"/>
      <c r="NN14" s="18"/>
      <c r="NO14" s="18"/>
      <c r="NP14" s="18"/>
      <c r="NQ14" s="18"/>
      <c r="NR14" s="18"/>
      <c r="NS14" s="11" t="str">
        <f t="shared" si="113"/>
        <v/>
      </c>
      <c r="NT14" s="11" t="str">
        <f t="shared" si="114"/>
        <v/>
      </c>
      <c r="NU14" s="11" t="str">
        <f t="shared" si="115"/>
        <v/>
      </c>
      <c r="NV14" s="11" t="str">
        <f t="shared" si="116"/>
        <v/>
      </c>
      <c r="NW14" s="11" t="str">
        <f t="shared" si="117"/>
        <v/>
      </c>
      <c r="NX14" s="11" t="str">
        <f t="shared" si="118"/>
        <v/>
      </c>
      <c r="NY14" s="11" t="str">
        <f t="shared" si="119"/>
        <v/>
      </c>
      <c r="NZ14" s="11" t="str">
        <f t="shared" si="120"/>
        <v/>
      </c>
      <c r="OA14" s="17"/>
      <c r="OB14" s="17"/>
      <c r="OC14" s="17"/>
      <c r="OD14" s="17"/>
      <c r="OE14" s="17"/>
      <c r="OF14" s="17"/>
      <c r="OG14" s="17"/>
      <c r="OH14" s="17"/>
      <c r="OI14" s="17"/>
      <c r="OJ14" s="17"/>
      <c r="OK14" s="17"/>
      <c r="OL14" s="17"/>
      <c r="OM14" s="17"/>
      <c r="ON14" s="17"/>
      <c r="OO14" s="17"/>
      <c r="OP14" s="17"/>
      <c r="OQ14" s="17"/>
      <c r="OR14" s="17"/>
      <c r="OS14" s="17"/>
      <c r="OT14" s="17"/>
      <c r="OU14" s="40" t="str">
        <f t="shared" si="121"/>
        <v/>
      </c>
      <c r="OV14" s="40" t="str">
        <f t="shared" si="122"/>
        <v/>
      </c>
      <c r="OW14" s="40" t="str">
        <f t="shared" si="123"/>
        <v/>
      </c>
      <c r="OX14" s="40" t="str">
        <f t="shared" si="124"/>
        <v/>
      </c>
      <c r="OY14" s="40" t="str">
        <f t="shared" si="125"/>
        <v/>
      </c>
      <c r="OZ14" s="40" t="str">
        <f t="shared" si="126"/>
        <v/>
      </c>
      <c r="PA14" s="40" t="str">
        <f t="shared" si="127"/>
        <v/>
      </c>
      <c r="PB14" s="40" t="str">
        <f t="shared" si="128"/>
        <v/>
      </c>
      <c r="PC14" s="18"/>
      <c r="PD14" s="18"/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8"/>
      <c r="PQ14" s="18"/>
      <c r="PR14" s="18"/>
      <c r="PS14" s="18"/>
      <c r="PT14" s="18"/>
      <c r="PU14" s="18"/>
      <c r="PV14" s="18"/>
      <c r="PW14" s="11" t="str">
        <f t="shared" si="129"/>
        <v/>
      </c>
      <c r="PX14" s="11" t="str">
        <f t="shared" si="130"/>
        <v/>
      </c>
      <c r="PY14" s="11" t="str">
        <f t="shared" si="131"/>
        <v/>
      </c>
      <c r="PZ14" s="11" t="str">
        <f t="shared" si="132"/>
        <v/>
      </c>
      <c r="QA14" s="11" t="str">
        <f t="shared" si="133"/>
        <v/>
      </c>
      <c r="QB14" s="11" t="str">
        <f t="shared" si="134"/>
        <v/>
      </c>
      <c r="QC14" s="11" t="str">
        <f t="shared" si="135"/>
        <v/>
      </c>
      <c r="QD14" s="11" t="str">
        <f t="shared" si="136"/>
        <v/>
      </c>
      <c r="QE14" s="22">
        <f t="shared" si="137"/>
        <v>17.899999999999999</v>
      </c>
      <c r="QF14" s="22">
        <f t="shared" si="138"/>
        <v>2.1</v>
      </c>
      <c r="QG14" s="22">
        <f t="shared" si="139"/>
        <v>0</v>
      </c>
      <c r="QH14" s="22">
        <f t="shared" si="140"/>
        <v>0</v>
      </c>
      <c r="QI14" s="22">
        <f t="shared" si="141"/>
        <v>18.649999999999999</v>
      </c>
      <c r="QJ14" s="22">
        <f t="shared" si="142"/>
        <v>3.05</v>
      </c>
      <c r="QK14" s="22">
        <f t="shared" si="143"/>
        <v>0.15</v>
      </c>
      <c r="QL14" s="22">
        <f t="shared" si="144"/>
        <v>0</v>
      </c>
      <c r="QM14" s="22">
        <f t="shared" si="145"/>
        <v>18.600000000000001</v>
      </c>
      <c r="QN14" s="22">
        <f t="shared" si="146"/>
        <v>3.25</v>
      </c>
      <c r="QO14" s="22">
        <f t="shared" si="147"/>
        <v>0</v>
      </c>
      <c r="QP14" s="22">
        <f t="shared" si="148"/>
        <v>0</v>
      </c>
      <c r="QQ14" s="22">
        <f t="shared" si="149"/>
        <v>18.799999999999997</v>
      </c>
      <c r="QR14" s="22">
        <f t="shared" si="150"/>
        <v>3.5</v>
      </c>
      <c r="QS14" s="22">
        <f t="shared" si="151"/>
        <v>0.15</v>
      </c>
      <c r="QT14" s="22">
        <f t="shared" si="152"/>
        <v>0</v>
      </c>
      <c r="QU14" s="22">
        <f t="shared" si="153"/>
        <v>18.850000000000001</v>
      </c>
      <c r="QV14" s="22">
        <f t="shared" si="154"/>
        <v>3.2</v>
      </c>
      <c r="QW14" s="22">
        <f t="shared" si="155"/>
        <v>0.4</v>
      </c>
      <c r="QX14" s="22">
        <f t="shared" si="156"/>
        <v>0</v>
      </c>
      <c r="QY14" s="27" t="s">
        <v>46</v>
      </c>
      <c r="QZ14" s="40">
        <f t="shared" si="157"/>
        <v>5.15</v>
      </c>
      <c r="RA14" s="40">
        <f t="shared" si="158"/>
        <v>41.55</v>
      </c>
      <c r="RB14" s="40">
        <f t="shared" si="159"/>
        <v>21.85</v>
      </c>
      <c r="RC14" s="40">
        <f t="shared" si="160"/>
        <v>8.4</v>
      </c>
      <c r="RD14" s="40">
        <f t="shared" si="161"/>
        <v>63.4</v>
      </c>
      <c r="RE14" s="40">
        <f t="shared" si="162"/>
        <v>6.7</v>
      </c>
      <c r="RF14" s="40">
        <f t="shared" si="163"/>
        <v>43.800000000000004</v>
      </c>
      <c r="RG14" s="40">
        <f t="shared" si="164"/>
        <v>85.35</v>
      </c>
    </row>
    <row r="15" spans="1:475" x14ac:dyDescent="0.2">
      <c r="A15" s="4" t="str">
        <f t="shared" si="0"/>
        <v/>
      </c>
      <c r="B15" s="5" t="s">
        <v>187</v>
      </c>
      <c r="C15" s="4" t="s">
        <v>5</v>
      </c>
      <c r="D15" s="4">
        <v>2005</v>
      </c>
      <c r="E15" s="9">
        <f t="shared" si="1"/>
        <v>150.20001071000431</v>
      </c>
      <c r="F15" s="3" t="str">
        <f t="shared" si="2"/>
        <v/>
      </c>
      <c r="G15" s="3" t="str">
        <f t="shared" si="3"/>
        <v/>
      </c>
      <c r="H15" s="36" t="str">
        <f t="shared" si="4"/>
        <v/>
      </c>
      <c r="I15" s="3" t="str">
        <f t="shared" si="5"/>
        <v/>
      </c>
      <c r="J15" s="8">
        <f>IF(COUNT(AQ15,BT15,CW15)&gt;0,LARGE((AQ15,BT15,CW15),1),0)</f>
        <v>43.099999999999987</v>
      </c>
      <c r="K15" s="8" t="str">
        <f t="shared" si="6"/>
        <v>2022 Nationals</v>
      </c>
      <c r="L15" s="8">
        <f>IF(COUNT(AQ15,BT15,CW15)&gt;1,LARGE((AQ15,BT15,CW15),2),0)</f>
        <v>41.6</v>
      </c>
      <c r="M15" s="8" t="str">
        <f t="shared" si="7"/>
        <v>2023 Elite Canada</v>
      </c>
      <c r="N15" s="8">
        <f>IF(COUNT(AR15,BU15,CX15)&gt;0,LARGE((AR15,BU15,CX15),1),0)</f>
        <v>22.4</v>
      </c>
      <c r="O15" s="8" t="str">
        <f t="shared" si="8"/>
        <v>2023 Elite Canada</v>
      </c>
      <c r="P15" s="8">
        <f t="shared" si="9"/>
        <v>43.099999999999994</v>
      </c>
      <c r="Q15" s="8" t="str">
        <f t="shared" si="10"/>
        <v>2022 Nationals</v>
      </c>
      <c r="R15" s="8" t="str">
        <f t="shared" si="11"/>
        <v/>
      </c>
      <c r="S15" s="11" t="str">
        <f t="shared" si="12"/>
        <v/>
      </c>
      <c r="T15" s="8" t="str">
        <f t="shared" si="13"/>
        <v/>
      </c>
      <c r="U15" s="19">
        <v>18</v>
      </c>
      <c r="V15" s="19">
        <v>4.4000000000000004</v>
      </c>
      <c r="W15" s="19">
        <v>0.2</v>
      </c>
      <c r="X15" s="19">
        <v>0</v>
      </c>
      <c r="Y15" s="19">
        <v>18</v>
      </c>
      <c r="Z15" s="19">
        <v>2.8</v>
      </c>
      <c r="AA15" s="19">
        <v>0.2</v>
      </c>
      <c r="AB15" s="19">
        <v>0.3</v>
      </c>
      <c r="AC15" s="19">
        <v>18.399999999999999</v>
      </c>
      <c r="AD15" s="19">
        <v>3</v>
      </c>
      <c r="AE15" s="19">
        <v>0.6</v>
      </c>
      <c r="AF15" s="19">
        <v>0</v>
      </c>
      <c r="AG15" s="19">
        <v>18</v>
      </c>
      <c r="AH15" s="19">
        <v>5.2</v>
      </c>
      <c r="AI15" s="19">
        <v>0.2</v>
      </c>
      <c r="AJ15" s="19">
        <v>0</v>
      </c>
      <c r="AK15" s="19">
        <v>17</v>
      </c>
      <c r="AL15" s="19">
        <v>2.8</v>
      </c>
      <c r="AM15" s="19">
        <v>0</v>
      </c>
      <c r="AN15" s="19">
        <v>0.3</v>
      </c>
      <c r="AO15" s="27"/>
      <c r="AP15" s="40">
        <f t="shared" si="14"/>
        <v>7.2</v>
      </c>
      <c r="AQ15" s="40">
        <f t="shared" si="15"/>
        <v>43.099999999999987</v>
      </c>
      <c r="AR15" s="40">
        <f t="shared" si="16"/>
        <v>20.799999999999997</v>
      </c>
      <c r="AS15" s="40">
        <f t="shared" si="17"/>
        <v>10.199999999999999</v>
      </c>
      <c r="AT15" s="40">
        <f t="shared" si="18"/>
        <v>63.899999999999984</v>
      </c>
      <c r="AU15" s="40">
        <f t="shared" si="19"/>
        <v>8</v>
      </c>
      <c r="AV15" s="40">
        <f t="shared" si="20"/>
        <v>43.099999999999994</v>
      </c>
      <c r="AW15" s="40">
        <f t="shared" si="21"/>
        <v>86.199999999999989</v>
      </c>
      <c r="AX15" s="18"/>
      <c r="AY15" s="18"/>
      <c r="AZ15" s="18"/>
      <c r="BA15" s="18"/>
      <c r="BB15" s="18"/>
      <c r="BC15" s="18"/>
      <c r="BD15" s="18"/>
      <c r="BE15" s="18"/>
      <c r="BF15" s="18"/>
      <c r="BG15" s="18"/>
      <c r="BH15" s="18"/>
      <c r="BI15" s="18"/>
      <c r="BJ15" s="18"/>
      <c r="BK15" s="18"/>
      <c r="BL15" s="18"/>
      <c r="BM15" s="18"/>
      <c r="BN15" s="18"/>
      <c r="BO15" s="18"/>
      <c r="BP15" s="18"/>
      <c r="BQ15" s="18"/>
      <c r="BR15" s="28"/>
      <c r="BS15" s="11" t="str">
        <f t="shared" si="22"/>
        <v/>
      </c>
      <c r="BT15" s="11" t="str">
        <f t="shared" si="23"/>
        <v/>
      </c>
      <c r="BU15" s="11" t="str">
        <f t="shared" si="24"/>
        <v/>
      </c>
      <c r="BV15" s="11" t="str">
        <f t="shared" si="25"/>
        <v/>
      </c>
      <c r="BW15" s="11" t="str">
        <f t="shared" si="26"/>
        <v/>
      </c>
      <c r="BX15" s="11" t="str">
        <f t="shared" si="27"/>
        <v/>
      </c>
      <c r="BY15" s="11" t="str">
        <f t="shared" si="28"/>
        <v/>
      </c>
      <c r="BZ15" s="11" t="str">
        <f t="shared" si="29"/>
        <v/>
      </c>
      <c r="CA15" s="19">
        <v>17</v>
      </c>
      <c r="CB15" s="19">
        <v>2.4</v>
      </c>
      <c r="CC15" s="19">
        <v>0</v>
      </c>
      <c r="CD15" s="19">
        <v>0</v>
      </c>
      <c r="CE15" s="19">
        <v>18.600000000000001</v>
      </c>
      <c r="CF15" s="19">
        <v>3.6</v>
      </c>
      <c r="CG15" s="19">
        <v>0</v>
      </c>
      <c r="CH15" s="19">
        <v>0</v>
      </c>
      <c r="CI15" s="19">
        <v>18.899999999999999</v>
      </c>
      <c r="CJ15" s="19">
        <v>3.5</v>
      </c>
      <c r="CK15" s="19">
        <v>0</v>
      </c>
      <c r="CL15" s="19">
        <v>0</v>
      </c>
      <c r="CM15" s="19">
        <v>18.2</v>
      </c>
      <c r="CN15" s="19">
        <v>2.7</v>
      </c>
      <c r="CO15" s="19">
        <v>0.3</v>
      </c>
      <c r="CP15" s="19">
        <v>0</v>
      </c>
      <c r="CQ15" s="19">
        <v>18.5</v>
      </c>
      <c r="CR15" s="19">
        <v>3.6</v>
      </c>
      <c r="CS15" s="19">
        <v>0</v>
      </c>
      <c r="CT15" s="19">
        <v>0</v>
      </c>
      <c r="CU15" s="27"/>
      <c r="CV15" s="40">
        <f t="shared" si="30"/>
        <v>6</v>
      </c>
      <c r="CW15" s="40">
        <f t="shared" si="31"/>
        <v>41.6</v>
      </c>
      <c r="CX15" s="40">
        <f t="shared" si="32"/>
        <v>22.4</v>
      </c>
      <c r="CY15" s="40">
        <f t="shared" si="33"/>
        <v>9.5</v>
      </c>
      <c r="CZ15" s="40">
        <f t="shared" si="34"/>
        <v>64</v>
      </c>
      <c r="DA15" s="40">
        <f t="shared" si="35"/>
        <v>6.3000000000000007</v>
      </c>
      <c r="DB15" s="40">
        <f t="shared" si="36"/>
        <v>42.7</v>
      </c>
      <c r="DC15" s="40">
        <f t="shared" si="37"/>
        <v>84.300000000000011</v>
      </c>
      <c r="DD15" s="50" t="str">
        <f t="shared" si="38"/>
        <v/>
      </c>
      <c r="DE15" s="50" t="str">
        <f t="shared" si="39"/>
        <v/>
      </c>
      <c r="DF15" s="50" t="str">
        <f t="shared" si="40"/>
        <v/>
      </c>
      <c r="DG15" s="17"/>
      <c r="DH15" s="17"/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17"/>
      <c r="DY15" s="17"/>
      <c r="DZ15" s="17"/>
      <c r="EA15" s="40" t="str">
        <f t="shared" si="41"/>
        <v/>
      </c>
      <c r="EB15" s="40" t="str">
        <f t="shared" si="42"/>
        <v/>
      </c>
      <c r="EC15" s="40" t="str">
        <f t="shared" si="43"/>
        <v/>
      </c>
      <c r="ED15" s="40" t="str">
        <f t="shared" si="44"/>
        <v/>
      </c>
      <c r="EE15" s="40" t="str">
        <f t="shared" si="45"/>
        <v/>
      </c>
      <c r="EF15" s="40" t="str">
        <f t="shared" si="46"/>
        <v/>
      </c>
      <c r="EG15" s="40" t="str">
        <f t="shared" si="47"/>
        <v/>
      </c>
      <c r="EH15" s="40" t="str">
        <f t="shared" si="48"/>
        <v/>
      </c>
      <c r="EI15" s="18"/>
      <c r="EJ15" s="18"/>
      <c r="EK15" s="18"/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8"/>
      <c r="EY15" s="18"/>
      <c r="EZ15" s="18"/>
      <c r="FA15" s="18"/>
      <c r="FB15" s="18"/>
      <c r="FC15" s="11" t="str">
        <f t="shared" si="49"/>
        <v/>
      </c>
      <c r="FD15" s="11" t="str">
        <f t="shared" si="50"/>
        <v/>
      </c>
      <c r="FE15" s="11" t="str">
        <f t="shared" si="51"/>
        <v/>
      </c>
      <c r="FF15" s="11" t="str">
        <f t="shared" si="52"/>
        <v/>
      </c>
      <c r="FG15" s="11" t="str">
        <f t="shared" si="53"/>
        <v/>
      </c>
      <c r="FH15" s="11" t="str">
        <f t="shared" si="54"/>
        <v/>
      </c>
      <c r="FI15" s="11" t="str">
        <f t="shared" si="55"/>
        <v/>
      </c>
      <c r="FJ15" s="11" t="str">
        <f t="shared" si="56"/>
        <v/>
      </c>
      <c r="FK15" s="17"/>
      <c r="FL15" s="17"/>
      <c r="FM15" s="17"/>
      <c r="FN15" s="17"/>
      <c r="FO15" s="17"/>
      <c r="FP15" s="17"/>
      <c r="FQ15" s="17"/>
      <c r="FR15" s="17"/>
      <c r="FS15" s="17"/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40" t="str">
        <f t="shared" si="57"/>
        <v/>
      </c>
      <c r="GF15" s="40" t="str">
        <f t="shared" si="58"/>
        <v/>
      </c>
      <c r="GG15" s="40" t="str">
        <f t="shared" si="59"/>
        <v/>
      </c>
      <c r="GH15" s="40" t="str">
        <f t="shared" si="60"/>
        <v/>
      </c>
      <c r="GI15" s="40" t="str">
        <f t="shared" si="61"/>
        <v/>
      </c>
      <c r="GJ15" s="40" t="str">
        <f t="shared" si="62"/>
        <v/>
      </c>
      <c r="GK15" s="40" t="str">
        <f t="shared" si="63"/>
        <v/>
      </c>
      <c r="GL15" s="40" t="str">
        <f t="shared" si="64"/>
        <v/>
      </c>
      <c r="GM15" s="18"/>
      <c r="GN15" s="18"/>
      <c r="GO15" s="18"/>
      <c r="GP15" s="18"/>
      <c r="GQ15" s="18"/>
      <c r="GR15" s="18"/>
      <c r="GS15" s="18"/>
      <c r="GT15" s="18"/>
      <c r="GU15" s="18"/>
      <c r="GV15" s="18"/>
      <c r="GW15" s="18"/>
      <c r="GX15" s="18"/>
      <c r="GY15" s="18"/>
      <c r="GZ15" s="18"/>
      <c r="HA15" s="18"/>
      <c r="HB15" s="18"/>
      <c r="HC15" s="18"/>
      <c r="HD15" s="18"/>
      <c r="HE15" s="18"/>
      <c r="HF15" s="18"/>
      <c r="HG15" s="11" t="str">
        <f t="shared" si="65"/>
        <v/>
      </c>
      <c r="HH15" s="11" t="str">
        <f t="shared" si="66"/>
        <v/>
      </c>
      <c r="HI15" s="11" t="str">
        <f t="shared" si="67"/>
        <v/>
      </c>
      <c r="HJ15" s="11" t="str">
        <f t="shared" si="68"/>
        <v/>
      </c>
      <c r="HK15" s="11" t="str">
        <f t="shared" si="69"/>
        <v/>
      </c>
      <c r="HL15" s="11" t="str">
        <f t="shared" si="70"/>
        <v/>
      </c>
      <c r="HM15" s="11" t="str">
        <f t="shared" si="71"/>
        <v/>
      </c>
      <c r="HN15" s="11" t="str">
        <f t="shared" si="72"/>
        <v/>
      </c>
      <c r="HO15" s="17"/>
      <c r="HP15" s="17"/>
      <c r="HQ15" s="17"/>
      <c r="HR15" s="17"/>
      <c r="HS15" s="17"/>
      <c r="HT15" s="17"/>
      <c r="HU15" s="17"/>
      <c r="HV15" s="17"/>
      <c r="HW15" s="17"/>
      <c r="HX15" s="17"/>
      <c r="HY15" s="17"/>
      <c r="HZ15" s="17"/>
      <c r="IA15" s="17"/>
      <c r="IB15" s="17"/>
      <c r="IC15" s="17"/>
      <c r="ID15" s="17"/>
      <c r="IE15" s="17"/>
      <c r="IF15" s="17"/>
      <c r="IG15" s="17"/>
      <c r="IH15" s="17"/>
      <c r="II15" s="40" t="str">
        <f t="shared" si="73"/>
        <v/>
      </c>
      <c r="IJ15" s="40" t="str">
        <f t="shared" si="74"/>
        <v/>
      </c>
      <c r="IK15" s="40" t="str">
        <f t="shared" si="75"/>
        <v/>
      </c>
      <c r="IL15" s="40" t="str">
        <f t="shared" si="76"/>
        <v/>
      </c>
      <c r="IM15" s="40" t="str">
        <f t="shared" si="77"/>
        <v/>
      </c>
      <c r="IN15" s="40" t="str">
        <f t="shared" si="78"/>
        <v/>
      </c>
      <c r="IO15" s="40" t="str">
        <f t="shared" si="79"/>
        <v/>
      </c>
      <c r="IP15" s="40" t="str">
        <f t="shared" si="80"/>
        <v/>
      </c>
      <c r="IQ15" s="18"/>
      <c r="IR15" s="18"/>
      <c r="IS15" s="18"/>
      <c r="IT15" s="18"/>
      <c r="IU15" s="18"/>
      <c r="IV15" s="18"/>
      <c r="IW15" s="18"/>
      <c r="IX15" s="18"/>
      <c r="IY15" s="18"/>
      <c r="IZ15" s="18"/>
      <c r="JA15" s="18"/>
      <c r="JB15" s="18"/>
      <c r="JC15" s="18"/>
      <c r="JD15" s="18"/>
      <c r="JE15" s="18"/>
      <c r="JF15" s="18"/>
      <c r="JG15" s="18"/>
      <c r="JH15" s="18"/>
      <c r="JI15" s="18"/>
      <c r="JJ15" s="18"/>
      <c r="JK15" s="11" t="str">
        <f t="shared" si="81"/>
        <v/>
      </c>
      <c r="JL15" s="11" t="str">
        <f t="shared" si="82"/>
        <v/>
      </c>
      <c r="JM15" s="11" t="str">
        <f t="shared" si="83"/>
        <v/>
      </c>
      <c r="JN15" s="11" t="str">
        <f t="shared" si="84"/>
        <v/>
      </c>
      <c r="JO15" s="11" t="str">
        <f t="shared" si="85"/>
        <v/>
      </c>
      <c r="JP15" s="11" t="str">
        <f t="shared" si="86"/>
        <v/>
      </c>
      <c r="JQ15" s="11" t="str">
        <f t="shared" si="87"/>
        <v/>
      </c>
      <c r="JR15" s="11" t="str">
        <f t="shared" si="88"/>
        <v/>
      </c>
      <c r="JS15" s="17"/>
      <c r="JT15" s="17"/>
      <c r="JU15" s="17"/>
      <c r="JV15" s="17"/>
      <c r="JW15" s="17"/>
      <c r="JX15" s="17"/>
      <c r="JY15" s="17"/>
      <c r="JZ15" s="17"/>
      <c r="KA15" s="17"/>
      <c r="KB15" s="17"/>
      <c r="KC15" s="17"/>
      <c r="KD15" s="17"/>
      <c r="KE15" s="17"/>
      <c r="KF15" s="17"/>
      <c r="KG15" s="17"/>
      <c r="KH15" s="17"/>
      <c r="KI15" s="17"/>
      <c r="KJ15" s="17"/>
      <c r="KK15" s="17"/>
      <c r="KL15" s="17"/>
      <c r="KM15" s="40" t="str">
        <f t="shared" si="89"/>
        <v/>
      </c>
      <c r="KN15" s="40" t="str">
        <f t="shared" si="90"/>
        <v/>
      </c>
      <c r="KO15" s="40" t="str">
        <f t="shared" si="91"/>
        <v/>
      </c>
      <c r="KP15" s="40" t="str">
        <f t="shared" si="92"/>
        <v/>
      </c>
      <c r="KQ15" s="40" t="str">
        <f t="shared" si="93"/>
        <v/>
      </c>
      <c r="KR15" s="40" t="str">
        <f t="shared" si="94"/>
        <v/>
      </c>
      <c r="KS15" s="40" t="str">
        <f t="shared" si="95"/>
        <v/>
      </c>
      <c r="KT15" s="40" t="str">
        <f t="shared" si="96"/>
        <v/>
      </c>
      <c r="KU15" s="18"/>
      <c r="KV15" s="18"/>
      <c r="KW15" s="18"/>
      <c r="KX15" s="18"/>
      <c r="KY15" s="18"/>
      <c r="KZ15" s="18"/>
      <c r="LA15" s="18"/>
      <c r="LB15" s="18"/>
      <c r="LC15" s="18"/>
      <c r="LD15" s="18"/>
      <c r="LE15" s="18"/>
      <c r="LF15" s="18"/>
      <c r="LG15" s="18"/>
      <c r="LH15" s="18"/>
      <c r="LI15" s="18"/>
      <c r="LJ15" s="18"/>
      <c r="LK15" s="18"/>
      <c r="LL15" s="18"/>
      <c r="LM15" s="18"/>
      <c r="LN15" s="18"/>
      <c r="LO15" s="11" t="str">
        <f t="shared" si="97"/>
        <v/>
      </c>
      <c r="LP15" s="11" t="str">
        <f t="shared" si="98"/>
        <v/>
      </c>
      <c r="LQ15" s="11" t="str">
        <f t="shared" si="99"/>
        <v/>
      </c>
      <c r="LR15" s="11" t="str">
        <f t="shared" si="100"/>
        <v/>
      </c>
      <c r="LS15" s="11" t="str">
        <f t="shared" si="101"/>
        <v/>
      </c>
      <c r="LT15" s="11" t="str">
        <f t="shared" si="102"/>
        <v/>
      </c>
      <c r="LU15" s="11" t="str">
        <f t="shared" si="103"/>
        <v/>
      </c>
      <c r="LV15" s="11" t="str">
        <f t="shared" si="104"/>
        <v/>
      </c>
      <c r="LW15" s="17"/>
      <c r="LX15" s="17"/>
      <c r="LY15" s="17"/>
      <c r="LZ15" s="17"/>
      <c r="MA15" s="17"/>
      <c r="MB15" s="17"/>
      <c r="MC15" s="17"/>
      <c r="MD15" s="17"/>
      <c r="ME15" s="17"/>
      <c r="MF15" s="17"/>
      <c r="MG15" s="17"/>
      <c r="MH15" s="17"/>
      <c r="MI15" s="17"/>
      <c r="MJ15" s="17"/>
      <c r="MK15" s="17"/>
      <c r="ML15" s="17"/>
      <c r="MM15" s="17"/>
      <c r="MN15" s="17"/>
      <c r="MO15" s="17"/>
      <c r="MP15" s="17"/>
      <c r="MQ15" s="40" t="str">
        <f t="shared" si="105"/>
        <v/>
      </c>
      <c r="MR15" s="40" t="str">
        <f t="shared" si="106"/>
        <v/>
      </c>
      <c r="MS15" s="40" t="str">
        <f t="shared" si="107"/>
        <v/>
      </c>
      <c r="MT15" s="40" t="str">
        <f t="shared" si="108"/>
        <v/>
      </c>
      <c r="MU15" s="40" t="str">
        <f t="shared" si="109"/>
        <v/>
      </c>
      <c r="MV15" s="40" t="str">
        <f t="shared" si="110"/>
        <v/>
      </c>
      <c r="MW15" s="40" t="str">
        <f t="shared" si="111"/>
        <v/>
      </c>
      <c r="MX15" s="40" t="str">
        <f t="shared" si="112"/>
        <v/>
      </c>
      <c r="MY15" s="18"/>
      <c r="MZ15" s="18"/>
      <c r="NA15" s="18"/>
      <c r="NB15" s="18"/>
      <c r="NC15" s="18"/>
      <c r="ND15" s="18"/>
      <c r="NE15" s="18"/>
      <c r="NF15" s="18"/>
      <c r="NG15" s="18"/>
      <c r="NH15" s="18"/>
      <c r="NI15" s="18"/>
      <c r="NJ15" s="18"/>
      <c r="NK15" s="18"/>
      <c r="NL15" s="18"/>
      <c r="NM15" s="18"/>
      <c r="NN15" s="18"/>
      <c r="NO15" s="18"/>
      <c r="NP15" s="18"/>
      <c r="NQ15" s="18"/>
      <c r="NR15" s="18"/>
      <c r="NS15" s="11" t="str">
        <f t="shared" si="113"/>
        <v/>
      </c>
      <c r="NT15" s="11" t="str">
        <f t="shared" si="114"/>
        <v/>
      </c>
      <c r="NU15" s="11" t="str">
        <f t="shared" si="115"/>
        <v/>
      </c>
      <c r="NV15" s="11" t="str">
        <f t="shared" si="116"/>
        <v/>
      </c>
      <c r="NW15" s="11" t="str">
        <f t="shared" si="117"/>
        <v/>
      </c>
      <c r="NX15" s="11" t="str">
        <f t="shared" si="118"/>
        <v/>
      </c>
      <c r="NY15" s="11" t="str">
        <f t="shared" si="119"/>
        <v/>
      </c>
      <c r="NZ15" s="11" t="str">
        <f t="shared" si="120"/>
        <v/>
      </c>
      <c r="OA15" s="17"/>
      <c r="OB15" s="17"/>
      <c r="OC15" s="17"/>
      <c r="OD15" s="17"/>
      <c r="OE15" s="17"/>
      <c r="OF15" s="17"/>
      <c r="OG15" s="17"/>
      <c r="OH15" s="17"/>
      <c r="OI15" s="17"/>
      <c r="OJ15" s="17"/>
      <c r="OK15" s="17"/>
      <c r="OL15" s="17"/>
      <c r="OM15" s="17"/>
      <c r="ON15" s="17"/>
      <c r="OO15" s="17"/>
      <c r="OP15" s="17"/>
      <c r="OQ15" s="17"/>
      <c r="OR15" s="17"/>
      <c r="OS15" s="17"/>
      <c r="OT15" s="17"/>
      <c r="OU15" s="40" t="str">
        <f t="shared" si="121"/>
        <v/>
      </c>
      <c r="OV15" s="40" t="str">
        <f t="shared" si="122"/>
        <v/>
      </c>
      <c r="OW15" s="40" t="str">
        <f t="shared" si="123"/>
        <v/>
      </c>
      <c r="OX15" s="40" t="str">
        <f t="shared" si="124"/>
        <v/>
      </c>
      <c r="OY15" s="40" t="str">
        <f t="shared" si="125"/>
        <v/>
      </c>
      <c r="OZ15" s="40" t="str">
        <f t="shared" si="126"/>
        <v/>
      </c>
      <c r="PA15" s="40" t="str">
        <f t="shared" si="127"/>
        <v/>
      </c>
      <c r="PB15" s="40" t="str">
        <f t="shared" si="128"/>
        <v/>
      </c>
      <c r="PC15" s="18"/>
      <c r="PD15" s="18"/>
      <c r="PE15" s="18"/>
      <c r="PF15" s="18"/>
      <c r="PG15" s="18"/>
      <c r="PH15" s="18"/>
      <c r="PI15" s="18"/>
      <c r="PJ15" s="18"/>
      <c r="PK15" s="18"/>
      <c r="PL15" s="18"/>
      <c r="PM15" s="18"/>
      <c r="PN15" s="18"/>
      <c r="PO15" s="18"/>
      <c r="PP15" s="18"/>
      <c r="PQ15" s="18"/>
      <c r="PR15" s="18"/>
      <c r="PS15" s="18"/>
      <c r="PT15" s="18"/>
      <c r="PU15" s="18"/>
      <c r="PV15" s="18"/>
      <c r="PW15" s="11" t="str">
        <f t="shared" si="129"/>
        <v/>
      </c>
      <c r="PX15" s="11" t="str">
        <f t="shared" si="130"/>
        <v/>
      </c>
      <c r="PY15" s="11" t="str">
        <f t="shared" si="131"/>
        <v/>
      </c>
      <c r="PZ15" s="11" t="str">
        <f t="shared" si="132"/>
        <v/>
      </c>
      <c r="QA15" s="11" t="str">
        <f t="shared" si="133"/>
        <v/>
      </c>
      <c r="QB15" s="11" t="str">
        <f t="shared" si="134"/>
        <v/>
      </c>
      <c r="QC15" s="11" t="str">
        <f t="shared" si="135"/>
        <v/>
      </c>
      <c r="QD15" s="11" t="str">
        <f t="shared" si="136"/>
        <v/>
      </c>
      <c r="QE15" s="22">
        <f t="shared" si="137"/>
        <v>8.5</v>
      </c>
      <c r="QF15" s="22">
        <f t="shared" si="138"/>
        <v>1.2</v>
      </c>
      <c r="QG15" s="22">
        <f t="shared" si="139"/>
        <v>0</v>
      </c>
      <c r="QH15" s="22">
        <f t="shared" si="140"/>
        <v>0</v>
      </c>
      <c r="QI15" s="22">
        <f t="shared" si="141"/>
        <v>9.3000000000000007</v>
      </c>
      <c r="QJ15" s="22">
        <f t="shared" si="142"/>
        <v>1.8</v>
      </c>
      <c r="QK15" s="22">
        <f t="shared" si="143"/>
        <v>0</v>
      </c>
      <c r="QL15" s="22">
        <f t="shared" si="144"/>
        <v>0</v>
      </c>
      <c r="QM15" s="22">
        <f t="shared" si="145"/>
        <v>9.4499999999999993</v>
      </c>
      <c r="QN15" s="22">
        <f t="shared" si="146"/>
        <v>1.75</v>
      </c>
      <c r="QO15" s="22">
        <f t="shared" si="147"/>
        <v>0</v>
      </c>
      <c r="QP15" s="22">
        <f t="shared" si="148"/>
        <v>0</v>
      </c>
      <c r="QQ15" s="22">
        <f t="shared" si="149"/>
        <v>9.1</v>
      </c>
      <c r="QR15" s="22">
        <f t="shared" si="150"/>
        <v>1.35</v>
      </c>
      <c r="QS15" s="22">
        <f t="shared" si="151"/>
        <v>0.15</v>
      </c>
      <c r="QT15" s="22">
        <f t="shared" si="152"/>
        <v>0</v>
      </c>
      <c r="QU15" s="22">
        <f t="shared" si="153"/>
        <v>9.25</v>
      </c>
      <c r="QV15" s="22">
        <f t="shared" si="154"/>
        <v>1.8</v>
      </c>
      <c r="QW15" s="22">
        <f t="shared" si="155"/>
        <v>0</v>
      </c>
      <c r="QX15" s="22">
        <f t="shared" si="156"/>
        <v>0</v>
      </c>
      <c r="QY15" s="27" t="s">
        <v>46</v>
      </c>
      <c r="QZ15" s="40">
        <f t="shared" si="157"/>
        <v>3</v>
      </c>
      <c r="RA15" s="40">
        <f t="shared" si="158"/>
        <v>20.8</v>
      </c>
      <c r="RB15" s="40">
        <f t="shared" si="159"/>
        <v>11.2</v>
      </c>
      <c r="RC15" s="40">
        <f t="shared" si="160"/>
        <v>4.75</v>
      </c>
      <c r="RD15" s="40">
        <f t="shared" si="161"/>
        <v>32</v>
      </c>
      <c r="RE15" s="40">
        <f t="shared" si="162"/>
        <v>3.1500000000000004</v>
      </c>
      <c r="RF15" s="40">
        <f t="shared" si="163"/>
        <v>21.35</v>
      </c>
      <c r="RG15" s="40">
        <f t="shared" si="164"/>
        <v>42.150000000000006</v>
      </c>
    </row>
    <row r="16" spans="1:475" x14ac:dyDescent="0.2">
      <c r="A16" s="4" t="str">
        <f t="shared" si="0"/>
        <v/>
      </c>
      <c r="B16" s="5" t="s">
        <v>162</v>
      </c>
      <c r="C16" s="4" t="s">
        <v>4</v>
      </c>
      <c r="D16" s="4">
        <v>2004</v>
      </c>
      <c r="E16" s="9">
        <f t="shared" si="1"/>
        <v>148.60001051000435</v>
      </c>
      <c r="F16" s="3" t="str">
        <f t="shared" si="2"/>
        <v/>
      </c>
      <c r="G16" s="3" t="str">
        <f t="shared" si="3"/>
        <v/>
      </c>
      <c r="H16" s="36" t="str">
        <f t="shared" si="4"/>
        <v/>
      </c>
      <c r="I16" s="3" t="str">
        <f t="shared" si="5"/>
        <v/>
      </c>
      <c r="J16" s="8">
        <f>IF(COUNT(AQ16,BT16,CW16)&gt;0,LARGE((AQ16,BT16,CW16),1),0)</f>
        <v>43.2</v>
      </c>
      <c r="K16" s="8" t="str">
        <f t="shared" si="6"/>
        <v>2022 Nationals</v>
      </c>
      <c r="L16" s="8">
        <f>IF(COUNT(AQ16,BT16,CW16)&gt;1,LARGE((AQ16,BT16,CW16),2),0)</f>
        <v>39.700000000000003</v>
      </c>
      <c r="M16" s="8" t="str">
        <f t="shared" si="7"/>
        <v>2023 Elite Canada</v>
      </c>
      <c r="N16" s="8">
        <f>IF(COUNT(AR16,BU16,CX16)&gt;0,LARGE((AR16,BU16,CX16),1),0)</f>
        <v>22.2</v>
      </c>
      <c r="O16" s="8" t="str">
        <f t="shared" si="8"/>
        <v>2022 Nationals</v>
      </c>
      <c r="P16" s="8">
        <f t="shared" si="9"/>
        <v>43.5</v>
      </c>
      <c r="Q16" s="8" t="str">
        <f t="shared" si="10"/>
        <v>2022 Nationals</v>
      </c>
      <c r="R16" s="8" t="str">
        <f t="shared" si="11"/>
        <v/>
      </c>
      <c r="S16" s="11" t="str">
        <f t="shared" si="12"/>
        <v/>
      </c>
      <c r="T16" s="8" t="str">
        <f t="shared" si="13"/>
        <v/>
      </c>
      <c r="U16" s="19">
        <v>18.600000000000001</v>
      </c>
      <c r="V16" s="19">
        <v>2.7</v>
      </c>
      <c r="W16" s="19">
        <v>0</v>
      </c>
      <c r="X16" s="19">
        <v>0</v>
      </c>
      <c r="Y16" s="19">
        <v>18.3</v>
      </c>
      <c r="Z16" s="19">
        <v>3.6</v>
      </c>
      <c r="AA16" s="19">
        <v>0</v>
      </c>
      <c r="AB16" s="19">
        <v>0</v>
      </c>
      <c r="AC16" s="19">
        <v>18.899999999999999</v>
      </c>
      <c r="AD16" s="19">
        <v>3.3</v>
      </c>
      <c r="AE16" s="19">
        <v>0</v>
      </c>
      <c r="AF16" s="19">
        <v>0</v>
      </c>
      <c r="AG16" s="19">
        <v>18.600000000000001</v>
      </c>
      <c r="AH16" s="19">
        <v>3.5</v>
      </c>
      <c r="AI16" s="19">
        <v>0</v>
      </c>
      <c r="AJ16" s="19">
        <v>0</v>
      </c>
      <c r="AK16" s="19">
        <v>18</v>
      </c>
      <c r="AL16" s="19">
        <v>3.6</v>
      </c>
      <c r="AM16" s="19">
        <v>0.2</v>
      </c>
      <c r="AN16" s="19">
        <v>0</v>
      </c>
      <c r="AO16" s="27"/>
      <c r="AP16" s="40">
        <f t="shared" si="14"/>
        <v>6.3000000000000007</v>
      </c>
      <c r="AQ16" s="40">
        <f t="shared" si="15"/>
        <v>43.2</v>
      </c>
      <c r="AR16" s="40">
        <f t="shared" si="16"/>
        <v>22.2</v>
      </c>
      <c r="AS16" s="40">
        <f t="shared" si="17"/>
        <v>9.6000000000000014</v>
      </c>
      <c r="AT16" s="40">
        <f t="shared" si="18"/>
        <v>65.400000000000006</v>
      </c>
      <c r="AU16" s="40">
        <f t="shared" si="19"/>
        <v>7.1</v>
      </c>
      <c r="AV16" s="40">
        <f t="shared" si="20"/>
        <v>43.5</v>
      </c>
      <c r="AW16" s="40">
        <f t="shared" si="21"/>
        <v>86.7</v>
      </c>
      <c r="AX16" s="18"/>
      <c r="AY16" s="18"/>
      <c r="AZ16" s="18"/>
      <c r="BA16" s="18"/>
      <c r="BB16" s="18"/>
      <c r="BC16" s="18"/>
      <c r="BD16" s="18"/>
      <c r="BE16" s="18"/>
      <c r="BF16" s="18"/>
      <c r="BG16" s="18"/>
      <c r="BH16" s="18"/>
      <c r="BI16" s="18"/>
      <c r="BJ16" s="18"/>
      <c r="BK16" s="18"/>
      <c r="BL16" s="18"/>
      <c r="BM16" s="18"/>
      <c r="BN16" s="18"/>
      <c r="BO16" s="18"/>
      <c r="BP16" s="18"/>
      <c r="BQ16" s="18"/>
      <c r="BR16" s="28"/>
      <c r="BS16" s="11" t="str">
        <f t="shared" si="22"/>
        <v/>
      </c>
      <c r="BT16" s="11" t="str">
        <f t="shared" si="23"/>
        <v/>
      </c>
      <c r="BU16" s="11" t="str">
        <f t="shared" si="24"/>
        <v/>
      </c>
      <c r="BV16" s="11" t="str">
        <f t="shared" si="25"/>
        <v/>
      </c>
      <c r="BW16" s="11" t="str">
        <f t="shared" si="26"/>
        <v/>
      </c>
      <c r="BX16" s="11" t="str">
        <f t="shared" si="27"/>
        <v/>
      </c>
      <c r="BY16" s="11" t="str">
        <f t="shared" si="28"/>
        <v/>
      </c>
      <c r="BZ16" s="11" t="str">
        <f t="shared" si="29"/>
        <v/>
      </c>
      <c r="CA16" s="19">
        <v>18.7</v>
      </c>
      <c r="CB16" s="19">
        <v>2.7</v>
      </c>
      <c r="CC16" s="19">
        <v>0.3</v>
      </c>
      <c r="CD16" s="19">
        <v>0</v>
      </c>
      <c r="CE16" s="19">
        <v>17.399999999999999</v>
      </c>
      <c r="CF16" s="19">
        <v>1.2</v>
      </c>
      <c r="CG16" s="19">
        <v>0</v>
      </c>
      <c r="CH16" s="19">
        <v>0</v>
      </c>
      <c r="CI16" s="19">
        <v>18.399999999999999</v>
      </c>
      <c r="CJ16" s="19">
        <v>3.3</v>
      </c>
      <c r="CK16" s="19">
        <v>0</v>
      </c>
      <c r="CL16" s="19">
        <v>0</v>
      </c>
      <c r="CM16" s="19">
        <v>18.600000000000001</v>
      </c>
      <c r="CN16" s="19">
        <v>2.7</v>
      </c>
      <c r="CO16" s="19">
        <v>0.3</v>
      </c>
      <c r="CP16" s="19">
        <v>0</v>
      </c>
      <c r="CQ16" s="19">
        <v>16.8</v>
      </c>
      <c r="CR16" s="19">
        <v>3.6</v>
      </c>
      <c r="CS16" s="19">
        <v>0.2</v>
      </c>
      <c r="CT16" s="19">
        <v>0</v>
      </c>
      <c r="CU16" s="27"/>
      <c r="CV16" s="40">
        <f t="shared" si="30"/>
        <v>3.9000000000000004</v>
      </c>
      <c r="CW16" s="40">
        <f t="shared" si="31"/>
        <v>39.700000000000003</v>
      </c>
      <c r="CX16" s="40">
        <f t="shared" si="32"/>
        <v>21.7</v>
      </c>
      <c r="CY16" s="40">
        <f t="shared" si="33"/>
        <v>7.2</v>
      </c>
      <c r="CZ16" s="40">
        <f t="shared" si="34"/>
        <v>61.400000000000006</v>
      </c>
      <c r="DA16" s="40">
        <f t="shared" si="35"/>
        <v>6.3000000000000007</v>
      </c>
      <c r="DB16" s="40">
        <f t="shared" si="36"/>
        <v>41.2</v>
      </c>
      <c r="DC16" s="40">
        <f t="shared" si="37"/>
        <v>80.900000000000006</v>
      </c>
      <c r="DD16" s="50" t="str">
        <f t="shared" si="38"/>
        <v/>
      </c>
      <c r="DE16" s="50" t="str">
        <f t="shared" si="39"/>
        <v/>
      </c>
      <c r="DF16" s="50" t="str">
        <f t="shared" si="40"/>
        <v/>
      </c>
      <c r="DG16" s="17"/>
      <c r="DH16" s="17"/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17"/>
      <c r="DY16" s="17"/>
      <c r="DZ16" s="17"/>
      <c r="EA16" s="40" t="str">
        <f t="shared" si="41"/>
        <v/>
      </c>
      <c r="EB16" s="40" t="str">
        <f t="shared" si="42"/>
        <v/>
      </c>
      <c r="EC16" s="40" t="str">
        <f t="shared" si="43"/>
        <v/>
      </c>
      <c r="ED16" s="40" t="str">
        <f t="shared" si="44"/>
        <v/>
      </c>
      <c r="EE16" s="40" t="str">
        <f t="shared" si="45"/>
        <v/>
      </c>
      <c r="EF16" s="40" t="str">
        <f t="shared" si="46"/>
        <v/>
      </c>
      <c r="EG16" s="40" t="str">
        <f t="shared" si="47"/>
        <v/>
      </c>
      <c r="EH16" s="40" t="str">
        <f t="shared" si="48"/>
        <v/>
      </c>
      <c r="EI16" s="18"/>
      <c r="EJ16" s="18"/>
      <c r="EK16" s="18"/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8"/>
      <c r="EY16" s="18"/>
      <c r="EZ16" s="18"/>
      <c r="FA16" s="18"/>
      <c r="FB16" s="18"/>
      <c r="FC16" s="11" t="str">
        <f t="shared" si="49"/>
        <v/>
      </c>
      <c r="FD16" s="11" t="str">
        <f t="shared" si="50"/>
        <v/>
      </c>
      <c r="FE16" s="11" t="str">
        <f t="shared" si="51"/>
        <v/>
      </c>
      <c r="FF16" s="11" t="str">
        <f t="shared" si="52"/>
        <v/>
      </c>
      <c r="FG16" s="11" t="str">
        <f t="shared" si="53"/>
        <v/>
      </c>
      <c r="FH16" s="11" t="str">
        <f t="shared" si="54"/>
        <v/>
      </c>
      <c r="FI16" s="11" t="str">
        <f t="shared" si="55"/>
        <v/>
      </c>
      <c r="FJ16" s="11" t="str">
        <f t="shared" si="56"/>
        <v/>
      </c>
      <c r="FK16" s="17"/>
      <c r="FL16" s="17"/>
      <c r="FM16" s="17"/>
      <c r="FN16" s="17"/>
      <c r="FO16" s="17"/>
      <c r="FP16" s="17"/>
      <c r="FQ16" s="17"/>
      <c r="FR16" s="17"/>
      <c r="FS16" s="17"/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17"/>
      <c r="GE16" s="40" t="str">
        <f t="shared" si="57"/>
        <v/>
      </c>
      <c r="GF16" s="40" t="str">
        <f t="shared" si="58"/>
        <v/>
      </c>
      <c r="GG16" s="40" t="str">
        <f t="shared" si="59"/>
        <v/>
      </c>
      <c r="GH16" s="40" t="str">
        <f t="shared" si="60"/>
        <v/>
      </c>
      <c r="GI16" s="40" t="str">
        <f t="shared" si="61"/>
        <v/>
      </c>
      <c r="GJ16" s="40" t="str">
        <f t="shared" si="62"/>
        <v/>
      </c>
      <c r="GK16" s="40" t="str">
        <f t="shared" si="63"/>
        <v/>
      </c>
      <c r="GL16" s="40" t="str">
        <f t="shared" si="64"/>
        <v/>
      </c>
      <c r="GM16" s="18"/>
      <c r="GN16" s="18"/>
      <c r="GO16" s="18"/>
      <c r="GP16" s="18"/>
      <c r="GQ16" s="18"/>
      <c r="GR16" s="18"/>
      <c r="GS16" s="18"/>
      <c r="GT16" s="18"/>
      <c r="GU16" s="18"/>
      <c r="GV16" s="18"/>
      <c r="GW16" s="18"/>
      <c r="GX16" s="18"/>
      <c r="GY16" s="18"/>
      <c r="GZ16" s="18"/>
      <c r="HA16" s="18"/>
      <c r="HB16" s="18"/>
      <c r="HC16" s="18"/>
      <c r="HD16" s="18"/>
      <c r="HE16" s="18"/>
      <c r="HF16" s="18"/>
      <c r="HG16" s="11" t="str">
        <f t="shared" si="65"/>
        <v/>
      </c>
      <c r="HH16" s="11" t="str">
        <f t="shared" si="66"/>
        <v/>
      </c>
      <c r="HI16" s="11" t="str">
        <f t="shared" si="67"/>
        <v/>
      </c>
      <c r="HJ16" s="11" t="str">
        <f t="shared" si="68"/>
        <v/>
      </c>
      <c r="HK16" s="11" t="str">
        <f t="shared" si="69"/>
        <v/>
      </c>
      <c r="HL16" s="11" t="str">
        <f t="shared" si="70"/>
        <v/>
      </c>
      <c r="HM16" s="11" t="str">
        <f t="shared" si="71"/>
        <v/>
      </c>
      <c r="HN16" s="11" t="str">
        <f t="shared" si="72"/>
        <v/>
      </c>
      <c r="HO16" s="17"/>
      <c r="HP16" s="17"/>
      <c r="HQ16" s="17"/>
      <c r="HR16" s="17"/>
      <c r="HS16" s="17"/>
      <c r="HT16" s="17"/>
      <c r="HU16" s="17"/>
      <c r="HV16" s="17"/>
      <c r="HW16" s="17"/>
      <c r="HX16" s="17"/>
      <c r="HY16" s="17"/>
      <c r="HZ16" s="17"/>
      <c r="IA16" s="17"/>
      <c r="IB16" s="17"/>
      <c r="IC16" s="17"/>
      <c r="ID16" s="17"/>
      <c r="IE16" s="17"/>
      <c r="IF16" s="17"/>
      <c r="IG16" s="17"/>
      <c r="IH16" s="17"/>
      <c r="II16" s="40" t="str">
        <f t="shared" si="73"/>
        <v/>
      </c>
      <c r="IJ16" s="40" t="str">
        <f t="shared" si="74"/>
        <v/>
      </c>
      <c r="IK16" s="40" t="str">
        <f t="shared" si="75"/>
        <v/>
      </c>
      <c r="IL16" s="40" t="str">
        <f t="shared" si="76"/>
        <v/>
      </c>
      <c r="IM16" s="40" t="str">
        <f t="shared" si="77"/>
        <v/>
      </c>
      <c r="IN16" s="40" t="str">
        <f t="shared" si="78"/>
        <v/>
      </c>
      <c r="IO16" s="40" t="str">
        <f t="shared" si="79"/>
        <v/>
      </c>
      <c r="IP16" s="40" t="str">
        <f t="shared" si="80"/>
        <v/>
      </c>
      <c r="IQ16" s="18"/>
      <c r="IR16" s="18"/>
      <c r="IS16" s="18"/>
      <c r="IT16" s="18"/>
      <c r="IU16" s="18"/>
      <c r="IV16" s="18"/>
      <c r="IW16" s="18"/>
      <c r="IX16" s="18"/>
      <c r="IY16" s="18"/>
      <c r="IZ16" s="18"/>
      <c r="JA16" s="18"/>
      <c r="JB16" s="18"/>
      <c r="JC16" s="18"/>
      <c r="JD16" s="18"/>
      <c r="JE16" s="18"/>
      <c r="JF16" s="18"/>
      <c r="JG16" s="18"/>
      <c r="JH16" s="18"/>
      <c r="JI16" s="18"/>
      <c r="JJ16" s="18"/>
      <c r="JK16" s="11" t="str">
        <f t="shared" si="81"/>
        <v/>
      </c>
      <c r="JL16" s="11" t="str">
        <f t="shared" si="82"/>
        <v/>
      </c>
      <c r="JM16" s="11" t="str">
        <f t="shared" si="83"/>
        <v/>
      </c>
      <c r="JN16" s="11" t="str">
        <f t="shared" si="84"/>
        <v/>
      </c>
      <c r="JO16" s="11" t="str">
        <f t="shared" si="85"/>
        <v/>
      </c>
      <c r="JP16" s="11" t="str">
        <f t="shared" si="86"/>
        <v/>
      </c>
      <c r="JQ16" s="11" t="str">
        <f t="shared" si="87"/>
        <v/>
      </c>
      <c r="JR16" s="11" t="str">
        <f t="shared" si="88"/>
        <v/>
      </c>
      <c r="JS16" s="17"/>
      <c r="JT16" s="17"/>
      <c r="JU16" s="17"/>
      <c r="JV16" s="17"/>
      <c r="JW16" s="17"/>
      <c r="JX16" s="17"/>
      <c r="JY16" s="17"/>
      <c r="JZ16" s="17"/>
      <c r="KA16" s="17"/>
      <c r="KB16" s="17"/>
      <c r="KC16" s="17"/>
      <c r="KD16" s="17"/>
      <c r="KE16" s="17"/>
      <c r="KF16" s="17"/>
      <c r="KG16" s="17"/>
      <c r="KH16" s="17"/>
      <c r="KI16" s="17"/>
      <c r="KJ16" s="17"/>
      <c r="KK16" s="17"/>
      <c r="KL16" s="17"/>
      <c r="KM16" s="40" t="str">
        <f t="shared" si="89"/>
        <v/>
      </c>
      <c r="KN16" s="40" t="str">
        <f t="shared" si="90"/>
        <v/>
      </c>
      <c r="KO16" s="40" t="str">
        <f t="shared" si="91"/>
        <v/>
      </c>
      <c r="KP16" s="40" t="str">
        <f t="shared" si="92"/>
        <v/>
      </c>
      <c r="KQ16" s="40" t="str">
        <f t="shared" si="93"/>
        <v/>
      </c>
      <c r="KR16" s="40" t="str">
        <f t="shared" si="94"/>
        <v/>
      </c>
      <c r="KS16" s="40" t="str">
        <f t="shared" si="95"/>
        <v/>
      </c>
      <c r="KT16" s="40" t="str">
        <f t="shared" si="96"/>
        <v/>
      </c>
      <c r="KU16" s="18"/>
      <c r="KV16" s="18"/>
      <c r="KW16" s="18"/>
      <c r="KX16" s="18"/>
      <c r="KY16" s="18"/>
      <c r="KZ16" s="18"/>
      <c r="LA16" s="18"/>
      <c r="LB16" s="18"/>
      <c r="LC16" s="18"/>
      <c r="LD16" s="18"/>
      <c r="LE16" s="18"/>
      <c r="LF16" s="18"/>
      <c r="LG16" s="18"/>
      <c r="LH16" s="18"/>
      <c r="LI16" s="18"/>
      <c r="LJ16" s="18"/>
      <c r="LK16" s="18"/>
      <c r="LL16" s="18"/>
      <c r="LM16" s="18"/>
      <c r="LN16" s="18"/>
      <c r="LO16" s="11" t="str">
        <f t="shared" si="97"/>
        <v/>
      </c>
      <c r="LP16" s="11" t="str">
        <f t="shared" si="98"/>
        <v/>
      </c>
      <c r="LQ16" s="11" t="str">
        <f t="shared" si="99"/>
        <v/>
      </c>
      <c r="LR16" s="11" t="str">
        <f t="shared" si="100"/>
        <v/>
      </c>
      <c r="LS16" s="11" t="str">
        <f t="shared" si="101"/>
        <v/>
      </c>
      <c r="LT16" s="11" t="str">
        <f t="shared" si="102"/>
        <v/>
      </c>
      <c r="LU16" s="11" t="str">
        <f t="shared" si="103"/>
        <v/>
      </c>
      <c r="LV16" s="11" t="str">
        <f t="shared" si="104"/>
        <v/>
      </c>
      <c r="LW16" s="17"/>
      <c r="LX16" s="17"/>
      <c r="LY16" s="17"/>
      <c r="LZ16" s="17"/>
      <c r="MA16" s="17"/>
      <c r="MB16" s="17"/>
      <c r="MC16" s="17"/>
      <c r="MD16" s="17"/>
      <c r="ME16" s="17"/>
      <c r="MF16" s="17"/>
      <c r="MG16" s="17"/>
      <c r="MH16" s="17"/>
      <c r="MI16" s="17"/>
      <c r="MJ16" s="17"/>
      <c r="MK16" s="17"/>
      <c r="ML16" s="17"/>
      <c r="MM16" s="17"/>
      <c r="MN16" s="17"/>
      <c r="MO16" s="17"/>
      <c r="MP16" s="17"/>
      <c r="MQ16" s="40" t="str">
        <f t="shared" si="105"/>
        <v/>
      </c>
      <c r="MR16" s="40" t="str">
        <f t="shared" si="106"/>
        <v/>
      </c>
      <c r="MS16" s="40" t="str">
        <f t="shared" si="107"/>
        <v/>
      </c>
      <c r="MT16" s="40" t="str">
        <f t="shared" si="108"/>
        <v/>
      </c>
      <c r="MU16" s="40" t="str">
        <f t="shared" si="109"/>
        <v/>
      </c>
      <c r="MV16" s="40" t="str">
        <f t="shared" si="110"/>
        <v/>
      </c>
      <c r="MW16" s="40" t="str">
        <f t="shared" si="111"/>
        <v/>
      </c>
      <c r="MX16" s="40" t="str">
        <f t="shared" si="112"/>
        <v/>
      </c>
      <c r="MY16" s="18"/>
      <c r="MZ16" s="18"/>
      <c r="NA16" s="18"/>
      <c r="NB16" s="18"/>
      <c r="NC16" s="18"/>
      <c r="ND16" s="18"/>
      <c r="NE16" s="18"/>
      <c r="NF16" s="18"/>
      <c r="NG16" s="18"/>
      <c r="NH16" s="18"/>
      <c r="NI16" s="18"/>
      <c r="NJ16" s="18"/>
      <c r="NK16" s="18"/>
      <c r="NL16" s="18"/>
      <c r="NM16" s="18"/>
      <c r="NN16" s="18"/>
      <c r="NO16" s="18"/>
      <c r="NP16" s="18"/>
      <c r="NQ16" s="18"/>
      <c r="NR16" s="18"/>
      <c r="NS16" s="11" t="str">
        <f t="shared" si="113"/>
        <v/>
      </c>
      <c r="NT16" s="11" t="str">
        <f t="shared" si="114"/>
        <v/>
      </c>
      <c r="NU16" s="11" t="str">
        <f t="shared" si="115"/>
        <v/>
      </c>
      <c r="NV16" s="11" t="str">
        <f t="shared" si="116"/>
        <v/>
      </c>
      <c r="NW16" s="11" t="str">
        <f t="shared" si="117"/>
        <v/>
      </c>
      <c r="NX16" s="11" t="str">
        <f t="shared" si="118"/>
        <v/>
      </c>
      <c r="NY16" s="11" t="str">
        <f t="shared" si="119"/>
        <v/>
      </c>
      <c r="NZ16" s="11" t="str">
        <f t="shared" si="120"/>
        <v/>
      </c>
      <c r="OA16" s="17"/>
      <c r="OB16" s="17"/>
      <c r="OC16" s="17"/>
      <c r="OD16" s="17"/>
      <c r="OE16" s="17"/>
      <c r="OF16" s="17"/>
      <c r="OG16" s="17"/>
      <c r="OH16" s="17"/>
      <c r="OI16" s="17"/>
      <c r="OJ16" s="17"/>
      <c r="OK16" s="17"/>
      <c r="OL16" s="17"/>
      <c r="OM16" s="17"/>
      <c r="ON16" s="17"/>
      <c r="OO16" s="17"/>
      <c r="OP16" s="17"/>
      <c r="OQ16" s="17"/>
      <c r="OR16" s="17"/>
      <c r="OS16" s="17"/>
      <c r="OT16" s="17"/>
      <c r="OU16" s="40" t="str">
        <f t="shared" si="121"/>
        <v/>
      </c>
      <c r="OV16" s="40" t="str">
        <f t="shared" si="122"/>
        <v/>
      </c>
      <c r="OW16" s="40" t="str">
        <f t="shared" si="123"/>
        <v/>
      </c>
      <c r="OX16" s="40" t="str">
        <f t="shared" si="124"/>
        <v/>
      </c>
      <c r="OY16" s="40" t="str">
        <f t="shared" si="125"/>
        <v/>
      </c>
      <c r="OZ16" s="40" t="str">
        <f t="shared" si="126"/>
        <v/>
      </c>
      <c r="PA16" s="40" t="str">
        <f t="shared" si="127"/>
        <v/>
      </c>
      <c r="PB16" s="40" t="str">
        <f t="shared" si="128"/>
        <v/>
      </c>
      <c r="PC16" s="18"/>
      <c r="PD16" s="18"/>
      <c r="PE16" s="18"/>
      <c r="PF16" s="18"/>
      <c r="PG16" s="18"/>
      <c r="PH16" s="18"/>
      <c r="PI16" s="18"/>
      <c r="PJ16" s="18"/>
      <c r="PK16" s="18"/>
      <c r="PL16" s="18"/>
      <c r="PM16" s="18"/>
      <c r="PN16" s="18"/>
      <c r="PO16" s="18"/>
      <c r="PP16" s="18"/>
      <c r="PQ16" s="18"/>
      <c r="PR16" s="18"/>
      <c r="PS16" s="18"/>
      <c r="PT16" s="18"/>
      <c r="PU16" s="18"/>
      <c r="PV16" s="18"/>
      <c r="PW16" s="11" t="str">
        <f t="shared" si="129"/>
        <v/>
      </c>
      <c r="PX16" s="11" t="str">
        <f t="shared" si="130"/>
        <v/>
      </c>
      <c r="PY16" s="11" t="str">
        <f t="shared" si="131"/>
        <v/>
      </c>
      <c r="PZ16" s="11" t="str">
        <f t="shared" si="132"/>
        <v/>
      </c>
      <c r="QA16" s="11" t="str">
        <f t="shared" si="133"/>
        <v/>
      </c>
      <c r="QB16" s="11" t="str">
        <f t="shared" si="134"/>
        <v/>
      </c>
      <c r="QC16" s="11" t="str">
        <f t="shared" si="135"/>
        <v/>
      </c>
      <c r="QD16" s="11" t="str">
        <f t="shared" si="136"/>
        <v/>
      </c>
      <c r="QE16" s="22">
        <f t="shared" si="137"/>
        <v>9.35</v>
      </c>
      <c r="QF16" s="22">
        <f t="shared" si="138"/>
        <v>1.35</v>
      </c>
      <c r="QG16" s="22">
        <f t="shared" si="139"/>
        <v>0.15</v>
      </c>
      <c r="QH16" s="22">
        <f t="shared" si="140"/>
        <v>0</v>
      </c>
      <c r="QI16" s="22">
        <f t="shared" si="141"/>
        <v>8.6999999999999993</v>
      </c>
      <c r="QJ16" s="22">
        <f t="shared" si="142"/>
        <v>0.6</v>
      </c>
      <c r="QK16" s="22">
        <f t="shared" si="143"/>
        <v>0</v>
      </c>
      <c r="QL16" s="22">
        <f t="shared" si="144"/>
        <v>0</v>
      </c>
      <c r="QM16" s="22">
        <f t="shared" si="145"/>
        <v>9.1999999999999993</v>
      </c>
      <c r="QN16" s="22">
        <f t="shared" si="146"/>
        <v>1.65</v>
      </c>
      <c r="QO16" s="22">
        <f t="shared" si="147"/>
        <v>0</v>
      </c>
      <c r="QP16" s="22">
        <f t="shared" si="148"/>
        <v>0</v>
      </c>
      <c r="QQ16" s="22">
        <f t="shared" si="149"/>
        <v>9.3000000000000007</v>
      </c>
      <c r="QR16" s="22">
        <f t="shared" si="150"/>
        <v>1.35</v>
      </c>
      <c r="QS16" s="22">
        <f t="shared" si="151"/>
        <v>0.15</v>
      </c>
      <c r="QT16" s="22">
        <f t="shared" si="152"/>
        <v>0</v>
      </c>
      <c r="QU16" s="22">
        <f t="shared" si="153"/>
        <v>8.4</v>
      </c>
      <c r="QV16" s="22">
        <f t="shared" si="154"/>
        <v>1.8</v>
      </c>
      <c r="QW16" s="22">
        <f t="shared" si="155"/>
        <v>0.1</v>
      </c>
      <c r="QX16" s="22">
        <f t="shared" si="156"/>
        <v>0</v>
      </c>
      <c r="QY16" s="27" t="s">
        <v>46</v>
      </c>
      <c r="QZ16" s="40">
        <f t="shared" si="157"/>
        <v>1.9500000000000002</v>
      </c>
      <c r="RA16" s="40">
        <f t="shared" si="158"/>
        <v>19.850000000000001</v>
      </c>
      <c r="RB16" s="40">
        <f t="shared" si="159"/>
        <v>10.85</v>
      </c>
      <c r="RC16" s="40">
        <f t="shared" si="160"/>
        <v>3.6</v>
      </c>
      <c r="RD16" s="40">
        <f t="shared" si="161"/>
        <v>30.700000000000003</v>
      </c>
      <c r="RE16" s="40">
        <f t="shared" si="162"/>
        <v>3.1500000000000004</v>
      </c>
      <c r="RF16" s="40">
        <f t="shared" si="163"/>
        <v>20.6</v>
      </c>
      <c r="RG16" s="40">
        <f t="shared" si="164"/>
        <v>40.450000000000003</v>
      </c>
    </row>
    <row r="17" spans="1:475" x14ac:dyDescent="0.2">
      <c r="A17" s="4" t="str">
        <f t="shared" si="0"/>
        <v/>
      </c>
      <c r="B17" s="5" t="s">
        <v>189</v>
      </c>
      <c r="C17" s="4" t="s">
        <v>5</v>
      </c>
      <c r="D17" s="4">
        <v>2004</v>
      </c>
      <c r="E17" s="9">
        <f t="shared" si="1"/>
        <v>145.90001040000431</v>
      </c>
      <c r="F17" s="3" t="str">
        <f t="shared" si="2"/>
        <v/>
      </c>
      <c r="G17" s="3" t="str">
        <f t="shared" si="3"/>
        <v/>
      </c>
      <c r="H17" s="36" t="str">
        <f t="shared" si="4"/>
        <v/>
      </c>
      <c r="I17" s="3" t="str">
        <f t="shared" si="5"/>
        <v/>
      </c>
      <c r="J17" s="8">
        <f>IF(COUNT(AQ17,BT17,CW17)&gt;0,LARGE((AQ17,BT17,CW17),1),0)</f>
        <v>42.8</v>
      </c>
      <c r="K17" s="8" t="str">
        <f t="shared" si="6"/>
        <v>2022 Nationals</v>
      </c>
      <c r="L17" s="8">
        <f>IF(COUNT(AQ17,BT17,CW17)&gt;1,LARGE((AQ17,BT17,CW17),2),0)</f>
        <v>39.400000000000006</v>
      </c>
      <c r="M17" s="8" t="str">
        <f t="shared" si="7"/>
        <v>2023 Elite Canada</v>
      </c>
      <c r="N17" s="8">
        <f>IF(COUNT(AR17,BU17,CX17)&gt;0,LARGE((AR17,BU17,CX17),1),0)</f>
        <v>21.8</v>
      </c>
      <c r="O17" s="8" t="str">
        <f t="shared" si="8"/>
        <v>2022 Nationals</v>
      </c>
      <c r="P17" s="8">
        <f t="shared" si="9"/>
        <v>41.9</v>
      </c>
      <c r="Q17" s="8" t="str">
        <f t="shared" si="10"/>
        <v>2022 Nationals</v>
      </c>
      <c r="R17" s="8" t="str">
        <f t="shared" si="11"/>
        <v/>
      </c>
      <c r="S17" s="11" t="str">
        <f t="shared" si="12"/>
        <v/>
      </c>
      <c r="T17" s="8" t="str">
        <f t="shared" si="13"/>
        <v/>
      </c>
      <c r="U17" s="19">
        <v>18.3</v>
      </c>
      <c r="V17" s="19">
        <v>3.5</v>
      </c>
      <c r="W17" s="19">
        <v>0.2</v>
      </c>
      <c r="X17" s="19">
        <v>0</v>
      </c>
      <c r="Y17" s="19">
        <v>18.2</v>
      </c>
      <c r="Z17" s="19">
        <v>3.6</v>
      </c>
      <c r="AA17" s="19">
        <v>0.6</v>
      </c>
      <c r="AB17" s="19">
        <v>0</v>
      </c>
      <c r="AC17" s="19">
        <v>18.5</v>
      </c>
      <c r="AD17" s="19">
        <v>3.3</v>
      </c>
      <c r="AE17" s="19">
        <v>0</v>
      </c>
      <c r="AF17" s="19">
        <v>0</v>
      </c>
      <c r="AG17" s="19">
        <v>18</v>
      </c>
      <c r="AH17" s="19">
        <v>2.7</v>
      </c>
      <c r="AI17" s="19">
        <v>0.5</v>
      </c>
      <c r="AJ17" s="19">
        <v>0</v>
      </c>
      <c r="AK17" s="19">
        <v>18.100000000000001</v>
      </c>
      <c r="AL17" s="19">
        <v>3.6</v>
      </c>
      <c r="AM17" s="19">
        <v>0</v>
      </c>
      <c r="AN17" s="19">
        <v>0</v>
      </c>
      <c r="AO17" s="27"/>
      <c r="AP17" s="40">
        <f t="shared" si="14"/>
        <v>7.1</v>
      </c>
      <c r="AQ17" s="40">
        <f t="shared" si="15"/>
        <v>42.8</v>
      </c>
      <c r="AR17" s="40">
        <f t="shared" si="16"/>
        <v>21.8</v>
      </c>
      <c r="AS17" s="40">
        <f t="shared" si="17"/>
        <v>10.399999999999999</v>
      </c>
      <c r="AT17" s="40">
        <f t="shared" si="18"/>
        <v>64.599999999999994</v>
      </c>
      <c r="AU17" s="40">
        <f t="shared" si="19"/>
        <v>6.3000000000000007</v>
      </c>
      <c r="AV17" s="40">
        <f t="shared" si="20"/>
        <v>41.9</v>
      </c>
      <c r="AW17" s="40">
        <f t="shared" si="21"/>
        <v>84.699999999999989</v>
      </c>
      <c r="AX17" s="18"/>
      <c r="AY17" s="18"/>
      <c r="AZ17" s="18"/>
      <c r="BA17" s="18"/>
      <c r="BB17" s="18"/>
      <c r="BC17" s="18"/>
      <c r="BD17" s="18"/>
      <c r="BE17" s="18"/>
      <c r="BF17" s="18"/>
      <c r="BG17" s="18"/>
      <c r="BH17" s="18"/>
      <c r="BI17" s="18"/>
      <c r="BJ17" s="18"/>
      <c r="BK17" s="18"/>
      <c r="BL17" s="18"/>
      <c r="BM17" s="18"/>
      <c r="BN17" s="18"/>
      <c r="BO17" s="18"/>
      <c r="BP17" s="18"/>
      <c r="BQ17" s="18"/>
      <c r="BR17" s="28"/>
      <c r="BS17" s="11" t="str">
        <f t="shared" si="22"/>
        <v/>
      </c>
      <c r="BT17" s="11" t="str">
        <f t="shared" si="23"/>
        <v/>
      </c>
      <c r="BU17" s="11" t="str">
        <f t="shared" si="24"/>
        <v/>
      </c>
      <c r="BV17" s="11" t="str">
        <f t="shared" si="25"/>
        <v/>
      </c>
      <c r="BW17" s="11" t="str">
        <f t="shared" si="26"/>
        <v/>
      </c>
      <c r="BX17" s="11" t="str">
        <f t="shared" si="27"/>
        <v/>
      </c>
      <c r="BY17" s="11" t="str">
        <f t="shared" si="28"/>
        <v/>
      </c>
      <c r="BZ17" s="11" t="str">
        <f t="shared" si="29"/>
        <v/>
      </c>
      <c r="CA17" s="19">
        <v>18</v>
      </c>
      <c r="CB17" s="19">
        <v>3.1</v>
      </c>
      <c r="CC17" s="19">
        <v>0</v>
      </c>
      <c r="CD17" s="19">
        <v>0</v>
      </c>
      <c r="CE17" s="19">
        <v>17.8</v>
      </c>
      <c r="CF17" s="19">
        <v>1.7</v>
      </c>
      <c r="CG17" s="19">
        <v>1.2</v>
      </c>
      <c r="CH17" s="19">
        <v>0</v>
      </c>
      <c r="CI17" s="19">
        <v>18.399999999999999</v>
      </c>
      <c r="CJ17" s="19">
        <v>3</v>
      </c>
      <c r="CK17" s="19">
        <v>0</v>
      </c>
      <c r="CL17" s="19">
        <v>0</v>
      </c>
      <c r="CM17" s="19"/>
      <c r="CN17" s="19"/>
      <c r="CO17" s="19"/>
      <c r="CP17" s="19"/>
      <c r="CQ17" s="19"/>
      <c r="CR17" s="19"/>
      <c r="CS17" s="19"/>
      <c r="CT17" s="19"/>
      <c r="CU17" s="27"/>
      <c r="CV17" s="40">
        <f t="shared" si="30"/>
        <v>4.8</v>
      </c>
      <c r="CW17" s="40">
        <f t="shared" si="31"/>
        <v>39.400000000000006</v>
      </c>
      <c r="CX17" s="40">
        <f t="shared" si="32"/>
        <v>21.4</v>
      </c>
      <c r="CY17" s="40">
        <f t="shared" si="33"/>
        <v>7.8</v>
      </c>
      <c r="CZ17" s="40">
        <f t="shared" si="34"/>
        <v>60.800000000000004</v>
      </c>
      <c r="DA17" s="40" t="str">
        <f t="shared" si="35"/>
        <v/>
      </c>
      <c r="DB17" s="40" t="str">
        <f t="shared" si="36"/>
        <v/>
      </c>
      <c r="DC17" s="40">
        <f t="shared" si="37"/>
        <v>39.400000000000006</v>
      </c>
      <c r="DD17" s="50" t="str">
        <f t="shared" si="38"/>
        <v/>
      </c>
      <c r="DE17" s="50" t="str">
        <f t="shared" si="39"/>
        <v/>
      </c>
      <c r="DF17" s="50" t="str">
        <f t="shared" si="40"/>
        <v/>
      </c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17"/>
      <c r="DY17" s="17"/>
      <c r="DZ17" s="17"/>
      <c r="EA17" s="40" t="str">
        <f t="shared" si="41"/>
        <v/>
      </c>
      <c r="EB17" s="40" t="str">
        <f t="shared" si="42"/>
        <v/>
      </c>
      <c r="EC17" s="40" t="str">
        <f t="shared" si="43"/>
        <v/>
      </c>
      <c r="ED17" s="40" t="str">
        <f t="shared" si="44"/>
        <v/>
      </c>
      <c r="EE17" s="40" t="str">
        <f t="shared" si="45"/>
        <v/>
      </c>
      <c r="EF17" s="40" t="str">
        <f t="shared" si="46"/>
        <v/>
      </c>
      <c r="EG17" s="40" t="str">
        <f t="shared" si="47"/>
        <v/>
      </c>
      <c r="EH17" s="40" t="str">
        <f t="shared" si="48"/>
        <v/>
      </c>
      <c r="EI17" s="18"/>
      <c r="EJ17" s="18"/>
      <c r="EK17" s="18"/>
      <c r="EL17" s="18"/>
      <c r="EM17" s="18"/>
      <c r="EN17" s="18"/>
      <c r="EO17" s="18"/>
      <c r="EP17" s="18"/>
      <c r="EQ17" s="18"/>
      <c r="ER17" s="18"/>
      <c r="ES17" s="18"/>
      <c r="ET17" s="18"/>
      <c r="EU17" s="18"/>
      <c r="EV17" s="18"/>
      <c r="EW17" s="18"/>
      <c r="EX17" s="18"/>
      <c r="EY17" s="18"/>
      <c r="EZ17" s="18"/>
      <c r="FA17" s="18"/>
      <c r="FB17" s="18"/>
      <c r="FC17" s="11" t="str">
        <f t="shared" si="49"/>
        <v/>
      </c>
      <c r="FD17" s="11" t="str">
        <f t="shared" si="50"/>
        <v/>
      </c>
      <c r="FE17" s="11" t="str">
        <f t="shared" si="51"/>
        <v/>
      </c>
      <c r="FF17" s="11" t="str">
        <f t="shared" si="52"/>
        <v/>
      </c>
      <c r="FG17" s="11" t="str">
        <f t="shared" si="53"/>
        <v/>
      </c>
      <c r="FH17" s="11" t="str">
        <f t="shared" si="54"/>
        <v/>
      </c>
      <c r="FI17" s="11" t="str">
        <f t="shared" si="55"/>
        <v/>
      </c>
      <c r="FJ17" s="11" t="str">
        <f t="shared" si="56"/>
        <v/>
      </c>
      <c r="FK17" s="17"/>
      <c r="FL17" s="17"/>
      <c r="FM17" s="17"/>
      <c r="FN17" s="17"/>
      <c r="FO17" s="17"/>
      <c r="FP17" s="17"/>
      <c r="FQ17" s="17"/>
      <c r="FR17" s="17"/>
      <c r="FS17" s="17"/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17"/>
      <c r="GE17" s="40" t="str">
        <f t="shared" si="57"/>
        <v/>
      </c>
      <c r="GF17" s="40" t="str">
        <f t="shared" si="58"/>
        <v/>
      </c>
      <c r="GG17" s="40" t="str">
        <f t="shared" si="59"/>
        <v/>
      </c>
      <c r="GH17" s="40" t="str">
        <f t="shared" si="60"/>
        <v/>
      </c>
      <c r="GI17" s="40" t="str">
        <f t="shared" si="61"/>
        <v/>
      </c>
      <c r="GJ17" s="40" t="str">
        <f t="shared" si="62"/>
        <v/>
      </c>
      <c r="GK17" s="40" t="str">
        <f t="shared" si="63"/>
        <v/>
      </c>
      <c r="GL17" s="40" t="str">
        <f t="shared" si="64"/>
        <v/>
      </c>
      <c r="GM17" s="18"/>
      <c r="GN17" s="18"/>
      <c r="GO17" s="18"/>
      <c r="GP17" s="18"/>
      <c r="GQ17" s="18"/>
      <c r="GR17" s="18"/>
      <c r="GS17" s="18"/>
      <c r="GT17" s="18"/>
      <c r="GU17" s="18"/>
      <c r="GV17" s="18"/>
      <c r="GW17" s="18"/>
      <c r="GX17" s="18"/>
      <c r="GY17" s="18"/>
      <c r="GZ17" s="18"/>
      <c r="HA17" s="18"/>
      <c r="HB17" s="18"/>
      <c r="HC17" s="18"/>
      <c r="HD17" s="18"/>
      <c r="HE17" s="18"/>
      <c r="HF17" s="18"/>
      <c r="HG17" s="11" t="str">
        <f t="shared" si="65"/>
        <v/>
      </c>
      <c r="HH17" s="11" t="str">
        <f t="shared" si="66"/>
        <v/>
      </c>
      <c r="HI17" s="11" t="str">
        <f t="shared" si="67"/>
        <v/>
      </c>
      <c r="HJ17" s="11" t="str">
        <f t="shared" si="68"/>
        <v/>
      </c>
      <c r="HK17" s="11" t="str">
        <f t="shared" si="69"/>
        <v/>
      </c>
      <c r="HL17" s="11" t="str">
        <f t="shared" si="70"/>
        <v/>
      </c>
      <c r="HM17" s="11" t="str">
        <f t="shared" si="71"/>
        <v/>
      </c>
      <c r="HN17" s="11" t="str">
        <f t="shared" si="72"/>
        <v/>
      </c>
      <c r="HO17" s="17"/>
      <c r="HP17" s="17"/>
      <c r="HQ17" s="17"/>
      <c r="HR17" s="17"/>
      <c r="HS17" s="17"/>
      <c r="HT17" s="17"/>
      <c r="HU17" s="17"/>
      <c r="HV17" s="17"/>
      <c r="HW17" s="17"/>
      <c r="HX17" s="17"/>
      <c r="HY17" s="17"/>
      <c r="HZ17" s="17"/>
      <c r="IA17" s="17"/>
      <c r="IB17" s="17"/>
      <c r="IC17" s="17"/>
      <c r="ID17" s="17"/>
      <c r="IE17" s="17"/>
      <c r="IF17" s="17"/>
      <c r="IG17" s="17"/>
      <c r="IH17" s="17"/>
      <c r="II17" s="40" t="str">
        <f t="shared" si="73"/>
        <v/>
      </c>
      <c r="IJ17" s="40" t="str">
        <f t="shared" si="74"/>
        <v/>
      </c>
      <c r="IK17" s="40" t="str">
        <f t="shared" si="75"/>
        <v/>
      </c>
      <c r="IL17" s="40" t="str">
        <f t="shared" si="76"/>
        <v/>
      </c>
      <c r="IM17" s="40" t="str">
        <f t="shared" si="77"/>
        <v/>
      </c>
      <c r="IN17" s="40" t="str">
        <f t="shared" si="78"/>
        <v/>
      </c>
      <c r="IO17" s="40" t="str">
        <f t="shared" si="79"/>
        <v/>
      </c>
      <c r="IP17" s="40" t="str">
        <f t="shared" si="80"/>
        <v/>
      </c>
      <c r="IQ17" s="18"/>
      <c r="IR17" s="18"/>
      <c r="IS17" s="18"/>
      <c r="IT17" s="18"/>
      <c r="IU17" s="18"/>
      <c r="IV17" s="18"/>
      <c r="IW17" s="18"/>
      <c r="IX17" s="18"/>
      <c r="IY17" s="18"/>
      <c r="IZ17" s="18"/>
      <c r="JA17" s="18"/>
      <c r="JB17" s="18"/>
      <c r="JC17" s="18"/>
      <c r="JD17" s="18"/>
      <c r="JE17" s="18"/>
      <c r="JF17" s="18"/>
      <c r="JG17" s="18"/>
      <c r="JH17" s="18"/>
      <c r="JI17" s="18"/>
      <c r="JJ17" s="18"/>
      <c r="JK17" s="11" t="str">
        <f t="shared" si="81"/>
        <v/>
      </c>
      <c r="JL17" s="11" t="str">
        <f t="shared" si="82"/>
        <v/>
      </c>
      <c r="JM17" s="11" t="str">
        <f t="shared" si="83"/>
        <v/>
      </c>
      <c r="JN17" s="11" t="str">
        <f t="shared" si="84"/>
        <v/>
      </c>
      <c r="JO17" s="11" t="str">
        <f t="shared" si="85"/>
        <v/>
      </c>
      <c r="JP17" s="11" t="str">
        <f t="shared" si="86"/>
        <v/>
      </c>
      <c r="JQ17" s="11" t="str">
        <f t="shared" si="87"/>
        <v/>
      </c>
      <c r="JR17" s="11" t="str">
        <f t="shared" si="88"/>
        <v/>
      </c>
      <c r="JS17" s="17"/>
      <c r="JT17" s="17"/>
      <c r="JU17" s="17"/>
      <c r="JV17" s="17"/>
      <c r="JW17" s="17"/>
      <c r="JX17" s="17"/>
      <c r="JY17" s="17"/>
      <c r="JZ17" s="17"/>
      <c r="KA17" s="17"/>
      <c r="KB17" s="17"/>
      <c r="KC17" s="17"/>
      <c r="KD17" s="17"/>
      <c r="KE17" s="17"/>
      <c r="KF17" s="17"/>
      <c r="KG17" s="17"/>
      <c r="KH17" s="17"/>
      <c r="KI17" s="17"/>
      <c r="KJ17" s="17"/>
      <c r="KK17" s="17"/>
      <c r="KL17" s="17"/>
      <c r="KM17" s="40" t="str">
        <f t="shared" si="89"/>
        <v/>
      </c>
      <c r="KN17" s="40" t="str">
        <f t="shared" si="90"/>
        <v/>
      </c>
      <c r="KO17" s="40" t="str">
        <f t="shared" si="91"/>
        <v/>
      </c>
      <c r="KP17" s="40" t="str">
        <f t="shared" si="92"/>
        <v/>
      </c>
      <c r="KQ17" s="40" t="str">
        <f t="shared" si="93"/>
        <v/>
      </c>
      <c r="KR17" s="40" t="str">
        <f t="shared" si="94"/>
        <v/>
      </c>
      <c r="KS17" s="40" t="str">
        <f t="shared" si="95"/>
        <v/>
      </c>
      <c r="KT17" s="40" t="str">
        <f t="shared" si="96"/>
        <v/>
      </c>
      <c r="KU17" s="18"/>
      <c r="KV17" s="18"/>
      <c r="KW17" s="18"/>
      <c r="KX17" s="18"/>
      <c r="KY17" s="18"/>
      <c r="KZ17" s="18"/>
      <c r="LA17" s="18"/>
      <c r="LB17" s="18"/>
      <c r="LC17" s="18"/>
      <c r="LD17" s="18"/>
      <c r="LE17" s="18"/>
      <c r="LF17" s="18"/>
      <c r="LG17" s="18"/>
      <c r="LH17" s="18"/>
      <c r="LI17" s="18"/>
      <c r="LJ17" s="18"/>
      <c r="LK17" s="18"/>
      <c r="LL17" s="18"/>
      <c r="LM17" s="18"/>
      <c r="LN17" s="18"/>
      <c r="LO17" s="11" t="str">
        <f t="shared" si="97"/>
        <v/>
      </c>
      <c r="LP17" s="11" t="str">
        <f t="shared" si="98"/>
        <v/>
      </c>
      <c r="LQ17" s="11" t="str">
        <f t="shared" si="99"/>
        <v/>
      </c>
      <c r="LR17" s="11" t="str">
        <f t="shared" si="100"/>
        <v/>
      </c>
      <c r="LS17" s="11" t="str">
        <f t="shared" si="101"/>
        <v/>
      </c>
      <c r="LT17" s="11" t="str">
        <f t="shared" si="102"/>
        <v/>
      </c>
      <c r="LU17" s="11" t="str">
        <f t="shared" si="103"/>
        <v/>
      </c>
      <c r="LV17" s="11" t="str">
        <f t="shared" si="104"/>
        <v/>
      </c>
      <c r="LW17" s="17"/>
      <c r="LX17" s="17"/>
      <c r="LY17" s="17"/>
      <c r="LZ17" s="17"/>
      <c r="MA17" s="17"/>
      <c r="MB17" s="17"/>
      <c r="MC17" s="17"/>
      <c r="MD17" s="17"/>
      <c r="ME17" s="17"/>
      <c r="MF17" s="17"/>
      <c r="MG17" s="17"/>
      <c r="MH17" s="17"/>
      <c r="MI17" s="17"/>
      <c r="MJ17" s="17"/>
      <c r="MK17" s="17"/>
      <c r="ML17" s="17"/>
      <c r="MM17" s="17"/>
      <c r="MN17" s="17"/>
      <c r="MO17" s="17"/>
      <c r="MP17" s="17"/>
      <c r="MQ17" s="40" t="str">
        <f t="shared" si="105"/>
        <v/>
      </c>
      <c r="MR17" s="40" t="str">
        <f t="shared" si="106"/>
        <v/>
      </c>
      <c r="MS17" s="40" t="str">
        <f t="shared" si="107"/>
        <v/>
      </c>
      <c r="MT17" s="40" t="str">
        <f t="shared" si="108"/>
        <v/>
      </c>
      <c r="MU17" s="40" t="str">
        <f t="shared" si="109"/>
        <v/>
      </c>
      <c r="MV17" s="40" t="str">
        <f t="shared" si="110"/>
        <v/>
      </c>
      <c r="MW17" s="40" t="str">
        <f t="shared" si="111"/>
        <v/>
      </c>
      <c r="MX17" s="40" t="str">
        <f t="shared" si="112"/>
        <v/>
      </c>
      <c r="MY17" s="18"/>
      <c r="MZ17" s="18"/>
      <c r="NA17" s="18"/>
      <c r="NB17" s="18"/>
      <c r="NC17" s="18"/>
      <c r="ND17" s="18"/>
      <c r="NE17" s="18"/>
      <c r="NF17" s="18"/>
      <c r="NG17" s="18"/>
      <c r="NH17" s="18"/>
      <c r="NI17" s="18"/>
      <c r="NJ17" s="18"/>
      <c r="NK17" s="18"/>
      <c r="NL17" s="18"/>
      <c r="NM17" s="18"/>
      <c r="NN17" s="18"/>
      <c r="NO17" s="18"/>
      <c r="NP17" s="18"/>
      <c r="NQ17" s="18"/>
      <c r="NR17" s="18"/>
      <c r="NS17" s="11" t="str">
        <f t="shared" si="113"/>
        <v/>
      </c>
      <c r="NT17" s="11" t="str">
        <f t="shared" si="114"/>
        <v/>
      </c>
      <c r="NU17" s="11" t="str">
        <f t="shared" si="115"/>
        <v/>
      </c>
      <c r="NV17" s="11" t="str">
        <f t="shared" si="116"/>
        <v/>
      </c>
      <c r="NW17" s="11" t="str">
        <f t="shared" si="117"/>
        <v/>
      </c>
      <c r="NX17" s="11" t="str">
        <f t="shared" si="118"/>
        <v/>
      </c>
      <c r="NY17" s="11" t="str">
        <f t="shared" si="119"/>
        <v/>
      </c>
      <c r="NZ17" s="11" t="str">
        <f t="shared" si="120"/>
        <v/>
      </c>
      <c r="OA17" s="17"/>
      <c r="OB17" s="17"/>
      <c r="OC17" s="17"/>
      <c r="OD17" s="17"/>
      <c r="OE17" s="17"/>
      <c r="OF17" s="17"/>
      <c r="OG17" s="17"/>
      <c r="OH17" s="17"/>
      <c r="OI17" s="17"/>
      <c r="OJ17" s="17"/>
      <c r="OK17" s="17"/>
      <c r="OL17" s="17"/>
      <c r="OM17" s="17"/>
      <c r="ON17" s="17"/>
      <c r="OO17" s="17"/>
      <c r="OP17" s="17"/>
      <c r="OQ17" s="17"/>
      <c r="OR17" s="17"/>
      <c r="OS17" s="17"/>
      <c r="OT17" s="17"/>
      <c r="OU17" s="40" t="str">
        <f t="shared" si="121"/>
        <v/>
      </c>
      <c r="OV17" s="40" t="str">
        <f t="shared" si="122"/>
        <v/>
      </c>
      <c r="OW17" s="40" t="str">
        <f t="shared" si="123"/>
        <v/>
      </c>
      <c r="OX17" s="40" t="str">
        <f t="shared" si="124"/>
        <v/>
      </c>
      <c r="OY17" s="40" t="str">
        <f t="shared" si="125"/>
        <v/>
      </c>
      <c r="OZ17" s="40" t="str">
        <f t="shared" si="126"/>
        <v/>
      </c>
      <c r="PA17" s="40" t="str">
        <f t="shared" si="127"/>
        <v/>
      </c>
      <c r="PB17" s="40" t="str">
        <f t="shared" si="128"/>
        <v/>
      </c>
      <c r="PC17" s="18"/>
      <c r="PD17" s="18"/>
      <c r="PE17" s="18"/>
      <c r="PF17" s="18"/>
      <c r="PG17" s="18"/>
      <c r="PH17" s="18"/>
      <c r="PI17" s="18"/>
      <c r="PJ17" s="18"/>
      <c r="PK17" s="18"/>
      <c r="PL17" s="18"/>
      <c r="PM17" s="18"/>
      <c r="PN17" s="18"/>
      <c r="PO17" s="18"/>
      <c r="PP17" s="18"/>
      <c r="PQ17" s="18"/>
      <c r="PR17" s="18"/>
      <c r="PS17" s="18"/>
      <c r="PT17" s="18"/>
      <c r="PU17" s="18"/>
      <c r="PV17" s="18"/>
      <c r="PW17" s="11" t="str">
        <f t="shared" si="129"/>
        <v/>
      </c>
      <c r="PX17" s="11" t="str">
        <f t="shared" si="130"/>
        <v/>
      </c>
      <c r="PY17" s="11" t="str">
        <f t="shared" si="131"/>
        <v/>
      </c>
      <c r="PZ17" s="11" t="str">
        <f t="shared" si="132"/>
        <v/>
      </c>
      <c r="QA17" s="11" t="str">
        <f t="shared" si="133"/>
        <v/>
      </c>
      <c r="QB17" s="11" t="str">
        <f t="shared" si="134"/>
        <v/>
      </c>
      <c r="QC17" s="11" t="str">
        <f t="shared" si="135"/>
        <v/>
      </c>
      <c r="QD17" s="11" t="str">
        <f t="shared" si="136"/>
        <v/>
      </c>
      <c r="QE17" s="22">
        <f t="shared" si="137"/>
        <v>9</v>
      </c>
      <c r="QF17" s="22">
        <f t="shared" si="138"/>
        <v>1.55</v>
      </c>
      <c r="QG17" s="22">
        <f t="shared" si="139"/>
        <v>0</v>
      </c>
      <c r="QH17" s="22">
        <f t="shared" si="140"/>
        <v>0</v>
      </c>
      <c r="QI17" s="22">
        <f t="shared" si="141"/>
        <v>8.9</v>
      </c>
      <c r="QJ17" s="22">
        <f t="shared" si="142"/>
        <v>0.85</v>
      </c>
      <c r="QK17" s="22">
        <f t="shared" si="143"/>
        <v>0.6</v>
      </c>
      <c r="QL17" s="22">
        <f t="shared" si="144"/>
        <v>0</v>
      </c>
      <c r="QM17" s="22">
        <f t="shared" si="145"/>
        <v>9.1999999999999993</v>
      </c>
      <c r="QN17" s="22">
        <f t="shared" si="146"/>
        <v>1.5</v>
      </c>
      <c r="QO17" s="22">
        <f t="shared" si="147"/>
        <v>0</v>
      </c>
      <c r="QP17" s="22">
        <f t="shared" si="148"/>
        <v>0</v>
      </c>
      <c r="QQ17" s="22">
        <f t="shared" si="149"/>
        <v>0</v>
      </c>
      <c r="QR17" s="22">
        <f t="shared" si="150"/>
        <v>0</v>
      </c>
      <c r="QS17" s="22">
        <f t="shared" si="151"/>
        <v>0</v>
      </c>
      <c r="QT17" s="22">
        <f t="shared" si="152"/>
        <v>0</v>
      </c>
      <c r="QU17" s="22">
        <f t="shared" si="153"/>
        <v>0</v>
      </c>
      <c r="QV17" s="22">
        <f t="shared" si="154"/>
        <v>0</v>
      </c>
      <c r="QW17" s="22">
        <f t="shared" si="155"/>
        <v>0</v>
      </c>
      <c r="QX17" s="22">
        <f t="shared" si="156"/>
        <v>0</v>
      </c>
      <c r="QY17" s="27" t="s">
        <v>46</v>
      </c>
      <c r="QZ17" s="40">
        <f t="shared" si="157"/>
        <v>2.4</v>
      </c>
      <c r="RA17" s="40">
        <f t="shared" si="158"/>
        <v>19.700000000000003</v>
      </c>
      <c r="RB17" s="40">
        <f t="shared" si="159"/>
        <v>10.7</v>
      </c>
      <c r="RC17" s="40">
        <f t="shared" si="160"/>
        <v>3.9</v>
      </c>
      <c r="RD17" s="40">
        <f t="shared" si="161"/>
        <v>30.400000000000002</v>
      </c>
      <c r="RE17" s="40" t="str">
        <f t="shared" si="162"/>
        <v/>
      </c>
      <c r="RF17" s="40" t="str">
        <f t="shared" si="163"/>
        <v/>
      </c>
      <c r="RG17" s="40">
        <f t="shared" si="164"/>
        <v>19.700000000000003</v>
      </c>
    </row>
    <row r="18" spans="1:475" x14ac:dyDescent="0.2">
      <c r="A18" s="4" t="str">
        <f t="shared" si="0"/>
        <v/>
      </c>
      <c r="B18" s="5" t="s">
        <v>166</v>
      </c>
      <c r="C18" s="4" t="s">
        <v>31</v>
      </c>
      <c r="D18" s="4">
        <v>2003</v>
      </c>
      <c r="E18" s="9">
        <f t="shared" si="1"/>
        <v>132.20000876000452</v>
      </c>
      <c r="F18" s="3" t="str">
        <f t="shared" si="2"/>
        <v/>
      </c>
      <c r="G18" s="3" t="str">
        <f t="shared" si="3"/>
        <v/>
      </c>
      <c r="H18" s="36" t="str">
        <f t="shared" si="4"/>
        <v/>
      </c>
      <c r="I18" s="3" t="str">
        <f t="shared" si="5"/>
        <v/>
      </c>
      <c r="J18" s="8">
        <f>IF(COUNT(AQ18,BT18,CW18)&gt;0,LARGE((AQ18,BT18,CW18),1),0)</f>
        <v>45.300000000000011</v>
      </c>
      <c r="K18" s="8" t="str">
        <f t="shared" si="6"/>
        <v>2023 Elite Canada</v>
      </c>
      <c r="L18" s="8">
        <f>IF(COUNT(AQ18,BT18,CW18)&gt;1,LARGE((AQ18,BT18,CW18),2),0)</f>
        <v>20</v>
      </c>
      <c r="M18" s="8" t="str">
        <f t="shared" si="7"/>
        <v>2022 Nationals</v>
      </c>
      <c r="N18" s="8">
        <f>IF(COUNT(AR18,BU18,CX18)&gt;0,LARGE((AR18,BU18,CX18),1),0)</f>
        <v>22.3</v>
      </c>
      <c r="O18" s="8" t="str">
        <f t="shared" si="8"/>
        <v>2023 Elite Canada</v>
      </c>
      <c r="P18" s="8">
        <f t="shared" si="9"/>
        <v>44.600000000000009</v>
      </c>
      <c r="Q18" s="8" t="str">
        <f t="shared" si="10"/>
        <v>2023 Elite Canada</v>
      </c>
      <c r="R18" s="8" t="str">
        <f t="shared" si="11"/>
        <v/>
      </c>
      <c r="S18" s="11" t="str">
        <f t="shared" si="12"/>
        <v/>
      </c>
      <c r="T18" s="8" t="str">
        <f t="shared" si="13"/>
        <v/>
      </c>
      <c r="U18" s="19">
        <v>17.2</v>
      </c>
      <c r="V18" s="19">
        <v>2.8</v>
      </c>
      <c r="W18" s="19">
        <v>0</v>
      </c>
      <c r="X18" s="19">
        <v>0</v>
      </c>
      <c r="Y18" s="19">
        <v>0</v>
      </c>
      <c r="Z18" s="19">
        <v>0</v>
      </c>
      <c r="AA18" s="19">
        <v>0</v>
      </c>
      <c r="AB18" s="19">
        <v>0</v>
      </c>
      <c r="AC18" s="19">
        <v>0</v>
      </c>
      <c r="AD18" s="19">
        <v>0</v>
      </c>
      <c r="AE18" s="19">
        <v>0</v>
      </c>
      <c r="AF18" s="19">
        <v>0</v>
      </c>
      <c r="AG18" s="19"/>
      <c r="AH18" s="19"/>
      <c r="AI18" s="19"/>
      <c r="AJ18" s="19"/>
      <c r="AK18" s="19"/>
      <c r="AL18" s="19"/>
      <c r="AM18" s="19"/>
      <c r="AN18" s="19"/>
      <c r="AO18" s="27"/>
      <c r="AP18" s="40">
        <f t="shared" si="14"/>
        <v>2.8</v>
      </c>
      <c r="AQ18" s="40">
        <f t="shared" si="15"/>
        <v>20</v>
      </c>
      <c r="AR18" s="40" t="str">
        <f t="shared" si="16"/>
        <v/>
      </c>
      <c r="AS18" s="40">
        <f t="shared" si="17"/>
        <v>2.8</v>
      </c>
      <c r="AT18" s="40">
        <f t="shared" si="18"/>
        <v>20</v>
      </c>
      <c r="AU18" s="40" t="str">
        <f t="shared" si="19"/>
        <v/>
      </c>
      <c r="AV18" s="40" t="str">
        <f t="shared" si="20"/>
        <v/>
      </c>
      <c r="AW18" s="40">
        <f t="shared" si="21"/>
        <v>20</v>
      </c>
      <c r="AX18" s="18"/>
      <c r="AY18" s="18"/>
      <c r="AZ18" s="18"/>
      <c r="BA18" s="18"/>
      <c r="BB18" s="18"/>
      <c r="BC18" s="18"/>
      <c r="BD18" s="18"/>
      <c r="BE18" s="18"/>
      <c r="BF18" s="18"/>
      <c r="BG18" s="18"/>
      <c r="BH18" s="18"/>
      <c r="BI18" s="18"/>
      <c r="BJ18" s="18"/>
      <c r="BK18" s="18"/>
      <c r="BL18" s="18"/>
      <c r="BM18" s="18"/>
      <c r="BN18" s="18"/>
      <c r="BO18" s="18"/>
      <c r="BP18" s="18"/>
      <c r="BQ18" s="18"/>
      <c r="BR18" s="28"/>
      <c r="BS18" s="11" t="str">
        <f t="shared" si="22"/>
        <v/>
      </c>
      <c r="BT18" s="11" t="str">
        <f t="shared" si="23"/>
        <v/>
      </c>
      <c r="BU18" s="11" t="str">
        <f t="shared" si="24"/>
        <v/>
      </c>
      <c r="BV18" s="11" t="str">
        <f t="shared" si="25"/>
        <v/>
      </c>
      <c r="BW18" s="11" t="str">
        <f t="shared" si="26"/>
        <v/>
      </c>
      <c r="BX18" s="11" t="str">
        <f t="shared" si="27"/>
        <v/>
      </c>
      <c r="BY18" s="11" t="str">
        <f t="shared" si="28"/>
        <v/>
      </c>
      <c r="BZ18" s="11" t="str">
        <f t="shared" si="29"/>
        <v/>
      </c>
      <c r="CA18" s="19">
        <v>18.100000000000001</v>
      </c>
      <c r="CB18" s="19">
        <v>5.2</v>
      </c>
      <c r="CC18" s="19">
        <v>0.8</v>
      </c>
      <c r="CD18" s="19">
        <v>0.3</v>
      </c>
      <c r="CE18" s="19">
        <v>18.100000000000001</v>
      </c>
      <c r="CF18" s="19">
        <v>5.2</v>
      </c>
      <c r="CG18" s="19">
        <v>0.8</v>
      </c>
      <c r="CH18" s="19">
        <v>0</v>
      </c>
      <c r="CI18" s="19">
        <v>18.600000000000001</v>
      </c>
      <c r="CJ18" s="19">
        <v>3.7</v>
      </c>
      <c r="CK18" s="19">
        <v>0</v>
      </c>
      <c r="CL18" s="19">
        <v>0</v>
      </c>
      <c r="CM18" s="19">
        <v>18.600000000000001</v>
      </c>
      <c r="CN18" s="19">
        <v>5.2</v>
      </c>
      <c r="CO18" s="19">
        <v>0.2</v>
      </c>
      <c r="CP18" s="19">
        <v>0.3</v>
      </c>
      <c r="CQ18" s="19">
        <v>16.3</v>
      </c>
      <c r="CR18" s="19">
        <v>5.2</v>
      </c>
      <c r="CS18" s="19">
        <v>0.8</v>
      </c>
      <c r="CT18" s="19">
        <v>0</v>
      </c>
      <c r="CU18" s="27"/>
      <c r="CV18" s="40">
        <f t="shared" si="30"/>
        <v>10.4</v>
      </c>
      <c r="CW18" s="40">
        <f t="shared" si="31"/>
        <v>45.300000000000011</v>
      </c>
      <c r="CX18" s="40">
        <f t="shared" si="32"/>
        <v>22.3</v>
      </c>
      <c r="CY18" s="40">
        <f t="shared" si="33"/>
        <v>14.100000000000001</v>
      </c>
      <c r="CZ18" s="40">
        <f t="shared" si="34"/>
        <v>67.600000000000009</v>
      </c>
      <c r="DA18" s="40">
        <f t="shared" si="35"/>
        <v>10.4</v>
      </c>
      <c r="DB18" s="40">
        <f t="shared" si="36"/>
        <v>44.600000000000009</v>
      </c>
      <c r="DC18" s="40">
        <f t="shared" si="37"/>
        <v>89.90000000000002</v>
      </c>
      <c r="DD18" s="50" t="str">
        <f t="shared" si="38"/>
        <v/>
      </c>
      <c r="DE18" s="50" t="str">
        <f t="shared" si="39"/>
        <v/>
      </c>
      <c r="DF18" s="50" t="str">
        <f t="shared" si="40"/>
        <v/>
      </c>
      <c r="DG18" s="17"/>
      <c r="DH18" s="17"/>
      <c r="DI18" s="17"/>
      <c r="DJ18" s="17"/>
      <c r="DK18" s="17"/>
      <c r="DL18" s="17"/>
      <c r="DM18" s="17"/>
      <c r="DN18" s="17"/>
      <c r="DO18" s="17"/>
      <c r="DP18" s="17"/>
      <c r="DQ18" s="17"/>
      <c r="DR18" s="17"/>
      <c r="DS18" s="17"/>
      <c r="DT18" s="17"/>
      <c r="DU18" s="17"/>
      <c r="DV18" s="17"/>
      <c r="DW18" s="17"/>
      <c r="DX18" s="17"/>
      <c r="DY18" s="17"/>
      <c r="DZ18" s="17"/>
      <c r="EA18" s="40" t="str">
        <f t="shared" si="41"/>
        <v/>
      </c>
      <c r="EB18" s="40" t="str">
        <f t="shared" si="42"/>
        <v/>
      </c>
      <c r="EC18" s="40" t="str">
        <f t="shared" si="43"/>
        <v/>
      </c>
      <c r="ED18" s="40" t="str">
        <f t="shared" si="44"/>
        <v/>
      </c>
      <c r="EE18" s="40" t="str">
        <f t="shared" si="45"/>
        <v/>
      </c>
      <c r="EF18" s="40" t="str">
        <f t="shared" si="46"/>
        <v/>
      </c>
      <c r="EG18" s="40" t="str">
        <f t="shared" si="47"/>
        <v/>
      </c>
      <c r="EH18" s="40" t="str">
        <f t="shared" si="48"/>
        <v/>
      </c>
      <c r="EI18" s="18"/>
      <c r="EJ18" s="18"/>
      <c r="EK18" s="18"/>
      <c r="EL18" s="18"/>
      <c r="EM18" s="18"/>
      <c r="EN18" s="18"/>
      <c r="EO18" s="18"/>
      <c r="EP18" s="18"/>
      <c r="EQ18" s="18"/>
      <c r="ER18" s="18"/>
      <c r="ES18" s="18"/>
      <c r="ET18" s="18"/>
      <c r="EU18" s="18"/>
      <c r="EV18" s="18"/>
      <c r="EW18" s="18"/>
      <c r="EX18" s="18"/>
      <c r="EY18" s="18"/>
      <c r="EZ18" s="18"/>
      <c r="FA18" s="18"/>
      <c r="FB18" s="18"/>
      <c r="FC18" s="11" t="str">
        <f t="shared" si="49"/>
        <v/>
      </c>
      <c r="FD18" s="11" t="str">
        <f t="shared" si="50"/>
        <v/>
      </c>
      <c r="FE18" s="11" t="str">
        <f t="shared" si="51"/>
        <v/>
      </c>
      <c r="FF18" s="11" t="str">
        <f t="shared" si="52"/>
        <v/>
      </c>
      <c r="FG18" s="11" t="str">
        <f t="shared" si="53"/>
        <v/>
      </c>
      <c r="FH18" s="11" t="str">
        <f t="shared" si="54"/>
        <v/>
      </c>
      <c r="FI18" s="11" t="str">
        <f t="shared" si="55"/>
        <v/>
      </c>
      <c r="FJ18" s="11" t="str">
        <f t="shared" si="56"/>
        <v/>
      </c>
      <c r="FK18" s="17"/>
      <c r="FL18" s="17"/>
      <c r="FM18" s="17"/>
      <c r="FN18" s="17"/>
      <c r="FO18" s="17"/>
      <c r="FP18" s="17"/>
      <c r="FQ18" s="17"/>
      <c r="FR18" s="17"/>
      <c r="FS18" s="17"/>
      <c r="FT18" s="17"/>
      <c r="FU18" s="17"/>
      <c r="FV18" s="17"/>
      <c r="FW18" s="17"/>
      <c r="FX18" s="17"/>
      <c r="FY18" s="17"/>
      <c r="FZ18" s="17"/>
      <c r="GA18" s="17"/>
      <c r="GB18" s="17"/>
      <c r="GC18" s="17"/>
      <c r="GD18" s="17"/>
      <c r="GE18" s="40" t="str">
        <f t="shared" si="57"/>
        <v/>
      </c>
      <c r="GF18" s="40" t="str">
        <f t="shared" si="58"/>
        <v/>
      </c>
      <c r="GG18" s="40" t="str">
        <f t="shared" si="59"/>
        <v/>
      </c>
      <c r="GH18" s="40" t="str">
        <f t="shared" si="60"/>
        <v/>
      </c>
      <c r="GI18" s="40" t="str">
        <f t="shared" si="61"/>
        <v/>
      </c>
      <c r="GJ18" s="40" t="str">
        <f t="shared" si="62"/>
        <v/>
      </c>
      <c r="GK18" s="40" t="str">
        <f t="shared" si="63"/>
        <v/>
      </c>
      <c r="GL18" s="40" t="str">
        <f t="shared" si="64"/>
        <v/>
      </c>
      <c r="GM18" s="18"/>
      <c r="GN18" s="18"/>
      <c r="GO18" s="18"/>
      <c r="GP18" s="18"/>
      <c r="GQ18" s="18"/>
      <c r="GR18" s="18"/>
      <c r="GS18" s="18"/>
      <c r="GT18" s="18"/>
      <c r="GU18" s="18"/>
      <c r="GV18" s="18"/>
      <c r="GW18" s="18"/>
      <c r="GX18" s="18"/>
      <c r="GY18" s="18"/>
      <c r="GZ18" s="18"/>
      <c r="HA18" s="18"/>
      <c r="HB18" s="18"/>
      <c r="HC18" s="18"/>
      <c r="HD18" s="18"/>
      <c r="HE18" s="18"/>
      <c r="HF18" s="18"/>
      <c r="HG18" s="11" t="str">
        <f t="shared" si="65"/>
        <v/>
      </c>
      <c r="HH18" s="11" t="str">
        <f t="shared" si="66"/>
        <v/>
      </c>
      <c r="HI18" s="11" t="str">
        <f t="shared" si="67"/>
        <v/>
      </c>
      <c r="HJ18" s="11" t="str">
        <f t="shared" si="68"/>
        <v/>
      </c>
      <c r="HK18" s="11" t="str">
        <f t="shared" si="69"/>
        <v/>
      </c>
      <c r="HL18" s="11" t="str">
        <f t="shared" si="70"/>
        <v/>
      </c>
      <c r="HM18" s="11" t="str">
        <f t="shared" si="71"/>
        <v/>
      </c>
      <c r="HN18" s="11" t="str">
        <f t="shared" si="72"/>
        <v/>
      </c>
      <c r="HO18" s="17"/>
      <c r="HP18" s="17"/>
      <c r="HQ18" s="17"/>
      <c r="HR18" s="17"/>
      <c r="HS18" s="17"/>
      <c r="HT18" s="17"/>
      <c r="HU18" s="17"/>
      <c r="HV18" s="17"/>
      <c r="HW18" s="17"/>
      <c r="HX18" s="17"/>
      <c r="HY18" s="17"/>
      <c r="HZ18" s="17"/>
      <c r="IA18" s="17"/>
      <c r="IB18" s="17"/>
      <c r="IC18" s="17"/>
      <c r="ID18" s="17"/>
      <c r="IE18" s="17"/>
      <c r="IF18" s="17"/>
      <c r="IG18" s="17"/>
      <c r="IH18" s="17"/>
      <c r="II18" s="40" t="str">
        <f t="shared" si="73"/>
        <v/>
      </c>
      <c r="IJ18" s="40" t="str">
        <f t="shared" si="74"/>
        <v/>
      </c>
      <c r="IK18" s="40" t="str">
        <f t="shared" si="75"/>
        <v/>
      </c>
      <c r="IL18" s="40" t="str">
        <f t="shared" si="76"/>
        <v/>
      </c>
      <c r="IM18" s="40" t="str">
        <f t="shared" si="77"/>
        <v/>
      </c>
      <c r="IN18" s="40" t="str">
        <f t="shared" si="78"/>
        <v/>
      </c>
      <c r="IO18" s="40" t="str">
        <f t="shared" si="79"/>
        <v/>
      </c>
      <c r="IP18" s="40" t="str">
        <f t="shared" si="80"/>
        <v/>
      </c>
      <c r="IQ18" s="18"/>
      <c r="IR18" s="18"/>
      <c r="IS18" s="18"/>
      <c r="IT18" s="18"/>
      <c r="IU18" s="18"/>
      <c r="IV18" s="18"/>
      <c r="IW18" s="18"/>
      <c r="IX18" s="18"/>
      <c r="IY18" s="18"/>
      <c r="IZ18" s="18"/>
      <c r="JA18" s="18"/>
      <c r="JB18" s="18"/>
      <c r="JC18" s="18"/>
      <c r="JD18" s="18"/>
      <c r="JE18" s="18"/>
      <c r="JF18" s="18"/>
      <c r="JG18" s="18"/>
      <c r="JH18" s="18"/>
      <c r="JI18" s="18"/>
      <c r="JJ18" s="18"/>
      <c r="JK18" s="11" t="str">
        <f t="shared" si="81"/>
        <v/>
      </c>
      <c r="JL18" s="11" t="str">
        <f t="shared" si="82"/>
        <v/>
      </c>
      <c r="JM18" s="11" t="str">
        <f t="shared" si="83"/>
        <v/>
      </c>
      <c r="JN18" s="11" t="str">
        <f t="shared" si="84"/>
        <v/>
      </c>
      <c r="JO18" s="11" t="str">
        <f t="shared" si="85"/>
        <v/>
      </c>
      <c r="JP18" s="11" t="str">
        <f t="shared" si="86"/>
        <v/>
      </c>
      <c r="JQ18" s="11" t="str">
        <f t="shared" si="87"/>
        <v/>
      </c>
      <c r="JR18" s="11" t="str">
        <f t="shared" si="88"/>
        <v/>
      </c>
      <c r="JS18" s="17"/>
      <c r="JT18" s="17"/>
      <c r="JU18" s="17"/>
      <c r="JV18" s="17"/>
      <c r="JW18" s="17"/>
      <c r="JX18" s="17"/>
      <c r="JY18" s="17"/>
      <c r="JZ18" s="17"/>
      <c r="KA18" s="17"/>
      <c r="KB18" s="17"/>
      <c r="KC18" s="17"/>
      <c r="KD18" s="17"/>
      <c r="KE18" s="17"/>
      <c r="KF18" s="17"/>
      <c r="KG18" s="17"/>
      <c r="KH18" s="17"/>
      <c r="KI18" s="17"/>
      <c r="KJ18" s="17"/>
      <c r="KK18" s="17"/>
      <c r="KL18" s="17"/>
      <c r="KM18" s="40" t="str">
        <f t="shared" si="89"/>
        <v/>
      </c>
      <c r="KN18" s="40" t="str">
        <f t="shared" si="90"/>
        <v/>
      </c>
      <c r="KO18" s="40" t="str">
        <f t="shared" si="91"/>
        <v/>
      </c>
      <c r="KP18" s="40" t="str">
        <f t="shared" si="92"/>
        <v/>
      </c>
      <c r="KQ18" s="40" t="str">
        <f t="shared" si="93"/>
        <v/>
      </c>
      <c r="KR18" s="40" t="str">
        <f t="shared" si="94"/>
        <v/>
      </c>
      <c r="KS18" s="40" t="str">
        <f t="shared" si="95"/>
        <v/>
      </c>
      <c r="KT18" s="40" t="str">
        <f t="shared" si="96"/>
        <v/>
      </c>
      <c r="KU18" s="18"/>
      <c r="KV18" s="18"/>
      <c r="KW18" s="18"/>
      <c r="KX18" s="18"/>
      <c r="KY18" s="18"/>
      <c r="KZ18" s="18"/>
      <c r="LA18" s="18"/>
      <c r="LB18" s="18"/>
      <c r="LC18" s="18"/>
      <c r="LD18" s="18"/>
      <c r="LE18" s="18"/>
      <c r="LF18" s="18"/>
      <c r="LG18" s="18"/>
      <c r="LH18" s="18"/>
      <c r="LI18" s="18"/>
      <c r="LJ18" s="18"/>
      <c r="LK18" s="18"/>
      <c r="LL18" s="18"/>
      <c r="LM18" s="18"/>
      <c r="LN18" s="18"/>
      <c r="LO18" s="11" t="str">
        <f t="shared" si="97"/>
        <v/>
      </c>
      <c r="LP18" s="11" t="str">
        <f t="shared" si="98"/>
        <v/>
      </c>
      <c r="LQ18" s="11" t="str">
        <f t="shared" si="99"/>
        <v/>
      </c>
      <c r="LR18" s="11" t="str">
        <f t="shared" si="100"/>
        <v/>
      </c>
      <c r="LS18" s="11" t="str">
        <f t="shared" si="101"/>
        <v/>
      </c>
      <c r="LT18" s="11" t="str">
        <f t="shared" si="102"/>
        <v/>
      </c>
      <c r="LU18" s="11" t="str">
        <f t="shared" si="103"/>
        <v/>
      </c>
      <c r="LV18" s="11" t="str">
        <f t="shared" si="104"/>
        <v/>
      </c>
      <c r="LW18" s="17"/>
      <c r="LX18" s="17"/>
      <c r="LY18" s="17"/>
      <c r="LZ18" s="17"/>
      <c r="MA18" s="17"/>
      <c r="MB18" s="17"/>
      <c r="MC18" s="17"/>
      <c r="MD18" s="17"/>
      <c r="ME18" s="17"/>
      <c r="MF18" s="17"/>
      <c r="MG18" s="17"/>
      <c r="MH18" s="17"/>
      <c r="MI18" s="17"/>
      <c r="MJ18" s="17"/>
      <c r="MK18" s="17"/>
      <c r="ML18" s="17"/>
      <c r="MM18" s="17"/>
      <c r="MN18" s="17"/>
      <c r="MO18" s="17"/>
      <c r="MP18" s="17"/>
      <c r="MQ18" s="40" t="str">
        <f t="shared" si="105"/>
        <v/>
      </c>
      <c r="MR18" s="40" t="str">
        <f t="shared" si="106"/>
        <v/>
      </c>
      <c r="MS18" s="40" t="str">
        <f t="shared" si="107"/>
        <v/>
      </c>
      <c r="MT18" s="40" t="str">
        <f t="shared" si="108"/>
        <v/>
      </c>
      <c r="MU18" s="40" t="str">
        <f t="shared" si="109"/>
        <v/>
      </c>
      <c r="MV18" s="40" t="str">
        <f t="shared" si="110"/>
        <v/>
      </c>
      <c r="MW18" s="40" t="str">
        <f t="shared" si="111"/>
        <v/>
      </c>
      <c r="MX18" s="40" t="str">
        <f t="shared" si="112"/>
        <v/>
      </c>
      <c r="MY18" s="18"/>
      <c r="MZ18" s="18"/>
      <c r="NA18" s="18"/>
      <c r="NB18" s="18"/>
      <c r="NC18" s="18"/>
      <c r="ND18" s="18"/>
      <c r="NE18" s="18"/>
      <c r="NF18" s="18"/>
      <c r="NG18" s="18"/>
      <c r="NH18" s="18"/>
      <c r="NI18" s="18"/>
      <c r="NJ18" s="18"/>
      <c r="NK18" s="18"/>
      <c r="NL18" s="18"/>
      <c r="NM18" s="18"/>
      <c r="NN18" s="18"/>
      <c r="NO18" s="18"/>
      <c r="NP18" s="18"/>
      <c r="NQ18" s="18"/>
      <c r="NR18" s="18"/>
      <c r="NS18" s="11" t="str">
        <f t="shared" si="113"/>
        <v/>
      </c>
      <c r="NT18" s="11" t="str">
        <f t="shared" si="114"/>
        <v/>
      </c>
      <c r="NU18" s="11" t="str">
        <f t="shared" si="115"/>
        <v/>
      </c>
      <c r="NV18" s="11" t="str">
        <f t="shared" si="116"/>
        <v/>
      </c>
      <c r="NW18" s="11" t="str">
        <f t="shared" si="117"/>
        <v/>
      </c>
      <c r="NX18" s="11" t="str">
        <f t="shared" si="118"/>
        <v/>
      </c>
      <c r="NY18" s="11" t="str">
        <f t="shared" si="119"/>
        <v/>
      </c>
      <c r="NZ18" s="11" t="str">
        <f t="shared" si="120"/>
        <v/>
      </c>
      <c r="OA18" s="17"/>
      <c r="OB18" s="17"/>
      <c r="OC18" s="17"/>
      <c r="OD18" s="17"/>
      <c r="OE18" s="17"/>
      <c r="OF18" s="17"/>
      <c r="OG18" s="17"/>
      <c r="OH18" s="17"/>
      <c r="OI18" s="17"/>
      <c r="OJ18" s="17"/>
      <c r="OK18" s="17"/>
      <c r="OL18" s="17"/>
      <c r="OM18" s="17"/>
      <c r="ON18" s="17"/>
      <c r="OO18" s="17"/>
      <c r="OP18" s="17"/>
      <c r="OQ18" s="17"/>
      <c r="OR18" s="17"/>
      <c r="OS18" s="17"/>
      <c r="OT18" s="17"/>
      <c r="OU18" s="40" t="str">
        <f t="shared" si="121"/>
        <v/>
      </c>
      <c r="OV18" s="40" t="str">
        <f t="shared" si="122"/>
        <v/>
      </c>
      <c r="OW18" s="40" t="str">
        <f t="shared" si="123"/>
        <v/>
      </c>
      <c r="OX18" s="40" t="str">
        <f t="shared" si="124"/>
        <v/>
      </c>
      <c r="OY18" s="40" t="str">
        <f t="shared" si="125"/>
        <v/>
      </c>
      <c r="OZ18" s="40" t="str">
        <f t="shared" si="126"/>
        <v/>
      </c>
      <c r="PA18" s="40" t="str">
        <f t="shared" si="127"/>
        <v/>
      </c>
      <c r="PB18" s="40" t="str">
        <f t="shared" si="128"/>
        <v/>
      </c>
      <c r="PC18" s="18"/>
      <c r="PD18" s="18"/>
      <c r="PE18" s="18"/>
      <c r="PF18" s="18"/>
      <c r="PG18" s="18"/>
      <c r="PH18" s="18"/>
      <c r="PI18" s="18"/>
      <c r="PJ18" s="18"/>
      <c r="PK18" s="18"/>
      <c r="PL18" s="18"/>
      <c r="PM18" s="18"/>
      <c r="PN18" s="18"/>
      <c r="PO18" s="18"/>
      <c r="PP18" s="18"/>
      <c r="PQ18" s="18"/>
      <c r="PR18" s="18"/>
      <c r="PS18" s="18"/>
      <c r="PT18" s="18"/>
      <c r="PU18" s="18"/>
      <c r="PV18" s="18"/>
      <c r="PW18" s="11" t="str">
        <f t="shared" si="129"/>
        <v/>
      </c>
      <c r="PX18" s="11" t="str">
        <f t="shared" si="130"/>
        <v/>
      </c>
      <c r="PY18" s="11" t="str">
        <f t="shared" si="131"/>
        <v/>
      </c>
      <c r="PZ18" s="11" t="str">
        <f t="shared" si="132"/>
        <v/>
      </c>
      <c r="QA18" s="11" t="str">
        <f t="shared" si="133"/>
        <v/>
      </c>
      <c r="QB18" s="11" t="str">
        <f t="shared" si="134"/>
        <v/>
      </c>
      <c r="QC18" s="11" t="str">
        <f t="shared" si="135"/>
        <v/>
      </c>
      <c r="QD18" s="11" t="str">
        <f t="shared" si="136"/>
        <v/>
      </c>
      <c r="QE18" s="22">
        <f t="shared" si="137"/>
        <v>9.0500000000000007</v>
      </c>
      <c r="QF18" s="22">
        <f t="shared" si="138"/>
        <v>2.6</v>
      </c>
      <c r="QG18" s="22">
        <f t="shared" si="139"/>
        <v>0.4</v>
      </c>
      <c r="QH18" s="22">
        <f t="shared" si="140"/>
        <v>0.15</v>
      </c>
      <c r="QI18" s="22">
        <f t="shared" si="141"/>
        <v>9.0500000000000007</v>
      </c>
      <c r="QJ18" s="22">
        <f t="shared" si="142"/>
        <v>2.6</v>
      </c>
      <c r="QK18" s="22">
        <f t="shared" si="143"/>
        <v>0.4</v>
      </c>
      <c r="QL18" s="22">
        <f t="shared" si="144"/>
        <v>0</v>
      </c>
      <c r="QM18" s="22">
        <f t="shared" si="145"/>
        <v>9.3000000000000007</v>
      </c>
      <c r="QN18" s="22">
        <f t="shared" si="146"/>
        <v>1.85</v>
      </c>
      <c r="QO18" s="22">
        <f t="shared" si="147"/>
        <v>0</v>
      </c>
      <c r="QP18" s="22">
        <f t="shared" si="148"/>
        <v>0</v>
      </c>
      <c r="QQ18" s="22">
        <f t="shared" si="149"/>
        <v>9.3000000000000007</v>
      </c>
      <c r="QR18" s="22">
        <f t="shared" si="150"/>
        <v>2.6</v>
      </c>
      <c r="QS18" s="22">
        <f t="shared" si="151"/>
        <v>0.1</v>
      </c>
      <c r="QT18" s="22">
        <f t="shared" si="152"/>
        <v>0.15</v>
      </c>
      <c r="QU18" s="22">
        <f t="shared" si="153"/>
        <v>8.15</v>
      </c>
      <c r="QV18" s="22">
        <f t="shared" si="154"/>
        <v>2.6</v>
      </c>
      <c r="QW18" s="22">
        <f t="shared" si="155"/>
        <v>0.4</v>
      </c>
      <c r="QX18" s="22">
        <f t="shared" si="156"/>
        <v>0</v>
      </c>
      <c r="QY18" s="27" t="s">
        <v>46</v>
      </c>
      <c r="QZ18" s="40">
        <f t="shared" si="157"/>
        <v>5.2</v>
      </c>
      <c r="RA18" s="40">
        <f t="shared" si="158"/>
        <v>22.650000000000006</v>
      </c>
      <c r="RB18" s="40">
        <f t="shared" si="159"/>
        <v>11.15</v>
      </c>
      <c r="RC18" s="40">
        <f t="shared" si="160"/>
        <v>7.0500000000000007</v>
      </c>
      <c r="RD18" s="40">
        <f t="shared" si="161"/>
        <v>33.800000000000004</v>
      </c>
      <c r="RE18" s="40">
        <f t="shared" si="162"/>
        <v>5.2</v>
      </c>
      <c r="RF18" s="40">
        <f t="shared" si="163"/>
        <v>22.300000000000004</v>
      </c>
      <c r="RG18" s="40">
        <f t="shared" si="164"/>
        <v>44.95000000000001</v>
      </c>
    </row>
    <row r="19" spans="1:475" x14ac:dyDescent="0.2">
      <c r="A19" s="4" t="str">
        <f t="shared" si="0"/>
        <v/>
      </c>
      <c r="B19" s="5" t="s">
        <v>157</v>
      </c>
      <c r="C19" s="4" t="s">
        <v>6</v>
      </c>
      <c r="D19" s="4">
        <v>2004</v>
      </c>
      <c r="E19" s="9">
        <f t="shared" si="1"/>
        <v>112.00000671000447</v>
      </c>
      <c r="F19" s="3" t="str">
        <f t="shared" si="2"/>
        <v/>
      </c>
      <c r="G19" s="3" t="str">
        <f t="shared" si="3"/>
        <v/>
      </c>
      <c r="H19" s="36" t="str">
        <f t="shared" si="4"/>
        <v/>
      </c>
      <c r="I19" s="3" t="str">
        <f t="shared" si="5"/>
        <v/>
      </c>
      <c r="J19" s="8">
        <f>IF(COUNT(AQ19,BT19,CW19)&gt;0,LARGE((AQ19,BT19,CW19),1),0)</f>
        <v>44.8</v>
      </c>
      <c r="K19" s="8" t="str">
        <f t="shared" si="6"/>
        <v>2022 Nationals</v>
      </c>
      <c r="L19" s="8">
        <f>IF(COUNT(AQ19,BT19,CW19)&gt;1,LARGE((AQ19,BT19,CW19),2),0)</f>
        <v>0</v>
      </c>
      <c r="M19" s="8" t="str">
        <f t="shared" si="7"/>
        <v/>
      </c>
      <c r="N19" s="8">
        <f>IF(COUNT(AR19,BU19,CX19)&gt;0,LARGE((AR19,BU19,CX19),1),0)</f>
        <v>22.3</v>
      </c>
      <c r="O19" s="8" t="str">
        <f t="shared" si="8"/>
        <v>2022 Nationals</v>
      </c>
      <c r="P19" s="8">
        <f t="shared" si="9"/>
        <v>44.900000000000006</v>
      </c>
      <c r="Q19" s="8" t="str">
        <f t="shared" si="10"/>
        <v>2022 Nationals</v>
      </c>
      <c r="R19" s="8" t="str">
        <f t="shared" si="11"/>
        <v/>
      </c>
      <c r="S19" s="11" t="str">
        <f t="shared" si="12"/>
        <v/>
      </c>
      <c r="T19" s="8" t="str">
        <f t="shared" si="13"/>
        <v/>
      </c>
      <c r="U19" s="19">
        <v>18.399999999999999</v>
      </c>
      <c r="V19" s="19">
        <v>4.4000000000000004</v>
      </c>
      <c r="W19" s="19">
        <v>0</v>
      </c>
      <c r="X19" s="19">
        <v>0</v>
      </c>
      <c r="Y19" s="19">
        <v>18.399999999999999</v>
      </c>
      <c r="Z19" s="19">
        <v>3.6</v>
      </c>
      <c r="AA19" s="19">
        <v>0</v>
      </c>
      <c r="AB19" s="19">
        <v>0</v>
      </c>
      <c r="AC19" s="19">
        <v>18.8</v>
      </c>
      <c r="AD19" s="19">
        <v>3.5</v>
      </c>
      <c r="AE19" s="19">
        <v>0</v>
      </c>
      <c r="AF19" s="19">
        <v>0</v>
      </c>
      <c r="AG19" s="19">
        <v>18.2</v>
      </c>
      <c r="AH19" s="19">
        <v>4.4000000000000004</v>
      </c>
      <c r="AI19" s="19">
        <v>0</v>
      </c>
      <c r="AJ19" s="19">
        <v>0</v>
      </c>
      <c r="AK19" s="19">
        <v>18.3</v>
      </c>
      <c r="AL19" s="19">
        <v>4</v>
      </c>
      <c r="AM19" s="19">
        <v>0</v>
      </c>
      <c r="AN19" s="19">
        <v>0</v>
      </c>
      <c r="AO19" s="27"/>
      <c r="AP19" s="40">
        <f t="shared" si="14"/>
        <v>8</v>
      </c>
      <c r="AQ19" s="40">
        <f t="shared" si="15"/>
        <v>44.8</v>
      </c>
      <c r="AR19" s="40">
        <f t="shared" si="16"/>
        <v>22.3</v>
      </c>
      <c r="AS19" s="40">
        <f t="shared" si="17"/>
        <v>11.5</v>
      </c>
      <c r="AT19" s="40">
        <f t="shared" si="18"/>
        <v>67.099999999999994</v>
      </c>
      <c r="AU19" s="40">
        <f t="shared" si="19"/>
        <v>8.4</v>
      </c>
      <c r="AV19" s="40">
        <f t="shared" si="20"/>
        <v>44.900000000000006</v>
      </c>
      <c r="AW19" s="40">
        <f t="shared" si="21"/>
        <v>89.7</v>
      </c>
      <c r="AX19" s="18"/>
      <c r="AY19" s="18"/>
      <c r="AZ19" s="18"/>
      <c r="BA19" s="18"/>
      <c r="BB19" s="18"/>
      <c r="BC19" s="18"/>
      <c r="BD19" s="18"/>
      <c r="BE19" s="18"/>
      <c r="BF19" s="18"/>
      <c r="BG19" s="18"/>
      <c r="BH19" s="18"/>
      <c r="BI19" s="18"/>
      <c r="BJ19" s="18"/>
      <c r="BK19" s="18"/>
      <c r="BL19" s="18"/>
      <c r="BM19" s="18"/>
      <c r="BN19" s="18"/>
      <c r="BO19" s="18"/>
      <c r="BP19" s="18"/>
      <c r="BQ19" s="18"/>
      <c r="BR19" s="28"/>
      <c r="BS19" s="11" t="str">
        <f t="shared" si="22"/>
        <v/>
      </c>
      <c r="BT19" s="11" t="str">
        <f t="shared" si="23"/>
        <v/>
      </c>
      <c r="BU19" s="11" t="str">
        <f t="shared" si="24"/>
        <v/>
      </c>
      <c r="BV19" s="11" t="str">
        <f t="shared" si="25"/>
        <v/>
      </c>
      <c r="BW19" s="11" t="str">
        <f t="shared" si="26"/>
        <v/>
      </c>
      <c r="BX19" s="11" t="str">
        <f t="shared" si="27"/>
        <v/>
      </c>
      <c r="BY19" s="11" t="str">
        <f t="shared" si="28"/>
        <v/>
      </c>
      <c r="BZ19" s="11" t="str">
        <f t="shared" si="29"/>
        <v/>
      </c>
      <c r="CA19" s="19"/>
      <c r="CB19" s="19"/>
      <c r="CC19" s="19"/>
      <c r="CD19" s="19"/>
      <c r="CE19" s="19"/>
      <c r="CF19" s="19"/>
      <c r="CG19" s="19"/>
      <c r="CH19" s="19"/>
      <c r="CI19" s="19"/>
      <c r="CJ19" s="19"/>
      <c r="CK19" s="19"/>
      <c r="CL19" s="19"/>
      <c r="CM19" s="19"/>
      <c r="CN19" s="19"/>
      <c r="CO19" s="19"/>
      <c r="CP19" s="19"/>
      <c r="CQ19" s="19"/>
      <c r="CR19" s="19"/>
      <c r="CS19" s="19"/>
      <c r="CT19" s="19"/>
      <c r="CU19" s="27"/>
      <c r="CV19" s="40" t="str">
        <f t="shared" si="30"/>
        <v/>
      </c>
      <c r="CW19" s="40" t="str">
        <f t="shared" si="31"/>
        <v/>
      </c>
      <c r="CX19" s="40" t="str">
        <f t="shared" si="32"/>
        <v/>
      </c>
      <c r="CY19" s="40" t="str">
        <f t="shared" si="33"/>
        <v/>
      </c>
      <c r="CZ19" s="40" t="str">
        <f t="shared" si="34"/>
        <v/>
      </c>
      <c r="DA19" s="40" t="str">
        <f t="shared" si="35"/>
        <v/>
      </c>
      <c r="DB19" s="40" t="str">
        <f t="shared" si="36"/>
        <v/>
      </c>
      <c r="DC19" s="40" t="str">
        <f t="shared" si="37"/>
        <v/>
      </c>
      <c r="DD19" s="50" t="str">
        <f t="shared" si="38"/>
        <v/>
      </c>
      <c r="DE19" s="50" t="str">
        <f t="shared" si="39"/>
        <v/>
      </c>
      <c r="DF19" s="50" t="str">
        <f t="shared" si="40"/>
        <v/>
      </c>
      <c r="DG19" s="17"/>
      <c r="DH19" s="17"/>
      <c r="DI19" s="17"/>
      <c r="DJ19" s="17"/>
      <c r="DK19" s="17"/>
      <c r="DL19" s="17"/>
      <c r="DM19" s="17"/>
      <c r="DN19" s="17"/>
      <c r="DO19" s="17"/>
      <c r="DP19" s="17"/>
      <c r="DQ19" s="17"/>
      <c r="DR19" s="17"/>
      <c r="DS19" s="17"/>
      <c r="DT19" s="17"/>
      <c r="DU19" s="17"/>
      <c r="DV19" s="17"/>
      <c r="DW19" s="17"/>
      <c r="DX19" s="17"/>
      <c r="DY19" s="17"/>
      <c r="DZ19" s="17"/>
      <c r="EA19" s="40" t="str">
        <f t="shared" si="41"/>
        <v/>
      </c>
      <c r="EB19" s="40" t="str">
        <f t="shared" si="42"/>
        <v/>
      </c>
      <c r="EC19" s="40" t="str">
        <f t="shared" si="43"/>
        <v/>
      </c>
      <c r="ED19" s="40" t="str">
        <f t="shared" si="44"/>
        <v/>
      </c>
      <c r="EE19" s="40" t="str">
        <f t="shared" si="45"/>
        <v/>
      </c>
      <c r="EF19" s="40" t="str">
        <f t="shared" si="46"/>
        <v/>
      </c>
      <c r="EG19" s="40" t="str">
        <f t="shared" si="47"/>
        <v/>
      </c>
      <c r="EH19" s="40" t="str">
        <f t="shared" si="48"/>
        <v/>
      </c>
      <c r="EI19" s="18"/>
      <c r="EJ19" s="18"/>
      <c r="EK19" s="18"/>
      <c r="EL19" s="18"/>
      <c r="EM19" s="18"/>
      <c r="EN19" s="18"/>
      <c r="EO19" s="18"/>
      <c r="EP19" s="18"/>
      <c r="EQ19" s="18"/>
      <c r="ER19" s="18"/>
      <c r="ES19" s="18"/>
      <c r="ET19" s="18"/>
      <c r="EU19" s="18"/>
      <c r="EV19" s="18"/>
      <c r="EW19" s="18"/>
      <c r="EX19" s="18"/>
      <c r="EY19" s="18"/>
      <c r="EZ19" s="18"/>
      <c r="FA19" s="18"/>
      <c r="FB19" s="18"/>
      <c r="FC19" s="11" t="str">
        <f t="shared" si="49"/>
        <v/>
      </c>
      <c r="FD19" s="11" t="str">
        <f t="shared" si="50"/>
        <v/>
      </c>
      <c r="FE19" s="11" t="str">
        <f t="shared" si="51"/>
        <v/>
      </c>
      <c r="FF19" s="11" t="str">
        <f t="shared" si="52"/>
        <v/>
      </c>
      <c r="FG19" s="11" t="str">
        <f t="shared" si="53"/>
        <v/>
      </c>
      <c r="FH19" s="11" t="str">
        <f t="shared" si="54"/>
        <v/>
      </c>
      <c r="FI19" s="11" t="str">
        <f t="shared" si="55"/>
        <v/>
      </c>
      <c r="FJ19" s="11" t="str">
        <f t="shared" si="56"/>
        <v/>
      </c>
      <c r="FK19" s="17"/>
      <c r="FL19" s="17"/>
      <c r="FM19" s="17"/>
      <c r="FN19" s="17"/>
      <c r="FO19" s="17"/>
      <c r="FP19" s="17"/>
      <c r="FQ19" s="17"/>
      <c r="FR19" s="17"/>
      <c r="FS19" s="17"/>
      <c r="FT19" s="17"/>
      <c r="FU19" s="17"/>
      <c r="FV19" s="17"/>
      <c r="FW19" s="17"/>
      <c r="FX19" s="17"/>
      <c r="FY19" s="17"/>
      <c r="FZ19" s="17"/>
      <c r="GA19" s="17"/>
      <c r="GB19" s="17"/>
      <c r="GC19" s="17"/>
      <c r="GD19" s="17"/>
      <c r="GE19" s="40" t="str">
        <f t="shared" si="57"/>
        <v/>
      </c>
      <c r="GF19" s="40" t="str">
        <f t="shared" si="58"/>
        <v/>
      </c>
      <c r="GG19" s="40" t="str">
        <f t="shared" si="59"/>
        <v/>
      </c>
      <c r="GH19" s="40" t="str">
        <f t="shared" si="60"/>
        <v/>
      </c>
      <c r="GI19" s="40" t="str">
        <f t="shared" si="61"/>
        <v/>
      </c>
      <c r="GJ19" s="40" t="str">
        <f t="shared" si="62"/>
        <v/>
      </c>
      <c r="GK19" s="40" t="str">
        <f t="shared" si="63"/>
        <v/>
      </c>
      <c r="GL19" s="40" t="str">
        <f t="shared" si="64"/>
        <v/>
      </c>
      <c r="GM19" s="18"/>
      <c r="GN19" s="18"/>
      <c r="GO19" s="18"/>
      <c r="GP19" s="18"/>
      <c r="GQ19" s="18"/>
      <c r="GR19" s="18"/>
      <c r="GS19" s="18"/>
      <c r="GT19" s="18"/>
      <c r="GU19" s="18"/>
      <c r="GV19" s="18"/>
      <c r="GW19" s="18"/>
      <c r="GX19" s="18"/>
      <c r="GY19" s="18"/>
      <c r="GZ19" s="18"/>
      <c r="HA19" s="18"/>
      <c r="HB19" s="18"/>
      <c r="HC19" s="18"/>
      <c r="HD19" s="18"/>
      <c r="HE19" s="18"/>
      <c r="HF19" s="18"/>
      <c r="HG19" s="11" t="str">
        <f t="shared" si="65"/>
        <v/>
      </c>
      <c r="HH19" s="11" t="str">
        <f t="shared" si="66"/>
        <v/>
      </c>
      <c r="HI19" s="11" t="str">
        <f t="shared" si="67"/>
        <v/>
      </c>
      <c r="HJ19" s="11" t="str">
        <f t="shared" si="68"/>
        <v/>
      </c>
      <c r="HK19" s="11" t="str">
        <f t="shared" si="69"/>
        <v/>
      </c>
      <c r="HL19" s="11" t="str">
        <f t="shared" si="70"/>
        <v/>
      </c>
      <c r="HM19" s="11" t="str">
        <f t="shared" si="71"/>
        <v/>
      </c>
      <c r="HN19" s="11" t="str">
        <f t="shared" si="72"/>
        <v/>
      </c>
      <c r="HO19" s="17"/>
      <c r="HP19" s="17"/>
      <c r="HQ19" s="17"/>
      <c r="HR19" s="17"/>
      <c r="HS19" s="17"/>
      <c r="HT19" s="17"/>
      <c r="HU19" s="17"/>
      <c r="HV19" s="17"/>
      <c r="HW19" s="17"/>
      <c r="HX19" s="17"/>
      <c r="HY19" s="17"/>
      <c r="HZ19" s="17"/>
      <c r="IA19" s="17"/>
      <c r="IB19" s="17"/>
      <c r="IC19" s="17"/>
      <c r="ID19" s="17"/>
      <c r="IE19" s="17"/>
      <c r="IF19" s="17"/>
      <c r="IG19" s="17"/>
      <c r="IH19" s="17"/>
      <c r="II19" s="40" t="str">
        <f t="shared" si="73"/>
        <v/>
      </c>
      <c r="IJ19" s="40" t="str">
        <f t="shared" si="74"/>
        <v/>
      </c>
      <c r="IK19" s="40" t="str">
        <f t="shared" si="75"/>
        <v/>
      </c>
      <c r="IL19" s="40" t="str">
        <f t="shared" si="76"/>
        <v/>
      </c>
      <c r="IM19" s="40" t="str">
        <f t="shared" si="77"/>
        <v/>
      </c>
      <c r="IN19" s="40" t="str">
        <f t="shared" si="78"/>
        <v/>
      </c>
      <c r="IO19" s="40" t="str">
        <f t="shared" si="79"/>
        <v/>
      </c>
      <c r="IP19" s="40" t="str">
        <f t="shared" si="80"/>
        <v/>
      </c>
      <c r="IQ19" s="18"/>
      <c r="IR19" s="18"/>
      <c r="IS19" s="18"/>
      <c r="IT19" s="18"/>
      <c r="IU19" s="18"/>
      <c r="IV19" s="18"/>
      <c r="IW19" s="18"/>
      <c r="IX19" s="18"/>
      <c r="IY19" s="18"/>
      <c r="IZ19" s="18"/>
      <c r="JA19" s="18"/>
      <c r="JB19" s="18"/>
      <c r="JC19" s="18"/>
      <c r="JD19" s="18"/>
      <c r="JE19" s="18"/>
      <c r="JF19" s="18"/>
      <c r="JG19" s="18"/>
      <c r="JH19" s="18"/>
      <c r="JI19" s="18"/>
      <c r="JJ19" s="18"/>
      <c r="JK19" s="11" t="str">
        <f t="shared" si="81"/>
        <v/>
      </c>
      <c r="JL19" s="11" t="str">
        <f t="shared" si="82"/>
        <v/>
      </c>
      <c r="JM19" s="11" t="str">
        <f t="shared" si="83"/>
        <v/>
      </c>
      <c r="JN19" s="11" t="str">
        <f t="shared" si="84"/>
        <v/>
      </c>
      <c r="JO19" s="11" t="str">
        <f t="shared" si="85"/>
        <v/>
      </c>
      <c r="JP19" s="11" t="str">
        <f t="shared" si="86"/>
        <v/>
      </c>
      <c r="JQ19" s="11" t="str">
        <f t="shared" si="87"/>
        <v/>
      </c>
      <c r="JR19" s="11" t="str">
        <f t="shared" si="88"/>
        <v/>
      </c>
      <c r="JS19" s="17"/>
      <c r="JT19" s="17"/>
      <c r="JU19" s="17"/>
      <c r="JV19" s="17"/>
      <c r="JW19" s="17"/>
      <c r="JX19" s="17"/>
      <c r="JY19" s="17"/>
      <c r="JZ19" s="17"/>
      <c r="KA19" s="17"/>
      <c r="KB19" s="17"/>
      <c r="KC19" s="17"/>
      <c r="KD19" s="17"/>
      <c r="KE19" s="17"/>
      <c r="KF19" s="17"/>
      <c r="KG19" s="17"/>
      <c r="KH19" s="17"/>
      <c r="KI19" s="17"/>
      <c r="KJ19" s="17"/>
      <c r="KK19" s="17"/>
      <c r="KL19" s="17"/>
      <c r="KM19" s="40" t="str">
        <f t="shared" si="89"/>
        <v/>
      </c>
      <c r="KN19" s="40" t="str">
        <f t="shared" si="90"/>
        <v/>
      </c>
      <c r="KO19" s="40" t="str">
        <f t="shared" si="91"/>
        <v/>
      </c>
      <c r="KP19" s="40" t="str">
        <f t="shared" si="92"/>
        <v/>
      </c>
      <c r="KQ19" s="40" t="str">
        <f t="shared" si="93"/>
        <v/>
      </c>
      <c r="KR19" s="40" t="str">
        <f t="shared" si="94"/>
        <v/>
      </c>
      <c r="KS19" s="40" t="str">
        <f t="shared" si="95"/>
        <v/>
      </c>
      <c r="KT19" s="40" t="str">
        <f t="shared" si="96"/>
        <v/>
      </c>
      <c r="KU19" s="18"/>
      <c r="KV19" s="18"/>
      <c r="KW19" s="18"/>
      <c r="KX19" s="18"/>
      <c r="KY19" s="18"/>
      <c r="KZ19" s="18"/>
      <c r="LA19" s="18"/>
      <c r="LB19" s="18"/>
      <c r="LC19" s="18"/>
      <c r="LD19" s="18"/>
      <c r="LE19" s="18"/>
      <c r="LF19" s="18"/>
      <c r="LG19" s="18"/>
      <c r="LH19" s="18"/>
      <c r="LI19" s="18"/>
      <c r="LJ19" s="18"/>
      <c r="LK19" s="18"/>
      <c r="LL19" s="18"/>
      <c r="LM19" s="18"/>
      <c r="LN19" s="18"/>
      <c r="LO19" s="11" t="str">
        <f t="shared" si="97"/>
        <v/>
      </c>
      <c r="LP19" s="11" t="str">
        <f t="shared" si="98"/>
        <v/>
      </c>
      <c r="LQ19" s="11" t="str">
        <f t="shared" si="99"/>
        <v/>
      </c>
      <c r="LR19" s="11" t="str">
        <f t="shared" si="100"/>
        <v/>
      </c>
      <c r="LS19" s="11" t="str">
        <f t="shared" si="101"/>
        <v/>
      </c>
      <c r="LT19" s="11" t="str">
        <f t="shared" si="102"/>
        <v/>
      </c>
      <c r="LU19" s="11" t="str">
        <f t="shared" si="103"/>
        <v/>
      </c>
      <c r="LV19" s="11" t="str">
        <f t="shared" si="104"/>
        <v/>
      </c>
      <c r="LW19" s="17"/>
      <c r="LX19" s="17"/>
      <c r="LY19" s="17"/>
      <c r="LZ19" s="17"/>
      <c r="MA19" s="17"/>
      <c r="MB19" s="17"/>
      <c r="MC19" s="17"/>
      <c r="MD19" s="17"/>
      <c r="ME19" s="17"/>
      <c r="MF19" s="17"/>
      <c r="MG19" s="17"/>
      <c r="MH19" s="17"/>
      <c r="MI19" s="17"/>
      <c r="MJ19" s="17"/>
      <c r="MK19" s="17"/>
      <c r="ML19" s="17"/>
      <c r="MM19" s="17"/>
      <c r="MN19" s="17"/>
      <c r="MO19" s="17"/>
      <c r="MP19" s="17"/>
      <c r="MQ19" s="40" t="str">
        <f t="shared" si="105"/>
        <v/>
      </c>
      <c r="MR19" s="40" t="str">
        <f t="shared" si="106"/>
        <v/>
      </c>
      <c r="MS19" s="40" t="str">
        <f t="shared" si="107"/>
        <v/>
      </c>
      <c r="MT19" s="40" t="str">
        <f t="shared" si="108"/>
        <v/>
      </c>
      <c r="MU19" s="40" t="str">
        <f t="shared" si="109"/>
        <v/>
      </c>
      <c r="MV19" s="40" t="str">
        <f t="shared" si="110"/>
        <v/>
      </c>
      <c r="MW19" s="40" t="str">
        <f t="shared" si="111"/>
        <v/>
      </c>
      <c r="MX19" s="40" t="str">
        <f t="shared" si="112"/>
        <v/>
      </c>
      <c r="MY19" s="18"/>
      <c r="MZ19" s="18"/>
      <c r="NA19" s="18"/>
      <c r="NB19" s="18"/>
      <c r="NC19" s="18"/>
      <c r="ND19" s="18"/>
      <c r="NE19" s="18"/>
      <c r="NF19" s="18"/>
      <c r="NG19" s="18"/>
      <c r="NH19" s="18"/>
      <c r="NI19" s="18"/>
      <c r="NJ19" s="18"/>
      <c r="NK19" s="18"/>
      <c r="NL19" s="18"/>
      <c r="NM19" s="18"/>
      <c r="NN19" s="18"/>
      <c r="NO19" s="18"/>
      <c r="NP19" s="18"/>
      <c r="NQ19" s="18"/>
      <c r="NR19" s="18"/>
      <c r="NS19" s="11" t="str">
        <f t="shared" si="113"/>
        <v/>
      </c>
      <c r="NT19" s="11" t="str">
        <f t="shared" si="114"/>
        <v/>
      </c>
      <c r="NU19" s="11" t="str">
        <f t="shared" si="115"/>
        <v/>
      </c>
      <c r="NV19" s="11" t="str">
        <f t="shared" si="116"/>
        <v/>
      </c>
      <c r="NW19" s="11" t="str">
        <f t="shared" si="117"/>
        <v/>
      </c>
      <c r="NX19" s="11" t="str">
        <f t="shared" si="118"/>
        <v/>
      </c>
      <c r="NY19" s="11" t="str">
        <f t="shared" si="119"/>
        <v/>
      </c>
      <c r="NZ19" s="11" t="str">
        <f t="shared" si="120"/>
        <v/>
      </c>
      <c r="OA19" s="17"/>
      <c r="OB19" s="17"/>
      <c r="OC19" s="17"/>
      <c r="OD19" s="17"/>
      <c r="OE19" s="17"/>
      <c r="OF19" s="17"/>
      <c r="OG19" s="17"/>
      <c r="OH19" s="17"/>
      <c r="OI19" s="17"/>
      <c r="OJ19" s="17"/>
      <c r="OK19" s="17"/>
      <c r="OL19" s="17"/>
      <c r="OM19" s="17"/>
      <c r="ON19" s="17"/>
      <c r="OO19" s="17"/>
      <c r="OP19" s="17"/>
      <c r="OQ19" s="17"/>
      <c r="OR19" s="17"/>
      <c r="OS19" s="17"/>
      <c r="OT19" s="17"/>
      <c r="OU19" s="40" t="str">
        <f t="shared" si="121"/>
        <v/>
      </c>
      <c r="OV19" s="40" t="str">
        <f t="shared" si="122"/>
        <v/>
      </c>
      <c r="OW19" s="40" t="str">
        <f t="shared" si="123"/>
        <v/>
      </c>
      <c r="OX19" s="40" t="str">
        <f t="shared" si="124"/>
        <v/>
      </c>
      <c r="OY19" s="40" t="str">
        <f t="shared" si="125"/>
        <v/>
      </c>
      <c r="OZ19" s="40" t="str">
        <f t="shared" si="126"/>
        <v/>
      </c>
      <c r="PA19" s="40" t="str">
        <f t="shared" si="127"/>
        <v/>
      </c>
      <c r="PB19" s="40" t="str">
        <f t="shared" si="128"/>
        <v/>
      </c>
      <c r="PC19" s="18"/>
      <c r="PD19" s="18"/>
      <c r="PE19" s="18"/>
      <c r="PF19" s="18"/>
      <c r="PG19" s="18"/>
      <c r="PH19" s="18"/>
      <c r="PI19" s="18"/>
      <c r="PJ19" s="18"/>
      <c r="PK19" s="18"/>
      <c r="PL19" s="18"/>
      <c r="PM19" s="18"/>
      <c r="PN19" s="18"/>
      <c r="PO19" s="18"/>
      <c r="PP19" s="18"/>
      <c r="PQ19" s="18"/>
      <c r="PR19" s="18"/>
      <c r="PS19" s="18"/>
      <c r="PT19" s="18"/>
      <c r="PU19" s="18"/>
      <c r="PV19" s="18"/>
      <c r="PW19" s="11" t="str">
        <f t="shared" si="129"/>
        <v/>
      </c>
      <c r="PX19" s="11" t="str">
        <f t="shared" si="130"/>
        <v/>
      </c>
      <c r="PY19" s="11" t="str">
        <f t="shared" si="131"/>
        <v/>
      </c>
      <c r="PZ19" s="11" t="str">
        <f t="shared" si="132"/>
        <v/>
      </c>
      <c r="QA19" s="11" t="str">
        <f t="shared" si="133"/>
        <v/>
      </c>
      <c r="QB19" s="11" t="str">
        <f t="shared" si="134"/>
        <v/>
      </c>
      <c r="QC19" s="11" t="str">
        <f t="shared" si="135"/>
        <v/>
      </c>
      <c r="QD19" s="11" t="str">
        <f t="shared" si="136"/>
        <v/>
      </c>
      <c r="QE19" s="22">
        <f t="shared" si="137"/>
        <v>0</v>
      </c>
      <c r="QF19" s="22">
        <f t="shared" si="138"/>
        <v>0</v>
      </c>
      <c r="QG19" s="22">
        <f t="shared" si="139"/>
        <v>0</v>
      </c>
      <c r="QH19" s="22">
        <f t="shared" si="140"/>
        <v>0</v>
      </c>
      <c r="QI19" s="22">
        <f t="shared" si="141"/>
        <v>0</v>
      </c>
      <c r="QJ19" s="22">
        <f t="shared" si="142"/>
        <v>0</v>
      </c>
      <c r="QK19" s="22">
        <f t="shared" si="143"/>
        <v>0</v>
      </c>
      <c r="QL19" s="22">
        <f t="shared" si="144"/>
        <v>0</v>
      </c>
      <c r="QM19" s="22">
        <f t="shared" si="145"/>
        <v>0</v>
      </c>
      <c r="QN19" s="22">
        <f t="shared" si="146"/>
        <v>0</v>
      </c>
      <c r="QO19" s="22">
        <f t="shared" si="147"/>
        <v>0</v>
      </c>
      <c r="QP19" s="22">
        <f t="shared" si="148"/>
        <v>0</v>
      </c>
      <c r="QQ19" s="22">
        <f t="shared" si="149"/>
        <v>0</v>
      </c>
      <c r="QR19" s="22">
        <f t="shared" si="150"/>
        <v>0</v>
      </c>
      <c r="QS19" s="22">
        <f t="shared" si="151"/>
        <v>0</v>
      </c>
      <c r="QT19" s="22">
        <f t="shared" si="152"/>
        <v>0</v>
      </c>
      <c r="QU19" s="22">
        <f t="shared" si="153"/>
        <v>0</v>
      </c>
      <c r="QV19" s="22">
        <f t="shared" si="154"/>
        <v>0</v>
      </c>
      <c r="QW19" s="22">
        <f t="shared" si="155"/>
        <v>0</v>
      </c>
      <c r="QX19" s="22">
        <f t="shared" si="156"/>
        <v>0</v>
      </c>
      <c r="QY19" s="27" t="s">
        <v>46</v>
      </c>
      <c r="QZ19" s="40" t="str">
        <f t="shared" si="157"/>
        <v/>
      </c>
      <c r="RA19" s="40" t="str">
        <f t="shared" si="158"/>
        <v/>
      </c>
      <c r="RB19" s="40" t="str">
        <f t="shared" si="159"/>
        <v/>
      </c>
      <c r="RC19" s="40" t="str">
        <f t="shared" si="160"/>
        <v/>
      </c>
      <c r="RD19" s="40" t="str">
        <f t="shared" si="161"/>
        <v/>
      </c>
      <c r="RE19" s="40" t="str">
        <f t="shared" si="162"/>
        <v/>
      </c>
      <c r="RF19" s="40" t="str">
        <f t="shared" si="163"/>
        <v/>
      </c>
      <c r="RG19" s="40" t="str">
        <f t="shared" si="164"/>
        <v/>
      </c>
    </row>
    <row r="20" spans="1:475" x14ac:dyDescent="0.2">
      <c r="A20" s="4" t="str">
        <f t="shared" si="0"/>
        <v/>
      </c>
      <c r="B20" s="5" t="s">
        <v>220</v>
      </c>
      <c r="C20" s="4" t="s">
        <v>5</v>
      </c>
      <c r="D20" s="4">
        <v>2002</v>
      </c>
      <c r="E20" s="9">
        <f t="shared" si="1"/>
        <v>107.6000063800043</v>
      </c>
      <c r="F20" s="3" t="str">
        <f t="shared" si="2"/>
        <v/>
      </c>
      <c r="G20" s="3" t="str">
        <f t="shared" si="3"/>
        <v/>
      </c>
      <c r="H20" s="36" t="str">
        <f t="shared" si="4"/>
        <v/>
      </c>
      <c r="I20" s="3" t="str">
        <f t="shared" si="5"/>
        <v/>
      </c>
      <c r="J20" s="8">
        <f>IF(COUNT(AQ20,BT20,CW20)&gt;0,LARGE((AQ20,BT20,CW20),1),0)</f>
        <v>43</v>
      </c>
      <c r="K20" s="8" t="str">
        <f t="shared" si="6"/>
        <v>2023 Elite Canada</v>
      </c>
      <c r="L20" s="8">
        <f>IF(COUNT(AQ20,BT20,CW20)&gt;1,LARGE((AQ20,BT20,CW20),2),0)</f>
        <v>0</v>
      </c>
      <c r="M20" s="8" t="str">
        <f t="shared" si="7"/>
        <v/>
      </c>
      <c r="N20" s="8">
        <f>IF(COUNT(AR20,BU20,CX20)&gt;0,LARGE((AR20,BU20,CX20),1),0)</f>
        <v>20.799999999999997</v>
      </c>
      <c r="O20" s="8" t="str">
        <f t="shared" si="8"/>
        <v>2023 Elite Canada</v>
      </c>
      <c r="P20" s="8">
        <f t="shared" si="9"/>
        <v>43.800000000000004</v>
      </c>
      <c r="Q20" s="8" t="str">
        <f t="shared" si="10"/>
        <v>2023 Elite Canada</v>
      </c>
      <c r="R20" s="8" t="str">
        <f t="shared" si="11"/>
        <v/>
      </c>
      <c r="S20" s="11" t="str">
        <f t="shared" si="12"/>
        <v/>
      </c>
      <c r="T20" s="8" t="str">
        <f t="shared" si="13"/>
        <v/>
      </c>
      <c r="U20" s="19"/>
      <c r="V20" s="19"/>
      <c r="W20" s="19"/>
      <c r="X20" s="19"/>
      <c r="Y20" s="19"/>
      <c r="Z20" s="19"/>
      <c r="AA20" s="19"/>
      <c r="AB20" s="19"/>
      <c r="AC20" s="19"/>
      <c r="AD20" s="19"/>
      <c r="AE20" s="19"/>
      <c r="AF20" s="19"/>
      <c r="AG20" s="19"/>
      <c r="AH20" s="19"/>
      <c r="AI20" s="19"/>
      <c r="AJ20" s="19"/>
      <c r="AK20" s="19"/>
      <c r="AL20" s="19"/>
      <c r="AM20" s="19"/>
      <c r="AN20" s="19"/>
      <c r="AO20" s="27"/>
      <c r="AP20" s="40" t="str">
        <f t="shared" si="14"/>
        <v/>
      </c>
      <c r="AQ20" s="40" t="str">
        <f t="shared" si="15"/>
        <v/>
      </c>
      <c r="AR20" s="40" t="str">
        <f t="shared" si="16"/>
        <v/>
      </c>
      <c r="AS20" s="40" t="str">
        <f t="shared" si="17"/>
        <v/>
      </c>
      <c r="AT20" s="40" t="str">
        <f t="shared" si="18"/>
        <v/>
      </c>
      <c r="AU20" s="40" t="str">
        <f t="shared" si="19"/>
        <v/>
      </c>
      <c r="AV20" s="40" t="str">
        <f t="shared" si="20"/>
        <v/>
      </c>
      <c r="AW20" s="40" t="str">
        <f t="shared" si="21"/>
        <v/>
      </c>
      <c r="AX20" s="18"/>
      <c r="AY20" s="18"/>
      <c r="AZ20" s="18"/>
      <c r="BA20" s="18"/>
      <c r="BB20" s="18"/>
      <c r="BC20" s="18"/>
      <c r="BD20" s="18"/>
      <c r="BE20" s="18"/>
      <c r="BF20" s="18"/>
      <c r="BG20" s="18"/>
      <c r="BH20" s="18"/>
      <c r="BI20" s="18"/>
      <c r="BJ20" s="18"/>
      <c r="BK20" s="18"/>
      <c r="BL20" s="18"/>
      <c r="BM20" s="18"/>
      <c r="BN20" s="18"/>
      <c r="BO20" s="18"/>
      <c r="BP20" s="18"/>
      <c r="BQ20" s="18"/>
      <c r="BR20" s="28"/>
      <c r="BS20" s="11" t="str">
        <f t="shared" si="22"/>
        <v/>
      </c>
      <c r="BT20" s="11" t="str">
        <f t="shared" si="23"/>
        <v/>
      </c>
      <c r="BU20" s="11" t="str">
        <f t="shared" si="24"/>
        <v/>
      </c>
      <c r="BV20" s="11" t="str">
        <f t="shared" si="25"/>
        <v/>
      </c>
      <c r="BW20" s="11" t="str">
        <f t="shared" si="26"/>
        <v/>
      </c>
      <c r="BX20" s="11" t="str">
        <f t="shared" si="27"/>
        <v/>
      </c>
      <c r="BY20" s="11" t="str">
        <f t="shared" si="28"/>
        <v/>
      </c>
      <c r="BZ20" s="11" t="str">
        <f t="shared" si="29"/>
        <v/>
      </c>
      <c r="CA20" s="19">
        <v>18.8</v>
      </c>
      <c r="CB20" s="19">
        <v>2.7</v>
      </c>
      <c r="CC20" s="19">
        <v>0.3</v>
      </c>
      <c r="CD20" s="19">
        <v>0</v>
      </c>
      <c r="CE20" s="19">
        <v>18.399999999999999</v>
      </c>
      <c r="CF20" s="19">
        <v>3.6</v>
      </c>
      <c r="CG20" s="19">
        <v>0.2</v>
      </c>
      <c r="CH20" s="19">
        <v>0</v>
      </c>
      <c r="CI20" s="19">
        <v>18</v>
      </c>
      <c r="CJ20" s="19">
        <v>2.9</v>
      </c>
      <c r="CK20" s="19">
        <v>0.1</v>
      </c>
      <c r="CL20" s="19">
        <v>0</v>
      </c>
      <c r="CM20" s="19">
        <v>18.600000000000001</v>
      </c>
      <c r="CN20" s="19">
        <v>3.1</v>
      </c>
      <c r="CO20" s="19">
        <v>0</v>
      </c>
      <c r="CP20" s="19">
        <v>0</v>
      </c>
      <c r="CQ20" s="19">
        <v>18.899999999999999</v>
      </c>
      <c r="CR20" s="19">
        <v>3.2</v>
      </c>
      <c r="CS20" s="19">
        <v>0</v>
      </c>
      <c r="CT20" s="19">
        <v>0</v>
      </c>
      <c r="CU20" s="27"/>
      <c r="CV20" s="40">
        <f t="shared" si="30"/>
        <v>6.3000000000000007</v>
      </c>
      <c r="CW20" s="40">
        <f t="shared" si="31"/>
        <v>43</v>
      </c>
      <c r="CX20" s="40">
        <f t="shared" si="32"/>
        <v>20.799999999999997</v>
      </c>
      <c r="CY20" s="40">
        <f t="shared" si="33"/>
        <v>9.2000000000000011</v>
      </c>
      <c r="CZ20" s="40">
        <f t="shared" si="34"/>
        <v>63.8</v>
      </c>
      <c r="DA20" s="40">
        <f t="shared" si="35"/>
        <v>6.3000000000000007</v>
      </c>
      <c r="DB20" s="40">
        <f t="shared" si="36"/>
        <v>43.800000000000004</v>
      </c>
      <c r="DC20" s="40">
        <f t="shared" si="37"/>
        <v>86.800000000000011</v>
      </c>
      <c r="DD20" s="50" t="str">
        <f t="shared" si="38"/>
        <v/>
      </c>
      <c r="DE20" s="50" t="str">
        <f t="shared" si="39"/>
        <v/>
      </c>
      <c r="DF20" s="50" t="str">
        <f t="shared" si="40"/>
        <v/>
      </c>
      <c r="DG20" s="17"/>
      <c r="DH20" s="17"/>
      <c r="DI20" s="17"/>
      <c r="DJ20" s="17"/>
      <c r="DK20" s="17"/>
      <c r="DL20" s="17"/>
      <c r="DM20" s="17"/>
      <c r="DN20" s="17"/>
      <c r="DO20" s="17"/>
      <c r="DP20" s="17"/>
      <c r="DQ20" s="17"/>
      <c r="DR20" s="17"/>
      <c r="DS20" s="17"/>
      <c r="DT20" s="17"/>
      <c r="DU20" s="17"/>
      <c r="DV20" s="17"/>
      <c r="DW20" s="17"/>
      <c r="DX20" s="17"/>
      <c r="DY20" s="17"/>
      <c r="DZ20" s="17"/>
      <c r="EA20" s="40" t="str">
        <f t="shared" si="41"/>
        <v/>
      </c>
      <c r="EB20" s="40" t="str">
        <f t="shared" si="42"/>
        <v/>
      </c>
      <c r="EC20" s="40" t="str">
        <f t="shared" si="43"/>
        <v/>
      </c>
      <c r="ED20" s="40" t="str">
        <f t="shared" si="44"/>
        <v/>
      </c>
      <c r="EE20" s="40" t="str">
        <f t="shared" si="45"/>
        <v/>
      </c>
      <c r="EF20" s="40" t="str">
        <f t="shared" si="46"/>
        <v/>
      </c>
      <c r="EG20" s="40" t="str">
        <f t="shared" si="47"/>
        <v/>
      </c>
      <c r="EH20" s="40" t="str">
        <f t="shared" si="48"/>
        <v/>
      </c>
      <c r="EI20" s="18"/>
      <c r="EJ20" s="18"/>
      <c r="EK20" s="18"/>
      <c r="EL20" s="18"/>
      <c r="EM20" s="18"/>
      <c r="EN20" s="18"/>
      <c r="EO20" s="18"/>
      <c r="EP20" s="18"/>
      <c r="EQ20" s="18"/>
      <c r="ER20" s="18"/>
      <c r="ES20" s="18"/>
      <c r="ET20" s="18"/>
      <c r="EU20" s="18"/>
      <c r="EV20" s="18"/>
      <c r="EW20" s="18"/>
      <c r="EX20" s="18"/>
      <c r="EY20" s="18"/>
      <c r="EZ20" s="18"/>
      <c r="FA20" s="18"/>
      <c r="FB20" s="18"/>
      <c r="FC20" s="11" t="str">
        <f t="shared" si="49"/>
        <v/>
      </c>
      <c r="FD20" s="11" t="str">
        <f t="shared" si="50"/>
        <v/>
      </c>
      <c r="FE20" s="11" t="str">
        <f t="shared" si="51"/>
        <v/>
      </c>
      <c r="FF20" s="11" t="str">
        <f t="shared" si="52"/>
        <v/>
      </c>
      <c r="FG20" s="11" t="str">
        <f t="shared" si="53"/>
        <v/>
      </c>
      <c r="FH20" s="11" t="str">
        <f t="shared" si="54"/>
        <v/>
      </c>
      <c r="FI20" s="11" t="str">
        <f t="shared" si="55"/>
        <v/>
      </c>
      <c r="FJ20" s="11" t="str">
        <f t="shared" si="56"/>
        <v/>
      </c>
      <c r="FK20" s="17"/>
      <c r="FL20" s="17"/>
      <c r="FM20" s="17"/>
      <c r="FN20" s="17"/>
      <c r="FO20" s="17"/>
      <c r="FP20" s="17"/>
      <c r="FQ20" s="17"/>
      <c r="FR20" s="17"/>
      <c r="FS20" s="17"/>
      <c r="FT20" s="17"/>
      <c r="FU20" s="17"/>
      <c r="FV20" s="17"/>
      <c r="FW20" s="17"/>
      <c r="FX20" s="17"/>
      <c r="FY20" s="17"/>
      <c r="FZ20" s="17"/>
      <c r="GA20" s="17"/>
      <c r="GB20" s="17"/>
      <c r="GC20" s="17"/>
      <c r="GD20" s="17"/>
      <c r="GE20" s="40" t="str">
        <f t="shared" si="57"/>
        <v/>
      </c>
      <c r="GF20" s="40" t="str">
        <f t="shared" si="58"/>
        <v/>
      </c>
      <c r="GG20" s="40" t="str">
        <f t="shared" si="59"/>
        <v/>
      </c>
      <c r="GH20" s="40" t="str">
        <f t="shared" si="60"/>
        <v/>
      </c>
      <c r="GI20" s="40" t="str">
        <f t="shared" si="61"/>
        <v/>
      </c>
      <c r="GJ20" s="40" t="str">
        <f t="shared" si="62"/>
        <v/>
      </c>
      <c r="GK20" s="40" t="str">
        <f t="shared" si="63"/>
        <v/>
      </c>
      <c r="GL20" s="40" t="str">
        <f t="shared" si="64"/>
        <v/>
      </c>
      <c r="GM20" s="18"/>
      <c r="GN20" s="18"/>
      <c r="GO20" s="18"/>
      <c r="GP20" s="18"/>
      <c r="GQ20" s="18"/>
      <c r="GR20" s="18"/>
      <c r="GS20" s="18"/>
      <c r="GT20" s="18"/>
      <c r="GU20" s="18"/>
      <c r="GV20" s="18"/>
      <c r="GW20" s="18"/>
      <c r="GX20" s="18"/>
      <c r="GY20" s="18"/>
      <c r="GZ20" s="18"/>
      <c r="HA20" s="18"/>
      <c r="HB20" s="18"/>
      <c r="HC20" s="18"/>
      <c r="HD20" s="18"/>
      <c r="HE20" s="18"/>
      <c r="HF20" s="18"/>
      <c r="HG20" s="11" t="str">
        <f t="shared" si="65"/>
        <v/>
      </c>
      <c r="HH20" s="11" t="str">
        <f t="shared" si="66"/>
        <v/>
      </c>
      <c r="HI20" s="11" t="str">
        <f t="shared" si="67"/>
        <v/>
      </c>
      <c r="HJ20" s="11" t="str">
        <f t="shared" si="68"/>
        <v/>
      </c>
      <c r="HK20" s="11" t="str">
        <f t="shared" si="69"/>
        <v/>
      </c>
      <c r="HL20" s="11" t="str">
        <f t="shared" si="70"/>
        <v/>
      </c>
      <c r="HM20" s="11" t="str">
        <f t="shared" si="71"/>
        <v/>
      </c>
      <c r="HN20" s="11" t="str">
        <f t="shared" si="72"/>
        <v/>
      </c>
      <c r="HO20" s="17"/>
      <c r="HP20" s="17"/>
      <c r="HQ20" s="17"/>
      <c r="HR20" s="17"/>
      <c r="HS20" s="17"/>
      <c r="HT20" s="17"/>
      <c r="HU20" s="17"/>
      <c r="HV20" s="17"/>
      <c r="HW20" s="17"/>
      <c r="HX20" s="17"/>
      <c r="HY20" s="17"/>
      <c r="HZ20" s="17"/>
      <c r="IA20" s="17"/>
      <c r="IB20" s="17"/>
      <c r="IC20" s="17"/>
      <c r="ID20" s="17"/>
      <c r="IE20" s="17"/>
      <c r="IF20" s="17"/>
      <c r="IG20" s="17"/>
      <c r="IH20" s="17"/>
      <c r="II20" s="40" t="str">
        <f t="shared" si="73"/>
        <v/>
      </c>
      <c r="IJ20" s="40" t="str">
        <f t="shared" si="74"/>
        <v/>
      </c>
      <c r="IK20" s="40" t="str">
        <f t="shared" si="75"/>
        <v/>
      </c>
      <c r="IL20" s="40" t="str">
        <f t="shared" si="76"/>
        <v/>
      </c>
      <c r="IM20" s="40" t="str">
        <f t="shared" si="77"/>
        <v/>
      </c>
      <c r="IN20" s="40" t="str">
        <f t="shared" si="78"/>
        <v/>
      </c>
      <c r="IO20" s="40" t="str">
        <f t="shared" si="79"/>
        <v/>
      </c>
      <c r="IP20" s="40" t="str">
        <f t="shared" si="80"/>
        <v/>
      </c>
      <c r="IQ20" s="18"/>
      <c r="IR20" s="18"/>
      <c r="IS20" s="18"/>
      <c r="IT20" s="18"/>
      <c r="IU20" s="18"/>
      <c r="IV20" s="18"/>
      <c r="IW20" s="18"/>
      <c r="IX20" s="18"/>
      <c r="IY20" s="18"/>
      <c r="IZ20" s="18"/>
      <c r="JA20" s="18"/>
      <c r="JB20" s="18"/>
      <c r="JC20" s="18"/>
      <c r="JD20" s="18"/>
      <c r="JE20" s="18"/>
      <c r="JF20" s="18"/>
      <c r="JG20" s="18"/>
      <c r="JH20" s="18"/>
      <c r="JI20" s="18"/>
      <c r="JJ20" s="18"/>
      <c r="JK20" s="11" t="str">
        <f t="shared" si="81"/>
        <v/>
      </c>
      <c r="JL20" s="11" t="str">
        <f t="shared" si="82"/>
        <v/>
      </c>
      <c r="JM20" s="11" t="str">
        <f t="shared" si="83"/>
        <v/>
      </c>
      <c r="JN20" s="11" t="str">
        <f t="shared" si="84"/>
        <v/>
      </c>
      <c r="JO20" s="11" t="str">
        <f t="shared" si="85"/>
        <v/>
      </c>
      <c r="JP20" s="11" t="str">
        <f t="shared" si="86"/>
        <v/>
      </c>
      <c r="JQ20" s="11" t="str">
        <f t="shared" si="87"/>
        <v/>
      </c>
      <c r="JR20" s="11" t="str">
        <f t="shared" si="88"/>
        <v/>
      </c>
      <c r="JS20" s="17"/>
      <c r="JT20" s="17"/>
      <c r="JU20" s="17"/>
      <c r="JV20" s="17"/>
      <c r="JW20" s="17"/>
      <c r="JX20" s="17"/>
      <c r="JY20" s="17"/>
      <c r="JZ20" s="17"/>
      <c r="KA20" s="17"/>
      <c r="KB20" s="17"/>
      <c r="KC20" s="17"/>
      <c r="KD20" s="17"/>
      <c r="KE20" s="17"/>
      <c r="KF20" s="17"/>
      <c r="KG20" s="17"/>
      <c r="KH20" s="17"/>
      <c r="KI20" s="17"/>
      <c r="KJ20" s="17"/>
      <c r="KK20" s="17"/>
      <c r="KL20" s="17"/>
      <c r="KM20" s="40" t="str">
        <f t="shared" si="89"/>
        <v/>
      </c>
      <c r="KN20" s="40" t="str">
        <f t="shared" si="90"/>
        <v/>
      </c>
      <c r="KO20" s="40" t="str">
        <f t="shared" si="91"/>
        <v/>
      </c>
      <c r="KP20" s="40" t="str">
        <f t="shared" si="92"/>
        <v/>
      </c>
      <c r="KQ20" s="40" t="str">
        <f t="shared" si="93"/>
        <v/>
      </c>
      <c r="KR20" s="40" t="str">
        <f t="shared" si="94"/>
        <v/>
      </c>
      <c r="KS20" s="40" t="str">
        <f t="shared" si="95"/>
        <v/>
      </c>
      <c r="KT20" s="40" t="str">
        <f t="shared" si="96"/>
        <v/>
      </c>
      <c r="KU20" s="18"/>
      <c r="KV20" s="18"/>
      <c r="KW20" s="18"/>
      <c r="KX20" s="18"/>
      <c r="KY20" s="18"/>
      <c r="KZ20" s="18"/>
      <c r="LA20" s="18"/>
      <c r="LB20" s="18"/>
      <c r="LC20" s="18"/>
      <c r="LD20" s="18"/>
      <c r="LE20" s="18"/>
      <c r="LF20" s="18"/>
      <c r="LG20" s="18"/>
      <c r="LH20" s="18"/>
      <c r="LI20" s="18"/>
      <c r="LJ20" s="18"/>
      <c r="LK20" s="18"/>
      <c r="LL20" s="18"/>
      <c r="LM20" s="18"/>
      <c r="LN20" s="18"/>
      <c r="LO20" s="11" t="str">
        <f t="shared" si="97"/>
        <v/>
      </c>
      <c r="LP20" s="11" t="str">
        <f t="shared" si="98"/>
        <v/>
      </c>
      <c r="LQ20" s="11" t="str">
        <f t="shared" si="99"/>
        <v/>
      </c>
      <c r="LR20" s="11" t="str">
        <f t="shared" si="100"/>
        <v/>
      </c>
      <c r="LS20" s="11" t="str">
        <f t="shared" si="101"/>
        <v/>
      </c>
      <c r="LT20" s="11" t="str">
        <f t="shared" si="102"/>
        <v/>
      </c>
      <c r="LU20" s="11" t="str">
        <f t="shared" si="103"/>
        <v/>
      </c>
      <c r="LV20" s="11" t="str">
        <f t="shared" si="104"/>
        <v/>
      </c>
      <c r="LW20" s="17"/>
      <c r="LX20" s="17"/>
      <c r="LY20" s="17"/>
      <c r="LZ20" s="17"/>
      <c r="MA20" s="17"/>
      <c r="MB20" s="17"/>
      <c r="MC20" s="17"/>
      <c r="MD20" s="17"/>
      <c r="ME20" s="17"/>
      <c r="MF20" s="17"/>
      <c r="MG20" s="17"/>
      <c r="MH20" s="17"/>
      <c r="MI20" s="17"/>
      <c r="MJ20" s="17"/>
      <c r="MK20" s="17"/>
      <c r="ML20" s="17"/>
      <c r="MM20" s="17"/>
      <c r="MN20" s="17"/>
      <c r="MO20" s="17"/>
      <c r="MP20" s="17"/>
      <c r="MQ20" s="40" t="str">
        <f t="shared" si="105"/>
        <v/>
      </c>
      <c r="MR20" s="40" t="str">
        <f t="shared" si="106"/>
        <v/>
      </c>
      <c r="MS20" s="40" t="str">
        <f t="shared" si="107"/>
        <v/>
      </c>
      <c r="MT20" s="40" t="str">
        <f t="shared" si="108"/>
        <v/>
      </c>
      <c r="MU20" s="40" t="str">
        <f t="shared" si="109"/>
        <v/>
      </c>
      <c r="MV20" s="40" t="str">
        <f t="shared" si="110"/>
        <v/>
      </c>
      <c r="MW20" s="40" t="str">
        <f t="shared" si="111"/>
        <v/>
      </c>
      <c r="MX20" s="40" t="str">
        <f t="shared" si="112"/>
        <v/>
      </c>
      <c r="MY20" s="18"/>
      <c r="MZ20" s="18"/>
      <c r="NA20" s="18"/>
      <c r="NB20" s="18"/>
      <c r="NC20" s="18"/>
      <c r="ND20" s="18"/>
      <c r="NE20" s="18"/>
      <c r="NF20" s="18"/>
      <c r="NG20" s="18"/>
      <c r="NH20" s="18"/>
      <c r="NI20" s="18"/>
      <c r="NJ20" s="18"/>
      <c r="NK20" s="18"/>
      <c r="NL20" s="18"/>
      <c r="NM20" s="18"/>
      <c r="NN20" s="18"/>
      <c r="NO20" s="18"/>
      <c r="NP20" s="18"/>
      <c r="NQ20" s="18"/>
      <c r="NR20" s="18"/>
      <c r="NS20" s="11" t="str">
        <f t="shared" si="113"/>
        <v/>
      </c>
      <c r="NT20" s="11" t="str">
        <f t="shared" si="114"/>
        <v/>
      </c>
      <c r="NU20" s="11" t="str">
        <f t="shared" si="115"/>
        <v/>
      </c>
      <c r="NV20" s="11" t="str">
        <f t="shared" si="116"/>
        <v/>
      </c>
      <c r="NW20" s="11" t="str">
        <f t="shared" si="117"/>
        <v/>
      </c>
      <c r="NX20" s="11" t="str">
        <f t="shared" si="118"/>
        <v/>
      </c>
      <c r="NY20" s="11" t="str">
        <f t="shared" si="119"/>
        <v/>
      </c>
      <c r="NZ20" s="11" t="str">
        <f t="shared" si="120"/>
        <v/>
      </c>
      <c r="OA20" s="17"/>
      <c r="OB20" s="17"/>
      <c r="OC20" s="17"/>
      <c r="OD20" s="17"/>
      <c r="OE20" s="17"/>
      <c r="OF20" s="17"/>
      <c r="OG20" s="17"/>
      <c r="OH20" s="17"/>
      <c r="OI20" s="17"/>
      <c r="OJ20" s="17"/>
      <c r="OK20" s="17"/>
      <c r="OL20" s="17"/>
      <c r="OM20" s="17"/>
      <c r="ON20" s="17"/>
      <c r="OO20" s="17"/>
      <c r="OP20" s="17"/>
      <c r="OQ20" s="17"/>
      <c r="OR20" s="17"/>
      <c r="OS20" s="17"/>
      <c r="OT20" s="17"/>
      <c r="OU20" s="40" t="str">
        <f t="shared" si="121"/>
        <v/>
      </c>
      <c r="OV20" s="40" t="str">
        <f t="shared" si="122"/>
        <v/>
      </c>
      <c r="OW20" s="40" t="str">
        <f t="shared" si="123"/>
        <v/>
      </c>
      <c r="OX20" s="40" t="str">
        <f t="shared" si="124"/>
        <v/>
      </c>
      <c r="OY20" s="40" t="str">
        <f t="shared" si="125"/>
        <v/>
      </c>
      <c r="OZ20" s="40" t="str">
        <f t="shared" si="126"/>
        <v/>
      </c>
      <c r="PA20" s="40" t="str">
        <f t="shared" si="127"/>
        <v/>
      </c>
      <c r="PB20" s="40" t="str">
        <f t="shared" si="128"/>
        <v/>
      </c>
      <c r="PC20" s="18"/>
      <c r="PD20" s="18"/>
      <c r="PE20" s="18"/>
      <c r="PF20" s="18"/>
      <c r="PG20" s="18"/>
      <c r="PH20" s="18"/>
      <c r="PI20" s="18"/>
      <c r="PJ20" s="18"/>
      <c r="PK20" s="18"/>
      <c r="PL20" s="18"/>
      <c r="PM20" s="18"/>
      <c r="PN20" s="18"/>
      <c r="PO20" s="18"/>
      <c r="PP20" s="18"/>
      <c r="PQ20" s="18"/>
      <c r="PR20" s="18"/>
      <c r="PS20" s="18"/>
      <c r="PT20" s="18"/>
      <c r="PU20" s="18"/>
      <c r="PV20" s="18"/>
      <c r="PW20" s="11" t="str">
        <f t="shared" si="129"/>
        <v/>
      </c>
      <c r="PX20" s="11" t="str">
        <f t="shared" si="130"/>
        <v/>
      </c>
      <c r="PY20" s="11" t="str">
        <f t="shared" si="131"/>
        <v/>
      </c>
      <c r="PZ20" s="11" t="str">
        <f t="shared" si="132"/>
        <v/>
      </c>
      <c r="QA20" s="11" t="str">
        <f t="shared" si="133"/>
        <v/>
      </c>
      <c r="QB20" s="11" t="str">
        <f t="shared" si="134"/>
        <v/>
      </c>
      <c r="QC20" s="11" t="str">
        <f t="shared" si="135"/>
        <v/>
      </c>
      <c r="QD20" s="11" t="str">
        <f t="shared" si="136"/>
        <v/>
      </c>
      <c r="QE20" s="22">
        <f t="shared" si="137"/>
        <v>9.4</v>
      </c>
      <c r="QF20" s="22">
        <f t="shared" si="138"/>
        <v>1.35</v>
      </c>
      <c r="QG20" s="22">
        <f t="shared" si="139"/>
        <v>0.15</v>
      </c>
      <c r="QH20" s="22">
        <f t="shared" si="140"/>
        <v>0</v>
      </c>
      <c r="QI20" s="22">
        <f t="shared" si="141"/>
        <v>9.1999999999999993</v>
      </c>
      <c r="QJ20" s="22">
        <f t="shared" si="142"/>
        <v>1.8</v>
      </c>
      <c r="QK20" s="22">
        <f t="shared" si="143"/>
        <v>0.1</v>
      </c>
      <c r="QL20" s="22">
        <f t="shared" si="144"/>
        <v>0</v>
      </c>
      <c r="QM20" s="22">
        <f t="shared" si="145"/>
        <v>9</v>
      </c>
      <c r="QN20" s="22">
        <f t="shared" si="146"/>
        <v>1.45</v>
      </c>
      <c r="QO20" s="22">
        <f t="shared" si="147"/>
        <v>0.05</v>
      </c>
      <c r="QP20" s="22">
        <f t="shared" si="148"/>
        <v>0</v>
      </c>
      <c r="QQ20" s="22">
        <f t="shared" si="149"/>
        <v>9.3000000000000007</v>
      </c>
      <c r="QR20" s="22">
        <f t="shared" si="150"/>
        <v>1.55</v>
      </c>
      <c r="QS20" s="22">
        <f t="shared" si="151"/>
        <v>0</v>
      </c>
      <c r="QT20" s="22">
        <f t="shared" si="152"/>
        <v>0</v>
      </c>
      <c r="QU20" s="22">
        <f t="shared" si="153"/>
        <v>9.4499999999999993</v>
      </c>
      <c r="QV20" s="22">
        <f t="shared" si="154"/>
        <v>1.6</v>
      </c>
      <c r="QW20" s="22">
        <f t="shared" si="155"/>
        <v>0</v>
      </c>
      <c r="QX20" s="22">
        <f t="shared" si="156"/>
        <v>0</v>
      </c>
      <c r="QY20" s="27" t="s">
        <v>46</v>
      </c>
      <c r="QZ20" s="40">
        <f t="shared" si="157"/>
        <v>3.1500000000000004</v>
      </c>
      <c r="RA20" s="40">
        <f t="shared" si="158"/>
        <v>21.5</v>
      </c>
      <c r="RB20" s="40">
        <f t="shared" si="159"/>
        <v>10.399999999999999</v>
      </c>
      <c r="RC20" s="40">
        <f t="shared" si="160"/>
        <v>4.6000000000000005</v>
      </c>
      <c r="RD20" s="40">
        <f t="shared" si="161"/>
        <v>31.9</v>
      </c>
      <c r="RE20" s="40">
        <f t="shared" si="162"/>
        <v>3.1500000000000004</v>
      </c>
      <c r="RF20" s="40">
        <f t="shared" si="163"/>
        <v>21.900000000000002</v>
      </c>
      <c r="RG20" s="40">
        <f t="shared" si="164"/>
        <v>43.400000000000006</v>
      </c>
    </row>
    <row r="21" spans="1:475" x14ac:dyDescent="0.2">
      <c r="A21" s="4" t="str">
        <f t="shared" si="0"/>
        <v/>
      </c>
      <c r="B21" s="5" t="s">
        <v>74</v>
      </c>
      <c r="C21" s="4" t="s">
        <v>5</v>
      </c>
      <c r="D21" s="4">
        <v>2003</v>
      </c>
      <c r="E21" s="9">
        <f t="shared" si="1"/>
        <v>107.30001073000429</v>
      </c>
      <c r="F21" s="3" t="str">
        <f t="shared" si="2"/>
        <v/>
      </c>
      <c r="G21" s="3" t="str">
        <f t="shared" si="3"/>
        <v/>
      </c>
      <c r="H21" s="36" t="str">
        <f t="shared" si="4"/>
        <v/>
      </c>
      <c r="I21" s="3" t="str">
        <f t="shared" si="5"/>
        <v/>
      </c>
      <c r="J21" s="8">
        <f>IF(COUNT(AQ21,BT21,CW21)&gt;0,LARGE((AQ21,BT21,CW21),1),0)</f>
        <v>42.9</v>
      </c>
      <c r="K21" s="8" t="str">
        <f t="shared" si="6"/>
        <v>2023 Elite Canada</v>
      </c>
      <c r="L21" s="8">
        <f>IF(COUNT(AQ21,BT21,CW21)&gt;1,LARGE((AQ21,BT21,CW21),2),0)</f>
        <v>42.2</v>
      </c>
      <c r="M21" s="8" t="str">
        <f t="shared" si="7"/>
        <v>2022 Nationals</v>
      </c>
      <c r="N21" s="8">
        <f>IF(COUNT(AR21,BU21,CX21)&gt;0,LARGE((AR21,BU21,CX21),1),0)</f>
        <v>22.2</v>
      </c>
      <c r="O21" s="8" t="str">
        <f t="shared" si="8"/>
        <v>2022 Nationals</v>
      </c>
      <c r="P21" s="8">
        <f t="shared" si="9"/>
        <v>0</v>
      </c>
      <c r="Q21" s="8" t="str">
        <f t="shared" si="10"/>
        <v/>
      </c>
      <c r="R21" s="8" t="str">
        <f t="shared" si="11"/>
        <v/>
      </c>
      <c r="S21" s="11" t="str">
        <f t="shared" si="12"/>
        <v/>
      </c>
      <c r="T21" s="8" t="str">
        <f t="shared" si="13"/>
        <v/>
      </c>
      <c r="U21" s="19">
        <v>16.600000000000001</v>
      </c>
      <c r="V21" s="19">
        <v>3</v>
      </c>
      <c r="W21" s="19">
        <v>1.5999999999999999</v>
      </c>
      <c r="X21" s="19">
        <v>0</v>
      </c>
      <c r="Y21" s="19">
        <v>18.600000000000001</v>
      </c>
      <c r="Z21" s="19">
        <v>5.6</v>
      </c>
      <c r="AA21" s="19">
        <v>0</v>
      </c>
      <c r="AB21" s="19">
        <v>0</v>
      </c>
      <c r="AC21" s="19">
        <v>18.2</v>
      </c>
      <c r="AD21" s="19">
        <v>4.8</v>
      </c>
      <c r="AE21" s="19">
        <v>0.8</v>
      </c>
      <c r="AF21" s="19">
        <v>0</v>
      </c>
      <c r="AG21" s="19"/>
      <c r="AH21" s="19"/>
      <c r="AI21" s="19"/>
      <c r="AJ21" s="19"/>
      <c r="AK21" s="19"/>
      <c r="AL21" s="19"/>
      <c r="AM21" s="19"/>
      <c r="AN21" s="19"/>
      <c r="AO21" s="27"/>
      <c r="AP21" s="40">
        <f t="shared" si="14"/>
        <v>8.6</v>
      </c>
      <c r="AQ21" s="40">
        <f t="shared" si="15"/>
        <v>42.2</v>
      </c>
      <c r="AR21" s="40">
        <f t="shared" si="16"/>
        <v>22.2</v>
      </c>
      <c r="AS21" s="40">
        <f t="shared" si="17"/>
        <v>13.399999999999999</v>
      </c>
      <c r="AT21" s="40">
        <f t="shared" si="18"/>
        <v>64.400000000000006</v>
      </c>
      <c r="AU21" s="40" t="str">
        <f t="shared" si="19"/>
        <v/>
      </c>
      <c r="AV21" s="40" t="str">
        <f t="shared" si="20"/>
        <v/>
      </c>
      <c r="AW21" s="40">
        <f t="shared" si="21"/>
        <v>42.2</v>
      </c>
      <c r="AX21" s="18"/>
      <c r="AY21" s="18"/>
      <c r="AZ21" s="18"/>
      <c r="BA21" s="18"/>
      <c r="BB21" s="18"/>
      <c r="BC21" s="18"/>
      <c r="BD21" s="18"/>
      <c r="BE21" s="18"/>
      <c r="BF21" s="18"/>
      <c r="BG21" s="18"/>
      <c r="BH21" s="18"/>
      <c r="BI21" s="18"/>
      <c r="BJ21" s="18"/>
      <c r="BK21" s="18"/>
      <c r="BL21" s="18"/>
      <c r="BM21" s="18"/>
      <c r="BN21" s="18"/>
      <c r="BO21" s="18"/>
      <c r="BP21" s="18"/>
      <c r="BQ21" s="18"/>
      <c r="BR21" s="28"/>
      <c r="BS21" s="11" t="str">
        <f t="shared" si="22"/>
        <v/>
      </c>
      <c r="BT21" s="11" t="str">
        <f t="shared" si="23"/>
        <v/>
      </c>
      <c r="BU21" s="11" t="str">
        <f t="shared" si="24"/>
        <v/>
      </c>
      <c r="BV21" s="11" t="str">
        <f t="shared" si="25"/>
        <v/>
      </c>
      <c r="BW21" s="11" t="str">
        <f t="shared" si="26"/>
        <v/>
      </c>
      <c r="BX21" s="11" t="str">
        <f t="shared" si="27"/>
        <v/>
      </c>
      <c r="BY21" s="11" t="str">
        <f t="shared" si="28"/>
        <v/>
      </c>
      <c r="BZ21" s="11" t="str">
        <f t="shared" si="29"/>
        <v/>
      </c>
      <c r="CA21" s="19">
        <v>17.399999999999999</v>
      </c>
      <c r="CB21" s="19">
        <v>2.9</v>
      </c>
      <c r="CC21" s="19">
        <v>1.2</v>
      </c>
      <c r="CD21" s="19">
        <v>0</v>
      </c>
      <c r="CE21" s="19">
        <v>18.2</v>
      </c>
      <c r="CF21" s="19">
        <v>5.6</v>
      </c>
      <c r="CG21" s="19">
        <v>0</v>
      </c>
      <c r="CH21" s="19">
        <v>0</v>
      </c>
      <c r="CI21" s="19">
        <v>17</v>
      </c>
      <c r="CJ21" s="19">
        <v>2.8</v>
      </c>
      <c r="CK21" s="19">
        <v>0</v>
      </c>
      <c r="CL21" s="19">
        <v>0</v>
      </c>
      <c r="CM21" s="19"/>
      <c r="CN21" s="19"/>
      <c r="CO21" s="19"/>
      <c r="CP21" s="19"/>
      <c r="CQ21" s="19"/>
      <c r="CR21" s="19"/>
      <c r="CS21" s="19"/>
      <c r="CT21" s="19"/>
      <c r="CU21" s="27"/>
      <c r="CV21" s="40">
        <f t="shared" si="30"/>
        <v>8.5</v>
      </c>
      <c r="CW21" s="40">
        <f t="shared" si="31"/>
        <v>42.9</v>
      </c>
      <c r="CX21" s="40">
        <f t="shared" si="32"/>
        <v>19.8</v>
      </c>
      <c r="CY21" s="40">
        <f t="shared" si="33"/>
        <v>11.3</v>
      </c>
      <c r="CZ21" s="40">
        <f t="shared" si="34"/>
        <v>62.7</v>
      </c>
      <c r="DA21" s="40" t="str">
        <f t="shared" si="35"/>
        <v/>
      </c>
      <c r="DB21" s="40" t="str">
        <f t="shared" si="36"/>
        <v/>
      </c>
      <c r="DC21" s="40">
        <f t="shared" si="37"/>
        <v>42.9</v>
      </c>
      <c r="DD21" s="50" t="str">
        <f t="shared" si="38"/>
        <v/>
      </c>
      <c r="DE21" s="50" t="str">
        <f t="shared" si="39"/>
        <v/>
      </c>
      <c r="DF21" s="50" t="str">
        <f t="shared" si="40"/>
        <v/>
      </c>
      <c r="DG21" s="17"/>
      <c r="DH21" s="17"/>
      <c r="DI21" s="17"/>
      <c r="DJ21" s="17"/>
      <c r="DK21" s="17"/>
      <c r="DL21" s="17"/>
      <c r="DM21" s="17"/>
      <c r="DN21" s="17"/>
      <c r="DO21" s="17"/>
      <c r="DP21" s="17"/>
      <c r="DQ21" s="17"/>
      <c r="DR21" s="17"/>
      <c r="DS21" s="17"/>
      <c r="DT21" s="17"/>
      <c r="DU21" s="17"/>
      <c r="DV21" s="17"/>
      <c r="DW21" s="17"/>
      <c r="DX21" s="17"/>
      <c r="DY21" s="17"/>
      <c r="DZ21" s="17"/>
      <c r="EA21" s="40" t="str">
        <f t="shared" si="41"/>
        <v/>
      </c>
      <c r="EB21" s="40" t="str">
        <f t="shared" si="42"/>
        <v/>
      </c>
      <c r="EC21" s="40" t="str">
        <f t="shared" si="43"/>
        <v/>
      </c>
      <c r="ED21" s="40" t="str">
        <f t="shared" si="44"/>
        <v/>
      </c>
      <c r="EE21" s="40" t="str">
        <f t="shared" si="45"/>
        <v/>
      </c>
      <c r="EF21" s="40" t="str">
        <f t="shared" si="46"/>
        <v/>
      </c>
      <c r="EG21" s="40" t="str">
        <f t="shared" si="47"/>
        <v/>
      </c>
      <c r="EH21" s="40" t="str">
        <f t="shared" si="48"/>
        <v/>
      </c>
      <c r="EI21" s="18"/>
      <c r="EJ21" s="18"/>
      <c r="EK21" s="18"/>
      <c r="EL21" s="18"/>
      <c r="EM21" s="18"/>
      <c r="EN21" s="18"/>
      <c r="EO21" s="18"/>
      <c r="EP21" s="18"/>
      <c r="EQ21" s="18"/>
      <c r="ER21" s="18"/>
      <c r="ES21" s="18"/>
      <c r="ET21" s="18"/>
      <c r="EU21" s="18"/>
      <c r="EV21" s="18"/>
      <c r="EW21" s="18"/>
      <c r="EX21" s="18"/>
      <c r="EY21" s="18"/>
      <c r="EZ21" s="18"/>
      <c r="FA21" s="18"/>
      <c r="FB21" s="18"/>
      <c r="FC21" s="11" t="str">
        <f t="shared" si="49"/>
        <v/>
      </c>
      <c r="FD21" s="11" t="str">
        <f t="shared" si="50"/>
        <v/>
      </c>
      <c r="FE21" s="11" t="str">
        <f t="shared" si="51"/>
        <v/>
      </c>
      <c r="FF21" s="11" t="str">
        <f t="shared" si="52"/>
        <v/>
      </c>
      <c r="FG21" s="11" t="str">
        <f t="shared" si="53"/>
        <v/>
      </c>
      <c r="FH21" s="11" t="str">
        <f t="shared" si="54"/>
        <v/>
      </c>
      <c r="FI21" s="11" t="str">
        <f t="shared" si="55"/>
        <v/>
      </c>
      <c r="FJ21" s="11" t="str">
        <f t="shared" si="56"/>
        <v/>
      </c>
      <c r="FK21" s="17"/>
      <c r="FL21" s="17"/>
      <c r="FM21" s="17"/>
      <c r="FN21" s="17"/>
      <c r="FO21" s="17"/>
      <c r="FP21" s="17"/>
      <c r="FQ21" s="17"/>
      <c r="FR21" s="17"/>
      <c r="FS21" s="17"/>
      <c r="FT21" s="17"/>
      <c r="FU21" s="17"/>
      <c r="FV21" s="17"/>
      <c r="FW21" s="17"/>
      <c r="FX21" s="17"/>
      <c r="FY21" s="17"/>
      <c r="FZ21" s="17"/>
      <c r="GA21" s="17"/>
      <c r="GB21" s="17"/>
      <c r="GC21" s="17"/>
      <c r="GD21" s="17"/>
      <c r="GE21" s="40" t="str">
        <f t="shared" si="57"/>
        <v/>
      </c>
      <c r="GF21" s="40" t="str">
        <f t="shared" si="58"/>
        <v/>
      </c>
      <c r="GG21" s="40" t="str">
        <f t="shared" si="59"/>
        <v/>
      </c>
      <c r="GH21" s="40" t="str">
        <f t="shared" si="60"/>
        <v/>
      </c>
      <c r="GI21" s="40" t="str">
        <f t="shared" si="61"/>
        <v/>
      </c>
      <c r="GJ21" s="40" t="str">
        <f t="shared" si="62"/>
        <v/>
      </c>
      <c r="GK21" s="40" t="str">
        <f t="shared" si="63"/>
        <v/>
      </c>
      <c r="GL21" s="40" t="str">
        <f t="shared" si="64"/>
        <v/>
      </c>
      <c r="GM21" s="18"/>
      <c r="GN21" s="18"/>
      <c r="GO21" s="18"/>
      <c r="GP21" s="18"/>
      <c r="GQ21" s="18"/>
      <c r="GR21" s="18"/>
      <c r="GS21" s="18"/>
      <c r="GT21" s="18"/>
      <c r="GU21" s="18"/>
      <c r="GV21" s="18"/>
      <c r="GW21" s="18"/>
      <c r="GX21" s="18"/>
      <c r="GY21" s="18"/>
      <c r="GZ21" s="18"/>
      <c r="HA21" s="18"/>
      <c r="HB21" s="18"/>
      <c r="HC21" s="18"/>
      <c r="HD21" s="18"/>
      <c r="HE21" s="18"/>
      <c r="HF21" s="18"/>
      <c r="HG21" s="11" t="str">
        <f t="shared" si="65"/>
        <v/>
      </c>
      <c r="HH21" s="11" t="str">
        <f t="shared" si="66"/>
        <v/>
      </c>
      <c r="HI21" s="11" t="str">
        <f t="shared" si="67"/>
        <v/>
      </c>
      <c r="HJ21" s="11" t="str">
        <f t="shared" si="68"/>
        <v/>
      </c>
      <c r="HK21" s="11" t="str">
        <f t="shared" si="69"/>
        <v/>
      </c>
      <c r="HL21" s="11" t="str">
        <f t="shared" si="70"/>
        <v/>
      </c>
      <c r="HM21" s="11" t="str">
        <f t="shared" si="71"/>
        <v/>
      </c>
      <c r="HN21" s="11" t="str">
        <f t="shared" si="72"/>
        <v/>
      </c>
      <c r="HO21" s="17"/>
      <c r="HP21" s="17"/>
      <c r="HQ21" s="17"/>
      <c r="HR21" s="17"/>
      <c r="HS21" s="17"/>
      <c r="HT21" s="17"/>
      <c r="HU21" s="17"/>
      <c r="HV21" s="17"/>
      <c r="HW21" s="17"/>
      <c r="HX21" s="17"/>
      <c r="HY21" s="17"/>
      <c r="HZ21" s="17"/>
      <c r="IA21" s="17"/>
      <c r="IB21" s="17"/>
      <c r="IC21" s="17"/>
      <c r="ID21" s="17"/>
      <c r="IE21" s="17"/>
      <c r="IF21" s="17"/>
      <c r="IG21" s="17"/>
      <c r="IH21" s="17"/>
      <c r="II21" s="40" t="str">
        <f t="shared" si="73"/>
        <v/>
      </c>
      <c r="IJ21" s="40" t="str">
        <f t="shared" si="74"/>
        <v/>
      </c>
      <c r="IK21" s="40" t="str">
        <f t="shared" si="75"/>
        <v/>
      </c>
      <c r="IL21" s="40" t="str">
        <f t="shared" si="76"/>
        <v/>
      </c>
      <c r="IM21" s="40" t="str">
        <f t="shared" si="77"/>
        <v/>
      </c>
      <c r="IN21" s="40" t="str">
        <f t="shared" si="78"/>
        <v/>
      </c>
      <c r="IO21" s="40" t="str">
        <f t="shared" si="79"/>
        <v/>
      </c>
      <c r="IP21" s="40" t="str">
        <f t="shared" si="80"/>
        <v/>
      </c>
      <c r="IQ21" s="18"/>
      <c r="IR21" s="18"/>
      <c r="IS21" s="18"/>
      <c r="IT21" s="18"/>
      <c r="IU21" s="18"/>
      <c r="IV21" s="18"/>
      <c r="IW21" s="18"/>
      <c r="IX21" s="18"/>
      <c r="IY21" s="18"/>
      <c r="IZ21" s="18"/>
      <c r="JA21" s="18"/>
      <c r="JB21" s="18"/>
      <c r="JC21" s="18"/>
      <c r="JD21" s="18"/>
      <c r="JE21" s="18"/>
      <c r="JF21" s="18"/>
      <c r="JG21" s="18"/>
      <c r="JH21" s="18"/>
      <c r="JI21" s="18"/>
      <c r="JJ21" s="18"/>
      <c r="JK21" s="11" t="str">
        <f t="shared" si="81"/>
        <v/>
      </c>
      <c r="JL21" s="11" t="str">
        <f t="shared" si="82"/>
        <v/>
      </c>
      <c r="JM21" s="11" t="str">
        <f t="shared" si="83"/>
        <v/>
      </c>
      <c r="JN21" s="11" t="str">
        <f t="shared" si="84"/>
        <v/>
      </c>
      <c r="JO21" s="11" t="str">
        <f t="shared" si="85"/>
        <v/>
      </c>
      <c r="JP21" s="11" t="str">
        <f t="shared" si="86"/>
        <v/>
      </c>
      <c r="JQ21" s="11" t="str">
        <f t="shared" si="87"/>
        <v/>
      </c>
      <c r="JR21" s="11" t="str">
        <f t="shared" si="88"/>
        <v/>
      </c>
      <c r="JS21" s="17"/>
      <c r="JT21" s="17"/>
      <c r="JU21" s="17"/>
      <c r="JV21" s="17"/>
      <c r="JW21" s="17"/>
      <c r="JX21" s="17"/>
      <c r="JY21" s="17"/>
      <c r="JZ21" s="17"/>
      <c r="KA21" s="17"/>
      <c r="KB21" s="17"/>
      <c r="KC21" s="17"/>
      <c r="KD21" s="17"/>
      <c r="KE21" s="17"/>
      <c r="KF21" s="17"/>
      <c r="KG21" s="17"/>
      <c r="KH21" s="17"/>
      <c r="KI21" s="17"/>
      <c r="KJ21" s="17"/>
      <c r="KK21" s="17"/>
      <c r="KL21" s="17"/>
      <c r="KM21" s="40" t="str">
        <f t="shared" si="89"/>
        <v/>
      </c>
      <c r="KN21" s="40" t="str">
        <f t="shared" si="90"/>
        <v/>
      </c>
      <c r="KO21" s="40" t="str">
        <f t="shared" si="91"/>
        <v/>
      </c>
      <c r="KP21" s="40" t="str">
        <f t="shared" si="92"/>
        <v/>
      </c>
      <c r="KQ21" s="40" t="str">
        <f t="shared" si="93"/>
        <v/>
      </c>
      <c r="KR21" s="40" t="str">
        <f t="shared" si="94"/>
        <v/>
      </c>
      <c r="KS21" s="40" t="str">
        <f t="shared" si="95"/>
        <v/>
      </c>
      <c r="KT21" s="40" t="str">
        <f t="shared" si="96"/>
        <v/>
      </c>
      <c r="KU21" s="18"/>
      <c r="KV21" s="18"/>
      <c r="KW21" s="18"/>
      <c r="KX21" s="18"/>
      <c r="KY21" s="18"/>
      <c r="KZ21" s="18"/>
      <c r="LA21" s="18"/>
      <c r="LB21" s="18"/>
      <c r="LC21" s="18"/>
      <c r="LD21" s="18"/>
      <c r="LE21" s="18"/>
      <c r="LF21" s="18"/>
      <c r="LG21" s="18"/>
      <c r="LH21" s="18"/>
      <c r="LI21" s="18"/>
      <c r="LJ21" s="18"/>
      <c r="LK21" s="18"/>
      <c r="LL21" s="18"/>
      <c r="LM21" s="18"/>
      <c r="LN21" s="18"/>
      <c r="LO21" s="11" t="str">
        <f t="shared" si="97"/>
        <v/>
      </c>
      <c r="LP21" s="11" t="str">
        <f t="shared" si="98"/>
        <v/>
      </c>
      <c r="LQ21" s="11" t="str">
        <f t="shared" si="99"/>
        <v/>
      </c>
      <c r="LR21" s="11" t="str">
        <f t="shared" si="100"/>
        <v/>
      </c>
      <c r="LS21" s="11" t="str">
        <f t="shared" si="101"/>
        <v/>
      </c>
      <c r="LT21" s="11" t="str">
        <f t="shared" si="102"/>
        <v/>
      </c>
      <c r="LU21" s="11" t="str">
        <f t="shared" si="103"/>
        <v/>
      </c>
      <c r="LV21" s="11" t="str">
        <f t="shared" si="104"/>
        <v/>
      </c>
      <c r="LW21" s="17"/>
      <c r="LX21" s="17"/>
      <c r="LY21" s="17"/>
      <c r="LZ21" s="17"/>
      <c r="MA21" s="17"/>
      <c r="MB21" s="17"/>
      <c r="MC21" s="17"/>
      <c r="MD21" s="17"/>
      <c r="ME21" s="17"/>
      <c r="MF21" s="17"/>
      <c r="MG21" s="17"/>
      <c r="MH21" s="17"/>
      <c r="MI21" s="17"/>
      <c r="MJ21" s="17"/>
      <c r="MK21" s="17"/>
      <c r="ML21" s="17"/>
      <c r="MM21" s="17"/>
      <c r="MN21" s="17"/>
      <c r="MO21" s="17"/>
      <c r="MP21" s="17"/>
      <c r="MQ21" s="40" t="str">
        <f t="shared" si="105"/>
        <v/>
      </c>
      <c r="MR21" s="40" t="str">
        <f t="shared" si="106"/>
        <v/>
      </c>
      <c r="MS21" s="40" t="str">
        <f t="shared" si="107"/>
        <v/>
      </c>
      <c r="MT21" s="40" t="str">
        <f t="shared" si="108"/>
        <v/>
      </c>
      <c r="MU21" s="40" t="str">
        <f t="shared" si="109"/>
        <v/>
      </c>
      <c r="MV21" s="40" t="str">
        <f t="shared" si="110"/>
        <v/>
      </c>
      <c r="MW21" s="40" t="str">
        <f t="shared" si="111"/>
        <v/>
      </c>
      <c r="MX21" s="40" t="str">
        <f t="shared" si="112"/>
        <v/>
      </c>
      <c r="MY21" s="18"/>
      <c r="MZ21" s="18"/>
      <c r="NA21" s="18"/>
      <c r="NB21" s="18"/>
      <c r="NC21" s="18"/>
      <c r="ND21" s="18"/>
      <c r="NE21" s="18"/>
      <c r="NF21" s="18"/>
      <c r="NG21" s="18"/>
      <c r="NH21" s="18"/>
      <c r="NI21" s="18"/>
      <c r="NJ21" s="18"/>
      <c r="NK21" s="18"/>
      <c r="NL21" s="18"/>
      <c r="NM21" s="18"/>
      <c r="NN21" s="18"/>
      <c r="NO21" s="18"/>
      <c r="NP21" s="18"/>
      <c r="NQ21" s="18"/>
      <c r="NR21" s="18"/>
      <c r="NS21" s="11" t="str">
        <f t="shared" si="113"/>
        <v/>
      </c>
      <c r="NT21" s="11" t="str">
        <f t="shared" si="114"/>
        <v/>
      </c>
      <c r="NU21" s="11" t="str">
        <f t="shared" si="115"/>
        <v/>
      </c>
      <c r="NV21" s="11" t="str">
        <f t="shared" si="116"/>
        <v/>
      </c>
      <c r="NW21" s="11" t="str">
        <f t="shared" si="117"/>
        <v/>
      </c>
      <c r="NX21" s="11" t="str">
        <f t="shared" si="118"/>
        <v/>
      </c>
      <c r="NY21" s="11" t="str">
        <f t="shared" si="119"/>
        <v/>
      </c>
      <c r="NZ21" s="11" t="str">
        <f t="shared" si="120"/>
        <v/>
      </c>
      <c r="OA21" s="17"/>
      <c r="OB21" s="17"/>
      <c r="OC21" s="17"/>
      <c r="OD21" s="17"/>
      <c r="OE21" s="17"/>
      <c r="OF21" s="17"/>
      <c r="OG21" s="17"/>
      <c r="OH21" s="17"/>
      <c r="OI21" s="17"/>
      <c r="OJ21" s="17"/>
      <c r="OK21" s="17"/>
      <c r="OL21" s="17"/>
      <c r="OM21" s="17"/>
      <c r="ON21" s="17"/>
      <c r="OO21" s="17"/>
      <c r="OP21" s="17"/>
      <c r="OQ21" s="17"/>
      <c r="OR21" s="17"/>
      <c r="OS21" s="17"/>
      <c r="OT21" s="17"/>
      <c r="OU21" s="40" t="str">
        <f t="shared" si="121"/>
        <v/>
      </c>
      <c r="OV21" s="40" t="str">
        <f t="shared" si="122"/>
        <v/>
      </c>
      <c r="OW21" s="40" t="str">
        <f t="shared" si="123"/>
        <v/>
      </c>
      <c r="OX21" s="40" t="str">
        <f t="shared" si="124"/>
        <v/>
      </c>
      <c r="OY21" s="40" t="str">
        <f t="shared" si="125"/>
        <v/>
      </c>
      <c r="OZ21" s="40" t="str">
        <f t="shared" si="126"/>
        <v/>
      </c>
      <c r="PA21" s="40" t="str">
        <f t="shared" si="127"/>
        <v/>
      </c>
      <c r="PB21" s="40" t="str">
        <f t="shared" si="128"/>
        <v/>
      </c>
      <c r="PC21" s="18"/>
      <c r="PD21" s="18"/>
      <c r="PE21" s="18"/>
      <c r="PF21" s="18"/>
      <c r="PG21" s="18"/>
      <c r="PH21" s="18"/>
      <c r="PI21" s="18"/>
      <c r="PJ21" s="18"/>
      <c r="PK21" s="18"/>
      <c r="PL21" s="18"/>
      <c r="PM21" s="18"/>
      <c r="PN21" s="18"/>
      <c r="PO21" s="18"/>
      <c r="PP21" s="18"/>
      <c r="PQ21" s="18"/>
      <c r="PR21" s="18"/>
      <c r="PS21" s="18"/>
      <c r="PT21" s="18"/>
      <c r="PU21" s="18"/>
      <c r="PV21" s="18"/>
      <c r="PW21" s="11" t="str">
        <f t="shared" si="129"/>
        <v/>
      </c>
      <c r="PX21" s="11" t="str">
        <f t="shared" si="130"/>
        <v/>
      </c>
      <c r="PY21" s="11" t="str">
        <f t="shared" si="131"/>
        <v/>
      </c>
      <c r="PZ21" s="11" t="str">
        <f t="shared" si="132"/>
        <v/>
      </c>
      <c r="QA21" s="11" t="str">
        <f t="shared" si="133"/>
        <v/>
      </c>
      <c r="QB21" s="11" t="str">
        <f t="shared" si="134"/>
        <v/>
      </c>
      <c r="QC21" s="11" t="str">
        <f t="shared" si="135"/>
        <v/>
      </c>
      <c r="QD21" s="11" t="str">
        <f t="shared" si="136"/>
        <v/>
      </c>
      <c r="QE21" s="22">
        <f t="shared" si="137"/>
        <v>8.6999999999999993</v>
      </c>
      <c r="QF21" s="22">
        <f t="shared" si="138"/>
        <v>1.45</v>
      </c>
      <c r="QG21" s="22">
        <f t="shared" si="139"/>
        <v>0.6</v>
      </c>
      <c r="QH21" s="22">
        <f t="shared" si="140"/>
        <v>0</v>
      </c>
      <c r="QI21" s="22">
        <f t="shared" si="141"/>
        <v>9.1</v>
      </c>
      <c r="QJ21" s="22">
        <f t="shared" si="142"/>
        <v>2.8</v>
      </c>
      <c r="QK21" s="22">
        <f t="shared" si="143"/>
        <v>0</v>
      </c>
      <c r="QL21" s="22">
        <f t="shared" si="144"/>
        <v>0</v>
      </c>
      <c r="QM21" s="22">
        <f t="shared" si="145"/>
        <v>8.5</v>
      </c>
      <c r="QN21" s="22">
        <f t="shared" si="146"/>
        <v>1.4</v>
      </c>
      <c r="QO21" s="22">
        <f t="shared" si="147"/>
        <v>0</v>
      </c>
      <c r="QP21" s="22">
        <f t="shared" si="148"/>
        <v>0</v>
      </c>
      <c r="QQ21" s="22">
        <f t="shared" si="149"/>
        <v>0</v>
      </c>
      <c r="QR21" s="22">
        <f t="shared" si="150"/>
        <v>0</v>
      </c>
      <c r="QS21" s="22">
        <f t="shared" si="151"/>
        <v>0</v>
      </c>
      <c r="QT21" s="22">
        <f t="shared" si="152"/>
        <v>0</v>
      </c>
      <c r="QU21" s="22">
        <f t="shared" si="153"/>
        <v>0</v>
      </c>
      <c r="QV21" s="22">
        <f t="shared" si="154"/>
        <v>0</v>
      </c>
      <c r="QW21" s="22">
        <f t="shared" si="155"/>
        <v>0</v>
      </c>
      <c r="QX21" s="22">
        <f t="shared" si="156"/>
        <v>0</v>
      </c>
      <c r="QY21" s="27" t="s">
        <v>46</v>
      </c>
      <c r="QZ21" s="40">
        <f t="shared" si="157"/>
        <v>4.25</v>
      </c>
      <c r="RA21" s="40">
        <f t="shared" si="158"/>
        <v>21.45</v>
      </c>
      <c r="RB21" s="40">
        <f t="shared" si="159"/>
        <v>9.9</v>
      </c>
      <c r="RC21" s="40">
        <f t="shared" si="160"/>
        <v>5.65</v>
      </c>
      <c r="RD21" s="40">
        <f t="shared" si="161"/>
        <v>31.35</v>
      </c>
      <c r="RE21" s="40" t="str">
        <f t="shared" si="162"/>
        <v/>
      </c>
      <c r="RF21" s="40" t="str">
        <f t="shared" si="163"/>
        <v/>
      </c>
      <c r="RG21" s="40">
        <f t="shared" si="164"/>
        <v>21.45</v>
      </c>
    </row>
    <row r="22" spans="1:475" x14ac:dyDescent="0.2">
      <c r="A22" s="4" t="str">
        <f t="shared" si="0"/>
        <v/>
      </c>
      <c r="B22" s="5" t="s">
        <v>181</v>
      </c>
      <c r="C22" s="4" t="s">
        <v>5</v>
      </c>
      <c r="D22" s="4">
        <v>2005</v>
      </c>
      <c r="E22" s="9">
        <f t="shared" si="1"/>
        <v>106.60000633000435</v>
      </c>
      <c r="F22" s="3" t="str">
        <f t="shared" si="2"/>
        <v/>
      </c>
      <c r="G22" s="3" t="str">
        <f t="shared" si="3"/>
        <v/>
      </c>
      <c r="H22" s="36" t="str">
        <f t="shared" si="4"/>
        <v/>
      </c>
      <c r="I22" s="3" t="str">
        <f t="shared" si="5"/>
        <v/>
      </c>
      <c r="J22" s="8">
        <f>IF(COUNT(AQ22,BT22,CW22)&gt;0,LARGE((AQ22,BT22,CW22),1),0)</f>
        <v>43.5</v>
      </c>
      <c r="K22" s="8" t="str">
        <f t="shared" si="6"/>
        <v>2022 Nationals</v>
      </c>
      <c r="L22" s="8">
        <f>IF(COUNT(AQ22,BT22,CW22)&gt;1,LARGE((AQ22,BT22,CW22),2),0)</f>
        <v>0</v>
      </c>
      <c r="M22" s="8" t="str">
        <f t="shared" si="7"/>
        <v/>
      </c>
      <c r="N22" s="8">
        <f>IF(COUNT(AR22,BU22,CX22)&gt;0,LARGE((AR22,BU22,CX22),1),0)</f>
        <v>19.8</v>
      </c>
      <c r="O22" s="8" t="str">
        <f t="shared" si="8"/>
        <v>2022 Nationals</v>
      </c>
      <c r="P22" s="8">
        <f t="shared" si="9"/>
        <v>43.300000000000004</v>
      </c>
      <c r="Q22" s="8" t="str">
        <f t="shared" si="10"/>
        <v>2022 Nationals</v>
      </c>
      <c r="R22" s="8" t="str">
        <f t="shared" si="11"/>
        <v/>
      </c>
      <c r="S22" s="11" t="str">
        <f t="shared" si="12"/>
        <v/>
      </c>
      <c r="T22" s="8" t="str">
        <f t="shared" si="13"/>
        <v/>
      </c>
      <c r="U22" s="19">
        <v>18.2</v>
      </c>
      <c r="V22" s="19">
        <v>3.5</v>
      </c>
      <c r="W22" s="19">
        <v>0.2</v>
      </c>
      <c r="X22" s="19">
        <v>0</v>
      </c>
      <c r="Y22" s="19">
        <v>18</v>
      </c>
      <c r="Z22" s="19">
        <v>4.8</v>
      </c>
      <c r="AA22" s="19">
        <v>0.8</v>
      </c>
      <c r="AB22" s="19">
        <v>0</v>
      </c>
      <c r="AC22" s="19">
        <v>17</v>
      </c>
      <c r="AD22" s="19">
        <v>2.8</v>
      </c>
      <c r="AE22" s="19">
        <v>0</v>
      </c>
      <c r="AF22" s="19">
        <v>0</v>
      </c>
      <c r="AG22" s="19">
        <v>18</v>
      </c>
      <c r="AH22" s="19">
        <v>4.8</v>
      </c>
      <c r="AI22" s="19">
        <v>0.8</v>
      </c>
      <c r="AJ22" s="19">
        <v>0</v>
      </c>
      <c r="AK22" s="19">
        <v>18.399999999999999</v>
      </c>
      <c r="AL22" s="19">
        <v>3.5</v>
      </c>
      <c r="AM22" s="19">
        <v>0.6</v>
      </c>
      <c r="AN22" s="19">
        <v>0</v>
      </c>
      <c r="AO22" s="27"/>
      <c r="AP22" s="40">
        <f t="shared" si="14"/>
        <v>8.3000000000000007</v>
      </c>
      <c r="AQ22" s="40">
        <f t="shared" si="15"/>
        <v>43.5</v>
      </c>
      <c r="AR22" s="40">
        <f t="shared" si="16"/>
        <v>19.8</v>
      </c>
      <c r="AS22" s="40">
        <f t="shared" si="17"/>
        <v>11.100000000000001</v>
      </c>
      <c r="AT22" s="40">
        <f t="shared" si="18"/>
        <v>63.3</v>
      </c>
      <c r="AU22" s="40">
        <f t="shared" si="19"/>
        <v>8.3000000000000007</v>
      </c>
      <c r="AV22" s="40">
        <f t="shared" si="20"/>
        <v>43.300000000000004</v>
      </c>
      <c r="AW22" s="40">
        <f t="shared" si="21"/>
        <v>86.800000000000011</v>
      </c>
      <c r="AX22" s="18"/>
      <c r="AY22" s="18"/>
      <c r="AZ22" s="18"/>
      <c r="BA22" s="18"/>
      <c r="BB22" s="18"/>
      <c r="BC22" s="18"/>
      <c r="BD22" s="18"/>
      <c r="BE22" s="18"/>
      <c r="BF22" s="18"/>
      <c r="BG22" s="18"/>
      <c r="BH22" s="18"/>
      <c r="BI22" s="18"/>
      <c r="BJ22" s="18"/>
      <c r="BK22" s="18"/>
      <c r="BL22" s="18"/>
      <c r="BM22" s="18"/>
      <c r="BN22" s="18"/>
      <c r="BO22" s="18"/>
      <c r="BP22" s="18"/>
      <c r="BQ22" s="18"/>
      <c r="BR22" s="28"/>
      <c r="BS22" s="11" t="str">
        <f t="shared" si="22"/>
        <v/>
      </c>
      <c r="BT22" s="11" t="str">
        <f t="shared" si="23"/>
        <v/>
      </c>
      <c r="BU22" s="11" t="str">
        <f t="shared" si="24"/>
        <v/>
      </c>
      <c r="BV22" s="11" t="str">
        <f t="shared" si="25"/>
        <v/>
      </c>
      <c r="BW22" s="11" t="str">
        <f t="shared" si="26"/>
        <v/>
      </c>
      <c r="BX22" s="11" t="str">
        <f t="shared" si="27"/>
        <v/>
      </c>
      <c r="BY22" s="11" t="str">
        <f t="shared" si="28"/>
        <v/>
      </c>
      <c r="BZ22" s="11" t="str">
        <f t="shared" si="29"/>
        <v/>
      </c>
      <c r="CA22" s="19"/>
      <c r="CB22" s="19"/>
      <c r="CC22" s="19"/>
      <c r="CD22" s="19"/>
      <c r="CE22" s="19"/>
      <c r="CF22" s="19"/>
      <c r="CG22" s="19"/>
      <c r="CH22" s="19"/>
      <c r="CI22" s="19"/>
      <c r="CJ22" s="19"/>
      <c r="CK22" s="19"/>
      <c r="CL22" s="19"/>
      <c r="CM22" s="19"/>
      <c r="CN22" s="19"/>
      <c r="CO22" s="19"/>
      <c r="CP22" s="19"/>
      <c r="CQ22" s="19"/>
      <c r="CR22" s="19"/>
      <c r="CS22" s="19"/>
      <c r="CT22" s="19"/>
      <c r="CU22" s="27"/>
      <c r="CV22" s="40" t="str">
        <f t="shared" si="30"/>
        <v/>
      </c>
      <c r="CW22" s="40" t="str">
        <f t="shared" si="31"/>
        <v/>
      </c>
      <c r="CX22" s="40" t="str">
        <f t="shared" si="32"/>
        <v/>
      </c>
      <c r="CY22" s="40" t="str">
        <f t="shared" si="33"/>
        <v/>
      </c>
      <c r="CZ22" s="40" t="str">
        <f t="shared" si="34"/>
        <v/>
      </c>
      <c r="DA22" s="40" t="str">
        <f t="shared" si="35"/>
        <v/>
      </c>
      <c r="DB22" s="40" t="str">
        <f t="shared" si="36"/>
        <v/>
      </c>
      <c r="DC22" s="40" t="str">
        <f t="shared" si="37"/>
        <v/>
      </c>
      <c r="DD22" s="50" t="str">
        <f t="shared" si="38"/>
        <v/>
      </c>
      <c r="DE22" s="50" t="str">
        <f t="shared" si="39"/>
        <v/>
      </c>
      <c r="DF22" s="50" t="str">
        <f t="shared" si="40"/>
        <v/>
      </c>
      <c r="DG22" s="17"/>
      <c r="DH22" s="17"/>
      <c r="DI22" s="17"/>
      <c r="DJ22" s="17"/>
      <c r="DK22" s="17"/>
      <c r="DL22" s="17"/>
      <c r="DM22" s="17"/>
      <c r="DN22" s="17"/>
      <c r="DO22" s="17"/>
      <c r="DP22" s="17"/>
      <c r="DQ22" s="17"/>
      <c r="DR22" s="17"/>
      <c r="DS22" s="17"/>
      <c r="DT22" s="17"/>
      <c r="DU22" s="17"/>
      <c r="DV22" s="17"/>
      <c r="DW22" s="17"/>
      <c r="DX22" s="17"/>
      <c r="DY22" s="17"/>
      <c r="DZ22" s="17"/>
      <c r="EA22" s="40" t="str">
        <f t="shared" si="41"/>
        <v/>
      </c>
      <c r="EB22" s="40" t="str">
        <f t="shared" si="42"/>
        <v/>
      </c>
      <c r="EC22" s="40" t="str">
        <f t="shared" si="43"/>
        <v/>
      </c>
      <c r="ED22" s="40" t="str">
        <f t="shared" si="44"/>
        <v/>
      </c>
      <c r="EE22" s="40" t="str">
        <f t="shared" si="45"/>
        <v/>
      </c>
      <c r="EF22" s="40" t="str">
        <f t="shared" si="46"/>
        <v/>
      </c>
      <c r="EG22" s="40" t="str">
        <f t="shared" si="47"/>
        <v/>
      </c>
      <c r="EH22" s="40" t="str">
        <f t="shared" si="48"/>
        <v/>
      </c>
      <c r="EI22" s="18"/>
      <c r="EJ22" s="18"/>
      <c r="EK22" s="18"/>
      <c r="EL22" s="18"/>
      <c r="EM22" s="18"/>
      <c r="EN22" s="18"/>
      <c r="EO22" s="18"/>
      <c r="EP22" s="18"/>
      <c r="EQ22" s="18"/>
      <c r="ER22" s="18"/>
      <c r="ES22" s="18"/>
      <c r="ET22" s="18"/>
      <c r="EU22" s="18"/>
      <c r="EV22" s="18"/>
      <c r="EW22" s="18"/>
      <c r="EX22" s="18"/>
      <c r="EY22" s="18"/>
      <c r="EZ22" s="18"/>
      <c r="FA22" s="18"/>
      <c r="FB22" s="18"/>
      <c r="FC22" s="11" t="str">
        <f t="shared" si="49"/>
        <v/>
      </c>
      <c r="FD22" s="11" t="str">
        <f t="shared" si="50"/>
        <v/>
      </c>
      <c r="FE22" s="11" t="str">
        <f t="shared" si="51"/>
        <v/>
      </c>
      <c r="FF22" s="11" t="str">
        <f t="shared" si="52"/>
        <v/>
      </c>
      <c r="FG22" s="11" t="str">
        <f t="shared" si="53"/>
        <v/>
      </c>
      <c r="FH22" s="11" t="str">
        <f t="shared" si="54"/>
        <v/>
      </c>
      <c r="FI22" s="11" t="str">
        <f t="shared" si="55"/>
        <v/>
      </c>
      <c r="FJ22" s="11" t="str">
        <f t="shared" si="56"/>
        <v/>
      </c>
      <c r="FK22" s="17"/>
      <c r="FL22" s="17"/>
      <c r="FM22" s="17"/>
      <c r="FN22" s="17"/>
      <c r="FO22" s="17"/>
      <c r="FP22" s="17"/>
      <c r="FQ22" s="17"/>
      <c r="FR22" s="17"/>
      <c r="FS22" s="17"/>
      <c r="FT22" s="17"/>
      <c r="FU22" s="17"/>
      <c r="FV22" s="17"/>
      <c r="FW22" s="17"/>
      <c r="FX22" s="17"/>
      <c r="FY22" s="17"/>
      <c r="FZ22" s="17"/>
      <c r="GA22" s="17"/>
      <c r="GB22" s="17"/>
      <c r="GC22" s="17"/>
      <c r="GD22" s="17"/>
      <c r="GE22" s="40" t="str">
        <f t="shared" si="57"/>
        <v/>
      </c>
      <c r="GF22" s="40" t="str">
        <f t="shared" si="58"/>
        <v/>
      </c>
      <c r="GG22" s="40" t="str">
        <f t="shared" si="59"/>
        <v/>
      </c>
      <c r="GH22" s="40" t="str">
        <f t="shared" si="60"/>
        <v/>
      </c>
      <c r="GI22" s="40" t="str">
        <f t="shared" si="61"/>
        <v/>
      </c>
      <c r="GJ22" s="40" t="str">
        <f t="shared" si="62"/>
        <v/>
      </c>
      <c r="GK22" s="40" t="str">
        <f t="shared" si="63"/>
        <v/>
      </c>
      <c r="GL22" s="40" t="str">
        <f t="shared" si="64"/>
        <v/>
      </c>
      <c r="GM22" s="18"/>
      <c r="GN22" s="18"/>
      <c r="GO22" s="18"/>
      <c r="GP22" s="18"/>
      <c r="GQ22" s="18"/>
      <c r="GR22" s="18"/>
      <c r="GS22" s="18"/>
      <c r="GT22" s="18"/>
      <c r="GU22" s="18"/>
      <c r="GV22" s="18"/>
      <c r="GW22" s="18"/>
      <c r="GX22" s="18"/>
      <c r="GY22" s="18"/>
      <c r="GZ22" s="18"/>
      <c r="HA22" s="18"/>
      <c r="HB22" s="18"/>
      <c r="HC22" s="18"/>
      <c r="HD22" s="18"/>
      <c r="HE22" s="18"/>
      <c r="HF22" s="18"/>
      <c r="HG22" s="11" t="str">
        <f t="shared" si="65"/>
        <v/>
      </c>
      <c r="HH22" s="11" t="str">
        <f t="shared" si="66"/>
        <v/>
      </c>
      <c r="HI22" s="11" t="str">
        <f t="shared" si="67"/>
        <v/>
      </c>
      <c r="HJ22" s="11" t="str">
        <f t="shared" si="68"/>
        <v/>
      </c>
      <c r="HK22" s="11" t="str">
        <f t="shared" si="69"/>
        <v/>
      </c>
      <c r="HL22" s="11" t="str">
        <f t="shared" si="70"/>
        <v/>
      </c>
      <c r="HM22" s="11" t="str">
        <f t="shared" si="71"/>
        <v/>
      </c>
      <c r="HN22" s="11" t="str">
        <f t="shared" si="72"/>
        <v/>
      </c>
      <c r="HO22" s="17"/>
      <c r="HP22" s="17"/>
      <c r="HQ22" s="17"/>
      <c r="HR22" s="17"/>
      <c r="HS22" s="17"/>
      <c r="HT22" s="17"/>
      <c r="HU22" s="17"/>
      <c r="HV22" s="17"/>
      <c r="HW22" s="17"/>
      <c r="HX22" s="17"/>
      <c r="HY22" s="17"/>
      <c r="HZ22" s="17"/>
      <c r="IA22" s="17"/>
      <c r="IB22" s="17"/>
      <c r="IC22" s="17"/>
      <c r="ID22" s="17"/>
      <c r="IE22" s="17"/>
      <c r="IF22" s="17"/>
      <c r="IG22" s="17"/>
      <c r="IH22" s="17"/>
      <c r="II22" s="40" t="str">
        <f t="shared" si="73"/>
        <v/>
      </c>
      <c r="IJ22" s="40" t="str">
        <f t="shared" si="74"/>
        <v/>
      </c>
      <c r="IK22" s="40" t="str">
        <f t="shared" si="75"/>
        <v/>
      </c>
      <c r="IL22" s="40" t="str">
        <f t="shared" si="76"/>
        <v/>
      </c>
      <c r="IM22" s="40" t="str">
        <f t="shared" si="77"/>
        <v/>
      </c>
      <c r="IN22" s="40" t="str">
        <f t="shared" si="78"/>
        <v/>
      </c>
      <c r="IO22" s="40" t="str">
        <f t="shared" si="79"/>
        <v/>
      </c>
      <c r="IP22" s="40" t="str">
        <f t="shared" si="80"/>
        <v/>
      </c>
      <c r="IQ22" s="18"/>
      <c r="IR22" s="18"/>
      <c r="IS22" s="18"/>
      <c r="IT22" s="18"/>
      <c r="IU22" s="18"/>
      <c r="IV22" s="18"/>
      <c r="IW22" s="18"/>
      <c r="IX22" s="18"/>
      <c r="IY22" s="18"/>
      <c r="IZ22" s="18"/>
      <c r="JA22" s="18"/>
      <c r="JB22" s="18"/>
      <c r="JC22" s="18"/>
      <c r="JD22" s="18"/>
      <c r="JE22" s="18"/>
      <c r="JF22" s="18"/>
      <c r="JG22" s="18"/>
      <c r="JH22" s="18"/>
      <c r="JI22" s="18"/>
      <c r="JJ22" s="18"/>
      <c r="JK22" s="11" t="str">
        <f t="shared" si="81"/>
        <v/>
      </c>
      <c r="JL22" s="11" t="str">
        <f t="shared" si="82"/>
        <v/>
      </c>
      <c r="JM22" s="11" t="str">
        <f t="shared" si="83"/>
        <v/>
      </c>
      <c r="JN22" s="11" t="str">
        <f t="shared" si="84"/>
        <v/>
      </c>
      <c r="JO22" s="11" t="str">
        <f t="shared" si="85"/>
        <v/>
      </c>
      <c r="JP22" s="11" t="str">
        <f t="shared" si="86"/>
        <v/>
      </c>
      <c r="JQ22" s="11" t="str">
        <f t="shared" si="87"/>
        <v/>
      </c>
      <c r="JR22" s="11" t="str">
        <f t="shared" si="88"/>
        <v/>
      </c>
      <c r="JS22" s="17"/>
      <c r="JT22" s="17"/>
      <c r="JU22" s="17"/>
      <c r="JV22" s="17"/>
      <c r="JW22" s="17"/>
      <c r="JX22" s="17"/>
      <c r="JY22" s="17"/>
      <c r="JZ22" s="17"/>
      <c r="KA22" s="17"/>
      <c r="KB22" s="17"/>
      <c r="KC22" s="17"/>
      <c r="KD22" s="17"/>
      <c r="KE22" s="17"/>
      <c r="KF22" s="17"/>
      <c r="KG22" s="17"/>
      <c r="KH22" s="17"/>
      <c r="KI22" s="17"/>
      <c r="KJ22" s="17"/>
      <c r="KK22" s="17"/>
      <c r="KL22" s="17"/>
      <c r="KM22" s="40" t="str">
        <f t="shared" si="89"/>
        <v/>
      </c>
      <c r="KN22" s="40" t="str">
        <f t="shared" si="90"/>
        <v/>
      </c>
      <c r="KO22" s="40" t="str">
        <f t="shared" si="91"/>
        <v/>
      </c>
      <c r="KP22" s="40" t="str">
        <f t="shared" si="92"/>
        <v/>
      </c>
      <c r="KQ22" s="40" t="str">
        <f t="shared" si="93"/>
        <v/>
      </c>
      <c r="KR22" s="40" t="str">
        <f t="shared" si="94"/>
        <v/>
      </c>
      <c r="KS22" s="40" t="str">
        <f t="shared" si="95"/>
        <v/>
      </c>
      <c r="KT22" s="40" t="str">
        <f t="shared" si="96"/>
        <v/>
      </c>
      <c r="KU22" s="18"/>
      <c r="KV22" s="18"/>
      <c r="KW22" s="18"/>
      <c r="KX22" s="18"/>
      <c r="KY22" s="18"/>
      <c r="KZ22" s="18"/>
      <c r="LA22" s="18"/>
      <c r="LB22" s="18"/>
      <c r="LC22" s="18"/>
      <c r="LD22" s="18"/>
      <c r="LE22" s="18"/>
      <c r="LF22" s="18"/>
      <c r="LG22" s="18"/>
      <c r="LH22" s="18"/>
      <c r="LI22" s="18"/>
      <c r="LJ22" s="18"/>
      <c r="LK22" s="18"/>
      <c r="LL22" s="18"/>
      <c r="LM22" s="18"/>
      <c r="LN22" s="18"/>
      <c r="LO22" s="11" t="str">
        <f t="shared" si="97"/>
        <v/>
      </c>
      <c r="LP22" s="11" t="str">
        <f t="shared" si="98"/>
        <v/>
      </c>
      <c r="LQ22" s="11" t="str">
        <f t="shared" si="99"/>
        <v/>
      </c>
      <c r="LR22" s="11" t="str">
        <f t="shared" si="100"/>
        <v/>
      </c>
      <c r="LS22" s="11" t="str">
        <f t="shared" si="101"/>
        <v/>
      </c>
      <c r="LT22" s="11" t="str">
        <f t="shared" si="102"/>
        <v/>
      </c>
      <c r="LU22" s="11" t="str">
        <f t="shared" si="103"/>
        <v/>
      </c>
      <c r="LV22" s="11" t="str">
        <f t="shared" si="104"/>
        <v/>
      </c>
      <c r="LW22" s="17"/>
      <c r="LX22" s="17"/>
      <c r="LY22" s="17"/>
      <c r="LZ22" s="17"/>
      <c r="MA22" s="17"/>
      <c r="MB22" s="17"/>
      <c r="MC22" s="17"/>
      <c r="MD22" s="17"/>
      <c r="ME22" s="17"/>
      <c r="MF22" s="17"/>
      <c r="MG22" s="17"/>
      <c r="MH22" s="17"/>
      <c r="MI22" s="17"/>
      <c r="MJ22" s="17"/>
      <c r="MK22" s="17"/>
      <c r="ML22" s="17"/>
      <c r="MM22" s="17"/>
      <c r="MN22" s="17"/>
      <c r="MO22" s="17"/>
      <c r="MP22" s="17"/>
      <c r="MQ22" s="40" t="str">
        <f t="shared" si="105"/>
        <v/>
      </c>
      <c r="MR22" s="40" t="str">
        <f t="shared" si="106"/>
        <v/>
      </c>
      <c r="MS22" s="40" t="str">
        <f t="shared" si="107"/>
        <v/>
      </c>
      <c r="MT22" s="40" t="str">
        <f t="shared" si="108"/>
        <v/>
      </c>
      <c r="MU22" s="40" t="str">
        <f t="shared" si="109"/>
        <v/>
      </c>
      <c r="MV22" s="40" t="str">
        <f t="shared" si="110"/>
        <v/>
      </c>
      <c r="MW22" s="40" t="str">
        <f t="shared" si="111"/>
        <v/>
      </c>
      <c r="MX22" s="40" t="str">
        <f t="shared" si="112"/>
        <v/>
      </c>
      <c r="MY22" s="18"/>
      <c r="MZ22" s="18"/>
      <c r="NA22" s="18"/>
      <c r="NB22" s="18"/>
      <c r="NC22" s="18"/>
      <c r="ND22" s="18"/>
      <c r="NE22" s="18"/>
      <c r="NF22" s="18"/>
      <c r="NG22" s="18"/>
      <c r="NH22" s="18"/>
      <c r="NI22" s="18"/>
      <c r="NJ22" s="18"/>
      <c r="NK22" s="18"/>
      <c r="NL22" s="18"/>
      <c r="NM22" s="18"/>
      <c r="NN22" s="18"/>
      <c r="NO22" s="18"/>
      <c r="NP22" s="18"/>
      <c r="NQ22" s="18"/>
      <c r="NR22" s="18"/>
      <c r="NS22" s="11" t="str">
        <f t="shared" si="113"/>
        <v/>
      </c>
      <c r="NT22" s="11" t="str">
        <f t="shared" si="114"/>
        <v/>
      </c>
      <c r="NU22" s="11" t="str">
        <f t="shared" si="115"/>
        <v/>
      </c>
      <c r="NV22" s="11" t="str">
        <f t="shared" si="116"/>
        <v/>
      </c>
      <c r="NW22" s="11" t="str">
        <f t="shared" si="117"/>
        <v/>
      </c>
      <c r="NX22" s="11" t="str">
        <f t="shared" si="118"/>
        <v/>
      </c>
      <c r="NY22" s="11" t="str">
        <f t="shared" si="119"/>
        <v/>
      </c>
      <c r="NZ22" s="11" t="str">
        <f t="shared" si="120"/>
        <v/>
      </c>
      <c r="OA22" s="17"/>
      <c r="OB22" s="17"/>
      <c r="OC22" s="17"/>
      <c r="OD22" s="17"/>
      <c r="OE22" s="17"/>
      <c r="OF22" s="17"/>
      <c r="OG22" s="17"/>
      <c r="OH22" s="17"/>
      <c r="OI22" s="17"/>
      <c r="OJ22" s="17"/>
      <c r="OK22" s="17"/>
      <c r="OL22" s="17"/>
      <c r="OM22" s="17"/>
      <c r="ON22" s="17"/>
      <c r="OO22" s="17"/>
      <c r="OP22" s="17"/>
      <c r="OQ22" s="17"/>
      <c r="OR22" s="17"/>
      <c r="OS22" s="17"/>
      <c r="OT22" s="17"/>
      <c r="OU22" s="40" t="str">
        <f t="shared" si="121"/>
        <v/>
      </c>
      <c r="OV22" s="40" t="str">
        <f t="shared" si="122"/>
        <v/>
      </c>
      <c r="OW22" s="40" t="str">
        <f t="shared" si="123"/>
        <v/>
      </c>
      <c r="OX22" s="40" t="str">
        <f t="shared" si="124"/>
        <v/>
      </c>
      <c r="OY22" s="40" t="str">
        <f t="shared" si="125"/>
        <v/>
      </c>
      <c r="OZ22" s="40" t="str">
        <f t="shared" si="126"/>
        <v/>
      </c>
      <c r="PA22" s="40" t="str">
        <f t="shared" si="127"/>
        <v/>
      </c>
      <c r="PB22" s="40" t="str">
        <f t="shared" si="128"/>
        <v/>
      </c>
      <c r="PC22" s="18"/>
      <c r="PD22" s="18"/>
      <c r="PE22" s="18"/>
      <c r="PF22" s="18"/>
      <c r="PG22" s="18"/>
      <c r="PH22" s="18"/>
      <c r="PI22" s="18"/>
      <c r="PJ22" s="18"/>
      <c r="PK22" s="18"/>
      <c r="PL22" s="18"/>
      <c r="PM22" s="18"/>
      <c r="PN22" s="18"/>
      <c r="PO22" s="18"/>
      <c r="PP22" s="18"/>
      <c r="PQ22" s="18"/>
      <c r="PR22" s="18"/>
      <c r="PS22" s="18"/>
      <c r="PT22" s="18"/>
      <c r="PU22" s="18"/>
      <c r="PV22" s="18"/>
      <c r="PW22" s="11" t="str">
        <f t="shared" si="129"/>
        <v/>
      </c>
      <c r="PX22" s="11" t="str">
        <f t="shared" si="130"/>
        <v/>
      </c>
      <c r="PY22" s="11" t="str">
        <f t="shared" si="131"/>
        <v/>
      </c>
      <c r="PZ22" s="11" t="str">
        <f t="shared" si="132"/>
        <v/>
      </c>
      <c r="QA22" s="11" t="str">
        <f t="shared" si="133"/>
        <v/>
      </c>
      <c r="QB22" s="11" t="str">
        <f t="shared" si="134"/>
        <v/>
      </c>
      <c r="QC22" s="11" t="str">
        <f t="shared" si="135"/>
        <v/>
      </c>
      <c r="QD22" s="11" t="str">
        <f t="shared" si="136"/>
        <v/>
      </c>
      <c r="QE22" s="22">
        <f t="shared" si="137"/>
        <v>0</v>
      </c>
      <c r="QF22" s="22">
        <f t="shared" si="138"/>
        <v>0</v>
      </c>
      <c r="QG22" s="22">
        <f t="shared" si="139"/>
        <v>0</v>
      </c>
      <c r="QH22" s="22">
        <f t="shared" si="140"/>
        <v>0</v>
      </c>
      <c r="QI22" s="22">
        <f t="shared" si="141"/>
        <v>0</v>
      </c>
      <c r="QJ22" s="22">
        <f t="shared" si="142"/>
        <v>0</v>
      </c>
      <c r="QK22" s="22">
        <f t="shared" si="143"/>
        <v>0</v>
      </c>
      <c r="QL22" s="22">
        <f t="shared" si="144"/>
        <v>0</v>
      </c>
      <c r="QM22" s="22">
        <f t="shared" si="145"/>
        <v>0</v>
      </c>
      <c r="QN22" s="22">
        <f t="shared" si="146"/>
        <v>0</v>
      </c>
      <c r="QO22" s="22">
        <f t="shared" si="147"/>
        <v>0</v>
      </c>
      <c r="QP22" s="22">
        <f t="shared" si="148"/>
        <v>0</v>
      </c>
      <c r="QQ22" s="22">
        <f t="shared" si="149"/>
        <v>0</v>
      </c>
      <c r="QR22" s="22">
        <f t="shared" si="150"/>
        <v>0</v>
      </c>
      <c r="QS22" s="22">
        <f t="shared" si="151"/>
        <v>0</v>
      </c>
      <c r="QT22" s="22">
        <f t="shared" si="152"/>
        <v>0</v>
      </c>
      <c r="QU22" s="22">
        <f t="shared" si="153"/>
        <v>0</v>
      </c>
      <c r="QV22" s="22">
        <f t="shared" si="154"/>
        <v>0</v>
      </c>
      <c r="QW22" s="22">
        <f t="shared" si="155"/>
        <v>0</v>
      </c>
      <c r="QX22" s="22">
        <f t="shared" si="156"/>
        <v>0</v>
      </c>
      <c r="QY22" s="27" t="s">
        <v>46</v>
      </c>
      <c r="QZ22" s="40" t="str">
        <f t="shared" si="157"/>
        <v/>
      </c>
      <c r="RA22" s="40" t="str">
        <f t="shared" si="158"/>
        <v/>
      </c>
      <c r="RB22" s="40" t="str">
        <f t="shared" si="159"/>
        <v/>
      </c>
      <c r="RC22" s="40" t="str">
        <f t="shared" si="160"/>
        <v/>
      </c>
      <c r="RD22" s="40" t="str">
        <f t="shared" si="161"/>
        <v/>
      </c>
      <c r="RE22" s="40" t="str">
        <f t="shared" si="162"/>
        <v/>
      </c>
      <c r="RF22" s="40" t="str">
        <f t="shared" si="163"/>
        <v/>
      </c>
      <c r="RG22" s="40" t="str">
        <f t="shared" si="164"/>
        <v/>
      </c>
    </row>
    <row r="23" spans="1:475" x14ac:dyDescent="0.2">
      <c r="A23" s="4" t="str">
        <f t="shared" si="0"/>
        <v/>
      </c>
      <c r="B23" s="5" t="s">
        <v>192</v>
      </c>
      <c r="C23" s="4" t="s">
        <v>4</v>
      </c>
      <c r="D23" s="4">
        <v>2005</v>
      </c>
      <c r="E23" s="9">
        <f t="shared" si="1"/>
        <v>101.0000101000042</v>
      </c>
      <c r="F23" s="3" t="str">
        <f t="shared" si="2"/>
        <v/>
      </c>
      <c r="G23" s="3" t="str">
        <f t="shared" si="3"/>
        <v/>
      </c>
      <c r="H23" s="36" t="str">
        <f t="shared" si="4"/>
        <v/>
      </c>
      <c r="I23" s="3" t="str">
        <f t="shared" si="5"/>
        <v/>
      </c>
      <c r="J23" s="8">
        <f>IF(COUNT(AQ23,BT23,CW23)&gt;0,LARGE((AQ23,BT23,CW23),1),0)</f>
        <v>41.900000000000006</v>
      </c>
      <c r="K23" s="8" t="str">
        <f t="shared" si="6"/>
        <v>2023 Elite Canada</v>
      </c>
      <c r="L23" s="8">
        <f>IF(COUNT(AQ23,BT23,CW23)&gt;1,LARGE((AQ23,BT23,CW23),2),0)</f>
        <v>37.4</v>
      </c>
      <c r="M23" s="8" t="str">
        <f t="shared" si="7"/>
        <v>2022 Nationals</v>
      </c>
      <c r="N23" s="8">
        <f>IF(COUNT(AR23,BU23,CX23)&gt;0,LARGE((AR23,BU23,CX23),1),0)</f>
        <v>21.7</v>
      </c>
      <c r="O23" s="8" t="str">
        <f t="shared" si="8"/>
        <v>2022 Nationals</v>
      </c>
      <c r="P23" s="8">
        <f t="shared" si="9"/>
        <v>0</v>
      </c>
      <c r="Q23" s="8" t="str">
        <f t="shared" si="10"/>
        <v/>
      </c>
      <c r="R23" s="8" t="str">
        <f t="shared" si="11"/>
        <v/>
      </c>
      <c r="S23" s="11" t="str">
        <f t="shared" si="12"/>
        <v/>
      </c>
      <c r="T23" s="8" t="str">
        <f t="shared" si="13"/>
        <v/>
      </c>
      <c r="U23" s="19">
        <v>17</v>
      </c>
      <c r="V23" s="19">
        <v>2</v>
      </c>
      <c r="W23" s="19">
        <v>0</v>
      </c>
      <c r="X23" s="19">
        <v>0</v>
      </c>
      <c r="Y23" s="19">
        <v>16.3</v>
      </c>
      <c r="Z23" s="19">
        <v>2.7</v>
      </c>
      <c r="AA23" s="19">
        <v>0.6</v>
      </c>
      <c r="AB23" s="19">
        <v>0</v>
      </c>
      <c r="AC23" s="19">
        <v>18.8</v>
      </c>
      <c r="AD23" s="19">
        <v>2.9</v>
      </c>
      <c r="AE23" s="19">
        <v>0</v>
      </c>
      <c r="AF23" s="19">
        <v>0</v>
      </c>
      <c r="AG23" s="19"/>
      <c r="AH23" s="19"/>
      <c r="AI23" s="19"/>
      <c r="AJ23" s="19"/>
      <c r="AK23" s="19"/>
      <c r="AL23" s="19"/>
      <c r="AM23" s="19"/>
      <c r="AN23" s="19"/>
      <c r="AO23" s="27"/>
      <c r="AP23" s="40">
        <f t="shared" si="14"/>
        <v>4.7</v>
      </c>
      <c r="AQ23" s="40">
        <f t="shared" si="15"/>
        <v>37.4</v>
      </c>
      <c r="AR23" s="40">
        <f t="shared" si="16"/>
        <v>21.7</v>
      </c>
      <c r="AS23" s="40">
        <f t="shared" si="17"/>
        <v>7.6</v>
      </c>
      <c r="AT23" s="40">
        <f t="shared" si="18"/>
        <v>59.099999999999994</v>
      </c>
      <c r="AU23" s="40" t="str">
        <f t="shared" si="19"/>
        <v/>
      </c>
      <c r="AV23" s="40" t="str">
        <f t="shared" si="20"/>
        <v/>
      </c>
      <c r="AW23" s="40">
        <f t="shared" si="21"/>
        <v>37.4</v>
      </c>
      <c r="AX23" s="18"/>
      <c r="AY23" s="18"/>
      <c r="AZ23" s="18"/>
      <c r="BA23" s="18"/>
      <c r="BB23" s="18"/>
      <c r="BC23" s="18"/>
      <c r="BD23" s="18"/>
      <c r="BE23" s="18"/>
      <c r="BF23" s="18"/>
      <c r="BG23" s="18"/>
      <c r="BH23" s="18"/>
      <c r="BI23" s="18"/>
      <c r="BJ23" s="18"/>
      <c r="BK23" s="18"/>
      <c r="BL23" s="18"/>
      <c r="BM23" s="18"/>
      <c r="BN23" s="18"/>
      <c r="BO23" s="18"/>
      <c r="BP23" s="18"/>
      <c r="BQ23" s="18"/>
      <c r="BR23" s="28"/>
      <c r="BS23" s="11" t="str">
        <f t="shared" si="22"/>
        <v/>
      </c>
      <c r="BT23" s="11" t="str">
        <f t="shared" si="23"/>
        <v/>
      </c>
      <c r="BU23" s="11" t="str">
        <f t="shared" si="24"/>
        <v/>
      </c>
      <c r="BV23" s="11" t="str">
        <f t="shared" si="25"/>
        <v/>
      </c>
      <c r="BW23" s="11" t="str">
        <f t="shared" si="26"/>
        <v/>
      </c>
      <c r="BX23" s="11" t="str">
        <f t="shared" si="27"/>
        <v/>
      </c>
      <c r="BY23" s="11" t="str">
        <f t="shared" si="28"/>
        <v/>
      </c>
      <c r="BZ23" s="11" t="str">
        <f t="shared" si="29"/>
        <v/>
      </c>
      <c r="CA23" s="19">
        <v>17.600000000000001</v>
      </c>
      <c r="CB23" s="19">
        <v>3.3</v>
      </c>
      <c r="CC23" s="19">
        <v>0.2</v>
      </c>
      <c r="CD23" s="19">
        <v>0</v>
      </c>
      <c r="CE23" s="19">
        <v>18</v>
      </c>
      <c r="CF23" s="19">
        <v>3.2</v>
      </c>
      <c r="CG23" s="19">
        <v>0</v>
      </c>
      <c r="CH23" s="19">
        <v>0</v>
      </c>
      <c r="CI23" s="19">
        <v>17.2</v>
      </c>
      <c r="CJ23" s="19">
        <v>0.7</v>
      </c>
      <c r="CK23" s="19">
        <v>0</v>
      </c>
      <c r="CL23" s="19">
        <v>0</v>
      </c>
      <c r="CM23" s="19"/>
      <c r="CN23" s="19"/>
      <c r="CO23" s="19"/>
      <c r="CP23" s="19"/>
      <c r="CQ23" s="19"/>
      <c r="CR23" s="19"/>
      <c r="CS23" s="19"/>
      <c r="CT23" s="19"/>
      <c r="CU23" s="27"/>
      <c r="CV23" s="40">
        <f t="shared" si="30"/>
        <v>6.5</v>
      </c>
      <c r="CW23" s="40">
        <f t="shared" si="31"/>
        <v>41.900000000000006</v>
      </c>
      <c r="CX23" s="40">
        <f t="shared" si="32"/>
        <v>17.899999999999999</v>
      </c>
      <c r="CY23" s="40">
        <f t="shared" si="33"/>
        <v>7.2</v>
      </c>
      <c r="CZ23" s="40">
        <f t="shared" si="34"/>
        <v>59.800000000000004</v>
      </c>
      <c r="DA23" s="40" t="str">
        <f t="shared" si="35"/>
        <v/>
      </c>
      <c r="DB23" s="40" t="str">
        <f t="shared" si="36"/>
        <v/>
      </c>
      <c r="DC23" s="40">
        <f t="shared" si="37"/>
        <v>41.900000000000006</v>
      </c>
      <c r="DD23" s="50" t="str">
        <f t="shared" si="38"/>
        <v/>
      </c>
      <c r="DE23" s="50" t="str">
        <f t="shared" si="39"/>
        <v/>
      </c>
      <c r="DF23" s="50" t="str">
        <f t="shared" si="40"/>
        <v/>
      </c>
      <c r="DG23" s="17"/>
      <c r="DH23" s="17"/>
      <c r="DI23" s="17"/>
      <c r="DJ23" s="17"/>
      <c r="DK23" s="17"/>
      <c r="DL23" s="17"/>
      <c r="DM23" s="17"/>
      <c r="DN23" s="17"/>
      <c r="DO23" s="17"/>
      <c r="DP23" s="17"/>
      <c r="DQ23" s="17"/>
      <c r="DR23" s="17"/>
      <c r="DS23" s="17"/>
      <c r="DT23" s="17"/>
      <c r="DU23" s="17"/>
      <c r="DV23" s="17"/>
      <c r="DW23" s="17"/>
      <c r="DX23" s="17"/>
      <c r="DY23" s="17"/>
      <c r="DZ23" s="17"/>
      <c r="EA23" s="40" t="str">
        <f t="shared" si="41"/>
        <v/>
      </c>
      <c r="EB23" s="40" t="str">
        <f t="shared" si="42"/>
        <v/>
      </c>
      <c r="EC23" s="40" t="str">
        <f t="shared" si="43"/>
        <v/>
      </c>
      <c r="ED23" s="40" t="str">
        <f t="shared" si="44"/>
        <v/>
      </c>
      <c r="EE23" s="40" t="str">
        <f t="shared" si="45"/>
        <v/>
      </c>
      <c r="EF23" s="40" t="str">
        <f t="shared" si="46"/>
        <v/>
      </c>
      <c r="EG23" s="40" t="str">
        <f t="shared" si="47"/>
        <v/>
      </c>
      <c r="EH23" s="40" t="str">
        <f t="shared" si="48"/>
        <v/>
      </c>
      <c r="EI23" s="18"/>
      <c r="EJ23" s="18"/>
      <c r="EK23" s="18"/>
      <c r="EL23" s="18"/>
      <c r="EM23" s="18"/>
      <c r="EN23" s="18"/>
      <c r="EO23" s="18"/>
      <c r="EP23" s="18"/>
      <c r="EQ23" s="18"/>
      <c r="ER23" s="18"/>
      <c r="ES23" s="18"/>
      <c r="ET23" s="18"/>
      <c r="EU23" s="18"/>
      <c r="EV23" s="18"/>
      <c r="EW23" s="18"/>
      <c r="EX23" s="18"/>
      <c r="EY23" s="18"/>
      <c r="EZ23" s="18"/>
      <c r="FA23" s="18"/>
      <c r="FB23" s="18"/>
      <c r="FC23" s="11" t="str">
        <f t="shared" si="49"/>
        <v/>
      </c>
      <c r="FD23" s="11" t="str">
        <f t="shared" si="50"/>
        <v/>
      </c>
      <c r="FE23" s="11" t="str">
        <f t="shared" si="51"/>
        <v/>
      </c>
      <c r="FF23" s="11" t="str">
        <f t="shared" si="52"/>
        <v/>
      </c>
      <c r="FG23" s="11" t="str">
        <f t="shared" si="53"/>
        <v/>
      </c>
      <c r="FH23" s="11" t="str">
        <f t="shared" si="54"/>
        <v/>
      </c>
      <c r="FI23" s="11" t="str">
        <f t="shared" si="55"/>
        <v/>
      </c>
      <c r="FJ23" s="11" t="str">
        <f t="shared" si="56"/>
        <v/>
      </c>
      <c r="FK23" s="17"/>
      <c r="FL23" s="17"/>
      <c r="FM23" s="17"/>
      <c r="FN23" s="17"/>
      <c r="FO23" s="17"/>
      <c r="FP23" s="17"/>
      <c r="FQ23" s="17"/>
      <c r="FR23" s="17"/>
      <c r="FS23" s="17"/>
      <c r="FT23" s="17"/>
      <c r="FU23" s="17"/>
      <c r="FV23" s="17"/>
      <c r="FW23" s="17"/>
      <c r="FX23" s="17"/>
      <c r="FY23" s="17"/>
      <c r="FZ23" s="17"/>
      <c r="GA23" s="17"/>
      <c r="GB23" s="17"/>
      <c r="GC23" s="17"/>
      <c r="GD23" s="17"/>
      <c r="GE23" s="40" t="str">
        <f t="shared" si="57"/>
        <v/>
      </c>
      <c r="GF23" s="40" t="str">
        <f t="shared" si="58"/>
        <v/>
      </c>
      <c r="GG23" s="40" t="str">
        <f t="shared" si="59"/>
        <v/>
      </c>
      <c r="GH23" s="40" t="str">
        <f t="shared" si="60"/>
        <v/>
      </c>
      <c r="GI23" s="40" t="str">
        <f t="shared" si="61"/>
        <v/>
      </c>
      <c r="GJ23" s="40" t="str">
        <f t="shared" si="62"/>
        <v/>
      </c>
      <c r="GK23" s="40" t="str">
        <f t="shared" si="63"/>
        <v/>
      </c>
      <c r="GL23" s="40" t="str">
        <f t="shared" si="64"/>
        <v/>
      </c>
      <c r="GM23" s="18"/>
      <c r="GN23" s="18"/>
      <c r="GO23" s="18"/>
      <c r="GP23" s="18"/>
      <c r="GQ23" s="18"/>
      <c r="GR23" s="18"/>
      <c r="GS23" s="18"/>
      <c r="GT23" s="18"/>
      <c r="GU23" s="18"/>
      <c r="GV23" s="18"/>
      <c r="GW23" s="18"/>
      <c r="GX23" s="18"/>
      <c r="GY23" s="18"/>
      <c r="GZ23" s="18"/>
      <c r="HA23" s="18"/>
      <c r="HB23" s="18"/>
      <c r="HC23" s="18"/>
      <c r="HD23" s="18"/>
      <c r="HE23" s="18"/>
      <c r="HF23" s="18"/>
      <c r="HG23" s="11" t="str">
        <f t="shared" si="65"/>
        <v/>
      </c>
      <c r="HH23" s="11" t="str">
        <f t="shared" si="66"/>
        <v/>
      </c>
      <c r="HI23" s="11" t="str">
        <f t="shared" si="67"/>
        <v/>
      </c>
      <c r="HJ23" s="11" t="str">
        <f t="shared" si="68"/>
        <v/>
      </c>
      <c r="HK23" s="11" t="str">
        <f t="shared" si="69"/>
        <v/>
      </c>
      <c r="HL23" s="11" t="str">
        <f t="shared" si="70"/>
        <v/>
      </c>
      <c r="HM23" s="11" t="str">
        <f t="shared" si="71"/>
        <v/>
      </c>
      <c r="HN23" s="11" t="str">
        <f t="shared" si="72"/>
        <v/>
      </c>
      <c r="HO23" s="17"/>
      <c r="HP23" s="17"/>
      <c r="HQ23" s="17"/>
      <c r="HR23" s="17"/>
      <c r="HS23" s="17"/>
      <c r="HT23" s="17"/>
      <c r="HU23" s="17"/>
      <c r="HV23" s="17"/>
      <c r="HW23" s="17"/>
      <c r="HX23" s="17"/>
      <c r="HY23" s="17"/>
      <c r="HZ23" s="17"/>
      <c r="IA23" s="17"/>
      <c r="IB23" s="17"/>
      <c r="IC23" s="17"/>
      <c r="ID23" s="17"/>
      <c r="IE23" s="17"/>
      <c r="IF23" s="17"/>
      <c r="IG23" s="17"/>
      <c r="IH23" s="17"/>
      <c r="II23" s="40" t="str">
        <f t="shared" si="73"/>
        <v/>
      </c>
      <c r="IJ23" s="40" t="str">
        <f t="shared" si="74"/>
        <v/>
      </c>
      <c r="IK23" s="40" t="str">
        <f t="shared" si="75"/>
        <v/>
      </c>
      <c r="IL23" s="40" t="str">
        <f t="shared" si="76"/>
        <v/>
      </c>
      <c r="IM23" s="40" t="str">
        <f t="shared" si="77"/>
        <v/>
      </c>
      <c r="IN23" s="40" t="str">
        <f t="shared" si="78"/>
        <v/>
      </c>
      <c r="IO23" s="40" t="str">
        <f t="shared" si="79"/>
        <v/>
      </c>
      <c r="IP23" s="40" t="str">
        <f t="shared" si="80"/>
        <v/>
      </c>
      <c r="IQ23" s="18"/>
      <c r="IR23" s="18"/>
      <c r="IS23" s="18"/>
      <c r="IT23" s="18"/>
      <c r="IU23" s="18"/>
      <c r="IV23" s="18"/>
      <c r="IW23" s="18"/>
      <c r="IX23" s="18"/>
      <c r="IY23" s="18"/>
      <c r="IZ23" s="18"/>
      <c r="JA23" s="18"/>
      <c r="JB23" s="18"/>
      <c r="JC23" s="18"/>
      <c r="JD23" s="18"/>
      <c r="JE23" s="18"/>
      <c r="JF23" s="18"/>
      <c r="JG23" s="18"/>
      <c r="JH23" s="18"/>
      <c r="JI23" s="18"/>
      <c r="JJ23" s="18"/>
      <c r="JK23" s="11" t="str">
        <f t="shared" si="81"/>
        <v/>
      </c>
      <c r="JL23" s="11" t="str">
        <f t="shared" si="82"/>
        <v/>
      </c>
      <c r="JM23" s="11" t="str">
        <f t="shared" si="83"/>
        <v/>
      </c>
      <c r="JN23" s="11" t="str">
        <f t="shared" si="84"/>
        <v/>
      </c>
      <c r="JO23" s="11" t="str">
        <f t="shared" si="85"/>
        <v/>
      </c>
      <c r="JP23" s="11" t="str">
        <f t="shared" si="86"/>
        <v/>
      </c>
      <c r="JQ23" s="11" t="str">
        <f t="shared" si="87"/>
        <v/>
      </c>
      <c r="JR23" s="11" t="str">
        <f t="shared" si="88"/>
        <v/>
      </c>
      <c r="JS23" s="17"/>
      <c r="JT23" s="17"/>
      <c r="JU23" s="17"/>
      <c r="JV23" s="17"/>
      <c r="JW23" s="17"/>
      <c r="JX23" s="17"/>
      <c r="JY23" s="17"/>
      <c r="JZ23" s="17"/>
      <c r="KA23" s="17"/>
      <c r="KB23" s="17"/>
      <c r="KC23" s="17"/>
      <c r="KD23" s="17"/>
      <c r="KE23" s="17"/>
      <c r="KF23" s="17"/>
      <c r="KG23" s="17"/>
      <c r="KH23" s="17"/>
      <c r="KI23" s="17"/>
      <c r="KJ23" s="17"/>
      <c r="KK23" s="17"/>
      <c r="KL23" s="17"/>
      <c r="KM23" s="40" t="str">
        <f t="shared" si="89"/>
        <v/>
      </c>
      <c r="KN23" s="40" t="str">
        <f t="shared" si="90"/>
        <v/>
      </c>
      <c r="KO23" s="40" t="str">
        <f t="shared" si="91"/>
        <v/>
      </c>
      <c r="KP23" s="40" t="str">
        <f t="shared" si="92"/>
        <v/>
      </c>
      <c r="KQ23" s="40" t="str">
        <f t="shared" si="93"/>
        <v/>
      </c>
      <c r="KR23" s="40" t="str">
        <f t="shared" si="94"/>
        <v/>
      </c>
      <c r="KS23" s="40" t="str">
        <f t="shared" si="95"/>
        <v/>
      </c>
      <c r="KT23" s="40" t="str">
        <f t="shared" si="96"/>
        <v/>
      </c>
      <c r="KU23" s="18"/>
      <c r="KV23" s="18"/>
      <c r="KW23" s="18"/>
      <c r="KX23" s="18"/>
      <c r="KY23" s="18"/>
      <c r="KZ23" s="18"/>
      <c r="LA23" s="18"/>
      <c r="LB23" s="18"/>
      <c r="LC23" s="18"/>
      <c r="LD23" s="18"/>
      <c r="LE23" s="18"/>
      <c r="LF23" s="18"/>
      <c r="LG23" s="18"/>
      <c r="LH23" s="18"/>
      <c r="LI23" s="18"/>
      <c r="LJ23" s="18"/>
      <c r="LK23" s="18"/>
      <c r="LL23" s="18"/>
      <c r="LM23" s="18"/>
      <c r="LN23" s="18"/>
      <c r="LO23" s="11" t="str">
        <f t="shared" si="97"/>
        <v/>
      </c>
      <c r="LP23" s="11" t="str">
        <f t="shared" si="98"/>
        <v/>
      </c>
      <c r="LQ23" s="11" t="str">
        <f t="shared" si="99"/>
        <v/>
      </c>
      <c r="LR23" s="11" t="str">
        <f t="shared" si="100"/>
        <v/>
      </c>
      <c r="LS23" s="11" t="str">
        <f t="shared" si="101"/>
        <v/>
      </c>
      <c r="LT23" s="11" t="str">
        <f t="shared" si="102"/>
        <v/>
      </c>
      <c r="LU23" s="11" t="str">
        <f t="shared" si="103"/>
        <v/>
      </c>
      <c r="LV23" s="11" t="str">
        <f t="shared" si="104"/>
        <v/>
      </c>
      <c r="LW23" s="17"/>
      <c r="LX23" s="17"/>
      <c r="LY23" s="17"/>
      <c r="LZ23" s="17"/>
      <c r="MA23" s="17"/>
      <c r="MB23" s="17"/>
      <c r="MC23" s="17"/>
      <c r="MD23" s="17"/>
      <c r="ME23" s="17"/>
      <c r="MF23" s="17"/>
      <c r="MG23" s="17"/>
      <c r="MH23" s="17"/>
      <c r="MI23" s="17"/>
      <c r="MJ23" s="17"/>
      <c r="MK23" s="17"/>
      <c r="ML23" s="17"/>
      <c r="MM23" s="17"/>
      <c r="MN23" s="17"/>
      <c r="MO23" s="17"/>
      <c r="MP23" s="17"/>
      <c r="MQ23" s="40" t="str">
        <f t="shared" si="105"/>
        <v/>
      </c>
      <c r="MR23" s="40" t="str">
        <f t="shared" si="106"/>
        <v/>
      </c>
      <c r="MS23" s="40" t="str">
        <f t="shared" si="107"/>
        <v/>
      </c>
      <c r="MT23" s="40" t="str">
        <f t="shared" si="108"/>
        <v/>
      </c>
      <c r="MU23" s="40" t="str">
        <f t="shared" si="109"/>
        <v/>
      </c>
      <c r="MV23" s="40" t="str">
        <f t="shared" si="110"/>
        <v/>
      </c>
      <c r="MW23" s="40" t="str">
        <f t="shared" si="111"/>
        <v/>
      </c>
      <c r="MX23" s="40" t="str">
        <f t="shared" si="112"/>
        <v/>
      </c>
      <c r="MY23" s="18"/>
      <c r="MZ23" s="18"/>
      <c r="NA23" s="18"/>
      <c r="NB23" s="18"/>
      <c r="NC23" s="18"/>
      <c r="ND23" s="18"/>
      <c r="NE23" s="18"/>
      <c r="NF23" s="18"/>
      <c r="NG23" s="18"/>
      <c r="NH23" s="18"/>
      <c r="NI23" s="18"/>
      <c r="NJ23" s="18"/>
      <c r="NK23" s="18"/>
      <c r="NL23" s="18"/>
      <c r="NM23" s="18"/>
      <c r="NN23" s="18"/>
      <c r="NO23" s="18"/>
      <c r="NP23" s="18"/>
      <c r="NQ23" s="18"/>
      <c r="NR23" s="18"/>
      <c r="NS23" s="11" t="str">
        <f t="shared" si="113"/>
        <v/>
      </c>
      <c r="NT23" s="11" t="str">
        <f t="shared" si="114"/>
        <v/>
      </c>
      <c r="NU23" s="11" t="str">
        <f t="shared" si="115"/>
        <v/>
      </c>
      <c r="NV23" s="11" t="str">
        <f t="shared" si="116"/>
        <v/>
      </c>
      <c r="NW23" s="11" t="str">
        <f t="shared" si="117"/>
        <v/>
      </c>
      <c r="NX23" s="11" t="str">
        <f t="shared" si="118"/>
        <v/>
      </c>
      <c r="NY23" s="11" t="str">
        <f t="shared" si="119"/>
        <v/>
      </c>
      <c r="NZ23" s="11" t="str">
        <f t="shared" si="120"/>
        <v/>
      </c>
      <c r="OA23" s="17"/>
      <c r="OB23" s="17"/>
      <c r="OC23" s="17"/>
      <c r="OD23" s="17"/>
      <c r="OE23" s="17"/>
      <c r="OF23" s="17"/>
      <c r="OG23" s="17"/>
      <c r="OH23" s="17"/>
      <c r="OI23" s="17"/>
      <c r="OJ23" s="17"/>
      <c r="OK23" s="17"/>
      <c r="OL23" s="17"/>
      <c r="OM23" s="17"/>
      <c r="ON23" s="17"/>
      <c r="OO23" s="17"/>
      <c r="OP23" s="17"/>
      <c r="OQ23" s="17"/>
      <c r="OR23" s="17"/>
      <c r="OS23" s="17"/>
      <c r="OT23" s="17"/>
      <c r="OU23" s="40" t="str">
        <f t="shared" si="121"/>
        <v/>
      </c>
      <c r="OV23" s="40" t="str">
        <f t="shared" si="122"/>
        <v/>
      </c>
      <c r="OW23" s="40" t="str">
        <f t="shared" si="123"/>
        <v/>
      </c>
      <c r="OX23" s="40" t="str">
        <f t="shared" si="124"/>
        <v/>
      </c>
      <c r="OY23" s="40" t="str">
        <f t="shared" si="125"/>
        <v/>
      </c>
      <c r="OZ23" s="40" t="str">
        <f t="shared" si="126"/>
        <v/>
      </c>
      <c r="PA23" s="40" t="str">
        <f t="shared" si="127"/>
        <v/>
      </c>
      <c r="PB23" s="40" t="str">
        <f t="shared" si="128"/>
        <v/>
      </c>
      <c r="PC23" s="18"/>
      <c r="PD23" s="18"/>
      <c r="PE23" s="18"/>
      <c r="PF23" s="18"/>
      <c r="PG23" s="18"/>
      <c r="PH23" s="18"/>
      <c r="PI23" s="18"/>
      <c r="PJ23" s="18"/>
      <c r="PK23" s="18"/>
      <c r="PL23" s="18"/>
      <c r="PM23" s="18"/>
      <c r="PN23" s="18"/>
      <c r="PO23" s="18"/>
      <c r="PP23" s="18"/>
      <c r="PQ23" s="18"/>
      <c r="PR23" s="18"/>
      <c r="PS23" s="18"/>
      <c r="PT23" s="18"/>
      <c r="PU23" s="18"/>
      <c r="PV23" s="18"/>
      <c r="PW23" s="11" t="str">
        <f t="shared" si="129"/>
        <v/>
      </c>
      <c r="PX23" s="11" t="str">
        <f t="shared" si="130"/>
        <v/>
      </c>
      <c r="PY23" s="11" t="str">
        <f t="shared" si="131"/>
        <v/>
      </c>
      <c r="PZ23" s="11" t="str">
        <f t="shared" si="132"/>
        <v/>
      </c>
      <c r="QA23" s="11" t="str">
        <f t="shared" si="133"/>
        <v/>
      </c>
      <c r="QB23" s="11" t="str">
        <f t="shared" si="134"/>
        <v/>
      </c>
      <c r="QC23" s="11" t="str">
        <f t="shared" si="135"/>
        <v/>
      </c>
      <c r="QD23" s="11" t="str">
        <f t="shared" si="136"/>
        <v/>
      </c>
      <c r="QE23" s="22">
        <f t="shared" si="137"/>
        <v>8.8000000000000007</v>
      </c>
      <c r="QF23" s="22">
        <f t="shared" si="138"/>
        <v>1.65</v>
      </c>
      <c r="QG23" s="22">
        <f t="shared" si="139"/>
        <v>0.1</v>
      </c>
      <c r="QH23" s="22">
        <f t="shared" si="140"/>
        <v>0</v>
      </c>
      <c r="QI23" s="22">
        <f t="shared" si="141"/>
        <v>9</v>
      </c>
      <c r="QJ23" s="22">
        <f t="shared" si="142"/>
        <v>1.6</v>
      </c>
      <c r="QK23" s="22">
        <f t="shared" si="143"/>
        <v>0</v>
      </c>
      <c r="QL23" s="22">
        <f t="shared" si="144"/>
        <v>0</v>
      </c>
      <c r="QM23" s="22">
        <f t="shared" si="145"/>
        <v>8.6</v>
      </c>
      <c r="QN23" s="22">
        <f t="shared" si="146"/>
        <v>0.35</v>
      </c>
      <c r="QO23" s="22">
        <f t="shared" si="147"/>
        <v>0</v>
      </c>
      <c r="QP23" s="22">
        <f t="shared" si="148"/>
        <v>0</v>
      </c>
      <c r="QQ23" s="22">
        <f t="shared" si="149"/>
        <v>0</v>
      </c>
      <c r="QR23" s="22">
        <f t="shared" si="150"/>
        <v>0</v>
      </c>
      <c r="QS23" s="22">
        <f t="shared" si="151"/>
        <v>0</v>
      </c>
      <c r="QT23" s="22">
        <f t="shared" si="152"/>
        <v>0</v>
      </c>
      <c r="QU23" s="22">
        <f t="shared" si="153"/>
        <v>0</v>
      </c>
      <c r="QV23" s="22">
        <f t="shared" si="154"/>
        <v>0</v>
      </c>
      <c r="QW23" s="22">
        <f t="shared" si="155"/>
        <v>0</v>
      </c>
      <c r="QX23" s="22">
        <f t="shared" si="156"/>
        <v>0</v>
      </c>
      <c r="QY23" s="27" t="s">
        <v>46</v>
      </c>
      <c r="QZ23" s="40">
        <f t="shared" si="157"/>
        <v>3.25</v>
      </c>
      <c r="RA23" s="40">
        <f t="shared" si="158"/>
        <v>20.950000000000003</v>
      </c>
      <c r="RB23" s="40">
        <f t="shared" si="159"/>
        <v>8.9499999999999993</v>
      </c>
      <c r="RC23" s="40">
        <f t="shared" si="160"/>
        <v>3.6</v>
      </c>
      <c r="RD23" s="40">
        <f t="shared" si="161"/>
        <v>29.900000000000002</v>
      </c>
      <c r="RE23" s="40" t="str">
        <f t="shared" si="162"/>
        <v/>
      </c>
      <c r="RF23" s="40" t="str">
        <f t="shared" si="163"/>
        <v/>
      </c>
      <c r="RG23" s="40">
        <f t="shared" si="164"/>
        <v>20.950000000000003</v>
      </c>
    </row>
    <row r="24" spans="1:475" x14ac:dyDescent="0.2">
      <c r="A24" s="4" t="str">
        <f t="shared" si="0"/>
        <v/>
      </c>
      <c r="B24" s="5" t="s">
        <v>191</v>
      </c>
      <c r="C24" s="4" t="s">
        <v>4</v>
      </c>
      <c r="D24" s="4">
        <v>2003</v>
      </c>
      <c r="E24" s="9">
        <f t="shared" si="1"/>
        <v>98.400009840003918</v>
      </c>
      <c r="F24" s="3" t="str">
        <f t="shared" si="2"/>
        <v/>
      </c>
      <c r="G24" s="3" t="str">
        <f t="shared" si="3"/>
        <v/>
      </c>
      <c r="H24" s="36" t="str">
        <f t="shared" si="4"/>
        <v/>
      </c>
      <c r="I24" s="3" t="str">
        <f t="shared" si="5"/>
        <v/>
      </c>
      <c r="J24" s="8">
        <f>IF(COUNT(AQ24,BT24,CW24)&gt;0,LARGE((AQ24,BT24,CW24),1),0)</f>
        <v>39.100000000000009</v>
      </c>
      <c r="K24" s="8" t="str">
        <f t="shared" si="6"/>
        <v>2022 Nationals</v>
      </c>
      <c r="L24" s="8">
        <f>IF(COUNT(AQ24,BT24,CW24)&gt;1,LARGE((AQ24,BT24,CW24),2),0)</f>
        <v>37.700000000000003</v>
      </c>
      <c r="M24" s="8" t="str">
        <f t="shared" si="7"/>
        <v>2023 Elite Canada</v>
      </c>
      <c r="N24" s="8">
        <f>IF(COUNT(AR24,BU24,CX24)&gt;0,LARGE((AR24,BU24,CX24),1),0)</f>
        <v>21.6</v>
      </c>
      <c r="O24" s="8" t="str">
        <f t="shared" si="8"/>
        <v>2022 Nationals</v>
      </c>
      <c r="P24" s="8">
        <f t="shared" si="9"/>
        <v>0</v>
      </c>
      <c r="Q24" s="8" t="str">
        <f t="shared" si="10"/>
        <v/>
      </c>
      <c r="R24" s="8" t="str">
        <f t="shared" si="11"/>
        <v/>
      </c>
      <c r="S24" s="11" t="str">
        <f t="shared" si="12"/>
        <v/>
      </c>
      <c r="T24" s="8" t="str">
        <f t="shared" si="13"/>
        <v/>
      </c>
      <c r="U24" s="19">
        <v>18</v>
      </c>
      <c r="V24" s="19">
        <v>3.2</v>
      </c>
      <c r="W24" s="19">
        <v>0.8</v>
      </c>
      <c r="X24" s="19">
        <v>0</v>
      </c>
      <c r="Y24" s="19">
        <v>18</v>
      </c>
      <c r="Z24" s="19">
        <v>0.7</v>
      </c>
      <c r="AA24" s="19">
        <v>0</v>
      </c>
      <c r="AB24" s="19">
        <v>0</v>
      </c>
      <c r="AC24" s="19">
        <v>18.600000000000001</v>
      </c>
      <c r="AD24" s="19">
        <v>3</v>
      </c>
      <c r="AE24" s="19">
        <v>0</v>
      </c>
      <c r="AF24" s="19">
        <v>0</v>
      </c>
      <c r="AG24" s="19"/>
      <c r="AH24" s="19"/>
      <c r="AI24" s="19"/>
      <c r="AJ24" s="19"/>
      <c r="AK24" s="19"/>
      <c r="AL24" s="19"/>
      <c r="AM24" s="19"/>
      <c r="AN24" s="19"/>
      <c r="AO24" s="27"/>
      <c r="AP24" s="40">
        <f t="shared" si="14"/>
        <v>3.9000000000000004</v>
      </c>
      <c r="AQ24" s="40">
        <f t="shared" si="15"/>
        <v>39.100000000000009</v>
      </c>
      <c r="AR24" s="40">
        <f t="shared" si="16"/>
        <v>21.6</v>
      </c>
      <c r="AS24" s="40">
        <f t="shared" si="17"/>
        <v>6.9</v>
      </c>
      <c r="AT24" s="40">
        <f t="shared" si="18"/>
        <v>60.70000000000001</v>
      </c>
      <c r="AU24" s="40" t="str">
        <f t="shared" si="19"/>
        <v/>
      </c>
      <c r="AV24" s="40" t="str">
        <f t="shared" si="20"/>
        <v/>
      </c>
      <c r="AW24" s="40">
        <f t="shared" si="21"/>
        <v>39.100000000000009</v>
      </c>
      <c r="AX24" s="18"/>
      <c r="AY24" s="18"/>
      <c r="AZ24" s="18"/>
      <c r="BA24" s="18"/>
      <c r="BB24" s="18"/>
      <c r="BC24" s="18"/>
      <c r="BD24" s="18"/>
      <c r="BE24" s="18"/>
      <c r="BF24" s="18"/>
      <c r="BG24" s="18"/>
      <c r="BH24" s="18"/>
      <c r="BI24" s="18"/>
      <c r="BJ24" s="18"/>
      <c r="BK24" s="18"/>
      <c r="BL24" s="18"/>
      <c r="BM24" s="18"/>
      <c r="BN24" s="18"/>
      <c r="BO24" s="18"/>
      <c r="BP24" s="18"/>
      <c r="BQ24" s="18"/>
      <c r="BR24" s="28"/>
      <c r="BS24" s="11" t="str">
        <f t="shared" si="22"/>
        <v/>
      </c>
      <c r="BT24" s="11" t="str">
        <f t="shared" si="23"/>
        <v/>
      </c>
      <c r="BU24" s="11" t="str">
        <f t="shared" si="24"/>
        <v/>
      </c>
      <c r="BV24" s="11" t="str">
        <f t="shared" si="25"/>
        <v/>
      </c>
      <c r="BW24" s="11" t="str">
        <f t="shared" si="26"/>
        <v/>
      </c>
      <c r="BX24" s="11" t="str">
        <f t="shared" si="27"/>
        <v/>
      </c>
      <c r="BY24" s="11" t="str">
        <f t="shared" si="28"/>
        <v/>
      </c>
      <c r="BZ24" s="11" t="str">
        <f t="shared" si="29"/>
        <v/>
      </c>
      <c r="CA24" s="19">
        <v>18.2</v>
      </c>
      <c r="CB24" s="19">
        <v>2.7</v>
      </c>
      <c r="CC24" s="19">
        <v>1.1000000000000001</v>
      </c>
      <c r="CD24" s="19">
        <v>0</v>
      </c>
      <c r="CE24" s="19">
        <v>17.3</v>
      </c>
      <c r="CF24" s="19">
        <v>0.6</v>
      </c>
      <c r="CG24" s="19">
        <v>0</v>
      </c>
      <c r="CH24" s="19">
        <v>0</v>
      </c>
      <c r="CI24" s="19">
        <v>17.399999999999999</v>
      </c>
      <c r="CJ24" s="19">
        <v>1.1000000000000001</v>
      </c>
      <c r="CK24" s="19">
        <v>0.6</v>
      </c>
      <c r="CL24" s="19">
        <v>3</v>
      </c>
      <c r="CM24" s="19"/>
      <c r="CN24" s="19"/>
      <c r="CO24" s="19"/>
      <c r="CP24" s="19"/>
      <c r="CQ24" s="19"/>
      <c r="CR24" s="19"/>
      <c r="CS24" s="19"/>
      <c r="CT24" s="19"/>
      <c r="CU24" s="27"/>
      <c r="CV24" s="40">
        <f t="shared" si="30"/>
        <v>3.3000000000000003</v>
      </c>
      <c r="CW24" s="40">
        <f t="shared" si="31"/>
        <v>37.700000000000003</v>
      </c>
      <c r="CX24" s="40">
        <f t="shared" si="32"/>
        <v>20.9</v>
      </c>
      <c r="CY24" s="40">
        <f t="shared" si="33"/>
        <v>4.4000000000000004</v>
      </c>
      <c r="CZ24" s="40">
        <f t="shared" si="34"/>
        <v>58.6</v>
      </c>
      <c r="DA24" s="40" t="str">
        <f t="shared" si="35"/>
        <v/>
      </c>
      <c r="DB24" s="40" t="str">
        <f t="shared" si="36"/>
        <v/>
      </c>
      <c r="DC24" s="40">
        <f t="shared" si="37"/>
        <v>37.700000000000003</v>
      </c>
      <c r="DD24" s="50" t="str">
        <f t="shared" si="38"/>
        <v/>
      </c>
      <c r="DE24" s="50" t="str">
        <f t="shared" si="39"/>
        <v/>
      </c>
      <c r="DF24" s="50" t="str">
        <f t="shared" si="40"/>
        <v/>
      </c>
      <c r="DG24" s="17"/>
      <c r="DH24" s="17"/>
      <c r="DI24" s="17"/>
      <c r="DJ24" s="17"/>
      <c r="DK24" s="17"/>
      <c r="DL24" s="17"/>
      <c r="DM24" s="17"/>
      <c r="DN24" s="17"/>
      <c r="DO24" s="17"/>
      <c r="DP24" s="17"/>
      <c r="DQ24" s="17"/>
      <c r="DR24" s="17"/>
      <c r="DS24" s="17"/>
      <c r="DT24" s="17"/>
      <c r="DU24" s="17"/>
      <c r="DV24" s="17"/>
      <c r="DW24" s="17"/>
      <c r="DX24" s="17"/>
      <c r="DY24" s="17"/>
      <c r="DZ24" s="17"/>
      <c r="EA24" s="40" t="str">
        <f t="shared" si="41"/>
        <v/>
      </c>
      <c r="EB24" s="40" t="str">
        <f t="shared" si="42"/>
        <v/>
      </c>
      <c r="EC24" s="40" t="str">
        <f t="shared" si="43"/>
        <v/>
      </c>
      <c r="ED24" s="40" t="str">
        <f t="shared" si="44"/>
        <v/>
      </c>
      <c r="EE24" s="40" t="str">
        <f t="shared" si="45"/>
        <v/>
      </c>
      <c r="EF24" s="40" t="str">
        <f t="shared" si="46"/>
        <v/>
      </c>
      <c r="EG24" s="40" t="str">
        <f t="shared" si="47"/>
        <v/>
      </c>
      <c r="EH24" s="40" t="str">
        <f t="shared" si="48"/>
        <v/>
      </c>
      <c r="EI24" s="18"/>
      <c r="EJ24" s="18"/>
      <c r="EK24" s="18"/>
      <c r="EL24" s="18"/>
      <c r="EM24" s="18"/>
      <c r="EN24" s="18"/>
      <c r="EO24" s="18"/>
      <c r="EP24" s="18"/>
      <c r="EQ24" s="18"/>
      <c r="ER24" s="18"/>
      <c r="ES24" s="18"/>
      <c r="ET24" s="18"/>
      <c r="EU24" s="18"/>
      <c r="EV24" s="18"/>
      <c r="EW24" s="18"/>
      <c r="EX24" s="18"/>
      <c r="EY24" s="18"/>
      <c r="EZ24" s="18"/>
      <c r="FA24" s="18"/>
      <c r="FB24" s="18"/>
      <c r="FC24" s="11" t="str">
        <f t="shared" si="49"/>
        <v/>
      </c>
      <c r="FD24" s="11" t="str">
        <f t="shared" si="50"/>
        <v/>
      </c>
      <c r="FE24" s="11" t="str">
        <f t="shared" si="51"/>
        <v/>
      </c>
      <c r="FF24" s="11" t="str">
        <f t="shared" si="52"/>
        <v/>
      </c>
      <c r="FG24" s="11" t="str">
        <f t="shared" si="53"/>
        <v/>
      </c>
      <c r="FH24" s="11" t="str">
        <f t="shared" si="54"/>
        <v/>
      </c>
      <c r="FI24" s="11" t="str">
        <f t="shared" si="55"/>
        <v/>
      </c>
      <c r="FJ24" s="11" t="str">
        <f t="shared" si="56"/>
        <v/>
      </c>
      <c r="FK24" s="17"/>
      <c r="FL24" s="17"/>
      <c r="FM24" s="17"/>
      <c r="FN24" s="17"/>
      <c r="FO24" s="17"/>
      <c r="FP24" s="17"/>
      <c r="FQ24" s="17"/>
      <c r="FR24" s="17"/>
      <c r="FS24" s="17"/>
      <c r="FT24" s="17"/>
      <c r="FU24" s="17"/>
      <c r="FV24" s="17"/>
      <c r="FW24" s="17"/>
      <c r="FX24" s="17"/>
      <c r="FY24" s="17"/>
      <c r="FZ24" s="17"/>
      <c r="GA24" s="17"/>
      <c r="GB24" s="17"/>
      <c r="GC24" s="17"/>
      <c r="GD24" s="17"/>
      <c r="GE24" s="40" t="str">
        <f t="shared" si="57"/>
        <v/>
      </c>
      <c r="GF24" s="40" t="str">
        <f t="shared" si="58"/>
        <v/>
      </c>
      <c r="GG24" s="40" t="str">
        <f t="shared" si="59"/>
        <v/>
      </c>
      <c r="GH24" s="40" t="str">
        <f t="shared" si="60"/>
        <v/>
      </c>
      <c r="GI24" s="40" t="str">
        <f t="shared" si="61"/>
        <v/>
      </c>
      <c r="GJ24" s="40" t="str">
        <f t="shared" si="62"/>
        <v/>
      </c>
      <c r="GK24" s="40" t="str">
        <f t="shared" si="63"/>
        <v/>
      </c>
      <c r="GL24" s="40" t="str">
        <f t="shared" si="64"/>
        <v/>
      </c>
      <c r="GM24" s="18"/>
      <c r="GN24" s="18"/>
      <c r="GO24" s="18"/>
      <c r="GP24" s="18"/>
      <c r="GQ24" s="18"/>
      <c r="GR24" s="18"/>
      <c r="GS24" s="18"/>
      <c r="GT24" s="18"/>
      <c r="GU24" s="18"/>
      <c r="GV24" s="18"/>
      <c r="GW24" s="18"/>
      <c r="GX24" s="18"/>
      <c r="GY24" s="18"/>
      <c r="GZ24" s="18"/>
      <c r="HA24" s="18"/>
      <c r="HB24" s="18"/>
      <c r="HC24" s="18"/>
      <c r="HD24" s="18"/>
      <c r="HE24" s="18"/>
      <c r="HF24" s="18"/>
      <c r="HG24" s="11" t="str">
        <f t="shared" si="65"/>
        <v/>
      </c>
      <c r="HH24" s="11" t="str">
        <f t="shared" si="66"/>
        <v/>
      </c>
      <c r="HI24" s="11" t="str">
        <f t="shared" si="67"/>
        <v/>
      </c>
      <c r="HJ24" s="11" t="str">
        <f t="shared" si="68"/>
        <v/>
      </c>
      <c r="HK24" s="11" t="str">
        <f t="shared" si="69"/>
        <v/>
      </c>
      <c r="HL24" s="11" t="str">
        <f t="shared" si="70"/>
        <v/>
      </c>
      <c r="HM24" s="11" t="str">
        <f t="shared" si="71"/>
        <v/>
      </c>
      <c r="HN24" s="11" t="str">
        <f t="shared" si="72"/>
        <v/>
      </c>
      <c r="HO24" s="17"/>
      <c r="HP24" s="17"/>
      <c r="HQ24" s="17"/>
      <c r="HR24" s="17"/>
      <c r="HS24" s="17"/>
      <c r="HT24" s="17"/>
      <c r="HU24" s="17"/>
      <c r="HV24" s="17"/>
      <c r="HW24" s="17"/>
      <c r="HX24" s="17"/>
      <c r="HY24" s="17"/>
      <c r="HZ24" s="17"/>
      <c r="IA24" s="17"/>
      <c r="IB24" s="17"/>
      <c r="IC24" s="17"/>
      <c r="ID24" s="17"/>
      <c r="IE24" s="17"/>
      <c r="IF24" s="17"/>
      <c r="IG24" s="17"/>
      <c r="IH24" s="17"/>
      <c r="II24" s="40" t="str">
        <f t="shared" si="73"/>
        <v/>
      </c>
      <c r="IJ24" s="40" t="str">
        <f t="shared" si="74"/>
        <v/>
      </c>
      <c r="IK24" s="40" t="str">
        <f t="shared" si="75"/>
        <v/>
      </c>
      <c r="IL24" s="40" t="str">
        <f t="shared" si="76"/>
        <v/>
      </c>
      <c r="IM24" s="40" t="str">
        <f t="shared" si="77"/>
        <v/>
      </c>
      <c r="IN24" s="40" t="str">
        <f t="shared" si="78"/>
        <v/>
      </c>
      <c r="IO24" s="40" t="str">
        <f t="shared" si="79"/>
        <v/>
      </c>
      <c r="IP24" s="40" t="str">
        <f t="shared" si="80"/>
        <v/>
      </c>
      <c r="IQ24" s="18"/>
      <c r="IR24" s="18"/>
      <c r="IS24" s="18"/>
      <c r="IT24" s="18"/>
      <c r="IU24" s="18"/>
      <c r="IV24" s="18"/>
      <c r="IW24" s="18"/>
      <c r="IX24" s="18"/>
      <c r="IY24" s="18"/>
      <c r="IZ24" s="18"/>
      <c r="JA24" s="18"/>
      <c r="JB24" s="18"/>
      <c r="JC24" s="18"/>
      <c r="JD24" s="18"/>
      <c r="JE24" s="18"/>
      <c r="JF24" s="18"/>
      <c r="JG24" s="18"/>
      <c r="JH24" s="18"/>
      <c r="JI24" s="18"/>
      <c r="JJ24" s="18"/>
      <c r="JK24" s="11" t="str">
        <f t="shared" si="81"/>
        <v/>
      </c>
      <c r="JL24" s="11" t="str">
        <f t="shared" si="82"/>
        <v/>
      </c>
      <c r="JM24" s="11" t="str">
        <f t="shared" si="83"/>
        <v/>
      </c>
      <c r="JN24" s="11" t="str">
        <f t="shared" si="84"/>
        <v/>
      </c>
      <c r="JO24" s="11" t="str">
        <f t="shared" si="85"/>
        <v/>
      </c>
      <c r="JP24" s="11" t="str">
        <f t="shared" si="86"/>
        <v/>
      </c>
      <c r="JQ24" s="11" t="str">
        <f t="shared" si="87"/>
        <v/>
      </c>
      <c r="JR24" s="11" t="str">
        <f t="shared" si="88"/>
        <v/>
      </c>
      <c r="JS24" s="17"/>
      <c r="JT24" s="17"/>
      <c r="JU24" s="17"/>
      <c r="JV24" s="17"/>
      <c r="JW24" s="17"/>
      <c r="JX24" s="17"/>
      <c r="JY24" s="17"/>
      <c r="JZ24" s="17"/>
      <c r="KA24" s="17"/>
      <c r="KB24" s="17"/>
      <c r="KC24" s="17"/>
      <c r="KD24" s="17"/>
      <c r="KE24" s="17"/>
      <c r="KF24" s="17"/>
      <c r="KG24" s="17"/>
      <c r="KH24" s="17"/>
      <c r="KI24" s="17"/>
      <c r="KJ24" s="17"/>
      <c r="KK24" s="17"/>
      <c r="KL24" s="17"/>
      <c r="KM24" s="40" t="str">
        <f t="shared" si="89"/>
        <v/>
      </c>
      <c r="KN24" s="40" t="str">
        <f t="shared" si="90"/>
        <v/>
      </c>
      <c r="KO24" s="40" t="str">
        <f t="shared" si="91"/>
        <v/>
      </c>
      <c r="KP24" s="40" t="str">
        <f t="shared" si="92"/>
        <v/>
      </c>
      <c r="KQ24" s="40" t="str">
        <f t="shared" si="93"/>
        <v/>
      </c>
      <c r="KR24" s="40" t="str">
        <f t="shared" si="94"/>
        <v/>
      </c>
      <c r="KS24" s="40" t="str">
        <f t="shared" si="95"/>
        <v/>
      </c>
      <c r="KT24" s="40" t="str">
        <f t="shared" si="96"/>
        <v/>
      </c>
      <c r="KU24" s="18"/>
      <c r="KV24" s="18"/>
      <c r="KW24" s="18"/>
      <c r="KX24" s="18"/>
      <c r="KY24" s="18"/>
      <c r="KZ24" s="18"/>
      <c r="LA24" s="18"/>
      <c r="LB24" s="18"/>
      <c r="LC24" s="18"/>
      <c r="LD24" s="18"/>
      <c r="LE24" s="18"/>
      <c r="LF24" s="18"/>
      <c r="LG24" s="18"/>
      <c r="LH24" s="18"/>
      <c r="LI24" s="18"/>
      <c r="LJ24" s="18"/>
      <c r="LK24" s="18"/>
      <c r="LL24" s="18"/>
      <c r="LM24" s="18"/>
      <c r="LN24" s="18"/>
      <c r="LO24" s="11" t="str">
        <f t="shared" si="97"/>
        <v/>
      </c>
      <c r="LP24" s="11" t="str">
        <f t="shared" si="98"/>
        <v/>
      </c>
      <c r="LQ24" s="11" t="str">
        <f t="shared" si="99"/>
        <v/>
      </c>
      <c r="LR24" s="11" t="str">
        <f t="shared" si="100"/>
        <v/>
      </c>
      <c r="LS24" s="11" t="str">
        <f t="shared" si="101"/>
        <v/>
      </c>
      <c r="LT24" s="11" t="str">
        <f t="shared" si="102"/>
        <v/>
      </c>
      <c r="LU24" s="11" t="str">
        <f t="shared" si="103"/>
        <v/>
      </c>
      <c r="LV24" s="11" t="str">
        <f t="shared" si="104"/>
        <v/>
      </c>
      <c r="LW24" s="17"/>
      <c r="LX24" s="17"/>
      <c r="LY24" s="17"/>
      <c r="LZ24" s="17"/>
      <c r="MA24" s="17"/>
      <c r="MB24" s="17"/>
      <c r="MC24" s="17"/>
      <c r="MD24" s="17"/>
      <c r="ME24" s="17"/>
      <c r="MF24" s="17"/>
      <c r="MG24" s="17"/>
      <c r="MH24" s="17"/>
      <c r="MI24" s="17"/>
      <c r="MJ24" s="17"/>
      <c r="MK24" s="17"/>
      <c r="ML24" s="17"/>
      <c r="MM24" s="17"/>
      <c r="MN24" s="17"/>
      <c r="MO24" s="17"/>
      <c r="MP24" s="17"/>
      <c r="MQ24" s="40" t="str">
        <f t="shared" si="105"/>
        <v/>
      </c>
      <c r="MR24" s="40" t="str">
        <f t="shared" si="106"/>
        <v/>
      </c>
      <c r="MS24" s="40" t="str">
        <f t="shared" si="107"/>
        <v/>
      </c>
      <c r="MT24" s="40" t="str">
        <f t="shared" si="108"/>
        <v/>
      </c>
      <c r="MU24" s="40" t="str">
        <f t="shared" si="109"/>
        <v/>
      </c>
      <c r="MV24" s="40" t="str">
        <f t="shared" si="110"/>
        <v/>
      </c>
      <c r="MW24" s="40" t="str">
        <f t="shared" si="111"/>
        <v/>
      </c>
      <c r="MX24" s="40" t="str">
        <f t="shared" si="112"/>
        <v/>
      </c>
      <c r="MY24" s="18"/>
      <c r="MZ24" s="18"/>
      <c r="NA24" s="18"/>
      <c r="NB24" s="18"/>
      <c r="NC24" s="18"/>
      <c r="ND24" s="18"/>
      <c r="NE24" s="18"/>
      <c r="NF24" s="18"/>
      <c r="NG24" s="18"/>
      <c r="NH24" s="18"/>
      <c r="NI24" s="18"/>
      <c r="NJ24" s="18"/>
      <c r="NK24" s="18"/>
      <c r="NL24" s="18"/>
      <c r="NM24" s="18"/>
      <c r="NN24" s="18"/>
      <c r="NO24" s="18"/>
      <c r="NP24" s="18"/>
      <c r="NQ24" s="18"/>
      <c r="NR24" s="18"/>
      <c r="NS24" s="11" t="str">
        <f t="shared" si="113"/>
        <v/>
      </c>
      <c r="NT24" s="11" t="str">
        <f t="shared" si="114"/>
        <v/>
      </c>
      <c r="NU24" s="11" t="str">
        <f t="shared" si="115"/>
        <v/>
      </c>
      <c r="NV24" s="11" t="str">
        <f t="shared" si="116"/>
        <v/>
      </c>
      <c r="NW24" s="11" t="str">
        <f t="shared" si="117"/>
        <v/>
      </c>
      <c r="NX24" s="11" t="str">
        <f t="shared" si="118"/>
        <v/>
      </c>
      <c r="NY24" s="11" t="str">
        <f t="shared" si="119"/>
        <v/>
      </c>
      <c r="NZ24" s="11" t="str">
        <f t="shared" si="120"/>
        <v/>
      </c>
      <c r="OA24" s="17"/>
      <c r="OB24" s="17"/>
      <c r="OC24" s="17"/>
      <c r="OD24" s="17"/>
      <c r="OE24" s="17"/>
      <c r="OF24" s="17"/>
      <c r="OG24" s="17"/>
      <c r="OH24" s="17"/>
      <c r="OI24" s="17"/>
      <c r="OJ24" s="17"/>
      <c r="OK24" s="17"/>
      <c r="OL24" s="17"/>
      <c r="OM24" s="17"/>
      <c r="ON24" s="17"/>
      <c r="OO24" s="17"/>
      <c r="OP24" s="17"/>
      <c r="OQ24" s="17"/>
      <c r="OR24" s="17"/>
      <c r="OS24" s="17"/>
      <c r="OT24" s="17"/>
      <c r="OU24" s="40" t="str">
        <f t="shared" si="121"/>
        <v/>
      </c>
      <c r="OV24" s="40" t="str">
        <f t="shared" si="122"/>
        <v/>
      </c>
      <c r="OW24" s="40" t="str">
        <f t="shared" si="123"/>
        <v/>
      </c>
      <c r="OX24" s="40" t="str">
        <f t="shared" si="124"/>
        <v/>
      </c>
      <c r="OY24" s="40" t="str">
        <f t="shared" si="125"/>
        <v/>
      </c>
      <c r="OZ24" s="40" t="str">
        <f t="shared" si="126"/>
        <v/>
      </c>
      <c r="PA24" s="40" t="str">
        <f t="shared" si="127"/>
        <v/>
      </c>
      <c r="PB24" s="40" t="str">
        <f t="shared" si="128"/>
        <v/>
      </c>
      <c r="PC24" s="18"/>
      <c r="PD24" s="18"/>
      <c r="PE24" s="18"/>
      <c r="PF24" s="18"/>
      <c r="PG24" s="18"/>
      <c r="PH24" s="18"/>
      <c r="PI24" s="18"/>
      <c r="PJ24" s="18"/>
      <c r="PK24" s="18"/>
      <c r="PL24" s="18"/>
      <c r="PM24" s="18"/>
      <c r="PN24" s="18"/>
      <c r="PO24" s="18"/>
      <c r="PP24" s="18"/>
      <c r="PQ24" s="18"/>
      <c r="PR24" s="18"/>
      <c r="PS24" s="18"/>
      <c r="PT24" s="18"/>
      <c r="PU24" s="18"/>
      <c r="PV24" s="18"/>
      <c r="PW24" s="11" t="str">
        <f t="shared" si="129"/>
        <v/>
      </c>
      <c r="PX24" s="11" t="str">
        <f t="shared" si="130"/>
        <v/>
      </c>
      <c r="PY24" s="11" t="str">
        <f t="shared" si="131"/>
        <v/>
      </c>
      <c r="PZ24" s="11" t="str">
        <f t="shared" si="132"/>
        <v/>
      </c>
      <c r="QA24" s="11" t="str">
        <f t="shared" si="133"/>
        <v/>
      </c>
      <c r="QB24" s="11" t="str">
        <f t="shared" si="134"/>
        <v/>
      </c>
      <c r="QC24" s="11" t="str">
        <f t="shared" si="135"/>
        <v/>
      </c>
      <c r="QD24" s="11" t="str">
        <f t="shared" si="136"/>
        <v/>
      </c>
      <c r="QE24" s="22">
        <f t="shared" si="137"/>
        <v>9.1</v>
      </c>
      <c r="QF24" s="22">
        <f t="shared" si="138"/>
        <v>1.35</v>
      </c>
      <c r="QG24" s="22">
        <f t="shared" si="139"/>
        <v>0.55000000000000004</v>
      </c>
      <c r="QH24" s="22">
        <f t="shared" si="140"/>
        <v>0</v>
      </c>
      <c r="QI24" s="22">
        <f t="shared" si="141"/>
        <v>8.65</v>
      </c>
      <c r="QJ24" s="22">
        <f t="shared" si="142"/>
        <v>0.3</v>
      </c>
      <c r="QK24" s="22">
        <f t="shared" si="143"/>
        <v>0</v>
      </c>
      <c r="QL24" s="22">
        <f t="shared" si="144"/>
        <v>0</v>
      </c>
      <c r="QM24" s="22">
        <f t="shared" si="145"/>
        <v>8.6999999999999993</v>
      </c>
      <c r="QN24" s="22">
        <f t="shared" si="146"/>
        <v>0.55000000000000004</v>
      </c>
      <c r="QO24" s="22">
        <f t="shared" si="147"/>
        <v>0.3</v>
      </c>
      <c r="QP24" s="22">
        <f t="shared" si="148"/>
        <v>1.5</v>
      </c>
      <c r="QQ24" s="22">
        <f t="shared" si="149"/>
        <v>0</v>
      </c>
      <c r="QR24" s="22">
        <f t="shared" si="150"/>
        <v>0</v>
      </c>
      <c r="QS24" s="22">
        <f t="shared" si="151"/>
        <v>0</v>
      </c>
      <c r="QT24" s="22">
        <f t="shared" si="152"/>
        <v>0</v>
      </c>
      <c r="QU24" s="22">
        <f t="shared" si="153"/>
        <v>0</v>
      </c>
      <c r="QV24" s="22">
        <f t="shared" si="154"/>
        <v>0</v>
      </c>
      <c r="QW24" s="22">
        <f t="shared" si="155"/>
        <v>0</v>
      </c>
      <c r="QX24" s="22">
        <f t="shared" si="156"/>
        <v>0</v>
      </c>
      <c r="QY24" s="27" t="s">
        <v>46</v>
      </c>
      <c r="QZ24" s="40">
        <f t="shared" si="157"/>
        <v>1.6500000000000001</v>
      </c>
      <c r="RA24" s="40">
        <f t="shared" si="158"/>
        <v>18.850000000000001</v>
      </c>
      <c r="RB24" s="40">
        <f t="shared" si="159"/>
        <v>10.45</v>
      </c>
      <c r="RC24" s="40">
        <f t="shared" si="160"/>
        <v>2.2000000000000002</v>
      </c>
      <c r="RD24" s="40">
        <f t="shared" si="161"/>
        <v>29.3</v>
      </c>
      <c r="RE24" s="40" t="str">
        <f t="shared" si="162"/>
        <v/>
      </c>
      <c r="RF24" s="40" t="str">
        <f t="shared" si="163"/>
        <v/>
      </c>
      <c r="RG24" s="40">
        <f t="shared" si="164"/>
        <v>18.850000000000001</v>
      </c>
    </row>
    <row r="25" spans="1:475" x14ac:dyDescent="0.2">
      <c r="A25" s="4" t="str">
        <f t="shared" si="0"/>
        <v/>
      </c>
      <c r="B25" s="5" t="s">
        <v>164</v>
      </c>
      <c r="C25" s="4" t="s">
        <v>5</v>
      </c>
      <c r="D25" s="4">
        <v>2004</v>
      </c>
      <c r="E25" s="9">
        <f t="shared" si="1"/>
        <v>61.900006190004149</v>
      </c>
      <c r="F25" s="3" t="str">
        <f t="shared" si="2"/>
        <v/>
      </c>
      <c r="G25" s="3" t="str">
        <f t="shared" si="3"/>
        <v/>
      </c>
      <c r="H25" s="36" t="str">
        <f t="shared" si="4"/>
        <v/>
      </c>
      <c r="I25" s="3" t="str">
        <f t="shared" si="5"/>
        <v/>
      </c>
      <c r="J25" s="8">
        <f>IF(COUNT(AQ25,BT25,CW25)&gt;0,LARGE((AQ25,BT25,CW25),1),0)</f>
        <v>41.5</v>
      </c>
      <c r="K25" s="8" t="str">
        <f t="shared" si="6"/>
        <v>2022 Nationals</v>
      </c>
      <c r="L25" s="8">
        <f>IF(COUNT(AQ25,BT25,CW25)&gt;1,LARGE((AQ25,BT25,CW25),2),0)</f>
        <v>0</v>
      </c>
      <c r="M25" s="8" t="str">
        <f t="shared" si="7"/>
        <v/>
      </c>
      <c r="N25" s="8">
        <f>IF(COUNT(AR25,BU25,CX25)&gt;0,LARGE((AR25,BU25,CX25),1),0)</f>
        <v>20.399999999999999</v>
      </c>
      <c r="O25" s="8" t="str">
        <f t="shared" si="8"/>
        <v>2022 Nationals</v>
      </c>
      <c r="P25" s="8">
        <f t="shared" si="9"/>
        <v>0</v>
      </c>
      <c r="Q25" s="8" t="str">
        <f t="shared" si="10"/>
        <v/>
      </c>
      <c r="R25" s="8" t="str">
        <f t="shared" si="11"/>
        <v/>
      </c>
      <c r="S25" s="11" t="str">
        <f t="shared" si="12"/>
        <v/>
      </c>
      <c r="T25" s="8" t="str">
        <f t="shared" si="13"/>
        <v/>
      </c>
      <c r="U25" s="19">
        <v>18.8</v>
      </c>
      <c r="V25" s="19">
        <v>3.1</v>
      </c>
      <c r="W25" s="19">
        <v>0</v>
      </c>
      <c r="X25" s="19">
        <v>0</v>
      </c>
      <c r="Y25" s="19">
        <v>17.2</v>
      </c>
      <c r="Z25" s="19">
        <v>2.4</v>
      </c>
      <c r="AA25" s="19">
        <v>0</v>
      </c>
      <c r="AB25" s="19">
        <v>0</v>
      </c>
      <c r="AC25" s="19">
        <v>18.2</v>
      </c>
      <c r="AD25" s="19">
        <v>2.9</v>
      </c>
      <c r="AE25" s="19">
        <v>0.7</v>
      </c>
      <c r="AF25" s="19">
        <v>0</v>
      </c>
      <c r="AG25" s="19"/>
      <c r="AH25" s="19"/>
      <c r="AI25" s="19"/>
      <c r="AJ25" s="19"/>
      <c r="AK25" s="19"/>
      <c r="AL25" s="19"/>
      <c r="AM25" s="19"/>
      <c r="AN25" s="19"/>
      <c r="AO25" s="27"/>
      <c r="AP25" s="40">
        <f t="shared" si="14"/>
        <v>5.5</v>
      </c>
      <c r="AQ25" s="40">
        <f t="shared" si="15"/>
        <v>41.5</v>
      </c>
      <c r="AR25" s="40">
        <f t="shared" si="16"/>
        <v>20.399999999999999</v>
      </c>
      <c r="AS25" s="40">
        <f t="shared" si="17"/>
        <v>8.4</v>
      </c>
      <c r="AT25" s="40">
        <f t="shared" si="18"/>
        <v>61.9</v>
      </c>
      <c r="AU25" s="40" t="str">
        <f t="shared" si="19"/>
        <v/>
      </c>
      <c r="AV25" s="40" t="str">
        <f t="shared" si="20"/>
        <v/>
      </c>
      <c r="AW25" s="40">
        <f t="shared" si="21"/>
        <v>41.5</v>
      </c>
      <c r="AX25" s="18"/>
      <c r="AY25" s="18"/>
      <c r="AZ25" s="18"/>
      <c r="BA25" s="18"/>
      <c r="BB25" s="18"/>
      <c r="BC25" s="18"/>
      <c r="BD25" s="18"/>
      <c r="BE25" s="18"/>
      <c r="BF25" s="18"/>
      <c r="BG25" s="18"/>
      <c r="BH25" s="18"/>
      <c r="BI25" s="18"/>
      <c r="BJ25" s="18"/>
      <c r="BK25" s="18"/>
      <c r="BL25" s="18"/>
      <c r="BM25" s="18"/>
      <c r="BN25" s="18"/>
      <c r="BO25" s="18"/>
      <c r="BP25" s="18"/>
      <c r="BQ25" s="18"/>
      <c r="BR25" s="28"/>
      <c r="BS25" s="11" t="str">
        <f t="shared" si="22"/>
        <v/>
      </c>
      <c r="BT25" s="11" t="str">
        <f t="shared" si="23"/>
        <v/>
      </c>
      <c r="BU25" s="11" t="str">
        <f t="shared" si="24"/>
        <v/>
      </c>
      <c r="BV25" s="11" t="str">
        <f t="shared" si="25"/>
        <v/>
      </c>
      <c r="BW25" s="11" t="str">
        <f t="shared" si="26"/>
        <v/>
      </c>
      <c r="BX25" s="11" t="str">
        <f t="shared" si="27"/>
        <v/>
      </c>
      <c r="BY25" s="11" t="str">
        <f t="shared" si="28"/>
        <v/>
      </c>
      <c r="BZ25" s="11" t="str">
        <f t="shared" si="29"/>
        <v/>
      </c>
      <c r="CA25" s="19"/>
      <c r="CB25" s="19"/>
      <c r="CC25" s="19"/>
      <c r="CD25" s="19"/>
      <c r="CE25" s="19"/>
      <c r="CF25" s="19"/>
      <c r="CG25" s="19"/>
      <c r="CH25" s="19"/>
      <c r="CI25" s="19"/>
      <c r="CJ25" s="19"/>
      <c r="CK25" s="19"/>
      <c r="CL25" s="19"/>
      <c r="CM25" s="19"/>
      <c r="CN25" s="19"/>
      <c r="CO25" s="19"/>
      <c r="CP25" s="19"/>
      <c r="CQ25" s="19"/>
      <c r="CR25" s="19"/>
      <c r="CS25" s="19"/>
      <c r="CT25" s="19"/>
      <c r="CU25" s="27"/>
      <c r="CV25" s="40" t="str">
        <f t="shared" si="30"/>
        <v/>
      </c>
      <c r="CW25" s="40" t="str">
        <f t="shared" si="31"/>
        <v/>
      </c>
      <c r="CX25" s="40" t="str">
        <f t="shared" si="32"/>
        <v/>
      </c>
      <c r="CY25" s="40" t="str">
        <f t="shared" si="33"/>
        <v/>
      </c>
      <c r="CZ25" s="40" t="str">
        <f t="shared" si="34"/>
        <v/>
      </c>
      <c r="DA25" s="40" t="str">
        <f t="shared" si="35"/>
        <v/>
      </c>
      <c r="DB25" s="40" t="str">
        <f t="shared" si="36"/>
        <v/>
      </c>
      <c r="DC25" s="40" t="str">
        <f t="shared" si="37"/>
        <v/>
      </c>
      <c r="DD25" s="50" t="str">
        <f t="shared" si="38"/>
        <v/>
      </c>
      <c r="DE25" s="50" t="str">
        <f t="shared" si="39"/>
        <v/>
      </c>
      <c r="DF25" s="50" t="str">
        <f t="shared" si="40"/>
        <v/>
      </c>
      <c r="DG25" s="17"/>
      <c r="DH25" s="17"/>
      <c r="DI25" s="17"/>
      <c r="DJ25" s="17"/>
      <c r="DK25" s="17"/>
      <c r="DL25" s="17"/>
      <c r="DM25" s="17"/>
      <c r="DN25" s="17"/>
      <c r="DO25" s="17"/>
      <c r="DP25" s="17"/>
      <c r="DQ25" s="17"/>
      <c r="DR25" s="17"/>
      <c r="DS25" s="17"/>
      <c r="DT25" s="17"/>
      <c r="DU25" s="17"/>
      <c r="DV25" s="17"/>
      <c r="DW25" s="17"/>
      <c r="DX25" s="17"/>
      <c r="DY25" s="17"/>
      <c r="DZ25" s="17"/>
      <c r="EA25" s="40" t="str">
        <f t="shared" si="41"/>
        <v/>
      </c>
      <c r="EB25" s="40" t="str">
        <f t="shared" si="42"/>
        <v/>
      </c>
      <c r="EC25" s="40" t="str">
        <f t="shared" si="43"/>
        <v/>
      </c>
      <c r="ED25" s="40" t="str">
        <f t="shared" si="44"/>
        <v/>
      </c>
      <c r="EE25" s="40" t="str">
        <f t="shared" si="45"/>
        <v/>
      </c>
      <c r="EF25" s="40" t="str">
        <f t="shared" si="46"/>
        <v/>
      </c>
      <c r="EG25" s="40" t="str">
        <f t="shared" si="47"/>
        <v/>
      </c>
      <c r="EH25" s="40" t="str">
        <f t="shared" si="48"/>
        <v/>
      </c>
      <c r="EI25" s="18"/>
      <c r="EJ25" s="18"/>
      <c r="EK25" s="18"/>
      <c r="EL25" s="18"/>
      <c r="EM25" s="18"/>
      <c r="EN25" s="18"/>
      <c r="EO25" s="18"/>
      <c r="EP25" s="18"/>
      <c r="EQ25" s="18"/>
      <c r="ER25" s="18"/>
      <c r="ES25" s="18"/>
      <c r="ET25" s="18"/>
      <c r="EU25" s="18"/>
      <c r="EV25" s="18"/>
      <c r="EW25" s="18"/>
      <c r="EX25" s="18"/>
      <c r="EY25" s="18"/>
      <c r="EZ25" s="18"/>
      <c r="FA25" s="18"/>
      <c r="FB25" s="18"/>
      <c r="FC25" s="11" t="str">
        <f t="shared" si="49"/>
        <v/>
      </c>
      <c r="FD25" s="11" t="str">
        <f t="shared" si="50"/>
        <v/>
      </c>
      <c r="FE25" s="11" t="str">
        <f t="shared" si="51"/>
        <v/>
      </c>
      <c r="FF25" s="11" t="str">
        <f t="shared" si="52"/>
        <v/>
      </c>
      <c r="FG25" s="11" t="str">
        <f t="shared" si="53"/>
        <v/>
      </c>
      <c r="FH25" s="11" t="str">
        <f t="shared" si="54"/>
        <v/>
      </c>
      <c r="FI25" s="11" t="str">
        <f t="shared" si="55"/>
        <v/>
      </c>
      <c r="FJ25" s="11" t="str">
        <f t="shared" si="56"/>
        <v/>
      </c>
      <c r="FK25" s="17"/>
      <c r="FL25" s="17"/>
      <c r="FM25" s="17"/>
      <c r="FN25" s="17"/>
      <c r="FO25" s="17"/>
      <c r="FP25" s="17"/>
      <c r="FQ25" s="17"/>
      <c r="FR25" s="17"/>
      <c r="FS25" s="17"/>
      <c r="FT25" s="17"/>
      <c r="FU25" s="17"/>
      <c r="FV25" s="17"/>
      <c r="FW25" s="17"/>
      <c r="FX25" s="17"/>
      <c r="FY25" s="17"/>
      <c r="FZ25" s="17"/>
      <c r="GA25" s="17"/>
      <c r="GB25" s="17"/>
      <c r="GC25" s="17"/>
      <c r="GD25" s="17"/>
      <c r="GE25" s="40" t="str">
        <f t="shared" si="57"/>
        <v/>
      </c>
      <c r="GF25" s="40" t="str">
        <f t="shared" si="58"/>
        <v/>
      </c>
      <c r="GG25" s="40" t="str">
        <f t="shared" si="59"/>
        <v/>
      </c>
      <c r="GH25" s="40" t="str">
        <f t="shared" si="60"/>
        <v/>
      </c>
      <c r="GI25" s="40" t="str">
        <f t="shared" si="61"/>
        <v/>
      </c>
      <c r="GJ25" s="40" t="str">
        <f t="shared" si="62"/>
        <v/>
      </c>
      <c r="GK25" s="40" t="str">
        <f t="shared" si="63"/>
        <v/>
      </c>
      <c r="GL25" s="40" t="str">
        <f t="shared" si="64"/>
        <v/>
      </c>
      <c r="GM25" s="18"/>
      <c r="GN25" s="18"/>
      <c r="GO25" s="18"/>
      <c r="GP25" s="18"/>
      <c r="GQ25" s="18"/>
      <c r="GR25" s="18"/>
      <c r="GS25" s="18"/>
      <c r="GT25" s="18"/>
      <c r="GU25" s="18"/>
      <c r="GV25" s="18"/>
      <c r="GW25" s="18"/>
      <c r="GX25" s="18"/>
      <c r="GY25" s="18"/>
      <c r="GZ25" s="18"/>
      <c r="HA25" s="18"/>
      <c r="HB25" s="18"/>
      <c r="HC25" s="18"/>
      <c r="HD25" s="18"/>
      <c r="HE25" s="18"/>
      <c r="HF25" s="18"/>
      <c r="HG25" s="11" t="str">
        <f t="shared" si="65"/>
        <v/>
      </c>
      <c r="HH25" s="11" t="str">
        <f t="shared" si="66"/>
        <v/>
      </c>
      <c r="HI25" s="11" t="str">
        <f t="shared" si="67"/>
        <v/>
      </c>
      <c r="HJ25" s="11" t="str">
        <f t="shared" si="68"/>
        <v/>
      </c>
      <c r="HK25" s="11" t="str">
        <f t="shared" si="69"/>
        <v/>
      </c>
      <c r="HL25" s="11" t="str">
        <f t="shared" si="70"/>
        <v/>
      </c>
      <c r="HM25" s="11" t="str">
        <f t="shared" si="71"/>
        <v/>
      </c>
      <c r="HN25" s="11" t="str">
        <f t="shared" si="72"/>
        <v/>
      </c>
      <c r="HO25" s="17"/>
      <c r="HP25" s="17"/>
      <c r="HQ25" s="17"/>
      <c r="HR25" s="17"/>
      <c r="HS25" s="17"/>
      <c r="HT25" s="17"/>
      <c r="HU25" s="17"/>
      <c r="HV25" s="17"/>
      <c r="HW25" s="17"/>
      <c r="HX25" s="17"/>
      <c r="HY25" s="17"/>
      <c r="HZ25" s="17"/>
      <c r="IA25" s="17"/>
      <c r="IB25" s="17"/>
      <c r="IC25" s="17"/>
      <c r="ID25" s="17"/>
      <c r="IE25" s="17"/>
      <c r="IF25" s="17"/>
      <c r="IG25" s="17"/>
      <c r="IH25" s="17"/>
      <c r="II25" s="40" t="str">
        <f t="shared" si="73"/>
        <v/>
      </c>
      <c r="IJ25" s="40" t="str">
        <f t="shared" si="74"/>
        <v/>
      </c>
      <c r="IK25" s="40" t="str">
        <f t="shared" si="75"/>
        <v/>
      </c>
      <c r="IL25" s="40" t="str">
        <f t="shared" si="76"/>
        <v/>
      </c>
      <c r="IM25" s="40" t="str">
        <f t="shared" si="77"/>
        <v/>
      </c>
      <c r="IN25" s="40" t="str">
        <f t="shared" si="78"/>
        <v/>
      </c>
      <c r="IO25" s="40" t="str">
        <f t="shared" si="79"/>
        <v/>
      </c>
      <c r="IP25" s="40" t="str">
        <f t="shared" si="80"/>
        <v/>
      </c>
      <c r="IQ25" s="18"/>
      <c r="IR25" s="18"/>
      <c r="IS25" s="18"/>
      <c r="IT25" s="18"/>
      <c r="IU25" s="18"/>
      <c r="IV25" s="18"/>
      <c r="IW25" s="18"/>
      <c r="IX25" s="18"/>
      <c r="IY25" s="18"/>
      <c r="IZ25" s="18"/>
      <c r="JA25" s="18"/>
      <c r="JB25" s="18"/>
      <c r="JC25" s="18"/>
      <c r="JD25" s="18"/>
      <c r="JE25" s="18"/>
      <c r="JF25" s="18"/>
      <c r="JG25" s="18"/>
      <c r="JH25" s="18"/>
      <c r="JI25" s="18"/>
      <c r="JJ25" s="18"/>
      <c r="JK25" s="11" t="str">
        <f t="shared" si="81"/>
        <v/>
      </c>
      <c r="JL25" s="11" t="str">
        <f t="shared" si="82"/>
        <v/>
      </c>
      <c r="JM25" s="11" t="str">
        <f t="shared" si="83"/>
        <v/>
      </c>
      <c r="JN25" s="11" t="str">
        <f t="shared" si="84"/>
        <v/>
      </c>
      <c r="JO25" s="11" t="str">
        <f t="shared" si="85"/>
        <v/>
      </c>
      <c r="JP25" s="11" t="str">
        <f t="shared" si="86"/>
        <v/>
      </c>
      <c r="JQ25" s="11" t="str">
        <f t="shared" si="87"/>
        <v/>
      </c>
      <c r="JR25" s="11" t="str">
        <f t="shared" si="88"/>
        <v/>
      </c>
      <c r="JS25" s="17"/>
      <c r="JT25" s="17"/>
      <c r="JU25" s="17"/>
      <c r="JV25" s="17"/>
      <c r="JW25" s="17"/>
      <c r="JX25" s="17"/>
      <c r="JY25" s="17"/>
      <c r="JZ25" s="17"/>
      <c r="KA25" s="17"/>
      <c r="KB25" s="17"/>
      <c r="KC25" s="17"/>
      <c r="KD25" s="17"/>
      <c r="KE25" s="17"/>
      <c r="KF25" s="17"/>
      <c r="KG25" s="17"/>
      <c r="KH25" s="17"/>
      <c r="KI25" s="17"/>
      <c r="KJ25" s="17"/>
      <c r="KK25" s="17"/>
      <c r="KL25" s="17"/>
      <c r="KM25" s="40" t="str">
        <f t="shared" si="89"/>
        <v/>
      </c>
      <c r="KN25" s="40" t="str">
        <f t="shared" si="90"/>
        <v/>
      </c>
      <c r="KO25" s="40" t="str">
        <f t="shared" si="91"/>
        <v/>
      </c>
      <c r="KP25" s="40" t="str">
        <f t="shared" si="92"/>
        <v/>
      </c>
      <c r="KQ25" s="40" t="str">
        <f t="shared" si="93"/>
        <v/>
      </c>
      <c r="KR25" s="40" t="str">
        <f t="shared" si="94"/>
        <v/>
      </c>
      <c r="KS25" s="40" t="str">
        <f t="shared" si="95"/>
        <v/>
      </c>
      <c r="KT25" s="40" t="str">
        <f t="shared" si="96"/>
        <v/>
      </c>
      <c r="KU25" s="18"/>
      <c r="KV25" s="18"/>
      <c r="KW25" s="18"/>
      <c r="KX25" s="18"/>
      <c r="KY25" s="18"/>
      <c r="KZ25" s="18"/>
      <c r="LA25" s="18"/>
      <c r="LB25" s="18"/>
      <c r="LC25" s="18"/>
      <c r="LD25" s="18"/>
      <c r="LE25" s="18"/>
      <c r="LF25" s="18"/>
      <c r="LG25" s="18"/>
      <c r="LH25" s="18"/>
      <c r="LI25" s="18"/>
      <c r="LJ25" s="18"/>
      <c r="LK25" s="18"/>
      <c r="LL25" s="18"/>
      <c r="LM25" s="18"/>
      <c r="LN25" s="18"/>
      <c r="LO25" s="11" t="str">
        <f t="shared" si="97"/>
        <v/>
      </c>
      <c r="LP25" s="11" t="str">
        <f t="shared" si="98"/>
        <v/>
      </c>
      <c r="LQ25" s="11" t="str">
        <f t="shared" si="99"/>
        <v/>
      </c>
      <c r="LR25" s="11" t="str">
        <f t="shared" si="100"/>
        <v/>
      </c>
      <c r="LS25" s="11" t="str">
        <f t="shared" si="101"/>
        <v/>
      </c>
      <c r="LT25" s="11" t="str">
        <f t="shared" si="102"/>
        <v/>
      </c>
      <c r="LU25" s="11" t="str">
        <f t="shared" si="103"/>
        <v/>
      </c>
      <c r="LV25" s="11" t="str">
        <f t="shared" si="104"/>
        <v/>
      </c>
      <c r="LW25" s="17"/>
      <c r="LX25" s="17"/>
      <c r="LY25" s="17"/>
      <c r="LZ25" s="17"/>
      <c r="MA25" s="17"/>
      <c r="MB25" s="17"/>
      <c r="MC25" s="17"/>
      <c r="MD25" s="17"/>
      <c r="ME25" s="17"/>
      <c r="MF25" s="17"/>
      <c r="MG25" s="17"/>
      <c r="MH25" s="17"/>
      <c r="MI25" s="17"/>
      <c r="MJ25" s="17"/>
      <c r="MK25" s="17"/>
      <c r="ML25" s="17"/>
      <c r="MM25" s="17"/>
      <c r="MN25" s="17"/>
      <c r="MO25" s="17"/>
      <c r="MP25" s="17"/>
      <c r="MQ25" s="40" t="str">
        <f t="shared" si="105"/>
        <v/>
      </c>
      <c r="MR25" s="40" t="str">
        <f t="shared" si="106"/>
        <v/>
      </c>
      <c r="MS25" s="40" t="str">
        <f t="shared" si="107"/>
        <v/>
      </c>
      <c r="MT25" s="40" t="str">
        <f t="shared" si="108"/>
        <v/>
      </c>
      <c r="MU25" s="40" t="str">
        <f t="shared" si="109"/>
        <v/>
      </c>
      <c r="MV25" s="40" t="str">
        <f t="shared" si="110"/>
        <v/>
      </c>
      <c r="MW25" s="40" t="str">
        <f t="shared" si="111"/>
        <v/>
      </c>
      <c r="MX25" s="40" t="str">
        <f t="shared" si="112"/>
        <v/>
      </c>
      <c r="MY25" s="18"/>
      <c r="MZ25" s="18"/>
      <c r="NA25" s="18"/>
      <c r="NB25" s="18"/>
      <c r="NC25" s="18"/>
      <c r="ND25" s="18"/>
      <c r="NE25" s="18"/>
      <c r="NF25" s="18"/>
      <c r="NG25" s="18"/>
      <c r="NH25" s="18"/>
      <c r="NI25" s="18"/>
      <c r="NJ25" s="18"/>
      <c r="NK25" s="18"/>
      <c r="NL25" s="18"/>
      <c r="NM25" s="18"/>
      <c r="NN25" s="18"/>
      <c r="NO25" s="18"/>
      <c r="NP25" s="18"/>
      <c r="NQ25" s="18"/>
      <c r="NR25" s="18"/>
      <c r="NS25" s="11" t="str">
        <f t="shared" si="113"/>
        <v/>
      </c>
      <c r="NT25" s="11" t="str">
        <f t="shared" si="114"/>
        <v/>
      </c>
      <c r="NU25" s="11" t="str">
        <f t="shared" si="115"/>
        <v/>
      </c>
      <c r="NV25" s="11" t="str">
        <f t="shared" si="116"/>
        <v/>
      </c>
      <c r="NW25" s="11" t="str">
        <f t="shared" si="117"/>
        <v/>
      </c>
      <c r="NX25" s="11" t="str">
        <f t="shared" si="118"/>
        <v/>
      </c>
      <c r="NY25" s="11" t="str">
        <f t="shared" si="119"/>
        <v/>
      </c>
      <c r="NZ25" s="11" t="str">
        <f t="shared" si="120"/>
        <v/>
      </c>
      <c r="OA25" s="17"/>
      <c r="OB25" s="17"/>
      <c r="OC25" s="17"/>
      <c r="OD25" s="17"/>
      <c r="OE25" s="17"/>
      <c r="OF25" s="17"/>
      <c r="OG25" s="17"/>
      <c r="OH25" s="17"/>
      <c r="OI25" s="17"/>
      <c r="OJ25" s="17"/>
      <c r="OK25" s="17"/>
      <c r="OL25" s="17"/>
      <c r="OM25" s="17"/>
      <c r="ON25" s="17"/>
      <c r="OO25" s="17"/>
      <c r="OP25" s="17"/>
      <c r="OQ25" s="17"/>
      <c r="OR25" s="17"/>
      <c r="OS25" s="17"/>
      <c r="OT25" s="17"/>
      <c r="OU25" s="40" t="str">
        <f t="shared" si="121"/>
        <v/>
      </c>
      <c r="OV25" s="40" t="str">
        <f t="shared" si="122"/>
        <v/>
      </c>
      <c r="OW25" s="40" t="str">
        <f t="shared" si="123"/>
        <v/>
      </c>
      <c r="OX25" s="40" t="str">
        <f t="shared" si="124"/>
        <v/>
      </c>
      <c r="OY25" s="40" t="str">
        <f t="shared" si="125"/>
        <v/>
      </c>
      <c r="OZ25" s="40" t="str">
        <f t="shared" si="126"/>
        <v/>
      </c>
      <c r="PA25" s="40" t="str">
        <f t="shared" si="127"/>
        <v/>
      </c>
      <c r="PB25" s="40" t="str">
        <f t="shared" si="128"/>
        <v/>
      </c>
      <c r="PC25" s="18"/>
      <c r="PD25" s="18"/>
      <c r="PE25" s="18"/>
      <c r="PF25" s="18"/>
      <c r="PG25" s="18"/>
      <c r="PH25" s="18"/>
      <c r="PI25" s="18"/>
      <c r="PJ25" s="18"/>
      <c r="PK25" s="18"/>
      <c r="PL25" s="18"/>
      <c r="PM25" s="18"/>
      <c r="PN25" s="18"/>
      <c r="PO25" s="18"/>
      <c r="PP25" s="18"/>
      <c r="PQ25" s="18"/>
      <c r="PR25" s="18"/>
      <c r="PS25" s="18"/>
      <c r="PT25" s="18"/>
      <c r="PU25" s="18"/>
      <c r="PV25" s="18"/>
      <c r="PW25" s="11" t="str">
        <f t="shared" si="129"/>
        <v/>
      </c>
      <c r="PX25" s="11" t="str">
        <f t="shared" si="130"/>
        <v/>
      </c>
      <c r="PY25" s="11" t="str">
        <f t="shared" si="131"/>
        <v/>
      </c>
      <c r="PZ25" s="11" t="str">
        <f t="shared" si="132"/>
        <v/>
      </c>
      <c r="QA25" s="11" t="str">
        <f t="shared" si="133"/>
        <v/>
      </c>
      <c r="QB25" s="11" t="str">
        <f t="shared" si="134"/>
        <v/>
      </c>
      <c r="QC25" s="11" t="str">
        <f t="shared" si="135"/>
        <v/>
      </c>
      <c r="QD25" s="11" t="str">
        <f t="shared" si="136"/>
        <v/>
      </c>
      <c r="QE25" s="22">
        <f t="shared" si="137"/>
        <v>0</v>
      </c>
      <c r="QF25" s="22">
        <f t="shared" si="138"/>
        <v>0</v>
      </c>
      <c r="QG25" s="22">
        <f t="shared" si="139"/>
        <v>0</v>
      </c>
      <c r="QH25" s="22">
        <f t="shared" si="140"/>
        <v>0</v>
      </c>
      <c r="QI25" s="22">
        <f t="shared" si="141"/>
        <v>0</v>
      </c>
      <c r="QJ25" s="22">
        <f t="shared" si="142"/>
        <v>0</v>
      </c>
      <c r="QK25" s="22">
        <f t="shared" si="143"/>
        <v>0</v>
      </c>
      <c r="QL25" s="22">
        <f t="shared" si="144"/>
        <v>0</v>
      </c>
      <c r="QM25" s="22">
        <f t="shared" si="145"/>
        <v>0</v>
      </c>
      <c r="QN25" s="22">
        <f t="shared" si="146"/>
        <v>0</v>
      </c>
      <c r="QO25" s="22">
        <f t="shared" si="147"/>
        <v>0</v>
      </c>
      <c r="QP25" s="22">
        <f t="shared" si="148"/>
        <v>0</v>
      </c>
      <c r="QQ25" s="22">
        <f t="shared" si="149"/>
        <v>0</v>
      </c>
      <c r="QR25" s="22">
        <f t="shared" si="150"/>
        <v>0</v>
      </c>
      <c r="QS25" s="22">
        <f t="shared" si="151"/>
        <v>0</v>
      </c>
      <c r="QT25" s="22">
        <f t="shared" si="152"/>
        <v>0</v>
      </c>
      <c r="QU25" s="22">
        <f t="shared" si="153"/>
        <v>0</v>
      </c>
      <c r="QV25" s="22">
        <f t="shared" si="154"/>
        <v>0</v>
      </c>
      <c r="QW25" s="22">
        <f t="shared" si="155"/>
        <v>0</v>
      </c>
      <c r="QX25" s="22">
        <f t="shared" si="156"/>
        <v>0</v>
      </c>
      <c r="QY25" s="27" t="s">
        <v>46</v>
      </c>
      <c r="QZ25" s="40" t="str">
        <f t="shared" si="157"/>
        <v/>
      </c>
      <c r="RA25" s="40" t="str">
        <f t="shared" si="158"/>
        <v/>
      </c>
      <c r="RB25" s="40" t="str">
        <f t="shared" si="159"/>
        <v/>
      </c>
      <c r="RC25" s="40" t="str">
        <f t="shared" si="160"/>
        <v/>
      </c>
      <c r="RD25" s="40" t="str">
        <f t="shared" si="161"/>
        <v/>
      </c>
      <c r="RE25" s="40" t="str">
        <f t="shared" si="162"/>
        <v/>
      </c>
      <c r="RF25" s="40" t="str">
        <f t="shared" si="163"/>
        <v/>
      </c>
      <c r="RG25" s="40" t="str">
        <f t="shared" si="164"/>
        <v/>
      </c>
    </row>
    <row r="26" spans="1:475" x14ac:dyDescent="0.2">
      <c r="A26" s="4" t="str">
        <f t="shared" si="0"/>
        <v/>
      </c>
      <c r="B26" s="5" t="s">
        <v>221</v>
      </c>
      <c r="C26" s="4" t="s">
        <v>5</v>
      </c>
      <c r="D26" s="4">
        <v>2006</v>
      </c>
      <c r="E26" s="9">
        <f t="shared" si="1"/>
        <v>23.900002390002388</v>
      </c>
      <c r="F26" s="3" t="str">
        <f t="shared" si="2"/>
        <v/>
      </c>
      <c r="G26" s="3" t="str">
        <f t="shared" si="3"/>
        <v/>
      </c>
      <c r="H26" s="36" t="str">
        <f t="shared" si="4"/>
        <v/>
      </c>
      <c r="I26" s="3" t="str">
        <f t="shared" si="5"/>
        <v/>
      </c>
      <c r="J26" s="8">
        <f>IF(COUNT(AQ26,BT26,CW26)&gt;0,LARGE((AQ26,BT26,CW26),1),0)</f>
        <v>23.9</v>
      </c>
      <c r="K26" s="8" t="str">
        <f t="shared" si="6"/>
        <v>2023 Elite Canada</v>
      </c>
      <c r="L26" s="8">
        <f>IF(COUNT(AQ26,BT26,CW26)&gt;1,LARGE((AQ26,BT26,CW26),2),0)</f>
        <v>0</v>
      </c>
      <c r="M26" s="8" t="str">
        <f t="shared" si="7"/>
        <v/>
      </c>
      <c r="N26" s="8">
        <f>IF(COUNT(AR26,BU26,CX26)&gt;0,LARGE((AR26,BU26,CX26),1),0)</f>
        <v>0</v>
      </c>
      <c r="O26" s="8" t="str">
        <f t="shared" si="8"/>
        <v/>
      </c>
      <c r="P26" s="8">
        <f t="shared" si="9"/>
        <v>0</v>
      </c>
      <c r="Q26" s="8" t="str">
        <f t="shared" si="10"/>
        <v/>
      </c>
      <c r="R26" s="8" t="str">
        <f t="shared" si="11"/>
        <v/>
      </c>
      <c r="S26" s="11" t="str">
        <f t="shared" si="12"/>
        <v/>
      </c>
      <c r="T26" s="8" t="str">
        <f t="shared" si="13"/>
        <v/>
      </c>
      <c r="U26" s="19"/>
      <c r="V26" s="19"/>
      <c r="W26" s="19"/>
      <c r="X26" s="19"/>
      <c r="Y26" s="19"/>
      <c r="Z26" s="19"/>
      <c r="AA26" s="19"/>
      <c r="AB26" s="19"/>
      <c r="AC26" s="19"/>
      <c r="AD26" s="19"/>
      <c r="AE26" s="19"/>
      <c r="AF26" s="19"/>
      <c r="AG26" s="19"/>
      <c r="AH26" s="19"/>
      <c r="AI26" s="19"/>
      <c r="AJ26" s="19"/>
      <c r="AK26" s="19"/>
      <c r="AL26" s="19"/>
      <c r="AM26" s="19"/>
      <c r="AN26" s="19"/>
      <c r="AO26" s="27"/>
      <c r="AP26" s="40" t="str">
        <f t="shared" si="14"/>
        <v/>
      </c>
      <c r="AQ26" s="40" t="str">
        <f t="shared" si="15"/>
        <v/>
      </c>
      <c r="AR26" s="40" t="str">
        <f t="shared" si="16"/>
        <v/>
      </c>
      <c r="AS26" s="40" t="str">
        <f t="shared" si="17"/>
        <v/>
      </c>
      <c r="AT26" s="40" t="str">
        <f t="shared" si="18"/>
        <v/>
      </c>
      <c r="AU26" s="40" t="str">
        <f t="shared" si="19"/>
        <v/>
      </c>
      <c r="AV26" s="40" t="str">
        <f t="shared" si="20"/>
        <v/>
      </c>
      <c r="AW26" s="40" t="str">
        <f t="shared" si="21"/>
        <v/>
      </c>
      <c r="AX26" s="18"/>
      <c r="AY26" s="18"/>
      <c r="AZ26" s="18"/>
      <c r="BA26" s="18"/>
      <c r="BB26" s="18"/>
      <c r="BC26" s="18"/>
      <c r="BD26" s="18"/>
      <c r="BE26" s="18"/>
      <c r="BF26" s="18"/>
      <c r="BG26" s="18"/>
      <c r="BH26" s="18"/>
      <c r="BI26" s="18"/>
      <c r="BJ26" s="18"/>
      <c r="BK26" s="18"/>
      <c r="BL26" s="18"/>
      <c r="BM26" s="18"/>
      <c r="BN26" s="18"/>
      <c r="BO26" s="18"/>
      <c r="BP26" s="18"/>
      <c r="BQ26" s="18"/>
      <c r="BR26" s="28"/>
      <c r="BS26" s="11" t="str">
        <f t="shared" si="22"/>
        <v/>
      </c>
      <c r="BT26" s="11" t="str">
        <f t="shared" si="23"/>
        <v/>
      </c>
      <c r="BU26" s="11" t="str">
        <f t="shared" si="24"/>
        <v/>
      </c>
      <c r="BV26" s="11" t="str">
        <f t="shared" si="25"/>
        <v/>
      </c>
      <c r="BW26" s="11" t="str">
        <f t="shared" si="26"/>
        <v/>
      </c>
      <c r="BX26" s="11" t="str">
        <f t="shared" si="27"/>
        <v/>
      </c>
      <c r="BY26" s="11" t="str">
        <f t="shared" si="28"/>
        <v/>
      </c>
      <c r="BZ26" s="11" t="str">
        <f t="shared" si="29"/>
        <v/>
      </c>
      <c r="CA26" s="19">
        <v>18.899999999999999</v>
      </c>
      <c r="CB26" s="19">
        <v>5.2</v>
      </c>
      <c r="CC26" s="19">
        <v>0.2</v>
      </c>
      <c r="CD26" s="19">
        <v>0</v>
      </c>
      <c r="CE26" s="19">
        <v>0</v>
      </c>
      <c r="CF26" s="19">
        <v>0</v>
      </c>
      <c r="CG26" s="19">
        <v>0</v>
      </c>
      <c r="CH26" s="19">
        <v>0</v>
      </c>
      <c r="CI26" s="19">
        <v>0</v>
      </c>
      <c r="CJ26" s="19">
        <v>0</v>
      </c>
      <c r="CK26" s="19">
        <v>0</v>
      </c>
      <c r="CL26" s="19">
        <v>0</v>
      </c>
      <c r="CM26" s="19"/>
      <c r="CN26" s="19"/>
      <c r="CO26" s="19"/>
      <c r="CP26" s="19"/>
      <c r="CQ26" s="19"/>
      <c r="CR26" s="19"/>
      <c r="CS26" s="19"/>
      <c r="CT26" s="19"/>
      <c r="CU26" s="27"/>
      <c r="CV26" s="40">
        <f t="shared" si="30"/>
        <v>5.2</v>
      </c>
      <c r="CW26" s="40">
        <f t="shared" si="31"/>
        <v>23.9</v>
      </c>
      <c r="CX26" s="40" t="str">
        <f t="shared" si="32"/>
        <v/>
      </c>
      <c r="CY26" s="40">
        <f t="shared" si="33"/>
        <v>5.2</v>
      </c>
      <c r="CZ26" s="40">
        <f t="shared" si="34"/>
        <v>23.9</v>
      </c>
      <c r="DA26" s="40" t="str">
        <f t="shared" si="35"/>
        <v/>
      </c>
      <c r="DB26" s="40" t="str">
        <f t="shared" si="36"/>
        <v/>
      </c>
      <c r="DC26" s="40">
        <f t="shared" si="37"/>
        <v>23.9</v>
      </c>
      <c r="DD26" s="50" t="str">
        <f t="shared" si="38"/>
        <v/>
      </c>
      <c r="DE26" s="50" t="str">
        <f t="shared" si="39"/>
        <v/>
      </c>
      <c r="DF26" s="50" t="str">
        <f t="shared" si="40"/>
        <v/>
      </c>
      <c r="DG26" s="17"/>
      <c r="DH26" s="17"/>
      <c r="DI26" s="17"/>
      <c r="DJ26" s="17"/>
      <c r="DK26" s="17"/>
      <c r="DL26" s="17"/>
      <c r="DM26" s="17"/>
      <c r="DN26" s="17"/>
      <c r="DO26" s="17"/>
      <c r="DP26" s="17"/>
      <c r="DQ26" s="17"/>
      <c r="DR26" s="17"/>
      <c r="DS26" s="17"/>
      <c r="DT26" s="17"/>
      <c r="DU26" s="17"/>
      <c r="DV26" s="17"/>
      <c r="DW26" s="17"/>
      <c r="DX26" s="17"/>
      <c r="DY26" s="17"/>
      <c r="DZ26" s="17"/>
      <c r="EA26" s="40" t="str">
        <f t="shared" si="41"/>
        <v/>
      </c>
      <c r="EB26" s="40" t="str">
        <f t="shared" si="42"/>
        <v/>
      </c>
      <c r="EC26" s="40" t="str">
        <f t="shared" si="43"/>
        <v/>
      </c>
      <c r="ED26" s="40" t="str">
        <f t="shared" si="44"/>
        <v/>
      </c>
      <c r="EE26" s="40" t="str">
        <f t="shared" si="45"/>
        <v/>
      </c>
      <c r="EF26" s="40" t="str">
        <f t="shared" si="46"/>
        <v/>
      </c>
      <c r="EG26" s="40" t="str">
        <f t="shared" si="47"/>
        <v/>
      </c>
      <c r="EH26" s="40" t="str">
        <f t="shared" si="48"/>
        <v/>
      </c>
      <c r="EI26" s="18"/>
      <c r="EJ26" s="18"/>
      <c r="EK26" s="18"/>
      <c r="EL26" s="18"/>
      <c r="EM26" s="18"/>
      <c r="EN26" s="18"/>
      <c r="EO26" s="18"/>
      <c r="EP26" s="18"/>
      <c r="EQ26" s="18"/>
      <c r="ER26" s="18"/>
      <c r="ES26" s="18"/>
      <c r="ET26" s="18"/>
      <c r="EU26" s="18"/>
      <c r="EV26" s="18"/>
      <c r="EW26" s="18"/>
      <c r="EX26" s="18"/>
      <c r="EY26" s="18"/>
      <c r="EZ26" s="18"/>
      <c r="FA26" s="18"/>
      <c r="FB26" s="18"/>
      <c r="FC26" s="11" t="str">
        <f t="shared" si="49"/>
        <v/>
      </c>
      <c r="FD26" s="11" t="str">
        <f t="shared" si="50"/>
        <v/>
      </c>
      <c r="FE26" s="11" t="str">
        <f t="shared" si="51"/>
        <v/>
      </c>
      <c r="FF26" s="11" t="str">
        <f t="shared" si="52"/>
        <v/>
      </c>
      <c r="FG26" s="11" t="str">
        <f t="shared" si="53"/>
        <v/>
      </c>
      <c r="FH26" s="11" t="str">
        <f t="shared" si="54"/>
        <v/>
      </c>
      <c r="FI26" s="11" t="str">
        <f t="shared" si="55"/>
        <v/>
      </c>
      <c r="FJ26" s="11" t="str">
        <f t="shared" si="56"/>
        <v/>
      </c>
      <c r="FK26" s="17"/>
      <c r="FL26" s="17"/>
      <c r="FM26" s="17"/>
      <c r="FN26" s="17"/>
      <c r="FO26" s="17"/>
      <c r="FP26" s="17"/>
      <c r="FQ26" s="17"/>
      <c r="FR26" s="17"/>
      <c r="FS26" s="17"/>
      <c r="FT26" s="17"/>
      <c r="FU26" s="17"/>
      <c r="FV26" s="17"/>
      <c r="FW26" s="17"/>
      <c r="FX26" s="17"/>
      <c r="FY26" s="17"/>
      <c r="FZ26" s="17"/>
      <c r="GA26" s="17"/>
      <c r="GB26" s="17"/>
      <c r="GC26" s="17"/>
      <c r="GD26" s="17"/>
      <c r="GE26" s="40" t="str">
        <f t="shared" si="57"/>
        <v/>
      </c>
      <c r="GF26" s="40" t="str">
        <f t="shared" si="58"/>
        <v/>
      </c>
      <c r="GG26" s="40" t="str">
        <f t="shared" si="59"/>
        <v/>
      </c>
      <c r="GH26" s="40" t="str">
        <f t="shared" si="60"/>
        <v/>
      </c>
      <c r="GI26" s="40" t="str">
        <f t="shared" si="61"/>
        <v/>
      </c>
      <c r="GJ26" s="40" t="str">
        <f t="shared" si="62"/>
        <v/>
      </c>
      <c r="GK26" s="40" t="str">
        <f t="shared" si="63"/>
        <v/>
      </c>
      <c r="GL26" s="40" t="str">
        <f t="shared" si="64"/>
        <v/>
      </c>
      <c r="GM26" s="18"/>
      <c r="GN26" s="18"/>
      <c r="GO26" s="18"/>
      <c r="GP26" s="18"/>
      <c r="GQ26" s="18"/>
      <c r="GR26" s="18"/>
      <c r="GS26" s="18"/>
      <c r="GT26" s="18"/>
      <c r="GU26" s="18"/>
      <c r="GV26" s="18"/>
      <c r="GW26" s="18"/>
      <c r="GX26" s="18"/>
      <c r="GY26" s="18"/>
      <c r="GZ26" s="18"/>
      <c r="HA26" s="18"/>
      <c r="HB26" s="18"/>
      <c r="HC26" s="18"/>
      <c r="HD26" s="18"/>
      <c r="HE26" s="18"/>
      <c r="HF26" s="18"/>
      <c r="HG26" s="11" t="str">
        <f t="shared" si="65"/>
        <v/>
      </c>
      <c r="HH26" s="11" t="str">
        <f t="shared" si="66"/>
        <v/>
      </c>
      <c r="HI26" s="11" t="str">
        <f t="shared" si="67"/>
        <v/>
      </c>
      <c r="HJ26" s="11" t="str">
        <f t="shared" si="68"/>
        <v/>
      </c>
      <c r="HK26" s="11" t="str">
        <f t="shared" si="69"/>
        <v/>
      </c>
      <c r="HL26" s="11" t="str">
        <f t="shared" si="70"/>
        <v/>
      </c>
      <c r="HM26" s="11" t="str">
        <f t="shared" si="71"/>
        <v/>
      </c>
      <c r="HN26" s="11" t="str">
        <f t="shared" si="72"/>
        <v/>
      </c>
      <c r="HO26" s="17"/>
      <c r="HP26" s="17"/>
      <c r="HQ26" s="17"/>
      <c r="HR26" s="17"/>
      <c r="HS26" s="17"/>
      <c r="HT26" s="17"/>
      <c r="HU26" s="17"/>
      <c r="HV26" s="17"/>
      <c r="HW26" s="17"/>
      <c r="HX26" s="17"/>
      <c r="HY26" s="17"/>
      <c r="HZ26" s="17"/>
      <c r="IA26" s="17"/>
      <c r="IB26" s="17"/>
      <c r="IC26" s="17"/>
      <c r="ID26" s="17"/>
      <c r="IE26" s="17"/>
      <c r="IF26" s="17"/>
      <c r="IG26" s="17"/>
      <c r="IH26" s="17"/>
      <c r="II26" s="40" t="str">
        <f t="shared" si="73"/>
        <v/>
      </c>
      <c r="IJ26" s="40" t="str">
        <f t="shared" si="74"/>
        <v/>
      </c>
      <c r="IK26" s="40" t="str">
        <f t="shared" si="75"/>
        <v/>
      </c>
      <c r="IL26" s="40" t="str">
        <f t="shared" si="76"/>
        <v/>
      </c>
      <c r="IM26" s="40" t="str">
        <f t="shared" si="77"/>
        <v/>
      </c>
      <c r="IN26" s="40" t="str">
        <f t="shared" si="78"/>
        <v/>
      </c>
      <c r="IO26" s="40" t="str">
        <f t="shared" si="79"/>
        <v/>
      </c>
      <c r="IP26" s="40" t="str">
        <f t="shared" si="80"/>
        <v/>
      </c>
      <c r="IQ26" s="18"/>
      <c r="IR26" s="18"/>
      <c r="IS26" s="18"/>
      <c r="IT26" s="18"/>
      <c r="IU26" s="18"/>
      <c r="IV26" s="18"/>
      <c r="IW26" s="18"/>
      <c r="IX26" s="18"/>
      <c r="IY26" s="18"/>
      <c r="IZ26" s="18"/>
      <c r="JA26" s="18"/>
      <c r="JB26" s="18"/>
      <c r="JC26" s="18"/>
      <c r="JD26" s="18"/>
      <c r="JE26" s="18"/>
      <c r="JF26" s="18"/>
      <c r="JG26" s="18"/>
      <c r="JH26" s="18"/>
      <c r="JI26" s="18"/>
      <c r="JJ26" s="18"/>
      <c r="JK26" s="11" t="str">
        <f t="shared" si="81"/>
        <v/>
      </c>
      <c r="JL26" s="11" t="str">
        <f t="shared" si="82"/>
        <v/>
      </c>
      <c r="JM26" s="11" t="str">
        <f t="shared" si="83"/>
        <v/>
      </c>
      <c r="JN26" s="11" t="str">
        <f t="shared" si="84"/>
        <v/>
      </c>
      <c r="JO26" s="11" t="str">
        <f t="shared" si="85"/>
        <v/>
      </c>
      <c r="JP26" s="11" t="str">
        <f t="shared" si="86"/>
        <v/>
      </c>
      <c r="JQ26" s="11" t="str">
        <f t="shared" si="87"/>
        <v/>
      </c>
      <c r="JR26" s="11" t="str">
        <f t="shared" si="88"/>
        <v/>
      </c>
      <c r="JS26" s="17"/>
      <c r="JT26" s="17"/>
      <c r="JU26" s="17"/>
      <c r="JV26" s="17"/>
      <c r="JW26" s="17"/>
      <c r="JX26" s="17"/>
      <c r="JY26" s="17"/>
      <c r="JZ26" s="17"/>
      <c r="KA26" s="17"/>
      <c r="KB26" s="17"/>
      <c r="KC26" s="17"/>
      <c r="KD26" s="17"/>
      <c r="KE26" s="17"/>
      <c r="KF26" s="17"/>
      <c r="KG26" s="17"/>
      <c r="KH26" s="17"/>
      <c r="KI26" s="17"/>
      <c r="KJ26" s="17"/>
      <c r="KK26" s="17"/>
      <c r="KL26" s="17"/>
      <c r="KM26" s="40" t="str">
        <f t="shared" si="89"/>
        <v/>
      </c>
      <c r="KN26" s="40" t="str">
        <f t="shared" si="90"/>
        <v/>
      </c>
      <c r="KO26" s="40" t="str">
        <f t="shared" si="91"/>
        <v/>
      </c>
      <c r="KP26" s="40" t="str">
        <f t="shared" si="92"/>
        <v/>
      </c>
      <c r="KQ26" s="40" t="str">
        <f t="shared" si="93"/>
        <v/>
      </c>
      <c r="KR26" s="40" t="str">
        <f t="shared" si="94"/>
        <v/>
      </c>
      <c r="KS26" s="40" t="str">
        <f t="shared" si="95"/>
        <v/>
      </c>
      <c r="KT26" s="40" t="str">
        <f t="shared" si="96"/>
        <v/>
      </c>
      <c r="KU26" s="18"/>
      <c r="KV26" s="18"/>
      <c r="KW26" s="18"/>
      <c r="KX26" s="18"/>
      <c r="KY26" s="18"/>
      <c r="KZ26" s="18"/>
      <c r="LA26" s="18"/>
      <c r="LB26" s="18"/>
      <c r="LC26" s="18"/>
      <c r="LD26" s="18"/>
      <c r="LE26" s="18"/>
      <c r="LF26" s="18"/>
      <c r="LG26" s="18"/>
      <c r="LH26" s="18"/>
      <c r="LI26" s="18"/>
      <c r="LJ26" s="18"/>
      <c r="LK26" s="18"/>
      <c r="LL26" s="18"/>
      <c r="LM26" s="18"/>
      <c r="LN26" s="18"/>
      <c r="LO26" s="11" t="str">
        <f t="shared" si="97"/>
        <v/>
      </c>
      <c r="LP26" s="11" t="str">
        <f t="shared" si="98"/>
        <v/>
      </c>
      <c r="LQ26" s="11" t="str">
        <f t="shared" si="99"/>
        <v/>
      </c>
      <c r="LR26" s="11" t="str">
        <f t="shared" si="100"/>
        <v/>
      </c>
      <c r="LS26" s="11" t="str">
        <f t="shared" si="101"/>
        <v/>
      </c>
      <c r="LT26" s="11" t="str">
        <f t="shared" si="102"/>
        <v/>
      </c>
      <c r="LU26" s="11" t="str">
        <f t="shared" si="103"/>
        <v/>
      </c>
      <c r="LV26" s="11" t="str">
        <f t="shared" si="104"/>
        <v/>
      </c>
      <c r="LW26" s="17"/>
      <c r="LX26" s="17"/>
      <c r="LY26" s="17"/>
      <c r="LZ26" s="17"/>
      <c r="MA26" s="17"/>
      <c r="MB26" s="17"/>
      <c r="MC26" s="17"/>
      <c r="MD26" s="17"/>
      <c r="ME26" s="17"/>
      <c r="MF26" s="17"/>
      <c r="MG26" s="17"/>
      <c r="MH26" s="17"/>
      <c r="MI26" s="17"/>
      <c r="MJ26" s="17"/>
      <c r="MK26" s="17"/>
      <c r="ML26" s="17"/>
      <c r="MM26" s="17"/>
      <c r="MN26" s="17"/>
      <c r="MO26" s="17"/>
      <c r="MP26" s="17"/>
      <c r="MQ26" s="40" t="str">
        <f t="shared" si="105"/>
        <v/>
      </c>
      <c r="MR26" s="40" t="str">
        <f t="shared" si="106"/>
        <v/>
      </c>
      <c r="MS26" s="40" t="str">
        <f t="shared" si="107"/>
        <v/>
      </c>
      <c r="MT26" s="40" t="str">
        <f t="shared" si="108"/>
        <v/>
      </c>
      <c r="MU26" s="40" t="str">
        <f t="shared" si="109"/>
        <v/>
      </c>
      <c r="MV26" s="40" t="str">
        <f t="shared" si="110"/>
        <v/>
      </c>
      <c r="MW26" s="40" t="str">
        <f t="shared" si="111"/>
        <v/>
      </c>
      <c r="MX26" s="40" t="str">
        <f t="shared" si="112"/>
        <v/>
      </c>
      <c r="MY26" s="18"/>
      <c r="MZ26" s="18"/>
      <c r="NA26" s="18"/>
      <c r="NB26" s="18"/>
      <c r="NC26" s="18"/>
      <c r="ND26" s="18"/>
      <c r="NE26" s="18"/>
      <c r="NF26" s="18"/>
      <c r="NG26" s="18"/>
      <c r="NH26" s="18"/>
      <c r="NI26" s="18"/>
      <c r="NJ26" s="18"/>
      <c r="NK26" s="18"/>
      <c r="NL26" s="18"/>
      <c r="NM26" s="18"/>
      <c r="NN26" s="18"/>
      <c r="NO26" s="18"/>
      <c r="NP26" s="18"/>
      <c r="NQ26" s="18"/>
      <c r="NR26" s="18"/>
      <c r="NS26" s="11" t="str">
        <f t="shared" si="113"/>
        <v/>
      </c>
      <c r="NT26" s="11" t="str">
        <f t="shared" si="114"/>
        <v/>
      </c>
      <c r="NU26" s="11" t="str">
        <f t="shared" si="115"/>
        <v/>
      </c>
      <c r="NV26" s="11" t="str">
        <f t="shared" si="116"/>
        <v/>
      </c>
      <c r="NW26" s="11" t="str">
        <f t="shared" si="117"/>
        <v/>
      </c>
      <c r="NX26" s="11" t="str">
        <f t="shared" si="118"/>
        <v/>
      </c>
      <c r="NY26" s="11" t="str">
        <f t="shared" si="119"/>
        <v/>
      </c>
      <c r="NZ26" s="11" t="str">
        <f t="shared" si="120"/>
        <v/>
      </c>
      <c r="OA26" s="17"/>
      <c r="OB26" s="17"/>
      <c r="OC26" s="17"/>
      <c r="OD26" s="17"/>
      <c r="OE26" s="17"/>
      <c r="OF26" s="17"/>
      <c r="OG26" s="17"/>
      <c r="OH26" s="17"/>
      <c r="OI26" s="17"/>
      <c r="OJ26" s="17"/>
      <c r="OK26" s="17"/>
      <c r="OL26" s="17"/>
      <c r="OM26" s="17"/>
      <c r="ON26" s="17"/>
      <c r="OO26" s="17"/>
      <c r="OP26" s="17"/>
      <c r="OQ26" s="17"/>
      <c r="OR26" s="17"/>
      <c r="OS26" s="17"/>
      <c r="OT26" s="17"/>
      <c r="OU26" s="40" t="str">
        <f t="shared" si="121"/>
        <v/>
      </c>
      <c r="OV26" s="40" t="str">
        <f t="shared" si="122"/>
        <v/>
      </c>
      <c r="OW26" s="40" t="str">
        <f t="shared" si="123"/>
        <v/>
      </c>
      <c r="OX26" s="40" t="str">
        <f t="shared" si="124"/>
        <v/>
      </c>
      <c r="OY26" s="40" t="str">
        <f t="shared" si="125"/>
        <v/>
      </c>
      <c r="OZ26" s="40" t="str">
        <f t="shared" si="126"/>
        <v/>
      </c>
      <c r="PA26" s="40" t="str">
        <f t="shared" si="127"/>
        <v/>
      </c>
      <c r="PB26" s="40" t="str">
        <f t="shared" si="128"/>
        <v/>
      </c>
      <c r="PC26" s="18"/>
      <c r="PD26" s="18"/>
      <c r="PE26" s="18"/>
      <c r="PF26" s="18"/>
      <c r="PG26" s="18"/>
      <c r="PH26" s="18"/>
      <c r="PI26" s="18"/>
      <c r="PJ26" s="18"/>
      <c r="PK26" s="18"/>
      <c r="PL26" s="18"/>
      <c r="PM26" s="18"/>
      <c r="PN26" s="18"/>
      <c r="PO26" s="18"/>
      <c r="PP26" s="18"/>
      <c r="PQ26" s="18"/>
      <c r="PR26" s="18"/>
      <c r="PS26" s="18"/>
      <c r="PT26" s="18"/>
      <c r="PU26" s="18"/>
      <c r="PV26" s="18"/>
      <c r="PW26" s="11" t="str">
        <f t="shared" si="129"/>
        <v/>
      </c>
      <c r="PX26" s="11" t="str">
        <f t="shared" si="130"/>
        <v/>
      </c>
      <c r="PY26" s="11" t="str">
        <f t="shared" si="131"/>
        <v/>
      </c>
      <c r="PZ26" s="11" t="str">
        <f t="shared" si="132"/>
        <v/>
      </c>
      <c r="QA26" s="11" t="str">
        <f t="shared" si="133"/>
        <v/>
      </c>
      <c r="QB26" s="11" t="str">
        <f t="shared" si="134"/>
        <v/>
      </c>
      <c r="QC26" s="11" t="str">
        <f t="shared" si="135"/>
        <v/>
      </c>
      <c r="QD26" s="11" t="str">
        <f t="shared" si="136"/>
        <v/>
      </c>
      <c r="QE26" s="22">
        <f t="shared" si="137"/>
        <v>9.4499999999999993</v>
      </c>
      <c r="QF26" s="22">
        <f t="shared" si="138"/>
        <v>2.6</v>
      </c>
      <c r="QG26" s="22">
        <f t="shared" si="139"/>
        <v>0.1</v>
      </c>
      <c r="QH26" s="22">
        <f t="shared" si="140"/>
        <v>0</v>
      </c>
      <c r="QI26" s="22">
        <f t="shared" si="141"/>
        <v>0</v>
      </c>
      <c r="QJ26" s="22">
        <f t="shared" si="142"/>
        <v>0</v>
      </c>
      <c r="QK26" s="22">
        <f t="shared" si="143"/>
        <v>0</v>
      </c>
      <c r="QL26" s="22">
        <f t="shared" si="144"/>
        <v>0</v>
      </c>
      <c r="QM26" s="22">
        <f t="shared" si="145"/>
        <v>0</v>
      </c>
      <c r="QN26" s="22">
        <f t="shared" si="146"/>
        <v>0</v>
      </c>
      <c r="QO26" s="22">
        <f t="shared" si="147"/>
        <v>0</v>
      </c>
      <c r="QP26" s="22">
        <f t="shared" si="148"/>
        <v>0</v>
      </c>
      <c r="QQ26" s="22">
        <f t="shared" si="149"/>
        <v>0</v>
      </c>
      <c r="QR26" s="22">
        <f t="shared" si="150"/>
        <v>0</v>
      </c>
      <c r="QS26" s="22">
        <f t="shared" si="151"/>
        <v>0</v>
      </c>
      <c r="QT26" s="22">
        <f t="shared" si="152"/>
        <v>0</v>
      </c>
      <c r="QU26" s="22">
        <f t="shared" si="153"/>
        <v>0</v>
      </c>
      <c r="QV26" s="22">
        <f t="shared" si="154"/>
        <v>0</v>
      </c>
      <c r="QW26" s="22">
        <f t="shared" si="155"/>
        <v>0</v>
      </c>
      <c r="QX26" s="22">
        <f t="shared" si="156"/>
        <v>0</v>
      </c>
      <c r="QY26" s="27" t="s">
        <v>46</v>
      </c>
      <c r="QZ26" s="40">
        <f t="shared" si="157"/>
        <v>2.6</v>
      </c>
      <c r="RA26" s="40">
        <f t="shared" si="158"/>
        <v>11.95</v>
      </c>
      <c r="RB26" s="40" t="str">
        <f t="shared" si="159"/>
        <v/>
      </c>
      <c r="RC26" s="40">
        <f t="shared" si="160"/>
        <v>2.6</v>
      </c>
      <c r="RD26" s="40">
        <f t="shared" si="161"/>
        <v>11.95</v>
      </c>
      <c r="RE26" s="40" t="str">
        <f t="shared" si="162"/>
        <v/>
      </c>
      <c r="RF26" s="40" t="str">
        <f t="shared" si="163"/>
        <v/>
      </c>
      <c r="RG26" s="40">
        <f t="shared" si="164"/>
        <v>11.95</v>
      </c>
    </row>
    <row r="27" spans="1:475" ht="17" x14ac:dyDescent="0.2">
      <c r="R27" s="10"/>
      <c r="S27" s="10"/>
      <c r="T27" s="10"/>
    </row>
    <row r="28" spans="1:475" ht="17" x14ac:dyDescent="0.2">
      <c r="R28" s="10"/>
      <c r="S28" s="10"/>
      <c r="T28" s="10"/>
    </row>
    <row r="29" spans="1:475" ht="17" x14ac:dyDescent="0.2">
      <c r="B29" s="23" t="s">
        <v>44</v>
      </c>
      <c r="R29" s="10"/>
      <c r="S29" s="10"/>
      <c r="T29" s="10"/>
      <c r="AP29" s="4"/>
      <c r="AW29" s="42">
        <v>10</v>
      </c>
      <c r="BS29" s="4"/>
      <c r="BZ29" s="42">
        <v>10</v>
      </c>
      <c r="CV29" s="4"/>
      <c r="DC29" s="42">
        <v>9.6</v>
      </c>
      <c r="EA29" s="4"/>
      <c r="EH29" s="42">
        <v>10</v>
      </c>
      <c r="FC29" s="4"/>
      <c r="FJ29" s="42">
        <v>10</v>
      </c>
      <c r="GE29" s="4"/>
      <c r="GL29" s="42">
        <v>10</v>
      </c>
      <c r="HG29" s="4"/>
      <c r="HN29" s="42">
        <v>10</v>
      </c>
      <c r="II29" s="4"/>
      <c r="IP29" s="42">
        <v>10</v>
      </c>
      <c r="JK29" s="4"/>
      <c r="JR29" s="42">
        <v>10</v>
      </c>
      <c r="KM29" s="4"/>
      <c r="KT29" s="42">
        <v>10</v>
      </c>
      <c r="LO29" s="4"/>
      <c r="LV29" s="42">
        <v>9.6</v>
      </c>
      <c r="MQ29" s="4"/>
      <c r="MX29" s="42">
        <v>9.6</v>
      </c>
      <c r="NS29" s="4"/>
      <c r="NZ29" s="42">
        <v>9.6</v>
      </c>
      <c r="OU29" s="4"/>
      <c r="PB29" s="42">
        <v>9.6</v>
      </c>
      <c r="PW29" s="4"/>
      <c r="QD29" s="42">
        <v>9.6</v>
      </c>
    </row>
    <row r="30" spans="1:475" ht="17" hidden="1" x14ac:dyDescent="0.2">
      <c r="B30" s="30" t="s">
        <v>43</v>
      </c>
      <c r="R30" s="10"/>
      <c r="S30" s="10"/>
      <c r="T30" s="10"/>
      <c r="AP30" s="4"/>
      <c r="AW30" s="51">
        <v>1000</v>
      </c>
      <c r="BS30" s="4"/>
      <c r="BZ30" s="51">
        <v>1000</v>
      </c>
      <c r="CV30" s="4"/>
      <c r="DC30" s="51">
        <v>1000</v>
      </c>
      <c r="EA30" s="4"/>
      <c r="EH30" s="51">
        <v>1000</v>
      </c>
      <c r="FC30" s="4"/>
      <c r="FJ30" s="51">
        <v>1000</v>
      </c>
      <c r="GE30" s="4"/>
      <c r="GL30" s="51">
        <v>1000</v>
      </c>
      <c r="HG30" s="4"/>
      <c r="HN30" s="51">
        <v>1000</v>
      </c>
      <c r="II30" s="4"/>
      <c r="IP30" s="51">
        <v>1000</v>
      </c>
      <c r="JK30" s="4"/>
      <c r="JR30" s="51">
        <v>1000</v>
      </c>
      <c r="KM30" s="4"/>
      <c r="KT30" s="51">
        <v>1000</v>
      </c>
      <c r="LO30" s="4"/>
      <c r="LV30" s="51">
        <v>1000</v>
      </c>
      <c r="MQ30" s="4"/>
      <c r="MX30" s="51">
        <v>1000</v>
      </c>
      <c r="NS30" s="4"/>
      <c r="NZ30" s="51">
        <v>1000</v>
      </c>
      <c r="OU30" s="4"/>
      <c r="PB30" s="51">
        <v>1000</v>
      </c>
      <c r="PW30" s="4"/>
      <c r="QD30" s="51">
        <v>1000</v>
      </c>
    </row>
    <row r="31" spans="1:475" ht="17" hidden="1" x14ac:dyDescent="0.2">
      <c r="A31" s="5"/>
      <c r="B31" s="31" t="s">
        <v>55</v>
      </c>
      <c r="C31" s="20"/>
      <c r="R31" s="10"/>
      <c r="S31" s="10"/>
      <c r="T31" s="10"/>
      <c r="AP31" s="4"/>
      <c r="AW31" s="43">
        <v>1000</v>
      </c>
      <c r="BS31" s="4"/>
      <c r="BZ31" s="43">
        <v>1000</v>
      </c>
      <c r="CV31" s="4"/>
      <c r="DC31" s="43">
        <v>1000</v>
      </c>
      <c r="EA31" s="4"/>
      <c r="EH31" s="43">
        <v>1000</v>
      </c>
      <c r="FC31" s="4"/>
      <c r="FJ31" s="43">
        <v>1000</v>
      </c>
      <c r="GE31" s="4"/>
      <c r="GL31" s="43">
        <v>1000</v>
      </c>
      <c r="HG31" s="4"/>
      <c r="HN31" s="43">
        <v>1000</v>
      </c>
      <c r="II31" s="4"/>
      <c r="IP31" s="43">
        <v>1000</v>
      </c>
      <c r="JK31" s="4"/>
      <c r="JR31" s="43">
        <v>1000</v>
      </c>
      <c r="KM31" s="4"/>
      <c r="KT31" s="43">
        <v>1000</v>
      </c>
      <c r="LO31" s="4"/>
      <c r="LV31" s="43">
        <v>1000</v>
      </c>
      <c r="MQ31" s="4"/>
      <c r="MX31" s="43">
        <v>1000</v>
      </c>
      <c r="NS31" s="4"/>
      <c r="NZ31" s="43">
        <v>1000</v>
      </c>
      <c r="OU31" s="4"/>
      <c r="PB31" s="43">
        <v>1000</v>
      </c>
      <c r="PW31" s="4"/>
      <c r="QD31" s="43">
        <v>1000</v>
      </c>
    </row>
    <row r="32" spans="1:475" ht="17" hidden="1" x14ac:dyDescent="0.2">
      <c r="A32" s="5"/>
      <c r="B32" s="35" t="s">
        <v>62</v>
      </c>
      <c r="C32" s="20"/>
      <c r="R32" s="10"/>
      <c r="S32" s="10"/>
      <c r="T32" s="10"/>
      <c r="AP32" s="4"/>
      <c r="AW32" s="62">
        <v>1000</v>
      </c>
      <c r="BS32" s="4"/>
      <c r="BZ32" s="62">
        <v>1000</v>
      </c>
      <c r="CV32" s="4"/>
      <c r="DC32" s="62">
        <v>1000</v>
      </c>
      <c r="EA32" s="4"/>
      <c r="EH32" s="62">
        <v>1000</v>
      </c>
      <c r="FC32" s="4"/>
      <c r="FJ32" s="62">
        <v>1000</v>
      </c>
      <c r="GE32" s="4"/>
      <c r="GL32" s="62">
        <v>1000</v>
      </c>
      <c r="HG32" s="4"/>
      <c r="HN32" s="62">
        <v>1000</v>
      </c>
      <c r="II32" s="4"/>
      <c r="IP32" s="62">
        <v>1000</v>
      </c>
      <c r="JK32" s="4"/>
      <c r="JR32" s="62">
        <v>1000</v>
      </c>
      <c r="KM32" s="4"/>
      <c r="KT32" s="62">
        <v>1000</v>
      </c>
      <c r="LO32" s="4"/>
      <c r="LV32" s="62">
        <v>1000</v>
      </c>
      <c r="MQ32" s="4"/>
      <c r="MX32" s="62">
        <v>1000</v>
      </c>
      <c r="NS32" s="4"/>
      <c r="NZ32" s="62">
        <v>1000</v>
      </c>
      <c r="OU32" s="4"/>
      <c r="PB32" s="62">
        <v>1000</v>
      </c>
      <c r="PW32" s="4"/>
      <c r="QD32" s="62">
        <v>1000</v>
      </c>
    </row>
    <row r="33" spans="1:456" ht="17" x14ac:dyDescent="0.2">
      <c r="A33" s="5"/>
      <c r="B33" s="34" t="s">
        <v>41</v>
      </c>
      <c r="C33" s="20"/>
      <c r="R33" s="10"/>
      <c r="S33" s="10"/>
      <c r="T33" s="10"/>
      <c r="AP33" s="4"/>
      <c r="AW33" s="63">
        <v>46.8</v>
      </c>
      <c r="BS33" s="4"/>
      <c r="BZ33" s="63">
        <v>46.8</v>
      </c>
      <c r="CV33" s="4"/>
      <c r="DC33" s="63">
        <v>46.5</v>
      </c>
      <c r="EA33" s="4"/>
      <c r="EH33" s="63">
        <v>46.8</v>
      </c>
      <c r="FC33" s="4"/>
      <c r="FJ33" s="63">
        <v>46.8</v>
      </c>
      <c r="GE33" s="4"/>
      <c r="GL33" s="63">
        <v>46.8</v>
      </c>
      <c r="HG33" s="4"/>
      <c r="HN33" s="63">
        <v>46.8</v>
      </c>
      <c r="II33" s="4"/>
      <c r="IP33" s="63">
        <v>46.8</v>
      </c>
      <c r="JK33" s="4"/>
      <c r="JR33" s="63">
        <v>46.8</v>
      </c>
      <c r="KM33" s="4"/>
      <c r="KT33" s="63">
        <v>46.8</v>
      </c>
      <c r="LO33" s="4"/>
      <c r="LV33" s="63">
        <v>46.5</v>
      </c>
      <c r="MQ33" s="4"/>
      <c r="MX33" s="63">
        <v>46.5</v>
      </c>
      <c r="NS33" s="4"/>
      <c r="NZ33" s="63">
        <v>46.5</v>
      </c>
      <c r="OU33" s="4"/>
      <c r="PB33" s="63">
        <v>46.5</v>
      </c>
      <c r="PW33" s="4"/>
      <c r="QD33" s="63">
        <v>46.5</v>
      </c>
    </row>
    <row r="34" spans="1:456" ht="17" hidden="1" x14ac:dyDescent="0.2">
      <c r="A34" s="5"/>
      <c r="B34" s="24" t="s">
        <v>42</v>
      </c>
      <c r="C34" s="20"/>
      <c r="R34" s="10"/>
      <c r="S34" s="10"/>
      <c r="T34" s="10"/>
      <c r="AP34" s="4"/>
      <c r="AW34" s="46">
        <v>1000</v>
      </c>
      <c r="BS34" s="4"/>
      <c r="BZ34" s="46">
        <v>1000</v>
      </c>
      <c r="CV34" s="4"/>
      <c r="DC34" s="46">
        <v>1000</v>
      </c>
      <c r="EA34" s="4"/>
      <c r="EH34" s="46">
        <v>1000</v>
      </c>
      <c r="FC34" s="4"/>
      <c r="FJ34" s="46">
        <v>1000</v>
      </c>
      <c r="GE34" s="4"/>
      <c r="GL34" s="46">
        <v>1000</v>
      </c>
      <c r="HG34" s="4"/>
      <c r="HN34" s="46">
        <v>1000</v>
      </c>
      <c r="II34" s="4"/>
      <c r="IP34" s="46">
        <v>1000</v>
      </c>
      <c r="JK34" s="4"/>
      <c r="JR34" s="46">
        <v>1000</v>
      </c>
      <c r="KM34" s="4"/>
      <c r="KT34" s="46">
        <v>1000</v>
      </c>
      <c r="LO34" s="4"/>
      <c r="LV34" s="46">
        <v>1000</v>
      </c>
      <c r="MQ34" s="4"/>
      <c r="MX34" s="46">
        <v>1000</v>
      </c>
      <c r="NS34" s="4"/>
      <c r="NZ34" s="46">
        <v>1000</v>
      </c>
      <c r="OU34" s="4"/>
      <c r="PB34" s="46">
        <v>1000</v>
      </c>
      <c r="PW34" s="4"/>
      <c r="QD34" s="46">
        <v>1000</v>
      </c>
    </row>
    <row r="35" spans="1:456" ht="17" hidden="1" x14ac:dyDescent="0.2">
      <c r="A35" s="5"/>
      <c r="B35" s="33" t="s">
        <v>54</v>
      </c>
      <c r="C35" s="20"/>
      <c r="R35" s="10"/>
      <c r="S35" s="10"/>
      <c r="T35" s="10"/>
      <c r="AP35" s="4"/>
      <c r="AW35" s="47">
        <v>1000</v>
      </c>
      <c r="BS35" s="4"/>
      <c r="BZ35" s="47">
        <v>1000</v>
      </c>
      <c r="CV35" s="4"/>
      <c r="DC35" s="47">
        <v>1000</v>
      </c>
      <c r="EA35" s="4"/>
      <c r="EH35" s="47">
        <v>1000</v>
      </c>
      <c r="FC35" s="4"/>
      <c r="FJ35" s="47">
        <v>1000</v>
      </c>
      <c r="GE35" s="4"/>
      <c r="GL35" s="47">
        <v>1000</v>
      </c>
      <c r="HG35" s="4"/>
      <c r="HN35" s="47">
        <v>1000</v>
      </c>
      <c r="II35" s="4"/>
      <c r="IP35" s="47">
        <v>1000</v>
      </c>
      <c r="JK35" s="4"/>
      <c r="JR35" s="47">
        <v>1000</v>
      </c>
      <c r="KM35" s="4"/>
      <c r="KT35" s="47">
        <v>1000</v>
      </c>
      <c r="LO35" s="4"/>
      <c r="LV35" s="47">
        <v>1000</v>
      </c>
      <c r="MQ35" s="4"/>
      <c r="MX35" s="47">
        <v>1000</v>
      </c>
      <c r="NS35" s="4"/>
      <c r="NZ35" s="47">
        <v>1000</v>
      </c>
      <c r="OU35" s="4"/>
      <c r="PB35" s="47">
        <v>1000</v>
      </c>
      <c r="PW35" s="4"/>
      <c r="QD35" s="47">
        <v>1000</v>
      </c>
    </row>
    <row r="36" spans="1:456" ht="17" hidden="1" x14ac:dyDescent="0.2">
      <c r="A36" s="5"/>
      <c r="B36" s="25" t="s">
        <v>27</v>
      </c>
      <c r="C36" s="20"/>
      <c r="R36" s="10"/>
      <c r="S36" s="10"/>
      <c r="T36" s="10"/>
      <c r="AP36" s="4"/>
      <c r="AW36" s="48">
        <v>1000</v>
      </c>
      <c r="BS36" s="4"/>
      <c r="BZ36" s="48">
        <v>1000</v>
      </c>
      <c r="CV36" s="4"/>
      <c r="DC36" s="48">
        <v>1000</v>
      </c>
      <c r="EA36" s="4"/>
      <c r="EH36" s="48">
        <v>1000</v>
      </c>
      <c r="FC36" s="4"/>
      <c r="FJ36" s="48">
        <v>1000</v>
      </c>
      <c r="GE36" s="4"/>
      <c r="GL36" s="48">
        <v>1000</v>
      </c>
      <c r="HG36" s="4"/>
      <c r="HN36" s="48">
        <v>1000</v>
      </c>
      <c r="II36" s="4"/>
      <c r="IP36" s="48">
        <v>1000</v>
      </c>
      <c r="JK36" s="4"/>
      <c r="JR36" s="48">
        <v>1000</v>
      </c>
      <c r="KM36" s="4"/>
      <c r="KT36" s="48">
        <v>1000</v>
      </c>
      <c r="LO36" s="4"/>
      <c r="LV36" s="48">
        <v>1000</v>
      </c>
      <c r="MQ36" s="4"/>
      <c r="MX36" s="48">
        <v>1000</v>
      </c>
      <c r="NS36" s="4"/>
      <c r="NZ36" s="48">
        <v>1000</v>
      </c>
      <c r="OU36" s="4"/>
      <c r="PB36" s="48">
        <v>1000</v>
      </c>
      <c r="PW36" s="4"/>
      <c r="QD36" s="48">
        <v>1000</v>
      </c>
    </row>
    <row r="37" spans="1:456" x14ac:dyDescent="0.2">
      <c r="B37" s="29" t="s">
        <v>47</v>
      </c>
      <c r="C37" s="2"/>
    </row>
    <row r="38" spans="1:456" x14ac:dyDescent="0.2">
      <c r="A38" s="5"/>
      <c r="B38" s="5"/>
      <c r="C38" s="20"/>
      <c r="QF38" s="2"/>
      <c r="QG38" s="2"/>
      <c r="QH38" s="2"/>
      <c r="QI38" s="2"/>
      <c r="QJ38" s="2"/>
      <c r="QK38" s="2"/>
      <c r="QL38" s="2"/>
      <c r="QM38" s="2"/>
      <c r="QN38" s="2"/>
    </row>
    <row r="39" spans="1:456" x14ac:dyDescent="0.2">
      <c r="A39" s="5"/>
      <c r="B39" s="5"/>
      <c r="C39" s="20"/>
    </row>
    <row r="40" spans="1:456" x14ac:dyDescent="0.2">
      <c r="A40" s="5"/>
      <c r="B40" s="5"/>
      <c r="C40" s="20"/>
    </row>
    <row r="41" spans="1:456" x14ac:dyDescent="0.2">
      <c r="A41" s="5"/>
      <c r="B41" s="5"/>
      <c r="C41" s="5"/>
    </row>
  </sheetData>
  <sheetProtection sheet="1" formatCells="0" formatColumns="0" formatRows="0"/>
  <autoFilter ref="A1:RG12" xr:uid="{BB9C3AB3-2D15-174E-B900-3E2F789706E1}"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7" showButton="0"/>
    <filterColumn colId="108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sortState xmlns:xlrd2="http://schemas.microsoft.com/office/spreadsheetml/2017/richdata2" ref="A6:RG26">
      <sortCondition descending="1" ref="F1:F27"/>
    </sortState>
  </autoFilter>
  <mergeCells count="117">
    <mergeCell ref="QI2:QL2"/>
    <mergeCell ref="QM2:QP2"/>
    <mergeCell ref="QQ2:QT2"/>
    <mergeCell ref="QU2:QX2"/>
    <mergeCell ref="PC2:PF2"/>
    <mergeCell ref="PG2:PJ2"/>
    <mergeCell ref="PK2:PN2"/>
    <mergeCell ref="PO2:PR2"/>
    <mergeCell ref="PS2:PV2"/>
    <mergeCell ref="QE2:QH2"/>
    <mergeCell ref="NO2:NR2"/>
    <mergeCell ref="OA2:OD2"/>
    <mergeCell ref="OE2:OH2"/>
    <mergeCell ref="OI2:OL2"/>
    <mergeCell ref="OM2:OP2"/>
    <mergeCell ref="OQ2:OT2"/>
    <mergeCell ref="MI2:ML2"/>
    <mergeCell ref="MM2:MP2"/>
    <mergeCell ref="MY2:NB2"/>
    <mergeCell ref="NC2:NF2"/>
    <mergeCell ref="NG2:NJ2"/>
    <mergeCell ref="NK2:NN2"/>
    <mergeCell ref="LG2:LJ2"/>
    <mergeCell ref="LK2:LN2"/>
    <mergeCell ref="LW2:LZ2"/>
    <mergeCell ref="MA2:MD2"/>
    <mergeCell ref="ME2:MH2"/>
    <mergeCell ref="JW2:JZ2"/>
    <mergeCell ref="KA2:KD2"/>
    <mergeCell ref="KE2:KH2"/>
    <mergeCell ref="KI2:KL2"/>
    <mergeCell ref="KU2:KX2"/>
    <mergeCell ref="KY2:LB2"/>
    <mergeCell ref="JG2:JJ2"/>
    <mergeCell ref="JS2:JV2"/>
    <mergeCell ref="HC2:HF2"/>
    <mergeCell ref="HO2:HR2"/>
    <mergeCell ref="HS2:HV2"/>
    <mergeCell ref="HW2:HZ2"/>
    <mergeCell ref="IA2:ID2"/>
    <mergeCell ref="IE2:IH2"/>
    <mergeCell ref="LC2:LF2"/>
    <mergeCell ref="EU2:EX2"/>
    <mergeCell ref="EY2:FB2"/>
    <mergeCell ref="FK2:FN2"/>
    <mergeCell ref="FO2:FR2"/>
    <mergeCell ref="FS2:FV2"/>
    <mergeCell ref="IQ2:IT2"/>
    <mergeCell ref="IU2:IX2"/>
    <mergeCell ref="IY2:JB2"/>
    <mergeCell ref="JC2:JF2"/>
    <mergeCell ref="QE1:RG1"/>
    <mergeCell ref="U2:X2"/>
    <mergeCell ref="Y2:AB2"/>
    <mergeCell ref="AC2:AF2"/>
    <mergeCell ref="AG2:AJ2"/>
    <mergeCell ref="AK2:AN2"/>
    <mergeCell ref="AX2:BA2"/>
    <mergeCell ref="BB2:BE2"/>
    <mergeCell ref="HO1:IP1"/>
    <mergeCell ref="IQ1:JR1"/>
    <mergeCell ref="JS1:KT1"/>
    <mergeCell ref="KU1:LV1"/>
    <mergeCell ref="LW1:MX1"/>
    <mergeCell ref="MY1:NZ1"/>
    <mergeCell ref="CA1:DC1"/>
    <mergeCell ref="DD1:DF1"/>
    <mergeCell ref="DG1:EH1"/>
    <mergeCell ref="EI1:FJ1"/>
    <mergeCell ref="FK1:GL1"/>
    <mergeCell ref="GM1:HN1"/>
    <mergeCell ref="DK2:DN2"/>
    <mergeCell ref="DO2:DR2"/>
    <mergeCell ref="DS2:DV2"/>
    <mergeCell ref="DW2:DZ2"/>
    <mergeCell ref="S1:S3"/>
    <mergeCell ref="T1:T3"/>
    <mergeCell ref="U1:AW1"/>
    <mergeCell ref="AX1:BZ1"/>
    <mergeCell ref="BF2:BI2"/>
    <mergeCell ref="BJ2:BM2"/>
    <mergeCell ref="BN2:BQ2"/>
    <mergeCell ref="OA1:PB1"/>
    <mergeCell ref="PC1:QD1"/>
    <mergeCell ref="EI2:EL2"/>
    <mergeCell ref="EM2:EP2"/>
    <mergeCell ref="CA2:CD2"/>
    <mergeCell ref="CE2:CH2"/>
    <mergeCell ref="CI2:CL2"/>
    <mergeCell ref="CM2:CP2"/>
    <mergeCell ref="CQ2:CT2"/>
    <mergeCell ref="DG2:DJ2"/>
    <mergeCell ref="FW2:FZ2"/>
    <mergeCell ref="GA2:GD2"/>
    <mergeCell ref="GM2:GP2"/>
    <mergeCell ref="GQ2:GT2"/>
    <mergeCell ref="GU2:GX2"/>
    <mergeCell ref="GY2:HB2"/>
    <mergeCell ref="EQ2:ET2"/>
    <mergeCell ref="P1:P3"/>
    <mergeCell ref="G1:G3"/>
    <mergeCell ref="H1:H3"/>
    <mergeCell ref="I1:I3"/>
    <mergeCell ref="J1:J3"/>
    <mergeCell ref="K1:K3"/>
    <mergeCell ref="L1:L3"/>
    <mergeCell ref="Q1:Q3"/>
    <mergeCell ref="R1:R3"/>
    <mergeCell ref="A1:A3"/>
    <mergeCell ref="B1:B3"/>
    <mergeCell ref="C1:C3"/>
    <mergeCell ref="D1:D3"/>
    <mergeCell ref="E1:E3"/>
    <mergeCell ref="F1:F3"/>
    <mergeCell ref="M1:M3"/>
    <mergeCell ref="N1:N3"/>
    <mergeCell ref="O1:O3"/>
  </mergeCells>
  <conditionalFormatting sqref="U4:AW26">
    <cfRule type="expression" dxfId="27" priority="5" stopIfTrue="1">
      <formula>IF($AO4&lt;&gt;"",1,0)</formula>
    </cfRule>
  </conditionalFormatting>
  <conditionalFormatting sqref="AX4:BZ26">
    <cfRule type="expression" dxfId="26" priority="10" stopIfTrue="1">
      <formula>IF($BR4&lt;&gt;"",1,0)</formula>
    </cfRule>
  </conditionalFormatting>
  <conditionalFormatting sqref="M1:M3 O1:O3 K1:K1048576 Q1:Q1048576 M4:O1048576">
    <cfRule type="expression" dxfId="25" priority="17">
      <formula>IF(K1=$CA$1,1,0)</formula>
    </cfRule>
    <cfRule type="expression" dxfId="24" priority="18">
      <formula>IF(K1=$AX$1,1,0)</formula>
    </cfRule>
    <cfRule type="expression" dxfId="23" priority="19">
      <formula>IF(K1=$U$1,1,0)</formula>
    </cfRule>
  </conditionalFormatting>
  <conditionalFormatting sqref="CA4:DC26">
    <cfRule type="expression" dxfId="22" priority="11" stopIfTrue="1">
      <formula>IF($CU4&lt;&gt;"",1,0)</formula>
    </cfRule>
  </conditionalFormatting>
  <conditionalFormatting sqref="A1:A1048576">
    <cfRule type="expression" dxfId="21" priority="20">
      <formula>AND(G1="P",F1="")</formula>
    </cfRule>
  </conditionalFormatting>
  <conditionalFormatting sqref="H1:H1048576">
    <cfRule type="containsText" dxfId="20" priority="12" operator="containsText" text="No DD">
      <formula>NOT(ISERROR(SEARCH("No DD",H1)))</formula>
    </cfRule>
    <cfRule type="containsText" dxfId="19" priority="13" operator="containsText" text="Merit">
      <formula>NOT(ISERROR(SEARCH("Merit",H1)))</formula>
    </cfRule>
    <cfRule type="containsText" dxfId="18" priority="14" operator="containsText" text="Excellence">
      <formula>NOT(ISERROR(SEARCH("Excellence",H1)))</formula>
    </cfRule>
    <cfRule type="containsText" dxfId="17" priority="15" operator="containsText" text="Worlds Team">
      <formula>NOT(ISERROR(SEARCH("Worlds Team",H1)))</formula>
    </cfRule>
    <cfRule type="containsText" dxfId="16" priority="16" operator="containsText" text="National Team">
      <formula>NOT(ISERROR(SEARCH("National Team",H1)))</formula>
    </cfRule>
  </conditionalFormatting>
  <conditionalFormatting sqref="AT37:AT1048576 BW37:BW1048576 EE37:EE1048576 BW1:BW35 CZ1:CZ1048576 EE1:EE35 FG1:FG1048576 GI1:GI1048576 HK1:HK1048576 IM1:IM1048576 JO1:JO1048576 KQ1:KQ1048576 LS1:LS1048576 MU1:MU1048576 NW1:NW1048576 OY1:OY1048576 QA1:QA1048576 AT1:AT35">
    <cfRule type="cellIs" dxfId="15" priority="60352" operator="between">
      <formula>AW$36</formula>
      <formula>1000</formula>
    </cfRule>
    <cfRule type="cellIs" dxfId="14" priority="60353" operator="between">
      <formula>AW$35</formula>
      <formula>AW$36</formula>
    </cfRule>
    <cfRule type="cellIs" dxfId="13" priority="60354" operator="between">
      <formula>AW$34</formula>
      <formula>AW$35</formula>
    </cfRule>
  </conditionalFormatting>
  <conditionalFormatting sqref="PW1:PW1048576 AP1:AP1048576 BS1:BS1048576 CV1:CV1048576 EA1:EA1048576 FC1:FC1048576 GE1:GE1048576 HG1:HG1048576 II1:II1048576 JK1:JK1048576 KM1:KM1048576 LO1:LO1048576 MQ1:MQ1048576 NS1:NS1048576 OU1:OU1048576">
    <cfRule type="cellIs" dxfId="12" priority="100079" operator="between">
      <formula>AW$29</formula>
      <formula>1000</formula>
    </cfRule>
  </conditionalFormatting>
  <conditionalFormatting sqref="PX1:PX1048576 AQ1:AQ1048576 BT1:BT1048576 CW1:CW1048576 EB1:EB1048576 FD1:FD1048576 GF1:GF1048576 HH1:HH1048576 IJ1:IJ1048576 JL1:JL1048576 KN1:KN1048576 LP1:LP1048576 MR1:MR1048576 NT1:NT1048576 OV1:OV1048576">
    <cfRule type="cellIs" dxfId="11" priority="100124" operator="between">
      <formula>AW$33</formula>
      <formula>1000</formula>
    </cfRule>
  </conditionalFormatting>
  <conditionalFormatting sqref="AU1:AU1048576 BX1:BX1048576 DA1:DA1048576 EF1:EF1048576 FH1:FH1048576 GJ1:GJ1048576 HL1:HL1048576 IN1:IN1048576 JP1:JP1048576 KR1:KR1048576 LT1:LT1048576 MV1:MV1048576 NX1:NX1048576 OZ1:OZ1048576 QB1:QB1048576">
    <cfRule type="cellIs" dxfId="10" priority="100169" operator="between">
      <formula>AW$29</formula>
      <formula>AW$30</formula>
    </cfRule>
    <cfRule type="cellIs" dxfId="9" priority="100170" operator="between">
      <formula>AW$30</formula>
      <formula>AW$31</formula>
    </cfRule>
    <cfRule type="cellIs" dxfId="8" priority="100171" operator="between">
      <formula>AW$31</formula>
      <formula>AW$32</formula>
    </cfRule>
    <cfRule type="cellIs" dxfId="7" priority="100172" operator="between">
      <formula>AW$32</formula>
      <formula>1000</formula>
    </cfRule>
  </conditionalFormatting>
  <conditionalFormatting sqref="AV1:AV1048576 BY1:BY1048576 DB1:DB1048576 EG1:EG1048576 FI1:FI1048576 GK1:GK1048576 HM1:HM1048576 IO1:IO1048576 JQ1:JQ1048576 KS1:KS1048576 LU1:LU1048576 MW1:MW1048576 NY1:NY1048576 PA1:PA1048576 QC1:QC1048576">
    <cfRule type="cellIs" dxfId="6" priority="100349" operator="between">
      <formula>AW$33</formula>
      <formula>AW$34</formula>
    </cfRule>
    <cfRule type="cellIs" dxfId="5" priority="100350" operator="between">
      <formula>AW$34</formula>
      <formula>AW$35</formula>
    </cfRule>
    <cfRule type="cellIs" dxfId="4" priority="100351" operator="between">
      <formula>AW$35</formula>
      <formula>AW$36</formula>
    </cfRule>
    <cfRule type="cellIs" dxfId="3" priority="100352" operator="between">
      <formula>AW$36</formula>
      <formula>1000</formula>
    </cfRule>
  </conditionalFormatting>
  <conditionalFormatting sqref="AS1:AS1048576 BV1:BV1048576 CY1:CY1048576 FF1:FF1048576 GH1:GH1048576 HJ1:HJ1048576 IL1:IL1048576 JN1:JN1048576 KP1:KP1048576 LR1:LR1048576 MT1:MT1048576 NV1:NV1048576 OX1:OX1048576 PZ1:PZ1048576 ED1:ED1048576">
    <cfRule type="cellIs" dxfId="2" priority="100529" operator="between">
      <formula>AW$32</formula>
      <formula>1000</formula>
    </cfRule>
    <cfRule type="cellIs" dxfId="1" priority="100530" operator="between">
      <formula>AW$31</formula>
      <formula>AW$32</formula>
    </cfRule>
    <cfRule type="cellIs" dxfId="0" priority="100531" operator="between">
      <formula>AW$30</formula>
      <formula>AW$31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Info</vt:lpstr>
      <vt:lpstr>TRA-M</vt:lpstr>
      <vt:lpstr>TRA-W</vt:lpstr>
      <vt:lpstr>TUM-M</vt:lpstr>
      <vt:lpstr>TUM-W</vt:lpstr>
      <vt:lpstr>DMT-M</vt:lpstr>
      <vt:lpstr>DMT-W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Trevor Stirling</dc:creator>
  <cp:lastModifiedBy>Trevor Stirling</cp:lastModifiedBy>
  <dcterms:created xsi:type="dcterms:W3CDTF">2017-07-14T23:42:10Z</dcterms:created>
  <dcterms:modified xsi:type="dcterms:W3CDTF">2023-03-22T16:36:07Z</dcterms:modified>
</cp:coreProperties>
</file>