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Ranking Lists/Junior/"/>
    </mc:Choice>
  </mc:AlternateContent>
  <xr:revisionPtr revIDLastSave="0" documentId="13_ncr:1_{66C37CD0-F72D-8A4B-A5AC-B7DD4CA4967D}" xr6:coauthVersionLast="43" xr6:coauthVersionMax="43" xr10:uidLastSave="{00000000-0000-0000-0000-000000000000}"/>
  <bookViews>
    <workbookView xWindow="0" yWindow="460" windowWidth="3358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'TRA-M'!$A$1:$LV$3</definedName>
    <definedName name="_xlnm._FilterDatabase" localSheetId="2" hidden="1">'TRA-W'!$A$1:$LV$3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H15" i="2" l="1"/>
  <c r="DH14" i="2"/>
  <c r="DH13" i="2"/>
  <c r="DH12" i="2"/>
  <c r="DH11" i="2"/>
  <c r="DH10" i="2"/>
  <c r="DH9" i="2"/>
  <c r="DH8" i="2"/>
  <c r="DH7" i="2"/>
  <c r="DH6" i="2"/>
  <c r="DH5" i="2"/>
  <c r="DH4" i="2"/>
  <c r="EZ15" i="2"/>
  <c r="EZ14" i="2"/>
  <c r="EZ13" i="2"/>
  <c r="EZ12" i="2"/>
  <c r="EZ11" i="2"/>
  <c r="EZ10" i="2"/>
  <c r="EZ9" i="2"/>
  <c r="EZ8" i="2"/>
  <c r="EZ7" i="2"/>
  <c r="EZ6" i="2"/>
  <c r="EZ5" i="2"/>
  <c r="EZ4" i="2"/>
  <c r="GR15" i="2"/>
  <c r="GR14" i="2"/>
  <c r="GR13" i="2"/>
  <c r="GR12" i="2"/>
  <c r="GR11" i="2"/>
  <c r="GR10" i="2"/>
  <c r="GR9" i="2"/>
  <c r="GR8" i="2"/>
  <c r="GR7" i="2"/>
  <c r="GR6" i="2"/>
  <c r="GR5" i="2"/>
  <c r="GR4" i="2"/>
  <c r="IJ15" i="2"/>
  <c r="IJ14" i="2"/>
  <c r="IJ13" i="2"/>
  <c r="IJ12" i="2"/>
  <c r="IJ11" i="2"/>
  <c r="IJ10" i="2"/>
  <c r="IJ9" i="2"/>
  <c r="IJ8" i="2"/>
  <c r="IJ7" i="2"/>
  <c r="IJ6" i="2"/>
  <c r="IJ5" i="2"/>
  <c r="IJ4" i="2"/>
  <c r="KB15" i="2"/>
  <c r="KB14" i="2"/>
  <c r="KB13" i="2"/>
  <c r="KB12" i="2"/>
  <c r="KB11" i="2"/>
  <c r="KB10" i="2"/>
  <c r="KB9" i="2"/>
  <c r="KB8" i="2"/>
  <c r="KB7" i="2"/>
  <c r="KB6" i="2"/>
  <c r="KB5" i="2"/>
  <c r="KB4" i="2"/>
  <c r="LT15" i="2"/>
  <c r="LT14" i="2"/>
  <c r="LT13" i="2"/>
  <c r="LT12" i="2"/>
  <c r="LT11" i="2"/>
  <c r="LT10" i="2"/>
  <c r="LT9" i="2"/>
  <c r="LT8" i="2"/>
  <c r="LT7" i="2"/>
  <c r="LT6" i="2"/>
  <c r="LT5" i="2"/>
  <c r="LT4" i="2"/>
  <c r="KX15" i="2"/>
  <c r="KX14" i="2"/>
  <c r="KX13" i="2"/>
  <c r="KX12" i="2"/>
  <c r="KX11" i="2"/>
  <c r="KX10" i="2"/>
  <c r="KX9" i="2"/>
  <c r="KX8" i="2"/>
  <c r="KX7" i="2"/>
  <c r="KX6" i="2"/>
  <c r="KX5" i="2"/>
  <c r="KX4" i="2"/>
  <c r="JF15" i="2"/>
  <c r="JF14" i="2"/>
  <c r="JF13" i="2"/>
  <c r="JF12" i="2"/>
  <c r="JF11" i="2"/>
  <c r="JF10" i="2"/>
  <c r="JF9" i="2"/>
  <c r="JF8" i="2"/>
  <c r="JF7" i="2"/>
  <c r="JF6" i="2"/>
  <c r="JF5" i="2"/>
  <c r="JF4" i="2"/>
  <c r="HN15" i="2"/>
  <c r="HN14" i="2"/>
  <c r="HN13" i="2"/>
  <c r="HN12" i="2"/>
  <c r="HN11" i="2"/>
  <c r="HN10" i="2"/>
  <c r="HN9" i="2"/>
  <c r="HN8" i="2"/>
  <c r="HN7" i="2"/>
  <c r="HN6" i="2"/>
  <c r="HN5" i="2"/>
  <c r="HN4" i="2"/>
  <c r="FV15" i="2"/>
  <c r="FV14" i="2"/>
  <c r="FV13" i="2"/>
  <c r="FV12" i="2"/>
  <c r="FV11" i="2"/>
  <c r="FV10" i="2"/>
  <c r="FV9" i="2"/>
  <c r="FV8" i="2"/>
  <c r="FV7" i="2"/>
  <c r="FV6" i="2"/>
  <c r="FV5" i="2"/>
  <c r="FV4" i="2"/>
  <c r="ED15" i="2"/>
  <c r="ED14" i="2"/>
  <c r="ED13" i="2"/>
  <c r="ED12" i="2"/>
  <c r="ED11" i="2"/>
  <c r="ED10" i="2"/>
  <c r="ED9" i="2"/>
  <c r="ED8" i="2"/>
  <c r="ED7" i="2"/>
  <c r="ED6" i="2"/>
  <c r="ED5" i="2"/>
  <c r="ED4" i="2"/>
  <c r="CL5" i="2"/>
  <c r="CL6" i="2"/>
  <c r="CL7" i="2"/>
  <c r="CL8" i="2"/>
  <c r="CL9" i="2"/>
  <c r="CL10" i="2"/>
  <c r="CL11" i="2"/>
  <c r="CL12" i="2"/>
  <c r="CL13" i="2"/>
  <c r="CL14" i="2"/>
  <c r="CL15" i="2"/>
  <c r="CL4" i="2"/>
  <c r="BL15" i="2"/>
  <c r="BL14" i="2"/>
  <c r="BL13" i="2"/>
  <c r="BL12" i="2"/>
  <c r="BL11" i="2"/>
  <c r="BL10" i="2"/>
  <c r="BL9" i="2"/>
  <c r="BL8" i="2"/>
  <c r="BL7" i="2"/>
  <c r="BL6" i="2"/>
  <c r="BL5" i="2"/>
  <c r="BL4" i="2"/>
  <c r="AO5" i="2"/>
  <c r="AO6" i="2"/>
  <c r="AO7" i="2"/>
  <c r="AO8" i="2"/>
  <c r="AO9" i="2"/>
  <c r="AO10" i="2"/>
  <c r="AO11" i="2"/>
  <c r="AO12" i="2"/>
  <c r="AO13" i="2"/>
  <c r="AO14" i="2"/>
  <c r="AO15" i="2"/>
  <c r="AO4" i="2"/>
  <c r="LT23" i="4"/>
  <c r="LT22" i="4"/>
  <c r="LT17" i="4"/>
  <c r="LT21" i="4"/>
  <c r="LT20" i="4"/>
  <c r="LT19" i="4"/>
  <c r="LT18" i="4"/>
  <c r="LT16" i="4"/>
  <c r="LT15" i="4"/>
  <c r="LT14" i="4"/>
  <c r="LT13" i="4"/>
  <c r="LT12" i="4"/>
  <c r="LT11" i="4"/>
  <c r="LT10" i="4"/>
  <c r="LT9" i="4"/>
  <c r="LT8" i="4"/>
  <c r="LT7" i="4"/>
  <c r="LT6" i="4"/>
  <c r="LT5" i="4"/>
  <c r="LT4" i="4"/>
  <c r="KB23" i="4"/>
  <c r="KB22" i="4"/>
  <c r="KB17" i="4"/>
  <c r="KB21" i="4"/>
  <c r="KB20" i="4"/>
  <c r="KB19" i="4"/>
  <c r="KB18" i="4"/>
  <c r="KB16" i="4"/>
  <c r="KB15" i="4"/>
  <c r="KB14" i="4"/>
  <c r="KB13" i="4"/>
  <c r="KB12" i="4"/>
  <c r="KB11" i="4"/>
  <c r="KB10" i="4"/>
  <c r="KB9" i="4"/>
  <c r="KB8" i="4"/>
  <c r="KB7" i="4"/>
  <c r="KB6" i="4"/>
  <c r="KB5" i="4"/>
  <c r="KB4" i="4"/>
  <c r="IJ23" i="4"/>
  <c r="IJ22" i="4"/>
  <c r="IJ17" i="4"/>
  <c r="IJ21" i="4"/>
  <c r="IJ20" i="4"/>
  <c r="IJ19" i="4"/>
  <c r="IJ18" i="4"/>
  <c r="IJ16" i="4"/>
  <c r="IJ15" i="4"/>
  <c r="IJ14" i="4"/>
  <c r="IJ13" i="4"/>
  <c r="IJ12" i="4"/>
  <c r="IJ11" i="4"/>
  <c r="IJ10" i="4"/>
  <c r="IJ9" i="4"/>
  <c r="IJ8" i="4"/>
  <c r="IJ7" i="4"/>
  <c r="IJ6" i="4"/>
  <c r="IJ5" i="4"/>
  <c r="IJ4" i="4"/>
  <c r="GR23" i="4"/>
  <c r="GR22" i="4"/>
  <c r="GR17" i="4"/>
  <c r="GR21" i="4"/>
  <c r="GR20" i="4"/>
  <c r="GR19" i="4"/>
  <c r="GR18" i="4"/>
  <c r="GR16" i="4"/>
  <c r="GR15" i="4"/>
  <c r="GR14" i="4"/>
  <c r="GR13" i="4"/>
  <c r="GR12" i="4"/>
  <c r="GR11" i="4"/>
  <c r="GR10" i="4"/>
  <c r="GR9" i="4"/>
  <c r="GR8" i="4"/>
  <c r="GR7" i="4"/>
  <c r="GR6" i="4"/>
  <c r="GR5" i="4"/>
  <c r="GR4" i="4"/>
  <c r="EZ23" i="4"/>
  <c r="EZ22" i="4"/>
  <c r="EZ17" i="4"/>
  <c r="EZ21" i="4"/>
  <c r="EZ20" i="4"/>
  <c r="EZ19" i="4"/>
  <c r="EZ18" i="4"/>
  <c r="EZ16" i="4"/>
  <c r="EZ15" i="4"/>
  <c r="EZ14" i="4"/>
  <c r="EZ13" i="4"/>
  <c r="EZ12" i="4"/>
  <c r="EZ11" i="4"/>
  <c r="EZ10" i="4"/>
  <c r="EZ9" i="4"/>
  <c r="EZ8" i="4"/>
  <c r="EZ7" i="4"/>
  <c r="EZ6" i="4"/>
  <c r="EZ5" i="4"/>
  <c r="EZ4" i="4"/>
  <c r="KX23" i="4"/>
  <c r="KX22" i="4"/>
  <c r="KX17" i="4"/>
  <c r="KX21" i="4"/>
  <c r="KX20" i="4"/>
  <c r="KX19" i="4"/>
  <c r="KX18" i="4"/>
  <c r="KX16" i="4"/>
  <c r="KX15" i="4"/>
  <c r="KX14" i="4"/>
  <c r="KX13" i="4"/>
  <c r="KX12" i="4"/>
  <c r="KX11" i="4"/>
  <c r="KX10" i="4"/>
  <c r="KX9" i="4"/>
  <c r="KX8" i="4"/>
  <c r="KX7" i="4"/>
  <c r="KX6" i="4"/>
  <c r="KX5" i="4"/>
  <c r="KX4" i="4"/>
  <c r="JF23" i="4"/>
  <c r="JF22" i="4"/>
  <c r="JF17" i="4"/>
  <c r="JF21" i="4"/>
  <c r="JF20" i="4"/>
  <c r="JF19" i="4"/>
  <c r="JF18" i="4"/>
  <c r="JF16" i="4"/>
  <c r="JF15" i="4"/>
  <c r="JF14" i="4"/>
  <c r="JF13" i="4"/>
  <c r="JF12" i="4"/>
  <c r="JF11" i="4"/>
  <c r="JF10" i="4"/>
  <c r="JF9" i="4"/>
  <c r="JF8" i="4"/>
  <c r="JF7" i="4"/>
  <c r="JF6" i="4"/>
  <c r="JF5" i="4"/>
  <c r="JF4" i="4"/>
  <c r="HN23" i="4"/>
  <c r="HN22" i="4"/>
  <c r="HN17" i="4"/>
  <c r="HN21" i="4"/>
  <c r="HN20" i="4"/>
  <c r="HN19" i="4"/>
  <c r="HN18" i="4"/>
  <c r="HN16" i="4"/>
  <c r="HN15" i="4"/>
  <c r="HN14" i="4"/>
  <c r="HN13" i="4"/>
  <c r="HN12" i="4"/>
  <c r="HN11" i="4"/>
  <c r="HN10" i="4"/>
  <c r="HN9" i="4"/>
  <c r="HN8" i="4"/>
  <c r="HN7" i="4"/>
  <c r="HN6" i="4"/>
  <c r="HN5" i="4"/>
  <c r="HN4" i="4"/>
  <c r="FV23" i="4"/>
  <c r="FV22" i="4"/>
  <c r="FV17" i="4"/>
  <c r="FV21" i="4"/>
  <c r="FV20" i="4"/>
  <c r="FV19" i="4"/>
  <c r="FV18" i="4"/>
  <c r="FV16" i="4"/>
  <c r="FV15" i="4"/>
  <c r="FV14" i="4"/>
  <c r="FV13" i="4"/>
  <c r="FV12" i="4"/>
  <c r="FV11" i="4"/>
  <c r="FV10" i="4"/>
  <c r="FV9" i="4"/>
  <c r="FV8" i="4"/>
  <c r="FV7" i="4"/>
  <c r="FV6" i="4"/>
  <c r="FV5" i="4"/>
  <c r="FV4" i="4"/>
  <c r="ED23" i="4"/>
  <c r="ED22" i="4"/>
  <c r="ED17" i="4"/>
  <c r="ED21" i="4"/>
  <c r="ED20" i="4"/>
  <c r="ED19" i="4"/>
  <c r="ED18" i="4"/>
  <c r="ED16" i="4"/>
  <c r="ED15" i="4"/>
  <c r="ED14" i="4"/>
  <c r="ED13" i="4"/>
  <c r="ED12" i="4"/>
  <c r="ED11" i="4"/>
  <c r="ED10" i="4"/>
  <c r="ED9" i="4"/>
  <c r="ED8" i="4"/>
  <c r="ED7" i="4"/>
  <c r="ED6" i="4"/>
  <c r="ED5" i="4"/>
  <c r="ED4" i="4"/>
  <c r="DH23" i="4"/>
  <c r="DH22" i="4"/>
  <c r="DH17" i="4"/>
  <c r="DH21" i="4"/>
  <c r="DH20" i="4"/>
  <c r="DH19" i="4"/>
  <c r="DH18" i="4"/>
  <c r="DH16" i="4"/>
  <c r="DH15" i="4"/>
  <c r="DH14" i="4"/>
  <c r="DH13" i="4"/>
  <c r="DH12" i="4"/>
  <c r="DH11" i="4"/>
  <c r="DH10" i="4"/>
  <c r="DH9" i="4"/>
  <c r="DH8" i="4"/>
  <c r="DH7" i="4"/>
  <c r="DH6" i="4"/>
  <c r="DH5" i="4"/>
  <c r="DH4" i="4"/>
  <c r="CL5" i="4"/>
  <c r="CL6" i="4"/>
  <c r="CL7" i="4"/>
  <c r="CL8" i="4"/>
  <c r="CL9" i="4"/>
  <c r="CL10" i="4"/>
  <c r="CL11" i="4"/>
  <c r="CL12" i="4"/>
  <c r="CL13" i="4"/>
  <c r="CL14" i="4"/>
  <c r="CL15" i="4"/>
  <c r="CL16" i="4"/>
  <c r="CL18" i="4"/>
  <c r="CL19" i="4"/>
  <c r="CL20" i="4"/>
  <c r="CL21" i="4"/>
  <c r="CL17" i="4"/>
  <c r="CL22" i="4"/>
  <c r="CL23" i="4"/>
  <c r="CL4" i="4"/>
  <c r="BL23" i="4"/>
  <c r="BL22" i="4"/>
  <c r="BL17" i="4"/>
  <c r="BL21" i="4"/>
  <c r="BL20" i="4"/>
  <c r="BL19" i="4"/>
  <c r="BL18" i="4"/>
  <c r="BL16" i="4"/>
  <c r="BL15" i="4"/>
  <c r="BL14" i="4"/>
  <c r="BL13" i="4"/>
  <c r="BL12" i="4"/>
  <c r="BL11" i="4"/>
  <c r="BL10" i="4"/>
  <c r="BL9" i="4"/>
  <c r="BL8" i="4"/>
  <c r="BL7" i="4"/>
  <c r="BL6" i="4"/>
  <c r="BL5" i="4"/>
  <c r="BL4" i="4"/>
  <c r="AO5" i="4"/>
  <c r="AO6" i="4"/>
  <c r="AO7" i="4"/>
  <c r="AO8" i="4"/>
  <c r="AO9" i="4"/>
  <c r="AO10" i="4"/>
  <c r="AO11" i="4"/>
  <c r="AO12" i="4"/>
  <c r="AO13" i="4"/>
  <c r="AO14" i="4"/>
  <c r="AO15" i="4"/>
  <c r="AO16" i="4"/>
  <c r="AO18" i="4"/>
  <c r="AO19" i="4"/>
  <c r="AO20" i="4"/>
  <c r="AO21" i="4"/>
  <c r="AO17" i="4"/>
  <c r="AO22" i="4"/>
  <c r="AO23" i="4"/>
  <c r="AO4" i="4"/>
  <c r="AH8" i="8" l="1"/>
  <c r="AI8" i="8"/>
  <c r="AJ8" i="8"/>
  <c r="BC8" i="8"/>
  <c r="BD8" i="8"/>
  <c r="BE8" i="8"/>
  <c r="BF8" i="8" s="1"/>
  <c r="BY8" i="8"/>
  <c r="BZ8" i="8"/>
  <c r="CB8" i="8" s="1"/>
  <c r="CA8" i="8"/>
  <c r="CS8" i="8"/>
  <c r="CT8" i="8"/>
  <c r="CU8" i="8"/>
  <c r="DM8" i="8"/>
  <c r="DN8" i="8"/>
  <c r="DO8" i="8"/>
  <c r="EG8" i="8"/>
  <c r="EH8" i="8"/>
  <c r="EI8" i="8"/>
  <c r="FA8" i="8"/>
  <c r="FB8" i="8"/>
  <c r="FC8" i="8"/>
  <c r="FU8" i="8"/>
  <c r="FV8" i="8"/>
  <c r="FW8" i="8"/>
  <c r="GO8" i="8"/>
  <c r="GP8" i="8"/>
  <c r="GQ8" i="8"/>
  <c r="HI8" i="8"/>
  <c r="HJ8" i="8"/>
  <c r="HK8" i="8"/>
  <c r="IC8" i="8"/>
  <c r="ID8" i="8"/>
  <c r="IF8" i="8" s="1"/>
  <c r="IE8" i="8"/>
  <c r="IW8" i="8"/>
  <c r="IX8" i="8"/>
  <c r="IY8" i="8"/>
  <c r="JQ8" i="8"/>
  <c r="JR8" i="8"/>
  <c r="JS8" i="8"/>
  <c r="KK8" i="8"/>
  <c r="KL8" i="8"/>
  <c r="KM8" i="8"/>
  <c r="KO8" i="8"/>
  <c r="KP8" i="8"/>
  <c r="KQ8" i="8"/>
  <c r="KR8" i="8"/>
  <c r="KS8" i="8"/>
  <c r="KT8" i="8"/>
  <c r="KU8" i="8"/>
  <c r="KV8" i="8"/>
  <c r="KW8" i="8"/>
  <c r="KX8" i="8"/>
  <c r="KY8" i="8"/>
  <c r="KZ8" i="8"/>
  <c r="LA8" i="8"/>
  <c r="LB8" i="8"/>
  <c r="LC8" i="8"/>
  <c r="LD8" i="8"/>
  <c r="EJ8" i="8" l="1"/>
  <c r="FX8" i="8"/>
  <c r="JT8" i="8"/>
  <c r="CV8" i="8"/>
  <c r="AK8" i="8"/>
  <c r="DP8" i="8"/>
  <c r="FD8" i="8"/>
  <c r="KN8" i="8"/>
  <c r="GR8" i="8"/>
  <c r="IZ8" i="8"/>
  <c r="HL8" i="8"/>
  <c r="LF8" i="8"/>
  <c r="L8" i="8"/>
  <c r="M8" i="8" s="1"/>
  <c r="G8" i="8"/>
  <c r="LH8" i="8"/>
  <c r="LG8" i="8"/>
  <c r="H8" i="8"/>
  <c r="F8" i="8"/>
  <c r="J8" i="8"/>
  <c r="BH8" i="8" l="1"/>
  <c r="LI8" i="8"/>
  <c r="I8" i="8"/>
  <c r="A8" i="8"/>
  <c r="BG8" i="8"/>
  <c r="N8" i="8" s="1"/>
  <c r="K8" i="8"/>
  <c r="E8" i="8" l="1"/>
  <c r="O8" i="8"/>
  <c r="P8" i="8"/>
  <c r="LX4" i="2" l="1"/>
  <c r="LY4" i="2"/>
  <c r="LZ4" i="2"/>
  <c r="MA4" i="2"/>
  <c r="MB4" i="2"/>
  <c r="MC4" i="2"/>
  <c r="MD4" i="2"/>
  <c r="ME4" i="2"/>
  <c r="MF4" i="2"/>
  <c r="MG4" i="2"/>
  <c r="MH4" i="2"/>
  <c r="MI4" i="2"/>
  <c r="MQ4" i="2" s="1"/>
  <c r="MJ4" i="2"/>
  <c r="MK4" i="2"/>
  <c r="LX5" i="2"/>
  <c r="LY5" i="2"/>
  <c r="LZ5" i="2"/>
  <c r="MA5" i="2"/>
  <c r="MB5" i="2"/>
  <c r="MC5" i="2"/>
  <c r="MD5" i="2"/>
  <c r="ME5" i="2"/>
  <c r="MF5" i="2"/>
  <c r="MG5" i="2"/>
  <c r="MH5" i="2"/>
  <c r="MI5" i="2"/>
  <c r="MQ5" i="2" s="1"/>
  <c r="MJ5" i="2"/>
  <c r="MK5" i="2"/>
  <c r="LX6" i="2"/>
  <c r="LY6" i="2"/>
  <c r="LZ6" i="2"/>
  <c r="MA6" i="2"/>
  <c r="MB6" i="2"/>
  <c r="MC6" i="2"/>
  <c r="MD6" i="2"/>
  <c r="ME6" i="2"/>
  <c r="MF6" i="2"/>
  <c r="MG6" i="2"/>
  <c r="MH6" i="2"/>
  <c r="MI6" i="2"/>
  <c r="MQ6" i="2" s="1"/>
  <c r="MJ6" i="2"/>
  <c r="MK6" i="2"/>
  <c r="LX7" i="2"/>
  <c r="LY7" i="2"/>
  <c r="LZ7" i="2"/>
  <c r="MA7" i="2"/>
  <c r="MB7" i="2"/>
  <c r="MC7" i="2"/>
  <c r="MD7" i="2"/>
  <c r="ME7" i="2"/>
  <c r="MF7" i="2"/>
  <c r="MG7" i="2"/>
  <c r="MH7" i="2"/>
  <c r="MI7" i="2"/>
  <c r="MQ7" i="2" s="1"/>
  <c r="MJ7" i="2"/>
  <c r="MK7" i="2"/>
  <c r="LX8" i="2"/>
  <c r="LY8" i="2"/>
  <c r="LZ8" i="2"/>
  <c r="MA8" i="2"/>
  <c r="MB8" i="2"/>
  <c r="MC8" i="2"/>
  <c r="MD8" i="2"/>
  <c r="ME8" i="2"/>
  <c r="MF8" i="2"/>
  <c r="MG8" i="2"/>
  <c r="MH8" i="2"/>
  <c r="MI8" i="2"/>
  <c r="MQ8" i="2" s="1"/>
  <c r="MJ8" i="2"/>
  <c r="MK8" i="2"/>
  <c r="LX9" i="2"/>
  <c r="LY9" i="2"/>
  <c r="LZ9" i="2"/>
  <c r="MA9" i="2"/>
  <c r="MB9" i="2"/>
  <c r="MC9" i="2"/>
  <c r="MD9" i="2"/>
  <c r="ME9" i="2"/>
  <c r="MF9" i="2"/>
  <c r="MG9" i="2"/>
  <c r="MH9" i="2"/>
  <c r="MI9" i="2"/>
  <c r="MQ9" i="2" s="1"/>
  <c r="MJ9" i="2"/>
  <c r="MK9" i="2"/>
  <c r="LX10" i="2"/>
  <c r="LY10" i="2"/>
  <c r="LZ10" i="2"/>
  <c r="MA10" i="2"/>
  <c r="MB10" i="2"/>
  <c r="MC10" i="2"/>
  <c r="MD10" i="2"/>
  <c r="ME10" i="2"/>
  <c r="MF10" i="2"/>
  <c r="MG10" i="2"/>
  <c r="MH10" i="2"/>
  <c r="MI10" i="2"/>
  <c r="MQ10" i="2" s="1"/>
  <c r="MJ10" i="2"/>
  <c r="MK10" i="2"/>
  <c r="LX11" i="2"/>
  <c r="LY11" i="2"/>
  <c r="LZ11" i="2"/>
  <c r="MA11" i="2"/>
  <c r="MB11" i="2"/>
  <c r="MC11" i="2"/>
  <c r="MD11" i="2"/>
  <c r="ME11" i="2"/>
  <c r="MF11" i="2"/>
  <c r="MG11" i="2"/>
  <c r="MH11" i="2"/>
  <c r="MI11" i="2"/>
  <c r="MQ11" i="2" s="1"/>
  <c r="MJ11" i="2"/>
  <c r="MK11" i="2"/>
  <c r="LX12" i="2"/>
  <c r="LY12" i="2"/>
  <c r="LZ12" i="2"/>
  <c r="MA12" i="2"/>
  <c r="MB12" i="2"/>
  <c r="MC12" i="2"/>
  <c r="MD12" i="2"/>
  <c r="ME12" i="2"/>
  <c r="MF12" i="2"/>
  <c r="MG12" i="2"/>
  <c r="MH12" i="2"/>
  <c r="MI12" i="2"/>
  <c r="MQ12" i="2" s="1"/>
  <c r="MJ12" i="2"/>
  <c r="MK12" i="2"/>
  <c r="LX13" i="2"/>
  <c r="LY13" i="2"/>
  <c r="LZ13" i="2"/>
  <c r="MA13" i="2"/>
  <c r="MB13" i="2"/>
  <c r="MC13" i="2"/>
  <c r="MD13" i="2"/>
  <c r="ME13" i="2"/>
  <c r="MF13" i="2"/>
  <c r="MG13" i="2"/>
  <c r="MH13" i="2"/>
  <c r="MI13" i="2"/>
  <c r="MQ13" i="2" s="1"/>
  <c r="MJ13" i="2"/>
  <c r="MK13" i="2"/>
  <c r="LX14" i="2"/>
  <c r="LY14" i="2"/>
  <c r="LZ14" i="2"/>
  <c r="MA14" i="2"/>
  <c r="MB14" i="2"/>
  <c r="MC14" i="2"/>
  <c r="MD14" i="2"/>
  <c r="ME14" i="2"/>
  <c r="MF14" i="2"/>
  <c r="MG14" i="2"/>
  <c r="MH14" i="2"/>
  <c r="MI14" i="2"/>
  <c r="MQ14" i="2" s="1"/>
  <c r="MJ14" i="2"/>
  <c r="MK14" i="2"/>
  <c r="LX15" i="2"/>
  <c r="LY15" i="2"/>
  <c r="LZ15" i="2"/>
  <c r="MA15" i="2"/>
  <c r="MB15" i="2"/>
  <c r="MC15" i="2"/>
  <c r="MD15" i="2"/>
  <c r="ME15" i="2"/>
  <c r="MF15" i="2"/>
  <c r="MG15" i="2"/>
  <c r="MH15" i="2"/>
  <c r="MI15" i="2"/>
  <c r="MQ15" i="2" s="1"/>
  <c r="MJ15" i="2"/>
  <c r="MK15" i="2"/>
  <c r="LW5" i="2"/>
  <c r="LW6" i="2"/>
  <c r="LW7" i="2"/>
  <c r="LW8" i="2"/>
  <c r="LW9" i="2"/>
  <c r="LW10" i="2"/>
  <c r="LW11" i="2"/>
  <c r="LW12" i="2"/>
  <c r="LW13" i="2"/>
  <c r="LW14" i="2"/>
  <c r="LW15" i="2"/>
  <c r="LW4" i="2"/>
  <c r="KP4" i="7"/>
  <c r="KQ4" i="7"/>
  <c r="KR4" i="7"/>
  <c r="KS4" i="7"/>
  <c r="KT4" i="7"/>
  <c r="KU4" i="7"/>
  <c r="KV4" i="7"/>
  <c r="KW4" i="7"/>
  <c r="KX4" i="7"/>
  <c r="KY4" i="7"/>
  <c r="KZ4" i="7"/>
  <c r="LA4" i="7"/>
  <c r="LB4" i="7"/>
  <c r="LC4" i="7"/>
  <c r="LD4" i="7"/>
  <c r="KP5" i="7"/>
  <c r="KQ5" i="7"/>
  <c r="KR5" i="7"/>
  <c r="KS5" i="7"/>
  <c r="KT5" i="7"/>
  <c r="KU5" i="7"/>
  <c r="KV5" i="7"/>
  <c r="KW5" i="7"/>
  <c r="KX5" i="7"/>
  <c r="KY5" i="7"/>
  <c r="KZ5" i="7"/>
  <c r="LA5" i="7"/>
  <c r="LB5" i="7"/>
  <c r="LC5" i="7"/>
  <c r="LD5" i="7"/>
  <c r="KP6" i="7"/>
  <c r="KQ6" i="7"/>
  <c r="KR6" i="7"/>
  <c r="KS6" i="7"/>
  <c r="KT6" i="7"/>
  <c r="KU6" i="7"/>
  <c r="KV6" i="7"/>
  <c r="KW6" i="7"/>
  <c r="KX6" i="7"/>
  <c r="KY6" i="7"/>
  <c r="KZ6" i="7"/>
  <c r="LA6" i="7"/>
  <c r="LB6" i="7"/>
  <c r="LC6" i="7"/>
  <c r="LD6" i="7"/>
  <c r="KP7" i="7"/>
  <c r="KQ7" i="7"/>
  <c r="KR7" i="7"/>
  <c r="KS7" i="7"/>
  <c r="KT7" i="7"/>
  <c r="KU7" i="7"/>
  <c r="KV7" i="7"/>
  <c r="KW7" i="7"/>
  <c r="KX7" i="7"/>
  <c r="KY7" i="7"/>
  <c r="KZ7" i="7"/>
  <c r="LA7" i="7"/>
  <c r="LB7" i="7"/>
  <c r="LC7" i="7"/>
  <c r="LD7" i="7"/>
  <c r="KP8" i="7"/>
  <c r="KQ8" i="7"/>
  <c r="KR8" i="7"/>
  <c r="KS8" i="7"/>
  <c r="KT8" i="7"/>
  <c r="KU8" i="7"/>
  <c r="KV8" i="7"/>
  <c r="KW8" i="7"/>
  <c r="KX8" i="7"/>
  <c r="KY8" i="7"/>
  <c r="KZ8" i="7"/>
  <c r="LA8" i="7"/>
  <c r="LB8" i="7"/>
  <c r="LC8" i="7"/>
  <c r="LD8" i="7"/>
  <c r="KP9" i="7"/>
  <c r="KQ9" i="7"/>
  <c r="KR9" i="7"/>
  <c r="KS9" i="7"/>
  <c r="KT9" i="7"/>
  <c r="KU9" i="7"/>
  <c r="KV9" i="7"/>
  <c r="KW9" i="7"/>
  <c r="KX9" i="7"/>
  <c r="KY9" i="7"/>
  <c r="KZ9" i="7"/>
  <c r="LA9" i="7"/>
  <c r="LB9" i="7"/>
  <c r="LC9" i="7"/>
  <c r="LD9" i="7"/>
  <c r="KO5" i="7"/>
  <c r="KO6" i="7"/>
  <c r="KO7" i="7"/>
  <c r="KO8" i="7"/>
  <c r="KO9" i="7"/>
  <c r="KO4" i="7"/>
  <c r="KP4" i="8"/>
  <c r="KQ4" i="8"/>
  <c r="KR4" i="8"/>
  <c r="KS4" i="8"/>
  <c r="KT4" i="8"/>
  <c r="KU4" i="8"/>
  <c r="KV4" i="8"/>
  <c r="KW4" i="8"/>
  <c r="KX4" i="8"/>
  <c r="KY4" i="8"/>
  <c r="KZ4" i="8"/>
  <c r="LA4" i="8"/>
  <c r="LB4" i="8"/>
  <c r="LC4" i="8"/>
  <c r="LD4" i="8"/>
  <c r="KP5" i="8"/>
  <c r="KQ5" i="8"/>
  <c r="KR5" i="8"/>
  <c r="KS5" i="8"/>
  <c r="KT5" i="8"/>
  <c r="KU5" i="8"/>
  <c r="KV5" i="8"/>
  <c r="KW5" i="8"/>
  <c r="KX5" i="8"/>
  <c r="KY5" i="8"/>
  <c r="KZ5" i="8"/>
  <c r="LA5" i="8"/>
  <c r="LB5" i="8"/>
  <c r="LC5" i="8"/>
  <c r="LD5" i="8"/>
  <c r="KP6" i="8"/>
  <c r="KQ6" i="8"/>
  <c r="KR6" i="8"/>
  <c r="KS6" i="8"/>
  <c r="KT6" i="8"/>
  <c r="KU6" i="8"/>
  <c r="KV6" i="8"/>
  <c r="KW6" i="8"/>
  <c r="KX6" i="8"/>
  <c r="KY6" i="8"/>
  <c r="KZ6" i="8"/>
  <c r="LA6" i="8"/>
  <c r="LB6" i="8"/>
  <c r="LC6" i="8"/>
  <c r="LD6" i="8"/>
  <c r="KP7" i="8"/>
  <c r="KQ7" i="8"/>
  <c r="KR7" i="8"/>
  <c r="KS7" i="8"/>
  <c r="KT7" i="8"/>
  <c r="KU7" i="8"/>
  <c r="KV7" i="8"/>
  <c r="KW7" i="8"/>
  <c r="KX7" i="8"/>
  <c r="KY7" i="8"/>
  <c r="KZ7" i="8"/>
  <c r="LA7" i="8"/>
  <c r="LB7" i="8"/>
  <c r="LC7" i="8"/>
  <c r="LD7" i="8"/>
  <c r="KO5" i="8"/>
  <c r="KO6" i="8"/>
  <c r="KO7" i="8"/>
  <c r="KO4" i="8"/>
  <c r="LD4" i="12"/>
  <c r="LE4" i="12"/>
  <c r="LF4" i="12"/>
  <c r="LG4" i="12"/>
  <c r="LH4" i="12"/>
  <c r="LI4" i="12"/>
  <c r="LJ4" i="12"/>
  <c r="LK4" i="12"/>
  <c r="LL4" i="12"/>
  <c r="LM4" i="12"/>
  <c r="LN4" i="12"/>
  <c r="LO4" i="12"/>
  <c r="LP4" i="12"/>
  <c r="LQ4" i="12"/>
  <c r="LR4" i="12"/>
  <c r="LD5" i="12"/>
  <c r="LE5" i="12"/>
  <c r="LF5" i="12"/>
  <c r="LG5" i="12"/>
  <c r="LH5" i="12"/>
  <c r="LI5" i="12"/>
  <c r="LJ5" i="12"/>
  <c r="LK5" i="12"/>
  <c r="LL5" i="12"/>
  <c r="LM5" i="12"/>
  <c r="LN5" i="12"/>
  <c r="LO5" i="12"/>
  <c r="LP5" i="12"/>
  <c r="LQ5" i="12"/>
  <c r="LR5" i="12"/>
  <c r="LD6" i="12"/>
  <c r="LE6" i="12"/>
  <c r="LF6" i="12"/>
  <c r="LG6" i="12"/>
  <c r="LH6" i="12"/>
  <c r="LI6" i="12"/>
  <c r="LJ6" i="12"/>
  <c r="LK6" i="12"/>
  <c r="LL6" i="12"/>
  <c r="LM6" i="12"/>
  <c r="LN6" i="12"/>
  <c r="LO6" i="12"/>
  <c r="LP6" i="12"/>
  <c r="LQ6" i="12"/>
  <c r="LR6" i="12"/>
  <c r="LD7" i="12"/>
  <c r="LE7" i="12"/>
  <c r="LF7" i="12"/>
  <c r="LG7" i="12"/>
  <c r="LH7" i="12"/>
  <c r="LI7" i="12"/>
  <c r="LJ7" i="12"/>
  <c r="LK7" i="12"/>
  <c r="LL7" i="12"/>
  <c r="LM7" i="12"/>
  <c r="LN7" i="12"/>
  <c r="LO7" i="12"/>
  <c r="LP7" i="12"/>
  <c r="LQ7" i="12"/>
  <c r="LR7" i="12"/>
  <c r="LD8" i="12"/>
  <c r="LE8" i="12"/>
  <c r="LF8" i="12"/>
  <c r="LG8" i="12"/>
  <c r="LH8" i="12"/>
  <c r="LI8" i="12"/>
  <c r="LJ8" i="12"/>
  <c r="LK8" i="12"/>
  <c r="LL8" i="12"/>
  <c r="LM8" i="12"/>
  <c r="LN8" i="12"/>
  <c r="LO8" i="12"/>
  <c r="LP8" i="12"/>
  <c r="LQ8" i="12"/>
  <c r="LR8" i="12"/>
  <c r="LC5" i="12"/>
  <c r="LC6" i="12"/>
  <c r="LC7" i="12"/>
  <c r="LC8" i="12"/>
  <c r="LC4" i="12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D5" i="6"/>
  <c r="LE5" i="6"/>
  <c r="LF5" i="6"/>
  <c r="LG5" i="6"/>
  <c r="LH5" i="6"/>
  <c r="LI5" i="6"/>
  <c r="LJ5" i="6"/>
  <c r="LK5" i="6"/>
  <c r="LL5" i="6"/>
  <c r="LM5" i="6"/>
  <c r="LN5" i="6"/>
  <c r="LO5" i="6"/>
  <c r="LP5" i="6"/>
  <c r="LQ5" i="6"/>
  <c r="LR5" i="6"/>
  <c r="LD6" i="6"/>
  <c r="LE6" i="6"/>
  <c r="LF6" i="6"/>
  <c r="LG6" i="6"/>
  <c r="LH6" i="6"/>
  <c r="LI6" i="6"/>
  <c r="LJ6" i="6"/>
  <c r="LK6" i="6"/>
  <c r="LL6" i="6"/>
  <c r="LM6" i="6"/>
  <c r="LN6" i="6"/>
  <c r="LO6" i="6"/>
  <c r="LP6" i="6"/>
  <c r="LQ6" i="6"/>
  <c r="LR6" i="6"/>
  <c r="LD7" i="6"/>
  <c r="LE7" i="6"/>
  <c r="LF7" i="6"/>
  <c r="LG7" i="6"/>
  <c r="LH7" i="6"/>
  <c r="LI7" i="6"/>
  <c r="LJ7" i="6"/>
  <c r="LK7" i="6"/>
  <c r="LL7" i="6"/>
  <c r="LM7" i="6"/>
  <c r="LN7" i="6"/>
  <c r="LO7" i="6"/>
  <c r="LP7" i="6"/>
  <c r="LQ7" i="6"/>
  <c r="LR7" i="6"/>
  <c r="LD8" i="6"/>
  <c r="LE8" i="6"/>
  <c r="LF8" i="6"/>
  <c r="LG8" i="6"/>
  <c r="LH8" i="6"/>
  <c r="LI8" i="6"/>
  <c r="LJ8" i="6"/>
  <c r="LK8" i="6"/>
  <c r="LL8" i="6"/>
  <c r="LM8" i="6"/>
  <c r="LN8" i="6"/>
  <c r="LO8" i="6"/>
  <c r="LP8" i="6"/>
  <c r="LQ8" i="6"/>
  <c r="LR8" i="6"/>
  <c r="LD9" i="6"/>
  <c r="LE9" i="6"/>
  <c r="LF9" i="6"/>
  <c r="LG9" i="6"/>
  <c r="LH9" i="6"/>
  <c r="LI9" i="6"/>
  <c r="LJ9" i="6"/>
  <c r="LK9" i="6"/>
  <c r="LL9" i="6"/>
  <c r="LM9" i="6"/>
  <c r="LN9" i="6"/>
  <c r="LO9" i="6"/>
  <c r="LP9" i="6"/>
  <c r="LQ9" i="6"/>
  <c r="LR9" i="6"/>
  <c r="LD10" i="6"/>
  <c r="LE10" i="6"/>
  <c r="LF10" i="6"/>
  <c r="LG10" i="6"/>
  <c r="LH10" i="6"/>
  <c r="LI10" i="6"/>
  <c r="LJ10" i="6"/>
  <c r="LK10" i="6"/>
  <c r="LL10" i="6"/>
  <c r="LM10" i="6"/>
  <c r="LN10" i="6"/>
  <c r="LO10" i="6"/>
  <c r="LP10" i="6"/>
  <c r="LQ10" i="6"/>
  <c r="LR10" i="6"/>
  <c r="LD11" i="6"/>
  <c r="LE11" i="6"/>
  <c r="LF11" i="6"/>
  <c r="LG11" i="6"/>
  <c r="LH11" i="6"/>
  <c r="LI11" i="6"/>
  <c r="LJ11" i="6"/>
  <c r="LK11" i="6"/>
  <c r="LL11" i="6"/>
  <c r="LM11" i="6"/>
  <c r="LN11" i="6"/>
  <c r="LO11" i="6"/>
  <c r="LP11" i="6"/>
  <c r="LQ11" i="6"/>
  <c r="LR11" i="6"/>
  <c r="LD12" i="6"/>
  <c r="LE12" i="6"/>
  <c r="LF12" i="6"/>
  <c r="LG12" i="6"/>
  <c r="LH12" i="6"/>
  <c r="LI12" i="6"/>
  <c r="LJ12" i="6"/>
  <c r="LK12" i="6"/>
  <c r="LL12" i="6"/>
  <c r="LM12" i="6"/>
  <c r="LN12" i="6"/>
  <c r="LO12" i="6"/>
  <c r="LP12" i="6"/>
  <c r="LQ12" i="6"/>
  <c r="LR12" i="6"/>
  <c r="LD13" i="6"/>
  <c r="LE13" i="6"/>
  <c r="LF13" i="6"/>
  <c r="LG13" i="6"/>
  <c r="LH13" i="6"/>
  <c r="LI13" i="6"/>
  <c r="LJ13" i="6"/>
  <c r="LK13" i="6"/>
  <c r="LL13" i="6"/>
  <c r="LM13" i="6"/>
  <c r="LN13" i="6"/>
  <c r="LO13" i="6"/>
  <c r="LP13" i="6"/>
  <c r="LQ13" i="6"/>
  <c r="LR13" i="6"/>
  <c r="LC5" i="6"/>
  <c r="LC6" i="6"/>
  <c r="LC7" i="6"/>
  <c r="LC8" i="6"/>
  <c r="LC9" i="6"/>
  <c r="LC10" i="6"/>
  <c r="LC11" i="6"/>
  <c r="LC12" i="6"/>
  <c r="LC13" i="6"/>
  <c r="LC4" i="6"/>
  <c r="LW5" i="4"/>
  <c r="LX5" i="4"/>
  <c r="LY5" i="4"/>
  <c r="LZ5" i="4"/>
  <c r="MA5" i="4"/>
  <c r="MB5" i="4"/>
  <c r="MC5" i="4"/>
  <c r="MD5" i="4"/>
  <c r="ME5" i="4"/>
  <c r="MF5" i="4"/>
  <c r="MG5" i="4"/>
  <c r="MH5" i="4"/>
  <c r="MI5" i="4"/>
  <c r="MQ5" i="4" s="1"/>
  <c r="MJ5" i="4"/>
  <c r="MK5" i="4"/>
  <c r="LW6" i="4"/>
  <c r="LX6" i="4"/>
  <c r="LY6" i="4"/>
  <c r="LZ6" i="4"/>
  <c r="MA6" i="4"/>
  <c r="MB6" i="4"/>
  <c r="MC6" i="4"/>
  <c r="MD6" i="4"/>
  <c r="ME6" i="4"/>
  <c r="MF6" i="4"/>
  <c r="MG6" i="4"/>
  <c r="MH6" i="4"/>
  <c r="MI6" i="4"/>
  <c r="MQ6" i="4" s="1"/>
  <c r="MJ6" i="4"/>
  <c r="MK6" i="4"/>
  <c r="LW7" i="4"/>
  <c r="LX7" i="4"/>
  <c r="LY7" i="4"/>
  <c r="LZ7" i="4"/>
  <c r="MA7" i="4"/>
  <c r="MB7" i="4"/>
  <c r="MC7" i="4"/>
  <c r="MD7" i="4"/>
  <c r="ME7" i="4"/>
  <c r="MF7" i="4"/>
  <c r="MG7" i="4"/>
  <c r="MH7" i="4"/>
  <c r="MI7" i="4"/>
  <c r="MQ7" i="4" s="1"/>
  <c r="MJ7" i="4"/>
  <c r="MK7" i="4"/>
  <c r="LW8" i="4"/>
  <c r="LX8" i="4"/>
  <c r="LY8" i="4"/>
  <c r="LZ8" i="4"/>
  <c r="MA8" i="4"/>
  <c r="MB8" i="4"/>
  <c r="MC8" i="4"/>
  <c r="MD8" i="4"/>
  <c r="ME8" i="4"/>
  <c r="MF8" i="4"/>
  <c r="MG8" i="4"/>
  <c r="MH8" i="4"/>
  <c r="MI8" i="4"/>
  <c r="MQ8" i="4" s="1"/>
  <c r="MJ8" i="4"/>
  <c r="MK8" i="4"/>
  <c r="LW9" i="4"/>
  <c r="LX9" i="4"/>
  <c r="LY9" i="4"/>
  <c r="LZ9" i="4"/>
  <c r="MA9" i="4"/>
  <c r="MB9" i="4"/>
  <c r="MC9" i="4"/>
  <c r="MD9" i="4"/>
  <c r="ME9" i="4"/>
  <c r="MF9" i="4"/>
  <c r="MG9" i="4"/>
  <c r="MH9" i="4"/>
  <c r="MI9" i="4"/>
  <c r="MQ9" i="4" s="1"/>
  <c r="MJ9" i="4"/>
  <c r="MK9" i="4"/>
  <c r="LW10" i="4"/>
  <c r="LX10" i="4"/>
  <c r="LY10" i="4"/>
  <c r="LZ10" i="4"/>
  <c r="MA10" i="4"/>
  <c r="MB10" i="4"/>
  <c r="MC10" i="4"/>
  <c r="MD10" i="4"/>
  <c r="ME10" i="4"/>
  <c r="MF10" i="4"/>
  <c r="MG10" i="4"/>
  <c r="MH10" i="4"/>
  <c r="MI10" i="4"/>
  <c r="MQ10" i="4" s="1"/>
  <c r="MJ10" i="4"/>
  <c r="MK10" i="4"/>
  <c r="LW11" i="4"/>
  <c r="LX11" i="4"/>
  <c r="LY11" i="4"/>
  <c r="LZ11" i="4"/>
  <c r="MA11" i="4"/>
  <c r="MB11" i="4"/>
  <c r="MC11" i="4"/>
  <c r="MD11" i="4"/>
  <c r="ME11" i="4"/>
  <c r="MF11" i="4"/>
  <c r="MG11" i="4"/>
  <c r="MH11" i="4"/>
  <c r="MI11" i="4"/>
  <c r="MQ11" i="4" s="1"/>
  <c r="MJ11" i="4"/>
  <c r="MK11" i="4"/>
  <c r="LW12" i="4"/>
  <c r="LX12" i="4"/>
  <c r="LY12" i="4"/>
  <c r="LZ12" i="4"/>
  <c r="MA12" i="4"/>
  <c r="MB12" i="4"/>
  <c r="MC12" i="4"/>
  <c r="MD12" i="4"/>
  <c r="ME12" i="4"/>
  <c r="MF12" i="4"/>
  <c r="MG12" i="4"/>
  <c r="MH12" i="4"/>
  <c r="MI12" i="4"/>
  <c r="MQ12" i="4" s="1"/>
  <c r="MJ12" i="4"/>
  <c r="MK12" i="4"/>
  <c r="LW13" i="4"/>
  <c r="LX13" i="4"/>
  <c r="LY13" i="4"/>
  <c r="LZ13" i="4"/>
  <c r="MA13" i="4"/>
  <c r="MB13" i="4"/>
  <c r="MC13" i="4"/>
  <c r="MD13" i="4"/>
  <c r="ME13" i="4"/>
  <c r="MF13" i="4"/>
  <c r="MG13" i="4"/>
  <c r="MH13" i="4"/>
  <c r="MI13" i="4"/>
  <c r="MQ13" i="4" s="1"/>
  <c r="MJ13" i="4"/>
  <c r="MK13" i="4"/>
  <c r="LW14" i="4"/>
  <c r="LX14" i="4"/>
  <c r="LY14" i="4"/>
  <c r="LZ14" i="4"/>
  <c r="MA14" i="4"/>
  <c r="MB14" i="4"/>
  <c r="MC14" i="4"/>
  <c r="MD14" i="4"/>
  <c r="ME14" i="4"/>
  <c r="MF14" i="4"/>
  <c r="MG14" i="4"/>
  <c r="MH14" i="4"/>
  <c r="MI14" i="4"/>
  <c r="MQ14" i="4" s="1"/>
  <c r="MJ14" i="4"/>
  <c r="MK14" i="4"/>
  <c r="LW15" i="4"/>
  <c r="LX15" i="4"/>
  <c r="LY15" i="4"/>
  <c r="LZ15" i="4"/>
  <c r="MA15" i="4"/>
  <c r="MB15" i="4"/>
  <c r="MC15" i="4"/>
  <c r="MD15" i="4"/>
  <c r="ME15" i="4"/>
  <c r="MF15" i="4"/>
  <c r="MG15" i="4"/>
  <c r="MH15" i="4"/>
  <c r="MI15" i="4"/>
  <c r="MQ15" i="4" s="1"/>
  <c r="MJ15" i="4"/>
  <c r="MK15" i="4"/>
  <c r="LW16" i="4"/>
  <c r="LX16" i="4"/>
  <c r="LY16" i="4"/>
  <c r="LZ16" i="4"/>
  <c r="MA16" i="4"/>
  <c r="MB16" i="4"/>
  <c r="MC16" i="4"/>
  <c r="MD16" i="4"/>
  <c r="ME16" i="4"/>
  <c r="MF16" i="4"/>
  <c r="MG16" i="4"/>
  <c r="MH16" i="4"/>
  <c r="MI16" i="4"/>
  <c r="MQ16" i="4" s="1"/>
  <c r="MJ16" i="4"/>
  <c r="MK16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Q17" i="4" s="1"/>
  <c r="MJ17" i="4"/>
  <c r="MK17" i="4"/>
  <c r="LW18" i="4"/>
  <c r="LX18" i="4"/>
  <c r="LY18" i="4"/>
  <c r="LZ18" i="4"/>
  <c r="MA18" i="4"/>
  <c r="MB18" i="4"/>
  <c r="MC18" i="4"/>
  <c r="MD18" i="4"/>
  <c r="ME18" i="4"/>
  <c r="MF18" i="4"/>
  <c r="MG18" i="4"/>
  <c r="MH18" i="4"/>
  <c r="MI18" i="4"/>
  <c r="MQ18" i="4" s="1"/>
  <c r="MJ18" i="4"/>
  <c r="MK18" i="4"/>
  <c r="LW19" i="4"/>
  <c r="LX19" i="4"/>
  <c r="LY19" i="4"/>
  <c r="LZ19" i="4"/>
  <c r="MA19" i="4"/>
  <c r="MB19" i="4"/>
  <c r="MC19" i="4"/>
  <c r="MD19" i="4"/>
  <c r="ME19" i="4"/>
  <c r="MF19" i="4"/>
  <c r="MG19" i="4"/>
  <c r="MH19" i="4"/>
  <c r="MI19" i="4"/>
  <c r="MQ19" i="4" s="1"/>
  <c r="MJ19" i="4"/>
  <c r="MK19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Q20" i="4" s="1"/>
  <c r="MJ20" i="4"/>
  <c r="MK20" i="4"/>
  <c r="LW21" i="4"/>
  <c r="LX21" i="4"/>
  <c r="LY21" i="4"/>
  <c r="LZ21" i="4"/>
  <c r="MA21" i="4"/>
  <c r="MB21" i="4"/>
  <c r="MC21" i="4"/>
  <c r="MD21" i="4"/>
  <c r="ME21" i="4"/>
  <c r="MF21" i="4"/>
  <c r="MG21" i="4"/>
  <c r="MH21" i="4"/>
  <c r="MI21" i="4"/>
  <c r="MQ21" i="4" s="1"/>
  <c r="MJ21" i="4"/>
  <c r="MK21" i="4"/>
  <c r="LW22" i="4"/>
  <c r="LX22" i="4"/>
  <c r="LY22" i="4"/>
  <c r="LZ22" i="4"/>
  <c r="MA22" i="4"/>
  <c r="MB22" i="4"/>
  <c r="MC22" i="4"/>
  <c r="MD22" i="4"/>
  <c r="ME22" i="4"/>
  <c r="MF22" i="4"/>
  <c r="MG22" i="4"/>
  <c r="MH22" i="4"/>
  <c r="MI22" i="4"/>
  <c r="MQ22" i="4" s="1"/>
  <c r="MJ22" i="4"/>
  <c r="MK22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Q23" i="4" s="1"/>
  <c r="MJ23" i="4"/>
  <c r="MK23" i="4"/>
  <c r="LX4" i="4"/>
  <c r="LY4" i="4"/>
  <c r="LZ4" i="4"/>
  <c r="MA4" i="4"/>
  <c r="MB4" i="4"/>
  <c r="MC4" i="4"/>
  <c r="MD4" i="4"/>
  <c r="ME4" i="4"/>
  <c r="MF4" i="4"/>
  <c r="MG4" i="4"/>
  <c r="MH4" i="4"/>
  <c r="MI4" i="4"/>
  <c r="MQ4" i="4" s="1"/>
  <c r="MJ4" i="4"/>
  <c r="MK4" i="4"/>
  <c r="LW4" i="4"/>
  <c r="AH13" i="6" l="1"/>
  <c r="AI13" i="6"/>
  <c r="AJ13" i="6"/>
  <c r="AK13" i="6"/>
  <c r="BD13" i="6"/>
  <c r="BE13" i="6"/>
  <c r="BF13" i="6"/>
  <c r="BG13" i="6"/>
  <c r="CA13" i="6"/>
  <c r="CB13" i="6"/>
  <c r="CV13" i="6"/>
  <c r="KX13" i="6"/>
  <c r="KY13" i="6"/>
  <c r="KZ13" i="6"/>
  <c r="LA13" i="6"/>
  <c r="LV13" i="6"/>
  <c r="LU13" i="6"/>
  <c r="N5" i="12"/>
  <c r="O5" i="12" s="1"/>
  <c r="AH5" i="12"/>
  <c r="AI5" i="12"/>
  <c r="AJ5" i="12"/>
  <c r="AK5" i="12"/>
  <c r="BD5" i="12"/>
  <c r="BE5" i="12"/>
  <c r="BF5" i="12"/>
  <c r="BG5" i="12"/>
  <c r="CA5" i="12"/>
  <c r="CB5" i="12"/>
  <c r="CV5" i="12"/>
  <c r="KX5" i="12"/>
  <c r="KY5" i="12"/>
  <c r="KZ5" i="12"/>
  <c r="LA5" i="12"/>
  <c r="N7" i="12"/>
  <c r="O7" i="12" s="1"/>
  <c r="AH7" i="12"/>
  <c r="AI7" i="12"/>
  <c r="AJ7" i="12"/>
  <c r="AK7" i="12"/>
  <c r="BD7" i="12"/>
  <c r="BE7" i="12"/>
  <c r="BF7" i="12"/>
  <c r="BG7" i="12"/>
  <c r="CA7" i="12"/>
  <c r="CB7" i="12"/>
  <c r="CV7" i="12"/>
  <c r="KX7" i="12"/>
  <c r="KY7" i="12"/>
  <c r="KZ7" i="12"/>
  <c r="LA7" i="12"/>
  <c r="N8" i="12"/>
  <c r="O8" i="12" s="1"/>
  <c r="AH8" i="12"/>
  <c r="AI8" i="12"/>
  <c r="AJ8" i="12"/>
  <c r="AK8" i="12"/>
  <c r="BD8" i="12"/>
  <c r="BE8" i="12"/>
  <c r="BF8" i="12"/>
  <c r="BG8" i="12"/>
  <c r="CA8" i="12"/>
  <c r="CB8" i="12"/>
  <c r="CV8" i="12"/>
  <c r="KX8" i="12"/>
  <c r="KY8" i="12"/>
  <c r="KZ8" i="12"/>
  <c r="LA8" i="12"/>
  <c r="AH6" i="12"/>
  <c r="AI6" i="12"/>
  <c r="AJ6" i="12"/>
  <c r="AK6" i="12"/>
  <c r="BD6" i="12"/>
  <c r="BE6" i="12"/>
  <c r="BF6" i="12"/>
  <c r="BG6" i="12"/>
  <c r="CA6" i="12"/>
  <c r="CB6" i="12"/>
  <c r="CV6" i="12"/>
  <c r="KX6" i="12"/>
  <c r="KY6" i="12"/>
  <c r="KZ6" i="12"/>
  <c r="LA6" i="12"/>
  <c r="AK7" i="2"/>
  <c r="AL7" i="2"/>
  <c r="AM7" i="2"/>
  <c r="AP7" i="2"/>
  <c r="BH7" i="2"/>
  <c r="BI7" i="2"/>
  <c r="BJ7" i="2"/>
  <c r="BM7" i="2"/>
  <c r="CH7" i="2"/>
  <c r="CI7" i="2"/>
  <c r="CJ7" i="2"/>
  <c r="CM7" i="2"/>
  <c r="DD7" i="2"/>
  <c r="DE7" i="2"/>
  <c r="DF7" i="2"/>
  <c r="DI7" i="2"/>
  <c r="DZ7" i="2"/>
  <c r="EA7" i="2"/>
  <c r="EB7" i="2"/>
  <c r="EE7" i="2"/>
  <c r="EV7" i="2"/>
  <c r="EW7" i="2"/>
  <c r="EX7" i="2"/>
  <c r="FA7" i="2"/>
  <c r="FR7" i="2"/>
  <c r="FS7" i="2"/>
  <c r="FT7" i="2"/>
  <c r="FW7" i="2"/>
  <c r="GN7" i="2"/>
  <c r="GO7" i="2"/>
  <c r="GP7" i="2"/>
  <c r="GS7" i="2"/>
  <c r="HJ7" i="2"/>
  <c r="HK7" i="2"/>
  <c r="HL7" i="2"/>
  <c r="HO7" i="2"/>
  <c r="IF7" i="2"/>
  <c r="IG7" i="2"/>
  <c r="IH7" i="2"/>
  <c r="IK7" i="2"/>
  <c r="JB7" i="2"/>
  <c r="JC7" i="2"/>
  <c r="JD7" i="2"/>
  <c r="JG7" i="2"/>
  <c r="JX7" i="2"/>
  <c r="JY7" i="2"/>
  <c r="JZ7" i="2"/>
  <c r="KC7" i="2"/>
  <c r="KT7" i="2"/>
  <c r="KU7" i="2"/>
  <c r="KV7" i="2"/>
  <c r="KY7" i="2"/>
  <c r="LP7" i="2"/>
  <c r="LQ7" i="2"/>
  <c r="LR7" i="2"/>
  <c r="LU7" i="2"/>
  <c r="MM15" i="2"/>
  <c r="AK12" i="2"/>
  <c r="AL12" i="2"/>
  <c r="AM12" i="2"/>
  <c r="AP12" i="2"/>
  <c r="BH12" i="2"/>
  <c r="BI12" i="2"/>
  <c r="BJ12" i="2"/>
  <c r="BM12" i="2"/>
  <c r="CH12" i="2"/>
  <c r="CI12" i="2"/>
  <c r="CJ12" i="2"/>
  <c r="CM12" i="2"/>
  <c r="DD12" i="2"/>
  <c r="DE12" i="2"/>
  <c r="DF12" i="2"/>
  <c r="DI12" i="2"/>
  <c r="DZ12" i="2"/>
  <c r="EA12" i="2"/>
  <c r="EB12" i="2"/>
  <c r="EE12" i="2"/>
  <c r="EV12" i="2"/>
  <c r="EW12" i="2"/>
  <c r="EX12" i="2"/>
  <c r="FA12" i="2"/>
  <c r="FR12" i="2"/>
  <c r="FS12" i="2"/>
  <c r="FT12" i="2"/>
  <c r="FW12" i="2"/>
  <c r="GN12" i="2"/>
  <c r="GO12" i="2"/>
  <c r="GP12" i="2"/>
  <c r="GS12" i="2"/>
  <c r="HJ12" i="2"/>
  <c r="HK12" i="2"/>
  <c r="HL12" i="2"/>
  <c r="HO12" i="2"/>
  <c r="IF12" i="2"/>
  <c r="IG12" i="2"/>
  <c r="IH12" i="2"/>
  <c r="IK12" i="2"/>
  <c r="JB12" i="2"/>
  <c r="JC12" i="2"/>
  <c r="JD12" i="2"/>
  <c r="JG12" i="2"/>
  <c r="JX12" i="2"/>
  <c r="JY12" i="2"/>
  <c r="JZ12" i="2"/>
  <c r="KC12" i="2"/>
  <c r="KT12" i="2"/>
  <c r="KU12" i="2"/>
  <c r="KV12" i="2"/>
  <c r="KY12" i="2"/>
  <c r="LP12" i="2"/>
  <c r="LQ12" i="2"/>
  <c r="LR12" i="2"/>
  <c r="LU12" i="2"/>
  <c r="MM14" i="2"/>
  <c r="AK14" i="4"/>
  <c r="AL14" i="4"/>
  <c r="AM14" i="4"/>
  <c r="AP14" i="4"/>
  <c r="BH14" i="4"/>
  <c r="BI14" i="4"/>
  <c r="BJ14" i="4"/>
  <c r="BM14" i="4"/>
  <c r="CH14" i="4"/>
  <c r="CI14" i="4"/>
  <c r="CJ14" i="4"/>
  <c r="CM14" i="4"/>
  <c r="DD14" i="4"/>
  <c r="DE14" i="4"/>
  <c r="DF14" i="4"/>
  <c r="DI14" i="4"/>
  <c r="DZ14" i="4"/>
  <c r="EA14" i="4"/>
  <c r="EB14" i="4"/>
  <c r="EE14" i="4"/>
  <c r="EV14" i="4"/>
  <c r="EW14" i="4"/>
  <c r="EX14" i="4"/>
  <c r="FA14" i="4"/>
  <c r="FR14" i="4"/>
  <c r="FS14" i="4"/>
  <c r="FT14" i="4"/>
  <c r="FW14" i="4"/>
  <c r="GN14" i="4"/>
  <c r="GO14" i="4"/>
  <c r="GP14" i="4"/>
  <c r="GS14" i="4"/>
  <c r="HJ14" i="4"/>
  <c r="HK14" i="4"/>
  <c r="HL14" i="4"/>
  <c r="HO14" i="4"/>
  <c r="IF14" i="4"/>
  <c r="IG14" i="4"/>
  <c r="IH14" i="4"/>
  <c r="IK14" i="4"/>
  <c r="JB14" i="4"/>
  <c r="JC14" i="4"/>
  <c r="JD14" i="4"/>
  <c r="JG14" i="4"/>
  <c r="JX14" i="4"/>
  <c r="JY14" i="4"/>
  <c r="JZ14" i="4"/>
  <c r="KC14" i="4"/>
  <c r="KT14" i="4"/>
  <c r="KU14" i="4"/>
  <c r="KV14" i="4"/>
  <c r="KY14" i="4"/>
  <c r="LP14" i="4"/>
  <c r="LQ14" i="4"/>
  <c r="LR14" i="4"/>
  <c r="LU14" i="4"/>
  <c r="MM23" i="4"/>
  <c r="AK8" i="4"/>
  <c r="AL8" i="4"/>
  <c r="AM8" i="4"/>
  <c r="AP8" i="4"/>
  <c r="BH8" i="4"/>
  <c r="BI8" i="4"/>
  <c r="BJ8" i="4"/>
  <c r="BM8" i="4"/>
  <c r="CH8" i="4"/>
  <c r="CI8" i="4"/>
  <c r="CJ8" i="4"/>
  <c r="CM8" i="4"/>
  <c r="DD8" i="4"/>
  <c r="DE8" i="4"/>
  <c r="DF8" i="4"/>
  <c r="DI8" i="4"/>
  <c r="DZ8" i="4"/>
  <c r="EA8" i="4"/>
  <c r="EB8" i="4"/>
  <c r="EE8" i="4"/>
  <c r="EV8" i="4"/>
  <c r="EW8" i="4"/>
  <c r="EX8" i="4"/>
  <c r="FA8" i="4"/>
  <c r="FR8" i="4"/>
  <c r="FS8" i="4"/>
  <c r="FT8" i="4"/>
  <c r="FW8" i="4"/>
  <c r="GN8" i="4"/>
  <c r="GO8" i="4"/>
  <c r="GP8" i="4"/>
  <c r="GS8" i="4"/>
  <c r="HJ8" i="4"/>
  <c r="HK8" i="4"/>
  <c r="HL8" i="4"/>
  <c r="HO8" i="4"/>
  <c r="IF8" i="4"/>
  <c r="IG8" i="4"/>
  <c r="IH8" i="4"/>
  <c r="IK8" i="4"/>
  <c r="JB8" i="4"/>
  <c r="JC8" i="4"/>
  <c r="JD8" i="4"/>
  <c r="JG8" i="4"/>
  <c r="JX8" i="4"/>
  <c r="JY8" i="4"/>
  <c r="JZ8" i="4"/>
  <c r="KC8" i="4"/>
  <c r="KT8" i="4"/>
  <c r="KU8" i="4"/>
  <c r="KV8" i="4"/>
  <c r="KY8" i="4"/>
  <c r="LP8" i="4"/>
  <c r="LQ8" i="4"/>
  <c r="LR8" i="4"/>
  <c r="LU8" i="4"/>
  <c r="MM22" i="4"/>
  <c r="AK4" i="12"/>
  <c r="AJ4" i="12"/>
  <c r="AI4" i="12"/>
  <c r="AH4" i="12"/>
  <c r="AK10" i="6"/>
  <c r="AJ10" i="6"/>
  <c r="AI10" i="6"/>
  <c r="AH10" i="6"/>
  <c r="AK9" i="6"/>
  <c r="AJ9" i="6"/>
  <c r="AI9" i="6"/>
  <c r="AH9" i="6"/>
  <c r="AK8" i="6"/>
  <c r="AJ8" i="6"/>
  <c r="AI8" i="6"/>
  <c r="AH8" i="6"/>
  <c r="AK11" i="6"/>
  <c r="AJ11" i="6"/>
  <c r="AL11" i="6" s="1"/>
  <c r="AI11" i="6"/>
  <c r="AH11" i="6"/>
  <c r="AK12" i="6"/>
  <c r="AJ12" i="6"/>
  <c r="AI12" i="6"/>
  <c r="AH12" i="6"/>
  <c r="AK7" i="6"/>
  <c r="AJ7" i="6"/>
  <c r="AL7" i="6" s="1"/>
  <c r="AI7" i="6"/>
  <c r="AH7" i="6"/>
  <c r="AK6" i="6"/>
  <c r="AJ6" i="6"/>
  <c r="AI6" i="6"/>
  <c r="AH6" i="6"/>
  <c r="AK5" i="6"/>
  <c r="AJ5" i="6"/>
  <c r="AI5" i="6"/>
  <c r="AH5" i="6"/>
  <c r="AK4" i="6"/>
  <c r="AJ4" i="6"/>
  <c r="AI4" i="6"/>
  <c r="AH4" i="6"/>
  <c r="AJ7" i="8"/>
  <c r="AI7" i="8"/>
  <c r="AH7" i="8"/>
  <c r="AJ6" i="8"/>
  <c r="AI6" i="8"/>
  <c r="AH6" i="8"/>
  <c r="AJ5" i="8"/>
  <c r="AI5" i="8"/>
  <c r="AH5" i="8"/>
  <c r="AJ4" i="8"/>
  <c r="AI4" i="8"/>
  <c r="AH4" i="8"/>
  <c r="AJ9" i="7"/>
  <c r="AI9" i="7"/>
  <c r="AH9" i="7"/>
  <c r="AJ8" i="7"/>
  <c r="AI8" i="7"/>
  <c r="AH8" i="7"/>
  <c r="AJ7" i="7"/>
  <c r="AI7" i="7"/>
  <c r="AH7" i="7"/>
  <c r="AJ6" i="7"/>
  <c r="AI6" i="7"/>
  <c r="AH6" i="7"/>
  <c r="AJ4" i="7"/>
  <c r="AI4" i="7"/>
  <c r="AH4" i="7"/>
  <c r="AJ5" i="7"/>
  <c r="AI5" i="7"/>
  <c r="AH5" i="7"/>
  <c r="AP15" i="2"/>
  <c r="AM15" i="2"/>
  <c r="AL15" i="2"/>
  <c r="AK15" i="2"/>
  <c r="AP8" i="2"/>
  <c r="AM8" i="2"/>
  <c r="AL8" i="2"/>
  <c r="AK8" i="2"/>
  <c r="AP11" i="2"/>
  <c r="AM11" i="2"/>
  <c r="AL11" i="2"/>
  <c r="AK11" i="2"/>
  <c r="AP14" i="2"/>
  <c r="AM14" i="2"/>
  <c r="AL14" i="2"/>
  <c r="AK14" i="2"/>
  <c r="AP6" i="2"/>
  <c r="AM6" i="2"/>
  <c r="AL6" i="2"/>
  <c r="AK6" i="2"/>
  <c r="AP13" i="2"/>
  <c r="AM13" i="2"/>
  <c r="AL13" i="2"/>
  <c r="AK13" i="2"/>
  <c r="AP10" i="2"/>
  <c r="AM10" i="2"/>
  <c r="AL10" i="2"/>
  <c r="AK10" i="2"/>
  <c r="AP5" i="2"/>
  <c r="AM5" i="2"/>
  <c r="AL5" i="2"/>
  <c r="AK5" i="2"/>
  <c r="AP9" i="2"/>
  <c r="AM9" i="2"/>
  <c r="AL9" i="2"/>
  <c r="AK9" i="2"/>
  <c r="AP4" i="2"/>
  <c r="AM4" i="2"/>
  <c r="AL4" i="2"/>
  <c r="AK4" i="2"/>
  <c r="AP18" i="4"/>
  <c r="AM18" i="4"/>
  <c r="AL18" i="4"/>
  <c r="AK18" i="4"/>
  <c r="AP22" i="4"/>
  <c r="AM22" i="4"/>
  <c r="AL22" i="4"/>
  <c r="AK22" i="4"/>
  <c r="AP20" i="4"/>
  <c r="AM20" i="4"/>
  <c r="AL20" i="4"/>
  <c r="AK20" i="4"/>
  <c r="AP13" i="4"/>
  <c r="AM13" i="4"/>
  <c r="AL13" i="4"/>
  <c r="AK13" i="4"/>
  <c r="AP21" i="4"/>
  <c r="AM21" i="4"/>
  <c r="AL21" i="4"/>
  <c r="AK21" i="4"/>
  <c r="AP16" i="4"/>
  <c r="AM16" i="4"/>
  <c r="AL16" i="4"/>
  <c r="AK16" i="4"/>
  <c r="AP23" i="4"/>
  <c r="AM23" i="4"/>
  <c r="AL23" i="4"/>
  <c r="AK23" i="4"/>
  <c r="AP17" i="4"/>
  <c r="AM17" i="4"/>
  <c r="AL17" i="4"/>
  <c r="AK17" i="4"/>
  <c r="AP15" i="4"/>
  <c r="AM15" i="4"/>
  <c r="AL15" i="4"/>
  <c r="AK15" i="4"/>
  <c r="AP7" i="4"/>
  <c r="AM7" i="4"/>
  <c r="AL7" i="4"/>
  <c r="AK7" i="4"/>
  <c r="AP9" i="4"/>
  <c r="AM9" i="4"/>
  <c r="AL9" i="4"/>
  <c r="AK9" i="4"/>
  <c r="AP19" i="4"/>
  <c r="AM19" i="4"/>
  <c r="AL19" i="4"/>
  <c r="AK19" i="4"/>
  <c r="AP6" i="4"/>
  <c r="AM6" i="4"/>
  <c r="AL6" i="4"/>
  <c r="AK6" i="4"/>
  <c r="AP12" i="4"/>
  <c r="AM12" i="4"/>
  <c r="AL12" i="4"/>
  <c r="AK12" i="4"/>
  <c r="AP11" i="4"/>
  <c r="AM11" i="4"/>
  <c r="AL11" i="4"/>
  <c r="AK11" i="4"/>
  <c r="AP5" i="4"/>
  <c r="AM5" i="4"/>
  <c r="AL5" i="4"/>
  <c r="AK5" i="4"/>
  <c r="AP10" i="4"/>
  <c r="AM10" i="4"/>
  <c r="AL10" i="4"/>
  <c r="AK10" i="4"/>
  <c r="AP4" i="4"/>
  <c r="AM4" i="4"/>
  <c r="AL4" i="4"/>
  <c r="AK4" i="4"/>
  <c r="AK9" i="7" l="1"/>
  <c r="AN12" i="2"/>
  <c r="AL6" i="6"/>
  <c r="AL9" i="6"/>
  <c r="AL8" i="6"/>
  <c r="JE7" i="2"/>
  <c r="JH7" i="2" s="1"/>
  <c r="FU7" i="2"/>
  <c r="FX7" i="2" s="1"/>
  <c r="AN10" i="4"/>
  <c r="AQ10" i="4" s="1"/>
  <c r="AN6" i="4"/>
  <c r="AQ6" i="4" s="1"/>
  <c r="AN21" i="4"/>
  <c r="AQ21" i="4" s="1"/>
  <c r="AN18" i="4"/>
  <c r="AQ18" i="4" s="1"/>
  <c r="EY14" i="4"/>
  <c r="FB14" i="4" s="1"/>
  <c r="DG14" i="4"/>
  <c r="DJ14" i="4" s="1"/>
  <c r="BH8" i="12"/>
  <c r="J8" i="12" s="1"/>
  <c r="L8" i="12" s="1"/>
  <c r="M8" i="12" s="1"/>
  <c r="AL4" i="12"/>
  <c r="BH7" i="12"/>
  <c r="J7" i="12" s="1"/>
  <c r="L7" i="12" s="1"/>
  <c r="M7" i="12" s="1"/>
  <c r="AK7" i="8"/>
  <c r="AK4" i="7"/>
  <c r="FU12" i="2"/>
  <c r="FX12" i="2" s="1"/>
  <c r="AN9" i="2"/>
  <c r="AQ9" i="2" s="1"/>
  <c r="AN13" i="2"/>
  <c r="AQ13" i="2" s="1"/>
  <c r="AN8" i="2"/>
  <c r="AQ8" i="2" s="1"/>
  <c r="BH5" i="12"/>
  <c r="J5" i="12" s="1"/>
  <c r="L5" i="12" s="1"/>
  <c r="M5" i="12" s="1"/>
  <c r="AK4" i="8"/>
  <c r="LS7" i="2"/>
  <c r="LV7" i="2" s="1"/>
  <c r="LS12" i="2"/>
  <c r="LV12" i="2" s="1"/>
  <c r="II12" i="2"/>
  <c r="IL12" i="2" s="1"/>
  <c r="AN6" i="2"/>
  <c r="AQ6" i="2" s="1"/>
  <c r="II7" i="2"/>
  <c r="IL7" i="2" s="1"/>
  <c r="JE8" i="4"/>
  <c r="JH8" i="4" s="1"/>
  <c r="CK8" i="4"/>
  <c r="CN8" i="4" s="1"/>
  <c r="AN4" i="4"/>
  <c r="AQ4" i="4" s="1"/>
  <c r="AN5" i="4"/>
  <c r="AQ5" i="4" s="1"/>
  <c r="AN12" i="4"/>
  <c r="AQ12" i="4" s="1"/>
  <c r="AN19" i="4"/>
  <c r="AQ19" i="4" s="1"/>
  <c r="AN7" i="4"/>
  <c r="AQ7" i="4" s="1"/>
  <c r="AN17" i="4"/>
  <c r="AQ17" i="4" s="1"/>
  <c r="AN16" i="4"/>
  <c r="AQ16" i="4" s="1"/>
  <c r="AN13" i="4"/>
  <c r="AQ13" i="4" s="1"/>
  <c r="LB8" i="12"/>
  <c r="LB6" i="12"/>
  <c r="BH6" i="12"/>
  <c r="J6" i="12" s="1"/>
  <c r="LB7" i="12"/>
  <c r="LB5" i="12"/>
  <c r="P7" i="12"/>
  <c r="LB13" i="6"/>
  <c r="AL4" i="6"/>
  <c r="AL5" i="6"/>
  <c r="AL12" i="6"/>
  <c r="BH13" i="6"/>
  <c r="J13" i="6" s="1"/>
  <c r="AL10" i="6"/>
  <c r="AK5" i="8"/>
  <c r="AK6" i="8"/>
  <c r="AK8" i="7"/>
  <c r="AK6" i="7"/>
  <c r="AK5" i="7"/>
  <c r="AK7" i="7"/>
  <c r="EY7" i="2"/>
  <c r="FB7" i="2" s="1"/>
  <c r="KW12" i="2"/>
  <c r="KZ12" i="2" s="1"/>
  <c r="JE12" i="2"/>
  <c r="JH12" i="2" s="1"/>
  <c r="CK12" i="2"/>
  <c r="CN12" i="2" s="1"/>
  <c r="AN15" i="2"/>
  <c r="AQ15" i="2" s="1"/>
  <c r="AN4" i="2"/>
  <c r="AQ4" i="2" s="1"/>
  <c r="AQ12" i="2"/>
  <c r="AN14" i="2"/>
  <c r="AQ14" i="2" s="1"/>
  <c r="EY12" i="2"/>
  <c r="FB12" i="2" s="1"/>
  <c r="AN10" i="2"/>
  <c r="AQ10" i="2" s="1"/>
  <c r="AN5" i="2"/>
  <c r="AQ5" i="2" s="1"/>
  <c r="AN11" i="2"/>
  <c r="AQ11" i="2" s="1"/>
  <c r="GQ12" i="2"/>
  <c r="GT12" i="2" s="1"/>
  <c r="MR15" i="2"/>
  <c r="G12" i="2"/>
  <c r="KA12" i="2"/>
  <c r="KD12" i="2" s="1"/>
  <c r="P12" i="2"/>
  <c r="Q12" i="2" s="1"/>
  <c r="AN23" i="4"/>
  <c r="AQ23" i="4" s="1"/>
  <c r="LS8" i="4"/>
  <c r="LV8" i="4" s="1"/>
  <c r="KA8" i="4"/>
  <c r="KD8" i="4" s="1"/>
  <c r="II8" i="4"/>
  <c r="IL8" i="4" s="1"/>
  <c r="EY8" i="4"/>
  <c r="FB8" i="4" s="1"/>
  <c r="LS14" i="4"/>
  <c r="LV14" i="4" s="1"/>
  <c r="II14" i="4"/>
  <c r="IL14" i="4" s="1"/>
  <c r="AN22" i="4"/>
  <c r="AQ22" i="4" s="1"/>
  <c r="AN14" i="4"/>
  <c r="AQ14" i="4" s="1"/>
  <c r="AN11" i="4"/>
  <c r="AQ11" i="4" s="1"/>
  <c r="AN9" i="4"/>
  <c r="AQ9" i="4" s="1"/>
  <c r="AN15" i="4"/>
  <c r="AQ15" i="4" s="1"/>
  <c r="JE14" i="4"/>
  <c r="JH14" i="4" s="1"/>
  <c r="AN20" i="4"/>
  <c r="AQ20" i="4" s="1"/>
  <c r="LT8" i="12"/>
  <c r="LT13" i="6"/>
  <c r="LW13" i="6"/>
  <c r="LX13" i="6" s="1"/>
  <c r="F13" i="6"/>
  <c r="H13" i="6"/>
  <c r="G13" i="6"/>
  <c r="H5" i="12"/>
  <c r="LV8" i="12"/>
  <c r="LW8" i="12"/>
  <c r="F5" i="12"/>
  <c r="LU8" i="12"/>
  <c r="P5" i="12"/>
  <c r="G5" i="12"/>
  <c r="H7" i="12"/>
  <c r="LT7" i="12"/>
  <c r="F7" i="12"/>
  <c r="LU7" i="12"/>
  <c r="LW7" i="12"/>
  <c r="LV7" i="12"/>
  <c r="G7" i="12"/>
  <c r="H8" i="12"/>
  <c r="LT6" i="12"/>
  <c r="F8" i="12"/>
  <c r="LU6" i="12"/>
  <c r="LW6" i="12"/>
  <c r="LV6" i="12"/>
  <c r="P8" i="12"/>
  <c r="G8" i="12"/>
  <c r="LU5" i="12"/>
  <c r="LV5" i="12"/>
  <c r="F6" i="12"/>
  <c r="LT5" i="12"/>
  <c r="LW5" i="12"/>
  <c r="H6" i="12"/>
  <c r="G6" i="12"/>
  <c r="BK12" i="2"/>
  <c r="BN12" i="2" s="1"/>
  <c r="BK7" i="2"/>
  <c r="BN7" i="2" s="1"/>
  <c r="MN15" i="2"/>
  <c r="KW7" i="2"/>
  <c r="KZ7" i="2" s="1"/>
  <c r="KA7" i="2"/>
  <c r="KD7" i="2" s="1"/>
  <c r="HM7" i="2"/>
  <c r="HP7" i="2" s="1"/>
  <c r="GQ7" i="2"/>
  <c r="GT7" i="2" s="1"/>
  <c r="EC7" i="2"/>
  <c r="EF7" i="2" s="1"/>
  <c r="DG7" i="2"/>
  <c r="DJ7" i="2" s="1"/>
  <c r="CK7" i="2"/>
  <c r="CN7" i="2" s="1"/>
  <c r="P7" i="2"/>
  <c r="BR7" i="2" s="1"/>
  <c r="F7" i="2"/>
  <c r="AN7" i="2"/>
  <c r="AQ7" i="2" s="1"/>
  <c r="MO15" i="2"/>
  <c r="G7" i="2"/>
  <c r="HM12" i="2"/>
  <c r="HP12" i="2" s="1"/>
  <c r="EC12" i="2"/>
  <c r="EF12" i="2" s="1"/>
  <c r="DG12" i="2"/>
  <c r="DJ12" i="2" s="1"/>
  <c r="MR14" i="2"/>
  <c r="F12" i="2"/>
  <c r="MN14" i="2"/>
  <c r="MO14" i="2"/>
  <c r="BK14" i="4"/>
  <c r="KW14" i="4"/>
  <c r="KZ14" i="4" s="1"/>
  <c r="KA14" i="4"/>
  <c r="KD14" i="4" s="1"/>
  <c r="HM14" i="4"/>
  <c r="HP14" i="4" s="1"/>
  <c r="GQ14" i="4"/>
  <c r="GT14" i="4" s="1"/>
  <c r="FU14" i="4"/>
  <c r="FX14" i="4" s="1"/>
  <c r="EC14" i="4"/>
  <c r="EF14" i="4" s="1"/>
  <c r="CK14" i="4"/>
  <c r="CN14" i="4" s="1"/>
  <c r="MN23" i="4"/>
  <c r="P14" i="4"/>
  <c r="BR14" i="4" s="1"/>
  <c r="F14" i="4"/>
  <c r="MR23" i="4"/>
  <c r="MO23" i="4"/>
  <c r="G14" i="4"/>
  <c r="KW8" i="4"/>
  <c r="KZ8" i="4" s="1"/>
  <c r="HM8" i="4"/>
  <c r="HP8" i="4" s="1"/>
  <c r="GQ8" i="4"/>
  <c r="GT8" i="4" s="1"/>
  <c r="FU8" i="4"/>
  <c r="FX8" i="4" s="1"/>
  <c r="EC8" i="4"/>
  <c r="EF8" i="4" s="1"/>
  <c r="DG8" i="4"/>
  <c r="DJ8" i="4" s="1"/>
  <c r="MN22" i="4"/>
  <c r="P8" i="4"/>
  <c r="BR8" i="4" s="1"/>
  <c r="BK8" i="4"/>
  <c r="BN8" i="4" s="1"/>
  <c r="F8" i="4"/>
  <c r="AN8" i="4"/>
  <c r="AQ8" i="4" s="1"/>
  <c r="MR22" i="4"/>
  <c r="MO22" i="4"/>
  <c r="G8" i="4"/>
  <c r="LT5" i="6"/>
  <c r="LT11" i="6"/>
  <c r="LH5" i="8"/>
  <c r="LF6" i="8"/>
  <c r="LH7" i="8"/>
  <c r="LF4" i="8"/>
  <c r="MM5" i="2"/>
  <c r="MM6" i="2"/>
  <c r="MM7" i="2"/>
  <c r="MM8" i="2"/>
  <c r="MM9" i="2"/>
  <c r="MM10" i="2"/>
  <c r="MM11" i="2"/>
  <c r="MM12" i="2"/>
  <c r="MM13" i="2"/>
  <c r="MM4" i="2"/>
  <c r="MM5" i="4"/>
  <c r="MM6" i="4"/>
  <c r="MM7" i="4"/>
  <c r="MM8" i="4"/>
  <c r="MM9" i="4"/>
  <c r="MR9" i="4"/>
  <c r="MM10" i="4"/>
  <c r="MM11" i="4"/>
  <c r="MM12" i="4"/>
  <c r="MM13" i="4"/>
  <c r="MM14" i="4"/>
  <c r="MM15" i="4"/>
  <c r="MM16" i="4"/>
  <c r="MM17" i="4"/>
  <c r="MM18" i="4"/>
  <c r="MM19" i="4"/>
  <c r="MM20" i="4"/>
  <c r="MM21" i="4"/>
  <c r="MM4" i="4"/>
  <c r="K8" i="12" l="1"/>
  <c r="K5" i="12"/>
  <c r="K7" i="12"/>
  <c r="J12" i="2"/>
  <c r="L12" i="2" s="1"/>
  <c r="BR12" i="2"/>
  <c r="MP22" i="4"/>
  <c r="MP15" i="2"/>
  <c r="MS15" i="2" s="1"/>
  <c r="MS22" i="4"/>
  <c r="J14" i="4"/>
  <c r="BQ14" i="4" s="1"/>
  <c r="BN14" i="4"/>
  <c r="K6" i="12"/>
  <c r="L6" i="12"/>
  <c r="M6" i="12" s="1"/>
  <c r="LX7" i="12"/>
  <c r="I5" i="12"/>
  <c r="I8" i="12"/>
  <c r="I7" i="12"/>
  <c r="LW4" i="12"/>
  <c r="LX6" i="12"/>
  <c r="L13" i="6"/>
  <c r="M13" i="6" s="1"/>
  <c r="K13" i="6"/>
  <c r="LH6" i="7"/>
  <c r="LF8" i="7"/>
  <c r="LF6" i="7"/>
  <c r="LH8" i="7"/>
  <c r="MN8" i="2"/>
  <c r="MR7" i="2"/>
  <c r="MO6" i="2"/>
  <c r="H12" i="2"/>
  <c r="I12" i="2" s="1"/>
  <c r="Q7" i="2"/>
  <c r="MR4" i="4"/>
  <c r="MN5" i="4"/>
  <c r="MR11" i="4"/>
  <c r="Q8" i="4"/>
  <c r="MN21" i="4"/>
  <c r="Q14" i="4"/>
  <c r="H14" i="4"/>
  <c r="I14" i="4" s="1"/>
  <c r="E5" i="12"/>
  <c r="LX5" i="12"/>
  <c r="LV4" i="12"/>
  <c r="LU4" i="12"/>
  <c r="LU10" i="6"/>
  <c r="LU6" i="6"/>
  <c r="LV4" i="6"/>
  <c r="I13" i="6"/>
  <c r="A13" i="6"/>
  <c r="N13" i="6"/>
  <c r="LX8" i="12"/>
  <c r="E7" i="12"/>
  <c r="E8" i="12"/>
  <c r="I6" i="12"/>
  <c r="N6" i="12"/>
  <c r="MP14" i="2"/>
  <c r="MS14" i="2" s="1"/>
  <c r="J7" i="2"/>
  <c r="L7" i="2" s="1"/>
  <c r="H7" i="2"/>
  <c r="N7" i="2"/>
  <c r="N12" i="2"/>
  <c r="MN7" i="2"/>
  <c r="MP23" i="4"/>
  <c r="MS23" i="4" s="1"/>
  <c r="MN8" i="4"/>
  <c r="J8" i="4"/>
  <c r="L8" i="4" s="1"/>
  <c r="H8" i="4"/>
  <c r="MN6" i="4"/>
  <c r="LV12" i="6"/>
  <c r="LT10" i="6"/>
  <c r="LT9" i="6"/>
  <c r="LT7" i="6"/>
  <c r="LU7" i="6"/>
  <c r="LW7" i="6"/>
  <c r="LU9" i="6"/>
  <c r="LW9" i="6"/>
  <c r="LV9" i="6"/>
  <c r="LW5" i="6"/>
  <c r="LW6" i="6"/>
  <c r="LW11" i="6"/>
  <c r="LU4" i="6"/>
  <c r="LV11" i="6"/>
  <c r="LT6" i="6"/>
  <c r="LW4" i="6"/>
  <c r="LW10" i="6"/>
  <c r="LT8" i="6"/>
  <c r="LV7" i="6"/>
  <c r="LT12" i="6"/>
  <c r="LV10" i="6"/>
  <c r="LW8" i="6"/>
  <c r="LV8" i="6"/>
  <c r="LV5" i="6"/>
  <c r="LU12" i="6"/>
  <c r="LW12" i="6"/>
  <c r="LH6" i="8"/>
  <c r="LG7" i="8"/>
  <c r="LI7" i="8" s="1"/>
  <c r="LG6" i="8"/>
  <c r="LG5" i="8"/>
  <c r="LI5" i="8" s="1"/>
  <c r="LG4" i="8"/>
  <c r="LH4" i="8"/>
  <c r="LF7" i="8"/>
  <c r="LF5" i="8"/>
  <c r="LG6" i="7"/>
  <c r="LG7" i="7"/>
  <c r="LH4" i="7"/>
  <c r="LG5" i="7"/>
  <c r="LG8" i="7"/>
  <c r="LF9" i="7"/>
  <c r="LF7" i="7"/>
  <c r="LF5" i="7"/>
  <c r="LG9" i="7"/>
  <c r="LF4" i="7"/>
  <c r="LH9" i="7"/>
  <c r="LH7" i="7"/>
  <c r="LH5" i="7"/>
  <c r="MN4" i="2"/>
  <c r="MN12" i="2"/>
  <c r="MR11" i="2"/>
  <c r="MN11" i="2"/>
  <c r="MO10" i="2"/>
  <c r="MO9" i="2"/>
  <c r="MO11" i="2"/>
  <c r="MR9" i="2"/>
  <c r="MO4" i="2"/>
  <c r="MR13" i="2"/>
  <c r="MN9" i="2"/>
  <c r="MN6" i="2"/>
  <c r="MN10" i="2"/>
  <c r="MR6" i="2"/>
  <c r="MO13" i="2"/>
  <c r="MN13" i="2"/>
  <c r="MR10" i="2"/>
  <c r="MR5" i="2"/>
  <c r="MR4" i="2"/>
  <c r="MR12" i="2"/>
  <c r="MR8" i="2"/>
  <c r="MO5" i="2"/>
  <c r="MO12" i="2"/>
  <c r="MO8" i="2"/>
  <c r="MO7" i="2"/>
  <c r="MN5" i="2"/>
  <c r="MR21" i="4"/>
  <c r="MR10" i="4"/>
  <c r="MN16" i="4"/>
  <c r="MR13" i="4"/>
  <c r="MN10" i="4"/>
  <c r="MO19" i="4"/>
  <c r="MR14" i="4"/>
  <c r="MO12" i="4"/>
  <c r="MO20" i="4"/>
  <c r="MN12" i="4"/>
  <c r="MO13" i="4"/>
  <c r="MR5" i="4"/>
  <c r="MO21" i="4"/>
  <c r="MR19" i="4"/>
  <c r="MR18" i="4"/>
  <c r="MR16" i="4"/>
  <c r="MN13" i="4"/>
  <c r="MO10" i="4"/>
  <c r="MR8" i="4"/>
  <c r="MR6" i="4"/>
  <c r="MO5" i="4"/>
  <c r="MO4" i="4"/>
  <c r="MO16" i="4"/>
  <c r="MO15" i="4"/>
  <c r="MR12" i="4"/>
  <c r="MO8" i="4"/>
  <c r="MO7" i="4"/>
  <c r="MR15" i="4"/>
  <c r="MN15" i="4"/>
  <c r="MR7" i="4"/>
  <c r="MN7" i="4"/>
  <c r="MO18" i="4"/>
  <c r="MN18" i="4"/>
  <c r="MR20" i="4"/>
  <c r="MR17" i="4"/>
  <c r="MN20" i="4"/>
  <c r="MN4" i="4"/>
  <c r="MO14" i="4"/>
  <c r="MN14" i="4"/>
  <c r="MN11" i="4"/>
  <c r="MO11" i="4"/>
  <c r="MN19" i="4"/>
  <c r="MO17" i="4"/>
  <c r="MN17" i="4"/>
  <c r="MO9" i="4"/>
  <c r="MN9" i="4"/>
  <c r="MO6" i="4"/>
  <c r="LT4" i="12"/>
  <c r="LV6" i="6"/>
  <c r="LU8" i="6"/>
  <c r="LU11" i="6"/>
  <c r="LU5" i="6"/>
  <c r="LT4" i="6"/>
  <c r="LG4" i="7"/>
  <c r="KK5" i="8"/>
  <c r="KL5" i="8"/>
  <c r="MP10" i="2" l="1"/>
  <c r="K7" i="2"/>
  <c r="K12" i="2"/>
  <c r="BQ12" i="2"/>
  <c r="N14" i="4"/>
  <c r="L14" i="4"/>
  <c r="K14" i="4"/>
  <c r="O14" i="4" s="1"/>
  <c r="BQ7" i="2"/>
  <c r="MP6" i="2"/>
  <c r="MS6" i="2" s="1"/>
  <c r="LI4" i="7"/>
  <c r="LI8" i="7"/>
  <c r="MP8" i="2"/>
  <c r="MS8" i="2" s="1"/>
  <c r="MP9" i="2"/>
  <c r="MS9" i="2" s="1"/>
  <c r="MP13" i="2"/>
  <c r="MS13" i="2" s="1"/>
  <c r="MP5" i="4"/>
  <c r="MS5" i="4" s="1"/>
  <c r="MP13" i="4"/>
  <c r="MS13" i="4" s="1"/>
  <c r="LX4" i="12"/>
  <c r="LI6" i="7"/>
  <c r="LI7" i="7"/>
  <c r="LI9" i="7"/>
  <c r="LX5" i="6"/>
  <c r="LX12" i="6"/>
  <c r="LX7" i="6"/>
  <c r="LX9" i="6"/>
  <c r="LI6" i="8"/>
  <c r="LI5" i="7"/>
  <c r="MS10" i="2"/>
  <c r="MP5" i="2"/>
  <c r="MS5" i="2" s="1"/>
  <c r="MP14" i="4"/>
  <c r="MS14" i="4" s="1"/>
  <c r="MP21" i="4"/>
  <c r="MS21" i="4" s="1"/>
  <c r="MP10" i="4"/>
  <c r="MS10" i="4" s="1"/>
  <c r="MP17" i="4"/>
  <c r="MS17" i="4" s="1"/>
  <c r="MP20" i="4"/>
  <c r="MS20" i="4" s="1"/>
  <c r="MP7" i="4"/>
  <c r="MS7" i="4" s="1"/>
  <c r="LX4" i="6"/>
  <c r="O13" i="6"/>
  <c r="P13" i="6"/>
  <c r="E13" i="6"/>
  <c r="O6" i="12"/>
  <c r="P6" i="12"/>
  <c r="E6" i="12"/>
  <c r="MP12" i="2"/>
  <c r="MS12" i="2" s="1"/>
  <c r="I7" i="2"/>
  <c r="BP7" i="2"/>
  <c r="O7" i="2"/>
  <c r="M7" i="2"/>
  <c r="BO7" i="2"/>
  <c r="O12" i="2"/>
  <c r="BP12" i="2"/>
  <c r="M12" i="2"/>
  <c r="BO12" i="2"/>
  <c r="MP4" i="2"/>
  <c r="MS4" i="2" s="1"/>
  <c r="MP7" i="2"/>
  <c r="MS7" i="2" s="1"/>
  <c r="BP14" i="4"/>
  <c r="BO14" i="4"/>
  <c r="MP12" i="4"/>
  <c r="MS12" i="4" s="1"/>
  <c r="MP16" i="4"/>
  <c r="MS16" i="4" s="1"/>
  <c r="MP8" i="4"/>
  <c r="MS8" i="4" s="1"/>
  <c r="MP18" i="4"/>
  <c r="MS18" i="4" s="1"/>
  <c r="BQ8" i="4"/>
  <c r="K8" i="4"/>
  <c r="M8" i="4" s="1"/>
  <c r="N8" i="4"/>
  <c r="I8" i="4"/>
  <c r="BO8" i="4"/>
  <c r="MP9" i="4"/>
  <c r="MS9" i="4" s="1"/>
  <c r="MP6" i="4"/>
  <c r="MS6" i="4" s="1"/>
  <c r="MP4" i="4"/>
  <c r="MS4" i="4" s="1"/>
  <c r="LX8" i="6"/>
  <c r="LX11" i="6"/>
  <c r="LX6" i="6"/>
  <c r="LX10" i="6"/>
  <c r="LI4" i="8"/>
  <c r="MP11" i="2"/>
  <c r="MS11" i="2" s="1"/>
  <c r="MP19" i="4"/>
  <c r="MS19" i="4" s="1"/>
  <c r="MP15" i="4"/>
  <c r="MS15" i="4" s="1"/>
  <c r="MP11" i="4"/>
  <c r="MS11" i="4" s="1"/>
  <c r="CA5" i="6"/>
  <c r="CB5" i="6"/>
  <c r="CC5" i="6"/>
  <c r="CD5" i="6"/>
  <c r="CA6" i="6"/>
  <c r="CB6" i="6"/>
  <c r="CC6" i="6"/>
  <c r="CD6" i="6"/>
  <c r="CA8" i="6"/>
  <c r="CB8" i="6"/>
  <c r="CC8" i="6"/>
  <c r="CD8" i="6"/>
  <c r="CA11" i="6"/>
  <c r="CB11" i="6"/>
  <c r="CC11" i="6"/>
  <c r="CD11" i="6"/>
  <c r="CA12" i="6"/>
  <c r="CB12" i="6"/>
  <c r="CC12" i="6"/>
  <c r="CD12" i="6"/>
  <c r="CA9" i="6"/>
  <c r="CB9" i="6"/>
  <c r="CC9" i="6"/>
  <c r="CD9" i="6"/>
  <c r="CA7" i="6"/>
  <c r="CB7" i="6"/>
  <c r="CC7" i="6"/>
  <c r="CD7" i="6"/>
  <c r="CA10" i="6"/>
  <c r="CB10" i="6"/>
  <c r="CC10" i="6"/>
  <c r="CD10" i="6"/>
  <c r="CD4" i="6"/>
  <c r="CC4" i="6"/>
  <c r="CB4" i="6"/>
  <c r="CA4" i="6"/>
  <c r="M14" i="4" l="1"/>
  <c r="O8" i="4"/>
  <c r="CE4" i="6"/>
  <c r="CE7" i="6"/>
  <c r="CE9" i="6"/>
  <c r="CE10" i="6"/>
  <c r="R7" i="2"/>
  <c r="E7" i="2" s="1"/>
  <c r="R12" i="2"/>
  <c r="E12" i="2" s="1"/>
  <c r="R14" i="4"/>
  <c r="BP8" i="4"/>
  <c r="R8" i="4" s="1"/>
  <c r="CE6" i="6"/>
  <c r="CE12" i="6"/>
  <c r="CE8" i="6"/>
  <c r="CE5" i="6"/>
  <c r="CE11" i="6"/>
  <c r="FT11" i="4"/>
  <c r="E8" i="4" l="1"/>
  <c r="S12" i="2"/>
  <c r="T12" i="2"/>
  <c r="T7" i="2"/>
  <c r="S7" i="2"/>
  <c r="T14" i="4"/>
  <c r="S14" i="4"/>
  <c r="E14" i="4"/>
  <c r="A14" i="4" s="1"/>
  <c r="T8" i="4"/>
  <c r="S8" i="4"/>
  <c r="BC7" i="8"/>
  <c r="BD7" i="8"/>
  <c r="BE7" i="8"/>
  <c r="BY7" i="8"/>
  <c r="BZ7" i="8"/>
  <c r="CA7" i="8"/>
  <c r="CS7" i="8"/>
  <c r="CT7" i="8"/>
  <c r="CU7" i="8"/>
  <c r="DM7" i="8"/>
  <c r="DN7" i="8"/>
  <c r="DO7" i="8"/>
  <c r="EG7" i="8"/>
  <c r="EH7" i="8"/>
  <c r="EI7" i="8"/>
  <c r="FA7" i="8"/>
  <c r="FB7" i="8"/>
  <c r="FC7" i="8"/>
  <c r="FU7" i="8"/>
  <c r="FV7" i="8"/>
  <c r="FW7" i="8"/>
  <c r="GO7" i="8"/>
  <c r="GP7" i="8"/>
  <c r="GQ7" i="8"/>
  <c r="HI7" i="8"/>
  <c r="HJ7" i="8"/>
  <c r="HK7" i="8"/>
  <c r="IC7" i="8"/>
  <c r="ID7" i="8"/>
  <c r="IE7" i="8"/>
  <c r="IW7" i="8"/>
  <c r="IX7" i="8"/>
  <c r="IY7" i="8"/>
  <c r="JQ7" i="8"/>
  <c r="JR7" i="8"/>
  <c r="JS7" i="8"/>
  <c r="KK7" i="8"/>
  <c r="KL7" i="8"/>
  <c r="KM7" i="8"/>
  <c r="BH13" i="2"/>
  <c r="BI13" i="2"/>
  <c r="BJ13" i="2"/>
  <c r="BM13" i="2"/>
  <c r="CH13" i="2"/>
  <c r="CI13" i="2"/>
  <c r="CJ13" i="2"/>
  <c r="CM13" i="2"/>
  <c r="DD13" i="2"/>
  <c r="DE13" i="2"/>
  <c r="DF13" i="2"/>
  <c r="DI13" i="2"/>
  <c r="DZ13" i="2"/>
  <c r="EA13" i="2"/>
  <c r="EB13" i="2"/>
  <c r="EE13" i="2"/>
  <c r="EV13" i="2"/>
  <c r="EW13" i="2"/>
  <c r="EX13" i="2"/>
  <c r="FA13" i="2"/>
  <c r="FR13" i="2"/>
  <c r="FS13" i="2"/>
  <c r="FT13" i="2"/>
  <c r="FW13" i="2"/>
  <c r="GN13" i="2"/>
  <c r="GO13" i="2"/>
  <c r="GP13" i="2"/>
  <c r="GS13" i="2"/>
  <c r="HJ13" i="2"/>
  <c r="HK13" i="2"/>
  <c r="HL13" i="2"/>
  <c r="HO13" i="2"/>
  <c r="IF13" i="2"/>
  <c r="IG13" i="2"/>
  <c r="IH13" i="2"/>
  <c r="IK13" i="2"/>
  <c r="JB13" i="2"/>
  <c r="JC13" i="2"/>
  <c r="JD13" i="2"/>
  <c r="JG13" i="2"/>
  <c r="JX13" i="2"/>
  <c r="JY13" i="2"/>
  <c r="JZ13" i="2"/>
  <c r="KC13" i="2"/>
  <c r="KT13" i="2"/>
  <c r="KU13" i="2"/>
  <c r="KV13" i="2"/>
  <c r="KY13" i="2"/>
  <c r="LP13" i="2"/>
  <c r="LQ13" i="2"/>
  <c r="LR13" i="2"/>
  <c r="LU13" i="2"/>
  <c r="BH14" i="2"/>
  <c r="BI14" i="2"/>
  <c r="BJ14" i="2"/>
  <c r="BM14" i="2"/>
  <c r="CH14" i="2"/>
  <c r="CI14" i="2"/>
  <c r="CJ14" i="2"/>
  <c r="CM14" i="2"/>
  <c r="DD14" i="2"/>
  <c r="DE14" i="2"/>
  <c r="DF14" i="2"/>
  <c r="DI14" i="2"/>
  <c r="DZ14" i="2"/>
  <c r="EA14" i="2"/>
  <c r="EB14" i="2"/>
  <c r="EE14" i="2"/>
  <c r="EV14" i="2"/>
  <c r="EW14" i="2"/>
  <c r="EX14" i="2"/>
  <c r="FA14" i="2"/>
  <c r="FR14" i="2"/>
  <c r="FS14" i="2"/>
  <c r="FT14" i="2"/>
  <c r="FW14" i="2"/>
  <c r="GN14" i="2"/>
  <c r="GO14" i="2"/>
  <c r="GP14" i="2"/>
  <c r="GS14" i="2"/>
  <c r="HJ14" i="2"/>
  <c r="HK14" i="2"/>
  <c r="HL14" i="2"/>
  <c r="HO14" i="2"/>
  <c r="IF14" i="2"/>
  <c r="IG14" i="2"/>
  <c r="IH14" i="2"/>
  <c r="IK14" i="2"/>
  <c r="JB14" i="2"/>
  <c r="JC14" i="2"/>
  <c r="JD14" i="2"/>
  <c r="JG14" i="2"/>
  <c r="JX14" i="2"/>
  <c r="JY14" i="2"/>
  <c r="JZ14" i="2"/>
  <c r="KC14" i="2"/>
  <c r="KT14" i="2"/>
  <c r="KU14" i="2"/>
  <c r="KV14" i="2"/>
  <c r="KY14" i="2"/>
  <c r="LP14" i="2"/>
  <c r="LQ14" i="2"/>
  <c r="LR14" i="2"/>
  <c r="LU14" i="2"/>
  <c r="BH6" i="2"/>
  <c r="BI6" i="2"/>
  <c r="BJ6" i="2"/>
  <c r="BM6" i="2"/>
  <c r="CH6" i="2"/>
  <c r="CI6" i="2"/>
  <c r="CJ6" i="2"/>
  <c r="CM6" i="2"/>
  <c r="DD6" i="2"/>
  <c r="DE6" i="2"/>
  <c r="DF6" i="2"/>
  <c r="DI6" i="2"/>
  <c r="DZ6" i="2"/>
  <c r="EA6" i="2"/>
  <c r="EB6" i="2"/>
  <c r="EE6" i="2"/>
  <c r="EV6" i="2"/>
  <c r="EW6" i="2"/>
  <c r="EX6" i="2"/>
  <c r="FA6" i="2"/>
  <c r="FR6" i="2"/>
  <c r="FS6" i="2"/>
  <c r="FT6" i="2"/>
  <c r="FW6" i="2"/>
  <c r="GN6" i="2"/>
  <c r="GO6" i="2"/>
  <c r="GP6" i="2"/>
  <c r="GS6" i="2"/>
  <c r="HJ6" i="2"/>
  <c r="HK6" i="2"/>
  <c r="HL6" i="2"/>
  <c r="HO6" i="2"/>
  <c r="IF6" i="2"/>
  <c r="IG6" i="2"/>
  <c r="IH6" i="2"/>
  <c r="IK6" i="2"/>
  <c r="JB6" i="2"/>
  <c r="JC6" i="2"/>
  <c r="JD6" i="2"/>
  <c r="JG6" i="2"/>
  <c r="JX6" i="2"/>
  <c r="JY6" i="2"/>
  <c r="JZ6" i="2"/>
  <c r="KC6" i="2"/>
  <c r="KT6" i="2"/>
  <c r="KU6" i="2"/>
  <c r="KV6" i="2"/>
  <c r="KY6" i="2"/>
  <c r="LP6" i="2"/>
  <c r="LQ6" i="2"/>
  <c r="LR6" i="2"/>
  <c r="LU6" i="2"/>
  <c r="HM6" i="2" l="1"/>
  <c r="KW13" i="2"/>
  <c r="EC13" i="2"/>
  <c r="EF13" i="2" s="1"/>
  <c r="LS14" i="2"/>
  <c r="LV14" i="2" s="1"/>
  <c r="DG13" i="2"/>
  <c r="DJ13" i="2" s="1"/>
  <c r="FU14" i="2"/>
  <c r="FX14" i="2" s="1"/>
  <c r="EY13" i="2"/>
  <c r="FB13" i="2" s="1"/>
  <c r="EY6" i="2"/>
  <c r="FB6" i="2" s="1"/>
  <c r="CK14" i="2"/>
  <c r="GQ13" i="2"/>
  <c r="GT13" i="2" s="1"/>
  <c r="DG6" i="2"/>
  <c r="DJ6" i="2" s="1"/>
  <c r="II13" i="2"/>
  <c r="IL13" i="2" s="1"/>
  <c r="IZ7" i="8"/>
  <c r="CV7" i="8"/>
  <c r="FX7" i="8"/>
  <c r="CN14" i="2"/>
  <c r="DP7" i="8"/>
  <c r="KN7" i="8"/>
  <c r="FU6" i="2"/>
  <c r="FX6" i="2" s="1"/>
  <c r="EC6" i="2"/>
  <c r="EF6" i="2" s="1"/>
  <c r="CK6" i="2"/>
  <c r="CN6" i="2" s="1"/>
  <c r="KZ13" i="2"/>
  <c r="F14" i="2"/>
  <c r="KA13" i="2"/>
  <c r="KD13" i="2" s="1"/>
  <c r="EJ7" i="8"/>
  <c r="JT7" i="8"/>
  <c r="HL7" i="8"/>
  <c r="CB7" i="8"/>
  <c r="FD7" i="8"/>
  <c r="GR7" i="8"/>
  <c r="IF7" i="8"/>
  <c r="JE6" i="2"/>
  <c r="JH6" i="2" s="1"/>
  <c r="EY14" i="2"/>
  <c r="FB14" i="2" s="1"/>
  <c r="DG14" i="2"/>
  <c r="DJ14" i="2" s="1"/>
  <c r="CK13" i="2"/>
  <c r="CN13" i="2" s="1"/>
  <c r="KW6" i="2"/>
  <c r="KZ6" i="2" s="1"/>
  <c r="LS13" i="2"/>
  <c r="LV13" i="2" s="1"/>
  <c r="II14" i="2"/>
  <c r="IL14" i="2" s="1"/>
  <c r="HP6" i="2"/>
  <c r="JE14" i="2"/>
  <c r="JH14" i="2" s="1"/>
  <c r="BK13" i="2"/>
  <c r="BN13" i="2" s="1"/>
  <c r="KA6" i="2"/>
  <c r="KD6" i="2" s="1"/>
  <c r="EC14" i="2"/>
  <c r="EF14" i="2" s="1"/>
  <c r="P13" i="2"/>
  <c r="BR13" i="2" s="1"/>
  <c r="HM14" i="2"/>
  <c r="HP14" i="2" s="1"/>
  <c r="JE13" i="2"/>
  <c r="JH13" i="2" s="1"/>
  <c r="KA14" i="2"/>
  <c r="KD14" i="2" s="1"/>
  <c r="HM13" i="2"/>
  <c r="HP13" i="2" s="1"/>
  <c r="LS6" i="2"/>
  <c r="LV6" i="2" s="1"/>
  <c r="FU13" i="2"/>
  <c r="FX13" i="2" s="1"/>
  <c r="P14" i="2"/>
  <c r="BR14" i="2" s="1"/>
  <c r="II6" i="2"/>
  <c r="IL6" i="2" s="1"/>
  <c r="G6" i="2"/>
  <c r="GQ14" i="2"/>
  <c r="GT14" i="2" s="1"/>
  <c r="GQ6" i="2"/>
  <c r="GT6" i="2" s="1"/>
  <c r="KW14" i="2"/>
  <c r="KZ14" i="2" s="1"/>
  <c r="L7" i="8"/>
  <c r="M7" i="8" s="1"/>
  <c r="BF7" i="8"/>
  <c r="F7" i="8"/>
  <c r="H7" i="8"/>
  <c r="G7" i="8"/>
  <c r="J7" i="8"/>
  <c r="BK6" i="2"/>
  <c r="BN6" i="2" s="1"/>
  <c r="BK14" i="2"/>
  <c r="P6" i="2"/>
  <c r="BR6" i="2" s="1"/>
  <c r="F13" i="2"/>
  <c r="F6" i="2"/>
  <c r="G14" i="2"/>
  <c r="G13" i="2"/>
  <c r="H14" i="2" l="1"/>
  <c r="A14" i="2" s="1"/>
  <c r="H13" i="2"/>
  <c r="A13" i="2" s="1"/>
  <c r="J13" i="2"/>
  <c r="K13" i="2" s="1"/>
  <c r="BH7" i="8"/>
  <c r="Q13" i="2"/>
  <c r="Q14" i="2"/>
  <c r="J14" i="2"/>
  <c r="K14" i="2" s="1"/>
  <c r="BN14" i="2"/>
  <c r="H6" i="2"/>
  <c r="I6" i="2" s="1"/>
  <c r="I7" i="8"/>
  <c r="BG7" i="8"/>
  <c r="K7" i="8"/>
  <c r="Q6" i="2"/>
  <c r="J6" i="2"/>
  <c r="BQ13" i="2" l="1"/>
  <c r="I14" i="2"/>
  <c r="N7" i="8"/>
  <c r="E7" i="8" s="1"/>
  <c r="L13" i="2"/>
  <c r="BO13" i="2" s="1"/>
  <c r="N13" i="2"/>
  <c r="BP13" i="2" s="1"/>
  <c r="L14" i="2"/>
  <c r="M14" i="2" s="1"/>
  <c r="BQ14" i="2"/>
  <c r="I13" i="2"/>
  <c r="N14" i="2"/>
  <c r="O14" i="2" s="1"/>
  <c r="K6" i="2"/>
  <c r="BQ6" i="2"/>
  <c r="L6" i="2"/>
  <c r="N6" i="2"/>
  <c r="M13" i="2" l="1"/>
  <c r="R13" i="2"/>
  <c r="T13" i="2" s="1"/>
  <c r="BO14" i="2"/>
  <c r="P7" i="8"/>
  <c r="O7" i="8"/>
  <c r="O13" i="2"/>
  <c r="E13" i="2" s="1"/>
  <c r="BP14" i="2"/>
  <c r="O6" i="2"/>
  <c r="BP6" i="2"/>
  <c r="BO6" i="2"/>
  <c r="M6" i="2"/>
  <c r="R14" i="2" l="1"/>
  <c r="E14" i="2" s="1"/>
  <c r="S13" i="2"/>
  <c r="R6" i="2"/>
  <c r="T6" i="2" s="1"/>
  <c r="T14" i="2"/>
  <c r="S14" i="2"/>
  <c r="S6" i="2" l="1"/>
  <c r="E6" i="2"/>
  <c r="FH6" i="6"/>
  <c r="KD10" i="6" l="1"/>
  <c r="KC10" i="6"/>
  <c r="KD7" i="6"/>
  <c r="KC7" i="6"/>
  <c r="KD9" i="6"/>
  <c r="KC9" i="6"/>
  <c r="KD12" i="6"/>
  <c r="KC12" i="6"/>
  <c r="KD11" i="6"/>
  <c r="KC11" i="6"/>
  <c r="KD8" i="6"/>
  <c r="KC8" i="6"/>
  <c r="KD6" i="6"/>
  <c r="KC6" i="6"/>
  <c r="KD5" i="6"/>
  <c r="KC5" i="6"/>
  <c r="KD4" i="6"/>
  <c r="KC4" i="6"/>
  <c r="IN10" i="6"/>
  <c r="IM10" i="6"/>
  <c r="IN7" i="6"/>
  <c r="IM7" i="6"/>
  <c r="IN9" i="6"/>
  <c r="IM9" i="6"/>
  <c r="IN12" i="6"/>
  <c r="IM12" i="6"/>
  <c r="IN11" i="6"/>
  <c r="IM11" i="6"/>
  <c r="IN8" i="6"/>
  <c r="IM8" i="6"/>
  <c r="IN6" i="6"/>
  <c r="IM6" i="6"/>
  <c r="IN5" i="6"/>
  <c r="IM5" i="6"/>
  <c r="IN4" i="6"/>
  <c r="IM4" i="6"/>
  <c r="GX10" i="6"/>
  <c r="GW10" i="6"/>
  <c r="GX7" i="6"/>
  <c r="GW7" i="6"/>
  <c r="GX9" i="6"/>
  <c r="GW9" i="6"/>
  <c r="GX12" i="6"/>
  <c r="GW12" i="6"/>
  <c r="GX11" i="6"/>
  <c r="GW11" i="6"/>
  <c r="GX8" i="6"/>
  <c r="GW8" i="6"/>
  <c r="GX6" i="6"/>
  <c r="GW6" i="6"/>
  <c r="GX5" i="6"/>
  <c r="GW5" i="6"/>
  <c r="GX4" i="6"/>
  <c r="GW4" i="6"/>
  <c r="KY10" i="6"/>
  <c r="KX10" i="6"/>
  <c r="KY7" i="6"/>
  <c r="KX7" i="6"/>
  <c r="KY9" i="6"/>
  <c r="KX9" i="6"/>
  <c r="KY12" i="6"/>
  <c r="KX12" i="6"/>
  <c r="KY11" i="6"/>
  <c r="KX11" i="6"/>
  <c r="KY8" i="6"/>
  <c r="KX8" i="6"/>
  <c r="KY6" i="6"/>
  <c r="KX6" i="6"/>
  <c r="KY5" i="6"/>
  <c r="KX5" i="6"/>
  <c r="KY4" i="6"/>
  <c r="KX4" i="6"/>
  <c r="JI10" i="6"/>
  <c r="JH10" i="6"/>
  <c r="JI7" i="6"/>
  <c r="JH7" i="6"/>
  <c r="JI9" i="6"/>
  <c r="JH9" i="6"/>
  <c r="JI12" i="6"/>
  <c r="JH12" i="6"/>
  <c r="JI11" i="6"/>
  <c r="JH11" i="6"/>
  <c r="JI8" i="6"/>
  <c r="JH8" i="6"/>
  <c r="JI6" i="6"/>
  <c r="JH6" i="6"/>
  <c r="JI5" i="6"/>
  <c r="JH5" i="6"/>
  <c r="JI4" i="6"/>
  <c r="JH4" i="6"/>
  <c r="HS10" i="6"/>
  <c r="HR10" i="6"/>
  <c r="HS7" i="6"/>
  <c r="HR7" i="6"/>
  <c r="HS9" i="6"/>
  <c r="HR9" i="6"/>
  <c r="HS12" i="6"/>
  <c r="HR12" i="6"/>
  <c r="HS11" i="6"/>
  <c r="HR11" i="6"/>
  <c r="HS8" i="6"/>
  <c r="HR8" i="6"/>
  <c r="HS6" i="6"/>
  <c r="HR6" i="6"/>
  <c r="HS5" i="6"/>
  <c r="HR5" i="6"/>
  <c r="HS4" i="6"/>
  <c r="HR4" i="6"/>
  <c r="GC10" i="6"/>
  <c r="GB10" i="6"/>
  <c r="GC7" i="6"/>
  <c r="GB7" i="6"/>
  <c r="GC9" i="6"/>
  <c r="GB9" i="6"/>
  <c r="GC12" i="6"/>
  <c r="GB12" i="6"/>
  <c r="GC11" i="6"/>
  <c r="GB11" i="6"/>
  <c r="GC8" i="6"/>
  <c r="GB8" i="6"/>
  <c r="GC6" i="6"/>
  <c r="GB6" i="6"/>
  <c r="GC5" i="6"/>
  <c r="GB5" i="6"/>
  <c r="GC4" i="6"/>
  <c r="GB4" i="6"/>
  <c r="KY4" i="12" l="1"/>
  <c r="KX4" i="12"/>
  <c r="JI4" i="12"/>
  <c r="JH4" i="12"/>
  <c r="HS4" i="12"/>
  <c r="HR4" i="12"/>
  <c r="GC4" i="12"/>
  <c r="GB4" i="12"/>
  <c r="EM4" i="12"/>
  <c r="EL4" i="12"/>
  <c r="KD4" i="12"/>
  <c r="KC4" i="12"/>
  <c r="IN4" i="12"/>
  <c r="IM4" i="12"/>
  <c r="GX4" i="12"/>
  <c r="GW4" i="12"/>
  <c r="FH4" i="12"/>
  <c r="FG4" i="12"/>
  <c r="DR4" i="12"/>
  <c r="DQ4" i="12"/>
  <c r="CW4" i="12"/>
  <c r="CV4" i="12"/>
  <c r="CA4" i="12"/>
  <c r="CB4" i="12"/>
  <c r="BE4" i="12"/>
  <c r="BD4" i="12"/>
  <c r="EM10" i="6"/>
  <c r="EL10" i="6"/>
  <c r="EM7" i="6"/>
  <c r="EL7" i="6"/>
  <c r="EM9" i="6"/>
  <c r="EL9" i="6"/>
  <c r="EM12" i="6"/>
  <c r="EL12" i="6"/>
  <c r="EM11" i="6"/>
  <c r="EL11" i="6"/>
  <c r="EM8" i="6"/>
  <c r="EL8" i="6"/>
  <c r="EM6" i="6"/>
  <c r="EL6" i="6"/>
  <c r="EM5" i="6"/>
  <c r="EL5" i="6"/>
  <c r="EM4" i="6"/>
  <c r="EL4" i="6"/>
  <c r="FH10" i="6"/>
  <c r="FG10" i="6"/>
  <c r="FH7" i="6"/>
  <c r="FG7" i="6"/>
  <c r="FH9" i="6"/>
  <c r="FG9" i="6"/>
  <c r="FH12" i="6"/>
  <c r="FG12" i="6"/>
  <c r="FH11" i="6"/>
  <c r="FG11" i="6"/>
  <c r="FH8" i="6"/>
  <c r="FG8" i="6"/>
  <c r="FG6" i="6"/>
  <c r="FH5" i="6"/>
  <c r="FG5" i="6"/>
  <c r="FH4" i="6"/>
  <c r="FG4" i="6"/>
  <c r="DR10" i="6"/>
  <c r="DQ10" i="6"/>
  <c r="DR7" i="6"/>
  <c r="DQ7" i="6"/>
  <c r="DR9" i="6"/>
  <c r="DQ9" i="6"/>
  <c r="DR12" i="6"/>
  <c r="DQ12" i="6"/>
  <c r="DR11" i="6"/>
  <c r="DQ11" i="6"/>
  <c r="DR8" i="6"/>
  <c r="DQ8" i="6"/>
  <c r="DR6" i="6"/>
  <c r="DQ6" i="6"/>
  <c r="DR5" i="6"/>
  <c r="DQ5" i="6"/>
  <c r="DR4" i="6"/>
  <c r="DQ4" i="6"/>
  <c r="CW10" i="6"/>
  <c r="CV10" i="6"/>
  <c r="CW7" i="6"/>
  <c r="CV7" i="6"/>
  <c r="CW9" i="6"/>
  <c r="CV9" i="6"/>
  <c r="CW12" i="6"/>
  <c r="CV12" i="6"/>
  <c r="CW11" i="6"/>
  <c r="CV11" i="6"/>
  <c r="CW8" i="6"/>
  <c r="CV8" i="6"/>
  <c r="CW6" i="6"/>
  <c r="CV6" i="6"/>
  <c r="CW5" i="6"/>
  <c r="CV5" i="6"/>
  <c r="CW4" i="6"/>
  <c r="CV4" i="6"/>
  <c r="BE10" i="6"/>
  <c r="BD10" i="6"/>
  <c r="BE7" i="6"/>
  <c r="BD7" i="6"/>
  <c r="BE9" i="6"/>
  <c r="BD9" i="6"/>
  <c r="BE12" i="6"/>
  <c r="BD12" i="6"/>
  <c r="BE11" i="6"/>
  <c r="BD11" i="6"/>
  <c r="BE8" i="6"/>
  <c r="BD8" i="6"/>
  <c r="BE6" i="6"/>
  <c r="BD6" i="6"/>
  <c r="BE5" i="6"/>
  <c r="BD5" i="6"/>
  <c r="BE4" i="6"/>
  <c r="BD4" i="6"/>
  <c r="KM6" i="8" l="1"/>
  <c r="KL6" i="8"/>
  <c r="KL4" i="8"/>
  <c r="JR6" i="8"/>
  <c r="JR5" i="8"/>
  <c r="JR4" i="8"/>
  <c r="IX6" i="8"/>
  <c r="IX5" i="8"/>
  <c r="IX4" i="8"/>
  <c r="ID6" i="8"/>
  <c r="ID5" i="8"/>
  <c r="ID4" i="8"/>
  <c r="HJ4" i="8"/>
  <c r="HJ6" i="8"/>
  <c r="HJ5" i="8"/>
  <c r="GP6" i="8"/>
  <c r="GP5" i="8"/>
  <c r="GP4" i="8"/>
  <c r="FV6" i="8"/>
  <c r="FV5" i="8"/>
  <c r="FV4" i="8"/>
  <c r="FB6" i="8"/>
  <c r="FB5" i="8"/>
  <c r="FB4" i="8"/>
  <c r="EH6" i="8"/>
  <c r="EH5" i="8"/>
  <c r="EH4" i="8"/>
  <c r="DN6" i="8"/>
  <c r="DN5" i="8"/>
  <c r="DN4" i="8"/>
  <c r="CT6" i="8"/>
  <c r="CT5" i="8"/>
  <c r="CT4" i="8"/>
  <c r="BZ5" i="8"/>
  <c r="BZ6" i="8"/>
  <c r="BZ4" i="8"/>
  <c r="BD6" i="8"/>
  <c r="BD5" i="8"/>
  <c r="BD4" i="8"/>
  <c r="KL8" i="7"/>
  <c r="KL9" i="7"/>
  <c r="KL7" i="7"/>
  <c r="KL6" i="7"/>
  <c r="KL5" i="7"/>
  <c r="KL4" i="7"/>
  <c r="JR8" i="7"/>
  <c r="JR9" i="7"/>
  <c r="JR7" i="7"/>
  <c r="JR6" i="7"/>
  <c r="JR5" i="7"/>
  <c r="JR4" i="7"/>
  <c r="IX8" i="7"/>
  <c r="IX9" i="7"/>
  <c r="IX7" i="7"/>
  <c r="IX6" i="7"/>
  <c r="IX5" i="7"/>
  <c r="IX4" i="7"/>
  <c r="ID8" i="7"/>
  <c r="ID9" i="7"/>
  <c r="ID7" i="7"/>
  <c r="ID6" i="7"/>
  <c r="ID5" i="7"/>
  <c r="ID4" i="7"/>
  <c r="HJ8" i="7"/>
  <c r="HJ9" i="7"/>
  <c r="HJ7" i="7"/>
  <c r="HJ6" i="7"/>
  <c r="HJ5" i="7"/>
  <c r="HJ4" i="7"/>
  <c r="GP8" i="7"/>
  <c r="GP9" i="7"/>
  <c r="GP7" i="7"/>
  <c r="GP6" i="7"/>
  <c r="GP5" i="7"/>
  <c r="GP4" i="7"/>
  <c r="FV8" i="7"/>
  <c r="FV9" i="7"/>
  <c r="FV7" i="7"/>
  <c r="FV6" i="7"/>
  <c r="FV5" i="7"/>
  <c r="FV4" i="7"/>
  <c r="FB8" i="7"/>
  <c r="FB9" i="7"/>
  <c r="FB7" i="7"/>
  <c r="FB6" i="7"/>
  <c r="FB5" i="7"/>
  <c r="FB4" i="7"/>
  <c r="EH8" i="7"/>
  <c r="EH9" i="7"/>
  <c r="EH7" i="7"/>
  <c r="EH6" i="7"/>
  <c r="EH5" i="7"/>
  <c r="EH4" i="7"/>
  <c r="DN8" i="7"/>
  <c r="DN9" i="7"/>
  <c r="DN7" i="7"/>
  <c r="DN6" i="7"/>
  <c r="DN5" i="7"/>
  <c r="DN4" i="7"/>
  <c r="CT8" i="7"/>
  <c r="CT9" i="7"/>
  <c r="CT7" i="7"/>
  <c r="CT6" i="7"/>
  <c r="CT5" i="7"/>
  <c r="CT4" i="7"/>
  <c r="BZ5" i="7"/>
  <c r="BZ6" i="7"/>
  <c r="BZ7" i="7"/>
  <c r="BZ9" i="7"/>
  <c r="BZ8" i="7"/>
  <c r="BZ4" i="7"/>
  <c r="BD5" i="7"/>
  <c r="BD6" i="7"/>
  <c r="BD7" i="7"/>
  <c r="BD9" i="7"/>
  <c r="BD8" i="7"/>
  <c r="BD4" i="7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H7" i="7" l="1"/>
  <c r="H6" i="7"/>
  <c r="H4" i="8"/>
  <c r="H4" i="7"/>
  <c r="H8" i="7"/>
  <c r="H5" i="7"/>
  <c r="H9" i="7"/>
  <c r="H4" i="12"/>
  <c r="G4" i="12"/>
  <c r="F4" i="12"/>
  <c r="H6" i="8"/>
  <c r="H5" i="8"/>
  <c r="IQ4" i="12"/>
  <c r="EP4" i="12"/>
  <c r="LB4" i="12"/>
  <c r="FK4" i="12"/>
  <c r="GF4" i="12"/>
  <c r="CE4" i="12"/>
  <c r="HA4" i="12"/>
  <c r="CZ4" i="12"/>
  <c r="JL4" i="12"/>
  <c r="BH4" i="12"/>
  <c r="HV4" i="12"/>
  <c r="DU4" i="12"/>
  <c r="KG4" i="12"/>
  <c r="J4" i="12" l="1"/>
  <c r="I4" i="12"/>
  <c r="BI4" i="12" l="1"/>
  <c r="K4" i="12"/>
  <c r="L4" i="12"/>
  <c r="M4" i="12" s="1"/>
  <c r="BJ4" i="12" l="1"/>
  <c r="N4" i="12" s="1"/>
  <c r="P4" i="12" l="1"/>
  <c r="E4" i="12"/>
  <c r="A5" i="12" s="1"/>
  <c r="O4" i="12"/>
  <c r="A4" i="12" l="1"/>
  <c r="A8" i="12"/>
  <c r="A7" i="12"/>
  <c r="A6" i="12"/>
  <c r="BF5" i="6"/>
  <c r="BG5" i="6"/>
  <c r="BF4" i="6"/>
  <c r="BG4" i="6"/>
  <c r="BF11" i="6"/>
  <c r="BG11" i="6"/>
  <c r="BF9" i="6"/>
  <c r="BG9" i="6"/>
  <c r="BF12" i="6"/>
  <c r="BG12" i="6"/>
  <c r="BF8" i="6"/>
  <c r="BG8" i="6"/>
  <c r="BF7" i="6"/>
  <c r="BG7" i="6"/>
  <c r="BF10" i="6"/>
  <c r="BG10" i="6"/>
  <c r="BG6" i="6"/>
  <c r="BF6" i="6"/>
  <c r="LA10" i="6"/>
  <c r="KZ10" i="6"/>
  <c r="LA7" i="6"/>
  <c r="KZ7" i="6"/>
  <c r="LA8" i="6"/>
  <c r="KZ8" i="6"/>
  <c r="LA12" i="6"/>
  <c r="KZ12" i="6"/>
  <c r="LA9" i="6"/>
  <c r="KZ9" i="6"/>
  <c r="LA11" i="6"/>
  <c r="KZ11" i="6"/>
  <c r="LA4" i="6"/>
  <c r="KZ4" i="6"/>
  <c r="LA5" i="6"/>
  <c r="KZ5" i="6"/>
  <c r="LA6" i="6"/>
  <c r="KZ6" i="6"/>
  <c r="KF10" i="6"/>
  <c r="KE10" i="6"/>
  <c r="KF7" i="6"/>
  <c r="KE7" i="6"/>
  <c r="KF8" i="6"/>
  <c r="KE8" i="6"/>
  <c r="KF12" i="6"/>
  <c r="KE12" i="6"/>
  <c r="KF9" i="6"/>
  <c r="KE9" i="6"/>
  <c r="KF11" i="6"/>
  <c r="KE11" i="6"/>
  <c r="KF4" i="6"/>
  <c r="KE4" i="6"/>
  <c r="KF5" i="6"/>
  <c r="KE5" i="6"/>
  <c r="KF6" i="6"/>
  <c r="KE6" i="6"/>
  <c r="JJ4" i="6"/>
  <c r="JK10" i="6"/>
  <c r="JJ10" i="6"/>
  <c r="JK7" i="6"/>
  <c r="JJ7" i="6"/>
  <c r="JK8" i="6"/>
  <c r="JJ8" i="6"/>
  <c r="JK12" i="6"/>
  <c r="JJ12" i="6"/>
  <c r="JK9" i="6"/>
  <c r="JJ9" i="6"/>
  <c r="JK11" i="6"/>
  <c r="JJ11" i="6"/>
  <c r="JK4" i="6"/>
  <c r="JK5" i="6"/>
  <c r="JJ5" i="6"/>
  <c r="JK6" i="6"/>
  <c r="JJ6" i="6"/>
  <c r="IO5" i="6"/>
  <c r="IP5" i="6"/>
  <c r="IO4" i="6"/>
  <c r="IP4" i="6"/>
  <c r="IO11" i="6"/>
  <c r="IP11" i="6"/>
  <c r="IO9" i="6"/>
  <c r="IP9" i="6"/>
  <c r="IO12" i="6"/>
  <c r="IP12" i="6"/>
  <c r="IO8" i="6"/>
  <c r="IP8" i="6"/>
  <c r="IO7" i="6"/>
  <c r="IP7" i="6"/>
  <c r="IO10" i="6"/>
  <c r="IP10" i="6"/>
  <c r="IP6" i="6"/>
  <c r="IO6" i="6"/>
  <c r="HT5" i="6"/>
  <c r="HU5" i="6"/>
  <c r="HT4" i="6"/>
  <c r="HU4" i="6"/>
  <c r="HT11" i="6"/>
  <c r="HU11" i="6"/>
  <c r="HT9" i="6"/>
  <c r="HU9" i="6"/>
  <c r="HT12" i="6"/>
  <c r="HU12" i="6"/>
  <c r="HT8" i="6"/>
  <c r="HU8" i="6"/>
  <c r="HT7" i="6"/>
  <c r="HU7" i="6"/>
  <c r="HT10" i="6"/>
  <c r="HU10" i="6"/>
  <c r="HU6" i="6"/>
  <c r="HT6" i="6"/>
  <c r="GY5" i="6"/>
  <c r="GZ5" i="6"/>
  <c r="GY4" i="6"/>
  <c r="GZ4" i="6"/>
  <c r="GY11" i="6"/>
  <c r="GZ11" i="6"/>
  <c r="GY9" i="6"/>
  <c r="GZ9" i="6"/>
  <c r="GY12" i="6"/>
  <c r="GZ12" i="6"/>
  <c r="GY8" i="6"/>
  <c r="GZ8" i="6"/>
  <c r="GY7" i="6"/>
  <c r="GZ7" i="6"/>
  <c r="GY10" i="6"/>
  <c r="GZ10" i="6"/>
  <c r="GZ6" i="6"/>
  <c r="GY6" i="6"/>
  <c r="GD5" i="6"/>
  <c r="GE5" i="6"/>
  <c r="GD4" i="6"/>
  <c r="GE4" i="6"/>
  <c r="GD11" i="6"/>
  <c r="GE11" i="6"/>
  <c r="GD9" i="6"/>
  <c r="GE9" i="6"/>
  <c r="GD12" i="6"/>
  <c r="GE12" i="6"/>
  <c r="GD8" i="6"/>
  <c r="GE8" i="6"/>
  <c r="GD7" i="6"/>
  <c r="GE7" i="6"/>
  <c r="GD10" i="6"/>
  <c r="GE10" i="6"/>
  <c r="GE6" i="6"/>
  <c r="GD6" i="6"/>
  <c r="FI5" i="6"/>
  <c r="FJ5" i="6"/>
  <c r="FI4" i="6"/>
  <c r="FJ4" i="6"/>
  <c r="FI11" i="6"/>
  <c r="FJ11" i="6"/>
  <c r="FI9" i="6"/>
  <c r="FJ9" i="6"/>
  <c r="FI12" i="6"/>
  <c r="FJ12" i="6"/>
  <c r="FI8" i="6"/>
  <c r="FJ8" i="6"/>
  <c r="FI7" i="6"/>
  <c r="FJ7" i="6"/>
  <c r="FI10" i="6"/>
  <c r="FJ10" i="6"/>
  <c r="FJ6" i="6"/>
  <c r="FI6" i="6"/>
  <c r="EN5" i="6"/>
  <c r="EO5" i="6"/>
  <c r="EN4" i="6"/>
  <c r="EO4" i="6"/>
  <c r="EN11" i="6"/>
  <c r="EO11" i="6"/>
  <c r="EN9" i="6"/>
  <c r="EO9" i="6"/>
  <c r="EN12" i="6"/>
  <c r="EO12" i="6"/>
  <c r="EN8" i="6"/>
  <c r="EO8" i="6"/>
  <c r="EN7" i="6"/>
  <c r="EO7" i="6"/>
  <c r="EN10" i="6"/>
  <c r="EO10" i="6"/>
  <c r="EO6" i="6"/>
  <c r="EN6" i="6"/>
  <c r="D33" i="11" l="1"/>
  <c r="D34" i="11"/>
  <c r="D35" i="11"/>
  <c r="C37" i="11"/>
  <c r="C32" i="11"/>
  <c r="D32" i="11"/>
  <c r="C33" i="11"/>
  <c r="C35" i="11"/>
  <c r="D36" i="11"/>
  <c r="D37" i="11"/>
  <c r="C34" i="11"/>
  <c r="C36" i="11"/>
  <c r="LB11" i="6"/>
  <c r="BH4" i="6"/>
  <c r="JL10" i="6"/>
  <c r="JL6" i="6"/>
  <c r="KG4" i="6"/>
  <c r="LB6" i="6"/>
  <c r="EP9" i="6"/>
  <c r="LB8" i="6"/>
  <c r="GF9" i="6"/>
  <c r="HV6" i="6"/>
  <c r="JL8" i="6"/>
  <c r="KG12" i="6"/>
  <c r="LB5" i="6"/>
  <c r="BH6" i="6"/>
  <c r="HV4" i="6"/>
  <c r="IQ9" i="6"/>
  <c r="BH7" i="6"/>
  <c r="FK4" i="6"/>
  <c r="GF8" i="6"/>
  <c r="HA4" i="6"/>
  <c r="HV8" i="6"/>
  <c r="IQ6" i="6"/>
  <c r="IQ4" i="6"/>
  <c r="FK9" i="6"/>
  <c r="FK5" i="6"/>
  <c r="HV7" i="6"/>
  <c r="BH8" i="6"/>
  <c r="HV9" i="6"/>
  <c r="IQ8" i="6"/>
  <c r="EP7" i="6"/>
  <c r="BH9" i="6"/>
  <c r="JL5" i="6"/>
  <c r="LB10" i="6"/>
  <c r="JL4" i="6"/>
  <c r="KG7" i="6"/>
  <c r="LB9" i="6"/>
  <c r="IQ7" i="6"/>
  <c r="BH11" i="6"/>
  <c r="HV11" i="6"/>
  <c r="HV12" i="6"/>
  <c r="BH12" i="6"/>
  <c r="HV10" i="6"/>
  <c r="JL12" i="6"/>
  <c r="BH10" i="6"/>
  <c r="HV5" i="6"/>
  <c r="BH5" i="6"/>
  <c r="JL7" i="6"/>
  <c r="FK8" i="6"/>
  <c r="FK7" i="6"/>
  <c r="EP4" i="6"/>
  <c r="EP8" i="6"/>
  <c r="HA8" i="6"/>
  <c r="HA9" i="6"/>
  <c r="HA6" i="6"/>
  <c r="HA5" i="6"/>
  <c r="GF6" i="6"/>
  <c r="GF4" i="6"/>
  <c r="GF11" i="6"/>
  <c r="HA7" i="6"/>
  <c r="EP12" i="6"/>
  <c r="FK10" i="6"/>
  <c r="KG11" i="6"/>
  <c r="GF7" i="6"/>
  <c r="IQ5" i="6"/>
  <c r="JL11" i="6"/>
  <c r="HA12" i="6"/>
  <c r="IQ10" i="6"/>
  <c r="EP10" i="6"/>
  <c r="GF10" i="6"/>
  <c r="HA10" i="6"/>
  <c r="EP5" i="6"/>
  <c r="KG6" i="6"/>
  <c r="KG8" i="6"/>
  <c r="LB4" i="6"/>
  <c r="HA11" i="6"/>
  <c r="EP6" i="6"/>
  <c r="EP11" i="6"/>
  <c r="FK11" i="6"/>
  <c r="GF5" i="6"/>
  <c r="KG5" i="6"/>
  <c r="KG10" i="6"/>
  <c r="LB12" i="6"/>
  <c r="GF12" i="6"/>
  <c r="IQ11" i="6"/>
  <c r="IQ12" i="6"/>
  <c r="FK6" i="6"/>
  <c r="FK12" i="6"/>
  <c r="JL9" i="6"/>
  <c r="KG9" i="6"/>
  <c r="LB7" i="6"/>
  <c r="DS5" i="6"/>
  <c r="DT5" i="6"/>
  <c r="DS4" i="6"/>
  <c r="DT4" i="6"/>
  <c r="DS11" i="6"/>
  <c r="DT11" i="6"/>
  <c r="DS9" i="6"/>
  <c r="DT9" i="6"/>
  <c r="DS12" i="6"/>
  <c r="DT12" i="6"/>
  <c r="DS8" i="6"/>
  <c r="DT8" i="6"/>
  <c r="DS7" i="6"/>
  <c r="DT7" i="6"/>
  <c r="DS10" i="6"/>
  <c r="DT10" i="6"/>
  <c r="DT6" i="6"/>
  <c r="DS6" i="6"/>
  <c r="CX5" i="6"/>
  <c r="CY5" i="6"/>
  <c r="CX4" i="6"/>
  <c r="CY4" i="6"/>
  <c r="CX11" i="6"/>
  <c r="CY11" i="6"/>
  <c r="CX9" i="6"/>
  <c r="CY9" i="6"/>
  <c r="CX12" i="6"/>
  <c r="CY12" i="6"/>
  <c r="CX8" i="6"/>
  <c r="CY8" i="6"/>
  <c r="CX7" i="6"/>
  <c r="CY7" i="6"/>
  <c r="CX10" i="6"/>
  <c r="F10" i="6" s="1"/>
  <c r="CY10" i="6"/>
  <c r="CY6" i="6"/>
  <c r="CX6" i="6"/>
  <c r="F4" i="6"/>
  <c r="G7" i="6" l="1"/>
  <c r="G9" i="6"/>
  <c r="H5" i="6"/>
  <c r="F9" i="6"/>
  <c r="H9" i="6"/>
  <c r="H11" i="6"/>
  <c r="J10" i="6"/>
  <c r="K10" i="6" s="1"/>
  <c r="H6" i="6"/>
  <c r="G5" i="6"/>
  <c r="H12" i="6"/>
  <c r="H10" i="6"/>
  <c r="A10" i="6" s="1"/>
  <c r="H8" i="6"/>
  <c r="F11" i="6"/>
  <c r="F5" i="6"/>
  <c r="J4" i="6"/>
  <c r="K4" i="6" s="1"/>
  <c r="F7" i="6"/>
  <c r="G12" i="6"/>
  <c r="G4" i="6"/>
  <c r="H7" i="6"/>
  <c r="F12" i="6"/>
  <c r="H4" i="6"/>
  <c r="G6" i="6"/>
  <c r="G8" i="6"/>
  <c r="G11" i="6"/>
  <c r="F6" i="6"/>
  <c r="G10" i="6"/>
  <c r="F8" i="6"/>
  <c r="J7" i="6"/>
  <c r="K7" i="6" s="1"/>
  <c r="J6" i="6"/>
  <c r="L6" i="6" s="1"/>
  <c r="M6" i="6" s="1"/>
  <c r="J9" i="6"/>
  <c r="L9" i="6" s="1"/>
  <c r="M9" i="6" s="1"/>
  <c r="J5" i="6"/>
  <c r="K5" i="6" s="1"/>
  <c r="J8" i="6"/>
  <c r="J11" i="6"/>
  <c r="K11" i="6" s="1"/>
  <c r="DU8" i="6"/>
  <c r="J12" i="6"/>
  <c r="K12" i="6" s="1"/>
  <c r="DU9" i="6"/>
  <c r="DU4" i="6"/>
  <c r="DU7" i="6"/>
  <c r="CZ7" i="6"/>
  <c r="CZ11" i="6"/>
  <c r="CZ6" i="6"/>
  <c r="CZ12" i="6"/>
  <c r="CZ4" i="6"/>
  <c r="CZ9" i="6"/>
  <c r="CZ10" i="6"/>
  <c r="CZ8" i="6"/>
  <c r="CZ5" i="6"/>
  <c r="DU12" i="6"/>
  <c r="DU5" i="6"/>
  <c r="DU6" i="6"/>
  <c r="DU11" i="6"/>
  <c r="DU10" i="6"/>
  <c r="L10" i="6" l="1"/>
  <c r="M10" i="6" s="1"/>
  <c r="A12" i="6"/>
  <c r="A9" i="6"/>
  <c r="A8" i="6"/>
  <c r="A11" i="6"/>
  <c r="L4" i="6"/>
  <c r="M4" i="6" s="1"/>
  <c r="K6" i="6"/>
  <c r="L11" i="6"/>
  <c r="M11" i="6" s="1"/>
  <c r="L7" i="6"/>
  <c r="M7" i="6" s="1"/>
  <c r="L5" i="6"/>
  <c r="M5" i="6" s="1"/>
  <c r="K9" i="6"/>
  <c r="K8" i="6"/>
  <c r="L8" i="6"/>
  <c r="M8" i="6" s="1"/>
  <c r="L12" i="6"/>
  <c r="M12" i="6" s="1"/>
  <c r="LP4" i="2"/>
  <c r="LP9" i="2"/>
  <c r="LP5" i="2"/>
  <c r="LP10" i="2"/>
  <c r="LP11" i="2"/>
  <c r="LP8" i="2"/>
  <c r="LP15" i="2"/>
  <c r="KT4" i="2"/>
  <c r="KT9" i="2"/>
  <c r="KT5" i="2"/>
  <c r="KT10" i="2"/>
  <c r="KT11" i="2"/>
  <c r="KT8" i="2"/>
  <c r="KT15" i="2"/>
  <c r="JX4" i="2"/>
  <c r="JX9" i="2"/>
  <c r="JX5" i="2"/>
  <c r="JX10" i="2"/>
  <c r="JX11" i="2"/>
  <c r="JX8" i="2"/>
  <c r="JX15" i="2"/>
  <c r="JB4" i="2"/>
  <c r="JB9" i="2"/>
  <c r="JB5" i="2"/>
  <c r="JB10" i="2"/>
  <c r="JB11" i="2"/>
  <c r="JB8" i="2"/>
  <c r="JB15" i="2"/>
  <c r="IF4" i="2"/>
  <c r="IF9" i="2"/>
  <c r="IF5" i="2"/>
  <c r="IF10" i="2"/>
  <c r="IF11" i="2"/>
  <c r="IF8" i="2"/>
  <c r="IF15" i="2"/>
  <c r="HJ4" i="2"/>
  <c r="HJ9" i="2"/>
  <c r="HJ5" i="2"/>
  <c r="HJ10" i="2"/>
  <c r="HJ11" i="2"/>
  <c r="HJ8" i="2"/>
  <c r="HJ15" i="2"/>
  <c r="GN4" i="2"/>
  <c r="GN9" i="2"/>
  <c r="GN5" i="2"/>
  <c r="GN10" i="2"/>
  <c r="GN11" i="2"/>
  <c r="GN8" i="2"/>
  <c r="GN15" i="2"/>
  <c r="FR4" i="2"/>
  <c r="FR9" i="2"/>
  <c r="FR5" i="2"/>
  <c r="FR10" i="2"/>
  <c r="FR11" i="2"/>
  <c r="FR8" i="2"/>
  <c r="FR15" i="2"/>
  <c r="EV4" i="2"/>
  <c r="EV9" i="2"/>
  <c r="EV5" i="2"/>
  <c r="EV10" i="2"/>
  <c r="EV11" i="2"/>
  <c r="EV8" i="2"/>
  <c r="EV15" i="2"/>
  <c r="DZ4" i="2"/>
  <c r="DZ9" i="2"/>
  <c r="DZ5" i="2"/>
  <c r="DZ10" i="2"/>
  <c r="DZ11" i="2"/>
  <c r="DZ8" i="2"/>
  <c r="DZ15" i="2"/>
  <c r="DD4" i="2"/>
  <c r="DD9" i="2"/>
  <c r="DD5" i="2"/>
  <c r="DD10" i="2"/>
  <c r="DD11" i="2"/>
  <c r="DD8" i="2"/>
  <c r="DD15" i="2"/>
  <c r="CH4" i="2"/>
  <c r="CH9" i="2"/>
  <c r="CH5" i="2"/>
  <c r="CH10" i="2"/>
  <c r="CH11" i="2"/>
  <c r="CH8" i="2"/>
  <c r="CH15" i="2"/>
  <c r="BH4" i="2"/>
  <c r="BH9" i="2"/>
  <c r="BH5" i="2"/>
  <c r="BH10" i="2"/>
  <c r="BH11" i="2"/>
  <c r="BH8" i="2"/>
  <c r="BH15" i="2"/>
  <c r="LP5" i="4"/>
  <c r="LP11" i="4"/>
  <c r="LP10" i="4"/>
  <c r="LP12" i="4"/>
  <c r="LP6" i="4"/>
  <c r="LP23" i="4"/>
  <c r="LP19" i="4"/>
  <c r="LP9" i="4"/>
  <c r="LP17" i="4"/>
  <c r="LP7" i="4"/>
  <c r="LP15" i="4"/>
  <c r="LP16" i="4"/>
  <c r="LP21" i="4"/>
  <c r="LP13" i="4"/>
  <c r="LP20" i="4"/>
  <c r="LP22" i="4"/>
  <c r="LP18" i="4"/>
  <c r="LP4" i="4"/>
  <c r="KT5" i="4"/>
  <c r="KT11" i="4"/>
  <c r="KT10" i="4"/>
  <c r="KT12" i="4"/>
  <c r="KT6" i="4"/>
  <c r="KT23" i="4"/>
  <c r="KT19" i="4"/>
  <c r="KT9" i="4"/>
  <c r="KT17" i="4"/>
  <c r="KT7" i="4"/>
  <c r="KT15" i="4"/>
  <c r="KT16" i="4"/>
  <c r="KT21" i="4"/>
  <c r="KT13" i="4"/>
  <c r="KT20" i="4"/>
  <c r="KT22" i="4"/>
  <c r="KT18" i="4"/>
  <c r="KT4" i="4"/>
  <c r="JX5" i="4"/>
  <c r="JX11" i="4"/>
  <c r="JX10" i="4"/>
  <c r="JX12" i="4"/>
  <c r="JX6" i="4"/>
  <c r="JX23" i="4"/>
  <c r="JX19" i="4"/>
  <c r="JX9" i="4"/>
  <c r="JX17" i="4"/>
  <c r="JX7" i="4"/>
  <c r="JX15" i="4"/>
  <c r="JX16" i="4"/>
  <c r="JX21" i="4"/>
  <c r="JX13" i="4"/>
  <c r="JX20" i="4"/>
  <c r="JX22" i="4"/>
  <c r="JX18" i="4"/>
  <c r="JX4" i="4"/>
  <c r="JB5" i="4"/>
  <c r="JB11" i="4"/>
  <c r="JB10" i="4"/>
  <c r="JB12" i="4"/>
  <c r="JB6" i="4"/>
  <c r="JB23" i="4"/>
  <c r="JB19" i="4"/>
  <c r="JB9" i="4"/>
  <c r="JB17" i="4"/>
  <c r="JB7" i="4"/>
  <c r="JB15" i="4"/>
  <c r="JB16" i="4"/>
  <c r="JB21" i="4"/>
  <c r="JB13" i="4"/>
  <c r="JB20" i="4"/>
  <c r="JB22" i="4"/>
  <c r="JB18" i="4"/>
  <c r="JB4" i="4"/>
  <c r="IF5" i="4"/>
  <c r="IF11" i="4"/>
  <c r="IF10" i="4"/>
  <c r="IF12" i="4"/>
  <c r="IF6" i="4"/>
  <c r="IF23" i="4"/>
  <c r="IF19" i="4"/>
  <c r="IF9" i="4"/>
  <c r="IF17" i="4"/>
  <c r="IF7" i="4"/>
  <c r="IF15" i="4"/>
  <c r="IF16" i="4"/>
  <c r="IF21" i="4"/>
  <c r="IF13" i="4"/>
  <c r="IF20" i="4"/>
  <c r="IF22" i="4"/>
  <c r="IF18" i="4"/>
  <c r="IF4" i="4"/>
  <c r="HJ5" i="4"/>
  <c r="HJ11" i="4"/>
  <c r="HJ10" i="4"/>
  <c r="HJ12" i="4"/>
  <c r="HJ6" i="4"/>
  <c r="HJ23" i="4"/>
  <c r="HJ19" i="4"/>
  <c r="HJ9" i="4"/>
  <c r="HJ17" i="4"/>
  <c r="HJ7" i="4"/>
  <c r="HJ15" i="4"/>
  <c r="HJ16" i="4"/>
  <c r="HJ21" i="4"/>
  <c r="HJ13" i="4"/>
  <c r="HJ20" i="4"/>
  <c r="HJ22" i="4"/>
  <c r="HJ18" i="4"/>
  <c r="HJ4" i="4"/>
  <c r="GN5" i="4"/>
  <c r="GN11" i="4"/>
  <c r="GN10" i="4"/>
  <c r="GN12" i="4"/>
  <c r="GN6" i="4"/>
  <c r="GN23" i="4"/>
  <c r="GN19" i="4"/>
  <c r="GN9" i="4"/>
  <c r="GN17" i="4"/>
  <c r="GN7" i="4"/>
  <c r="GN15" i="4"/>
  <c r="GN16" i="4"/>
  <c r="GN21" i="4"/>
  <c r="GN13" i="4"/>
  <c r="GN20" i="4"/>
  <c r="GN22" i="4"/>
  <c r="GN18" i="4"/>
  <c r="GN4" i="4"/>
  <c r="FR5" i="4"/>
  <c r="FR11" i="4"/>
  <c r="FR10" i="4"/>
  <c r="FR12" i="4"/>
  <c r="FR6" i="4"/>
  <c r="FR23" i="4"/>
  <c r="FR19" i="4"/>
  <c r="FR9" i="4"/>
  <c r="FR17" i="4"/>
  <c r="FR7" i="4"/>
  <c r="FR15" i="4"/>
  <c r="FR16" i="4"/>
  <c r="FR21" i="4"/>
  <c r="FR13" i="4"/>
  <c r="FR20" i="4"/>
  <c r="FR22" i="4"/>
  <c r="FR18" i="4"/>
  <c r="FR4" i="4"/>
  <c r="EV9" i="4"/>
  <c r="EV5" i="4"/>
  <c r="EV11" i="4"/>
  <c r="EV10" i="4"/>
  <c r="EV12" i="4"/>
  <c r="EV6" i="4"/>
  <c r="EV23" i="4"/>
  <c r="EV19" i="4"/>
  <c r="EV17" i="4"/>
  <c r="EV7" i="4"/>
  <c r="EV15" i="4"/>
  <c r="EV16" i="4"/>
  <c r="EV21" i="4"/>
  <c r="EV13" i="4"/>
  <c r="EV20" i="4"/>
  <c r="EV22" i="4"/>
  <c r="EV18" i="4"/>
  <c r="EV4" i="4"/>
  <c r="DZ5" i="4"/>
  <c r="DZ11" i="4"/>
  <c r="DZ10" i="4"/>
  <c r="DZ12" i="4"/>
  <c r="DZ6" i="4"/>
  <c r="DZ23" i="4"/>
  <c r="DZ19" i="4"/>
  <c r="DZ9" i="4"/>
  <c r="DZ17" i="4"/>
  <c r="DZ7" i="4"/>
  <c r="DZ15" i="4"/>
  <c r="DZ16" i="4"/>
  <c r="DZ21" i="4"/>
  <c r="DZ13" i="4"/>
  <c r="DZ20" i="4"/>
  <c r="DZ22" i="4"/>
  <c r="DZ18" i="4"/>
  <c r="DZ4" i="4"/>
  <c r="DD5" i="4"/>
  <c r="DD11" i="4"/>
  <c r="DD10" i="4"/>
  <c r="DD12" i="4"/>
  <c r="DD6" i="4"/>
  <c r="DD23" i="4"/>
  <c r="DD19" i="4"/>
  <c r="DD9" i="4"/>
  <c r="DD17" i="4"/>
  <c r="DD7" i="4"/>
  <c r="DD15" i="4"/>
  <c r="DD16" i="4"/>
  <c r="DD21" i="4"/>
  <c r="DD13" i="4"/>
  <c r="DD20" i="4"/>
  <c r="DD22" i="4"/>
  <c r="DD18" i="4"/>
  <c r="DD4" i="4"/>
  <c r="CH5" i="4"/>
  <c r="CH11" i="4"/>
  <c r="CH10" i="4"/>
  <c r="CH12" i="4"/>
  <c r="CH6" i="4"/>
  <c r="CH23" i="4"/>
  <c r="CH19" i="4"/>
  <c r="CH9" i="4"/>
  <c r="CH17" i="4"/>
  <c r="CH7" i="4"/>
  <c r="CH15" i="4"/>
  <c r="CH16" i="4"/>
  <c r="CH21" i="4"/>
  <c r="CH13" i="4"/>
  <c r="CH20" i="4"/>
  <c r="CH22" i="4"/>
  <c r="CH18" i="4"/>
  <c r="CH4" i="4"/>
  <c r="BH5" i="4"/>
  <c r="BH11" i="4"/>
  <c r="BH10" i="4"/>
  <c r="BH12" i="4"/>
  <c r="BH6" i="4"/>
  <c r="BH23" i="4"/>
  <c r="BH19" i="4"/>
  <c r="BH9" i="4"/>
  <c r="BH17" i="4"/>
  <c r="BH7" i="4"/>
  <c r="BH15" i="4"/>
  <c r="BH16" i="4"/>
  <c r="BH21" i="4"/>
  <c r="BH13" i="4"/>
  <c r="BH20" i="4"/>
  <c r="BH22" i="4"/>
  <c r="BH18" i="4"/>
  <c r="BH4" i="4"/>
  <c r="BE6" i="8" l="1"/>
  <c r="BC6" i="8"/>
  <c r="BE5" i="8"/>
  <c r="BC5" i="8"/>
  <c r="BE4" i="8"/>
  <c r="BC4" i="8"/>
  <c r="BE9" i="7"/>
  <c r="BC9" i="7"/>
  <c r="BE7" i="7"/>
  <c r="BC7" i="7"/>
  <c r="BE8" i="7"/>
  <c r="BC8" i="7"/>
  <c r="BE5" i="7"/>
  <c r="BC5" i="7"/>
  <c r="BE6" i="7"/>
  <c r="BC6" i="7"/>
  <c r="BE4" i="7"/>
  <c r="BC4" i="7"/>
  <c r="BM15" i="2"/>
  <c r="BJ15" i="2"/>
  <c r="BI15" i="2"/>
  <c r="BM8" i="2"/>
  <c r="BJ8" i="2"/>
  <c r="BI8" i="2"/>
  <c r="BM10" i="2"/>
  <c r="BJ10" i="2"/>
  <c r="BI10" i="2"/>
  <c r="BM11" i="2"/>
  <c r="BJ11" i="2"/>
  <c r="BI11" i="2"/>
  <c r="BM9" i="2"/>
  <c r="BJ9" i="2"/>
  <c r="BI9" i="2"/>
  <c r="BM4" i="2"/>
  <c r="BJ4" i="2"/>
  <c r="BI4" i="2"/>
  <c r="BM5" i="2"/>
  <c r="BJ5" i="2"/>
  <c r="BI5" i="2"/>
  <c r="P10" i="2"/>
  <c r="BM13" i="4"/>
  <c r="P13" i="4" s="1"/>
  <c r="BJ13" i="4"/>
  <c r="BI13" i="4"/>
  <c r="BM16" i="4"/>
  <c r="BJ16" i="4"/>
  <c r="BI16" i="4"/>
  <c r="BM22" i="4"/>
  <c r="BJ22" i="4"/>
  <c r="BI22" i="4"/>
  <c r="BM20" i="4"/>
  <c r="BJ20" i="4"/>
  <c r="BI20" i="4"/>
  <c r="BM18" i="4"/>
  <c r="BJ18" i="4"/>
  <c r="BI18" i="4"/>
  <c r="BM21" i="4"/>
  <c r="P21" i="4" s="1"/>
  <c r="BJ21" i="4"/>
  <c r="BI21" i="4"/>
  <c r="BM7" i="4"/>
  <c r="BJ7" i="4"/>
  <c r="BI7" i="4"/>
  <c r="BM15" i="4"/>
  <c r="BJ15" i="4"/>
  <c r="BI15" i="4"/>
  <c r="BM9" i="4"/>
  <c r="P9" i="4" s="1"/>
  <c r="BJ9" i="4"/>
  <c r="BI9" i="4"/>
  <c r="BM17" i="4"/>
  <c r="BJ17" i="4"/>
  <c r="BI17" i="4"/>
  <c r="BM23" i="4"/>
  <c r="BJ23" i="4"/>
  <c r="BI23" i="4"/>
  <c r="BM6" i="4"/>
  <c r="BJ6" i="4"/>
  <c r="BI6" i="4"/>
  <c r="BM12" i="4"/>
  <c r="BJ12" i="4"/>
  <c r="BI12" i="4"/>
  <c r="BM19" i="4"/>
  <c r="P19" i="4" s="1"/>
  <c r="BJ19" i="4"/>
  <c r="BI19" i="4"/>
  <c r="BM10" i="4"/>
  <c r="BJ10" i="4"/>
  <c r="BI10" i="4"/>
  <c r="BM11" i="4"/>
  <c r="BJ11" i="4"/>
  <c r="BI11" i="4"/>
  <c r="BJ5" i="4"/>
  <c r="BI5" i="4"/>
  <c r="BM5" i="4"/>
  <c r="P5" i="4" s="1"/>
  <c r="BM4" i="4"/>
  <c r="BJ4" i="4"/>
  <c r="BI4" i="4"/>
  <c r="BK17" i="4" l="1"/>
  <c r="BN17" i="4" s="1"/>
  <c r="BK4" i="4"/>
  <c r="BN4" i="4" s="1"/>
  <c r="BK16" i="4"/>
  <c r="BN16" i="4" s="1"/>
  <c r="P15" i="2"/>
  <c r="Q15" i="2" s="1"/>
  <c r="BK11" i="2"/>
  <c r="BN11" i="2" s="1"/>
  <c r="BK6" i="4"/>
  <c r="BN6" i="4" s="1"/>
  <c r="BK4" i="2"/>
  <c r="BN4" i="2" s="1"/>
  <c r="P10" i="4"/>
  <c r="Q10" i="4" s="1"/>
  <c r="P7" i="4"/>
  <c r="Q7" i="4" s="1"/>
  <c r="P6" i="4"/>
  <c r="Q6" i="4" s="1"/>
  <c r="P20" i="4"/>
  <c r="Q20" i="4" s="1"/>
  <c r="P4" i="2"/>
  <c r="Q4" i="2" s="1"/>
  <c r="BK19" i="4"/>
  <c r="BN19" i="4" s="1"/>
  <c r="BK15" i="2"/>
  <c r="BN15" i="2" s="1"/>
  <c r="P11" i="2"/>
  <c r="Q11" i="2" s="1"/>
  <c r="P9" i="2"/>
  <c r="Q9" i="2" s="1"/>
  <c r="P8" i="2"/>
  <c r="Q8" i="2" s="1"/>
  <c r="P5" i="2"/>
  <c r="Q5" i="2" s="1"/>
  <c r="BK21" i="4"/>
  <c r="BN21" i="4" s="1"/>
  <c r="BK20" i="4"/>
  <c r="BN20" i="4" s="1"/>
  <c r="L6" i="8"/>
  <c r="M6" i="8" s="1"/>
  <c r="L5" i="8"/>
  <c r="M5" i="8" s="1"/>
  <c r="L6" i="7"/>
  <c r="M6" i="7" s="1"/>
  <c r="L7" i="7"/>
  <c r="M7" i="7" s="1"/>
  <c r="L4" i="7"/>
  <c r="M4" i="7" s="1"/>
  <c r="BF7" i="7"/>
  <c r="P11" i="4"/>
  <c r="Q11" i="4" s="1"/>
  <c r="P12" i="4"/>
  <c r="Q12" i="4" s="1"/>
  <c r="P18" i="4"/>
  <c r="Q18" i="4" s="1"/>
  <c r="P23" i="4"/>
  <c r="Q23" i="4" s="1"/>
  <c r="P16" i="4"/>
  <c r="Q16" i="4" s="1"/>
  <c r="P22" i="4"/>
  <c r="Q22" i="4" s="1"/>
  <c r="P15" i="4"/>
  <c r="Q15" i="4" s="1"/>
  <c r="P4" i="4"/>
  <c r="Q4" i="4" s="1"/>
  <c r="BK11" i="4"/>
  <c r="BN11" i="4" s="1"/>
  <c r="BK15" i="4"/>
  <c r="BN15" i="4" s="1"/>
  <c r="BK5" i="4"/>
  <c r="BN5" i="4" s="1"/>
  <c r="L9" i="7"/>
  <c r="M9" i="7" s="1"/>
  <c r="L5" i="7"/>
  <c r="M5" i="7" s="1"/>
  <c r="J7" i="7"/>
  <c r="BF9" i="7"/>
  <c r="BK12" i="4"/>
  <c r="BN12" i="4" s="1"/>
  <c r="BK9" i="4"/>
  <c r="BN9" i="4" s="1"/>
  <c r="BK18" i="4"/>
  <c r="BN18" i="4" s="1"/>
  <c r="BK13" i="4"/>
  <c r="BN13" i="4" s="1"/>
  <c r="L4" i="8"/>
  <c r="M4" i="8" s="1"/>
  <c r="BF5" i="8"/>
  <c r="BF6" i="8"/>
  <c r="L8" i="7"/>
  <c r="M8" i="7" s="1"/>
  <c r="BF4" i="7"/>
  <c r="BK9" i="2"/>
  <c r="BN9" i="2" s="1"/>
  <c r="BK8" i="2"/>
  <c r="BN8" i="2" s="1"/>
  <c r="Q10" i="2"/>
  <c r="P17" i="4"/>
  <c r="Q17" i="4" s="1"/>
  <c r="Q21" i="4"/>
  <c r="Q19" i="4"/>
  <c r="Q5" i="4"/>
  <c r="Q9" i="4"/>
  <c r="Q13" i="4"/>
  <c r="J17" i="4"/>
  <c r="L17" i="4" s="1"/>
  <c r="BF4" i="8"/>
  <c r="BF6" i="7"/>
  <c r="BF8" i="7"/>
  <c r="BK5" i="2"/>
  <c r="BN5" i="2" s="1"/>
  <c r="BK10" i="2"/>
  <c r="BN10" i="2" s="1"/>
  <c r="BK10" i="4"/>
  <c r="BN10" i="4" s="1"/>
  <c r="BK23" i="4"/>
  <c r="BN23" i="4" s="1"/>
  <c r="BK7" i="4"/>
  <c r="BN7" i="4" s="1"/>
  <c r="BK22" i="4"/>
  <c r="BN22" i="4" s="1"/>
  <c r="J4" i="2" l="1"/>
  <c r="K4" i="2" s="1"/>
  <c r="J16" i="4"/>
  <c r="N16" i="4" s="1"/>
  <c r="J11" i="2"/>
  <c r="N11" i="2" s="1"/>
  <c r="J4" i="4"/>
  <c r="N4" i="4" s="1"/>
  <c r="J6" i="4"/>
  <c r="K6" i="4" s="1"/>
  <c r="J15" i="2"/>
  <c r="K15" i="2" s="1"/>
  <c r="J19" i="4"/>
  <c r="N19" i="4" s="1"/>
  <c r="J20" i="4"/>
  <c r="L20" i="4" s="1"/>
  <c r="J21" i="4"/>
  <c r="L21" i="4" s="1"/>
  <c r="N17" i="4"/>
  <c r="J11" i="4"/>
  <c r="K11" i="4" s="1"/>
  <c r="J5" i="4"/>
  <c r="K5" i="4" s="1"/>
  <c r="J13" i="4"/>
  <c r="L13" i="4" s="1"/>
  <c r="K7" i="7"/>
  <c r="BJ4" i="6"/>
  <c r="BJ5" i="6"/>
  <c r="BJ9" i="6"/>
  <c r="BJ8" i="6"/>
  <c r="BJ7" i="6"/>
  <c r="BJ12" i="6"/>
  <c r="BJ11" i="6"/>
  <c r="BJ10" i="6"/>
  <c r="BJ6" i="6"/>
  <c r="J6" i="8"/>
  <c r="K6" i="8" s="1"/>
  <c r="J5" i="7"/>
  <c r="BF5" i="7"/>
  <c r="J15" i="4"/>
  <c r="K15" i="4" s="1"/>
  <c r="J9" i="7"/>
  <c r="J8" i="2"/>
  <c r="L8" i="2" s="1"/>
  <c r="M8" i="2" s="1"/>
  <c r="J9" i="4"/>
  <c r="N9" i="4" s="1"/>
  <c r="J12" i="4"/>
  <c r="N12" i="4" s="1"/>
  <c r="J18" i="4"/>
  <c r="N18" i="4" s="1"/>
  <c r="K17" i="4"/>
  <c r="J4" i="8"/>
  <c r="J5" i="8"/>
  <c r="J8" i="7"/>
  <c r="J4" i="7"/>
  <c r="J6" i="7"/>
  <c r="J9" i="2"/>
  <c r="J5" i="2"/>
  <c r="J10" i="2"/>
  <c r="J7" i="4"/>
  <c r="J22" i="4"/>
  <c r="J23" i="4"/>
  <c r="J10" i="4"/>
  <c r="N4" i="2" l="1"/>
  <c r="K11" i="2"/>
  <c r="O11" i="2" s="1"/>
  <c r="L11" i="2"/>
  <c r="M11" i="2" s="1"/>
  <c r="L4" i="2"/>
  <c r="M4" i="2" s="1"/>
  <c r="L16" i="4"/>
  <c r="K16" i="4"/>
  <c r="O16" i="4" s="1"/>
  <c r="L4" i="4"/>
  <c r="K4" i="4"/>
  <c r="O4" i="4" s="1"/>
  <c r="K13" i="4"/>
  <c r="M13" i="4" s="1"/>
  <c r="L15" i="2"/>
  <c r="N15" i="2"/>
  <c r="O15" i="2" s="1"/>
  <c r="N6" i="4"/>
  <c r="O6" i="4" s="1"/>
  <c r="L6" i="4"/>
  <c r="M6" i="4" s="1"/>
  <c r="N15" i="4"/>
  <c r="O15" i="4" s="1"/>
  <c r="L15" i="4"/>
  <c r="M15" i="4" s="1"/>
  <c r="N13" i="4"/>
  <c r="K19" i="4"/>
  <c r="L9" i="4"/>
  <c r="K9" i="4"/>
  <c r="O9" i="4" s="1"/>
  <c r="K20" i="4"/>
  <c r="M20" i="4" s="1"/>
  <c r="L19" i="4"/>
  <c r="N20" i="4"/>
  <c r="N11" i="4"/>
  <c r="O11" i="4" s="1"/>
  <c r="K21" i="4"/>
  <c r="M21" i="4" s="1"/>
  <c r="N5" i="4"/>
  <c r="O5" i="4" s="1"/>
  <c r="L11" i="4"/>
  <c r="M11" i="4" s="1"/>
  <c r="N21" i="4"/>
  <c r="K12" i="4"/>
  <c r="O12" i="4" s="1"/>
  <c r="L5" i="4"/>
  <c r="M5" i="4" s="1"/>
  <c r="O17" i="4"/>
  <c r="K9" i="7"/>
  <c r="K5" i="7"/>
  <c r="M17" i="4"/>
  <c r="L18" i="4"/>
  <c r="K18" i="4"/>
  <c r="O18" i="4" s="1"/>
  <c r="L12" i="4"/>
  <c r="O4" i="2"/>
  <c r="K8" i="2"/>
  <c r="N8" i="2"/>
  <c r="K5" i="8"/>
  <c r="K4" i="8"/>
  <c r="K4" i="7"/>
  <c r="K8" i="7"/>
  <c r="K6" i="7"/>
  <c r="K9" i="2"/>
  <c r="N9" i="2"/>
  <c r="L9" i="2"/>
  <c r="M9" i="2" s="1"/>
  <c r="K10" i="2"/>
  <c r="L10" i="2"/>
  <c r="N10" i="2"/>
  <c r="L5" i="2"/>
  <c r="K5" i="2"/>
  <c r="N5" i="2"/>
  <c r="M15" i="2"/>
  <c r="O19" i="4"/>
  <c r="L22" i="4"/>
  <c r="K22" i="4"/>
  <c r="N22" i="4"/>
  <c r="K7" i="4"/>
  <c r="L7" i="4"/>
  <c r="N7" i="4"/>
  <c r="L10" i="4"/>
  <c r="N10" i="4"/>
  <c r="K10" i="4"/>
  <c r="L23" i="4"/>
  <c r="K23" i="4"/>
  <c r="N23" i="4"/>
  <c r="M16" i="4" l="1"/>
  <c r="M12" i="4"/>
  <c r="O13" i="4"/>
  <c r="M4" i="4"/>
  <c r="M18" i="4"/>
  <c r="O20" i="4"/>
  <c r="M19" i="4"/>
  <c r="M9" i="4"/>
  <c r="O21" i="4"/>
  <c r="O8" i="2"/>
  <c r="O9" i="2"/>
  <c r="M23" i="4"/>
  <c r="O5" i="2"/>
  <c r="O10" i="2"/>
  <c r="M10" i="2"/>
  <c r="M5" i="2"/>
  <c r="M10" i="4"/>
  <c r="M7" i="4"/>
  <c r="O23" i="4"/>
  <c r="M22" i="4"/>
  <c r="O10" i="4"/>
  <c r="O7" i="4"/>
  <c r="O22" i="4"/>
  <c r="EX23" i="4" l="1"/>
  <c r="FW4" i="4"/>
  <c r="FT4" i="4"/>
  <c r="CJ4" i="4"/>
  <c r="I8" i="6" l="1"/>
  <c r="BI8" i="6" l="1"/>
  <c r="N8" i="6" l="1"/>
  <c r="P8" i="6" s="1"/>
  <c r="O8" i="6" l="1"/>
  <c r="E8" i="6"/>
  <c r="CI5" i="4"/>
  <c r="CJ5" i="4"/>
  <c r="CM5" i="4"/>
  <c r="DE5" i="4"/>
  <c r="DF5" i="4"/>
  <c r="DI5" i="4"/>
  <c r="EA5" i="4"/>
  <c r="EB5" i="4"/>
  <c r="EE5" i="4"/>
  <c r="EW5" i="4"/>
  <c r="EX5" i="4"/>
  <c r="FA5" i="4"/>
  <c r="FS5" i="4"/>
  <c r="FT5" i="4"/>
  <c r="FW5" i="4"/>
  <c r="GO5" i="4"/>
  <c r="GP5" i="4"/>
  <c r="GS5" i="4"/>
  <c r="HK5" i="4"/>
  <c r="HL5" i="4"/>
  <c r="HO5" i="4"/>
  <c r="IG5" i="4"/>
  <c r="IH5" i="4"/>
  <c r="IK5" i="4"/>
  <c r="JC5" i="4"/>
  <c r="JD5" i="4"/>
  <c r="JG5" i="4"/>
  <c r="JY5" i="4"/>
  <c r="JZ5" i="4"/>
  <c r="KC5" i="4"/>
  <c r="KU5" i="4"/>
  <c r="KV5" i="4"/>
  <c r="KY5" i="4"/>
  <c r="LQ5" i="4"/>
  <c r="LR5" i="4"/>
  <c r="LU5" i="4"/>
  <c r="BO5" i="4" l="1"/>
  <c r="BR5" i="4"/>
  <c r="F5" i="4"/>
  <c r="G5" i="4"/>
  <c r="BP5" i="4"/>
  <c r="KA5" i="4"/>
  <c r="KD5" i="4" s="1"/>
  <c r="GQ5" i="4"/>
  <c r="GT5" i="4" s="1"/>
  <c r="JE5" i="4"/>
  <c r="JH5" i="4" s="1"/>
  <c r="HM5" i="4"/>
  <c r="HP5" i="4" s="1"/>
  <c r="KW5" i="4"/>
  <c r="KZ5" i="4" s="1"/>
  <c r="EC5" i="4"/>
  <c r="EF5" i="4" s="1"/>
  <c r="EY5" i="4"/>
  <c r="FB5" i="4" s="1"/>
  <c r="DG5" i="4"/>
  <c r="DJ5" i="4" s="1"/>
  <c r="II5" i="4"/>
  <c r="IL5" i="4" s="1"/>
  <c r="CK5" i="4"/>
  <c r="LS5" i="4"/>
  <c r="LV5" i="4" s="1"/>
  <c r="FU5" i="4"/>
  <c r="FX5" i="4" s="1"/>
  <c r="CN5" i="4" l="1"/>
  <c r="H5" i="4"/>
  <c r="I5" i="4" s="1"/>
  <c r="BQ5" i="4"/>
  <c r="R5" i="4" l="1"/>
  <c r="T5" i="4" s="1"/>
  <c r="BY8" i="7"/>
  <c r="CA8" i="7"/>
  <c r="CS8" i="7"/>
  <c r="CU8" i="7"/>
  <c r="DM8" i="7"/>
  <c r="DO8" i="7"/>
  <c r="EG8" i="7"/>
  <c r="EI8" i="7"/>
  <c r="FA8" i="7"/>
  <c r="FC8" i="7"/>
  <c r="FU8" i="7"/>
  <c r="FW8" i="7"/>
  <c r="GO8" i="7"/>
  <c r="GQ8" i="7"/>
  <c r="HI8" i="7"/>
  <c r="HK8" i="7"/>
  <c r="IC8" i="7"/>
  <c r="IE8" i="7"/>
  <c r="IW8" i="7"/>
  <c r="IY8" i="7"/>
  <c r="JQ8" i="7"/>
  <c r="JS8" i="7"/>
  <c r="KK8" i="7"/>
  <c r="KM8" i="7"/>
  <c r="F8" i="7" l="1"/>
  <c r="G8" i="7"/>
  <c r="BG8" i="7"/>
  <c r="BH8" i="7"/>
  <c r="S5" i="4"/>
  <c r="E5" i="4"/>
  <c r="GR8" i="7"/>
  <c r="KN8" i="7"/>
  <c r="EJ8" i="7"/>
  <c r="IZ8" i="7"/>
  <c r="JT8" i="7"/>
  <c r="IF8" i="7"/>
  <c r="HL8" i="7"/>
  <c r="FX8" i="7"/>
  <c r="FD8" i="7"/>
  <c r="I8" i="7" l="1"/>
  <c r="A8" i="7"/>
  <c r="N8" i="7"/>
  <c r="CB8" i="7"/>
  <c r="CV8" i="7" s="1"/>
  <c r="DP8" i="7" s="1"/>
  <c r="P8" i="7" l="1"/>
  <c r="O8" i="7"/>
  <c r="E8" i="7"/>
  <c r="KM5" i="7" l="1"/>
  <c r="KK5" i="7"/>
  <c r="JS5" i="7"/>
  <c r="JQ5" i="7"/>
  <c r="IY5" i="7"/>
  <c r="IW5" i="7"/>
  <c r="IE5" i="7"/>
  <c r="IC5" i="7"/>
  <c r="HK5" i="7"/>
  <c r="HI5" i="7"/>
  <c r="GQ5" i="7"/>
  <c r="GO5" i="7"/>
  <c r="FW5" i="7"/>
  <c r="FU5" i="7"/>
  <c r="FC5" i="7"/>
  <c r="FA5" i="7"/>
  <c r="EI5" i="7"/>
  <c r="EG5" i="7"/>
  <c r="DO5" i="7"/>
  <c r="DM5" i="7"/>
  <c r="CU5" i="7"/>
  <c r="CS5" i="7"/>
  <c r="CA5" i="7"/>
  <c r="BY5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G7" i="7"/>
  <c r="G5" i="7"/>
  <c r="F5" i="7"/>
  <c r="F4" i="8"/>
  <c r="BG7" i="7"/>
  <c r="BG5" i="7"/>
  <c r="BG4" i="8"/>
  <c r="BH4" i="8"/>
  <c r="BH7" i="7"/>
  <c r="BH5" i="7"/>
  <c r="EJ7" i="7"/>
  <c r="IZ5" i="7"/>
  <c r="JT4" i="8"/>
  <c r="GR4" i="8"/>
  <c r="IF5" i="7"/>
  <c r="KN7" i="7"/>
  <c r="FD5" i="7"/>
  <c r="CV4" i="8"/>
  <c r="IZ4" i="8"/>
  <c r="IF7" i="7"/>
  <c r="JT7" i="7"/>
  <c r="EJ5" i="7"/>
  <c r="KN5" i="7"/>
  <c r="FD4" i="8"/>
  <c r="FX7" i="7"/>
  <c r="FX4" i="8"/>
  <c r="DP4" i="8"/>
  <c r="GR5" i="7"/>
  <c r="JT5" i="7"/>
  <c r="IF4" i="8"/>
  <c r="EJ4" i="8"/>
  <c r="HL4" i="8"/>
  <c r="KN4" i="8"/>
  <c r="FD7" i="7"/>
  <c r="HL7" i="7"/>
  <c r="HL5" i="7"/>
  <c r="GR7" i="7"/>
  <c r="IZ7" i="7"/>
  <c r="FX5" i="7"/>
  <c r="LU23" i="4"/>
  <c r="LR23" i="4"/>
  <c r="LQ23" i="4"/>
  <c r="KY23" i="4"/>
  <c r="KV23" i="4"/>
  <c r="KU23" i="4"/>
  <c r="KC23" i="4"/>
  <c r="JZ23" i="4"/>
  <c r="JY23" i="4"/>
  <c r="JG23" i="4"/>
  <c r="JD23" i="4"/>
  <c r="JC23" i="4"/>
  <c r="IK23" i="4"/>
  <c r="IH23" i="4"/>
  <c r="IG23" i="4"/>
  <c r="HO23" i="4"/>
  <c r="HL23" i="4"/>
  <c r="HK23" i="4"/>
  <c r="GS23" i="4"/>
  <c r="GP23" i="4"/>
  <c r="GO23" i="4"/>
  <c r="FW23" i="4"/>
  <c r="FT23" i="4"/>
  <c r="FS23" i="4"/>
  <c r="FA23" i="4"/>
  <c r="EW23" i="4"/>
  <c r="EY23" i="4" s="1"/>
  <c r="EE23" i="4"/>
  <c r="EB23" i="4"/>
  <c r="EA23" i="4"/>
  <c r="DI23" i="4"/>
  <c r="DF23" i="4"/>
  <c r="DE23" i="4"/>
  <c r="CM23" i="4"/>
  <c r="CJ23" i="4"/>
  <c r="CI23" i="4"/>
  <c r="LU7" i="4"/>
  <c r="LR7" i="4"/>
  <c r="LQ7" i="4"/>
  <c r="KY7" i="4"/>
  <c r="KV7" i="4"/>
  <c r="KU7" i="4"/>
  <c r="KC7" i="4"/>
  <c r="JZ7" i="4"/>
  <c r="JY7" i="4"/>
  <c r="JG7" i="4"/>
  <c r="JD7" i="4"/>
  <c r="JC7" i="4"/>
  <c r="IK7" i="4"/>
  <c r="IH7" i="4"/>
  <c r="IG7" i="4"/>
  <c r="HO7" i="4"/>
  <c r="HL7" i="4"/>
  <c r="HK7" i="4"/>
  <c r="GS7" i="4"/>
  <c r="GP7" i="4"/>
  <c r="GO7" i="4"/>
  <c r="FW7" i="4"/>
  <c r="FT7" i="4"/>
  <c r="FS7" i="4"/>
  <c r="FA7" i="4"/>
  <c r="EX7" i="4"/>
  <c r="EW7" i="4"/>
  <c r="EE7" i="4"/>
  <c r="EB7" i="4"/>
  <c r="EA7" i="4"/>
  <c r="DI7" i="4"/>
  <c r="DF7" i="4"/>
  <c r="DE7" i="4"/>
  <c r="CM7" i="4"/>
  <c r="CJ7" i="4"/>
  <c r="CI7" i="4"/>
  <c r="LU20" i="4"/>
  <c r="LR20" i="4"/>
  <c r="LQ20" i="4"/>
  <c r="KY20" i="4"/>
  <c r="KV20" i="4"/>
  <c r="KU20" i="4"/>
  <c r="KC20" i="4"/>
  <c r="JZ20" i="4"/>
  <c r="JY20" i="4"/>
  <c r="JG20" i="4"/>
  <c r="JD20" i="4"/>
  <c r="JC20" i="4"/>
  <c r="IK20" i="4"/>
  <c r="IH20" i="4"/>
  <c r="IG20" i="4"/>
  <c r="HO20" i="4"/>
  <c r="HL20" i="4"/>
  <c r="HK20" i="4"/>
  <c r="GS20" i="4"/>
  <c r="GP20" i="4"/>
  <c r="GO20" i="4"/>
  <c r="FW20" i="4"/>
  <c r="FT20" i="4"/>
  <c r="FS20" i="4"/>
  <c r="FA20" i="4"/>
  <c r="EX20" i="4"/>
  <c r="EW20" i="4"/>
  <c r="EE20" i="4"/>
  <c r="EB20" i="4"/>
  <c r="EA20" i="4"/>
  <c r="DI20" i="4"/>
  <c r="DF20" i="4"/>
  <c r="DE20" i="4"/>
  <c r="CM20" i="4"/>
  <c r="CJ20" i="4"/>
  <c r="CI20" i="4"/>
  <c r="LU18" i="4"/>
  <c r="LR18" i="4"/>
  <c r="LQ18" i="4"/>
  <c r="KY18" i="4"/>
  <c r="KV18" i="4"/>
  <c r="KU18" i="4"/>
  <c r="KC18" i="4"/>
  <c r="JZ18" i="4"/>
  <c r="JY18" i="4"/>
  <c r="JG18" i="4"/>
  <c r="JD18" i="4"/>
  <c r="JC18" i="4"/>
  <c r="IK18" i="4"/>
  <c r="IH18" i="4"/>
  <c r="IG18" i="4"/>
  <c r="HO18" i="4"/>
  <c r="HL18" i="4"/>
  <c r="HK18" i="4"/>
  <c r="GS18" i="4"/>
  <c r="GP18" i="4"/>
  <c r="GO18" i="4"/>
  <c r="FW18" i="4"/>
  <c r="FT18" i="4"/>
  <c r="FS18" i="4"/>
  <c r="FA18" i="4"/>
  <c r="EX18" i="4"/>
  <c r="EW18" i="4"/>
  <c r="EE18" i="4"/>
  <c r="EB18" i="4"/>
  <c r="EA18" i="4"/>
  <c r="DI18" i="4"/>
  <c r="DF18" i="4"/>
  <c r="DE18" i="4"/>
  <c r="CM18" i="4"/>
  <c r="CJ18" i="4"/>
  <c r="CI18" i="4"/>
  <c r="LU22" i="4"/>
  <c r="LR22" i="4"/>
  <c r="LQ22" i="4"/>
  <c r="KY22" i="4"/>
  <c r="KV22" i="4"/>
  <c r="KU22" i="4"/>
  <c r="KC22" i="4"/>
  <c r="JZ22" i="4"/>
  <c r="JY22" i="4"/>
  <c r="JG22" i="4"/>
  <c r="JD22" i="4"/>
  <c r="JC22" i="4"/>
  <c r="IK22" i="4"/>
  <c r="IH22" i="4"/>
  <c r="IG22" i="4"/>
  <c r="HO22" i="4"/>
  <c r="HL22" i="4"/>
  <c r="HK22" i="4"/>
  <c r="GS22" i="4"/>
  <c r="GP22" i="4"/>
  <c r="GO22" i="4"/>
  <c r="FW22" i="4"/>
  <c r="FT22" i="4"/>
  <c r="FS22" i="4"/>
  <c r="FA22" i="4"/>
  <c r="EX22" i="4"/>
  <c r="EW22" i="4"/>
  <c r="EE22" i="4"/>
  <c r="EB22" i="4"/>
  <c r="EA22" i="4"/>
  <c r="DI22" i="4"/>
  <c r="DF22" i="4"/>
  <c r="DE22" i="4"/>
  <c r="CM22" i="4"/>
  <c r="CJ22" i="4"/>
  <c r="CI22" i="4"/>
  <c r="I4" i="8" l="1"/>
  <c r="I5" i="7"/>
  <c r="I7" i="7"/>
  <c r="A7" i="7"/>
  <c r="N7" i="7"/>
  <c r="P7" i="7" s="1"/>
  <c r="BO18" i="4"/>
  <c r="BO7" i="4"/>
  <c r="CB7" i="7"/>
  <c r="CV7" i="7" s="1"/>
  <c r="DP7" i="7" s="1"/>
  <c r="CB5" i="7"/>
  <c r="CV5" i="7" s="1"/>
  <c r="DP5" i="7" s="1"/>
  <c r="CB4" i="8"/>
  <c r="BP7" i="4"/>
  <c r="BO20" i="4"/>
  <c r="BP22" i="4"/>
  <c r="BP20" i="4"/>
  <c r="BP23" i="4"/>
  <c r="BP18" i="4"/>
  <c r="BR18" i="4"/>
  <c r="BR20" i="4"/>
  <c r="BR7" i="4"/>
  <c r="BO22" i="4"/>
  <c r="BR22" i="4"/>
  <c r="N5" i="7"/>
  <c r="BO23" i="4"/>
  <c r="G22" i="4"/>
  <c r="F22" i="4"/>
  <c r="G18" i="4"/>
  <c r="F18" i="4"/>
  <c r="G20" i="4"/>
  <c r="F20" i="4"/>
  <c r="F7" i="4"/>
  <c r="G7" i="4"/>
  <c r="F23" i="4"/>
  <c r="G23" i="4"/>
  <c r="BR23" i="4"/>
  <c r="DG22" i="4"/>
  <c r="DJ22" i="4" s="1"/>
  <c r="EY22" i="4"/>
  <c r="FB22" i="4" s="1"/>
  <c r="GQ22" i="4"/>
  <c r="GT22" i="4" s="1"/>
  <c r="II22" i="4"/>
  <c r="IL22" i="4" s="1"/>
  <c r="KA22" i="4"/>
  <c r="KD22" i="4" s="1"/>
  <c r="LS22" i="4"/>
  <c r="LV22" i="4" s="1"/>
  <c r="CK18" i="4"/>
  <c r="EC18" i="4"/>
  <c r="EF18" i="4" s="1"/>
  <c r="FU18" i="4"/>
  <c r="FX18" i="4" s="1"/>
  <c r="HM18" i="4"/>
  <c r="HP18" i="4" s="1"/>
  <c r="JE18" i="4"/>
  <c r="JH18" i="4" s="1"/>
  <c r="KW18" i="4"/>
  <c r="KZ18" i="4" s="1"/>
  <c r="EY20" i="4"/>
  <c r="FB20" i="4" s="1"/>
  <c r="KW7" i="4"/>
  <c r="KZ7" i="4" s="1"/>
  <c r="FB23" i="4"/>
  <c r="II23" i="4"/>
  <c r="IL23" i="4" s="1"/>
  <c r="LS23" i="4"/>
  <c r="LV23" i="4" s="1"/>
  <c r="II20" i="4"/>
  <c r="IL20" i="4" s="1"/>
  <c r="LS20" i="4"/>
  <c r="LV20" i="4" s="1"/>
  <c r="CK7" i="4"/>
  <c r="EC7" i="4"/>
  <c r="EF7" i="4" s="1"/>
  <c r="FU7" i="4"/>
  <c r="FX7" i="4" s="1"/>
  <c r="HM7" i="4"/>
  <c r="HP7" i="4" s="1"/>
  <c r="JE7" i="4"/>
  <c r="JH7" i="4" s="1"/>
  <c r="I9" i="6"/>
  <c r="CK22" i="4"/>
  <c r="EC22" i="4"/>
  <c r="EF22" i="4" s="1"/>
  <c r="FU22" i="4"/>
  <c r="FX22" i="4" s="1"/>
  <c r="HM22" i="4"/>
  <c r="HP22" i="4" s="1"/>
  <c r="EY18" i="4"/>
  <c r="FB18" i="4" s="1"/>
  <c r="II18" i="4"/>
  <c r="IL18" i="4" s="1"/>
  <c r="LS18" i="4"/>
  <c r="LV18" i="4" s="1"/>
  <c r="CK20" i="4"/>
  <c r="EC20" i="4"/>
  <c r="EF20" i="4" s="1"/>
  <c r="FU20" i="4"/>
  <c r="FX20" i="4" s="1"/>
  <c r="HM20" i="4"/>
  <c r="HP20" i="4" s="1"/>
  <c r="JE20" i="4"/>
  <c r="JH20" i="4" s="1"/>
  <c r="KW20" i="4"/>
  <c r="KZ20" i="4" s="1"/>
  <c r="EY7" i="4"/>
  <c r="FB7" i="4" s="1"/>
  <c r="II7" i="4"/>
  <c r="IL7" i="4" s="1"/>
  <c r="LS7" i="4"/>
  <c r="LV7" i="4" s="1"/>
  <c r="CK23" i="4"/>
  <c r="EC23" i="4"/>
  <c r="EF23" i="4" s="1"/>
  <c r="FU23" i="4"/>
  <c r="FX23" i="4" s="1"/>
  <c r="HM23" i="4"/>
  <c r="HP23" i="4" s="1"/>
  <c r="JE23" i="4"/>
  <c r="JH23" i="4" s="1"/>
  <c r="KW23" i="4"/>
  <c r="KZ23" i="4" s="1"/>
  <c r="KW22" i="4"/>
  <c r="KZ22" i="4" s="1"/>
  <c r="DG18" i="4"/>
  <c r="DJ18" i="4" s="1"/>
  <c r="GQ7" i="4"/>
  <c r="GT7" i="4" s="1"/>
  <c r="KA18" i="4"/>
  <c r="KD18" i="4" s="1"/>
  <c r="GQ18" i="4"/>
  <c r="GT18" i="4" s="1"/>
  <c r="KA7" i="4"/>
  <c r="KD7" i="4" s="1"/>
  <c r="DG7" i="4"/>
  <c r="DJ7" i="4" s="1"/>
  <c r="DG23" i="4"/>
  <c r="DJ23" i="4" s="1"/>
  <c r="GQ23" i="4"/>
  <c r="GT23" i="4" s="1"/>
  <c r="KA23" i="4"/>
  <c r="KD23" i="4" s="1"/>
  <c r="JE22" i="4"/>
  <c r="JH22" i="4" s="1"/>
  <c r="DG20" i="4"/>
  <c r="DJ20" i="4" s="1"/>
  <c r="GQ20" i="4"/>
  <c r="GT20" i="4" s="1"/>
  <c r="KA20" i="4"/>
  <c r="KD20" i="4" s="1"/>
  <c r="E7" i="7" l="1"/>
  <c r="O7" i="7"/>
  <c r="BI9" i="6"/>
  <c r="P5" i="7"/>
  <c r="O5" i="7"/>
  <c r="E5" i="7"/>
  <c r="CN23" i="4"/>
  <c r="H23" i="4"/>
  <c r="I23" i="4" s="1"/>
  <c r="BQ23" i="4"/>
  <c r="CN22" i="4"/>
  <c r="H22" i="4"/>
  <c r="I22" i="4" s="1"/>
  <c r="BQ22" i="4"/>
  <c r="CN18" i="4"/>
  <c r="H18" i="4"/>
  <c r="A18" i="4" s="1"/>
  <c r="BQ18" i="4"/>
  <c r="CN20" i="4"/>
  <c r="H20" i="4"/>
  <c r="I20" i="4" s="1"/>
  <c r="BQ20" i="4"/>
  <c r="CN7" i="4"/>
  <c r="H7" i="4"/>
  <c r="A7" i="4" s="1"/>
  <c r="BQ7" i="4"/>
  <c r="A20" i="4" l="1"/>
  <c r="A23" i="4"/>
  <c r="A22" i="4"/>
  <c r="I18" i="4"/>
  <c r="I7" i="4"/>
  <c r="R18" i="4"/>
  <c r="T18" i="4" s="1"/>
  <c r="R20" i="4"/>
  <c r="T20" i="4" s="1"/>
  <c r="R22" i="4"/>
  <c r="T22" i="4" s="1"/>
  <c r="N9" i="6"/>
  <c r="P9" i="6" s="1"/>
  <c r="IW6" i="7"/>
  <c r="O9" i="6" l="1"/>
  <c r="S22" i="4"/>
  <c r="E22" i="4"/>
  <c r="S18" i="4"/>
  <c r="E18" i="4"/>
  <c r="S20" i="4"/>
  <c r="E20" i="4"/>
  <c r="N4" i="8"/>
  <c r="R7" i="4"/>
  <c r="T7" i="4" s="1"/>
  <c r="E9" i="6"/>
  <c r="GP11" i="2"/>
  <c r="KU9" i="4"/>
  <c r="KU6" i="4"/>
  <c r="KU19" i="4"/>
  <c r="KV19" i="4"/>
  <c r="JY6" i="4"/>
  <c r="JZ19" i="4"/>
  <c r="KU5" i="2"/>
  <c r="KV5" i="2"/>
  <c r="KV9" i="2"/>
  <c r="CI19" i="4"/>
  <c r="DE19" i="4"/>
  <c r="EA19" i="4"/>
  <c r="EW19" i="4"/>
  <c r="FS19" i="4"/>
  <c r="GO19" i="4"/>
  <c r="HK19" i="4"/>
  <c r="IG19" i="4"/>
  <c r="JC19" i="4"/>
  <c r="JY19" i="4"/>
  <c r="LQ19" i="4"/>
  <c r="CJ19" i="4"/>
  <c r="DF19" i="4"/>
  <c r="EB19" i="4"/>
  <c r="EX19" i="4"/>
  <c r="FT19" i="4"/>
  <c r="GP19" i="4"/>
  <c r="HL19" i="4"/>
  <c r="IH19" i="4"/>
  <c r="JD19" i="4"/>
  <c r="LR19" i="4"/>
  <c r="CM19" i="4"/>
  <c r="DI19" i="4"/>
  <c r="EE19" i="4"/>
  <c r="FA19" i="4"/>
  <c r="FW19" i="4"/>
  <c r="GS19" i="4"/>
  <c r="HO19" i="4"/>
  <c r="IK19" i="4"/>
  <c r="JG19" i="4"/>
  <c r="KC19" i="4"/>
  <c r="KY19" i="4"/>
  <c r="LU19" i="4"/>
  <c r="CI11" i="4"/>
  <c r="DE11" i="4"/>
  <c r="EA11" i="4"/>
  <c r="EW11" i="4"/>
  <c r="FS11" i="4"/>
  <c r="FU11" i="4" s="1"/>
  <c r="GO11" i="4"/>
  <c r="HK11" i="4"/>
  <c r="IG11" i="4"/>
  <c r="JC11" i="4"/>
  <c r="JY11" i="4"/>
  <c r="KU11" i="4"/>
  <c r="LQ11" i="4"/>
  <c r="CJ11" i="4"/>
  <c r="DF11" i="4"/>
  <c r="EB11" i="4"/>
  <c r="EX11" i="4"/>
  <c r="GP11" i="4"/>
  <c r="HL11" i="4"/>
  <c r="IH11" i="4"/>
  <c r="JD11" i="4"/>
  <c r="JZ11" i="4"/>
  <c r="KV11" i="4"/>
  <c r="LR11" i="4"/>
  <c r="CM11" i="4"/>
  <c r="DI11" i="4"/>
  <c r="EE11" i="4"/>
  <c r="FA11" i="4"/>
  <c r="FW11" i="4"/>
  <c r="GS11" i="4"/>
  <c r="HO11" i="4"/>
  <c r="IK11" i="4"/>
  <c r="JG11" i="4"/>
  <c r="KC11" i="4"/>
  <c r="KY11" i="4"/>
  <c r="LU11" i="4"/>
  <c r="CI9" i="4"/>
  <c r="DE9" i="4"/>
  <c r="EA9" i="4"/>
  <c r="EW9" i="4"/>
  <c r="FS9" i="4"/>
  <c r="GO9" i="4"/>
  <c r="HK9" i="4"/>
  <c r="IG9" i="4"/>
  <c r="JC9" i="4"/>
  <c r="JY9" i="4"/>
  <c r="LQ9" i="4"/>
  <c r="CJ9" i="4"/>
  <c r="DF9" i="4"/>
  <c r="EB9" i="4"/>
  <c r="EX9" i="4"/>
  <c r="FT9" i="4"/>
  <c r="GP9" i="4"/>
  <c r="HL9" i="4"/>
  <c r="IH9" i="4"/>
  <c r="JD9" i="4"/>
  <c r="JZ9" i="4"/>
  <c r="KV9" i="4"/>
  <c r="LR9" i="4"/>
  <c r="CM9" i="4"/>
  <c r="DI9" i="4"/>
  <c r="EE9" i="4"/>
  <c r="FA9" i="4"/>
  <c r="FW9" i="4"/>
  <c r="GS9" i="4"/>
  <c r="HO9" i="4"/>
  <c r="IK9" i="4"/>
  <c r="JG9" i="4"/>
  <c r="KC9" i="4"/>
  <c r="KY9" i="4"/>
  <c r="LU9" i="4"/>
  <c r="CI6" i="4"/>
  <c r="DE6" i="4"/>
  <c r="EA6" i="4"/>
  <c r="EW6" i="4"/>
  <c r="FS6" i="4"/>
  <c r="GO6" i="4"/>
  <c r="HK6" i="4"/>
  <c r="IG6" i="4"/>
  <c r="JC6" i="4"/>
  <c r="LQ6" i="4"/>
  <c r="CJ6" i="4"/>
  <c r="DF6" i="4"/>
  <c r="EB6" i="4"/>
  <c r="EX6" i="4"/>
  <c r="FT6" i="4"/>
  <c r="GP6" i="4"/>
  <c r="HL6" i="4"/>
  <c r="IH6" i="4"/>
  <c r="JD6" i="4"/>
  <c r="JZ6" i="4"/>
  <c r="KV6" i="4"/>
  <c r="LR6" i="4"/>
  <c r="CM6" i="4"/>
  <c r="DI6" i="4"/>
  <c r="EE6" i="4"/>
  <c r="FA6" i="4"/>
  <c r="FW6" i="4"/>
  <c r="GS6" i="4"/>
  <c r="HO6" i="4"/>
  <c r="IK6" i="4"/>
  <c r="JG6" i="4"/>
  <c r="KC6" i="4"/>
  <c r="KY6" i="4"/>
  <c r="LU6" i="4"/>
  <c r="CI10" i="4"/>
  <c r="DE10" i="4"/>
  <c r="EA10" i="4"/>
  <c r="EW10" i="4"/>
  <c r="FS10" i="4"/>
  <c r="GO10" i="4"/>
  <c r="HK10" i="4"/>
  <c r="IG10" i="4"/>
  <c r="JC10" i="4"/>
  <c r="JY10" i="4"/>
  <c r="KU10" i="4"/>
  <c r="LQ10" i="4"/>
  <c r="CJ10" i="4"/>
  <c r="DF10" i="4"/>
  <c r="EB10" i="4"/>
  <c r="EX10" i="4"/>
  <c r="FT10" i="4"/>
  <c r="GP10" i="4"/>
  <c r="HL10" i="4"/>
  <c r="IH10" i="4"/>
  <c r="JD10" i="4"/>
  <c r="JZ10" i="4"/>
  <c r="KV10" i="4"/>
  <c r="LR10" i="4"/>
  <c r="CM10" i="4"/>
  <c r="DI10" i="4"/>
  <c r="EE10" i="4"/>
  <c r="FA10" i="4"/>
  <c r="FW10" i="4"/>
  <c r="GS10" i="4"/>
  <c r="HO10" i="4"/>
  <c r="IK10" i="4"/>
  <c r="JG10" i="4"/>
  <c r="KC10" i="4"/>
  <c r="KY10" i="4"/>
  <c r="LU10" i="4"/>
  <c r="CI12" i="4"/>
  <c r="DE12" i="4"/>
  <c r="EA12" i="4"/>
  <c r="EW12" i="4"/>
  <c r="FS12" i="4"/>
  <c r="GO12" i="4"/>
  <c r="HK12" i="4"/>
  <c r="IG12" i="4"/>
  <c r="JC12" i="4"/>
  <c r="JY12" i="4"/>
  <c r="KU12" i="4"/>
  <c r="LQ12" i="4"/>
  <c r="CJ12" i="4"/>
  <c r="DF12" i="4"/>
  <c r="EB12" i="4"/>
  <c r="EX12" i="4"/>
  <c r="FT12" i="4"/>
  <c r="GP12" i="4"/>
  <c r="HL12" i="4"/>
  <c r="IH12" i="4"/>
  <c r="JD12" i="4"/>
  <c r="JZ12" i="4"/>
  <c r="KV12" i="4"/>
  <c r="LR12" i="4"/>
  <c r="CM12" i="4"/>
  <c r="DI12" i="4"/>
  <c r="EE12" i="4"/>
  <c r="FA12" i="4"/>
  <c r="FW12" i="4"/>
  <c r="GS12" i="4"/>
  <c r="HO12" i="4"/>
  <c r="IK12" i="4"/>
  <c r="JG12" i="4"/>
  <c r="KC12" i="4"/>
  <c r="KY12" i="4"/>
  <c r="LU12" i="4"/>
  <c r="CI17" i="4"/>
  <c r="DE17" i="4"/>
  <c r="EA17" i="4"/>
  <c r="EW17" i="4"/>
  <c r="FS17" i="4"/>
  <c r="GO17" i="4"/>
  <c r="HK17" i="4"/>
  <c r="IG17" i="4"/>
  <c r="JC17" i="4"/>
  <c r="JY17" i="4"/>
  <c r="KU17" i="4"/>
  <c r="LQ17" i="4"/>
  <c r="CJ17" i="4"/>
  <c r="DF17" i="4"/>
  <c r="EB17" i="4"/>
  <c r="EX17" i="4"/>
  <c r="FT17" i="4"/>
  <c r="GP17" i="4"/>
  <c r="HL17" i="4"/>
  <c r="IH17" i="4"/>
  <c r="JD17" i="4"/>
  <c r="JZ17" i="4"/>
  <c r="KV17" i="4"/>
  <c r="LR17" i="4"/>
  <c r="CM17" i="4"/>
  <c r="DI17" i="4"/>
  <c r="EE17" i="4"/>
  <c r="FA17" i="4"/>
  <c r="FW17" i="4"/>
  <c r="GS17" i="4"/>
  <c r="HO17" i="4"/>
  <c r="IK17" i="4"/>
  <c r="JG17" i="4"/>
  <c r="KC17" i="4"/>
  <c r="KY17" i="4"/>
  <c r="LU17" i="4"/>
  <c r="CI21" i="4"/>
  <c r="DE21" i="4"/>
  <c r="EA21" i="4"/>
  <c r="EW21" i="4"/>
  <c r="FS21" i="4"/>
  <c r="GO21" i="4"/>
  <c r="HK21" i="4"/>
  <c r="IG21" i="4"/>
  <c r="JC21" i="4"/>
  <c r="JY21" i="4"/>
  <c r="KU21" i="4"/>
  <c r="LQ21" i="4"/>
  <c r="CJ21" i="4"/>
  <c r="DF21" i="4"/>
  <c r="EB21" i="4"/>
  <c r="EX21" i="4"/>
  <c r="FT21" i="4"/>
  <c r="GP21" i="4"/>
  <c r="HL21" i="4"/>
  <c r="IH21" i="4"/>
  <c r="JD21" i="4"/>
  <c r="JZ21" i="4"/>
  <c r="KV21" i="4"/>
  <c r="LR21" i="4"/>
  <c r="CM21" i="4"/>
  <c r="DI21" i="4"/>
  <c r="EE21" i="4"/>
  <c r="FA21" i="4"/>
  <c r="FW21" i="4"/>
  <c r="GS21" i="4"/>
  <c r="HO21" i="4"/>
  <c r="IK21" i="4"/>
  <c r="JG21" i="4"/>
  <c r="KC21" i="4"/>
  <c r="KY21" i="4"/>
  <c r="LU21" i="4"/>
  <c r="CI16" i="4"/>
  <c r="DE16" i="4"/>
  <c r="EA16" i="4"/>
  <c r="EW16" i="4"/>
  <c r="FS16" i="4"/>
  <c r="GO16" i="4"/>
  <c r="HK16" i="4"/>
  <c r="IG16" i="4"/>
  <c r="JC16" i="4"/>
  <c r="JY16" i="4"/>
  <c r="KU16" i="4"/>
  <c r="LQ16" i="4"/>
  <c r="CJ16" i="4"/>
  <c r="DF16" i="4"/>
  <c r="EB16" i="4"/>
  <c r="EX16" i="4"/>
  <c r="FT16" i="4"/>
  <c r="GP16" i="4"/>
  <c r="HL16" i="4"/>
  <c r="IH16" i="4"/>
  <c r="JD16" i="4"/>
  <c r="JZ16" i="4"/>
  <c r="KV16" i="4"/>
  <c r="LR16" i="4"/>
  <c r="CM16" i="4"/>
  <c r="DI16" i="4"/>
  <c r="EE16" i="4"/>
  <c r="FA16" i="4"/>
  <c r="FW16" i="4"/>
  <c r="GS16" i="4"/>
  <c r="HO16" i="4"/>
  <c r="IK16" i="4"/>
  <c r="JG16" i="4"/>
  <c r="KC16" i="4"/>
  <c r="KY16" i="4"/>
  <c r="LU16" i="4"/>
  <c r="CI4" i="4"/>
  <c r="DE4" i="4"/>
  <c r="EA4" i="4"/>
  <c r="EW4" i="4"/>
  <c r="FS4" i="4"/>
  <c r="GO4" i="4"/>
  <c r="HK4" i="4"/>
  <c r="IG4" i="4"/>
  <c r="JC4" i="4"/>
  <c r="JY4" i="4"/>
  <c r="KU4" i="4"/>
  <c r="LQ4" i="4"/>
  <c r="DF4" i="4"/>
  <c r="EB4" i="4"/>
  <c r="EX4" i="4"/>
  <c r="GP4" i="4"/>
  <c r="HL4" i="4"/>
  <c r="IH4" i="4"/>
  <c r="JD4" i="4"/>
  <c r="JZ4" i="4"/>
  <c r="KV4" i="4"/>
  <c r="LR4" i="4"/>
  <c r="CM4" i="4"/>
  <c r="DI4" i="4"/>
  <c r="EE4" i="4"/>
  <c r="FA4" i="4"/>
  <c r="GS4" i="4"/>
  <c r="HO4" i="4"/>
  <c r="IK4" i="4"/>
  <c r="JG4" i="4"/>
  <c r="KC4" i="4"/>
  <c r="KY4" i="4"/>
  <c r="LU4" i="4"/>
  <c r="CI13" i="4"/>
  <c r="DE13" i="4"/>
  <c r="EA13" i="4"/>
  <c r="EW13" i="4"/>
  <c r="FS13" i="4"/>
  <c r="GO13" i="4"/>
  <c r="HK13" i="4"/>
  <c r="IG13" i="4"/>
  <c r="JC13" i="4"/>
  <c r="JY13" i="4"/>
  <c r="KU13" i="4"/>
  <c r="LQ13" i="4"/>
  <c r="CJ13" i="4"/>
  <c r="DF13" i="4"/>
  <c r="EB13" i="4"/>
  <c r="EX13" i="4"/>
  <c r="FT13" i="4"/>
  <c r="GP13" i="4"/>
  <c r="HL13" i="4"/>
  <c r="IH13" i="4"/>
  <c r="JD13" i="4"/>
  <c r="JZ13" i="4"/>
  <c r="KV13" i="4"/>
  <c r="LR13" i="4"/>
  <c r="CM13" i="4"/>
  <c r="DI13" i="4"/>
  <c r="EE13" i="4"/>
  <c r="FA13" i="4"/>
  <c r="FW13" i="4"/>
  <c r="GS13" i="4"/>
  <c r="HO13" i="4"/>
  <c r="IK13" i="4"/>
  <c r="JG13" i="4"/>
  <c r="KC13" i="4"/>
  <c r="KY13" i="4"/>
  <c r="LU13" i="4"/>
  <c r="CI15" i="4"/>
  <c r="DE15" i="4"/>
  <c r="EA15" i="4"/>
  <c r="EW15" i="4"/>
  <c r="FS15" i="4"/>
  <c r="GO15" i="4"/>
  <c r="HK15" i="4"/>
  <c r="IG15" i="4"/>
  <c r="JC15" i="4"/>
  <c r="JY15" i="4"/>
  <c r="KU15" i="4"/>
  <c r="LQ15" i="4"/>
  <c r="CJ15" i="4"/>
  <c r="DF15" i="4"/>
  <c r="EB15" i="4"/>
  <c r="EX15" i="4"/>
  <c r="FT15" i="4"/>
  <c r="GP15" i="4"/>
  <c r="HL15" i="4"/>
  <c r="IH15" i="4"/>
  <c r="JD15" i="4"/>
  <c r="JZ15" i="4"/>
  <c r="KV15" i="4"/>
  <c r="LR15" i="4"/>
  <c r="CM15" i="4"/>
  <c r="DI15" i="4"/>
  <c r="EE15" i="4"/>
  <c r="FA15" i="4"/>
  <c r="FW15" i="4"/>
  <c r="GS15" i="4"/>
  <c r="HO15" i="4"/>
  <c r="IK15" i="4"/>
  <c r="JG15" i="4"/>
  <c r="KC15" i="4"/>
  <c r="KY15" i="4"/>
  <c r="LU15" i="4"/>
  <c r="CI5" i="2"/>
  <c r="DE5" i="2"/>
  <c r="EA5" i="2"/>
  <c r="EW5" i="2"/>
  <c r="FS5" i="2"/>
  <c r="GO5" i="2"/>
  <c r="HK5" i="2"/>
  <c r="IG5" i="2"/>
  <c r="JC5" i="2"/>
  <c r="JY5" i="2"/>
  <c r="LQ5" i="2"/>
  <c r="CJ5" i="2"/>
  <c r="DF5" i="2"/>
  <c r="EB5" i="2"/>
  <c r="EX5" i="2"/>
  <c r="FT5" i="2"/>
  <c r="GP5" i="2"/>
  <c r="HL5" i="2"/>
  <c r="IH5" i="2"/>
  <c r="JD5" i="2"/>
  <c r="JZ5" i="2"/>
  <c r="LR5" i="2"/>
  <c r="CM5" i="2"/>
  <c r="DI5" i="2"/>
  <c r="EE5" i="2"/>
  <c r="FA5" i="2"/>
  <c r="FW5" i="2"/>
  <c r="GS5" i="2"/>
  <c r="HO5" i="2"/>
  <c r="IK5" i="2"/>
  <c r="JG5" i="2"/>
  <c r="KC5" i="2"/>
  <c r="KY5" i="2"/>
  <c r="LU5" i="2"/>
  <c r="CI9" i="2"/>
  <c r="DE9" i="2"/>
  <c r="EA9" i="2"/>
  <c r="EW9" i="2"/>
  <c r="FS9" i="2"/>
  <c r="GO9" i="2"/>
  <c r="HK9" i="2"/>
  <c r="IG9" i="2"/>
  <c r="JC9" i="2"/>
  <c r="JY9" i="2"/>
  <c r="KU9" i="2"/>
  <c r="LQ9" i="2"/>
  <c r="CJ9" i="2"/>
  <c r="DF9" i="2"/>
  <c r="EB9" i="2"/>
  <c r="EX9" i="2"/>
  <c r="FT9" i="2"/>
  <c r="GP9" i="2"/>
  <c r="HL9" i="2"/>
  <c r="IH9" i="2"/>
  <c r="JD9" i="2"/>
  <c r="JZ9" i="2"/>
  <c r="LR9" i="2"/>
  <c r="CM9" i="2"/>
  <c r="DI9" i="2"/>
  <c r="EE9" i="2"/>
  <c r="FA9" i="2"/>
  <c r="FW9" i="2"/>
  <c r="GS9" i="2"/>
  <c r="HO9" i="2"/>
  <c r="IK9" i="2"/>
  <c r="JG9" i="2"/>
  <c r="KC9" i="2"/>
  <c r="KY9" i="2"/>
  <c r="LU9" i="2"/>
  <c r="CI10" i="2"/>
  <c r="DE10" i="2"/>
  <c r="EA10" i="2"/>
  <c r="EW10" i="2"/>
  <c r="FS10" i="2"/>
  <c r="GO10" i="2"/>
  <c r="HK10" i="2"/>
  <c r="IG10" i="2"/>
  <c r="JC10" i="2"/>
  <c r="JY10" i="2"/>
  <c r="KU10" i="2"/>
  <c r="LQ10" i="2"/>
  <c r="CJ10" i="2"/>
  <c r="DF10" i="2"/>
  <c r="EB10" i="2"/>
  <c r="EX10" i="2"/>
  <c r="FT10" i="2"/>
  <c r="GP10" i="2"/>
  <c r="HL10" i="2"/>
  <c r="IH10" i="2"/>
  <c r="JD10" i="2"/>
  <c r="JZ10" i="2"/>
  <c r="KV10" i="2"/>
  <c r="LR10" i="2"/>
  <c r="CM10" i="2"/>
  <c r="DI10" i="2"/>
  <c r="EE10" i="2"/>
  <c r="FA10" i="2"/>
  <c r="FW10" i="2"/>
  <c r="GS10" i="2"/>
  <c r="HO10" i="2"/>
  <c r="IK10" i="2"/>
  <c r="JG10" i="2"/>
  <c r="KC10" i="2"/>
  <c r="KY10" i="2"/>
  <c r="LU10" i="2"/>
  <c r="CI11" i="2"/>
  <c r="DE11" i="2"/>
  <c r="EA11" i="2"/>
  <c r="EW11" i="2"/>
  <c r="FS11" i="2"/>
  <c r="GO11" i="2"/>
  <c r="HK11" i="2"/>
  <c r="IG11" i="2"/>
  <c r="JC11" i="2"/>
  <c r="JY11" i="2"/>
  <c r="KU11" i="2"/>
  <c r="LQ11" i="2"/>
  <c r="CJ11" i="2"/>
  <c r="DF11" i="2"/>
  <c r="EB11" i="2"/>
  <c r="EX11" i="2"/>
  <c r="FT11" i="2"/>
  <c r="HL11" i="2"/>
  <c r="IH11" i="2"/>
  <c r="JD11" i="2"/>
  <c r="JZ11" i="2"/>
  <c r="KV11" i="2"/>
  <c r="LR11" i="2"/>
  <c r="CM11" i="2"/>
  <c r="DI11" i="2"/>
  <c r="EE11" i="2"/>
  <c r="FA11" i="2"/>
  <c r="FW11" i="2"/>
  <c r="GS11" i="2"/>
  <c r="HO11" i="2"/>
  <c r="IK11" i="2"/>
  <c r="JG11" i="2"/>
  <c r="KC11" i="2"/>
  <c r="KY11" i="2"/>
  <c r="LU11" i="2"/>
  <c r="CI8" i="2"/>
  <c r="DE8" i="2"/>
  <c r="EA8" i="2"/>
  <c r="EW8" i="2"/>
  <c r="FS8" i="2"/>
  <c r="GO8" i="2"/>
  <c r="HK8" i="2"/>
  <c r="IG8" i="2"/>
  <c r="JC8" i="2"/>
  <c r="JY8" i="2"/>
  <c r="KU8" i="2"/>
  <c r="LQ8" i="2"/>
  <c r="CJ8" i="2"/>
  <c r="DF8" i="2"/>
  <c r="EB8" i="2"/>
  <c r="EX8" i="2"/>
  <c r="FT8" i="2"/>
  <c r="GP8" i="2"/>
  <c r="HL8" i="2"/>
  <c r="IH8" i="2"/>
  <c r="JD8" i="2"/>
  <c r="JZ8" i="2"/>
  <c r="KV8" i="2"/>
  <c r="LR8" i="2"/>
  <c r="CM8" i="2"/>
  <c r="DI8" i="2"/>
  <c r="EE8" i="2"/>
  <c r="FA8" i="2"/>
  <c r="FW8" i="2"/>
  <c r="GS8" i="2"/>
  <c r="HO8" i="2"/>
  <c r="IK8" i="2"/>
  <c r="JG8" i="2"/>
  <c r="KC8" i="2"/>
  <c r="KY8" i="2"/>
  <c r="LU8" i="2"/>
  <c r="CI15" i="2"/>
  <c r="DE15" i="2"/>
  <c r="EA15" i="2"/>
  <c r="EW15" i="2"/>
  <c r="FS15" i="2"/>
  <c r="GO15" i="2"/>
  <c r="HK15" i="2"/>
  <c r="IG15" i="2"/>
  <c r="JC15" i="2"/>
  <c r="JY15" i="2"/>
  <c r="KU15" i="2"/>
  <c r="LQ15" i="2"/>
  <c r="CJ15" i="2"/>
  <c r="DF15" i="2"/>
  <c r="EB15" i="2"/>
  <c r="EX15" i="2"/>
  <c r="FT15" i="2"/>
  <c r="GP15" i="2"/>
  <c r="HL15" i="2"/>
  <c r="IH15" i="2"/>
  <c r="JD15" i="2"/>
  <c r="JZ15" i="2"/>
  <c r="KV15" i="2"/>
  <c r="LR15" i="2"/>
  <c r="CM15" i="2"/>
  <c r="DI15" i="2"/>
  <c r="EE15" i="2"/>
  <c r="FA15" i="2"/>
  <c r="FW15" i="2"/>
  <c r="GS15" i="2"/>
  <c r="HO15" i="2"/>
  <c r="IK15" i="2"/>
  <c r="JG15" i="2"/>
  <c r="KC15" i="2"/>
  <c r="KY15" i="2"/>
  <c r="LU15" i="2"/>
  <c r="CM4" i="2"/>
  <c r="DI4" i="2"/>
  <c r="EE4" i="2"/>
  <c r="FA4" i="2"/>
  <c r="FW4" i="2"/>
  <c r="GS4" i="2"/>
  <c r="HO4" i="2"/>
  <c r="IK4" i="2"/>
  <c r="JG4" i="2"/>
  <c r="KC4" i="2"/>
  <c r="KY4" i="2"/>
  <c r="LU4" i="2"/>
  <c r="CJ4" i="2"/>
  <c r="DF4" i="2"/>
  <c r="EB4" i="2"/>
  <c r="EX4" i="2"/>
  <c r="FT4" i="2"/>
  <c r="GP4" i="2"/>
  <c r="HL4" i="2"/>
  <c r="IH4" i="2"/>
  <c r="JD4" i="2"/>
  <c r="JZ4" i="2"/>
  <c r="KV4" i="2"/>
  <c r="LR4" i="2"/>
  <c r="CI4" i="2"/>
  <c r="DE4" i="2"/>
  <c r="EA4" i="2"/>
  <c r="EW4" i="2"/>
  <c r="FS4" i="2"/>
  <c r="GO4" i="2"/>
  <c r="HK4" i="2"/>
  <c r="IG4" i="2"/>
  <c r="JC4" i="2"/>
  <c r="JY4" i="2"/>
  <c r="KU4" i="2"/>
  <c r="LQ4" i="2"/>
  <c r="CA6" i="7"/>
  <c r="CU6" i="7"/>
  <c r="DO6" i="7"/>
  <c r="EI6" i="7"/>
  <c r="FC6" i="7"/>
  <c r="FW6" i="7"/>
  <c r="GQ6" i="7"/>
  <c r="HK6" i="7"/>
  <c r="IE6" i="7"/>
  <c r="IY6" i="7"/>
  <c r="JS6" i="7"/>
  <c r="KM6" i="7"/>
  <c r="CA9" i="7"/>
  <c r="CU9" i="7"/>
  <c r="DO9" i="7"/>
  <c r="EI9" i="7"/>
  <c r="FC9" i="7"/>
  <c r="FW9" i="7"/>
  <c r="GQ9" i="7"/>
  <c r="HK9" i="7"/>
  <c r="IE9" i="7"/>
  <c r="IY9" i="7"/>
  <c r="JS9" i="7"/>
  <c r="KM9" i="7"/>
  <c r="CU4" i="7"/>
  <c r="DO4" i="7"/>
  <c r="EI4" i="7"/>
  <c r="FC4" i="7"/>
  <c r="FW4" i="7"/>
  <c r="GQ4" i="7"/>
  <c r="HK4" i="7"/>
  <c r="IE4" i="7"/>
  <c r="IY4" i="7"/>
  <c r="JS4" i="7"/>
  <c r="KM4" i="7"/>
  <c r="CA5" i="8"/>
  <c r="CU5" i="8"/>
  <c r="DO5" i="8"/>
  <c r="EI5" i="8"/>
  <c r="FC5" i="8"/>
  <c r="FW5" i="8"/>
  <c r="GQ5" i="8"/>
  <c r="HK5" i="8"/>
  <c r="IE5" i="8"/>
  <c r="IY5" i="8"/>
  <c r="JS5" i="8"/>
  <c r="KM5" i="8"/>
  <c r="CA6" i="8"/>
  <c r="CU6" i="8"/>
  <c r="DO6" i="8"/>
  <c r="EI6" i="8"/>
  <c r="FC6" i="8"/>
  <c r="FW6" i="8"/>
  <c r="GQ6" i="8"/>
  <c r="HK6" i="8"/>
  <c r="IE6" i="8"/>
  <c r="IY6" i="8"/>
  <c r="JS6" i="8"/>
  <c r="JQ5" i="8"/>
  <c r="KK6" i="8"/>
  <c r="JQ6" i="8"/>
  <c r="IW5" i="8"/>
  <c r="IC5" i="8"/>
  <c r="IW6" i="8"/>
  <c r="IC6" i="8"/>
  <c r="HI5" i="8"/>
  <c r="GO5" i="8"/>
  <c r="HI6" i="8"/>
  <c r="GO6" i="8"/>
  <c r="FU5" i="8"/>
  <c r="FA5" i="8"/>
  <c r="FU6" i="8"/>
  <c r="FA6" i="8"/>
  <c r="DM6" i="7"/>
  <c r="EG6" i="7"/>
  <c r="FA6" i="7"/>
  <c r="FU6" i="7"/>
  <c r="GO6" i="7"/>
  <c r="HI6" i="7"/>
  <c r="IC6" i="7"/>
  <c r="JQ6" i="7"/>
  <c r="KK6" i="7"/>
  <c r="DM9" i="7"/>
  <c r="EG9" i="7"/>
  <c r="FA9" i="7"/>
  <c r="FU9" i="7"/>
  <c r="GO9" i="7"/>
  <c r="HI9" i="7"/>
  <c r="IC9" i="7"/>
  <c r="IW9" i="7"/>
  <c r="JQ9" i="7"/>
  <c r="KK9" i="7"/>
  <c r="KK4" i="7"/>
  <c r="JQ4" i="7"/>
  <c r="IW4" i="7"/>
  <c r="IC4" i="7"/>
  <c r="HI4" i="7"/>
  <c r="GO4" i="7"/>
  <c r="FU4" i="7"/>
  <c r="FA4" i="7"/>
  <c r="CA4" i="7"/>
  <c r="DM5" i="8"/>
  <c r="EG5" i="8"/>
  <c r="EG6" i="8"/>
  <c r="DM6" i="8"/>
  <c r="EG4" i="7"/>
  <c r="DM4" i="7"/>
  <c r="BY6" i="8"/>
  <c r="CS5" i="8"/>
  <c r="CS6" i="8"/>
  <c r="CS9" i="7"/>
  <c r="CS6" i="7"/>
  <c r="CS4" i="7"/>
  <c r="BY5" i="8"/>
  <c r="BY9" i="7"/>
  <c r="BY6" i="7"/>
  <c r="BY4" i="7"/>
  <c r="G4" i="7" l="1"/>
  <c r="F4" i="7"/>
  <c r="F6" i="7"/>
  <c r="G6" i="7"/>
  <c r="F9" i="7"/>
  <c r="G9" i="7"/>
  <c r="G6" i="8"/>
  <c r="F6" i="8"/>
  <c r="G5" i="8"/>
  <c r="F5" i="8"/>
  <c r="P4" i="8"/>
  <c r="O4" i="8"/>
  <c r="BG4" i="7"/>
  <c r="BG6" i="7"/>
  <c r="BG9" i="7"/>
  <c r="BG6" i="8"/>
  <c r="BG5" i="8"/>
  <c r="BH4" i="7"/>
  <c r="BP4" i="4"/>
  <c r="BR16" i="4"/>
  <c r="BP21" i="4"/>
  <c r="BR17" i="4"/>
  <c r="BP12" i="4"/>
  <c r="BR10" i="4"/>
  <c r="BO10" i="4"/>
  <c r="BP6" i="4"/>
  <c r="BH6" i="8"/>
  <c r="BH5" i="8"/>
  <c r="BH6" i="7"/>
  <c r="BH9" i="7"/>
  <c r="BO11" i="2"/>
  <c r="BP10" i="2"/>
  <c r="BR9" i="2"/>
  <c r="BR11" i="2"/>
  <c r="BO5" i="2"/>
  <c r="G4" i="2"/>
  <c r="F4" i="2"/>
  <c r="F11" i="2"/>
  <c r="G11" i="2"/>
  <c r="BP4" i="2"/>
  <c r="BR15" i="2"/>
  <c r="BO15" i="2"/>
  <c r="BP8" i="2"/>
  <c r="BP9" i="2"/>
  <c r="BR5" i="2"/>
  <c r="F10" i="2"/>
  <c r="G10" i="2"/>
  <c r="BP11" i="2"/>
  <c r="BR10" i="2"/>
  <c r="BO10" i="2"/>
  <c r="G5" i="2"/>
  <c r="F5" i="2"/>
  <c r="G8" i="2"/>
  <c r="F8" i="2"/>
  <c r="F9" i="2"/>
  <c r="G9" i="2"/>
  <c r="BO4" i="2"/>
  <c r="BR4" i="2"/>
  <c r="BP15" i="2"/>
  <c r="BR8" i="2"/>
  <c r="BO8" i="2"/>
  <c r="BP5" i="2"/>
  <c r="F15" i="2"/>
  <c r="G15" i="2"/>
  <c r="BO9" i="2"/>
  <c r="BO17" i="4"/>
  <c r="BO16" i="4"/>
  <c r="F17" i="4"/>
  <c r="G17" i="4"/>
  <c r="BR11" i="4"/>
  <c r="BO11" i="4"/>
  <c r="G21" i="4"/>
  <c r="F21" i="4"/>
  <c r="G11" i="4"/>
  <c r="F11" i="4"/>
  <c r="BO6" i="4"/>
  <c r="BP9" i="4"/>
  <c r="BO19" i="4"/>
  <c r="F12" i="4"/>
  <c r="G12" i="4"/>
  <c r="BP15" i="4"/>
  <c r="BR13" i="4"/>
  <c r="BO13" i="4"/>
  <c r="G4" i="4"/>
  <c r="F4" i="4"/>
  <c r="F6" i="4"/>
  <c r="G6" i="4"/>
  <c r="BO4" i="4"/>
  <c r="BP16" i="4"/>
  <c r="BR21" i="4"/>
  <c r="BO21" i="4"/>
  <c r="BP17" i="4"/>
  <c r="BR12" i="4"/>
  <c r="BO12" i="4"/>
  <c r="BP10" i="4"/>
  <c r="BR6" i="4"/>
  <c r="G15" i="4"/>
  <c r="F15" i="4"/>
  <c r="G19" i="4"/>
  <c r="F19" i="4"/>
  <c r="BO9" i="4"/>
  <c r="BP11" i="4"/>
  <c r="BR19" i="4"/>
  <c r="G16" i="4"/>
  <c r="F16" i="4"/>
  <c r="G10" i="4"/>
  <c r="F10" i="4"/>
  <c r="BR4" i="4"/>
  <c r="BR9" i="4"/>
  <c r="F13" i="4"/>
  <c r="G13" i="4"/>
  <c r="F9" i="4"/>
  <c r="G9" i="4"/>
  <c r="BR15" i="4"/>
  <c r="BO15" i="4"/>
  <c r="BP13" i="4"/>
  <c r="BP19" i="4"/>
  <c r="R23" i="4"/>
  <c r="T23" i="4" s="1"/>
  <c r="S7" i="4"/>
  <c r="E7" i="4"/>
  <c r="CK21" i="4"/>
  <c r="CN21" i="4" s="1"/>
  <c r="E4" i="8"/>
  <c r="KW19" i="4"/>
  <c r="KZ19" i="4" s="1"/>
  <c r="I11" i="6"/>
  <c r="LS12" i="4"/>
  <c r="LV12" i="4" s="1"/>
  <c r="LS5" i="2"/>
  <c r="LV5" i="2" s="1"/>
  <c r="KW9" i="2"/>
  <c r="KZ9" i="2" s="1"/>
  <c r="FU5" i="2"/>
  <c r="FX5" i="2" s="1"/>
  <c r="I7" i="6"/>
  <c r="I12" i="6"/>
  <c r="KW11" i="2"/>
  <c r="KZ11" i="2" s="1"/>
  <c r="KA19" i="4"/>
  <c r="KD19" i="4" s="1"/>
  <c r="HM10" i="2"/>
  <c r="HP10" i="2" s="1"/>
  <c r="CK9" i="2"/>
  <c r="EC11" i="2"/>
  <c r="EF11" i="2" s="1"/>
  <c r="EC4" i="4"/>
  <c r="EF4" i="4" s="1"/>
  <c r="EC17" i="4"/>
  <c r="EF17" i="4" s="1"/>
  <c r="I4" i="6"/>
  <c r="JT9" i="7"/>
  <c r="I6" i="6"/>
  <c r="HL9" i="7"/>
  <c r="JE4" i="2"/>
  <c r="JH4" i="2" s="1"/>
  <c r="JT6" i="7"/>
  <c r="KN6" i="7"/>
  <c r="KA5" i="2"/>
  <c r="KD5" i="2" s="1"/>
  <c r="JE5" i="2"/>
  <c r="JH5" i="2" s="1"/>
  <c r="CK5" i="2"/>
  <c r="GQ9" i="2"/>
  <c r="GT9" i="2" s="1"/>
  <c r="II11" i="2"/>
  <c r="IL11" i="2" s="1"/>
  <c r="KW10" i="2"/>
  <c r="KZ10" i="2" s="1"/>
  <c r="EC19" i="4"/>
  <c r="EF19" i="4" s="1"/>
  <c r="EY9" i="4"/>
  <c r="FB9" i="4" s="1"/>
  <c r="EC11" i="4"/>
  <c r="EF11" i="4" s="1"/>
  <c r="FU6" i="4"/>
  <c r="FX6" i="4" s="1"/>
  <c r="DG11" i="4"/>
  <c r="DJ11" i="4" s="1"/>
  <c r="CK13" i="4"/>
  <c r="KA17" i="4"/>
  <c r="KD17" i="4" s="1"/>
  <c r="HM16" i="4"/>
  <c r="HP16" i="4" s="1"/>
  <c r="EY17" i="4"/>
  <c r="FB17" i="4" s="1"/>
  <c r="GQ10" i="4"/>
  <c r="GT10" i="4" s="1"/>
  <c r="DG19" i="4"/>
  <c r="DJ19" i="4" s="1"/>
  <c r="EY19" i="4"/>
  <c r="FB19" i="4" s="1"/>
  <c r="FD6" i="8"/>
  <c r="I10" i="6"/>
  <c r="I5" i="6"/>
  <c r="FX9" i="7"/>
  <c r="IF6" i="7"/>
  <c r="FD6" i="7"/>
  <c r="II13" i="4"/>
  <c r="IL13" i="4" s="1"/>
  <c r="FU4" i="4"/>
  <c r="FX4" i="4" s="1"/>
  <c r="JE4" i="4"/>
  <c r="JH4" i="4" s="1"/>
  <c r="CK4" i="4"/>
  <c r="EY16" i="4"/>
  <c r="FB16" i="4" s="1"/>
  <c r="HM21" i="4"/>
  <c r="HP21" i="4" s="1"/>
  <c r="CK17" i="4"/>
  <c r="KW10" i="4"/>
  <c r="KZ10" i="4" s="1"/>
  <c r="IF5" i="8"/>
  <c r="FX4" i="7"/>
  <c r="IF4" i="7"/>
  <c r="EJ4" i="7"/>
  <c r="EY4" i="2"/>
  <c r="FB4" i="2" s="1"/>
  <c r="JE15" i="2"/>
  <c r="JH15" i="2" s="1"/>
  <c r="CK15" i="2"/>
  <c r="EY15" i="2"/>
  <c r="FB15" i="2" s="1"/>
  <c r="KA9" i="2"/>
  <c r="KD9" i="2" s="1"/>
  <c r="DG9" i="2"/>
  <c r="DJ9" i="2" s="1"/>
  <c r="GQ8" i="2"/>
  <c r="GT8" i="2" s="1"/>
  <c r="GQ10" i="2"/>
  <c r="GT10" i="2" s="1"/>
  <c r="KA10" i="2"/>
  <c r="KD10" i="2" s="1"/>
  <c r="DG10" i="2"/>
  <c r="DJ10" i="2" s="1"/>
  <c r="FU9" i="2"/>
  <c r="FX9" i="2" s="1"/>
  <c r="JE9" i="2"/>
  <c r="JH9" i="2" s="1"/>
  <c r="EY5" i="2"/>
  <c r="FB5" i="2" s="1"/>
  <c r="II5" i="2"/>
  <c r="IL5" i="2" s="1"/>
  <c r="FU4" i="2"/>
  <c r="FX4" i="2" s="1"/>
  <c r="CK4" i="2"/>
  <c r="KA15" i="2"/>
  <c r="KD15" i="2" s="1"/>
  <c r="GQ15" i="2"/>
  <c r="GT15" i="2" s="1"/>
  <c r="JE8" i="2"/>
  <c r="JH8" i="2" s="1"/>
  <c r="CK8" i="2"/>
  <c r="FU8" i="2"/>
  <c r="FX8" i="2" s="1"/>
  <c r="GQ11" i="2"/>
  <c r="GT11" i="2" s="1"/>
  <c r="KA11" i="2"/>
  <c r="KD11" i="2" s="1"/>
  <c r="DG11" i="2"/>
  <c r="DJ11" i="2" s="1"/>
  <c r="FU10" i="2"/>
  <c r="FX10" i="2" s="1"/>
  <c r="JE10" i="2"/>
  <c r="JH10" i="2" s="1"/>
  <c r="CK10" i="2"/>
  <c r="LS9" i="2"/>
  <c r="LV9" i="2" s="1"/>
  <c r="EY9" i="2"/>
  <c r="FB9" i="2" s="1"/>
  <c r="II9" i="2"/>
  <c r="IL9" i="2" s="1"/>
  <c r="KW5" i="2"/>
  <c r="KZ5" i="2" s="1"/>
  <c r="EC5" i="2"/>
  <c r="EF5" i="2" s="1"/>
  <c r="HM5" i="2"/>
  <c r="HP5" i="2" s="1"/>
  <c r="FU15" i="2"/>
  <c r="FX15" i="2" s="1"/>
  <c r="II8" i="2"/>
  <c r="IL8" i="2" s="1"/>
  <c r="LS8" i="2"/>
  <c r="LV8" i="2" s="1"/>
  <c r="EY8" i="2"/>
  <c r="FB8" i="2" s="1"/>
  <c r="FU11" i="2"/>
  <c r="FX11" i="2" s="1"/>
  <c r="JE11" i="2"/>
  <c r="JH11" i="2" s="1"/>
  <c r="CK11" i="2"/>
  <c r="GQ21" i="4"/>
  <c r="GT21" i="4" s="1"/>
  <c r="GQ13" i="4"/>
  <c r="GT13" i="4" s="1"/>
  <c r="KA13" i="4"/>
  <c r="KD13" i="4" s="1"/>
  <c r="DG13" i="4"/>
  <c r="DJ13" i="4" s="1"/>
  <c r="FU13" i="4"/>
  <c r="FX13" i="4" s="1"/>
  <c r="JE13" i="4"/>
  <c r="JH13" i="4" s="1"/>
  <c r="EY21" i="4"/>
  <c r="FB21" i="4" s="1"/>
  <c r="JE12" i="4"/>
  <c r="JH12" i="4" s="1"/>
  <c r="GQ6" i="4"/>
  <c r="GT6" i="4" s="1"/>
  <c r="FU9" i="4"/>
  <c r="FX9" i="4" s="1"/>
  <c r="GQ19" i="4"/>
  <c r="GT19" i="4" s="1"/>
  <c r="IZ6" i="8"/>
  <c r="CV6" i="8"/>
  <c r="GR5" i="8"/>
  <c r="JT5" i="8"/>
  <c r="DP5" i="8"/>
  <c r="IF6" i="8"/>
  <c r="CV5" i="8"/>
  <c r="HL6" i="8"/>
  <c r="KN6" i="8"/>
  <c r="EJ6" i="8"/>
  <c r="FD5" i="8"/>
  <c r="GR6" i="8"/>
  <c r="DP6" i="8"/>
  <c r="GR4" i="7"/>
  <c r="IZ9" i="7"/>
  <c r="JT4" i="7"/>
  <c r="FD9" i="7"/>
  <c r="IF9" i="7"/>
  <c r="IZ4" i="7"/>
  <c r="EJ9" i="7"/>
  <c r="GR6" i="7"/>
  <c r="KW4" i="2"/>
  <c r="KZ4" i="2" s="1"/>
  <c r="HM4" i="2"/>
  <c r="HP4" i="2" s="1"/>
  <c r="II15" i="2"/>
  <c r="IL15" i="2" s="1"/>
  <c r="LS15" i="2"/>
  <c r="LV15" i="2" s="1"/>
  <c r="HM8" i="2"/>
  <c r="HP8" i="2" s="1"/>
  <c r="KW8" i="2"/>
  <c r="KZ8" i="2" s="1"/>
  <c r="EC8" i="2"/>
  <c r="EF8" i="2" s="1"/>
  <c r="LS11" i="2"/>
  <c r="LV11" i="2" s="1"/>
  <c r="LS10" i="2"/>
  <c r="LV10" i="2" s="1"/>
  <c r="II10" i="2"/>
  <c r="IL10" i="2" s="1"/>
  <c r="HM9" i="2"/>
  <c r="HP9" i="2" s="1"/>
  <c r="GQ5" i="2"/>
  <c r="GT5" i="2" s="1"/>
  <c r="HM15" i="2"/>
  <c r="HP15" i="2" s="1"/>
  <c r="KW15" i="2"/>
  <c r="KZ15" i="2" s="1"/>
  <c r="EC15" i="2"/>
  <c r="EF15" i="2" s="1"/>
  <c r="KA8" i="2"/>
  <c r="KD8" i="2" s="1"/>
  <c r="DG8" i="2"/>
  <c r="DJ8" i="2" s="1"/>
  <c r="HM11" i="2"/>
  <c r="HP11" i="2" s="1"/>
  <c r="GQ15" i="4"/>
  <c r="GT15" i="4" s="1"/>
  <c r="KA15" i="4"/>
  <c r="KD15" i="4" s="1"/>
  <c r="DG15" i="4"/>
  <c r="DJ15" i="4" s="1"/>
  <c r="FU15" i="4"/>
  <c r="FX15" i="4" s="1"/>
  <c r="JE15" i="4"/>
  <c r="JH15" i="4" s="1"/>
  <c r="CK15" i="4"/>
  <c r="II12" i="4"/>
  <c r="IL12" i="4" s="1"/>
  <c r="HM10" i="4"/>
  <c r="HP10" i="4" s="1"/>
  <c r="JE19" i="4"/>
  <c r="JH19" i="4" s="1"/>
  <c r="CK19" i="4"/>
  <c r="FU19" i="4"/>
  <c r="FX19" i="4" s="1"/>
  <c r="II4" i="4"/>
  <c r="IL4" i="4" s="1"/>
  <c r="LS4" i="4"/>
  <c r="LV4" i="4" s="1"/>
  <c r="EY4" i="4"/>
  <c r="FB4" i="4" s="1"/>
  <c r="KW16" i="4"/>
  <c r="KZ16" i="4" s="1"/>
  <c r="EC16" i="4"/>
  <c r="EF16" i="4" s="1"/>
  <c r="DG10" i="4"/>
  <c r="DJ10" i="4" s="1"/>
  <c r="II6" i="4"/>
  <c r="IL6" i="4" s="1"/>
  <c r="HM9" i="4"/>
  <c r="HP9" i="4" s="1"/>
  <c r="GQ11" i="4"/>
  <c r="GT11" i="4" s="1"/>
  <c r="II19" i="4"/>
  <c r="IL19" i="4" s="1"/>
  <c r="LS19" i="4"/>
  <c r="LV19" i="4" s="1"/>
  <c r="LS15" i="4"/>
  <c r="LV15" i="4" s="1"/>
  <c r="EY15" i="4"/>
  <c r="FB15" i="4" s="1"/>
  <c r="LS13" i="4"/>
  <c r="LV13" i="4" s="1"/>
  <c r="EY13" i="4"/>
  <c r="FB13" i="4" s="1"/>
  <c r="HM4" i="4"/>
  <c r="HP4" i="4" s="1"/>
  <c r="KW4" i="4"/>
  <c r="KZ4" i="4" s="1"/>
  <c r="GQ16" i="4"/>
  <c r="GT16" i="4" s="1"/>
  <c r="KA16" i="4"/>
  <c r="KD16" i="4" s="1"/>
  <c r="DG16" i="4"/>
  <c r="DJ16" i="4" s="1"/>
  <c r="GQ12" i="4"/>
  <c r="GT12" i="4" s="1"/>
  <c r="JE10" i="4"/>
  <c r="JH10" i="4" s="1"/>
  <c r="EC6" i="4"/>
  <c r="EF6" i="4" s="1"/>
  <c r="DG9" i="4"/>
  <c r="DJ9" i="4" s="1"/>
  <c r="FX11" i="4"/>
  <c r="JE11" i="4"/>
  <c r="JH11" i="4" s="1"/>
  <c r="CK11" i="4"/>
  <c r="HM15" i="4"/>
  <c r="HP15" i="4" s="1"/>
  <c r="KW15" i="4"/>
  <c r="KZ15" i="4" s="1"/>
  <c r="EC15" i="4"/>
  <c r="EF15" i="4" s="1"/>
  <c r="HM13" i="4"/>
  <c r="HP13" i="4" s="1"/>
  <c r="KW13" i="4"/>
  <c r="KZ13" i="4" s="1"/>
  <c r="EC13" i="4"/>
  <c r="EF13" i="4" s="1"/>
  <c r="GQ4" i="4"/>
  <c r="GT4" i="4" s="1"/>
  <c r="KA4" i="4"/>
  <c r="KD4" i="4" s="1"/>
  <c r="DG4" i="4"/>
  <c r="DJ4" i="4" s="1"/>
  <c r="FU16" i="4"/>
  <c r="FX16" i="4" s="1"/>
  <c r="JE16" i="4"/>
  <c r="JH16" i="4" s="1"/>
  <c r="CK16" i="4"/>
  <c r="FU12" i="4"/>
  <c r="FX12" i="4" s="1"/>
  <c r="LS10" i="4"/>
  <c r="LV10" i="4" s="1"/>
  <c r="FX6" i="8"/>
  <c r="IZ5" i="8"/>
  <c r="FX5" i="8"/>
  <c r="JT6" i="8"/>
  <c r="HL5" i="8"/>
  <c r="KN5" i="8"/>
  <c r="EJ5" i="8"/>
  <c r="HL6" i="7"/>
  <c r="EJ6" i="7"/>
  <c r="KN9" i="7"/>
  <c r="FD4" i="7"/>
  <c r="HL4" i="7"/>
  <c r="GR9" i="7"/>
  <c r="FX6" i="7"/>
  <c r="IZ6" i="7"/>
  <c r="KN4" i="7"/>
  <c r="DG15" i="2"/>
  <c r="DJ15" i="2" s="1"/>
  <c r="II4" i="2"/>
  <c r="IL4" i="2" s="1"/>
  <c r="LS4" i="2"/>
  <c r="LV4" i="2" s="1"/>
  <c r="EC4" i="2"/>
  <c r="EF4" i="2" s="1"/>
  <c r="EY11" i="2"/>
  <c r="FB11" i="2" s="1"/>
  <c r="EY10" i="2"/>
  <c r="FB10" i="2" s="1"/>
  <c r="EC9" i="2"/>
  <c r="EF9" i="2" s="1"/>
  <c r="DG5" i="2"/>
  <c r="DJ5" i="2" s="1"/>
  <c r="GQ4" i="2"/>
  <c r="GT4" i="2" s="1"/>
  <c r="KA4" i="2"/>
  <c r="KD4" i="2" s="1"/>
  <c r="DG4" i="2"/>
  <c r="DJ4" i="2" s="1"/>
  <c r="EC10" i="2"/>
  <c r="EF10" i="2" s="1"/>
  <c r="LS17" i="4"/>
  <c r="LV17" i="4" s="1"/>
  <c r="EY12" i="4"/>
  <c r="FB12" i="4" s="1"/>
  <c r="JE21" i="4"/>
  <c r="JH21" i="4" s="1"/>
  <c r="FU21" i="4"/>
  <c r="FX21" i="4" s="1"/>
  <c r="HM17" i="4"/>
  <c r="HP17" i="4" s="1"/>
  <c r="KW17" i="4"/>
  <c r="KZ17" i="4" s="1"/>
  <c r="HM12" i="4"/>
  <c r="HP12" i="4" s="1"/>
  <c r="KW12" i="4"/>
  <c r="KZ12" i="4" s="1"/>
  <c r="EC12" i="4"/>
  <c r="EF12" i="4" s="1"/>
  <c r="KA10" i="4"/>
  <c r="KD10" i="4" s="1"/>
  <c r="JE6" i="4"/>
  <c r="JH6" i="4" s="1"/>
  <c r="CK6" i="4"/>
  <c r="LS9" i="4"/>
  <c r="LV9" i="4" s="1"/>
  <c r="II9" i="4"/>
  <c r="IL9" i="4" s="1"/>
  <c r="KW11" i="4"/>
  <c r="KZ11" i="4" s="1"/>
  <c r="HM11" i="4"/>
  <c r="HP11" i="4" s="1"/>
  <c r="KA6" i="4"/>
  <c r="KD6" i="4" s="1"/>
  <c r="CK9" i="4"/>
  <c r="EY11" i="4"/>
  <c r="FB11" i="4" s="1"/>
  <c r="II21" i="4"/>
  <c r="IL21" i="4" s="1"/>
  <c r="LS21" i="4"/>
  <c r="LV21" i="4" s="1"/>
  <c r="GQ17" i="4"/>
  <c r="GT17" i="4" s="1"/>
  <c r="DG17" i="4"/>
  <c r="DJ17" i="4" s="1"/>
  <c r="KA12" i="4"/>
  <c r="KD12" i="4" s="1"/>
  <c r="DG12" i="4"/>
  <c r="DJ12" i="4" s="1"/>
  <c r="FU10" i="4"/>
  <c r="FX10" i="4" s="1"/>
  <c r="CK10" i="4"/>
  <c r="LS6" i="4"/>
  <c r="LV6" i="4" s="1"/>
  <c r="EY6" i="4"/>
  <c r="FB6" i="4" s="1"/>
  <c r="KW9" i="4"/>
  <c r="KZ9" i="4" s="1"/>
  <c r="EC9" i="4"/>
  <c r="EF9" i="4" s="1"/>
  <c r="EC10" i="4"/>
  <c r="EF10" i="4" s="1"/>
  <c r="DG6" i="4"/>
  <c r="DJ6" i="4" s="1"/>
  <c r="JE9" i="4"/>
  <c r="JH9" i="4" s="1"/>
  <c r="LS11" i="4"/>
  <c r="LV11" i="4" s="1"/>
  <c r="II11" i="4"/>
  <c r="IL11" i="4" s="1"/>
  <c r="II16" i="4"/>
  <c r="IL16" i="4" s="1"/>
  <c r="LS16" i="4"/>
  <c r="LV16" i="4" s="1"/>
  <c r="KW21" i="4"/>
  <c r="KZ21" i="4" s="1"/>
  <c r="EC21" i="4"/>
  <c r="EF21" i="4" s="1"/>
  <c r="FU17" i="4"/>
  <c r="FX17" i="4" s="1"/>
  <c r="JE17" i="4"/>
  <c r="JH17" i="4" s="1"/>
  <c r="CK12" i="4"/>
  <c r="II10" i="4"/>
  <c r="IL10" i="4" s="1"/>
  <c r="HM6" i="4"/>
  <c r="HP6" i="4" s="1"/>
  <c r="GQ9" i="4"/>
  <c r="GT9" i="4" s="1"/>
  <c r="KA21" i="4"/>
  <c r="KD21" i="4" s="1"/>
  <c r="DG21" i="4"/>
  <c r="DJ21" i="4" s="1"/>
  <c r="II17" i="4"/>
  <c r="IL17" i="4" s="1"/>
  <c r="HM19" i="4"/>
  <c r="HP19" i="4" s="1"/>
  <c r="II15" i="4"/>
  <c r="IL15" i="4" s="1"/>
  <c r="EY10" i="4"/>
  <c r="FB10" i="4" s="1"/>
  <c r="KW6" i="4"/>
  <c r="KZ6" i="4" s="1"/>
  <c r="KA9" i="4"/>
  <c r="KD9" i="4" s="1"/>
  <c r="KA11" i="4"/>
  <c r="KD11" i="4" s="1"/>
  <c r="I6" i="8" l="1"/>
  <c r="I5" i="8"/>
  <c r="N4" i="7"/>
  <c r="O4" i="7" s="1"/>
  <c r="I9" i="7"/>
  <c r="A9" i="7"/>
  <c r="I6" i="7"/>
  <c r="A6" i="7"/>
  <c r="I4" i="7"/>
  <c r="BI11" i="6"/>
  <c r="BI7" i="6"/>
  <c r="BI12" i="6"/>
  <c r="BI10" i="6"/>
  <c r="BI4" i="6"/>
  <c r="BI5" i="6"/>
  <c r="BI6" i="6"/>
  <c r="CB9" i="7"/>
  <c r="CV9" i="7" s="1"/>
  <c r="DP9" i="7" s="1"/>
  <c r="CB6" i="7"/>
  <c r="CV6" i="7" s="1"/>
  <c r="DP6" i="7" s="1"/>
  <c r="CB4" i="7"/>
  <c r="CV4" i="7" s="1"/>
  <c r="DP4" i="7" s="1"/>
  <c r="CB6" i="8"/>
  <c r="CB5" i="8"/>
  <c r="N9" i="7"/>
  <c r="N6" i="7"/>
  <c r="CN15" i="2"/>
  <c r="H15" i="2"/>
  <c r="I15" i="2" s="1"/>
  <c r="BQ15" i="2"/>
  <c r="CN4" i="2"/>
  <c r="H4" i="2"/>
  <c r="BQ4" i="2"/>
  <c r="CN9" i="2"/>
  <c r="BQ9" i="2"/>
  <c r="H9" i="2"/>
  <c r="I9" i="2" s="1"/>
  <c r="CN5" i="2"/>
  <c r="H5" i="2"/>
  <c r="BQ5" i="2"/>
  <c r="CN10" i="2"/>
  <c r="H10" i="2"/>
  <c r="I10" i="2" s="1"/>
  <c r="BQ10" i="2"/>
  <c r="CN11" i="2"/>
  <c r="H11" i="2"/>
  <c r="I11" i="2" s="1"/>
  <c r="BQ11" i="2"/>
  <c r="CN8" i="2"/>
  <c r="H8" i="2"/>
  <c r="I8" i="2" s="1"/>
  <c r="BQ8" i="2"/>
  <c r="CN10" i="4"/>
  <c r="H10" i="4"/>
  <c r="I10" i="4" s="1"/>
  <c r="BQ10" i="4"/>
  <c r="CN6" i="4"/>
  <c r="H6" i="4"/>
  <c r="BQ6" i="4"/>
  <c r="CN16" i="4"/>
  <c r="H16" i="4"/>
  <c r="A16" i="4" s="1"/>
  <c r="BQ16" i="4"/>
  <c r="CN19" i="4"/>
  <c r="H19" i="4"/>
  <c r="A19" i="4" s="1"/>
  <c r="BQ19" i="4"/>
  <c r="CN12" i="4"/>
  <c r="H12" i="4"/>
  <c r="BQ12" i="4"/>
  <c r="CN13" i="4"/>
  <c r="H13" i="4"/>
  <c r="BQ13" i="4"/>
  <c r="CN9" i="4"/>
  <c r="H9" i="4"/>
  <c r="I9" i="4" s="1"/>
  <c r="BQ9" i="4"/>
  <c r="H4" i="4"/>
  <c r="BQ4" i="4"/>
  <c r="CN11" i="4"/>
  <c r="H11" i="4"/>
  <c r="I11" i="4" s="1"/>
  <c r="BQ11" i="4"/>
  <c r="CN15" i="4"/>
  <c r="H15" i="4"/>
  <c r="BQ15" i="4"/>
  <c r="CN17" i="4"/>
  <c r="H17" i="4"/>
  <c r="A17" i="4" s="1"/>
  <c r="BQ17" i="4"/>
  <c r="H21" i="4"/>
  <c r="A21" i="4" s="1"/>
  <c r="BQ21" i="4"/>
  <c r="S23" i="4"/>
  <c r="E23" i="4"/>
  <c r="CN4" i="4"/>
  <c r="P4" i="7" l="1"/>
  <c r="I4" i="2"/>
  <c r="I5" i="2"/>
  <c r="A13" i="4"/>
  <c r="A6" i="4"/>
  <c r="A11" i="2"/>
  <c r="A10" i="2"/>
  <c r="A8" i="2"/>
  <c r="A9" i="2"/>
  <c r="A15" i="2"/>
  <c r="A11" i="4"/>
  <c r="A9" i="4"/>
  <c r="I4" i="4"/>
  <c r="P9" i="7"/>
  <c r="O9" i="7"/>
  <c r="P6" i="7"/>
  <c r="O6" i="7"/>
  <c r="I12" i="4"/>
  <c r="I6" i="4"/>
  <c r="I15" i="4"/>
  <c r="I19" i="4"/>
  <c r="I17" i="4"/>
  <c r="I21" i="4"/>
  <c r="I13" i="4"/>
  <c r="I16" i="4"/>
  <c r="E9" i="7"/>
  <c r="E6" i="7"/>
  <c r="N6" i="6"/>
  <c r="N4" i="6"/>
  <c r="P4" i="6" s="1"/>
  <c r="N12" i="6"/>
  <c r="P12" i="6" s="1"/>
  <c r="N5" i="6"/>
  <c r="P5" i="6" s="1"/>
  <c r="P6" i="6" l="1"/>
  <c r="E6" i="6"/>
  <c r="O5" i="6"/>
  <c r="O12" i="6"/>
  <c r="O4" i="6"/>
  <c r="O6" i="6"/>
  <c r="R11" i="2"/>
  <c r="T11" i="2" s="1"/>
  <c r="R5" i="2"/>
  <c r="T5" i="2" s="1"/>
  <c r="R10" i="2"/>
  <c r="T10" i="2" s="1"/>
  <c r="E5" i="6"/>
  <c r="N7" i="6"/>
  <c r="P7" i="6" s="1"/>
  <c r="N10" i="6"/>
  <c r="P10" i="6" s="1"/>
  <c r="N6" i="8"/>
  <c r="R9" i="4"/>
  <c r="T9" i="4" s="1"/>
  <c r="R10" i="4"/>
  <c r="T10" i="4" s="1"/>
  <c r="E4" i="6"/>
  <c r="R15" i="4"/>
  <c r="T15" i="4" s="1"/>
  <c r="N11" i="6"/>
  <c r="P11" i="6" s="1"/>
  <c r="R9" i="2"/>
  <c r="T9" i="2" s="1"/>
  <c r="E12" i="6"/>
  <c r="R8" i="2"/>
  <c r="T8" i="2" s="1"/>
  <c r="R13" i="4"/>
  <c r="T13" i="4" s="1"/>
  <c r="R16" i="4"/>
  <c r="T16" i="4" s="1"/>
  <c r="R21" i="4"/>
  <c r="T21" i="4" s="1"/>
  <c r="P6" i="8" l="1"/>
  <c r="O6" i="8"/>
  <c r="O10" i="6"/>
  <c r="O7" i="6"/>
  <c r="O11" i="6"/>
  <c r="E11" i="6"/>
  <c r="A5" i="6" s="1"/>
  <c r="S9" i="2"/>
  <c r="E9" i="2"/>
  <c r="S10" i="2"/>
  <c r="E10" i="2"/>
  <c r="S5" i="2"/>
  <c r="E5" i="2"/>
  <c r="S8" i="2"/>
  <c r="E8" i="2"/>
  <c r="S11" i="2"/>
  <c r="E11" i="2"/>
  <c r="R15" i="2"/>
  <c r="T15" i="2" s="1"/>
  <c r="R4" i="2"/>
  <c r="T4" i="2" s="1"/>
  <c r="S10" i="4"/>
  <c r="E10" i="4"/>
  <c r="R11" i="4"/>
  <c r="T11" i="4" s="1"/>
  <c r="R19" i="4"/>
  <c r="T19" i="4" s="1"/>
  <c r="S9" i="4"/>
  <c r="E9" i="4"/>
  <c r="S21" i="4"/>
  <c r="E21" i="4"/>
  <c r="R12" i="4"/>
  <c r="T12" i="4" s="1"/>
  <c r="S15" i="4"/>
  <c r="E15" i="4"/>
  <c r="S13" i="4"/>
  <c r="E13" i="4"/>
  <c r="S16" i="4"/>
  <c r="E16" i="4"/>
  <c r="R17" i="4"/>
  <c r="T17" i="4" s="1"/>
  <c r="R6" i="4"/>
  <c r="T6" i="4" s="1"/>
  <c r="R4" i="4"/>
  <c r="E10" i="6"/>
  <c r="A4" i="6" s="1"/>
  <c r="E7" i="6"/>
  <c r="N5" i="8"/>
  <c r="E6" i="8"/>
  <c r="A7" i="6" l="1"/>
  <c r="A6" i="6"/>
  <c r="D30" i="11" s="1"/>
  <c r="P5" i="8"/>
  <c r="O5" i="8"/>
  <c r="E4" i="7"/>
  <c r="S4" i="4"/>
  <c r="T4" i="4"/>
  <c r="S15" i="2"/>
  <c r="E15" i="2"/>
  <c r="S4" i="2"/>
  <c r="E4" i="2"/>
  <c r="S19" i="4"/>
  <c r="E19" i="4"/>
  <c r="S6" i="4"/>
  <c r="E6" i="4"/>
  <c r="S11" i="4"/>
  <c r="E11" i="4"/>
  <c r="S17" i="4"/>
  <c r="E17" i="4"/>
  <c r="S12" i="4"/>
  <c r="E12" i="4"/>
  <c r="E4" i="4"/>
  <c r="A8" i="4" s="1"/>
  <c r="E5" i="8"/>
  <c r="C26" i="11" l="1"/>
  <c r="D28" i="11"/>
  <c r="C28" i="11"/>
  <c r="D29" i="11"/>
  <c r="C30" i="11"/>
  <c r="D27" i="11"/>
  <c r="C27" i="11"/>
  <c r="D31" i="11"/>
  <c r="D26" i="11"/>
  <c r="C31" i="11"/>
  <c r="C29" i="11"/>
  <c r="A5" i="7"/>
  <c r="A4" i="7"/>
  <c r="A12" i="2"/>
  <c r="A7" i="2"/>
  <c r="A6" i="2"/>
  <c r="A4" i="2"/>
  <c r="A5" i="2"/>
  <c r="A4" i="4"/>
  <c r="A10" i="4"/>
  <c r="A5" i="4"/>
  <c r="A12" i="4"/>
  <c r="A5" i="8"/>
  <c r="A4" i="8"/>
  <c r="A6" i="8"/>
  <c r="A7" i="8"/>
  <c r="A15" i="4"/>
  <c r="C25" i="11" l="1"/>
  <c r="D20" i="11"/>
  <c r="D21" i="11"/>
  <c r="D22" i="11"/>
  <c r="C20" i="11"/>
  <c r="C21" i="11"/>
  <c r="D24" i="11"/>
  <c r="C22" i="11"/>
  <c r="D25" i="11"/>
  <c r="C24" i="11"/>
  <c r="C23" i="11"/>
  <c r="D23" i="11"/>
  <c r="D16" i="11"/>
  <c r="C16" i="11"/>
  <c r="C17" i="11"/>
  <c r="C15" i="11"/>
  <c r="D17" i="11"/>
  <c r="D18" i="11"/>
  <c r="C18" i="11"/>
  <c r="C19" i="11"/>
  <c r="D14" i="11"/>
  <c r="C14" i="11"/>
  <c r="D19" i="11"/>
  <c r="D15" i="11"/>
  <c r="D13" i="11"/>
  <c r="C9" i="11"/>
  <c r="C11" i="11"/>
  <c r="C12" i="11"/>
  <c r="C13" i="11"/>
  <c r="C10" i="11"/>
  <c r="D10" i="11"/>
  <c r="D11" i="11"/>
  <c r="C8" i="11"/>
  <c r="D8" i="11"/>
  <c r="D12" i="11"/>
  <c r="D9" i="11"/>
  <c r="C6" i="11"/>
  <c r="D3" i="11"/>
  <c r="D4" i="11"/>
  <c r="D2" i="11"/>
  <c r="C3" i="11"/>
  <c r="C4" i="11"/>
  <c r="C2" i="11"/>
  <c r="C7" i="11"/>
  <c r="D5" i="11"/>
  <c r="D6" i="11"/>
  <c r="D7" i="11"/>
  <c r="C5" i="11"/>
</calcChain>
</file>

<file path=xl/sharedStrings.xml><?xml version="1.0" encoding="utf-8"?>
<sst xmlns="http://schemas.openxmlformats.org/spreadsheetml/2006/main" count="2642" uniqueCount="133">
  <si>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</si>
  <si>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</si>
  <si>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</si>
  <si>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</si>
  <si>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</si>
  <si>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</si>
  <si>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</si>
  <si>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</si>
  <si>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</si>
  <si>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</si>
  <si>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</si>
  <si>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</si>
  <si>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</si>
  <si>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</si>
  <si>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</si>
  <si>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</si>
  <si>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</si>
  <si>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</si>
  <si>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</si>
  <si>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</si>
  <si>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</si>
  <si>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</si>
  <si>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</si>
  <si>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</si>
  <si>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</si>
  <si>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</si>
  <si>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</si>
  <si>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</si>
  <si>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</si>
  <si>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</si>
  <si>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</si>
  <si>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</si>
  <si>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</si>
  <si>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</si>
  <si>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</si>
  <si>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</si>
  <si>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</si>
  <si>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</si>
  <si>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</si>
  <si>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</si>
  <si>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</si>
  <si>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</si>
  <si>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</si>
  <si>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</si>
  <si>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</si>
  <si>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</si>
  <si>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</si>
  <si>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</si>
  <si>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</si>
  <si>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</si>
  <si>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</si>
  <si>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</si>
  <si>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</si>
  <si>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2018 Nationals</t>
  </si>
  <si>
    <t>Injury</t>
  </si>
  <si>
    <t>Injury Score</t>
  </si>
  <si>
    <t>Year of Birth</t>
  </si>
  <si>
    <t>Select</t>
  </si>
  <si>
    <t>Delete oldest domestic trial</t>
  </si>
  <si>
    <t>Add a new athlete to:</t>
  </si>
  <si>
    <t>Delete oldest international competition from:</t>
  </si>
  <si>
    <t>MOULD, Blake</t>
  </si>
  <si>
    <t>2018 Pacific Rim Team Finals (Apr 29)</t>
  </si>
  <si>
    <t>2018 Pacific Rim (Apr 29)</t>
  </si>
  <si>
    <t>2018 Junior Pan Am Championships (June 23)</t>
  </si>
  <si>
    <t>2018 World Age Groups (Nov 18)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</si>
  <si>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</si>
  <si>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</si>
  <si>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</si>
  <si>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</si>
  <si>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</si>
  <si>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</si>
  <si>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</si>
  <si>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</si>
  <si>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</si>
  <si>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</si>
  <si>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</si>
  <si>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</si>
  <si>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DODD, Gavin</t>
  </si>
  <si>
    <t>DWYER, Kai</t>
  </si>
  <si>
    <t>NS</t>
  </si>
  <si>
    <t>JOHNSTON, David</t>
  </si>
  <si>
    <t>McLEAN, Declan</t>
  </si>
  <si>
    <t>CARLSON, Roman</t>
  </si>
  <si>
    <t>ARMSTRONG, Owen</t>
  </si>
  <si>
    <t>MORGANTE, Emmett</t>
  </si>
  <si>
    <t>PEDERSEN, Mitchel</t>
  </si>
  <si>
    <t>AUBIN, Rémi</t>
  </si>
  <si>
    <t>ARRUDA, Erik</t>
  </si>
  <si>
    <t>LAVALLÉE, Zachary</t>
  </si>
  <si>
    <t>RIENDEAU, Gabriel</t>
  </si>
  <si>
    <t>SEROUART, Guillaume</t>
  </si>
  <si>
    <t>HENFREY, Ashton</t>
  </si>
  <si>
    <t>TROYAN, Artur</t>
  </si>
  <si>
    <t>BRENNER, Adin</t>
  </si>
  <si>
    <t>RICHARD, Dexter</t>
  </si>
  <si>
    <t>NB</t>
  </si>
  <si>
    <t>BOUCHER, Alex</t>
  </si>
  <si>
    <t>YENDLEY, Jordyn</t>
  </si>
  <si>
    <t>BONHAM, Maja</t>
  </si>
  <si>
    <t>BERTHIAUME, Anouk</t>
  </si>
  <si>
    <t>CELENTANO, Jensen</t>
  </si>
  <si>
    <t>CIRONE, Cristina</t>
  </si>
  <si>
    <t>YAZHEMSKY, Vanessa</t>
  </si>
  <si>
    <t>FLYNN, Gabby</t>
  </si>
  <si>
    <t>MAJOR, Lilyclaire</t>
  </si>
  <si>
    <t>FERNANDES, Antonio</t>
  </si>
  <si>
    <t>RYBKA, Ben</t>
  </si>
  <si>
    <t>CAMIRAND, Jean-Philippe</t>
  </si>
  <si>
    <t>LAFRENIÈRE, Philippe</t>
  </si>
  <si>
    <t>CLARKE, Elias</t>
  </si>
  <si>
    <t>HARRISON, Emily</t>
  </si>
  <si>
    <t>CHAU, Emma</t>
  </si>
  <si>
    <t>KORBUT, Kendra</t>
  </si>
  <si>
    <t>LUPISH, Kieran</t>
  </si>
  <si>
    <t>STANNARD, Adam</t>
  </si>
  <si>
    <t>MANCINI, Michael</t>
  </si>
  <si>
    <t>ZUREK, Nolan</t>
  </si>
  <si>
    <t>UVAKOV, Chris</t>
  </si>
  <si>
    <t>P</t>
  </si>
  <si>
    <t>Potential Injury Score</t>
  </si>
  <si>
    <t>***Artur, Chris, and Adin's Prelims and Finals swapped for spreadsheet compatibility</t>
  </si>
  <si>
    <t>2019 Elite Canada</t>
  </si>
  <si>
    <t>LOVE, Ethan</t>
  </si>
  <si>
    <t>MCCAIG, Abby</t>
  </si>
  <si>
    <t>ROSS, Eliane</t>
  </si>
  <si>
    <t>NAGANO, Mariko</t>
  </si>
  <si>
    <t>PHANEUF, Zoe</t>
  </si>
  <si>
    <t>DODD, Kristina</t>
  </si>
  <si>
    <t>PILLINGER, Taylor</t>
  </si>
  <si>
    <t>Remove athlete:</t>
  </si>
  <si>
    <t>Finals DD</t>
  </si>
  <si>
    <t>***Team DD contrived for 2019 rules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</si>
</sst>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62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IF(B2&gt;MAX('TRA-M'!A:A),"",INDEX('TRA-M'!B:B,MATCH(B2,'TRA-M'!A:A,0)))</f>
        <v>DWYER, Kai</v>
      </c>
      <c r="D2" s="11" t="str">
        <f>IF(B2&gt;MAX('TRA-M'!A:A),"",INDEX('TRA-M'!I:I,MATCH(B2,'TRA-M'!A:A,0)))</f>
        <v>Excellence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IF(B3&gt;MAX('TRA-M'!A:A),"",INDEX('TRA-M'!B:B,MATCH(B3,'TRA-M'!A:A,0)))</f>
        <v>DODD, Gavin</v>
      </c>
      <c r="D3" s="11" t="str">
        <f>IF(B3&gt;MAX('TRA-M'!A:A),"",INDEX('TRA-M'!I:I,MATCH(B3,'TRA-M'!A:A,0)))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IF(B4&gt;MAX('TRA-M'!A:A),"",INDEX('TRA-M'!B:B,MATCH(B4,'TRA-M'!A:A,0)))</f>
        <v>LOVE, Ethan</v>
      </c>
      <c r="D4" s="11" t="str">
        <f>IF(B4&gt;MAX('TRA-M'!A:A),"",INDEX('TRA-M'!I:I,MATCH(B4,'TRA-M'!A:A,0)))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IF(B5&gt;MAX('TRA-M'!A:A),"",INDEX('TRA-M'!B:B,MATCH(B5,'TRA-M'!A:A,0)))</f>
        <v>McLEAN, Declan</v>
      </c>
      <c r="D5" s="11" t="str">
        <f>IF(B5&gt;MAX('TRA-M'!A:A),"",INDEX('TRA-M'!I:I,MATCH(B5,'TRA-M'!A:A,0)))</f>
        <v>National Team</v>
      </c>
    </row>
    <row r="6" spans="1:12" x14ac:dyDescent="0.2">
      <c r="A6" s="11"/>
      <c r="B6" s="11">
        <v>5</v>
      </c>
      <c r="C6" s="11" t="str">
        <f>IF(B6&gt;MAX('TRA-M'!A:A),"",INDEX('TRA-M'!B:B,MATCH(B6,'TRA-M'!A:A,0)))</f>
        <v>CARLSON, Roman</v>
      </c>
      <c r="D6" s="11" t="str">
        <f>IF(B6&gt;MAX('TRA-M'!A:A),"",INDEX('TRA-M'!I:I,MATCH(B6,'TRA-M'!A:A,0)))</f>
        <v>No DD</v>
      </c>
    </row>
    <row r="7" spans="1:12" x14ac:dyDescent="0.2">
      <c r="A7" s="11"/>
      <c r="B7" s="11">
        <v>6</v>
      </c>
      <c r="C7" s="11" t="str">
        <f>IF(B7&gt;MAX('TRA-M'!A:A),"",INDEX('TRA-M'!B:B,MATCH(B7,'TRA-M'!A:A,0)))</f>
        <v>LAVALLÉE, Zachary</v>
      </c>
      <c r="D7" s="11" t="str">
        <f>IF(B7&gt;MAX('TRA-M'!A:A),"",INDEX('TRA-M'!I:I,MATCH(B7,'TRA-M'!A:A,0)))</f>
        <v>No DD</v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IF(B2&gt;MAX('TRA-W'!A:A),"",INDEX('TRA-W'!B:B,MATCH(B2,'TRA-W'!A:A,0)))</f>
        <v>BOUCHER, Alex</v>
      </c>
      <c r="D8" s="14" t="str">
        <f>IF(B2&gt;MAX('TRA-W'!A:A),"",INDEX('TRA-W'!I:I,MATCH(B2,'TRA-W'!A:A,0)))</f>
        <v>National Team</v>
      </c>
    </row>
    <row r="9" spans="1:12" x14ac:dyDescent="0.2">
      <c r="A9" s="14"/>
      <c r="B9" s="14">
        <v>2</v>
      </c>
      <c r="C9" s="14" t="str">
        <f>IF(B3&gt;MAX('TRA-W'!A:A),"",INDEX('TRA-W'!B:B,MATCH(B3,'TRA-W'!A:A,0)))</f>
        <v>BONHAM, Maja</v>
      </c>
      <c r="D9" s="14" t="str">
        <f>IF(B3&gt;MAX('TRA-W'!A:A),"",INDEX('TRA-W'!I:I,MATCH(B3,'TRA-W'!A:A,0)))</f>
        <v>National Team</v>
      </c>
    </row>
    <row r="10" spans="1:12" x14ac:dyDescent="0.2">
      <c r="A10" s="14"/>
      <c r="B10" s="14">
        <v>3</v>
      </c>
      <c r="C10" s="14" t="str">
        <f>IF(B4&gt;MAX('TRA-W'!A:A),"",INDEX('TRA-W'!B:B,MATCH(B4,'TRA-W'!A:A,0)))</f>
        <v>FLYNN, Gabby</v>
      </c>
      <c r="D10" s="14" t="str">
        <f>IF(B4&gt;MAX('TRA-W'!A:A),"",INDEX('TRA-W'!I:I,MATCH(B4,'TRA-W'!A:A,0)))</f>
        <v>National Team</v>
      </c>
    </row>
    <row r="11" spans="1:12" x14ac:dyDescent="0.2">
      <c r="A11" s="14"/>
      <c r="B11" s="14">
        <v>4</v>
      </c>
      <c r="C11" s="14" t="str">
        <f>IF(B5&gt;MAX('TRA-W'!A:A),"",INDEX('TRA-W'!B:B,MATCH(B5,'TRA-W'!A:A,0)))</f>
        <v>NAGANO, Mariko</v>
      </c>
      <c r="D11" s="14" t="str">
        <f>IF(B5&gt;MAX('TRA-W'!A:A),"",INDEX('TRA-W'!I:I,MATCH(B5,'TRA-W'!A:A,0)))</f>
        <v>No DD</v>
      </c>
    </row>
    <row r="12" spans="1:12" x14ac:dyDescent="0.2">
      <c r="A12" s="14"/>
      <c r="B12" s="14">
        <v>5</v>
      </c>
      <c r="C12" s="14" t="str">
        <f>IF(B6&gt;MAX('TRA-W'!A:A),"",INDEX('TRA-W'!B:B,MATCH(B6,'TRA-W'!A:A,0)))</f>
        <v>ROSS, Eliane</v>
      </c>
      <c r="D12" s="14" t="str">
        <f>IF(B6&gt;MAX('TRA-W'!A:A),"",INDEX('TRA-W'!I:I,MATCH(B6,'TRA-W'!A:A,0)))</f>
        <v>No DD</v>
      </c>
    </row>
    <row r="13" spans="1:12" hidden="1" x14ac:dyDescent="0.2">
      <c r="A13" s="14"/>
      <c r="B13" s="14">
        <v>6</v>
      </c>
      <c r="C13" s="14" t="str">
        <f>IF(B7&gt;MAX('TRA-W'!A:A),"",INDEX('TRA-W'!B:B,MATCH(B7,'TRA-W'!A:A,0)))</f>
        <v/>
      </c>
      <c r="D13" s="14" t="str">
        <f>IF(B7&gt;MAX('TRA-W'!A:A),"",INDEX('TRA-W'!I:I,MATCH(B7,'TRA-W'!A:A,0)))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IF(B2&gt;MAX('TUM-M'!A:A),"",INDEX('TUM-M'!B:B,MATCH(B2,'TUM-M'!A:A,0)))</f>
        <v>FERNANDES, Antonio</v>
      </c>
      <c r="D14" s="11" t="str">
        <f>IF(B2&gt;MAX('TUM-M'!A:A),"",INDEX('TUM-M'!I:I,MATCH(B2,'TUM-M'!A:A,0)))</f>
        <v>National Team</v>
      </c>
    </row>
    <row r="15" spans="1:12" x14ac:dyDescent="0.2">
      <c r="A15" s="11"/>
      <c r="B15" s="11">
        <v>2</v>
      </c>
      <c r="C15" s="11" t="str">
        <f>IF(B3&gt;MAX('TUM-M'!A:A),"",INDEX('TUM-M'!B:B,MATCH(B3,'TUM-M'!A:A,0)))</f>
        <v>CAMIRAND, Jean-Philippe</v>
      </c>
      <c r="D15" s="11" t="str">
        <f>IF(B3&gt;MAX('TUM-M'!A:A),"",INDEX('TUM-M'!I:I,MATCH(B3,'TUM-M'!A:A,0)))</f>
        <v>No DD</v>
      </c>
    </row>
    <row r="16" spans="1:12" hidden="1" x14ac:dyDescent="0.2">
      <c r="A16" s="11"/>
      <c r="B16" s="11">
        <v>3</v>
      </c>
      <c r="C16" s="11" t="str">
        <f>IF(B4&gt;MAX('TUM-M'!A:A),"",INDEX('TUM-M'!B:B,MATCH(B4,'TUM-M'!A:A,0)))</f>
        <v/>
      </c>
      <c r="D16" s="11" t="str">
        <f>IF(B4&gt;MAX('TUM-M'!A:A),"",INDEX('TUM-M'!I:I,MATCH(B4,'TUM-M'!A:A,0)))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IF(B5&gt;MAX('TUM-M'!A:A),"",INDEX('TUM-M'!B:B,MATCH(B5,'TUM-M'!A:A,0)))</f>
        <v/>
      </c>
      <c r="D17" s="11" t="str">
        <f>IF(B5&gt;MAX('TUM-M'!A:A),"",INDEX('TUM-M'!I:I,MATCH(B5,'TUM-M'!A:A,0)))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IF(B6&gt;MAX('TUM-M'!A:A),"",INDEX('TUM-M'!B:B,MATCH(B6,'TUM-M'!A:A,0)))</f>
        <v/>
      </c>
      <c r="D18" s="11" t="str">
        <f>IF(B6&gt;MAX('TUM-M'!A:A),"",INDEX('TUM-M'!I:I,MATCH(B6,'TUM-M'!A:A,0)))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IF(B7&gt;MAX('TUM-M'!A:A),"",INDEX('TUM-M'!B:B,MATCH(B7,'TUM-M'!A:A,0)))</f>
        <v/>
      </c>
      <c r="D19" s="11" t="str">
        <f>IF(B7&gt;MAX('TUM-M'!A:A),"",INDEX('TUM-M'!I:I,MATCH(B7,'TUM-M'!A:A,0)))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IF(B2&gt;MAX('TUM-W'!A:A),"",INDEX('TUM-W'!B:B,MATCH(B2,'TUM-W'!A:A,0)))</f>
        <v>HARRISON, Emily</v>
      </c>
      <c r="D20" s="14" t="str">
        <f>IF(B2&gt;MAX('TUM-W'!A:A),"",INDEX('TUM-W'!I:I,MATCH(B2,'TUM-W'!A:A,0)))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IF(B3&gt;MAX('TUM-W'!A:A),"",INDEX('TUM-W'!B:B,MATCH(B3,'TUM-W'!A:A,0)))</f>
        <v>CHAU, Emma</v>
      </c>
      <c r="D21" s="14" t="str">
        <f>IF(B3&gt;MAX('TUM-W'!A:A),"",INDEX('TUM-W'!I:I,MATCH(B3,'TUM-W'!A:A,0)))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IF(B4&gt;MAX('TUM-W'!A:A),"",INDEX('TUM-W'!B:B,MATCH(B4,'TUM-W'!A:A,0)))</f>
        <v>FOREST, Alexandra</v>
      </c>
      <c r="D22" s="14" t="str">
        <f>IF(B4&gt;MAX('TUM-W'!A:A),"",INDEX('TUM-W'!I:I,MATCH(B4,'TUM-W'!A:A,0)))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IF(B5&gt;MAX('TUM-W'!A:A),"",INDEX('TUM-W'!B:B,MATCH(B5,'TUM-W'!A:A,0)))</f>
        <v>KORBUT, Kendra</v>
      </c>
      <c r="D23" s="14" t="str">
        <f>IF(B5&gt;MAX('TUM-W'!A:A),"",INDEX('TUM-W'!I:I,MATCH(B5,'TUM-W'!A:A,0)))</f>
        <v>National Team</v>
      </c>
    </row>
    <row r="24" spans="1:4" hidden="1" x14ac:dyDescent="0.2">
      <c r="A24" s="14"/>
      <c r="B24" s="14">
        <v>5</v>
      </c>
      <c r="C24" s="14" t="str">
        <f>IF(B6&gt;MAX('TUM-W'!A:A),"",INDEX('TUM-W'!B:B,MATCH(B6,'TUM-W'!A:A,0)))</f>
        <v/>
      </c>
      <c r="D24" s="14" t="str">
        <f>IF(B6&gt;MAX('TUM-W'!A:A),"",INDEX('TUM-W'!I:I,MATCH(B6,'TUM-W'!A:A,0)))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IF(B7&gt;MAX('TUM-W'!A:A),"",INDEX('TUM-W'!B:B,MATCH(B7,'TUM-W'!A:A,0)))</f>
        <v/>
      </c>
      <c r="D25" s="14" t="str">
        <f>IF(B7&gt;MAX('TUM-W'!A:A),"",INDEX('TUM-W'!I:I,MATCH(B7,'TUM-W'!A:A,0)))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IF(B2&gt;MAX('DMT-M'!A:A),"",INDEX('DMT-M'!B:B,MATCH(B2,'DMT-M'!A:A,0)))</f>
        <v>DODD, Gavin</v>
      </c>
      <c r="D26" s="11" t="str">
        <f>IF(B2&gt;MAX('DMT-M'!A:A),"",INDEX('DMT-M'!I:I,MATCH(B2,'DMT-M'!A:A,0)))</f>
        <v>Excellence</v>
      </c>
    </row>
    <row r="27" spans="1:4" x14ac:dyDescent="0.2">
      <c r="A27" s="11"/>
      <c r="B27" s="11">
        <v>2</v>
      </c>
      <c r="C27" s="11" t="str">
        <f>IF(B3&gt;MAX('DMT-M'!A:A),"",INDEX('DMT-M'!B:B,MATCH(B3,'DMT-M'!A:A,0)))</f>
        <v>LUPISH, Kieran</v>
      </c>
      <c r="D27" s="11" t="str">
        <f>IF(B3&gt;MAX('DMT-M'!A:A),"",INDEX('DMT-M'!I:I,MATCH(B3,'DMT-M'!A:A,0)))</f>
        <v>Excellence</v>
      </c>
    </row>
    <row r="28" spans="1:4" x14ac:dyDescent="0.2">
      <c r="A28" s="11"/>
      <c r="B28" s="11">
        <v>3</v>
      </c>
      <c r="C28" s="11" t="str">
        <f>IF(B4&gt;MAX('DMT-M'!A:A),"",INDEX('DMT-M'!B:B,MATCH(B4,'DMT-M'!A:A,0)))</f>
        <v>ARMSTRONG, Owen</v>
      </c>
      <c r="D28" s="11" t="str">
        <f>IF(B4&gt;MAX('DMT-M'!A:A),"",INDEX('DMT-M'!I:I,MATCH(B4,'DMT-M'!A:A,0)))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IF(B5&gt;MAX('DMT-M'!A:A),"",INDEX('DMT-M'!B:B,MATCH(B5,'DMT-M'!A:A,0)))</f>
        <v>UVAKOV, Chris</v>
      </c>
      <c r="D29" s="11" t="str">
        <f>IF(B5&gt;MAX('DMT-M'!A:A),"",INDEX('DMT-M'!I:I,MATCH(B5,'DMT-M'!A:A,0)))</f>
        <v>No DD</v>
      </c>
    </row>
    <row r="30" spans="1:4" hidden="1" x14ac:dyDescent="0.2">
      <c r="A30" s="11"/>
      <c r="B30" s="11">
        <v>5</v>
      </c>
      <c r="C30" s="11" t="str">
        <f>IF(B6&gt;MAX('DMT-M'!A:A),"",INDEX('DMT-M'!B:B,MATCH(B6,'DMT-M'!A:A,0)))</f>
        <v/>
      </c>
      <c r="D30" s="11" t="str">
        <f>IF(B6&gt;MAX('DMT-M'!A:A),"",INDEX('DMT-M'!I:I,MATCH(B6,'DMT-M'!A:A,0)))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IF(B7&gt;MAX('DMT-M'!A:A),"",INDEX('DMT-M'!B:B,MATCH(B7,'DMT-M'!A:A,0)))</f>
        <v/>
      </c>
      <c r="D31" s="11" t="str">
        <f>IF(B7&gt;MAX('DMT-M'!A:A),"",INDEX('DMT-M'!I:I,MATCH(B7,'DMT-M'!A:A,0)))</f>
        <v/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IF(B2&gt;MAX('DMT-W'!A:A),"",INDEX('DMT-W'!B:B,MATCH(B2,'DMT-W'!A:A,0)))</f>
        <v>YENDLEY, Jordyn</v>
      </c>
      <c r="D32" s="14" t="str">
        <f>IF(B2&gt;MAX('DMT-W'!A:A),"",INDEX('DMT-W'!I:I,MATCH(B2,'DMT-W'!A:A,0)))</f>
        <v>National Team</v>
      </c>
    </row>
    <row r="33" spans="1:5" x14ac:dyDescent="0.2">
      <c r="A33" s="14"/>
      <c r="B33" s="14">
        <v>2</v>
      </c>
      <c r="C33" s="14" t="str">
        <f>IF(B3&gt;MAX('DMT-W'!A:A),"",INDEX('DMT-W'!B:B,MATCH(B3,'DMT-W'!A:A,0)))</f>
        <v>DODD, Kristina</v>
      </c>
      <c r="D33" s="14" t="str">
        <f>IF(B3&gt;MAX('DMT-W'!A:A),"",INDEX('DMT-W'!I:I,MATCH(B3,'DMT-W'!A:A,0)))</f>
        <v>National Team</v>
      </c>
    </row>
    <row r="34" spans="1:5" x14ac:dyDescent="0.2">
      <c r="A34" s="14"/>
      <c r="B34" s="14">
        <v>3</v>
      </c>
      <c r="C34" s="14" t="str">
        <f>IF(B4&gt;MAX('DMT-W'!A:A),"",INDEX('DMT-W'!B:B,MATCH(B4,'DMT-W'!A:A,0)))</f>
        <v>MCCAIG, Abby</v>
      </c>
      <c r="D34" s="14" t="str">
        <f>IF(B4&gt;MAX('DMT-W'!A:A),"",INDEX('DMT-W'!I:I,MATCH(B4,'DMT-W'!A:A,0)))</f>
        <v>National Team</v>
      </c>
    </row>
    <row r="35" spans="1:5" x14ac:dyDescent="0.2">
      <c r="A35" s="14"/>
      <c r="B35" s="14">
        <v>4</v>
      </c>
      <c r="C35" s="14" t="str">
        <f>IF(B5&gt;MAX('DMT-W'!A:A),"",INDEX('DMT-W'!B:B,MATCH(B5,'DMT-W'!A:A,0)))</f>
        <v>PHANEUF, Zoe</v>
      </c>
      <c r="D35" s="14" t="str">
        <f>IF(B5&gt;MAX('DMT-W'!A:A),"",INDEX('DMT-W'!I:I,MATCH(B5,'DMT-W'!A:A,0)))</f>
        <v>National Team</v>
      </c>
    </row>
    <row r="36" spans="1:5" x14ac:dyDescent="0.2">
      <c r="A36" s="14"/>
      <c r="B36" s="14">
        <v>5</v>
      </c>
      <c r="C36" s="14" t="str">
        <f>IF(B6&gt;MAX('DMT-W'!A:A),"",INDEX('DMT-W'!B:B,MATCH(B6,'DMT-W'!A:A,0)))</f>
        <v>BOUCHER, Alex</v>
      </c>
      <c r="D36" s="14" t="str">
        <f>IF(B6&gt;MAX('DMT-W'!A:A),"",INDEX('DMT-W'!I:I,MATCH(B6,'DMT-W'!A:A,0)))</f>
        <v>National Team</v>
      </c>
    </row>
    <row r="37" spans="1:5" hidden="1" x14ac:dyDescent="0.2">
      <c r="A37" s="14"/>
      <c r="B37" s="14">
        <v>6</v>
      </c>
      <c r="C37" s="14" t="str">
        <f>IF(B7&gt;MAX('DMT-W'!A:A),"",INDEX('DMT-W'!B:B,MATCH(B7,'DMT-W'!A:A,0)))</f>
        <v/>
      </c>
      <c r="D37" s="14" t="str">
        <f>IF(B7&gt;MAX('DMT-W'!A:A),"",INDEX('DMT-W'!I:I,MATCH(B7,'DMT-W'!A:A,0)))</f>
        <v/>
      </c>
    </row>
    <row r="39" spans="1:5" x14ac:dyDescent="0.2">
      <c r="B39" s="46" t="s">
        <v>38</v>
      </c>
    </row>
    <row r="40" spans="1:5" x14ac:dyDescent="0.2">
      <c r="B40" s="46" t="s">
        <v>36</v>
      </c>
    </row>
    <row r="41" spans="1:5" x14ac:dyDescent="0.2">
      <c r="B41" s="46" t="s">
        <v>37</v>
      </c>
    </row>
    <row r="42" spans="1:5" x14ac:dyDescent="0.2">
      <c r="B42" s="26" t="s">
        <v>59</v>
      </c>
      <c r="D42" s="46" t="s">
        <v>57</v>
      </c>
    </row>
    <row r="43" spans="1:5" x14ac:dyDescent="0.2">
      <c r="B43" s="26" t="s">
        <v>130</v>
      </c>
      <c r="D43" s="46" t="s">
        <v>57</v>
      </c>
      <c r="E43" t="s">
        <v>57</v>
      </c>
    </row>
    <row r="44" spans="1:5" x14ac:dyDescent="0.2">
      <c r="B44" s="46" t="s">
        <v>58</v>
      </c>
      <c r="D44" s="46"/>
    </row>
    <row r="45" spans="1:5" x14ac:dyDescent="0.2">
      <c r="B45" s="46" t="s">
        <v>60</v>
      </c>
      <c r="D45" s="46" t="s">
        <v>57</v>
      </c>
    </row>
    <row r="46" spans="1:5" x14ac:dyDescent="0.2">
      <c r="A46" t="s">
        <v>42</v>
      </c>
      <c r="B46" s="107">
        <v>43592</v>
      </c>
      <c r="C46" s="107"/>
    </row>
    <row r="47" spans="1:5" x14ac:dyDescent="0.2">
      <c r="B47" t="s">
        <v>122</v>
      </c>
    </row>
    <row r="49" spans="2:2" x14ac:dyDescent="0.2">
      <c r="B49" s="46"/>
    </row>
    <row r="50" spans="2:2" x14ac:dyDescent="0.2">
      <c r="B50" s="46"/>
    </row>
    <row r="51" spans="2:2" x14ac:dyDescent="0.2">
      <c r="B51" s="46"/>
    </row>
  </sheetData>
  <sheetProtection formatCells="0" formatColumns="0" formatRows="0"/>
  <mergeCells count="1">
    <mergeCell ref="B46:C46"/>
  </mergeCells>
  <conditionalFormatting sqref="D2:D37">
    <cfRule type="containsText" dxfId="161" priority="1" operator="containsText" text="No DD">
      <formula>NOT(ISERROR(SEARCH("No DD",D2)))</formula>
    </cfRule>
    <cfRule type="containsText" dxfId="160" priority="4" operator="containsText" text="Merit">
      <formula>NOT(ISERROR(SEARCH("Merit",D2)))</formula>
    </cfRule>
    <cfRule type="containsText" dxfId="159" priority="5" operator="containsText" text="Excellence">
      <formula>NOT(ISERROR(SEARCH("Excellence",D2)))</formula>
    </cfRule>
    <cfRule type="containsText" dxfId="158" priority="6" operator="containsText" text="Worlds Team">
      <formula>NOT(ISERROR(SEARCH("Worlds Team",D2)))</formula>
    </cfRule>
    <cfRule type="containsText" dxfId="15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5 D42:D43" xr:uid="{D08F591B-E1ED-7A40-99FD-CEC4A428C792}">
      <formula1>"Select,TRA-M,TRA-W,TUM-M,TUM-W,DMT-M,DMT-W"</formula1>
    </dataValidation>
    <dataValidation type="list" allowBlank="1" showInputMessage="1" showErrorMessage="1" sqref="E43" xr:uid="{9EDE9D74-91F4-DA48-84F3-DA924839CF91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0" max="70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1" t="s">
        <v>51</v>
      </c>
      <c r="G1" s="111" t="s">
        <v>50</v>
      </c>
      <c r="H1" s="110" t="s">
        <v>8</v>
      </c>
      <c r="I1" s="110" t="s">
        <v>9</v>
      </c>
      <c r="J1" s="112" t="s">
        <v>10</v>
      </c>
      <c r="K1" s="112" t="s">
        <v>33</v>
      </c>
      <c r="L1" s="112" t="s">
        <v>11</v>
      </c>
      <c r="M1" s="112" t="s">
        <v>33</v>
      </c>
      <c r="N1" s="112" t="s">
        <v>12</v>
      </c>
      <c r="O1" s="112" t="s">
        <v>33</v>
      </c>
      <c r="P1" s="112" t="s">
        <v>13</v>
      </c>
      <c r="Q1" s="112" t="s">
        <v>33</v>
      </c>
      <c r="R1" s="114" t="s">
        <v>14</v>
      </c>
      <c r="S1" s="112" t="s">
        <v>34</v>
      </c>
      <c r="T1" s="112" t="s">
        <v>33</v>
      </c>
      <c r="U1" s="113" t="s">
        <v>53</v>
      </c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5" t="s">
        <v>122</v>
      </c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6" t="s">
        <v>14</v>
      </c>
      <c r="BP1" s="116"/>
      <c r="BQ1" s="116"/>
      <c r="BR1" s="116"/>
      <c r="BS1" s="113" t="s">
        <v>63</v>
      </c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5" t="s">
        <v>62</v>
      </c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3" t="s">
        <v>64</v>
      </c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5" t="s">
        <v>65</v>
      </c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3"/>
      <c r="KF1" s="113"/>
      <c r="KG1" s="113"/>
      <c r="KH1" s="113"/>
      <c r="KI1" s="113"/>
      <c r="KJ1" s="113"/>
      <c r="KK1" s="113"/>
      <c r="KL1" s="113"/>
      <c r="KM1" s="113"/>
      <c r="KN1" s="113"/>
      <c r="KO1" s="113"/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3" t="s">
        <v>120</v>
      </c>
      <c r="LX1" s="113"/>
      <c r="LY1" s="113"/>
      <c r="LZ1" s="113"/>
      <c r="MA1" s="113"/>
      <c r="MB1" s="113"/>
      <c r="MC1" s="113"/>
      <c r="MD1" s="113"/>
      <c r="ME1" s="113"/>
      <c r="MF1" s="113"/>
      <c r="MG1" s="113"/>
      <c r="MH1" s="113"/>
      <c r="MI1" s="113"/>
      <c r="MJ1" s="113"/>
      <c r="MK1" s="113"/>
      <c r="ML1" s="113"/>
      <c r="MM1" s="113"/>
      <c r="MN1" s="113"/>
      <c r="MO1" s="113"/>
      <c r="MP1" s="113"/>
      <c r="MQ1" s="113"/>
      <c r="MR1" s="113"/>
      <c r="MS1" s="113"/>
    </row>
    <row r="2" spans="1:357" x14ac:dyDescent="0.2">
      <c r="A2" s="110"/>
      <c r="B2" s="110"/>
      <c r="C2" s="110"/>
      <c r="D2" s="110"/>
      <c r="E2" s="110"/>
      <c r="F2" s="111"/>
      <c r="G2" s="111"/>
      <c r="H2" s="110"/>
      <c r="I2" s="110"/>
      <c r="J2" s="112"/>
      <c r="K2" s="112"/>
      <c r="L2" s="112"/>
      <c r="M2" s="112"/>
      <c r="N2" s="112"/>
      <c r="O2" s="112"/>
      <c r="P2" s="112"/>
      <c r="Q2" s="112"/>
      <c r="R2" s="114"/>
      <c r="S2" s="112"/>
      <c r="T2" s="112"/>
      <c r="U2" s="108" t="s">
        <v>19</v>
      </c>
      <c r="V2" s="108"/>
      <c r="W2" s="108"/>
      <c r="X2" s="108"/>
      <c r="Y2" s="108"/>
      <c r="Z2" s="108" t="s">
        <v>20</v>
      </c>
      <c r="AA2" s="108"/>
      <c r="AB2" s="108"/>
      <c r="AC2" s="108"/>
      <c r="AD2" s="108"/>
      <c r="AE2" s="108" t="s">
        <v>23</v>
      </c>
      <c r="AF2" s="108"/>
      <c r="AG2" s="108"/>
      <c r="AH2" s="108"/>
      <c r="AI2" s="108"/>
      <c r="AJ2" s="71"/>
      <c r="AK2" s="34" t="s">
        <v>66</v>
      </c>
      <c r="AL2" s="10" t="s">
        <v>21</v>
      </c>
      <c r="AM2" s="10" t="s">
        <v>22</v>
      </c>
      <c r="AN2" s="10" t="s">
        <v>24</v>
      </c>
      <c r="AO2" s="10" t="s">
        <v>131</v>
      </c>
      <c r="AP2" s="10" t="s">
        <v>23</v>
      </c>
      <c r="AQ2" s="10" t="s">
        <v>18</v>
      </c>
      <c r="AR2" s="109" t="s">
        <v>19</v>
      </c>
      <c r="AS2" s="109"/>
      <c r="AT2" s="109"/>
      <c r="AU2" s="109"/>
      <c r="AV2" s="109"/>
      <c r="AW2" s="109" t="s">
        <v>20</v>
      </c>
      <c r="AX2" s="109"/>
      <c r="AY2" s="109"/>
      <c r="AZ2" s="109"/>
      <c r="BA2" s="109"/>
      <c r="BB2" s="109" t="s">
        <v>23</v>
      </c>
      <c r="BC2" s="109"/>
      <c r="BD2" s="109"/>
      <c r="BE2" s="109"/>
      <c r="BF2" s="109"/>
      <c r="BG2" s="70"/>
      <c r="BH2" s="35" t="s">
        <v>66</v>
      </c>
      <c r="BI2" s="13" t="s">
        <v>21</v>
      </c>
      <c r="BJ2" s="13" t="s">
        <v>22</v>
      </c>
      <c r="BK2" s="13" t="s">
        <v>24</v>
      </c>
      <c r="BL2" s="13" t="s">
        <v>131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08" t="s">
        <v>19</v>
      </c>
      <c r="BT2" s="108"/>
      <c r="BU2" s="108"/>
      <c r="BV2" s="108"/>
      <c r="BW2" s="108"/>
      <c r="BX2" s="108" t="s">
        <v>20</v>
      </c>
      <c r="BY2" s="108"/>
      <c r="BZ2" s="108"/>
      <c r="CA2" s="108"/>
      <c r="CB2" s="108"/>
      <c r="CC2" s="108" t="s">
        <v>23</v>
      </c>
      <c r="CD2" s="108"/>
      <c r="CE2" s="108"/>
      <c r="CF2" s="108"/>
      <c r="CG2" s="108"/>
      <c r="CH2" s="34" t="s">
        <v>66</v>
      </c>
      <c r="CI2" s="10" t="s">
        <v>21</v>
      </c>
      <c r="CJ2" s="10" t="s">
        <v>22</v>
      </c>
      <c r="CK2" s="10" t="s">
        <v>24</v>
      </c>
      <c r="CL2" s="10" t="s">
        <v>131</v>
      </c>
      <c r="CM2" s="10" t="s">
        <v>23</v>
      </c>
      <c r="CN2" s="10" t="s">
        <v>18</v>
      </c>
      <c r="CO2" s="109" t="s">
        <v>19</v>
      </c>
      <c r="CP2" s="109"/>
      <c r="CQ2" s="109"/>
      <c r="CR2" s="109"/>
      <c r="CS2" s="109"/>
      <c r="CT2" s="109" t="s">
        <v>20</v>
      </c>
      <c r="CU2" s="109"/>
      <c r="CV2" s="109"/>
      <c r="CW2" s="109"/>
      <c r="CX2" s="109"/>
      <c r="CY2" s="109" t="s">
        <v>23</v>
      </c>
      <c r="CZ2" s="109"/>
      <c r="DA2" s="109"/>
      <c r="DB2" s="109"/>
      <c r="DC2" s="109"/>
      <c r="DD2" s="35" t="s">
        <v>66</v>
      </c>
      <c r="DE2" s="13" t="s">
        <v>21</v>
      </c>
      <c r="DF2" s="13" t="s">
        <v>22</v>
      </c>
      <c r="DG2" s="13" t="s">
        <v>24</v>
      </c>
      <c r="DH2" s="13" t="s">
        <v>131</v>
      </c>
      <c r="DI2" s="13" t="s">
        <v>23</v>
      </c>
      <c r="DJ2" s="13" t="s">
        <v>18</v>
      </c>
      <c r="DK2" s="108" t="s">
        <v>19</v>
      </c>
      <c r="DL2" s="108"/>
      <c r="DM2" s="108"/>
      <c r="DN2" s="108"/>
      <c r="DO2" s="108"/>
      <c r="DP2" s="108" t="s">
        <v>20</v>
      </c>
      <c r="DQ2" s="108"/>
      <c r="DR2" s="108"/>
      <c r="DS2" s="108"/>
      <c r="DT2" s="108"/>
      <c r="DU2" s="108" t="s">
        <v>23</v>
      </c>
      <c r="DV2" s="108"/>
      <c r="DW2" s="108"/>
      <c r="DX2" s="108"/>
      <c r="DY2" s="108"/>
      <c r="DZ2" s="34" t="s">
        <v>66</v>
      </c>
      <c r="EA2" s="10" t="s">
        <v>21</v>
      </c>
      <c r="EB2" s="10" t="s">
        <v>22</v>
      </c>
      <c r="EC2" s="10" t="s">
        <v>24</v>
      </c>
      <c r="ED2" s="10" t="s">
        <v>131</v>
      </c>
      <c r="EE2" s="10" t="s">
        <v>23</v>
      </c>
      <c r="EF2" s="10" t="s">
        <v>18</v>
      </c>
      <c r="EG2" s="109" t="s">
        <v>19</v>
      </c>
      <c r="EH2" s="109"/>
      <c r="EI2" s="109"/>
      <c r="EJ2" s="109"/>
      <c r="EK2" s="109"/>
      <c r="EL2" s="109" t="s">
        <v>20</v>
      </c>
      <c r="EM2" s="109"/>
      <c r="EN2" s="109"/>
      <c r="EO2" s="109"/>
      <c r="EP2" s="109"/>
      <c r="EQ2" s="109" t="s">
        <v>23</v>
      </c>
      <c r="ER2" s="109"/>
      <c r="ES2" s="109"/>
      <c r="ET2" s="109"/>
      <c r="EU2" s="109"/>
      <c r="EV2" s="35" t="s">
        <v>66</v>
      </c>
      <c r="EW2" s="13" t="s">
        <v>21</v>
      </c>
      <c r="EX2" s="13" t="s">
        <v>22</v>
      </c>
      <c r="EY2" s="13" t="s">
        <v>24</v>
      </c>
      <c r="EZ2" s="13" t="s">
        <v>131</v>
      </c>
      <c r="FA2" s="13" t="s">
        <v>23</v>
      </c>
      <c r="FB2" s="13" t="s">
        <v>18</v>
      </c>
      <c r="FC2" s="108" t="s">
        <v>19</v>
      </c>
      <c r="FD2" s="108"/>
      <c r="FE2" s="108"/>
      <c r="FF2" s="108"/>
      <c r="FG2" s="108"/>
      <c r="FH2" s="108" t="s">
        <v>20</v>
      </c>
      <c r="FI2" s="108"/>
      <c r="FJ2" s="108"/>
      <c r="FK2" s="108"/>
      <c r="FL2" s="108"/>
      <c r="FM2" s="108" t="s">
        <v>23</v>
      </c>
      <c r="FN2" s="108"/>
      <c r="FO2" s="108"/>
      <c r="FP2" s="108"/>
      <c r="FQ2" s="108"/>
      <c r="FR2" s="34" t="s">
        <v>66</v>
      </c>
      <c r="FS2" s="10" t="s">
        <v>21</v>
      </c>
      <c r="FT2" s="10" t="s">
        <v>22</v>
      </c>
      <c r="FU2" s="10" t="s">
        <v>24</v>
      </c>
      <c r="FV2" s="10" t="s">
        <v>131</v>
      </c>
      <c r="FW2" s="10" t="s">
        <v>23</v>
      </c>
      <c r="FX2" s="10" t="s">
        <v>18</v>
      </c>
      <c r="FY2" s="109" t="s">
        <v>19</v>
      </c>
      <c r="FZ2" s="109"/>
      <c r="GA2" s="109"/>
      <c r="GB2" s="109"/>
      <c r="GC2" s="109"/>
      <c r="GD2" s="109" t="s">
        <v>20</v>
      </c>
      <c r="GE2" s="109"/>
      <c r="GF2" s="109"/>
      <c r="GG2" s="109"/>
      <c r="GH2" s="109"/>
      <c r="GI2" s="109" t="s">
        <v>23</v>
      </c>
      <c r="GJ2" s="109"/>
      <c r="GK2" s="109"/>
      <c r="GL2" s="109"/>
      <c r="GM2" s="109"/>
      <c r="GN2" s="35" t="s">
        <v>66</v>
      </c>
      <c r="GO2" s="13" t="s">
        <v>21</v>
      </c>
      <c r="GP2" s="13" t="s">
        <v>22</v>
      </c>
      <c r="GQ2" s="13" t="s">
        <v>24</v>
      </c>
      <c r="GR2" s="13" t="s">
        <v>131</v>
      </c>
      <c r="GS2" s="13" t="s">
        <v>23</v>
      </c>
      <c r="GT2" s="13" t="s">
        <v>18</v>
      </c>
      <c r="GU2" s="108" t="s">
        <v>19</v>
      </c>
      <c r="GV2" s="108"/>
      <c r="GW2" s="108"/>
      <c r="GX2" s="108"/>
      <c r="GY2" s="108"/>
      <c r="GZ2" s="108" t="s">
        <v>20</v>
      </c>
      <c r="HA2" s="108"/>
      <c r="HB2" s="108"/>
      <c r="HC2" s="108"/>
      <c r="HD2" s="108"/>
      <c r="HE2" s="108" t="s">
        <v>23</v>
      </c>
      <c r="HF2" s="108"/>
      <c r="HG2" s="108"/>
      <c r="HH2" s="108"/>
      <c r="HI2" s="108"/>
      <c r="HJ2" s="34" t="s">
        <v>66</v>
      </c>
      <c r="HK2" s="10" t="s">
        <v>21</v>
      </c>
      <c r="HL2" s="10" t="s">
        <v>22</v>
      </c>
      <c r="HM2" s="10" t="s">
        <v>24</v>
      </c>
      <c r="HN2" s="10" t="s">
        <v>131</v>
      </c>
      <c r="HO2" s="10" t="s">
        <v>23</v>
      </c>
      <c r="HP2" s="10" t="s">
        <v>18</v>
      </c>
      <c r="HQ2" s="109" t="s">
        <v>19</v>
      </c>
      <c r="HR2" s="109"/>
      <c r="HS2" s="109"/>
      <c r="HT2" s="109"/>
      <c r="HU2" s="109"/>
      <c r="HV2" s="109" t="s">
        <v>20</v>
      </c>
      <c r="HW2" s="109"/>
      <c r="HX2" s="109"/>
      <c r="HY2" s="109"/>
      <c r="HZ2" s="109"/>
      <c r="IA2" s="109" t="s">
        <v>23</v>
      </c>
      <c r="IB2" s="109"/>
      <c r="IC2" s="109"/>
      <c r="ID2" s="109"/>
      <c r="IE2" s="109"/>
      <c r="IF2" s="35" t="s">
        <v>66</v>
      </c>
      <c r="IG2" s="13" t="s">
        <v>21</v>
      </c>
      <c r="IH2" s="13" t="s">
        <v>22</v>
      </c>
      <c r="II2" s="13" t="s">
        <v>24</v>
      </c>
      <c r="IJ2" s="13" t="s">
        <v>131</v>
      </c>
      <c r="IK2" s="13" t="s">
        <v>23</v>
      </c>
      <c r="IL2" s="13" t="s">
        <v>18</v>
      </c>
      <c r="IM2" s="108" t="s">
        <v>19</v>
      </c>
      <c r="IN2" s="108"/>
      <c r="IO2" s="108"/>
      <c r="IP2" s="108"/>
      <c r="IQ2" s="108"/>
      <c r="IR2" s="108" t="s">
        <v>20</v>
      </c>
      <c r="IS2" s="108"/>
      <c r="IT2" s="108"/>
      <c r="IU2" s="108"/>
      <c r="IV2" s="108"/>
      <c r="IW2" s="108" t="s">
        <v>23</v>
      </c>
      <c r="IX2" s="108"/>
      <c r="IY2" s="108"/>
      <c r="IZ2" s="108"/>
      <c r="JA2" s="108"/>
      <c r="JB2" s="34" t="s">
        <v>66</v>
      </c>
      <c r="JC2" s="10" t="s">
        <v>21</v>
      </c>
      <c r="JD2" s="10" t="s">
        <v>22</v>
      </c>
      <c r="JE2" s="10" t="s">
        <v>24</v>
      </c>
      <c r="JF2" s="10" t="s">
        <v>131</v>
      </c>
      <c r="JG2" s="10" t="s">
        <v>23</v>
      </c>
      <c r="JH2" s="10" t="s">
        <v>18</v>
      </c>
      <c r="JI2" s="109" t="s">
        <v>19</v>
      </c>
      <c r="JJ2" s="109"/>
      <c r="JK2" s="109"/>
      <c r="JL2" s="109"/>
      <c r="JM2" s="109"/>
      <c r="JN2" s="109" t="s">
        <v>20</v>
      </c>
      <c r="JO2" s="109"/>
      <c r="JP2" s="109"/>
      <c r="JQ2" s="109"/>
      <c r="JR2" s="109"/>
      <c r="JS2" s="109" t="s">
        <v>23</v>
      </c>
      <c r="JT2" s="109"/>
      <c r="JU2" s="109"/>
      <c r="JV2" s="109"/>
      <c r="JW2" s="109"/>
      <c r="JX2" s="35" t="s">
        <v>66</v>
      </c>
      <c r="JY2" s="13" t="s">
        <v>21</v>
      </c>
      <c r="JZ2" s="13" t="s">
        <v>22</v>
      </c>
      <c r="KA2" s="13" t="s">
        <v>24</v>
      </c>
      <c r="KB2" s="13" t="s">
        <v>131</v>
      </c>
      <c r="KC2" s="13" t="s">
        <v>23</v>
      </c>
      <c r="KD2" s="13" t="s">
        <v>18</v>
      </c>
      <c r="KE2" s="108" t="s">
        <v>19</v>
      </c>
      <c r="KF2" s="108"/>
      <c r="KG2" s="108"/>
      <c r="KH2" s="108"/>
      <c r="KI2" s="108"/>
      <c r="KJ2" s="108" t="s">
        <v>20</v>
      </c>
      <c r="KK2" s="108"/>
      <c r="KL2" s="108"/>
      <c r="KM2" s="108"/>
      <c r="KN2" s="108"/>
      <c r="KO2" s="108" t="s">
        <v>23</v>
      </c>
      <c r="KP2" s="108"/>
      <c r="KQ2" s="108"/>
      <c r="KR2" s="108"/>
      <c r="KS2" s="108"/>
      <c r="KT2" s="34" t="s">
        <v>66</v>
      </c>
      <c r="KU2" s="10" t="s">
        <v>21</v>
      </c>
      <c r="KV2" s="10" t="s">
        <v>22</v>
      </c>
      <c r="KW2" s="10" t="s">
        <v>24</v>
      </c>
      <c r="KX2" s="10" t="s">
        <v>131</v>
      </c>
      <c r="KY2" s="10" t="s">
        <v>23</v>
      </c>
      <c r="KZ2" s="10" t="s">
        <v>18</v>
      </c>
      <c r="LA2" s="109" t="s">
        <v>19</v>
      </c>
      <c r="LB2" s="109"/>
      <c r="LC2" s="109"/>
      <c r="LD2" s="109"/>
      <c r="LE2" s="109"/>
      <c r="LF2" s="109" t="s">
        <v>20</v>
      </c>
      <c r="LG2" s="109"/>
      <c r="LH2" s="109"/>
      <c r="LI2" s="109"/>
      <c r="LJ2" s="109"/>
      <c r="LK2" s="109" t="s">
        <v>23</v>
      </c>
      <c r="LL2" s="109"/>
      <c r="LM2" s="109"/>
      <c r="LN2" s="109"/>
      <c r="LO2" s="109"/>
      <c r="LP2" s="35" t="s">
        <v>66</v>
      </c>
      <c r="LQ2" s="13" t="s">
        <v>21</v>
      </c>
      <c r="LR2" s="13" t="s">
        <v>22</v>
      </c>
      <c r="LS2" s="13" t="s">
        <v>24</v>
      </c>
      <c r="LT2" s="13" t="s">
        <v>131</v>
      </c>
      <c r="LU2" s="13" t="s">
        <v>23</v>
      </c>
      <c r="LV2" s="13" t="s">
        <v>18</v>
      </c>
      <c r="LW2" s="108" t="s">
        <v>19</v>
      </c>
      <c r="LX2" s="108"/>
      <c r="LY2" s="108"/>
      <c r="LZ2" s="108"/>
      <c r="MA2" s="108"/>
      <c r="MB2" s="108" t="s">
        <v>20</v>
      </c>
      <c r="MC2" s="108"/>
      <c r="MD2" s="108"/>
      <c r="ME2" s="108"/>
      <c r="MF2" s="108"/>
      <c r="MG2" s="108" t="s">
        <v>23</v>
      </c>
      <c r="MH2" s="108"/>
      <c r="MI2" s="108"/>
      <c r="MJ2" s="108"/>
      <c r="MK2" s="108"/>
      <c r="ML2" s="105"/>
      <c r="MM2" s="105" t="s">
        <v>66</v>
      </c>
      <c r="MN2" s="10" t="s">
        <v>21</v>
      </c>
      <c r="MO2" s="10" t="s">
        <v>22</v>
      </c>
      <c r="MP2" s="10" t="s">
        <v>24</v>
      </c>
      <c r="MQ2" s="10" t="s">
        <v>131</v>
      </c>
      <c r="MR2" s="10" t="s">
        <v>23</v>
      </c>
      <c r="MS2" s="10" t="s">
        <v>18</v>
      </c>
    </row>
    <row r="3" spans="1:357" x14ac:dyDescent="0.2">
      <c r="A3" s="110"/>
      <c r="B3" s="110"/>
      <c r="C3" s="110"/>
      <c r="D3" s="110"/>
      <c r="E3" s="110"/>
      <c r="F3" s="111"/>
      <c r="G3" s="111"/>
      <c r="H3" s="110"/>
      <c r="I3" s="110"/>
      <c r="J3" s="112"/>
      <c r="K3" s="112"/>
      <c r="L3" s="112"/>
      <c r="M3" s="112"/>
      <c r="N3" s="112"/>
      <c r="O3" s="112"/>
      <c r="P3" s="112"/>
      <c r="Q3" s="112"/>
      <c r="R3" s="114"/>
      <c r="S3" s="112"/>
      <c r="T3" s="112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54</v>
      </c>
      <c r="AK3" s="11"/>
      <c r="AL3" s="10"/>
      <c r="AM3" s="10"/>
      <c r="AN3" s="10"/>
      <c r="AO3" s="10"/>
      <c r="AP3" s="11"/>
      <c r="AQ3" s="11"/>
      <c r="AR3" s="35" t="s">
        <v>15</v>
      </c>
      <c r="AS3" s="35" t="s">
        <v>16</v>
      </c>
      <c r="AT3" s="35" t="s">
        <v>7</v>
      </c>
      <c r="AU3" s="35" t="s">
        <v>17</v>
      </c>
      <c r="AV3" s="44" t="s">
        <v>28</v>
      </c>
      <c r="AW3" s="35" t="s">
        <v>15</v>
      </c>
      <c r="AX3" s="35" t="s">
        <v>16</v>
      </c>
      <c r="AY3" s="35" t="s">
        <v>7</v>
      </c>
      <c r="AZ3" s="35" t="s">
        <v>17</v>
      </c>
      <c r="BA3" s="44" t="s">
        <v>28</v>
      </c>
      <c r="BB3" s="35" t="s">
        <v>15</v>
      </c>
      <c r="BC3" s="35" t="s">
        <v>16</v>
      </c>
      <c r="BD3" s="35" t="s">
        <v>7</v>
      </c>
      <c r="BE3" s="44" t="s">
        <v>17</v>
      </c>
      <c r="BF3" s="35" t="s">
        <v>28</v>
      </c>
      <c r="BG3" s="70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34" t="s">
        <v>15</v>
      </c>
      <c r="BT3" s="34" t="s">
        <v>16</v>
      </c>
      <c r="BU3" s="34" t="s">
        <v>7</v>
      </c>
      <c r="BV3" s="34" t="s">
        <v>17</v>
      </c>
      <c r="BW3" s="43" t="s">
        <v>28</v>
      </c>
      <c r="BX3" s="34" t="s">
        <v>15</v>
      </c>
      <c r="BY3" s="34" t="s">
        <v>16</v>
      </c>
      <c r="BZ3" s="34" t="s">
        <v>7</v>
      </c>
      <c r="CA3" s="34" t="s">
        <v>17</v>
      </c>
      <c r="CB3" s="43" t="s">
        <v>28</v>
      </c>
      <c r="CC3" s="34" t="s">
        <v>15</v>
      </c>
      <c r="CD3" s="34" t="s">
        <v>16</v>
      </c>
      <c r="CE3" s="34" t="s">
        <v>7</v>
      </c>
      <c r="CF3" s="34" t="s">
        <v>17</v>
      </c>
      <c r="CG3" s="43" t="s">
        <v>28</v>
      </c>
      <c r="CH3" s="11"/>
      <c r="CI3" s="10"/>
      <c r="CJ3" s="10"/>
      <c r="CK3" s="10"/>
      <c r="CL3" s="10"/>
      <c r="CM3" s="11"/>
      <c r="CN3" s="11"/>
      <c r="CO3" s="35" t="s">
        <v>15</v>
      </c>
      <c r="CP3" s="35" t="s">
        <v>16</v>
      </c>
      <c r="CQ3" s="35" t="s">
        <v>7</v>
      </c>
      <c r="CR3" s="35" t="s">
        <v>17</v>
      </c>
      <c r="CS3" s="44" t="s">
        <v>28</v>
      </c>
      <c r="CT3" s="35" t="s">
        <v>15</v>
      </c>
      <c r="CU3" s="35" t="s">
        <v>16</v>
      </c>
      <c r="CV3" s="35" t="s">
        <v>7</v>
      </c>
      <c r="CW3" s="35" t="s">
        <v>17</v>
      </c>
      <c r="CX3" s="44" t="s">
        <v>28</v>
      </c>
      <c r="CY3" s="35" t="s">
        <v>15</v>
      </c>
      <c r="CZ3" s="35" t="s">
        <v>16</v>
      </c>
      <c r="DA3" s="35" t="s">
        <v>7</v>
      </c>
      <c r="DB3" s="35" t="s">
        <v>17</v>
      </c>
      <c r="DC3" s="45" t="s">
        <v>28</v>
      </c>
      <c r="DD3" s="14"/>
      <c r="DE3" s="13"/>
      <c r="DF3" s="13"/>
      <c r="DG3" s="13"/>
      <c r="DH3" s="13"/>
      <c r="DI3" s="14"/>
      <c r="DJ3" s="14"/>
      <c r="DK3" s="34" t="s">
        <v>15</v>
      </c>
      <c r="DL3" s="34" t="s">
        <v>16</v>
      </c>
      <c r="DM3" s="34" t="s">
        <v>7</v>
      </c>
      <c r="DN3" s="34" t="s">
        <v>17</v>
      </c>
      <c r="DO3" s="43" t="s">
        <v>28</v>
      </c>
      <c r="DP3" s="34" t="s">
        <v>15</v>
      </c>
      <c r="DQ3" s="34" t="s">
        <v>16</v>
      </c>
      <c r="DR3" s="34" t="s">
        <v>7</v>
      </c>
      <c r="DS3" s="34" t="s">
        <v>17</v>
      </c>
      <c r="DT3" s="43" t="s">
        <v>28</v>
      </c>
      <c r="DU3" s="34" t="s">
        <v>15</v>
      </c>
      <c r="DV3" s="34" t="s">
        <v>16</v>
      </c>
      <c r="DW3" s="34" t="s">
        <v>7</v>
      </c>
      <c r="DX3" s="34" t="s">
        <v>17</v>
      </c>
      <c r="DY3" s="43" t="s">
        <v>28</v>
      </c>
      <c r="DZ3" s="11"/>
      <c r="EA3" s="10"/>
      <c r="EB3" s="10"/>
      <c r="EC3" s="10"/>
      <c r="ED3" s="10"/>
      <c r="EE3" s="11"/>
      <c r="EF3" s="11"/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35" t="s">
        <v>15</v>
      </c>
      <c r="ER3" s="35" t="s">
        <v>16</v>
      </c>
      <c r="ES3" s="35" t="s">
        <v>7</v>
      </c>
      <c r="ET3" s="35" t="s">
        <v>17</v>
      </c>
      <c r="EU3" s="44" t="s">
        <v>28</v>
      </c>
      <c r="EV3" s="14"/>
      <c r="EW3" s="13"/>
      <c r="EX3" s="13"/>
      <c r="EY3" s="13"/>
      <c r="EZ3" s="13"/>
      <c r="FA3" s="14"/>
      <c r="FB3" s="14"/>
      <c r="FC3" s="34" t="s">
        <v>15</v>
      </c>
      <c r="FD3" s="34" t="s">
        <v>16</v>
      </c>
      <c r="FE3" s="34" t="s">
        <v>7</v>
      </c>
      <c r="FF3" s="34" t="s">
        <v>17</v>
      </c>
      <c r="FG3" s="43" t="s">
        <v>28</v>
      </c>
      <c r="FH3" s="34" t="s">
        <v>15</v>
      </c>
      <c r="FI3" s="34" t="s">
        <v>16</v>
      </c>
      <c r="FJ3" s="34" t="s">
        <v>7</v>
      </c>
      <c r="FK3" s="34" t="s">
        <v>17</v>
      </c>
      <c r="FL3" s="43" t="s">
        <v>28</v>
      </c>
      <c r="FM3" s="34" t="s">
        <v>15</v>
      </c>
      <c r="FN3" s="34" t="s">
        <v>16</v>
      </c>
      <c r="FO3" s="34" t="s">
        <v>7</v>
      </c>
      <c r="FP3" s="34" t="s">
        <v>17</v>
      </c>
      <c r="FQ3" s="43" t="s">
        <v>28</v>
      </c>
      <c r="FR3" s="11"/>
      <c r="FS3" s="10"/>
      <c r="FT3" s="10"/>
      <c r="FU3" s="10"/>
      <c r="FV3" s="10"/>
      <c r="FW3" s="11"/>
      <c r="FX3" s="11"/>
      <c r="FY3" s="35" t="s">
        <v>15</v>
      </c>
      <c r="FZ3" s="35" t="s">
        <v>16</v>
      </c>
      <c r="GA3" s="35" t="s">
        <v>7</v>
      </c>
      <c r="GB3" s="35" t="s">
        <v>17</v>
      </c>
      <c r="GC3" s="44" t="s">
        <v>28</v>
      </c>
      <c r="GD3" s="35" t="s">
        <v>15</v>
      </c>
      <c r="GE3" s="35" t="s">
        <v>16</v>
      </c>
      <c r="GF3" s="35" t="s">
        <v>7</v>
      </c>
      <c r="GG3" s="35" t="s">
        <v>17</v>
      </c>
      <c r="GH3" s="44" t="s">
        <v>28</v>
      </c>
      <c r="GI3" s="35" t="s">
        <v>15</v>
      </c>
      <c r="GJ3" s="35" t="s">
        <v>16</v>
      </c>
      <c r="GK3" s="35" t="s">
        <v>7</v>
      </c>
      <c r="GL3" s="35" t="s">
        <v>17</v>
      </c>
      <c r="GM3" s="44" t="s">
        <v>28</v>
      </c>
      <c r="GN3" s="14"/>
      <c r="GO3" s="13"/>
      <c r="GP3" s="13"/>
      <c r="GQ3" s="13"/>
      <c r="GR3" s="13"/>
      <c r="GS3" s="14"/>
      <c r="GT3" s="14"/>
      <c r="GU3" s="34" t="s">
        <v>15</v>
      </c>
      <c r="GV3" s="34" t="s">
        <v>16</v>
      </c>
      <c r="GW3" s="34" t="s">
        <v>7</v>
      </c>
      <c r="GX3" s="34" t="s">
        <v>17</v>
      </c>
      <c r="GY3" s="43" t="s">
        <v>28</v>
      </c>
      <c r="GZ3" s="34" t="s">
        <v>15</v>
      </c>
      <c r="HA3" s="34" t="s">
        <v>16</v>
      </c>
      <c r="HB3" s="34" t="s">
        <v>7</v>
      </c>
      <c r="HC3" s="34" t="s">
        <v>17</v>
      </c>
      <c r="HD3" s="43" t="s">
        <v>28</v>
      </c>
      <c r="HE3" s="34" t="s">
        <v>15</v>
      </c>
      <c r="HF3" s="34" t="s">
        <v>16</v>
      </c>
      <c r="HG3" s="34" t="s">
        <v>7</v>
      </c>
      <c r="HH3" s="34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35" t="s">
        <v>15</v>
      </c>
      <c r="HR3" s="35" t="s">
        <v>16</v>
      </c>
      <c r="HS3" s="35" t="s">
        <v>7</v>
      </c>
      <c r="HT3" s="35" t="s">
        <v>17</v>
      </c>
      <c r="HU3" s="44" t="s">
        <v>28</v>
      </c>
      <c r="HV3" s="35" t="s">
        <v>15</v>
      </c>
      <c r="HW3" s="35" t="s">
        <v>16</v>
      </c>
      <c r="HX3" s="35" t="s">
        <v>7</v>
      </c>
      <c r="HY3" s="35" t="s">
        <v>17</v>
      </c>
      <c r="HZ3" s="44" t="s">
        <v>28</v>
      </c>
      <c r="IA3" s="35" t="s">
        <v>15</v>
      </c>
      <c r="IB3" s="35" t="s">
        <v>16</v>
      </c>
      <c r="IC3" s="35" t="s">
        <v>7</v>
      </c>
      <c r="ID3" s="35" t="s">
        <v>17</v>
      </c>
      <c r="IE3" s="44" t="s">
        <v>28</v>
      </c>
      <c r="IF3" s="14"/>
      <c r="IG3" s="13"/>
      <c r="IH3" s="13"/>
      <c r="II3" s="13"/>
      <c r="IJ3" s="13"/>
      <c r="IK3" s="14"/>
      <c r="IL3" s="14"/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34" t="s">
        <v>15</v>
      </c>
      <c r="IS3" s="34" t="s">
        <v>16</v>
      </c>
      <c r="IT3" s="34" t="s">
        <v>7</v>
      </c>
      <c r="IU3" s="34" t="s">
        <v>17</v>
      </c>
      <c r="IV3" s="43" t="s">
        <v>28</v>
      </c>
      <c r="IW3" s="34" t="s">
        <v>15</v>
      </c>
      <c r="IX3" s="34" t="s">
        <v>16</v>
      </c>
      <c r="IY3" s="34" t="s">
        <v>7</v>
      </c>
      <c r="IZ3" s="34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35" t="s">
        <v>15</v>
      </c>
      <c r="JJ3" s="35" t="s">
        <v>16</v>
      </c>
      <c r="JK3" s="35" t="s">
        <v>7</v>
      </c>
      <c r="JL3" s="35" t="s">
        <v>17</v>
      </c>
      <c r="JM3" s="44" t="s">
        <v>28</v>
      </c>
      <c r="JN3" s="35" t="s">
        <v>15</v>
      </c>
      <c r="JO3" s="35" t="s">
        <v>16</v>
      </c>
      <c r="JP3" s="35" t="s">
        <v>7</v>
      </c>
      <c r="JQ3" s="35" t="s">
        <v>17</v>
      </c>
      <c r="JR3" s="44" t="s">
        <v>28</v>
      </c>
      <c r="JS3" s="35" t="s">
        <v>15</v>
      </c>
      <c r="JT3" s="35" t="s">
        <v>16</v>
      </c>
      <c r="JU3" s="35" t="s">
        <v>7</v>
      </c>
      <c r="JV3" s="35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34" t="s">
        <v>15</v>
      </c>
      <c r="KF3" s="34" t="s">
        <v>16</v>
      </c>
      <c r="KG3" s="34" t="s">
        <v>7</v>
      </c>
      <c r="KH3" s="34" t="s">
        <v>17</v>
      </c>
      <c r="KI3" s="43" t="s">
        <v>28</v>
      </c>
      <c r="KJ3" s="34" t="s">
        <v>15</v>
      </c>
      <c r="KK3" s="34" t="s">
        <v>16</v>
      </c>
      <c r="KL3" s="34" t="s">
        <v>7</v>
      </c>
      <c r="KM3" s="34" t="s">
        <v>17</v>
      </c>
      <c r="KN3" s="43" t="s">
        <v>28</v>
      </c>
      <c r="KO3" s="34" t="s">
        <v>15</v>
      </c>
      <c r="KP3" s="34" t="s">
        <v>16</v>
      </c>
      <c r="KQ3" s="34" t="s">
        <v>7</v>
      </c>
      <c r="KR3" s="34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35" t="s">
        <v>15</v>
      </c>
      <c r="LB3" s="35" t="s">
        <v>16</v>
      </c>
      <c r="LC3" s="35" t="s">
        <v>7</v>
      </c>
      <c r="LD3" s="35" t="s">
        <v>17</v>
      </c>
      <c r="LE3" s="44" t="s">
        <v>28</v>
      </c>
      <c r="LF3" s="35" t="s">
        <v>15</v>
      </c>
      <c r="LG3" s="35" t="s">
        <v>16</v>
      </c>
      <c r="LH3" s="35" t="s">
        <v>7</v>
      </c>
      <c r="LI3" s="35" t="s">
        <v>17</v>
      </c>
      <c r="LJ3" s="44" t="s">
        <v>28</v>
      </c>
      <c r="LK3" s="35" t="s">
        <v>15</v>
      </c>
      <c r="LL3" s="35" t="s">
        <v>16</v>
      </c>
      <c r="LM3" s="35" t="s">
        <v>7</v>
      </c>
      <c r="LN3" s="35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IF(AND(F4="P",H4="P"),SUMPRODUCT((F$4:F$24="P")*(H$4:H$24="P")*(E$4:E$24&gt;E4))+1,IF(H4="P",SUMPRODUCT((F$4:F$24="")*(H$4:H$24="P")*(E$4:E$24&gt;E4))+1+SUMPRODUCT((F$4:F$24="P")*(H$4:H$24="P")),""))</f>
        <v>1</v>
      </c>
      <c r="B4" s="9" t="s">
        <v>79</v>
      </c>
      <c r="C4" s="5" t="s">
        <v>80</v>
      </c>
      <c r="D4" s="6">
        <v>2001</v>
      </c>
      <c r="E4" s="16">
        <f>SUM(J4:R4)</f>
        <v>256.19</v>
      </c>
      <c r="F4" s="4" t="str">
        <f>IF(OR(AND($AK4&gt;=$AL$26,NOT($AK4=""),$AJ4=""),AND($BH4&gt;=$BI$26,NOT($BH4=""),$BG4=""),AND($CH4&gt;=$CI$26,NOT($CH4="")),AND($DD4&gt;=$DE$26,NOT($DD4="")),AND($DZ4&gt;=$EA$26,NOT($DZ4="")),AND($EV4&gt;=$EW$26,NOT($EV4="")),AND($FR4&gt;=$FS$26,NOT($FR4="")),AND($GN4&gt;=$GO$26,NOT($GN4="")),AND($HJ4&gt;=$HK$26,NOT($HJ4="")),AND($IF4&gt;=$IG$26,NOT($IF4="")),AND($JB4&gt;=$JC$26,NOT($JB4="")),AND($JX4&gt;=$JY$26,NOT($JX4="")),AND($KT4&gt;=$KU$26,NOT($KT4="")),AND($LP4&gt;=$LQ$26,NOT($LP4=""))),"P","")</f>
        <v>P</v>
      </c>
      <c r="G4" s="4" t="str">
        <f>IF(OR(AND($AK4&gt;=$AL$27,NOT($AK4=""),$AJ4=""),AND($BH4&gt;=$BI$27,NOT($BH4=""),$BG4=""),AND($CH4&gt;=$CI$27,NOT($CH4="")),AND($DD4&gt;=$DE$27,NOT($DD4="")),AND($DZ4&gt;=$EA$27,NOT($DZ4="")),AND($EV4&gt;=$EW$27,NOT($EV4="")),AND($FR4&gt;=$FS$27,NOT($FR4="")),AND($GN4&gt;=$GO$27,NOT($GN4="")),AND($HJ4&gt;=$HK$27,NOT($HJ4="")),AND($IF4&gt;=$IG$27,NOT($IF4="")),AND($JB4&gt;=$JC$27,NOT($JB4="")),AND($JX4&gt;=$JY$27,NOT($JX4="")),AND($KT4&gt;=$KU$27,NOT($KT4="")),AND($LP4&gt;=$LQ$27,NOT($LP4=""))),"P","")</f>
        <v>P</v>
      </c>
      <c r="H4" s="4" t="str">
        <f>IF(OR(AND($AN4&gt;=$AL$28,NOT($AN4=""),$AJ4=""),AND($BK4&gt;=$BI$28,NOT($BK4=""),$BG4=""),AND($CK4&gt;=$CI$28,NOT($CK4="")),AND($DG4&gt;=$DE$28,NOT($DG4="")),AND($EC4&gt;=$EA$28,NOT($EC4="")),AND($EY4&gt;=$EW$28,NOT($EY4="")),AND($FU4&gt;=$FS$28,NOT($FU4="")),AND($GQ4&gt;=$GO$28,NOT($GQ4="")),AND($HM4&gt;=$HK$28,NOT($HM4="")),AND($II4&gt;=$IG$28,NOT($II4="")),AND($JE4&gt;=$JC$28,NOT($JE4="")),AND($KA4&gt;=$JY$28,NOT($KA4="")),AND($KW4&gt;=$KU$28,NOT($KW4="")),AND($LS4&gt;=$LQ$28,NOT($LS4=""))),"P","")</f>
        <v>P</v>
      </c>
      <c r="I4" t="str">
        <f>IF(AND(H4="P",F4=""),"No DD",IF(AND(G4="P",OR(AND($AM4&gt;$AL$31,NOT($AM4=""),$AJ4=""),AND($AP4&gt;$AL$31,NOT($AP4=""),$AJ4=""),AND($BJ4&gt;$BI$31,NOT($BJ4=""),$BG4=""),AND($BM4&gt;$BI$31,NOT($BM4=""),$BG4=""),AND($CJ4&gt;$CI$31,NOT($CJ4="")),AND($CM4&gt;$CI$31,NOT($CM4="")),AND($DF4&gt;$DE$31,NOT($DF4="")),AND($DI4&gt;$DE$31,NOT($DI4="")),AND($EB4&gt;$EA$31,NOT($EB4="")),AND($EE4&gt;$EA$31,NOT($EE4="")),AND($EX4&gt;$EW$31,NOT($EX4="")),AND($FA4&gt;$EW$31,NOT($FA4="")),AND($FT4&gt;$FS$31,NOT($FT4="")),AND($FW4&gt;$FS$31,NOT($FW4="")),AND($GP4&gt;$GO$31,NOT($GP4="")),AND($GS4&gt;$GO$31,NOT($GS4="")),AND($HL4&gt;$HK$31,NOT($HL4="")),AND($HO4&gt;$HK$31,NOT($HO4="")),AND($IH4&gt;$IG$31,NOT($IH4="")),AND($IK4&gt;$IG$31,NOT($IK4="")),AND($JD4&gt;$JC$31,NOT($JD4="")),AND($JG4&gt;$JC$31,NOT($JG4="")),AND($JZ4&gt;$JY$31,NOT($JZ4="")),AND($KC4&gt;$JY$31,NOT($KC4="")),AND($KV4&gt;$KU$31,NOT($KV4="")),AND($KY4&gt;$KU$31,NOT($KY4="")),AND($LR4&gt;$LQ$31,NOT($LR4="")),AND($LU4&gt;$LQ$31,NOT($LU4="")))),"Merit",IF(AND(G4="P",OR(AND($AN4&gt;$AL$30,NOT($AN4=""),$AJ4=""),AND($BK4&gt;$BI$30,NOT($BK4=""),$BG4=""),AND($CK4&gt;$CI$30,NOT($CK4="")),AND($DG4&gt;$DE$30,NOT($DG4="")),AND($EC4&gt;$EA$30,NOT($EC4="")),AND($EY4&gt;$EW$30,NOT($EY4="")),AND($FU4&gt;$FS$30,NOT($FU4="")),AND($GQ4&gt;$GO$30,NOT($GQ4="")),AND($HM4&gt;$HK$30,NOT($HM4="")),AND($II4&gt;$IG$30,NOT($II4="")),AND($JE4&gt;$JC$30,NOT($JE4="")),AND($KA4&gt;$JY$30,NOT($KA4="")),AND($KW4&gt;$KU$30,NOT($KW4="")),AND($LS4&gt;$LQ$30,NOT($LS4="")))),"Excellence",IF(AND(G4="P",OR(AND($AN4&gt;$AL$29,NOT($AN4=""),$AJ4=""),AND($BK4&gt;$BI$29,NOT($BK4=""),$BG4=""),AND($CK4&gt;$CI$29,NOT($CK4="")),AND($DG4&gt;$DE$29,NOT($DG4="")),AND($EC4&gt;$EA$29,NOT($EC4="")),AND($EY4&gt;$EW$29,NOT($EY4="")),AND($FU4&gt;$FS$29,NOT($FU4="")),AND($GQ4&gt;$GO$29,NOT($GQ4="")),AND($HM4&gt;$HK$29,NOT($HM4="")),AND($II4&gt;$IG$29,NOT($II4="")),AND($JE4&gt;$JC$29,NOT($JE4="")),AND($KA4&gt;$JY$29,NOT($KA4="")),AND($KW4&gt;$KU$29,NOT($KW4="")),AND($LS4&gt;$LQ$29,NOT($LS4="")))),"Worlds Team",IF(AND(F4="P",OR(AND($AN4&gt;$AL$28,NOT($AN4=""),$AJ4=""),AND($BK4&gt;$BI$28,NOT($BK4=""),$BG4=""),AND($CK4&gt;$CI$28,NOT($CK4="")),AND($DG4&gt;$DE$28,NOT($DG4="")),AND($EC4&gt;$EA$28,NOT($EC4="")),AND($EY4&gt;$EW$28,NOT($EY4="")),AND($FU4&gt;$FS$28,NOT($FU4="")),AND($GQ4&gt;$GO$28,NOT($GQ4="")),AND($HM4&gt;$HK$28,NOT($HM4="")),AND($II4&gt;$IG$28,NOT($II4="")),AND($JE4&gt;$JC$28,NOT($JE4="")),AND($KA4&gt;$JY$28,NOT($KA4="")),AND($KW4&gt;$KU$28,NOT($KW4="")),AND($LS4&gt;$LQ$28,NOT($LS4="")))),"National Team","")))))</f>
        <v>Excellence</v>
      </c>
      <c r="J4" s="15">
        <f>IF(MAX(AN4,BK4)&gt;0,MAX(AN4,BK4),"")</f>
        <v>102.75500000000001</v>
      </c>
      <c r="K4" s="15" t="str">
        <f>IF(J4="","",IF(J4=BK4,$AR$1,IF(J4=AN4,$U$1,"")))</f>
        <v>2019 Elite Canada</v>
      </c>
      <c r="L4" s="15">
        <f>IF($J4=$AN4,BI4,IF($J4=$BK4,AL4,MAX(AL4,BI4)))</f>
        <v>47.05</v>
      </c>
      <c r="M4" s="15" t="str">
        <f>IF(L4="","",IF(AND(L4=BI4,$K4&lt;&gt;$AR$1),$AR$1,IF(AND(L4=AL4,$K4&lt;&gt;$U$1),$U$1,"")))</f>
        <v>2018 Nationals</v>
      </c>
      <c r="N4" s="15">
        <f>IF($J4=$AN4,BJ4,IF($J4=$BK4,AM4,MAX(AM4,BJ4)))</f>
        <v>52.604999999999997</v>
      </c>
      <c r="O4" s="15" t="str">
        <f>IF(N4="","",IF(AND(N4=BJ4,$K4&lt;&gt;$AR$1),$AR$1,IF(AND(N4=AM4,$K4&lt;&gt;$U$1),$U$1,"")))</f>
        <v>2018 Nationals</v>
      </c>
      <c r="P4" s="15">
        <f>IF(MAX(AP4,BM4)&gt;0,MAX(AP4,BM4),"")</f>
        <v>53.78</v>
      </c>
      <c r="Q4" s="15" t="str">
        <f>IF(P4="","",IF(P4=BM4,$AR$1,IF(P4=AP4,$U$1,"")))</f>
        <v>2019 Elite Canada</v>
      </c>
      <c r="R4" s="15" t="str">
        <f>IF(MAX(BO4,BP4,BQ4,BR4)&gt;0,MAX(BO4,BP4,BQ4,BR4),"")</f>
        <v/>
      </c>
      <c r="S4" s="25" t="str">
        <f>IF(R4="","",IF(R4=BO4,"(Vol 1)",IF(R4=BP4,"(Vol 2)",IF(R4=BQ4,"(Prelim)",IF(R4=BR4,"(Final)")))))</f>
        <v/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/>
      </c>
      <c r="U4" s="63">
        <v>16.899999999999999</v>
      </c>
      <c r="V4" s="63">
        <v>9.25</v>
      </c>
      <c r="W4" s="63">
        <v>4.0999999999999996</v>
      </c>
      <c r="X4" s="63">
        <v>16.8</v>
      </c>
      <c r="Y4" s="63">
        <v>0</v>
      </c>
      <c r="Z4" s="63">
        <v>13.9</v>
      </c>
      <c r="AA4" s="63">
        <v>9.1999999999999993</v>
      </c>
      <c r="AB4" s="63">
        <v>13.7</v>
      </c>
      <c r="AC4" s="63">
        <v>15.805</v>
      </c>
      <c r="AD4" s="63">
        <v>0</v>
      </c>
      <c r="AE4" s="63">
        <v>13.9</v>
      </c>
      <c r="AF4" s="63">
        <v>9</v>
      </c>
      <c r="AG4" s="63">
        <v>13.7</v>
      </c>
      <c r="AH4" s="63">
        <v>16.329999999999998</v>
      </c>
      <c r="AI4" s="63">
        <v>0</v>
      </c>
      <c r="AJ4" s="74"/>
      <c r="AK4" s="12">
        <f>IF(AB4&gt;0,AB4,"")</f>
        <v>13.7</v>
      </c>
      <c r="AL4" s="12">
        <f>IF(SUM(U4:X4)-Y4&gt;0,SUM(U4:X4)-Y4,"")</f>
        <v>47.05</v>
      </c>
      <c r="AM4" s="12">
        <f>IF(SUM(Z4:AC4)-AD4&gt;0,SUM(Z4:AC4)-AD4,"")</f>
        <v>52.604999999999997</v>
      </c>
      <c r="AN4" s="12">
        <f>IF(SUM(AL4:AM4)&gt;0,SUM(AL4:AM4),"")</f>
        <v>99.655000000000001</v>
      </c>
      <c r="AO4" s="12">
        <f>IF(AG4&gt;0,AG4,"")</f>
        <v>13.7</v>
      </c>
      <c r="AP4" s="12">
        <f>IF(SUM(AE4:AH4)-AI4&gt;0,SUM(AE4:AH4)-AI4,"")</f>
        <v>52.929999999999993</v>
      </c>
      <c r="AQ4" s="12">
        <f>IF(SUM(AN4,AP4)&gt;0,SUM(AN4,AP4),"")</f>
        <v>152.58499999999998</v>
      </c>
      <c r="AR4" s="57">
        <v>17.100000000000001</v>
      </c>
      <c r="AS4" s="57">
        <v>9.3000000000000007</v>
      </c>
      <c r="AT4" s="57">
        <v>3.9</v>
      </c>
      <c r="AU4" s="57">
        <v>17.555</v>
      </c>
      <c r="AV4" s="57">
        <v>0</v>
      </c>
      <c r="AW4" s="57">
        <v>14.5</v>
      </c>
      <c r="AX4" s="57">
        <v>9.35</v>
      </c>
      <c r="AY4" s="57">
        <v>14.3</v>
      </c>
      <c r="AZ4" s="57">
        <v>16.75</v>
      </c>
      <c r="BA4" s="57">
        <v>0</v>
      </c>
      <c r="BB4" s="57">
        <v>14.2</v>
      </c>
      <c r="BC4" s="57">
        <v>8.75</v>
      </c>
      <c r="BD4" s="57">
        <v>14.3</v>
      </c>
      <c r="BE4" s="57">
        <v>16.53</v>
      </c>
      <c r="BF4" s="57">
        <v>0</v>
      </c>
      <c r="BG4" s="75"/>
      <c r="BH4" s="15">
        <f>IF(AY4&gt;0,AY4,"")</f>
        <v>14.3</v>
      </c>
      <c r="BI4" s="15">
        <f>IF(SUM(AR4:AU4)-AV4&gt;0,SUM(AR4:AU4)-AV4,"")</f>
        <v>47.855000000000004</v>
      </c>
      <c r="BJ4" s="15">
        <f>IF(SUM(AW4:AZ4)-BA4&gt;0,SUM(AW4:AZ4)-BA4,"")</f>
        <v>54.900000000000006</v>
      </c>
      <c r="BK4" s="15">
        <f>IF(SUM(BI4:BJ4)&gt;0,SUM(BI4:BJ4),"")</f>
        <v>102.75500000000001</v>
      </c>
      <c r="BL4" s="15">
        <f>IF(BD4&gt;0,BD4,"")</f>
        <v>14.3</v>
      </c>
      <c r="BM4" s="15">
        <f>IF(SUM(BB4:BE4)-BF4&gt;0,SUM(BB4:BE4)-BF4,"")</f>
        <v>53.78</v>
      </c>
      <c r="BN4" s="15">
        <f>IF(SUM(BK4,BM4)&gt;0,SUM(BK4,BM4),"")</f>
        <v>156.53500000000003</v>
      </c>
      <c r="BO4" s="24" t="str">
        <f>IF(MAX(CI4,DE4,EA4,EW4,FS4,GO4,HK4,IG4,JC4,JY4,KU4,LQ4)-IF(L4="",0,L4)&gt;0.001,MAX(CI4,DE4,EA4,EW4,FS4,GO4,HK4,IG4,JC4,JY4,KU4,LQ4)-IF(L4="",0,L4),"")</f>
        <v/>
      </c>
      <c r="BP4" s="24" t="str">
        <f>IF(MAX(CJ4,DF4,EB4,EX4,FT4,GP4,HL4,IH4,JD4,JZ4,KV4,LR4)-IF(N4="",0,N4)&gt;0.001,MAX(CJ4,DF4,EB4,EX4,FT4,GP4,HL4,IH4,JD4,JZ4,KV4,LR4)-IF(N4="",0,N4),"")</f>
        <v/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>
        <v>17.5</v>
      </c>
      <c r="BT4" s="36">
        <v>0</v>
      </c>
      <c r="BU4" s="36">
        <v>9.1</v>
      </c>
      <c r="BV4" s="36">
        <v>17.074999999999999</v>
      </c>
      <c r="BW4" s="36">
        <v>0</v>
      </c>
      <c r="BX4" s="36">
        <v>11.4</v>
      </c>
      <c r="BY4" s="36">
        <v>10.8</v>
      </c>
      <c r="BZ4" s="36">
        <v>7.35</v>
      </c>
      <c r="CA4" s="36">
        <v>13.09</v>
      </c>
      <c r="CB4" s="36">
        <v>0</v>
      </c>
      <c r="CC4" s="36"/>
      <c r="CD4" s="36"/>
      <c r="CE4" s="36"/>
      <c r="CF4" s="36"/>
      <c r="CG4" s="36"/>
      <c r="CH4" s="12">
        <f>IF(BZ4&gt;0,BZ4,"")</f>
        <v>7.35</v>
      </c>
      <c r="CI4" s="12">
        <f>IF(SUM(BS4:BV4)-BW4&gt;0,SUM(BS4:BV4)-BW4,"")</f>
        <v>43.674999999999997</v>
      </c>
      <c r="CJ4" s="12">
        <f>IF(SUM(BX4:CA4)-CB4&gt;0,SUM(BX4:CA4)-CB4,"")</f>
        <v>42.64</v>
      </c>
      <c r="CK4" s="12">
        <f>IF(SUM(CI4:CJ4)&gt;0,SUM(CI4:CJ4),"")</f>
        <v>86.314999999999998</v>
      </c>
      <c r="CL4" s="12" t="str">
        <f>IF(CE4&gt;0,CE4,"")</f>
        <v/>
      </c>
      <c r="CM4" s="12" t="str">
        <f>IF(SUM(CC4:CF4)-CG4&gt;0,SUM(CC4:CF4)-CG4,"")</f>
        <v/>
      </c>
      <c r="CN4" s="12">
        <f>IF(SUM(CK4,CM4)&gt;0,SUM(CK4,CM4),"")</f>
        <v>86.314999999999998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 t="str">
        <f>IF(DA4&gt;0,DA4,"")</f>
        <v/>
      </c>
      <c r="DI4" s="15" t="str">
        <f>IF(SUM(CY4:DB4)-DC4&gt;0,SUM(CY4:DB4)-DC4,"")</f>
        <v/>
      </c>
      <c r="DJ4" s="15" t="str">
        <f>IF(SUM(DG4,DI4)&gt;0,SUM(DG4,DI4),"")</f>
        <v/>
      </c>
      <c r="DK4" s="36">
        <v>17.399999999999999</v>
      </c>
      <c r="DL4" s="36">
        <v>9.1999999999999993</v>
      </c>
      <c r="DM4" s="36">
        <v>0</v>
      </c>
      <c r="DN4" s="36">
        <v>16.425000000000001</v>
      </c>
      <c r="DO4" s="36">
        <v>0</v>
      </c>
      <c r="DP4" s="36">
        <v>12.4</v>
      </c>
      <c r="DQ4" s="36">
        <v>8.85</v>
      </c>
      <c r="DR4" s="36">
        <v>13.5</v>
      </c>
      <c r="DS4" s="36">
        <v>15.56</v>
      </c>
      <c r="DT4" s="36">
        <v>0</v>
      </c>
      <c r="DU4" s="36">
        <v>14.7</v>
      </c>
      <c r="DV4" s="36">
        <v>9.3000000000000007</v>
      </c>
      <c r="DW4" s="36">
        <v>13.5</v>
      </c>
      <c r="DX4" s="36">
        <v>15.664999999999999</v>
      </c>
      <c r="DY4" s="36">
        <v>0</v>
      </c>
      <c r="DZ4" s="12">
        <f>IF(DR4&gt;0,DR4,"")</f>
        <v>13.5</v>
      </c>
      <c r="EA4" s="12">
        <f>IF(SUM(DK4:DN4)-DO4&gt;0,SUM(DK4:DN4)-DO4,"")</f>
        <v>43.024999999999999</v>
      </c>
      <c r="EB4" s="12">
        <f>IF(SUM(DP4:DS4)-DT4&gt;0,SUM(DP4:DS4)-DT4,"")</f>
        <v>50.31</v>
      </c>
      <c r="EC4" s="12">
        <f>IF(SUM(EA4:EB4)&gt;0,SUM(EA4:EB4),"")</f>
        <v>93.335000000000008</v>
      </c>
      <c r="ED4" s="12">
        <f>IF(DW4&gt;0,DW4,"")</f>
        <v>13.5</v>
      </c>
      <c r="EE4" s="12">
        <f>IF(SUM(DU4:DX4)-DY4&gt;0,SUM(DU4:DX4)-DY4,"")</f>
        <v>53.164999999999999</v>
      </c>
      <c r="EF4" s="12">
        <f>IF(SUM(EC4,EE4)&gt;0,SUM(EC4,EE4),"")</f>
        <v>146.5</v>
      </c>
      <c r="EG4" s="37">
        <v>16</v>
      </c>
      <c r="EH4" s="37">
        <v>9.4</v>
      </c>
      <c r="EI4" s="37">
        <v>0</v>
      </c>
      <c r="EJ4" s="37">
        <v>17.11</v>
      </c>
      <c r="EK4" s="37">
        <v>0</v>
      </c>
      <c r="EL4" s="37">
        <v>1.2</v>
      </c>
      <c r="EM4" s="37">
        <v>0.9</v>
      </c>
      <c r="EN4" s="37">
        <v>1.7</v>
      </c>
      <c r="EO4" s="37">
        <v>1.79</v>
      </c>
      <c r="EP4" s="37">
        <v>0</v>
      </c>
      <c r="EQ4" s="37"/>
      <c r="ER4" s="37"/>
      <c r="ES4" s="37"/>
      <c r="ET4" s="37"/>
      <c r="EU4" s="37"/>
      <c r="EV4" s="15">
        <f>IF(EN4&gt;0,EN4,"")</f>
        <v>1.7</v>
      </c>
      <c r="EW4" s="15">
        <f>IF(SUM(EG4:EJ4)-EK4&gt;0,SUM(EG4:EJ4)-EK4,"")</f>
        <v>42.51</v>
      </c>
      <c r="EX4" s="15">
        <f>IF(SUM(EL4:EO4)-EP4&gt;0,SUM(EL4:EO4)-EP4,"")</f>
        <v>5.59</v>
      </c>
      <c r="EY4" s="15">
        <f>IF(SUM(EW4:EX4)&gt;0,SUM(EW4:EX4),"")</f>
        <v>48.099999999999994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48.099999999999994</v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17</v>
      </c>
      <c r="LX4" s="63">
        <f t="shared" si="0"/>
        <v>9.2750000000000004</v>
      </c>
      <c r="LY4" s="63">
        <f t="shared" si="0"/>
        <v>4</v>
      </c>
      <c r="LZ4" s="63">
        <f t="shared" si="0"/>
        <v>17.177500000000002</v>
      </c>
      <c r="MA4" s="63">
        <f t="shared" si="0"/>
        <v>0</v>
      </c>
      <c r="MB4" s="63">
        <f t="shared" si="0"/>
        <v>14.2</v>
      </c>
      <c r="MC4" s="63">
        <f t="shared" si="0"/>
        <v>9.2749999999999986</v>
      </c>
      <c r="MD4" s="63">
        <f t="shared" si="0"/>
        <v>14</v>
      </c>
      <c r="ME4" s="63">
        <f t="shared" si="0"/>
        <v>16.2775</v>
      </c>
      <c r="MF4" s="63">
        <f t="shared" si="0"/>
        <v>0</v>
      </c>
      <c r="MG4" s="63">
        <f t="shared" si="0"/>
        <v>14.05</v>
      </c>
      <c r="MH4" s="63">
        <f t="shared" si="0"/>
        <v>8.875</v>
      </c>
      <c r="MI4" s="63">
        <f t="shared" si="0"/>
        <v>14</v>
      </c>
      <c r="MJ4" s="63">
        <f t="shared" si="0"/>
        <v>16.43</v>
      </c>
      <c r="MK4" s="63">
        <f t="shared" si="0"/>
        <v>0</v>
      </c>
      <c r="ML4" s="74" t="s">
        <v>119</v>
      </c>
      <c r="MM4" s="12">
        <f t="shared" ref="MM4" si="1">IF(MD4&gt;0,MD4,"")</f>
        <v>14</v>
      </c>
      <c r="MN4" s="12">
        <f t="shared" ref="MN4" si="2">IF(SUM(LW4:LZ4)-MA4&gt;0,SUM(LW4:LZ4)-MA4,"")</f>
        <v>47.452500000000001</v>
      </c>
      <c r="MO4" s="12">
        <f t="shared" ref="MO4" si="3">IF(SUM(MB4:ME4)-MF4&gt;0,SUM(MB4:ME4)-MF4,"")</f>
        <v>53.752499999999998</v>
      </c>
      <c r="MP4" s="12">
        <f t="shared" ref="MP4" si="4">IF(SUM(MN4:MO4)&gt;0,SUM(MN4:MO4),"")</f>
        <v>101.205</v>
      </c>
      <c r="MQ4" s="12">
        <f>IF(MI4&gt;0,MI4,"")</f>
        <v>14</v>
      </c>
      <c r="MR4" s="12">
        <f t="shared" ref="MR4" si="5">IF(SUM(MG4:MJ4)-MK4&gt;0,SUM(MG4:MJ4)-MK4,"")</f>
        <v>53.354999999999997</v>
      </c>
      <c r="MS4" s="12">
        <f t="shared" ref="MS4" si="6">IF(SUM(MP4,MR4)&gt;0,SUM(MP4,MR4),"")</f>
        <v>154.56</v>
      </c>
    </row>
    <row r="5" spans="1:357" x14ac:dyDescent="0.2">
      <c r="A5" s="6">
        <f>IF(AND(F5="P",H5="P"),SUMPRODUCT((F$4:F$24="P")*(H$4:H$24="P")*(E$4:E$24&gt;E5))+1,IF(H5="P",SUMPRODUCT((F$4:F$24="")*(H$4:H$24="P")*(E$4:E$24&gt;E5))+1+SUMPRODUCT((F$4:F$24="P")*(H$4:H$24="P")),""))</f>
        <v>2</v>
      </c>
      <c r="B5" s="7" t="s">
        <v>78</v>
      </c>
      <c r="C5" s="8" t="s">
        <v>5</v>
      </c>
      <c r="D5" s="8">
        <v>2003</v>
      </c>
      <c r="E5" s="16">
        <f>SUM(J5:R5)</f>
        <v>250.02500000000003</v>
      </c>
      <c r="F5" s="4" t="str">
        <f>IF(OR(AND($AK5&gt;=$AL$26,NOT($AK5=""),$AJ5=""),AND($BH5&gt;=$BI$26,NOT($BH5=""),$BG5=""),AND($CH5&gt;=$CI$26,NOT($CH5="")),AND($DD5&gt;=$DE$26,NOT($DD5="")),AND($DZ5&gt;=$EA$26,NOT($DZ5="")),AND($EV5&gt;=$EW$26,NOT($EV5="")),AND($FR5&gt;=$FS$26,NOT($FR5="")),AND($GN5&gt;=$GO$26,NOT($GN5="")),AND($HJ5&gt;=$HK$26,NOT($HJ5="")),AND($IF5&gt;=$IG$26,NOT($IF5="")),AND($JB5&gt;=$JC$26,NOT($JB5="")),AND($JX5&gt;=$JY$26,NOT($JX5="")),AND($KT5&gt;=$KU$26,NOT($KT5="")),AND($LP5&gt;=$LQ$26,NOT($LP5=""))),"P","")</f>
        <v>P</v>
      </c>
      <c r="G5" s="4" t="str">
        <f>IF(OR(AND($AK5&gt;=$AL$27,NOT($AK5=""),$AJ5=""),AND($BH5&gt;=$BI$27,NOT($BH5=""),$BG5=""),AND($CH5&gt;=$CI$27,NOT($CH5="")),AND($DD5&gt;=$DE$27,NOT($DD5="")),AND($DZ5&gt;=$EA$27,NOT($DZ5="")),AND($EV5&gt;=$EW$27,NOT($EV5="")),AND($FR5&gt;=$FS$27,NOT($FR5="")),AND($GN5&gt;=$GO$27,NOT($GN5="")),AND($HJ5&gt;=$HK$27,NOT($HJ5="")),AND($IF5&gt;=$IG$27,NOT($IF5="")),AND($JB5&gt;=$JC$27,NOT($JB5="")),AND($JX5&gt;=$JY$27,NOT($JX5="")),AND($KT5&gt;=$KU$27,NOT($KT5="")),AND($LP5&gt;=$LQ$27,NOT($LP5=""))),"P","")</f>
        <v>P</v>
      </c>
      <c r="H5" s="4" t="str">
        <f>IF(OR(AND($AN5&gt;=$AL$28,NOT($AN5=""),$AJ5=""),AND($BK5&gt;=$BI$28,NOT($BK5=""),$BG5=""),AND($CK5&gt;=$CI$28,NOT($CK5="")),AND($DG5&gt;=$DE$28,NOT($DG5="")),AND($EC5&gt;=$EA$28,NOT($EC5="")),AND($EY5&gt;=$EW$28,NOT($EY5="")),AND($FU5&gt;=$FS$28,NOT($FU5="")),AND($GQ5&gt;=$GO$28,NOT($GQ5="")),AND($HM5&gt;=$HK$28,NOT($HM5="")),AND($II5&gt;=$IG$28,NOT($II5="")),AND($JE5&gt;=$JC$28,NOT($JE5="")),AND($KA5&gt;=$JY$28,NOT($KA5="")),AND($KW5&gt;=$KU$28,NOT($KW5="")),AND($LS5&gt;=$LQ$28,NOT($LS5=""))),"P","")</f>
        <v>P</v>
      </c>
      <c r="I5" t="str">
        <f>IF(AND(H5="P",F5=""),"No DD",IF(AND(G5="P",OR(AND($AM5&gt;$AL$31,NOT($AM5=""),$AJ5=""),AND($AP5&gt;$AL$31,NOT($AP5=""),$AJ5=""),AND($BJ5&gt;$BI$31,NOT($BJ5=""),$BG5=""),AND($BM5&gt;$BI$31,NOT($BM5=""),$BG5=""),AND($CJ5&gt;$CI$31,NOT($CJ5="")),AND($CM5&gt;$CI$31,NOT($CM5="")),AND($DF5&gt;$DE$31,NOT($DF5="")),AND($DI5&gt;$DE$31,NOT($DI5="")),AND($EB5&gt;$EA$31,NOT($EB5="")),AND($EE5&gt;$EA$31,NOT($EE5="")),AND($EX5&gt;$EW$31,NOT($EX5="")),AND($FA5&gt;$EW$31,NOT($FA5="")),AND($FT5&gt;$FS$31,NOT($FT5="")),AND($FW5&gt;$FS$31,NOT($FW5="")),AND($GP5&gt;$GO$31,NOT($GP5="")),AND($GS5&gt;$GO$31,NOT($GS5="")),AND($HL5&gt;$HK$31,NOT($HL5="")),AND($HO5&gt;$HK$31,NOT($HO5="")),AND($IH5&gt;$IG$31,NOT($IH5="")),AND($IK5&gt;$IG$31,NOT($IK5="")),AND($JD5&gt;$JC$31,NOT($JD5="")),AND($JG5&gt;$JC$31,NOT($JG5="")),AND($JZ5&gt;$JY$31,NOT($JZ5="")),AND($KC5&gt;$JY$31,NOT($KC5="")),AND($KV5&gt;$KU$31,NOT($KV5="")),AND($KY5&gt;$KU$31,NOT($KY5="")),AND($LR5&gt;$LQ$31,NOT($LR5="")),AND($LU5&gt;$LQ$31,NOT($LU5="")))),"Merit",IF(AND(G5="P",OR(AND($AN5&gt;$AL$30,NOT($AN5=""),$AJ5=""),AND($BK5&gt;$BI$30,NOT($BK5=""),$BG5=""),AND($CK5&gt;$CI$30,NOT($CK5="")),AND($DG5&gt;$DE$30,NOT($DG5="")),AND($EC5&gt;$EA$30,NOT($EC5="")),AND($EY5&gt;$EW$30,NOT($EY5="")),AND($FU5&gt;$FS$30,NOT($FU5="")),AND($GQ5&gt;$GO$30,NOT($GQ5="")),AND($HM5&gt;$HK$30,NOT($HM5="")),AND($II5&gt;$IG$30,NOT($II5="")),AND($JE5&gt;$JC$30,NOT($JE5="")),AND($KA5&gt;$JY$30,NOT($KA5="")),AND($KW5&gt;$KU$30,NOT($KW5="")),AND($LS5&gt;$LQ$30,NOT($LS5="")))),"Excellence",IF(AND(G5="P",OR(AND($AN5&gt;$AL$29,NOT($AN5=""),$AJ5=""),AND($BK5&gt;$BI$29,NOT($BK5=""),$BG5=""),AND($CK5&gt;$CI$29,NOT($CK5="")),AND($DG5&gt;$DE$29,NOT($DG5="")),AND($EC5&gt;$EA$29,NOT($EC5="")),AND($EY5&gt;$EW$29,NOT($EY5="")),AND($FU5&gt;$FS$29,NOT($FU5="")),AND($GQ5&gt;$GO$29,NOT($GQ5="")),AND($HM5&gt;$HK$29,NOT($HM5="")),AND($II5&gt;$IG$29,NOT($II5="")),AND($JE5&gt;$JC$29,NOT($JE5="")),AND($KA5&gt;$JY$29,NOT($KA5="")),AND($KW5&gt;$KU$29,NOT($KW5="")),AND($LS5&gt;$LQ$29,NOT($LS5="")))),"Worlds Team",IF(AND(F5="P",OR(AND($AN5&gt;$AL$28,NOT($AN5=""),$AJ5=""),AND($BK5&gt;$BI$28,NOT($BK5=""),$BG5=""),AND($CK5&gt;$CI$28,NOT($CK5="")),AND($DG5&gt;$DE$28,NOT($DG5="")),AND($EC5&gt;$EA$28,NOT($EC5="")),AND($EY5&gt;$EW$28,NOT($EY5="")),AND($FU5&gt;$FS$28,NOT($FU5="")),AND($GQ5&gt;$GO$28,NOT($GQ5="")),AND($HM5&gt;$HK$28,NOT($HM5="")),AND($II5&gt;$IG$28,NOT($II5="")),AND($JE5&gt;$JC$28,NOT($JE5="")),AND($KA5&gt;$JY$28,NOT($KA5="")),AND($KW5&gt;$KU$28,NOT($KW5="")),AND($LS5&gt;$LQ$28,NOT($LS5="")))),"National Team","")))))</f>
        <v>National Team</v>
      </c>
      <c r="J5" s="15">
        <f>IF(MAX(AN5,BK5)&gt;0,MAX(AN5,BK5),"")</f>
        <v>99.2</v>
      </c>
      <c r="K5" s="15" t="str">
        <f>IF(J5="","",IF(J5=BK5,$AR$1,IF(J5=AN5,$U$1,"")))</f>
        <v>2019 Elite Canada</v>
      </c>
      <c r="L5" s="15">
        <f>IF($J5=$AN5,BI5,IF($J5=$BK5,AL5,MAX(AL5,BI5)))</f>
        <v>45.96</v>
      </c>
      <c r="M5" s="15" t="str">
        <f>IF(L5="","",IF(AND(L5=BI5,$K5&lt;&gt;$AR$1),$AR$1,IF(AND(L5=AL5,$K5&lt;&gt;$U$1),$U$1,"")))</f>
        <v>2018 Nationals</v>
      </c>
      <c r="N5" s="15">
        <f>IF($J5=$AN5,BJ5,IF($J5=$BK5,AM5,MAX(AM5,BJ5)))</f>
        <v>51.95</v>
      </c>
      <c r="O5" s="15" t="str">
        <f>IF(N5="","",IF(AND(N5=BJ5,$K5&lt;&gt;$AR$1),$AR$1,IF(AND(N5=AM5,$K5&lt;&gt;$U$1),$U$1,"")))</f>
        <v>2018 Nationals</v>
      </c>
      <c r="P5" s="15">
        <f>IF(MAX(AP5,BM5)&gt;0,MAX(AP5,BM5),"")</f>
        <v>52.915000000000006</v>
      </c>
      <c r="Q5" s="15" t="str">
        <f>IF(P5="","",IF(P5=BM5,$AR$1,IF(P5=AP5,$U$1,"")))</f>
        <v>2019 Elite Canada</v>
      </c>
      <c r="R5" s="15" t="str">
        <f>IF(MAX(BO5,BP5,BQ5,BR5)&gt;0,MAX(BO5,BP5,BQ5,BR5),"")</f>
        <v/>
      </c>
      <c r="S5" s="25" t="str">
        <f>IF(R5="","",IF(R5=BO5,"(Vol 1)",IF(R5=BP5,"(Vol 2)",IF(R5=BQ5,"(Prelim)",IF(R5=BR5,"(Final)")))))</f>
        <v/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/>
      </c>
      <c r="U5" s="63">
        <v>16.8</v>
      </c>
      <c r="V5" s="63">
        <v>9.6</v>
      </c>
      <c r="W5" s="63">
        <v>4.5</v>
      </c>
      <c r="X5" s="63">
        <v>15.06</v>
      </c>
      <c r="Y5" s="63">
        <v>0</v>
      </c>
      <c r="Z5" s="63">
        <v>14.5</v>
      </c>
      <c r="AA5" s="63">
        <v>9.0500000000000007</v>
      </c>
      <c r="AB5" s="63">
        <v>13.7</v>
      </c>
      <c r="AC5" s="63">
        <v>14.7</v>
      </c>
      <c r="AD5" s="63">
        <v>0</v>
      </c>
      <c r="AE5" s="63">
        <v>15.1</v>
      </c>
      <c r="AF5" s="63">
        <v>9.1999999999999993</v>
      </c>
      <c r="AG5" s="63">
        <v>13.7</v>
      </c>
      <c r="AH5" s="63">
        <v>14.475</v>
      </c>
      <c r="AI5" s="63">
        <v>0</v>
      </c>
      <c r="AJ5" s="74"/>
      <c r="AK5" s="12">
        <f>IF(AB5&gt;0,AB5,"")</f>
        <v>13.7</v>
      </c>
      <c r="AL5" s="12">
        <f>IF(SUM(U5:X5)-Y5&gt;0,SUM(U5:X5)-Y5,"")</f>
        <v>45.96</v>
      </c>
      <c r="AM5" s="12">
        <f>IF(SUM(Z5:AC5)-AD5&gt;0,SUM(Z5:AC5)-AD5,"")</f>
        <v>51.95</v>
      </c>
      <c r="AN5" s="12">
        <f>IF(SUM(AL5:AM5)&gt;0,SUM(AL5:AM5),"")</f>
        <v>97.91</v>
      </c>
      <c r="AO5" s="12">
        <f>IF(AG5&gt;0,AG5,"")</f>
        <v>13.7</v>
      </c>
      <c r="AP5" s="12">
        <f>IF(SUM(AE5:AH5)-AI5&gt;0,SUM(AE5:AH5)-AI5,"")</f>
        <v>52.475000000000001</v>
      </c>
      <c r="AQ5" s="12">
        <f>IF(SUM(AN5,AP5)&gt;0,SUM(AN5,AP5),"")</f>
        <v>150.38499999999999</v>
      </c>
      <c r="AR5" s="69">
        <v>16.600000000000001</v>
      </c>
      <c r="AS5" s="69">
        <v>9.3000000000000007</v>
      </c>
      <c r="AT5" s="69">
        <v>4.5999999999999996</v>
      </c>
      <c r="AU5" s="69">
        <v>15.82</v>
      </c>
      <c r="AV5" s="69">
        <v>0</v>
      </c>
      <c r="AW5" s="69">
        <v>14</v>
      </c>
      <c r="AX5" s="69">
        <v>9.1999999999999993</v>
      </c>
      <c r="AY5" s="69">
        <v>14.3</v>
      </c>
      <c r="AZ5" s="69">
        <v>15.38</v>
      </c>
      <c r="BA5" s="69">
        <v>0</v>
      </c>
      <c r="BB5" s="69">
        <v>15.1</v>
      </c>
      <c r="BC5" s="69">
        <v>9.1</v>
      </c>
      <c r="BD5" s="69">
        <v>13.5</v>
      </c>
      <c r="BE5" s="69">
        <v>15.215</v>
      </c>
      <c r="BF5" s="69">
        <v>0</v>
      </c>
      <c r="BG5" s="75"/>
      <c r="BH5" s="15">
        <f>IF(AY5&gt;0,AY5,"")</f>
        <v>14.3</v>
      </c>
      <c r="BI5" s="15">
        <f>IF(SUM(AR5:AU5)-AV5&gt;0,SUM(AR5:AU5)-AV5,"")</f>
        <v>46.32</v>
      </c>
      <c r="BJ5" s="15">
        <f>IF(SUM(AW5:AZ5)-BA5&gt;0,SUM(AW5:AZ5)-BA5,"")</f>
        <v>52.88</v>
      </c>
      <c r="BK5" s="15">
        <f>IF(SUM(BI5:BJ5)&gt;0,SUM(BI5:BJ5),"")</f>
        <v>99.2</v>
      </c>
      <c r="BL5" s="15">
        <f>IF(BD5&gt;0,BD5,"")</f>
        <v>13.5</v>
      </c>
      <c r="BM5" s="15">
        <f>IF(SUM(BB5:BE5)-BF5&gt;0,SUM(BB5:BE5)-BF5,"")</f>
        <v>52.915000000000006</v>
      </c>
      <c r="BN5" s="15">
        <f>IF(SUM(BK5,BM5)&gt;0,SUM(BK5,BM5),"")</f>
        <v>152.11500000000001</v>
      </c>
      <c r="BO5" s="24" t="str">
        <f>IF(MAX(CI5,DE5,EA5,EW5,FS5,GO5,HK5,IG5,JC5,JY5,KU5,LQ5)-IF(L5="",0,L5)&gt;0.001,MAX(CI5,DE5,EA5,EW5,FS5,GO5,HK5,IG5,JC5,JY5,KU5,LQ5)-IF(L5="",0,L5),"")</f>
        <v/>
      </c>
      <c r="BP5" s="24" t="str">
        <f>IF(MAX(CJ5,DF5,EB5,EX5,FT5,GP5,HL5,IH5,JD5,JZ5,KV5,LR5)-IF(N5="",0,N5)&gt;0.001,MAX(CJ5,DF5,EB5,EX5,FT5,GP5,HL5,IH5,JD5,JZ5,KV5,LR5)-IF(N5="",0,N5),"")</f>
        <v/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12" t="str">
        <f>IF(DR5&gt;0,DR5,"")</f>
        <v/>
      </c>
      <c r="EA5" s="12" t="str">
        <f>IF(SUM(DK5:DN5)-DO5&gt;0,SUM(DK5:DN5)-DO5,"")</f>
        <v/>
      </c>
      <c r="EB5" s="12" t="str">
        <f>IF(SUM(DP5:DS5)-DT5&gt;0,SUM(DP5:DS5)-DT5,"")</f>
        <v/>
      </c>
      <c r="EC5" s="12" t="str">
        <f>IF(SUM(EA5:EB5)&gt;0,SUM(EA5:EB5),"")</f>
        <v/>
      </c>
      <c r="ED5" s="12" t="str">
        <f>IF(DW5&gt;0,DW5,"")</f>
        <v/>
      </c>
      <c r="EE5" s="12" t="str">
        <f>IF(SUM(DU5:DX5)-DY5&gt;0,SUM(DU5:DX5)-DY5,"")</f>
        <v/>
      </c>
      <c r="EF5" s="12" t="str">
        <f>IF(SUM(EC5,EE5)&gt;0,SUM(EC5,EE5),"")</f>
        <v/>
      </c>
      <c r="EG5" s="37">
        <v>17.2</v>
      </c>
      <c r="EH5" s="37">
        <v>9.3000000000000007</v>
      </c>
      <c r="EI5" s="37">
        <v>0</v>
      </c>
      <c r="EJ5" s="37">
        <v>15.125</v>
      </c>
      <c r="EK5" s="37">
        <v>0</v>
      </c>
      <c r="EL5" s="37">
        <v>13.7</v>
      </c>
      <c r="EM5" s="37">
        <v>8.9</v>
      </c>
      <c r="EN5" s="37">
        <v>13.1</v>
      </c>
      <c r="EO5" s="37">
        <v>14.51</v>
      </c>
      <c r="EP5" s="37">
        <v>0</v>
      </c>
      <c r="EQ5" s="37"/>
      <c r="ER5" s="37"/>
      <c r="ES5" s="37"/>
      <c r="ET5" s="37"/>
      <c r="EU5" s="37"/>
      <c r="EV5" s="15">
        <f>IF(EN5&gt;0,EN5,"")</f>
        <v>13.1</v>
      </c>
      <c r="EW5" s="15">
        <f>IF(SUM(EG5:EJ5)-EK5&gt;0,SUM(EG5:EJ5)-EK5,"")</f>
        <v>41.625</v>
      </c>
      <c r="EX5" s="15">
        <f>IF(SUM(EL5:EO5)-EP5&gt;0,SUM(EL5:EO5)-EP5,"")</f>
        <v>50.21</v>
      </c>
      <c r="EY5" s="15">
        <f>IF(SUM(EW5:EX5)&gt;0,SUM(EW5:EX5),"")</f>
        <v>91.835000000000008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91.835000000000008</v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23" si="7">IF($BG5="P",AR5,(U5+AR5)/2)</f>
        <v>16.700000000000003</v>
      </c>
      <c r="LX5" s="63">
        <f t="shared" ref="LX5:LX23" si="8">IF($BG5="P",AS5,(V5+AS5)/2)</f>
        <v>9.4499999999999993</v>
      </c>
      <c r="LY5" s="63">
        <f t="shared" ref="LY5:LY23" si="9">IF($BG5="P",AT5,(W5+AT5)/2)</f>
        <v>4.55</v>
      </c>
      <c r="LZ5" s="63">
        <f t="shared" ref="LZ5:LZ23" si="10">IF($BG5="P",AU5,(X5+AU5)/2)</f>
        <v>15.440000000000001</v>
      </c>
      <c r="MA5" s="63">
        <f t="shared" ref="MA5:MA23" si="11">IF($BG5="P",AV5,(Y5+AV5)/2)</f>
        <v>0</v>
      </c>
      <c r="MB5" s="63">
        <f t="shared" ref="MB5:MB23" si="12">IF($BG5="P",AW5,(Z5+AW5)/2)</f>
        <v>14.25</v>
      </c>
      <c r="MC5" s="63">
        <f t="shared" ref="MC5:MC23" si="13">IF($BG5="P",AX5,(AA5+AX5)/2)</f>
        <v>9.125</v>
      </c>
      <c r="MD5" s="63">
        <f t="shared" ref="MD5:MD23" si="14">IF($BG5="P",AY5,(AB5+AY5)/2)</f>
        <v>14</v>
      </c>
      <c r="ME5" s="63">
        <f t="shared" ref="ME5:ME23" si="15">IF($BG5="P",AZ5,(AC5+AZ5)/2)</f>
        <v>15.04</v>
      </c>
      <c r="MF5" s="63">
        <f t="shared" ref="MF5:MF23" si="16">IF($BG5="P",BA5,(AD5+BA5)/2)</f>
        <v>0</v>
      </c>
      <c r="MG5" s="63">
        <f t="shared" ref="MG5:MG23" si="17">IF($BG5="P",BB5,(AE5+BB5)/2)</f>
        <v>15.1</v>
      </c>
      <c r="MH5" s="63">
        <f t="shared" ref="MH5:MH23" si="18">IF($BG5="P",BC5,(AF5+BC5)/2)</f>
        <v>9.1499999999999986</v>
      </c>
      <c r="MI5" s="63">
        <f t="shared" ref="MI5:MI23" si="19">IF($BG5="P",BD5,(AG5+BD5)/2)</f>
        <v>13.6</v>
      </c>
      <c r="MJ5" s="63">
        <f t="shared" ref="MJ5:MJ23" si="20">IF($BG5="P",BE5,(AH5+BE5)/2)</f>
        <v>14.844999999999999</v>
      </c>
      <c r="MK5" s="63">
        <f t="shared" ref="MK5:MK23" si="21">IF($BG5="P",BF5,(AI5+BF5)/2)</f>
        <v>0</v>
      </c>
      <c r="ML5" s="74" t="s">
        <v>119</v>
      </c>
      <c r="MM5" s="12">
        <f t="shared" ref="MM5:MM21" si="22">IF(MD5&gt;0,MD5,"")</f>
        <v>14</v>
      </c>
      <c r="MN5" s="12">
        <f t="shared" ref="MN5:MN21" si="23">IF(SUM(LW5:LZ5)-MA5&gt;0,SUM(LW5:LZ5)-MA5,"")</f>
        <v>46.14</v>
      </c>
      <c r="MO5" s="12">
        <f t="shared" ref="MO5:MO21" si="24">IF(SUM(MB5:ME5)-MF5&gt;0,SUM(MB5:ME5)-MF5,"")</f>
        <v>52.414999999999999</v>
      </c>
      <c r="MP5" s="12">
        <f t="shared" ref="MP5:MP21" si="25">IF(SUM(MN5:MO5)&gt;0,SUM(MN5:MO5),"")</f>
        <v>98.555000000000007</v>
      </c>
      <c r="MQ5" s="12">
        <f t="shared" ref="MQ5:MQ23" si="26">IF(MI5&gt;0,MI5,"")</f>
        <v>13.6</v>
      </c>
      <c r="MR5" s="12">
        <f t="shared" ref="MR5:MR21" si="27">IF(SUM(MG5:MJ5)-MK5&gt;0,SUM(MG5:MJ5)-MK5,"")</f>
        <v>52.695</v>
      </c>
      <c r="MS5" s="12">
        <f t="shared" ref="MS5:MS21" si="28">IF(SUM(MP5,MR5)&gt;0,SUM(MP5,MR5),"")</f>
        <v>151.25</v>
      </c>
    </row>
    <row r="6" spans="1:357" x14ac:dyDescent="0.2">
      <c r="A6" s="6" t="str">
        <f>IF(AND(F6="P",H6="P"),SUMPRODUCT((F$4:F$24="P")*(H$4:H$24="P")*(E$4:E$24&gt;E6))+1,IF(H6="P",SUMPRODUCT((F$4:F$24="")*(H$4:H$24="P")*(E$4:E$24&gt;E6))+1+SUMPRODUCT((F$4:F$24="P")*(H$4:H$24="P")),""))</f>
        <v/>
      </c>
      <c r="B6" s="9" t="s">
        <v>84</v>
      </c>
      <c r="C6" s="5" t="s">
        <v>5</v>
      </c>
      <c r="D6" s="27">
        <v>2001</v>
      </c>
      <c r="E6" s="16">
        <f>SUM(J6:R6)</f>
        <v>243.24</v>
      </c>
      <c r="F6" s="4" t="str">
        <f>IF(OR(AND($AK6&gt;=$AL$26,NOT($AK6=""),$AJ6=""),AND($BH6&gt;=$BI$26,NOT($BH6=""),$BG6=""),AND($CH6&gt;=$CI$26,NOT($CH6="")),AND($DD6&gt;=$DE$26,NOT($DD6="")),AND($DZ6&gt;=$EA$26,NOT($DZ6="")),AND($EV6&gt;=$EW$26,NOT($EV6="")),AND($FR6&gt;=$FS$26,NOT($FR6="")),AND($GN6&gt;=$GO$26,NOT($GN6="")),AND($HJ6&gt;=$HK$26,NOT($HJ6="")),AND($IF6&gt;=$IG$26,NOT($IF6="")),AND($JB6&gt;=$JC$26,NOT($JB6="")),AND($JX6&gt;=$JY$26,NOT($JX6="")),AND($KT6&gt;=$KU$26,NOT($KT6="")),AND($LP6&gt;=$LQ$26,NOT($LP6=""))),"P","")</f>
        <v>P</v>
      </c>
      <c r="G6" s="4" t="str">
        <f>IF(OR(AND($AK6&gt;=$AL$27,NOT($AK6=""),$AJ6=""),AND($BH6&gt;=$BI$27,NOT($BH6=""),$BG6=""),AND($CH6&gt;=$CI$27,NOT($CH6="")),AND($DD6&gt;=$DE$27,NOT($DD6="")),AND($DZ6&gt;=$EA$27,NOT($DZ6="")),AND($EV6&gt;=$EW$27,NOT($EV6="")),AND($FR6&gt;=$FS$27,NOT($FR6="")),AND($GN6&gt;=$GO$27,NOT($GN6="")),AND($HJ6&gt;=$HK$27,NOT($HJ6="")),AND($IF6&gt;=$IG$27,NOT($IF6="")),AND($JB6&gt;=$JC$27,NOT($JB6="")),AND($JX6&gt;=$JY$27,NOT($JX6="")),AND($KT6&gt;=$KU$27,NOT($KT6="")),AND($LP6&gt;=$LQ$27,NOT($LP6=""))),"P","")</f>
        <v>P</v>
      </c>
      <c r="H6" s="4" t="str">
        <f>IF(OR(AND($AN6&gt;=$AL$28,NOT($AN6=""),$AJ6=""),AND($BK6&gt;=$BI$28,NOT($BK6=""),$BG6=""),AND($CK6&gt;=$CI$28,NOT($CK6="")),AND($DG6&gt;=$DE$28,NOT($DG6="")),AND($EC6&gt;=$EA$28,NOT($EC6="")),AND($EY6&gt;=$EW$28,NOT($EY6="")),AND($FU6&gt;=$FS$28,NOT($FU6="")),AND($GQ6&gt;=$GO$28,NOT($GQ6="")),AND($HM6&gt;=$HK$28,NOT($HM6="")),AND($II6&gt;=$IG$28,NOT($II6="")),AND($JE6&gt;=$JC$28,NOT($JE6="")),AND($KA6&gt;=$JY$28,NOT($KA6="")),AND($KW6&gt;=$KU$28,NOT($KW6="")),AND($LS6&gt;=$LQ$28,NOT($LS6=""))),"P","")</f>
        <v/>
      </c>
      <c r="I6" t="str">
        <f>IF(AND(H6="P",F6=""),"No DD",IF(AND(G6="P",OR(AND($AM6&gt;$AL$31,NOT($AM6=""),$AJ6=""),AND($AP6&gt;$AL$31,NOT($AP6=""),$AJ6=""),AND($BJ6&gt;$BI$31,NOT($BJ6=""),$BG6=""),AND($BM6&gt;$BI$31,NOT($BM6=""),$BG6=""),AND($CJ6&gt;$CI$31,NOT($CJ6="")),AND($CM6&gt;$CI$31,NOT($CM6="")),AND($DF6&gt;$DE$31,NOT($DF6="")),AND($DI6&gt;$DE$31,NOT($DI6="")),AND($EB6&gt;$EA$31,NOT($EB6="")),AND($EE6&gt;$EA$31,NOT($EE6="")),AND($EX6&gt;$EW$31,NOT($EX6="")),AND($FA6&gt;$EW$31,NOT($FA6="")),AND($FT6&gt;$FS$31,NOT($FT6="")),AND($FW6&gt;$FS$31,NOT($FW6="")),AND($GP6&gt;$GO$31,NOT($GP6="")),AND($GS6&gt;$GO$31,NOT($GS6="")),AND($HL6&gt;$HK$31,NOT($HL6="")),AND($HO6&gt;$HK$31,NOT($HO6="")),AND($IH6&gt;$IG$31,NOT($IH6="")),AND($IK6&gt;$IG$31,NOT($IK6="")),AND($JD6&gt;$JC$31,NOT($JD6="")),AND($JG6&gt;$JC$31,NOT($JG6="")),AND($JZ6&gt;$JY$31,NOT($JZ6="")),AND($KC6&gt;$JY$31,NOT($KC6="")),AND($KV6&gt;$KU$31,NOT($KV6="")),AND($KY6&gt;$KU$31,NOT($KY6="")),AND($LR6&gt;$LQ$31,NOT($LR6="")),AND($LU6&gt;$LQ$31,NOT($LU6="")))),"Merit",IF(AND(G6="P",OR(AND($AN6&gt;$AL$30,NOT($AN6=""),$AJ6=""),AND($BK6&gt;$BI$30,NOT($BK6=""),$BG6=""),AND($CK6&gt;$CI$30,NOT($CK6="")),AND($DG6&gt;$DE$30,NOT($DG6="")),AND($EC6&gt;$EA$30,NOT($EC6="")),AND($EY6&gt;$EW$30,NOT($EY6="")),AND($FU6&gt;$FS$30,NOT($FU6="")),AND($GQ6&gt;$GO$30,NOT($GQ6="")),AND($HM6&gt;$HK$30,NOT($HM6="")),AND($II6&gt;$IG$30,NOT($II6="")),AND($JE6&gt;$JC$30,NOT($JE6="")),AND($KA6&gt;$JY$30,NOT($KA6="")),AND($KW6&gt;$KU$30,NOT($KW6="")),AND($LS6&gt;$LQ$30,NOT($LS6="")))),"Excellence",IF(AND(G6="P",OR(AND($AN6&gt;$AL$29,NOT($AN6=""),$AJ6=""),AND($BK6&gt;$BI$29,NOT($BK6=""),$BG6=""),AND($CK6&gt;$CI$29,NOT($CK6="")),AND($DG6&gt;$DE$29,NOT($DG6="")),AND($EC6&gt;$EA$29,NOT($EC6="")),AND($EY6&gt;$EW$29,NOT($EY6="")),AND($FU6&gt;$FS$29,NOT($FU6="")),AND($GQ6&gt;$GO$29,NOT($GQ6="")),AND($HM6&gt;$HK$29,NOT($HM6="")),AND($II6&gt;$IG$29,NOT($II6="")),AND($JE6&gt;$JC$29,NOT($JE6="")),AND($KA6&gt;$JY$29,NOT($KA6="")),AND($KW6&gt;$KU$29,NOT($KW6="")),AND($LS6&gt;$LQ$29,NOT($LS6="")))),"Worlds Team",IF(AND(F6="P",OR(AND($AN6&gt;$AL$28,NOT($AN6=""),$AJ6=""),AND($BK6&gt;$BI$28,NOT($BK6=""),$BG6=""),AND($CK6&gt;$CI$28,NOT($CK6="")),AND($DG6&gt;$DE$28,NOT($DG6="")),AND($EC6&gt;$EA$28,NOT($EC6="")),AND($EY6&gt;$EW$28,NOT($EY6="")),AND($FU6&gt;$FS$28,NOT($FU6="")),AND($GQ6&gt;$GO$28,NOT($GQ6="")),AND($HM6&gt;$HK$28,NOT($HM6="")),AND($II6&gt;$IG$28,NOT($II6="")),AND($JE6&gt;$JC$28,NOT($JE6="")),AND($KA6&gt;$JY$28,NOT($KA6="")),AND($KW6&gt;$KU$28,NOT($KW6="")),AND($LS6&gt;$LQ$28,NOT($LS6="")))),"National Team","")))))</f>
        <v/>
      </c>
      <c r="J6" s="15">
        <f>IF(MAX(AN6,BK6)&gt;0,MAX(AN6,BK6),"")</f>
        <v>97.53</v>
      </c>
      <c r="K6" s="15" t="str">
        <f>IF(J6="","",IF(J6=BK6,$AR$1,IF(J6=AN6,$U$1,"")))</f>
        <v>2019 Elite Canada</v>
      </c>
      <c r="L6" s="15">
        <f>IF($J6=$AN6,BI6,IF($J6=$BK6,AL6,MAX(AL6,BI6)))</f>
        <v>45.015000000000001</v>
      </c>
      <c r="M6" s="15" t="str">
        <f>IF(L6="","",IF(AND(L6=BI6,$K6&lt;&gt;$AR$1),$AR$1,IF(AND(L6=AL6,$K6&lt;&gt;$U$1),$U$1,"")))</f>
        <v>2018 Nationals</v>
      </c>
      <c r="N6" s="15">
        <f>IF($J6=$AN6,BJ6,IF($J6=$BK6,AM6,MAX(AM6,BJ6)))</f>
        <v>50.305</v>
      </c>
      <c r="O6" s="15" t="str">
        <f>IF(N6="","",IF(AND(N6=BJ6,$K6&lt;&gt;$AR$1),$AR$1,IF(AND(N6=AM6,$K6&lt;&gt;$U$1),$U$1,"")))</f>
        <v>2018 Nationals</v>
      </c>
      <c r="P6" s="15">
        <f>IF(MAX(AP6,BM6)&gt;0,MAX(AP6,BM6),"")</f>
        <v>50.39</v>
      </c>
      <c r="Q6" s="15" t="str">
        <f>IF(P6="","",IF(P6=BM6,$AR$1,IF(P6=AP6,$U$1,"")))</f>
        <v>2018 Nationals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63">
        <v>16.7</v>
      </c>
      <c r="V6" s="63">
        <v>9.85</v>
      </c>
      <c r="W6" s="63">
        <v>2.7</v>
      </c>
      <c r="X6" s="63">
        <v>15.765000000000001</v>
      </c>
      <c r="Y6" s="63">
        <v>0</v>
      </c>
      <c r="Z6" s="63">
        <v>13.5</v>
      </c>
      <c r="AA6" s="63">
        <v>9</v>
      </c>
      <c r="AB6" s="63">
        <v>13.1</v>
      </c>
      <c r="AC6" s="63">
        <v>14.705</v>
      </c>
      <c r="AD6" s="63">
        <v>0</v>
      </c>
      <c r="AE6" s="63">
        <v>13.4</v>
      </c>
      <c r="AF6" s="63">
        <v>9.15</v>
      </c>
      <c r="AG6" s="63">
        <v>13.1</v>
      </c>
      <c r="AH6" s="63">
        <v>14.74</v>
      </c>
      <c r="AI6" s="63">
        <v>0</v>
      </c>
      <c r="AJ6" s="74"/>
      <c r="AK6" s="12">
        <f>IF(AB6&gt;0,AB6,"")</f>
        <v>13.1</v>
      </c>
      <c r="AL6" s="12">
        <f>IF(SUM(U6:X6)-Y6&gt;0,SUM(U6:X6)-Y6,"")</f>
        <v>45.015000000000001</v>
      </c>
      <c r="AM6" s="12">
        <f>IF(SUM(Z6:AC6)-AD6&gt;0,SUM(Z6:AC6)-AD6,"")</f>
        <v>50.305</v>
      </c>
      <c r="AN6" s="12">
        <f>IF(SUM(AL6:AM6)&gt;0,SUM(AL6:AM6),"")</f>
        <v>95.32</v>
      </c>
      <c r="AO6" s="12">
        <f>IF(AG6&gt;0,AG6,"")</f>
        <v>13.1</v>
      </c>
      <c r="AP6" s="12">
        <f>IF(SUM(AE6:AH6)-AI6&gt;0,SUM(AE6:AH6)-AI6,"")</f>
        <v>50.39</v>
      </c>
      <c r="AQ6" s="12">
        <f>IF(SUM(AN6,AP6)&gt;0,SUM(AN6,AP6),"")</f>
        <v>145.70999999999998</v>
      </c>
      <c r="AR6" s="69">
        <v>15.4</v>
      </c>
      <c r="AS6" s="69">
        <v>9.4499999999999993</v>
      </c>
      <c r="AT6" s="69">
        <v>5</v>
      </c>
      <c r="AU6" s="69">
        <v>15.52</v>
      </c>
      <c r="AV6" s="69">
        <v>0</v>
      </c>
      <c r="AW6" s="69">
        <v>14</v>
      </c>
      <c r="AX6" s="69">
        <v>9.65</v>
      </c>
      <c r="AY6" s="69">
        <v>13.5</v>
      </c>
      <c r="AZ6" s="69">
        <v>15.01</v>
      </c>
      <c r="BA6" s="69">
        <v>0</v>
      </c>
      <c r="BB6" s="69">
        <v>13</v>
      </c>
      <c r="BC6" s="69">
        <v>8.9499999999999993</v>
      </c>
      <c r="BD6" s="69">
        <v>11.9</v>
      </c>
      <c r="BE6" s="69">
        <v>14.755000000000001</v>
      </c>
      <c r="BF6" s="69">
        <v>0</v>
      </c>
      <c r="BG6" s="75"/>
      <c r="BH6" s="15">
        <f>IF(AY6&gt;0,AY6,"")</f>
        <v>13.5</v>
      </c>
      <c r="BI6" s="15">
        <f>IF(SUM(AR6:AU6)-AV6&gt;0,SUM(AR6:AU6)-AV6,"")</f>
        <v>45.370000000000005</v>
      </c>
      <c r="BJ6" s="15">
        <f>IF(SUM(AW6:AZ6)-BA6&gt;0,SUM(AW6:AZ6)-BA6,"")</f>
        <v>52.16</v>
      </c>
      <c r="BK6" s="15">
        <f>IF(SUM(BI6:BJ6)&gt;0,SUM(BI6:BJ6),"")</f>
        <v>97.53</v>
      </c>
      <c r="BL6" s="15">
        <f>IF(BD6&gt;0,BD6,"")</f>
        <v>11.9</v>
      </c>
      <c r="BM6" s="15">
        <f>IF(SUM(BB6:BE6)-BF6&gt;0,SUM(BB6:BE6)-BF6,"")</f>
        <v>48.605000000000004</v>
      </c>
      <c r="BN6" s="15">
        <f>IF(SUM(BK6,BM6)&gt;0,SUM(BK6,BM6),"")</f>
        <v>146.13499999999999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16.05</v>
      </c>
      <c r="LX6" s="63">
        <f t="shared" si="8"/>
        <v>9.6499999999999986</v>
      </c>
      <c r="LY6" s="63">
        <f t="shared" si="9"/>
        <v>3.85</v>
      </c>
      <c r="LZ6" s="63">
        <f t="shared" si="10"/>
        <v>15.6425</v>
      </c>
      <c r="MA6" s="63">
        <f t="shared" si="11"/>
        <v>0</v>
      </c>
      <c r="MB6" s="63">
        <f t="shared" si="12"/>
        <v>13.75</v>
      </c>
      <c r="MC6" s="63">
        <f t="shared" si="13"/>
        <v>9.3249999999999993</v>
      </c>
      <c r="MD6" s="63">
        <f t="shared" si="14"/>
        <v>13.3</v>
      </c>
      <c r="ME6" s="63">
        <f t="shared" si="15"/>
        <v>14.8575</v>
      </c>
      <c r="MF6" s="63">
        <f t="shared" si="16"/>
        <v>0</v>
      </c>
      <c r="MG6" s="63">
        <f t="shared" si="17"/>
        <v>13.2</v>
      </c>
      <c r="MH6" s="63">
        <f t="shared" si="18"/>
        <v>9.0500000000000007</v>
      </c>
      <c r="MI6" s="63">
        <f t="shared" si="19"/>
        <v>12.5</v>
      </c>
      <c r="MJ6" s="63">
        <f t="shared" si="20"/>
        <v>14.7475</v>
      </c>
      <c r="MK6" s="63">
        <f t="shared" si="21"/>
        <v>0</v>
      </c>
      <c r="ML6" s="74" t="s">
        <v>119</v>
      </c>
      <c r="MM6" s="12">
        <f t="shared" si="22"/>
        <v>13.3</v>
      </c>
      <c r="MN6" s="12">
        <f t="shared" si="23"/>
        <v>45.192500000000003</v>
      </c>
      <c r="MO6" s="12">
        <f t="shared" si="24"/>
        <v>51.232500000000002</v>
      </c>
      <c r="MP6" s="12">
        <f t="shared" si="25"/>
        <v>96.425000000000011</v>
      </c>
      <c r="MQ6" s="12">
        <f t="shared" si="26"/>
        <v>12.5</v>
      </c>
      <c r="MR6" s="12">
        <f t="shared" si="27"/>
        <v>49.497500000000002</v>
      </c>
      <c r="MS6" s="12">
        <f t="shared" si="28"/>
        <v>145.92250000000001</v>
      </c>
    </row>
    <row r="7" spans="1:357" x14ac:dyDescent="0.2">
      <c r="A7" s="6" t="str">
        <f>IF(AND(F7="P",H7="P"),SUMPRODUCT((F$4:F$24="P")*(H$4:H$24="P")*(E$4:E$24&gt;E7))+1,IF(H7="P",SUMPRODUCT((F$4:F$24="")*(H$4:H$24="P")*(E$4:E$24&gt;E7))+1+SUMPRODUCT((F$4:F$24="P")*(H$4:H$24="P")),""))</f>
        <v/>
      </c>
      <c r="B7" s="7" t="s">
        <v>88</v>
      </c>
      <c r="C7" s="8" t="s">
        <v>3</v>
      </c>
      <c r="D7" s="27">
        <v>2002</v>
      </c>
      <c r="E7" s="16">
        <f>SUM(J7:R7)</f>
        <v>237.565</v>
      </c>
      <c r="F7" s="4" t="str">
        <f>IF(OR(AND($AK7&gt;=$AL$26,NOT($AK7=""),$AJ7=""),AND($BH7&gt;=$BI$26,NOT($BH7=""),$BG7=""),AND($CH7&gt;=$CI$26,NOT($CH7="")),AND($DD7&gt;=$DE$26,NOT($DD7="")),AND($DZ7&gt;=$EA$26,NOT($DZ7="")),AND($EV7&gt;=$EW$26,NOT($EV7="")),AND($FR7&gt;=$FS$26,NOT($FR7="")),AND($GN7&gt;=$GO$26,NOT($GN7="")),AND($HJ7&gt;=$HK$26,NOT($HJ7="")),AND($IF7&gt;=$IG$26,NOT($IF7="")),AND($JB7&gt;=$JC$26,NOT($JB7="")),AND($JX7&gt;=$JY$26,NOT($JX7="")),AND($KT7&gt;=$KU$26,NOT($KT7="")),AND($LP7&gt;=$LQ$26,NOT($LP7=""))),"P","")</f>
        <v>P</v>
      </c>
      <c r="G7" s="4" t="str">
        <f>IF(OR(AND($AK7&gt;=$AL$27,NOT($AK7=""),$AJ7=""),AND($BH7&gt;=$BI$27,NOT($BH7=""),$BG7=""),AND($CH7&gt;=$CI$27,NOT($CH7="")),AND($DD7&gt;=$DE$27,NOT($DD7="")),AND($DZ7&gt;=$EA$27,NOT($DZ7="")),AND($EV7&gt;=$EW$27,NOT($EV7="")),AND($FR7&gt;=$FS$27,NOT($FR7="")),AND($GN7&gt;=$GO$27,NOT($GN7="")),AND($HJ7&gt;=$HK$27,NOT($HJ7="")),AND($IF7&gt;=$IG$27,NOT($IF7="")),AND($JB7&gt;=$JC$27,NOT($JB7="")),AND($JX7&gt;=$JY$27,NOT($JX7="")),AND($KT7&gt;=$KU$27,NOT($KT7="")),AND($LP7&gt;=$LQ$27,NOT($LP7=""))),"P","")</f>
        <v>P</v>
      </c>
      <c r="H7" s="4" t="str">
        <f>IF(OR(AND($AN7&gt;=$AL$28,NOT($AN7=""),$AJ7=""),AND($BK7&gt;=$BI$28,NOT($BK7=""),$BG7=""),AND($CK7&gt;=$CI$28,NOT($CK7="")),AND($DG7&gt;=$DE$28,NOT($DG7="")),AND($EC7&gt;=$EA$28,NOT($EC7="")),AND($EY7&gt;=$EW$28,NOT($EY7="")),AND($FU7&gt;=$FS$28,NOT($FU7="")),AND($GQ7&gt;=$GO$28,NOT($GQ7="")),AND($HM7&gt;=$HK$28,NOT($HM7="")),AND($II7&gt;=$IG$28,NOT($II7="")),AND($JE7&gt;=$JC$28,NOT($JE7="")),AND($KA7&gt;=$JY$28,NOT($KA7="")),AND($KW7&gt;=$KU$28,NOT($KW7="")),AND($LS7&gt;=$LQ$28,NOT($LS7=""))),"P","")</f>
        <v/>
      </c>
      <c r="I7" t="str">
        <f>IF(AND(H7="P",F7=""),"No DD",IF(AND(G7="P",OR(AND($AM7&gt;$AL$31,NOT($AM7=""),$AJ7=""),AND($AP7&gt;$AL$31,NOT($AP7=""),$AJ7=""),AND($BJ7&gt;$BI$31,NOT($BJ7=""),$BG7=""),AND($BM7&gt;$BI$31,NOT($BM7=""),$BG7=""),AND($CJ7&gt;$CI$31,NOT($CJ7="")),AND($CM7&gt;$CI$31,NOT($CM7="")),AND($DF7&gt;$DE$31,NOT($DF7="")),AND($DI7&gt;$DE$31,NOT($DI7="")),AND($EB7&gt;$EA$31,NOT($EB7="")),AND($EE7&gt;$EA$31,NOT($EE7="")),AND($EX7&gt;$EW$31,NOT($EX7="")),AND($FA7&gt;$EW$31,NOT($FA7="")),AND($FT7&gt;$FS$31,NOT($FT7="")),AND($FW7&gt;$FS$31,NOT($FW7="")),AND($GP7&gt;$GO$31,NOT($GP7="")),AND($GS7&gt;$GO$31,NOT($GS7="")),AND($HL7&gt;$HK$31,NOT($HL7="")),AND($HO7&gt;$HK$31,NOT($HO7="")),AND($IH7&gt;$IG$31,NOT($IH7="")),AND($IK7&gt;$IG$31,NOT($IK7="")),AND($JD7&gt;$JC$31,NOT($JD7="")),AND($JG7&gt;$JC$31,NOT($JG7="")),AND($JZ7&gt;$JY$31,NOT($JZ7="")),AND($KC7&gt;$JY$31,NOT($KC7="")),AND($KV7&gt;$KU$31,NOT($KV7="")),AND($KY7&gt;$KU$31,NOT($KY7="")),AND($LR7&gt;$LQ$31,NOT($LR7="")),AND($LU7&gt;$LQ$31,NOT($LU7="")))),"Merit",IF(AND(G7="P",OR(AND($AN7&gt;$AL$30,NOT($AN7=""),$AJ7=""),AND($BK7&gt;$BI$30,NOT($BK7=""),$BG7=""),AND($CK7&gt;$CI$30,NOT($CK7="")),AND($DG7&gt;$DE$30,NOT($DG7="")),AND($EC7&gt;$EA$30,NOT($EC7="")),AND($EY7&gt;$EW$30,NOT($EY7="")),AND($FU7&gt;$FS$30,NOT($FU7="")),AND($GQ7&gt;$GO$30,NOT($GQ7="")),AND($HM7&gt;$HK$30,NOT($HM7="")),AND($II7&gt;$IG$30,NOT($II7="")),AND($JE7&gt;$JC$30,NOT($JE7="")),AND($KA7&gt;$JY$30,NOT($KA7="")),AND($KW7&gt;$KU$30,NOT($KW7="")),AND($LS7&gt;$LQ$30,NOT($LS7="")))),"Excellence",IF(AND(G7="P",OR(AND($AN7&gt;$AL$29,NOT($AN7=""),$AJ7=""),AND($BK7&gt;$BI$29,NOT($BK7=""),$BG7=""),AND($CK7&gt;$CI$29,NOT($CK7="")),AND($DG7&gt;$DE$29,NOT($DG7="")),AND($EC7&gt;$EA$29,NOT($EC7="")),AND($EY7&gt;$EW$29,NOT($EY7="")),AND($FU7&gt;$FS$29,NOT($FU7="")),AND($GQ7&gt;$GO$29,NOT($GQ7="")),AND($HM7&gt;$HK$29,NOT($HM7="")),AND($II7&gt;$IG$29,NOT($II7="")),AND($JE7&gt;$JC$29,NOT($JE7="")),AND($KA7&gt;$JY$29,NOT($KA7="")),AND($KW7&gt;$KU$29,NOT($KW7="")),AND($LS7&gt;$LQ$29,NOT($LS7="")))),"Worlds Team",IF(AND(F7="P",OR(AND($AN7&gt;$AL$28,NOT($AN7=""),$AJ7=""),AND($BK7&gt;$BI$28,NOT($BK7=""),$BG7=""),AND($CK7&gt;$CI$28,NOT($CK7="")),AND($DG7&gt;$DE$28,NOT($DG7="")),AND($EC7&gt;$EA$28,NOT($EC7="")),AND($EY7&gt;$EW$28,NOT($EY7="")),AND($FU7&gt;$FS$28,NOT($FU7="")),AND($GQ7&gt;$GO$28,NOT($GQ7="")),AND($HM7&gt;$HK$28,NOT($HM7="")),AND($II7&gt;$IG$28,NOT($II7="")),AND($JE7&gt;$JC$28,NOT($JE7="")),AND($KA7&gt;$JY$28,NOT($KA7="")),AND($KW7&gt;$KU$28,NOT($KW7="")),AND($LS7&gt;$LQ$28,NOT($LS7="")))),"National Team","")))))</f>
        <v/>
      </c>
      <c r="J7" s="15">
        <f>IF(MAX(AN7,BK7)&gt;0,MAX(AN7,BK7),"")</f>
        <v>94.224999999999994</v>
      </c>
      <c r="K7" s="15" t="str">
        <f>IF(J7="","",IF(J7=BK7,$AR$1,IF(J7=AN7,$U$1,"")))</f>
        <v>2018 Nationals</v>
      </c>
      <c r="L7" s="15">
        <f>IF($J7=$AN7,BI7,IF($J7=$BK7,AL7,MAX(AL7,BI7)))</f>
        <v>35.47</v>
      </c>
      <c r="M7" s="15" t="str">
        <f>IF(L7="","",IF(AND(L7=BI7,$K7&lt;&gt;$AR$1),$AR$1,IF(AND(L7=AL7,$K7&lt;&gt;$U$1),$U$1,"")))</f>
        <v>2019 Elite Canada</v>
      </c>
      <c r="N7" s="15">
        <f>IF($J7=$AN7,BJ7,IF($J7=$BK7,AM7,MAX(AM7,BJ7)))</f>
        <v>51.364999999999995</v>
      </c>
      <c r="O7" s="15" t="str">
        <f>IF(N7="","",IF(AND(N7=BJ7,$K7&lt;&gt;$AR$1),$AR$1,IF(AND(N7=AM7,$K7&lt;&gt;$U$1),$U$1,"")))</f>
        <v>2019 Elite Canada</v>
      </c>
      <c r="P7" s="15">
        <f>IF(MAX(AP7,BM7)&gt;0,MAX(AP7,BM7),"")</f>
        <v>50.814999999999998</v>
      </c>
      <c r="Q7" s="15" t="str">
        <f>IF(P7="","",IF(P7=BM7,$AR$1,IF(P7=AP7,$U$1,"")))</f>
        <v>2018 Nationals</v>
      </c>
      <c r="R7" s="15">
        <f>IF(MAX(BO7,BP7,BQ7,BR7)&gt;0,MAX(BO7,BP7,BQ7,BR7),"")</f>
        <v>5.6899999999999977</v>
      </c>
      <c r="S7" s="25" t="str">
        <f>IF(R7="","",IF(R7=BO7,"(Vol 1)",IF(R7=BP7,"(Vol 2)",IF(R7=BQ7,"(Prelim)",IF(R7=BR7,"(Final)")))))</f>
        <v>(Vol 1)</v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>2018 World Age Groups (Nov 18)</v>
      </c>
      <c r="U7" s="63">
        <v>15.5</v>
      </c>
      <c r="V7" s="63">
        <v>8.85</v>
      </c>
      <c r="W7" s="63">
        <v>3.2</v>
      </c>
      <c r="X7" s="63">
        <v>15.925000000000001</v>
      </c>
      <c r="Y7" s="63">
        <v>0</v>
      </c>
      <c r="Z7" s="63">
        <v>14.3</v>
      </c>
      <c r="AA7" s="63">
        <v>9.35</v>
      </c>
      <c r="AB7" s="63">
        <v>12</v>
      </c>
      <c r="AC7" s="63">
        <v>15.1</v>
      </c>
      <c r="AD7" s="63">
        <v>0</v>
      </c>
      <c r="AE7" s="63">
        <v>14.2</v>
      </c>
      <c r="AF7" s="63">
        <v>9.1</v>
      </c>
      <c r="AG7" s="63">
        <v>12</v>
      </c>
      <c r="AH7" s="63">
        <v>15.515000000000001</v>
      </c>
      <c r="AI7" s="63">
        <v>0</v>
      </c>
      <c r="AJ7" s="74"/>
      <c r="AK7" s="12">
        <f>IF(AB7&gt;0,AB7,"")</f>
        <v>12</v>
      </c>
      <c r="AL7" s="12">
        <f>IF(SUM(U7:X7)-Y7&gt;0,SUM(U7:X7)-Y7,"")</f>
        <v>43.475000000000001</v>
      </c>
      <c r="AM7" s="12">
        <f>IF(SUM(Z7:AC7)-AD7&gt;0,SUM(Z7:AC7)-AD7,"")</f>
        <v>50.75</v>
      </c>
      <c r="AN7" s="12">
        <f>IF(SUM(AL7:AM7)&gt;0,SUM(AL7:AM7),"")</f>
        <v>94.224999999999994</v>
      </c>
      <c r="AO7" s="12">
        <f>IF(AG7&gt;0,AG7,"")</f>
        <v>12</v>
      </c>
      <c r="AP7" s="12">
        <f>IF(SUM(AE7:AH7)-AI7&gt;0,SUM(AE7:AH7)-AI7,"")</f>
        <v>50.814999999999998</v>
      </c>
      <c r="AQ7" s="12">
        <f>IF(SUM(AN7,AP7)&gt;0,SUM(AN7,AP7),"")</f>
        <v>145.04</v>
      </c>
      <c r="AR7" s="69">
        <v>12.9</v>
      </c>
      <c r="AS7" s="69">
        <v>7.3</v>
      </c>
      <c r="AT7" s="69">
        <v>1.9</v>
      </c>
      <c r="AU7" s="69">
        <v>13.37</v>
      </c>
      <c r="AV7" s="69">
        <v>0</v>
      </c>
      <c r="AW7" s="69">
        <v>13.1</v>
      </c>
      <c r="AX7" s="69">
        <v>8.9499999999999993</v>
      </c>
      <c r="AY7" s="69">
        <v>13.5</v>
      </c>
      <c r="AZ7" s="69">
        <v>15.815</v>
      </c>
      <c r="BA7" s="69">
        <v>0</v>
      </c>
      <c r="BB7" s="69">
        <v>13.7</v>
      </c>
      <c r="BC7" s="69">
        <v>8.15</v>
      </c>
      <c r="BD7" s="69">
        <v>11.9</v>
      </c>
      <c r="BE7" s="69">
        <v>14.154999999999999</v>
      </c>
      <c r="BF7" s="69">
        <v>0</v>
      </c>
      <c r="BG7" s="75"/>
      <c r="BH7" s="15">
        <f>IF(AY7&gt;0,AY7,"")</f>
        <v>13.5</v>
      </c>
      <c r="BI7" s="15">
        <f>IF(SUM(AR7:AU7)-AV7&gt;0,SUM(AR7:AU7)-AV7,"")</f>
        <v>35.47</v>
      </c>
      <c r="BJ7" s="15">
        <f>IF(SUM(AW7:AZ7)-BA7&gt;0,SUM(AW7:AZ7)-BA7,"")</f>
        <v>51.364999999999995</v>
      </c>
      <c r="BK7" s="15">
        <f>IF(SUM(BI7:BJ7)&gt;0,SUM(BI7:BJ7),"")</f>
        <v>86.834999999999994</v>
      </c>
      <c r="BL7" s="15">
        <f>IF(BD7&gt;0,BD7,"")</f>
        <v>11.9</v>
      </c>
      <c r="BM7" s="15">
        <f>IF(SUM(BB7:BE7)-BF7&gt;0,SUM(BB7:BE7)-BF7,"")</f>
        <v>47.905000000000001</v>
      </c>
      <c r="BN7" s="15">
        <f>IF(SUM(BK7,BM7)&gt;0,SUM(BK7,BM7),"")</f>
        <v>134.74</v>
      </c>
      <c r="BO7" s="24">
        <f>IF(MAX(CI7,DE7,EA7,EW7,FS7,GO7,HK7,IG7,JC7,JY7,KU7,LQ7)-IF(L7="",0,L7)&gt;0.001,MAX(CI7,DE7,EA7,EW7,FS7,GO7,HK7,IG7,JC7,JY7,KU7,LQ7)-IF(L7="",0,L7),"")</f>
        <v>5.6899999999999977</v>
      </c>
      <c r="BP7" s="24">
        <f>IF(MAX(CJ7,DF7,EB7,EX7,FT7,GP7,HL7,IH7,JD7,JZ7,KV7,LR7)-IF(N7="",0,N7)&gt;0.001,MAX(CJ7,DF7,EB7,EX7,FT7,GP7,HL7,IH7,JD7,JZ7,KV7,LR7)-IF(N7="",0,N7),"")</f>
        <v>0.67000000000000881</v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>
        <v>15.8</v>
      </c>
      <c r="EH7" s="37">
        <v>9.5</v>
      </c>
      <c r="EI7" s="37">
        <v>0</v>
      </c>
      <c r="EJ7" s="37">
        <v>15.86</v>
      </c>
      <c r="EK7" s="37">
        <v>0</v>
      </c>
      <c r="EL7" s="37">
        <v>14.1</v>
      </c>
      <c r="EM7" s="37">
        <v>9.4</v>
      </c>
      <c r="EN7" s="37">
        <v>13.1</v>
      </c>
      <c r="EO7" s="37">
        <v>15.435</v>
      </c>
      <c r="EP7" s="37">
        <v>0</v>
      </c>
      <c r="EQ7" s="37"/>
      <c r="ER7" s="37"/>
      <c r="ES7" s="37"/>
      <c r="ET7" s="37"/>
      <c r="EU7" s="37"/>
      <c r="EV7" s="15">
        <f>IF(EN7&gt;0,EN7,"")</f>
        <v>13.1</v>
      </c>
      <c r="EW7" s="15">
        <f>IF(SUM(EG7:EJ7)-EK7&gt;0,SUM(EG7:EJ7)-EK7,"")</f>
        <v>41.16</v>
      </c>
      <c r="EX7" s="15">
        <f>IF(SUM(EL7:EO7)-EP7&gt;0,SUM(EL7:EO7)-EP7,"")</f>
        <v>52.035000000000004</v>
      </c>
      <c r="EY7" s="15">
        <f>IF(SUM(EW7:EX7)&gt;0,SUM(EW7:EX7),"")</f>
        <v>93.194999999999993</v>
      </c>
      <c r="EZ7" s="15" t="str">
        <f>IF(ES7&gt;0,ES7,"")</f>
        <v/>
      </c>
      <c r="FA7" s="15" t="str">
        <f>IF(SUM(EQ7:ET7)-EU7&gt;0,SUM(EQ7:ET7)-EU7,"")</f>
        <v/>
      </c>
      <c r="FB7" s="15">
        <f>IF(SUM(EY7,FA7)&gt;0,SUM(EY7,FA7),"")</f>
        <v>93.194999999999993</v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14.2</v>
      </c>
      <c r="LX7" s="63">
        <f t="shared" si="8"/>
        <v>8.0749999999999993</v>
      </c>
      <c r="LY7" s="63">
        <f t="shared" si="9"/>
        <v>2.5499999999999998</v>
      </c>
      <c r="LZ7" s="63">
        <f t="shared" si="10"/>
        <v>14.647500000000001</v>
      </c>
      <c r="MA7" s="63">
        <f t="shared" si="11"/>
        <v>0</v>
      </c>
      <c r="MB7" s="63">
        <f t="shared" si="12"/>
        <v>13.7</v>
      </c>
      <c r="MC7" s="63">
        <f t="shared" si="13"/>
        <v>9.1499999999999986</v>
      </c>
      <c r="MD7" s="63">
        <f t="shared" si="14"/>
        <v>12.75</v>
      </c>
      <c r="ME7" s="63">
        <f t="shared" si="15"/>
        <v>15.4575</v>
      </c>
      <c r="MF7" s="63">
        <f t="shared" si="16"/>
        <v>0</v>
      </c>
      <c r="MG7" s="63">
        <f t="shared" si="17"/>
        <v>13.95</v>
      </c>
      <c r="MH7" s="63">
        <f t="shared" si="18"/>
        <v>8.625</v>
      </c>
      <c r="MI7" s="63">
        <f t="shared" si="19"/>
        <v>11.95</v>
      </c>
      <c r="MJ7" s="63">
        <f t="shared" si="20"/>
        <v>14.835000000000001</v>
      </c>
      <c r="MK7" s="63">
        <f t="shared" si="21"/>
        <v>0</v>
      </c>
      <c r="ML7" s="74" t="s">
        <v>119</v>
      </c>
      <c r="MM7" s="12">
        <f t="shared" si="22"/>
        <v>12.75</v>
      </c>
      <c r="MN7" s="12">
        <f t="shared" si="23"/>
        <v>39.472499999999997</v>
      </c>
      <c r="MO7" s="12">
        <f t="shared" si="24"/>
        <v>51.05749999999999</v>
      </c>
      <c r="MP7" s="12">
        <f t="shared" si="25"/>
        <v>90.529999999999987</v>
      </c>
      <c r="MQ7" s="12">
        <f t="shared" si="26"/>
        <v>11.95</v>
      </c>
      <c r="MR7" s="12">
        <f t="shared" si="27"/>
        <v>49.36</v>
      </c>
      <c r="MS7" s="12">
        <f t="shared" si="28"/>
        <v>139.88999999999999</v>
      </c>
    </row>
    <row r="8" spans="1:357" x14ac:dyDescent="0.2">
      <c r="A8" s="6">
        <f>IF(AND(F8="P",H8="P"),SUMPRODUCT((F$4:F$24="P")*(H$4:H$24="P")*(E$4:E$24&gt;E8))+1,IF(H8="P",SUMPRODUCT((F$4:F$24="")*(H$4:H$24="P")*(E$4:E$24&gt;E8))+1+SUMPRODUCT((F$4:F$24="P")*(H$4:H$24="P")),""))</f>
        <v>3</v>
      </c>
      <c r="B8" s="7" t="s">
        <v>123</v>
      </c>
      <c r="C8" s="8" t="s">
        <v>3</v>
      </c>
      <c r="D8" s="27">
        <v>2003</v>
      </c>
      <c r="E8" s="16">
        <f>SUM(J8:R8)</f>
        <v>217.54999999999998</v>
      </c>
      <c r="F8" s="4" t="str">
        <f>IF(OR(AND($AK8&gt;=$AL$26,NOT($AK8=""),$AJ8=""),AND($BH8&gt;=$BI$26,NOT($BH8=""),$BG8=""),AND($CH8&gt;=$CI$26,NOT($CH8="")),AND($DD8&gt;=$DE$26,NOT($DD8="")),AND($DZ8&gt;=$EA$26,NOT($DZ8="")),AND($EV8&gt;=$EW$26,NOT($EV8="")),AND($FR8&gt;=$FS$26,NOT($FR8="")),AND($GN8&gt;=$GO$26,NOT($GN8="")),AND($HJ8&gt;=$HK$26,NOT($HJ8="")),AND($IF8&gt;=$IG$26,NOT($IF8="")),AND($JB8&gt;=$JC$26,NOT($JB8="")),AND($JX8&gt;=$JY$26,NOT($JX8="")),AND($KT8&gt;=$KU$26,NOT($KT8="")),AND($LP8&gt;=$LQ$26,NOT($LP8=""))),"P","")</f>
        <v>P</v>
      </c>
      <c r="G8" s="4" t="str">
        <f>IF(OR(AND($AK8&gt;=$AL$27,NOT($AK8=""),$AJ8=""),AND($BH8&gt;=$BI$27,NOT($BH8=""),$BG8=""),AND($CH8&gt;=$CI$27,NOT($CH8="")),AND($DD8&gt;=$DE$27,NOT($DD8="")),AND($DZ8&gt;=$EA$27,NOT($DZ8="")),AND($EV8&gt;=$EW$27,NOT($EV8="")),AND($FR8&gt;=$FS$27,NOT($FR8="")),AND($GN8&gt;=$GO$27,NOT($GN8="")),AND($HJ8&gt;=$HK$27,NOT($HJ8="")),AND($IF8&gt;=$IG$27,NOT($IF8="")),AND($JB8&gt;=$JC$27,NOT($JB8="")),AND($JX8&gt;=$JY$27,NOT($JX8="")),AND($KT8&gt;=$KU$27,NOT($KT8="")),AND($LP8&gt;=$LQ$27,NOT($LP8=""))),"P","")</f>
        <v>P</v>
      </c>
      <c r="H8" s="4" t="str">
        <f>IF(OR(AND($AN8&gt;=$AL$28,NOT($AN8=""),$AJ8=""),AND($BK8&gt;=$BI$28,NOT($BK8=""),$BG8=""),AND($CK8&gt;=$CI$28,NOT($CK8="")),AND($DG8&gt;=$DE$28,NOT($DG8="")),AND($EC8&gt;=$EA$28,NOT($EC8="")),AND($EY8&gt;=$EW$28,NOT($EY8="")),AND($FU8&gt;=$FS$28,NOT($FU8="")),AND($GQ8&gt;=$GO$28,NOT($GQ8="")),AND($HM8&gt;=$HK$28,NOT($HM8="")),AND($II8&gt;=$IG$28,NOT($II8="")),AND($JE8&gt;=$JC$28,NOT($JE8="")),AND($KA8&gt;=$JY$28,NOT($KA8="")),AND($KW8&gt;=$KU$28,NOT($KW8="")),AND($LS8&gt;=$LQ$28,NOT($LS8=""))),"P","")</f>
        <v>P</v>
      </c>
      <c r="I8" t="str">
        <f>IF(AND(H8="P",F8=""),"No DD",IF(AND(G8="P",OR(AND($AM8&gt;$AL$31,NOT($AM8=""),$AJ8=""),AND($AP8&gt;$AL$31,NOT($AP8=""),$AJ8=""),AND($BJ8&gt;$BI$31,NOT($BJ8=""),$BG8=""),AND($BM8&gt;$BI$31,NOT($BM8=""),$BG8=""),AND($CJ8&gt;$CI$31,NOT($CJ8="")),AND($CM8&gt;$CI$31,NOT($CM8="")),AND($DF8&gt;$DE$31,NOT($DF8="")),AND($DI8&gt;$DE$31,NOT($DI8="")),AND($EB8&gt;$EA$31,NOT($EB8="")),AND($EE8&gt;$EA$31,NOT($EE8="")),AND($EX8&gt;$EW$31,NOT($EX8="")),AND($FA8&gt;$EW$31,NOT($FA8="")),AND($FT8&gt;$FS$31,NOT($FT8="")),AND($FW8&gt;$FS$31,NOT($FW8="")),AND($GP8&gt;$GO$31,NOT($GP8="")),AND($GS8&gt;$GO$31,NOT($GS8="")),AND($HL8&gt;$HK$31,NOT($HL8="")),AND($HO8&gt;$HK$31,NOT($HO8="")),AND($IH8&gt;$IG$31,NOT($IH8="")),AND($IK8&gt;$IG$31,NOT($IK8="")),AND($JD8&gt;$JC$31,NOT($JD8="")),AND($JG8&gt;$JC$31,NOT($JG8="")),AND($JZ8&gt;$JY$31,NOT($JZ8="")),AND($KC8&gt;$JY$31,NOT($KC8="")),AND($KV8&gt;$KU$31,NOT($KV8="")),AND($KY8&gt;$KU$31,NOT($KY8="")),AND($LR8&gt;$LQ$31,NOT($LR8="")),AND($LU8&gt;$LQ$31,NOT($LU8="")))),"Merit",IF(AND(G8="P",OR(AND($AN8&gt;$AL$30,NOT($AN8=""),$AJ8=""),AND($BK8&gt;$BI$30,NOT($BK8=""),$BG8=""),AND($CK8&gt;$CI$30,NOT($CK8="")),AND($DG8&gt;$DE$30,NOT($DG8="")),AND($EC8&gt;$EA$30,NOT($EC8="")),AND($EY8&gt;$EW$30,NOT($EY8="")),AND($FU8&gt;$FS$30,NOT($FU8="")),AND($GQ8&gt;$GO$30,NOT($GQ8="")),AND($HM8&gt;$HK$30,NOT($HM8="")),AND($II8&gt;$IG$30,NOT($II8="")),AND($JE8&gt;$JC$30,NOT($JE8="")),AND($KA8&gt;$JY$30,NOT($KA8="")),AND($KW8&gt;$KU$30,NOT($KW8="")),AND($LS8&gt;$LQ$30,NOT($LS8="")))),"Excellence",IF(AND(G8="P",OR(AND($AN8&gt;$AL$29,NOT($AN8=""),$AJ8=""),AND($BK8&gt;$BI$29,NOT($BK8=""),$BG8=""),AND($CK8&gt;$CI$29,NOT($CK8="")),AND($DG8&gt;$DE$29,NOT($DG8="")),AND($EC8&gt;$EA$29,NOT($EC8="")),AND($EY8&gt;$EW$29,NOT($EY8="")),AND($FU8&gt;$FS$29,NOT($FU8="")),AND($GQ8&gt;$GO$29,NOT($GQ8="")),AND($HM8&gt;$HK$29,NOT($HM8="")),AND($II8&gt;$IG$29,NOT($II8="")),AND($JE8&gt;$JC$29,NOT($JE8="")),AND($KA8&gt;$JY$29,NOT($KA8="")),AND($KW8&gt;$KU$29,NOT($KW8="")),AND($LS8&gt;$LQ$29,NOT($LS8="")))),"Worlds Team",IF(AND(F8="P",OR(AND($AN8&gt;$AL$28,NOT($AN8=""),$AJ8=""),AND($BK8&gt;$BI$28,NOT($BK8=""),$BG8=""),AND($CK8&gt;$CI$28,NOT($CK8="")),AND($DG8&gt;$DE$28,NOT($DG8="")),AND($EC8&gt;$EA$28,NOT($EC8="")),AND($EY8&gt;$EW$28,NOT($EY8="")),AND($FU8&gt;$FS$28,NOT($FU8="")),AND($GQ8&gt;$GO$28,NOT($GQ8="")),AND($HM8&gt;$HK$28,NOT($HM8="")),AND($II8&gt;$IG$28,NOT($II8="")),AND($JE8&gt;$JC$28,NOT($JE8="")),AND($KA8&gt;$JY$28,NOT($KA8="")),AND($KW8&gt;$KU$28,NOT($KW8="")),AND($LS8&gt;$LQ$28,NOT($LS8="")))),"National Team","")))))</f>
        <v>National Team</v>
      </c>
      <c r="J8" s="15">
        <f>IF(MAX(AN8,BK8)&gt;0,MAX(AN8,BK8),"")</f>
        <v>98.37</v>
      </c>
      <c r="K8" s="15" t="str">
        <f>IF(J8="","",IF(J8=BK8,$AR$1,IF(J8=AN8,$U$1,"")))</f>
        <v>2019 Elite Canada</v>
      </c>
      <c r="L8" s="15">
        <f>IF($J8=$AN8,BI8,IF($J8=$BK8,AL8,MAX(AL8,BI8)))</f>
        <v>43.164999999999999</v>
      </c>
      <c r="M8" s="15" t="str">
        <f>IF(L8="","",IF(AND(L8=BI8,$K8&lt;&gt;$AR$1),$AR$1,IF(AND(L8=AL8,$K8&lt;&gt;$U$1),$U$1,"")))</f>
        <v>2018 Nationals</v>
      </c>
      <c r="N8" s="15">
        <f>IF($J8=$AN8,BJ8,IF($J8=$BK8,AM8,MAX(AM8,BJ8)))</f>
        <v>24.509999999999998</v>
      </c>
      <c r="O8" s="15" t="str">
        <f>IF(N8="","",IF(AND(N8=BJ8,$K8&lt;&gt;$AR$1),$AR$1,IF(AND(N8=AM8,$K8&lt;&gt;$U$1),$U$1,"")))</f>
        <v>2018 Nationals</v>
      </c>
      <c r="P8" s="15">
        <f>IF(MAX(AP8,BM8)&gt;0,MAX(AP8,BM8),"")</f>
        <v>51.505000000000003</v>
      </c>
      <c r="Q8" s="15" t="str">
        <f>IF(P8="","",IF(P8=BM8,$AR$1,IF(P8=AP8,$U$1,"")))</f>
        <v>2019 Elite Canada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63">
        <v>15</v>
      </c>
      <c r="V8" s="63">
        <v>8.6999999999999993</v>
      </c>
      <c r="W8" s="63">
        <v>4.0999999999999996</v>
      </c>
      <c r="X8" s="63">
        <v>15.365</v>
      </c>
      <c r="Y8" s="63">
        <v>0</v>
      </c>
      <c r="Z8" s="63">
        <v>6.1</v>
      </c>
      <c r="AA8" s="63">
        <v>4.0999999999999996</v>
      </c>
      <c r="AB8" s="63">
        <v>6.7</v>
      </c>
      <c r="AC8" s="63">
        <v>7.61</v>
      </c>
      <c r="AD8" s="63">
        <v>0</v>
      </c>
      <c r="AE8" s="63"/>
      <c r="AF8" s="63"/>
      <c r="AG8" s="63"/>
      <c r="AH8" s="63"/>
      <c r="AI8" s="63"/>
      <c r="AJ8" s="74"/>
      <c r="AK8" s="12">
        <f>IF(AB8&gt;0,AB8,"")</f>
        <v>6.7</v>
      </c>
      <c r="AL8" s="12">
        <f>IF(SUM(U8:X8)-Y8&gt;0,SUM(U8:X8)-Y8,"")</f>
        <v>43.164999999999999</v>
      </c>
      <c r="AM8" s="12">
        <f>IF(SUM(Z8:AC8)-AD8&gt;0,SUM(Z8:AC8)-AD8,"")</f>
        <v>24.509999999999998</v>
      </c>
      <c r="AN8" s="12">
        <f>IF(SUM(AL8:AM8)&gt;0,SUM(AL8:AM8),"")</f>
        <v>67.674999999999997</v>
      </c>
      <c r="AO8" s="12" t="str">
        <f>IF(AG8&gt;0,AG8,"")</f>
        <v/>
      </c>
      <c r="AP8" s="12" t="str">
        <f>IF(SUM(AE8:AH8)-AI8&gt;0,SUM(AE8:AH8)-AI8,"")</f>
        <v/>
      </c>
      <c r="AQ8" s="12">
        <f>IF(SUM(AN8,AP8)&gt;0,SUM(AN8,AP8),"")</f>
        <v>67.674999999999997</v>
      </c>
      <c r="AR8" s="69">
        <v>17.100000000000001</v>
      </c>
      <c r="AS8" s="69">
        <v>9.35</v>
      </c>
      <c r="AT8" s="69">
        <v>3.9</v>
      </c>
      <c r="AU8" s="69">
        <v>16.145</v>
      </c>
      <c r="AV8" s="69">
        <v>0</v>
      </c>
      <c r="AW8" s="69">
        <v>13.3</v>
      </c>
      <c r="AX8" s="69">
        <v>9.6</v>
      </c>
      <c r="AY8" s="69">
        <v>13.8</v>
      </c>
      <c r="AZ8" s="69">
        <v>15.175000000000001</v>
      </c>
      <c r="BA8" s="69">
        <v>0</v>
      </c>
      <c r="BB8" s="69">
        <v>13.8</v>
      </c>
      <c r="BC8" s="69">
        <v>9</v>
      </c>
      <c r="BD8" s="69">
        <v>13.8</v>
      </c>
      <c r="BE8" s="69">
        <v>14.904999999999999</v>
      </c>
      <c r="BF8" s="69">
        <v>0</v>
      </c>
      <c r="BG8" s="75"/>
      <c r="BH8" s="15">
        <f>IF(AY8&gt;0,AY8,"")</f>
        <v>13.8</v>
      </c>
      <c r="BI8" s="15">
        <f>IF(SUM(AR8:AU8)-AV8&gt;0,SUM(AR8:AU8)-AV8,"")</f>
        <v>46.495000000000005</v>
      </c>
      <c r="BJ8" s="15">
        <f>IF(SUM(AW8:AZ8)-BA8&gt;0,SUM(AW8:AZ8)-BA8,"")</f>
        <v>51.875</v>
      </c>
      <c r="BK8" s="15">
        <f>IF(SUM(BI8:BJ8)&gt;0,SUM(BI8:BJ8),"")</f>
        <v>98.37</v>
      </c>
      <c r="BL8" s="15">
        <f>IF(BD8&gt;0,BD8,"")</f>
        <v>13.8</v>
      </c>
      <c r="BM8" s="15">
        <f>IF(SUM(BB8:BE8)-BF8&gt;0,SUM(BB8:BE8)-BF8,"")</f>
        <v>51.505000000000003</v>
      </c>
      <c r="BN8" s="15">
        <f>IF(SUM(BK8,BM8)&gt;0,SUM(BK8,BM8),"")</f>
        <v>149.875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16.05</v>
      </c>
      <c r="LX8" s="63">
        <f t="shared" si="8"/>
        <v>9.0249999999999986</v>
      </c>
      <c r="LY8" s="63">
        <f t="shared" si="9"/>
        <v>4</v>
      </c>
      <c r="LZ8" s="63">
        <f t="shared" si="10"/>
        <v>15.754999999999999</v>
      </c>
      <c r="MA8" s="63">
        <f t="shared" si="11"/>
        <v>0</v>
      </c>
      <c r="MB8" s="63">
        <f t="shared" si="12"/>
        <v>9.6999999999999993</v>
      </c>
      <c r="MC8" s="63">
        <f t="shared" si="13"/>
        <v>6.85</v>
      </c>
      <c r="MD8" s="63">
        <f t="shared" si="14"/>
        <v>10.25</v>
      </c>
      <c r="ME8" s="63">
        <f t="shared" si="15"/>
        <v>11.3925</v>
      </c>
      <c r="MF8" s="63">
        <f t="shared" si="16"/>
        <v>0</v>
      </c>
      <c r="MG8" s="63">
        <f t="shared" si="17"/>
        <v>6.9</v>
      </c>
      <c r="MH8" s="63">
        <f t="shared" si="18"/>
        <v>4.5</v>
      </c>
      <c r="MI8" s="63">
        <f t="shared" si="19"/>
        <v>6.9</v>
      </c>
      <c r="MJ8" s="63">
        <f t="shared" si="20"/>
        <v>7.4524999999999997</v>
      </c>
      <c r="MK8" s="63">
        <f t="shared" si="21"/>
        <v>0</v>
      </c>
      <c r="ML8" s="74" t="s">
        <v>119</v>
      </c>
      <c r="MM8" s="12">
        <f t="shared" si="22"/>
        <v>10.25</v>
      </c>
      <c r="MN8" s="12">
        <f t="shared" si="23"/>
        <v>44.83</v>
      </c>
      <c r="MO8" s="12">
        <f t="shared" si="24"/>
        <v>38.192499999999995</v>
      </c>
      <c r="MP8" s="12">
        <f t="shared" si="25"/>
        <v>83.022499999999994</v>
      </c>
      <c r="MQ8" s="12">
        <f t="shared" si="26"/>
        <v>6.9</v>
      </c>
      <c r="MR8" s="12">
        <f t="shared" si="27"/>
        <v>25.752500000000001</v>
      </c>
      <c r="MS8" s="12">
        <f t="shared" si="28"/>
        <v>108.77499999999999</v>
      </c>
    </row>
    <row r="9" spans="1:357" x14ac:dyDescent="0.2">
      <c r="A9" s="6" t="str">
        <f>IF(AND(F9="P",H9="P"),SUMPRODUCT((F$4:F$24="P")*(H$4:H$24="P")*(E$4:E$24&gt;E9))+1,IF(H9="P",SUMPRODUCT((F$4:F$24="")*(H$4:H$24="P")*(E$4:E$24&gt;E9))+1+SUMPRODUCT((F$4:F$24="P")*(H$4:H$24="P")),""))</f>
        <v/>
      </c>
      <c r="B9" s="9" t="s">
        <v>61</v>
      </c>
      <c r="C9" s="5" t="s">
        <v>5</v>
      </c>
      <c r="D9" s="27">
        <v>2001</v>
      </c>
      <c r="E9" s="16">
        <f>SUM(J9:R9)</f>
        <v>211.05500000000004</v>
      </c>
      <c r="F9" s="4" t="str">
        <f>IF(OR(AND($AK9&gt;=$AL$26,NOT($AK9=""),$AJ9=""),AND($BH9&gt;=$BI$26,NOT($BH9=""),$BG9=""),AND($CH9&gt;=$CI$26,NOT($CH9="")),AND($DD9&gt;=$DE$26,NOT($DD9="")),AND($DZ9&gt;=$EA$26,NOT($DZ9="")),AND($EV9&gt;=$EW$26,NOT($EV9="")),AND($FR9&gt;=$FS$26,NOT($FR9="")),AND($GN9&gt;=$GO$26,NOT($GN9="")),AND($HJ9&gt;=$HK$26,NOT($HJ9="")),AND($IF9&gt;=$IG$26,NOT($IF9="")),AND($JB9&gt;=$JC$26,NOT($JB9="")),AND($JX9&gt;=$JY$26,NOT($JX9="")),AND($KT9&gt;=$KU$26,NOT($KT9="")),AND($LP9&gt;=$LQ$26,NOT($LP9=""))),"P","")</f>
        <v>P</v>
      </c>
      <c r="G9" s="4" t="str">
        <f>IF(OR(AND($AK9&gt;=$AL$27,NOT($AK9=""),$AJ9=""),AND($BH9&gt;=$BI$27,NOT($BH9=""),$BG9=""),AND($CH9&gt;=$CI$27,NOT($CH9="")),AND($DD9&gt;=$DE$27,NOT($DD9="")),AND($DZ9&gt;=$EA$27,NOT($DZ9="")),AND($EV9&gt;=$EW$27,NOT($EV9="")),AND($FR9&gt;=$FS$27,NOT($FR9="")),AND($GN9&gt;=$GO$27,NOT($GN9="")),AND($HJ9&gt;=$HK$27,NOT($HJ9="")),AND($IF9&gt;=$IG$27,NOT($IF9="")),AND($JB9&gt;=$JC$27,NOT($JB9="")),AND($JX9&gt;=$JY$27,NOT($JX9="")),AND($KT9&gt;=$KU$27,NOT($KT9="")),AND($LP9&gt;=$LQ$27,NOT($LP9=""))),"P","")</f>
        <v>P</v>
      </c>
      <c r="H9" s="4" t="str">
        <f>IF(OR(AND($AN9&gt;=$AL$28,NOT($AN9=""),$AJ9=""),AND($BK9&gt;=$BI$28,NOT($BK9=""),$BG9=""),AND($CK9&gt;=$CI$28,NOT($CK9="")),AND($DG9&gt;=$DE$28,NOT($DG9="")),AND($EC9&gt;=$EA$28,NOT($EC9="")),AND($EY9&gt;=$EW$28,NOT($EY9="")),AND($FU9&gt;=$FS$28,NOT($FU9="")),AND($GQ9&gt;=$GO$28,NOT($GQ9="")),AND($HM9&gt;=$HK$28,NOT($HM9="")),AND($II9&gt;=$IG$28,NOT($II9="")),AND($JE9&gt;=$JC$28,NOT($JE9="")),AND($KA9&gt;=$JY$28,NOT($KA9="")),AND($KW9&gt;=$KU$28,NOT($KW9="")),AND($LS9&gt;=$LQ$28,NOT($LS9=""))),"P","")</f>
        <v/>
      </c>
      <c r="I9" t="str">
        <f>IF(AND(H9="P",F9=""),"No DD",IF(AND(G9="P",OR(AND($AM9&gt;$AL$31,NOT($AM9=""),$AJ9=""),AND($AP9&gt;$AL$31,NOT($AP9=""),$AJ9=""),AND($BJ9&gt;$BI$31,NOT($BJ9=""),$BG9=""),AND($BM9&gt;$BI$31,NOT($BM9=""),$BG9=""),AND($CJ9&gt;$CI$31,NOT($CJ9="")),AND($CM9&gt;$CI$31,NOT($CM9="")),AND($DF9&gt;$DE$31,NOT($DF9="")),AND($DI9&gt;$DE$31,NOT($DI9="")),AND($EB9&gt;$EA$31,NOT($EB9="")),AND($EE9&gt;$EA$31,NOT($EE9="")),AND($EX9&gt;$EW$31,NOT($EX9="")),AND($FA9&gt;$EW$31,NOT($FA9="")),AND($FT9&gt;$FS$31,NOT($FT9="")),AND($FW9&gt;$FS$31,NOT($FW9="")),AND($GP9&gt;$GO$31,NOT($GP9="")),AND($GS9&gt;$GO$31,NOT($GS9="")),AND($HL9&gt;$HK$31,NOT($HL9="")),AND($HO9&gt;$HK$31,NOT($HO9="")),AND($IH9&gt;$IG$31,NOT($IH9="")),AND($IK9&gt;$IG$31,NOT($IK9="")),AND($JD9&gt;$JC$31,NOT($JD9="")),AND($JG9&gt;$JC$31,NOT($JG9="")),AND($JZ9&gt;$JY$31,NOT($JZ9="")),AND($KC9&gt;$JY$31,NOT($KC9="")),AND($KV9&gt;$KU$31,NOT($KV9="")),AND($KY9&gt;$KU$31,NOT($KY9="")),AND($LR9&gt;$LQ$31,NOT($LR9="")),AND($LU9&gt;$LQ$31,NOT($LU9="")))),"Merit",IF(AND(G9="P",OR(AND($AN9&gt;$AL$30,NOT($AN9=""),$AJ9=""),AND($BK9&gt;$BI$30,NOT($BK9=""),$BG9=""),AND($CK9&gt;$CI$30,NOT($CK9="")),AND($DG9&gt;$DE$30,NOT($DG9="")),AND($EC9&gt;$EA$30,NOT($EC9="")),AND($EY9&gt;$EW$30,NOT($EY9="")),AND($FU9&gt;$FS$30,NOT($FU9="")),AND($GQ9&gt;$GO$30,NOT($GQ9="")),AND($HM9&gt;$HK$30,NOT($HM9="")),AND($II9&gt;$IG$30,NOT($II9="")),AND($JE9&gt;$JC$30,NOT($JE9="")),AND($KA9&gt;$JY$30,NOT($KA9="")),AND($KW9&gt;$KU$30,NOT($KW9="")),AND($LS9&gt;$LQ$30,NOT($LS9="")))),"Excellence",IF(AND(G9="P",OR(AND($AN9&gt;$AL$29,NOT($AN9=""),$AJ9=""),AND($BK9&gt;$BI$29,NOT($BK9=""),$BG9=""),AND($CK9&gt;$CI$29,NOT($CK9="")),AND($DG9&gt;$DE$29,NOT($DG9="")),AND($EC9&gt;$EA$29,NOT($EC9="")),AND($EY9&gt;$EW$29,NOT($EY9="")),AND($FU9&gt;$FS$29,NOT($FU9="")),AND($GQ9&gt;$GO$29,NOT($GQ9="")),AND($HM9&gt;$HK$29,NOT($HM9="")),AND($II9&gt;$IG$29,NOT($II9="")),AND($JE9&gt;$JC$29,NOT($JE9="")),AND($KA9&gt;$JY$29,NOT($KA9="")),AND($KW9&gt;$KU$29,NOT($KW9="")),AND($LS9&gt;$LQ$29,NOT($LS9="")))),"Worlds Team",IF(AND(F9="P",OR(AND($AN9&gt;$AL$28,NOT($AN9=""),$AJ9=""),AND($BK9&gt;$BI$28,NOT($BK9=""),$BG9=""),AND($CK9&gt;$CI$28,NOT($CK9="")),AND($DG9&gt;$DE$28,NOT($DG9="")),AND($EC9&gt;$EA$28,NOT($EC9="")),AND($EY9&gt;$EW$28,NOT($EY9="")),AND($FU9&gt;$FS$28,NOT($FU9="")),AND($GQ9&gt;$GO$28,NOT($GQ9="")),AND($HM9&gt;$HK$28,NOT($HM9="")),AND($II9&gt;$IG$28,NOT($II9="")),AND($JE9&gt;$JC$28,NOT($JE9="")),AND($KA9&gt;$JY$28,NOT($KA9="")),AND($KW9&gt;$KU$28,NOT($KW9="")),AND($LS9&gt;$LQ$28,NOT($LS9="")))),"National Team","")))))</f>
        <v/>
      </c>
      <c r="J9" s="15">
        <f>IF(MAX(AN9,BK9)&gt;0,MAX(AN9,BK9),"")</f>
        <v>97.14500000000001</v>
      </c>
      <c r="K9" s="15" t="str">
        <f>IF(J9="","",IF(J9=BK9,$AR$1,IF(J9=AN9,$U$1,"")))</f>
        <v>2019 Elite Canada</v>
      </c>
      <c r="L9" s="15">
        <f>IF($J9=$AN9,BI9,IF($J9=$BK9,AL9,MAX(AL9,BI9)))</f>
        <v>32.519999999999996</v>
      </c>
      <c r="M9" s="15" t="str">
        <f>IF(L9="","",IF(AND(L9=BI9,$K9&lt;&gt;$AR$1),$AR$1,IF(AND(L9=AL9,$K9&lt;&gt;$U$1),$U$1,"")))</f>
        <v>2018 Nationals</v>
      </c>
      <c r="N9" s="15">
        <f>IF($J9=$AN9,BJ9,IF($J9=$BK9,AM9,MAX(AM9,BJ9)))</f>
        <v>29.715</v>
      </c>
      <c r="O9" s="15" t="str">
        <f>IF(N9="","",IF(AND(N9=BJ9,$K9&lt;&gt;$AR$1),$AR$1,IF(AND(N9=AM9,$K9&lt;&gt;$U$1),$U$1,"")))</f>
        <v>2018 Nationals</v>
      </c>
      <c r="P9" s="15">
        <f>IF(MAX(AP9,BM9)&gt;0,MAX(AP9,BM9),"")</f>
        <v>51.675000000000004</v>
      </c>
      <c r="Q9" s="15" t="str">
        <f>IF(P9="","",IF(P9=BM9,$AR$1,IF(P9=AP9,$U$1,"")))</f>
        <v>2019 Elite Canada</v>
      </c>
      <c r="R9" s="15" t="str">
        <f>IF(MAX(BO9,BP9,BQ9,BR9)&gt;0,MAX(BO9,BP9,BQ9,BR9),"")</f>
        <v/>
      </c>
      <c r="S9" s="25" t="str">
        <f>IF(R9="","",IF(R9=BO9,"(Vol 1)",IF(R9=BP9,"(Vol 2)",IF(R9=BQ9,"(Prelim)",IF(R9=BR9,"(Final)")))))</f>
        <v/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/>
      </c>
      <c r="U9" s="63">
        <v>11.7</v>
      </c>
      <c r="V9" s="63">
        <v>7.2</v>
      </c>
      <c r="W9" s="63">
        <v>1.2</v>
      </c>
      <c r="X9" s="63">
        <v>12.42</v>
      </c>
      <c r="Y9" s="63">
        <v>0</v>
      </c>
      <c r="Z9" s="63">
        <v>7.9</v>
      </c>
      <c r="AA9" s="63">
        <v>5.25</v>
      </c>
      <c r="AB9" s="63">
        <v>7.8</v>
      </c>
      <c r="AC9" s="63">
        <v>8.7650000000000006</v>
      </c>
      <c r="AD9" s="63">
        <v>0</v>
      </c>
      <c r="AE9" s="63"/>
      <c r="AF9" s="63"/>
      <c r="AG9" s="63"/>
      <c r="AH9" s="63"/>
      <c r="AI9" s="63"/>
      <c r="AJ9" s="74"/>
      <c r="AK9" s="12">
        <f>IF(AB9&gt;0,AB9,"")</f>
        <v>7.8</v>
      </c>
      <c r="AL9" s="12">
        <f>IF(SUM(U9:X9)-Y9&gt;0,SUM(U9:X9)-Y9,"")</f>
        <v>32.519999999999996</v>
      </c>
      <c r="AM9" s="12">
        <f>IF(SUM(Z9:AC9)-AD9&gt;0,SUM(Z9:AC9)-AD9,"")</f>
        <v>29.715</v>
      </c>
      <c r="AN9" s="12">
        <f>IF(SUM(AL9:AM9)&gt;0,SUM(AL9:AM9),"")</f>
        <v>62.234999999999999</v>
      </c>
      <c r="AO9" s="12" t="str">
        <f>IF(AG9&gt;0,AG9,"")</f>
        <v/>
      </c>
      <c r="AP9" s="12" t="str">
        <f>IF(SUM(AE9:AH9)-AI9&gt;0,SUM(AE9:AH9)-AI9,"")</f>
        <v/>
      </c>
      <c r="AQ9" s="12">
        <f>IF(SUM(AN9,AP9)&gt;0,SUM(AN9,AP9),"")</f>
        <v>62.234999999999999</v>
      </c>
      <c r="AR9" s="69">
        <v>17.100000000000001</v>
      </c>
      <c r="AS9" s="69">
        <v>9.4499999999999993</v>
      </c>
      <c r="AT9" s="69">
        <v>4.3</v>
      </c>
      <c r="AU9" s="69">
        <v>15.805</v>
      </c>
      <c r="AV9" s="69">
        <v>0</v>
      </c>
      <c r="AW9" s="69">
        <v>13</v>
      </c>
      <c r="AX9" s="69">
        <v>9.15</v>
      </c>
      <c r="AY9" s="69">
        <v>13.6</v>
      </c>
      <c r="AZ9" s="69">
        <v>14.74</v>
      </c>
      <c r="BA9" s="69">
        <v>0</v>
      </c>
      <c r="BB9" s="69">
        <v>15.4</v>
      </c>
      <c r="BC9" s="69">
        <v>9.1</v>
      </c>
      <c r="BD9" s="69">
        <v>11.7</v>
      </c>
      <c r="BE9" s="69">
        <v>15.475</v>
      </c>
      <c r="BF9" s="69">
        <v>0</v>
      </c>
      <c r="BG9" s="75"/>
      <c r="BH9" s="15">
        <f>IF(AY9&gt;0,AY9,"")</f>
        <v>13.6</v>
      </c>
      <c r="BI9" s="15">
        <f>IF(SUM(AR9:AU9)-AV9&gt;0,SUM(AR9:AU9)-AV9,"")</f>
        <v>46.655000000000001</v>
      </c>
      <c r="BJ9" s="15">
        <f>IF(SUM(AW9:AZ9)-BA9&gt;0,SUM(AW9:AZ9)-BA9,"")</f>
        <v>50.49</v>
      </c>
      <c r="BK9" s="15">
        <f>IF(SUM(BI9:BJ9)&gt;0,SUM(BI9:BJ9),"")</f>
        <v>97.14500000000001</v>
      </c>
      <c r="BL9" s="15">
        <f>IF(BD9&gt;0,BD9,"")</f>
        <v>11.7</v>
      </c>
      <c r="BM9" s="15">
        <f>IF(SUM(BB9:BE9)-BF9&gt;0,SUM(BB9:BE9)-BF9,"")</f>
        <v>51.675000000000004</v>
      </c>
      <c r="BN9" s="15">
        <f>IF(SUM(BK9,BM9)&gt;0,SUM(BK9,BM9),"")</f>
        <v>148.82000000000002</v>
      </c>
      <c r="BO9" s="24" t="str">
        <f>IF(MAX(CI9,DE9,EA9,EW9,FS9,GO9,HK9,IG9,JC9,JY9,KU9,LQ9)-IF(L9="",0,L9)&gt;0.001,MAX(CI9,DE9,EA9,EW9,FS9,GO9,HK9,IG9,JC9,JY9,KU9,LQ9)-IF(L9="",0,L9),"")</f>
        <v/>
      </c>
      <c r="BP9" s="24" t="str">
        <f>IF(MAX(CJ9,DF9,EB9,EX9,FT9,GP9,HL9,IH9,JD9,JZ9,KV9,LR9)-IF(N9="",0,N9)&gt;0.001,MAX(CJ9,DF9,EB9,EX9,FT9,GP9,HL9,IH9,JD9,JZ9,KV9,LR9)-IF(N9="",0,N9),"")</f>
        <v/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12" t="str">
        <f>IF(BZ9&gt;0,BZ9,"")</f>
        <v/>
      </c>
      <c r="CI9" s="12" t="str">
        <f>IF(SUM(BS9:BV9)-BW9&gt;0,SUM(BS9:BV9)-BW9,"")</f>
        <v/>
      </c>
      <c r="CJ9" s="12" t="str">
        <f>IF(SUM(BX9:CA9)-CB9&gt;0,SUM(BX9:CA9)-CB9,"")</f>
        <v/>
      </c>
      <c r="CK9" s="12" t="str">
        <f>IF(SUM(CI9:CJ9)&gt;0,SUM(CI9:CJ9),"")</f>
        <v/>
      </c>
      <c r="CL9" s="12" t="str">
        <f>IF(CE9&gt;0,CE9,"")</f>
        <v/>
      </c>
      <c r="CM9" s="12" t="str">
        <f>IF(SUM(CC9:CF9)-CG9&gt;0,SUM(CC9:CF9)-CG9,"")</f>
        <v/>
      </c>
      <c r="CN9" s="12" t="str">
        <f>IF(SUM(CK9,CM9)&gt;0,SUM(CK9,CM9),"")</f>
        <v/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  <c r="DW9" s="36"/>
      <c r="DX9" s="36"/>
      <c r="DY9" s="36"/>
      <c r="DZ9" s="12" t="str">
        <f>IF(DR9&gt;0,DR9,"")</f>
        <v/>
      </c>
      <c r="EA9" s="12" t="str">
        <f>IF(SUM(DK9:DN9)-DO9&gt;0,SUM(DK9:DN9)-DO9,"")</f>
        <v/>
      </c>
      <c r="EB9" s="12" t="str">
        <f>IF(SUM(DP9:DS9)-DT9&gt;0,SUM(DP9:DS9)-DT9,"")</f>
        <v/>
      </c>
      <c r="EC9" s="12" t="str">
        <f>IF(SUM(EA9:EB9)&gt;0,SUM(EA9:EB9),"")</f>
        <v/>
      </c>
      <c r="ED9" s="12" t="str">
        <f>IF(DW9&gt;0,DW9,"")</f>
        <v/>
      </c>
      <c r="EE9" s="12" t="str">
        <f>IF(SUM(DU9:DX9)-DY9&gt;0,SUM(DU9:DX9)-DY9,"")</f>
        <v/>
      </c>
      <c r="EF9" s="12" t="str">
        <f>IF(SUM(EC9,EE9)&gt;0,SUM(EC9,EE9),"")</f>
        <v/>
      </c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37"/>
      <c r="ER9" s="37"/>
      <c r="ES9" s="37"/>
      <c r="ET9" s="37"/>
      <c r="EU9" s="37"/>
      <c r="EV9" s="15" t="str">
        <f>IF(EN9&gt;0,EN9,"")</f>
        <v/>
      </c>
      <c r="EW9" s="15" t="str">
        <f>IF(SUM(EG9:EJ9)-EK9&gt;0,SUM(EG9:EJ9)-EK9,"")</f>
        <v/>
      </c>
      <c r="EX9" s="15" t="str">
        <f>IF(SUM(EL9:EO9)-EP9&gt;0,SUM(EL9:EO9)-EP9,"")</f>
        <v/>
      </c>
      <c r="EY9" s="15" t="str">
        <f>IF(SUM(EW9:EX9)&gt;0,SUM(EW9:EX9),"")</f>
        <v/>
      </c>
      <c r="EZ9" s="15" t="str">
        <f>IF(ES9&gt;0,ES9,"")</f>
        <v/>
      </c>
      <c r="FA9" s="15" t="str">
        <f>IF(SUM(EQ9:ET9)-EU9&gt;0,SUM(EQ9:ET9)-EU9,"")</f>
        <v/>
      </c>
      <c r="FB9" s="15" t="str">
        <f>IF(SUM(EY9,FA9)&gt;0,SUM(EY9,FA9),"")</f>
        <v/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14.4</v>
      </c>
      <c r="LX9" s="63">
        <f t="shared" si="8"/>
        <v>8.3249999999999993</v>
      </c>
      <c r="LY9" s="63">
        <f t="shared" si="9"/>
        <v>2.75</v>
      </c>
      <c r="LZ9" s="63">
        <f t="shared" si="10"/>
        <v>14.112500000000001</v>
      </c>
      <c r="MA9" s="63">
        <f t="shared" si="11"/>
        <v>0</v>
      </c>
      <c r="MB9" s="63">
        <f t="shared" si="12"/>
        <v>10.45</v>
      </c>
      <c r="MC9" s="63">
        <f t="shared" si="13"/>
        <v>7.2</v>
      </c>
      <c r="MD9" s="63">
        <f t="shared" si="14"/>
        <v>10.7</v>
      </c>
      <c r="ME9" s="63">
        <f t="shared" si="15"/>
        <v>11.752500000000001</v>
      </c>
      <c r="MF9" s="63">
        <f t="shared" si="16"/>
        <v>0</v>
      </c>
      <c r="MG9" s="63">
        <f t="shared" si="17"/>
        <v>7.7</v>
      </c>
      <c r="MH9" s="63">
        <f t="shared" si="18"/>
        <v>4.55</v>
      </c>
      <c r="MI9" s="63">
        <f t="shared" si="19"/>
        <v>5.85</v>
      </c>
      <c r="MJ9" s="63">
        <f t="shared" si="20"/>
        <v>7.7374999999999998</v>
      </c>
      <c r="MK9" s="63">
        <f t="shared" si="21"/>
        <v>0</v>
      </c>
      <c r="ML9" s="74" t="s">
        <v>119</v>
      </c>
      <c r="MM9" s="12">
        <f t="shared" si="22"/>
        <v>10.7</v>
      </c>
      <c r="MN9" s="12">
        <f t="shared" si="23"/>
        <v>39.587500000000006</v>
      </c>
      <c r="MO9" s="12">
        <f t="shared" si="24"/>
        <v>40.102499999999999</v>
      </c>
      <c r="MP9" s="12">
        <f t="shared" si="25"/>
        <v>79.69</v>
      </c>
      <c r="MQ9" s="12">
        <f t="shared" si="26"/>
        <v>5.85</v>
      </c>
      <c r="MR9" s="12">
        <f t="shared" si="27"/>
        <v>25.837500000000002</v>
      </c>
      <c r="MS9" s="12">
        <f t="shared" si="28"/>
        <v>105.5275</v>
      </c>
    </row>
    <row r="10" spans="1:357" x14ac:dyDescent="0.2">
      <c r="A10" s="6">
        <f>IF(AND(F10="P",H10="P"),SUMPRODUCT((F$4:F$24="P")*(H$4:H$24="P")*(E$4:E$24&gt;E10))+1,IF(H10="P",SUMPRODUCT((F$4:F$24="")*(H$4:H$24="P")*(E$4:E$24&gt;E10))+1+SUMPRODUCT((F$4:F$24="P")*(H$4:H$24="P")),""))</f>
        <v>4</v>
      </c>
      <c r="B10" s="7" t="s">
        <v>82</v>
      </c>
      <c r="C10" s="8" t="s">
        <v>5</v>
      </c>
      <c r="D10" s="6">
        <v>2001</v>
      </c>
      <c r="E10" s="16">
        <f>SUM(J10:R10)</f>
        <v>203.27500000000001</v>
      </c>
      <c r="F10" s="4" t="str">
        <f>IF(OR(AND($AK10&gt;=$AL$26,NOT($AK10=""),$AJ10=""),AND($BH10&gt;=$BI$26,NOT($BH10=""),$BG10=""),AND($CH10&gt;=$CI$26,NOT($CH10="")),AND($DD10&gt;=$DE$26,NOT($DD10="")),AND($DZ10&gt;=$EA$26,NOT($DZ10="")),AND($EV10&gt;=$EW$26,NOT($EV10="")),AND($FR10&gt;=$FS$26,NOT($FR10="")),AND($GN10&gt;=$GO$26,NOT($GN10="")),AND($HJ10&gt;=$HK$26,NOT($HJ10="")),AND($IF10&gt;=$IG$26,NOT($IF10="")),AND($JB10&gt;=$JC$26,NOT($JB10="")),AND($JX10&gt;=$JY$26,NOT($JX10="")),AND($KT10&gt;=$KU$26,NOT($KT10="")),AND($LP10&gt;=$LQ$26,NOT($LP10=""))),"P","")</f>
        <v>P</v>
      </c>
      <c r="G10" s="4" t="str">
        <f>IF(OR(AND($AK10&gt;=$AL$27,NOT($AK10=""),$AJ10=""),AND($BH10&gt;=$BI$27,NOT($BH10=""),$BG10=""),AND($CH10&gt;=$CI$27,NOT($CH10="")),AND($DD10&gt;=$DE$27,NOT($DD10="")),AND($DZ10&gt;=$EA$27,NOT($DZ10="")),AND($EV10&gt;=$EW$27,NOT($EV10="")),AND($FR10&gt;=$FS$27,NOT($FR10="")),AND($GN10&gt;=$GO$27,NOT($GN10="")),AND($HJ10&gt;=$HK$27,NOT($HJ10="")),AND($IF10&gt;=$IG$27,NOT($IF10="")),AND($JB10&gt;=$JC$27,NOT($JB10="")),AND($JX10&gt;=$JY$27,NOT($JX10="")),AND($KT10&gt;=$KU$27,NOT($KT10="")),AND($LP10&gt;=$LQ$27,NOT($LP10=""))),"P","")</f>
        <v>P</v>
      </c>
      <c r="H10" s="4" t="str">
        <f>IF(OR(AND($AN10&gt;=$AL$28,NOT($AN10=""),$AJ10=""),AND($BK10&gt;=$BI$28,NOT($BK10=""),$BG10=""),AND($CK10&gt;=$CI$28,NOT($CK10="")),AND($DG10&gt;=$DE$28,NOT($DG10="")),AND($EC10&gt;=$EA$28,NOT($EC10="")),AND($EY10&gt;=$EW$28,NOT($EY10="")),AND($FU10&gt;=$FS$28,NOT($FU10="")),AND($GQ10&gt;=$GO$28,NOT($GQ10="")),AND($HM10&gt;=$HK$28,NOT($HM10="")),AND($II10&gt;=$IG$28,NOT($II10="")),AND($JE10&gt;=$JC$28,NOT($JE10="")),AND($KA10&gt;=$JY$28,NOT($KA10="")),AND($KW10&gt;=$KU$28,NOT($KW10="")),AND($LS10&gt;=$LQ$28,NOT($LS10=""))),"P","")</f>
        <v>P</v>
      </c>
      <c r="I10" t="str">
        <f>IF(AND(H10="P",F10=""),"No DD",IF(AND(G10="P",OR(AND($AM10&gt;$AL$31,NOT($AM10=""),$AJ10=""),AND($AP10&gt;$AL$31,NOT($AP10=""),$AJ10=""),AND($BJ10&gt;$BI$31,NOT($BJ10=""),$BG10=""),AND($BM10&gt;$BI$31,NOT($BM10=""),$BG10=""),AND($CJ10&gt;$CI$31,NOT($CJ10="")),AND($CM10&gt;$CI$31,NOT($CM10="")),AND($DF10&gt;$DE$31,NOT($DF10="")),AND($DI10&gt;$DE$31,NOT($DI10="")),AND($EB10&gt;$EA$31,NOT($EB10="")),AND($EE10&gt;$EA$31,NOT($EE10="")),AND($EX10&gt;$EW$31,NOT($EX10="")),AND($FA10&gt;$EW$31,NOT($FA10="")),AND($FT10&gt;$FS$31,NOT($FT10="")),AND($FW10&gt;$FS$31,NOT($FW10="")),AND($GP10&gt;$GO$31,NOT($GP10="")),AND($GS10&gt;$GO$31,NOT($GS10="")),AND($HL10&gt;$HK$31,NOT($HL10="")),AND($HO10&gt;$HK$31,NOT($HO10="")),AND($IH10&gt;$IG$31,NOT($IH10="")),AND($IK10&gt;$IG$31,NOT($IK10="")),AND($JD10&gt;$JC$31,NOT($JD10="")),AND($JG10&gt;$JC$31,NOT($JG10="")),AND($JZ10&gt;$JY$31,NOT($JZ10="")),AND($KC10&gt;$JY$31,NOT($KC10="")),AND($KV10&gt;$KU$31,NOT($KV10="")),AND($KY10&gt;$KU$31,NOT($KY10="")),AND($LR10&gt;$LQ$31,NOT($LR10="")),AND($LU10&gt;$LQ$31,NOT($LU10="")))),"Merit",IF(AND(G10="P",OR(AND($AN10&gt;$AL$30,NOT($AN10=""),$AJ10=""),AND($BK10&gt;$BI$30,NOT($BK10=""),$BG10=""),AND($CK10&gt;$CI$30,NOT($CK10="")),AND($DG10&gt;$DE$30,NOT($DG10="")),AND($EC10&gt;$EA$30,NOT($EC10="")),AND($EY10&gt;$EW$30,NOT($EY10="")),AND($FU10&gt;$FS$30,NOT($FU10="")),AND($GQ10&gt;$GO$30,NOT($GQ10="")),AND($HM10&gt;$HK$30,NOT($HM10="")),AND($II10&gt;$IG$30,NOT($II10="")),AND($JE10&gt;$JC$30,NOT($JE10="")),AND($KA10&gt;$JY$30,NOT($KA10="")),AND($KW10&gt;$KU$30,NOT($KW10="")),AND($LS10&gt;$LQ$30,NOT($LS10="")))),"Excellence",IF(AND(G10="P",OR(AND($AN10&gt;$AL$29,NOT($AN10=""),$AJ10=""),AND($BK10&gt;$BI$29,NOT($BK10=""),$BG10=""),AND($CK10&gt;$CI$29,NOT($CK10="")),AND($DG10&gt;$DE$29,NOT($DG10="")),AND($EC10&gt;$EA$29,NOT($EC10="")),AND($EY10&gt;$EW$29,NOT($EY10="")),AND($FU10&gt;$FS$29,NOT($FU10="")),AND($GQ10&gt;$GO$29,NOT($GQ10="")),AND($HM10&gt;$HK$29,NOT($HM10="")),AND($II10&gt;$IG$29,NOT($II10="")),AND($JE10&gt;$JC$29,NOT($JE10="")),AND($KA10&gt;$JY$29,NOT($KA10="")),AND($KW10&gt;$KU$29,NOT($KW10="")),AND($LS10&gt;$LQ$29,NOT($LS10="")))),"Worlds Team",IF(AND(F10="P",OR(AND($AN10&gt;$AL$28,NOT($AN10=""),$AJ10=""),AND($BK10&gt;$BI$28,NOT($BK10=""),$BG10=""),AND($CK10&gt;$CI$28,NOT($CK10="")),AND($DG10&gt;$DE$28,NOT($DG10="")),AND($EC10&gt;$EA$28,NOT($EC10="")),AND($EY10&gt;$EW$28,NOT($EY10="")),AND($FU10&gt;$FS$28,NOT($FU10="")),AND($GQ10&gt;$GO$28,NOT($GQ10="")),AND($HM10&gt;$HK$28,NOT($HM10="")),AND($II10&gt;$IG$28,NOT($II10="")),AND($JE10&gt;$JC$28,NOT($JE10="")),AND($KA10&gt;$JY$28,NOT($KA10="")),AND($KW10&gt;$KU$28,NOT($KW10="")),AND($LS10&gt;$LQ$28,NOT($LS10="")))),"National Team","")))))</f>
        <v>National Team</v>
      </c>
      <c r="J10" s="15">
        <f>IF(MAX(AN10,BK10)&gt;0,MAX(AN10,BK10),"")</f>
        <v>98.8</v>
      </c>
      <c r="K10" s="15" t="str">
        <f>IF(J10="","",IF(J10=BK10,$AR$1,IF(J10=AN10,$U$1,"")))</f>
        <v>2018 Nationals</v>
      </c>
      <c r="L10" s="15" t="str">
        <f>IF($J10=$AN10,BI10,IF($J10=$BK10,AL10,MAX(AL10,BI10)))</f>
        <v/>
      </c>
      <c r="M10" s="15" t="str">
        <f>IF(L10="","",IF(AND(L10=BI10,$K10&lt;&gt;$AR$1),$AR$1,IF(AND(L10=AL10,$K10&lt;&gt;$U$1),$U$1,"")))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53.44</v>
      </c>
      <c r="Q10" s="15" t="str">
        <f>IF(P10="","",IF(P10=BM10,$AR$1,IF(P10=AP10,$U$1,"")))</f>
        <v>2018 Nationals</v>
      </c>
      <c r="R10" s="15">
        <f>IF(MAX(BO10,BP10,BQ10,BR10)&gt;0,MAX(BO10,BP10,BQ10,BR10),"")</f>
        <v>51.034999999999997</v>
      </c>
      <c r="S10" s="25" t="str">
        <f>IF(R10="","",IF(R10=BO10,"(Vol 1)",IF(R10=BP10,"(Vol 2)",IF(R10=BQ10,"(Prelim)",IF(R10=BR10,"(Final)")))))</f>
        <v>(Vol 2)</v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>2018 Pacific Rim (Apr 29)</v>
      </c>
      <c r="U10" s="63">
        <v>17.100000000000001</v>
      </c>
      <c r="V10" s="63">
        <v>9.4</v>
      </c>
      <c r="W10" s="63">
        <v>3.7</v>
      </c>
      <c r="X10" s="63">
        <v>16.82</v>
      </c>
      <c r="Y10" s="63">
        <v>0</v>
      </c>
      <c r="Z10" s="63">
        <v>13.7</v>
      </c>
      <c r="AA10" s="63">
        <v>8.9</v>
      </c>
      <c r="AB10" s="63">
        <v>13.5</v>
      </c>
      <c r="AC10" s="63">
        <v>15.68</v>
      </c>
      <c r="AD10" s="63">
        <v>0</v>
      </c>
      <c r="AE10" s="63">
        <v>15.3</v>
      </c>
      <c r="AF10" s="63">
        <v>8.8000000000000007</v>
      </c>
      <c r="AG10" s="63">
        <v>13.1</v>
      </c>
      <c r="AH10" s="63">
        <v>16.239999999999998</v>
      </c>
      <c r="AI10" s="63">
        <v>0</v>
      </c>
      <c r="AJ10" s="74"/>
      <c r="AK10" s="12">
        <f>IF(AB10&gt;0,AB10,"")</f>
        <v>13.5</v>
      </c>
      <c r="AL10" s="12">
        <f>IF(SUM(U10:X10)-Y10&gt;0,SUM(U10:X10)-Y10,"")</f>
        <v>47.019999999999996</v>
      </c>
      <c r="AM10" s="12">
        <f>IF(SUM(Z10:AC10)-AD10&gt;0,SUM(Z10:AC10)-AD10,"")</f>
        <v>51.78</v>
      </c>
      <c r="AN10" s="12">
        <f>IF(SUM(AL10:AM10)&gt;0,SUM(AL10:AM10),"")</f>
        <v>98.8</v>
      </c>
      <c r="AO10" s="12">
        <f>IF(AG10&gt;0,AG10,"")</f>
        <v>13.1</v>
      </c>
      <c r="AP10" s="12">
        <f>IF(SUM(AE10:AH10)-AI10&gt;0,SUM(AE10:AH10)-AI10,"")</f>
        <v>53.44</v>
      </c>
      <c r="AQ10" s="12">
        <f>IF(SUM(AN10,AP10)&gt;0,SUM(AN10,AP10),"")</f>
        <v>152.24</v>
      </c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75"/>
      <c r="BH10" s="15" t="str">
        <f>IF(AY10&gt;0,AY10,"")</f>
        <v/>
      </c>
      <c r="BI10" s="15" t="str">
        <f>IF(SUM(AR10:AU10)-AV10&gt;0,SUM(AR10:AU10)-AV10,"")</f>
        <v/>
      </c>
      <c r="BJ10" s="15" t="str">
        <f>IF(SUM(AW10:AZ10)-BA10&gt;0,SUM(AW10:AZ10)-BA10,"")</f>
        <v/>
      </c>
      <c r="BK10" s="15" t="str">
        <f>IF(SUM(BI10:BJ10)&gt;0,SUM(BI10:BJ10),"")</f>
        <v/>
      </c>
      <c r="BL10" s="15" t="str">
        <f>IF(BD10&gt;0,BD10,"")</f>
        <v/>
      </c>
      <c r="BM10" s="15" t="str">
        <f>IF(SUM(BB10:BE10)-BF10&gt;0,SUM(BB10:BE10)-BF10,"")</f>
        <v/>
      </c>
      <c r="BN10" s="15" t="str">
        <f>IF(SUM(BK10,BM10)&gt;0,SUM(BK10,BM10),"")</f>
        <v/>
      </c>
      <c r="BO10" s="24">
        <f>IF(MAX(CI10,DE10,EA10,EW10,FS10,GO10,HK10,IG10,JC10,JY10,KU10,LQ10)-IF(L10="",0,L10)&gt;0.001,MAX(CI10,DE10,EA10,EW10,FS10,GO10,HK10,IG10,JC10,JY10,KU10,LQ10)-IF(L10="",0,L10),"")</f>
        <v>43.564999999999998</v>
      </c>
      <c r="BP10" s="24">
        <f>IF(MAX(CJ10,DF10,EB10,EX10,FT10,GP10,HL10,IH10,JD10,JZ10,KV10,LR10)-IF(N10="",0,N10)&gt;0.001,MAX(CJ10,DF10,EB10,EX10,FT10,GP10,HL10,IH10,JD10,JZ10,KV10,LR10)-IF(N10="",0,N10),"")</f>
        <v>51.034999999999997</v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>
        <v>17.2</v>
      </c>
      <c r="BT10" s="36">
        <v>0</v>
      </c>
      <c r="BU10" s="36">
        <v>9.3000000000000007</v>
      </c>
      <c r="BV10" s="36">
        <v>16.670000000000002</v>
      </c>
      <c r="BW10" s="36">
        <v>0</v>
      </c>
      <c r="BX10" s="36">
        <v>13.6</v>
      </c>
      <c r="BY10" s="36">
        <v>12.8</v>
      </c>
      <c r="BZ10" s="36">
        <v>9.5</v>
      </c>
      <c r="CA10" s="36">
        <v>15.135</v>
      </c>
      <c r="CB10" s="36">
        <v>0</v>
      </c>
      <c r="CC10" s="36">
        <v>13.7</v>
      </c>
      <c r="CD10" s="36">
        <v>8.85</v>
      </c>
      <c r="CE10" s="36">
        <v>12.9</v>
      </c>
      <c r="CF10" s="36">
        <v>15.225</v>
      </c>
      <c r="CG10" s="36">
        <v>0</v>
      </c>
      <c r="CH10" s="12">
        <f>IF(BZ10&gt;0,BZ10,"")</f>
        <v>9.5</v>
      </c>
      <c r="CI10" s="12">
        <f>IF(SUM(BS10:BV10)-BW10&gt;0,SUM(BS10:BV10)-BW10,"")</f>
        <v>43.17</v>
      </c>
      <c r="CJ10" s="12">
        <f>IF(SUM(BX10:CA10)-CB10&gt;0,SUM(BX10:CA10)-CB10,"")</f>
        <v>51.034999999999997</v>
      </c>
      <c r="CK10" s="12">
        <f>IF(SUM(CI10:CJ10)&gt;0,SUM(CI10:CJ10),"")</f>
        <v>94.204999999999998</v>
      </c>
      <c r="CL10" s="12">
        <f>IF(CE10&gt;0,CE10,"")</f>
        <v>12.9</v>
      </c>
      <c r="CM10" s="12">
        <f>IF(SUM(CC10:CF10)-CG10&gt;0,SUM(CC10:CF10)-CG10,"")</f>
        <v>50.674999999999997</v>
      </c>
      <c r="CN10" s="12">
        <f>IF(SUM(CK10,CM10)&gt;0,SUM(CK10,CM10),"")</f>
        <v>144.88</v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>
        <v>14.3</v>
      </c>
      <c r="CZ10" s="37">
        <v>9.25</v>
      </c>
      <c r="DA10" s="37">
        <v>12.8</v>
      </c>
      <c r="DB10" s="37">
        <v>15.345000000000001</v>
      </c>
      <c r="DC10" s="37">
        <v>0</v>
      </c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>
        <f>IF(DA10&gt;0,DA10,"")</f>
        <v>12.8</v>
      </c>
      <c r="DI10" s="15">
        <f>IF(SUM(CY10:DB10)-DC10&gt;0,SUM(CY10:DB10)-DC10,"")</f>
        <v>51.695</v>
      </c>
      <c r="DJ10" s="15">
        <f>IF(SUM(DG10,DI10)&gt;0,SUM(DG10,DI10),"")</f>
        <v>51.695</v>
      </c>
      <c r="DK10" s="36">
        <v>17</v>
      </c>
      <c r="DL10" s="36">
        <v>9.6</v>
      </c>
      <c r="DM10" s="36">
        <v>0</v>
      </c>
      <c r="DN10" s="36">
        <v>16.965</v>
      </c>
      <c r="DO10" s="36">
        <v>0</v>
      </c>
      <c r="DP10" s="36">
        <v>3</v>
      </c>
      <c r="DQ10" s="36">
        <v>1.6</v>
      </c>
      <c r="DR10" s="36">
        <v>2.9</v>
      </c>
      <c r="DS10" s="36">
        <v>3.41</v>
      </c>
      <c r="DT10" s="36">
        <v>0</v>
      </c>
      <c r="DU10" s="36"/>
      <c r="DV10" s="36"/>
      <c r="DW10" s="36"/>
      <c r="DX10" s="36"/>
      <c r="DY10" s="36"/>
      <c r="DZ10" s="12">
        <f>IF(DR10&gt;0,DR10,"")</f>
        <v>2.9</v>
      </c>
      <c r="EA10" s="12">
        <f>IF(SUM(DK10:DN10)-DO10&gt;0,SUM(DK10:DN10)-DO10,"")</f>
        <v>43.564999999999998</v>
      </c>
      <c r="EB10" s="12">
        <f>IF(SUM(DP10:DS10)-DT10&gt;0,SUM(DP10:DS10)-DT10,"")</f>
        <v>10.91</v>
      </c>
      <c r="EC10" s="12">
        <f>IF(SUM(EA10:EB10)&gt;0,SUM(EA10:EB10),"")</f>
        <v>54.474999999999994</v>
      </c>
      <c r="ED10" s="12" t="str">
        <f>IF(DW10&gt;0,DW10,"")</f>
        <v/>
      </c>
      <c r="EE10" s="12" t="str">
        <f>IF(SUM(DU10:DX10)-DY10&gt;0,SUM(DU10:DX10)-DY10,"")</f>
        <v/>
      </c>
      <c r="EF10" s="12">
        <f>IF(SUM(EC10,EE10)&gt;0,SUM(EC10,EE10),"")</f>
        <v>54.474999999999994</v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8.5500000000000007</v>
      </c>
      <c r="LX10" s="63">
        <f t="shared" si="8"/>
        <v>4.7</v>
      </c>
      <c r="LY10" s="63">
        <f t="shared" si="9"/>
        <v>1.85</v>
      </c>
      <c r="LZ10" s="63">
        <f t="shared" si="10"/>
        <v>8.41</v>
      </c>
      <c r="MA10" s="63">
        <f t="shared" si="11"/>
        <v>0</v>
      </c>
      <c r="MB10" s="63">
        <f t="shared" si="12"/>
        <v>6.85</v>
      </c>
      <c r="MC10" s="63">
        <f t="shared" si="13"/>
        <v>4.45</v>
      </c>
      <c r="MD10" s="63">
        <f t="shared" si="14"/>
        <v>6.75</v>
      </c>
      <c r="ME10" s="63">
        <f t="shared" si="15"/>
        <v>7.84</v>
      </c>
      <c r="MF10" s="63">
        <f t="shared" si="16"/>
        <v>0</v>
      </c>
      <c r="MG10" s="63">
        <f t="shared" si="17"/>
        <v>7.65</v>
      </c>
      <c r="MH10" s="63">
        <f t="shared" si="18"/>
        <v>4.4000000000000004</v>
      </c>
      <c r="MI10" s="63">
        <f t="shared" si="19"/>
        <v>6.55</v>
      </c>
      <c r="MJ10" s="63">
        <f t="shared" si="20"/>
        <v>8.1199999999999992</v>
      </c>
      <c r="MK10" s="63">
        <f t="shared" si="21"/>
        <v>0</v>
      </c>
      <c r="ML10" s="74" t="s">
        <v>119</v>
      </c>
      <c r="MM10" s="12">
        <f t="shared" si="22"/>
        <v>6.75</v>
      </c>
      <c r="MN10" s="12">
        <f t="shared" si="23"/>
        <v>23.509999999999998</v>
      </c>
      <c r="MO10" s="12">
        <f t="shared" si="24"/>
        <v>25.89</v>
      </c>
      <c r="MP10" s="12">
        <f t="shared" si="25"/>
        <v>49.4</v>
      </c>
      <c r="MQ10" s="12">
        <f t="shared" si="26"/>
        <v>6.55</v>
      </c>
      <c r="MR10" s="12">
        <f t="shared" si="27"/>
        <v>26.72</v>
      </c>
      <c r="MS10" s="12">
        <f t="shared" si="28"/>
        <v>76.12</v>
      </c>
    </row>
    <row r="11" spans="1:357" x14ac:dyDescent="0.2">
      <c r="A11" s="6" t="str">
        <f>IF(AND(F11="P",H11="P"),SUMPRODUCT((F$4:F$24="P")*(H$4:H$24="P")*(E$4:E$24&gt;E11))+1,IF(H11="P",SUMPRODUCT((F$4:F$24="")*(H$4:H$24="P")*(E$4:E$24&gt;E11))+1+SUMPRODUCT((F$4:F$24="P")*(H$4:H$24="P")),""))</f>
        <v/>
      </c>
      <c r="B11" s="9" t="s">
        <v>81</v>
      </c>
      <c r="C11" s="5" t="s">
        <v>3</v>
      </c>
      <c r="D11" s="6">
        <v>2000</v>
      </c>
      <c r="E11" s="16">
        <f>SUM(J11:R11)</f>
        <v>186.83500000000004</v>
      </c>
      <c r="F11" s="4" t="str">
        <f>IF(OR(AND($AK11&gt;=$AL$26,NOT($AK11=""),$AJ11=""),AND($BH11&gt;=$BI$26,NOT($BH11=""),$BG11=""),AND($CH11&gt;=$CI$26,NOT($CH11="")),AND($DD11&gt;=$DE$26,NOT($DD11="")),AND($DZ11&gt;=$EA$26,NOT($DZ11="")),AND($EV11&gt;=$EW$26,NOT($EV11="")),AND($FR11&gt;=$FS$26,NOT($FR11="")),AND($GN11&gt;=$GO$26,NOT($GN11="")),AND($HJ11&gt;=$HK$26,NOT($HJ11="")),AND($IF11&gt;=$IG$26,NOT($IF11="")),AND($JB11&gt;=$JC$26,NOT($JB11="")),AND($JX11&gt;=$JY$26,NOT($JX11="")),AND($KT11&gt;=$KU$26,NOT($KT11="")),AND($LP11&gt;=$LQ$26,NOT($LP11=""))),"P","")</f>
        <v>P</v>
      </c>
      <c r="G11" s="4" t="str">
        <f>IF(OR(AND($AK11&gt;=$AL$27,NOT($AK11=""),$AJ11=""),AND($BH11&gt;=$BI$27,NOT($BH11=""),$BG11=""),AND($CH11&gt;=$CI$27,NOT($CH11="")),AND($DD11&gt;=$DE$27,NOT($DD11="")),AND($DZ11&gt;=$EA$27,NOT($DZ11="")),AND($EV11&gt;=$EW$27,NOT($EV11="")),AND($FR11&gt;=$FS$27,NOT($FR11="")),AND($GN11&gt;=$GO$27,NOT($GN11="")),AND($HJ11&gt;=$HK$27,NOT($HJ11="")),AND($IF11&gt;=$IG$27,NOT($IF11="")),AND($JB11&gt;=$JC$27,NOT($JB11="")),AND($JX11&gt;=$JY$27,NOT($JX11="")),AND($KT11&gt;=$KU$27,NOT($KT11="")),AND($LP11&gt;=$LQ$27,NOT($LP11=""))),"P","")</f>
        <v>P</v>
      </c>
      <c r="H11" s="4" t="str">
        <f>IF(OR(AND($AN11&gt;=$AL$28,NOT($AN11=""),$AJ11=""),AND($BK11&gt;=$BI$28,NOT($BK11=""),$BG11=""),AND($CK11&gt;=$CI$28,NOT($CK11="")),AND($DG11&gt;=$DE$28,NOT($DG11="")),AND($EC11&gt;=$EA$28,NOT($EC11="")),AND($EY11&gt;=$EW$28,NOT($EY11="")),AND($FU11&gt;=$FS$28,NOT($FU11="")),AND($GQ11&gt;=$GO$28,NOT($GQ11="")),AND($HM11&gt;=$HK$28,NOT($HM11="")),AND($II11&gt;=$IG$28,NOT($II11="")),AND($JE11&gt;=$JC$28,NOT($JE11="")),AND($KA11&gt;=$JY$28,NOT($KA11="")),AND($KW11&gt;=$KU$28,NOT($KW11="")),AND($LS11&gt;=$LQ$28,NOT($LS11=""))),"P","")</f>
        <v/>
      </c>
      <c r="I11" t="str">
        <f>IF(AND(H11="P",F11=""),"No DD",IF(AND(G11="P",OR(AND($AM11&gt;$AL$31,NOT($AM11=""),$AJ11=""),AND($AP11&gt;$AL$31,NOT($AP11=""),$AJ11=""),AND($BJ11&gt;$BI$31,NOT($BJ11=""),$BG11=""),AND($BM11&gt;$BI$31,NOT($BM11=""),$BG11=""),AND($CJ11&gt;$CI$31,NOT($CJ11="")),AND($CM11&gt;$CI$31,NOT($CM11="")),AND($DF11&gt;$DE$31,NOT($DF11="")),AND($DI11&gt;$DE$31,NOT($DI11="")),AND($EB11&gt;$EA$31,NOT($EB11="")),AND($EE11&gt;$EA$31,NOT($EE11="")),AND($EX11&gt;$EW$31,NOT($EX11="")),AND($FA11&gt;$EW$31,NOT($FA11="")),AND($FT11&gt;$FS$31,NOT($FT11="")),AND($FW11&gt;$FS$31,NOT($FW11="")),AND($GP11&gt;$GO$31,NOT($GP11="")),AND($GS11&gt;$GO$31,NOT($GS11="")),AND($HL11&gt;$HK$31,NOT($HL11="")),AND($HO11&gt;$HK$31,NOT($HO11="")),AND($IH11&gt;$IG$31,NOT($IH11="")),AND($IK11&gt;$IG$31,NOT($IK11="")),AND($JD11&gt;$JC$31,NOT($JD11="")),AND($JG11&gt;$JC$31,NOT($JG11="")),AND($JZ11&gt;$JY$31,NOT($JZ11="")),AND($KC11&gt;$JY$31,NOT($KC11="")),AND($KV11&gt;$KU$31,NOT($KV11="")),AND($KY11&gt;$KU$31,NOT($KY11="")),AND($LR11&gt;$LQ$31,NOT($LR11="")),AND($LU11&gt;$LQ$31,NOT($LU11="")))),"Merit",IF(AND(G11="P",OR(AND($AN11&gt;$AL$30,NOT($AN11=""),$AJ11=""),AND($BK11&gt;$BI$30,NOT($BK11=""),$BG11=""),AND($CK11&gt;$CI$30,NOT($CK11="")),AND($DG11&gt;$DE$30,NOT($DG11="")),AND($EC11&gt;$EA$30,NOT($EC11="")),AND($EY11&gt;$EW$30,NOT($EY11="")),AND($FU11&gt;$FS$30,NOT($FU11="")),AND($GQ11&gt;$GO$30,NOT($GQ11="")),AND($HM11&gt;$HK$30,NOT($HM11="")),AND($II11&gt;$IG$30,NOT($II11="")),AND($JE11&gt;$JC$30,NOT($JE11="")),AND($KA11&gt;$JY$30,NOT($KA11="")),AND($KW11&gt;$KU$30,NOT($KW11="")),AND($LS11&gt;$LQ$30,NOT($LS11="")))),"Excellence",IF(AND(G11="P",OR(AND($AN11&gt;$AL$29,NOT($AN11=""),$AJ11=""),AND($BK11&gt;$BI$29,NOT($BK11=""),$BG11=""),AND($CK11&gt;$CI$29,NOT($CK11="")),AND($DG11&gt;$DE$29,NOT($DG11="")),AND($EC11&gt;$EA$29,NOT($EC11="")),AND($EY11&gt;$EW$29,NOT($EY11="")),AND($FU11&gt;$FS$29,NOT($FU11="")),AND($GQ11&gt;$GO$29,NOT($GQ11="")),AND($HM11&gt;$HK$29,NOT($HM11="")),AND($II11&gt;$IG$29,NOT($II11="")),AND($JE11&gt;$JC$29,NOT($JE11="")),AND($KA11&gt;$JY$29,NOT($KA11="")),AND($KW11&gt;$KU$29,NOT($KW11="")),AND($LS11&gt;$LQ$29,NOT($LS11="")))),"Worlds Team",IF(AND(F11="P",OR(AND($AN11&gt;$AL$28,NOT($AN11=""),$AJ11=""),AND($BK11&gt;$BI$28,NOT($BK11=""),$BG11=""),AND($CK11&gt;$CI$28,NOT($CK11="")),AND($DG11&gt;$DE$28,NOT($DG11="")),AND($EC11&gt;$EA$28,NOT($EC11="")),AND($EY11&gt;$EW$28,NOT($EY11="")),AND($FU11&gt;$FS$28,NOT($FU11="")),AND($GQ11&gt;$GO$28,NOT($GQ11="")),AND($HM11&gt;$HK$28,NOT($HM11="")),AND($II11&gt;$IG$28,NOT($II11="")),AND($JE11&gt;$JC$28,NOT($JE11="")),AND($KA11&gt;$JY$28,NOT($KA11="")),AND($KW11&gt;$KU$28,NOT($KW11="")),AND($LS11&gt;$LQ$28,NOT($LS11="")))),"National Team","")))))</f>
        <v/>
      </c>
      <c r="J11" s="15">
        <f>IF(MAX(AN11,BK11)&gt;0,MAX(AN11,BK11),"")</f>
        <v>93.88000000000001</v>
      </c>
      <c r="K11" s="15" t="str">
        <f>IF(J11="","",IF(J11=BK11,$AR$1,IF(J11=AN11,$U$1,"")))</f>
        <v>2018 Nationals</v>
      </c>
      <c r="L11" s="15" t="str">
        <f>IF($J11=$AN11,BI11,IF($J11=$BK11,AL11,MAX(AL11,BI11)))</f>
        <v/>
      </c>
      <c r="M11" s="15" t="str">
        <f>IF(L11="","",IF(AND(L11=BI11,$K11&lt;&gt;$AR$1),$AR$1,IF(AND(L11=AL11,$K11&lt;&gt;$U$1),$U$1,"")))</f>
        <v/>
      </c>
      <c r="N11" s="15" t="str">
        <f>IF($J11=$AN11,BJ11,IF($J11=$BK11,AM11,MAX(AM11,BJ11)))</f>
        <v/>
      </c>
      <c r="O11" s="15" t="str">
        <f>IF(N11="","",IF(AND(N11=BJ11,$K11&lt;&gt;$AR$1),$AR$1,IF(AND(N11=AM11,$K11&lt;&gt;$U$1),$U$1,"")))</f>
        <v/>
      </c>
      <c r="P11" s="15">
        <f>IF(MAX(AP11,BM11)&gt;0,MAX(AP11,BM11),"")</f>
        <v>51.099999999999994</v>
      </c>
      <c r="Q11" s="15" t="str">
        <f>IF(P11="","",IF(P11=BM11,$AR$1,IF(P11=AP11,$U$1,"")))</f>
        <v>2018 Nationals</v>
      </c>
      <c r="R11" s="15">
        <f>IF(MAX(BO11,BP11,BQ11,BR11)&gt;0,MAX(BO11,BP11,BQ11,BR11),"")</f>
        <v>41.855000000000004</v>
      </c>
      <c r="S11" s="25" t="str">
        <f>IF(R11="","",IF(R11=BO11,"(Vol 1)",IF(R11=BP11,"(Vol 2)",IF(R11=BQ11,"(Prelim)",IF(R11=BR11,"(Final)")))))</f>
        <v>(Vol 1)</v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>2018 World Age Groups (Nov 18)</v>
      </c>
      <c r="U11" s="63">
        <v>15.7</v>
      </c>
      <c r="V11" s="63">
        <v>9.35</v>
      </c>
      <c r="W11" s="63">
        <v>4.0999999999999996</v>
      </c>
      <c r="X11" s="63">
        <v>16.675000000000001</v>
      </c>
      <c r="Y11" s="63">
        <v>0</v>
      </c>
      <c r="Z11" s="63">
        <v>10.199999999999999</v>
      </c>
      <c r="AA11" s="63">
        <v>8.4499999999999993</v>
      </c>
      <c r="AB11" s="63">
        <v>13.8</v>
      </c>
      <c r="AC11" s="63">
        <v>15.605</v>
      </c>
      <c r="AD11" s="63">
        <v>0</v>
      </c>
      <c r="AE11" s="63">
        <v>14.1</v>
      </c>
      <c r="AF11" s="63">
        <v>8.5</v>
      </c>
      <c r="AG11" s="63">
        <v>12.7</v>
      </c>
      <c r="AH11" s="63">
        <v>15.8</v>
      </c>
      <c r="AI11" s="63">
        <v>0</v>
      </c>
      <c r="AJ11" s="74"/>
      <c r="AK11" s="12">
        <f>IF(AB11&gt;0,AB11,"")</f>
        <v>13.8</v>
      </c>
      <c r="AL11" s="12">
        <f>IF(SUM(U11:X11)-Y11&gt;0,SUM(U11:X11)-Y11,"")</f>
        <v>45.825000000000003</v>
      </c>
      <c r="AM11" s="12">
        <f>IF(SUM(Z11:AC11)-AD11&gt;0,SUM(Z11:AC11)-AD11,"")</f>
        <v>48.055000000000007</v>
      </c>
      <c r="AN11" s="12">
        <f>IF(SUM(AL11:AM11)&gt;0,SUM(AL11:AM11),"")</f>
        <v>93.88000000000001</v>
      </c>
      <c r="AO11" s="12">
        <f>IF(AG11&gt;0,AG11,"")</f>
        <v>12.7</v>
      </c>
      <c r="AP11" s="12">
        <f>IF(SUM(AE11:AH11)-AI11&gt;0,SUM(AE11:AH11)-AI11,"")</f>
        <v>51.099999999999994</v>
      </c>
      <c r="AQ11" s="12">
        <f>IF(SUM(AN11,AP11)&gt;0,SUM(AN11,AP11),"")</f>
        <v>144.98000000000002</v>
      </c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75"/>
      <c r="BH11" s="15" t="str">
        <f>IF(AY11&gt;0,AY11,"")</f>
        <v/>
      </c>
      <c r="BI11" s="15" t="str">
        <f>IF(SUM(AR11:AU11)-AV11&gt;0,SUM(AR11:AU11)-AV11,"")</f>
        <v/>
      </c>
      <c r="BJ11" s="15" t="str">
        <f>IF(SUM(AW11:AZ11)-BA11&gt;0,SUM(AW11:AZ11)-BA11,"")</f>
        <v/>
      </c>
      <c r="BK11" s="15" t="str">
        <f>IF(SUM(BI11:BJ11)&gt;0,SUM(BI11:BJ11),"")</f>
        <v/>
      </c>
      <c r="BL11" s="15" t="str">
        <f>IF(BD11&gt;0,BD11,"")</f>
        <v/>
      </c>
      <c r="BM11" s="15" t="str">
        <f>IF(SUM(BB11:BE11)-BF11&gt;0,SUM(BB11:BE11)-BF11,"")</f>
        <v/>
      </c>
      <c r="BN11" s="15" t="str">
        <f>IF(SUM(BK11,BM11)&gt;0,SUM(BK11,BM11),"")</f>
        <v/>
      </c>
      <c r="BO11" s="24">
        <f>IF(MAX(CI11,DE11,EA11,EW11,FS11,GO11,HK11,IG11,JC11,JY11,KU11,LQ11)-IF(L11="",0,L11)&gt;0.001,MAX(CI11,DE11,EA11,EW11,FS11,GO11,HK11,IG11,JC11,JY11,KU11,LQ11)-IF(L11="",0,L11),"")</f>
        <v>41.855000000000004</v>
      </c>
      <c r="BP11" s="24">
        <f>IF(MAX(CJ11,DF11,EB11,EX11,FT11,GP11,HL11,IH11,JD11,JZ11,KV11,LR11)-IF(N11="",0,N11)&gt;0.001,MAX(CJ11,DF11,EB11,EX11,FT11,GP11,HL11,IH11,JD11,JZ11,KV11,LR11)-IF(N11="",0,N11),"")</f>
        <v>11.164999999999999</v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>
        <v>15.9</v>
      </c>
      <c r="EH11" s="37">
        <v>9.1999999999999993</v>
      </c>
      <c r="EI11" s="37">
        <v>0</v>
      </c>
      <c r="EJ11" s="37">
        <v>16.754999999999999</v>
      </c>
      <c r="EK11" s="37">
        <v>0</v>
      </c>
      <c r="EL11" s="37">
        <v>3</v>
      </c>
      <c r="EM11" s="37">
        <v>1.8</v>
      </c>
      <c r="EN11" s="37">
        <v>3</v>
      </c>
      <c r="EO11" s="37">
        <v>3.3650000000000002</v>
      </c>
      <c r="EP11" s="37">
        <v>0</v>
      </c>
      <c r="EQ11" s="37"/>
      <c r="ER11" s="37"/>
      <c r="ES11" s="37"/>
      <c r="ET11" s="37"/>
      <c r="EU11" s="37"/>
      <c r="EV11" s="15">
        <f>IF(EN11&gt;0,EN11,"")</f>
        <v>3</v>
      </c>
      <c r="EW11" s="15">
        <f>IF(SUM(EG11:EJ11)-EK11&gt;0,SUM(EG11:EJ11)-EK11,"")</f>
        <v>41.855000000000004</v>
      </c>
      <c r="EX11" s="15">
        <f>IF(SUM(EL11:EO11)-EP11&gt;0,SUM(EL11:EO11)-EP11,"")</f>
        <v>11.164999999999999</v>
      </c>
      <c r="EY11" s="15">
        <f>IF(SUM(EW11:EX11)&gt;0,SUM(EW11:EX11),"")</f>
        <v>53.02</v>
      </c>
      <c r="EZ11" s="15" t="str">
        <f>IF(ES11&gt;0,ES11,"")</f>
        <v/>
      </c>
      <c r="FA11" s="15" t="str">
        <f>IF(SUM(EQ11:ET11)-EU11&gt;0,SUM(EQ11:ET11)-EU11,"")</f>
        <v/>
      </c>
      <c r="FB11" s="15">
        <f>IF(SUM(EY11,FA11)&gt;0,SUM(EY11,FA11),"")</f>
        <v>53.02</v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7.85</v>
      </c>
      <c r="LX11" s="63">
        <f t="shared" si="8"/>
        <v>4.6749999999999998</v>
      </c>
      <c r="LY11" s="63">
        <f t="shared" si="9"/>
        <v>2.0499999999999998</v>
      </c>
      <c r="LZ11" s="63">
        <f t="shared" si="10"/>
        <v>8.3375000000000004</v>
      </c>
      <c r="MA11" s="63">
        <f t="shared" si="11"/>
        <v>0</v>
      </c>
      <c r="MB11" s="63">
        <f t="shared" si="12"/>
        <v>5.0999999999999996</v>
      </c>
      <c r="MC11" s="63">
        <f t="shared" si="13"/>
        <v>4.2249999999999996</v>
      </c>
      <c r="MD11" s="63">
        <f t="shared" si="14"/>
        <v>6.9</v>
      </c>
      <c r="ME11" s="63">
        <f t="shared" si="15"/>
        <v>7.8025000000000002</v>
      </c>
      <c r="MF11" s="63">
        <f t="shared" si="16"/>
        <v>0</v>
      </c>
      <c r="MG11" s="63">
        <f t="shared" si="17"/>
        <v>7.05</v>
      </c>
      <c r="MH11" s="63">
        <f t="shared" si="18"/>
        <v>4.25</v>
      </c>
      <c r="MI11" s="63">
        <f t="shared" si="19"/>
        <v>6.35</v>
      </c>
      <c r="MJ11" s="63">
        <f t="shared" si="20"/>
        <v>7.9</v>
      </c>
      <c r="MK11" s="63">
        <f t="shared" si="21"/>
        <v>0</v>
      </c>
      <c r="ML11" s="74" t="s">
        <v>119</v>
      </c>
      <c r="MM11" s="12">
        <f t="shared" si="22"/>
        <v>6.9</v>
      </c>
      <c r="MN11" s="12">
        <f t="shared" si="23"/>
        <v>22.912500000000001</v>
      </c>
      <c r="MO11" s="12">
        <f t="shared" si="24"/>
        <v>24.027500000000003</v>
      </c>
      <c r="MP11" s="12">
        <f t="shared" si="25"/>
        <v>46.940000000000005</v>
      </c>
      <c r="MQ11" s="12">
        <f t="shared" si="26"/>
        <v>6.35</v>
      </c>
      <c r="MR11" s="12">
        <f t="shared" si="27"/>
        <v>25.549999999999997</v>
      </c>
      <c r="MS11" s="12">
        <f t="shared" si="28"/>
        <v>72.490000000000009</v>
      </c>
    </row>
    <row r="12" spans="1:357" x14ac:dyDescent="0.2">
      <c r="A12" s="6">
        <f>IF(AND(F12="P",H12="P"),SUMPRODUCT((F$4:F$24="P")*(H$4:H$24="P")*(E$4:E$24&gt;E12))+1,IF(H12="P",SUMPRODUCT((F$4:F$24="")*(H$4:H$24="P")*(E$4:E$24&gt;E12))+1+SUMPRODUCT((F$4:F$24="P")*(H$4:H$24="P")),""))</f>
        <v>5</v>
      </c>
      <c r="B12" s="7" t="s">
        <v>83</v>
      </c>
      <c r="C12" s="8" t="s">
        <v>4</v>
      </c>
      <c r="D12" s="6">
        <v>2002</v>
      </c>
      <c r="E12" s="16">
        <f>SUM(J12:R12)</f>
        <v>251.98499999999999</v>
      </c>
      <c r="F12" s="4" t="str">
        <f>IF(OR(AND($AK12&gt;=$AL$26,NOT($AK12=""),$AJ12=""),AND($BH12&gt;=$BI$26,NOT($BH12=""),$BG12=""),AND($CH12&gt;=$CI$26,NOT($CH12="")),AND($DD12&gt;=$DE$26,NOT($DD12="")),AND($DZ12&gt;=$EA$26,NOT($DZ12="")),AND($EV12&gt;=$EW$26,NOT($EV12="")),AND($FR12&gt;=$FS$26,NOT($FR12="")),AND($GN12&gt;=$GO$26,NOT($GN12="")),AND($HJ12&gt;=$HK$26,NOT($HJ12="")),AND($IF12&gt;=$IG$26,NOT($IF12="")),AND($JB12&gt;=$JC$26,NOT($JB12="")),AND($JX12&gt;=$JY$26,NOT($JX12="")),AND($KT12&gt;=$KU$26,NOT($KT12="")),AND($LP12&gt;=$LQ$26,NOT($LP12=""))),"P","")</f>
        <v/>
      </c>
      <c r="G12" s="4" t="str">
        <f>IF(OR(AND($AK12&gt;=$AL$27,NOT($AK12=""),$AJ12=""),AND($BH12&gt;=$BI$27,NOT($BH12=""),$BG12=""),AND($CH12&gt;=$CI$27,NOT($CH12="")),AND($DD12&gt;=$DE$27,NOT($DD12="")),AND($DZ12&gt;=$EA$27,NOT($DZ12="")),AND($EV12&gt;=$EW$27,NOT($EV12="")),AND($FR12&gt;=$FS$27,NOT($FR12="")),AND($GN12&gt;=$GO$27,NOT($GN12="")),AND($HJ12&gt;=$HK$27,NOT($HJ12="")),AND($IF12&gt;=$IG$27,NOT($IF12="")),AND($JB12&gt;=$JC$27,NOT($JB12="")),AND($JX12&gt;=$JY$27,NOT($JX12="")),AND($KT12&gt;=$KU$27,NOT($KT12="")),AND($LP12&gt;=$LQ$27,NOT($LP12=""))),"P","")</f>
        <v/>
      </c>
      <c r="H12" s="4" t="str">
        <f>IF(OR(AND($AN12&gt;=$AL$28,NOT($AN12=""),$AJ12=""),AND($BK12&gt;=$BI$28,NOT($BK12=""),$BG12=""),AND($CK12&gt;=$CI$28,NOT($CK12="")),AND($DG12&gt;=$DE$28,NOT($DG12="")),AND($EC12&gt;=$EA$28,NOT($EC12="")),AND($EY12&gt;=$EW$28,NOT($EY12="")),AND($FU12&gt;=$FS$28,NOT($FU12="")),AND($GQ12&gt;=$GO$28,NOT($GQ12="")),AND($HM12&gt;=$HK$28,NOT($HM12="")),AND($II12&gt;=$IG$28,NOT($II12="")),AND($JE12&gt;=$JC$28,NOT($JE12="")),AND($KA12&gt;=$JY$28,NOT($KA12="")),AND($KW12&gt;=$KU$28,NOT($KW12="")),AND($LS12&gt;=$LQ$28,NOT($LS12=""))),"P","")</f>
        <v>P</v>
      </c>
      <c r="I12" t="str">
        <f>IF(AND(H12="P",F12=""),"No DD",IF(AND(G12="P",OR(AND($AM12&gt;$AL$31,NOT($AM12=""),$AJ12=""),AND($AP12&gt;$AL$31,NOT($AP12=""),$AJ12=""),AND($BJ12&gt;$BI$31,NOT($BJ12=""),$BG12=""),AND($BM12&gt;$BI$31,NOT($BM12=""),$BG12=""),AND($CJ12&gt;$CI$31,NOT($CJ12="")),AND($CM12&gt;$CI$31,NOT($CM12="")),AND($DF12&gt;$DE$31,NOT($DF12="")),AND($DI12&gt;$DE$31,NOT($DI12="")),AND($EB12&gt;$EA$31,NOT($EB12="")),AND($EE12&gt;$EA$31,NOT($EE12="")),AND($EX12&gt;$EW$31,NOT($EX12="")),AND($FA12&gt;$EW$31,NOT($FA12="")),AND($FT12&gt;$FS$31,NOT($FT12="")),AND($FW12&gt;$FS$31,NOT($FW12="")),AND($GP12&gt;$GO$31,NOT($GP12="")),AND($GS12&gt;$GO$31,NOT($GS12="")),AND($HL12&gt;$HK$31,NOT($HL12="")),AND($HO12&gt;$HK$31,NOT($HO12="")),AND($IH12&gt;$IG$31,NOT($IH12="")),AND($IK12&gt;$IG$31,NOT($IK12="")),AND($JD12&gt;$JC$31,NOT($JD12="")),AND($JG12&gt;$JC$31,NOT($JG12="")),AND($JZ12&gt;$JY$31,NOT($JZ12="")),AND($KC12&gt;$JY$31,NOT($KC12="")),AND($KV12&gt;$KU$31,NOT($KV12="")),AND($KY12&gt;$KU$31,NOT($KY12="")),AND($LR12&gt;$LQ$31,NOT($LR12="")),AND($LU12&gt;$LQ$31,NOT($LU12="")))),"Merit",IF(AND(G12="P",OR(AND($AN12&gt;$AL$30,NOT($AN12=""),$AJ12=""),AND($BK12&gt;$BI$30,NOT($BK12=""),$BG12=""),AND($CK12&gt;$CI$30,NOT($CK12="")),AND($DG12&gt;$DE$30,NOT($DG12="")),AND($EC12&gt;$EA$30,NOT($EC12="")),AND($EY12&gt;$EW$30,NOT($EY12="")),AND($FU12&gt;$FS$30,NOT($FU12="")),AND($GQ12&gt;$GO$30,NOT($GQ12="")),AND($HM12&gt;$HK$30,NOT($HM12="")),AND($II12&gt;$IG$30,NOT($II12="")),AND($JE12&gt;$JC$30,NOT($JE12="")),AND($KA12&gt;$JY$30,NOT($KA12="")),AND($KW12&gt;$KU$30,NOT($KW12="")),AND($LS12&gt;$LQ$30,NOT($LS12="")))),"Excellence",IF(AND(G12="P",OR(AND($AN12&gt;$AL$29,NOT($AN12=""),$AJ12=""),AND($BK12&gt;$BI$29,NOT($BK12=""),$BG12=""),AND($CK12&gt;$CI$29,NOT($CK12="")),AND($DG12&gt;$DE$29,NOT($DG12="")),AND($EC12&gt;$EA$29,NOT($EC12="")),AND($EY12&gt;$EW$29,NOT($EY12="")),AND($FU12&gt;$FS$29,NOT($FU12="")),AND($GQ12&gt;$GO$29,NOT($GQ12="")),AND($HM12&gt;$HK$29,NOT($HM12="")),AND($II12&gt;$IG$29,NOT($II12="")),AND($JE12&gt;$JC$29,NOT($JE12="")),AND($KA12&gt;$JY$29,NOT($KA12="")),AND($KW12&gt;$KU$29,NOT($KW12="")),AND($LS12&gt;$LQ$29,NOT($LS12="")))),"Worlds Team",IF(AND(F12="P",OR(AND($AN12&gt;$AL$28,NOT($AN12=""),$AJ12=""),AND($BK12&gt;$BI$28,NOT($BK12=""),$BG12=""),AND($CK12&gt;$CI$28,NOT($CK12="")),AND($DG12&gt;$DE$28,NOT($DG12="")),AND($EC12&gt;$EA$28,NOT($EC12="")),AND($EY12&gt;$EW$28,NOT($EY12="")),AND($FU12&gt;$FS$28,NOT($FU12="")),AND($GQ12&gt;$GO$28,NOT($GQ12="")),AND($HM12&gt;$HK$28,NOT($HM12="")),AND($II12&gt;$IG$28,NOT($II12="")),AND($JE12&gt;$JC$28,NOT($JE12="")),AND($KA12&gt;$JY$28,NOT($KA12="")),AND($KW12&gt;$KU$28,NOT($KW12="")),AND($LS12&gt;$LQ$28,NOT($LS12="")))),"National Team","")))))</f>
        <v>No DD</v>
      </c>
      <c r="J12" s="15">
        <f>IF(MAX(AN12,BK12)&gt;0,MAX(AN12,BK12),"")</f>
        <v>98.86</v>
      </c>
      <c r="K12" s="15" t="str">
        <f>IF(J12="","",IF(J12=BK12,$AR$1,IF(J12=AN12,$U$1,"")))</f>
        <v>2018 Nationals</v>
      </c>
      <c r="L12" s="15">
        <f>IF($J12=$AN12,BI12,IF($J12=$BK12,AL12,MAX(AL12,BI12)))</f>
        <v>46.325000000000003</v>
      </c>
      <c r="M12" s="15" t="str">
        <f>IF(L12="","",IF(AND(L12=BI12,$K12&lt;&gt;$AR$1),$AR$1,IF(AND(L12=AL12,$K12&lt;&gt;$U$1),$U$1,"")))</f>
        <v>2019 Elite Canada</v>
      </c>
      <c r="N12" s="15">
        <f>IF($J12=$AN12,BJ12,IF($J12=$BK12,AM12,MAX(AM12,BJ12)))</f>
        <v>16.64</v>
      </c>
      <c r="O12" s="15" t="str">
        <f>IF(N12="","",IF(AND(N12=BJ12,$K12&lt;&gt;$AR$1),$AR$1,IF(AND(N12=AM12,$K12&lt;&gt;$U$1),$U$1,"")))</f>
        <v>2019 Elite Canada</v>
      </c>
      <c r="P12" s="15">
        <f>IF(MAX(AP12,BM12)&gt;0,MAX(AP12,BM12),"")</f>
        <v>54.599999999999994</v>
      </c>
      <c r="Q12" s="15" t="str">
        <f>IF(P12="","",IF(P12=BM12,$AR$1,IF(P12=AP12,$U$1,"")))</f>
        <v>2018 Nationals</v>
      </c>
      <c r="R12" s="15">
        <f>IF(MAX(BO12,BP12,BQ12,BR12)&gt;0,MAX(BO12,BP12,BQ12,BR12),"")</f>
        <v>35.56</v>
      </c>
      <c r="S12" s="25" t="str">
        <f>IF(R12="","",IF(R12=BO12,"(Vol 1)",IF(R12=BP12,"(Vol 2)",IF(R12=BQ12,"(Prelim)",IF(R12=BR12,"(Final)")))))</f>
        <v>(Vol 2)</v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>2018 World Age Groups (Nov 18)</v>
      </c>
      <c r="U12" s="63">
        <v>17.3</v>
      </c>
      <c r="V12" s="63">
        <v>9.25</v>
      </c>
      <c r="W12" s="63">
        <v>3.1</v>
      </c>
      <c r="X12" s="63">
        <v>16.245000000000001</v>
      </c>
      <c r="Y12" s="63">
        <v>0</v>
      </c>
      <c r="Z12" s="63">
        <v>15.8</v>
      </c>
      <c r="AA12" s="63">
        <v>9.35</v>
      </c>
      <c r="AB12" s="63">
        <v>12</v>
      </c>
      <c r="AC12" s="63">
        <v>15.815</v>
      </c>
      <c r="AD12" s="63">
        <v>0</v>
      </c>
      <c r="AE12" s="63">
        <v>16.899999999999999</v>
      </c>
      <c r="AF12" s="63">
        <v>9.4499999999999993</v>
      </c>
      <c r="AG12" s="63">
        <v>12.2</v>
      </c>
      <c r="AH12" s="63">
        <v>16.05</v>
      </c>
      <c r="AI12" s="63">
        <v>0</v>
      </c>
      <c r="AJ12" s="74"/>
      <c r="AK12" s="12">
        <f>IF(AB12&gt;0,AB12,"")</f>
        <v>12</v>
      </c>
      <c r="AL12" s="12">
        <f>IF(SUM(U12:X12)-Y12&gt;0,SUM(U12:X12)-Y12,"")</f>
        <v>45.895000000000003</v>
      </c>
      <c r="AM12" s="12">
        <f>IF(SUM(Z12:AC12)-AD12&gt;0,SUM(Z12:AC12)-AD12,"")</f>
        <v>52.964999999999996</v>
      </c>
      <c r="AN12" s="12">
        <f>IF(SUM(AL12:AM12)&gt;0,SUM(AL12:AM12),"")</f>
        <v>98.86</v>
      </c>
      <c r="AO12" s="12">
        <f>IF(AG12&gt;0,AG12,"")</f>
        <v>12.2</v>
      </c>
      <c r="AP12" s="12">
        <f>IF(SUM(AE12:AH12)-AI12&gt;0,SUM(AE12:AH12)-AI12,"")</f>
        <v>54.599999999999994</v>
      </c>
      <c r="AQ12" s="12">
        <f>IF(SUM(AN12,AP12)&gt;0,SUM(AN12,AP12),"")</f>
        <v>153.45999999999998</v>
      </c>
      <c r="AR12" s="69">
        <v>17.100000000000001</v>
      </c>
      <c r="AS12" s="69">
        <v>8.9499999999999993</v>
      </c>
      <c r="AT12" s="69">
        <v>4</v>
      </c>
      <c r="AU12" s="69">
        <v>16.274999999999999</v>
      </c>
      <c r="AV12" s="69">
        <v>0</v>
      </c>
      <c r="AW12" s="69">
        <v>4.5</v>
      </c>
      <c r="AX12" s="69">
        <v>2.5</v>
      </c>
      <c r="AY12" s="69">
        <v>4.5999999999999996</v>
      </c>
      <c r="AZ12" s="69">
        <v>5.04</v>
      </c>
      <c r="BA12" s="69">
        <v>0</v>
      </c>
      <c r="BB12" s="69"/>
      <c r="BC12" s="69"/>
      <c r="BD12" s="69"/>
      <c r="BE12" s="69"/>
      <c r="BF12" s="69"/>
      <c r="BG12" s="75"/>
      <c r="BH12" s="15">
        <f>IF(AY12&gt;0,AY12,"")</f>
        <v>4.5999999999999996</v>
      </c>
      <c r="BI12" s="15">
        <f>IF(SUM(AR12:AU12)-AV12&gt;0,SUM(AR12:AU12)-AV12,"")</f>
        <v>46.325000000000003</v>
      </c>
      <c r="BJ12" s="15">
        <f>IF(SUM(AW12:AZ12)-BA12&gt;0,SUM(AW12:AZ12)-BA12,"")</f>
        <v>16.64</v>
      </c>
      <c r="BK12" s="15">
        <f>IF(SUM(BI12:BJ12)&gt;0,SUM(BI12:BJ12),"")</f>
        <v>62.965000000000003</v>
      </c>
      <c r="BL12" s="15" t="str">
        <f>IF(BD12&gt;0,BD12,"")</f>
        <v/>
      </c>
      <c r="BM12" s="15" t="str">
        <f>IF(SUM(BB12:BE12)-BF12&gt;0,SUM(BB12:BE12)-BF12,"")</f>
        <v/>
      </c>
      <c r="BN12" s="15">
        <f>IF(SUM(BK12,BM12)&gt;0,SUM(BK12,BM12),"")</f>
        <v>62.965000000000003</v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>
        <f>IF(MAX(CJ12,DF12,EB12,EX12,FT12,GP12,HL12,IH12,JD12,JZ12,KV12,LR12)-IF(N12="",0,N12)&gt;0.001,MAX(CJ12,DF12,EB12,EX12,FT12,GP12,HL12,IH12,JD12,JZ12,KV12,LR12)-IF(N12="",0,N12),"")</f>
        <v>35.56</v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>
        <v>16.2</v>
      </c>
      <c r="EH12" s="37">
        <v>8.8000000000000007</v>
      </c>
      <c r="EI12" s="37">
        <v>0</v>
      </c>
      <c r="EJ12" s="37">
        <v>16.425000000000001</v>
      </c>
      <c r="EK12" s="37">
        <v>0</v>
      </c>
      <c r="EL12" s="37">
        <v>15</v>
      </c>
      <c r="EM12" s="37">
        <v>9.3000000000000007</v>
      </c>
      <c r="EN12" s="37">
        <v>12.3</v>
      </c>
      <c r="EO12" s="37">
        <v>15.6</v>
      </c>
      <c r="EP12" s="37">
        <v>0</v>
      </c>
      <c r="EQ12" s="37"/>
      <c r="ER12" s="37"/>
      <c r="ES12" s="37"/>
      <c r="ET12" s="37"/>
      <c r="EU12" s="37"/>
      <c r="EV12" s="15">
        <f>IF(EN12&gt;0,EN12,"")</f>
        <v>12.3</v>
      </c>
      <c r="EW12" s="15">
        <f>IF(SUM(EG12:EJ12)-EK12&gt;0,SUM(EG12:EJ12)-EK12,"")</f>
        <v>41.424999999999997</v>
      </c>
      <c r="EX12" s="15">
        <f>IF(SUM(EL12:EO12)-EP12&gt;0,SUM(EL12:EO12)-EP12,"")</f>
        <v>52.2</v>
      </c>
      <c r="EY12" s="15">
        <f>IF(SUM(EW12:EX12)&gt;0,SUM(EW12:EX12),"")</f>
        <v>93.625</v>
      </c>
      <c r="EZ12" s="15" t="str">
        <f>IF(ES12&gt;0,ES12,"")</f>
        <v/>
      </c>
      <c r="FA12" s="15" t="str">
        <f>IF(SUM(EQ12:ET12)-EU12&gt;0,SUM(EQ12:ET12)-EU12,"")</f>
        <v/>
      </c>
      <c r="FB12" s="15">
        <f>IF(SUM(EY12,FA12)&gt;0,SUM(EY12,FA12),"")</f>
        <v>93.625</v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17.200000000000003</v>
      </c>
      <c r="LX12" s="63">
        <f t="shared" si="8"/>
        <v>9.1</v>
      </c>
      <c r="LY12" s="63">
        <f t="shared" si="9"/>
        <v>3.55</v>
      </c>
      <c r="LZ12" s="63">
        <f t="shared" si="10"/>
        <v>16.259999999999998</v>
      </c>
      <c r="MA12" s="63">
        <f t="shared" si="11"/>
        <v>0</v>
      </c>
      <c r="MB12" s="63">
        <f t="shared" si="12"/>
        <v>10.15</v>
      </c>
      <c r="MC12" s="63">
        <f t="shared" si="13"/>
        <v>5.9249999999999998</v>
      </c>
      <c r="MD12" s="63">
        <f t="shared" si="14"/>
        <v>8.3000000000000007</v>
      </c>
      <c r="ME12" s="63">
        <f t="shared" si="15"/>
        <v>10.4275</v>
      </c>
      <c r="MF12" s="63">
        <f t="shared" si="16"/>
        <v>0</v>
      </c>
      <c r="MG12" s="63">
        <f t="shared" si="17"/>
        <v>8.4499999999999993</v>
      </c>
      <c r="MH12" s="63">
        <f t="shared" si="18"/>
        <v>4.7249999999999996</v>
      </c>
      <c r="MI12" s="63">
        <f t="shared" si="19"/>
        <v>6.1</v>
      </c>
      <c r="MJ12" s="63">
        <f t="shared" si="20"/>
        <v>8.0250000000000004</v>
      </c>
      <c r="MK12" s="63">
        <f t="shared" si="21"/>
        <v>0</v>
      </c>
      <c r="ML12" s="74" t="s">
        <v>119</v>
      </c>
      <c r="MM12" s="12">
        <f t="shared" si="22"/>
        <v>8.3000000000000007</v>
      </c>
      <c r="MN12" s="12">
        <f t="shared" si="23"/>
        <v>46.11</v>
      </c>
      <c r="MO12" s="12">
        <f t="shared" si="24"/>
        <v>34.802500000000002</v>
      </c>
      <c r="MP12" s="12">
        <f t="shared" si="25"/>
        <v>80.912499999999994</v>
      </c>
      <c r="MQ12" s="12">
        <f t="shared" si="26"/>
        <v>6.1</v>
      </c>
      <c r="MR12" s="12">
        <f t="shared" si="27"/>
        <v>27.299999999999997</v>
      </c>
      <c r="MS12" s="12">
        <f t="shared" si="28"/>
        <v>108.21249999999999</v>
      </c>
    </row>
    <row r="13" spans="1:357" x14ac:dyDescent="0.2">
      <c r="A13" s="6" t="str">
        <f>IF(AND(F13="P",H13="P"),SUMPRODUCT((F$4:F$24="P")*(H$4:H$24="P")*(E$4:E$24&gt;E13))+1,IF(H13="P",SUMPRODUCT((F$4:F$24="")*(H$4:H$24="P")*(E$4:E$24&gt;E13))+1+SUMPRODUCT((F$4:F$24="P")*(H$4:H$24="P")),""))</f>
        <v/>
      </c>
      <c r="B13" s="7" t="s">
        <v>92</v>
      </c>
      <c r="C13" s="8" t="s">
        <v>4</v>
      </c>
      <c r="D13" s="6">
        <v>2001</v>
      </c>
      <c r="E13" s="16">
        <f>SUM(J13:R13)</f>
        <v>241.10499999999999</v>
      </c>
      <c r="F13" s="4" t="str">
        <f>IF(OR(AND($AK13&gt;=$AL$26,NOT($AK13=""),$AJ13=""),AND($BH13&gt;=$BI$26,NOT($BH13=""),$BG13=""),AND($CH13&gt;=$CI$26,NOT($CH13="")),AND($DD13&gt;=$DE$26,NOT($DD13="")),AND($DZ13&gt;=$EA$26,NOT($DZ13="")),AND($EV13&gt;=$EW$26,NOT($EV13="")),AND($FR13&gt;=$FS$26,NOT($FR13="")),AND($GN13&gt;=$GO$26,NOT($GN13="")),AND($HJ13&gt;=$HK$26,NOT($HJ13="")),AND($IF13&gt;=$IG$26,NOT($IF13="")),AND($JB13&gt;=$JC$26,NOT($JB13="")),AND($JX13&gt;=$JY$26,NOT($JX13="")),AND($KT13&gt;=$KU$26,NOT($KT13="")),AND($LP13&gt;=$LQ$26,NOT($LP13=""))),"P","")</f>
        <v/>
      </c>
      <c r="G13" s="4" t="str">
        <f>IF(OR(AND($AK13&gt;=$AL$27,NOT($AK13=""),$AJ13=""),AND($BH13&gt;=$BI$27,NOT($BH13=""),$BG13=""),AND($CH13&gt;=$CI$27,NOT($CH13="")),AND($DD13&gt;=$DE$27,NOT($DD13="")),AND($DZ13&gt;=$EA$27,NOT($DZ13="")),AND($EV13&gt;=$EW$27,NOT($EV13="")),AND($FR13&gt;=$FS$27,NOT($FR13="")),AND($GN13&gt;=$GO$27,NOT($GN13="")),AND($HJ13&gt;=$HK$27,NOT($HJ13="")),AND($IF13&gt;=$IG$27,NOT($IF13="")),AND($JB13&gt;=$JC$27,NOT($JB13="")),AND($JX13&gt;=$JY$27,NOT($JX13="")),AND($KT13&gt;=$KU$27,NOT($KT13="")),AND($LP13&gt;=$LQ$27,NOT($LP13=""))),"P","")</f>
        <v/>
      </c>
      <c r="H13" s="4" t="str">
        <f>IF(OR(AND($AN13&gt;=$AL$28,NOT($AN13=""),$AJ13=""),AND($BK13&gt;=$BI$28,NOT($BK13=""),$BG13=""),AND($CK13&gt;=$CI$28,NOT($CK13="")),AND($DG13&gt;=$DE$28,NOT($DG13="")),AND($EC13&gt;=$EA$28,NOT($EC13="")),AND($EY13&gt;=$EW$28,NOT($EY13="")),AND($FU13&gt;=$FS$28,NOT($FU13="")),AND($GQ13&gt;=$GO$28,NOT($GQ13="")),AND($HM13&gt;=$HK$28,NOT($HM13="")),AND($II13&gt;=$IG$28,NOT($II13="")),AND($JE13&gt;=$JC$28,NOT($JE13="")),AND($KA13&gt;=$JY$28,NOT($KA13="")),AND($KW13&gt;=$KU$28,NOT($KW13="")),AND($LS13&gt;=$LQ$28,NOT($LS13=""))),"P","")</f>
        <v/>
      </c>
      <c r="I13" t="str">
        <f>IF(AND(H13="P",F13=""),"No DD",IF(AND(G13="P",OR(AND($AM13&gt;$AL$31,NOT($AM13=""),$AJ13=""),AND($AP13&gt;$AL$31,NOT($AP13=""),$AJ13=""),AND($BJ13&gt;$BI$31,NOT($BJ13=""),$BG13=""),AND($BM13&gt;$BI$31,NOT($BM13=""),$BG13=""),AND($CJ13&gt;$CI$31,NOT($CJ13="")),AND($CM13&gt;$CI$31,NOT($CM13="")),AND($DF13&gt;$DE$31,NOT($DF13="")),AND($DI13&gt;$DE$31,NOT($DI13="")),AND($EB13&gt;$EA$31,NOT($EB13="")),AND($EE13&gt;$EA$31,NOT($EE13="")),AND($EX13&gt;$EW$31,NOT($EX13="")),AND($FA13&gt;$EW$31,NOT($FA13="")),AND($FT13&gt;$FS$31,NOT($FT13="")),AND($FW13&gt;$FS$31,NOT($FW13="")),AND($GP13&gt;$GO$31,NOT($GP13="")),AND($GS13&gt;$GO$31,NOT($GS13="")),AND($HL13&gt;$HK$31,NOT($HL13="")),AND($HO13&gt;$HK$31,NOT($HO13="")),AND($IH13&gt;$IG$31,NOT($IH13="")),AND($IK13&gt;$IG$31,NOT($IK13="")),AND($JD13&gt;$JC$31,NOT($JD13="")),AND($JG13&gt;$JC$31,NOT($JG13="")),AND($JZ13&gt;$JY$31,NOT($JZ13="")),AND($KC13&gt;$JY$31,NOT($KC13="")),AND($KV13&gt;$KU$31,NOT($KV13="")),AND($KY13&gt;$KU$31,NOT($KY13="")),AND($LR13&gt;$LQ$31,NOT($LR13="")),AND($LU13&gt;$LQ$31,NOT($LU13="")))),"Merit",IF(AND(G13="P",OR(AND($AN13&gt;$AL$30,NOT($AN13=""),$AJ13=""),AND($BK13&gt;$BI$30,NOT($BK13=""),$BG13=""),AND($CK13&gt;$CI$30,NOT($CK13="")),AND($DG13&gt;$DE$30,NOT($DG13="")),AND($EC13&gt;$EA$30,NOT($EC13="")),AND($EY13&gt;$EW$30,NOT($EY13="")),AND($FU13&gt;$FS$30,NOT($FU13="")),AND($GQ13&gt;$GO$30,NOT($GQ13="")),AND($HM13&gt;$HK$30,NOT($HM13="")),AND($II13&gt;$IG$30,NOT($II13="")),AND($JE13&gt;$JC$30,NOT($JE13="")),AND($KA13&gt;$JY$30,NOT($KA13="")),AND($KW13&gt;$KU$30,NOT($KW13="")),AND($LS13&gt;$LQ$30,NOT($LS13="")))),"Excellence",IF(AND(G13="P",OR(AND($AN13&gt;$AL$29,NOT($AN13=""),$AJ13=""),AND($BK13&gt;$BI$29,NOT($BK13=""),$BG13=""),AND($CK13&gt;$CI$29,NOT($CK13="")),AND($DG13&gt;$DE$29,NOT($DG13="")),AND($EC13&gt;$EA$29,NOT($EC13="")),AND($EY13&gt;$EW$29,NOT($EY13="")),AND($FU13&gt;$FS$29,NOT($FU13="")),AND($GQ13&gt;$GO$29,NOT($GQ13="")),AND($HM13&gt;$HK$29,NOT($HM13="")),AND($II13&gt;$IG$29,NOT($II13="")),AND($JE13&gt;$JC$29,NOT($JE13="")),AND($KA13&gt;$JY$29,NOT($KA13="")),AND($KW13&gt;$KU$29,NOT($KW13="")),AND($LS13&gt;$LQ$29,NOT($LS13="")))),"Worlds Team",IF(AND(F13="P",OR(AND($AN13&gt;$AL$28,NOT($AN13=""),$AJ13=""),AND($BK13&gt;$BI$28,NOT($BK13=""),$BG13=""),AND($CK13&gt;$CI$28,NOT($CK13="")),AND($DG13&gt;$DE$28,NOT($DG13="")),AND($EC13&gt;$EA$28,NOT($EC13="")),AND($EY13&gt;$EW$28,NOT($EY13="")),AND($FU13&gt;$FS$28,NOT($FU13="")),AND($GQ13&gt;$GO$28,NOT($GQ13="")),AND($HM13&gt;$HK$28,NOT($HM13="")),AND($II13&gt;$IG$28,NOT($II13="")),AND($JE13&gt;$JC$28,NOT($JE13="")),AND($KA13&gt;$JY$28,NOT($KA13="")),AND($KW13&gt;$KU$28,NOT($KW13="")),AND($LS13&gt;$LQ$28,NOT($LS13="")))),"National Team","")))))</f>
        <v/>
      </c>
      <c r="J13" s="15">
        <f>IF(MAX(AN13,BK13)&gt;0,MAX(AN13,BK13),"")</f>
        <v>95.46</v>
      </c>
      <c r="K13" s="15" t="str">
        <f>IF(J13="","",IF(J13=BK13,$AR$1,IF(J13=AN13,$U$1,"")))</f>
        <v>2019 Elite Canada</v>
      </c>
      <c r="L13" s="15">
        <f>IF($J13=$AN13,BI13,IF($J13=$BK13,AL13,MAX(AL13,BI13)))</f>
        <v>43.75</v>
      </c>
      <c r="M13" s="15" t="str">
        <f>IF(L13="","",IF(AND(L13=BI13,$K13&lt;&gt;$AR$1),$AR$1,IF(AND(L13=AL13,$K13&lt;&gt;$U$1),$U$1,"")))</f>
        <v>2018 Nationals</v>
      </c>
      <c r="N13" s="15">
        <f>IF($J13=$AN13,BJ13,IF($J13=$BK13,AM13,MAX(AM13,BJ13)))</f>
        <v>49.735000000000007</v>
      </c>
      <c r="O13" s="15" t="str">
        <f>IF(N13="","",IF(AND(N13=BJ13,$K13&lt;&gt;$AR$1),$AR$1,IF(AND(N13=AM13,$K13&lt;&gt;$U$1),$U$1,"")))</f>
        <v>2018 Nationals</v>
      </c>
      <c r="P13" s="15">
        <f>IF(MAX(AP13,BM13)&gt;0,MAX(AP13,BM13),"")</f>
        <v>52.16</v>
      </c>
      <c r="Q13" s="15" t="str">
        <f>IF(P13="","",IF(P13=BM13,$AR$1,IF(P13=AP13,$U$1,"")))</f>
        <v>2019 Elite Canada</v>
      </c>
      <c r="R13" s="15" t="str">
        <f>IF(MAX(BO13,BP13,BQ13,BR13)&gt;0,MAX(BO13,BP13,BQ13,BR13),"")</f>
        <v/>
      </c>
      <c r="S13" s="25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63">
        <v>14.7</v>
      </c>
      <c r="V13" s="63">
        <v>9.4499999999999993</v>
      </c>
      <c r="W13" s="63">
        <v>4</v>
      </c>
      <c r="X13" s="63">
        <v>15.6</v>
      </c>
      <c r="Y13" s="63">
        <v>0</v>
      </c>
      <c r="Z13" s="63">
        <v>12.8</v>
      </c>
      <c r="AA13" s="63">
        <v>8.9</v>
      </c>
      <c r="AB13" s="63">
        <v>12.7</v>
      </c>
      <c r="AC13" s="63">
        <v>15.335000000000001</v>
      </c>
      <c r="AD13" s="63">
        <v>0</v>
      </c>
      <c r="AE13" s="63"/>
      <c r="AF13" s="63"/>
      <c r="AG13" s="63"/>
      <c r="AH13" s="63"/>
      <c r="AI13" s="63"/>
      <c r="AJ13" s="74"/>
      <c r="AK13" s="12">
        <f>IF(AB13&gt;0,AB13,"")</f>
        <v>12.7</v>
      </c>
      <c r="AL13" s="12">
        <f>IF(SUM(U13:X13)-Y13&gt;0,SUM(U13:X13)-Y13,"")</f>
        <v>43.75</v>
      </c>
      <c r="AM13" s="12">
        <f>IF(SUM(Z13:AC13)-AD13&gt;0,SUM(Z13:AC13)-AD13,"")</f>
        <v>49.735000000000007</v>
      </c>
      <c r="AN13" s="12">
        <f>IF(SUM(AL13:AM13)&gt;0,SUM(AL13:AM13),"")</f>
        <v>93.485000000000014</v>
      </c>
      <c r="AO13" s="12" t="str">
        <f>IF(AG13&gt;0,AG13,"")</f>
        <v/>
      </c>
      <c r="AP13" s="12" t="str">
        <f>IF(SUM(AE13:AH13)-AI13&gt;0,SUM(AE13:AH13)-AI13,"")</f>
        <v/>
      </c>
      <c r="AQ13" s="12">
        <f>IF(SUM(AN13,AP13)&gt;0,SUM(AN13,AP13),"")</f>
        <v>93.485000000000014</v>
      </c>
      <c r="AR13" s="69">
        <v>15.3</v>
      </c>
      <c r="AS13" s="69">
        <v>9</v>
      </c>
      <c r="AT13" s="69">
        <v>3.5</v>
      </c>
      <c r="AU13" s="69">
        <v>15.86</v>
      </c>
      <c r="AV13" s="69">
        <v>0</v>
      </c>
      <c r="AW13" s="69">
        <v>15.2</v>
      </c>
      <c r="AX13" s="69">
        <v>9.0500000000000007</v>
      </c>
      <c r="AY13" s="69">
        <v>12</v>
      </c>
      <c r="AZ13" s="69">
        <v>15.55</v>
      </c>
      <c r="BA13" s="69">
        <v>0</v>
      </c>
      <c r="BB13" s="69">
        <v>15</v>
      </c>
      <c r="BC13" s="69">
        <v>9.25</v>
      </c>
      <c r="BD13" s="69">
        <v>12</v>
      </c>
      <c r="BE13" s="69">
        <v>15.91</v>
      </c>
      <c r="BF13" s="69">
        <v>0</v>
      </c>
      <c r="BG13" s="75"/>
      <c r="BH13" s="15">
        <f>IF(AY13&gt;0,AY13,"")</f>
        <v>12</v>
      </c>
      <c r="BI13" s="15">
        <f>IF(SUM(AR13:AU13)-AV13&gt;0,SUM(AR13:AU13)-AV13,"")</f>
        <v>43.66</v>
      </c>
      <c r="BJ13" s="15">
        <f>IF(SUM(AW13:AZ13)-BA13&gt;0,SUM(AW13:AZ13)-BA13,"")</f>
        <v>51.8</v>
      </c>
      <c r="BK13" s="15">
        <f>IF(SUM(BI13:BJ13)&gt;0,SUM(BI13:BJ13),"")</f>
        <v>95.46</v>
      </c>
      <c r="BL13" s="15">
        <f>IF(BD13&gt;0,BD13,"")</f>
        <v>12</v>
      </c>
      <c r="BM13" s="15">
        <f>IF(SUM(BB13:BE13)-BF13&gt;0,SUM(BB13:BE13)-BF13,"")</f>
        <v>52.16</v>
      </c>
      <c r="BN13" s="15">
        <f>IF(SUM(BK13,BM13)&gt;0,SUM(BK13,BM13),"")</f>
        <v>147.62</v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 t="str">
        <f>IF(MAX(CJ13,DF13,EB13,EX13,FT13,GP13,HL13,IH13,JD13,JZ13,KV13,LR13)-IF(N13="",0,N13)&gt;0.001,MAX(CJ13,DF13,EB13,EX13,FT13,GP13,HL13,IH13,JD13,JZ13,KV13,LR13)-IF(N13="",0,N13),"")</f>
        <v/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15</v>
      </c>
      <c r="LX13" s="63">
        <f t="shared" si="8"/>
        <v>9.2249999999999996</v>
      </c>
      <c r="LY13" s="63">
        <f t="shared" si="9"/>
        <v>3.75</v>
      </c>
      <c r="LZ13" s="63">
        <f t="shared" si="10"/>
        <v>15.73</v>
      </c>
      <c r="MA13" s="63">
        <f t="shared" si="11"/>
        <v>0</v>
      </c>
      <c r="MB13" s="63">
        <f t="shared" si="12"/>
        <v>14</v>
      </c>
      <c r="MC13" s="63">
        <f t="shared" si="13"/>
        <v>8.9750000000000014</v>
      </c>
      <c r="MD13" s="63">
        <f t="shared" si="14"/>
        <v>12.35</v>
      </c>
      <c r="ME13" s="63">
        <f t="shared" si="15"/>
        <v>15.442500000000001</v>
      </c>
      <c r="MF13" s="63">
        <f t="shared" si="16"/>
        <v>0</v>
      </c>
      <c r="MG13" s="63">
        <f t="shared" si="17"/>
        <v>7.5</v>
      </c>
      <c r="MH13" s="63">
        <f t="shared" si="18"/>
        <v>4.625</v>
      </c>
      <c r="MI13" s="63">
        <f t="shared" si="19"/>
        <v>6</v>
      </c>
      <c r="MJ13" s="63">
        <f t="shared" si="20"/>
        <v>7.9550000000000001</v>
      </c>
      <c r="MK13" s="63">
        <f t="shared" si="21"/>
        <v>0</v>
      </c>
      <c r="ML13" s="74" t="s">
        <v>119</v>
      </c>
      <c r="MM13" s="12">
        <f t="shared" si="22"/>
        <v>12.35</v>
      </c>
      <c r="MN13" s="12">
        <f t="shared" si="23"/>
        <v>43.704999999999998</v>
      </c>
      <c r="MO13" s="12">
        <f t="shared" si="24"/>
        <v>50.767500000000005</v>
      </c>
      <c r="MP13" s="12">
        <f t="shared" si="25"/>
        <v>94.472499999999997</v>
      </c>
      <c r="MQ13" s="12">
        <f t="shared" si="26"/>
        <v>6</v>
      </c>
      <c r="MR13" s="12">
        <f t="shared" si="27"/>
        <v>26.08</v>
      </c>
      <c r="MS13" s="12">
        <f t="shared" si="28"/>
        <v>120.55249999999999</v>
      </c>
    </row>
    <row r="14" spans="1:357" x14ac:dyDescent="0.2">
      <c r="A14" s="6" t="str">
        <f>IF(AND(F14="P",H14="P"),SUMPRODUCT((F$4:F$24="P")*(H$4:H$24="P")*(E$4:E$24&gt;E14))+1,IF(H14="P",SUMPRODUCT((F$4:F$24="")*(H$4:H$24="P")*(E$4:E$24&gt;E14))+1+SUMPRODUCT((F$4:F$24="P")*(H$4:H$24="P")),""))</f>
        <v/>
      </c>
      <c r="B14" s="7" t="s">
        <v>114</v>
      </c>
      <c r="C14" s="8" t="s">
        <v>3</v>
      </c>
      <c r="D14" s="27">
        <v>2003</v>
      </c>
      <c r="E14" s="16">
        <f>SUM(J14:R14)</f>
        <v>232.87499999999997</v>
      </c>
      <c r="F14" s="4" t="str">
        <f>IF(OR(AND($AK14&gt;=$AL$26,NOT($AK14=""),$AJ14=""),AND($BH14&gt;=$BI$26,NOT($BH14=""),$BG14=""),AND($CH14&gt;=$CI$26,NOT($CH14="")),AND($DD14&gt;=$DE$26,NOT($DD14="")),AND($DZ14&gt;=$EA$26,NOT($DZ14="")),AND($EV14&gt;=$EW$26,NOT($EV14="")),AND($FR14&gt;=$FS$26,NOT($FR14="")),AND($GN14&gt;=$GO$26,NOT($GN14="")),AND($HJ14&gt;=$HK$26,NOT($HJ14="")),AND($IF14&gt;=$IG$26,NOT($IF14="")),AND($JB14&gt;=$JC$26,NOT($JB14="")),AND($JX14&gt;=$JY$26,NOT($JX14="")),AND($KT14&gt;=$KU$26,NOT($KT14="")),AND($LP14&gt;=$LQ$26,NOT($LP14=""))),"P","")</f>
        <v/>
      </c>
      <c r="G14" s="4" t="str">
        <f>IF(OR(AND($AK14&gt;=$AL$27,NOT($AK14=""),$AJ14=""),AND($BH14&gt;=$BI$27,NOT($BH14=""),$BG14=""),AND($CH14&gt;=$CI$27,NOT($CH14="")),AND($DD14&gt;=$DE$27,NOT($DD14="")),AND($DZ14&gt;=$EA$27,NOT($DZ14="")),AND($EV14&gt;=$EW$27,NOT($EV14="")),AND($FR14&gt;=$FS$27,NOT($FR14="")),AND($GN14&gt;=$GO$27,NOT($GN14="")),AND($HJ14&gt;=$HK$27,NOT($HJ14="")),AND($IF14&gt;=$IG$27,NOT($IF14="")),AND($JB14&gt;=$JC$27,NOT($JB14="")),AND($JX14&gt;=$JY$27,NOT($JX14="")),AND($KT14&gt;=$KU$27,NOT($KT14="")),AND($LP14&gt;=$LQ$27,NOT($LP14=""))),"P","")</f>
        <v/>
      </c>
      <c r="H14" s="4" t="str">
        <f>IF(OR(AND($AN14&gt;=$AL$28,NOT($AN14=""),$AJ14=""),AND($BK14&gt;=$BI$28,NOT($BK14=""),$BG14=""),AND($CK14&gt;=$CI$28,NOT($CK14="")),AND($DG14&gt;=$DE$28,NOT($DG14="")),AND($EC14&gt;=$EA$28,NOT($EC14="")),AND($EY14&gt;=$EW$28,NOT($EY14="")),AND($FU14&gt;=$FS$28,NOT($FU14="")),AND($GQ14&gt;=$GO$28,NOT($GQ14="")),AND($HM14&gt;=$HK$28,NOT($HM14="")),AND($II14&gt;=$IG$28,NOT($II14="")),AND($JE14&gt;=$JC$28,NOT($JE14="")),AND($KA14&gt;=$JY$28,NOT($KA14="")),AND($KW14&gt;=$KU$28,NOT($KW14="")),AND($LS14&gt;=$LQ$28,NOT($LS14=""))),"P","")</f>
        <v/>
      </c>
      <c r="I14" t="str">
        <f>IF(AND(H14="P",F14=""),"No DD",IF(AND(G14="P",OR(AND($AM14&gt;$AL$31,NOT($AM14=""),$AJ14=""),AND($AP14&gt;$AL$31,NOT($AP14=""),$AJ14=""),AND($BJ14&gt;$BI$31,NOT($BJ14=""),$BG14=""),AND($BM14&gt;$BI$31,NOT($BM14=""),$BG14=""),AND($CJ14&gt;$CI$31,NOT($CJ14="")),AND($CM14&gt;$CI$31,NOT($CM14="")),AND($DF14&gt;$DE$31,NOT($DF14="")),AND($DI14&gt;$DE$31,NOT($DI14="")),AND($EB14&gt;$EA$31,NOT($EB14="")),AND($EE14&gt;$EA$31,NOT($EE14="")),AND($EX14&gt;$EW$31,NOT($EX14="")),AND($FA14&gt;$EW$31,NOT($FA14="")),AND($FT14&gt;$FS$31,NOT($FT14="")),AND($FW14&gt;$FS$31,NOT($FW14="")),AND($GP14&gt;$GO$31,NOT($GP14="")),AND($GS14&gt;$GO$31,NOT($GS14="")),AND($HL14&gt;$HK$31,NOT($HL14="")),AND($HO14&gt;$HK$31,NOT($HO14="")),AND($IH14&gt;$IG$31,NOT($IH14="")),AND($IK14&gt;$IG$31,NOT($IK14="")),AND($JD14&gt;$JC$31,NOT($JD14="")),AND($JG14&gt;$JC$31,NOT($JG14="")),AND($JZ14&gt;$JY$31,NOT($JZ14="")),AND($KC14&gt;$JY$31,NOT($KC14="")),AND($KV14&gt;$KU$31,NOT($KV14="")),AND($KY14&gt;$KU$31,NOT($KY14="")),AND($LR14&gt;$LQ$31,NOT($LR14="")),AND($LU14&gt;$LQ$31,NOT($LU14="")))),"Merit",IF(AND(G14="P",OR(AND($AN14&gt;$AL$30,NOT($AN14=""),$AJ14=""),AND($BK14&gt;$BI$30,NOT($BK14=""),$BG14=""),AND($CK14&gt;$CI$30,NOT($CK14="")),AND($DG14&gt;$DE$30,NOT($DG14="")),AND($EC14&gt;$EA$30,NOT($EC14="")),AND($EY14&gt;$EW$30,NOT($EY14="")),AND($FU14&gt;$FS$30,NOT($FU14="")),AND($GQ14&gt;$GO$30,NOT($GQ14="")),AND($HM14&gt;$HK$30,NOT($HM14="")),AND($II14&gt;$IG$30,NOT($II14="")),AND($JE14&gt;$JC$30,NOT($JE14="")),AND($KA14&gt;$JY$30,NOT($KA14="")),AND($KW14&gt;$KU$30,NOT($KW14="")),AND($LS14&gt;$LQ$30,NOT($LS14="")))),"Excellence",IF(AND(G14="P",OR(AND($AN14&gt;$AL$29,NOT($AN14=""),$AJ14=""),AND($BK14&gt;$BI$29,NOT($BK14=""),$BG14=""),AND($CK14&gt;$CI$29,NOT($CK14="")),AND($DG14&gt;$DE$29,NOT($DG14="")),AND($EC14&gt;$EA$29,NOT($EC14="")),AND($EY14&gt;$EW$29,NOT($EY14="")),AND($FU14&gt;$FS$29,NOT($FU14="")),AND($GQ14&gt;$GO$29,NOT($GQ14="")),AND($HM14&gt;$HK$29,NOT($HM14="")),AND($II14&gt;$IG$29,NOT($II14="")),AND($JE14&gt;$JC$29,NOT($JE14="")),AND($KA14&gt;$JY$29,NOT($KA14="")),AND($KW14&gt;$KU$29,NOT($KW14="")),AND($LS14&gt;$LQ$29,NOT($LS14="")))),"Worlds Team",IF(AND(F14="P",OR(AND($AN14&gt;$AL$28,NOT($AN14=""),$AJ14=""),AND($BK14&gt;$BI$28,NOT($BK14=""),$BG14=""),AND($CK14&gt;$CI$28,NOT($CK14="")),AND($DG14&gt;$DE$28,NOT($DG14="")),AND($EC14&gt;$EA$28,NOT($EC14="")),AND($EY14&gt;$EW$28,NOT($EY14="")),AND($FU14&gt;$FS$28,NOT($FU14="")),AND($GQ14&gt;$GO$28,NOT($GQ14="")),AND($HM14&gt;$HK$28,NOT($HM14="")),AND($II14&gt;$IG$28,NOT($II14="")),AND($JE14&gt;$JC$28,NOT($JE14="")),AND($KA14&gt;$JY$28,NOT($KA14="")),AND($KW14&gt;$KU$28,NOT($KW14="")),AND($LS14&gt;$LQ$28,NOT($LS14="")))),"National Team","")))))</f>
        <v/>
      </c>
      <c r="J14" s="15">
        <f>IF(MAX(AN14,BK14)&gt;0,MAX(AN14,BK14),"")</f>
        <v>92.52</v>
      </c>
      <c r="K14" s="15" t="str">
        <f>IF(J14="","",IF(J14=BK14,$AR$1,IF(J14=AN14,$U$1,"")))</f>
        <v>2018 Nationals</v>
      </c>
      <c r="L14" s="15">
        <f>IF($J14=$AN14,BI14,IF($J14=$BK14,AL14,MAX(AL14,BI14)))</f>
        <v>44.4</v>
      </c>
      <c r="M14" s="15" t="str">
        <f>IF(L14="","",IF(AND(L14=BI14,$K14&lt;&gt;$AR$1),$AR$1,IF(AND(L14=AL14,$K14&lt;&gt;$U$1),$U$1,"")))</f>
        <v>2019 Elite Canada</v>
      </c>
      <c r="N14" s="15">
        <f>IF($J14=$AN14,BJ14,IF($J14=$BK14,AM14,MAX(AM14,BJ14)))</f>
        <v>45.569999999999993</v>
      </c>
      <c r="O14" s="15" t="str">
        <f>IF(N14="","",IF(AND(N14=BJ14,$K14&lt;&gt;$AR$1),$AR$1,IF(AND(N14=AM14,$K14&lt;&gt;$U$1),$U$1,"")))</f>
        <v>2019 Elite Canada</v>
      </c>
      <c r="P14" s="15">
        <f>IF(MAX(AP14,BM14)&gt;0,MAX(AP14,BM14),"")</f>
        <v>50.384999999999998</v>
      </c>
      <c r="Q14" s="15" t="str">
        <f>IF(P14="","",IF(P14=BM14,$AR$1,IF(P14=AP14,$U$1,"")))</f>
        <v>2018 Nationals</v>
      </c>
      <c r="R14" s="15" t="str">
        <f>IF(MAX(BO14,BP14,BQ14,BR14)&gt;0,MAX(BO14,BP14,BQ14,BR14),"")</f>
        <v/>
      </c>
      <c r="S14" s="25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63">
        <v>15.4</v>
      </c>
      <c r="V14" s="63">
        <v>9.25</v>
      </c>
      <c r="W14" s="63">
        <v>4.5</v>
      </c>
      <c r="X14" s="63">
        <v>14.734999999999999</v>
      </c>
      <c r="Y14" s="63">
        <v>0</v>
      </c>
      <c r="Z14" s="63">
        <v>12.7</v>
      </c>
      <c r="AA14" s="63">
        <v>8.9499999999999993</v>
      </c>
      <c r="AB14" s="63">
        <v>13.1</v>
      </c>
      <c r="AC14" s="63">
        <v>13.885</v>
      </c>
      <c r="AD14" s="63">
        <v>0</v>
      </c>
      <c r="AE14" s="63">
        <v>13.7</v>
      </c>
      <c r="AF14" s="63">
        <v>9.75</v>
      </c>
      <c r="AG14" s="63">
        <v>13.1</v>
      </c>
      <c r="AH14" s="63">
        <v>14.135</v>
      </c>
      <c r="AI14" s="63">
        <v>0.3</v>
      </c>
      <c r="AJ14" s="74"/>
      <c r="AK14" s="12">
        <f>IF(AB14&gt;0,AB14,"")</f>
        <v>13.1</v>
      </c>
      <c r="AL14" s="12">
        <f>IF(SUM(U14:X14)-Y14&gt;0,SUM(U14:X14)-Y14,"")</f>
        <v>43.884999999999998</v>
      </c>
      <c r="AM14" s="12">
        <f>IF(SUM(Z14:AC14)-AD14&gt;0,SUM(Z14:AC14)-AD14,"")</f>
        <v>48.634999999999998</v>
      </c>
      <c r="AN14" s="12">
        <f>IF(SUM(AL14:AM14)&gt;0,SUM(AL14:AM14),"")</f>
        <v>92.52</v>
      </c>
      <c r="AO14" s="12">
        <f>IF(AG14&gt;0,AG14,"")</f>
        <v>13.1</v>
      </c>
      <c r="AP14" s="12">
        <f>IF(SUM(AE14:AH14)-AI14&gt;0,SUM(AE14:AH14)-AI14,"")</f>
        <v>50.384999999999998</v>
      </c>
      <c r="AQ14" s="12">
        <f>IF(SUM(AN14,AP14)&gt;0,SUM(AN14,AP14),"")</f>
        <v>142.905</v>
      </c>
      <c r="AR14" s="69">
        <v>15.1</v>
      </c>
      <c r="AS14" s="69">
        <v>9.1</v>
      </c>
      <c r="AT14" s="69">
        <v>4.8</v>
      </c>
      <c r="AU14" s="69">
        <v>15.4</v>
      </c>
      <c r="AV14" s="69">
        <v>0</v>
      </c>
      <c r="AW14" s="69">
        <v>9.6</v>
      </c>
      <c r="AX14" s="69">
        <v>8.6999999999999993</v>
      </c>
      <c r="AY14" s="69">
        <v>12.7</v>
      </c>
      <c r="AZ14" s="69">
        <v>14.57</v>
      </c>
      <c r="BA14" s="69">
        <v>0</v>
      </c>
      <c r="BB14" s="69">
        <v>1.4</v>
      </c>
      <c r="BC14" s="69">
        <v>0.9</v>
      </c>
      <c r="BD14" s="69">
        <v>1.7</v>
      </c>
      <c r="BE14" s="69">
        <v>1.63</v>
      </c>
      <c r="BF14" s="69">
        <v>0</v>
      </c>
      <c r="BG14" s="75"/>
      <c r="BH14" s="15">
        <f>IF(AY14&gt;0,AY14,"")</f>
        <v>12.7</v>
      </c>
      <c r="BI14" s="15">
        <f>IF(SUM(AR14:AU14)-AV14&gt;0,SUM(AR14:AU14)-AV14,"")</f>
        <v>44.4</v>
      </c>
      <c r="BJ14" s="15">
        <f>IF(SUM(AW14:AZ14)-BA14&gt;0,SUM(AW14:AZ14)-BA14,"")</f>
        <v>45.569999999999993</v>
      </c>
      <c r="BK14" s="15">
        <f>IF(SUM(BI14:BJ14)&gt;0,SUM(BI14:BJ14),"")</f>
        <v>89.97</v>
      </c>
      <c r="BL14" s="15">
        <f>IF(BD14&gt;0,BD14,"")</f>
        <v>1.7</v>
      </c>
      <c r="BM14" s="15">
        <f>IF(SUM(BB14:BE14)-BF14&gt;0,SUM(BB14:BE14)-BF14,"")</f>
        <v>5.63</v>
      </c>
      <c r="BN14" s="15">
        <f>IF(SUM(BK14,BM14)&gt;0,SUM(BK14,BM14),"")</f>
        <v>95.6</v>
      </c>
      <c r="BO14" s="24" t="str">
        <f>IF(MAX(CI14,DE14,EA14,EW14,FS14,GO14,HK14,IG14,JC14,JY14,KU14,LQ14)-IF(L14="",0,L14)&gt;0.001,MAX(CI14,DE14,EA14,EW14,FS14,GO14,HK14,IG14,JC14,JY14,KU14,LQ14)-IF(L14="",0,L14),"")</f>
        <v/>
      </c>
      <c r="BP14" s="24" t="str">
        <f>IF(MAX(CJ14,DF14,EB14,EX14,FT14,GP14,HL14,IH14,JD14,JZ14,KV14,LR14)-IF(N14="",0,N14)&gt;0.001,MAX(CJ14,DF14,EB14,EX14,FT14,GP14,HL14,IH14,JD14,JZ14,KV14,LR14)-IF(N14="",0,N14),"")</f>
        <v/>
      </c>
      <c r="BQ14" s="24" t="str">
        <f>IF(MAX(CK14,DG14,EC14,EY14,FU14,GQ14,HM14,II14,JE14,KA14,KW14,LS14)-IF(J14="",0,J14)&gt;0.001,MAX(CK14,DG14,EC14,EY14,FU14,GQ14,HM14,II14,JE14,KA14,KW14,LS14)-IF(J14="",0,J14),"")</f>
        <v/>
      </c>
      <c r="BR14" s="24" t="str">
        <f>IF(MAX(CM14,DI14,EE14,FA14,FW14,GS14,HO14,IK14,JG14,KC14,KY14,LU14)-IF(P14="",0,P14)&gt;0.001,MAX(CM14,DI14,EE14,FA14,FW14,GS14,HO14,IK14,JG14,KC14,KY14,LU14)-IF(P14="",0,P14),"")</f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63">
        <f t="shared" si="7"/>
        <v>15.25</v>
      </c>
      <c r="LX14" s="63">
        <f t="shared" si="8"/>
        <v>9.1750000000000007</v>
      </c>
      <c r="LY14" s="63">
        <f t="shared" si="9"/>
        <v>4.6500000000000004</v>
      </c>
      <c r="LZ14" s="63">
        <f t="shared" si="10"/>
        <v>15.067499999999999</v>
      </c>
      <c r="MA14" s="63">
        <f t="shared" si="11"/>
        <v>0</v>
      </c>
      <c r="MB14" s="63">
        <f t="shared" si="12"/>
        <v>11.149999999999999</v>
      </c>
      <c r="MC14" s="63">
        <f t="shared" si="13"/>
        <v>8.8249999999999993</v>
      </c>
      <c r="MD14" s="63">
        <f t="shared" si="14"/>
        <v>12.899999999999999</v>
      </c>
      <c r="ME14" s="63">
        <f t="shared" si="15"/>
        <v>14.227499999999999</v>
      </c>
      <c r="MF14" s="63">
        <f t="shared" si="16"/>
        <v>0</v>
      </c>
      <c r="MG14" s="63">
        <f t="shared" si="17"/>
        <v>7.55</v>
      </c>
      <c r="MH14" s="63">
        <f t="shared" si="18"/>
        <v>5.3250000000000002</v>
      </c>
      <c r="MI14" s="63">
        <f t="shared" si="19"/>
        <v>7.3999999999999995</v>
      </c>
      <c r="MJ14" s="63">
        <f t="shared" si="20"/>
        <v>7.8825000000000003</v>
      </c>
      <c r="MK14" s="63">
        <f t="shared" si="21"/>
        <v>0.15</v>
      </c>
      <c r="ML14" s="74" t="s">
        <v>119</v>
      </c>
      <c r="MM14" s="12">
        <f t="shared" si="22"/>
        <v>12.899999999999999</v>
      </c>
      <c r="MN14" s="12">
        <f t="shared" si="23"/>
        <v>44.142499999999998</v>
      </c>
      <c r="MO14" s="12">
        <f t="shared" si="24"/>
        <v>47.102499999999999</v>
      </c>
      <c r="MP14" s="12">
        <f t="shared" si="25"/>
        <v>91.245000000000005</v>
      </c>
      <c r="MQ14" s="12">
        <f t="shared" si="26"/>
        <v>7.3999999999999995</v>
      </c>
      <c r="MR14" s="12">
        <f t="shared" si="27"/>
        <v>28.0075</v>
      </c>
      <c r="MS14" s="12">
        <f t="shared" si="28"/>
        <v>119.2525</v>
      </c>
    </row>
    <row r="15" spans="1:357" x14ac:dyDescent="0.2">
      <c r="A15" s="6">
        <f>IF(AND(F15="P",H15="P"),SUMPRODUCT((F$4:F$24="P")*(H$4:H$24="P")*(E$4:E$24&gt;E15))+1,IF(H15="P",SUMPRODUCT((F$4:F$24="")*(H$4:H$24="P")*(E$4:E$24&gt;E15))+1+SUMPRODUCT((F$4:F$24="P")*(H$4:H$24="P")),""))</f>
        <v>6</v>
      </c>
      <c r="B15" s="9" t="s">
        <v>89</v>
      </c>
      <c r="C15" s="5" t="s">
        <v>6</v>
      </c>
      <c r="D15" s="8">
        <v>2000</v>
      </c>
      <c r="E15" s="16">
        <f>SUM(J15:R15)</f>
        <v>194.08500000000001</v>
      </c>
      <c r="F15" s="4" t="str">
        <f>IF(OR(AND($AK15&gt;=$AL$26,NOT($AK15=""),$AJ15=""),AND($BH15&gt;=$BI$26,NOT($BH15=""),$BG15=""),AND($CH15&gt;=$CI$26,NOT($CH15="")),AND($DD15&gt;=$DE$26,NOT($DD15="")),AND($DZ15&gt;=$EA$26,NOT($DZ15="")),AND($EV15&gt;=$EW$26,NOT($EV15="")),AND($FR15&gt;=$FS$26,NOT($FR15="")),AND($GN15&gt;=$GO$26,NOT($GN15="")),AND($HJ15&gt;=$HK$26,NOT($HJ15="")),AND($IF15&gt;=$IG$26,NOT($IF15="")),AND($JB15&gt;=$JC$26,NOT($JB15="")),AND($JX15&gt;=$JY$26,NOT($JX15="")),AND($KT15&gt;=$KU$26,NOT($KT15="")),AND($LP15&gt;=$LQ$26,NOT($LP15=""))),"P","")</f>
        <v/>
      </c>
      <c r="G15" s="4" t="str">
        <f>IF(OR(AND($AK15&gt;=$AL$27,NOT($AK15=""),$AJ15=""),AND($BH15&gt;=$BI$27,NOT($BH15=""),$BG15=""),AND($CH15&gt;=$CI$27,NOT($CH15="")),AND($DD15&gt;=$DE$27,NOT($DD15="")),AND($DZ15&gt;=$EA$27,NOT($DZ15="")),AND($EV15&gt;=$EW$27,NOT($EV15="")),AND($FR15&gt;=$FS$27,NOT($FR15="")),AND($GN15&gt;=$GO$27,NOT($GN15="")),AND($HJ15&gt;=$HK$27,NOT($HJ15="")),AND($IF15&gt;=$IG$27,NOT($IF15="")),AND($JB15&gt;=$JC$27,NOT($JB15="")),AND($JX15&gt;=$JY$27,NOT($JX15="")),AND($KT15&gt;=$KU$27,NOT($KT15="")),AND($LP15&gt;=$LQ$27,NOT($LP15=""))),"P","")</f>
        <v/>
      </c>
      <c r="H15" s="4" t="str">
        <f>IF(OR(AND($AN15&gt;=$AL$28,NOT($AN15=""),$AJ15=""),AND($BK15&gt;=$BI$28,NOT($BK15=""),$BG15=""),AND($CK15&gt;=$CI$28,NOT($CK15="")),AND($DG15&gt;=$DE$28,NOT($DG15="")),AND($EC15&gt;=$EA$28,NOT($EC15="")),AND($EY15&gt;=$EW$28,NOT($EY15="")),AND($FU15&gt;=$FS$28,NOT($FU15="")),AND($GQ15&gt;=$GO$28,NOT($GQ15="")),AND($HM15&gt;=$HK$28,NOT($HM15="")),AND($II15&gt;=$IG$28,NOT($II15="")),AND($JE15&gt;=$JC$28,NOT($JE15="")),AND($KA15&gt;=$JY$28,NOT($KA15="")),AND($KW15&gt;=$KU$28,NOT($KW15="")),AND($LS15&gt;=$LQ$28,NOT($LS15=""))),"P","")</f>
        <v>P</v>
      </c>
      <c r="I15" t="str">
        <f>IF(AND(H15="P",F15=""),"No DD",IF(AND(G15="P",OR(AND($AM15&gt;$AL$31,NOT($AM15=""),$AJ15=""),AND($AP15&gt;$AL$31,NOT($AP15=""),$AJ15=""),AND($BJ15&gt;$BI$31,NOT($BJ15=""),$BG15=""),AND($BM15&gt;$BI$31,NOT($BM15=""),$BG15=""),AND($CJ15&gt;$CI$31,NOT($CJ15="")),AND($CM15&gt;$CI$31,NOT($CM15="")),AND($DF15&gt;$DE$31,NOT($DF15="")),AND($DI15&gt;$DE$31,NOT($DI15="")),AND($EB15&gt;$EA$31,NOT($EB15="")),AND($EE15&gt;$EA$31,NOT($EE15="")),AND($EX15&gt;$EW$31,NOT($EX15="")),AND($FA15&gt;$EW$31,NOT($FA15="")),AND($FT15&gt;$FS$31,NOT($FT15="")),AND($FW15&gt;$FS$31,NOT($FW15="")),AND($GP15&gt;$GO$31,NOT($GP15="")),AND($GS15&gt;$GO$31,NOT($GS15="")),AND($HL15&gt;$HK$31,NOT($HL15="")),AND($HO15&gt;$HK$31,NOT($HO15="")),AND($IH15&gt;$IG$31,NOT($IH15="")),AND($IK15&gt;$IG$31,NOT($IK15="")),AND($JD15&gt;$JC$31,NOT($JD15="")),AND($JG15&gt;$JC$31,NOT($JG15="")),AND($JZ15&gt;$JY$31,NOT($JZ15="")),AND($KC15&gt;$JY$31,NOT($KC15="")),AND($KV15&gt;$KU$31,NOT($KV15="")),AND($KY15&gt;$KU$31,NOT($KY15="")),AND($LR15&gt;$LQ$31,NOT($LR15="")),AND($LU15&gt;$LQ$31,NOT($LU15="")))),"Merit",IF(AND(G15="P",OR(AND($AN15&gt;$AL$30,NOT($AN15=""),$AJ15=""),AND($BK15&gt;$BI$30,NOT($BK15=""),$BG15=""),AND($CK15&gt;$CI$30,NOT($CK15="")),AND($DG15&gt;$DE$30,NOT($DG15="")),AND($EC15&gt;$EA$30,NOT($EC15="")),AND($EY15&gt;$EW$30,NOT($EY15="")),AND($FU15&gt;$FS$30,NOT($FU15="")),AND($GQ15&gt;$GO$30,NOT($GQ15="")),AND($HM15&gt;$HK$30,NOT($HM15="")),AND($II15&gt;$IG$30,NOT($II15="")),AND($JE15&gt;$JC$30,NOT($JE15="")),AND($KA15&gt;$JY$30,NOT($KA15="")),AND($KW15&gt;$KU$30,NOT($KW15="")),AND($LS15&gt;$LQ$30,NOT($LS15="")))),"Excellence",IF(AND(G15="P",OR(AND($AN15&gt;$AL$29,NOT($AN15=""),$AJ15=""),AND($BK15&gt;$BI$29,NOT($BK15=""),$BG15=""),AND($CK15&gt;$CI$29,NOT($CK15="")),AND($DG15&gt;$DE$29,NOT($DG15="")),AND($EC15&gt;$EA$29,NOT($EC15="")),AND($EY15&gt;$EW$29,NOT($EY15="")),AND($FU15&gt;$FS$29,NOT($FU15="")),AND($GQ15&gt;$GO$29,NOT($GQ15="")),AND($HM15&gt;$HK$29,NOT($HM15="")),AND($II15&gt;$IG$29,NOT($II15="")),AND($JE15&gt;$JC$29,NOT($JE15="")),AND($KA15&gt;$JY$29,NOT($KA15="")),AND($KW15&gt;$KU$29,NOT($KW15="")),AND($LS15&gt;$LQ$29,NOT($LS15="")))),"Worlds Team",IF(AND(F15="P",OR(AND($AN15&gt;$AL$28,NOT($AN15=""),$AJ15=""),AND($BK15&gt;$BI$28,NOT($BK15=""),$BG15=""),AND($CK15&gt;$CI$28,NOT($CK15="")),AND($DG15&gt;$DE$28,NOT($DG15="")),AND($EC15&gt;$EA$28,NOT($EC15="")),AND($EY15&gt;$EW$28,NOT($EY15="")),AND($FU15&gt;$FS$28,NOT($FU15="")),AND($GQ15&gt;$GO$28,NOT($GQ15="")),AND($HM15&gt;$HK$28,NOT($HM15="")),AND($II15&gt;$IG$28,NOT($II15="")),AND($JE15&gt;$JC$28,NOT($JE15="")),AND($KA15&gt;$JY$28,NOT($KA15="")),AND($KW15&gt;$KU$28,NOT($KW15="")),AND($LS15&gt;$LQ$28,NOT($LS15="")))),"National Team","")))))</f>
        <v>No DD</v>
      </c>
      <c r="J15" s="15">
        <f>IF(MAX(AN15,BK15)&gt;0,MAX(AN15,BK15),"")</f>
        <v>98.34</v>
      </c>
      <c r="K15" s="15" t="str">
        <f>IF(J15="","",IF(J15=BK15,$AR$1,IF(J15=AN15,$U$1,"")))</f>
        <v>2018 Nationals</v>
      </c>
      <c r="L15" s="15" t="str">
        <f>IF($J15=$AN15,BI15,IF($J15=$BK15,AL15,MAX(AL15,BI15)))</f>
        <v/>
      </c>
      <c r="M15" s="15" t="str">
        <f>IF(L15="","",IF(AND(L15=BI15,$K15&lt;&gt;$AR$1),$AR$1,IF(AND(L15=AL15,$K15&lt;&gt;$U$1),$U$1,"")))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>
        <f>IF(MAX(AP15,BM15)&gt;0,MAX(AP15,BM15),"")</f>
        <v>53.019999999999996</v>
      </c>
      <c r="Q15" s="15" t="str">
        <f>IF(P15="","",IF(P15=BM15,$AR$1,IF(P15=AP15,$U$1,"")))</f>
        <v>2018 Nationals</v>
      </c>
      <c r="R15" s="15">
        <f>IF(MAX(BO15,BP15,BQ15,BR15)&gt;0,MAX(BO15,BP15,BQ15,BR15),"")</f>
        <v>42.724999999999994</v>
      </c>
      <c r="S15" s="25" t="str">
        <f>IF(R15="","",IF(R15=BO15,"(Vol 1)",IF(R15=BP15,"(Vol 2)",IF(R15=BQ15,"(Prelim)",IF(R15=BR15,"(Final)")))))</f>
        <v>(Vol 1)</v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>2018 World Age Groups (Nov 18)</v>
      </c>
      <c r="U15" s="63">
        <v>16.600000000000001</v>
      </c>
      <c r="V15" s="63">
        <v>9.5500000000000007</v>
      </c>
      <c r="W15" s="63">
        <v>3.9</v>
      </c>
      <c r="X15" s="63">
        <v>16.164999999999999</v>
      </c>
      <c r="Y15" s="63">
        <v>0</v>
      </c>
      <c r="Z15" s="63">
        <v>15.8</v>
      </c>
      <c r="AA15" s="63">
        <v>9.0500000000000007</v>
      </c>
      <c r="AB15" s="63">
        <v>11.5</v>
      </c>
      <c r="AC15" s="63">
        <v>15.775</v>
      </c>
      <c r="AD15" s="63">
        <v>0</v>
      </c>
      <c r="AE15" s="63">
        <v>16.5</v>
      </c>
      <c r="AF15" s="63">
        <v>8.9</v>
      </c>
      <c r="AG15" s="63">
        <v>11.7</v>
      </c>
      <c r="AH15" s="63">
        <v>15.92</v>
      </c>
      <c r="AI15" s="63">
        <v>0</v>
      </c>
      <c r="AJ15" s="74"/>
      <c r="AK15" s="12">
        <f>IF(AB15&gt;0,AB15,"")</f>
        <v>11.5</v>
      </c>
      <c r="AL15" s="12">
        <f>IF(SUM(U15:X15)-Y15&gt;0,SUM(U15:X15)-Y15,"")</f>
        <v>46.215000000000003</v>
      </c>
      <c r="AM15" s="12">
        <f>IF(SUM(Z15:AC15)-AD15&gt;0,SUM(Z15:AC15)-AD15,"")</f>
        <v>52.125</v>
      </c>
      <c r="AN15" s="12">
        <f>IF(SUM(AL15:AM15)&gt;0,SUM(AL15:AM15),"")</f>
        <v>98.34</v>
      </c>
      <c r="AO15" s="12">
        <f>IF(AG15&gt;0,AG15,"")</f>
        <v>11.7</v>
      </c>
      <c r="AP15" s="12">
        <f>IF(SUM(AE15:AH15)-AI15&gt;0,SUM(AE15:AH15)-AI15,"")</f>
        <v>53.019999999999996</v>
      </c>
      <c r="AQ15" s="12">
        <f>IF(SUM(AN15,AP15)&gt;0,SUM(AN15,AP15),"")</f>
        <v>151.36000000000001</v>
      </c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75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4">
        <f>IF(MAX(CI15,DE15,EA15,EW15,FS15,GO15,HK15,IG15,JC15,JY15,KU15,LQ15)-IF(L15="",0,L15)&gt;0.001,MAX(CI15,DE15,EA15,EW15,FS15,GO15,HK15,IG15,JC15,JY15,KU15,LQ15)-IF(L15="",0,L15),"")</f>
        <v>42.724999999999994</v>
      </c>
      <c r="BP15" s="24">
        <f>IF(MAX(CJ15,DF15,EB15,EX15,FT15,GP15,HL15,IH15,JD15,JZ15,KV15,LR15)-IF(N15="",0,N15)&gt;0.001,MAX(CJ15,DF15,EB15,EX15,FT15,GP15,HL15,IH15,JD15,JZ15,KV15,LR15)-IF(N15="",0,N15),"")</f>
        <v>35.49</v>
      </c>
      <c r="BQ15" s="24" t="str">
        <f>IF(MAX(CK15,DG15,EC15,EY15,FU15,GQ15,HM15,II15,JE15,KA15,KW15,LS15)-IF(J15="",0,J15)&gt;0.001,MAX(CK15,DG15,EC15,EY15,FU15,GQ15,HM15,II15,JE15,KA15,KW15,LS15)-IF(J15="",0,J15),"")</f>
        <v/>
      </c>
      <c r="BR15" s="24" t="str">
        <f>IF(MAX(CM15,DI15,EE15,FA15,FW15,GS15,HO15,IK15,JG15,KC15,KY15,LU15)-IF(P15="",0,P15)&gt;0.001,MAX(CM15,DI15,EE15,FA15,FW15,GS15,HO15,IK15,JG15,KC15,KY15,LU15)-IF(P15="",0,P15),"")</f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37">
        <v>16.399999999999999</v>
      </c>
      <c r="EH15" s="37">
        <v>9.6999999999999993</v>
      </c>
      <c r="EI15" s="37">
        <v>0</v>
      </c>
      <c r="EJ15" s="37">
        <v>16.625</v>
      </c>
      <c r="EK15" s="37">
        <v>0</v>
      </c>
      <c r="EL15" s="37">
        <v>9.4</v>
      </c>
      <c r="EM15" s="37">
        <v>5.8</v>
      </c>
      <c r="EN15" s="37">
        <v>9.3000000000000007</v>
      </c>
      <c r="EO15" s="37">
        <v>10.99</v>
      </c>
      <c r="EP15" s="37">
        <v>0</v>
      </c>
      <c r="EQ15" s="37"/>
      <c r="ER15" s="37"/>
      <c r="ES15" s="37"/>
      <c r="ET15" s="37"/>
      <c r="EU15" s="37"/>
      <c r="EV15" s="15">
        <f>IF(EN15&gt;0,EN15,"")</f>
        <v>9.3000000000000007</v>
      </c>
      <c r="EW15" s="15">
        <f>IF(SUM(EG15:EJ15)-EK15&gt;0,SUM(EG15:EJ15)-EK15,"")</f>
        <v>42.724999999999994</v>
      </c>
      <c r="EX15" s="15">
        <f>IF(SUM(EL15:EO15)-EP15&gt;0,SUM(EL15:EO15)-EP15,"")</f>
        <v>35.49</v>
      </c>
      <c r="EY15" s="15">
        <f>IF(SUM(EW15:EX15)&gt;0,SUM(EW15:EX15),"")</f>
        <v>78.215000000000003</v>
      </c>
      <c r="EZ15" s="15" t="str">
        <f>IF(ES15&gt;0,ES15,"")</f>
        <v/>
      </c>
      <c r="FA15" s="15" t="str">
        <f>IF(SUM(EQ15:ET15)-EU15&gt;0,SUM(EQ15:ET15)-EU15,"")</f>
        <v/>
      </c>
      <c r="FB15" s="15">
        <f>IF(SUM(EY15,FA15)&gt;0,SUM(EY15,FA15),"")</f>
        <v>78.215000000000003</v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63">
        <f t="shared" si="7"/>
        <v>8.3000000000000007</v>
      </c>
      <c r="LX15" s="63">
        <f t="shared" si="8"/>
        <v>4.7750000000000004</v>
      </c>
      <c r="LY15" s="63">
        <f t="shared" si="9"/>
        <v>1.95</v>
      </c>
      <c r="LZ15" s="63">
        <f t="shared" si="10"/>
        <v>8.0824999999999996</v>
      </c>
      <c r="MA15" s="63">
        <f t="shared" si="11"/>
        <v>0</v>
      </c>
      <c r="MB15" s="63">
        <f t="shared" si="12"/>
        <v>7.9</v>
      </c>
      <c r="MC15" s="63">
        <f t="shared" si="13"/>
        <v>4.5250000000000004</v>
      </c>
      <c r="MD15" s="63">
        <f t="shared" si="14"/>
        <v>5.75</v>
      </c>
      <c r="ME15" s="63">
        <f t="shared" si="15"/>
        <v>7.8875000000000002</v>
      </c>
      <c r="MF15" s="63">
        <f t="shared" si="16"/>
        <v>0</v>
      </c>
      <c r="MG15" s="63">
        <f t="shared" si="17"/>
        <v>8.25</v>
      </c>
      <c r="MH15" s="63">
        <f t="shared" si="18"/>
        <v>4.45</v>
      </c>
      <c r="MI15" s="63">
        <f t="shared" si="19"/>
        <v>5.85</v>
      </c>
      <c r="MJ15" s="63">
        <f t="shared" si="20"/>
        <v>7.96</v>
      </c>
      <c r="MK15" s="63">
        <f t="shared" si="21"/>
        <v>0</v>
      </c>
      <c r="ML15" s="74" t="s">
        <v>119</v>
      </c>
      <c r="MM15" s="12">
        <f t="shared" si="22"/>
        <v>5.75</v>
      </c>
      <c r="MN15" s="12">
        <f t="shared" si="23"/>
        <v>23.107500000000002</v>
      </c>
      <c r="MO15" s="12">
        <f t="shared" si="24"/>
        <v>26.0625</v>
      </c>
      <c r="MP15" s="12">
        <f t="shared" si="25"/>
        <v>49.17</v>
      </c>
      <c r="MQ15" s="12">
        <f t="shared" si="26"/>
        <v>5.85</v>
      </c>
      <c r="MR15" s="12">
        <f t="shared" si="27"/>
        <v>26.509999999999998</v>
      </c>
      <c r="MS15" s="12">
        <f t="shared" si="28"/>
        <v>75.680000000000007</v>
      </c>
    </row>
    <row r="16" spans="1:357" x14ac:dyDescent="0.2">
      <c r="A16" s="6" t="str">
        <f>IF(AND(F16="P",H16="P"),SUMPRODUCT((F$4:F$24="P")*(H$4:H$24="P")*(E$4:E$24&gt;E16))+1,IF(H16="P",SUMPRODUCT((F$4:F$24="")*(H$4:H$24="P")*(E$4:E$24&gt;E16))+1+SUMPRODUCT((F$4:F$24="P")*(H$4:H$24="P")),""))</f>
        <v/>
      </c>
      <c r="B16" s="7" t="s">
        <v>90</v>
      </c>
      <c r="C16" s="8" t="s">
        <v>3</v>
      </c>
      <c r="D16" s="27">
        <v>2001</v>
      </c>
      <c r="E16" s="16">
        <f>SUM(J16:R16)</f>
        <v>186.66</v>
      </c>
      <c r="F16" s="4" t="str">
        <f>IF(OR(AND($AK16&gt;=$AL$26,NOT($AK16=""),$AJ16=""),AND($BH16&gt;=$BI$26,NOT($BH16=""),$BG16=""),AND($CH16&gt;=$CI$26,NOT($CH16="")),AND($DD16&gt;=$DE$26,NOT($DD16="")),AND($DZ16&gt;=$EA$26,NOT($DZ16="")),AND($EV16&gt;=$EW$26,NOT($EV16="")),AND($FR16&gt;=$FS$26,NOT($FR16="")),AND($GN16&gt;=$GO$26,NOT($GN16="")),AND($HJ16&gt;=$HK$26,NOT($HJ16="")),AND($IF16&gt;=$IG$26,NOT($IF16="")),AND($JB16&gt;=$JC$26,NOT($JB16="")),AND($JX16&gt;=$JY$26,NOT($JX16="")),AND($KT16&gt;=$KU$26,NOT($KT16="")),AND($LP16&gt;=$LQ$26,NOT($LP16=""))),"P","")</f>
        <v/>
      </c>
      <c r="G16" s="4" t="str">
        <f>IF(OR(AND($AK16&gt;=$AL$27,NOT($AK16=""),$AJ16=""),AND($BH16&gt;=$BI$27,NOT($BH16=""),$BG16=""),AND($CH16&gt;=$CI$27,NOT($CH16="")),AND($DD16&gt;=$DE$27,NOT($DD16="")),AND($DZ16&gt;=$EA$27,NOT($DZ16="")),AND($EV16&gt;=$EW$27,NOT($EV16="")),AND($FR16&gt;=$FS$27,NOT($FR16="")),AND($GN16&gt;=$GO$27,NOT($GN16="")),AND($HJ16&gt;=$HK$27,NOT($HJ16="")),AND($IF16&gt;=$IG$27,NOT($IF16="")),AND($JB16&gt;=$JC$27,NOT($JB16="")),AND($JX16&gt;=$JY$27,NOT($JX16="")),AND($KT16&gt;=$KU$27,NOT($KT16="")),AND($LP16&gt;=$LQ$27,NOT($LP16=""))),"P","")</f>
        <v/>
      </c>
      <c r="H16" s="4" t="str">
        <f>IF(OR(AND($AN16&gt;=$AL$28,NOT($AN16=""),$AJ16=""),AND($BK16&gt;=$BI$28,NOT($BK16=""),$BG16=""),AND($CK16&gt;=$CI$28,NOT($CK16="")),AND($DG16&gt;=$DE$28,NOT($DG16="")),AND($EC16&gt;=$EA$28,NOT($EC16="")),AND($EY16&gt;=$EW$28,NOT($EY16="")),AND($FU16&gt;=$FS$28,NOT($FU16="")),AND($GQ16&gt;=$GO$28,NOT($GQ16="")),AND($HM16&gt;=$HK$28,NOT($HM16="")),AND($II16&gt;=$IG$28,NOT($II16="")),AND($JE16&gt;=$JC$28,NOT($JE16="")),AND($KA16&gt;=$JY$28,NOT($KA16="")),AND($KW16&gt;=$KU$28,NOT($KW16="")),AND($LS16&gt;=$LQ$28,NOT($LS16=""))),"P","")</f>
        <v/>
      </c>
      <c r="I16" t="str">
        <f>IF(AND(H16="P",F16=""),"No DD",IF(AND(G16="P",OR(AND($AM16&gt;$AL$31,NOT($AM16=""),$AJ16=""),AND($AP16&gt;$AL$31,NOT($AP16=""),$AJ16=""),AND($BJ16&gt;$BI$31,NOT($BJ16=""),$BG16=""),AND($BM16&gt;$BI$31,NOT($BM16=""),$BG16=""),AND($CJ16&gt;$CI$31,NOT($CJ16="")),AND($CM16&gt;$CI$31,NOT($CM16="")),AND($DF16&gt;$DE$31,NOT($DF16="")),AND($DI16&gt;$DE$31,NOT($DI16="")),AND($EB16&gt;$EA$31,NOT($EB16="")),AND($EE16&gt;$EA$31,NOT($EE16="")),AND($EX16&gt;$EW$31,NOT($EX16="")),AND($FA16&gt;$EW$31,NOT($FA16="")),AND($FT16&gt;$FS$31,NOT($FT16="")),AND($FW16&gt;$FS$31,NOT($FW16="")),AND($GP16&gt;$GO$31,NOT($GP16="")),AND($GS16&gt;$GO$31,NOT($GS16="")),AND($HL16&gt;$HK$31,NOT($HL16="")),AND($HO16&gt;$HK$31,NOT($HO16="")),AND($IH16&gt;$IG$31,NOT($IH16="")),AND($IK16&gt;$IG$31,NOT($IK16="")),AND($JD16&gt;$JC$31,NOT($JD16="")),AND($JG16&gt;$JC$31,NOT($JG16="")),AND($JZ16&gt;$JY$31,NOT($JZ16="")),AND($KC16&gt;$JY$31,NOT($KC16="")),AND($KV16&gt;$KU$31,NOT($KV16="")),AND($KY16&gt;$KU$31,NOT($KY16="")),AND($LR16&gt;$LQ$31,NOT($LR16="")),AND($LU16&gt;$LQ$31,NOT($LU16="")))),"Merit",IF(AND(G16="P",OR(AND($AN16&gt;$AL$30,NOT($AN16=""),$AJ16=""),AND($BK16&gt;$BI$30,NOT($BK16=""),$BG16=""),AND($CK16&gt;$CI$30,NOT($CK16="")),AND($DG16&gt;$DE$30,NOT($DG16="")),AND($EC16&gt;$EA$30,NOT($EC16="")),AND($EY16&gt;$EW$30,NOT($EY16="")),AND($FU16&gt;$FS$30,NOT($FU16="")),AND($GQ16&gt;$GO$30,NOT($GQ16="")),AND($HM16&gt;$HK$30,NOT($HM16="")),AND($II16&gt;$IG$30,NOT($II16="")),AND($JE16&gt;$JC$30,NOT($JE16="")),AND($KA16&gt;$JY$30,NOT($KA16="")),AND($KW16&gt;$KU$30,NOT($KW16="")),AND($LS16&gt;$LQ$30,NOT($LS16="")))),"Excellence",IF(AND(G16="P",OR(AND($AN16&gt;$AL$29,NOT($AN16=""),$AJ16=""),AND($BK16&gt;$BI$29,NOT($BK16=""),$BG16=""),AND($CK16&gt;$CI$29,NOT($CK16="")),AND($DG16&gt;$DE$29,NOT($DG16="")),AND($EC16&gt;$EA$29,NOT($EC16="")),AND($EY16&gt;$EW$29,NOT($EY16="")),AND($FU16&gt;$FS$29,NOT($FU16="")),AND($GQ16&gt;$GO$29,NOT($GQ16="")),AND($HM16&gt;$HK$29,NOT($HM16="")),AND($II16&gt;$IG$29,NOT($II16="")),AND($JE16&gt;$JC$29,NOT($JE16="")),AND($KA16&gt;$JY$29,NOT($KA16="")),AND($KW16&gt;$KU$29,NOT($KW16="")),AND($LS16&gt;$LQ$29,NOT($LS16="")))),"Worlds Team",IF(AND(F16="P",OR(AND($AN16&gt;$AL$28,NOT($AN16=""),$AJ16=""),AND($BK16&gt;$BI$28,NOT($BK16=""),$BG16=""),AND($CK16&gt;$CI$28,NOT($CK16="")),AND($DG16&gt;$DE$28,NOT($DG16="")),AND($EC16&gt;$EA$28,NOT($EC16="")),AND($EY16&gt;$EW$28,NOT($EY16="")),AND($FU16&gt;$FS$28,NOT($FU16="")),AND($GQ16&gt;$GO$28,NOT($GQ16="")),AND($HM16&gt;$HK$28,NOT($HM16="")),AND($II16&gt;$IG$28,NOT($II16="")),AND($JE16&gt;$JC$28,NOT($JE16="")),AND($KA16&gt;$JY$28,NOT($KA16="")),AND($KW16&gt;$KU$28,NOT($KW16="")),AND($LS16&gt;$LQ$28,NOT($LS16="")))),"National Team","")))))</f>
        <v/>
      </c>
      <c r="J16" s="15">
        <f>IF(MAX(AN16,BK16)&gt;0,MAX(AN16,BK16),"")</f>
        <v>97.635000000000005</v>
      </c>
      <c r="K16" s="15" t="str">
        <f>IF(J16="","",IF(J16=BK16,$AR$1,IF(J16=AN16,$U$1,"")))</f>
        <v>2018 Nationals</v>
      </c>
      <c r="L16" s="15">
        <f>IF($J16=$AN16,BI16,IF($J16=$BK16,AL16,MAX(AL16,BI16)))</f>
        <v>45.744999999999997</v>
      </c>
      <c r="M16" s="15" t="str">
        <f>IF(L16="","",IF(AND(L16=BI16,$K16&lt;&gt;$AR$1),$AR$1,IF(AND(L16=AL16,$K16&lt;&gt;$U$1),$U$1,"")))</f>
        <v>2019 Elite Canada</v>
      </c>
      <c r="N16" s="15">
        <f>IF($J16=$AN16,BJ16,IF($J16=$BK16,AM16,MAX(AM16,BJ16)))</f>
        <v>31.97</v>
      </c>
      <c r="O16" s="15" t="str">
        <f>IF(N16="","",IF(AND(N16=BJ16,$K16&lt;&gt;$AR$1),$AR$1,IF(AND(N16=AM16,$K16&lt;&gt;$U$1),$U$1,"")))</f>
        <v>2019 Elite Canada</v>
      </c>
      <c r="P16" s="15">
        <f>IF(MAX(AP16,BM16)&gt;0,MAX(AP16,BM16),"")</f>
        <v>11.31</v>
      </c>
      <c r="Q16" s="15" t="str">
        <f>IF(P16="","",IF(P16=BM16,$AR$1,IF(P16=AP16,$U$1,"")))</f>
        <v>2019 Elite Canada</v>
      </c>
      <c r="R16" s="15" t="str">
        <f>IF(MAX(BO16,BP16,BQ16,BR16)&gt;0,MAX(BO16,BP16,BQ16,BR16),"")</f>
        <v/>
      </c>
      <c r="S16" s="25" t="str">
        <f>IF(R16="","",IF(R16=BO16,"(Vol 1)",IF(R16=BP16,"(Vol 2)",IF(R16=BQ16,"(Prelim)",IF(R16=BR16,"(Final)")))))</f>
        <v/>
      </c>
      <c r="T16" s="15" t="str">
        <f>IF(R16="","",IF(R16=BO16,IF(R16+IF(L16="",0,L16)=LQ16,$LA$1,IF(R16+IF(L16="",0,L16)=KU16,$KE$1,IF(R16+IF(L16="",0,L16)=JY16,$JI$1,IF(R16+IF(L16="",0,L16)=JC16,$IM$1,IF(R16+IF(L16="",0,L16)=IG16,$HQ$1,IF(R16+IF(L16="",0,L16)=HK16,$GU$1,IF(R16+IF(L16="",0,L16)=GO16,$FY$1,IF(R16+IF(L16="",0,L16)=FS16,$FC$1,IF(R16+IF(L16="",0,L16)=EW16,$EG$1,IF(R16+IF(L16="",0,L16)=EA16,$DK$1,IF(R16+IF(L16="",0,L16)=DE16,$CO$1,IF(R16+IF(L16="",0,L16)=CI16,$BS$1)))))))))))),IF(R16=BP16,IF(R16+IF(N16="",0,N16)=LR16,$LA$1,IF(R16+IF(N16="",0,N16)=KV16,$KE$1,IF(R16+IF(N16="",0,N16)=JZ16,$JI$1,IF(R16+IF(N16="",0,N16)=JD16,$IM$1,IF(R16+IF(N16="",0,N16)=IH16,$HQ$1,IF(R16+IF(N16="",0,N16)=HL16,$GU$1,IF(R16+IF(N16="",0,N16)=GP16,$FY$1,IF(R16+IF(N16="",0,N16)=FT16,$FC$1,IF(R16+IF(N16="",0,N16)=EX16,$EG$1,IF(R16+IF(N16="",0,N16)=EB16,$DK$1,IF(R16+IF(N16="",0,N16)=DF16,$CO$1,IF(R16+IF(N16="",0,N16)=CJ16,$BS$1)))))))))))),IF(R16=BQ16,IF(R16+IF(J16="",0,J16)=LS16,$LA$1,IF(R16+IF(J16="",0,J16)=KW16,$KE$1,IF(R16+IF(J16="",0,J16)=KA16,$JI$1,IF(R16+IF(J16="",0,J16)=JE16,$IM$1,IF(R16+IF(J16="",0,J16)=II16,$HQ$1,IF(R16+IF(J16="",0,J16)=HM16,$GU$1,IF(R16+IF(J16="",0,J16)=GQ16,$FY$1,IF(R16+IF(J16="",0,J16)=FU16,$FC$1,IF(R16+IF(J16="",0,J16)=EY16,$EG$1,IF(R16+IF(J16="",0,J16)=EC16,$DK$1,IF(R16+IF(J16="",0,J16)=DG16,$CO$1,IF(R16+IF(J16="",0,J16)=CK16,$BS$1)))))))))))),IF(R16=BR16,IF(R16+IF(P16="",0,P16)=LU16,$LA$1,IF(R16+IF(P16="",0,P16)=KY16,$KE$1,IF(R16+IF(P16="",0,P16)=KC16,$JI$1,IF(R16+IF(P16="",0,P16)=JG16,$IM$1,IF(R16+IF(P16="",0,P16)=IK16,$HQ$1,IF(R16+IF(P16="",0,P16)=HO16,$GU$1,IF(R16+IF(P16="",0,P16)=GS16,$FY$1,IF(R16+IF(P16="",0,P16)=FW16,$FC$1,IF(R16+IF(P16="",0,P16)=FA16,$EG$1,IF(R16+IF(P16="",0,P16)=EE16,$DK$1,IF(R16+IF(P16="",0,P16)=DI16,$CO$1,IF(R16+IF(P16="",0,P16)=CM16,$BS$1)))))))))))))))))</f>
        <v/>
      </c>
      <c r="U16" s="63">
        <v>17.600000000000001</v>
      </c>
      <c r="V16" s="63">
        <v>9.1999999999999993</v>
      </c>
      <c r="W16" s="63">
        <v>3.5</v>
      </c>
      <c r="X16" s="63">
        <v>16.245000000000001</v>
      </c>
      <c r="Y16" s="63">
        <v>0</v>
      </c>
      <c r="Z16" s="63">
        <v>13.4</v>
      </c>
      <c r="AA16" s="63">
        <v>9.1999999999999993</v>
      </c>
      <c r="AB16" s="63">
        <v>13.4</v>
      </c>
      <c r="AC16" s="63">
        <v>15.09</v>
      </c>
      <c r="AD16" s="63">
        <v>0</v>
      </c>
      <c r="AE16" s="63">
        <v>3.2</v>
      </c>
      <c r="AF16" s="63">
        <v>2</v>
      </c>
      <c r="AG16" s="63">
        <v>2.5</v>
      </c>
      <c r="AH16" s="63">
        <v>3.33</v>
      </c>
      <c r="AI16" s="63">
        <v>0</v>
      </c>
      <c r="AJ16" s="74"/>
      <c r="AK16" s="12">
        <f>IF(AB16&gt;0,AB16,"")</f>
        <v>13.4</v>
      </c>
      <c r="AL16" s="12">
        <f>IF(SUM(U16:X16)-Y16&gt;0,SUM(U16:X16)-Y16,"")</f>
        <v>46.545000000000002</v>
      </c>
      <c r="AM16" s="12">
        <f>IF(SUM(Z16:AC16)-AD16&gt;0,SUM(Z16:AC16)-AD16,"")</f>
        <v>51.09</v>
      </c>
      <c r="AN16" s="12">
        <f>IF(SUM(AL16:AM16)&gt;0,SUM(AL16:AM16),"")</f>
        <v>97.635000000000005</v>
      </c>
      <c r="AO16" s="12">
        <f>IF(AG16&gt;0,AG16,"")</f>
        <v>2.5</v>
      </c>
      <c r="AP16" s="12">
        <f>IF(SUM(AE16:AH16)-AI16&gt;0,SUM(AE16:AH16)-AI16,"")</f>
        <v>11.030000000000001</v>
      </c>
      <c r="AQ16" s="12">
        <f>IF(SUM(AN16,AP16)&gt;0,SUM(AN16,AP16),"")</f>
        <v>108.66500000000001</v>
      </c>
      <c r="AR16" s="69">
        <v>15.3</v>
      </c>
      <c r="AS16" s="69">
        <v>9.25</v>
      </c>
      <c r="AT16" s="69">
        <v>4.0999999999999996</v>
      </c>
      <c r="AU16" s="69">
        <v>17.094999999999999</v>
      </c>
      <c r="AV16" s="69">
        <v>0</v>
      </c>
      <c r="AW16" s="69">
        <v>8.6</v>
      </c>
      <c r="AX16" s="69">
        <v>5.55</v>
      </c>
      <c r="AY16" s="69">
        <v>8.1999999999999993</v>
      </c>
      <c r="AZ16" s="69">
        <v>9.6199999999999992</v>
      </c>
      <c r="BA16" s="69">
        <v>0</v>
      </c>
      <c r="BB16" s="69">
        <v>2.8</v>
      </c>
      <c r="BC16" s="69">
        <v>1.7</v>
      </c>
      <c r="BD16" s="69">
        <v>3.8</v>
      </c>
      <c r="BE16" s="69">
        <v>3.41</v>
      </c>
      <c r="BF16" s="69">
        <v>0.4</v>
      </c>
      <c r="BG16" s="75"/>
      <c r="BH16" s="15">
        <f>IF(AY16&gt;0,AY16,"")</f>
        <v>8.1999999999999993</v>
      </c>
      <c r="BI16" s="15">
        <f>IF(SUM(AR16:AU16)-AV16&gt;0,SUM(AR16:AU16)-AV16,"")</f>
        <v>45.744999999999997</v>
      </c>
      <c r="BJ16" s="15">
        <f>IF(SUM(AW16:AZ16)-BA16&gt;0,SUM(AW16:AZ16)-BA16,"")</f>
        <v>31.97</v>
      </c>
      <c r="BK16" s="15">
        <f>IF(SUM(BI16:BJ16)&gt;0,SUM(BI16:BJ16),"")</f>
        <v>77.715000000000003</v>
      </c>
      <c r="BL16" s="15">
        <f>IF(BD16&gt;0,BD16,"")</f>
        <v>3.8</v>
      </c>
      <c r="BM16" s="15">
        <f>IF(SUM(BB16:BE16)-BF16&gt;0,SUM(BB16:BE16)-BF16,"")</f>
        <v>11.31</v>
      </c>
      <c r="BN16" s="15">
        <f>IF(SUM(BK16,BM16)&gt;0,SUM(BK16,BM16),"")</f>
        <v>89.025000000000006</v>
      </c>
      <c r="BO16" s="24" t="str">
        <f>IF(MAX(CI16,DE16,EA16,EW16,FS16,GO16,HK16,IG16,JC16,JY16,KU16,LQ16)-IF(L16="",0,L16)&gt;0.001,MAX(CI16,DE16,EA16,EW16,FS16,GO16,HK16,IG16,JC16,JY16,KU16,LQ16)-IF(L16="",0,L16),"")</f>
        <v/>
      </c>
      <c r="BP16" s="24" t="str">
        <f>IF(MAX(CJ16,DF16,EB16,EX16,FT16,GP16,HL16,IH16,JD16,JZ16,KV16,LR16)-IF(N16="",0,N16)&gt;0.001,MAX(CJ16,DF16,EB16,EX16,FT16,GP16,HL16,IH16,JD16,JZ16,KV16,LR16)-IF(N16="",0,N16),"")</f>
        <v/>
      </c>
      <c r="BQ16" s="24" t="str">
        <f>IF(MAX(CK16,DG16,EC16,EY16,FU16,GQ16,HM16,II16,JE16,KA16,KW16,LS16)-IF(J16="",0,J16)&gt;0.001,MAX(CK16,DG16,EC16,EY16,FU16,GQ16,HM16,II16,JE16,KA16,KW16,LS16)-IF(J16="",0,J16),"")</f>
        <v/>
      </c>
      <c r="BR16" s="24" t="str">
        <f>IF(MAX(CM16,DI16,EE16,FA16,FW16,GS16,HO16,IK16,JG16,KC16,KY16,LU16)-IF(P16="",0,P16)&gt;0.001,MAX(CM16,DI16,EE16,FA16,FW16,GS16,HO16,IK16,JG16,KC16,KY16,LU16)-IF(P16="",0,P16),"")</f>
        <v/>
      </c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12" t="str">
        <f>IF(BZ16&gt;0,BZ16,"")</f>
        <v/>
      </c>
      <c r="CI16" s="12" t="str">
        <f>IF(SUM(BS16:BV16)-BW16&gt;0,SUM(BS16:BV16)-BW16,"")</f>
        <v/>
      </c>
      <c r="CJ16" s="12" t="str">
        <f>IF(SUM(BX16:CA16)-CB16&gt;0,SUM(BX16:CA16)-CB16,"")</f>
        <v/>
      </c>
      <c r="CK16" s="12" t="str">
        <f>IF(SUM(CI16:CJ16)&gt;0,SUM(CI16:CJ16),"")</f>
        <v/>
      </c>
      <c r="CL16" s="12" t="str">
        <f>IF(CE16&gt;0,CE16,"")</f>
        <v/>
      </c>
      <c r="CM16" s="12" t="str">
        <f>IF(SUM(CC16:CF16)-CG16&gt;0,SUM(CC16:CF16)-CG16,"")</f>
        <v/>
      </c>
      <c r="CN16" s="12" t="str">
        <f>IF(SUM(CK16,CM16)&gt;0,SUM(CK16,CM16),"")</f>
        <v/>
      </c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15" t="str">
        <f>IF(CV16&gt;0,CV16,"")</f>
        <v/>
      </c>
      <c r="DE16" s="15" t="str">
        <f>IF(SUM(CO16:CR16)-CS16&gt;0,SUM(CO16:CR16)-CS16,"")</f>
        <v/>
      </c>
      <c r="DF16" s="15" t="str">
        <f>IF(SUM(CT16:CW16)-CX16&gt;0,SUM(CT16:CW16)-CX16,"")</f>
        <v/>
      </c>
      <c r="DG16" s="15" t="str">
        <f>IF(SUM(DE16:DF16)&gt;0,SUM(DE16:DF16),"")</f>
        <v/>
      </c>
      <c r="DH16" s="15" t="str">
        <f>IF(DA16&gt;0,DA16,"")</f>
        <v/>
      </c>
      <c r="DI16" s="15" t="str">
        <f>IF(SUM(CY16:DB16)-DC16&gt;0,SUM(CY16:DB16)-DC16,"")</f>
        <v/>
      </c>
      <c r="DJ16" s="15" t="str">
        <f>IF(SUM(DG16,DI16)&gt;0,SUM(DG16,DI16),"")</f>
        <v/>
      </c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12" t="str">
        <f>IF(DR16&gt;0,DR16,"")</f>
        <v/>
      </c>
      <c r="EA16" s="12" t="str">
        <f>IF(SUM(DK16:DN16)-DO16&gt;0,SUM(DK16:DN16)-DO16,"")</f>
        <v/>
      </c>
      <c r="EB16" s="12" t="str">
        <f>IF(SUM(DP16:DS16)-DT16&gt;0,SUM(DP16:DS16)-DT16,"")</f>
        <v/>
      </c>
      <c r="EC16" s="12" t="str">
        <f>IF(SUM(EA16:EB16)&gt;0,SUM(EA16:EB16),"")</f>
        <v/>
      </c>
      <c r="ED16" s="12" t="str">
        <f>IF(DW16&gt;0,DW16,"")</f>
        <v/>
      </c>
      <c r="EE16" s="12" t="str">
        <f>IF(SUM(DU16:DX16)-DY16&gt;0,SUM(DU16:DX16)-DY16,"")</f>
        <v/>
      </c>
      <c r="EF16" s="12" t="str">
        <f>IF(SUM(EC16,EE16)&gt;0,SUM(EC16,EE16),"")</f>
        <v/>
      </c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15" t="str">
        <f>IF(EN16&gt;0,EN16,"")</f>
        <v/>
      </c>
      <c r="EW16" s="15" t="str">
        <f>IF(SUM(EG16:EJ16)-EK16&gt;0,SUM(EG16:EJ16)-EK16,"")</f>
        <v/>
      </c>
      <c r="EX16" s="15" t="str">
        <f>IF(SUM(EL16:EO16)-EP16&gt;0,SUM(EL16:EO16)-EP16,"")</f>
        <v/>
      </c>
      <c r="EY16" s="15" t="str">
        <f>IF(SUM(EW16:EX16)&gt;0,SUM(EW16:EX16),"")</f>
        <v/>
      </c>
      <c r="EZ16" s="15" t="str">
        <f>IF(ES16&gt;0,ES16,"")</f>
        <v/>
      </c>
      <c r="FA16" s="15" t="str">
        <f>IF(SUM(EQ16:ET16)-EU16&gt;0,SUM(EQ16:ET16)-EU16,"")</f>
        <v/>
      </c>
      <c r="FB16" s="15" t="str">
        <f>IF(SUM(EY16,FA16)&gt;0,SUM(EY16,FA16),"")</f>
        <v/>
      </c>
      <c r="FC16" s="36"/>
      <c r="FD16" s="36"/>
      <c r="FE16" s="36"/>
      <c r="FF16" s="36"/>
      <c r="FG16" s="36"/>
      <c r="FH16" s="36"/>
      <c r="FI16" s="36"/>
      <c r="FJ16" s="36"/>
      <c r="FK16" s="36"/>
      <c r="FL16" s="36"/>
      <c r="FM16" s="36"/>
      <c r="FN16" s="36"/>
      <c r="FO16" s="36"/>
      <c r="FP16" s="36"/>
      <c r="FQ16" s="36"/>
      <c r="FR16" s="12" t="str">
        <f>IF(FJ16&gt;0,FJ16,"")</f>
        <v/>
      </c>
      <c r="FS16" s="12" t="str">
        <f>IF(SUM(FC16:FF16)-FG16&gt;0,SUM(FC16:FF16)-FG16,"")</f>
        <v/>
      </c>
      <c r="FT16" s="12" t="str">
        <f>IF(SUM(FH16:FK16)-FL16&gt;0,SUM(FH16:FK16)-FL16,"")</f>
        <v/>
      </c>
      <c r="FU16" s="12" t="str">
        <f>IF(SUM(FS16:FT16)&gt;0,SUM(FS16:FT16),"")</f>
        <v/>
      </c>
      <c r="FV16" s="12" t="str">
        <f>IF(FO16&gt;0,FO16,"")</f>
        <v/>
      </c>
      <c r="FW16" s="12" t="str">
        <f>IF(SUM(FM16:FP16)-FQ16&gt;0,SUM(FM16:FP16)-FQ16,"")</f>
        <v/>
      </c>
      <c r="FX16" s="12" t="str">
        <f>IF(SUM(FU16,FW16)&gt;0,SUM(FU16,FW16),"")</f>
        <v/>
      </c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15" t="str">
        <f>IF(GF16&gt;0,GF16,"")</f>
        <v/>
      </c>
      <c r="GO16" s="15" t="str">
        <f>IF(SUM(FY16:GB16)-GC16&gt;0,SUM(FY16:GB16)-GC16,"")</f>
        <v/>
      </c>
      <c r="GP16" s="15" t="str">
        <f>IF(SUM(GD16:GG16)-GH16&gt;0,SUM(GD16:GG16)-GH16,"")</f>
        <v/>
      </c>
      <c r="GQ16" s="15" t="str">
        <f>IF(SUM(GO16:GP16)&gt;0,SUM(GO16:GP16),"")</f>
        <v/>
      </c>
      <c r="GR16" s="15" t="str">
        <f>IF(GK16&gt;0,GK16,"")</f>
        <v/>
      </c>
      <c r="GS16" s="15" t="str">
        <f>IF(SUM(GI16:GL16)-GM16&gt;0,SUM(GI16:GL16)-GM16,"")</f>
        <v/>
      </c>
      <c r="GT16" s="15" t="str">
        <f>IF(SUM(GQ16,GS16)&gt;0,SUM(GQ16,GS16),"")</f>
        <v/>
      </c>
      <c r="GU16" s="36"/>
      <c r="GV16" s="36"/>
      <c r="GW16" s="36"/>
      <c r="GX16" s="36"/>
      <c r="GY16" s="36"/>
      <c r="GZ16" s="36"/>
      <c r="HA16" s="36"/>
      <c r="HB16" s="36"/>
      <c r="HC16" s="36"/>
      <c r="HD16" s="36"/>
      <c r="HE16" s="36"/>
      <c r="HF16" s="36"/>
      <c r="HG16" s="36"/>
      <c r="HH16" s="36"/>
      <c r="HI16" s="36"/>
      <c r="HJ16" s="12" t="str">
        <f>IF(HB16&gt;0,HB16,"")</f>
        <v/>
      </c>
      <c r="HK16" s="12" t="str">
        <f>IF(SUM(GU16:GX16)-GY16&gt;0,SUM(GU16:GX16)-GY16,"")</f>
        <v/>
      </c>
      <c r="HL16" s="12" t="str">
        <f>IF(SUM(GZ16:HC16)-HD16&gt;0,SUM(GZ16:HC16)-HD16,"")</f>
        <v/>
      </c>
      <c r="HM16" s="12" t="str">
        <f>IF(SUM(HK16:HL16)&gt;0,SUM(HK16:HL16),"")</f>
        <v/>
      </c>
      <c r="HN16" s="12" t="str">
        <f>IF(HG16&gt;0,HG16,"")</f>
        <v/>
      </c>
      <c r="HO16" s="12" t="str">
        <f>IF(SUM(HE16:HH16)-HI16&gt;0,SUM(HE16:HH16)-HI16,"")</f>
        <v/>
      </c>
      <c r="HP16" s="12" t="str">
        <f>IF(SUM(HM16,HO16)&gt;0,SUM(HM16,HO16),"")</f>
        <v/>
      </c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15" t="str">
        <f>IF(HX16&gt;0,HX16,"")</f>
        <v/>
      </c>
      <c r="IG16" s="15" t="str">
        <f>IF(SUM(HQ16:HT16)-HU16&gt;0,SUM(HQ16:HT16)-HU16,"")</f>
        <v/>
      </c>
      <c r="IH16" s="15" t="str">
        <f>IF(SUM(HV16:HY16)-HZ16&gt;0,SUM(HV16:HY16)-HZ16,"")</f>
        <v/>
      </c>
      <c r="II16" s="15" t="str">
        <f>IF(SUM(IG16:IH16)&gt;0,SUM(IG16:IH16),"")</f>
        <v/>
      </c>
      <c r="IJ16" s="15" t="str">
        <f>IF(IC16&gt;0,IC16,"")</f>
        <v/>
      </c>
      <c r="IK16" s="15" t="str">
        <f>IF(SUM(IA16:ID16)-IE16&gt;0,SUM(IA16:ID16)-IE16,"")</f>
        <v/>
      </c>
      <c r="IL16" s="15" t="str">
        <f>IF(SUM(II16,IK16)&gt;0,SUM(II16,IK16),"")</f>
        <v/>
      </c>
      <c r="IM16" s="36"/>
      <c r="IN16" s="36"/>
      <c r="IO16" s="36"/>
      <c r="IP16" s="36"/>
      <c r="IQ16" s="36"/>
      <c r="IR16" s="36"/>
      <c r="IS16" s="36"/>
      <c r="IT16" s="36"/>
      <c r="IU16" s="36"/>
      <c r="IV16" s="36"/>
      <c r="IW16" s="36"/>
      <c r="IX16" s="36"/>
      <c r="IY16" s="36"/>
      <c r="IZ16" s="36"/>
      <c r="JA16" s="36"/>
      <c r="JB16" s="12" t="str">
        <f>IF(IT16&gt;0,IT16,"")</f>
        <v/>
      </c>
      <c r="JC16" s="12" t="str">
        <f>IF(SUM(IM16:IP16)-IQ16&gt;0,SUM(IM16:IP16)-IQ16,"")</f>
        <v/>
      </c>
      <c r="JD16" s="12" t="str">
        <f>IF(SUM(IR16:IU16)-IV16&gt;0,SUM(IR16:IU16)-IV16,"")</f>
        <v/>
      </c>
      <c r="JE16" s="12" t="str">
        <f>IF(SUM(JC16:JD16)&gt;0,SUM(JC16:JD16),"")</f>
        <v/>
      </c>
      <c r="JF16" s="12" t="str">
        <f>IF(IY16&gt;0,IY16,"")</f>
        <v/>
      </c>
      <c r="JG16" s="12" t="str">
        <f>IF(SUM(IW16:IZ16)-JA16&gt;0,SUM(IW16:IZ16)-JA16,"")</f>
        <v/>
      </c>
      <c r="JH16" s="12" t="str">
        <f>IF(SUM(JE16,JG16)&gt;0,SUM(JE16,JG16),"")</f>
        <v/>
      </c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15" t="str">
        <f>IF(JP16&gt;0,JP16,"")</f>
        <v/>
      </c>
      <c r="JY16" s="15" t="str">
        <f>IF(SUM(JI16:JL16)-JM16&gt;0,SUM(JI16:JL16)-JM16,"")</f>
        <v/>
      </c>
      <c r="JZ16" s="15" t="str">
        <f>IF(SUM(JN16:JQ16)-JR16&gt;0,SUM(JN16:JQ16)-JR16,"")</f>
        <v/>
      </c>
      <c r="KA16" s="15" t="str">
        <f>IF(SUM(JY16:JZ16)&gt;0,SUM(JY16:JZ16),"")</f>
        <v/>
      </c>
      <c r="KB16" s="15" t="str">
        <f>IF(JU16&gt;0,JU16,"")</f>
        <v/>
      </c>
      <c r="KC16" s="15" t="str">
        <f>IF(SUM(JS16:JV16)-JW16&gt;0,SUM(JS16:JV16)-JW16,"")</f>
        <v/>
      </c>
      <c r="KD16" s="15" t="str">
        <f>IF(SUM(KA16,KC16)&gt;0,SUM(KA16,KC16),"")</f>
        <v/>
      </c>
      <c r="KE16" s="36"/>
      <c r="KF16" s="36"/>
      <c r="KG16" s="36"/>
      <c r="KH16" s="36"/>
      <c r="KI16" s="36"/>
      <c r="KJ16" s="36"/>
      <c r="KK16" s="36"/>
      <c r="KL16" s="36"/>
      <c r="KM16" s="36"/>
      <c r="KN16" s="36"/>
      <c r="KO16" s="36"/>
      <c r="KP16" s="36"/>
      <c r="KQ16" s="36"/>
      <c r="KR16" s="36"/>
      <c r="KS16" s="36"/>
      <c r="KT16" s="12" t="str">
        <f>IF(KL16&gt;0,KL16,"")</f>
        <v/>
      </c>
      <c r="KU16" s="12" t="str">
        <f>IF(SUM(KE16:KH16)-KI16&gt;0,SUM(KE16:KH16)-KI16,"")</f>
        <v/>
      </c>
      <c r="KV16" s="12" t="str">
        <f>IF(SUM(KJ16:KM16)-KN16&gt;0,SUM(KJ16:KM16)-KN16,"")</f>
        <v/>
      </c>
      <c r="KW16" s="12" t="str">
        <f>IF(SUM(KU16:KV16)&gt;0,SUM(KU16:KV16),"")</f>
        <v/>
      </c>
      <c r="KX16" s="12" t="str">
        <f>IF(KQ16&gt;0,KQ16,"")</f>
        <v/>
      </c>
      <c r="KY16" s="12" t="str">
        <f>IF(SUM(KO16:KR16)-KS16&gt;0,SUM(KO16:KR16)-KS16,"")</f>
        <v/>
      </c>
      <c r="KZ16" s="12" t="str">
        <f>IF(SUM(KW16,KY16)&gt;0,SUM(KW16,KY16),"")</f>
        <v/>
      </c>
      <c r="LA16" s="37"/>
      <c r="LB16" s="37"/>
      <c r="LC16" s="37"/>
      <c r="LD16" s="37"/>
      <c r="LE16" s="37"/>
      <c r="LF16" s="37"/>
      <c r="LG16" s="37"/>
      <c r="LH16" s="37"/>
      <c r="LI16" s="37"/>
      <c r="LJ16" s="37"/>
      <c r="LK16" s="37"/>
      <c r="LL16" s="37"/>
      <c r="LM16" s="37"/>
      <c r="LN16" s="37"/>
      <c r="LO16" s="37"/>
      <c r="LP16" s="15" t="str">
        <f>IF(LH16&gt;0,LH16,"")</f>
        <v/>
      </c>
      <c r="LQ16" s="15" t="str">
        <f>IF(SUM(LA16:LD16)-LE16&gt;0,SUM(LA16:LD16)-LE16,"")</f>
        <v/>
      </c>
      <c r="LR16" s="15" t="str">
        <f>IF(SUM(LF16:LI16)-LJ16&gt;0,SUM(LF16:LI16)-LJ16,"")</f>
        <v/>
      </c>
      <c r="LS16" s="15" t="str">
        <f>IF(SUM(LQ16:LR16)&gt;0,SUM(LQ16:LR16),"")</f>
        <v/>
      </c>
      <c r="LT16" s="15" t="str">
        <f>IF(LM16&gt;0,LM16,"")</f>
        <v/>
      </c>
      <c r="LU16" s="15" t="str">
        <f>IF(SUM(LK16:LN16)-LO16&gt;0,SUM(LK16:LN16)-LO16,"")</f>
        <v/>
      </c>
      <c r="LV16" s="15" t="str">
        <f>IF(SUM(LS16,LU16)&gt;0,SUM(LS16,LU16),"")</f>
        <v/>
      </c>
      <c r="LW16" s="63">
        <f t="shared" si="7"/>
        <v>16.450000000000003</v>
      </c>
      <c r="LX16" s="63">
        <f t="shared" si="8"/>
        <v>9.2249999999999996</v>
      </c>
      <c r="LY16" s="63">
        <f t="shared" si="9"/>
        <v>3.8</v>
      </c>
      <c r="LZ16" s="63">
        <f t="shared" si="10"/>
        <v>16.670000000000002</v>
      </c>
      <c r="MA16" s="63">
        <f t="shared" si="11"/>
        <v>0</v>
      </c>
      <c r="MB16" s="63">
        <f t="shared" si="12"/>
        <v>11</v>
      </c>
      <c r="MC16" s="63">
        <f t="shared" si="13"/>
        <v>7.375</v>
      </c>
      <c r="MD16" s="63">
        <f t="shared" si="14"/>
        <v>10.8</v>
      </c>
      <c r="ME16" s="63">
        <f t="shared" si="15"/>
        <v>12.355</v>
      </c>
      <c r="MF16" s="63">
        <f t="shared" si="16"/>
        <v>0</v>
      </c>
      <c r="MG16" s="63">
        <f t="shared" si="17"/>
        <v>3</v>
      </c>
      <c r="MH16" s="63">
        <f t="shared" si="18"/>
        <v>1.85</v>
      </c>
      <c r="MI16" s="63">
        <f t="shared" si="19"/>
        <v>3.15</v>
      </c>
      <c r="MJ16" s="63">
        <f t="shared" si="20"/>
        <v>3.37</v>
      </c>
      <c r="MK16" s="63">
        <f t="shared" si="21"/>
        <v>0.2</v>
      </c>
      <c r="ML16" s="74" t="s">
        <v>119</v>
      </c>
      <c r="MM16" s="12">
        <f t="shared" si="22"/>
        <v>10.8</v>
      </c>
      <c r="MN16" s="12">
        <f t="shared" si="23"/>
        <v>46.14500000000001</v>
      </c>
      <c r="MO16" s="12">
        <f t="shared" si="24"/>
        <v>41.53</v>
      </c>
      <c r="MP16" s="12">
        <f t="shared" si="25"/>
        <v>87.675000000000011</v>
      </c>
      <c r="MQ16" s="12">
        <f t="shared" si="26"/>
        <v>3.15</v>
      </c>
      <c r="MR16" s="12">
        <f t="shared" si="27"/>
        <v>11.170000000000002</v>
      </c>
      <c r="MS16" s="12">
        <f t="shared" si="28"/>
        <v>98.845000000000013</v>
      </c>
    </row>
    <row r="17" spans="1:357" x14ac:dyDescent="0.2">
      <c r="A17" s="6" t="str">
        <f>IF(AND(F17="P",H17="P"),SUMPRODUCT((F$4:F$24="P")*(H$4:H$24="P")*(E$4:E$24&gt;E17))+1,IF(H17="P",SUMPRODUCT((F$4:F$24="")*(H$4:H$24="P")*(E$4:E$24&gt;E17))+1+SUMPRODUCT((F$4:F$24="P")*(H$4:H$24="P")),""))</f>
        <v/>
      </c>
      <c r="B17" s="9" t="s">
        <v>87</v>
      </c>
      <c r="C17" s="5" t="s">
        <v>6</v>
      </c>
      <c r="D17" s="27">
        <v>2001</v>
      </c>
      <c r="E17" s="16">
        <f>SUM(J17:R17)</f>
        <v>163.6925</v>
      </c>
      <c r="F17" s="4" t="str">
        <f>IF(OR(AND($AK17&gt;=$AL$26,NOT($AK17=""),$AJ17=""),AND($BH17&gt;=$BI$26,NOT($BH17=""),$BG17=""),AND($CH17&gt;=$CI$26,NOT($CH17="")),AND($DD17&gt;=$DE$26,NOT($DD17="")),AND($DZ17&gt;=$EA$26,NOT($DZ17="")),AND($EV17&gt;=$EW$26,NOT($EV17="")),AND($FR17&gt;=$FS$26,NOT($FR17="")),AND($GN17&gt;=$GO$26,NOT($GN17="")),AND($HJ17&gt;=$HK$26,NOT($HJ17="")),AND($IF17&gt;=$IG$26,NOT($IF17="")),AND($JB17&gt;=$JC$26,NOT($JB17="")),AND($JX17&gt;=$JY$26,NOT($JX17="")),AND($KT17&gt;=$KU$26,NOT($KT17="")),AND($LP17&gt;=$LQ$26,NOT($LP17=""))),"P","")</f>
        <v/>
      </c>
      <c r="G17" s="4" t="str">
        <f>IF(OR(AND($AK17&gt;=$AL$27,NOT($AK17=""),$AJ17=""),AND($BH17&gt;=$BI$27,NOT($BH17=""),$BG17=""),AND($CH17&gt;=$CI$27,NOT($CH17="")),AND($DD17&gt;=$DE$27,NOT($DD17="")),AND($DZ17&gt;=$EA$27,NOT($DZ17="")),AND($EV17&gt;=$EW$27,NOT($EV17="")),AND($FR17&gt;=$FS$27,NOT($FR17="")),AND($GN17&gt;=$GO$27,NOT($GN17="")),AND($HJ17&gt;=$HK$27,NOT($HJ17="")),AND($IF17&gt;=$IG$27,NOT($IF17="")),AND($JB17&gt;=$JC$27,NOT($JB17="")),AND($JX17&gt;=$JY$27,NOT($JX17="")),AND($KT17&gt;=$KU$27,NOT($KT17="")),AND($LP17&gt;=$LQ$27,NOT($LP17=""))),"P","")</f>
        <v/>
      </c>
      <c r="H17" s="4" t="str">
        <f>IF(OR(AND($AN17&gt;=$AL$28,NOT($AN17=""),$AJ17=""),AND($BK17&gt;=$BI$28,NOT($BK17=""),$BG17=""),AND($CK17&gt;=$CI$28,NOT($CK17="")),AND($DG17&gt;=$DE$28,NOT($DG17="")),AND($EC17&gt;=$EA$28,NOT($EC17="")),AND($EY17&gt;=$EW$28,NOT($EY17="")),AND($FU17&gt;=$FS$28,NOT($FU17="")),AND($GQ17&gt;=$GO$28,NOT($GQ17="")),AND($HM17&gt;=$HK$28,NOT($HM17="")),AND($II17&gt;=$IG$28,NOT($II17="")),AND($JE17&gt;=$JC$28,NOT($JE17="")),AND($KA17&gt;=$JY$28,NOT($KA17="")),AND($KW17&gt;=$KU$28,NOT($KW17="")),AND($LS17&gt;=$LQ$28,NOT($LS17=""))),"P","")</f>
        <v/>
      </c>
      <c r="I17" t="str">
        <f>IF(AND(H17="P",F17=""),"No DD",IF(AND(G17="P",OR(AND($AM17&gt;$AL$31,NOT($AM17=""),$AJ17=""),AND($AP17&gt;$AL$31,NOT($AP17=""),$AJ17=""),AND($BJ17&gt;$BI$31,NOT($BJ17=""),$BG17=""),AND($BM17&gt;$BI$31,NOT($BM17=""),$BG17=""),AND($CJ17&gt;$CI$31,NOT($CJ17="")),AND($CM17&gt;$CI$31,NOT($CM17="")),AND($DF17&gt;$DE$31,NOT($DF17="")),AND($DI17&gt;$DE$31,NOT($DI17="")),AND($EB17&gt;$EA$31,NOT($EB17="")),AND($EE17&gt;$EA$31,NOT($EE17="")),AND($EX17&gt;$EW$31,NOT($EX17="")),AND($FA17&gt;$EW$31,NOT($FA17="")),AND($FT17&gt;$FS$31,NOT($FT17="")),AND($FW17&gt;$FS$31,NOT($FW17="")),AND($GP17&gt;$GO$31,NOT($GP17="")),AND($GS17&gt;$GO$31,NOT($GS17="")),AND($HL17&gt;$HK$31,NOT($HL17="")),AND($HO17&gt;$HK$31,NOT($HO17="")),AND($IH17&gt;$IG$31,NOT($IH17="")),AND($IK17&gt;$IG$31,NOT($IK17="")),AND($JD17&gt;$JC$31,NOT($JD17="")),AND($JG17&gt;$JC$31,NOT($JG17="")),AND($JZ17&gt;$JY$31,NOT($JZ17="")),AND($KC17&gt;$JY$31,NOT($KC17="")),AND($KV17&gt;$KU$31,NOT($KV17="")),AND($KY17&gt;$KU$31,NOT($KY17="")),AND($LR17&gt;$LQ$31,NOT($LR17="")),AND($LU17&gt;$LQ$31,NOT($LU17="")))),"Merit",IF(AND(G17="P",OR(AND($AN17&gt;$AL$30,NOT($AN17=""),$AJ17=""),AND($BK17&gt;$BI$30,NOT($BK17=""),$BG17=""),AND($CK17&gt;$CI$30,NOT($CK17="")),AND($DG17&gt;$DE$30,NOT($DG17="")),AND($EC17&gt;$EA$30,NOT($EC17="")),AND($EY17&gt;$EW$30,NOT($EY17="")),AND($FU17&gt;$FS$30,NOT($FU17="")),AND($GQ17&gt;$GO$30,NOT($GQ17="")),AND($HM17&gt;$HK$30,NOT($HM17="")),AND($II17&gt;$IG$30,NOT($II17="")),AND($JE17&gt;$JC$30,NOT($JE17="")),AND($KA17&gt;$JY$30,NOT($KA17="")),AND($KW17&gt;$KU$30,NOT($KW17="")),AND($LS17&gt;$LQ$30,NOT($LS17="")))),"Excellence",IF(AND(G17="P",OR(AND($AN17&gt;$AL$29,NOT($AN17=""),$AJ17=""),AND($BK17&gt;$BI$29,NOT($BK17=""),$BG17=""),AND($CK17&gt;$CI$29,NOT($CK17="")),AND($DG17&gt;$DE$29,NOT($DG17="")),AND($EC17&gt;$EA$29,NOT($EC17="")),AND($EY17&gt;$EW$29,NOT($EY17="")),AND($FU17&gt;$FS$29,NOT($FU17="")),AND($GQ17&gt;$GO$29,NOT($GQ17="")),AND($HM17&gt;$HK$29,NOT($HM17="")),AND($II17&gt;$IG$29,NOT($II17="")),AND($JE17&gt;$JC$29,NOT($JE17="")),AND($KA17&gt;$JY$29,NOT($KA17="")),AND($KW17&gt;$KU$29,NOT($KW17="")),AND($LS17&gt;$LQ$29,NOT($LS17="")))),"Worlds Team",IF(AND(F17="P",OR(AND($AN17&gt;$AL$28,NOT($AN17=""),$AJ17=""),AND($BK17&gt;$BI$28,NOT($BK17=""),$BG17=""),AND($CK17&gt;$CI$28,NOT($CK17="")),AND($DG17&gt;$DE$28,NOT($DG17="")),AND($EC17&gt;$EA$28,NOT($EC17="")),AND($EY17&gt;$EW$28,NOT($EY17="")),AND($FU17&gt;$FS$28,NOT($FU17="")),AND($GQ17&gt;$GO$28,NOT($GQ17="")),AND($HM17&gt;$HK$28,NOT($HM17="")),AND($II17&gt;$IG$28,NOT($II17="")),AND($JE17&gt;$JC$28,NOT($JE17="")),AND($KA17&gt;$JY$28,NOT($KA17="")),AND($KW17&gt;$KU$28,NOT($KW17="")),AND($LS17&gt;$LQ$28,NOT($LS17="")))),"National Team","")))))</f>
        <v/>
      </c>
      <c r="J17" s="15">
        <f>IF(MAX(AN17,BK17)&gt;0,MAX(AN17,BK17),"")</f>
        <v>71.02</v>
      </c>
      <c r="K17" s="15" t="str">
        <f>IF(J17="","",IF(J17=BK17,$AR$1,IF(J17=AN17,$U$1,"")))</f>
        <v>2018 Nationals</v>
      </c>
      <c r="L17" s="15">
        <f>IF($J17=$AN17,BI17,IF($J17=$BK17,AL17,MAX(AL17,BI17)))</f>
        <v>28.895</v>
      </c>
      <c r="M17" s="15" t="str">
        <f>IF(L17="","",IF(AND(L17=BI17,$K17&lt;&gt;$AR$1),$AR$1,IF(AND(L17=AL17,$K17&lt;&gt;$U$1),$U$1,"")))</f>
        <v>2019 Elite Canada</v>
      </c>
      <c r="N17" s="15">
        <f>IF($J17=$AN17,BJ17,IF($J17=$BK17,AM17,MAX(AM17,BJ17)))</f>
        <v>37.72</v>
      </c>
      <c r="O17" s="15" t="str">
        <f>IF(N17="","",IF(AND(N17=BJ17,$K17&lt;&gt;$AR$1),$AR$1,IF(AND(N17=AM17,$K17&lt;&gt;$U$1),$U$1,"")))</f>
        <v>2019 Elite Canada</v>
      </c>
      <c r="P17" s="15">
        <f>IF(MAX(AP17,BM17)&gt;0,MAX(AP17,BM17),"")</f>
        <v>26.057500000000001</v>
      </c>
      <c r="Q17" s="15" t="str">
        <f>IF(P17="","",IF(P17=BM17,$AR$1,IF(P17=AP17,$U$1,"")))</f>
        <v>2019 Elite Canada</v>
      </c>
      <c r="R17" s="15" t="str">
        <f>IF(MAX(BO17,BP17,BQ17,BR17)&gt;0,MAX(BO17,BP17,BQ17,BR17),"")</f>
        <v/>
      </c>
      <c r="S17" s="25" t="str">
        <f>IF(R17="","",IF(R17=BO17,"(Vol 1)",IF(R17=BP17,"(Vol 2)",IF(R17=BQ17,"(Prelim)",IF(R17=BR17,"(Final)")))))</f>
        <v/>
      </c>
      <c r="T17" s="15" t="str">
        <f>IF(R17="","",IF(R17=BO17,IF(R17+IF(L17="",0,L17)=LQ17,$LA$1,IF(R17+IF(L17="",0,L17)=KU17,$KE$1,IF(R17+IF(L17="",0,L17)=JY17,$JI$1,IF(R17+IF(L17="",0,L17)=JC17,$IM$1,IF(R17+IF(L17="",0,L17)=IG17,$HQ$1,IF(R17+IF(L17="",0,L17)=HK17,$GU$1,IF(R17+IF(L17="",0,L17)=GO17,$FY$1,IF(R17+IF(L17="",0,L17)=FS17,$FC$1,IF(R17+IF(L17="",0,L17)=EW17,$EG$1,IF(R17+IF(L17="",0,L17)=EA17,$DK$1,IF(R17+IF(L17="",0,L17)=DE17,$CO$1,IF(R17+IF(L17="",0,L17)=CI17,$BS$1)))))))))))),IF(R17=BP17,IF(R17+IF(N17="",0,N17)=LR17,$LA$1,IF(R17+IF(N17="",0,N17)=KV17,$KE$1,IF(R17+IF(N17="",0,N17)=JZ17,$JI$1,IF(R17+IF(N17="",0,N17)=JD17,$IM$1,IF(R17+IF(N17="",0,N17)=IH17,$HQ$1,IF(R17+IF(N17="",0,N17)=HL17,$GU$1,IF(R17+IF(N17="",0,N17)=GP17,$FY$1,IF(R17+IF(N17="",0,N17)=FT17,$FC$1,IF(R17+IF(N17="",0,N17)=EX17,$EG$1,IF(R17+IF(N17="",0,N17)=EB17,$DK$1,IF(R17+IF(N17="",0,N17)=DF17,$CO$1,IF(R17+IF(N17="",0,N17)=CJ17,$BS$1)))))))))))),IF(R17=BQ17,IF(R17+IF(J17="",0,J17)=LS17,$LA$1,IF(R17+IF(J17="",0,J17)=KW17,$KE$1,IF(R17+IF(J17="",0,J17)=KA17,$JI$1,IF(R17+IF(J17="",0,J17)=JE17,$IM$1,IF(R17+IF(J17="",0,J17)=II17,$HQ$1,IF(R17+IF(J17="",0,J17)=HM17,$GU$1,IF(R17+IF(J17="",0,J17)=GQ17,$FY$1,IF(R17+IF(J17="",0,J17)=FU17,$FC$1,IF(R17+IF(J17="",0,J17)=EY17,$EG$1,IF(R17+IF(J17="",0,J17)=EC17,$DK$1,IF(R17+IF(J17="",0,J17)=DG17,$CO$1,IF(R17+IF(J17="",0,J17)=CK17,$BS$1)))))))))))),IF(R17=BR17,IF(R17+IF(P17="",0,P17)=LU17,$LA$1,IF(R17+IF(P17="",0,P17)=KY17,$KE$1,IF(R17+IF(P17="",0,P17)=KC17,$JI$1,IF(R17+IF(P17="",0,P17)=JG17,$IM$1,IF(R17+IF(P17="",0,P17)=IK17,$HQ$1,IF(R17+IF(P17="",0,P17)=HO17,$GU$1,IF(R17+IF(P17="",0,P17)=GS17,$FY$1,IF(R17+IF(P17="",0,P17)=FW17,$FC$1,IF(R17+IF(P17="",0,P17)=FA17,$EG$1,IF(R17+IF(P17="",0,P17)=EE17,$DK$1,IF(R17+IF(P17="",0,P17)=DI17,$CO$1,IF(R17+IF(P17="",0,P17)=CM17,$BS$1)))))))))))))))))</f>
        <v/>
      </c>
      <c r="U17" s="63">
        <v>17</v>
      </c>
      <c r="V17" s="63">
        <v>9.0500000000000007</v>
      </c>
      <c r="W17" s="63">
        <v>5</v>
      </c>
      <c r="X17" s="63">
        <v>17.239999999999998</v>
      </c>
      <c r="Y17" s="63">
        <v>0</v>
      </c>
      <c r="Z17" s="63">
        <v>6</v>
      </c>
      <c r="AA17" s="63">
        <v>3.75</v>
      </c>
      <c r="AB17" s="63">
        <v>6.3</v>
      </c>
      <c r="AC17" s="63">
        <v>6.68</v>
      </c>
      <c r="AD17" s="63">
        <v>0</v>
      </c>
      <c r="AE17" s="63"/>
      <c r="AF17" s="63"/>
      <c r="AG17" s="63"/>
      <c r="AH17" s="63"/>
      <c r="AI17" s="63"/>
      <c r="AJ17" s="74"/>
      <c r="AK17" s="12">
        <f>IF(AB17&gt;0,AB17,"")</f>
        <v>6.3</v>
      </c>
      <c r="AL17" s="12">
        <f>IF(SUM(U17:X17)-Y17&gt;0,SUM(U17:X17)-Y17,"")</f>
        <v>48.29</v>
      </c>
      <c r="AM17" s="12">
        <f>IF(SUM(Z17:AC17)-AD17&gt;0,SUM(Z17:AC17)-AD17,"")</f>
        <v>22.73</v>
      </c>
      <c r="AN17" s="12">
        <f>IF(SUM(AL17:AM17)&gt;0,SUM(AL17:AM17),"")</f>
        <v>71.02</v>
      </c>
      <c r="AO17" s="12" t="str">
        <f>IF(AG17&gt;0,AG17,"")</f>
        <v/>
      </c>
      <c r="AP17" s="12" t="str">
        <f>IF(SUM(AE17:AH17)-AI17&gt;0,SUM(AE17:AH17)-AI17,"")</f>
        <v/>
      </c>
      <c r="AQ17" s="12">
        <f>IF(SUM(AN17,AP17)&gt;0,SUM(AN17,AP17),"")</f>
        <v>71.02</v>
      </c>
      <c r="AR17" s="69">
        <v>10.15</v>
      </c>
      <c r="AS17" s="69">
        <v>5.5</v>
      </c>
      <c r="AT17" s="69">
        <v>2.85</v>
      </c>
      <c r="AU17" s="69">
        <v>10.395</v>
      </c>
      <c r="AV17" s="69">
        <v>0</v>
      </c>
      <c r="AW17" s="69">
        <v>10.15</v>
      </c>
      <c r="AX17" s="69">
        <v>6.35</v>
      </c>
      <c r="AY17" s="69">
        <v>9.6999999999999993</v>
      </c>
      <c r="AZ17" s="69">
        <v>11.52</v>
      </c>
      <c r="BA17" s="69">
        <v>0</v>
      </c>
      <c r="BB17" s="69">
        <v>7.15</v>
      </c>
      <c r="BC17" s="69">
        <v>4.3499999999999996</v>
      </c>
      <c r="BD17" s="69">
        <v>6.6</v>
      </c>
      <c r="BE17" s="69">
        <v>7.9574999999999996</v>
      </c>
      <c r="BF17" s="69">
        <v>0</v>
      </c>
      <c r="BG17" s="75" t="s">
        <v>119</v>
      </c>
      <c r="BH17" s="15">
        <f>IF(AY17&gt;0,AY17,"")</f>
        <v>9.6999999999999993</v>
      </c>
      <c r="BI17" s="15">
        <f>IF(SUM(AR17:AU17)-AV17&gt;0,SUM(AR17:AU17)-AV17,"")</f>
        <v>28.895</v>
      </c>
      <c r="BJ17" s="15">
        <f>IF(SUM(AW17:AZ17)-BA17&gt;0,SUM(AW17:AZ17)-BA17,"")</f>
        <v>37.72</v>
      </c>
      <c r="BK17" s="15">
        <f>IF(SUM(BI17:BJ17)&gt;0,SUM(BI17:BJ17),"")</f>
        <v>66.614999999999995</v>
      </c>
      <c r="BL17" s="15">
        <f>IF(BD17&gt;0,BD17,"")</f>
        <v>6.6</v>
      </c>
      <c r="BM17" s="15">
        <f>IF(SUM(BB17:BE17)-BF17&gt;0,SUM(BB17:BE17)-BF17,"")</f>
        <v>26.057500000000001</v>
      </c>
      <c r="BN17" s="15">
        <f>IF(SUM(BK17,BM17)&gt;0,SUM(BK17,BM17),"")</f>
        <v>92.672499999999999</v>
      </c>
      <c r="BO17" s="24" t="str">
        <f>IF(MAX(CI17,DE17,EA17,EW17,FS17,GO17,HK17,IG17,JC17,JY17,KU17,LQ17)-IF(L17="",0,L17)&gt;0.001,MAX(CI17,DE17,EA17,EW17,FS17,GO17,HK17,IG17,JC17,JY17,KU17,LQ17)-IF(L17="",0,L17),"")</f>
        <v/>
      </c>
      <c r="BP17" s="24" t="str">
        <f>IF(MAX(CJ17,DF17,EB17,EX17,FT17,GP17,HL17,IH17,JD17,JZ17,KV17,LR17)-IF(N17="",0,N17)&gt;0.001,MAX(CJ17,DF17,EB17,EX17,FT17,GP17,HL17,IH17,JD17,JZ17,KV17,LR17)-IF(N17="",0,N17),"")</f>
        <v/>
      </c>
      <c r="BQ17" s="24" t="str">
        <f>IF(MAX(CK17,DG17,EC17,EY17,FU17,GQ17,HM17,II17,JE17,KA17,KW17,LS17)-IF(J17="",0,J17)&gt;0.001,MAX(CK17,DG17,EC17,EY17,FU17,GQ17,HM17,II17,JE17,KA17,KW17,LS17)-IF(J17="",0,J17),"")</f>
        <v/>
      </c>
      <c r="BR17" s="24" t="str">
        <f>IF(MAX(CM17,DI17,EE17,FA17,FW17,GS17,HO17,IK17,JG17,KC17,KY17,LU17)-IF(P17="",0,P17)&gt;0.001,MAX(CM17,DI17,EE17,FA17,FW17,GS17,HO17,IK17,JG17,KC17,KY17,LU17)-IF(P17="",0,P17),"")</f>
        <v/>
      </c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12" t="str">
        <f>IF(BZ17&gt;0,BZ17,"")</f>
        <v/>
      </c>
      <c r="CI17" s="12" t="str">
        <f>IF(SUM(BS17:BV17)-BW17&gt;0,SUM(BS17:BV17)-BW17,"")</f>
        <v/>
      </c>
      <c r="CJ17" s="12" t="str">
        <f>IF(SUM(BX17:CA17)-CB17&gt;0,SUM(BX17:CA17)-CB17,"")</f>
        <v/>
      </c>
      <c r="CK17" s="12" t="str">
        <f>IF(SUM(CI17:CJ17)&gt;0,SUM(CI17:CJ17),"")</f>
        <v/>
      </c>
      <c r="CL17" s="12" t="str">
        <f>IF(CE17&gt;0,CE17,"")</f>
        <v/>
      </c>
      <c r="CM17" s="12" t="str">
        <f>IF(SUM(CC17:CF17)-CG17&gt;0,SUM(CC17:CF17)-CG17,"")</f>
        <v/>
      </c>
      <c r="CN17" s="12" t="str">
        <f>IF(SUM(CK17,CM17)&gt;0,SUM(CK17,CM17),"")</f>
        <v/>
      </c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15" t="str">
        <f>IF(CV17&gt;0,CV17,"")</f>
        <v/>
      </c>
      <c r="DE17" s="15" t="str">
        <f>IF(SUM(CO17:CR17)-CS17&gt;0,SUM(CO17:CR17)-CS17,"")</f>
        <v/>
      </c>
      <c r="DF17" s="15" t="str">
        <f>IF(SUM(CT17:CW17)-CX17&gt;0,SUM(CT17:CW17)-CX17,"")</f>
        <v/>
      </c>
      <c r="DG17" s="15" t="str">
        <f>IF(SUM(DE17:DF17)&gt;0,SUM(DE17:DF17),"")</f>
        <v/>
      </c>
      <c r="DH17" s="15" t="str">
        <f>IF(DA17&gt;0,DA17,"")</f>
        <v/>
      </c>
      <c r="DI17" s="15" t="str">
        <f>IF(SUM(CY17:DB17)-DC17&gt;0,SUM(CY17:DB17)-DC17,"")</f>
        <v/>
      </c>
      <c r="DJ17" s="15" t="str">
        <f>IF(SUM(DG17,DI17)&gt;0,SUM(DG17,DI17),"")</f>
        <v/>
      </c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12" t="str">
        <f>IF(DR17&gt;0,DR17,"")</f>
        <v/>
      </c>
      <c r="EA17" s="12" t="str">
        <f>IF(SUM(DK17:DN17)-DO17&gt;0,SUM(DK17:DN17)-DO17,"")</f>
        <v/>
      </c>
      <c r="EB17" s="12" t="str">
        <f>IF(SUM(DP17:DS17)-DT17&gt;0,SUM(DP17:DS17)-DT17,"")</f>
        <v/>
      </c>
      <c r="EC17" s="12" t="str">
        <f>IF(SUM(EA17:EB17)&gt;0,SUM(EA17:EB17),"")</f>
        <v/>
      </c>
      <c r="ED17" s="12" t="str">
        <f>IF(DW17&gt;0,DW17,"")</f>
        <v/>
      </c>
      <c r="EE17" s="12" t="str">
        <f>IF(SUM(DU17:DX17)-DY17&gt;0,SUM(DU17:DX17)-DY17,"")</f>
        <v/>
      </c>
      <c r="EF17" s="12" t="str">
        <f>IF(SUM(EC17,EE17)&gt;0,SUM(EC17,EE17),"")</f>
        <v/>
      </c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15" t="str">
        <f>IF(EN17&gt;0,EN17,"")</f>
        <v/>
      </c>
      <c r="EW17" s="15" t="str">
        <f>IF(SUM(EG17:EJ17)-EK17&gt;0,SUM(EG17:EJ17)-EK17,"")</f>
        <v/>
      </c>
      <c r="EX17" s="15" t="str">
        <f>IF(SUM(EL17:EO17)-EP17&gt;0,SUM(EL17:EO17)-EP17,"")</f>
        <v/>
      </c>
      <c r="EY17" s="15" t="str">
        <f>IF(SUM(EW17:EX17)&gt;0,SUM(EW17:EX17),"")</f>
        <v/>
      </c>
      <c r="EZ17" s="15" t="str">
        <f>IF(ES17&gt;0,ES17,"")</f>
        <v/>
      </c>
      <c r="FA17" s="15" t="str">
        <f>IF(SUM(EQ17:ET17)-EU17&gt;0,SUM(EQ17:ET17)-EU17,"")</f>
        <v/>
      </c>
      <c r="FB17" s="15" t="str">
        <f>IF(SUM(EY17,FA17)&gt;0,SUM(EY17,FA17),"")</f>
        <v/>
      </c>
      <c r="FC17" s="36"/>
      <c r="FD17" s="36"/>
      <c r="FE17" s="36"/>
      <c r="FF17" s="36"/>
      <c r="FG17" s="36"/>
      <c r="FH17" s="36"/>
      <c r="FI17" s="36"/>
      <c r="FJ17" s="36"/>
      <c r="FK17" s="36"/>
      <c r="FL17" s="36"/>
      <c r="FM17" s="36"/>
      <c r="FN17" s="36"/>
      <c r="FO17" s="36"/>
      <c r="FP17" s="36"/>
      <c r="FQ17" s="36"/>
      <c r="FR17" s="12" t="str">
        <f>IF(FJ17&gt;0,FJ17,"")</f>
        <v/>
      </c>
      <c r="FS17" s="12" t="str">
        <f>IF(SUM(FC17:FF17)-FG17&gt;0,SUM(FC17:FF17)-FG17,"")</f>
        <v/>
      </c>
      <c r="FT17" s="12" t="str">
        <f>IF(SUM(FH17:FK17)-FL17&gt;0,SUM(FH17:FK17)-FL17,"")</f>
        <v/>
      </c>
      <c r="FU17" s="12" t="str">
        <f>IF(SUM(FS17:FT17)&gt;0,SUM(FS17:FT17),"")</f>
        <v/>
      </c>
      <c r="FV17" s="12" t="str">
        <f>IF(FO17&gt;0,FO17,"")</f>
        <v/>
      </c>
      <c r="FW17" s="12" t="str">
        <f>IF(SUM(FM17:FP17)-FQ17&gt;0,SUM(FM17:FP17)-FQ17,"")</f>
        <v/>
      </c>
      <c r="FX17" s="12" t="str">
        <f>IF(SUM(FU17,FW17)&gt;0,SUM(FU17,FW17),"")</f>
        <v/>
      </c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15" t="str">
        <f>IF(GF17&gt;0,GF17,"")</f>
        <v/>
      </c>
      <c r="GO17" s="15" t="str">
        <f>IF(SUM(FY17:GB17)-GC17&gt;0,SUM(FY17:GB17)-GC17,"")</f>
        <v/>
      </c>
      <c r="GP17" s="15" t="str">
        <f>IF(SUM(GD17:GG17)-GH17&gt;0,SUM(GD17:GG17)-GH17,"")</f>
        <v/>
      </c>
      <c r="GQ17" s="15" t="str">
        <f>IF(SUM(GO17:GP17)&gt;0,SUM(GO17:GP17),"")</f>
        <v/>
      </c>
      <c r="GR17" s="15" t="str">
        <f>IF(GK17&gt;0,GK17,"")</f>
        <v/>
      </c>
      <c r="GS17" s="15" t="str">
        <f>IF(SUM(GI17:GL17)-GM17&gt;0,SUM(GI17:GL17)-GM17,"")</f>
        <v/>
      </c>
      <c r="GT17" s="15" t="str">
        <f>IF(SUM(GQ17,GS17)&gt;0,SUM(GQ17,GS17),"")</f>
        <v/>
      </c>
      <c r="GU17" s="36"/>
      <c r="GV17" s="36"/>
      <c r="GW17" s="36"/>
      <c r="GX17" s="36"/>
      <c r="GY17" s="36"/>
      <c r="GZ17" s="36"/>
      <c r="HA17" s="36"/>
      <c r="HB17" s="36"/>
      <c r="HC17" s="36"/>
      <c r="HD17" s="36"/>
      <c r="HE17" s="36"/>
      <c r="HF17" s="36"/>
      <c r="HG17" s="36"/>
      <c r="HH17" s="36"/>
      <c r="HI17" s="36"/>
      <c r="HJ17" s="12" t="str">
        <f>IF(HB17&gt;0,HB17,"")</f>
        <v/>
      </c>
      <c r="HK17" s="12" t="str">
        <f>IF(SUM(GU17:GX17)-GY17&gt;0,SUM(GU17:GX17)-GY17,"")</f>
        <v/>
      </c>
      <c r="HL17" s="12" t="str">
        <f>IF(SUM(GZ17:HC17)-HD17&gt;0,SUM(GZ17:HC17)-HD17,"")</f>
        <v/>
      </c>
      <c r="HM17" s="12" t="str">
        <f>IF(SUM(HK17:HL17)&gt;0,SUM(HK17:HL17),"")</f>
        <v/>
      </c>
      <c r="HN17" s="12" t="str">
        <f>IF(HG17&gt;0,HG17,"")</f>
        <v/>
      </c>
      <c r="HO17" s="12" t="str">
        <f>IF(SUM(HE17:HH17)-HI17&gt;0,SUM(HE17:HH17)-HI17,"")</f>
        <v/>
      </c>
      <c r="HP17" s="12" t="str">
        <f>IF(SUM(HM17,HO17)&gt;0,SUM(HM17,HO17),"")</f>
        <v/>
      </c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15" t="str">
        <f>IF(HX17&gt;0,HX17,"")</f>
        <v/>
      </c>
      <c r="IG17" s="15" t="str">
        <f>IF(SUM(HQ17:HT17)-HU17&gt;0,SUM(HQ17:HT17)-HU17,"")</f>
        <v/>
      </c>
      <c r="IH17" s="15" t="str">
        <f>IF(SUM(HV17:HY17)-HZ17&gt;0,SUM(HV17:HY17)-HZ17,"")</f>
        <v/>
      </c>
      <c r="II17" s="15" t="str">
        <f>IF(SUM(IG17:IH17)&gt;0,SUM(IG17:IH17),"")</f>
        <v/>
      </c>
      <c r="IJ17" s="15" t="str">
        <f>IF(IC17&gt;0,IC17,"")</f>
        <v/>
      </c>
      <c r="IK17" s="15" t="str">
        <f>IF(SUM(IA17:ID17)-IE17&gt;0,SUM(IA17:ID17)-IE17,"")</f>
        <v/>
      </c>
      <c r="IL17" s="15" t="str">
        <f>IF(SUM(II17,IK17)&gt;0,SUM(II17,IK17),"")</f>
        <v/>
      </c>
      <c r="IM17" s="36"/>
      <c r="IN17" s="36"/>
      <c r="IO17" s="36"/>
      <c r="IP17" s="36"/>
      <c r="IQ17" s="36"/>
      <c r="IR17" s="36"/>
      <c r="IS17" s="36"/>
      <c r="IT17" s="36"/>
      <c r="IU17" s="36"/>
      <c r="IV17" s="36"/>
      <c r="IW17" s="36"/>
      <c r="IX17" s="36"/>
      <c r="IY17" s="36"/>
      <c r="IZ17" s="36"/>
      <c r="JA17" s="36"/>
      <c r="JB17" s="12" t="str">
        <f>IF(IT17&gt;0,IT17,"")</f>
        <v/>
      </c>
      <c r="JC17" s="12" t="str">
        <f>IF(SUM(IM17:IP17)-IQ17&gt;0,SUM(IM17:IP17)-IQ17,"")</f>
        <v/>
      </c>
      <c r="JD17" s="12" t="str">
        <f>IF(SUM(IR17:IU17)-IV17&gt;0,SUM(IR17:IU17)-IV17,"")</f>
        <v/>
      </c>
      <c r="JE17" s="12" t="str">
        <f>IF(SUM(JC17:JD17)&gt;0,SUM(JC17:JD17),"")</f>
        <v/>
      </c>
      <c r="JF17" s="12" t="str">
        <f>IF(IY17&gt;0,IY17,"")</f>
        <v/>
      </c>
      <c r="JG17" s="12" t="str">
        <f>IF(SUM(IW17:IZ17)-JA17&gt;0,SUM(IW17:IZ17)-JA17,"")</f>
        <v/>
      </c>
      <c r="JH17" s="12" t="str">
        <f>IF(SUM(JE17,JG17)&gt;0,SUM(JE17,JG17),"")</f>
        <v/>
      </c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15" t="str">
        <f>IF(JP17&gt;0,JP17,"")</f>
        <v/>
      </c>
      <c r="JY17" s="15" t="str">
        <f>IF(SUM(JI17:JL17)-JM17&gt;0,SUM(JI17:JL17)-JM17,"")</f>
        <v/>
      </c>
      <c r="JZ17" s="15" t="str">
        <f>IF(SUM(JN17:JQ17)-JR17&gt;0,SUM(JN17:JQ17)-JR17,"")</f>
        <v/>
      </c>
      <c r="KA17" s="15" t="str">
        <f>IF(SUM(JY17:JZ17)&gt;0,SUM(JY17:JZ17),"")</f>
        <v/>
      </c>
      <c r="KB17" s="15" t="str">
        <f>IF(JU17&gt;0,JU17,"")</f>
        <v/>
      </c>
      <c r="KC17" s="15" t="str">
        <f>IF(SUM(JS17:JV17)-JW17&gt;0,SUM(JS17:JV17)-JW17,"")</f>
        <v/>
      </c>
      <c r="KD17" s="15" t="str">
        <f>IF(SUM(KA17,KC17)&gt;0,SUM(KA17,KC17),"")</f>
        <v/>
      </c>
      <c r="KE17" s="36"/>
      <c r="KF17" s="36"/>
      <c r="KG17" s="36"/>
      <c r="KH17" s="36"/>
      <c r="KI17" s="36"/>
      <c r="KJ17" s="36"/>
      <c r="KK17" s="36"/>
      <c r="KL17" s="36"/>
      <c r="KM17" s="36"/>
      <c r="KN17" s="36"/>
      <c r="KO17" s="36"/>
      <c r="KP17" s="36"/>
      <c r="KQ17" s="36"/>
      <c r="KR17" s="36"/>
      <c r="KS17" s="36"/>
      <c r="KT17" s="12" t="str">
        <f>IF(KL17&gt;0,KL17,"")</f>
        <v/>
      </c>
      <c r="KU17" s="12" t="str">
        <f>IF(SUM(KE17:KH17)-KI17&gt;0,SUM(KE17:KH17)-KI17,"")</f>
        <v/>
      </c>
      <c r="KV17" s="12" t="str">
        <f>IF(SUM(KJ17:KM17)-KN17&gt;0,SUM(KJ17:KM17)-KN17,"")</f>
        <v/>
      </c>
      <c r="KW17" s="12" t="str">
        <f>IF(SUM(KU17:KV17)&gt;0,SUM(KU17:KV17),"")</f>
        <v/>
      </c>
      <c r="KX17" s="12" t="str">
        <f>IF(KQ17&gt;0,KQ17,"")</f>
        <v/>
      </c>
      <c r="KY17" s="12" t="str">
        <f>IF(SUM(KO17:KR17)-KS17&gt;0,SUM(KO17:KR17)-KS17,"")</f>
        <v/>
      </c>
      <c r="KZ17" s="12" t="str">
        <f>IF(SUM(KW17,KY17)&gt;0,SUM(KW17,KY17),"")</f>
        <v/>
      </c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15" t="str">
        <f>IF(LH17&gt;0,LH17,"")</f>
        <v/>
      </c>
      <c r="LQ17" s="15" t="str">
        <f>IF(SUM(LA17:LD17)-LE17&gt;0,SUM(LA17:LD17)-LE17,"")</f>
        <v/>
      </c>
      <c r="LR17" s="15" t="str">
        <f>IF(SUM(LF17:LI17)-LJ17&gt;0,SUM(LF17:LI17)-LJ17,"")</f>
        <v/>
      </c>
      <c r="LS17" s="15" t="str">
        <f>IF(SUM(LQ17:LR17)&gt;0,SUM(LQ17:LR17),"")</f>
        <v/>
      </c>
      <c r="LT17" s="15" t="str">
        <f>IF(LM17&gt;0,LM17,"")</f>
        <v/>
      </c>
      <c r="LU17" s="15" t="str">
        <f>IF(SUM(LK17:LN17)-LO17&gt;0,SUM(LK17:LN17)-LO17,"")</f>
        <v/>
      </c>
      <c r="LV17" s="15" t="str">
        <f>IF(SUM(LS17,LU17)&gt;0,SUM(LS17,LU17),"")</f>
        <v/>
      </c>
      <c r="LW17" s="63">
        <f t="shared" si="7"/>
        <v>10.15</v>
      </c>
      <c r="LX17" s="63">
        <f t="shared" si="8"/>
        <v>5.5</v>
      </c>
      <c r="LY17" s="63">
        <f t="shared" si="9"/>
        <v>2.85</v>
      </c>
      <c r="LZ17" s="63">
        <f t="shared" si="10"/>
        <v>10.395</v>
      </c>
      <c r="MA17" s="63">
        <f t="shared" si="11"/>
        <v>0</v>
      </c>
      <c r="MB17" s="63">
        <f t="shared" si="12"/>
        <v>10.15</v>
      </c>
      <c r="MC17" s="63">
        <f t="shared" si="13"/>
        <v>6.35</v>
      </c>
      <c r="MD17" s="63">
        <f t="shared" si="14"/>
        <v>9.6999999999999993</v>
      </c>
      <c r="ME17" s="63">
        <f t="shared" si="15"/>
        <v>11.52</v>
      </c>
      <c r="MF17" s="63">
        <f t="shared" si="16"/>
        <v>0</v>
      </c>
      <c r="MG17" s="63">
        <f t="shared" si="17"/>
        <v>7.15</v>
      </c>
      <c r="MH17" s="63">
        <f t="shared" si="18"/>
        <v>4.3499999999999996</v>
      </c>
      <c r="MI17" s="63">
        <f t="shared" si="19"/>
        <v>6.6</v>
      </c>
      <c r="MJ17" s="63">
        <f t="shared" si="20"/>
        <v>7.9574999999999996</v>
      </c>
      <c r="MK17" s="63">
        <f t="shared" si="21"/>
        <v>0</v>
      </c>
      <c r="ML17" s="74" t="s">
        <v>119</v>
      </c>
      <c r="MM17" s="12">
        <f t="shared" si="22"/>
        <v>9.6999999999999993</v>
      </c>
      <c r="MN17" s="12">
        <f t="shared" si="23"/>
        <v>28.895</v>
      </c>
      <c r="MO17" s="12">
        <f t="shared" si="24"/>
        <v>37.72</v>
      </c>
      <c r="MP17" s="12">
        <f t="shared" si="25"/>
        <v>66.614999999999995</v>
      </c>
      <c r="MQ17" s="12">
        <f t="shared" si="26"/>
        <v>6.6</v>
      </c>
      <c r="MR17" s="12">
        <f t="shared" si="27"/>
        <v>26.057500000000001</v>
      </c>
      <c r="MS17" s="12">
        <f t="shared" si="28"/>
        <v>92.672499999999999</v>
      </c>
    </row>
    <row r="18" spans="1:357" x14ac:dyDescent="0.2">
      <c r="A18" s="6" t="str">
        <f>IF(AND(F18="P",H18="P"),SUMPRODUCT((F$4:F$24="P")*(H$4:H$24="P")*(E$4:E$24&gt;E18))+1,IF(H18="P",SUMPRODUCT((F$4:F$24="")*(H$4:H$24="P")*(E$4:E$24&gt;E18))+1+SUMPRODUCT((F$4:F$24="P")*(H$4:H$24="P")),""))</f>
        <v/>
      </c>
      <c r="B18" s="7" t="s">
        <v>95</v>
      </c>
      <c r="C18" s="8" t="s">
        <v>96</v>
      </c>
      <c r="D18" s="27">
        <v>2001</v>
      </c>
      <c r="E18" s="16">
        <f>SUM(J18:R18)</f>
        <v>158.13499999999999</v>
      </c>
      <c r="F18" s="4" t="str">
        <f>IF(OR(AND($AK18&gt;=$AL$26,NOT($AK18=""),$AJ18=""),AND($BH18&gt;=$BI$26,NOT($BH18=""),$BG18=""),AND($CH18&gt;=$CI$26,NOT($CH18="")),AND($DD18&gt;=$DE$26,NOT($DD18="")),AND($DZ18&gt;=$EA$26,NOT($DZ18="")),AND($EV18&gt;=$EW$26,NOT($EV18="")),AND($FR18&gt;=$FS$26,NOT($FR18="")),AND($GN18&gt;=$GO$26,NOT($GN18="")),AND($HJ18&gt;=$HK$26,NOT($HJ18="")),AND($IF18&gt;=$IG$26,NOT($IF18="")),AND($JB18&gt;=$JC$26,NOT($JB18="")),AND($JX18&gt;=$JY$26,NOT($JX18="")),AND($KT18&gt;=$KU$26,NOT($KT18="")),AND($LP18&gt;=$LQ$26,NOT($LP18=""))),"P","")</f>
        <v/>
      </c>
      <c r="G18" s="4" t="str">
        <f>IF(OR(AND($AK18&gt;=$AL$27,NOT($AK18=""),$AJ18=""),AND($BH18&gt;=$BI$27,NOT($BH18=""),$BG18=""),AND($CH18&gt;=$CI$27,NOT($CH18="")),AND($DD18&gt;=$DE$27,NOT($DD18="")),AND($DZ18&gt;=$EA$27,NOT($DZ18="")),AND($EV18&gt;=$EW$27,NOT($EV18="")),AND($FR18&gt;=$FS$27,NOT($FR18="")),AND($GN18&gt;=$GO$27,NOT($GN18="")),AND($HJ18&gt;=$HK$27,NOT($HJ18="")),AND($IF18&gt;=$IG$27,NOT($IF18="")),AND($JB18&gt;=$JC$27,NOT($JB18="")),AND($JX18&gt;=$JY$27,NOT($JX18="")),AND($KT18&gt;=$KU$27,NOT($KT18="")),AND($LP18&gt;=$LQ$27,NOT($LP18=""))),"P","")</f>
        <v/>
      </c>
      <c r="H18" s="4" t="str">
        <f>IF(OR(AND($AN18&gt;=$AL$28,NOT($AN18=""),$AJ18=""),AND($BK18&gt;=$BI$28,NOT($BK18=""),$BG18=""),AND($CK18&gt;=$CI$28,NOT($CK18="")),AND($DG18&gt;=$DE$28,NOT($DG18="")),AND($EC18&gt;=$EA$28,NOT($EC18="")),AND($EY18&gt;=$EW$28,NOT($EY18="")),AND($FU18&gt;=$FS$28,NOT($FU18="")),AND($GQ18&gt;=$GO$28,NOT($GQ18="")),AND($HM18&gt;=$HK$28,NOT($HM18="")),AND($II18&gt;=$IG$28,NOT($II18="")),AND($JE18&gt;=$JC$28,NOT($JE18="")),AND($KA18&gt;=$JY$28,NOT($KA18="")),AND($KW18&gt;=$KU$28,NOT($KW18="")),AND($LS18&gt;=$LQ$28,NOT($LS18=""))),"P","")</f>
        <v/>
      </c>
      <c r="I18" t="str">
        <f>IF(AND(H18="P",F18=""),"No DD",IF(AND(G18="P",OR(AND($AM18&gt;$AL$31,NOT($AM18=""),$AJ18=""),AND($AP18&gt;$AL$31,NOT($AP18=""),$AJ18=""),AND($BJ18&gt;$BI$31,NOT($BJ18=""),$BG18=""),AND($BM18&gt;$BI$31,NOT($BM18=""),$BG18=""),AND($CJ18&gt;$CI$31,NOT($CJ18="")),AND($CM18&gt;$CI$31,NOT($CM18="")),AND($DF18&gt;$DE$31,NOT($DF18="")),AND($DI18&gt;$DE$31,NOT($DI18="")),AND($EB18&gt;$EA$31,NOT($EB18="")),AND($EE18&gt;$EA$31,NOT($EE18="")),AND($EX18&gt;$EW$31,NOT($EX18="")),AND($FA18&gt;$EW$31,NOT($FA18="")),AND($FT18&gt;$FS$31,NOT($FT18="")),AND($FW18&gt;$FS$31,NOT($FW18="")),AND($GP18&gt;$GO$31,NOT($GP18="")),AND($GS18&gt;$GO$31,NOT($GS18="")),AND($HL18&gt;$HK$31,NOT($HL18="")),AND($HO18&gt;$HK$31,NOT($HO18="")),AND($IH18&gt;$IG$31,NOT($IH18="")),AND($IK18&gt;$IG$31,NOT($IK18="")),AND($JD18&gt;$JC$31,NOT($JD18="")),AND($JG18&gt;$JC$31,NOT($JG18="")),AND($JZ18&gt;$JY$31,NOT($JZ18="")),AND($KC18&gt;$JY$31,NOT($KC18="")),AND($KV18&gt;$KU$31,NOT($KV18="")),AND($KY18&gt;$KU$31,NOT($KY18="")),AND($LR18&gt;$LQ$31,NOT($LR18="")),AND($LU18&gt;$LQ$31,NOT($LU18="")))),"Merit",IF(AND(G18="P",OR(AND($AN18&gt;$AL$30,NOT($AN18=""),$AJ18=""),AND($BK18&gt;$BI$30,NOT($BK18=""),$BG18=""),AND($CK18&gt;$CI$30,NOT($CK18="")),AND($DG18&gt;$DE$30,NOT($DG18="")),AND($EC18&gt;$EA$30,NOT($EC18="")),AND($EY18&gt;$EW$30,NOT($EY18="")),AND($FU18&gt;$FS$30,NOT($FU18="")),AND($GQ18&gt;$GO$30,NOT($GQ18="")),AND($HM18&gt;$HK$30,NOT($HM18="")),AND($II18&gt;$IG$30,NOT($II18="")),AND($JE18&gt;$JC$30,NOT($JE18="")),AND($KA18&gt;$JY$30,NOT($KA18="")),AND($KW18&gt;$KU$30,NOT($KW18="")),AND($LS18&gt;$LQ$30,NOT($LS18="")))),"Excellence",IF(AND(G18="P",OR(AND($AN18&gt;$AL$29,NOT($AN18=""),$AJ18=""),AND($BK18&gt;$BI$29,NOT($BK18=""),$BG18=""),AND($CK18&gt;$CI$29,NOT($CK18="")),AND($DG18&gt;$DE$29,NOT($DG18="")),AND($EC18&gt;$EA$29,NOT($EC18="")),AND($EY18&gt;$EW$29,NOT($EY18="")),AND($FU18&gt;$FS$29,NOT($FU18="")),AND($GQ18&gt;$GO$29,NOT($GQ18="")),AND($HM18&gt;$HK$29,NOT($HM18="")),AND($II18&gt;$IG$29,NOT($II18="")),AND($JE18&gt;$JC$29,NOT($JE18="")),AND($KA18&gt;$JY$29,NOT($KA18="")),AND($KW18&gt;$KU$29,NOT($KW18="")),AND($LS18&gt;$LQ$29,NOT($LS18="")))),"Worlds Team",IF(AND(F18="P",OR(AND($AN18&gt;$AL$28,NOT($AN18=""),$AJ18=""),AND($BK18&gt;$BI$28,NOT($BK18=""),$BG18=""),AND($CK18&gt;$CI$28,NOT($CK18="")),AND($DG18&gt;$DE$28,NOT($DG18="")),AND($EC18&gt;$EA$28,NOT($EC18="")),AND($EY18&gt;$EW$28,NOT($EY18="")),AND($FU18&gt;$FS$28,NOT($FU18="")),AND($GQ18&gt;$GO$28,NOT($GQ18="")),AND($HM18&gt;$HK$28,NOT($HM18="")),AND($II18&gt;$IG$28,NOT($II18="")),AND($JE18&gt;$JC$28,NOT($JE18="")),AND($KA18&gt;$JY$28,NOT($KA18="")),AND($KW18&gt;$KU$28,NOT($KW18="")),AND($LS18&gt;$LQ$28,NOT($LS18="")))),"National Team","")))))</f>
        <v/>
      </c>
      <c r="J18" s="15">
        <f>IF(MAX(AN18,BK18)&gt;0,MAX(AN18,BK18),"")</f>
        <v>82.625</v>
      </c>
      <c r="K18" s="15" t="str">
        <f>IF(J18="","",IF(J18=BK18,$AR$1,IF(J18=AN18,$U$1,"")))</f>
        <v>2019 Elite Canada</v>
      </c>
      <c r="L18" s="15">
        <f>IF($J18=$AN18,BI18,IF($J18=$BK18,AL18,MAX(AL18,BI18)))</f>
        <v>5.26</v>
      </c>
      <c r="M18" s="15" t="str">
        <f>IF(L18="","",IF(AND(L18=BI18,$K18&lt;&gt;$AR$1),$AR$1,IF(AND(L18=AL18,$K18&lt;&gt;$U$1),$U$1,"")))</f>
        <v>2018 Nationals</v>
      </c>
      <c r="N18" s="15">
        <f>IF($J18=$AN18,BJ18,IF($J18=$BK18,AM18,MAX(AM18,BJ18)))</f>
        <v>33.204999999999998</v>
      </c>
      <c r="O18" s="15" t="str">
        <f>IF(N18="","",IF(AND(N18=BJ18,$K18&lt;&gt;$AR$1),$AR$1,IF(AND(N18=AM18,$K18&lt;&gt;$U$1),$U$1,"")))</f>
        <v>2018 Nationals</v>
      </c>
      <c r="P18" s="15">
        <f>IF(MAX(AP18,BM18)&gt;0,MAX(AP18,BM18),"")</f>
        <v>37.045000000000002</v>
      </c>
      <c r="Q18" s="15" t="str">
        <f>IF(P18="","",IF(P18=BM18,$AR$1,IF(P18=AP18,$U$1,"")))</f>
        <v>2019 Elite Canada</v>
      </c>
      <c r="R18" s="15" t="str">
        <f>IF(MAX(BO18,BP18,BQ18,BR18)&gt;0,MAX(BO18,BP18,BQ18,BR18),"")</f>
        <v/>
      </c>
      <c r="S18" s="25" t="str">
        <f>IF(R18="","",IF(R18=BO18,"(Vol 1)",IF(R18=BP18,"(Vol 2)",IF(R18=BQ18,"(Prelim)",IF(R18=BR18,"(Final)")))))</f>
        <v/>
      </c>
      <c r="T18" s="15" t="str">
        <f>IF(R18="","",IF(R18=BO18,IF(R18+IF(L18="",0,L18)=LQ18,$LA$1,IF(R18+IF(L18="",0,L18)=KU18,$KE$1,IF(R18+IF(L18="",0,L18)=JY18,$JI$1,IF(R18+IF(L18="",0,L18)=JC18,$IM$1,IF(R18+IF(L18="",0,L18)=IG18,$HQ$1,IF(R18+IF(L18="",0,L18)=HK18,$GU$1,IF(R18+IF(L18="",0,L18)=GO18,$FY$1,IF(R18+IF(L18="",0,L18)=FS18,$FC$1,IF(R18+IF(L18="",0,L18)=EW18,$EG$1,IF(R18+IF(L18="",0,L18)=EA18,$DK$1,IF(R18+IF(L18="",0,L18)=DE18,$CO$1,IF(R18+IF(L18="",0,L18)=CI18,$BS$1)))))))))))),IF(R18=BP18,IF(R18+IF(N18="",0,N18)=LR18,$LA$1,IF(R18+IF(N18="",0,N18)=KV18,$KE$1,IF(R18+IF(N18="",0,N18)=JZ18,$JI$1,IF(R18+IF(N18="",0,N18)=JD18,$IM$1,IF(R18+IF(N18="",0,N18)=IH18,$HQ$1,IF(R18+IF(N18="",0,N18)=HL18,$GU$1,IF(R18+IF(N18="",0,N18)=GP18,$FY$1,IF(R18+IF(N18="",0,N18)=FT18,$FC$1,IF(R18+IF(N18="",0,N18)=EX18,$EG$1,IF(R18+IF(N18="",0,N18)=EB18,$DK$1,IF(R18+IF(N18="",0,N18)=DF18,$CO$1,IF(R18+IF(N18="",0,N18)=CJ18,$BS$1)))))))))))),IF(R18=BQ18,IF(R18+IF(J18="",0,J18)=LS18,$LA$1,IF(R18+IF(J18="",0,J18)=KW18,$KE$1,IF(R18+IF(J18="",0,J18)=KA18,$JI$1,IF(R18+IF(J18="",0,J18)=JE18,$IM$1,IF(R18+IF(J18="",0,J18)=II18,$HQ$1,IF(R18+IF(J18="",0,J18)=HM18,$GU$1,IF(R18+IF(J18="",0,J18)=GQ18,$FY$1,IF(R18+IF(J18="",0,J18)=FU18,$FC$1,IF(R18+IF(J18="",0,J18)=EY18,$EG$1,IF(R18+IF(J18="",0,J18)=EC18,$DK$1,IF(R18+IF(J18="",0,J18)=DG18,$CO$1,IF(R18+IF(J18="",0,J18)=CK18,$BS$1)))))))))))),IF(R18=BR18,IF(R18+IF(P18="",0,P18)=LU18,$LA$1,IF(R18+IF(P18="",0,P18)=KY18,$KE$1,IF(R18+IF(P18="",0,P18)=KC18,$JI$1,IF(R18+IF(P18="",0,P18)=JG18,$IM$1,IF(R18+IF(P18="",0,P18)=IK18,$HQ$1,IF(R18+IF(P18="",0,P18)=HO18,$GU$1,IF(R18+IF(P18="",0,P18)=GS18,$FY$1,IF(R18+IF(P18="",0,P18)=FW18,$FC$1,IF(R18+IF(P18="",0,P18)=FA18,$EG$1,IF(R18+IF(P18="",0,P18)=EE18,$DK$1,IF(R18+IF(P18="",0,P18)=DI18,$CO$1,IF(R18+IF(P18="",0,P18)=CM18,$BS$1)))))))))))))))))</f>
        <v/>
      </c>
      <c r="U18" s="63">
        <v>1.2</v>
      </c>
      <c r="V18" s="63">
        <v>0.8</v>
      </c>
      <c r="W18" s="63">
        <v>1.7</v>
      </c>
      <c r="X18" s="63">
        <v>1.56</v>
      </c>
      <c r="Y18" s="63">
        <v>0</v>
      </c>
      <c r="Z18" s="63">
        <v>8.9</v>
      </c>
      <c r="AA18" s="63">
        <v>6.1</v>
      </c>
      <c r="AB18" s="63">
        <v>8.3000000000000007</v>
      </c>
      <c r="AC18" s="63">
        <v>9.9049999999999994</v>
      </c>
      <c r="AD18" s="63">
        <v>0</v>
      </c>
      <c r="AE18" s="63"/>
      <c r="AF18" s="63"/>
      <c r="AG18" s="63"/>
      <c r="AH18" s="63"/>
      <c r="AI18" s="63"/>
      <c r="AJ18" s="74"/>
      <c r="AK18" s="12">
        <f>IF(AB18&gt;0,AB18,"")</f>
        <v>8.3000000000000007</v>
      </c>
      <c r="AL18" s="12">
        <f>IF(SUM(U18:X18)-Y18&gt;0,SUM(U18:X18)-Y18,"")</f>
        <v>5.26</v>
      </c>
      <c r="AM18" s="12">
        <f>IF(SUM(Z18:AC18)-AD18&gt;0,SUM(Z18:AC18)-AD18,"")</f>
        <v>33.204999999999998</v>
      </c>
      <c r="AN18" s="12">
        <f>IF(SUM(AL18:AM18)&gt;0,SUM(AL18:AM18),"")</f>
        <v>38.464999999999996</v>
      </c>
      <c r="AO18" s="12" t="str">
        <f>IF(AG18&gt;0,AG18,"")</f>
        <v/>
      </c>
      <c r="AP18" s="12" t="str">
        <f>IF(SUM(AE18:AH18)-AI18&gt;0,SUM(AE18:AH18)-AI18,"")</f>
        <v/>
      </c>
      <c r="AQ18" s="12">
        <f>IF(SUM(AN18,AP18)&gt;0,SUM(AN18,AP18),"")</f>
        <v>38.464999999999996</v>
      </c>
      <c r="AR18" s="69">
        <v>14.5</v>
      </c>
      <c r="AS18" s="69">
        <v>9.25</v>
      </c>
      <c r="AT18" s="69">
        <v>4.3</v>
      </c>
      <c r="AU18" s="69">
        <v>15.685</v>
      </c>
      <c r="AV18" s="69">
        <v>2</v>
      </c>
      <c r="AW18" s="69">
        <v>10.4</v>
      </c>
      <c r="AX18" s="69">
        <v>6.8</v>
      </c>
      <c r="AY18" s="69">
        <v>11.2</v>
      </c>
      <c r="AZ18" s="69">
        <v>12.49</v>
      </c>
      <c r="BA18" s="69">
        <v>0</v>
      </c>
      <c r="BB18" s="69">
        <v>9.3000000000000007</v>
      </c>
      <c r="BC18" s="69">
        <v>6.65</v>
      </c>
      <c r="BD18" s="69">
        <v>10</v>
      </c>
      <c r="BE18" s="69">
        <v>11.095000000000001</v>
      </c>
      <c r="BF18" s="69">
        <v>0</v>
      </c>
      <c r="BG18" s="75"/>
      <c r="BH18" s="15">
        <f>IF(AY18&gt;0,AY18,"")</f>
        <v>11.2</v>
      </c>
      <c r="BI18" s="15">
        <f>IF(SUM(AR18:AU18)-AV18&gt;0,SUM(AR18:AU18)-AV18,"")</f>
        <v>41.734999999999999</v>
      </c>
      <c r="BJ18" s="15">
        <f>IF(SUM(AW18:AZ18)-BA18&gt;0,SUM(AW18:AZ18)-BA18,"")</f>
        <v>40.89</v>
      </c>
      <c r="BK18" s="15">
        <f>IF(SUM(BI18:BJ18)&gt;0,SUM(BI18:BJ18),"")</f>
        <v>82.625</v>
      </c>
      <c r="BL18" s="15">
        <f>IF(BD18&gt;0,BD18,"")</f>
        <v>10</v>
      </c>
      <c r="BM18" s="15">
        <f>IF(SUM(BB18:BE18)-BF18&gt;0,SUM(BB18:BE18)-BF18,"")</f>
        <v>37.045000000000002</v>
      </c>
      <c r="BN18" s="15">
        <f>IF(SUM(BK18,BM18)&gt;0,SUM(BK18,BM18),"")</f>
        <v>119.67</v>
      </c>
      <c r="BO18" s="24" t="str">
        <f>IF(MAX(CI18,DE18,EA18,EW18,FS18,GO18,HK18,IG18,JC18,JY18,KU18,LQ18)-IF(L18="",0,L18)&gt;0.001,MAX(CI18,DE18,EA18,EW18,FS18,GO18,HK18,IG18,JC18,JY18,KU18,LQ18)-IF(L18="",0,L18),"")</f>
        <v/>
      </c>
      <c r="BP18" s="24" t="str">
        <f>IF(MAX(CJ18,DF18,EB18,EX18,FT18,GP18,HL18,IH18,JD18,JZ18,KV18,LR18)-IF(N18="",0,N18)&gt;0.001,MAX(CJ18,DF18,EB18,EX18,FT18,GP18,HL18,IH18,JD18,JZ18,KV18,LR18)-IF(N18="",0,N18),"")</f>
        <v/>
      </c>
      <c r="BQ18" s="24" t="str">
        <f>IF(MAX(CK18,DG18,EC18,EY18,FU18,GQ18,HM18,II18,JE18,KA18,KW18,LS18)-IF(J18="",0,J18)&gt;0.001,MAX(CK18,DG18,EC18,EY18,FU18,GQ18,HM18,II18,JE18,KA18,KW18,LS18)-IF(J18="",0,J18),"")</f>
        <v/>
      </c>
      <c r="BR18" s="24" t="str">
        <f>IF(MAX(CM18,DI18,EE18,FA18,FW18,GS18,HO18,IK18,JG18,KC18,KY18,LU18)-IF(P18="",0,P18)&gt;0.001,MAX(CM18,DI18,EE18,FA18,FW18,GS18,HO18,IK18,JG18,KC18,KY18,LU18)-IF(P18="",0,P18),"")</f>
        <v/>
      </c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12" t="str">
        <f>IF(BZ18&gt;0,BZ18,"")</f>
        <v/>
      </c>
      <c r="CI18" s="12" t="str">
        <f>IF(SUM(BS18:BV18)-BW18&gt;0,SUM(BS18:BV18)-BW18,"")</f>
        <v/>
      </c>
      <c r="CJ18" s="12" t="str">
        <f>IF(SUM(BX18:CA18)-CB18&gt;0,SUM(BX18:CA18)-CB18,"")</f>
        <v/>
      </c>
      <c r="CK18" s="12" t="str">
        <f>IF(SUM(CI18:CJ18)&gt;0,SUM(CI18:CJ18),"")</f>
        <v/>
      </c>
      <c r="CL18" s="12" t="str">
        <f>IF(CE18&gt;0,CE18,"")</f>
        <v/>
      </c>
      <c r="CM18" s="12" t="str">
        <f>IF(SUM(CC18:CF18)-CG18&gt;0,SUM(CC18:CF18)-CG18,"")</f>
        <v/>
      </c>
      <c r="CN18" s="12" t="str">
        <f>IF(SUM(CK18,CM18)&gt;0,SUM(CK18,CM18),"")</f>
        <v/>
      </c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15" t="str">
        <f>IF(CV18&gt;0,CV18,"")</f>
        <v/>
      </c>
      <c r="DE18" s="15" t="str">
        <f>IF(SUM(CO18:CR18)-CS18&gt;0,SUM(CO18:CR18)-CS18,"")</f>
        <v/>
      </c>
      <c r="DF18" s="15" t="str">
        <f>IF(SUM(CT18:CW18)-CX18&gt;0,SUM(CT18:CW18)-CX18,"")</f>
        <v/>
      </c>
      <c r="DG18" s="15" t="str">
        <f>IF(SUM(DE18:DF18)&gt;0,SUM(DE18:DF18),"")</f>
        <v/>
      </c>
      <c r="DH18" s="15" t="str">
        <f>IF(DA18&gt;0,DA18,"")</f>
        <v/>
      </c>
      <c r="DI18" s="15" t="str">
        <f>IF(SUM(CY18:DB18)-DC18&gt;0,SUM(CY18:DB18)-DC18,"")</f>
        <v/>
      </c>
      <c r="DJ18" s="15" t="str">
        <f>IF(SUM(DG18,DI18)&gt;0,SUM(DG18,DI18),"")</f>
        <v/>
      </c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  <c r="DW18" s="36"/>
      <c r="DX18" s="36"/>
      <c r="DY18" s="36"/>
      <c r="DZ18" s="12" t="str">
        <f>IF(DR18&gt;0,DR18,"")</f>
        <v/>
      </c>
      <c r="EA18" s="12" t="str">
        <f>IF(SUM(DK18:DN18)-DO18&gt;0,SUM(DK18:DN18)-DO18,"")</f>
        <v/>
      </c>
      <c r="EB18" s="12" t="str">
        <f>IF(SUM(DP18:DS18)-DT18&gt;0,SUM(DP18:DS18)-DT18,"")</f>
        <v/>
      </c>
      <c r="EC18" s="12" t="str">
        <f>IF(SUM(EA18:EB18)&gt;0,SUM(EA18:EB18),"")</f>
        <v/>
      </c>
      <c r="ED18" s="12" t="str">
        <f>IF(DW18&gt;0,DW18,"")</f>
        <v/>
      </c>
      <c r="EE18" s="12" t="str">
        <f>IF(SUM(DU18:DX18)-DY18&gt;0,SUM(DU18:DX18)-DY18,"")</f>
        <v/>
      </c>
      <c r="EF18" s="12" t="str">
        <f>IF(SUM(EC18,EE18)&gt;0,SUM(EC18,EE18),"")</f>
        <v/>
      </c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15" t="str">
        <f>IF(EN18&gt;0,EN18,"")</f>
        <v/>
      </c>
      <c r="EW18" s="15" t="str">
        <f>IF(SUM(EG18:EJ18)-EK18&gt;0,SUM(EG18:EJ18)-EK18,"")</f>
        <v/>
      </c>
      <c r="EX18" s="15" t="str">
        <f>IF(SUM(EL18:EO18)-EP18&gt;0,SUM(EL18:EO18)-EP18,"")</f>
        <v/>
      </c>
      <c r="EY18" s="15" t="str">
        <f>IF(SUM(EW18:EX18)&gt;0,SUM(EW18:EX18),"")</f>
        <v/>
      </c>
      <c r="EZ18" s="15" t="str">
        <f>IF(ES18&gt;0,ES18,"")</f>
        <v/>
      </c>
      <c r="FA18" s="15" t="str">
        <f>IF(SUM(EQ18:ET18)-EU18&gt;0,SUM(EQ18:ET18)-EU18,"")</f>
        <v/>
      </c>
      <c r="FB18" s="15" t="str">
        <f>IF(SUM(EY18,FA18)&gt;0,SUM(EY18,FA18),"")</f>
        <v/>
      </c>
      <c r="FC18" s="36"/>
      <c r="FD18" s="36"/>
      <c r="FE18" s="36"/>
      <c r="FF18" s="36"/>
      <c r="FG18" s="36"/>
      <c r="FH18" s="36"/>
      <c r="FI18" s="36"/>
      <c r="FJ18" s="36"/>
      <c r="FK18" s="36"/>
      <c r="FL18" s="36"/>
      <c r="FM18" s="36"/>
      <c r="FN18" s="36"/>
      <c r="FO18" s="36"/>
      <c r="FP18" s="36"/>
      <c r="FQ18" s="36"/>
      <c r="FR18" s="12" t="str">
        <f>IF(FJ18&gt;0,FJ18,"")</f>
        <v/>
      </c>
      <c r="FS18" s="12" t="str">
        <f>IF(SUM(FC18:FF18)-FG18&gt;0,SUM(FC18:FF18)-FG18,"")</f>
        <v/>
      </c>
      <c r="FT18" s="12" t="str">
        <f>IF(SUM(FH18:FK18)-FL18&gt;0,SUM(FH18:FK18)-FL18,"")</f>
        <v/>
      </c>
      <c r="FU18" s="12" t="str">
        <f>IF(SUM(FS18:FT18)&gt;0,SUM(FS18:FT18),"")</f>
        <v/>
      </c>
      <c r="FV18" s="12" t="str">
        <f>IF(FO18&gt;0,FO18,"")</f>
        <v/>
      </c>
      <c r="FW18" s="12" t="str">
        <f>IF(SUM(FM18:FP18)-FQ18&gt;0,SUM(FM18:FP18)-FQ18,"")</f>
        <v/>
      </c>
      <c r="FX18" s="12" t="str">
        <f>IF(SUM(FU18,FW18)&gt;0,SUM(FU18,FW18),"")</f>
        <v/>
      </c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15" t="str">
        <f>IF(GF18&gt;0,GF18,"")</f>
        <v/>
      </c>
      <c r="GO18" s="15" t="str">
        <f>IF(SUM(FY18:GB18)-GC18&gt;0,SUM(FY18:GB18)-GC18,"")</f>
        <v/>
      </c>
      <c r="GP18" s="15" t="str">
        <f>IF(SUM(GD18:GG18)-GH18&gt;0,SUM(GD18:GG18)-GH18,"")</f>
        <v/>
      </c>
      <c r="GQ18" s="15" t="str">
        <f>IF(SUM(GO18:GP18)&gt;0,SUM(GO18:GP18),"")</f>
        <v/>
      </c>
      <c r="GR18" s="15" t="str">
        <f>IF(GK18&gt;0,GK18,"")</f>
        <v/>
      </c>
      <c r="GS18" s="15" t="str">
        <f>IF(SUM(GI18:GL18)-GM18&gt;0,SUM(GI18:GL18)-GM18,"")</f>
        <v/>
      </c>
      <c r="GT18" s="15" t="str">
        <f>IF(SUM(GQ18,GS18)&gt;0,SUM(GQ18,GS18),"")</f>
        <v/>
      </c>
      <c r="GU18" s="36"/>
      <c r="GV18" s="36"/>
      <c r="GW18" s="36"/>
      <c r="GX18" s="36"/>
      <c r="GY18" s="36"/>
      <c r="GZ18" s="36"/>
      <c r="HA18" s="36"/>
      <c r="HB18" s="36"/>
      <c r="HC18" s="36"/>
      <c r="HD18" s="36"/>
      <c r="HE18" s="36"/>
      <c r="HF18" s="36"/>
      <c r="HG18" s="36"/>
      <c r="HH18" s="36"/>
      <c r="HI18" s="36"/>
      <c r="HJ18" s="12" t="str">
        <f>IF(HB18&gt;0,HB18,"")</f>
        <v/>
      </c>
      <c r="HK18" s="12" t="str">
        <f>IF(SUM(GU18:GX18)-GY18&gt;0,SUM(GU18:GX18)-GY18,"")</f>
        <v/>
      </c>
      <c r="HL18" s="12" t="str">
        <f>IF(SUM(GZ18:HC18)-HD18&gt;0,SUM(GZ18:HC18)-HD18,"")</f>
        <v/>
      </c>
      <c r="HM18" s="12" t="str">
        <f>IF(SUM(HK18:HL18)&gt;0,SUM(HK18:HL18),"")</f>
        <v/>
      </c>
      <c r="HN18" s="12" t="str">
        <f>IF(HG18&gt;0,HG18,"")</f>
        <v/>
      </c>
      <c r="HO18" s="12" t="str">
        <f>IF(SUM(HE18:HH18)-HI18&gt;0,SUM(HE18:HH18)-HI18,"")</f>
        <v/>
      </c>
      <c r="HP18" s="12" t="str">
        <f>IF(SUM(HM18,HO18)&gt;0,SUM(HM18,HO18),"")</f>
        <v/>
      </c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15" t="str">
        <f>IF(HX18&gt;0,HX18,"")</f>
        <v/>
      </c>
      <c r="IG18" s="15" t="str">
        <f>IF(SUM(HQ18:HT18)-HU18&gt;0,SUM(HQ18:HT18)-HU18,"")</f>
        <v/>
      </c>
      <c r="IH18" s="15" t="str">
        <f>IF(SUM(HV18:HY18)-HZ18&gt;0,SUM(HV18:HY18)-HZ18,"")</f>
        <v/>
      </c>
      <c r="II18" s="15" t="str">
        <f>IF(SUM(IG18:IH18)&gt;0,SUM(IG18:IH18),"")</f>
        <v/>
      </c>
      <c r="IJ18" s="15" t="str">
        <f>IF(IC18&gt;0,IC18,"")</f>
        <v/>
      </c>
      <c r="IK18" s="15" t="str">
        <f>IF(SUM(IA18:ID18)-IE18&gt;0,SUM(IA18:ID18)-IE18,"")</f>
        <v/>
      </c>
      <c r="IL18" s="15" t="str">
        <f>IF(SUM(II18,IK18)&gt;0,SUM(II18,IK18),"")</f>
        <v/>
      </c>
      <c r="IM18" s="36"/>
      <c r="IN18" s="36"/>
      <c r="IO18" s="36"/>
      <c r="IP18" s="36"/>
      <c r="IQ18" s="36"/>
      <c r="IR18" s="36"/>
      <c r="IS18" s="36"/>
      <c r="IT18" s="36"/>
      <c r="IU18" s="36"/>
      <c r="IV18" s="36"/>
      <c r="IW18" s="36"/>
      <c r="IX18" s="36"/>
      <c r="IY18" s="36"/>
      <c r="IZ18" s="36"/>
      <c r="JA18" s="36"/>
      <c r="JB18" s="12" t="str">
        <f>IF(IT18&gt;0,IT18,"")</f>
        <v/>
      </c>
      <c r="JC18" s="12" t="str">
        <f>IF(SUM(IM18:IP18)-IQ18&gt;0,SUM(IM18:IP18)-IQ18,"")</f>
        <v/>
      </c>
      <c r="JD18" s="12" t="str">
        <f>IF(SUM(IR18:IU18)-IV18&gt;0,SUM(IR18:IU18)-IV18,"")</f>
        <v/>
      </c>
      <c r="JE18" s="12" t="str">
        <f>IF(SUM(JC18:JD18)&gt;0,SUM(JC18:JD18),"")</f>
        <v/>
      </c>
      <c r="JF18" s="12" t="str">
        <f>IF(IY18&gt;0,IY18,"")</f>
        <v/>
      </c>
      <c r="JG18" s="12" t="str">
        <f>IF(SUM(IW18:IZ18)-JA18&gt;0,SUM(IW18:IZ18)-JA18,"")</f>
        <v/>
      </c>
      <c r="JH18" s="12" t="str">
        <f>IF(SUM(JE18,JG18)&gt;0,SUM(JE18,JG18),"")</f>
        <v/>
      </c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15" t="str">
        <f>IF(JP18&gt;0,JP18,"")</f>
        <v/>
      </c>
      <c r="JY18" s="15" t="str">
        <f>IF(SUM(JI18:JL18)-JM18&gt;0,SUM(JI18:JL18)-JM18,"")</f>
        <v/>
      </c>
      <c r="JZ18" s="15" t="str">
        <f>IF(SUM(JN18:JQ18)-JR18&gt;0,SUM(JN18:JQ18)-JR18,"")</f>
        <v/>
      </c>
      <c r="KA18" s="15" t="str">
        <f>IF(SUM(JY18:JZ18)&gt;0,SUM(JY18:JZ18),"")</f>
        <v/>
      </c>
      <c r="KB18" s="15" t="str">
        <f>IF(JU18&gt;0,JU18,"")</f>
        <v/>
      </c>
      <c r="KC18" s="15" t="str">
        <f>IF(SUM(JS18:JV18)-JW18&gt;0,SUM(JS18:JV18)-JW18,"")</f>
        <v/>
      </c>
      <c r="KD18" s="15" t="str">
        <f>IF(SUM(KA18,KC18)&gt;0,SUM(KA18,KC18),"")</f>
        <v/>
      </c>
      <c r="KE18" s="36"/>
      <c r="KF18" s="36"/>
      <c r="KG18" s="36"/>
      <c r="KH18" s="36"/>
      <c r="KI18" s="36"/>
      <c r="KJ18" s="36"/>
      <c r="KK18" s="36"/>
      <c r="KL18" s="36"/>
      <c r="KM18" s="36"/>
      <c r="KN18" s="36"/>
      <c r="KO18" s="36"/>
      <c r="KP18" s="36"/>
      <c r="KQ18" s="36"/>
      <c r="KR18" s="36"/>
      <c r="KS18" s="36"/>
      <c r="KT18" s="12" t="str">
        <f>IF(KL18&gt;0,KL18,"")</f>
        <v/>
      </c>
      <c r="KU18" s="12" t="str">
        <f>IF(SUM(KE18:KH18)-KI18&gt;0,SUM(KE18:KH18)-KI18,"")</f>
        <v/>
      </c>
      <c r="KV18" s="12" t="str">
        <f>IF(SUM(KJ18:KM18)-KN18&gt;0,SUM(KJ18:KM18)-KN18,"")</f>
        <v/>
      </c>
      <c r="KW18" s="12" t="str">
        <f>IF(SUM(KU18:KV18)&gt;0,SUM(KU18:KV18),"")</f>
        <v/>
      </c>
      <c r="KX18" s="12" t="str">
        <f>IF(KQ18&gt;0,KQ18,"")</f>
        <v/>
      </c>
      <c r="KY18" s="12" t="str">
        <f>IF(SUM(KO18:KR18)-KS18&gt;0,SUM(KO18:KR18)-KS18,"")</f>
        <v/>
      </c>
      <c r="KZ18" s="12" t="str">
        <f>IF(SUM(KW18,KY18)&gt;0,SUM(KW18,KY18),"")</f>
        <v/>
      </c>
      <c r="LA18" s="37"/>
      <c r="LB18" s="37"/>
      <c r="LC18" s="37"/>
      <c r="LD18" s="37"/>
      <c r="LE18" s="37"/>
      <c r="LF18" s="37"/>
      <c r="LG18" s="37"/>
      <c r="LH18" s="37"/>
      <c r="LI18" s="37"/>
      <c r="LJ18" s="37"/>
      <c r="LK18" s="37"/>
      <c r="LL18" s="37"/>
      <c r="LM18" s="37"/>
      <c r="LN18" s="37"/>
      <c r="LO18" s="37"/>
      <c r="LP18" s="15" t="str">
        <f>IF(LH18&gt;0,LH18,"")</f>
        <v/>
      </c>
      <c r="LQ18" s="15" t="str">
        <f>IF(SUM(LA18:LD18)-LE18&gt;0,SUM(LA18:LD18)-LE18,"")</f>
        <v/>
      </c>
      <c r="LR18" s="15" t="str">
        <f>IF(SUM(LF18:LI18)-LJ18&gt;0,SUM(LF18:LI18)-LJ18,"")</f>
        <v/>
      </c>
      <c r="LS18" s="15" t="str">
        <f>IF(SUM(LQ18:LR18)&gt;0,SUM(LQ18:LR18),"")</f>
        <v/>
      </c>
      <c r="LT18" s="15" t="str">
        <f>IF(LM18&gt;0,LM18,"")</f>
        <v/>
      </c>
      <c r="LU18" s="15" t="str">
        <f>IF(SUM(LK18:LN18)-LO18&gt;0,SUM(LK18:LN18)-LO18,"")</f>
        <v/>
      </c>
      <c r="LV18" s="15" t="str">
        <f>IF(SUM(LS18,LU18)&gt;0,SUM(LS18,LU18),"")</f>
        <v/>
      </c>
      <c r="LW18" s="63">
        <f t="shared" si="7"/>
        <v>7.85</v>
      </c>
      <c r="LX18" s="63">
        <f t="shared" si="8"/>
        <v>5.0250000000000004</v>
      </c>
      <c r="LY18" s="63">
        <f t="shared" si="9"/>
        <v>3</v>
      </c>
      <c r="LZ18" s="63">
        <f t="shared" si="10"/>
        <v>8.6225000000000005</v>
      </c>
      <c r="MA18" s="63">
        <f t="shared" si="11"/>
        <v>1</v>
      </c>
      <c r="MB18" s="63">
        <f t="shared" si="12"/>
        <v>9.65</v>
      </c>
      <c r="MC18" s="63">
        <f t="shared" si="13"/>
        <v>6.4499999999999993</v>
      </c>
      <c r="MD18" s="63">
        <f t="shared" si="14"/>
        <v>9.75</v>
      </c>
      <c r="ME18" s="63">
        <f t="shared" si="15"/>
        <v>11.1975</v>
      </c>
      <c r="MF18" s="63">
        <f t="shared" si="16"/>
        <v>0</v>
      </c>
      <c r="MG18" s="63">
        <f t="shared" si="17"/>
        <v>4.6500000000000004</v>
      </c>
      <c r="MH18" s="63">
        <f t="shared" si="18"/>
        <v>3.3250000000000002</v>
      </c>
      <c r="MI18" s="63">
        <f t="shared" si="19"/>
        <v>5</v>
      </c>
      <c r="MJ18" s="63">
        <f t="shared" si="20"/>
        <v>5.5475000000000003</v>
      </c>
      <c r="MK18" s="63">
        <f t="shared" si="21"/>
        <v>0</v>
      </c>
      <c r="ML18" s="74" t="s">
        <v>119</v>
      </c>
      <c r="MM18" s="12">
        <f t="shared" si="22"/>
        <v>9.75</v>
      </c>
      <c r="MN18" s="12">
        <f t="shared" si="23"/>
        <v>23.497500000000002</v>
      </c>
      <c r="MO18" s="12">
        <f t="shared" si="24"/>
        <v>37.047499999999999</v>
      </c>
      <c r="MP18" s="12">
        <f t="shared" si="25"/>
        <v>60.545000000000002</v>
      </c>
      <c r="MQ18" s="12">
        <f t="shared" si="26"/>
        <v>5</v>
      </c>
      <c r="MR18" s="12">
        <f t="shared" si="27"/>
        <v>18.522500000000001</v>
      </c>
      <c r="MS18" s="12">
        <f t="shared" si="28"/>
        <v>79.067499999999995</v>
      </c>
    </row>
    <row r="19" spans="1:357" x14ac:dyDescent="0.2">
      <c r="A19" s="6" t="str">
        <f>IF(AND(F19="P",H19="P"),SUMPRODUCT((F$4:F$24="P")*(H$4:H$24="P")*(E$4:E$24&gt;E19))+1,IF(H19="P",SUMPRODUCT((F$4:F$24="")*(H$4:H$24="P")*(E$4:E$24&gt;E19))+1+SUMPRODUCT((F$4:F$24="P")*(H$4:H$24="P")),""))</f>
        <v/>
      </c>
      <c r="B19" s="9" t="s">
        <v>86</v>
      </c>
      <c r="C19" s="5" t="s">
        <v>4</v>
      </c>
      <c r="D19" s="8">
        <v>2002</v>
      </c>
      <c r="E19" s="16">
        <f>SUM(J19:R19)</f>
        <v>116.33000000000001</v>
      </c>
      <c r="F19" s="4" t="str">
        <f>IF(OR(AND($AK19&gt;=$AL$26,NOT($AK19=""),$AJ19=""),AND($BH19&gt;=$BI$26,NOT($BH19=""),$BG19=""),AND($CH19&gt;=$CI$26,NOT($CH19="")),AND($DD19&gt;=$DE$26,NOT($DD19="")),AND($DZ19&gt;=$EA$26,NOT($DZ19="")),AND($EV19&gt;=$EW$26,NOT($EV19="")),AND($FR19&gt;=$FS$26,NOT($FR19="")),AND($GN19&gt;=$GO$26,NOT($GN19="")),AND($HJ19&gt;=$HK$26,NOT($HJ19="")),AND($IF19&gt;=$IG$26,NOT($IF19="")),AND($JB19&gt;=$JC$26,NOT($JB19="")),AND($JX19&gt;=$JY$26,NOT($JX19="")),AND($KT19&gt;=$KU$26,NOT($KT19="")),AND($LP19&gt;=$LQ$26,NOT($LP19=""))),"P","")</f>
        <v/>
      </c>
      <c r="G19" s="4" t="str">
        <f>IF(OR(AND($AK19&gt;=$AL$27,NOT($AK19=""),$AJ19=""),AND($BH19&gt;=$BI$27,NOT($BH19=""),$BG19=""),AND($CH19&gt;=$CI$27,NOT($CH19="")),AND($DD19&gt;=$DE$27,NOT($DD19="")),AND($DZ19&gt;=$EA$27,NOT($DZ19="")),AND($EV19&gt;=$EW$27,NOT($EV19="")),AND($FR19&gt;=$FS$27,NOT($FR19="")),AND($GN19&gt;=$GO$27,NOT($GN19="")),AND($HJ19&gt;=$HK$27,NOT($HJ19="")),AND($IF19&gt;=$IG$27,NOT($IF19="")),AND($JB19&gt;=$JC$27,NOT($JB19="")),AND($JX19&gt;=$JY$27,NOT($JX19="")),AND($KT19&gt;=$KU$27,NOT($KT19="")),AND($LP19&gt;=$LQ$27,NOT($LP19=""))),"P","")</f>
        <v/>
      </c>
      <c r="H19" s="4" t="str">
        <f>IF(OR(AND($AN19&gt;=$AL$28,NOT($AN19=""),$AJ19=""),AND($BK19&gt;=$BI$28,NOT($BK19=""),$BG19=""),AND($CK19&gt;=$CI$28,NOT($CK19="")),AND($DG19&gt;=$DE$28,NOT($DG19="")),AND($EC19&gt;=$EA$28,NOT($EC19="")),AND($EY19&gt;=$EW$28,NOT($EY19="")),AND($FU19&gt;=$FS$28,NOT($FU19="")),AND($GQ19&gt;=$GO$28,NOT($GQ19="")),AND($HM19&gt;=$HK$28,NOT($HM19="")),AND($II19&gt;=$IG$28,NOT($II19="")),AND($JE19&gt;=$JC$28,NOT($JE19="")),AND($KA19&gt;=$JY$28,NOT($KA19="")),AND($KW19&gt;=$KU$28,NOT($KW19="")),AND($LS19&gt;=$LQ$28,NOT($LS19=""))),"P","")</f>
        <v/>
      </c>
      <c r="I19" t="str">
        <f>IF(AND(H19="P",F19=""),"No DD",IF(AND(G19="P",OR(AND($AM19&gt;$AL$31,NOT($AM19=""),$AJ19=""),AND($AP19&gt;$AL$31,NOT($AP19=""),$AJ19=""),AND($BJ19&gt;$BI$31,NOT($BJ19=""),$BG19=""),AND($BM19&gt;$BI$31,NOT($BM19=""),$BG19=""),AND($CJ19&gt;$CI$31,NOT($CJ19="")),AND($CM19&gt;$CI$31,NOT($CM19="")),AND($DF19&gt;$DE$31,NOT($DF19="")),AND($DI19&gt;$DE$31,NOT($DI19="")),AND($EB19&gt;$EA$31,NOT($EB19="")),AND($EE19&gt;$EA$31,NOT($EE19="")),AND($EX19&gt;$EW$31,NOT($EX19="")),AND($FA19&gt;$EW$31,NOT($FA19="")),AND($FT19&gt;$FS$31,NOT($FT19="")),AND($FW19&gt;$FS$31,NOT($FW19="")),AND($GP19&gt;$GO$31,NOT($GP19="")),AND($GS19&gt;$GO$31,NOT($GS19="")),AND($HL19&gt;$HK$31,NOT($HL19="")),AND($HO19&gt;$HK$31,NOT($HO19="")),AND($IH19&gt;$IG$31,NOT($IH19="")),AND($IK19&gt;$IG$31,NOT($IK19="")),AND($JD19&gt;$JC$31,NOT($JD19="")),AND($JG19&gt;$JC$31,NOT($JG19="")),AND($JZ19&gt;$JY$31,NOT($JZ19="")),AND($KC19&gt;$JY$31,NOT($KC19="")),AND($KV19&gt;$KU$31,NOT($KV19="")),AND($KY19&gt;$KU$31,NOT($KY19="")),AND($LR19&gt;$LQ$31,NOT($LR19="")),AND($LU19&gt;$LQ$31,NOT($LU19="")))),"Merit",IF(AND(G19="P",OR(AND($AN19&gt;$AL$30,NOT($AN19=""),$AJ19=""),AND($BK19&gt;$BI$30,NOT($BK19=""),$BG19=""),AND($CK19&gt;$CI$30,NOT($CK19="")),AND($DG19&gt;$DE$30,NOT($DG19="")),AND($EC19&gt;$EA$30,NOT($EC19="")),AND($EY19&gt;$EW$30,NOT($EY19="")),AND($FU19&gt;$FS$30,NOT($FU19="")),AND($GQ19&gt;$GO$30,NOT($GQ19="")),AND($HM19&gt;$HK$30,NOT($HM19="")),AND($II19&gt;$IG$30,NOT($II19="")),AND($JE19&gt;$JC$30,NOT($JE19="")),AND($KA19&gt;$JY$30,NOT($KA19="")),AND($KW19&gt;$KU$30,NOT($KW19="")),AND($LS19&gt;$LQ$30,NOT($LS19="")))),"Excellence",IF(AND(G19="P",OR(AND($AN19&gt;$AL$29,NOT($AN19=""),$AJ19=""),AND($BK19&gt;$BI$29,NOT($BK19=""),$BG19=""),AND($CK19&gt;$CI$29,NOT($CK19="")),AND($DG19&gt;$DE$29,NOT($DG19="")),AND($EC19&gt;$EA$29,NOT($EC19="")),AND($EY19&gt;$EW$29,NOT($EY19="")),AND($FU19&gt;$FS$29,NOT($FU19="")),AND($GQ19&gt;$GO$29,NOT($GQ19="")),AND($HM19&gt;$HK$29,NOT($HM19="")),AND($II19&gt;$IG$29,NOT($II19="")),AND($JE19&gt;$JC$29,NOT($JE19="")),AND($KA19&gt;$JY$29,NOT($KA19="")),AND($KW19&gt;$KU$29,NOT($KW19="")),AND($LS19&gt;$LQ$29,NOT($LS19="")))),"Worlds Team",IF(AND(F19="P",OR(AND($AN19&gt;$AL$28,NOT($AN19=""),$AJ19=""),AND($BK19&gt;$BI$28,NOT($BK19=""),$BG19=""),AND($CK19&gt;$CI$28,NOT($CK19="")),AND($DG19&gt;$DE$28,NOT($DG19="")),AND($EC19&gt;$EA$28,NOT($EC19="")),AND($EY19&gt;$EW$28,NOT($EY19="")),AND($FU19&gt;$FS$28,NOT($FU19="")),AND($GQ19&gt;$GO$28,NOT($GQ19="")),AND($HM19&gt;$HK$28,NOT($HM19="")),AND($II19&gt;$IG$28,NOT($II19="")),AND($JE19&gt;$JC$28,NOT($JE19="")),AND($KA19&gt;$JY$28,NOT($KA19="")),AND($KW19&gt;$KU$28,NOT($KW19="")),AND($LS19&gt;$LQ$28,NOT($LS19="")))),"National Team","")))))</f>
        <v/>
      </c>
      <c r="J19" s="15">
        <f>IF(MAX(AN19,BK19)&gt;0,MAX(AN19,BK19),"")</f>
        <v>74.935000000000002</v>
      </c>
      <c r="K19" s="15" t="str">
        <f>IF(J19="","",IF(J19=BK19,$AR$1,IF(J19=AN19,$U$1,"")))</f>
        <v>2018 Nationals</v>
      </c>
      <c r="L19" s="15" t="str">
        <f>IF($J19=$AN19,BI19,IF($J19=$BK19,AL19,MAX(AL19,BI19)))</f>
        <v/>
      </c>
      <c r="M19" s="15" t="str">
        <f>IF(L19="","",IF(AND(L19=BI19,$K19&lt;&gt;$AR$1),$AR$1,IF(AND(L19=AL19,$K19&lt;&gt;$U$1),$U$1,"")))</f>
        <v/>
      </c>
      <c r="N19" s="15" t="str">
        <f>IF($J19=$AN19,BJ19,IF($J19=$BK19,AM19,MAX(AM19,BJ19)))</f>
        <v/>
      </c>
      <c r="O19" s="15" t="str">
        <f>IF(N19="","",IF(AND(N19=BJ19,$K19&lt;&gt;$AR$1),$AR$1,IF(AND(N19=AM19,$K19&lt;&gt;$U$1),$U$1,"")))</f>
        <v/>
      </c>
      <c r="P19" s="15" t="str">
        <f>IF(MAX(AP19,BM19)&gt;0,MAX(AP19,BM19),"")</f>
        <v/>
      </c>
      <c r="Q19" s="15" t="str">
        <f>IF(P19="","",IF(P19=BM19,$AR$1,IF(P19=AP19,$U$1,"")))</f>
        <v/>
      </c>
      <c r="R19" s="15">
        <f>IF(MAX(BO19,BP19,BQ19,BR19)&gt;0,MAX(BO19,BP19,BQ19,BR19),"")</f>
        <v>41.395000000000003</v>
      </c>
      <c r="S19" s="25" t="str">
        <f>IF(R19="","",IF(R19=BO19,"(Vol 1)",IF(R19=BP19,"(Vol 2)",IF(R19=BQ19,"(Prelim)",IF(R19=BR19,"(Final)")))))</f>
        <v>(Vol 2)</v>
      </c>
      <c r="T19" s="15" t="str">
        <f>IF(R19="","",IF(R19=BO19,IF(R19+IF(L19="",0,L19)=LQ19,$LA$1,IF(R19+IF(L19="",0,L19)=KU19,$KE$1,IF(R19+IF(L19="",0,L19)=JY19,$JI$1,IF(R19+IF(L19="",0,L19)=JC19,$IM$1,IF(R19+IF(L19="",0,L19)=IG19,$HQ$1,IF(R19+IF(L19="",0,L19)=HK19,$GU$1,IF(R19+IF(L19="",0,L19)=GO19,$FY$1,IF(R19+IF(L19="",0,L19)=FS19,$FC$1,IF(R19+IF(L19="",0,L19)=EW19,$EG$1,IF(R19+IF(L19="",0,L19)=EA19,$DK$1,IF(R19+IF(L19="",0,L19)=DE19,$CO$1,IF(R19+IF(L19="",0,L19)=CI19,$BS$1)))))))))))),IF(R19=BP19,IF(R19+IF(N19="",0,N19)=LR19,$LA$1,IF(R19+IF(N19="",0,N19)=KV19,$KE$1,IF(R19+IF(N19="",0,N19)=JZ19,$JI$1,IF(R19+IF(N19="",0,N19)=JD19,$IM$1,IF(R19+IF(N19="",0,N19)=IH19,$HQ$1,IF(R19+IF(N19="",0,N19)=HL19,$GU$1,IF(R19+IF(N19="",0,N19)=GP19,$FY$1,IF(R19+IF(N19="",0,N19)=FT19,$FC$1,IF(R19+IF(N19="",0,N19)=EX19,$EG$1,IF(R19+IF(N19="",0,N19)=EB19,$DK$1,IF(R19+IF(N19="",0,N19)=DF19,$CO$1,IF(R19+IF(N19="",0,N19)=CJ19,$BS$1)))))))))))),IF(R19=BQ19,IF(R19+IF(J19="",0,J19)=LS19,$LA$1,IF(R19+IF(J19="",0,J19)=KW19,$KE$1,IF(R19+IF(J19="",0,J19)=KA19,$JI$1,IF(R19+IF(J19="",0,J19)=JE19,$IM$1,IF(R19+IF(J19="",0,J19)=II19,$HQ$1,IF(R19+IF(J19="",0,J19)=HM19,$GU$1,IF(R19+IF(J19="",0,J19)=GQ19,$FY$1,IF(R19+IF(J19="",0,J19)=FU19,$FC$1,IF(R19+IF(J19="",0,J19)=EY19,$EG$1,IF(R19+IF(J19="",0,J19)=EC19,$DK$1,IF(R19+IF(J19="",0,J19)=DG19,$CO$1,IF(R19+IF(J19="",0,J19)=CK19,$BS$1)))))))))))),IF(R19=BR19,IF(R19+IF(P19="",0,P19)=LU19,$LA$1,IF(R19+IF(P19="",0,P19)=KY19,$KE$1,IF(R19+IF(P19="",0,P19)=KC19,$JI$1,IF(R19+IF(P19="",0,P19)=JG19,$IM$1,IF(R19+IF(P19="",0,P19)=IK19,$HQ$1,IF(R19+IF(P19="",0,P19)=HO19,$GU$1,IF(R19+IF(P19="",0,P19)=GS19,$FY$1,IF(R19+IF(P19="",0,P19)=FW19,$FC$1,IF(R19+IF(P19="",0,P19)=FA19,$EG$1,IF(R19+IF(P19="",0,P19)=EE19,$DK$1,IF(R19+IF(P19="",0,P19)=DI19,$CO$1,IF(R19+IF(P19="",0,P19)=CM19,$BS$1)))))))))))))))))</f>
        <v>2018 Junior Pan Am Championships (June 23)</v>
      </c>
      <c r="U19" s="63">
        <v>14.5</v>
      </c>
      <c r="V19" s="63">
        <v>9.3000000000000007</v>
      </c>
      <c r="W19" s="63">
        <v>5.6</v>
      </c>
      <c r="X19" s="63">
        <v>14.795</v>
      </c>
      <c r="Y19" s="63">
        <v>0</v>
      </c>
      <c r="Z19" s="63">
        <v>8.6</v>
      </c>
      <c r="AA19" s="63">
        <v>5.45</v>
      </c>
      <c r="AB19" s="63">
        <v>7.9</v>
      </c>
      <c r="AC19" s="63">
        <v>8.7899999999999991</v>
      </c>
      <c r="AD19" s="63">
        <v>0</v>
      </c>
      <c r="AE19" s="63"/>
      <c r="AF19" s="63"/>
      <c r="AG19" s="63"/>
      <c r="AH19" s="63"/>
      <c r="AI19" s="63"/>
      <c r="AJ19" s="74"/>
      <c r="AK19" s="12">
        <f>IF(AB19&gt;0,AB19,"")</f>
        <v>7.9</v>
      </c>
      <c r="AL19" s="12">
        <f>IF(SUM(U19:X19)-Y19&gt;0,SUM(U19:X19)-Y19,"")</f>
        <v>44.195</v>
      </c>
      <c r="AM19" s="12">
        <f>IF(SUM(Z19:AC19)-AD19&gt;0,SUM(Z19:AC19)-AD19,"")</f>
        <v>30.740000000000002</v>
      </c>
      <c r="AN19" s="12">
        <f>IF(SUM(AL19:AM19)&gt;0,SUM(AL19:AM19),"")</f>
        <v>74.935000000000002</v>
      </c>
      <c r="AO19" s="12" t="str">
        <f>IF(AG19&gt;0,AG19,"")</f>
        <v/>
      </c>
      <c r="AP19" s="12" t="str">
        <f>IF(SUM(AE19:AH19)-AI19&gt;0,SUM(AE19:AH19)-AI19,"")</f>
        <v/>
      </c>
      <c r="AQ19" s="12">
        <f>IF(SUM(AN19,AP19)&gt;0,SUM(AN19,AP19),"")</f>
        <v>74.935000000000002</v>
      </c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75"/>
      <c r="BH19" s="15" t="str">
        <f>IF(AY19&gt;0,AY19,"")</f>
        <v/>
      </c>
      <c r="BI19" s="15" t="str">
        <f>IF(SUM(AR19:AU19)-AV19&gt;0,SUM(AR19:AU19)-AV19,"")</f>
        <v/>
      </c>
      <c r="BJ19" s="15" t="str">
        <f>IF(SUM(AW19:AZ19)-BA19&gt;0,SUM(AW19:AZ19)-BA19,"")</f>
        <v/>
      </c>
      <c r="BK19" s="15" t="str">
        <f>IF(SUM(BI19:BJ19)&gt;0,SUM(BI19:BJ19),"")</f>
        <v/>
      </c>
      <c r="BL19" s="15" t="str">
        <f>IF(BD19&gt;0,BD19,"")</f>
        <v/>
      </c>
      <c r="BM19" s="15" t="str">
        <f>IF(SUM(BB19:BE19)-BF19&gt;0,SUM(BB19:BE19)-BF19,"")</f>
        <v/>
      </c>
      <c r="BN19" s="15" t="str">
        <f>IF(SUM(BK19,BM19)&gt;0,SUM(BK19,BM19),"")</f>
        <v/>
      </c>
      <c r="BO19" s="24">
        <f>IF(MAX(CI19,DE19,EA19,EW19,FS19,GO19,HK19,IG19,JC19,JY19,KU19,LQ19)-IF(L19="",0,L19)&gt;0.001,MAX(CI19,DE19,EA19,EW19,FS19,GO19,HK19,IG19,JC19,JY19,KU19,LQ19)-IF(L19="",0,L19),"")</f>
        <v>39.17</v>
      </c>
      <c r="BP19" s="24">
        <f>IF(MAX(CJ19,DF19,EB19,EX19,FT19,GP19,HL19,IH19,JD19,JZ19,KV19,LR19)-IF(N19="",0,N19)&gt;0.001,MAX(CJ19,DF19,EB19,EX19,FT19,GP19,HL19,IH19,JD19,JZ19,KV19,LR19)-IF(N19="",0,N19),"")</f>
        <v>41.395000000000003</v>
      </c>
      <c r="BQ19" s="24">
        <f>IF(MAX(CK19,DG19,EC19,EY19,FU19,GQ19,HM19,II19,JE19,KA19,KW19,LS19)-IF(J19="",0,J19)&gt;0.001,MAX(CK19,DG19,EC19,EY19,FU19,GQ19,HM19,II19,JE19,KA19,KW19,LS19)-IF(J19="",0,J19),"")</f>
        <v>5.6299999999999955</v>
      </c>
      <c r="BR19" s="24" t="str">
        <f>IF(MAX(CM19,DI19,EE19,FA19,FW19,GS19,HO19,IK19,JG19,KC19,KY19,LU19)-IF(P19="",0,P19)&gt;0.001,MAX(CM19,DI19,EE19,FA19,FW19,GS19,HO19,IK19,JG19,KC19,KY19,LU19)-IF(P19="",0,P19),"")</f>
        <v/>
      </c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12" t="str">
        <f>IF(BZ19&gt;0,BZ19,"")</f>
        <v/>
      </c>
      <c r="CI19" s="12" t="str">
        <f>IF(SUM(BS19:BV19)-BW19&gt;0,SUM(BS19:BV19)-BW19,"")</f>
        <v/>
      </c>
      <c r="CJ19" s="12" t="str">
        <f>IF(SUM(BX19:CA19)-CB19&gt;0,SUM(BX19:CA19)-CB19,"")</f>
        <v/>
      </c>
      <c r="CK19" s="12" t="str">
        <f>IF(SUM(CI19:CJ19)&gt;0,SUM(CI19:CJ19),"")</f>
        <v/>
      </c>
      <c r="CL19" s="12" t="str">
        <f>IF(CE19&gt;0,CE19,"")</f>
        <v/>
      </c>
      <c r="CM19" s="12" t="str">
        <f>IF(SUM(CC19:CF19)-CG19&gt;0,SUM(CC19:CF19)-CG19,"")</f>
        <v/>
      </c>
      <c r="CN19" s="12" t="str">
        <f>IF(SUM(CK19,CM19)&gt;0,SUM(CK19,CM19),"")</f>
        <v/>
      </c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15" t="str">
        <f>IF(CV19&gt;0,CV19,"")</f>
        <v/>
      </c>
      <c r="DE19" s="15" t="str">
        <f>IF(SUM(CO19:CR19)-CS19&gt;0,SUM(CO19:CR19)-CS19,"")</f>
        <v/>
      </c>
      <c r="DF19" s="15" t="str">
        <f>IF(SUM(CT19:CW19)-CX19&gt;0,SUM(CT19:CW19)-CX19,"")</f>
        <v/>
      </c>
      <c r="DG19" s="15" t="str">
        <f>IF(SUM(DE19:DF19)&gt;0,SUM(DE19:DF19),"")</f>
        <v/>
      </c>
      <c r="DH19" s="15" t="str">
        <f>IF(DA19&gt;0,DA19,"")</f>
        <v/>
      </c>
      <c r="DI19" s="15" t="str">
        <f>IF(SUM(CY19:DB19)-DC19&gt;0,SUM(CY19:DB19)-DC19,"")</f>
        <v/>
      </c>
      <c r="DJ19" s="15" t="str">
        <f>IF(SUM(DG19,DI19)&gt;0,SUM(DG19,DI19),"")</f>
        <v/>
      </c>
      <c r="DK19" s="36">
        <v>15.1</v>
      </c>
      <c r="DL19" s="36">
        <v>8.5500000000000007</v>
      </c>
      <c r="DM19" s="36">
        <v>0</v>
      </c>
      <c r="DN19" s="36">
        <v>15.52</v>
      </c>
      <c r="DO19" s="36">
        <v>0</v>
      </c>
      <c r="DP19" s="36">
        <v>12</v>
      </c>
      <c r="DQ19" s="36">
        <v>7.1</v>
      </c>
      <c r="DR19" s="36">
        <v>10.199999999999999</v>
      </c>
      <c r="DS19" s="36">
        <v>12.095000000000001</v>
      </c>
      <c r="DT19" s="36">
        <v>0</v>
      </c>
      <c r="DU19" s="36"/>
      <c r="DV19" s="36"/>
      <c r="DW19" s="36"/>
      <c r="DX19" s="36"/>
      <c r="DY19" s="36"/>
      <c r="DZ19" s="12">
        <f>IF(DR19&gt;0,DR19,"")</f>
        <v>10.199999999999999</v>
      </c>
      <c r="EA19" s="12">
        <f>IF(SUM(DK19:DN19)-DO19&gt;0,SUM(DK19:DN19)-DO19,"")</f>
        <v>39.17</v>
      </c>
      <c r="EB19" s="12">
        <f>IF(SUM(DP19:DS19)-DT19&gt;0,SUM(DP19:DS19)-DT19,"")</f>
        <v>41.395000000000003</v>
      </c>
      <c r="EC19" s="12">
        <f>IF(SUM(EA19:EB19)&gt;0,SUM(EA19:EB19),"")</f>
        <v>80.564999999999998</v>
      </c>
      <c r="ED19" s="12" t="str">
        <f>IF(DW19&gt;0,DW19,"")</f>
        <v/>
      </c>
      <c r="EE19" s="12" t="str">
        <f>IF(SUM(DU19:DX19)-DY19&gt;0,SUM(DU19:DX19)-DY19,"")</f>
        <v/>
      </c>
      <c r="EF19" s="12">
        <f>IF(SUM(EC19,EE19)&gt;0,SUM(EC19,EE19),"")</f>
        <v>80.564999999999998</v>
      </c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15" t="str">
        <f>IF(EN19&gt;0,EN19,"")</f>
        <v/>
      </c>
      <c r="EW19" s="15" t="str">
        <f>IF(SUM(EG19:EJ19)-EK19&gt;0,SUM(EG19:EJ19)-EK19,"")</f>
        <v/>
      </c>
      <c r="EX19" s="15" t="str">
        <f>IF(SUM(EL19:EO19)-EP19&gt;0,SUM(EL19:EO19)-EP19,"")</f>
        <v/>
      </c>
      <c r="EY19" s="15" t="str">
        <f>IF(SUM(EW19:EX19)&gt;0,SUM(EW19:EX19),"")</f>
        <v/>
      </c>
      <c r="EZ19" s="15" t="str">
        <f>IF(ES19&gt;0,ES19,"")</f>
        <v/>
      </c>
      <c r="FA19" s="15" t="str">
        <f>IF(SUM(EQ19:ET19)-EU19&gt;0,SUM(EQ19:ET19)-EU19,"")</f>
        <v/>
      </c>
      <c r="FB19" s="15" t="str">
        <f>IF(SUM(EY19,FA19)&gt;0,SUM(EY19,FA19),"")</f>
        <v/>
      </c>
      <c r="FC19" s="36"/>
      <c r="FD19" s="36"/>
      <c r="FE19" s="36"/>
      <c r="FF19" s="36"/>
      <c r="FG19" s="36"/>
      <c r="FH19" s="36"/>
      <c r="FI19" s="36"/>
      <c r="FJ19" s="36"/>
      <c r="FK19" s="36"/>
      <c r="FL19" s="36"/>
      <c r="FM19" s="36"/>
      <c r="FN19" s="36"/>
      <c r="FO19" s="36"/>
      <c r="FP19" s="36"/>
      <c r="FQ19" s="36"/>
      <c r="FR19" s="12" t="str">
        <f>IF(FJ19&gt;0,FJ19,"")</f>
        <v/>
      </c>
      <c r="FS19" s="12" t="str">
        <f>IF(SUM(FC19:FF19)-FG19&gt;0,SUM(FC19:FF19)-FG19,"")</f>
        <v/>
      </c>
      <c r="FT19" s="12" t="str">
        <f>IF(SUM(FH19:FK19)-FL19&gt;0,SUM(FH19:FK19)-FL19,"")</f>
        <v/>
      </c>
      <c r="FU19" s="12" t="str">
        <f>IF(SUM(FS19:FT19)&gt;0,SUM(FS19:FT19),"")</f>
        <v/>
      </c>
      <c r="FV19" s="12" t="str">
        <f>IF(FO19&gt;0,FO19,"")</f>
        <v/>
      </c>
      <c r="FW19" s="12" t="str">
        <f>IF(SUM(FM19:FP19)-FQ19&gt;0,SUM(FM19:FP19)-FQ19,"")</f>
        <v/>
      </c>
      <c r="FX19" s="12" t="str">
        <f>IF(SUM(FU19,FW19)&gt;0,SUM(FU19,FW19),"")</f>
        <v/>
      </c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15" t="str">
        <f>IF(GF19&gt;0,GF19,"")</f>
        <v/>
      </c>
      <c r="GO19" s="15" t="str">
        <f>IF(SUM(FY19:GB19)-GC19&gt;0,SUM(FY19:GB19)-GC19,"")</f>
        <v/>
      </c>
      <c r="GP19" s="15" t="str">
        <f>IF(SUM(GD19:GG19)-GH19&gt;0,SUM(GD19:GG19)-GH19,"")</f>
        <v/>
      </c>
      <c r="GQ19" s="15" t="str">
        <f>IF(SUM(GO19:GP19)&gt;0,SUM(GO19:GP19),"")</f>
        <v/>
      </c>
      <c r="GR19" s="15" t="str">
        <f>IF(GK19&gt;0,GK19,"")</f>
        <v/>
      </c>
      <c r="GS19" s="15" t="str">
        <f>IF(SUM(GI19:GL19)-GM19&gt;0,SUM(GI19:GL19)-GM19,"")</f>
        <v/>
      </c>
      <c r="GT19" s="15" t="str">
        <f>IF(SUM(GQ19,GS19)&gt;0,SUM(GQ19,GS19),"")</f>
        <v/>
      </c>
      <c r="GU19" s="36"/>
      <c r="GV19" s="36"/>
      <c r="GW19" s="36"/>
      <c r="GX19" s="36"/>
      <c r="GY19" s="36"/>
      <c r="GZ19" s="36"/>
      <c r="HA19" s="36"/>
      <c r="HB19" s="36"/>
      <c r="HC19" s="36"/>
      <c r="HD19" s="36"/>
      <c r="HE19" s="36"/>
      <c r="HF19" s="36"/>
      <c r="HG19" s="36"/>
      <c r="HH19" s="36"/>
      <c r="HI19" s="36"/>
      <c r="HJ19" s="12" t="str">
        <f>IF(HB19&gt;0,HB19,"")</f>
        <v/>
      </c>
      <c r="HK19" s="12" t="str">
        <f>IF(SUM(GU19:GX19)-GY19&gt;0,SUM(GU19:GX19)-GY19,"")</f>
        <v/>
      </c>
      <c r="HL19" s="12" t="str">
        <f>IF(SUM(GZ19:HC19)-HD19&gt;0,SUM(GZ19:HC19)-HD19,"")</f>
        <v/>
      </c>
      <c r="HM19" s="12" t="str">
        <f>IF(SUM(HK19:HL19)&gt;0,SUM(HK19:HL19),"")</f>
        <v/>
      </c>
      <c r="HN19" s="12" t="str">
        <f>IF(HG19&gt;0,HG19,"")</f>
        <v/>
      </c>
      <c r="HO19" s="12" t="str">
        <f>IF(SUM(HE19:HH19)-HI19&gt;0,SUM(HE19:HH19)-HI19,"")</f>
        <v/>
      </c>
      <c r="HP19" s="12" t="str">
        <f>IF(SUM(HM19,HO19)&gt;0,SUM(HM19,HO19),"")</f>
        <v/>
      </c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15" t="str">
        <f>IF(HX19&gt;0,HX19,"")</f>
        <v/>
      </c>
      <c r="IG19" s="15" t="str">
        <f>IF(SUM(HQ19:HT19)-HU19&gt;0,SUM(HQ19:HT19)-HU19,"")</f>
        <v/>
      </c>
      <c r="IH19" s="15" t="str">
        <f>IF(SUM(HV19:HY19)-HZ19&gt;0,SUM(HV19:HY19)-HZ19,"")</f>
        <v/>
      </c>
      <c r="II19" s="15" t="str">
        <f>IF(SUM(IG19:IH19)&gt;0,SUM(IG19:IH19),"")</f>
        <v/>
      </c>
      <c r="IJ19" s="15" t="str">
        <f>IF(IC19&gt;0,IC19,"")</f>
        <v/>
      </c>
      <c r="IK19" s="15" t="str">
        <f>IF(SUM(IA19:ID19)-IE19&gt;0,SUM(IA19:ID19)-IE19,"")</f>
        <v/>
      </c>
      <c r="IL19" s="15" t="str">
        <f>IF(SUM(II19,IK19)&gt;0,SUM(II19,IK19),"")</f>
        <v/>
      </c>
      <c r="IM19" s="36"/>
      <c r="IN19" s="36"/>
      <c r="IO19" s="36"/>
      <c r="IP19" s="36"/>
      <c r="IQ19" s="36"/>
      <c r="IR19" s="36"/>
      <c r="IS19" s="36"/>
      <c r="IT19" s="36"/>
      <c r="IU19" s="36"/>
      <c r="IV19" s="36"/>
      <c r="IW19" s="36"/>
      <c r="IX19" s="36"/>
      <c r="IY19" s="36"/>
      <c r="IZ19" s="36"/>
      <c r="JA19" s="36"/>
      <c r="JB19" s="12" t="str">
        <f>IF(IT19&gt;0,IT19,"")</f>
        <v/>
      </c>
      <c r="JC19" s="12" t="str">
        <f>IF(SUM(IM19:IP19)-IQ19&gt;0,SUM(IM19:IP19)-IQ19,"")</f>
        <v/>
      </c>
      <c r="JD19" s="12" t="str">
        <f>IF(SUM(IR19:IU19)-IV19&gt;0,SUM(IR19:IU19)-IV19,"")</f>
        <v/>
      </c>
      <c r="JE19" s="12" t="str">
        <f>IF(SUM(JC19:JD19)&gt;0,SUM(JC19:JD19),"")</f>
        <v/>
      </c>
      <c r="JF19" s="12" t="str">
        <f>IF(IY19&gt;0,IY19,"")</f>
        <v/>
      </c>
      <c r="JG19" s="12" t="str">
        <f>IF(SUM(IW19:IZ19)-JA19&gt;0,SUM(IW19:IZ19)-JA19,"")</f>
        <v/>
      </c>
      <c r="JH19" s="12" t="str">
        <f>IF(SUM(JE19,JG19)&gt;0,SUM(JE19,JG19),"")</f>
        <v/>
      </c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15" t="str">
        <f>IF(JP19&gt;0,JP19,"")</f>
        <v/>
      </c>
      <c r="JY19" s="15" t="str">
        <f>IF(SUM(JI19:JL19)-JM19&gt;0,SUM(JI19:JL19)-JM19,"")</f>
        <v/>
      </c>
      <c r="JZ19" s="15" t="str">
        <f>IF(SUM(JN19:JQ19)-JR19&gt;0,SUM(JN19:JQ19)-JR19,"")</f>
        <v/>
      </c>
      <c r="KA19" s="15" t="str">
        <f>IF(SUM(JY19:JZ19)&gt;0,SUM(JY19:JZ19),"")</f>
        <v/>
      </c>
      <c r="KB19" s="15" t="str">
        <f>IF(JU19&gt;0,JU19,"")</f>
        <v/>
      </c>
      <c r="KC19" s="15" t="str">
        <f>IF(SUM(JS19:JV19)-JW19&gt;0,SUM(JS19:JV19)-JW19,"")</f>
        <v/>
      </c>
      <c r="KD19" s="15" t="str">
        <f>IF(SUM(KA19,KC19)&gt;0,SUM(KA19,KC19),"")</f>
        <v/>
      </c>
      <c r="KE19" s="36"/>
      <c r="KF19" s="36"/>
      <c r="KG19" s="36"/>
      <c r="KH19" s="36"/>
      <c r="KI19" s="36"/>
      <c r="KJ19" s="36"/>
      <c r="KK19" s="36"/>
      <c r="KL19" s="36"/>
      <c r="KM19" s="36"/>
      <c r="KN19" s="36"/>
      <c r="KO19" s="36"/>
      <c r="KP19" s="36"/>
      <c r="KQ19" s="36"/>
      <c r="KR19" s="36"/>
      <c r="KS19" s="36"/>
      <c r="KT19" s="12" t="str">
        <f>IF(KL19&gt;0,KL19,"")</f>
        <v/>
      </c>
      <c r="KU19" s="12" t="str">
        <f>IF(SUM(KE19:KH19)-KI19&gt;0,SUM(KE19:KH19)-KI19,"")</f>
        <v/>
      </c>
      <c r="KV19" s="12" t="str">
        <f>IF(SUM(KJ19:KM19)-KN19&gt;0,SUM(KJ19:KM19)-KN19,"")</f>
        <v/>
      </c>
      <c r="KW19" s="12" t="str">
        <f>IF(SUM(KU19:KV19)&gt;0,SUM(KU19:KV19),"")</f>
        <v/>
      </c>
      <c r="KX19" s="12" t="str">
        <f>IF(KQ19&gt;0,KQ19,"")</f>
        <v/>
      </c>
      <c r="KY19" s="12" t="str">
        <f>IF(SUM(KO19:KR19)-KS19&gt;0,SUM(KO19:KR19)-KS19,"")</f>
        <v/>
      </c>
      <c r="KZ19" s="12" t="str">
        <f>IF(SUM(KW19,KY19)&gt;0,SUM(KW19,KY19),"")</f>
        <v/>
      </c>
      <c r="LA19" s="37"/>
      <c r="LB19" s="37"/>
      <c r="LC19" s="37"/>
      <c r="LD19" s="37"/>
      <c r="LE19" s="37"/>
      <c r="LF19" s="37"/>
      <c r="LG19" s="37"/>
      <c r="LH19" s="37"/>
      <c r="LI19" s="37"/>
      <c r="LJ19" s="37"/>
      <c r="LK19" s="37"/>
      <c r="LL19" s="37"/>
      <c r="LM19" s="37"/>
      <c r="LN19" s="37"/>
      <c r="LO19" s="37"/>
      <c r="LP19" s="15" t="str">
        <f>IF(LH19&gt;0,LH19,"")</f>
        <v/>
      </c>
      <c r="LQ19" s="15" t="str">
        <f>IF(SUM(LA19:LD19)-LE19&gt;0,SUM(LA19:LD19)-LE19,"")</f>
        <v/>
      </c>
      <c r="LR19" s="15" t="str">
        <f>IF(SUM(LF19:LI19)-LJ19&gt;0,SUM(LF19:LI19)-LJ19,"")</f>
        <v/>
      </c>
      <c r="LS19" s="15" t="str">
        <f>IF(SUM(LQ19:LR19)&gt;0,SUM(LQ19:LR19),"")</f>
        <v/>
      </c>
      <c r="LT19" s="15" t="str">
        <f>IF(LM19&gt;0,LM19,"")</f>
        <v/>
      </c>
      <c r="LU19" s="15" t="str">
        <f>IF(SUM(LK19:LN19)-LO19&gt;0,SUM(LK19:LN19)-LO19,"")</f>
        <v/>
      </c>
      <c r="LV19" s="15" t="str">
        <f>IF(SUM(LS19,LU19)&gt;0,SUM(LS19,LU19),"")</f>
        <v/>
      </c>
      <c r="LW19" s="63">
        <f t="shared" si="7"/>
        <v>7.25</v>
      </c>
      <c r="LX19" s="63">
        <f t="shared" si="8"/>
        <v>4.6500000000000004</v>
      </c>
      <c r="LY19" s="63">
        <f t="shared" si="9"/>
        <v>2.8</v>
      </c>
      <c r="LZ19" s="63">
        <f t="shared" si="10"/>
        <v>7.3975</v>
      </c>
      <c r="MA19" s="63">
        <f t="shared" si="11"/>
        <v>0</v>
      </c>
      <c r="MB19" s="63">
        <f t="shared" si="12"/>
        <v>4.3</v>
      </c>
      <c r="MC19" s="63">
        <f t="shared" si="13"/>
        <v>2.7250000000000001</v>
      </c>
      <c r="MD19" s="63">
        <f t="shared" si="14"/>
        <v>3.95</v>
      </c>
      <c r="ME19" s="63">
        <f t="shared" si="15"/>
        <v>4.3949999999999996</v>
      </c>
      <c r="MF19" s="63">
        <f t="shared" si="16"/>
        <v>0</v>
      </c>
      <c r="MG19" s="63">
        <f t="shared" si="17"/>
        <v>0</v>
      </c>
      <c r="MH19" s="63">
        <f t="shared" si="18"/>
        <v>0</v>
      </c>
      <c r="MI19" s="63">
        <f t="shared" si="19"/>
        <v>0</v>
      </c>
      <c r="MJ19" s="63">
        <f t="shared" si="20"/>
        <v>0</v>
      </c>
      <c r="MK19" s="63">
        <f t="shared" si="21"/>
        <v>0</v>
      </c>
      <c r="ML19" s="74" t="s">
        <v>119</v>
      </c>
      <c r="MM19" s="12">
        <f t="shared" si="22"/>
        <v>3.95</v>
      </c>
      <c r="MN19" s="12">
        <f t="shared" si="23"/>
        <v>22.0975</v>
      </c>
      <c r="MO19" s="12">
        <f t="shared" si="24"/>
        <v>15.370000000000001</v>
      </c>
      <c r="MP19" s="12">
        <f t="shared" si="25"/>
        <v>37.467500000000001</v>
      </c>
      <c r="MQ19" s="12" t="str">
        <f t="shared" si="26"/>
        <v/>
      </c>
      <c r="MR19" s="12" t="str">
        <f t="shared" si="27"/>
        <v/>
      </c>
      <c r="MS19" s="12">
        <f t="shared" si="28"/>
        <v>37.467500000000001</v>
      </c>
    </row>
    <row r="20" spans="1:357" x14ac:dyDescent="0.2">
      <c r="A20" s="6" t="str">
        <f>IF(AND(F20="P",H20="P"),SUMPRODUCT((F$4:F$24="P")*(H$4:H$24="P")*(E$4:E$24&gt;E20))+1,IF(H20="P",SUMPRODUCT((F$4:F$24="")*(H$4:H$24="P")*(E$4:E$24&gt;E20))+1+SUMPRODUCT((F$4:F$24="P")*(H$4:H$24="P")),""))</f>
        <v/>
      </c>
      <c r="B20" s="7" t="s">
        <v>93</v>
      </c>
      <c r="C20" s="8" t="s">
        <v>4</v>
      </c>
      <c r="D20" s="27">
        <v>2003</v>
      </c>
      <c r="E20" s="16">
        <f>SUM(J20:R20)</f>
        <v>93.079999999999984</v>
      </c>
      <c r="F20" s="4" t="str">
        <f>IF(OR(AND($AK20&gt;=$AL$26,NOT($AK20=""),$AJ20=""),AND($BH20&gt;=$BI$26,NOT($BH20=""),$BG20=""),AND($CH20&gt;=$CI$26,NOT($CH20="")),AND($DD20&gt;=$DE$26,NOT($DD20="")),AND($DZ20&gt;=$EA$26,NOT($DZ20="")),AND($EV20&gt;=$EW$26,NOT($EV20="")),AND($FR20&gt;=$FS$26,NOT($FR20="")),AND($GN20&gt;=$GO$26,NOT($GN20="")),AND($HJ20&gt;=$HK$26,NOT($HJ20="")),AND($IF20&gt;=$IG$26,NOT($IF20="")),AND($JB20&gt;=$JC$26,NOT($JB20="")),AND($JX20&gt;=$JY$26,NOT($JX20="")),AND($KT20&gt;=$KU$26,NOT($KT20="")),AND($LP20&gt;=$LQ$26,NOT($LP20=""))),"P","")</f>
        <v/>
      </c>
      <c r="G20" s="4" t="str">
        <f>IF(OR(AND($AK20&gt;=$AL$27,NOT($AK20=""),$AJ20=""),AND($BH20&gt;=$BI$27,NOT($BH20=""),$BG20=""),AND($CH20&gt;=$CI$27,NOT($CH20="")),AND($DD20&gt;=$DE$27,NOT($DD20="")),AND($DZ20&gt;=$EA$27,NOT($DZ20="")),AND($EV20&gt;=$EW$27,NOT($EV20="")),AND($FR20&gt;=$FS$27,NOT($FR20="")),AND($GN20&gt;=$GO$27,NOT($GN20="")),AND($HJ20&gt;=$HK$27,NOT($HJ20="")),AND($IF20&gt;=$IG$27,NOT($IF20="")),AND($JB20&gt;=$JC$27,NOT($JB20="")),AND($JX20&gt;=$JY$27,NOT($JX20="")),AND($KT20&gt;=$KU$27,NOT($KT20="")),AND($LP20&gt;=$LQ$27,NOT($LP20=""))),"P","")</f>
        <v/>
      </c>
      <c r="H20" s="4" t="str">
        <f>IF(OR(AND($AN20&gt;=$AL$28,NOT($AN20=""),$AJ20=""),AND($BK20&gt;=$BI$28,NOT($BK20=""),$BG20=""),AND($CK20&gt;=$CI$28,NOT($CK20="")),AND($DG20&gt;=$DE$28,NOT($DG20="")),AND($EC20&gt;=$EA$28,NOT($EC20="")),AND($EY20&gt;=$EW$28,NOT($EY20="")),AND($FU20&gt;=$FS$28,NOT($FU20="")),AND($GQ20&gt;=$GO$28,NOT($GQ20="")),AND($HM20&gt;=$HK$28,NOT($HM20="")),AND($II20&gt;=$IG$28,NOT($II20="")),AND($JE20&gt;=$JC$28,NOT($JE20="")),AND($KA20&gt;=$JY$28,NOT($KA20="")),AND($KW20&gt;=$KU$28,NOT($KW20="")),AND($LS20&gt;=$LQ$28,NOT($LS20=""))),"P","")</f>
        <v/>
      </c>
      <c r="I20" t="str">
        <f>IF(AND(H20="P",F20=""),"No DD",IF(AND(G20="P",OR(AND($AM20&gt;$AL$31,NOT($AM20=""),$AJ20=""),AND($AP20&gt;$AL$31,NOT($AP20=""),$AJ20=""),AND($BJ20&gt;$BI$31,NOT($BJ20=""),$BG20=""),AND($BM20&gt;$BI$31,NOT($BM20=""),$BG20=""),AND($CJ20&gt;$CI$31,NOT($CJ20="")),AND($CM20&gt;$CI$31,NOT($CM20="")),AND($DF20&gt;$DE$31,NOT($DF20="")),AND($DI20&gt;$DE$31,NOT($DI20="")),AND($EB20&gt;$EA$31,NOT($EB20="")),AND($EE20&gt;$EA$31,NOT($EE20="")),AND($EX20&gt;$EW$31,NOT($EX20="")),AND($FA20&gt;$EW$31,NOT($FA20="")),AND($FT20&gt;$FS$31,NOT($FT20="")),AND($FW20&gt;$FS$31,NOT($FW20="")),AND($GP20&gt;$GO$31,NOT($GP20="")),AND($GS20&gt;$GO$31,NOT($GS20="")),AND($HL20&gt;$HK$31,NOT($HL20="")),AND($HO20&gt;$HK$31,NOT($HO20="")),AND($IH20&gt;$IG$31,NOT($IH20="")),AND($IK20&gt;$IG$31,NOT($IK20="")),AND($JD20&gt;$JC$31,NOT($JD20="")),AND($JG20&gt;$JC$31,NOT($JG20="")),AND($JZ20&gt;$JY$31,NOT($JZ20="")),AND($KC20&gt;$JY$31,NOT($KC20="")),AND($KV20&gt;$KU$31,NOT($KV20="")),AND($KY20&gt;$KU$31,NOT($KY20="")),AND($LR20&gt;$LQ$31,NOT($LR20="")),AND($LU20&gt;$LQ$31,NOT($LU20="")))),"Merit",IF(AND(G20="P",OR(AND($AN20&gt;$AL$30,NOT($AN20=""),$AJ20=""),AND($BK20&gt;$BI$30,NOT($BK20=""),$BG20=""),AND($CK20&gt;$CI$30,NOT($CK20="")),AND($DG20&gt;$DE$30,NOT($DG20="")),AND($EC20&gt;$EA$30,NOT($EC20="")),AND($EY20&gt;$EW$30,NOT($EY20="")),AND($FU20&gt;$FS$30,NOT($FU20="")),AND($GQ20&gt;$GO$30,NOT($GQ20="")),AND($HM20&gt;$HK$30,NOT($HM20="")),AND($II20&gt;$IG$30,NOT($II20="")),AND($JE20&gt;$JC$30,NOT($JE20="")),AND($KA20&gt;$JY$30,NOT($KA20="")),AND($KW20&gt;$KU$30,NOT($KW20="")),AND($LS20&gt;$LQ$30,NOT($LS20="")))),"Excellence",IF(AND(G20="P",OR(AND($AN20&gt;$AL$29,NOT($AN20=""),$AJ20=""),AND($BK20&gt;$BI$29,NOT($BK20=""),$BG20=""),AND($CK20&gt;$CI$29,NOT($CK20="")),AND($DG20&gt;$DE$29,NOT($DG20="")),AND($EC20&gt;$EA$29,NOT($EC20="")),AND($EY20&gt;$EW$29,NOT($EY20="")),AND($FU20&gt;$FS$29,NOT($FU20="")),AND($GQ20&gt;$GO$29,NOT($GQ20="")),AND($HM20&gt;$HK$29,NOT($HM20="")),AND($II20&gt;$IG$29,NOT($II20="")),AND($JE20&gt;$JC$29,NOT($JE20="")),AND($KA20&gt;$JY$29,NOT($KA20="")),AND($KW20&gt;$KU$29,NOT($KW20="")),AND($LS20&gt;$LQ$29,NOT($LS20="")))),"Worlds Team",IF(AND(F20="P",OR(AND($AN20&gt;$AL$28,NOT($AN20=""),$AJ20=""),AND($BK20&gt;$BI$28,NOT($BK20=""),$BG20=""),AND($CK20&gt;$CI$28,NOT($CK20="")),AND($DG20&gt;$DE$28,NOT($DG20="")),AND($EC20&gt;$EA$28,NOT($EC20="")),AND($EY20&gt;$EW$28,NOT($EY20="")),AND($FU20&gt;$FS$28,NOT($FU20="")),AND($GQ20&gt;$GO$28,NOT($GQ20="")),AND($HM20&gt;$HK$28,NOT($HM20="")),AND($II20&gt;$IG$28,NOT($II20="")),AND($JE20&gt;$JC$28,NOT($JE20="")),AND($KA20&gt;$JY$28,NOT($KA20="")),AND($KW20&gt;$KU$28,NOT($KW20="")),AND($LS20&gt;$LQ$28,NOT($LS20="")))),"National Team","")))))</f>
        <v/>
      </c>
      <c r="J20" s="15">
        <f>IF(MAX(AN20,BK20)&gt;0,MAX(AN20,BK20),"")</f>
        <v>93.079999999999984</v>
      </c>
      <c r="K20" s="15" t="str">
        <f>IF(J20="","",IF(J20=BK20,$AR$1,IF(J20=AN20,$U$1,"")))</f>
        <v>2018 Nationals</v>
      </c>
      <c r="L20" s="15" t="str">
        <f>IF($J20=$AN20,BI20,IF($J20=$BK20,AL20,MAX(AL20,BI20)))</f>
        <v/>
      </c>
      <c r="M20" s="15" t="str">
        <f>IF(L20="","",IF(AND(L20=BI20,$K20&lt;&gt;$AR$1),$AR$1,IF(AND(L20=AL20,$K20&lt;&gt;$U$1),$U$1,"")))</f>
        <v/>
      </c>
      <c r="N20" s="15" t="str">
        <f>IF($J20=$AN20,BJ20,IF($J20=$BK20,AM20,MAX(AM20,BJ20)))</f>
        <v/>
      </c>
      <c r="O20" s="15" t="str">
        <f>IF(N20="","",IF(AND(N20=BJ20,$K20&lt;&gt;$AR$1),$AR$1,IF(AND(N20=AM20,$K20&lt;&gt;$U$1),$U$1,"")))</f>
        <v/>
      </c>
      <c r="P20" s="15" t="str">
        <f>IF(MAX(AP20,BM20)&gt;0,MAX(AP20,BM20),"")</f>
        <v/>
      </c>
      <c r="Q20" s="15" t="str">
        <f>IF(P20="","",IF(P20=BM20,$AR$1,IF(P20=AP20,$U$1,"")))</f>
        <v/>
      </c>
      <c r="R20" s="15" t="str">
        <f>IF(MAX(BO20,BP20,BQ20,BR20)&gt;0,MAX(BO20,BP20,BQ20,BR20),"")</f>
        <v/>
      </c>
      <c r="S20" s="25" t="str">
        <f>IF(R20="","",IF(R20=BO20,"(Vol 1)",IF(R20=BP20,"(Vol 2)",IF(R20=BQ20,"(Prelim)",IF(R20=BR20,"(Final)")))))</f>
        <v/>
      </c>
      <c r="T20" s="15" t="str">
        <f>IF(R20="","",IF(R20=BO20,IF(R20+IF(L20="",0,L20)=LQ20,$LA$1,IF(R20+IF(L20="",0,L20)=KU20,$KE$1,IF(R20+IF(L20="",0,L20)=JY20,$JI$1,IF(R20+IF(L20="",0,L20)=JC20,$IM$1,IF(R20+IF(L20="",0,L20)=IG20,$HQ$1,IF(R20+IF(L20="",0,L20)=HK20,$GU$1,IF(R20+IF(L20="",0,L20)=GO20,$FY$1,IF(R20+IF(L20="",0,L20)=FS20,$FC$1,IF(R20+IF(L20="",0,L20)=EW20,$EG$1,IF(R20+IF(L20="",0,L20)=EA20,$DK$1,IF(R20+IF(L20="",0,L20)=DE20,$CO$1,IF(R20+IF(L20="",0,L20)=CI20,$BS$1)))))))))))),IF(R20=BP20,IF(R20+IF(N20="",0,N20)=LR20,$LA$1,IF(R20+IF(N20="",0,N20)=KV20,$KE$1,IF(R20+IF(N20="",0,N20)=JZ20,$JI$1,IF(R20+IF(N20="",0,N20)=JD20,$IM$1,IF(R20+IF(N20="",0,N20)=IH20,$HQ$1,IF(R20+IF(N20="",0,N20)=HL20,$GU$1,IF(R20+IF(N20="",0,N20)=GP20,$FY$1,IF(R20+IF(N20="",0,N20)=FT20,$FC$1,IF(R20+IF(N20="",0,N20)=EX20,$EG$1,IF(R20+IF(N20="",0,N20)=EB20,$DK$1,IF(R20+IF(N20="",0,N20)=DF20,$CO$1,IF(R20+IF(N20="",0,N20)=CJ20,$BS$1)))))))))))),IF(R20=BQ20,IF(R20+IF(J20="",0,J20)=LS20,$LA$1,IF(R20+IF(J20="",0,J20)=KW20,$KE$1,IF(R20+IF(J20="",0,J20)=KA20,$JI$1,IF(R20+IF(J20="",0,J20)=JE20,$IM$1,IF(R20+IF(J20="",0,J20)=II20,$HQ$1,IF(R20+IF(J20="",0,J20)=HM20,$GU$1,IF(R20+IF(J20="",0,J20)=GQ20,$FY$1,IF(R20+IF(J20="",0,J20)=FU20,$FC$1,IF(R20+IF(J20="",0,J20)=EY20,$EG$1,IF(R20+IF(J20="",0,J20)=EC20,$DK$1,IF(R20+IF(J20="",0,J20)=DG20,$CO$1,IF(R20+IF(J20="",0,J20)=CK20,$BS$1)))))))))))),IF(R20=BR20,IF(R20+IF(P20="",0,P20)=LU20,$LA$1,IF(R20+IF(P20="",0,P20)=KY20,$KE$1,IF(R20+IF(P20="",0,P20)=KC20,$JI$1,IF(R20+IF(P20="",0,P20)=JG20,$IM$1,IF(R20+IF(P20="",0,P20)=IK20,$HQ$1,IF(R20+IF(P20="",0,P20)=HO20,$GU$1,IF(R20+IF(P20="",0,P20)=GS20,$FY$1,IF(R20+IF(P20="",0,P20)=FW20,$FC$1,IF(R20+IF(P20="",0,P20)=FA20,$EG$1,IF(R20+IF(P20="",0,P20)=EE20,$DK$1,IF(R20+IF(P20="",0,P20)=DI20,$CO$1,IF(R20+IF(P20="",0,P20)=CM20,$BS$1)))))))))))))))))</f>
        <v/>
      </c>
      <c r="U20" s="63">
        <v>13.5</v>
      </c>
      <c r="V20" s="63">
        <v>9.25</v>
      </c>
      <c r="W20" s="63">
        <v>5.4</v>
      </c>
      <c r="X20" s="63">
        <v>15.955</v>
      </c>
      <c r="Y20" s="63">
        <v>0</v>
      </c>
      <c r="Z20" s="63">
        <v>13.3</v>
      </c>
      <c r="AA20" s="63">
        <v>8.8000000000000007</v>
      </c>
      <c r="AB20" s="63">
        <v>11.2</v>
      </c>
      <c r="AC20" s="63">
        <v>15.675000000000001</v>
      </c>
      <c r="AD20" s="63">
        <v>0</v>
      </c>
      <c r="AE20" s="63"/>
      <c r="AF20" s="63"/>
      <c r="AG20" s="63"/>
      <c r="AH20" s="63"/>
      <c r="AI20" s="63"/>
      <c r="AJ20" s="74"/>
      <c r="AK20" s="12">
        <f>IF(AB20&gt;0,AB20,"")</f>
        <v>11.2</v>
      </c>
      <c r="AL20" s="12">
        <f>IF(SUM(U20:X20)-Y20&gt;0,SUM(U20:X20)-Y20,"")</f>
        <v>44.104999999999997</v>
      </c>
      <c r="AM20" s="12">
        <f>IF(SUM(Z20:AC20)-AD20&gt;0,SUM(Z20:AC20)-AD20,"")</f>
        <v>48.974999999999994</v>
      </c>
      <c r="AN20" s="12">
        <f>IF(SUM(AL20:AM20)&gt;0,SUM(AL20:AM20),"")</f>
        <v>93.079999999999984</v>
      </c>
      <c r="AO20" s="12" t="str">
        <f>IF(AG20&gt;0,AG20,"")</f>
        <v/>
      </c>
      <c r="AP20" s="12" t="str">
        <f>IF(SUM(AE20:AH20)-AI20&gt;0,SUM(AE20:AH20)-AI20,"")</f>
        <v/>
      </c>
      <c r="AQ20" s="12">
        <f>IF(SUM(AN20,AP20)&gt;0,SUM(AN20,AP20),"")</f>
        <v>93.079999999999984</v>
      </c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75"/>
      <c r="BH20" s="15" t="str">
        <f>IF(AY20&gt;0,AY20,"")</f>
        <v/>
      </c>
      <c r="BI20" s="15" t="str">
        <f>IF(SUM(AR20:AU20)-AV20&gt;0,SUM(AR20:AU20)-AV20,"")</f>
        <v/>
      </c>
      <c r="BJ20" s="15" t="str">
        <f>IF(SUM(AW20:AZ20)-BA20&gt;0,SUM(AW20:AZ20)-BA20,"")</f>
        <v/>
      </c>
      <c r="BK20" s="15" t="str">
        <f>IF(SUM(BI20:BJ20)&gt;0,SUM(BI20:BJ20),"")</f>
        <v/>
      </c>
      <c r="BL20" s="15" t="str">
        <f>IF(BD20&gt;0,BD20,"")</f>
        <v/>
      </c>
      <c r="BM20" s="15" t="str">
        <f>IF(SUM(BB20:BE20)-BF20&gt;0,SUM(BB20:BE20)-BF20,"")</f>
        <v/>
      </c>
      <c r="BN20" s="15" t="str">
        <f>IF(SUM(BK20,BM20)&gt;0,SUM(BK20,BM20),"")</f>
        <v/>
      </c>
      <c r="BO20" s="24" t="str">
        <f>IF(MAX(CI20,DE20,EA20,EW20,FS20,GO20,HK20,IG20,JC20,JY20,KU20,LQ20)-IF(L20="",0,L20)&gt;0.001,MAX(CI20,DE20,EA20,EW20,FS20,GO20,HK20,IG20,JC20,JY20,KU20,LQ20)-IF(L20="",0,L20),"")</f>
        <v/>
      </c>
      <c r="BP20" s="24" t="str">
        <f>IF(MAX(CJ20,DF20,EB20,EX20,FT20,GP20,HL20,IH20,JD20,JZ20,KV20,LR20)-IF(N20="",0,N20)&gt;0.001,MAX(CJ20,DF20,EB20,EX20,FT20,GP20,HL20,IH20,JD20,JZ20,KV20,LR20)-IF(N20="",0,N20),"")</f>
        <v/>
      </c>
      <c r="BQ20" s="24" t="str">
        <f>IF(MAX(CK20,DG20,EC20,EY20,FU20,GQ20,HM20,II20,JE20,KA20,KW20,LS20)-IF(J20="",0,J20)&gt;0.001,MAX(CK20,DG20,EC20,EY20,FU20,GQ20,HM20,II20,JE20,KA20,KW20,LS20)-IF(J20="",0,J20),"")</f>
        <v/>
      </c>
      <c r="BR20" s="24" t="str">
        <f>IF(MAX(CM20,DI20,EE20,FA20,FW20,GS20,HO20,IK20,JG20,KC20,KY20,LU20)-IF(P20="",0,P20)&gt;0.001,MAX(CM20,DI20,EE20,FA20,FW20,GS20,HO20,IK20,JG20,KC20,KY20,LU20)-IF(P20="",0,P20),"")</f>
        <v/>
      </c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12" t="str">
        <f>IF(BZ20&gt;0,BZ20,"")</f>
        <v/>
      </c>
      <c r="CI20" s="12" t="str">
        <f>IF(SUM(BS20:BV20)-BW20&gt;0,SUM(BS20:BV20)-BW20,"")</f>
        <v/>
      </c>
      <c r="CJ20" s="12" t="str">
        <f>IF(SUM(BX20:CA20)-CB20&gt;0,SUM(BX20:CA20)-CB20,"")</f>
        <v/>
      </c>
      <c r="CK20" s="12" t="str">
        <f>IF(SUM(CI20:CJ20)&gt;0,SUM(CI20:CJ20),"")</f>
        <v/>
      </c>
      <c r="CL20" s="12" t="str">
        <f>IF(CE20&gt;0,CE20,"")</f>
        <v/>
      </c>
      <c r="CM20" s="12" t="str">
        <f>IF(SUM(CC20:CF20)-CG20&gt;0,SUM(CC20:CF20)-CG20,"")</f>
        <v/>
      </c>
      <c r="CN20" s="12" t="str">
        <f>IF(SUM(CK20,CM20)&gt;0,SUM(CK20,CM20),"")</f>
        <v/>
      </c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15" t="str">
        <f>IF(CV20&gt;0,CV20,"")</f>
        <v/>
      </c>
      <c r="DE20" s="15" t="str">
        <f>IF(SUM(CO20:CR20)-CS20&gt;0,SUM(CO20:CR20)-CS20,"")</f>
        <v/>
      </c>
      <c r="DF20" s="15" t="str">
        <f>IF(SUM(CT20:CW20)-CX20&gt;0,SUM(CT20:CW20)-CX20,"")</f>
        <v/>
      </c>
      <c r="DG20" s="15" t="str">
        <f>IF(SUM(DE20:DF20)&gt;0,SUM(DE20:DF20),"")</f>
        <v/>
      </c>
      <c r="DH20" s="15" t="str">
        <f>IF(DA20&gt;0,DA20,"")</f>
        <v/>
      </c>
      <c r="DI20" s="15" t="str">
        <f>IF(SUM(CY20:DB20)-DC20&gt;0,SUM(CY20:DB20)-DC20,"")</f>
        <v/>
      </c>
      <c r="DJ20" s="15" t="str">
        <f>IF(SUM(DG20,DI20)&gt;0,SUM(DG20,DI20),"")</f>
        <v/>
      </c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  <c r="DW20" s="36"/>
      <c r="DX20" s="36"/>
      <c r="DY20" s="36"/>
      <c r="DZ20" s="12" t="str">
        <f>IF(DR20&gt;0,DR20,"")</f>
        <v/>
      </c>
      <c r="EA20" s="12" t="str">
        <f>IF(SUM(DK20:DN20)-DO20&gt;0,SUM(DK20:DN20)-DO20,"")</f>
        <v/>
      </c>
      <c r="EB20" s="12" t="str">
        <f>IF(SUM(DP20:DS20)-DT20&gt;0,SUM(DP20:DS20)-DT20,"")</f>
        <v/>
      </c>
      <c r="EC20" s="12" t="str">
        <f>IF(SUM(EA20:EB20)&gt;0,SUM(EA20:EB20),"")</f>
        <v/>
      </c>
      <c r="ED20" s="12" t="str">
        <f>IF(DW20&gt;0,DW20,"")</f>
        <v/>
      </c>
      <c r="EE20" s="12" t="str">
        <f>IF(SUM(DU20:DX20)-DY20&gt;0,SUM(DU20:DX20)-DY20,"")</f>
        <v/>
      </c>
      <c r="EF20" s="12" t="str">
        <f>IF(SUM(EC20,EE20)&gt;0,SUM(EC20,EE20),"")</f>
        <v/>
      </c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15" t="str">
        <f>IF(EN20&gt;0,EN20,"")</f>
        <v/>
      </c>
      <c r="EW20" s="15" t="str">
        <f>IF(SUM(EG20:EJ20)-EK20&gt;0,SUM(EG20:EJ20)-EK20,"")</f>
        <v/>
      </c>
      <c r="EX20" s="15" t="str">
        <f>IF(SUM(EL20:EO20)-EP20&gt;0,SUM(EL20:EO20)-EP20,"")</f>
        <v/>
      </c>
      <c r="EY20" s="15" t="str">
        <f>IF(SUM(EW20:EX20)&gt;0,SUM(EW20:EX20),"")</f>
        <v/>
      </c>
      <c r="EZ20" s="15" t="str">
        <f>IF(ES20&gt;0,ES20,"")</f>
        <v/>
      </c>
      <c r="FA20" s="15" t="str">
        <f>IF(SUM(EQ20:ET20)-EU20&gt;0,SUM(EQ20:ET20)-EU20,"")</f>
        <v/>
      </c>
      <c r="FB20" s="15" t="str">
        <f>IF(SUM(EY20,FA20)&gt;0,SUM(EY20,FA20),"")</f>
        <v/>
      </c>
      <c r="FC20" s="36"/>
      <c r="FD20" s="36"/>
      <c r="FE20" s="36"/>
      <c r="FF20" s="36"/>
      <c r="FG20" s="36"/>
      <c r="FH20" s="36"/>
      <c r="FI20" s="36"/>
      <c r="FJ20" s="36"/>
      <c r="FK20" s="36"/>
      <c r="FL20" s="36"/>
      <c r="FM20" s="36"/>
      <c r="FN20" s="36"/>
      <c r="FO20" s="36"/>
      <c r="FP20" s="36"/>
      <c r="FQ20" s="36"/>
      <c r="FR20" s="12" t="str">
        <f>IF(FJ20&gt;0,FJ20,"")</f>
        <v/>
      </c>
      <c r="FS20" s="12" t="str">
        <f>IF(SUM(FC20:FF20)-FG20&gt;0,SUM(FC20:FF20)-FG20,"")</f>
        <v/>
      </c>
      <c r="FT20" s="12" t="str">
        <f>IF(SUM(FH20:FK20)-FL20&gt;0,SUM(FH20:FK20)-FL20,"")</f>
        <v/>
      </c>
      <c r="FU20" s="12" t="str">
        <f>IF(SUM(FS20:FT20)&gt;0,SUM(FS20:FT20),"")</f>
        <v/>
      </c>
      <c r="FV20" s="12" t="str">
        <f>IF(FO20&gt;0,FO20,"")</f>
        <v/>
      </c>
      <c r="FW20" s="12" t="str">
        <f>IF(SUM(FM20:FP20)-FQ20&gt;0,SUM(FM20:FP20)-FQ20,"")</f>
        <v/>
      </c>
      <c r="FX20" s="12" t="str">
        <f>IF(SUM(FU20,FW20)&gt;0,SUM(FU20,FW20),"")</f>
        <v/>
      </c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15" t="str">
        <f>IF(GF20&gt;0,GF20,"")</f>
        <v/>
      </c>
      <c r="GO20" s="15" t="str">
        <f>IF(SUM(FY20:GB20)-GC20&gt;0,SUM(FY20:GB20)-GC20,"")</f>
        <v/>
      </c>
      <c r="GP20" s="15" t="str">
        <f>IF(SUM(GD20:GG20)-GH20&gt;0,SUM(GD20:GG20)-GH20,"")</f>
        <v/>
      </c>
      <c r="GQ20" s="15" t="str">
        <f>IF(SUM(GO20:GP20)&gt;0,SUM(GO20:GP20),"")</f>
        <v/>
      </c>
      <c r="GR20" s="15" t="str">
        <f>IF(GK20&gt;0,GK20,"")</f>
        <v/>
      </c>
      <c r="GS20" s="15" t="str">
        <f>IF(SUM(GI20:GL20)-GM20&gt;0,SUM(GI20:GL20)-GM20,"")</f>
        <v/>
      </c>
      <c r="GT20" s="15" t="str">
        <f>IF(SUM(GQ20,GS20)&gt;0,SUM(GQ20,GS20),"")</f>
        <v/>
      </c>
      <c r="GU20" s="36"/>
      <c r="GV20" s="36"/>
      <c r="GW20" s="36"/>
      <c r="GX20" s="36"/>
      <c r="GY20" s="36"/>
      <c r="GZ20" s="36"/>
      <c r="HA20" s="36"/>
      <c r="HB20" s="36"/>
      <c r="HC20" s="36"/>
      <c r="HD20" s="36"/>
      <c r="HE20" s="36"/>
      <c r="HF20" s="36"/>
      <c r="HG20" s="36"/>
      <c r="HH20" s="36"/>
      <c r="HI20" s="36"/>
      <c r="HJ20" s="12" t="str">
        <f>IF(HB20&gt;0,HB20,"")</f>
        <v/>
      </c>
      <c r="HK20" s="12" t="str">
        <f>IF(SUM(GU20:GX20)-GY20&gt;0,SUM(GU20:GX20)-GY20,"")</f>
        <v/>
      </c>
      <c r="HL20" s="12" t="str">
        <f>IF(SUM(GZ20:HC20)-HD20&gt;0,SUM(GZ20:HC20)-HD20,"")</f>
        <v/>
      </c>
      <c r="HM20" s="12" t="str">
        <f>IF(SUM(HK20:HL20)&gt;0,SUM(HK20:HL20),"")</f>
        <v/>
      </c>
      <c r="HN20" s="12" t="str">
        <f>IF(HG20&gt;0,HG20,"")</f>
        <v/>
      </c>
      <c r="HO20" s="12" t="str">
        <f>IF(SUM(HE20:HH20)-HI20&gt;0,SUM(HE20:HH20)-HI20,"")</f>
        <v/>
      </c>
      <c r="HP20" s="12" t="str">
        <f>IF(SUM(HM20,HO20)&gt;0,SUM(HM20,HO20),"")</f>
        <v/>
      </c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15" t="str">
        <f>IF(HX20&gt;0,HX20,"")</f>
        <v/>
      </c>
      <c r="IG20" s="15" t="str">
        <f>IF(SUM(HQ20:HT20)-HU20&gt;0,SUM(HQ20:HT20)-HU20,"")</f>
        <v/>
      </c>
      <c r="IH20" s="15" t="str">
        <f>IF(SUM(HV20:HY20)-HZ20&gt;0,SUM(HV20:HY20)-HZ20,"")</f>
        <v/>
      </c>
      <c r="II20" s="15" t="str">
        <f>IF(SUM(IG20:IH20)&gt;0,SUM(IG20:IH20),"")</f>
        <v/>
      </c>
      <c r="IJ20" s="15" t="str">
        <f>IF(IC20&gt;0,IC20,"")</f>
        <v/>
      </c>
      <c r="IK20" s="15" t="str">
        <f>IF(SUM(IA20:ID20)-IE20&gt;0,SUM(IA20:ID20)-IE20,"")</f>
        <v/>
      </c>
      <c r="IL20" s="15" t="str">
        <f>IF(SUM(II20,IK20)&gt;0,SUM(II20,IK20),"")</f>
        <v/>
      </c>
      <c r="IM20" s="36"/>
      <c r="IN20" s="36"/>
      <c r="IO20" s="36"/>
      <c r="IP20" s="36"/>
      <c r="IQ20" s="36"/>
      <c r="IR20" s="36"/>
      <c r="IS20" s="36"/>
      <c r="IT20" s="36"/>
      <c r="IU20" s="36"/>
      <c r="IV20" s="36"/>
      <c r="IW20" s="36"/>
      <c r="IX20" s="36"/>
      <c r="IY20" s="36"/>
      <c r="IZ20" s="36"/>
      <c r="JA20" s="36"/>
      <c r="JB20" s="12" t="str">
        <f>IF(IT20&gt;0,IT20,"")</f>
        <v/>
      </c>
      <c r="JC20" s="12" t="str">
        <f>IF(SUM(IM20:IP20)-IQ20&gt;0,SUM(IM20:IP20)-IQ20,"")</f>
        <v/>
      </c>
      <c r="JD20" s="12" t="str">
        <f>IF(SUM(IR20:IU20)-IV20&gt;0,SUM(IR20:IU20)-IV20,"")</f>
        <v/>
      </c>
      <c r="JE20" s="12" t="str">
        <f>IF(SUM(JC20:JD20)&gt;0,SUM(JC20:JD20),"")</f>
        <v/>
      </c>
      <c r="JF20" s="12" t="str">
        <f>IF(IY20&gt;0,IY20,"")</f>
        <v/>
      </c>
      <c r="JG20" s="12" t="str">
        <f>IF(SUM(IW20:IZ20)-JA20&gt;0,SUM(IW20:IZ20)-JA20,"")</f>
        <v/>
      </c>
      <c r="JH20" s="12" t="str">
        <f>IF(SUM(JE20,JG20)&gt;0,SUM(JE20,JG20),"")</f>
        <v/>
      </c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15" t="str">
        <f>IF(JP20&gt;0,JP20,"")</f>
        <v/>
      </c>
      <c r="JY20" s="15" t="str">
        <f>IF(SUM(JI20:JL20)-JM20&gt;0,SUM(JI20:JL20)-JM20,"")</f>
        <v/>
      </c>
      <c r="JZ20" s="15" t="str">
        <f>IF(SUM(JN20:JQ20)-JR20&gt;0,SUM(JN20:JQ20)-JR20,"")</f>
        <v/>
      </c>
      <c r="KA20" s="15" t="str">
        <f>IF(SUM(JY20:JZ20)&gt;0,SUM(JY20:JZ20),"")</f>
        <v/>
      </c>
      <c r="KB20" s="15" t="str">
        <f>IF(JU20&gt;0,JU20,"")</f>
        <v/>
      </c>
      <c r="KC20" s="15" t="str">
        <f>IF(SUM(JS20:JV20)-JW20&gt;0,SUM(JS20:JV20)-JW20,"")</f>
        <v/>
      </c>
      <c r="KD20" s="15" t="str">
        <f>IF(SUM(KA20,KC20)&gt;0,SUM(KA20,KC20),"")</f>
        <v/>
      </c>
      <c r="KE20" s="36"/>
      <c r="KF20" s="36"/>
      <c r="KG20" s="36"/>
      <c r="KH20" s="36"/>
      <c r="KI20" s="36"/>
      <c r="KJ20" s="36"/>
      <c r="KK20" s="36"/>
      <c r="KL20" s="36"/>
      <c r="KM20" s="36"/>
      <c r="KN20" s="36"/>
      <c r="KO20" s="36"/>
      <c r="KP20" s="36"/>
      <c r="KQ20" s="36"/>
      <c r="KR20" s="36"/>
      <c r="KS20" s="36"/>
      <c r="KT20" s="12" t="str">
        <f>IF(KL20&gt;0,KL20,"")</f>
        <v/>
      </c>
      <c r="KU20" s="12" t="str">
        <f>IF(SUM(KE20:KH20)-KI20&gt;0,SUM(KE20:KH20)-KI20,"")</f>
        <v/>
      </c>
      <c r="KV20" s="12" t="str">
        <f>IF(SUM(KJ20:KM20)-KN20&gt;0,SUM(KJ20:KM20)-KN20,"")</f>
        <v/>
      </c>
      <c r="KW20" s="12" t="str">
        <f>IF(SUM(KU20:KV20)&gt;0,SUM(KU20:KV20),"")</f>
        <v/>
      </c>
      <c r="KX20" s="12" t="str">
        <f>IF(KQ20&gt;0,KQ20,"")</f>
        <v/>
      </c>
      <c r="KY20" s="12" t="str">
        <f>IF(SUM(KO20:KR20)-KS20&gt;0,SUM(KO20:KR20)-KS20,"")</f>
        <v/>
      </c>
      <c r="KZ20" s="12" t="str">
        <f>IF(SUM(KW20,KY20)&gt;0,SUM(KW20,KY20),"")</f>
        <v/>
      </c>
      <c r="LA20" s="37"/>
      <c r="LB20" s="37"/>
      <c r="LC20" s="37"/>
      <c r="LD20" s="37"/>
      <c r="LE20" s="37"/>
      <c r="LF20" s="37"/>
      <c r="LG20" s="37"/>
      <c r="LH20" s="37"/>
      <c r="LI20" s="37"/>
      <c r="LJ20" s="37"/>
      <c r="LK20" s="37"/>
      <c r="LL20" s="37"/>
      <c r="LM20" s="37"/>
      <c r="LN20" s="37"/>
      <c r="LO20" s="37"/>
      <c r="LP20" s="15" t="str">
        <f>IF(LH20&gt;0,LH20,"")</f>
        <v/>
      </c>
      <c r="LQ20" s="15" t="str">
        <f>IF(SUM(LA20:LD20)-LE20&gt;0,SUM(LA20:LD20)-LE20,"")</f>
        <v/>
      </c>
      <c r="LR20" s="15" t="str">
        <f>IF(SUM(LF20:LI20)-LJ20&gt;0,SUM(LF20:LI20)-LJ20,"")</f>
        <v/>
      </c>
      <c r="LS20" s="15" t="str">
        <f>IF(SUM(LQ20:LR20)&gt;0,SUM(LQ20:LR20),"")</f>
        <v/>
      </c>
      <c r="LT20" s="15" t="str">
        <f>IF(LM20&gt;0,LM20,"")</f>
        <v/>
      </c>
      <c r="LU20" s="15" t="str">
        <f>IF(SUM(LK20:LN20)-LO20&gt;0,SUM(LK20:LN20)-LO20,"")</f>
        <v/>
      </c>
      <c r="LV20" s="15" t="str">
        <f>IF(SUM(LS20,LU20)&gt;0,SUM(LS20,LU20),"")</f>
        <v/>
      </c>
      <c r="LW20" s="63">
        <f t="shared" si="7"/>
        <v>6.75</v>
      </c>
      <c r="LX20" s="63">
        <f t="shared" si="8"/>
        <v>4.625</v>
      </c>
      <c r="LY20" s="63">
        <f t="shared" si="9"/>
        <v>2.7</v>
      </c>
      <c r="LZ20" s="63">
        <f t="shared" si="10"/>
        <v>7.9775</v>
      </c>
      <c r="MA20" s="63">
        <f t="shared" si="11"/>
        <v>0</v>
      </c>
      <c r="MB20" s="63">
        <f t="shared" si="12"/>
        <v>6.65</v>
      </c>
      <c r="MC20" s="63">
        <f t="shared" si="13"/>
        <v>4.4000000000000004</v>
      </c>
      <c r="MD20" s="63">
        <f t="shared" si="14"/>
        <v>5.6</v>
      </c>
      <c r="ME20" s="63">
        <f t="shared" si="15"/>
        <v>7.8375000000000004</v>
      </c>
      <c r="MF20" s="63">
        <f t="shared" si="16"/>
        <v>0</v>
      </c>
      <c r="MG20" s="63">
        <f t="shared" si="17"/>
        <v>0</v>
      </c>
      <c r="MH20" s="63">
        <f t="shared" si="18"/>
        <v>0</v>
      </c>
      <c r="MI20" s="63">
        <f t="shared" si="19"/>
        <v>0</v>
      </c>
      <c r="MJ20" s="63">
        <f t="shared" si="20"/>
        <v>0</v>
      </c>
      <c r="MK20" s="63">
        <f t="shared" si="21"/>
        <v>0</v>
      </c>
      <c r="ML20" s="74" t="s">
        <v>119</v>
      </c>
      <c r="MM20" s="12">
        <f t="shared" si="22"/>
        <v>5.6</v>
      </c>
      <c r="MN20" s="12">
        <f t="shared" si="23"/>
        <v>22.052499999999998</v>
      </c>
      <c r="MO20" s="12">
        <f t="shared" si="24"/>
        <v>24.487499999999997</v>
      </c>
      <c r="MP20" s="12">
        <f t="shared" si="25"/>
        <v>46.539999999999992</v>
      </c>
      <c r="MQ20" s="12" t="str">
        <f t="shared" si="26"/>
        <v/>
      </c>
      <c r="MR20" s="12" t="str">
        <f t="shared" si="27"/>
        <v/>
      </c>
      <c r="MS20" s="12">
        <f t="shared" si="28"/>
        <v>46.539999999999992</v>
      </c>
    </row>
    <row r="21" spans="1:357" x14ac:dyDescent="0.2">
      <c r="A21" s="6" t="str">
        <f>IF(AND(F21="P",H21="P"),SUMPRODUCT((F$4:F$24="P")*(H$4:H$24="P")*(E$4:E$24&gt;E21))+1,IF(H21="P",SUMPRODUCT((F$4:F$24="")*(H$4:H$24="P")*(E$4:E$24&gt;E21))+1+SUMPRODUCT((F$4:F$24="P")*(H$4:H$24="P")),""))</f>
        <v/>
      </c>
      <c r="B21" s="7" t="s">
        <v>91</v>
      </c>
      <c r="C21" s="8" t="s">
        <v>6</v>
      </c>
      <c r="D21" s="27">
        <v>2000</v>
      </c>
      <c r="E21" s="16">
        <f>SUM(J21:R21)</f>
        <v>79.42</v>
      </c>
      <c r="F21" s="4" t="str">
        <f>IF(OR(AND($AK21&gt;=$AL$26,NOT($AK21=""),$AJ21=""),AND($BH21&gt;=$BI$26,NOT($BH21=""),$BG21=""),AND($CH21&gt;=$CI$26,NOT($CH21="")),AND($DD21&gt;=$DE$26,NOT($DD21="")),AND($DZ21&gt;=$EA$26,NOT($DZ21="")),AND($EV21&gt;=$EW$26,NOT($EV21="")),AND($FR21&gt;=$FS$26,NOT($FR21="")),AND($GN21&gt;=$GO$26,NOT($GN21="")),AND($HJ21&gt;=$HK$26,NOT($HJ21="")),AND($IF21&gt;=$IG$26,NOT($IF21="")),AND($JB21&gt;=$JC$26,NOT($JB21="")),AND($JX21&gt;=$JY$26,NOT($JX21="")),AND($KT21&gt;=$KU$26,NOT($KT21="")),AND($LP21&gt;=$LQ$26,NOT($LP21=""))),"P","")</f>
        <v/>
      </c>
      <c r="G21" s="4" t="str">
        <f>IF(OR(AND($AK21&gt;=$AL$27,NOT($AK21=""),$AJ21=""),AND($BH21&gt;=$BI$27,NOT($BH21=""),$BG21=""),AND($CH21&gt;=$CI$27,NOT($CH21="")),AND($DD21&gt;=$DE$27,NOT($DD21="")),AND($DZ21&gt;=$EA$27,NOT($DZ21="")),AND($EV21&gt;=$EW$27,NOT($EV21="")),AND($FR21&gt;=$FS$27,NOT($FR21="")),AND($GN21&gt;=$GO$27,NOT($GN21="")),AND($HJ21&gt;=$HK$27,NOT($HJ21="")),AND($IF21&gt;=$IG$27,NOT($IF21="")),AND($JB21&gt;=$JC$27,NOT($JB21="")),AND($JX21&gt;=$JY$27,NOT($JX21="")),AND($KT21&gt;=$KU$27,NOT($KT21="")),AND($LP21&gt;=$LQ$27,NOT($LP21=""))),"P","")</f>
        <v/>
      </c>
      <c r="H21" s="4" t="str">
        <f>IF(OR(AND($AN21&gt;=$AL$28,NOT($AN21=""),$AJ21=""),AND($BK21&gt;=$BI$28,NOT($BK21=""),$BG21=""),AND($CK21&gt;=$CI$28,NOT($CK21="")),AND($DG21&gt;=$DE$28,NOT($DG21="")),AND($EC21&gt;=$EA$28,NOT($EC21="")),AND($EY21&gt;=$EW$28,NOT($EY21="")),AND($FU21&gt;=$FS$28,NOT($FU21="")),AND($GQ21&gt;=$GO$28,NOT($GQ21="")),AND($HM21&gt;=$HK$28,NOT($HM21="")),AND($II21&gt;=$IG$28,NOT($II21="")),AND($JE21&gt;=$JC$28,NOT($JE21="")),AND($KA21&gt;=$JY$28,NOT($KA21="")),AND($KW21&gt;=$KU$28,NOT($KW21="")),AND($LS21&gt;=$LQ$28,NOT($LS21=""))),"P","")</f>
        <v/>
      </c>
      <c r="I21" t="str">
        <f>IF(AND(H21="P",F21=""),"No DD",IF(AND(G21="P",OR(AND($AM21&gt;$AL$31,NOT($AM21=""),$AJ21=""),AND($AP21&gt;$AL$31,NOT($AP21=""),$AJ21=""),AND($BJ21&gt;$BI$31,NOT($BJ21=""),$BG21=""),AND($BM21&gt;$BI$31,NOT($BM21=""),$BG21=""),AND($CJ21&gt;$CI$31,NOT($CJ21="")),AND($CM21&gt;$CI$31,NOT($CM21="")),AND($DF21&gt;$DE$31,NOT($DF21="")),AND($DI21&gt;$DE$31,NOT($DI21="")),AND($EB21&gt;$EA$31,NOT($EB21="")),AND($EE21&gt;$EA$31,NOT($EE21="")),AND($EX21&gt;$EW$31,NOT($EX21="")),AND($FA21&gt;$EW$31,NOT($FA21="")),AND($FT21&gt;$FS$31,NOT($FT21="")),AND($FW21&gt;$FS$31,NOT($FW21="")),AND($GP21&gt;$GO$31,NOT($GP21="")),AND($GS21&gt;$GO$31,NOT($GS21="")),AND($HL21&gt;$HK$31,NOT($HL21="")),AND($HO21&gt;$HK$31,NOT($HO21="")),AND($IH21&gt;$IG$31,NOT($IH21="")),AND($IK21&gt;$IG$31,NOT($IK21="")),AND($JD21&gt;$JC$31,NOT($JD21="")),AND($JG21&gt;$JC$31,NOT($JG21="")),AND($JZ21&gt;$JY$31,NOT($JZ21="")),AND($KC21&gt;$JY$31,NOT($KC21="")),AND($KV21&gt;$KU$31,NOT($KV21="")),AND($KY21&gt;$KU$31,NOT($KY21="")),AND($LR21&gt;$LQ$31,NOT($LR21="")),AND($LU21&gt;$LQ$31,NOT($LU21="")))),"Merit",IF(AND(G21="P",OR(AND($AN21&gt;$AL$30,NOT($AN21=""),$AJ21=""),AND($BK21&gt;$BI$30,NOT($BK21=""),$BG21=""),AND($CK21&gt;$CI$30,NOT($CK21="")),AND($DG21&gt;$DE$30,NOT($DG21="")),AND($EC21&gt;$EA$30,NOT($EC21="")),AND($EY21&gt;$EW$30,NOT($EY21="")),AND($FU21&gt;$FS$30,NOT($FU21="")),AND($GQ21&gt;$GO$30,NOT($GQ21="")),AND($HM21&gt;$HK$30,NOT($HM21="")),AND($II21&gt;$IG$30,NOT($II21="")),AND($JE21&gt;$JC$30,NOT($JE21="")),AND($KA21&gt;$JY$30,NOT($KA21="")),AND($KW21&gt;$KU$30,NOT($KW21="")),AND($LS21&gt;$LQ$30,NOT($LS21="")))),"Excellence",IF(AND(G21="P",OR(AND($AN21&gt;$AL$29,NOT($AN21=""),$AJ21=""),AND($BK21&gt;$BI$29,NOT($BK21=""),$BG21=""),AND($CK21&gt;$CI$29,NOT($CK21="")),AND($DG21&gt;$DE$29,NOT($DG21="")),AND($EC21&gt;$EA$29,NOT($EC21="")),AND($EY21&gt;$EW$29,NOT($EY21="")),AND($FU21&gt;$FS$29,NOT($FU21="")),AND($GQ21&gt;$GO$29,NOT($GQ21="")),AND($HM21&gt;$HK$29,NOT($HM21="")),AND($II21&gt;$IG$29,NOT($II21="")),AND($JE21&gt;$JC$29,NOT($JE21="")),AND($KA21&gt;$JY$29,NOT($KA21="")),AND($KW21&gt;$KU$29,NOT($KW21="")),AND($LS21&gt;$LQ$29,NOT($LS21="")))),"Worlds Team",IF(AND(F21="P",OR(AND($AN21&gt;$AL$28,NOT($AN21=""),$AJ21=""),AND($BK21&gt;$BI$28,NOT($BK21=""),$BG21=""),AND($CK21&gt;$CI$28,NOT($CK21="")),AND($DG21&gt;$DE$28,NOT($DG21="")),AND($EC21&gt;$EA$28,NOT($EC21="")),AND($EY21&gt;$EW$28,NOT($EY21="")),AND($FU21&gt;$FS$28,NOT($FU21="")),AND($GQ21&gt;$GO$28,NOT($GQ21="")),AND($HM21&gt;$HK$28,NOT($HM21="")),AND($II21&gt;$IG$28,NOT($II21="")),AND($JE21&gt;$JC$28,NOT($JE21="")),AND($KA21&gt;$JY$28,NOT($KA21="")),AND($KW21&gt;$KU$28,NOT($KW21="")),AND($LS21&gt;$LQ$28,NOT($LS21="")))),"National Team","")))))</f>
        <v/>
      </c>
      <c r="J21" s="15">
        <f>IF(MAX(AN21,BK21)&gt;0,MAX(AN21,BK21),"")</f>
        <v>79.42</v>
      </c>
      <c r="K21" s="15" t="str">
        <f>IF(J21="","",IF(J21=BK21,$AR$1,IF(J21=AN21,$U$1,"")))</f>
        <v>2018 Nationals</v>
      </c>
      <c r="L21" s="15" t="str">
        <f>IF($J21=$AN21,BI21,IF($J21=$BK21,AL21,MAX(AL21,BI21)))</f>
        <v/>
      </c>
      <c r="M21" s="15" t="str">
        <f>IF(L21="","",IF(AND(L21=BI21,$K21&lt;&gt;$AR$1),$AR$1,IF(AND(L21=AL21,$K21&lt;&gt;$U$1),$U$1,"")))</f>
        <v/>
      </c>
      <c r="N21" s="15" t="str">
        <f>IF($J21=$AN21,BJ21,IF($J21=$BK21,AM21,MAX(AM21,BJ21)))</f>
        <v/>
      </c>
      <c r="O21" s="15" t="str">
        <f>IF(N21="","",IF(AND(N21=BJ21,$K21&lt;&gt;$AR$1),$AR$1,IF(AND(N21=AM21,$K21&lt;&gt;$U$1),$U$1,"")))</f>
        <v/>
      </c>
      <c r="P21" s="15" t="str">
        <f>IF(MAX(AP21,BM21)&gt;0,MAX(AP21,BM21),"")</f>
        <v/>
      </c>
      <c r="Q21" s="15" t="str">
        <f>IF(P21="","",IF(P21=BM21,$AR$1,IF(P21=AP21,$U$1,"")))</f>
        <v/>
      </c>
      <c r="R21" s="15" t="str">
        <f>IF(MAX(BO21,BP21,BQ21,BR21)&gt;0,MAX(BO21,BP21,BQ21,BR21),"")</f>
        <v/>
      </c>
      <c r="S21" s="25" t="str">
        <f>IF(R21="","",IF(R21=BO21,"(Vol 1)",IF(R21=BP21,"(Vol 2)",IF(R21=BQ21,"(Prelim)",IF(R21=BR21,"(Final)")))))</f>
        <v/>
      </c>
      <c r="T21" s="15" t="str">
        <f>IF(R21="","",IF(R21=BO21,IF(R21+IF(L21="",0,L21)=LQ21,$LA$1,IF(R21+IF(L21="",0,L21)=KU21,$KE$1,IF(R21+IF(L21="",0,L21)=JY21,$JI$1,IF(R21+IF(L21="",0,L21)=JC21,$IM$1,IF(R21+IF(L21="",0,L21)=IG21,$HQ$1,IF(R21+IF(L21="",0,L21)=HK21,$GU$1,IF(R21+IF(L21="",0,L21)=GO21,$FY$1,IF(R21+IF(L21="",0,L21)=FS21,$FC$1,IF(R21+IF(L21="",0,L21)=EW21,$EG$1,IF(R21+IF(L21="",0,L21)=EA21,$DK$1,IF(R21+IF(L21="",0,L21)=DE21,$CO$1,IF(R21+IF(L21="",0,L21)=CI21,$BS$1)))))))))))),IF(R21=BP21,IF(R21+IF(N21="",0,N21)=LR21,$LA$1,IF(R21+IF(N21="",0,N21)=KV21,$KE$1,IF(R21+IF(N21="",0,N21)=JZ21,$JI$1,IF(R21+IF(N21="",0,N21)=JD21,$IM$1,IF(R21+IF(N21="",0,N21)=IH21,$HQ$1,IF(R21+IF(N21="",0,N21)=HL21,$GU$1,IF(R21+IF(N21="",0,N21)=GP21,$FY$1,IF(R21+IF(N21="",0,N21)=FT21,$FC$1,IF(R21+IF(N21="",0,N21)=EX21,$EG$1,IF(R21+IF(N21="",0,N21)=EB21,$DK$1,IF(R21+IF(N21="",0,N21)=DF21,$CO$1,IF(R21+IF(N21="",0,N21)=CJ21,$BS$1)))))))))))),IF(R21=BQ21,IF(R21+IF(J21="",0,J21)=LS21,$LA$1,IF(R21+IF(J21="",0,J21)=KW21,$KE$1,IF(R21+IF(J21="",0,J21)=KA21,$JI$1,IF(R21+IF(J21="",0,J21)=JE21,$IM$1,IF(R21+IF(J21="",0,J21)=II21,$HQ$1,IF(R21+IF(J21="",0,J21)=HM21,$GU$1,IF(R21+IF(J21="",0,J21)=GQ21,$FY$1,IF(R21+IF(J21="",0,J21)=FU21,$FC$1,IF(R21+IF(J21="",0,J21)=EY21,$EG$1,IF(R21+IF(J21="",0,J21)=EC21,$DK$1,IF(R21+IF(J21="",0,J21)=DG21,$CO$1,IF(R21+IF(J21="",0,J21)=CK21,$BS$1)))))))))))),IF(R21=BR21,IF(R21+IF(P21="",0,P21)=LU21,$LA$1,IF(R21+IF(P21="",0,P21)=KY21,$KE$1,IF(R21+IF(P21="",0,P21)=KC21,$JI$1,IF(R21+IF(P21="",0,P21)=JG21,$IM$1,IF(R21+IF(P21="",0,P21)=IK21,$HQ$1,IF(R21+IF(P21="",0,P21)=HO21,$GU$1,IF(R21+IF(P21="",0,P21)=GS21,$FY$1,IF(R21+IF(P21="",0,P21)=FW21,$FC$1,IF(R21+IF(P21="",0,P21)=FA21,$EG$1,IF(R21+IF(P21="",0,P21)=EE21,$DK$1,IF(R21+IF(P21="",0,P21)=DI21,$CO$1,IF(R21+IF(P21="",0,P21)=CM21,$BS$1)))))))))))))))))</f>
        <v/>
      </c>
      <c r="U21" s="63">
        <v>10.7</v>
      </c>
      <c r="V21" s="63">
        <v>5.4</v>
      </c>
      <c r="W21" s="63">
        <v>1.2</v>
      </c>
      <c r="X21" s="63">
        <v>10.555</v>
      </c>
      <c r="Y21" s="63">
        <v>0</v>
      </c>
      <c r="Z21" s="63">
        <v>15.5</v>
      </c>
      <c r="AA21" s="63">
        <v>8.9</v>
      </c>
      <c r="AB21" s="63">
        <v>11.4</v>
      </c>
      <c r="AC21" s="63">
        <v>15.765000000000001</v>
      </c>
      <c r="AD21" s="63">
        <v>0</v>
      </c>
      <c r="AE21" s="63"/>
      <c r="AF21" s="63"/>
      <c r="AG21" s="63"/>
      <c r="AH21" s="63"/>
      <c r="AI21" s="63"/>
      <c r="AJ21" s="74"/>
      <c r="AK21" s="12">
        <f>IF(AB21&gt;0,AB21,"")</f>
        <v>11.4</v>
      </c>
      <c r="AL21" s="12">
        <f>IF(SUM(U21:X21)-Y21&gt;0,SUM(U21:X21)-Y21,"")</f>
        <v>27.855</v>
      </c>
      <c r="AM21" s="12">
        <f>IF(SUM(Z21:AC21)-AD21&gt;0,SUM(Z21:AC21)-AD21,"")</f>
        <v>51.564999999999998</v>
      </c>
      <c r="AN21" s="12">
        <f>IF(SUM(AL21:AM21)&gt;0,SUM(AL21:AM21),"")</f>
        <v>79.42</v>
      </c>
      <c r="AO21" s="12" t="str">
        <f>IF(AG21&gt;0,AG21,"")</f>
        <v/>
      </c>
      <c r="AP21" s="12" t="str">
        <f>IF(SUM(AE21:AH21)-AI21&gt;0,SUM(AE21:AH21)-AI21,"")</f>
        <v/>
      </c>
      <c r="AQ21" s="12">
        <f>IF(SUM(AN21,AP21)&gt;0,SUM(AN21,AP21),"")</f>
        <v>79.42</v>
      </c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75"/>
      <c r="BH21" s="15" t="str">
        <f>IF(AY21&gt;0,AY21,"")</f>
        <v/>
      </c>
      <c r="BI21" s="15" t="str">
        <f>IF(SUM(AR21:AU21)-AV21&gt;0,SUM(AR21:AU21)-AV21,"")</f>
        <v/>
      </c>
      <c r="BJ21" s="15" t="str">
        <f>IF(SUM(AW21:AZ21)-BA21&gt;0,SUM(AW21:AZ21)-BA21,"")</f>
        <v/>
      </c>
      <c r="BK21" s="15" t="str">
        <f>IF(SUM(BI21:BJ21)&gt;0,SUM(BI21:BJ21),"")</f>
        <v/>
      </c>
      <c r="BL21" s="15" t="str">
        <f>IF(BD21&gt;0,BD21,"")</f>
        <v/>
      </c>
      <c r="BM21" s="15" t="str">
        <f>IF(SUM(BB21:BE21)-BF21&gt;0,SUM(BB21:BE21)-BF21,"")</f>
        <v/>
      </c>
      <c r="BN21" s="15" t="str">
        <f>IF(SUM(BK21,BM21)&gt;0,SUM(BK21,BM21),"")</f>
        <v/>
      </c>
      <c r="BO21" s="24" t="str">
        <f>IF(MAX(CI21,DE21,EA21,EW21,FS21,GO21,HK21,IG21,JC21,JY21,KU21,LQ21)-IF(L21="",0,L21)&gt;0.001,MAX(CI21,DE21,EA21,EW21,FS21,GO21,HK21,IG21,JC21,JY21,KU21,LQ21)-IF(L21="",0,L21),"")</f>
        <v/>
      </c>
      <c r="BP21" s="24" t="str">
        <f>IF(MAX(CJ21,DF21,EB21,EX21,FT21,GP21,HL21,IH21,JD21,JZ21,KV21,LR21)-IF(N21="",0,N21)&gt;0.001,MAX(CJ21,DF21,EB21,EX21,FT21,GP21,HL21,IH21,JD21,JZ21,KV21,LR21)-IF(N21="",0,N21),"")</f>
        <v/>
      </c>
      <c r="BQ21" s="24" t="str">
        <f>IF(MAX(CK21,DG21,EC21,EY21,FU21,GQ21,HM21,II21,JE21,KA21,KW21,LS21)-IF(J21="",0,J21)&gt;0.001,MAX(CK21,DG21,EC21,EY21,FU21,GQ21,HM21,II21,JE21,KA21,KW21,LS21)-IF(J21="",0,J21),"")</f>
        <v/>
      </c>
      <c r="BR21" s="24" t="str">
        <f>IF(MAX(CM21,DI21,EE21,FA21,FW21,GS21,HO21,IK21,JG21,KC21,KY21,LU21)-IF(P21="",0,P21)&gt;0.001,MAX(CM21,DI21,EE21,FA21,FW21,GS21,HO21,IK21,JG21,KC21,KY21,LU21)-IF(P21="",0,P21),"")</f>
        <v/>
      </c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12" t="str">
        <f>IF(BZ21&gt;0,BZ21,"")</f>
        <v/>
      </c>
      <c r="CI21" s="12" t="str">
        <f>IF(SUM(BS21:BV21)-BW21&gt;0,SUM(BS21:BV21)-BW21,"")</f>
        <v/>
      </c>
      <c r="CJ21" s="12" t="str">
        <f>IF(SUM(BX21:CA21)-CB21&gt;0,SUM(BX21:CA21)-CB21,"")</f>
        <v/>
      </c>
      <c r="CK21" s="12" t="str">
        <f>IF(SUM(CI21:CJ21)&gt;0,SUM(CI21:CJ21),"")</f>
        <v/>
      </c>
      <c r="CL21" s="12" t="str">
        <f>IF(CE21&gt;0,CE21,"")</f>
        <v/>
      </c>
      <c r="CM21" s="12" t="str">
        <f>IF(SUM(CC21:CF21)-CG21&gt;0,SUM(CC21:CF21)-CG21,"")</f>
        <v/>
      </c>
      <c r="CN21" s="12" t="str">
        <f>IF(SUM(CK21,CM21)&gt;0,SUM(CK21,CM21),"")</f>
        <v/>
      </c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15" t="str">
        <f>IF(CV21&gt;0,CV21,"")</f>
        <v/>
      </c>
      <c r="DE21" s="15" t="str">
        <f>IF(SUM(CO21:CR21)-CS21&gt;0,SUM(CO21:CR21)-CS21,"")</f>
        <v/>
      </c>
      <c r="DF21" s="15" t="str">
        <f>IF(SUM(CT21:CW21)-CX21&gt;0,SUM(CT21:CW21)-CX21,"")</f>
        <v/>
      </c>
      <c r="DG21" s="15" t="str">
        <f>IF(SUM(DE21:DF21)&gt;0,SUM(DE21:DF21),"")</f>
        <v/>
      </c>
      <c r="DH21" s="15" t="str">
        <f>IF(DA21&gt;0,DA21,"")</f>
        <v/>
      </c>
      <c r="DI21" s="15" t="str">
        <f>IF(SUM(CY21:DB21)-DC21&gt;0,SUM(CY21:DB21)-DC21,"")</f>
        <v/>
      </c>
      <c r="DJ21" s="15" t="str">
        <f>IF(SUM(DG21,DI21)&gt;0,SUM(DG21,DI21),"")</f>
        <v/>
      </c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  <c r="DW21" s="36"/>
      <c r="DX21" s="36"/>
      <c r="DY21" s="36"/>
      <c r="DZ21" s="12" t="str">
        <f>IF(DR21&gt;0,DR21,"")</f>
        <v/>
      </c>
      <c r="EA21" s="12" t="str">
        <f>IF(SUM(DK21:DN21)-DO21&gt;0,SUM(DK21:DN21)-DO21,"")</f>
        <v/>
      </c>
      <c r="EB21" s="12" t="str">
        <f>IF(SUM(DP21:DS21)-DT21&gt;0,SUM(DP21:DS21)-DT21,"")</f>
        <v/>
      </c>
      <c r="EC21" s="12" t="str">
        <f>IF(SUM(EA21:EB21)&gt;0,SUM(EA21:EB21),"")</f>
        <v/>
      </c>
      <c r="ED21" s="12" t="str">
        <f>IF(DW21&gt;0,DW21,"")</f>
        <v/>
      </c>
      <c r="EE21" s="12" t="str">
        <f>IF(SUM(DU21:DX21)-DY21&gt;0,SUM(DU21:DX21)-DY21,"")</f>
        <v/>
      </c>
      <c r="EF21" s="12" t="str">
        <f>IF(SUM(EC21,EE21)&gt;0,SUM(EC21,EE21),"")</f>
        <v/>
      </c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15" t="str">
        <f>IF(EN21&gt;0,EN21,"")</f>
        <v/>
      </c>
      <c r="EW21" s="15" t="str">
        <f>IF(SUM(EG21:EJ21)-EK21&gt;0,SUM(EG21:EJ21)-EK21,"")</f>
        <v/>
      </c>
      <c r="EX21" s="15" t="str">
        <f>IF(SUM(EL21:EO21)-EP21&gt;0,SUM(EL21:EO21)-EP21,"")</f>
        <v/>
      </c>
      <c r="EY21" s="15" t="str">
        <f>IF(SUM(EW21:EX21)&gt;0,SUM(EW21:EX21),"")</f>
        <v/>
      </c>
      <c r="EZ21" s="15" t="str">
        <f>IF(ES21&gt;0,ES21,"")</f>
        <v/>
      </c>
      <c r="FA21" s="15" t="str">
        <f>IF(SUM(EQ21:ET21)-EU21&gt;0,SUM(EQ21:ET21)-EU21,"")</f>
        <v/>
      </c>
      <c r="FB21" s="15" t="str">
        <f>IF(SUM(EY21,FA21)&gt;0,SUM(EY21,FA21),"")</f>
        <v/>
      </c>
      <c r="FC21" s="36"/>
      <c r="FD21" s="36"/>
      <c r="FE21" s="36"/>
      <c r="FF21" s="36"/>
      <c r="FG21" s="36"/>
      <c r="FH21" s="36"/>
      <c r="FI21" s="36"/>
      <c r="FJ21" s="36"/>
      <c r="FK21" s="36"/>
      <c r="FL21" s="36"/>
      <c r="FM21" s="36"/>
      <c r="FN21" s="36"/>
      <c r="FO21" s="36"/>
      <c r="FP21" s="36"/>
      <c r="FQ21" s="36"/>
      <c r="FR21" s="12" t="str">
        <f>IF(FJ21&gt;0,FJ21,"")</f>
        <v/>
      </c>
      <c r="FS21" s="12" t="str">
        <f>IF(SUM(FC21:FF21)-FG21&gt;0,SUM(FC21:FF21)-FG21,"")</f>
        <v/>
      </c>
      <c r="FT21" s="12" t="str">
        <f>IF(SUM(FH21:FK21)-FL21&gt;0,SUM(FH21:FK21)-FL21,"")</f>
        <v/>
      </c>
      <c r="FU21" s="12" t="str">
        <f>IF(SUM(FS21:FT21)&gt;0,SUM(FS21:FT21),"")</f>
        <v/>
      </c>
      <c r="FV21" s="12" t="str">
        <f>IF(FO21&gt;0,FO21,"")</f>
        <v/>
      </c>
      <c r="FW21" s="12" t="str">
        <f>IF(SUM(FM21:FP21)-FQ21&gt;0,SUM(FM21:FP21)-FQ21,"")</f>
        <v/>
      </c>
      <c r="FX21" s="12" t="str">
        <f>IF(SUM(FU21,FW21)&gt;0,SUM(FU21,FW21),"")</f>
        <v/>
      </c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15" t="str">
        <f>IF(GF21&gt;0,GF21,"")</f>
        <v/>
      </c>
      <c r="GO21" s="15" t="str">
        <f>IF(SUM(FY21:GB21)-GC21&gt;0,SUM(FY21:GB21)-GC21,"")</f>
        <v/>
      </c>
      <c r="GP21" s="15" t="str">
        <f>IF(SUM(GD21:GG21)-GH21&gt;0,SUM(GD21:GG21)-GH21,"")</f>
        <v/>
      </c>
      <c r="GQ21" s="15" t="str">
        <f>IF(SUM(GO21:GP21)&gt;0,SUM(GO21:GP21),"")</f>
        <v/>
      </c>
      <c r="GR21" s="15" t="str">
        <f>IF(GK21&gt;0,GK21,"")</f>
        <v/>
      </c>
      <c r="GS21" s="15" t="str">
        <f>IF(SUM(GI21:GL21)-GM21&gt;0,SUM(GI21:GL21)-GM21,"")</f>
        <v/>
      </c>
      <c r="GT21" s="15" t="str">
        <f>IF(SUM(GQ21,GS21)&gt;0,SUM(GQ21,GS21),"")</f>
        <v/>
      </c>
      <c r="GU21" s="36"/>
      <c r="GV21" s="36"/>
      <c r="GW21" s="36"/>
      <c r="GX21" s="36"/>
      <c r="GY21" s="36"/>
      <c r="GZ21" s="36"/>
      <c r="HA21" s="36"/>
      <c r="HB21" s="36"/>
      <c r="HC21" s="36"/>
      <c r="HD21" s="36"/>
      <c r="HE21" s="36"/>
      <c r="HF21" s="36"/>
      <c r="HG21" s="36"/>
      <c r="HH21" s="36"/>
      <c r="HI21" s="36"/>
      <c r="HJ21" s="12" t="str">
        <f>IF(HB21&gt;0,HB21,"")</f>
        <v/>
      </c>
      <c r="HK21" s="12" t="str">
        <f>IF(SUM(GU21:GX21)-GY21&gt;0,SUM(GU21:GX21)-GY21,"")</f>
        <v/>
      </c>
      <c r="HL21" s="12" t="str">
        <f>IF(SUM(GZ21:HC21)-HD21&gt;0,SUM(GZ21:HC21)-HD21,"")</f>
        <v/>
      </c>
      <c r="HM21" s="12" t="str">
        <f>IF(SUM(HK21:HL21)&gt;0,SUM(HK21:HL21),"")</f>
        <v/>
      </c>
      <c r="HN21" s="12" t="str">
        <f>IF(HG21&gt;0,HG21,"")</f>
        <v/>
      </c>
      <c r="HO21" s="12" t="str">
        <f>IF(SUM(HE21:HH21)-HI21&gt;0,SUM(HE21:HH21)-HI21,"")</f>
        <v/>
      </c>
      <c r="HP21" s="12" t="str">
        <f>IF(SUM(HM21,HO21)&gt;0,SUM(HM21,HO21),"")</f>
        <v/>
      </c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15" t="str">
        <f>IF(HX21&gt;0,HX21,"")</f>
        <v/>
      </c>
      <c r="IG21" s="15" t="str">
        <f>IF(SUM(HQ21:HT21)-HU21&gt;0,SUM(HQ21:HT21)-HU21,"")</f>
        <v/>
      </c>
      <c r="IH21" s="15" t="str">
        <f>IF(SUM(HV21:HY21)-HZ21&gt;0,SUM(HV21:HY21)-HZ21,"")</f>
        <v/>
      </c>
      <c r="II21" s="15" t="str">
        <f>IF(SUM(IG21:IH21)&gt;0,SUM(IG21:IH21),"")</f>
        <v/>
      </c>
      <c r="IJ21" s="15" t="str">
        <f>IF(IC21&gt;0,IC21,"")</f>
        <v/>
      </c>
      <c r="IK21" s="15" t="str">
        <f>IF(SUM(IA21:ID21)-IE21&gt;0,SUM(IA21:ID21)-IE21,"")</f>
        <v/>
      </c>
      <c r="IL21" s="15" t="str">
        <f>IF(SUM(II21,IK21)&gt;0,SUM(II21,IK21),"")</f>
        <v/>
      </c>
      <c r="IM21" s="36"/>
      <c r="IN21" s="36"/>
      <c r="IO21" s="36"/>
      <c r="IP21" s="36"/>
      <c r="IQ21" s="36"/>
      <c r="IR21" s="36"/>
      <c r="IS21" s="36"/>
      <c r="IT21" s="36"/>
      <c r="IU21" s="36"/>
      <c r="IV21" s="36"/>
      <c r="IW21" s="36"/>
      <c r="IX21" s="36"/>
      <c r="IY21" s="36"/>
      <c r="IZ21" s="36"/>
      <c r="JA21" s="36"/>
      <c r="JB21" s="12" t="str">
        <f>IF(IT21&gt;0,IT21,"")</f>
        <v/>
      </c>
      <c r="JC21" s="12" t="str">
        <f>IF(SUM(IM21:IP21)-IQ21&gt;0,SUM(IM21:IP21)-IQ21,"")</f>
        <v/>
      </c>
      <c r="JD21" s="12" t="str">
        <f>IF(SUM(IR21:IU21)-IV21&gt;0,SUM(IR21:IU21)-IV21,"")</f>
        <v/>
      </c>
      <c r="JE21" s="12" t="str">
        <f>IF(SUM(JC21:JD21)&gt;0,SUM(JC21:JD21),"")</f>
        <v/>
      </c>
      <c r="JF21" s="12" t="str">
        <f>IF(IY21&gt;0,IY21,"")</f>
        <v/>
      </c>
      <c r="JG21" s="12" t="str">
        <f>IF(SUM(IW21:IZ21)-JA21&gt;0,SUM(IW21:IZ21)-JA21,"")</f>
        <v/>
      </c>
      <c r="JH21" s="12" t="str">
        <f>IF(SUM(JE21,JG21)&gt;0,SUM(JE21,JG21),"")</f>
        <v/>
      </c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15" t="str">
        <f>IF(JP21&gt;0,JP21,"")</f>
        <v/>
      </c>
      <c r="JY21" s="15" t="str">
        <f>IF(SUM(JI21:JL21)-JM21&gt;0,SUM(JI21:JL21)-JM21,"")</f>
        <v/>
      </c>
      <c r="JZ21" s="15" t="str">
        <f>IF(SUM(JN21:JQ21)-JR21&gt;0,SUM(JN21:JQ21)-JR21,"")</f>
        <v/>
      </c>
      <c r="KA21" s="15" t="str">
        <f>IF(SUM(JY21:JZ21)&gt;0,SUM(JY21:JZ21),"")</f>
        <v/>
      </c>
      <c r="KB21" s="15" t="str">
        <f>IF(JU21&gt;0,JU21,"")</f>
        <v/>
      </c>
      <c r="KC21" s="15" t="str">
        <f>IF(SUM(JS21:JV21)-JW21&gt;0,SUM(JS21:JV21)-JW21,"")</f>
        <v/>
      </c>
      <c r="KD21" s="15" t="str">
        <f>IF(SUM(KA21,KC21)&gt;0,SUM(KA21,KC21),"")</f>
        <v/>
      </c>
      <c r="KE21" s="36"/>
      <c r="KF21" s="36"/>
      <c r="KG21" s="36"/>
      <c r="KH21" s="36"/>
      <c r="KI21" s="36"/>
      <c r="KJ21" s="36"/>
      <c r="KK21" s="36"/>
      <c r="KL21" s="36"/>
      <c r="KM21" s="36"/>
      <c r="KN21" s="36"/>
      <c r="KO21" s="36"/>
      <c r="KP21" s="36"/>
      <c r="KQ21" s="36"/>
      <c r="KR21" s="36"/>
      <c r="KS21" s="36"/>
      <c r="KT21" s="12" t="str">
        <f>IF(KL21&gt;0,KL21,"")</f>
        <v/>
      </c>
      <c r="KU21" s="12" t="str">
        <f>IF(SUM(KE21:KH21)-KI21&gt;0,SUM(KE21:KH21)-KI21,"")</f>
        <v/>
      </c>
      <c r="KV21" s="12" t="str">
        <f>IF(SUM(KJ21:KM21)-KN21&gt;0,SUM(KJ21:KM21)-KN21,"")</f>
        <v/>
      </c>
      <c r="KW21" s="12" t="str">
        <f>IF(SUM(KU21:KV21)&gt;0,SUM(KU21:KV21),"")</f>
        <v/>
      </c>
      <c r="KX21" s="12" t="str">
        <f>IF(KQ21&gt;0,KQ21,"")</f>
        <v/>
      </c>
      <c r="KY21" s="12" t="str">
        <f>IF(SUM(KO21:KR21)-KS21&gt;0,SUM(KO21:KR21)-KS21,"")</f>
        <v/>
      </c>
      <c r="KZ21" s="12" t="str">
        <f>IF(SUM(KW21,KY21)&gt;0,SUM(KW21,KY21),"")</f>
        <v/>
      </c>
      <c r="LA21" s="37"/>
      <c r="LB21" s="37"/>
      <c r="LC21" s="37"/>
      <c r="LD21" s="37"/>
      <c r="LE21" s="37"/>
      <c r="LF21" s="37"/>
      <c r="LG21" s="37"/>
      <c r="LH21" s="37"/>
      <c r="LI21" s="37"/>
      <c r="LJ21" s="37"/>
      <c r="LK21" s="37"/>
      <c r="LL21" s="37"/>
      <c r="LM21" s="37"/>
      <c r="LN21" s="37"/>
      <c r="LO21" s="37"/>
      <c r="LP21" s="15" t="str">
        <f>IF(LH21&gt;0,LH21,"")</f>
        <v/>
      </c>
      <c r="LQ21" s="15" t="str">
        <f>IF(SUM(LA21:LD21)-LE21&gt;0,SUM(LA21:LD21)-LE21,"")</f>
        <v/>
      </c>
      <c r="LR21" s="15" t="str">
        <f>IF(SUM(LF21:LI21)-LJ21&gt;0,SUM(LF21:LI21)-LJ21,"")</f>
        <v/>
      </c>
      <c r="LS21" s="15" t="str">
        <f>IF(SUM(LQ21:LR21)&gt;0,SUM(LQ21:LR21),"")</f>
        <v/>
      </c>
      <c r="LT21" s="15" t="str">
        <f>IF(LM21&gt;0,LM21,"")</f>
        <v/>
      </c>
      <c r="LU21" s="15" t="str">
        <f>IF(SUM(LK21:LN21)-LO21&gt;0,SUM(LK21:LN21)-LO21,"")</f>
        <v/>
      </c>
      <c r="LV21" s="15" t="str">
        <f>IF(SUM(LS21,LU21)&gt;0,SUM(LS21,LU21),"")</f>
        <v/>
      </c>
      <c r="LW21" s="63">
        <f t="shared" si="7"/>
        <v>5.35</v>
      </c>
      <c r="LX21" s="63">
        <f t="shared" si="8"/>
        <v>2.7</v>
      </c>
      <c r="LY21" s="63">
        <f t="shared" si="9"/>
        <v>0.6</v>
      </c>
      <c r="LZ21" s="63">
        <f t="shared" si="10"/>
        <v>5.2774999999999999</v>
      </c>
      <c r="MA21" s="63">
        <f t="shared" si="11"/>
        <v>0</v>
      </c>
      <c r="MB21" s="63">
        <f t="shared" si="12"/>
        <v>7.75</v>
      </c>
      <c r="MC21" s="63">
        <f t="shared" si="13"/>
        <v>4.45</v>
      </c>
      <c r="MD21" s="63">
        <f t="shared" si="14"/>
        <v>5.7</v>
      </c>
      <c r="ME21" s="63">
        <f t="shared" si="15"/>
        <v>7.8825000000000003</v>
      </c>
      <c r="MF21" s="63">
        <f t="shared" si="16"/>
        <v>0</v>
      </c>
      <c r="MG21" s="63">
        <f t="shared" si="17"/>
        <v>0</v>
      </c>
      <c r="MH21" s="63">
        <f t="shared" si="18"/>
        <v>0</v>
      </c>
      <c r="MI21" s="63">
        <f t="shared" si="19"/>
        <v>0</v>
      </c>
      <c r="MJ21" s="63">
        <f t="shared" si="20"/>
        <v>0</v>
      </c>
      <c r="MK21" s="63">
        <f t="shared" si="21"/>
        <v>0</v>
      </c>
      <c r="ML21" s="74" t="s">
        <v>119</v>
      </c>
      <c r="MM21" s="12">
        <f t="shared" si="22"/>
        <v>5.7</v>
      </c>
      <c r="MN21" s="12">
        <f t="shared" si="23"/>
        <v>13.9275</v>
      </c>
      <c r="MO21" s="12">
        <f t="shared" si="24"/>
        <v>25.782499999999999</v>
      </c>
      <c r="MP21" s="12">
        <f t="shared" si="25"/>
        <v>39.71</v>
      </c>
      <c r="MQ21" s="12" t="str">
        <f t="shared" si="26"/>
        <v/>
      </c>
      <c r="MR21" s="12" t="str">
        <f t="shared" si="27"/>
        <v/>
      </c>
      <c r="MS21" s="12">
        <f t="shared" si="28"/>
        <v>39.71</v>
      </c>
    </row>
    <row r="22" spans="1:357" x14ac:dyDescent="0.2">
      <c r="A22" s="6" t="str">
        <f>IF(AND(F22="P",H22="P"),SUMPRODUCT((F$4:F$24="P")*(H$4:H$24="P")*(E$4:E$24&gt;E22))+1,IF(H22="P",SUMPRODUCT((F$4:F$24="")*(H$4:H$24="P")*(E$4:E$24&gt;E22))+1+SUMPRODUCT((F$4:F$24="P")*(H$4:H$24="P")),""))</f>
        <v/>
      </c>
      <c r="B22" s="7" t="s">
        <v>94</v>
      </c>
      <c r="C22" s="8" t="s">
        <v>5</v>
      </c>
      <c r="D22" s="27">
        <v>2001</v>
      </c>
      <c r="E22" s="16">
        <f>SUM(J22:R22)</f>
        <v>62.25</v>
      </c>
      <c r="F22" s="4" t="str">
        <f>IF(OR(AND($AK22&gt;=$AL$26,NOT($AK22=""),$AJ22=""),AND($BH22&gt;=$BI$26,NOT($BH22=""),$BG22=""),AND($CH22&gt;=$CI$26,NOT($CH22="")),AND($DD22&gt;=$DE$26,NOT($DD22="")),AND($DZ22&gt;=$EA$26,NOT($DZ22="")),AND($EV22&gt;=$EW$26,NOT($EV22="")),AND($FR22&gt;=$FS$26,NOT($FR22="")),AND($GN22&gt;=$GO$26,NOT($GN22="")),AND($HJ22&gt;=$HK$26,NOT($HJ22="")),AND($IF22&gt;=$IG$26,NOT($IF22="")),AND($JB22&gt;=$JC$26,NOT($JB22="")),AND($JX22&gt;=$JY$26,NOT($JX22="")),AND($KT22&gt;=$KU$26,NOT($KT22="")),AND($LP22&gt;=$LQ$26,NOT($LP22=""))),"P","")</f>
        <v/>
      </c>
      <c r="G22" s="4" t="str">
        <f>IF(OR(AND($AK22&gt;=$AL$27,NOT($AK22=""),$AJ22=""),AND($BH22&gt;=$BI$27,NOT($BH22=""),$BG22=""),AND($CH22&gt;=$CI$27,NOT($CH22="")),AND($DD22&gt;=$DE$27,NOT($DD22="")),AND($DZ22&gt;=$EA$27,NOT($DZ22="")),AND($EV22&gt;=$EW$27,NOT($EV22="")),AND($FR22&gt;=$FS$27,NOT($FR22="")),AND($GN22&gt;=$GO$27,NOT($GN22="")),AND($HJ22&gt;=$HK$27,NOT($HJ22="")),AND($IF22&gt;=$IG$27,NOT($IF22="")),AND($JB22&gt;=$JC$27,NOT($JB22="")),AND($JX22&gt;=$JY$27,NOT($JX22="")),AND($KT22&gt;=$KU$27,NOT($KT22="")),AND($LP22&gt;=$LQ$27,NOT($LP22=""))),"P","")</f>
        <v/>
      </c>
      <c r="H22" s="4" t="str">
        <f>IF(OR(AND($AN22&gt;=$AL$28,NOT($AN22=""),$AJ22=""),AND($BK22&gt;=$BI$28,NOT($BK22=""),$BG22=""),AND($CK22&gt;=$CI$28,NOT($CK22="")),AND($DG22&gt;=$DE$28,NOT($DG22="")),AND($EC22&gt;=$EA$28,NOT($EC22="")),AND($EY22&gt;=$EW$28,NOT($EY22="")),AND($FU22&gt;=$FS$28,NOT($FU22="")),AND($GQ22&gt;=$GO$28,NOT($GQ22="")),AND($HM22&gt;=$HK$28,NOT($HM22="")),AND($II22&gt;=$IG$28,NOT($II22="")),AND($JE22&gt;=$JC$28,NOT($JE22="")),AND($KA22&gt;=$JY$28,NOT($KA22="")),AND($KW22&gt;=$KU$28,NOT($KW22="")),AND($LS22&gt;=$LQ$28,NOT($LS22=""))),"P","")</f>
        <v/>
      </c>
      <c r="I22" t="str">
        <f>IF(AND(H22="P",F22=""),"No DD",IF(AND(G22="P",OR(AND($AM22&gt;$AL$31,NOT($AM22=""),$AJ22=""),AND($AP22&gt;$AL$31,NOT($AP22=""),$AJ22=""),AND($BJ22&gt;$BI$31,NOT($BJ22=""),$BG22=""),AND($BM22&gt;$BI$31,NOT($BM22=""),$BG22=""),AND($CJ22&gt;$CI$31,NOT($CJ22="")),AND($CM22&gt;$CI$31,NOT($CM22="")),AND($DF22&gt;$DE$31,NOT($DF22="")),AND($DI22&gt;$DE$31,NOT($DI22="")),AND($EB22&gt;$EA$31,NOT($EB22="")),AND($EE22&gt;$EA$31,NOT($EE22="")),AND($EX22&gt;$EW$31,NOT($EX22="")),AND($FA22&gt;$EW$31,NOT($FA22="")),AND($FT22&gt;$FS$31,NOT($FT22="")),AND($FW22&gt;$FS$31,NOT($FW22="")),AND($GP22&gt;$GO$31,NOT($GP22="")),AND($GS22&gt;$GO$31,NOT($GS22="")),AND($HL22&gt;$HK$31,NOT($HL22="")),AND($HO22&gt;$HK$31,NOT($HO22="")),AND($IH22&gt;$IG$31,NOT($IH22="")),AND($IK22&gt;$IG$31,NOT($IK22="")),AND($JD22&gt;$JC$31,NOT($JD22="")),AND($JG22&gt;$JC$31,NOT($JG22="")),AND($JZ22&gt;$JY$31,NOT($JZ22="")),AND($KC22&gt;$JY$31,NOT($KC22="")),AND($KV22&gt;$KU$31,NOT($KV22="")),AND($KY22&gt;$KU$31,NOT($KY22="")),AND($LR22&gt;$LQ$31,NOT($LR22="")),AND($LU22&gt;$LQ$31,NOT($LU22="")))),"Merit",IF(AND(G22="P",OR(AND($AN22&gt;$AL$30,NOT($AN22=""),$AJ22=""),AND($BK22&gt;$BI$30,NOT($BK22=""),$BG22=""),AND($CK22&gt;$CI$30,NOT($CK22="")),AND($DG22&gt;$DE$30,NOT($DG22="")),AND($EC22&gt;$EA$30,NOT($EC22="")),AND($EY22&gt;$EW$30,NOT($EY22="")),AND($FU22&gt;$FS$30,NOT($FU22="")),AND($GQ22&gt;$GO$30,NOT($GQ22="")),AND($HM22&gt;$HK$30,NOT($HM22="")),AND($II22&gt;$IG$30,NOT($II22="")),AND($JE22&gt;$JC$30,NOT($JE22="")),AND($KA22&gt;$JY$30,NOT($KA22="")),AND($KW22&gt;$KU$30,NOT($KW22="")),AND($LS22&gt;$LQ$30,NOT($LS22="")))),"Excellence",IF(AND(G22="P",OR(AND($AN22&gt;$AL$29,NOT($AN22=""),$AJ22=""),AND($BK22&gt;$BI$29,NOT($BK22=""),$BG22=""),AND($CK22&gt;$CI$29,NOT($CK22="")),AND($DG22&gt;$DE$29,NOT($DG22="")),AND($EC22&gt;$EA$29,NOT($EC22="")),AND($EY22&gt;$EW$29,NOT($EY22="")),AND($FU22&gt;$FS$29,NOT($FU22="")),AND($GQ22&gt;$GO$29,NOT($GQ22="")),AND($HM22&gt;$HK$29,NOT($HM22="")),AND($II22&gt;$IG$29,NOT($II22="")),AND($JE22&gt;$JC$29,NOT($JE22="")),AND($KA22&gt;$JY$29,NOT($KA22="")),AND($KW22&gt;$KU$29,NOT($KW22="")),AND($LS22&gt;$LQ$29,NOT($LS22="")))),"Worlds Team",IF(AND(F22="P",OR(AND($AN22&gt;$AL$28,NOT($AN22=""),$AJ22=""),AND($BK22&gt;$BI$28,NOT($BK22=""),$BG22=""),AND($CK22&gt;$CI$28,NOT($CK22="")),AND($DG22&gt;$DE$28,NOT($DG22="")),AND($EC22&gt;$EA$28,NOT($EC22="")),AND($EY22&gt;$EW$28,NOT($EY22="")),AND($FU22&gt;$FS$28,NOT($FU22="")),AND($GQ22&gt;$GO$28,NOT($GQ22="")),AND($HM22&gt;$HK$28,NOT($HM22="")),AND($II22&gt;$IG$28,NOT($II22="")),AND($JE22&gt;$JC$28,NOT($JE22="")),AND($KA22&gt;$JY$28,NOT($KA22="")),AND($KW22&gt;$KU$28,NOT($KW22="")),AND($LS22&gt;$LQ$28,NOT($LS22="")))),"National Team","")))))</f>
        <v/>
      </c>
      <c r="J22" s="15">
        <f>IF(MAX(AN22,BK22)&gt;0,MAX(AN22,BK22),"")</f>
        <v>62.25</v>
      </c>
      <c r="K22" s="15" t="str">
        <f>IF(J22="","",IF(J22=BK22,$AR$1,IF(J22=AN22,$U$1,"")))</f>
        <v>2018 Nationals</v>
      </c>
      <c r="L22" s="15" t="str">
        <f>IF($J22=$AN22,BI22,IF($J22=$BK22,AL22,MAX(AL22,BI22)))</f>
        <v/>
      </c>
      <c r="M22" s="15" t="str">
        <f>IF(L22="","",IF(AND(L22=BI22,$K22&lt;&gt;$AR$1),$AR$1,IF(AND(L22=AL22,$K22&lt;&gt;$U$1),$U$1,"")))</f>
        <v/>
      </c>
      <c r="N22" s="15" t="str">
        <f>IF($J22=$AN22,BJ22,IF($J22=$BK22,AM22,MAX(AM22,BJ22)))</f>
        <v/>
      </c>
      <c r="O22" s="15" t="str">
        <f>IF(N22="","",IF(AND(N22=BJ22,$K22&lt;&gt;$AR$1),$AR$1,IF(AND(N22=AM22,$K22&lt;&gt;$U$1),$U$1,"")))</f>
        <v/>
      </c>
      <c r="P22" s="15" t="str">
        <f>IF(MAX(AP22,BM22)&gt;0,MAX(AP22,BM22),"")</f>
        <v/>
      </c>
      <c r="Q22" s="15" t="str">
        <f>IF(P22="","",IF(P22=BM22,$AR$1,IF(P22=AP22,$U$1,"")))</f>
        <v/>
      </c>
      <c r="R22" s="15" t="str">
        <f>IF(MAX(BO22,BP22,BQ22,BR22)&gt;0,MAX(BO22,BP22,BQ22,BR22),"")</f>
        <v/>
      </c>
      <c r="S22" s="25" t="str">
        <f>IF(R22="","",IF(R22=BO22,"(Vol 1)",IF(R22=BP22,"(Vol 2)",IF(R22=BQ22,"(Prelim)",IF(R22=BR22,"(Final)")))))</f>
        <v/>
      </c>
      <c r="T22" s="15" t="str">
        <f>IF(R22="","",IF(R22=BO22,IF(R22+IF(L22="",0,L22)=LQ22,$LA$1,IF(R22+IF(L22="",0,L22)=KU22,$KE$1,IF(R22+IF(L22="",0,L22)=JY22,$JI$1,IF(R22+IF(L22="",0,L22)=JC22,$IM$1,IF(R22+IF(L22="",0,L22)=IG22,$HQ$1,IF(R22+IF(L22="",0,L22)=HK22,$GU$1,IF(R22+IF(L22="",0,L22)=GO22,$FY$1,IF(R22+IF(L22="",0,L22)=FS22,$FC$1,IF(R22+IF(L22="",0,L22)=EW22,$EG$1,IF(R22+IF(L22="",0,L22)=EA22,$DK$1,IF(R22+IF(L22="",0,L22)=DE22,$CO$1,IF(R22+IF(L22="",0,L22)=CI22,$BS$1)))))))))))),IF(R22=BP22,IF(R22+IF(N22="",0,N22)=LR22,$LA$1,IF(R22+IF(N22="",0,N22)=KV22,$KE$1,IF(R22+IF(N22="",0,N22)=JZ22,$JI$1,IF(R22+IF(N22="",0,N22)=JD22,$IM$1,IF(R22+IF(N22="",0,N22)=IH22,$HQ$1,IF(R22+IF(N22="",0,N22)=HL22,$GU$1,IF(R22+IF(N22="",0,N22)=GP22,$FY$1,IF(R22+IF(N22="",0,N22)=FT22,$FC$1,IF(R22+IF(N22="",0,N22)=EX22,$EG$1,IF(R22+IF(N22="",0,N22)=EB22,$DK$1,IF(R22+IF(N22="",0,N22)=DF22,$CO$1,IF(R22+IF(N22="",0,N22)=CJ22,$BS$1)))))))))))),IF(R22=BQ22,IF(R22+IF(J22="",0,J22)=LS22,$LA$1,IF(R22+IF(J22="",0,J22)=KW22,$KE$1,IF(R22+IF(J22="",0,J22)=KA22,$JI$1,IF(R22+IF(J22="",0,J22)=JE22,$IM$1,IF(R22+IF(J22="",0,J22)=II22,$HQ$1,IF(R22+IF(J22="",0,J22)=HM22,$GU$1,IF(R22+IF(J22="",0,J22)=GQ22,$FY$1,IF(R22+IF(J22="",0,J22)=FU22,$FC$1,IF(R22+IF(J22="",0,J22)=EY22,$EG$1,IF(R22+IF(J22="",0,J22)=EC22,$DK$1,IF(R22+IF(J22="",0,J22)=DG22,$CO$1,IF(R22+IF(J22="",0,J22)=CK22,$BS$1)))))))))))),IF(R22=BR22,IF(R22+IF(P22="",0,P22)=LU22,$LA$1,IF(R22+IF(P22="",0,P22)=KY22,$KE$1,IF(R22+IF(P22="",0,P22)=KC22,$JI$1,IF(R22+IF(P22="",0,P22)=JG22,$IM$1,IF(R22+IF(P22="",0,P22)=IK22,$HQ$1,IF(R22+IF(P22="",0,P22)=HO22,$GU$1,IF(R22+IF(P22="",0,P22)=GS22,$FY$1,IF(R22+IF(P22="",0,P22)=FW22,$FC$1,IF(R22+IF(P22="",0,P22)=FA22,$EG$1,IF(R22+IF(P22="",0,P22)=EE22,$DK$1,IF(R22+IF(P22="",0,P22)=DI22,$CO$1,IF(R22+IF(P22="",0,P22)=CM22,$BS$1)))))))))))))))))</f>
        <v/>
      </c>
      <c r="U22" s="63">
        <v>14.2</v>
      </c>
      <c r="V22" s="63">
        <v>8.85</v>
      </c>
      <c r="W22" s="63">
        <v>3.4</v>
      </c>
      <c r="X22" s="63">
        <v>15.63</v>
      </c>
      <c r="Y22" s="63">
        <v>0</v>
      </c>
      <c r="Z22" s="63">
        <v>5.3</v>
      </c>
      <c r="AA22" s="63">
        <v>3.45</v>
      </c>
      <c r="AB22" s="63">
        <v>5.2</v>
      </c>
      <c r="AC22" s="63">
        <v>6.22</v>
      </c>
      <c r="AD22" s="63">
        <v>0</v>
      </c>
      <c r="AE22" s="63"/>
      <c r="AF22" s="63"/>
      <c r="AG22" s="63"/>
      <c r="AH22" s="63"/>
      <c r="AI22" s="63"/>
      <c r="AJ22" s="74"/>
      <c r="AK22" s="12">
        <f>IF(AB22&gt;0,AB22,"")</f>
        <v>5.2</v>
      </c>
      <c r="AL22" s="12">
        <f>IF(SUM(U22:X22)-Y22&gt;0,SUM(U22:X22)-Y22,"")</f>
        <v>42.08</v>
      </c>
      <c r="AM22" s="12">
        <f>IF(SUM(Z22:AC22)-AD22&gt;0,SUM(Z22:AC22)-AD22,"")</f>
        <v>20.169999999999998</v>
      </c>
      <c r="AN22" s="12">
        <f>IF(SUM(AL22:AM22)&gt;0,SUM(AL22:AM22),"")</f>
        <v>62.25</v>
      </c>
      <c r="AO22" s="12" t="str">
        <f>IF(AG22&gt;0,AG22,"")</f>
        <v/>
      </c>
      <c r="AP22" s="12" t="str">
        <f>IF(SUM(AE22:AH22)-AI22&gt;0,SUM(AE22:AH22)-AI22,"")</f>
        <v/>
      </c>
      <c r="AQ22" s="12">
        <f>IF(SUM(AN22,AP22)&gt;0,SUM(AN22,AP22),"")</f>
        <v>62.25</v>
      </c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75"/>
      <c r="BH22" s="15" t="str">
        <f>IF(AY22&gt;0,AY22,"")</f>
        <v/>
      </c>
      <c r="BI22" s="15" t="str">
        <f>IF(SUM(AR22:AU22)-AV22&gt;0,SUM(AR22:AU22)-AV22,"")</f>
        <v/>
      </c>
      <c r="BJ22" s="15" t="str">
        <f>IF(SUM(AW22:AZ22)-BA22&gt;0,SUM(AW22:AZ22)-BA22,"")</f>
        <v/>
      </c>
      <c r="BK22" s="15" t="str">
        <f>IF(SUM(BI22:BJ22)&gt;0,SUM(BI22:BJ22),"")</f>
        <v/>
      </c>
      <c r="BL22" s="15" t="str">
        <f>IF(BD22&gt;0,BD22,"")</f>
        <v/>
      </c>
      <c r="BM22" s="15" t="str">
        <f>IF(SUM(BB22:BE22)-BF22&gt;0,SUM(BB22:BE22)-BF22,"")</f>
        <v/>
      </c>
      <c r="BN22" s="15" t="str">
        <f>IF(SUM(BK22,BM22)&gt;0,SUM(BK22,BM22),"")</f>
        <v/>
      </c>
      <c r="BO22" s="24" t="str">
        <f>IF(MAX(CI22,DE22,EA22,EW22,FS22,GO22,HK22,IG22,JC22,JY22,KU22,LQ22)-IF(L22="",0,L22)&gt;0.001,MAX(CI22,DE22,EA22,EW22,FS22,GO22,HK22,IG22,JC22,JY22,KU22,LQ22)-IF(L22="",0,L22),"")</f>
        <v/>
      </c>
      <c r="BP22" s="24" t="str">
        <f>IF(MAX(CJ22,DF22,EB22,EX22,FT22,GP22,HL22,IH22,JD22,JZ22,KV22,LR22)-IF(N22="",0,N22)&gt;0.001,MAX(CJ22,DF22,EB22,EX22,FT22,GP22,HL22,IH22,JD22,JZ22,KV22,LR22)-IF(N22="",0,N22),"")</f>
        <v/>
      </c>
      <c r="BQ22" s="24" t="str">
        <f>IF(MAX(CK22,DG22,EC22,EY22,FU22,GQ22,HM22,II22,JE22,KA22,KW22,LS22)-IF(J22="",0,J22)&gt;0.001,MAX(CK22,DG22,EC22,EY22,FU22,GQ22,HM22,II22,JE22,KA22,KW22,LS22)-IF(J22="",0,J22),"")</f>
        <v/>
      </c>
      <c r="BR22" s="24" t="str">
        <f>IF(MAX(CM22,DI22,EE22,FA22,FW22,GS22,HO22,IK22,JG22,KC22,KY22,LU22)-IF(P22="",0,P22)&gt;0.001,MAX(CM22,DI22,EE22,FA22,FW22,GS22,HO22,IK22,JG22,KC22,KY22,LU22)-IF(P22="",0,P22),"")</f>
        <v/>
      </c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12" t="str">
        <f>IF(BZ22&gt;0,BZ22,"")</f>
        <v/>
      </c>
      <c r="CI22" s="12" t="str">
        <f>IF(SUM(BS22:BV22)-BW22&gt;0,SUM(BS22:BV22)-BW22,"")</f>
        <v/>
      </c>
      <c r="CJ22" s="12" t="str">
        <f>IF(SUM(BX22:CA22)-CB22&gt;0,SUM(BX22:CA22)-CB22,"")</f>
        <v/>
      </c>
      <c r="CK22" s="12" t="str">
        <f>IF(SUM(CI22:CJ22)&gt;0,SUM(CI22:CJ22),"")</f>
        <v/>
      </c>
      <c r="CL22" s="12" t="str">
        <f>IF(CE22&gt;0,CE22,"")</f>
        <v/>
      </c>
      <c r="CM22" s="12" t="str">
        <f>IF(SUM(CC22:CF22)-CG22&gt;0,SUM(CC22:CF22)-CG22,"")</f>
        <v/>
      </c>
      <c r="CN22" s="12" t="str">
        <f>IF(SUM(CK22,CM22)&gt;0,SUM(CK22,CM22),"")</f>
        <v/>
      </c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15" t="str">
        <f>IF(CV22&gt;0,CV22,"")</f>
        <v/>
      </c>
      <c r="DE22" s="15" t="str">
        <f>IF(SUM(CO22:CR22)-CS22&gt;0,SUM(CO22:CR22)-CS22,"")</f>
        <v/>
      </c>
      <c r="DF22" s="15" t="str">
        <f>IF(SUM(CT22:CW22)-CX22&gt;0,SUM(CT22:CW22)-CX22,"")</f>
        <v/>
      </c>
      <c r="DG22" s="15" t="str">
        <f>IF(SUM(DE22:DF22)&gt;0,SUM(DE22:DF22),"")</f>
        <v/>
      </c>
      <c r="DH22" s="15" t="str">
        <f>IF(DA22&gt;0,DA22,"")</f>
        <v/>
      </c>
      <c r="DI22" s="15" t="str">
        <f>IF(SUM(CY22:DB22)-DC22&gt;0,SUM(CY22:DB22)-DC22,"")</f>
        <v/>
      </c>
      <c r="DJ22" s="15" t="str">
        <f>IF(SUM(DG22,DI22)&gt;0,SUM(DG22,DI22),"")</f>
        <v/>
      </c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  <c r="DW22" s="36"/>
      <c r="DX22" s="36"/>
      <c r="DY22" s="36"/>
      <c r="DZ22" s="12" t="str">
        <f>IF(DR22&gt;0,DR22,"")</f>
        <v/>
      </c>
      <c r="EA22" s="12" t="str">
        <f>IF(SUM(DK22:DN22)-DO22&gt;0,SUM(DK22:DN22)-DO22,"")</f>
        <v/>
      </c>
      <c r="EB22" s="12" t="str">
        <f>IF(SUM(DP22:DS22)-DT22&gt;0,SUM(DP22:DS22)-DT22,"")</f>
        <v/>
      </c>
      <c r="EC22" s="12" t="str">
        <f>IF(SUM(EA22:EB22)&gt;0,SUM(EA22:EB22),"")</f>
        <v/>
      </c>
      <c r="ED22" s="12" t="str">
        <f>IF(DW22&gt;0,DW22,"")</f>
        <v/>
      </c>
      <c r="EE22" s="12" t="str">
        <f>IF(SUM(DU22:DX22)-DY22&gt;0,SUM(DU22:DX22)-DY22,"")</f>
        <v/>
      </c>
      <c r="EF22" s="12" t="str">
        <f>IF(SUM(EC22,EE22)&gt;0,SUM(EC22,EE22),"")</f>
        <v/>
      </c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15" t="str">
        <f>IF(EN22&gt;0,EN22,"")</f>
        <v/>
      </c>
      <c r="EW22" s="15" t="str">
        <f>IF(SUM(EG22:EJ22)-EK22&gt;0,SUM(EG22:EJ22)-EK22,"")</f>
        <v/>
      </c>
      <c r="EX22" s="15" t="str">
        <f>IF(SUM(EL22:EO22)-EP22&gt;0,SUM(EL22:EO22)-EP22,"")</f>
        <v/>
      </c>
      <c r="EY22" s="15" t="str">
        <f>IF(SUM(EW22:EX22)&gt;0,SUM(EW22:EX22),"")</f>
        <v/>
      </c>
      <c r="EZ22" s="15" t="str">
        <f>IF(ES22&gt;0,ES22,"")</f>
        <v/>
      </c>
      <c r="FA22" s="15" t="str">
        <f>IF(SUM(EQ22:ET22)-EU22&gt;0,SUM(EQ22:ET22)-EU22,"")</f>
        <v/>
      </c>
      <c r="FB22" s="15" t="str">
        <f>IF(SUM(EY22,FA22)&gt;0,SUM(EY22,FA22),"")</f>
        <v/>
      </c>
      <c r="FC22" s="36"/>
      <c r="FD22" s="36"/>
      <c r="FE22" s="36"/>
      <c r="FF22" s="36"/>
      <c r="FG22" s="36"/>
      <c r="FH22" s="36"/>
      <c r="FI22" s="36"/>
      <c r="FJ22" s="36"/>
      <c r="FK22" s="36"/>
      <c r="FL22" s="36"/>
      <c r="FM22" s="36"/>
      <c r="FN22" s="36"/>
      <c r="FO22" s="36"/>
      <c r="FP22" s="36"/>
      <c r="FQ22" s="36"/>
      <c r="FR22" s="12" t="str">
        <f>IF(FJ22&gt;0,FJ22,"")</f>
        <v/>
      </c>
      <c r="FS22" s="12" t="str">
        <f>IF(SUM(FC22:FF22)-FG22&gt;0,SUM(FC22:FF22)-FG22,"")</f>
        <v/>
      </c>
      <c r="FT22" s="12" t="str">
        <f>IF(SUM(FH22:FK22)-FL22&gt;0,SUM(FH22:FK22)-FL22,"")</f>
        <v/>
      </c>
      <c r="FU22" s="12" t="str">
        <f>IF(SUM(FS22:FT22)&gt;0,SUM(FS22:FT22),"")</f>
        <v/>
      </c>
      <c r="FV22" s="12" t="str">
        <f>IF(FO22&gt;0,FO22,"")</f>
        <v/>
      </c>
      <c r="FW22" s="12" t="str">
        <f>IF(SUM(FM22:FP22)-FQ22&gt;0,SUM(FM22:FP22)-FQ22,"")</f>
        <v/>
      </c>
      <c r="FX22" s="12" t="str">
        <f>IF(SUM(FU22,FW22)&gt;0,SUM(FU22,FW22),"")</f>
        <v/>
      </c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15" t="str">
        <f>IF(GF22&gt;0,GF22,"")</f>
        <v/>
      </c>
      <c r="GO22" s="15" t="str">
        <f>IF(SUM(FY22:GB22)-GC22&gt;0,SUM(FY22:GB22)-GC22,"")</f>
        <v/>
      </c>
      <c r="GP22" s="15" t="str">
        <f>IF(SUM(GD22:GG22)-GH22&gt;0,SUM(GD22:GG22)-GH22,"")</f>
        <v/>
      </c>
      <c r="GQ22" s="15" t="str">
        <f>IF(SUM(GO22:GP22)&gt;0,SUM(GO22:GP22),"")</f>
        <v/>
      </c>
      <c r="GR22" s="15" t="str">
        <f>IF(GK22&gt;0,GK22,"")</f>
        <v/>
      </c>
      <c r="GS22" s="15" t="str">
        <f>IF(SUM(GI22:GL22)-GM22&gt;0,SUM(GI22:GL22)-GM22,"")</f>
        <v/>
      </c>
      <c r="GT22" s="15" t="str">
        <f>IF(SUM(GQ22,GS22)&gt;0,SUM(GQ22,GS22),"")</f>
        <v/>
      </c>
      <c r="GU22" s="36"/>
      <c r="GV22" s="36"/>
      <c r="GW22" s="36"/>
      <c r="GX22" s="36"/>
      <c r="GY22" s="36"/>
      <c r="GZ22" s="36"/>
      <c r="HA22" s="36"/>
      <c r="HB22" s="36"/>
      <c r="HC22" s="36"/>
      <c r="HD22" s="36"/>
      <c r="HE22" s="36"/>
      <c r="HF22" s="36"/>
      <c r="HG22" s="36"/>
      <c r="HH22" s="36"/>
      <c r="HI22" s="36"/>
      <c r="HJ22" s="12" t="str">
        <f>IF(HB22&gt;0,HB22,"")</f>
        <v/>
      </c>
      <c r="HK22" s="12" t="str">
        <f>IF(SUM(GU22:GX22)-GY22&gt;0,SUM(GU22:GX22)-GY22,"")</f>
        <v/>
      </c>
      <c r="HL22" s="12" t="str">
        <f>IF(SUM(GZ22:HC22)-HD22&gt;0,SUM(GZ22:HC22)-HD22,"")</f>
        <v/>
      </c>
      <c r="HM22" s="12" t="str">
        <f>IF(SUM(HK22:HL22)&gt;0,SUM(HK22:HL22),"")</f>
        <v/>
      </c>
      <c r="HN22" s="12" t="str">
        <f>IF(HG22&gt;0,HG22,"")</f>
        <v/>
      </c>
      <c r="HO22" s="12" t="str">
        <f>IF(SUM(HE22:HH22)-HI22&gt;0,SUM(HE22:HH22)-HI22,"")</f>
        <v/>
      </c>
      <c r="HP22" s="12" t="str">
        <f>IF(SUM(HM22,HO22)&gt;0,SUM(HM22,HO22),"")</f>
        <v/>
      </c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15" t="str">
        <f>IF(HX22&gt;0,HX22,"")</f>
        <v/>
      </c>
      <c r="IG22" s="15" t="str">
        <f>IF(SUM(HQ22:HT22)-HU22&gt;0,SUM(HQ22:HT22)-HU22,"")</f>
        <v/>
      </c>
      <c r="IH22" s="15" t="str">
        <f>IF(SUM(HV22:HY22)-HZ22&gt;0,SUM(HV22:HY22)-HZ22,"")</f>
        <v/>
      </c>
      <c r="II22" s="15" t="str">
        <f>IF(SUM(IG22:IH22)&gt;0,SUM(IG22:IH22),"")</f>
        <v/>
      </c>
      <c r="IJ22" s="15" t="str">
        <f>IF(IC22&gt;0,IC22,"")</f>
        <v/>
      </c>
      <c r="IK22" s="15" t="str">
        <f>IF(SUM(IA22:ID22)-IE22&gt;0,SUM(IA22:ID22)-IE22,"")</f>
        <v/>
      </c>
      <c r="IL22" s="15" t="str">
        <f>IF(SUM(II22,IK22)&gt;0,SUM(II22,IK22),"")</f>
        <v/>
      </c>
      <c r="IM22" s="36"/>
      <c r="IN22" s="36"/>
      <c r="IO22" s="36"/>
      <c r="IP22" s="36"/>
      <c r="IQ22" s="36"/>
      <c r="IR22" s="36"/>
      <c r="IS22" s="36"/>
      <c r="IT22" s="36"/>
      <c r="IU22" s="36"/>
      <c r="IV22" s="36"/>
      <c r="IW22" s="36"/>
      <c r="IX22" s="36"/>
      <c r="IY22" s="36"/>
      <c r="IZ22" s="36"/>
      <c r="JA22" s="36"/>
      <c r="JB22" s="12" t="str">
        <f>IF(IT22&gt;0,IT22,"")</f>
        <v/>
      </c>
      <c r="JC22" s="12" t="str">
        <f>IF(SUM(IM22:IP22)-IQ22&gt;0,SUM(IM22:IP22)-IQ22,"")</f>
        <v/>
      </c>
      <c r="JD22" s="12" t="str">
        <f>IF(SUM(IR22:IU22)-IV22&gt;0,SUM(IR22:IU22)-IV22,"")</f>
        <v/>
      </c>
      <c r="JE22" s="12" t="str">
        <f>IF(SUM(JC22:JD22)&gt;0,SUM(JC22:JD22),"")</f>
        <v/>
      </c>
      <c r="JF22" s="12" t="str">
        <f>IF(IY22&gt;0,IY22,"")</f>
        <v/>
      </c>
      <c r="JG22" s="12" t="str">
        <f>IF(SUM(IW22:IZ22)-JA22&gt;0,SUM(IW22:IZ22)-JA22,"")</f>
        <v/>
      </c>
      <c r="JH22" s="12" t="str">
        <f>IF(SUM(JE22,JG22)&gt;0,SUM(JE22,JG22),"")</f>
        <v/>
      </c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15" t="str">
        <f>IF(JP22&gt;0,JP22,"")</f>
        <v/>
      </c>
      <c r="JY22" s="15" t="str">
        <f>IF(SUM(JI22:JL22)-JM22&gt;0,SUM(JI22:JL22)-JM22,"")</f>
        <v/>
      </c>
      <c r="JZ22" s="15" t="str">
        <f>IF(SUM(JN22:JQ22)-JR22&gt;0,SUM(JN22:JQ22)-JR22,"")</f>
        <v/>
      </c>
      <c r="KA22" s="15" t="str">
        <f>IF(SUM(JY22:JZ22)&gt;0,SUM(JY22:JZ22),"")</f>
        <v/>
      </c>
      <c r="KB22" s="15" t="str">
        <f>IF(JU22&gt;0,JU22,"")</f>
        <v/>
      </c>
      <c r="KC22" s="15" t="str">
        <f>IF(SUM(JS22:JV22)-JW22&gt;0,SUM(JS22:JV22)-JW22,"")</f>
        <v/>
      </c>
      <c r="KD22" s="15" t="str">
        <f>IF(SUM(KA22,KC22)&gt;0,SUM(KA22,KC22),"")</f>
        <v/>
      </c>
      <c r="KE22" s="36"/>
      <c r="KF22" s="36"/>
      <c r="KG22" s="36"/>
      <c r="KH22" s="36"/>
      <c r="KI22" s="36"/>
      <c r="KJ22" s="36"/>
      <c r="KK22" s="36"/>
      <c r="KL22" s="36"/>
      <c r="KM22" s="36"/>
      <c r="KN22" s="36"/>
      <c r="KO22" s="36"/>
      <c r="KP22" s="36"/>
      <c r="KQ22" s="36"/>
      <c r="KR22" s="36"/>
      <c r="KS22" s="36"/>
      <c r="KT22" s="12" t="str">
        <f>IF(KL22&gt;0,KL22,"")</f>
        <v/>
      </c>
      <c r="KU22" s="12" t="str">
        <f>IF(SUM(KE22:KH22)-KI22&gt;0,SUM(KE22:KH22)-KI22,"")</f>
        <v/>
      </c>
      <c r="KV22" s="12" t="str">
        <f>IF(SUM(KJ22:KM22)-KN22&gt;0,SUM(KJ22:KM22)-KN22,"")</f>
        <v/>
      </c>
      <c r="KW22" s="12" t="str">
        <f>IF(SUM(KU22:KV22)&gt;0,SUM(KU22:KV22),"")</f>
        <v/>
      </c>
      <c r="KX22" s="12" t="str">
        <f>IF(KQ22&gt;0,KQ22,"")</f>
        <v/>
      </c>
      <c r="KY22" s="12" t="str">
        <f>IF(SUM(KO22:KR22)-KS22&gt;0,SUM(KO22:KR22)-KS22,"")</f>
        <v/>
      </c>
      <c r="KZ22" s="12" t="str">
        <f>IF(SUM(KW22,KY22)&gt;0,SUM(KW22,KY22),"")</f>
        <v/>
      </c>
      <c r="LA22" s="37"/>
      <c r="LB22" s="37"/>
      <c r="LC22" s="37"/>
      <c r="LD22" s="37"/>
      <c r="LE22" s="37"/>
      <c r="LF22" s="37"/>
      <c r="LG22" s="37"/>
      <c r="LH22" s="37"/>
      <c r="LI22" s="37"/>
      <c r="LJ22" s="37"/>
      <c r="LK22" s="37"/>
      <c r="LL22" s="37"/>
      <c r="LM22" s="37"/>
      <c r="LN22" s="37"/>
      <c r="LO22" s="37"/>
      <c r="LP22" s="15" t="str">
        <f>IF(LH22&gt;0,LH22,"")</f>
        <v/>
      </c>
      <c r="LQ22" s="15" t="str">
        <f>IF(SUM(LA22:LD22)-LE22&gt;0,SUM(LA22:LD22)-LE22,"")</f>
        <v/>
      </c>
      <c r="LR22" s="15" t="str">
        <f>IF(SUM(LF22:LI22)-LJ22&gt;0,SUM(LF22:LI22)-LJ22,"")</f>
        <v/>
      </c>
      <c r="LS22" s="15" t="str">
        <f>IF(SUM(LQ22:LR22)&gt;0,SUM(LQ22:LR22),"")</f>
        <v/>
      </c>
      <c r="LT22" s="15" t="str">
        <f>IF(LM22&gt;0,LM22,"")</f>
        <v/>
      </c>
      <c r="LU22" s="15" t="str">
        <f>IF(SUM(LK22:LN22)-LO22&gt;0,SUM(LK22:LN22)-LO22,"")</f>
        <v/>
      </c>
      <c r="LV22" s="15" t="str">
        <f>IF(SUM(LS22,LU22)&gt;0,SUM(LS22,LU22),"")</f>
        <v/>
      </c>
      <c r="LW22" s="63">
        <f t="shared" si="7"/>
        <v>7.1</v>
      </c>
      <c r="LX22" s="63">
        <f t="shared" si="8"/>
        <v>4.4249999999999998</v>
      </c>
      <c r="LY22" s="63">
        <f t="shared" si="9"/>
        <v>1.7</v>
      </c>
      <c r="LZ22" s="63">
        <f t="shared" si="10"/>
        <v>7.8150000000000004</v>
      </c>
      <c r="MA22" s="63">
        <f t="shared" si="11"/>
        <v>0</v>
      </c>
      <c r="MB22" s="63">
        <f t="shared" si="12"/>
        <v>2.65</v>
      </c>
      <c r="MC22" s="63">
        <f t="shared" si="13"/>
        <v>1.7250000000000001</v>
      </c>
      <c r="MD22" s="63">
        <f t="shared" si="14"/>
        <v>2.6</v>
      </c>
      <c r="ME22" s="63">
        <f t="shared" si="15"/>
        <v>3.11</v>
      </c>
      <c r="MF22" s="63">
        <f t="shared" si="16"/>
        <v>0</v>
      </c>
      <c r="MG22" s="63">
        <f t="shared" si="17"/>
        <v>0</v>
      </c>
      <c r="MH22" s="63">
        <f t="shared" si="18"/>
        <v>0</v>
      </c>
      <c r="MI22" s="63">
        <f t="shared" si="19"/>
        <v>0</v>
      </c>
      <c r="MJ22" s="63">
        <f t="shared" si="20"/>
        <v>0</v>
      </c>
      <c r="MK22" s="63">
        <f t="shared" si="21"/>
        <v>0</v>
      </c>
      <c r="ML22" s="74" t="s">
        <v>119</v>
      </c>
      <c r="MM22" s="12">
        <f t="shared" ref="MM22" si="29">IF(MD22&gt;0,MD22,"")</f>
        <v>2.6</v>
      </c>
      <c r="MN22" s="12">
        <f t="shared" ref="MN22" si="30">IF(SUM(LW22:LZ22)-MA22&gt;0,SUM(LW22:LZ22)-MA22,"")</f>
        <v>21.04</v>
      </c>
      <c r="MO22" s="12">
        <f t="shared" ref="MO22" si="31">IF(SUM(MB22:ME22)-MF22&gt;0,SUM(MB22:ME22)-MF22,"")</f>
        <v>10.084999999999999</v>
      </c>
      <c r="MP22" s="12">
        <f t="shared" ref="MP22" si="32">IF(SUM(MN22:MO22)&gt;0,SUM(MN22:MO22),"")</f>
        <v>31.125</v>
      </c>
      <c r="MQ22" s="12" t="str">
        <f t="shared" si="26"/>
        <v/>
      </c>
      <c r="MR22" s="12" t="str">
        <f t="shared" ref="MR22" si="33">IF(SUM(MG22:MJ22)-MK22&gt;0,SUM(MG22:MJ22)-MK22,"")</f>
        <v/>
      </c>
      <c r="MS22" s="12">
        <f t="shared" ref="MS22" si="34">IF(SUM(MP22,MR22)&gt;0,SUM(MP22,MR22),"")</f>
        <v>31.125</v>
      </c>
    </row>
    <row r="23" spans="1:357" x14ac:dyDescent="0.2">
      <c r="A23" s="6" t="str">
        <f>IF(AND(F23="P",H23="P"),SUMPRODUCT((F$4:F$24="P")*(H$4:H$24="P")*(E$4:E$24&gt;E23))+1,IF(H23="P",SUMPRODUCT((F$4:F$24="")*(H$4:H$24="P")*(E$4:E$24&gt;E23))+1+SUMPRODUCT((F$4:F$24="P")*(H$4:H$24="P")),""))</f>
        <v/>
      </c>
      <c r="B23" s="7" t="s">
        <v>85</v>
      </c>
      <c r="C23" s="8" t="s">
        <v>3</v>
      </c>
      <c r="D23" s="27">
        <v>2000</v>
      </c>
      <c r="E23" s="16">
        <f>SUM(J23:R23)</f>
        <v>51.355000000000004</v>
      </c>
      <c r="F23" s="4" t="str">
        <f>IF(OR(AND($AK23&gt;=$AL$26,NOT($AK23=""),$AJ23=""),AND($BH23&gt;=$BI$26,NOT($BH23=""),$BG23=""),AND($CH23&gt;=$CI$26,NOT($CH23="")),AND($DD23&gt;=$DE$26,NOT($DD23="")),AND($DZ23&gt;=$EA$26,NOT($DZ23="")),AND($EV23&gt;=$EW$26,NOT($EV23="")),AND($FR23&gt;=$FS$26,NOT($FR23="")),AND($GN23&gt;=$GO$26,NOT($GN23="")),AND($HJ23&gt;=$HK$26,NOT($HJ23="")),AND($IF23&gt;=$IG$26,NOT($IF23="")),AND($JB23&gt;=$JC$26,NOT($JB23="")),AND($JX23&gt;=$JY$26,NOT($JX23="")),AND($KT23&gt;=$KU$26,NOT($KT23="")),AND($LP23&gt;=$LQ$26,NOT($LP23=""))),"P","")</f>
        <v/>
      </c>
      <c r="G23" s="4" t="str">
        <f>IF(OR(AND($AK23&gt;=$AL$27,NOT($AK23=""),$AJ23=""),AND($BH23&gt;=$BI$27,NOT($BH23=""),$BG23=""),AND($CH23&gt;=$CI$27,NOT($CH23="")),AND($DD23&gt;=$DE$27,NOT($DD23="")),AND($DZ23&gt;=$EA$27,NOT($DZ23="")),AND($EV23&gt;=$EW$27,NOT($EV23="")),AND($FR23&gt;=$FS$27,NOT($FR23="")),AND($GN23&gt;=$GO$27,NOT($GN23="")),AND($HJ23&gt;=$HK$27,NOT($HJ23="")),AND($IF23&gt;=$IG$27,NOT($IF23="")),AND($JB23&gt;=$JC$27,NOT($JB23="")),AND($JX23&gt;=$JY$27,NOT($JX23="")),AND($KT23&gt;=$KU$27,NOT($KT23="")),AND($LP23&gt;=$LQ$27,NOT($LP23=""))),"P","")</f>
        <v/>
      </c>
      <c r="H23" s="4" t="str">
        <f>IF(OR(AND($AN23&gt;=$AL$28,NOT($AN23=""),$AJ23=""),AND($BK23&gt;=$BI$28,NOT($BK23=""),$BG23=""),AND($CK23&gt;=$CI$28,NOT($CK23="")),AND($DG23&gt;=$DE$28,NOT($DG23="")),AND($EC23&gt;=$EA$28,NOT($EC23="")),AND($EY23&gt;=$EW$28,NOT($EY23="")),AND($FU23&gt;=$FS$28,NOT($FU23="")),AND($GQ23&gt;=$GO$28,NOT($GQ23="")),AND($HM23&gt;=$HK$28,NOT($HM23="")),AND($II23&gt;=$IG$28,NOT($II23="")),AND($JE23&gt;=$JC$28,NOT($JE23="")),AND($KA23&gt;=$JY$28,NOT($KA23="")),AND($KW23&gt;=$KU$28,NOT($KW23="")),AND($LS23&gt;=$LQ$28,NOT($LS23=""))),"P","")</f>
        <v/>
      </c>
      <c r="I23" t="str">
        <f>IF(AND(H23="P",F23=""),"No DD",IF(AND(G23="P",OR(AND($AM23&gt;$AL$31,NOT($AM23=""),$AJ23=""),AND($AP23&gt;$AL$31,NOT($AP23=""),$AJ23=""),AND($BJ23&gt;$BI$31,NOT($BJ23=""),$BG23=""),AND($BM23&gt;$BI$31,NOT($BM23=""),$BG23=""),AND($CJ23&gt;$CI$31,NOT($CJ23="")),AND($CM23&gt;$CI$31,NOT($CM23="")),AND($DF23&gt;$DE$31,NOT($DF23="")),AND($DI23&gt;$DE$31,NOT($DI23="")),AND($EB23&gt;$EA$31,NOT($EB23="")),AND($EE23&gt;$EA$31,NOT($EE23="")),AND($EX23&gt;$EW$31,NOT($EX23="")),AND($FA23&gt;$EW$31,NOT($FA23="")),AND($FT23&gt;$FS$31,NOT($FT23="")),AND($FW23&gt;$FS$31,NOT($FW23="")),AND($GP23&gt;$GO$31,NOT($GP23="")),AND($GS23&gt;$GO$31,NOT($GS23="")),AND($HL23&gt;$HK$31,NOT($HL23="")),AND($HO23&gt;$HK$31,NOT($HO23="")),AND($IH23&gt;$IG$31,NOT($IH23="")),AND($IK23&gt;$IG$31,NOT($IK23="")),AND($JD23&gt;$JC$31,NOT($JD23="")),AND($JG23&gt;$JC$31,NOT($JG23="")),AND($JZ23&gt;$JY$31,NOT($JZ23="")),AND($KC23&gt;$JY$31,NOT($KC23="")),AND($KV23&gt;$KU$31,NOT($KV23="")),AND($KY23&gt;$KU$31,NOT($KY23="")),AND($LR23&gt;$LQ$31,NOT($LR23="")),AND($LU23&gt;$LQ$31,NOT($LU23="")))),"Merit",IF(AND(G23="P",OR(AND($AN23&gt;$AL$30,NOT($AN23=""),$AJ23=""),AND($BK23&gt;$BI$30,NOT($BK23=""),$BG23=""),AND($CK23&gt;$CI$30,NOT($CK23="")),AND($DG23&gt;$DE$30,NOT($DG23="")),AND($EC23&gt;$EA$30,NOT($EC23="")),AND($EY23&gt;$EW$30,NOT($EY23="")),AND($FU23&gt;$FS$30,NOT($FU23="")),AND($GQ23&gt;$GO$30,NOT($GQ23="")),AND($HM23&gt;$HK$30,NOT($HM23="")),AND($II23&gt;$IG$30,NOT($II23="")),AND($JE23&gt;$JC$30,NOT($JE23="")),AND($KA23&gt;$JY$30,NOT($KA23="")),AND($KW23&gt;$KU$30,NOT($KW23="")),AND($LS23&gt;$LQ$30,NOT($LS23="")))),"Excellence",IF(AND(G23="P",OR(AND($AN23&gt;$AL$29,NOT($AN23=""),$AJ23=""),AND($BK23&gt;$BI$29,NOT($BK23=""),$BG23=""),AND($CK23&gt;$CI$29,NOT($CK23="")),AND($DG23&gt;$DE$29,NOT($DG23="")),AND($EC23&gt;$EA$29,NOT($EC23="")),AND($EY23&gt;$EW$29,NOT($EY23="")),AND($FU23&gt;$FS$29,NOT($FU23="")),AND($GQ23&gt;$GO$29,NOT($GQ23="")),AND($HM23&gt;$HK$29,NOT($HM23="")),AND($II23&gt;$IG$29,NOT($II23="")),AND($JE23&gt;$JC$29,NOT($JE23="")),AND($KA23&gt;$JY$29,NOT($KA23="")),AND($KW23&gt;$KU$29,NOT($KW23="")),AND($LS23&gt;$LQ$29,NOT($LS23="")))),"Worlds Team",IF(AND(F23="P",OR(AND($AN23&gt;$AL$28,NOT($AN23=""),$AJ23=""),AND($BK23&gt;$BI$28,NOT($BK23=""),$BG23=""),AND($CK23&gt;$CI$28,NOT($CK23="")),AND($DG23&gt;$DE$28,NOT($DG23="")),AND($EC23&gt;$EA$28,NOT($EC23="")),AND($EY23&gt;$EW$28,NOT($EY23="")),AND($FU23&gt;$FS$28,NOT($FU23="")),AND($GQ23&gt;$GO$28,NOT($GQ23="")),AND($HM23&gt;$HK$28,NOT($HM23="")),AND($II23&gt;$IG$28,NOT($II23="")),AND($JE23&gt;$JC$28,NOT($JE23="")),AND($KA23&gt;$JY$28,NOT($KA23="")),AND($KW23&gt;$KU$28,NOT($KW23="")),AND($LS23&gt;$LQ$28,NOT($LS23="")))),"National Team","")))))</f>
        <v/>
      </c>
      <c r="J23" s="15">
        <f>IF(MAX(AN23,BK23)&gt;0,MAX(AN23,BK23),"")</f>
        <v>51.355000000000004</v>
      </c>
      <c r="K23" s="15" t="str">
        <f>IF(J23="","",IF(J23=BK23,$AR$1,IF(J23=AN23,$U$1,"")))</f>
        <v>2018 Nationals</v>
      </c>
      <c r="L23" s="15" t="str">
        <f>IF($J23=$AN23,BI23,IF($J23=$BK23,AL23,MAX(AL23,BI23)))</f>
        <v/>
      </c>
      <c r="M23" s="15" t="str">
        <f>IF(L23="","",IF(AND(L23=BI23,$K23&lt;&gt;$AR$1),$AR$1,IF(AND(L23=AL23,$K23&lt;&gt;$U$1),$U$1,"")))</f>
        <v/>
      </c>
      <c r="N23" s="15" t="str">
        <f>IF($J23=$AN23,BJ23,IF($J23=$BK23,AM23,MAX(AM23,BJ23)))</f>
        <v/>
      </c>
      <c r="O23" s="15" t="str">
        <f>IF(N23="","",IF(AND(N23=BJ23,$K23&lt;&gt;$AR$1),$AR$1,IF(AND(N23=AM23,$K23&lt;&gt;$U$1),$U$1,"")))</f>
        <v/>
      </c>
      <c r="P23" s="15" t="str">
        <f>IF(MAX(AP23,BM23)&gt;0,MAX(AP23,BM23),"")</f>
        <v/>
      </c>
      <c r="Q23" s="15" t="str">
        <f>IF(P23="","",IF(P23=BM23,$AR$1,IF(P23=AP23,$U$1,"")))</f>
        <v/>
      </c>
      <c r="R23" s="15" t="str">
        <f>IF(MAX(BO23,BP23,BQ23,BR23)&gt;0,MAX(BO23,BP23,BQ23,BR23),"")</f>
        <v/>
      </c>
      <c r="S23" s="25" t="str">
        <f>IF(R23="","",IF(R23=BO23,"(Vol 1)",IF(R23=BP23,"(Vol 2)",IF(R23=BQ23,"(Prelim)",IF(R23=BR23,"(Final)")))))</f>
        <v/>
      </c>
      <c r="T23" s="15" t="str">
        <f>IF(R23="","",IF(R23=BO23,IF(R23+IF(L23="",0,L23)=LQ23,$LA$1,IF(R23+IF(L23="",0,L23)=KU23,$KE$1,IF(R23+IF(L23="",0,L23)=JY23,$JI$1,IF(R23+IF(L23="",0,L23)=JC23,$IM$1,IF(R23+IF(L23="",0,L23)=IG23,$HQ$1,IF(R23+IF(L23="",0,L23)=HK23,$GU$1,IF(R23+IF(L23="",0,L23)=GO23,$FY$1,IF(R23+IF(L23="",0,L23)=FS23,$FC$1,IF(R23+IF(L23="",0,L23)=EW23,$EG$1,IF(R23+IF(L23="",0,L23)=EA23,$DK$1,IF(R23+IF(L23="",0,L23)=DE23,$CO$1,IF(R23+IF(L23="",0,L23)=CI23,$BS$1)))))))))))),IF(R23=BP23,IF(R23+IF(N23="",0,N23)=LR23,$LA$1,IF(R23+IF(N23="",0,N23)=KV23,$KE$1,IF(R23+IF(N23="",0,N23)=JZ23,$JI$1,IF(R23+IF(N23="",0,N23)=JD23,$IM$1,IF(R23+IF(N23="",0,N23)=IH23,$HQ$1,IF(R23+IF(N23="",0,N23)=HL23,$GU$1,IF(R23+IF(N23="",0,N23)=GP23,$FY$1,IF(R23+IF(N23="",0,N23)=FT23,$FC$1,IF(R23+IF(N23="",0,N23)=EX23,$EG$1,IF(R23+IF(N23="",0,N23)=EB23,$DK$1,IF(R23+IF(N23="",0,N23)=DF23,$CO$1,IF(R23+IF(N23="",0,N23)=CJ23,$BS$1)))))))))))),IF(R23=BQ23,IF(R23+IF(J23="",0,J23)=LS23,$LA$1,IF(R23+IF(J23="",0,J23)=KW23,$KE$1,IF(R23+IF(J23="",0,J23)=KA23,$JI$1,IF(R23+IF(J23="",0,J23)=JE23,$IM$1,IF(R23+IF(J23="",0,J23)=II23,$HQ$1,IF(R23+IF(J23="",0,J23)=HM23,$GU$1,IF(R23+IF(J23="",0,J23)=GQ23,$FY$1,IF(R23+IF(J23="",0,J23)=FU23,$FC$1,IF(R23+IF(J23="",0,J23)=EY23,$EG$1,IF(R23+IF(J23="",0,J23)=EC23,$DK$1,IF(R23+IF(J23="",0,J23)=DG23,$CO$1,IF(R23+IF(J23="",0,J23)=CK23,$BS$1)))))))))))),IF(R23=BR23,IF(R23+IF(P23="",0,P23)=LU23,$LA$1,IF(R23+IF(P23="",0,P23)=KY23,$KE$1,IF(R23+IF(P23="",0,P23)=KC23,$JI$1,IF(R23+IF(P23="",0,P23)=JG23,$IM$1,IF(R23+IF(P23="",0,P23)=IK23,$HQ$1,IF(R23+IF(P23="",0,P23)=HO23,$GU$1,IF(R23+IF(P23="",0,P23)=GS23,$FY$1,IF(R23+IF(P23="",0,P23)=FW23,$FC$1,IF(R23+IF(P23="",0,P23)=FA23,$EG$1,IF(R23+IF(P23="",0,P23)=EE23,$DK$1,IF(R23+IF(P23="",0,P23)=DI23,$CO$1,IF(R23+IF(P23="",0,P23)=CM23,$BS$1)))))))))))))))))</f>
        <v/>
      </c>
      <c r="U23" s="63">
        <v>15.7</v>
      </c>
      <c r="V23" s="63">
        <v>9</v>
      </c>
      <c r="W23" s="63">
        <v>5</v>
      </c>
      <c r="X23" s="63">
        <v>15.855</v>
      </c>
      <c r="Y23" s="63">
        <v>0</v>
      </c>
      <c r="Z23" s="63">
        <v>1.6</v>
      </c>
      <c r="AA23" s="63">
        <v>0.8</v>
      </c>
      <c r="AB23" s="63">
        <v>1.7</v>
      </c>
      <c r="AC23" s="63">
        <v>1.7</v>
      </c>
      <c r="AD23" s="63">
        <v>0</v>
      </c>
      <c r="AE23" s="63"/>
      <c r="AF23" s="63"/>
      <c r="AG23" s="63"/>
      <c r="AH23" s="63"/>
      <c r="AI23" s="63"/>
      <c r="AJ23" s="74"/>
      <c r="AK23" s="12">
        <f>IF(AB23&gt;0,AB23,"")</f>
        <v>1.7</v>
      </c>
      <c r="AL23" s="12">
        <f>IF(SUM(U23:X23)-Y23&gt;0,SUM(U23:X23)-Y23,"")</f>
        <v>45.555</v>
      </c>
      <c r="AM23" s="12">
        <f>IF(SUM(Z23:AC23)-AD23&gt;0,SUM(Z23:AC23)-AD23,"")</f>
        <v>5.8000000000000007</v>
      </c>
      <c r="AN23" s="12">
        <f>IF(SUM(AL23:AM23)&gt;0,SUM(AL23:AM23),"")</f>
        <v>51.355000000000004</v>
      </c>
      <c r="AO23" s="12" t="str">
        <f>IF(AG23&gt;0,AG23,"")</f>
        <v/>
      </c>
      <c r="AP23" s="12" t="str">
        <f>IF(SUM(AE23:AH23)-AI23&gt;0,SUM(AE23:AH23)-AI23,"")</f>
        <v/>
      </c>
      <c r="AQ23" s="12">
        <f>IF(SUM(AN23,AP23)&gt;0,SUM(AN23,AP23),"")</f>
        <v>51.355000000000004</v>
      </c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75"/>
      <c r="BH23" s="15" t="str">
        <f>IF(AY23&gt;0,AY23,"")</f>
        <v/>
      </c>
      <c r="BI23" s="15" t="str">
        <f>IF(SUM(AR23:AU23)-AV23&gt;0,SUM(AR23:AU23)-AV23,"")</f>
        <v/>
      </c>
      <c r="BJ23" s="15" t="str">
        <f>IF(SUM(AW23:AZ23)-BA23&gt;0,SUM(AW23:AZ23)-BA23,"")</f>
        <v/>
      </c>
      <c r="BK23" s="15" t="str">
        <f>IF(SUM(BI23:BJ23)&gt;0,SUM(BI23:BJ23),"")</f>
        <v/>
      </c>
      <c r="BL23" s="15" t="str">
        <f>IF(BD23&gt;0,BD23,"")</f>
        <v/>
      </c>
      <c r="BM23" s="15" t="str">
        <f>IF(SUM(BB23:BE23)-BF23&gt;0,SUM(BB23:BE23)-BF23,"")</f>
        <v/>
      </c>
      <c r="BN23" s="15" t="str">
        <f>IF(SUM(BK23,BM23)&gt;0,SUM(BK23,BM23),"")</f>
        <v/>
      </c>
      <c r="BO23" s="24" t="str">
        <f>IF(MAX(CI23,DE23,EA23,EW23,FS23,GO23,HK23,IG23,JC23,JY23,KU23,LQ23)-IF(L23="",0,L23)&gt;0.001,MAX(CI23,DE23,EA23,EW23,FS23,GO23,HK23,IG23,JC23,JY23,KU23,LQ23)-IF(L23="",0,L23),"")</f>
        <v/>
      </c>
      <c r="BP23" s="24" t="str">
        <f>IF(MAX(CJ23,DF23,EB23,EX23,FT23,GP23,HL23,IH23,JD23,JZ23,KV23,LR23)-IF(N23="",0,N23)&gt;0.001,MAX(CJ23,DF23,EB23,EX23,FT23,GP23,HL23,IH23,JD23,JZ23,KV23,LR23)-IF(N23="",0,N23),"")</f>
        <v/>
      </c>
      <c r="BQ23" s="24" t="str">
        <f>IF(MAX(CK23,DG23,EC23,EY23,FU23,GQ23,HM23,II23,JE23,KA23,KW23,LS23)-IF(J23="",0,J23)&gt;0.001,MAX(CK23,DG23,EC23,EY23,FU23,GQ23,HM23,II23,JE23,KA23,KW23,LS23)-IF(J23="",0,J23),"")</f>
        <v/>
      </c>
      <c r="BR23" s="24" t="str">
        <f>IF(MAX(CM23,DI23,EE23,FA23,FW23,GS23,HO23,IK23,JG23,KC23,KY23,LU23)-IF(P23="",0,P23)&gt;0.001,MAX(CM23,DI23,EE23,FA23,FW23,GS23,HO23,IK23,JG23,KC23,KY23,LU23)-IF(P23="",0,P23),"")</f>
        <v/>
      </c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12" t="str">
        <f>IF(BZ23&gt;0,BZ23,"")</f>
        <v/>
      </c>
      <c r="CI23" s="12" t="str">
        <f>IF(SUM(BS23:BV23)-BW23&gt;0,SUM(BS23:BV23)-BW23,"")</f>
        <v/>
      </c>
      <c r="CJ23" s="12" t="str">
        <f>IF(SUM(BX23:CA23)-CB23&gt;0,SUM(BX23:CA23)-CB23,"")</f>
        <v/>
      </c>
      <c r="CK23" s="12" t="str">
        <f>IF(SUM(CI23:CJ23)&gt;0,SUM(CI23:CJ23),"")</f>
        <v/>
      </c>
      <c r="CL23" s="12" t="str">
        <f>IF(CE23&gt;0,CE23,"")</f>
        <v/>
      </c>
      <c r="CM23" s="12" t="str">
        <f>IF(SUM(CC23:CF23)-CG23&gt;0,SUM(CC23:CF23)-CG23,"")</f>
        <v/>
      </c>
      <c r="CN23" s="12" t="str">
        <f>IF(SUM(CK23,CM23)&gt;0,SUM(CK23,CM23),"")</f>
        <v/>
      </c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15" t="str">
        <f>IF(CV23&gt;0,CV23,"")</f>
        <v/>
      </c>
      <c r="DE23" s="15" t="str">
        <f>IF(SUM(CO23:CR23)-CS23&gt;0,SUM(CO23:CR23)-CS23,"")</f>
        <v/>
      </c>
      <c r="DF23" s="15" t="str">
        <f>IF(SUM(CT23:CW23)-CX23&gt;0,SUM(CT23:CW23)-CX23,"")</f>
        <v/>
      </c>
      <c r="DG23" s="15" t="str">
        <f>IF(SUM(DE23:DF23)&gt;0,SUM(DE23:DF23),"")</f>
        <v/>
      </c>
      <c r="DH23" s="15" t="str">
        <f>IF(DA23&gt;0,DA23,"")</f>
        <v/>
      </c>
      <c r="DI23" s="15" t="str">
        <f>IF(SUM(CY23:DB23)-DC23&gt;0,SUM(CY23:DB23)-DC23,"")</f>
        <v/>
      </c>
      <c r="DJ23" s="15" t="str">
        <f>IF(SUM(DG23,DI23)&gt;0,SUM(DG23,DI23),"")</f>
        <v/>
      </c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  <c r="DW23" s="36"/>
      <c r="DX23" s="36"/>
      <c r="DY23" s="36"/>
      <c r="DZ23" s="12" t="str">
        <f>IF(DR23&gt;0,DR23,"")</f>
        <v/>
      </c>
      <c r="EA23" s="12" t="str">
        <f>IF(SUM(DK23:DN23)-DO23&gt;0,SUM(DK23:DN23)-DO23,"")</f>
        <v/>
      </c>
      <c r="EB23" s="12" t="str">
        <f>IF(SUM(DP23:DS23)-DT23&gt;0,SUM(DP23:DS23)-DT23,"")</f>
        <v/>
      </c>
      <c r="EC23" s="12" t="str">
        <f>IF(SUM(EA23:EB23)&gt;0,SUM(EA23:EB23),"")</f>
        <v/>
      </c>
      <c r="ED23" s="12" t="str">
        <f>IF(DW23&gt;0,DW23,"")</f>
        <v/>
      </c>
      <c r="EE23" s="12" t="str">
        <f>IF(SUM(DU23:DX23)-DY23&gt;0,SUM(DU23:DX23)-DY23,"")</f>
        <v/>
      </c>
      <c r="EF23" s="12" t="str">
        <f>IF(SUM(EC23,EE23)&gt;0,SUM(EC23,EE23),"")</f>
        <v/>
      </c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15" t="str">
        <f>IF(EN23&gt;0,EN23,"")</f>
        <v/>
      </c>
      <c r="EW23" s="15" t="str">
        <f>IF(SUM(EG23:EJ23)-EK23&gt;0,SUM(EG23:EJ23)-EK23,"")</f>
        <v/>
      </c>
      <c r="EX23" s="15" t="str">
        <f>IF(SUM(EL23:EO23)-EP23&gt;0,SUM(EL23:EO23)-EP23,"")</f>
        <v/>
      </c>
      <c r="EY23" s="15" t="str">
        <f>IF(SUM(EW23:EX23)&gt;0,SUM(EW23:EX23),"")</f>
        <v/>
      </c>
      <c r="EZ23" s="15" t="str">
        <f>IF(ES23&gt;0,ES23,"")</f>
        <v/>
      </c>
      <c r="FA23" s="15" t="str">
        <f>IF(SUM(EQ23:ET23)-EU23&gt;0,SUM(EQ23:ET23)-EU23,"")</f>
        <v/>
      </c>
      <c r="FB23" s="15" t="str">
        <f>IF(SUM(EY23,FA23)&gt;0,SUM(EY23,FA23),"")</f>
        <v/>
      </c>
      <c r="FC23" s="36"/>
      <c r="FD23" s="36"/>
      <c r="FE23" s="36"/>
      <c r="FF23" s="36"/>
      <c r="FG23" s="36"/>
      <c r="FH23" s="36"/>
      <c r="FI23" s="36"/>
      <c r="FJ23" s="36"/>
      <c r="FK23" s="36"/>
      <c r="FL23" s="36"/>
      <c r="FM23" s="36"/>
      <c r="FN23" s="36"/>
      <c r="FO23" s="36"/>
      <c r="FP23" s="36"/>
      <c r="FQ23" s="36"/>
      <c r="FR23" s="12" t="str">
        <f>IF(FJ23&gt;0,FJ23,"")</f>
        <v/>
      </c>
      <c r="FS23" s="12" t="str">
        <f>IF(SUM(FC23:FF23)-FG23&gt;0,SUM(FC23:FF23)-FG23,"")</f>
        <v/>
      </c>
      <c r="FT23" s="12" t="str">
        <f>IF(SUM(FH23:FK23)-FL23&gt;0,SUM(FH23:FK23)-FL23,"")</f>
        <v/>
      </c>
      <c r="FU23" s="12" t="str">
        <f>IF(SUM(FS23:FT23)&gt;0,SUM(FS23:FT23),"")</f>
        <v/>
      </c>
      <c r="FV23" s="12" t="str">
        <f>IF(FO23&gt;0,FO23,"")</f>
        <v/>
      </c>
      <c r="FW23" s="12" t="str">
        <f>IF(SUM(FM23:FP23)-FQ23&gt;0,SUM(FM23:FP23)-FQ23,"")</f>
        <v/>
      </c>
      <c r="FX23" s="12" t="str">
        <f>IF(SUM(FU23,FW23)&gt;0,SUM(FU23,FW23),"")</f>
        <v/>
      </c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15" t="str">
        <f>IF(GF23&gt;0,GF23,"")</f>
        <v/>
      </c>
      <c r="GO23" s="15" t="str">
        <f>IF(SUM(FY23:GB23)-GC23&gt;0,SUM(FY23:GB23)-GC23,"")</f>
        <v/>
      </c>
      <c r="GP23" s="15" t="str">
        <f>IF(SUM(GD23:GG23)-GH23&gt;0,SUM(GD23:GG23)-GH23,"")</f>
        <v/>
      </c>
      <c r="GQ23" s="15" t="str">
        <f>IF(SUM(GO23:GP23)&gt;0,SUM(GO23:GP23),"")</f>
        <v/>
      </c>
      <c r="GR23" s="15" t="str">
        <f>IF(GK23&gt;0,GK23,"")</f>
        <v/>
      </c>
      <c r="GS23" s="15" t="str">
        <f>IF(SUM(GI23:GL23)-GM23&gt;0,SUM(GI23:GL23)-GM23,"")</f>
        <v/>
      </c>
      <c r="GT23" s="15" t="str">
        <f>IF(SUM(GQ23,GS23)&gt;0,SUM(GQ23,GS23),"")</f>
        <v/>
      </c>
      <c r="GU23" s="36"/>
      <c r="GV23" s="36"/>
      <c r="GW23" s="36"/>
      <c r="GX23" s="36"/>
      <c r="GY23" s="36"/>
      <c r="GZ23" s="36"/>
      <c r="HA23" s="36"/>
      <c r="HB23" s="36"/>
      <c r="HC23" s="36"/>
      <c r="HD23" s="36"/>
      <c r="HE23" s="36"/>
      <c r="HF23" s="36"/>
      <c r="HG23" s="36"/>
      <c r="HH23" s="36"/>
      <c r="HI23" s="36"/>
      <c r="HJ23" s="12" t="str">
        <f>IF(HB23&gt;0,HB23,"")</f>
        <v/>
      </c>
      <c r="HK23" s="12" t="str">
        <f>IF(SUM(GU23:GX23)-GY23&gt;0,SUM(GU23:GX23)-GY23,"")</f>
        <v/>
      </c>
      <c r="HL23" s="12" t="str">
        <f>IF(SUM(GZ23:HC23)-HD23&gt;0,SUM(GZ23:HC23)-HD23,"")</f>
        <v/>
      </c>
      <c r="HM23" s="12" t="str">
        <f>IF(SUM(HK23:HL23)&gt;0,SUM(HK23:HL23),"")</f>
        <v/>
      </c>
      <c r="HN23" s="12" t="str">
        <f>IF(HG23&gt;0,HG23,"")</f>
        <v/>
      </c>
      <c r="HO23" s="12" t="str">
        <f>IF(SUM(HE23:HH23)-HI23&gt;0,SUM(HE23:HH23)-HI23,"")</f>
        <v/>
      </c>
      <c r="HP23" s="12" t="str">
        <f>IF(SUM(HM23,HO23)&gt;0,SUM(HM23,HO23),"")</f>
        <v/>
      </c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15" t="str">
        <f>IF(HX23&gt;0,HX23,"")</f>
        <v/>
      </c>
      <c r="IG23" s="15" t="str">
        <f>IF(SUM(HQ23:HT23)-HU23&gt;0,SUM(HQ23:HT23)-HU23,"")</f>
        <v/>
      </c>
      <c r="IH23" s="15" t="str">
        <f>IF(SUM(HV23:HY23)-HZ23&gt;0,SUM(HV23:HY23)-HZ23,"")</f>
        <v/>
      </c>
      <c r="II23" s="15" t="str">
        <f>IF(SUM(IG23:IH23)&gt;0,SUM(IG23:IH23),"")</f>
        <v/>
      </c>
      <c r="IJ23" s="15" t="str">
        <f>IF(IC23&gt;0,IC23,"")</f>
        <v/>
      </c>
      <c r="IK23" s="15" t="str">
        <f>IF(SUM(IA23:ID23)-IE23&gt;0,SUM(IA23:ID23)-IE23,"")</f>
        <v/>
      </c>
      <c r="IL23" s="15" t="str">
        <f>IF(SUM(II23,IK23)&gt;0,SUM(II23,IK23),"")</f>
        <v/>
      </c>
      <c r="IM23" s="36"/>
      <c r="IN23" s="36"/>
      <c r="IO23" s="36"/>
      <c r="IP23" s="36"/>
      <c r="IQ23" s="36"/>
      <c r="IR23" s="36"/>
      <c r="IS23" s="36"/>
      <c r="IT23" s="36"/>
      <c r="IU23" s="36"/>
      <c r="IV23" s="36"/>
      <c r="IW23" s="36"/>
      <c r="IX23" s="36"/>
      <c r="IY23" s="36"/>
      <c r="IZ23" s="36"/>
      <c r="JA23" s="36"/>
      <c r="JB23" s="12" t="str">
        <f>IF(IT23&gt;0,IT23,"")</f>
        <v/>
      </c>
      <c r="JC23" s="12" t="str">
        <f>IF(SUM(IM23:IP23)-IQ23&gt;0,SUM(IM23:IP23)-IQ23,"")</f>
        <v/>
      </c>
      <c r="JD23" s="12" t="str">
        <f>IF(SUM(IR23:IU23)-IV23&gt;0,SUM(IR23:IU23)-IV23,"")</f>
        <v/>
      </c>
      <c r="JE23" s="12" t="str">
        <f>IF(SUM(JC23:JD23)&gt;0,SUM(JC23:JD23),"")</f>
        <v/>
      </c>
      <c r="JF23" s="12" t="str">
        <f>IF(IY23&gt;0,IY23,"")</f>
        <v/>
      </c>
      <c r="JG23" s="12" t="str">
        <f>IF(SUM(IW23:IZ23)-JA23&gt;0,SUM(IW23:IZ23)-JA23,"")</f>
        <v/>
      </c>
      <c r="JH23" s="12" t="str">
        <f>IF(SUM(JE23,JG23)&gt;0,SUM(JE23,JG23),"")</f>
        <v/>
      </c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15" t="str">
        <f>IF(JP23&gt;0,JP23,"")</f>
        <v/>
      </c>
      <c r="JY23" s="15" t="str">
        <f>IF(SUM(JI23:JL23)-JM23&gt;0,SUM(JI23:JL23)-JM23,"")</f>
        <v/>
      </c>
      <c r="JZ23" s="15" t="str">
        <f>IF(SUM(JN23:JQ23)-JR23&gt;0,SUM(JN23:JQ23)-JR23,"")</f>
        <v/>
      </c>
      <c r="KA23" s="15" t="str">
        <f>IF(SUM(JY23:JZ23)&gt;0,SUM(JY23:JZ23),"")</f>
        <v/>
      </c>
      <c r="KB23" s="15" t="str">
        <f>IF(JU23&gt;0,JU23,"")</f>
        <v/>
      </c>
      <c r="KC23" s="15" t="str">
        <f>IF(SUM(JS23:JV23)-JW23&gt;0,SUM(JS23:JV23)-JW23,"")</f>
        <v/>
      </c>
      <c r="KD23" s="15" t="str">
        <f>IF(SUM(KA23,KC23)&gt;0,SUM(KA23,KC23),"")</f>
        <v/>
      </c>
      <c r="KE23" s="36"/>
      <c r="KF23" s="36"/>
      <c r="KG23" s="36"/>
      <c r="KH23" s="36"/>
      <c r="KI23" s="36"/>
      <c r="KJ23" s="36"/>
      <c r="KK23" s="36"/>
      <c r="KL23" s="36"/>
      <c r="KM23" s="36"/>
      <c r="KN23" s="36"/>
      <c r="KO23" s="36"/>
      <c r="KP23" s="36"/>
      <c r="KQ23" s="36"/>
      <c r="KR23" s="36"/>
      <c r="KS23" s="36"/>
      <c r="KT23" s="12" t="str">
        <f>IF(KL23&gt;0,KL23,"")</f>
        <v/>
      </c>
      <c r="KU23" s="12" t="str">
        <f>IF(SUM(KE23:KH23)-KI23&gt;0,SUM(KE23:KH23)-KI23,"")</f>
        <v/>
      </c>
      <c r="KV23" s="12" t="str">
        <f>IF(SUM(KJ23:KM23)-KN23&gt;0,SUM(KJ23:KM23)-KN23,"")</f>
        <v/>
      </c>
      <c r="KW23" s="12" t="str">
        <f>IF(SUM(KU23:KV23)&gt;0,SUM(KU23:KV23),"")</f>
        <v/>
      </c>
      <c r="KX23" s="12" t="str">
        <f>IF(KQ23&gt;0,KQ23,"")</f>
        <v/>
      </c>
      <c r="KY23" s="12" t="str">
        <f>IF(SUM(KO23:KR23)-KS23&gt;0,SUM(KO23:KR23)-KS23,"")</f>
        <v/>
      </c>
      <c r="KZ23" s="12" t="str">
        <f>IF(SUM(KW23,KY23)&gt;0,SUM(KW23,KY23),"")</f>
        <v/>
      </c>
      <c r="LA23" s="37"/>
      <c r="LB23" s="37"/>
      <c r="LC23" s="37"/>
      <c r="LD23" s="37"/>
      <c r="LE23" s="37"/>
      <c r="LF23" s="37"/>
      <c r="LG23" s="37"/>
      <c r="LH23" s="37"/>
      <c r="LI23" s="37"/>
      <c r="LJ23" s="37"/>
      <c r="LK23" s="37"/>
      <c r="LL23" s="37"/>
      <c r="LM23" s="37"/>
      <c r="LN23" s="37"/>
      <c r="LO23" s="37"/>
      <c r="LP23" s="15" t="str">
        <f>IF(LH23&gt;0,LH23,"")</f>
        <v/>
      </c>
      <c r="LQ23" s="15" t="str">
        <f>IF(SUM(LA23:LD23)-LE23&gt;0,SUM(LA23:LD23)-LE23,"")</f>
        <v/>
      </c>
      <c r="LR23" s="15" t="str">
        <f>IF(SUM(LF23:LI23)-LJ23&gt;0,SUM(LF23:LI23)-LJ23,"")</f>
        <v/>
      </c>
      <c r="LS23" s="15" t="str">
        <f>IF(SUM(LQ23:LR23)&gt;0,SUM(LQ23:LR23),"")</f>
        <v/>
      </c>
      <c r="LT23" s="15" t="str">
        <f>IF(LM23&gt;0,LM23,"")</f>
        <v/>
      </c>
      <c r="LU23" s="15" t="str">
        <f>IF(SUM(LK23:LN23)-LO23&gt;0,SUM(LK23:LN23)-LO23,"")</f>
        <v/>
      </c>
      <c r="LV23" s="15" t="str">
        <f>IF(SUM(LS23,LU23)&gt;0,SUM(LS23,LU23),"")</f>
        <v/>
      </c>
      <c r="LW23" s="63">
        <f t="shared" si="7"/>
        <v>7.85</v>
      </c>
      <c r="LX23" s="63">
        <f t="shared" si="8"/>
        <v>4.5</v>
      </c>
      <c r="LY23" s="63">
        <f t="shared" si="9"/>
        <v>2.5</v>
      </c>
      <c r="LZ23" s="63">
        <f t="shared" si="10"/>
        <v>7.9275000000000002</v>
      </c>
      <c r="MA23" s="63">
        <f t="shared" si="11"/>
        <v>0</v>
      </c>
      <c r="MB23" s="63">
        <f t="shared" si="12"/>
        <v>0.8</v>
      </c>
      <c r="MC23" s="63">
        <f t="shared" si="13"/>
        <v>0.4</v>
      </c>
      <c r="MD23" s="63">
        <f t="shared" si="14"/>
        <v>0.85</v>
      </c>
      <c r="ME23" s="63">
        <f t="shared" si="15"/>
        <v>0.85</v>
      </c>
      <c r="MF23" s="63">
        <f t="shared" si="16"/>
        <v>0</v>
      </c>
      <c r="MG23" s="63">
        <f t="shared" si="17"/>
        <v>0</v>
      </c>
      <c r="MH23" s="63">
        <f t="shared" si="18"/>
        <v>0</v>
      </c>
      <c r="MI23" s="63">
        <f t="shared" si="19"/>
        <v>0</v>
      </c>
      <c r="MJ23" s="63">
        <f t="shared" si="20"/>
        <v>0</v>
      </c>
      <c r="MK23" s="63">
        <f t="shared" si="21"/>
        <v>0</v>
      </c>
      <c r="ML23" s="74" t="s">
        <v>119</v>
      </c>
      <c r="MM23" s="12">
        <f t="shared" ref="MM23" si="35">IF(MD23&gt;0,MD23,"")</f>
        <v>0.85</v>
      </c>
      <c r="MN23" s="12">
        <f t="shared" ref="MN23" si="36">IF(SUM(LW23:LZ23)-MA23&gt;0,SUM(LW23:LZ23)-MA23,"")</f>
        <v>22.7775</v>
      </c>
      <c r="MO23" s="12">
        <f t="shared" ref="MO23" si="37">IF(SUM(MB23:ME23)-MF23&gt;0,SUM(MB23:ME23)-MF23,"")</f>
        <v>2.9000000000000004</v>
      </c>
      <c r="MP23" s="12">
        <f t="shared" ref="MP23" si="38">IF(SUM(MN23:MO23)&gt;0,SUM(MN23:MO23),"")</f>
        <v>25.677500000000002</v>
      </c>
      <c r="MQ23" s="12" t="str">
        <f t="shared" si="26"/>
        <v/>
      </c>
      <c r="MR23" s="12" t="str">
        <f t="shared" ref="MR23" si="39">IF(SUM(MG23:MJ23)-MK23&gt;0,SUM(MG23:MJ23)-MK23,"")</f>
        <v/>
      </c>
      <c r="MS23" s="12">
        <f t="shared" ref="MS23" si="40">IF(SUM(MP23,MR23)&gt;0,SUM(MP23,MR23),"")</f>
        <v>25.677500000000002</v>
      </c>
    </row>
    <row r="24" spans="1:357" x14ac:dyDescent="0.2">
      <c r="B24" s="7"/>
      <c r="D24" s="1"/>
    </row>
    <row r="26" spans="1:357" x14ac:dyDescent="0.2">
      <c r="B26" s="64" t="s">
        <v>51</v>
      </c>
      <c r="C26" s="50"/>
      <c r="AL26" s="58">
        <v>13.5</v>
      </c>
      <c r="BH26" s="50"/>
      <c r="BI26" s="58">
        <v>13.5</v>
      </c>
      <c r="CH26" s="50"/>
      <c r="CI26" s="58">
        <v>13.5</v>
      </c>
      <c r="DD26" s="50"/>
      <c r="DE26" s="58">
        <v>13.5</v>
      </c>
      <c r="DZ26" s="50"/>
      <c r="EA26" s="58">
        <v>13.5</v>
      </c>
      <c r="EV26" s="50"/>
      <c r="EW26" s="58">
        <v>13.5</v>
      </c>
      <c r="FR26" s="50"/>
      <c r="FS26" s="58">
        <v>13.5</v>
      </c>
      <c r="GN26" s="50"/>
      <c r="GO26" s="58">
        <v>13.5</v>
      </c>
      <c r="HJ26" s="50"/>
      <c r="HK26" s="58">
        <v>13.5</v>
      </c>
      <c r="IF26" s="50"/>
      <c r="IG26" s="58">
        <v>13.5</v>
      </c>
      <c r="JB26" s="50"/>
      <c r="JC26" s="58">
        <v>13.5</v>
      </c>
      <c r="JX26" s="50"/>
      <c r="JY26" s="77">
        <v>13.5</v>
      </c>
      <c r="KT26" s="50"/>
      <c r="KU26" s="77">
        <v>13.5</v>
      </c>
      <c r="LP26" s="50"/>
      <c r="LQ26" s="77">
        <v>13.5</v>
      </c>
    </row>
    <row r="27" spans="1:357" x14ac:dyDescent="0.2">
      <c r="A27" s="50"/>
      <c r="B27" s="91" t="s">
        <v>76</v>
      </c>
      <c r="C27" s="50"/>
      <c r="AL27" s="93">
        <v>13.5</v>
      </c>
      <c r="AN27" s="48"/>
      <c r="AO27" s="48"/>
      <c r="AP27" s="48"/>
      <c r="BH27" s="50"/>
      <c r="BI27" s="93">
        <v>13.5</v>
      </c>
      <c r="BL27" s="48"/>
      <c r="CH27" s="50"/>
      <c r="CI27" s="93">
        <v>13.5</v>
      </c>
      <c r="CL27" s="48"/>
      <c r="DD27" s="50"/>
      <c r="DE27" s="93">
        <v>13.5</v>
      </c>
      <c r="DH27" s="48"/>
      <c r="DZ27" s="50"/>
      <c r="EA27" s="93">
        <v>13.5</v>
      </c>
      <c r="ED27" s="48"/>
      <c r="EV27" s="50"/>
      <c r="EW27" s="93">
        <v>13.5</v>
      </c>
      <c r="EZ27" s="48"/>
      <c r="FR27" s="50"/>
      <c r="FS27" s="93">
        <v>13.5</v>
      </c>
      <c r="FV27" s="48"/>
      <c r="GN27" s="50"/>
      <c r="GO27" s="93">
        <v>13.5</v>
      </c>
      <c r="GR27" s="48"/>
      <c r="HJ27" s="50"/>
      <c r="HK27" s="93">
        <v>13.5</v>
      </c>
      <c r="HN27" s="48"/>
      <c r="IF27" s="50"/>
      <c r="IG27" s="93">
        <v>13.5</v>
      </c>
      <c r="IJ27" s="48"/>
      <c r="JB27" s="50"/>
      <c r="JC27" s="93">
        <v>13.5</v>
      </c>
      <c r="JF27" s="48"/>
      <c r="JX27" s="50"/>
      <c r="JY27" s="94">
        <v>13.5</v>
      </c>
      <c r="KB27" s="48"/>
      <c r="KT27" s="50"/>
      <c r="KU27" s="94">
        <v>13.5</v>
      </c>
      <c r="KX27" s="48"/>
      <c r="LP27" s="50"/>
      <c r="LQ27" s="94">
        <v>13.5</v>
      </c>
      <c r="LT27" s="48"/>
    </row>
    <row r="28" spans="1:357" x14ac:dyDescent="0.2">
      <c r="A28" s="50"/>
      <c r="B28" s="65" t="s">
        <v>48</v>
      </c>
      <c r="C28" s="50"/>
      <c r="AL28" s="59">
        <v>98</v>
      </c>
      <c r="AN28" s="48"/>
      <c r="AO28" s="48"/>
      <c r="AP28" s="48"/>
      <c r="BH28" s="50"/>
      <c r="BI28" s="59">
        <v>98</v>
      </c>
      <c r="BL28" s="48"/>
      <c r="CH28" s="50"/>
      <c r="CI28" s="59">
        <v>98</v>
      </c>
      <c r="CL28" s="48"/>
      <c r="DD28" s="50"/>
      <c r="DE28" s="59">
        <v>98</v>
      </c>
      <c r="DH28" s="48"/>
      <c r="DZ28" s="50"/>
      <c r="EA28" s="59">
        <v>98</v>
      </c>
      <c r="ED28" s="48"/>
      <c r="EV28" s="50"/>
      <c r="EW28" s="59">
        <v>98</v>
      </c>
      <c r="EZ28" s="48"/>
      <c r="FR28" s="50"/>
      <c r="FS28" s="59">
        <v>98</v>
      </c>
      <c r="FV28" s="48"/>
      <c r="GN28" s="50"/>
      <c r="GO28" s="59">
        <v>98</v>
      </c>
      <c r="GR28" s="48"/>
      <c r="HJ28" s="50"/>
      <c r="HK28" s="59">
        <v>98</v>
      </c>
      <c r="HN28" s="48"/>
      <c r="IF28" s="50"/>
      <c r="IG28" s="59">
        <v>98</v>
      </c>
      <c r="IJ28" s="48"/>
      <c r="JB28" s="50"/>
      <c r="JC28" s="59">
        <v>98</v>
      </c>
      <c r="JF28" s="48"/>
      <c r="JX28" s="50"/>
      <c r="JY28" s="78">
        <v>98</v>
      </c>
      <c r="KB28" s="48"/>
      <c r="KT28" s="50"/>
      <c r="KU28" s="78">
        <v>98</v>
      </c>
      <c r="KX28" s="48"/>
      <c r="LP28" s="50"/>
      <c r="LQ28" s="78">
        <v>98</v>
      </c>
      <c r="LT28" s="48"/>
    </row>
    <row r="29" spans="1:357" hidden="1" x14ac:dyDescent="0.2">
      <c r="A29" s="50"/>
      <c r="B29" s="66" t="s">
        <v>49</v>
      </c>
      <c r="C29" s="50"/>
      <c r="AL29" s="60">
        <v>101.2</v>
      </c>
      <c r="AN29" s="48"/>
      <c r="AO29" s="48"/>
      <c r="AP29" s="48"/>
      <c r="BH29" s="50"/>
      <c r="BI29" s="60">
        <v>101.2</v>
      </c>
      <c r="BL29" s="48"/>
      <c r="CH29" s="50"/>
      <c r="CI29" s="60">
        <v>101.2</v>
      </c>
      <c r="CL29" s="48"/>
      <c r="DD29" s="50"/>
      <c r="DE29" s="60">
        <v>101.2</v>
      </c>
      <c r="DH29" s="48"/>
      <c r="DZ29" s="50"/>
      <c r="EA29" s="60">
        <v>101.2</v>
      </c>
      <c r="ED29" s="48"/>
      <c r="EV29" s="50"/>
      <c r="EW29" s="60">
        <v>101.2</v>
      </c>
      <c r="EZ29" s="48"/>
      <c r="FR29" s="50"/>
      <c r="FS29" s="60">
        <v>101.2</v>
      </c>
      <c r="FV29" s="48"/>
      <c r="GN29" s="50"/>
      <c r="GO29" s="60">
        <v>101.2</v>
      </c>
      <c r="GR29" s="48"/>
      <c r="HJ29" s="50"/>
      <c r="HK29" s="60">
        <v>101.2</v>
      </c>
      <c r="HN29" s="48"/>
      <c r="IF29" s="50"/>
      <c r="IG29" s="60">
        <v>101.2</v>
      </c>
      <c r="IJ29" s="48"/>
      <c r="JB29" s="50"/>
      <c r="JC29" s="60">
        <v>101.2</v>
      </c>
      <c r="JF29" s="48"/>
      <c r="JX29" s="50"/>
      <c r="JY29" s="60">
        <v>101.2</v>
      </c>
      <c r="KB29" s="48"/>
      <c r="KT29" s="50"/>
      <c r="KU29" s="60">
        <v>101.2</v>
      </c>
      <c r="KX29" s="48"/>
      <c r="LP29" s="50"/>
      <c r="LQ29" s="60">
        <v>101.2</v>
      </c>
      <c r="LT29" s="48"/>
    </row>
    <row r="30" spans="1:357" x14ac:dyDescent="0.2">
      <c r="A30" s="50"/>
      <c r="B30" s="67" t="s">
        <v>70</v>
      </c>
      <c r="C30" s="50"/>
      <c r="AL30" s="61">
        <v>101.2</v>
      </c>
      <c r="AN30" s="48"/>
      <c r="AO30" s="48"/>
      <c r="AP30" s="48"/>
      <c r="BH30" s="50"/>
      <c r="BI30" s="61">
        <v>101.2</v>
      </c>
      <c r="BL30" s="48"/>
      <c r="CH30" s="50"/>
      <c r="CI30" s="61">
        <v>101.2</v>
      </c>
      <c r="CL30" s="48"/>
      <c r="DD30" s="50"/>
      <c r="DE30" s="61">
        <v>101.2</v>
      </c>
      <c r="DH30" s="48"/>
      <c r="DZ30" s="50"/>
      <c r="EA30" s="61">
        <v>101.2</v>
      </c>
      <c r="ED30" s="48"/>
      <c r="EV30" s="50"/>
      <c r="EW30" s="61">
        <v>101.2</v>
      </c>
      <c r="EZ30" s="48"/>
      <c r="FR30" s="50"/>
      <c r="FS30" s="61">
        <v>101.2</v>
      </c>
      <c r="FV30" s="48"/>
      <c r="GN30" s="50"/>
      <c r="GO30" s="61">
        <v>101.2</v>
      </c>
      <c r="GR30" s="48"/>
      <c r="HJ30" s="50"/>
      <c r="HK30" s="61">
        <v>101.2</v>
      </c>
      <c r="HN30" s="48"/>
      <c r="IF30" s="50"/>
      <c r="IG30" s="61">
        <v>101.2</v>
      </c>
      <c r="IJ30" s="48"/>
      <c r="JB30" s="50"/>
      <c r="JC30" s="61">
        <v>101.2</v>
      </c>
      <c r="JF30" s="48"/>
      <c r="JX30" s="50"/>
      <c r="JY30" s="80">
        <v>101.2</v>
      </c>
      <c r="KB30" s="48"/>
      <c r="KT30" s="50"/>
      <c r="KU30" s="80">
        <v>101.2</v>
      </c>
      <c r="KX30" s="48"/>
      <c r="LP30" s="50"/>
      <c r="LQ30" s="80">
        <v>101.2</v>
      </c>
      <c r="LT30" s="48"/>
    </row>
    <row r="31" spans="1:357" x14ac:dyDescent="0.2">
      <c r="A31" s="50"/>
      <c r="B31" s="68" t="s">
        <v>35</v>
      </c>
      <c r="C31" s="50"/>
      <c r="AL31" s="62">
        <v>56</v>
      </c>
      <c r="AN31" s="48"/>
      <c r="AO31" s="48"/>
      <c r="AP31" s="48"/>
      <c r="BH31" s="50"/>
      <c r="BI31" s="62">
        <v>56.7</v>
      </c>
      <c r="BL31" s="48"/>
      <c r="CH31" s="50"/>
      <c r="CI31" s="62">
        <v>56</v>
      </c>
      <c r="CL31" s="48"/>
      <c r="DD31" s="50"/>
      <c r="DE31" s="62">
        <v>56</v>
      </c>
      <c r="DH31" s="48"/>
      <c r="DZ31" s="50"/>
      <c r="EA31" s="62">
        <v>56</v>
      </c>
      <c r="ED31" s="48"/>
      <c r="EV31" s="50"/>
      <c r="EW31" s="62">
        <v>56</v>
      </c>
      <c r="EZ31" s="48"/>
      <c r="FR31" s="50"/>
      <c r="FS31" s="62">
        <v>56.7</v>
      </c>
      <c r="FV31" s="48"/>
      <c r="GN31" s="50"/>
      <c r="GO31" s="62">
        <v>56.7</v>
      </c>
      <c r="GR31" s="48"/>
      <c r="HJ31" s="50"/>
      <c r="HK31" s="62">
        <v>56.7</v>
      </c>
      <c r="HN31" s="48"/>
      <c r="IF31" s="50"/>
      <c r="IG31" s="62">
        <v>56.7</v>
      </c>
      <c r="IJ31" s="48"/>
      <c r="JB31" s="50"/>
      <c r="JC31" s="62">
        <v>56.7</v>
      </c>
      <c r="JF31" s="48"/>
      <c r="JX31" s="50"/>
      <c r="JY31" s="81">
        <v>56.7</v>
      </c>
      <c r="KB31" s="48"/>
      <c r="KT31" s="50"/>
      <c r="KU31" s="81">
        <v>56.7</v>
      </c>
      <c r="KX31" s="48"/>
      <c r="LP31" s="50"/>
      <c r="LQ31" s="81">
        <v>56.7</v>
      </c>
      <c r="LT31" s="48"/>
    </row>
    <row r="32" spans="1:357" x14ac:dyDescent="0.2">
      <c r="B32" s="76" t="s">
        <v>55</v>
      </c>
      <c r="C32" s="3"/>
      <c r="AM32" s="48"/>
      <c r="AN32" s="48"/>
      <c r="AO32" s="48"/>
      <c r="AP32" s="48"/>
      <c r="BL32" s="48"/>
      <c r="CL32" s="48"/>
      <c r="DE32" s="48"/>
      <c r="DH32" s="48"/>
      <c r="ED32" s="48"/>
      <c r="EZ32" s="48"/>
      <c r="FV32" s="48"/>
      <c r="GR32" s="48"/>
      <c r="HN32" s="48"/>
      <c r="IJ32" s="48"/>
      <c r="JF32" s="48"/>
      <c r="KB32" s="48"/>
      <c r="KX32" s="48"/>
      <c r="LT32" s="48"/>
    </row>
    <row r="33" spans="1:42" x14ac:dyDescent="0.2">
      <c r="A33" s="50"/>
      <c r="B33" s="50"/>
      <c r="C33" s="49"/>
      <c r="AL33" s="48"/>
      <c r="AM33" s="48"/>
      <c r="AN33" s="48"/>
      <c r="AP33" s="48"/>
    </row>
    <row r="34" spans="1:42" ht="17" x14ac:dyDescent="0.2">
      <c r="A34" s="50"/>
      <c r="B34" s="50"/>
      <c r="C34" s="49"/>
      <c r="R34" s="19"/>
      <c r="S34" s="19"/>
      <c r="AL34" s="48"/>
      <c r="AM34" s="48"/>
      <c r="AN34" s="48"/>
      <c r="AP34" s="48"/>
    </row>
    <row r="35" spans="1:42" ht="17" x14ac:dyDescent="0.2">
      <c r="A35" s="50"/>
      <c r="B35" s="50"/>
      <c r="C35" s="49"/>
      <c r="R35" s="19"/>
      <c r="AL35" s="48"/>
      <c r="AM35" s="48"/>
      <c r="AN35" s="48"/>
      <c r="AP35" s="48"/>
    </row>
    <row r="36" spans="1:42" ht="17" x14ac:dyDescent="0.2">
      <c r="R36" s="19"/>
      <c r="S36" s="19"/>
      <c r="AL36" s="48"/>
      <c r="AM36" s="48"/>
      <c r="AN36" s="48"/>
      <c r="AP36" s="48"/>
    </row>
    <row r="37" spans="1:42" ht="17" x14ac:dyDescent="0.2">
      <c r="R37" s="19"/>
      <c r="S37" s="19"/>
      <c r="AL37" s="48"/>
      <c r="AM37" s="48"/>
      <c r="AN37" s="48"/>
      <c r="AP37" s="48"/>
    </row>
    <row r="38" spans="1:42" ht="17" x14ac:dyDescent="0.2">
      <c r="R38" s="19"/>
      <c r="S38" s="19"/>
      <c r="AL38" s="48"/>
      <c r="AM38" s="48"/>
      <c r="AN38" s="48"/>
      <c r="AP38" s="48"/>
    </row>
    <row r="39" spans="1:42" ht="17" x14ac:dyDescent="0.2">
      <c r="R39" s="19"/>
      <c r="S39" s="19"/>
      <c r="T39" s="19"/>
    </row>
    <row r="40" spans="1:42" ht="17" x14ac:dyDescent="0.2">
      <c r="R40" s="19"/>
      <c r="S40" s="19"/>
      <c r="T40" s="19"/>
    </row>
    <row r="41" spans="1:42" ht="17" x14ac:dyDescent="0.2">
      <c r="R41" s="19"/>
      <c r="S41" s="19"/>
      <c r="T41" s="19"/>
    </row>
    <row r="42" spans="1:42" ht="17" x14ac:dyDescent="0.2">
      <c r="R42" s="19"/>
      <c r="S42" s="19"/>
      <c r="T42" s="19"/>
    </row>
    <row r="43" spans="1:42" ht="17" x14ac:dyDescent="0.2">
      <c r="R43" s="19"/>
      <c r="S43" s="19"/>
      <c r="T43" s="19"/>
    </row>
    <row r="44" spans="1:42" ht="17" x14ac:dyDescent="0.2">
      <c r="R44" s="19"/>
      <c r="S44" s="19"/>
      <c r="T44" s="19"/>
    </row>
    <row r="45" spans="1:42" ht="17" x14ac:dyDescent="0.2">
      <c r="R45" s="19"/>
      <c r="S45" s="19"/>
      <c r="T45" s="19"/>
    </row>
    <row r="46" spans="1:42" ht="17" x14ac:dyDescent="0.2">
      <c r="R46" s="19"/>
      <c r="S46" s="19"/>
      <c r="T46" s="19"/>
    </row>
    <row r="47" spans="1:42" ht="17" x14ac:dyDescent="0.2">
      <c r="R47" s="19"/>
      <c r="S47" s="19"/>
      <c r="T47" s="19"/>
    </row>
    <row r="48" spans="1:42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  <row r="52" spans="18:20" ht="17" x14ac:dyDescent="0.2">
      <c r="R52" s="19"/>
      <c r="S52" s="19"/>
      <c r="T52" s="19"/>
    </row>
    <row r="53" spans="18:20" ht="17" x14ac:dyDescent="0.2">
      <c r="R53" s="19"/>
      <c r="S53" s="19"/>
      <c r="T53" s="19"/>
    </row>
  </sheetData>
  <sheetProtection sheet="1" formatCells="0" formatColumns="0" formatRows="0"/>
  <autoFilter ref="A1:LV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23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LW1:MS1"/>
    <mergeCell ref="LW2:MA2"/>
    <mergeCell ref="MB2:MF2"/>
    <mergeCell ref="MG2:MK2"/>
    <mergeCell ref="HQ1:IL1"/>
    <mergeCell ref="IM1:JH1"/>
    <mergeCell ref="KE2:KI2"/>
    <mergeCell ref="JS2:JW2"/>
    <mergeCell ref="LA1:LV1"/>
    <mergeCell ref="JI1:KD1"/>
    <mergeCell ref="KE1:KZ1"/>
    <mergeCell ref="LK2:LO2"/>
    <mergeCell ref="LF2:LJ2"/>
    <mergeCell ref="LA2:LE2"/>
    <mergeCell ref="KO2:KS2"/>
    <mergeCell ref="KJ2:KN2"/>
    <mergeCell ref="DK2:DO2"/>
    <mergeCell ref="DK1:EF1"/>
    <mergeCell ref="JN2:JR2"/>
    <mergeCell ref="JI2:JM2"/>
    <mergeCell ref="IW2:JA2"/>
    <mergeCell ref="IR2:IV2"/>
    <mergeCell ref="EG1:FB1"/>
    <mergeCell ref="IM2:IQ2"/>
    <mergeCell ref="IA2:IE2"/>
    <mergeCell ref="HV2:HZ2"/>
    <mergeCell ref="HQ2:HU2"/>
    <mergeCell ref="EQ2:EU2"/>
    <mergeCell ref="EL2:EP2"/>
    <mergeCell ref="EG2:EK2"/>
    <mergeCell ref="GU1:HP1"/>
    <mergeCell ref="HE2:HI2"/>
    <mergeCell ref="GZ2:HD2"/>
    <mergeCell ref="GU2:GY2"/>
    <mergeCell ref="FC1:FX1"/>
    <mergeCell ref="FY1:GT1"/>
    <mergeCell ref="GD2:GH2"/>
    <mergeCell ref="FY2:GC2"/>
    <mergeCell ref="FM2:FQ2"/>
    <mergeCell ref="FH2:FL2"/>
    <mergeCell ref="FC2:FG2"/>
    <mergeCell ref="GI2:GM2"/>
    <mergeCell ref="CO2:CS2"/>
    <mergeCell ref="AR1:BN1"/>
    <mergeCell ref="AR2:AV2"/>
    <mergeCell ref="AW2:BA2"/>
    <mergeCell ref="CC2:CG2"/>
    <mergeCell ref="BX2:CB2"/>
    <mergeCell ref="BS1:CN1"/>
    <mergeCell ref="BB2:BF2"/>
    <mergeCell ref="BS2:BW2"/>
    <mergeCell ref="BO1:BR1"/>
    <mergeCell ref="CO1:DJ1"/>
    <mergeCell ref="CY2:DC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U2:DY2"/>
    <mergeCell ref="DP2:DT2"/>
    <mergeCell ref="CT2:CX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Q1"/>
    <mergeCell ref="Z2:AD2"/>
    <mergeCell ref="AE2:AI2"/>
    <mergeCell ref="P1:P3"/>
  </mergeCells>
  <conditionalFormatting sqref="A1:A1048576">
    <cfRule type="expression" dxfId="156" priority="276">
      <formula>AND(H1="P",F1="")</formula>
    </cfRule>
  </conditionalFormatting>
  <conditionalFormatting sqref="I1:I1048576">
    <cfRule type="containsText" dxfId="155" priority="17" operator="containsText" text="No DD">
      <formula>NOT(ISERROR(SEARCH("No DD",I1)))</formula>
    </cfRule>
    <cfRule type="containsText" dxfId="154" priority="277" operator="containsText" text="Merit">
      <formula>NOT(ISERROR(SEARCH("Merit",I1)))</formula>
    </cfRule>
    <cfRule type="containsText" dxfId="153" priority="278" operator="containsText" text="Excellence">
      <formula>NOT(ISERROR(SEARCH("Excellence",I1)))</formula>
    </cfRule>
    <cfRule type="containsText" dxfId="152" priority="279" operator="containsText" text="Worlds Team">
      <formula>NOT(ISERROR(SEARCH("Worlds Team",I1)))</formula>
    </cfRule>
    <cfRule type="containsText" dxfId="151" priority="827" operator="containsText" text="National Team">
      <formula>NOT(ISERROR(SEARCH("National Team",I1)))</formula>
    </cfRule>
  </conditionalFormatting>
  <conditionalFormatting sqref="U4:AQ23">
    <cfRule type="expression" dxfId="150" priority="39">
      <formula>IF($AJ4&lt;&gt;"",1,0)</formula>
    </cfRule>
  </conditionalFormatting>
  <conditionalFormatting sqref="AR4:BN23">
    <cfRule type="expression" dxfId="149" priority="38">
      <formula>IF($BG4&lt;&gt;"",1,0)</formula>
    </cfRule>
  </conditionalFormatting>
  <conditionalFormatting sqref="LR1:LR1048576 KV1:KV1048576 JZ1:JZ1048576 JD1:JD1048576 IH1:IH1048576 HL1:HL1048576 GP1:GP1048576 FT1:FT1048576 EX1:EX1048576 EB1:EB1048576 DF1:DF1048576 CJ1:CJ1048576">
    <cfRule type="cellIs" dxfId="148" priority="5649" operator="between">
      <formula>CI$31</formula>
      <formula>1000</formula>
    </cfRule>
  </conditionalFormatting>
  <conditionalFormatting sqref="LU1:LU1048576">
    <cfRule type="cellIs" dxfId="147" priority="5685" operator="between">
      <formula>LQ$31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46" priority="5721" operator="between">
      <formula>CI$30</formula>
      <formula>1000</formula>
    </cfRule>
    <cfRule type="cellIs" dxfId="145" priority="5722" operator="between">
      <formula>CI$29</formula>
      <formula>CI$30</formula>
    </cfRule>
    <cfRule type="cellIs" dxfId="144" priority="5723" operator="between">
      <formula>CI$28</formula>
      <formula>CI$29</formula>
    </cfRule>
  </conditionalFormatting>
  <conditionalFormatting sqref="CH1:CH1048576 DD1:DD1048576 DZ1:DZ1048576 EV1:EV1048576 FR1:FR1048576 GN1:GN1048576 HJ1:HJ1048576 IF1:IF1048576 JB1:JB1048576 JX1:JX1048576 KT1:KT1048576 LP1:LP1048576">
    <cfRule type="expression" dxfId="143" priority="18">
      <formula>IF(AND(CH1&gt;=CI$26,CH1&lt;CI$27),1,0)</formula>
    </cfRule>
    <cfRule type="expression" dxfId="142" priority="19">
      <formula>IF(AND(CH1&gt;=CI$27,CH1&lt;100),1,0)</formula>
    </cfRule>
  </conditionalFormatting>
  <conditionalFormatting sqref="Q1:Q1048576 O1:O1048576 M1:M1048576 K1:K1048576">
    <cfRule type="expression" dxfId="141" priority="8402">
      <formula>IF(K1=$AR$1,1,0)</formula>
    </cfRule>
    <cfRule type="expression" dxfId="140" priority="8403">
      <formula>IF(K1=$U$1,1,0)</formula>
    </cfRule>
  </conditionalFormatting>
  <conditionalFormatting sqref="AK1:AK1048576 BH1:BH1048576">
    <cfRule type="expression" dxfId="139" priority="12437">
      <formula>IF(AND(AK1&gt;=AL$27,AK1&lt;100,AJ1=""),1,0)</formula>
    </cfRule>
    <cfRule type="expression" dxfId="138" priority="12438">
      <formula>IF(AND(AK1&gt;=AL$26,AK1&lt;AL$27,AJ1=""),1,0)</formula>
    </cfRule>
  </conditionalFormatting>
  <conditionalFormatting sqref="AN1:AN1048576 BK1:BK1048576">
    <cfRule type="expression" dxfId="137" priority="12445">
      <formula>IF(AND(AN1&gt;=AL$30,AN1&lt;1000,AJ1=""),1,0)</formula>
    </cfRule>
    <cfRule type="expression" dxfId="136" priority="12446">
      <formula>IF(AND(AN1&gt;=AL$29,AN1&lt;AL$30,AJ1=""),1,0)</formula>
    </cfRule>
    <cfRule type="expression" dxfId="135" priority="12447">
      <formula>IF(AND(AN1&gt;=AL$28,AN1&lt;AL$29,AJ1=""),1,0)</formula>
    </cfRule>
  </conditionalFormatting>
  <conditionalFormatting sqref="BJ1:BJ1048576 AM1:AM1048576">
    <cfRule type="expression" dxfId="134" priority="12457">
      <formula>IF(AND(AM1&gt;=AL$31,AM1&lt;1000,AJ1=""),1,0)</formula>
    </cfRule>
  </conditionalFormatting>
  <conditionalFormatting sqref="BM1:BM1048576">
    <cfRule type="expression" dxfId="133" priority="12461">
      <formula>IF(AND(BM1&gt;=BI$31,BM1&lt;1000,BG1=""),1,0)</formula>
    </cfRule>
  </conditionalFormatting>
  <conditionalFormatting sqref="AP1:AP1048576">
    <cfRule type="expression" dxfId="132" priority="14536">
      <formula>IF(AND(AP1&gt;=AL$31,AP1&lt;1000,AJ1=""),1,0)</formula>
    </cfRule>
  </conditionalFormatting>
  <conditionalFormatting sqref="CM1:CM1048576 DI1:DI1048576 EE1:EE1048576 FW1:FW1048576 HO1:HO1048576 JG1:JG1048576 KY1:KY1048576 FA1:FA1048576 GS1:GS1048576 IK1:IK1048576 KC1:KC1048576">
    <cfRule type="cellIs" dxfId="131" priority="14537" operator="between">
      <formula>CI$31</formula>
      <formula>1000</formula>
    </cfRule>
  </conditionalFormatting>
  <conditionalFormatting sqref="LT1:LT1048576 KX1:KX1048576 KB1:KB1048576 JF1:JF1048576 IJ1:IJ1048576 HN1:HN1048576 GR1:GR1048576 FV1:FV1048576 EZ1:EZ1048576 ED1:ED1048576 DH1:DH1048576 CL1:CL1048576">
    <cfRule type="expression" dxfId="130" priority="3">
      <formula>IF(AND(CL1&gt;=CI$27,CL1&lt;100),1,0)</formula>
    </cfRule>
    <cfRule type="expression" dxfId="129" priority="4">
      <formula>IF(AND(CL1&gt;=CI$26,CL1&lt;CI$27),1,0)</formula>
    </cfRule>
  </conditionalFormatting>
  <conditionalFormatting sqref="BL1:BL1048576 AO1:AO1048576">
    <cfRule type="expression" dxfId="128" priority="1">
      <formula>IF(AND(AO1&gt;=AL$27,AO1&lt;100,AJ1=""),1,0)</formula>
    </cfRule>
    <cfRule type="expression" dxfId="127" priority="2">
      <formula>IF(AND(AO1&gt;=AL$26,AO1&lt;AL$27,AJ1=""),1,0)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S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3" width="10.83203125" customWidth="1"/>
    <col min="44" max="59" width="10.83203125" hidden="1" customWidth="1"/>
    <col min="60" max="66" width="10.83203125" customWidth="1"/>
    <col min="71" max="85" width="10.83203125" hidden="1" customWidth="1"/>
    <col min="86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151" width="10.83203125" hidden="1" customWidth="1"/>
    <col min="152" max="158" width="10.83203125" customWidth="1"/>
    <col min="159" max="173" width="10.83203125" hidden="1" customWidth="1"/>
    <col min="174" max="180" width="10.83203125" customWidth="1"/>
    <col min="181" max="195" width="10.83203125" hidden="1" customWidth="1"/>
    <col min="196" max="202" width="10.83203125" customWidth="1"/>
    <col min="203" max="217" width="10.83203125" hidden="1" customWidth="1"/>
    <col min="218" max="224" width="10.83203125" customWidth="1"/>
    <col min="225" max="239" width="10.83203125" hidden="1" customWidth="1"/>
    <col min="240" max="246" width="10.83203125" customWidth="1"/>
    <col min="247" max="261" width="10.83203125" hidden="1" customWidth="1"/>
    <col min="262" max="268" width="10.83203125" customWidth="1"/>
    <col min="269" max="283" width="10.83203125" hidden="1" customWidth="1"/>
    <col min="284" max="290" width="10.83203125" customWidth="1"/>
    <col min="291" max="305" width="10.83203125" hidden="1" customWidth="1"/>
    <col min="306" max="312" width="10.83203125" customWidth="1"/>
    <col min="313" max="327" width="10.83203125" hidden="1" customWidth="1"/>
    <col min="328" max="334" width="10.83203125" customWidth="1"/>
    <col min="335" max="357" width="10.83203125" hidden="1" customWidth="1"/>
  </cols>
  <sheetData>
    <row r="1" spans="1:357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1" t="s">
        <v>51</v>
      </c>
      <c r="G1" s="111" t="s">
        <v>50</v>
      </c>
      <c r="H1" s="110" t="s">
        <v>8</v>
      </c>
      <c r="I1" s="110" t="s">
        <v>9</v>
      </c>
      <c r="J1" s="112" t="s">
        <v>10</v>
      </c>
      <c r="K1" s="112" t="s">
        <v>33</v>
      </c>
      <c r="L1" s="112" t="s">
        <v>11</v>
      </c>
      <c r="M1" s="112" t="s">
        <v>33</v>
      </c>
      <c r="N1" s="112" t="s">
        <v>12</v>
      </c>
      <c r="O1" s="112" t="s">
        <v>33</v>
      </c>
      <c r="P1" s="112" t="s">
        <v>13</v>
      </c>
      <c r="Q1" s="112" t="s">
        <v>33</v>
      </c>
      <c r="R1" s="114" t="s">
        <v>14</v>
      </c>
      <c r="S1" s="112" t="s">
        <v>34</v>
      </c>
      <c r="T1" s="112" t="s">
        <v>33</v>
      </c>
      <c r="U1" s="113" t="s">
        <v>53</v>
      </c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5" t="s">
        <v>122</v>
      </c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6" t="s">
        <v>14</v>
      </c>
      <c r="BP1" s="116"/>
      <c r="BQ1" s="116"/>
      <c r="BR1" s="116"/>
      <c r="BS1" s="113" t="s">
        <v>63</v>
      </c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5" t="s">
        <v>62</v>
      </c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3" t="s">
        <v>64</v>
      </c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5" t="s">
        <v>65</v>
      </c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3"/>
      <c r="HI1" s="113"/>
      <c r="HJ1" s="113"/>
      <c r="HK1" s="113"/>
      <c r="HL1" s="113"/>
      <c r="HM1" s="113"/>
      <c r="HN1" s="113"/>
      <c r="HO1" s="113"/>
      <c r="HP1" s="113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3"/>
      <c r="IY1" s="113"/>
      <c r="IZ1" s="113"/>
      <c r="JA1" s="113"/>
      <c r="JB1" s="113"/>
      <c r="JC1" s="113"/>
      <c r="JD1" s="113"/>
      <c r="JE1" s="113"/>
      <c r="JF1" s="113"/>
      <c r="JG1" s="113"/>
      <c r="JH1" s="113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3"/>
      <c r="KF1" s="113"/>
      <c r="KG1" s="113"/>
      <c r="KH1" s="113"/>
      <c r="KI1" s="113"/>
      <c r="KJ1" s="113"/>
      <c r="KK1" s="113"/>
      <c r="KL1" s="113"/>
      <c r="KM1" s="113"/>
      <c r="KN1" s="113"/>
      <c r="KO1" s="113"/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3" t="s">
        <v>120</v>
      </c>
      <c r="LX1" s="113"/>
      <c r="LY1" s="113"/>
      <c r="LZ1" s="113"/>
      <c r="MA1" s="113"/>
      <c r="MB1" s="113"/>
      <c r="MC1" s="113"/>
      <c r="MD1" s="113"/>
      <c r="ME1" s="113"/>
      <c r="MF1" s="113"/>
      <c r="MG1" s="113"/>
      <c r="MH1" s="113"/>
      <c r="MI1" s="113"/>
      <c r="MJ1" s="113"/>
      <c r="MK1" s="113"/>
      <c r="ML1" s="113"/>
      <c r="MM1" s="113"/>
      <c r="MN1" s="113"/>
      <c r="MO1" s="113"/>
      <c r="MP1" s="113"/>
      <c r="MQ1" s="113"/>
      <c r="MR1" s="113"/>
      <c r="MS1" s="113"/>
    </row>
    <row r="2" spans="1:357" x14ac:dyDescent="0.2">
      <c r="A2" s="110"/>
      <c r="B2" s="110"/>
      <c r="C2" s="110"/>
      <c r="D2" s="110"/>
      <c r="E2" s="110"/>
      <c r="F2" s="111"/>
      <c r="G2" s="111"/>
      <c r="H2" s="110"/>
      <c r="I2" s="110"/>
      <c r="J2" s="112"/>
      <c r="K2" s="112"/>
      <c r="L2" s="112"/>
      <c r="M2" s="112"/>
      <c r="N2" s="112"/>
      <c r="O2" s="112"/>
      <c r="P2" s="112"/>
      <c r="Q2" s="112"/>
      <c r="R2" s="114"/>
      <c r="S2" s="112"/>
      <c r="T2" s="112"/>
      <c r="U2" s="108" t="s">
        <v>19</v>
      </c>
      <c r="V2" s="108"/>
      <c r="W2" s="108"/>
      <c r="X2" s="108"/>
      <c r="Y2" s="108"/>
      <c r="Z2" s="108" t="s">
        <v>20</v>
      </c>
      <c r="AA2" s="108"/>
      <c r="AB2" s="108"/>
      <c r="AC2" s="108"/>
      <c r="AD2" s="108"/>
      <c r="AE2" s="108" t="s">
        <v>23</v>
      </c>
      <c r="AF2" s="108"/>
      <c r="AG2" s="108"/>
      <c r="AH2" s="108"/>
      <c r="AI2" s="108"/>
      <c r="AJ2" s="72"/>
      <c r="AK2" s="52" t="s">
        <v>66</v>
      </c>
      <c r="AL2" s="10" t="s">
        <v>21</v>
      </c>
      <c r="AM2" s="10" t="s">
        <v>22</v>
      </c>
      <c r="AN2" s="10" t="s">
        <v>24</v>
      </c>
      <c r="AO2" s="10" t="s">
        <v>131</v>
      </c>
      <c r="AP2" s="10" t="s">
        <v>23</v>
      </c>
      <c r="AQ2" s="10" t="s">
        <v>18</v>
      </c>
      <c r="AR2" s="109" t="s">
        <v>19</v>
      </c>
      <c r="AS2" s="109"/>
      <c r="AT2" s="109"/>
      <c r="AU2" s="109"/>
      <c r="AV2" s="109"/>
      <c r="AW2" s="109" t="s">
        <v>20</v>
      </c>
      <c r="AX2" s="109"/>
      <c r="AY2" s="109"/>
      <c r="AZ2" s="109"/>
      <c r="BA2" s="109"/>
      <c r="BB2" s="109" t="s">
        <v>23</v>
      </c>
      <c r="BC2" s="109"/>
      <c r="BD2" s="109"/>
      <c r="BE2" s="109"/>
      <c r="BF2" s="109"/>
      <c r="BG2" s="73"/>
      <c r="BH2" s="51" t="s">
        <v>66</v>
      </c>
      <c r="BI2" s="13" t="s">
        <v>21</v>
      </c>
      <c r="BJ2" s="13" t="s">
        <v>22</v>
      </c>
      <c r="BK2" s="13" t="s">
        <v>24</v>
      </c>
      <c r="BL2" s="13" t="s">
        <v>131</v>
      </c>
      <c r="BM2" s="13" t="s">
        <v>23</v>
      </c>
      <c r="BN2" s="13" t="s">
        <v>18</v>
      </c>
      <c r="BO2" s="22" t="s">
        <v>21</v>
      </c>
      <c r="BP2" s="22" t="s">
        <v>22</v>
      </c>
      <c r="BQ2" s="22" t="s">
        <v>24</v>
      </c>
      <c r="BR2" s="22" t="s">
        <v>23</v>
      </c>
      <c r="BS2" s="108" t="s">
        <v>19</v>
      </c>
      <c r="BT2" s="108"/>
      <c r="BU2" s="108"/>
      <c r="BV2" s="108"/>
      <c r="BW2" s="108"/>
      <c r="BX2" s="108" t="s">
        <v>20</v>
      </c>
      <c r="BY2" s="108"/>
      <c r="BZ2" s="108"/>
      <c r="CA2" s="108"/>
      <c r="CB2" s="108"/>
      <c r="CC2" s="108" t="s">
        <v>23</v>
      </c>
      <c r="CD2" s="108"/>
      <c r="CE2" s="108"/>
      <c r="CF2" s="108"/>
      <c r="CG2" s="108"/>
      <c r="CH2" s="52" t="s">
        <v>66</v>
      </c>
      <c r="CI2" s="10" t="s">
        <v>21</v>
      </c>
      <c r="CJ2" s="10" t="s">
        <v>22</v>
      </c>
      <c r="CK2" s="10" t="s">
        <v>24</v>
      </c>
      <c r="CL2" s="10" t="s">
        <v>131</v>
      </c>
      <c r="CM2" s="10" t="s">
        <v>23</v>
      </c>
      <c r="CN2" s="10" t="s">
        <v>18</v>
      </c>
      <c r="CO2" s="109" t="s">
        <v>19</v>
      </c>
      <c r="CP2" s="109"/>
      <c r="CQ2" s="109"/>
      <c r="CR2" s="109"/>
      <c r="CS2" s="109"/>
      <c r="CT2" s="109" t="s">
        <v>20</v>
      </c>
      <c r="CU2" s="109"/>
      <c r="CV2" s="109"/>
      <c r="CW2" s="109"/>
      <c r="CX2" s="109"/>
      <c r="CY2" s="109" t="s">
        <v>23</v>
      </c>
      <c r="CZ2" s="109"/>
      <c r="DA2" s="109"/>
      <c r="DB2" s="109"/>
      <c r="DC2" s="109"/>
      <c r="DD2" s="51" t="s">
        <v>66</v>
      </c>
      <c r="DE2" s="13" t="s">
        <v>21</v>
      </c>
      <c r="DF2" s="13" t="s">
        <v>22</v>
      </c>
      <c r="DG2" s="13" t="s">
        <v>24</v>
      </c>
      <c r="DH2" s="13" t="s">
        <v>131</v>
      </c>
      <c r="DI2" s="13" t="s">
        <v>23</v>
      </c>
      <c r="DJ2" s="13" t="s">
        <v>18</v>
      </c>
      <c r="DK2" s="108" t="s">
        <v>19</v>
      </c>
      <c r="DL2" s="108"/>
      <c r="DM2" s="108"/>
      <c r="DN2" s="108"/>
      <c r="DO2" s="108"/>
      <c r="DP2" s="108" t="s">
        <v>20</v>
      </c>
      <c r="DQ2" s="108"/>
      <c r="DR2" s="108"/>
      <c r="DS2" s="108"/>
      <c r="DT2" s="108"/>
      <c r="DU2" s="108" t="s">
        <v>23</v>
      </c>
      <c r="DV2" s="108"/>
      <c r="DW2" s="108"/>
      <c r="DX2" s="108"/>
      <c r="DY2" s="108"/>
      <c r="DZ2" s="52" t="s">
        <v>66</v>
      </c>
      <c r="EA2" s="10" t="s">
        <v>21</v>
      </c>
      <c r="EB2" s="10" t="s">
        <v>22</v>
      </c>
      <c r="EC2" s="10" t="s">
        <v>24</v>
      </c>
      <c r="ED2" s="10" t="s">
        <v>131</v>
      </c>
      <c r="EE2" s="10" t="s">
        <v>23</v>
      </c>
      <c r="EF2" s="10" t="s">
        <v>18</v>
      </c>
      <c r="EG2" s="109" t="s">
        <v>19</v>
      </c>
      <c r="EH2" s="109"/>
      <c r="EI2" s="109"/>
      <c r="EJ2" s="109"/>
      <c r="EK2" s="109"/>
      <c r="EL2" s="109" t="s">
        <v>20</v>
      </c>
      <c r="EM2" s="109"/>
      <c r="EN2" s="109"/>
      <c r="EO2" s="109"/>
      <c r="EP2" s="109"/>
      <c r="EQ2" s="109" t="s">
        <v>23</v>
      </c>
      <c r="ER2" s="109"/>
      <c r="ES2" s="109"/>
      <c r="ET2" s="109"/>
      <c r="EU2" s="109"/>
      <c r="EV2" s="51" t="s">
        <v>66</v>
      </c>
      <c r="EW2" s="13" t="s">
        <v>21</v>
      </c>
      <c r="EX2" s="13" t="s">
        <v>22</v>
      </c>
      <c r="EY2" s="13" t="s">
        <v>24</v>
      </c>
      <c r="EZ2" s="13" t="s">
        <v>131</v>
      </c>
      <c r="FA2" s="13" t="s">
        <v>23</v>
      </c>
      <c r="FB2" s="13" t="s">
        <v>18</v>
      </c>
      <c r="FC2" s="108" t="s">
        <v>19</v>
      </c>
      <c r="FD2" s="108"/>
      <c r="FE2" s="108"/>
      <c r="FF2" s="108"/>
      <c r="FG2" s="108"/>
      <c r="FH2" s="108" t="s">
        <v>20</v>
      </c>
      <c r="FI2" s="108"/>
      <c r="FJ2" s="108"/>
      <c r="FK2" s="108"/>
      <c r="FL2" s="108"/>
      <c r="FM2" s="108" t="s">
        <v>23</v>
      </c>
      <c r="FN2" s="108"/>
      <c r="FO2" s="108"/>
      <c r="FP2" s="108"/>
      <c r="FQ2" s="108"/>
      <c r="FR2" s="52" t="s">
        <v>66</v>
      </c>
      <c r="FS2" s="10" t="s">
        <v>21</v>
      </c>
      <c r="FT2" s="10" t="s">
        <v>22</v>
      </c>
      <c r="FU2" s="10" t="s">
        <v>24</v>
      </c>
      <c r="FV2" s="10" t="s">
        <v>131</v>
      </c>
      <c r="FW2" s="10" t="s">
        <v>23</v>
      </c>
      <c r="FX2" s="10" t="s">
        <v>18</v>
      </c>
      <c r="FY2" s="109" t="s">
        <v>19</v>
      </c>
      <c r="FZ2" s="109"/>
      <c r="GA2" s="109"/>
      <c r="GB2" s="109"/>
      <c r="GC2" s="109"/>
      <c r="GD2" s="109" t="s">
        <v>20</v>
      </c>
      <c r="GE2" s="109"/>
      <c r="GF2" s="109"/>
      <c r="GG2" s="109"/>
      <c r="GH2" s="109"/>
      <c r="GI2" s="109" t="s">
        <v>23</v>
      </c>
      <c r="GJ2" s="109"/>
      <c r="GK2" s="109"/>
      <c r="GL2" s="109"/>
      <c r="GM2" s="109"/>
      <c r="GN2" s="51" t="s">
        <v>66</v>
      </c>
      <c r="GO2" s="13" t="s">
        <v>21</v>
      </c>
      <c r="GP2" s="13" t="s">
        <v>22</v>
      </c>
      <c r="GQ2" s="13" t="s">
        <v>24</v>
      </c>
      <c r="GR2" s="13" t="s">
        <v>131</v>
      </c>
      <c r="GS2" s="13" t="s">
        <v>23</v>
      </c>
      <c r="GT2" s="13" t="s">
        <v>18</v>
      </c>
      <c r="GU2" s="108" t="s">
        <v>19</v>
      </c>
      <c r="GV2" s="108"/>
      <c r="GW2" s="108"/>
      <c r="GX2" s="108"/>
      <c r="GY2" s="108"/>
      <c r="GZ2" s="108" t="s">
        <v>20</v>
      </c>
      <c r="HA2" s="108"/>
      <c r="HB2" s="108"/>
      <c r="HC2" s="108"/>
      <c r="HD2" s="108"/>
      <c r="HE2" s="108" t="s">
        <v>23</v>
      </c>
      <c r="HF2" s="108"/>
      <c r="HG2" s="108"/>
      <c r="HH2" s="108"/>
      <c r="HI2" s="108"/>
      <c r="HJ2" s="21" t="s">
        <v>66</v>
      </c>
      <c r="HK2" s="10" t="s">
        <v>21</v>
      </c>
      <c r="HL2" s="10" t="s">
        <v>22</v>
      </c>
      <c r="HM2" s="10" t="s">
        <v>24</v>
      </c>
      <c r="HN2" s="10" t="s">
        <v>131</v>
      </c>
      <c r="HO2" s="10" t="s">
        <v>23</v>
      </c>
      <c r="HP2" s="10" t="s">
        <v>18</v>
      </c>
      <c r="HQ2" s="109" t="s">
        <v>19</v>
      </c>
      <c r="HR2" s="109"/>
      <c r="HS2" s="109"/>
      <c r="HT2" s="109"/>
      <c r="HU2" s="109"/>
      <c r="HV2" s="109" t="s">
        <v>20</v>
      </c>
      <c r="HW2" s="109"/>
      <c r="HX2" s="109"/>
      <c r="HY2" s="109"/>
      <c r="HZ2" s="109"/>
      <c r="IA2" s="109" t="s">
        <v>23</v>
      </c>
      <c r="IB2" s="109"/>
      <c r="IC2" s="109"/>
      <c r="ID2" s="109"/>
      <c r="IE2" s="109"/>
      <c r="IF2" s="51" t="s">
        <v>66</v>
      </c>
      <c r="IG2" s="13" t="s">
        <v>21</v>
      </c>
      <c r="IH2" s="13" t="s">
        <v>22</v>
      </c>
      <c r="II2" s="13" t="s">
        <v>24</v>
      </c>
      <c r="IJ2" s="13" t="s">
        <v>131</v>
      </c>
      <c r="IK2" s="13" t="s">
        <v>23</v>
      </c>
      <c r="IL2" s="13" t="s">
        <v>18</v>
      </c>
      <c r="IM2" s="108" t="s">
        <v>19</v>
      </c>
      <c r="IN2" s="108"/>
      <c r="IO2" s="108"/>
      <c r="IP2" s="108"/>
      <c r="IQ2" s="108"/>
      <c r="IR2" s="108" t="s">
        <v>20</v>
      </c>
      <c r="IS2" s="108"/>
      <c r="IT2" s="108"/>
      <c r="IU2" s="108"/>
      <c r="IV2" s="108"/>
      <c r="IW2" s="108" t="s">
        <v>23</v>
      </c>
      <c r="IX2" s="108"/>
      <c r="IY2" s="108"/>
      <c r="IZ2" s="108"/>
      <c r="JA2" s="108"/>
      <c r="JB2" s="21" t="s">
        <v>66</v>
      </c>
      <c r="JC2" s="10" t="s">
        <v>21</v>
      </c>
      <c r="JD2" s="10" t="s">
        <v>22</v>
      </c>
      <c r="JE2" s="10" t="s">
        <v>24</v>
      </c>
      <c r="JF2" s="10" t="s">
        <v>131</v>
      </c>
      <c r="JG2" s="10" t="s">
        <v>23</v>
      </c>
      <c r="JH2" s="10" t="s">
        <v>18</v>
      </c>
      <c r="JI2" s="109" t="s">
        <v>19</v>
      </c>
      <c r="JJ2" s="109"/>
      <c r="JK2" s="109"/>
      <c r="JL2" s="109"/>
      <c r="JM2" s="109"/>
      <c r="JN2" s="109" t="s">
        <v>20</v>
      </c>
      <c r="JO2" s="109"/>
      <c r="JP2" s="109"/>
      <c r="JQ2" s="109"/>
      <c r="JR2" s="109"/>
      <c r="JS2" s="109" t="s">
        <v>23</v>
      </c>
      <c r="JT2" s="109"/>
      <c r="JU2" s="109"/>
      <c r="JV2" s="109"/>
      <c r="JW2" s="109"/>
      <c r="JX2" s="20" t="s">
        <v>66</v>
      </c>
      <c r="JY2" s="13" t="s">
        <v>21</v>
      </c>
      <c r="JZ2" s="13" t="s">
        <v>22</v>
      </c>
      <c r="KA2" s="13" t="s">
        <v>24</v>
      </c>
      <c r="KB2" s="13" t="s">
        <v>131</v>
      </c>
      <c r="KC2" s="13" t="s">
        <v>23</v>
      </c>
      <c r="KD2" s="13" t="s">
        <v>18</v>
      </c>
      <c r="KE2" s="108" t="s">
        <v>19</v>
      </c>
      <c r="KF2" s="108"/>
      <c r="KG2" s="108"/>
      <c r="KH2" s="108"/>
      <c r="KI2" s="108"/>
      <c r="KJ2" s="108" t="s">
        <v>20</v>
      </c>
      <c r="KK2" s="108"/>
      <c r="KL2" s="108"/>
      <c r="KM2" s="108"/>
      <c r="KN2" s="108"/>
      <c r="KO2" s="108" t="s">
        <v>23</v>
      </c>
      <c r="KP2" s="108"/>
      <c r="KQ2" s="108"/>
      <c r="KR2" s="108"/>
      <c r="KS2" s="108"/>
      <c r="KT2" s="21" t="s">
        <v>66</v>
      </c>
      <c r="KU2" s="10" t="s">
        <v>21</v>
      </c>
      <c r="KV2" s="10" t="s">
        <v>22</v>
      </c>
      <c r="KW2" s="10" t="s">
        <v>24</v>
      </c>
      <c r="KX2" s="10" t="s">
        <v>131</v>
      </c>
      <c r="KY2" s="10" t="s">
        <v>23</v>
      </c>
      <c r="KZ2" s="10" t="s">
        <v>18</v>
      </c>
      <c r="LA2" s="109" t="s">
        <v>19</v>
      </c>
      <c r="LB2" s="109"/>
      <c r="LC2" s="109"/>
      <c r="LD2" s="109"/>
      <c r="LE2" s="109"/>
      <c r="LF2" s="109" t="s">
        <v>20</v>
      </c>
      <c r="LG2" s="109"/>
      <c r="LH2" s="109"/>
      <c r="LI2" s="109"/>
      <c r="LJ2" s="109"/>
      <c r="LK2" s="109" t="s">
        <v>23</v>
      </c>
      <c r="LL2" s="109"/>
      <c r="LM2" s="109"/>
      <c r="LN2" s="109"/>
      <c r="LO2" s="109"/>
      <c r="LP2" s="20" t="s">
        <v>66</v>
      </c>
      <c r="LQ2" s="13" t="s">
        <v>21</v>
      </c>
      <c r="LR2" s="13" t="s">
        <v>22</v>
      </c>
      <c r="LS2" s="13" t="s">
        <v>24</v>
      </c>
      <c r="LT2" s="13" t="s">
        <v>131</v>
      </c>
      <c r="LU2" s="13" t="s">
        <v>23</v>
      </c>
      <c r="LV2" s="13" t="s">
        <v>18</v>
      </c>
      <c r="LW2" s="108" t="s">
        <v>19</v>
      </c>
      <c r="LX2" s="108"/>
      <c r="LY2" s="108"/>
      <c r="LZ2" s="108"/>
      <c r="MA2" s="108"/>
      <c r="MB2" s="108" t="s">
        <v>20</v>
      </c>
      <c r="MC2" s="108"/>
      <c r="MD2" s="108"/>
      <c r="ME2" s="108"/>
      <c r="MF2" s="108"/>
      <c r="MG2" s="108" t="s">
        <v>23</v>
      </c>
      <c r="MH2" s="108"/>
      <c r="MI2" s="108"/>
      <c r="MJ2" s="108"/>
      <c r="MK2" s="108"/>
      <c r="ML2" s="105"/>
      <c r="MM2" s="105" t="s">
        <v>66</v>
      </c>
      <c r="MN2" s="10" t="s">
        <v>21</v>
      </c>
      <c r="MO2" s="10" t="s">
        <v>22</v>
      </c>
      <c r="MP2" s="10" t="s">
        <v>24</v>
      </c>
      <c r="MQ2" s="10" t="s">
        <v>131</v>
      </c>
      <c r="MR2" s="10" t="s">
        <v>23</v>
      </c>
      <c r="MS2" s="10" t="s">
        <v>18</v>
      </c>
    </row>
    <row r="3" spans="1:357" x14ac:dyDescent="0.2">
      <c r="A3" s="110"/>
      <c r="B3" s="110"/>
      <c r="C3" s="110"/>
      <c r="D3" s="110"/>
      <c r="E3" s="110"/>
      <c r="F3" s="111"/>
      <c r="G3" s="111"/>
      <c r="H3" s="110"/>
      <c r="I3" s="110"/>
      <c r="J3" s="112"/>
      <c r="K3" s="112"/>
      <c r="L3" s="112"/>
      <c r="M3" s="112"/>
      <c r="N3" s="112"/>
      <c r="O3" s="112"/>
      <c r="P3" s="112"/>
      <c r="Q3" s="112"/>
      <c r="R3" s="114"/>
      <c r="S3" s="112"/>
      <c r="T3" s="112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54</v>
      </c>
      <c r="AK3" s="11"/>
      <c r="AL3" s="10"/>
      <c r="AM3" s="10"/>
      <c r="AN3" s="10"/>
      <c r="AO3" s="10"/>
      <c r="AP3" s="11"/>
      <c r="AQ3" s="11"/>
      <c r="AR3" s="51" t="s">
        <v>15</v>
      </c>
      <c r="AS3" s="51" t="s">
        <v>16</v>
      </c>
      <c r="AT3" s="51" t="s">
        <v>7</v>
      </c>
      <c r="AU3" s="51" t="s">
        <v>17</v>
      </c>
      <c r="AV3" s="51" t="s">
        <v>28</v>
      </c>
      <c r="AW3" s="51" t="s">
        <v>15</v>
      </c>
      <c r="AX3" s="51" t="s">
        <v>16</v>
      </c>
      <c r="AY3" s="51" t="s">
        <v>7</v>
      </c>
      <c r="AZ3" s="51" t="s">
        <v>17</v>
      </c>
      <c r="BA3" s="51" t="s">
        <v>28</v>
      </c>
      <c r="BB3" s="51" t="s">
        <v>15</v>
      </c>
      <c r="BC3" s="51" t="s">
        <v>16</v>
      </c>
      <c r="BD3" s="51" t="s">
        <v>7</v>
      </c>
      <c r="BE3" s="51" t="s">
        <v>17</v>
      </c>
      <c r="BF3" s="51" t="s">
        <v>28</v>
      </c>
      <c r="BG3" s="73" t="s">
        <v>54</v>
      </c>
      <c r="BH3" s="14"/>
      <c r="BI3" s="13"/>
      <c r="BJ3" s="13"/>
      <c r="BK3" s="13"/>
      <c r="BL3" s="13"/>
      <c r="BM3" s="14"/>
      <c r="BN3" s="14"/>
      <c r="BO3" s="23"/>
      <c r="BP3" s="23"/>
      <c r="BQ3" s="23"/>
      <c r="BR3" s="23"/>
      <c r="BS3" s="52" t="s">
        <v>15</v>
      </c>
      <c r="BT3" s="52" t="s">
        <v>16</v>
      </c>
      <c r="BU3" s="52" t="s">
        <v>7</v>
      </c>
      <c r="BV3" s="52" t="s">
        <v>17</v>
      </c>
      <c r="BW3" s="52" t="s">
        <v>28</v>
      </c>
      <c r="BX3" s="52" t="s">
        <v>15</v>
      </c>
      <c r="BY3" s="52" t="s">
        <v>16</v>
      </c>
      <c r="BZ3" s="52" t="s">
        <v>7</v>
      </c>
      <c r="CA3" s="52" t="s">
        <v>17</v>
      </c>
      <c r="CB3" s="52" t="s">
        <v>28</v>
      </c>
      <c r="CC3" s="52" t="s">
        <v>15</v>
      </c>
      <c r="CD3" s="52" t="s">
        <v>16</v>
      </c>
      <c r="CE3" s="52" t="s">
        <v>7</v>
      </c>
      <c r="CF3" s="52" t="s">
        <v>17</v>
      </c>
      <c r="CG3" s="52" t="s">
        <v>28</v>
      </c>
      <c r="CH3" s="11"/>
      <c r="CI3" s="10"/>
      <c r="CJ3" s="10"/>
      <c r="CK3" s="10"/>
      <c r="CL3" s="10"/>
      <c r="CM3" s="11"/>
      <c r="CN3" s="11"/>
      <c r="CO3" s="51" t="s">
        <v>15</v>
      </c>
      <c r="CP3" s="51" t="s">
        <v>16</v>
      </c>
      <c r="CQ3" s="51" t="s">
        <v>7</v>
      </c>
      <c r="CR3" s="51" t="s">
        <v>17</v>
      </c>
      <c r="CS3" s="51" t="s">
        <v>28</v>
      </c>
      <c r="CT3" s="51" t="s">
        <v>15</v>
      </c>
      <c r="CU3" s="51" t="s">
        <v>16</v>
      </c>
      <c r="CV3" s="51" t="s">
        <v>7</v>
      </c>
      <c r="CW3" s="51" t="s">
        <v>17</v>
      </c>
      <c r="CX3" s="51" t="s">
        <v>28</v>
      </c>
      <c r="CY3" s="51" t="s">
        <v>15</v>
      </c>
      <c r="CZ3" s="51" t="s">
        <v>16</v>
      </c>
      <c r="DA3" s="51" t="s">
        <v>7</v>
      </c>
      <c r="DB3" s="51" t="s">
        <v>17</v>
      </c>
      <c r="DC3" s="51" t="s">
        <v>28</v>
      </c>
      <c r="DD3" s="14"/>
      <c r="DE3" s="13"/>
      <c r="DF3" s="13"/>
      <c r="DG3" s="13"/>
      <c r="DH3" s="13"/>
      <c r="DI3" s="14"/>
      <c r="DJ3" s="14"/>
      <c r="DK3" s="52" t="s">
        <v>15</v>
      </c>
      <c r="DL3" s="52" t="s">
        <v>16</v>
      </c>
      <c r="DM3" s="52" t="s">
        <v>7</v>
      </c>
      <c r="DN3" s="52" t="s">
        <v>17</v>
      </c>
      <c r="DO3" s="52" t="s">
        <v>28</v>
      </c>
      <c r="DP3" s="52" t="s">
        <v>15</v>
      </c>
      <c r="DQ3" s="52" t="s">
        <v>16</v>
      </c>
      <c r="DR3" s="52" t="s">
        <v>7</v>
      </c>
      <c r="DS3" s="52" t="s">
        <v>17</v>
      </c>
      <c r="DT3" s="52" t="s">
        <v>28</v>
      </c>
      <c r="DU3" s="52" t="s">
        <v>15</v>
      </c>
      <c r="DV3" s="52" t="s">
        <v>16</v>
      </c>
      <c r="DW3" s="52" t="s">
        <v>7</v>
      </c>
      <c r="DX3" s="52" t="s">
        <v>17</v>
      </c>
      <c r="DY3" s="52" t="s">
        <v>28</v>
      </c>
      <c r="DZ3" s="11"/>
      <c r="EA3" s="10"/>
      <c r="EB3" s="10"/>
      <c r="EC3" s="10"/>
      <c r="ED3" s="10"/>
      <c r="EE3" s="11"/>
      <c r="EF3" s="11"/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51" t="s">
        <v>15</v>
      </c>
      <c r="ER3" s="51" t="s">
        <v>16</v>
      </c>
      <c r="ES3" s="51" t="s">
        <v>7</v>
      </c>
      <c r="ET3" s="51" t="s">
        <v>17</v>
      </c>
      <c r="EU3" s="51" t="s">
        <v>28</v>
      </c>
      <c r="EV3" s="14"/>
      <c r="EW3" s="13"/>
      <c r="EX3" s="13"/>
      <c r="EY3" s="13"/>
      <c r="EZ3" s="13"/>
      <c r="FA3" s="14"/>
      <c r="FB3" s="14"/>
      <c r="FC3" s="52" t="s">
        <v>15</v>
      </c>
      <c r="FD3" s="52" t="s">
        <v>16</v>
      </c>
      <c r="FE3" s="52" t="s">
        <v>7</v>
      </c>
      <c r="FF3" s="52" t="s">
        <v>17</v>
      </c>
      <c r="FG3" s="52" t="s">
        <v>28</v>
      </c>
      <c r="FH3" s="52" t="s">
        <v>15</v>
      </c>
      <c r="FI3" s="52" t="s">
        <v>16</v>
      </c>
      <c r="FJ3" s="52" t="s">
        <v>7</v>
      </c>
      <c r="FK3" s="52" t="s">
        <v>17</v>
      </c>
      <c r="FL3" s="52" t="s">
        <v>28</v>
      </c>
      <c r="FM3" s="52" t="s">
        <v>15</v>
      </c>
      <c r="FN3" s="52" t="s">
        <v>16</v>
      </c>
      <c r="FO3" s="52" t="s">
        <v>7</v>
      </c>
      <c r="FP3" s="52" t="s">
        <v>17</v>
      </c>
      <c r="FQ3" s="52" t="s">
        <v>28</v>
      </c>
      <c r="FR3" s="11"/>
      <c r="FS3" s="10"/>
      <c r="FT3" s="10"/>
      <c r="FU3" s="10"/>
      <c r="FV3" s="10"/>
      <c r="FW3" s="11"/>
      <c r="FX3" s="11"/>
      <c r="FY3" s="51" t="s">
        <v>15</v>
      </c>
      <c r="FZ3" s="51" t="s">
        <v>16</v>
      </c>
      <c r="GA3" s="51" t="s">
        <v>7</v>
      </c>
      <c r="GB3" s="51" t="s">
        <v>17</v>
      </c>
      <c r="GC3" s="51" t="s">
        <v>28</v>
      </c>
      <c r="GD3" s="51" t="s">
        <v>15</v>
      </c>
      <c r="GE3" s="51" t="s">
        <v>16</v>
      </c>
      <c r="GF3" s="51" t="s">
        <v>7</v>
      </c>
      <c r="GG3" s="51" t="s">
        <v>17</v>
      </c>
      <c r="GH3" s="51" t="s">
        <v>28</v>
      </c>
      <c r="GI3" s="51" t="s">
        <v>15</v>
      </c>
      <c r="GJ3" s="51" t="s">
        <v>16</v>
      </c>
      <c r="GK3" s="51" t="s">
        <v>7</v>
      </c>
      <c r="GL3" s="51" t="s">
        <v>17</v>
      </c>
      <c r="GM3" s="51" t="s">
        <v>28</v>
      </c>
      <c r="GN3" s="14"/>
      <c r="GO3" s="13"/>
      <c r="GP3" s="13"/>
      <c r="GQ3" s="13"/>
      <c r="GR3" s="13"/>
      <c r="GS3" s="14"/>
      <c r="GT3" s="14"/>
      <c r="GU3" s="29" t="s">
        <v>15</v>
      </c>
      <c r="GV3" s="29" t="s">
        <v>16</v>
      </c>
      <c r="GW3" s="29" t="s">
        <v>7</v>
      </c>
      <c r="GX3" s="29" t="s">
        <v>17</v>
      </c>
      <c r="GY3" s="43" t="s">
        <v>28</v>
      </c>
      <c r="GZ3" s="29" t="s">
        <v>15</v>
      </c>
      <c r="HA3" s="29" t="s">
        <v>16</v>
      </c>
      <c r="HB3" s="29" t="s">
        <v>7</v>
      </c>
      <c r="HC3" s="29" t="s">
        <v>17</v>
      </c>
      <c r="HD3" s="43" t="s">
        <v>28</v>
      </c>
      <c r="HE3" s="29" t="s">
        <v>15</v>
      </c>
      <c r="HF3" s="29" t="s">
        <v>16</v>
      </c>
      <c r="HG3" s="29" t="s">
        <v>7</v>
      </c>
      <c r="HH3" s="29" t="s">
        <v>17</v>
      </c>
      <c r="HI3" s="43" t="s">
        <v>28</v>
      </c>
      <c r="HJ3" s="11"/>
      <c r="HK3" s="10"/>
      <c r="HL3" s="10"/>
      <c r="HM3" s="10"/>
      <c r="HN3" s="10"/>
      <c r="HO3" s="11"/>
      <c r="HP3" s="11"/>
      <c r="HQ3" s="51" t="s">
        <v>15</v>
      </c>
      <c r="HR3" s="51" t="s">
        <v>16</v>
      </c>
      <c r="HS3" s="51" t="s">
        <v>7</v>
      </c>
      <c r="HT3" s="51" t="s">
        <v>17</v>
      </c>
      <c r="HU3" s="51" t="s">
        <v>28</v>
      </c>
      <c r="HV3" s="51" t="s">
        <v>15</v>
      </c>
      <c r="HW3" s="51" t="s">
        <v>16</v>
      </c>
      <c r="HX3" s="51" t="s">
        <v>7</v>
      </c>
      <c r="HY3" s="51" t="s">
        <v>17</v>
      </c>
      <c r="HZ3" s="51" t="s">
        <v>28</v>
      </c>
      <c r="IA3" s="51" t="s">
        <v>15</v>
      </c>
      <c r="IB3" s="51" t="s">
        <v>16</v>
      </c>
      <c r="IC3" s="51" t="s">
        <v>7</v>
      </c>
      <c r="ID3" s="51" t="s">
        <v>17</v>
      </c>
      <c r="IE3" s="51" t="s">
        <v>28</v>
      </c>
      <c r="IF3" s="14"/>
      <c r="IG3" s="13"/>
      <c r="IH3" s="13"/>
      <c r="II3" s="13"/>
      <c r="IJ3" s="13"/>
      <c r="IK3" s="14"/>
      <c r="IL3" s="14"/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29" t="s">
        <v>15</v>
      </c>
      <c r="IS3" s="29" t="s">
        <v>16</v>
      </c>
      <c r="IT3" s="29" t="s">
        <v>7</v>
      </c>
      <c r="IU3" s="29" t="s">
        <v>17</v>
      </c>
      <c r="IV3" s="43" t="s">
        <v>28</v>
      </c>
      <c r="IW3" s="29" t="s">
        <v>15</v>
      </c>
      <c r="IX3" s="29" t="s">
        <v>16</v>
      </c>
      <c r="IY3" s="29" t="s">
        <v>7</v>
      </c>
      <c r="IZ3" s="29" t="s">
        <v>17</v>
      </c>
      <c r="JA3" s="43" t="s">
        <v>28</v>
      </c>
      <c r="JB3" s="11"/>
      <c r="JC3" s="10"/>
      <c r="JD3" s="10"/>
      <c r="JE3" s="10"/>
      <c r="JF3" s="10"/>
      <c r="JG3" s="11"/>
      <c r="JH3" s="11"/>
      <c r="JI3" s="28" t="s">
        <v>15</v>
      </c>
      <c r="JJ3" s="28" t="s">
        <v>16</v>
      </c>
      <c r="JK3" s="28" t="s">
        <v>7</v>
      </c>
      <c r="JL3" s="28" t="s">
        <v>17</v>
      </c>
      <c r="JM3" s="44" t="s">
        <v>28</v>
      </c>
      <c r="JN3" s="28" t="s">
        <v>15</v>
      </c>
      <c r="JO3" s="28" t="s">
        <v>16</v>
      </c>
      <c r="JP3" s="28" t="s">
        <v>7</v>
      </c>
      <c r="JQ3" s="28" t="s">
        <v>17</v>
      </c>
      <c r="JR3" s="44" t="s">
        <v>28</v>
      </c>
      <c r="JS3" s="28" t="s">
        <v>15</v>
      </c>
      <c r="JT3" s="28" t="s">
        <v>16</v>
      </c>
      <c r="JU3" s="28" t="s">
        <v>7</v>
      </c>
      <c r="JV3" s="28" t="s">
        <v>17</v>
      </c>
      <c r="JW3" s="44" t="s">
        <v>28</v>
      </c>
      <c r="JX3" s="14"/>
      <c r="JY3" s="13"/>
      <c r="JZ3" s="13"/>
      <c r="KA3" s="13"/>
      <c r="KB3" s="13"/>
      <c r="KC3" s="14"/>
      <c r="KD3" s="14"/>
      <c r="KE3" s="29" t="s">
        <v>15</v>
      </c>
      <c r="KF3" s="29" t="s">
        <v>16</v>
      </c>
      <c r="KG3" s="29" t="s">
        <v>7</v>
      </c>
      <c r="KH3" s="29" t="s">
        <v>17</v>
      </c>
      <c r="KI3" s="43" t="s">
        <v>28</v>
      </c>
      <c r="KJ3" s="29" t="s">
        <v>15</v>
      </c>
      <c r="KK3" s="29" t="s">
        <v>16</v>
      </c>
      <c r="KL3" s="29" t="s">
        <v>7</v>
      </c>
      <c r="KM3" s="29" t="s">
        <v>17</v>
      </c>
      <c r="KN3" s="43" t="s">
        <v>28</v>
      </c>
      <c r="KO3" s="29" t="s">
        <v>15</v>
      </c>
      <c r="KP3" s="29" t="s">
        <v>16</v>
      </c>
      <c r="KQ3" s="29" t="s">
        <v>7</v>
      </c>
      <c r="KR3" s="29" t="s">
        <v>17</v>
      </c>
      <c r="KS3" s="43" t="s">
        <v>28</v>
      </c>
      <c r="KT3" s="11"/>
      <c r="KU3" s="10"/>
      <c r="KV3" s="10"/>
      <c r="KW3" s="10"/>
      <c r="KX3" s="10"/>
      <c r="KY3" s="11"/>
      <c r="KZ3" s="11"/>
      <c r="LA3" s="28" t="s">
        <v>15</v>
      </c>
      <c r="LB3" s="28" t="s">
        <v>16</v>
      </c>
      <c r="LC3" s="28" t="s">
        <v>7</v>
      </c>
      <c r="LD3" s="28" t="s">
        <v>17</v>
      </c>
      <c r="LE3" s="44" t="s">
        <v>28</v>
      </c>
      <c r="LF3" s="44" t="s">
        <v>15</v>
      </c>
      <c r="LG3" s="28" t="s">
        <v>16</v>
      </c>
      <c r="LH3" s="28" t="s">
        <v>7</v>
      </c>
      <c r="LI3" s="28" t="s">
        <v>17</v>
      </c>
      <c r="LJ3" s="44" t="s">
        <v>28</v>
      </c>
      <c r="LK3" s="28" t="s">
        <v>15</v>
      </c>
      <c r="LL3" s="28" t="s">
        <v>16</v>
      </c>
      <c r="LM3" s="28" t="s">
        <v>7</v>
      </c>
      <c r="LN3" s="28" t="s">
        <v>17</v>
      </c>
      <c r="LO3" s="44" t="s">
        <v>28</v>
      </c>
      <c r="LP3" s="14"/>
      <c r="LQ3" s="13"/>
      <c r="LR3" s="13"/>
      <c r="LS3" s="13"/>
      <c r="LT3" s="13"/>
      <c r="LU3" s="14"/>
      <c r="LV3" s="14"/>
      <c r="LW3" s="105" t="s">
        <v>15</v>
      </c>
      <c r="LX3" s="105" t="s">
        <v>16</v>
      </c>
      <c r="LY3" s="105" t="s">
        <v>7</v>
      </c>
      <c r="LZ3" s="105" t="s">
        <v>17</v>
      </c>
      <c r="MA3" s="105" t="s">
        <v>28</v>
      </c>
      <c r="MB3" s="105" t="s">
        <v>15</v>
      </c>
      <c r="MC3" s="105" t="s">
        <v>16</v>
      </c>
      <c r="MD3" s="105" t="s">
        <v>7</v>
      </c>
      <c r="ME3" s="105" t="s">
        <v>17</v>
      </c>
      <c r="MF3" s="105" t="s">
        <v>28</v>
      </c>
      <c r="MG3" s="105" t="s">
        <v>15</v>
      </c>
      <c r="MH3" s="105" t="s">
        <v>16</v>
      </c>
      <c r="MI3" s="105" t="s">
        <v>7</v>
      </c>
      <c r="MJ3" s="105" t="s">
        <v>17</v>
      </c>
      <c r="MK3" s="105" t="s">
        <v>28</v>
      </c>
      <c r="ML3" s="105" t="s">
        <v>54</v>
      </c>
      <c r="MM3" s="11"/>
      <c r="MN3" s="10"/>
      <c r="MO3" s="10"/>
      <c r="MP3" s="10"/>
      <c r="MQ3" s="10"/>
      <c r="MR3" s="11"/>
      <c r="MS3" s="11"/>
    </row>
    <row r="4" spans="1:357" x14ac:dyDescent="0.2">
      <c r="A4" s="6">
        <f>IF(AND(F4="P",H4="P"),SUMPRODUCT((F$4:F$16="P")*(H$4:H$16="P")*(E$4:E$16&gt;E4))+1,IF(H4="P",SUMPRODUCT((F$4:F$16="")*(H$4:H$16="P")*(E$4:E$16&gt;E4))+1+SUMPRODUCT((F$4:F$16="P")*(H$4:H$16="P")),""))</f>
        <v>1</v>
      </c>
      <c r="B4" s="9" t="s">
        <v>97</v>
      </c>
      <c r="C4" s="5" t="s">
        <v>4</v>
      </c>
      <c r="D4" s="27">
        <v>2002</v>
      </c>
      <c r="E4" s="16">
        <f>SUM(J4:R4)</f>
        <v>239.715</v>
      </c>
      <c r="F4" s="4" t="str">
        <f>IF(OR(AND($AK4&gt;=$AL$18,NOT($AK4=""),$AJ4=""),AND($BH4&gt;=$BI$18,NOT($BH4=""),$BG4=""),AND($CH4&gt;=$CI$18,NOT($CH4="")),AND($DD4&gt;=$DE$18,NOT($DD4="")),AND($DZ4&gt;=$EA$18,NOT($DZ4="")),AND($EV4&gt;=$EW$18,NOT($EV4="")),AND($FR4&gt;=$FS$18,NOT($FR4="")),AND($GN4&gt;=$GO$18,NOT($GN4="")),AND($HJ4&gt;=$HK$18,NOT($HJ4="")),AND($IF4&gt;=$IG$18,NOT($IF4="")),AND($JB4&gt;=$JC$18,NOT($JB4="")),AND($JX4&gt;=$JY$18,NOT($JX4="")),AND($KT4&gt;=$KU$18,NOT($KT4="")),AND($LP4&gt;=$LQ$18,NOT($LP4=""))),"P","")</f>
        <v>P</v>
      </c>
      <c r="G4" s="4" t="str">
        <f>IF(OR(AND($AK4&gt;=$AL$19,NOT($AK4=""),$AJ4=""),AND($BH4&gt;=$BI$19,NOT($BH4=""),$BG4=""),AND($CH4&gt;=$CI$19,NOT($CH4="")),AND($DD4&gt;=$DE$19,NOT($DD4="")),AND($DZ4&gt;=$EA$19,NOT($DZ4="")),AND($EV4&gt;=$EW$19,NOT($EV4="")),AND($FR4&gt;=$FS$19,NOT($FR4="")),AND($GN4&gt;=$GO$19,NOT($GN4="")),AND($HJ4&gt;=$HK$19,NOT($HJ4="")),AND($IF4&gt;=$IG$19,NOT($IF4="")),AND($JB4&gt;=$JC$19,NOT($JB4="")),AND($JX4&gt;=$JY$19,NOT($JX4="")),AND($KT4&gt;=$KU$19,NOT($KT4="")),AND($LP4&gt;=$LQ$19,NOT($LP4=""))),"P","")</f>
        <v>P</v>
      </c>
      <c r="H4" s="4" t="str">
        <f>IF(OR(AND($AN4&gt;=$AL$20,NOT($AN4=""),$AJ4=""),AND($BK4&gt;=$BI$20,NOT($BK4=""),$BG4=""),AND($CK4&gt;=$CI$20,NOT($CK4="")),AND($DG4&gt;=$DE$20,NOT($DG4="")),AND($EC4&gt;=$EA$20,NOT($EC4="")),AND($EY4&gt;=$EW$20,NOT($EY4="")),AND($FU4&gt;=$FS$20,NOT($FU4="")),AND($GQ4&gt;=$GO$20,NOT($GQ4="")),AND($HM4&gt;=$HK$20,NOT($HM4="")),AND($II4&gt;=$IG$20,NOT($II4="")),AND($JE4&gt;=$JC$20,NOT($JE4="")),AND($KA4&gt;=$JY$20,NOT($KA4="")),AND($KW4&gt;=$KU$20,NOT($KW4="")),AND($LS4&gt;=$LQ$20,NOT($LS4=""))),"P","")</f>
        <v>P</v>
      </c>
      <c r="I4" t="str">
        <f>IF(AND(H4="P",F4=""),"No DD",IF(AND(G4="P",OR(AND($AM4&gt;$AL$23,NOT($AM4=""),$AJ4=""),AND($AP4&gt;$AL$23,NOT($AP4=""),$AJ4=""),AND($BJ4&gt;$BI$23,NOT($BJ4=""),$BG4=""),AND($BM4&gt;$BI$23,NOT($BM4=""),$BG4=""),AND($CJ4&gt;$CI$23,NOT($CJ4="")),AND($CM4&gt;$CI$23,NOT($CM4="")),AND($DF4&gt;$DE$23,NOT($DF4="")),AND($DI4&gt;$DE$23,NOT($DI4="")),AND($EB4&gt;$EA$23,NOT($EB4="")),AND($EE4&gt;$EA$23,NOT($EE4="")),AND($EX4&gt;$EW$23,NOT($EX4="")),AND($FA4&gt;$EW$23,NOT($FA4="")),AND($FT4&gt;$FS$23,NOT($FT4="")),AND($FW4&gt;$FS$23,NOT($FW4="")),AND($GP4&gt;$GO$23,NOT($GP4="")),AND($GS4&gt;$GO$23,NOT($GS4="")),AND($HL4&gt;$HK$23,NOT($HL4="")),AND($HO4&gt;$HK$23,NOT($HO4="")),AND($IH4&gt;$IG$23,NOT($IH4="")),AND($IK4&gt;$IG$23,NOT($IK4="")),AND($JD4&gt;$JC$23,NOT($JD4="")),AND($JG4&gt;$JC$23,NOT($JG4="")),AND($JZ4&gt;$JY$23,NOT($JZ4="")),AND($KC4&gt;$JY$23,NOT($KC4="")),AND($KV4&gt;$KU$23,NOT($KV4="")),AND($KY4&gt;$KU$23,NOT($KY4="")),AND($LR4&gt;$LQ$23,NOT($LR4="")),AND($LU4&gt;$LQ$23,NOT($LU4="")))),"Merit",IF(AND(G4="P",OR(AND($AN4&gt;$AL$22,NOT($AN4=""),$AJ4=""),AND($BK4&gt;$BI$22,NOT($BK4=""),$BG4=""),AND($CK4&gt;$CI$22,NOT($CK4="")),AND($DG4&gt;$DE$22,NOT($DG4="")),AND($EC4&gt;$EA$22,NOT($EC4="")),AND($EY4&gt;$EW$22,NOT($EY4="")),AND($FU4&gt;$FS$22,NOT($FU4="")),AND($GQ4&gt;$GO$22,NOT($GQ4="")),AND($HM4&gt;$HK$22,NOT($HM4="")),AND($II4&gt;$IG$22,NOT($II4="")),AND($JE4&gt;$JC$22,NOT($JE4="")),AND($KA4&gt;$JY$22,NOT($KA4="")),AND($KW4&gt;$KU$22,NOT($KW4="")),AND($LS4&gt;$LQ$22,NOT($LS4="")))),"Excellence",IF(AND(G4="P",OR(AND($AN4&gt;$AL$21,NOT($AN4=""),$AJ4=""),AND($BK4&gt;$BI$21,NOT($BK4=""),$BG4=""),AND($CK4&gt;$CI$21,NOT($CK4="")),AND($DG4&gt;$DE$21,NOT($DG4="")),AND($EC4&gt;$EA$21,NOT($EC4="")),AND($EY4&gt;$EW$21,NOT($EY4="")),AND($FU4&gt;$FS$21,NOT($FU4="")),AND($GQ4&gt;$GO$21,NOT($GQ4="")),AND($HM4&gt;$HK$21,NOT($HM4="")),AND($II4&gt;$IG$21,NOT($II4="")),AND($JE4&gt;$JC$21,NOT($JE4="")),AND($KA4&gt;$JY$21,NOT($KA4="")),AND($KW4&gt;$KU$21,NOT($KW4="")),AND($LS4&gt;$LQ$21,NOT($LS4="")))),"Worlds Team",IF(AND(F4="P",OR(AND($AN4&gt;$AL$20,NOT($AN4=""),$AJ4=""),AND($BK4&gt;$BI$20,NOT($BK4=""),$BG4=""),AND($CK4&gt;$CI$20,NOT($CK4="")),AND($DG4&gt;$DE$20,NOT($DG4="")),AND($EC4&gt;$EA$20,NOT($EC4="")),AND($EY4&gt;$EW$20,NOT($EY4="")),AND($FU4&gt;$FS$20,NOT($FU4="")),AND($GQ4&gt;$GO$20,NOT($GQ4="")),AND($HM4&gt;$HK$20,NOT($HM4="")),AND($II4&gt;$IG$20,NOT($II4="")),AND($JE4&gt;$JC$20,NOT($JE4="")),AND($KA4&gt;$JY$20,NOT($KA4="")),AND($KW4&gt;$KU$20,NOT($KW4="")),AND($LS4&gt;$LQ$20,NOT($LS4="")))),"National Team","")))))</f>
        <v>National Team</v>
      </c>
      <c r="J4" s="15">
        <f>IF(MAX(AN4,BK4)&gt;0,MAX(AN4,BK4),"")</f>
        <v>93.6</v>
      </c>
      <c r="K4" s="15" t="str">
        <f>IF(J4="","",IF(J4=BK4,$AR$1,IF(J4=AN4,$U$1,"")))</f>
        <v>2019 Elite Canada</v>
      </c>
      <c r="L4" s="15">
        <f>IF($J4=$AN4,BI4,IF($J4=$BK4,AL4,MAX(AL4,BI4)))</f>
        <v>44.835000000000001</v>
      </c>
      <c r="M4" s="15" t="str">
        <f>IF(L4="","",IF(L4=BI4,$AR$1,IF(L4=AL4,$U$1,"")))</f>
        <v>2018 Nationals</v>
      </c>
      <c r="N4" s="15">
        <f>IF($J4=$AN4,BJ4,IF($J4=$BK4,AM4,MAX(AM4,BJ4)))</f>
        <v>30.659999999999997</v>
      </c>
      <c r="O4" s="15" t="str">
        <f>IF(N4="","",IF(AND(N4=BJ4,$K4&lt;&gt;$AR$1),$AR$1,IF(AND(N4=AM4,$K4&lt;&gt;$U$1),$U$1,"")))</f>
        <v>2018 Nationals</v>
      </c>
      <c r="P4" s="15">
        <f>IF(MAX(AP4,BM4)&gt;0,MAX(AP4,BM4),"")</f>
        <v>51.394999999999996</v>
      </c>
      <c r="Q4" s="15" t="str">
        <f>IF(P4="","",IF(P4=BM4,$AR$1,IF(P4=AP4,$U$1,"")))</f>
        <v>2018 Nationals</v>
      </c>
      <c r="R4" s="15">
        <f>IF(MAX(BO4,BP4,BQ4,BR4)&gt;0,MAX(BO4,BP4,BQ4,BR4),"")</f>
        <v>19.224999999999994</v>
      </c>
      <c r="S4" s="25" t="str">
        <f>IF(R4="","",IF(R4=BO4,"(Vol 1)",IF(R4=BP4,"(Vol 2)",IF(R4=BQ4,"(Prelim)",IF(R4=BR4,"(Final)")))))</f>
        <v>(Vol 2)</v>
      </c>
      <c r="T4" s="15" t="str">
        <f>IF(R4="","",IF(R4=BO4,IF(R4+IF(L4="",0,L4)=LQ4,$LA$1,IF(R4+IF(L4="",0,L4)=KU4,$KE$1,IF(R4+IF(L4="",0,L4)=JY4,$JI$1,IF(R4+IF(L4="",0,L4)=JC4,$IM$1,IF(R4+IF(L4="",0,L4)=IG4,$HQ$1,IF(R4+IF(L4="",0,L4)=HK4,$GU$1,IF(R4+IF(L4="",0,L4)=GO4,$FY$1,IF(R4+IF(L4="",0,L4)=FS4,$FC$1,IF(R4+IF(L4="",0,L4)=EW4,$EG$1,IF(R4+IF(L4="",0,L4)=EA4,$DK$1,IF(R4+IF(L4="",0,L4)=DE4,$CO$1,IF(R4+IF(L4="",0,L4)=CI4,$BS$1)))))))))))),IF(R4=BP4,IF(R4+IF(N4="",0,N4)=LR4,$LA$1,IF(R4+IF(N4="",0,N4)=KV4,$KE$1,IF(R4+IF(N4="",0,N4)=JZ4,$JI$1,IF(R4+IF(N4="",0,N4)=JD4,$IM$1,IF(R4+IF(N4="",0,N4)=IH4,$HQ$1,IF(R4+IF(N4="",0,N4)=HL4,$GU$1,IF(R4+IF(N4="",0,N4)=GP4,$FY$1,IF(R4+IF(N4="",0,N4)=FT4,$FC$1,IF(R4+IF(N4="",0,N4)=EX4,$EG$1,IF(R4+IF(N4="",0,N4)=EB4,$DK$1,IF(R4+IF(N4="",0,N4)=DF4,$CO$1,IF(R4+IF(N4="",0,N4)=CJ4,$BS$1)))))))))))),IF(R4=BQ4,IF(R4+IF(J4="",0,J4)=LS4,$LA$1,IF(R4+IF(J4="",0,J4)=KW4,$KE$1,IF(R4+IF(J4="",0,J4)=KA4,$JI$1,IF(R4+IF(J4="",0,J4)=JE4,$IM$1,IF(R4+IF(J4="",0,J4)=II4,$HQ$1,IF(R4+IF(J4="",0,J4)=HM4,$GU$1,IF(R4+IF(J4="",0,J4)=GQ4,$FY$1,IF(R4+IF(J4="",0,J4)=FU4,$FC$1,IF(R4+IF(J4="",0,J4)=EY4,$EG$1,IF(R4+IF(J4="",0,J4)=EC4,$DK$1,IF(R4+IF(J4="",0,J4)=DG4,$CO$1,IF(R4+IF(J4="",0,J4)=CK4,$BS$1)))))))))))),IF(R4=BR4,IF(R4+IF(P4="",0,P4)=LU4,$LA$1,IF(R4+IF(P4="",0,P4)=KY4,$KE$1,IF(R4+IF(P4="",0,P4)=KC4,$JI$1,IF(R4+IF(P4="",0,P4)=JG4,$IM$1,IF(R4+IF(P4="",0,P4)=IK4,$HQ$1,IF(R4+IF(P4="",0,P4)=HO4,$GU$1,IF(R4+IF(P4="",0,P4)=GS4,$FY$1,IF(R4+IF(P4="",0,P4)=FW4,$FC$1,IF(R4+IF(P4="",0,P4)=FA4,$EG$1,IF(R4+IF(P4="",0,P4)=EE4,$DK$1,IF(R4+IF(P4="",0,P4)=DI4,$CO$1,IF(R4+IF(P4="",0,P4)=CM4,$BS$1)))))))))))))))))</f>
        <v>2018 World Age Groups (Nov 18)</v>
      </c>
      <c r="U4" s="36">
        <v>17.7</v>
      </c>
      <c r="V4" s="36">
        <v>9.4499999999999993</v>
      </c>
      <c r="W4" s="36">
        <v>3</v>
      </c>
      <c r="X4" s="36">
        <v>14.685</v>
      </c>
      <c r="Y4" s="36">
        <v>0</v>
      </c>
      <c r="Z4" s="36">
        <v>9.4</v>
      </c>
      <c r="AA4" s="36">
        <v>5.75</v>
      </c>
      <c r="AB4" s="36">
        <v>6.5</v>
      </c>
      <c r="AC4" s="36">
        <v>9.01</v>
      </c>
      <c r="AD4" s="36">
        <v>0</v>
      </c>
      <c r="AE4" s="36">
        <v>15.6</v>
      </c>
      <c r="AF4" s="36">
        <v>9.5500000000000007</v>
      </c>
      <c r="AG4" s="36">
        <v>11.4</v>
      </c>
      <c r="AH4" s="36">
        <v>14.845000000000001</v>
      </c>
      <c r="AI4" s="36">
        <v>0</v>
      </c>
      <c r="AJ4" s="74"/>
      <c r="AK4" s="12">
        <f>IF(AB4&gt;0,AB4,"")</f>
        <v>6.5</v>
      </c>
      <c r="AL4" s="12">
        <f>IF(SUM(U4:X4)-Y4&gt;0,SUM(U4:X4)-Y4,"")</f>
        <v>44.835000000000001</v>
      </c>
      <c r="AM4" s="12">
        <f>IF(SUM(Z4:AC4)-AD4&gt;0,SUM(Z4:AC4)-AD4,"")</f>
        <v>30.659999999999997</v>
      </c>
      <c r="AN4" s="12">
        <f>IF(SUM(AL4:AM4)&gt;0,SUM(AL4:AM4),"")</f>
        <v>75.495000000000005</v>
      </c>
      <c r="AO4" s="12">
        <f>IF(AG4&gt;0,AG4,"")</f>
        <v>11.4</v>
      </c>
      <c r="AP4" s="12">
        <f>IF(SUM(AE4:AH4)-AI4&gt;0,SUM(AE4:AH4)-AI4,"")</f>
        <v>51.394999999999996</v>
      </c>
      <c r="AQ4" s="12">
        <f>IF(SUM(AN4,AP4)&gt;0,SUM(AN4,AP4),"")</f>
        <v>126.89</v>
      </c>
      <c r="AR4" s="69">
        <v>16</v>
      </c>
      <c r="AS4" s="69">
        <v>9.6999999999999993</v>
      </c>
      <c r="AT4" s="69">
        <v>3.7</v>
      </c>
      <c r="AU4" s="69">
        <v>14.945</v>
      </c>
      <c r="AV4" s="69">
        <v>0</v>
      </c>
      <c r="AW4" s="69">
        <v>14.9</v>
      </c>
      <c r="AX4" s="69">
        <v>9.1999999999999993</v>
      </c>
      <c r="AY4" s="69">
        <v>11</v>
      </c>
      <c r="AZ4" s="69">
        <v>14.154999999999999</v>
      </c>
      <c r="BA4" s="69">
        <v>0</v>
      </c>
      <c r="BB4" s="69">
        <v>15.7</v>
      </c>
      <c r="BC4" s="69">
        <v>9.3000000000000007</v>
      </c>
      <c r="BD4" s="69">
        <v>9.6</v>
      </c>
      <c r="BE4" s="69">
        <v>14.37</v>
      </c>
      <c r="BF4" s="69">
        <v>0</v>
      </c>
      <c r="BG4" s="75"/>
      <c r="BH4" s="15">
        <f>IF(AY4&gt;0,AY4,"")</f>
        <v>11</v>
      </c>
      <c r="BI4" s="15">
        <f>IF(SUM(AR4:AU4)-AV4&gt;0,SUM(AR4:AU4)-AV4,"")</f>
        <v>44.344999999999999</v>
      </c>
      <c r="BJ4" s="15">
        <f>IF(SUM(AW4:AZ4)-BA4&gt;0,SUM(AW4:AZ4)-BA4,"")</f>
        <v>49.255000000000003</v>
      </c>
      <c r="BK4" s="15">
        <f>IF(SUM(BI4:BJ4)&gt;0,SUM(BI4:BJ4),"")</f>
        <v>93.6</v>
      </c>
      <c r="BL4" s="15">
        <f>IF(BD4&gt;0,BD4,"")</f>
        <v>9.6</v>
      </c>
      <c r="BM4" s="15">
        <f>IF(SUM(BB4:BE4)-BF4&gt;0,SUM(BB4:BE4)-BF4,"")</f>
        <v>48.97</v>
      </c>
      <c r="BN4" s="15">
        <f>IF(SUM(BK4,BM4)&gt;0,SUM(BK4,BM4),"")</f>
        <v>142.57</v>
      </c>
      <c r="BO4" s="24" t="str">
        <f>IF(MAX(CI4,DE4,EA4,EW4,FS4,GO4,HK4,IG4,JC4,JY4,KU4,LQ4)-IF(L4="",0,L4)&gt;0.001,MAX(CI4,DE4,EA4,EW4,FS4,GO4,HK4,IG4,JC4,JY4,KU4,LQ4)-IF(L4="",0,L4),"")</f>
        <v/>
      </c>
      <c r="BP4" s="24">
        <f>IF(MAX(CJ4,DF4,EB4,EX4,FT4,GP4,HL4,IH4,JD4,JZ4,KV4,LR4)-IF(N4="",0,N4)&gt;0.001,MAX(CJ4,DF4,EB4,EX4,FT4,GP4,HL4,IH4,JD4,JZ4,KV4,LR4)-IF(N4="",0,N4),"")</f>
        <v>19.224999999999994</v>
      </c>
      <c r="BQ4" s="24" t="str">
        <f>IF(MAX(CK4,DG4,EC4,EY4,FU4,GQ4,HM4,II4,JE4,KA4,KW4,LS4)-IF(J4="",0,J4)&gt;0.001,MAX(CK4,DG4,EC4,EY4,FU4,GQ4,HM4,II4,JE4,KA4,KW4,LS4)-IF(J4="",0,J4),"")</f>
        <v/>
      </c>
      <c r="BR4" s="24" t="str">
        <f>IF(MAX(CM4,DI4,EE4,FA4,FW4,GS4,HO4,IK4,JG4,KC4,KY4,LU4)-IF(P4="",0,P4)&gt;0.001,MAX(CM4,DI4,EE4,FA4,FW4,GS4,HO4,IK4,JG4,KC4,KY4,LU4)-IF(P4="",0,P4),"")</f>
        <v/>
      </c>
      <c r="BS4" s="36">
        <v>17.3</v>
      </c>
      <c r="BT4" s="36">
        <v>0</v>
      </c>
      <c r="BU4" s="36">
        <v>9.8000000000000007</v>
      </c>
      <c r="BV4" s="36">
        <v>14.55</v>
      </c>
      <c r="BW4" s="36">
        <v>0</v>
      </c>
      <c r="BX4" s="36">
        <v>14.9</v>
      </c>
      <c r="BY4" s="36">
        <v>10.3</v>
      </c>
      <c r="BZ4" s="36">
        <v>9.1</v>
      </c>
      <c r="CA4" s="36">
        <v>14.49</v>
      </c>
      <c r="CB4" s="36">
        <v>0</v>
      </c>
      <c r="CC4" s="36">
        <v>15.8</v>
      </c>
      <c r="CD4" s="36">
        <v>9.4499999999999993</v>
      </c>
      <c r="CE4" s="36">
        <v>10.1</v>
      </c>
      <c r="CF4" s="36">
        <v>14.965</v>
      </c>
      <c r="CG4" s="36">
        <v>0</v>
      </c>
      <c r="CH4" s="12">
        <f>IF(BZ4&gt;0,BZ4,"")</f>
        <v>9.1</v>
      </c>
      <c r="CI4" s="12">
        <f>IF(SUM(BS4:BV4)-BW4&gt;0,SUM(BS4:BV4)-BW4,"")</f>
        <v>41.650000000000006</v>
      </c>
      <c r="CJ4" s="12">
        <f>IF(SUM(BX4:CA4)-CB4&gt;0,SUM(BX4:CA4)-CB4,"")</f>
        <v>48.790000000000006</v>
      </c>
      <c r="CK4" s="12">
        <f>IF(SUM(CI4:CJ4)&gt;0,SUM(CI4:CJ4),"")</f>
        <v>90.440000000000012</v>
      </c>
      <c r="CL4" s="12">
        <f>IF(CE4&gt;0,CE4,"")</f>
        <v>10.1</v>
      </c>
      <c r="CM4" s="12">
        <f>IF(SUM(CC4:CF4)-CG4&gt;0,SUM(CC4:CF4)-CG4,"")</f>
        <v>50.314999999999998</v>
      </c>
      <c r="CN4" s="12">
        <f>IF(SUM(CK4,CM4)&gt;0,SUM(CK4,CM4),"")</f>
        <v>140.755</v>
      </c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>
        <v>13.1</v>
      </c>
      <c r="CZ4" s="37">
        <v>9.3000000000000007</v>
      </c>
      <c r="DA4" s="37">
        <v>10.3</v>
      </c>
      <c r="DB4" s="37">
        <v>14.455</v>
      </c>
      <c r="DC4" s="37">
        <v>0</v>
      </c>
      <c r="DD4" s="15" t="str">
        <f>IF(CV4&gt;0,CV4,"")</f>
        <v/>
      </c>
      <c r="DE4" s="15" t="str">
        <f>IF(SUM(CO4:CR4)-CS4&gt;0,SUM(CO4:CR4)-CS4,"")</f>
        <v/>
      </c>
      <c r="DF4" s="15" t="str">
        <f>IF(SUM(CT4:CW4)-CX4&gt;0,SUM(CT4:CW4)-CX4,"")</f>
        <v/>
      </c>
      <c r="DG4" s="15" t="str">
        <f>IF(SUM(DE4:DF4)&gt;0,SUM(DE4:DF4),"")</f>
        <v/>
      </c>
      <c r="DH4" s="15">
        <f>IF(DA4&gt;0,DA4,"")</f>
        <v>10.3</v>
      </c>
      <c r="DI4" s="15">
        <f>IF(SUM(CY4:DB4)-DC4&gt;0,SUM(CY4:DB4)-DC4,"")</f>
        <v>47.155000000000001</v>
      </c>
      <c r="DJ4" s="15">
        <f>IF(SUM(DG4,DI4)&gt;0,SUM(DG4,DI4),"")</f>
        <v>47.155000000000001</v>
      </c>
      <c r="DK4" s="36">
        <v>16.8</v>
      </c>
      <c r="DL4" s="36">
        <v>9.1999999999999993</v>
      </c>
      <c r="DM4" s="36">
        <v>0</v>
      </c>
      <c r="DN4" s="36">
        <v>14.975</v>
      </c>
      <c r="DO4" s="36">
        <v>0</v>
      </c>
      <c r="DP4" s="36">
        <v>15.2</v>
      </c>
      <c r="DQ4" s="36">
        <v>8.9</v>
      </c>
      <c r="DR4" s="36">
        <v>10.1</v>
      </c>
      <c r="DS4" s="36">
        <v>14.82</v>
      </c>
      <c r="DT4" s="36">
        <v>0</v>
      </c>
      <c r="DU4" s="36">
        <v>8.8000000000000007</v>
      </c>
      <c r="DV4" s="36">
        <v>4.5</v>
      </c>
      <c r="DW4" s="36">
        <v>4.5999999999999996</v>
      </c>
      <c r="DX4" s="36">
        <v>8.85</v>
      </c>
      <c r="DY4" s="36">
        <v>0</v>
      </c>
      <c r="DZ4" s="12">
        <f>IF(DR4&gt;0,DR4,"")</f>
        <v>10.1</v>
      </c>
      <c r="EA4" s="12">
        <f>IF(SUM(DK4:DN4)-DO4&gt;0,SUM(DK4:DN4)-DO4,"")</f>
        <v>40.975000000000001</v>
      </c>
      <c r="EB4" s="12">
        <f>IF(SUM(DP4:DS4)-DT4&gt;0,SUM(DP4:DS4)-DT4,"")</f>
        <v>49.02</v>
      </c>
      <c r="EC4" s="12">
        <f>IF(SUM(EA4:EB4)&gt;0,SUM(EA4:EB4),"")</f>
        <v>89.995000000000005</v>
      </c>
      <c r="ED4" s="12">
        <f>IF(DW4&gt;0,DW4,"")</f>
        <v>4.5999999999999996</v>
      </c>
      <c r="EE4" s="12">
        <f>IF(SUM(DU4:DX4)-DY4&gt;0,SUM(DU4:DX4)-DY4,"")</f>
        <v>26.75</v>
      </c>
      <c r="EF4" s="12">
        <f>IF(SUM(EC4,EE4)&gt;0,SUM(EC4,EE4),"")</f>
        <v>116.745</v>
      </c>
      <c r="EG4" s="37">
        <v>17.399999999999999</v>
      </c>
      <c r="EH4" s="37">
        <v>9</v>
      </c>
      <c r="EI4" s="37">
        <v>0</v>
      </c>
      <c r="EJ4" s="37">
        <v>14.525</v>
      </c>
      <c r="EK4" s="37">
        <v>0</v>
      </c>
      <c r="EL4" s="37">
        <v>15</v>
      </c>
      <c r="EM4" s="37">
        <v>8.9</v>
      </c>
      <c r="EN4" s="37">
        <v>11.7</v>
      </c>
      <c r="EO4" s="37">
        <v>14.285</v>
      </c>
      <c r="EP4" s="37">
        <v>0</v>
      </c>
      <c r="EQ4" s="37"/>
      <c r="ER4" s="37"/>
      <c r="ES4" s="37"/>
      <c r="ET4" s="37"/>
      <c r="EU4" s="37"/>
      <c r="EV4" s="15">
        <f>IF(EN4&gt;0,EN4,"")</f>
        <v>11.7</v>
      </c>
      <c r="EW4" s="15">
        <f>IF(SUM(EG4:EJ4)-EK4&gt;0,SUM(EG4:EJ4)-EK4,"")</f>
        <v>40.924999999999997</v>
      </c>
      <c r="EX4" s="15">
        <f>IF(SUM(EL4:EO4)-EP4&gt;0,SUM(EL4:EO4)-EP4,"")</f>
        <v>49.884999999999991</v>
      </c>
      <c r="EY4" s="15">
        <f>IF(SUM(EW4:EX4)&gt;0,SUM(EW4:EX4),"")</f>
        <v>90.809999999999988</v>
      </c>
      <c r="EZ4" s="15" t="str">
        <f>IF(ES4&gt;0,ES4,"")</f>
        <v/>
      </c>
      <c r="FA4" s="15" t="str">
        <f>IF(SUM(EQ4:ET4)-EU4&gt;0,SUM(EQ4:ET4)-EU4,"")</f>
        <v/>
      </c>
      <c r="FB4" s="15">
        <f>IF(SUM(EY4,FA4)&gt;0,SUM(EY4,FA4),"")</f>
        <v>90.809999999999988</v>
      </c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12" t="str">
        <f>IF(FJ4&gt;0,FJ4,"")</f>
        <v/>
      </c>
      <c r="FS4" s="12" t="str">
        <f>IF(SUM(FC4:FF4)-FG4&gt;0,SUM(FC4:FF4)-FG4,"")</f>
        <v/>
      </c>
      <c r="FT4" s="12" t="str">
        <f>IF(SUM(FH4:FK4)-FL4&gt;0,SUM(FH4:FK4)-FL4,"")</f>
        <v/>
      </c>
      <c r="FU4" s="12" t="str">
        <f>IF(SUM(FS4:FT4)&gt;0,SUM(FS4:FT4),"")</f>
        <v/>
      </c>
      <c r="FV4" s="12" t="str">
        <f>IF(FO4&gt;0,FO4,"")</f>
        <v/>
      </c>
      <c r="FW4" s="12" t="str">
        <f>IF(SUM(FM4:FP4)-FQ4&gt;0,SUM(FM4:FP4)-FQ4,"")</f>
        <v/>
      </c>
      <c r="FX4" s="12" t="str">
        <f>IF(SUM(FU4,FW4)&gt;0,SUM(FU4,FW4),"")</f>
        <v/>
      </c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15" t="str">
        <f>IF(GF4&gt;0,GF4,"")</f>
        <v/>
      </c>
      <c r="GO4" s="15" t="str">
        <f>IF(SUM(FY4:GB4)-GC4&gt;0,SUM(FY4:GB4)-GC4,"")</f>
        <v/>
      </c>
      <c r="GP4" s="15" t="str">
        <f>IF(SUM(GD4:GG4)-GH4&gt;0,SUM(GD4:GG4)-GH4,"")</f>
        <v/>
      </c>
      <c r="GQ4" s="15" t="str">
        <f>IF(SUM(GO4:GP4)&gt;0,SUM(GO4:GP4),"")</f>
        <v/>
      </c>
      <c r="GR4" s="15" t="str">
        <f>IF(GK4&gt;0,GK4,"")</f>
        <v/>
      </c>
      <c r="GS4" s="15" t="str">
        <f>IF(SUM(GI4:GL4)-GM4&gt;0,SUM(GI4:GL4)-GM4,"")</f>
        <v/>
      </c>
      <c r="GT4" s="15" t="str">
        <f>IF(SUM(GQ4,GS4)&gt;0,SUM(GQ4,GS4),"")</f>
        <v/>
      </c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12" t="str">
        <f>IF(HB4&gt;0,HB4,"")</f>
        <v/>
      </c>
      <c r="HK4" s="12" t="str">
        <f>IF(SUM(GU4:GX4)-GY4&gt;0,SUM(GU4:GX4)-GY4,"")</f>
        <v/>
      </c>
      <c r="HL4" s="12" t="str">
        <f>IF(SUM(GZ4:HC4)-HD4&gt;0,SUM(GZ4:HC4)-HD4,"")</f>
        <v/>
      </c>
      <c r="HM4" s="12" t="str">
        <f>IF(SUM(HK4:HL4)&gt;0,SUM(HK4:HL4),"")</f>
        <v/>
      </c>
      <c r="HN4" s="12" t="str">
        <f>IF(HG4&gt;0,HG4,"")</f>
        <v/>
      </c>
      <c r="HO4" s="12" t="str">
        <f>IF(SUM(HE4:HH4)-HI4&gt;0,SUM(HE4:HH4)-HI4,"")</f>
        <v/>
      </c>
      <c r="HP4" s="12" t="str">
        <f>IF(SUM(HM4,HO4)&gt;0,SUM(HM4,HO4),"")</f>
        <v/>
      </c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15" t="str">
        <f>IF(HX4&gt;0,HX4,"")</f>
        <v/>
      </c>
      <c r="IG4" s="15" t="str">
        <f>IF(SUM(HQ4:HT4)-HU4&gt;0,SUM(HQ4:HT4)-HU4,"")</f>
        <v/>
      </c>
      <c r="IH4" s="15" t="str">
        <f>IF(SUM(HV4:HY4)-HZ4&gt;0,SUM(HV4:HY4)-HZ4,"")</f>
        <v/>
      </c>
      <c r="II4" s="15" t="str">
        <f>IF(SUM(IG4:IH4)&gt;0,SUM(IG4:IH4),"")</f>
        <v/>
      </c>
      <c r="IJ4" s="15" t="str">
        <f>IF(IC4&gt;0,IC4,"")</f>
        <v/>
      </c>
      <c r="IK4" s="15" t="str">
        <f>IF(SUM(IA4:ID4)-IE4&gt;0,SUM(IA4:ID4)-IE4,"")</f>
        <v/>
      </c>
      <c r="IL4" s="15" t="str">
        <f>IF(SUM(II4,IK4)&gt;0,SUM(II4,IK4),"")</f>
        <v/>
      </c>
      <c r="IM4" s="36"/>
      <c r="IN4" s="36"/>
      <c r="IO4" s="36"/>
      <c r="IP4" s="36"/>
      <c r="IQ4" s="36"/>
      <c r="IR4" s="36"/>
      <c r="IS4" s="36"/>
      <c r="IT4" s="36"/>
      <c r="IU4" s="36"/>
      <c r="IV4" s="36"/>
      <c r="IW4" s="36"/>
      <c r="IX4" s="36"/>
      <c r="IY4" s="36"/>
      <c r="IZ4" s="36"/>
      <c r="JA4" s="36"/>
      <c r="JB4" s="12" t="str">
        <f>IF(IT4&gt;0,IT4,"")</f>
        <v/>
      </c>
      <c r="JC4" s="12" t="str">
        <f>IF(SUM(IM4:IP4)-IQ4&gt;0,SUM(IM4:IP4)-IQ4,"")</f>
        <v/>
      </c>
      <c r="JD4" s="12" t="str">
        <f>IF(SUM(IR4:IU4)-IV4&gt;0,SUM(IR4:IU4)-IV4,"")</f>
        <v/>
      </c>
      <c r="JE4" s="12" t="str">
        <f>IF(SUM(JC4:JD4)&gt;0,SUM(JC4:JD4),"")</f>
        <v/>
      </c>
      <c r="JF4" s="12" t="str">
        <f>IF(IY4&gt;0,IY4,"")</f>
        <v/>
      </c>
      <c r="JG4" s="12" t="str">
        <f>IF(SUM(IW4:IZ4)-JA4&gt;0,SUM(IW4:IZ4)-JA4,"")</f>
        <v/>
      </c>
      <c r="JH4" s="12" t="str">
        <f>IF(SUM(JE4,JG4)&gt;0,SUM(JE4,JG4),"")</f>
        <v/>
      </c>
      <c r="JI4" s="37"/>
      <c r="JJ4" s="37"/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15" t="str">
        <f>IF(JP4&gt;0,JP4,"")</f>
        <v/>
      </c>
      <c r="JY4" s="15" t="str">
        <f>IF(SUM(JI4:JL4)-JM4&gt;0,SUM(JI4:JL4)-JM4,"")</f>
        <v/>
      </c>
      <c r="JZ4" s="15" t="str">
        <f>IF(SUM(JN4:JQ4)-JR4&gt;0,SUM(JN4:JQ4)-JR4,"")</f>
        <v/>
      </c>
      <c r="KA4" s="15" t="str">
        <f>IF(SUM(JY4:JZ4)&gt;0,SUM(JY4:JZ4),"")</f>
        <v/>
      </c>
      <c r="KB4" s="15" t="str">
        <f>IF(JU4&gt;0,JU4,"")</f>
        <v/>
      </c>
      <c r="KC4" s="15" t="str">
        <f>IF(SUM(JS4:JV4)-JW4&gt;0,SUM(JS4:JV4)-JW4,"")</f>
        <v/>
      </c>
      <c r="KD4" s="15" t="str">
        <f>IF(SUM(KA4,KC4)&gt;0,SUM(KA4,KC4),"")</f>
        <v/>
      </c>
      <c r="KE4" s="36"/>
      <c r="KF4" s="36"/>
      <c r="KG4" s="36"/>
      <c r="KH4" s="36"/>
      <c r="KI4" s="36"/>
      <c r="KJ4" s="36"/>
      <c r="KK4" s="36"/>
      <c r="KL4" s="36"/>
      <c r="KM4" s="36"/>
      <c r="KN4" s="36"/>
      <c r="KO4" s="36"/>
      <c r="KP4" s="36"/>
      <c r="KQ4" s="36"/>
      <c r="KR4" s="36"/>
      <c r="KS4" s="36"/>
      <c r="KT4" s="12" t="str">
        <f>IF(KL4&gt;0,KL4,"")</f>
        <v/>
      </c>
      <c r="KU4" s="12" t="str">
        <f>IF(SUM(KE4:KH4)-KI4&gt;0,SUM(KE4:KH4)-KI4,"")</f>
        <v/>
      </c>
      <c r="KV4" s="12" t="str">
        <f>IF(SUM(KJ4:KM4)-KN4&gt;0,SUM(KJ4:KM4)-KN4,"")</f>
        <v/>
      </c>
      <c r="KW4" s="12" t="str">
        <f>IF(SUM(KU4:KV4)&gt;0,SUM(KU4:KV4),"")</f>
        <v/>
      </c>
      <c r="KX4" s="12" t="str">
        <f>IF(KQ4&gt;0,KQ4,"")</f>
        <v/>
      </c>
      <c r="KY4" s="12" t="str">
        <f>IF(SUM(KO4:KR4)-KS4&gt;0,SUM(KO4:KR4)-KS4,"")</f>
        <v/>
      </c>
      <c r="KZ4" s="12" t="str">
        <f>IF(SUM(KW4,KY4)&gt;0,SUM(KW4,KY4),"")</f>
        <v/>
      </c>
      <c r="LA4" s="37"/>
      <c r="LB4" s="37"/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15" t="str">
        <f>IF(LH4&gt;0,LH4,"")</f>
        <v/>
      </c>
      <c r="LQ4" s="15" t="str">
        <f>IF(SUM(LA4:LD4)-LE4&gt;0,SUM(LA4:LD4)-LE4,"")</f>
        <v/>
      </c>
      <c r="LR4" s="15" t="str">
        <f>IF(SUM(LF4:LI4)-LJ4&gt;0,SUM(LF4:LI4)-LJ4,"")</f>
        <v/>
      </c>
      <c r="LS4" s="15" t="str">
        <f>IF(SUM(LQ4:LR4)&gt;0,SUM(LQ4:LR4),"")</f>
        <v/>
      </c>
      <c r="LT4" s="15" t="str">
        <f>IF(LM4&gt;0,LM4,"")</f>
        <v/>
      </c>
      <c r="LU4" s="15" t="str">
        <f>IF(SUM(LK4:LN4)-LO4&gt;0,SUM(LK4:LN4)-LO4,"")</f>
        <v/>
      </c>
      <c r="LV4" s="15" t="str">
        <f>IF(SUM(LS4,LU4)&gt;0,SUM(LS4,LU4),"")</f>
        <v/>
      </c>
      <c r="LW4" s="63">
        <f t="shared" ref="LW4:MK4" si="0">IF($BG4="P",AR4,(U4+AR4)/2)</f>
        <v>16.850000000000001</v>
      </c>
      <c r="LX4" s="63">
        <f t="shared" si="0"/>
        <v>9.5749999999999993</v>
      </c>
      <c r="LY4" s="63">
        <f t="shared" si="0"/>
        <v>3.35</v>
      </c>
      <c r="LZ4" s="63">
        <f t="shared" si="0"/>
        <v>14.815000000000001</v>
      </c>
      <c r="MA4" s="63">
        <f t="shared" si="0"/>
        <v>0</v>
      </c>
      <c r="MB4" s="63">
        <f t="shared" si="0"/>
        <v>12.15</v>
      </c>
      <c r="MC4" s="63">
        <f t="shared" si="0"/>
        <v>7.4749999999999996</v>
      </c>
      <c r="MD4" s="63">
        <f t="shared" si="0"/>
        <v>8.75</v>
      </c>
      <c r="ME4" s="63">
        <f t="shared" si="0"/>
        <v>11.5825</v>
      </c>
      <c r="MF4" s="63">
        <f t="shared" si="0"/>
        <v>0</v>
      </c>
      <c r="MG4" s="63">
        <f t="shared" si="0"/>
        <v>15.649999999999999</v>
      </c>
      <c r="MH4" s="63">
        <f t="shared" si="0"/>
        <v>9.4250000000000007</v>
      </c>
      <c r="MI4" s="63">
        <f t="shared" si="0"/>
        <v>10.5</v>
      </c>
      <c r="MJ4" s="63">
        <f t="shared" si="0"/>
        <v>14.6075</v>
      </c>
      <c r="MK4" s="63">
        <f t="shared" si="0"/>
        <v>0</v>
      </c>
      <c r="ML4" s="74" t="s">
        <v>119</v>
      </c>
      <c r="MM4" s="12">
        <f t="shared" ref="MM4" si="1">IF(MD4&gt;0,MD4,"")</f>
        <v>8.75</v>
      </c>
      <c r="MN4" s="12">
        <f t="shared" ref="MN4" si="2">IF(SUM(LW4:LZ4)-MA4&gt;0,SUM(LW4:LZ4)-MA4,"")</f>
        <v>44.59</v>
      </c>
      <c r="MO4" s="12">
        <f t="shared" ref="MO4" si="3">IF(SUM(MB4:ME4)-MF4&gt;0,SUM(MB4:ME4)-MF4,"")</f>
        <v>39.957499999999996</v>
      </c>
      <c r="MP4" s="12">
        <f t="shared" ref="MP4" si="4">IF(SUM(MN4:MO4)&gt;0,SUM(MN4:MO4),"")</f>
        <v>84.547499999999999</v>
      </c>
      <c r="MQ4" s="12">
        <f>IF(MI4&gt;0,MI4,"")</f>
        <v>10.5</v>
      </c>
      <c r="MR4" s="12">
        <f t="shared" ref="MR4" si="5">IF(SUM(MG4:MJ4)-MK4&gt;0,SUM(MG4:MJ4)-MK4,"")</f>
        <v>50.182500000000005</v>
      </c>
      <c r="MS4" s="12">
        <f t="shared" ref="MS4" si="6">IF(SUM(MP4,MR4)&gt;0,SUM(MP4,MR4),"")</f>
        <v>134.73000000000002</v>
      </c>
    </row>
    <row r="5" spans="1:357" x14ac:dyDescent="0.2">
      <c r="A5" s="6">
        <f>IF(AND(F5="P",H5="P"),SUMPRODUCT((F$4:F$16="P")*(H$4:H$16="P")*(E$4:E$16&gt;E5))+1,IF(H5="P",SUMPRODUCT((F$4:F$16="")*(H$4:H$16="P")*(E$4:E$16&gt;E5))+1+SUMPRODUCT((F$4:F$16="P")*(H$4:H$16="P")),""))</f>
        <v>2</v>
      </c>
      <c r="B5" s="9" t="s">
        <v>99</v>
      </c>
      <c r="C5" s="5" t="s">
        <v>5</v>
      </c>
      <c r="D5" s="27">
        <v>2002</v>
      </c>
      <c r="E5" s="16">
        <f>SUM(J5:R5)</f>
        <v>233.36</v>
      </c>
      <c r="F5" s="4" t="str">
        <f>IF(OR(AND($AK5&gt;=$AL$18,NOT($AK5=""),$AJ5=""),AND($BH5&gt;=$BI$18,NOT($BH5=""),$BG5=""),AND($CH5&gt;=$CI$18,NOT($CH5="")),AND($DD5&gt;=$DE$18,NOT($DD5="")),AND($DZ5&gt;=$EA$18,NOT($DZ5="")),AND($EV5&gt;=$EW$18,NOT($EV5="")),AND($FR5&gt;=$FS$18,NOT($FR5="")),AND($GN5&gt;=$GO$18,NOT($GN5="")),AND($HJ5&gt;=$HK$18,NOT($HJ5="")),AND($IF5&gt;=$IG$18,NOT($IF5="")),AND($JB5&gt;=$JC$18,NOT($JB5="")),AND($JX5&gt;=$JY$18,NOT($JX5="")),AND($KT5&gt;=$KU$18,NOT($KT5="")),AND($LP5&gt;=$LQ$18,NOT($LP5=""))),"P","")</f>
        <v>P</v>
      </c>
      <c r="G5" s="4" t="str">
        <f>IF(OR(AND($AK5&gt;=$AL$19,NOT($AK5=""),$AJ5=""),AND($BH5&gt;=$BI$19,NOT($BH5=""),$BG5=""),AND($CH5&gt;=$CI$19,NOT($CH5="")),AND($DD5&gt;=$DE$19,NOT($DD5="")),AND($DZ5&gt;=$EA$19,NOT($DZ5="")),AND($EV5&gt;=$EW$19,NOT($EV5="")),AND($FR5&gt;=$FS$19,NOT($FR5="")),AND($GN5&gt;=$GO$19,NOT($GN5="")),AND($HJ5&gt;=$HK$19,NOT($HJ5="")),AND($IF5&gt;=$IG$19,NOT($IF5="")),AND($JB5&gt;=$JC$19,NOT($JB5="")),AND($JX5&gt;=$JY$19,NOT($JX5="")),AND($KT5&gt;=$KU$19,NOT($KT5="")),AND($LP5&gt;=$LQ$19,NOT($LP5=""))),"P","")</f>
        <v>P</v>
      </c>
      <c r="H5" s="4" t="str">
        <f>IF(OR(AND($AN5&gt;=$AL$20,NOT($AN5=""),$AJ5=""),AND($BK5&gt;=$BI$20,NOT($BK5=""),$BG5=""),AND($CK5&gt;=$CI$20,NOT($CK5="")),AND($DG5&gt;=$DE$20,NOT($DG5="")),AND($EC5&gt;=$EA$20,NOT($EC5="")),AND($EY5&gt;=$EW$20,NOT($EY5="")),AND($FU5&gt;=$FS$20,NOT($FU5="")),AND($GQ5&gt;=$GO$20,NOT($GQ5="")),AND($HM5&gt;=$HK$20,NOT($HM5="")),AND($II5&gt;=$IG$20,NOT($II5="")),AND($JE5&gt;=$JC$20,NOT($JE5="")),AND($KA5&gt;=$JY$20,NOT($KA5="")),AND($KW5&gt;=$KU$20,NOT($KW5="")),AND($LS5&gt;=$LQ$20,NOT($LS5=""))),"P","")</f>
        <v>P</v>
      </c>
      <c r="I5" t="str">
        <f>IF(AND(H5="P",F5=""),"No DD",IF(AND(G5="P",OR(AND($AM5&gt;$AL$23,NOT($AM5=""),$AJ5=""),AND($AP5&gt;$AL$23,NOT($AP5=""),$AJ5=""),AND($BJ5&gt;$BI$23,NOT($BJ5=""),$BG5=""),AND($BM5&gt;$BI$23,NOT($BM5=""),$BG5=""),AND($CJ5&gt;$CI$23,NOT($CJ5="")),AND($CM5&gt;$CI$23,NOT($CM5="")),AND($DF5&gt;$DE$23,NOT($DF5="")),AND($DI5&gt;$DE$23,NOT($DI5="")),AND($EB5&gt;$EA$23,NOT($EB5="")),AND($EE5&gt;$EA$23,NOT($EE5="")),AND($EX5&gt;$EW$23,NOT($EX5="")),AND($FA5&gt;$EW$23,NOT($FA5="")),AND($FT5&gt;$FS$23,NOT($FT5="")),AND($FW5&gt;$FS$23,NOT($FW5="")),AND($GP5&gt;$GO$23,NOT($GP5="")),AND($GS5&gt;$GO$23,NOT($GS5="")),AND($HL5&gt;$HK$23,NOT($HL5="")),AND($HO5&gt;$HK$23,NOT($HO5="")),AND($IH5&gt;$IG$23,NOT($IH5="")),AND($IK5&gt;$IG$23,NOT($IK5="")),AND($JD5&gt;$JC$23,NOT($JD5="")),AND($JG5&gt;$JC$23,NOT($JG5="")),AND($JZ5&gt;$JY$23,NOT($JZ5="")),AND($KC5&gt;$JY$23,NOT($KC5="")),AND($KV5&gt;$KU$23,NOT($KV5="")),AND($KY5&gt;$KU$23,NOT($KY5="")),AND($LR5&gt;$LQ$23,NOT($LR5="")),AND($LU5&gt;$LQ$23,NOT($LU5="")))),"Merit",IF(AND(G5="P",OR(AND($AN5&gt;$AL$22,NOT($AN5=""),$AJ5=""),AND($BK5&gt;$BI$22,NOT($BK5=""),$BG5=""),AND($CK5&gt;$CI$22,NOT($CK5="")),AND($DG5&gt;$DE$22,NOT($DG5="")),AND($EC5&gt;$EA$22,NOT($EC5="")),AND($EY5&gt;$EW$22,NOT($EY5="")),AND($FU5&gt;$FS$22,NOT($FU5="")),AND($GQ5&gt;$GO$22,NOT($GQ5="")),AND($HM5&gt;$HK$22,NOT($HM5="")),AND($II5&gt;$IG$22,NOT($II5="")),AND($JE5&gt;$JC$22,NOT($JE5="")),AND($KA5&gt;$JY$22,NOT($KA5="")),AND($KW5&gt;$KU$22,NOT($KW5="")),AND($LS5&gt;$LQ$22,NOT($LS5="")))),"Excellence",IF(AND(G5="P",OR(AND($AN5&gt;$AL$21,NOT($AN5=""),$AJ5=""),AND($BK5&gt;$BI$21,NOT($BK5=""),$BG5=""),AND($CK5&gt;$CI$21,NOT($CK5="")),AND($DG5&gt;$DE$21,NOT($DG5="")),AND($EC5&gt;$EA$21,NOT($EC5="")),AND($EY5&gt;$EW$21,NOT($EY5="")),AND($FU5&gt;$FS$21,NOT($FU5="")),AND($GQ5&gt;$GO$21,NOT($GQ5="")),AND($HM5&gt;$HK$21,NOT($HM5="")),AND($II5&gt;$IG$21,NOT($II5="")),AND($JE5&gt;$JC$21,NOT($JE5="")),AND($KA5&gt;$JY$21,NOT($KA5="")),AND($KW5&gt;$KU$21,NOT($KW5="")),AND($LS5&gt;$LQ$21,NOT($LS5="")))),"Worlds Team",IF(AND(F5="P",OR(AND($AN5&gt;$AL$20,NOT($AN5=""),$AJ5=""),AND($BK5&gt;$BI$20,NOT($BK5=""),$BG5=""),AND($CK5&gt;$CI$20,NOT($CK5="")),AND($DG5&gt;$DE$20,NOT($DG5="")),AND($EC5&gt;$EA$20,NOT($EC5="")),AND($EY5&gt;$EW$20,NOT($EY5="")),AND($FU5&gt;$FS$20,NOT($FU5="")),AND($GQ5&gt;$GO$20,NOT($GQ5="")),AND($HM5&gt;$HK$20,NOT($HM5="")),AND($II5&gt;$IG$20,NOT($II5="")),AND($JE5&gt;$JC$20,NOT($JE5="")),AND($KA5&gt;$JY$20,NOT($KA5="")),AND($KW5&gt;$KU$20,NOT($KW5="")),AND($LS5&gt;$LQ$20,NOT($LS5="")))),"National Team","")))))</f>
        <v>National Team</v>
      </c>
      <c r="J5" s="15">
        <f>IF(MAX(AN5,BK5)&gt;0,MAX(AN5,BK5),"")</f>
        <v>93.805000000000007</v>
      </c>
      <c r="K5" s="15" t="str">
        <f>IF(J5="","",IF(J5=BK5,$AR$1,IF(J5=AN5,$U$1,"")))</f>
        <v>2019 Elite Canada</v>
      </c>
      <c r="L5" s="15">
        <f>IF($J5=$AN5,BI5,IF($J5=$BK5,AL5,MAX(AL5,BI5)))</f>
        <v>42.334999999999994</v>
      </c>
      <c r="M5" s="15" t="str">
        <f>IF(L5="","",IF(L5=BI5,$AR$1,IF(L5=AL5,$U$1,"")))</f>
        <v>2018 Nationals</v>
      </c>
      <c r="N5" s="15">
        <f>IF($J5=$AN5,BJ5,IF($J5=$BK5,AM5,MAX(AM5,BJ5)))</f>
        <v>47.46</v>
      </c>
      <c r="O5" s="15" t="str">
        <f>IF(N5="","",IF(AND(N5=BJ5,$K5&lt;&gt;$AR$1),$AR$1,IF(AND(N5=AM5,$K5&lt;&gt;$U$1),$U$1,"")))</f>
        <v>2018 Nationals</v>
      </c>
      <c r="P5" s="15">
        <f>IF(MAX(AP5,BM5)&gt;0,MAX(AP5,BM5),"")</f>
        <v>49.24</v>
      </c>
      <c r="Q5" s="15" t="str">
        <f>IF(P5="","",IF(P5=BM5,$AR$1,IF(P5=AP5,$U$1,"")))</f>
        <v>2018 Nationals</v>
      </c>
      <c r="R5" s="15">
        <f>IF(MAX(BO5,BP5,BQ5,BR5)&gt;0,MAX(BO5,BP5,BQ5,BR5),"")</f>
        <v>0.52000000000000313</v>
      </c>
      <c r="S5" s="25" t="str">
        <f>IF(R5="","",IF(R5=BO5,"(Vol 1)",IF(R5=BP5,"(Vol 2)",IF(R5=BQ5,"(Prelim)",IF(R5=BR5,"(Final)")))))</f>
        <v>(Vol 2)</v>
      </c>
      <c r="T5" s="15" t="str">
        <f>IF(R5="","",IF(R5=BO5,IF(R5+IF(L5="",0,L5)=LQ5,$LA$1,IF(R5+IF(L5="",0,L5)=KU5,$KE$1,IF(R5+IF(L5="",0,L5)=JY5,$JI$1,IF(R5+IF(L5="",0,L5)=JC5,$IM$1,IF(R5+IF(L5="",0,L5)=IG5,$HQ$1,IF(R5+IF(L5="",0,L5)=HK5,$GU$1,IF(R5+IF(L5="",0,L5)=GO5,$FY$1,IF(R5+IF(L5="",0,L5)=FS5,$FC$1,IF(R5+IF(L5="",0,L5)=EW5,$EG$1,IF(R5+IF(L5="",0,L5)=EA5,$DK$1,IF(R5+IF(L5="",0,L5)=DE5,$CO$1,IF(R5+IF(L5="",0,L5)=CI5,$BS$1)))))))))))),IF(R5=BP5,IF(R5+IF(N5="",0,N5)=LR5,$LA$1,IF(R5+IF(N5="",0,N5)=KV5,$KE$1,IF(R5+IF(N5="",0,N5)=JZ5,$JI$1,IF(R5+IF(N5="",0,N5)=JD5,$IM$1,IF(R5+IF(N5="",0,N5)=IH5,$HQ$1,IF(R5+IF(N5="",0,N5)=HL5,$GU$1,IF(R5+IF(N5="",0,N5)=GP5,$FY$1,IF(R5+IF(N5="",0,N5)=FT5,$FC$1,IF(R5+IF(N5="",0,N5)=EX5,$EG$1,IF(R5+IF(N5="",0,N5)=EB5,$DK$1,IF(R5+IF(N5="",0,N5)=DF5,$CO$1,IF(R5+IF(N5="",0,N5)=CJ5,$BS$1)))))))))))),IF(R5=BQ5,IF(R5+IF(J5="",0,J5)=LS5,$LA$1,IF(R5+IF(J5="",0,J5)=KW5,$KE$1,IF(R5+IF(J5="",0,J5)=KA5,$JI$1,IF(R5+IF(J5="",0,J5)=JE5,$IM$1,IF(R5+IF(J5="",0,J5)=II5,$HQ$1,IF(R5+IF(J5="",0,J5)=HM5,$GU$1,IF(R5+IF(J5="",0,J5)=GQ5,$FY$1,IF(R5+IF(J5="",0,J5)=FU5,$FC$1,IF(R5+IF(J5="",0,J5)=EY5,$EG$1,IF(R5+IF(J5="",0,J5)=EC5,$DK$1,IF(R5+IF(J5="",0,J5)=DG5,$CO$1,IF(R5+IF(J5="",0,J5)=CK5,$BS$1)))))))))))),IF(R5=BR5,IF(R5+IF(P5="",0,P5)=LU5,$LA$1,IF(R5+IF(P5="",0,P5)=KY5,$KE$1,IF(R5+IF(P5="",0,P5)=KC5,$JI$1,IF(R5+IF(P5="",0,P5)=JG5,$IM$1,IF(R5+IF(P5="",0,P5)=IK5,$HQ$1,IF(R5+IF(P5="",0,P5)=HO5,$GU$1,IF(R5+IF(P5="",0,P5)=GS5,$FY$1,IF(R5+IF(P5="",0,P5)=FW5,$FC$1,IF(R5+IF(P5="",0,P5)=FA5,$EG$1,IF(R5+IF(P5="",0,P5)=EE5,$DK$1,IF(R5+IF(P5="",0,P5)=DI5,$CO$1,IF(R5+IF(P5="",0,P5)=CM5,$BS$1)))))))))))))))))</f>
        <v>2018 World Age Groups (Nov 18)</v>
      </c>
      <c r="U5" s="36">
        <v>15.6</v>
      </c>
      <c r="V5" s="36">
        <v>8.9499999999999993</v>
      </c>
      <c r="W5" s="36">
        <v>3.2</v>
      </c>
      <c r="X5" s="36">
        <v>14.585000000000001</v>
      </c>
      <c r="Y5" s="36">
        <v>0</v>
      </c>
      <c r="Z5" s="36">
        <v>14.4</v>
      </c>
      <c r="AA5" s="36">
        <v>8.75</v>
      </c>
      <c r="AB5" s="36">
        <v>10</v>
      </c>
      <c r="AC5" s="36">
        <v>14.31</v>
      </c>
      <c r="AD5" s="36">
        <v>0</v>
      </c>
      <c r="AE5" s="36">
        <v>14.9</v>
      </c>
      <c r="AF5" s="36">
        <v>9.25</v>
      </c>
      <c r="AG5" s="36">
        <v>10.6</v>
      </c>
      <c r="AH5" s="36">
        <v>14.49</v>
      </c>
      <c r="AI5" s="36">
        <v>0</v>
      </c>
      <c r="AJ5" s="74"/>
      <c r="AK5" s="12">
        <f>IF(AB5&gt;0,AB5,"")</f>
        <v>10</v>
      </c>
      <c r="AL5" s="12">
        <f>IF(SUM(U5:X5)-Y5&gt;0,SUM(U5:X5)-Y5,"")</f>
        <v>42.334999999999994</v>
      </c>
      <c r="AM5" s="12">
        <f>IF(SUM(Z5:AC5)-AD5&gt;0,SUM(Z5:AC5)-AD5,"")</f>
        <v>47.46</v>
      </c>
      <c r="AN5" s="12">
        <f>IF(SUM(AL5:AM5)&gt;0,SUM(AL5:AM5),"")</f>
        <v>89.794999999999987</v>
      </c>
      <c r="AO5" s="12">
        <f>IF(AG5&gt;0,AG5,"")</f>
        <v>10.6</v>
      </c>
      <c r="AP5" s="12">
        <f>IF(SUM(AE5:AH5)-AI5&gt;0,SUM(AE5:AH5)-AI5,"")</f>
        <v>49.24</v>
      </c>
      <c r="AQ5" s="12">
        <f>IF(SUM(AN5,AP5)&gt;0,SUM(AN5,AP5),"")</f>
        <v>139.035</v>
      </c>
      <c r="AR5" s="69">
        <v>16.399999999999999</v>
      </c>
      <c r="AS5" s="69">
        <v>9.0500000000000007</v>
      </c>
      <c r="AT5" s="69">
        <v>3.2</v>
      </c>
      <c r="AU5" s="69">
        <v>15.175000000000001</v>
      </c>
      <c r="AV5" s="69">
        <v>0</v>
      </c>
      <c r="AW5" s="69">
        <v>14.7</v>
      </c>
      <c r="AX5" s="69">
        <v>9.1999999999999993</v>
      </c>
      <c r="AY5" s="69">
        <v>11.3</v>
      </c>
      <c r="AZ5" s="69">
        <v>14.78</v>
      </c>
      <c r="BA5" s="69">
        <v>0</v>
      </c>
      <c r="BB5" s="69">
        <v>12.9</v>
      </c>
      <c r="BC5" s="69">
        <v>9.15</v>
      </c>
      <c r="BD5" s="69">
        <v>10.1</v>
      </c>
      <c r="BE5" s="69">
        <v>13.63</v>
      </c>
      <c r="BF5" s="69">
        <v>0</v>
      </c>
      <c r="BG5" s="75"/>
      <c r="BH5" s="15">
        <f>IF(AY5&gt;0,AY5,"")</f>
        <v>11.3</v>
      </c>
      <c r="BI5" s="15">
        <f>IF(SUM(AR5:AU5)-AV5&gt;0,SUM(AR5:AU5)-AV5,"")</f>
        <v>43.825000000000003</v>
      </c>
      <c r="BJ5" s="15">
        <f>IF(SUM(AW5:AZ5)-BA5&gt;0,SUM(AW5:AZ5)-BA5,"")</f>
        <v>49.980000000000004</v>
      </c>
      <c r="BK5" s="15">
        <f>IF(SUM(BI5:BJ5)&gt;0,SUM(BI5:BJ5),"")</f>
        <v>93.805000000000007</v>
      </c>
      <c r="BL5" s="15">
        <f>IF(BD5&gt;0,BD5,"")</f>
        <v>10.1</v>
      </c>
      <c r="BM5" s="15">
        <f>IF(SUM(BB5:BE5)-BF5&gt;0,SUM(BB5:BE5)-BF5,"")</f>
        <v>45.78</v>
      </c>
      <c r="BN5" s="15">
        <f>IF(SUM(BK5,BM5)&gt;0,SUM(BK5,BM5),"")</f>
        <v>139.58500000000001</v>
      </c>
      <c r="BO5" s="24" t="str">
        <f>IF(MAX(CI5,DE5,EA5,EW5,FS5,GO5,HK5,IG5,JC5,JY5,KU5,LQ5)-IF(L5="",0,L5)&gt;0.001,MAX(CI5,DE5,EA5,EW5,FS5,GO5,HK5,IG5,JC5,JY5,KU5,LQ5)-IF(L5="",0,L5),"")</f>
        <v/>
      </c>
      <c r="BP5" s="24">
        <f>IF(MAX(CJ5,DF5,EB5,EX5,FT5,GP5,HL5,IH5,JD5,JZ5,KV5,LR5)-IF(N5="",0,N5)&gt;0.001,MAX(CJ5,DF5,EB5,EX5,FT5,GP5,HL5,IH5,JD5,JZ5,KV5,LR5)-IF(N5="",0,N5),"")</f>
        <v>0.52000000000000313</v>
      </c>
      <c r="BQ5" s="24" t="str">
        <f>IF(MAX(CK5,DG5,EC5,EY5,FU5,GQ5,HM5,II5,JE5,KA5,KW5,LS5)-IF(J5="",0,J5)&gt;0.001,MAX(CK5,DG5,EC5,EY5,FU5,GQ5,HM5,II5,JE5,KA5,KW5,LS5)-IF(J5="",0,J5),"")</f>
        <v/>
      </c>
      <c r="BR5" s="24" t="str">
        <f>IF(MAX(CM5,DI5,EE5,FA5,FW5,GS5,HO5,IK5,JG5,KC5,KY5,LU5)-IF(P5="",0,P5)&gt;0.001,MAX(CM5,DI5,EE5,FA5,FW5,GS5,HO5,IK5,JG5,KC5,KY5,LU5)-IF(P5="",0,P5),"")</f>
        <v/>
      </c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12" t="str">
        <f>IF(BZ5&gt;0,BZ5,"")</f>
        <v/>
      </c>
      <c r="CI5" s="12" t="str">
        <f>IF(SUM(BS5:BV5)-BW5&gt;0,SUM(BS5:BV5)-BW5,"")</f>
        <v/>
      </c>
      <c r="CJ5" s="12" t="str">
        <f>IF(SUM(BX5:CA5)-CB5&gt;0,SUM(BX5:CA5)-CB5,"")</f>
        <v/>
      </c>
      <c r="CK5" s="12" t="str">
        <f>IF(SUM(CI5:CJ5)&gt;0,SUM(CI5:CJ5),"")</f>
        <v/>
      </c>
      <c r="CL5" s="12" t="str">
        <f>IF(CE5&gt;0,CE5,"")</f>
        <v/>
      </c>
      <c r="CM5" s="12" t="str">
        <f>IF(SUM(CC5:CF5)-CG5&gt;0,SUM(CC5:CF5)-CG5,"")</f>
        <v/>
      </c>
      <c r="CN5" s="12" t="str">
        <f>IF(SUM(CK5,CM5)&gt;0,SUM(CK5,CM5),"")</f>
        <v/>
      </c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  <c r="DB5" s="37"/>
      <c r="DC5" s="37"/>
      <c r="DD5" s="15" t="str">
        <f>IF(CV5&gt;0,CV5,"")</f>
        <v/>
      </c>
      <c r="DE5" s="15" t="str">
        <f>IF(SUM(CO5:CR5)-CS5&gt;0,SUM(CO5:CR5)-CS5,"")</f>
        <v/>
      </c>
      <c r="DF5" s="15" t="str">
        <f>IF(SUM(CT5:CW5)-CX5&gt;0,SUM(CT5:CW5)-CX5,"")</f>
        <v/>
      </c>
      <c r="DG5" s="15" t="str">
        <f>IF(SUM(DE5:DF5)&gt;0,SUM(DE5:DF5),"")</f>
        <v/>
      </c>
      <c r="DH5" s="15" t="str">
        <f>IF(DA5&gt;0,DA5,"")</f>
        <v/>
      </c>
      <c r="DI5" s="15" t="str">
        <f>IF(SUM(CY5:DB5)-DC5&gt;0,SUM(CY5:DB5)-DC5,"")</f>
        <v/>
      </c>
      <c r="DJ5" s="15" t="str">
        <f>IF(SUM(DG5,DI5)&gt;0,SUM(DG5,DI5),"")</f>
        <v/>
      </c>
      <c r="DK5" s="36">
        <v>15.8</v>
      </c>
      <c r="DL5" s="36">
        <v>9.15</v>
      </c>
      <c r="DM5" s="36">
        <v>0</v>
      </c>
      <c r="DN5" s="36">
        <v>15.414999999999999</v>
      </c>
      <c r="DO5" s="36">
        <v>2</v>
      </c>
      <c r="DP5" s="36">
        <v>13.8</v>
      </c>
      <c r="DQ5" s="36">
        <v>9.0500000000000007</v>
      </c>
      <c r="DR5" s="36">
        <v>7.7</v>
      </c>
      <c r="DS5" s="36">
        <v>14.255000000000001</v>
      </c>
      <c r="DT5" s="36">
        <v>0</v>
      </c>
      <c r="DU5" s="36"/>
      <c r="DV5" s="36"/>
      <c r="DW5" s="36"/>
      <c r="DX5" s="36"/>
      <c r="DY5" s="36"/>
      <c r="DZ5" s="12">
        <f>IF(DR5&gt;0,DR5,"")</f>
        <v>7.7</v>
      </c>
      <c r="EA5" s="12">
        <f>IF(SUM(DK5:DN5)-DO5&gt;0,SUM(DK5:DN5)-DO5,"")</f>
        <v>38.365000000000002</v>
      </c>
      <c r="EB5" s="12">
        <f>IF(SUM(DP5:DS5)-DT5&gt;0,SUM(DP5:DS5)-DT5,"")</f>
        <v>44.805</v>
      </c>
      <c r="EC5" s="12">
        <f>IF(SUM(EA5:EB5)&gt;0,SUM(EA5:EB5),"")</f>
        <v>83.17</v>
      </c>
      <c r="ED5" s="12" t="str">
        <f>IF(DW5&gt;0,DW5,"")</f>
        <v/>
      </c>
      <c r="EE5" s="12" t="str">
        <f>IF(SUM(DU5:DX5)-DY5&gt;0,SUM(DU5:DX5)-DY5,"")</f>
        <v/>
      </c>
      <c r="EF5" s="12">
        <f>IF(SUM(EC5,EE5)&gt;0,SUM(EC5,EE5),"")</f>
        <v>83.17</v>
      </c>
      <c r="EG5" s="37">
        <v>17.2</v>
      </c>
      <c r="EH5" s="37">
        <v>9.6</v>
      </c>
      <c r="EI5" s="37">
        <v>0</v>
      </c>
      <c r="EJ5" s="37">
        <v>14.8</v>
      </c>
      <c r="EK5" s="37">
        <v>0</v>
      </c>
      <c r="EL5" s="37">
        <v>13.7</v>
      </c>
      <c r="EM5" s="37">
        <v>9.1999999999999993</v>
      </c>
      <c r="EN5" s="37">
        <v>11.1</v>
      </c>
      <c r="EO5" s="37">
        <v>13.98</v>
      </c>
      <c r="EP5" s="37">
        <v>0</v>
      </c>
      <c r="EQ5" s="37"/>
      <c r="ER5" s="37"/>
      <c r="ES5" s="37"/>
      <c r="ET5" s="37"/>
      <c r="EU5" s="37"/>
      <c r="EV5" s="15">
        <f>IF(EN5&gt;0,EN5,"")</f>
        <v>11.1</v>
      </c>
      <c r="EW5" s="15">
        <f>IF(SUM(EG5:EJ5)-EK5&gt;0,SUM(EG5:EJ5)-EK5,"")</f>
        <v>41.599999999999994</v>
      </c>
      <c r="EX5" s="15">
        <f>IF(SUM(EL5:EO5)-EP5&gt;0,SUM(EL5:EO5)-EP5,"")</f>
        <v>47.980000000000004</v>
      </c>
      <c r="EY5" s="15">
        <f>IF(SUM(EW5:EX5)&gt;0,SUM(EW5:EX5),"")</f>
        <v>89.58</v>
      </c>
      <c r="EZ5" s="15" t="str">
        <f>IF(ES5&gt;0,ES5,"")</f>
        <v/>
      </c>
      <c r="FA5" s="15" t="str">
        <f>IF(SUM(EQ5:ET5)-EU5&gt;0,SUM(EQ5:ET5)-EU5,"")</f>
        <v/>
      </c>
      <c r="FB5" s="15">
        <f>IF(SUM(EY5,FA5)&gt;0,SUM(EY5,FA5),"")</f>
        <v>89.58</v>
      </c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12" t="str">
        <f>IF(FJ5&gt;0,FJ5,"")</f>
        <v/>
      </c>
      <c r="FS5" s="12" t="str">
        <f>IF(SUM(FC5:FF5)-FG5&gt;0,SUM(FC5:FF5)-FG5,"")</f>
        <v/>
      </c>
      <c r="FT5" s="12" t="str">
        <f>IF(SUM(FH5:FK5)-FL5&gt;0,SUM(FH5:FK5)-FL5,"")</f>
        <v/>
      </c>
      <c r="FU5" s="12" t="str">
        <f>IF(SUM(FS5:FT5)&gt;0,SUM(FS5:FT5),"")</f>
        <v/>
      </c>
      <c r="FV5" s="12" t="str">
        <f>IF(FO5&gt;0,FO5,"")</f>
        <v/>
      </c>
      <c r="FW5" s="12" t="str">
        <f>IF(SUM(FM5:FP5)-FQ5&gt;0,SUM(FM5:FP5)-FQ5,"")</f>
        <v/>
      </c>
      <c r="FX5" s="12" t="str">
        <f>IF(SUM(FU5,FW5)&gt;0,SUM(FU5,FW5),"")</f>
        <v/>
      </c>
      <c r="FY5" s="37"/>
      <c r="FZ5" s="37"/>
      <c r="GA5" s="37"/>
      <c r="GB5" s="37"/>
      <c r="GC5" s="37"/>
      <c r="GD5" s="37"/>
      <c r="GE5" s="37"/>
      <c r="GF5" s="37"/>
      <c r="GG5" s="37"/>
      <c r="GH5" s="37"/>
      <c r="GI5" s="37"/>
      <c r="GJ5" s="37"/>
      <c r="GK5" s="37"/>
      <c r="GL5" s="37"/>
      <c r="GM5" s="37"/>
      <c r="GN5" s="15" t="str">
        <f>IF(GF5&gt;0,GF5,"")</f>
        <v/>
      </c>
      <c r="GO5" s="15" t="str">
        <f>IF(SUM(FY5:GB5)-GC5&gt;0,SUM(FY5:GB5)-GC5,"")</f>
        <v/>
      </c>
      <c r="GP5" s="15" t="str">
        <f>IF(SUM(GD5:GG5)-GH5&gt;0,SUM(GD5:GG5)-GH5,"")</f>
        <v/>
      </c>
      <c r="GQ5" s="15" t="str">
        <f>IF(SUM(GO5:GP5)&gt;0,SUM(GO5:GP5),"")</f>
        <v/>
      </c>
      <c r="GR5" s="15" t="str">
        <f>IF(GK5&gt;0,GK5,"")</f>
        <v/>
      </c>
      <c r="GS5" s="15" t="str">
        <f>IF(SUM(GI5:GL5)-GM5&gt;0,SUM(GI5:GL5)-GM5,"")</f>
        <v/>
      </c>
      <c r="GT5" s="15" t="str">
        <f>IF(SUM(GQ5,GS5)&gt;0,SUM(GQ5,GS5),"")</f>
        <v/>
      </c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12" t="str">
        <f>IF(HB5&gt;0,HB5,"")</f>
        <v/>
      </c>
      <c r="HK5" s="12" t="str">
        <f>IF(SUM(GU5:GX5)-GY5&gt;0,SUM(GU5:GX5)-GY5,"")</f>
        <v/>
      </c>
      <c r="HL5" s="12" t="str">
        <f>IF(SUM(GZ5:HC5)-HD5&gt;0,SUM(GZ5:HC5)-HD5,"")</f>
        <v/>
      </c>
      <c r="HM5" s="12" t="str">
        <f>IF(SUM(HK5:HL5)&gt;0,SUM(HK5:HL5),"")</f>
        <v/>
      </c>
      <c r="HN5" s="12" t="str">
        <f>IF(HG5&gt;0,HG5,"")</f>
        <v/>
      </c>
      <c r="HO5" s="12" t="str">
        <f>IF(SUM(HE5:HH5)-HI5&gt;0,SUM(HE5:HH5)-HI5,"")</f>
        <v/>
      </c>
      <c r="HP5" s="12" t="str">
        <f>IF(SUM(HM5,HO5)&gt;0,SUM(HM5,HO5),"")</f>
        <v/>
      </c>
      <c r="HQ5" s="37"/>
      <c r="HR5" s="37"/>
      <c r="HS5" s="37"/>
      <c r="HT5" s="37"/>
      <c r="HU5" s="37"/>
      <c r="HV5" s="37"/>
      <c r="HW5" s="37"/>
      <c r="HX5" s="37"/>
      <c r="HY5" s="37"/>
      <c r="HZ5" s="37"/>
      <c r="IA5" s="37"/>
      <c r="IB5" s="37"/>
      <c r="IC5" s="37"/>
      <c r="ID5" s="37"/>
      <c r="IE5" s="37"/>
      <c r="IF5" s="15" t="str">
        <f>IF(HX5&gt;0,HX5,"")</f>
        <v/>
      </c>
      <c r="IG5" s="15" t="str">
        <f>IF(SUM(HQ5:HT5)-HU5&gt;0,SUM(HQ5:HT5)-HU5,"")</f>
        <v/>
      </c>
      <c r="IH5" s="15" t="str">
        <f>IF(SUM(HV5:HY5)-HZ5&gt;0,SUM(HV5:HY5)-HZ5,"")</f>
        <v/>
      </c>
      <c r="II5" s="15" t="str">
        <f>IF(SUM(IG5:IH5)&gt;0,SUM(IG5:IH5),"")</f>
        <v/>
      </c>
      <c r="IJ5" s="15" t="str">
        <f>IF(IC5&gt;0,IC5,"")</f>
        <v/>
      </c>
      <c r="IK5" s="15" t="str">
        <f>IF(SUM(IA5:ID5)-IE5&gt;0,SUM(IA5:ID5)-IE5,"")</f>
        <v/>
      </c>
      <c r="IL5" s="15" t="str">
        <f>IF(SUM(II5,IK5)&gt;0,SUM(II5,IK5),"")</f>
        <v/>
      </c>
      <c r="IM5" s="36"/>
      <c r="IN5" s="36"/>
      <c r="IO5" s="36"/>
      <c r="IP5" s="36"/>
      <c r="IQ5" s="36"/>
      <c r="IR5" s="36"/>
      <c r="IS5" s="36"/>
      <c r="IT5" s="36"/>
      <c r="IU5" s="36"/>
      <c r="IV5" s="36"/>
      <c r="IW5" s="36"/>
      <c r="IX5" s="36"/>
      <c r="IY5" s="36"/>
      <c r="IZ5" s="36"/>
      <c r="JA5" s="36"/>
      <c r="JB5" s="12" t="str">
        <f>IF(IT5&gt;0,IT5,"")</f>
        <v/>
      </c>
      <c r="JC5" s="12" t="str">
        <f>IF(SUM(IM5:IP5)-IQ5&gt;0,SUM(IM5:IP5)-IQ5,"")</f>
        <v/>
      </c>
      <c r="JD5" s="12" t="str">
        <f>IF(SUM(IR5:IU5)-IV5&gt;0,SUM(IR5:IU5)-IV5,"")</f>
        <v/>
      </c>
      <c r="JE5" s="12" t="str">
        <f>IF(SUM(JC5:JD5)&gt;0,SUM(JC5:JD5),"")</f>
        <v/>
      </c>
      <c r="JF5" s="12" t="str">
        <f>IF(IY5&gt;0,IY5,"")</f>
        <v/>
      </c>
      <c r="JG5" s="12" t="str">
        <f>IF(SUM(IW5:IZ5)-JA5&gt;0,SUM(IW5:IZ5)-JA5,"")</f>
        <v/>
      </c>
      <c r="JH5" s="12" t="str">
        <f>IF(SUM(JE5,JG5)&gt;0,SUM(JE5,JG5),"")</f>
        <v/>
      </c>
      <c r="JI5" s="37"/>
      <c r="JJ5" s="37"/>
      <c r="JK5" s="37"/>
      <c r="JL5" s="37"/>
      <c r="JM5" s="37"/>
      <c r="JN5" s="37"/>
      <c r="JO5" s="37"/>
      <c r="JP5" s="37"/>
      <c r="JQ5" s="37"/>
      <c r="JR5" s="37"/>
      <c r="JS5" s="37"/>
      <c r="JT5" s="37"/>
      <c r="JU5" s="37"/>
      <c r="JV5" s="37"/>
      <c r="JW5" s="37"/>
      <c r="JX5" s="15" t="str">
        <f>IF(JP5&gt;0,JP5,"")</f>
        <v/>
      </c>
      <c r="JY5" s="15" t="str">
        <f>IF(SUM(JI5:JL5)-JM5&gt;0,SUM(JI5:JL5)-JM5,"")</f>
        <v/>
      </c>
      <c r="JZ5" s="15" t="str">
        <f>IF(SUM(JN5:JQ5)-JR5&gt;0,SUM(JN5:JQ5)-JR5,"")</f>
        <v/>
      </c>
      <c r="KA5" s="15" t="str">
        <f>IF(SUM(JY5:JZ5)&gt;0,SUM(JY5:JZ5),"")</f>
        <v/>
      </c>
      <c r="KB5" s="15" t="str">
        <f>IF(JU5&gt;0,JU5,"")</f>
        <v/>
      </c>
      <c r="KC5" s="15" t="str">
        <f>IF(SUM(JS5:JV5)-JW5&gt;0,SUM(JS5:JV5)-JW5,"")</f>
        <v/>
      </c>
      <c r="KD5" s="15" t="str">
        <f>IF(SUM(KA5,KC5)&gt;0,SUM(KA5,KC5),"")</f>
        <v/>
      </c>
      <c r="KE5" s="36"/>
      <c r="KF5" s="36"/>
      <c r="KG5" s="36"/>
      <c r="KH5" s="36"/>
      <c r="KI5" s="36"/>
      <c r="KJ5" s="36"/>
      <c r="KK5" s="36"/>
      <c r="KL5" s="36"/>
      <c r="KM5" s="36"/>
      <c r="KN5" s="36"/>
      <c r="KO5" s="36"/>
      <c r="KP5" s="36"/>
      <c r="KQ5" s="36"/>
      <c r="KR5" s="36"/>
      <c r="KS5" s="36"/>
      <c r="KT5" s="12" t="str">
        <f>IF(KL5&gt;0,KL5,"")</f>
        <v/>
      </c>
      <c r="KU5" s="12" t="str">
        <f>IF(SUM(KE5:KH5)-KI5&gt;0,SUM(KE5:KH5)-KI5,"")</f>
        <v/>
      </c>
      <c r="KV5" s="12" t="str">
        <f>IF(SUM(KJ5:KM5)-KN5&gt;0,SUM(KJ5:KM5)-KN5,"")</f>
        <v/>
      </c>
      <c r="KW5" s="12" t="str">
        <f>IF(SUM(KU5:KV5)&gt;0,SUM(KU5:KV5),"")</f>
        <v/>
      </c>
      <c r="KX5" s="12" t="str">
        <f>IF(KQ5&gt;0,KQ5,"")</f>
        <v/>
      </c>
      <c r="KY5" s="12" t="str">
        <f>IF(SUM(KO5:KR5)-KS5&gt;0,SUM(KO5:KR5)-KS5,"")</f>
        <v/>
      </c>
      <c r="KZ5" s="12" t="str">
        <f>IF(SUM(KW5,KY5)&gt;0,SUM(KW5,KY5),"")</f>
        <v/>
      </c>
      <c r="LA5" s="37"/>
      <c r="LB5" s="37"/>
      <c r="LC5" s="37"/>
      <c r="LD5" s="37"/>
      <c r="LE5" s="37"/>
      <c r="LF5" s="37"/>
      <c r="LG5" s="37"/>
      <c r="LH5" s="37"/>
      <c r="LI5" s="37"/>
      <c r="LJ5" s="37"/>
      <c r="LK5" s="37"/>
      <c r="LL5" s="37"/>
      <c r="LM5" s="37"/>
      <c r="LN5" s="37"/>
      <c r="LO5" s="37"/>
      <c r="LP5" s="15" t="str">
        <f>IF(LH5&gt;0,LH5,"")</f>
        <v/>
      </c>
      <c r="LQ5" s="15" t="str">
        <f>IF(SUM(LA5:LD5)-LE5&gt;0,SUM(LA5:LD5)-LE5,"")</f>
        <v/>
      </c>
      <c r="LR5" s="15" t="str">
        <f>IF(SUM(LF5:LI5)-LJ5&gt;0,SUM(LF5:LI5)-LJ5,"")</f>
        <v/>
      </c>
      <c r="LS5" s="15" t="str">
        <f>IF(SUM(LQ5:LR5)&gt;0,SUM(LQ5:LR5),"")</f>
        <v/>
      </c>
      <c r="LT5" s="15" t="str">
        <f>IF(LM5&gt;0,LM5,"")</f>
        <v/>
      </c>
      <c r="LU5" s="15" t="str">
        <f>IF(SUM(LK5:LN5)-LO5&gt;0,SUM(LK5:LN5)-LO5,"")</f>
        <v/>
      </c>
      <c r="LV5" s="15" t="str">
        <f>IF(SUM(LS5,LU5)&gt;0,SUM(LS5,LU5),"")</f>
        <v/>
      </c>
      <c r="LW5" s="63">
        <f t="shared" ref="LW5:LW15" si="7">IF($BG5="P",AR5,(U5+AR5)/2)</f>
        <v>16</v>
      </c>
      <c r="LX5" s="63">
        <f t="shared" ref="LX5:LX15" si="8">IF($BG5="P",AS5,(V5+AS5)/2)</f>
        <v>9</v>
      </c>
      <c r="LY5" s="63">
        <f t="shared" ref="LY5:LY15" si="9">IF($BG5="P",AT5,(W5+AT5)/2)</f>
        <v>3.2</v>
      </c>
      <c r="LZ5" s="63">
        <f t="shared" ref="LZ5:LZ15" si="10">IF($BG5="P",AU5,(X5+AU5)/2)</f>
        <v>14.88</v>
      </c>
      <c r="MA5" s="63">
        <f t="shared" ref="MA5:MA15" si="11">IF($BG5="P",AV5,(Y5+AV5)/2)</f>
        <v>0</v>
      </c>
      <c r="MB5" s="63">
        <f t="shared" ref="MB5:MB15" si="12">IF($BG5="P",AW5,(Z5+AW5)/2)</f>
        <v>14.55</v>
      </c>
      <c r="MC5" s="63">
        <f t="shared" ref="MC5:MC15" si="13">IF($BG5="P",AX5,(AA5+AX5)/2)</f>
        <v>8.9749999999999996</v>
      </c>
      <c r="MD5" s="63">
        <f t="shared" ref="MD5:MD15" si="14">IF($BG5="P",AY5,(AB5+AY5)/2)</f>
        <v>10.65</v>
      </c>
      <c r="ME5" s="63">
        <f t="shared" ref="ME5:ME15" si="15">IF($BG5="P",AZ5,(AC5+AZ5)/2)</f>
        <v>14.545</v>
      </c>
      <c r="MF5" s="63">
        <f t="shared" ref="MF5:MF15" si="16">IF($BG5="P",BA5,(AD5+BA5)/2)</f>
        <v>0</v>
      </c>
      <c r="MG5" s="63">
        <f t="shared" ref="MG5:MG15" si="17">IF($BG5="P",BB5,(AE5+BB5)/2)</f>
        <v>13.9</v>
      </c>
      <c r="MH5" s="63">
        <f t="shared" ref="MH5:MH15" si="18">IF($BG5="P",BC5,(AF5+BC5)/2)</f>
        <v>9.1999999999999993</v>
      </c>
      <c r="MI5" s="63">
        <f t="shared" ref="MI5:MI15" si="19">IF($BG5="P",BD5,(AG5+BD5)/2)</f>
        <v>10.35</v>
      </c>
      <c r="MJ5" s="63">
        <f t="shared" ref="MJ5:MJ15" si="20">IF($BG5="P",BE5,(AH5+BE5)/2)</f>
        <v>14.06</v>
      </c>
      <c r="MK5" s="63">
        <f t="shared" ref="MK5:MK15" si="21">IF($BG5="P",BF5,(AI5+BF5)/2)</f>
        <v>0</v>
      </c>
      <c r="ML5" s="74" t="s">
        <v>119</v>
      </c>
      <c r="MM5" s="12">
        <f t="shared" ref="MM5:MM13" si="22">IF(MD5&gt;0,MD5,"")</f>
        <v>10.65</v>
      </c>
      <c r="MN5" s="12">
        <f t="shared" ref="MN5:MN13" si="23">IF(SUM(LW5:LZ5)-MA5&gt;0,SUM(LW5:LZ5)-MA5,"")</f>
        <v>43.08</v>
      </c>
      <c r="MO5" s="12">
        <f t="shared" ref="MO5:MO13" si="24">IF(SUM(MB5:ME5)-MF5&gt;0,SUM(MB5:ME5)-MF5,"")</f>
        <v>48.72</v>
      </c>
      <c r="MP5" s="12">
        <f t="shared" ref="MP5:MP13" si="25">IF(SUM(MN5:MO5)&gt;0,SUM(MN5:MO5),"")</f>
        <v>91.8</v>
      </c>
      <c r="MQ5" s="12">
        <f t="shared" ref="MQ5:MQ15" si="26">IF(MI5&gt;0,MI5,"")</f>
        <v>10.35</v>
      </c>
      <c r="MR5" s="12">
        <f t="shared" ref="MR5:MR13" si="27">IF(SUM(MG5:MJ5)-MK5&gt;0,SUM(MG5:MJ5)-MK5,"")</f>
        <v>47.510000000000005</v>
      </c>
      <c r="MS5" s="12">
        <f t="shared" ref="MS5:MS13" si="28">IF(SUM(MP5,MR5)&gt;0,SUM(MP5,MR5),"")</f>
        <v>139.31</v>
      </c>
    </row>
    <row r="6" spans="1:357" x14ac:dyDescent="0.2">
      <c r="A6" s="6">
        <f>IF(AND(F6="P",H6="P"),SUMPRODUCT((F$4:F$16="P")*(H$4:H$16="P")*(E$4:E$16&gt;E6))+1,IF(H6="P",SUMPRODUCT((F$4:F$16="")*(H$4:H$16="P")*(E$4:E$16&gt;E6))+1+SUMPRODUCT((F$4:F$16="P")*(H$4:H$16="P")),""))</f>
        <v>3</v>
      </c>
      <c r="B6" s="9" t="s">
        <v>104</v>
      </c>
      <c r="C6" s="5" t="s">
        <v>5</v>
      </c>
      <c r="D6" s="27">
        <v>2001</v>
      </c>
      <c r="E6" s="16">
        <f>SUM(J6:R6)</f>
        <v>231.14499999999998</v>
      </c>
      <c r="F6" s="4" t="str">
        <f>IF(OR(AND($AK6&gt;=$AL$18,NOT($AK6=""),$AJ6=""),AND($BH6&gt;=$BI$18,NOT($BH6=""),$BG6=""),AND($CH6&gt;=$CI$18,NOT($CH6="")),AND($DD6&gt;=$DE$18,NOT($DD6="")),AND($DZ6&gt;=$EA$18,NOT($DZ6="")),AND($EV6&gt;=$EW$18,NOT($EV6="")),AND($FR6&gt;=$FS$18,NOT($FR6="")),AND($GN6&gt;=$GO$18,NOT($GN6="")),AND($HJ6&gt;=$HK$18,NOT($HJ6="")),AND($IF6&gt;=$IG$18,NOT($IF6="")),AND($JB6&gt;=$JC$18,NOT($JB6="")),AND($JX6&gt;=$JY$18,NOT($JX6="")),AND($KT6&gt;=$KU$18,NOT($KT6="")),AND($LP6&gt;=$LQ$18,NOT($LP6=""))),"P","")</f>
        <v>P</v>
      </c>
      <c r="G6" s="4" t="str">
        <f>IF(OR(AND($AK6&gt;=$AL$19,NOT($AK6=""),$AJ6=""),AND($BH6&gt;=$BI$19,NOT($BH6=""),$BG6=""),AND($CH6&gt;=$CI$19,NOT($CH6="")),AND($DD6&gt;=$DE$19,NOT($DD6="")),AND($DZ6&gt;=$EA$19,NOT($DZ6="")),AND($EV6&gt;=$EW$19,NOT($EV6="")),AND($FR6&gt;=$FS$19,NOT($FR6="")),AND($GN6&gt;=$GO$19,NOT($GN6="")),AND($HJ6&gt;=$HK$19,NOT($HJ6="")),AND($IF6&gt;=$IG$19,NOT($IF6="")),AND($JB6&gt;=$JC$19,NOT($JB6="")),AND($JX6&gt;=$JY$19,NOT($JX6="")),AND($KT6&gt;=$KU$19,NOT($KT6="")),AND($LP6&gt;=$LQ$19,NOT($LP6=""))),"P","")</f>
        <v>P</v>
      </c>
      <c r="H6" s="4" t="str">
        <f>IF(OR(AND($AN6&gt;=$AL$20,NOT($AN6=""),$AJ6=""),AND($BK6&gt;=$BI$20,NOT($BK6=""),$BG6=""),AND($CK6&gt;=$CI$20,NOT($CK6="")),AND($DG6&gt;=$DE$20,NOT($DG6="")),AND($EC6&gt;=$EA$20,NOT($EC6="")),AND($EY6&gt;=$EW$20,NOT($EY6="")),AND($FU6&gt;=$FS$20,NOT($FU6="")),AND($GQ6&gt;=$GO$20,NOT($GQ6="")),AND($HM6&gt;=$HK$20,NOT($HM6="")),AND($II6&gt;=$IG$20,NOT($II6="")),AND($JE6&gt;=$JC$20,NOT($JE6="")),AND($KA6&gt;=$JY$20,NOT($KA6="")),AND($KW6&gt;=$KU$20,NOT($KW6="")),AND($LS6&gt;=$LQ$20,NOT($LS6=""))),"P","")</f>
        <v>P</v>
      </c>
      <c r="I6" t="str">
        <f>IF(AND(H6="P",F6=""),"No DD",IF(AND(G6="P",OR(AND($AM6&gt;$AL$23,NOT($AM6=""),$AJ6=""),AND($AP6&gt;$AL$23,NOT($AP6=""),$AJ6=""),AND($BJ6&gt;$BI$23,NOT($BJ6=""),$BG6=""),AND($BM6&gt;$BI$23,NOT($BM6=""),$BG6=""),AND($CJ6&gt;$CI$23,NOT($CJ6="")),AND($CM6&gt;$CI$23,NOT($CM6="")),AND($DF6&gt;$DE$23,NOT($DF6="")),AND($DI6&gt;$DE$23,NOT($DI6="")),AND($EB6&gt;$EA$23,NOT($EB6="")),AND($EE6&gt;$EA$23,NOT($EE6="")),AND($EX6&gt;$EW$23,NOT($EX6="")),AND($FA6&gt;$EW$23,NOT($FA6="")),AND($FT6&gt;$FS$23,NOT($FT6="")),AND($FW6&gt;$FS$23,NOT($FW6="")),AND($GP6&gt;$GO$23,NOT($GP6="")),AND($GS6&gt;$GO$23,NOT($GS6="")),AND($HL6&gt;$HK$23,NOT($HL6="")),AND($HO6&gt;$HK$23,NOT($HO6="")),AND($IH6&gt;$IG$23,NOT($IH6="")),AND($IK6&gt;$IG$23,NOT($IK6="")),AND($JD6&gt;$JC$23,NOT($JD6="")),AND($JG6&gt;$JC$23,NOT($JG6="")),AND($JZ6&gt;$JY$23,NOT($JZ6="")),AND($KC6&gt;$JY$23,NOT($KC6="")),AND($KV6&gt;$KU$23,NOT($KV6="")),AND($KY6&gt;$KU$23,NOT($KY6="")),AND($LR6&gt;$LQ$23,NOT($LR6="")),AND($LU6&gt;$LQ$23,NOT($LU6="")))),"Merit",IF(AND(G6="P",OR(AND($AN6&gt;$AL$22,NOT($AN6=""),$AJ6=""),AND($BK6&gt;$BI$22,NOT($BK6=""),$BG6=""),AND($CK6&gt;$CI$22,NOT($CK6="")),AND($DG6&gt;$DE$22,NOT($DG6="")),AND($EC6&gt;$EA$22,NOT($EC6="")),AND($EY6&gt;$EW$22,NOT($EY6="")),AND($FU6&gt;$FS$22,NOT($FU6="")),AND($GQ6&gt;$GO$22,NOT($GQ6="")),AND($HM6&gt;$HK$22,NOT($HM6="")),AND($II6&gt;$IG$22,NOT($II6="")),AND($JE6&gt;$JC$22,NOT($JE6="")),AND($KA6&gt;$JY$22,NOT($KA6="")),AND($KW6&gt;$KU$22,NOT($KW6="")),AND($LS6&gt;$LQ$22,NOT($LS6="")))),"Excellence",IF(AND(G6="P",OR(AND($AN6&gt;$AL$21,NOT($AN6=""),$AJ6=""),AND($BK6&gt;$BI$21,NOT($BK6=""),$BG6=""),AND($CK6&gt;$CI$21,NOT($CK6="")),AND($DG6&gt;$DE$21,NOT($DG6="")),AND($EC6&gt;$EA$21,NOT($EC6="")),AND($EY6&gt;$EW$21,NOT($EY6="")),AND($FU6&gt;$FS$21,NOT($FU6="")),AND($GQ6&gt;$GO$21,NOT($GQ6="")),AND($HM6&gt;$HK$21,NOT($HM6="")),AND($II6&gt;$IG$21,NOT($II6="")),AND($JE6&gt;$JC$21,NOT($JE6="")),AND($KA6&gt;$JY$21,NOT($KA6="")),AND($KW6&gt;$KU$21,NOT($KW6="")),AND($LS6&gt;$LQ$21,NOT($LS6="")))),"Worlds Team",IF(AND(F6="P",OR(AND($AN6&gt;$AL$20,NOT($AN6=""),$AJ6=""),AND($BK6&gt;$BI$20,NOT($BK6=""),$BG6=""),AND($CK6&gt;$CI$20,NOT($CK6="")),AND($DG6&gt;$DE$20,NOT($DG6="")),AND($EC6&gt;$EA$20,NOT($EC6="")),AND($EY6&gt;$EW$20,NOT($EY6="")),AND($FU6&gt;$FS$20,NOT($FU6="")),AND($GQ6&gt;$GO$20,NOT($GQ6="")),AND($HM6&gt;$HK$20,NOT($HM6="")),AND($II6&gt;$IG$20,NOT($II6="")),AND($JE6&gt;$JC$20,NOT($JE6="")),AND($KA6&gt;$JY$20,NOT($KA6="")),AND($KW6&gt;$KU$20,NOT($KW6="")),AND($LS6&gt;$LQ$20,NOT($LS6="")))),"National Team","")))))</f>
        <v>National Team</v>
      </c>
      <c r="J6" s="15">
        <f>IF(MAX(AN6,BK6)&gt;0,MAX(AN6,BK6),"")</f>
        <v>94.539999999999992</v>
      </c>
      <c r="K6" s="15" t="str">
        <f>IF(J6="","",IF(J6=BK6,$AR$1,IF(J6=AN6,$U$1,"")))</f>
        <v>2019 Elite Canada</v>
      </c>
      <c r="L6" s="15">
        <f>IF($J6=$AN6,BI6,IF($J6=$BK6,AL6,MAX(AL6,BI6)))</f>
        <v>43.47</v>
      </c>
      <c r="M6" s="15" t="str">
        <f>IF(L6="","",IF(L6=BI6,$AR$1,IF(L6=AL6,$U$1,"")))</f>
        <v>2018 Nationals</v>
      </c>
      <c r="N6" s="15">
        <f>IF($J6=$AN6,BJ6,IF($J6=$BK6,AM6,MAX(AM6,BJ6)))</f>
        <v>46.004999999999995</v>
      </c>
      <c r="O6" s="15" t="str">
        <f>IF(N6="","",IF(AND(N6=BJ6,$K6&lt;&gt;$AR$1),$AR$1,IF(AND(N6=AM6,$K6&lt;&gt;$U$1),$U$1,"")))</f>
        <v>2018 Nationals</v>
      </c>
      <c r="P6" s="15">
        <f>IF(MAX(AP6,BM6)&gt;0,MAX(AP6,BM6),"")</f>
        <v>47.129999999999995</v>
      </c>
      <c r="Q6" s="15" t="str">
        <f>IF(P6="","",IF(P6=BM6,$AR$1,IF(P6=AP6,$U$1,"")))</f>
        <v>2018 Nationals</v>
      </c>
      <c r="R6" s="15" t="str">
        <f>IF(MAX(BO6,BP6,BQ6,BR6)&gt;0,MAX(BO6,BP6,BQ6,BR6),"")</f>
        <v/>
      </c>
      <c r="S6" s="25" t="str">
        <f>IF(R6="","",IF(R6=BO6,"(Vol 1)",IF(R6=BP6,"(Vol 2)",IF(R6=BQ6,"(Prelim)",IF(R6=BR6,"(Final)")))))</f>
        <v/>
      </c>
      <c r="T6" s="15" t="str">
        <f>IF(R6="","",IF(R6=BO6,IF(R6+IF(L6="",0,L6)=LQ6,$LA$1,IF(R6+IF(L6="",0,L6)=KU6,$KE$1,IF(R6+IF(L6="",0,L6)=JY6,$JI$1,IF(R6+IF(L6="",0,L6)=JC6,$IM$1,IF(R6+IF(L6="",0,L6)=IG6,$HQ$1,IF(R6+IF(L6="",0,L6)=HK6,$GU$1,IF(R6+IF(L6="",0,L6)=GO6,$FY$1,IF(R6+IF(L6="",0,L6)=FS6,$FC$1,IF(R6+IF(L6="",0,L6)=EW6,$EG$1,IF(R6+IF(L6="",0,L6)=EA6,$DK$1,IF(R6+IF(L6="",0,L6)=DE6,$CO$1,IF(R6+IF(L6="",0,L6)=CI6,$BS$1)))))))))))),IF(R6=BP6,IF(R6+IF(N6="",0,N6)=LR6,$LA$1,IF(R6+IF(N6="",0,N6)=KV6,$KE$1,IF(R6+IF(N6="",0,N6)=JZ6,$JI$1,IF(R6+IF(N6="",0,N6)=JD6,$IM$1,IF(R6+IF(N6="",0,N6)=IH6,$HQ$1,IF(R6+IF(N6="",0,N6)=HL6,$GU$1,IF(R6+IF(N6="",0,N6)=GP6,$FY$1,IF(R6+IF(N6="",0,N6)=FT6,$FC$1,IF(R6+IF(N6="",0,N6)=EX6,$EG$1,IF(R6+IF(N6="",0,N6)=EB6,$DK$1,IF(R6+IF(N6="",0,N6)=DF6,$CO$1,IF(R6+IF(N6="",0,N6)=CJ6,$BS$1)))))))))))),IF(R6=BQ6,IF(R6+IF(J6="",0,J6)=LS6,$LA$1,IF(R6+IF(J6="",0,J6)=KW6,$KE$1,IF(R6+IF(J6="",0,J6)=KA6,$JI$1,IF(R6+IF(J6="",0,J6)=JE6,$IM$1,IF(R6+IF(J6="",0,J6)=II6,$HQ$1,IF(R6+IF(J6="",0,J6)=HM6,$GU$1,IF(R6+IF(J6="",0,J6)=GQ6,$FY$1,IF(R6+IF(J6="",0,J6)=FU6,$FC$1,IF(R6+IF(J6="",0,J6)=EY6,$EG$1,IF(R6+IF(J6="",0,J6)=EC6,$DK$1,IF(R6+IF(J6="",0,J6)=DG6,$CO$1,IF(R6+IF(J6="",0,J6)=CK6,$BS$1)))))))))))),IF(R6=BR6,IF(R6+IF(P6="",0,P6)=LU6,$LA$1,IF(R6+IF(P6="",0,P6)=KY6,$KE$1,IF(R6+IF(P6="",0,P6)=KC6,$JI$1,IF(R6+IF(P6="",0,P6)=JG6,$IM$1,IF(R6+IF(P6="",0,P6)=IK6,$HQ$1,IF(R6+IF(P6="",0,P6)=HO6,$GU$1,IF(R6+IF(P6="",0,P6)=GS6,$FY$1,IF(R6+IF(P6="",0,P6)=FW6,$FC$1,IF(R6+IF(P6="",0,P6)=FA6,$EG$1,IF(R6+IF(P6="",0,P6)=EE6,$DK$1,IF(R6+IF(P6="",0,P6)=DI6,$CO$1,IF(R6+IF(P6="",0,P6)=CM6,$BS$1)))))))))))))))))</f>
        <v/>
      </c>
      <c r="U6" s="36">
        <v>15.4</v>
      </c>
      <c r="V6" s="36">
        <v>9.25</v>
      </c>
      <c r="W6" s="36">
        <v>4.4000000000000004</v>
      </c>
      <c r="X6" s="36">
        <v>14.42</v>
      </c>
      <c r="Y6" s="36">
        <v>0</v>
      </c>
      <c r="Z6" s="36">
        <v>12.9</v>
      </c>
      <c r="AA6" s="36">
        <v>9</v>
      </c>
      <c r="AB6" s="36">
        <v>10</v>
      </c>
      <c r="AC6" s="36">
        <v>14.105</v>
      </c>
      <c r="AD6" s="36">
        <v>0</v>
      </c>
      <c r="AE6" s="36">
        <v>13.7</v>
      </c>
      <c r="AF6" s="36">
        <v>8.35</v>
      </c>
      <c r="AG6" s="36">
        <v>10.5</v>
      </c>
      <c r="AH6" s="36">
        <v>14.58</v>
      </c>
      <c r="AI6" s="36">
        <v>0</v>
      </c>
      <c r="AJ6" s="74"/>
      <c r="AK6" s="12">
        <f>IF(AB6&gt;0,AB6,"")</f>
        <v>10</v>
      </c>
      <c r="AL6" s="12">
        <f>IF(SUM(U6:X6)-Y6&gt;0,SUM(U6:X6)-Y6,"")</f>
        <v>43.47</v>
      </c>
      <c r="AM6" s="12">
        <f>IF(SUM(Z6:AC6)-AD6&gt;0,SUM(Z6:AC6)-AD6,"")</f>
        <v>46.004999999999995</v>
      </c>
      <c r="AN6" s="12">
        <f>IF(SUM(AL6:AM6)&gt;0,SUM(AL6:AM6),"")</f>
        <v>89.474999999999994</v>
      </c>
      <c r="AO6" s="12">
        <f>IF(AG6&gt;0,AG6,"")</f>
        <v>10.5</v>
      </c>
      <c r="AP6" s="12">
        <f>IF(SUM(AE6:AH6)-AI6&gt;0,SUM(AE6:AH6)-AI6,"")</f>
        <v>47.129999999999995</v>
      </c>
      <c r="AQ6" s="12">
        <f>IF(SUM(AN6,AP6)&gt;0,SUM(AN6,AP6),"")</f>
        <v>136.60499999999999</v>
      </c>
      <c r="AR6" s="69">
        <v>15.8</v>
      </c>
      <c r="AS6" s="69">
        <v>9.6999999999999993</v>
      </c>
      <c r="AT6" s="69">
        <v>3.5</v>
      </c>
      <c r="AU6" s="69">
        <v>15.51</v>
      </c>
      <c r="AV6" s="69">
        <v>0</v>
      </c>
      <c r="AW6" s="69">
        <v>13.4</v>
      </c>
      <c r="AX6" s="69">
        <v>9.15</v>
      </c>
      <c r="AY6" s="69">
        <v>13.1</v>
      </c>
      <c r="AZ6" s="69">
        <v>14.38</v>
      </c>
      <c r="BA6" s="69">
        <v>0</v>
      </c>
      <c r="BB6" s="69">
        <v>11</v>
      </c>
      <c r="BC6" s="69">
        <v>8.85</v>
      </c>
      <c r="BD6" s="69">
        <v>12.9</v>
      </c>
      <c r="BE6" s="69">
        <v>13.984999999999999</v>
      </c>
      <c r="BF6" s="69">
        <v>0</v>
      </c>
      <c r="BG6" s="75"/>
      <c r="BH6" s="15">
        <f>IF(AY6&gt;0,AY6,"")</f>
        <v>13.1</v>
      </c>
      <c r="BI6" s="15">
        <f>IF(SUM(AR6:AU6)-AV6&gt;0,SUM(AR6:AU6)-AV6,"")</f>
        <v>44.51</v>
      </c>
      <c r="BJ6" s="15">
        <f>IF(SUM(AW6:AZ6)-BA6&gt;0,SUM(AW6:AZ6)-BA6,"")</f>
        <v>50.03</v>
      </c>
      <c r="BK6" s="15">
        <f>IF(SUM(BI6:BJ6)&gt;0,SUM(BI6:BJ6),"")</f>
        <v>94.539999999999992</v>
      </c>
      <c r="BL6" s="15">
        <f>IF(BD6&gt;0,BD6,"")</f>
        <v>12.9</v>
      </c>
      <c r="BM6" s="15">
        <f>IF(SUM(BB6:BE6)-BF6&gt;0,SUM(BB6:BE6)-BF6,"")</f>
        <v>46.734999999999999</v>
      </c>
      <c r="BN6" s="15">
        <f>IF(SUM(BK6,BM6)&gt;0,SUM(BK6,BM6),"")</f>
        <v>141.27499999999998</v>
      </c>
      <c r="BO6" s="24" t="str">
        <f>IF(MAX(CI6,DE6,EA6,EW6,FS6,GO6,HK6,IG6,JC6,JY6,KU6,LQ6)-IF(L6="",0,L6)&gt;0.001,MAX(CI6,DE6,EA6,EW6,FS6,GO6,HK6,IG6,JC6,JY6,KU6,LQ6)-IF(L6="",0,L6),"")</f>
        <v/>
      </c>
      <c r="BP6" s="24" t="str">
        <f>IF(MAX(CJ6,DF6,EB6,EX6,FT6,GP6,HL6,IH6,JD6,JZ6,KV6,LR6)-IF(N6="",0,N6)&gt;0.001,MAX(CJ6,DF6,EB6,EX6,FT6,GP6,HL6,IH6,JD6,JZ6,KV6,LR6)-IF(N6="",0,N6),"")</f>
        <v/>
      </c>
      <c r="BQ6" s="24" t="str">
        <f>IF(MAX(CK6,DG6,EC6,EY6,FU6,GQ6,HM6,II6,JE6,KA6,KW6,LS6)-IF(J6="",0,J6)&gt;0.001,MAX(CK6,DG6,EC6,EY6,FU6,GQ6,HM6,II6,JE6,KA6,KW6,LS6)-IF(J6="",0,J6),"")</f>
        <v/>
      </c>
      <c r="BR6" s="24" t="str">
        <f>IF(MAX(CM6,DI6,EE6,FA6,FW6,GS6,HO6,IK6,JG6,KC6,KY6,LU6)-IF(P6="",0,P6)&gt;0.001,MAX(CM6,DI6,EE6,FA6,FW6,GS6,HO6,IK6,JG6,KC6,KY6,LU6)-IF(P6="",0,P6),"")</f>
        <v/>
      </c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12" t="str">
        <f>IF(BZ6&gt;0,BZ6,"")</f>
        <v/>
      </c>
      <c r="CI6" s="12" t="str">
        <f>IF(SUM(BS6:BV6)-BW6&gt;0,SUM(BS6:BV6)-BW6,"")</f>
        <v/>
      </c>
      <c r="CJ6" s="12" t="str">
        <f>IF(SUM(BX6:CA6)-CB6&gt;0,SUM(BX6:CA6)-CB6,"")</f>
        <v/>
      </c>
      <c r="CK6" s="12" t="str">
        <f>IF(SUM(CI6:CJ6)&gt;0,SUM(CI6:CJ6),"")</f>
        <v/>
      </c>
      <c r="CL6" s="12" t="str">
        <f>IF(CE6&gt;0,CE6,"")</f>
        <v/>
      </c>
      <c r="CM6" s="12" t="str">
        <f>IF(SUM(CC6:CF6)-CG6&gt;0,SUM(CC6:CF6)-CG6,"")</f>
        <v/>
      </c>
      <c r="CN6" s="12" t="str">
        <f>IF(SUM(CK6,CM6)&gt;0,SUM(CK6,CM6),"")</f>
        <v/>
      </c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  <c r="DB6" s="37"/>
      <c r="DC6" s="37"/>
      <c r="DD6" s="15" t="str">
        <f>IF(CV6&gt;0,CV6,"")</f>
        <v/>
      </c>
      <c r="DE6" s="15" t="str">
        <f>IF(SUM(CO6:CR6)-CS6&gt;0,SUM(CO6:CR6)-CS6,"")</f>
        <v/>
      </c>
      <c r="DF6" s="15" t="str">
        <f>IF(SUM(CT6:CW6)-CX6&gt;0,SUM(CT6:CW6)-CX6,"")</f>
        <v/>
      </c>
      <c r="DG6" s="15" t="str">
        <f>IF(SUM(DE6:DF6)&gt;0,SUM(DE6:DF6),"")</f>
        <v/>
      </c>
      <c r="DH6" s="15" t="str">
        <f>IF(DA6&gt;0,DA6,"")</f>
        <v/>
      </c>
      <c r="DI6" s="15" t="str">
        <f>IF(SUM(CY6:DB6)-DC6&gt;0,SUM(CY6:DB6)-DC6,"")</f>
        <v/>
      </c>
      <c r="DJ6" s="15" t="str">
        <f>IF(SUM(DG6,DI6)&gt;0,SUM(DG6,DI6),"")</f>
        <v/>
      </c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12" t="str">
        <f>IF(DR6&gt;0,DR6,"")</f>
        <v/>
      </c>
      <c r="EA6" s="12" t="str">
        <f>IF(SUM(DK6:DN6)-DO6&gt;0,SUM(DK6:DN6)-DO6,"")</f>
        <v/>
      </c>
      <c r="EB6" s="12" t="str">
        <f>IF(SUM(DP6:DS6)-DT6&gt;0,SUM(DP6:DS6)-DT6,"")</f>
        <v/>
      </c>
      <c r="EC6" s="12" t="str">
        <f>IF(SUM(EA6:EB6)&gt;0,SUM(EA6:EB6),"")</f>
        <v/>
      </c>
      <c r="ED6" s="12" t="str">
        <f>IF(DW6&gt;0,DW6,"")</f>
        <v/>
      </c>
      <c r="EE6" s="12" t="str">
        <f>IF(SUM(DU6:DX6)-DY6&gt;0,SUM(DU6:DX6)-DY6,"")</f>
        <v/>
      </c>
      <c r="EF6" s="12" t="str">
        <f>IF(SUM(EC6,EE6)&gt;0,SUM(EC6,EE6),"")</f>
        <v/>
      </c>
      <c r="EG6" s="37"/>
      <c r="EH6" s="37"/>
      <c r="EI6" s="37"/>
      <c r="EJ6" s="37"/>
      <c r="EK6" s="37"/>
      <c r="EL6" s="37"/>
      <c r="EM6" s="37"/>
      <c r="EN6" s="37"/>
      <c r="EO6" s="37"/>
      <c r="EP6" s="37"/>
      <c r="EQ6" s="37"/>
      <c r="ER6" s="37"/>
      <c r="ES6" s="37"/>
      <c r="ET6" s="37"/>
      <c r="EU6" s="37"/>
      <c r="EV6" s="15" t="str">
        <f>IF(EN6&gt;0,EN6,"")</f>
        <v/>
      </c>
      <c r="EW6" s="15" t="str">
        <f>IF(SUM(EG6:EJ6)-EK6&gt;0,SUM(EG6:EJ6)-EK6,"")</f>
        <v/>
      </c>
      <c r="EX6" s="15" t="str">
        <f>IF(SUM(EL6:EO6)-EP6&gt;0,SUM(EL6:EO6)-EP6,"")</f>
        <v/>
      </c>
      <c r="EY6" s="15" t="str">
        <f>IF(SUM(EW6:EX6)&gt;0,SUM(EW6:EX6),"")</f>
        <v/>
      </c>
      <c r="EZ6" s="15" t="str">
        <f>IF(ES6&gt;0,ES6,"")</f>
        <v/>
      </c>
      <c r="FA6" s="15" t="str">
        <f>IF(SUM(EQ6:ET6)-EU6&gt;0,SUM(EQ6:ET6)-EU6,"")</f>
        <v/>
      </c>
      <c r="FB6" s="15" t="str">
        <f>IF(SUM(EY6,FA6)&gt;0,SUM(EY6,FA6),"")</f>
        <v/>
      </c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12" t="str">
        <f>IF(FJ6&gt;0,FJ6,"")</f>
        <v/>
      </c>
      <c r="FS6" s="12" t="str">
        <f>IF(SUM(FC6:FF6)-FG6&gt;0,SUM(FC6:FF6)-FG6,"")</f>
        <v/>
      </c>
      <c r="FT6" s="12" t="str">
        <f>IF(SUM(FH6:FK6)-FL6&gt;0,SUM(FH6:FK6)-FL6,"")</f>
        <v/>
      </c>
      <c r="FU6" s="12" t="str">
        <f>IF(SUM(FS6:FT6)&gt;0,SUM(FS6:FT6),"")</f>
        <v/>
      </c>
      <c r="FV6" s="12" t="str">
        <f>IF(FO6&gt;0,FO6,"")</f>
        <v/>
      </c>
      <c r="FW6" s="12" t="str">
        <f>IF(SUM(FM6:FP6)-FQ6&gt;0,SUM(FM6:FP6)-FQ6,"")</f>
        <v/>
      </c>
      <c r="FX6" s="12" t="str">
        <f>IF(SUM(FU6,FW6)&gt;0,SUM(FU6,FW6),"")</f>
        <v/>
      </c>
      <c r="FY6" s="37"/>
      <c r="FZ6" s="37"/>
      <c r="GA6" s="37"/>
      <c r="GB6" s="37"/>
      <c r="GC6" s="37"/>
      <c r="GD6" s="37"/>
      <c r="GE6" s="37"/>
      <c r="GF6" s="37"/>
      <c r="GG6" s="37"/>
      <c r="GH6" s="37"/>
      <c r="GI6" s="37"/>
      <c r="GJ6" s="37"/>
      <c r="GK6" s="37"/>
      <c r="GL6" s="37"/>
      <c r="GM6" s="37"/>
      <c r="GN6" s="15" t="str">
        <f>IF(GF6&gt;0,GF6,"")</f>
        <v/>
      </c>
      <c r="GO6" s="15" t="str">
        <f>IF(SUM(FY6:GB6)-GC6&gt;0,SUM(FY6:GB6)-GC6,"")</f>
        <v/>
      </c>
      <c r="GP6" s="15" t="str">
        <f>IF(SUM(GD6:GG6)-GH6&gt;0,SUM(GD6:GG6)-GH6,"")</f>
        <v/>
      </c>
      <c r="GQ6" s="15" t="str">
        <f>IF(SUM(GO6:GP6)&gt;0,SUM(GO6:GP6),"")</f>
        <v/>
      </c>
      <c r="GR6" s="15" t="str">
        <f>IF(GK6&gt;0,GK6,"")</f>
        <v/>
      </c>
      <c r="GS6" s="15" t="str">
        <f>IF(SUM(GI6:GL6)-GM6&gt;0,SUM(GI6:GL6)-GM6,"")</f>
        <v/>
      </c>
      <c r="GT6" s="15" t="str">
        <f>IF(SUM(GQ6,GS6)&gt;0,SUM(GQ6,GS6),"")</f>
        <v/>
      </c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12" t="str">
        <f>IF(HB6&gt;0,HB6,"")</f>
        <v/>
      </c>
      <c r="HK6" s="12" t="str">
        <f>IF(SUM(GU6:GX6)-GY6&gt;0,SUM(GU6:GX6)-GY6,"")</f>
        <v/>
      </c>
      <c r="HL6" s="12" t="str">
        <f>IF(SUM(GZ6:HC6)-HD6&gt;0,SUM(GZ6:HC6)-HD6,"")</f>
        <v/>
      </c>
      <c r="HM6" s="12" t="str">
        <f>IF(SUM(HK6:HL6)&gt;0,SUM(HK6:HL6),"")</f>
        <v/>
      </c>
      <c r="HN6" s="12" t="str">
        <f>IF(HG6&gt;0,HG6,"")</f>
        <v/>
      </c>
      <c r="HO6" s="12" t="str">
        <f>IF(SUM(HE6:HH6)-HI6&gt;0,SUM(HE6:HH6)-HI6,"")</f>
        <v/>
      </c>
      <c r="HP6" s="12" t="str">
        <f>IF(SUM(HM6,HO6)&gt;0,SUM(HM6,HO6),"")</f>
        <v/>
      </c>
      <c r="HQ6" s="37"/>
      <c r="HR6" s="37"/>
      <c r="HS6" s="37"/>
      <c r="HT6" s="37"/>
      <c r="HU6" s="37"/>
      <c r="HV6" s="37"/>
      <c r="HW6" s="37"/>
      <c r="HX6" s="37"/>
      <c r="HY6" s="37"/>
      <c r="HZ6" s="37"/>
      <c r="IA6" s="37"/>
      <c r="IB6" s="37"/>
      <c r="IC6" s="37"/>
      <c r="ID6" s="37"/>
      <c r="IE6" s="37"/>
      <c r="IF6" s="15" t="str">
        <f>IF(HX6&gt;0,HX6,"")</f>
        <v/>
      </c>
      <c r="IG6" s="15" t="str">
        <f>IF(SUM(HQ6:HT6)-HU6&gt;0,SUM(HQ6:HT6)-HU6,"")</f>
        <v/>
      </c>
      <c r="IH6" s="15" t="str">
        <f>IF(SUM(HV6:HY6)-HZ6&gt;0,SUM(HV6:HY6)-HZ6,"")</f>
        <v/>
      </c>
      <c r="II6" s="15" t="str">
        <f>IF(SUM(IG6:IH6)&gt;0,SUM(IG6:IH6),"")</f>
        <v/>
      </c>
      <c r="IJ6" s="15" t="str">
        <f>IF(IC6&gt;0,IC6,"")</f>
        <v/>
      </c>
      <c r="IK6" s="15" t="str">
        <f>IF(SUM(IA6:ID6)-IE6&gt;0,SUM(IA6:ID6)-IE6,"")</f>
        <v/>
      </c>
      <c r="IL6" s="15" t="str">
        <f>IF(SUM(II6,IK6)&gt;0,SUM(II6,IK6),"")</f>
        <v/>
      </c>
      <c r="IM6" s="36"/>
      <c r="IN6" s="36"/>
      <c r="IO6" s="36"/>
      <c r="IP6" s="36"/>
      <c r="IQ6" s="36"/>
      <c r="IR6" s="36"/>
      <c r="IS6" s="36"/>
      <c r="IT6" s="36"/>
      <c r="IU6" s="36"/>
      <c r="IV6" s="36"/>
      <c r="IW6" s="36"/>
      <c r="IX6" s="36"/>
      <c r="IY6" s="36"/>
      <c r="IZ6" s="36"/>
      <c r="JA6" s="36"/>
      <c r="JB6" s="12" t="str">
        <f>IF(IT6&gt;0,IT6,"")</f>
        <v/>
      </c>
      <c r="JC6" s="12" t="str">
        <f>IF(SUM(IM6:IP6)-IQ6&gt;0,SUM(IM6:IP6)-IQ6,"")</f>
        <v/>
      </c>
      <c r="JD6" s="12" t="str">
        <f>IF(SUM(IR6:IU6)-IV6&gt;0,SUM(IR6:IU6)-IV6,"")</f>
        <v/>
      </c>
      <c r="JE6" s="12" t="str">
        <f>IF(SUM(JC6:JD6)&gt;0,SUM(JC6:JD6),"")</f>
        <v/>
      </c>
      <c r="JF6" s="12" t="str">
        <f>IF(IY6&gt;0,IY6,"")</f>
        <v/>
      </c>
      <c r="JG6" s="12" t="str">
        <f>IF(SUM(IW6:IZ6)-JA6&gt;0,SUM(IW6:IZ6)-JA6,"")</f>
        <v/>
      </c>
      <c r="JH6" s="12" t="str">
        <f>IF(SUM(JE6,JG6)&gt;0,SUM(JE6,JG6),"")</f>
        <v/>
      </c>
      <c r="JI6" s="37"/>
      <c r="JJ6" s="37"/>
      <c r="JK6" s="37"/>
      <c r="JL6" s="37"/>
      <c r="JM6" s="37"/>
      <c r="JN6" s="37"/>
      <c r="JO6" s="37"/>
      <c r="JP6" s="37"/>
      <c r="JQ6" s="37"/>
      <c r="JR6" s="37"/>
      <c r="JS6" s="37"/>
      <c r="JT6" s="37"/>
      <c r="JU6" s="37"/>
      <c r="JV6" s="37"/>
      <c r="JW6" s="37"/>
      <c r="JX6" s="15" t="str">
        <f>IF(JP6&gt;0,JP6,"")</f>
        <v/>
      </c>
      <c r="JY6" s="15" t="str">
        <f>IF(SUM(JI6:JL6)-JM6&gt;0,SUM(JI6:JL6)-JM6,"")</f>
        <v/>
      </c>
      <c r="JZ6" s="15" t="str">
        <f>IF(SUM(JN6:JQ6)-JR6&gt;0,SUM(JN6:JQ6)-JR6,"")</f>
        <v/>
      </c>
      <c r="KA6" s="15" t="str">
        <f>IF(SUM(JY6:JZ6)&gt;0,SUM(JY6:JZ6),"")</f>
        <v/>
      </c>
      <c r="KB6" s="15" t="str">
        <f>IF(JU6&gt;0,JU6,"")</f>
        <v/>
      </c>
      <c r="KC6" s="15" t="str">
        <f>IF(SUM(JS6:JV6)-JW6&gt;0,SUM(JS6:JV6)-JW6,"")</f>
        <v/>
      </c>
      <c r="KD6" s="15" t="str">
        <f>IF(SUM(KA6,KC6)&gt;0,SUM(KA6,KC6),"")</f>
        <v/>
      </c>
      <c r="KE6" s="36"/>
      <c r="KF6" s="36"/>
      <c r="KG6" s="36"/>
      <c r="KH6" s="36"/>
      <c r="KI6" s="36"/>
      <c r="KJ6" s="36"/>
      <c r="KK6" s="36"/>
      <c r="KL6" s="36"/>
      <c r="KM6" s="36"/>
      <c r="KN6" s="36"/>
      <c r="KO6" s="36"/>
      <c r="KP6" s="36"/>
      <c r="KQ6" s="36"/>
      <c r="KR6" s="36"/>
      <c r="KS6" s="36"/>
      <c r="KT6" s="12" t="str">
        <f>IF(KL6&gt;0,KL6,"")</f>
        <v/>
      </c>
      <c r="KU6" s="12" t="str">
        <f>IF(SUM(KE6:KH6)-KI6&gt;0,SUM(KE6:KH6)-KI6,"")</f>
        <v/>
      </c>
      <c r="KV6" s="12" t="str">
        <f>IF(SUM(KJ6:KM6)-KN6&gt;0,SUM(KJ6:KM6)-KN6,"")</f>
        <v/>
      </c>
      <c r="KW6" s="12" t="str">
        <f>IF(SUM(KU6:KV6)&gt;0,SUM(KU6:KV6),"")</f>
        <v/>
      </c>
      <c r="KX6" s="12" t="str">
        <f>IF(KQ6&gt;0,KQ6,"")</f>
        <v/>
      </c>
      <c r="KY6" s="12" t="str">
        <f>IF(SUM(KO6:KR6)-KS6&gt;0,SUM(KO6:KR6)-KS6,"")</f>
        <v/>
      </c>
      <c r="KZ6" s="12" t="str">
        <f>IF(SUM(KW6,KY6)&gt;0,SUM(KW6,KY6),"")</f>
        <v/>
      </c>
      <c r="LA6" s="37"/>
      <c r="LB6" s="37"/>
      <c r="LC6" s="37"/>
      <c r="LD6" s="37"/>
      <c r="LE6" s="37"/>
      <c r="LF6" s="37"/>
      <c r="LG6" s="37"/>
      <c r="LH6" s="37"/>
      <c r="LI6" s="37"/>
      <c r="LJ6" s="37"/>
      <c r="LK6" s="37"/>
      <c r="LL6" s="37"/>
      <c r="LM6" s="37"/>
      <c r="LN6" s="37"/>
      <c r="LO6" s="37"/>
      <c r="LP6" s="15" t="str">
        <f>IF(LH6&gt;0,LH6,"")</f>
        <v/>
      </c>
      <c r="LQ6" s="15" t="str">
        <f>IF(SUM(LA6:LD6)-LE6&gt;0,SUM(LA6:LD6)-LE6,"")</f>
        <v/>
      </c>
      <c r="LR6" s="15" t="str">
        <f>IF(SUM(LF6:LI6)-LJ6&gt;0,SUM(LF6:LI6)-LJ6,"")</f>
        <v/>
      </c>
      <c r="LS6" s="15" t="str">
        <f>IF(SUM(LQ6:LR6)&gt;0,SUM(LQ6:LR6),"")</f>
        <v/>
      </c>
      <c r="LT6" s="15" t="str">
        <f>IF(LM6&gt;0,LM6,"")</f>
        <v/>
      </c>
      <c r="LU6" s="15" t="str">
        <f>IF(SUM(LK6:LN6)-LO6&gt;0,SUM(LK6:LN6)-LO6,"")</f>
        <v/>
      </c>
      <c r="LV6" s="15" t="str">
        <f>IF(SUM(LS6,LU6)&gt;0,SUM(LS6,LU6),"")</f>
        <v/>
      </c>
      <c r="LW6" s="63">
        <f t="shared" si="7"/>
        <v>15.600000000000001</v>
      </c>
      <c r="LX6" s="63">
        <f t="shared" si="8"/>
        <v>9.4749999999999996</v>
      </c>
      <c r="LY6" s="63">
        <f t="shared" si="9"/>
        <v>3.95</v>
      </c>
      <c r="LZ6" s="63">
        <f t="shared" si="10"/>
        <v>14.965</v>
      </c>
      <c r="MA6" s="63">
        <f t="shared" si="11"/>
        <v>0</v>
      </c>
      <c r="MB6" s="63">
        <f t="shared" si="12"/>
        <v>13.15</v>
      </c>
      <c r="MC6" s="63">
        <f t="shared" si="13"/>
        <v>9.0749999999999993</v>
      </c>
      <c r="MD6" s="63">
        <f t="shared" si="14"/>
        <v>11.55</v>
      </c>
      <c r="ME6" s="63">
        <f t="shared" si="15"/>
        <v>14.2425</v>
      </c>
      <c r="MF6" s="63">
        <f t="shared" si="16"/>
        <v>0</v>
      </c>
      <c r="MG6" s="63">
        <f t="shared" si="17"/>
        <v>12.35</v>
      </c>
      <c r="MH6" s="63">
        <f t="shared" si="18"/>
        <v>8.6</v>
      </c>
      <c r="MI6" s="63">
        <f t="shared" si="19"/>
        <v>11.7</v>
      </c>
      <c r="MJ6" s="63">
        <f t="shared" si="20"/>
        <v>14.282499999999999</v>
      </c>
      <c r="MK6" s="63">
        <f t="shared" si="21"/>
        <v>0</v>
      </c>
      <c r="ML6" s="74" t="s">
        <v>119</v>
      </c>
      <c r="MM6" s="12">
        <f t="shared" si="22"/>
        <v>11.55</v>
      </c>
      <c r="MN6" s="12">
        <f t="shared" si="23"/>
        <v>43.99</v>
      </c>
      <c r="MO6" s="12">
        <f t="shared" si="24"/>
        <v>48.017500000000005</v>
      </c>
      <c r="MP6" s="12">
        <f t="shared" si="25"/>
        <v>92.007500000000007</v>
      </c>
      <c r="MQ6" s="12">
        <f t="shared" si="26"/>
        <v>11.7</v>
      </c>
      <c r="MR6" s="12">
        <f t="shared" si="27"/>
        <v>46.932499999999997</v>
      </c>
      <c r="MS6" s="12">
        <f t="shared" si="28"/>
        <v>138.94</v>
      </c>
    </row>
    <row r="7" spans="1:357" x14ac:dyDescent="0.2">
      <c r="A7" s="6">
        <f>IF(AND(F7="P",H7="P"),SUMPRODUCT((F$4:F$16="P")*(H$4:H$16="P")*(E$4:E$16&gt;E7))+1,IF(H7="P",SUMPRODUCT((F$4:F$16="")*(H$4:H$16="P")*(E$4:E$16&gt;E7))+1+SUMPRODUCT((F$4:F$16="P")*(H$4:H$16="P")),""))</f>
        <v>4</v>
      </c>
      <c r="B7" s="9" t="s">
        <v>126</v>
      </c>
      <c r="C7" s="5" t="s">
        <v>3</v>
      </c>
      <c r="D7" s="27">
        <v>2002</v>
      </c>
      <c r="E7" s="16">
        <f>SUM(J7:R7)</f>
        <v>226.38499999999999</v>
      </c>
      <c r="F7" s="4" t="str">
        <f>IF(OR(AND($AK7&gt;=$AL$18,NOT($AK7=""),$AJ7=""),AND($BH7&gt;=$BI$18,NOT($BH7=""),$BG7=""),AND($CH7&gt;=$CI$18,NOT($CH7="")),AND($DD7&gt;=$DE$18,NOT($DD7="")),AND($DZ7&gt;=$EA$18,NOT($DZ7="")),AND($EV7&gt;=$EW$18,NOT($EV7="")),AND($FR7&gt;=$FS$18,NOT($FR7="")),AND($GN7&gt;=$GO$18,NOT($GN7="")),AND($HJ7&gt;=$HK$18,NOT($HJ7="")),AND($IF7&gt;=$IG$18,NOT($IF7="")),AND($JB7&gt;=$JC$18,NOT($JB7="")),AND($JX7&gt;=$JY$18,NOT($JX7="")),AND($KT7&gt;=$KU$18,NOT($KT7="")),AND($LP7&gt;=$LQ$18,NOT($LP7=""))),"P","")</f>
        <v/>
      </c>
      <c r="G7" s="4" t="str">
        <f>IF(OR(AND($AK7&gt;=$AL$19,NOT($AK7=""),$AJ7=""),AND($BH7&gt;=$BI$19,NOT($BH7=""),$BG7=""),AND($CH7&gt;=$CI$19,NOT($CH7="")),AND($DD7&gt;=$DE$19,NOT($DD7="")),AND($DZ7&gt;=$EA$19,NOT($DZ7="")),AND($EV7&gt;=$EW$19,NOT($EV7="")),AND($FR7&gt;=$FS$19,NOT($FR7="")),AND($GN7&gt;=$GO$19,NOT($GN7="")),AND($HJ7&gt;=$HK$19,NOT($HJ7="")),AND($IF7&gt;=$IG$19,NOT($IF7="")),AND($JB7&gt;=$JC$19,NOT($JB7="")),AND($JX7&gt;=$JY$19,NOT($JX7="")),AND($KT7&gt;=$KU$19,NOT($KT7="")),AND($LP7&gt;=$LQ$19,NOT($LP7=""))),"P","")</f>
        <v/>
      </c>
      <c r="H7" s="4" t="str">
        <f>IF(OR(AND($AN7&gt;=$AL$20,NOT($AN7=""),$AJ7=""),AND($BK7&gt;=$BI$20,NOT($BK7=""),$BG7=""),AND($CK7&gt;=$CI$20,NOT($CK7="")),AND($DG7&gt;=$DE$20,NOT($DG7="")),AND($EC7&gt;=$EA$20,NOT($EC7="")),AND($EY7&gt;=$EW$20,NOT($EY7="")),AND($FU7&gt;=$FS$20,NOT($FU7="")),AND($GQ7&gt;=$GO$20,NOT($GQ7="")),AND($HM7&gt;=$HK$20,NOT($HM7="")),AND($II7&gt;=$IG$20,NOT($II7="")),AND($JE7&gt;=$JC$20,NOT($JE7="")),AND($KA7&gt;=$JY$20,NOT($KA7="")),AND($KW7&gt;=$KU$20,NOT($KW7="")),AND($LS7&gt;=$LQ$20,NOT($LS7=""))),"P","")</f>
        <v>P</v>
      </c>
      <c r="I7" t="str">
        <f>IF(AND(H7="P",F7=""),"No DD",IF(AND(G7="P",OR(AND($AM7&gt;$AL$23,NOT($AM7=""),$AJ7=""),AND($AP7&gt;$AL$23,NOT($AP7=""),$AJ7=""),AND($BJ7&gt;$BI$23,NOT($BJ7=""),$BG7=""),AND($BM7&gt;$BI$23,NOT($BM7=""),$BG7=""),AND($CJ7&gt;$CI$23,NOT($CJ7="")),AND($CM7&gt;$CI$23,NOT($CM7="")),AND($DF7&gt;$DE$23,NOT($DF7="")),AND($DI7&gt;$DE$23,NOT($DI7="")),AND($EB7&gt;$EA$23,NOT($EB7="")),AND($EE7&gt;$EA$23,NOT($EE7="")),AND($EX7&gt;$EW$23,NOT($EX7="")),AND($FA7&gt;$EW$23,NOT($FA7="")),AND($FT7&gt;$FS$23,NOT($FT7="")),AND($FW7&gt;$FS$23,NOT($FW7="")),AND($GP7&gt;$GO$23,NOT($GP7="")),AND($GS7&gt;$GO$23,NOT($GS7="")),AND($HL7&gt;$HK$23,NOT($HL7="")),AND($HO7&gt;$HK$23,NOT($HO7="")),AND($IH7&gt;$IG$23,NOT($IH7="")),AND($IK7&gt;$IG$23,NOT($IK7="")),AND($JD7&gt;$JC$23,NOT($JD7="")),AND($JG7&gt;$JC$23,NOT($JG7="")),AND($JZ7&gt;$JY$23,NOT($JZ7="")),AND($KC7&gt;$JY$23,NOT($KC7="")),AND($KV7&gt;$KU$23,NOT($KV7="")),AND($KY7&gt;$KU$23,NOT($KY7="")),AND($LR7&gt;$LQ$23,NOT($LR7="")),AND($LU7&gt;$LQ$23,NOT($LU7="")))),"Merit",IF(AND(G7="P",OR(AND($AN7&gt;$AL$22,NOT($AN7=""),$AJ7=""),AND($BK7&gt;$BI$22,NOT($BK7=""),$BG7=""),AND($CK7&gt;$CI$22,NOT($CK7="")),AND($DG7&gt;$DE$22,NOT($DG7="")),AND($EC7&gt;$EA$22,NOT($EC7="")),AND($EY7&gt;$EW$22,NOT($EY7="")),AND($FU7&gt;$FS$22,NOT($FU7="")),AND($GQ7&gt;$GO$22,NOT($GQ7="")),AND($HM7&gt;$HK$22,NOT($HM7="")),AND($II7&gt;$IG$22,NOT($II7="")),AND($JE7&gt;$JC$22,NOT($JE7="")),AND($KA7&gt;$JY$22,NOT($KA7="")),AND($KW7&gt;$KU$22,NOT($KW7="")),AND($LS7&gt;$LQ$22,NOT($LS7="")))),"Excellence",IF(AND(G7="P",OR(AND($AN7&gt;$AL$21,NOT($AN7=""),$AJ7=""),AND($BK7&gt;$BI$21,NOT($BK7=""),$BG7=""),AND($CK7&gt;$CI$21,NOT($CK7="")),AND($DG7&gt;$DE$21,NOT($DG7="")),AND($EC7&gt;$EA$21,NOT($EC7="")),AND($EY7&gt;$EW$21,NOT($EY7="")),AND($FU7&gt;$FS$21,NOT($FU7="")),AND($GQ7&gt;$GO$21,NOT($GQ7="")),AND($HM7&gt;$HK$21,NOT($HM7="")),AND($II7&gt;$IG$21,NOT($II7="")),AND($JE7&gt;$JC$21,NOT($JE7="")),AND($KA7&gt;$JY$21,NOT($KA7="")),AND($KW7&gt;$KU$21,NOT($KW7="")),AND($LS7&gt;$LQ$21,NOT($LS7="")))),"Worlds Team",IF(AND(F7="P",OR(AND($AN7&gt;$AL$20,NOT($AN7=""),$AJ7=""),AND($BK7&gt;$BI$20,NOT($BK7=""),$BG7=""),AND($CK7&gt;$CI$20,NOT($CK7="")),AND($DG7&gt;$DE$20,NOT($DG7="")),AND($EC7&gt;$EA$20,NOT($EC7="")),AND($EY7&gt;$EW$20,NOT($EY7="")),AND($FU7&gt;$FS$20,NOT($FU7="")),AND($GQ7&gt;$GO$20,NOT($GQ7="")),AND($HM7&gt;$HK$20,NOT($HM7="")),AND($II7&gt;$IG$20,NOT($II7="")),AND($JE7&gt;$JC$20,NOT($JE7="")),AND($KA7&gt;$JY$20,NOT($KA7="")),AND($KW7&gt;$KU$20,NOT($KW7="")),AND($LS7&gt;$LQ$20,NOT($LS7="")))),"National Team","")))))</f>
        <v>No DD</v>
      </c>
      <c r="J7" s="15">
        <f>IF(MAX(AN7,BK7)&gt;0,MAX(AN7,BK7),"")</f>
        <v>92.36999999999999</v>
      </c>
      <c r="K7" s="15" t="str">
        <f>IF(J7="","",IF(J7=BK7,$AR$1,IF(J7=AN7,$U$1,"")))</f>
        <v>2019 Elite Canada</v>
      </c>
      <c r="L7" s="15">
        <f>IF($J7=$AN7,BI7,IF($J7=$BK7,AL7,MAX(AL7,BI7)))</f>
        <v>39.295000000000002</v>
      </c>
      <c r="M7" s="15" t="str">
        <f>IF(L7="","",IF(L7=BI7,$AR$1,IF(L7=AL7,$U$1,"")))</f>
        <v>2018 Nationals</v>
      </c>
      <c r="N7" s="15">
        <f>IF($J7=$AN7,BJ7,IF($J7=$BK7,AM7,MAX(AM7,BJ7)))</f>
        <v>46.730000000000004</v>
      </c>
      <c r="O7" s="15" t="str">
        <f>IF(N7="","",IF(AND(N7=BJ7,$K7&lt;&gt;$AR$1),$AR$1,IF(AND(N7=AM7,$K7&lt;&gt;$U$1),$U$1,"")))</f>
        <v>2018 Nationals</v>
      </c>
      <c r="P7" s="15">
        <f>IF(MAX(AP7,BM7)&gt;0,MAX(AP7,BM7),"")</f>
        <v>47.989999999999995</v>
      </c>
      <c r="Q7" s="15" t="str">
        <f>IF(P7="","",IF(P7=BM7,$AR$1,IF(P7=AP7,$U$1,"")))</f>
        <v>2018 Nationals</v>
      </c>
      <c r="R7" s="15" t="str">
        <f>IF(MAX(BO7,BP7,BQ7,BR7)&gt;0,MAX(BO7,BP7,BQ7,BR7),"")</f>
        <v/>
      </c>
      <c r="S7" s="25" t="str">
        <f>IF(R7="","",IF(R7=BO7,"(Vol 1)",IF(R7=BP7,"(Vol 2)",IF(R7=BQ7,"(Prelim)",IF(R7=BR7,"(Final)")))))</f>
        <v/>
      </c>
      <c r="T7" s="15" t="str">
        <f>IF(R7="","",IF(R7=BO7,IF(R7+IF(L7="",0,L7)=LQ7,$LA$1,IF(R7+IF(L7="",0,L7)=KU7,$KE$1,IF(R7+IF(L7="",0,L7)=JY7,$JI$1,IF(R7+IF(L7="",0,L7)=JC7,$IM$1,IF(R7+IF(L7="",0,L7)=IG7,$HQ$1,IF(R7+IF(L7="",0,L7)=HK7,$GU$1,IF(R7+IF(L7="",0,L7)=GO7,$FY$1,IF(R7+IF(L7="",0,L7)=FS7,$FC$1,IF(R7+IF(L7="",0,L7)=EW7,$EG$1,IF(R7+IF(L7="",0,L7)=EA7,$DK$1,IF(R7+IF(L7="",0,L7)=DE7,$CO$1,IF(R7+IF(L7="",0,L7)=CI7,$BS$1)))))))))))),IF(R7=BP7,IF(R7+IF(N7="",0,N7)=LR7,$LA$1,IF(R7+IF(N7="",0,N7)=KV7,$KE$1,IF(R7+IF(N7="",0,N7)=JZ7,$JI$1,IF(R7+IF(N7="",0,N7)=JD7,$IM$1,IF(R7+IF(N7="",0,N7)=IH7,$HQ$1,IF(R7+IF(N7="",0,N7)=HL7,$GU$1,IF(R7+IF(N7="",0,N7)=GP7,$FY$1,IF(R7+IF(N7="",0,N7)=FT7,$FC$1,IF(R7+IF(N7="",0,N7)=EX7,$EG$1,IF(R7+IF(N7="",0,N7)=EB7,$DK$1,IF(R7+IF(N7="",0,N7)=DF7,$CO$1,IF(R7+IF(N7="",0,N7)=CJ7,$BS$1)))))))))))),IF(R7=BQ7,IF(R7+IF(J7="",0,J7)=LS7,$LA$1,IF(R7+IF(J7="",0,J7)=KW7,$KE$1,IF(R7+IF(J7="",0,J7)=KA7,$JI$1,IF(R7+IF(J7="",0,J7)=JE7,$IM$1,IF(R7+IF(J7="",0,J7)=II7,$HQ$1,IF(R7+IF(J7="",0,J7)=HM7,$GU$1,IF(R7+IF(J7="",0,J7)=GQ7,$FY$1,IF(R7+IF(J7="",0,J7)=FU7,$FC$1,IF(R7+IF(J7="",0,J7)=EY7,$EG$1,IF(R7+IF(J7="",0,J7)=EC7,$DK$1,IF(R7+IF(J7="",0,J7)=DG7,$CO$1,IF(R7+IF(J7="",0,J7)=CK7,$BS$1)))))))))))),IF(R7=BR7,IF(R7+IF(P7="",0,P7)=LU7,$LA$1,IF(R7+IF(P7="",0,P7)=KY7,$KE$1,IF(R7+IF(P7="",0,P7)=KC7,$JI$1,IF(R7+IF(P7="",0,P7)=JG7,$IM$1,IF(R7+IF(P7="",0,P7)=IK7,$HQ$1,IF(R7+IF(P7="",0,P7)=HO7,$GU$1,IF(R7+IF(P7="",0,P7)=GS7,$FY$1,IF(R7+IF(P7="",0,P7)=FW7,$FC$1,IF(R7+IF(P7="",0,P7)=FA7,$EG$1,IF(R7+IF(P7="",0,P7)=EE7,$DK$1,IF(R7+IF(P7="",0,P7)=DI7,$CO$1,IF(R7+IF(P7="",0,P7)=CM7,$BS$1)))))))))))))))))</f>
        <v/>
      </c>
      <c r="U7" s="36">
        <v>15.5</v>
      </c>
      <c r="V7" s="36">
        <v>9.4499999999999993</v>
      </c>
      <c r="W7" s="36">
        <v>0</v>
      </c>
      <c r="X7" s="36">
        <v>14.345000000000001</v>
      </c>
      <c r="Y7" s="36">
        <v>0</v>
      </c>
      <c r="Z7" s="36">
        <v>13.9</v>
      </c>
      <c r="AA7" s="36">
        <v>9.4499999999999993</v>
      </c>
      <c r="AB7" s="36">
        <v>9.1</v>
      </c>
      <c r="AC7" s="36">
        <v>14.28</v>
      </c>
      <c r="AD7" s="36">
        <v>0</v>
      </c>
      <c r="AE7" s="36">
        <v>15.8</v>
      </c>
      <c r="AF7" s="36">
        <v>9.5</v>
      </c>
      <c r="AG7" s="36">
        <v>8.5</v>
      </c>
      <c r="AH7" s="36">
        <v>14.19</v>
      </c>
      <c r="AI7" s="36">
        <v>0</v>
      </c>
      <c r="AJ7" s="74"/>
      <c r="AK7" s="12">
        <f>IF(AB7&gt;0,AB7,"")</f>
        <v>9.1</v>
      </c>
      <c r="AL7" s="12">
        <f>IF(SUM(U7:X7)-Y7&gt;0,SUM(U7:X7)-Y7,"")</f>
        <v>39.295000000000002</v>
      </c>
      <c r="AM7" s="12">
        <f>IF(SUM(Z7:AC7)-AD7&gt;0,SUM(Z7:AC7)-AD7,"")</f>
        <v>46.730000000000004</v>
      </c>
      <c r="AN7" s="12">
        <f>IF(SUM(AL7:AM7)&gt;0,SUM(AL7:AM7),"")</f>
        <v>86.025000000000006</v>
      </c>
      <c r="AO7" s="12">
        <f>IF(AG7&gt;0,AG7,"")</f>
        <v>8.5</v>
      </c>
      <c r="AP7" s="12">
        <f>IF(SUM(AE7:AH7)-AI7&gt;0,SUM(AE7:AH7)-AI7,"")</f>
        <v>47.989999999999995</v>
      </c>
      <c r="AQ7" s="12">
        <f>IF(SUM(AN7,AP7)&gt;0,SUM(AN7,AP7),"")</f>
        <v>134.01499999999999</v>
      </c>
      <c r="AR7" s="69">
        <v>15</v>
      </c>
      <c r="AS7" s="69">
        <v>8.75</v>
      </c>
      <c r="AT7" s="69">
        <v>4.4000000000000004</v>
      </c>
      <c r="AU7" s="69">
        <v>15.01</v>
      </c>
      <c r="AV7" s="69">
        <v>0</v>
      </c>
      <c r="AW7" s="69">
        <v>15.1</v>
      </c>
      <c r="AX7" s="69">
        <v>8.9499999999999993</v>
      </c>
      <c r="AY7" s="69">
        <v>10.5</v>
      </c>
      <c r="AZ7" s="69">
        <v>14.66</v>
      </c>
      <c r="BA7" s="69">
        <v>0</v>
      </c>
      <c r="BB7" s="69">
        <v>14.7</v>
      </c>
      <c r="BC7" s="69">
        <v>8.6999999999999993</v>
      </c>
      <c r="BD7" s="69">
        <v>9.3000000000000007</v>
      </c>
      <c r="BE7" s="69">
        <v>14.64</v>
      </c>
      <c r="BF7" s="69">
        <v>0.2</v>
      </c>
      <c r="BG7" s="75"/>
      <c r="BH7" s="15">
        <f>IF(AY7&gt;0,AY7,"")</f>
        <v>10.5</v>
      </c>
      <c r="BI7" s="15">
        <f>IF(SUM(AR7:AU7)-AV7&gt;0,SUM(AR7:AU7)-AV7,"")</f>
        <v>43.16</v>
      </c>
      <c r="BJ7" s="15">
        <f>IF(SUM(AW7:AZ7)-BA7&gt;0,SUM(AW7:AZ7)-BA7,"")</f>
        <v>49.209999999999994</v>
      </c>
      <c r="BK7" s="15">
        <f>IF(SUM(BI7:BJ7)&gt;0,SUM(BI7:BJ7),"")</f>
        <v>92.36999999999999</v>
      </c>
      <c r="BL7" s="15">
        <f>IF(BD7&gt;0,BD7,"")</f>
        <v>9.3000000000000007</v>
      </c>
      <c r="BM7" s="15">
        <f>IF(SUM(BB7:BE7)-BF7&gt;0,SUM(BB7:BE7)-BF7,"")</f>
        <v>47.14</v>
      </c>
      <c r="BN7" s="15">
        <f>IF(SUM(BK7,BM7)&gt;0,SUM(BK7,BM7),"")</f>
        <v>139.51</v>
      </c>
      <c r="BO7" s="24" t="str">
        <f>IF(MAX(CI7,DE7,EA7,EW7,FS7,GO7,HK7,IG7,JC7,JY7,KU7,LQ7)-IF(L7="",0,L7)&gt;0.001,MAX(CI7,DE7,EA7,EW7,FS7,GO7,HK7,IG7,JC7,JY7,KU7,LQ7)-IF(L7="",0,L7),"")</f>
        <v/>
      </c>
      <c r="BP7" s="24" t="str">
        <f>IF(MAX(CJ7,DF7,EB7,EX7,FT7,GP7,HL7,IH7,JD7,JZ7,KV7,LR7)-IF(N7="",0,N7)&gt;0.001,MAX(CJ7,DF7,EB7,EX7,FT7,GP7,HL7,IH7,JD7,JZ7,KV7,LR7)-IF(N7="",0,N7),"")</f>
        <v/>
      </c>
      <c r="BQ7" s="24" t="str">
        <f>IF(MAX(CK7,DG7,EC7,EY7,FU7,GQ7,HM7,II7,JE7,KA7,KW7,LS7)-IF(J7="",0,J7)&gt;0.001,MAX(CK7,DG7,EC7,EY7,FU7,GQ7,HM7,II7,JE7,KA7,KW7,LS7)-IF(J7="",0,J7),"")</f>
        <v/>
      </c>
      <c r="BR7" s="24" t="str">
        <f>IF(MAX(CM7,DI7,EE7,FA7,FW7,GS7,HO7,IK7,JG7,KC7,KY7,LU7)-IF(P7="",0,P7)&gt;0.001,MAX(CM7,DI7,EE7,FA7,FW7,GS7,HO7,IK7,JG7,KC7,KY7,LU7)-IF(P7="",0,P7),"")</f>
        <v/>
      </c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12" t="str">
        <f>IF(BZ7&gt;0,BZ7,"")</f>
        <v/>
      </c>
      <c r="CI7" s="12" t="str">
        <f>IF(SUM(BS7:BV7)-BW7&gt;0,SUM(BS7:BV7)-BW7,"")</f>
        <v/>
      </c>
      <c r="CJ7" s="12" t="str">
        <f>IF(SUM(BX7:CA7)-CB7&gt;0,SUM(BX7:CA7)-CB7,"")</f>
        <v/>
      </c>
      <c r="CK7" s="12" t="str">
        <f>IF(SUM(CI7:CJ7)&gt;0,SUM(CI7:CJ7),"")</f>
        <v/>
      </c>
      <c r="CL7" s="12" t="str">
        <f>IF(CE7&gt;0,CE7,"")</f>
        <v/>
      </c>
      <c r="CM7" s="12" t="str">
        <f>IF(SUM(CC7:CF7)-CG7&gt;0,SUM(CC7:CF7)-CG7,"")</f>
        <v/>
      </c>
      <c r="CN7" s="12" t="str">
        <f>IF(SUM(CK7,CM7)&gt;0,SUM(CK7,CM7),"")</f>
        <v/>
      </c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  <c r="DB7" s="37"/>
      <c r="DC7" s="37"/>
      <c r="DD7" s="15" t="str">
        <f>IF(CV7&gt;0,CV7,"")</f>
        <v/>
      </c>
      <c r="DE7" s="15" t="str">
        <f>IF(SUM(CO7:CR7)-CS7&gt;0,SUM(CO7:CR7)-CS7,"")</f>
        <v/>
      </c>
      <c r="DF7" s="15" t="str">
        <f>IF(SUM(CT7:CW7)-CX7&gt;0,SUM(CT7:CW7)-CX7,"")</f>
        <v/>
      </c>
      <c r="DG7" s="15" t="str">
        <f>IF(SUM(DE7:DF7)&gt;0,SUM(DE7:DF7),"")</f>
        <v/>
      </c>
      <c r="DH7" s="15" t="str">
        <f>IF(DA7&gt;0,DA7,"")</f>
        <v/>
      </c>
      <c r="DI7" s="15" t="str">
        <f>IF(SUM(CY7:DB7)-DC7&gt;0,SUM(CY7:DB7)-DC7,"")</f>
        <v/>
      </c>
      <c r="DJ7" s="15" t="str">
        <f>IF(SUM(DG7,DI7)&gt;0,SUM(DG7,DI7),"")</f>
        <v/>
      </c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12" t="str">
        <f>IF(DR7&gt;0,DR7,"")</f>
        <v/>
      </c>
      <c r="EA7" s="12" t="str">
        <f>IF(SUM(DK7:DN7)-DO7&gt;0,SUM(DK7:DN7)-DO7,"")</f>
        <v/>
      </c>
      <c r="EB7" s="12" t="str">
        <f>IF(SUM(DP7:DS7)-DT7&gt;0,SUM(DP7:DS7)-DT7,"")</f>
        <v/>
      </c>
      <c r="EC7" s="12" t="str">
        <f>IF(SUM(EA7:EB7)&gt;0,SUM(EA7:EB7),"")</f>
        <v/>
      </c>
      <c r="ED7" s="12" t="str">
        <f>IF(DW7&gt;0,DW7,"")</f>
        <v/>
      </c>
      <c r="EE7" s="12" t="str">
        <f>IF(SUM(DU7:DX7)-DY7&gt;0,SUM(DU7:DX7)-DY7,"")</f>
        <v/>
      </c>
      <c r="EF7" s="12" t="str">
        <f>IF(SUM(EC7,EE7)&gt;0,SUM(EC7,EE7),"")</f>
        <v/>
      </c>
      <c r="EG7" s="37"/>
      <c r="EH7" s="37"/>
      <c r="EI7" s="37"/>
      <c r="EJ7" s="37"/>
      <c r="EK7" s="37"/>
      <c r="EL7" s="37"/>
      <c r="EM7" s="37"/>
      <c r="EN7" s="37"/>
      <c r="EO7" s="37"/>
      <c r="EP7" s="37"/>
      <c r="EQ7" s="37"/>
      <c r="ER7" s="37"/>
      <c r="ES7" s="37"/>
      <c r="ET7" s="37"/>
      <c r="EU7" s="37"/>
      <c r="EV7" s="15" t="str">
        <f>IF(EN7&gt;0,EN7,"")</f>
        <v/>
      </c>
      <c r="EW7" s="15" t="str">
        <f>IF(SUM(EG7:EJ7)-EK7&gt;0,SUM(EG7:EJ7)-EK7,"")</f>
        <v/>
      </c>
      <c r="EX7" s="15" t="str">
        <f>IF(SUM(EL7:EO7)-EP7&gt;0,SUM(EL7:EO7)-EP7,"")</f>
        <v/>
      </c>
      <c r="EY7" s="15" t="str">
        <f>IF(SUM(EW7:EX7)&gt;0,SUM(EW7:EX7),"")</f>
        <v/>
      </c>
      <c r="EZ7" s="15" t="str">
        <f>IF(ES7&gt;0,ES7,"")</f>
        <v/>
      </c>
      <c r="FA7" s="15" t="str">
        <f>IF(SUM(EQ7:ET7)-EU7&gt;0,SUM(EQ7:ET7)-EU7,"")</f>
        <v/>
      </c>
      <c r="FB7" s="15" t="str">
        <f>IF(SUM(EY7,FA7)&gt;0,SUM(EY7,FA7),"")</f>
        <v/>
      </c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12" t="str">
        <f>IF(FJ7&gt;0,FJ7,"")</f>
        <v/>
      </c>
      <c r="FS7" s="12" t="str">
        <f>IF(SUM(FC7:FF7)-FG7&gt;0,SUM(FC7:FF7)-FG7,"")</f>
        <v/>
      </c>
      <c r="FT7" s="12" t="str">
        <f>IF(SUM(FH7:FK7)-FL7&gt;0,SUM(FH7:FK7)-FL7,"")</f>
        <v/>
      </c>
      <c r="FU7" s="12" t="str">
        <f>IF(SUM(FS7:FT7)&gt;0,SUM(FS7:FT7),"")</f>
        <v/>
      </c>
      <c r="FV7" s="12" t="str">
        <f>IF(FO7&gt;0,FO7,"")</f>
        <v/>
      </c>
      <c r="FW7" s="12" t="str">
        <f>IF(SUM(FM7:FP7)-FQ7&gt;0,SUM(FM7:FP7)-FQ7,"")</f>
        <v/>
      </c>
      <c r="FX7" s="12" t="str">
        <f>IF(SUM(FU7,FW7)&gt;0,SUM(FU7,FW7),"")</f>
        <v/>
      </c>
      <c r="FY7" s="37"/>
      <c r="FZ7" s="37"/>
      <c r="GA7" s="37"/>
      <c r="GB7" s="37"/>
      <c r="GC7" s="37"/>
      <c r="GD7" s="37"/>
      <c r="GE7" s="37"/>
      <c r="GF7" s="37"/>
      <c r="GG7" s="37"/>
      <c r="GH7" s="37"/>
      <c r="GI7" s="37"/>
      <c r="GJ7" s="37"/>
      <c r="GK7" s="37"/>
      <c r="GL7" s="37"/>
      <c r="GM7" s="37"/>
      <c r="GN7" s="15" t="str">
        <f>IF(GF7&gt;0,GF7,"")</f>
        <v/>
      </c>
      <c r="GO7" s="15" t="str">
        <f>IF(SUM(FY7:GB7)-GC7&gt;0,SUM(FY7:GB7)-GC7,"")</f>
        <v/>
      </c>
      <c r="GP7" s="15" t="str">
        <f>IF(SUM(GD7:GG7)-GH7&gt;0,SUM(GD7:GG7)-GH7,"")</f>
        <v/>
      </c>
      <c r="GQ7" s="15" t="str">
        <f>IF(SUM(GO7:GP7)&gt;0,SUM(GO7:GP7),"")</f>
        <v/>
      </c>
      <c r="GR7" s="15" t="str">
        <f>IF(GK7&gt;0,GK7,"")</f>
        <v/>
      </c>
      <c r="GS7" s="15" t="str">
        <f>IF(SUM(GI7:GL7)-GM7&gt;0,SUM(GI7:GL7)-GM7,"")</f>
        <v/>
      </c>
      <c r="GT7" s="15" t="str">
        <f>IF(SUM(GQ7,GS7)&gt;0,SUM(GQ7,GS7),"")</f>
        <v/>
      </c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12" t="str">
        <f>IF(HB7&gt;0,HB7,"")</f>
        <v/>
      </c>
      <c r="HK7" s="12" t="str">
        <f>IF(SUM(GU7:GX7)-GY7&gt;0,SUM(GU7:GX7)-GY7,"")</f>
        <v/>
      </c>
      <c r="HL7" s="12" t="str">
        <f>IF(SUM(GZ7:HC7)-HD7&gt;0,SUM(GZ7:HC7)-HD7,"")</f>
        <v/>
      </c>
      <c r="HM7" s="12" t="str">
        <f>IF(SUM(HK7:HL7)&gt;0,SUM(HK7:HL7),"")</f>
        <v/>
      </c>
      <c r="HN7" s="12" t="str">
        <f>IF(HG7&gt;0,HG7,"")</f>
        <v/>
      </c>
      <c r="HO7" s="12" t="str">
        <f>IF(SUM(HE7:HH7)-HI7&gt;0,SUM(HE7:HH7)-HI7,"")</f>
        <v/>
      </c>
      <c r="HP7" s="12" t="str">
        <f>IF(SUM(HM7,HO7)&gt;0,SUM(HM7,HO7),"")</f>
        <v/>
      </c>
      <c r="HQ7" s="37"/>
      <c r="HR7" s="37"/>
      <c r="HS7" s="37"/>
      <c r="HT7" s="37"/>
      <c r="HU7" s="37"/>
      <c r="HV7" s="37"/>
      <c r="HW7" s="37"/>
      <c r="HX7" s="37"/>
      <c r="HY7" s="37"/>
      <c r="HZ7" s="37"/>
      <c r="IA7" s="37"/>
      <c r="IB7" s="37"/>
      <c r="IC7" s="37"/>
      <c r="ID7" s="37"/>
      <c r="IE7" s="37"/>
      <c r="IF7" s="15" t="str">
        <f>IF(HX7&gt;0,HX7,"")</f>
        <v/>
      </c>
      <c r="IG7" s="15" t="str">
        <f>IF(SUM(HQ7:HT7)-HU7&gt;0,SUM(HQ7:HT7)-HU7,"")</f>
        <v/>
      </c>
      <c r="IH7" s="15" t="str">
        <f>IF(SUM(HV7:HY7)-HZ7&gt;0,SUM(HV7:HY7)-HZ7,"")</f>
        <v/>
      </c>
      <c r="II7" s="15" t="str">
        <f>IF(SUM(IG7:IH7)&gt;0,SUM(IG7:IH7),"")</f>
        <v/>
      </c>
      <c r="IJ7" s="15" t="str">
        <f>IF(IC7&gt;0,IC7,"")</f>
        <v/>
      </c>
      <c r="IK7" s="15" t="str">
        <f>IF(SUM(IA7:ID7)-IE7&gt;0,SUM(IA7:ID7)-IE7,"")</f>
        <v/>
      </c>
      <c r="IL7" s="15" t="str">
        <f>IF(SUM(II7,IK7)&gt;0,SUM(II7,IK7),"")</f>
        <v/>
      </c>
      <c r="IM7" s="36"/>
      <c r="IN7" s="36"/>
      <c r="IO7" s="36"/>
      <c r="IP7" s="36"/>
      <c r="IQ7" s="36"/>
      <c r="IR7" s="36"/>
      <c r="IS7" s="36"/>
      <c r="IT7" s="36"/>
      <c r="IU7" s="36"/>
      <c r="IV7" s="36"/>
      <c r="IW7" s="36"/>
      <c r="IX7" s="36"/>
      <c r="IY7" s="36"/>
      <c r="IZ7" s="36"/>
      <c r="JA7" s="36"/>
      <c r="JB7" s="12" t="str">
        <f>IF(IT7&gt;0,IT7,"")</f>
        <v/>
      </c>
      <c r="JC7" s="12" t="str">
        <f>IF(SUM(IM7:IP7)-IQ7&gt;0,SUM(IM7:IP7)-IQ7,"")</f>
        <v/>
      </c>
      <c r="JD7" s="12" t="str">
        <f>IF(SUM(IR7:IU7)-IV7&gt;0,SUM(IR7:IU7)-IV7,"")</f>
        <v/>
      </c>
      <c r="JE7" s="12" t="str">
        <f>IF(SUM(JC7:JD7)&gt;0,SUM(JC7:JD7),"")</f>
        <v/>
      </c>
      <c r="JF7" s="12" t="str">
        <f>IF(IY7&gt;0,IY7,"")</f>
        <v/>
      </c>
      <c r="JG7" s="12" t="str">
        <f>IF(SUM(IW7:IZ7)-JA7&gt;0,SUM(IW7:IZ7)-JA7,"")</f>
        <v/>
      </c>
      <c r="JH7" s="12" t="str">
        <f>IF(SUM(JE7,JG7)&gt;0,SUM(JE7,JG7),"")</f>
        <v/>
      </c>
      <c r="JI7" s="37"/>
      <c r="JJ7" s="37"/>
      <c r="JK7" s="37"/>
      <c r="JL7" s="37"/>
      <c r="JM7" s="37"/>
      <c r="JN7" s="37"/>
      <c r="JO7" s="37"/>
      <c r="JP7" s="37"/>
      <c r="JQ7" s="37"/>
      <c r="JR7" s="37"/>
      <c r="JS7" s="37"/>
      <c r="JT7" s="37"/>
      <c r="JU7" s="37"/>
      <c r="JV7" s="37"/>
      <c r="JW7" s="37"/>
      <c r="JX7" s="15" t="str">
        <f>IF(JP7&gt;0,JP7,"")</f>
        <v/>
      </c>
      <c r="JY7" s="15" t="str">
        <f>IF(SUM(JI7:JL7)-JM7&gt;0,SUM(JI7:JL7)-JM7,"")</f>
        <v/>
      </c>
      <c r="JZ7" s="15" t="str">
        <f>IF(SUM(JN7:JQ7)-JR7&gt;0,SUM(JN7:JQ7)-JR7,"")</f>
        <v/>
      </c>
      <c r="KA7" s="15" t="str">
        <f>IF(SUM(JY7:JZ7)&gt;0,SUM(JY7:JZ7),"")</f>
        <v/>
      </c>
      <c r="KB7" s="15" t="str">
        <f>IF(JU7&gt;0,JU7,"")</f>
        <v/>
      </c>
      <c r="KC7" s="15" t="str">
        <f>IF(SUM(JS7:JV7)-JW7&gt;0,SUM(JS7:JV7)-JW7,"")</f>
        <v/>
      </c>
      <c r="KD7" s="15" t="str">
        <f>IF(SUM(KA7,KC7)&gt;0,SUM(KA7,KC7),"")</f>
        <v/>
      </c>
      <c r="KE7" s="36"/>
      <c r="KF7" s="36"/>
      <c r="KG7" s="36"/>
      <c r="KH7" s="36"/>
      <c r="KI7" s="36"/>
      <c r="KJ7" s="36"/>
      <c r="KK7" s="36"/>
      <c r="KL7" s="36"/>
      <c r="KM7" s="36"/>
      <c r="KN7" s="36"/>
      <c r="KO7" s="36"/>
      <c r="KP7" s="36"/>
      <c r="KQ7" s="36"/>
      <c r="KR7" s="36"/>
      <c r="KS7" s="36"/>
      <c r="KT7" s="12" t="str">
        <f>IF(KL7&gt;0,KL7,"")</f>
        <v/>
      </c>
      <c r="KU7" s="12" t="str">
        <f>IF(SUM(KE7:KH7)-KI7&gt;0,SUM(KE7:KH7)-KI7,"")</f>
        <v/>
      </c>
      <c r="KV7" s="12" t="str">
        <f>IF(SUM(KJ7:KM7)-KN7&gt;0,SUM(KJ7:KM7)-KN7,"")</f>
        <v/>
      </c>
      <c r="KW7" s="12" t="str">
        <f>IF(SUM(KU7:KV7)&gt;0,SUM(KU7:KV7),"")</f>
        <v/>
      </c>
      <c r="KX7" s="12" t="str">
        <f>IF(KQ7&gt;0,KQ7,"")</f>
        <v/>
      </c>
      <c r="KY7" s="12" t="str">
        <f>IF(SUM(KO7:KR7)-KS7&gt;0,SUM(KO7:KR7)-KS7,"")</f>
        <v/>
      </c>
      <c r="KZ7" s="12" t="str">
        <f>IF(SUM(KW7,KY7)&gt;0,SUM(KW7,KY7),"")</f>
        <v/>
      </c>
      <c r="LA7" s="37"/>
      <c r="LB7" s="37"/>
      <c r="LC7" s="37"/>
      <c r="LD7" s="37"/>
      <c r="LE7" s="37"/>
      <c r="LF7" s="37"/>
      <c r="LG7" s="37"/>
      <c r="LH7" s="37"/>
      <c r="LI7" s="37"/>
      <c r="LJ7" s="37"/>
      <c r="LK7" s="37"/>
      <c r="LL7" s="37"/>
      <c r="LM7" s="37"/>
      <c r="LN7" s="37"/>
      <c r="LO7" s="37"/>
      <c r="LP7" s="15" t="str">
        <f>IF(LH7&gt;0,LH7,"")</f>
        <v/>
      </c>
      <c r="LQ7" s="15" t="str">
        <f>IF(SUM(LA7:LD7)-LE7&gt;0,SUM(LA7:LD7)-LE7,"")</f>
        <v/>
      </c>
      <c r="LR7" s="15" t="str">
        <f>IF(SUM(LF7:LI7)-LJ7&gt;0,SUM(LF7:LI7)-LJ7,"")</f>
        <v/>
      </c>
      <c r="LS7" s="15" t="str">
        <f>IF(SUM(LQ7:LR7)&gt;0,SUM(LQ7:LR7),"")</f>
        <v/>
      </c>
      <c r="LT7" s="15" t="str">
        <f>IF(LM7&gt;0,LM7,"")</f>
        <v/>
      </c>
      <c r="LU7" s="15" t="str">
        <f>IF(SUM(LK7:LN7)-LO7&gt;0,SUM(LK7:LN7)-LO7,"")</f>
        <v/>
      </c>
      <c r="LV7" s="15" t="str">
        <f>IF(SUM(LS7,LU7)&gt;0,SUM(LS7,LU7),"")</f>
        <v/>
      </c>
      <c r="LW7" s="63">
        <f t="shared" si="7"/>
        <v>15.25</v>
      </c>
      <c r="LX7" s="63">
        <f t="shared" si="8"/>
        <v>9.1</v>
      </c>
      <c r="LY7" s="63">
        <f t="shared" si="9"/>
        <v>2.2000000000000002</v>
      </c>
      <c r="LZ7" s="63">
        <f t="shared" si="10"/>
        <v>14.6775</v>
      </c>
      <c r="MA7" s="63">
        <f t="shared" si="11"/>
        <v>0</v>
      </c>
      <c r="MB7" s="63">
        <f t="shared" si="12"/>
        <v>14.5</v>
      </c>
      <c r="MC7" s="63">
        <f t="shared" si="13"/>
        <v>9.1999999999999993</v>
      </c>
      <c r="MD7" s="63">
        <f t="shared" si="14"/>
        <v>9.8000000000000007</v>
      </c>
      <c r="ME7" s="63">
        <f t="shared" si="15"/>
        <v>14.469999999999999</v>
      </c>
      <c r="MF7" s="63">
        <f t="shared" si="16"/>
        <v>0</v>
      </c>
      <c r="MG7" s="63">
        <f t="shared" si="17"/>
        <v>15.25</v>
      </c>
      <c r="MH7" s="63">
        <f t="shared" si="18"/>
        <v>9.1</v>
      </c>
      <c r="MI7" s="63">
        <f t="shared" si="19"/>
        <v>8.9</v>
      </c>
      <c r="MJ7" s="63">
        <f t="shared" si="20"/>
        <v>14.414999999999999</v>
      </c>
      <c r="MK7" s="63">
        <f t="shared" si="21"/>
        <v>0.1</v>
      </c>
      <c r="ML7" s="74" t="s">
        <v>119</v>
      </c>
      <c r="MM7" s="12">
        <f t="shared" si="22"/>
        <v>9.8000000000000007</v>
      </c>
      <c r="MN7" s="12">
        <f t="shared" si="23"/>
        <v>41.227499999999999</v>
      </c>
      <c r="MO7" s="12">
        <f t="shared" si="24"/>
        <v>47.97</v>
      </c>
      <c r="MP7" s="12">
        <f t="shared" si="25"/>
        <v>89.197499999999991</v>
      </c>
      <c r="MQ7" s="12">
        <f t="shared" si="26"/>
        <v>8.9</v>
      </c>
      <c r="MR7" s="12">
        <f t="shared" si="27"/>
        <v>47.564999999999998</v>
      </c>
      <c r="MS7" s="12">
        <f t="shared" si="28"/>
        <v>136.76249999999999</v>
      </c>
    </row>
    <row r="8" spans="1:357" x14ac:dyDescent="0.2">
      <c r="A8" s="6" t="str">
        <f>IF(AND(F8="P",H8="P"),SUMPRODUCT((F$4:F$16="P")*(H$4:H$16="P")*(E$4:E$16&gt;E8))+1,IF(H8="P",SUMPRODUCT((F$4:F$16="")*(H$4:H$16="P")*(E$4:E$16&gt;E8))+1+SUMPRODUCT((F$4:F$16="P")*(H$4:H$16="P")),""))</f>
        <v/>
      </c>
      <c r="B8" s="9" t="s">
        <v>124</v>
      </c>
      <c r="C8" s="5" t="s">
        <v>4</v>
      </c>
      <c r="D8" s="27">
        <v>2001</v>
      </c>
      <c r="E8" s="16">
        <f>SUM(J8:R8)</f>
        <v>208.77500000000001</v>
      </c>
      <c r="F8" s="4" t="str">
        <f>IF(OR(AND($AK8&gt;=$AL$18,NOT($AK8=""),$AJ8=""),AND($BH8&gt;=$BI$18,NOT($BH8=""),$BG8=""),AND($CH8&gt;=$CI$18,NOT($CH8="")),AND($DD8&gt;=$DE$18,NOT($DD8="")),AND($DZ8&gt;=$EA$18,NOT($DZ8="")),AND($EV8&gt;=$EW$18,NOT($EV8="")),AND($FR8&gt;=$FS$18,NOT($FR8="")),AND($GN8&gt;=$GO$18,NOT($GN8="")),AND($HJ8&gt;=$HK$18,NOT($HJ8="")),AND($IF8&gt;=$IG$18,NOT($IF8="")),AND($JB8&gt;=$JC$18,NOT($JB8="")),AND($JX8&gt;=$JY$18,NOT($JX8="")),AND($KT8&gt;=$KU$18,NOT($KT8="")),AND($LP8&gt;=$LQ$18,NOT($LP8=""))),"P","")</f>
        <v/>
      </c>
      <c r="G8" s="4" t="str">
        <f>IF(OR(AND($AK8&gt;=$AL$19,NOT($AK8=""),$AJ8=""),AND($BH8&gt;=$BI$19,NOT($BH8=""),$BG8=""),AND($CH8&gt;=$CI$19,NOT($CH8="")),AND($DD8&gt;=$DE$19,NOT($DD8="")),AND($DZ8&gt;=$EA$19,NOT($DZ8="")),AND($EV8&gt;=$EW$19,NOT($EV8="")),AND($FR8&gt;=$FS$19,NOT($FR8="")),AND($GN8&gt;=$GO$19,NOT($GN8="")),AND($HJ8&gt;=$HK$19,NOT($HJ8="")),AND($IF8&gt;=$IG$19,NOT($IF8="")),AND($JB8&gt;=$JC$19,NOT($JB8="")),AND($JX8&gt;=$JY$19,NOT($JX8="")),AND($KT8&gt;=$KU$19,NOT($KT8="")),AND($LP8&gt;=$LQ$19,NOT($LP8=""))),"P","")</f>
        <v/>
      </c>
      <c r="H8" s="4" t="str">
        <f>IF(OR(AND($AN8&gt;=$AL$20,NOT($AN8=""),$AJ8=""),AND($BK8&gt;=$BI$20,NOT($BK8=""),$BG8=""),AND($CK8&gt;=$CI$20,NOT($CK8="")),AND($DG8&gt;=$DE$20,NOT($DG8="")),AND($EC8&gt;=$EA$20,NOT($EC8="")),AND($EY8&gt;=$EW$20,NOT($EY8="")),AND($FU8&gt;=$FS$20,NOT($FU8="")),AND($GQ8&gt;=$GO$20,NOT($GQ8="")),AND($HM8&gt;=$HK$20,NOT($HM8="")),AND($II8&gt;=$IG$20,NOT($II8="")),AND($JE8&gt;=$JC$20,NOT($JE8="")),AND($KA8&gt;=$JY$20,NOT($KA8="")),AND($KW8&gt;=$KU$20,NOT($KW8="")),AND($LS8&gt;=$LQ$20,NOT($LS8=""))),"P","")</f>
        <v/>
      </c>
      <c r="I8" t="str">
        <f>IF(AND(H8="P",F8=""),"No DD",IF(AND(G8="P",OR(AND($AM8&gt;$AL$23,NOT($AM8=""),$AJ8=""),AND($AP8&gt;$AL$23,NOT($AP8=""),$AJ8=""),AND($BJ8&gt;$BI$23,NOT($BJ8=""),$BG8=""),AND($BM8&gt;$BI$23,NOT($BM8=""),$BG8=""),AND($CJ8&gt;$CI$23,NOT($CJ8="")),AND($CM8&gt;$CI$23,NOT($CM8="")),AND($DF8&gt;$DE$23,NOT($DF8="")),AND($DI8&gt;$DE$23,NOT($DI8="")),AND($EB8&gt;$EA$23,NOT($EB8="")),AND($EE8&gt;$EA$23,NOT($EE8="")),AND($EX8&gt;$EW$23,NOT($EX8="")),AND($FA8&gt;$EW$23,NOT($FA8="")),AND($FT8&gt;$FS$23,NOT($FT8="")),AND($FW8&gt;$FS$23,NOT($FW8="")),AND($GP8&gt;$GO$23,NOT($GP8="")),AND($GS8&gt;$GO$23,NOT($GS8="")),AND($HL8&gt;$HK$23,NOT($HL8="")),AND($HO8&gt;$HK$23,NOT($HO8="")),AND($IH8&gt;$IG$23,NOT($IH8="")),AND($IK8&gt;$IG$23,NOT($IK8="")),AND($JD8&gt;$JC$23,NOT($JD8="")),AND($JG8&gt;$JC$23,NOT($JG8="")),AND($JZ8&gt;$JY$23,NOT($JZ8="")),AND($KC8&gt;$JY$23,NOT($KC8="")),AND($KV8&gt;$KU$23,NOT($KV8="")),AND($KY8&gt;$KU$23,NOT($KY8="")),AND($LR8&gt;$LQ$23,NOT($LR8="")),AND($LU8&gt;$LQ$23,NOT($LU8="")))),"Merit",IF(AND(G8="P",OR(AND($AN8&gt;$AL$22,NOT($AN8=""),$AJ8=""),AND($BK8&gt;$BI$22,NOT($BK8=""),$BG8=""),AND($CK8&gt;$CI$22,NOT($CK8="")),AND($DG8&gt;$DE$22,NOT($DG8="")),AND($EC8&gt;$EA$22,NOT($EC8="")),AND($EY8&gt;$EW$22,NOT($EY8="")),AND($FU8&gt;$FS$22,NOT($FU8="")),AND($GQ8&gt;$GO$22,NOT($GQ8="")),AND($HM8&gt;$HK$22,NOT($HM8="")),AND($II8&gt;$IG$22,NOT($II8="")),AND($JE8&gt;$JC$22,NOT($JE8="")),AND($KA8&gt;$JY$22,NOT($KA8="")),AND($KW8&gt;$KU$22,NOT($KW8="")),AND($LS8&gt;$LQ$22,NOT($LS8="")))),"Excellence",IF(AND(G8="P",OR(AND($AN8&gt;$AL$21,NOT($AN8=""),$AJ8=""),AND($BK8&gt;$BI$21,NOT($BK8=""),$BG8=""),AND($CK8&gt;$CI$21,NOT($CK8="")),AND($DG8&gt;$DE$21,NOT($DG8="")),AND($EC8&gt;$EA$21,NOT($EC8="")),AND($EY8&gt;$EW$21,NOT($EY8="")),AND($FU8&gt;$FS$21,NOT($FU8="")),AND($GQ8&gt;$GO$21,NOT($GQ8="")),AND($HM8&gt;$HK$21,NOT($HM8="")),AND($II8&gt;$IG$21,NOT($II8="")),AND($JE8&gt;$JC$21,NOT($JE8="")),AND($KA8&gt;$JY$21,NOT($KA8="")),AND($KW8&gt;$KU$21,NOT($KW8="")),AND($LS8&gt;$LQ$21,NOT($LS8="")))),"Worlds Team",IF(AND(F8="P",OR(AND($AN8&gt;$AL$20,NOT($AN8=""),$AJ8=""),AND($BK8&gt;$BI$20,NOT($BK8=""),$BG8=""),AND($CK8&gt;$CI$20,NOT($CK8="")),AND($DG8&gt;$DE$20,NOT($DG8="")),AND($EC8&gt;$EA$20,NOT($EC8="")),AND($EY8&gt;$EW$20,NOT($EY8="")),AND($FU8&gt;$FS$20,NOT($FU8="")),AND($GQ8&gt;$GO$20,NOT($GQ8="")),AND($HM8&gt;$HK$20,NOT($HM8="")),AND($II8&gt;$IG$20,NOT($II8="")),AND($JE8&gt;$JC$20,NOT($JE8="")),AND($KA8&gt;$JY$20,NOT($KA8="")),AND($KW8&gt;$KU$20,NOT($KW8="")),AND($LS8&gt;$LQ$20,NOT($LS8="")))),"National Team","")))))</f>
        <v/>
      </c>
      <c r="J8" s="15">
        <f>IF(MAX(AN8,BK8)&gt;0,MAX(AN8,BK8),"")</f>
        <v>89.63</v>
      </c>
      <c r="K8" s="15" t="str">
        <f>IF(J8="","",IF(J8=BK8,$AR$1,IF(J8=AN8,$U$1,"")))</f>
        <v>2018 Nationals</v>
      </c>
      <c r="L8" s="15">
        <f>IF($J8=$AN8,BI8,IF($J8=$BK8,AL8,MAX(AL8,BI8)))</f>
        <v>25.689999999999998</v>
      </c>
      <c r="M8" s="15" t="str">
        <f>IF(L8="","",IF(L8=BI8,$AR$1,IF(L8=AL8,$U$1,"")))</f>
        <v>2019 Elite Canada</v>
      </c>
      <c r="N8" s="15">
        <f>IF($J8=$AN8,BJ8,IF($J8=$BK8,AM8,MAX(AM8,BJ8)))</f>
        <v>44.935000000000002</v>
      </c>
      <c r="O8" s="15" t="str">
        <f>IF(N8="","",IF(AND(N8=BJ8,$K8&lt;&gt;$AR$1),$AR$1,IF(AND(N8=AM8,$K8&lt;&gt;$U$1),$U$1,"")))</f>
        <v>2019 Elite Canada</v>
      </c>
      <c r="P8" s="15">
        <f>IF(MAX(AP8,BM8)&gt;0,MAX(AP8,BM8),"")</f>
        <v>48.52</v>
      </c>
      <c r="Q8" s="15" t="str">
        <f>IF(P8="","",IF(P8=BM8,$AR$1,IF(P8=AP8,$U$1,"")))</f>
        <v>2018 Nationals</v>
      </c>
      <c r="R8" s="15" t="str">
        <f>IF(MAX(BO8,BP8,BQ8,BR8)&gt;0,MAX(BO8,BP8,BQ8,BR8),"")</f>
        <v/>
      </c>
      <c r="S8" s="25" t="str">
        <f>IF(R8="","",IF(R8=BO8,"(Vol 1)",IF(R8=BP8,"(Vol 2)",IF(R8=BQ8,"(Prelim)",IF(R8=BR8,"(Final)")))))</f>
        <v/>
      </c>
      <c r="T8" s="15" t="str">
        <f>IF(R8="","",IF(R8=BO8,IF(R8+IF(L8="",0,L8)=LQ8,$LA$1,IF(R8+IF(L8="",0,L8)=KU8,$KE$1,IF(R8+IF(L8="",0,L8)=JY8,$JI$1,IF(R8+IF(L8="",0,L8)=JC8,$IM$1,IF(R8+IF(L8="",0,L8)=IG8,$HQ$1,IF(R8+IF(L8="",0,L8)=HK8,$GU$1,IF(R8+IF(L8="",0,L8)=GO8,$FY$1,IF(R8+IF(L8="",0,L8)=FS8,$FC$1,IF(R8+IF(L8="",0,L8)=EW8,$EG$1,IF(R8+IF(L8="",0,L8)=EA8,$DK$1,IF(R8+IF(L8="",0,L8)=DE8,$CO$1,IF(R8+IF(L8="",0,L8)=CI8,$BS$1)))))))))))),IF(R8=BP8,IF(R8+IF(N8="",0,N8)=LR8,$LA$1,IF(R8+IF(N8="",0,N8)=KV8,$KE$1,IF(R8+IF(N8="",0,N8)=JZ8,$JI$1,IF(R8+IF(N8="",0,N8)=JD8,$IM$1,IF(R8+IF(N8="",0,N8)=IH8,$HQ$1,IF(R8+IF(N8="",0,N8)=HL8,$GU$1,IF(R8+IF(N8="",0,N8)=GP8,$FY$1,IF(R8+IF(N8="",0,N8)=FT8,$FC$1,IF(R8+IF(N8="",0,N8)=EX8,$EG$1,IF(R8+IF(N8="",0,N8)=EB8,$DK$1,IF(R8+IF(N8="",0,N8)=DF8,$CO$1,IF(R8+IF(N8="",0,N8)=CJ8,$BS$1)))))))))))),IF(R8=BQ8,IF(R8+IF(J8="",0,J8)=LS8,$LA$1,IF(R8+IF(J8="",0,J8)=KW8,$KE$1,IF(R8+IF(J8="",0,J8)=KA8,$JI$1,IF(R8+IF(J8="",0,J8)=JE8,$IM$1,IF(R8+IF(J8="",0,J8)=II8,$HQ$1,IF(R8+IF(J8="",0,J8)=HM8,$GU$1,IF(R8+IF(J8="",0,J8)=GQ8,$FY$1,IF(R8+IF(J8="",0,J8)=FU8,$FC$1,IF(R8+IF(J8="",0,J8)=EY8,$EG$1,IF(R8+IF(J8="",0,J8)=EC8,$DK$1,IF(R8+IF(J8="",0,J8)=DG8,$CO$1,IF(R8+IF(J8="",0,J8)=CK8,$BS$1)))))))))))),IF(R8=BR8,IF(R8+IF(P8="",0,P8)=LU8,$LA$1,IF(R8+IF(P8="",0,P8)=KY8,$KE$1,IF(R8+IF(P8="",0,P8)=KC8,$JI$1,IF(R8+IF(P8="",0,P8)=JG8,$IM$1,IF(R8+IF(P8="",0,P8)=IK8,$HQ$1,IF(R8+IF(P8="",0,P8)=HO8,$GU$1,IF(R8+IF(P8="",0,P8)=GS8,$FY$1,IF(R8+IF(P8="",0,P8)=FW8,$FC$1,IF(R8+IF(P8="",0,P8)=FA8,$EG$1,IF(R8+IF(P8="",0,P8)=EE8,$DK$1,IF(R8+IF(P8="",0,P8)=DI8,$CO$1,IF(R8+IF(P8="",0,P8)=CM8,$BS$1)))))))))))))))))</f>
        <v/>
      </c>
      <c r="U8" s="36">
        <v>16.100000000000001</v>
      </c>
      <c r="V8" s="36">
        <v>9.1999999999999993</v>
      </c>
      <c r="W8" s="36">
        <v>2.7</v>
      </c>
      <c r="X8" s="36">
        <v>14.574999999999999</v>
      </c>
      <c r="Y8" s="36">
        <v>0</v>
      </c>
      <c r="Z8" s="36">
        <v>13.6</v>
      </c>
      <c r="AA8" s="36">
        <v>9.4499999999999993</v>
      </c>
      <c r="AB8" s="36">
        <v>10</v>
      </c>
      <c r="AC8" s="36">
        <v>14.005000000000001</v>
      </c>
      <c r="AD8" s="36">
        <v>0</v>
      </c>
      <c r="AE8" s="36">
        <v>15.2</v>
      </c>
      <c r="AF8" s="36">
        <v>9.5</v>
      </c>
      <c r="AG8" s="36">
        <v>10</v>
      </c>
      <c r="AH8" s="36">
        <v>13.82</v>
      </c>
      <c r="AI8" s="36">
        <v>0</v>
      </c>
      <c r="AJ8" s="74"/>
      <c r="AK8" s="12">
        <f>IF(AB8&gt;0,AB8,"")</f>
        <v>10</v>
      </c>
      <c r="AL8" s="12">
        <f>IF(SUM(U8:X8)-Y8&gt;0,SUM(U8:X8)-Y8,"")</f>
        <v>42.575000000000003</v>
      </c>
      <c r="AM8" s="12">
        <f>IF(SUM(Z8:AC8)-AD8&gt;0,SUM(Z8:AC8)-AD8,"")</f>
        <v>47.055</v>
      </c>
      <c r="AN8" s="12">
        <f>IF(SUM(AL8:AM8)&gt;0,SUM(AL8:AM8),"")</f>
        <v>89.63</v>
      </c>
      <c r="AO8" s="12">
        <f>IF(AG8&gt;0,AG8,"")</f>
        <v>10</v>
      </c>
      <c r="AP8" s="12">
        <f>IF(SUM(AE8:AH8)-AI8&gt;0,SUM(AE8:AH8)-AI8,"")</f>
        <v>48.52</v>
      </c>
      <c r="AQ8" s="12">
        <f>IF(SUM(AN8,AP8)&gt;0,SUM(AN8,AP8),"")</f>
        <v>138.15</v>
      </c>
      <c r="AR8" s="69">
        <v>9.1</v>
      </c>
      <c r="AS8" s="69">
        <v>5.5</v>
      </c>
      <c r="AT8" s="69">
        <v>2.4</v>
      </c>
      <c r="AU8" s="69">
        <v>8.69</v>
      </c>
      <c r="AV8" s="69">
        <v>0</v>
      </c>
      <c r="AW8" s="69">
        <v>14.1</v>
      </c>
      <c r="AX8" s="69">
        <v>9.35</v>
      </c>
      <c r="AY8" s="69">
        <v>8.4</v>
      </c>
      <c r="AZ8" s="69">
        <v>14.185</v>
      </c>
      <c r="BA8" s="69">
        <v>1.1000000000000001</v>
      </c>
      <c r="BB8" s="69">
        <v>11.8</v>
      </c>
      <c r="BC8" s="69">
        <v>7.35</v>
      </c>
      <c r="BD8" s="69">
        <v>8.6999999999999993</v>
      </c>
      <c r="BE8" s="69">
        <v>11.28</v>
      </c>
      <c r="BF8" s="69">
        <v>0</v>
      </c>
      <c r="BG8" s="75"/>
      <c r="BH8" s="15">
        <f>IF(AY8&gt;0,AY8,"")</f>
        <v>8.4</v>
      </c>
      <c r="BI8" s="15">
        <f>IF(SUM(AR8:AU8)-AV8&gt;0,SUM(AR8:AU8)-AV8,"")</f>
        <v>25.689999999999998</v>
      </c>
      <c r="BJ8" s="15">
        <f>IF(SUM(AW8:AZ8)-BA8&gt;0,SUM(AW8:AZ8)-BA8,"")</f>
        <v>44.935000000000002</v>
      </c>
      <c r="BK8" s="15">
        <f>IF(SUM(BI8:BJ8)&gt;0,SUM(BI8:BJ8),"")</f>
        <v>70.625</v>
      </c>
      <c r="BL8" s="15">
        <f>IF(BD8&gt;0,BD8,"")</f>
        <v>8.6999999999999993</v>
      </c>
      <c r="BM8" s="15">
        <f>IF(SUM(BB8:BE8)-BF8&gt;0,SUM(BB8:BE8)-BF8,"")</f>
        <v>39.129999999999995</v>
      </c>
      <c r="BN8" s="15">
        <f>IF(SUM(BK8,BM8)&gt;0,SUM(BK8,BM8),"")</f>
        <v>109.755</v>
      </c>
      <c r="BO8" s="24" t="str">
        <f>IF(MAX(CI8,DE8,EA8,EW8,FS8,GO8,HK8,IG8,JC8,JY8,KU8,LQ8)-IF(L8="",0,L8)&gt;0.001,MAX(CI8,DE8,EA8,EW8,FS8,GO8,HK8,IG8,JC8,JY8,KU8,LQ8)-IF(L8="",0,L8),"")</f>
        <v/>
      </c>
      <c r="BP8" s="24" t="str">
        <f>IF(MAX(CJ8,DF8,EB8,EX8,FT8,GP8,HL8,IH8,JD8,JZ8,KV8,LR8)-IF(N8="",0,N8)&gt;0.001,MAX(CJ8,DF8,EB8,EX8,FT8,GP8,HL8,IH8,JD8,JZ8,KV8,LR8)-IF(N8="",0,N8),"")</f>
        <v/>
      </c>
      <c r="BQ8" s="24" t="str">
        <f>IF(MAX(CK8,DG8,EC8,EY8,FU8,GQ8,HM8,II8,JE8,KA8,KW8,LS8)-IF(J8="",0,J8)&gt;0.001,MAX(CK8,DG8,EC8,EY8,FU8,GQ8,HM8,II8,JE8,KA8,KW8,LS8)-IF(J8="",0,J8),"")</f>
        <v/>
      </c>
      <c r="BR8" s="24" t="str">
        <f>IF(MAX(CM8,DI8,EE8,FA8,FW8,GS8,HO8,IK8,JG8,KC8,KY8,LU8)-IF(P8="",0,P8)&gt;0.001,MAX(CM8,DI8,EE8,FA8,FW8,GS8,HO8,IK8,JG8,KC8,KY8,LU8)-IF(P8="",0,P8),"")</f>
        <v/>
      </c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12" t="str">
        <f>IF(BZ8&gt;0,BZ8,"")</f>
        <v/>
      </c>
      <c r="CI8" s="12" t="str">
        <f>IF(SUM(BS8:BV8)-BW8&gt;0,SUM(BS8:BV8)-BW8,"")</f>
        <v/>
      </c>
      <c r="CJ8" s="12" t="str">
        <f>IF(SUM(BX8:CA8)-CB8&gt;0,SUM(BX8:CA8)-CB8,"")</f>
        <v/>
      </c>
      <c r="CK8" s="12" t="str">
        <f>IF(SUM(CI8:CJ8)&gt;0,SUM(CI8:CJ8),"")</f>
        <v/>
      </c>
      <c r="CL8" s="12" t="str">
        <f>IF(CE8&gt;0,CE8,"")</f>
        <v/>
      </c>
      <c r="CM8" s="12" t="str">
        <f>IF(SUM(CC8:CF8)-CG8&gt;0,SUM(CC8:CF8)-CG8,"")</f>
        <v/>
      </c>
      <c r="CN8" s="12" t="str">
        <f>IF(SUM(CK8,CM8)&gt;0,SUM(CK8,CM8),"")</f>
        <v/>
      </c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  <c r="DB8" s="37"/>
      <c r="DC8" s="37"/>
      <c r="DD8" s="15" t="str">
        <f>IF(CV8&gt;0,CV8,"")</f>
        <v/>
      </c>
      <c r="DE8" s="15" t="str">
        <f>IF(SUM(CO8:CR8)-CS8&gt;0,SUM(CO8:CR8)-CS8,"")</f>
        <v/>
      </c>
      <c r="DF8" s="15" t="str">
        <f>IF(SUM(CT8:CW8)-CX8&gt;0,SUM(CT8:CW8)-CX8,"")</f>
        <v/>
      </c>
      <c r="DG8" s="15" t="str">
        <f>IF(SUM(DE8:DF8)&gt;0,SUM(DE8:DF8),"")</f>
        <v/>
      </c>
      <c r="DH8" s="15" t="str">
        <f>IF(DA8&gt;0,DA8,"")</f>
        <v/>
      </c>
      <c r="DI8" s="15" t="str">
        <f>IF(SUM(CY8:DB8)-DC8&gt;0,SUM(CY8:DB8)-DC8,"")</f>
        <v/>
      </c>
      <c r="DJ8" s="15" t="str">
        <f>IF(SUM(DG8,DI8)&gt;0,SUM(DG8,DI8),"")</f>
        <v/>
      </c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  <c r="DW8" s="36"/>
      <c r="DX8" s="36"/>
      <c r="DY8" s="36"/>
      <c r="DZ8" s="12" t="str">
        <f>IF(DR8&gt;0,DR8,"")</f>
        <v/>
      </c>
      <c r="EA8" s="12" t="str">
        <f>IF(SUM(DK8:DN8)-DO8&gt;0,SUM(DK8:DN8)-DO8,"")</f>
        <v/>
      </c>
      <c r="EB8" s="12" t="str">
        <f>IF(SUM(DP8:DS8)-DT8&gt;0,SUM(DP8:DS8)-DT8,"")</f>
        <v/>
      </c>
      <c r="EC8" s="12" t="str">
        <f>IF(SUM(EA8:EB8)&gt;0,SUM(EA8:EB8),"")</f>
        <v/>
      </c>
      <c r="ED8" s="12" t="str">
        <f>IF(DW8&gt;0,DW8,"")</f>
        <v/>
      </c>
      <c r="EE8" s="12" t="str">
        <f>IF(SUM(DU8:DX8)-DY8&gt;0,SUM(DU8:DX8)-DY8,"")</f>
        <v/>
      </c>
      <c r="EF8" s="12" t="str">
        <f>IF(SUM(EC8,EE8)&gt;0,SUM(EC8,EE8),"")</f>
        <v/>
      </c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37"/>
      <c r="ER8" s="37"/>
      <c r="ES8" s="37"/>
      <c r="ET8" s="37"/>
      <c r="EU8" s="37"/>
      <c r="EV8" s="15" t="str">
        <f>IF(EN8&gt;0,EN8,"")</f>
        <v/>
      </c>
      <c r="EW8" s="15" t="str">
        <f>IF(SUM(EG8:EJ8)-EK8&gt;0,SUM(EG8:EJ8)-EK8,"")</f>
        <v/>
      </c>
      <c r="EX8" s="15" t="str">
        <f>IF(SUM(EL8:EO8)-EP8&gt;0,SUM(EL8:EO8)-EP8,"")</f>
        <v/>
      </c>
      <c r="EY8" s="15" t="str">
        <f>IF(SUM(EW8:EX8)&gt;0,SUM(EW8:EX8),"")</f>
        <v/>
      </c>
      <c r="EZ8" s="15" t="str">
        <f>IF(ES8&gt;0,ES8,"")</f>
        <v/>
      </c>
      <c r="FA8" s="15" t="str">
        <f>IF(SUM(EQ8:ET8)-EU8&gt;0,SUM(EQ8:ET8)-EU8,"")</f>
        <v/>
      </c>
      <c r="FB8" s="15" t="str">
        <f>IF(SUM(EY8,FA8)&gt;0,SUM(EY8,FA8),"")</f>
        <v/>
      </c>
      <c r="FC8" s="36"/>
      <c r="FD8" s="36"/>
      <c r="FE8" s="36"/>
      <c r="FF8" s="36"/>
      <c r="FG8" s="36"/>
      <c r="FH8" s="36"/>
      <c r="FI8" s="36"/>
      <c r="FJ8" s="36"/>
      <c r="FK8" s="36"/>
      <c r="FL8" s="36"/>
      <c r="FM8" s="36"/>
      <c r="FN8" s="36"/>
      <c r="FO8" s="36"/>
      <c r="FP8" s="36"/>
      <c r="FQ8" s="36"/>
      <c r="FR8" s="12" t="str">
        <f>IF(FJ8&gt;0,FJ8,"")</f>
        <v/>
      </c>
      <c r="FS8" s="12" t="str">
        <f>IF(SUM(FC8:FF8)-FG8&gt;0,SUM(FC8:FF8)-FG8,"")</f>
        <v/>
      </c>
      <c r="FT8" s="12" t="str">
        <f>IF(SUM(FH8:FK8)-FL8&gt;0,SUM(FH8:FK8)-FL8,"")</f>
        <v/>
      </c>
      <c r="FU8" s="12" t="str">
        <f>IF(SUM(FS8:FT8)&gt;0,SUM(FS8:FT8),"")</f>
        <v/>
      </c>
      <c r="FV8" s="12" t="str">
        <f>IF(FO8&gt;0,FO8,"")</f>
        <v/>
      </c>
      <c r="FW8" s="12" t="str">
        <f>IF(SUM(FM8:FP8)-FQ8&gt;0,SUM(FM8:FP8)-FQ8,"")</f>
        <v/>
      </c>
      <c r="FX8" s="12" t="str">
        <f>IF(SUM(FU8,FW8)&gt;0,SUM(FU8,FW8),"")</f>
        <v/>
      </c>
      <c r="FY8" s="37"/>
      <c r="FZ8" s="37"/>
      <c r="GA8" s="37"/>
      <c r="GB8" s="37"/>
      <c r="GC8" s="37"/>
      <c r="GD8" s="37"/>
      <c r="GE8" s="37"/>
      <c r="GF8" s="37"/>
      <c r="GG8" s="37"/>
      <c r="GH8" s="37"/>
      <c r="GI8" s="37"/>
      <c r="GJ8" s="37"/>
      <c r="GK8" s="37"/>
      <c r="GL8" s="37"/>
      <c r="GM8" s="37"/>
      <c r="GN8" s="15" t="str">
        <f>IF(GF8&gt;0,GF8,"")</f>
        <v/>
      </c>
      <c r="GO8" s="15" t="str">
        <f>IF(SUM(FY8:GB8)-GC8&gt;0,SUM(FY8:GB8)-GC8,"")</f>
        <v/>
      </c>
      <c r="GP8" s="15" t="str">
        <f>IF(SUM(GD8:GG8)-GH8&gt;0,SUM(GD8:GG8)-GH8,"")</f>
        <v/>
      </c>
      <c r="GQ8" s="15" t="str">
        <f>IF(SUM(GO8:GP8)&gt;0,SUM(GO8:GP8),"")</f>
        <v/>
      </c>
      <c r="GR8" s="15" t="str">
        <f>IF(GK8&gt;0,GK8,"")</f>
        <v/>
      </c>
      <c r="GS8" s="15" t="str">
        <f>IF(SUM(GI8:GL8)-GM8&gt;0,SUM(GI8:GL8)-GM8,"")</f>
        <v/>
      </c>
      <c r="GT8" s="15" t="str">
        <f>IF(SUM(GQ8,GS8)&gt;0,SUM(GQ8,GS8),"")</f>
        <v/>
      </c>
      <c r="GU8" s="36"/>
      <c r="GV8" s="36"/>
      <c r="GW8" s="36"/>
      <c r="GX8" s="36"/>
      <c r="GY8" s="36"/>
      <c r="GZ8" s="36"/>
      <c r="HA8" s="36"/>
      <c r="HB8" s="36"/>
      <c r="HC8" s="36"/>
      <c r="HD8" s="36"/>
      <c r="HE8" s="36"/>
      <c r="HF8" s="36"/>
      <c r="HG8" s="36"/>
      <c r="HH8" s="36"/>
      <c r="HI8" s="36"/>
      <c r="HJ8" s="12" t="str">
        <f>IF(HB8&gt;0,HB8,"")</f>
        <v/>
      </c>
      <c r="HK8" s="12" t="str">
        <f>IF(SUM(GU8:GX8)-GY8&gt;0,SUM(GU8:GX8)-GY8,"")</f>
        <v/>
      </c>
      <c r="HL8" s="12" t="str">
        <f>IF(SUM(GZ8:HC8)-HD8&gt;0,SUM(GZ8:HC8)-HD8,"")</f>
        <v/>
      </c>
      <c r="HM8" s="12" t="str">
        <f>IF(SUM(HK8:HL8)&gt;0,SUM(HK8:HL8),"")</f>
        <v/>
      </c>
      <c r="HN8" s="12" t="str">
        <f>IF(HG8&gt;0,HG8,"")</f>
        <v/>
      </c>
      <c r="HO8" s="12" t="str">
        <f>IF(SUM(HE8:HH8)-HI8&gt;0,SUM(HE8:HH8)-HI8,"")</f>
        <v/>
      </c>
      <c r="HP8" s="12" t="str">
        <f>IF(SUM(HM8,HO8)&gt;0,SUM(HM8,HO8),"")</f>
        <v/>
      </c>
      <c r="HQ8" s="37"/>
      <c r="HR8" s="37"/>
      <c r="HS8" s="37"/>
      <c r="HT8" s="37"/>
      <c r="HU8" s="37"/>
      <c r="HV8" s="37"/>
      <c r="HW8" s="37"/>
      <c r="HX8" s="37"/>
      <c r="HY8" s="37"/>
      <c r="HZ8" s="37"/>
      <c r="IA8" s="37"/>
      <c r="IB8" s="37"/>
      <c r="IC8" s="37"/>
      <c r="ID8" s="37"/>
      <c r="IE8" s="37"/>
      <c r="IF8" s="15" t="str">
        <f>IF(HX8&gt;0,HX8,"")</f>
        <v/>
      </c>
      <c r="IG8" s="15" t="str">
        <f>IF(SUM(HQ8:HT8)-HU8&gt;0,SUM(HQ8:HT8)-HU8,"")</f>
        <v/>
      </c>
      <c r="IH8" s="15" t="str">
        <f>IF(SUM(HV8:HY8)-HZ8&gt;0,SUM(HV8:HY8)-HZ8,"")</f>
        <v/>
      </c>
      <c r="II8" s="15" t="str">
        <f>IF(SUM(IG8:IH8)&gt;0,SUM(IG8:IH8),"")</f>
        <v/>
      </c>
      <c r="IJ8" s="15" t="str">
        <f>IF(IC8&gt;0,IC8,"")</f>
        <v/>
      </c>
      <c r="IK8" s="15" t="str">
        <f>IF(SUM(IA8:ID8)-IE8&gt;0,SUM(IA8:ID8)-IE8,"")</f>
        <v/>
      </c>
      <c r="IL8" s="15" t="str">
        <f>IF(SUM(II8,IK8)&gt;0,SUM(II8,IK8),"")</f>
        <v/>
      </c>
      <c r="IM8" s="36"/>
      <c r="IN8" s="36"/>
      <c r="IO8" s="36"/>
      <c r="IP8" s="36"/>
      <c r="IQ8" s="36"/>
      <c r="IR8" s="36"/>
      <c r="IS8" s="36"/>
      <c r="IT8" s="36"/>
      <c r="IU8" s="36"/>
      <c r="IV8" s="36"/>
      <c r="IW8" s="36"/>
      <c r="IX8" s="36"/>
      <c r="IY8" s="36"/>
      <c r="IZ8" s="36"/>
      <c r="JA8" s="36"/>
      <c r="JB8" s="12" t="str">
        <f>IF(IT8&gt;0,IT8,"")</f>
        <v/>
      </c>
      <c r="JC8" s="12" t="str">
        <f>IF(SUM(IM8:IP8)-IQ8&gt;0,SUM(IM8:IP8)-IQ8,"")</f>
        <v/>
      </c>
      <c r="JD8" s="12" t="str">
        <f>IF(SUM(IR8:IU8)-IV8&gt;0,SUM(IR8:IU8)-IV8,"")</f>
        <v/>
      </c>
      <c r="JE8" s="12" t="str">
        <f>IF(SUM(JC8:JD8)&gt;0,SUM(JC8:JD8),"")</f>
        <v/>
      </c>
      <c r="JF8" s="12" t="str">
        <f>IF(IY8&gt;0,IY8,"")</f>
        <v/>
      </c>
      <c r="JG8" s="12" t="str">
        <f>IF(SUM(IW8:IZ8)-JA8&gt;0,SUM(IW8:IZ8)-JA8,"")</f>
        <v/>
      </c>
      <c r="JH8" s="12" t="str">
        <f>IF(SUM(JE8,JG8)&gt;0,SUM(JE8,JG8),"")</f>
        <v/>
      </c>
      <c r="JI8" s="37"/>
      <c r="JJ8" s="37"/>
      <c r="JK8" s="37"/>
      <c r="JL8" s="37"/>
      <c r="JM8" s="37"/>
      <c r="JN8" s="37"/>
      <c r="JO8" s="37"/>
      <c r="JP8" s="37"/>
      <c r="JQ8" s="37"/>
      <c r="JR8" s="37"/>
      <c r="JS8" s="37"/>
      <c r="JT8" s="37"/>
      <c r="JU8" s="37"/>
      <c r="JV8" s="37"/>
      <c r="JW8" s="37"/>
      <c r="JX8" s="15" t="str">
        <f>IF(JP8&gt;0,JP8,"")</f>
        <v/>
      </c>
      <c r="JY8" s="15" t="str">
        <f>IF(SUM(JI8:JL8)-JM8&gt;0,SUM(JI8:JL8)-JM8,"")</f>
        <v/>
      </c>
      <c r="JZ8" s="15" t="str">
        <f>IF(SUM(JN8:JQ8)-JR8&gt;0,SUM(JN8:JQ8)-JR8,"")</f>
        <v/>
      </c>
      <c r="KA8" s="15" t="str">
        <f>IF(SUM(JY8:JZ8)&gt;0,SUM(JY8:JZ8),"")</f>
        <v/>
      </c>
      <c r="KB8" s="15" t="str">
        <f>IF(JU8&gt;0,JU8,"")</f>
        <v/>
      </c>
      <c r="KC8" s="15" t="str">
        <f>IF(SUM(JS8:JV8)-JW8&gt;0,SUM(JS8:JV8)-JW8,"")</f>
        <v/>
      </c>
      <c r="KD8" s="15" t="str">
        <f>IF(SUM(KA8,KC8)&gt;0,SUM(KA8,KC8),"")</f>
        <v/>
      </c>
      <c r="KE8" s="36"/>
      <c r="KF8" s="36"/>
      <c r="KG8" s="36"/>
      <c r="KH8" s="36"/>
      <c r="KI8" s="36"/>
      <c r="KJ8" s="36"/>
      <c r="KK8" s="36"/>
      <c r="KL8" s="36"/>
      <c r="KM8" s="36"/>
      <c r="KN8" s="36"/>
      <c r="KO8" s="36"/>
      <c r="KP8" s="36"/>
      <c r="KQ8" s="36"/>
      <c r="KR8" s="36"/>
      <c r="KS8" s="36"/>
      <c r="KT8" s="12" t="str">
        <f>IF(KL8&gt;0,KL8,"")</f>
        <v/>
      </c>
      <c r="KU8" s="12" t="str">
        <f>IF(SUM(KE8:KH8)-KI8&gt;0,SUM(KE8:KH8)-KI8,"")</f>
        <v/>
      </c>
      <c r="KV8" s="12" t="str">
        <f>IF(SUM(KJ8:KM8)-KN8&gt;0,SUM(KJ8:KM8)-KN8,"")</f>
        <v/>
      </c>
      <c r="KW8" s="12" t="str">
        <f>IF(SUM(KU8:KV8)&gt;0,SUM(KU8:KV8),"")</f>
        <v/>
      </c>
      <c r="KX8" s="12" t="str">
        <f>IF(KQ8&gt;0,KQ8,"")</f>
        <v/>
      </c>
      <c r="KY8" s="12" t="str">
        <f>IF(SUM(KO8:KR8)-KS8&gt;0,SUM(KO8:KR8)-KS8,"")</f>
        <v/>
      </c>
      <c r="KZ8" s="12" t="str">
        <f>IF(SUM(KW8,KY8)&gt;0,SUM(KW8,KY8),"")</f>
        <v/>
      </c>
      <c r="LA8" s="37"/>
      <c r="LB8" s="37"/>
      <c r="LC8" s="37"/>
      <c r="LD8" s="37"/>
      <c r="LE8" s="37"/>
      <c r="LF8" s="37"/>
      <c r="LG8" s="37"/>
      <c r="LH8" s="37"/>
      <c r="LI8" s="37"/>
      <c r="LJ8" s="37"/>
      <c r="LK8" s="37"/>
      <c r="LL8" s="37"/>
      <c r="LM8" s="37"/>
      <c r="LN8" s="37"/>
      <c r="LO8" s="37"/>
      <c r="LP8" s="15" t="str">
        <f>IF(LH8&gt;0,LH8,"")</f>
        <v/>
      </c>
      <c r="LQ8" s="15" t="str">
        <f>IF(SUM(LA8:LD8)-LE8&gt;0,SUM(LA8:LD8)-LE8,"")</f>
        <v/>
      </c>
      <c r="LR8" s="15" t="str">
        <f>IF(SUM(LF8:LI8)-LJ8&gt;0,SUM(LF8:LI8)-LJ8,"")</f>
        <v/>
      </c>
      <c r="LS8" s="15" t="str">
        <f>IF(SUM(LQ8:LR8)&gt;0,SUM(LQ8:LR8),"")</f>
        <v/>
      </c>
      <c r="LT8" s="15" t="str">
        <f>IF(LM8&gt;0,LM8,"")</f>
        <v/>
      </c>
      <c r="LU8" s="15" t="str">
        <f>IF(SUM(LK8:LN8)-LO8&gt;0,SUM(LK8:LN8)-LO8,"")</f>
        <v/>
      </c>
      <c r="LV8" s="15" t="str">
        <f>IF(SUM(LS8,LU8)&gt;0,SUM(LS8,LU8),"")</f>
        <v/>
      </c>
      <c r="LW8" s="63">
        <f t="shared" si="7"/>
        <v>12.600000000000001</v>
      </c>
      <c r="LX8" s="63">
        <f t="shared" si="8"/>
        <v>7.35</v>
      </c>
      <c r="LY8" s="63">
        <f t="shared" si="9"/>
        <v>2.5499999999999998</v>
      </c>
      <c r="LZ8" s="63">
        <f t="shared" si="10"/>
        <v>11.6325</v>
      </c>
      <c r="MA8" s="63">
        <f t="shared" si="11"/>
        <v>0</v>
      </c>
      <c r="MB8" s="63">
        <f t="shared" si="12"/>
        <v>13.85</v>
      </c>
      <c r="MC8" s="63">
        <f t="shared" si="13"/>
        <v>9.3999999999999986</v>
      </c>
      <c r="MD8" s="63">
        <f t="shared" si="14"/>
        <v>9.1999999999999993</v>
      </c>
      <c r="ME8" s="63">
        <f t="shared" si="15"/>
        <v>14.095000000000001</v>
      </c>
      <c r="MF8" s="63">
        <f t="shared" si="16"/>
        <v>0.55000000000000004</v>
      </c>
      <c r="MG8" s="63">
        <f t="shared" si="17"/>
        <v>13.5</v>
      </c>
      <c r="MH8" s="63">
        <f t="shared" si="18"/>
        <v>8.4250000000000007</v>
      </c>
      <c r="MI8" s="63">
        <f t="shared" si="19"/>
        <v>9.35</v>
      </c>
      <c r="MJ8" s="63">
        <f t="shared" si="20"/>
        <v>12.55</v>
      </c>
      <c r="MK8" s="63">
        <f t="shared" si="21"/>
        <v>0</v>
      </c>
      <c r="ML8" s="74" t="s">
        <v>119</v>
      </c>
      <c r="MM8" s="12">
        <f t="shared" si="22"/>
        <v>9.1999999999999993</v>
      </c>
      <c r="MN8" s="12">
        <f t="shared" si="23"/>
        <v>34.132500000000007</v>
      </c>
      <c r="MO8" s="12">
        <f t="shared" si="24"/>
        <v>45.995000000000005</v>
      </c>
      <c r="MP8" s="12">
        <f t="shared" si="25"/>
        <v>80.127500000000012</v>
      </c>
      <c r="MQ8" s="12">
        <f t="shared" si="26"/>
        <v>9.35</v>
      </c>
      <c r="MR8" s="12">
        <f t="shared" si="27"/>
        <v>43.825000000000003</v>
      </c>
      <c r="MS8" s="12">
        <f t="shared" si="28"/>
        <v>123.95250000000001</v>
      </c>
    </row>
    <row r="9" spans="1:357" x14ac:dyDescent="0.2">
      <c r="A9" s="6" t="str">
        <f>IF(AND(F9="P",H9="P"),SUMPRODUCT((F$4:F$16="P")*(H$4:H$16="P")*(E$4:E$16&gt;E9))+1,IF(H9="P",SUMPRODUCT((F$4:F$16="")*(H$4:H$16="P")*(E$4:E$16&gt;E9))+1+SUMPRODUCT((F$4:F$16="P")*(H$4:H$16="P")),""))</f>
        <v/>
      </c>
      <c r="B9" s="9" t="s">
        <v>98</v>
      </c>
      <c r="C9" s="5" t="s">
        <v>5</v>
      </c>
      <c r="D9" s="27">
        <v>2002</v>
      </c>
      <c r="E9" s="16">
        <f>SUM(J9:R9)</f>
        <v>190.44</v>
      </c>
      <c r="F9" s="4" t="str">
        <f>IF(OR(AND($AK9&gt;=$AL$18,NOT($AK9=""),$AJ9=""),AND($BH9&gt;=$BI$18,NOT($BH9=""),$BG9=""),AND($CH9&gt;=$CI$18,NOT($CH9="")),AND($DD9&gt;=$DE$18,NOT($DD9="")),AND($DZ9&gt;=$EA$18,NOT($DZ9="")),AND($EV9&gt;=$EW$18,NOT($EV9="")),AND($FR9&gt;=$FS$18,NOT($FR9="")),AND($GN9&gt;=$GO$18,NOT($GN9="")),AND($HJ9&gt;=$HK$18,NOT($HJ9="")),AND($IF9&gt;=$IG$18,NOT($IF9="")),AND($JB9&gt;=$JC$18,NOT($JB9="")),AND($JX9&gt;=$JY$18,NOT($JX9="")),AND($KT9&gt;=$KU$18,NOT($KT9="")),AND($LP9&gt;=$LQ$18,NOT($LP9=""))),"P","")</f>
        <v/>
      </c>
      <c r="G9" s="4" t="str">
        <f>IF(OR(AND($AK9&gt;=$AL$19,NOT($AK9=""),$AJ9=""),AND($BH9&gt;=$BI$19,NOT($BH9=""),$BG9=""),AND($CH9&gt;=$CI$19,NOT($CH9="")),AND($DD9&gt;=$DE$19,NOT($DD9="")),AND($DZ9&gt;=$EA$19,NOT($DZ9="")),AND($EV9&gt;=$EW$19,NOT($EV9="")),AND($FR9&gt;=$FS$19,NOT($FR9="")),AND($GN9&gt;=$GO$19,NOT($GN9="")),AND($HJ9&gt;=$HK$19,NOT($HJ9="")),AND($IF9&gt;=$IG$19,NOT($IF9="")),AND($JB9&gt;=$JC$19,NOT($JB9="")),AND($JX9&gt;=$JY$19,NOT($JX9="")),AND($KT9&gt;=$KU$19,NOT($KT9="")),AND($LP9&gt;=$LQ$19,NOT($LP9=""))),"P","")</f>
        <v/>
      </c>
      <c r="H9" s="4" t="str">
        <f>IF(OR(AND($AN9&gt;=$AL$20,NOT($AN9=""),$AJ9=""),AND($BK9&gt;=$BI$20,NOT($BK9=""),$BG9=""),AND($CK9&gt;=$CI$20,NOT($CK9="")),AND($DG9&gt;=$DE$20,NOT($DG9="")),AND($EC9&gt;=$EA$20,NOT($EC9="")),AND($EY9&gt;=$EW$20,NOT($EY9="")),AND($FU9&gt;=$FS$20,NOT($FU9="")),AND($GQ9&gt;=$GO$20,NOT($GQ9="")),AND($HM9&gt;=$HK$20,NOT($HM9="")),AND($II9&gt;=$IG$20,NOT($II9="")),AND($JE9&gt;=$JC$20,NOT($JE9="")),AND($KA9&gt;=$JY$20,NOT($KA9="")),AND($KW9&gt;=$KU$20,NOT($KW9="")),AND($LS9&gt;=$LQ$20,NOT($LS9=""))),"P","")</f>
        <v/>
      </c>
      <c r="I9" t="str">
        <f>IF(AND(H9="P",F9=""),"No DD",IF(AND(G9="P",OR(AND($AM9&gt;$AL$23,NOT($AM9=""),$AJ9=""),AND($AP9&gt;$AL$23,NOT($AP9=""),$AJ9=""),AND($BJ9&gt;$BI$23,NOT($BJ9=""),$BG9=""),AND($BM9&gt;$BI$23,NOT($BM9=""),$BG9=""),AND($CJ9&gt;$CI$23,NOT($CJ9="")),AND($CM9&gt;$CI$23,NOT($CM9="")),AND($DF9&gt;$DE$23,NOT($DF9="")),AND($DI9&gt;$DE$23,NOT($DI9="")),AND($EB9&gt;$EA$23,NOT($EB9="")),AND($EE9&gt;$EA$23,NOT($EE9="")),AND($EX9&gt;$EW$23,NOT($EX9="")),AND($FA9&gt;$EW$23,NOT($FA9="")),AND($FT9&gt;$FS$23,NOT($FT9="")),AND($FW9&gt;$FS$23,NOT($FW9="")),AND($GP9&gt;$GO$23,NOT($GP9="")),AND($GS9&gt;$GO$23,NOT($GS9="")),AND($HL9&gt;$HK$23,NOT($HL9="")),AND($HO9&gt;$HK$23,NOT($HO9="")),AND($IH9&gt;$IG$23,NOT($IH9="")),AND($IK9&gt;$IG$23,NOT($IK9="")),AND($JD9&gt;$JC$23,NOT($JD9="")),AND($JG9&gt;$JC$23,NOT($JG9="")),AND($JZ9&gt;$JY$23,NOT($JZ9="")),AND($KC9&gt;$JY$23,NOT($KC9="")),AND($KV9&gt;$KU$23,NOT($KV9="")),AND($KY9&gt;$KU$23,NOT($KY9="")),AND($LR9&gt;$LQ$23,NOT($LR9="")),AND($LU9&gt;$LQ$23,NOT($LU9="")))),"Merit",IF(AND(G9="P",OR(AND($AN9&gt;$AL$22,NOT($AN9=""),$AJ9=""),AND($BK9&gt;$BI$22,NOT($BK9=""),$BG9=""),AND($CK9&gt;$CI$22,NOT($CK9="")),AND($DG9&gt;$DE$22,NOT($DG9="")),AND($EC9&gt;$EA$22,NOT($EC9="")),AND($EY9&gt;$EW$22,NOT($EY9="")),AND($FU9&gt;$FS$22,NOT($FU9="")),AND($GQ9&gt;$GO$22,NOT($GQ9="")),AND($HM9&gt;$HK$22,NOT($HM9="")),AND($II9&gt;$IG$22,NOT($II9="")),AND($JE9&gt;$JC$22,NOT($JE9="")),AND($KA9&gt;$JY$22,NOT($KA9="")),AND($KW9&gt;$KU$22,NOT($KW9="")),AND($LS9&gt;$LQ$22,NOT($LS9="")))),"Excellence",IF(AND(G9="P",OR(AND($AN9&gt;$AL$21,NOT($AN9=""),$AJ9=""),AND($BK9&gt;$BI$21,NOT($BK9=""),$BG9=""),AND($CK9&gt;$CI$21,NOT($CK9="")),AND($DG9&gt;$DE$21,NOT($DG9="")),AND($EC9&gt;$EA$21,NOT($EC9="")),AND($EY9&gt;$EW$21,NOT($EY9="")),AND($FU9&gt;$FS$21,NOT($FU9="")),AND($GQ9&gt;$GO$21,NOT($GQ9="")),AND($HM9&gt;$HK$21,NOT($HM9="")),AND($II9&gt;$IG$21,NOT($II9="")),AND($JE9&gt;$JC$21,NOT($JE9="")),AND($KA9&gt;$JY$21,NOT($KA9="")),AND($KW9&gt;$KU$21,NOT($KW9="")),AND($LS9&gt;$LQ$21,NOT($LS9="")))),"Worlds Team",IF(AND(F9="P",OR(AND($AN9&gt;$AL$20,NOT($AN9=""),$AJ9=""),AND($BK9&gt;$BI$20,NOT($BK9=""),$BG9=""),AND($CK9&gt;$CI$20,NOT($CK9="")),AND($DG9&gt;$DE$20,NOT($DG9="")),AND($EC9&gt;$EA$20,NOT($EC9="")),AND($EY9&gt;$EW$20,NOT($EY9="")),AND($FU9&gt;$FS$20,NOT($FU9="")),AND($GQ9&gt;$GO$20,NOT($GQ9="")),AND($HM9&gt;$HK$20,NOT($HM9="")),AND($II9&gt;$IG$20,NOT($II9="")),AND($JE9&gt;$JC$20,NOT($JE9="")),AND($KA9&gt;$JY$20,NOT($KA9="")),AND($KW9&gt;$KU$20,NOT($KW9="")),AND($LS9&gt;$LQ$20,NOT($LS9="")))),"National Team","")))))</f>
        <v/>
      </c>
      <c r="J9" s="15">
        <f>IF(MAX(AN9,BK9)&gt;0,MAX(AN9,BK9),"")</f>
        <v>92.085000000000008</v>
      </c>
      <c r="K9" s="15" t="str">
        <f>IF(J9="","",IF(J9=BK9,$AR$1,IF(J9=AN9,$U$1,"")))</f>
        <v>2018 Nationals</v>
      </c>
      <c r="L9" s="15" t="str">
        <f>IF($J9=$AN9,BI9,IF($J9=$BK9,AL9,MAX(AL9,BI9)))</f>
        <v/>
      </c>
      <c r="M9" s="15" t="str">
        <f>IF(L9="","",IF(L9=BI9,$AR$1,IF(L9=AL9,$U$1,"")))</f>
        <v/>
      </c>
      <c r="N9" s="15" t="str">
        <f>IF($J9=$AN9,BJ9,IF($J9=$BK9,AM9,MAX(AM9,BJ9)))</f>
        <v/>
      </c>
      <c r="O9" s="15" t="str">
        <f>IF(N9="","",IF(AND(N9=BJ9,$K9&lt;&gt;$AR$1),$AR$1,IF(AND(N9=AM9,$K9&lt;&gt;$U$1),$U$1,"")))</f>
        <v/>
      </c>
      <c r="P9" s="15">
        <f>IF(MAX(AP9,BM9)&gt;0,MAX(AP9,BM9),"")</f>
        <v>49.48</v>
      </c>
      <c r="Q9" s="15" t="str">
        <f>IF(P9="","",IF(P9=BM9,$AR$1,IF(P9=AP9,$U$1,"")))</f>
        <v>2018 Nationals</v>
      </c>
      <c r="R9" s="15">
        <f>IF(MAX(BO9,BP9,BQ9,BR9)&gt;0,MAX(BO9,BP9,BQ9,BR9),"")</f>
        <v>48.875</v>
      </c>
      <c r="S9" s="25" t="str">
        <f>IF(R9="","",IF(R9=BO9,"(Vol 1)",IF(R9=BP9,"(Vol 2)",IF(R9=BQ9,"(Prelim)",IF(R9=BR9,"(Final)")))))</f>
        <v>(Vol 2)</v>
      </c>
      <c r="T9" s="15" t="str">
        <f>IF(R9="","",IF(R9=BO9,IF(R9+IF(L9="",0,L9)=LQ9,$LA$1,IF(R9+IF(L9="",0,L9)=KU9,$KE$1,IF(R9+IF(L9="",0,L9)=JY9,$JI$1,IF(R9+IF(L9="",0,L9)=JC9,$IM$1,IF(R9+IF(L9="",0,L9)=IG9,$HQ$1,IF(R9+IF(L9="",0,L9)=HK9,$GU$1,IF(R9+IF(L9="",0,L9)=GO9,$FY$1,IF(R9+IF(L9="",0,L9)=FS9,$FC$1,IF(R9+IF(L9="",0,L9)=EW9,$EG$1,IF(R9+IF(L9="",0,L9)=EA9,$DK$1,IF(R9+IF(L9="",0,L9)=DE9,$CO$1,IF(R9+IF(L9="",0,L9)=CI9,$BS$1)))))))))))),IF(R9=BP9,IF(R9+IF(N9="",0,N9)=LR9,$LA$1,IF(R9+IF(N9="",0,N9)=KV9,$KE$1,IF(R9+IF(N9="",0,N9)=JZ9,$JI$1,IF(R9+IF(N9="",0,N9)=JD9,$IM$1,IF(R9+IF(N9="",0,N9)=IH9,$HQ$1,IF(R9+IF(N9="",0,N9)=HL9,$GU$1,IF(R9+IF(N9="",0,N9)=GP9,$FY$1,IF(R9+IF(N9="",0,N9)=FT9,$FC$1,IF(R9+IF(N9="",0,N9)=EX9,$EG$1,IF(R9+IF(N9="",0,N9)=EB9,$DK$1,IF(R9+IF(N9="",0,N9)=DF9,$CO$1,IF(R9+IF(N9="",0,N9)=CJ9,$BS$1)))))))))))),IF(R9=BQ9,IF(R9+IF(J9="",0,J9)=LS9,$LA$1,IF(R9+IF(J9="",0,J9)=KW9,$KE$1,IF(R9+IF(J9="",0,J9)=KA9,$JI$1,IF(R9+IF(J9="",0,J9)=JE9,$IM$1,IF(R9+IF(J9="",0,J9)=II9,$HQ$1,IF(R9+IF(J9="",0,J9)=HM9,$GU$1,IF(R9+IF(J9="",0,J9)=GQ9,$FY$1,IF(R9+IF(J9="",0,J9)=FU9,$FC$1,IF(R9+IF(J9="",0,J9)=EY9,$EG$1,IF(R9+IF(J9="",0,J9)=EC9,$DK$1,IF(R9+IF(J9="",0,J9)=DG9,$CO$1,IF(R9+IF(J9="",0,J9)=CK9,$BS$1)))))))))))),IF(R9=BR9,IF(R9+IF(P9="",0,P9)=LU9,$LA$1,IF(R9+IF(P9="",0,P9)=KY9,$KE$1,IF(R9+IF(P9="",0,P9)=KC9,$JI$1,IF(R9+IF(P9="",0,P9)=JG9,$IM$1,IF(R9+IF(P9="",0,P9)=IK9,$HQ$1,IF(R9+IF(P9="",0,P9)=HO9,$GU$1,IF(R9+IF(P9="",0,P9)=GS9,$FY$1,IF(R9+IF(P9="",0,P9)=FW9,$FC$1,IF(R9+IF(P9="",0,P9)=FA9,$EG$1,IF(R9+IF(P9="",0,P9)=EE9,$DK$1,IF(R9+IF(P9="",0,P9)=DI9,$CO$1,IF(R9+IF(P9="",0,P9)=CM9,$BS$1)))))))))))))))))</f>
        <v>2018 World Age Groups (Nov 18)</v>
      </c>
      <c r="U9" s="36">
        <v>16.899999999999999</v>
      </c>
      <c r="V9" s="36">
        <v>9.6</v>
      </c>
      <c r="W9" s="36">
        <v>3.1</v>
      </c>
      <c r="X9" s="36">
        <v>14.515000000000001</v>
      </c>
      <c r="Y9" s="36">
        <v>0</v>
      </c>
      <c r="Z9" s="36">
        <v>15.7</v>
      </c>
      <c r="AA9" s="36">
        <v>9.15</v>
      </c>
      <c r="AB9" s="36">
        <v>9.1</v>
      </c>
      <c r="AC9" s="36">
        <v>14.02</v>
      </c>
      <c r="AD9" s="36">
        <v>0</v>
      </c>
      <c r="AE9" s="36">
        <v>16.899999999999999</v>
      </c>
      <c r="AF9" s="36">
        <v>8.75</v>
      </c>
      <c r="AG9" s="36">
        <v>9.6999999999999993</v>
      </c>
      <c r="AH9" s="36">
        <v>14.13</v>
      </c>
      <c r="AI9" s="36">
        <v>0</v>
      </c>
      <c r="AJ9" s="74"/>
      <c r="AK9" s="12">
        <f>IF(AB9&gt;0,AB9,"")</f>
        <v>9.1</v>
      </c>
      <c r="AL9" s="12">
        <f>IF(SUM(U9:X9)-Y9&gt;0,SUM(U9:X9)-Y9,"")</f>
        <v>44.115000000000002</v>
      </c>
      <c r="AM9" s="12">
        <f>IF(SUM(Z9:AC9)-AD9&gt;0,SUM(Z9:AC9)-AD9,"")</f>
        <v>47.97</v>
      </c>
      <c r="AN9" s="12">
        <f>IF(SUM(AL9:AM9)&gt;0,SUM(AL9:AM9),"")</f>
        <v>92.085000000000008</v>
      </c>
      <c r="AO9" s="12">
        <f>IF(AG9&gt;0,AG9,"")</f>
        <v>9.6999999999999993</v>
      </c>
      <c r="AP9" s="12">
        <f>IF(SUM(AE9:AH9)-AI9&gt;0,SUM(AE9:AH9)-AI9,"")</f>
        <v>49.48</v>
      </c>
      <c r="AQ9" s="12">
        <f>IF(SUM(AN9,AP9)&gt;0,SUM(AN9,AP9),"")</f>
        <v>141.565</v>
      </c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75"/>
      <c r="BH9" s="15" t="str">
        <f>IF(AY9&gt;0,AY9,"")</f>
        <v/>
      </c>
      <c r="BI9" s="15" t="str">
        <f>IF(SUM(AR9:AU9)-AV9&gt;0,SUM(AR9:AU9)-AV9,"")</f>
        <v/>
      </c>
      <c r="BJ9" s="15" t="str">
        <f>IF(SUM(AW9:AZ9)-BA9&gt;0,SUM(AW9:AZ9)-BA9,"")</f>
        <v/>
      </c>
      <c r="BK9" s="15" t="str">
        <f>IF(SUM(BI9:BJ9)&gt;0,SUM(BI9:BJ9),"")</f>
        <v/>
      </c>
      <c r="BL9" s="15" t="str">
        <f>IF(BD9&gt;0,BD9,"")</f>
        <v/>
      </c>
      <c r="BM9" s="15" t="str">
        <f>IF(SUM(BB9:BE9)-BF9&gt;0,SUM(BB9:BE9)-BF9,"")</f>
        <v/>
      </c>
      <c r="BN9" s="15" t="str">
        <f>IF(SUM(BK9,BM9)&gt;0,SUM(BK9,BM9),"")</f>
        <v/>
      </c>
      <c r="BO9" s="24">
        <f>IF(MAX(CI9,DE9,EA9,EW9,FS9,GO9,HK9,IG9,JC9,JY9,KU9,LQ9)-IF(L9="",0,L9)&gt;0.001,MAX(CI9,DE9,EA9,EW9,FS9,GO9,HK9,IG9,JC9,JY9,KU9,LQ9)-IF(L9="",0,L9),"")</f>
        <v>40.994999999999997</v>
      </c>
      <c r="BP9" s="24">
        <f>IF(MAX(CJ9,DF9,EB9,EX9,FT9,GP9,HL9,IH9,JD9,JZ9,KV9,LR9)-IF(N9="",0,N9)&gt;0.001,MAX(CJ9,DF9,EB9,EX9,FT9,GP9,HL9,IH9,JD9,JZ9,KV9,LR9)-IF(N9="",0,N9),"")</f>
        <v>48.875</v>
      </c>
      <c r="BQ9" s="24" t="str">
        <f>IF(MAX(CK9,DG9,EC9,EY9,FU9,GQ9,HM9,II9,JE9,KA9,KW9,LS9)-IF(J9="",0,J9)&gt;0.001,MAX(CK9,DG9,EC9,EY9,FU9,GQ9,HM9,II9,JE9,KA9,KW9,LS9)-IF(J9="",0,J9),"")</f>
        <v/>
      </c>
      <c r="BR9" s="24" t="str">
        <f>IF(MAX(CM9,DI9,EE9,FA9,FW9,GS9,HO9,IK9,JG9,KC9,KY9,LU9)-IF(P9="",0,P9)&gt;0.001,MAX(CM9,DI9,EE9,FA9,FW9,GS9,HO9,IK9,JG9,KC9,KY9,LU9)-IF(P9="",0,P9),"")</f>
        <v/>
      </c>
      <c r="BS9" s="36">
        <v>17.100000000000001</v>
      </c>
      <c r="BT9" s="36">
        <v>0</v>
      </c>
      <c r="BU9" s="36">
        <v>9.15</v>
      </c>
      <c r="BV9" s="36">
        <v>14.744999999999999</v>
      </c>
      <c r="BW9" s="36">
        <v>0</v>
      </c>
      <c r="BX9" s="36">
        <v>15.9</v>
      </c>
      <c r="BY9" s="36">
        <v>9.6999999999999993</v>
      </c>
      <c r="BZ9" s="36">
        <v>8.9499999999999993</v>
      </c>
      <c r="CA9" s="36">
        <v>14.035</v>
      </c>
      <c r="CB9" s="36">
        <v>0</v>
      </c>
      <c r="CC9" s="36"/>
      <c r="CD9" s="36"/>
      <c r="CE9" s="36"/>
      <c r="CF9" s="36"/>
      <c r="CG9" s="36"/>
      <c r="CH9" s="12">
        <f>IF(BZ9&gt;0,BZ9,"")</f>
        <v>8.9499999999999993</v>
      </c>
      <c r="CI9" s="12">
        <f>IF(SUM(BS9:BV9)-BW9&gt;0,SUM(BS9:BV9)-BW9,"")</f>
        <v>40.994999999999997</v>
      </c>
      <c r="CJ9" s="12">
        <f>IF(SUM(BX9:CA9)-CB9&gt;0,SUM(BX9:CA9)-CB9,"")</f>
        <v>48.584999999999994</v>
      </c>
      <c r="CK9" s="12">
        <f>IF(SUM(CI9:CJ9)&gt;0,SUM(CI9:CJ9),"")</f>
        <v>89.579999999999984</v>
      </c>
      <c r="CL9" s="12" t="str">
        <f>IF(CE9&gt;0,CE9,"")</f>
        <v/>
      </c>
      <c r="CM9" s="12" t="str">
        <f>IF(SUM(CC9:CF9)-CG9&gt;0,SUM(CC9:CF9)-CG9,"")</f>
        <v/>
      </c>
      <c r="CN9" s="12">
        <f>IF(SUM(CK9,CM9)&gt;0,SUM(CK9,CM9),"")</f>
        <v>89.579999999999984</v>
      </c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  <c r="DB9" s="37"/>
      <c r="DC9" s="37"/>
      <c r="DD9" s="15" t="str">
        <f>IF(CV9&gt;0,CV9,"")</f>
        <v/>
      </c>
      <c r="DE9" s="15" t="str">
        <f>IF(SUM(CO9:CR9)-CS9&gt;0,SUM(CO9:CR9)-CS9,"")</f>
        <v/>
      </c>
      <c r="DF9" s="15" t="str">
        <f>IF(SUM(CT9:CW9)-CX9&gt;0,SUM(CT9:CW9)-CX9,"")</f>
        <v/>
      </c>
      <c r="DG9" s="15" t="str">
        <f>IF(SUM(DE9:DF9)&gt;0,SUM(DE9:DF9),"")</f>
        <v/>
      </c>
      <c r="DH9" s="15" t="str">
        <f>IF(DA9&gt;0,DA9,"")</f>
        <v/>
      </c>
      <c r="DI9" s="15" t="str">
        <f>IF(SUM(CY9:DB9)-DC9&gt;0,SUM(CY9:DB9)-DC9,"")</f>
        <v/>
      </c>
      <c r="DJ9" s="15" t="str">
        <f>IF(SUM(DG9,DI9)&gt;0,SUM(DG9,DI9),"")</f>
        <v/>
      </c>
      <c r="DK9" s="36">
        <v>14.5</v>
      </c>
      <c r="DL9" s="36">
        <v>9.1</v>
      </c>
      <c r="DM9" s="36">
        <v>0</v>
      </c>
      <c r="DN9" s="36">
        <v>15.035</v>
      </c>
      <c r="DO9" s="36">
        <v>0</v>
      </c>
      <c r="DP9" s="36">
        <v>0</v>
      </c>
      <c r="DQ9" s="36">
        <v>0</v>
      </c>
      <c r="DR9" s="36">
        <v>0</v>
      </c>
      <c r="DS9" s="36">
        <v>0</v>
      </c>
      <c r="DT9" s="36">
        <v>0</v>
      </c>
      <c r="DU9" s="36"/>
      <c r="DV9" s="36"/>
      <c r="DW9" s="36"/>
      <c r="DX9" s="36"/>
      <c r="DY9" s="36"/>
      <c r="DZ9" s="12" t="str">
        <f>IF(DR9&gt;0,DR9,"")</f>
        <v/>
      </c>
      <c r="EA9" s="12">
        <f>IF(SUM(DK9:DN9)-DO9&gt;0,SUM(DK9:DN9)-DO9,"")</f>
        <v>38.635000000000005</v>
      </c>
      <c r="EB9" s="12" t="str">
        <f>IF(SUM(DP9:DS9)-DT9&gt;0,SUM(DP9:DS9)-DT9,"")</f>
        <v/>
      </c>
      <c r="EC9" s="12">
        <f>IF(SUM(EA9:EB9)&gt;0,SUM(EA9:EB9),"")</f>
        <v>38.635000000000005</v>
      </c>
      <c r="ED9" s="12" t="str">
        <f>IF(DW9&gt;0,DW9,"")</f>
        <v/>
      </c>
      <c r="EE9" s="12" t="str">
        <f>IF(SUM(DU9:DX9)-DY9&gt;0,SUM(DU9:DX9)-DY9,"")</f>
        <v/>
      </c>
      <c r="EF9" s="12">
        <f>IF(SUM(EC9,EE9)&gt;0,SUM(EC9,EE9),"")</f>
        <v>38.635000000000005</v>
      </c>
      <c r="EG9" s="37">
        <v>16.5</v>
      </c>
      <c r="EH9" s="37">
        <v>9.3000000000000007</v>
      </c>
      <c r="EI9" s="37">
        <v>0</v>
      </c>
      <c r="EJ9" s="37">
        <v>14.47</v>
      </c>
      <c r="EK9" s="37">
        <v>0</v>
      </c>
      <c r="EL9" s="37">
        <v>15.6</v>
      </c>
      <c r="EM9" s="37">
        <v>9.6999999999999993</v>
      </c>
      <c r="EN9" s="37">
        <v>9.5</v>
      </c>
      <c r="EO9" s="37">
        <v>14.074999999999999</v>
      </c>
      <c r="EP9" s="37">
        <v>0</v>
      </c>
      <c r="EQ9" s="37"/>
      <c r="ER9" s="37"/>
      <c r="ES9" s="37"/>
      <c r="ET9" s="37"/>
      <c r="EU9" s="37"/>
      <c r="EV9" s="15">
        <f>IF(EN9&gt;0,EN9,"")</f>
        <v>9.5</v>
      </c>
      <c r="EW9" s="15">
        <f>IF(SUM(EG9:EJ9)-EK9&gt;0,SUM(EG9:EJ9)-EK9,"")</f>
        <v>40.270000000000003</v>
      </c>
      <c r="EX9" s="15">
        <f>IF(SUM(EL9:EO9)-EP9&gt;0,SUM(EL9:EO9)-EP9,"")</f>
        <v>48.875</v>
      </c>
      <c r="EY9" s="15">
        <f>IF(SUM(EW9:EX9)&gt;0,SUM(EW9:EX9),"")</f>
        <v>89.14500000000001</v>
      </c>
      <c r="EZ9" s="15" t="str">
        <f>IF(ES9&gt;0,ES9,"")</f>
        <v/>
      </c>
      <c r="FA9" s="15" t="str">
        <f>IF(SUM(EQ9:ET9)-EU9&gt;0,SUM(EQ9:ET9)-EU9,"")</f>
        <v/>
      </c>
      <c r="FB9" s="15">
        <f>IF(SUM(EY9,FA9)&gt;0,SUM(EY9,FA9),"")</f>
        <v>89.14500000000001</v>
      </c>
      <c r="FC9" s="36"/>
      <c r="FD9" s="36"/>
      <c r="FE9" s="36"/>
      <c r="FF9" s="36"/>
      <c r="FG9" s="36"/>
      <c r="FH9" s="36"/>
      <c r="FI9" s="36"/>
      <c r="FJ9" s="36"/>
      <c r="FK9" s="36"/>
      <c r="FL9" s="36"/>
      <c r="FM9" s="36"/>
      <c r="FN9" s="36"/>
      <c r="FO9" s="36"/>
      <c r="FP9" s="36"/>
      <c r="FQ9" s="36"/>
      <c r="FR9" s="12" t="str">
        <f>IF(FJ9&gt;0,FJ9,"")</f>
        <v/>
      </c>
      <c r="FS9" s="12" t="str">
        <f>IF(SUM(FC9:FF9)-FG9&gt;0,SUM(FC9:FF9)-FG9,"")</f>
        <v/>
      </c>
      <c r="FT9" s="12" t="str">
        <f>IF(SUM(FH9:FK9)-FL9&gt;0,SUM(FH9:FK9)-FL9,"")</f>
        <v/>
      </c>
      <c r="FU9" s="12" t="str">
        <f>IF(SUM(FS9:FT9)&gt;0,SUM(FS9:FT9),"")</f>
        <v/>
      </c>
      <c r="FV9" s="12" t="str">
        <f>IF(FO9&gt;0,FO9,"")</f>
        <v/>
      </c>
      <c r="FW9" s="12" t="str">
        <f>IF(SUM(FM9:FP9)-FQ9&gt;0,SUM(FM9:FP9)-FQ9,"")</f>
        <v/>
      </c>
      <c r="FX9" s="12" t="str">
        <f>IF(SUM(FU9,FW9)&gt;0,SUM(FU9,FW9),"")</f>
        <v/>
      </c>
      <c r="FY9" s="37"/>
      <c r="FZ9" s="37"/>
      <c r="GA9" s="37"/>
      <c r="GB9" s="37"/>
      <c r="GC9" s="37"/>
      <c r="GD9" s="37"/>
      <c r="GE9" s="37"/>
      <c r="GF9" s="37"/>
      <c r="GG9" s="37"/>
      <c r="GH9" s="37"/>
      <c r="GI9" s="37"/>
      <c r="GJ9" s="37"/>
      <c r="GK9" s="37"/>
      <c r="GL9" s="37"/>
      <c r="GM9" s="37"/>
      <c r="GN9" s="15" t="str">
        <f>IF(GF9&gt;0,GF9,"")</f>
        <v/>
      </c>
      <c r="GO9" s="15" t="str">
        <f>IF(SUM(FY9:GB9)-GC9&gt;0,SUM(FY9:GB9)-GC9,"")</f>
        <v/>
      </c>
      <c r="GP9" s="15" t="str">
        <f>IF(SUM(GD9:GG9)-GH9&gt;0,SUM(GD9:GG9)-GH9,"")</f>
        <v/>
      </c>
      <c r="GQ9" s="15" t="str">
        <f>IF(SUM(GO9:GP9)&gt;0,SUM(GO9:GP9),"")</f>
        <v/>
      </c>
      <c r="GR9" s="15" t="str">
        <f>IF(GK9&gt;0,GK9,"")</f>
        <v/>
      </c>
      <c r="GS9" s="15" t="str">
        <f>IF(SUM(GI9:GL9)-GM9&gt;0,SUM(GI9:GL9)-GM9,"")</f>
        <v/>
      </c>
      <c r="GT9" s="15" t="str">
        <f>IF(SUM(GQ9,GS9)&gt;0,SUM(GQ9,GS9),"")</f>
        <v/>
      </c>
      <c r="GU9" s="36"/>
      <c r="GV9" s="36"/>
      <c r="GW9" s="36"/>
      <c r="GX9" s="36"/>
      <c r="GY9" s="36"/>
      <c r="GZ9" s="36"/>
      <c r="HA9" s="36"/>
      <c r="HB9" s="36"/>
      <c r="HC9" s="36"/>
      <c r="HD9" s="36"/>
      <c r="HE9" s="36"/>
      <c r="HF9" s="36"/>
      <c r="HG9" s="36"/>
      <c r="HH9" s="36"/>
      <c r="HI9" s="36"/>
      <c r="HJ9" s="12" t="str">
        <f>IF(HB9&gt;0,HB9,"")</f>
        <v/>
      </c>
      <c r="HK9" s="12" t="str">
        <f>IF(SUM(GU9:GX9)-GY9&gt;0,SUM(GU9:GX9)-GY9,"")</f>
        <v/>
      </c>
      <c r="HL9" s="12" t="str">
        <f>IF(SUM(GZ9:HC9)-HD9&gt;0,SUM(GZ9:HC9)-HD9,"")</f>
        <v/>
      </c>
      <c r="HM9" s="12" t="str">
        <f>IF(SUM(HK9:HL9)&gt;0,SUM(HK9:HL9),"")</f>
        <v/>
      </c>
      <c r="HN9" s="12" t="str">
        <f>IF(HG9&gt;0,HG9,"")</f>
        <v/>
      </c>
      <c r="HO9" s="12" t="str">
        <f>IF(SUM(HE9:HH9)-HI9&gt;0,SUM(HE9:HH9)-HI9,"")</f>
        <v/>
      </c>
      <c r="HP9" s="12" t="str">
        <f>IF(SUM(HM9,HO9)&gt;0,SUM(HM9,HO9),"")</f>
        <v/>
      </c>
      <c r="HQ9" s="37"/>
      <c r="HR9" s="37"/>
      <c r="HS9" s="37"/>
      <c r="HT9" s="37"/>
      <c r="HU9" s="37"/>
      <c r="HV9" s="37"/>
      <c r="HW9" s="37"/>
      <c r="HX9" s="37"/>
      <c r="HY9" s="37"/>
      <c r="HZ9" s="37"/>
      <c r="IA9" s="37"/>
      <c r="IB9" s="37"/>
      <c r="IC9" s="37"/>
      <c r="ID9" s="37"/>
      <c r="IE9" s="37"/>
      <c r="IF9" s="15" t="str">
        <f>IF(HX9&gt;0,HX9,"")</f>
        <v/>
      </c>
      <c r="IG9" s="15" t="str">
        <f>IF(SUM(HQ9:HT9)-HU9&gt;0,SUM(HQ9:HT9)-HU9,"")</f>
        <v/>
      </c>
      <c r="IH9" s="15" t="str">
        <f>IF(SUM(HV9:HY9)-HZ9&gt;0,SUM(HV9:HY9)-HZ9,"")</f>
        <v/>
      </c>
      <c r="II9" s="15" t="str">
        <f>IF(SUM(IG9:IH9)&gt;0,SUM(IG9:IH9),"")</f>
        <v/>
      </c>
      <c r="IJ9" s="15" t="str">
        <f>IF(IC9&gt;0,IC9,"")</f>
        <v/>
      </c>
      <c r="IK9" s="15" t="str">
        <f>IF(SUM(IA9:ID9)-IE9&gt;0,SUM(IA9:ID9)-IE9,"")</f>
        <v/>
      </c>
      <c r="IL9" s="15" t="str">
        <f>IF(SUM(II9,IK9)&gt;0,SUM(II9,IK9),"")</f>
        <v/>
      </c>
      <c r="IM9" s="36"/>
      <c r="IN9" s="36"/>
      <c r="IO9" s="36"/>
      <c r="IP9" s="36"/>
      <c r="IQ9" s="36"/>
      <c r="IR9" s="36"/>
      <c r="IS9" s="36"/>
      <c r="IT9" s="36"/>
      <c r="IU9" s="36"/>
      <c r="IV9" s="36"/>
      <c r="IW9" s="36"/>
      <c r="IX9" s="36"/>
      <c r="IY9" s="36"/>
      <c r="IZ9" s="36"/>
      <c r="JA9" s="36"/>
      <c r="JB9" s="12" t="str">
        <f>IF(IT9&gt;0,IT9,"")</f>
        <v/>
      </c>
      <c r="JC9" s="12" t="str">
        <f>IF(SUM(IM9:IP9)-IQ9&gt;0,SUM(IM9:IP9)-IQ9,"")</f>
        <v/>
      </c>
      <c r="JD9" s="12" t="str">
        <f>IF(SUM(IR9:IU9)-IV9&gt;0,SUM(IR9:IU9)-IV9,"")</f>
        <v/>
      </c>
      <c r="JE9" s="12" t="str">
        <f>IF(SUM(JC9:JD9)&gt;0,SUM(JC9:JD9),"")</f>
        <v/>
      </c>
      <c r="JF9" s="12" t="str">
        <f>IF(IY9&gt;0,IY9,"")</f>
        <v/>
      </c>
      <c r="JG9" s="12" t="str">
        <f>IF(SUM(IW9:IZ9)-JA9&gt;0,SUM(IW9:IZ9)-JA9,"")</f>
        <v/>
      </c>
      <c r="JH9" s="12" t="str">
        <f>IF(SUM(JE9,JG9)&gt;0,SUM(JE9,JG9),"")</f>
        <v/>
      </c>
      <c r="JI9" s="37"/>
      <c r="JJ9" s="37"/>
      <c r="JK9" s="37"/>
      <c r="JL9" s="37"/>
      <c r="JM9" s="37"/>
      <c r="JN9" s="37"/>
      <c r="JO9" s="37"/>
      <c r="JP9" s="37"/>
      <c r="JQ9" s="37"/>
      <c r="JR9" s="37"/>
      <c r="JS9" s="37"/>
      <c r="JT9" s="37"/>
      <c r="JU9" s="37"/>
      <c r="JV9" s="37"/>
      <c r="JW9" s="37"/>
      <c r="JX9" s="15" t="str">
        <f>IF(JP9&gt;0,JP9,"")</f>
        <v/>
      </c>
      <c r="JY9" s="15" t="str">
        <f>IF(SUM(JI9:JL9)-JM9&gt;0,SUM(JI9:JL9)-JM9,"")</f>
        <v/>
      </c>
      <c r="JZ9" s="15" t="str">
        <f>IF(SUM(JN9:JQ9)-JR9&gt;0,SUM(JN9:JQ9)-JR9,"")</f>
        <v/>
      </c>
      <c r="KA9" s="15" t="str">
        <f>IF(SUM(JY9:JZ9)&gt;0,SUM(JY9:JZ9),"")</f>
        <v/>
      </c>
      <c r="KB9" s="15" t="str">
        <f>IF(JU9&gt;0,JU9,"")</f>
        <v/>
      </c>
      <c r="KC9" s="15" t="str">
        <f>IF(SUM(JS9:JV9)-JW9&gt;0,SUM(JS9:JV9)-JW9,"")</f>
        <v/>
      </c>
      <c r="KD9" s="15" t="str">
        <f>IF(SUM(KA9,KC9)&gt;0,SUM(KA9,KC9),"")</f>
        <v/>
      </c>
      <c r="KE9" s="36"/>
      <c r="KF9" s="36"/>
      <c r="KG9" s="36"/>
      <c r="KH9" s="36"/>
      <c r="KI9" s="36"/>
      <c r="KJ9" s="36"/>
      <c r="KK9" s="36"/>
      <c r="KL9" s="36"/>
      <c r="KM9" s="36"/>
      <c r="KN9" s="36"/>
      <c r="KO9" s="36"/>
      <c r="KP9" s="36"/>
      <c r="KQ9" s="36"/>
      <c r="KR9" s="36"/>
      <c r="KS9" s="36"/>
      <c r="KT9" s="12" t="str">
        <f>IF(KL9&gt;0,KL9,"")</f>
        <v/>
      </c>
      <c r="KU9" s="12" t="str">
        <f>IF(SUM(KE9:KH9)-KI9&gt;0,SUM(KE9:KH9)-KI9,"")</f>
        <v/>
      </c>
      <c r="KV9" s="12" t="str">
        <f>IF(SUM(KJ9:KM9)-KN9&gt;0,SUM(KJ9:KM9)-KN9,"")</f>
        <v/>
      </c>
      <c r="KW9" s="12" t="str">
        <f>IF(SUM(KU9:KV9)&gt;0,SUM(KU9:KV9),"")</f>
        <v/>
      </c>
      <c r="KX9" s="12" t="str">
        <f>IF(KQ9&gt;0,KQ9,"")</f>
        <v/>
      </c>
      <c r="KY9" s="12" t="str">
        <f>IF(SUM(KO9:KR9)-KS9&gt;0,SUM(KO9:KR9)-KS9,"")</f>
        <v/>
      </c>
      <c r="KZ9" s="12" t="str">
        <f>IF(SUM(KW9,KY9)&gt;0,SUM(KW9,KY9),"")</f>
        <v/>
      </c>
      <c r="LA9" s="37"/>
      <c r="LB9" s="37"/>
      <c r="LC9" s="37"/>
      <c r="LD9" s="37"/>
      <c r="LE9" s="37"/>
      <c r="LF9" s="37"/>
      <c r="LG9" s="37"/>
      <c r="LH9" s="37"/>
      <c r="LI9" s="37"/>
      <c r="LJ9" s="37"/>
      <c r="LK9" s="37"/>
      <c r="LL9" s="37"/>
      <c r="LM9" s="37"/>
      <c r="LN9" s="37"/>
      <c r="LO9" s="37"/>
      <c r="LP9" s="15" t="str">
        <f>IF(LH9&gt;0,LH9,"")</f>
        <v/>
      </c>
      <c r="LQ9" s="15" t="str">
        <f>IF(SUM(LA9:LD9)-LE9&gt;0,SUM(LA9:LD9)-LE9,"")</f>
        <v/>
      </c>
      <c r="LR9" s="15" t="str">
        <f>IF(SUM(LF9:LI9)-LJ9&gt;0,SUM(LF9:LI9)-LJ9,"")</f>
        <v/>
      </c>
      <c r="LS9" s="15" t="str">
        <f>IF(SUM(LQ9:LR9)&gt;0,SUM(LQ9:LR9),"")</f>
        <v/>
      </c>
      <c r="LT9" s="15" t="str">
        <f>IF(LM9&gt;0,LM9,"")</f>
        <v/>
      </c>
      <c r="LU9" s="15" t="str">
        <f>IF(SUM(LK9:LN9)-LO9&gt;0,SUM(LK9:LN9)-LO9,"")</f>
        <v/>
      </c>
      <c r="LV9" s="15" t="str">
        <f>IF(SUM(LS9,LU9)&gt;0,SUM(LS9,LU9),"")</f>
        <v/>
      </c>
      <c r="LW9" s="63">
        <f t="shared" si="7"/>
        <v>8.4499999999999993</v>
      </c>
      <c r="LX9" s="63">
        <f t="shared" si="8"/>
        <v>4.8</v>
      </c>
      <c r="LY9" s="63">
        <f t="shared" si="9"/>
        <v>1.55</v>
      </c>
      <c r="LZ9" s="63">
        <f t="shared" si="10"/>
        <v>7.2575000000000003</v>
      </c>
      <c r="MA9" s="63">
        <f t="shared" si="11"/>
        <v>0</v>
      </c>
      <c r="MB9" s="63">
        <f t="shared" si="12"/>
        <v>7.85</v>
      </c>
      <c r="MC9" s="63">
        <f t="shared" si="13"/>
        <v>4.5750000000000002</v>
      </c>
      <c r="MD9" s="63">
        <f t="shared" si="14"/>
        <v>4.55</v>
      </c>
      <c r="ME9" s="63">
        <f t="shared" si="15"/>
        <v>7.01</v>
      </c>
      <c r="MF9" s="63">
        <f t="shared" si="16"/>
        <v>0</v>
      </c>
      <c r="MG9" s="63">
        <f t="shared" si="17"/>
        <v>8.4499999999999993</v>
      </c>
      <c r="MH9" s="63">
        <f t="shared" si="18"/>
        <v>4.375</v>
      </c>
      <c r="MI9" s="63">
        <f t="shared" si="19"/>
        <v>4.8499999999999996</v>
      </c>
      <c r="MJ9" s="63">
        <f t="shared" si="20"/>
        <v>7.0650000000000004</v>
      </c>
      <c r="MK9" s="63">
        <f t="shared" si="21"/>
        <v>0</v>
      </c>
      <c r="ML9" s="74" t="s">
        <v>119</v>
      </c>
      <c r="MM9" s="12">
        <f t="shared" si="22"/>
        <v>4.55</v>
      </c>
      <c r="MN9" s="12">
        <f t="shared" si="23"/>
        <v>22.057500000000001</v>
      </c>
      <c r="MO9" s="12">
        <f t="shared" si="24"/>
        <v>23.984999999999999</v>
      </c>
      <c r="MP9" s="12">
        <f t="shared" si="25"/>
        <v>46.042500000000004</v>
      </c>
      <c r="MQ9" s="12">
        <f t="shared" si="26"/>
        <v>4.8499999999999996</v>
      </c>
      <c r="MR9" s="12">
        <f t="shared" si="27"/>
        <v>24.74</v>
      </c>
      <c r="MS9" s="12">
        <f t="shared" si="28"/>
        <v>70.782499999999999</v>
      </c>
    </row>
    <row r="10" spans="1:357" x14ac:dyDescent="0.2">
      <c r="A10" s="6" t="str">
        <f>IF(AND(F10="P",H10="P"),SUMPRODUCT((F$4:F$16="P")*(H$4:H$16="P")*(E$4:E$16&gt;E10))+1,IF(H10="P",SUMPRODUCT((F$4:F$16="")*(H$4:H$16="P")*(E$4:E$16&gt;E10))+1+SUMPRODUCT((F$4:F$16="P")*(H$4:H$16="P")),""))</f>
        <v/>
      </c>
      <c r="B10" s="9" t="s">
        <v>100</v>
      </c>
      <c r="C10" s="5" t="s">
        <v>6</v>
      </c>
      <c r="D10" s="27">
        <v>2002</v>
      </c>
      <c r="E10" s="16">
        <f>SUM(J10:R10)</f>
        <v>183.27500000000001</v>
      </c>
      <c r="F10" s="4" t="str">
        <f>IF(OR(AND($AK10&gt;=$AL$18,NOT($AK10=""),$AJ10=""),AND($BH10&gt;=$BI$18,NOT($BH10=""),$BG10=""),AND($CH10&gt;=$CI$18,NOT($CH10="")),AND($DD10&gt;=$DE$18,NOT($DD10="")),AND($DZ10&gt;=$EA$18,NOT($DZ10="")),AND($EV10&gt;=$EW$18,NOT($EV10="")),AND($FR10&gt;=$FS$18,NOT($FR10="")),AND($GN10&gt;=$GO$18,NOT($GN10="")),AND($HJ10&gt;=$HK$18,NOT($HJ10="")),AND($IF10&gt;=$IG$18,NOT($IF10="")),AND($JB10&gt;=$JC$18,NOT($JB10="")),AND($JX10&gt;=$JY$18,NOT($JX10="")),AND($KT10&gt;=$KU$18,NOT($KT10="")),AND($LP10&gt;=$LQ$18,NOT($LP10=""))),"P","")</f>
        <v/>
      </c>
      <c r="G10" s="4" t="str">
        <f>IF(OR(AND($AK10&gt;=$AL$19,NOT($AK10=""),$AJ10=""),AND($BH10&gt;=$BI$19,NOT($BH10=""),$BG10=""),AND($CH10&gt;=$CI$19,NOT($CH10="")),AND($DD10&gt;=$DE$19,NOT($DD10="")),AND($DZ10&gt;=$EA$19,NOT($DZ10="")),AND($EV10&gt;=$EW$19,NOT($EV10="")),AND($FR10&gt;=$FS$19,NOT($FR10="")),AND($GN10&gt;=$GO$19,NOT($GN10="")),AND($HJ10&gt;=$HK$19,NOT($HJ10="")),AND($IF10&gt;=$IG$19,NOT($IF10="")),AND($JB10&gt;=$JC$19,NOT($JB10="")),AND($JX10&gt;=$JY$19,NOT($JX10="")),AND($KT10&gt;=$KU$19,NOT($KT10="")),AND($LP10&gt;=$LQ$19,NOT($LP10=""))),"P","")</f>
        <v/>
      </c>
      <c r="H10" s="4" t="str">
        <f>IF(OR(AND($AN10&gt;=$AL$20,NOT($AN10=""),$AJ10=""),AND($BK10&gt;=$BI$20,NOT($BK10=""),$BG10=""),AND($CK10&gt;=$CI$20,NOT($CK10="")),AND($DG10&gt;=$DE$20,NOT($DG10="")),AND($EC10&gt;=$EA$20,NOT($EC10="")),AND($EY10&gt;=$EW$20,NOT($EY10="")),AND($FU10&gt;=$FS$20,NOT($FU10="")),AND($GQ10&gt;=$GO$20,NOT($GQ10="")),AND($HM10&gt;=$HK$20,NOT($HM10="")),AND($II10&gt;=$IG$20,NOT($II10="")),AND($JE10&gt;=$JC$20,NOT($JE10="")),AND($KA10&gt;=$JY$20,NOT($KA10="")),AND($KW10&gt;=$KU$20,NOT($KW10="")),AND($LS10&gt;=$LQ$20,NOT($LS10=""))),"P","")</f>
        <v/>
      </c>
      <c r="I10" t="str">
        <f>IF(AND(H10="P",F10=""),"No DD",IF(AND(G10="P",OR(AND($AM10&gt;$AL$23,NOT($AM10=""),$AJ10=""),AND($AP10&gt;$AL$23,NOT($AP10=""),$AJ10=""),AND($BJ10&gt;$BI$23,NOT($BJ10=""),$BG10=""),AND($BM10&gt;$BI$23,NOT($BM10=""),$BG10=""),AND($CJ10&gt;$CI$23,NOT($CJ10="")),AND($CM10&gt;$CI$23,NOT($CM10="")),AND($DF10&gt;$DE$23,NOT($DF10="")),AND($DI10&gt;$DE$23,NOT($DI10="")),AND($EB10&gt;$EA$23,NOT($EB10="")),AND($EE10&gt;$EA$23,NOT($EE10="")),AND($EX10&gt;$EW$23,NOT($EX10="")),AND($FA10&gt;$EW$23,NOT($FA10="")),AND($FT10&gt;$FS$23,NOT($FT10="")),AND($FW10&gt;$FS$23,NOT($FW10="")),AND($GP10&gt;$GO$23,NOT($GP10="")),AND($GS10&gt;$GO$23,NOT($GS10="")),AND($HL10&gt;$HK$23,NOT($HL10="")),AND($HO10&gt;$HK$23,NOT($HO10="")),AND($IH10&gt;$IG$23,NOT($IH10="")),AND($IK10&gt;$IG$23,NOT($IK10="")),AND($JD10&gt;$JC$23,NOT($JD10="")),AND($JG10&gt;$JC$23,NOT($JG10="")),AND($JZ10&gt;$JY$23,NOT($JZ10="")),AND($KC10&gt;$JY$23,NOT($KC10="")),AND($KV10&gt;$KU$23,NOT($KV10="")),AND($KY10&gt;$KU$23,NOT($KY10="")),AND($LR10&gt;$LQ$23,NOT($LR10="")),AND($LU10&gt;$LQ$23,NOT($LU10="")))),"Merit",IF(AND(G10="P",OR(AND($AN10&gt;$AL$22,NOT($AN10=""),$AJ10=""),AND($BK10&gt;$BI$22,NOT($BK10=""),$BG10=""),AND($CK10&gt;$CI$22,NOT($CK10="")),AND($DG10&gt;$DE$22,NOT($DG10="")),AND($EC10&gt;$EA$22,NOT($EC10="")),AND($EY10&gt;$EW$22,NOT($EY10="")),AND($FU10&gt;$FS$22,NOT($FU10="")),AND($GQ10&gt;$GO$22,NOT($GQ10="")),AND($HM10&gt;$HK$22,NOT($HM10="")),AND($II10&gt;$IG$22,NOT($II10="")),AND($JE10&gt;$JC$22,NOT($JE10="")),AND($KA10&gt;$JY$22,NOT($KA10="")),AND($KW10&gt;$KU$22,NOT($KW10="")),AND($LS10&gt;$LQ$22,NOT($LS10="")))),"Excellence",IF(AND(G10="P",OR(AND($AN10&gt;$AL$21,NOT($AN10=""),$AJ10=""),AND($BK10&gt;$BI$21,NOT($BK10=""),$BG10=""),AND($CK10&gt;$CI$21,NOT($CK10="")),AND($DG10&gt;$DE$21,NOT($DG10="")),AND($EC10&gt;$EA$21,NOT($EC10="")),AND($EY10&gt;$EW$21,NOT($EY10="")),AND($FU10&gt;$FS$21,NOT($FU10="")),AND($GQ10&gt;$GO$21,NOT($GQ10="")),AND($HM10&gt;$HK$21,NOT($HM10="")),AND($II10&gt;$IG$21,NOT($II10="")),AND($JE10&gt;$JC$21,NOT($JE10="")),AND($KA10&gt;$JY$21,NOT($KA10="")),AND($KW10&gt;$KU$21,NOT($KW10="")),AND($LS10&gt;$LQ$21,NOT($LS10="")))),"Worlds Team",IF(AND(F10="P",OR(AND($AN10&gt;$AL$20,NOT($AN10=""),$AJ10=""),AND($BK10&gt;$BI$20,NOT($BK10=""),$BG10=""),AND($CK10&gt;$CI$20,NOT($CK10="")),AND($DG10&gt;$DE$20,NOT($DG10="")),AND($EC10&gt;$EA$20,NOT($EC10="")),AND($EY10&gt;$EW$20,NOT($EY10="")),AND($FU10&gt;$FS$20,NOT($FU10="")),AND($GQ10&gt;$GO$20,NOT($GQ10="")),AND($HM10&gt;$HK$20,NOT($HM10="")),AND($II10&gt;$IG$20,NOT($II10="")),AND($JE10&gt;$JC$20,NOT($JE10="")),AND($KA10&gt;$JY$20,NOT($KA10="")),AND($KW10&gt;$KU$20,NOT($KW10="")),AND($LS10&gt;$LQ$20,NOT($LS10="")))),"National Team","")))))</f>
        <v/>
      </c>
      <c r="J10" s="15">
        <f>IF(MAX(AN10,BK10)&gt;0,MAX(AN10,BK10),"")</f>
        <v>86.56</v>
      </c>
      <c r="K10" s="15" t="str">
        <f>IF(J10="","",IF(J10=BK10,$AR$1,IF(J10=AN10,$U$1,"")))</f>
        <v>2018 Nationals</v>
      </c>
      <c r="L10" s="15" t="str">
        <f>IF($J10=$AN10,BI10,IF($J10=$BK10,AL10,MAX(AL10,BI10)))</f>
        <v/>
      </c>
      <c r="M10" s="15" t="str">
        <f>IF(L10="","",IF(L10=BI10,$AR$1,IF(L10=AL10,$U$1,"")))</f>
        <v/>
      </c>
      <c r="N10" s="15" t="str">
        <f>IF($J10=$AN10,BJ10,IF($J10=$BK10,AM10,MAX(AM10,BJ10)))</f>
        <v/>
      </c>
      <c r="O10" s="15" t="str">
        <f>IF(N10="","",IF(AND(N10=BJ10,$K10&lt;&gt;$AR$1),$AR$1,IF(AND(N10=AM10,$K10&lt;&gt;$U$1),$U$1,"")))</f>
        <v/>
      </c>
      <c r="P10" s="15">
        <f>IF(MAX(AP10,BM10)&gt;0,MAX(AP10,BM10),"")</f>
        <v>48.81</v>
      </c>
      <c r="Q10" s="15" t="str">
        <f>IF(P10="","",IF(P10=BM10,$AR$1,IF(P10=AP10,$U$1,"")))</f>
        <v>2018 Nationals</v>
      </c>
      <c r="R10" s="15">
        <f>IF(MAX(BO10,BP10,BQ10,BR10)&gt;0,MAX(BO10,BP10,BQ10,BR10),"")</f>
        <v>47.905000000000001</v>
      </c>
      <c r="S10" s="25" t="str">
        <f>IF(R10="","",IF(R10=BO10,"(Vol 1)",IF(R10=BP10,"(Vol 2)",IF(R10=BQ10,"(Prelim)",IF(R10=BR10,"(Final)")))))</f>
        <v>(Vol 2)</v>
      </c>
      <c r="T10" s="15" t="str">
        <f>IF(R10="","",IF(R10=BO10,IF(R10+IF(L10="",0,L10)=LQ10,$LA$1,IF(R10+IF(L10="",0,L10)=KU10,$KE$1,IF(R10+IF(L10="",0,L10)=JY10,$JI$1,IF(R10+IF(L10="",0,L10)=JC10,$IM$1,IF(R10+IF(L10="",0,L10)=IG10,$HQ$1,IF(R10+IF(L10="",0,L10)=HK10,$GU$1,IF(R10+IF(L10="",0,L10)=GO10,$FY$1,IF(R10+IF(L10="",0,L10)=FS10,$FC$1,IF(R10+IF(L10="",0,L10)=EW10,$EG$1,IF(R10+IF(L10="",0,L10)=EA10,$DK$1,IF(R10+IF(L10="",0,L10)=DE10,$CO$1,IF(R10+IF(L10="",0,L10)=CI10,$BS$1)))))))))))),IF(R10=BP10,IF(R10+IF(N10="",0,N10)=LR10,$LA$1,IF(R10+IF(N10="",0,N10)=KV10,$KE$1,IF(R10+IF(N10="",0,N10)=JZ10,$JI$1,IF(R10+IF(N10="",0,N10)=JD10,$IM$1,IF(R10+IF(N10="",0,N10)=IH10,$HQ$1,IF(R10+IF(N10="",0,N10)=HL10,$GU$1,IF(R10+IF(N10="",0,N10)=GP10,$FY$1,IF(R10+IF(N10="",0,N10)=FT10,$FC$1,IF(R10+IF(N10="",0,N10)=EX10,$EG$1,IF(R10+IF(N10="",0,N10)=EB10,$DK$1,IF(R10+IF(N10="",0,N10)=DF10,$CO$1,IF(R10+IF(N10="",0,N10)=CJ10,$BS$1)))))))))))),IF(R10=BQ10,IF(R10+IF(J10="",0,J10)=LS10,$LA$1,IF(R10+IF(J10="",0,J10)=KW10,$KE$1,IF(R10+IF(J10="",0,J10)=KA10,$JI$1,IF(R10+IF(J10="",0,J10)=JE10,$IM$1,IF(R10+IF(J10="",0,J10)=II10,$HQ$1,IF(R10+IF(J10="",0,J10)=HM10,$GU$1,IF(R10+IF(J10="",0,J10)=GQ10,$FY$1,IF(R10+IF(J10="",0,J10)=FU10,$FC$1,IF(R10+IF(J10="",0,J10)=EY10,$EG$1,IF(R10+IF(J10="",0,J10)=EC10,$DK$1,IF(R10+IF(J10="",0,J10)=DG10,$CO$1,IF(R10+IF(J10="",0,J10)=CK10,$BS$1)))))))))))),IF(R10=BR10,IF(R10+IF(P10="",0,P10)=LU10,$LA$1,IF(R10+IF(P10="",0,P10)=KY10,$KE$1,IF(R10+IF(P10="",0,P10)=KC10,$JI$1,IF(R10+IF(P10="",0,P10)=JG10,$IM$1,IF(R10+IF(P10="",0,P10)=IK10,$HQ$1,IF(R10+IF(P10="",0,P10)=HO10,$GU$1,IF(R10+IF(P10="",0,P10)=GS10,$FY$1,IF(R10+IF(P10="",0,P10)=FW10,$FC$1,IF(R10+IF(P10="",0,P10)=FA10,$EG$1,IF(R10+IF(P10="",0,P10)=EE10,$DK$1,IF(R10+IF(P10="",0,P10)=DI10,$CO$1,IF(R10+IF(P10="",0,P10)=CM10,$BS$1)))))))))))))))))</f>
        <v>2018 Junior Pan Am Championships (June 23)</v>
      </c>
      <c r="U10" s="63">
        <v>15</v>
      </c>
      <c r="V10" s="63">
        <v>8.6999999999999993</v>
      </c>
      <c r="W10" s="63">
        <v>2.4</v>
      </c>
      <c r="X10" s="63">
        <v>14.925000000000001</v>
      </c>
      <c r="Y10" s="63">
        <v>0</v>
      </c>
      <c r="Z10" s="63">
        <v>15.8</v>
      </c>
      <c r="AA10" s="63">
        <v>9.1</v>
      </c>
      <c r="AB10" s="63">
        <v>7.6</v>
      </c>
      <c r="AC10" s="63">
        <v>15.035</v>
      </c>
      <c r="AD10" s="63">
        <v>2</v>
      </c>
      <c r="AE10" s="63">
        <v>16</v>
      </c>
      <c r="AF10" s="63">
        <v>9.15</v>
      </c>
      <c r="AG10" s="63">
        <v>8</v>
      </c>
      <c r="AH10" s="63">
        <v>15.66</v>
      </c>
      <c r="AI10" s="63">
        <v>0</v>
      </c>
      <c r="AJ10" s="74"/>
      <c r="AK10" s="12">
        <f>IF(AB10&gt;0,AB10,"")</f>
        <v>7.6</v>
      </c>
      <c r="AL10" s="12">
        <f>IF(SUM(U10:X10)-Y10&gt;0,SUM(U10:X10)-Y10,"")</f>
        <v>41.024999999999999</v>
      </c>
      <c r="AM10" s="12">
        <f>IF(SUM(Z10:AC10)-AD10&gt;0,SUM(Z10:AC10)-AD10,"")</f>
        <v>45.534999999999997</v>
      </c>
      <c r="AN10" s="12">
        <f>IF(SUM(AL10:AM10)&gt;0,SUM(AL10:AM10),"")</f>
        <v>86.56</v>
      </c>
      <c r="AO10" s="12">
        <f>IF(AG10&gt;0,AG10,"")</f>
        <v>8</v>
      </c>
      <c r="AP10" s="12">
        <f>IF(SUM(AE10:AH10)-AI10&gt;0,SUM(AE10:AH10)-AI10,"")</f>
        <v>48.81</v>
      </c>
      <c r="AQ10" s="12">
        <f>IF(SUM(AN10,AP10)&gt;0,SUM(AN10,AP10),"")</f>
        <v>135.37</v>
      </c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75"/>
      <c r="BH10" s="15" t="str">
        <f>IF(AY10&gt;0,AY10,"")</f>
        <v/>
      </c>
      <c r="BI10" s="15" t="str">
        <f>IF(SUM(AR10:AU10)-AV10&gt;0,SUM(AR10:AU10)-AV10,"")</f>
        <v/>
      </c>
      <c r="BJ10" s="15" t="str">
        <f>IF(SUM(AW10:AZ10)-BA10&gt;0,SUM(AW10:AZ10)-BA10,"")</f>
        <v/>
      </c>
      <c r="BK10" s="15" t="str">
        <f>IF(SUM(BI10:BJ10)&gt;0,SUM(BI10:BJ10),"")</f>
        <v/>
      </c>
      <c r="BL10" s="15" t="str">
        <f>IF(BD10&gt;0,BD10,"")</f>
        <v/>
      </c>
      <c r="BM10" s="15" t="str">
        <f>IF(SUM(BB10:BE10)-BF10&gt;0,SUM(BB10:BE10)-BF10,"")</f>
        <v/>
      </c>
      <c r="BN10" s="15" t="str">
        <f>IF(SUM(BK10,BM10)&gt;0,SUM(BK10,BM10),"")</f>
        <v/>
      </c>
      <c r="BO10" s="24">
        <f>IF(MAX(CI10,DE10,EA10,EW10,FS10,GO10,HK10,IG10,JC10,JY10,KU10,LQ10)-IF(L10="",0,L10)&gt;0.001,MAX(CI10,DE10,EA10,EW10,FS10,GO10,HK10,IG10,JC10,JY10,KU10,LQ10)-IF(L10="",0,L10),"")</f>
        <v>38.069999999999993</v>
      </c>
      <c r="BP10" s="24">
        <f>IF(MAX(CJ10,DF10,EB10,EX10,FT10,GP10,HL10,IH10,JD10,JZ10,KV10,LR10)-IF(N10="",0,N10)&gt;0.001,MAX(CJ10,DF10,EB10,EX10,FT10,GP10,HL10,IH10,JD10,JZ10,KV10,LR10)-IF(N10="",0,N10),"")</f>
        <v>47.905000000000001</v>
      </c>
      <c r="BQ10" s="24" t="str">
        <f>IF(MAX(CK10,DG10,EC10,EY10,FU10,GQ10,HM10,II10,JE10,KA10,KW10,LS10)-IF(J10="",0,J10)&gt;0.001,MAX(CK10,DG10,EC10,EY10,FU10,GQ10,HM10,II10,JE10,KA10,KW10,LS10)-IF(J10="",0,J10),"")</f>
        <v/>
      </c>
      <c r="BR10" s="24" t="str">
        <f>IF(MAX(CM10,DI10,EE10,FA10,FW10,GS10,HO10,IK10,JG10,KC10,KY10,LU10)-IF(P10="",0,P10)&gt;0.001,MAX(CM10,DI10,EE10,FA10,FW10,GS10,HO10,IK10,JG10,KC10,KY10,LU10)-IF(P10="",0,P10),"")</f>
        <v/>
      </c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12" t="str">
        <f>IF(BZ10&gt;0,BZ10,"")</f>
        <v/>
      </c>
      <c r="CI10" s="12" t="str">
        <f>IF(SUM(BS10:BV10)-BW10&gt;0,SUM(BS10:BV10)-BW10,"")</f>
        <v/>
      </c>
      <c r="CJ10" s="12" t="str">
        <f>IF(SUM(BX10:CA10)-CB10&gt;0,SUM(BX10:CA10)-CB10,"")</f>
        <v/>
      </c>
      <c r="CK10" s="12" t="str">
        <f>IF(SUM(CI10:CJ10)&gt;0,SUM(CI10:CJ10),"")</f>
        <v/>
      </c>
      <c r="CL10" s="12" t="str">
        <f>IF(CE10&gt;0,CE10,"")</f>
        <v/>
      </c>
      <c r="CM10" s="12" t="str">
        <f>IF(SUM(CC10:CF10)-CG10&gt;0,SUM(CC10:CF10)-CG10,"")</f>
        <v/>
      </c>
      <c r="CN10" s="12" t="str">
        <f>IF(SUM(CK10,CM10)&gt;0,SUM(CK10,CM10),"")</f>
        <v/>
      </c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15" t="str">
        <f>IF(CV10&gt;0,CV10,"")</f>
        <v/>
      </c>
      <c r="DE10" s="15" t="str">
        <f>IF(SUM(CO10:CR10)-CS10&gt;0,SUM(CO10:CR10)-CS10,"")</f>
        <v/>
      </c>
      <c r="DF10" s="15" t="str">
        <f>IF(SUM(CT10:CW10)-CX10&gt;0,SUM(CT10:CW10)-CX10,"")</f>
        <v/>
      </c>
      <c r="DG10" s="15" t="str">
        <f>IF(SUM(DE10:DF10)&gt;0,SUM(DE10:DF10),"")</f>
        <v/>
      </c>
      <c r="DH10" s="15" t="str">
        <f>IF(DA10&gt;0,DA10,"")</f>
        <v/>
      </c>
      <c r="DI10" s="15" t="str">
        <f>IF(SUM(CY10:DB10)-DC10&gt;0,SUM(CY10:DB10)-DC10,"")</f>
        <v/>
      </c>
      <c r="DJ10" s="15" t="str">
        <f>IF(SUM(DG10,DI10)&gt;0,SUM(DG10,DI10),"")</f>
        <v/>
      </c>
      <c r="DK10" s="36">
        <v>17.7</v>
      </c>
      <c r="DL10" s="36">
        <v>9.1</v>
      </c>
      <c r="DM10" s="36">
        <v>0</v>
      </c>
      <c r="DN10" s="36">
        <v>15.27</v>
      </c>
      <c r="DO10" s="36">
        <v>4</v>
      </c>
      <c r="DP10" s="36">
        <v>18.100000000000001</v>
      </c>
      <c r="DQ10" s="36">
        <v>9</v>
      </c>
      <c r="DR10" s="36">
        <v>5.4</v>
      </c>
      <c r="DS10" s="36">
        <v>15.404999999999999</v>
      </c>
      <c r="DT10" s="36">
        <v>0</v>
      </c>
      <c r="DU10" s="36"/>
      <c r="DV10" s="36"/>
      <c r="DW10" s="36"/>
      <c r="DX10" s="36"/>
      <c r="DY10" s="36"/>
      <c r="DZ10" s="12">
        <f>IF(DR10&gt;0,DR10,"")</f>
        <v>5.4</v>
      </c>
      <c r="EA10" s="12">
        <f>IF(SUM(DK10:DN10)-DO10&gt;0,SUM(DK10:DN10)-DO10,"")</f>
        <v>38.069999999999993</v>
      </c>
      <c r="EB10" s="12">
        <f>IF(SUM(DP10:DS10)-DT10&gt;0,SUM(DP10:DS10)-DT10,"")</f>
        <v>47.905000000000001</v>
      </c>
      <c r="EC10" s="12">
        <f>IF(SUM(EA10:EB10)&gt;0,SUM(EA10:EB10),"")</f>
        <v>85.974999999999994</v>
      </c>
      <c r="ED10" s="12" t="str">
        <f>IF(DW10&gt;0,DW10,"")</f>
        <v/>
      </c>
      <c r="EE10" s="12" t="str">
        <f>IF(SUM(DU10:DX10)-DY10&gt;0,SUM(DU10:DX10)-DY10,"")</f>
        <v/>
      </c>
      <c r="EF10" s="12">
        <f>IF(SUM(EC10,EE10)&gt;0,SUM(EC10,EE10),"")</f>
        <v>85.974999999999994</v>
      </c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15" t="str">
        <f>IF(EN10&gt;0,EN10,"")</f>
        <v/>
      </c>
      <c r="EW10" s="15" t="str">
        <f>IF(SUM(EG10:EJ10)-EK10&gt;0,SUM(EG10:EJ10)-EK10,"")</f>
        <v/>
      </c>
      <c r="EX10" s="15" t="str">
        <f>IF(SUM(EL10:EO10)-EP10&gt;0,SUM(EL10:EO10)-EP10,"")</f>
        <v/>
      </c>
      <c r="EY10" s="15" t="str">
        <f>IF(SUM(EW10:EX10)&gt;0,SUM(EW10:EX10),"")</f>
        <v/>
      </c>
      <c r="EZ10" s="15" t="str">
        <f>IF(ES10&gt;0,ES10,"")</f>
        <v/>
      </c>
      <c r="FA10" s="15" t="str">
        <f>IF(SUM(EQ10:ET10)-EU10&gt;0,SUM(EQ10:ET10)-EU10,"")</f>
        <v/>
      </c>
      <c r="FB10" s="15" t="str">
        <f>IF(SUM(EY10,FA10)&gt;0,SUM(EY10,FA10),"")</f>
        <v/>
      </c>
      <c r="FC10" s="36"/>
      <c r="FD10" s="36"/>
      <c r="FE10" s="36"/>
      <c r="FF10" s="36"/>
      <c r="FG10" s="36"/>
      <c r="FH10" s="36"/>
      <c r="FI10" s="36"/>
      <c r="FJ10" s="36"/>
      <c r="FK10" s="36"/>
      <c r="FL10" s="36"/>
      <c r="FM10" s="36"/>
      <c r="FN10" s="36"/>
      <c r="FO10" s="36"/>
      <c r="FP10" s="36"/>
      <c r="FQ10" s="36"/>
      <c r="FR10" s="12" t="str">
        <f>IF(FJ10&gt;0,FJ10,"")</f>
        <v/>
      </c>
      <c r="FS10" s="12" t="str">
        <f>IF(SUM(FC10:FF10)-FG10&gt;0,SUM(FC10:FF10)-FG10,"")</f>
        <v/>
      </c>
      <c r="FT10" s="12" t="str">
        <f>IF(SUM(FH10:FK10)-FL10&gt;0,SUM(FH10:FK10)-FL10,"")</f>
        <v/>
      </c>
      <c r="FU10" s="12" t="str">
        <f>IF(SUM(FS10:FT10)&gt;0,SUM(FS10:FT10),"")</f>
        <v/>
      </c>
      <c r="FV10" s="12" t="str">
        <f>IF(FO10&gt;0,FO10,"")</f>
        <v/>
      </c>
      <c r="FW10" s="12" t="str">
        <f>IF(SUM(FM10:FP10)-FQ10&gt;0,SUM(FM10:FP10)-FQ10,"")</f>
        <v/>
      </c>
      <c r="FX10" s="12" t="str">
        <f>IF(SUM(FU10,FW10)&gt;0,SUM(FU10,FW10),"")</f>
        <v/>
      </c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15" t="str">
        <f>IF(GF10&gt;0,GF10,"")</f>
        <v/>
      </c>
      <c r="GO10" s="15" t="str">
        <f>IF(SUM(FY10:GB10)-GC10&gt;0,SUM(FY10:GB10)-GC10,"")</f>
        <v/>
      </c>
      <c r="GP10" s="15" t="str">
        <f>IF(SUM(GD10:GG10)-GH10&gt;0,SUM(GD10:GG10)-GH10,"")</f>
        <v/>
      </c>
      <c r="GQ10" s="15" t="str">
        <f>IF(SUM(GO10:GP10)&gt;0,SUM(GO10:GP10),"")</f>
        <v/>
      </c>
      <c r="GR10" s="15" t="str">
        <f>IF(GK10&gt;0,GK10,"")</f>
        <v/>
      </c>
      <c r="GS10" s="15" t="str">
        <f>IF(SUM(GI10:GL10)-GM10&gt;0,SUM(GI10:GL10)-GM10,"")</f>
        <v/>
      </c>
      <c r="GT10" s="15" t="str">
        <f>IF(SUM(GQ10,GS10)&gt;0,SUM(GQ10,GS10),"")</f>
        <v/>
      </c>
      <c r="GU10" s="36"/>
      <c r="GV10" s="36"/>
      <c r="GW10" s="36"/>
      <c r="GX10" s="36"/>
      <c r="GY10" s="36"/>
      <c r="GZ10" s="36"/>
      <c r="HA10" s="36"/>
      <c r="HB10" s="36"/>
      <c r="HC10" s="36"/>
      <c r="HD10" s="36"/>
      <c r="HE10" s="36"/>
      <c r="HF10" s="36"/>
      <c r="HG10" s="36"/>
      <c r="HH10" s="36"/>
      <c r="HI10" s="36"/>
      <c r="HJ10" s="12" t="str">
        <f>IF(HB10&gt;0,HB10,"")</f>
        <v/>
      </c>
      <c r="HK10" s="12" t="str">
        <f>IF(SUM(GU10:GX10)-GY10&gt;0,SUM(GU10:GX10)-GY10,"")</f>
        <v/>
      </c>
      <c r="HL10" s="12" t="str">
        <f>IF(SUM(GZ10:HC10)-HD10&gt;0,SUM(GZ10:HC10)-HD10,"")</f>
        <v/>
      </c>
      <c r="HM10" s="12" t="str">
        <f>IF(SUM(HK10:HL10)&gt;0,SUM(HK10:HL10),"")</f>
        <v/>
      </c>
      <c r="HN10" s="12" t="str">
        <f>IF(HG10&gt;0,HG10,"")</f>
        <v/>
      </c>
      <c r="HO10" s="12" t="str">
        <f>IF(SUM(HE10:HH10)-HI10&gt;0,SUM(HE10:HH10)-HI10,"")</f>
        <v/>
      </c>
      <c r="HP10" s="12" t="str">
        <f>IF(SUM(HM10,HO10)&gt;0,SUM(HM10,HO10),"")</f>
        <v/>
      </c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15" t="str">
        <f>IF(HX10&gt;0,HX10,"")</f>
        <v/>
      </c>
      <c r="IG10" s="15" t="str">
        <f>IF(SUM(HQ10:HT10)-HU10&gt;0,SUM(HQ10:HT10)-HU10,"")</f>
        <v/>
      </c>
      <c r="IH10" s="15" t="str">
        <f>IF(SUM(HV10:HY10)-HZ10&gt;0,SUM(HV10:HY10)-HZ10,"")</f>
        <v/>
      </c>
      <c r="II10" s="15" t="str">
        <f>IF(SUM(IG10:IH10)&gt;0,SUM(IG10:IH10),"")</f>
        <v/>
      </c>
      <c r="IJ10" s="15" t="str">
        <f>IF(IC10&gt;0,IC10,"")</f>
        <v/>
      </c>
      <c r="IK10" s="15" t="str">
        <f>IF(SUM(IA10:ID10)-IE10&gt;0,SUM(IA10:ID10)-IE10,"")</f>
        <v/>
      </c>
      <c r="IL10" s="15" t="str">
        <f>IF(SUM(II10,IK10)&gt;0,SUM(II10,IK10),"")</f>
        <v/>
      </c>
      <c r="IM10" s="36"/>
      <c r="IN10" s="36"/>
      <c r="IO10" s="36"/>
      <c r="IP10" s="36"/>
      <c r="IQ10" s="36"/>
      <c r="IR10" s="36"/>
      <c r="IS10" s="36"/>
      <c r="IT10" s="36"/>
      <c r="IU10" s="36"/>
      <c r="IV10" s="36"/>
      <c r="IW10" s="36"/>
      <c r="IX10" s="36"/>
      <c r="IY10" s="36"/>
      <c r="IZ10" s="36"/>
      <c r="JA10" s="36"/>
      <c r="JB10" s="12" t="str">
        <f>IF(IT10&gt;0,IT10,"")</f>
        <v/>
      </c>
      <c r="JC10" s="12" t="str">
        <f>IF(SUM(IM10:IP10)-IQ10&gt;0,SUM(IM10:IP10)-IQ10,"")</f>
        <v/>
      </c>
      <c r="JD10" s="12" t="str">
        <f>IF(SUM(IR10:IU10)-IV10&gt;0,SUM(IR10:IU10)-IV10,"")</f>
        <v/>
      </c>
      <c r="JE10" s="12" t="str">
        <f>IF(SUM(JC10:JD10)&gt;0,SUM(JC10:JD10),"")</f>
        <v/>
      </c>
      <c r="JF10" s="12" t="str">
        <f>IF(IY10&gt;0,IY10,"")</f>
        <v/>
      </c>
      <c r="JG10" s="12" t="str">
        <f>IF(SUM(IW10:IZ10)-JA10&gt;0,SUM(IW10:IZ10)-JA10,"")</f>
        <v/>
      </c>
      <c r="JH10" s="12" t="str">
        <f>IF(SUM(JE10,JG10)&gt;0,SUM(JE10,JG10),"")</f>
        <v/>
      </c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15" t="str">
        <f>IF(JP10&gt;0,JP10,"")</f>
        <v/>
      </c>
      <c r="JY10" s="15" t="str">
        <f>IF(SUM(JI10:JL10)-JM10&gt;0,SUM(JI10:JL10)-JM10,"")</f>
        <v/>
      </c>
      <c r="JZ10" s="15" t="str">
        <f>IF(SUM(JN10:JQ10)-JR10&gt;0,SUM(JN10:JQ10)-JR10,"")</f>
        <v/>
      </c>
      <c r="KA10" s="15" t="str">
        <f>IF(SUM(JY10:JZ10)&gt;0,SUM(JY10:JZ10),"")</f>
        <v/>
      </c>
      <c r="KB10" s="15" t="str">
        <f>IF(JU10&gt;0,JU10,"")</f>
        <v/>
      </c>
      <c r="KC10" s="15" t="str">
        <f>IF(SUM(JS10:JV10)-JW10&gt;0,SUM(JS10:JV10)-JW10,"")</f>
        <v/>
      </c>
      <c r="KD10" s="15" t="str">
        <f>IF(SUM(KA10,KC10)&gt;0,SUM(KA10,KC10),"")</f>
        <v/>
      </c>
      <c r="KE10" s="36"/>
      <c r="KF10" s="36"/>
      <c r="KG10" s="36"/>
      <c r="KH10" s="36"/>
      <c r="KI10" s="36"/>
      <c r="KJ10" s="36"/>
      <c r="KK10" s="36"/>
      <c r="KL10" s="36"/>
      <c r="KM10" s="36"/>
      <c r="KN10" s="36"/>
      <c r="KO10" s="36"/>
      <c r="KP10" s="36"/>
      <c r="KQ10" s="36"/>
      <c r="KR10" s="36"/>
      <c r="KS10" s="36"/>
      <c r="KT10" s="12" t="str">
        <f>IF(KL10&gt;0,KL10,"")</f>
        <v/>
      </c>
      <c r="KU10" s="12" t="str">
        <f>IF(SUM(KE10:KH10)-KI10&gt;0,SUM(KE10:KH10)-KI10,"")</f>
        <v/>
      </c>
      <c r="KV10" s="12" t="str">
        <f>IF(SUM(KJ10:KM10)-KN10&gt;0,SUM(KJ10:KM10)-KN10,"")</f>
        <v/>
      </c>
      <c r="KW10" s="12" t="str">
        <f>IF(SUM(KU10:KV10)&gt;0,SUM(KU10:KV10),"")</f>
        <v/>
      </c>
      <c r="KX10" s="12" t="str">
        <f>IF(KQ10&gt;0,KQ10,"")</f>
        <v/>
      </c>
      <c r="KY10" s="12" t="str">
        <f>IF(SUM(KO10:KR10)-KS10&gt;0,SUM(KO10:KR10)-KS10,"")</f>
        <v/>
      </c>
      <c r="KZ10" s="12" t="str">
        <f>IF(SUM(KW10,KY10)&gt;0,SUM(KW10,KY10),"")</f>
        <v/>
      </c>
      <c r="LA10" s="37"/>
      <c r="LB10" s="37"/>
      <c r="LC10" s="37"/>
      <c r="LD10" s="37"/>
      <c r="LE10" s="37"/>
      <c r="LF10" s="37"/>
      <c r="LG10" s="37"/>
      <c r="LH10" s="37"/>
      <c r="LI10" s="37"/>
      <c r="LJ10" s="37"/>
      <c r="LK10" s="37"/>
      <c r="LL10" s="37"/>
      <c r="LM10" s="37"/>
      <c r="LN10" s="37"/>
      <c r="LO10" s="37"/>
      <c r="LP10" s="15" t="str">
        <f>IF(LH10&gt;0,LH10,"")</f>
        <v/>
      </c>
      <c r="LQ10" s="15" t="str">
        <f>IF(SUM(LA10:LD10)-LE10&gt;0,SUM(LA10:LD10)-LE10,"")</f>
        <v/>
      </c>
      <c r="LR10" s="15" t="str">
        <f>IF(SUM(LF10:LI10)-LJ10&gt;0,SUM(LF10:LI10)-LJ10,"")</f>
        <v/>
      </c>
      <c r="LS10" s="15" t="str">
        <f>IF(SUM(LQ10:LR10)&gt;0,SUM(LQ10:LR10),"")</f>
        <v/>
      </c>
      <c r="LT10" s="15" t="str">
        <f>IF(LM10&gt;0,LM10,"")</f>
        <v/>
      </c>
      <c r="LU10" s="15" t="str">
        <f>IF(SUM(LK10:LN10)-LO10&gt;0,SUM(LK10:LN10)-LO10,"")</f>
        <v/>
      </c>
      <c r="LV10" s="15" t="str">
        <f>IF(SUM(LS10,LU10)&gt;0,SUM(LS10,LU10),"")</f>
        <v/>
      </c>
      <c r="LW10" s="63">
        <f t="shared" si="7"/>
        <v>7.5</v>
      </c>
      <c r="LX10" s="63">
        <f t="shared" si="8"/>
        <v>4.3499999999999996</v>
      </c>
      <c r="LY10" s="63">
        <f t="shared" si="9"/>
        <v>1.2</v>
      </c>
      <c r="LZ10" s="63">
        <f t="shared" si="10"/>
        <v>7.4625000000000004</v>
      </c>
      <c r="MA10" s="63">
        <f t="shared" si="11"/>
        <v>0</v>
      </c>
      <c r="MB10" s="63">
        <f t="shared" si="12"/>
        <v>7.9</v>
      </c>
      <c r="MC10" s="63">
        <f t="shared" si="13"/>
        <v>4.55</v>
      </c>
      <c r="MD10" s="63">
        <f t="shared" si="14"/>
        <v>3.8</v>
      </c>
      <c r="ME10" s="63">
        <f t="shared" si="15"/>
        <v>7.5175000000000001</v>
      </c>
      <c r="MF10" s="63">
        <f t="shared" si="16"/>
        <v>1</v>
      </c>
      <c r="MG10" s="63">
        <f t="shared" si="17"/>
        <v>8</v>
      </c>
      <c r="MH10" s="63">
        <f t="shared" si="18"/>
        <v>4.5750000000000002</v>
      </c>
      <c r="MI10" s="63">
        <f t="shared" si="19"/>
        <v>4</v>
      </c>
      <c r="MJ10" s="63">
        <f t="shared" si="20"/>
        <v>7.83</v>
      </c>
      <c r="MK10" s="63">
        <f t="shared" si="21"/>
        <v>0</v>
      </c>
      <c r="ML10" s="74" t="s">
        <v>119</v>
      </c>
      <c r="MM10" s="12">
        <f t="shared" si="22"/>
        <v>3.8</v>
      </c>
      <c r="MN10" s="12">
        <f t="shared" si="23"/>
        <v>20.512499999999999</v>
      </c>
      <c r="MO10" s="12">
        <f t="shared" si="24"/>
        <v>22.767499999999998</v>
      </c>
      <c r="MP10" s="12">
        <f t="shared" si="25"/>
        <v>43.28</v>
      </c>
      <c r="MQ10" s="12">
        <f t="shared" si="26"/>
        <v>4</v>
      </c>
      <c r="MR10" s="12">
        <f t="shared" si="27"/>
        <v>24.405000000000001</v>
      </c>
      <c r="MS10" s="12">
        <f t="shared" si="28"/>
        <v>67.685000000000002</v>
      </c>
    </row>
    <row r="11" spans="1:357" x14ac:dyDescent="0.2">
      <c r="A11" s="6" t="str">
        <f>IF(AND(F11="P",H11="P"),SUMPRODUCT((F$4:F$16="P")*(H$4:H$16="P")*(E$4:E$16&gt;E11))+1,IF(H11="P",SUMPRODUCT((F$4:F$16="")*(H$4:H$16="P")*(E$4:E$16&gt;E11))+1+SUMPRODUCT((F$4:F$16="P")*(H$4:H$16="P")),""))</f>
        <v/>
      </c>
      <c r="B11" s="9" t="s">
        <v>101</v>
      </c>
      <c r="C11" s="5" t="s">
        <v>3</v>
      </c>
      <c r="D11" s="27">
        <v>2001</v>
      </c>
      <c r="E11" s="16">
        <f>SUM(J11:R11)</f>
        <v>180.53</v>
      </c>
      <c r="F11" s="4" t="str">
        <f>IF(OR(AND($AK11&gt;=$AL$18,NOT($AK11=""),$AJ11=""),AND($BH11&gt;=$BI$18,NOT($BH11=""),$BG11=""),AND($CH11&gt;=$CI$18,NOT($CH11="")),AND($DD11&gt;=$DE$18,NOT($DD11="")),AND($DZ11&gt;=$EA$18,NOT($DZ11="")),AND($EV11&gt;=$EW$18,NOT($EV11="")),AND($FR11&gt;=$FS$18,NOT($FR11="")),AND($GN11&gt;=$GO$18,NOT($GN11="")),AND($HJ11&gt;=$HK$18,NOT($HJ11="")),AND($IF11&gt;=$IG$18,NOT($IF11="")),AND($JB11&gt;=$JC$18,NOT($JB11="")),AND($JX11&gt;=$JY$18,NOT($JX11="")),AND($KT11&gt;=$KU$18,NOT($KT11="")),AND($LP11&gt;=$LQ$18,NOT($LP11=""))),"P","")</f>
        <v/>
      </c>
      <c r="G11" s="4" t="str">
        <f>IF(OR(AND($AK11&gt;=$AL$19,NOT($AK11=""),$AJ11=""),AND($BH11&gt;=$BI$19,NOT($BH11=""),$BG11=""),AND($CH11&gt;=$CI$19,NOT($CH11="")),AND($DD11&gt;=$DE$19,NOT($DD11="")),AND($DZ11&gt;=$EA$19,NOT($DZ11="")),AND($EV11&gt;=$EW$19,NOT($EV11="")),AND($FR11&gt;=$FS$19,NOT($FR11="")),AND($GN11&gt;=$GO$19,NOT($GN11="")),AND($HJ11&gt;=$HK$19,NOT($HJ11="")),AND($IF11&gt;=$IG$19,NOT($IF11="")),AND($JB11&gt;=$JC$19,NOT($JB11="")),AND($JX11&gt;=$JY$19,NOT($JX11="")),AND($KT11&gt;=$KU$19,NOT($KT11="")),AND($LP11&gt;=$LQ$19,NOT($LP11=""))),"P","")</f>
        <v/>
      </c>
      <c r="H11" s="4" t="str">
        <f>IF(OR(AND($AN11&gt;=$AL$20,NOT($AN11=""),$AJ11=""),AND($BK11&gt;=$BI$20,NOT($BK11=""),$BG11=""),AND($CK11&gt;=$CI$20,NOT($CK11="")),AND($DG11&gt;=$DE$20,NOT($DG11="")),AND($EC11&gt;=$EA$20,NOT($EC11="")),AND($EY11&gt;=$EW$20,NOT($EY11="")),AND($FU11&gt;=$FS$20,NOT($FU11="")),AND($GQ11&gt;=$GO$20,NOT($GQ11="")),AND($HM11&gt;=$HK$20,NOT($HM11="")),AND($II11&gt;=$IG$20,NOT($II11="")),AND($JE11&gt;=$JC$20,NOT($JE11="")),AND($KA11&gt;=$JY$20,NOT($KA11="")),AND($KW11&gt;=$KU$20,NOT($KW11="")),AND($LS11&gt;=$LQ$20,NOT($LS11=""))),"P","")</f>
        <v/>
      </c>
      <c r="I11" t="str">
        <f>IF(AND(H11="P",F11=""),"No DD",IF(AND(G11="P",OR(AND($AM11&gt;$AL$23,NOT($AM11=""),$AJ11=""),AND($AP11&gt;$AL$23,NOT($AP11=""),$AJ11=""),AND($BJ11&gt;$BI$23,NOT($BJ11=""),$BG11=""),AND($BM11&gt;$BI$23,NOT($BM11=""),$BG11=""),AND($CJ11&gt;$CI$23,NOT($CJ11="")),AND($CM11&gt;$CI$23,NOT($CM11="")),AND($DF11&gt;$DE$23,NOT($DF11="")),AND($DI11&gt;$DE$23,NOT($DI11="")),AND($EB11&gt;$EA$23,NOT($EB11="")),AND($EE11&gt;$EA$23,NOT($EE11="")),AND($EX11&gt;$EW$23,NOT($EX11="")),AND($FA11&gt;$EW$23,NOT($FA11="")),AND($FT11&gt;$FS$23,NOT($FT11="")),AND($FW11&gt;$FS$23,NOT($FW11="")),AND($GP11&gt;$GO$23,NOT($GP11="")),AND($GS11&gt;$GO$23,NOT($GS11="")),AND($HL11&gt;$HK$23,NOT($HL11="")),AND($HO11&gt;$HK$23,NOT($HO11="")),AND($IH11&gt;$IG$23,NOT($IH11="")),AND($IK11&gt;$IG$23,NOT($IK11="")),AND($JD11&gt;$JC$23,NOT($JD11="")),AND($JG11&gt;$JC$23,NOT($JG11="")),AND($JZ11&gt;$JY$23,NOT($JZ11="")),AND($KC11&gt;$JY$23,NOT($KC11="")),AND($KV11&gt;$KU$23,NOT($KV11="")),AND($KY11&gt;$KU$23,NOT($KY11="")),AND($LR11&gt;$LQ$23,NOT($LR11="")),AND($LU11&gt;$LQ$23,NOT($LU11="")))),"Merit",IF(AND(G11="P",OR(AND($AN11&gt;$AL$22,NOT($AN11=""),$AJ11=""),AND($BK11&gt;$BI$22,NOT($BK11=""),$BG11=""),AND($CK11&gt;$CI$22,NOT($CK11="")),AND($DG11&gt;$DE$22,NOT($DG11="")),AND($EC11&gt;$EA$22,NOT($EC11="")),AND($EY11&gt;$EW$22,NOT($EY11="")),AND($FU11&gt;$FS$22,NOT($FU11="")),AND($GQ11&gt;$GO$22,NOT($GQ11="")),AND($HM11&gt;$HK$22,NOT($HM11="")),AND($II11&gt;$IG$22,NOT($II11="")),AND($JE11&gt;$JC$22,NOT($JE11="")),AND($KA11&gt;$JY$22,NOT($KA11="")),AND($KW11&gt;$KU$22,NOT($KW11="")),AND($LS11&gt;$LQ$22,NOT($LS11="")))),"Excellence",IF(AND(G11="P",OR(AND($AN11&gt;$AL$21,NOT($AN11=""),$AJ11=""),AND($BK11&gt;$BI$21,NOT($BK11=""),$BG11=""),AND($CK11&gt;$CI$21,NOT($CK11="")),AND($DG11&gt;$DE$21,NOT($DG11="")),AND($EC11&gt;$EA$21,NOT($EC11="")),AND($EY11&gt;$EW$21,NOT($EY11="")),AND($FU11&gt;$FS$21,NOT($FU11="")),AND($GQ11&gt;$GO$21,NOT($GQ11="")),AND($HM11&gt;$HK$21,NOT($HM11="")),AND($II11&gt;$IG$21,NOT($II11="")),AND($JE11&gt;$JC$21,NOT($JE11="")),AND($KA11&gt;$JY$21,NOT($KA11="")),AND($KW11&gt;$KU$21,NOT($KW11="")),AND($LS11&gt;$LQ$21,NOT($LS11="")))),"Worlds Team",IF(AND(F11="P",OR(AND($AN11&gt;$AL$20,NOT($AN11=""),$AJ11=""),AND($BK11&gt;$BI$20,NOT($BK11=""),$BG11=""),AND($CK11&gt;$CI$20,NOT($CK11="")),AND($DG11&gt;$DE$20,NOT($DG11="")),AND($EC11&gt;$EA$20,NOT($EC11="")),AND($EY11&gt;$EW$20,NOT($EY11="")),AND($FU11&gt;$FS$20,NOT($FU11="")),AND($GQ11&gt;$GO$20,NOT($GQ11="")),AND($HM11&gt;$HK$20,NOT($HM11="")),AND($II11&gt;$IG$20,NOT($II11="")),AND($JE11&gt;$JC$20,NOT($JE11="")),AND($KA11&gt;$JY$20,NOT($KA11="")),AND($KW11&gt;$KU$20,NOT($KW11="")),AND($LS11&gt;$LQ$20,NOT($LS11="")))),"National Team","")))))</f>
        <v/>
      </c>
      <c r="J11" s="15">
        <f>IF(MAX(AN11,BK11)&gt;0,MAX(AN11,BK11),"")</f>
        <v>73.435000000000002</v>
      </c>
      <c r="K11" s="15" t="str">
        <f>IF(J11="","",IF(J11=BK11,$AR$1,IF(J11=AN11,$U$1,"")))</f>
        <v>2019 Elite Canada</v>
      </c>
      <c r="L11" s="15">
        <f>IF($J11=$AN11,BI11,IF($J11=$BK11,AL11,MAX(AL11,BI11)))</f>
        <v>16.254999999999999</v>
      </c>
      <c r="M11" s="15" t="str">
        <f>IF(L11="","",IF(L11=BI11,$AR$1,IF(L11=AL11,$U$1,"")))</f>
        <v>2018 Nationals</v>
      </c>
      <c r="N11" s="15">
        <f>IF($J11=$AN11,BJ11,IF($J11=$BK11,AM11,MAX(AM11,BJ11)))</f>
        <v>42.43</v>
      </c>
      <c r="O11" s="15" t="str">
        <f>IF(N11="","",IF(AND(N11=BJ11,$K11&lt;&gt;$AR$1),$AR$1,IF(AND(N11=AM11,$K11&lt;&gt;$U$1),$U$1,"")))</f>
        <v>2018 Nationals</v>
      </c>
      <c r="P11" s="15">
        <f>IF(MAX(AP11,BM11)&gt;0,MAX(AP11,BM11),"")</f>
        <v>48.41</v>
      </c>
      <c r="Q11" s="15" t="str">
        <f>IF(P11="","",IF(P11=BM11,$AR$1,IF(P11=AP11,$U$1,"")))</f>
        <v>2018 Nationals</v>
      </c>
      <c r="R11" s="15" t="str">
        <f>IF(MAX(BO11,BP11,BQ11,BR11)&gt;0,MAX(BO11,BP11,BQ11,BR11),"")</f>
        <v/>
      </c>
      <c r="S11" s="25" t="str">
        <f>IF(R11="","",IF(R11=BO11,"(Vol 1)",IF(R11=BP11,"(Vol 2)",IF(R11=BQ11,"(Prelim)",IF(R11=BR11,"(Final)")))))</f>
        <v/>
      </c>
      <c r="T11" s="15" t="str">
        <f>IF(R11="","",IF(R11=BO11,IF(R11+IF(L11="",0,L11)=LQ11,$LA$1,IF(R11+IF(L11="",0,L11)=KU11,$KE$1,IF(R11+IF(L11="",0,L11)=JY11,$JI$1,IF(R11+IF(L11="",0,L11)=JC11,$IM$1,IF(R11+IF(L11="",0,L11)=IG11,$HQ$1,IF(R11+IF(L11="",0,L11)=HK11,$GU$1,IF(R11+IF(L11="",0,L11)=GO11,$FY$1,IF(R11+IF(L11="",0,L11)=FS11,$FC$1,IF(R11+IF(L11="",0,L11)=EW11,$EG$1,IF(R11+IF(L11="",0,L11)=EA11,$DK$1,IF(R11+IF(L11="",0,L11)=DE11,$CO$1,IF(R11+IF(L11="",0,L11)=CI11,$BS$1)))))))))))),IF(R11=BP11,IF(R11+IF(N11="",0,N11)=LR11,$LA$1,IF(R11+IF(N11="",0,N11)=KV11,$KE$1,IF(R11+IF(N11="",0,N11)=JZ11,$JI$1,IF(R11+IF(N11="",0,N11)=JD11,$IM$1,IF(R11+IF(N11="",0,N11)=IH11,$HQ$1,IF(R11+IF(N11="",0,N11)=HL11,$GU$1,IF(R11+IF(N11="",0,N11)=GP11,$FY$1,IF(R11+IF(N11="",0,N11)=FT11,$FC$1,IF(R11+IF(N11="",0,N11)=EX11,$EG$1,IF(R11+IF(N11="",0,N11)=EB11,$DK$1,IF(R11+IF(N11="",0,N11)=DF11,$CO$1,IF(R11+IF(N11="",0,N11)=CJ11,$BS$1)))))))))))),IF(R11=BQ11,IF(R11+IF(J11="",0,J11)=LS11,$LA$1,IF(R11+IF(J11="",0,J11)=KW11,$KE$1,IF(R11+IF(J11="",0,J11)=KA11,$JI$1,IF(R11+IF(J11="",0,J11)=JE11,$IM$1,IF(R11+IF(J11="",0,J11)=II11,$HQ$1,IF(R11+IF(J11="",0,J11)=HM11,$GU$1,IF(R11+IF(J11="",0,J11)=GQ11,$FY$1,IF(R11+IF(J11="",0,J11)=FU11,$FC$1,IF(R11+IF(J11="",0,J11)=EY11,$EG$1,IF(R11+IF(J11="",0,J11)=EC11,$DK$1,IF(R11+IF(J11="",0,J11)=DG11,$CO$1,IF(R11+IF(J11="",0,J11)=CK11,$BS$1)))))))))))),IF(R11=BR11,IF(R11+IF(P11="",0,P11)=LU11,$LA$1,IF(R11+IF(P11="",0,P11)=KY11,$KE$1,IF(R11+IF(P11="",0,P11)=KC11,$JI$1,IF(R11+IF(P11="",0,P11)=JG11,$IM$1,IF(R11+IF(P11="",0,P11)=IK11,$HQ$1,IF(R11+IF(P11="",0,P11)=HO11,$GU$1,IF(R11+IF(P11="",0,P11)=GS11,$FY$1,IF(R11+IF(P11="",0,P11)=FW11,$FC$1,IF(R11+IF(P11="",0,P11)=FA11,$EG$1,IF(R11+IF(P11="",0,P11)=EE11,$DK$1,IF(R11+IF(P11="",0,P11)=DI11,$CO$1,IF(R11+IF(P11="",0,P11)=CM11,$BS$1)))))))))))))))))</f>
        <v/>
      </c>
      <c r="U11" s="36">
        <v>6.2</v>
      </c>
      <c r="V11" s="36">
        <v>3.55</v>
      </c>
      <c r="W11" s="36">
        <v>0.6</v>
      </c>
      <c r="X11" s="36">
        <v>5.9050000000000002</v>
      </c>
      <c r="Y11" s="36">
        <v>0</v>
      </c>
      <c r="Z11" s="36">
        <v>10.199999999999999</v>
      </c>
      <c r="AA11" s="36">
        <v>8.65</v>
      </c>
      <c r="AB11" s="36">
        <v>9.9</v>
      </c>
      <c r="AC11" s="36">
        <v>13.68</v>
      </c>
      <c r="AD11" s="36">
        <v>0</v>
      </c>
      <c r="AE11" s="36">
        <v>14.8</v>
      </c>
      <c r="AF11" s="36">
        <v>9.15</v>
      </c>
      <c r="AG11" s="36">
        <v>10.3</v>
      </c>
      <c r="AH11" s="36">
        <v>14.16</v>
      </c>
      <c r="AI11" s="36">
        <v>0</v>
      </c>
      <c r="AJ11" s="74"/>
      <c r="AK11" s="12">
        <f>IF(AB11&gt;0,AB11,"")</f>
        <v>9.9</v>
      </c>
      <c r="AL11" s="12">
        <f>IF(SUM(U11:X11)-Y11&gt;0,SUM(U11:X11)-Y11,"")</f>
        <v>16.254999999999999</v>
      </c>
      <c r="AM11" s="12">
        <f>IF(SUM(Z11:AC11)-AD11&gt;0,SUM(Z11:AC11)-AD11,"")</f>
        <v>42.43</v>
      </c>
      <c r="AN11" s="12">
        <f>IF(SUM(AL11:AM11)&gt;0,SUM(AL11:AM11),"")</f>
        <v>58.685000000000002</v>
      </c>
      <c r="AO11" s="12">
        <f>IF(AG11&gt;0,AG11,"")</f>
        <v>10.3</v>
      </c>
      <c r="AP11" s="12">
        <f>IF(SUM(AE11:AH11)-AI11&gt;0,SUM(AE11:AH11)-AI11,"")</f>
        <v>48.41</v>
      </c>
      <c r="AQ11" s="12">
        <f>IF(SUM(AN11,AP11)&gt;0,SUM(AN11,AP11),"")</f>
        <v>107.095</v>
      </c>
      <c r="AR11" s="69">
        <v>16.3</v>
      </c>
      <c r="AS11" s="69">
        <v>9.75</v>
      </c>
      <c r="AT11" s="69">
        <v>3.9</v>
      </c>
      <c r="AU11" s="69">
        <v>14.385</v>
      </c>
      <c r="AV11" s="69">
        <v>0</v>
      </c>
      <c r="AW11" s="69">
        <v>9</v>
      </c>
      <c r="AX11" s="69">
        <v>5.25</v>
      </c>
      <c r="AY11" s="69">
        <v>6.4</v>
      </c>
      <c r="AZ11" s="69">
        <v>8.4499999999999993</v>
      </c>
      <c r="BA11" s="69">
        <v>0</v>
      </c>
      <c r="BB11" s="69">
        <v>15.1</v>
      </c>
      <c r="BC11" s="69">
        <v>9.1</v>
      </c>
      <c r="BD11" s="69">
        <v>10.3</v>
      </c>
      <c r="BE11" s="69">
        <v>13.84</v>
      </c>
      <c r="BF11" s="69">
        <v>0</v>
      </c>
      <c r="BG11" s="75"/>
      <c r="BH11" s="15">
        <f>IF(AY11&gt;0,AY11,"")</f>
        <v>6.4</v>
      </c>
      <c r="BI11" s="15">
        <f>IF(SUM(AR11:AU11)-AV11&gt;0,SUM(AR11:AU11)-AV11,"")</f>
        <v>44.335000000000001</v>
      </c>
      <c r="BJ11" s="15">
        <f>IF(SUM(AW11:AZ11)-BA11&gt;0,SUM(AW11:AZ11)-BA11,"")</f>
        <v>29.099999999999998</v>
      </c>
      <c r="BK11" s="15">
        <f>IF(SUM(BI11:BJ11)&gt;0,SUM(BI11:BJ11),"")</f>
        <v>73.435000000000002</v>
      </c>
      <c r="BL11" s="15">
        <f>IF(BD11&gt;0,BD11,"")</f>
        <v>10.3</v>
      </c>
      <c r="BM11" s="15">
        <f>IF(SUM(BB11:BE11)-BF11&gt;0,SUM(BB11:BE11)-BF11,"")</f>
        <v>48.34</v>
      </c>
      <c r="BN11" s="15">
        <f>IF(SUM(BK11,BM11)&gt;0,SUM(BK11,BM11),"")</f>
        <v>121.77500000000001</v>
      </c>
      <c r="BO11" s="24" t="str">
        <f>IF(MAX(CI11,DE11,EA11,EW11,FS11,GO11,HK11,IG11,JC11,JY11,KU11,LQ11)-IF(L11="",0,L11)&gt;0.001,MAX(CI11,DE11,EA11,EW11,FS11,GO11,HK11,IG11,JC11,JY11,KU11,LQ11)-IF(L11="",0,L11),"")</f>
        <v/>
      </c>
      <c r="BP11" s="24" t="str">
        <f>IF(MAX(CJ11,DF11,EB11,EX11,FT11,GP11,HL11,IH11,JD11,JZ11,KV11,LR11)-IF(N11="",0,N11)&gt;0.001,MAX(CJ11,DF11,EB11,EX11,FT11,GP11,HL11,IH11,JD11,JZ11,KV11,LR11)-IF(N11="",0,N11),"")</f>
        <v/>
      </c>
      <c r="BQ11" s="24" t="str">
        <f>IF(MAX(CK11,DG11,EC11,EY11,FU11,GQ11,HM11,II11,JE11,KA11,KW11,LS11)-IF(J11="",0,J11)&gt;0.001,MAX(CK11,DG11,EC11,EY11,FU11,GQ11,HM11,II11,JE11,KA11,KW11,LS11)-IF(J11="",0,J11),"")</f>
        <v/>
      </c>
      <c r="BR11" s="24" t="str">
        <f>IF(MAX(CM11,DI11,EE11,FA11,FW11,GS11,HO11,IK11,JG11,KC11,KY11,LU11)-IF(P11="",0,P11)&gt;0.001,MAX(CM11,DI11,EE11,FA11,FW11,GS11,HO11,IK11,JG11,KC11,KY11,LU11)-IF(P11="",0,P11),"")</f>
        <v/>
      </c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12" t="str">
        <f>IF(BZ11&gt;0,BZ11,"")</f>
        <v/>
      </c>
      <c r="CI11" s="12" t="str">
        <f>IF(SUM(BS11:BV11)-BW11&gt;0,SUM(BS11:BV11)-BW11,"")</f>
        <v/>
      </c>
      <c r="CJ11" s="12" t="str">
        <f>IF(SUM(BX11:CA11)-CB11&gt;0,SUM(BX11:CA11)-CB11,"")</f>
        <v/>
      </c>
      <c r="CK11" s="12" t="str">
        <f>IF(SUM(CI11:CJ11)&gt;0,SUM(CI11:CJ11),"")</f>
        <v/>
      </c>
      <c r="CL11" s="12" t="str">
        <f>IF(CE11&gt;0,CE11,"")</f>
        <v/>
      </c>
      <c r="CM11" s="12" t="str">
        <f>IF(SUM(CC11:CF11)-CG11&gt;0,SUM(CC11:CF11)-CG11,"")</f>
        <v/>
      </c>
      <c r="CN11" s="12" t="str">
        <f>IF(SUM(CK11,CM11)&gt;0,SUM(CK11,CM11),"")</f>
        <v/>
      </c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  <c r="DB11" s="37"/>
      <c r="DC11" s="37"/>
      <c r="DD11" s="15" t="str">
        <f>IF(CV11&gt;0,CV11,"")</f>
        <v/>
      </c>
      <c r="DE11" s="15" t="str">
        <f>IF(SUM(CO11:CR11)-CS11&gt;0,SUM(CO11:CR11)-CS11,"")</f>
        <v/>
      </c>
      <c r="DF11" s="15" t="str">
        <f>IF(SUM(CT11:CW11)-CX11&gt;0,SUM(CT11:CW11)-CX11,"")</f>
        <v/>
      </c>
      <c r="DG11" s="15" t="str">
        <f>IF(SUM(DE11:DF11)&gt;0,SUM(DE11:DF11),"")</f>
        <v/>
      </c>
      <c r="DH11" s="15" t="str">
        <f>IF(DA11&gt;0,DA11,"")</f>
        <v/>
      </c>
      <c r="DI11" s="15" t="str">
        <f>IF(SUM(CY11:DB11)-DC11&gt;0,SUM(CY11:DB11)-DC11,"")</f>
        <v/>
      </c>
      <c r="DJ11" s="15" t="str">
        <f>IF(SUM(DG11,DI11)&gt;0,SUM(DG11,DI11),"")</f>
        <v/>
      </c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  <c r="DW11" s="36"/>
      <c r="DX11" s="36"/>
      <c r="DY11" s="36"/>
      <c r="DZ11" s="12" t="str">
        <f>IF(DR11&gt;0,DR11,"")</f>
        <v/>
      </c>
      <c r="EA11" s="12" t="str">
        <f>IF(SUM(DK11:DN11)-DO11&gt;0,SUM(DK11:DN11)-DO11,"")</f>
        <v/>
      </c>
      <c r="EB11" s="12" t="str">
        <f>IF(SUM(DP11:DS11)-DT11&gt;0,SUM(DP11:DS11)-DT11,"")</f>
        <v/>
      </c>
      <c r="EC11" s="12" t="str">
        <f>IF(SUM(EA11:EB11)&gt;0,SUM(EA11:EB11),"")</f>
        <v/>
      </c>
      <c r="ED11" s="12" t="str">
        <f>IF(DW11&gt;0,DW11,"")</f>
        <v/>
      </c>
      <c r="EE11" s="12" t="str">
        <f>IF(SUM(DU11:DX11)-DY11&gt;0,SUM(DU11:DX11)-DY11,"")</f>
        <v/>
      </c>
      <c r="EF11" s="12" t="str">
        <f>IF(SUM(EC11,EE11)&gt;0,SUM(EC11,EE11),"")</f>
        <v/>
      </c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37"/>
      <c r="ER11" s="37"/>
      <c r="ES11" s="37"/>
      <c r="ET11" s="37"/>
      <c r="EU11" s="37"/>
      <c r="EV11" s="15" t="str">
        <f>IF(EN11&gt;0,EN11,"")</f>
        <v/>
      </c>
      <c r="EW11" s="15" t="str">
        <f>IF(SUM(EG11:EJ11)-EK11&gt;0,SUM(EG11:EJ11)-EK11,"")</f>
        <v/>
      </c>
      <c r="EX11" s="15" t="str">
        <f>IF(SUM(EL11:EO11)-EP11&gt;0,SUM(EL11:EO11)-EP11,"")</f>
        <v/>
      </c>
      <c r="EY11" s="15" t="str">
        <f>IF(SUM(EW11:EX11)&gt;0,SUM(EW11:EX11),"")</f>
        <v/>
      </c>
      <c r="EZ11" s="15" t="str">
        <f>IF(ES11&gt;0,ES11,"")</f>
        <v/>
      </c>
      <c r="FA11" s="15" t="str">
        <f>IF(SUM(EQ11:ET11)-EU11&gt;0,SUM(EQ11:ET11)-EU11,"")</f>
        <v/>
      </c>
      <c r="FB11" s="15" t="str">
        <f>IF(SUM(EY11,FA11)&gt;0,SUM(EY11,FA11),"")</f>
        <v/>
      </c>
      <c r="FC11" s="36"/>
      <c r="FD11" s="36"/>
      <c r="FE11" s="36"/>
      <c r="FF11" s="36"/>
      <c r="FG11" s="36"/>
      <c r="FH11" s="36"/>
      <c r="FI11" s="36"/>
      <c r="FJ11" s="36"/>
      <c r="FK11" s="36"/>
      <c r="FL11" s="36"/>
      <c r="FM11" s="36"/>
      <c r="FN11" s="36"/>
      <c r="FO11" s="36"/>
      <c r="FP11" s="36"/>
      <c r="FQ11" s="36"/>
      <c r="FR11" s="12" t="str">
        <f>IF(FJ11&gt;0,FJ11,"")</f>
        <v/>
      </c>
      <c r="FS11" s="12" t="str">
        <f>IF(SUM(FC11:FF11)-FG11&gt;0,SUM(FC11:FF11)-FG11,"")</f>
        <v/>
      </c>
      <c r="FT11" s="12" t="str">
        <f>IF(SUM(FH11:FK11)-FL11&gt;0,SUM(FH11:FK11)-FL11,"")</f>
        <v/>
      </c>
      <c r="FU11" s="12" t="str">
        <f>IF(SUM(FS11:FT11)&gt;0,SUM(FS11:FT11),"")</f>
        <v/>
      </c>
      <c r="FV11" s="12" t="str">
        <f>IF(FO11&gt;0,FO11,"")</f>
        <v/>
      </c>
      <c r="FW11" s="12" t="str">
        <f>IF(SUM(FM11:FP11)-FQ11&gt;0,SUM(FM11:FP11)-FQ11,"")</f>
        <v/>
      </c>
      <c r="FX11" s="12" t="str">
        <f>IF(SUM(FU11,FW11)&gt;0,SUM(FU11,FW11),"")</f>
        <v/>
      </c>
      <c r="FY11" s="37"/>
      <c r="FZ11" s="37"/>
      <c r="GA11" s="37"/>
      <c r="GB11" s="37"/>
      <c r="GC11" s="37"/>
      <c r="GD11" s="37"/>
      <c r="GE11" s="37"/>
      <c r="GF11" s="37"/>
      <c r="GG11" s="37"/>
      <c r="GH11" s="37"/>
      <c r="GI11" s="37"/>
      <c r="GJ11" s="37"/>
      <c r="GK11" s="37"/>
      <c r="GL11" s="37"/>
      <c r="GM11" s="37"/>
      <c r="GN11" s="15" t="str">
        <f>IF(GF11&gt;0,GF11,"")</f>
        <v/>
      </c>
      <c r="GO11" s="15" t="str">
        <f>IF(SUM(FY11:GB11)-GC11&gt;0,SUM(FY11:GB11)-GC11,"")</f>
        <v/>
      </c>
      <c r="GP11" s="15" t="str">
        <f>IF(SUM(GD11:GG11)-GH11&gt;0,SUM(GD11:GG11)-GH11,"")</f>
        <v/>
      </c>
      <c r="GQ11" s="15" t="str">
        <f>IF(SUM(GO11:GP11)&gt;0,SUM(GO11:GP11),"")</f>
        <v/>
      </c>
      <c r="GR11" s="15" t="str">
        <f>IF(GK11&gt;0,GK11,"")</f>
        <v/>
      </c>
      <c r="GS11" s="15" t="str">
        <f>IF(SUM(GI11:GL11)-GM11&gt;0,SUM(GI11:GL11)-GM11,"")</f>
        <v/>
      </c>
      <c r="GT11" s="15" t="str">
        <f>IF(SUM(GQ11,GS11)&gt;0,SUM(GQ11,GS11),"")</f>
        <v/>
      </c>
      <c r="GU11" s="36"/>
      <c r="GV11" s="36"/>
      <c r="GW11" s="36"/>
      <c r="GX11" s="36"/>
      <c r="GY11" s="36"/>
      <c r="GZ11" s="36"/>
      <c r="HA11" s="36"/>
      <c r="HB11" s="36"/>
      <c r="HC11" s="36"/>
      <c r="HD11" s="36"/>
      <c r="HE11" s="36"/>
      <c r="HF11" s="36"/>
      <c r="HG11" s="36"/>
      <c r="HH11" s="36"/>
      <c r="HI11" s="36"/>
      <c r="HJ11" s="12" t="str">
        <f>IF(HB11&gt;0,HB11,"")</f>
        <v/>
      </c>
      <c r="HK11" s="12" t="str">
        <f>IF(SUM(GU11:GX11)-GY11&gt;0,SUM(GU11:GX11)-GY11,"")</f>
        <v/>
      </c>
      <c r="HL11" s="12" t="str">
        <f>IF(SUM(GZ11:HC11)-HD11&gt;0,SUM(GZ11:HC11)-HD11,"")</f>
        <v/>
      </c>
      <c r="HM11" s="12" t="str">
        <f>IF(SUM(HK11:HL11)&gt;0,SUM(HK11:HL11),"")</f>
        <v/>
      </c>
      <c r="HN11" s="12" t="str">
        <f>IF(HG11&gt;0,HG11,"")</f>
        <v/>
      </c>
      <c r="HO11" s="12" t="str">
        <f>IF(SUM(HE11:HH11)-HI11&gt;0,SUM(HE11:HH11)-HI11,"")</f>
        <v/>
      </c>
      <c r="HP11" s="12" t="str">
        <f>IF(SUM(HM11,HO11)&gt;0,SUM(HM11,HO11),"")</f>
        <v/>
      </c>
      <c r="HQ11" s="37"/>
      <c r="HR11" s="37"/>
      <c r="HS11" s="37"/>
      <c r="HT11" s="37"/>
      <c r="HU11" s="37"/>
      <c r="HV11" s="37"/>
      <c r="HW11" s="37"/>
      <c r="HX11" s="37"/>
      <c r="HY11" s="37"/>
      <c r="HZ11" s="37"/>
      <c r="IA11" s="37"/>
      <c r="IB11" s="37"/>
      <c r="IC11" s="37"/>
      <c r="ID11" s="37"/>
      <c r="IE11" s="37"/>
      <c r="IF11" s="15" t="str">
        <f>IF(HX11&gt;0,HX11,"")</f>
        <v/>
      </c>
      <c r="IG11" s="15" t="str">
        <f>IF(SUM(HQ11:HT11)-HU11&gt;0,SUM(HQ11:HT11)-HU11,"")</f>
        <v/>
      </c>
      <c r="IH11" s="15" t="str">
        <f>IF(SUM(HV11:HY11)-HZ11&gt;0,SUM(HV11:HY11)-HZ11,"")</f>
        <v/>
      </c>
      <c r="II11" s="15" t="str">
        <f>IF(SUM(IG11:IH11)&gt;0,SUM(IG11:IH11),"")</f>
        <v/>
      </c>
      <c r="IJ11" s="15" t="str">
        <f>IF(IC11&gt;0,IC11,"")</f>
        <v/>
      </c>
      <c r="IK11" s="15" t="str">
        <f>IF(SUM(IA11:ID11)-IE11&gt;0,SUM(IA11:ID11)-IE11,"")</f>
        <v/>
      </c>
      <c r="IL11" s="15" t="str">
        <f>IF(SUM(II11,IK11)&gt;0,SUM(II11,IK11),"")</f>
        <v/>
      </c>
      <c r="IM11" s="36"/>
      <c r="IN11" s="36"/>
      <c r="IO11" s="36"/>
      <c r="IP11" s="36"/>
      <c r="IQ11" s="36"/>
      <c r="IR11" s="36"/>
      <c r="IS11" s="36"/>
      <c r="IT11" s="36"/>
      <c r="IU11" s="36"/>
      <c r="IV11" s="36"/>
      <c r="IW11" s="36"/>
      <c r="IX11" s="36"/>
      <c r="IY11" s="36"/>
      <c r="IZ11" s="36"/>
      <c r="JA11" s="36"/>
      <c r="JB11" s="12" t="str">
        <f>IF(IT11&gt;0,IT11,"")</f>
        <v/>
      </c>
      <c r="JC11" s="12" t="str">
        <f>IF(SUM(IM11:IP11)-IQ11&gt;0,SUM(IM11:IP11)-IQ11,"")</f>
        <v/>
      </c>
      <c r="JD11" s="12" t="str">
        <f>IF(SUM(IR11:IU11)-IV11&gt;0,SUM(IR11:IU11)-IV11,"")</f>
        <v/>
      </c>
      <c r="JE11" s="12" t="str">
        <f>IF(SUM(JC11:JD11)&gt;0,SUM(JC11:JD11),"")</f>
        <v/>
      </c>
      <c r="JF11" s="12" t="str">
        <f>IF(IY11&gt;0,IY11,"")</f>
        <v/>
      </c>
      <c r="JG11" s="12" t="str">
        <f>IF(SUM(IW11:IZ11)-JA11&gt;0,SUM(IW11:IZ11)-JA11,"")</f>
        <v/>
      </c>
      <c r="JH11" s="12" t="str">
        <f>IF(SUM(JE11,JG11)&gt;0,SUM(JE11,JG11),"")</f>
        <v/>
      </c>
      <c r="JI11" s="37"/>
      <c r="JJ11" s="37"/>
      <c r="JK11" s="37"/>
      <c r="JL11" s="37"/>
      <c r="JM11" s="37"/>
      <c r="JN11" s="37"/>
      <c r="JO11" s="37"/>
      <c r="JP11" s="37"/>
      <c r="JQ11" s="37"/>
      <c r="JR11" s="37"/>
      <c r="JS11" s="37"/>
      <c r="JT11" s="37"/>
      <c r="JU11" s="37"/>
      <c r="JV11" s="37"/>
      <c r="JW11" s="37"/>
      <c r="JX11" s="15" t="str">
        <f>IF(JP11&gt;0,JP11,"")</f>
        <v/>
      </c>
      <c r="JY11" s="15" t="str">
        <f>IF(SUM(JI11:JL11)-JM11&gt;0,SUM(JI11:JL11)-JM11,"")</f>
        <v/>
      </c>
      <c r="JZ11" s="15" t="str">
        <f>IF(SUM(JN11:JQ11)-JR11&gt;0,SUM(JN11:JQ11)-JR11,"")</f>
        <v/>
      </c>
      <c r="KA11" s="15" t="str">
        <f>IF(SUM(JY11:JZ11)&gt;0,SUM(JY11:JZ11),"")</f>
        <v/>
      </c>
      <c r="KB11" s="15" t="str">
        <f>IF(JU11&gt;0,JU11,"")</f>
        <v/>
      </c>
      <c r="KC11" s="15" t="str">
        <f>IF(SUM(JS11:JV11)-JW11&gt;0,SUM(JS11:JV11)-JW11,"")</f>
        <v/>
      </c>
      <c r="KD11" s="15" t="str">
        <f>IF(SUM(KA11,KC11)&gt;0,SUM(KA11,KC11),"")</f>
        <v/>
      </c>
      <c r="KE11" s="36"/>
      <c r="KF11" s="36"/>
      <c r="KG11" s="36"/>
      <c r="KH11" s="36"/>
      <c r="KI11" s="36"/>
      <c r="KJ11" s="36"/>
      <c r="KK11" s="36"/>
      <c r="KL11" s="36"/>
      <c r="KM11" s="36"/>
      <c r="KN11" s="36"/>
      <c r="KO11" s="36"/>
      <c r="KP11" s="36"/>
      <c r="KQ11" s="36"/>
      <c r="KR11" s="36"/>
      <c r="KS11" s="36"/>
      <c r="KT11" s="12" t="str">
        <f>IF(KL11&gt;0,KL11,"")</f>
        <v/>
      </c>
      <c r="KU11" s="12" t="str">
        <f>IF(SUM(KE11:KH11)-KI11&gt;0,SUM(KE11:KH11)-KI11,"")</f>
        <v/>
      </c>
      <c r="KV11" s="12" t="str">
        <f>IF(SUM(KJ11:KM11)-KN11&gt;0,SUM(KJ11:KM11)-KN11,"")</f>
        <v/>
      </c>
      <c r="KW11" s="12" t="str">
        <f>IF(SUM(KU11:KV11)&gt;0,SUM(KU11:KV11),"")</f>
        <v/>
      </c>
      <c r="KX11" s="12" t="str">
        <f>IF(KQ11&gt;0,KQ11,"")</f>
        <v/>
      </c>
      <c r="KY11" s="12" t="str">
        <f>IF(SUM(KO11:KR11)-KS11&gt;0,SUM(KO11:KR11)-KS11,"")</f>
        <v/>
      </c>
      <c r="KZ11" s="12" t="str">
        <f>IF(SUM(KW11,KY11)&gt;0,SUM(KW11,KY11),"")</f>
        <v/>
      </c>
      <c r="LA11" s="37"/>
      <c r="LB11" s="37"/>
      <c r="LC11" s="37"/>
      <c r="LD11" s="37"/>
      <c r="LE11" s="37"/>
      <c r="LF11" s="37"/>
      <c r="LG11" s="37"/>
      <c r="LH11" s="37"/>
      <c r="LI11" s="37"/>
      <c r="LJ11" s="37"/>
      <c r="LK11" s="37"/>
      <c r="LL11" s="37"/>
      <c r="LM11" s="37"/>
      <c r="LN11" s="37"/>
      <c r="LO11" s="37"/>
      <c r="LP11" s="15" t="str">
        <f>IF(LH11&gt;0,LH11,"")</f>
        <v/>
      </c>
      <c r="LQ11" s="15" t="str">
        <f>IF(SUM(LA11:LD11)-LE11&gt;0,SUM(LA11:LD11)-LE11,"")</f>
        <v/>
      </c>
      <c r="LR11" s="15" t="str">
        <f>IF(SUM(LF11:LI11)-LJ11&gt;0,SUM(LF11:LI11)-LJ11,"")</f>
        <v/>
      </c>
      <c r="LS11" s="15" t="str">
        <f>IF(SUM(LQ11:LR11)&gt;0,SUM(LQ11:LR11),"")</f>
        <v/>
      </c>
      <c r="LT11" s="15" t="str">
        <f>IF(LM11&gt;0,LM11,"")</f>
        <v/>
      </c>
      <c r="LU11" s="15" t="str">
        <f>IF(SUM(LK11:LN11)-LO11&gt;0,SUM(LK11:LN11)-LO11,"")</f>
        <v/>
      </c>
      <c r="LV11" s="15" t="str">
        <f>IF(SUM(LS11,LU11)&gt;0,SUM(LS11,LU11),"")</f>
        <v/>
      </c>
      <c r="LW11" s="63">
        <f t="shared" si="7"/>
        <v>11.25</v>
      </c>
      <c r="LX11" s="63">
        <f t="shared" si="8"/>
        <v>6.65</v>
      </c>
      <c r="LY11" s="63">
        <f t="shared" si="9"/>
        <v>2.25</v>
      </c>
      <c r="LZ11" s="63">
        <f t="shared" si="10"/>
        <v>10.145</v>
      </c>
      <c r="MA11" s="63">
        <f t="shared" si="11"/>
        <v>0</v>
      </c>
      <c r="MB11" s="63">
        <f t="shared" si="12"/>
        <v>9.6</v>
      </c>
      <c r="MC11" s="63">
        <f t="shared" si="13"/>
        <v>6.95</v>
      </c>
      <c r="MD11" s="63">
        <f t="shared" si="14"/>
        <v>8.15</v>
      </c>
      <c r="ME11" s="63">
        <f t="shared" si="15"/>
        <v>11.065</v>
      </c>
      <c r="MF11" s="63">
        <f t="shared" si="16"/>
        <v>0</v>
      </c>
      <c r="MG11" s="63">
        <f t="shared" si="17"/>
        <v>14.95</v>
      </c>
      <c r="MH11" s="63">
        <f t="shared" si="18"/>
        <v>9.125</v>
      </c>
      <c r="MI11" s="63">
        <f t="shared" si="19"/>
        <v>10.3</v>
      </c>
      <c r="MJ11" s="63">
        <f t="shared" si="20"/>
        <v>14</v>
      </c>
      <c r="MK11" s="63">
        <f t="shared" si="21"/>
        <v>0</v>
      </c>
      <c r="ML11" s="74" t="s">
        <v>119</v>
      </c>
      <c r="MM11" s="12">
        <f t="shared" si="22"/>
        <v>8.15</v>
      </c>
      <c r="MN11" s="12">
        <f t="shared" si="23"/>
        <v>30.294999999999998</v>
      </c>
      <c r="MO11" s="12">
        <f t="shared" si="24"/>
        <v>35.765000000000001</v>
      </c>
      <c r="MP11" s="12">
        <f t="shared" si="25"/>
        <v>66.06</v>
      </c>
      <c r="MQ11" s="12">
        <f t="shared" si="26"/>
        <v>10.3</v>
      </c>
      <c r="MR11" s="12">
        <f t="shared" si="27"/>
        <v>48.375</v>
      </c>
      <c r="MS11" s="12">
        <f t="shared" si="28"/>
        <v>114.435</v>
      </c>
    </row>
    <row r="12" spans="1:357" x14ac:dyDescent="0.2">
      <c r="A12" s="6">
        <f>IF(AND(F12="P",H12="P"),SUMPRODUCT((F$4:F$16="P")*(H$4:H$16="P")*(E$4:E$16&gt;E12))+1,IF(H12="P",SUMPRODUCT((F$4:F$16="")*(H$4:H$16="P")*(E$4:E$16&gt;E12))+1+SUMPRODUCT((F$4:F$16="P")*(H$4:H$16="P")),""))</f>
        <v>5</v>
      </c>
      <c r="B12" s="9" t="s">
        <v>125</v>
      </c>
      <c r="C12" s="5" t="s">
        <v>6</v>
      </c>
      <c r="D12" s="27">
        <v>2002</v>
      </c>
      <c r="E12" s="16">
        <f>SUM(J12:R12)</f>
        <v>142.48500000000001</v>
      </c>
      <c r="F12" s="4" t="str">
        <f>IF(OR(AND($AK12&gt;=$AL$18,NOT($AK12=""),$AJ12=""),AND($BH12&gt;=$BI$18,NOT($BH12=""),$BG12=""),AND($CH12&gt;=$CI$18,NOT($CH12="")),AND($DD12&gt;=$DE$18,NOT($DD12="")),AND($DZ12&gt;=$EA$18,NOT($DZ12="")),AND($EV12&gt;=$EW$18,NOT($EV12="")),AND($FR12&gt;=$FS$18,NOT($FR12="")),AND($GN12&gt;=$GO$18,NOT($GN12="")),AND($HJ12&gt;=$HK$18,NOT($HJ12="")),AND($IF12&gt;=$IG$18,NOT($IF12="")),AND($JB12&gt;=$JC$18,NOT($JB12="")),AND($JX12&gt;=$JY$18,NOT($JX12="")),AND($KT12&gt;=$KU$18,NOT($KT12="")),AND($LP12&gt;=$LQ$18,NOT($LP12=""))),"P","")</f>
        <v/>
      </c>
      <c r="G12" s="4" t="str">
        <f>IF(OR(AND($AK12&gt;=$AL$19,NOT($AK12=""),$AJ12=""),AND($BH12&gt;=$BI$19,NOT($BH12=""),$BG12=""),AND($CH12&gt;=$CI$19,NOT($CH12="")),AND($DD12&gt;=$DE$19,NOT($DD12="")),AND($DZ12&gt;=$EA$19,NOT($DZ12="")),AND($EV12&gt;=$EW$19,NOT($EV12="")),AND($FR12&gt;=$FS$19,NOT($FR12="")),AND($GN12&gt;=$GO$19,NOT($GN12="")),AND($HJ12&gt;=$HK$19,NOT($HJ12="")),AND($IF12&gt;=$IG$19,NOT($IF12="")),AND($JB12&gt;=$JC$19,NOT($JB12="")),AND($JX12&gt;=$JY$19,NOT($JX12="")),AND($KT12&gt;=$KU$19,NOT($KT12="")),AND($LP12&gt;=$LQ$19,NOT($LP12=""))),"P","")</f>
        <v/>
      </c>
      <c r="H12" s="4" t="str">
        <f>IF(OR(AND($AN12&gt;=$AL$20,NOT($AN12=""),$AJ12=""),AND($BK12&gt;=$BI$20,NOT($BK12=""),$BG12=""),AND($CK12&gt;=$CI$20,NOT($CK12="")),AND($DG12&gt;=$DE$20,NOT($DG12="")),AND($EC12&gt;=$EA$20,NOT($EC12="")),AND($EY12&gt;=$EW$20,NOT($EY12="")),AND($FU12&gt;=$FS$20,NOT($FU12="")),AND($GQ12&gt;=$GO$20,NOT($GQ12="")),AND($HM12&gt;=$HK$20,NOT($HM12="")),AND($II12&gt;=$IG$20,NOT($II12="")),AND($JE12&gt;=$JC$20,NOT($JE12="")),AND($KA12&gt;=$JY$20,NOT($KA12="")),AND($KW12&gt;=$KU$20,NOT($KW12="")),AND($LS12&gt;=$LQ$20,NOT($LS12=""))),"P","")</f>
        <v>P</v>
      </c>
      <c r="I12" t="str">
        <f>IF(AND(H12="P",F12=""),"No DD",IF(AND(G12="P",OR(AND($AM12&gt;$AL$23,NOT($AM12=""),$AJ12=""),AND($AP12&gt;$AL$23,NOT($AP12=""),$AJ12=""),AND($BJ12&gt;$BI$23,NOT($BJ12=""),$BG12=""),AND($BM12&gt;$BI$23,NOT($BM12=""),$BG12=""),AND($CJ12&gt;$CI$23,NOT($CJ12="")),AND($CM12&gt;$CI$23,NOT($CM12="")),AND($DF12&gt;$DE$23,NOT($DF12="")),AND($DI12&gt;$DE$23,NOT($DI12="")),AND($EB12&gt;$EA$23,NOT($EB12="")),AND($EE12&gt;$EA$23,NOT($EE12="")),AND($EX12&gt;$EW$23,NOT($EX12="")),AND($FA12&gt;$EW$23,NOT($FA12="")),AND($FT12&gt;$FS$23,NOT($FT12="")),AND($FW12&gt;$FS$23,NOT($FW12="")),AND($GP12&gt;$GO$23,NOT($GP12="")),AND($GS12&gt;$GO$23,NOT($GS12="")),AND($HL12&gt;$HK$23,NOT($HL12="")),AND($HO12&gt;$HK$23,NOT($HO12="")),AND($IH12&gt;$IG$23,NOT($IH12="")),AND($IK12&gt;$IG$23,NOT($IK12="")),AND($JD12&gt;$JC$23,NOT($JD12="")),AND($JG12&gt;$JC$23,NOT($JG12="")),AND($JZ12&gt;$JY$23,NOT($JZ12="")),AND($KC12&gt;$JY$23,NOT($KC12="")),AND($KV12&gt;$KU$23,NOT($KV12="")),AND($KY12&gt;$KU$23,NOT($KY12="")),AND($LR12&gt;$LQ$23,NOT($LR12="")),AND($LU12&gt;$LQ$23,NOT($LU12="")))),"Merit",IF(AND(G12="P",OR(AND($AN12&gt;$AL$22,NOT($AN12=""),$AJ12=""),AND($BK12&gt;$BI$22,NOT($BK12=""),$BG12=""),AND($CK12&gt;$CI$22,NOT($CK12="")),AND($DG12&gt;$DE$22,NOT($DG12="")),AND($EC12&gt;$EA$22,NOT($EC12="")),AND($EY12&gt;$EW$22,NOT($EY12="")),AND($FU12&gt;$FS$22,NOT($FU12="")),AND($GQ12&gt;$GO$22,NOT($GQ12="")),AND($HM12&gt;$HK$22,NOT($HM12="")),AND($II12&gt;$IG$22,NOT($II12="")),AND($JE12&gt;$JC$22,NOT($JE12="")),AND($KA12&gt;$JY$22,NOT($KA12="")),AND($KW12&gt;$KU$22,NOT($KW12="")),AND($LS12&gt;$LQ$22,NOT($LS12="")))),"Excellence",IF(AND(G12="P",OR(AND($AN12&gt;$AL$21,NOT($AN12=""),$AJ12=""),AND($BK12&gt;$BI$21,NOT($BK12=""),$BG12=""),AND($CK12&gt;$CI$21,NOT($CK12="")),AND($DG12&gt;$DE$21,NOT($DG12="")),AND($EC12&gt;$EA$21,NOT($EC12="")),AND($EY12&gt;$EW$21,NOT($EY12="")),AND($FU12&gt;$FS$21,NOT($FU12="")),AND($GQ12&gt;$GO$21,NOT($GQ12="")),AND($HM12&gt;$HK$21,NOT($HM12="")),AND($II12&gt;$IG$21,NOT($II12="")),AND($JE12&gt;$JC$21,NOT($JE12="")),AND($KA12&gt;$JY$21,NOT($KA12="")),AND($KW12&gt;$KU$21,NOT($KW12="")),AND($LS12&gt;$LQ$21,NOT($LS12="")))),"Worlds Team",IF(AND(F12="P",OR(AND($AN12&gt;$AL$20,NOT($AN12=""),$AJ12=""),AND($BK12&gt;$BI$20,NOT($BK12=""),$BG12=""),AND($CK12&gt;$CI$20,NOT($CK12="")),AND($DG12&gt;$DE$20,NOT($DG12="")),AND($EC12&gt;$EA$20,NOT($EC12="")),AND($EY12&gt;$EW$20,NOT($EY12="")),AND($FU12&gt;$FS$20,NOT($FU12="")),AND($GQ12&gt;$GO$20,NOT($GQ12="")),AND($HM12&gt;$HK$20,NOT($HM12="")),AND($II12&gt;$IG$20,NOT($II12="")),AND($JE12&gt;$JC$20,NOT($JE12="")),AND($KA12&gt;$JY$20,NOT($KA12="")),AND($KW12&gt;$KU$20,NOT($KW12="")),AND($LS12&gt;$LQ$20,NOT($LS12="")))),"National Team","")))))</f>
        <v>No DD</v>
      </c>
      <c r="J12" s="15">
        <f>IF(MAX(AN12,BK12)&gt;0,MAX(AN12,BK12),"")</f>
        <v>93.365000000000009</v>
      </c>
      <c r="K12" s="15" t="str">
        <f>IF(J12="","",IF(J12=BK12,$AR$1,IF(J12=AN12,$U$1,"")))</f>
        <v>2019 Elite Canada</v>
      </c>
      <c r="L12" s="15" t="str">
        <f>IF($J12=$AN12,BI12,IF($J12=$BK12,AL12,MAX(AL12,BI12)))</f>
        <v/>
      </c>
      <c r="M12" s="15" t="str">
        <f>IF(L12="","",IF(L12=BI12,$AR$1,IF(L12=AL12,$U$1,"")))</f>
        <v/>
      </c>
      <c r="N12" s="15" t="str">
        <f>IF($J12=$AN12,BJ12,IF($J12=$BK12,AM12,MAX(AM12,BJ12)))</f>
        <v/>
      </c>
      <c r="O12" s="15" t="str">
        <f>IF(N12="","",IF(AND(N12=BJ12,$K12&lt;&gt;$AR$1),$AR$1,IF(AND(N12=AM12,$K12&lt;&gt;$U$1),$U$1,"")))</f>
        <v/>
      </c>
      <c r="P12" s="15">
        <f>IF(MAX(AP12,BM12)&gt;0,MAX(AP12,BM12),"")</f>
        <v>49.120000000000005</v>
      </c>
      <c r="Q12" s="15" t="str">
        <f>IF(P12="","",IF(P12=BM12,$AR$1,IF(P12=AP12,$U$1,"")))</f>
        <v>2019 Elite Canada</v>
      </c>
      <c r="R12" s="15" t="str">
        <f>IF(MAX(BO12,BP12,BQ12,BR12)&gt;0,MAX(BO12,BP12,BQ12,BR12),"")</f>
        <v/>
      </c>
      <c r="S12" s="25" t="str">
        <f>IF(R12="","",IF(R12=BO12,"(Vol 1)",IF(R12=BP12,"(Vol 2)",IF(R12=BQ12,"(Prelim)",IF(R12=BR12,"(Final)")))))</f>
        <v/>
      </c>
      <c r="T12" s="15" t="str">
        <f>IF(R12="","",IF(R12=BO12,IF(R12+IF(L12="",0,L12)=LQ12,$LA$1,IF(R12+IF(L12="",0,L12)=KU12,$KE$1,IF(R12+IF(L12="",0,L12)=JY12,$JI$1,IF(R12+IF(L12="",0,L12)=JC12,$IM$1,IF(R12+IF(L12="",0,L12)=IG12,$HQ$1,IF(R12+IF(L12="",0,L12)=HK12,$GU$1,IF(R12+IF(L12="",0,L12)=GO12,$FY$1,IF(R12+IF(L12="",0,L12)=FS12,$FC$1,IF(R12+IF(L12="",0,L12)=EW12,$EG$1,IF(R12+IF(L12="",0,L12)=EA12,$DK$1,IF(R12+IF(L12="",0,L12)=DE12,$CO$1,IF(R12+IF(L12="",0,L12)=CI12,$BS$1)))))))))))),IF(R12=BP12,IF(R12+IF(N12="",0,N12)=LR12,$LA$1,IF(R12+IF(N12="",0,N12)=KV12,$KE$1,IF(R12+IF(N12="",0,N12)=JZ12,$JI$1,IF(R12+IF(N12="",0,N12)=JD12,$IM$1,IF(R12+IF(N12="",0,N12)=IH12,$HQ$1,IF(R12+IF(N12="",0,N12)=HL12,$GU$1,IF(R12+IF(N12="",0,N12)=GP12,$FY$1,IF(R12+IF(N12="",0,N12)=FT12,$FC$1,IF(R12+IF(N12="",0,N12)=EX12,$EG$1,IF(R12+IF(N12="",0,N12)=EB12,$DK$1,IF(R12+IF(N12="",0,N12)=DF12,$CO$1,IF(R12+IF(N12="",0,N12)=CJ12,$BS$1)))))))))))),IF(R12=BQ12,IF(R12+IF(J12="",0,J12)=LS12,$LA$1,IF(R12+IF(J12="",0,J12)=KW12,$KE$1,IF(R12+IF(J12="",0,J12)=KA12,$JI$1,IF(R12+IF(J12="",0,J12)=JE12,$IM$1,IF(R12+IF(J12="",0,J12)=II12,$HQ$1,IF(R12+IF(J12="",0,J12)=HM12,$GU$1,IF(R12+IF(J12="",0,J12)=GQ12,$FY$1,IF(R12+IF(J12="",0,J12)=FU12,$FC$1,IF(R12+IF(J12="",0,J12)=EY12,$EG$1,IF(R12+IF(J12="",0,J12)=EC12,$DK$1,IF(R12+IF(J12="",0,J12)=DG12,$CO$1,IF(R12+IF(J12="",0,J12)=CK12,$BS$1)))))))))))),IF(R12=BR12,IF(R12+IF(P12="",0,P12)=LU12,$LA$1,IF(R12+IF(P12="",0,P12)=KY12,$KE$1,IF(R12+IF(P12="",0,P12)=KC12,$JI$1,IF(R12+IF(P12="",0,P12)=JG12,$IM$1,IF(R12+IF(P12="",0,P12)=IK12,$HQ$1,IF(R12+IF(P12="",0,P12)=HO12,$GU$1,IF(R12+IF(P12="",0,P12)=GS12,$FY$1,IF(R12+IF(P12="",0,P12)=FW12,$FC$1,IF(R12+IF(P12="",0,P12)=FA12,$EG$1,IF(R12+IF(P12="",0,P12)=EE12,$DK$1,IF(R12+IF(P12="",0,P12)=DI12,$CO$1,IF(R12+IF(P12="",0,P12)=CM12,$BS$1)))))))))))))))))</f>
        <v/>
      </c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74"/>
      <c r="AK12" s="12" t="str">
        <f>IF(AB12&gt;0,AB12,"")</f>
        <v/>
      </c>
      <c r="AL12" s="12" t="str">
        <f>IF(SUM(U12:X12)-Y12&gt;0,SUM(U12:X12)-Y12,"")</f>
        <v/>
      </c>
      <c r="AM12" s="12" t="str">
        <f>IF(SUM(Z12:AC12)-AD12&gt;0,SUM(Z12:AC12)-AD12,"")</f>
        <v/>
      </c>
      <c r="AN12" s="12" t="str">
        <f>IF(SUM(AL12:AM12)&gt;0,SUM(AL12:AM12),"")</f>
        <v/>
      </c>
      <c r="AO12" s="12" t="str">
        <f>IF(AG12&gt;0,AG12,"")</f>
        <v/>
      </c>
      <c r="AP12" s="12" t="str">
        <f>IF(SUM(AE12:AH12)-AI12&gt;0,SUM(AE12:AH12)-AI12,"")</f>
        <v/>
      </c>
      <c r="AQ12" s="12" t="str">
        <f>IF(SUM(AN12,AP12)&gt;0,SUM(AN12,AP12),"")</f>
        <v/>
      </c>
      <c r="AR12" s="69">
        <v>17</v>
      </c>
      <c r="AS12" s="69">
        <v>9.4499999999999993</v>
      </c>
      <c r="AT12" s="69">
        <v>3.8</v>
      </c>
      <c r="AU12" s="69">
        <v>14.29</v>
      </c>
      <c r="AV12" s="69">
        <v>0</v>
      </c>
      <c r="AW12" s="69">
        <v>15</v>
      </c>
      <c r="AX12" s="69">
        <v>9.35</v>
      </c>
      <c r="AY12" s="69">
        <v>10.5</v>
      </c>
      <c r="AZ12" s="69">
        <v>13.975</v>
      </c>
      <c r="BA12" s="69">
        <v>0</v>
      </c>
      <c r="BB12" s="69">
        <v>15.4</v>
      </c>
      <c r="BC12" s="69">
        <v>9.3000000000000007</v>
      </c>
      <c r="BD12" s="69">
        <v>10.5</v>
      </c>
      <c r="BE12" s="69">
        <v>13.92</v>
      </c>
      <c r="BF12" s="69">
        <v>0</v>
      </c>
      <c r="BG12" s="75"/>
      <c r="BH12" s="15">
        <f>IF(AY12&gt;0,AY12,"")</f>
        <v>10.5</v>
      </c>
      <c r="BI12" s="15">
        <f>IF(SUM(AR12:AU12)-AV12&gt;0,SUM(AR12:AU12)-AV12,"")</f>
        <v>44.54</v>
      </c>
      <c r="BJ12" s="15">
        <f>IF(SUM(AW12:AZ12)-BA12&gt;0,SUM(AW12:AZ12)-BA12,"")</f>
        <v>48.825000000000003</v>
      </c>
      <c r="BK12" s="15">
        <f>IF(SUM(BI12:BJ12)&gt;0,SUM(BI12:BJ12),"")</f>
        <v>93.365000000000009</v>
      </c>
      <c r="BL12" s="15">
        <f>IF(BD12&gt;0,BD12,"")</f>
        <v>10.5</v>
      </c>
      <c r="BM12" s="15">
        <f>IF(SUM(BB12:BE12)-BF12&gt;0,SUM(BB12:BE12)-BF12,"")</f>
        <v>49.120000000000005</v>
      </c>
      <c r="BN12" s="15">
        <f>IF(SUM(BK12,BM12)&gt;0,SUM(BK12,BM12),"")</f>
        <v>142.48500000000001</v>
      </c>
      <c r="BO12" s="24" t="str">
        <f>IF(MAX(CI12,DE12,EA12,EW12,FS12,GO12,HK12,IG12,JC12,JY12,KU12,LQ12)-IF(L12="",0,L12)&gt;0.001,MAX(CI12,DE12,EA12,EW12,FS12,GO12,HK12,IG12,JC12,JY12,KU12,LQ12)-IF(L12="",0,L12),"")</f>
        <v/>
      </c>
      <c r="BP12" s="24" t="str">
        <f>IF(MAX(CJ12,DF12,EB12,EX12,FT12,GP12,HL12,IH12,JD12,JZ12,KV12,LR12)-IF(N12="",0,N12)&gt;0.001,MAX(CJ12,DF12,EB12,EX12,FT12,GP12,HL12,IH12,JD12,JZ12,KV12,LR12)-IF(N12="",0,N12),"")</f>
        <v/>
      </c>
      <c r="BQ12" s="24" t="str">
        <f>IF(MAX(CK12,DG12,EC12,EY12,FU12,GQ12,HM12,II12,JE12,KA12,KW12,LS12)-IF(J12="",0,J12)&gt;0.001,MAX(CK12,DG12,EC12,EY12,FU12,GQ12,HM12,II12,JE12,KA12,KW12,LS12)-IF(J12="",0,J12),"")</f>
        <v/>
      </c>
      <c r="BR12" s="24" t="str">
        <f>IF(MAX(CM12,DI12,EE12,FA12,FW12,GS12,HO12,IK12,JG12,KC12,KY12,LU12)-IF(P12="",0,P12)&gt;0.001,MAX(CM12,DI12,EE12,FA12,FW12,GS12,HO12,IK12,JG12,KC12,KY12,LU12)-IF(P12="",0,P12),"")</f>
        <v/>
      </c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12" t="str">
        <f>IF(BZ12&gt;0,BZ12,"")</f>
        <v/>
      </c>
      <c r="CI12" s="12" t="str">
        <f>IF(SUM(BS12:BV12)-BW12&gt;0,SUM(BS12:BV12)-BW12,"")</f>
        <v/>
      </c>
      <c r="CJ12" s="12" t="str">
        <f>IF(SUM(BX12:CA12)-CB12&gt;0,SUM(BX12:CA12)-CB12,"")</f>
        <v/>
      </c>
      <c r="CK12" s="12" t="str">
        <f>IF(SUM(CI12:CJ12)&gt;0,SUM(CI12:CJ12),"")</f>
        <v/>
      </c>
      <c r="CL12" s="12" t="str">
        <f>IF(CE12&gt;0,CE12,"")</f>
        <v/>
      </c>
      <c r="CM12" s="12" t="str">
        <f>IF(SUM(CC12:CF12)-CG12&gt;0,SUM(CC12:CF12)-CG12,"")</f>
        <v/>
      </c>
      <c r="CN12" s="12" t="str">
        <f>IF(SUM(CK12,CM12)&gt;0,SUM(CK12,CM12),"")</f>
        <v/>
      </c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15" t="str">
        <f>IF(CV12&gt;0,CV12,"")</f>
        <v/>
      </c>
      <c r="DE12" s="15" t="str">
        <f>IF(SUM(CO12:CR12)-CS12&gt;0,SUM(CO12:CR12)-CS12,"")</f>
        <v/>
      </c>
      <c r="DF12" s="15" t="str">
        <f>IF(SUM(CT12:CW12)-CX12&gt;0,SUM(CT12:CW12)-CX12,"")</f>
        <v/>
      </c>
      <c r="DG12" s="15" t="str">
        <f>IF(SUM(DE12:DF12)&gt;0,SUM(DE12:DF12),"")</f>
        <v/>
      </c>
      <c r="DH12" s="15" t="str">
        <f>IF(DA12&gt;0,DA12,"")</f>
        <v/>
      </c>
      <c r="DI12" s="15" t="str">
        <f>IF(SUM(CY12:DB12)-DC12&gt;0,SUM(CY12:DB12)-DC12,"")</f>
        <v/>
      </c>
      <c r="DJ12" s="15" t="str">
        <f>IF(SUM(DG12,DI12)&gt;0,SUM(DG12,DI12),"")</f>
        <v/>
      </c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12" t="str">
        <f>IF(DR12&gt;0,DR12,"")</f>
        <v/>
      </c>
      <c r="EA12" s="12" t="str">
        <f>IF(SUM(DK12:DN12)-DO12&gt;0,SUM(DK12:DN12)-DO12,"")</f>
        <v/>
      </c>
      <c r="EB12" s="12" t="str">
        <f>IF(SUM(DP12:DS12)-DT12&gt;0,SUM(DP12:DS12)-DT12,"")</f>
        <v/>
      </c>
      <c r="EC12" s="12" t="str">
        <f>IF(SUM(EA12:EB12)&gt;0,SUM(EA12:EB12),"")</f>
        <v/>
      </c>
      <c r="ED12" s="12" t="str">
        <f>IF(DW12&gt;0,DW12,"")</f>
        <v/>
      </c>
      <c r="EE12" s="12" t="str">
        <f>IF(SUM(DU12:DX12)-DY12&gt;0,SUM(DU12:DX12)-DY12,"")</f>
        <v/>
      </c>
      <c r="EF12" s="12" t="str">
        <f>IF(SUM(EC12,EE12)&gt;0,SUM(EC12,EE12),"")</f>
        <v/>
      </c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15" t="str">
        <f>IF(EN12&gt;0,EN12,"")</f>
        <v/>
      </c>
      <c r="EW12" s="15" t="str">
        <f>IF(SUM(EG12:EJ12)-EK12&gt;0,SUM(EG12:EJ12)-EK12,"")</f>
        <v/>
      </c>
      <c r="EX12" s="15" t="str">
        <f>IF(SUM(EL12:EO12)-EP12&gt;0,SUM(EL12:EO12)-EP12,"")</f>
        <v/>
      </c>
      <c r="EY12" s="15" t="str">
        <f>IF(SUM(EW12:EX12)&gt;0,SUM(EW12:EX12),"")</f>
        <v/>
      </c>
      <c r="EZ12" s="15" t="str">
        <f>IF(ES12&gt;0,ES12,"")</f>
        <v/>
      </c>
      <c r="FA12" s="15" t="str">
        <f>IF(SUM(EQ12:ET12)-EU12&gt;0,SUM(EQ12:ET12)-EU12,"")</f>
        <v/>
      </c>
      <c r="FB12" s="15" t="str">
        <f>IF(SUM(EY12,FA12)&gt;0,SUM(EY12,FA12),"")</f>
        <v/>
      </c>
      <c r="FC12" s="36"/>
      <c r="FD12" s="36"/>
      <c r="FE12" s="36"/>
      <c r="FF12" s="36"/>
      <c r="FG12" s="36"/>
      <c r="FH12" s="36"/>
      <c r="FI12" s="36"/>
      <c r="FJ12" s="36"/>
      <c r="FK12" s="36"/>
      <c r="FL12" s="36"/>
      <c r="FM12" s="36"/>
      <c r="FN12" s="36"/>
      <c r="FO12" s="36"/>
      <c r="FP12" s="36"/>
      <c r="FQ12" s="36"/>
      <c r="FR12" s="12" t="str">
        <f>IF(FJ12&gt;0,FJ12,"")</f>
        <v/>
      </c>
      <c r="FS12" s="12" t="str">
        <f>IF(SUM(FC12:FF12)-FG12&gt;0,SUM(FC12:FF12)-FG12,"")</f>
        <v/>
      </c>
      <c r="FT12" s="12" t="str">
        <f>IF(SUM(FH12:FK12)-FL12&gt;0,SUM(FH12:FK12)-FL12,"")</f>
        <v/>
      </c>
      <c r="FU12" s="12" t="str">
        <f>IF(SUM(FS12:FT12)&gt;0,SUM(FS12:FT12),"")</f>
        <v/>
      </c>
      <c r="FV12" s="12" t="str">
        <f>IF(FO12&gt;0,FO12,"")</f>
        <v/>
      </c>
      <c r="FW12" s="12" t="str">
        <f>IF(SUM(FM12:FP12)-FQ12&gt;0,SUM(FM12:FP12)-FQ12,"")</f>
        <v/>
      </c>
      <c r="FX12" s="12" t="str">
        <f>IF(SUM(FU12,FW12)&gt;0,SUM(FU12,FW12),"")</f>
        <v/>
      </c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15" t="str">
        <f>IF(GF12&gt;0,GF12,"")</f>
        <v/>
      </c>
      <c r="GO12" s="15" t="str">
        <f>IF(SUM(FY12:GB12)-GC12&gt;0,SUM(FY12:GB12)-GC12,"")</f>
        <v/>
      </c>
      <c r="GP12" s="15" t="str">
        <f>IF(SUM(GD12:GG12)-GH12&gt;0,SUM(GD12:GG12)-GH12,"")</f>
        <v/>
      </c>
      <c r="GQ12" s="15" t="str">
        <f>IF(SUM(GO12:GP12)&gt;0,SUM(GO12:GP12),"")</f>
        <v/>
      </c>
      <c r="GR12" s="15" t="str">
        <f>IF(GK12&gt;0,GK12,"")</f>
        <v/>
      </c>
      <c r="GS12" s="15" t="str">
        <f>IF(SUM(GI12:GL12)-GM12&gt;0,SUM(GI12:GL12)-GM12,"")</f>
        <v/>
      </c>
      <c r="GT12" s="15" t="str">
        <f>IF(SUM(GQ12,GS12)&gt;0,SUM(GQ12,GS12),"")</f>
        <v/>
      </c>
      <c r="GU12" s="36"/>
      <c r="GV12" s="36"/>
      <c r="GW12" s="36"/>
      <c r="GX12" s="36"/>
      <c r="GY12" s="36"/>
      <c r="GZ12" s="36"/>
      <c r="HA12" s="36"/>
      <c r="HB12" s="36"/>
      <c r="HC12" s="36"/>
      <c r="HD12" s="36"/>
      <c r="HE12" s="36"/>
      <c r="HF12" s="36"/>
      <c r="HG12" s="36"/>
      <c r="HH12" s="36"/>
      <c r="HI12" s="36"/>
      <c r="HJ12" s="12" t="str">
        <f>IF(HB12&gt;0,HB12,"")</f>
        <v/>
      </c>
      <c r="HK12" s="12" t="str">
        <f>IF(SUM(GU12:GX12)-GY12&gt;0,SUM(GU12:GX12)-GY12,"")</f>
        <v/>
      </c>
      <c r="HL12" s="12" t="str">
        <f>IF(SUM(GZ12:HC12)-HD12&gt;0,SUM(GZ12:HC12)-HD12,"")</f>
        <v/>
      </c>
      <c r="HM12" s="12" t="str">
        <f>IF(SUM(HK12:HL12)&gt;0,SUM(HK12:HL12),"")</f>
        <v/>
      </c>
      <c r="HN12" s="12" t="str">
        <f>IF(HG12&gt;0,HG12,"")</f>
        <v/>
      </c>
      <c r="HO12" s="12" t="str">
        <f>IF(SUM(HE12:HH12)-HI12&gt;0,SUM(HE12:HH12)-HI12,"")</f>
        <v/>
      </c>
      <c r="HP12" s="12" t="str">
        <f>IF(SUM(HM12,HO12)&gt;0,SUM(HM12,HO12),"")</f>
        <v/>
      </c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15" t="str">
        <f>IF(HX12&gt;0,HX12,"")</f>
        <v/>
      </c>
      <c r="IG12" s="15" t="str">
        <f>IF(SUM(HQ12:HT12)-HU12&gt;0,SUM(HQ12:HT12)-HU12,"")</f>
        <v/>
      </c>
      <c r="IH12" s="15" t="str">
        <f>IF(SUM(HV12:HY12)-HZ12&gt;0,SUM(HV12:HY12)-HZ12,"")</f>
        <v/>
      </c>
      <c r="II12" s="15" t="str">
        <f>IF(SUM(IG12:IH12)&gt;0,SUM(IG12:IH12),"")</f>
        <v/>
      </c>
      <c r="IJ12" s="15" t="str">
        <f>IF(IC12&gt;0,IC12,"")</f>
        <v/>
      </c>
      <c r="IK12" s="15" t="str">
        <f>IF(SUM(IA12:ID12)-IE12&gt;0,SUM(IA12:ID12)-IE12,"")</f>
        <v/>
      </c>
      <c r="IL12" s="15" t="str">
        <f>IF(SUM(II12,IK12)&gt;0,SUM(II12,IK12),"")</f>
        <v/>
      </c>
      <c r="IM12" s="36"/>
      <c r="IN12" s="36"/>
      <c r="IO12" s="36"/>
      <c r="IP12" s="36"/>
      <c r="IQ12" s="36"/>
      <c r="IR12" s="36"/>
      <c r="IS12" s="36"/>
      <c r="IT12" s="36"/>
      <c r="IU12" s="36"/>
      <c r="IV12" s="36"/>
      <c r="IW12" s="36"/>
      <c r="IX12" s="36"/>
      <c r="IY12" s="36"/>
      <c r="IZ12" s="36"/>
      <c r="JA12" s="36"/>
      <c r="JB12" s="12" t="str">
        <f>IF(IT12&gt;0,IT12,"")</f>
        <v/>
      </c>
      <c r="JC12" s="12" t="str">
        <f>IF(SUM(IM12:IP12)-IQ12&gt;0,SUM(IM12:IP12)-IQ12,"")</f>
        <v/>
      </c>
      <c r="JD12" s="12" t="str">
        <f>IF(SUM(IR12:IU12)-IV12&gt;0,SUM(IR12:IU12)-IV12,"")</f>
        <v/>
      </c>
      <c r="JE12" s="12" t="str">
        <f>IF(SUM(JC12:JD12)&gt;0,SUM(JC12:JD12),"")</f>
        <v/>
      </c>
      <c r="JF12" s="12" t="str">
        <f>IF(IY12&gt;0,IY12,"")</f>
        <v/>
      </c>
      <c r="JG12" s="12" t="str">
        <f>IF(SUM(IW12:IZ12)-JA12&gt;0,SUM(IW12:IZ12)-JA12,"")</f>
        <v/>
      </c>
      <c r="JH12" s="12" t="str">
        <f>IF(SUM(JE12,JG12)&gt;0,SUM(JE12,JG12),"")</f>
        <v/>
      </c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15" t="str">
        <f>IF(JP12&gt;0,JP12,"")</f>
        <v/>
      </c>
      <c r="JY12" s="15" t="str">
        <f>IF(SUM(JI12:JL12)-JM12&gt;0,SUM(JI12:JL12)-JM12,"")</f>
        <v/>
      </c>
      <c r="JZ12" s="15" t="str">
        <f>IF(SUM(JN12:JQ12)-JR12&gt;0,SUM(JN12:JQ12)-JR12,"")</f>
        <v/>
      </c>
      <c r="KA12" s="15" t="str">
        <f>IF(SUM(JY12:JZ12)&gt;0,SUM(JY12:JZ12),"")</f>
        <v/>
      </c>
      <c r="KB12" s="15" t="str">
        <f>IF(JU12&gt;0,JU12,"")</f>
        <v/>
      </c>
      <c r="KC12" s="15" t="str">
        <f>IF(SUM(JS12:JV12)-JW12&gt;0,SUM(JS12:JV12)-JW12,"")</f>
        <v/>
      </c>
      <c r="KD12" s="15" t="str">
        <f>IF(SUM(KA12,KC12)&gt;0,SUM(KA12,KC12),"")</f>
        <v/>
      </c>
      <c r="KE12" s="36"/>
      <c r="KF12" s="36"/>
      <c r="KG12" s="36"/>
      <c r="KH12" s="36"/>
      <c r="KI12" s="36"/>
      <c r="KJ12" s="36"/>
      <c r="KK12" s="36"/>
      <c r="KL12" s="36"/>
      <c r="KM12" s="36"/>
      <c r="KN12" s="36"/>
      <c r="KO12" s="36"/>
      <c r="KP12" s="36"/>
      <c r="KQ12" s="36"/>
      <c r="KR12" s="36"/>
      <c r="KS12" s="36"/>
      <c r="KT12" s="12" t="str">
        <f>IF(KL12&gt;0,KL12,"")</f>
        <v/>
      </c>
      <c r="KU12" s="12" t="str">
        <f>IF(SUM(KE12:KH12)-KI12&gt;0,SUM(KE12:KH12)-KI12,"")</f>
        <v/>
      </c>
      <c r="KV12" s="12" t="str">
        <f>IF(SUM(KJ12:KM12)-KN12&gt;0,SUM(KJ12:KM12)-KN12,"")</f>
        <v/>
      </c>
      <c r="KW12" s="12" t="str">
        <f>IF(SUM(KU12:KV12)&gt;0,SUM(KU12:KV12),"")</f>
        <v/>
      </c>
      <c r="KX12" s="12" t="str">
        <f>IF(KQ12&gt;0,KQ12,"")</f>
        <v/>
      </c>
      <c r="KY12" s="12" t="str">
        <f>IF(SUM(KO12:KR12)-KS12&gt;0,SUM(KO12:KR12)-KS12,"")</f>
        <v/>
      </c>
      <c r="KZ12" s="12" t="str">
        <f>IF(SUM(KW12,KY12)&gt;0,SUM(KW12,KY12),"")</f>
        <v/>
      </c>
      <c r="LA12" s="37"/>
      <c r="LB12" s="37"/>
      <c r="LC12" s="37"/>
      <c r="LD12" s="37"/>
      <c r="LE12" s="37"/>
      <c r="LF12" s="37"/>
      <c r="LG12" s="37"/>
      <c r="LH12" s="37"/>
      <c r="LI12" s="37"/>
      <c r="LJ12" s="37"/>
      <c r="LK12" s="37"/>
      <c r="LL12" s="37"/>
      <c r="LM12" s="37"/>
      <c r="LN12" s="37"/>
      <c r="LO12" s="37"/>
      <c r="LP12" s="15" t="str">
        <f>IF(LH12&gt;0,LH12,"")</f>
        <v/>
      </c>
      <c r="LQ12" s="15" t="str">
        <f>IF(SUM(LA12:LD12)-LE12&gt;0,SUM(LA12:LD12)-LE12,"")</f>
        <v/>
      </c>
      <c r="LR12" s="15" t="str">
        <f>IF(SUM(LF12:LI12)-LJ12&gt;0,SUM(LF12:LI12)-LJ12,"")</f>
        <v/>
      </c>
      <c r="LS12" s="15" t="str">
        <f>IF(SUM(LQ12:LR12)&gt;0,SUM(LQ12:LR12),"")</f>
        <v/>
      </c>
      <c r="LT12" s="15" t="str">
        <f>IF(LM12&gt;0,LM12,"")</f>
        <v/>
      </c>
      <c r="LU12" s="15" t="str">
        <f>IF(SUM(LK12:LN12)-LO12&gt;0,SUM(LK12:LN12)-LO12,"")</f>
        <v/>
      </c>
      <c r="LV12" s="15" t="str">
        <f>IF(SUM(LS12,LU12)&gt;0,SUM(LS12,LU12),"")</f>
        <v/>
      </c>
      <c r="LW12" s="63">
        <f t="shared" si="7"/>
        <v>8.5</v>
      </c>
      <c r="LX12" s="63">
        <f t="shared" si="8"/>
        <v>4.7249999999999996</v>
      </c>
      <c r="LY12" s="63">
        <f t="shared" si="9"/>
        <v>1.9</v>
      </c>
      <c r="LZ12" s="63">
        <f t="shared" si="10"/>
        <v>7.1449999999999996</v>
      </c>
      <c r="MA12" s="63">
        <f t="shared" si="11"/>
        <v>0</v>
      </c>
      <c r="MB12" s="63">
        <f t="shared" si="12"/>
        <v>7.5</v>
      </c>
      <c r="MC12" s="63">
        <f t="shared" si="13"/>
        <v>4.6749999999999998</v>
      </c>
      <c r="MD12" s="63">
        <f t="shared" si="14"/>
        <v>5.25</v>
      </c>
      <c r="ME12" s="63">
        <f t="shared" si="15"/>
        <v>6.9874999999999998</v>
      </c>
      <c r="MF12" s="63">
        <f t="shared" si="16"/>
        <v>0</v>
      </c>
      <c r="MG12" s="63">
        <f t="shared" si="17"/>
        <v>7.7</v>
      </c>
      <c r="MH12" s="63">
        <f t="shared" si="18"/>
        <v>4.6500000000000004</v>
      </c>
      <c r="MI12" s="63">
        <f t="shared" si="19"/>
        <v>5.25</v>
      </c>
      <c r="MJ12" s="63">
        <f t="shared" si="20"/>
        <v>6.96</v>
      </c>
      <c r="MK12" s="63">
        <f t="shared" si="21"/>
        <v>0</v>
      </c>
      <c r="ML12" s="74" t="s">
        <v>119</v>
      </c>
      <c r="MM12" s="12">
        <f t="shared" si="22"/>
        <v>5.25</v>
      </c>
      <c r="MN12" s="12">
        <f t="shared" si="23"/>
        <v>22.27</v>
      </c>
      <c r="MO12" s="12">
        <f t="shared" si="24"/>
        <v>24.412500000000001</v>
      </c>
      <c r="MP12" s="12">
        <f t="shared" si="25"/>
        <v>46.682500000000005</v>
      </c>
      <c r="MQ12" s="12">
        <f t="shared" si="26"/>
        <v>5.25</v>
      </c>
      <c r="MR12" s="12">
        <f t="shared" si="27"/>
        <v>24.560000000000002</v>
      </c>
      <c r="MS12" s="12">
        <f t="shared" si="28"/>
        <v>71.242500000000007</v>
      </c>
    </row>
    <row r="13" spans="1:357" x14ac:dyDescent="0.2">
      <c r="A13" s="6" t="str">
        <f>IF(AND(F13="P",H13="P"),SUMPRODUCT((F$4:F$16="P")*(H$4:H$16="P")*(E$4:E$16&gt;E13))+1,IF(H13="P",SUMPRODUCT((F$4:F$16="")*(H$4:H$16="P")*(E$4:E$16&gt;E13))+1+SUMPRODUCT((F$4:F$16="P")*(H$4:H$16="P")),""))</f>
        <v/>
      </c>
      <c r="B13" s="9" t="s">
        <v>102</v>
      </c>
      <c r="C13" s="5" t="s">
        <v>3</v>
      </c>
      <c r="D13" s="27">
        <v>2000</v>
      </c>
      <c r="E13" s="16">
        <f>SUM(J13:R13)</f>
        <v>137</v>
      </c>
      <c r="F13" s="4" t="str">
        <f>IF(OR(AND($AK13&gt;=$AL$18,NOT($AK13=""),$AJ13=""),AND($BH13&gt;=$BI$18,NOT($BH13=""),$BG13=""),AND($CH13&gt;=$CI$18,NOT($CH13="")),AND($DD13&gt;=$DE$18,NOT($DD13="")),AND($DZ13&gt;=$EA$18,NOT($DZ13="")),AND($EV13&gt;=$EW$18,NOT($EV13="")),AND($FR13&gt;=$FS$18,NOT($FR13="")),AND($GN13&gt;=$GO$18,NOT($GN13="")),AND($HJ13&gt;=$HK$18,NOT($HJ13="")),AND($IF13&gt;=$IG$18,NOT($IF13="")),AND($JB13&gt;=$JC$18,NOT($JB13="")),AND($JX13&gt;=$JY$18,NOT($JX13="")),AND($KT13&gt;=$KU$18,NOT($KT13="")),AND($LP13&gt;=$LQ$18,NOT($LP13=""))),"P","")</f>
        <v/>
      </c>
      <c r="G13" s="4" t="str">
        <f>IF(OR(AND($AK13&gt;=$AL$19,NOT($AK13=""),$AJ13=""),AND($BH13&gt;=$BI$19,NOT($BH13=""),$BG13=""),AND($CH13&gt;=$CI$19,NOT($CH13="")),AND($DD13&gt;=$DE$19,NOT($DD13="")),AND($DZ13&gt;=$EA$19,NOT($DZ13="")),AND($EV13&gt;=$EW$19,NOT($EV13="")),AND($FR13&gt;=$FS$19,NOT($FR13="")),AND($GN13&gt;=$GO$19,NOT($GN13="")),AND($HJ13&gt;=$HK$19,NOT($HJ13="")),AND($IF13&gt;=$IG$19,NOT($IF13="")),AND($JB13&gt;=$JC$19,NOT($JB13="")),AND($JX13&gt;=$JY$19,NOT($JX13="")),AND($KT13&gt;=$KU$19,NOT($KT13="")),AND($LP13&gt;=$LQ$19,NOT($LP13=""))),"P","")</f>
        <v/>
      </c>
      <c r="H13" s="4" t="str">
        <f>IF(OR(AND($AN13&gt;=$AL$20,NOT($AN13=""),$AJ13=""),AND($BK13&gt;=$BI$20,NOT($BK13=""),$BG13=""),AND($CK13&gt;=$CI$20,NOT($CK13="")),AND($DG13&gt;=$DE$20,NOT($DG13="")),AND($EC13&gt;=$EA$20,NOT($EC13="")),AND($EY13&gt;=$EW$20,NOT($EY13="")),AND($FU13&gt;=$FS$20,NOT($FU13="")),AND($GQ13&gt;=$GO$20,NOT($GQ13="")),AND($HM13&gt;=$HK$20,NOT($HM13="")),AND($II13&gt;=$IG$20,NOT($II13="")),AND($JE13&gt;=$JC$20,NOT($JE13="")),AND($KA13&gt;=$JY$20,NOT($KA13="")),AND($KW13&gt;=$KU$20,NOT($KW13="")),AND($LS13&gt;=$LQ$20,NOT($LS13=""))),"P","")</f>
        <v/>
      </c>
      <c r="I13" t="str">
        <f>IF(AND(H13="P",F13=""),"No DD",IF(AND(G13="P",OR(AND($AM13&gt;$AL$23,NOT($AM13=""),$AJ13=""),AND($AP13&gt;$AL$23,NOT($AP13=""),$AJ13=""),AND($BJ13&gt;$BI$23,NOT($BJ13=""),$BG13=""),AND($BM13&gt;$BI$23,NOT($BM13=""),$BG13=""),AND($CJ13&gt;$CI$23,NOT($CJ13="")),AND($CM13&gt;$CI$23,NOT($CM13="")),AND($DF13&gt;$DE$23,NOT($DF13="")),AND($DI13&gt;$DE$23,NOT($DI13="")),AND($EB13&gt;$EA$23,NOT($EB13="")),AND($EE13&gt;$EA$23,NOT($EE13="")),AND($EX13&gt;$EW$23,NOT($EX13="")),AND($FA13&gt;$EW$23,NOT($FA13="")),AND($FT13&gt;$FS$23,NOT($FT13="")),AND($FW13&gt;$FS$23,NOT($FW13="")),AND($GP13&gt;$GO$23,NOT($GP13="")),AND($GS13&gt;$GO$23,NOT($GS13="")),AND($HL13&gt;$HK$23,NOT($HL13="")),AND($HO13&gt;$HK$23,NOT($HO13="")),AND($IH13&gt;$IG$23,NOT($IH13="")),AND($IK13&gt;$IG$23,NOT($IK13="")),AND($JD13&gt;$JC$23,NOT($JD13="")),AND($JG13&gt;$JC$23,NOT($JG13="")),AND($JZ13&gt;$JY$23,NOT($JZ13="")),AND($KC13&gt;$JY$23,NOT($KC13="")),AND($KV13&gt;$KU$23,NOT($KV13="")),AND($KY13&gt;$KU$23,NOT($KY13="")),AND($LR13&gt;$LQ$23,NOT($LR13="")),AND($LU13&gt;$LQ$23,NOT($LU13="")))),"Merit",IF(AND(G13="P",OR(AND($AN13&gt;$AL$22,NOT($AN13=""),$AJ13=""),AND($BK13&gt;$BI$22,NOT($BK13=""),$BG13=""),AND($CK13&gt;$CI$22,NOT($CK13="")),AND($DG13&gt;$DE$22,NOT($DG13="")),AND($EC13&gt;$EA$22,NOT($EC13="")),AND($EY13&gt;$EW$22,NOT($EY13="")),AND($FU13&gt;$FS$22,NOT($FU13="")),AND($GQ13&gt;$GO$22,NOT($GQ13="")),AND($HM13&gt;$HK$22,NOT($HM13="")),AND($II13&gt;$IG$22,NOT($II13="")),AND($JE13&gt;$JC$22,NOT($JE13="")),AND($KA13&gt;$JY$22,NOT($KA13="")),AND($KW13&gt;$KU$22,NOT($KW13="")),AND($LS13&gt;$LQ$22,NOT($LS13="")))),"Excellence",IF(AND(G13="P",OR(AND($AN13&gt;$AL$21,NOT($AN13=""),$AJ13=""),AND($BK13&gt;$BI$21,NOT($BK13=""),$BG13=""),AND($CK13&gt;$CI$21,NOT($CK13="")),AND($DG13&gt;$DE$21,NOT($DG13="")),AND($EC13&gt;$EA$21,NOT($EC13="")),AND($EY13&gt;$EW$21,NOT($EY13="")),AND($FU13&gt;$FS$21,NOT($FU13="")),AND($GQ13&gt;$GO$21,NOT($GQ13="")),AND($HM13&gt;$HK$21,NOT($HM13="")),AND($II13&gt;$IG$21,NOT($II13="")),AND($JE13&gt;$JC$21,NOT($JE13="")),AND($KA13&gt;$JY$21,NOT($KA13="")),AND($KW13&gt;$KU$21,NOT($KW13="")),AND($LS13&gt;$LQ$21,NOT($LS13="")))),"Worlds Team",IF(AND(F13="P",OR(AND($AN13&gt;$AL$20,NOT($AN13=""),$AJ13=""),AND($BK13&gt;$BI$20,NOT($BK13=""),$BG13=""),AND($CK13&gt;$CI$20,NOT($CK13="")),AND($DG13&gt;$DE$20,NOT($DG13="")),AND($EC13&gt;$EA$20,NOT($EC13="")),AND($EY13&gt;$EW$20,NOT($EY13="")),AND($FU13&gt;$FS$20,NOT($FU13="")),AND($GQ13&gt;$GO$20,NOT($GQ13="")),AND($HM13&gt;$HK$20,NOT($HM13="")),AND($II13&gt;$IG$20,NOT($II13="")),AND($JE13&gt;$JC$20,NOT($JE13="")),AND($KA13&gt;$JY$20,NOT($KA13="")),AND($KW13&gt;$KU$20,NOT($KW13="")),AND($LS13&gt;$LQ$20,NOT($LS13="")))),"National Team","")))))</f>
        <v/>
      </c>
      <c r="J13" s="15">
        <f>IF(MAX(AN13,BK13)&gt;0,MAX(AN13,BK13),"")</f>
        <v>90.47</v>
      </c>
      <c r="K13" s="15" t="str">
        <f>IF(J13="","",IF(J13=BK13,$AR$1,IF(J13=AN13,$U$1,"")))</f>
        <v>2018 Nationals</v>
      </c>
      <c r="L13" s="15" t="str">
        <f>IF($J13=$AN13,BI13,IF($J13=$BK13,AL13,MAX(AL13,BI13)))</f>
        <v/>
      </c>
      <c r="M13" s="15" t="str">
        <f>IF(L13="","",IF(L13=BI13,$AR$1,IF(L13=AL13,$U$1,"")))</f>
        <v/>
      </c>
      <c r="N13" s="15" t="str">
        <f>IF($J13=$AN13,BJ13,IF($J13=$BK13,AM13,MAX(AM13,BJ13)))</f>
        <v/>
      </c>
      <c r="O13" s="15" t="str">
        <f>IF(N13="","",IF(AND(N13=BJ13,$K13&lt;&gt;$AR$1),$AR$1,IF(AND(N13=AM13,$K13&lt;&gt;$U$1),$U$1,"")))</f>
        <v/>
      </c>
      <c r="P13" s="15">
        <f>IF(MAX(AP13,BM13)&gt;0,MAX(AP13,BM13),"")</f>
        <v>46.53</v>
      </c>
      <c r="Q13" s="15" t="str">
        <f>IF(P13="","",IF(P13=BM13,$AR$1,IF(P13=AP13,$U$1,"")))</f>
        <v>2018 Nationals</v>
      </c>
      <c r="R13" s="15" t="str">
        <f>IF(MAX(BO13,BP13,BQ13,BR13)&gt;0,MAX(BO13,BP13,BQ13,BR13),"")</f>
        <v/>
      </c>
      <c r="S13" s="25" t="str">
        <f>IF(R13="","",IF(R13=BO13,"(Vol 1)",IF(R13=BP13,"(Vol 2)",IF(R13=BQ13,"(Prelim)",IF(R13=BR13,"(Final)")))))</f>
        <v/>
      </c>
      <c r="T13" s="15" t="str">
        <f>IF(R13="","",IF(R13=BO13,IF(R13+IF(L13="",0,L13)=LQ13,$LA$1,IF(R13+IF(L13="",0,L13)=KU13,$KE$1,IF(R13+IF(L13="",0,L13)=JY13,$JI$1,IF(R13+IF(L13="",0,L13)=JC13,$IM$1,IF(R13+IF(L13="",0,L13)=IG13,$HQ$1,IF(R13+IF(L13="",0,L13)=HK13,$GU$1,IF(R13+IF(L13="",0,L13)=GO13,$FY$1,IF(R13+IF(L13="",0,L13)=FS13,$FC$1,IF(R13+IF(L13="",0,L13)=EW13,$EG$1,IF(R13+IF(L13="",0,L13)=EA13,$DK$1,IF(R13+IF(L13="",0,L13)=DE13,$CO$1,IF(R13+IF(L13="",0,L13)=CI13,$BS$1)))))))))))),IF(R13=BP13,IF(R13+IF(N13="",0,N13)=LR13,$LA$1,IF(R13+IF(N13="",0,N13)=KV13,$KE$1,IF(R13+IF(N13="",0,N13)=JZ13,$JI$1,IF(R13+IF(N13="",0,N13)=JD13,$IM$1,IF(R13+IF(N13="",0,N13)=IH13,$HQ$1,IF(R13+IF(N13="",0,N13)=HL13,$GU$1,IF(R13+IF(N13="",0,N13)=GP13,$FY$1,IF(R13+IF(N13="",0,N13)=FT13,$FC$1,IF(R13+IF(N13="",0,N13)=EX13,$EG$1,IF(R13+IF(N13="",0,N13)=EB13,$DK$1,IF(R13+IF(N13="",0,N13)=DF13,$CO$1,IF(R13+IF(N13="",0,N13)=CJ13,$BS$1)))))))))))),IF(R13=BQ13,IF(R13+IF(J13="",0,J13)=LS13,$LA$1,IF(R13+IF(J13="",0,J13)=KW13,$KE$1,IF(R13+IF(J13="",0,J13)=KA13,$JI$1,IF(R13+IF(J13="",0,J13)=JE13,$IM$1,IF(R13+IF(J13="",0,J13)=II13,$HQ$1,IF(R13+IF(J13="",0,J13)=HM13,$GU$1,IF(R13+IF(J13="",0,J13)=GQ13,$FY$1,IF(R13+IF(J13="",0,J13)=FU13,$FC$1,IF(R13+IF(J13="",0,J13)=EY13,$EG$1,IF(R13+IF(J13="",0,J13)=EC13,$DK$1,IF(R13+IF(J13="",0,J13)=DG13,$CO$1,IF(R13+IF(J13="",0,J13)=CK13,$BS$1)))))))))))),IF(R13=BR13,IF(R13+IF(P13="",0,P13)=LU13,$LA$1,IF(R13+IF(P13="",0,P13)=KY13,$KE$1,IF(R13+IF(P13="",0,P13)=KC13,$JI$1,IF(R13+IF(P13="",0,P13)=JG13,$IM$1,IF(R13+IF(P13="",0,P13)=IK13,$HQ$1,IF(R13+IF(P13="",0,P13)=HO13,$GU$1,IF(R13+IF(P13="",0,P13)=GS13,$FY$1,IF(R13+IF(P13="",0,P13)=FW13,$FC$1,IF(R13+IF(P13="",0,P13)=FA13,$EG$1,IF(R13+IF(P13="",0,P13)=EE13,$DK$1,IF(R13+IF(P13="",0,P13)=DI13,$CO$1,IF(R13+IF(P13="",0,P13)=CM13,$BS$1)))))))))))))))))</f>
        <v/>
      </c>
      <c r="U13" s="36">
        <v>16.600000000000001</v>
      </c>
      <c r="V13" s="36">
        <v>9.6</v>
      </c>
      <c r="W13" s="36">
        <v>3.9</v>
      </c>
      <c r="X13" s="36">
        <v>14.77</v>
      </c>
      <c r="Y13" s="36">
        <v>0</v>
      </c>
      <c r="Z13" s="36">
        <v>12.6</v>
      </c>
      <c r="AA13" s="36">
        <v>9.3000000000000007</v>
      </c>
      <c r="AB13" s="36">
        <v>9.8000000000000007</v>
      </c>
      <c r="AC13" s="36">
        <v>13.9</v>
      </c>
      <c r="AD13" s="36">
        <v>0</v>
      </c>
      <c r="AE13" s="36">
        <v>14.3</v>
      </c>
      <c r="AF13" s="36">
        <v>9.15</v>
      </c>
      <c r="AG13" s="36">
        <v>9.1</v>
      </c>
      <c r="AH13" s="36">
        <v>13.98</v>
      </c>
      <c r="AI13" s="36">
        <v>0</v>
      </c>
      <c r="AJ13" s="74"/>
      <c r="AK13" s="12">
        <f>IF(AB13&gt;0,AB13,"")</f>
        <v>9.8000000000000007</v>
      </c>
      <c r="AL13" s="12">
        <f>IF(SUM(U13:X13)-Y13&gt;0,SUM(U13:X13)-Y13,"")</f>
        <v>44.870000000000005</v>
      </c>
      <c r="AM13" s="12">
        <f>IF(SUM(Z13:AC13)-AD13&gt;0,SUM(Z13:AC13)-AD13,"")</f>
        <v>45.6</v>
      </c>
      <c r="AN13" s="12">
        <f>IF(SUM(AL13:AM13)&gt;0,SUM(AL13:AM13),"")</f>
        <v>90.47</v>
      </c>
      <c r="AO13" s="12">
        <f>IF(AG13&gt;0,AG13,"")</f>
        <v>9.1</v>
      </c>
      <c r="AP13" s="12">
        <f>IF(SUM(AE13:AH13)-AI13&gt;0,SUM(AE13:AH13)-AI13,"")</f>
        <v>46.53</v>
      </c>
      <c r="AQ13" s="12">
        <f>IF(SUM(AN13,AP13)&gt;0,SUM(AN13,AP13),"")</f>
        <v>137</v>
      </c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75"/>
      <c r="BH13" s="15" t="str">
        <f>IF(AY13&gt;0,AY13,"")</f>
        <v/>
      </c>
      <c r="BI13" s="15" t="str">
        <f>IF(SUM(AR13:AU13)-AV13&gt;0,SUM(AR13:AU13)-AV13,"")</f>
        <v/>
      </c>
      <c r="BJ13" s="15" t="str">
        <f>IF(SUM(AW13:AZ13)-BA13&gt;0,SUM(AW13:AZ13)-BA13,"")</f>
        <v/>
      </c>
      <c r="BK13" s="15" t="str">
        <f>IF(SUM(BI13:BJ13)&gt;0,SUM(BI13:BJ13),"")</f>
        <v/>
      </c>
      <c r="BL13" s="15" t="str">
        <f>IF(BD13&gt;0,BD13,"")</f>
        <v/>
      </c>
      <c r="BM13" s="15" t="str">
        <f>IF(SUM(BB13:BE13)-BF13&gt;0,SUM(BB13:BE13)-BF13,"")</f>
        <v/>
      </c>
      <c r="BN13" s="15" t="str">
        <f>IF(SUM(BK13,BM13)&gt;0,SUM(BK13,BM13),"")</f>
        <v/>
      </c>
      <c r="BO13" s="24" t="str">
        <f>IF(MAX(CI13,DE13,EA13,EW13,FS13,GO13,HK13,IG13,JC13,JY13,KU13,LQ13)-IF(L13="",0,L13)&gt;0.001,MAX(CI13,DE13,EA13,EW13,FS13,GO13,HK13,IG13,JC13,JY13,KU13,LQ13)-IF(L13="",0,L13),"")</f>
        <v/>
      </c>
      <c r="BP13" s="24" t="str">
        <f>IF(MAX(CJ13,DF13,EB13,EX13,FT13,GP13,HL13,IH13,JD13,JZ13,KV13,LR13)-IF(N13="",0,N13)&gt;0.001,MAX(CJ13,DF13,EB13,EX13,FT13,GP13,HL13,IH13,JD13,JZ13,KV13,LR13)-IF(N13="",0,N13),"")</f>
        <v/>
      </c>
      <c r="BQ13" s="24" t="str">
        <f>IF(MAX(CK13,DG13,EC13,EY13,FU13,GQ13,HM13,II13,JE13,KA13,KW13,LS13)-IF(J13="",0,J13)&gt;0.001,MAX(CK13,DG13,EC13,EY13,FU13,GQ13,HM13,II13,JE13,KA13,KW13,LS13)-IF(J13="",0,J13),"")</f>
        <v/>
      </c>
      <c r="BR13" s="24" t="str">
        <f>IF(MAX(CM13,DI13,EE13,FA13,FW13,GS13,HO13,IK13,JG13,KC13,KY13,LU13)-IF(P13="",0,P13)&gt;0.001,MAX(CM13,DI13,EE13,FA13,FW13,GS13,HO13,IK13,JG13,KC13,KY13,LU13)-IF(P13="",0,P13),"")</f>
        <v/>
      </c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12" t="str">
        <f>IF(BZ13&gt;0,BZ13,"")</f>
        <v/>
      </c>
      <c r="CI13" s="12" t="str">
        <f>IF(SUM(BS13:BV13)-BW13&gt;0,SUM(BS13:BV13)-BW13,"")</f>
        <v/>
      </c>
      <c r="CJ13" s="12" t="str">
        <f>IF(SUM(BX13:CA13)-CB13&gt;0,SUM(BX13:CA13)-CB13,"")</f>
        <v/>
      </c>
      <c r="CK13" s="12" t="str">
        <f>IF(SUM(CI13:CJ13)&gt;0,SUM(CI13:CJ13),"")</f>
        <v/>
      </c>
      <c r="CL13" s="12" t="str">
        <f>IF(CE13&gt;0,CE13,"")</f>
        <v/>
      </c>
      <c r="CM13" s="12" t="str">
        <f>IF(SUM(CC13:CF13)-CG13&gt;0,SUM(CC13:CF13)-CG13,"")</f>
        <v/>
      </c>
      <c r="CN13" s="12" t="str">
        <f>IF(SUM(CK13,CM13)&gt;0,SUM(CK13,CM13),"")</f>
        <v/>
      </c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15" t="str">
        <f>IF(CV13&gt;0,CV13,"")</f>
        <v/>
      </c>
      <c r="DE13" s="15" t="str">
        <f>IF(SUM(CO13:CR13)-CS13&gt;0,SUM(CO13:CR13)-CS13,"")</f>
        <v/>
      </c>
      <c r="DF13" s="15" t="str">
        <f>IF(SUM(CT13:CW13)-CX13&gt;0,SUM(CT13:CW13)-CX13,"")</f>
        <v/>
      </c>
      <c r="DG13" s="15" t="str">
        <f>IF(SUM(DE13:DF13)&gt;0,SUM(DE13:DF13),"")</f>
        <v/>
      </c>
      <c r="DH13" s="15" t="str">
        <f>IF(DA13&gt;0,DA13,"")</f>
        <v/>
      </c>
      <c r="DI13" s="15" t="str">
        <f>IF(SUM(CY13:DB13)-DC13&gt;0,SUM(CY13:DB13)-DC13,"")</f>
        <v/>
      </c>
      <c r="DJ13" s="15" t="str">
        <f>IF(SUM(DG13,DI13)&gt;0,SUM(DG13,DI13),"")</f>
        <v/>
      </c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  <c r="DW13" s="36"/>
      <c r="DX13" s="36"/>
      <c r="DY13" s="36"/>
      <c r="DZ13" s="12" t="str">
        <f>IF(DR13&gt;0,DR13,"")</f>
        <v/>
      </c>
      <c r="EA13" s="12" t="str">
        <f>IF(SUM(DK13:DN13)-DO13&gt;0,SUM(DK13:DN13)-DO13,"")</f>
        <v/>
      </c>
      <c r="EB13" s="12" t="str">
        <f>IF(SUM(DP13:DS13)-DT13&gt;0,SUM(DP13:DS13)-DT13,"")</f>
        <v/>
      </c>
      <c r="EC13" s="12" t="str">
        <f>IF(SUM(EA13:EB13)&gt;0,SUM(EA13:EB13),"")</f>
        <v/>
      </c>
      <c r="ED13" s="12" t="str">
        <f>IF(DW13&gt;0,DW13,"")</f>
        <v/>
      </c>
      <c r="EE13" s="12" t="str">
        <f>IF(SUM(DU13:DX13)-DY13&gt;0,SUM(DU13:DX13)-DY13,"")</f>
        <v/>
      </c>
      <c r="EF13" s="12" t="str">
        <f>IF(SUM(EC13,EE13)&gt;0,SUM(EC13,EE13),"")</f>
        <v/>
      </c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15" t="str">
        <f>IF(EN13&gt;0,EN13,"")</f>
        <v/>
      </c>
      <c r="EW13" s="15" t="str">
        <f>IF(SUM(EG13:EJ13)-EK13&gt;0,SUM(EG13:EJ13)-EK13,"")</f>
        <v/>
      </c>
      <c r="EX13" s="15" t="str">
        <f>IF(SUM(EL13:EO13)-EP13&gt;0,SUM(EL13:EO13)-EP13,"")</f>
        <v/>
      </c>
      <c r="EY13" s="15" t="str">
        <f>IF(SUM(EW13:EX13)&gt;0,SUM(EW13:EX13),"")</f>
        <v/>
      </c>
      <c r="EZ13" s="15" t="str">
        <f>IF(ES13&gt;0,ES13,"")</f>
        <v/>
      </c>
      <c r="FA13" s="15" t="str">
        <f>IF(SUM(EQ13:ET13)-EU13&gt;0,SUM(EQ13:ET13)-EU13,"")</f>
        <v/>
      </c>
      <c r="FB13" s="15" t="str">
        <f>IF(SUM(EY13,FA13)&gt;0,SUM(EY13,FA13),"")</f>
        <v/>
      </c>
      <c r="FC13" s="36"/>
      <c r="FD13" s="36"/>
      <c r="FE13" s="36"/>
      <c r="FF13" s="36"/>
      <c r="FG13" s="36"/>
      <c r="FH13" s="36"/>
      <c r="FI13" s="36"/>
      <c r="FJ13" s="36"/>
      <c r="FK13" s="36"/>
      <c r="FL13" s="36"/>
      <c r="FM13" s="36"/>
      <c r="FN13" s="36"/>
      <c r="FO13" s="36"/>
      <c r="FP13" s="36"/>
      <c r="FQ13" s="36"/>
      <c r="FR13" s="12" t="str">
        <f>IF(FJ13&gt;0,FJ13,"")</f>
        <v/>
      </c>
      <c r="FS13" s="12" t="str">
        <f>IF(SUM(FC13:FF13)-FG13&gt;0,SUM(FC13:FF13)-FG13,"")</f>
        <v/>
      </c>
      <c r="FT13" s="12" t="str">
        <f>IF(SUM(FH13:FK13)-FL13&gt;0,SUM(FH13:FK13)-FL13,"")</f>
        <v/>
      </c>
      <c r="FU13" s="12" t="str">
        <f>IF(SUM(FS13:FT13)&gt;0,SUM(FS13:FT13),"")</f>
        <v/>
      </c>
      <c r="FV13" s="12" t="str">
        <f>IF(FO13&gt;0,FO13,"")</f>
        <v/>
      </c>
      <c r="FW13" s="12" t="str">
        <f>IF(SUM(FM13:FP13)-FQ13&gt;0,SUM(FM13:FP13)-FQ13,"")</f>
        <v/>
      </c>
      <c r="FX13" s="12" t="str">
        <f>IF(SUM(FU13,FW13)&gt;0,SUM(FU13,FW13),"")</f>
        <v/>
      </c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15" t="str">
        <f>IF(GF13&gt;0,GF13,"")</f>
        <v/>
      </c>
      <c r="GO13" s="15" t="str">
        <f>IF(SUM(FY13:GB13)-GC13&gt;0,SUM(FY13:GB13)-GC13,"")</f>
        <v/>
      </c>
      <c r="GP13" s="15" t="str">
        <f>IF(SUM(GD13:GG13)-GH13&gt;0,SUM(GD13:GG13)-GH13,"")</f>
        <v/>
      </c>
      <c r="GQ13" s="15" t="str">
        <f>IF(SUM(GO13:GP13)&gt;0,SUM(GO13:GP13),"")</f>
        <v/>
      </c>
      <c r="GR13" s="15" t="str">
        <f>IF(GK13&gt;0,GK13,"")</f>
        <v/>
      </c>
      <c r="GS13" s="15" t="str">
        <f>IF(SUM(GI13:GL13)-GM13&gt;0,SUM(GI13:GL13)-GM13,"")</f>
        <v/>
      </c>
      <c r="GT13" s="15" t="str">
        <f>IF(SUM(GQ13,GS13)&gt;0,SUM(GQ13,GS13),"")</f>
        <v/>
      </c>
      <c r="GU13" s="36"/>
      <c r="GV13" s="36"/>
      <c r="GW13" s="36"/>
      <c r="GX13" s="36"/>
      <c r="GY13" s="36"/>
      <c r="GZ13" s="36"/>
      <c r="HA13" s="36"/>
      <c r="HB13" s="36"/>
      <c r="HC13" s="36"/>
      <c r="HD13" s="36"/>
      <c r="HE13" s="36"/>
      <c r="HF13" s="36"/>
      <c r="HG13" s="36"/>
      <c r="HH13" s="36"/>
      <c r="HI13" s="36"/>
      <c r="HJ13" s="12" t="str">
        <f>IF(HB13&gt;0,HB13,"")</f>
        <v/>
      </c>
      <c r="HK13" s="12" t="str">
        <f>IF(SUM(GU13:GX13)-GY13&gt;0,SUM(GU13:GX13)-GY13,"")</f>
        <v/>
      </c>
      <c r="HL13" s="12" t="str">
        <f>IF(SUM(GZ13:HC13)-HD13&gt;0,SUM(GZ13:HC13)-HD13,"")</f>
        <v/>
      </c>
      <c r="HM13" s="12" t="str">
        <f>IF(SUM(HK13:HL13)&gt;0,SUM(HK13:HL13),"")</f>
        <v/>
      </c>
      <c r="HN13" s="12" t="str">
        <f>IF(HG13&gt;0,HG13,"")</f>
        <v/>
      </c>
      <c r="HO13" s="12" t="str">
        <f>IF(SUM(HE13:HH13)-HI13&gt;0,SUM(HE13:HH13)-HI13,"")</f>
        <v/>
      </c>
      <c r="HP13" s="12" t="str">
        <f>IF(SUM(HM13,HO13)&gt;0,SUM(HM13,HO13),"")</f>
        <v/>
      </c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15" t="str">
        <f>IF(HX13&gt;0,HX13,"")</f>
        <v/>
      </c>
      <c r="IG13" s="15" t="str">
        <f>IF(SUM(HQ13:HT13)-HU13&gt;0,SUM(HQ13:HT13)-HU13,"")</f>
        <v/>
      </c>
      <c r="IH13" s="15" t="str">
        <f>IF(SUM(HV13:HY13)-HZ13&gt;0,SUM(HV13:HY13)-HZ13,"")</f>
        <v/>
      </c>
      <c r="II13" s="15" t="str">
        <f>IF(SUM(IG13:IH13)&gt;0,SUM(IG13:IH13),"")</f>
        <v/>
      </c>
      <c r="IJ13" s="15" t="str">
        <f>IF(IC13&gt;0,IC13,"")</f>
        <v/>
      </c>
      <c r="IK13" s="15" t="str">
        <f>IF(SUM(IA13:ID13)-IE13&gt;0,SUM(IA13:ID13)-IE13,"")</f>
        <v/>
      </c>
      <c r="IL13" s="15" t="str">
        <f>IF(SUM(II13,IK13)&gt;0,SUM(II13,IK13),"")</f>
        <v/>
      </c>
      <c r="IM13" s="36"/>
      <c r="IN13" s="36"/>
      <c r="IO13" s="36"/>
      <c r="IP13" s="36"/>
      <c r="IQ13" s="36"/>
      <c r="IR13" s="36"/>
      <c r="IS13" s="36"/>
      <c r="IT13" s="36"/>
      <c r="IU13" s="36"/>
      <c r="IV13" s="36"/>
      <c r="IW13" s="36"/>
      <c r="IX13" s="36"/>
      <c r="IY13" s="36"/>
      <c r="IZ13" s="36"/>
      <c r="JA13" s="36"/>
      <c r="JB13" s="12" t="str">
        <f>IF(IT13&gt;0,IT13,"")</f>
        <v/>
      </c>
      <c r="JC13" s="12" t="str">
        <f>IF(SUM(IM13:IP13)-IQ13&gt;0,SUM(IM13:IP13)-IQ13,"")</f>
        <v/>
      </c>
      <c r="JD13" s="12" t="str">
        <f>IF(SUM(IR13:IU13)-IV13&gt;0,SUM(IR13:IU13)-IV13,"")</f>
        <v/>
      </c>
      <c r="JE13" s="12" t="str">
        <f>IF(SUM(JC13:JD13)&gt;0,SUM(JC13:JD13),"")</f>
        <v/>
      </c>
      <c r="JF13" s="12" t="str">
        <f>IF(IY13&gt;0,IY13,"")</f>
        <v/>
      </c>
      <c r="JG13" s="12" t="str">
        <f>IF(SUM(IW13:IZ13)-JA13&gt;0,SUM(IW13:IZ13)-JA13,"")</f>
        <v/>
      </c>
      <c r="JH13" s="12" t="str">
        <f>IF(SUM(JE13,JG13)&gt;0,SUM(JE13,JG13),"")</f>
        <v/>
      </c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15" t="str">
        <f>IF(JP13&gt;0,JP13,"")</f>
        <v/>
      </c>
      <c r="JY13" s="15" t="str">
        <f>IF(SUM(JI13:JL13)-JM13&gt;0,SUM(JI13:JL13)-JM13,"")</f>
        <v/>
      </c>
      <c r="JZ13" s="15" t="str">
        <f>IF(SUM(JN13:JQ13)-JR13&gt;0,SUM(JN13:JQ13)-JR13,"")</f>
        <v/>
      </c>
      <c r="KA13" s="15" t="str">
        <f>IF(SUM(JY13:JZ13)&gt;0,SUM(JY13:JZ13),"")</f>
        <v/>
      </c>
      <c r="KB13" s="15" t="str">
        <f>IF(JU13&gt;0,JU13,"")</f>
        <v/>
      </c>
      <c r="KC13" s="15" t="str">
        <f>IF(SUM(JS13:JV13)-JW13&gt;0,SUM(JS13:JV13)-JW13,"")</f>
        <v/>
      </c>
      <c r="KD13" s="15" t="str">
        <f>IF(SUM(KA13,KC13)&gt;0,SUM(KA13,KC13),"")</f>
        <v/>
      </c>
      <c r="KE13" s="36"/>
      <c r="KF13" s="36"/>
      <c r="KG13" s="36"/>
      <c r="KH13" s="36"/>
      <c r="KI13" s="36"/>
      <c r="KJ13" s="36"/>
      <c r="KK13" s="36"/>
      <c r="KL13" s="36"/>
      <c r="KM13" s="36"/>
      <c r="KN13" s="36"/>
      <c r="KO13" s="36"/>
      <c r="KP13" s="36"/>
      <c r="KQ13" s="36"/>
      <c r="KR13" s="36"/>
      <c r="KS13" s="36"/>
      <c r="KT13" s="12" t="str">
        <f>IF(KL13&gt;0,KL13,"")</f>
        <v/>
      </c>
      <c r="KU13" s="12" t="str">
        <f>IF(SUM(KE13:KH13)-KI13&gt;0,SUM(KE13:KH13)-KI13,"")</f>
        <v/>
      </c>
      <c r="KV13" s="12" t="str">
        <f>IF(SUM(KJ13:KM13)-KN13&gt;0,SUM(KJ13:KM13)-KN13,"")</f>
        <v/>
      </c>
      <c r="KW13" s="12" t="str">
        <f>IF(SUM(KU13:KV13)&gt;0,SUM(KU13:KV13),"")</f>
        <v/>
      </c>
      <c r="KX13" s="12" t="str">
        <f>IF(KQ13&gt;0,KQ13,"")</f>
        <v/>
      </c>
      <c r="KY13" s="12" t="str">
        <f>IF(SUM(KO13:KR13)-KS13&gt;0,SUM(KO13:KR13)-KS13,"")</f>
        <v/>
      </c>
      <c r="KZ13" s="12" t="str">
        <f>IF(SUM(KW13,KY13)&gt;0,SUM(KW13,KY13),"")</f>
        <v/>
      </c>
      <c r="LA13" s="37"/>
      <c r="LB13" s="37"/>
      <c r="LC13" s="37"/>
      <c r="LD13" s="37"/>
      <c r="LE13" s="37"/>
      <c r="LF13" s="37"/>
      <c r="LG13" s="37"/>
      <c r="LH13" s="37"/>
      <c r="LI13" s="37"/>
      <c r="LJ13" s="37"/>
      <c r="LK13" s="37"/>
      <c r="LL13" s="37"/>
      <c r="LM13" s="37"/>
      <c r="LN13" s="37"/>
      <c r="LO13" s="37"/>
      <c r="LP13" s="15" t="str">
        <f>IF(LH13&gt;0,LH13,"")</f>
        <v/>
      </c>
      <c r="LQ13" s="15" t="str">
        <f>IF(SUM(LA13:LD13)-LE13&gt;0,SUM(LA13:LD13)-LE13,"")</f>
        <v/>
      </c>
      <c r="LR13" s="15" t="str">
        <f>IF(SUM(LF13:LI13)-LJ13&gt;0,SUM(LF13:LI13)-LJ13,"")</f>
        <v/>
      </c>
      <c r="LS13" s="15" t="str">
        <f>IF(SUM(LQ13:LR13)&gt;0,SUM(LQ13:LR13),"")</f>
        <v/>
      </c>
      <c r="LT13" s="15" t="str">
        <f>IF(LM13&gt;0,LM13,"")</f>
        <v/>
      </c>
      <c r="LU13" s="15" t="str">
        <f>IF(SUM(LK13:LN13)-LO13&gt;0,SUM(LK13:LN13)-LO13,"")</f>
        <v/>
      </c>
      <c r="LV13" s="15" t="str">
        <f>IF(SUM(LS13,LU13)&gt;0,SUM(LS13,LU13),"")</f>
        <v/>
      </c>
      <c r="LW13" s="63">
        <f t="shared" si="7"/>
        <v>8.3000000000000007</v>
      </c>
      <c r="LX13" s="63">
        <f t="shared" si="8"/>
        <v>4.8</v>
      </c>
      <c r="LY13" s="63">
        <f t="shared" si="9"/>
        <v>1.95</v>
      </c>
      <c r="LZ13" s="63">
        <f t="shared" si="10"/>
        <v>7.3849999999999998</v>
      </c>
      <c r="MA13" s="63">
        <f t="shared" si="11"/>
        <v>0</v>
      </c>
      <c r="MB13" s="63">
        <f t="shared" si="12"/>
        <v>6.3</v>
      </c>
      <c r="MC13" s="63">
        <f t="shared" si="13"/>
        <v>4.6500000000000004</v>
      </c>
      <c r="MD13" s="63">
        <f t="shared" si="14"/>
        <v>4.9000000000000004</v>
      </c>
      <c r="ME13" s="63">
        <f t="shared" si="15"/>
        <v>6.95</v>
      </c>
      <c r="MF13" s="63">
        <f t="shared" si="16"/>
        <v>0</v>
      </c>
      <c r="MG13" s="63">
        <f t="shared" si="17"/>
        <v>7.15</v>
      </c>
      <c r="MH13" s="63">
        <f t="shared" si="18"/>
        <v>4.5750000000000002</v>
      </c>
      <c r="MI13" s="63">
        <f t="shared" si="19"/>
        <v>4.55</v>
      </c>
      <c r="MJ13" s="63">
        <f t="shared" si="20"/>
        <v>6.99</v>
      </c>
      <c r="MK13" s="63">
        <f t="shared" si="21"/>
        <v>0</v>
      </c>
      <c r="ML13" s="74" t="s">
        <v>119</v>
      </c>
      <c r="MM13" s="12">
        <f t="shared" si="22"/>
        <v>4.9000000000000004</v>
      </c>
      <c r="MN13" s="12">
        <f t="shared" si="23"/>
        <v>22.435000000000002</v>
      </c>
      <c r="MO13" s="12">
        <f t="shared" si="24"/>
        <v>22.8</v>
      </c>
      <c r="MP13" s="12">
        <f t="shared" si="25"/>
        <v>45.234999999999999</v>
      </c>
      <c r="MQ13" s="12">
        <f t="shared" si="26"/>
        <v>4.55</v>
      </c>
      <c r="MR13" s="12">
        <f t="shared" si="27"/>
        <v>23.265000000000001</v>
      </c>
      <c r="MS13" s="12">
        <f t="shared" si="28"/>
        <v>68.5</v>
      </c>
    </row>
    <row r="14" spans="1:357" x14ac:dyDescent="0.2">
      <c r="A14" s="6" t="str">
        <f>IF(AND(F14="P",H14="P"),SUMPRODUCT((F$4:F$16="P")*(H$4:H$16="P")*(E$4:E$16&gt;E14))+1,IF(H14="P",SUMPRODUCT((F$4:F$16="")*(H$4:H$16="P")*(E$4:E$16&gt;E14))+1+SUMPRODUCT((F$4:F$16="P")*(H$4:H$16="P")),""))</f>
        <v/>
      </c>
      <c r="B14" s="9" t="s">
        <v>103</v>
      </c>
      <c r="C14" s="5" t="s">
        <v>3</v>
      </c>
      <c r="D14" s="27">
        <v>2001</v>
      </c>
      <c r="E14" s="16">
        <f>SUM(J14:R14)</f>
        <v>135.07999999999998</v>
      </c>
      <c r="F14" s="4" t="str">
        <f>IF(OR(AND($AK14&gt;=$AL$18,NOT($AK14=""),$AJ14=""),AND($BH14&gt;=$BI$18,NOT($BH14=""),$BG14=""),AND($CH14&gt;=$CI$18,NOT($CH14="")),AND($DD14&gt;=$DE$18,NOT($DD14="")),AND($DZ14&gt;=$EA$18,NOT($DZ14="")),AND($EV14&gt;=$EW$18,NOT($EV14="")),AND($FR14&gt;=$FS$18,NOT($FR14="")),AND($GN14&gt;=$GO$18,NOT($GN14="")),AND($HJ14&gt;=$HK$18,NOT($HJ14="")),AND($IF14&gt;=$IG$18,NOT($IF14="")),AND($JB14&gt;=$JC$18,NOT($JB14="")),AND($JX14&gt;=$JY$18,NOT($JX14="")),AND($KT14&gt;=$KU$18,NOT($KT14="")),AND($LP14&gt;=$LQ$18,NOT($LP14=""))),"P","")</f>
        <v/>
      </c>
      <c r="G14" s="4" t="str">
        <f>IF(OR(AND($AK14&gt;=$AL$19,NOT($AK14=""),$AJ14=""),AND($BH14&gt;=$BI$19,NOT($BH14=""),$BG14=""),AND($CH14&gt;=$CI$19,NOT($CH14="")),AND($DD14&gt;=$DE$19,NOT($DD14="")),AND($DZ14&gt;=$EA$19,NOT($DZ14="")),AND($EV14&gt;=$EW$19,NOT($EV14="")),AND($FR14&gt;=$FS$19,NOT($FR14="")),AND($GN14&gt;=$GO$19,NOT($GN14="")),AND($HJ14&gt;=$HK$19,NOT($HJ14="")),AND($IF14&gt;=$IG$19,NOT($IF14="")),AND($JB14&gt;=$JC$19,NOT($JB14="")),AND($JX14&gt;=$JY$19,NOT($JX14="")),AND($KT14&gt;=$KU$19,NOT($KT14="")),AND($LP14&gt;=$LQ$19,NOT($LP14=""))),"P","")</f>
        <v/>
      </c>
      <c r="H14" s="4" t="str">
        <f>IF(OR(AND($AN14&gt;=$AL$20,NOT($AN14=""),$AJ14=""),AND($BK14&gt;=$BI$20,NOT($BK14=""),$BG14=""),AND($CK14&gt;=$CI$20,NOT($CK14="")),AND($DG14&gt;=$DE$20,NOT($DG14="")),AND($EC14&gt;=$EA$20,NOT($EC14="")),AND($EY14&gt;=$EW$20,NOT($EY14="")),AND($FU14&gt;=$FS$20,NOT($FU14="")),AND($GQ14&gt;=$GO$20,NOT($GQ14="")),AND($HM14&gt;=$HK$20,NOT($HM14="")),AND($II14&gt;=$IG$20,NOT($II14="")),AND($JE14&gt;=$JC$20,NOT($JE14="")),AND($KA14&gt;=$JY$20,NOT($KA14="")),AND($KW14&gt;=$KU$20,NOT($KW14="")),AND($LS14&gt;=$LQ$20,NOT($LS14=""))),"P","")</f>
        <v/>
      </c>
      <c r="I14" t="str">
        <f>IF(AND(H14="P",F14=""),"No DD",IF(AND(G14="P",OR(AND($AM14&gt;$AL$23,NOT($AM14=""),$AJ14=""),AND($AP14&gt;$AL$23,NOT($AP14=""),$AJ14=""),AND($BJ14&gt;$BI$23,NOT($BJ14=""),$BG14=""),AND($BM14&gt;$BI$23,NOT($BM14=""),$BG14=""),AND($CJ14&gt;$CI$23,NOT($CJ14="")),AND($CM14&gt;$CI$23,NOT($CM14="")),AND($DF14&gt;$DE$23,NOT($DF14="")),AND($DI14&gt;$DE$23,NOT($DI14="")),AND($EB14&gt;$EA$23,NOT($EB14="")),AND($EE14&gt;$EA$23,NOT($EE14="")),AND($EX14&gt;$EW$23,NOT($EX14="")),AND($FA14&gt;$EW$23,NOT($FA14="")),AND($FT14&gt;$FS$23,NOT($FT14="")),AND($FW14&gt;$FS$23,NOT($FW14="")),AND($GP14&gt;$GO$23,NOT($GP14="")),AND($GS14&gt;$GO$23,NOT($GS14="")),AND($HL14&gt;$HK$23,NOT($HL14="")),AND($HO14&gt;$HK$23,NOT($HO14="")),AND($IH14&gt;$IG$23,NOT($IH14="")),AND($IK14&gt;$IG$23,NOT($IK14="")),AND($JD14&gt;$JC$23,NOT($JD14="")),AND($JG14&gt;$JC$23,NOT($JG14="")),AND($JZ14&gt;$JY$23,NOT($JZ14="")),AND($KC14&gt;$JY$23,NOT($KC14="")),AND($KV14&gt;$KU$23,NOT($KV14="")),AND($KY14&gt;$KU$23,NOT($KY14="")),AND($LR14&gt;$LQ$23,NOT($LR14="")),AND($LU14&gt;$LQ$23,NOT($LU14="")))),"Merit",IF(AND(G14="P",OR(AND($AN14&gt;$AL$22,NOT($AN14=""),$AJ14=""),AND($BK14&gt;$BI$22,NOT($BK14=""),$BG14=""),AND($CK14&gt;$CI$22,NOT($CK14="")),AND($DG14&gt;$DE$22,NOT($DG14="")),AND($EC14&gt;$EA$22,NOT($EC14="")),AND($EY14&gt;$EW$22,NOT($EY14="")),AND($FU14&gt;$FS$22,NOT($FU14="")),AND($GQ14&gt;$GO$22,NOT($GQ14="")),AND($HM14&gt;$HK$22,NOT($HM14="")),AND($II14&gt;$IG$22,NOT($II14="")),AND($JE14&gt;$JC$22,NOT($JE14="")),AND($KA14&gt;$JY$22,NOT($KA14="")),AND($KW14&gt;$KU$22,NOT($KW14="")),AND($LS14&gt;$LQ$22,NOT($LS14="")))),"Excellence",IF(AND(G14="P",OR(AND($AN14&gt;$AL$21,NOT($AN14=""),$AJ14=""),AND($BK14&gt;$BI$21,NOT($BK14=""),$BG14=""),AND($CK14&gt;$CI$21,NOT($CK14="")),AND($DG14&gt;$DE$21,NOT($DG14="")),AND($EC14&gt;$EA$21,NOT($EC14="")),AND($EY14&gt;$EW$21,NOT($EY14="")),AND($FU14&gt;$FS$21,NOT($FU14="")),AND($GQ14&gt;$GO$21,NOT($GQ14="")),AND($HM14&gt;$HK$21,NOT($HM14="")),AND($II14&gt;$IG$21,NOT($II14="")),AND($JE14&gt;$JC$21,NOT($JE14="")),AND($KA14&gt;$JY$21,NOT($KA14="")),AND($KW14&gt;$KU$21,NOT($KW14="")),AND($LS14&gt;$LQ$21,NOT($LS14="")))),"Worlds Team",IF(AND(F14="P",OR(AND($AN14&gt;$AL$20,NOT($AN14=""),$AJ14=""),AND($BK14&gt;$BI$20,NOT($BK14=""),$BG14=""),AND($CK14&gt;$CI$20,NOT($CK14="")),AND($DG14&gt;$DE$20,NOT($DG14="")),AND($EC14&gt;$EA$20,NOT($EC14="")),AND($EY14&gt;$EW$20,NOT($EY14="")),AND($FU14&gt;$FS$20,NOT($FU14="")),AND($GQ14&gt;$GO$20,NOT($GQ14="")),AND($HM14&gt;$HK$20,NOT($HM14="")),AND($II14&gt;$IG$20,NOT($II14="")),AND($JE14&gt;$JC$20,NOT($JE14="")),AND($KA14&gt;$JY$20,NOT($KA14="")),AND($KW14&gt;$KU$20,NOT($KW14="")),AND($LS14&gt;$LQ$20,NOT($LS14="")))),"National Team","")))))</f>
        <v/>
      </c>
      <c r="J14" s="15">
        <f>IF(MAX(AN14,BK14)&gt;0,MAX(AN14,BK14),"")</f>
        <v>86.35499999999999</v>
      </c>
      <c r="K14" s="15" t="str">
        <f>IF(J14="","",IF(J14=BK14,$AR$1,IF(J14=AN14,$U$1,"")))</f>
        <v>2018 Nationals</v>
      </c>
      <c r="L14" s="15" t="str">
        <f>IF($J14=$AN14,BI14,IF($J14=$BK14,AL14,MAX(AL14,BI14)))</f>
        <v/>
      </c>
      <c r="M14" s="15" t="str">
        <f>IF(L14="","",IF(L14=BI14,$AR$1,IF(L14=AL14,$U$1,"")))</f>
        <v/>
      </c>
      <c r="N14" s="15" t="str">
        <f>IF($J14=$AN14,BJ14,IF($J14=$BK14,AM14,MAX(AM14,BJ14)))</f>
        <v/>
      </c>
      <c r="O14" s="15" t="str">
        <f>IF(N14="","",IF(AND(N14=BJ14,$K14&lt;&gt;$AR$1),$AR$1,IF(AND(N14=AM14,$K14&lt;&gt;$U$1),$U$1,"")))</f>
        <v/>
      </c>
      <c r="P14" s="15">
        <f>IF(MAX(AP14,BM14)&gt;0,MAX(AP14,BM14),"")</f>
        <v>48.724999999999994</v>
      </c>
      <c r="Q14" s="15" t="str">
        <f>IF(P14="","",IF(P14=BM14,$AR$1,IF(P14=AP14,$U$1,"")))</f>
        <v>2018 Nationals</v>
      </c>
      <c r="R14" s="15" t="str">
        <f>IF(MAX(BO14,BP14,BQ14,BR14)&gt;0,MAX(BO14,BP14,BQ14,BR14),"")</f>
        <v/>
      </c>
      <c r="S14" s="25" t="str">
        <f>IF(R14="","",IF(R14=BO14,"(Vol 1)",IF(R14=BP14,"(Vol 2)",IF(R14=BQ14,"(Prelim)",IF(R14=BR14,"(Final)")))))</f>
        <v/>
      </c>
      <c r="T14" s="15" t="str">
        <f>IF(R14="","",IF(R14=BO14,IF(R14+IF(L14="",0,L14)=LQ14,$LA$1,IF(R14+IF(L14="",0,L14)=KU14,$KE$1,IF(R14+IF(L14="",0,L14)=JY14,$JI$1,IF(R14+IF(L14="",0,L14)=JC14,$IM$1,IF(R14+IF(L14="",0,L14)=IG14,$HQ$1,IF(R14+IF(L14="",0,L14)=HK14,$GU$1,IF(R14+IF(L14="",0,L14)=GO14,$FY$1,IF(R14+IF(L14="",0,L14)=FS14,$FC$1,IF(R14+IF(L14="",0,L14)=EW14,$EG$1,IF(R14+IF(L14="",0,L14)=EA14,$DK$1,IF(R14+IF(L14="",0,L14)=DE14,$CO$1,IF(R14+IF(L14="",0,L14)=CI14,$BS$1)))))))))))),IF(R14=BP14,IF(R14+IF(N14="",0,N14)=LR14,$LA$1,IF(R14+IF(N14="",0,N14)=KV14,$KE$1,IF(R14+IF(N14="",0,N14)=JZ14,$JI$1,IF(R14+IF(N14="",0,N14)=JD14,$IM$1,IF(R14+IF(N14="",0,N14)=IH14,$HQ$1,IF(R14+IF(N14="",0,N14)=HL14,$GU$1,IF(R14+IF(N14="",0,N14)=GP14,$FY$1,IF(R14+IF(N14="",0,N14)=FT14,$FC$1,IF(R14+IF(N14="",0,N14)=EX14,$EG$1,IF(R14+IF(N14="",0,N14)=EB14,$DK$1,IF(R14+IF(N14="",0,N14)=DF14,$CO$1,IF(R14+IF(N14="",0,N14)=CJ14,$BS$1)))))))))))),IF(R14=BQ14,IF(R14+IF(J14="",0,J14)=LS14,$LA$1,IF(R14+IF(J14="",0,J14)=KW14,$KE$1,IF(R14+IF(J14="",0,J14)=KA14,$JI$1,IF(R14+IF(J14="",0,J14)=JE14,$IM$1,IF(R14+IF(J14="",0,J14)=II14,$HQ$1,IF(R14+IF(J14="",0,J14)=HM14,$GU$1,IF(R14+IF(J14="",0,J14)=GQ14,$FY$1,IF(R14+IF(J14="",0,J14)=FU14,$FC$1,IF(R14+IF(J14="",0,J14)=EY14,$EG$1,IF(R14+IF(J14="",0,J14)=EC14,$DK$1,IF(R14+IF(J14="",0,J14)=DG14,$CO$1,IF(R14+IF(J14="",0,J14)=CK14,$BS$1)))))))))))),IF(R14=BR14,IF(R14+IF(P14="",0,P14)=LU14,$LA$1,IF(R14+IF(P14="",0,P14)=KY14,$KE$1,IF(R14+IF(P14="",0,P14)=KC14,$JI$1,IF(R14+IF(P14="",0,P14)=JG14,$IM$1,IF(R14+IF(P14="",0,P14)=IK14,$HQ$1,IF(R14+IF(P14="",0,P14)=HO14,$GU$1,IF(R14+IF(P14="",0,P14)=GS14,$FY$1,IF(R14+IF(P14="",0,P14)=FW14,$FC$1,IF(R14+IF(P14="",0,P14)=FA14,$EG$1,IF(R14+IF(P14="",0,P14)=EE14,$DK$1,IF(R14+IF(P14="",0,P14)=DI14,$CO$1,IF(R14+IF(P14="",0,P14)=CM14,$BS$1)))))))))))))))))</f>
        <v/>
      </c>
      <c r="U14" s="36">
        <v>16.7</v>
      </c>
      <c r="V14" s="36">
        <v>9.6</v>
      </c>
      <c r="W14" s="36">
        <v>3.4</v>
      </c>
      <c r="X14" s="36">
        <v>14.625</v>
      </c>
      <c r="Y14" s="36">
        <v>0</v>
      </c>
      <c r="Z14" s="36">
        <v>12.9</v>
      </c>
      <c r="AA14" s="36">
        <v>7.9</v>
      </c>
      <c r="AB14" s="36">
        <v>9.1999999999999993</v>
      </c>
      <c r="AC14" s="36">
        <v>12.03</v>
      </c>
      <c r="AD14" s="36">
        <v>0</v>
      </c>
      <c r="AE14" s="36">
        <v>14.6</v>
      </c>
      <c r="AF14" s="36">
        <v>9.3000000000000007</v>
      </c>
      <c r="AG14" s="36">
        <v>11.2</v>
      </c>
      <c r="AH14" s="36">
        <v>13.625</v>
      </c>
      <c r="AI14" s="36">
        <v>0</v>
      </c>
      <c r="AJ14" s="74"/>
      <c r="AK14" s="12">
        <f>IF(AB14&gt;0,AB14,"")</f>
        <v>9.1999999999999993</v>
      </c>
      <c r="AL14" s="12">
        <f>IF(SUM(U14:X14)-Y14&gt;0,SUM(U14:X14)-Y14,"")</f>
        <v>44.324999999999996</v>
      </c>
      <c r="AM14" s="12">
        <f>IF(SUM(Z14:AC14)-AD14&gt;0,SUM(Z14:AC14)-AD14,"")</f>
        <v>42.03</v>
      </c>
      <c r="AN14" s="12">
        <f>IF(SUM(AL14:AM14)&gt;0,SUM(AL14:AM14),"")</f>
        <v>86.35499999999999</v>
      </c>
      <c r="AO14" s="12">
        <f>IF(AG14&gt;0,AG14,"")</f>
        <v>11.2</v>
      </c>
      <c r="AP14" s="12">
        <f>IF(SUM(AE14:AH14)-AI14&gt;0,SUM(AE14:AH14)-AI14,"")</f>
        <v>48.724999999999994</v>
      </c>
      <c r="AQ14" s="12">
        <f>IF(SUM(AN14,AP14)&gt;0,SUM(AN14,AP14),"")</f>
        <v>135.07999999999998</v>
      </c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75"/>
      <c r="BH14" s="15" t="str">
        <f>IF(AY14&gt;0,AY14,"")</f>
        <v/>
      </c>
      <c r="BI14" s="15" t="str">
        <f>IF(SUM(AR14:AU14)-AV14&gt;0,SUM(AR14:AU14)-AV14,"")</f>
        <v/>
      </c>
      <c r="BJ14" s="15" t="str">
        <f>IF(SUM(AW14:AZ14)-BA14&gt;0,SUM(AW14:AZ14)-BA14,"")</f>
        <v/>
      </c>
      <c r="BK14" s="15" t="str">
        <f>IF(SUM(BI14:BJ14)&gt;0,SUM(BI14:BJ14),"")</f>
        <v/>
      </c>
      <c r="BL14" s="15" t="str">
        <f>IF(BD14&gt;0,BD14,"")</f>
        <v/>
      </c>
      <c r="BM14" s="15" t="str">
        <f>IF(SUM(BB14:BE14)-BF14&gt;0,SUM(BB14:BE14)-BF14,"")</f>
        <v/>
      </c>
      <c r="BN14" s="15" t="str">
        <f>IF(SUM(BK14,BM14)&gt;0,SUM(BK14,BM14),"")</f>
        <v/>
      </c>
      <c r="BO14" s="24" t="str">
        <f>IF(MAX(CI14,DE14,EA14,EW14,FS14,GO14,HK14,IG14,JC14,JY14,KU14,LQ14)-IF(L14="",0,L14)&gt;0.001,MAX(CI14,DE14,EA14,EW14,FS14,GO14,HK14,IG14,JC14,JY14,KU14,LQ14)-IF(L14="",0,L14),"")</f>
        <v/>
      </c>
      <c r="BP14" s="24" t="str">
        <f>IF(MAX(CJ14,DF14,EB14,EX14,FT14,GP14,HL14,IH14,JD14,JZ14,KV14,LR14)-IF(N14="",0,N14)&gt;0.001,MAX(CJ14,DF14,EB14,EX14,FT14,GP14,HL14,IH14,JD14,JZ14,KV14,LR14)-IF(N14="",0,N14),"")</f>
        <v/>
      </c>
      <c r="BQ14" s="24" t="str">
        <f>IF(MAX(CK14,DG14,EC14,EY14,FU14,GQ14,HM14,II14,JE14,KA14,KW14,LS14)-IF(J14="",0,J14)&gt;0.001,MAX(CK14,DG14,EC14,EY14,FU14,GQ14,HM14,II14,JE14,KA14,KW14,LS14)-IF(J14="",0,J14),"")</f>
        <v/>
      </c>
      <c r="BR14" s="24" t="str">
        <f>IF(MAX(CM14,DI14,EE14,FA14,FW14,GS14,HO14,IK14,JG14,KC14,KY14,LU14)-IF(P14="",0,P14)&gt;0.001,MAX(CM14,DI14,EE14,FA14,FW14,GS14,HO14,IK14,JG14,KC14,KY14,LU14)-IF(P14="",0,P14),"")</f>
        <v/>
      </c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12" t="str">
        <f>IF(BZ14&gt;0,BZ14,"")</f>
        <v/>
      </c>
      <c r="CI14" s="12" t="str">
        <f>IF(SUM(BS14:BV14)-BW14&gt;0,SUM(BS14:BV14)-BW14,"")</f>
        <v/>
      </c>
      <c r="CJ14" s="12" t="str">
        <f>IF(SUM(BX14:CA14)-CB14&gt;0,SUM(BX14:CA14)-CB14,"")</f>
        <v/>
      </c>
      <c r="CK14" s="12" t="str">
        <f>IF(SUM(CI14:CJ14)&gt;0,SUM(CI14:CJ14),"")</f>
        <v/>
      </c>
      <c r="CL14" s="12" t="str">
        <f>IF(CE14&gt;0,CE14,"")</f>
        <v/>
      </c>
      <c r="CM14" s="12" t="str">
        <f>IF(SUM(CC14:CF14)-CG14&gt;0,SUM(CC14:CF14)-CG14,"")</f>
        <v/>
      </c>
      <c r="CN14" s="12" t="str">
        <f>IF(SUM(CK14,CM14)&gt;0,SUM(CK14,CM14),"")</f>
        <v/>
      </c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15" t="str">
        <f>IF(CV14&gt;0,CV14,"")</f>
        <v/>
      </c>
      <c r="DE14" s="15" t="str">
        <f>IF(SUM(CO14:CR14)-CS14&gt;0,SUM(CO14:CR14)-CS14,"")</f>
        <v/>
      </c>
      <c r="DF14" s="15" t="str">
        <f>IF(SUM(CT14:CW14)-CX14&gt;0,SUM(CT14:CW14)-CX14,"")</f>
        <v/>
      </c>
      <c r="DG14" s="15" t="str">
        <f>IF(SUM(DE14:DF14)&gt;0,SUM(DE14:DF14),"")</f>
        <v/>
      </c>
      <c r="DH14" s="15" t="str">
        <f>IF(DA14&gt;0,DA14,"")</f>
        <v/>
      </c>
      <c r="DI14" s="15" t="str">
        <f>IF(SUM(CY14:DB14)-DC14&gt;0,SUM(CY14:DB14)-DC14,"")</f>
        <v/>
      </c>
      <c r="DJ14" s="15" t="str">
        <f>IF(SUM(DG14,DI14)&gt;0,SUM(DG14,DI14),"")</f>
        <v/>
      </c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  <c r="DW14" s="36"/>
      <c r="DX14" s="36"/>
      <c r="DY14" s="36"/>
      <c r="DZ14" s="12" t="str">
        <f>IF(DR14&gt;0,DR14,"")</f>
        <v/>
      </c>
      <c r="EA14" s="12" t="str">
        <f>IF(SUM(DK14:DN14)-DO14&gt;0,SUM(DK14:DN14)-DO14,"")</f>
        <v/>
      </c>
      <c r="EB14" s="12" t="str">
        <f>IF(SUM(DP14:DS14)-DT14&gt;0,SUM(DP14:DS14)-DT14,"")</f>
        <v/>
      </c>
      <c r="EC14" s="12" t="str">
        <f>IF(SUM(EA14:EB14)&gt;0,SUM(EA14:EB14),"")</f>
        <v/>
      </c>
      <c r="ED14" s="12" t="str">
        <f>IF(DW14&gt;0,DW14,"")</f>
        <v/>
      </c>
      <c r="EE14" s="12" t="str">
        <f>IF(SUM(DU14:DX14)-DY14&gt;0,SUM(DU14:DX14)-DY14,"")</f>
        <v/>
      </c>
      <c r="EF14" s="12" t="str">
        <f>IF(SUM(EC14,EE14)&gt;0,SUM(EC14,EE14),"")</f>
        <v/>
      </c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15" t="str">
        <f>IF(EN14&gt;0,EN14,"")</f>
        <v/>
      </c>
      <c r="EW14" s="15" t="str">
        <f>IF(SUM(EG14:EJ14)-EK14&gt;0,SUM(EG14:EJ14)-EK14,"")</f>
        <v/>
      </c>
      <c r="EX14" s="15" t="str">
        <f>IF(SUM(EL14:EO14)-EP14&gt;0,SUM(EL14:EO14)-EP14,"")</f>
        <v/>
      </c>
      <c r="EY14" s="15" t="str">
        <f>IF(SUM(EW14:EX14)&gt;0,SUM(EW14:EX14),"")</f>
        <v/>
      </c>
      <c r="EZ14" s="15" t="str">
        <f>IF(ES14&gt;0,ES14,"")</f>
        <v/>
      </c>
      <c r="FA14" s="15" t="str">
        <f>IF(SUM(EQ14:ET14)-EU14&gt;0,SUM(EQ14:ET14)-EU14,"")</f>
        <v/>
      </c>
      <c r="FB14" s="15" t="str">
        <f>IF(SUM(EY14,FA14)&gt;0,SUM(EY14,FA14),"")</f>
        <v/>
      </c>
      <c r="FC14" s="36"/>
      <c r="FD14" s="36"/>
      <c r="FE14" s="36"/>
      <c r="FF14" s="36"/>
      <c r="FG14" s="36"/>
      <c r="FH14" s="36"/>
      <c r="FI14" s="36"/>
      <c r="FJ14" s="36"/>
      <c r="FK14" s="36"/>
      <c r="FL14" s="36"/>
      <c r="FM14" s="36"/>
      <c r="FN14" s="36"/>
      <c r="FO14" s="36"/>
      <c r="FP14" s="36"/>
      <c r="FQ14" s="36"/>
      <c r="FR14" s="12" t="str">
        <f>IF(FJ14&gt;0,FJ14,"")</f>
        <v/>
      </c>
      <c r="FS14" s="12" t="str">
        <f>IF(SUM(FC14:FF14)-FG14&gt;0,SUM(FC14:FF14)-FG14,"")</f>
        <v/>
      </c>
      <c r="FT14" s="12" t="str">
        <f>IF(SUM(FH14:FK14)-FL14&gt;0,SUM(FH14:FK14)-FL14,"")</f>
        <v/>
      </c>
      <c r="FU14" s="12" t="str">
        <f>IF(SUM(FS14:FT14)&gt;0,SUM(FS14:FT14),"")</f>
        <v/>
      </c>
      <c r="FV14" s="12" t="str">
        <f>IF(FO14&gt;0,FO14,"")</f>
        <v/>
      </c>
      <c r="FW14" s="12" t="str">
        <f>IF(SUM(FM14:FP14)-FQ14&gt;0,SUM(FM14:FP14)-FQ14,"")</f>
        <v/>
      </c>
      <c r="FX14" s="12" t="str">
        <f>IF(SUM(FU14,FW14)&gt;0,SUM(FU14,FW14),"")</f>
        <v/>
      </c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15" t="str">
        <f>IF(GF14&gt;0,GF14,"")</f>
        <v/>
      </c>
      <c r="GO14" s="15" t="str">
        <f>IF(SUM(FY14:GB14)-GC14&gt;0,SUM(FY14:GB14)-GC14,"")</f>
        <v/>
      </c>
      <c r="GP14" s="15" t="str">
        <f>IF(SUM(GD14:GG14)-GH14&gt;0,SUM(GD14:GG14)-GH14,"")</f>
        <v/>
      </c>
      <c r="GQ14" s="15" t="str">
        <f>IF(SUM(GO14:GP14)&gt;0,SUM(GO14:GP14),"")</f>
        <v/>
      </c>
      <c r="GR14" s="15" t="str">
        <f>IF(GK14&gt;0,GK14,"")</f>
        <v/>
      </c>
      <c r="GS14" s="15" t="str">
        <f>IF(SUM(GI14:GL14)-GM14&gt;0,SUM(GI14:GL14)-GM14,"")</f>
        <v/>
      </c>
      <c r="GT14" s="15" t="str">
        <f>IF(SUM(GQ14,GS14)&gt;0,SUM(GQ14,GS14),"")</f>
        <v/>
      </c>
      <c r="GU14" s="36"/>
      <c r="GV14" s="36"/>
      <c r="GW14" s="36"/>
      <c r="GX14" s="36"/>
      <c r="GY14" s="36"/>
      <c r="GZ14" s="36"/>
      <c r="HA14" s="36"/>
      <c r="HB14" s="36"/>
      <c r="HC14" s="36"/>
      <c r="HD14" s="36"/>
      <c r="HE14" s="36"/>
      <c r="HF14" s="36"/>
      <c r="HG14" s="36"/>
      <c r="HH14" s="36"/>
      <c r="HI14" s="36"/>
      <c r="HJ14" s="12" t="str">
        <f>IF(HB14&gt;0,HB14,"")</f>
        <v/>
      </c>
      <c r="HK14" s="12" t="str">
        <f>IF(SUM(GU14:GX14)-GY14&gt;0,SUM(GU14:GX14)-GY14,"")</f>
        <v/>
      </c>
      <c r="HL14" s="12" t="str">
        <f>IF(SUM(GZ14:HC14)-HD14&gt;0,SUM(GZ14:HC14)-HD14,"")</f>
        <v/>
      </c>
      <c r="HM14" s="12" t="str">
        <f>IF(SUM(HK14:HL14)&gt;0,SUM(HK14:HL14),"")</f>
        <v/>
      </c>
      <c r="HN14" s="12" t="str">
        <f>IF(HG14&gt;0,HG14,"")</f>
        <v/>
      </c>
      <c r="HO14" s="12" t="str">
        <f>IF(SUM(HE14:HH14)-HI14&gt;0,SUM(HE14:HH14)-HI14,"")</f>
        <v/>
      </c>
      <c r="HP14" s="12" t="str">
        <f>IF(SUM(HM14,HO14)&gt;0,SUM(HM14,HO14),"")</f>
        <v/>
      </c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15" t="str">
        <f>IF(HX14&gt;0,HX14,"")</f>
        <v/>
      </c>
      <c r="IG14" s="15" t="str">
        <f>IF(SUM(HQ14:HT14)-HU14&gt;0,SUM(HQ14:HT14)-HU14,"")</f>
        <v/>
      </c>
      <c r="IH14" s="15" t="str">
        <f>IF(SUM(HV14:HY14)-HZ14&gt;0,SUM(HV14:HY14)-HZ14,"")</f>
        <v/>
      </c>
      <c r="II14" s="15" t="str">
        <f>IF(SUM(IG14:IH14)&gt;0,SUM(IG14:IH14),"")</f>
        <v/>
      </c>
      <c r="IJ14" s="15" t="str">
        <f>IF(IC14&gt;0,IC14,"")</f>
        <v/>
      </c>
      <c r="IK14" s="15" t="str">
        <f>IF(SUM(IA14:ID14)-IE14&gt;0,SUM(IA14:ID14)-IE14,"")</f>
        <v/>
      </c>
      <c r="IL14" s="15" t="str">
        <f>IF(SUM(II14,IK14)&gt;0,SUM(II14,IK14),"")</f>
        <v/>
      </c>
      <c r="IM14" s="36"/>
      <c r="IN14" s="36"/>
      <c r="IO14" s="36"/>
      <c r="IP14" s="36"/>
      <c r="IQ14" s="36"/>
      <c r="IR14" s="36"/>
      <c r="IS14" s="36"/>
      <c r="IT14" s="36"/>
      <c r="IU14" s="36"/>
      <c r="IV14" s="36"/>
      <c r="IW14" s="36"/>
      <c r="IX14" s="36"/>
      <c r="IY14" s="36"/>
      <c r="IZ14" s="36"/>
      <c r="JA14" s="36"/>
      <c r="JB14" s="12" t="str">
        <f>IF(IT14&gt;0,IT14,"")</f>
        <v/>
      </c>
      <c r="JC14" s="12" t="str">
        <f>IF(SUM(IM14:IP14)-IQ14&gt;0,SUM(IM14:IP14)-IQ14,"")</f>
        <v/>
      </c>
      <c r="JD14" s="12" t="str">
        <f>IF(SUM(IR14:IU14)-IV14&gt;0,SUM(IR14:IU14)-IV14,"")</f>
        <v/>
      </c>
      <c r="JE14" s="12" t="str">
        <f>IF(SUM(JC14:JD14)&gt;0,SUM(JC14:JD14),"")</f>
        <v/>
      </c>
      <c r="JF14" s="12" t="str">
        <f>IF(IY14&gt;0,IY14,"")</f>
        <v/>
      </c>
      <c r="JG14" s="12" t="str">
        <f>IF(SUM(IW14:IZ14)-JA14&gt;0,SUM(IW14:IZ14)-JA14,"")</f>
        <v/>
      </c>
      <c r="JH14" s="12" t="str">
        <f>IF(SUM(JE14,JG14)&gt;0,SUM(JE14,JG14),"")</f>
        <v/>
      </c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15" t="str">
        <f>IF(JP14&gt;0,JP14,"")</f>
        <v/>
      </c>
      <c r="JY14" s="15" t="str">
        <f>IF(SUM(JI14:JL14)-JM14&gt;0,SUM(JI14:JL14)-JM14,"")</f>
        <v/>
      </c>
      <c r="JZ14" s="15" t="str">
        <f>IF(SUM(JN14:JQ14)-JR14&gt;0,SUM(JN14:JQ14)-JR14,"")</f>
        <v/>
      </c>
      <c r="KA14" s="15" t="str">
        <f>IF(SUM(JY14:JZ14)&gt;0,SUM(JY14:JZ14),"")</f>
        <v/>
      </c>
      <c r="KB14" s="15" t="str">
        <f>IF(JU14&gt;0,JU14,"")</f>
        <v/>
      </c>
      <c r="KC14" s="15" t="str">
        <f>IF(SUM(JS14:JV14)-JW14&gt;0,SUM(JS14:JV14)-JW14,"")</f>
        <v/>
      </c>
      <c r="KD14" s="15" t="str">
        <f>IF(SUM(KA14,KC14)&gt;0,SUM(KA14,KC14),"")</f>
        <v/>
      </c>
      <c r="KE14" s="36"/>
      <c r="KF14" s="36"/>
      <c r="KG14" s="36"/>
      <c r="KH14" s="36"/>
      <c r="KI14" s="36"/>
      <c r="KJ14" s="36"/>
      <c r="KK14" s="36"/>
      <c r="KL14" s="36"/>
      <c r="KM14" s="36"/>
      <c r="KN14" s="36"/>
      <c r="KO14" s="36"/>
      <c r="KP14" s="36"/>
      <c r="KQ14" s="36"/>
      <c r="KR14" s="36"/>
      <c r="KS14" s="36"/>
      <c r="KT14" s="12" t="str">
        <f>IF(KL14&gt;0,KL14,"")</f>
        <v/>
      </c>
      <c r="KU14" s="12" t="str">
        <f>IF(SUM(KE14:KH14)-KI14&gt;0,SUM(KE14:KH14)-KI14,"")</f>
        <v/>
      </c>
      <c r="KV14" s="12" t="str">
        <f>IF(SUM(KJ14:KM14)-KN14&gt;0,SUM(KJ14:KM14)-KN14,"")</f>
        <v/>
      </c>
      <c r="KW14" s="12" t="str">
        <f>IF(SUM(KU14:KV14)&gt;0,SUM(KU14:KV14),"")</f>
        <v/>
      </c>
      <c r="KX14" s="12" t="str">
        <f>IF(KQ14&gt;0,KQ14,"")</f>
        <v/>
      </c>
      <c r="KY14" s="12" t="str">
        <f>IF(SUM(KO14:KR14)-KS14&gt;0,SUM(KO14:KR14)-KS14,"")</f>
        <v/>
      </c>
      <c r="KZ14" s="12" t="str">
        <f>IF(SUM(KW14,KY14)&gt;0,SUM(KW14,KY14),"")</f>
        <v/>
      </c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15" t="str">
        <f>IF(LH14&gt;0,LH14,"")</f>
        <v/>
      </c>
      <c r="LQ14" s="15" t="str">
        <f>IF(SUM(LA14:LD14)-LE14&gt;0,SUM(LA14:LD14)-LE14,"")</f>
        <v/>
      </c>
      <c r="LR14" s="15" t="str">
        <f>IF(SUM(LF14:LI14)-LJ14&gt;0,SUM(LF14:LI14)-LJ14,"")</f>
        <v/>
      </c>
      <c r="LS14" s="15" t="str">
        <f>IF(SUM(LQ14:LR14)&gt;0,SUM(LQ14:LR14),"")</f>
        <v/>
      </c>
      <c r="LT14" s="15" t="str">
        <f>IF(LM14&gt;0,LM14,"")</f>
        <v/>
      </c>
      <c r="LU14" s="15" t="str">
        <f>IF(SUM(LK14:LN14)-LO14&gt;0,SUM(LK14:LN14)-LO14,"")</f>
        <v/>
      </c>
      <c r="LV14" s="15" t="str">
        <f>IF(SUM(LS14,LU14)&gt;0,SUM(LS14,LU14),"")</f>
        <v/>
      </c>
      <c r="LW14" s="63">
        <f t="shared" si="7"/>
        <v>8.35</v>
      </c>
      <c r="LX14" s="63">
        <f t="shared" si="8"/>
        <v>4.8</v>
      </c>
      <c r="LY14" s="63">
        <f t="shared" si="9"/>
        <v>1.7</v>
      </c>
      <c r="LZ14" s="63">
        <f t="shared" si="10"/>
        <v>7.3125</v>
      </c>
      <c r="MA14" s="63">
        <f t="shared" si="11"/>
        <v>0</v>
      </c>
      <c r="MB14" s="63">
        <f t="shared" si="12"/>
        <v>6.45</v>
      </c>
      <c r="MC14" s="63">
        <f t="shared" si="13"/>
        <v>3.95</v>
      </c>
      <c r="MD14" s="63">
        <f t="shared" si="14"/>
        <v>4.5999999999999996</v>
      </c>
      <c r="ME14" s="63">
        <f t="shared" si="15"/>
        <v>6.0149999999999997</v>
      </c>
      <c r="MF14" s="63">
        <f t="shared" si="16"/>
        <v>0</v>
      </c>
      <c r="MG14" s="63">
        <f t="shared" si="17"/>
        <v>7.3</v>
      </c>
      <c r="MH14" s="63">
        <f t="shared" si="18"/>
        <v>4.6500000000000004</v>
      </c>
      <c r="MI14" s="63">
        <f t="shared" si="19"/>
        <v>5.6</v>
      </c>
      <c r="MJ14" s="63">
        <f t="shared" si="20"/>
        <v>6.8125</v>
      </c>
      <c r="MK14" s="63">
        <f t="shared" si="21"/>
        <v>0</v>
      </c>
      <c r="ML14" s="74" t="s">
        <v>119</v>
      </c>
      <c r="MM14" s="12">
        <f t="shared" ref="MM14" si="29">IF(MD14&gt;0,MD14,"")</f>
        <v>4.5999999999999996</v>
      </c>
      <c r="MN14" s="12">
        <f t="shared" ref="MN14" si="30">IF(SUM(LW14:LZ14)-MA14&gt;0,SUM(LW14:LZ14)-MA14,"")</f>
        <v>22.162499999999998</v>
      </c>
      <c r="MO14" s="12">
        <f t="shared" ref="MO14" si="31">IF(SUM(MB14:ME14)-MF14&gt;0,SUM(MB14:ME14)-MF14,"")</f>
        <v>21.015000000000001</v>
      </c>
      <c r="MP14" s="12">
        <f t="shared" ref="MP14" si="32">IF(SUM(MN14:MO14)&gt;0,SUM(MN14:MO14),"")</f>
        <v>43.177499999999995</v>
      </c>
      <c r="MQ14" s="12">
        <f t="shared" si="26"/>
        <v>5.6</v>
      </c>
      <c r="MR14" s="12">
        <f t="shared" ref="MR14" si="33">IF(SUM(MG14:MJ14)-MK14&gt;0,SUM(MG14:MJ14)-MK14,"")</f>
        <v>24.362499999999997</v>
      </c>
      <c r="MS14" s="12">
        <f t="shared" ref="MS14" si="34">IF(SUM(MP14,MR14)&gt;0,SUM(MP14,MR14),"")</f>
        <v>67.539999999999992</v>
      </c>
    </row>
    <row r="15" spans="1:357" x14ac:dyDescent="0.2">
      <c r="A15" s="6" t="str">
        <f>IF(AND(F15="P",H15="P"),SUMPRODUCT((F$4:F$16="P")*(H$4:H$16="P")*(E$4:E$16&gt;E15))+1,IF(H15="P",SUMPRODUCT((F$4:F$16="")*(H$4:H$16="P")*(E$4:E$16&gt;E15))+1+SUMPRODUCT((F$4:F$16="P")*(H$4:H$16="P")),""))</f>
        <v/>
      </c>
      <c r="B15" s="9" t="s">
        <v>105</v>
      </c>
      <c r="C15" s="5" t="s">
        <v>6</v>
      </c>
      <c r="D15" s="27">
        <v>2002</v>
      </c>
      <c r="E15" s="16">
        <f>SUM(J15:R15)</f>
        <v>104.78</v>
      </c>
      <c r="F15" s="4" t="str">
        <f>IF(OR(AND($AK15&gt;=$AL$18,NOT($AK15=""),$AJ15=""),AND($BH15&gt;=$BI$18,NOT($BH15=""),$BG15=""),AND($CH15&gt;=$CI$18,NOT($CH15="")),AND($DD15&gt;=$DE$18,NOT($DD15="")),AND($DZ15&gt;=$EA$18,NOT($DZ15="")),AND($EV15&gt;=$EW$18,NOT($EV15="")),AND($FR15&gt;=$FS$18,NOT($FR15="")),AND($GN15&gt;=$GO$18,NOT($GN15="")),AND($HJ15&gt;=$HK$18,NOT($HJ15="")),AND($IF15&gt;=$IG$18,NOT($IF15="")),AND($JB15&gt;=$JC$18,NOT($JB15="")),AND($JX15&gt;=$JY$18,NOT($JX15="")),AND($KT15&gt;=$KU$18,NOT($KT15="")),AND($LP15&gt;=$LQ$18,NOT($LP15=""))),"P","")</f>
        <v/>
      </c>
      <c r="G15" s="4" t="str">
        <f>IF(OR(AND($AK15&gt;=$AL$19,NOT($AK15=""),$AJ15=""),AND($BH15&gt;=$BI$19,NOT($BH15=""),$BG15=""),AND($CH15&gt;=$CI$19,NOT($CH15="")),AND($DD15&gt;=$DE$19,NOT($DD15="")),AND($DZ15&gt;=$EA$19,NOT($DZ15="")),AND($EV15&gt;=$EW$19,NOT($EV15="")),AND($FR15&gt;=$FS$19,NOT($FR15="")),AND($GN15&gt;=$GO$19,NOT($GN15="")),AND($HJ15&gt;=$HK$19,NOT($HJ15="")),AND($IF15&gt;=$IG$19,NOT($IF15="")),AND($JB15&gt;=$JC$19,NOT($JB15="")),AND($JX15&gt;=$JY$19,NOT($JX15="")),AND($KT15&gt;=$KU$19,NOT($KT15="")),AND($LP15&gt;=$LQ$19,NOT($LP15=""))),"P","")</f>
        <v/>
      </c>
      <c r="H15" s="4" t="str">
        <f>IF(OR(AND($AN15&gt;=$AL$20,NOT($AN15=""),$AJ15=""),AND($BK15&gt;=$BI$20,NOT($BK15=""),$BG15=""),AND($CK15&gt;=$CI$20,NOT($CK15="")),AND($DG15&gt;=$DE$20,NOT($DG15="")),AND($EC15&gt;=$EA$20,NOT($EC15="")),AND($EY15&gt;=$EW$20,NOT($EY15="")),AND($FU15&gt;=$FS$20,NOT($FU15="")),AND($GQ15&gt;=$GO$20,NOT($GQ15="")),AND($HM15&gt;=$HK$20,NOT($HM15="")),AND($II15&gt;=$IG$20,NOT($II15="")),AND($JE15&gt;=$JC$20,NOT($JE15="")),AND($KA15&gt;=$JY$20,NOT($KA15="")),AND($KW15&gt;=$KU$20,NOT($KW15="")),AND($LS15&gt;=$LQ$20,NOT($LS15=""))),"P","")</f>
        <v/>
      </c>
      <c r="I15" t="str">
        <f>IF(AND(H15="P",F15=""),"No DD",IF(AND(G15="P",OR(AND($AM15&gt;$AL$23,NOT($AM15=""),$AJ15=""),AND($AP15&gt;$AL$23,NOT($AP15=""),$AJ15=""),AND($BJ15&gt;$BI$23,NOT($BJ15=""),$BG15=""),AND($BM15&gt;$BI$23,NOT($BM15=""),$BG15=""),AND($CJ15&gt;$CI$23,NOT($CJ15="")),AND($CM15&gt;$CI$23,NOT($CM15="")),AND($DF15&gt;$DE$23,NOT($DF15="")),AND($DI15&gt;$DE$23,NOT($DI15="")),AND($EB15&gt;$EA$23,NOT($EB15="")),AND($EE15&gt;$EA$23,NOT($EE15="")),AND($EX15&gt;$EW$23,NOT($EX15="")),AND($FA15&gt;$EW$23,NOT($FA15="")),AND($FT15&gt;$FS$23,NOT($FT15="")),AND($FW15&gt;$FS$23,NOT($FW15="")),AND($GP15&gt;$GO$23,NOT($GP15="")),AND($GS15&gt;$GO$23,NOT($GS15="")),AND($HL15&gt;$HK$23,NOT($HL15="")),AND($HO15&gt;$HK$23,NOT($HO15="")),AND($IH15&gt;$IG$23,NOT($IH15="")),AND($IK15&gt;$IG$23,NOT($IK15="")),AND($JD15&gt;$JC$23,NOT($JD15="")),AND($JG15&gt;$JC$23,NOT($JG15="")),AND($JZ15&gt;$JY$23,NOT($JZ15="")),AND($KC15&gt;$JY$23,NOT($KC15="")),AND($KV15&gt;$KU$23,NOT($KV15="")),AND($KY15&gt;$KU$23,NOT($KY15="")),AND($LR15&gt;$LQ$23,NOT($LR15="")),AND($LU15&gt;$LQ$23,NOT($LU15="")))),"Merit",IF(AND(G15="P",OR(AND($AN15&gt;$AL$22,NOT($AN15=""),$AJ15=""),AND($BK15&gt;$BI$22,NOT($BK15=""),$BG15=""),AND($CK15&gt;$CI$22,NOT($CK15="")),AND($DG15&gt;$DE$22,NOT($DG15="")),AND($EC15&gt;$EA$22,NOT($EC15="")),AND($EY15&gt;$EW$22,NOT($EY15="")),AND($FU15&gt;$FS$22,NOT($FU15="")),AND($GQ15&gt;$GO$22,NOT($GQ15="")),AND($HM15&gt;$HK$22,NOT($HM15="")),AND($II15&gt;$IG$22,NOT($II15="")),AND($JE15&gt;$JC$22,NOT($JE15="")),AND($KA15&gt;$JY$22,NOT($KA15="")),AND($KW15&gt;$KU$22,NOT($KW15="")),AND($LS15&gt;$LQ$22,NOT($LS15="")))),"Excellence",IF(AND(G15="P",OR(AND($AN15&gt;$AL$21,NOT($AN15=""),$AJ15=""),AND($BK15&gt;$BI$21,NOT($BK15=""),$BG15=""),AND($CK15&gt;$CI$21,NOT($CK15="")),AND($DG15&gt;$DE$21,NOT($DG15="")),AND($EC15&gt;$EA$21,NOT($EC15="")),AND($EY15&gt;$EW$21,NOT($EY15="")),AND($FU15&gt;$FS$21,NOT($FU15="")),AND($GQ15&gt;$GO$21,NOT($GQ15="")),AND($HM15&gt;$HK$21,NOT($HM15="")),AND($II15&gt;$IG$21,NOT($II15="")),AND($JE15&gt;$JC$21,NOT($JE15="")),AND($KA15&gt;$JY$21,NOT($KA15="")),AND($KW15&gt;$KU$21,NOT($KW15="")),AND($LS15&gt;$LQ$21,NOT($LS15="")))),"Worlds Team",IF(AND(F15="P",OR(AND($AN15&gt;$AL$20,NOT($AN15=""),$AJ15=""),AND($BK15&gt;$BI$20,NOT($BK15=""),$BG15=""),AND($CK15&gt;$CI$20,NOT($CK15="")),AND($DG15&gt;$DE$20,NOT($DG15="")),AND($EC15&gt;$EA$20,NOT($EC15="")),AND($EY15&gt;$EW$20,NOT($EY15="")),AND($FU15&gt;$FS$20,NOT($FU15="")),AND($GQ15&gt;$GO$20,NOT($GQ15="")),AND($HM15&gt;$HK$20,NOT($HM15="")),AND($II15&gt;$IG$20,NOT($II15="")),AND($JE15&gt;$JC$20,NOT($JE15="")),AND($KA15&gt;$JY$20,NOT($KA15="")),AND($KW15&gt;$KU$20,NOT($KW15="")),AND($LS15&gt;$LQ$20,NOT($LS15="")))),"National Team","")))))</f>
        <v/>
      </c>
      <c r="J15" s="15">
        <f>IF(MAX(AN15,BK15)&gt;0,MAX(AN15,BK15),"")</f>
        <v>89.81</v>
      </c>
      <c r="K15" s="15" t="str">
        <f>IF(J15="","",IF(J15=BK15,$AR$1,IF(J15=AN15,$U$1,"")))</f>
        <v>2018 Nationals</v>
      </c>
      <c r="L15" s="15" t="str">
        <f>IF($J15=$AN15,BI15,IF($J15=$BK15,AL15,MAX(AL15,BI15)))</f>
        <v/>
      </c>
      <c r="M15" s="15" t="str">
        <f>IF(L15="","",IF(L15=BI15,$AR$1,IF(L15=AL15,$U$1,"")))</f>
        <v/>
      </c>
      <c r="N15" s="15" t="str">
        <f>IF($J15=$AN15,BJ15,IF($J15=$BK15,AM15,MAX(AM15,BJ15)))</f>
        <v/>
      </c>
      <c r="O15" s="15" t="str">
        <f>IF(N15="","",IF(AND(N15=BJ15,$K15&lt;&gt;$AR$1),$AR$1,IF(AND(N15=AM15,$K15&lt;&gt;$U$1),$U$1,"")))</f>
        <v/>
      </c>
      <c r="P15" s="15">
        <f>IF(MAX(AP15,BM15)&gt;0,MAX(AP15,BM15),"")</f>
        <v>14.97</v>
      </c>
      <c r="Q15" s="15" t="str">
        <f>IF(P15="","",IF(P15=BM15,$AR$1,IF(P15=AP15,$U$1,"")))</f>
        <v>2018 Nationals</v>
      </c>
      <c r="R15" s="15" t="str">
        <f>IF(MAX(BO15,BP15,BQ15,BR15)&gt;0,MAX(BO15,BP15,BQ15,BR15),"")</f>
        <v/>
      </c>
      <c r="S15" s="25" t="str">
        <f>IF(R15="","",IF(R15=BO15,"(Vol 1)",IF(R15=BP15,"(Vol 2)",IF(R15=BQ15,"(Prelim)",IF(R15=BR15,"(Final)")))))</f>
        <v/>
      </c>
      <c r="T15" s="15" t="str">
        <f>IF(R15="","",IF(R15=BO15,IF(R15+IF(L15="",0,L15)=LQ15,$LA$1,IF(R15+IF(L15="",0,L15)=KU15,$KE$1,IF(R15+IF(L15="",0,L15)=JY15,$JI$1,IF(R15+IF(L15="",0,L15)=JC15,$IM$1,IF(R15+IF(L15="",0,L15)=IG15,$HQ$1,IF(R15+IF(L15="",0,L15)=HK15,$GU$1,IF(R15+IF(L15="",0,L15)=GO15,$FY$1,IF(R15+IF(L15="",0,L15)=FS15,$FC$1,IF(R15+IF(L15="",0,L15)=EW15,$EG$1,IF(R15+IF(L15="",0,L15)=EA15,$DK$1,IF(R15+IF(L15="",0,L15)=DE15,$CO$1,IF(R15+IF(L15="",0,L15)=CI15,$BS$1)))))))))))),IF(R15=BP15,IF(R15+IF(N15="",0,N15)=LR15,$LA$1,IF(R15+IF(N15="",0,N15)=KV15,$KE$1,IF(R15+IF(N15="",0,N15)=JZ15,$JI$1,IF(R15+IF(N15="",0,N15)=JD15,$IM$1,IF(R15+IF(N15="",0,N15)=IH15,$HQ$1,IF(R15+IF(N15="",0,N15)=HL15,$GU$1,IF(R15+IF(N15="",0,N15)=GP15,$FY$1,IF(R15+IF(N15="",0,N15)=FT15,$FC$1,IF(R15+IF(N15="",0,N15)=EX15,$EG$1,IF(R15+IF(N15="",0,N15)=EB15,$DK$1,IF(R15+IF(N15="",0,N15)=DF15,$CO$1,IF(R15+IF(N15="",0,N15)=CJ15,$BS$1)))))))))))),IF(R15=BQ15,IF(R15+IF(J15="",0,J15)=LS15,$LA$1,IF(R15+IF(J15="",0,J15)=KW15,$KE$1,IF(R15+IF(J15="",0,J15)=KA15,$JI$1,IF(R15+IF(J15="",0,J15)=JE15,$IM$1,IF(R15+IF(J15="",0,J15)=II15,$HQ$1,IF(R15+IF(J15="",0,J15)=HM15,$GU$1,IF(R15+IF(J15="",0,J15)=GQ15,$FY$1,IF(R15+IF(J15="",0,J15)=FU15,$FC$1,IF(R15+IF(J15="",0,J15)=EY15,$EG$1,IF(R15+IF(J15="",0,J15)=EC15,$DK$1,IF(R15+IF(J15="",0,J15)=DG15,$CO$1,IF(R15+IF(J15="",0,J15)=CK15,$BS$1)))))))))))),IF(R15=BR15,IF(R15+IF(P15="",0,P15)=LU15,$LA$1,IF(R15+IF(P15="",0,P15)=KY15,$KE$1,IF(R15+IF(P15="",0,P15)=KC15,$JI$1,IF(R15+IF(P15="",0,P15)=JG15,$IM$1,IF(R15+IF(P15="",0,P15)=IK15,$HQ$1,IF(R15+IF(P15="",0,P15)=HO15,$GU$1,IF(R15+IF(P15="",0,P15)=GS15,$FY$1,IF(R15+IF(P15="",0,P15)=FW15,$FC$1,IF(R15+IF(P15="",0,P15)=FA15,$EG$1,IF(R15+IF(P15="",0,P15)=EE15,$DK$1,IF(R15+IF(P15="",0,P15)=DI15,$CO$1,IF(R15+IF(P15="",0,P15)=CM15,$BS$1)))))))))))))))))</f>
        <v/>
      </c>
      <c r="U15" s="36">
        <v>16.100000000000001</v>
      </c>
      <c r="V15" s="36">
        <v>9.4499999999999993</v>
      </c>
      <c r="W15" s="36">
        <v>4.0999999999999996</v>
      </c>
      <c r="X15" s="36">
        <v>14</v>
      </c>
      <c r="Y15" s="36">
        <v>0</v>
      </c>
      <c r="Z15" s="36">
        <v>13.9</v>
      </c>
      <c r="AA15" s="36">
        <v>8.4499999999999993</v>
      </c>
      <c r="AB15" s="36">
        <v>10.3</v>
      </c>
      <c r="AC15" s="36">
        <v>13.51</v>
      </c>
      <c r="AD15" s="36">
        <v>0</v>
      </c>
      <c r="AE15" s="36">
        <v>4.5999999999999996</v>
      </c>
      <c r="AF15" s="36">
        <v>2.9</v>
      </c>
      <c r="AG15" s="36">
        <v>3.3</v>
      </c>
      <c r="AH15" s="36">
        <v>4.17</v>
      </c>
      <c r="AI15" s="36">
        <v>0</v>
      </c>
      <c r="AJ15" s="74"/>
      <c r="AK15" s="12">
        <f>IF(AB15&gt;0,AB15,"")</f>
        <v>10.3</v>
      </c>
      <c r="AL15" s="12">
        <f>IF(SUM(U15:X15)-Y15&gt;0,SUM(U15:X15)-Y15,"")</f>
        <v>43.65</v>
      </c>
      <c r="AM15" s="12">
        <f>IF(SUM(Z15:AC15)-AD15&gt;0,SUM(Z15:AC15)-AD15,"")</f>
        <v>46.160000000000004</v>
      </c>
      <c r="AN15" s="12">
        <f>IF(SUM(AL15:AM15)&gt;0,SUM(AL15:AM15),"")</f>
        <v>89.81</v>
      </c>
      <c r="AO15" s="12">
        <f>IF(AG15&gt;0,AG15,"")</f>
        <v>3.3</v>
      </c>
      <c r="AP15" s="12">
        <f>IF(SUM(AE15:AH15)-AI15&gt;0,SUM(AE15:AH15)-AI15,"")</f>
        <v>14.97</v>
      </c>
      <c r="AQ15" s="12">
        <f>IF(SUM(AN15,AP15)&gt;0,SUM(AN15,AP15),"")</f>
        <v>104.78</v>
      </c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75"/>
      <c r="BH15" s="15" t="str">
        <f>IF(AY15&gt;0,AY15,"")</f>
        <v/>
      </c>
      <c r="BI15" s="15" t="str">
        <f>IF(SUM(AR15:AU15)-AV15&gt;0,SUM(AR15:AU15)-AV15,"")</f>
        <v/>
      </c>
      <c r="BJ15" s="15" t="str">
        <f>IF(SUM(AW15:AZ15)-BA15&gt;0,SUM(AW15:AZ15)-BA15,"")</f>
        <v/>
      </c>
      <c r="BK15" s="15" t="str">
        <f>IF(SUM(BI15:BJ15)&gt;0,SUM(BI15:BJ15),"")</f>
        <v/>
      </c>
      <c r="BL15" s="15" t="str">
        <f>IF(BD15&gt;0,BD15,"")</f>
        <v/>
      </c>
      <c r="BM15" s="15" t="str">
        <f>IF(SUM(BB15:BE15)-BF15&gt;0,SUM(BB15:BE15)-BF15,"")</f>
        <v/>
      </c>
      <c r="BN15" s="15" t="str">
        <f>IF(SUM(BK15,BM15)&gt;0,SUM(BK15,BM15),"")</f>
        <v/>
      </c>
      <c r="BO15" s="24" t="str">
        <f>IF(MAX(CI15,DE15,EA15,EW15,FS15,GO15,HK15,IG15,JC15,JY15,KU15,LQ15)-IF(L15="",0,L15)&gt;0.001,MAX(CI15,DE15,EA15,EW15,FS15,GO15,HK15,IG15,JC15,JY15,KU15,LQ15)-IF(L15="",0,L15),"")</f>
        <v/>
      </c>
      <c r="BP15" s="24" t="str">
        <f>IF(MAX(CJ15,DF15,EB15,EX15,FT15,GP15,HL15,IH15,JD15,JZ15,KV15,LR15)-IF(N15="",0,N15)&gt;0.001,MAX(CJ15,DF15,EB15,EX15,FT15,GP15,HL15,IH15,JD15,JZ15,KV15,LR15)-IF(N15="",0,N15),"")</f>
        <v/>
      </c>
      <c r="BQ15" s="24" t="str">
        <f>IF(MAX(CK15,DG15,EC15,EY15,FU15,GQ15,HM15,II15,JE15,KA15,KW15,LS15)-IF(J15="",0,J15)&gt;0.001,MAX(CK15,DG15,EC15,EY15,FU15,GQ15,HM15,II15,JE15,KA15,KW15,LS15)-IF(J15="",0,J15),"")</f>
        <v/>
      </c>
      <c r="BR15" s="24" t="str">
        <f>IF(MAX(CM15,DI15,EE15,FA15,FW15,GS15,HO15,IK15,JG15,KC15,KY15,LU15)-IF(P15="",0,P15)&gt;0.001,MAX(CM15,DI15,EE15,FA15,FW15,GS15,HO15,IK15,JG15,KC15,KY15,LU15)-IF(P15="",0,P15),"")</f>
        <v/>
      </c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12" t="str">
        <f>IF(BZ15&gt;0,BZ15,"")</f>
        <v/>
      </c>
      <c r="CI15" s="12" t="str">
        <f>IF(SUM(BS15:BV15)-BW15&gt;0,SUM(BS15:BV15)-BW15,"")</f>
        <v/>
      </c>
      <c r="CJ15" s="12" t="str">
        <f>IF(SUM(BX15:CA15)-CB15&gt;0,SUM(BX15:CA15)-CB15,"")</f>
        <v/>
      </c>
      <c r="CK15" s="12" t="str">
        <f>IF(SUM(CI15:CJ15)&gt;0,SUM(CI15:CJ15),"")</f>
        <v/>
      </c>
      <c r="CL15" s="12" t="str">
        <f>IF(CE15&gt;0,CE15,"")</f>
        <v/>
      </c>
      <c r="CM15" s="12" t="str">
        <f>IF(SUM(CC15:CF15)-CG15&gt;0,SUM(CC15:CF15)-CG15,"")</f>
        <v/>
      </c>
      <c r="CN15" s="12" t="str">
        <f>IF(SUM(CK15,CM15)&gt;0,SUM(CK15,CM15),"")</f>
        <v/>
      </c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15" t="str">
        <f>IF(CV15&gt;0,CV15,"")</f>
        <v/>
      </c>
      <c r="DE15" s="15" t="str">
        <f>IF(SUM(CO15:CR15)-CS15&gt;0,SUM(CO15:CR15)-CS15,"")</f>
        <v/>
      </c>
      <c r="DF15" s="15" t="str">
        <f>IF(SUM(CT15:CW15)-CX15&gt;0,SUM(CT15:CW15)-CX15,"")</f>
        <v/>
      </c>
      <c r="DG15" s="15" t="str">
        <f>IF(SUM(DE15:DF15)&gt;0,SUM(DE15:DF15),"")</f>
        <v/>
      </c>
      <c r="DH15" s="15" t="str">
        <f>IF(DA15&gt;0,DA15,"")</f>
        <v/>
      </c>
      <c r="DI15" s="15" t="str">
        <f>IF(SUM(CY15:DB15)-DC15&gt;0,SUM(CY15:DB15)-DC15,"")</f>
        <v/>
      </c>
      <c r="DJ15" s="15" t="str">
        <f>IF(SUM(DG15,DI15)&gt;0,SUM(DG15,DI15),"")</f>
        <v/>
      </c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  <c r="DW15" s="36"/>
      <c r="DX15" s="36"/>
      <c r="DY15" s="36"/>
      <c r="DZ15" s="12" t="str">
        <f>IF(DR15&gt;0,DR15,"")</f>
        <v/>
      </c>
      <c r="EA15" s="12" t="str">
        <f>IF(SUM(DK15:DN15)-DO15&gt;0,SUM(DK15:DN15)-DO15,"")</f>
        <v/>
      </c>
      <c r="EB15" s="12" t="str">
        <f>IF(SUM(DP15:DS15)-DT15&gt;0,SUM(DP15:DS15)-DT15,"")</f>
        <v/>
      </c>
      <c r="EC15" s="12" t="str">
        <f>IF(SUM(EA15:EB15)&gt;0,SUM(EA15:EB15),"")</f>
        <v/>
      </c>
      <c r="ED15" s="12" t="str">
        <f>IF(DW15&gt;0,DW15,"")</f>
        <v/>
      </c>
      <c r="EE15" s="12" t="str">
        <f>IF(SUM(DU15:DX15)-DY15&gt;0,SUM(DU15:DX15)-DY15,"")</f>
        <v/>
      </c>
      <c r="EF15" s="12" t="str">
        <f>IF(SUM(EC15,EE15)&gt;0,SUM(EC15,EE15),"")</f>
        <v/>
      </c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15" t="str">
        <f>IF(EN15&gt;0,EN15,"")</f>
        <v/>
      </c>
      <c r="EW15" s="15" t="str">
        <f>IF(SUM(EG15:EJ15)-EK15&gt;0,SUM(EG15:EJ15)-EK15,"")</f>
        <v/>
      </c>
      <c r="EX15" s="15" t="str">
        <f>IF(SUM(EL15:EO15)-EP15&gt;0,SUM(EL15:EO15)-EP15,"")</f>
        <v/>
      </c>
      <c r="EY15" s="15" t="str">
        <f>IF(SUM(EW15:EX15)&gt;0,SUM(EW15:EX15),"")</f>
        <v/>
      </c>
      <c r="EZ15" s="15" t="str">
        <f>IF(ES15&gt;0,ES15,"")</f>
        <v/>
      </c>
      <c r="FA15" s="15" t="str">
        <f>IF(SUM(EQ15:ET15)-EU15&gt;0,SUM(EQ15:ET15)-EU15,"")</f>
        <v/>
      </c>
      <c r="FB15" s="15" t="str">
        <f>IF(SUM(EY15,FA15)&gt;0,SUM(EY15,FA15),"")</f>
        <v/>
      </c>
      <c r="FC15" s="36"/>
      <c r="FD15" s="36"/>
      <c r="FE15" s="36"/>
      <c r="FF15" s="36"/>
      <c r="FG15" s="36"/>
      <c r="FH15" s="36"/>
      <c r="FI15" s="36"/>
      <c r="FJ15" s="36"/>
      <c r="FK15" s="36"/>
      <c r="FL15" s="36"/>
      <c r="FM15" s="36"/>
      <c r="FN15" s="36"/>
      <c r="FO15" s="36"/>
      <c r="FP15" s="36"/>
      <c r="FQ15" s="36"/>
      <c r="FR15" s="12" t="str">
        <f>IF(FJ15&gt;0,FJ15,"")</f>
        <v/>
      </c>
      <c r="FS15" s="12" t="str">
        <f>IF(SUM(FC15:FF15)-FG15&gt;0,SUM(FC15:FF15)-FG15,"")</f>
        <v/>
      </c>
      <c r="FT15" s="12" t="str">
        <f>IF(SUM(FH15:FK15)-FL15&gt;0,SUM(FH15:FK15)-FL15,"")</f>
        <v/>
      </c>
      <c r="FU15" s="12" t="str">
        <f>IF(SUM(FS15:FT15)&gt;0,SUM(FS15:FT15),"")</f>
        <v/>
      </c>
      <c r="FV15" s="12" t="str">
        <f>IF(FO15&gt;0,FO15,"")</f>
        <v/>
      </c>
      <c r="FW15" s="12" t="str">
        <f>IF(SUM(FM15:FP15)-FQ15&gt;0,SUM(FM15:FP15)-FQ15,"")</f>
        <v/>
      </c>
      <c r="FX15" s="12" t="str">
        <f>IF(SUM(FU15,FW15)&gt;0,SUM(FU15,FW15),"")</f>
        <v/>
      </c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15" t="str">
        <f>IF(GF15&gt;0,GF15,"")</f>
        <v/>
      </c>
      <c r="GO15" s="15" t="str">
        <f>IF(SUM(FY15:GB15)-GC15&gt;0,SUM(FY15:GB15)-GC15,"")</f>
        <v/>
      </c>
      <c r="GP15" s="15" t="str">
        <f>IF(SUM(GD15:GG15)-GH15&gt;0,SUM(GD15:GG15)-GH15,"")</f>
        <v/>
      </c>
      <c r="GQ15" s="15" t="str">
        <f>IF(SUM(GO15:GP15)&gt;0,SUM(GO15:GP15),"")</f>
        <v/>
      </c>
      <c r="GR15" s="15" t="str">
        <f>IF(GK15&gt;0,GK15,"")</f>
        <v/>
      </c>
      <c r="GS15" s="15" t="str">
        <f>IF(SUM(GI15:GL15)-GM15&gt;0,SUM(GI15:GL15)-GM15,"")</f>
        <v/>
      </c>
      <c r="GT15" s="15" t="str">
        <f>IF(SUM(GQ15,GS15)&gt;0,SUM(GQ15,GS15),"")</f>
        <v/>
      </c>
      <c r="GU15" s="36"/>
      <c r="GV15" s="36"/>
      <c r="GW15" s="36"/>
      <c r="GX15" s="36"/>
      <c r="GY15" s="36"/>
      <c r="GZ15" s="36"/>
      <c r="HA15" s="36"/>
      <c r="HB15" s="36"/>
      <c r="HC15" s="36"/>
      <c r="HD15" s="36"/>
      <c r="HE15" s="36"/>
      <c r="HF15" s="36"/>
      <c r="HG15" s="36"/>
      <c r="HH15" s="36"/>
      <c r="HI15" s="36"/>
      <c r="HJ15" s="12" t="str">
        <f>IF(HB15&gt;0,HB15,"")</f>
        <v/>
      </c>
      <c r="HK15" s="12" t="str">
        <f>IF(SUM(GU15:GX15)-GY15&gt;0,SUM(GU15:GX15)-GY15,"")</f>
        <v/>
      </c>
      <c r="HL15" s="12" t="str">
        <f>IF(SUM(GZ15:HC15)-HD15&gt;0,SUM(GZ15:HC15)-HD15,"")</f>
        <v/>
      </c>
      <c r="HM15" s="12" t="str">
        <f>IF(SUM(HK15:HL15)&gt;0,SUM(HK15:HL15),"")</f>
        <v/>
      </c>
      <c r="HN15" s="12" t="str">
        <f>IF(HG15&gt;0,HG15,"")</f>
        <v/>
      </c>
      <c r="HO15" s="12" t="str">
        <f>IF(SUM(HE15:HH15)-HI15&gt;0,SUM(HE15:HH15)-HI15,"")</f>
        <v/>
      </c>
      <c r="HP15" s="12" t="str">
        <f>IF(SUM(HM15,HO15)&gt;0,SUM(HM15,HO15),"")</f>
        <v/>
      </c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15" t="str">
        <f>IF(HX15&gt;0,HX15,"")</f>
        <v/>
      </c>
      <c r="IG15" s="15" t="str">
        <f>IF(SUM(HQ15:HT15)-HU15&gt;0,SUM(HQ15:HT15)-HU15,"")</f>
        <v/>
      </c>
      <c r="IH15" s="15" t="str">
        <f>IF(SUM(HV15:HY15)-HZ15&gt;0,SUM(HV15:HY15)-HZ15,"")</f>
        <v/>
      </c>
      <c r="II15" s="15" t="str">
        <f>IF(SUM(IG15:IH15)&gt;0,SUM(IG15:IH15),"")</f>
        <v/>
      </c>
      <c r="IJ15" s="15" t="str">
        <f>IF(IC15&gt;0,IC15,"")</f>
        <v/>
      </c>
      <c r="IK15" s="15" t="str">
        <f>IF(SUM(IA15:ID15)-IE15&gt;0,SUM(IA15:ID15)-IE15,"")</f>
        <v/>
      </c>
      <c r="IL15" s="15" t="str">
        <f>IF(SUM(II15,IK15)&gt;0,SUM(II15,IK15),"")</f>
        <v/>
      </c>
      <c r="IM15" s="36"/>
      <c r="IN15" s="36"/>
      <c r="IO15" s="36"/>
      <c r="IP15" s="36"/>
      <c r="IQ15" s="36"/>
      <c r="IR15" s="36"/>
      <c r="IS15" s="36"/>
      <c r="IT15" s="36"/>
      <c r="IU15" s="36"/>
      <c r="IV15" s="36"/>
      <c r="IW15" s="36"/>
      <c r="IX15" s="36"/>
      <c r="IY15" s="36"/>
      <c r="IZ15" s="36"/>
      <c r="JA15" s="36"/>
      <c r="JB15" s="12" t="str">
        <f>IF(IT15&gt;0,IT15,"")</f>
        <v/>
      </c>
      <c r="JC15" s="12" t="str">
        <f>IF(SUM(IM15:IP15)-IQ15&gt;0,SUM(IM15:IP15)-IQ15,"")</f>
        <v/>
      </c>
      <c r="JD15" s="12" t="str">
        <f>IF(SUM(IR15:IU15)-IV15&gt;0,SUM(IR15:IU15)-IV15,"")</f>
        <v/>
      </c>
      <c r="JE15" s="12" t="str">
        <f>IF(SUM(JC15:JD15)&gt;0,SUM(JC15:JD15),"")</f>
        <v/>
      </c>
      <c r="JF15" s="12" t="str">
        <f>IF(IY15&gt;0,IY15,"")</f>
        <v/>
      </c>
      <c r="JG15" s="12" t="str">
        <f>IF(SUM(IW15:IZ15)-JA15&gt;0,SUM(IW15:IZ15)-JA15,"")</f>
        <v/>
      </c>
      <c r="JH15" s="12" t="str">
        <f>IF(SUM(JE15,JG15)&gt;0,SUM(JE15,JG15),"")</f>
        <v/>
      </c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15" t="str">
        <f>IF(JP15&gt;0,JP15,"")</f>
        <v/>
      </c>
      <c r="JY15" s="15" t="str">
        <f>IF(SUM(JI15:JL15)-JM15&gt;0,SUM(JI15:JL15)-JM15,"")</f>
        <v/>
      </c>
      <c r="JZ15" s="15" t="str">
        <f>IF(SUM(JN15:JQ15)-JR15&gt;0,SUM(JN15:JQ15)-JR15,"")</f>
        <v/>
      </c>
      <c r="KA15" s="15" t="str">
        <f>IF(SUM(JY15:JZ15)&gt;0,SUM(JY15:JZ15),"")</f>
        <v/>
      </c>
      <c r="KB15" s="15" t="str">
        <f>IF(JU15&gt;0,JU15,"")</f>
        <v/>
      </c>
      <c r="KC15" s="15" t="str">
        <f>IF(SUM(JS15:JV15)-JW15&gt;0,SUM(JS15:JV15)-JW15,"")</f>
        <v/>
      </c>
      <c r="KD15" s="15" t="str">
        <f>IF(SUM(KA15,KC15)&gt;0,SUM(KA15,KC15),"")</f>
        <v/>
      </c>
      <c r="KE15" s="36"/>
      <c r="KF15" s="36"/>
      <c r="KG15" s="36"/>
      <c r="KH15" s="36"/>
      <c r="KI15" s="36"/>
      <c r="KJ15" s="36"/>
      <c r="KK15" s="36"/>
      <c r="KL15" s="36"/>
      <c r="KM15" s="36"/>
      <c r="KN15" s="36"/>
      <c r="KO15" s="36"/>
      <c r="KP15" s="36"/>
      <c r="KQ15" s="36"/>
      <c r="KR15" s="36"/>
      <c r="KS15" s="36"/>
      <c r="KT15" s="12" t="str">
        <f>IF(KL15&gt;0,KL15,"")</f>
        <v/>
      </c>
      <c r="KU15" s="12" t="str">
        <f>IF(SUM(KE15:KH15)-KI15&gt;0,SUM(KE15:KH15)-KI15,"")</f>
        <v/>
      </c>
      <c r="KV15" s="12" t="str">
        <f>IF(SUM(KJ15:KM15)-KN15&gt;0,SUM(KJ15:KM15)-KN15,"")</f>
        <v/>
      </c>
      <c r="KW15" s="12" t="str">
        <f>IF(SUM(KU15:KV15)&gt;0,SUM(KU15:KV15),"")</f>
        <v/>
      </c>
      <c r="KX15" s="12" t="str">
        <f>IF(KQ15&gt;0,KQ15,"")</f>
        <v/>
      </c>
      <c r="KY15" s="12" t="str">
        <f>IF(SUM(KO15:KR15)-KS15&gt;0,SUM(KO15:KR15)-KS15,"")</f>
        <v/>
      </c>
      <c r="KZ15" s="12" t="str">
        <f>IF(SUM(KW15,KY15)&gt;0,SUM(KW15,KY15),"")</f>
        <v/>
      </c>
      <c r="LA15" s="37"/>
      <c r="LB15" s="37"/>
      <c r="LC15" s="37"/>
      <c r="LD15" s="37"/>
      <c r="LE15" s="37"/>
      <c r="LF15" s="37"/>
      <c r="LG15" s="37"/>
      <c r="LH15" s="37"/>
      <c r="LI15" s="37"/>
      <c r="LJ15" s="37"/>
      <c r="LK15" s="37"/>
      <c r="LL15" s="37"/>
      <c r="LM15" s="37"/>
      <c r="LN15" s="37"/>
      <c r="LO15" s="37"/>
      <c r="LP15" s="15" t="str">
        <f>IF(LH15&gt;0,LH15,"")</f>
        <v/>
      </c>
      <c r="LQ15" s="15" t="str">
        <f>IF(SUM(LA15:LD15)-LE15&gt;0,SUM(LA15:LD15)-LE15,"")</f>
        <v/>
      </c>
      <c r="LR15" s="15" t="str">
        <f>IF(SUM(LF15:LI15)-LJ15&gt;0,SUM(LF15:LI15)-LJ15,"")</f>
        <v/>
      </c>
      <c r="LS15" s="15" t="str">
        <f>IF(SUM(LQ15:LR15)&gt;0,SUM(LQ15:LR15),"")</f>
        <v/>
      </c>
      <c r="LT15" s="15" t="str">
        <f>IF(LM15&gt;0,LM15,"")</f>
        <v/>
      </c>
      <c r="LU15" s="15" t="str">
        <f>IF(SUM(LK15:LN15)-LO15&gt;0,SUM(LK15:LN15)-LO15,"")</f>
        <v/>
      </c>
      <c r="LV15" s="15" t="str">
        <f>IF(SUM(LS15,LU15)&gt;0,SUM(LS15,LU15),"")</f>
        <v/>
      </c>
      <c r="LW15" s="63">
        <f t="shared" si="7"/>
        <v>8.0500000000000007</v>
      </c>
      <c r="LX15" s="63">
        <f t="shared" si="8"/>
        <v>4.7249999999999996</v>
      </c>
      <c r="LY15" s="63">
        <f t="shared" si="9"/>
        <v>2.0499999999999998</v>
      </c>
      <c r="LZ15" s="63">
        <f t="shared" si="10"/>
        <v>7</v>
      </c>
      <c r="MA15" s="63">
        <f t="shared" si="11"/>
        <v>0</v>
      </c>
      <c r="MB15" s="63">
        <f t="shared" si="12"/>
        <v>6.95</v>
      </c>
      <c r="MC15" s="63">
        <f t="shared" si="13"/>
        <v>4.2249999999999996</v>
      </c>
      <c r="MD15" s="63">
        <f t="shared" si="14"/>
        <v>5.15</v>
      </c>
      <c r="ME15" s="63">
        <f t="shared" si="15"/>
        <v>6.7549999999999999</v>
      </c>
      <c r="MF15" s="63">
        <f t="shared" si="16"/>
        <v>0</v>
      </c>
      <c r="MG15" s="63">
        <f t="shared" si="17"/>
        <v>2.2999999999999998</v>
      </c>
      <c r="MH15" s="63">
        <f t="shared" si="18"/>
        <v>1.45</v>
      </c>
      <c r="MI15" s="63">
        <f t="shared" si="19"/>
        <v>1.65</v>
      </c>
      <c r="MJ15" s="63">
        <f t="shared" si="20"/>
        <v>2.085</v>
      </c>
      <c r="MK15" s="63">
        <f t="shared" si="21"/>
        <v>0</v>
      </c>
      <c r="ML15" s="74" t="s">
        <v>119</v>
      </c>
      <c r="MM15" s="12">
        <f t="shared" ref="MM15" si="35">IF(MD15&gt;0,MD15,"")</f>
        <v>5.15</v>
      </c>
      <c r="MN15" s="12">
        <f t="shared" ref="MN15" si="36">IF(SUM(LW15:LZ15)-MA15&gt;0,SUM(LW15:LZ15)-MA15,"")</f>
        <v>21.824999999999999</v>
      </c>
      <c r="MO15" s="12">
        <f t="shared" ref="MO15" si="37">IF(SUM(MB15:ME15)-MF15&gt;0,SUM(MB15:ME15)-MF15,"")</f>
        <v>23.080000000000002</v>
      </c>
      <c r="MP15" s="12">
        <f t="shared" ref="MP15" si="38">IF(SUM(MN15:MO15)&gt;0,SUM(MN15:MO15),"")</f>
        <v>44.905000000000001</v>
      </c>
      <c r="MQ15" s="12">
        <f t="shared" si="26"/>
        <v>1.65</v>
      </c>
      <c r="MR15" s="12">
        <f t="shared" ref="MR15" si="39">IF(SUM(MG15:MJ15)-MK15&gt;0,SUM(MG15:MJ15)-MK15,"")</f>
        <v>7.4850000000000003</v>
      </c>
      <c r="MS15" s="12">
        <f t="shared" ref="MS15" si="40">IF(SUM(MP15,MR15)&gt;0,SUM(MP15,MR15),"")</f>
        <v>52.39</v>
      </c>
    </row>
    <row r="18" spans="1:329" x14ac:dyDescent="0.2">
      <c r="B18" s="64" t="s">
        <v>51</v>
      </c>
      <c r="AK18" s="50"/>
      <c r="AL18" s="58">
        <v>11.5</v>
      </c>
      <c r="BH18" s="50"/>
      <c r="BI18" s="58">
        <v>11.2</v>
      </c>
      <c r="CH18" s="50"/>
      <c r="CI18" s="58">
        <v>11.2</v>
      </c>
      <c r="DD18" s="50"/>
      <c r="DE18" s="58">
        <v>11.2</v>
      </c>
      <c r="DZ18" s="50"/>
      <c r="EA18" s="58">
        <v>11.2</v>
      </c>
      <c r="EV18" s="50"/>
      <c r="EW18" s="58">
        <v>11.2</v>
      </c>
      <c r="FR18" s="50"/>
      <c r="FS18" s="58">
        <v>11.2</v>
      </c>
      <c r="GN18" s="50"/>
      <c r="GO18" s="58">
        <v>11.2</v>
      </c>
      <c r="HJ18" s="50"/>
      <c r="HK18" s="58">
        <v>11.2</v>
      </c>
      <c r="IF18" s="50"/>
      <c r="IG18" s="58">
        <v>11.2</v>
      </c>
      <c r="JB18" s="50"/>
      <c r="JC18" s="58">
        <v>11.2</v>
      </c>
      <c r="JX18" s="50"/>
      <c r="JY18" s="58">
        <v>11.2</v>
      </c>
      <c r="KT18" s="50"/>
      <c r="KU18" s="58">
        <v>11.2</v>
      </c>
      <c r="LP18" s="50"/>
      <c r="LQ18" s="58">
        <v>11.2</v>
      </c>
    </row>
    <row r="19" spans="1:329" x14ac:dyDescent="0.2">
      <c r="A19" s="50"/>
      <c r="B19" s="91" t="s">
        <v>76</v>
      </c>
      <c r="C19" s="49"/>
      <c r="AK19" s="50"/>
      <c r="AL19" s="93">
        <v>11.5</v>
      </c>
      <c r="BH19" s="50"/>
      <c r="BI19" s="93">
        <v>11.2</v>
      </c>
      <c r="CH19" s="50"/>
      <c r="CI19" s="93">
        <v>11.2</v>
      </c>
      <c r="DD19" s="50"/>
      <c r="DE19" s="93">
        <v>11.2</v>
      </c>
      <c r="DZ19" s="50"/>
      <c r="EA19" s="93">
        <v>11.2</v>
      </c>
      <c r="EV19" s="50"/>
      <c r="EW19" s="93">
        <v>11.2</v>
      </c>
      <c r="FR19" s="50"/>
      <c r="FS19" s="93">
        <v>11.2</v>
      </c>
      <c r="GN19" s="50"/>
      <c r="GO19" s="93">
        <v>11.2</v>
      </c>
      <c r="HJ19" s="50"/>
      <c r="HK19" s="93">
        <v>11.2</v>
      </c>
      <c r="IF19" s="50"/>
      <c r="IG19" s="93">
        <v>11.2</v>
      </c>
      <c r="JB19" s="50"/>
      <c r="JC19" s="93">
        <v>11.2</v>
      </c>
      <c r="JX19" s="50"/>
      <c r="JY19" s="93">
        <v>11.2</v>
      </c>
      <c r="KT19" s="50"/>
      <c r="KU19" s="93">
        <v>11.2</v>
      </c>
      <c r="LP19" s="50"/>
      <c r="LQ19" s="93">
        <v>11.2</v>
      </c>
    </row>
    <row r="20" spans="1:329" x14ac:dyDescent="0.2">
      <c r="A20" s="50"/>
      <c r="B20" s="65" t="s">
        <v>48</v>
      </c>
      <c r="C20" s="49"/>
      <c r="AK20" s="50"/>
      <c r="AL20" s="59">
        <v>92.2</v>
      </c>
      <c r="BH20" s="50"/>
      <c r="BI20" s="59">
        <v>92.2</v>
      </c>
      <c r="CH20" s="50"/>
      <c r="CI20" s="59">
        <v>92.2</v>
      </c>
      <c r="DD20" s="50"/>
      <c r="DE20" s="59">
        <v>92.2</v>
      </c>
      <c r="DZ20" s="50"/>
      <c r="EA20" s="59">
        <v>92.2</v>
      </c>
      <c r="EV20" s="50"/>
      <c r="EW20" s="59">
        <v>92.2</v>
      </c>
      <c r="FR20" s="50"/>
      <c r="FS20" s="59">
        <v>92.2</v>
      </c>
      <c r="GN20" s="50"/>
      <c r="GO20" s="59">
        <v>92.2</v>
      </c>
      <c r="HJ20" s="50"/>
      <c r="HK20" s="59">
        <v>92.2</v>
      </c>
      <c r="IF20" s="50"/>
      <c r="IG20" s="59">
        <v>92.2</v>
      </c>
      <c r="JB20" s="50"/>
      <c r="JC20" s="59">
        <v>92.2</v>
      </c>
      <c r="JX20" s="50"/>
      <c r="JY20" s="59">
        <v>92.2</v>
      </c>
      <c r="KT20" s="50"/>
      <c r="KU20" s="59">
        <v>92.2</v>
      </c>
      <c r="LP20" s="50"/>
      <c r="LQ20" s="59">
        <v>92.2</v>
      </c>
    </row>
    <row r="21" spans="1:329" hidden="1" x14ac:dyDescent="0.2">
      <c r="A21" s="50"/>
      <c r="B21" s="66" t="s">
        <v>49</v>
      </c>
      <c r="C21" s="49"/>
      <c r="AK21" s="50"/>
      <c r="AL21" s="60">
        <v>95.1</v>
      </c>
      <c r="BH21" s="50"/>
      <c r="BI21" s="60">
        <v>95.1</v>
      </c>
      <c r="CH21" s="50"/>
      <c r="CI21" s="60">
        <v>95.1</v>
      </c>
      <c r="DD21" s="50"/>
      <c r="DE21" s="60">
        <v>95.1</v>
      </c>
      <c r="DZ21" s="50"/>
      <c r="EA21" s="60">
        <v>95.1</v>
      </c>
      <c r="EV21" s="50"/>
      <c r="EW21" s="60">
        <v>95.1</v>
      </c>
      <c r="FR21" s="50"/>
      <c r="FS21" s="60">
        <v>95.1</v>
      </c>
      <c r="GN21" s="50"/>
      <c r="GO21" s="60">
        <v>95.1</v>
      </c>
      <c r="HJ21" s="50"/>
      <c r="HK21" s="60">
        <v>95.1</v>
      </c>
      <c r="IF21" s="50"/>
      <c r="IG21" s="60">
        <v>95.1</v>
      </c>
      <c r="JB21" s="50"/>
      <c r="JC21" s="60">
        <v>95.1</v>
      </c>
      <c r="JX21" s="50"/>
      <c r="JY21" s="60">
        <v>95.1</v>
      </c>
      <c r="KT21" s="50"/>
      <c r="KU21" s="60">
        <v>95.1</v>
      </c>
      <c r="LP21" s="50"/>
      <c r="LQ21" s="60">
        <v>95.1</v>
      </c>
    </row>
    <row r="22" spans="1:329" x14ac:dyDescent="0.2">
      <c r="A22" s="50"/>
      <c r="B22" s="67" t="s">
        <v>70</v>
      </c>
      <c r="C22" s="49"/>
      <c r="AK22" s="50"/>
      <c r="AL22" s="61">
        <v>95.1</v>
      </c>
      <c r="BH22" s="50"/>
      <c r="BI22" s="61">
        <v>95.1</v>
      </c>
      <c r="CH22" s="50"/>
      <c r="CI22" s="61">
        <v>95.1</v>
      </c>
      <c r="DD22" s="50"/>
      <c r="DE22" s="61">
        <v>95.1</v>
      </c>
      <c r="DZ22" s="50"/>
      <c r="EA22" s="61">
        <v>95.1</v>
      </c>
      <c r="EV22" s="50"/>
      <c r="EW22" s="61">
        <v>95.1</v>
      </c>
      <c r="FR22" s="50"/>
      <c r="FS22" s="61">
        <v>95.1</v>
      </c>
      <c r="GN22" s="50"/>
      <c r="GO22" s="61">
        <v>95.1</v>
      </c>
      <c r="HJ22" s="50"/>
      <c r="HK22" s="61">
        <v>95.1</v>
      </c>
      <c r="IF22" s="50"/>
      <c r="IG22" s="61">
        <v>95.1</v>
      </c>
      <c r="JB22" s="50"/>
      <c r="JC22" s="61">
        <v>95.1</v>
      </c>
      <c r="JX22" s="50"/>
      <c r="JY22" s="61">
        <v>95.1</v>
      </c>
      <c r="KT22" s="50"/>
      <c r="KU22" s="61">
        <v>95.1</v>
      </c>
      <c r="LP22" s="50"/>
      <c r="LQ22" s="61">
        <v>95.1</v>
      </c>
    </row>
    <row r="23" spans="1:329" x14ac:dyDescent="0.2">
      <c r="A23" s="50"/>
      <c r="B23" s="68" t="s">
        <v>35</v>
      </c>
      <c r="C23" s="49"/>
      <c r="L23" s="2"/>
      <c r="AK23" s="50"/>
      <c r="AL23" s="62">
        <v>51.5</v>
      </c>
      <c r="BH23" s="50"/>
      <c r="BI23" s="62">
        <v>51.8</v>
      </c>
      <c r="CH23" s="50"/>
      <c r="CI23" s="62">
        <v>51.5</v>
      </c>
      <c r="DD23" s="50"/>
      <c r="DE23" s="62">
        <v>51.5</v>
      </c>
      <c r="DZ23" s="50"/>
      <c r="EA23" s="62">
        <v>51.5</v>
      </c>
      <c r="EV23" s="50"/>
      <c r="EW23" s="62">
        <v>51.5</v>
      </c>
      <c r="FR23" s="50"/>
      <c r="FS23" s="62">
        <v>51.8</v>
      </c>
      <c r="GN23" s="50"/>
      <c r="GO23" s="62">
        <v>51.8</v>
      </c>
      <c r="HJ23" s="50"/>
      <c r="HK23" s="62">
        <v>51.8</v>
      </c>
      <c r="IF23" s="50"/>
      <c r="IG23" s="62">
        <v>51.8</v>
      </c>
      <c r="JB23" s="50"/>
      <c r="JC23" s="62">
        <v>51.8</v>
      </c>
      <c r="JX23" s="50"/>
      <c r="JY23" s="62">
        <v>51.8</v>
      </c>
      <c r="KT23" s="50"/>
      <c r="KU23" s="62">
        <v>51.8</v>
      </c>
      <c r="LP23" s="50"/>
      <c r="LQ23" s="62">
        <v>51.8</v>
      </c>
    </row>
    <row r="24" spans="1:329" x14ac:dyDescent="0.2">
      <c r="A24" s="7"/>
      <c r="B24" s="76" t="s">
        <v>55</v>
      </c>
      <c r="C24" s="49"/>
      <c r="AK24" s="48"/>
      <c r="AL24" t="s">
        <v>132</v>
      </c>
      <c r="CI24" s="48"/>
      <c r="DE24" s="48"/>
      <c r="GO24" s="48"/>
    </row>
    <row r="25" spans="1:329" x14ac:dyDescent="0.2">
      <c r="A25" s="50"/>
      <c r="B25" s="50"/>
      <c r="C25" s="49"/>
    </row>
    <row r="26" spans="1:329" x14ac:dyDescent="0.2">
      <c r="A26" s="50"/>
      <c r="B26" s="50"/>
      <c r="C26" s="49"/>
    </row>
    <row r="27" spans="1:329" x14ac:dyDescent="0.2">
      <c r="A27" s="50"/>
      <c r="B27" s="50"/>
      <c r="C27" s="49"/>
    </row>
  </sheetData>
  <sheetProtection sheet="1" formatCells="0" formatColumns="0" formatRows="0"/>
  <autoFilter ref="A1:LV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sortState xmlns:xlrd2="http://schemas.microsoft.com/office/spreadsheetml/2017/richdata2" ref="A4:LV15">
      <sortCondition descending="1" ref="F1:F13"/>
    </sortState>
  </autoFilter>
  <mergeCells count="81">
    <mergeCell ref="EG1:FB1"/>
    <mergeCell ref="LA2:LE2"/>
    <mergeCell ref="LF2:LJ2"/>
    <mergeCell ref="LK2:LO2"/>
    <mergeCell ref="JN2:JR2"/>
    <mergeCell ref="JS2:JW2"/>
    <mergeCell ref="KE2:KI2"/>
    <mergeCell ref="KJ2:KN2"/>
    <mergeCell ref="KO2:KS2"/>
    <mergeCell ref="GD2:GH2"/>
    <mergeCell ref="EQ2:EU2"/>
    <mergeCell ref="FC2:FG2"/>
    <mergeCell ref="HV2:HZ2"/>
    <mergeCell ref="IM2:IQ2"/>
    <mergeCell ref="HE2:HI2"/>
    <mergeCell ref="GZ2:HD2"/>
    <mergeCell ref="LW1:MS1"/>
    <mergeCell ref="LW2:MA2"/>
    <mergeCell ref="MB2:MF2"/>
    <mergeCell ref="MG2:MK2"/>
    <mergeCell ref="H1:H3"/>
    <mergeCell ref="LA1:LV1"/>
    <mergeCell ref="FC1:FX1"/>
    <mergeCell ref="FY1:GT1"/>
    <mergeCell ref="JI1:KD1"/>
    <mergeCell ref="GU1:HP1"/>
    <mergeCell ref="HQ1:IL1"/>
    <mergeCell ref="IM1:JH1"/>
    <mergeCell ref="KE1:KZ1"/>
    <mergeCell ref="IR2:IV2"/>
    <mergeCell ref="IW2:JA2"/>
    <mergeCell ref="JI2:JM2"/>
    <mergeCell ref="GI2:GM2"/>
    <mergeCell ref="GU2:GY2"/>
    <mergeCell ref="IA2:IE2"/>
    <mergeCell ref="HQ2:HU2"/>
    <mergeCell ref="BO1:BR1"/>
    <mergeCell ref="FY2:GC2"/>
    <mergeCell ref="EG2:EK2"/>
    <mergeCell ref="EL2:EP2"/>
    <mergeCell ref="CT2:CX2"/>
    <mergeCell ref="CY2:DC2"/>
    <mergeCell ref="DK2:DO2"/>
    <mergeCell ref="DP2:DT2"/>
    <mergeCell ref="FH2:FL2"/>
    <mergeCell ref="FM2:FQ2"/>
    <mergeCell ref="CO1:DJ1"/>
    <mergeCell ref="DK1:EF1"/>
    <mergeCell ref="AR2:AV2"/>
    <mergeCell ref="AW2:BA2"/>
    <mergeCell ref="BB2:BF2"/>
    <mergeCell ref="AR1:BN1"/>
    <mergeCell ref="A1:A3"/>
    <mergeCell ref="B1:B3"/>
    <mergeCell ref="C1:C3"/>
    <mergeCell ref="E1:E3"/>
    <mergeCell ref="G1:G3"/>
    <mergeCell ref="F1:F3"/>
    <mergeCell ref="D1:D3"/>
    <mergeCell ref="Q1:Q3"/>
    <mergeCell ref="CO2:CS2"/>
    <mergeCell ref="DU2:DY2"/>
    <mergeCell ref="BS2:BW2"/>
    <mergeCell ref="BX2:CB2"/>
    <mergeCell ref="CC2:CG2"/>
    <mergeCell ref="BS1:CN1"/>
    <mergeCell ref="I1:I3"/>
    <mergeCell ref="U2:Y2"/>
    <mergeCell ref="Z2:AD2"/>
    <mergeCell ref="U1:AQ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</mergeCells>
  <conditionalFormatting sqref="A1:A1048576">
    <cfRule type="expression" dxfId="126" priority="90">
      <formula>AND(H1="P",F1="")</formula>
    </cfRule>
  </conditionalFormatting>
  <conditionalFormatting sqref="U4:AQ15">
    <cfRule type="expression" dxfId="125" priority="23">
      <formula>IF($AJ4&lt;&gt;"",1,0)</formula>
    </cfRule>
  </conditionalFormatting>
  <conditionalFormatting sqref="AR4:BN15">
    <cfRule type="expression" dxfId="124" priority="20">
      <formula>IF($BG4&lt;&gt;"",1,0)</formula>
    </cfRule>
  </conditionalFormatting>
  <conditionalFormatting sqref="I1:I1048576">
    <cfRule type="containsText" dxfId="123" priority="7" operator="containsText" text="No DD">
      <formula>NOT(ISERROR(SEARCH("No DD",I1)))</formula>
    </cfRule>
    <cfRule type="containsText" dxfId="122" priority="15" operator="containsText" text="Merit">
      <formula>NOT(ISERROR(SEARCH("Merit",I1)))</formula>
    </cfRule>
    <cfRule type="containsText" dxfId="121" priority="16" operator="containsText" text="Excellence">
      <formula>NOT(ISERROR(SEARCH("Excellence",I1)))</formula>
    </cfRule>
    <cfRule type="containsText" dxfId="120" priority="17" operator="containsText" text="Worlds Team">
      <formula>NOT(ISERROR(SEARCH("Worlds Team",I1)))</formula>
    </cfRule>
    <cfRule type="containsText" dxfId="119" priority="18" operator="containsText" text="National Team">
      <formula>NOT(ISERROR(SEARCH("National Team",I1)))</formula>
    </cfRule>
  </conditionalFormatting>
  <conditionalFormatting sqref="K1:K1048576 M1:M1048576 O1:O1048576 Q1:Q1048576">
    <cfRule type="expression" dxfId="118" priority="382">
      <formula>IF(K1=$AR$1,1,0)</formula>
    </cfRule>
    <cfRule type="expression" dxfId="117" priority="384">
      <formula>IF(K1=$U$1,1,0)</formula>
    </cfRule>
  </conditionalFormatting>
  <conditionalFormatting sqref="CJ1:CJ1048576 DF1:DF1048576 EB1:EB1048576 EX1:EX1048576 FT1:FT1048576 GP1:GP1048576 HL1:HL1048576 IH1:IH1048576 JD1:JD1048576 JZ1:JZ1048576 KV1:KV1048576 LR1:LR1048576">
    <cfRule type="cellIs" dxfId="116" priority="14598" operator="between">
      <formula>CI$23</formula>
      <formula>1000</formula>
    </cfRule>
  </conditionalFormatting>
  <conditionalFormatting sqref="DI1:DI1048576 CM1:CM1048576 EE1:EE1048576 FW1:FW1048576 HO1:HO1048576 JG1:JG1048576 KY1:KY1048576 LU1:LU1048576 KC1:KC1048576 IK1:IK1048576 GS1:GS1048576 FA1:FA1048576">
    <cfRule type="cellIs" dxfId="115" priority="14634" operator="between">
      <formula>CI$23</formula>
      <formula>1000</formula>
    </cfRule>
  </conditionalFormatting>
  <conditionalFormatting sqref="CK1:CK1048576 DG1:DG1048576 EC1:EC1048576 EY1:EY1048576 FU1:FU1048576 GQ1:GQ1048576 HM1:HM1048576 II1:II1048576 JE1:JE1048576 KA1:KA1048576 KW1:KW1048576 LS1:LS1048576">
    <cfRule type="cellIs" dxfId="114" priority="14637" operator="between">
      <formula>CI$22</formula>
      <formula>1000</formula>
    </cfRule>
    <cfRule type="cellIs" dxfId="113" priority="14638" operator="between">
      <formula>CI$21</formula>
      <formula>CI$22</formula>
    </cfRule>
    <cfRule type="cellIs" dxfId="112" priority="14639" operator="between">
      <formula>CI$20</formula>
      <formula>CI$21</formula>
    </cfRule>
  </conditionalFormatting>
  <conditionalFormatting sqref="CH1:CH1048576 DD1:DD1048576 DZ1:DZ1048576 EV1:EV1048576 FR1:FR1048576 GN1:GN1048576 HJ1:HJ1048576 IF1:IF1048576 JB1:JB1048576 JX1:JX1048576 KT1:KT1048576 LP1:LP1048576">
    <cfRule type="cellIs" dxfId="111" priority="14745" operator="between">
      <formula>CI$19</formula>
      <formula>1000</formula>
    </cfRule>
    <cfRule type="cellIs" dxfId="110" priority="14746" operator="between">
      <formula>CI$18</formula>
      <formula>CI$19</formula>
    </cfRule>
  </conditionalFormatting>
  <conditionalFormatting sqref="AN1:AN1048576 BK1:BK1048576">
    <cfRule type="expression" dxfId="109" priority="14817">
      <formula>IF(AND(AN1&gt;=AL$22,AN1&lt;1000,AJ1=""),1,0)</formula>
    </cfRule>
    <cfRule type="expression" dxfId="108" priority="14818">
      <formula>IF(AND(AN1&gt;=AL$21,AN1&lt;AL$22,AJ1=""),1,0)</formula>
    </cfRule>
    <cfRule type="expression" dxfId="107" priority="14819">
      <formula>IF(AND(AN1&gt;=AL$20,AN1&lt;AL$21,AJ1=""),1,0)</formula>
    </cfRule>
  </conditionalFormatting>
  <conditionalFormatting sqref="AM1:AM1048576 BJ1:BJ1048576">
    <cfRule type="expression" dxfId="106" priority="14835">
      <formula>IF(AND(AM1&gt;=AL$23,AM1&lt;1000,AJ1=""),1,0)</formula>
    </cfRule>
  </conditionalFormatting>
  <conditionalFormatting sqref="BM1:BM1048576 AP1:AP1048576">
    <cfRule type="expression" dxfId="105" priority="14841">
      <formula>IF(AND(AP1&gt;=AL$23,AP1&lt;1000,AJ1=""),1,0)</formula>
    </cfRule>
  </conditionalFormatting>
  <conditionalFormatting sqref="AK1:AK1048576 BH1:BH1048576">
    <cfRule type="expression" dxfId="104" priority="14844">
      <formula>IF(AND(AK1&gt;=AL$19,AK1&lt;100,AJ1=""),1,0)</formula>
    </cfRule>
    <cfRule type="expression" dxfId="103" priority="14845">
      <formula>IF(AND(AK1&gt;=AL$18,AK1&lt;AL$19,AJ1=""),1,0)</formula>
    </cfRule>
  </conditionalFormatting>
  <conditionalFormatting sqref="AO1:AO1048576 BL1:BL1048576">
    <cfRule type="expression" dxfId="102" priority="14892">
      <formula>IF(AND(AO1&gt;=AL$19,AO1&lt;100,AJ1=""),1,0)</formula>
    </cfRule>
    <cfRule type="expression" dxfId="101" priority="14893">
      <formula>IF(AND(AO1&gt;=AL$18,AO1&lt;AL$19,AJ1=""),1,0)</formula>
    </cfRule>
  </conditionalFormatting>
  <conditionalFormatting sqref="CL1:CL1048576 DH1:DH1048576 ED1:ED1048576 EZ1:EZ1048576 FV1:FV1048576 GR1:GR1048576 HN1:HN1048576 IJ1:IJ1048576 JF1:JF1048576 KB1:KB1048576 KX1:KX1048576 LT1:LT1048576">
    <cfRule type="expression" dxfId="100" priority="14904">
      <formula>IF(AND(CL1&gt;=CI$19,CL1&lt;100),1,0)</formula>
    </cfRule>
    <cfRule type="expression" dxfId="99" priority="14905">
      <formula>IF(AND(CL1&gt;=CI$18,CL1&lt;CI$19),1,0)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68</v>
      </c>
      <c r="G1" s="117" t="s">
        <v>69</v>
      </c>
      <c r="H1" s="117" t="s">
        <v>8</v>
      </c>
      <c r="I1" s="110" t="s">
        <v>9</v>
      </c>
      <c r="J1" s="112" t="s">
        <v>10</v>
      </c>
      <c r="K1" s="112" t="s">
        <v>33</v>
      </c>
      <c r="L1" s="112" t="s">
        <v>13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53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5" t="s">
        <v>122</v>
      </c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6" t="s">
        <v>67</v>
      </c>
      <c r="BH1" s="116"/>
      <c r="BI1" s="113" t="s">
        <v>65</v>
      </c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3" t="s">
        <v>120</v>
      </c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</row>
    <row r="2" spans="1:321" x14ac:dyDescent="0.2">
      <c r="A2" s="110"/>
      <c r="B2" s="110"/>
      <c r="C2" s="110"/>
      <c r="D2" s="110"/>
      <c r="E2" s="110"/>
      <c r="F2" s="117"/>
      <c r="G2" s="117"/>
      <c r="H2" s="117"/>
      <c r="I2" s="110"/>
      <c r="J2" s="112"/>
      <c r="K2" s="112"/>
      <c r="L2" s="112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09" t="s">
        <v>27</v>
      </c>
      <c r="AM2" s="109"/>
      <c r="AN2" s="109"/>
      <c r="AO2" s="109"/>
      <c r="AP2" s="109" t="s">
        <v>30</v>
      </c>
      <c r="AQ2" s="109"/>
      <c r="AR2" s="109"/>
      <c r="AS2" s="109"/>
      <c r="AT2" s="109" t="s">
        <v>31</v>
      </c>
      <c r="AU2" s="109"/>
      <c r="AV2" s="109"/>
      <c r="AW2" s="109"/>
      <c r="AX2" s="118" t="s">
        <v>32</v>
      </c>
      <c r="AY2" s="118"/>
      <c r="AZ2" s="118"/>
      <c r="BA2" s="118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08" t="s">
        <v>27</v>
      </c>
      <c r="BJ2" s="108"/>
      <c r="BK2" s="108"/>
      <c r="BL2" s="108"/>
      <c r="BM2" s="108" t="s">
        <v>30</v>
      </c>
      <c r="BN2" s="108"/>
      <c r="BO2" s="108"/>
      <c r="BP2" s="108"/>
      <c r="BQ2" s="108" t="s">
        <v>31</v>
      </c>
      <c r="BR2" s="108"/>
      <c r="BS2" s="108"/>
      <c r="BT2" s="108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09" t="s">
        <v>27</v>
      </c>
      <c r="CD2" s="109"/>
      <c r="CE2" s="109"/>
      <c r="CF2" s="109"/>
      <c r="CG2" s="109" t="s">
        <v>30</v>
      </c>
      <c r="CH2" s="109"/>
      <c r="CI2" s="109"/>
      <c r="CJ2" s="109"/>
      <c r="CK2" s="109" t="s">
        <v>31</v>
      </c>
      <c r="CL2" s="109"/>
      <c r="CM2" s="109"/>
      <c r="CN2" s="109"/>
      <c r="CO2" s="118" t="s">
        <v>32</v>
      </c>
      <c r="CP2" s="118"/>
      <c r="CQ2" s="118"/>
      <c r="CR2" s="118"/>
      <c r="CS2" s="51" t="s">
        <v>25</v>
      </c>
      <c r="CT2" s="13" t="s">
        <v>24</v>
      </c>
      <c r="CU2" s="13" t="s">
        <v>23</v>
      </c>
      <c r="CV2" s="13" t="s">
        <v>18</v>
      </c>
      <c r="CW2" s="108" t="s">
        <v>27</v>
      </c>
      <c r="CX2" s="108"/>
      <c r="CY2" s="108"/>
      <c r="CZ2" s="108"/>
      <c r="DA2" s="108" t="s">
        <v>30</v>
      </c>
      <c r="DB2" s="108"/>
      <c r="DC2" s="108"/>
      <c r="DD2" s="108"/>
      <c r="DE2" s="108" t="s">
        <v>31</v>
      </c>
      <c r="DF2" s="108"/>
      <c r="DG2" s="108"/>
      <c r="DH2" s="108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09" t="s">
        <v>27</v>
      </c>
      <c r="DR2" s="109"/>
      <c r="DS2" s="109"/>
      <c r="DT2" s="109"/>
      <c r="DU2" s="109" t="s">
        <v>30</v>
      </c>
      <c r="DV2" s="109"/>
      <c r="DW2" s="109"/>
      <c r="DX2" s="109"/>
      <c r="DY2" s="109" t="s">
        <v>31</v>
      </c>
      <c r="DZ2" s="109"/>
      <c r="EA2" s="109"/>
      <c r="EB2" s="109"/>
      <c r="EC2" s="118" t="s">
        <v>32</v>
      </c>
      <c r="ED2" s="118"/>
      <c r="EE2" s="118"/>
      <c r="EF2" s="118"/>
      <c r="EG2" s="20" t="s">
        <v>25</v>
      </c>
      <c r="EH2" s="13" t="s">
        <v>24</v>
      </c>
      <c r="EI2" s="13" t="s">
        <v>23</v>
      </c>
      <c r="EJ2" s="13" t="s">
        <v>18</v>
      </c>
      <c r="EK2" s="108" t="s">
        <v>27</v>
      </c>
      <c r="EL2" s="108"/>
      <c r="EM2" s="108"/>
      <c r="EN2" s="108"/>
      <c r="EO2" s="108" t="s">
        <v>30</v>
      </c>
      <c r="EP2" s="108"/>
      <c r="EQ2" s="108"/>
      <c r="ER2" s="108"/>
      <c r="ES2" s="108" t="s">
        <v>31</v>
      </c>
      <c r="ET2" s="108"/>
      <c r="EU2" s="108"/>
      <c r="EV2" s="108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09" t="s">
        <v>27</v>
      </c>
      <c r="FF2" s="109"/>
      <c r="FG2" s="109"/>
      <c r="FH2" s="109"/>
      <c r="FI2" s="109" t="s">
        <v>30</v>
      </c>
      <c r="FJ2" s="109"/>
      <c r="FK2" s="109"/>
      <c r="FL2" s="109"/>
      <c r="FM2" s="109" t="s">
        <v>31</v>
      </c>
      <c r="FN2" s="109"/>
      <c r="FO2" s="109"/>
      <c r="FP2" s="109"/>
      <c r="FQ2" s="118" t="s">
        <v>32</v>
      </c>
      <c r="FR2" s="118"/>
      <c r="FS2" s="118"/>
      <c r="FT2" s="118"/>
      <c r="FU2" s="20" t="s">
        <v>25</v>
      </c>
      <c r="FV2" s="13" t="s">
        <v>24</v>
      </c>
      <c r="FW2" s="13" t="s">
        <v>23</v>
      </c>
      <c r="FX2" s="13" t="s">
        <v>18</v>
      </c>
      <c r="FY2" s="108" t="s">
        <v>27</v>
      </c>
      <c r="FZ2" s="108"/>
      <c r="GA2" s="108"/>
      <c r="GB2" s="108"/>
      <c r="GC2" s="108" t="s">
        <v>30</v>
      </c>
      <c r="GD2" s="108"/>
      <c r="GE2" s="108"/>
      <c r="GF2" s="108"/>
      <c r="GG2" s="108" t="s">
        <v>31</v>
      </c>
      <c r="GH2" s="108"/>
      <c r="GI2" s="108"/>
      <c r="GJ2" s="108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09" t="s">
        <v>27</v>
      </c>
      <c r="GT2" s="109"/>
      <c r="GU2" s="109"/>
      <c r="GV2" s="109"/>
      <c r="GW2" s="109" t="s">
        <v>30</v>
      </c>
      <c r="GX2" s="109"/>
      <c r="GY2" s="109"/>
      <c r="GZ2" s="109"/>
      <c r="HA2" s="109" t="s">
        <v>31</v>
      </c>
      <c r="HB2" s="109"/>
      <c r="HC2" s="109"/>
      <c r="HD2" s="109"/>
      <c r="HE2" s="118" t="s">
        <v>32</v>
      </c>
      <c r="HF2" s="118"/>
      <c r="HG2" s="118"/>
      <c r="HH2" s="118"/>
      <c r="HI2" s="20" t="s">
        <v>25</v>
      </c>
      <c r="HJ2" s="13" t="s">
        <v>24</v>
      </c>
      <c r="HK2" s="13" t="s">
        <v>23</v>
      </c>
      <c r="HL2" s="13" t="s">
        <v>18</v>
      </c>
      <c r="HM2" s="108" t="s">
        <v>27</v>
      </c>
      <c r="HN2" s="108"/>
      <c r="HO2" s="108"/>
      <c r="HP2" s="108"/>
      <c r="HQ2" s="108" t="s">
        <v>30</v>
      </c>
      <c r="HR2" s="108"/>
      <c r="HS2" s="108"/>
      <c r="HT2" s="108"/>
      <c r="HU2" s="108" t="s">
        <v>31</v>
      </c>
      <c r="HV2" s="108"/>
      <c r="HW2" s="108"/>
      <c r="HX2" s="108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09" t="s">
        <v>27</v>
      </c>
      <c r="IH2" s="109"/>
      <c r="II2" s="109"/>
      <c r="IJ2" s="109"/>
      <c r="IK2" s="109" t="s">
        <v>30</v>
      </c>
      <c r="IL2" s="109"/>
      <c r="IM2" s="109"/>
      <c r="IN2" s="109"/>
      <c r="IO2" s="109" t="s">
        <v>31</v>
      </c>
      <c r="IP2" s="109"/>
      <c r="IQ2" s="109"/>
      <c r="IR2" s="109"/>
      <c r="IS2" s="118" t="s">
        <v>32</v>
      </c>
      <c r="IT2" s="118"/>
      <c r="IU2" s="118"/>
      <c r="IV2" s="118"/>
      <c r="IW2" s="20" t="s">
        <v>25</v>
      </c>
      <c r="IX2" s="13" t="s">
        <v>24</v>
      </c>
      <c r="IY2" s="13" t="s">
        <v>23</v>
      </c>
      <c r="IZ2" s="13" t="s">
        <v>18</v>
      </c>
      <c r="JA2" s="108" t="s">
        <v>27</v>
      </c>
      <c r="JB2" s="108"/>
      <c r="JC2" s="108"/>
      <c r="JD2" s="108"/>
      <c r="JE2" s="108" t="s">
        <v>30</v>
      </c>
      <c r="JF2" s="108"/>
      <c r="JG2" s="108"/>
      <c r="JH2" s="108"/>
      <c r="JI2" s="108" t="s">
        <v>31</v>
      </c>
      <c r="JJ2" s="108"/>
      <c r="JK2" s="108"/>
      <c r="JL2" s="108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09" t="s">
        <v>27</v>
      </c>
      <c r="JV2" s="109"/>
      <c r="JW2" s="109"/>
      <c r="JX2" s="109"/>
      <c r="JY2" s="109" t="s">
        <v>30</v>
      </c>
      <c r="JZ2" s="109"/>
      <c r="KA2" s="109"/>
      <c r="KB2" s="109"/>
      <c r="KC2" s="109" t="s">
        <v>31</v>
      </c>
      <c r="KD2" s="109"/>
      <c r="KE2" s="109"/>
      <c r="KF2" s="109"/>
      <c r="KG2" s="118" t="s">
        <v>32</v>
      </c>
      <c r="KH2" s="118"/>
      <c r="KI2" s="118"/>
      <c r="KJ2" s="118"/>
      <c r="KK2" s="20" t="s">
        <v>25</v>
      </c>
      <c r="KL2" s="13" t="s">
        <v>24</v>
      </c>
      <c r="KM2" s="13" t="s">
        <v>23</v>
      </c>
      <c r="KN2" s="13" t="s">
        <v>18</v>
      </c>
      <c r="KO2" s="108" t="s">
        <v>27</v>
      </c>
      <c r="KP2" s="108"/>
      <c r="KQ2" s="108"/>
      <c r="KR2" s="108"/>
      <c r="KS2" s="108" t="s">
        <v>30</v>
      </c>
      <c r="KT2" s="108"/>
      <c r="KU2" s="108"/>
      <c r="KV2" s="108"/>
      <c r="KW2" s="108" t="s">
        <v>31</v>
      </c>
      <c r="KX2" s="108"/>
      <c r="KY2" s="108"/>
      <c r="KZ2" s="108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0"/>
      <c r="B3" s="110"/>
      <c r="C3" s="110"/>
      <c r="D3" s="110"/>
      <c r="E3" s="110"/>
      <c r="F3" s="117"/>
      <c r="G3" s="117"/>
      <c r="H3" s="117"/>
      <c r="I3" s="110"/>
      <c r="J3" s="112"/>
      <c r="K3" s="112"/>
      <c r="L3" s="112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106</v>
      </c>
      <c r="C4" s="5" t="s">
        <v>4</v>
      </c>
      <c r="D4" s="27">
        <v>2001</v>
      </c>
      <c r="E4" s="16">
        <f>SUM(J4:N4)</f>
        <v>129.30000000000001</v>
      </c>
      <c r="F4" s="4" t="str">
        <f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>P</v>
      </c>
      <c r="G4" s="4" t="str">
        <f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National Team</v>
      </c>
      <c r="J4" s="15">
        <f>IF(MAX(AI4,BD4)&gt;0,MAX(AI4,BD4),"")</f>
        <v>63.5</v>
      </c>
      <c r="K4" s="15" t="str">
        <f>IF(J4="","",IF(J4=BD4,$AL$1,IF(J4=AI4,$Q$1,"")))</f>
        <v>2019 Elite Canada</v>
      </c>
      <c r="L4" s="15">
        <f>IF(MAX(AJ4,BE4)&gt;0,MAX(AJ4,BE4),"")</f>
        <v>65.8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63">
        <v>24</v>
      </c>
      <c r="R4" s="63">
        <v>5.5</v>
      </c>
      <c r="S4" s="63">
        <v>0</v>
      </c>
      <c r="T4" s="63">
        <v>0</v>
      </c>
      <c r="U4" s="63">
        <v>23.9</v>
      </c>
      <c r="V4" s="63">
        <v>5.8</v>
      </c>
      <c r="W4" s="63">
        <v>0.3</v>
      </c>
      <c r="X4" s="63">
        <v>0</v>
      </c>
      <c r="Y4" s="63">
        <v>26.8</v>
      </c>
      <c r="Z4" s="63">
        <v>5.7</v>
      </c>
      <c r="AA4" s="63">
        <v>0</v>
      </c>
      <c r="AB4" s="63">
        <v>0</v>
      </c>
      <c r="AC4" s="63">
        <v>27.5</v>
      </c>
      <c r="AD4" s="63">
        <v>5.8</v>
      </c>
      <c r="AE4" s="63">
        <v>0</v>
      </c>
      <c r="AF4" s="63">
        <v>0</v>
      </c>
      <c r="AG4" s="74"/>
      <c r="AH4" s="12">
        <f>IF(SUM(R4,V4)&gt;0,SUM(R4,V4),"")</f>
        <v>11.3</v>
      </c>
      <c r="AI4" s="12">
        <f>IF(SUM(Q4:R4,T4:V4,X4)-S4-W4&gt;0,SUM(Q4:R4,T4:V4,X4)-S4-W4,"")</f>
        <v>58.9</v>
      </c>
      <c r="AJ4" s="12">
        <f>IF(SUM(Y4:Z4,AB4:AD4,AF4)-SUM(AA4,AE4)&gt;0,SUM(Y4:Z4,AB4:AD4,AF4)-SUM(AA4,AE4),"")</f>
        <v>65.8</v>
      </c>
      <c r="AK4" s="12">
        <f>IF(SUM(AI4,AJ4)&gt;0,SUM(AI4,AJ4),"")</f>
        <v>124.69999999999999</v>
      </c>
      <c r="AL4" s="37">
        <v>23.5</v>
      </c>
      <c r="AM4" s="37">
        <v>5.4</v>
      </c>
      <c r="AN4" s="37">
        <v>0</v>
      </c>
      <c r="AO4" s="37">
        <v>0</v>
      </c>
      <c r="AP4" s="37">
        <v>27.1</v>
      </c>
      <c r="AQ4" s="37">
        <v>6.5</v>
      </c>
      <c r="AR4" s="37">
        <v>0</v>
      </c>
      <c r="AS4" s="37">
        <v>1</v>
      </c>
      <c r="AT4" s="37">
        <v>24</v>
      </c>
      <c r="AU4" s="37">
        <v>3.5</v>
      </c>
      <c r="AV4" s="37">
        <v>3</v>
      </c>
      <c r="AW4" s="37">
        <v>0</v>
      </c>
      <c r="AX4" s="37">
        <v>27.5</v>
      </c>
      <c r="AY4" s="37">
        <v>6.5</v>
      </c>
      <c r="AZ4" s="37">
        <v>0</v>
      </c>
      <c r="BA4" s="37">
        <v>1</v>
      </c>
      <c r="BB4" s="75"/>
      <c r="BC4" s="15">
        <f>IF(SUM(AM4,AQ4)&gt;0,SUM(AM4,AQ4),"")</f>
        <v>11.9</v>
      </c>
      <c r="BD4" s="15">
        <f>IF(SUM(AL4:AM4,AO4:AQ4,AS4)-AN4-AR4&gt;0,SUM(AL4:AM4,AO4:AQ4,AS4)-AN4-AR4,"")</f>
        <v>63.5</v>
      </c>
      <c r="BE4" s="15">
        <f>IF(SUM(AT4:AU4,AW4:AY4,BA4)-SUM(AV4,AZ4)&gt;0,SUM(AT4:AU4,AW4:AY4,BA4)-SUM(AV4,AZ4),"")</f>
        <v>59.5</v>
      </c>
      <c r="BF4" s="15">
        <f>IF(SUM(BD4,BE4)&gt;0,SUM(BD4,BE4),"")</f>
        <v>123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26.8</v>
      </c>
      <c r="BJ4" s="36">
        <v>6.5</v>
      </c>
      <c r="BK4" s="36">
        <v>0</v>
      </c>
      <c r="BL4" s="36">
        <v>0</v>
      </c>
      <c r="BM4" s="36">
        <v>23</v>
      </c>
      <c r="BN4" s="36">
        <v>3.4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9.9</v>
      </c>
      <c r="BZ4" s="12">
        <f>IF(SUM(BI4:BJ4,BL4:BN4,BP4)-BK4-BO4&gt;0,SUM(BI4:BJ4,BL4:BN4,BP4)-BK4-BO4,"")</f>
        <v>59.699999999999996</v>
      </c>
      <c r="CA4" s="12" t="str">
        <f>IF(SUM(BQ4:BR4,BT4:BV4,BX4)-SUM(BS4,BW4)&gt;0,SUM(BQ4:BR4,BT4:BV4,BX4)-SUM(BS4,BW4),"")</f>
        <v/>
      </c>
      <c r="CB4" s="12">
        <f>IF(SUM(BZ4,CA4)&gt;0,SUM(BZ4,CA4),"")</f>
        <v>59.699999999999996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23.75</v>
      </c>
      <c r="KP4" s="63">
        <f t="shared" ref="KP4:LD9" si="0">IF($BB4="P",AM4,(R4+AM4)/2)</f>
        <v>5.45</v>
      </c>
      <c r="KQ4" s="63">
        <f t="shared" si="0"/>
        <v>0</v>
      </c>
      <c r="KR4" s="63">
        <f t="shared" si="0"/>
        <v>0</v>
      </c>
      <c r="KS4" s="63">
        <f t="shared" si="0"/>
        <v>25.5</v>
      </c>
      <c r="KT4" s="63">
        <f t="shared" si="0"/>
        <v>6.15</v>
      </c>
      <c r="KU4" s="63">
        <f t="shared" si="0"/>
        <v>0.15</v>
      </c>
      <c r="KV4" s="63">
        <f t="shared" si="0"/>
        <v>0.5</v>
      </c>
      <c r="KW4" s="63">
        <f t="shared" si="0"/>
        <v>25.4</v>
      </c>
      <c r="KX4" s="63">
        <f t="shared" si="0"/>
        <v>4.5999999999999996</v>
      </c>
      <c r="KY4" s="63">
        <f t="shared" si="0"/>
        <v>1.5</v>
      </c>
      <c r="KZ4" s="63">
        <f t="shared" si="0"/>
        <v>0</v>
      </c>
      <c r="LA4" s="63">
        <f t="shared" si="0"/>
        <v>27.5</v>
      </c>
      <c r="LB4" s="63">
        <f t="shared" si="0"/>
        <v>6.15</v>
      </c>
      <c r="LC4" s="63">
        <f t="shared" si="0"/>
        <v>0</v>
      </c>
      <c r="LD4" s="63">
        <f t="shared" si="0"/>
        <v>0.5</v>
      </c>
      <c r="LE4" s="74" t="s">
        <v>119</v>
      </c>
      <c r="LF4" s="12">
        <f>IF(SUM(KP4,KT4)&gt;0,SUM(KP4,KT4),"")</f>
        <v>11.600000000000001</v>
      </c>
      <c r="LG4" s="12">
        <f t="shared" ref="LG4" si="1">IF(SUM(KO4:KP4,KR4:KT4,KV4)-KQ4-KU4&gt;0,SUM(KO4:KP4,KR4:KT4,KV4)-KQ4-KU4,"")</f>
        <v>61.2</v>
      </c>
      <c r="LH4" s="12">
        <f t="shared" ref="LH4" si="2">IF(SUM(KW4:KX4,KZ4:LB4,LD4)-SUM(KY4,LC4)&gt;0,SUM(KW4:KX4,KZ4:LB4,LD4)-SUM(KY4,LC4),"")</f>
        <v>62.650000000000006</v>
      </c>
      <c r="LI4" s="12">
        <f t="shared" ref="LI4" si="3">IF(SUM(LG4,LH4)&gt;0,SUM(LG4,LH4),"")</f>
        <v>123.85000000000001</v>
      </c>
    </row>
    <row r="5" spans="1:321" x14ac:dyDescent="0.2">
      <c r="A5" s="6">
        <f>IF(AND(F5="P",H5="P"),SUMPRODUCT((F$4:F$10="P")*(H$4:H$10="P")*(E$4:E$10&gt;E5))+1,IF(H5="P",SUMPRODUCT((F$4:F$10="")*(H$4:H$10="P")*(E$4:E$10&gt;E5))+1+SUMPRODUCT((F$4:F$10="P")*(H$4:H$10="P")),""))</f>
        <v>2</v>
      </c>
      <c r="B5" s="9" t="s">
        <v>108</v>
      </c>
      <c r="C5" s="5" t="s">
        <v>6</v>
      </c>
      <c r="D5" s="27">
        <v>1997</v>
      </c>
      <c r="E5" s="16">
        <f>SUM(J5:N5)</f>
        <v>128.5</v>
      </c>
      <c r="F5" s="4" t="str">
        <f>IF(OR(AND(AH5&gt;=AJ$12,AI5&gt;=AJ$14,AI5&lt;&gt;"",AG5=""),AND(BC5&gt;=BE$12,BD5&gt;=BE$14,BD5&lt;&gt;"",BB5=""),AND(BY5&gt;=CA$12,BZ5&gt;=CA$14,BZ5&lt;&gt;""),AND(CS5&gt;=CU$12,CT5&gt;=CU$14,CT5&lt;&gt;""),AND(DM5&gt;=DO$12,DN5&gt;=DO$14,DN5&lt;&gt;""),AND(EG5&gt;=EI$12,EH5&gt;=EI$14,EH5&lt;&gt;""),AND(FA5&gt;=FC$12,FB5&gt;=FC$14,FB5&lt;&gt;""),AND(FU5&gt;=FW$12,FV5&gt;=FW$14,FV5&lt;&gt;""),AND(GO5&gt;=GQ$12,GP5&gt;=GQ$14,GP5&lt;&gt;""),AND(HI5&gt;=HK$12,HJ5&gt;=HK$14,HJ5&lt;&gt;""),AND(IC5&gt;=IE$12,ID5&gt;=IE$14,ID5&lt;&gt;""),AND(IW5&gt;=IY$12,IX5&gt;=IY$14,IX5&lt;&gt;""),AND(JQ5&gt;=JS$12,JR5&gt;=JS$14,JR5&lt;&gt;""),AND(KK5&gt;=KM$12,KL5&gt;=KM$14,KL5&lt;&gt;"")),"P","")</f>
        <v/>
      </c>
      <c r="G5" s="4" t="str">
        <f>IF(OR(AND(AH5&gt;=AJ$12,AI5&gt;=AJ$15,AI5&lt;&gt;"",AG5=""),AND(BC5&gt;=BE$12,BD5&gt;=BE$15,BD5&lt;&gt;"",BB5=""),AND(BY5&gt;=CA$12,BZ5&gt;=CA$15,BZ5&lt;&gt;""),AND(CS5&gt;=CU$12,CT5&gt;=CU$15,CT5&lt;&gt;""),AND(DM5&gt;=DO$12,DN5&gt;=DO$15,DN5&lt;&gt;""),AND(EG5&gt;=EI$12,EH5&gt;=EI$15,EH5&lt;&gt;""),AND(FA5&gt;=FC$12,FB5&gt;=FC$15,FB5&lt;&gt;""),AND(FU5&gt;=FW$12,FV5&gt;=FW$15,FV5&lt;&gt;""),AND(GO5&gt;=GQ$12,GP5&gt;=GQ$15,GP5&lt;&gt;""),AND(HI5&gt;=HK$12,HJ5&gt;=HK$15,HJ5&lt;&gt;""),AND(IC5&gt;=IE$12,ID5&gt;=IE$15,ID5&lt;&gt;""),AND(IW5&gt;=IY$12,IX5&gt;=IY$15,IX5&lt;&gt;""),AND(JQ5&gt;=JS$12,JR5&gt;=JS$15,JR5&lt;&gt;""),AND(KK5&gt;=KM$12,KL5&gt;=KM$15,KL5&lt;&gt;"")),"P","")</f>
        <v/>
      </c>
      <c r="H5" s="4" t="str">
        <f>IF(OR(AND(AI5&gt;=AJ$14,AI5&lt;&gt;"",AG5=""),AND(BD5&gt;=BE$14,BD5&lt;&gt;"",BB5=""),AND(BZ5&gt;=CA$14,BZ5&lt;&gt;""),AND(CT5&gt;=CU$14,CT5&lt;&gt;""),AND(DN5&gt;=DO$14,DN5&lt;&gt;""),AND(EH5&gt;=EI$14,EH5&lt;&gt;""),AND(FB5&gt;=FC$14,FB5&lt;&gt;""),AND(FV5&gt;=FW$14,FV5&lt;&gt;""),AND(GP5&gt;=GQ$14,GP5&lt;&gt;""),AND(HJ5&gt;=HK$14,HJ5&lt;&gt;""),AND(ID5&gt;=IE$14,ID5&lt;&gt;""),AND(IX5&gt;=IY$14,IX5&lt;&gt;""),AND(JR5&gt;=JS$14,JR5&lt;&gt;""),AND(KL5&gt;=KM$14,KL5&lt;&gt;"")),"P","")</f>
        <v>P</v>
      </c>
      <c r="I5" t="str">
        <f>IF(AND(H5="P",F5=""),"No DD",IF(OR(AND(AI5&gt;=AJ$17,AI5&lt;&gt;"",AH5&gt;=AJ$13,AH5&lt;&gt;"",AG5=""),AND(BD5&gt;=BE$17,BD5&lt;&gt;"",BC5&gt;=BE$13,BC5&lt;&gt;"",BB5=""),AND(BZ5&gt;=CA$17,BZ5&lt;&gt;"",BY5&gt;=CA$13,BY5&lt;&gt;""),AND(CT5&gt;=CU$17,CT5&lt;&gt;"",CS5&gt;=CU$13,CS5&lt;&gt;""),AND(DN5&gt;=DO$17,DN5&lt;&gt;"",DM5&gt;=DO$13,DM5&lt;&gt;""),AND(EH5&gt;=EI$17,EH5&lt;&gt;"",EG5&gt;=EI$13,EG5&lt;&gt;""),AND(FB5&gt;=FC$17,FB5&lt;&gt;"",FA5&gt;=FC$13,FA5&lt;&gt;""),AND(FV5&gt;=FW$17,FV5&lt;&gt;"",FU5&gt;=FW$13,FU5&lt;&gt;""),AND(GP5&gt;=GQ$17,GP5&lt;&gt;"",GO5&gt;=GQ$13,GO5&lt;&gt;""),AND(HJ5&gt;=HK$17,HJ5&lt;&gt;"",HI5&gt;=HK$13,HI5&lt;&gt;""),AND(ID5&gt;=IE$17,ID5&lt;&gt;"",IC5&gt;=IE$13,IC5&lt;&gt;""),AND(IX5&gt;=IY$17,IX5&lt;&gt;"",IW5&gt;=IY$13,IW5&lt;&gt;""),AND(JR5&gt;=JS$17,JR5&lt;&gt;"",JQ5&gt;=JS$13,JQ5&lt;&gt;""),AND(KL5&gt;=KM$17,KL5&lt;&gt;"",KK5&gt;=KM$13,KK5&lt;&gt;"")),"Merit",IF(OR(AND(AI5&gt;=AJ$16,AI5&lt;&gt;"",AH5&gt;=AJ$13,AH5&lt;&gt;"",AG5=""),AND(BD5&gt;=BE$16,BD5&lt;&gt;"",BC5&gt;=BE$13,BC5&lt;&gt;"",BB5=""),AND(BZ5&gt;=CA$16,BZ5&lt;&gt;"",BY5&gt;=CA$13,BY5&lt;&gt;""),AND(CT5&gt;=CU$16,CT5&lt;&gt;"",CS5&gt;=CU$13,CS5&lt;&gt;""),AND(DN5&gt;=DO$16,DN5&lt;&gt;"",DM5&gt;=DO$13,DM5&lt;&gt;""),AND(EH5&gt;=EI$16,EH5&lt;&gt;"",EG5&gt;=EI$13,EG5&lt;&gt;""),AND(FB5&gt;=FC$16,FB5&lt;&gt;"",FA5&gt;=FC$13,FA5&lt;&gt;""),AND(FV5&gt;=FW$16,FV5&lt;&gt;"",FU5&gt;=FW$13,FU5&lt;&gt;""),AND(GP5&gt;=GQ$16,GP5&lt;&gt;"",GO5&gt;=GQ$13,GO5&lt;&gt;""),AND(HJ5&gt;=HK$16,HJ5&lt;&gt;"",HI5&gt;=HK$13,HI5&lt;&gt;""),AND(ID5&gt;=IE$16,ID5&lt;&gt;"",IC5&gt;=IE$13,IC5&lt;&gt;""),AND(IX5&gt;=IY$16,IX5&lt;&gt;"",IW5&gt;=IY$13,IW5&lt;&gt;""),AND(JR5&gt;=JS$16,JR5&lt;&gt;"",JQ5&gt;=JS$13,JQ5&lt;&gt;""),AND(KL5&gt;=KM$16,KL5&lt;&gt;"",KK5&gt;=KM$13,KK5&lt;&gt;"")),"Excellence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Worlds Team",IF(OR(AND(AI5&gt;=AJ$14,AI5&lt;&gt;"",AH5&gt;=AJ$12,AH5&lt;&gt;"",AG5=""),AND(BD5&gt;=BE$14,BD5&lt;&gt;"",BC5&gt;=BE$12,BC5&lt;&gt;"",BB5=""),AND(BZ5&gt;=CA$14,BZ5&lt;&gt;"",BY5&gt;=CA$12,BY5&lt;&gt;""),AND(CT5&gt;=CU$14,CT5&lt;&gt;"",CS5&gt;=CU$12,CS5&lt;&gt;""),AND(DN5&gt;=DO$14,DN5&lt;&gt;"",DM5&gt;=DO$12,DM5&lt;&gt;""),AND(EH5&gt;=EI$14,EH5&lt;&gt;"",EG5&gt;=EI$12,EG5&lt;&gt;""),AND(FB5&gt;=FC$14,FB5&lt;&gt;"",FA5&gt;=FC$12,FA5&lt;&gt;""),AND(FV5&gt;=FW$14,FV5&lt;&gt;"",FU5&gt;=FW$12,FU5&lt;&gt;""),AND(GP5&gt;=GQ$14,GP5&lt;&gt;"",GO5&gt;=GQ$12,GO5&lt;&gt;""),AND(HJ5&gt;=HK$14,HJ5&lt;&gt;"",HI5&gt;=HK$12,HI5&lt;&gt;""),AND(ID5&gt;=IE$14,ID5&lt;&gt;"",IC5&gt;=IE$12,IC5&lt;&gt;""),AND(IX5&gt;=IY$14,IX5&lt;&gt;"",IW5&gt;=IY$12,IW5&lt;&gt;""),AND(JR5&gt;=JS$14,JR5&lt;&gt;"",JQ5&gt;=JS$12,JQ5&lt;&gt;""),AND(KL5&gt;=KM$14,KL5&lt;&gt;"",KK5&gt;=KM$12,KK5&lt;&gt;"")),"National Team","")))))</f>
        <v>No DD</v>
      </c>
      <c r="J5" s="15">
        <f>IF(MAX(AI5,BD5)&gt;0,MAX(AI5,BD5),"")</f>
        <v>63.3</v>
      </c>
      <c r="K5" s="15" t="str">
        <f>IF(J5="","",IF(J5=BD5,$AL$1,IF(J5=AI5,$Q$1,"")))</f>
        <v>2018 Nationals</v>
      </c>
      <c r="L5" s="15">
        <f>IF(MAX(AJ5,BE5)&gt;0,MAX(AJ5,BE5),"")</f>
        <v>65.199999999999989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26.2</v>
      </c>
      <c r="R5" s="63">
        <v>5.5</v>
      </c>
      <c r="S5" s="63">
        <v>0</v>
      </c>
      <c r="T5" s="63">
        <v>0</v>
      </c>
      <c r="U5" s="63">
        <v>27.6</v>
      </c>
      <c r="V5" s="63">
        <v>4</v>
      </c>
      <c r="W5" s="63">
        <v>0</v>
      </c>
      <c r="X5" s="63">
        <v>0</v>
      </c>
      <c r="Y5" s="63">
        <v>26.8</v>
      </c>
      <c r="Z5" s="63">
        <v>5.5</v>
      </c>
      <c r="AA5" s="63">
        <v>0</v>
      </c>
      <c r="AB5" s="63">
        <v>0</v>
      </c>
      <c r="AC5" s="63">
        <v>28.9</v>
      </c>
      <c r="AD5" s="63">
        <v>4</v>
      </c>
      <c r="AE5" s="63">
        <v>0</v>
      </c>
      <c r="AF5" s="63">
        <v>0</v>
      </c>
      <c r="AG5" s="74"/>
      <c r="AH5" s="12">
        <f>IF(SUM(R5,V5)&gt;0,SUM(R5,V5),"")</f>
        <v>9.5</v>
      </c>
      <c r="AI5" s="12">
        <f>IF(SUM(Q5:R5,T5:V5,X5)-S5-W5&gt;0,SUM(Q5:R5,T5:V5,X5)-S5-W5,"")</f>
        <v>63.3</v>
      </c>
      <c r="AJ5" s="12">
        <f>IF(SUM(Y5:Z5,AB5:AD5,AF5)-SUM(AA5,AE5)&gt;0,SUM(Y5:Z5,AB5:AD5,AF5)-SUM(AA5,AE5),"")</f>
        <v>65.199999999999989</v>
      </c>
      <c r="AK5" s="12">
        <f>IF(SUM(AI5,AJ5)&gt;0,SUM(AI5,AJ5),"")</f>
        <v>128.5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23.7</v>
      </c>
      <c r="BJ5" s="36">
        <v>5.4</v>
      </c>
      <c r="BK5" s="36">
        <v>0</v>
      </c>
      <c r="BL5" s="36">
        <v>0</v>
      </c>
      <c r="BM5" s="36">
        <v>26.8</v>
      </c>
      <c r="BN5" s="36">
        <v>4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9.4</v>
      </c>
      <c r="BZ5" s="12">
        <f>IF(SUM(BI5:BJ5,BL5:BN5,BP5)-BK5-BO5&gt;0,SUM(BI5:BJ5,BL5:BN5,BP5)-BK5-BO5,"")</f>
        <v>59.900000000000006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59.900000000000006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9" si="4">IF($BB5="P",AL5,(Q5+AL5)/2)</f>
        <v>13.1</v>
      </c>
      <c r="KP5" s="63">
        <f t="shared" si="0"/>
        <v>2.75</v>
      </c>
      <c r="KQ5" s="63">
        <f t="shared" si="0"/>
        <v>0</v>
      </c>
      <c r="KR5" s="63">
        <f t="shared" si="0"/>
        <v>0</v>
      </c>
      <c r="KS5" s="63">
        <f t="shared" si="0"/>
        <v>13.8</v>
      </c>
      <c r="KT5" s="63">
        <f t="shared" si="0"/>
        <v>2</v>
      </c>
      <c r="KU5" s="63">
        <f t="shared" si="0"/>
        <v>0</v>
      </c>
      <c r="KV5" s="63">
        <f t="shared" si="0"/>
        <v>0</v>
      </c>
      <c r="KW5" s="63">
        <f t="shared" si="0"/>
        <v>13.4</v>
      </c>
      <c r="KX5" s="63">
        <f t="shared" si="0"/>
        <v>2.75</v>
      </c>
      <c r="KY5" s="63">
        <f t="shared" si="0"/>
        <v>0</v>
      </c>
      <c r="KZ5" s="63">
        <f t="shared" si="0"/>
        <v>0</v>
      </c>
      <c r="LA5" s="63">
        <f t="shared" si="0"/>
        <v>14.45</v>
      </c>
      <c r="LB5" s="63">
        <f t="shared" si="0"/>
        <v>2</v>
      </c>
      <c r="LC5" s="63">
        <f t="shared" si="0"/>
        <v>0</v>
      </c>
      <c r="LD5" s="63">
        <f t="shared" si="0"/>
        <v>0</v>
      </c>
      <c r="LE5" s="74" t="s">
        <v>119</v>
      </c>
      <c r="LF5" s="12">
        <f t="shared" ref="LF5:LF9" si="5">IF(SUM(KP5,KT5)&gt;0,SUM(KP5,KT5),"")</f>
        <v>4.75</v>
      </c>
      <c r="LG5" s="12">
        <f t="shared" ref="LG5:LG9" si="6">IF(SUM(KO5:KP5,KR5:KT5,KV5)-KQ5-KU5&gt;0,SUM(KO5:KP5,KR5:KT5,KV5)-KQ5-KU5,"")</f>
        <v>31.65</v>
      </c>
      <c r="LH5" s="12">
        <f t="shared" ref="LH5:LH9" si="7">IF(SUM(KW5:KX5,KZ5:LB5,LD5)-SUM(KY5,LC5)&gt;0,SUM(KW5:KX5,KZ5:LB5,LD5)-SUM(KY5,LC5),"")</f>
        <v>32.599999999999994</v>
      </c>
      <c r="LI5" s="12">
        <f t="shared" ref="LI5:LI9" si="8">IF(SUM(LG5,LH5)&gt;0,SUM(LG5,LH5),"")</f>
        <v>64.25</v>
      </c>
    </row>
    <row r="6" spans="1:321" x14ac:dyDescent="0.2">
      <c r="A6" s="6" t="str">
        <f>IF(AND(F6="P",H6="P"),SUMPRODUCT((F$4:F$10="P")*(H$4:H$10="P")*(E$4:E$10&gt;E6))+1,IF(H6="P",SUMPRODUCT((F$4:F$10="")*(H$4:H$10="P")*(E$4:E$10&gt;E6))+1+SUMPRODUCT((F$4:F$10="P")*(H$4:H$10="P")),""))</f>
        <v/>
      </c>
      <c r="B6" s="7" t="s">
        <v>107</v>
      </c>
      <c r="C6" s="8" t="s">
        <v>3</v>
      </c>
      <c r="D6" s="6">
        <v>2001</v>
      </c>
      <c r="E6" s="16">
        <f>SUM(J6:N6)</f>
        <v>123.69999999999999</v>
      </c>
      <c r="F6" s="4" t="str">
        <f>IF(OR(AND(AH6&gt;=AJ$12,AI6&gt;=AJ$14,AI6&lt;&gt;"",AG6=""),AND(BC6&gt;=BE$12,BD6&gt;=BE$14,BD6&lt;&gt;"",BB6=""),AND(BY6&gt;=CA$12,BZ6&gt;=CA$14,BZ6&lt;&gt;""),AND(CS6&gt;=CU$12,CT6&gt;=CU$14,CT6&lt;&gt;""),AND(DM6&gt;=DO$12,DN6&gt;=DO$14,DN6&lt;&gt;""),AND(EG6&gt;=EI$12,EH6&gt;=EI$14,EH6&lt;&gt;""),AND(FA6&gt;=FC$12,FB6&gt;=FC$14,FB6&lt;&gt;""),AND(FU6&gt;=FW$12,FV6&gt;=FW$14,FV6&lt;&gt;""),AND(GO6&gt;=GQ$12,GP6&gt;=GQ$14,GP6&lt;&gt;""),AND(HI6&gt;=HK$12,HJ6&gt;=HK$14,HJ6&lt;&gt;""),AND(IC6&gt;=IE$12,ID6&gt;=IE$14,ID6&lt;&gt;""),AND(IW6&gt;=IY$12,IX6&gt;=IY$14,IX6&lt;&gt;""),AND(JQ6&gt;=JS$12,JR6&gt;=JS$14,JR6&lt;&gt;""),AND(KK6&gt;=KM$12,KL6&gt;=KM$14,KL6&lt;&gt;"")),"P","")</f>
        <v/>
      </c>
      <c r="G6" s="4" t="str">
        <f>IF(OR(AND(AH6&gt;=AJ$12,AI6&gt;=AJ$15,AI6&lt;&gt;"",AG6=""),AND(BC6&gt;=BE$12,BD6&gt;=BE$15,BD6&lt;&gt;"",BB6=""),AND(BY6&gt;=CA$12,BZ6&gt;=CA$15,BZ6&lt;&gt;""),AND(CS6&gt;=CU$12,CT6&gt;=CU$15,CT6&lt;&gt;""),AND(DM6&gt;=DO$12,DN6&gt;=DO$15,DN6&lt;&gt;""),AND(EG6&gt;=EI$12,EH6&gt;=EI$15,EH6&lt;&gt;""),AND(FA6&gt;=FC$12,FB6&gt;=FC$15,FB6&lt;&gt;""),AND(FU6&gt;=FW$12,FV6&gt;=FW$15,FV6&lt;&gt;""),AND(GO6&gt;=GQ$12,GP6&gt;=GQ$15,GP6&lt;&gt;""),AND(HI6&gt;=HK$12,HJ6&gt;=HK$15,HJ6&lt;&gt;""),AND(IC6&gt;=IE$12,ID6&gt;=IE$15,ID6&lt;&gt;""),AND(IW6&gt;=IY$12,IX6&gt;=IY$15,IX6&lt;&gt;""),AND(JQ6&gt;=JS$12,JR6&gt;=JS$15,JR6&lt;&gt;""),AND(KK6&gt;=KM$12,KL6&gt;=KM$15,KL6&lt;&gt;"")),"P","")</f>
        <v/>
      </c>
      <c r="H6" s="4" t="str">
        <f>IF(OR(AND(AI6&gt;=AJ$14,AI6&lt;&gt;"",AG6=""),AND(BD6&gt;=BE$14,BD6&lt;&gt;"",BB6=""),AND(BZ6&gt;=CA$14,BZ6&lt;&gt;""),AND(CT6&gt;=CU$14,CT6&lt;&gt;""),AND(DN6&gt;=DO$14,DN6&lt;&gt;""),AND(EH6&gt;=EI$14,EH6&lt;&gt;""),AND(FB6&gt;=FC$14,FB6&lt;&gt;""),AND(FV6&gt;=FW$14,FV6&lt;&gt;""),AND(GP6&gt;=GQ$14,GP6&lt;&gt;""),AND(HJ6&gt;=HK$14,HJ6&lt;&gt;""),AND(ID6&gt;=IE$14,ID6&lt;&gt;""),AND(IX6&gt;=IY$14,IX6&lt;&gt;""),AND(JR6&gt;=JS$14,JR6&lt;&gt;""),AND(KL6&gt;=KM$14,KL6&lt;&gt;"")),"P","")</f>
        <v/>
      </c>
      <c r="I6" t="str">
        <f>IF(AND(H6="P",F6=""),"No DD",IF(OR(AND(AI6&gt;=AJ$17,AI6&lt;&gt;"",AH6&gt;=AJ$13,AH6&lt;&gt;"",AG6=""),AND(BD6&gt;=BE$17,BD6&lt;&gt;"",BC6&gt;=BE$13,BC6&lt;&gt;"",BB6=""),AND(BZ6&gt;=CA$17,BZ6&lt;&gt;"",BY6&gt;=CA$13,BY6&lt;&gt;""),AND(CT6&gt;=CU$17,CT6&lt;&gt;"",CS6&gt;=CU$13,CS6&lt;&gt;""),AND(DN6&gt;=DO$17,DN6&lt;&gt;"",DM6&gt;=DO$13,DM6&lt;&gt;""),AND(EH6&gt;=EI$17,EH6&lt;&gt;"",EG6&gt;=EI$13,EG6&lt;&gt;""),AND(FB6&gt;=FC$17,FB6&lt;&gt;"",FA6&gt;=FC$13,FA6&lt;&gt;""),AND(FV6&gt;=FW$17,FV6&lt;&gt;"",FU6&gt;=FW$13,FU6&lt;&gt;""),AND(GP6&gt;=GQ$17,GP6&lt;&gt;"",GO6&gt;=GQ$13,GO6&lt;&gt;""),AND(HJ6&gt;=HK$17,HJ6&lt;&gt;"",HI6&gt;=HK$13,HI6&lt;&gt;""),AND(ID6&gt;=IE$17,ID6&lt;&gt;"",IC6&gt;=IE$13,IC6&lt;&gt;""),AND(IX6&gt;=IY$17,IX6&lt;&gt;"",IW6&gt;=IY$13,IW6&lt;&gt;""),AND(JR6&gt;=JS$17,JR6&lt;&gt;"",JQ6&gt;=JS$13,JQ6&lt;&gt;""),AND(KL6&gt;=KM$17,KL6&lt;&gt;"",KK6&gt;=KM$13,KK6&lt;&gt;"")),"Merit",IF(OR(AND(AI6&gt;=AJ$16,AI6&lt;&gt;"",AH6&gt;=AJ$13,AH6&lt;&gt;"",AG6=""),AND(BD6&gt;=BE$16,BD6&lt;&gt;"",BC6&gt;=BE$13,BC6&lt;&gt;"",BB6=""),AND(BZ6&gt;=CA$16,BZ6&lt;&gt;"",BY6&gt;=CA$13,BY6&lt;&gt;""),AND(CT6&gt;=CU$16,CT6&lt;&gt;"",CS6&gt;=CU$13,CS6&lt;&gt;""),AND(DN6&gt;=DO$16,DN6&lt;&gt;"",DM6&gt;=DO$13,DM6&lt;&gt;""),AND(EH6&gt;=EI$16,EH6&lt;&gt;"",EG6&gt;=EI$13,EG6&lt;&gt;""),AND(FB6&gt;=FC$16,FB6&lt;&gt;"",FA6&gt;=FC$13,FA6&lt;&gt;""),AND(FV6&gt;=FW$16,FV6&lt;&gt;"",FU6&gt;=FW$13,FU6&lt;&gt;""),AND(GP6&gt;=GQ$16,GP6&lt;&gt;"",GO6&gt;=GQ$13,GO6&lt;&gt;""),AND(HJ6&gt;=HK$16,HJ6&lt;&gt;"",HI6&gt;=HK$13,HI6&lt;&gt;""),AND(ID6&gt;=IE$16,ID6&lt;&gt;"",IC6&gt;=IE$13,IC6&lt;&gt;""),AND(IX6&gt;=IY$16,IX6&lt;&gt;"",IW6&gt;=IY$13,IW6&lt;&gt;""),AND(JR6&gt;=JS$16,JR6&lt;&gt;"",JQ6&gt;=JS$13,JQ6&lt;&gt;""),AND(KL6&gt;=KM$16,KL6&lt;&gt;"",KK6&gt;=KM$13,KK6&lt;&gt;"")),"Excellence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Worlds Team",IF(OR(AND(AI6&gt;=AJ$14,AI6&lt;&gt;"",AH6&gt;=AJ$12,AH6&lt;&gt;"",AG6=""),AND(BD6&gt;=BE$14,BD6&lt;&gt;"",BC6&gt;=BE$12,BC6&lt;&gt;"",BB6=""),AND(BZ6&gt;=CA$14,BZ6&lt;&gt;"",BY6&gt;=CA$12,BY6&lt;&gt;""),AND(CT6&gt;=CU$14,CT6&lt;&gt;"",CS6&gt;=CU$12,CS6&lt;&gt;""),AND(DN6&gt;=DO$14,DN6&lt;&gt;"",DM6&gt;=DO$12,DM6&lt;&gt;""),AND(EH6&gt;=EI$14,EH6&lt;&gt;"",EG6&gt;=EI$12,EG6&lt;&gt;""),AND(FB6&gt;=FC$14,FB6&lt;&gt;"",FA6&gt;=FC$12,FA6&lt;&gt;""),AND(FV6&gt;=FW$14,FV6&lt;&gt;"",FU6&gt;=FW$12,FU6&lt;&gt;""),AND(GP6&gt;=GQ$14,GP6&lt;&gt;"",GO6&gt;=GQ$12,GO6&lt;&gt;""),AND(HJ6&gt;=HK$14,HJ6&lt;&gt;"",HI6&gt;=HK$12,HI6&lt;&gt;""),AND(ID6&gt;=IE$14,ID6&lt;&gt;"",IC6&gt;=IE$12,IC6&lt;&gt;""),AND(IX6&gt;=IY$14,IX6&lt;&gt;"",IW6&gt;=IY$12,IW6&lt;&gt;""),AND(JR6&gt;=JS$14,JR6&lt;&gt;"",JQ6&gt;=JS$12,JQ6&lt;&gt;""),AND(KL6&gt;=KM$14,KL6&lt;&gt;"",KK6&gt;=KM$12,KK6&lt;&gt;"")),"National Team","")))))</f>
        <v/>
      </c>
      <c r="J6" s="15">
        <f>IF(MAX(AI6,BD6)&gt;0,MAX(AI6,BD6),"")</f>
        <v>61.3</v>
      </c>
      <c r="K6" s="15" t="str">
        <f>IF(J6="","",IF(J6=BD6,$AL$1,IF(J6=AI6,$Q$1,"")))</f>
        <v>2018 Nationals</v>
      </c>
      <c r="L6" s="15">
        <f>IF(MAX(AJ6,BE6)&gt;0,MAX(AJ6,BE6),"")</f>
        <v>62.4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63">
        <v>23.7</v>
      </c>
      <c r="R6" s="63">
        <v>5.5</v>
      </c>
      <c r="S6" s="63">
        <v>0.3</v>
      </c>
      <c r="T6" s="63">
        <v>0</v>
      </c>
      <c r="U6" s="63">
        <v>26.4</v>
      </c>
      <c r="V6" s="63">
        <v>6</v>
      </c>
      <c r="W6" s="63">
        <v>0</v>
      </c>
      <c r="X6" s="63">
        <v>0</v>
      </c>
      <c r="Y6" s="63">
        <v>25</v>
      </c>
      <c r="Z6" s="63">
        <v>6.5</v>
      </c>
      <c r="AA6" s="63">
        <v>0</v>
      </c>
      <c r="AB6" s="63">
        <v>0</v>
      </c>
      <c r="AC6" s="63">
        <v>25.5</v>
      </c>
      <c r="AD6" s="63">
        <v>6</v>
      </c>
      <c r="AE6" s="63">
        <v>0.6</v>
      </c>
      <c r="AF6" s="63">
        <v>0</v>
      </c>
      <c r="AG6" s="74"/>
      <c r="AH6" s="12">
        <f>IF(SUM(R6,V6)&gt;0,SUM(R6,V6),"")</f>
        <v>11.5</v>
      </c>
      <c r="AI6" s="12">
        <f>IF(SUM(Q6:R6,T6:V6,X6)-S6-W6&gt;0,SUM(Q6:R6,T6:V6,X6)-S6-W6,"")</f>
        <v>61.3</v>
      </c>
      <c r="AJ6" s="12">
        <f>IF(SUM(Y6:Z6,AB6:AD6,AF6)-SUM(AA6,AE6)&gt;0,SUM(Y6:Z6,AB6:AD6,AF6)-SUM(AA6,AE6),"")</f>
        <v>62.4</v>
      </c>
      <c r="AK6" s="12">
        <f>IF(SUM(AI6,AJ6)&gt;0,SUM(AI6,AJ6),"")</f>
        <v>123.69999999999999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75"/>
      <c r="BC6" s="15" t="str">
        <f>IF(SUM(AM6,AQ6)&gt;0,SUM(AM6,AQ6),"")</f>
        <v/>
      </c>
      <c r="BD6" s="15" t="str">
        <f>IF(SUM(AL6:AM6,AO6:AQ6,AS6)-AN6-AR6&gt;0,SUM(AL6:AM6,AO6:AQ6,AS6)-AN6-AR6,"")</f>
        <v/>
      </c>
      <c r="BE6" s="15" t="str">
        <f>IF(SUM(AT6:AU6,AW6:AY6,BA6)-SUM(AV6,AZ6)&gt;0,SUM(AT6:AU6,AW6:AY6,BA6)-SUM(AV6,AZ6),"")</f>
        <v/>
      </c>
      <c r="BF6" s="15" t="str">
        <f>IF(SUM(BD6,BE6)&gt;0,SUM(BD6,BE6),"")</f>
        <v/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26.7</v>
      </c>
      <c r="BJ6" s="36">
        <v>5.5</v>
      </c>
      <c r="BK6" s="36">
        <v>0</v>
      </c>
      <c r="BL6" s="36">
        <v>0</v>
      </c>
      <c r="BM6" s="36">
        <v>24</v>
      </c>
      <c r="BN6" s="36">
        <v>5.5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11</v>
      </c>
      <c r="BZ6" s="12">
        <f>IF(SUM(BI6:BJ6,BL6:BN6,BP6)-BK6-BO6&gt;0,SUM(BI6:BJ6,BL6:BN6,BP6)-BK6-BO6,"")</f>
        <v>61.400000000000006</v>
      </c>
      <c r="CA6" s="12" t="str">
        <f>IF(SUM(BQ6:BR6,BT6:BV6,BX6)-SUM(BS6,BW6)&gt;0,SUM(BQ6:BR6,BT6:BV6,BX6)-SUM(BS6,BW6),"")</f>
        <v/>
      </c>
      <c r="CB6" s="12">
        <f>IF(SUM(BZ6,CA6)&gt;0,SUM(BZ6,CA6),"")</f>
        <v>61.400000000000006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11.85</v>
      </c>
      <c r="KP6" s="63">
        <f t="shared" si="0"/>
        <v>2.75</v>
      </c>
      <c r="KQ6" s="63">
        <f t="shared" si="0"/>
        <v>0.15</v>
      </c>
      <c r="KR6" s="63">
        <f t="shared" si="0"/>
        <v>0</v>
      </c>
      <c r="KS6" s="63">
        <f t="shared" si="0"/>
        <v>13.2</v>
      </c>
      <c r="KT6" s="63">
        <f t="shared" si="0"/>
        <v>3</v>
      </c>
      <c r="KU6" s="63">
        <f t="shared" si="0"/>
        <v>0</v>
      </c>
      <c r="KV6" s="63">
        <f t="shared" si="0"/>
        <v>0</v>
      </c>
      <c r="KW6" s="63">
        <f t="shared" si="0"/>
        <v>12.5</v>
      </c>
      <c r="KX6" s="63">
        <f t="shared" si="0"/>
        <v>3.25</v>
      </c>
      <c r="KY6" s="63">
        <f t="shared" si="0"/>
        <v>0</v>
      </c>
      <c r="KZ6" s="63">
        <f t="shared" si="0"/>
        <v>0</v>
      </c>
      <c r="LA6" s="63">
        <f t="shared" si="0"/>
        <v>12.75</v>
      </c>
      <c r="LB6" s="63">
        <f t="shared" si="0"/>
        <v>3</v>
      </c>
      <c r="LC6" s="63">
        <f t="shared" si="0"/>
        <v>0.3</v>
      </c>
      <c r="LD6" s="63">
        <f t="shared" si="0"/>
        <v>0</v>
      </c>
      <c r="LE6" s="74" t="s">
        <v>119</v>
      </c>
      <c r="LF6" s="12">
        <f t="shared" si="5"/>
        <v>5.75</v>
      </c>
      <c r="LG6" s="12">
        <f t="shared" si="6"/>
        <v>30.65</v>
      </c>
      <c r="LH6" s="12">
        <f t="shared" si="7"/>
        <v>31.2</v>
      </c>
      <c r="LI6" s="12">
        <f t="shared" si="8"/>
        <v>61.849999999999994</v>
      </c>
    </row>
    <row r="7" spans="1:321" x14ac:dyDescent="0.2">
      <c r="A7" s="6" t="str">
        <f>IF(AND(F7="P",H7="P"),SUMPRODUCT((F$4:F$10="P")*(H$4:H$10="P")*(E$4:E$10&gt;E7))+1,IF(H7="P",SUMPRODUCT((F$4:F$10="")*(H$4:H$10="P")*(E$4:E$10&gt;E7))+1+SUMPRODUCT((F$4:F$10="P")*(H$4:H$10="P")),""))</f>
        <v/>
      </c>
      <c r="B7" s="9" t="s">
        <v>109</v>
      </c>
      <c r="C7" s="5" t="s">
        <v>6</v>
      </c>
      <c r="D7" s="27">
        <v>1999</v>
      </c>
      <c r="E7" s="16">
        <f>SUM(J7:N7)</f>
        <v>123.69999999999999</v>
      </c>
      <c r="F7" s="4" t="str">
        <f>IF(OR(AND(AH7&gt;=AJ$12,AI7&gt;=AJ$14,AI7&lt;&gt;"",AG7=""),AND(BC7&gt;=BE$12,BD7&gt;=BE$14,BD7&lt;&gt;"",BB7=""),AND(BY7&gt;=CA$12,BZ7&gt;=CA$14,BZ7&lt;&gt;""),AND(CS7&gt;=CU$12,CT7&gt;=CU$14,CT7&lt;&gt;""),AND(DM7&gt;=DO$12,DN7&gt;=DO$14,DN7&lt;&gt;""),AND(EG7&gt;=EI$12,EH7&gt;=EI$14,EH7&lt;&gt;""),AND(FA7&gt;=FC$12,FB7&gt;=FC$14,FB7&lt;&gt;""),AND(FU7&gt;=FW$12,FV7&gt;=FW$14,FV7&lt;&gt;""),AND(GO7&gt;=GQ$12,GP7&gt;=GQ$14,GP7&lt;&gt;""),AND(HI7&gt;=HK$12,HJ7&gt;=HK$14,HJ7&lt;&gt;""),AND(IC7&gt;=IE$12,ID7&gt;=IE$14,ID7&lt;&gt;""),AND(IW7&gt;=IY$12,IX7&gt;=IY$14,IX7&lt;&gt;""),AND(JQ7&gt;=JS$12,JR7&gt;=JS$14,JR7&lt;&gt;""),AND(KK7&gt;=KM$12,KL7&gt;=KM$14,KL7&lt;&gt;"")),"P","")</f>
        <v/>
      </c>
      <c r="G7" s="4" t="str">
        <f>IF(OR(AND(AH7&gt;=AJ$12,AI7&gt;=AJ$15,AI7&lt;&gt;"",AG7=""),AND(BC7&gt;=BE$12,BD7&gt;=BE$15,BD7&lt;&gt;"",BB7=""),AND(BY7&gt;=CA$12,BZ7&gt;=CA$15,BZ7&lt;&gt;""),AND(CS7&gt;=CU$12,CT7&gt;=CU$15,CT7&lt;&gt;""),AND(DM7&gt;=DO$12,DN7&gt;=DO$15,DN7&lt;&gt;""),AND(EG7&gt;=EI$12,EH7&gt;=EI$15,EH7&lt;&gt;""),AND(FA7&gt;=FC$12,FB7&gt;=FC$15,FB7&lt;&gt;""),AND(FU7&gt;=FW$12,FV7&gt;=FW$15,FV7&lt;&gt;""),AND(GO7&gt;=GQ$12,GP7&gt;=GQ$15,GP7&lt;&gt;""),AND(HI7&gt;=HK$12,HJ7&gt;=HK$15,HJ7&lt;&gt;""),AND(IC7&gt;=IE$12,ID7&gt;=IE$15,ID7&lt;&gt;""),AND(IW7&gt;=IY$12,IX7&gt;=IY$15,IX7&lt;&gt;""),AND(JQ7&gt;=JS$12,JR7&gt;=JS$15,JR7&lt;&gt;""),AND(KK7&gt;=KM$12,KL7&gt;=KM$15,KL7&lt;&gt;"")),"P","")</f>
        <v/>
      </c>
      <c r="H7" s="4" t="str">
        <f>IF(OR(AND(AI7&gt;=AJ$14,AI7&lt;&gt;"",AG7=""),AND(BD7&gt;=BE$14,BD7&lt;&gt;"",BB7=""),AND(BZ7&gt;=CA$14,BZ7&lt;&gt;""),AND(CT7&gt;=CU$14,CT7&lt;&gt;""),AND(DN7&gt;=DO$14,DN7&lt;&gt;""),AND(EH7&gt;=EI$14,EH7&lt;&gt;""),AND(FB7&gt;=FC$14,FB7&lt;&gt;""),AND(FV7&gt;=FW$14,FV7&lt;&gt;""),AND(GP7&gt;=GQ$14,GP7&lt;&gt;""),AND(HJ7&gt;=HK$14,HJ7&lt;&gt;""),AND(ID7&gt;=IE$14,ID7&lt;&gt;""),AND(IX7&gt;=IY$14,IX7&lt;&gt;""),AND(JR7&gt;=JS$14,JR7&lt;&gt;""),AND(KL7&gt;=KM$14,KL7&lt;&gt;"")),"P","")</f>
        <v/>
      </c>
      <c r="I7" t="str">
        <f>IF(AND(H7="P",F7=""),"No DD",IF(OR(AND(AI7&gt;=AJ$17,AI7&lt;&gt;"",AH7&gt;=AJ$13,AH7&lt;&gt;"",AG7=""),AND(BD7&gt;=BE$17,BD7&lt;&gt;"",BC7&gt;=BE$13,BC7&lt;&gt;"",BB7=""),AND(BZ7&gt;=CA$17,BZ7&lt;&gt;"",BY7&gt;=CA$13,BY7&lt;&gt;""),AND(CT7&gt;=CU$17,CT7&lt;&gt;"",CS7&gt;=CU$13,CS7&lt;&gt;""),AND(DN7&gt;=DO$17,DN7&lt;&gt;"",DM7&gt;=DO$13,DM7&lt;&gt;""),AND(EH7&gt;=EI$17,EH7&lt;&gt;"",EG7&gt;=EI$13,EG7&lt;&gt;""),AND(FB7&gt;=FC$17,FB7&lt;&gt;"",FA7&gt;=FC$13,FA7&lt;&gt;""),AND(FV7&gt;=FW$17,FV7&lt;&gt;"",FU7&gt;=FW$13,FU7&lt;&gt;""),AND(GP7&gt;=GQ$17,GP7&lt;&gt;"",GO7&gt;=GQ$13,GO7&lt;&gt;""),AND(HJ7&gt;=HK$17,HJ7&lt;&gt;"",HI7&gt;=HK$13,HI7&lt;&gt;""),AND(ID7&gt;=IE$17,ID7&lt;&gt;"",IC7&gt;=IE$13,IC7&lt;&gt;""),AND(IX7&gt;=IY$17,IX7&lt;&gt;"",IW7&gt;=IY$13,IW7&lt;&gt;""),AND(JR7&gt;=JS$17,JR7&lt;&gt;"",JQ7&gt;=JS$13,JQ7&lt;&gt;""),AND(KL7&gt;=KM$17,KL7&lt;&gt;"",KK7&gt;=KM$13,KK7&lt;&gt;"")),"Merit",IF(OR(AND(AI7&gt;=AJ$16,AI7&lt;&gt;"",AH7&gt;=AJ$13,AH7&lt;&gt;"",AG7=""),AND(BD7&gt;=BE$16,BD7&lt;&gt;"",BC7&gt;=BE$13,BC7&lt;&gt;"",BB7=""),AND(BZ7&gt;=CA$16,BZ7&lt;&gt;"",BY7&gt;=CA$13,BY7&lt;&gt;""),AND(CT7&gt;=CU$16,CT7&lt;&gt;"",CS7&gt;=CU$13,CS7&lt;&gt;""),AND(DN7&gt;=DO$16,DN7&lt;&gt;"",DM7&gt;=DO$13,DM7&lt;&gt;""),AND(EH7&gt;=EI$16,EH7&lt;&gt;"",EG7&gt;=EI$13,EG7&lt;&gt;""),AND(FB7&gt;=FC$16,FB7&lt;&gt;"",FA7&gt;=FC$13,FA7&lt;&gt;""),AND(FV7&gt;=FW$16,FV7&lt;&gt;"",FU7&gt;=FW$13,FU7&lt;&gt;""),AND(GP7&gt;=GQ$16,GP7&lt;&gt;"",GO7&gt;=GQ$13,GO7&lt;&gt;""),AND(HJ7&gt;=HK$16,HJ7&lt;&gt;"",HI7&gt;=HK$13,HI7&lt;&gt;""),AND(ID7&gt;=IE$16,ID7&lt;&gt;"",IC7&gt;=IE$13,IC7&lt;&gt;""),AND(IX7&gt;=IY$16,IX7&lt;&gt;"",IW7&gt;=IY$13,IW7&lt;&gt;""),AND(JR7&gt;=JS$16,JR7&lt;&gt;"",JQ7&gt;=JS$13,JQ7&lt;&gt;""),AND(KL7&gt;=KM$16,KL7&lt;&gt;"",KK7&gt;=KM$13,KK7&lt;&gt;"")),"Excellence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Worlds Team",IF(OR(AND(AI7&gt;=AJ$14,AI7&lt;&gt;"",AH7&gt;=AJ$12,AH7&lt;&gt;"",AG7=""),AND(BD7&gt;=BE$14,BD7&lt;&gt;"",BC7&gt;=BE$12,BC7&lt;&gt;"",BB7=""),AND(BZ7&gt;=CA$14,BZ7&lt;&gt;"",BY7&gt;=CA$12,BY7&lt;&gt;""),AND(CT7&gt;=CU$14,CT7&lt;&gt;"",CS7&gt;=CU$12,CS7&lt;&gt;""),AND(DN7&gt;=DO$14,DN7&lt;&gt;"",DM7&gt;=DO$12,DM7&lt;&gt;""),AND(EH7&gt;=EI$14,EH7&lt;&gt;"",EG7&gt;=EI$12,EG7&lt;&gt;""),AND(FB7&gt;=FC$14,FB7&lt;&gt;"",FA7&gt;=FC$12,FA7&lt;&gt;""),AND(FV7&gt;=FW$14,FV7&lt;&gt;"",FU7&gt;=FW$12,FU7&lt;&gt;""),AND(GP7&gt;=GQ$14,GP7&lt;&gt;"",GO7&gt;=GQ$12,GO7&lt;&gt;""),AND(HJ7&gt;=HK$14,HJ7&lt;&gt;"",HI7&gt;=HK$12,HI7&lt;&gt;""),AND(ID7&gt;=IE$14,ID7&lt;&gt;"",IC7&gt;=IE$12,IC7&lt;&gt;""),AND(IX7&gt;=IY$14,IX7&lt;&gt;"",IW7&gt;=IY$12,IW7&lt;&gt;""),AND(JR7&gt;=JS$14,JR7&lt;&gt;"",JQ7&gt;=JS$12,JQ7&lt;&gt;""),AND(KL7&gt;=KM$14,KL7&lt;&gt;"",KK7&gt;=KM$12,KK7&lt;&gt;"")),"National Team","")))))</f>
        <v/>
      </c>
      <c r="J7" s="15">
        <f>IF(MAX(AI7,BD7)&gt;0,MAX(AI7,BD7),"")</f>
        <v>61.9</v>
      </c>
      <c r="K7" s="15" t="str">
        <f>IF(J7="","",IF(J7=BD7,$AL$1,IF(J7=AI7,$Q$1,"")))</f>
        <v>2018 Nationals</v>
      </c>
      <c r="L7" s="15">
        <f>IF(MAX(AJ7,BE7)&gt;0,MAX(AJ7,BE7),"")</f>
        <v>61.8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25.4</v>
      </c>
      <c r="R7" s="63">
        <v>5.2</v>
      </c>
      <c r="S7" s="63">
        <v>0</v>
      </c>
      <c r="T7" s="63">
        <v>0</v>
      </c>
      <c r="U7" s="63">
        <v>26.3</v>
      </c>
      <c r="V7" s="63">
        <v>5</v>
      </c>
      <c r="W7" s="63">
        <v>0</v>
      </c>
      <c r="X7" s="63">
        <v>0</v>
      </c>
      <c r="Y7" s="63">
        <v>26</v>
      </c>
      <c r="Z7" s="63">
        <v>5.2</v>
      </c>
      <c r="AA7" s="63">
        <v>0</v>
      </c>
      <c r="AB7" s="63">
        <v>0</v>
      </c>
      <c r="AC7" s="63">
        <v>25.6</v>
      </c>
      <c r="AD7" s="63">
        <v>5</v>
      </c>
      <c r="AE7" s="63">
        <v>0</v>
      </c>
      <c r="AF7" s="63">
        <v>0</v>
      </c>
      <c r="AG7" s="74"/>
      <c r="AH7" s="12">
        <f>IF(SUM(R7,V7)&gt;0,SUM(R7,V7),"")</f>
        <v>10.199999999999999</v>
      </c>
      <c r="AI7" s="12">
        <f>IF(SUM(Q7:R7,T7:V7,X7)-S7-W7&gt;0,SUM(Q7:R7,T7:V7,X7)-S7-W7,"")</f>
        <v>61.9</v>
      </c>
      <c r="AJ7" s="12">
        <f>IF(SUM(Y7:Z7,AB7:AD7,AF7)-SUM(AA7,AE7)&gt;0,SUM(Y7:Z7,AB7:AD7,AF7)-SUM(AA7,AE7),"")</f>
        <v>61.8</v>
      </c>
      <c r="AK7" s="12">
        <f>IF(SUM(AI7,AJ7)&gt;0,SUM(AI7,AJ7),"")</f>
        <v>123.69999999999999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>IF(SUM(BJ7,BN7)&gt;0,SUM(BJ7,BN7),"")</f>
        <v/>
      </c>
      <c r="BZ7" s="12" t="str">
        <f>IF(SUM(BI7:BJ7,BL7:BN7,BP7)-BK7-BO7&gt;0,SUM(BI7:BJ7,BL7:BN7,BP7)-BK7-BO7,"")</f>
        <v/>
      </c>
      <c r="CA7" s="12" t="str">
        <f>IF(SUM(BQ7:BR7,BT7:BV7,BX7)-SUM(BS7,BW7)&gt;0,SUM(BQ7:BR7,BT7:BV7,BX7)-SUM(BS7,BW7),"")</f>
        <v/>
      </c>
      <c r="CB7" s="12" t="str">
        <f>IF(SUM(BZ7,CA7)&gt;0,SUM(BZ7,CA7),"")</f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12.7</v>
      </c>
      <c r="KP7" s="63">
        <f t="shared" si="0"/>
        <v>2.6</v>
      </c>
      <c r="KQ7" s="63">
        <f t="shared" si="0"/>
        <v>0</v>
      </c>
      <c r="KR7" s="63">
        <f t="shared" si="0"/>
        <v>0</v>
      </c>
      <c r="KS7" s="63">
        <f t="shared" si="0"/>
        <v>13.15</v>
      </c>
      <c r="KT7" s="63">
        <f t="shared" si="0"/>
        <v>2.5</v>
      </c>
      <c r="KU7" s="63">
        <f t="shared" si="0"/>
        <v>0</v>
      </c>
      <c r="KV7" s="63">
        <f t="shared" si="0"/>
        <v>0</v>
      </c>
      <c r="KW7" s="63">
        <f t="shared" si="0"/>
        <v>13</v>
      </c>
      <c r="KX7" s="63">
        <f t="shared" si="0"/>
        <v>2.6</v>
      </c>
      <c r="KY7" s="63">
        <f t="shared" si="0"/>
        <v>0</v>
      </c>
      <c r="KZ7" s="63">
        <f t="shared" si="0"/>
        <v>0</v>
      </c>
      <c r="LA7" s="63">
        <f t="shared" si="0"/>
        <v>12.8</v>
      </c>
      <c r="LB7" s="63">
        <f t="shared" si="0"/>
        <v>2.5</v>
      </c>
      <c r="LC7" s="63">
        <f t="shared" si="0"/>
        <v>0</v>
      </c>
      <c r="LD7" s="63">
        <f t="shared" si="0"/>
        <v>0</v>
      </c>
      <c r="LE7" s="74" t="s">
        <v>119</v>
      </c>
      <c r="LF7" s="12">
        <f t="shared" si="5"/>
        <v>5.0999999999999996</v>
      </c>
      <c r="LG7" s="12">
        <f t="shared" si="6"/>
        <v>30.95</v>
      </c>
      <c r="LH7" s="12">
        <f t="shared" si="7"/>
        <v>30.9</v>
      </c>
      <c r="LI7" s="12">
        <f t="shared" si="8"/>
        <v>61.849999999999994</v>
      </c>
    </row>
    <row r="8" spans="1:321" x14ac:dyDescent="0.2">
      <c r="A8" s="6" t="str">
        <f>IF(AND(F8="P",H8="P"),SUMPRODUCT((F$4:F$10="P")*(H$4:H$10="P")*(E$4:E$10&gt;E8))+1,IF(H8="P",SUMPRODUCT((F$4:F$10="")*(H$4:H$10="P")*(E$4:E$10&gt;E8))+1+SUMPRODUCT((F$4:F$10="P")*(H$4:H$10="P")),""))</f>
        <v/>
      </c>
      <c r="B8" s="7" t="s">
        <v>86</v>
      </c>
      <c r="C8" s="8" t="s">
        <v>4</v>
      </c>
      <c r="D8" s="27">
        <v>2002</v>
      </c>
      <c r="E8" s="16">
        <f>SUM(J8:N8)</f>
        <v>122.60000000000001</v>
      </c>
      <c r="F8" s="4" t="str">
        <f>IF(OR(AND(AH8&gt;=AJ$12,AI8&gt;=AJ$14,AI8&lt;&gt;"",AG8=""),AND(BC8&gt;=BE$12,BD8&gt;=BE$14,BD8&lt;&gt;"",BB8=""),AND(BY8&gt;=CA$12,BZ8&gt;=CA$14,BZ8&lt;&gt;""),AND(CS8&gt;=CU$12,CT8&gt;=CU$14,CT8&lt;&gt;""),AND(DM8&gt;=DO$12,DN8&gt;=DO$14,DN8&lt;&gt;""),AND(EG8&gt;=EI$12,EH8&gt;=EI$14,EH8&lt;&gt;""),AND(FA8&gt;=FC$12,FB8&gt;=FC$14,FB8&lt;&gt;""),AND(FU8&gt;=FW$12,FV8&gt;=FW$14,FV8&lt;&gt;""),AND(GO8&gt;=GQ$12,GP8&gt;=GQ$14,GP8&lt;&gt;""),AND(HI8&gt;=HK$12,HJ8&gt;=HK$14,HJ8&lt;&gt;""),AND(IC8&gt;=IE$12,ID8&gt;=IE$14,ID8&lt;&gt;""),AND(IW8&gt;=IY$12,IX8&gt;=IY$14,IX8&lt;&gt;""),AND(JQ8&gt;=JS$12,JR8&gt;=JS$14,JR8&lt;&gt;""),AND(KK8&gt;=KM$12,KL8&gt;=KM$14,KL8&lt;&gt;"")),"P","")</f>
        <v/>
      </c>
      <c r="G8" s="4" t="str">
        <f>IF(OR(AND(AH8&gt;=AJ$12,AI8&gt;=AJ$15,AI8&lt;&gt;"",AG8=""),AND(BC8&gt;=BE$12,BD8&gt;=BE$15,BD8&lt;&gt;"",BB8=""),AND(BY8&gt;=CA$12,BZ8&gt;=CA$15,BZ8&lt;&gt;""),AND(CS8&gt;=CU$12,CT8&gt;=CU$15,CT8&lt;&gt;""),AND(DM8&gt;=DO$12,DN8&gt;=DO$15,DN8&lt;&gt;""),AND(EG8&gt;=EI$12,EH8&gt;=EI$15,EH8&lt;&gt;""),AND(FA8&gt;=FC$12,FB8&gt;=FC$15,FB8&lt;&gt;""),AND(FU8&gt;=FW$12,FV8&gt;=FW$15,FV8&lt;&gt;""),AND(GO8&gt;=GQ$12,GP8&gt;=GQ$15,GP8&lt;&gt;""),AND(HI8&gt;=HK$12,HJ8&gt;=HK$15,HJ8&lt;&gt;""),AND(IC8&gt;=IE$12,ID8&gt;=IE$15,ID8&lt;&gt;""),AND(IW8&gt;=IY$12,IX8&gt;=IY$15,IX8&lt;&gt;""),AND(JQ8&gt;=JS$12,JR8&gt;=JS$15,JR8&lt;&gt;""),AND(KK8&gt;=KM$12,KL8&gt;=KM$15,KL8&lt;&gt;"")),"P","")</f>
        <v/>
      </c>
      <c r="H8" s="4" t="str">
        <f>IF(OR(AND(AI8&gt;=AJ$14,AI8&lt;&gt;"",AG8=""),AND(BD8&gt;=BE$14,BD8&lt;&gt;"",BB8=""),AND(BZ8&gt;=CA$14,BZ8&lt;&gt;""),AND(CT8&gt;=CU$14,CT8&lt;&gt;""),AND(DN8&gt;=DO$14,DN8&lt;&gt;""),AND(EH8&gt;=EI$14,EH8&lt;&gt;""),AND(FB8&gt;=FC$14,FB8&lt;&gt;""),AND(FV8&gt;=FW$14,FV8&lt;&gt;""),AND(GP8&gt;=GQ$14,GP8&lt;&gt;""),AND(HJ8&gt;=HK$14,HJ8&lt;&gt;""),AND(ID8&gt;=IE$14,ID8&lt;&gt;""),AND(IX8&gt;=IY$14,IX8&lt;&gt;""),AND(JR8&gt;=JS$14,JR8&lt;&gt;""),AND(KL8&gt;=KM$14,KL8&lt;&gt;"")),"P","")</f>
        <v/>
      </c>
      <c r="I8" t="str">
        <f>IF(AND(H8="P",F8=""),"No DD",IF(OR(AND(AI8&gt;=AJ$17,AI8&lt;&gt;"",AH8&gt;=AJ$13,AH8&lt;&gt;"",AG8=""),AND(BD8&gt;=BE$17,BD8&lt;&gt;"",BC8&gt;=BE$13,BC8&lt;&gt;"",BB8=""),AND(BZ8&gt;=CA$17,BZ8&lt;&gt;"",BY8&gt;=CA$13,BY8&lt;&gt;""),AND(CT8&gt;=CU$17,CT8&lt;&gt;"",CS8&gt;=CU$13,CS8&lt;&gt;""),AND(DN8&gt;=DO$17,DN8&lt;&gt;"",DM8&gt;=DO$13,DM8&lt;&gt;""),AND(EH8&gt;=EI$17,EH8&lt;&gt;"",EG8&gt;=EI$13,EG8&lt;&gt;""),AND(FB8&gt;=FC$17,FB8&lt;&gt;"",FA8&gt;=FC$13,FA8&lt;&gt;""),AND(FV8&gt;=FW$17,FV8&lt;&gt;"",FU8&gt;=FW$13,FU8&lt;&gt;""),AND(GP8&gt;=GQ$17,GP8&lt;&gt;"",GO8&gt;=GQ$13,GO8&lt;&gt;""),AND(HJ8&gt;=HK$17,HJ8&lt;&gt;"",HI8&gt;=HK$13,HI8&lt;&gt;""),AND(ID8&gt;=IE$17,ID8&lt;&gt;"",IC8&gt;=IE$13,IC8&lt;&gt;""),AND(IX8&gt;=IY$17,IX8&lt;&gt;"",IW8&gt;=IY$13,IW8&lt;&gt;""),AND(JR8&gt;=JS$17,JR8&lt;&gt;"",JQ8&gt;=JS$13,JQ8&lt;&gt;""),AND(KL8&gt;=KM$17,KL8&lt;&gt;"",KK8&gt;=KM$13,KK8&lt;&gt;"")),"Merit",IF(OR(AND(AI8&gt;=AJ$16,AI8&lt;&gt;"",AH8&gt;=AJ$13,AH8&lt;&gt;"",AG8=""),AND(BD8&gt;=BE$16,BD8&lt;&gt;"",BC8&gt;=BE$13,BC8&lt;&gt;"",BB8=""),AND(BZ8&gt;=CA$16,BZ8&lt;&gt;"",BY8&gt;=CA$13,BY8&lt;&gt;""),AND(CT8&gt;=CU$16,CT8&lt;&gt;"",CS8&gt;=CU$13,CS8&lt;&gt;""),AND(DN8&gt;=DO$16,DN8&lt;&gt;"",DM8&gt;=DO$13,DM8&lt;&gt;""),AND(EH8&gt;=EI$16,EH8&lt;&gt;"",EG8&gt;=EI$13,EG8&lt;&gt;""),AND(FB8&gt;=FC$16,FB8&lt;&gt;"",FA8&gt;=FC$13,FA8&lt;&gt;""),AND(FV8&gt;=FW$16,FV8&lt;&gt;"",FU8&gt;=FW$13,FU8&lt;&gt;""),AND(GP8&gt;=GQ$16,GP8&lt;&gt;"",GO8&gt;=GQ$13,GO8&lt;&gt;""),AND(HJ8&gt;=HK$16,HJ8&lt;&gt;"",HI8&gt;=HK$13,HI8&lt;&gt;""),AND(ID8&gt;=IE$16,ID8&lt;&gt;"",IC8&gt;=IE$13,IC8&lt;&gt;""),AND(IX8&gt;=IY$16,IX8&lt;&gt;"",IW8&gt;=IY$13,IW8&lt;&gt;""),AND(JR8&gt;=JS$16,JR8&lt;&gt;"",JQ8&gt;=JS$13,JQ8&lt;&gt;""),AND(KL8&gt;=KM$16,KL8&lt;&gt;"",KK8&gt;=KM$13,KK8&lt;&gt;"")),"Excellence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Worlds Team",IF(OR(AND(AI8&gt;=AJ$14,AI8&lt;&gt;"",AH8&gt;=AJ$12,AH8&lt;&gt;"",AG8=""),AND(BD8&gt;=BE$14,BD8&lt;&gt;"",BC8&gt;=BE$12,BC8&lt;&gt;"",BB8=""),AND(BZ8&gt;=CA$14,BZ8&lt;&gt;"",BY8&gt;=CA$12,BY8&lt;&gt;""),AND(CT8&gt;=CU$14,CT8&lt;&gt;"",CS8&gt;=CU$12,CS8&lt;&gt;""),AND(DN8&gt;=DO$14,DN8&lt;&gt;"",DM8&gt;=DO$12,DM8&lt;&gt;""),AND(EH8&gt;=EI$14,EH8&lt;&gt;"",EG8&gt;=EI$12,EG8&lt;&gt;""),AND(FB8&gt;=FC$14,FB8&lt;&gt;"",FA8&gt;=FC$12,FA8&lt;&gt;""),AND(FV8&gt;=FW$14,FV8&lt;&gt;"",FU8&gt;=FW$12,FU8&lt;&gt;""),AND(GP8&gt;=GQ$14,GP8&lt;&gt;"",GO8&gt;=GQ$12,GO8&lt;&gt;""),AND(HJ8&gt;=HK$14,HJ8&lt;&gt;"",HI8&gt;=HK$12,HI8&lt;&gt;""),AND(ID8&gt;=IE$14,ID8&lt;&gt;"",IC8&gt;=IE$12,IC8&lt;&gt;""),AND(IX8&gt;=IY$14,IX8&lt;&gt;"",IW8&gt;=IY$12,IW8&lt;&gt;""),AND(JR8&gt;=JS$14,JR8&lt;&gt;"",JQ8&gt;=JS$12,JQ8&lt;&gt;""),AND(KL8&gt;=KM$14,KL8&lt;&gt;"",KK8&gt;=KM$12,KK8&lt;&gt;"")),"National Team","")))))</f>
        <v/>
      </c>
      <c r="J8" s="15">
        <f>IF(MAX(AI8,BD8)&gt;0,MAX(AI8,BD8),"")</f>
        <v>60.800000000000004</v>
      </c>
      <c r="K8" s="15" t="str">
        <f>IF(J8="","",IF(J8=BD8,$AL$1,IF(J8=AI8,$Q$1,"")))</f>
        <v>2018 Nationals</v>
      </c>
      <c r="L8" s="15">
        <f>IF(MAX(AJ8,BE8)&gt;0,MAX(AJ8,BE8),"")</f>
        <v>61.800000000000004</v>
      </c>
      <c r="M8" s="15" t="str">
        <f>IF(L8="","",IF(L8=BE8,$AL$1,IF(L8=AJ8,$Q$1,"")))</f>
        <v>2019 Elite Canada</v>
      </c>
      <c r="N8" s="15" t="str">
        <f>IF(MAX(BG8:BH8)&gt;0,MAX(BG8:BH8),"")</f>
        <v/>
      </c>
      <c r="O8" s="25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2">
        <v>25.1</v>
      </c>
      <c r="R8" s="42">
        <v>5.0999999999999996</v>
      </c>
      <c r="S8" s="42">
        <v>0.3</v>
      </c>
      <c r="T8" s="42">
        <v>0</v>
      </c>
      <c r="U8" s="42">
        <v>25.8</v>
      </c>
      <c r="V8" s="42">
        <v>5.0999999999999996</v>
      </c>
      <c r="W8" s="42">
        <v>0</v>
      </c>
      <c r="X8" s="42">
        <v>0</v>
      </c>
      <c r="Y8" s="42">
        <v>25.1</v>
      </c>
      <c r="Z8" s="42">
        <v>5.7</v>
      </c>
      <c r="AA8" s="42">
        <v>0</v>
      </c>
      <c r="AB8" s="42">
        <v>0</v>
      </c>
      <c r="AC8" s="42">
        <v>25.8</v>
      </c>
      <c r="AD8" s="42">
        <v>4.0999999999999996</v>
      </c>
      <c r="AE8" s="42">
        <v>0</v>
      </c>
      <c r="AF8" s="42">
        <v>0</v>
      </c>
      <c r="AG8" s="74"/>
      <c r="AH8" s="12">
        <f>IF(SUM(R8,V8)&gt;0,SUM(R8,V8),"")</f>
        <v>10.199999999999999</v>
      </c>
      <c r="AI8" s="12">
        <f>IF(SUM(Q8:R8,T8:V8,X8)-S8-W8&gt;0,SUM(Q8:R8,T8:V8,X8)-S8-W8,"")</f>
        <v>60.800000000000004</v>
      </c>
      <c r="AJ8" s="12">
        <f>IF(SUM(Y8:Z8,AB8:AD8,AF8)-SUM(AA8,AE8)&gt;0,SUM(Y8:Z8,AB8:AD8,AF8)-SUM(AA8,AE8),"")</f>
        <v>60.7</v>
      </c>
      <c r="AK8" s="12">
        <f>IF(SUM(AI8,AJ8)&gt;0,SUM(AI8,AJ8),"")</f>
        <v>121.5</v>
      </c>
      <c r="AL8" s="37">
        <v>22.7</v>
      </c>
      <c r="AM8" s="37">
        <v>2.7</v>
      </c>
      <c r="AN8" s="37">
        <v>0</v>
      </c>
      <c r="AO8" s="37">
        <v>0</v>
      </c>
      <c r="AP8" s="37">
        <v>26</v>
      </c>
      <c r="AQ8" s="37">
        <v>4.7</v>
      </c>
      <c r="AR8" s="37">
        <v>0</v>
      </c>
      <c r="AS8" s="37">
        <v>0</v>
      </c>
      <c r="AT8" s="37">
        <v>25.1</v>
      </c>
      <c r="AU8" s="37">
        <v>5.7</v>
      </c>
      <c r="AV8" s="37">
        <v>0</v>
      </c>
      <c r="AW8" s="37">
        <v>0</v>
      </c>
      <c r="AX8" s="37">
        <v>26.3</v>
      </c>
      <c r="AY8" s="37">
        <v>4.7</v>
      </c>
      <c r="AZ8" s="37">
        <v>0</v>
      </c>
      <c r="BA8" s="37">
        <v>0</v>
      </c>
      <c r="BB8" s="75"/>
      <c r="BC8" s="15">
        <f>IF(SUM(AM8,AQ8)&gt;0,SUM(AM8,AQ8),"")</f>
        <v>7.4</v>
      </c>
      <c r="BD8" s="15">
        <f>IF(SUM(AL8:AM8,AO8:AQ8,AS8)-AN8-AR8&gt;0,SUM(AL8:AM8,AO8:AQ8,AS8)-AN8-AR8,"")</f>
        <v>56.1</v>
      </c>
      <c r="BE8" s="15">
        <f>IF(SUM(AT8:AU8,AW8:AY8,BA8)-SUM(AV8,AZ8)&gt;0,SUM(AT8:AU8,AW8:AY8,BA8)-SUM(AV8,AZ8),"")</f>
        <v>61.800000000000004</v>
      </c>
      <c r="BF8" s="15">
        <f>IF(SUM(BD8,BE8)&gt;0,SUM(BD8,BE8),"")</f>
        <v>117.9</v>
      </c>
      <c r="BG8" s="24" t="str">
        <f>IF(MAX(BY8,CS8,DM8,EG8,FA8,FU8,GO8,HI8,IC8,IW8,JQ8,KK8)-IF(J8="",0,J8)&gt;0.001,MAX(BY8,CS8,DM8,EG8,FA8,FU8,GO8,HI8,IC8,IW8,JQ8,KK8)-IF(J8="",0,J8),"")</f>
        <v/>
      </c>
      <c r="BH8" s="24" t="str">
        <f>IF(MAX(CA8,CU8,DO8,EI8,FC8,FW8,GQ8,HK8,IE8,IY8,JS8,KM8)-IF(L8="",0,L8)&gt;0.001,MAX(CA8,CU8,DO8,EI8,FC8,FW8,GQ8,HK8,IE8,IY8,JS8,KM8)-IF(L8="",0,L8),"")</f>
        <v/>
      </c>
      <c r="BI8" s="36">
        <v>23.6</v>
      </c>
      <c r="BJ8" s="36">
        <v>5.5</v>
      </c>
      <c r="BK8" s="36">
        <v>0</v>
      </c>
      <c r="BL8" s="36">
        <v>0</v>
      </c>
      <c r="BM8" s="36">
        <v>26.8</v>
      </c>
      <c r="BN8" s="36">
        <v>5.5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>IF(SUM(BJ8,BN8)&gt;0,SUM(BJ8,BN8),"")</f>
        <v>11</v>
      </c>
      <c r="BZ8" s="12">
        <f>IF(SUM(BI8:BJ8,BL8:BN8,BP8)-BK8-BO8&gt;0,SUM(BI8:BJ8,BL8:BN8,BP8)-BK8-BO8,"")</f>
        <v>61.400000000000006</v>
      </c>
      <c r="CA8" s="12" t="str">
        <f>IF(SUM(BQ8:BR8,BT8:BV8,BX8)-SUM(BS8,BW8)&gt;0,SUM(BQ8:BR8,BT8:BV8,BX8)-SUM(BS8,BW8),"")</f>
        <v/>
      </c>
      <c r="CB8" s="12">
        <f>IF(SUM(BZ8,CA8)&gt;0,SUM(BZ8,CA8),"")</f>
        <v>61.400000000000006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63">
        <f t="shared" si="4"/>
        <v>23.9</v>
      </c>
      <c r="KP8" s="63">
        <f t="shared" si="0"/>
        <v>3.9</v>
      </c>
      <c r="KQ8" s="63">
        <f t="shared" si="0"/>
        <v>0.15</v>
      </c>
      <c r="KR8" s="63">
        <f t="shared" si="0"/>
        <v>0</v>
      </c>
      <c r="KS8" s="63">
        <f t="shared" si="0"/>
        <v>25.9</v>
      </c>
      <c r="KT8" s="63">
        <f t="shared" si="0"/>
        <v>4.9000000000000004</v>
      </c>
      <c r="KU8" s="63">
        <f t="shared" si="0"/>
        <v>0</v>
      </c>
      <c r="KV8" s="63">
        <f t="shared" si="0"/>
        <v>0</v>
      </c>
      <c r="KW8" s="63">
        <f t="shared" si="0"/>
        <v>25.1</v>
      </c>
      <c r="KX8" s="63">
        <f t="shared" si="0"/>
        <v>5.7</v>
      </c>
      <c r="KY8" s="63">
        <f t="shared" si="0"/>
        <v>0</v>
      </c>
      <c r="KZ8" s="63">
        <f t="shared" si="0"/>
        <v>0</v>
      </c>
      <c r="LA8" s="63">
        <f t="shared" si="0"/>
        <v>26.05</v>
      </c>
      <c r="LB8" s="63">
        <f t="shared" si="0"/>
        <v>4.4000000000000004</v>
      </c>
      <c r="LC8" s="63">
        <f t="shared" si="0"/>
        <v>0</v>
      </c>
      <c r="LD8" s="63">
        <f t="shared" si="0"/>
        <v>0</v>
      </c>
      <c r="LE8" s="74" t="s">
        <v>119</v>
      </c>
      <c r="LF8" s="12">
        <f t="shared" si="5"/>
        <v>8.8000000000000007</v>
      </c>
      <c r="LG8" s="12">
        <f t="shared" si="6"/>
        <v>58.449999999999996</v>
      </c>
      <c r="LH8" s="12">
        <f t="shared" si="7"/>
        <v>61.25</v>
      </c>
      <c r="LI8" s="12">
        <f t="shared" si="8"/>
        <v>119.69999999999999</v>
      </c>
    </row>
    <row r="9" spans="1:321" x14ac:dyDescent="0.2">
      <c r="A9" s="6" t="str">
        <f>IF(AND(F9="P",H9="P"),SUMPRODUCT((F$4:F$10="P")*(H$4:H$10="P")*(E$4:E$10&gt;E9))+1,IF(H9="P",SUMPRODUCT((F$4:F$10="")*(H$4:H$10="P")*(E$4:E$10&gt;E9))+1+SUMPRODUCT((F$4:F$10="P")*(H$4:H$10="P")),""))</f>
        <v/>
      </c>
      <c r="B9" s="7" t="s">
        <v>110</v>
      </c>
      <c r="C9" s="8" t="s">
        <v>4</v>
      </c>
      <c r="D9" s="27">
        <v>1997</v>
      </c>
      <c r="E9" s="16">
        <f>SUM(J9:N9)</f>
        <v>111</v>
      </c>
      <c r="F9" s="4" t="str">
        <f>IF(OR(AND(AH9&gt;=AJ$12,AI9&gt;=AJ$14,AI9&lt;&gt;"",AG9=""),AND(BC9&gt;=BE$12,BD9&gt;=BE$14,BD9&lt;&gt;"",BB9=""),AND(BY9&gt;=CA$12,BZ9&gt;=CA$14,BZ9&lt;&gt;""),AND(CS9&gt;=CU$12,CT9&gt;=CU$14,CT9&lt;&gt;""),AND(DM9&gt;=DO$12,DN9&gt;=DO$14,DN9&lt;&gt;""),AND(EG9&gt;=EI$12,EH9&gt;=EI$14,EH9&lt;&gt;""),AND(FA9&gt;=FC$12,FB9&gt;=FC$14,FB9&lt;&gt;""),AND(FU9&gt;=FW$12,FV9&gt;=FW$14,FV9&lt;&gt;""),AND(GO9&gt;=GQ$12,GP9&gt;=GQ$14,GP9&lt;&gt;""),AND(HI9&gt;=HK$12,HJ9&gt;=HK$14,HJ9&lt;&gt;""),AND(IC9&gt;=IE$12,ID9&gt;=IE$14,ID9&lt;&gt;""),AND(IW9&gt;=IY$12,IX9&gt;=IY$14,IX9&lt;&gt;""),AND(JQ9&gt;=JS$12,JR9&gt;=JS$14,JR9&lt;&gt;""),AND(KK9&gt;=KM$12,KL9&gt;=KM$14,KL9&lt;&gt;"")),"P","")</f>
        <v/>
      </c>
      <c r="G9" s="4" t="str">
        <f>IF(OR(AND(AH9&gt;=AJ$12,AI9&gt;=AJ$15,AI9&lt;&gt;"",AG9=""),AND(BC9&gt;=BE$12,BD9&gt;=BE$15,BD9&lt;&gt;"",BB9=""),AND(BY9&gt;=CA$12,BZ9&gt;=CA$15,BZ9&lt;&gt;""),AND(CS9&gt;=CU$12,CT9&gt;=CU$15,CT9&lt;&gt;""),AND(DM9&gt;=DO$12,DN9&gt;=DO$15,DN9&lt;&gt;""),AND(EG9&gt;=EI$12,EH9&gt;=EI$15,EH9&lt;&gt;""),AND(FA9&gt;=FC$12,FB9&gt;=FC$15,FB9&lt;&gt;""),AND(FU9&gt;=FW$12,FV9&gt;=FW$15,FV9&lt;&gt;""),AND(GO9&gt;=GQ$12,GP9&gt;=GQ$15,GP9&lt;&gt;""),AND(HI9&gt;=HK$12,HJ9&gt;=HK$15,HJ9&lt;&gt;""),AND(IC9&gt;=IE$12,ID9&gt;=IE$15,ID9&lt;&gt;""),AND(IW9&gt;=IY$12,IX9&gt;=IY$15,IX9&lt;&gt;""),AND(JQ9&gt;=JS$12,JR9&gt;=JS$15,JR9&lt;&gt;""),AND(KK9&gt;=KM$12,KL9&gt;=KM$15,KL9&lt;&gt;"")),"P","")</f>
        <v/>
      </c>
      <c r="H9" s="4" t="str">
        <f>IF(OR(AND(AI9&gt;=AJ$14,AI9&lt;&gt;"",AG9=""),AND(BD9&gt;=BE$14,BD9&lt;&gt;"",BB9=""),AND(BZ9&gt;=CA$14,BZ9&lt;&gt;""),AND(CT9&gt;=CU$14,CT9&lt;&gt;""),AND(DN9&gt;=DO$14,DN9&lt;&gt;""),AND(EH9&gt;=EI$14,EH9&lt;&gt;""),AND(FB9&gt;=FC$14,FB9&lt;&gt;""),AND(FV9&gt;=FW$14,FV9&lt;&gt;""),AND(GP9&gt;=GQ$14,GP9&lt;&gt;""),AND(HJ9&gt;=HK$14,HJ9&lt;&gt;""),AND(ID9&gt;=IE$14,ID9&lt;&gt;""),AND(IX9&gt;=IY$14,IX9&lt;&gt;""),AND(JR9&gt;=JS$14,JR9&lt;&gt;""),AND(KL9&gt;=KM$14,KL9&lt;&gt;"")),"P","")</f>
        <v/>
      </c>
      <c r="I9" t="str">
        <f>IF(AND(H9="P",F9=""),"No DD",IF(OR(AND(AI9&gt;=AJ$17,AI9&lt;&gt;"",AH9&gt;=AJ$13,AH9&lt;&gt;"",AG9=""),AND(BD9&gt;=BE$17,BD9&lt;&gt;"",BC9&gt;=BE$13,BC9&lt;&gt;"",BB9=""),AND(BZ9&gt;=CA$17,BZ9&lt;&gt;"",BY9&gt;=CA$13,BY9&lt;&gt;""),AND(CT9&gt;=CU$17,CT9&lt;&gt;"",CS9&gt;=CU$13,CS9&lt;&gt;""),AND(DN9&gt;=DO$17,DN9&lt;&gt;"",DM9&gt;=DO$13,DM9&lt;&gt;""),AND(EH9&gt;=EI$17,EH9&lt;&gt;"",EG9&gt;=EI$13,EG9&lt;&gt;""),AND(FB9&gt;=FC$17,FB9&lt;&gt;"",FA9&gt;=FC$13,FA9&lt;&gt;""),AND(FV9&gt;=FW$17,FV9&lt;&gt;"",FU9&gt;=FW$13,FU9&lt;&gt;""),AND(GP9&gt;=GQ$17,GP9&lt;&gt;"",GO9&gt;=GQ$13,GO9&lt;&gt;""),AND(HJ9&gt;=HK$17,HJ9&lt;&gt;"",HI9&gt;=HK$13,HI9&lt;&gt;""),AND(ID9&gt;=IE$17,ID9&lt;&gt;"",IC9&gt;=IE$13,IC9&lt;&gt;""),AND(IX9&gt;=IY$17,IX9&lt;&gt;"",IW9&gt;=IY$13,IW9&lt;&gt;""),AND(JR9&gt;=JS$17,JR9&lt;&gt;"",JQ9&gt;=JS$13,JQ9&lt;&gt;""),AND(KL9&gt;=KM$17,KL9&lt;&gt;"",KK9&gt;=KM$13,KK9&lt;&gt;"")),"Merit",IF(OR(AND(AI9&gt;=AJ$16,AI9&lt;&gt;"",AH9&gt;=AJ$13,AH9&lt;&gt;"",AG9=""),AND(BD9&gt;=BE$16,BD9&lt;&gt;"",BC9&gt;=BE$13,BC9&lt;&gt;"",BB9=""),AND(BZ9&gt;=CA$16,BZ9&lt;&gt;"",BY9&gt;=CA$13,BY9&lt;&gt;""),AND(CT9&gt;=CU$16,CT9&lt;&gt;"",CS9&gt;=CU$13,CS9&lt;&gt;""),AND(DN9&gt;=DO$16,DN9&lt;&gt;"",DM9&gt;=DO$13,DM9&lt;&gt;""),AND(EH9&gt;=EI$16,EH9&lt;&gt;"",EG9&gt;=EI$13,EG9&lt;&gt;""),AND(FB9&gt;=FC$16,FB9&lt;&gt;"",FA9&gt;=FC$13,FA9&lt;&gt;""),AND(FV9&gt;=FW$16,FV9&lt;&gt;"",FU9&gt;=FW$13,FU9&lt;&gt;""),AND(GP9&gt;=GQ$16,GP9&lt;&gt;"",GO9&gt;=GQ$13,GO9&lt;&gt;""),AND(HJ9&gt;=HK$16,HJ9&lt;&gt;"",HI9&gt;=HK$13,HI9&lt;&gt;""),AND(ID9&gt;=IE$16,ID9&lt;&gt;"",IC9&gt;=IE$13,IC9&lt;&gt;""),AND(IX9&gt;=IY$16,IX9&lt;&gt;"",IW9&gt;=IY$13,IW9&lt;&gt;""),AND(JR9&gt;=JS$16,JR9&lt;&gt;"",JQ9&gt;=JS$13,JQ9&lt;&gt;""),AND(KL9&gt;=KM$16,KL9&lt;&gt;"",KK9&gt;=KM$13,KK9&lt;&gt;"")),"Excellence",IF(OR(AND(AI9&gt;=AJ$15,AI9&lt;&gt;"",AH9&gt;=AJ$12,AH9&lt;&gt;"",AG9=""),AND(BD9&gt;=BE$15,BD9&lt;&gt;"",BC9&gt;=BE$12,BC9&lt;&gt;"",BB9=""),AND(BZ9&gt;=CA$15,BZ9&lt;&gt;"",BY9&gt;=CA$12,BY9&lt;&gt;""),AND(CT9&gt;=CU$15,CT9&lt;&gt;"",CS9&gt;=CU$12,CS9&lt;&gt;""),AND(DN9&gt;=DO$15,DN9&lt;&gt;"",DM9&gt;=DO$12,DM9&lt;&gt;""),AND(EH9&gt;=EI$15,EH9&lt;&gt;"",EG9&gt;=EI$12,EG9&lt;&gt;""),AND(FB9&gt;=FC$15,FB9&lt;&gt;"",FA9&gt;=FC$12,FA9&lt;&gt;""),AND(FV9&gt;=FW$15,FV9&lt;&gt;"",FU9&gt;=FW$12,FU9&lt;&gt;""),AND(GP9&gt;=GQ$15,GP9&lt;&gt;"",GO9&gt;=GQ$12,GO9&lt;&gt;""),AND(HJ9&gt;=HK$15,HJ9&lt;&gt;"",HI9&gt;=HK$12,HI9&lt;&gt;""),AND(ID9&gt;=IE$15,ID9&lt;&gt;"",IC9&gt;=IE$12,IC9&lt;&gt;""),AND(IX9&gt;=IY$15,IX9&lt;&gt;"",IW9&gt;=IY$12,IW9&lt;&gt;""),AND(JR9&gt;=JS$15,JR9&lt;&gt;"",JQ9&gt;=JS$12,JQ9&lt;&gt;""),AND(KL9&gt;=KM$15,KL9&lt;&gt;"",KK9&gt;=KM$12,KK9&lt;&gt;"")),"Worlds Team",IF(OR(AND(AI9&gt;=AJ$14,AI9&lt;&gt;"",AH9&gt;=AJ$12,AH9&lt;&gt;"",AG9=""),AND(BD9&gt;=BE$14,BD9&lt;&gt;"",BC9&gt;=BE$12,BC9&lt;&gt;"",BB9=""),AND(BZ9&gt;=CA$14,BZ9&lt;&gt;"",BY9&gt;=CA$12,BY9&lt;&gt;""),AND(CT9&gt;=CU$14,CT9&lt;&gt;"",CS9&gt;=CU$12,CS9&lt;&gt;""),AND(DN9&gt;=DO$14,DN9&lt;&gt;"",DM9&gt;=DO$12,DM9&lt;&gt;""),AND(EH9&gt;=EI$14,EH9&lt;&gt;"",EG9&gt;=EI$12,EG9&lt;&gt;""),AND(FB9&gt;=FC$14,FB9&lt;&gt;"",FA9&gt;=FC$12,FA9&lt;&gt;""),AND(FV9&gt;=FW$14,FV9&lt;&gt;"",FU9&gt;=FW$12,FU9&lt;&gt;""),AND(GP9&gt;=GQ$14,GP9&lt;&gt;"",GO9&gt;=GQ$12,GO9&lt;&gt;""),AND(HJ9&gt;=HK$14,HJ9&lt;&gt;"",HI9&gt;=HK$12,HI9&lt;&gt;""),AND(ID9&gt;=IE$14,ID9&lt;&gt;"",IC9&gt;=IE$12,IC9&lt;&gt;""),AND(IX9&gt;=IY$14,IX9&lt;&gt;"",IW9&gt;=IY$12,IW9&lt;&gt;""),AND(JR9&gt;=JS$14,JR9&lt;&gt;"",JQ9&gt;=JS$12,JQ9&lt;&gt;""),AND(KL9&gt;=KM$14,KL9&lt;&gt;"",KK9&gt;=KM$12,KK9&lt;&gt;"")),"National Team","")))))</f>
        <v/>
      </c>
      <c r="J9" s="15">
        <f>IF(MAX(AI9,BD9)&gt;0,MAX(AI9,BD9),"")</f>
        <v>54.7</v>
      </c>
      <c r="K9" s="15" t="str">
        <f>IF(J9="","",IF(J9=BD9,$AL$1,IF(J9=AI9,$Q$1,"")))</f>
        <v>2018 Nationals</v>
      </c>
      <c r="L9" s="15">
        <f>IF(MAX(AJ9,BE9)&gt;0,MAX(AJ9,BE9),"")</f>
        <v>56.3</v>
      </c>
      <c r="M9" s="15" t="str">
        <f>IF(L9="","",IF(L9=BE9,$AL$1,IF(L9=AJ9,$Q$1,"")))</f>
        <v>2018 Nationals</v>
      </c>
      <c r="N9" s="15" t="str">
        <f>IF(MAX(BG9:BH9)&gt;0,MAX(BG9:BH9),"")</f>
        <v/>
      </c>
      <c r="O9" s="25" t="str">
        <f>IF(N9="","",IF(N9=BG9,"(Prelim)",IF(N9=BH9,"(Final)")))</f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2">
        <v>21.6</v>
      </c>
      <c r="R9" s="42">
        <v>3.5</v>
      </c>
      <c r="S9" s="42">
        <v>0.6</v>
      </c>
      <c r="T9" s="42">
        <v>0</v>
      </c>
      <c r="U9" s="42">
        <v>25.8</v>
      </c>
      <c r="V9" s="42">
        <v>4.4000000000000004</v>
      </c>
      <c r="W9" s="42">
        <v>0</v>
      </c>
      <c r="X9" s="42">
        <v>0</v>
      </c>
      <c r="Y9" s="42">
        <v>24.7</v>
      </c>
      <c r="Z9" s="42">
        <v>3.5</v>
      </c>
      <c r="AA9" s="42">
        <v>0.6</v>
      </c>
      <c r="AB9" s="42">
        <v>0</v>
      </c>
      <c r="AC9" s="42">
        <v>24.8</v>
      </c>
      <c r="AD9" s="42">
        <v>3.9</v>
      </c>
      <c r="AE9" s="42">
        <v>0</v>
      </c>
      <c r="AF9" s="42">
        <v>0</v>
      </c>
      <c r="AG9" s="74"/>
      <c r="AH9" s="12">
        <f>IF(SUM(R9,V9)&gt;0,SUM(R9,V9),"")</f>
        <v>7.9</v>
      </c>
      <c r="AI9" s="12">
        <f>IF(SUM(Q9:R9,T9:V9,X9)-S9-W9&gt;0,SUM(Q9:R9,T9:V9,X9)-S9-W9,"")</f>
        <v>54.7</v>
      </c>
      <c r="AJ9" s="12">
        <f>IF(SUM(Y9:Z9,AB9:AD9,AF9)-SUM(AA9,AE9)&gt;0,SUM(Y9:Z9,AB9:AD9,AF9)-SUM(AA9,AE9),"")</f>
        <v>56.3</v>
      </c>
      <c r="AK9" s="12">
        <f>IF(SUM(AI9,AJ9)&gt;0,SUM(AI9,AJ9),"")</f>
        <v>111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75"/>
      <c r="BC9" s="15" t="str">
        <f>IF(SUM(AM9,AQ9)&gt;0,SUM(AM9,AQ9),"")</f>
        <v/>
      </c>
      <c r="BD9" s="15" t="str">
        <f>IF(SUM(AL9:AM9,AO9:AQ9,AS9)-AN9-AR9&gt;0,SUM(AL9:AM9,AO9:AQ9,AS9)-AN9-AR9,"")</f>
        <v/>
      </c>
      <c r="BE9" s="15" t="str">
        <f>IF(SUM(AT9:AU9,AW9:AY9,BA9)-SUM(AV9,AZ9)&gt;0,SUM(AT9:AU9,AW9:AY9,BA9)-SUM(AV9,AZ9),"")</f>
        <v/>
      </c>
      <c r="BF9" s="15" t="str">
        <f>IF(SUM(BD9,BE9)&gt;0,SUM(BD9,BE9),"")</f>
        <v/>
      </c>
      <c r="BG9" s="24" t="str">
        <f>IF(MAX(BY9,CS9,DM9,EG9,FA9,FU9,GO9,HI9,IC9,IW9,JQ9,KK9)-IF(J9="",0,J9)&gt;0.001,MAX(BY9,CS9,DM9,EG9,FA9,FU9,GO9,HI9,IC9,IW9,JQ9,KK9)-IF(J9="",0,J9),"")</f>
        <v/>
      </c>
      <c r="BH9" s="24" t="str">
        <f>IF(MAX(CA9,CU9,DO9,EI9,FC9,FW9,GQ9,HK9,IE9,IY9,JS9,KM9)-IF(L9="",0,L9)&gt;0.001,MAX(CA9,CU9,DO9,EI9,FC9,FW9,GQ9,HK9,IE9,IY9,JS9,KM9)-IF(L9="",0,L9),"")</f>
        <v/>
      </c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12" t="str">
        <f>IF(SUM(BJ9,BN9)&gt;0,SUM(BJ9,BN9),"")</f>
        <v/>
      </c>
      <c r="BZ9" s="12" t="str">
        <f>IF(SUM(BI9:BJ9,BL9:BN9,BP9)-BK9-BO9&gt;0,SUM(BI9:BJ9,BL9:BN9,BP9)-BK9-BO9,"")</f>
        <v/>
      </c>
      <c r="CA9" s="12" t="str">
        <f>IF(SUM(BQ9:BR9,BT9:BV9,BX9)-SUM(BS9,BW9)&gt;0,SUM(BQ9:BR9,BT9:BV9,BX9)-SUM(BS9,BW9),"")</f>
        <v/>
      </c>
      <c r="CB9" s="12" t="str">
        <f>IF(SUM(BZ9,CA9)&gt;0,SUM(BZ9,CA9),"")</f>
        <v/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>IF(SUM(CD9,CH9)&gt;0,SUM(CD9,CH9),"")</f>
        <v/>
      </c>
      <c r="CT9" s="15" t="str">
        <f>IF(SUM(CC9:CD9,CF9:CH9,CJ9)-CE9-CI9&gt;0,SUM(CC9:CD9,CF9:CH9,CJ9)-CE9-CI9,"")</f>
        <v/>
      </c>
      <c r="CU9" s="15" t="str">
        <f>IF(SUM(CK9:CL9,CN9:CP9,CR9)-SUM(CM9,CQ9)&gt;0,SUM(CK9:CL9,CN9:CP9,CR9)-SUM(CM9,CQ9),"")</f>
        <v/>
      </c>
      <c r="CV9" s="15" t="str">
        <f>IF(SUM(CT9,CU9)&gt;0,SUM(CT9,CU9),"")</f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>IF(SUM(CX9,DB9)&gt;0,SUM(CX9,DB9),"")</f>
        <v/>
      </c>
      <c r="DN9" s="12" t="str">
        <f>IF(SUM(CW9:CX9,CZ9:DB9,DD9)-CY9-DC9&gt;0,SUM(CW9:CX9,CZ9:DB9,DD9)-CY9-DC9,"")</f>
        <v/>
      </c>
      <c r="DO9" s="12" t="str">
        <f>IF(SUM(DE9:DF9,DH9:DJ9,DL9)-SUM(DG9,DK9)&gt;0,SUM(DE9:DF9,DH9:DJ9,DL9)-SUM(DG9,DK9),"")</f>
        <v/>
      </c>
      <c r="DP9" s="12" t="str">
        <f>IF(SUM(DN9,DO9)&gt;0,SUM(DN9,DO9),"")</f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>IF(SUM(DR9,DV9)&gt;0,SUM(DR9,DV9),"")</f>
        <v/>
      </c>
      <c r="EH9" s="15" t="str">
        <f>IF(SUM(DQ9:DR9,DT9:DV9,DX9)-DS9-DW9&gt;0,SUM(DQ9:DR9,DT9:DV9,DX9)-DS9-DW9,"")</f>
        <v/>
      </c>
      <c r="EI9" s="15" t="str">
        <f>IF(SUM(DY9:DZ9,EB9:ED9,EF9)-SUM(EA9,EE9)&gt;0,SUM(DY9:DZ9,EB9:ED9,EF9)-SUM(EA9,EE9),"")</f>
        <v/>
      </c>
      <c r="EJ9" s="15" t="str">
        <f>IF(SUM(EH9,EI9)&gt;0,SUM(EH9,EI9),"")</f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>IF(SUM(EL9,EP9)&gt;0,SUM(EL9,EP9),"")</f>
        <v/>
      </c>
      <c r="FB9" s="12" t="str">
        <f>IF(SUM(EK9:EL9,EN9:EP9,ER9)-EM9-EQ9&gt;0,SUM(EK9:EL9,EN9:EP9,ER9)-EM9-EQ9,"")</f>
        <v/>
      </c>
      <c r="FC9" s="12" t="str">
        <f>IF(SUM(ES9:ET9,EV9:EX9,EZ9)-SUM(EU9,EY9)&gt;0,SUM(ES9:ET9,EV9:EX9,EZ9)-SUM(EU9,EY9),"")</f>
        <v/>
      </c>
      <c r="FD9" s="12" t="str">
        <f>IF(SUM(FB9,FC9)&gt;0,SUM(FB9,FC9),"")</f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>IF(SUM(FF9,FJ9)&gt;0,SUM(FF9,FJ9),"")</f>
        <v/>
      </c>
      <c r="FV9" s="15" t="str">
        <f>IF(SUM(FE9:FF9,FH9:FJ9,FL9)-FG9-FK9&gt;0,SUM(FE9:FF9,FH9:FJ9,FL9)-FG9-FK9,"")</f>
        <v/>
      </c>
      <c r="FW9" s="15" t="str">
        <f>IF(SUM(FM9:FN9,FP9:FR9,FT9)-SUM(FO9,FS9)&gt;0,SUM(FM9:FN9,FP9:FR9,FT9)-SUM(FO9,FS9),"")</f>
        <v/>
      </c>
      <c r="FX9" s="15" t="str">
        <f>IF(SUM(FV9,FW9)&gt;0,SUM(FV9,FW9),"")</f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>IF(SUM(FZ9,GD9)&gt;0,SUM(FZ9,GD9),"")</f>
        <v/>
      </c>
      <c r="GP9" s="12" t="str">
        <f>IF(SUM(FY9:FZ9,GB9:GD9,GF9)-GA9-GE9&gt;0,SUM(FY9:FZ9,GB9:GD9,GF9)-GA9-GE9,"")</f>
        <v/>
      </c>
      <c r="GQ9" s="12" t="str">
        <f>IF(SUM(GG9:GH9,GJ9:GL9,GN9)-SUM(GI9,GM9)&gt;0,SUM(GG9:GH9,GJ9:GL9,GN9)-SUM(GI9,GM9),"")</f>
        <v/>
      </c>
      <c r="GR9" s="12" t="str">
        <f>IF(SUM(GP9,GQ9)&gt;0,SUM(GP9,GQ9),"")</f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>IF(SUM(GT9,GX9)&gt;0,SUM(GT9,GX9),"")</f>
        <v/>
      </c>
      <c r="HJ9" s="15" t="str">
        <f>IF(SUM(GS9:GT9,GV9:GX9,GZ9)-GU9-GY9&gt;0,SUM(GS9:GT9,GV9:GX9,GZ9)-GU9-GY9,"")</f>
        <v/>
      </c>
      <c r="HK9" s="15" t="str">
        <f>IF(SUM(HA9:HB9,HD9:HF9,HH9)-SUM(HC9,HG9)&gt;0,SUM(HA9:HB9,HD9:HF9,HH9)-SUM(HC9,HG9),"")</f>
        <v/>
      </c>
      <c r="HL9" s="15" t="str">
        <f>IF(SUM(HJ9,HK9)&gt;0,SUM(HJ9,HK9),"")</f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>IF(SUM(HN9,HR9)&gt;0,SUM(HN9,HR9),"")</f>
        <v/>
      </c>
      <c r="ID9" s="12" t="str">
        <f>IF(SUM(HM9:HN9,HP9:HR9,HT9)-HO9-HS9&gt;0,SUM(HM9:HN9,HP9:HR9,HT9)-HO9-HS9,"")</f>
        <v/>
      </c>
      <c r="IE9" s="12" t="str">
        <f>IF(SUM(HU9:HV9,HX9:HZ9,IB9)-SUM(HW9,IA9)&gt;0,SUM(HU9:HV9,HX9:HZ9,IB9)-SUM(HW9,IA9),"")</f>
        <v/>
      </c>
      <c r="IF9" s="12" t="str">
        <f>IF(SUM(ID9,IE9)&gt;0,SUM(ID9,IE9),"")</f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>IF(SUM(IH9,IL9)&gt;0,SUM(IH9,IL9),"")</f>
        <v/>
      </c>
      <c r="IX9" s="15" t="str">
        <f>IF(SUM(IG9:IH9,IJ9:IL9,IN9)-II9-IM9&gt;0,SUM(IG9:IH9,IJ9:IL9,IN9)-II9-IM9,"")</f>
        <v/>
      </c>
      <c r="IY9" s="15" t="str">
        <f>IF(SUM(IO9:IP9,IR9:IT9,IV9)-SUM(IQ9,IU9)&gt;0,SUM(IO9:IP9,IR9:IT9,IV9)-SUM(IQ9,IU9),"")</f>
        <v/>
      </c>
      <c r="IZ9" s="15" t="str">
        <f>IF(SUM(IX9,IY9)&gt;0,SUM(IX9,IY9),"")</f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>IF(SUM(JB9,JF9)&gt;0,SUM(JB9,JF9),"")</f>
        <v/>
      </c>
      <c r="JR9" s="12" t="str">
        <f>IF(SUM(JA9:JB9,JD9:JF9,JH9)-JC9-JG9&gt;0,SUM(JA9:JB9,JD9:JF9,JH9)-JC9-JG9,"")</f>
        <v/>
      </c>
      <c r="JS9" s="12" t="str">
        <f>IF(SUM(JI9:JJ9,JL9:JN9,JP9)-SUM(JK9,JO9)&gt;0,SUM(JI9:JJ9,JL9:JN9,JP9)-SUM(JK9,JO9),"")</f>
        <v/>
      </c>
      <c r="JT9" s="12" t="str">
        <f>IF(SUM(JR9,JS9)&gt;0,SUM(JR9,JS9),"")</f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>IF(SUM(JV9,JZ9)&gt;0,SUM(JV9,JZ9),"")</f>
        <v/>
      </c>
      <c r="KL9" s="15" t="str">
        <f>IF(SUM(JU9:JV9,JX9:JZ9,KB9)-JW9-KA9&gt;0,SUM(JU9:JV9,JX9:JZ9,KB9)-JW9-KA9,"")</f>
        <v/>
      </c>
      <c r="KM9" s="15" t="str">
        <f>IF(SUM(KC9:KD9,KF9:KH9,KJ9)-SUM(KE9,KI9)&gt;0,SUM(KC9:KD9,KF9:KH9,KJ9)-SUM(KE9,KI9),"")</f>
        <v/>
      </c>
      <c r="KN9" s="15" t="str">
        <f>IF(SUM(KL9,KM9)&gt;0,SUM(KL9,KM9),"")</f>
        <v/>
      </c>
      <c r="KO9" s="63">
        <f t="shared" si="4"/>
        <v>10.8</v>
      </c>
      <c r="KP9" s="63">
        <f t="shared" si="0"/>
        <v>1.75</v>
      </c>
      <c r="KQ9" s="63">
        <f t="shared" si="0"/>
        <v>0.3</v>
      </c>
      <c r="KR9" s="63">
        <f t="shared" si="0"/>
        <v>0</v>
      </c>
      <c r="KS9" s="63">
        <f t="shared" si="0"/>
        <v>12.9</v>
      </c>
      <c r="KT9" s="63">
        <f t="shared" si="0"/>
        <v>2.2000000000000002</v>
      </c>
      <c r="KU9" s="63">
        <f t="shared" si="0"/>
        <v>0</v>
      </c>
      <c r="KV9" s="63">
        <f t="shared" si="0"/>
        <v>0</v>
      </c>
      <c r="KW9" s="63">
        <f t="shared" si="0"/>
        <v>12.35</v>
      </c>
      <c r="KX9" s="63">
        <f t="shared" si="0"/>
        <v>1.75</v>
      </c>
      <c r="KY9" s="63">
        <f t="shared" si="0"/>
        <v>0.3</v>
      </c>
      <c r="KZ9" s="63">
        <f t="shared" si="0"/>
        <v>0</v>
      </c>
      <c r="LA9" s="63">
        <f t="shared" si="0"/>
        <v>12.4</v>
      </c>
      <c r="LB9" s="63">
        <f t="shared" si="0"/>
        <v>1.95</v>
      </c>
      <c r="LC9" s="63">
        <f t="shared" si="0"/>
        <v>0</v>
      </c>
      <c r="LD9" s="63">
        <f t="shared" si="0"/>
        <v>0</v>
      </c>
      <c r="LE9" s="74" t="s">
        <v>119</v>
      </c>
      <c r="LF9" s="12">
        <f t="shared" si="5"/>
        <v>3.95</v>
      </c>
      <c r="LG9" s="12">
        <f t="shared" si="6"/>
        <v>27.35</v>
      </c>
      <c r="LH9" s="12">
        <f t="shared" si="7"/>
        <v>28.15</v>
      </c>
      <c r="LI9" s="12">
        <f t="shared" si="8"/>
        <v>55.5</v>
      </c>
    </row>
    <row r="10" spans="1:321" x14ac:dyDescent="0.2">
      <c r="D10" s="1"/>
    </row>
    <row r="12" spans="1:321" x14ac:dyDescent="0.2">
      <c r="B12" s="64" t="s">
        <v>51</v>
      </c>
      <c r="AH12" s="50"/>
      <c r="AJ12" s="58">
        <v>10.9</v>
      </c>
      <c r="BC12" s="50"/>
      <c r="BE12" s="58">
        <v>10.9</v>
      </c>
      <c r="BY12" s="50"/>
      <c r="CA12" s="58">
        <v>10.9</v>
      </c>
      <c r="CS12" s="50"/>
      <c r="CU12" s="58">
        <v>10.9</v>
      </c>
      <c r="DM12" s="50"/>
      <c r="DO12" s="58">
        <v>10.9</v>
      </c>
      <c r="EG12" s="50"/>
      <c r="EI12" s="58">
        <v>10.9</v>
      </c>
      <c r="FA12" s="50"/>
      <c r="FC12" s="58">
        <v>10.9</v>
      </c>
      <c r="FU12" s="50"/>
      <c r="FW12" s="77">
        <v>10.9</v>
      </c>
      <c r="GO12" s="50"/>
      <c r="GQ12" s="77">
        <v>10.9</v>
      </c>
      <c r="HI12" s="50"/>
      <c r="HK12" s="77">
        <v>10.9</v>
      </c>
      <c r="IC12" s="50"/>
      <c r="IE12" s="77">
        <v>10.9</v>
      </c>
      <c r="IW12" s="50"/>
      <c r="IY12" s="77">
        <v>10.9</v>
      </c>
      <c r="JQ12" s="50"/>
      <c r="JS12" s="77">
        <v>10.9</v>
      </c>
      <c r="KK12" s="50"/>
      <c r="KM12" s="77">
        <v>10.9</v>
      </c>
    </row>
    <row r="13" spans="1:321" x14ac:dyDescent="0.2">
      <c r="A13" s="50"/>
      <c r="B13" s="91" t="s">
        <v>76</v>
      </c>
      <c r="C13" s="49"/>
      <c r="AH13" s="50"/>
      <c r="AJ13" s="93">
        <v>10.9</v>
      </c>
      <c r="BC13" s="50"/>
      <c r="BE13" s="93">
        <v>10.9</v>
      </c>
      <c r="BY13" s="50"/>
      <c r="CA13" s="93">
        <v>10.9</v>
      </c>
      <c r="CS13" s="50"/>
      <c r="CU13" s="93">
        <v>10.9</v>
      </c>
      <c r="DM13" s="50"/>
      <c r="DO13" s="93">
        <v>10.9</v>
      </c>
      <c r="EG13" s="50"/>
      <c r="EI13" s="93">
        <v>10.9</v>
      </c>
      <c r="FA13" s="50"/>
      <c r="FC13" s="93">
        <v>10.9</v>
      </c>
      <c r="FU13" s="50"/>
      <c r="FW13" s="94">
        <v>10.9</v>
      </c>
      <c r="GO13" s="50"/>
      <c r="GQ13" s="94">
        <v>10.9</v>
      </c>
      <c r="HI13" s="50"/>
      <c r="HK13" s="94">
        <v>10.9</v>
      </c>
      <c r="IC13" s="50"/>
      <c r="IE13" s="94">
        <v>10.9</v>
      </c>
      <c r="IW13" s="50"/>
      <c r="IY13" s="94">
        <v>10.9</v>
      </c>
      <c r="JQ13" s="50"/>
      <c r="JS13" s="94">
        <v>10.9</v>
      </c>
      <c r="KK13" s="50"/>
      <c r="KM13" s="94">
        <v>10.9</v>
      </c>
    </row>
    <row r="14" spans="1:321" x14ac:dyDescent="0.2">
      <c r="A14" s="50"/>
      <c r="B14" s="65" t="s">
        <v>48</v>
      </c>
      <c r="C14" s="49"/>
      <c r="AH14" s="50"/>
      <c r="AJ14" s="59">
        <v>62.1</v>
      </c>
      <c r="BC14" s="50"/>
      <c r="BE14" s="59">
        <v>62.1</v>
      </c>
      <c r="BY14" s="50"/>
      <c r="CA14" s="59">
        <v>61.9</v>
      </c>
      <c r="CS14" s="50"/>
      <c r="CU14" s="59">
        <v>61.9</v>
      </c>
      <c r="DM14" s="50"/>
      <c r="DO14" s="59">
        <v>61.9</v>
      </c>
      <c r="EG14" s="50"/>
      <c r="EI14" s="59">
        <v>61.9</v>
      </c>
      <c r="FA14" s="50"/>
      <c r="FC14" s="59">
        <v>61.9</v>
      </c>
      <c r="FU14" s="50"/>
      <c r="FW14" s="78">
        <v>61.9</v>
      </c>
      <c r="GO14" s="50"/>
      <c r="GQ14" s="78">
        <v>61.9</v>
      </c>
      <c r="HI14" s="50"/>
      <c r="HK14" s="78">
        <v>61.9</v>
      </c>
      <c r="IC14" s="50"/>
      <c r="IE14" s="78">
        <v>61.9</v>
      </c>
      <c r="IW14" s="50"/>
      <c r="IY14" s="78">
        <v>61.9</v>
      </c>
      <c r="JQ14" s="50"/>
      <c r="JS14" s="78">
        <v>61.9</v>
      </c>
      <c r="KK14" s="50"/>
      <c r="KM14" s="78">
        <v>61.9</v>
      </c>
    </row>
    <row r="15" spans="1:321" hidden="1" x14ac:dyDescent="0.2">
      <c r="A15" s="50"/>
      <c r="B15" s="66" t="s">
        <v>49</v>
      </c>
      <c r="C15" s="49"/>
      <c r="AH15" s="50"/>
      <c r="AJ15" s="60">
        <v>1000</v>
      </c>
      <c r="BC15" s="50"/>
      <c r="BE15" s="60">
        <v>1000</v>
      </c>
      <c r="BY15" s="50"/>
      <c r="CA15" s="60">
        <v>1000</v>
      </c>
      <c r="CS15" s="50"/>
      <c r="CU15" s="60">
        <v>1000</v>
      </c>
      <c r="DM15" s="50"/>
      <c r="DO15" s="60">
        <v>1000</v>
      </c>
      <c r="EG15" s="50"/>
      <c r="EI15" s="60">
        <v>1000</v>
      </c>
      <c r="FA15" s="50"/>
      <c r="FC15" s="60">
        <v>1000</v>
      </c>
      <c r="FU15" s="50"/>
      <c r="FW15" s="60">
        <v>1000</v>
      </c>
      <c r="GO15" s="50"/>
      <c r="GQ15" s="60">
        <v>1000</v>
      </c>
      <c r="HI15" s="50"/>
      <c r="HK15" s="60">
        <v>1000</v>
      </c>
      <c r="IC15" s="50"/>
      <c r="IE15" s="60">
        <v>1000</v>
      </c>
      <c r="IW15" s="50"/>
      <c r="IY15" s="60">
        <v>1000</v>
      </c>
      <c r="JQ15" s="50"/>
      <c r="JS15" s="60">
        <v>1000</v>
      </c>
      <c r="KK15" s="50"/>
      <c r="KM15" s="60">
        <v>1000</v>
      </c>
    </row>
    <row r="16" spans="1:321" x14ac:dyDescent="0.2">
      <c r="A16" s="50"/>
      <c r="B16" s="67" t="s">
        <v>70</v>
      </c>
      <c r="C16" s="49"/>
      <c r="AH16" s="50"/>
      <c r="AJ16" s="61">
        <v>63.7</v>
      </c>
      <c r="BC16" s="50"/>
      <c r="BE16" s="61">
        <v>63.7</v>
      </c>
      <c r="BY16" s="50"/>
      <c r="CA16" s="61">
        <v>63.7</v>
      </c>
      <c r="CS16" s="50"/>
      <c r="CU16" s="61">
        <v>63.7</v>
      </c>
      <c r="DM16" s="50"/>
      <c r="DO16" s="61">
        <v>63.7</v>
      </c>
      <c r="EG16" s="50"/>
      <c r="EI16" s="61">
        <v>63.7</v>
      </c>
      <c r="FA16" s="50"/>
      <c r="FC16" s="61">
        <v>63.7</v>
      </c>
      <c r="FU16" s="50"/>
      <c r="FW16" s="80">
        <v>63.7</v>
      </c>
      <c r="GO16" s="50"/>
      <c r="GQ16" s="80">
        <v>63.7</v>
      </c>
      <c r="HI16" s="50"/>
      <c r="HK16" s="80">
        <v>63.7</v>
      </c>
      <c r="IC16" s="50"/>
      <c r="IE16" s="80">
        <v>63.7</v>
      </c>
      <c r="IW16" s="50"/>
      <c r="IY16" s="80">
        <v>63.7</v>
      </c>
      <c r="JQ16" s="50"/>
      <c r="JS16" s="80">
        <v>63.7</v>
      </c>
      <c r="KK16" s="50"/>
      <c r="KM16" s="80">
        <v>63.7</v>
      </c>
    </row>
    <row r="17" spans="1:299" hidden="1" x14ac:dyDescent="0.2">
      <c r="A17" s="50"/>
      <c r="B17" s="68" t="s">
        <v>35</v>
      </c>
      <c r="C17" s="4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62">
        <v>1000</v>
      </c>
      <c r="DM17" s="50"/>
      <c r="DO17" s="62">
        <v>1000</v>
      </c>
      <c r="EG17" s="50"/>
      <c r="EI17" s="62">
        <v>1000</v>
      </c>
      <c r="FA17" s="50"/>
      <c r="FC17" s="62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55</v>
      </c>
      <c r="C18" s="3"/>
    </row>
    <row r="19" spans="1:299" x14ac:dyDescent="0.2">
      <c r="A19" s="50"/>
      <c r="B19" s="50"/>
      <c r="C19" s="49"/>
    </row>
    <row r="20" spans="1:299" ht="17" x14ac:dyDescent="0.2">
      <c r="A20" s="50"/>
      <c r="B20" s="50"/>
      <c r="C20" s="49"/>
      <c r="N20" s="19"/>
      <c r="O20" s="19"/>
      <c r="P20" s="19"/>
    </row>
    <row r="21" spans="1:299" ht="17" x14ac:dyDescent="0.2">
      <c r="A21" s="50"/>
      <c r="B21" s="50"/>
      <c r="C21" s="49"/>
      <c r="N21" s="19"/>
      <c r="O21" s="19"/>
      <c r="P21" s="19"/>
    </row>
    <row r="22" spans="1:299" ht="17" x14ac:dyDescent="0.2">
      <c r="N22" s="19"/>
      <c r="O22" s="19"/>
      <c r="P22" s="19"/>
    </row>
    <row r="23" spans="1:299" ht="17" x14ac:dyDescent="0.2">
      <c r="N23" s="19"/>
      <c r="O23" s="19"/>
      <c r="P23" s="19"/>
    </row>
    <row r="24" spans="1:299" ht="17" x14ac:dyDescent="0.2">
      <c r="N24" s="19"/>
      <c r="O24" s="19"/>
      <c r="P24" s="19"/>
    </row>
    <row r="25" spans="1:299" ht="17" x14ac:dyDescent="0.2">
      <c r="N25" s="19"/>
      <c r="O25" s="19"/>
      <c r="P25" s="19"/>
    </row>
    <row r="26" spans="1:299" ht="17" x14ac:dyDescent="0.2">
      <c r="N26" s="19"/>
      <c r="O26" s="19"/>
      <c r="P26" s="19"/>
    </row>
    <row r="27" spans="1:299" ht="17" x14ac:dyDescent="0.2">
      <c r="N27" s="19"/>
      <c r="O27" s="19"/>
      <c r="P27" s="19"/>
    </row>
    <row r="28" spans="1:299" ht="17" x14ac:dyDescent="0.2">
      <c r="N28" s="19"/>
      <c r="O28" s="19"/>
      <c r="P28" s="19"/>
    </row>
    <row r="29" spans="1:299" ht="17" x14ac:dyDescent="0.2">
      <c r="N29" s="19"/>
      <c r="O29" s="19"/>
      <c r="P29" s="19"/>
    </row>
    <row r="30" spans="1:299" ht="17" x14ac:dyDescent="0.2">
      <c r="N30" s="19"/>
      <c r="O30" s="19"/>
      <c r="P30" s="19"/>
    </row>
    <row r="31" spans="1:299" ht="17" x14ac:dyDescent="0.2">
      <c r="N31" s="19"/>
      <c r="O31" s="19"/>
      <c r="P31" s="19"/>
    </row>
    <row r="32" spans="1:299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9">
      <sortCondition descending="1" ref="F1:F8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10.83203125" hidden="1" customWidth="1"/>
  </cols>
  <sheetData>
    <row r="1" spans="1:321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68</v>
      </c>
      <c r="G1" s="117" t="s">
        <v>69</v>
      </c>
      <c r="H1" s="117" t="s">
        <v>8</v>
      </c>
      <c r="I1" s="110" t="s">
        <v>9</v>
      </c>
      <c r="J1" s="112" t="s">
        <v>10</v>
      </c>
      <c r="K1" s="112" t="s">
        <v>33</v>
      </c>
      <c r="L1" s="112" t="s">
        <v>13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53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5" t="s">
        <v>122</v>
      </c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6" t="s">
        <v>67</v>
      </c>
      <c r="BH1" s="116"/>
      <c r="BI1" s="113" t="s">
        <v>65</v>
      </c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3" t="s">
        <v>120</v>
      </c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</row>
    <row r="2" spans="1:321" x14ac:dyDescent="0.2">
      <c r="A2" s="110"/>
      <c r="B2" s="110"/>
      <c r="C2" s="110"/>
      <c r="D2" s="110"/>
      <c r="E2" s="110"/>
      <c r="F2" s="117"/>
      <c r="G2" s="117"/>
      <c r="H2" s="117"/>
      <c r="I2" s="110"/>
      <c r="J2" s="112"/>
      <c r="K2" s="112"/>
      <c r="L2" s="112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09" t="s">
        <v>27</v>
      </c>
      <c r="AM2" s="109"/>
      <c r="AN2" s="109"/>
      <c r="AO2" s="109"/>
      <c r="AP2" s="109" t="s">
        <v>30</v>
      </c>
      <c r="AQ2" s="109"/>
      <c r="AR2" s="109"/>
      <c r="AS2" s="109"/>
      <c r="AT2" s="109" t="s">
        <v>31</v>
      </c>
      <c r="AU2" s="109"/>
      <c r="AV2" s="109"/>
      <c r="AW2" s="109"/>
      <c r="AX2" s="118" t="s">
        <v>32</v>
      </c>
      <c r="AY2" s="118"/>
      <c r="AZ2" s="118"/>
      <c r="BA2" s="118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08" t="s">
        <v>27</v>
      </c>
      <c r="BJ2" s="108"/>
      <c r="BK2" s="108"/>
      <c r="BL2" s="108"/>
      <c r="BM2" s="108" t="s">
        <v>30</v>
      </c>
      <c r="BN2" s="108"/>
      <c r="BO2" s="108"/>
      <c r="BP2" s="108"/>
      <c r="BQ2" s="108" t="s">
        <v>31</v>
      </c>
      <c r="BR2" s="108"/>
      <c r="BS2" s="108"/>
      <c r="BT2" s="108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09" t="s">
        <v>27</v>
      </c>
      <c r="CD2" s="109"/>
      <c r="CE2" s="109"/>
      <c r="CF2" s="109"/>
      <c r="CG2" s="109" t="s">
        <v>30</v>
      </c>
      <c r="CH2" s="109"/>
      <c r="CI2" s="109"/>
      <c r="CJ2" s="109"/>
      <c r="CK2" s="109" t="s">
        <v>31</v>
      </c>
      <c r="CL2" s="109"/>
      <c r="CM2" s="109"/>
      <c r="CN2" s="109"/>
      <c r="CO2" s="118" t="s">
        <v>32</v>
      </c>
      <c r="CP2" s="118"/>
      <c r="CQ2" s="118"/>
      <c r="CR2" s="118"/>
      <c r="CS2" s="51" t="s">
        <v>25</v>
      </c>
      <c r="CT2" s="13" t="s">
        <v>24</v>
      </c>
      <c r="CU2" s="13" t="s">
        <v>23</v>
      </c>
      <c r="CV2" s="13" t="s">
        <v>18</v>
      </c>
      <c r="CW2" s="108" t="s">
        <v>27</v>
      </c>
      <c r="CX2" s="108"/>
      <c r="CY2" s="108"/>
      <c r="CZ2" s="108"/>
      <c r="DA2" s="108" t="s">
        <v>30</v>
      </c>
      <c r="DB2" s="108"/>
      <c r="DC2" s="108"/>
      <c r="DD2" s="108"/>
      <c r="DE2" s="108" t="s">
        <v>31</v>
      </c>
      <c r="DF2" s="108"/>
      <c r="DG2" s="108"/>
      <c r="DH2" s="108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09" t="s">
        <v>27</v>
      </c>
      <c r="DR2" s="109"/>
      <c r="DS2" s="109"/>
      <c r="DT2" s="109"/>
      <c r="DU2" s="109" t="s">
        <v>30</v>
      </c>
      <c r="DV2" s="109"/>
      <c r="DW2" s="109"/>
      <c r="DX2" s="109"/>
      <c r="DY2" s="109" t="s">
        <v>31</v>
      </c>
      <c r="DZ2" s="109"/>
      <c r="EA2" s="109"/>
      <c r="EB2" s="109"/>
      <c r="EC2" s="118" t="s">
        <v>32</v>
      </c>
      <c r="ED2" s="118"/>
      <c r="EE2" s="118"/>
      <c r="EF2" s="118"/>
      <c r="EG2" s="20" t="s">
        <v>25</v>
      </c>
      <c r="EH2" s="13" t="s">
        <v>24</v>
      </c>
      <c r="EI2" s="13" t="s">
        <v>23</v>
      </c>
      <c r="EJ2" s="13" t="s">
        <v>18</v>
      </c>
      <c r="EK2" s="108" t="s">
        <v>27</v>
      </c>
      <c r="EL2" s="108"/>
      <c r="EM2" s="108"/>
      <c r="EN2" s="108"/>
      <c r="EO2" s="108" t="s">
        <v>30</v>
      </c>
      <c r="EP2" s="108"/>
      <c r="EQ2" s="108"/>
      <c r="ER2" s="108"/>
      <c r="ES2" s="108" t="s">
        <v>31</v>
      </c>
      <c r="ET2" s="108"/>
      <c r="EU2" s="108"/>
      <c r="EV2" s="108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09" t="s">
        <v>27</v>
      </c>
      <c r="FF2" s="109"/>
      <c r="FG2" s="109"/>
      <c r="FH2" s="109"/>
      <c r="FI2" s="109" t="s">
        <v>30</v>
      </c>
      <c r="FJ2" s="109"/>
      <c r="FK2" s="109"/>
      <c r="FL2" s="109"/>
      <c r="FM2" s="109" t="s">
        <v>31</v>
      </c>
      <c r="FN2" s="109"/>
      <c r="FO2" s="109"/>
      <c r="FP2" s="109"/>
      <c r="FQ2" s="118" t="s">
        <v>32</v>
      </c>
      <c r="FR2" s="118"/>
      <c r="FS2" s="118"/>
      <c r="FT2" s="118"/>
      <c r="FU2" s="20" t="s">
        <v>25</v>
      </c>
      <c r="FV2" s="13" t="s">
        <v>24</v>
      </c>
      <c r="FW2" s="13" t="s">
        <v>23</v>
      </c>
      <c r="FX2" s="13" t="s">
        <v>18</v>
      </c>
      <c r="FY2" s="108" t="s">
        <v>27</v>
      </c>
      <c r="FZ2" s="108"/>
      <c r="GA2" s="108"/>
      <c r="GB2" s="108"/>
      <c r="GC2" s="108" t="s">
        <v>30</v>
      </c>
      <c r="GD2" s="108"/>
      <c r="GE2" s="108"/>
      <c r="GF2" s="108"/>
      <c r="GG2" s="108" t="s">
        <v>31</v>
      </c>
      <c r="GH2" s="108"/>
      <c r="GI2" s="108"/>
      <c r="GJ2" s="108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09" t="s">
        <v>27</v>
      </c>
      <c r="GT2" s="109"/>
      <c r="GU2" s="109"/>
      <c r="GV2" s="109"/>
      <c r="GW2" s="109" t="s">
        <v>30</v>
      </c>
      <c r="GX2" s="109"/>
      <c r="GY2" s="109"/>
      <c r="GZ2" s="109"/>
      <c r="HA2" s="109" t="s">
        <v>31</v>
      </c>
      <c r="HB2" s="109"/>
      <c r="HC2" s="109"/>
      <c r="HD2" s="109"/>
      <c r="HE2" s="118" t="s">
        <v>32</v>
      </c>
      <c r="HF2" s="118"/>
      <c r="HG2" s="118"/>
      <c r="HH2" s="118"/>
      <c r="HI2" s="20" t="s">
        <v>25</v>
      </c>
      <c r="HJ2" s="13" t="s">
        <v>24</v>
      </c>
      <c r="HK2" s="13" t="s">
        <v>23</v>
      </c>
      <c r="HL2" s="13" t="s">
        <v>18</v>
      </c>
      <c r="HM2" s="108" t="s">
        <v>27</v>
      </c>
      <c r="HN2" s="108"/>
      <c r="HO2" s="108"/>
      <c r="HP2" s="108"/>
      <c r="HQ2" s="108" t="s">
        <v>30</v>
      </c>
      <c r="HR2" s="108"/>
      <c r="HS2" s="108"/>
      <c r="HT2" s="108"/>
      <c r="HU2" s="108" t="s">
        <v>31</v>
      </c>
      <c r="HV2" s="108"/>
      <c r="HW2" s="108"/>
      <c r="HX2" s="108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09" t="s">
        <v>27</v>
      </c>
      <c r="IH2" s="109"/>
      <c r="II2" s="109"/>
      <c r="IJ2" s="109"/>
      <c r="IK2" s="109" t="s">
        <v>30</v>
      </c>
      <c r="IL2" s="109"/>
      <c r="IM2" s="109"/>
      <c r="IN2" s="109"/>
      <c r="IO2" s="109" t="s">
        <v>31</v>
      </c>
      <c r="IP2" s="109"/>
      <c r="IQ2" s="109"/>
      <c r="IR2" s="109"/>
      <c r="IS2" s="118" t="s">
        <v>32</v>
      </c>
      <c r="IT2" s="118"/>
      <c r="IU2" s="118"/>
      <c r="IV2" s="118"/>
      <c r="IW2" s="20" t="s">
        <v>25</v>
      </c>
      <c r="IX2" s="13" t="s">
        <v>24</v>
      </c>
      <c r="IY2" s="13" t="s">
        <v>23</v>
      </c>
      <c r="IZ2" s="13" t="s">
        <v>18</v>
      </c>
      <c r="JA2" s="108" t="s">
        <v>27</v>
      </c>
      <c r="JB2" s="108"/>
      <c r="JC2" s="108"/>
      <c r="JD2" s="108"/>
      <c r="JE2" s="108" t="s">
        <v>30</v>
      </c>
      <c r="JF2" s="108"/>
      <c r="JG2" s="108"/>
      <c r="JH2" s="108"/>
      <c r="JI2" s="108" t="s">
        <v>31</v>
      </c>
      <c r="JJ2" s="108"/>
      <c r="JK2" s="108"/>
      <c r="JL2" s="108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09" t="s">
        <v>27</v>
      </c>
      <c r="JV2" s="109"/>
      <c r="JW2" s="109"/>
      <c r="JX2" s="109"/>
      <c r="JY2" s="109" t="s">
        <v>30</v>
      </c>
      <c r="JZ2" s="109"/>
      <c r="KA2" s="109"/>
      <c r="KB2" s="109"/>
      <c r="KC2" s="109" t="s">
        <v>31</v>
      </c>
      <c r="KD2" s="109"/>
      <c r="KE2" s="109"/>
      <c r="KF2" s="109"/>
      <c r="KG2" s="118" t="s">
        <v>32</v>
      </c>
      <c r="KH2" s="118"/>
      <c r="KI2" s="118"/>
      <c r="KJ2" s="118"/>
      <c r="KK2" s="20" t="s">
        <v>25</v>
      </c>
      <c r="KL2" s="13" t="s">
        <v>24</v>
      </c>
      <c r="KM2" s="13" t="s">
        <v>23</v>
      </c>
      <c r="KN2" s="13" t="s">
        <v>18</v>
      </c>
      <c r="KO2" s="108" t="s">
        <v>27</v>
      </c>
      <c r="KP2" s="108"/>
      <c r="KQ2" s="108"/>
      <c r="KR2" s="108"/>
      <c r="KS2" s="108" t="s">
        <v>30</v>
      </c>
      <c r="KT2" s="108"/>
      <c r="KU2" s="108"/>
      <c r="KV2" s="108"/>
      <c r="KW2" s="108" t="s">
        <v>31</v>
      </c>
      <c r="KX2" s="108"/>
      <c r="KY2" s="108"/>
      <c r="KZ2" s="108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0"/>
      <c r="B3" s="110"/>
      <c r="C3" s="110"/>
      <c r="D3" s="110"/>
      <c r="E3" s="110"/>
      <c r="F3" s="117"/>
      <c r="G3" s="117"/>
      <c r="H3" s="117"/>
      <c r="I3" s="110"/>
      <c r="J3" s="112"/>
      <c r="K3" s="112"/>
      <c r="L3" s="112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111</v>
      </c>
      <c r="C4" s="8" t="s">
        <v>3</v>
      </c>
      <c r="D4" s="27">
        <v>2003</v>
      </c>
      <c r="E4" s="16">
        <f>SUM(J4:N4)</f>
        <v>126.89999999999999</v>
      </c>
      <c r="F4" s="4" t="str">
        <f>IF(OR(AND(AH4&gt;=AJ$11,AI4&gt;=AJ$13,AI4&lt;&gt;"",AG4=""),AND(BC4&gt;=BE$11,BD4&gt;=BE$13,BD4&lt;&gt;"",BB4=""),AND(BY4&gt;=CA$11,BZ4&gt;=CA$13,BZ4&lt;&gt;""),AND(CS4&gt;=CU$11,CT4&gt;=CU$13,CT4&lt;&gt;""),AND(DM4&gt;=DO$11,DN4&gt;=DO$13,DN4&lt;&gt;""),AND(EG4&gt;=EI$11,EH4&gt;=EI$13,EH4&lt;&gt;""),AND(FA4&gt;=FC$11,FB4&gt;=FC$13,FB4&lt;&gt;""),AND(FU4&gt;=FW$11,FV4&gt;=FW$13,FV4&lt;&gt;""),AND(GO4&gt;=GQ$11,GP4&gt;=GQ$13,GP4&lt;&gt;""),AND(HI4&gt;=HK$11,HJ4&gt;=HK$13,HJ4&lt;&gt;""),AND(IC4&gt;=IE$11,ID4&gt;=IE$13,ID4&lt;&gt;""),AND(IW4&gt;=IY$11,IX4&gt;=IY$13,IX4&lt;&gt;""),AND(JQ4&gt;=JS$11,JR4&gt;=JS$13,JR4&lt;&gt;""),AND(KK4&gt;=KM$11,KL4&gt;=KM$13,KL4&lt;&gt;"")),"P","")</f>
        <v>P</v>
      </c>
      <c r="G4" s="4" t="str">
        <f>IF(OR(AND(AH4&gt;=AJ$11,AI4&gt;=AJ$14,AI4&lt;&gt;"",AG4=""),AND(BC4&gt;=BE$11,BD4&gt;=BE$14,BD4&lt;&gt;"",BB4=""),AND(BY4&gt;=CA$11,BZ4&gt;=CA$14,BZ4&lt;&gt;""),AND(CS4&gt;=CU$11,CT4&gt;=CU$14,CT4&lt;&gt;""),AND(DM4&gt;=DO$11,DN4&gt;=DO$14,DN4&lt;&gt;""),AND(EG4&gt;=EI$11,EH4&gt;=EI$14,EH4&lt;&gt;""),AND(FA4&gt;=FC$11,FB4&gt;=FC$14,FB4&lt;&gt;""),AND(FU4&gt;=FW$11,FV4&gt;=FW$14,FV4&lt;&gt;""),AND(GO4&gt;=GQ$11,GP4&gt;=GQ$14,GP4&lt;&gt;""),AND(HI4&gt;=HK$11,HJ4&gt;=HK$14,HJ4&lt;&gt;""),AND(IC4&gt;=IE$11,ID4&gt;=IE$14,ID4&lt;&gt;""),AND(IW4&gt;=IY$11,IX4&gt;=IY$14,IX4&lt;&gt;""),AND(JQ4&gt;=JS$11,JR4&gt;=JS$14,JR4&lt;&gt;""),AND(KK4&gt;=KM$11,KL4&gt;=KM$14,KL4&lt;&gt;"")),"P","")</f>
        <v/>
      </c>
      <c r="H4" s="4" t="str">
        <f>IF(OR(AND(AI4&gt;=AJ$13,AI4&lt;&gt;"",AG4=""),AND(BD4&gt;=BE$13,BD4&lt;&gt;"",BB4=""),AND(BZ4&gt;=CA$13,BZ4&lt;&gt;""),AND(CT4&gt;=CU$13,CT4&lt;&gt;""),AND(DN4&gt;=DO$13,DN4&lt;&gt;""),AND(EH4&gt;=EI$13,EH4&lt;&gt;""),AND(FB4&gt;=FC$13,FB4&lt;&gt;""),AND(FV4&gt;=FW$13,FV4&lt;&gt;""),AND(GP4&gt;=GQ$13,GP4&lt;&gt;""),AND(HJ4&gt;=HK$13,HJ4&lt;&gt;""),AND(ID4&gt;=IE$13,ID4&lt;&gt;""),AND(IX4&gt;=IY$13,IX4&lt;&gt;""),AND(JR4&gt;=JS$13,JR4&lt;&gt;""),AND(KL4&gt;=KM$13,KL4&lt;&gt;"")),"P","")</f>
        <v>P</v>
      </c>
      <c r="I4" t="str">
        <f>IF(AND(H4="P",F4=""),"No DD",IF(OR(AND(AI4&gt;=AJ$16,AI4&lt;&gt;"",AH4&gt;=AJ$12,AH4&lt;&gt;"",AG4=""),AND(BD4&gt;=BE$16,BD4&lt;&gt;"",BC4&gt;=BE$12,BC4&lt;&gt;"",BB4=""),AND(BZ4&gt;=CA$16,BZ4&lt;&gt;"",BY4&gt;=CA$12,BY4&lt;&gt;""),AND(CT4&gt;=CU$16,CT4&lt;&gt;"",CS4&gt;=CU$12,CS4&lt;&gt;""),AND(DN4&gt;=DO$16,DN4&lt;&gt;"",DM4&gt;=DO$12,DM4&lt;&gt;""),AND(EH4&gt;=EI$16,EH4&lt;&gt;"",EG4&gt;=EI$12,EG4&lt;&gt;""),AND(FB4&gt;=FC$16,FB4&lt;&gt;"",FA4&gt;=FC$12,FA4&lt;&gt;""),AND(FV4&gt;=FW$16,FV4&lt;&gt;"",FU4&gt;=FW$12,FU4&lt;&gt;""),AND(GP4&gt;=GQ$16,GP4&lt;&gt;"",GO4&gt;=GQ$12,GO4&lt;&gt;""),AND(HJ4&gt;=HK$16,HJ4&lt;&gt;"",HI4&gt;=HK$12,HI4&lt;&gt;""),AND(ID4&gt;=IE$16,ID4&lt;&gt;"",IC4&gt;=IE$12,IC4&lt;&gt;""),AND(IX4&gt;=IY$16,IX4&lt;&gt;"",IW4&gt;=IY$12,IW4&lt;&gt;""),AND(JR4&gt;=JS$16,JR4&lt;&gt;"",JQ4&gt;=JS$12,JQ4&lt;&gt;""),AND(KL4&gt;=KM$16,KL4&lt;&gt;"",KK4&gt;=KM$12,KK4&lt;&gt;"")),"Merit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Excellence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Worlds Team",IF(OR(AND(AI4&gt;=AJ$13,AI4&lt;&gt;"",AH4&gt;=AJ$11,AH4&lt;&gt;"",AG4=""),AND(BD4&gt;=BE$13,BD4&lt;&gt;"",BC4&gt;=BE$11,BC4&lt;&gt;"",BB4=""),AND(BZ4&gt;=CA$13,BZ4&lt;&gt;"",BY4&gt;=CA$11,BY4&lt;&gt;""),AND(CT4&gt;=CU$13,CT4&lt;&gt;"",CS4&gt;=CU$11,CS4&lt;&gt;""),AND(DN4&gt;=DO$13,DN4&lt;&gt;"",DM4&gt;=DO$11,DM4&lt;&gt;""),AND(EH4&gt;=EI$13,EH4&lt;&gt;"",EG4&gt;=EI$11,EG4&lt;&gt;""),AND(FB4&gt;=FC$13,FB4&lt;&gt;"",FA4&gt;=FC$11,FA4&lt;&gt;""),AND(FV4&gt;=FW$13,FV4&lt;&gt;"",FU4&gt;=FW$11,FU4&lt;&gt;""),AND(GP4&gt;=GQ$13,GP4&lt;&gt;"",GO4&gt;=GQ$11,GO4&lt;&gt;""),AND(HJ4&gt;=HK$13,HJ4&lt;&gt;"",HI4&gt;=HK$11,HI4&lt;&gt;""),AND(ID4&gt;=IE$13,ID4&lt;&gt;"",IC4&gt;=IE$11,IC4&lt;&gt;""),AND(IX4&gt;=IY$13,IX4&lt;&gt;"",IW4&gt;=IY$11,IW4&lt;&gt;""),AND(JR4&gt;=JS$13,JR4&lt;&gt;"",JQ4&gt;=JS$11,JQ4&lt;&gt;""),AND(KL4&gt;=KM$13,KL4&lt;&gt;"",KK4&gt;=KM$11,KK4&lt;&gt;"")),"National Team","")))))</f>
        <v>National Team</v>
      </c>
      <c r="J4" s="15">
        <f>IF(MAX(AI4,BD4)&gt;0,MAX(AI4,BD4),"")</f>
        <v>63.8</v>
      </c>
      <c r="K4" s="15" t="str">
        <f>IF(J4="","",IF(J4=BD4,$AL$1,IF(J4=AI4,$Q$1,"")))</f>
        <v>2018 Nationals</v>
      </c>
      <c r="L4" s="15">
        <f>IF(MAX(AJ4,BE4)&gt;0,MAX(AJ4,BE4),"")</f>
        <v>63.099999999999994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25.2</v>
      </c>
      <c r="R4" s="38">
        <v>6.1</v>
      </c>
      <c r="S4" s="38">
        <v>0</v>
      </c>
      <c r="T4" s="38">
        <v>1</v>
      </c>
      <c r="U4" s="38">
        <v>26.2</v>
      </c>
      <c r="V4" s="38">
        <v>4.3</v>
      </c>
      <c r="W4" s="38">
        <v>0</v>
      </c>
      <c r="X4" s="38">
        <v>1</v>
      </c>
      <c r="Y4" s="38">
        <v>25.8</v>
      </c>
      <c r="Z4" s="38">
        <v>5.0999999999999996</v>
      </c>
      <c r="AA4" s="38">
        <v>0</v>
      </c>
      <c r="AB4" s="38">
        <v>1</v>
      </c>
      <c r="AC4" s="38">
        <v>26.9</v>
      </c>
      <c r="AD4" s="38">
        <v>4.3</v>
      </c>
      <c r="AE4" s="38">
        <v>0</v>
      </c>
      <c r="AF4" s="38">
        <v>0</v>
      </c>
      <c r="AG4" s="74"/>
      <c r="AH4" s="12">
        <f>IF(SUM(R4,V4)&gt;0,SUM(R4,V4),"")</f>
        <v>10.399999999999999</v>
      </c>
      <c r="AI4" s="12">
        <f>IF(SUM(Q4:R4,T4:V4,X4)-S4-W4&gt;0,SUM(Q4:R4,T4:V4,X4)-S4-W4,"")</f>
        <v>63.8</v>
      </c>
      <c r="AJ4" s="12">
        <f>IF(SUM(Y4:Z4,AB4:AD4,AF4)-SUM(AA4,AE4)&gt;0,SUM(Y4:Z4,AB4:AD4,AF4)-SUM(AA4,AE4),"")</f>
        <v>63.099999999999994</v>
      </c>
      <c r="AK4" s="12">
        <f>IF(SUM(AI4,AJ4)&gt;0,SUM(AI4,AJ4),"")</f>
        <v>126.89999999999999</v>
      </c>
      <c r="AL4" s="37">
        <v>26.5</v>
      </c>
      <c r="AM4" s="37">
        <v>4.3</v>
      </c>
      <c r="AN4" s="37">
        <v>0</v>
      </c>
      <c r="AO4" s="37">
        <v>0</v>
      </c>
      <c r="AP4" s="37">
        <v>25.8</v>
      </c>
      <c r="AQ4" s="37">
        <v>4.3</v>
      </c>
      <c r="AR4" s="37">
        <v>0</v>
      </c>
      <c r="AS4" s="37">
        <v>1</v>
      </c>
      <c r="AT4" s="37">
        <v>25.2</v>
      </c>
      <c r="AU4" s="37">
        <v>6.1</v>
      </c>
      <c r="AV4" s="37">
        <v>0</v>
      </c>
      <c r="AW4" s="37">
        <v>1</v>
      </c>
      <c r="AX4" s="37">
        <v>23.6</v>
      </c>
      <c r="AY4" s="37">
        <v>1.9</v>
      </c>
      <c r="AZ4" s="37">
        <v>0</v>
      </c>
      <c r="BA4" s="37">
        <v>0</v>
      </c>
      <c r="BB4" s="75"/>
      <c r="BC4" s="15">
        <f>IF(SUM(AM4,AQ4)&gt;0,SUM(AM4,AQ4),"")</f>
        <v>8.6</v>
      </c>
      <c r="BD4" s="15">
        <f>IF(SUM(AL4:AM4,AO4:AQ4,AS4)-AN4-AR4&gt;0,SUM(AL4:AM4,AO4:AQ4,AS4)-AN4-AR4,"")</f>
        <v>61.9</v>
      </c>
      <c r="BE4" s="15">
        <f>IF(SUM(AT4:AU4,AW4:AY4,BA4)-SUM(AV4,AZ4)&gt;0,SUM(AT4:AU4,AW4:AY4,BA4)-SUM(AV4,AZ4),"")</f>
        <v>57.8</v>
      </c>
      <c r="BF4" s="15">
        <f>IF(SUM(BD4,BE4)&gt;0,SUM(BD4,BE4),"")</f>
        <v>119.69999999999999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</v>
      </c>
      <c r="BJ4" s="36">
        <v>4.3</v>
      </c>
      <c r="BK4" s="36">
        <v>0</v>
      </c>
      <c r="BL4" s="36">
        <v>0</v>
      </c>
      <c r="BM4" s="36">
        <v>27.1</v>
      </c>
      <c r="BN4" s="36">
        <v>3.6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7.9</v>
      </c>
      <c r="BZ4" s="12">
        <f>IF(SUM(BI4:BJ4,BL4:BN4,BP4)-BK4-BO4&gt;0,SUM(BI4:BJ4,BL4:BN4,BP4)-BK4-BO4,"")</f>
        <v>62.000000000000007</v>
      </c>
      <c r="CA4" s="12" t="str">
        <f>IF(SUM(BQ4:BR4,BT4:BV4,BX4)-SUM(BS4,BW4)&gt;0,SUM(BQ4:BR4,BT4:BV4,BX4)-SUM(BS4,BW4),"")</f>
        <v/>
      </c>
      <c r="CB4" s="12">
        <f>IF(SUM(BZ4,CA4)&gt;0,SUM(BZ4,CA4),"")</f>
        <v>62.000000000000007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IF($BB4="P",AL4,(Q4+AL4)/2)</f>
        <v>25.85</v>
      </c>
      <c r="KP4" s="63">
        <f t="shared" ref="KP4:LD7" si="0">IF($BB4="P",AM4,(R4+AM4)/2)</f>
        <v>5.1999999999999993</v>
      </c>
      <c r="KQ4" s="63">
        <f t="shared" si="0"/>
        <v>0</v>
      </c>
      <c r="KR4" s="63">
        <f t="shared" si="0"/>
        <v>0.5</v>
      </c>
      <c r="KS4" s="63">
        <f t="shared" si="0"/>
        <v>26</v>
      </c>
      <c r="KT4" s="63">
        <f t="shared" si="0"/>
        <v>4.3</v>
      </c>
      <c r="KU4" s="63">
        <f t="shared" si="0"/>
        <v>0</v>
      </c>
      <c r="KV4" s="63">
        <f t="shared" si="0"/>
        <v>1</v>
      </c>
      <c r="KW4" s="63">
        <f t="shared" si="0"/>
        <v>25.5</v>
      </c>
      <c r="KX4" s="63">
        <f t="shared" si="0"/>
        <v>5.6</v>
      </c>
      <c r="KY4" s="63">
        <f t="shared" si="0"/>
        <v>0</v>
      </c>
      <c r="KZ4" s="63">
        <f t="shared" si="0"/>
        <v>1</v>
      </c>
      <c r="LA4" s="63">
        <f t="shared" si="0"/>
        <v>25.25</v>
      </c>
      <c r="LB4" s="63">
        <f t="shared" si="0"/>
        <v>3.0999999999999996</v>
      </c>
      <c r="LC4" s="63">
        <f t="shared" si="0"/>
        <v>0</v>
      </c>
      <c r="LD4" s="63">
        <f t="shared" si="0"/>
        <v>0</v>
      </c>
      <c r="LE4" s="74" t="s">
        <v>119</v>
      </c>
      <c r="LF4" s="12">
        <f>IF(SUM(KP4,KT4)&gt;0,SUM(KP4,KT4),"")</f>
        <v>9.5</v>
      </c>
      <c r="LG4" s="12">
        <f t="shared" ref="LG4" si="1">IF(SUM(KO4:KP4,KR4:KT4,KV4)-KQ4-KU4&gt;0,SUM(KO4:KP4,KR4:KT4,KV4)-KQ4-KU4,"")</f>
        <v>62.849999999999994</v>
      </c>
      <c r="LH4" s="12">
        <f t="shared" ref="LH4" si="2">IF(SUM(KW4:KX4,KZ4:LB4,LD4)-SUM(KY4,LC4)&gt;0,SUM(KW4:KX4,KZ4:LB4,LD4)-SUM(KY4,LC4),"")</f>
        <v>60.45</v>
      </c>
      <c r="LI4" s="12">
        <f t="shared" ref="LI4" si="3">IF(SUM(LG4,LH4)&gt;0,SUM(LG4,LH4),"")</f>
        <v>123.3</v>
      </c>
    </row>
    <row r="5" spans="1:32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112</v>
      </c>
      <c r="C5" s="5" t="s">
        <v>3</v>
      </c>
      <c r="D5" s="27">
        <v>2000</v>
      </c>
      <c r="E5" s="16">
        <f>SUM(J5:N5)</f>
        <v>124.5</v>
      </c>
      <c r="F5" s="4" t="str">
        <f>IF(OR(AND(AH5&gt;=AJ$11,AI5&gt;=AJ$13,AI5&lt;&gt;"",AG5=""),AND(BC5&gt;=BE$11,BD5&gt;=BE$13,BD5&lt;&gt;"",BB5=""),AND(BY5&gt;=CA$11,BZ5&gt;=CA$13,BZ5&lt;&gt;""),AND(CS5&gt;=CU$11,CT5&gt;=CU$13,CT5&lt;&gt;""),AND(DM5&gt;=DO$11,DN5&gt;=DO$13,DN5&lt;&gt;""),AND(EG5&gt;=EI$11,EH5&gt;=EI$13,EH5&lt;&gt;""),AND(FA5&gt;=FC$11,FB5&gt;=FC$13,FB5&lt;&gt;""),AND(FU5&gt;=FW$11,FV5&gt;=FW$13,FV5&lt;&gt;""),AND(GO5&gt;=GQ$11,GP5&gt;=GQ$13,GP5&lt;&gt;""),AND(HI5&gt;=HK$11,HJ5&gt;=HK$13,HJ5&lt;&gt;""),AND(IC5&gt;=IE$11,ID5&gt;=IE$13,ID5&lt;&gt;""),AND(IW5&gt;=IY$11,IX5&gt;=IY$13,IX5&lt;&gt;""),AND(JQ5&gt;=JS$11,JR5&gt;=JS$13,JR5&lt;&gt;""),AND(KK5&gt;=KM$11,KL5&gt;=KM$13,KL5&lt;&gt;"")),"P","")</f>
        <v>P</v>
      </c>
      <c r="G5" s="4" t="str">
        <f>IF(OR(AND(AH5&gt;=AJ$11,AI5&gt;=AJ$14,AI5&lt;&gt;"",AG5=""),AND(BC5&gt;=BE$11,BD5&gt;=BE$14,BD5&lt;&gt;"",BB5=""),AND(BY5&gt;=CA$11,BZ5&gt;=CA$14,BZ5&lt;&gt;""),AND(CS5&gt;=CU$11,CT5&gt;=CU$14,CT5&lt;&gt;""),AND(DM5&gt;=DO$11,DN5&gt;=DO$14,DN5&lt;&gt;""),AND(EG5&gt;=EI$11,EH5&gt;=EI$14,EH5&lt;&gt;""),AND(FA5&gt;=FC$11,FB5&gt;=FC$14,FB5&lt;&gt;""),AND(FU5&gt;=FW$11,FV5&gt;=FW$14,FV5&lt;&gt;""),AND(GO5&gt;=GQ$11,GP5&gt;=GQ$14,GP5&lt;&gt;""),AND(HI5&gt;=HK$11,HJ5&gt;=HK$14,HJ5&lt;&gt;""),AND(IC5&gt;=IE$11,ID5&gt;=IE$14,ID5&lt;&gt;""),AND(IW5&gt;=IY$11,IX5&gt;=IY$14,IX5&lt;&gt;""),AND(JQ5&gt;=JS$11,JR5&gt;=JS$14,JR5&lt;&gt;""),AND(KK5&gt;=KM$11,KL5&gt;=KM$14,KL5&lt;&gt;"")),"P","")</f>
        <v/>
      </c>
      <c r="H5" s="4" t="str">
        <f>IF(OR(AND(AI5&gt;=AJ$13,AI5&lt;&gt;"",AG5=""),AND(BD5&gt;=BE$13,BD5&lt;&gt;"",BB5=""),AND(BZ5&gt;=CA$13,BZ5&lt;&gt;""),AND(CT5&gt;=CU$13,CT5&lt;&gt;""),AND(DN5&gt;=DO$13,DN5&lt;&gt;""),AND(EH5&gt;=EI$13,EH5&lt;&gt;""),AND(FB5&gt;=FC$13,FB5&lt;&gt;""),AND(FV5&gt;=FW$13,FV5&lt;&gt;""),AND(GP5&gt;=GQ$13,GP5&lt;&gt;""),AND(HJ5&gt;=HK$13,HJ5&lt;&gt;""),AND(ID5&gt;=IE$13,ID5&lt;&gt;""),AND(IX5&gt;=IY$13,IX5&lt;&gt;""),AND(JR5&gt;=JS$13,JR5&lt;&gt;""),AND(KL5&gt;=KM$13,KL5&lt;&gt;"")),"P","")</f>
        <v>P</v>
      </c>
      <c r="I5" t="str">
        <f>IF(AND(H5="P",F5=""),"No DD",IF(OR(AND(AI5&gt;=AJ$16,AI5&lt;&gt;"",AH5&gt;=AJ$12,AH5&lt;&gt;"",AG5=""),AND(BD5&gt;=BE$16,BD5&lt;&gt;"",BC5&gt;=BE$12,BC5&lt;&gt;"",BB5=""),AND(BZ5&gt;=CA$16,BZ5&lt;&gt;"",BY5&gt;=CA$12,BY5&lt;&gt;""),AND(CT5&gt;=CU$16,CT5&lt;&gt;"",CS5&gt;=CU$12,CS5&lt;&gt;""),AND(DN5&gt;=DO$16,DN5&lt;&gt;"",DM5&gt;=DO$12,DM5&lt;&gt;""),AND(EH5&gt;=EI$16,EH5&lt;&gt;"",EG5&gt;=EI$12,EG5&lt;&gt;""),AND(FB5&gt;=FC$16,FB5&lt;&gt;"",FA5&gt;=FC$12,FA5&lt;&gt;""),AND(FV5&gt;=FW$16,FV5&lt;&gt;"",FU5&gt;=FW$12,FU5&lt;&gt;""),AND(GP5&gt;=GQ$16,GP5&lt;&gt;"",GO5&gt;=GQ$12,GO5&lt;&gt;""),AND(HJ5&gt;=HK$16,HJ5&lt;&gt;"",HI5&gt;=HK$12,HI5&lt;&gt;""),AND(ID5&gt;=IE$16,ID5&lt;&gt;"",IC5&gt;=IE$12,IC5&lt;&gt;""),AND(IX5&gt;=IY$16,IX5&lt;&gt;"",IW5&gt;=IY$12,IW5&lt;&gt;""),AND(JR5&gt;=JS$16,JR5&lt;&gt;"",JQ5&gt;=JS$12,JQ5&lt;&gt;""),AND(KL5&gt;=KM$16,KL5&lt;&gt;"",KK5&gt;=KM$12,KK5&lt;&gt;"")),"Merit",IF(OR(AND(AI5&gt;=AJ$15,AI5&lt;&gt;"",AH5&gt;=AJ$12,AH5&lt;&gt;"",AG5=""),AND(BD5&gt;=BE$15,BD5&lt;&gt;"",BC5&gt;=BE$12,BC5&lt;&gt;"",BB5=""),AND(BZ5&gt;=CA$15,BZ5&lt;&gt;"",BY5&gt;=CA$12,BY5&lt;&gt;""),AND(CT5&gt;=CU$15,CT5&lt;&gt;"",CS5&gt;=CU$12,CS5&lt;&gt;""),AND(DN5&gt;=DO$15,DN5&lt;&gt;"",DM5&gt;=DO$12,DM5&lt;&gt;""),AND(EH5&gt;=EI$15,EH5&lt;&gt;"",EG5&gt;=EI$12,EG5&lt;&gt;""),AND(FB5&gt;=FC$15,FB5&lt;&gt;"",FA5&gt;=FC$12,FA5&lt;&gt;""),AND(FV5&gt;=FW$15,FV5&lt;&gt;"",FU5&gt;=FW$12,FU5&lt;&gt;""),AND(GP5&gt;=GQ$15,GP5&lt;&gt;"",GO5&gt;=GQ$12,GO5&lt;&gt;""),AND(HJ5&gt;=HK$15,HJ5&lt;&gt;"",HI5&gt;=HK$12,HI5&lt;&gt;""),AND(ID5&gt;=IE$15,ID5&lt;&gt;"",IC5&gt;=IE$12,IC5&lt;&gt;""),AND(IX5&gt;=IY$15,IX5&lt;&gt;"",IW5&gt;=IY$12,IW5&lt;&gt;""),AND(JR5&gt;=JS$15,JR5&lt;&gt;"",JQ5&gt;=JS$12,JQ5&lt;&gt;""),AND(KL5&gt;=KM$15,KL5&lt;&gt;"",KK5&gt;=KM$12,KK5&lt;&gt;"")),"Excellence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Worlds Team",IF(OR(AND(AI5&gt;=AJ$13,AI5&lt;&gt;"",AH5&gt;=AJ$11,AH5&lt;&gt;"",AG5=""),AND(BD5&gt;=BE$13,BD5&lt;&gt;"",BC5&gt;=BE$11,BC5&lt;&gt;"",BB5=""),AND(BZ5&gt;=CA$13,BZ5&lt;&gt;"",BY5&gt;=CA$11,BY5&lt;&gt;""),AND(CT5&gt;=CU$13,CT5&lt;&gt;"",CS5&gt;=CU$11,CS5&lt;&gt;""),AND(DN5&gt;=DO$13,DN5&lt;&gt;"",DM5&gt;=DO$11,DM5&lt;&gt;""),AND(EH5&gt;=EI$13,EH5&lt;&gt;"",EG5&gt;=EI$11,EG5&lt;&gt;""),AND(FB5&gt;=FC$13,FB5&lt;&gt;"",FA5&gt;=FC$11,FA5&lt;&gt;""),AND(FV5&gt;=FW$13,FV5&lt;&gt;"",FU5&gt;=FW$11,FU5&lt;&gt;""),AND(GP5&gt;=GQ$13,GP5&lt;&gt;"",GO5&gt;=GQ$11,GO5&lt;&gt;""),AND(HJ5&gt;=HK$13,HJ5&lt;&gt;"",HI5&gt;=HK$11,HI5&lt;&gt;""),AND(ID5&gt;=IE$13,ID5&lt;&gt;"",IC5&gt;=IE$11,IC5&lt;&gt;""),AND(IX5&gt;=IY$13,IX5&lt;&gt;"",IW5&gt;=IY$11,IW5&lt;&gt;""),AND(JR5&gt;=JS$13,JR5&lt;&gt;"",JQ5&gt;=JS$11,JQ5&lt;&gt;""),AND(KL5&gt;=KM$13,KL5&lt;&gt;"",KK5&gt;=KM$11,KK5&lt;&gt;"")),"National Team","")))))</f>
        <v>National Team</v>
      </c>
      <c r="J5" s="15">
        <f>IF(MAX(AI5,BD5)&gt;0,MAX(AI5,BD5),"")</f>
        <v>61.900000000000006</v>
      </c>
      <c r="K5" s="15" t="str">
        <f>IF(J5="","",IF(J5=BD5,$AL$1,IF(J5=AI5,$Q$1,"")))</f>
        <v>2018 Nationals</v>
      </c>
      <c r="L5" s="15">
        <f>IF(MAX(AJ5,BE5)&gt;0,MAX(AJ5,BE5),"")</f>
        <v>62.6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27.7</v>
      </c>
      <c r="R5" s="38">
        <v>3.6</v>
      </c>
      <c r="S5" s="38">
        <v>0.3</v>
      </c>
      <c r="T5" s="38">
        <v>0</v>
      </c>
      <c r="U5" s="38">
        <v>25.6</v>
      </c>
      <c r="V5" s="38">
        <v>4.3</v>
      </c>
      <c r="W5" s="38">
        <v>0</v>
      </c>
      <c r="X5" s="38">
        <v>1</v>
      </c>
      <c r="Y5" s="38">
        <v>28</v>
      </c>
      <c r="Z5" s="38">
        <v>3.6</v>
      </c>
      <c r="AA5" s="38">
        <v>0</v>
      </c>
      <c r="AB5" s="38">
        <v>0</v>
      </c>
      <c r="AC5" s="38">
        <v>26.9</v>
      </c>
      <c r="AD5" s="38">
        <v>4.0999999999999996</v>
      </c>
      <c r="AE5" s="38">
        <v>0</v>
      </c>
      <c r="AF5" s="38">
        <v>0</v>
      </c>
      <c r="AG5" s="74"/>
      <c r="AH5" s="12">
        <f>IF(SUM(R5,V5)&gt;0,SUM(R5,V5),"")</f>
        <v>7.9</v>
      </c>
      <c r="AI5" s="12">
        <f>IF(SUM(Q5:R5,T5:V5,X5)-S5-W5&gt;0,SUM(Q5:R5,T5:V5,X5)-S5-W5,"")</f>
        <v>61.900000000000006</v>
      </c>
      <c r="AJ5" s="12">
        <f>IF(SUM(Y5:Z5,AB5:AD5,AF5)-SUM(AA5,AE5)&gt;0,SUM(Y5:Z5,AB5:AD5,AF5)-SUM(AA5,AE5),"")</f>
        <v>62.6</v>
      </c>
      <c r="AK5" s="12">
        <f>IF(SUM(AI5,AJ5)&gt;0,SUM(AI5,AJ5),"")</f>
        <v>124.5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75"/>
      <c r="BC5" s="15" t="str">
        <f>IF(SUM(AM5,AQ5)&gt;0,SUM(AM5,AQ5),"")</f>
        <v/>
      </c>
      <c r="BD5" s="15" t="str">
        <f>IF(SUM(AL5:AM5,AO5:AQ5,AS5)-AN5-AR5&gt;0,SUM(AL5:AM5,AO5:AQ5,AS5)-AN5-AR5,"")</f>
        <v/>
      </c>
      <c r="BE5" s="15" t="str">
        <f>IF(SUM(AT5:AU5,AW5:AY5,BA5)-SUM(AV5,AZ5)&gt;0,SUM(AT5:AU5,AW5:AY5,BA5)-SUM(AV5,AZ5),"")</f>
        <v/>
      </c>
      <c r="BF5" s="15" t="str">
        <f>IF(SUM(BD5,BE5)&gt;0,SUM(BD5,BE5),"")</f>
        <v/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27.7</v>
      </c>
      <c r="BJ5" s="36">
        <v>3.4</v>
      </c>
      <c r="BK5" s="36">
        <v>0</v>
      </c>
      <c r="BL5" s="36">
        <v>0</v>
      </c>
      <c r="BM5" s="36">
        <v>25.1</v>
      </c>
      <c r="BN5" s="36">
        <v>1.2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4.5999999999999996</v>
      </c>
      <c r="BZ5" s="12">
        <f>IF(SUM(BI5:BJ5,BL5:BN5,BP5)-BK5-BO5&gt;0,SUM(BI5:BJ5,BL5:BN5,BP5)-BK5-BO5,"")</f>
        <v>57.400000000000006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57.400000000000006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7" si="4">IF($BB5="P",AL5,(Q5+AL5)/2)</f>
        <v>13.85</v>
      </c>
      <c r="KP5" s="63">
        <f t="shared" si="0"/>
        <v>1.8</v>
      </c>
      <c r="KQ5" s="63">
        <f t="shared" si="0"/>
        <v>0.15</v>
      </c>
      <c r="KR5" s="63">
        <f t="shared" si="0"/>
        <v>0</v>
      </c>
      <c r="KS5" s="63">
        <f t="shared" si="0"/>
        <v>12.8</v>
      </c>
      <c r="KT5" s="63">
        <f t="shared" si="0"/>
        <v>2.15</v>
      </c>
      <c r="KU5" s="63">
        <f t="shared" si="0"/>
        <v>0</v>
      </c>
      <c r="KV5" s="63">
        <f t="shared" si="0"/>
        <v>0.5</v>
      </c>
      <c r="KW5" s="63">
        <f t="shared" si="0"/>
        <v>14</v>
      </c>
      <c r="KX5" s="63">
        <f t="shared" si="0"/>
        <v>1.8</v>
      </c>
      <c r="KY5" s="63">
        <f t="shared" si="0"/>
        <v>0</v>
      </c>
      <c r="KZ5" s="63">
        <f t="shared" si="0"/>
        <v>0</v>
      </c>
      <c r="LA5" s="63">
        <f t="shared" si="0"/>
        <v>13.45</v>
      </c>
      <c r="LB5" s="63">
        <f t="shared" si="0"/>
        <v>2.0499999999999998</v>
      </c>
      <c r="LC5" s="63">
        <f t="shared" si="0"/>
        <v>0</v>
      </c>
      <c r="LD5" s="63">
        <f t="shared" si="0"/>
        <v>0</v>
      </c>
      <c r="LE5" s="74" t="s">
        <v>119</v>
      </c>
      <c r="LF5" s="12">
        <f t="shared" ref="LF5:LF7" si="5">IF(SUM(KP5,KT5)&gt;0,SUM(KP5,KT5),"")</f>
        <v>3.95</v>
      </c>
      <c r="LG5" s="12">
        <f t="shared" ref="LG5:LG7" si="6">IF(SUM(KO5:KP5,KR5:KT5,KV5)-KQ5-KU5&gt;0,SUM(KO5:KP5,KR5:KT5,KV5)-KQ5-KU5,"")</f>
        <v>30.950000000000003</v>
      </c>
      <c r="LH5" s="12">
        <f t="shared" ref="LH5:LH7" si="7">IF(SUM(KW5:KX5,KZ5:LB5,LD5)-SUM(KY5,LC5)&gt;0,SUM(KW5:KX5,KZ5:LB5,LD5)-SUM(KY5,LC5),"")</f>
        <v>31.3</v>
      </c>
      <c r="LI5" s="12">
        <f t="shared" ref="LI5:LI7" si="8">IF(SUM(LG5,LH5)&gt;0,SUM(LG5,LH5),"")</f>
        <v>62.25</v>
      </c>
    </row>
    <row r="6" spans="1:32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52</v>
      </c>
      <c r="C6" s="5" t="s">
        <v>4</v>
      </c>
      <c r="D6" s="27">
        <v>2000</v>
      </c>
      <c r="E6" s="16">
        <f>SUM(J6:N6)</f>
        <v>122.9</v>
      </c>
      <c r="F6" s="4" t="str">
        <f>IF(OR(AND(AH6&gt;=AJ$11,AI6&gt;=AJ$13,AI6&lt;&gt;"",AG6=""),AND(BC6&gt;=BE$11,BD6&gt;=BE$13,BD6&lt;&gt;"",BB6=""),AND(BY6&gt;=CA$11,BZ6&gt;=CA$13,BZ6&lt;&gt;""),AND(CS6&gt;=CU$11,CT6&gt;=CU$13,CT6&lt;&gt;""),AND(DM6&gt;=DO$11,DN6&gt;=DO$13,DN6&lt;&gt;""),AND(EG6&gt;=EI$11,EH6&gt;=EI$13,EH6&lt;&gt;""),AND(FA6&gt;=FC$11,FB6&gt;=FC$13,FB6&lt;&gt;""),AND(FU6&gt;=FW$11,FV6&gt;=FW$13,FV6&lt;&gt;""),AND(GO6&gt;=GQ$11,GP6&gt;=GQ$13,GP6&lt;&gt;""),AND(HI6&gt;=HK$11,HJ6&gt;=HK$13,HJ6&lt;&gt;""),AND(IC6&gt;=IE$11,ID6&gt;=IE$13,ID6&lt;&gt;""),AND(IW6&gt;=IY$11,IX6&gt;=IY$13,IX6&lt;&gt;""),AND(JQ6&gt;=JS$11,JR6&gt;=JS$13,JR6&lt;&gt;""),AND(KK6&gt;=KM$11,KL6&gt;=KM$13,KL6&lt;&gt;"")),"P","")</f>
        <v>P</v>
      </c>
      <c r="G6" s="4" t="str">
        <f>IF(OR(AND(AH6&gt;=AJ$11,AI6&gt;=AJ$14,AI6&lt;&gt;"",AG6=""),AND(BC6&gt;=BE$11,BD6&gt;=BE$14,BD6&lt;&gt;"",BB6=""),AND(BY6&gt;=CA$11,BZ6&gt;=CA$14,BZ6&lt;&gt;""),AND(CS6&gt;=CU$11,CT6&gt;=CU$14,CT6&lt;&gt;""),AND(DM6&gt;=DO$11,DN6&gt;=DO$14,DN6&lt;&gt;""),AND(EG6&gt;=EI$11,EH6&gt;=EI$14,EH6&lt;&gt;""),AND(FA6&gt;=FC$11,FB6&gt;=FC$14,FB6&lt;&gt;""),AND(FU6&gt;=FW$11,FV6&gt;=FW$14,FV6&lt;&gt;""),AND(GO6&gt;=GQ$11,GP6&gt;=GQ$14,GP6&lt;&gt;""),AND(HI6&gt;=HK$11,HJ6&gt;=HK$14,HJ6&lt;&gt;""),AND(IC6&gt;=IE$11,ID6&gt;=IE$14,ID6&lt;&gt;""),AND(IW6&gt;=IY$11,IX6&gt;=IY$14,IX6&lt;&gt;""),AND(JQ6&gt;=JS$11,JR6&gt;=JS$14,JR6&lt;&gt;""),AND(KK6&gt;=KM$11,KL6&gt;=KM$14,KL6&lt;&gt;"")),"P","")</f>
        <v/>
      </c>
      <c r="H6" s="4" t="str">
        <f>IF(OR(AND(AI6&gt;=AJ$13,AI6&lt;&gt;"",AG6=""),AND(BD6&gt;=BE$13,BD6&lt;&gt;"",BB6=""),AND(BZ6&gt;=CA$13,BZ6&lt;&gt;""),AND(CT6&gt;=CU$13,CT6&lt;&gt;""),AND(DN6&gt;=DO$13,DN6&lt;&gt;""),AND(EH6&gt;=EI$13,EH6&lt;&gt;""),AND(FB6&gt;=FC$13,FB6&lt;&gt;""),AND(FV6&gt;=FW$13,FV6&lt;&gt;""),AND(GP6&gt;=GQ$13,GP6&lt;&gt;""),AND(HJ6&gt;=HK$13,HJ6&lt;&gt;""),AND(ID6&gt;=IE$13,ID6&lt;&gt;""),AND(IX6&gt;=IY$13,IX6&lt;&gt;""),AND(JR6&gt;=JS$13,JR6&lt;&gt;""),AND(KL6&gt;=KM$13,KL6&lt;&gt;"")),"P","")</f>
        <v>P</v>
      </c>
      <c r="I6" t="str">
        <f>IF(AND(H6="P",F6=""),"No DD",IF(OR(AND(AI6&gt;=AJ$16,AI6&lt;&gt;"",AH6&gt;=AJ$12,AH6&lt;&gt;"",AG6=""),AND(BD6&gt;=BE$16,BD6&lt;&gt;"",BC6&gt;=BE$12,BC6&lt;&gt;"",BB6=""),AND(BZ6&gt;=CA$16,BZ6&lt;&gt;"",BY6&gt;=CA$12,BY6&lt;&gt;""),AND(CT6&gt;=CU$16,CT6&lt;&gt;"",CS6&gt;=CU$12,CS6&lt;&gt;""),AND(DN6&gt;=DO$16,DN6&lt;&gt;"",DM6&gt;=DO$12,DM6&lt;&gt;""),AND(EH6&gt;=EI$16,EH6&lt;&gt;"",EG6&gt;=EI$12,EG6&lt;&gt;""),AND(FB6&gt;=FC$16,FB6&lt;&gt;"",FA6&gt;=FC$12,FA6&lt;&gt;""),AND(FV6&gt;=FW$16,FV6&lt;&gt;"",FU6&gt;=FW$12,FU6&lt;&gt;""),AND(GP6&gt;=GQ$16,GP6&lt;&gt;"",GO6&gt;=GQ$12,GO6&lt;&gt;""),AND(HJ6&gt;=HK$16,HJ6&lt;&gt;"",HI6&gt;=HK$12,HI6&lt;&gt;""),AND(ID6&gt;=IE$16,ID6&lt;&gt;"",IC6&gt;=IE$12,IC6&lt;&gt;""),AND(IX6&gt;=IY$16,IX6&lt;&gt;"",IW6&gt;=IY$12,IW6&lt;&gt;""),AND(JR6&gt;=JS$16,JR6&lt;&gt;"",JQ6&gt;=JS$12,JQ6&lt;&gt;""),AND(KL6&gt;=KM$16,KL6&lt;&gt;"",KK6&gt;=KM$12,KK6&lt;&gt;"")),"Merit",IF(OR(AND(AI6&gt;=AJ$15,AI6&lt;&gt;"",AH6&gt;=AJ$12,AH6&lt;&gt;"",AG6=""),AND(BD6&gt;=BE$15,BD6&lt;&gt;"",BC6&gt;=BE$12,BC6&lt;&gt;"",BB6=""),AND(BZ6&gt;=CA$15,BZ6&lt;&gt;"",BY6&gt;=CA$12,BY6&lt;&gt;""),AND(CT6&gt;=CU$15,CT6&lt;&gt;"",CS6&gt;=CU$12,CS6&lt;&gt;""),AND(DN6&gt;=DO$15,DN6&lt;&gt;"",DM6&gt;=DO$12,DM6&lt;&gt;""),AND(EH6&gt;=EI$15,EH6&lt;&gt;"",EG6&gt;=EI$12,EG6&lt;&gt;""),AND(FB6&gt;=FC$15,FB6&lt;&gt;"",FA6&gt;=FC$12,FA6&lt;&gt;""),AND(FV6&gt;=FW$15,FV6&lt;&gt;"",FU6&gt;=FW$12,FU6&lt;&gt;""),AND(GP6&gt;=GQ$15,GP6&lt;&gt;"",GO6&gt;=GQ$12,GO6&lt;&gt;""),AND(HJ6&gt;=HK$15,HJ6&lt;&gt;"",HI6&gt;=HK$12,HI6&lt;&gt;""),AND(ID6&gt;=IE$15,ID6&lt;&gt;"",IC6&gt;=IE$12,IC6&lt;&gt;""),AND(IX6&gt;=IY$15,IX6&lt;&gt;"",IW6&gt;=IY$12,IW6&lt;&gt;""),AND(JR6&gt;=JS$15,JR6&lt;&gt;"",JQ6&gt;=JS$12,JQ6&lt;&gt;""),AND(KL6&gt;=KM$15,KL6&lt;&gt;"",KK6&gt;=KM$12,KK6&lt;&gt;"")),"Excellence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Worlds Team",IF(OR(AND(AI6&gt;=AJ$13,AI6&lt;&gt;"",AH6&gt;=AJ$11,AH6&lt;&gt;"",AG6=""),AND(BD6&gt;=BE$13,BD6&lt;&gt;"",BC6&gt;=BE$11,BC6&lt;&gt;"",BB6=""),AND(BZ6&gt;=CA$13,BZ6&lt;&gt;"",BY6&gt;=CA$11,BY6&lt;&gt;""),AND(CT6&gt;=CU$13,CT6&lt;&gt;"",CS6&gt;=CU$11,CS6&lt;&gt;""),AND(DN6&gt;=DO$13,DN6&lt;&gt;"",DM6&gt;=DO$11,DM6&lt;&gt;""),AND(EH6&gt;=EI$13,EH6&lt;&gt;"",EG6&gt;=EI$11,EG6&lt;&gt;""),AND(FB6&gt;=FC$13,FB6&lt;&gt;"",FA6&gt;=FC$11,FA6&lt;&gt;""),AND(FV6&gt;=FW$13,FV6&lt;&gt;"",FU6&gt;=FW$11,FU6&lt;&gt;""),AND(GP6&gt;=GQ$13,GP6&lt;&gt;"",GO6&gt;=GQ$11,GO6&lt;&gt;""),AND(HJ6&gt;=HK$13,HJ6&lt;&gt;"",HI6&gt;=HK$11,HI6&lt;&gt;""),AND(ID6&gt;=IE$13,ID6&lt;&gt;"",IC6&gt;=IE$11,IC6&lt;&gt;""),AND(IX6&gt;=IY$13,IX6&lt;&gt;"",IW6&gt;=IY$11,IW6&lt;&gt;""),AND(JR6&gt;=JS$13,JR6&lt;&gt;"",JQ6&gt;=JS$11,JQ6&lt;&gt;""),AND(KL6&gt;=KM$13,KL6&lt;&gt;"",KK6&gt;=KM$11,KK6&lt;&gt;"")),"National Team","")))))</f>
        <v>National Team</v>
      </c>
      <c r="J6" s="15">
        <f>IF(MAX(AI6,BD6)&gt;0,MAX(AI6,BD6),"")</f>
        <v>61.6</v>
      </c>
      <c r="K6" s="15" t="str">
        <f>IF(J6="","",IF(J6=BD6,$AL$1,IF(J6=AI6,$Q$1,"")))</f>
        <v>2018 Nationals</v>
      </c>
      <c r="L6" s="15">
        <f>IF(MAX(AJ6,BE6)&gt;0,MAX(AJ6,BE6),"")</f>
        <v>61.300000000000004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27.6</v>
      </c>
      <c r="R6" s="38">
        <v>3.6</v>
      </c>
      <c r="S6" s="38">
        <v>0</v>
      </c>
      <c r="T6" s="38">
        <v>0</v>
      </c>
      <c r="U6" s="38">
        <v>26.3</v>
      </c>
      <c r="V6" s="38">
        <v>4.0999999999999996</v>
      </c>
      <c r="W6" s="38">
        <v>0</v>
      </c>
      <c r="X6" s="38">
        <v>0</v>
      </c>
      <c r="Y6" s="38">
        <v>27.1</v>
      </c>
      <c r="Z6" s="38">
        <v>3.6</v>
      </c>
      <c r="AA6" s="38">
        <v>0</v>
      </c>
      <c r="AB6" s="38">
        <v>0</v>
      </c>
      <c r="AC6" s="38">
        <v>26.5</v>
      </c>
      <c r="AD6" s="38">
        <v>4.0999999999999996</v>
      </c>
      <c r="AE6" s="38">
        <v>0</v>
      </c>
      <c r="AF6" s="38">
        <v>0</v>
      </c>
      <c r="AG6" s="74"/>
      <c r="AH6" s="12">
        <f>IF(SUM(R6,V6)&gt;0,SUM(R6,V6),"")</f>
        <v>7.6999999999999993</v>
      </c>
      <c r="AI6" s="12">
        <f>IF(SUM(Q6:R6,T6:V6,X6)-S6-W6&gt;0,SUM(Q6:R6,T6:V6,X6)-S6-W6,"")</f>
        <v>61.6</v>
      </c>
      <c r="AJ6" s="12">
        <f>IF(SUM(Y6:Z6,AB6:AD6,AF6)-SUM(AA6,AE6)&gt;0,SUM(Y6:Z6,AB6:AD6,AF6)-SUM(AA6,AE6),"")</f>
        <v>61.300000000000004</v>
      </c>
      <c r="AK6" s="12">
        <f>IF(SUM(AI6,AJ6)&gt;0,SUM(AI6,AJ6),"")</f>
        <v>122.9</v>
      </c>
      <c r="AL6" s="37">
        <v>27</v>
      </c>
      <c r="AM6" s="37">
        <v>3.6</v>
      </c>
      <c r="AN6" s="37">
        <v>0</v>
      </c>
      <c r="AO6" s="37">
        <v>0</v>
      </c>
      <c r="AP6" s="37">
        <v>26.25</v>
      </c>
      <c r="AQ6" s="37">
        <v>3.3</v>
      </c>
      <c r="AR6" s="37">
        <v>0</v>
      </c>
      <c r="AS6" s="37">
        <v>0</v>
      </c>
      <c r="AT6" s="37">
        <v>27</v>
      </c>
      <c r="AU6" s="37">
        <v>3.6</v>
      </c>
      <c r="AV6" s="37">
        <v>0</v>
      </c>
      <c r="AW6" s="37">
        <v>0</v>
      </c>
      <c r="AX6" s="37">
        <v>24.45</v>
      </c>
      <c r="AY6" s="37">
        <v>4.0999999999999996</v>
      </c>
      <c r="AZ6" s="37">
        <v>0.3</v>
      </c>
      <c r="BA6" s="37">
        <v>0</v>
      </c>
      <c r="BB6" s="75" t="s">
        <v>119</v>
      </c>
      <c r="BC6" s="15">
        <f>IF(SUM(AM6,AQ6)&gt;0,SUM(AM6,AQ6),"")</f>
        <v>6.9</v>
      </c>
      <c r="BD6" s="15">
        <f>IF(SUM(AL6:AM6,AO6:AQ6,AS6)-AN6-AR6&gt;0,SUM(AL6:AM6,AO6:AQ6,AS6)-AN6-AR6,"")</f>
        <v>60.15</v>
      </c>
      <c r="BE6" s="15">
        <f>IF(SUM(AT6:AU6,AW6:AY6,BA6)-SUM(AV6,AZ6)&gt;0,SUM(AT6:AU6,AW6:AY6,BA6)-SUM(AV6,AZ6),"")</f>
        <v>58.85</v>
      </c>
      <c r="BF6" s="15">
        <f>IF(SUM(BD6,BE6)&gt;0,SUM(BD6,BE6),"")</f>
        <v>119</v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26.4</v>
      </c>
      <c r="BJ6" s="36">
        <v>3.6</v>
      </c>
      <c r="BK6" s="36">
        <v>0</v>
      </c>
      <c r="BL6" s="36">
        <v>0</v>
      </c>
      <c r="BM6" s="36">
        <v>25.8</v>
      </c>
      <c r="BN6" s="36">
        <v>4.0999999999999996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7.6999999999999993</v>
      </c>
      <c r="BZ6" s="12">
        <f>IF(SUM(BI6:BJ6,BL6:BN6,BP6)-BK6-BO6&gt;0,SUM(BI6:BJ6,BL6:BN6,BP6)-BK6-BO6,"")</f>
        <v>59.6</v>
      </c>
      <c r="CA6" s="12" t="str">
        <f>IF(SUM(BQ6:BR6,BT6:BV6,BX6)-SUM(BS6,BW6)&gt;0,SUM(BQ6:BR6,BT6:BV6,BX6)-SUM(BS6,BW6),"")</f>
        <v/>
      </c>
      <c r="CB6" s="12">
        <f>IF(SUM(BZ6,CA6)&gt;0,SUM(BZ6,CA6),"")</f>
        <v>59.6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4"/>
        <v>27</v>
      </c>
      <c r="KP6" s="63">
        <f t="shared" si="0"/>
        <v>3.6</v>
      </c>
      <c r="KQ6" s="63">
        <f t="shared" si="0"/>
        <v>0</v>
      </c>
      <c r="KR6" s="63">
        <f t="shared" si="0"/>
        <v>0</v>
      </c>
      <c r="KS6" s="63">
        <f t="shared" si="0"/>
        <v>26.25</v>
      </c>
      <c r="KT6" s="63">
        <f t="shared" si="0"/>
        <v>3.3</v>
      </c>
      <c r="KU6" s="63">
        <f t="shared" si="0"/>
        <v>0</v>
      </c>
      <c r="KV6" s="63">
        <f t="shared" si="0"/>
        <v>0</v>
      </c>
      <c r="KW6" s="63">
        <f t="shared" si="0"/>
        <v>27</v>
      </c>
      <c r="KX6" s="63">
        <f t="shared" si="0"/>
        <v>3.6</v>
      </c>
      <c r="KY6" s="63">
        <f t="shared" si="0"/>
        <v>0</v>
      </c>
      <c r="KZ6" s="63">
        <f t="shared" si="0"/>
        <v>0</v>
      </c>
      <c r="LA6" s="63">
        <f t="shared" si="0"/>
        <v>24.45</v>
      </c>
      <c r="LB6" s="63">
        <f t="shared" si="0"/>
        <v>4.0999999999999996</v>
      </c>
      <c r="LC6" s="63">
        <f t="shared" si="0"/>
        <v>0.3</v>
      </c>
      <c r="LD6" s="63">
        <f t="shared" si="0"/>
        <v>0</v>
      </c>
      <c r="LE6" s="74" t="s">
        <v>119</v>
      </c>
      <c r="LF6" s="12">
        <f t="shared" si="5"/>
        <v>6.9</v>
      </c>
      <c r="LG6" s="12">
        <f t="shared" si="6"/>
        <v>60.15</v>
      </c>
      <c r="LH6" s="12">
        <f t="shared" si="7"/>
        <v>58.85</v>
      </c>
      <c r="LI6" s="12">
        <f t="shared" si="8"/>
        <v>119</v>
      </c>
    </row>
    <row r="7" spans="1:32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113</v>
      </c>
      <c r="C7" s="5" t="s">
        <v>4</v>
      </c>
      <c r="D7" s="27">
        <v>2001</v>
      </c>
      <c r="E7" s="16">
        <f>SUM(J7:N7)</f>
        <v>121.9</v>
      </c>
      <c r="F7" s="4" t="str">
        <f>IF(OR(AND(AH7&gt;=AJ$11,AI7&gt;=AJ$13,AI7&lt;&gt;"",AG7=""),AND(BC7&gt;=BE$11,BD7&gt;=BE$13,BD7&lt;&gt;"",BB7=""),AND(BY7&gt;=CA$11,BZ7&gt;=CA$13,BZ7&lt;&gt;""),AND(CS7&gt;=CU$11,CT7&gt;=CU$13,CT7&lt;&gt;""),AND(DM7&gt;=DO$11,DN7&gt;=DO$13,DN7&lt;&gt;""),AND(EG7&gt;=EI$11,EH7&gt;=EI$13,EH7&lt;&gt;""),AND(FA7&gt;=FC$11,FB7&gt;=FC$13,FB7&lt;&gt;""),AND(FU7&gt;=FW$11,FV7&gt;=FW$13,FV7&lt;&gt;""),AND(GO7&gt;=GQ$11,GP7&gt;=GQ$13,GP7&lt;&gt;""),AND(HI7&gt;=HK$11,HJ7&gt;=HK$13,HJ7&lt;&gt;""),AND(IC7&gt;=IE$11,ID7&gt;=IE$13,ID7&lt;&gt;""),AND(IW7&gt;=IY$11,IX7&gt;=IY$13,IX7&lt;&gt;""),AND(JQ7&gt;=JS$11,JR7&gt;=JS$13,JR7&lt;&gt;""),AND(KK7&gt;=KM$11,KL7&gt;=KM$13,KL7&lt;&gt;"")),"P","")</f>
        <v>P</v>
      </c>
      <c r="G7" s="4" t="str">
        <f>IF(OR(AND(AH7&gt;=AJ$11,AI7&gt;=AJ$14,AI7&lt;&gt;"",AG7=""),AND(BC7&gt;=BE$11,BD7&gt;=BE$14,BD7&lt;&gt;"",BB7=""),AND(BY7&gt;=CA$11,BZ7&gt;=CA$14,BZ7&lt;&gt;""),AND(CS7&gt;=CU$11,CT7&gt;=CU$14,CT7&lt;&gt;""),AND(DM7&gt;=DO$11,DN7&gt;=DO$14,DN7&lt;&gt;""),AND(EG7&gt;=EI$11,EH7&gt;=EI$14,EH7&lt;&gt;""),AND(FA7&gt;=FC$11,FB7&gt;=FC$14,FB7&lt;&gt;""),AND(FU7&gt;=FW$11,FV7&gt;=FW$14,FV7&lt;&gt;""),AND(GO7&gt;=GQ$11,GP7&gt;=GQ$14,GP7&lt;&gt;""),AND(HI7&gt;=HK$11,HJ7&gt;=HK$14,HJ7&lt;&gt;""),AND(IC7&gt;=IE$11,ID7&gt;=IE$14,ID7&lt;&gt;""),AND(IW7&gt;=IY$11,IX7&gt;=IY$14,IX7&lt;&gt;""),AND(JQ7&gt;=JS$11,JR7&gt;=JS$14,JR7&lt;&gt;""),AND(KK7&gt;=KM$11,KL7&gt;=KM$14,KL7&lt;&gt;"")),"P","")</f>
        <v/>
      </c>
      <c r="H7" s="4" t="str">
        <f>IF(OR(AND(AI7&gt;=AJ$13,AI7&lt;&gt;"",AG7=""),AND(BD7&gt;=BE$13,BD7&lt;&gt;"",BB7=""),AND(BZ7&gt;=CA$13,BZ7&lt;&gt;""),AND(CT7&gt;=CU$13,CT7&lt;&gt;""),AND(DN7&gt;=DO$13,DN7&lt;&gt;""),AND(EH7&gt;=EI$13,EH7&lt;&gt;""),AND(FB7&gt;=FC$13,FB7&lt;&gt;""),AND(FV7&gt;=FW$13,FV7&lt;&gt;""),AND(GP7&gt;=GQ$13,GP7&lt;&gt;""),AND(HJ7&gt;=HK$13,HJ7&lt;&gt;""),AND(ID7&gt;=IE$13,ID7&lt;&gt;""),AND(IX7&gt;=IY$13,IX7&lt;&gt;""),AND(JR7&gt;=JS$13,JR7&lt;&gt;""),AND(KL7&gt;=KM$13,KL7&lt;&gt;"")),"P","")</f>
        <v>P</v>
      </c>
      <c r="I7" t="str">
        <f>IF(AND(H7="P",F7=""),"No DD",IF(OR(AND(AI7&gt;=AJ$16,AI7&lt;&gt;"",AH7&gt;=AJ$12,AH7&lt;&gt;"",AG7=""),AND(BD7&gt;=BE$16,BD7&lt;&gt;"",BC7&gt;=BE$12,BC7&lt;&gt;"",BB7=""),AND(BZ7&gt;=CA$16,BZ7&lt;&gt;"",BY7&gt;=CA$12,BY7&lt;&gt;""),AND(CT7&gt;=CU$16,CT7&lt;&gt;"",CS7&gt;=CU$12,CS7&lt;&gt;""),AND(DN7&gt;=DO$16,DN7&lt;&gt;"",DM7&gt;=DO$12,DM7&lt;&gt;""),AND(EH7&gt;=EI$16,EH7&lt;&gt;"",EG7&gt;=EI$12,EG7&lt;&gt;""),AND(FB7&gt;=FC$16,FB7&lt;&gt;"",FA7&gt;=FC$12,FA7&lt;&gt;""),AND(FV7&gt;=FW$16,FV7&lt;&gt;"",FU7&gt;=FW$12,FU7&lt;&gt;""),AND(GP7&gt;=GQ$16,GP7&lt;&gt;"",GO7&gt;=GQ$12,GO7&lt;&gt;""),AND(HJ7&gt;=HK$16,HJ7&lt;&gt;"",HI7&gt;=HK$12,HI7&lt;&gt;""),AND(ID7&gt;=IE$16,ID7&lt;&gt;"",IC7&gt;=IE$12,IC7&lt;&gt;""),AND(IX7&gt;=IY$16,IX7&lt;&gt;"",IW7&gt;=IY$12,IW7&lt;&gt;""),AND(JR7&gt;=JS$16,JR7&lt;&gt;"",JQ7&gt;=JS$12,JQ7&lt;&gt;""),AND(KL7&gt;=KM$16,KL7&lt;&gt;"",KK7&gt;=KM$12,KK7&lt;&gt;"")),"Merit",IF(OR(AND(AI7&gt;=AJ$15,AI7&lt;&gt;"",AH7&gt;=AJ$12,AH7&lt;&gt;"",AG7=""),AND(BD7&gt;=BE$15,BD7&lt;&gt;"",BC7&gt;=BE$12,BC7&lt;&gt;"",BB7=""),AND(BZ7&gt;=CA$15,BZ7&lt;&gt;"",BY7&gt;=CA$12,BY7&lt;&gt;""),AND(CT7&gt;=CU$15,CT7&lt;&gt;"",CS7&gt;=CU$12,CS7&lt;&gt;""),AND(DN7&gt;=DO$15,DN7&lt;&gt;"",DM7&gt;=DO$12,DM7&lt;&gt;""),AND(EH7&gt;=EI$15,EH7&lt;&gt;"",EG7&gt;=EI$12,EG7&lt;&gt;""),AND(FB7&gt;=FC$15,FB7&lt;&gt;"",FA7&gt;=FC$12,FA7&lt;&gt;""),AND(FV7&gt;=FW$15,FV7&lt;&gt;"",FU7&gt;=FW$12,FU7&lt;&gt;""),AND(GP7&gt;=GQ$15,GP7&lt;&gt;"",GO7&gt;=GQ$12,GO7&lt;&gt;""),AND(HJ7&gt;=HK$15,HJ7&lt;&gt;"",HI7&gt;=HK$12,HI7&lt;&gt;""),AND(ID7&gt;=IE$15,ID7&lt;&gt;"",IC7&gt;=IE$12,IC7&lt;&gt;""),AND(IX7&gt;=IY$15,IX7&lt;&gt;"",IW7&gt;=IY$12,IW7&lt;&gt;""),AND(JR7&gt;=JS$15,JR7&lt;&gt;"",JQ7&gt;=JS$12,JQ7&lt;&gt;""),AND(KL7&gt;=KM$15,KL7&lt;&gt;"",KK7&gt;=KM$12,KK7&lt;&gt;"")),"Excellence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Worlds Team",IF(OR(AND(AI7&gt;=AJ$13,AI7&lt;&gt;"",AH7&gt;=AJ$11,AH7&lt;&gt;"",AG7=""),AND(BD7&gt;=BE$13,BD7&lt;&gt;"",BC7&gt;=BE$11,BC7&lt;&gt;"",BB7=""),AND(BZ7&gt;=CA$13,BZ7&lt;&gt;"",BY7&gt;=CA$11,BY7&lt;&gt;""),AND(CT7&gt;=CU$13,CT7&lt;&gt;"",CS7&gt;=CU$11,CS7&lt;&gt;""),AND(DN7&gt;=DO$13,DN7&lt;&gt;"",DM7&gt;=DO$11,DM7&lt;&gt;""),AND(EH7&gt;=EI$13,EH7&lt;&gt;"",EG7&gt;=EI$11,EG7&lt;&gt;""),AND(FB7&gt;=FC$13,FB7&lt;&gt;"",FA7&gt;=FC$11,FA7&lt;&gt;""),AND(FV7&gt;=FW$13,FV7&lt;&gt;"",FU7&gt;=FW$11,FU7&lt;&gt;""),AND(GP7&gt;=GQ$13,GP7&lt;&gt;"",GO7&gt;=GQ$11,GO7&lt;&gt;""),AND(HJ7&gt;=HK$13,HJ7&lt;&gt;"",HI7&gt;=HK$11,HI7&lt;&gt;""),AND(ID7&gt;=IE$13,ID7&lt;&gt;"",IC7&gt;=IE$11,IC7&lt;&gt;""),AND(IX7&gt;=IY$13,IX7&lt;&gt;"",IW7&gt;=IY$11,IW7&lt;&gt;""),AND(JR7&gt;=JS$13,JR7&lt;&gt;"",JQ7&gt;=JS$11,JQ7&lt;&gt;""),AND(KL7&gt;=KM$13,KL7&lt;&gt;"",KK7&gt;=KM$11,KK7&lt;&gt;"")),"National Team","")))))</f>
        <v>National Team</v>
      </c>
      <c r="J7" s="15">
        <f>IF(MAX(AI7,BD7)&gt;0,MAX(AI7,BD7),"")</f>
        <v>60.6</v>
      </c>
      <c r="K7" s="15" t="str">
        <f>IF(J7="","",IF(J7=BD7,$AL$1,IF(J7=AI7,$Q$1,"")))</f>
        <v>2018 Nationals</v>
      </c>
      <c r="L7" s="15">
        <f>IF(MAX(AJ7,BE7)&gt;0,MAX(AJ7,BE7),"")</f>
        <v>61.300000000000004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38">
        <v>26.8</v>
      </c>
      <c r="R7" s="38">
        <v>3.6</v>
      </c>
      <c r="S7" s="38">
        <v>0</v>
      </c>
      <c r="T7" s="38">
        <v>0</v>
      </c>
      <c r="U7" s="38">
        <v>26.1</v>
      </c>
      <c r="V7" s="38">
        <v>4.0999999999999996</v>
      </c>
      <c r="W7" s="38">
        <v>0</v>
      </c>
      <c r="X7" s="38">
        <v>0</v>
      </c>
      <c r="Y7" s="38">
        <v>27.5</v>
      </c>
      <c r="Z7" s="38">
        <v>3.6</v>
      </c>
      <c r="AA7" s="38">
        <v>0</v>
      </c>
      <c r="AB7" s="38">
        <v>0</v>
      </c>
      <c r="AC7" s="38">
        <v>26.6</v>
      </c>
      <c r="AD7" s="38">
        <v>3.6</v>
      </c>
      <c r="AE7" s="38">
        <v>0</v>
      </c>
      <c r="AF7" s="38">
        <v>0</v>
      </c>
      <c r="AG7" s="74"/>
      <c r="AH7" s="12">
        <f>IF(SUM(R7,V7)&gt;0,SUM(R7,V7),"")</f>
        <v>7.6999999999999993</v>
      </c>
      <c r="AI7" s="12">
        <f>IF(SUM(Q7:R7,T7:V7,X7)-S7-W7&gt;0,SUM(Q7:R7,T7:V7,X7)-S7-W7,"")</f>
        <v>60.6</v>
      </c>
      <c r="AJ7" s="12">
        <f>IF(SUM(Y7:Z7,AB7:AD7,AF7)-SUM(AA7,AE7)&gt;0,SUM(Y7:Z7,AB7:AD7,AF7)-SUM(AA7,AE7),"")</f>
        <v>61.300000000000004</v>
      </c>
      <c r="AK7" s="12">
        <f>IF(SUM(AI7,AJ7)&gt;0,SUM(AI7,AJ7),"")</f>
        <v>121.9</v>
      </c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75"/>
      <c r="BC7" s="15" t="str">
        <f>IF(SUM(AM7,AQ7)&gt;0,SUM(AM7,AQ7),"")</f>
        <v/>
      </c>
      <c r="BD7" s="15" t="str">
        <f>IF(SUM(AL7:AM7,AO7:AQ7,AS7)-AN7-AR7&gt;0,SUM(AL7:AM7,AO7:AQ7,AS7)-AN7-AR7,"")</f>
        <v/>
      </c>
      <c r="BE7" s="15" t="str">
        <f>IF(SUM(AT7:AU7,AW7:AY7,BA7)-SUM(AV7,AZ7)&gt;0,SUM(AT7:AU7,AW7:AY7,BA7)-SUM(AV7,AZ7),"")</f>
        <v/>
      </c>
      <c r="BF7" s="15" t="str">
        <f>IF(SUM(BD7,BE7)&gt;0,SUM(BD7,BE7),"")</f>
        <v/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>
        <v>26.5</v>
      </c>
      <c r="BJ7" s="36">
        <v>3.6</v>
      </c>
      <c r="BK7" s="36">
        <v>0</v>
      </c>
      <c r="BL7" s="36">
        <v>0</v>
      </c>
      <c r="BM7" s="36">
        <v>22.8</v>
      </c>
      <c r="BN7" s="36">
        <v>4.0999999999999996</v>
      </c>
      <c r="BO7" s="36">
        <v>0.6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>IF(SUM(BJ7,BN7)&gt;0,SUM(BJ7,BN7),"")</f>
        <v>7.6999999999999993</v>
      </c>
      <c r="BZ7" s="12">
        <f>IF(SUM(BI7:BJ7,BL7:BN7,BP7)-BK7-BO7&gt;0,SUM(BI7:BJ7,BL7:BN7,BP7)-BK7-BO7,"")</f>
        <v>56.400000000000006</v>
      </c>
      <c r="CA7" s="12" t="str">
        <f>IF(SUM(BQ7:BR7,BT7:BV7,BX7)-SUM(BS7,BW7)&gt;0,SUM(BQ7:BR7,BT7:BV7,BX7)-SUM(BS7,BW7),"")</f>
        <v/>
      </c>
      <c r="CB7" s="12">
        <f>IF(SUM(BZ7,CA7)&gt;0,SUM(BZ7,CA7),"")</f>
        <v>56.400000000000006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4"/>
        <v>13.4</v>
      </c>
      <c r="KP7" s="63">
        <f t="shared" si="0"/>
        <v>1.8</v>
      </c>
      <c r="KQ7" s="63">
        <f t="shared" si="0"/>
        <v>0</v>
      </c>
      <c r="KR7" s="63">
        <f t="shared" si="0"/>
        <v>0</v>
      </c>
      <c r="KS7" s="63">
        <f t="shared" si="0"/>
        <v>13.05</v>
      </c>
      <c r="KT7" s="63">
        <f t="shared" si="0"/>
        <v>2.0499999999999998</v>
      </c>
      <c r="KU7" s="63">
        <f t="shared" si="0"/>
        <v>0</v>
      </c>
      <c r="KV7" s="63">
        <f t="shared" si="0"/>
        <v>0</v>
      </c>
      <c r="KW7" s="63">
        <f t="shared" si="0"/>
        <v>13.75</v>
      </c>
      <c r="KX7" s="63">
        <f t="shared" si="0"/>
        <v>1.8</v>
      </c>
      <c r="KY7" s="63">
        <f t="shared" si="0"/>
        <v>0</v>
      </c>
      <c r="KZ7" s="63">
        <f t="shared" si="0"/>
        <v>0</v>
      </c>
      <c r="LA7" s="63">
        <f t="shared" si="0"/>
        <v>13.3</v>
      </c>
      <c r="LB7" s="63">
        <f t="shared" si="0"/>
        <v>1.8</v>
      </c>
      <c r="LC7" s="63">
        <f t="shared" si="0"/>
        <v>0</v>
      </c>
      <c r="LD7" s="63">
        <f t="shared" si="0"/>
        <v>0</v>
      </c>
      <c r="LE7" s="74" t="s">
        <v>119</v>
      </c>
      <c r="LF7" s="12">
        <f t="shared" si="5"/>
        <v>3.8499999999999996</v>
      </c>
      <c r="LG7" s="12">
        <f t="shared" si="6"/>
        <v>30.3</v>
      </c>
      <c r="LH7" s="12">
        <f t="shared" si="7"/>
        <v>30.650000000000002</v>
      </c>
      <c r="LI7" s="12">
        <f t="shared" si="8"/>
        <v>60.95</v>
      </c>
    </row>
    <row r="8" spans="1:32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129</v>
      </c>
      <c r="C8" s="5" t="s">
        <v>3</v>
      </c>
      <c r="D8" s="27">
        <v>2003</v>
      </c>
      <c r="E8" s="16">
        <f>SUM(J8:N8)</f>
        <v>113.10000000000001</v>
      </c>
      <c r="F8" s="4" t="str">
        <f>IF(OR(AND(AH8&gt;=AJ$11,AI8&gt;=AJ$13,AI8&lt;&gt;"",AG8=""),AND(BC8&gt;=BE$11,BD8&gt;=BE$13,BD8&lt;&gt;"",BB8=""),AND(BY8&gt;=CA$11,BZ8&gt;=CA$13,BZ8&lt;&gt;""),AND(CS8&gt;=CU$11,CT8&gt;=CU$13,CT8&lt;&gt;""),AND(DM8&gt;=DO$11,DN8&gt;=DO$13,DN8&lt;&gt;""),AND(EG8&gt;=EI$11,EH8&gt;=EI$13,EH8&lt;&gt;""),AND(FA8&gt;=FC$11,FB8&gt;=FC$13,FB8&lt;&gt;""),AND(FU8&gt;=FW$11,FV8&gt;=FW$13,FV8&lt;&gt;""),AND(GO8&gt;=GQ$11,GP8&gt;=GQ$13,GP8&lt;&gt;""),AND(HI8&gt;=HK$11,HJ8&gt;=HK$13,HJ8&lt;&gt;""),AND(IC8&gt;=IE$11,ID8&gt;=IE$13,ID8&lt;&gt;""),AND(IW8&gt;=IY$11,IX8&gt;=IY$13,IX8&lt;&gt;""),AND(JQ8&gt;=JS$11,JR8&gt;=JS$13,JR8&lt;&gt;""),AND(KK8&gt;=KM$11,KL8&gt;=KM$13,KL8&lt;&gt;"")),"P","")</f>
        <v/>
      </c>
      <c r="G8" s="4" t="str">
        <f>IF(OR(AND(AH8&gt;=AJ$11,AI8&gt;=AJ$14,AI8&lt;&gt;"",AG8=""),AND(BC8&gt;=BE$11,BD8&gt;=BE$14,BD8&lt;&gt;"",BB8=""),AND(BY8&gt;=CA$11,BZ8&gt;=CA$14,BZ8&lt;&gt;""),AND(CS8&gt;=CU$11,CT8&gt;=CU$14,CT8&lt;&gt;""),AND(DM8&gt;=DO$11,DN8&gt;=DO$14,DN8&lt;&gt;""),AND(EG8&gt;=EI$11,EH8&gt;=EI$14,EH8&lt;&gt;""),AND(FA8&gt;=FC$11,FB8&gt;=FC$14,FB8&lt;&gt;""),AND(FU8&gt;=FW$11,FV8&gt;=FW$14,FV8&lt;&gt;""),AND(GO8&gt;=GQ$11,GP8&gt;=GQ$14,GP8&lt;&gt;""),AND(HI8&gt;=HK$11,HJ8&gt;=HK$14,HJ8&lt;&gt;""),AND(IC8&gt;=IE$11,ID8&gt;=IE$14,ID8&lt;&gt;""),AND(IW8&gt;=IY$11,IX8&gt;=IY$14,IX8&lt;&gt;""),AND(JQ8&gt;=JS$11,JR8&gt;=JS$14,JR8&lt;&gt;""),AND(KK8&gt;=KM$11,KL8&gt;=KM$14,KL8&lt;&gt;"")),"P","")</f>
        <v/>
      </c>
      <c r="H8" s="4" t="str">
        <f>IF(OR(AND(AI8&gt;=AJ$13,AI8&lt;&gt;"",AG8=""),AND(BD8&gt;=BE$13,BD8&lt;&gt;"",BB8=""),AND(BZ8&gt;=CA$13,BZ8&lt;&gt;""),AND(CT8&gt;=CU$13,CT8&lt;&gt;""),AND(DN8&gt;=DO$13,DN8&lt;&gt;""),AND(EH8&gt;=EI$13,EH8&lt;&gt;""),AND(FB8&gt;=FC$13,FB8&lt;&gt;""),AND(FV8&gt;=FW$13,FV8&lt;&gt;""),AND(GP8&gt;=GQ$13,GP8&lt;&gt;""),AND(HJ8&gt;=HK$13,HJ8&lt;&gt;""),AND(ID8&gt;=IE$13,ID8&lt;&gt;""),AND(IX8&gt;=IY$13,IX8&lt;&gt;""),AND(JR8&gt;=JS$13,JR8&lt;&gt;""),AND(KL8&gt;=KM$13,KL8&lt;&gt;"")),"P","")</f>
        <v/>
      </c>
      <c r="I8" t="str">
        <f>IF(AND(H8="P",F8=""),"No DD",IF(OR(AND(AI8&gt;=AJ$16,AI8&lt;&gt;"",AH8&gt;=AJ$12,AH8&lt;&gt;"",AG8=""),AND(BD8&gt;=BE$16,BD8&lt;&gt;"",BC8&gt;=BE$12,BC8&lt;&gt;"",BB8=""),AND(BZ8&gt;=CA$16,BZ8&lt;&gt;"",BY8&gt;=CA$12,BY8&lt;&gt;""),AND(CT8&gt;=CU$16,CT8&lt;&gt;"",CS8&gt;=CU$12,CS8&lt;&gt;""),AND(DN8&gt;=DO$16,DN8&lt;&gt;"",DM8&gt;=DO$12,DM8&lt;&gt;""),AND(EH8&gt;=EI$16,EH8&lt;&gt;"",EG8&gt;=EI$12,EG8&lt;&gt;""),AND(FB8&gt;=FC$16,FB8&lt;&gt;"",FA8&gt;=FC$12,FA8&lt;&gt;""),AND(FV8&gt;=FW$16,FV8&lt;&gt;"",FU8&gt;=FW$12,FU8&lt;&gt;""),AND(GP8&gt;=GQ$16,GP8&lt;&gt;"",GO8&gt;=GQ$12,GO8&lt;&gt;""),AND(HJ8&gt;=HK$16,HJ8&lt;&gt;"",HI8&gt;=HK$12,HI8&lt;&gt;""),AND(ID8&gt;=IE$16,ID8&lt;&gt;"",IC8&gt;=IE$12,IC8&lt;&gt;""),AND(IX8&gt;=IY$16,IX8&lt;&gt;"",IW8&gt;=IY$12,IW8&lt;&gt;""),AND(JR8&gt;=JS$16,JR8&lt;&gt;"",JQ8&gt;=JS$12,JQ8&lt;&gt;""),AND(KL8&gt;=KM$16,KL8&lt;&gt;"",KK8&gt;=KM$12,KK8&lt;&gt;"")),"Merit",IF(OR(AND(AI8&gt;=AJ$15,AI8&lt;&gt;"",AH8&gt;=AJ$12,AH8&lt;&gt;"",AG8=""),AND(BD8&gt;=BE$15,BD8&lt;&gt;"",BC8&gt;=BE$12,BC8&lt;&gt;"",BB8=""),AND(BZ8&gt;=CA$15,BZ8&lt;&gt;"",BY8&gt;=CA$12,BY8&lt;&gt;""),AND(CT8&gt;=CU$15,CT8&lt;&gt;"",CS8&gt;=CU$12,CS8&lt;&gt;""),AND(DN8&gt;=DO$15,DN8&lt;&gt;"",DM8&gt;=DO$12,DM8&lt;&gt;""),AND(EH8&gt;=EI$15,EH8&lt;&gt;"",EG8&gt;=EI$12,EG8&lt;&gt;""),AND(FB8&gt;=FC$15,FB8&lt;&gt;"",FA8&gt;=FC$12,FA8&lt;&gt;""),AND(FV8&gt;=FW$15,FV8&lt;&gt;"",FU8&gt;=FW$12,FU8&lt;&gt;""),AND(GP8&gt;=GQ$15,GP8&lt;&gt;"",GO8&gt;=GQ$12,GO8&lt;&gt;""),AND(HJ8&gt;=HK$15,HJ8&lt;&gt;"",HI8&gt;=HK$12,HI8&lt;&gt;""),AND(ID8&gt;=IE$15,ID8&lt;&gt;"",IC8&gt;=IE$12,IC8&lt;&gt;""),AND(IX8&gt;=IY$15,IX8&lt;&gt;"",IW8&gt;=IY$12,IW8&lt;&gt;""),AND(JR8&gt;=JS$15,JR8&lt;&gt;"",JQ8&gt;=JS$12,JQ8&lt;&gt;""),AND(KL8&gt;=KM$15,KL8&lt;&gt;"",KK8&gt;=KM$12,KK8&lt;&gt;"")),"Excellence",IF(OR(AND(AI8&gt;=AJ$14,AI8&lt;&gt;"",AH8&gt;=AJ$11,AH8&lt;&gt;"",AG8=""),AND(BD8&gt;=BE$14,BD8&lt;&gt;"",BC8&gt;=BE$11,BC8&lt;&gt;"",BB8=""),AND(BZ8&gt;=CA$14,BZ8&lt;&gt;"",BY8&gt;=CA$11,BY8&lt;&gt;""),AND(CT8&gt;=CU$14,CT8&lt;&gt;"",CS8&gt;=CU$11,CS8&lt;&gt;""),AND(DN8&gt;=DO$14,DN8&lt;&gt;"",DM8&gt;=DO$11,DM8&lt;&gt;""),AND(EH8&gt;=EI$14,EH8&lt;&gt;"",EG8&gt;=EI$11,EG8&lt;&gt;""),AND(FB8&gt;=FC$14,FB8&lt;&gt;"",FA8&gt;=FC$11,FA8&lt;&gt;""),AND(FV8&gt;=FW$14,FV8&lt;&gt;"",FU8&gt;=FW$11,FU8&lt;&gt;""),AND(GP8&gt;=GQ$14,GP8&lt;&gt;"",GO8&gt;=GQ$11,GO8&lt;&gt;""),AND(HJ8&gt;=HK$14,HJ8&lt;&gt;"",HI8&gt;=HK$11,HI8&lt;&gt;""),AND(ID8&gt;=IE$14,ID8&lt;&gt;"",IC8&gt;=IE$11,IC8&lt;&gt;""),AND(IX8&gt;=IY$14,IX8&lt;&gt;"",IW8&gt;=IY$11,IW8&lt;&gt;""),AND(JR8&gt;=JS$14,JR8&lt;&gt;"",JQ8&gt;=JS$11,JQ8&lt;&gt;""),AND(KL8&gt;=KM$14,KL8&lt;&gt;"",KK8&gt;=KM$11,KK8&lt;&gt;"")),"Worlds Team",IF(OR(AND(AI8&gt;=AJ$13,AI8&lt;&gt;"",AH8&gt;=AJ$11,AH8&lt;&gt;"",AG8=""),AND(BD8&gt;=BE$13,BD8&lt;&gt;"",BC8&gt;=BE$11,BC8&lt;&gt;"",BB8=""),AND(BZ8&gt;=CA$13,BZ8&lt;&gt;"",BY8&gt;=CA$11,BY8&lt;&gt;""),AND(CT8&gt;=CU$13,CT8&lt;&gt;"",CS8&gt;=CU$11,CS8&lt;&gt;""),AND(DN8&gt;=DO$13,DN8&lt;&gt;"",DM8&gt;=DO$11,DM8&lt;&gt;""),AND(EH8&gt;=EI$13,EH8&lt;&gt;"",EG8&gt;=EI$11,EG8&lt;&gt;""),AND(FB8&gt;=FC$13,FB8&lt;&gt;"",FA8&gt;=FC$11,FA8&lt;&gt;""),AND(FV8&gt;=FW$13,FV8&lt;&gt;"",FU8&gt;=FW$11,FU8&lt;&gt;""),AND(GP8&gt;=GQ$13,GP8&lt;&gt;"",GO8&gt;=GQ$11,GO8&lt;&gt;""),AND(HJ8&gt;=HK$13,HJ8&lt;&gt;"",HI8&gt;=HK$11,HI8&lt;&gt;""),AND(ID8&gt;=IE$13,ID8&lt;&gt;"",IC8&gt;=IE$11,IC8&lt;&gt;""),AND(IX8&gt;=IY$13,IX8&lt;&gt;"",IW8&gt;=IY$11,IW8&lt;&gt;""),AND(JR8&gt;=JS$13,JR8&lt;&gt;"",JQ8&gt;=JS$11,JQ8&lt;&gt;""),AND(KL8&gt;=KM$13,KL8&lt;&gt;"",KK8&gt;=KM$11,KK8&lt;&gt;"")),"National Team","")))))</f>
        <v/>
      </c>
      <c r="J8" s="15">
        <f>IF(MAX(AI8,BD8)&gt;0,MAX(AI8,BD8),"")</f>
        <v>58.8</v>
      </c>
      <c r="K8" s="15" t="str">
        <f>IF(J8="","",IF(J8=BD8,$AL$1,IF(J8=AI8,$Q$1,"")))</f>
        <v>2019 Elite Canada</v>
      </c>
      <c r="L8" s="15">
        <f>IF(MAX(AJ8,BE8)&gt;0,MAX(AJ8,BE8),"")</f>
        <v>54.300000000000011</v>
      </c>
      <c r="M8" s="15" t="str">
        <f>IF(L8="","",IF(L8=BE8,$AL$1,IF(L8=AJ8,$Q$1,"")))</f>
        <v>2019 Elite Canada</v>
      </c>
      <c r="N8" s="15" t="str">
        <f>IF(MAX(BG8:BH8)&gt;0,MAX(BG8:BH8),"")</f>
        <v/>
      </c>
      <c r="O8" s="25" t="str">
        <f>IF(N8="","",IF(N8=BG8,"(Prelim)",IF(N8=BH8,"(Final)")))</f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74"/>
      <c r="AH8" s="12" t="str">
        <f>IF(SUM(R8,V8)&gt;0,SUM(R8,V8),"")</f>
        <v/>
      </c>
      <c r="AI8" s="12" t="str">
        <f>IF(SUM(Q8:R8,T8:V8,X8)-S8-W8&gt;0,SUM(Q8:R8,T8:V8,X8)-S8-W8,"")</f>
        <v/>
      </c>
      <c r="AJ8" s="12" t="str">
        <f>IF(SUM(Y8:Z8,AB8:AD8,AF8)-SUM(AA8,AE8)&gt;0,SUM(Y8:Z8,AB8:AD8,AF8)-SUM(AA8,AE8),"")</f>
        <v/>
      </c>
      <c r="AK8" s="12" t="str">
        <f>IF(SUM(AI8,AJ8)&gt;0,SUM(AI8,AJ8),"")</f>
        <v/>
      </c>
      <c r="AL8" s="37">
        <v>25.1</v>
      </c>
      <c r="AM8" s="37">
        <v>3.6</v>
      </c>
      <c r="AN8" s="37">
        <v>0</v>
      </c>
      <c r="AO8" s="37">
        <v>0</v>
      </c>
      <c r="AP8" s="37">
        <v>24.8</v>
      </c>
      <c r="AQ8" s="37">
        <v>4.3</v>
      </c>
      <c r="AR8" s="37">
        <v>0</v>
      </c>
      <c r="AS8" s="37">
        <v>1</v>
      </c>
      <c r="AT8" s="37">
        <v>25.6</v>
      </c>
      <c r="AU8" s="37">
        <v>3.6</v>
      </c>
      <c r="AV8" s="37">
        <v>0.3</v>
      </c>
      <c r="AW8" s="37">
        <v>0</v>
      </c>
      <c r="AX8" s="37">
        <v>24.2</v>
      </c>
      <c r="AY8" s="37">
        <v>1.2</v>
      </c>
      <c r="AZ8" s="37">
        <v>0</v>
      </c>
      <c r="BA8" s="37">
        <v>0</v>
      </c>
      <c r="BB8" s="75"/>
      <c r="BC8" s="15">
        <f>IF(SUM(AM8,AQ8)&gt;0,SUM(AM8,AQ8),"")</f>
        <v>7.9</v>
      </c>
      <c r="BD8" s="15">
        <f>IF(SUM(AL8:AM8,AO8:AQ8,AS8)-AN8-AR8&gt;0,SUM(AL8:AM8,AO8:AQ8,AS8)-AN8-AR8,"")</f>
        <v>58.8</v>
      </c>
      <c r="BE8" s="15">
        <f>IF(SUM(AT8:AU8,AW8:AY8,BA8)-SUM(AV8,AZ8)&gt;0,SUM(AT8:AU8,AW8:AY8,BA8)-SUM(AV8,AZ8),"")</f>
        <v>54.300000000000011</v>
      </c>
      <c r="BF8" s="15">
        <f>IF(SUM(BD8,BE8)&gt;0,SUM(BD8,BE8),"")</f>
        <v>113.10000000000001</v>
      </c>
      <c r="BG8" s="24" t="str">
        <f>IF(MAX(BY8,CS8,DM8,EG8,FA8,FU8,GO8,HI8,IC8,IW8,JQ8,KK8)-IF(J8="",0,J8)&gt;0.001,MAX(BY8,CS8,DM8,EG8,FA8,FU8,GO8,HI8,IC8,IW8,JQ8,KK8)-IF(J8="",0,J8),"")</f>
        <v/>
      </c>
      <c r="BH8" s="24" t="str">
        <f>IF(MAX(CA8,CU8,DO8,EI8,FC8,FW8,GQ8,HK8,IE8,IY8,JS8,KM8)-IF(L8="",0,L8)&gt;0.001,MAX(CA8,CU8,DO8,EI8,FC8,FW8,GQ8,HK8,IE8,IY8,JS8,KM8)-IF(L8="",0,L8),"")</f>
        <v/>
      </c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12" t="str">
        <f>IF(SUM(BJ8,BN8)&gt;0,SUM(BJ8,BN8),"")</f>
        <v/>
      </c>
      <c r="BZ8" s="12" t="str">
        <f>IF(SUM(BI8:BJ8,BL8:BN8,BP8)-BK8-BO8&gt;0,SUM(BI8:BJ8,BL8:BN8,BP8)-BK8-BO8,"")</f>
        <v/>
      </c>
      <c r="CA8" s="12" t="str">
        <f>IF(SUM(BQ8:BR8,BT8:BV8,BX8)-SUM(BS8,BW8)&gt;0,SUM(BQ8:BR8,BT8:BV8,BX8)-SUM(BS8,BW8),"")</f>
        <v/>
      </c>
      <c r="CB8" s="12" t="str">
        <f>IF(SUM(BZ8,CA8)&gt;0,SUM(BZ8,CA8),"")</f>
        <v/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>IF(SUM(CD8,CH8)&gt;0,SUM(CD8,CH8),"")</f>
        <v/>
      </c>
      <c r="CT8" s="15" t="str">
        <f>IF(SUM(CC8:CD8,CF8:CH8,CJ8)-CE8-CI8&gt;0,SUM(CC8:CD8,CF8:CH8,CJ8)-CE8-CI8,"")</f>
        <v/>
      </c>
      <c r="CU8" s="15" t="str">
        <f>IF(SUM(CK8:CL8,CN8:CP8,CR8)-SUM(CM8,CQ8)&gt;0,SUM(CK8:CL8,CN8:CP8,CR8)-SUM(CM8,CQ8),"")</f>
        <v/>
      </c>
      <c r="CV8" s="15" t="str">
        <f>IF(SUM(CT8,CU8)&gt;0,SUM(CT8,CU8),"")</f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>IF(SUM(CX8,DB8)&gt;0,SUM(CX8,DB8),"")</f>
        <v/>
      </c>
      <c r="DN8" s="12" t="str">
        <f>IF(SUM(CW8:CX8,CZ8:DB8,DD8)-CY8-DC8&gt;0,SUM(CW8:CX8,CZ8:DB8,DD8)-CY8-DC8,"")</f>
        <v/>
      </c>
      <c r="DO8" s="12" t="str">
        <f>IF(SUM(DE8:DF8,DH8:DJ8,DL8)-SUM(DG8,DK8)&gt;0,SUM(DE8:DF8,DH8:DJ8,DL8)-SUM(DG8,DK8),"")</f>
        <v/>
      </c>
      <c r="DP8" s="12" t="str">
        <f>IF(SUM(DN8,DO8)&gt;0,SUM(DN8,DO8),"")</f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>IF(SUM(DR8,DV8)&gt;0,SUM(DR8,DV8),"")</f>
        <v/>
      </c>
      <c r="EH8" s="15" t="str">
        <f>IF(SUM(DQ8:DR8,DT8:DV8,DX8)-DS8-DW8&gt;0,SUM(DQ8:DR8,DT8:DV8,DX8)-DS8-DW8,"")</f>
        <v/>
      </c>
      <c r="EI8" s="15" t="str">
        <f>IF(SUM(DY8:DZ8,EB8:ED8,EF8)-SUM(EA8,EE8)&gt;0,SUM(DY8:DZ8,EB8:ED8,EF8)-SUM(EA8,EE8),"")</f>
        <v/>
      </c>
      <c r="EJ8" s="15" t="str">
        <f>IF(SUM(EH8,EI8)&gt;0,SUM(EH8,EI8),"")</f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>IF(SUM(EL8,EP8)&gt;0,SUM(EL8,EP8),"")</f>
        <v/>
      </c>
      <c r="FB8" s="12" t="str">
        <f>IF(SUM(EK8:EL8,EN8:EP8,ER8)-EM8-EQ8&gt;0,SUM(EK8:EL8,EN8:EP8,ER8)-EM8-EQ8,"")</f>
        <v/>
      </c>
      <c r="FC8" s="12" t="str">
        <f>IF(SUM(ES8:ET8,EV8:EX8,EZ8)-SUM(EU8,EY8)&gt;0,SUM(ES8:ET8,EV8:EX8,EZ8)-SUM(EU8,EY8),"")</f>
        <v/>
      </c>
      <c r="FD8" s="12" t="str">
        <f>IF(SUM(FB8,FC8)&gt;0,SUM(FB8,FC8),"")</f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>IF(SUM(FF8,FJ8)&gt;0,SUM(FF8,FJ8),"")</f>
        <v/>
      </c>
      <c r="FV8" s="15" t="str">
        <f>IF(SUM(FE8:FF8,FH8:FJ8,FL8)-FG8-FK8&gt;0,SUM(FE8:FF8,FH8:FJ8,FL8)-FG8-FK8,"")</f>
        <v/>
      </c>
      <c r="FW8" s="15" t="str">
        <f>IF(SUM(FM8:FN8,FP8:FR8,FT8)-SUM(FO8,FS8)&gt;0,SUM(FM8:FN8,FP8:FR8,FT8)-SUM(FO8,FS8),"")</f>
        <v/>
      </c>
      <c r="FX8" s="15" t="str">
        <f>IF(SUM(FV8,FW8)&gt;0,SUM(FV8,FW8),"")</f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>IF(SUM(FZ8,GD8)&gt;0,SUM(FZ8,GD8),"")</f>
        <v/>
      </c>
      <c r="GP8" s="12" t="str">
        <f>IF(SUM(FY8:FZ8,GB8:GD8,GF8)-GA8-GE8&gt;0,SUM(FY8:FZ8,GB8:GD8,GF8)-GA8-GE8,"")</f>
        <v/>
      </c>
      <c r="GQ8" s="12" t="str">
        <f>IF(SUM(GG8:GH8,GJ8:GL8,GN8)-SUM(GI8,GM8)&gt;0,SUM(GG8:GH8,GJ8:GL8,GN8)-SUM(GI8,GM8),"")</f>
        <v/>
      </c>
      <c r="GR8" s="12" t="str">
        <f>IF(SUM(GP8,GQ8)&gt;0,SUM(GP8,GQ8),"")</f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>IF(SUM(GT8,GX8)&gt;0,SUM(GT8,GX8),"")</f>
        <v/>
      </c>
      <c r="HJ8" s="15" t="str">
        <f>IF(SUM(GS8:GT8,GV8:GX8,GZ8)-GU8-GY8&gt;0,SUM(GS8:GT8,GV8:GX8,GZ8)-GU8-GY8,"")</f>
        <v/>
      </c>
      <c r="HK8" s="15" t="str">
        <f>IF(SUM(HA8:HB8,HD8:HF8,HH8)-SUM(HC8,HG8)&gt;0,SUM(HA8:HB8,HD8:HF8,HH8)-SUM(HC8,HG8),"")</f>
        <v/>
      </c>
      <c r="HL8" s="15" t="str">
        <f>IF(SUM(HJ8,HK8)&gt;0,SUM(HJ8,HK8),"")</f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>IF(SUM(HN8,HR8)&gt;0,SUM(HN8,HR8),"")</f>
        <v/>
      </c>
      <c r="ID8" s="12" t="str">
        <f>IF(SUM(HM8:HN8,HP8:HR8,HT8)-HO8-HS8&gt;0,SUM(HM8:HN8,HP8:HR8,HT8)-HO8-HS8,"")</f>
        <v/>
      </c>
      <c r="IE8" s="12" t="str">
        <f>IF(SUM(HU8:HV8,HX8:HZ8,IB8)-SUM(HW8,IA8)&gt;0,SUM(HU8:HV8,HX8:HZ8,IB8)-SUM(HW8,IA8),"")</f>
        <v/>
      </c>
      <c r="IF8" s="12" t="str">
        <f>IF(SUM(ID8,IE8)&gt;0,SUM(ID8,IE8),"")</f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>IF(SUM(IH8,IL8)&gt;0,SUM(IH8,IL8),"")</f>
        <v/>
      </c>
      <c r="IX8" s="15" t="str">
        <f>IF(SUM(IG8:IH8,IJ8:IL8,IN8)-II8-IM8&gt;0,SUM(IG8:IH8,IJ8:IL8,IN8)-II8-IM8,"")</f>
        <v/>
      </c>
      <c r="IY8" s="15" t="str">
        <f>IF(SUM(IO8:IP8,IR8:IT8,IV8)-SUM(IQ8,IU8)&gt;0,SUM(IO8:IP8,IR8:IT8,IV8)-SUM(IQ8,IU8),"")</f>
        <v/>
      </c>
      <c r="IZ8" s="15" t="str">
        <f>IF(SUM(IX8,IY8)&gt;0,SUM(IX8,IY8),"")</f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>IF(SUM(JB8,JF8)&gt;0,SUM(JB8,JF8),"")</f>
        <v/>
      </c>
      <c r="JR8" s="12" t="str">
        <f>IF(SUM(JA8:JB8,JD8:JF8,JH8)-JC8-JG8&gt;0,SUM(JA8:JB8,JD8:JF8,JH8)-JC8-JG8,"")</f>
        <v/>
      </c>
      <c r="JS8" s="12" t="str">
        <f>IF(SUM(JI8:JJ8,JL8:JN8,JP8)-SUM(JK8,JO8)&gt;0,SUM(JI8:JJ8,JL8:JN8,JP8)-SUM(JK8,JO8),"")</f>
        <v/>
      </c>
      <c r="JT8" s="12" t="str">
        <f>IF(SUM(JR8,JS8)&gt;0,SUM(JR8,JS8),"")</f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>IF(SUM(JV8,JZ8)&gt;0,SUM(JV8,JZ8),"")</f>
        <v/>
      </c>
      <c r="KL8" s="15" t="str">
        <f>IF(SUM(JU8:JV8,JX8:JZ8,KB8)-JW8-KA8&gt;0,SUM(JU8:JV8,JX8:JZ8,KB8)-JW8-KA8,"")</f>
        <v/>
      </c>
      <c r="KM8" s="15" t="str">
        <f>IF(SUM(KC8:KD8,KF8:KH8,KJ8)-SUM(KE8,KI8)&gt;0,SUM(KC8:KD8,KF8:KH8,KJ8)-SUM(KE8,KI8),"")</f>
        <v/>
      </c>
      <c r="KN8" s="15" t="str">
        <f>IF(SUM(KL8,KM8)&gt;0,SUM(KL8,KM8),"")</f>
        <v/>
      </c>
      <c r="KO8" s="63">
        <f t="shared" ref="KO8" si="9">IF($BB8="P",AL8,(Q8+AL8)/2)</f>
        <v>12.55</v>
      </c>
      <c r="KP8" s="63">
        <f t="shared" ref="KP8" si="10">IF($BB8="P",AM8,(R8+AM8)/2)</f>
        <v>1.8</v>
      </c>
      <c r="KQ8" s="63">
        <f t="shared" ref="KQ8" si="11">IF($BB8="P",AN8,(S8+AN8)/2)</f>
        <v>0</v>
      </c>
      <c r="KR8" s="63">
        <f t="shared" ref="KR8" si="12">IF($BB8="P",AO8,(T8+AO8)/2)</f>
        <v>0</v>
      </c>
      <c r="KS8" s="63">
        <f t="shared" ref="KS8" si="13">IF($BB8="P",AP8,(U8+AP8)/2)</f>
        <v>12.4</v>
      </c>
      <c r="KT8" s="63">
        <f t="shared" ref="KT8" si="14">IF($BB8="P",AQ8,(V8+AQ8)/2)</f>
        <v>2.15</v>
      </c>
      <c r="KU8" s="63">
        <f t="shared" ref="KU8" si="15">IF($BB8="P",AR8,(W8+AR8)/2)</f>
        <v>0</v>
      </c>
      <c r="KV8" s="63">
        <f t="shared" ref="KV8" si="16">IF($BB8="P",AS8,(X8+AS8)/2)</f>
        <v>0.5</v>
      </c>
      <c r="KW8" s="63">
        <f t="shared" ref="KW8" si="17">IF($BB8="P",AT8,(Y8+AT8)/2)</f>
        <v>12.8</v>
      </c>
      <c r="KX8" s="63">
        <f t="shared" ref="KX8" si="18">IF($BB8="P",AU8,(Z8+AU8)/2)</f>
        <v>1.8</v>
      </c>
      <c r="KY8" s="63">
        <f t="shared" ref="KY8" si="19">IF($BB8="P",AV8,(AA8+AV8)/2)</f>
        <v>0.15</v>
      </c>
      <c r="KZ8" s="63">
        <f t="shared" ref="KZ8" si="20">IF($BB8="P",AW8,(AB8+AW8)/2)</f>
        <v>0</v>
      </c>
      <c r="LA8" s="63">
        <f t="shared" ref="LA8" si="21">IF($BB8="P",AX8,(AC8+AX8)/2)</f>
        <v>12.1</v>
      </c>
      <c r="LB8" s="63">
        <f t="shared" ref="LB8" si="22">IF($BB8="P",AY8,(AD8+AY8)/2)</f>
        <v>0.6</v>
      </c>
      <c r="LC8" s="63">
        <f t="shared" ref="LC8" si="23">IF($BB8="P",AZ8,(AE8+AZ8)/2)</f>
        <v>0</v>
      </c>
      <c r="LD8" s="63">
        <f t="shared" ref="LD8" si="24">IF($BB8="P",BA8,(AF8+BA8)/2)</f>
        <v>0</v>
      </c>
      <c r="LE8" s="74" t="s">
        <v>119</v>
      </c>
      <c r="LF8" s="12">
        <f t="shared" ref="LF8" si="25">IF(SUM(KP8,KT8)&gt;0,SUM(KP8,KT8),"")</f>
        <v>3.95</v>
      </c>
      <c r="LG8" s="12">
        <f t="shared" ref="LG8" si="26">IF(SUM(KO8:KP8,KR8:KT8,KV8)-KQ8-KU8&gt;0,SUM(KO8:KP8,KR8:KT8,KV8)-KQ8-KU8,"")</f>
        <v>29.4</v>
      </c>
      <c r="LH8" s="12">
        <f t="shared" ref="LH8" si="27">IF(SUM(KW8:KX8,KZ8:LB8,LD8)-SUM(KY8,LC8)&gt;0,SUM(KW8:KX8,KZ8:LB8,LD8)-SUM(KY8,LC8),"")</f>
        <v>27.150000000000006</v>
      </c>
      <c r="LI8" s="12">
        <f t="shared" ref="LI8" si="28">IF(SUM(LG8,LH8)&gt;0,SUM(LG8,LH8),"")</f>
        <v>56.550000000000004</v>
      </c>
    </row>
    <row r="9" spans="1:321" ht="17" x14ac:dyDescent="0.2">
      <c r="N9" s="19"/>
      <c r="O9" s="19"/>
      <c r="P9" s="19"/>
      <c r="IG9" s="39"/>
      <c r="IH9" s="39"/>
      <c r="II9" s="39"/>
      <c r="IJ9" s="39"/>
      <c r="IK9" s="39"/>
      <c r="IL9" s="39"/>
      <c r="IM9" s="39"/>
      <c r="IN9" s="39"/>
      <c r="IO9" s="39"/>
      <c r="IP9" s="39"/>
      <c r="IQ9" s="39"/>
      <c r="IR9" s="39"/>
      <c r="IS9" s="39"/>
      <c r="IT9" s="39"/>
      <c r="IU9" s="39"/>
      <c r="IV9" s="39"/>
    </row>
    <row r="10" spans="1:321" ht="17" x14ac:dyDescent="0.2">
      <c r="N10" s="19"/>
      <c r="O10" s="19"/>
      <c r="P10" s="19"/>
    </row>
    <row r="11" spans="1:321" ht="17" x14ac:dyDescent="0.2">
      <c r="B11" s="64" t="s">
        <v>51</v>
      </c>
      <c r="N11" s="19"/>
      <c r="O11" s="19"/>
      <c r="P11" s="19"/>
      <c r="AH11" s="50"/>
      <c r="AJ11" s="58">
        <v>7.7</v>
      </c>
      <c r="BC11" s="50"/>
      <c r="BE11" s="58">
        <v>7.7</v>
      </c>
      <c r="BY11" s="50"/>
      <c r="CA11" s="58">
        <v>7.7</v>
      </c>
      <c r="CS11" s="50"/>
      <c r="CU11" s="77">
        <v>7.7</v>
      </c>
      <c r="DM11" s="50"/>
      <c r="DO11" s="77">
        <v>7.7</v>
      </c>
      <c r="EG11" s="50"/>
      <c r="EI11" s="77">
        <v>7.7</v>
      </c>
      <c r="FA11" s="50"/>
      <c r="FC11" s="77">
        <v>7.7</v>
      </c>
      <c r="FU11" s="50"/>
      <c r="FW11" s="77">
        <v>7.7</v>
      </c>
      <c r="GO11" s="50"/>
      <c r="GQ11" s="77">
        <v>7.7</v>
      </c>
      <c r="HI11" s="50"/>
      <c r="HK11" s="77">
        <v>7.7</v>
      </c>
      <c r="IC11" s="50"/>
      <c r="IE11" s="77">
        <v>7.7</v>
      </c>
      <c r="IW11" s="50"/>
      <c r="IY11" s="77">
        <v>7.7</v>
      </c>
      <c r="JQ11" s="50"/>
      <c r="JS11" s="77">
        <v>7.7</v>
      </c>
      <c r="KK11" s="50"/>
      <c r="KM11" s="77">
        <v>7.7</v>
      </c>
    </row>
    <row r="12" spans="1:321" ht="17" x14ac:dyDescent="0.2">
      <c r="A12" s="50"/>
      <c r="B12" s="91" t="s">
        <v>76</v>
      </c>
      <c r="C12" s="49"/>
      <c r="N12" s="19"/>
      <c r="O12" s="19"/>
      <c r="P12" s="19"/>
      <c r="AH12" s="50"/>
      <c r="AJ12" s="93">
        <v>10.5</v>
      </c>
      <c r="BC12" s="50"/>
      <c r="BE12" s="93">
        <v>10.5</v>
      </c>
      <c r="BY12" s="50"/>
      <c r="CA12" s="93">
        <v>9.1</v>
      </c>
      <c r="CS12" s="50"/>
      <c r="CU12" s="94">
        <v>9.1</v>
      </c>
      <c r="DM12" s="50"/>
      <c r="DO12" s="94">
        <v>9.1</v>
      </c>
      <c r="EG12" s="50"/>
      <c r="EI12" s="94">
        <v>9.1</v>
      </c>
      <c r="FA12" s="50"/>
      <c r="FC12" s="94">
        <v>9.1</v>
      </c>
      <c r="FU12" s="50"/>
      <c r="FW12" s="94">
        <v>9.1</v>
      </c>
      <c r="GO12" s="50"/>
      <c r="GQ12" s="94">
        <v>9.1</v>
      </c>
      <c r="HI12" s="50"/>
      <c r="HK12" s="94">
        <v>9.1</v>
      </c>
      <c r="IC12" s="50"/>
      <c r="IE12" s="94">
        <v>9.1</v>
      </c>
      <c r="IW12" s="50"/>
      <c r="IY12" s="94">
        <v>9.1</v>
      </c>
      <c r="JQ12" s="50"/>
      <c r="JS12" s="94">
        <v>9.1</v>
      </c>
      <c r="KK12" s="50"/>
      <c r="KM12" s="94">
        <v>9.1</v>
      </c>
    </row>
    <row r="13" spans="1:321" ht="17" x14ac:dyDescent="0.2">
      <c r="A13" s="50"/>
      <c r="B13" s="65" t="s">
        <v>48</v>
      </c>
      <c r="C13" s="49"/>
      <c r="N13" s="19"/>
      <c r="O13" s="19"/>
      <c r="P13" s="19"/>
      <c r="AH13" s="50"/>
      <c r="AJ13" s="59">
        <v>59.9</v>
      </c>
      <c r="BC13" s="50"/>
      <c r="BE13" s="59">
        <v>59.9</v>
      </c>
      <c r="BY13" s="50"/>
      <c r="CA13" s="59">
        <v>59.9</v>
      </c>
      <c r="CS13" s="50"/>
      <c r="CU13" s="78">
        <v>59.3</v>
      </c>
      <c r="DM13" s="50"/>
      <c r="DO13" s="78">
        <v>59.3</v>
      </c>
      <c r="EG13" s="50"/>
      <c r="EI13" s="78">
        <v>59.3</v>
      </c>
      <c r="FA13" s="50"/>
      <c r="FC13" s="78">
        <v>59.3</v>
      </c>
      <c r="FU13" s="50"/>
      <c r="FW13" s="78">
        <v>59.3</v>
      </c>
      <c r="GO13" s="50"/>
      <c r="GQ13" s="78">
        <v>59.3</v>
      </c>
      <c r="HI13" s="50"/>
      <c r="HK13" s="78">
        <v>59.3</v>
      </c>
      <c r="IC13" s="50"/>
      <c r="IE13" s="78">
        <v>59.3</v>
      </c>
      <c r="IW13" s="50"/>
      <c r="IY13" s="78">
        <v>59.3</v>
      </c>
      <c r="JQ13" s="50"/>
      <c r="JS13" s="78">
        <v>59.3</v>
      </c>
      <c r="KK13" s="50"/>
      <c r="KM13" s="78">
        <v>59.3</v>
      </c>
    </row>
    <row r="14" spans="1:321" ht="17" hidden="1" x14ac:dyDescent="0.2">
      <c r="A14" s="50"/>
      <c r="B14" s="66" t="s">
        <v>49</v>
      </c>
      <c r="C14" s="49"/>
      <c r="N14" s="19"/>
      <c r="O14" s="19"/>
      <c r="P14" s="19"/>
      <c r="AH14" s="50"/>
      <c r="AJ14" s="60">
        <v>1000</v>
      </c>
      <c r="BC14" s="50"/>
      <c r="BE14" s="60">
        <v>1000</v>
      </c>
      <c r="BY14" s="50"/>
      <c r="CA14" s="79">
        <v>1000</v>
      </c>
      <c r="CS14" s="50"/>
      <c r="CU14" s="79">
        <v>1000</v>
      </c>
      <c r="DM14" s="50"/>
      <c r="DO14" s="79">
        <v>1000</v>
      </c>
      <c r="EG14" s="50"/>
      <c r="EI14" s="79">
        <v>1000</v>
      </c>
      <c r="FA14" s="50"/>
      <c r="FC14" s="79">
        <v>1000</v>
      </c>
      <c r="FU14" s="50"/>
      <c r="FW14" s="79">
        <v>1000</v>
      </c>
      <c r="GO14" s="50"/>
      <c r="GQ14" s="79">
        <v>1000</v>
      </c>
      <c r="HI14" s="50"/>
      <c r="HK14" s="79">
        <v>1000</v>
      </c>
      <c r="IC14" s="50"/>
      <c r="IE14" s="79">
        <v>1000</v>
      </c>
      <c r="IW14" s="50"/>
      <c r="IY14" s="79">
        <v>1000</v>
      </c>
      <c r="JQ14" s="50"/>
      <c r="JS14" s="79">
        <v>1000</v>
      </c>
      <c r="KK14" s="50"/>
      <c r="KM14" s="79">
        <v>1000</v>
      </c>
    </row>
    <row r="15" spans="1:321" ht="17" x14ac:dyDescent="0.2">
      <c r="A15" s="50"/>
      <c r="B15" s="67" t="s">
        <v>70</v>
      </c>
      <c r="C15" s="49"/>
      <c r="N15" s="19"/>
      <c r="O15" s="19"/>
      <c r="P15" s="19"/>
      <c r="AH15" s="50"/>
      <c r="AJ15" s="61">
        <v>64</v>
      </c>
      <c r="BC15" s="50"/>
      <c r="BE15" s="61">
        <v>64</v>
      </c>
      <c r="BY15" s="50"/>
      <c r="CA15" s="61">
        <v>64</v>
      </c>
      <c r="CS15" s="50"/>
      <c r="CU15" s="80">
        <v>60</v>
      </c>
      <c r="DM15" s="50"/>
      <c r="DO15" s="80">
        <v>60</v>
      </c>
      <c r="EG15" s="50"/>
      <c r="EI15" s="80">
        <v>60</v>
      </c>
      <c r="FA15" s="50"/>
      <c r="FC15" s="80">
        <v>60</v>
      </c>
      <c r="FU15" s="50"/>
      <c r="FW15" s="80">
        <v>60</v>
      </c>
      <c r="GO15" s="50"/>
      <c r="GQ15" s="80">
        <v>60</v>
      </c>
      <c r="HI15" s="50"/>
      <c r="HK15" s="80">
        <v>60</v>
      </c>
      <c r="IC15" s="50"/>
      <c r="IE15" s="80">
        <v>60</v>
      </c>
      <c r="IW15" s="50"/>
      <c r="IY15" s="80">
        <v>60</v>
      </c>
      <c r="JQ15" s="50"/>
      <c r="JS15" s="80">
        <v>60</v>
      </c>
      <c r="KK15" s="50"/>
      <c r="KM15" s="80">
        <v>60</v>
      </c>
    </row>
    <row r="16" spans="1:321" ht="17" hidden="1" x14ac:dyDescent="0.2">
      <c r="A16" s="50"/>
      <c r="B16" s="68" t="s">
        <v>35</v>
      </c>
      <c r="C16" s="49"/>
      <c r="N16" s="19"/>
      <c r="O16" s="19"/>
      <c r="P16" s="19"/>
      <c r="AH16" s="50"/>
      <c r="AJ16" s="62">
        <v>1000</v>
      </c>
      <c r="BC16" s="50"/>
      <c r="BE16" s="62">
        <v>1000</v>
      </c>
      <c r="BY16" s="50"/>
      <c r="CA16" s="62">
        <v>1000</v>
      </c>
      <c r="CS16" s="50"/>
      <c r="CU16" s="81">
        <v>1000</v>
      </c>
      <c r="DM16" s="50"/>
      <c r="DO16" s="81">
        <v>1000</v>
      </c>
      <c r="EG16" s="50"/>
      <c r="EI16" s="81">
        <v>1000</v>
      </c>
      <c r="FA16" s="50"/>
      <c r="FC16" s="81">
        <v>1000</v>
      </c>
      <c r="FU16" s="50"/>
      <c r="FW16" s="81">
        <v>1000</v>
      </c>
      <c r="GO16" s="50"/>
      <c r="GQ16" s="81">
        <v>1000</v>
      </c>
      <c r="HI16" s="50"/>
      <c r="HK16" s="81">
        <v>1000</v>
      </c>
      <c r="IC16" s="50"/>
      <c r="IE16" s="81">
        <v>1000</v>
      </c>
      <c r="IW16" s="50"/>
      <c r="IY16" s="81">
        <v>1000</v>
      </c>
      <c r="JQ16" s="50"/>
      <c r="JS16" s="81">
        <v>1000</v>
      </c>
      <c r="KK16" s="50"/>
      <c r="KM16" s="81">
        <v>1000</v>
      </c>
    </row>
    <row r="17" spans="1:3" x14ac:dyDescent="0.2">
      <c r="B17" s="76" t="s">
        <v>55</v>
      </c>
      <c r="C17" s="3"/>
    </row>
    <row r="18" spans="1:3" x14ac:dyDescent="0.2">
      <c r="A18" s="50"/>
      <c r="B18" s="50"/>
      <c r="C18" s="49"/>
    </row>
    <row r="19" spans="1:3" x14ac:dyDescent="0.2">
      <c r="A19" s="50"/>
      <c r="B19" s="50"/>
      <c r="C19" s="49"/>
    </row>
    <row r="20" spans="1:3" x14ac:dyDescent="0.2">
      <c r="A20" s="50"/>
      <c r="B20" s="50"/>
      <c r="C20" s="49"/>
    </row>
    <row r="21" spans="1:3" x14ac:dyDescent="0.2">
      <c r="A21" s="7"/>
      <c r="B21" s="7"/>
      <c r="C21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4:KN8">
      <sortCondition descending="1" ref="F1:F7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8">
    <cfRule type="expression" dxfId="73" priority="31">
      <formula>IF($AG4&lt;&gt;"",1,0)</formula>
    </cfRule>
  </conditionalFormatting>
  <conditionalFormatting sqref="AL4:BF8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CA$12</formula>
      <formula>100</formula>
    </cfRule>
    <cfRule type="cellIs" dxfId="63" priority="12023" operator="between">
      <formula>CA$11</formula>
      <formula>CA$12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CA$16</formula>
      <formula>1000</formula>
    </cfRule>
    <cfRule type="cellIs" dxfId="61" priority="12095" operator="between">
      <formula>CA$15</formula>
      <formula>CA$16</formula>
    </cfRule>
    <cfRule type="cellIs" dxfId="60" priority="12096" operator="between">
      <formula>CA$14</formula>
      <formula>CA$15</formula>
    </cfRule>
    <cfRule type="cellIs" dxfId="59" priority="12097" operator="between">
      <formula>CA$13</formula>
      <formula>CA$14</formula>
    </cfRule>
  </conditionalFormatting>
  <conditionalFormatting sqref="AH1:AH1048576 BC1:BC1048576">
    <cfRule type="expression" dxfId="58" priority="13243">
      <formula>IF(AND(AH1&gt;=AJ$12,AH1&lt;1000,AG1=""),1,0)</formula>
    </cfRule>
    <cfRule type="expression" dxfId="57" priority="13244">
      <formula>IF(AND(AH1&gt;=AJ$11,AH1&lt;AJ$12,AG1=""),1,0)</formula>
    </cfRule>
  </conditionalFormatting>
  <conditionalFormatting sqref="BD1:BD1048576 AI1:AI1048576">
    <cfRule type="expression" dxfId="56" priority="13251">
      <formula>IF(AND(AI1&gt;=AJ$16,AI1&lt;1000,AG1=""),1,0)</formula>
    </cfRule>
    <cfRule type="expression" dxfId="55" priority="13252">
      <formula>IF(AND(AI1&gt;=AJ$15,AI1&lt;AJ$16,AG1=""),1,0)</formula>
    </cfRule>
    <cfRule type="expression" dxfId="54" priority="13253">
      <formula>IF(AND(AI1&gt;=AJ$14,AI1&lt;AJ$15,AG1=""),1,0)</formula>
    </cfRule>
    <cfRule type="expression" dxfId="53" priority="13254">
      <formula>IF(AND(AI1&gt;=AJ$13,AI1&lt;AJ$14,AG1=""),1,0)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68</v>
      </c>
      <c r="G1" s="117" t="s">
        <v>69</v>
      </c>
      <c r="H1" s="117" t="s">
        <v>8</v>
      </c>
      <c r="I1" s="110" t="s">
        <v>9</v>
      </c>
      <c r="J1" s="124" t="s">
        <v>72</v>
      </c>
      <c r="K1" s="112" t="s">
        <v>33</v>
      </c>
      <c r="L1" s="124" t="s">
        <v>71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53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5" t="s">
        <v>122</v>
      </c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6" t="s">
        <v>67</v>
      </c>
      <c r="BJ1" s="116"/>
      <c r="BK1" s="122" t="s">
        <v>65</v>
      </c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3"/>
      <c r="EL1" s="123"/>
      <c r="EM1" s="123"/>
      <c r="EN1" s="123"/>
      <c r="EO1" s="123"/>
      <c r="EP1" s="123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2"/>
      <c r="FF1" s="122"/>
      <c r="FG1" s="122"/>
      <c r="FH1" s="122"/>
      <c r="FI1" s="122"/>
      <c r="FJ1" s="122"/>
      <c r="FK1" s="122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3"/>
      <c r="FZ1" s="123"/>
      <c r="GA1" s="123"/>
      <c r="GB1" s="123"/>
      <c r="GC1" s="123"/>
      <c r="GD1" s="123"/>
      <c r="GE1" s="123"/>
      <c r="GF1" s="123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22"/>
      <c r="GV1" s="122"/>
      <c r="GW1" s="122"/>
      <c r="GX1" s="122"/>
      <c r="GY1" s="122"/>
      <c r="GZ1" s="122"/>
      <c r="HA1" s="122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3"/>
      <c r="HN1" s="123"/>
      <c r="HO1" s="123"/>
      <c r="HP1" s="123"/>
      <c r="HQ1" s="123"/>
      <c r="HR1" s="123"/>
      <c r="HS1" s="123"/>
      <c r="HT1" s="123"/>
      <c r="HU1" s="123"/>
      <c r="HV1" s="123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3"/>
      <c r="IS1" s="123"/>
      <c r="IT1" s="123"/>
      <c r="IU1" s="123"/>
      <c r="IV1" s="123"/>
      <c r="IW1" s="123"/>
      <c r="IX1" s="123"/>
      <c r="IY1" s="123"/>
      <c r="IZ1" s="123"/>
      <c r="JA1" s="123"/>
      <c r="JB1" s="123"/>
      <c r="JC1" s="123"/>
      <c r="JD1" s="123"/>
      <c r="JE1" s="123"/>
      <c r="JF1" s="123"/>
      <c r="JG1" s="123"/>
      <c r="JH1" s="123"/>
      <c r="JI1" s="123"/>
      <c r="JJ1" s="123"/>
      <c r="JK1" s="123"/>
      <c r="JL1" s="123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3"/>
      <c r="KI1" s="123"/>
      <c r="KJ1" s="123"/>
      <c r="KK1" s="123"/>
      <c r="KL1" s="123"/>
      <c r="KM1" s="123"/>
      <c r="KN1" s="123"/>
      <c r="KO1" s="123"/>
      <c r="KP1" s="123"/>
      <c r="KQ1" s="123"/>
      <c r="KR1" s="123"/>
      <c r="KS1" s="123"/>
      <c r="KT1" s="123"/>
      <c r="KU1" s="123"/>
      <c r="KV1" s="123"/>
      <c r="KW1" s="123"/>
      <c r="KX1" s="123"/>
      <c r="KY1" s="123"/>
      <c r="KZ1" s="123"/>
      <c r="LA1" s="123"/>
      <c r="LB1" s="123"/>
      <c r="LC1" s="113" t="s">
        <v>120</v>
      </c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</row>
    <row r="2" spans="1:336" x14ac:dyDescent="0.2">
      <c r="A2" s="110"/>
      <c r="B2" s="110"/>
      <c r="C2" s="110"/>
      <c r="D2" s="110"/>
      <c r="E2" s="110"/>
      <c r="F2" s="117"/>
      <c r="G2" s="117"/>
      <c r="H2" s="117"/>
      <c r="I2" s="110"/>
      <c r="J2" s="124"/>
      <c r="K2" s="112"/>
      <c r="L2" s="124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86" t="s">
        <v>25</v>
      </c>
      <c r="AI2" s="52" t="s">
        <v>77</v>
      </c>
      <c r="AJ2" s="10" t="s">
        <v>24</v>
      </c>
      <c r="AK2" s="10" t="s">
        <v>23</v>
      </c>
      <c r="AL2" s="10" t="s">
        <v>18</v>
      </c>
      <c r="AM2" s="109" t="s">
        <v>27</v>
      </c>
      <c r="AN2" s="109"/>
      <c r="AO2" s="109"/>
      <c r="AP2" s="109"/>
      <c r="AQ2" s="109" t="s">
        <v>30</v>
      </c>
      <c r="AR2" s="109"/>
      <c r="AS2" s="109"/>
      <c r="AT2" s="109"/>
      <c r="AU2" s="109" t="s">
        <v>31</v>
      </c>
      <c r="AV2" s="109"/>
      <c r="AW2" s="109"/>
      <c r="AX2" s="109"/>
      <c r="AY2" s="121" t="s">
        <v>32</v>
      </c>
      <c r="AZ2" s="121"/>
      <c r="BA2" s="121"/>
      <c r="BB2" s="121"/>
      <c r="BC2" s="73"/>
      <c r="BD2" s="87" t="s">
        <v>25</v>
      </c>
      <c r="BE2" s="87" t="s">
        <v>77</v>
      </c>
      <c r="BF2" s="13" t="s">
        <v>24</v>
      </c>
      <c r="BG2" s="13" t="s">
        <v>23</v>
      </c>
      <c r="BH2" s="13" t="s">
        <v>18</v>
      </c>
      <c r="BI2" s="22" t="s">
        <v>74</v>
      </c>
      <c r="BJ2" s="22" t="s">
        <v>73</v>
      </c>
      <c r="BK2" s="108" t="s">
        <v>27</v>
      </c>
      <c r="BL2" s="108"/>
      <c r="BM2" s="108"/>
      <c r="BN2" s="108"/>
      <c r="BO2" s="108" t="s">
        <v>30</v>
      </c>
      <c r="BP2" s="108"/>
      <c r="BQ2" s="108"/>
      <c r="BR2" s="108"/>
      <c r="BS2" s="108" t="s">
        <v>31</v>
      </c>
      <c r="BT2" s="108"/>
      <c r="BU2" s="108"/>
      <c r="BV2" s="108"/>
      <c r="BW2" s="119" t="s">
        <v>32</v>
      </c>
      <c r="BX2" s="119"/>
      <c r="BY2" s="119"/>
      <c r="BZ2" s="119"/>
      <c r="CA2" s="86" t="s">
        <v>25</v>
      </c>
      <c r="CB2" s="86" t="s">
        <v>77</v>
      </c>
      <c r="CC2" s="10" t="s">
        <v>24</v>
      </c>
      <c r="CD2" s="10" t="s">
        <v>23</v>
      </c>
      <c r="CE2" s="10" t="s">
        <v>18</v>
      </c>
      <c r="CF2" s="121" t="s">
        <v>27</v>
      </c>
      <c r="CG2" s="121"/>
      <c r="CH2" s="121"/>
      <c r="CI2" s="121"/>
      <c r="CJ2" s="121" t="s">
        <v>30</v>
      </c>
      <c r="CK2" s="121"/>
      <c r="CL2" s="121"/>
      <c r="CM2" s="121"/>
      <c r="CN2" s="121" t="s">
        <v>31</v>
      </c>
      <c r="CO2" s="121"/>
      <c r="CP2" s="121"/>
      <c r="CQ2" s="121"/>
      <c r="CR2" s="121" t="s">
        <v>32</v>
      </c>
      <c r="CS2" s="121"/>
      <c r="CT2" s="121"/>
      <c r="CU2" s="121"/>
      <c r="CV2" s="87" t="s">
        <v>25</v>
      </c>
      <c r="CW2" s="87" t="s">
        <v>77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77</v>
      </c>
      <c r="DS2" s="18" t="s">
        <v>24</v>
      </c>
      <c r="DT2" s="18" t="s">
        <v>23</v>
      </c>
      <c r="DU2" s="18" t="s">
        <v>18</v>
      </c>
      <c r="DV2" s="121" t="s">
        <v>27</v>
      </c>
      <c r="DW2" s="121"/>
      <c r="DX2" s="121"/>
      <c r="DY2" s="121"/>
      <c r="DZ2" s="121" t="s">
        <v>30</v>
      </c>
      <c r="EA2" s="121"/>
      <c r="EB2" s="121"/>
      <c r="EC2" s="121"/>
      <c r="ED2" s="121" t="s">
        <v>31</v>
      </c>
      <c r="EE2" s="121"/>
      <c r="EF2" s="121"/>
      <c r="EG2" s="121"/>
      <c r="EH2" s="121" t="s">
        <v>32</v>
      </c>
      <c r="EI2" s="121"/>
      <c r="EJ2" s="121"/>
      <c r="EK2" s="121"/>
      <c r="EL2" s="87" t="s">
        <v>25</v>
      </c>
      <c r="EM2" s="87" t="s">
        <v>77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77</v>
      </c>
      <c r="FI2" s="18" t="s">
        <v>24</v>
      </c>
      <c r="FJ2" s="18" t="s">
        <v>23</v>
      </c>
      <c r="FK2" s="18" t="s">
        <v>18</v>
      </c>
      <c r="FL2" s="121" t="s">
        <v>27</v>
      </c>
      <c r="FM2" s="121"/>
      <c r="FN2" s="121"/>
      <c r="FO2" s="121"/>
      <c r="FP2" s="121" t="s">
        <v>30</v>
      </c>
      <c r="FQ2" s="121"/>
      <c r="FR2" s="121"/>
      <c r="FS2" s="121"/>
      <c r="FT2" s="121" t="s">
        <v>31</v>
      </c>
      <c r="FU2" s="121"/>
      <c r="FV2" s="121"/>
      <c r="FW2" s="121"/>
      <c r="FX2" s="121" t="s">
        <v>32</v>
      </c>
      <c r="FY2" s="121"/>
      <c r="FZ2" s="121"/>
      <c r="GA2" s="121"/>
      <c r="GB2" s="88" t="s">
        <v>25</v>
      </c>
      <c r="GC2" s="88" t="s">
        <v>77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9" t="s">
        <v>25</v>
      </c>
      <c r="GX2" s="89" t="s">
        <v>77</v>
      </c>
      <c r="GY2" s="18" t="s">
        <v>24</v>
      </c>
      <c r="GZ2" s="18" t="s">
        <v>23</v>
      </c>
      <c r="HA2" s="18" t="s">
        <v>18</v>
      </c>
      <c r="HB2" s="121" t="s">
        <v>27</v>
      </c>
      <c r="HC2" s="121"/>
      <c r="HD2" s="121"/>
      <c r="HE2" s="121"/>
      <c r="HF2" s="121" t="s">
        <v>30</v>
      </c>
      <c r="HG2" s="121"/>
      <c r="HH2" s="121"/>
      <c r="HI2" s="121"/>
      <c r="HJ2" s="121" t="s">
        <v>31</v>
      </c>
      <c r="HK2" s="121"/>
      <c r="HL2" s="121"/>
      <c r="HM2" s="121"/>
      <c r="HN2" s="121" t="s">
        <v>32</v>
      </c>
      <c r="HO2" s="121"/>
      <c r="HP2" s="121"/>
      <c r="HQ2" s="121"/>
      <c r="HR2" s="88" t="s">
        <v>25</v>
      </c>
      <c r="HS2" s="88" t="s">
        <v>77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9" t="s">
        <v>25</v>
      </c>
      <c r="IN2" s="89" t="s">
        <v>77</v>
      </c>
      <c r="IO2" s="18" t="s">
        <v>24</v>
      </c>
      <c r="IP2" s="18" t="s">
        <v>23</v>
      </c>
      <c r="IQ2" s="18" t="s">
        <v>18</v>
      </c>
      <c r="IR2" s="121" t="s">
        <v>27</v>
      </c>
      <c r="IS2" s="121"/>
      <c r="IT2" s="121"/>
      <c r="IU2" s="121"/>
      <c r="IV2" s="121" t="s">
        <v>30</v>
      </c>
      <c r="IW2" s="121"/>
      <c r="IX2" s="121"/>
      <c r="IY2" s="121"/>
      <c r="IZ2" s="121" t="s">
        <v>31</v>
      </c>
      <c r="JA2" s="121"/>
      <c r="JB2" s="121"/>
      <c r="JC2" s="121"/>
      <c r="JD2" s="121" t="s">
        <v>32</v>
      </c>
      <c r="JE2" s="121"/>
      <c r="JF2" s="121"/>
      <c r="JG2" s="121"/>
      <c r="JH2" s="88" t="s">
        <v>25</v>
      </c>
      <c r="JI2" s="88" t="s">
        <v>77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9" t="s">
        <v>25</v>
      </c>
      <c r="KD2" s="89" t="s">
        <v>77</v>
      </c>
      <c r="KE2" s="18" t="s">
        <v>24</v>
      </c>
      <c r="KF2" s="18" t="s">
        <v>23</v>
      </c>
      <c r="KG2" s="18" t="s">
        <v>18</v>
      </c>
      <c r="KH2" s="121" t="s">
        <v>27</v>
      </c>
      <c r="KI2" s="121"/>
      <c r="KJ2" s="121"/>
      <c r="KK2" s="121"/>
      <c r="KL2" s="121" t="s">
        <v>30</v>
      </c>
      <c r="KM2" s="121"/>
      <c r="KN2" s="121"/>
      <c r="KO2" s="121"/>
      <c r="KP2" s="121" t="s">
        <v>31</v>
      </c>
      <c r="KQ2" s="121"/>
      <c r="KR2" s="121"/>
      <c r="KS2" s="121"/>
      <c r="KT2" s="121" t="s">
        <v>32</v>
      </c>
      <c r="KU2" s="121"/>
      <c r="KV2" s="121"/>
      <c r="KW2" s="121"/>
      <c r="KX2" s="88" t="s">
        <v>25</v>
      </c>
      <c r="KY2" s="88" t="s">
        <v>77</v>
      </c>
      <c r="KZ2" s="17" t="s">
        <v>24</v>
      </c>
      <c r="LA2" s="17" t="s">
        <v>23</v>
      </c>
      <c r="LB2" s="17" t="s">
        <v>18</v>
      </c>
      <c r="LC2" s="108" t="s">
        <v>27</v>
      </c>
      <c r="LD2" s="108"/>
      <c r="LE2" s="108"/>
      <c r="LF2" s="108"/>
      <c r="LG2" s="108" t="s">
        <v>30</v>
      </c>
      <c r="LH2" s="108"/>
      <c r="LI2" s="108"/>
      <c r="LJ2" s="108"/>
      <c r="LK2" s="108" t="s">
        <v>31</v>
      </c>
      <c r="LL2" s="108"/>
      <c r="LM2" s="108"/>
      <c r="LN2" s="108"/>
      <c r="LO2" s="119" t="s">
        <v>32</v>
      </c>
      <c r="LP2" s="119"/>
      <c r="LQ2" s="119"/>
      <c r="LR2" s="119"/>
      <c r="LS2" s="105"/>
      <c r="LT2" s="105" t="s">
        <v>25</v>
      </c>
      <c r="LU2" s="105" t="s">
        <v>77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0"/>
      <c r="B3" s="110"/>
      <c r="C3" s="110"/>
      <c r="D3" s="110"/>
      <c r="E3" s="110"/>
      <c r="F3" s="117"/>
      <c r="G3" s="117"/>
      <c r="H3" s="117"/>
      <c r="I3" s="110"/>
      <c r="J3" s="124"/>
      <c r="K3" s="112"/>
      <c r="L3" s="124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54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IF(AND(F4="P",H4="P"),SUMPRODUCT((F$4:F$14="P")*(H$4:H$14="P")*(E$4:E$14&gt;E4))+1,IF(H4="P",SUMPRODUCT((F$4:F$14="")*(H$4:H$14="P")*(E$4:E$14&gt;E4))+1+SUMPRODUCT((F$4:F$14="P")*(H$4:H$14="P")),""))</f>
        <v>1</v>
      </c>
      <c r="B4" s="9" t="s">
        <v>78</v>
      </c>
      <c r="C4" s="5" t="s">
        <v>5</v>
      </c>
      <c r="D4" s="6">
        <v>2003</v>
      </c>
      <c r="E4" s="16">
        <f>SUM(J4:N4)</f>
        <v>210.9</v>
      </c>
      <c r="F4" s="4" t="str">
        <f>IF(OR(AND(AH4&gt;=AK$16,AJ4&gt;=AK$19,AJ4&lt;&gt;"",AG4=""),AND(BD4&gt;=BG$16,BF4&gt;=BG$19,BF4&lt;&gt;"",BC4=""),AND(CA4&gt;=CD$16,CC4&gt;=CD$19,CC4&lt;&gt;""),AND(CV4&gt;=CY$16,CX4&gt;=CY$19,CX4&lt;&gt;""),AND(DQ4&gt;=DT$16,DS4&gt;=DT$19,DS4&lt;&gt;""),AND(EL4&gt;=EO$16,EN4&gt;=EO$19,EN4&lt;&gt;""),AND(FG4&gt;=FJ$16,FI4&gt;=FJ$19,FI4&lt;&gt;""),AND(GB4&gt;=GE$16,GD4&gt;=GE$19,GD4&lt;&gt;""),AND(GW4&gt;=GZ$16,GY4&gt;=GZ$19,GY4&lt;&gt;""),AND(HR4&gt;=HU$16,HT4&gt;=HU$19,HT4&lt;&gt;""),AND(IM4&gt;=IP$16,IO4&gt;=IP$19,IO4&lt;&gt;""),AND(JH4&gt;=JK$16,JJ4&gt;=JK$19,JJ4&lt;&gt;""),AND(KC4&gt;=KF$16,KE4&gt;=KF$19,KE4&lt;&gt;""),AND(KX4&gt;=LA$16,KZ4&gt;=LA$19,KZ4&lt;&gt;"")),"P","")</f>
        <v>P</v>
      </c>
      <c r="G4" s="4" t="str">
        <f>IF(OR(AND(AH4&gt;=AK$17,AJ4&gt;=AK$20,AJ4&lt;&gt;"",AG4=""),AND(BD4&gt;=BG$17,BF4&gt;=BG$20,BF4&lt;&gt;"",BC4=""),AND(CA4&gt;=CD$17,CC4&gt;=CD$20,CC4&lt;&gt;""),AND(CV4&gt;=CY$17,CX4&gt;=CY$20,CX4&lt;&gt;""),AND(DQ4&gt;=DT$17,DS4&gt;=DT$20,DS4&lt;&gt;""),AND(EL4&gt;=EO$17,EN4&gt;=EO$20,EN4&lt;&gt;""),AND(FG4&gt;=FJ$17,FI4&gt;=FJ$20,FI4&lt;&gt;""),AND(GB4&gt;=GE$17,GD4&gt;=GE$20,GD4&lt;&gt;""),AND(GW4&gt;=GZ$17,GY4&gt;=GZ$20,GY4&lt;&gt;""),AND(HR4&gt;=HU$17,HT4&gt;=HU$20,HT4&lt;&gt;""),AND(IM4&gt;=IP$17,IO4&gt;=IP$20,IO4&lt;&gt;""),AND(JH4&gt;=JK$17,JJ4&gt;=JK$20,JJ4&lt;&gt;""),AND(KC4&gt;=KF$17,KE4&gt;=KF$20,KE4&lt;&gt;""),AND(KX4&gt;=LA$17,KZ4&gt;=LA$20,KZ4&lt;&gt;"")),"P","")</f>
        <v/>
      </c>
      <c r="H4" s="4" t="str">
        <f>IF(OR(AND(AJ4&gt;=AK$19,AJ4&lt;&gt;"",AG4=""),AND(BF4&gt;=BG$19,BF4&lt;&gt;"",BC4=""),AND(CC4&gt;=CD$19,CC4&lt;&gt;""),AND(CX4&gt;=CY$19,CX4&lt;&gt;""),AND(DS4&gt;=DT$19,DS4&lt;&gt;""),AND(EN4&gt;=EO$19,EN4&lt;&gt;""),AND(FI4&gt;=FJ$19,FI4&lt;&gt;""),AND(GD4&gt;=GE$19,GD4&lt;&gt;""),AND(GY4&gt;=GZ$19,GY4&lt;&gt;""),AND(HT4&gt;=HU$19,HT4&lt;&gt;""),AND(IO4&gt;=IP$19,IO4&lt;&gt;""),AND(JJ4&gt;=JK$19,JJ4&lt;&gt;""),AND(KE4&gt;=KF$19,KE4&lt;&gt;""),AND(KZ4&gt;=LA$19,KZ4&lt;&gt;"")),"P","")</f>
        <v>P</v>
      </c>
      <c r="I4" t="str">
        <f>IF(AND(H4="P",F4=""),"No DD",IF(OR(AND(AI4&gt;=AK$18,AI4&lt;&gt;"",AL4&gt;=AK$22,AL4&lt;&gt;"",AG4=""),AND(BE4&gt;=BG$18,BE4&lt;&gt;"",BH4&gt;=BG$22,BH4&lt;&gt;"",BC4=""),AND(CB4&gt;=CD$18,CB4&lt;&gt;"",CE4&gt;=CD$22,CE4&lt;&gt;""),AND(CW4&gt;=CY$18,CW4&lt;&gt;"",CZ4&gt;=CY$22,CZ4&lt;&gt;""),AND(DR4&gt;=DT$18,DR4&lt;&gt;"",DU4&gt;=DT$22,DU4&lt;&gt;""),AND(EM4&gt;=EO$18,EM4&lt;&gt;"",EP4&gt;=EO$22,EP4&lt;&gt;""),AND(FH4&gt;=FJ$18,FH4&lt;&gt;"",FK4&gt;=FJ$22,FK4&lt;&gt;""),AND(GC4&gt;=GE$18,GC4&lt;&gt;"",GF4&gt;=GE$22,GF4&lt;&gt;""),AND(GX4&gt;=GZ$18,GX4&lt;&gt;"",HA4&gt;=GZ$22,HA4&lt;&gt;""),AND(HS4&gt;=HU$18,HS4&lt;&gt;"",HV4&gt;=HU$22,HV4&lt;&gt;""),AND(IN4&gt;=IP$18,IN4&lt;&gt;"",IQ4&gt;=IP$22,IQ4&lt;&gt;""),AND(JI4&gt;=JK$18,JI4&lt;&gt;"",JL4&gt;=JK$22,JL4&lt;&gt;""),AND(KD4&gt;=KF$18,KD4&lt;&gt;"",KG4&gt;=KF$22,KG4&lt;&gt;""),AND(KY4&gt;=LA$18,KY4&lt;&gt;"",LB4&gt;=LA$22,LB4&lt;&gt;"")),"Merit",IF(OR(AND(AI4&gt;=AK$18,AI4&lt;&gt;"",AL4&gt;=AK$21,AL4&lt;&gt;"",AG4=""),AND(BE4&gt;=BG$18,BE4&lt;&gt;"",BH4&gt;=BG$21,BH4&lt;&gt;"",BC4=""),AND(CB4&gt;=CD$18,CB4&lt;&gt;"",CE4&gt;=CD$21,CE4&lt;&gt;""),AND(CW4&gt;=CY$18,CW4&lt;&gt;"",CZ4&gt;=CY$21,CZ4&lt;&gt;""),AND(DR4&gt;=DT$18,DR4&lt;&gt;"",DU4&gt;=DT$21,DU4&lt;&gt;""),AND(EM4&gt;=EO$18,EM4&lt;&gt;"",EP4&gt;=EO$21,EP4&lt;&gt;""),AND(FH4&gt;=FJ$18,FH4&lt;&gt;"",FK4&gt;=FJ$21,FK4&lt;&gt;""),AND(GC4&gt;=GE$18,GC4&lt;&gt;"",GF4&gt;=GE$21,GF4&lt;&gt;""),AND(GX4&gt;=GZ$18,GX4&lt;&gt;"",HA4&gt;=GZ$21,HA4&lt;&gt;""),AND(HS4&gt;=HU$18,HS4&lt;&gt;"",HV4&gt;=HU$21,HV4&lt;&gt;""),AND(IN4&gt;=IP$18,IN4&lt;&gt;"",IQ4&gt;=IP$21,IQ4&lt;&gt;""),AND(JI4&gt;=JK$18,JI4&lt;&gt;"",JL4&gt;=JK$21,JL4&lt;&gt;""),AND(KD4&gt;=KF$18,KD4&lt;&gt;"",KG4&gt;=KF$21,KG4&lt;&gt;""),AND(KY4&gt;=LA$18,KY4&lt;&gt;"",LB4&gt;=LA$21,LB4&lt;&gt;"")),"Excellence",IF(OR(AND(AH4&gt;=AK$17,AH4&lt;&gt;"",AJ4&gt;=AK$20,AJ4&lt;&gt;"",AG4=""),AND(BD4&gt;=BG$17,BD4&lt;&gt;"",BF4&gt;=BG$20,BF4&lt;&gt;"",BC4=""),AND(CA4&gt;=CD$17,CA4&lt;&gt;"",CC4&gt;=CD$20,CC4&lt;&gt;""),AND(CV4&gt;=CY$17,CV4&lt;&gt;"",CX4&gt;=CY$20,CX4&lt;&gt;""),AND(DQ4&gt;=DT$17,DQ4&lt;&gt;"",DS4&gt;=DT$20,DS4&lt;&gt;""),AND(EL4&gt;=EO$17,EL4&lt;&gt;"",EN4&gt;=EO$20,EN4&lt;&gt;""),AND(FG4&gt;=FJ$17,FG4&lt;&gt;"",FI4&gt;=FJ$20,FI4&lt;&gt;""),AND(GB4&gt;=GE$17,GB4&lt;&gt;"",GD4&gt;=GE$20,GD4&lt;&gt;""),AND(GW4&gt;=GZ$17,GW4&lt;&gt;"",GY4&gt;=GZ$20,GY4&lt;&gt;""),AND(HR4&gt;=HU$17,HR4&lt;&gt;"",HT4&gt;=HU$20,HT4&lt;&gt;""),AND(IM4&gt;=IP$17,IM4&lt;&gt;"",IO4&gt;=IP$20,IO4&lt;&gt;""),AND(JH4&gt;=JK$17,JH4&lt;&gt;"",JJ4&gt;=JK$20,JJ4&lt;&gt;""),AND(KC4&gt;=KF$17,KC4&lt;&gt;"",KE4&gt;=KF$20,KE4&lt;&gt;""),AND(KX4&gt;=LA$17,KX4&lt;&gt;"",KZ4&gt;=LA$20,KZ4&lt;&gt;"")),"Worlds Team",IF(OR(AND(AH4&gt;=AK$16,AH4&lt;&gt;"",AJ4&gt;=AK$19,AJ4&lt;&gt;"",AG4=""),AND(BD4&gt;=BG$16,BD4&lt;&gt;"",BF4&gt;=BG$19,BF4&lt;&gt;"",BC4=""),AND(CA4&gt;=CD$16,CA4&lt;&gt;"",CC4&gt;=CD$19,CC4&lt;&gt;""),AND(CV4&gt;=CY$16,CV4&lt;&gt;"",CX4&gt;=CY$19,CX4&lt;&gt;""),AND(DQ4&gt;=DT$16,DQ4&lt;&gt;"",DS4&gt;=DT$19,DS4&lt;&gt;""),AND(EL4&gt;=EO$16,EL4&lt;&gt;"",EN4&gt;=EO$19,EN4&lt;&gt;""),AND(FG4&gt;=FJ$16,FG4&lt;&gt;"",FI4&gt;=FJ$19,FI4&lt;&gt;""),AND(GB4&gt;=GE$16,GB4&lt;&gt;"",GD4&gt;=GE$19,GD4&lt;&gt;""),AND(GW4&gt;=GZ$16,GW4&lt;&gt;"",GY4&gt;=GZ$19,GY4&lt;&gt;""),AND(HR4&gt;=HU$16,HR4&lt;&gt;"",HT4&gt;=HU$19,HT4&lt;&gt;""),AND(IM4&gt;=IP$16,IM4&lt;&gt;"",IO4&gt;=IP$19,IO4&lt;&gt;""),AND(JH4&gt;=JK$16,JH4&lt;&gt;"",JJ4&gt;=JK$19,JJ4&lt;&gt;""),AND(KC4&gt;=KF$16,KC4&lt;&gt;"",KE4&gt;=KF$19,KE4&lt;&gt;""),AND(KX4&gt;=LA$16,KX4&lt;&gt;"",KZ4&gt;=LA$19,KZ4&lt;&gt;"")),"National Team","")))))</f>
        <v>Excellence</v>
      </c>
      <c r="J4" s="15">
        <f>IF(MAX(AL4,BH4)&gt;0,MAX(AL4,BH4),"")</f>
        <v>140.5</v>
      </c>
      <c r="K4" s="15" t="str">
        <f>IF(J4="","",IF(J4=BH4,$AM$1,IF(J4=AL4,$Q$1,"")))</f>
        <v>2019 Elite Canada</v>
      </c>
      <c r="L4" s="15">
        <f>IF(J4=AL4,IF(MAX(BF4,BG4)&gt;0,MAX(BF4,BG4),""),IF(J4=BH4,IF(MAX(AJ4,AK4)&gt;0,MAX(AJ4,AK4),""),MAX(AJ4,AK4,BF4,BG4)))</f>
        <v>70.400000000000006</v>
      </c>
      <c r="M4" s="15" t="str">
        <f>IF(L4="","",IF(AND(J4&lt;&gt;BH4,OR(L4=BG4,L4=BF4)),$AM$1,IF(OR(L4=AK4,L4=AJ4),$Q$1,"")))</f>
        <v>2018 Nationals</v>
      </c>
      <c r="N4" s="15" t="str">
        <f>IF(MAX(BI4:BJ4)&gt;0,MAX(BI4:BJ4),"")</f>
        <v/>
      </c>
      <c r="O4" s="25" t="str">
        <f>IF(N4="","",IF(N4=BI4,"(4 Pass)",IF(N4=BJ4,"(2 Pass)")))</f>
        <v/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28.5</v>
      </c>
      <c r="R4" s="63">
        <v>7.6</v>
      </c>
      <c r="S4" s="63">
        <v>0.9</v>
      </c>
      <c r="T4" s="63">
        <v>0</v>
      </c>
      <c r="U4" s="63">
        <v>27.9</v>
      </c>
      <c r="V4" s="63">
        <v>6.8</v>
      </c>
      <c r="W4" s="63">
        <v>0</v>
      </c>
      <c r="X4" s="63">
        <v>0</v>
      </c>
      <c r="Y4" s="63">
        <v>28.5</v>
      </c>
      <c r="Z4" s="63">
        <v>7.2</v>
      </c>
      <c r="AA4" s="63">
        <v>0</v>
      </c>
      <c r="AB4" s="63">
        <v>0</v>
      </c>
      <c r="AC4" s="63">
        <v>27.9</v>
      </c>
      <c r="AD4" s="63">
        <v>6.8</v>
      </c>
      <c r="AE4" s="63">
        <v>0</v>
      </c>
      <c r="AF4" s="63">
        <v>0</v>
      </c>
      <c r="AG4" s="74"/>
      <c r="AH4" s="12">
        <f>IF(SUM(R4,V4)&gt;0,SUM(R4,V4),"")</f>
        <v>14.399999999999999</v>
      </c>
      <c r="AI4" s="12">
        <f>IF(SUM(R4,V4,Z4,AD4)&gt;0,SUM(R4,V4,Z4,AD4),"")</f>
        <v>28.4</v>
      </c>
      <c r="AJ4" s="12">
        <f>IF(SUM(Q4:R4,T4:V4,X4)-SUM(S4,W4)&gt;0,SUM(Q4:R4,T4:V4,X4)-SUM(S4,W4),"")</f>
        <v>69.899999999999991</v>
      </c>
      <c r="AK4" s="12">
        <f>IF(SUM(Y4:Z4,AB4:AD4,AF4)-SUM(AA4,AE4)&gt;0,SUM(Y4:Z4,AB4:AD4,AF4)-SUM(AA4,AE4),"")</f>
        <v>70.400000000000006</v>
      </c>
      <c r="AL4" s="12">
        <f>IF(SUM(AJ4,AK4)&gt;0,SUM(AJ4,AK4),"")</f>
        <v>140.30000000000001</v>
      </c>
      <c r="AM4" s="37">
        <v>28.3</v>
      </c>
      <c r="AN4" s="37">
        <v>7.6</v>
      </c>
      <c r="AO4" s="37">
        <v>0</v>
      </c>
      <c r="AP4" s="37">
        <v>0</v>
      </c>
      <c r="AQ4" s="37">
        <v>28</v>
      </c>
      <c r="AR4" s="37">
        <v>7.2</v>
      </c>
      <c r="AS4" s="37">
        <v>0</v>
      </c>
      <c r="AT4" s="37">
        <v>0</v>
      </c>
      <c r="AU4" s="37">
        <v>27.1</v>
      </c>
      <c r="AV4" s="37">
        <v>7.6</v>
      </c>
      <c r="AW4" s="37">
        <v>0.3</v>
      </c>
      <c r="AX4" s="37">
        <v>0</v>
      </c>
      <c r="AY4" s="37">
        <v>28.2</v>
      </c>
      <c r="AZ4" s="37">
        <v>6.8</v>
      </c>
      <c r="BA4" s="37">
        <v>0</v>
      </c>
      <c r="BB4" s="37">
        <v>0</v>
      </c>
      <c r="BC4" s="75"/>
      <c r="BD4" s="15">
        <f>IF(SUM(AN4,AR4)&gt;0,SUM(AN4,AR4),"")</f>
        <v>14.8</v>
      </c>
      <c r="BE4" s="15">
        <f>IF(SUM(AN4,AR4,AV4,AZ4)&gt;0,SUM(AN4,AR4,AV4,AZ4),"")</f>
        <v>29.2</v>
      </c>
      <c r="BF4" s="15">
        <f>IF(SUM(AM4:AN4,AP4:AR4,AT4)-SUM(AO4,AS4)&gt;0,SUM(AM4:AN4,AP4:AR4,AT4)-SUM(AO4,AS4),"")</f>
        <v>71.099999999999994</v>
      </c>
      <c r="BG4" s="15">
        <f>IF(SUM(AU4:AV4,AX4:AZ4,BB4)-SUM(AW4,BA4)&gt;0,SUM(AU4:AV4,AX4:AZ4,BB4)-SUM(AW4,BA4),"")</f>
        <v>69.400000000000006</v>
      </c>
      <c r="BH4" s="15">
        <f>IF(SUM(BF4,BG4)&gt;0,SUM(BF4,BG4),"")</f>
        <v>140.5</v>
      </c>
      <c r="BI4" s="24" t="str">
        <f>IF(MAX(CE4,CZ4,DU4,EP4,FK4,GF4,HA4,HV4,IQ4,JL4,KG4,LB4)-IF(J4="",0,J4)&gt;0.001,MAX(CE4,CZ4,DU4,EP4,FK4,GF4,HA4,HV4,IQ4,JL4,KG4,LB4)-IF(J4="",0,J4),"")</f>
        <v/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6.8</v>
      </c>
      <c r="BM4" s="41">
        <v>0</v>
      </c>
      <c r="BN4" s="41">
        <v>0</v>
      </c>
      <c r="BO4" s="41">
        <v>27.2</v>
      </c>
      <c r="BP4" s="41">
        <v>6.8</v>
      </c>
      <c r="BQ4" s="41">
        <v>0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>IF(SUM(BL4,BP4)&gt;0,SUM(BL4,BP4),"")</f>
        <v>13.6</v>
      </c>
      <c r="CB4" s="12">
        <f>IF(SUM(BL4,BP4,BT4,BX4)&gt;0,SUM(BL4,BP4,BT4,BX4),"")</f>
        <v>13.6</v>
      </c>
      <c r="CC4" s="12">
        <f>IF(SUM(BK4:BL4,BN4:BP4,BR4)-SUM(BM4,BQ4)&gt;0,SUM(BK4:BL4,BN4:BP4,BR4)-SUM(BM4,BQ4),"")</f>
        <v>68.5</v>
      </c>
      <c r="CD4" s="12" t="str">
        <f>IF(SUM(BS4:BT4,BV4:BX4,BZ4)-SUM(BU4,BY4)&gt;0,SUM(BS4:BT4,BV4:BX4,BZ4)-SUM(BU4,BY4),"")</f>
        <v/>
      </c>
      <c r="CE4" s="12">
        <f>IF(SUM(CC4,CD4)&gt;0,SUM(CC4,CD4),"")</f>
        <v>68.5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28.4</v>
      </c>
      <c r="LD4" s="63">
        <f t="shared" ref="LD4:LR13" si="0">IF($BC4="P",AN4,(R4+AN4)/2)</f>
        <v>7.6</v>
      </c>
      <c r="LE4" s="63">
        <f t="shared" si="0"/>
        <v>0.45</v>
      </c>
      <c r="LF4" s="63">
        <f t="shared" si="0"/>
        <v>0</v>
      </c>
      <c r="LG4" s="63">
        <f t="shared" si="0"/>
        <v>27.95</v>
      </c>
      <c r="LH4" s="63">
        <f t="shared" si="0"/>
        <v>7</v>
      </c>
      <c r="LI4" s="63">
        <f t="shared" si="0"/>
        <v>0</v>
      </c>
      <c r="LJ4" s="63">
        <f t="shared" si="0"/>
        <v>0</v>
      </c>
      <c r="LK4" s="63">
        <f t="shared" si="0"/>
        <v>27.8</v>
      </c>
      <c r="LL4" s="63">
        <f t="shared" si="0"/>
        <v>7.4</v>
      </c>
      <c r="LM4" s="63">
        <f t="shared" si="0"/>
        <v>0.15</v>
      </c>
      <c r="LN4" s="63">
        <f t="shared" si="0"/>
        <v>0</v>
      </c>
      <c r="LO4" s="63">
        <f t="shared" si="0"/>
        <v>28.049999999999997</v>
      </c>
      <c r="LP4" s="63">
        <f t="shared" si="0"/>
        <v>6.8</v>
      </c>
      <c r="LQ4" s="63">
        <f t="shared" si="0"/>
        <v>0</v>
      </c>
      <c r="LR4" s="63">
        <f t="shared" si="0"/>
        <v>0</v>
      </c>
      <c r="LS4" s="74" t="s">
        <v>119</v>
      </c>
      <c r="LT4" s="12">
        <f t="shared" ref="LT4" si="1">IF(SUM(LD4,LH4)&gt;0,SUM(LD4,LH4),"")</f>
        <v>14.6</v>
      </c>
      <c r="LU4" s="12">
        <f t="shared" ref="LU4" si="2">IF(SUM(LD4,LH4,LL4,LP4)&gt;0,SUM(LD4,LH4,LL4,LP4),"")</f>
        <v>28.8</v>
      </c>
      <c r="LV4" s="12">
        <f t="shared" ref="LV4" si="3">IF(SUM(LC4:LD4,LF4:LH4,LJ4)-SUM(LE4,LI4)&gt;0,SUM(LC4:LD4,LF4:LH4,LJ4)-SUM(LE4,LI4),"")</f>
        <v>70.5</v>
      </c>
      <c r="LW4" s="12">
        <f t="shared" ref="LW4" si="4">IF(SUM(LK4:LL4,LN4:LP4,LR4)-SUM(LM4,LQ4)&gt;0,SUM(LK4:LL4,LN4:LP4,LR4)-SUM(LM4,LQ4),"")</f>
        <v>69.899999999999991</v>
      </c>
      <c r="LX4" s="12">
        <f t="shared" ref="LX4" si="5">IF(SUM(LV4,LW4)&gt;0,SUM(LV4,LW4),"")</f>
        <v>140.39999999999998</v>
      </c>
    </row>
    <row r="5" spans="1:336" x14ac:dyDescent="0.2">
      <c r="A5" s="6">
        <f>IF(AND(F5="P",H5="P"),SUMPRODUCT((F$4:F$14="P")*(H$4:H$14="P")*(E$4:E$14&gt;E5))+1,IF(H5="P",SUMPRODUCT((F$4:F$14="")*(H$4:H$14="P")*(E$4:E$14&gt;E5))+1+SUMPRODUCT((F$4:F$14="P")*(H$4:H$14="P")),""))</f>
        <v>2</v>
      </c>
      <c r="B5" s="9" t="s">
        <v>114</v>
      </c>
      <c r="C5" s="5" t="s">
        <v>3</v>
      </c>
      <c r="D5" s="6">
        <v>2003</v>
      </c>
      <c r="E5" s="16">
        <f>SUM(J5:N5)</f>
        <v>210.39999999999998</v>
      </c>
      <c r="F5" s="4" t="str">
        <f>IF(OR(AND(AH5&gt;=AK$16,AJ5&gt;=AK$19,AJ5&lt;&gt;"",AG5=""),AND(BD5&gt;=BG$16,BF5&gt;=BG$19,BF5&lt;&gt;"",BC5=""),AND(CA5&gt;=CD$16,CC5&gt;=CD$19,CC5&lt;&gt;""),AND(CV5&gt;=CY$16,CX5&gt;=CY$19,CX5&lt;&gt;""),AND(DQ5&gt;=DT$16,DS5&gt;=DT$19,DS5&lt;&gt;""),AND(EL5&gt;=EO$16,EN5&gt;=EO$19,EN5&lt;&gt;""),AND(FG5&gt;=FJ$16,FI5&gt;=FJ$19,FI5&lt;&gt;""),AND(GB5&gt;=GE$16,GD5&gt;=GE$19,GD5&lt;&gt;""),AND(GW5&gt;=GZ$16,GY5&gt;=GZ$19,GY5&lt;&gt;""),AND(HR5&gt;=HU$16,HT5&gt;=HU$19,HT5&lt;&gt;""),AND(IM5&gt;=IP$16,IO5&gt;=IP$19,IO5&lt;&gt;""),AND(JH5&gt;=JK$16,JJ5&gt;=JK$19,JJ5&lt;&gt;""),AND(KC5&gt;=KF$16,KE5&gt;=KF$19,KE5&lt;&gt;""),AND(KX5&gt;=LA$16,KZ5&gt;=LA$19,KZ5&lt;&gt;"")),"P","")</f>
        <v>P</v>
      </c>
      <c r="G5" s="4" t="str">
        <f>IF(OR(AND(AH5&gt;=AK$17,AJ5&gt;=AK$20,AJ5&lt;&gt;"",AG5=""),AND(BD5&gt;=BG$17,BF5&gt;=BG$20,BF5&lt;&gt;"",BC5=""),AND(CA5&gt;=CD$17,CC5&gt;=CD$20,CC5&lt;&gt;""),AND(CV5&gt;=CY$17,CX5&gt;=CY$20,CX5&lt;&gt;""),AND(DQ5&gt;=DT$17,DS5&gt;=DT$20,DS5&lt;&gt;""),AND(EL5&gt;=EO$17,EN5&gt;=EO$20,EN5&lt;&gt;""),AND(FG5&gt;=FJ$17,FI5&gt;=FJ$20,FI5&lt;&gt;""),AND(GB5&gt;=GE$17,GD5&gt;=GE$20,GD5&lt;&gt;""),AND(GW5&gt;=GZ$17,GY5&gt;=GZ$20,GY5&lt;&gt;""),AND(HR5&gt;=HU$17,HT5&gt;=HU$20,HT5&lt;&gt;""),AND(IM5&gt;=IP$17,IO5&gt;=IP$20,IO5&lt;&gt;""),AND(JH5&gt;=JK$17,JJ5&gt;=JK$20,JJ5&lt;&gt;""),AND(KC5&gt;=KF$17,KE5&gt;=KF$20,KE5&lt;&gt;""),AND(KX5&gt;=LA$17,KZ5&gt;=LA$20,KZ5&lt;&gt;"")),"P","")</f>
        <v/>
      </c>
      <c r="H5" s="4" t="str">
        <f>IF(OR(AND(AJ5&gt;=AK$19,AJ5&lt;&gt;"",AG5=""),AND(BF5&gt;=BG$19,BF5&lt;&gt;"",BC5=""),AND(CC5&gt;=CD$19,CC5&lt;&gt;""),AND(CX5&gt;=CY$19,CX5&lt;&gt;""),AND(DS5&gt;=DT$19,DS5&lt;&gt;""),AND(EN5&gt;=EO$19,EN5&lt;&gt;""),AND(FI5&gt;=FJ$19,FI5&lt;&gt;""),AND(GD5&gt;=GE$19,GD5&lt;&gt;""),AND(GY5&gt;=GZ$19,GY5&lt;&gt;""),AND(HT5&gt;=HU$19,HT5&lt;&gt;""),AND(IO5&gt;=IP$19,IO5&lt;&gt;""),AND(JJ5&gt;=JK$19,JJ5&lt;&gt;""),AND(KE5&gt;=KF$19,KE5&lt;&gt;""),AND(KZ5&gt;=LA$19,KZ5&lt;&gt;"")),"P","")</f>
        <v>P</v>
      </c>
      <c r="I5" t="str">
        <f>IF(AND(H5="P",F5=""),"No DD",IF(OR(AND(AI5&gt;=AK$18,AI5&lt;&gt;"",AL5&gt;=AK$22,AL5&lt;&gt;"",AG5=""),AND(BE5&gt;=BG$18,BE5&lt;&gt;"",BH5&gt;=BG$22,BH5&lt;&gt;"",BC5=""),AND(CB5&gt;=CD$18,CB5&lt;&gt;"",CE5&gt;=CD$22,CE5&lt;&gt;""),AND(CW5&gt;=CY$18,CW5&lt;&gt;"",CZ5&gt;=CY$22,CZ5&lt;&gt;""),AND(DR5&gt;=DT$18,DR5&lt;&gt;"",DU5&gt;=DT$22,DU5&lt;&gt;""),AND(EM5&gt;=EO$18,EM5&lt;&gt;"",EP5&gt;=EO$22,EP5&lt;&gt;""),AND(FH5&gt;=FJ$18,FH5&lt;&gt;"",FK5&gt;=FJ$22,FK5&lt;&gt;""),AND(GC5&gt;=GE$18,GC5&lt;&gt;"",GF5&gt;=GE$22,GF5&lt;&gt;""),AND(GX5&gt;=GZ$18,GX5&lt;&gt;"",HA5&gt;=GZ$22,HA5&lt;&gt;""),AND(HS5&gt;=HU$18,HS5&lt;&gt;"",HV5&gt;=HU$22,HV5&lt;&gt;""),AND(IN5&gt;=IP$18,IN5&lt;&gt;"",IQ5&gt;=IP$22,IQ5&lt;&gt;""),AND(JI5&gt;=JK$18,JI5&lt;&gt;"",JL5&gt;=JK$22,JL5&lt;&gt;""),AND(KD5&gt;=KF$18,KD5&lt;&gt;"",KG5&gt;=KF$22,KG5&lt;&gt;""),AND(KY5&gt;=LA$18,KY5&lt;&gt;"",LB5&gt;=LA$22,LB5&lt;&gt;"")),"Merit",IF(OR(AND(AI5&gt;=AK$18,AI5&lt;&gt;"",AL5&gt;=AK$21,AL5&lt;&gt;"",AG5=""),AND(BE5&gt;=BG$18,BE5&lt;&gt;"",BH5&gt;=BG$21,BH5&lt;&gt;"",BC5=""),AND(CB5&gt;=CD$18,CB5&lt;&gt;"",CE5&gt;=CD$21,CE5&lt;&gt;""),AND(CW5&gt;=CY$18,CW5&lt;&gt;"",CZ5&gt;=CY$21,CZ5&lt;&gt;""),AND(DR5&gt;=DT$18,DR5&lt;&gt;"",DU5&gt;=DT$21,DU5&lt;&gt;""),AND(EM5&gt;=EO$18,EM5&lt;&gt;"",EP5&gt;=EO$21,EP5&lt;&gt;""),AND(FH5&gt;=FJ$18,FH5&lt;&gt;"",FK5&gt;=FJ$21,FK5&lt;&gt;""),AND(GC5&gt;=GE$18,GC5&lt;&gt;"",GF5&gt;=GE$21,GF5&lt;&gt;""),AND(GX5&gt;=GZ$18,GX5&lt;&gt;"",HA5&gt;=GZ$21,HA5&lt;&gt;""),AND(HS5&gt;=HU$18,HS5&lt;&gt;"",HV5&gt;=HU$21,HV5&lt;&gt;""),AND(IN5&gt;=IP$18,IN5&lt;&gt;"",IQ5&gt;=IP$21,IQ5&lt;&gt;""),AND(JI5&gt;=JK$18,JI5&lt;&gt;"",JL5&gt;=JK$21,JL5&lt;&gt;""),AND(KD5&gt;=KF$18,KD5&lt;&gt;"",KG5&gt;=KF$21,KG5&lt;&gt;""),AND(KY5&gt;=LA$18,KY5&lt;&gt;"",LB5&gt;=LA$21,LB5&lt;&gt;"")),"Excellence",IF(OR(AND(AH5&gt;=AK$17,AH5&lt;&gt;"",AJ5&gt;=AK$20,AJ5&lt;&gt;"",AG5=""),AND(BD5&gt;=BG$17,BD5&lt;&gt;"",BF5&gt;=BG$20,BF5&lt;&gt;"",BC5=""),AND(CA5&gt;=CD$17,CA5&lt;&gt;"",CC5&gt;=CD$20,CC5&lt;&gt;""),AND(CV5&gt;=CY$17,CV5&lt;&gt;"",CX5&gt;=CY$20,CX5&lt;&gt;""),AND(DQ5&gt;=DT$17,DQ5&lt;&gt;"",DS5&gt;=DT$20,DS5&lt;&gt;""),AND(EL5&gt;=EO$17,EL5&lt;&gt;"",EN5&gt;=EO$20,EN5&lt;&gt;""),AND(FG5&gt;=FJ$17,FG5&lt;&gt;"",FI5&gt;=FJ$20,FI5&lt;&gt;""),AND(GB5&gt;=GE$17,GB5&lt;&gt;"",GD5&gt;=GE$20,GD5&lt;&gt;""),AND(GW5&gt;=GZ$17,GW5&lt;&gt;"",GY5&gt;=GZ$20,GY5&lt;&gt;""),AND(HR5&gt;=HU$17,HR5&lt;&gt;"",HT5&gt;=HU$20,HT5&lt;&gt;""),AND(IM5&gt;=IP$17,IM5&lt;&gt;"",IO5&gt;=IP$20,IO5&lt;&gt;""),AND(JH5&gt;=JK$17,JH5&lt;&gt;"",JJ5&gt;=JK$20,JJ5&lt;&gt;""),AND(KC5&gt;=KF$17,KC5&lt;&gt;"",KE5&gt;=KF$20,KE5&lt;&gt;""),AND(KX5&gt;=LA$17,KX5&lt;&gt;"",KZ5&gt;=LA$20,KZ5&lt;&gt;"")),"Worlds Team",IF(OR(AND(AH5&gt;=AK$16,AH5&lt;&gt;"",AJ5&gt;=AK$19,AJ5&lt;&gt;"",AG5=""),AND(BD5&gt;=BG$16,BD5&lt;&gt;"",BF5&gt;=BG$19,BF5&lt;&gt;"",BC5=""),AND(CA5&gt;=CD$16,CA5&lt;&gt;"",CC5&gt;=CD$19,CC5&lt;&gt;""),AND(CV5&gt;=CY$16,CV5&lt;&gt;"",CX5&gt;=CY$19,CX5&lt;&gt;""),AND(DQ5&gt;=DT$16,DQ5&lt;&gt;"",DS5&gt;=DT$19,DS5&lt;&gt;""),AND(EL5&gt;=EO$16,EL5&lt;&gt;"",EN5&gt;=EO$19,EN5&lt;&gt;""),AND(FG5&gt;=FJ$16,FG5&lt;&gt;"",FI5&gt;=FJ$19,FI5&lt;&gt;""),AND(GB5&gt;=GE$16,GB5&lt;&gt;"",GD5&gt;=GE$19,GD5&lt;&gt;""),AND(GW5&gt;=GZ$16,GW5&lt;&gt;"",GY5&gt;=GZ$19,GY5&lt;&gt;""),AND(HR5&gt;=HU$16,HR5&lt;&gt;"",HT5&gt;=HU$19,HT5&lt;&gt;""),AND(IM5&gt;=IP$16,IM5&lt;&gt;"",IO5&gt;=IP$19,IO5&lt;&gt;""),AND(JH5&gt;=JK$16,JH5&lt;&gt;"",JJ5&gt;=JK$19,JJ5&lt;&gt;""),AND(KC5&gt;=KF$16,KC5&lt;&gt;"",KE5&gt;=KF$19,KE5&lt;&gt;""),AND(KX5&gt;=LA$16,KX5&lt;&gt;"",KZ5&gt;=LA$19,KZ5&lt;&gt;"")),"National Team","")))))</f>
        <v>Excellence</v>
      </c>
      <c r="J5" s="15">
        <f>IF(MAX(AL5,BH5)&gt;0,MAX(AL5,BH5),"")</f>
        <v>140.19999999999999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70.2</v>
      </c>
      <c r="M5" s="15" t="str">
        <f>IF(L5="","",IF(AND(J5&lt;&gt;BH5,OR(L5=BG5,L5=BF5)),$AM$1,IF(OR(L5=AK5,L5=AJ5),$Q$1,"")))</f>
        <v>2018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28.6</v>
      </c>
      <c r="R5" s="63">
        <v>6.8</v>
      </c>
      <c r="S5" s="63">
        <v>0</v>
      </c>
      <c r="T5" s="63">
        <v>0</v>
      </c>
      <c r="U5" s="63">
        <v>28.4</v>
      </c>
      <c r="V5" s="63">
        <v>6.4</v>
      </c>
      <c r="W5" s="63">
        <v>0</v>
      </c>
      <c r="X5" s="63">
        <v>0</v>
      </c>
      <c r="Y5" s="63">
        <v>27.7</v>
      </c>
      <c r="Z5" s="63">
        <v>6.8</v>
      </c>
      <c r="AA5" s="63">
        <v>0.9</v>
      </c>
      <c r="AB5" s="63">
        <v>0</v>
      </c>
      <c r="AC5" s="63">
        <v>28.3</v>
      </c>
      <c r="AD5" s="63">
        <v>6</v>
      </c>
      <c r="AE5" s="63">
        <v>0</v>
      </c>
      <c r="AF5" s="63">
        <v>0</v>
      </c>
      <c r="AG5" s="74"/>
      <c r="AH5" s="12">
        <f>IF(SUM(R5,V5)&gt;0,SUM(R5,V5),"")</f>
        <v>13.2</v>
      </c>
      <c r="AI5" s="12">
        <f>IF(SUM(R5,V5,Z5,AD5)&gt;0,SUM(R5,V5,Z5,AD5),"")</f>
        <v>26</v>
      </c>
      <c r="AJ5" s="12">
        <f>IF(SUM(Q5:R5,T5:V5,X5)-SUM(S5,W5)&gt;0,SUM(Q5:R5,T5:V5,X5)-SUM(S5,W5),"")</f>
        <v>70.2</v>
      </c>
      <c r="AK5" s="12">
        <f>IF(SUM(Y5:Z5,AB5:AD5,AF5)-SUM(AA5,AE5)&gt;0,SUM(Y5:Z5,AB5:AD5,AF5)-SUM(AA5,AE5),"")</f>
        <v>67.899999999999991</v>
      </c>
      <c r="AL5" s="12">
        <f>IF(SUM(AJ5,AK5)&gt;0,SUM(AJ5,AK5),"")</f>
        <v>138.1</v>
      </c>
      <c r="AM5" s="37">
        <v>28.5</v>
      </c>
      <c r="AN5" s="37">
        <v>7.2</v>
      </c>
      <c r="AO5" s="37">
        <v>0</v>
      </c>
      <c r="AP5" s="37">
        <v>0</v>
      </c>
      <c r="AQ5" s="37">
        <v>28.4</v>
      </c>
      <c r="AR5" s="37">
        <v>7.2</v>
      </c>
      <c r="AS5" s="37">
        <v>0</v>
      </c>
      <c r="AT5" s="37">
        <v>0</v>
      </c>
      <c r="AU5" s="37">
        <v>27.2</v>
      </c>
      <c r="AV5" s="37">
        <v>7.6</v>
      </c>
      <c r="AW5" s="37">
        <v>0</v>
      </c>
      <c r="AX5" s="37">
        <v>0</v>
      </c>
      <c r="AY5" s="37">
        <v>27.4</v>
      </c>
      <c r="AZ5" s="37">
        <v>7.6</v>
      </c>
      <c r="BA5" s="37">
        <v>0.9</v>
      </c>
      <c r="BB5" s="37">
        <v>0</v>
      </c>
      <c r="BC5" s="75"/>
      <c r="BD5" s="15">
        <f>IF(SUM(AN5,AR5)&gt;0,SUM(AN5,AR5),"")</f>
        <v>14.4</v>
      </c>
      <c r="BE5" s="15">
        <f>IF(SUM(AN5,AR5,AV5,AZ5)&gt;0,SUM(AN5,AR5,AV5,AZ5),"")</f>
        <v>29.6</v>
      </c>
      <c r="BF5" s="15">
        <f>IF(SUM(AM5:AN5,AP5:AR5,AT5)-SUM(AO5,AS5)&gt;0,SUM(AM5:AN5,AP5:AR5,AT5)-SUM(AO5,AS5),"")</f>
        <v>71.3</v>
      </c>
      <c r="BG5" s="15">
        <f>IF(SUM(AU5:AV5,AX5:AZ5,BB5)-SUM(AW5,BA5)&gt;0,SUM(AU5:AV5,AX5:AZ5,BB5)-SUM(AW5,BA5),"")</f>
        <v>68.899999999999991</v>
      </c>
      <c r="BH5" s="15">
        <f>IF(SUM(BF5,BG5)&gt;0,SUM(BF5,BG5),"")</f>
        <v>140.19999999999999</v>
      </c>
      <c r="BI5" s="24" t="str">
        <f>IF(MAX(CE5,CZ5,DU5,EP5,FK5,GF5,HA5,HV5,IQ5,JL5,KG5,LB5)-IF(J5="",0,J5)&gt;0.001,MAX(CE5,CZ5,DU5,EP5,FK5,GF5,HA5,HV5,IQ5,JL5,KG5,LB5)-IF(J5="",0,J5),"")</f>
        <v/>
      </c>
      <c r="BJ5" s="24" t="str">
        <f>IF(MAX(CC5,CD5,CX5,CY5,DS5,DT5,EN5,EO5,FI5,FJ5,GD5,GE5,GY5,GZ5,HT5,HU5,IO5,IP5,JJ5,JK5,KE5,KF5,KZ5,LA5)-IF(L5="",0,L5)&gt;0.001,MAX(CC5,CD5,CX5,CY5,DS5,DT5,EN5,EO5,FI5,FJ5,GD5,GE5,GY5,GZ5,HT5,HU5,IO5,IP5,JJ5,JK5,KE5,KF5,KZ5,LA5)-IF(L5="",0,L5),"")</f>
        <v/>
      </c>
      <c r="BK5" s="41">
        <v>27.7</v>
      </c>
      <c r="BL5" s="41">
        <v>7.2</v>
      </c>
      <c r="BM5" s="41">
        <v>0.9</v>
      </c>
      <c r="BN5" s="41">
        <v>0</v>
      </c>
      <c r="BO5" s="41">
        <v>27.7</v>
      </c>
      <c r="BP5" s="41">
        <v>6.8</v>
      </c>
      <c r="BQ5" s="41">
        <v>1.2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>IF(SUM(BL5,BP5)&gt;0,SUM(BL5,BP5),"")</f>
        <v>14</v>
      </c>
      <c r="CB5" s="12">
        <f>IF(SUM(BL5,BP5,BT5,BX5)&gt;0,SUM(BL5,BP5,BT5,BX5),"")</f>
        <v>14</v>
      </c>
      <c r="CC5" s="12">
        <f>IF(SUM(BK5:BL5,BN5:BP5,BR5)-SUM(BM5,BQ5)&gt;0,SUM(BK5:BL5,BN5:BP5,BR5)-SUM(BM5,BQ5),"")</f>
        <v>67.3</v>
      </c>
      <c r="CD5" s="12" t="str">
        <f>IF(SUM(BS5:BT5,BV5:BX5,BZ5)-SUM(BU5,BY5)&gt;0,SUM(BS5:BT5,BV5:BX5,BZ5)-SUM(BU5,BY5),"")</f>
        <v/>
      </c>
      <c r="CE5" s="12">
        <f>IF(SUM(CC5,CD5)&gt;0,SUM(CC5,CD5),"")</f>
        <v>67.3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 t="str">
        <f>IF(SUM(CG5,CK5,CO5,CS5)&gt;0,SUM(CG5,CK5,CO5,CS5),"")</f>
        <v/>
      </c>
      <c r="CX5" s="15" t="str">
        <f>IF(SUM(CF5:CG5,CI5:CK5,CM5)-SUM(CH5,CL5)&gt;0,SUM(CF5:CG5,CI5:CK5,CM5)-SUM(CH5,CL5),"")</f>
        <v/>
      </c>
      <c r="CY5" s="15" t="str">
        <f>IF(SUM(CN5:CO5,CQ5:CS5,CU5)-SUM(CP5,CT5)&gt;0,SUM(CN5:CO5,CQ5:CS5,CU5)-SUM(CP5,CT5),"")</f>
        <v/>
      </c>
      <c r="CZ5" s="15" t="str">
        <f>IF(SUM(CX5,CY5)&gt;0,SUM(CX5,CY5),"")</f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>IF(SUM(DB5,DF5)&gt;0,SUM(DB5,DF5),"")</f>
        <v/>
      </c>
      <c r="DR5" s="12" t="str">
        <f>IF(SUM(DB5,DF5,DJ5,DN5)&gt;0,SUM(DB5,DF5,DJ5,DN5),"")</f>
        <v/>
      </c>
      <c r="DS5" s="12" t="str">
        <f>IF(SUM(DA5:DB5,DD5:DF5,DH5)-SUM(DC5,DG5)&gt;0,SUM(DA5:DB5,DD5:DF5,DH5)-SUM(DC5,DG5),"")</f>
        <v/>
      </c>
      <c r="DT5" s="12" t="str">
        <f>IF(SUM(DI5:DJ5,DL5:DN5,DP5)-SUM(DK5,DO5)&gt;0,SUM(DI5:DJ5,DL5:DN5,DP5)-SUM(DK5,DO5),"")</f>
        <v/>
      </c>
      <c r="DU5" s="12" t="str">
        <f>IF(SUM(DS5,DT5)&gt;0,SUM(DS5,DT5),"")</f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>IF(SUM(DW5,EA5)&gt;0,SUM(DW5,EA5),"")</f>
        <v/>
      </c>
      <c r="EM5" s="15" t="str">
        <f>IF(SUM(DW5,EA5,EE5,EI5)&gt;0,SUM(DW5,EA5,EE5,EI5),"")</f>
        <v/>
      </c>
      <c r="EN5" s="15" t="str">
        <f>IF(SUM(DV5:DW5,DY5:EA5,EC5)-SUM(DX5,EB5)&gt;0,SUM(DV5:DW5,DY5:EA5,EC5)-SUM(DX5,EB5),"")</f>
        <v/>
      </c>
      <c r="EO5" s="15" t="str">
        <f>IF(SUM(ED5:EE5,EG5:EI5,EK5)-SUM(EF5,EJ5)&gt;0,SUM(ED5:EE5,EG5:EI5,EK5)-SUM(EF5,EJ5),"")</f>
        <v/>
      </c>
      <c r="EP5" s="15" t="str">
        <f>IF(SUM(EN5,EO5)&gt;0,SUM(EN5,EO5),"")</f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>IF(SUM(ER5,EV5)&gt;0,SUM(ER5,EV5),"")</f>
        <v/>
      </c>
      <c r="FH5" s="12" t="str">
        <f>IF(SUM(ER5,EV5,EZ5,FD5)&gt;0,SUM(ER5,EV5,EZ5,FD5),"")</f>
        <v/>
      </c>
      <c r="FI5" s="12" t="str">
        <f>IF(SUM(EQ5:ER5,ET5:EV5,EX5)-SUM(ES5,EW5)&gt;0,SUM(EQ5:ER5,ET5:EV5,EX5)-SUM(ES5,EW5),"")</f>
        <v/>
      </c>
      <c r="FJ5" s="12" t="str">
        <f>IF(SUM(EY5:EZ5,FB5:FD5,FF5)-SUM(FA5,FE5)&gt;0,SUM(EY5:EZ5,FB5:FD5,FF5)-SUM(FA5,FE5),"")</f>
        <v/>
      </c>
      <c r="FK5" s="12" t="str">
        <f>IF(SUM(FI5,FJ5)&gt;0,SUM(FI5,FJ5),"")</f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>IF(SUM(FM5,FQ5)&gt;0,SUM(FM5,FQ5),"")</f>
        <v/>
      </c>
      <c r="GC5" s="15" t="str">
        <f>IF(SUM(FM5,FQ5,FU5,FY5)&gt;0,SUM(FM5,FQ5,FU5,FY5),"")</f>
        <v/>
      </c>
      <c r="GD5" s="15" t="str">
        <f>IF(SUM(FL5:FM5,FO5:FQ5,FS5)-SUM(FN5,FR5)&gt;0,SUM(FL5:FM5,FO5:FQ5,FS5)-SUM(FN5,FR5),"")</f>
        <v/>
      </c>
      <c r="GE5" s="15" t="str">
        <f>IF(SUM(FT5:FU5,FW5:FY5,GA5)-SUM(FV5,FZ5)&gt;0,SUM(FT5:FU5,FW5:FY5,GA5)-SUM(FV5,FZ5),"")</f>
        <v/>
      </c>
      <c r="GF5" s="15" t="str">
        <f>IF(SUM(GD5,GE5)&gt;0,SUM(GD5,GE5),"")</f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>IF(SUM(GH5,GL5)&gt;0,SUM(GH5,GL5),"")</f>
        <v/>
      </c>
      <c r="GX5" s="12" t="str">
        <f>IF(SUM(GH5,GL5,GP5,GT5)&gt;0,SUM(GH5,GL5,GP5,GT5),"")</f>
        <v/>
      </c>
      <c r="GY5" s="12" t="str">
        <f>IF(SUM(GG5:GH5,GJ5:GL5,GN5)-SUM(GI5,GM5)&gt;0,SUM(GG5:GH5,GJ5:GL5,GN5)-SUM(GI5,GM5),"")</f>
        <v/>
      </c>
      <c r="GZ5" s="12" t="str">
        <f>IF(SUM(GO5:GP5,GR5:GT5,GV5)-SUM(GQ5,GU5)&gt;0,SUM(GO5:GP5,GR5:GT5,GV5)-SUM(GQ5,GU5),"")</f>
        <v/>
      </c>
      <c r="HA5" s="12" t="str">
        <f>IF(SUM(GY5,GZ5)&gt;0,SUM(GY5,GZ5),"")</f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>IF(SUM(HC5,HG5)&gt;0,SUM(HC5,HG5),"")</f>
        <v/>
      </c>
      <c r="HS5" s="15" t="str">
        <f>IF(SUM(HC5,HG5,HK5,HO5)&gt;0,SUM(HC5,HG5,HK5,HO5),"")</f>
        <v/>
      </c>
      <c r="HT5" s="15" t="str">
        <f>IF(SUM(HB5:HC5,HE5:HG5,HI5)-SUM(HD5,HH5)&gt;0,SUM(HB5:HC5,HE5:HG5,HI5)-SUM(HD5,HH5),"")</f>
        <v/>
      </c>
      <c r="HU5" s="15" t="str">
        <f>IF(SUM(HJ5:HK5,HM5:HO5,HQ5)-SUM(HL5,HP5)&gt;0,SUM(HJ5:HK5,HM5:HO5,HQ5)-SUM(HL5,HP5),"")</f>
        <v/>
      </c>
      <c r="HV5" s="15" t="str">
        <f>IF(SUM(HT5,HU5)&gt;0,SUM(HT5,HU5),"")</f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>IF(SUM(HX5,IB5)&gt;0,SUM(HX5,IB5),"")</f>
        <v/>
      </c>
      <c r="IN5" s="12" t="str">
        <f>IF(SUM(HX5,IB5,IF5,IJ5)&gt;0,SUM(HX5,IB5,IF5,IJ5),"")</f>
        <v/>
      </c>
      <c r="IO5" s="12" t="str">
        <f>IF(SUM(HW5:HX5,HZ5:IB5,ID5)-SUM(HY5,IC5)&gt;0,SUM(HW5:HX5,HZ5:IB5,ID5)-SUM(HY5,IC5),"")</f>
        <v/>
      </c>
      <c r="IP5" s="12" t="str">
        <f>IF(SUM(IE5:IF5,IH5:IJ5,IL5)-SUM(IG5,IK5)&gt;0,SUM(IE5:IF5,IH5:IJ5,IL5)-SUM(IG5,IK5),"")</f>
        <v/>
      </c>
      <c r="IQ5" s="12" t="str">
        <f>IF(SUM(IO5,IP5)&gt;0,SUM(IO5,IP5),"")</f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>IF(SUM(IS5,IW5)&gt;0,SUM(IS5,IW5),"")</f>
        <v/>
      </c>
      <c r="JI5" s="15" t="str">
        <f>IF(SUM(IS5,IW5,JA5,JE5)&gt;0,SUM(IS5,IW5,JA5,JE5),"")</f>
        <v/>
      </c>
      <c r="JJ5" s="15" t="str">
        <f>IF(SUM(IR5:IS5,IU5:IW5,IY5)-SUM(IT5,IX5)&gt;0,SUM(IR5:IS5,IU5:IW5,IY5)-SUM(IT5,IX5),"")</f>
        <v/>
      </c>
      <c r="JK5" s="15" t="str">
        <f>IF(SUM(IZ5:JA5,JC5:JE5,JG5)-SUM(JB5,JF5)&gt;0,SUM(IZ5:JA5,JC5:JE5,JG5)-SUM(JB5,JF5),"")</f>
        <v/>
      </c>
      <c r="JL5" s="15" t="str">
        <f>IF(SUM(JJ5,JK5)&gt;0,SUM(JJ5,JK5),"")</f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>IF(SUM(JN5,JR5)&gt;0,SUM(JN5,JR5),"")</f>
        <v/>
      </c>
      <c r="KD5" s="12" t="str">
        <f>IF(SUM(JN5,JR5,JV5,JZ5)&gt;0,SUM(JN5,JR5,JV5,JZ5),"")</f>
        <v/>
      </c>
      <c r="KE5" s="12" t="str">
        <f>IF(SUM(JM5:JN5,JP5:JR5,JT5)-SUM(JO5,JS5)&gt;0,SUM(JM5:JN5,JP5:JR5,JT5)-SUM(JO5,JS5),"")</f>
        <v/>
      </c>
      <c r="KF5" s="12" t="str">
        <f>IF(SUM(JU5:JV5,JX5:JZ5,KB5)-SUM(JW5,KA5)&gt;0,SUM(JU5:JV5,JX5:JZ5,KB5)-SUM(JW5,KA5),"")</f>
        <v/>
      </c>
      <c r="KG5" s="12" t="str">
        <f>IF(SUM(KE5,KF5)&gt;0,SUM(KE5,KF5),"")</f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13" si="6">IF($BC5="P",AM5,(Q5+AM5)/2)</f>
        <v>28.55</v>
      </c>
      <c r="LD5" s="63">
        <f t="shared" si="0"/>
        <v>7</v>
      </c>
      <c r="LE5" s="63">
        <f t="shared" si="0"/>
        <v>0</v>
      </c>
      <c r="LF5" s="63">
        <f t="shared" si="0"/>
        <v>0</v>
      </c>
      <c r="LG5" s="63">
        <f t="shared" si="0"/>
        <v>28.4</v>
      </c>
      <c r="LH5" s="63">
        <f t="shared" si="0"/>
        <v>6.8000000000000007</v>
      </c>
      <c r="LI5" s="63">
        <f t="shared" si="0"/>
        <v>0</v>
      </c>
      <c r="LJ5" s="63">
        <f t="shared" si="0"/>
        <v>0</v>
      </c>
      <c r="LK5" s="63">
        <f t="shared" si="0"/>
        <v>27.45</v>
      </c>
      <c r="LL5" s="63">
        <f t="shared" si="0"/>
        <v>7.1999999999999993</v>
      </c>
      <c r="LM5" s="63">
        <f t="shared" si="0"/>
        <v>0.45</v>
      </c>
      <c r="LN5" s="63">
        <f t="shared" si="0"/>
        <v>0</v>
      </c>
      <c r="LO5" s="63">
        <f t="shared" si="0"/>
        <v>27.85</v>
      </c>
      <c r="LP5" s="63">
        <f t="shared" si="0"/>
        <v>6.8</v>
      </c>
      <c r="LQ5" s="63">
        <f t="shared" si="0"/>
        <v>0.45</v>
      </c>
      <c r="LR5" s="63">
        <f t="shared" si="0"/>
        <v>0</v>
      </c>
      <c r="LS5" s="74" t="s">
        <v>119</v>
      </c>
      <c r="LT5" s="12">
        <f t="shared" ref="LT5:LT12" si="7">IF(SUM(LD5,LH5)&gt;0,SUM(LD5,LH5),"")</f>
        <v>13.8</v>
      </c>
      <c r="LU5" s="12">
        <f t="shared" ref="LU5:LU12" si="8">IF(SUM(LD5,LH5,LL5,LP5)&gt;0,SUM(LD5,LH5,LL5,LP5),"")</f>
        <v>27.8</v>
      </c>
      <c r="LV5" s="12">
        <f t="shared" ref="LV5:LV12" si="9">IF(SUM(LC5:LD5,LF5:LH5,LJ5)-SUM(LE5,LI5)&gt;0,SUM(LC5:LD5,LF5:LH5,LJ5)-SUM(LE5,LI5),"")</f>
        <v>70.75</v>
      </c>
      <c r="LW5" s="12">
        <f t="shared" ref="LW5:LW12" si="10">IF(SUM(LK5:LL5,LN5:LP5,LR5)-SUM(LM5,LQ5)&gt;0,SUM(LK5:LL5,LN5:LP5,LR5)-SUM(LM5,LQ5),"")</f>
        <v>68.399999999999991</v>
      </c>
      <c r="LX5" s="12">
        <f t="shared" ref="LX5:LX12" si="11">IF(SUM(LV5,LW5)&gt;0,SUM(LV5,LW5),"")</f>
        <v>139.14999999999998</v>
      </c>
    </row>
    <row r="6" spans="1:336" x14ac:dyDescent="0.2">
      <c r="A6" s="6">
        <f>IF(AND(F6="P",H6="P"),SUMPRODUCT((F$4:F$14="P")*(H$4:H$14="P")*(E$4:E$14&gt;E6))+1,IF(H6="P",SUMPRODUCT((F$4:F$14="")*(H$4:H$14="P")*(E$4:E$14&gt;E6))+1+SUMPRODUCT((F$4:F$14="P")*(H$4:H$14="P")),""))</f>
        <v>3</v>
      </c>
      <c r="B6" s="9" t="s">
        <v>84</v>
      </c>
      <c r="C6" s="5" t="s">
        <v>5</v>
      </c>
      <c r="D6" s="6">
        <v>2001</v>
      </c>
      <c r="E6" s="16">
        <f>SUM(J6:N6)</f>
        <v>205.8</v>
      </c>
      <c r="F6" s="4" t="str">
        <f>IF(OR(AND(AH6&gt;=AK$16,AJ6&gt;=AK$19,AJ6&lt;&gt;"",AG6=""),AND(BD6&gt;=BG$16,BF6&gt;=BG$19,BF6&lt;&gt;"",BC6=""),AND(CA6&gt;=CD$16,CC6&gt;=CD$19,CC6&lt;&gt;""),AND(CV6&gt;=CY$16,CX6&gt;=CY$19,CX6&lt;&gt;""),AND(DQ6&gt;=DT$16,DS6&gt;=DT$19,DS6&lt;&gt;""),AND(EL6&gt;=EO$16,EN6&gt;=EO$19,EN6&lt;&gt;""),AND(FG6&gt;=FJ$16,FI6&gt;=FJ$19,FI6&lt;&gt;""),AND(GB6&gt;=GE$16,GD6&gt;=GE$19,GD6&lt;&gt;""),AND(GW6&gt;=GZ$16,GY6&gt;=GZ$19,GY6&lt;&gt;""),AND(HR6&gt;=HU$16,HT6&gt;=HU$19,HT6&lt;&gt;""),AND(IM6&gt;=IP$16,IO6&gt;=IP$19,IO6&lt;&gt;""),AND(JH6&gt;=JK$16,JJ6&gt;=JK$19,JJ6&lt;&gt;""),AND(KC6&gt;=KF$16,KE6&gt;=KF$19,KE6&lt;&gt;""),AND(KX6&gt;=LA$16,KZ6&gt;=LA$19,KZ6&lt;&gt;"")),"P","")</f>
        <v>P</v>
      </c>
      <c r="G6" s="4" t="str">
        <f>IF(OR(AND(AH6&gt;=AK$17,AJ6&gt;=AK$20,AJ6&lt;&gt;"",AG6=""),AND(BD6&gt;=BG$17,BF6&gt;=BG$20,BF6&lt;&gt;"",BC6=""),AND(CA6&gt;=CD$17,CC6&gt;=CD$20,CC6&lt;&gt;""),AND(CV6&gt;=CY$17,CX6&gt;=CY$20,CX6&lt;&gt;""),AND(DQ6&gt;=DT$17,DS6&gt;=DT$20,DS6&lt;&gt;""),AND(EL6&gt;=EO$17,EN6&gt;=EO$20,EN6&lt;&gt;""),AND(FG6&gt;=FJ$17,FI6&gt;=FJ$20,FI6&lt;&gt;""),AND(GB6&gt;=GE$17,GD6&gt;=GE$20,GD6&lt;&gt;""),AND(GW6&gt;=GZ$17,GY6&gt;=GZ$20,GY6&lt;&gt;""),AND(HR6&gt;=HU$17,HT6&gt;=HU$20,HT6&lt;&gt;""),AND(IM6&gt;=IP$17,IO6&gt;=IP$20,IO6&lt;&gt;""),AND(JH6&gt;=JK$17,JJ6&gt;=JK$20,JJ6&lt;&gt;""),AND(KC6&gt;=KF$17,KE6&gt;=KF$20,KE6&lt;&gt;""),AND(KX6&gt;=LA$17,KZ6&gt;=LA$20,KZ6&lt;&gt;"")),"P","")</f>
        <v/>
      </c>
      <c r="H6" s="4" t="str">
        <f>IF(OR(AND(AJ6&gt;=AK$19,AJ6&lt;&gt;"",AG6=""),AND(BF6&gt;=BG$19,BF6&lt;&gt;"",BC6=""),AND(CC6&gt;=CD$19,CC6&lt;&gt;""),AND(CX6&gt;=CY$19,CX6&lt;&gt;""),AND(DS6&gt;=DT$19,DS6&lt;&gt;""),AND(EN6&gt;=EO$19,EN6&lt;&gt;""),AND(FI6&gt;=FJ$19,FI6&lt;&gt;""),AND(GD6&gt;=GE$19,GD6&lt;&gt;""),AND(GY6&gt;=GZ$19,GY6&lt;&gt;""),AND(HT6&gt;=HU$19,HT6&lt;&gt;""),AND(IO6&gt;=IP$19,IO6&lt;&gt;""),AND(JJ6&gt;=JK$19,JJ6&lt;&gt;""),AND(KE6&gt;=KF$19,KE6&lt;&gt;""),AND(KZ6&gt;=LA$19,KZ6&lt;&gt;"")),"P","")</f>
        <v>P</v>
      </c>
      <c r="I6" t="str">
        <f>IF(AND(H6="P",F6=""),"No DD",IF(OR(AND(AI6&gt;=AK$18,AI6&lt;&gt;"",AL6&gt;=AK$22,AL6&lt;&gt;"",AG6=""),AND(BE6&gt;=BG$18,BE6&lt;&gt;"",BH6&gt;=BG$22,BH6&lt;&gt;"",BC6=""),AND(CB6&gt;=CD$18,CB6&lt;&gt;"",CE6&gt;=CD$22,CE6&lt;&gt;""),AND(CW6&gt;=CY$18,CW6&lt;&gt;"",CZ6&gt;=CY$22,CZ6&lt;&gt;""),AND(DR6&gt;=DT$18,DR6&lt;&gt;"",DU6&gt;=DT$22,DU6&lt;&gt;""),AND(EM6&gt;=EO$18,EM6&lt;&gt;"",EP6&gt;=EO$22,EP6&lt;&gt;""),AND(FH6&gt;=FJ$18,FH6&lt;&gt;"",FK6&gt;=FJ$22,FK6&lt;&gt;""),AND(GC6&gt;=GE$18,GC6&lt;&gt;"",GF6&gt;=GE$22,GF6&lt;&gt;""),AND(GX6&gt;=GZ$18,GX6&lt;&gt;"",HA6&gt;=GZ$22,HA6&lt;&gt;""),AND(HS6&gt;=HU$18,HS6&lt;&gt;"",HV6&gt;=HU$22,HV6&lt;&gt;""),AND(IN6&gt;=IP$18,IN6&lt;&gt;"",IQ6&gt;=IP$22,IQ6&lt;&gt;""),AND(JI6&gt;=JK$18,JI6&lt;&gt;"",JL6&gt;=JK$22,JL6&lt;&gt;""),AND(KD6&gt;=KF$18,KD6&lt;&gt;"",KG6&gt;=KF$22,KG6&lt;&gt;""),AND(KY6&gt;=LA$18,KY6&lt;&gt;"",LB6&gt;=LA$22,LB6&lt;&gt;"")),"Merit",IF(OR(AND(AI6&gt;=AK$18,AI6&lt;&gt;"",AL6&gt;=AK$21,AL6&lt;&gt;"",AG6=""),AND(BE6&gt;=BG$18,BE6&lt;&gt;"",BH6&gt;=BG$21,BH6&lt;&gt;"",BC6=""),AND(CB6&gt;=CD$18,CB6&lt;&gt;"",CE6&gt;=CD$21,CE6&lt;&gt;""),AND(CW6&gt;=CY$18,CW6&lt;&gt;"",CZ6&gt;=CY$21,CZ6&lt;&gt;""),AND(DR6&gt;=DT$18,DR6&lt;&gt;"",DU6&gt;=DT$21,DU6&lt;&gt;""),AND(EM6&gt;=EO$18,EM6&lt;&gt;"",EP6&gt;=EO$21,EP6&lt;&gt;""),AND(FH6&gt;=FJ$18,FH6&lt;&gt;"",FK6&gt;=FJ$21,FK6&lt;&gt;""),AND(GC6&gt;=GE$18,GC6&lt;&gt;"",GF6&gt;=GE$21,GF6&lt;&gt;""),AND(GX6&gt;=GZ$18,GX6&lt;&gt;"",HA6&gt;=GZ$21,HA6&lt;&gt;""),AND(HS6&gt;=HU$18,HS6&lt;&gt;"",HV6&gt;=HU$21,HV6&lt;&gt;""),AND(IN6&gt;=IP$18,IN6&lt;&gt;"",IQ6&gt;=IP$21,IQ6&lt;&gt;""),AND(JI6&gt;=JK$18,JI6&lt;&gt;"",JL6&gt;=JK$21,JL6&lt;&gt;""),AND(KD6&gt;=KF$18,KD6&lt;&gt;"",KG6&gt;=KF$21,KG6&lt;&gt;""),AND(KY6&gt;=LA$18,KY6&lt;&gt;"",LB6&gt;=LA$21,LB6&lt;&gt;"")),"Excellence",IF(OR(AND(AH6&gt;=AK$17,AH6&lt;&gt;"",AJ6&gt;=AK$20,AJ6&lt;&gt;"",AG6=""),AND(BD6&gt;=BG$17,BD6&lt;&gt;"",BF6&gt;=BG$20,BF6&lt;&gt;"",BC6=""),AND(CA6&gt;=CD$17,CA6&lt;&gt;"",CC6&gt;=CD$20,CC6&lt;&gt;""),AND(CV6&gt;=CY$17,CV6&lt;&gt;"",CX6&gt;=CY$20,CX6&lt;&gt;""),AND(DQ6&gt;=DT$17,DQ6&lt;&gt;"",DS6&gt;=DT$20,DS6&lt;&gt;""),AND(EL6&gt;=EO$17,EL6&lt;&gt;"",EN6&gt;=EO$20,EN6&lt;&gt;""),AND(FG6&gt;=FJ$17,FG6&lt;&gt;"",FI6&gt;=FJ$20,FI6&lt;&gt;""),AND(GB6&gt;=GE$17,GB6&lt;&gt;"",GD6&gt;=GE$20,GD6&lt;&gt;""),AND(GW6&gt;=GZ$17,GW6&lt;&gt;"",GY6&gt;=GZ$20,GY6&lt;&gt;""),AND(HR6&gt;=HU$17,HR6&lt;&gt;"",HT6&gt;=HU$20,HT6&lt;&gt;""),AND(IM6&gt;=IP$17,IM6&lt;&gt;"",IO6&gt;=IP$20,IO6&lt;&gt;""),AND(JH6&gt;=JK$17,JH6&lt;&gt;"",JJ6&gt;=JK$20,JJ6&lt;&gt;""),AND(KC6&gt;=KF$17,KC6&lt;&gt;"",KE6&gt;=KF$20,KE6&lt;&gt;""),AND(KX6&gt;=LA$17,KX6&lt;&gt;"",KZ6&gt;=LA$20,KZ6&lt;&gt;"")),"Worlds Team",IF(OR(AND(AH6&gt;=AK$16,AH6&lt;&gt;"",AJ6&gt;=AK$19,AJ6&lt;&gt;"",AG6=""),AND(BD6&gt;=BG$16,BD6&lt;&gt;"",BF6&gt;=BG$19,BF6&lt;&gt;"",BC6=""),AND(CA6&gt;=CD$16,CA6&lt;&gt;"",CC6&gt;=CD$19,CC6&lt;&gt;""),AND(CV6&gt;=CY$16,CV6&lt;&gt;"",CX6&gt;=CY$19,CX6&lt;&gt;""),AND(DQ6&gt;=DT$16,DQ6&lt;&gt;"",DS6&gt;=DT$19,DS6&lt;&gt;""),AND(EL6&gt;=EO$16,EL6&lt;&gt;"",EN6&gt;=EO$19,EN6&lt;&gt;""),AND(FG6&gt;=FJ$16,FG6&lt;&gt;"",FI6&gt;=FJ$19,FI6&lt;&gt;""),AND(GB6&gt;=GE$16,GB6&lt;&gt;"",GD6&gt;=GE$19,GD6&lt;&gt;""),AND(GW6&gt;=GZ$16,GW6&lt;&gt;"",GY6&gt;=GZ$19,GY6&lt;&gt;""),AND(HR6&gt;=HU$16,HR6&lt;&gt;"",HT6&gt;=HU$19,HT6&lt;&gt;""),AND(IM6&gt;=IP$16,IM6&lt;&gt;"",IO6&gt;=IP$19,IO6&lt;&gt;""),AND(JH6&gt;=JK$16,JH6&lt;&gt;"",JJ6&gt;=JK$19,JJ6&lt;&gt;""),AND(KC6&gt;=KF$16,KC6&lt;&gt;"",KE6&gt;=KF$19,KE6&lt;&gt;""),AND(KX6&gt;=LA$16,KX6&lt;&gt;"",KZ6&gt;=LA$19,KZ6&lt;&gt;"")),"National Team","")))))</f>
        <v>National Team</v>
      </c>
      <c r="J6" s="15">
        <f>IF(MAX(AL6,BH6)&gt;0,MAX(AL6,BH6),"")</f>
        <v>136.80000000000001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68.399999999999991</v>
      </c>
      <c r="M6" s="15" t="str">
        <f>IF(L6="","",IF(AND(J6&lt;&gt;BH6,OR(L6=BG6,L6=BF6)),$AM$1,IF(OR(L6=AK6,L6=AJ6),$Q$1,"")))</f>
        <v>2018 Nationals</v>
      </c>
      <c r="N6" s="15">
        <f>IF(MAX(BI6:BJ6)&gt;0,MAX(BI6:BJ6),"")</f>
        <v>0.60000000000000853</v>
      </c>
      <c r="O6" s="25" t="str">
        <f>IF(N6="","",IF(N6=BI6,"(4 Pass)",IF(N6=BJ6,"(2 Pass)")))</f>
        <v>(2 Pass)</v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>2018 World Age Groups (Nov 18)</v>
      </c>
      <c r="Q6" s="63">
        <v>27.9</v>
      </c>
      <c r="R6" s="63">
        <v>6.8</v>
      </c>
      <c r="S6" s="63">
        <v>0.9</v>
      </c>
      <c r="T6" s="63">
        <v>0</v>
      </c>
      <c r="U6" s="63">
        <v>28.5</v>
      </c>
      <c r="V6" s="63">
        <v>6.4</v>
      </c>
      <c r="W6" s="63">
        <v>0.3</v>
      </c>
      <c r="X6" s="63">
        <v>0</v>
      </c>
      <c r="Y6" s="63">
        <v>27.6</v>
      </c>
      <c r="Z6" s="63">
        <v>6</v>
      </c>
      <c r="AA6" s="63">
        <v>0</v>
      </c>
      <c r="AB6" s="63">
        <v>0</v>
      </c>
      <c r="AC6" s="63">
        <v>28.3</v>
      </c>
      <c r="AD6" s="63">
        <v>4.8</v>
      </c>
      <c r="AE6" s="63">
        <v>0</v>
      </c>
      <c r="AF6" s="63">
        <v>0</v>
      </c>
      <c r="AG6" s="74"/>
      <c r="AH6" s="12">
        <f>IF(SUM(R6,V6)&gt;0,SUM(R6,V6),"")</f>
        <v>13.2</v>
      </c>
      <c r="AI6" s="12">
        <f>IF(SUM(R6,V6,Z6,AD6)&gt;0,SUM(R6,V6,Z6,AD6),"")</f>
        <v>24</v>
      </c>
      <c r="AJ6" s="12">
        <f>IF(SUM(Q6:R6,T6:V6,X6)-SUM(S6,W6)&gt;0,SUM(Q6:R6,T6:V6,X6)-SUM(S6,W6),"")</f>
        <v>68.399999999999991</v>
      </c>
      <c r="AK6" s="12">
        <f>IF(SUM(Y6:Z6,AB6:AD6,AF6)-SUM(AA6,AE6)&gt;0,SUM(Y6:Z6,AB6:AD6,AF6)-SUM(AA6,AE6),"")</f>
        <v>66.7</v>
      </c>
      <c r="AL6" s="12">
        <f>IF(SUM(AJ6,AK6)&gt;0,SUM(AJ6,AK6),"")</f>
        <v>135.1</v>
      </c>
      <c r="AM6" s="37">
        <v>28.7</v>
      </c>
      <c r="AN6" s="37">
        <v>6</v>
      </c>
      <c r="AO6" s="37">
        <v>0</v>
      </c>
      <c r="AP6" s="37">
        <v>0</v>
      </c>
      <c r="AQ6" s="37">
        <v>28</v>
      </c>
      <c r="AR6" s="37">
        <v>6.8</v>
      </c>
      <c r="AS6" s="37">
        <v>0</v>
      </c>
      <c r="AT6" s="37">
        <v>0</v>
      </c>
      <c r="AU6" s="37">
        <v>27.9</v>
      </c>
      <c r="AV6" s="37">
        <v>6</v>
      </c>
      <c r="AW6" s="37">
        <v>0</v>
      </c>
      <c r="AX6" s="37">
        <v>0</v>
      </c>
      <c r="AY6" s="37">
        <v>27.4</v>
      </c>
      <c r="AZ6" s="37">
        <v>6</v>
      </c>
      <c r="BA6" s="37">
        <v>0</v>
      </c>
      <c r="BB6" s="37">
        <v>0</v>
      </c>
      <c r="BC6" s="75"/>
      <c r="BD6" s="15">
        <f>IF(SUM(AN6,AR6)&gt;0,SUM(AN6,AR6),"")</f>
        <v>12.8</v>
      </c>
      <c r="BE6" s="15">
        <f>IF(SUM(AN6,AR6,AV6,AZ6)&gt;0,SUM(AN6,AR6,AV6,AZ6),"")</f>
        <v>24.8</v>
      </c>
      <c r="BF6" s="15">
        <f>IF(SUM(AM6:AN6,AP6:AR6,AT6)-SUM(AO6,AS6)&gt;0,SUM(AM6:AN6,AP6:AR6,AT6)-SUM(AO6,AS6),"")</f>
        <v>69.5</v>
      </c>
      <c r="BG6" s="15">
        <f>IF(SUM(AU6:AV6,AX6:AZ6,BB6)-SUM(AW6,BA6)&gt;0,SUM(AU6:AV6,AX6:AZ6,BB6)-SUM(AW6,BA6),"")</f>
        <v>67.3</v>
      </c>
      <c r="BH6" s="15">
        <f>IF(SUM(BF6,BG6)&gt;0,SUM(BF6,BG6),"")</f>
        <v>136.80000000000001</v>
      </c>
      <c r="BI6" s="24" t="str">
        <f>IF(MAX(CE6,CZ6,DU6,EP6,FK6,GF6,HA6,HV6,IQ6,JL6,KG6,LB6)-IF(J6="",0,J6)&gt;0.001,MAX(CE6,CZ6,DU6,EP6,FK6,GF6,HA6,HV6,IQ6,JL6,KG6,LB6)-IF(J6="",0,J6),"")</f>
        <v/>
      </c>
      <c r="BJ6" s="24">
        <f>IF(MAX(CC6,CD6,CX6,CY6,DS6,DT6,EN6,EO6,FI6,FJ6,GD6,GE6,GY6,GZ6,HT6,HU6,IO6,IP6,JJ6,JK6,KE6,KF6,KZ6,LA6)-IF(L6="",0,L6)&gt;0.001,MAX(CC6,CD6,CX6,CY6,DS6,DT6,EN6,EO6,FI6,FJ6,GD6,GE6,GY6,GZ6,HT6,HU6,IO6,IP6,JJ6,JK6,KE6,KF6,KZ6,LA6)-IF(L6="",0,L6),"")</f>
        <v>0.60000000000000853</v>
      </c>
      <c r="BK6" s="41">
        <v>27.3</v>
      </c>
      <c r="BL6" s="41">
        <v>6.8</v>
      </c>
      <c r="BM6" s="41">
        <v>0</v>
      </c>
      <c r="BN6" s="41">
        <v>0</v>
      </c>
      <c r="BO6" s="41">
        <v>27.7</v>
      </c>
      <c r="BP6" s="41">
        <v>7.2</v>
      </c>
      <c r="BQ6" s="41">
        <v>0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>IF(SUM(BL6,BP6)&gt;0,SUM(BL6,BP6),"")</f>
        <v>14</v>
      </c>
      <c r="CB6" s="12">
        <f>IF(SUM(BL6,BP6,BT6,BX6)&gt;0,SUM(BL6,BP6,BT6,BX6),"")</f>
        <v>14</v>
      </c>
      <c r="CC6" s="12">
        <f>IF(SUM(BK6:BL6,BN6:BP6,BR6)-SUM(BM6,BQ6)&gt;0,SUM(BK6:BL6,BN6:BP6,BR6)-SUM(BM6,BQ6),"")</f>
        <v>69</v>
      </c>
      <c r="CD6" s="12" t="str">
        <f>IF(SUM(BS6:BT6,BV6:BX6,BZ6)-SUM(BU6,BY6)&gt;0,SUM(BS6:BT6,BV6:BX6,BZ6)-SUM(BU6,BY6),"")</f>
        <v/>
      </c>
      <c r="CE6" s="12">
        <f>IF(SUM(CC6,CD6)&gt;0,SUM(CC6,CD6),"")</f>
        <v>69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 t="str">
        <f>IF(SUM(CG6,CK6,CO6,CS6)&gt;0,SUM(CG6,CK6,CO6,CS6),"")</f>
        <v/>
      </c>
      <c r="CX6" s="15" t="str">
        <f>IF(SUM(CF6:CG6,CI6:CK6,CM6)-SUM(CH6,CL6)&gt;0,SUM(CF6:CG6,CI6:CK6,CM6)-SUM(CH6,CL6),"")</f>
        <v/>
      </c>
      <c r="CY6" s="15" t="str">
        <f>IF(SUM(CN6:CO6,CQ6:CS6,CU6)-SUM(CP6,CT6)&gt;0,SUM(CN6:CO6,CQ6:CS6,CU6)-SUM(CP6,CT6),"")</f>
        <v/>
      </c>
      <c r="CZ6" s="15" t="str">
        <f>IF(SUM(CX6,CY6)&gt;0,SUM(CX6,CY6),"")</f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>IF(SUM(DB6,DF6)&gt;0,SUM(DB6,DF6),"")</f>
        <v/>
      </c>
      <c r="DR6" s="12" t="str">
        <f>IF(SUM(DB6,DF6,DJ6,DN6)&gt;0,SUM(DB6,DF6,DJ6,DN6),"")</f>
        <v/>
      </c>
      <c r="DS6" s="12" t="str">
        <f>IF(SUM(DA6:DB6,DD6:DF6,DH6)-SUM(DC6,DG6)&gt;0,SUM(DA6:DB6,DD6:DF6,DH6)-SUM(DC6,DG6),"")</f>
        <v/>
      </c>
      <c r="DT6" s="12" t="str">
        <f>IF(SUM(DI6:DJ6,DL6:DN6,DP6)-SUM(DK6,DO6)&gt;0,SUM(DI6:DJ6,DL6:DN6,DP6)-SUM(DK6,DO6),"")</f>
        <v/>
      </c>
      <c r="DU6" s="12" t="str">
        <f>IF(SUM(DS6,DT6)&gt;0,SUM(DS6,DT6),"")</f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>IF(SUM(DW6,EA6)&gt;0,SUM(DW6,EA6),"")</f>
        <v/>
      </c>
      <c r="EM6" s="15" t="str">
        <f>IF(SUM(DW6,EA6,EE6,EI6)&gt;0,SUM(DW6,EA6,EE6,EI6),"")</f>
        <v/>
      </c>
      <c r="EN6" s="15" t="str">
        <f>IF(SUM(DV6:DW6,DY6:EA6,EC6)-SUM(DX6,EB6)&gt;0,SUM(DV6:DW6,DY6:EA6,EC6)-SUM(DX6,EB6),"")</f>
        <v/>
      </c>
      <c r="EO6" s="15" t="str">
        <f>IF(SUM(ED6:EE6,EG6:EI6,EK6)-SUM(EF6,EJ6)&gt;0,SUM(ED6:EE6,EG6:EI6,EK6)-SUM(EF6,EJ6),"")</f>
        <v/>
      </c>
      <c r="EP6" s="15" t="str">
        <f>IF(SUM(EN6,EO6)&gt;0,SUM(EN6,EO6),"")</f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>IF(SUM(ER6,EV6)&gt;0,SUM(ER6,EV6),"")</f>
        <v/>
      </c>
      <c r="FH6" s="12" t="str">
        <f>IF(SUM(ER6,EV6,EZ6,FD6)&gt;0,SUM(ER6,EV6,EZ6,FD6),"")</f>
        <v/>
      </c>
      <c r="FI6" s="12" t="str">
        <f>IF(SUM(EQ6:ER6,ET6:EV6,EX6)-SUM(ES6,EW6)&gt;0,SUM(EQ6:ER6,ET6:EV6,EX6)-SUM(ES6,EW6),"")</f>
        <v/>
      </c>
      <c r="FJ6" s="12" t="str">
        <f>IF(SUM(EY6:EZ6,FB6:FD6,FF6)-SUM(FA6,FE6)&gt;0,SUM(EY6:EZ6,FB6:FD6,FF6)-SUM(FA6,FE6),"")</f>
        <v/>
      </c>
      <c r="FK6" s="12" t="str">
        <f>IF(SUM(FI6,FJ6)&gt;0,SUM(FI6,FJ6),"")</f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>IF(SUM(FM6,FQ6)&gt;0,SUM(FM6,FQ6),"")</f>
        <v/>
      </c>
      <c r="GC6" s="15" t="str">
        <f>IF(SUM(FM6,FQ6,FU6,FY6)&gt;0,SUM(FM6,FQ6,FU6,FY6),"")</f>
        <v/>
      </c>
      <c r="GD6" s="15" t="str">
        <f>IF(SUM(FL6:FM6,FO6:FQ6,FS6)-SUM(FN6,FR6)&gt;0,SUM(FL6:FM6,FO6:FQ6,FS6)-SUM(FN6,FR6),"")</f>
        <v/>
      </c>
      <c r="GE6" s="15" t="str">
        <f>IF(SUM(FT6:FU6,FW6:FY6,GA6)-SUM(FV6,FZ6)&gt;0,SUM(FT6:FU6,FW6:FY6,GA6)-SUM(FV6,FZ6),"")</f>
        <v/>
      </c>
      <c r="GF6" s="15" t="str">
        <f>IF(SUM(GD6,GE6)&gt;0,SUM(GD6,GE6),"")</f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>IF(SUM(GH6,GL6)&gt;0,SUM(GH6,GL6),"")</f>
        <v/>
      </c>
      <c r="GX6" s="12" t="str">
        <f>IF(SUM(GH6,GL6,GP6,GT6)&gt;0,SUM(GH6,GL6,GP6,GT6),"")</f>
        <v/>
      </c>
      <c r="GY6" s="12" t="str">
        <f>IF(SUM(GG6:GH6,GJ6:GL6,GN6)-SUM(GI6,GM6)&gt;0,SUM(GG6:GH6,GJ6:GL6,GN6)-SUM(GI6,GM6),"")</f>
        <v/>
      </c>
      <c r="GZ6" s="12" t="str">
        <f>IF(SUM(GO6:GP6,GR6:GT6,GV6)-SUM(GQ6,GU6)&gt;0,SUM(GO6:GP6,GR6:GT6,GV6)-SUM(GQ6,GU6),"")</f>
        <v/>
      </c>
      <c r="HA6" s="12" t="str">
        <f>IF(SUM(GY6,GZ6)&gt;0,SUM(GY6,GZ6),"")</f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>IF(SUM(HC6,HG6)&gt;0,SUM(HC6,HG6),"")</f>
        <v/>
      </c>
      <c r="HS6" s="15" t="str">
        <f>IF(SUM(HC6,HG6,HK6,HO6)&gt;0,SUM(HC6,HG6,HK6,HO6),"")</f>
        <v/>
      </c>
      <c r="HT6" s="15" t="str">
        <f>IF(SUM(HB6:HC6,HE6:HG6,HI6)-SUM(HD6,HH6)&gt;0,SUM(HB6:HC6,HE6:HG6,HI6)-SUM(HD6,HH6),"")</f>
        <v/>
      </c>
      <c r="HU6" s="15" t="str">
        <f>IF(SUM(HJ6:HK6,HM6:HO6,HQ6)-SUM(HL6,HP6)&gt;0,SUM(HJ6:HK6,HM6:HO6,HQ6)-SUM(HL6,HP6),"")</f>
        <v/>
      </c>
      <c r="HV6" s="15" t="str">
        <f>IF(SUM(HT6,HU6)&gt;0,SUM(HT6,HU6),"")</f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>IF(SUM(HX6,IB6)&gt;0,SUM(HX6,IB6),"")</f>
        <v/>
      </c>
      <c r="IN6" s="12" t="str">
        <f>IF(SUM(HX6,IB6,IF6,IJ6)&gt;0,SUM(HX6,IB6,IF6,IJ6),"")</f>
        <v/>
      </c>
      <c r="IO6" s="12" t="str">
        <f>IF(SUM(HW6:HX6,HZ6:IB6,ID6)-SUM(HY6,IC6)&gt;0,SUM(HW6:HX6,HZ6:IB6,ID6)-SUM(HY6,IC6),"")</f>
        <v/>
      </c>
      <c r="IP6" s="12" t="str">
        <f>IF(SUM(IE6:IF6,IH6:IJ6,IL6)-SUM(IG6,IK6)&gt;0,SUM(IE6:IF6,IH6:IJ6,IL6)-SUM(IG6,IK6),"")</f>
        <v/>
      </c>
      <c r="IQ6" s="12" t="str">
        <f>IF(SUM(IO6,IP6)&gt;0,SUM(IO6,IP6),"")</f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>IF(SUM(IS6,IW6)&gt;0,SUM(IS6,IW6),"")</f>
        <v/>
      </c>
      <c r="JI6" s="15" t="str">
        <f>IF(SUM(IS6,IW6,JA6,JE6)&gt;0,SUM(IS6,IW6,JA6,JE6),"")</f>
        <v/>
      </c>
      <c r="JJ6" s="15" t="str">
        <f>IF(SUM(IR6:IS6,IU6:IW6,IY6)-SUM(IT6,IX6)&gt;0,SUM(IR6:IS6,IU6:IW6,IY6)-SUM(IT6,IX6),"")</f>
        <v/>
      </c>
      <c r="JK6" s="15" t="str">
        <f>IF(SUM(IZ6:JA6,JC6:JE6,JG6)-SUM(JB6,JF6)&gt;0,SUM(IZ6:JA6,JC6:JE6,JG6)-SUM(JB6,JF6),"")</f>
        <v/>
      </c>
      <c r="JL6" s="15" t="str">
        <f>IF(SUM(JJ6,JK6)&gt;0,SUM(JJ6,JK6),"")</f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>IF(SUM(JN6,JR6)&gt;0,SUM(JN6,JR6),"")</f>
        <v/>
      </c>
      <c r="KD6" s="12" t="str">
        <f>IF(SUM(JN6,JR6,JV6,JZ6)&gt;0,SUM(JN6,JR6,JV6,JZ6),"")</f>
        <v/>
      </c>
      <c r="KE6" s="12" t="str">
        <f>IF(SUM(JM6:JN6,JP6:JR6,JT6)-SUM(JO6,JS6)&gt;0,SUM(JM6:JN6,JP6:JR6,JT6)-SUM(JO6,JS6),"")</f>
        <v/>
      </c>
      <c r="KF6" s="12" t="str">
        <f>IF(SUM(JU6:JV6,JX6:JZ6,KB6)-SUM(JW6,KA6)&gt;0,SUM(JU6:JV6,JX6:JZ6,KB6)-SUM(JW6,KA6),"")</f>
        <v/>
      </c>
      <c r="KG6" s="12" t="str">
        <f>IF(SUM(KE6,KF6)&gt;0,SUM(KE6,KF6),"")</f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28.299999999999997</v>
      </c>
      <c r="LD6" s="63">
        <f t="shared" si="0"/>
        <v>6.4</v>
      </c>
      <c r="LE6" s="63">
        <f t="shared" si="0"/>
        <v>0.45</v>
      </c>
      <c r="LF6" s="63">
        <f t="shared" si="0"/>
        <v>0</v>
      </c>
      <c r="LG6" s="63">
        <f t="shared" si="0"/>
        <v>28.25</v>
      </c>
      <c r="LH6" s="63">
        <f t="shared" si="0"/>
        <v>6.6</v>
      </c>
      <c r="LI6" s="63">
        <f t="shared" si="0"/>
        <v>0.15</v>
      </c>
      <c r="LJ6" s="63">
        <f t="shared" si="0"/>
        <v>0</v>
      </c>
      <c r="LK6" s="63">
        <f t="shared" si="0"/>
        <v>27.75</v>
      </c>
      <c r="LL6" s="63">
        <f t="shared" si="0"/>
        <v>6</v>
      </c>
      <c r="LM6" s="63">
        <f t="shared" si="0"/>
        <v>0</v>
      </c>
      <c r="LN6" s="63">
        <f t="shared" si="0"/>
        <v>0</v>
      </c>
      <c r="LO6" s="63">
        <f t="shared" si="0"/>
        <v>27.85</v>
      </c>
      <c r="LP6" s="63">
        <f t="shared" si="0"/>
        <v>5.4</v>
      </c>
      <c r="LQ6" s="63">
        <f t="shared" si="0"/>
        <v>0</v>
      </c>
      <c r="LR6" s="63">
        <f t="shared" si="0"/>
        <v>0</v>
      </c>
      <c r="LS6" s="74" t="s">
        <v>119</v>
      </c>
      <c r="LT6" s="12">
        <f t="shared" si="7"/>
        <v>13</v>
      </c>
      <c r="LU6" s="12">
        <f t="shared" si="8"/>
        <v>24.4</v>
      </c>
      <c r="LV6" s="12">
        <f t="shared" si="9"/>
        <v>68.95</v>
      </c>
      <c r="LW6" s="12">
        <f t="shared" si="10"/>
        <v>67</v>
      </c>
      <c r="LX6" s="12">
        <f t="shared" si="11"/>
        <v>135.94999999999999</v>
      </c>
    </row>
    <row r="7" spans="1:336" x14ac:dyDescent="0.2">
      <c r="A7" s="6">
        <f>IF(AND(F7="P",H7="P"),SUMPRODUCT((F$4:F$14="P")*(H$4:H$14="P")*(E$4:E$14&gt;E7))+1,IF(H7="P",SUMPRODUCT((F$4:F$14="")*(H$4:H$14="P")*(E$4:E$14&gt;E7))+1+SUMPRODUCT((F$4:F$14="P")*(H$4:H$14="P")),""))</f>
        <v>4</v>
      </c>
      <c r="B7" s="9" t="s">
        <v>118</v>
      </c>
      <c r="C7" s="5" t="s">
        <v>3</v>
      </c>
      <c r="D7" s="6">
        <v>2004</v>
      </c>
      <c r="E7" s="16">
        <f>SUM(J7:N7)</f>
        <v>195.3</v>
      </c>
      <c r="F7" s="4" t="str">
        <f>IF(OR(AND(AH7&gt;=AK$16,AJ7&gt;=AK$19,AJ7&lt;&gt;"",AG7=""),AND(BD7&gt;=BG$16,BF7&gt;=BG$19,BF7&lt;&gt;"",BC7=""),AND(CA7&gt;=CD$16,CC7&gt;=CD$19,CC7&lt;&gt;""),AND(CV7&gt;=CY$16,CX7&gt;=CY$19,CX7&lt;&gt;""),AND(DQ7&gt;=DT$16,DS7&gt;=DT$19,DS7&lt;&gt;""),AND(EL7&gt;=EO$16,EN7&gt;=EO$19,EN7&lt;&gt;""),AND(FG7&gt;=FJ$16,FI7&gt;=FJ$19,FI7&lt;&gt;""),AND(GB7&gt;=GE$16,GD7&gt;=GE$19,GD7&lt;&gt;""),AND(GW7&gt;=GZ$16,GY7&gt;=GZ$19,GY7&lt;&gt;""),AND(HR7&gt;=HU$16,HT7&gt;=HU$19,HT7&lt;&gt;""),AND(IM7&gt;=IP$16,IO7&gt;=IP$19,IO7&lt;&gt;""),AND(JH7&gt;=JK$16,JJ7&gt;=JK$19,JJ7&lt;&gt;""),AND(KC7&gt;=KF$16,KE7&gt;=KF$19,KE7&lt;&gt;""),AND(KX7&gt;=LA$16,KZ7&gt;=LA$19,KZ7&lt;&gt;"")),"P","")</f>
        <v/>
      </c>
      <c r="G7" s="4" t="str">
        <f>IF(OR(AND(AH7&gt;=AK$17,AJ7&gt;=AK$20,AJ7&lt;&gt;"",AG7=""),AND(BD7&gt;=BG$17,BF7&gt;=BG$20,BF7&lt;&gt;"",BC7=""),AND(CA7&gt;=CD$17,CC7&gt;=CD$20,CC7&lt;&gt;""),AND(CV7&gt;=CY$17,CX7&gt;=CY$20,CX7&lt;&gt;""),AND(DQ7&gt;=DT$17,DS7&gt;=DT$20,DS7&lt;&gt;""),AND(EL7&gt;=EO$17,EN7&gt;=EO$20,EN7&lt;&gt;""),AND(FG7&gt;=FJ$17,FI7&gt;=FJ$20,FI7&lt;&gt;""),AND(GB7&gt;=GE$17,GD7&gt;=GE$20,GD7&lt;&gt;""),AND(GW7&gt;=GZ$17,GY7&gt;=GZ$20,GY7&lt;&gt;""),AND(HR7&gt;=HU$17,HT7&gt;=HU$20,HT7&lt;&gt;""),AND(IM7&gt;=IP$17,IO7&gt;=IP$20,IO7&lt;&gt;""),AND(JH7&gt;=JK$17,JJ7&gt;=JK$20,JJ7&lt;&gt;""),AND(KC7&gt;=KF$17,KE7&gt;=KF$20,KE7&lt;&gt;""),AND(KX7&gt;=LA$17,KZ7&gt;=LA$20,KZ7&lt;&gt;"")),"P","")</f>
        <v/>
      </c>
      <c r="H7" s="4" t="str">
        <f>IF(OR(AND(AJ7&gt;=AK$19,AJ7&lt;&gt;"",AG7=""),AND(BF7&gt;=BG$19,BF7&lt;&gt;"",BC7=""),AND(CC7&gt;=CD$19,CC7&lt;&gt;""),AND(CX7&gt;=CY$19,CX7&lt;&gt;""),AND(DS7&gt;=DT$19,DS7&lt;&gt;""),AND(EN7&gt;=EO$19,EN7&lt;&gt;""),AND(FI7&gt;=FJ$19,FI7&lt;&gt;""),AND(GD7&gt;=GE$19,GD7&lt;&gt;""),AND(GY7&gt;=GZ$19,GY7&lt;&gt;""),AND(HT7&gt;=HU$19,HT7&lt;&gt;""),AND(IO7&gt;=IP$19,IO7&lt;&gt;""),AND(JJ7&gt;=JK$19,JJ7&lt;&gt;""),AND(KE7&gt;=KF$19,KE7&lt;&gt;""),AND(KZ7&gt;=LA$19,KZ7&lt;&gt;"")),"P","")</f>
        <v>P</v>
      </c>
      <c r="I7" t="str">
        <f>IF(AND(H7="P",F7=""),"No DD",IF(OR(AND(AI7&gt;=AK$18,AI7&lt;&gt;"",AL7&gt;=AK$22,AL7&lt;&gt;"",AG7=""),AND(BE7&gt;=BG$18,BE7&lt;&gt;"",BH7&gt;=BG$22,BH7&lt;&gt;"",BC7=""),AND(CB7&gt;=CD$18,CB7&lt;&gt;"",CE7&gt;=CD$22,CE7&lt;&gt;""),AND(CW7&gt;=CY$18,CW7&lt;&gt;"",CZ7&gt;=CY$22,CZ7&lt;&gt;""),AND(DR7&gt;=DT$18,DR7&lt;&gt;"",DU7&gt;=DT$22,DU7&lt;&gt;""),AND(EM7&gt;=EO$18,EM7&lt;&gt;"",EP7&gt;=EO$22,EP7&lt;&gt;""),AND(FH7&gt;=FJ$18,FH7&lt;&gt;"",FK7&gt;=FJ$22,FK7&lt;&gt;""),AND(GC7&gt;=GE$18,GC7&lt;&gt;"",GF7&gt;=GE$22,GF7&lt;&gt;""),AND(GX7&gt;=GZ$18,GX7&lt;&gt;"",HA7&gt;=GZ$22,HA7&lt;&gt;""),AND(HS7&gt;=HU$18,HS7&lt;&gt;"",HV7&gt;=HU$22,HV7&lt;&gt;""),AND(IN7&gt;=IP$18,IN7&lt;&gt;"",IQ7&gt;=IP$22,IQ7&lt;&gt;""),AND(JI7&gt;=JK$18,JI7&lt;&gt;"",JL7&gt;=JK$22,JL7&lt;&gt;""),AND(KD7&gt;=KF$18,KD7&lt;&gt;"",KG7&gt;=KF$22,KG7&lt;&gt;""),AND(KY7&gt;=LA$18,KY7&lt;&gt;"",LB7&gt;=LA$22,LB7&lt;&gt;"")),"Merit",IF(OR(AND(AI7&gt;=AK$18,AI7&lt;&gt;"",AL7&gt;=AK$21,AL7&lt;&gt;"",AG7=""),AND(BE7&gt;=BG$18,BE7&lt;&gt;"",BH7&gt;=BG$21,BH7&lt;&gt;"",BC7=""),AND(CB7&gt;=CD$18,CB7&lt;&gt;"",CE7&gt;=CD$21,CE7&lt;&gt;""),AND(CW7&gt;=CY$18,CW7&lt;&gt;"",CZ7&gt;=CY$21,CZ7&lt;&gt;""),AND(DR7&gt;=DT$18,DR7&lt;&gt;"",DU7&gt;=DT$21,DU7&lt;&gt;""),AND(EM7&gt;=EO$18,EM7&lt;&gt;"",EP7&gt;=EO$21,EP7&lt;&gt;""),AND(FH7&gt;=FJ$18,FH7&lt;&gt;"",FK7&gt;=FJ$21,FK7&lt;&gt;""),AND(GC7&gt;=GE$18,GC7&lt;&gt;"",GF7&gt;=GE$21,GF7&lt;&gt;""),AND(GX7&gt;=GZ$18,GX7&lt;&gt;"",HA7&gt;=GZ$21,HA7&lt;&gt;""),AND(HS7&gt;=HU$18,HS7&lt;&gt;"",HV7&gt;=HU$21,HV7&lt;&gt;""),AND(IN7&gt;=IP$18,IN7&lt;&gt;"",IQ7&gt;=IP$21,IQ7&lt;&gt;""),AND(JI7&gt;=JK$18,JI7&lt;&gt;"",JL7&gt;=JK$21,JL7&lt;&gt;""),AND(KD7&gt;=KF$18,KD7&lt;&gt;"",KG7&gt;=KF$21,KG7&lt;&gt;""),AND(KY7&gt;=LA$18,KY7&lt;&gt;"",LB7&gt;=LA$21,LB7&lt;&gt;"")),"Excellence",IF(OR(AND(AH7&gt;=AK$17,AH7&lt;&gt;"",AJ7&gt;=AK$20,AJ7&lt;&gt;"",AG7=""),AND(BD7&gt;=BG$17,BD7&lt;&gt;"",BF7&gt;=BG$20,BF7&lt;&gt;"",BC7=""),AND(CA7&gt;=CD$17,CA7&lt;&gt;"",CC7&gt;=CD$20,CC7&lt;&gt;""),AND(CV7&gt;=CY$17,CV7&lt;&gt;"",CX7&gt;=CY$20,CX7&lt;&gt;""),AND(DQ7&gt;=DT$17,DQ7&lt;&gt;"",DS7&gt;=DT$20,DS7&lt;&gt;""),AND(EL7&gt;=EO$17,EL7&lt;&gt;"",EN7&gt;=EO$20,EN7&lt;&gt;""),AND(FG7&gt;=FJ$17,FG7&lt;&gt;"",FI7&gt;=FJ$20,FI7&lt;&gt;""),AND(GB7&gt;=GE$17,GB7&lt;&gt;"",GD7&gt;=GE$20,GD7&lt;&gt;""),AND(GW7&gt;=GZ$17,GW7&lt;&gt;"",GY7&gt;=GZ$20,GY7&lt;&gt;""),AND(HR7&gt;=HU$17,HR7&lt;&gt;"",HT7&gt;=HU$20,HT7&lt;&gt;""),AND(IM7&gt;=IP$17,IM7&lt;&gt;"",IO7&gt;=IP$20,IO7&lt;&gt;""),AND(JH7&gt;=JK$17,JH7&lt;&gt;"",JJ7&gt;=JK$20,JJ7&lt;&gt;""),AND(KC7&gt;=KF$17,KC7&lt;&gt;"",KE7&gt;=KF$20,KE7&lt;&gt;""),AND(KX7&gt;=LA$17,KX7&lt;&gt;"",KZ7&gt;=LA$20,KZ7&lt;&gt;"")),"Worlds Team",IF(OR(AND(AH7&gt;=AK$16,AH7&lt;&gt;"",AJ7&gt;=AK$19,AJ7&lt;&gt;"",AG7=""),AND(BD7&gt;=BG$16,BD7&lt;&gt;"",BF7&gt;=BG$19,BF7&lt;&gt;"",BC7=""),AND(CA7&gt;=CD$16,CA7&lt;&gt;"",CC7&gt;=CD$19,CC7&lt;&gt;""),AND(CV7&gt;=CY$16,CV7&lt;&gt;"",CX7&gt;=CY$19,CX7&lt;&gt;""),AND(DQ7&gt;=DT$16,DQ7&lt;&gt;"",DS7&gt;=DT$19,DS7&lt;&gt;""),AND(EL7&gt;=EO$16,EL7&lt;&gt;"",EN7&gt;=EO$19,EN7&lt;&gt;""),AND(FG7&gt;=FJ$16,FG7&lt;&gt;"",FI7&gt;=FJ$19,FI7&lt;&gt;""),AND(GB7&gt;=GE$16,GB7&lt;&gt;"",GD7&gt;=GE$19,GD7&lt;&gt;""),AND(GW7&gt;=GZ$16,GW7&lt;&gt;"",GY7&gt;=GZ$19,GY7&lt;&gt;""),AND(HR7&gt;=HU$16,HR7&lt;&gt;"",HT7&gt;=HU$19,HT7&lt;&gt;""),AND(IM7&gt;=IP$16,IM7&lt;&gt;"",IO7&gt;=IP$19,IO7&lt;&gt;""),AND(JH7&gt;=JK$16,JH7&lt;&gt;"",JJ7&gt;=JK$19,JJ7&lt;&gt;""),AND(KC7&gt;=KF$16,KC7&lt;&gt;"",KE7&gt;=KF$19,KE7&lt;&gt;""),AND(KX7&gt;=LA$16,KX7&lt;&gt;"",KZ7&gt;=LA$19,KZ7&lt;&gt;"")),"National Team","")))))</f>
        <v>No DD</v>
      </c>
      <c r="J7" s="15">
        <f>IF(MAX(AL7,BH7)&gt;0,MAX(AL7,BH7),"")</f>
        <v>126.4</v>
      </c>
      <c r="K7" s="15" t="str">
        <f>IF(J7="","",IF(J7=BH7,$AM$1,IF(J7=AL7,$Q$1,"")))</f>
        <v>2018 Nationals</v>
      </c>
      <c r="L7" s="15">
        <f>IF(J7=AL7,IF(MAX(BF7,BG7)&gt;0,MAX(BF7,BG7),""),IF(J7=BH7,IF(MAX(AJ7,AK7)&gt;0,MAX(AJ7,AK7),""),MAX(AJ7,AK7,BF7,BG7)))</f>
        <v>68.900000000000006</v>
      </c>
      <c r="M7" s="15" t="str">
        <f>IF(L7="","",IF(AND(J7&lt;&gt;BH7,OR(L7=BG7,L7=BF7)),$AM$1,IF(OR(L7=AK7,L7=AJ7),$Q$1,"")))</f>
        <v>2019 Elite Canada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26.6</v>
      </c>
      <c r="R7" s="63">
        <v>2.9</v>
      </c>
      <c r="S7" s="63">
        <v>0.3</v>
      </c>
      <c r="T7" s="63">
        <v>0</v>
      </c>
      <c r="U7" s="63">
        <v>27.6</v>
      </c>
      <c r="V7" s="63">
        <v>6.4</v>
      </c>
      <c r="W7" s="63">
        <v>0</v>
      </c>
      <c r="X7" s="63">
        <v>0</v>
      </c>
      <c r="Y7" s="63">
        <v>26.5</v>
      </c>
      <c r="Z7" s="63">
        <v>6.8</v>
      </c>
      <c r="AA7" s="63">
        <v>0.9</v>
      </c>
      <c r="AB7" s="63">
        <v>0</v>
      </c>
      <c r="AC7" s="63">
        <v>26.5</v>
      </c>
      <c r="AD7" s="63">
        <v>5.2</v>
      </c>
      <c r="AE7" s="63">
        <v>0.9</v>
      </c>
      <c r="AF7" s="63">
        <v>0</v>
      </c>
      <c r="AG7" s="74"/>
      <c r="AH7" s="12">
        <f>IF(SUM(R7,V7)&gt;0,SUM(R7,V7),"")</f>
        <v>9.3000000000000007</v>
      </c>
      <c r="AI7" s="12">
        <f>IF(SUM(R7,V7,Z7,AD7)&gt;0,SUM(R7,V7,Z7,AD7),"")</f>
        <v>21.3</v>
      </c>
      <c r="AJ7" s="12">
        <f>IF(SUM(Q7:R7,T7:V7,X7)-SUM(S7,W7)&gt;0,SUM(Q7:R7,T7:V7,X7)-SUM(S7,W7),"")</f>
        <v>63.2</v>
      </c>
      <c r="AK7" s="12">
        <f>IF(SUM(Y7:Z7,AB7:AD7,AF7)-SUM(AA7,AE7)&gt;0,SUM(Y7:Z7,AB7:AD7,AF7)-SUM(AA7,AE7),"")</f>
        <v>63.2</v>
      </c>
      <c r="AL7" s="12">
        <f>IF(SUM(AJ7,AK7)&gt;0,SUM(AJ7,AK7),"")</f>
        <v>126.4</v>
      </c>
      <c r="AM7" s="37">
        <v>27.8</v>
      </c>
      <c r="AN7" s="37">
        <v>6.8</v>
      </c>
      <c r="AO7" s="37">
        <v>0</v>
      </c>
      <c r="AP7" s="37">
        <v>0</v>
      </c>
      <c r="AQ7" s="37">
        <v>27.9</v>
      </c>
      <c r="AR7" s="37">
        <v>6.4</v>
      </c>
      <c r="AS7" s="37">
        <v>0</v>
      </c>
      <c r="AT7" s="37">
        <v>0</v>
      </c>
      <c r="AU7" s="37">
        <v>22.7</v>
      </c>
      <c r="AV7" s="37">
        <v>3.2</v>
      </c>
      <c r="AW7" s="37">
        <v>0.3</v>
      </c>
      <c r="AX7" s="37">
        <v>0</v>
      </c>
      <c r="AY7" s="37">
        <v>26.6</v>
      </c>
      <c r="AZ7" s="37">
        <v>5.6</v>
      </c>
      <c r="BA7" s="37">
        <v>1.5</v>
      </c>
      <c r="BB7" s="37">
        <v>0</v>
      </c>
      <c r="BC7" s="75"/>
      <c r="BD7" s="15">
        <f>IF(SUM(AN7,AR7)&gt;0,SUM(AN7,AR7),"")</f>
        <v>13.2</v>
      </c>
      <c r="BE7" s="15">
        <f>IF(SUM(AN7,AR7,AV7,AZ7)&gt;0,SUM(AN7,AR7,AV7,AZ7),"")</f>
        <v>22</v>
      </c>
      <c r="BF7" s="15">
        <f>IF(SUM(AM7:AN7,AP7:AR7,AT7)-SUM(AO7,AS7)&gt;0,SUM(AM7:AN7,AP7:AR7,AT7)-SUM(AO7,AS7),"")</f>
        <v>68.900000000000006</v>
      </c>
      <c r="BG7" s="15">
        <f>IF(SUM(AU7:AV7,AX7:AZ7,BB7)-SUM(AW7,BA7)&gt;0,SUM(AU7:AV7,AX7:AZ7,BB7)-SUM(AW7,BA7),"")</f>
        <v>56.300000000000004</v>
      </c>
      <c r="BH7" s="15">
        <f>IF(SUM(BF7,BG7)&gt;0,SUM(BF7,BG7),"")</f>
        <v>125.20000000000002</v>
      </c>
      <c r="BI7" s="24" t="str">
        <f>IF(MAX(CE7,CZ7,DU7,EP7,FK7,GF7,HA7,HV7,IQ7,JL7,KG7,LB7)-IF(J7="",0,J7)&gt;0.001,MAX(CE7,CZ7,DU7,EP7,FK7,GF7,HA7,HV7,IQ7,JL7,KG7,LB7)-IF(J7="",0,J7),"")</f>
        <v/>
      </c>
      <c r="BJ7" s="24" t="str">
        <f>IF(MAX(CC7,CD7,CX7,CY7,DS7,DT7,EN7,EO7,FI7,FJ7,GD7,GE7,GY7,GZ7,HT7,HU7,IO7,IP7,JJ7,JK7,KE7,KF7,KZ7,LA7)-IF(L7="",0,L7)&gt;0.001,MAX(CC7,CD7,CX7,CY7,DS7,DT7,EN7,EO7,FI7,FJ7,GD7,GE7,GY7,GZ7,HT7,HU7,IO7,IP7,JJ7,JK7,KE7,KF7,KZ7,LA7)-IF(L7="",0,L7),"")</f>
        <v/>
      </c>
      <c r="BK7" s="41">
        <v>27.7</v>
      </c>
      <c r="BL7" s="41">
        <v>6.8</v>
      </c>
      <c r="BM7" s="41">
        <v>1.2</v>
      </c>
      <c r="BN7" s="41">
        <v>0</v>
      </c>
      <c r="BO7" s="41">
        <v>27.8</v>
      </c>
      <c r="BP7" s="41">
        <v>6.4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>IF(SUM(BL7,BP7)&gt;0,SUM(BL7,BP7),"")</f>
        <v>13.2</v>
      </c>
      <c r="CB7" s="12">
        <f>IF(SUM(BL7,BP7,BT7,BX7)&gt;0,SUM(BL7,BP7,BT7,BX7),"")</f>
        <v>13.2</v>
      </c>
      <c r="CC7" s="12">
        <f>IF(SUM(BK7:BL7,BN7:BP7,BR7)-SUM(BM7,BQ7)&gt;0,SUM(BK7:BL7,BN7:BP7,BR7)-SUM(BM7,BQ7),"")</f>
        <v>67.5</v>
      </c>
      <c r="CD7" s="12" t="str">
        <f>IF(SUM(BS7:BT7,BV7:BX7,BZ7)-SUM(BU7,BY7)&gt;0,SUM(BS7:BT7,BV7:BX7,BZ7)-SUM(BU7,BY7),"")</f>
        <v/>
      </c>
      <c r="CE7" s="12">
        <f>IF(SUM(CC7,CD7)&gt;0,SUM(CC7,CD7),"")</f>
        <v>67.5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 t="str">
        <f>IF(SUM(CG7,CK7,CO7,CS7)&gt;0,SUM(CG7,CK7,CO7,CS7),"")</f>
        <v/>
      </c>
      <c r="CX7" s="15" t="str">
        <f>IF(SUM(CF7:CG7,CI7:CK7,CM7)-SUM(CH7,CL7)&gt;0,SUM(CF7:CG7,CI7:CK7,CM7)-SUM(CH7,CL7),"")</f>
        <v/>
      </c>
      <c r="CY7" s="15" t="str">
        <f>IF(SUM(CN7:CO7,CQ7:CS7,CU7)-SUM(CP7,CT7)&gt;0,SUM(CN7:CO7,CQ7:CS7,CU7)-SUM(CP7,CT7),"")</f>
        <v/>
      </c>
      <c r="CZ7" s="15" t="str">
        <f>IF(SUM(CX7,CY7)&gt;0,SUM(CX7,CY7),"")</f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>IF(SUM(DB7,DF7)&gt;0,SUM(DB7,DF7),"")</f>
        <v/>
      </c>
      <c r="DR7" s="12" t="str">
        <f>IF(SUM(DB7,DF7,DJ7,DN7)&gt;0,SUM(DB7,DF7,DJ7,DN7),"")</f>
        <v/>
      </c>
      <c r="DS7" s="12" t="str">
        <f>IF(SUM(DA7:DB7,DD7:DF7,DH7)-SUM(DC7,DG7)&gt;0,SUM(DA7:DB7,DD7:DF7,DH7)-SUM(DC7,DG7),"")</f>
        <v/>
      </c>
      <c r="DT7" s="12" t="str">
        <f>IF(SUM(DI7:DJ7,DL7:DN7,DP7)-SUM(DK7,DO7)&gt;0,SUM(DI7:DJ7,DL7:DN7,DP7)-SUM(DK7,DO7),"")</f>
        <v/>
      </c>
      <c r="DU7" s="12" t="str">
        <f>IF(SUM(DS7,DT7)&gt;0,SUM(DS7,DT7),"")</f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>IF(SUM(DW7,EA7)&gt;0,SUM(DW7,EA7),"")</f>
        <v/>
      </c>
      <c r="EM7" s="15" t="str">
        <f>IF(SUM(DW7,EA7,EE7,EI7)&gt;0,SUM(DW7,EA7,EE7,EI7),"")</f>
        <v/>
      </c>
      <c r="EN7" s="15" t="str">
        <f>IF(SUM(DV7:DW7,DY7:EA7,EC7)-SUM(DX7,EB7)&gt;0,SUM(DV7:DW7,DY7:EA7,EC7)-SUM(DX7,EB7),"")</f>
        <v/>
      </c>
      <c r="EO7" s="15" t="str">
        <f>IF(SUM(ED7:EE7,EG7:EI7,EK7)-SUM(EF7,EJ7)&gt;0,SUM(ED7:EE7,EG7:EI7,EK7)-SUM(EF7,EJ7),"")</f>
        <v/>
      </c>
      <c r="EP7" s="15" t="str">
        <f>IF(SUM(EN7,EO7)&gt;0,SUM(EN7,EO7),"")</f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>IF(SUM(ER7,EV7)&gt;0,SUM(ER7,EV7),"")</f>
        <v/>
      </c>
      <c r="FH7" s="12" t="str">
        <f>IF(SUM(ER7,EV7,EZ7,FD7)&gt;0,SUM(ER7,EV7,EZ7,FD7),"")</f>
        <v/>
      </c>
      <c r="FI7" s="12" t="str">
        <f>IF(SUM(EQ7:ER7,ET7:EV7,EX7)-SUM(ES7,EW7)&gt;0,SUM(EQ7:ER7,ET7:EV7,EX7)-SUM(ES7,EW7),"")</f>
        <v/>
      </c>
      <c r="FJ7" s="12" t="str">
        <f>IF(SUM(EY7:EZ7,FB7:FD7,FF7)-SUM(FA7,FE7)&gt;0,SUM(EY7:EZ7,FB7:FD7,FF7)-SUM(FA7,FE7),"")</f>
        <v/>
      </c>
      <c r="FK7" s="12" t="str">
        <f>IF(SUM(FI7,FJ7)&gt;0,SUM(FI7,FJ7),"")</f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>IF(SUM(FM7,FQ7)&gt;0,SUM(FM7,FQ7),"")</f>
        <v/>
      </c>
      <c r="GC7" s="15" t="str">
        <f>IF(SUM(FM7,FQ7,FU7,FY7)&gt;0,SUM(FM7,FQ7,FU7,FY7),"")</f>
        <v/>
      </c>
      <c r="GD7" s="15" t="str">
        <f>IF(SUM(FL7:FM7,FO7:FQ7,FS7)-SUM(FN7,FR7)&gt;0,SUM(FL7:FM7,FO7:FQ7,FS7)-SUM(FN7,FR7),"")</f>
        <v/>
      </c>
      <c r="GE7" s="15" t="str">
        <f>IF(SUM(FT7:FU7,FW7:FY7,GA7)-SUM(FV7,FZ7)&gt;0,SUM(FT7:FU7,FW7:FY7,GA7)-SUM(FV7,FZ7),"")</f>
        <v/>
      </c>
      <c r="GF7" s="15" t="str">
        <f>IF(SUM(GD7,GE7)&gt;0,SUM(GD7,GE7),"")</f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>IF(SUM(GH7,GL7)&gt;0,SUM(GH7,GL7),"")</f>
        <v/>
      </c>
      <c r="GX7" s="12" t="str">
        <f>IF(SUM(GH7,GL7,GP7,GT7)&gt;0,SUM(GH7,GL7,GP7,GT7),"")</f>
        <v/>
      </c>
      <c r="GY7" s="12" t="str">
        <f>IF(SUM(GG7:GH7,GJ7:GL7,GN7)-SUM(GI7,GM7)&gt;0,SUM(GG7:GH7,GJ7:GL7,GN7)-SUM(GI7,GM7),"")</f>
        <v/>
      </c>
      <c r="GZ7" s="12" t="str">
        <f>IF(SUM(GO7:GP7,GR7:GT7,GV7)-SUM(GQ7,GU7)&gt;0,SUM(GO7:GP7,GR7:GT7,GV7)-SUM(GQ7,GU7),"")</f>
        <v/>
      </c>
      <c r="HA7" s="12" t="str">
        <f>IF(SUM(GY7,GZ7)&gt;0,SUM(GY7,GZ7),"")</f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>IF(SUM(HC7,HG7)&gt;0,SUM(HC7,HG7),"")</f>
        <v/>
      </c>
      <c r="HS7" s="15" t="str">
        <f>IF(SUM(HC7,HG7,HK7,HO7)&gt;0,SUM(HC7,HG7,HK7,HO7),"")</f>
        <v/>
      </c>
      <c r="HT7" s="15" t="str">
        <f>IF(SUM(HB7:HC7,HE7:HG7,HI7)-SUM(HD7,HH7)&gt;0,SUM(HB7:HC7,HE7:HG7,HI7)-SUM(HD7,HH7),"")</f>
        <v/>
      </c>
      <c r="HU7" s="15" t="str">
        <f>IF(SUM(HJ7:HK7,HM7:HO7,HQ7)-SUM(HL7,HP7)&gt;0,SUM(HJ7:HK7,HM7:HO7,HQ7)-SUM(HL7,HP7),"")</f>
        <v/>
      </c>
      <c r="HV7" s="15" t="str">
        <f>IF(SUM(HT7,HU7)&gt;0,SUM(HT7,HU7),"")</f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>IF(SUM(HX7,IB7)&gt;0,SUM(HX7,IB7),"")</f>
        <v/>
      </c>
      <c r="IN7" s="12" t="str">
        <f>IF(SUM(HX7,IB7,IF7,IJ7)&gt;0,SUM(HX7,IB7,IF7,IJ7),"")</f>
        <v/>
      </c>
      <c r="IO7" s="12" t="str">
        <f>IF(SUM(HW7:HX7,HZ7:IB7,ID7)-SUM(HY7,IC7)&gt;0,SUM(HW7:HX7,HZ7:IB7,ID7)-SUM(HY7,IC7),"")</f>
        <v/>
      </c>
      <c r="IP7" s="12" t="str">
        <f>IF(SUM(IE7:IF7,IH7:IJ7,IL7)-SUM(IG7,IK7)&gt;0,SUM(IE7:IF7,IH7:IJ7,IL7)-SUM(IG7,IK7),"")</f>
        <v/>
      </c>
      <c r="IQ7" s="12" t="str">
        <f>IF(SUM(IO7,IP7)&gt;0,SUM(IO7,IP7),"")</f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>IF(SUM(IS7,IW7)&gt;0,SUM(IS7,IW7),"")</f>
        <v/>
      </c>
      <c r="JI7" s="15" t="str">
        <f>IF(SUM(IS7,IW7,JA7,JE7)&gt;0,SUM(IS7,IW7,JA7,JE7),"")</f>
        <v/>
      </c>
      <c r="JJ7" s="15" t="str">
        <f>IF(SUM(IR7:IS7,IU7:IW7,IY7)-SUM(IT7,IX7)&gt;0,SUM(IR7:IS7,IU7:IW7,IY7)-SUM(IT7,IX7),"")</f>
        <v/>
      </c>
      <c r="JK7" s="15" t="str">
        <f>IF(SUM(IZ7:JA7,JC7:JE7,JG7)-SUM(JB7,JF7)&gt;0,SUM(IZ7:JA7,JC7:JE7,JG7)-SUM(JB7,JF7),"")</f>
        <v/>
      </c>
      <c r="JL7" s="15" t="str">
        <f>IF(SUM(JJ7,JK7)&gt;0,SUM(JJ7,JK7),"")</f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>IF(SUM(JN7,JR7)&gt;0,SUM(JN7,JR7),"")</f>
        <v/>
      </c>
      <c r="KD7" s="12" t="str">
        <f>IF(SUM(JN7,JR7,JV7,JZ7)&gt;0,SUM(JN7,JR7,JV7,JZ7),"")</f>
        <v/>
      </c>
      <c r="KE7" s="12" t="str">
        <f>IF(SUM(JM7:JN7,JP7:JR7,JT7)-SUM(JO7,JS7)&gt;0,SUM(JM7:JN7,JP7:JR7,JT7)-SUM(JO7,JS7),"")</f>
        <v/>
      </c>
      <c r="KF7" s="12" t="str">
        <f>IF(SUM(JU7:JV7,JX7:JZ7,KB7)-SUM(JW7,KA7)&gt;0,SUM(JU7:JV7,JX7:JZ7,KB7)-SUM(JW7,KA7),"")</f>
        <v/>
      </c>
      <c r="KG7" s="12" t="str">
        <f>IF(SUM(KE7,KF7)&gt;0,SUM(KE7,KF7),"")</f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27.200000000000003</v>
      </c>
      <c r="LD7" s="63">
        <f t="shared" si="0"/>
        <v>4.8499999999999996</v>
      </c>
      <c r="LE7" s="63">
        <f t="shared" si="0"/>
        <v>0.15</v>
      </c>
      <c r="LF7" s="63">
        <f t="shared" si="0"/>
        <v>0</v>
      </c>
      <c r="LG7" s="63">
        <f t="shared" si="0"/>
        <v>27.75</v>
      </c>
      <c r="LH7" s="63">
        <f t="shared" si="0"/>
        <v>6.4</v>
      </c>
      <c r="LI7" s="63">
        <f t="shared" si="0"/>
        <v>0</v>
      </c>
      <c r="LJ7" s="63">
        <f t="shared" si="0"/>
        <v>0</v>
      </c>
      <c r="LK7" s="63">
        <f t="shared" si="0"/>
        <v>24.6</v>
      </c>
      <c r="LL7" s="63">
        <f t="shared" si="0"/>
        <v>5</v>
      </c>
      <c r="LM7" s="63">
        <f t="shared" si="0"/>
        <v>0.6</v>
      </c>
      <c r="LN7" s="63">
        <f t="shared" si="0"/>
        <v>0</v>
      </c>
      <c r="LO7" s="63">
        <f t="shared" si="0"/>
        <v>26.55</v>
      </c>
      <c r="LP7" s="63">
        <f t="shared" si="0"/>
        <v>5.4</v>
      </c>
      <c r="LQ7" s="63">
        <f t="shared" si="0"/>
        <v>1.2</v>
      </c>
      <c r="LR7" s="63">
        <f t="shared" si="0"/>
        <v>0</v>
      </c>
      <c r="LS7" s="74" t="s">
        <v>119</v>
      </c>
      <c r="LT7" s="12">
        <f t="shared" si="7"/>
        <v>11.25</v>
      </c>
      <c r="LU7" s="12">
        <f t="shared" si="8"/>
        <v>21.65</v>
      </c>
      <c r="LV7" s="12">
        <f t="shared" si="9"/>
        <v>66.05</v>
      </c>
      <c r="LW7" s="12">
        <f t="shared" si="10"/>
        <v>59.750000000000007</v>
      </c>
      <c r="LX7" s="12">
        <f t="shared" si="11"/>
        <v>125.80000000000001</v>
      </c>
    </row>
    <row r="8" spans="1:336" x14ac:dyDescent="0.2">
      <c r="A8" s="6" t="str">
        <f>IF(AND(F8="P",H8="P"),SUMPRODUCT((F$4:F$14="P")*(H$4:H$14="P")*(E$4:E$14&gt;E8))+1,IF(H8="P",SUMPRODUCT((F$4:F$14="")*(H$4:H$14="P")*(E$4:E$14&gt;E8))+1+SUMPRODUCT((F$4:F$14="P")*(H$4:H$14="P")),""))</f>
        <v/>
      </c>
      <c r="B8" s="9" t="s">
        <v>115</v>
      </c>
      <c r="C8" s="5" t="s">
        <v>4</v>
      </c>
      <c r="D8" s="6">
        <v>2003</v>
      </c>
      <c r="E8" s="16">
        <f>SUM(J8:N8)</f>
        <v>192.5</v>
      </c>
      <c r="F8" s="4" t="str">
        <f>IF(OR(AND(AH8&gt;=AK$16,AJ8&gt;=AK$19,AJ8&lt;&gt;"",AG8=""),AND(BD8&gt;=BG$16,BF8&gt;=BG$19,BF8&lt;&gt;"",BC8=""),AND(CA8&gt;=CD$16,CC8&gt;=CD$19,CC8&lt;&gt;""),AND(CV8&gt;=CY$16,CX8&gt;=CY$19,CX8&lt;&gt;""),AND(DQ8&gt;=DT$16,DS8&gt;=DT$19,DS8&lt;&gt;""),AND(EL8&gt;=EO$16,EN8&gt;=EO$19,EN8&lt;&gt;""),AND(FG8&gt;=FJ$16,FI8&gt;=FJ$19,FI8&lt;&gt;""),AND(GB8&gt;=GE$16,GD8&gt;=GE$19,GD8&lt;&gt;""),AND(GW8&gt;=GZ$16,GY8&gt;=GZ$19,GY8&lt;&gt;""),AND(HR8&gt;=HU$16,HT8&gt;=HU$19,HT8&lt;&gt;""),AND(IM8&gt;=IP$16,IO8&gt;=IP$19,IO8&lt;&gt;""),AND(JH8&gt;=JK$16,JJ8&gt;=JK$19,JJ8&lt;&gt;""),AND(KC8&gt;=KF$16,KE8&gt;=KF$19,KE8&lt;&gt;""),AND(KX8&gt;=LA$16,KZ8&gt;=LA$19,KZ8&lt;&gt;"")),"P","")</f>
        <v/>
      </c>
      <c r="G8" s="4" t="str">
        <f>IF(OR(AND(AH8&gt;=AK$17,AJ8&gt;=AK$20,AJ8&lt;&gt;"",AG8=""),AND(BD8&gt;=BG$17,BF8&gt;=BG$20,BF8&lt;&gt;"",BC8=""),AND(CA8&gt;=CD$17,CC8&gt;=CD$20,CC8&lt;&gt;""),AND(CV8&gt;=CY$17,CX8&gt;=CY$20,CX8&lt;&gt;""),AND(DQ8&gt;=DT$17,DS8&gt;=DT$20,DS8&lt;&gt;""),AND(EL8&gt;=EO$17,EN8&gt;=EO$20,EN8&lt;&gt;""),AND(FG8&gt;=FJ$17,FI8&gt;=FJ$20,FI8&lt;&gt;""),AND(GB8&gt;=GE$17,GD8&gt;=GE$20,GD8&lt;&gt;""),AND(GW8&gt;=GZ$17,GY8&gt;=GZ$20,GY8&lt;&gt;""),AND(HR8&gt;=HU$17,HT8&gt;=HU$20,HT8&lt;&gt;""),AND(IM8&gt;=IP$17,IO8&gt;=IP$20,IO8&lt;&gt;""),AND(JH8&gt;=JK$17,JJ8&gt;=JK$20,JJ8&lt;&gt;""),AND(KC8&gt;=KF$17,KE8&gt;=KF$20,KE8&lt;&gt;""),AND(KX8&gt;=LA$17,KZ8&gt;=LA$20,KZ8&lt;&gt;"")),"P","")</f>
        <v/>
      </c>
      <c r="H8" s="4" t="str">
        <f>IF(OR(AND(AJ8&gt;=AK$19,AJ8&lt;&gt;"",AG8=""),AND(BF8&gt;=BG$19,BF8&lt;&gt;"",BC8=""),AND(CC8&gt;=CD$19,CC8&lt;&gt;""),AND(CX8&gt;=CY$19,CX8&lt;&gt;""),AND(DS8&gt;=DT$19,DS8&lt;&gt;""),AND(EN8&gt;=EO$19,EN8&lt;&gt;""),AND(FI8&gt;=FJ$19,FI8&lt;&gt;""),AND(GD8&gt;=GE$19,GD8&lt;&gt;""),AND(GY8&gt;=GZ$19,GY8&lt;&gt;""),AND(HT8&gt;=HU$19,HT8&lt;&gt;""),AND(IO8&gt;=IP$19,IO8&lt;&gt;""),AND(JJ8&gt;=JK$19,JJ8&lt;&gt;""),AND(KE8&gt;=KF$19,KE8&lt;&gt;""),AND(KZ8&gt;=LA$19,KZ8&lt;&gt;"")),"P","")</f>
        <v/>
      </c>
      <c r="I8" t="str">
        <f>IF(AND(H8="P",F8=""),"No DD",IF(OR(AND(AI8&gt;=AK$18,AI8&lt;&gt;"",AL8&gt;=AK$22,AL8&lt;&gt;"",AG8=""),AND(BE8&gt;=BG$18,BE8&lt;&gt;"",BH8&gt;=BG$22,BH8&lt;&gt;"",BC8=""),AND(CB8&gt;=CD$18,CB8&lt;&gt;"",CE8&gt;=CD$22,CE8&lt;&gt;""),AND(CW8&gt;=CY$18,CW8&lt;&gt;"",CZ8&gt;=CY$22,CZ8&lt;&gt;""),AND(DR8&gt;=DT$18,DR8&lt;&gt;"",DU8&gt;=DT$22,DU8&lt;&gt;""),AND(EM8&gt;=EO$18,EM8&lt;&gt;"",EP8&gt;=EO$22,EP8&lt;&gt;""),AND(FH8&gt;=FJ$18,FH8&lt;&gt;"",FK8&gt;=FJ$22,FK8&lt;&gt;""),AND(GC8&gt;=GE$18,GC8&lt;&gt;"",GF8&gt;=GE$22,GF8&lt;&gt;""),AND(GX8&gt;=GZ$18,GX8&lt;&gt;"",HA8&gt;=GZ$22,HA8&lt;&gt;""),AND(HS8&gt;=HU$18,HS8&lt;&gt;"",HV8&gt;=HU$22,HV8&lt;&gt;""),AND(IN8&gt;=IP$18,IN8&lt;&gt;"",IQ8&gt;=IP$22,IQ8&lt;&gt;""),AND(JI8&gt;=JK$18,JI8&lt;&gt;"",JL8&gt;=JK$22,JL8&lt;&gt;""),AND(KD8&gt;=KF$18,KD8&lt;&gt;"",KG8&gt;=KF$22,KG8&lt;&gt;""),AND(KY8&gt;=LA$18,KY8&lt;&gt;"",LB8&gt;=LA$22,LB8&lt;&gt;"")),"Merit",IF(OR(AND(AI8&gt;=AK$18,AI8&lt;&gt;"",AL8&gt;=AK$21,AL8&lt;&gt;"",AG8=""),AND(BE8&gt;=BG$18,BE8&lt;&gt;"",BH8&gt;=BG$21,BH8&lt;&gt;"",BC8=""),AND(CB8&gt;=CD$18,CB8&lt;&gt;"",CE8&gt;=CD$21,CE8&lt;&gt;""),AND(CW8&gt;=CY$18,CW8&lt;&gt;"",CZ8&gt;=CY$21,CZ8&lt;&gt;""),AND(DR8&gt;=DT$18,DR8&lt;&gt;"",DU8&gt;=DT$21,DU8&lt;&gt;""),AND(EM8&gt;=EO$18,EM8&lt;&gt;"",EP8&gt;=EO$21,EP8&lt;&gt;""),AND(FH8&gt;=FJ$18,FH8&lt;&gt;"",FK8&gt;=FJ$21,FK8&lt;&gt;""),AND(GC8&gt;=GE$18,GC8&lt;&gt;"",GF8&gt;=GE$21,GF8&lt;&gt;""),AND(GX8&gt;=GZ$18,GX8&lt;&gt;"",HA8&gt;=GZ$21,HA8&lt;&gt;""),AND(HS8&gt;=HU$18,HS8&lt;&gt;"",HV8&gt;=HU$21,HV8&lt;&gt;""),AND(IN8&gt;=IP$18,IN8&lt;&gt;"",IQ8&gt;=IP$21,IQ8&lt;&gt;""),AND(JI8&gt;=JK$18,JI8&lt;&gt;"",JL8&gt;=JK$21,JL8&lt;&gt;""),AND(KD8&gt;=KF$18,KD8&lt;&gt;"",KG8&gt;=KF$21,KG8&lt;&gt;""),AND(KY8&gt;=LA$18,KY8&lt;&gt;"",LB8&gt;=LA$21,LB8&lt;&gt;"")),"Excellence",IF(OR(AND(AH8&gt;=AK$17,AH8&lt;&gt;"",AJ8&gt;=AK$20,AJ8&lt;&gt;"",AG8=""),AND(BD8&gt;=BG$17,BD8&lt;&gt;"",BF8&gt;=BG$20,BF8&lt;&gt;"",BC8=""),AND(CA8&gt;=CD$17,CA8&lt;&gt;"",CC8&gt;=CD$20,CC8&lt;&gt;""),AND(CV8&gt;=CY$17,CV8&lt;&gt;"",CX8&gt;=CY$20,CX8&lt;&gt;""),AND(DQ8&gt;=DT$17,DQ8&lt;&gt;"",DS8&gt;=DT$20,DS8&lt;&gt;""),AND(EL8&gt;=EO$17,EL8&lt;&gt;"",EN8&gt;=EO$20,EN8&lt;&gt;""),AND(FG8&gt;=FJ$17,FG8&lt;&gt;"",FI8&gt;=FJ$20,FI8&lt;&gt;""),AND(GB8&gt;=GE$17,GB8&lt;&gt;"",GD8&gt;=GE$20,GD8&lt;&gt;""),AND(GW8&gt;=GZ$17,GW8&lt;&gt;"",GY8&gt;=GZ$20,GY8&lt;&gt;""),AND(HR8&gt;=HU$17,HR8&lt;&gt;"",HT8&gt;=HU$20,HT8&lt;&gt;""),AND(IM8&gt;=IP$17,IM8&lt;&gt;"",IO8&gt;=IP$20,IO8&lt;&gt;""),AND(JH8&gt;=JK$17,JH8&lt;&gt;"",JJ8&gt;=JK$20,JJ8&lt;&gt;""),AND(KC8&gt;=KF$17,KC8&lt;&gt;"",KE8&gt;=KF$20,KE8&lt;&gt;""),AND(KX8&gt;=LA$17,KX8&lt;&gt;"",KZ8&gt;=LA$20,KZ8&lt;&gt;"")),"Worlds Team",IF(OR(AND(AH8&gt;=AK$16,AH8&lt;&gt;"",AJ8&gt;=AK$19,AJ8&lt;&gt;"",AG8=""),AND(BD8&gt;=BG$16,BD8&lt;&gt;"",BF8&gt;=BG$19,BF8&lt;&gt;"",BC8=""),AND(CA8&gt;=CD$16,CA8&lt;&gt;"",CC8&gt;=CD$19,CC8&lt;&gt;""),AND(CV8&gt;=CY$16,CV8&lt;&gt;"",CX8&gt;=CY$19,CX8&lt;&gt;""),AND(DQ8&gt;=DT$16,DQ8&lt;&gt;"",DS8&gt;=DT$19,DS8&lt;&gt;""),AND(EL8&gt;=EO$16,EL8&lt;&gt;"",EN8&gt;=EO$19,EN8&lt;&gt;""),AND(FG8&gt;=FJ$16,FG8&lt;&gt;"",FI8&gt;=FJ$19,FI8&lt;&gt;""),AND(GB8&gt;=GE$16,GB8&lt;&gt;"",GD8&gt;=GE$19,GD8&lt;&gt;""),AND(GW8&gt;=GZ$16,GW8&lt;&gt;"",GY8&gt;=GZ$19,GY8&lt;&gt;""),AND(HR8&gt;=HU$16,HR8&lt;&gt;"",HT8&gt;=HU$19,HT8&lt;&gt;""),AND(IM8&gt;=IP$16,IM8&lt;&gt;"",IO8&gt;=IP$19,IO8&lt;&gt;""),AND(JH8&gt;=JK$16,JH8&lt;&gt;"",JJ8&gt;=JK$19,JJ8&lt;&gt;""),AND(KC8&gt;=KF$16,KC8&lt;&gt;"",KE8&gt;=KF$19,KE8&lt;&gt;""),AND(KX8&gt;=LA$16,KX8&lt;&gt;"",KZ8&gt;=LA$19,KZ8&lt;&gt;"")),"National Team","")))))</f>
        <v/>
      </c>
      <c r="J8" s="15">
        <f>IF(MAX(AL8,BH8)&gt;0,MAX(AL8,BH8),"")</f>
        <v>127.30000000000001</v>
      </c>
      <c r="K8" s="15" t="str">
        <f>IF(J8="","",IF(J8=BH8,$AM$1,IF(J8=AL8,$Q$1,"")))</f>
        <v>2019 Elite Canada</v>
      </c>
      <c r="L8" s="15">
        <f>IF(J8=AL8,IF(MAX(BF8,BG8)&gt;0,MAX(BF8,BG8),""),IF(J8=BH8,IF(MAX(AJ8,AK8)&gt;0,MAX(AJ8,AK8),""),MAX(AJ8,AK8,BF8,BG8)))</f>
        <v>65.2</v>
      </c>
      <c r="M8" s="15" t="str">
        <f>IF(L8="","",IF(AND(J8&lt;&gt;BH8,OR(L8=BG8,L8=BF8)),$AM$1,IF(OR(L8=AK8,L8=AJ8),$Q$1,"")))</f>
        <v>2018 Nationals</v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>
        <v>27</v>
      </c>
      <c r="R8" s="63">
        <v>5.2</v>
      </c>
      <c r="S8" s="63">
        <v>0.3</v>
      </c>
      <c r="T8" s="63">
        <v>0</v>
      </c>
      <c r="U8" s="63">
        <v>28.1</v>
      </c>
      <c r="V8" s="63">
        <v>5.2</v>
      </c>
      <c r="W8" s="63">
        <v>0</v>
      </c>
      <c r="X8" s="63">
        <v>0</v>
      </c>
      <c r="Y8" s="63">
        <v>25.1</v>
      </c>
      <c r="Z8" s="63">
        <v>6.8</v>
      </c>
      <c r="AA8" s="63">
        <v>0.3</v>
      </c>
      <c r="AB8" s="63">
        <v>0</v>
      </c>
      <c r="AC8" s="63">
        <v>24.9</v>
      </c>
      <c r="AD8" s="63">
        <v>6.4</v>
      </c>
      <c r="AE8" s="63">
        <v>1.8</v>
      </c>
      <c r="AF8" s="63">
        <v>0</v>
      </c>
      <c r="AG8" s="74"/>
      <c r="AH8" s="12">
        <f>IF(SUM(R8,V8)&gt;0,SUM(R8,V8),"")</f>
        <v>10.4</v>
      </c>
      <c r="AI8" s="12">
        <f>IF(SUM(R8,V8,Z8,AD8)&gt;0,SUM(R8,V8,Z8,AD8),"")</f>
        <v>23.6</v>
      </c>
      <c r="AJ8" s="12">
        <f>IF(SUM(Q8:R8,T8:V8,X8)-SUM(S8,W8)&gt;0,SUM(Q8:R8,T8:V8,X8)-SUM(S8,W8),"")</f>
        <v>65.2</v>
      </c>
      <c r="AK8" s="12">
        <f>IF(SUM(Y8:Z8,AB8:AD8,AF8)-SUM(AA8,AE8)&gt;0,SUM(Y8:Z8,AB8:AD8,AF8)-SUM(AA8,AE8),"")</f>
        <v>61.099999999999994</v>
      </c>
      <c r="AL8" s="12">
        <f>IF(SUM(AJ8,AK8)&gt;0,SUM(AJ8,AK8),"")</f>
        <v>126.3</v>
      </c>
      <c r="AM8" s="37">
        <v>27.4</v>
      </c>
      <c r="AN8" s="37">
        <v>2.9</v>
      </c>
      <c r="AO8" s="37">
        <v>2.6</v>
      </c>
      <c r="AP8" s="37">
        <v>0</v>
      </c>
      <c r="AQ8" s="37">
        <v>27.8</v>
      </c>
      <c r="AR8" s="37">
        <v>5.2</v>
      </c>
      <c r="AS8" s="37">
        <v>0</v>
      </c>
      <c r="AT8" s="37">
        <v>0</v>
      </c>
      <c r="AU8" s="37">
        <v>27.2</v>
      </c>
      <c r="AV8" s="37">
        <v>6.8</v>
      </c>
      <c r="AW8" s="37">
        <v>1.5</v>
      </c>
      <c r="AX8" s="37">
        <v>0</v>
      </c>
      <c r="AY8" s="37">
        <v>27.7</v>
      </c>
      <c r="AZ8" s="37">
        <v>6.4</v>
      </c>
      <c r="BA8" s="37">
        <v>0</v>
      </c>
      <c r="BB8" s="37">
        <v>0</v>
      </c>
      <c r="BC8" s="75"/>
      <c r="BD8" s="15">
        <f>IF(SUM(AN8,AR8)&gt;0,SUM(AN8,AR8),"")</f>
        <v>8.1</v>
      </c>
      <c r="BE8" s="15">
        <f>IF(SUM(AN8,AR8,AV8,AZ8)&gt;0,SUM(AN8,AR8,AV8,AZ8),"")</f>
        <v>21.299999999999997</v>
      </c>
      <c r="BF8" s="15">
        <f>IF(SUM(AM8:AN8,AP8:AR8,AT8)-SUM(AO8,AS8)&gt;0,SUM(AM8:AN8,AP8:AR8,AT8)-SUM(AO8,AS8),"")</f>
        <v>60.699999999999996</v>
      </c>
      <c r="BG8" s="15">
        <f>IF(SUM(AU8:AV8,AX8:AZ8,BB8)-SUM(AW8,BA8)&gt;0,SUM(AU8:AV8,AX8:AZ8,BB8)-SUM(AW8,BA8),"")</f>
        <v>66.600000000000009</v>
      </c>
      <c r="BH8" s="15">
        <f>IF(SUM(BF8,BG8)&gt;0,SUM(BF8,BG8),"")</f>
        <v>127.30000000000001</v>
      </c>
      <c r="BI8" s="24" t="str">
        <f>IF(MAX(CE8,CZ8,DU8,EP8,FK8,GF8,HA8,HV8,IQ8,JL8,KG8,LB8)-IF(J8="",0,J8)&gt;0.001,MAX(CE8,CZ8,DU8,EP8,FK8,GF8,HA8,HV8,IQ8,JL8,KG8,LB8)-IF(J8="",0,J8),"")</f>
        <v/>
      </c>
      <c r="BJ8" s="24" t="str">
        <f>IF(MAX(CC8,CD8,CX8,CY8,DS8,DT8,EN8,EO8,FI8,FJ8,GD8,GE8,GY8,GZ8,HT8,HU8,IO8,IP8,JJ8,JK8,KE8,KF8,KZ8,LA8)-IF(L8="",0,L8)&gt;0.001,MAX(CC8,CD8,CX8,CY8,DS8,DT8,EN8,EO8,FI8,FJ8,GD8,GE8,GY8,GZ8,HT8,HU8,IO8,IP8,JJ8,JK8,KE8,KF8,KZ8,LA8)-IF(L8="",0,L8),"")</f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>IF(SUM(BL8,BP8)&gt;0,SUM(BL8,BP8),"")</f>
        <v/>
      </c>
      <c r="CB8" s="12" t="str">
        <f>IF(SUM(BL8,BP8,BT8,BX8)&gt;0,SUM(BL8,BP8,BT8,BX8),"")</f>
        <v/>
      </c>
      <c r="CC8" s="12" t="str">
        <f>IF(SUM(BK8:BL8,BN8:BP8,BR8)-SUM(BM8,BQ8)&gt;0,SUM(BK8:BL8,BN8:BP8,BR8)-SUM(BM8,BQ8),"")</f>
        <v/>
      </c>
      <c r="CD8" s="12" t="str">
        <f>IF(SUM(BS8:BT8,BV8:BX8,BZ8)-SUM(BU8,BY8)&gt;0,SUM(BS8:BT8,BV8:BX8,BZ8)-SUM(BU8,BY8),"")</f>
        <v/>
      </c>
      <c r="CE8" s="12" t="str">
        <f>IF(SUM(CC8,CD8)&gt;0,SUM(CC8,CD8),"")</f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 t="str">
        <f>IF(SUM(CG8,CK8,CO8,CS8)&gt;0,SUM(CG8,CK8,CO8,CS8),"")</f>
        <v/>
      </c>
      <c r="CX8" s="15" t="str">
        <f>IF(SUM(CF8:CG8,CI8:CK8,CM8)-SUM(CH8,CL8)&gt;0,SUM(CF8:CG8,CI8:CK8,CM8)-SUM(CH8,CL8),"")</f>
        <v/>
      </c>
      <c r="CY8" s="15" t="str">
        <f>IF(SUM(CN8:CO8,CQ8:CS8,CU8)-SUM(CP8,CT8)&gt;0,SUM(CN8:CO8,CQ8:CS8,CU8)-SUM(CP8,CT8),"")</f>
        <v/>
      </c>
      <c r="CZ8" s="15" t="str">
        <f>IF(SUM(CX8,CY8)&gt;0,SUM(CX8,CY8),"")</f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>IF(SUM(DB8,DF8)&gt;0,SUM(DB8,DF8),"")</f>
        <v/>
      </c>
      <c r="DR8" s="12" t="str">
        <f>IF(SUM(DB8,DF8,DJ8,DN8)&gt;0,SUM(DB8,DF8,DJ8,DN8),"")</f>
        <v/>
      </c>
      <c r="DS8" s="12" t="str">
        <f>IF(SUM(DA8:DB8,DD8:DF8,DH8)-SUM(DC8,DG8)&gt;0,SUM(DA8:DB8,DD8:DF8,DH8)-SUM(DC8,DG8),"")</f>
        <v/>
      </c>
      <c r="DT8" s="12" t="str">
        <f>IF(SUM(DI8:DJ8,DL8:DN8,DP8)-SUM(DK8,DO8)&gt;0,SUM(DI8:DJ8,DL8:DN8,DP8)-SUM(DK8,DO8),"")</f>
        <v/>
      </c>
      <c r="DU8" s="12" t="str">
        <f>IF(SUM(DS8,DT8)&gt;0,SUM(DS8,DT8),"")</f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>IF(SUM(DW8,EA8)&gt;0,SUM(DW8,EA8),"")</f>
        <v/>
      </c>
      <c r="EM8" s="15" t="str">
        <f>IF(SUM(DW8,EA8,EE8,EI8)&gt;0,SUM(DW8,EA8,EE8,EI8),"")</f>
        <v/>
      </c>
      <c r="EN8" s="15" t="str">
        <f>IF(SUM(DV8:DW8,DY8:EA8,EC8)-SUM(DX8,EB8)&gt;0,SUM(DV8:DW8,DY8:EA8,EC8)-SUM(DX8,EB8),"")</f>
        <v/>
      </c>
      <c r="EO8" s="15" t="str">
        <f>IF(SUM(ED8:EE8,EG8:EI8,EK8)-SUM(EF8,EJ8)&gt;0,SUM(ED8:EE8,EG8:EI8,EK8)-SUM(EF8,EJ8),"")</f>
        <v/>
      </c>
      <c r="EP8" s="15" t="str">
        <f>IF(SUM(EN8,EO8)&gt;0,SUM(EN8,EO8),"")</f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>IF(SUM(ER8,EV8)&gt;0,SUM(ER8,EV8),"")</f>
        <v/>
      </c>
      <c r="FH8" s="12" t="str">
        <f>IF(SUM(ER8,EV8,EZ8,FD8)&gt;0,SUM(ER8,EV8,EZ8,FD8),"")</f>
        <v/>
      </c>
      <c r="FI8" s="12" t="str">
        <f>IF(SUM(EQ8:ER8,ET8:EV8,EX8)-SUM(ES8,EW8)&gt;0,SUM(EQ8:ER8,ET8:EV8,EX8)-SUM(ES8,EW8),"")</f>
        <v/>
      </c>
      <c r="FJ8" s="12" t="str">
        <f>IF(SUM(EY8:EZ8,FB8:FD8,FF8)-SUM(FA8,FE8)&gt;0,SUM(EY8:EZ8,FB8:FD8,FF8)-SUM(FA8,FE8),"")</f>
        <v/>
      </c>
      <c r="FK8" s="12" t="str">
        <f>IF(SUM(FI8,FJ8)&gt;0,SUM(FI8,FJ8),"")</f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>IF(SUM(FM8,FQ8)&gt;0,SUM(FM8,FQ8),"")</f>
        <v/>
      </c>
      <c r="GC8" s="15" t="str">
        <f>IF(SUM(FM8,FQ8,FU8,FY8)&gt;0,SUM(FM8,FQ8,FU8,FY8),"")</f>
        <v/>
      </c>
      <c r="GD8" s="15" t="str">
        <f>IF(SUM(FL8:FM8,FO8:FQ8,FS8)-SUM(FN8,FR8)&gt;0,SUM(FL8:FM8,FO8:FQ8,FS8)-SUM(FN8,FR8),"")</f>
        <v/>
      </c>
      <c r="GE8" s="15" t="str">
        <f>IF(SUM(FT8:FU8,FW8:FY8,GA8)-SUM(FV8,FZ8)&gt;0,SUM(FT8:FU8,FW8:FY8,GA8)-SUM(FV8,FZ8),"")</f>
        <v/>
      </c>
      <c r="GF8" s="15" t="str">
        <f>IF(SUM(GD8,GE8)&gt;0,SUM(GD8,GE8),"")</f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>IF(SUM(GH8,GL8)&gt;0,SUM(GH8,GL8),"")</f>
        <v/>
      </c>
      <c r="GX8" s="12" t="str">
        <f>IF(SUM(GH8,GL8,GP8,GT8)&gt;0,SUM(GH8,GL8,GP8,GT8),"")</f>
        <v/>
      </c>
      <c r="GY8" s="12" t="str">
        <f>IF(SUM(GG8:GH8,GJ8:GL8,GN8)-SUM(GI8,GM8)&gt;0,SUM(GG8:GH8,GJ8:GL8,GN8)-SUM(GI8,GM8),"")</f>
        <v/>
      </c>
      <c r="GZ8" s="12" t="str">
        <f>IF(SUM(GO8:GP8,GR8:GT8,GV8)-SUM(GQ8,GU8)&gt;0,SUM(GO8:GP8,GR8:GT8,GV8)-SUM(GQ8,GU8),"")</f>
        <v/>
      </c>
      <c r="HA8" s="12" t="str">
        <f>IF(SUM(GY8,GZ8)&gt;0,SUM(GY8,GZ8),"")</f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>IF(SUM(HC8,HG8)&gt;0,SUM(HC8,HG8),"")</f>
        <v/>
      </c>
      <c r="HS8" s="15" t="str">
        <f>IF(SUM(HC8,HG8,HK8,HO8)&gt;0,SUM(HC8,HG8,HK8,HO8),"")</f>
        <v/>
      </c>
      <c r="HT8" s="15" t="str">
        <f>IF(SUM(HB8:HC8,HE8:HG8,HI8)-SUM(HD8,HH8)&gt;0,SUM(HB8:HC8,HE8:HG8,HI8)-SUM(HD8,HH8),"")</f>
        <v/>
      </c>
      <c r="HU8" s="15" t="str">
        <f>IF(SUM(HJ8:HK8,HM8:HO8,HQ8)-SUM(HL8,HP8)&gt;0,SUM(HJ8:HK8,HM8:HO8,HQ8)-SUM(HL8,HP8),"")</f>
        <v/>
      </c>
      <c r="HV8" s="15" t="str">
        <f>IF(SUM(HT8,HU8)&gt;0,SUM(HT8,HU8),"")</f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>IF(SUM(HX8,IB8)&gt;0,SUM(HX8,IB8),"")</f>
        <v/>
      </c>
      <c r="IN8" s="12" t="str">
        <f>IF(SUM(HX8,IB8,IF8,IJ8)&gt;0,SUM(HX8,IB8,IF8,IJ8),"")</f>
        <v/>
      </c>
      <c r="IO8" s="12" t="str">
        <f>IF(SUM(HW8:HX8,HZ8:IB8,ID8)-SUM(HY8,IC8)&gt;0,SUM(HW8:HX8,HZ8:IB8,ID8)-SUM(HY8,IC8),"")</f>
        <v/>
      </c>
      <c r="IP8" s="12" t="str">
        <f>IF(SUM(IE8:IF8,IH8:IJ8,IL8)-SUM(IG8,IK8)&gt;0,SUM(IE8:IF8,IH8:IJ8,IL8)-SUM(IG8,IK8),"")</f>
        <v/>
      </c>
      <c r="IQ8" s="12" t="str">
        <f>IF(SUM(IO8,IP8)&gt;0,SUM(IO8,IP8),"")</f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>IF(SUM(IS8,IW8)&gt;0,SUM(IS8,IW8),"")</f>
        <v/>
      </c>
      <c r="JI8" s="15" t="str">
        <f>IF(SUM(IS8,IW8,JA8,JE8)&gt;0,SUM(IS8,IW8,JA8,JE8),"")</f>
        <v/>
      </c>
      <c r="JJ8" s="15" t="str">
        <f>IF(SUM(IR8:IS8,IU8:IW8,IY8)-SUM(IT8,IX8)&gt;0,SUM(IR8:IS8,IU8:IW8,IY8)-SUM(IT8,IX8),"")</f>
        <v/>
      </c>
      <c r="JK8" s="15" t="str">
        <f>IF(SUM(IZ8:JA8,JC8:JE8,JG8)-SUM(JB8,JF8)&gt;0,SUM(IZ8:JA8,JC8:JE8,JG8)-SUM(JB8,JF8),"")</f>
        <v/>
      </c>
      <c r="JL8" s="15" t="str">
        <f>IF(SUM(JJ8,JK8)&gt;0,SUM(JJ8,JK8),"")</f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>IF(SUM(JN8,JR8)&gt;0,SUM(JN8,JR8),"")</f>
        <v/>
      </c>
      <c r="KD8" s="12" t="str">
        <f>IF(SUM(JN8,JR8,JV8,JZ8)&gt;0,SUM(JN8,JR8,JV8,JZ8),"")</f>
        <v/>
      </c>
      <c r="KE8" s="12" t="str">
        <f>IF(SUM(JM8:JN8,JP8:JR8,JT8)-SUM(JO8,JS8)&gt;0,SUM(JM8:JN8,JP8:JR8,JT8)-SUM(JO8,JS8),"")</f>
        <v/>
      </c>
      <c r="KF8" s="12" t="str">
        <f>IF(SUM(JU8:JV8,JX8:JZ8,KB8)-SUM(JW8,KA8)&gt;0,SUM(JU8:JV8,JX8:JZ8,KB8)-SUM(JW8,KA8),"")</f>
        <v/>
      </c>
      <c r="KG8" s="12" t="str">
        <f>IF(SUM(KE8,KF8)&gt;0,SUM(KE8,KF8),"")</f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27.2</v>
      </c>
      <c r="LD8" s="63">
        <f t="shared" si="0"/>
        <v>4.05</v>
      </c>
      <c r="LE8" s="63">
        <f t="shared" si="0"/>
        <v>1.45</v>
      </c>
      <c r="LF8" s="63">
        <f t="shared" si="0"/>
        <v>0</v>
      </c>
      <c r="LG8" s="63">
        <f t="shared" si="0"/>
        <v>27.950000000000003</v>
      </c>
      <c r="LH8" s="63">
        <f t="shared" si="0"/>
        <v>5.2</v>
      </c>
      <c r="LI8" s="63">
        <f t="shared" si="0"/>
        <v>0</v>
      </c>
      <c r="LJ8" s="63">
        <f t="shared" si="0"/>
        <v>0</v>
      </c>
      <c r="LK8" s="63">
        <f t="shared" si="0"/>
        <v>26.15</v>
      </c>
      <c r="LL8" s="63">
        <f t="shared" si="0"/>
        <v>6.8</v>
      </c>
      <c r="LM8" s="63">
        <f t="shared" si="0"/>
        <v>0.9</v>
      </c>
      <c r="LN8" s="63">
        <f t="shared" si="0"/>
        <v>0</v>
      </c>
      <c r="LO8" s="63">
        <f t="shared" si="0"/>
        <v>26.299999999999997</v>
      </c>
      <c r="LP8" s="63">
        <f t="shared" si="0"/>
        <v>6.4</v>
      </c>
      <c r="LQ8" s="63">
        <f t="shared" si="0"/>
        <v>0.9</v>
      </c>
      <c r="LR8" s="63">
        <f t="shared" si="0"/>
        <v>0</v>
      </c>
      <c r="LS8" s="74" t="s">
        <v>119</v>
      </c>
      <c r="LT8" s="12">
        <f t="shared" si="7"/>
        <v>9.25</v>
      </c>
      <c r="LU8" s="12">
        <f t="shared" si="8"/>
        <v>22.450000000000003</v>
      </c>
      <c r="LV8" s="12">
        <f t="shared" si="9"/>
        <v>62.95</v>
      </c>
      <c r="LW8" s="12">
        <f t="shared" si="10"/>
        <v>63.849999999999994</v>
      </c>
      <c r="LX8" s="12">
        <f t="shared" si="11"/>
        <v>126.8</v>
      </c>
    </row>
    <row r="9" spans="1:336" x14ac:dyDescent="0.2">
      <c r="A9" s="6" t="str">
        <f>IF(AND(F9="P",H9="P"),SUMPRODUCT((F$4:F$14="P")*(H$4:H$14="P")*(E$4:E$14&gt;E9))+1,IF(H9="P",SUMPRODUCT((F$4:F$14="")*(H$4:H$14="P")*(E$4:E$14&gt;E9))+1+SUMPRODUCT((F$4:F$14="P")*(H$4:H$14="P")),""))</f>
        <v/>
      </c>
      <c r="B9" s="9" t="s">
        <v>117</v>
      </c>
      <c r="C9" s="5" t="s">
        <v>4</v>
      </c>
      <c r="D9" s="6">
        <v>2003</v>
      </c>
      <c r="E9" s="16">
        <f>SUM(J9:N9)</f>
        <v>186.9</v>
      </c>
      <c r="F9" s="4" t="str">
        <f>IF(OR(AND(AH9&gt;=AK$16,AJ9&gt;=AK$19,AJ9&lt;&gt;"",AG9=""),AND(BD9&gt;=BG$16,BF9&gt;=BG$19,BF9&lt;&gt;"",BC9=""),AND(CA9&gt;=CD$16,CC9&gt;=CD$19,CC9&lt;&gt;""),AND(CV9&gt;=CY$16,CX9&gt;=CY$19,CX9&lt;&gt;""),AND(DQ9&gt;=DT$16,DS9&gt;=DT$19,DS9&lt;&gt;""),AND(EL9&gt;=EO$16,EN9&gt;=EO$19,EN9&lt;&gt;""),AND(FG9&gt;=FJ$16,FI9&gt;=FJ$19,FI9&lt;&gt;""),AND(GB9&gt;=GE$16,GD9&gt;=GE$19,GD9&lt;&gt;""),AND(GW9&gt;=GZ$16,GY9&gt;=GZ$19,GY9&lt;&gt;""),AND(HR9&gt;=HU$16,HT9&gt;=HU$19,HT9&lt;&gt;""),AND(IM9&gt;=IP$16,IO9&gt;=IP$19,IO9&lt;&gt;""),AND(JH9&gt;=JK$16,JJ9&gt;=JK$19,JJ9&lt;&gt;""),AND(KC9&gt;=KF$16,KE9&gt;=KF$19,KE9&lt;&gt;""),AND(KX9&gt;=LA$16,KZ9&gt;=LA$19,KZ9&lt;&gt;"")),"P","")</f>
        <v/>
      </c>
      <c r="G9" s="4" t="str">
        <f>IF(OR(AND(AH9&gt;=AK$17,AJ9&gt;=AK$20,AJ9&lt;&gt;"",AG9=""),AND(BD9&gt;=BG$17,BF9&gt;=BG$20,BF9&lt;&gt;"",BC9=""),AND(CA9&gt;=CD$17,CC9&gt;=CD$20,CC9&lt;&gt;""),AND(CV9&gt;=CY$17,CX9&gt;=CY$20,CX9&lt;&gt;""),AND(DQ9&gt;=DT$17,DS9&gt;=DT$20,DS9&lt;&gt;""),AND(EL9&gt;=EO$17,EN9&gt;=EO$20,EN9&lt;&gt;""),AND(FG9&gt;=FJ$17,FI9&gt;=FJ$20,FI9&lt;&gt;""),AND(GB9&gt;=GE$17,GD9&gt;=GE$20,GD9&lt;&gt;""),AND(GW9&gt;=GZ$17,GY9&gt;=GZ$20,GY9&lt;&gt;""),AND(HR9&gt;=HU$17,HT9&gt;=HU$20,HT9&lt;&gt;""),AND(IM9&gt;=IP$17,IO9&gt;=IP$20,IO9&lt;&gt;""),AND(JH9&gt;=JK$17,JJ9&gt;=JK$20,JJ9&lt;&gt;""),AND(KC9&gt;=KF$17,KE9&gt;=KF$20,KE9&lt;&gt;""),AND(KX9&gt;=LA$17,KZ9&gt;=LA$20,KZ9&lt;&gt;"")),"P","")</f>
        <v/>
      </c>
      <c r="H9" s="4" t="str">
        <f>IF(OR(AND(AJ9&gt;=AK$19,AJ9&lt;&gt;"",AG9=""),AND(BF9&gt;=BG$19,BF9&lt;&gt;"",BC9=""),AND(CC9&gt;=CD$19,CC9&lt;&gt;""),AND(CX9&gt;=CY$19,CX9&lt;&gt;""),AND(DS9&gt;=DT$19,DS9&lt;&gt;""),AND(EN9&gt;=EO$19,EN9&lt;&gt;""),AND(FI9&gt;=FJ$19,FI9&lt;&gt;""),AND(GD9&gt;=GE$19,GD9&lt;&gt;""),AND(GY9&gt;=GZ$19,GY9&lt;&gt;""),AND(HT9&gt;=HU$19,HT9&lt;&gt;""),AND(IO9&gt;=IP$19,IO9&lt;&gt;""),AND(JJ9&gt;=JK$19,JJ9&lt;&gt;""),AND(KE9&gt;=KF$19,KE9&lt;&gt;""),AND(KZ9&gt;=LA$19,KZ9&lt;&gt;"")),"P","")</f>
        <v/>
      </c>
      <c r="I9" t="str">
        <f>IF(AND(H9="P",F9=""),"No DD",IF(OR(AND(AI9&gt;=AK$18,AI9&lt;&gt;"",AL9&gt;=AK$22,AL9&lt;&gt;"",AG9=""),AND(BE9&gt;=BG$18,BE9&lt;&gt;"",BH9&gt;=BG$22,BH9&lt;&gt;"",BC9=""),AND(CB9&gt;=CD$18,CB9&lt;&gt;"",CE9&gt;=CD$22,CE9&lt;&gt;""),AND(CW9&gt;=CY$18,CW9&lt;&gt;"",CZ9&gt;=CY$22,CZ9&lt;&gt;""),AND(DR9&gt;=DT$18,DR9&lt;&gt;"",DU9&gt;=DT$22,DU9&lt;&gt;""),AND(EM9&gt;=EO$18,EM9&lt;&gt;"",EP9&gt;=EO$22,EP9&lt;&gt;""),AND(FH9&gt;=FJ$18,FH9&lt;&gt;"",FK9&gt;=FJ$22,FK9&lt;&gt;""),AND(GC9&gt;=GE$18,GC9&lt;&gt;"",GF9&gt;=GE$22,GF9&lt;&gt;""),AND(GX9&gt;=GZ$18,GX9&lt;&gt;"",HA9&gt;=GZ$22,HA9&lt;&gt;""),AND(HS9&gt;=HU$18,HS9&lt;&gt;"",HV9&gt;=HU$22,HV9&lt;&gt;""),AND(IN9&gt;=IP$18,IN9&lt;&gt;"",IQ9&gt;=IP$22,IQ9&lt;&gt;""),AND(JI9&gt;=JK$18,JI9&lt;&gt;"",JL9&gt;=JK$22,JL9&lt;&gt;""),AND(KD9&gt;=KF$18,KD9&lt;&gt;"",KG9&gt;=KF$22,KG9&lt;&gt;""),AND(KY9&gt;=LA$18,KY9&lt;&gt;"",LB9&gt;=LA$22,LB9&lt;&gt;"")),"Merit",IF(OR(AND(AI9&gt;=AK$18,AI9&lt;&gt;"",AL9&gt;=AK$21,AL9&lt;&gt;"",AG9=""),AND(BE9&gt;=BG$18,BE9&lt;&gt;"",BH9&gt;=BG$21,BH9&lt;&gt;"",BC9=""),AND(CB9&gt;=CD$18,CB9&lt;&gt;"",CE9&gt;=CD$21,CE9&lt;&gt;""),AND(CW9&gt;=CY$18,CW9&lt;&gt;"",CZ9&gt;=CY$21,CZ9&lt;&gt;""),AND(DR9&gt;=DT$18,DR9&lt;&gt;"",DU9&gt;=DT$21,DU9&lt;&gt;""),AND(EM9&gt;=EO$18,EM9&lt;&gt;"",EP9&gt;=EO$21,EP9&lt;&gt;""),AND(FH9&gt;=FJ$18,FH9&lt;&gt;"",FK9&gt;=FJ$21,FK9&lt;&gt;""),AND(GC9&gt;=GE$18,GC9&lt;&gt;"",GF9&gt;=GE$21,GF9&lt;&gt;""),AND(GX9&gt;=GZ$18,GX9&lt;&gt;"",HA9&gt;=GZ$21,HA9&lt;&gt;""),AND(HS9&gt;=HU$18,HS9&lt;&gt;"",HV9&gt;=HU$21,HV9&lt;&gt;""),AND(IN9&gt;=IP$18,IN9&lt;&gt;"",IQ9&gt;=IP$21,IQ9&lt;&gt;""),AND(JI9&gt;=JK$18,JI9&lt;&gt;"",JL9&gt;=JK$21,JL9&lt;&gt;""),AND(KD9&gt;=KF$18,KD9&lt;&gt;"",KG9&gt;=KF$21,KG9&lt;&gt;""),AND(KY9&gt;=LA$18,KY9&lt;&gt;"",LB9&gt;=LA$21,LB9&lt;&gt;"")),"Excellence",IF(OR(AND(AH9&gt;=AK$17,AH9&lt;&gt;"",AJ9&gt;=AK$20,AJ9&lt;&gt;"",AG9=""),AND(BD9&gt;=BG$17,BD9&lt;&gt;"",BF9&gt;=BG$20,BF9&lt;&gt;"",BC9=""),AND(CA9&gt;=CD$17,CA9&lt;&gt;"",CC9&gt;=CD$20,CC9&lt;&gt;""),AND(CV9&gt;=CY$17,CV9&lt;&gt;"",CX9&gt;=CY$20,CX9&lt;&gt;""),AND(DQ9&gt;=DT$17,DQ9&lt;&gt;"",DS9&gt;=DT$20,DS9&lt;&gt;""),AND(EL9&gt;=EO$17,EL9&lt;&gt;"",EN9&gt;=EO$20,EN9&lt;&gt;""),AND(FG9&gt;=FJ$17,FG9&lt;&gt;"",FI9&gt;=FJ$20,FI9&lt;&gt;""),AND(GB9&gt;=GE$17,GB9&lt;&gt;"",GD9&gt;=GE$20,GD9&lt;&gt;""),AND(GW9&gt;=GZ$17,GW9&lt;&gt;"",GY9&gt;=GZ$20,GY9&lt;&gt;""),AND(HR9&gt;=HU$17,HR9&lt;&gt;"",HT9&gt;=HU$20,HT9&lt;&gt;""),AND(IM9&gt;=IP$17,IM9&lt;&gt;"",IO9&gt;=IP$20,IO9&lt;&gt;""),AND(JH9&gt;=JK$17,JH9&lt;&gt;"",JJ9&gt;=JK$20,JJ9&lt;&gt;""),AND(KC9&gt;=KF$17,KC9&lt;&gt;"",KE9&gt;=KF$20,KE9&lt;&gt;""),AND(KX9&gt;=LA$17,KX9&lt;&gt;"",KZ9&gt;=LA$20,KZ9&lt;&gt;"")),"Worlds Team",IF(OR(AND(AH9&gt;=AK$16,AH9&lt;&gt;"",AJ9&gt;=AK$19,AJ9&lt;&gt;"",AG9=""),AND(BD9&gt;=BG$16,BD9&lt;&gt;"",BF9&gt;=BG$19,BF9&lt;&gt;"",BC9=""),AND(CA9&gt;=CD$16,CA9&lt;&gt;"",CC9&gt;=CD$19,CC9&lt;&gt;""),AND(CV9&gt;=CY$16,CV9&lt;&gt;"",CX9&gt;=CY$19,CX9&lt;&gt;""),AND(DQ9&gt;=DT$16,DQ9&lt;&gt;"",DS9&gt;=DT$19,DS9&lt;&gt;""),AND(EL9&gt;=EO$16,EL9&lt;&gt;"",EN9&gt;=EO$19,EN9&lt;&gt;""),AND(FG9&gt;=FJ$16,FG9&lt;&gt;"",FI9&gt;=FJ$19,FI9&lt;&gt;""),AND(GB9&gt;=GE$16,GB9&lt;&gt;"",GD9&gt;=GE$19,GD9&lt;&gt;""),AND(GW9&gt;=GZ$16,GW9&lt;&gt;"",GY9&gt;=GZ$19,GY9&lt;&gt;""),AND(HR9&gt;=HU$16,HR9&lt;&gt;"",HT9&gt;=HU$19,HT9&lt;&gt;""),AND(IM9&gt;=IP$16,IM9&lt;&gt;"",IO9&gt;=IP$19,IO9&lt;&gt;""),AND(JH9&gt;=JK$16,JH9&lt;&gt;"",JJ9&gt;=JK$19,JJ9&lt;&gt;""),AND(KC9&gt;=KF$16,KC9&lt;&gt;"",KE9&gt;=KF$19,KE9&lt;&gt;""),AND(KX9&gt;=LA$16,KX9&lt;&gt;"",KZ9&gt;=LA$19,KZ9&lt;&gt;"")),"National Team","")))))</f>
        <v/>
      </c>
      <c r="J9" s="15">
        <f>IF(MAX(AL9,BH9)&gt;0,MAX(AL9,BH9),"")</f>
        <v>131.5</v>
      </c>
      <c r="K9" s="15" t="str">
        <f>IF(J9="","",IF(J9=BH9,$AM$1,IF(J9=AL9,$Q$1,"")))</f>
        <v>2019 Elite Canada</v>
      </c>
      <c r="L9" s="15">
        <f>IF(J9=AL9,IF(MAX(BF9,BG9)&gt;0,MAX(BF9,BG9),""),IF(J9=BH9,IF(MAX(AJ9,AK9)&gt;0,MAX(AJ9,AK9),""),MAX(AJ9,AK9,BF9,BG9)))</f>
        <v>55.400000000000006</v>
      </c>
      <c r="M9" s="15" t="str">
        <f>IF(L9="","",IF(AND(J9&lt;&gt;BH9,OR(L9=BG9,L9=BF9)),$AM$1,IF(OR(L9=AK9,L9=AJ9),$Q$1,"")))</f>
        <v>2018 Nationals</v>
      </c>
      <c r="N9" s="15" t="str">
        <f>IF(MAX(BI9:BJ9)&gt;0,MAX(BI9:BJ9),"")</f>
        <v/>
      </c>
      <c r="O9" s="25" t="str">
        <f>IF(N9="","",IF(N9=BI9,"(4 Pass)",IF(N9=BJ9,"(2 Pass)")))</f>
        <v/>
      </c>
      <c r="P9" s="15" t="str">
        <f>IF(N9="","",IF(N9=BI9,IF(N9+IF(J9="",0,J9)=CE9,$BK$1,IF(N9+IF(J9="",0,J9)=CZ9,$CF$1,IF(N9+IF(J9="",0,J9)=DU9,$DA$1,IF(N9+IF(J9="",0,J9)=EP9,$DV$1,IF(N9+IF(J9="",0,J9)=FK9,$EQ$1,IF(N9+IF(J9="",0,J9)=GF9,$FL$1,IF(N9+IF(J9="",0,J9)=HA9,$GG$1,IF(N9+IF(J9="",0,J9)=HV9,$HB$1,IF(N9+IF(J9="",0,J9)=IQ9,$HW$1,IF(N9+IF(J9="",0,J9)=JL9,$IR$1,IF(N9+IF(J9="",0,J9)=KG9,$JM$1,IF(N9+IF(J9="",0,J9)=LB9,$KH$1)))))))))))),IF(N9=BJ9,IF(OR(N9+IF(L9="",0,L9)=CC9,N9+IF(L9="",0,L9)=CD9),$BK$1,IF(OR(N9+IF(L9="",0,L9)=CX9,N9+IF(L9="",0,L9)=CY9),$CF$1,IF(OR(N9+IF(L9="",0,L9)=DS9,N9+IF(L9="",0,L9)=DT9),$DA$1,IF(OR(N9+IF(L9="",0,L9)=EN9,N9+IF(L9="",0,L9)=EO9),$DV$1,IF(OR(N9+IF(L9="",0,L9)=FI9,N9+IF(L9="",0,L9)=FJ9),$EQ$1,IF(OR(N9+IF(L9="",0,L9)=GD9,N9+IF(L9="",0,L9)=GE9),$FL$1,IF(OR(N9+IF(L9="",0,L9)=GY9,N9+IF(L9="",0,L9)=GZ9),$GG$1,IF(OR(N9+IF(L9="",0,L9)=HT9,N9+IF(L9="",0,L9)=HU9),$HB$1,IF(OR(N9+IF(L9="",0,L9)=IO9,N9+IF(L9="",0,L9)=IP9),$HW$1,IF(OR(N9+IF(L9="",0,L9)=JJ9,N9+IF(L9="",0,L9)=JK9),$IR$1,IF(OR(N9+IF(L9="",0,L9)=KE9,N9+IF(L9="",0,L9)=KF9),$JM$1,IF(OR(N9+IF(L9="",0,L9)=KZ9,N9+IF(L9="",0,L9)=LA9),$KH$1)))))))))))))))</f>
        <v/>
      </c>
      <c r="Q9" s="63">
        <v>27.7</v>
      </c>
      <c r="R9" s="63">
        <v>6.4</v>
      </c>
      <c r="S9" s="63">
        <v>0.9</v>
      </c>
      <c r="T9" s="63">
        <v>0</v>
      </c>
      <c r="U9" s="63">
        <v>19.8</v>
      </c>
      <c r="V9" s="63">
        <v>2.4</v>
      </c>
      <c r="W9" s="63">
        <v>0</v>
      </c>
      <c r="X9" s="63">
        <v>0</v>
      </c>
      <c r="Y9" s="63">
        <v>27.3</v>
      </c>
      <c r="Z9" s="63">
        <v>4.8</v>
      </c>
      <c r="AA9" s="63">
        <v>0.3</v>
      </c>
      <c r="AB9" s="63">
        <v>0</v>
      </c>
      <c r="AC9" s="63">
        <v>0</v>
      </c>
      <c r="AD9" s="63">
        <v>0</v>
      </c>
      <c r="AE9" s="63">
        <v>0</v>
      </c>
      <c r="AF9" s="63">
        <v>0</v>
      </c>
      <c r="AG9" s="74"/>
      <c r="AH9" s="12">
        <f>IF(SUM(R9,V9)&gt;0,SUM(R9,V9),"")</f>
        <v>8.8000000000000007</v>
      </c>
      <c r="AI9" s="12">
        <f>IF(SUM(R9,V9,Z9,AD9)&gt;0,SUM(R9,V9,Z9,AD9),"")</f>
        <v>13.600000000000001</v>
      </c>
      <c r="AJ9" s="12">
        <f>IF(SUM(Q9:R9,T9:V9,X9)-SUM(S9,W9)&gt;0,SUM(Q9:R9,T9:V9,X9)-SUM(S9,W9),"")</f>
        <v>55.400000000000006</v>
      </c>
      <c r="AK9" s="12">
        <f>IF(SUM(Y9:Z9,AB9:AD9,AF9)-SUM(AA9,AE9)&gt;0,SUM(Y9:Z9,AB9:AD9,AF9)-SUM(AA9,AE9),"")</f>
        <v>31.8</v>
      </c>
      <c r="AL9" s="12">
        <f>IF(SUM(AJ9,AK9)&gt;0,SUM(AJ9,AK9),"")</f>
        <v>87.2</v>
      </c>
      <c r="AM9" s="37">
        <v>27.6</v>
      </c>
      <c r="AN9" s="37">
        <v>6.4</v>
      </c>
      <c r="AO9" s="37">
        <v>1.2</v>
      </c>
      <c r="AP9" s="37">
        <v>0</v>
      </c>
      <c r="AQ9" s="37">
        <v>27.7</v>
      </c>
      <c r="AR9" s="37">
        <v>6.8</v>
      </c>
      <c r="AS9" s="37">
        <v>1.2</v>
      </c>
      <c r="AT9" s="37">
        <v>0</v>
      </c>
      <c r="AU9" s="37">
        <v>27.4</v>
      </c>
      <c r="AV9" s="37">
        <v>6</v>
      </c>
      <c r="AW9" s="37">
        <v>1.2</v>
      </c>
      <c r="AX9" s="37">
        <v>0</v>
      </c>
      <c r="AY9" s="37">
        <v>27.3</v>
      </c>
      <c r="AZ9" s="37">
        <v>6.8</v>
      </c>
      <c r="BA9" s="37">
        <v>0.9</v>
      </c>
      <c r="BB9" s="37">
        <v>0</v>
      </c>
      <c r="BC9" s="75"/>
      <c r="BD9" s="15">
        <f>IF(SUM(AN9,AR9)&gt;0,SUM(AN9,AR9),"")</f>
        <v>13.2</v>
      </c>
      <c r="BE9" s="15">
        <f>IF(SUM(AN9,AR9,AV9,AZ9)&gt;0,SUM(AN9,AR9,AV9,AZ9),"")</f>
        <v>26</v>
      </c>
      <c r="BF9" s="15">
        <f>IF(SUM(AM9:AN9,AP9:AR9,AT9)-SUM(AO9,AS9)&gt;0,SUM(AM9:AN9,AP9:AR9,AT9)-SUM(AO9,AS9),"")</f>
        <v>66.099999999999994</v>
      </c>
      <c r="BG9" s="15">
        <f>IF(SUM(AU9:AV9,AX9:AZ9,BB9)-SUM(AW9,BA9)&gt;0,SUM(AU9:AV9,AX9:AZ9,BB9)-SUM(AW9,BA9),"")</f>
        <v>65.400000000000006</v>
      </c>
      <c r="BH9" s="15">
        <f>IF(SUM(BF9,BG9)&gt;0,SUM(BF9,BG9),"")</f>
        <v>131.5</v>
      </c>
      <c r="BI9" s="24" t="str">
        <f>IF(MAX(CE9,CZ9,DU9,EP9,FK9,GF9,HA9,HV9,IQ9,JL9,KG9,LB9)-IF(J9="",0,J9)&gt;0.001,MAX(CE9,CZ9,DU9,EP9,FK9,GF9,HA9,HV9,IQ9,JL9,KG9,LB9)-IF(J9="",0,J9),"")</f>
        <v/>
      </c>
      <c r="BJ9" s="24" t="str">
        <f>IF(MAX(CC9,CD9,CX9,CY9,DS9,DT9,EN9,EO9,FI9,FJ9,GD9,GE9,GY9,GZ9,HT9,HU9,IO9,IP9,JJ9,JK9,KE9,KF9,KZ9,LA9)-IF(L9="",0,L9)&gt;0.001,MAX(CC9,CD9,CX9,CY9,DS9,DT9,EN9,EO9,FI9,FJ9,GD9,GE9,GY9,GZ9,HT9,HU9,IO9,IP9,JJ9,JK9,KE9,KF9,KZ9,LA9)-IF(L9="",0,L9),"")</f>
        <v/>
      </c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12" t="str">
        <f>IF(SUM(BL9,BP9)&gt;0,SUM(BL9,BP9),"")</f>
        <v/>
      </c>
      <c r="CB9" s="12" t="str">
        <f>IF(SUM(BL9,BP9,BT9,BX9)&gt;0,SUM(BL9,BP9,BT9,BX9),"")</f>
        <v/>
      </c>
      <c r="CC9" s="12" t="str">
        <f>IF(SUM(BK9:BL9,BN9:BP9,BR9)-SUM(BM9,BQ9)&gt;0,SUM(BK9:BL9,BN9:BP9,BR9)-SUM(BM9,BQ9),"")</f>
        <v/>
      </c>
      <c r="CD9" s="12" t="str">
        <f>IF(SUM(BS9:BT9,BV9:BX9,BZ9)-SUM(BU9,BY9)&gt;0,SUM(BS9:BT9,BV9:BX9,BZ9)-SUM(BU9,BY9),"")</f>
        <v/>
      </c>
      <c r="CE9" s="12" t="str">
        <f>IF(SUM(CC9,CD9)&gt;0,SUM(CC9,CD9),"")</f>
        <v/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>IF(SUM(CG9,CK9)&gt;0,SUM(CG9,CK9),"")</f>
        <v/>
      </c>
      <c r="CW9" s="15" t="str">
        <f>IF(SUM(CG9,CK9,CO9,CS9)&gt;0,SUM(CG9,CK9,CO9,CS9),"")</f>
        <v/>
      </c>
      <c r="CX9" s="15" t="str">
        <f>IF(SUM(CF9:CG9,CI9:CK9,CM9)-SUM(CH9,CL9)&gt;0,SUM(CF9:CG9,CI9:CK9,CM9)-SUM(CH9,CL9),"")</f>
        <v/>
      </c>
      <c r="CY9" s="15" t="str">
        <f>IF(SUM(CN9:CO9,CQ9:CS9,CU9)-SUM(CP9,CT9)&gt;0,SUM(CN9:CO9,CQ9:CS9,CU9)-SUM(CP9,CT9),"")</f>
        <v/>
      </c>
      <c r="CZ9" s="15" t="str">
        <f>IF(SUM(CX9,CY9)&gt;0,SUM(CX9,CY9),"")</f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>IF(SUM(DB9,DF9)&gt;0,SUM(DB9,DF9),"")</f>
        <v/>
      </c>
      <c r="DR9" s="12" t="str">
        <f>IF(SUM(DB9,DF9,DJ9,DN9)&gt;0,SUM(DB9,DF9,DJ9,DN9),"")</f>
        <v/>
      </c>
      <c r="DS9" s="12" t="str">
        <f>IF(SUM(DA9:DB9,DD9:DF9,DH9)-SUM(DC9,DG9)&gt;0,SUM(DA9:DB9,DD9:DF9,DH9)-SUM(DC9,DG9),"")</f>
        <v/>
      </c>
      <c r="DT9" s="12" t="str">
        <f>IF(SUM(DI9:DJ9,DL9:DN9,DP9)-SUM(DK9,DO9)&gt;0,SUM(DI9:DJ9,DL9:DN9,DP9)-SUM(DK9,DO9),"")</f>
        <v/>
      </c>
      <c r="DU9" s="12" t="str">
        <f>IF(SUM(DS9,DT9)&gt;0,SUM(DS9,DT9),"")</f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>IF(SUM(DW9,EA9)&gt;0,SUM(DW9,EA9),"")</f>
        <v/>
      </c>
      <c r="EM9" s="15" t="str">
        <f>IF(SUM(DW9,EA9,EE9,EI9)&gt;0,SUM(DW9,EA9,EE9,EI9),"")</f>
        <v/>
      </c>
      <c r="EN9" s="15" t="str">
        <f>IF(SUM(DV9:DW9,DY9:EA9,EC9)-SUM(DX9,EB9)&gt;0,SUM(DV9:DW9,DY9:EA9,EC9)-SUM(DX9,EB9),"")</f>
        <v/>
      </c>
      <c r="EO9" s="15" t="str">
        <f>IF(SUM(ED9:EE9,EG9:EI9,EK9)-SUM(EF9,EJ9)&gt;0,SUM(ED9:EE9,EG9:EI9,EK9)-SUM(EF9,EJ9),"")</f>
        <v/>
      </c>
      <c r="EP9" s="15" t="str">
        <f>IF(SUM(EN9,EO9)&gt;0,SUM(EN9,EO9),"")</f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>IF(SUM(ER9,EV9)&gt;0,SUM(ER9,EV9),"")</f>
        <v/>
      </c>
      <c r="FH9" s="12" t="str">
        <f>IF(SUM(ER9,EV9,EZ9,FD9)&gt;0,SUM(ER9,EV9,EZ9,FD9),"")</f>
        <v/>
      </c>
      <c r="FI9" s="12" t="str">
        <f>IF(SUM(EQ9:ER9,ET9:EV9,EX9)-SUM(ES9,EW9)&gt;0,SUM(EQ9:ER9,ET9:EV9,EX9)-SUM(ES9,EW9),"")</f>
        <v/>
      </c>
      <c r="FJ9" s="12" t="str">
        <f>IF(SUM(EY9:EZ9,FB9:FD9,FF9)-SUM(FA9,FE9)&gt;0,SUM(EY9:EZ9,FB9:FD9,FF9)-SUM(FA9,FE9),"")</f>
        <v/>
      </c>
      <c r="FK9" s="12" t="str">
        <f>IF(SUM(FI9,FJ9)&gt;0,SUM(FI9,FJ9),"")</f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>IF(SUM(FM9,FQ9)&gt;0,SUM(FM9,FQ9),"")</f>
        <v/>
      </c>
      <c r="GC9" s="15" t="str">
        <f>IF(SUM(FM9,FQ9,FU9,FY9)&gt;0,SUM(FM9,FQ9,FU9,FY9),"")</f>
        <v/>
      </c>
      <c r="GD9" s="15" t="str">
        <f>IF(SUM(FL9:FM9,FO9:FQ9,FS9)-SUM(FN9,FR9)&gt;0,SUM(FL9:FM9,FO9:FQ9,FS9)-SUM(FN9,FR9),"")</f>
        <v/>
      </c>
      <c r="GE9" s="15" t="str">
        <f>IF(SUM(FT9:FU9,FW9:FY9,GA9)-SUM(FV9,FZ9)&gt;0,SUM(FT9:FU9,FW9:FY9,GA9)-SUM(FV9,FZ9),"")</f>
        <v/>
      </c>
      <c r="GF9" s="15" t="str">
        <f>IF(SUM(GD9,GE9)&gt;0,SUM(GD9,GE9),"")</f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>IF(SUM(GH9,GL9)&gt;0,SUM(GH9,GL9),"")</f>
        <v/>
      </c>
      <c r="GX9" s="12" t="str">
        <f>IF(SUM(GH9,GL9,GP9,GT9)&gt;0,SUM(GH9,GL9,GP9,GT9),"")</f>
        <v/>
      </c>
      <c r="GY9" s="12" t="str">
        <f>IF(SUM(GG9:GH9,GJ9:GL9,GN9)-SUM(GI9,GM9)&gt;0,SUM(GG9:GH9,GJ9:GL9,GN9)-SUM(GI9,GM9),"")</f>
        <v/>
      </c>
      <c r="GZ9" s="12" t="str">
        <f>IF(SUM(GO9:GP9,GR9:GT9,GV9)-SUM(GQ9,GU9)&gt;0,SUM(GO9:GP9,GR9:GT9,GV9)-SUM(GQ9,GU9),"")</f>
        <v/>
      </c>
      <c r="HA9" s="12" t="str">
        <f>IF(SUM(GY9,GZ9)&gt;0,SUM(GY9,GZ9),"")</f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>IF(SUM(HC9,HG9)&gt;0,SUM(HC9,HG9),"")</f>
        <v/>
      </c>
      <c r="HS9" s="15" t="str">
        <f>IF(SUM(HC9,HG9,HK9,HO9)&gt;0,SUM(HC9,HG9,HK9,HO9),"")</f>
        <v/>
      </c>
      <c r="HT9" s="15" t="str">
        <f>IF(SUM(HB9:HC9,HE9:HG9,HI9)-SUM(HD9,HH9)&gt;0,SUM(HB9:HC9,HE9:HG9,HI9)-SUM(HD9,HH9),"")</f>
        <v/>
      </c>
      <c r="HU9" s="15" t="str">
        <f>IF(SUM(HJ9:HK9,HM9:HO9,HQ9)-SUM(HL9,HP9)&gt;0,SUM(HJ9:HK9,HM9:HO9,HQ9)-SUM(HL9,HP9),"")</f>
        <v/>
      </c>
      <c r="HV9" s="15" t="str">
        <f>IF(SUM(HT9,HU9)&gt;0,SUM(HT9,HU9),"")</f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>IF(SUM(HX9,IB9)&gt;0,SUM(HX9,IB9),"")</f>
        <v/>
      </c>
      <c r="IN9" s="12" t="str">
        <f>IF(SUM(HX9,IB9,IF9,IJ9)&gt;0,SUM(HX9,IB9,IF9,IJ9),"")</f>
        <v/>
      </c>
      <c r="IO9" s="12" t="str">
        <f>IF(SUM(HW9:HX9,HZ9:IB9,ID9)-SUM(HY9,IC9)&gt;0,SUM(HW9:HX9,HZ9:IB9,ID9)-SUM(HY9,IC9),"")</f>
        <v/>
      </c>
      <c r="IP9" s="12" t="str">
        <f>IF(SUM(IE9:IF9,IH9:IJ9,IL9)-SUM(IG9,IK9)&gt;0,SUM(IE9:IF9,IH9:IJ9,IL9)-SUM(IG9,IK9),"")</f>
        <v/>
      </c>
      <c r="IQ9" s="12" t="str">
        <f>IF(SUM(IO9,IP9)&gt;0,SUM(IO9,IP9),"")</f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>IF(SUM(IS9,IW9)&gt;0,SUM(IS9,IW9),"")</f>
        <v/>
      </c>
      <c r="JI9" s="15" t="str">
        <f>IF(SUM(IS9,IW9,JA9,JE9)&gt;0,SUM(IS9,IW9,JA9,JE9),"")</f>
        <v/>
      </c>
      <c r="JJ9" s="15" t="str">
        <f>IF(SUM(IR9:IS9,IU9:IW9,IY9)-SUM(IT9,IX9)&gt;0,SUM(IR9:IS9,IU9:IW9,IY9)-SUM(IT9,IX9),"")</f>
        <v/>
      </c>
      <c r="JK9" s="15" t="str">
        <f>IF(SUM(IZ9:JA9,JC9:JE9,JG9)-SUM(JB9,JF9)&gt;0,SUM(IZ9:JA9,JC9:JE9,JG9)-SUM(JB9,JF9),"")</f>
        <v/>
      </c>
      <c r="JL9" s="15" t="str">
        <f>IF(SUM(JJ9,JK9)&gt;0,SUM(JJ9,JK9),"")</f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>IF(SUM(JN9,JR9)&gt;0,SUM(JN9,JR9),"")</f>
        <v/>
      </c>
      <c r="KD9" s="12" t="str">
        <f>IF(SUM(JN9,JR9,JV9,JZ9)&gt;0,SUM(JN9,JR9,JV9,JZ9),"")</f>
        <v/>
      </c>
      <c r="KE9" s="12" t="str">
        <f>IF(SUM(JM9:JN9,JP9:JR9,JT9)-SUM(JO9,JS9)&gt;0,SUM(JM9:JN9,JP9:JR9,JT9)-SUM(JO9,JS9),"")</f>
        <v/>
      </c>
      <c r="KF9" s="12" t="str">
        <f>IF(SUM(JU9:JV9,JX9:JZ9,KB9)-SUM(JW9,KA9)&gt;0,SUM(JU9:JV9,JX9:JZ9,KB9)-SUM(JW9,KA9),"")</f>
        <v/>
      </c>
      <c r="KG9" s="12" t="str">
        <f>IF(SUM(KE9,KF9)&gt;0,SUM(KE9,KF9),"")</f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>IF(SUM(KI9,KM9)&gt;0,SUM(KI9,KM9),"")</f>
        <v/>
      </c>
      <c r="KY9" s="15" t="str">
        <f>IF(SUM(KI9,KM9,KQ9,KU9)&gt;0,SUM(KI9,KM9,KQ9,KU9),"")</f>
        <v/>
      </c>
      <c r="KZ9" s="15" t="str">
        <f>IF(SUM(KH9:KI9,KK9:KM9,KO9)-SUM(KJ9,KN9)&gt;0,SUM(KH9:KI9,KK9:KM9,KO9)-SUM(KJ9,KN9),"")</f>
        <v/>
      </c>
      <c r="LA9" s="15" t="str">
        <f>IF(SUM(KP9:KQ9,KS9:KU9,KW9)-SUM(KR9,KV9)&gt;0,SUM(KP9:KQ9,KS9:KU9,KW9)-SUM(KR9,KV9),"")</f>
        <v/>
      </c>
      <c r="LB9" s="15" t="str">
        <f>IF(SUM(KZ9,LA9)&gt;0,SUM(KZ9,LA9),"")</f>
        <v/>
      </c>
      <c r="LC9" s="63">
        <f t="shared" si="6"/>
        <v>27.65</v>
      </c>
      <c r="LD9" s="63">
        <f t="shared" si="0"/>
        <v>6.4</v>
      </c>
      <c r="LE9" s="63">
        <f t="shared" si="0"/>
        <v>1.05</v>
      </c>
      <c r="LF9" s="63">
        <f t="shared" si="0"/>
        <v>0</v>
      </c>
      <c r="LG9" s="63">
        <f t="shared" si="0"/>
        <v>23.75</v>
      </c>
      <c r="LH9" s="63">
        <f t="shared" si="0"/>
        <v>4.5999999999999996</v>
      </c>
      <c r="LI9" s="63">
        <f t="shared" si="0"/>
        <v>0.6</v>
      </c>
      <c r="LJ9" s="63">
        <f t="shared" si="0"/>
        <v>0</v>
      </c>
      <c r="LK9" s="63">
        <f t="shared" si="0"/>
        <v>27.35</v>
      </c>
      <c r="LL9" s="63">
        <f t="shared" si="0"/>
        <v>5.4</v>
      </c>
      <c r="LM9" s="63">
        <f t="shared" si="0"/>
        <v>0.75</v>
      </c>
      <c r="LN9" s="63">
        <f t="shared" si="0"/>
        <v>0</v>
      </c>
      <c r="LO9" s="63">
        <f t="shared" si="0"/>
        <v>13.65</v>
      </c>
      <c r="LP9" s="63">
        <f t="shared" si="0"/>
        <v>3.4</v>
      </c>
      <c r="LQ9" s="63">
        <f t="shared" si="0"/>
        <v>0.45</v>
      </c>
      <c r="LR9" s="63">
        <f t="shared" si="0"/>
        <v>0</v>
      </c>
      <c r="LS9" s="74" t="s">
        <v>119</v>
      </c>
      <c r="LT9" s="12">
        <f t="shared" si="7"/>
        <v>11</v>
      </c>
      <c r="LU9" s="12">
        <f t="shared" si="8"/>
        <v>19.799999999999997</v>
      </c>
      <c r="LV9" s="12">
        <f t="shared" si="9"/>
        <v>60.75</v>
      </c>
      <c r="LW9" s="12">
        <f t="shared" si="10"/>
        <v>48.599999999999994</v>
      </c>
      <c r="LX9" s="12">
        <f t="shared" si="11"/>
        <v>109.35</v>
      </c>
    </row>
    <row r="10" spans="1:336" x14ac:dyDescent="0.2">
      <c r="A10" s="6" t="str">
        <f>IF(AND(F10="P",H10="P"),SUMPRODUCT((F$4:F$14="P")*(H$4:H$14="P")*(E$4:E$14&gt;E10))+1,IF(H10="P",SUMPRODUCT((F$4:F$14="")*(H$4:H$14="P")*(E$4:E$14&gt;E10))+1+SUMPRODUCT((F$4:F$14="P")*(H$4:H$14="P")),""))</f>
        <v/>
      </c>
      <c r="B10" s="9" t="s">
        <v>86</v>
      </c>
      <c r="C10" s="5" t="s">
        <v>4</v>
      </c>
      <c r="D10" s="6">
        <v>2002</v>
      </c>
      <c r="E10" s="16">
        <f>SUM(J10:N10)</f>
        <v>132.80000000000001</v>
      </c>
      <c r="F10" s="4" t="str">
        <f>IF(OR(AND(AH10&gt;=AK$16,AJ10&gt;=AK$19,AJ10&lt;&gt;"",AG10=""),AND(BD10&gt;=BG$16,BF10&gt;=BG$19,BF10&lt;&gt;"",BC10=""),AND(CA10&gt;=CD$16,CC10&gt;=CD$19,CC10&lt;&gt;""),AND(CV10&gt;=CY$16,CX10&gt;=CY$19,CX10&lt;&gt;""),AND(DQ10&gt;=DT$16,DS10&gt;=DT$19,DS10&lt;&gt;""),AND(EL10&gt;=EO$16,EN10&gt;=EO$19,EN10&lt;&gt;""),AND(FG10&gt;=FJ$16,FI10&gt;=FJ$19,FI10&lt;&gt;""),AND(GB10&gt;=GE$16,GD10&gt;=GE$19,GD10&lt;&gt;""),AND(GW10&gt;=GZ$16,GY10&gt;=GZ$19,GY10&lt;&gt;""),AND(HR10&gt;=HU$16,HT10&gt;=HU$19,HT10&lt;&gt;""),AND(IM10&gt;=IP$16,IO10&gt;=IP$19,IO10&lt;&gt;""),AND(JH10&gt;=JK$16,JJ10&gt;=JK$19,JJ10&lt;&gt;""),AND(KC10&gt;=KF$16,KE10&gt;=KF$19,KE10&lt;&gt;""),AND(KX10&gt;=LA$16,KZ10&gt;=LA$19,KZ10&lt;&gt;"")),"P","")</f>
        <v/>
      </c>
      <c r="G10" s="4" t="str">
        <f>IF(OR(AND(AH10&gt;=AK$17,AJ10&gt;=AK$20,AJ10&lt;&gt;"",AG10=""),AND(BD10&gt;=BG$17,BF10&gt;=BG$20,BF10&lt;&gt;"",BC10=""),AND(CA10&gt;=CD$17,CC10&gt;=CD$20,CC10&lt;&gt;""),AND(CV10&gt;=CY$17,CX10&gt;=CY$20,CX10&lt;&gt;""),AND(DQ10&gt;=DT$17,DS10&gt;=DT$20,DS10&lt;&gt;""),AND(EL10&gt;=EO$17,EN10&gt;=EO$20,EN10&lt;&gt;""),AND(FG10&gt;=FJ$17,FI10&gt;=FJ$20,FI10&lt;&gt;""),AND(GB10&gt;=GE$17,GD10&gt;=GE$20,GD10&lt;&gt;""),AND(GW10&gt;=GZ$17,GY10&gt;=GZ$20,GY10&lt;&gt;""),AND(HR10&gt;=HU$17,HT10&gt;=HU$20,HT10&lt;&gt;""),AND(IM10&gt;=IP$17,IO10&gt;=IP$20,IO10&lt;&gt;""),AND(JH10&gt;=JK$17,JJ10&gt;=JK$20,JJ10&lt;&gt;""),AND(KC10&gt;=KF$17,KE10&gt;=KF$20,KE10&lt;&gt;""),AND(KX10&gt;=LA$17,KZ10&gt;=LA$20,KZ10&lt;&gt;"")),"P","")</f>
        <v/>
      </c>
      <c r="H10" s="4" t="str">
        <f>IF(OR(AND(AJ10&gt;=AK$19,AJ10&lt;&gt;"",AG10=""),AND(BF10&gt;=BG$19,BF10&lt;&gt;"",BC10=""),AND(CC10&gt;=CD$19,CC10&lt;&gt;""),AND(CX10&gt;=CY$19,CX10&lt;&gt;""),AND(DS10&gt;=DT$19,DS10&lt;&gt;""),AND(EN10&gt;=EO$19,EN10&lt;&gt;""),AND(FI10&gt;=FJ$19,FI10&lt;&gt;""),AND(GD10&gt;=GE$19,GD10&lt;&gt;""),AND(GY10&gt;=GZ$19,GY10&lt;&gt;""),AND(HT10&gt;=HU$19,HT10&lt;&gt;""),AND(IO10&gt;=IP$19,IO10&lt;&gt;""),AND(JJ10&gt;=JK$19,JJ10&lt;&gt;""),AND(KE10&gt;=KF$19,KE10&lt;&gt;""),AND(KZ10&gt;=LA$19,KZ10&lt;&gt;"")),"P","")</f>
        <v/>
      </c>
      <c r="I10" t="str">
        <f>IF(AND(H10="P",F10=""),"No DD",IF(OR(AND(AI10&gt;=AK$18,AI10&lt;&gt;"",AL10&gt;=AK$22,AL10&lt;&gt;"",AG10=""),AND(BE10&gt;=BG$18,BE10&lt;&gt;"",BH10&gt;=BG$22,BH10&lt;&gt;"",BC10=""),AND(CB10&gt;=CD$18,CB10&lt;&gt;"",CE10&gt;=CD$22,CE10&lt;&gt;""),AND(CW10&gt;=CY$18,CW10&lt;&gt;"",CZ10&gt;=CY$22,CZ10&lt;&gt;""),AND(DR10&gt;=DT$18,DR10&lt;&gt;"",DU10&gt;=DT$22,DU10&lt;&gt;""),AND(EM10&gt;=EO$18,EM10&lt;&gt;"",EP10&gt;=EO$22,EP10&lt;&gt;""),AND(FH10&gt;=FJ$18,FH10&lt;&gt;"",FK10&gt;=FJ$22,FK10&lt;&gt;""),AND(GC10&gt;=GE$18,GC10&lt;&gt;"",GF10&gt;=GE$22,GF10&lt;&gt;""),AND(GX10&gt;=GZ$18,GX10&lt;&gt;"",HA10&gt;=GZ$22,HA10&lt;&gt;""),AND(HS10&gt;=HU$18,HS10&lt;&gt;"",HV10&gt;=HU$22,HV10&lt;&gt;""),AND(IN10&gt;=IP$18,IN10&lt;&gt;"",IQ10&gt;=IP$22,IQ10&lt;&gt;""),AND(JI10&gt;=JK$18,JI10&lt;&gt;"",JL10&gt;=JK$22,JL10&lt;&gt;""),AND(KD10&gt;=KF$18,KD10&lt;&gt;"",KG10&gt;=KF$22,KG10&lt;&gt;""),AND(KY10&gt;=LA$18,KY10&lt;&gt;"",LB10&gt;=LA$22,LB10&lt;&gt;"")),"Merit",IF(OR(AND(AI10&gt;=AK$18,AI10&lt;&gt;"",AL10&gt;=AK$21,AL10&lt;&gt;"",AG10=""),AND(BE10&gt;=BG$18,BE10&lt;&gt;"",BH10&gt;=BG$21,BH10&lt;&gt;"",BC10=""),AND(CB10&gt;=CD$18,CB10&lt;&gt;"",CE10&gt;=CD$21,CE10&lt;&gt;""),AND(CW10&gt;=CY$18,CW10&lt;&gt;"",CZ10&gt;=CY$21,CZ10&lt;&gt;""),AND(DR10&gt;=DT$18,DR10&lt;&gt;"",DU10&gt;=DT$21,DU10&lt;&gt;""),AND(EM10&gt;=EO$18,EM10&lt;&gt;"",EP10&gt;=EO$21,EP10&lt;&gt;""),AND(FH10&gt;=FJ$18,FH10&lt;&gt;"",FK10&gt;=FJ$21,FK10&lt;&gt;""),AND(GC10&gt;=GE$18,GC10&lt;&gt;"",GF10&gt;=GE$21,GF10&lt;&gt;""),AND(GX10&gt;=GZ$18,GX10&lt;&gt;"",HA10&gt;=GZ$21,HA10&lt;&gt;""),AND(HS10&gt;=HU$18,HS10&lt;&gt;"",HV10&gt;=HU$21,HV10&lt;&gt;""),AND(IN10&gt;=IP$18,IN10&lt;&gt;"",IQ10&gt;=IP$21,IQ10&lt;&gt;""),AND(JI10&gt;=JK$18,JI10&lt;&gt;"",JL10&gt;=JK$21,JL10&lt;&gt;""),AND(KD10&gt;=KF$18,KD10&lt;&gt;"",KG10&gt;=KF$21,KG10&lt;&gt;""),AND(KY10&gt;=LA$18,KY10&lt;&gt;"",LB10&gt;=LA$21,LB10&lt;&gt;"")),"Excellence",IF(OR(AND(AH10&gt;=AK$17,AH10&lt;&gt;"",AJ10&gt;=AK$20,AJ10&lt;&gt;"",AG10=""),AND(BD10&gt;=BG$17,BD10&lt;&gt;"",BF10&gt;=BG$20,BF10&lt;&gt;"",BC10=""),AND(CA10&gt;=CD$17,CA10&lt;&gt;"",CC10&gt;=CD$20,CC10&lt;&gt;""),AND(CV10&gt;=CY$17,CV10&lt;&gt;"",CX10&gt;=CY$20,CX10&lt;&gt;""),AND(DQ10&gt;=DT$17,DQ10&lt;&gt;"",DS10&gt;=DT$20,DS10&lt;&gt;""),AND(EL10&gt;=EO$17,EL10&lt;&gt;"",EN10&gt;=EO$20,EN10&lt;&gt;""),AND(FG10&gt;=FJ$17,FG10&lt;&gt;"",FI10&gt;=FJ$20,FI10&lt;&gt;""),AND(GB10&gt;=GE$17,GB10&lt;&gt;"",GD10&gt;=GE$20,GD10&lt;&gt;""),AND(GW10&gt;=GZ$17,GW10&lt;&gt;"",GY10&gt;=GZ$20,GY10&lt;&gt;""),AND(HR10&gt;=HU$17,HR10&lt;&gt;"",HT10&gt;=HU$20,HT10&lt;&gt;""),AND(IM10&gt;=IP$17,IM10&lt;&gt;"",IO10&gt;=IP$20,IO10&lt;&gt;""),AND(JH10&gt;=JK$17,JH10&lt;&gt;"",JJ10&gt;=JK$20,JJ10&lt;&gt;""),AND(KC10&gt;=KF$17,KC10&lt;&gt;"",KE10&gt;=KF$20,KE10&lt;&gt;""),AND(KX10&gt;=LA$17,KX10&lt;&gt;"",KZ10&gt;=LA$20,KZ10&lt;&gt;"")),"Worlds Team",IF(OR(AND(AH10&gt;=AK$16,AH10&lt;&gt;"",AJ10&gt;=AK$19,AJ10&lt;&gt;"",AG10=""),AND(BD10&gt;=BG$16,BD10&lt;&gt;"",BF10&gt;=BG$19,BF10&lt;&gt;"",BC10=""),AND(CA10&gt;=CD$16,CA10&lt;&gt;"",CC10&gt;=CD$19,CC10&lt;&gt;""),AND(CV10&gt;=CY$16,CV10&lt;&gt;"",CX10&gt;=CY$19,CX10&lt;&gt;""),AND(DQ10&gt;=DT$16,DQ10&lt;&gt;"",DS10&gt;=DT$19,DS10&lt;&gt;""),AND(EL10&gt;=EO$16,EL10&lt;&gt;"",EN10&gt;=EO$19,EN10&lt;&gt;""),AND(FG10&gt;=FJ$16,FG10&lt;&gt;"",FI10&gt;=FJ$19,FI10&lt;&gt;""),AND(GB10&gt;=GE$16,GB10&lt;&gt;"",GD10&gt;=GE$19,GD10&lt;&gt;""),AND(GW10&gt;=GZ$16,GW10&lt;&gt;"",GY10&gt;=GZ$19,GY10&lt;&gt;""),AND(HR10&gt;=HU$16,HR10&lt;&gt;"",HT10&gt;=HU$19,HT10&lt;&gt;""),AND(IM10&gt;=IP$16,IM10&lt;&gt;"",IO10&gt;=IP$19,IO10&lt;&gt;""),AND(JH10&gt;=JK$16,JH10&lt;&gt;"",JJ10&gt;=JK$19,JJ10&lt;&gt;""),AND(KC10&gt;=KF$16,KC10&lt;&gt;"",KE10&gt;=KF$19,KE10&lt;&gt;""),AND(KX10&gt;=LA$16,KX10&lt;&gt;"",KZ10&gt;=LA$19,KZ10&lt;&gt;"")),"National Team","")))))</f>
        <v/>
      </c>
      <c r="J10" s="15">
        <f>IF(MAX(AL10,BH10)&gt;0,MAX(AL10,BH10),"")</f>
        <v>99.8</v>
      </c>
      <c r="K10" s="15" t="str">
        <f>IF(J10="","",IF(J10=BH10,$AM$1,IF(J10=AL10,$Q$1,"")))</f>
        <v>2018 Nationals</v>
      </c>
      <c r="L10" s="15">
        <f>IF(J10=AL10,IF(MAX(BF10,BG10)&gt;0,MAX(BF10,BG10),""),IF(J10=BH10,IF(MAX(AJ10,AK10)&gt;0,MAX(AJ10,AK10),""),MAX(AJ10,AK10,BF10,BG10)))</f>
        <v>33</v>
      </c>
      <c r="M10" s="15" t="str">
        <f>IF(L10="","",IF(AND(J10&lt;&gt;BH10,OR(L10=BG10,L10=BF10)),$AM$1,IF(OR(L10=AK10,L10=AJ10),$Q$1,"")))</f>
        <v>2019 Elite Canada</v>
      </c>
      <c r="N10" s="15" t="str">
        <f>IF(MAX(BI10:BJ10)&gt;0,MAX(BI10:BJ10),"")</f>
        <v/>
      </c>
      <c r="O10" s="25" t="str">
        <f>IF(N10="","",IF(N10=BI10,"(4 Pass)",IF(N10=BJ10,"(2 Pass)")))</f>
        <v/>
      </c>
      <c r="P10" s="15" t="str">
        <f>IF(N10="","",IF(N10=BI10,IF(N10+IF(J10="",0,J10)=CE10,$BK$1,IF(N10+IF(J10="",0,J10)=CZ10,$CF$1,IF(N10+IF(J10="",0,J10)=DU10,$DA$1,IF(N10+IF(J10="",0,J10)=EP10,$DV$1,IF(N10+IF(J10="",0,J10)=FK10,$EQ$1,IF(N10+IF(J10="",0,J10)=GF10,$FL$1,IF(N10+IF(J10="",0,J10)=HA10,$GG$1,IF(N10+IF(J10="",0,J10)=HV10,$HB$1,IF(N10+IF(J10="",0,J10)=IQ10,$HW$1,IF(N10+IF(J10="",0,J10)=JL10,$IR$1,IF(N10+IF(J10="",0,J10)=KG10,$JM$1,IF(N10+IF(J10="",0,J10)=LB10,$KH$1)))))))))))),IF(N10=BJ10,IF(OR(N10+IF(L10="",0,L10)=CC10,N10+IF(L10="",0,L10)=CD10),$BK$1,IF(OR(N10+IF(L10="",0,L10)=CX10,N10+IF(L10="",0,L10)=CY10),$CF$1,IF(OR(N10+IF(L10="",0,L10)=DS10,N10+IF(L10="",0,L10)=DT10),$DA$1,IF(OR(N10+IF(L10="",0,L10)=EN10,N10+IF(L10="",0,L10)=EO10),$DV$1,IF(OR(N10+IF(L10="",0,L10)=FI10,N10+IF(L10="",0,L10)=FJ10),$EQ$1,IF(OR(N10+IF(L10="",0,L10)=GD10,N10+IF(L10="",0,L10)=GE10),$FL$1,IF(OR(N10+IF(L10="",0,L10)=GY10,N10+IF(L10="",0,L10)=GZ10),$GG$1,IF(OR(N10+IF(L10="",0,L10)=HT10,N10+IF(L10="",0,L10)=HU10),$HB$1,IF(OR(N10+IF(L10="",0,L10)=IO10,N10+IF(L10="",0,L10)=IP10),$HW$1,IF(OR(N10+IF(L10="",0,L10)=JJ10,N10+IF(L10="",0,L10)=JK10),$IR$1,IF(OR(N10+IF(L10="",0,L10)=KE10,N10+IF(L10="",0,L10)=KF10),$JM$1,IF(OR(N10+IF(L10="",0,L10)=KZ10,N10+IF(L10="",0,L10)=LA10),$KH$1)))))))))))))))</f>
        <v/>
      </c>
      <c r="Q10" s="63">
        <v>28.2</v>
      </c>
      <c r="R10" s="63">
        <v>6.8</v>
      </c>
      <c r="S10" s="63">
        <v>1.2</v>
      </c>
      <c r="T10" s="63">
        <v>0</v>
      </c>
      <c r="U10" s="63">
        <v>0</v>
      </c>
      <c r="V10" s="63">
        <v>0</v>
      </c>
      <c r="W10" s="63">
        <v>0</v>
      </c>
      <c r="X10" s="63">
        <v>0</v>
      </c>
      <c r="Y10" s="63">
        <v>27.7</v>
      </c>
      <c r="Z10" s="63">
        <v>6.8</v>
      </c>
      <c r="AA10" s="63">
        <v>1.2</v>
      </c>
      <c r="AB10" s="63">
        <v>0</v>
      </c>
      <c r="AC10" s="63">
        <v>27.5</v>
      </c>
      <c r="AD10" s="63">
        <v>6.4</v>
      </c>
      <c r="AE10" s="63">
        <v>1.2</v>
      </c>
      <c r="AF10" s="63">
        <v>0</v>
      </c>
      <c r="AG10" s="74"/>
      <c r="AH10" s="12">
        <f>IF(SUM(R10,V10)&gt;0,SUM(R10,V10),"")</f>
        <v>6.8</v>
      </c>
      <c r="AI10" s="12">
        <f>IF(SUM(R10,V10,Z10,AD10)&gt;0,SUM(R10,V10,Z10,AD10),"")</f>
        <v>20</v>
      </c>
      <c r="AJ10" s="12">
        <f>IF(SUM(Q10:R10,T10:V10,X10)-SUM(S10,W10)&gt;0,SUM(Q10:R10,T10:V10,X10)-SUM(S10,W10),"")</f>
        <v>33.799999999999997</v>
      </c>
      <c r="AK10" s="12">
        <f>IF(SUM(Y10:Z10,AB10:AD10,AF10)-SUM(AA10,AE10)&gt;0,SUM(Y10:Z10,AB10:AD10,AF10)-SUM(AA10,AE10),"")</f>
        <v>66</v>
      </c>
      <c r="AL10" s="12">
        <f>IF(SUM(AJ10,AK10)&gt;0,SUM(AJ10,AK10),"")</f>
        <v>99.8</v>
      </c>
      <c r="AM10" s="37">
        <v>0</v>
      </c>
      <c r="AN10" s="37">
        <v>0</v>
      </c>
      <c r="AO10" s="37">
        <v>0</v>
      </c>
      <c r="AP10" s="37">
        <v>0</v>
      </c>
      <c r="AQ10" s="37">
        <v>27.7</v>
      </c>
      <c r="AR10" s="37">
        <v>6.8</v>
      </c>
      <c r="AS10" s="37">
        <v>1.5</v>
      </c>
      <c r="AT10" s="37">
        <v>0</v>
      </c>
      <c r="AU10" s="37"/>
      <c r="AV10" s="37"/>
      <c r="AW10" s="37"/>
      <c r="AX10" s="37"/>
      <c r="AY10" s="37"/>
      <c r="AZ10" s="37"/>
      <c r="BA10" s="37"/>
      <c r="BB10" s="37"/>
      <c r="BC10" s="75"/>
      <c r="BD10" s="15">
        <f>IF(SUM(AN10,AR10)&gt;0,SUM(AN10,AR10),"")</f>
        <v>6.8</v>
      </c>
      <c r="BE10" s="15">
        <f>IF(SUM(AN10,AR10,AV10,AZ10)&gt;0,SUM(AN10,AR10,AV10,AZ10),"")</f>
        <v>6.8</v>
      </c>
      <c r="BF10" s="15">
        <f>IF(SUM(AM10:AN10,AP10:AR10,AT10)-SUM(AO10,AS10)&gt;0,SUM(AM10:AN10,AP10:AR10,AT10)-SUM(AO10,AS10),"")</f>
        <v>33</v>
      </c>
      <c r="BG10" s="15" t="str">
        <f>IF(SUM(AU10:AV10,AX10:AZ10,BB10)-SUM(AW10,BA10)&gt;0,SUM(AU10:AV10,AX10:AZ10,BB10)-SUM(AW10,BA10),"")</f>
        <v/>
      </c>
      <c r="BH10" s="15">
        <f>IF(SUM(BF10,BG10)&gt;0,SUM(BF10,BG10),"")</f>
        <v>33</v>
      </c>
      <c r="BI10" s="24" t="str">
        <f>IF(MAX(CE10,CZ10,DU10,EP10,FK10,GF10,HA10,HV10,IQ10,JL10,KG10,LB10)-IF(J10="",0,J10)&gt;0.001,MAX(CE10,CZ10,DU10,EP10,FK10,GF10,HA10,HV10,IQ10,JL10,KG10,LB10)-IF(J10="",0,J10),"")</f>
        <v/>
      </c>
      <c r="BJ10" s="24" t="str">
        <f>IF(MAX(CC10,CD10,CX10,CY10,DS10,DT10,EN10,EO10,FI10,FJ10,GD10,GE10,GY10,GZ10,HT10,HU10,IO10,IP10,JJ10,JK10,KE10,KF10,KZ10,LA10)-IF(L10="",0,L10)&gt;0.001,MAX(CC10,CD10,CX10,CY10,DS10,DT10,EN10,EO10,FI10,FJ10,GD10,GE10,GY10,GZ10,HT10,HU10,IO10,IP10,JJ10,JK10,KE10,KF10,KZ10,LA10)-IF(L10="",0,L10),"")</f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>IF(SUM(BL10,BP10)&gt;0,SUM(BL10,BP10),"")</f>
        <v/>
      </c>
      <c r="CB10" s="12" t="str">
        <f>IF(SUM(BL10,BP10,BT10,BX10)&gt;0,SUM(BL10,BP10,BT10,BX10),"")</f>
        <v/>
      </c>
      <c r="CC10" s="12" t="str">
        <f>IF(SUM(BK10:BL10,BN10:BP10,BR10)-SUM(BM10,BQ10)&gt;0,SUM(BK10:BL10,BN10:BP10,BR10)-SUM(BM10,BQ10),"")</f>
        <v/>
      </c>
      <c r="CD10" s="12" t="str">
        <f>IF(SUM(BS10:BT10,BV10:BX10,BZ10)-SUM(BU10,BY10)&gt;0,SUM(BS10:BT10,BV10:BX10,BZ10)-SUM(BU10,BY10),"")</f>
        <v/>
      </c>
      <c r="CE10" s="12" t="str">
        <f>IF(SUM(CC10,CD10)&gt;0,SUM(CC10,CD10),"")</f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>IF(SUM(CG10,CK10)&gt;0,SUM(CG10,CK10),"")</f>
        <v/>
      </c>
      <c r="CW10" s="15" t="str">
        <f>IF(SUM(CG10,CK10,CO10,CS10)&gt;0,SUM(CG10,CK10,CO10,CS10),"")</f>
        <v/>
      </c>
      <c r="CX10" s="15" t="str">
        <f>IF(SUM(CF10:CG10,CI10:CK10,CM10)-SUM(CH10,CL10)&gt;0,SUM(CF10:CG10,CI10:CK10,CM10)-SUM(CH10,CL10),"")</f>
        <v/>
      </c>
      <c r="CY10" s="15" t="str">
        <f>IF(SUM(CN10:CO10,CQ10:CS10,CU10)-SUM(CP10,CT10)&gt;0,SUM(CN10:CO10,CQ10:CS10,CU10)-SUM(CP10,CT10),"")</f>
        <v/>
      </c>
      <c r="CZ10" s="15" t="str">
        <f>IF(SUM(CX10,CY10)&gt;0,SUM(CX10,CY10),"")</f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>IF(SUM(DB10,DF10)&gt;0,SUM(DB10,DF10),"")</f>
        <v/>
      </c>
      <c r="DR10" s="12" t="str">
        <f>IF(SUM(DB10,DF10,DJ10,DN10)&gt;0,SUM(DB10,DF10,DJ10,DN10),"")</f>
        <v/>
      </c>
      <c r="DS10" s="12" t="str">
        <f>IF(SUM(DA10:DB10,DD10:DF10,DH10)-SUM(DC10,DG10)&gt;0,SUM(DA10:DB10,DD10:DF10,DH10)-SUM(DC10,DG10),"")</f>
        <v/>
      </c>
      <c r="DT10" s="12" t="str">
        <f>IF(SUM(DI10:DJ10,DL10:DN10,DP10)-SUM(DK10,DO10)&gt;0,SUM(DI10:DJ10,DL10:DN10,DP10)-SUM(DK10,DO10),"")</f>
        <v/>
      </c>
      <c r="DU10" s="12" t="str">
        <f>IF(SUM(DS10,DT10)&gt;0,SUM(DS10,DT10),"")</f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>IF(SUM(DW10,EA10)&gt;0,SUM(DW10,EA10),"")</f>
        <v/>
      </c>
      <c r="EM10" s="15" t="str">
        <f>IF(SUM(DW10,EA10,EE10,EI10)&gt;0,SUM(DW10,EA10,EE10,EI10),"")</f>
        <v/>
      </c>
      <c r="EN10" s="15" t="str">
        <f>IF(SUM(DV10:DW10,DY10:EA10,EC10)-SUM(DX10,EB10)&gt;0,SUM(DV10:DW10,DY10:EA10,EC10)-SUM(DX10,EB10),"")</f>
        <v/>
      </c>
      <c r="EO10" s="15" t="str">
        <f>IF(SUM(ED10:EE10,EG10:EI10,EK10)-SUM(EF10,EJ10)&gt;0,SUM(ED10:EE10,EG10:EI10,EK10)-SUM(EF10,EJ10),"")</f>
        <v/>
      </c>
      <c r="EP10" s="15" t="str">
        <f>IF(SUM(EN10,EO10)&gt;0,SUM(EN10,EO10),"")</f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>IF(SUM(ER10,EV10)&gt;0,SUM(ER10,EV10),"")</f>
        <v/>
      </c>
      <c r="FH10" s="12" t="str">
        <f>IF(SUM(ER10,EV10,EZ10,FD10)&gt;0,SUM(ER10,EV10,EZ10,FD10),"")</f>
        <v/>
      </c>
      <c r="FI10" s="12" t="str">
        <f>IF(SUM(EQ10:ER10,ET10:EV10,EX10)-SUM(ES10,EW10)&gt;0,SUM(EQ10:ER10,ET10:EV10,EX10)-SUM(ES10,EW10),"")</f>
        <v/>
      </c>
      <c r="FJ10" s="12" t="str">
        <f>IF(SUM(EY10:EZ10,FB10:FD10,FF10)-SUM(FA10,FE10)&gt;0,SUM(EY10:EZ10,FB10:FD10,FF10)-SUM(FA10,FE10),"")</f>
        <v/>
      </c>
      <c r="FK10" s="12" t="str">
        <f>IF(SUM(FI10,FJ10)&gt;0,SUM(FI10,FJ10),"")</f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>IF(SUM(FM10,FQ10)&gt;0,SUM(FM10,FQ10),"")</f>
        <v/>
      </c>
      <c r="GC10" s="15" t="str">
        <f>IF(SUM(FM10,FQ10,FU10,FY10)&gt;0,SUM(FM10,FQ10,FU10,FY10),"")</f>
        <v/>
      </c>
      <c r="GD10" s="15" t="str">
        <f>IF(SUM(FL10:FM10,FO10:FQ10,FS10)-SUM(FN10,FR10)&gt;0,SUM(FL10:FM10,FO10:FQ10,FS10)-SUM(FN10,FR10),"")</f>
        <v/>
      </c>
      <c r="GE10" s="15" t="str">
        <f>IF(SUM(FT10:FU10,FW10:FY10,GA10)-SUM(FV10,FZ10)&gt;0,SUM(FT10:FU10,FW10:FY10,GA10)-SUM(FV10,FZ10),"")</f>
        <v/>
      </c>
      <c r="GF10" s="15" t="str">
        <f>IF(SUM(GD10,GE10)&gt;0,SUM(GD10,GE10),"")</f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>IF(SUM(GH10,GL10)&gt;0,SUM(GH10,GL10),"")</f>
        <v/>
      </c>
      <c r="GX10" s="12" t="str">
        <f>IF(SUM(GH10,GL10,GP10,GT10)&gt;0,SUM(GH10,GL10,GP10,GT10),"")</f>
        <v/>
      </c>
      <c r="GY10" s="12" t="str">
        <f>IF(SUM(GG10:GH10,GJ10:GL10,GN10)-SUM(GI10,GM10)&gt;0,SUM(GG10:GH10,GJ10:GL10,GN10)-SUM(GI10,GM10),"")</f>
        <v/>
      </c>
      <c r="GZ10" s="12" t="str">
        <f>IF(SUM(GO10:GP10,GR10:GT10,GV10)-SUM(GQ10,GU10)&gt;0,SUM(GO10:GP10,GR10:GT10,GV10)-SUM(GQ10,GU10),"")</f>
        <v/>
      </c>
      <c r="HA10" s="12" t="str">
        <f>IF(SUM(GY10,GZ10)&gt;0,SUM(GY10,GZ10),"")</f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>IF(SUM(HC10,HG10)&gt;0,SUM(HC10,HG10),"")</f>
        <v/>
      </c>
      <c r="HS10" s="15" t="str">
        <f>IF(SUM(HC10,HG10,HK10,HO10)&gt;0,SUM(HC10,HG10,HK10,HO10),"")</f>
        <v/>
      </c>
      <c r="HT10" s="15" t="str">
        <f>IF(SUM(HB10:HC10,HE10:HG10,HI10)-SUM(HD10,HH10)&gt;0,SUM(HB10:HC10,HE10:HG10,HI10)-SUM(HD10,HH10),"")</f>
        <v/>
      </c>
      <c r="HU10" s="15" t="str">
        <f>IF(SUM(HJ10:HK10,HM10:HO10,HQ10)-SUM(HL10,HP10)&gt;0,SUM(HJ10:HK10,HM10:HO10,HQ10)-SUM(HL10,HP10),"")</f>
        <v/>
      </c>
      <c r="HV10" s="15" t="str">
        <f>IF(SUM(HT10,HU10)&gt;0,SUM(HT10,HU10),"")</f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>IF(SUM(HX10,IB10)&gt;0,SUM(HX10,IB10),"")</f>
        <v/>
      </c>
      <c r="IN10" s="12" t="str">
        <f>IF(SUM(HX10,IB10,IF10,IJ10)&gt;0,SUM(HX10,IB10,IF10,IJ10),"")</f>
        <v/>
      </c>
      <c r="IO10" s="12" t="str">
        <f>IF(SUM(HW10:HX10,HZ10:IB10,ID10)-SUM(HY10,IC10)&gt;0,SUM(HW10:HX10,HZ10:IB10,ID10)-SUM(HY10,IC10),"")</f>
        <v/>
      </c>
      <c r="IP10" s="12" t="str">
        <f>IF(SUM(IE10:IF10,IH10:IJ10,IL10)-SUM(IG10,IK10)&gt;0,SUM(IE10:IF10,IH10:IJ10,IL10)-SUM(IG10,IK10),"")</f>
        <v/>
      </c>
      <c r="IQ10" s="12" t="str">
        <f>IF(SUM(IO10,IP10)&gt;0,SUM(IO10,IP10),"")</f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>IF(SUM(IS10,IW10)&gt;0,SUM(IS10,IW10),"")</f>
        <v/>
      </c>
      <c r="JI10" s="15" t="str">
        <f>IF(SUM(IS10,IW10,JA10,JE10)&gt;0,SUM(IS10,IW10,JA10,JE10),"")</f>
        <v/>
      </c>
      <c r="JJ10" s="15" t="str">
        <f>IF(SUM(IR10:IS10,IU10:IW10,IY10)-SUM(IT10,IX10)&gt;0,SUM(IR10:IS10,IU10:IW10,IY10)-SUM(IT10,IX10),"")</f>
        <v/>
      </c>
      <c r="JK10" s="15" t="str">
        <f>IF(SUM(IZ10:JA10,JC10:JE10,JG10)-SUM(JB10,JF10)&gt;0,SUM(IZ10:JA10,JC10:JE10,JG10)-SUM(JB10,JF10),"")</f>
        <v/>
      </c>
      <c r="JL10" s="15" t="str">
        <f>IF(SUM(JJ10,JK10)&gt;0,SUM(JJ10,JK10),"")</f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>IF(SUM(JN10,JR10)&gt;0,SUM(JN10,JR10),"")</f>
        <v/>
      </c>
      <c r="KD10" s="12" t="str">
        <f>IF(SUM(JN10,JR10,JV10,JZ10)&gt;0,SUM(JN10,JR10,JV10,JZ10),"")</f>
        <v/>
      </c>
      <c r="KE10" s="12" t="str">
        <f>IF(SUM(JM10:JN10,JP10:JR10,JT10)-SUM(JO10,JS10)&gt;0,SUM(JM10:JN10,JP10:JR10,JT10)-SUM(JO10,JS10),"")</f>
        <v/>
      </c>
      <c r="KF10" s="12" t="str">
        <f>IF(SUM(JU10:JV10,JX10:JZ10,KB10)-SUM(JW10,KA10)&gt;0,SUM(JU10:JV10,JX10:JZ10,KB10)-SUM(JW10,KA10),"")</f>
        <v/>
      </c>
      <c r="KG10" s="12" t="str">
        <f>IF(SUM(KE10,KF10)&gt;0,SUM(KE10,KF10),"")</f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>IF(SUM(KI10,KM10)&gt;0,SUM(KI10,KM10),"")</f>
        <v/>
      </c>
      <c r="KY10" s="15" t="str">
        <f>IF(SUM(KI10,KM10,KQ10,KU10)&gt;0,SUM(KI10,KM10,KQ10,KU10),"")</f>
        <v/>
      </c>
      <c r="KZ10" s="15" t="str">
        <f>IF(SUM(KH10:KI10,KK10:KM10,KO10)-SUM(KJ10,KN10)&gt;0,SUM(KH10:KI10,KK10:KM10,KO10)-SUM(KJ10,KN10),"")</f>
        <v/>
      </c>
      <c r="LA10" s="15" t="str">
        <f>IF(SUM(KP10:KQ10,KS10:KU10,KW10)-SUM(KR10,KV10)&gt;0,SUM(KP10:KQ10,KS10:KU10,KW10)-SUM(KR10,KV10),"")</f>
        <v/>
      </c>
      <c r="LB10" s="15" t="str">
        <f>IF(SUM(KZ10,LA10)&gt;0,SUM(KZ10,LA10),"")</f>
        <v/>
      </c>
      <c r="LC10" s="63">
        <f t="shared" si="6"/>
        <v>14.1</v>
      </c>
      <c r="LD10" s="63">
        <f t="shared" si="0"/>
        <v>3.4</v>
      </c>
      <c r="LE10" s="63">
        <f t="shared" si="0"/>
        <v>0.6</v>
      </c>
      <c r="LF10" s="63">
        <f t="shared" si="0"/>
        <v>0</v>
      </c>
      <c r="LG10" s="63">
        <f t="shared" si="0"/>
        <v>13.85</v>
      </c>
      <c r="LH10" s="63">
        <f t="shared" si="0"/>
        <v>3.4</v>
      </c>
      <c r="LI10" s="63">
        <f t="shared" si="0"/>
        <v>0.75</v>
      </c>
      <c r="LJ10" s="63">
        <f t="shared" si="0"/>
        <v>0</v>
      </c>
      <c r="LK10" s="63">
        <f t="shared" si="0"/>
        <v>13.85</v>
      </c>
      <c r="LL10" s="63">
        <f t="shared" si="0"/>
        <v>3.4</v>
      </c>
      <c r="LM10" s="63">
        <f t="shared" si="0"/>
        <v>0.6</v>
      </c>
      <c r="LN10" s="63">
        <f t="shared" si="0"/>
        <v>0</v>
      </c>
      <c r="LO10" s="63">
        <f t="shared" si="0"/>
        <v>13.75</v>
      </c>
      <c r="LP10" s="63">
        <f t="shared" si="0"/>
        <v>3.2</v>
      </c>
      <c r="LQ10" s="63">
        <f t="shared" si="0"/>
        <v>0.6</v>
      </c>
      <c r="LR10" s="63">
        <f t="shared" si="0"/>
        <v>0</v>
      </c>
      <c r="LS10" s="74" t="s">
        <v>119</v>
      </c>
      <c r="LT10" s="12">
        <f t="shared" si="7"/>
        <v>6.8</v>
      </c>
      <c r="LU10" s="12">
        <f t="shared" si="8"/>
        <v>13.399999999999999</v>
      </c>
      <c r="LV10" s="12">
        <f t="shared" si="9"/>
        <v>33.4</v>
      </c>
      <c r="LW10" s="12">
        <f t="shared" si="10"/>
        <v>33</v>
      </c>
      <c r="LX10" s="12">
        <f t="shared" si="11"/>
        <v>66.400000000000006</v>
      </c>
    </row>
    <row r="11" spans="1:336" x14ac:dyDescent="0.2">
      <c r="A11" s="6" t="str">
        <f>IF(AND(F11="P",H11="P"),SUMPRODUCT((F$4:F$14="P")*(H$4:H$14="P")*(E$4:E$14&gt;E11))+1,IF(H11="P",SUMPRODUCT((F$4:F$14="")*(H$4:H$14="P")*(E$4:E$14&gt;E11))+1+SUMPRODUCT((F$4:F$14="P")*(H$4:H$14="P")),""))</f>
        <v/>
      </c>
      <c r="B11" s="9" t="s">
        <v>116</v>
      </c>
      <c r="C11" s="5" t="s">
        <v>3</v>
      </c>
      <c r="D11" s="6">
        <v>2000</v>
      </c>
      <c r="E11" s="16">
        <f>SUM(J11:N11)</f>
        <v>119.59999999999998</v>
      </c>
      <c r="F11" s="4" t="str">
        <f>IF(OR(AND(AH11&gt;=AK$16,AJ11&gt;=AK$19,AJ11&lt;&gt;"",AG11=""),AND(BD11&gt;=BG$16,BF11&gt;=BG$19,BF11&lt;&gt;"",BC11=""),AND(CA11&gt;=CD$16,CC11&gt;=CD$19,CC11&lt;&gt;""),AND(CV11&gt;=CY$16,CX11&gt;=CY$19,CX11&lt;&gt;""),AND(DQ11&gt;=DT$16,DS11&gt;=DT$19,DS11&lt;&gt;""),AND(EL11&gt;=EO$16,EN11&gt;=EO$19,EN11&lt;&gt;""),AND(FG11&gt;=FJ$16,FI11&gt;=FJ$19,FI11&lt;&gt;""),AND(GB11&gt;=GE$16,GD11&gt;=GE$19,GD11&lt;&gt;""),AND(GW11&gt;=GZ$16,GY11&gt;=GZ$19,GY11&lt;&gt;""),AND(HR11&gt;=HU$16,HT11&gt;=HU$19,HT11&lt;&gt;""),AND(IM11&gt;=IP$16,IO11&gt;=IP$19,IO11&lt;&gt;""),AND(JH11&gt;=JK$16,JJ11&gt;=JK$19,JJ11&lt;&gt;""),AND(KC11&gt;=KF$16,KE11&gt;=KF$19,KE11&lt;&gt;""),AND(KX11&gt;=LA$16,KZ11&gt;=LA$19,KZ11&lt;&gt;"")),"P","")</f>
        <v/>
      </c>
      <c r="G11" s="4" t="str">
        <f>IF(OR(AND(AH11&gt;=AK$17,AJ11&gt;=AK$20,AJ11&lt;&gt;"",AG11=""),AND(BD11&gt;=BG$17,BF11&gt;=BG$20,BF11&lt;&gt;"",BC11=""),AND(CA11&gt;=CD$17,CC11&gt;=CD$20,CC11&lt;&gt;""),AND(CV11&gt;=CY$17,CX11&gt;=CY$20,CX11&lt;&gt;""),AND(DQ11&gt;=DT$17,DS11&gt;=DT$20,DS11&lt;&gt;""),AND(EL11&gt;=EO$17,EN11&gt;=EO$20,EN11&lt;&gt;""),AND(FG11&gt;=FJ$17,FI11&gt;=FJ$20,FI11&lt;&gt;""),AND(GB11&gt;=GE$17,GD11&gt;=GE$20,GD11&lt;&gt;""),AND(GW11&gt;=GZ$17,GY11&gt;=GZ$20,GY11&lt;&gt;""),AND(HR11&gt;=HU$17,HT11&gt;=HU$20,HT11&lt;&gt;""),AND(IM11&gt;=IP$17,IO11&gt;=IP$20,IO11&lt;&gt;""),AND(JH11&gt;=JK$17,JJ11&gt;=JK$20,JJ11&lt;&gt;""),AND(KC11&gt;=KF$17,KE11&gt;=KF$20,KE11&lt;&gt;""),AND(KX11&gt;=LA$17,KZ11&gt;=LA$20,KZ11&lt;&gt;"")),"P","")</f>
        <v/>
      </c>
      <c r="H11" s="4" t="str">
        <f>IF(OR(AND(AJ11&gt;=AK$19,AJ11&lt;&gt;"",AG11=""),AND(BF11&gt;=BG$19,BF11&lt;&gt;"",BC11=""),AND(CC11&gt;=CD$19,CC11&lt;&gt;""),AND(CX11&gt;=CY$19,CX11&lt;&gt;""),AND(DS11&gt;=DT$19,DS11&lt;&gt;""),AND(EN11&gt;=EO$19,EN11&lt;&gt;""),AND(FI11&gt;=FJ$19,FI11&lt;&gt;""),AND(GD11&gt;=GE$19,GD11&lt;&gt;""),AND(GY11&gt;=GZ$19,GY11&lt;&gt;""),AND(HT11&gt;=HU$19,HT11&lt;&gt;""),AND(IO11&gt;=IP$19,IO11&lt;&gt;""),AND(JJ11&gt;=JK$19,JJ11&lt;&gt;""),AND(KE11&gt;=KF$19,KE11&lt;&gt;""),AND(KZ11&gt;=LA$19,KZ11&lt;&gt;"")),"P","")</f>
        <v/>
      </c>
      <c r="I11" t="str">
        <f>IF(AND(H11="P",F11=""),"No DD",IF(OR(AND(AI11&gt;=AK$18,AI11&lt;&gt;"",AL11&gt;=AK$22,AL11&lt;&gt;"",AG11=""),AND(BE11&gt;=BG$18,BE11&lt;&gt;"",BH11&gt;=BG$22,BH11&lt;&gt;"",BC11=""),AND(CB11&gt;=CD$18,CB11&lt;&gt;"",CE11&gt;=CD$22,CE11&lt;&gt;""),AND(CW11&gt;=CY$18,CW11&lt;&gt;"",CZ11&gt;=CY$22,CZ11&lt;&gt;""),AND(DR11&gt;=DT$18,DR11&lt;&gt;"",DU11&gt;=DT$22,DU11&lt;&gt;""),AND(EM11&gt;=EO$18,EM11&lt;&gt;"",EP11&gt;=EO$22,EP11&lt;&gt;""),AND(FH11&gt;=FJ$18,FH11&lt;&gt;"",FK11&gt;=FJ$22,FK11&lt;&gt;""),AND(GC11&gt;=GE$18,GC11&lt;&gt;"",GF11&gt;=GE$22,GF11&lt;&gt;""),AND(GX11&gt;=GZ$18,GX11&lt;&gt;"",HA11&gt;=GZ$22,HA11&lt;&gt;""),AND(HS11&gt;=HU$18,HS11&lt;&gt;"",HV11&gt;=HU$22,HV11&lt;&gt;""),AND(IN11&gt;=IP$18,IN11&lt;&gt;"",IQ11&gt;=IP$22,IQ11&lt;&gt;""),AND(JI11&gt;=JK$18,JI11&lt;&gt;"",JL11&gt;=JK$22,JL11&lt;&gt;""),AND(KD11&gt;=KF$18,KD11&lt;&gt;"",KG11&gt;=KF$22,KG11&lt;&gt;""),AND(KY11&gt;=LA$18,KY11&lt;&gt;"",LB11&gt;=LA$22,LB11&lt;&gt;"")),"Merit",IF(OR(AND(AI11&gt;=AK$18,AI11&lt;&gt;"",AL11&gt;=AK$21,AL11&lt;&gt;"",AG11=""),AND(BE11&gt;=BG$18,BE11&lt;&gt;"",BH11&gt;=BG$21,BH11&lt;&gt;"",BC11=""),AND(CB11&gt;=CD$18,CB11&lt;&gt;"",CE11&gt;=CD$21,CE11&lt;&gt;""),AND(CW11&gt;=CY$18,CW11&lt;&gt;"",CZ11&gt;=CY$21,CZ11&lt;&gt;""),AND(DR11&gt;=DT$18,DR11&lt;&gt;"",DU11&gt;=DT$21,DU11&lt;&gt;""),AND(EM11&gt;=EO$18,EM11&lt;&gt;"",EP11&gt;=EO$21,EP11&lt;&gt;""),AND(FH11&gt;=FJ$18,FH11&lt;&gt;"",FK11&gt;=FJ$21,FK11&lt;&gt;""),AND(GC11&gt;=GE$18,GC11&lt;&gt;"",GF11&gt;=GE$21,GF11&lt;&gt;""),AND(GX11&gt;=GZ$18,GX11&lt;&gt;"",HA11&gt;=GZ$21,HA11&lt;&gt;""),AND(HS11&gt;=HU$18,HS11&lt;&gt;"",HV11&gt;=HU$21,HV11&lt;&gt;""),AND(IN11&gt;=IP$18,IN11&lt;&gt;"",IQ11&gt;=IP$21,IQ11&lt;&gt;""),AND(JI11&gt;=JK$18,JI11&lt;&gt;"",JL11&gt;=JK$21,JL11&lt;&gt;""),AND(KD11&gt;=KF$18,KD11&lt;&gt;"",KG11&gt;=KF$21,KG11&lt;&gt;""),AND(KY11&gt;=LA$18,KY11&lt;&gt;"",LB11&gt;=LA$21,LB11&lt;&gt;"")),"Excellence",IF(OR(AND(AH11&gt;=AK$17,AH11&lt;&gt;"",AJ11&gt;=AK$20,AJ11&lt;&gt;"",AG11=""),AND(BD11&gt;=BG$17,BD11&lt;&gt;"",BF11&gt;=BG$20,BF11&lt;&gt;"",BC11=""),AND(CA11&gt;=CD$17,CA11&lt;&gt;"",CC11&gt;=CD$20,CC11&lt;&gt;""),AND(CV11&gt;=CY$17,CV11&lt;&gt;"",CX11&gt;=CY$20,CX11&lt;&gt;""),AND(DQ11&gt;=DT$17,DQ11&lt;&gt;"",DS11&gt;=DT$20,DS11&lt;&gt;""),AND(EL11&gt;=EO$17,EL11&lt;&gt;"",EN11&gt;=EO$20,EN11&lt;&gt;""),AND(FG11&gt;=FJ$17,FG11&lt;&gt;"",FI11&gt;=FJ$20,FI11&lt;&gt;""),AND(GB11&gt;=GE$17,GB11&lt;&gt;"",GD11&gt;=GE$20,GD11&lt;&gt;""),AND(GW11&gt;=GZ$17,GW11&lt;&gt;"",GY11&gt;=GZ$20,GY11&lt;&gt;""),AND(HR11&gt;=HU$17,HR11&lt;&gt;"",HT11&gt;=HU$20,HT11&lt;&gt;""),AND(IM11&gt;=IP$17,IM11&lt;&gt;"",IO11&gt;=IP$20,IO11&lt;&gt;""),AND(JH11&gt;=JK$17,JH11&lt;&gt;"",JJ11&gt;=JK$20,JJ11&lt;&gt;""),AND(KC11&gt;=KF$17,KC11&lt;&gt;"",KE11&gt;=KF$20,KE11&lt;&gt;""),AND(KX11&gt;=LA$17,KX11&lt;&gt;"",KZ11&gt;=LA$20,KZ11&lt;&gt;"")),"Worlds Team",IF(OR(AND(AH11&gt;=AK$16,AH11&lt;&gt;"",AJ11&gt;=AK$19,AJ11&lt;&gt;"",AG11=""),AND(BD11&gt;=BG$16,BD11&lt;&gt;"",BF11&gt;=BG$19,BF11&lt;&gt;"",BC11=""),AND(CA11&gt;=CD$16,CA11&lt;&gt;"",CC11&gt;=CD$19,CC11&lt;&gt;""),AND(CV11&gt;=CY$16,CV11&lt;&gt;"",CX11&gt;=CY$19,CX11&lt;&gt;""),AND(DQ11&gt;=DT$16,DQ11&lt;&gt;"",DS11&gt;=DT$19,DS11&lt;&gt;""),AND(EL11&gt;=EO$16,EL11&lt;&gt;"",EN11&gt;=EO$19,EN11&lt;&gt;""),AND(FG11&gt;=FJ$16,FG11&lt;&gt;"",FI11&gt;=FJ$19,FI11&lt;&gt;""),AND(GB11&gt;=GE$16,GB11&lt;&gt;"",GD11&gt;=GE$19,GD11&lt;&gt;""),AND(GW11&gt;=GZ$16,GW11&lt;&gt;"",GY11&gt;=GZ$19,GY11&lt;&gt;""),AND(HR11&gt;=HU$16,HR11&lt;&gt;"",HT11&gt;=HU$19,HT11&lt;&gt;""),AND(IM11&gt;=IP$16,IM11&lt;&gt;"",IO11&gt;=IP$19,IO11&lt;&gt;""),AND(JH11&gt;=JK$16,JH11&lt;&gt;"",JJ11&gt;=JK$19,JJ11&lt;&gt;""),AND(KC11&gt;=KF$16,KC11&lt;&gt;"",KE11&gt;=KF$19,KE11&lt;&gt;""),AND(KX11&gt;=LA$16,KX11&lt;&gt;"",KZ11&gt;=LA$19,KZ11&lt;&gt;"")),"National Team","")))))</f>
        <v/>
      </c>
      <c r="J11" s="15">
        <f>IF(MAX(AL11,BH11)&gt;0,MAX(AL11,BH11),"")</f>
        <v>119.59999999999998</v>
      </c>
      <c r="K11" s="15" t="str">
        <f>IF(J11="","",IF(J11=BH11,$AM$1,IF(J11=AL11,$Q$1,"")))</f>
        <v>2018 Nationals</v>
      </c>
      <c r="L11" s="15" t="str">
        <f>IF(J11=AL11,IF(MAX(BF11,BG11)&gt;0,MAX(BF11,BG11),""),IF(J11=BH11,IF(MAX(AJ11,AK11)&gt;0,MAX(AJ11,AK11),""),MAX(AJ11,AK11,BF11,BG11)))</f>
        <v/>
      </c>
      <c r="M11" s="15" t="str">
        <f>IF(L11="","",IF(AND(J11&lt;&gt;BH11,OR(L11=BG11,L11=BF11)),$AM$1,IF(OR(L11=AK11,L11=AJ11),$Q$1,"")))</f>
        <v/>
      </c>
      <c r="N11" s="15" t="str">
        <f>IF(MAX(BI11:BJ11)&gt;0,MAX(BI11:BJ11),"")</f>
        <v/>
      </c>
      <c r="O11" s="25" t="str">
        <f>IF(N11="","",IF(N11=BI11,"(4 Pass)",IF(N11=BJ11,"(2 Pass)")))</f>
        <v/>
      </c>
      <c r="P11" s="15" t="str">
        <f>IF(N11="","",IF(N11=BI11,IF(N11+IF(J11="",0,J11)=CE11,$BK$1,IF(N11+IF(J11="",0,J11)=CZ11,$CF$1,IF(N11+IF(J11="",0,J11)=DU11,$DA$1,IF(N11+IF(J11="",0,J11)=EP11,$DV$1,IF(N11+IF(J11="",0,J11)=FK11,$EQ$1,IF(N11+IF(J11="",0,J11)=GF11,$FL$1,IF(N11+IF(J11="",0,J11)=HA11,$GG$1,IF(N11+IF(J11="",0,J11)=HV11,$HB$1,IF(N11+IF(J11="",0,J11)=IQ11,$HW$1,IF(N11+IF(J11="",0,J11)=JL11,$IR$1,IF(N11+IF(J11="",0,J11)=KG11,$JM$1,IF(N11+IF(J11="",0,J11)=LB11,$KH$1)))))))))))),IF(N11=BJ11,IF(OR(N11+IF(L11="",0,L11)=CC11,N11+IF(L11="",0,L11)=CD11),$BK$1,IF(OR(N11+IF(L11="",0,L11)=CX11,N11+IF(L11="",0,L11)=CY11),$CF$1,IF(OR(N11+IF(L11="",0,L11)=DS11,N11+IF(L11="",0,L11)=DT11),$DA$1,IF(OR(N11+IF(L11="",0,L11)=EN11,N11+IF(L11="",0,L11)=EO11),$DV$1,IF(OR(N11+IF(L11="",0,L11)=FI11,N11+IF(L11="",0,L11)=FJ11),$EQ$1,IF(OR(N11+IF(L11="",0,L11)=GD11,N11+IF(L11="",0,L11)=GE11),$FL$1,IF(OR(N11+IF(L11="",0,L11)=GY11,N11+IF(L11="",0,L11)=GZ11),$GG$1,IF(OR(N11+IF(L11="",0,L11)=HT11,N11+IF(L11="",0,L11)=HU11),$HB$1,IF(OR(N11+IF(L11="",0,L11)=IO11,N11+IF(L11="",0,L11)=IP11),$HW$1,IF(OR(N11+IF(L11="",0,L11)=JJ11,N11+IF(L11="",0,L11)=JK11),$IR$1,IF(OR(N11+IF(L11="",0,L11)=KE11,N11+IF(L11="",0,L11)=KF11),$JM$1,IF(OR(N11+IF(L11="",0,L11)=KZ11,N11+IF(L11="",0,L11)=LA11),$KH$1)))))))))))))))</f>
        <v/>
      </c>
      <c r="Q11" s="63">
        <v>27.9</v>
      </c>
      <c r="R11" s="63">
        <v>6</v>
      </c>
      <c r="S11" s="63">
        <v>0</v>
      </c>
      <c r="T11" s="63">
        <v>0</v>
      </c>
      <c r="U11" s="63">
        <v>27.7</v>
      </c>
      <c r="V11" s="63">
        <v>5.6</v>
      </c>
      <c r="W11" s="63">
        <v>0.9</v>
      </c>
      <c r="X11" s="63">
        <v>0</v>
      </c>
      <c r="Y11" s="63">
        <v>19.7</v>
      </c>
      <c r="Z11" s="63">
        <v>3.2</v>
      </c>
      <c r="AA11" s="63">
        <v>0</v>
      </c>
      <c r="AB11" s="63">
        <v>0</v>
      </c>
      <c r="AC11" s="63">
        <v>27.5</v>
      </c>
      <c r="AD11" s="63">
        <v>4.4000000000000004</v>
      </c>
      <c r="AE11" s="63">
        <v>1.5</v>
      </c>
      <c r="AF11" s="63">
        <v>0</v>
      </c>
      <c r="AG11" s="74"/>
      <c r="AH11" s="12">
        <f>IF(SUM(R11,V11)&gt;0,SUM(R11,V11),"")</f>
        <v>11.6</v>
      </c>
      <c r="AI11" s="12">
        <f>IF(SUM(R11,V11,Z11,AD11)&gt;0,SUM(R11,V11,Z11,AD11),"")</f>
        <v>19.200000000000003</v>
      </c>
      <c r="AJ11" s="12">
        <f>IF(SUM(Q11:R11,T11:V11,X11)-SUM(S11,W11)&gt;0,SUM(Q11:R11,T11:V11,X11)-SUM(S11,W11),"")</f>
        <v>66.299999999999983</v>
      </c>
      <c r="AK11" s="12">
        <f>IF(SUM(Y11:Z11,AB11:AD11,AF11)-SUM(AA11,AE11)&gt;0,SUM(Y11:Z11,AB11:AD11,AF11)-SUM(AA11,AE11),"")</f>
        <v>53.3</v>
      </c>
      <c r="AL11" s="12">
        <f>IF(SUM(AJ11,AK11)&gt;0,SUM(AJ11,AK11),"")</f>
        <v>119.59999999999998</v>
      </c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75"/>
      <c r="BD11" s="15" t="str">
        <f>IF(SUM(AN11,AR11)&gt;0,SUM(AN11,AR11),"")</f>
        <v/>
      </c>
      <c r="BE11" s="15" t="str">
        <f>IF(SUM(AN11,AR11,AV11,AZ11)&gt;0,SUM(AN11,AR11,AV11,AZ11),"")</f>
        <v/>
      </c>
      <c r="BF11" s="15" t="str">
        <f>IF(SUM(AM11:AN11,AP11:AR11,AT11)-SUM(AO11,AS11)&gt;0,SUM(AM11:AN11,AP11:AR11,AT11)-SUM(AO11,AS11),"")</f>
        <v/>
      </c>
      <c r="BG11" s="15" t="str">
        <f>IF(SUM(AU11:AV11,AX11:AZ11,BB11)-SUM(AW11,BA11)&gt;0,SUM(AU11:AV11,AX11:AZ11,BB11)-SUM(AW11,BA11),"")</f>
        <v/>
      </c>
      <c r="BH11" s="15" t="str">
        <f>IF(SUM(BF11,BG11)&gt;0,SUM(BF11,BG11),"")</f>
        <v/>
      </c>
      <c r="BI11" s="24" t="str">
        <f>IF(MAX(CE11,CZ11,DU11,EP11,FK11,GF11,HA11,HV11,IQ11,JL11,KG11,LB11)-IF(J11="",0,J11)&gt;0.001,MAX(CE11,CZ11,DU11,EP11,FK11,GF11,HA11,HV11,IQ11,JL11,KG11,LB11)-IF(J11="",0,J11),"")</f>
        <v/>
      </c>
      <c r="BJ11" s="24" t="str">
        <f>IF(MAX(CC11,CD11,CX11,CY11,DS11,DT11,EN11,EO11,FI11,FJ11,GD11,GE11,GY11,GZ11,HT11,HU11,IO11,IP11,JJ11,JK11,KE11,KF11,KZ11,LA11)-IF(L11="",0,L11)&gt;0.001,MAX(CC11,CD11,CX11,CY11,DS11,DT11,EN11,EO11,FI11,FJ11,GD11,GE11,GY11,GZ11,HT11,HU11,IO11,IP11,JJ11,JK11,KE11,KF11,KZ11,LA11)-IF(L11="",0,L11),"")</f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>IF(SUM(BL11,BP11)&gt;0,SUM(BL11,BP11),"")</f>
        <v/>
      </c>
      <c r="CB11" s="12" t="str">
        <f>IF(SUM(BL11,BP11,BT11,BX11)&gt;0,SUM(BL11,BP11,BT11,BX11),"")</f>
        <v/>
      </c>
      <c r="CC11" s="12" t="str">
        <f>IF(SUM(BK11:BL11,BN11:BP11,BR11)-SUM(BM11,BQ11)&gt;0,SUM(BK11:BL11,BN11:BP11,BR11)-SUM(BM11,BQ11),"")</f>
        <v/>
      </c>
      <c r="CD11" s="12" t="str">
        <f>IF(SUM(BS11:BT11,BV11:BX11,BZ11)-SUM(BU11,BY11)&gt;0,SUM(BS11:BT11,BV11:BX11,BZ11)-SUM(BU11,BY11),"")</f>
        <v/>
      </c>
      <c r="CE11" s="12" t="str">
        <f>IF(SUM(CC11,CD11)&gt;0,SUM(CC11,CD11),"")</f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>IF(SUM(CG11,CK11)&gt;0,SUM(CG11,CK11),"")</f>
        <v/>
      </c>
      <c r="CW11" s="15" t="str">
        <f>IF(SUM(CG11,CK11,CO11,CS11)&gt;0,SUM(CG11,CK11,CO11,CS11),"")</f>
        <v/>
      </c>
      <c r="CX11" s="15" t="str">
        <f>IF(SUM(CF11:CG11,CI11:CK11,CM11)-SUM(CH11,CL11)&gt;0,SUM(CF11:CG11,CI11:CK11,CM11)-SUM(CH11,CL11),"")</f>
        <v/>
      </c>
      <c r="CY11" s="15" t="str">
        <f>IF(SUM(CN11:CO11,CQ11:CS11,CU11)-SUM(CP11,CT11)&gt;0,SUM(CN11:CO11,CQ11:CS11,CU11)-SUM(CP11,CT11),"")</f>
        <v/>
      </c>
      <c r="CZ11" s="15" t="str">
        <f>IF(SUM(CX11,CY11)&gt;0,SUM(CX11,CY11),"")</f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>IF(SUM(DB11,DF11)&gt;0,SUM(DB11,DF11),"")</f>
        <v/>
      </c>
      <c r="DR11" s="12" t="str">
        <f>IF(SUM(DB11,DF11,DJ11,DN11)&gt;0,SUM(DB11,DF11,DJ11,DN11),"")</f>
        <v/>
      </c>
      <c r="DS11" s="12" t="str">
        <f>IF(SUM(DA11:DB11,DD11:DF11,DH11)-SUM(DC11,DG11)&gt;0,SUM(DA11:DB11,DD11:DF11,DH11)-SUM(DC11,DG11),"")</f>
        <v/>
      </c>
      <c r="DT11" s="12" t="str">
        <f>IF(SUM(DI11:DJ11,DL11:DN11,DP11)-SUM(DK11,DO11)&gt;0,SUM(DI11:DJ11,DL11:DN11,DP11)-SUM(DK11,DO11),"")</f>
        <v/>
      </c>
      <c r="DU11" s="12" t="str">
        <f>IF(SUM(DS11,DT11)&gt;0,SUM(DS11,DT11),"")</f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>IF(SUM(DW11,EA11)&gt;0,SUM(DW11,EA11),"")</f>
        <v/>
      </c>
      <c r="EM11" s="15" t="str">
        <f>IF(SUM(DW11,EA11,EE11,EI11)&gt;0,SUM(DW11,EA11,EE11,EI11),"")</f>
        <v/>
      </c>
      <c r="EN11" s="15" t="str">
        <f>IF(SUM(DV11:DW11,DY11:EA11,EC11)-SUM(DX11,EB11)&gt;0,SUM(DV11:DW11,DY11:EA11,EC11)-SUM(DX11,EB11),"")</f>
        <v/>
      </c>
      <c r="EO11" s="15" t="str">
        <f>IF(SUM(ED11:EE11,EG11:EI11,EK11)-SUM(EF11,EJ11)&gt;0,SUM(ED11:EE11,EG11:EI11,EK11)-SUM(EF11,EJ11),"")</f>
        <v/>
      </c>
      <c r="EP11" s="15" t="str">
        <f>IF(SUM(EN11,EO11)&gt;0,SUM(EN11,EO11),"")</f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>IF(SUM(ER11,EV11)&gt;0,SUM(ER11,EV11),"")</f>
        <v/>
      </c>
      <c r="FH11" s="12" t="str">
        <f>IF(SUM(ER11,EV11,EZ11,FD11)&gt;0,SUM(ER11,EV11,EZ11,FD11),"")</f>
        <v/>
      </c>
      <c r="FI11" s="12" t="str">
        <f>IF(SUM(EQ11:ER11,ET11:EV11,EX11)-SUM(ES11,EW11)&gt;0,SUM(EQ11:ER11,ET11:EV11,EX11)-SUM(ES11,EW11),"")</f>
        <v/>
      </c>
      <c r="FJ11" s="12" t="str">
        <f>IF(SUM(EY11:EZ11,FB11:FD11,FF11)-SUM(FA11,FE11)&gt;0,SUM(EY11:EZ11,FB11:FD11,FF11)-SUM(FA11,FE11),"")</f>
        <v/>
      </c>
      <c r="FK11" s="12" t="str">
        <f>IF(SUM(FI11,FJ11)&gt;0,SUM(FI11,FJ11),"")</f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>IF(SUM(FM11,FQ11)&gt;0,SUM(FM11,FQ11),"")</f>
        <v/>
      </c>
      <c r="GC11" s="15" t="str">
        <f>IF(SUM(FM11,FQ11,FU11,FY11)&gt;0,SUM(FM11,FQ11,FU11,FY11),"")</f>
        <v/>
      </c>
      <c r="GD11" s="15" t="str">
        <f>IF(SUM(FL11:FM11,FO11:FQ11,FS11)-SUM(FN11,FR11)&gt;0,SUM(FL11:FM11,FO11:FQ11,FS11)-SUM(FN11,FR11),"")</f>
        <v/>
      </c>
      <c r="GE11" s="15" t="str">
        <f>IF(SUM(FT11:FU11,FW11:FY11,GA11)-SUM(FV11,FZ11)&gt;0,SUM(FT11:FU11,FW11:FY11,GA11)-SUM(FV11,FZ11),"")</f>
        <v/>
      </c>
      <c r="GF11" s="15" t="str">
        <f>IF(SUM(GD11,GE11)&gt;0,SUM(GD11,GE11),"")</f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>IF(SUM(GH11,GL11)&gt;0,SUM(GH11,GL11),"")</f>
        <v/>
      </c>
      <c r="GX11" s="12" t="str">
        <f>IF(SUM(GH11,GL11,GP11,GT11)&gt;0,SUM(GH11,GL11,GP11,GT11),"")</f>
        <v/>
      </c>
      <c r="GY11" s="12" t="str">
        <f>IF(SUM(GG11:GH11,GJ11:GL11,GN11)-SUM(GI11,GM11)&gt;0,SUM(GG11:GH11,GJ11:GL11,GN11)-SUM(GI11,GM11),"")</f>
        <v/>
      </c>
      <c r="GZ11" s="12" t="str">
        <f>IF(SUM(GO11:GP11,GR11:GT11,GV11)-SUM(GQ11,GU11)&gt;0,SUM(GO11:GP11,GR11:GT11,GV11)-SUM(GQ11,GU11),"")</f>
        <v/>
      </c>
      <c r="HA11" s="12" t="str">
        <f>IF(SUM(GY11,GZ11)&gt;0,SUM(GY11,GZ11),"")</f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>IF(SUM(HC11,HG11)&gt;0,SUM(HC11,HG11),"")</f>
        <v/>
      </c>
      <c r="HS11" s="15" t="str">
        <f>IF(SUM(HC11,HG11,HK11,HO11)&gt;0,SUM(HC11,HG11,HK11,HO11),"")</f>
        <v/>
      </c>
      <c r="HT11" s="15" t="str">
        <f>IF(SUM(HB11:HC11,HE11:HG11,HI11)-SUM(HD11,HH11)&gt;0,SUM(HB11:HC11,HE11:HG11,HI11)-SUM(HD11,HH11),"")</f>
        <v/>
      </c>
      <c r="HU11" s="15" t="str">
        <f>IF(SUM(HJ11:HK11,HM11:HO11,HQ11)-SUM(HL11,HP11)&gt;0,SUM(HJ11:HK11,HM11:HO11,HQ11)-SUM(HL11,HP11),"")</f>
        <v/>
      </c>
      <c r="HV11" s="15" t="str">
        <f>IF(SUM(HT11,HU11)&gt;0,SUM(HT11,HU11),"")</f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>IF(SUM(HX11,IB11)&gt;0,SUM(HX11,IB11),"")</f>
        <v/>
      </c>
      <c r="IN11" s="12" t="str">
        <f>IF(SUM(HX11,IB11,IF11,IJ11)&gt;0,SUM(HX11,IB11,IF11,IJ11),"")</f>
        <v/>
      </c>
      <c r="IO11" s="12" t="str">
        <f>IF(SUM(HW11:HX11,HZ11:IB11,ID11)-SUM(HY11,IC11)&gt;0,SUM(HW11:HX11,HZ11:IB11,ID11)-SUM(HY11,IC11),"")</f>
        <v/>
      </c>
      <c r="IP11" s="12" t="str">
        <f>IF(SUM(IE11:IF11,IH11:IJ11,IL11)-SUM(IG11,IK11)&gt;0,SUM(IE11:IF11,IH11:IJ11,IL11)-SUM(IG11,IK11),"")</f>
        <v/>
      </c>
      <c r="IQ11" s="12" t="str">
        <f>IF(SUM(IO11,IP11)&gt;0,SUM(IO11,IP11),"")</f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>IF(SUM(IS11,IW11)&gt;0,SUM(IS11,IW11),"")</f>
        <v/>
      </c>
      <c r="JI11" s="15" t="str">
        <f>IF(SUM(IS11,IW11,JA11,JE11)&gt;0,SUM(IS11,IW11,JA11,JE11),"")</f>
        <v/>
      </c>
      <c r="JJ11" s="15" t="str">
        <f>IF(SUM(IR11:IS11,IU11:IW11,IY11)-SUM(IT11,IX11)&gt;0,SUM(IR11:IS11,IU11:IW11,IY11)-SUM(IT11,IX11),"")</f>
        <v/>
      </c>
      <c r="JK11" s="15" t="str">
        <f>IF(SUM(IZ11:JA11,JC11:JE11,JG11)-SUM(JB11,JF11)&gt;0,SUM(IZ11:JA11,JC11:JE11,JG11)-SUM(JB11,JF11),"")</f>
        <v/>
      </c>
      <c r="JL11" s="15" t="str">
        <f>IF(SUM(JJ11,JK11)&gt;0,SUM(JJ11,JK11),"")</f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>IF(SUM(JN11,JR11)&gt;0,SUM(JN11,JR11),"")</f>
        <v/>
      </c>
      <c r="KD11" s="12" t="str">
        <f>IF(SUM(JN11,JR11,JV11,JZ11)&gt;0,SUM(JN11,JR11,JV11,JZ11),"")</f>
        <v/>
      </c>
      <c r="KE11" s="12" t="str">
        <f>IF(SUM(JM11:JN11,JP11:JR11,JT11)-SUM(JO11,JS11)&gt;0,SUM(JM11:JN11,JP11:JR11,JT11)-SUM(JO11,JS11),"")</f>
        <v/>
      </c>
      <c r="KF11" s="12" t="str">
        <f>IF(SUM(JU11:JV11,JX11:JZ11,KB11)-SUM(JW11,KA11)&gt;0,SUM(JU11:JV11,JX11:JZ11,KB11)-SUM(JW11,KA11),"")</f>
        <v/>
      </c>
      <c r="KG11" s="12" t="str">
        <f>IF(SUM(KE11,KF11)&gt;0,SUM(KE11,KF11),"")</f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>IF(SUM(KI11,KM11)&gt;0,SUM(KI11,KM11),"")</f>
        <v/>
      </c>
      <c r="KY11" s="15" t="str">
        <f>IF(SUM(KI11,KM11,KQ11,KU11)&gt;0,SUM(KI11,KM11,KQ11,KU11),"")</f>
        <v/>
      </c>
      <c r="KZ11" s="15" t="str">
        <f>IF(SUM(KH11:KI11,KK11:KM11,KO11)-SUM(KJ11,KN11)&gt;0,SUM(KH11:KI11,KK11:KM11,KO11)-SUM(KJ11,KN11),"")</f>
        <v/>
      </c>
      <c r="LA11" s="15" t="str">
        <f>IF(SUM(KP11:KQ11,KS11:KU11,KW11)-SUM(KR11,KV11)&gt;0,SUM(KP11:KQ11,KS11:KU11,KW11)-SUM(KR11,KV11),"")</f>
        <v/>
      </c>
      <c r="LB11" s="15" t="str">
        <f>IF(SUM(KZ11,LA11)&gt;0,SUM(KZ11,LA11),"")</f>
        <v/>
      </c>
      <c r="LC11" s="63">
        <f t="shared" si="6"/>
        <v>13.95</v>
      </c>
      <c r="LD11" s="63">
        <f t="shared" si="0"/>
        <v>3</v>
      </c>
      <c r="LE11" s="63">
        <f t="shared" si="0"/>
        <v>0</v>
      </c>
      <c r="LF11" s="63">
        <f t="shared" si="0"/>
        <v>0</v>
      </c>
      <c r="LG11" s="63">
        <f t="shared" si="0"/>
        <v>13.85</v>
      </c>
      <c r="LH11" s="63">
        <f t="shared" si="0"/>
        <v>2.8</v>
      </c>
      <c r="LI11" s="63">
        <f t="shared" si="0"/>
        <v>0.45</v>
      </c>
      <c r="LJ11" s="63">
        <f t="shared" si="0"/>
        <v>0</v>
      </c>
      <c r="LK11" s="63">
        <f t="shared" si="0"/>
        <v>9.85</v>
      </c>
      <c r="LL11" s="63">
        <f t="shared" si="0"/>
        <v>1.6</v>
      </c>
      <c r="LM11" s="63">
        <f t="shared" si="0"/>
        <v>0</v>
      </c>
      <c r="LN11" s="63">
        <f t="shared" si="0"/>
        <v>0</v>
      </c>
      <c r="LO11" s="63">
        <f t="shared" si="0"/>
        <v>13.75</v>
      </c>
      <c r="LP11" s="63">
        <f t="shared" si="0"/>
        <v>2.2000000000000002</v>
      </c>
      <c r="LQ11" s="63">
        <f t="shared" si="0"/>
        <v>0.75</v>
      </c>
      <c r="LR11" s="63">
        <f t="shared" si="0"/>
        <v>0</v>
      </c>
      <c r="LS11" s="74" t="s">
        <v>119</v>
      </c>
      <c r="LT11" s="12">
        <f t="shared" si="7"/>
        <v>5.8</v>
      </c>
      <c r="LU11" s="12">
        <f t="shared" si="8"/>
        <v>9.6000000000000014</v>
      </c>
      <c r="LV11" s="12">
        <f t="shared" si="9"/>
        <v>33.149999999999991</v>
      </c>
      <c r="LW11" s="12">
        <f t="shared" si="10"/>
        <v>26.65</v>
      </c>
      <c r="LX11" s="12">
        <f t="shared" si="11"/>
        <v>59.79999999999999</v>
      </c>
    </row>
    <row r="12" spans="1:336" x14ac:dyDescent="0.2">
      <c r="A12" s="6" t="str">
        <f>IF(AND(F12="P",H12="P"),SUMPRODUCT((F$4:F$14="P")*(H$4:H$14="P")*(E$4:E$14&gt;E12))+1,IF(H12="P",SUMPRODUCT((F$4:F$14="")*(H$4:H$14="P")*(E$4:E$14&gt;E12))+1+SUMPRODUCT((F$4:F$14="P")*(H$4:H$14="P")),""))</f>
        <v/>
      </c>
      <c r="B12" s="9" t="s">
        <v>94</v>
      </c>
      <c r="C12" s="5" t="s">
        <v>5</v>
      </c>
      <c r="D12" s="6">
        <v>2001</v>
      </c>
      <c r="E12" s="16">
        <f>SUM(J12:N12)</f>
        <v>104.6</v>
      </c>
      <c r="F12" s="4" t="str">
        <f>IF(OR(AND(AH12&gt;=AK$16,AJ12&gt;=AK$19,AJ12&lt;&gt;"",AG12=""),AND(BD12&gt;=BG$16,BF12&gt;=BG$19,BF12&lt;&gt;"",BC12=""),AND(CA12&gt;=CD$16,CC12&gt;=CD$19,CC12&lt;&gt;""),AND(CV12&gt;=CY$16,CX12&gt;=CY$19,CX12&lt;&gt;""),AND(DQ12&gt;=DT$16,DS12&gt;=DT$19,DS12&lt;&gt;""),AND(EL12&gt;=EO$16,EN12&gt;=EO$19,EN12&lt;&gt;""),AND(FG12&gt;=FJ$16,FI12&gt;=FJ$19,FI12&lt;&gt;""),AND(GB12&gt;=GE$16,GD12&gt;=GE$19,GD12&lt;&gt;""),AND(GW12&gt;=GZ$16,GY12&gt;=GZ$19,GY12&lt;&gt;""),AND(HR12&gt;=HU$16,HT12&gt;=HU$19,HT12&lt;&gt;""),AND(IM12&gt;=IP$16,IO12&gt;=IP$19,IO12&lt;&gt;""),AND(JH12&gt;=JK$16,JJ12&gt;=JK$19,JJ12&lt;&gt;""),AND(KC12&gt;=KF$16,KE12&gt;=KF$19,KE12&lt;&gt;""),AND(KX12&gt;=LA$16,KZ12&gt;=LA$19,KZ12&lt;&gt;"")),"P","")</f>
        <v/>
      </c>
      <c r="G12" s="4" t="str">
        <f>IF(OR(AND(AH12&gt;=AK$17,AJ12&gt;=AK$20,AJ12&lt;&gt;"",AG12=""),AND(BD12&gt;=BG$17,BF12&gt;=BG$20,BF12&lt;&gt;"",BC12=""),AND(CA12&gt;=CD$17,CC12&gt;=CD$20,CC12&lt;&gt;""),AND(CV12&gt;=CY$17,CX12&gt;=CY$20,CX12&lt;&gt;""),AND(DQ12&gt;=DT$17,DS12&gt;=DT$20,DS12&lt;&gt;""),AND(EL12&gt;=EO$17,EN12&gt;=EO$20,EN12&lt;&gt;""),AND(FG12&gt;=FJ$17,FI12&gt;=FJ$20,FI12&lt;&gt;""),AND(GB12&gt;=GE$17,GD12&gt;=GE$20,GD12&lt;&gt;""),AND(GW12&gt;=GZ$17,GY12&gt;=GZ$20,GY12&lt;&gt;""),AND(HR12&gt;=HU$17,HT12&gt;=HU$20,HT12&lt;&gt;""),AND(IM12&gt;=IP$17,IO12&gt;=IP$20,IO12&lt;&gt;""),AND(JH12&gt;=JK$17,JJ12&gt;=JK$20,JJ12&lt;&gt;""),AND(KC12&gt;=KF$17,KE12&gt;=KF$20,KE12&lt;&gt;""),AND(KX12&gt;=LA$17,KZ12&gt;=LA$20,KZ12&lt;&gt;"")),"P","")</f>
        <v/>
      </c>
      <c r="H12" s="4" t="str">
        <f>IF(OR(AND(AJ12&gt;=AK$19,AJ12&lt;&gt;"",AG12=""),AND(BF12&gt;=BG$19,BF12&lt;&gt;"",BC12=""),AND(CC12&gt;=CD$19,CC12&lt;&gt;""),AND(CX12&gt;=CY$19,CX12&lt;&gt;""),AND(DS12&gt;=DT$19,DS12&lt;&gt;""),AND(EN12&gt;=EO$19,EN12&lt;&gt;""),AND(FI12&gt;=FJ$19,FI12&lt;&gt;""),AND(GD12&gt;=GE$19,GD12&lt;&gt;""),AND(GY12&gt;=GZ$19,GY12&lt;&gt;""),AND(HT12&gt;=HU$19,HT12&lt;&gt;""),AND(IO12&gt;=IP$19,IO12&lt;&gt;""),AND(JJ12&gt;=JK$19,JJ12&lt;&gt;""),AND(KE12&gt;=KF$19,KE12&lt;&gt;""),AND(KZ12&gt;=LA$19,KZ12&lt;&gt;"")),"P","")</f>
        <v/>
      </c>
      <c r="I12" t="str">
        <f>IF(AND(H12="P",F12=""),"No DD",IF(OR(AND(AI12&gt;=AK$18,AI12&lt;&gt;"",AL12&gt;=AK$22,AL12&lt;&gt;"",AG12=""),AND(BE12&gt;=BG$18,BE12&lt;&gt;"",BH12&gt;=BG$22,BH12&lt;&gt;"",BC12=""),AND(CB12&gt;=CD$18,CB12&lt;&gt;"",CE12&gt;=CD$22,CE12&lt;&gt;""),AND(CW12&gt;=CY$18,CW12&lt;&gt;"",CZ12&gt;=CY$22,CZ12&lt;&gt;""),AND(DR12&gt;=DT$18,DR12&lt;&gt;"",DU12&gt;=DT$22,DU12&lt;&gt;""),AND(EM12&gt;=EO$18,EM12&lt;&gt;"",EP12&gt;=EO$22,EP12&lt;&gt;""),AND(FH12&gt;=FJ$18,FH12&lt;&gt;"",FK12&gt;=FJ$22,FK12&lt;&gt;""),AND(GC12&gt;=GE$18,GC12&lt;&gt;"",GF12&gt;=GE$22,GF12&lt;&gt;""),AND(GX12&gt;=GZ$18,GX12&lt;&gt;"",HA12&gt;=GZ$22,HA12&lt;&gt;""),AND(HS12&gt;=HU$18,HS12&lt;&gt;"",HV12&gt;=HU$22,HV12&lt;&gt;""),AND(IN12&gt;=IP$18,IN12&lt;&gt;"",IQ12&gt;=IP$22,IQ12&lt;&gt;""),AND(JI12&gt;=JK$18,JI12&lt;&gt;"",JL12&gt;=JK$22,JL12&lt;&gt;""),AND(KD12&gt;=KF$18,KD12&lt;&gt;"",KG12&gt;=KF$22,KG12&lt;&gt;""),AND(KY12&gt;=LA$18,KY12&lt;&gt;"",LB12&gt;=LA$22,LB12&lt;&gt;"")),"Merit",IF(OR(AND(AI12&gt;=AK$18,AI12&lt;&gt;"",AL12&gt;=AK$21,AL12&lt;&gt;"",AG12=""),AND(BE12&gt;=BG$18,BE12&lt;&gt;"",BH12&gt;=BG$21,BH12&lt;&gt;"",BC12=""),AND(CB12&gt;=CD$18,CB12&lt;&gt;"",CE12&gt;=CD$21,CE12&lt;&gt;""),AND(CW12&gt;=CY$18,CW12&lt;&gt;"",CZ12&gt;=CY$21,CZ12&lt;&gt;""),AND(DR12&gt;=DT$18,DR12&lt;&gt;"",DU12&gt;=DT$21,DU12&lt;&gt;""),AND(EM12&gt;=EO$18,EM12&lt;&gt;"",EP12&gt;=EO$21,EP12&lt;&gt;""),AND(FH12&gt;=FJ$18,FH12&lt;&gt;"",FK12&gt;=FJ$21,FK12&lt;&gt;""),AND(GC12&gt;=GE$18,GC12&lt;&gt;"",GF12&gt;=GE$21,GF12&lt;&gt;""),AND(GX12&gt;=GZ$18,GX12&lt;&gt;"",HA12&gt;=GZ$21,HA12&lt;&gt;""),AND(HS12&gt;=HU$18,HS12&lt;&gt;"",HV12&gt;=HU$21,HV12&lt;&gt;""),AND(IN12&gt;=IP$18,IN12&lt;&gt;"",IQ12&gt;=IP$21,IQ12&lt;&gt;""),AND(JI12&gt;=JK$18,JI12&lt;&gt;"",JL12&gt;=JK$21,JL12&lt;&gt;""),AND(KD12&gt;=KF$18,KD12&lt;&gt;"",KG12&gt;=KF$21,KG12&lt;&gt;""),AND(KY12&gt;=LA$18,KY12&lt;&gt;"",LB12&gt;=LA$21,LB12&lt;&gt;"")),"Excellence",IF(OR(AND(AH12&gt;=AK$17,AH12&lt;&gt;"",AJ12&gt;=AK$20,AJ12&lt;&gt;"",AG12=""),AND(BD12&gt;=BG$17,BD12&lt;&gt;"",BF12&gt;=BG$20,BF12&lt;&gt;"",BC12=""),AND(CA12&gt;=CD$17,CA12&lt;&gt;"",CC12&gt;=CD$20,CC12&lt;&gt;""),AND(CV12&gt;=CY$17,CV12&lt;&gt;"",CX12&gt;=CY$20,CX12&lt;&gt;""),AND(DQ12&gt;=DT$17,DQ12&lt;&gt;"",DS12&gt;=DT$20,DS12&lt;&gt;""),AND(EL12&gt;=EO$17,EL12&lt;&gt;"",EN12&gt;=EO$20,EN12&lt;&gt;""),AND(FG12&gt;=FJ$17,FG12&lt;&gt;"",FI12&gt;=FJ$20,FI12&lt;&gt;""),AND(GB12&gt;=GE$17,GB12&lt;&gt;"",GD12&gt;=GE$20,GD12&lt;&gt;""),AND(GW12&gt;=GZ$17,GW12&lt;&gt;"",GY12&gt;=GZ$20,GY12&lt;&gt;""),AND(HR12&gt;=HU$17,HR12&lt;&gt;"",HT12&gt;=HU$20,HT12&lt;&gt;""),AND(IM12&gt;=IP$17,IM12&lt;&gt;"",IO12&gt;=IP$20,IO12&lt;&gt;""),AND(JH12&gt;=JK$17,JH12&lt;&gt;"",JJ12&gt;=JK$20,JJ12&lt;&gt;""),AND(KC12&gt;=KF$17,KC12&lt;&gt;"",KE12&gt;=KF$20,KE12&lt;&gt;""),AND(KX12&gt;=LA$17,KX12&lt;&gt;"",KZ12&gt;=LA$20,KZ12&lt;&gt;"")),"Worlds Team",IF(OR(AND(AH12&gt;=AK$16,AH12&lt;&gt;"",AJ12&gt;=AK$19,AJ12&lt;&gt;"",AG12=""),AND(BD12&gt;=BG$16,BD12&lt;&gt;"",BF12&gt;=BG$19,BF12&lt;&gt;"",BC12=""),AND(CA12&gt;=CD$16,CA12&lt;&gt;"",CC12&gt;=CD$19,CC12&lt;&gt;""),AND(CV12&gt;=CY$16,CV12&lt;&gt;"",CX12&gt;=CY$19,CX12&lt;&gt;""),AND(DQ12&gt;=DT$16,DQ12&lt;&gt;"",DS12&gt;=DT$19,DS12&lt;&gt;""),AND(EL12&gt;=EO$16,EL12&lt;&gt;"",EN12&gt;=EO$19,EN12&lt;&gt;""),AND(FG12&gt;=FJ$16,FG12&lt;&gt;"",FI12&gt;=FJ$19,FI12&lt;&gt;""),AND(GB12&gt;=GE$16,GB12&lt;&gt;"",GD12&gt;=GE$19,GD12&lt;&gt;""),AND(GW12&gt;=GZ$16,GW12&lt;&gt;"",GY12&gt;=GZ$19,GY12&lt;&gt;""),AND(HR12&gt;=HU$16,HR12&lt;&gt;"",HT12&gt;=HU$19,HT12&lt;&gt;""),AND(IM12&gt;=IP$16,IM12&lt;&gt;"",IO12&gt;=IP$19,IO12&lt;&gt;""),AND(JH12&gt;=JK$16,JH12&lt;&gt;"",JJ12&gt;=JK$19,JJ12&lt;&gt;""),AND(KC12&gt;=KF$16,KC12&lt;&gt;"",KE12&gt;=KF$19,KE12&lt;&gt;""),AND(KX12&gt;=LA$16,KX12&lt;&gt;"",KZ12&gt;=LA$19,KZ12&lt;&gt;"")),"National Team","")))))</f>
        <v/>
      </c>
      <c r="J12" s="15">
        <f>IF(MAX(AL12,BH12)&gt;0,MAX(AL12,BH12),"")</f>
        <v>104.6</v>
      </c>
      <c r="K12" s="15" t="str">
        <f>IF(J12="","",IF(J12=BH12,$AM$1,IF(J12=AL12,$Q$1,"")))</f>
        <v>2018 Nationals</v>
      </c>
      <c r="L12" s="15" t="str">
        <f>IF(J12=AL12,IF(MAX(BF12,BG12)&gt;0,MAX(BF12,BG12),""),IF(J12=BH12,IF(MAX(AJ12,AK12)&gt;0,MAX(AJ12,AK12),""),MAX(AJ12,AK12,BF12,BG12)))</f>
        <v/>
      </c>
      <c r="M12" s="15" t="str">
        <f>IF(L12="","",IF(AND(J12&lt;&gt;BH12,OR(L12=BG12,L12=BF12)),$AM$1,IF(OR(L12=AK12,L12=AJ12),$Q$1,"")))</f>
        <v/>
      </c>
      <c r="N12" s="15" t="str">
        <f>IF(MAX(BI12:BJ12)&gt;0,MAX(BI12:BJ12),"")</f>
        <v/>
      </c>
      <c r="O12" s="25" t="str">
        <f>IF(N12="","",IF(N12=BI12,"(4 Pass)",IF(N12=BJ12,"(2 Pass)")))</f>
        <v/>
      </c>
      <c r="P12" s="15" t="str">
        <f>IF(N12="","",IF(N12=BI12,IF(N12+IF(J12="",0,J12)=CE12,$BK$1,IF(N12+IF(J12="",0,J12)=CZ12,$CF$1,IF(N12+IF(J12="",0,J12)=DU12,$DA$1,IF(N12+IF(J12="",0,J12)=EP12,$DV$1,IF(N12+IF(J12="",0,J12)=FK12,$EQ$1,IF(N12+IF(J12="",0,J12)=GF12,$FL$1,IF(N12+IF(J12="",0,J12)=HA12,$GG$1,IF(N12+IF(J12="",0,J12)=HV12,$HB$1,IF(N12+IF(J12="",0,J12)=IQ12,$HW$1,IF(N12+IF(J12="",0,J12)=JL12,$IR$1,IF(N12+IF(J12="",0,J12)=KG12,$JM$1,IF(N12+IF(J12="",0,J12)=LB12,$KH$1)))))))))))),IF(N12=BJ12,IF(OR(N12+IF(L12="",0,L12)=CC12,N12+IF(L12="",0,L12)=CD12),$BK$1,IF(OR(N12+IF(L12="",0,L12)=CX12,N12+IF(L12="",0,L12)=CY12),$CF$1,IF(OR(N12+IF(L12="",0,L12)=DS12,N12+IF(L12="",0,L12)=DT12),$DA$1,IF(OR(N12+IF(L12="",0,L12)=EN12,N12+IF(L12="",0,L12)=EO12),$DV$1,IF(OR(N12+IF(L12="",0,L12)=FI12,N12+IF(L12="",0,L12)=FJ12),$EQ$1,IF(OR(N12+IF(L12="",0,L12)=GD12,N12+IF(L12="",0,L12)=GE12),$FL$1,IF(OR(N12+IF(L12="",0,L12)=GY12,N12+IF(L12="",0,L12)=GZ12),$GG$1,IF(OR(N12+IF(L12="",0,L12)=HT12,N12+IF(L12="",0,L12)=HU12),$HB$1,IF(OR(N12+IF(L12="",0,L12)=IO12,N12+IF(L12="",0,L12)=IP12),$HW$1,IF(OR(N12+IF(L12="",0,L12)=JJ12,N12+IF(L12="",0,L12)=JK12),$IR$1,IF(OR(N12+IF(L12="",0,L12)=KE12,N12+IF(L12="",0,L12)=KF12),$JM$1,IF(OR(N12+IF(L12="",0,L12)=KZ12,N12+IF(L12="",0,L12)=LA12),$KH$1)))))))))))))))</f>
        <v/>
      </c>
      <c r="Q12" s="63">
        <v>28.4</v>
      </c>
      <c r="R12" s="63">
        <v>7.2</v>
      </c>
      <c r="S12" s="63">
        <v>0</v>
      </c>
      <c r="T12" s="63">
        <v>0</v>
      </c>
      <c r="U12" s="63">
        <v>0</v>
      </c>
      <c r="V12" s="63">
        <v>0</v>
      </c>
      <c r="W12" s="63">
        <v>0</v>
      </c>
      <c r="X12" s="63">
        <v>0</v>
      </c>
      <c r="Y12" s="63">
        <v>28.2</v>
      </c>
      <c r="Z12" s="63">
        <v>6.8</v>
      </c>
      <c r="AA12" s="63">
        <v>0.9</v>
      </c>
      <c r="AB12" s="63">
        <v>0</v>
      </c>
      <c r="AC12" s="63">
        <v>28.1</v>
      </c>
      <c r="AD12" s="63">
        <v>6.8</v>
      </c>
      <c r="AE12" s="63">
        <v>0</v>
      </c>
      <c r="AF12" s="63">
        <v>0</v>
      </c>
      <c r="AG12" s="74"/>
      <c r="AH12" s="12">
        <f>IF(SUM(R12,V12)&gt;0,SUM(R12,V12),"")</f>
        <v>7.2</v>
      </c>
      <c r="AI12" s="12">
        <f>IF(SUM(R12,V12,Z12,AD12)&gt;0,SUM(R12,V12,Z12,AD12),"")</f>
        <v>20.8</v>
      </c>
      <c r="AJ12" s="12">
        <f>IF(SUM(Q12:R12,T12:V12,X12)-SUM(S12,W12)&gt;0,SUM(Q12:R12,T12:V12,X12)-SUM(S12,W12),"")</f>
        <v>35.6</v>
      </c>
      <c r="AK12" s="12">
        <f>IF(SUM(Y12:Z12,AB12:AD12,AF12)-SUM(AA12,AE12)&gt;0,SUM(Y12:Z12,AB12:AD12,AF12)-SUM(AA12,AE12),"")</f>
        <v>69</v>
      </c>
      <c r="AL12" s="12">
        <f>IF(SUM(AJ12,AK12)&gt;0,SUM(AJ12,AK12),"")</f>
        <v>104.6</v>
      </c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75"/>
      <c r="BD12" s="15" t="str">
        <f>IF(SUM(AN12,AR12)&gt;0,SUM(AN12,AR12),"")</f>
        <v/>
      </c>
      <c r="BE12" s="15" t="str">
        <f>IF(SUM(AN12,AR12,AV12,AZ12)&gt;0,SUM(AN12,AR12,AV12,AZ12),"")</f>
        <v/>
      </c>
      <c r="BF12" s="15" t="str">
        <f>IF(SUM(AM12:AN12,AP12:AR12,AT12)-SUM(AO12,AS12)&gt;0,SUM(AM12:AN12,AP12:AR12,AT12)-SUM(AO12,AS12),"")</f>
        <v/>
      </c>
      <c r="BG12" s="15" t="str">
        <f>IF(SUM(AU12:AV12,AX12:AZ12,BB12)-SUM(AW12,BA12)&gt;0,SUM(AU12:AV12,AX12:AZ12,BB12)-SUM(AW12,BA12),"")</f>
        <v/>
      </c>
      <c r="BH12" s="15" t="str">
        <f>IF(SUM(BF12,BG12)&gt;0,SUM(BF12,BG12),"")</f>
        <v/>
      </c>
      <c r="BI12" s="24" t="str">
        <f>IF(MAX(CE12,CZ12,DU12,EP12,FK12,GF12,HA12,HV12,IQ12,JL12,KG12,LB12)-IF(J12="",0,J12)&gt;0.001,MAX(CE12,CZ12,DU12,EP12,FK12,GF12,HA12,HV12,IQ12,JL12,KG12,LB12)-IF(J12="",0,J12),"")</f>
        <v/>
      </c>
      <c r="BJ12" s="24" t="str">
        <f>IF(MAX(CC12,CD12,CX12,CY12,DS12,DT12,EN12,EO12,FI12,FJ12,GD12,GE12,GY12,GZ12,HT12,HU12,IO12,IP12,JJ12,JK12,KE12,KF12,KZ12,LA12)-IF(L12="",0,L12)&gt;0.001,MAX(CC12,CD12,CX12,CY12,DS12,DT12,EN12,EO12,FI12,FJ12,GD12,GE12,GY12,GZ12,HT12,HU12,IO12,IP12,JJ12,JK12,KE12,KF12,KZ12,LA12)-IF(L12="",0,L12),"")</f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>IF(SUM(BL12,BP12)&gt;0,SUM(BL12,BP12),"")</f>
        <v/>
      </c>
      <c r="CB12" s="12" t="str">
        <f>IF(SUM(BL12,BP12,BT12,BX12)&gt;0,SUM(BL12,BP12,BT12,BX12),"")</f>
        <v/>
      </c>
      <c r="CC12" s="12" t="str">
        <f>IF(SUM(BK12:BL12,BN12:BP12,BR12)-SUM(BM12,BQ12)&gt;0,SUM(BK12:BL12,BN12:BP12,BR12)-SUM(BM12,BQ12),"")</f>
        <v/>
      </c>
      <c r="CD12" s="12" t="str">
        <f>IF(SUM(BS12:BT12,BV12:BX12,BZ12)-SUM(BU12,BY12)&gt;0,SUM(BS12:BT12,BV12:BX12,BZ12)-SUM(BU12,BY12),"")</f>
        <v/>
      </c>
      <c r="CE12" s="12" t="str">
        <f>IF(SUM(CC12,CD12)&gt;0,SUM(CC12,CD12),"")</f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>IF(SUM(CG12,CK12)&gt;0,SUM(CG12,CK12),"")</f>
        <v/>
      </c>
      <c r="CW12" s="15" t="str">
        <f>IF(SUM(CG12,CK12,CO12,CS12)&gt;0,SUM(CG12,CK12,CO12,CS12),"")</f>
        <v/>
      </c>
      <c r="CX12" s="15" t="str">
        <f>IF(SUM(CF12:CG12,CI12:CK12,CM12)-SUM(CH12,CL12)&gt;0,SUM(CF12:CG12,CI12:CK12,CM12)-SUM(CH12,CL12),"")</f>
        <v/>
      </c>
      <c r="CY12" s="15" t="str">
        <f>IF(SUM(CN12:CO12,CQ12:CS12,CU12)-SUM(CP12,CT12)&gt;0,SUM(CN12:CO12,CQ12:CS12,CU12)-SUM(CP12,CT12),"")</f>
        <v/>
      </c>
      <c r="CZ12" s="15" t="str">
        <f>IF(SUM(CX12,CY12)&gt;0,SUM(CX12,CY12),"")</f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>IF(SUM(DB12,DF12)&gt;0,SUM(DB12,DF12),"")</f>
        <v/>
      </c>
      <c r="DR12" s="12" t="str">
        <f>IF(SUM(DB12,DF12,DJ12,DN12)&gt;0,SUM(DB12,DF12,DJ12,DN12),"")</f>
        <v/>
      </c>
      <c r="DS12" s="12" t="str">
        <f>IF(SUM(DA12:DB12,DD12:DF12,DH12)-SUM(DC12,DG12)&gt;0,SUM(DA12:DB12,DD12:DF12,DH12)-SUM(DC12,DG12),"")</f>
        <v/>
      </c>
      <c r="DT12" s="12" t="str">
        <f>IF(SUM(DI12:DJ12,DL12:DN12,DP12)-SUM(DK12,DO12)&gt;0,SUM(DI12:DJ12,DL12:DN12,DP12)-SUM(DK12,DO12),"")</f>
        <v/>
      </c>
      <c r="DU12" s="12" t="str">
        <f>IF(SUM(DS12,DT12)&gt;0,SUM(DS12,DT12),"")</f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>IF(SUM(DW12,EA12)&gt;0,SUM(DW12,EA12),"")</f>
        <v/>
      </c>
      <c r="EM12" s="15" t="str">
        <f>IF(SUM(DW12,EA12,EE12,EI12)&gt;0,SUM(DW12,EA12,EE12,EI12),"")</f>
        <v/>
      </c>
      <c r="EN12" s="15" t="str">
        <f>IF(SUM(DV12:DW12,DY12:EA12,EC12)-SUM(DX12,EB12)&gt;0,SUM(DV12:DW12,DY12:EA12,EC12)-SUM(DX12,EB12),"")</f>
        <v/>
      </c>
      <c r="EO12" s="15" t="str">
        <f>IF(SUM(ED12:EE12,EG12:EI12,EK12)-SUM(EF12,EJ12)&gt;0,SUM(ED12:EE12,EG12:EI12,EK12)-SUM(EF12,EJ12),"")</f>
        <v/>
      </c>
      <c r="EP12" s="15" t="str">
        <f>IF(SUM(EN12,EO12)&gt;0,SUM(EN12,EO12),"")</f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>IF(SUM(ER12,EV12)&gt;0,SUM(ER12,EV12),"")</f>
        <v/>
      </c>
      <c r="FH12" s="12" t="str">
        <f>IF(SUM(ER12,EV12,EZ12,FD12)&gt;0,SUM(ER12,EV12,EZ12,FD12),"")</f>
        <v/>
      </c>
      <c r="FI12" s="12" t="str">
        <f>IF(SUM(EQ12:ER12,ET12:EV12,EX12)-SUM(ES12,EW12)&gt;0,SUM(EQ12:ER12,ET12:EV12,EX12)-SUM(ES12,EW12),"")</f>
        <v/>
      </c>
      <c r="FJ12" s="12" t="str">
        <f>IF(SUM(EY12:EZ12,FB12:FD12,FF12)-SUM(FA12,FE12)&gt;0,SUM(EY12:EZ12,FB12:FD12,FF12)-SUM(FA12,FE12),"")</f>
        <v/>
      </c>
      <c r="FK12" s="12" t="str">
        <f>IF(SUM(FI12,FJ12)&gt;0,SUM(FI12,FJ12),"")</f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>IF(SUM(FM12,FQ12)&gt;0,SUM(FM12,FQ12),"")</f>
        <v/>
      </c>
      <c r="GC12" s="15" t="str">
        <f>IF(SUM(FM12,FQ12,FU12,FY12)&gt;0,SUM(FM12,FQ12,FU12,FY12),"")</f>
        <v/>
      </c>
      <c r="GD12" s="15" t="str">
        <f>IF(SUM(FL12:FM12,FO12:FQ12,FS12)-SUM(FN12,FR12)&gt;0,SUM(FL12:FM12,FO12:FQ12,FS12)-SUM(FN12,FR12),"")</f>
        <v/>
      </c>
      <c r="GE12" s="15" t="str">
        <f>IF(SUM(FT12:FU12,FW12:FY12,GA12)-SUM(FV12,FZ12)&gt;0,SUM(FT12:FU12,FW12:FY12,GA12)-SUM(FV12,FZ12),"")</f>
        <v/>
      </c>
      <c r="GF12" s="15" t="str">
        <f>IF(SUM(GD12,GE12)&gt;0,SUM(GD12,GE12),"")</f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>IF(SUM(GH12,GL12)&gt;0,SUM(GH12,GL12),"")</f>
        <v/>
      </c>
      <c r="GX12" s="12" t="str">
        <f>IF(SUM(GH12,GL12,GP12,GT12)&gt;0,SUM(GH12,GL12,GP12,GT12),"")</f>
        <v/>
      </c>
      <c r="GY12" s="12" t="str">
        <f>IF(SUM(GG12:GH12,GJ12:GL12,GN12)-SUM(GI12,GM12)&gt;0,SUM(GG12:GH12,GJ12:GL12,GN12)-SUM(GI12,GM12),"")</f>
        <v/>
      </c>
      <c r="GZ12" s="12" t="str">
        <f>IF(SUM(GO12:GP12,GR12:GT12,GV12)-SUM(GQ12,GU12)&gt;0,SUM(GO12:GP12,GR12:GT12,GV12)-SUM(GQ12,GU12),"")</f>
        <v/>
      </c>
      <c r="HA12" s="12" t="str">
        <f>IF(SUM(GY12,GZ12)&gt;0,SUM(GY12,GZ12),"")</f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>IF(SUM(HC12,HG12)&gt;0,SUM(HC12,HG12),"")</f>
        <v/>
      </c>
      <c r="HS12" s="15" t="str">
        <f>IF(SUM(HC12,HG12,HK12,HO12)&gt;0,SUM(HC12,HG12,HK12,HO12),"")</f>
        <v/>
      </c>
      <c r="HT12" s="15" t="str">
        <f>IF(SUM(HB12:HC12,HE12:HG12,HI12)-SUM(HD12,HH12)&gt;0,SUM(HB12:HC12,HE12:HG12,HI12)-SUM(HD12,HH12),"")</f>
        <v/>
      </c>
      <c r="HU12" s="15" t="str">
        <f>IF(SUM(HJ12:HK12,HM12:HO12,HQ12)-SUM(HL12,HP12)&gt;0,SUM(HJ12:HK12,HM12:HO12,HQ12)-SUM(HL12,HP12),"")</f>
        <v/>
      </c>
      <c r="HV12" s="15" t="str">
        <f>IF(SUM(HT12,HU12)&gt;0,SUM(HT12,HU12),"")</f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>IF(SUM(HX12,IB12)&gt;0,SUM(HX12,IB12),"")</f>
        <v/>
      </c>
      <c r="IN12" s="12" t="str">
        <f>IF(SUM(HX12,IB12,IF12,IJ12)&gt;0,SUM(HX12,IB12,IF12,IJ12),"")</f>
        <v/>
      </c>
      <c r="IO12" s="12" t="str">
        <f>IF(SUM(HW12:HX12,HZ12:IB12,ID12)-SUM(HY12,IC12)&gt;0,SUM(HW12:HX12,HZ12:IB12,ID12)-SUM(HY12,IC12),"")</f>
        <v/>
      </c>
      <c r="IP12" s="12" t="str">
        <f>IF(SUM(IE12:IF12,IH12:IJ12,IL12)-SUM(IG12,IK12)&gt;0,SUM(IE12:IF12,IH12:IJ12,IL12)-SUM(IG12,IK12),"")</f>
        <v/>
      </c>
      <c r="IQ12" s="12" t="str">
        <f>IF(SUM(IO12,IP12)&gt;0,SUM(IO12,IP12),"")</f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>IF(SUM(IS12,IW12)&gt;0,SUM(IS12,IW12),"")</f>
        <v/>
      </c>
      <c r="JI12" s="15" t="str">
        <f>IF(SUM(IS12,IW12,JA12,JE12)&gt;0,SUM(IS12,IW12,JA12,JE12),"")</f>
        <v/>
      </c>
      <c r="JJ12" s="15" t="str">
        <f>IF(SUM(IR12:IS12,IU12:IW12,IY12)-SUM(IT12,IX12)&gt;0,SUM(IR12:IS12,IU12:IW12,IY12)-SUM(IT12,IX12),"")</f>
        <v/>
      </c>
      <c r="JK12" s="15" t="str">
        <f>IF(SUM(IZ12:JA12,JC12:JE12,JG12)-SUM(JB12,JF12)&gt;0,SUM(IZ12:JA12,JC12:JE12,JG12)-SUM(JB12,JF12),"")</f>
        <v/>
      </c>
      <c r="JL12" s="15" t="str">
        <f>IF(SUM(JJ12,JK12)&gt;0,SUM(JJ12,JK12),"")</f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>IF(SUM(JN12,JR12)&gt;0,SUM(JN12,JR12),"")</f>
        <v/>
      </c>
      <c r="KD12" s="12" t="str">
        <f>IF(SUM(JN12,JR12,JV12,JZ12)&gt;0,SUM(JN12,JR12,JV12,JZ12),"")</f>
        <v/>
      </c>
      <c r="KE12" s="12" t="str">
        <f>IF(SUM(JM12:JN12,JP12:JR12,JT12)-SUM(JO12,JS12)&gt;0,SUM(JM12:JN12,JP12:JR12,JT12)-SUM(JO12,JS12),"")</f>
        <v/>
      </c>
      <c r="KF12" s="12" t="str">
        <f>IF(SUM(JU12:JV12,JX12:JZ12,KB12)-SUM(JW12,KA12)&gt;0,SUM(JU12:JV12,JX12:JZ12,KB12)-SUM(JW12,KA12),"")</f>
        <v/>
      </c>
      <c r="KG12" s="12" t="str">
        <f>IF(SUM(KE12,KF12)&gt;0,SUM(KE12,KF12),"")</f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>IF(SUM(KI12,KM12)&gt;0,SUM(KI12,KM12),"")</f>
        <v/>
      </c>
      <c r="KY12" s="15" t="str">
        <f>IF(SUM(KI12,KM12,KQ12,KU12)&gt;0,SUM(KI12,KM12,KQ12,KU12),"")</f>
        <v/>
      </c>
      <c r="KZ12" s="15" t="str">
        <f>IF(SUM(KH12:KI12,KK12:KM12,KO12)-SUM(KJ12,KN12)&gt;0,SUM(KH12:KI12,KK12:KM12,KO12)-SUM(KJ12,KN12),"")</f>
        <v/>
      </c>
      <c r="LA12" s="15" t="str">
        <f>IF(SUM(KP12:KQ12,KS12:KU12,KW12)-SUM(KR12,KV12)&gt;0,SUM(KP12:KQ12,KS12:KU12,KW12)-SUM(KR12,KV12),"")</f>
        <v/>
      </c>
      <c r="LB12" s="15" t="str">
        <f>IF(SUM(KZ12,LA12)&gt;0,SUM(KZ12,LA12),"")</f>
        <v/>
      </c>
      <c r="LC12" s="63">
        <f t="shared" si="6"/>
        <v>14.2</v>
      </c>
      <c r="LD12" s="63">
        <f t="shared" si="0"/>
        <v>3.6</v>
      </c>
      <c r="LE12" s="63">
        <f t="shared" si="0"/>
        <v>0</v>
      </c>
      <c r="LF12" s="63">
        <f t="shared" si="0"/>
        <v>0</v>
      </c>
      <c r="LG12" s="63">
        <f t="shared" si="0"/>
        <v>0</v>
      </c>
      <c r="LH12" s="63">
        <f t="shared" si="0"/>
        <v>0</v>
      </c>
      <c r="LI12" s="63">
        <f t="shared" si="0"/>
        <v>0</v>
      </c>
      <c r="LJ12" s="63">
        <f t="shared" si="0"/>
        <v>0</v>
      </c>
      <c r="LK12" s="63">
        <f t="shared" si="0"/>
        <v>14.1</v>
      </c>
      <c r="LL12" s="63">
        <f t="shared" si="0"/>
        <v>3.4</v>
      </c>
      <c r="LM12" s="63">
        <f t="shared" si="0"/>
        <v>0.45</v>
      </c>
      <c r="LN12" s="63">
        <f t="shared" si="0"/>
        <v>0</v>
      </c>
      <c r="LO12" s="63">
        <f t="shared" si="0"/>
        <v>14.05</v>
      </c>
      <c r="LP12" s="63">
        <f t="shared" si="0"/>
        <v>3.4</v>
      </c>
      <c r="LQ12" s="63">
        <f t="shared" si="0"/>
        <v>0</v>
      </c>
      <c r="LR12" s="63">
        <f t="shared" si="0"/>
        <v>0</v>
      </c>
      <c r="LS12" s="74" t="s">
        <v>119</v>
      </c>
      <c r="LT12" s="12">
        <f t="shared" si="7"/>
        <v>3.6</v>
      </c>
      <c r="LU12" s="12">
        <f t="shared" si="8"/>
        <v>10.4</v>
      </c>
      <c r="LV12" s="12">
        <f t="shared" si="9"/>
        <v>17.8</v>
      </c>
      <c r="LW12" s="12">
        <f t="shared" si="10"/>
        <v>34.5</v>
      </c>
      <c r="LX12" s="12">
        <f t="shared" si="11"/>
        <v>52.3</v>
      </c>
    </row>
    <row r="13" spans="1:336" x14ac:dyDescent="0.2">
      <c r="A13" s="6" t="str">
        <f>IF(AND(F13="P",H13="P"),SUMPRODUCT((F$4:F$14="P")*(H$4:H$14="P")*(E$4:E$14&gt;E13))+1,IF(H13="P",SUMPRODUCT((F$4:F$14="")*(H$4:H$14="P")*(E$4:E$14&gt;E13))+1+SUMPRODUCT((F$4:F$14="P")*(H$4:H$14="P")),""))</f>
        <v/>
      </c>
      <c r="B13" s="9" t="s">
        <v>106</v>
      </c>
      <c r="C13" s="5" t="s">
        <v>4</v>
      </c>
      <c r="D13" s="6">
        <v>2001</v>
      </c>
      <c r="E13" s="16">
        <f>SUM(J13:N13)</f>
        <v>35.300000000000004</v>
      </c>
      <c r="F13" s="4" t="str">
        <f>IF(OR(AND(AH13&gt;=AK$16,AJ13&gt;=AK$19,AJ13&lt;&gt;"",AG13=""),AND(BD13&gt;=BG$16,BF13&gt;=BG$19,BF13&lt;&gt;"",BC13=""),AND(CA13&gt;=CD$16,CC13&gt;=CD$19,CC13&lt;&gt;""),AND(CV13&gt;=CY$16,CX13&gt;=CY$19,CX13&lt;&gt;""),AND(DQ13&gt;=DT$16,DS13&gt;=DT$19,DS13&lt;&gt;""),AND(EL13&gt;=EO$16,EN13&gt;=EO$19,EN13&lt;&gt;""),AND(FG13&gt;=FJ$16,FI13&gt;=FJ$19,FI13&lt;&gt;""),AND(GB13&gt;=GE$16,GD13&gt;=GE$19,GD13&lt;&gt;""),AND(GW13&gt;=GZ$16,GY13&gt;=GZ$19,GY13&lt;&gt;""),AND(HR13&gt;=HU$16,HT13&gt;=HU$19,HT13&lt;&gt;""),AND(IM13&gt;=IP$16,IO13&gt;=IP$19,IO13&lt;&gt;""),AND(JH13&gt;=JK$16,JJ13&gt;=JK$19,JJ13&lt;&gt;""),AND(KC13&gt;=KF$16,KE13&gt;=KF$19,KE13&lt;&gt;""),AND(KX13&gt;=LA$16,KZ13&gt;=LA$19,KZ13&lt;&gt;"")),"P","")</f>
        <v/>
      </c>
      <c r="G13" s="4" t="str">
        <f>IF(OR(AND(AH13&gt;=AK$17,AJ13&gt;=AK$20,AJ13&lt;&gt;"",AG13=""),AND(BD13&gt;=BG$17,BF13&gt;=BG$20,BF13&lt;&gt;"",BC13=""),AND(CA13&gt;=CD$17,CC13&gt;=CD$20,CC13&lt;&gt;""),AND(CV13&gt;=CY$17,CX13&gt;=CY$20,CX13&lt;&gt;""),AND(DQ13&gt;=DT$17,DS13&gt;=DT$20,DS13&lt;&gt;""),AND(EL13&gt;=EO$17,EN13&gt;=EO$20,EN13&lt;&gt;""),AND(FG13&gt;=FJ$17,FI13&gt;=FJ$20,FI13&lt;&gt;""),AND(GB13&gt;=GE$17,GD13&gt;=GE$20,GD13&lt;&gt;""),AND(GW13&gt;=GZ$17,GY13&gt;=GZ$20,GY13&lt;&gt;""),AND(HR13&gt;=HU$17,HT13&gt;=HU$20,HT13&lt;&gt;""),AND(IM13&gt;=IP$17,IO13&gt;=IP$20,IO13&lt;&gt;""),AND(JH13&gt;=JK$17,JJ13&gt;=JK$20,JJ13&lt;&gt;""),AND(KC13&gt;=KF$17,KE13&gt;=KF$20,KE13&lt;&gt;""),AND(KX13&gt;=LA$17,KZ13&gt;=LA$20,KZ13&lt;&gt;"")),"P","")</f>
        <v/>
      </c>
      <c r="H13" s="4" t="str">
        <f>IF(OR(AND(AJ13&gt;=AK$19,AJ13&lt;&gt;"",AG13=""),AND(BF13&gt;=BG$19,BF13&lt;&gt;"",BC13=""),AND(CC13&gt;=CD$19,CC13&lt;&gt;""),AND(CX13&gt;=CY$19,CX13&lt;&gt;""),AND(DS13&gt;=DT$19,DS13&lt;&gt;""),AND(EN13&gt;=EO$19,EN13&lt;&gt;""),AND(FI13&gt;=FJ$19,FI13&lt;&gt;""),AND(GD13&gt;=GE$19,GD13&lt;&gt;""),AND(GY13&gt;=GZ$19,GY13&lt;&gt;""),AND(HT13&gt;=HU$19,HT13&lt;&gt;""),AND(IO13&gt;=IP$19,IO13&lt;&gt;""),AND(JJ13&gt;=JK$19,JJ13&lt;&gt;""),AND(KE13&gt;=KF$19,KE13&lt;&gt;""),AND(KZ13&gt;=LA$19,KZ13&lt;&gt;"")),"P","")</f>
        <v/>
      </c>
      <c r="I13" t="str">
        <f>IF(AND(H13="P",F13=""),"No DD",IF(OR(AND(AI13&gt;=AK$18,AI13&lt;&gt;"",AL13&gt;=AK$22,AL13&lt;&gt;"",AG13=""),AND(BE13&gt;=BG$18,BE13&lt;&gt;"",BH13&gt;=BG$22,BH13&lt;&gt;"",BC13=""),AND(CB13&gt;=CD$18,CB13&lt;&gt;"",CE13&gt;=CD$22,CE13&lt;&gt;""),AND(CW13&gt;=CY$18,CW13&lt;&gt;"",CZ13&gt;=CY$22,CZ13&lt;&gt;""),AND(DR13&gt;=DT$18,DR13&lt;&gt;"",DU13&gt;=DT$22,DU13&lt;&gt;""),AND(EM13&gt;=EO$18,EM13&lt;&gt;"",EP13&gt;=EO$22,EP13&lt;&gt;""),AND(FH13&gt;=FJ$18,FH13&lt;&gt;"",FK13&gt;=FJ$22,FK13&lt;&gt;""),AND(GC13&gt;=GE$18,GC13&lt;&gt;"",GF13&gt;=GE$22,GF13&lt;&gt;""),AND(GX13&gt;=GZ$18,GX13&lt;&gt;"",HA13&gt;=GZ$22,HA13&lt;&gt;""),AND(HS13&gt;=HU$18,HS13&lt;&gt;"",HV13&gt;=HU$22,HV13&lt;&gt;""),AND(IN13&gt;=IP$18,IN13&lt;&gt;"",IQ13&gt;=IP$22,IQ13&lt;&gt;""),AND(JI13&gt;=JK$18,JI13&lt;&gt;"",JL13&gt;=JK$22,JL13&lt;&gt;""),AND(KD13&gt;=KF$18,KD13&lt;&gt;"",KG13&gt;=KF$22,KG13&lt;&gt;""),AND(KY13&gt;=LA$18,KY13&lt;&gt;"",LB13&gt;=LA$22,LB13&lt;&gt;"")),"Merit",IF(OR(AND(AI13&gt;=AK$18,AI13&lt;&gt;"",AL13&gt;=AK$21,AL13&lt;&gt;"",AG13=""),AND(BE13&gt;=BG$18,BE13&lt;&gt;"",BH13&gt;=BG$21,BH13&lt;&gt;"",BC13=""),AND(CB13&gt;=CD$18,CB13&lt;&gt;"",CE13&gt;=CD$21,CE13&lt;&gt;""),AND(CW13&gt;=CY$18,CW13&lt;&gt;"",CZ13&gt;=CY$21,CZ13&lt;&gt;""),AND(DR13&gt;=DT$18,DR13&lt;&gt;"",DU13&gt;=DT$21,DU13&lt;&gt;""),AND(EM13&gt;=EO$18,EM13&lt;&gt;"",EP13&gt;=EO$21,EP13&lt;&gt;""),AND(FH13&gt;=FJ$18,FH13&lt;&gt;"",FK13&gt;=FJ$21,FK13&lt;&gt;""),AND(GC13&gt;=GE$18,GC13&lt;&gt;"",GF13&gt;=GE$21,GF13&lt;&gt;""),AND(GX13&gt;=GZ$18,GX13&lt;&gt;"",HA13&gt;=GZ$21,HA13&lt;&gt;""),AND(HS13&gt;=HU$18,HS13&lt;&gt;"",HV13&gt;=HU$21,HV13&lt;&gt;""),AND(IN13&gt;=IP$18,IN13&lt;&gt;"",IQ13&gt;=IP$21,IQ13&lt;&gt;""),AND(JI13&gt;=JK$18,JI13&lt;&gt;"",JL13&gt;=JK$21,JL13&lt;&gt;""),AND(KD13&gt;=KF$18,KD13&lt;&gt;"",KG13&gt;=KF$21,KG13&lt;&gt;""),AND(KY13&gt;=LA$18,KY13&lt;&gt;"",LB13&gt;=LA$21,LB13&lt;&gt;"")),"Excellence",IF(OR(AND(AH13&gt;=AK$17,AH13&lt;&gt;"",AJ13&gt;=AK$20,AJ13&lt;&gt;"",AG13=""),AND(BD13&gt;=BG$17,BD13&lt;&gt;"",BF13&gt;=BG$20,BF13&lt;&gt;"",BC13=""),AND(CA13&gt;=CD$17,CA13&lt;&gt;"",CC13&gt;=CD$20,CC13&lt;&gt;""),AND(CV13&gt;=CY$17,CV13&lt;&gt;"",CX13&gt;=CY$20,CX13&lt;&gt;""),AND(DQ13&gt;=DT$17,DQ13&lt;&gt;"",DS13&gt;=DT$20,DS13&lt;&gt;""),AND(EL13&gt;=EO$17,EL13&lt;&gt;"",EN13&gt;=EO$20,EN13&lt;&gt;""),AND(FG13&gt;=FJ$17,FG13&lt;&gt;"",FI13&gt;=FJ$20,FI13&lt;&gt;""),AND(GB13&gt;=GE$17,GB13&lt;&gt;"",GD13&gt;=GE$20,GD13&lt;&gt;""),AND(GW13&gt;=GZ$17,GW13&lt;&gt;"",GY13&gt;=GZ$20,GY13&lt;&gt;""),AND(HR13&gt;=HU$17,HR13&lt;&gt;"",HT13&gt;=HU$20,HT13&lt;&gt;""),AND(IM13&gt;=IP$17,IM13&lt;&gt;"",IO13&gt;=IP$20,IO13&lt;&gt;""),AND(JH13&gt;=JK$17,JH13&lt;&gt;"",JJ13&gt;=JK$20,JJ13&lt;&gt;""),AND(KC13&gt;=KF$17,KC13&lt;&gt;"",KE13&gt;=KF$20,KE13&lt;&gt;""),AND(KX13&gt;=LA$17,KX13&lt;&gt;"",KZ13&gt;=LA$20,KZ13&lt;&gt;"")),"Worlds Team",IF(OR(AND(AH13&gt;=AK$16,AH13&lt;&gt;"",AJ13&gt;=AK$19,AJ13&lt;&gt;"",AG13=""),AND(BD13&gt;=BG$16,BD13&lt;&gt;"",BF13&gt;=BG$19,BF13&lt;&gt;"",BC13=""),AND(CA13&gt;=CD$16,CA13&lt;&gt;"",CC13&gt;=CD$19,CC13&lt;&gt;""),AND(CV13&gt;=CY$16,CV13&lt;&gt;"",CX13&gt;=CY$19,CX13&lt;&gt;""),AND(DQ13&gt;=DT$16,DQ13&lt;&gt;"",DS13&gt;=DT$19,DS13&lt;&gt;""),AND(EL13&gt;=EO$16,EL13&lt;&gt;"",EN13&gt;=EO$19,EN13&lt;&gt;""),AND(FG13&gt;=FJ$16,FG13&lt;&gt;"",FI13&gt;=FJ$19,FI13&lt;&gt;""),AND(GB13&gt;=GE$16,GB13&lt;&gt;"",GD13&gt;=GE$19,GD13&lt;&gt;""),AND(GW13&gt;=GZ$16,GW13&lt;&gt;"",GY13&gt;=GZ$19,GY13&lt;&gt;""),AND(HR13&gt;=HU$16,HR13&lt;&gt;"",HT13&gt;=HU$19,HT13&lt;&gt;""),AND(IM13&gt;=IP$16,IM13&lt;&gt;"",IO13&gt;=IP$19,IO13&lt;&gt;""),AND(JH13&gt;=JK$16,JH13&lt;&gt;"",JJ13&gt;=JK$19,JJ13&lt;&gt;""),AND(KC13&gt;=KF$16,KC13&lt;&gt;"",KE13&gt;=KF$19,KE13&lt;&gt;""),AND(KX13&gt;=LA$16,KX13&lt;&gt;"",KZ13&gt;=LA$19,KZ13&lt;&gt;"")),"National Team","")))))</f>
        <v/>
      </c>
      <c r="J13" s="15">
        <f>IF(MAX(AL13,BH13)&gt;0,MAX(AL13,BH13),"")</f>
        <v>35.300000000000004</v>
      </c>
      <c r="K13" s="15" t="str">
        <f>IF(J13="","",IF(J13=BH13,$AM$1,IF(J13=AL13,$Q$1,"")))</f>
        <v>2019 Elite Canada</v>
      </c>
      <c r="L13" s="15" t="str">
        <f>IF(J13=AL13,IF(MAX(BF13,BG13)&gt;0,MAX(BF13,BG13),""),IF(J13=BH13,IF(MAX(AJ13,AK13)&gt;0,MAX(AJ13,AK13),""),MAX(AJ13,AK13,BF13,BG13)))</f>
        <v/>
      </c>
      <c r="M13" s="15" t="str">
        <f>IF(L13="","",IF(AND(J13&lt;&gt;BH13,OR(L13=BG13,L13=BF13)),$AM$1,IF(OR(L13=AK13,L13=AJ13),$Q$1,"")))</f>
        <v/>
      </c>
      <c r="N13" s="15" t="str">
        <f>IF(MAX(BI13:BJ13)&gt;0,MAX(BI13:BJ13),"")</f>
        <v/>
      </c>
      <c r="O13" s="25" t="str">
        <f>IF(N13="","",IF(N13=BI13,"(4 Pass)",IF(N13=BJ13,"(2 Pass)")))</f>
        <v/>
      </c>
      <c r="P13" s="15" t="str">
        <f>IF(N13="","",IF(N13=BI13,IF(N13+IF(J13="",0,J13)=CE13,$BK$1,IF(N13+IF(J13="",0,J13)=CZ13,$CF$1,IF(N13+IF(J13="",0,J13)=DU13,$DA$1,IF(N13+IF(J13="",0,J13)=EP13,$DV$1,IF(N13+IF(J13="",0,J13)=FK13,$EQ$1,IF(N13+IF(J13="",0,J13)=GF13,$FL$1,IF(N13+IF(J13="",0,J13)=HA13,$GG$1,IF(N13+IF(J13="",0,J13)=HV13,$HB$1,IF(N13+IF(J13="",0,J13)=IQ13,$HW$1,IF(N13+IF(J13="",0,J13)=JL13,$IR$1,IF(N13+IF(J13="",0,J13)=KG13,$JM$1,IF(N13+IF(J13="",0,J13)=LB13,$KH$1)))))))))))),IF(N13=BJ13,IF(OR(N13+IF(L13="",0,L13)=CC13,N13+IF(L13="",0,L13)=CD13),$BK$1,IF(OR(N13+IF(L13="",0,L13)=CX13,N13+IF(L13="",0,L13)=CY13),$CF$1,IF(OR(N13+IF(L13="",0,L13)=DS13,N13+IF(L13="",0,L13)=DT13),$DA$1,IF(OR(N13+IF(L13="",0,L13)=EN13,N13+IF(L13="",0,L13)=EO13),$DV$1,IF(OR(N13+IF(L13="",0,L13)=FI13,N13+IF(L13="",0,L13)=FJ13),$EQ$1,IF(OR(N13+IF(L13="",0,L13)=GD13,N13+IF(L13="",0,L13)=GE13),$FL$1,IF(OR(N13+IF(L13="",0,L13)=GY13,N13+IF(L13="",0,L13)=GZ13),$GG$1,IF(OR(N13+IF(L13="",0,L13)=HT13,N13+IF(L13="",0,L13)=HU13),$HB$1,IF(OR(N13+IF(L13="",0,L13)=IO13,N13+IF(L13="",0,L13)=IP13),$HW$1,IF(OR(N13+IF(L13="",0,L13)=JJ13,N13+IF(L13="",0,L13)=JK13),$IR$1,IF(OR(N13+IF(L13="",0,L13)=KE13,N13+IF(L13="",0,L13)=KF13),$JM$1,IF(OR(N13+IF(L13="",0,L13)=KZ13,N13+IF(L13="",0,L13)=LA13),$KH$1)))))))))))))))</f>
        <v/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74"/>
      <c r="AH13" s="12" t="str">
        <f>IF(SUM(R13,V13)&gt;0,SUM(R13,V13),"")</f>
        <v/>
      </c>
      <c r="AI13" s="12" t="str">
        <f>IF(SUM(R13,V13,Z13,AD13)&gt;0,SUM(R13,V13,Z13,AD13),"")</f>
        <v/>
      </c>
      <c r="AJ13" s="12" t="str">
        <f>IF(SUM(Q13:R13,T13:V13,X13)-SUM(S13,W13)&gt;0,SUM(Q13:R13,T13:V13,X13)-SUM(S13,W13),"")</f>
        <v/>
      </c>
      <c r="AK13" s="12" t="str">
        <f>IF(SUM(Y13:Z13,AB13:AD13,AF13)-SUM(AA13,AE13)&gt;0,SUM(Y13:Z13,AB13:AD13,AF13)-SUM(AA13,AE13),"")</f>
        <v/>
      </c>
      <c r="AL13" s="12"/>
      <c r="AM13" s="37">
        <v>0</v>
      </c>
      <c r="AN13" s="37">
        <v>0</v>
      </c>
      <c r="AO13" s="37">
        <v>0</v>
      </c>
      <c r="AP13" s="37">
        <v>0</v>
      </c>
      <c r="AQ13" s="37">
        <v>27.6</v>
      </c>
      <c r="AR13" s="37">
        <v>8</v>
      </c>
      <c r="AS13" s="37">
        <v>0.3</v>
      </c>
      <c r="AT13" s="37">
        <v>0</v>
      </c>
      <c r="AU13" s="37"/>
      <c r="AV13" s="37"/>
      <c r="AW13" s="37"/>
      <c r="AX13" s="37"/>
      <c r="AY13" s="37"/>
      <c r="AZ13" s="37"/>
      <c r="BA13" s="37"/>
      <c r="BB13" s="37"/>
      <c r="BC13" s="75"/>
      <c r="BD13" s="15">
        <f>IF(SUM(AN13,AR13)&gt;0,SUM(AN13,AR13),"")</f>
        <v>8</v>
      </c>
      <c r="BE13" s="15">
        <f>IF(SUM(AN13,AR13,AV13,AZ13)&gt;0,SUM(AN13,AR13,AV13,AZ13),"")</f>
        <v>8</v>
      </c>
      <c r="BF13" s="15">
        <f>IF(SUM(AM13:AN13,AP13:AR13,AT13)-SUM(AO13,AS13)&gt;0,SUM(AM13:AN13,AP13:AR13,AT13)-SUM(AO13,AS13),"")</f>
        <v>35.300000000000004</v>
      </c>
      <c r="BG13" s="15" t="str">
        <f>IF(SUM(AU13:AV13,AX13:AZ13,BB13)-SUM(AW13,BA13)&gt;0,SUM(AU13:AV13,AX13:AZ13,BB13)-SUM(AW13,BA13),"")</f>
        <v/>
      </c>
      <c r="BH13" s="15">
        <f>IF(SUM(BF13,BG13)&gt;0,SUM(BF13,BG13),"")</f>
        <v>35.300000000000004</v>
      </c>
      <c r="BI13" s="24"/>
      <c r="BJ13" s="24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>IF(SUM(BL13,BP13)&gt;0,SUM(BL13,BP13),"")</f>
        <v/>
      </c>
      <c r="CB13" s="12" t="str">
        <f>IF(SUM(BL13,BP13,BT13,BX13)&gt;0,SUM(BL13,BP13,BT13,BX13),"")</f>
        <v/>
      </c>
      <c r="CC13" s="12"/>
      <c r="CD13" s="12"/>
      <c r="CE13" s="12"/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>IF(SUM(CG13,CK13)&gt;0,SUM(CG13,CK13),"")</f>
        <v/>
      </c>
      <c r="CW13" s="15"/>
      <c r="CX13" s="15"/>
      <c r="CY13" s="15"/>
      <c r="CZ13" s="15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/>
      <c r="DR13" s="12"/>
      <c r="DS13" s="12"/>
      <c r="DT13" s="12"/>
      <c r="DU13" s="12"/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/>
      <c r="EM13" s="15"/>
      <c r="EN13" s="15"/>
      <c r="EO13" s="15"/>
      <c r="EP13" s="15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/>
      <c r="FH13" s="12"/>
      <c r="FI13" s="12"/>
      <c r="FJ13" s="12"/>
      <c r="FK13" s="12"/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/>
      <c r="GC13" s="15"/>
      <c r="GD13" s="15"/>
      <c r="GE13" s="15"/>
      <c r="GF13" s="15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/>
      <c r="GX13" s="12"/>
      <c r="GY13" s="12"/>
      <c r="GZ13" s="12"/>
      <c r="HA13" s="12"/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/>
      <c r="HS13" s="15"/>
      <c r="HT13" s="15"/>
      <c r="HU13" s="15"/>
      <c r="HV13" s="15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/>
      <c r="IN13" s="12"/>
      <c r="IO13" s="12"/>
      <c r="IP13" s="12"/>
      <c r="IQ13" s="12"/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/>
      <c r="JI13" s="15"/>
      <c r="JJ13" s="15"/>
      <c r="JK13" s="15"/>
      <c r="JL13" s="15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/>
      <c r="KD13" s="12"/>
      <c r="KE13" s="12"/>
      <c r="KF13" s="12"/>
      <c r="KG13" s="12"/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>IF(SUM(KI13,KM13)&gt;0,SUM(KI13,KM13),"")</f>
        <v/>
      </c>
      <c r="KY13" s="15" t="str">
        <f>IF(SUM(KI13,KM13,KQ13,KU13)&gt;0,SUM(KI13,KM13,KQ13,KU13),"")</f>
        <v/>
      </c>
      <c r="KZ13" s="15" t="str">
        <f>IF(SUM(KH13:KI13,KK13:KM13,KO13)-SUM(KJ13,KN13)&gt;0,SUM(KH13:KI13,KK13:KM13,KO13)-SUM(KJ13,KN13),"")</f>
        <v/>
      </c>
      <c r="LA13" s="15" t="str">
        <f>IF(SUM(KP13:KQ13,KS13:KU13,KW13)-SUM(KR13,KV13)&gt;0,SUM(KP13:KQ13,KS13:KU13,KW13)-SUM(KR13,KV13),"")</f>
        <v/>
      </c>
      <c r="LB13" s="15" t="str">
        <f>IF(SUM(KZ13,LA13)&gt;0,SUM(KZ13,LA13),"")</f>
        <v/>
      </c>
      <c r="LC13" s="63">
        <f t="shared" si="6"/>
        <v>0</v>
      </c>
      <c r="LD13" s="63">
        <f t="shared" si="0"/>
        <v>0</v>
      </c>
      <c r="LE13" s="63">
        <f t="shared" si="0"/>
        <v>0</v>
      </c>
      <c r="LF13" s="63">
        <f t="shared" si="0"/>
        <v>0</v>
      </c>
      <c r="LG13" s="63">
        <f t="shared" si="0"/>
        <v>13.8</v>
      </c>
      <c r="LH13" s="63">
        <f t="shared" si="0"/>
        <v>4</v>
      </c>
      <c r="LI13" s="63">
        <f t="shared" si="0"/>
        <v>0.15</v>
      </c>
      <c r="LJ13" s="63">
        <f t="shared" si="0"/>
        <v>0</v>
      </c>
      <c r="LK13" s="63">
        <f t="shared" si="0"/>
        <v>0</v>
      </c>
      <c r="LL13" s="63">
        <f t="shared" si="0"/>
        <v>0</v>
      </c>
      <c r="LM13" s="63">
        <f t="shared" si="0"/>
        <v>0</v>
      </c>
      <c r="LN13" s="63">
        <f t="shared" si="0"/>
        <v>0</v>
      </c>
      <c r="LO13" s="63">
        <f t="shared" si="0"/>
        <v>0</v>
      </c>
      <c r="LP13" s="63">
        <f t="shared" si="0"/>
        <v>0</v>
      </c>
      <c r="LQ13" s="63">
        <f t="shared" si="0"/>
        <v>0</v>
      </c>
      <c r="LR13" s="63">
        <f t="shared" si="0"/>
        <v>0</v>
      </c>
      <c r="LS13" s="74" t="s">
        <v>119</v>
      </c>
      <c r="LT13" s="12">
        <f t="shared" ref="LT13" si="12">IF(SUM(LD13,LH13)&gt;0,SUM(LD13,LH13),"")</f>
        <v>4</v>
      </c>
      <c r="LU13" s="12">
        <f t="shared" ref="LU13" si="13">IF(SUM(LD13,LH13,LL13,LP13)&gt;0,SUM(LD13,LH13,LL13,LP13),"")</f>
        <v>4</v>
      </c>
      <c r="LV13" s="12">
        <f t="shared" ref="LV13" si="14">IF(SUM(LC13:LD13,LF13:LH13,LJ13)-SUM(LE13,LI13)&gt;0,SUM(LC13:LD13,LF13:LH13,LJ13)-SUM(LE13,LI13),"")</f>
        <v>17.650000000000002</v>
      </c>
      <c r="LW13" s="12" t="str">
        <f t="shared" ref="LW13" si="15">IF(SUM(LK13:LL13,LN13:LP13,LR13)-SUM(LM13,LQ13)&gt;0,SUM(LK13:LL13,LN13:LP13,LR13)-SUM(LM13,LQ13),"")</f>
        <v/>
      </c>
      <c r="LX13" s="12">
        <f t="shared" ref="LX13" si="16">IF(SUM(LV13,LW13)&gt;0,SUM(LV13,LW13),"")</f>
        <v>17.650000000000002</v>
      </c>
    </row>
    <row r="16" spans="1:336" x14ac:dyDescent="0.2">
      <c r="B16" s="64" t="s">
        <v>51</v>
      </c>
      <c r="AH16" s="50"/>
      <c r="AI16" s="50"/>
      <c r="AK16" s="58">
        <v>13.2</v>
      </c>
      <c r="BD16" s="50"/>
      <c r="BE16" s="50"/>
      <c r="BG16" s="58">
        <v>14</v>
      </c>
      <c r="CA16" s="50"/>
      <c r="CB16" s="50"/>
      <c r="CD16" s="58">
        <v>24</v>
      </c>
      <c r="CV16" s="50"/>
      <c r="CW16" s="50"/>
      <c r="CY16" s="58">
        <v>14</v>
      </c>
      <c r="DQ16" s="50"/>
      <c r="DR16" s="50"/>
      <c r="DT16" s="58">
        <v>14</v>
      </c>
      <c r="EL16" s="50"/>
      <c r="EM16" s="50"/>
      <c r="EO16" s="77">
        <v>14</v>
      </c>
      <c r="FG16" s="50"/>
      <c r="FH16" s="50"/>
      <c r="FJ16" s="77">
        <v>14</v>
      </c>
      <c r="GB16" s="50"/>
      <c r="GC16" s="50"/>
      <c r="GE16" s="77">
        <v>14</v>
      </c>
      <c r="GW16" s="50"/>
      <c r="GX16" s="50"/>
      <c r="GZ16" s="77">
        <v>14</v>
      </c>
      <c r="HR16" s="50"/>
      <c r="HS16" s="50"/>
      <c r="HU16" s="77">
        <v>14</v>
      </c>
      <c r="IM16" s="50"/>
      <c r="IN16" s="50"/>
      <c r="IP16" s="77">
        <v>14</v>
      </c>
      <c r="JH16" s="50"/>
      <c r="JI16" s="50"/>
      <c r="JK16" s="77">
        <v>14</v>
      </c>
      <c r="KC16" s="50"/>
      <c r="KD16" s="50"/>
      <c r="KF16" s="77">
        <v>14</v>
      </c>
      <c r="KX16" s="50"/>
      <c r="KY16" s="50"/>
      <c r="LA16" s="77">
        <v>14</v>
      </c>
    </row>
    <row r="17" spans="1:313" hidden="1" x14ac:dyDescent="0.2">
      <c r="B17" s="90" t="s">
        <v>50</v>
      </c>
      <c r="AH17" s="50"/>
      <c r="AI17" s="50"/>
      <c r="AK17" s="102">
        <v>30</v>
      </c>
      <c r="BD17" s="50"/>
      <c r="BE17" s="50"/>
      <c r="BG17" s="104">
        <v>30</v>
      </c>
      <c r="CA17" s="50"/>
      <c r="CB17" s="50"/>
      <c r="CD17" s="104">
        <v>30</v>
      </c>
      <c r="CV17" s="50"/>
      <c r="CW17" s="50"/>
      <c r="CY17" s="104">
        <v>26.8</v>
      </c>
      <c r="DQ17" s="50"/>
      <c r="DR17" s="50"/>
      <c r="DT17" s="104">
        <v>1000</v>
      </c>
      <c r="EL17" s="50"/>
      <c r="EM17" s="50"/>
      <c r="EO17" s="104">
        <v>1000</v>
      </c>
      <c r="FG17" s="50"/>
      <c r="FH17" s="50"/>
      <c r="FJ17" s="104">
        <v>1000</v>
      </c>
      <c r="GB17" s="50"/>
      <c r="GC17" s="50"/>
      <c r="GE17" s="104">
        <v>1000</v>
      </c>
      <c r="GW17" s="50"/>
      <c r="GX17" s="50"/>
      <c r="GZ17" s="104">
        <v>1000</v>
      </c>
      <c r="HR17" s="50"/>
      <c r="HS17" s="50"/>
      <c r="HU17" s="104">
        <v>1000</v>
      </c>
      <c r="IM17" s="50"/>
      <c r="IN17" s="50"/>
      <c r="IP17" s="104">
        <v>1000</v>
      </c>
      <c r="JH17" s="50"/>
      <c r="JI17" s="50"/>
      <c r="JK17" s="104">
        <v>1000</v>
      </c>
      <c r="KC17" s="50"/>
      <c r="KD17" s="50"/>
      <c r="KF17" s="104">
        <v>1000</v>
      </c>
      <c r="KX17" s="50"/>
      <c r="KY17" s="50"/>
      <c r="LA17" s="104">
        <v>1000</v>
      </c>
    </row>
    <row r="18" spans="1:313" x14ac:dyDescent="0.2">
      <c r="A18" s="50"/>
      <c r="B18" s="91" t="s">
        <v>76</v>
      </c>
      <c r="C18" s="49"/>
      <c r="AH18" s="50"/>
      <c r="AI18" s="50"/>
      <c r="AK18" s="103">
        <v>30</v>
      </c>
      <c r="BD18" s="50"/>
      <c r="BE18" s="50"/>
      <c r="BG18" s="94">
        <v>26.8</v>
      </c>
      <c r="CA18" s="50"/>
      <c r="CB18" s="50"/>
      <c r="CD18" s="94">
        <v>30</v>
      </c>
      <c r="CV18" s="50"/>
      <c r="CW18" s="50"/>
      <c r="CY18" s="94">
        <v>26.8</v>
      </c>
      <c r="DQ18" s="50"/>
      <c r="DR18" s="50"/>
      <c r="DT18" s="94">
        <v>26.8</v>
      </c>
      <c r="EL18" s="50"/>
      <c r="EM18" s="50"/>
      <c r="EO18" s="94">
        <v>26.8</v>
      </c>
      <c r="FG18" s="50"/>
      <c r="FH18" s="50"/>
      <c r="FJ18" s="94">
        <v>26.8</v>
      </c>
      <c r="GB18" s="50"/>
      <c r="GC18" s="50"/>
      <c r="GE18" s="94">
        <v>26.8</v>
      </c>
      <c r="GW18" s="50"/>
      <c r="GX18" s="50"/>
      <c r="GZ18" s="94">
        <v>26.8</v>
      </c>
      <c r="HR18" s="50"/>
      <c r="HS18" s="50"/>
      <c r="HU18" s="94">
        <v>26.8</v>
      </c>
      <c r="IM18" s="50"/>
      <c r="IN18" s="50"/>
      <c r="IP18" s="94">
        <v>26.8</v>
      </c>
      <c r="JH18" s="50"/>
      <c r="JI18" s="50"/>
      <c r="JK18" s="94">
        <v>26.8</v>
      </c>
      <c r="KC18" s="50"/>
      <c r="KD18" s="50"/>
      <c r="KF18" s="94">
        <v>26.8</v>
      </c>
      <c r="KX18" s="50"/>
      <c r="KY18" s="50"/>
      <c r="LA18" s="94">
        <v>26.8</v>
      </c>
    </row>
    <row r="19" spans="1:313" x14ac:dyDescent="0.2">
      <c r="A19" s="50"/>
      <c r="B19" s="65" t="s">
        <v>48</v>
      </c>
      <c r="C19" s="49"/>
      <c r="AH19" s="50"/>
      <c r="AI19" s="50"/>
      <c r="AK19" s="59">
        <v>68.400000000000006</v>
      </c>
      <c r="BD19" s="50"/>
      <c r="BE19" s="50"/>
      <c r="BG19" s="59">
        <v>68</v>
      </c>
      <c r="CA19" s="50"/>
      <c r="CB19" s="50"/>
      <c r="CD19" s="59">
        <v>132</v>
      </c>
      <c r="CV19" s="50"/>
      <c r="CW19" s="50"/>
      <c r="CY19" s="59">
        <v>68</v>
      </c>
      <c r="DQ19" s="50"/>
      <c r="DR19" s="50"/>
      <c r="DT19" s="59">
        <v>68</v>
      </c>
      <c r="EL19" s="50"/>
      <c r="EM19" s="50"/>
      <c r="EO19" s="78">
        <v>68</v>
      </c>
      <c r="FG19" s="50"/>
      <c r="FH19" s="50"/>
      <c r="FJ19" s="78">
        <v>68</v>
      </c>
      <c r="GB19" s="50"/>
      <c r="GC19" s="50"/>
      <c r="GE19" s="78">
        <v>68</v>
      </c>
      <c r="GW19" s="50"/>
      <c r="GX19" s="50"/>
      <c r="GZ19" s="78">
        <v>68</v>
      </c>
      <c r="HR19" s="50"/>
      <c r="HS19" s="50"/>
      <c r="HU19" s="78">
        <v>68</v>
      </c>
      <c r="IM19" s="50"/>
      <c r="IN19" s="50"/>
      <c r="IP19" s="78">
        <v>68</v>
      </c>
      <c r="JH19" s="50"/>
      <c r="JI19" s="50"/>
      <c r="JK19" s="78">
        <v>68</v>
      </c>
      <c r="KC19" s="50"/>
      <c r="KD19" s="50"/>
      <c r="KF19" s="78">
        <v>68</v>
      </c>
      <c r="KX19" s="50"/>
      <c r="KY19" s="50"/>
      <c r="LA19" s="78">
        <v>68</v>
      </c>
    </row>
    <row r="20" spans="1:313" hidden="1" x14ac:dyDescent="0.2">
      <c r="A20" s="50"/>
      <c r="B20" s="66" t="s">
        <v>49</v>
      </c>
      <c r="C20" s="49"/>
      <c r="AH20" s="50"/>
      <c r="AI20" s="50"/>
      <c r="AK20" s="60">
        <v>141</v>
      </c>
      <c r="BD20" s="50"/>
      <c r="BE20" s="50"/>
      <c r="BG20" s="60">
        <v>141</v>
      </c>
      <c r="CA20" s="50"/>
      <c r="CB20" s="50"/>
      <c r="CD20" s="60">
        <v>135</v>
      </c>
      <c r="CV20" s="50"/>
      <c r="CW20" s="50"/>
      <c r="CY20" s="60">
        <v>135</v>
      </c>
      <c r="DQ20" s="50"/>
      <c r="DR20" s="50"/>
      <c r="DT20" s="60">
        <v>135</v>
      </c>
      <c r="EL20" s="50"/>
      <c r="EM20" s="50"/>
      <c r="EO20" s="79">
        <v>135</v>
      </c>
      <c r="FG20" s="50"/>
      <c r="FH20" s="50"/>
      <c r="FJ20" s="79">
        <v>135</v>
      </c>
      <c r="GB20" s="50"/>
      <c r="GC20" s="50"/>
      <c r="GE20" s="79">
        <v>135</v>
      </c>
      <c r="GW20" s="50"/>
      <c r="GX20" s="50"/>
      <c r="GZ20" s="79">
        <v>135</v>
      </c>
      <c r="HR20" s="50"/>
      <c r="HS20" s="50"/>
      <c r="HU20" s="79">
        <v>135</v>
      </c>
      <c r="IM20" s="50"/>
      <c r="IN20" s="50"/>
      <c r="IP20" s="79">
        <v>135</v>
      </c>
      <c r="JH20" s="50"/>
      <c r="JI20" s="50"/>
      <c r="JK20" s="79">
        <v>135</v>
      </c>
      <c r="KC20" s="50"/>
      <c r="KD20" s="50"/>
      <c r="KF20" s="79">
        <v>135</v>
      </c>
      <c r="KX20" s="50"/>
      <c r="KY20" s="50"/>
      <c r="LA20" s="79">
        <v>135</v>
      </c>
    </row>
    <row r="21" spans="1:313" x14ac:dyDescent="0.2">
      <c r="A21" s="50"/>
      <c r="B21" s="67" t="s">
        <v>70</v>
      </c>
      <c r="C21" s="49"/>
      <c r="AH21" s="50"/>
      <c r="AI21" s="50"/>
      <c r="AK21" s="61">
        <v>141</v>
      </c>
      <c r="BD21" s="50"/>
      <c r="BE21" s="50"/>
      <c r="BG21" s="61">
        <v>135</v>
      </c>
      <c r="CA21" s="50"/>
      <c r="CB21" s="50"/>
      <c r="CD21" s="61">
        <v>135</v>
      </c>
      <c r="CV21" s="50"/>
      <c r="CW21" s="50"/>
      <c r="CY21" s="61">
        <v>135</v>
      </c>
      <c r="DQ21" s="50"/>
      <c r="DR21" s="50"/>
      <c r="DT21" s="61">
        <v>135</v>
      </c>
      <c r="EL21" s="50"/>
      <c r="EM21" s="50"/>
      <c r="EO21" s="80">
        <v>135</v>
      </c>
      <c r="FG21" s="50"/>
      <c r="FH21" s="50"/>
      <c r="FJ21" s="80">
        <v>135</v>
      </c>
      <c r="GB21" s="50"/>
      <c r="GC21" s="50"/>
      <c r="GE21" s="80">
        <v>135</v>
      </c>
      <c r="GW21" s="50"/>
      <c r="GX21" s="50"/>
      <c r="GZ21" s="80">
        <v>135</v>
      </c>
      <c r="HR21" s="50"/>
      <c r="HS21" s="50"/>
      <c r="HU21" s="80">
        <v>135</v>
      </c>
      <c r="IM21" s="50"/>
      <c r="IN21" s="50"/>
      <c r="IP21" s="80">
        <v>135</v>
      </c>
      <c r="JH21" s="50"/>
      <c r="JI21" s="50"/>
      <c r="JK21" s="80">
        <v>135</v>
      </c>
      <c r="KC21" s="50"/>
      <c r="KD21" s="50"/>
      <c r="KF21" s="80">
        <v>135</v>
      </c>
      <c r="KX21" s="50"/>
      <c r="KY21" s="50"/>
      <c r="LA21" s="80">
        <v>135</v>
      </c>
    </row>
    <row r="22" spans="1:313" hidden="1" x14ac:dyDescent="0.2">
      <c r="A22" s="50"/>
      <c r="B22" s="68" t="s">
        <v>35</v>
      </c>
      <c r="C22" s="49"/>
      <c r="AH22" s="50"/>
      <c r="AI22" s="50"/>
      <c r="AK22" s="62">
        <v>1000</v>
      </c>
      <c r="BD22" s="50"/>
      <c r="BE22" s="50"/>
      <c r="BG22" s="62">
        <v>1000</v>
      </c>
      <c r="CA22" s="50"/>
      <c r="CB22" s="50"/>
      <c r="CD22" s="62">
        <v>1000</v>
      </c>
      <c r="CV22" s="50"/>
      <c r="CW22" s="50"/>
      <c r="CY22" s="62">
        <v>1000</v>
      </c>
      <c r="DQ22" s="50"/>
      <c r="DR22" s="50"/>
      <c r="DT22" s="62">
        <v>1000</v>
      </c>
      <c r="EL22" s="50"/>
      <c r="EM22" s="50"/>
      <c r="EO22" s="81">
        <v>1000</v>
      </c>
      <c r="FG22" s="50"/>
      <c r="FH22" s="50"/>
      <c r="FJ22" s="81">
        <v>1000</v>
      </c>
      <c r="GB22" s="50"/>
      <c r="GC22" s="50"/>
      <c r="GE22" s="81">
        <v>1000</v>
      </c>
      <c r="GW22" s="50"/>
      <c r="GX22" s="50"/>
      <c r="GZ22" s="81">
        <v>1000</v>
      </c>
      <c r="HR22" s="50"/>
      <c r="HS22" s="50"/>
      <c r="HU22" s="81">
        <v>1000</v>
      </c>
      <c r="IM22" s="50"/>
      <c r="IN22" s="50"/>
      <c r="IP22" s="81">
        <v>1000</v>
      </c>
      <c r="JH22" s="50"/>
      <c r="JI22" s="50"/>
      <c r="JK22" s="81">
        <v>1000</v>
      </c>
      <c r="KC22" s="50"/>
      <c r="KD22" s="50"/>
      <c r="KF22" s="81">
        <v>1000</v>
      </c>
      <c r="KX22" s="50"/>
      <c r="KY22" s="50"/>
      <c r="LA22" s="81">
        <v>1000</v>
      </c>
    </row>
    <row r="23" spans="1:313" x14ac:dyDescent="0.2">
      <c r="B23" s="76" t="s">
        <v>55</v>
      </c>
      <c r="C23" s="3"/>
      <c r="AK23" t="s">
        <v>75</v>
      </c>
      <c r="CC23" s="7"/>
      <c r="JJ23" s="7"/>
    </row>
    <row r="24" spans="1:313" x14ac:dyDescent="0.2">
      <c r="A24" s="50"/>
      <c r="B24" s="50"/>
      <c r="C24" s="49"/>
      <c r="AK24" t="s">
        <v>121</v>
      </c>
    </row>
    <row r="25" spans="1:313" x14ac:dyDescent="0.2">
      <c r="A25" s="50"/>
      <c r="B25" s="50"/>
      <c r="C25" s="49"/>
    </row>
    <row r="26" spans="1:313" x14ac:dyDescent="0.2">
      <c r="A26" s="50"/>
      <c r="B26" s="50"/>
      <c r="C26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13">
      <sortCondition descending="1" ref="F1:F13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4:I1048576">
    <cfRule type="containsText" dxfId="51" priority="190" operator="containsText" text="Merit">
      <formula>NOT(ISERROR(SEARCH("Merit",I14)))</formula>
    </cfRule>
    <cfRule type="containsText" dxfId="50" priority="191" operator="containsText" text="Excellence">
      <formula>NOT(ISERROR(SEARCH("Excellence",I14)))</formula>
    </cfRule>
    <cfRule type="containsText" dxfId="49" priority="192" operator="containsText" text="Worlds Team">
      <formula>NOT(ISERROR(SEARCH("Worlds Team",I14)))</formula>
    </cfRule>
    <cfRule type="containsText" dxfId="48" priority="821" operator="containsText" text="National Team">
      <formula>NOT(ISERROR(SEARCH("National Team",I14)))</formula>
    </cfRule>
  </conditionalFormatting>
  <conditionalFormatting sqref="K1:K1048576 M1:M1048576">
    <cfRule type="expression" dxfId="47" priority="8865">
      <formula>IF(K1=$AM$1,1,0)</formula>
    </cfRule>
    <cfRule type="expression" dxfId="46" priority="8866">
      <formula>IF(K1=$Q$1,1,0)</formula>
    </cfRule>
  </conditionalFormatting>
  <conditionalFormatting sqref="AM4:BH13">
    <cfRule type="expression" dxfId="45" priority="8867">
      <formula>IF($BC4&lt;&gt;"",1,0)</formula>
    </cfRule>
  </conditionalFormatting>
  <conditionalFormatting sqref="Q4:AL13">
    <cfRule type="expression" dxfId="44" priority="122">
      <formula>IF($AG4&lt;&gt;"",1,0)</formula>
    </cfRule>
  </conditionalFormatting>
  <conditionalFormatting sqref="I1:I1048576">
    <cfRule type="containsText" dxfId="43" priority="11" operator="containsText" text="No DD">
      <formula>NOT(ISERROR(SEARCH("No DD",I1)))</formula>
    </cfRule>
    <cfRule type="containsText" dxfId="42" priority="12" operator="containsText" text="Merit">
      <formula>NOT(ISERROR(SEARCH("Merit",I1)))</formula>
    </cfRule>
    <cfRule type="containsText" dxfId="41" priority="13" operator="containsText" text="Excellence">
      <formula>NOT(ISERROR(SEARCH("Excellence",I1)))</formula>
    </cfRule>
    <cfRule type="containsText" dxfId="40" priority="14" operator="containsText" text="Worlds Team">
      <formula>NOT(ISERROR(SEARCH("Worlds Team",I1)))</formula>
    </cfRule>
    <cfRule type="containsText" dxfId="39" priority="15" operator="containsText" text="National Team">
      <formula>NOT(ISERROR(SEARCH("National Team",I1)))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38" priority="14240">
      <formula>IF(AND(CC1&gt;=CD$20,CC1&lt;CD$21),1,0)</formula>
    </cfRule>
    <cfRule type="expression" dxfId="37" priority="14241">
      <formula>IF(AND(CC1&gt;=CD$19,CC1&lt;CD$20),1,0)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36" priority="14312">
      <formula>IF(AND(CE1&gt;=CD$22,CE1&lt;1000),1,0)</formula>
    </cfRule>
    <cfRule type="expression" dxfId="35" priority="14313">
      <formula>IF(AND(CE1&gt;=CD$21,CE1&lt;CD$22),1,0)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4" priority="14384">
      <formula>IF(AND(CA1&gt;=CD$17,CA1&lt;1000),1,0)</formula>
    </cfRule>
    <cfRule type="expression" dxfId="33" priority="14385">
      <formula>IF(AND(CA1&gt;=CD$16,CA1&lt;CD$17),1,0)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14450">
      <formula>IF(AND(CB1&gt;=CD$18,CB1&lt;1000),1,0)</formula>
    </cfRule>
  </conditionalFormatting>
  <conditionalFormatting sqref="AH1:AH1048576 BD1:BD1048576">
    <cfRule type="expression" dxfId="31" priority="14486">
      <formula>IF(AND(AH1&gt;=AK$17,AH1&lt;1000,AG1=""),1,0)</formula>
    </cfRule>
    <cfRule type="expression" dxfId="30" priority="14487">
      <formula>IF(AND(AH1&gt;=AK$16,AH1&lt;AK$17,AG1=""),1,0)</formula>
    </cfRule>
  </conditionalFormatting>
  <conditionalFormatting sqref="BF1:BF1048576 AJ1:AJ1048576">
    <cfRule type="expression" dxfId="29" priority="14498">
      <formula>IF(AND(AJ1&gt;=AK$20,AJ1&lt;AK$21,AG1=""),1,0)</formula>
    </cfRule>
    <cfRule type="expression" dxfId="28" priority="14499">
      <formula>IF(AND(AJ1&gt;=AK$19,AJ1&lt;AK$20,AG1=""),1,0)</formula>
    </cfRule>
  </conditionalFormatting>
  <conditionalFormatting sqref="BH1:BH1048576 AL1:AL1048576">
    <cfRule type="expression" dxfId="27" priority="14510">
      <formula>IF(AND(AL1&gt;=AK$22,AL1&lt;1000,AG1=""),1,0)</formula>
    </cfRule>
    <cfRule type="expression" dxfId="26" priority="14511">
      <formula>IF(AND(AL1&gt;=AK$21,AL1&lt;AK$22,AG1=""),1,0)</formula>
    </cfRule>
  </conditionalFormatting>
  <conditionalFormatting sqref="AI1:AI1048576 BE1:BE1048576">
    <cfRule type="expression" dxfId="25" priority="14522">
      <formula>IF(AND(AI1&gt;=AK$18,AI1&lt;1000,AG1=""),1,0)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10.83203125" hidden="1" customWidth="1"/>
  </cols>
  <sheetData>
    <row r="1" spans="1:336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68</v>
      </c>
      <c r="G1" s="117" t="s">
        <v>69</v>
      </c>
      <c r="H1" s="117" t="s">
        <v>8</v>
      </c>
      <c r="I1" s="110" t="s">
        <v>9</v>
      </c>
      <c r="J1" s="124" t="s">
        <v>72</v>
      </c>
      <c r="K1" s="112" t="s">
        <v>33</v>
      </c>
      <c r="L1" s="124" t="s">
        <v>71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53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5" t="s">
        <v>122</v>
      </c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6" t="s">
        <v>67</v>
      </c>
      <c r="BJ1" s="116"/>
      <c r="BK1" s="122" t="s">
        <v>65</v>
      </c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3"/>
      <c r="EL1" s="123"/>
      <c r="EM1" s="123"/>
      <c r="EN1" s="123"/>
      <c r="EO1" s="123"/>
      <c r="EP1" s="123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2"/>
      <c r="FF1" s="122"/>
      <c r="FG1" s="122"/>
      <c r="FH1" s="122"/>
      <c r="FI1" s="122"/>
      <c r="FJ1" s="122"/>
      <c r="FK1" s="122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3"/>
      <c r="FZ1" s="123"/>
      <c r="GA1" s="123"/>
      <c r="GB1" s="123"/>
      <c r="GC1" s="123"/>
      <c r="GD1" s="123"/>
      <c r="GE1" s="123"/>
      <c r="GF1" s="123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22"/>
      <c r="GV1" s="122"/>
      <c r="GW1" s="122"/>
      <c r="GX1" s="122"/>
      <c r="GY1" s="122"/>
      <c r="GZ1" s="122"/>
      <c r="HA1" s="122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3"/>
      <c r="HN1" s="123"/>
      <c r="HO1" s="123"/>
      <c r="HP1" s="123"/>
      <c r="HQ1" s="123"/>
      <c r="HR1" s="123"/>
      <c r="HS1" s="123"/>
      <c r="HT1" s="123"/>
      <c r="HU1" s="123"/>
      <c r="HV1" s="123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3"/>
      <c r="IS1" s="123"/>
      <c r="IT1" s="123"/>
      <c r="IU1" s="123"/>
      <c r="IV1" s="123"/>
      <c r="IW1" s="123"/>
      <c r="IX1" s="123"/>
      <c r="IY1" s="123"/>
      <c r="IZ1" s="123"/>
      <c r="JA1" s="123"/>
      <c r="JB1" s="123"/>
      <c r="JC1" s="123"/>
      <c r="JD1" s="123"/>
      <c r="JE1" s="123"/>
      <c r="JF1" s="123"/>
      <c r="JG1" s="123"/>
      <c r="JH1" s="123"/>
      <c r="JI1" s="123"/>
      <c r="JJ1" s="123"/>
      <c r="JK1" s="123"/>
      <c r="JL1" s="123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3"/>
      <c r="KI1" s="123"/>
      <c r="KJ1" s="123"/>
      <c r="KK1" s="123"/>
      <c r="KL1" s="123"/>
      <c r="KM1" s="123"/>
      <c r="KN1" s="123"/>
      <c r="KO1" s="123"/>
      <c r="KP1" s="123"/>
      <c r="KQ1" s="123"/>
      <c r="KR1" s="123"/>
      <c r="KS1" s="123"/>
      <c r="KT1" s="123"/>
      <c r="KU1" s="123"/>
      <c r="KV1" s="123"/>
      <c r="KW1" s="123"/>
      <c r="KX1" s="123"/>
      <c r="KY1" s="123"/>
      <c r="KZ1" s="123"/>
      <c r="LA1" s="123"/>
      <c r="LB1" s="123"/>
      <c r="LC1" s="113" t="s">
        <v>120</v>
      </c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</row>
    <row r="2" spans="1:336" x14ac:dyDescent="0.2">
      <c r="A2" s="110"/>
      <c r="B2" s="110"/>
      <c r="C2" s="110"/>
      <c r="D2" s="110"/>
      <c r="E2" s="110"/>
      <c r="F2" s="117"/>
      <c r="G2" s="117"/>
      <c r="H2" s="117"/>
      <c r="I2" s="110"/>
      <c r="J2" s="124"/>
      <c r="K2" s="112"/>
      <c r="L2" s="124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83"/>
      <c r="AH2" s="86" t="s">
        <v>25</v>
      </c>
      <c r="AI2" s="86" t="s">
        <v>77</v>
      </c>
      <c r="AJ2" s="10" t="s">
        <v>24</v>
      </c>
      <c r="AK2" s="10" t="s">
        <v>23</v>
      </c>
      <c r="AL2" s="10" t="s">
        <v>18</v>
      </c>
      <c r="AM2" s="109" t="s">
        <v>27</v>
      </c>
      <c r="AN2" s="109"/>
      <c r="AO2" s="109"/>
      <c r="AP2" s="109"/>
      <c r="AQ2" s="109" t="s">
        <v>30</v>
      </c>
      <c r="AR2" s="109"/>
      <c r="AS2" s="109"/>
      <c r="AT2" s="109"/>
      <c r="AU2" s="109" t="s">
        <v>31</v>
      </c>
      <c r="AV2" s="109"/>
      <c r="AW2" s="109"/>
      <c r="AX2" s="109"/>
      <c r="AY2" s="121" t="s">
        <v>32</v>
      </c>
      <c r="AZ2" s="121"/>
      <c r="BA2" s="121"/>
      <c r="BB2" s="121"/>
      <c r="BC2" s="82"/>
      <c r="BD2" s="87" t="s">
        <v>25</v>
      </c>
      <c r="BE2" s="87" t="s">
        <v>77</v>
      </c>
      <c r="BF2" s="13" t="s">
        <v>24</v>
      </c>
      <c r="BG2" s="13" t="s">
        <v>23</v>
      </c>
      <c r="BH2" s="13" t="s">
        <v>18</v>
      </c>
      <c r="BI2" s="22" t="s">
        <v>74</v>
      </c>
      <c r="BJ2" s="22" t="s">
        <v>73</v>
      </c>
      <c r="BK2" s="108" t="s">
        <v>27</v>
      </c>
      <c r="BL2" s="108"/>
      <c r="BM2" s="108"/>
      <c r="BN2" s="108"/>
      <c r="BO2" s="108" t="s">
        <v>30</v>
      </c>
      <c r="BP2" s="108"/>
      <c r="BQ2" s="108"/>
      <c r="BR2" s="108"/>
      <c r="BS2" s="108" t="s">
        <v>31</v>
      </c>
      <c r="BT2" s="108"/>
      <c r="BU2" s="108"/>
      <c r="BV2" s="108"/>
      <c r="BW2" s="119" t="s">
        <v>32</v>
      </c>
      <c r="BX2" s="119"/>
      <c r="BY2" s="119"/>
      <c r="BZ2" s="119"/>
      <c r="CA2" s="86" t="s">
        <v>25</v>
      </c>
      <c r="CB2" s="86" t="s">
        <v>77</v>
      </c>
      <c r="CC2" s="10" t="s">
        <v>24</v>
      </c>
      <c r="CD2" s="10" t="s">
        <v>23</v>
      </c>
      <c r="CE2" s="10" t="s">
        <v>18</v>
      </c>
      <c r="CF2" s="121" t="s">
        <v>27</v>
      </c>
      <c r="CG2" s="121"/>
      <c r="CH2" s="121"/>
      <c r="CI2" s="121"/>
      <c r="CJ2" s="121" t="s">
        <v>30</v>
      </c>
      <c r="CK2" s="121"/>
      <c r="CL2" s="121"/>
      <c r="CM2" s="121"/>
      <c r="CN2" s="121" t="s">
        <v>31</v>
      </c>
      <c r="CO2" s="121"/>
      <c r="CP2" s="121"/>
      <c r="CQ2" s="121"/>
      <c r="CR2" s="121" t="s">
        <v>32</v>
      </c>
      <c r="CS2" s="121"/>
      <c r="CT2" s="121"/>
      <c r="CU2" s="121"/>
      <c r="CV2" s="87" t="s">
        <v>25</v>
      </c>
      <c r="CW2" s="87" t="s">
        <v>77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77</v>
      </c>
      <c r="DS2" s="18" t="s">
        <v>24</v>
      </c>
      <c r="DT2" s="18" t="s">
        <v>23</v>
      </c>
      <c r="DU2" s="18" t="s">
        <v>18</v>
      </c>
      <c r="DV2" s="121" t="s">
        <v>27</v>
      </c>
      <c r="DW2" s="121"/>
      <c r="DX2" s="121"/>
      <c r="DY2" s="121"/>
      <c r="DZ2" s="121" t="s">
        <v>30</v>
      </c>
      <c r="EA2" s="121"/>
      <c r="EB2" s="121"/>
      <c r="EC2" s="121"/>
      <c r="ED2" s="121" t="s">
        <v>31</v>
      </c>
      <c r="EE2" s="121"/>
      <c r="EF2" s="121"/>
      <c r="EG2" s="121"/>
      <c r="EH2" s="121" t="s">
        <v>32</v>
      </c>
      <c r="EI2" s="121"/>
      <c r="EJ2" s="121"/>
      <c r="EK2" s="121"/>
      <c r="EL2" s="87" t="s">
        <v>25</v>
      </c>
      <c r="EM2" s="87" t="s">
        <v>77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77</v>
      </c>
      <c r="FI2" s="18" t="s">
        <v>24</v>
      </c>
      <c r="FJ2" s="18" t="s">
        <v>23</v>
      </c>
      <c r="FK2" s="18" t="s">
        <v>18</v>
      </c>
      <c r="FL2" s="121" t="s">
        <v>27</v>
      </c>
      <c r="FM2" s="121"/>
      <c r="FN2" s="121"/>
      <c r="FO2" s="121"/>
      <c r="FP2" s="121" t="s">
        <v>30</v>
      </c>
      <c r="FQ2" s="121"/>
      <c r="FR2" s="121"/>
      <c r="FS2" s="121"/>
      <c r="FT2" s="121" t="s">
        <v>31</v>
      </c>
      <c r="FU2" s="121"/>
      <c r="FV2" s="121"/>
      <c r="FW2" s="121"/>
      <c r="FX2" s="121" t="s">
        <v>32</v>
      </c>
      <c r="FY2" s="121"/>
      <c r="FZ2" s="121"/>
      <c r="GA2" s="121"/>
      <c r="GB2" s="87" t="s">
        <v>25</v>
      </c>
      <c r="GC2" s="87" t="s">
        <v>77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6" t="s">
        <v>25</v>
      </c>
      <c r="GX2" s="86" t="s">
        <v>77</v>
      </c>
      <c r="GY2" s="18" t="s">
        <v>24</v>
      </c>
      <c r="GZ2" s="18" t="s">
        <v>23</v>
      </c>
      <c r="HA2" s="18" t="s">
        <v>18</v>
      </c>
      <c r="HB2" s="121" t="s">
        <v>27</v>
      </c>
      <c r="HC2" s="121"/>
      <c r="HD2" s="121"/>
      <c r="HE2" s="121"/>
      <c r="HF2" s="121" t="s">
        <v>30</v>
      </c>
      <c r="HG2" s="121"/>
      <c r="HH2" s="121"/>
      <c r="HI2" s="121"/>
      <c r="HJ2" s="121" t="s">
        <v>31</v>
      </c>
      <c r="HK2" s="121"/>
      <c r="HL2" s="121"/>
      <c r="HM2" s="121"/>
      <c r="HN2" s="121" t="s">
        <v>32</v>
      </c>
      <c r="HO2" s="121"/>
      <c r="HP2" s="121"/>
      <c r="HQ2" s="121"/>
      <c r="HR2" s="87" t="s">
        <v>25</v>
      </c>
      <c r="HS2" s="87" t="s">
        <v>77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6" t="s">
        <v>25</v>
      </c>
      <c r="IN2" s="86" t="s">
        <v>77</v>
      </c>
      <c r="IO2" s="18" t="s">
        <v>24</v>
      </c>
      <c r="IP2" s="18" t="s">
        <v>23</v>
      </c>
      <c r="IQ2" s="18" t="s">
        <v>18</v>
      </c>
      <c r="IR2" s="121" t="s">
        <v>27</v>
      </c>
      <c r="IS2" s="121"/>
      <c r="IT2" s="121"/>
      <c r="IU2" s="121"/>
      <c r="IV2" s="121" t="s">
        <v>30</v>
      </c>
      <c r="IW2" s="121"/>
      <c r="IX2" s="121"/>
      <c r="IY2" s="121"/>
      <c r="IZ2" s="121" t="s">
        <v>31</v>
      </c>
      <c r="JA2" s="121"/>
      <c r="JB2" s="121"/>
      <c r="JC2" s="121"/>
      <c r="JD2" s="121" t="s">
        <v>32</v>
      </c>
      <c r="JE2" s="121"/>
      <c r="JF2" s="121"/>
      <c r="JG2" s="121"/>
      <c r="JH2" s="87" t="s">
        <v>25</v>
      </c>
      <c r="JI2" s="87" t="s">
        <v>77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6" t="s">
        <v>25</v>
      </c>
      <c r="KD2" s="86" t="s">
        <v>77</v>
      </c>
      <c r="KE2" s="18" t="s">
        <v>24</v>
      </c>
      <c r="KF2" s="18" t="s">
        <v>23</v>
      </c>
      <c r="KG2" s="18" t="s">
        <v>18</v>
      </c>
      <c r="KH2" s="121" t="s">
        <v>27</v>
      </c>
      <c r="KI2" s="121"/>
      <c r="KJ2" s="121"/>
      <c r="KK2" s="121"/>
      <c r="KL2" s="121" t="s">
        <v>30</v>
      </c>
      <c r="KM2" s="121"/>
      <c r="KN2" s="121"/>
      <c r="KO2" s="121"/>
      <c r="KP2" s="121" t="s">
        <v>31</v>
      </c>
      <c r="KQ2" s="121"/>
      <c r="KR2" s="121"/>
      <c r="KS2" s="121"/>
      <c r="KT2" s="121" t="s">
        <v>32</v>
      </c>
      <c r="KU2" s="121"/>
      <c r="KV2" s="121"/>
      <c r="KW2" s="121"/>
      <c r="KX2" s="87" t="s">
        <v>25</v>
      </c>
      <c r="KY2" s="87" t="s">
        <v>77</v>
      </c>
      <c r="KZ2" s="17" t="s">
        <v>24</v>
      </c>
      <c r="LA2" s="17" t="s">
        <v>23</v>
      </c>
      <c r="LB2" s="17" t="s">
        <v>18</v>
      </c>
      <c r="LC2" s="108" t="s">
        <v>27</v>
      </c>
      <c r="LD2" s="108"/>
      <c r="LE2" s="108"/>
      <c r="LF2" s="108"/>
      <c r="LG2" s="108" t="s">
        <v>30</v>
      </c>
      <c r="LH2" s="108"/>
      <c r="LI2" s="108"/>
      <c r="LJ2" s="108"/>
      <c r="LK2" s="108" t="s">
        <v>31</v>
      </c>
      <c r="LL2" s="108"/>
      <c r="LM2" s="108"/>
      <c r="LN2" s="108"/>
      <c r="LO2" s="119" t="s">
        <v>32</v>
      </c>
      <c r="LP2" s="119"/>
      <c r="LQ2" s="119"/>
      <c r="LR2" s="119"/>
      <c r="LS2" s="105"/>
      <c r="LT2" s="105" t="s">
        <v>25</v>
      </c>
      <c r="LU2" s="105" t="s">
        <v>77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0"/>
      <c r="B3" s="110"/>
      <c r="C3" s="110"/>
      <c r="D3" s="110"/>
      <c r="E3" s="110"/>
      <c r="F3" s="117"/>
      <c r="G3" s="117"/>
      <c r="H3" s="117"/>
      <c r="I3" s="110"/>
      <c r="J3" s="124"/>
      <c r="K3" s="112"/>
      <c r="L3" s="124"/>
      <c r="M3" s="112"/>
      <c r="N3" s="114"/>
      <c r="O3" s="112"/>
      <c r="P3" s="112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54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54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98</v>
      </c>
      <c r="C4" s="5" t="s">
        <v>5</v>
      </c>
      <c r="D4" s="6">
        <v>2002</v>
      </c>
      <c r="E4" s="16">
        <f>SUM(J4:N4)</f>
        <v>198.29999999999998</v>
      </c>
      <c r="F4" s="4" t="str">
        <f>IF(OR(AND(AH4&gt;=AK$11,AJ4&gt;=AK$14,AJ4&lt;&gt;"",AG4=""),AND(BD4&gt;=BG$11,BF4&gt;=BG$14,BF4&lt;&gt;"",BC4=""),AND(CA4&gt;=CD$11,CC4&gt;=CD$14,CC4&lt;&gt;""),AND(CV4&gt;=CY$11,CX4&gt;=CY$14,CX4&lt;&gt;""),AND(DQ4&gt;=DT$11,DS4&gt;=DT$14,DS4&lt;&gt;""),AND(EL4&gt;=EO$11,EN4&gt;=EO$14,EN4&lt;&gt;""),AND(FG4&gt;=FJ$11,FI4&gt;=FJ$14,FI4&lt;&gt;""),AND(GB4&gt;=GE$11,GD4&gt;=GE$14,GD4&lt;&gt;""),AND(GW4&gt;=GZ$11,GY4&gt;=GZ$14,GY4&lt;&gt;""),AND(HR4&gt;=HU$11,HT4&gt;=HU$14,HT4&lt;&gt;""),AND(IM4&gt;=IP$11,IO4&gt;=IP$14,IO4&lt;&gt;""),AND(JH4&gt;=JK$11,JJ4&gt;=JK$14,JJ4&lt;&gt;""),AND(KC4&gt;=KF$11,KE4&gt;=KF$14,KE4&lt;&gt;""),AND(KX4&gt;=LA$11,KZ4&gt;=LA$14,KZ4&lt;&gt;"")),"P","")</f>
        <v>P</v>
      </c>
      <c r="G4" s="4" t="str">
        <f>IF(OR(AND(AH4&gt;=AK$12,AJ4&gt;=AK$15,AJ4&lt;&gt;"",AG4=""),AND(BD4&gt;=BG$12,BF4&gt;=BG$15,BF4&lt;&gt;"",BC4=""),AND(CA4&gt;=CD$12,CC4&gt;=CD$15,CC4&lt;&gt;""),AND(CV4&gt;=CY$12,CX4&gt;=CY$15,CX4&lt;&gt;""),AND(DQ4&gt;=DT$12,DS4&gt;=DT$15,DS4&lt;&gt;""),AND(EL4&gt;=EO$12,EN4&gt;=EO$15,EN4&lt;&gt;""),AND(FG4&gt;=FJ$12,FI4&gt;=FJ$15,FI4&lt;&gt;""),AND(GB4&gt;=GE$12,GD4&gt;=GE$15,GD4&lt;&gt;""),AND(GW4&gt;=GZ$12,GY4&gt;=GZ$15,GY4&lt;&gt;""),AND(HR4&gt;=HU$12,HT4&gt;=HU$15,HT4&lt;&gt;""),AND(IM4&gt;=IP$12,IO4&gt;=IP$15,IO4&lt;&gt;""),AND(JH4&gt;=JK$12,JJ4&gt;=JK$15,JJ4&lt;&gt;""),AND(KC4&gt;=KF$12,KE4&gt;=KF$15,KE4&lt;&gt;""),AND(KX4&gt;=LA$12,KZ4&gt;=LA$15,KZ4&lt;&gt;"")),"P","")</f>
        <v/>
      </c>
      <c r="H4" s="4" t="str">
        <f>IF(OR(AND(AJ4&gt;=AK$14,AJ4&lt;&gt;"",AG4=""),AND(BF4&gt;=BG$14,BF4&lt;&gt;"",BC4=""),AND(CC4&gt;=CD$14,CC4&lt;&gt;""),AND(CX4&gt;=CY$14,CX4&lt;&gt;""),AND(DS4&gt;=DT$14,DS4&lt;&gt;""),AND(EN4&gt;=EO$14,EN4&lt;&gt;""),AND(FI4&gt;=FJ$14,FI4&lt;&gt;""),AND(GD4&gt;=GE$14,GD4&lt;&gt;""),AND(GY4&gt;=GZ$14,GY4&lt;&gt;""),AND(HT4&gt;=HU$14,HT4&lt;&gt;""),AND(IO4&gt;=IP$14,IO4&lt;&gt;""),AND(JJ4&gt;=JK$14,JJ4&lt;&gt;""),AND(KE4&gt;=KF$14,KE4&lt;&gt;""),AND(KZ4&gt;=LA$14,KZ4&lt;&gt;"")),"P","")</f>
        <v>P</v>
      </c>
      <c r="I4" t="str">
        <f>IF(AND(H4="P",F4=""),"No DD",IF(OR(AND(AI4&gt;=AK$13,AI4&lt;&gt;"",AL4&gt;=AK$17,AL4&lt;&gt;"",AG4=""),AND(BE4&gt;=BG$13,BE4&lt;&gt;"",BH4&gt;=BG$17,BH4&lt;&gt;"",BC4=""),AND(CB4&gt;=CD$13,CB4&lt;&gt;"",CE4&gt;=CD$17,CE4&lt;&gt;""),AND(CW4&gt;=CY$13,CW4&lt;&gt;"",CZ4&gt;=CY$17,CZ4&lt;&gt;""),AND(DR4&gt;=DT$13,DR4&lt;&gt;"",DU4&gt;=DT$17,DU4&lt;&gt;""),AND(EM4&gt;=EO$13,EM4&lt;&gt;"",EP4&gt;=EO$17,EP4&lt;&gt;""),AND(FH4&gt;=FJ$13,FH4&lt;&gt;"",FK4&gt;=FJ$17,FK4&lt;&gt;""),AND(GC4&gt;=GE$13,GC4&lt;&gt;"",GF4&gt;=GE$17,GF4&lt;&gt;""),AND(GX4&gt;=GZ$13,GX4&lt;&gt;"",HA4&gt;=GZ$17,HA4&lt;&gt;""),AND(HS4&gt;=HU$13,HS4&lt;&gt;"",HV4&gt;=HU$17,HV4&lt;&gt;""),AND(IN4&gt;=IP$13,IN4&lt;&gt;"",IQ4&gt;=IP$17,IQ4&lt;&gt;""),AND(JI4&gt;=JK$13,JI4&lt;&gt;"",JL4&gt;=JK$17,JL4&lt;&gt;""),AND(KD4&gt;=KF$13,KD4&lt;&gt;"",KG4&gt;=KF$17,KG4&lt;&gt;""),AND(KY4&gt;=LA$13,KY4&lt;&gt;"",LB4&gt;=LA$17,LB4&lt;&gt;"")),"Merit",IF(OR(AND(AI4&gt;=AK$13,AI4&lt;&gt;"",AL4&gt;=AK$16,AL4&lt;&gt;"",AG4=""),AND(BE4&gt;=BG$13,BE4&lt;&gt;"",BH4&gt;=BG$16,BH4&lt;&gt;"",BC4=""),AND(CB4&gt;=CD$13,CB4&lt;&gt;"",CE4&gt;=CD$16,CE4&lt;&gt;""),AND(CW4&gt;=CY$13,CW4&lt;&gt;"",CZ4&gt;=CY$16,CZ4&lt;&gt;""),AND(DR4&gt;=DT$13,DR4&lt;&gt;"",DU4&gt;=DT$16,DU4&lt;&gt;""),AND(EM4&gt;=EO$13,EM4&lt;&gt;"",EP4&gt;=EO$16,EP4&lt;&gt;""),AND(FH4&gt;=FJ$13,FH4&lt;&gt;"",FK4&gt;=FJ$16,FK4&lt;&gt;""),AND(GC4&gt;=GE$13,GC4&lt;&gt;"",GF4&gt;=GE$16,GF4&lt;&gt;""),AND(GX4&gt;=GZ$13,GX4&lt;&gt;"",HA4&gt;=GZ$16,HA4&lt;&gt;""),AND(HS4&gt;=HU$13,HS4&lt;&gt;"",HV4&gt;=HU$16,HV4&lt;&gt;""),AND(IN4&gt;=IP$13,IN4&lt;&gt;"",IQ4&gt;=IP$16,IQ4&lt;&gt;""),AND(JI4&gt;=JK$13,JI4&lt;&gt;"",JL4&gt;=JK$16,JL4&lt;&gt;""),AND(KD4&gt;=KF$13,KD4&lt;&gt;"",KG4&gt;=KF$16,KG4&lt;&gt;""),AND(KY4&gt;=LA$13,KY4&lt;&gt;"",LB4&gt;=LA$16,LB4&lt;&gt;"")),"Excellence",IF(OR(AND(AH4&gt;=AK$12,AH4&lt;&gt;"",AJ4&gt;=AK$15,AJ4&lt;&gt;"",AG4=""),AND(BD4&gt;=BG$12,BD4&lt;&gt;"",BF4&gt;=BG$15,BF4&lt;&gt;"",BC4=""),AND(CA4&gt;=CD$12,CA4&lt;&gt;"",CC4&gt;=CD$15,CC4&lt;&gt;""),AND(CV4&gt;=CY$12,CV4&lt;&gt;"",CX4&gt;=CY$15,CX4&lt;&gt;""),AND(DQ4&gt;=DT$12,DQ4&lt;&gt;"",DS4&gt;=DT$15,DS4&lt;&gt;""),AND(EL4&gt;=EO$12,EL4&lt;&gt;"",EN4&gt;=EO$15,EN4&lt;&gt;""),AND(FG4&gt;=FJ$12,FG4&lt;&gt;"",FI4&gt;=FJ$15,FI4&lt;&gt;""),AND(GB4&gt;=GE$12,GB4&lt;&gt;"",GD4&gt;=GE$15,GD4&lt;&gt;""),AND(GW4&gt;=GZ$12,GW4&lt;&gt;"",GY4&gt;=GZ$15,GY4&lt;&gt;""),AND(HR4&gt;=HU$12,HR4&lt;&gt;"",HT4&gt;=HU$15,HT4&lt;&gt;""),AND(IM4&gt;=IP$12,IM4&lt;&gt;"",IO4&gt;=IP$15,IO4&lt;&gt;""),AND(JH4&gt;=JK$12,JH4&lt;&gt;"",JJ4&gt;=JK$15,JJ4&lt;&gt;""),AND(KC4&gt;=KF$12,KC4&lt;&gt;"",KE4&gt;=KF$15,KE4&lt;&gt;""),AND(KX4&gt;=LA$12,KX4&lt;&gt;"",KZ4&gt;=LA$15,KZ4&lt;&gt;"")),"Worlds Team",IF(OR(AND(AH4&gt;=AK$11,AH4&lt;&gt;"",AJ4&gt;=AK$14,AJ4&lt;&gt;"",AG4=""),AND(BD4&gt;=BG$11,BD4&lt;&gt;"",BF4&gt;=BG$14,BF4&lt;&gt;"",BC4=""),AND(CA4&gt;=CD$11,CA4&lt;&gt;"",CC4&gt;=CD$14,CC4&lt;&gt;""),AND(CV4&gt;=CY$11,CV4&lt;&gt;"",CX4&gt;=CY$14,CX4&lt;&gt;""),AND(DQ4&gt;=DT$11,DQ4&lt;&gt;"",DS4&gt;=DT$14,DS4&lt;&gt;""),AND(EL4&gt;=EO$11,EL4&lt;&gt;"",EN4&gt;=EO$14,EN4&lt;&gt;""),AND(FG4&gt;=FJ$11,FG4&lt;&gt;"",FI4&gt;=FJ$14,FI4&lt;&gt;""),AND(GB4&gt;=GE$11,GB4&lt;&gt;"",GD4&gt;=GE$14,GD4&lt;&gt;""),AND(GW4&gt;=GZ$11,GW4&lt;&gt;"",GY4&gt;=GZ$14,GY4&lt;&gt;""),AND(HR4&gt;=HU$11,HR4&lt;&gt;"",HT4&gt;=HU$14,HT4&lt;&gt;""),AND(IM4&gt;=IP$11,IM4&lt;&gt;"",IO4&gt;=IP$14,IO4&lt;&gt;""),AND(JH4&gt;=JK$11,JH4&lt;&gt;"",JJ4&gt;=JK$14,JJ4&lt;&gt;""),AND(KC4&gt;=KF$11,KC4&lt;&gt;"",KE4&gt;=KF$14,KE4&lt;&gt;""),AND(KX4&gt;=LA$11,KX4&lt;&gt;"",KZ4&gt;=LA$14,KZ4&lt;&gt;"")),"National Team","")))))</f>
        <v>National Team</v>
      </c>
      <c r="J4" s="15">
        <f>IF(MAX(AL4,BH4)&gt;0,MAX(AL4,BH4),"")</f>
        <v>121.9</v>
      </c>
      <c r="K4" s="15" t="str">
        <f>IF(J4="","",IF(J4=BH4,$AM$1,IF(J4=AL4,$Q$1,"")))</f>
        <v>2018 Nationals</v>
      </c>
      <c r="L4" s="15">
        <f>IF(J4=AL4,IF(MAX(BF4,BG4)&gt;0,MAX(BF4,BG4),""),IF(J4=BH4,IF(MAX(AJ4,AK4)&gt;0,MAX(AJ4,AK4),""),MAX(AJ4,AK4,BF4,BG4)))</f>
        <v>66.399999999999991</v>
      </c>
      <c r="M4" s="15" t="str">
        <f>IF(L4="","",IF(AND(J4&lt;&gt;BH4,OR(L4=BG4,L4=BF4)),$AM$1,IF(OR(L4=AK4,L4=AJ4),$Q$1,"")))</f>
        <v>2019 Elite Canada</v>
      </c>
      <c r="N4" s="15">
        <f>IF(MAX(BI4:BJ4)&gt;0,MAX(BI4:BJ4),"")</f>
        <v>9.9999999999999716</v>
      </c>
      <c r="O4" s="25" t="str">
        <f>IF(N4="","",IF(N4=BI4,"(4 Pass)",IF(N4=BJ4,"(2 Pass)")))</f>
        <v>(4 Pass)</v>
      </c>
      <c r="P4" s="15" t="str">
        <f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Age Groups (Nov 18)</v>
      </c>
      <c r="Q4" s="63">
        <v>28.5</v>
      </c>
      <c r="R4" s="63">
        <v>6</v>
      </c>
      <c r="S4" s="63">
        <v>0</v>
      </c>
      <c r="T4" s="63">
        <v>0</v>
      </c>
      <c r="U4" s="63">
        <v>28.1</v>
      </c>
      <c r="V4" s="63">
        <v>4.8</v>
      </c>
      <c r="W4" s="63">
        <v>0</v>
      </c>
      <c r="X4" s="63">
        <v>0</v>
      </c>
      <c r="Y4" s="63">
        <v>28.2</v>
      </c>
      <c r="Z4" s="63">
        <v>4.8</v>
      </c>
      <c r="AA4" s="63">
        <v>0</v>
      </c>
      <c r="AB4" s="63">
        <v>0</v>
      </c>
      <c r="AC4" s="63">
        <v>20.8</v>
      </c>
      <c r="AD4" s="63">
        <v>0.7</v>
      </c>
      <c r="AE4" s="63">
        <v>0</v>
      </c>
      <c r="AF4" s="63">
        <v>0</v>
      </c>
      <c r="AG4" s="74"/>
      <c r="AH4" s="12">
        <f>IF(SUM(R4,V4)&gt;0,SUM(R4,V4),"")</f>
        <v>10.8</v>
      </c>
      <c r="AI4" s="12">
        <f>IF(SUM(R4,V4,Z4,AD4)&gt;0,SUM(R4,V4,Z4,AD4),"")</f>
        <v>16.3</v>
      </c>
      <c r="AJ4" s="12">
        <f>IF(SUM(Q4:R4,T4:V4,X4)-SUM(S4,W4)&gt;0,SUM(Q4:R4,T4:V4,X4)-SUM(S4,W4),"")</f>
        <v>67.400000000000006</v>
      </c>
      <c r="AK4" s="12">
        <f>IF(SUM(Y4:Z4,AB4:AD4,AF4)-SUM(AA4,AE4)&gt;0,SUM(Y4:Z4,AB4:AD4,AF4)-SUM(AA4,AE4),"")</f>
        <v>54.5</v>
      </c>
      <c r="AL4" s="12">
        <f>IF(SUM(AJ4,AK4)&gt;0,SUM(AJ4,AK4),"")</f>
        <v>121.9</v>
      </c>
      <c r="AM4" s="37">
        <v>28.3</v>
      </c>
      <c r="AN4" s="37">
        <v>6</v>
      </c>
      <c r="AO4" s="37">
        <v>0.9</v>
      </c>
      <c r="AP4" s="37">
        <v>0</v>
      </c>
      <c r="AQ4" s="37">
        <v>28.3</v>
      </c>
      <c r="AR4" s="37">
        <v>5.6</v>
      </c>
      <c r="AS4" s="37">
        <v>0.9</v>
      </c>
      <c r="AT4" s="37">
        <v>0</v>
      </c>
      <c r="AU4" s="37">
        <v>28.5</v>
      </c>
      <c r="AV4" s="37">
        <v>4.8</v>
      </c>
      <c r="AW4" s="37">
        <v>0</v>
      </c>
      <c r="AX4" s="37">
        <v>0</v>
      </c>
      <c r="AY4" s="37">
        <v>0</v>
      </c>
      <c r="AZ4" s="37">
        <v>0</v>
      </c>
      <c r="BA4" s="37">
        <v>0</v>
      </c>
      <c r="BB4" s="37">
        <v>0</v>
      </c>
      <c r="BC4" s="75"/>
      <c r="BD4" s="15">
        <f>IF(SUM(AN4,AR4)&gt;0,SUM(AN4,AR4),"")</f>
        <v>11.6</v>
      </c>
      <c r="BE4" s="15">
        <f>IF(SUM(AN4,AR4,AV4,AZ4)&gt;0,SUM(AN4,AR4,AV4,AZ4),"")</f>
        <v>16.399999999999999</v>
      </c>
      <c r="BF4" s="15">
        <f>IF(SUM(AM4:AN4,AP4:AR4,AT4)-SUM(AO4,AS4)&gt;0,SUM(AM4:AN4,AP4:AR4,AT4)-SUM(AO4,AS4),"")</f>
        <v>66.399999999999991</v>
      </c>
      <c r="BG4" s="15">
        <f>IF(SUM(AU4:AV4,AX4:AZ4,BB4)-SUM(AW4,BA4)&gt;0,SUM(AU4:AV4,AX4:AZ4,BB4)-SUM(AW4,BA4),"")</f>
        <v>33.299999999999997</v>
      </c>
      <c r="BH4" s="15">
        <f>IF(SUM(BF4,BG4)&gt;0,SUM(BF4,BG4),"")</f>
        <v>99.699999999999989</v>
      </c>
      <c r="BI4" s="24">
        <f>IF(MAX(CE4,CZ4,DU4,EP4,FK4,GF4,HA4,HV4,IQ4,JL4,KG4,LB4)-IF(J4="",0,J4)&gt;0.001,MAX(CE4,CZ4,DU4,EP4,FK4,GF4,HA4,HV4,IQ4,JL4,KG4,LB4)-IF(J4="",0,J4),"")</f>
        <v>9.9999999999999716</v>
      </c>
      <c r="BJ4" s="24" t="str">
        <f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27.4</v>
      </c>
      <c r="BL4" s="41">
        <v>6</v>
      </c>
      <c r="BM4" s="41">
        <v>0.9</v>
      </c>
      <c r="BN4" s="41">
        <v>0</v>
      </c>
      <c r="BO4" s="41">
        <v>28</v>
      </c>
      <c r="BP4" s="41">
        <v>5.6</v>
      </c>
      <c r="BQ4" s="41">
        <v>0</v>
      </c>
      <c r="BR4" s="41">
        <v>0</v>
      </c>
      <c r="BS4" s="41">
        <v>28.3</v>
      </c>
      <c r="BT4" s="41">
        <v>4.8</v>
      </c>
      <c r="BU4" s="41">
        <v>0.3</v>
      </c>
      <c r="BV4" s="41">
        <v>0</v>
      </c>
      <c r="BW4" s="41">
        <v>28.2</v>
      </c>
      <c r="BX4" s="41">
        <v>4.8</v>
      </c>
      <c r="BY4" s="41">
        <v>0</v>
      </c>
      <c r="BZ4" s="41">
        <v>0</v>
      </c>
      <c r="CA4" s="12">
        <f>IF(SUM(BL4,BP4)&gt;0,SUM(BL4,BP4),"")</f>
        <v>11.6</v>
      </c>
      <c r="CB4" s="12">
        <f>IF(SUM(BL4,BP4,BT4,BX4)&gt;0,SUM(BL4,BP4,BT4,BX4),"")</f>
        <v>21.2</v>
      </c>
      <c r="CC4" s="12">
        <f>IF(SUM(BK4:BL4,BN4:BP4,BR4)-SUM(BM4,BQ4)&gt;0,SUM(BK4:BL4,BN4:BP4,BR4)-SUM(BM4,BQ4),"")</f>
        <v>66.099999999999994</v>
      </c>
      <c r="CD4" s="12">
        <f>IF(SUM(BS4:BT4,BV4:BX4,BZ4)-SUM(BU4,BY4)&gt;0,SUM(BS4:BT4,BV4:BX4,BZ4)-SUM(BU4,BY4),"")</f>
        <v>65.8</v>
      </c>
      <c r="CE4" s="12">
        <f>IF(SUM(CC4,CD4)&gt;0,SUM(CC4,CD4),"")</f>
        <v>131.89999999999998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>IF(SUM(CG4,CK4)&gt;0,SUM(CG4,CK4),"")</f>
        <v/>
      </c>
      <c r="CW4" s="15" t="str">
        <f>IF(SUM(CG4,CK4,CO4,CS4)&gt;0,SUM(CG4,CK4,CO4,CS4),"")</f>
        <v/>
      </c>
      <c r="CX4" s="15" t="str">
        <f>IF(SUM(CF4:CG4,CI4:CK4,CM4)-SUM(CH4,CL4)&gt;0,SUM(CF4:CG4,CI4:CK4,CM4)-SUM(CH4,CL4),"")</f>
        <v/>
      </c>
      <c r="CY4" s="15" t="str">
        <f>IF(SUM(CN4:CO4,CQ4:CS4,CU4)-SUM(CP4,CT4)&gt;0,SUM(CN4:CO4,CQ4:CS4,CU4)-SUM(CP4,CT4),"")</f>
        <v/>
      </c>
      <c r="CZ4" s="15" t="str">
        <f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>IF(SUM(DB4,DF4)&gt;0,SUM(DB4,DF4),"")</f>
        <v/>
      </c>
      <c r="DR4" s="12" t="str">
        <f>IF(SUM(DB4,DF4,DJ4,DN4)&gt;0,SUM(DB4,DF4,DJ4,DN4),"")</f>
        <v/>
      </c>
      <c r="DS4" s="12" t="str">
        <f>IF(SUM(DA4:DB4,DD4:DF4,DH4)-SUM(DC4,DG4)&gt;0,SUM(DA4:DB4,DD4:DF4,DH4)-SUM(DC4,DG4),"")</f>
        <v/>
      </c>
      <c r="DT4" s="12" t="str">
        <f>IF(SUM(DI4:DJ4,DL4:DN4,DP4)-SUM(DK4,DO4)&gt;0,SUM(DI4:DJ4,DL4:DN4,DP4)-SUM(DK4,DO4),"")</f>
        <v/>
      </c>
      <c r="DU4" s="12" t="str">
        <f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>IF(SUM(DW4,EA4)&gt;0,SUM(DW4,EA4),"")</f>
        <v/>
      </c>
      <c r="EM4" s="15" t="str">
        <f>IF(SUM(DW4,EA4,EE4,EI4)&gt;0,SUM(DW4,EA4,EE4,EI4),"")</f>
        <v/>
      </c>
      <c r="EN4" s="15" t="str">
        <f>IF(SUM(DV4:DW4,DY4:EA4,EC4)-SUM(DX4,EB4)&gt;0,SUM(DV4:DW4,DY4:EA4,EC4)-SUM(DX4,EB4),"")</f>
        <v/>
      </c>
      <c r="EO4" s="15" t="str">
        <f>IF(SUM(ED4:EE4,EG4:EI4,EK4)-SUM(EF4,EJ4)&gt;0,SUM(ED4:EE4,EG4:EI4,EK4)-SUM(EF4,EJ4),"")</f>
        <v/>
      </c>
      <c r="EP4" s="15" t="str">
        <f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>IF(SUM(ER4,EV4)&gt;0,SUM(ER4,EV4),"")</f>
        <v/>
      </c>
      <c r="FH4" s="12" t="str">
        <f>IF(SUM(ER4,EV4,EZ4,FD4)&gt;0,SUM(ER4,EV4,EZ4,FD4),"")</f>
        <v/>
      </c>
      <c r="FI4" s="12" t="str">
        <f>IF(SUM(EQ4:ER4,ET4:EV4,EX4)-SUM(ES4,EW4)&gt;0,SUM(EQ4:ER4,ET4:EV4,EX4)-SUM(ES4,EW4),"")</f>
        <v/>
      </c>
      <c r="FJ4" s="12" t="str">
        <f>IF(SUM(EY4:EZ4,FB4:FD4,FF4)-SUM(FA4,FE4)&gt;0,SUM(EY4:EZ4,FB4:FD4,FF4)-SUM(FA4,FE4),"")</f>
        <v/>
      </c>
      <c r="FK4" s="12" t="str">
        <f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>IF(SUM(FM4,FQ4)&gt;0,SUM(FM4,FQ4),"")</f>
        <v/>
      </c>
      <c r="GC4" s="15" t="str">
        <f>IF(SUM(FM4,FQ4,FU4,FY4)&gt;0,SUM(FM4,FQ4,FU4,FY4),"")</f>
        <v/>
      </c>
      <c r="GD4" s="15" t="str">
        <f>IF(SUM(FL4:FM4,FO4:FQ4,FS4)-SUM(FN4,FR4)&gt;0,SUM(FL4:FM4,FO4:FQ4,FS4)-SUM(FN4,FR4),"")</f>
        <v/>
      </c>
      <c r="GE4" s="15" t="str">
        <f>IF(SUM(FT4:FU4,FW4:FY4,GA4)-SUM(FV4,FZ4)&gt;0,SUM(FT4:FU4,FW4:FY4,GA4)-SUM(FV4,FZ4),"")</f>
        <v/>
      </c>
      <c r="GF4" s="15" t="str">
        <f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>IF(SUM(GH4,GL4)&gt;0,SUM(GH4,GL4),"")</f>
        <v/>
      </c>
      <c r="GX4" s="12" t="str">
        <f>IF(SUM(GH4,GL4,GP4,GT4)&gt;0,SUM(GH4,GL4,GP4,GT4),"")</f>
        <v/>
      </c>
      <c r="GY4" s="12" t="str">
        <f>IF(SUM(GG4:GH4,GJ4:GL4,GN4)-SUM(GI4,GM4)&gt;0,SUM(GG4:GH4,GJ4:GL4,GN4)-SUM(GI4,GM4),"")</f>
        <v/>
      </c>
      <c r="GZ4" s="12" t="str">
        <f>IF(SUM(GO4:GP4,GR4:GT4,GV4)-SUM(GQ4,GU4)&gt;0,SUM(GO4:GP4,GR4:GT4,GV4)-SUM(GQ4,GU4),"")</f>
        <v/>
      </c>
      <c r="HA4" s="12" t="str">
        <f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>IF(SUM(HC4,HG4)&gt;0,SUM(HC4,HG4),"")</f>
        <v/>
      </c>
      <c r="HS4" s="15" t="str">
        <f>IF(SUM(HC4,HG4,HK4,HO4)&gt;0,SUM(HC4,HG4,HK4,HO4),"")</f>
        <v/>
      </c>
      <c r="HT4" s="15" t="str">
        <f>IF(SUM(HB4:HC4,HE4:HG4,HI4)-SUM(HD4,HH4)&gt;0,SUM(HB4:HC4,HE4:HG4,HI4)-SUM(HD4,HH4),"")</f>
        <v/>
      </c>
      <c r="HU4" s="15" t="str">
        <f>IF(SUM(HJ4:HK4,HM4:HO4,HQ4)-SUM(HL4,HP4)&gt;0,SUM(HJ4:HK4,HM4:HO4,HQ4)-SUM(HL4,HP4),"")</f>
        <v/>
      </c>
      <c r="HV4" s="15" t="str">
        <f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>IF(SUM(HX4,IB4)&gt;0,SUM(HX4,IB4),"")</f>
        <v/>
      </c>
      <c r="IN4" s="12" t="str">
        <f>IF(SUM(HX4,IB4,IF4,IJ4)&gt;0,SUM(HX4,IB4,IF4,IJ4),"")</f>
        <v/>
      </c>
      <c r="IO4" s="12" t="str">
        <f>IF(SUM(HW4:HX4,HZ4:IB4,ID4)-SUM(HY4,IC4)&gt;0,SUM(HW4:HX4,HZ4:IB4,ID4)-SUM(HY4,IC4),"")</f>
        <v/>
      </c>
      <c r="IP4" s="12" t="str">
        <f>IF(SUM(IE4:IF4,IH4:IJ4,IL4)-SUM(IG4,IK4)&gt;0,SUM(IE4:IF4,IH4:IJ4,IL4)-SUM(IG4,IK4),"")</f>
        <v/>
      </c>
      <c r="IQ4" s="12" t="str">
        <f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>IF(SUM(IS4,IW4)&gt;0,SUM(IS4,IW4),"")</f>
        <v/>
      </c>
      <c r="JI4" s="15" t="str">
        <f>IF(SUM(IS4,IW4,JA4,JE4)&gt;0,SUM(IS4,IW4,JA4,JE4),"")</f>
        <v/>
      </c>
      <c r="JJ4" s="15" t="str">
        <f>IF(SUM(IR4:IS4,IU4:IW4,IY4)-SUM(IT4,IX4)&gt;0,SUM(IR4:IS4,IU4:IW4,IY4)-SUM(IT4,IX4),"")</f>
        <v/>
      </c>
      <c r="JK4" s="15" t="str">
        <f>IF(SUM(IZ4:JA4,JC4:JE4,JG4)-SUM(JB4,JF4)&gt;0,SUM(IZ4:JA4,JC4:JE4,JG4)-SUM(JB4,JF4),"")</f>
        <v/>
      </c>
      <c r="JL4" s="15" t="str">
        <f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>IF(SUM(JN4,JR4)&gt;0,SUM(JN4,JR4),"")</f>
        <v/>
      </c>
      <c r="KD4" s="12" t="str">
        <f>IF(SUM(JN4,JR4,JV4,JZ4)&gt;0,SUM(JN4,JR4,JV4,JZ4),"")</f>
        <v/>
      </c>
      <c r="KE4" s="12" t="str">
        <f>IF(SUM(JM4:JN4,JP4:JR4,JT4)-SUM(JO4,JS4)&gt;0,SUM(JM4:JN4,JP4:JR4,JT4)-SUM(JO4,JS4),"")</f>
        <v/>
      </c>
      <c r="KF4" s="12" t="str">
        <f>IF(SUM(JU4:JV4,JX4:JZ4,KB4)-SUM(JW4,KA4)&gt;0,SUM(JU4:JV4,JX4:JZ4,KB4)-SUM(JW4,KA4),"")</f>
        <v/>
      </c>
      <c r="KG4" s="12" t="str">
        <f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>IF(SUM(KI4,KM4)&gt;0,SUM(KI4,KM4),"")</f>
        <v/>
      </c>
      <c r="KY4" s="15" t="str">
        <f>IF(SUM(KI4,KM4,KQ4,KU4)&gt;0,SUM(KI4,KM4,KQ4,KU4),"")</f>
        <v/>
      </c>
      <c r="KZ4" s="15" t="str">
        <f>IF(SUM(KH4:KI4,KK4:KM4,KO4)-SUM(KJ4,KN4)&gt;0,SUM(KH4:KI4,KK4:KM4,KO4)-SUM(KJ4,KN4),"")</f>
        <v/>
      </c>
      <c r="LA4" s="15" t="str">
        <f>IF(SUM(KP4:KQ4,KS4:KU4,KW4)-SUM(KR4,KV4)&gt;0,SUM(KP4:KQ4,KS4:KU4,KW4)-SUM(KR4,KV4),"")</f>
        <v/>
      </c>
      <c r="LB4" s="15" t="str">
        <f>IF(SUM(KZ4,LA4)&gt;0,SUM(KZ4,LA4),"")</f>
        <v/>
      </c>
      <c r="LC4" s="63">
        <f>IF($BC4="P",AM4,(Q4+AM4)/2)</f>
        <v>28.4</v>
      </c>
      <c r="LD4" s="63">
        <f t="shared" ref="LD4:LR8" si="0">IF($BC4="P",AN4,(R4+AN4)/2)</f>
        <v>6</v>
      </c>
      <c r="LE4" s="63">
        <f t="shared" si="0"/>
        <v>0.45</v>
      </c>
      <c r="LF4" s="63">
        <f t="shared" si="0"/>
        <v>0</v>
      </c>
      <c r="LG4" s="63">
        <f t="shared" si="0"/>
        <v>28.200000000000003</v>
      </c>
      <c r="LH4" s="63">
        <f t="shared" si="0"/>
        <v>5.1999999999999993</v>
      </c>
      <c r="LI4" s="63">
        <f t="shared" si="0"/>
        <v>0.45</v>
      </c>
      <c r="LJ4" s="63">
        <f t="shared" si="0"/>
        <v>0</v>
      </c>
      <c r="LK4" s="63">
        <f t="shared" si="0"/>
        <v>28.35</v>
      </c>
      <c r="LL4" s="63">
        <f t="shared" si="0"/>
        <v>4.8</v>
      </c>
      <c r="LM4" s="63">
        <f t="shared" si="0"/>
        <v>0</v>
      </c>
      <c r="LN4" s="63">
        <f t="shared" si="0"/>
        <v>0</v>
      </c>
      <c r="LO4" s="63">
        <f t="shared" si="0"/>
        <v>10.4</v>
      </c>
      <c r="LP4" s="63">
        <f t="shared" si="0"/>
        <v>0.35</v>
      </c>
      <c r="LQ4" s="63">
        <f t="shared" si="0"/>
        <v>0</v>
      </c>
      <c r="LR4" s="63">
        <f t="shared" si="0"/>
        <v>0</v>
      </c>
      <c r="LS4" s="74" t="s">
        <v>119</v>
      </c>
      <c r="LT4" s="12">
        <f t="shared" ref="LT4" si="1">IF(SUM(LD4,LH4)&gt;0,SUM(LD4,LH4),"")</f>
        <v>11.2</v>
      </c>
      <c r="LU4" s="12">
        <f t="shared" ref="LU4" si="2">IF(SUM(LD4,LH4,LL4,LP4)&gt;0,SUM(LD4,LH4,LL4,LP4),"")</f>
        <v>16.350000000000001</v>
      </c>
      <c r="LV4" s="12">
        <f t="shared" ref="LV4" si="3">IF(SUM(LC4:LD4,LF4:LH4,LJ4)-SUM(LE4,LI4)&gt;0,SUM(LC4:LD4,LF4:LH4,LJ4)-SUM(LE4,LI4),"")</f>
        <v>66.899999999999991</v>
      </c>
      <c r="LW4" s="12">
        <f t="shared" ref="LW4" si="4">IF(SUM(LK4:LL4,LN4:LP4,LR4)-SUM(LM4,LQ4)&gt;0,SUM(LK4:LL4,LN4:LP4,LR4)-SUM(LM4,LQ4),"")</f>
        <v>43.9</v>
      </c>
      <c r="LX4" s="12">
        <f t="shared" ref="LX4" si="5">IF(SUM(LV4,LW4)&gt;0,SUM(LV4,LW4),"")</f>
        <v>110.79999999999998</v>
      </c>
    </row>
    <row r="5" spans="1:336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128</v>
      </c>
      <c r="C5" s="5" t="s">
        <v>5</v>
      </c>
      <c r="D5" s="6">
        <v>2001</v>
      </c>
      <c r="E5" s="16">
        <f>SUM(J5:N5)</f>
        <v>191.5</v>
      </c>
      <c r="F5" s="4" t="str">
        <f>IF(OR(AND(AH5&gt;=AK$11,AJ5&gt;=AK$14,AJ5&lt;&gt;"",AG5=""),AND(BD5&gt;=BG$11,BF5&gt;=BG$14,BF5&lt;&gt;"",BC5=""),AND(CA5&gt;=CD$11,CC5&gt;=CD$14,CC5&lt;&gt;""),AND(CV5&gt;=CY$11,CX5&gt;=CY$14,CX5&lt;&gt;""),AND(DQ5&gt;=DT$11,DS5&gt;=DT$14,DS5&lt;&gt;""),AND(EL5&gt;=EO$11,EN5&gt;=EO$14,EN5&lt;&gt;""),AND(FG5&gt;=FJ$11,FI5&gt;=FJ$14,FI5&lt;&gt;""),AND(GB5&gt;=GE$11,GD5&gt;=GE$14,GD5&lt;&gt;""),AND(GW5&gt;=GZ$11,GY5&gt;=GZ$14,GY5&lt;&gt;""),AND(HR5&gt;=HU$11,HT5&gt;=HU$14,HT5&lt;&gt;""),AND(IM5&gt;=IP$11,IO5&gt;=IP$14,IO5&lt;&gt;""),AND(JH5&gt;=JK$11,JJ5&gt;=JK$14,JJ5&lt;&gt;""),AND(KC5&gt;=KF$11,KE5&gt;=KF$14,KE5&lt;&gt;""),AND(KX5&gt;=LA$11,KZ5&gt;=LA$14,KZ5&lt;&gt;"")),"P","")</f>
        <v>P</v>
      </c>
      <c r="G5" s="4" t="str">
        <f>IF(OR(AND(AH5&gt;=AK$12,AJ5&gt;=AK$15,AJ5&lt;&gt;"",AG5=""),AND(BD5&gt;=BG$12,BF5&gt;=BG$15,BF5&lt;&gt;"",BC5=""),AND(CA5&gt;=CD$12,CC5&gt;=CD$15,CC5&lt;&gt;""),AND(CV5&gt;=CY$12,CX5&gt;=CY$15,CX5&lt;&gt;""),AND(DQ5&gt;=DT$12,DS5&gt;=DT$15,DS5&lt;&gt;""),AND(EL5&gt;=EO$12,EN5&gt;=EO$15,EN5&lt;&gt;""),AND(FG5&gt;=FJ$12,FI5&gt;=FJ$15,FI5&lt;&gt;""),AND(GB5&gt;=GE$12,GD5&gt;=GE$15,GD5&lt;&gt;""),AND(GW5&gt;=GZ$12,GY5&gt;=GZ$15,GY5&lt;&gt;""),AND(HR5&gt;=HU$12,HT5&gt;=HU$15,HT5&lt;&gt;""),AND(IM5&gt;=IP$12,IO5&gt;=IP$15,IO5&lt;&gt;""),AND(JH5&gt;=JK$12,JJ5&gt;=JK$15,JJ5&lt;&gt;""),AND(KC5&gt;=KF$12,KE5&gt;=KF$15,KE5&lt;&gt;""),AND(KX5&gt;=LA$12,KZ5&gt;=LA$15,KZ5&lt;&gt;"")),"P","")</f>
        <v/>
      </c>
      <c r="H5" s="4" t="str">
        <f>IF(OR(AND(AJ5&gt;=AK$14,AJ5&lt;&gt;"",AG5=""),AND(BF5&gt;=BG$14,BF5&lt;&gt;"",BC5=""),AND(CC5&gt;=CD$14,CC5&lt;&gt;""),AND(CX5&gt;=CY$14,CX5&lt;&gt;""),AND(DS5&gt;=DT$14,DS5&lt;&gt;""),AND(EN5&gt;=EO$14,EN5&lt;&gt;""),AND(FI5&gt;=FJ$14,FI5&lt;&gt;""),AND(GD5&gt;=GE$14,GD5&lt;&gt;""),AND(GY5&gt;=GZ$14,GY5&lt;&gt;""),AND(HT5&gt;=HU$14,HT5&lt;&gt;""),AND(IO5&gt;=IP$14,IO5&lt;&gt;""),AND(JJ5&gt;=JK$14,JJ5&lt;&gt;""),AND(KE5&gt;=KF$14,KE5&lt;&gt;""),AND(KZ5&gt;=LA$14,KZ5&lt;&gt;"")),"P","")</f>
        <v>P</v>
      </c>
      <c r="I5" t="str">
        <f>IF(AND(H5="P",F5=""),"No DD",IF(OR(AND(AI5&gt;=AK$13,AI5&lt;&gt;"",AL5&gt;=AK$17,AL5&lt;&gt;"",AG5=""),AND(BE5&gt;=BG$13,BE5&lt;&gt;"",BH5&gt;=BG$17,BH5&lt;&gt;"",BC5=""),AND(CB5&gt;=CD$13,CB5&lt;&gt;"",CE5&gt;=CD$17,CE5&lt;&gt;""),AND(CW5&gt;=CY$13,CW5&lt;&gt;"",CZ5&gt;=CY$17,CZ5&lt;&gt;""),AND(DR5&gt;=DT$13,DR5&lt;&gt;"",DU5&gt;=DT$17,DU5&lt;&gt;""),AND(EM5&gt;=EO$13,EM5&lt;&gt;"",EP5&gt;=EO$17,EP5&lt;&gt;""),AND(FH5&gt;=FJ$13,FH5&lt;&gt;"",FK5&gt;=FJ$17,FK5&lt;&gt;""),AND(GC5&gt;=GE$13,GC5&lt;&gt;"",GF5&gt;=GE$17,GF5&lt;&gt;""),AND(GX5&gt;=GZ$13,GX5&lt;&gt;"",HA5&gt;=GZ$17,HA5&lt;&gt;""),AND(HS5&gt;=HU$13,HS5&lt;&gt;"",HV5&gt;=HU$17,HV5&lt;&gt;""),AND(IN5&gt;=IP$13,IN5&lt;&gt;"",IQ5&gt;=IP$17,IQ5&lt;&gt;""),AND(JI5&gt;=JK$13,JI5&lt;&gt;"",JL5&gt;=JK$17,JL5&lt;&gt;""),AND(KD5&gt;=KF$13,KD5&lt;&gt;"",KG5&gt;=KF$17,KG5&lt;&gt;""),AND(KY5&gt;=LA$13,KY5&lt;&gt;"",LB5&gt;=LA$17,LB5&lt;&gt;"")),"Merit",IF(OR(AND(AI5&gt;=AK$13,AI5&lt;&gt;"",AL5&gt;=AK$16,AL5&lt;&gt;"",AG5=""),AND(BE5&gt;=BG$13,BE5&lt;&gt;"",BH5&gt;=BG$16,BH5&lt;&gt;"",BC5=""),AND(CB5&gt;=CD$13,CB5&lt;&gt;"",CE5&gt;=CD$16,CE5&lt;&gt;""),AND(CW5&gt;=CY$13,CW5&lt;&gt;"",CZ5&gt;=CY$16,CZ5&lt;&gt;""),AND(DR5&gt;=DT$13,DR5&lt;&gt;"",DU5&gt;=DT$16,DU5&lt;&gt;""),AND(EM5&gt;=EO$13,EM5&lt;&gt;"",EP5&gt;=EO$16,EP5&lt;&gt;""),AND(FH5&gt;=FJ$13,FH5&lt;&gt;"",FK5&gt;=FJ$16,FK5&lt;&gt;""),AND(GC5&gt;=GE$13,GC5&lt;&gt;"",GF5&gt;=GE$16,GF5&lt;&gt;""),AND(GX5&gt;=GZ$13,GX5&lt;&gt;"",HA5&gt;=GZ$16,HA5&lt;&gt;""),AND(HS5&gt;=HU$13,HS5&lt;&gt;"",HV5&gt;=HU$16,HV5&lt;&gt;""),AND(IN5&gt;=IP$13,IN5&lt;&gt;"",IQ5&gt;=IP$16,IQ5&lt;&gt;""),AND(JI5&gt;=JK$13,JI5&lt;&gt;"",JL5&gt;=JK$16,JL5&lt;&gt;""),AND(KD5&gt;=KF$13,KD5&lt;&gt;"",KG5&gt;=KF$16,KG5&lt;&gt;""),AND(KY5&gt;=LA$13,KY5&lt;&gt;"",LB5&gt;=LA$16,LB5&lt;&gt;"")),"Excellence",IF(OR(AND(AH5&gt;=AK$12,AH5&lt;&gt;"",AJ5&gt;=AK$15,AJ5&lt;&gt;"",AG5=""),AND(BD5&gt;=BG$12,BD5&lt;&gt;"",BF5&gt;=BG$15,BF5&lt;&gt;"",BC5=""),AND(CA5&gt;=CD$12,CA5&lt;&gt;"",CC5&gt;=CD$15,CC5&lt;&gt;""),AND(CV5&gt;=CY$12,CV5&lt;&gt;"",CX5&gt;=CY$15,CX5&lt;&gt;""),AND(DQ5&gt;=DT$12,DQ5&lt;&gt;"",DS5&gt;=DT$15,DS5&lt;&gt;""),AND(EL5&gt;=EO$12,EL5&lt;&gt;"",EN5&gt;=EO$15,EN5&lt;&gt;""),AND(FG5&gt;=FJ$12,FG5&lt;&gt;"",FI5&gt;=FJ$15,FI5&lt;&gt;""),AND(GB5&gt;=GE$12,GB5&lt;&gt;"",GD5&gt;=GE$15,GD5&lt;&gt;""),AND(GW5&gt;=GZ$12,GW5&lt;&gt;"",GY5&gt;=GZ$15,GY5&lt;&gt;""),AND(HR5&gt;=HU$12,HR5&lt;&gt;"",HT5&gt;=HU$15,HT5&lt;&gt;""),AND(IM5&gt;=IP$12,IM5&lt;&gt;"",IO5&gt;=IP$15,IO5&lt;&gt;""),AND(JH5&gt;=JK$12,JH5&lt;&gt;"",JJ5&gt;=JK$15,JJ5&lt;&gt;""),AND(KC5&gt;=KF$12,KC5&lt;&gt;"",KE5&gt;=KF$15,KE5&lt;&gt;""),AND(KX5&gt;=LA$12,KX5&lt;&gt;"",KZ5&gt;=LA$15,KZ5&lt;&gt;"")),"Worlds Team",IF(OR(AND(AH5&gt;=AK$11,AH5&lt;&gt;"",AJ5&gt;=AK$14,AJ5&lt;&gt;"",AG5=""),AND(BD5&gt;=BG$11,BD5&lt;&gt;"",BF5&gt;=BG$14,BF5&lt;&gt;"",BC5=""),AND(CA5&gt;=CD$11,CA5&lt;&gt;"",CC5&gt;=CD$14,CC5&lt;&gt;""),AND(CV5&gt;=CY$11,CV5&lt;&gt;"",CX5&gt;=CY$14,CX5&lt;&gt;""),AND(DQ5&gt;=DT$11,DQ5&lt;&gt;"",DS5&gt;=DT$14,DS5&lt;&gt;""),AND(EL5&gt;=EO$11,EL5&lt;&gt;"",EN5&gt;=EO$14,EN5&lt;&gt;""),AND(FG5&gt;=FJ$11,FG5&lt;&gt;"",FI5&gt;=FJ$14,FI5&lt;&gt;""),AND(GB5&gt;=GE$11,GB5&lt;&gt;"",GD5&gt;=GE$14,GD5&lt;&gt;""),AND(GW5&gt;=GZ$11,GW5&lt;&gt;"",GY5&gt;=GZ$14,GY5&lt;&gt;""),AND(HR5&gt;=HU$11,HR5&lt;&gt;"",HT5&gt;=HU$14,HT5&lt;&gt;""),AND(IM5&gt;=IP$11,IM5&lt;&gt;"",IO5&gt;=IP$14,IO5&lt;&gt;""),AND(JH5&gt;=JK$11,JH5&lt;&gt;"",JJ5&gt;=JK$14,JJ5&lt;&gt;""),AND(KC5&gt;=KF$11,KC5&lt;&gt;"",KE5&gt;=KF$14,KE5&lt;&gt;""),AND(KX5&gt;=LA$11,KX5&lt;&gt;"",KZ5&gt;=LA$14,KZ5&lt;&gt;"")),"National Team","")))))</f>
        <v>National Team</v>
      </c>
      <c r="J5" s="15">
        <f>IF(MAX(AL5,BH5)&gt;0,MAX(AL5,BH5),"")</f>
        <v>125.39999999999999</v>
      </c>
      <c r="K5" s="15" t="str">
        <f>IF(J5="","",IF(J5=BH5,$AM$1,IF(J5=AL5,$Q$1,"")))</f>
        <v>2019 Elite Canada</v>
      </c>
      <c r="L5" s="15">
        <f>IF(J5=AL5,IF(MAX(BF5,BG5)&gt;0,MAX(BF5,BG5),""),IF(J5=BH5,IF(MAX(AJ5,AK5)&gt;0,MAX(AJ5,AK5),""),MAX(AJ5,AK5,BF5,BG5)))</f>
        <v>66.099999999999994</v>
      </c>
      <c r="M5" s="15" t="str">
        <f>IF(L5="","",IF(AND(J5&lt;&gt;BH5,OR(L5=BG5,L5=BF5)),$AM$1,IF(OR(L5=AK5,L5=AJ5),$Q$1,"")))</f>
        <v>2018 Nationals</v>
      </c>
      <c r="N5" s="15" t="str">
        <f>IF(MAX(BI5:BJ5)&gt;0,MAX(BI5:BJ5),"")</f>
        <v/>
      </c>
      <c r="O5" s="25" t="str">
        <f>IF(N5="","",IF(N5=BI5,"(4 Pass)",IF(N5=BJ5,"(2 Pass)")))</f>
        <v/>
      </c>
      <c r="P5" s="15" t="str">
        <f>IF(N5="","",IF(N5=BI5,IF(N5+IF(J5="",0,J5)=CE5,$BK$1,IF(N5+IF(J5="",0,J5)=CZ5,$CF$1,IF(N5+IF(J5="",0,J5)=DU5,$DA$1,IF(N5+IF(J5="",0,J5)=EP5,$DV$1,IF(N5+IF(J5="",0,J5)=FK5,$EQ$1,IF(N5+IF(J5="",0,J5)=GF5,$FL$1,IF(N5+IF(J5="",0,J5)=HA5,$GG$1,IF(N5+IF(J5="",0,J5)=HV5,$HB$1,IF(N5+IF(J5="",0,J5)=IQ5,$HW$1,IF(N5+IF(J5="",0,J5)=JL5,$IR$1,IF(N5+IF(J5="",0,J5)=KG5,$JM$1,IF(N5+IF(J5="",0,J5)=LB5,$KH$1)))))))))))),IF(N5=BJ5,IF(OR(N5+IF(L5="",0,L5)=CC5,N5+IF(L5="",0,L5)=CD5),$BK$1,IF(OR(N5+IF(L5="",0,L5)=CX5,N5+IF(L5="",0,L5)=CY5),$CF$1,IF(OR(N5+IF(L5="",0,L5)=DS5,N5+IF(L5="",0,L5)=DT5),$DA$1,IF(OR(N5+IF(L5="",0,L5)=EN5,N5+IF(L5="",0,L5)=EO5),$DV$1,IF(OR(N5+IF(L5="",0,L5)=FI5,N5+IF(L5="",0,L5)=FJ5),$EQ$1,IF(OR(N5+IF(L5="",0,L5)=GD5,N5+IF(L5="",0,L5)=GE5),$FL$1,IF(OR(N5+IF(L5="",0,L5)=GY5,N5+IF(L5="",0,L5)=GZ5),$GG$1,IF(OR(N5+IF(L5="",0,L5)=HT5,N5+IF(L5="",0,L5)=HU5),$HB$1,IF(OR(N5+IF(L5="",0,L5)=IO5,N5+IF(L5="",0,L5)=IP5),$HW$1,IF(OR(N5+IF(L5="",0,L5)=JJ5,N5+IF(L5="",0,L5)=JK5),$IR$1,IF(OR(N5+IF(L5="",0,L5)=KE5,N5+IF(L5="",0,L5)=KF5),$JM$1,IF(OR(N5+IF(L5="",0,L5)=KZ5,N5+IF(L5="",0,L5)=LA5),$KH$1)))))))))))))))</f>
        <v/>
      </c>
      <c r="Q5" s="63">
        <v>28.5</v>
      </c>
      <c r="R5" s="63">
        <v>4.8</v>
      </c>
      <c r="S5" s="63">
        <v>0</v>
      </c>
      <c r="T5" s="63">
        <v>0.5</v>
      </c>
      <c r="U5" s="63">
        <v>27.5</v>
      </c>
      <c r="V5" s="63">
        <v>4.8</v>
      </c>
      <c r="W5" s="63">
        <v>0</v>
      </c>
      <c r="X5" s="63">
        <v>0</v>
      </c>
      <c r="Y5" s="63">
        <v>26.8</v>
      </c>
      <c r="Z5" s="63">
        <v>4.8</v>
      </c>
      <c r="AA5" s="63">
        <v>0.9</v>
      </c>
      <c r="AB5" s="63">
        <v>0</v>
      </c>
      <c r="AC5" s="63">
        <v>27.8</v>
      </c>
      <c r="AD5" s="63">
        <v>5.2</v>
      </c>
      <c r="AE5" s="63">
        <v>0</v>
      </c>
      <c r="AF5" s="63">
        <v>0</v>
      </c>
      <c r="AG5" s="74"/>
      <c r="AH5" s="12">
        <f>IF(SUM(R5,V5)&gt;0,SUM(R5,V5),"")</f>
        <v>9.6</v>
      </c>
      <c r="AI5" s="12">
        <f>IF(SUM(R5,V5,Z5,AD5)&gt;0,SUM(R5,V5,Z5,AD5),"")</f>
        <v>19.599999999999998</v>
      </c>
      <c r="AJ5" s="12">
        <f>IF(SUM(Q5:R5,T5:V5,X5)-SUM(S5,W5)&gt;0,SUM(Q5:R5,T5:V5,X5)-SUM(S5,W5),"")</f>
        <v>66.099999999999994</v>
      </c>
      <c r="AK5" s="12">
        <f>IF(SUM(Y5:Z5,AB5:AD5,AF5)-SUM(AA5,AE5)&gt;0,SUM(Y5:Z5,AB5:AD5,AF5)-SUM(AA5,AE5),"")</f>
        <v>63.70000000000001</v>
      </c>
      <c r="AL5" s="12"/>
      <c r="AM5" s="37">
        <v>26.6</v>
      </c>
      <c r="AN5" s="37">
        <v>4.8</v>
      </c>
      <c r="AO5" s="37">
        <v>0.9</v>
      </c>
      <c r="AP5" s="37">
        <v>0</v>
      </c>
      <c r="AQ5" s="37">
        <v>27.3</v>
      </c>
      <c r="AR5" s="37">
        <v>5.6</v>
      </c>
      <c r="AS5" s="37">
        <v>0</v>
      </c>
      <c r="AT5" s="37">
        <v>0</v>
      </c>
      <c r="AU5" s="37">
        <v>27.9</v>
      </c>
      <c r="AV5" s="37">
        <v>3.7</v>
      </c>
      <c r="AW5" s="37">
        <v>1.2</v>
      </c>
      <c r="AX5" s="37">
        <v>0</v>
      </c>
      <c r="AY5" s="37">
        <v>27.7</v>
      </c>
      <c r="AZ5" s="37">
        <v>4.8</v>
      </c>
      <c r="BA5" s="37">
        <v>0.9</v>
      </c>
      <c r="BB5" s="37">
        <v>0</v>
      </c>
      <c r="BC5" s="75"/>
      <c r="BD5" s="15">
        <f>IF(SUM(AN5,AR5)&gt;0,SUM(AN5,AR5),"")</f>
        <v>10.399999999999999</v>
      </c>
      <c r="BE5" s="15">
        <f>IF(SUM(AN5,AR5,AV5,AZ5)&gt;0,SUM(AN5,AR5,AV5,AZ5),"")</f>
        <v>18.899999999999999</v>
      </c>
      <c r="BF5" s="15">
        <f>IF(SUM(AM5:AN5,AP5:AR5,AT5)-SUM(AO5,AS5)&gt;0,SUM(AM5:AN5,AP5:AR5,AT5)-SUM(AO5,AS5),"")</f>
        <v>63.4</v>
      </c>
      <c r="BG5" s="15">
        <f>IF(SUM(AU5:AV5,AX5:AZ5,BB5)-SUM(AW5,BA5)&gt;0,SUM(AU5:AV5,AX5:AZ5,BB5)-SUM(AW5,BA5),"")</f>
        <v>61.999999999999993</v>
      </c>
      <c r="BH5" s="15">
        <f>IF(SUM(BF5,BG5)&gt;0,SUM(BF5,BG5),"")</f>
        <v>125.39999999999999</v>
      </c>
      <c r="BI5" s="24"/>
      <c r="BJ5" s="24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>
        <v>0</v>
      </c>
      <c r="BZ5" s="41">
        <v>0</v>
      </c>
      <c r="CA5" s="12" t="str">
        <f>IF(SUM(BL5,BP5)&gt;0,SUM(BL5,BP5),"")</f>
        <v/>
      </c>
      <c r="CB5" s="12" t="str">
        <f>IF(SUM(BL5,BP5,BT5,BX5)&gt;0,SUM(BL5,BP5,BT5,BX5),"")</f>
        <v/>
      </c>
      <c r="CC5" s="12"/>
      <c r="CD5" s="12"/>
      <c r="CE5" s="12"/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>IF(SUM(CG5,CK5)&gt;0,SUM(CG5,CK5),"")</f>
        <v/>
      </c>
      <c r="CW5" s="15"/>
      <c r="CX5" s="15"/>
      <c r="CY5" s="15"/>
      <c r="CZ5" s="15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/>
      <c r="DR5" s="12"/>
      <c r="DS5" s="12"/>
      <c r="DT5" s="12"/>
      <c r="DU5" s="12"/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/>
      <c r="EM5" s="15"/>
      <c r="EN5" s="15"/>
      <c r="EO5" s="15"/>
      <c r="EP5" s="15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/>
      <c r="FH5" s="12"/>
      <c r="FI5" s="12"/>
      <c r="FJ5" s="12"/>
      <c r="FK5" s="12"/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/>
      <c r="GC5" s="15"/>
      <c r="GD5" s="15"/>
      <c r="GE5" s="15"/>
      <c r="GF5" s="15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/>
      <c r="GX5" s="12"/>
      <c r="GY5" s="12"/>
      <c r="GZ5" s="12"/>
      <c r="HA5" s="12"/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/>
      <c r="HS5" s="15"/>
      <c r="HT5" s="15"/>
      <c r="HU5" s="15"/>
      <c r="HV5" s="15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/>
      <c r="IN5" s="12"/>
      <c r="IO5" s="12"/>
      <c r="IP5" s="12"/>
      <c r="IQ5" s="12"/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/>
      <c r="JI5" s="15"/>
      <c r="JJ5" s="15"/>
      <c r="JK5" s="15"/>
      <c r="JL5" s="15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/>
      <c r="KD5" s="12"/>
      <c r="KE5" s="12"/>
      <c r="KF5" s="12"/>
      <c r="KG5" s="12"/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>IF(SUM(KI5,KM5)&gt;0,SUM(KI5,KM5),"")</f>
        <v/>
      </c>
      <c r="KY5" s="15" t="str">
        <f>IF(SUM(KI5,KM5,KQ5,KU5)&gt;0,SUM(KI5,KM5,KQ5,KU5),"")</f>
        <v/>
      </c>
      <c r="KZ5" s="15" t="str">
        <f>IF(SUM(KH5:KI5,KK5:KM5,KO5)-SUM(KJ5,KN5)&gt;0,SUM(KH5:KI5,KK5:KM5,KO5)-SUM(KJ5,KN5),"")</f>
        <v/>
      </c>
      <c r="LA5" s="15" t="str">
        <f>IF(SUM(KP5:KQ5,KS5:KU5,KW5)-SUM(KR5,KV5)&gt;0,SUM(KP5:KQ5,KS5:KU5,KW5)-SUM(KR5,KV5),"")</f>
        <v/>
      </c>
      <c r="LB5" s="15" t="str">
        <f>IF(SUM(KZ5,LA5)&gt;0,SUM(KZ5,LA5),"")</f>
        <v/>
      </c>
      <c r="LC5" s="63">
        <f t="shared" ref="LC5:LC8" si="6">IF($BC5="P",AM5,(Q5+AM5)/2)</f>
        <v>27.55</v>
      </c>
      <c r="LD5" s="63">
        <f t="shared" si="0"/>
        <v>4.8</v>
      </c>
      <c r="LE5" s="63">
        <f t="shared" si="0"/>
        <v>0.45</v>
      </c>
      <c r="LF5" s="63">
        <f t="shared" si="0"/>
        <v>0.25</v>
      </c>
      <c r="LG5" s="63">
        <f t="shared" si="0"/>
        <v>27.4</v>
      </c>
      <c r="LH5" s="63">
        <f t="shared" si="0"/>
        <v>5.1999999999999993</v>
      </c>
      <c r="LI5" s="63">
        <f t="shared" si="0"/>
        <v>0</v>
      </c>
      <c r="LJ5" s="63">
        <f t="shared" si="0"/>
        <v>0</v>
      </c>
      <c r="LK5" s="63">
        <f t="shared" si="0"/>
        <v>27.35</v>
      </c>
      <c r="LL5" s="63">
        <f t="shared" si="0"/>
        <v>4.25</v>
      </c>
      <c r="LM5" s="63">
        <f t="shared" si="0"/>
        <v>1.05</v>
      </c>
      <c r="LN5" s="63">
        <f t="shared" si="0"/>
        <v>0</v>
      </c>
      <c r="LO5" s="63">
        <f t="shared" si="0"/>
        <v>27.75</v>
      </c>
      <c r="LP5" s="63">
        <f t="shared" si="0"/>
        <v>5</v>
      </c>
      <c r="LQ5" s="63">
        <f t="shared" si="0"/>
        <v>0.45</v>
      </c>
      <c r="LR5" s="63">
        <f t="shared" si="0"/>
        <v>0</v>
      </c>
      <c r="LS5" s="74" t="s">
        <v>119</v>
      </c>
      <c r="LT5" s="12">
        <f t="shared" ref="LT5" si="7">IF(SUM(LD5,LH5)&gt;0,SUM(LD5,LH5),"")</f>
        <v>10</v>
      </c>
      <c r="LU5" s="12">
        <f t="shared" ref="LU5" si="8">IF(SUM(LD5,LH5,LL5,LP5)&gt;0,SUM(LD5,LH5,LL5,LP5),"")</f>
        <v>19.25</v>
      </c>
      <c r="LV5" s="12">
        <f t="shared" ref="LV5" si="9">IF(SUM(LC5:LD5,LF5:LH5,LJ5)-SUM(LE5,LI5)&gt;0,SUM(LC5:LD5,LF5:LH5,LJ5)-SUM(LE5,LI5),"")</f>
        <v>64.75</v>
      </c>
      <c r="LW5" s="12">
        <f t="shared" ref="LW5" si="10">IF(SUM(LK5:LL5,LN5:LP5,LR5)-SUM(LM5,LQ5)&gt;0,SUM(LK5:LL5,LN5:LP5,LR5)-SUM(LM5,LQ5),"")</f>
        <v>62.849999999999994</v>
      </c>
      <c r="LX5" s="12">
        <f t="shared" ref="LX5" si="11">IF(SUM(LV5,LW5)&gt;0,SUM(LV5,LW5),"")</f>
        <v>127.6</v>
      </c>
    </row>
    <row r="6" spans="1:336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124</v>
      </c>
      <c r="C6" s="5" t="s">
        <v>4</v>
      </c>
      <c r="D6" s="6">
        <v>2001</v>
      </c>
      <c r="E6" s="16">
        <f>SUM(J6:N6)</f>
        <v>188.1</v>
      </c>
      <c r="F6" s="4" t="str">
        <f>IF(OR(AND(AH6&gt;=AK$11,AJ6&gt;=AK$14,AJ6&lt;&gt;"",AG6=""),AND(BD6&gt;=BG$11,BF6&gt;=BG$14,BF6&lt;&gt;"",BC6=""),AND(CA6&gt;=CD$11,CC6&gt;=CD$14,CC6&lt;&gt;""),AND(CV6&gt;=CY$11,CX6&gt;=CY$14,CX6&lt;&gt;""),AND(DQ6&gt;=DT$11,DS6&gt;=DT$14,DS6&lt;&gt;""),AND(EL6&gt;=EO$11,EN6&gt;=EO$14,EN6&lt;&gt;""),AND(FG6&gt;=FJ$11,FI6&gt;=FJ$14,FI6&lt;&gt;""),AND(GB6&gt;=GE$11,GD6&gt;=GE$14,GD6&lt;&gt;""),AND(GW6&gt;=GZ$11,GY6&gt;=GZ$14,GY6&lt;&gt;""),AND(HR6&gt;=HU$11,HT6&gt;=HU$14,HT6&lt;&gt;""),AND(IM6&gt;=IP$11,IO6&gt;=IP$14,IO6&lt;&gt;""),AND(JH6&gt;=JK$11,JJ6&gt;=JK$14,JJ6&lt;&gt;""),AND(KC6&gt;=KF$11,KE6&gt;=KF$14,KE6&lt;&gt;""),AND(KX6&gt;=LA$11,KZ6&gt;=LA$14,KZ6&lt;&gt;"")),"P","")</f>
        <v>P</v>
      </c>
      <c r="G6" s="4" t="str">
        <f>IF(OR(AND(AH6&gt;=AK$12,AJ6&gt;=AK$15,AJ6&lt;&gt;"",AG6=""),AND(BD6&gt;=BG$12,BF6&gt;=BG$15,BF6&lt;&gt;"",BC6=""),AND(CA6&gt;=CD$12,CC6&gt;=CD$15,CC6&lt;&gt;""),AND(CV6&gt;=CY$12,CX6&gt;=CY$15,CX6&lt;&gt;""),AND(DQ6&gt;=DT$12,DS6&gt;=DT$15,DS6&lt;&gt;""),AND(EL6&gt;=EO$12,EN6&gt;=EO$15,EN6&lt;&gt;""),AND(FG6&gt;=FJ$12,FI6&gt;=FJ$15,FI6&lt;&gt;""),AND(GB6&gt;=GE$12,GD6&gt;=GE$15,GD6&lt;&gt;""),AND(GW6&gt;=GZ$12,GY6&gt;=GZ$15,GY6&lt;&gt;""),AND(HR6&gt;=HU$12,HT6&gt;=HU$15,HT6&lt;&gt;""),AND(IM6&gt;=IP$12,IO6&gt;=IP$15,IO6&lt;&gt;""),AND(JH6&gt;=JK$12,JJ6&gt;=JK$15,JJ6&lt;&gt;""),AND(KC6&gt;=KF$12,KE6&gt;=KF$15,KE6&lt;&gt;""),AND(KX6&gt;=LA$12,KZ6&gt;=LA$15,KZ6&lt;&gt;"")),"P","")</f>
        <v/>
      </c>
      <c r="H6" s="4" t="str">
        <f>IF(OR(AND(AJ6&gt;=AK$14,AJ6&lt;&gt;"",AG6=""),AND(BF6&gt;=BG$14,BF6&lt;&gt;"",BC6=""),AND(CC6&gt;=CD$14,CC6&lt;&gt;""),AND(CX6&gt;=CY$14,CX6&lt;&gt;""),AND(DS6&gt;=DT$14,DS6&lt;&gt;""),AND(EN6&gt;=EO$14,EN6&lt;&gt;""),AND(FI6&gt;=FJ$14,FI6&lt;&gt;""),AND(GD6&gt;=GE$14,GD6&lt;&gt;""),AND(GY6&gt;=GZ$14,GY6&lt;&gt;""),AND(HT6&gt;=HU$14,HT6&lt;&gt;""),AND(IO6&gt;=IP$14,IO6&lt;&gt;""),AND(JJ6&gt;=JK$14,JJ6&lt;&gt;""),AND(KE6&gt;=KF$14,KE6&lt;&gt;""),AND(KZ6&gt;=LA$14,KZ6&lt;&gt;"")),"P","")</f>
        <v>P</v>
      </c>
      <c r="I6" t="str">
        <f>IF(AND(H6="P",F6=""),"No DD",IF(OR(AND(AI6&gt;=AK$13,AI6&lt;&gt;"",AL6&gt;=AK$17,AL6&lt;&gt;"",AG6=""),AND(BE6&gt;=BG$13,BE6&lt;&gt;"",BH6&gt;=BG$17,BH6&lt;&gt;"",BC6=""),AND(CB6&gt;=CD$13,CB6&lt;&gt;"",CE6&gt;=CD$17,CE6&lt;&gt;""),AND(CW6&gt;=CY$13,CW6&lt;&gt;"",CZ6&gt;=CY$17,CZ6&lt;&gt;""),AND(DR6&gt;=DT$13,DR6&lt;&gt;"",DU6&gt;=DT$17,DU6&lt;&gt;""),AND(EM6&gt;=EO$13,EM6&lt;&gt;"",EP6&gt;=EO$17,EP6&lt;&gt;""),AND(FH6&gt;=FJ$13,FH6&lt;&gt;"",FK6&gt;=FJ$17,FK6&lt;&gt;""),AND(GC6&gt;=GE$13,GC6&lt;&gt;"",GF6&gt;=GE$17,GF6&lt;&gt;""),AND(GX6&gt;=GZ$13,GX6&lt;&gt;"",HA6&gt;=GZ$17,HA6&lt;&gt;""),AND(HS6&gt;=HU$13,HS6&lt;&gt;"",HV6&gt;=HU$17,HV6&lt;&gt;""),AND(IN6&gt;=IP$13,IN6&lt;&gt;"",IQ6&gt;=IP$17,IQ6&lt;&gt;""),AND(JI6&gt;=JK$13,JI6&lt;&gt;"",JL6&gt;=JK$17,JL6&lt;&gt;""),AND(KD6&gt;=KF$13,KD6&lt;&gt;"",KG6&gt;=KF$17,KG6&lt;&gt;""),AND(KY6&gt;=LA$13,KY6&lt;&gt;"",LB6&gt;=LA$17,LB6&lt;&gt;"")),"Merit",IF(OR(AND(AI6&gt;=AK$13,AI6&lt;&gt;"",AL6&gt;=AK$16,AL6&lt;&gt;"",AG6=""),AND(BE6&gt;=BG$13,BE6&lt;&gt;"",BH6&gt;=BG$16,BH6&lt;&gt;"",BC6=""),AND(CB6&gt;=CD$13,CB6&lt;&gt;"",CE6&gt;=CD$16,CE6&lt;&gt;""),AND(CW6&gt;=CY$13,CW6&lt;&gt;"",CZ6&gt;=CY$16,CZ6&lt;&gt;""),AND(DR6&gt;=DT$13,DR6&lt;&gt;"",DU6&gt;=DT$16,DU6&lt;&gt;""),AND(EM6&gt;=EO$13,EM6&lt;&gt;"",EP6&gt;=EO$16,EP6&lt;&gt;""),AND(FH6&gt;=FJ$13,FH6&lt;&gt;"",FK6&gt;=FJ$16,FK6&lt;&gt;""),AND(GC6&gt;=GE$13,GC6&lt;&gt;"",GF6&gt;=GE$16,GF6&lt;&gt;""),AND(GX6&gt;=GZ$13,GX6&lt;&gt;"",HA6&gt;=GZ$16,HA6&lt;&gt;""),AND(HS6&gt;=HU$13,HS6&lt;&gt;"",HV6&gt;=HU$16,HV6&lt;&gt;""),AND(IN6&gt;=IP$13,IN6&lt;&gt;"",IQ6&gt;=IP$16,IQ6&lt;&gt;""),AND(JI6&gt;=JK$13,JI6&lt;&gt;"",JL6&gt;=JK$16,JL6&lt;&gt;""),AND(KD6&gt;=KF$13,KD6&lt;&gt;"",KG6&gt;=KF$16,KG6&lt;&gt;""),AND(KY6&gt;=LA$13,KY6&lt;&gt;"",LB6&gt;=LA$16,LB6&lt;&gt;"")),"Excellence",IF(OR(AND(AH6&gt;=AK$12,AH6&lt;&gt;"",AJ6&gt;=AK$15,AJ6&lt;&gt;"",AG6=""),AND(BD6&gt;=BG$12,BD6&lt;&gt;"",BF6&gt;=BG$15,BF6&lt;&gt;"",BC6=""),AND(CA6&gt;=CD$12,CA6&lt;&gt;"",CC6&gt;=CD$15,CC6&lt;&gt;""),AND(CV6&gt;=CY$12,CV6&lt;&gt;"",CX6&gt;=CY$15,CX6&lt;&gt;""),AND(DQ6&gt;=DT$12,DQ6&lt;&gt;"",DS6&gt;=DT$15,DS6&lt;&gt;""),AND(EL6&gt;=EO$12,EL6&lt;&gt;"",EN6&gt;=EO$15,EN6&lt;&gt;""),AND(FG6&gt;=FJ$12,FG6&lt;&gt;"",FI6&gt;=FJ$15,FI6&lt;&gt;""),AND(GB6&gt;=GE$12,GB6&lt;&gt;"",GD6&gt;=GE$15,GD6&lt;&gt;""),AND(GW6&gt;=GZ$12,GW6&lt;&gt;"",GY6&gt;=GZ$15,GY6&lt;&gt;""),AND(HR6&gt;=HU$12,HR6&lt;&gt;"",HT6&gt;=HU$15,HT6&lt;&gt;""),AND(IM6&gt;=IP$12,IM6&lt;&gt;"",IO6&gt;=IP$15,IO6&lt;&gt;""),AND(JH6&gt;=JK$12,JH6&lt;&gt;"",JJ6&gt;=JK$15,JJ6&lt;&gt;""),AND(KC6&gt;=KF$12,KC6&lt;&gt;"",KE6&gt;=KF$15,KE6&lt;&gt;""),AND(KX6&gt;=LA$12,KX6&lt;&gt;"",KZ6&gt;=LA$15,KZ6&lt;&gt;"")),"Worlds Team",IF(OR(AND(AH6&gt;=AK$11,AH6&lt;&gt;"",AJ6&gt;=AK$14,AJ6&lt;&gt;"",AG6=""),AND(BD6&gt;=BG$11,BD6&lt;&gt;"",BF6&gt;=BG$14,BF6&lt;&gt;"",BC6=""),AND(CA6&gt;=CD$11,CA6&lt;&gt;"",CC6&gt;=CD$14,CC6&lt;&gt;""),AND(CV6&gt;=CY$11,CV6&lt;&gt;"",CX6&gt;=CY$14,CX6&lt;&gt;""),AND(DQ6&gt;=DT$11,DQ6&lt;&gt;"",DS6&gt;=DT$14,DS6&lt;&gt;""),AND(EL6&gt;=EO$11,EL6&lt;&gt;"",EN6&gt;=EO$14,EN6&lt;&gt;""),AND(FG6&gt;=FJ$11,FG6&lt;&gt;"",FI6&gt;=FJ$14,FI6&lt;&gt;""),AND(GB6&gt;=GE$11,GB6&lt;&gt;"",GD6&gt;=GE$14,GD6&lt;&gt;""),AND(GW6&gt;=GZ$11,GW6&lt;&gt;"",GY6&gt;=GZ$14,GY6&lt;&gt;""),AND(HR6&gt;=HU$11,HR6&lt;&gt;"",HT6&gt;=HU$14,HT6&lt;&gt;""),AND(IM6&gt;=IP$11,IM6&lt;&gt;"",IO6&gt;=IP$14,IO6&lt;&gt;""),AND(JH6&gt;=JK$11,JH6&lt;&gt;"",JJ6&gt;=JK$14,JJ6&lt;&gt;""),AND(KC6&gt;=KF$11,KC6&lt;&gt;"",KE6&gt;=KF$14,KE6&lt;&gt;""),AND(KX6&gt;=LA$11,KX6&lt;&gt;"",KZ6&gt;=LA$14,KZ6&lt;&gt;"")),"National Team","")))))</f>
        <v>National Team</v>
      </c>
      <c r="J6" s="15">
        <f>IF(MAX(AL6,BH6)&gt;0,MAX(AL6,BH6),"")</f>
        <v>121.7</v>
      </c>
      <c r="K6" s="15" t="str">
        <f>IF(J6="","",IF(J6=BH6,$AM$1,IF(J6=AL6,$Q$1,"")))</f>
        <v>2019 Elite Canada</v>
      </c>
      <c r="L6" s="15">
        <f>IF(J6=AL6,IF(MAX(BF6,BG6)&gt;0,MAX(BF6,BG6),""),IF(J6=BH6,IF(MAX(AJ6,AK6)&gt;0,MAX(AJ6,AK6),""),MAX(AJ6,AK6,BF6,BG6)))</f>
        <v>66.399999999999991</v>
      </c>
      <c r="M6" s="15" t="str">
        <f>IF(L6="","",IF(AND(J6&lt;&gt;BH6,OR(L6=BG6,L6=BF6)),$AM$1,IF(OR(L6=AK6,L6=AJ6),$Q$1,"")))</f>
        <v>2018 Nationals</v>
      </c>
      <c r="N6" s="15" t="str">
        <f>IF(MAX(BI6:BJ6)&gt;0,MAX(BI6:BJ6),"")</f>
        <v/>
      </c>
      <c r="O6" s="25" t="str">
        <f>IF(N6="","",IF(N6=BI6,"(4 Pass)",IF(N6=BJ6,"(2 Pass)")))</f>
        <v/>
      </c>
      <c r="P6" s="15" t="str">
        <f>IF(N6="","",IF(N6=BI6,IF(N6+IF(J6="",0,J6)=CE6,$BK$1,IF(N6+IF(J6="",0,J6)=CZ6,$CF$1,IF(N6+IF(J6="",0,J6)=DU6,$DA$1,IF(N6+IF(J6="",0,J6)=EP6,$DV$1,IF(N6+IF(J6="",0,J6)=FK6,$EQ$1,IF(N6+IF(J6="",0,J6)=GF6,$FL$1,IF(N6+IF(J6="",0,J6)=HA6,$GG$1,IF(N6+IF(J6="",0,J6)=HV6,$HB$1,IF(N6+IF(J6="",0,J6)=IQ6,$HW$1,IF(N6+IF(J6="",0,J6)=JL6,$IR$1,IF(N6+IF(J6="",0,J6)=KG6,$JM$1,IF(N6+IF(J6="",0,J6)=LB6,$KH$1)))))))))))),IF(N6=BJ6,IF(OR(N6+IF(L6="",0,L6)=CC6,N6+IF(L6="",0,L6)=CD6),$BK$1,IF(OR(N6+IF(L6="",0,L6)=CX6,N6+IF(L6="",0,L6)=CY6),$CF$1,IF(OR(N6+IF(L6="",0,L6)=DS6,N6+IF(L6="",0,L6)=DT6),$DA$1,IF(OR(N6+IF(L6="",0,L6)=EN6,N6+IF(L6="",0,L6)=EO6),$DV$1,IF(OR(N6+IF(L6="",0,L6)=FI6,N6+IF(L6="",0,L6)=FJ6),$EQ$1,IF(OR(N6+IF(L6="",0,L6)=GD6,N6+IF(L6="",0,L6)=GE6),$FL$1,IF(OR(N6+IF(L6="",0,L6)=GY6,N6+IF(L6="",0,L6)=GZ6),$GG$1,IF(OR(N6+IF(L6="",0,L6)=HT6,N6+IF(L6="",0,L6)=HU6),$HB$1,IF(OR(N6+IF(L6="",0,L6)=IO6,N6+IF(L6="",0,L6)=IP6),$HW$1,IF(OR(N6+IF(L6="",0,L6)=JJ6,N6+IF(L6="",0,L6)=JK6),$IR$1,IF(OR(N6+IF(L6="",0,L6)=KE6,N6+IF(L6="",0,L6)=KF6),$JM$1,IF(OR(N6+IF(L6="",0,L6)=KZ6,N6+IF(L6="",0,L6)=LA6),$KH$1)))))))))))))))</f>
        <v/>
      </c>
      <c r="Q6" s="63">
        <v>28.4</v>
      </c>
      <c r="R6" s="63">
        <v>5.2</v>
      </c>
      <c r="S6" s="63">
        <v>0</v>
      </c>
      <c r="T6" s="63">
        <v>0</v>
      </c>
      <c r="U6" s="63">
        <v>28</v>
      </c>
      <c r="V6" s="63">
        <v>5.2</v>
      </c>
      <c r="W6" s="63">
        <v>0.9</v>
      </c>
      <c r="X6" s="63">
        <v>0.5</v>
      </c>
      <c r="Y6" s="63">
        <v>28.2</v>
      </c>
      <c r="Z6" s="63">
        <v>4.4000000000000004</v>
      </c>
      <c r="AA6" s="63">
        <v>0</v>
      </c>
      <c r="AB6" s="63">
        <v>0</v>
      </c>
      <c r="AC6" s="63">
        <v>28.1</v>
      </c>
      <c r="AD6" s="63">
        <v>4</v>
      </c>
      <c r="AE6" s="63">
        <v>0</v>
      </c>
      <c r="AF6" s="63">
        <v>0</v>
      </c>
      <c r="AG6" s="74"/>
      <c r="AH6" s="12">
        <f>IF(SUM(R6,V6)&gt;0,SUM(R6,V6),"")</f>
        <v>10.4</v>
      </c>
      <c r="AI6" s="12">
        <f>IF(SUM(R6,V6,Z6,AD6)&gt;0,SUM(R6,V6,Z6,AD6),"")</f>
        <v>18.8</v>
      </c>
      <c r="AJ6" s="12">
        <f>IF(SUM(Q6:R6,T6:V6,X6)-SUM(S6,W6)&gt;0,SUM(Q6:R6,T6:V6,X6)-SUM(S6,W6),"")</f>
        <v>66.399999999999991</v>
      </c>
      <c r="AK6" s="12">
        <f>IF(SUM(Y6:Z6,AB6:AD6,AF6)-SUM(AA6,AE6)&gt;0,SUM(Y6:Z6,AB6:AD6,AF6)-SUM(AA6,AE6),"")</f>
        <v>64.7</v>
      </c>
      <c r="AL6" s="12"/>
      <c r="AM6" s="37">
        <v>28.2</v>
      </c>
      <c r="AN6" s="37">
        <v>6</v>
      </c>
      <c r="AO6" s="37">
        <v>0.3</v>
      </c>
      <c r="AP6" s="37">
        <v>0</v>
      </c>
      <c r="AQ6" s="37">
        <v>28.2</v>
      </c>
      <c r="AR6" s="37">
        <v>5.6</v>
      </c>
      <c r="AS6" s="37">
        <v>0</v>
      </c>
      <c r="AT6" s="37">
        <v>0</v>
      </c>
      <c r="AU6" s="37">
        <v>24.2</v>
      </c>
      <c r="AV6" s="37">
        <v>3</v>
      </c>
      <c r="AW6" s="37">
        <v>2.2000000000000002</v>
      </c>
      <c r="AX6" s="37">
        <v>0</v>
      </c>
      <c r="AY6" s="37">
        <v>28</v>
      </c>
      <c r="AZ6" s="37">
        <v>4</v>
      </c>
      <c r="BA6" s="37">
        <v>3</v>
      </c>
      <c r="BB6" s="37">
        <v>0</v>
      </c>
      <c r="BC6" s="75"/>
      <c r="BD6" s="15">
        <f>IF(SUM(AN6,AR6)&gt;0,SUM(AN6,AR6),"")</f>
        <v>11.6</v>
      </c>
      <c r="BE6" s="15">
        <f>IF(SUM(AN6,AR6,AV6,AZ6)&gt;0,SUM(AN6,AR6,AV6,AZ6),"")</f>
        <v>18.600000000000001</v>
      </c>
      <c r="BF6" s="15">
        <f>IF(SUM(AM6:AN6,AP6:AR6,AT6)-SUM(AO6,AS6)&gt;0,SUM(AM6:AN6,AP6:AR6,AT6)-SUM(AO6,AS6),"")</f>
        <v>67.7</v>
      </c>
      <c r="BG6" s="15">
        <f>IF(SUM(AU6:AV6,AX6:AZ6,BB6)-SUM(AW6,BA6)&gt;0,SUM(AU6:AV6,AX6:AZ6,BB6)-SUM(AW6,BA6),"")</f>
        <v>54</v>
      </c>
      <c r="BH6" s="15">
        <f>IF(SUM(BF6,BG6)&gt;0,SUM(BF6,BG6),"")</f>
        <v>121.7</v>
      </c>
      <c r="BI6" s="24"/>
      <c r="BJ6" s="24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>
        <v>0</v>
      </c>
      <c r="BZ6" s="41">
        <v>0</v>
      </c>
      <c r="CA6" s="12" t="str">
        <f>IF(SUM(BL6,BP6)&gt;0,SUM(BL6,BP6),"")</f>
        <v/>
      </c>
      <c r="CB6" s="12" t="str">
        <f>IF(SUM(BL6,BP6,BT6,BX6)&gt;0,SUM(BL6,BP6,BT6,BX6),"")</f>
        <v/>
      </c>
      <c r="CC6" s="12"/>
      <c r="CD6" s="12"/>
      <c r="CE6" s="12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>IF(SUM(CG6,CK6)&gt;0,SUM(CG6,CK6),"")</f>
        <v/>
      </c>
      <c r="CW6" s="15"/>
      <c r="CX6" s="15"/>
      <c r="CY6" s="15"/>
      <c r="CZ6" s="15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/>
      <c r="DR6" s="12"/>
      <c r="DS6" s="12"/>
      <c r="DT6" s="12"/>
      <c r="DU6" s="12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/>
      <c r="EM6" s="15"/>
      <c r="EN6" s="15"/>
      <c r="EO6" s="15"/>
      <c r="EP6" s="15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/>
      <c r="FH6" s="12"/>
      <c r="FI6" s="12"/>
      <c r="FJ6" s="12"/>
      <c r="FK6" s="12"/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/>
      <c r="GC6" s="15"/>
      <c r="GD6" s="15"/>
      <c r="GE6" s="15"/>
      <c r="GF6" s="15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/>
      <c r="GX6" s="12"/>
      <c r="GY6" s="12"/>
      <c r="GZ6" s="12"/>
      <c r="HA6" s="12"/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/>
      <c r="HS6" s="15"/>
      <c r="HT6" s="15"/>
      <c r="HU6" s="15"/>
      <c r="HV6" s="15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/>
      <c r="IN6" s="12"/>
      <c r="IO6" s="12"/>
      <c r="IP6" s="12"/>
      <c r="IQ6" s="12"/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/>
      <c r="JI6" s="15"/>
      <c r="JJ6" s="15"/>
      <c r="JK6" s="15"/>
      <c r="JL6" s="15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/>
      <c r="KD6" s="12"/>
      <c r="KE6" s="12"/>
      <c r="KF6" s="12"/>
      <c r="KG6" s="12"/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>IF(SUM(KI6,KM6)&gt;0,SUM(KI6,KM6),"")</f>
        <v/>
      </c>
      <c r="KY6" s="15" t="str">
        <f>IF(SUM(KI6,KM6,KQ6,KU6)&gt;0,SUM(KI6,KM6,KQ6,KU6),"")</f>
        <v/>
      </c>
      <c r="KZ6" s="15" t="str">
        <f>IF(SUM(KH6:KI6,KK6:KM6,KO6)-SUM(KJ6,KN6)&gt;0,SUM(KH6:KI6,KK6:KM6,KO6)-SUM(KJ6,KN6),"")</f>
        <v/>
      </c>
      <c r="LA6" s="15" t="str">
        <f>IF(SUM(KP6:KQ6,KS6:KU6,KW6)-SUM(KR6,KV6)&gt;0,SUM(KP6:KQ6,KS6:KU6,KW6)-SUM(KR6,KV6),"")</f>
        <v/>
      </c>
      <c r="LB6" s="15" t="str">
        <f>IF(SUM(KZ6,LA6)&gt;0,SUM(KZ6,LA6),"")</f>
        <v/>
      </c>
      <c r="LC6" s="63">
        <f t="shared" si="6"/>
        <v>28.299999999999997</v>
      </c>
      <c r="LD6" s="63">
        <f t="shared" si="0"/>
        <v>5.6</v>
      </c>
      <c r="LE6" s="63">
        <f t="shared" si="0"/>
        <v>0.15</v>
      </c>
      <c r="LF6" s="63">
        <f t="shared" si="0"/>
        <v>0</v>
      </c>
      <c r="LG6" s="63">
        <f t="shared" si="0"/>
        <v>28.1</v>
      </c>
      <c r="LH6" s="63">
        <f t="shared" si="0"/>
        <v>5.4</v>
      </c>
      <c r="LI6" s="63">
        <f t="shared" si="0"/>
        <v>0.45</v>
      </c>
      <c r="LJ6" s="63">
        <f t="shared" si="0"/>
        <v>0.25</v>
      </c>
      <c r="LK6" s="63">
        <f t="shared" si="0"/>
        <v>26.2</v>
      </c>
      <c r="LL6" s="63">
        <f t="shared" si="0"/>
        <v>3.7</v>
      </c>
      <c r="LM6" s="63">
        <f t="shared" si="0"/>
        <v>1.1000000000000001</v>
      </c>
      <c r="LN6" s="63">
        <f t="shared" si="0"/>
        <v>0</v>
      </c>
      <c r="LO6" s="63">
        <f t="shared" si="0"/>
        <v>28.05</v>
      </c>
      <c r="LP6" s="63">
        <f t="shared" si="0"/>
        <v>4</v>
      </c>
      <c r="LQ6" s="63">
        <f t="shared" si="0"/>
        <v>1.5</v>
      </c>
      <c r="LR6" s="63">
        <f t="shared" si="0"/>
        <v>0</v>
      </c>
      <c r="LS6" s="74" t="s">
        <v>119</v>
      </c>
      <c r="LT6" s="12">
        <f t="shared" ref="LT6" si="12">IF(SUM(LD6,LH6)&gt;0,SUM(LD6,LH6),"")</f>
        <v>11</v>
      </c>
      <c r="LU6" s="12">
        <f t="shared" ref="LU6" si="13">IF(SUM(LD6,LH6,LL6,LP6)&gt;0,SUM(LD6,LH6,LL6,LP6),"")</f>
        <v>18.7</v>
      </c>
      <c r="LV6" s="12">
        <f t="shared" ref="LV6" si="14">IF(SUM(LC6:LD6,LF6:LH6,LJ6)-SUM(LE6,LI6)&gt;0,SUM(LC6:LD6,LF6:LH6,LJ6)-SUM(LE6,LI6),"")</f>
        <v>67.050000000000011</v>
      </c>
      <c r="LW6" s="12">
        <f t="shared" ref="LW6" si="15">IF(SUM(LK6:LL6,LN6:LP6,LR6)-SUM(LM6,LQ6)&gt;0,SUM(LK6:LL6,LN6:LP6,LR6)-SUM(LM6,LQ6),"")</f>
        <v>59.35</v>
      </c>
      <c r="LX6" s="12">
        <f t="shared" ref="LX6" si="16">IF(SUM(LV6,LW6)&gt;0,SUM(LV6,LW6),"")</f>
        <v>126.4</v>
      </c>
    </row>
    <row r="7" spans="1:336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9" t="s">
        <v>127</v>
      </c>
      <c r="C7" s="5" t="s">
        <v>4</v>
      </c>
      <c r="D7" s="6">
        <v>2003</v>
      </c>
      <c r="E7" s="16">
        <f>SUM(J7:N7)</f>
        <v>181.29999999999998</v>
      </c>
      <c r="F7" s="4" t="str">
        <f>IF(OR(AND(AH7&gt;=AK$11,AJ7&gt;=AK$14,AJ7&lt;&gt;"",AG7=""),AND(BD7&gt;=BG$11,BF7&gt;=BG$14,BF7&lt;&gt;"",BC7=""),AND(CA7&gt;=CD$11,CC7&gt;=CD$14,CC7&lt;&gt;""),AND(CV7&gt;=CY$11,CX7&gt;=CY$14,CX7&lt;&gt;""),AND(DQ7&gt;=DT$11,DS7&gt;=DT$14,DS7&lt;&gt;""),AND(EL7&gt;=EO$11,EN7&gt;=EO$14,EN7&lt;&gt;""),AND(FG7&gt;=FJ$11,FI7&gt;=FJ$14,FI7&lt;&gt;""),AND(GB7&gt;=GE$11,GD7&gt;=GE$14,GD7&lt;&gt;""),AND(GW7&gt;=GZ$11,GY7&gt;=GZ$14,GY7&lt;&gt;""),AND(HR7&gt;=HU$11,HT7&gt;=HU$14,HT7&lt;&gt;""),AND(IM7&gt;=IP$11,IO7&gt;=IP$14,IO7&lt;&gt;""),AND(JH7&gt;=JK$11,JJ7&gt;=JK$14,JJ7&lt;&gt;""),AND(KC7&gt;=KF$11,KE7&gt;=KF$14,KE7&lt;&gt;""),AND(KX7&gt;=LA$11,KZ7&gt;=LA$14,KZ7&lt;&gt;"")),"P","")</f>
        <v>P</v>
      </c>
      <c r="G7" s="4" t="str">
        <f>IF(OR(AND(AH7&gt;=AK$12,AJ7&gt;=AK$15,AJ7&lt;&gt;"",AG7=""),AND(BD7&gt;=BG$12,BF7&gt;=BG$15,BF7&lt;&gt;"",BC7=""),AND(CA7&gt;=CD$12,CC7&gt;=CD$15,CC7&lt;&gt;""),AND(CV7&gt;=CY$12,CX7&gt;=CY$15,CX7&lt;&gt;""),AND(DQ7&gt;=DT$12,DS7&gt;=DT$15,DS7&lt;&gt;""),AND(EL7&gt;=EO$12,EN7&gt;=EO$15,EN7&lt;&gt;""),AND(FG7&gt;=FJ$12,FI7&gt;=FJ$15,FI7&lt;&gt;""),AND(GB7&gt;=GE$12,GD7&gt;=GE$15,GD7&lt;&gt;""),AND(GW7&gt;=GZ$12,GY7&gt;=GZ$15,GY7&lt;&gt;""),AND(HR7&gt;=HU$12,HT7&gt;=HU$15,HT7&lt;&gt;""),AND(IM7&gt;=IP$12,IO7&gt;=IP$15,IO7&lt;&gt;""),AND(JH7&gt;=JK$12,JJ7&gt;=JK$15,JJ7&lt;&gt;""),AND(KC7&gt;=KF$12,KE7&gt;=KF$15,KE7&lt;&gt;""),AND(KX7&gt;=LA$12,KZ7&gt;=LA$15,KZ7&lt;&gt;"")),"P","")</f>
        <v/>
      </c>
      <c r="H7" s="4" t="str">
        <f>IF(OR(AND(AJ7&gt;=AK$14,AJ7&lt;&gt;"",AG7=""),AND(BF7&gt;=BG$14,BF7&lt;&gt;"",BC7=""),AND(CC7&gt;=CD$14,CC7&lt;&gt;""),AND(CX7&gt;=CY$14,CX7&lt;&gt;""),AND(DS7&gt;=DT$14,DS7&lt;&gt;""),AND(EN7&gt;=EO$14,EN7&lt;&gt;""),AND(FI7&gt;=FJ$14,FI7&lt;&gt;""),AND(GD7&gt;=GE$14,GD7&lt;&gt;""),AND(GY7&gt;=GZ$14,GY7&lt;&gt;""),AND(HT7&gt;=HU$14,HT7&lt;&gt;""),AND(IO7&gt;=IP$14,IO7&lt;&gt;""),AND(JJ7&gt;=JK$14,JJ7&lt;&gt;""),AND(KE7&gt;=KF$14,KE7&lt;&gt;""),AND(KZ7&gt;=LA$14,KZ7&lt;&gt;"")),"P","")</f>
        <v>P</v>
      </c>
      <c r="I7" t="str">
        <f>IF(AND(H7="P",F7=""),"No DD",IF(OR(AND(AI7&gt;=AK$13,AI7&lt;&gt;"",AL7&gt;=AK$17,AL7&lt;&gt;"",AG7=""),AND(BE7&gt;=BG$13,BE7&lt;&gt;"",BH7&gt;=BG$17,BH7&lt;&gt;"",BC7=""),AND(CB7&gt;=CD$13,CB7&lt;&gt;"",CE7&gt;=CD$17,CE7&lt;&gt;""),AND(CW7&gt;=CY$13,CW7&lt;&gt;"",CZ7&gt;=CY$17,CZ7&lt;&gt;""),AND(DR7&gt;=DT$13,DR7&lt;&gt;"",DU7&gt;=DT$17,DU7&lt;&gt;""),AND(EM7&gt;=EO$13,EM7&lt;&gt;"",EP7&gt;=EO$17,EP7&lt;&gt;""),AND(FH7&gt;=FJ$13,FH7&lt;&gt;"",FK7&gt;=FJ$17,FK7&lt;&gt;""),AND(GC7&gt;=GE$13,GC7&lt;&gt;"",GF7&gt;=GE$17,GF7&lt;&gt;""),AND(GX7&gt;=GZ$13,GX7&lt;&gt;"",HA7&gt;=GZ$17,HA7&lt;&gt;""),AND(HS7&gt;=HU$13,HS7&lt;&gt;"",HV7&gt;=HU$17,HV7&lt;&gt;""),AND(IN7&gt;=IP$13,IN7&lt;&gt;"",IQ7&gt;=IP$17,IQ7&lt;&gt;""),AND(JI7&gt;=JK$13,JI7&lt;&gt;"",JL7&gt;=JK$17,JL7&lt;&gt;""),AND(KD7&gt;=KF$13,KD7&lt;&gt;"",KG7&gt;=KF$17,KG7&lt;&gt;""),AND(KY7&gt;=LA$13,KY7&lt;&gt;"",LB7&gt;=LA$17,LB7&lt;&gt;"")),"Merit",IF(OR(AND(AI7&gt;=AK$13,AI7&lt;&gt;"",AL7&gt;=AK$16,AL7&lt;&gt;"",AG7=""),AND(BE7&gt;=BG$13,BE7&lt;&gt;"",BH7&gt;=BG$16,BH7&lt;&gt;"",BC7=""),AND(CB7&gt;=CD$13,CB7&lt;&gt;"",CE7&gt;=CD$16,CE7&lt;&gt;""),AND(CW7&gt;=CY$13,CW7&lt;&gt;"",CZ7&gt;=CY$16,CZ7&lt;&gt;""),AND(DR7&gt;=DT$13,DR7&lt;&gt;"",DU7&gt;=DT$16,DU7&lt;&gt;""),AND(EM7&gt;=EO$13,EM7&lt;&gt;"",EP7&gt;=EO$16,EP7&lt;&gt;""),AND(FH7&gt;=FJ$13,FH7&lt;&gt;"",FK7&gt;=FJ$16,FK7&lt;&gt;""),AND(GC7&gt;=GE$13,GC7&lt;&gt;"",GF7&gt;=GE$16,GF7&lt;&gt;""),AND(GX7&gt;=GZ$13,GX7&lt;&gt;"",HA7&gt;=GZ$16,HA7&lt;&gt;""),AND(HS7&gt;=HU$13,HS7&lt;&gt;"",HV7&gt;=HU$16,HV7&lt;&gt;""),AND(IN7&gt;=IP$13,IN7&lt;&gt;"",IQ7&gt;=IP$16,IQ7&lt;&gt;""),AND(JI7&gt;=JK$13,JI7&lt;&gt;"",JL7&gt;=JK$16,JL7&lt;&gt;""),AND(KD7&gt;=KF$13,KD7&lt;&gt;"",KG7&gt;=KF$16,KG7&lt;&gt;""),AND(KY7&gt;=LA$13,KY7&lt;&gt;"",LB7&gt;=LA$16,LB7&lt;&gt;"")),"Excellence",IF(OR(AND(AH7&gt;=AK$12,AH7&lt;&gt;"",AJ7&gt;=AK$15,AJ7&lt;&gt;"",AG7=""),AND(BD7&gt;=BG$12,BD7&lt;&gt;"",BF7&gt;=BG$15,BF7&lt;&gt;"",BC7=""),AND(CA7&gt;=CD$12,CA7&lt;&gt;"",CC7&gt;=CD$15,CC7&lt;&gt;""),AND(CV7&gt;=CY$12,CV7&lt;&gt;"",CX7&gt;=CY$15,CX7&lt;&gt;""),AND(DQ7&gt;=DT$12,DQ7&lt;&gt;"",DS7&gt;=DT$15,DS7&lt;&gt;""),AND(EL7&gt;=EO$12,EL7&lt;&gt;"",EN7&gt;=EO$15,EN7&lt;&gt;""),AND(FG7&gt;=FJ$12,FG7&lt;&gt;"",FI7&gt;=FJ$15,FI7&lt;&gt;""),AND(GB7&gt;=GE$12,GB7&lt;&gt;"",GD7&gt;=GE$15,GD7&lt;&gt;""),AND(GW7&gt;=GZ$12,GW7&lt;&gt;"",GY7&gt;=GZ$15,GY7&lt;&gt;""),AND(HR7&gt;=HU$12,HR7&lt;&gt;"",HT7&gt;=HU$15,HT7&lt;&gt;""),AND(IM7&gt;=IP$12,IM7&lt;&gt;"",IO7&gt;=IP$15,IO7&lt;&gt;""),AND(JH7&gt;=JK$12,JH7&lt;&gt;"",JJ7&gt;=JK$15,JJ7&lt;&gt;""),AND(KC7&gt;=KF$12,KC7&lt;&gt;"",KE7&gt;=KF$15,KE7&lt;&gt;""),AND(KX7&gt;=LA$12,KX7&lt;&gt;"",KZ7&gt;=LA$15,KZ7&lt;&gt;"")),"Worlds Team",IF(OR(AND(AH7&gt;=AK$11,AH7&lt;&gt;"",AJ7&gt;=AK$14,AJ7&lt;&gt;"",AG7=""),AND(BD7&gt;=BG$11,BD7&lt;&gt;"",BF7&gt;=BG$14,BF7&lt;&gt;"",BC7=""),AND(CA7&gt;=CD$11,CA7&lt;&gt;"",CC7&gt;=CD$14,CC7&lt;&gt;""),AND(CV7&gt;=CY$11,CV7&lt;&gt;"",CX7&gt;=CY$14,CX7&lt;&gt;""),AND(DQ7&gt;=DT$11,DQ7&lt;&gt;"",DS7&gt;=DT$14,DS7&lt;&gt;""),AND(EL7&gt;=EO$11,EL7&lt;&gt;"",EN7&gt;=EO$14,EN7&lt;&gt;""),AND(FG7&gt;=FJ$11,FG7&lt;&gt;"",FI7&gt;=FJ$14,FI7&lt;&gt;""),AND(GB7&gt;=GE$11,GB7&lt;&gt;"",GD7&gt;=GE$14,GD7&lt;&gt;""),AND(GW7&gt;=GZ$11,GW7&lt;&gt;"",GY7&gt;=GZ$14,GY7&lt;&gt;""),AND(HR7&gt;=HU$11,HR7&lt;&gt;"",HT7&gt;=HU$14,HT7&lt;&gt;""),AND(IM7&gt;=IP$11,IM7&lt;&gt;"",IO7&gt;=IP$14,IO7&lt;&gt;""),AND(JH7&gt;=JK$11,JH7&lt;&gt;"",JJ7&gt;=JK$14,JJ7&lt;&gt;""),AND(KC7&gt;=KF$11,KC7&lt;&gt;"",KE7&gt;=KF$14,KE7&lt;&gt;""),AND(KX7&gt;=LA$11,KX7&lt;&gt;"",KZ7&gt;=LA$14,KZ7&lt;&gt;"")),"National Team","")))))</f>
        <v>National Team</v>
      </c>
      <c r="J7" s="15">
        <f>IF(MAX(AL7,BH7)&gt;0,MAX(AL7,BH7),"")</f>
        <v>118.99999999999999</v>
      </c>
      <c r="K7" s="15" t="str">
        <f>IF(J7="","",IF(J7=BH7,$AM$1,IF(J7=AL7,$Q$1,"")))</f>
        <v>2019 Elite Canada</v>
      </c>
      <c r="L7" s="15">
        <f>IF(J7=AL7,IF(MAX(BF7,BG7)&gt;0,MAX(BF7,BG7),""),IF(J7=BH7,IF(MAX(AJ7,AK7)&gt;0,MAX(AJ7,AK7),""),MAX(AJ7,AK7,BF7,BG7)))</f>
        <v>62.300000000000004</v>
      </c>
      <c r="M7" s="15" t="str">
        <f>IF(L7="","",IF(AND(J7&lt;&gt;BH7,OR(L7=BG7,L7=BF7)),$AM$1,IF(OR(L7=AK7,L7=AJ7),$Q$1,"")))</f>
        <v>2018 Nationals</v>
      </c>
      <c r="N7" s="15" t="str">
        <f>IF(MAX(BI7:BJ7)&gt;0,MAX(BI7:BJ7),"")</f>
        <v/>
      </c>
      <c r="O7" s="25" t="str">
        <f>IF(N7="","",IF(N7=BI7,"(4 Pass)",IF(N7=BJ7,"(2 Pass)")))</f>
        <v/>
      </c>
      <c r="P7" s="15" t="str">
        <f>IF(N7="","",IF(N7=BI7,IF(N7+IF(J7="",0,J7)=CE7,$BK$1,IF(N7+IF(J7="",0,J7)=CZ7,$CF$1,IF(N7+IF(J7="",0,J7)=DU7,$DA$1,IF(N7+IF(J7="",0,J7)=EP7,$DV$1,IF(N7+IF(J7="",0,J7)=FK7,$EQ$1,IF(N7+IF(J7="",0,J7)=GF7,$FL$1,IF(N7+IF(J7="",0,J7)=HA7,$GG$1,IF(N7+IF(J7="",0,J7)=HV7,$HB$1,IF(N7+IF(J7="",0,J7)=IQ7,$HW$1,IF(N7+IF(J7="",0,J7)=JL7,$IR$1,IF(N7+IF(J7="",0,J7)=KG7,$JM$1,IF(N7+IF(J7="",0,J7)=LB7,$KH$1)))))))))))),IF(N7=BJ7,IF(OR(N7+IF(L7="",0,L7)=CC7,N7+IF(L7="",0,L7)=CD7),$BK$1,IF(OR(N7+IF(L7="",0,L7)=CX7,N7+IF(L7="",0,L7)=CY7),$CF$1,IF(OR(N7+IF(L7="",0,L7)=DS7,N7+IF(L7="",0,L7)=DT7),$DA$1,IF(OR(N7+IF(L7="",0,L7)=EN7,N7+IF(L7="",0,L7)=EO7),$DV$1,IF(OR(N7+IF(L7="",0,L7)=FI7,N7+IF(L7="",0,L7)=FJ7),$EQ$1,IF(OR(N7+IF(L7="",0,L7)=GD7,N7+IF(L7="",0,L7)=GE7),$FL$1,IF(OR(N7+IF(L7="",0,L7)=GY7,N7+IF(L7="",0,L7)=GZ7),$GG$1,IF(OR(N7+IF(L7="",0,L7)=HT7,N7+IF(L7="",0,L7)=HU7),$HB$1,IF(OR(N7+IF(L7="",0,L7)=IO7,N7+IF(L7="",0,L7)=IP7),$HW$1,IF(OR(N7+IF(L7="",0,L7)=JJ7,N7+IF(L7="",0,L7)=JK7),$IR$1,IF(OR(N7+IF(L7="",0,L7)=KE7,N7+IF(L7="",0,L7)=KF7),$JM$1,IF(OR(N7+IF(L7="",0,L7)=KZ7,N7+IF(L7="",0,L7)=LA7),$KH$1)))))))))))))))</f>
        <v/>
      </c>
      <c r="Q7" s="63">
        <v>27.2</v>
      </c>
      <c r="R7" s="63">
        <v>4.8</v>
      </c>
      <c r="S7" s="63">
        <v>1.5</v>
      </c>
      <c r="T7" s="63">
        <v>0</v>
      </c>
      <c r="U7" s="63">
        <v>27.4</v>
      </c>
      <c r="V7" s="63">
        <v>4.8</v>
      </c>
      <c r="W7" s="63">
        <v>0.9</v>
      </c>
      <c r="X7" s="63">
        <v>0.5</v>
      </c>
      <c r="Y7" s="63">
        <v>28</v>
      </c>
      <c r="Z7" s="63">
        <v>1.3</v>
      </c>
      <c r="AA7" s="63">
        <v>4.5</v>
      </c>
      <c r="AB7" s="63">
        <v>0</v>
      </c>
      <c r="AC7" s="63">
        <v>27.3</v>
      </c>
      <c r="AD7" s="63">
        <v>3.7</v>
      </c>
      <c r="AE7" s="63">
        <v>0</v>
      </c>
      <c r="AF7" s="63">
        <v>0</v>
      </c>
      <c r="AG7" s="74"/>
      <c r="AH7" s="12">
        <f>IF(SUM(R7,V7)&gt;0,SUM(R7,V7),"")</f>
        <v>9.6</v>
      </c>
      <c r="AI7" s="12">
        <f>IF(SUM(R7,V7,Z7,AD7)&gt;0,SUM(R7,V7,Z7,AD7),"")</f>
        <v>14.600000000000001</v>
      </c>
      <c r="AJ7" s="12">
        <f>IF(SUM(Q7:R7,T7:V7,X7)-SUM(S7,W7)&gt;0,SUM(Q7:R7,T7:V7,X7)-SUM(S7,W7),"")</f>
        <v>62.300000000000004</v>
      </c>
      <c r="AK7" s="12">
        <f>IF(SUM(Y7:Z7,AB7:AD7,AF7)-SUM(AA7,AE7)&gt;0,SUM(Y7:Z7,AB7:AD7,AF7)-SUM(AA7,AE7),"")</f>
        <v>55.800000000000004</v>
      </c>
      <c r="AL7" s="12"/>
      <c r="AM7" s="37">
        <v>27.7</v>
      </c>
      <c r="AN7" s="37">
        <v>6</v>
      </c>
      <c r="AO7" s="37">
        <v>0.9</v>
      </c>
      <c r="AP7" s="37">
        <v>0</v>
      </c>
      <c r="AQ7" s="37">
        <v>28</v>
      </c>
      <c r="AR7" s="37">
        <v>4.8</v>
      </c>
      <c r="AS7" s="37">
        <v>0</v>
      </c>
      <c r="AT7" s="37">
        <v>0</v>
      </c>
      <c r="AU7" s="37">
        <v>24.7</v>
      </c>
      <c r="AV7" s="37">
        <v>3</v>
      </c>
      <c r="AW7" s="37">
        <v>1.9</v>
      </c>
      <c r="AX7" s="37">
        <v>0</v>
      </c>
      <c r="AY7" s="37">
        <v>26.9</v>
      </c>
      <c r="AZ7" s="37">
        <v>2.8</v>
      </c>
      <c r="BA7" s="37">
        <v>2.1</v>
      </c>
      <c r="BB7" s="37">
        <v>0</v>
      </c>
      <c r="BC7" s="75"/>
      <c r="BD7" s="15">
        <f>IF(SUM(AN7,AR7)&gt;0,SUM(AN7,AR7),"")</f>
        <v>10.8</v>
      </c>
      <c r="BE7" s="15">
        <f>IF(SUM(AN7,AR7,AV7,AZ7)&gt;0,SUM(AN7,AR7,AV7,AZ7),"")</f>
        <v>16.600000000000001</v>
      </c>
      <c r="BF7" s="15">
        <f>IF(SUM(AM7:AN7,AP7:AR7,AT7)-SUM(AO7,AS7)&gt;0,SUM(AM7:AN7,AP7:AR7,AT7)-SUM(AO7,AS7),"")</f>
        <v>65.599999999999994</v>
      </c>
      <c r="BG7" s="15">
        <f>IF(SUM(AU7:AV7,AX7:AZ7,BB7)-SUM(AW7,BA7)&gt;0,SUM(AU7:AV7,AX7:AZ7,BB7)-SUM(AW7,BA7),"")</f>
        <v>53.399999999999991</v>
      </c>
      <c r="BH7" s="15">
        <f>IF(SUM(BF7,BG7)&gt;0,SUM(BF7,BG7),"")</f>
        <v>118.99999999999999</v>
      </c>
      <c r="BI7" s="24"/>
      <c r="BJ7" s="24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>
        <v>0</v>
      </c>
      <c r="BZ7" s="41">
        <v>0</v>
      </c>
      <c r="CA7" s="12" t="str">
        <f>IF(SUM(BL7,BP7)&gt;0,SUM(BL7,BP7),"")</f>
        <v/>
      </c>
      <c r="CB7" s="12" t="str">
        <f>IF(SUM(BL7,BP7,BT7,BX7)&gt;0,SUM(BL7,BP7,BT7,BX7),"")</f>
        <v/>
      </c>
      <c r="CC7" s="12"/>
      <c r="CD7" s="12"/>
      <c r="CE7" s="12"/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>IF(SUM(CG7,CK7)&gt;0,SUM(CG7,CK7),"")</f>
        <v/>
      </c>
      <c r="CW7" s="15"/>
      <c r="CX7" s="15"/>
      <c r="CY7" s="15"/>
      <c r="CZ7" s="15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/>
      <c r="DR7" s="12"/>
      <c r="DS7" s="12"/>
      <c r="DT7" s="12"/>
      <c r="DU7" s="12"/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/>
      <c r="EM7" s="15"/>
      <c r="EN7" s="15"/>
      <c r="EO7" s="15"/>
      <c r="EP7" s="15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/>
      <c r="FH7" s="12"/>
      <c r="FI7" s="12"/>
      <c r="FJ7" s="12"/>
      <c r="FK7" s="12"/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/>
      <c r="GC7" s="15"/>
      <c r="GD7" s="15"/>
      <c r="GE7" s="15"/>
      <c r="GF7" s="15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/>
      <c r="GX7" s="12"/>
      <c r="GY7" s="12"/>
      <c r="GZ7" s="12"/>
      <c r="HA7" s="12"/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/>
      <c r="HS7" s="15"/>
      <c r="HT7" s="15"/>
      <c r="HU7" s="15"/>
      <c r="HV7" s="15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/>
      <c r="IN7" s="12"/>
      <c r="IO7" s="12"/>
      <c r="IP7" s="12"/>
      <c r="IQ7" s="12"/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/>
      <c r="JI7" s="15"/>
      <c r="JJ7" s="15"/>
      <c r="JK7" s="15"/>
      <c r="JL7" s="15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/>
      <c r="KD7" s="12"/>
      <c r="KE7" s="12"/>
      <c r="KF7" s="12"/>
      <c r="KG7" s="12"/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>IF(SUM(KI7,KM7)&gt;0,SUM(KI7,KM7),"")</f>
        <v/>
      </c>
      <c r="KY7" s="15" t="str">
        <f>IF(SUM(KI7,KM7,KQ7,KU7)&gt;0,SUM(KI7,KM7,KQ7,KU7),"")</f>
        <v/>
      </c>
      <c r="KZ7" s="15" t="str">
        <f>IF(SUM(KH7:KI7,KK7:KM7,KO7)-SUM(KJ7,KN7)&gt;0,SUM(KH7:KI7,KK7:KM7,KO7)-SUM(KJ7,KN7),"")</f>
        <v/>
      </c>
      <c r="LA7" s="15" t="str">
        <f>IF(SUM(KP7:KQ7,KS7:KU7,KW7)-SUM(KR7,KV7)&gt;0,SUM(KP7:KQ7,KS7:KU7,KW7)-SUM(KR7,KV7),"")</f>
        <v/>
      </c>
      <c r="LB7" s="15" t="str">
        <f>IF(SUM(KZ7,LA7)&gt;0,SUM(KZ7,LA7),"")</f>
        <v/>
      </c>
      <c r="LC7" s="63">
        <f t="shared" si="6"/>
        <v>27.45</v>
      </c>
      <c r="LD7" s="63">
        <f t="shared" si="0"/>
        <v>5.4</v>
      </c>
      <c r="LE7" s="63">
        <f t="shared" si="0"/>
        <v>1.2</v>
      </c>
      <c r="LF7" s="63">
        <f t="shared" si="0"/>
        <v>0</v>
      </c>
      <c r="LG7" s="63">
        <f t="shared" si="0"/>
        <v>27.7</v>
      </c>
      <c r="LH7" s="63">
        <f t="shared" si="0"/>
        <v>4.8</v>
      </c>
      <c r="LI7" s="63">
        <f t="shared" si="0"/>
        <v>0.45</v>
      </c>
      <c r="LJ7" s="63">
        <f t="shared" si="0"/>
        <v>0.25</v>
      </c>
      <c r="LK7" s="63">
        <f t="shared" si="0"/>
        <v>26.35</v>
      </c>
      <c r="LL7" s="63">
        <f t="shared" si="0"/>
        <v>2.15</v>
      </c>
      <c r="LM7" s="63">
        <f t="shared" si="0"/>
        <v>3.2</v>
      </c>
      <c r="LN7" s="63">
        <f t="shared" si="0"/>
        <v>0</v>
      </c>
      <c r="LO7" s="63">
        <f t="shared" si="0"/>
        <v>27.1</v>
      </c>
      <c r="LP7" s="63">
        <f t="shared" si="0"/>
        <v>3.25</v>
      </c>
      <c r="LQ7" s="63">
        <f t="shared" si="0"/>
        <v>1.05</v>
      </c>
      <c r="LR7" s="63">
        <f t="shared" si="0"/>
        <v>0</v>
      </c>
      <c r="LS7" s="74" t="s">
        <v>119</v>
      </c>
      <c r="LT7" s="12">
        <f t="shared" ref="LT7" si="17">IF(SUM(LD7,LH7)&gt;0,SUM(LD7,LH7),"")</f>
        <v>10.199999999999999</v>
      </c>
      <c r="LU7" s="12">
        <f t="shared" ref="LU7" si="18">IF(SUM(LD7,LH7,LL7,LP7)&gt;0,SUM(LD7,LH7,LL7,LP7),"")</f>
        <v>15.6</v>
      </c>
      <c r="LV7" s="12">
        <f t="shared" ref="LV7" si="19">IF(SUM(LC7:LD7,LF7:LH7,LJ7)-SUM(LE7,LI7)&gt;0,SUM(LC7:LD7,LF7:LH7,LJ7)-SUM(LE7,LI7),"")</f>
        <v>63.949999999999996</v>
      </c>
      <c r="LW7" s="12">
        <f t="shared" ref="LW7" si="20">IF(SUM(LK7:LL7,LN7:LP7,LR7)-SUM(LM7,LQ7)&gt;0,SUM(LK7:LL7,LN7:LP7,LR7)-SUM(LM7,LQ7),"")</f>
        <v>54.6</v>
      </c>
      <c r="LX7" s="12">
        <f t="shared" ref="LX7" si="21">IF(SUM(LV7,LW7)&gt;0,SUM(LV7,LW7),"")</f>
        <v>118.55</v>
      </c>
    </row>
    <row r="8" spans="1:336" x14ac:dyDescent="0.2">
      <c r="A8" s="6">
        <f>IF(AND(F8="P",H8="P"),SUMPRODUCT((F$4:F$9="P")*(H$4:H$9="P")*(E$4:E$9&gt;E8))+1,IF(H8="P",SUMPRODUCT((F$4:F$9="")*(H$4:H$9="P")*(E$4:E$9&gt;E8))+1+SUMPRODUCT((F$4:F$9="P")*(H$4:H$9="P")),""))</f>
        <v>5</v>
      </c>
      <c r="B8" s="9" t="s">
        <v>97</v>
      </c>
      <c r="C8" s="5" t="s">
        <v>4</v>
      </c>
      <c r="D8" s="6">
        <v>2002</v>
      </c>
      <c r="E8" s="16">
        <f>SUM(J8:N8)</f>
        <v>120.1</v>
      </c>
      <c r="F8" s="4" t="str">
        <f>IF(OR(AND(AH8&gt;=AK$11,AJ8&gt;=AK$14,AJ8&lt;&gt;"",AG8=""),AND(BD8&gt;=BG$11,BF8&gt;=BG$14,BF8&lt;&gt;"",BC8=""),AND(CA8&gt;=CD$11,CC8&gt;=CD$14,CC8&lt;&gt;""),AND(CV8&gt;=CY$11,CX8&gt;=CY$14,CX8&lt;&gt;""),AND(DQ8&gt;=DT$11,DS8&gt;=DT$14,DS8&lt;&gt;""),AND(EL8&gt;=EO$11,EN8&gt;=EO$14,EN8&lt;&gt;""),AND(FG8&gt;=FJ$11,FI8&gt;=FJ$14,FI8&lt;&gt;""),AND(GB8&gt;=GE$11,GD8&gt;=GE$14,GD8&lt;&gt;""),AND(GW8&gt;=GZ$11,GY8&gt;=GZ$14,GY8&lt;&gt;""),AND(HR8&gt;=HU$11,HT8&gt;=HU$14,HT8&lt;&gt;""),AND(IM8&gt;=IP$11,IO8&gt;=IP$14,IO8&lt;&gt;""),AND(JH8&gt;=JK$11,JJ8&gt;=JK$14,JJ8&lt;&gt;""),AND(KC8&gt;=KF$11,KE8&gt;=KF$14,KE8&lt;&gt;""),AND(KX8&gt;=LA$11,KZ8&gt;=LA$14,KZ8&lt;&gt;"")),"P","")</f>
        <v>P</v>
      </c>
      <c r="G8" s="4" t="str">
        <f>IF(OR(AND(AH8&gt;=AK$12,AJ8&gt;=AK$15,AJ8&lt;&gt;"",AG8=""),AND(BD8&gt;=BG$12,BF8&gt;=BG$15,BF8&lt;&gt;"",BC8=""),AND(CA8&gt;=CD$12,CC8&gt;=CD$15,CC8&lt;&gt;""),AND(CV8&gt;=CY$12,CX8&gt;=CY$15,CX8&lt;&gt;""),AND(DQ8&gt;=DT$12,DS8&gt;=DT$15,DS8&lt;&gt;""),AND(EL8&gt;=EO$12,EN8&gt;=EO$15,EN8&lt;&gt;""),AND(FG8&gt;=FJ$12,FI8&gt;=FJ$15,FI8&lt;&gt;""),AND(GB8&gt;=GE$12,GD8&gt;=GE$15,GD8&lt;&gt;""),AND(GW8&gt;=GZ$12,GY8&gt;=GZ$15,GY8&lt;&gt;""),AND(HR8&gt;=HU$12,HT8&gt;=HU$15,HT8&lt;&gt;""),AND(IM8&gt;=IP$12,IO8&gt;=IP$15,IO8&lt;&gt;""),AND(JH8&gt;=JK$12,JJ8&gt;=JK$15,JJ8&lt;&gt;""),AND(KC8&gt;=KF$12,KE8&gt;=KF$15,KE8&lt;&gt;""),AND(KX8&gt;=LA$12,KZ8&gt;=LA$15,KZ8&lt;&gt;"")),"P","")</f>
        <v/>
      </c>
      <c r="H8" s="4" t="str">
        <f>IF(OR(AND(AJ8&gt;=AK$14,AJ8&lt;&gt;"",AG8=""),AND(BF8&gt;=BG$14,BF8&lt;&gt;"",BC8=""),AND(CC8&gt;=CD$14,CC8&lt;&gt;""),AND(CX8&gt;=CY$14,CX8&lt;&gt;""),AND(DS8&gt;=DT$14,DS8&lt;&gt;""),AND(EN8&gt;=EO$14,EN8&lt;&gt;""),AND(FI8&gt;=FJ$14,FI8&lt;&gt;""),AND(GD8&gt;=GE$14,GD8&lt;&gt;""),AND(GY8&gt;=GZ$14,GY8&lt;&gt;""),AND(HT8&gt;=HU$14,HT8&lt;&gt;""),AND(IO8&gt;=IP$14,IO8&lt;&gt;""),AND(JJ8&gt;=JK$14,JJ8&lt;&gt;""),AND(KE8&gt;=KF$14,KE8&lt;&gt;""),AND(KZ8&gt;=LA$14,KZ8&lt;&gt;"")),"P","")</f>
        <v>P</v>
      </c>
      <c r="I8" t="str">
        <f>IF(AND(H8="P",F8=""),"No DD",IF(OR(AND(AI8&gt;=AK$13,AI8&lt;&gt;"",AL8&gt;=AK$17,AL8&lt;&gt;"",AG8=""),AND(BE8&gt;=BG$13,BE8&lt;&gt;"",BH8&gt;=BG$17,BH8&lt;&gt;"",BC8=""),AND(CB8&gt;=CD$13,CB8&lt;&gt;"",CE8&gt;=CD$17,CE8&lt;&gt;""),AND(CW8&gt;=CY$13,CW8&lt;&gt;"",CZ8&gt;=CY$17,CZ8&lt;&gt;""),AND(DR8&gt;=DT$13,DR8&lt;&gt;"",DU8&gt;=DT$17,DU8&lt;&gt;""),AND(EM8&gt;=EO$13,EM8&lt;&gt;"",EP8&gt;=EO$17,EP8&lt;&gt;""),AND(FH8&gt;=FJ$13,FH8&lt;&gt;"",FK8&gt;=FJ$17,FK8&lt;&gt;""),AND(GC8&gt;=GE$13,GC8&lt;&gt;"",GF8&gt;=GE$17,GF8&lt;&gt;""),AND(GX8&gt;=GZ$13,GX8&lt;&gt;"",HA8&gt;=GZ$17,HA8&lt;&gt;""),AND(HS8&gt;=HU$13,HS8&lt;&gt;"",HV8&gt;=HU$17,HV8&lt;&gt;""),AND(IN8&gt;=IP$13,IN8&lt;&gt;"",IQ8&gt;=IP$17,IQ8&lt;&gt;""),AND(JI8&gt;=JK$13,JI8&lt;&gt;"",JL8&gt;=JK$17,JL8&lt;&gt;""),AND(KD8&gt;=KF$13,KD8&lt;&gt;"",KG8&gt;=KF$17,KG8&lt;&gt;""),AND(KY8&gt;=LA$13,KY8&lt;&gt;"",LB8&gt;=LA$17,LB8&lt;&gt;"")),"Merit",IF(OR(AND(AI8&gt;=AK$13,AI8&lt;&gt;"",AL8&gt;=AK$16,AL8&lt;&gt;"",AG8=""),AND(BE8&gt;=BG$13,BE8&lt;&gt;"",BH8&gt;=BG$16,BH8&lt;&gt;"",BC8=""),AND(CB8&gt;=CD$13,CB8&lt;&gt;"",CE8&gt;=CD$16,CE8&lt;&gt;""),AND(CW8&gt;=CY$13,CW8&lt;&gt;"",CZ8&gt;=CY$16,CZ8&lt;&gt;""),AND(DR8&gt;=DT$13,DR8&lt;&gt;"",DU8&gt;=DT$16,DU8&lt;&gt;""),AND(EM8&gt;=EO$13,EM8&lt;&gt;"",EP8&gt;=EO$16,EP8&lt;&gt;""),AND(FH8&gt;=FJ$13,FH8&lt;&gt;"",FK8&gt;=FJ$16,FK8&lt;&gt;""),AND(GC8&gt;=GE$13,GC8&lt;&gt;"",GF8&gt;=GE$16,GF8&lt;&gt;""),AND(GX8&gt;=GZ$13,GX8&lt;&gt;"",HA8&gt;=GZ$16,HA8&lt;&gt;""),AND(HS8&gt;=HU$13,HS8&lt;&gt;"",HV8&gt;=HU$16,HV8&lt;&gt;""),AND(IN8&gt;=IP$13,IN8&lt;&gt;"",IQ8&gt;=IP$16,IQ8&lt;&gt;""),AND(JI8&gt;=JK$13,JI8&lt;&gt;"",JL8&gt;=JK$16,JL8&lt;&gt;""),AND(KD8&gt;=KF$13,KD8&lt;&gt;"",KG8&gt;=KF$16,KG8&lt;&gt;""),AND(KY8&gt;=LA$13,KY8&lt;&gt;"",LB8&gt;=LA$16,LB8&lt;&gt;"")),"Excellence",IF(OR(AND(AH8&gt;=AK$12,AH8&lt;&gt;"",AJ8&gt;=AK$15,AJ8&lt;&gt;"",AG8=""),AND(BD8&gt;=BG$12,BD8&lt;&gt;"",BF8&gt;=BG$15,BF8&lt;&gt;"",BC8=""),AND(CA8&gt;=CD$12,CA8&lt;&gt;"",CC8&gt;=CD$15,CC8&lt;&gt;""),AND(CV8&gt;=CY$12,CV8&lt;&gt;"",CX8&gt;=CY$15,CX8&lt;&gt;""),AND(DQ8&gt;=DT$12,DQ8&lt;&gt;"",DS8&gt;=DT$15,DS8&lt;&gt;""),AND(EL8&gt;=EO$12,EL8&lt;&gt;"",EN8&gt;=EO$15,EN8&lt;&gt;""),AND(FG8&gt;=FJ$12,FG8&lt;&gt;"",FI8&gt;=FJ$15,FI8&lt;&gt;""),AND(GB8&gt;=GE$12,GB8&lt;&gt;"",GD8&gt;=GE$15,GD8&lt;&gt;""),AND(GW8&gt;=GZ$12,GW8&lt;&gt;"",GY8&gt;=GZ$15,GY8&lt;&gt;""),AND(HR8&gt;=HU$12,HR8&lt;&gt;"",HT8&gt;=HU$15,HT8&lt;&gt;""),AND(IM8&gt;=IP$12,IM8&lt;&gt;"",IO8&gt;=IP$15,IO8&lt;&gt;""),AND(JH8&gt;=JK$12,JH8&lt;&gt;"",JJ8&gt;=JK$15,JJ8&lt;&gt;""),AND(KC8&gt;=KF$12,KC8&lt;&gt;"",KE8&gt;=KF$15,KE8&lt;&gt;""),AND(KX8&gt;=LA$12,KX8&lt;&gt;"",KZ8&gt;=LA$15,KZ8&lt;&gt;"")),"Worlds Team",IF(OR(AND(AH8&gt;=AK$11,AH8&lt;&gt;"",AJ8&gt;=AK$14,AJ8&lt;&gt;"",AG8=""),AND(BD8&gt;=BG$11,BD8&lt;&gt;"",BF8&gt;=BG$14,BF8&lt;&gt;"",BC8=""),AND(CA8&gt;=CD$11,CA8&lt;&gt;"",CC8&gt;=CD$14,CC8&lt;&gt;""),AND(CV8&gt;=CY$11,CV8&lt;&gt;"",CX8&gt;=CY$14,CX8&lt;&gt;""),AND(DQ8&gt;=DT$11,DQ8&lt;&gt;"",DS8&gt;=DT$14,DS8&lt;&gt;""),AND(EL8&gt;=EO$11,EL8&lt;&gt;"",EN8&gt;=EO$14,EN8&lt;&gt;""),AND(FG8&gt;=FJ$11,FG8&lt;&gt;"",FI8&gt;=FJ$14,FI8&lt;&gt;""),AND(GB8&gt;=GE$11,GB8&lt;&gt;"",GD8&gt;=GE$14,GD8&lt;&gt;""),AND(GW8&gt;=GZ$11,GW8&lt;&gt;"",GY8&gt;=GZ$14,GY8&lt;&gt;""),AND(HR8&gt;=HU$11,HR8&lt;&gt;"",HT8&gt;=HU$14,HT8&lt;&gt;""),AND(IM8&gt;=IP$11,IM8&lt;&gt;"",IO8&gt;=IP$14,IO8&lt;&gt;""),AND(JH8&gt;=JK$11,JH8&lt;&gt;"",JJ8&gt;=JK$14,JJ8&lt;&gt;""),AND(KC8&gt;=KF$11,KC8&lt;&gt;"",KE8&gt;=KF$14,KE8&lt;&gt;""),AND(KX8&gt;=LA$11,KX8&lt;&gt;"",KZ8&gt;=LA$14,KZ8&lt;&gt;"")),"National Team","")))))</f>
        <v>National Team</v>
      </c>
      <c r="J8" s="15">
        <f>IF(MAX(AL8,BH8)&gt;0,MAX(AL8,BH8),"")</f>
        <v>120.1</v>
      </c>
      <c r="K8" s="15" t="str">
        <f>IF(J8="","",IF(J8=BH8,$AM$1,IF(J8=AL8,$Q$1,"")))</f>
        <v>2019 Elite Canada</v>
      </c>
      <c r="L8" s="15" t="str">
        <f>IF(J8=AL8,IF(MAX(BF8,BG8)&gt;0,MAX(BF8,BG8),""),IF(J8=BH8,IF(MAX(AJ8,AK8)&gt;0,MAX(AJ8,AK8),""),MAX(AJ8,AK8,BF8,BG8)))</f>
        <v/>
      </c>
      <c r="M8" s="15" t="str">
        <f>IF(L8="","",IF(AND(J8&lt;&gt;BH8,OR(L8=BG8,L8=BF8)),$AM$1,IF(OR(L8=AK8,L8=AJ8),$Q$1,"")))</f>
        <v/>
      </c>
      <c r="N8" s="15" t="str">
        <f>IF(MAX(BI8:BJ8)&gt;0,MAX(BI8:BJ8),"")</f>
        <v/>
      </c>
      <c r="O8" s="25" t="str">
        <f>IF(N8="","",IF(N8=BI8,"(4 Pass)",IF(N8=BJ8,"(2 Pass)")))</f>
        <v/>
      </c>
      <c r="P8" s="15" t="str">
        <f>IF(N8="","",IF(N8=BI8,IF(N8+IF(J8="",0,J8)=CE8,$BK$1,IF(N8+IF(J8="",0,J8)=CZ8,$CF$1,IF(N8+IF(J8="",0,J8)=DU8,$DA$1,IF(N8+IF(J8="",0,J8)=EP8,$DV$1,IF(N8+IF(J8="",0,J8)=FK8,$EQ$1,IF(N8+IF(J8="",0,J8)=GF8,$FL$1,IF(N8+IF(J8="",0,J8)=HA8,$GG$1,IF(N8+IF(J8="",0,J8)=HV8,$HB$1,IF(N8+IF(J8="",0,J8)=IQ8,$HW$1,IF(N8+IF(J8="",0,J8)=JL8,$IR$1,IF(N8+IF(J8="",0,J8)=KG8,$JM$1,IF(N8+IF(J8="",0,J8)=LB8,$KH$1)))))))))))),IF(N8=BJ8,IF(OR(N8+IF(L8="",0,L8)=CC8,N8+IF(L8="",0,L8)=CD8),$BK$1,IF(OR(N8+IF(L8="",0,L8)=CX8,N8+IF(L8="",0,L8)=CY8),$CF$1,IF(OR(N8+IF(L8="",0,L8)=DS8,N8+IF(L8="",0,L8)=DT8),$DA$1,IF(OR(N8+IF(L8="",0,L8)=EN8,N8+IF(L8="",0,L8)=EO8),$DV$1,IF(OR(N8+IF(L8="",0,L8)=FI8,N8+IF(L8="",0,L8)=FJ8),$EQ$1,IF(OR(N8+IF(L8="",0,L8)=GD8,N8+IF(L8="",0,L8)=GE8),$FL$1,IF(OR(N8+IF(L8="",0,L8)=GY8,N8+IF(L8="",0,L8)=GZ8),$GG$1,IF(OR(N8+IF(L8="",0,L8)=HT8,N8+IF(L8="",0,L8)=HU8),$HB$1,IF(OR(N8+IF(L8="",0,L8)=IO8,N8+IF(L8="",0,L8)=IP8),$HW$1,IF(OR(N8+IF(L8="",0,L8)=JJ8,N8+IF(L8="",0,L8)=JK8),$IR$1,IF(OR(N8+IF(L8="",0,L8)=KE8,N8+IF(L8="",0,L8)=KF8),$JM$1,IF(OR(N8+IF(L8="",0,L8)=KZ8,N8+IF(L8="",0,L8)=LA8),$KH$1)))))))))))))))</f>
        <v/>
      </c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74"/>
      <c r="AH8" s="12" t="str">
        <f>IF(SUM(R8,V8)&gt;0,SUM(R8,V8),"")</f>
        <v/>
      </c>
      <c r="AI8" s="12" t="str">
        <f>IF(SUM(R8,V8,Z8,AD8)&gt;0,SUM(R8,V8,Z8,AD8),"")</f>
        <v/>
      </c>
      <c r="AJ8" s="12" t="str">
        <f>IF(SUM(Q8:R8,T8:V8,X8)-SUM(S8,W8)&gt;0,SUM(Q8:R8,T8:V8,X8)-SUM(S8,W8),"")</f>
        <v/>
      </c>
      <c r="AK8" s="12" t="str">
        <f>IF(SUM(Y8:Z8,AB8:AD8,AF8)-SUM(AA8,AE8)&gt;0,SUM(Y8:Z8,AB8:AD8,AF8)-SUM(AA8,AE8),"")</f>
        <v/>
      </c>
      <c r="AL8" s="12"/>
      <c r="AM8" s="37">
        <v>28.5</v>
      </c>
      <c r="AN8" s="37">
        <v>5.2</v>
      </c>
      <c r="AO8" s="37">
        <v>0.9</v>
      </c>
      <c r="AP8" s="37">
        <v>0</v>
      </c>
      <c r="AQ8" s="37">
        <v>28.6</v>
      </c>
      <c r="AR8" s="37">
        <v>5.6</v>
      </c>
      <c r="AS8" s="37">
        <v>0</v>
      </c>
      <c r="AT8" s="37">
        <v>0</v>
      </c>
      <c r="AU8" s="37">
        <v>20.2</v>
      </c>
      <c r="AV8" s="37">
        <v>2.8</v>
      </c>
      <c r="AW8" s="37">
        <v>0</v>
      </c>
      <c r="AX8" s="37">
        <v>0</v>
      </c>
      <c r="AY8" s="37">
        <v>28.2</v>
      </c>
      <c r="AZ8" s="37">
        <v>3.4</v>
      </c>
      <c r="BA8" s="37">
        <v>1.5</v>
      </c>
      <c r="BB8" s="37">
        <v>0</v>
      </c>
      <c r="BC8" s="75"/>
      <c r="BD8" s="15">
        <f>IF(SUM(AN8,AR8)&gt;0,SUM(AN8,AR8),"")</f>
        <v>10.8</v>
      </c>
      <c r="BE8" s="15">
        <f>IF(SUM(AN8,AR8,AV8,AZ8)&gt;0,SUM(AN8,AR8,AV8,AZ8),"")</f>
        <v>17</v>
      </c>
      <c r="BF8" s="15">
        <f>IF(SUM(AM8:AN8,AP8:AR8,AT8)-SUM(AO8,AS8)&gt;0,SUM(AM8:AN8,AP8:AR8,AT8)-SUM(AO8,AS8),"")</f>
        <v>67</v>
      </c>
      <c r="BG8" s="15">
        <f>IF(SUM(AU8:AV8,AX8:AZ8,BB8)-SUM(AW8,BA8)&gt;0,SUM(AU8:AV8,AX8:AZ8,BB8)-SUM(AW8,BA8),"")</f>
        <v>53.1</v>
      </c>
      <c r="BH8" s="15">
        <f>IF(SUM(BF8,BG8)&gt;0,SUM(BF8,BG8),"")</f>
        <v>120.1</v>
      </c>
      <c r="BI8" s="24"/>
      <c r="BJ8" s="24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>
        <v>0</v>
      </c>
      <c r="BZ8" s="41">
        <v>0</v>
      </c>
      <c r="CA8" s="12" t="str">
        <f>IF(SUM(BL8,BP8)&gt;0,SUM(BL8,BP8),"")</f>
        <v/>
      </c>
      <c r="CB8" s="12" t="str">
        <f>IF(SUM(BL8,BP8,BT8,BX8)&gt;0,SUM(BL8,BP8,BT8,BX8),"")</f>
        <v/>
      </c>
      <c r="CC8" s="12"/>
      <c r="CD8" s="12"/>
      <c r="CE8" s="12"/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>IF(SUM(CG8,CK8)&gt;0,SUM(CG8,CK8),"")</f>
        <v/>
      </c>
      <c r="CW8" s="15"/>
      <c r="CX8" s="15"/>
      <c r="CY8" s="15"/>
      <c r="CZ8" s="15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/>
      <c r="DR8" s="12"/>
      <c r="DS8" s="12"/>
      <c r="DT8" s="12"/>
      <c r="DU8" s="12"/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/>
      <c r="EM8" s="15"/>
      <c r="EN8" s="15"/>
      <c r="EO8" s="15"/>
      <c r="EP8" s="15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/>
      <c r="FH8" s="12"/>
      <c r="FI8" s="12"/>
      <c r="FJ8" s="12"/>
      <c r="FK8" s="12"/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/>
      <c r="GC8" s="15"/>
      <c r="GD8" s="15"/>
      <c r="GE8" s="15"/>
      <c r="GF8" s="15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/>
      <c r="GX8" s="12"/>
      <c r="GY8" s="12"/>
      <c r="GZ8" s="12"/>
      <c r="HA8" s="12"/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/>
      <c r="HS8" s="15"/>
      <c r="HT8" s="15"/>
      <c r="HU8" s="15"/>
      <c r="HV8" s="15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/>
      <c r="IN8" s="12"/>
      <c r="IO8" s="12"/>
      <c r="IP8" s="12"/>
      <c r="IQ8" s="12"/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/>
      <c r="JI8" s="15"/>
      <c r="JJ8" s="15"/>
      <c r="JK8" s="15"/>
      <c r="JL8" s="15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/>
      <c r="KD8" s="12"/>
      <c r="KE8" s="12"/>
      <c r="KF8" s="12"/>
      <c r="KG8" s="12"/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>IF(SUM(KI8,KM8)&gt;0,SUM(KI8,KM8),"")</f>
        <v/>
      </c>
      <c r="KY8" s="15" t="str">
        <f>IF(SUM(KI8,KM8,KQ8,KU8)&gt;0,SUM(KI8,KM8,KQ8,KU8),"")</f>
        <v/>
      </c>
      <c r="KZ8" s="15" t="str">
        <f>IF(SUM(KH8:KI8,KK8:KM8,KO8)-SUM(KJ8,KN8)&gt;0,SUM(KH8:KI8,KK8:KM8,KO8)-SUM(KJ8,KN8),"")</f>
        <v/>
      </c>
      <c r="LA8" s="15" t="str">
        <f>IF(SUM(KP8:KQ8,KS8:KU8,KW8)-SUM(KR8,KV8)&gt;0,SUM(KP8:KQ8,KS8:KU8,KW8)-SUM(KR8,KV8),"")</f>
        <v/>
      </c>
      <c r="LB8" s="15" t="str">
        <f>IF(SUM(KZ8,LA8)&gt;0,SUM(KZ8,LA8),"")</f>
        <v/>
      </c>
      <c r="LC8" s="63">
        <f t="shared" si="6"/>
        <v>14.25</v>
      </c>
      <c r="LD8" s="63">
        <f t="shared" si="0"/>
        <v>2.6</v>
      </c>
      <c r="LE8" s="63">
        <f t="shared" si="0"/>
        <v>0.45</v>
      </c>
      <c r="LF8" s="63">
        <f t="shared" si="0"/>
        <v>0</v>
      </c>
      <c r="LG8" s="63">
        <f t="shared" si="0"/>
        <v>14.3</v>
      </c>
      <c r="LH8" s="63">
        <f t="shared" si="0"/>
        <v>2.8</v>
      </c>
      <c r="LI8" s="63">
        <f t="shared" si="0"/>
        <v>0</v>
      </c>
      <c r="LJ8" s="63">
        <f t="shared" si="0"/>
        <v>0</v>
      </c>
      <c r="LK8" s="63">
        <f t="shared" si="0"/>
        <v>10.1</v>
      </c>
      <c r="LL8" s="63">
        <f t="shared" si="0"/>
        <v>1.4</v>
      </c>
      <c r="LM8" s="63">
        <f t="shared" si="0"/>
        <v>0</v>
      </c>
      <c r="LN8" s="63">
        <f t="shared" si="0"/>
        <v>0</v>
      </c>
      <c r="LO8" s="63">
        <f t="shared" si="0"/>
        <v>14.1</v>
      </c>
      <c r="LP8" s="63">
        <f t="shared" si="0"/>
        <v>1.7</v>
      </c>
      <c r="LQ8" s="63">
        <f t="shared" si="0"/>
        <v>0.75</v>
      </c>
      <c r="LR8" s="63">
        <f t="shared" si="0"/>
        <v>0</v>
      </c>
      <c r="LS8" s="74" t="s">
        <v>119</v>
      </c>
      <c r="LT8" s="12">
        <f t="shared" ref="LT8" si="22">IF(SUM(LD8,LH8)&gt;0,SUM(LD8,LH8),"")</f>
        <v>5.4</v>
      </c>
      <c r="LU8" s="12">
        <f t="shared" ref="LU8" si="23">IF(SUM(LD8,LH8,LL8,LP8)&gt;0,SUM(LD8,LH8,LL8,LP8),"")</f>
        <v>8.5</v>
      </c>
      <c r="LV8" s="12">
        <f t="shared" ref="LV8" si="24">IF(SUM(LC8:LD8,LF8:LH8,LJ8)-SUM(LE8,LI8)&gt;0,SUM(LC8:LD8,LF8:LH8,LJ8)-SUM(LE8,LI8),"")</f>
        <v>33.5</v>
      </c>
      <c r="LW8" s="12">
        <f t="shared" ref="LW8" si="25">IF(SUM(LK8:LL8,LN8:LP8,LR8)-SUM(LM8,LQ8)&gt;0,SUM(LK8:LL8,LN8:LP8,LR8)-SUM(LM8,LQ8),"")</f>
        <v>26.55</v>
      </c>
      <c r="LX8" s="12">
        <f t="shared" ref="LX8" si="26">IF(SUM(LV8,LW8)&gt;0,SUM(LV8,LW8),"")</f>
        <v>60.05</v>
      </c>
    </row>
    <row r="9" spans="1:336" s="47" customFormat="1" x14ac:dyDescent="0.2">
      <c r="A9" s="8"/>
      <c r="B9" s="9"/>
      <c r="C9" s="5"/>
      <c r="D9" s="8"/>
      <c r="E9" s="95"/>
      <c r="F9" s="96"/>
      <c r="G9" s="96"/>
      <c r="H9" s="96"/>
      <c r="J9" s="48"/>
      <c r="K9" s="48"/>
      <c r="L9" s="48"/>
      <c r="M9" s="48"/>
      <c r="N9" s="48"/>
      <c r="O9" s="97"/>
      <c r="P9" s="4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9"/>
      <c r="AH9" s="48"/>
      <c r="AI9" s="48"/>
      <c r="AJ9" s="48"/>
      <c r="AK9" s="48"/>
      <c r="AL9" s="48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99"/>
      <c r="BD9" s="48"/>
      <c r="BE9" s="48"/>
      <c r="BF9" s="48"/>
      <c r="BG9" s="48"/>
      <c r="BH9" s="48"/>
      <c r="BI9" s="48"/>
      <c r="BJ9" s="48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  <c r="BW9" s="101"/>
      <c r="BX9" s="101"/>
      <c r="BY9" s="101"/>
      <c r="BZ9" s="101"/>
      <c r="CA9" s="48"/>
      <c r="CB9" s="48"/>
      <c r="CC9" s="48"/>
      <c r="CD9" s="48"/>
      <c r="CE9" s="48"/>
      <c r="CF9" s="101"/>
      <c r="CG9" s="101"/>
      <c r="CH9" s="101"/>
      <c r="CI9" s="101"/>
      <c r="CJ9" s="101"/>
      <c r="CK9" s="101"/>
      <c r="CL9" s="101"/>
      <c r="CM9" s="101"/>
      <c r="CN9" s="101"/>
      <c r="CO9" s="101"/>
      <c r="CP9" s="101"/>
      <c r="CQ9" s="101"/>
      <c r="CR9" s="101"/>
      <c r="CS9" s="101"/>
      <c r="CT9" s="101"/>
      <c r="CU9" s="101"/>
      <c r="CV9" s="48"/>
      <c r="CW9" s="48"/>
      <c r="CX9" s="48"/>
      <c r="CY9" s="48"/>
      <c r="CZ9" s="48"/>
      <c r="DA9" s="101"/>
      <c r="DB9" s="101"/>
      <c r="DC9" s="101"/>
      <c r="DD9" s="101"/>
      <c r="DE9" s="101"/>
      <c r="DF9" s="101"/>
      <c r="DG9" s="101"/>
      <c r="DH9" s="101"/>
      <c r="DI9" s="101"/>
      <c r="DJ9" s="101"/>
      <c r="DK9" s="101"/>
      <c r="DL9" s="101"/>
      <c r="DM9" s="101"/>
      <c r="DN9" s="101"/>
      <c r="DO9" s="101"/>
      <c r="DP9" s="101"/>
      <c r="DQ9" s="48"/>
      <c r="DR9" s="48"/>
      <c r="DS9" s="48"/>
      <c r="DT9" s="48"/>
      <c r="DU9" s="48"/>
      <c r="DV9" s="101"/>
      <c r="DW9" s="101"/>
      <c r="DX9" s="101"/>
      <c r="DY9" s="101"/>
      <c r="DZ9" s="101"/>
      <c r="EA9" s="101"/>
      <c r="EB9" s="101"/>
      <c r="EC9" s="101"/>
      <c r="ED9" s="101"/>
      <c r="EE9" s="101"/>
      <c r="EF9" s="101"/>
      <c r="EG9" s="101"/>
      <c r="EH9" s="101"/>
      <c r="EI9" s="101"/>
      <c r="EJ9" s="101"/>
      <c r="EK9" s="101"/>
      <c r="EL9" s="48"/>
      <c r="EM9" s="48"/>
      <c r="EN9" s="48"/>
      <c r="EO9" s="48"/>
      <c r="EP9" s="48"/>
      <c r="EQ9" s="101"/>
      <c r="ER9" s="101"/>
      <c r="ES9" s="101"/>
      <c r="ET9" s="101"/>
      <c r="EU9" s="101"/>
      <c r="EV9" s="101"/>
      <c r="EW9" s="101"/>
      <c r="EX9" s="101"/>
      <c r="EY9" s="101"/>
      <c r="EZ9" s="101"/>
      <c r="FA9" s="101"/>
      <c r="FB9" s="101"/>
      <c r="FC9" s="101"/>
      <c r="FD9" s="101"/>
      <c r="FE9" s="101"/>
      <c r="FF9" s="101"/>
      <c r="FG9" s="48"/>
      <c r="FH9" s="48"/>
      <c r="FI9" s="48"/>
      <c r="FJ9" s="48"/>
      <c r="FK9" s="48"/>
      <c r="FL9" s="101"/>
      <c r="FM9" s="101"/>
      <c r="FN9" s="101"/>
      <c r="FO9" s="101"/>
      <c r="FP9" s="101"/>
      <c r="FQ9" s="101"/>
      <c r="FR9" s="101"/>
      <c r="FS9" s="101"/>
      <c r="FT9" s="101"/>
      <c r="FU9" s="101"/>
      <c r="FV9" s="101"/>
      <c r="FW9" s="101"/>
      <c r="FX9" s="101"/>
      <c r="FY9" s="101"/>
      <c r="FZ9" s="101"/>
      <c r="GA9" s="101"/>
      <c r="GB9" s="48"/>
      <c r="GC9" s="48"/>
      <c r="GD9" s="48"/>
      <c r="GE9" s="48"/>
      <c r="GF9" s="48"/>
      <c r="GG9" s="101"/>
      <c r="GH9" s="101"/>
      <c r="GI9" s="101"/>
      <c r="GJ9" s="101"/>
      <c r="GK9" s="101"/>
      <c r="GL9" s="101"/>
      <c r="GM9" s="101"/>
      <c r="GN9" s="101"/>
      <c r="GO9" s="101"/>
      <c r="GP9" s="101"/>
      <c r="GQ9" s="101"/>
      <c r="GR9" s="101"/>
      <c r="GS9" s="101"/>
      <c r="GT9" s="101"/>
      <c r="GU9" s="101"/>
      <c r="GV9" s="101"/>
      <c r="GW9" s="48"/>
      <c r="GX9" s="48"/>
      <c r="GY9" s="48"/>
      <c r="GZ9" s="48"/>
      <c r="HA9" s="48"/>
      <c r="HB9" s="101"/>
      <c r="HC9" s="101"/>
      <c r="HD9" s="101"/>
      <c r="HE9" s="101"/>
      <c r="HF9" s="101"/>
      <c r="HG9" s="101"/>
      <c r="HH9" s="101"/>
      <c r="HI9" s="101"/>
      <c r="HJ9" s="101"/>
      <c r="HK9" s="101"/>
      <c r="HL9" s="101"/>
      <c r="HM9" s="101"/>
      <c r="HN9" s="101"/>
      <c r="HO9" s="101"/>
      <c r="HP9" s="101"/>
      <c r="HQ9" s="101"/>
      <c r="HR9" s="48"/>
      <c r="HS9" s="48"/>
      <c r="HT9" s="48"/>
      <c r="HU9" s="48"/>
      <c r="HV9" s="48"/>
      <c r="HW9" s="101"/>
      <c r="HX9" s="101"/>
      <c r="HY9" s="101"/>
      <c r="HZ9" s="101"/>
      <c r="IA9" s="101"/>
      <c r="IB9" s="101"/>
      <c r="IC9" s="101"/>
      <c r="ID9" s="101"/>
      <c r="IE9" s="101"/>
      <c r="IF9" s="101"/>
      <c r="IG9" s="101"/>
      <c r="IH9" s="101"/>
      <c r="II9" s="101"/>
      <c r="IJ9" s="101"/>
      <c r="IK9" s="101"/>
      <c r="IL9" s="101"/>
      <c r="IM9" s="48"/>
      <c r="IN9" s="48"/>
      <c r="IO9" s="48"/>
      <c r="IP9" s="48"/>
      <c r="IQ9" s="48"/>
      <c r="IR9" s="101"/>
      <c r="IS9" s="101"/>
      <c r="IT9" s="101"/>
      <c r="IU9" s="101"/>
      <c r="IV9" s="101"/>
      <c r="IW9" s="101"/>
      <c r="IX9" s="101"/>
      <c r="IY9" s="101"/>
      <c r="IZ9" s="101"/>
      <c r="JA9" s="101"/>
      <c r="JB9" s="101"/>
      <c r="JC9" s="101"/>
      <c r="JD9" s="101"/>
      <c r="JE9" s="101"/>
      <c r="JF9" s="101"/>
      <c r="JG9" s="101"/>
      <c r="JH9" s="48"/>
      <c r="JI9" s="48"/>
      <c r="JJ9" s="48"/>
      <c r="JK9" s="48"/>
      <c r="JL9" s="48"/>
      <c r="JM9" s="101"/>
      <c r="JN9" s="101"/>
      <c r="JO9" s="101"/>
      <c r="JP9" s="101"/>
      <c r="JQ9" s="101"/>
      <c r="JR9" s="101"/>
      <c r="JS9" s="101"/>
      <c r="JT9" s="101"/>
      <c r="JU9" s="101"/>
      <c r="JV9" s="101"/>
      <c r="JW9" s="101"/>
      <c r="JX9" s="101"/>
      <c r="JY9" s="101"/>
      <c r="JZ9" s="101"/>
      <c r="KA9" s="101"/>
      <c r="KB9" s="101"/>
      <c r="KC9" s="48"/>
      <c r="KD9" s="48"/>
      <c r="KE9" s="48"/>
      <c r="KF9" s="48"/>
      <c r="KG9" s="48"/>
      <c r="KH9" s="101"/>
      <c r="KI9" s="101"/>
      <c r="KJ9" s="101"/>
      <c r="KK9" s="101"/>
      <c r="KL9" s="101"/>
      <c r="KM9" s="101"/>
      <c r="KN9" s="101"/>
      <c r="KO9" s="101"/>
      <c r="KP9" s="101"/>
      <c r="KQ9" s="101"/>
      <c r="KR9" s="101"/>
      <c r="KS9" s="101"/>
      <c r="KT9" s="101"/>
      <c r="KU9" s="101"/>
      <c r="KV9" s="101"/>
      <c r="KW9" s="101"/>
      <c r="KX9" s="48"/>
      <c r="KY9" s="48"/>
      <c r="KZ9" s="48"/>
      <c r="LA9" s="48"/>
      <c r="LB9" s="48"/>
    </row>
    <row r="10" spans="1:336" x14ac:dyDescent="0.2">
      <c r="AH10" s="48"/>
      <c r="AI10" s="48"/>
      <c r="BD10" s="48"/>
      <c r="BE10" s="48"/>
      <c r="CA10" s="48"/>
      <c r="CB10" s="48"/>
      <c r="CV10" s="48"/>
      <c r="CW10" s="48"/>
      <c r="DQ10" s="48"/>
      <c r="DR10" s="48"/>
      <c r="EL10" s="48"/>
      <c r="EM10" s="48"/>
      <c r="FG10" s="48"/>
      <c r="FH10" s="48"/>
      <c r="GB10" s="48"/>
      <c r="GC10" s="48"/>
      <c r="GW10" s="48"/>
      <c r="GX10" s="48"/>
      <c r="HR10" s="48"/>
      <c r="HS10" s="48"/>
      <c r="IM10" s="48"/>
      <c r="IN10" s="48"/>
      <c r="JH10" s="48"/>
      <c r="JI10" s="48"/>
      <c r="KC10" s="48"/>
      <c r="KD10" s="48"/>
      <c r="KX10" s="48"/>
      <c r="KY10" s="48"/>
    </row>
    <row r="11" spans="1:336" x14ac:dyDescent="0.2">
      <c r="B11" s="64" t="s">
        <v>51</v>
      </c>
      <c r="AH11" s="48"/>
      <c r="AI11" s="48"/>
      <c r="AK11" s="58">
        <v>9.6</v>
      </c>
      <c r="BD11" s="48"/>
      <c r="BE11" s="48"/>
      <c r="BG11" s="58">
        <v>10.4</v>
      </c>
      <c r="CA11" s="48"/>
      <c r="CB11" s="48"/>
      <c r="CD11" s="58">
        <v>11.6</v>
      </c>
      <c r="CV11" s="48"/>
      <c r="CW11" s="48"/>
      <c r="CY11" s="58">
        <v>10.4</v>
      </c>
      <c r="DQ11" s="48"/>
      <c r="DR11" s="48"/>
      <c r="DT11" s="58">
        <v>10.4</v>
      </c>
      <c r="EL11" s="48"/>
      <c r="EM11" s="48"/>
      <c r="EO11" s="58">
        <v>10.4</v>
      </c>
      <c r="FG11" s="48"/>
      <c r="FH11" s="48"/>
      <c r="FJ11" s="58">
        <v>10.4</v>
      </c>
      <c r="GB11" s="48"/>
      <c r="GC11" s="48"/>
      <c r="GE11" s="58">
        <v>10.4</v>
      </c>
      <c r="GW11" s="48"/>
      <c r="GX11" s="48"/>
      <c r="GZ11" s="58">
        <v>10.4</v>
      </c>
      <c r="HR11" s="48"/>
      <c r="HS11" s="48"/>
      <c r="HU11" s="58">
        <v>10.4</v>
      </c>
      <c r="IM11" s="48"/>
      <c r="IN11" s="48"/>
      <c r="IP11" s="58">
        <v>10.4</v>
      </c>
      <c r="JH11" s="48"/>
      <c r="JI11" s="48"/>
      <c r="JK11" s="58">
        <v>10.4</v>
      </c>
      <c r="KC11" s="48"/>
      <c r="KD11" s="48"/>
      <c r="KF11" s="58">
        <v>10.4</v>
      </c>
      <c r="KX11" s="48"/>
      <c r="KY11" s="48"/>
      <c r="LA11" s="58">
        <v>10.4</v>
      </c>
    </row>
    <row r="12" spans="1:336" hidden="1" x14ac:dyDescent="0.2">
      <c r="B12" s="90" t="s">
        <v>50</v>
      </c>
      <c r="AH12" s="48"/>
      <c r="AI12" s="48"/>
      <c r="AK12" s="92">
        <v>22</v>
      </c>
      <c r="BD12" s="48"/>
      <c r="BE12" s="48"/>
      <c r="BG12" s="92">
        <v>22</v>
      </c>
      <c r="CA12" s="48"/>
      <c r="CB12" s="48"/>
      <c r="CD12" s="92">
        <v>22</v>
      </c>
      <c r="CV12" s="48"/>
      <c r="CW12" s="48"/>
      <c r="CY12" s="92">
        <v>19.600000000000001</v>
      </c>
      <c r="DQ12" s="48"/>
      <c r="DR12" s="48"/>
      <c r="DT12" s="92">
        <v>19.600000000000001</v>
      </c>
      <c r="EL12" s="48"/>
      <c r="EM12" s="48"/>
      <c r="EO12" s="92">
        <v>19.600000000000001</v>
      </c>
      <c r="FG12" s="48"/>
      <c r="FH12" s="48"/>
      <c r="FJ12" s="92">
        <v>19.600000000000001</v>
      </c>
      <c r="GB12" s="48"/>
      <c r="GC12" s="48"/>
      <c r="GE12" s="92">
        <v>19.600000000000001</v>
      </c>
      <c r="GW12" s="48"/>
      <c r="GX12" s="48"/>
      <c r="GZ12" s="92">
        <v>19.600000000000001</v>
      </c>
      <c r="HR12" s="48"/>
      <c r="HS12" s="48"/>
      <c r="HU12" s="92">
        <v>19.600000000000001</v>
      </c>
      <c r="IM12" s="48"/>
      <c r="IN12" s="48"/>
      <c r="IP12" s="92">
        <v>19.600000000000001</v>
      </c>
      <c r="JH12" s="48"/>
      <c r="JI12" s="48"/>
      <c r="JK12" s="92">
        <v>19.600000000000001</v>
      </c>
      <c r="KC12" s="48"/>
      <c r="KD12" s="48"/>
      <c r="KF12" s="92">
        <v>19.600000000000001</v>
      </c>
      <c r="KX12" s="48"/>
      <c r="KY12" s="48"/>
      <c r="LA12" s="92">
        <v>19.600000000000001</v>
      </c>
    </row>
    <row r="13" spans="1:336" x14ac:dyDescent="0.2">
      <c r="A13" s="50"/>
      <c r="B13" s="91" t="s">
        <v>76</v>
      </c>
      <c r="C13" s="49"/>
      <c r="AK13" s="93">
        <v>22</v>
      </c>
      <c r="BG13" s="93">
        <v>19.600000000000001</v>
      </c>
      <c r="CD13" s="93">
        <v>22</v>
      </c>
      <c r="CY13" s="93">
        <v>19.600000000000001</v>
      </c>
      <c r="DT13" s="93">
        <v>19.600000000000001</v>
      </c>
      <c r="EO13" s="93">
        <v>19.600000000000001</v>
      </c>
      <c r="FJ13" s="93">
        <v>19.600000000000001</v>
      </c>
      <c r="GE13" s="93">
        <v>19.600000000000001</v>
      </c>
      <c r="GZ13" s="93">
        <v>19.600000000000001</v>
      </c>
      <c r="HU13" s="93">
        <v>19.600000000000001</v>
      </c>
      <c r="IP13" s="93">
        <v>19.600000000000001</v>
      </c>
      <c r="JK13" s="93">
        <v>19.600000000000001</v>
      </c>
      <c r="KF13" s="93">
        <v>19.600000000000001</v>
      </c>
      <c r="LA13" s="93">
        <v>19.600000000000001</v>
      </c>
    </row>
    <row r="14" spans="1:336" x14ac:dyDescent="0.2">
      <c r="A14" s="50"/>
      <c r="B14" s="65" t="s">
        <v>48</v>
      </c>
      <c r="C14" s="49"/>
      <c r="AK14" s="59">
        <v>66.099999999999994</v>
      </c>
      <c r="BG14" s="59">
        <v>65</v>
      </c>
      <c r="CD14" s="59">
        <v>66.099999999999994</v>
      </c>
      <c r="CY14" s="59">
        <v>65</v>
      </c>
      <c r="DT14" s="59">
        <v>65</v>
      </c>
      <c r="EO14" s="59">
        <v>65</v>
      </c>
      <c r="FJ14" s="59">
        <v>65</v>
      </c>
      <c r="GE14" s="59">
        <v>65</v>
      </c>
      <c r="GZ14" s="59">
        <v>65</v>
      </c>
      <c r="HU14" s="59">
        <v>65</v>
      </c>
      <c r="IP14" s="59">
        <v>65</v>
      </c>
      <c r="JK14" s="59">
        <v>65</v>
      </c>
      <c r="KF14" s="59">
        <v>65</v>
      </c>
      <c r="LA14" s="59">
        <v>65</v>
      </c>
    </row>
    <row r="15" spans="1:336" hidden="1" x14ac:dyDescent="0.2">
      <c r="A15" s="50"/>
      <c r="B15" s="66" t="s">
        <v>49</v>
      </c>
      <c r="C15" s="49"/>
      <c r="AH15" s="50"/>
      <c r="AI15" s="50"/>
      <c r="AK15" s="60">
        <v>132</v>
      </c>
      <c r="BD15" s="50"/>
      <c r="BE15" s="50"/>
      <c r="BG15" s="60">
        <v>132</v>
      </c>
      <c r="CA15" s="50"/>
      <c r="CB15" s="50"/>
      <c r="CD15" s="60">
        <v>132</v>
      </c>
      <c r="CV15" s="50"/>
      <c r="CW15" s="50"/>
      <c r="CY15" s="60">
        <v>130</v>
      </c>
      <c r="DQ15" s="50"/>
      <c r="DR15" s="50"/>
      <c r="DT15" s="60">
        <v>130</v>
      </c>
      <c r="EL15" s="50"/>
      <c r="EM15" s="50"/>
      <c r="EO15" s="60">
        <v>130</v>
      </c>
      <c r="FG15" s="50"/>
      <c r="FH15" s="50"/>
      <c r="FJ15" s="60">
        <v>130</v>
      </c>
      <c r="GB15" s="50"/>
      <c r="GC15" s="50"/>
      <c r="GE15" s="60">
        <v>130</v>
      </c>
      <c r="GW15" s="50"/>
      <c r="GX15" s="50"/>
      <c r="GZ15" s="60">
        <v>130</v>
      </c>
      <c r="HR15" s="50"/>
      <c r="HS15" s="50"/>
      <c r="HU15" s="60">
        <v>130</v>
      </c>
      <c r="IM15" s="50"/>
      <c r="IN15" s="50"/>
      <c r="IP15" s="60">
        <v>130</v>
      </c>
      <c r="JH15" s="50"/>
      <c r="JI15" s="50"/>
      <c r="JK15" s="60">
        <v>130</v>
      </c>
      <c r="KC15" s="50"/>
      <c r="KD15" s="50"/>
      <c r="KF15" s="60">
        <v>130</v>
      </c>
      <c r="KX15" s="50"/>
      <c r="KY15" s="50"/>
      <c r="LA15" s="60">
        <v>130</v>
      </c>
    </row>
    <row r="16" spans="1:336" x14ac:dyDescent="0.2">
      <c r="A16" s="50"/>
      <c r="B16" s="67" t="s">
        <v>70</v>
      </c>
      <c r="C16" s="49"/>
      <c r="AH16" s="50"/>
      <c r="AI16" s="50"/>
      <c r="AK16" s="61">
        <v>132</v>
      </c>
      <c r="BD16" s="50"/>
      <c r="BE16" s="50"/>
      <c r="BG16" s="61">
        <v>130</v>
      </c>
      <c r="CA16" s="50"/>
      <c r="CB16" s="50"/>
      <c r="CD16" s="61">
        <v>132</v>
      </c>
      <c r="CV16" s="50"/>
      <c r="CW16" s="50"/>
      <c r="CY16" s="61">
        <v>130</v>
      </c>
      <c r="DQ16" s="50"/>
      <c r="DR16" s="50"/>
      <c r="DT16" s="61">
        <v>130</v>
      </c>
      <c r="EL16" s="50"/>
      <c r="EM16" s="50"/>
      <c r="EO16" s="61">
        <v>130</v>
      </c>
      <c r="FG16" s="50"/>
      <c r="FH16" s="50"/>
      <c r="FJ16" s="61">
        <v>130</v>
      </c>
      <c r="GB16" s="50"/>
      <c r="GC16" s="50"/>
      <c r="GE16" s="61">
        <v>130</v>
      </c>
      <c r="GW16" s="50"/>
      <c r="GX16" s="50"/>
      <c r="GZ16" s="61">
        <v>130</v>
      </c>
      <c r="HR16" s="50"/>
      <c r="HS16" s="50"/>
      <c r="HU16" s="61">
        <v>130</v>
      </c>
      <c r="IM16" s="50"/>
      <c r="IN16" s="50"/>
      <c r="IP16" s="61">
        <v>130</v>
      </c>
      <c r="JH16" s="50"/>
      <c r="JI16" s="50"/>
      <c r="JK16" s="61">
        <v>130</v>
      </c>
      <c r="KC16" s="50"/>
      <c r="KD16" s="50"/>
      <c r="KF16" s="61">
        <v>130</v>
      </c>
      <c r="KX16" s="50"/>
      <c r="KY16" s="50"/>
      <c r="LA16" s="61">
        <v>130</v>
      </c>
    </row>
    <row r="17" spans="1:313" hidden="1" x14ac:dyDescent="0.2">
      <c r="A17" s="50"/>
      <c r="B17" s="68" t="s">
        <v>35</v>
      </c>
      <c r="C17" s="49"/>
      <c r="AH17" s="50"/>
      <c r="AI17" s="50"/>
      <c r="AK17" s="62">
        <v>1000</v>
      </c>
      <c r="BD17" s="50"/>
      <c r="BE17" s="50"/>
      <c r="BG17" s="62">
        <v>1000</v>
      </c>
      <c r="CA17" s="50"/>
      <c r="CB17" s="50"/>
      <c r="CD17" s="62">
        <v>1000</v>
      </c>
      <c r="CV17" s="50"/>
      <c r="CW17" s="50"/>
      <c r="CY17" s="62">
        <v>1000</v>
      </c>
      <c r="DQ17" s="50"/>
      <c r="DR17" s="50"/>
      <c r="DT17" s="62">
        <v>1000</v>
      </c>
      <c r="EL17" s="50"/>
      <c r="EM17" s="50"/>
      <c r="EO17" s="62">
        <v>1000</v>
      </c>
      <c r="FG17" s="50"/>
      <c r="FH17" s="50"/>
      <c r="FJ17" s="62">
        <v>1000</v>
      </c>
      <c r="GB17" s="50"/>
      <c r="GC17" s="50"/>
      <c r="GE17" s="62">
        <v>1000</v>
      </c>
      <c r="GW17" s="50"/>
      <c r="GX17" s="50"/>
      <c r="GZ17" s="62">
        <v>1000</v>
      </c>
      <c r="HR17" s="50"/>
      <c r="HS17" s="50"/>
      <c r="HU17" s="62">
        <v>1000</v>
      </c>
      <c r="IM17" s="50"/>
      <c r="IN17" s="50"/>
      <c r="IP17" s="62">
        <v>1000</v>
      </c>
      <c r="JH17" s="50"/>
      <c r="JI17" s="50"/>
      <c r="JK17" s="62">
        <v>1000</v>
      </c>
      <c r="KC17" s="50"/>
      <c r="KD17" s="50"/>
      <c r="KF17" s="62">
        <v>1000</v>
      </c>
      <c r="KX17" s="50"/>
      <c r="KY17" s="50"/>
      <c r="LA17" s="62">
        <v>1000</v>
      </c>
    </row>
    <row r="18" spans="1:313" x14ac:dyDescent="0.2">
      <c r="B18" s="76" t="s">
        <v>55</v>
      </c>
      <c r="C18" s="3"/>
      <c r="AH18" s="50"/>
      <c r="AI18" s="50"/>
      <c r="AK18" t="s">
        <v>75</v>
      </c>
      <c r="BD18" s="50"/>
      <c r="BE18" s="50"/>
      <c r="CA18" s="50"/>
      <c r="CB18" s="50"/>
      <c r="CC18" s="7"/>
      <c r="CD18" t="s">
        <v>75</v>
      </c>
      <c r="CV18" s="50"/>
      <c r="CW18" s="50"/>
      <c r="DQ18" s="50"/>
      <c r="DR18" s="50"/>
      <c r="EL18" s="50"/>
      <c r="EM18" s="50"/>
      <c r="FG18" s="50"/>
      <c r="FH18" s="50"/>
      <c r="GB18" s="50"/>
      <c r="GC18" s="50"/>
      <c r="GW18" s="50"/>
      <c r="GX18" s="50"/>
      <c r="HR18" s="50"/>
      <c r="HS18" s="50"/>
      <c r="IM18" s="50"/>
      <c r="IN18" s="50"/>
      <c r="JH18" s="50"/>
      <c r="JI18" s="50"/>
      <c r="JJ18" s="7"/>
      <c r="KC18" s="50"/>
      <c r="KD18" s="50"/>
      <c r="KX18" s="50"/>
      <c r="KY18" s="50"/>
    </row>
    <row r="19" spans="1:313" x14ac:dyDescent="0.2">
      <c r="A19" s="50"/>
      <c r="B19" s="50"/>
      <c r="C19" s="49"/>
      <c r="AH19" s="50"/>
      <c r="AI19" s="50"/>
      <c r="BD19" s="50"/>
      <c r="BE19" s="50"/>
      <c r="CA19" s="50"/>
      <c r="CB19" s="50"/>
      <c r="CV19" s="50"/>
      <c r="CW19" s="50"/>
      <c r="DQ19" s="50"/>
      <c r="DR19" s="50"/>
      <c r="EL19" s="50"/>
      <c r="EM19" s="50"/>
      <c r="FG19" s="50"/>
      <c r="FH19" s="50"/>
      <c r="GB19" s="50"/>
      <c r="GC19" s="50"/>
      <c r="GW19" s="50"/>
      <c r="GX19" s="50"/>
      <c r="HR19" s="50"/>
      <c r="HS19" s="50"/>
      <c r="IM19" s="50"/>
      <c r="IN19" s="50"/>
      <c r="JH19" s="50"/>
      <c r="JI19" s="50"/>
      <c r="KC19" s="50"/>
      <c r="KD19" s="50"/>
      <c r="KX19" s="50"/>
      <c r="KY19" s="50"/>
    </row>
    <row r="20" spans="1:313" x14ac:dyDescent="0.2">
      <c r="A20" s="50"/>
      <c r="B20" s="50"/>
      <c r="C20" s="49"/>
      <c r="AH20" s="50"/>
      <c r="AI20" s="50"/>
      <c r="BD20" s="50"/>
      <c r="BE20" s="50"/>
      <c r="CA20" s="50"/>
      <c r="CB20" s="50"/>
      <c r="CV20" s="50"/>
      <c r="CW20" s="50"/>
      <c r="DQ20" s="50"/>
      <c r="DR20" s="50"/>
      <c r="EL20" s="50"/>
      <c r="EM20" s="50"/>
      <c r="FG20" s="50"/>
      <c r="FH20" s="50"/>
      <c r="GB20" s="50"/>
      <c r="GC20" s="50"/>
      <c r="GW20" s="50"/>
      <c r="GX20" s="50"/>
      <c r="HR20" s="50"/>
      <c r="HS20" s="50"/>
      <c r="IM20" s="50"/>
      <c r="IN20" s="50"/>
      <c r="JH20" s="50"/>
      <c r="JI20" s="50"/>
      <c r="KC20" s="50"/>
      <c r="KD20" s="50"/>
      <c r="KX20" s="50"/>
      <c r="KY20" s="50"/>
    </row>
    <row r="21" spans="1:313" x14ac:dyDescent="0.2">
      <c r="A21" s="50"/>
      <c r="B21" s="50"/>
      <c r="C21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4:LB8">
      <sortCondition descending="1" ref="F1:F14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9:I1048576">
    <cfRule type="containsText" dxfId="23" priority="55" operator="containsText" text="No DD">
      <formula>NOT(ISERROR(SEARCH("No DD",I9)))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9">
    <cfRule type="expression" dxfId="20" priority="78">
      <formula>IF($BC4&lt;&gt;"",1,0)</formula>
    </cfRule>
  </conditionalFormatting>
  <conditionalFormatting sqref="Q4:AL9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IF(AND(CC1&gt;=CD$15,CC1&lt;CD$16),1,0)</formula>
    </cfRule>
    <cfRule type="expression" dxfId="12" priority="11389">
      <formula>IF(AND(CC1&gt;=CD$14,CC1&lt;CD$15),1,0)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IF(AND(CE1&gt;=CD$17,CE1&lt;1000),1,0)</formula>
    </cfRule>
    <cfRule type="expression" dxfId="10" priority="11461">
      <formula>IF(AND(CE1&gt;=CD$16,CE1&lt;CD$17),1,0)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IF(AND(CB1&gt;=CD$13,CB1&lt;1000),1,0)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IF(AND(CA1&gt;=CD$12,CA1&lt;1000),1,0)</formula>
    </cfRule>
    <cfRule type="expression" dxfId="7" priority="11569">
      <formula>IF(AND(CA1&gt;=CD$11,CA1&lt;CD$12),1,0)</formula>
    </cfRule>
  </conditionalFormatting>
  <conditionalFormatting sqref="AH1:AH1048576 BD1:BD1048576">
    <cfRule type="expression" dxfId="6" priority="13048">
      <formula>IF(AND(AH1&gt;=AK$12,AH1&lt;1000,AG1=""),1,0)</formula>
    </cfRule>
    <cfRule type="expression" dxfId="5" priority="13049">
      <formula>IF(AND(AH1&gt;=AK$11,AH1&lt;AK$12,AG1=""),1,0)</formula>
    </cfRule>
  </conditionalFormatting>
  <conditionalFormatting sqref="BF1:BF1048576 AJ1:AJ1048576">
    <cfRule type="expression" dxfId="4" priority="13056">
      <formula>IF(AND(AJ1&gt;=AK$15,AJ1&lt;AK$16,AG1=""),1,0)</formula>
    </cfRule>
    <cfRule type="expression" dxfId="3" priority="13057">
      <formula>IF(AND(AJ1&gt;=AK$14,AJ1&lt;AK$15,AG1=""),1,0)</formula>
    </cfRule>
  </conditionalFormatting>
  <conditionalFormatting sqref="BH1:BH1048576 AL1:AL1048576">
    <cfRule type="expression" dxfId="2" priority="13064">
      <formula>IF(AND(AL1&gt;=AK$17,AL1&lt;1000,AG1=""),1,0)</formula>
    </cfRule>
    <cfRule type="expression" dxfId="1" priority="13065">
      <formula>IF(AND(AL1&gt;=AK$16,AL1&lt;AK$17,AG1=""),1,0)</formula>
    </cfRule>
  </conditionalFormatting>
  <conditionalFormatting sqref="AI1:AI1048576 BE1:BE1048576">
    <cfRule type="expression" dxfId="0" priority="13072">
      <formula>IF(AND(AI1&gt;=AK$13,AI1&lt;1000,AG1=""),1,0)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2019-05-10T22:25:45Z</dcterms:modified>
</cp:coreProperties>
</file>