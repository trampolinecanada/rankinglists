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F74E2A6-7111-D34A-9DEF-E4419B8A32A4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'DMT-M'!$A$1:$LB$1</definedName>
    <definedName name="_xlnm._FilterDatabase" localSheetId="6" hidden="1">'DMT-W'!$A$1:$LB$1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3" hidden="1">'TUM-M'!$A$1:$KN$3</definedName>
    <definedName name="_xlnm._FilterDatabase" localSheetId="4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8" i="4" l="1"/>
  <c r="AL8" i="4"/>
  <c r="AM8" i="4"/>
  <c r="AO8" i="4"/>
  <c r="AP8" i="4"/>
  <c r="BH8" i="4"/>
  <c r="BI8" i="4"/>
  <c r="BJ8" i="4"/>
  <c r="BL8" i="4"/>
  <c r="BM8" i="4"/>
  <c r="CH8" i="4"/>
  <c r="CI8" i="4"/>
  <c r="CJ8" i="4"/>
  <c r="CK8" i="4" s="1"/>
  <c r="CL8" i="4"/>
  <c r="CM8" i="4"/>
  <c r="DD8" i="4"/>
  <c r="DE8" i="4"/>
  <c r="DF8" i="4"/>
  <c r="DH8" i="4"/>
  <c r="DI8" i="4"/>
  <c r="DZ8" i="4"/>
  <c r="EA8" i="4"/>
  <c r="EB8" i="4"/>
  <c r="ED8" i="4"/>
  <c r="EE8" i="4"/>
  <c r="EV8" i="4"/>
  <c r="EW8" i="4"/>
  <c r="EY8" i="4" s="1"/>
  <c r="EX8" i="4"/>
  <c r="EZ8" i="4"/>
  <c r="FA8" i="4"/>
  <c r="FR8" i="4"/>
  <c r="FS8" i="4"/>
  <c r="FT8" i="4"/>
  <c r="FV8" i="4"/>
  <c r="FW8" i="4"/>
  <c r="GN8" i="4"/>
  <c r="GO8" i="4"/>
  <c r="GP8" i="4"/>
  <c r="GR8" i="4"/>
  <c r="GS8" i="4"/>
  <c r="HJ8" i="4"/>
  <c r="HK8" i="4"/>
  <c r="HL8" i="4"/>
  <c r="HN8" i="4"/>
  <c r="HO8" i="4"/>
  <c r="IF8" i="4"/>
  <c r="IG8" i="4"/>
  <c r="IH8" i="4"/>
  <c r="IJ8" i="4"/>
  <c r="IK8" i="4"/>
  <c r="JB8" i="4"/>
  <c r="JC8" i="4"/>
  <c r="JD8" i="4"/>
  <c r="JF8" i="4"/>
  <c r="JG8" i="4"/>
  <c r="JX8" i="4"/>
  <c r="JY8" i="4"/>
  <c r="JZ8" i="4"/>
  <c r="KB8" i="4"/>
  <c r="KC8" i="4"/>
  <c r="KT8" i="4"/>
  <c r="KU8" i="4"/>
  <c r="KV8" i="4"/>
  <c r="KX8" i="4"/>
  <c r="KY8" i="4"/>
  <c r="LP8" i="4"/>
  <c r="LQ8" i="4"/>
  <c r="LR8" i="4"/>
  <c r="LT8" i="4"/>
  <c r="LU8" i="4"/>
  <c r="LW12" i="4"/>
  <c r="LX12" i="4"/>
  <c r="LY12" i="4"/>
  <c r="LZ12" i="4"/>
  <c r="MA12" i="4"/>
  <c r="MB12" i="4"/>
  <c r="MC12" i="4"/>
  <c r="MD12" i="4"/>
  <c r="MM12" i="4" s="1"/>
  <c r="ME12" i="4"/>
  <c r="MF12" i="4"/>
  <c r="MG12" i="4"/>
  <c r="MH12" i="4"/>
  <c r="MI12" i="4"/>
  <c r="MQ12" i="4" s="1"/>
  <c r="MJ12" i="4"/>
  <c r="MK12" i="4"/>
  <c r="GQ8" i="4" l="1"/>
  <c r="FB8" i="4"/>
  <c r="P8" i="4"/>
  <c r="KA8" i="4"/>
  <c r="KD8" i="4" s="1"/>
  <c r="BK8" i="4"/>
  <c r="BN8" i="4" s="1"/>
  <c r="GT8" i="4"/>
  <c r="DG8" i="4"/>
  <c r="DJ8" i="4" s="1"/>
  <c r="EC8" i="4"/>
  <c r="EF8" i="4" s="1"/>
  <c r="AN8" i="4"/>
  <c r="KW8" i="4"/>
  <c r="KZ8" i="4" s="1"/>
  <c r="II8" i="4"/>
  <c r="IL8" i="4" s="1"/>
  <c r="LS8" i="4"/>
  <c r="LV8" i="4" s="1"/>
  <c r="JE8" i="4"/>
  <c r="JH8" i="4" s="1"/>
  <c r="HM8" i="4"/>
  <c r="HP8" i="4" s="1"/>
  <c r="FU8" i="4"/>
  <c r="FX8" i="4" s="1"/>
  <c r="F8" i="4"/>
  <c r="CN8" i="4"/>
  <c r="G8" i="4"/>
  <c r="MN12" i="4"/>
  <c r="MR12" i="4"/>
  <c r="MO12" i="4"/>
  <c r="Q8" i="4"/>
  <c r="BR8" i="4"/>
  <c r="KX4" i="12"/>
  <c r="KY4" i="12"/>
  <c r="KZ4" i="12"/>
  <c r="LA4" i="12"/>
  <c r="KX5" i="12"/>
  <c r="KY5" i="12"/>
  <c r="KZ5" i="12"/>
  <c r="LA5" i="12"/>
  <c r="KC4" i="12"/>
  <c r="KD4" i="12"/>
  <c r="KE4" i="12"/>
  <c r="KF4" i="12"/>
  <c r="KC5" i="12"/>
  <c r="KD5" i="12"/>
  <c r="KE5" i="12"/>
  <c r="KF5" i="12"/>
  <c r="JH4" i="12"/>
  <c r="JI4" i="12"/>
  <c r="JJ4" i="12"/>
  <c r="JK4" i="12"/>
  <c r="JH5" i="12"/>
  <c r="JI5" i="12"/>
  <c r="JJ5" i="12"/>
  <c r="JK5" i="12"/>
  <c r="IM4" i="12"/>
  <c r="IN4" i="12"/>
  <c r="IO4" i="12"/>
  <c r="IP4" i="12"/>
  <c r="IM5" i="12"/>
  <c r="IN5" i="12"/>
  <c r="IO5" i="12"/>
  <c r="IP5" i="12"/>
  <c r="HR4" i="12"/>
  <c r="HS4" i="12"/>
  <c r="HT4" i="12"/>
  <c r="HU4" i="12"/>
  <c r="HR5" i="12"/>
  <c r="HS5" i="12"/>
  <c r="HT5" i="12"/>
  <c r="HU5" i="12"/>
  <c r="GW4" i="12"/>
  <c r="GX4" i="12"/>
  <c r="GY4" i="12"/>
  <c r="GZ4" i="12"/>
  <c r="GW5" i="12"/>
  <c r="GX5" i="12"/>
  <c r="GY5" i="12"/>
  <c r="GZ5" i="12"/>
  <c r="GB4" i="12"/>
  <c r="GC4" i="12"/>
  <c r="GD4" i="12"/>
  <c r="GE4" i="12"/>
  <c r="GB5" i="12"/>
  <c r="GC5" i="12"/>
  <c r="GD5" i="12"/>
  <c r="GE5" i="12"/>
  <c r="FG4" i="12"/>
  <c r="FH4" i="12"/>
  <c r="FI4" i="12"/>
  <c r="FJ4" i="12"/>
  <c r="FG5" i="12"/>
  <c r="FH5" i="12"/>
  <c r="FI5" i="12"/>
  <c r="FJ5" i="12"/>
  <c r="EL4" i="12"/>
  <c r="EM4" i="12"/>
  <c r="EN4" i="12"/>
  <c r="EO4" i="12"/>
  <c r="EL5" i="12"/>
  <c r="EM5" i="12"/>
  <c r="EN5" i="12"/>
  <c r="EO5" i="12"/>
  <c r="DQ4" i="12"/>
  <c r="DR4" i="12"/>
  <c r="DS4" i="12"/>
  <c r="DT4" i="12"/>
  <c r="DQ5" i="12"/>
  <c r="DR5" i="12"/>
  <c r="DS5" i="12"/>
  <c r="DT5" i="12"/>
  <c r="CV4" i="12"/>
  <c r="CW4" i="12"/>
  <c r="CX4" i="12"/>
  <c r="CY4" i="12"/>
  <c r="CV5" i="12"/>
  <c r="CW5" i="12"/>
  <c r="CX5" i="12"/>
  <c r="CY5" i="12"/>
  <c r="CA4" i="12"/>
  <c r="CB4" i="12"/>
  <c r="CC4" i="12"/>
  <c r="CD4" i="12"/>
  <c r="CA5" i="12"/>
  <c r="CB5" i="12"/>
  <c r="CC5" i="12"/>
  <c r="CD5" i="12"/>
  <c r="KX5" i="6"/>
  <c r="KY5" i="6"/>
  <c r="KZ5" i="6"/>
  <c r="LA5" i="6"/>
  <c r="KX7" i="6"/>
  <c r="KY7" i="6"/>
  <c r="KZ7" i="6"/>
  <c r="LA7" i="6"/>
  <c r="KX6" i="6"/>
  <c r="KY6" i="6"/>
  <c r="KZ6" i="6"/>
  <c r="LA6" i="6"/>
  <c r="KX8" i="6"/>
  <c r="KY8" i="6"/>
  <c r="KZ8" i="6"/>
  <c r="LA8" i="6"/>
  <c r="KX10" i="6"/>
  <c r="KY10" i="6"/>
  <c r="KZ10" i="6"/>
  <c r="LA10" i="6"/>
  <c r="KX11" i="6"/>
  <c r="KY11" i="6"/>
  <c r="KZ11" i="6"/>
  <c r="LA11" i="6"/>
  <c r="KX9" i="6"/>
  <c r="KY9" i="6"/>
  <c r="KZ9" i="6"/>
  <c r="LA9" i="6"/>
  <c r="KX12" i="6"/>
  <c r="KY12" i="6"/>
  <c r="KZ12" i="6"/>
  <c r="LA12" i="6"/>
  <c r="KC5" i="6"/>
  <c r="KD5" i="6"/>
  <c r="KE5" i="6"/>
  <c r="KF5" i="6"/>
  <c r="KC7" i="6"/>
  <c r="KD7" i="6"/>
  <c r="KE7" i="6"/>
  <c r="KF7" i="6"/>
  <c r="KC6" i="6"/>
  <c r="KD6" i="6"/>
  <c r="KE6" i="6"/>
  <c r="KF6" i="6"/>
  <c r="KC8" i="6"/>
  <c r="KD8" i="6"/>
  <c r="KE8" i="6"/>
  <c r="KF8" i="6"/>
  <c r="KC10" i="6"/>
  <c r="KD10" i="6"/>
  <c r="KE10" i="6"/>
  <c r="KF10" i="6"/>
  <c r="KC11" i="6"/>
  <c r="KD11" i="6"/>
  <c r="KE11" i="6"/>
  <c r="KF11" i="6"/>
  <c r="KC9" i="6"/>
  <c r="KD9" i="6"/>
  <c r="KE9" i="6"/>
  <c r="KF9" i="6"/>
  <c r="KC12" i="6"/>
  <c r="KD12" i="6"/>
  <c r="KE12" i="6"/>
  <c r="KF12" i="6"/>
  <c r="JH5" i="6"/>
  <c r="JI5" i="6"/>
  <c r="JJ5" i="6"/>
  <c r="JK5" i="6"/>
  <c r="JH7" i="6"/>
  <c r="JI7" i="6"/>
  <c r="JJ7" i="6"/>
  <c r="JK7" i="6"/>
  <c r="JH6" i="6"/>
  <c r="JI6" i="6"/>
  <c r="JJ6" i="6"/>
  <c r="JK6" i="6"/>
  <c r="JH8" i="6"/>
  <c r="JI8" i="6"/>
  <c r="JJ8" i="6"/>
  <c r="JK8" i="6"/>
  <c r="JH10" i="6"/>
  <c r="JI10" i="6"/>
  <c r="JJ10" i="6"/>
  <c r="JK10" i="6"/>
  <c r="JH11" i="6"/>
  <c r="JI11" i="6"/>
  <c r="JJ11" i="6"/>
  <c r="JK11" i="6"/>
  <c r="JH9" i="6"/>
  <c r="JI9" i="6"/>
  <c r="JJ9" i="6"/>
  <c r="JK9" i="6"/>
  <c r="JH12" i="6"/>
  <c r="JI12" i="6"/>
  <c r="JJ12" i="6"/>
  <c r="JK12" i="6"/>
  <c r="IM5" i="6"/>
  <c r="IN5" i="6"/>
  <c r="IO5" i="6"/>
  <c r="IP5" i="6"/>
  <c r="IM7" i="6"/>
  <c r="IN7" i="6"/>
  <c r="IO7" i="6"/>
  <c r="IP7" i="6"/>
  <c r="IM6" i="6"/>
  <c r="IN6" i="6"/>
  <c r="IO6" i="6"/>
  <c r="IP6" i="6"/>
  <c r="IM8" i="6"/>
  <c r="IN8" i="6"/>
  <c r="IO8" i="6"/>
  <c r="IP8" i="6"/>
  <c r="IM10" i="6"/>
  <c r="IN10" i="6"/>
  <c r="IO10" i="6"/>
  <c r="IP10" i="6"/>
  <c r="IM11" i="6"/>
  <c r="IN11" i="6"/>
  <c r="IO11" i="6"/>
  <c r="IP11" i="6"/>
  <c r="IM9" i="6"/>
  <c r="IN9" i="6"/>
  <c r="IO9" i="6"/>
  <c r="IP9" i="6"/>
  <c r="IM12" i="6"/>
  <c r="IN12" i="6"/>
  <c r="IO12" i="6"/>
  <c r="IP12" i="6"/>
  <c r="HR5" i="6"/>
  <c r="HS5" i="6"/>
  <c r="HT5" i="6"/>
  <c r="HU5" i="6"/>
  <c r="HR7" i="6"/>
  <c r="HS7" i="6"/>
  <c r="HT7" i="6"/>
  <c r="HU7" i="6"/>
  <c r="HR6" i="6"/>
  <c r="HS6" i="6"/>
  <c r="HT6" i="6"/>
  <c r="HU6" i="6"/>
  <c r="HR8" i="6"/>
  <c r="HS8" i="6"/>
  <c r="HT8" i="6"/>
  <c r="HU8" i="6"/>
  <c r="HR10" i="6"/>
  <c r="HS10" i="6"/>
  <c r="HT10" i="6"/>
  <c r="HU10" i="6"/>
  <c r="HR11" i="6"/>
  <c r="HS11" i="6"/>
  <c r="HT11" i="6"/>
  <c r="HU11" i="6"/>
  <c r="HR9" i="6"/>
  <c r="HS9" i="6"/>
  <c r="HT9" i="6"/>
  <c r="HU9" i="6"/>
  <c r="HR12" i="6"/>
  <c r="HS12" i="6"/>
  <c r="HT12" i="6"/>
  <c r="HU12" i="6"/>
  <c r="GW5" i="6"/>
  <c r="GX5" i="6"/>
  <c r="GY5" i="6"/>
  <c r="GZ5" i="6"/>
  <c r="GW7" i="6"/>
  <c r="GX7" i="6"/>
  <c r="GY7" i="6"/>
  <c r="GZ7" i="6"/>
  <c r="GW6" i="6"/>
  <c r="GX6" i="6"/>
  <c r="GY6" i="6"/>
  <c r="GZ6" i="6"/>
  <c r="GW8" i="6"/>
  <c r="GX8" i="6"/>
  <c r="GY8" i="6"/>
  <c r="GZ8" i="6"/>
  <c r="GW10" i="6"/>
  <c r="GX10" i="6"/>
  <c r="GY10" i="6"/>
  <c r="GZ10" i="6"/>
  <c r="GW11" i="6"/>
  <c r="GX11" i="6"/>
  <c r="GY11" i="6"/>
  <c r="GZ11" i="6"/>
  <c r="GW9" i="6"/>
  <c r="GX9" i="6"/>
  <c r="GY9" i="6"/>
  <c r="GZ9" i="6"/>
  <c r="GW12" i="6"/>
  <c r="GX12" i="6"/>
  <c r="GY12" i="6"/>
  <c r="GZ12" i="6"/>
  <c r="GB5" i="6"/>
  <c r="GC5" i="6"/>
  <c r="GD5" i="6"/>
  <c r="GE5" i="6"/>
  <c r="GB7" i="6"/>
  <c r="GC7" i="6"/>
  <c r="GD7" i="6"/>
  <c r="GE7" i="6"/>
  <c r="GB6" i="6"/>
  <c r="GC6" i="6"/>
  <c r="GD6" i="6"/>
  <c r="GE6" i="6"/>
  <c r="GB8" i="6"/>
  <c r="GC8" i="6"/>
  <c r="GD8" i="6"/>
  <c r="GE8" i="6"/>
  <c r="GB10" i="6"/>
  <c r="GC10" i="6"/>
  <c r="GD10" i="6"/>
  <c r="GE10" i="6"/>
  <c r="GB11" i="6"/>
  <c r="GC11" i="6"/>
  <c r="GD11" i="6"/>
  <c r="GE11" i="6"/>
  <c r="GB9" i="6"/>
  <c r="GC9" i="6"/>
  <c r="GD9" i="6"/>
  <c r="GE9" i="6"/>
  <c r="GB12" i="6"/>
  <c r="GC12" i="6"/>
  <c r="GD12" i="6"/>
  <c r="GE12" i="6"/>
  <c r="FG5" i="6"/>
  <c r="FH5" i="6"/>
  <c r="FI5" i="6"/>
  <c r="FJ5" i="6"/>
  <c r="FG7" i="6"/>
  <c r="FH7" i="6"/>
  <c r="FI7" i="6"/>
  <c r="FJ7" i="6"/>
  <c r="FG6" i="6"/>
  <c r="FH6" i="6"/>
  <c r="FI6" i="6"/>
  <c r="FJ6" i="6"/>
  <c r="FG8" i="6"/>
  <c r="FH8" i="6"/>
  <c r="FI8" i="6"/>
  <c r="FJ8" i="6"/>
  <c r="FG10" i="6"/>
  <c r="FH10" i="6"/>
  <c r="FI10" i="6"/>
  <c r="FJ10" i="6"/>
  <c r="FG11" i="6"/>
  <c r="FH11" i="6"/>
  <c r="FI11" i="6"/>
  <c r="FJ11" i="6"/>
  <c r="FG9" i="6"/>
  <c r="FH9" i="6"/>
  <c r="FI9" i="6"/>
  <c r="FJ9" i="6"/>
  <c r="FG12" i="6"/>
  <c r="FH12" i="6"/>
  <c r="FI12" i="6"/>
  <c r="FJ12" i="6"/>
  <c r="EL5" i="6"/>
  <c r="EM5" i="6"/>
  <c r="EN5" i="6"/>
  <c r="EO5" i="6"/>
  <c r="EL7" i="6"/>
  <c r="EM7" i="6"/>
  <c r="EN7" i="6"/>
  <c r="EO7" i="6"/>
  <c r="EL6" i="6"/>
  <c r="EM6" i="6"/>
  <c r="EN6" i="6"/>
  <c r="EO6" i="6"/>
  <c r="EL8" i="6"/>
  <c r="EM8" i="6"/>
  <c r="EN8" i="6"/>
  <c r="EO8" i="6"/>
  <c r="EL10" i="6"/>
  <c r="EM10" i="6"/>
  <c r="EN10" i="6"/>
  <c r="EO10" i="6"/>
  <c r="EL11" i="6"/>
  <c r="EM11" i="6"/>
  <c r="EN11" i="6"/>
  <c r="EO11" i="6"/>
  <c r="EL9" i="6"/>
  <c r="EM9" i="6"/>
  <c r="EN9" i="6"/>
  <c r="EO9" i="6"/>
  <c r="EL12" i="6"/>
  <c r="EM12" i="6"/>
  <c r="EN12" i="6"/>
  <c r="EO12" i="6"/>
  <c r="DQ5" i="6"/>
  <c r="DR5" i="6"/>
  <c r="DS5" i="6"/>
  <c r="DT5" i="6"/>
  <c r="DQ7" i="6"/>
  <c r="DR7" i="6"/>
  <c r="DS7" i="6"/>
  <c r="DT7" i="6"/>
  <c r="DQ6" i="6"/>
  <c r="DR6" i="6"/>
  <c r="DS6" i="6"/>
  <c r="DT6" i="6"/>
  <c r="DQ8" i="6"/>
  <c r="DR8" i="6"/>
  <c r="DS8" i="6"/>
  <c r="DT8" i="6"/>
  <c r="DQ10" i="6"/>
  <c r="DR10" i="6"/>
  <c r="DS10" i="6"/>
  <c r="DT10" i="6"/>
  <c r="DQ11" i="6"/>
  <c r="DR11" i="6"/>
  <c r="DS11" i="6"/>
  <c r="DT11" i="6"/>
  <c r="DQ9" i="6"/>
  <c r="DR9" i="6"/>
  <c r="DS9" i="6"/>
  <c r="DT9" i="6"/>
  <c r="DQ12" i="6"/>
  <c r="DR12" i="6"/>
  <c r="DS12" i="6"/>
  <c r="DT12" i="6"/>
  <c r="CV5" i="6"/>
  <c r="CW5" i="6"/>
  <c r="CX5" i="6"/>
  <c r="CY5" i="6"/>
  <c r="CV7" i="6"/>
  <c r="CW7" i="6"/>
  <c r="CX7" i="6"/>
  <c r="CY7" i="6"/>
  <c r="CV6" i="6"/>
  <c r="CW6" i="6"/>
  <c r="CX6" i="6"/>
  <c r="CY6" i="6"/>
  <c r="CV8" i="6"/>
  <c r="CW8" i="6"/>
  <c r="CX8" i="6"/>
  <c r="CY8" i="6"/>
  <c r="CV10" i="6"/>
  <c r="CW10" i="6"/>
  <c r="CX10" i="6"/>
  <c r="CY10" i="6"/>
  <c r="CV11" i="6"/>
  <c r="CW11" i="6"/>
  <c r="CX11" i="6"/>
  <c r="CY11" i="6"/>
  <c r="CV9" i="6"/>
  <c r="CW9" i="6"/>
  <c r="CX9" i="6"/>
  <c r="CY9" i="6"/>
  <c r="CV12" i="6"/>
  <c r="CW12" i="6"/>
  <c r="CX12" i="6"/>
  <c r="CY12" i="6"/>
  <c r="CA5" i="6"/>
  <c r="CB5" i="6"/>
  <c r="CC5" i="6"/>
  <c r="CD5" i="6"/>
  <c r="CA7" i="6"/>
  <c r="CB7" i="6"/>
  <c r="CC7" i="6"/>
  <c r="CD7" i="6"/>
  <c r="CA6" i="6"/>
  <c r="CB6" i="6"/>
  <c r="CC6" i="6"/>
  <c r="CD6" i="6"/>
  <c r="CA8" i="6"/>
  <c r="CB8" i="6"/>
  <c r="CC8" i="6"/>
  <c r="CD8" i="6"/>
  <c r="CA10" i="6"/>
  <c r="CB10" i="6"/>
  <c r="CC10" i="6"/>
  <c r="CD10" i="6"/>
  <c r="CA11" i="6"/>
  <c r="CB11" i="6"/>
  <c r="CC11" i="6"/>
  <c r="CD11" i="6"/>
  <c r="CA9" i="6"/>
  <c r="CB9" i="6"/>
  <c r="CC9" i="6"/>
  <c r="CE9" i="6" s="1"/>
  <c r="CD9" i="6"/>
  <c r="CA12" i="6"/>
  <c r="CB12" i="6"/>
  <c r="CC12" i="6"/>
  <c r="CD12" i="6"/>
  <c r="KF4" i="6"/>
  <c r="KE4" i="6"/>
  <c r="KD4" i="6"/>
  <c r="KC4" i="6"/>
  <c r="JK4" i="6"/>
  <c r="JJ4" i="6"/>
  <c r="JI4" i="6"/>
  <c r="JH4" i="6"/>
  <c r="IP4" i="6"/>
  <c r="IO4" i="6"/>
  <c r="IN4" i="6"/>
  <c r="IM4" i="6"/>
  <c r="HU4" i="6"/>
  <c r="HT4" i="6"/>
  <c r="HS4" i="6"/>
  <c r="HR4" i="6"/>
  <c r="GZ4" i="6"/>
  <c r="GY4" i="6"/>
  <c r="GX4" i="6"/>
  <c r="GW4" i="6"/>
  <c r="GE4" i="6"/>
  <c r="GD4" i="6"/>
  <c r="GC4" i="6"/>
  <c r="GB4" i="6"/>
  <c r="FJ4" i="6"/>
  <c r="FI4" i="6"/>
  <c r="FH4" i="6"/>
  <c r="FG4" i="6"/>
  <c r="EO4" i="6"/>
  <c r="EN4" i="6"/>
  <c r="EM4" i="6"/>
  <c r="EL4" i="6"/>
  <c r="DT4" i="6"/>
  <c r="DS4" i="6"/>
  <c r="DR4" i="6"/>
  <c r="DQ4" i="6"/>
  <c r="CY4" i="6"/>
  <c r="CX4" i="6"/>
  <c r="CW4" i="6"/>
  <c r="CV4" i="6"/>
  <c r="CD4" i="6"/>
  <c r="CC4" i="6"/>
  <c r="CB4" i="6"/>
  <c r="CA4" i="6"/>
  <c r="JS6" i="8"/>
  <c r="JR6" i="8"/>
  <c r="JQ6" i="8"/>
  <c r="JS5" i="8"/>
  <c r="JR5" i="8"/>
  <c r="JQ5" i="8"/>
  <c r="JS4" i="8"/>
  <c r="JR4" i="8"/>
  <c r="JQ4" i="8"/>
  <c r="IY6" i="8"/>
  <c r="IX6" i="8"/>
  <c r="IW6" i="8"/>
  <c r="IY5" i="8"/>
  <c r="IX5" i="8"/>
  <c r="IW5" i="8"/>
  <c r="IY4" i="8"/>
  <c r="IX4" i="8"/>
  <c r="IW4" i="8"/>
  <c r="IE6" i="8"/>
  <c r="ID6" i="8"/>
  <c r="IC6" i="8"/>
  <c r="IE5" i="8"/>
  <c r="ID5" i="8"/>
  <c r="IC5" i="8"/>
  <c r="IE4" i="8"/>
  <c r="ID4" i="8"/>
  <c r="IC4" i="8"/>
  <c r="HK6" i="8"/>
  <c r="HJ6" i="8"/>
  <c r="HI6" i="8"/>
  <c r="HK5" i="8"/>
  <c r="HJ5" i="8"/>
  <c r="HI5" i="8"/>
  <c r="HK4" i="8"/>
  <c r="HJ4" i="8"/>
  <c r="HI4" i="8"/>
  <c r="GQ6" i="8"/>
  <c r="GP6" i="8"/>
  <c r="GO6" i="8"/>
  <c r="GQ5" i="8"/>
  <c r="GP5" i="8"/>
  <c r="GO5" i="8"/>
  <c r="GQ4" i="8"/>
  <c r="GP4" i="8"/>
  <c r="GO4" i="8"/>
  <c r="FW6" i="8"/>
  <c r="FV6" i="8"/>
  <c r="FU6" i="8"/>
  <c r="FW5" i="8"/>
  <c r="FV5" i="8"/>
  <c r="FU5" i="8"/>
  <c r="FW4" i="8"/>
  <c r="FV4" i="8"/>
  <c r="FU4" i="8"/>
  <c r="FC6" i="8"/>
  <c r="FB6" i="8"/>
  <c r="FA6" i="8"/>
  <c r="FC5" i="8"/>
  <c r="FB5" i="8"/>
  <c r="FA5" i="8"/>
  <c r="FC4" i="8"/>
  <c r="FB4" i="8"/>
  <c r="FA4" i="8"/>
  <c r="EI6" i="8"/>
  <c r="EH6" i="8"/>
  <c r="EG6" i="8"/>
  <c r="EI5" i="8"/>
  <c r="EH5" i="8"/>
  <c r="EG5" i="8"/>
  <c r="EI4" i="8"/>
  <c r="EH4" i="8"/>
  <c r="EG4" i="8"/>
  <c r="DO6" i="8"/>
  <c r="DN6" i="8"/>
  <c r="DM6" i="8"/>
  <c r="DO5" i="8"/>
  <c r="DN5" i="8"/>
  <c r="DM5" i="8"/>
  <c r="DO4" i="8"/>
  <c r="DN4" i="8"/>
  <c r="DM4" i="8"/>
  <c r="CU6" i="8"/>
  <c r="CT6" i="8"/>
  <c r="CS6" i="8"/>
  <c r="CU5" i="8"/>
  <c r="CT5" i="8"/>
  <c r="CS5" i="8"/>
  <c r="CU4" i="8"/>
  <c r="CT4" i="8"/>
  <c r="CS4" i="8"/>
  <c r="CA6" i="8"/>
  <c r="BZ6" i="8"/>
  <c r="BY6" i="8"/>
  <c r="CA5" i="8"/>
  <c r="BZ5" i="8"/>
  <c r="BY5" i="8"/>
  <c r="CA4" i="8"/>
  <c r="BZ4" i="8"/>
  <c r="BY4" i="8"/>
  <c r="JS5" i="7"/>
  <c r="JR5" i="7"/>
  <c r="JQ5" i="7"/>
  <c r="JS4" i="7"/>
  <c r="JR4" i="7"/>
  <c r="JQ4" i="7"/>
  <c r="IY5" i="7"/>
  <c r="IX5" i="7"/>
  <c r="IW5" i="7"/>
  <c r="IY4" i="7"/>
  <c r="IX4" i="7"/>
  <c r="IW4" i="7"/>
  <c r="IE5" i="7"/>
  <c r="ID5" i="7"/>
  <c r="IC5" i="7"/>
  <c r="IE4" i="7"/>
  <c r="ID4" i="7"/>
  <c r="IC4" i="7"/>
  <c r="HK5" i="7"/>
  <c r="HJ5" i="7"/>
  <c r="HI5" i="7"/>
  <c r="HK4" i="7"/>
  <c r="HJ4" i="7"/>
  <c r="HI4" i="7"/>
  <c r="GQ5" i="7"/>
  <c r="GP5" i="7"/>
  <c r="GO5" i="7"/>
  <c r="GQ4" i="7"/>
  <c r="GP4" i="7"/>
  <c r="GO4" i="7"/>
  <c r="FW5" i="7"/>
  <c r="FV5" i="7"/>
  <c r="FU5" i="7"/>
  <c r="FW4" i="7"/>
  <c r="FV4" i="7"/>
  <c r="FU4" i="7"/>
  <c r="FC5" i="7"/>
  <c r="FB5" i="7"/>
  <c r="FA5" i="7"/>
  <c r="FC4" i="7"/>
  <c r="FB4" i="7"/>
  <c r="FA4" i="7"/>
  <c r="EI5" i="7"/>
  <c r="EH5" i="7"/>
  <c r="EG5" i="7"/>
  <c r="EI4" i="7"/>
  <c r="EH4" i="7"/>
  <c r="EG4" i="7"/>
  <c r="DO5" i="7"/>
  <c r="DN5" i="7"/>
  <c r="DM5" i="7"/>
  <c r="DO4" i="7"/>
  <c r="DN4" i="7"/>
  <c r="DM4" i="7"/>
  <c r="CU5" i="7"/>
  <c r="CT5" i="7"/>
  <c r="CS5" i="7"/>
  <c r="CU4" i="7"/>
  <c r="CT4" i="7"/>
  <c r="CS4" i="7"/>
  <c r="CA5" i="7"/>
  <c r="BZ5" i="7"/>
  <c r="BY5" i="7"/>
  <c r="CA4" i="7"/>
  <c r="BZ4" i="7"/>
  <c r="BY4" i="7"/>
  <c r="KY9" i="2"/>
  <c r="KX9" i="2"/>
  <c r="KV9" i="2"/>
  <c r="KU9" i="2"/>
  <c r="KT9" i="2"/>
  <c r="KY8" i="2"/>
  <c r="KX8" i="2"/>
  <c r="KV8" i="2"/>
  <c r="KU8" i="2"/>
  <c r="KT8" i="2"/>
  <c r="KY6" i="2"/>
  <c r="KX6" i="2"/>
  <c r="KV6" i="2"/>
  <c r="KU6" i="2"/>
  <c r="KT6" i="2"/>
  <c r="KY7" i="2"/>
  <c r="KX7" i="2"/>
  <c r="KV7" i="2"/>
  <c r="KU7" i="2"/>
  <c r="KT7" i="2"/>
  <c r="KY5" i="2"/>
  <c r="KX5" i="2"/>
  <c r="KV5" i="2"/>
  <c r="KU5" i="2"/>
  <c r="KT5" i="2"/>
  <c r="KY4" i="2"/>
  <c r="KX4" i="2"/>
  <c r="KV4" i="2"/>
  <c r="KU4" i="2"/>
  <c r="KT4" i="2"/>
  <c r="KC9" i="2"/>
  <c r="KB9" i="2"/>
  <c r="JZ9" i="2"/>
  <c r="JY9" i="2"/>
  <c r="JX9" i="2"/>
  <c r="KC8" i="2"/>
  <c r="KB8" i="2"/>
  <c r="JZ8" i="2"/>
  <c r="JY8" i="2"/>
  <c r="JX8" i="2"/>
  <c r="KC6" i="2"/>
  <c r="KB6" i="2"/>
  <c r="JZ6" i="2"/>
  <c r="JY6" i="2"/>
  <c r="JX6" i="2"/>
  <c r="KC7" i="2"/>
  <c r="KB7" i="2"/>
  <c r="JZ7" i="2"/>
  <c r="JY7" i="2"/>
  <c r="JX7" i="2"/>
  <c r="KC5" i="2"/>
  <c r="KB5" i="2"/>
  <c r="JZ5" i="2"/>
  <c r="JY5" i="2"/>
  <c r="JX5" i="2"/>
  <c r="KC4" i="2"/>
  <c r="KB4" i="2"/>
  <c r="JZ4" i="2"/>
  <c r="JY4" i="2"/>
  <c r="JX4" i="2"/>
  <c r="JG9" i="2"/>
  <c r="JF9" i="2"/>
  <c r="JD9" i="2"/>
  <c r="JC9" i="2"/>
  <c r="JB9" i="2"/>
  <c r="JG8" i="2"/>
  <c r="JF8" i="2"/>
  <c r="JD8" i="2"/>
  <c r="JC8" i="2"/>
  <c r="JB8" i="2"/>
  <c r="JG6" i="2"/>
  <c r="JF6" i="2"/>
  <c r="JD6" i="2"/>
  <c r="JC6" i="2"/>
  <c r="JB6" i="2"/>
  <c r="JG7" i="2"/>
  <c r="JF7" i="2"/>
  <c r="JD7" i="2"/>
  <c r="JC7" i="2"/>
  <c r="JB7" i="2"/>
  <c r="JG5" i="2"/>
  <c r="JF5" i="2"/>
  <c r="JD5" i="2"/>
  <c r="JC5" i="2"/>
  <c r="JB5" i="2"/>
  <c r="JG4" i="2"/>
  <c r="JF4" i="2"/>
  <c r="JD4" i="2"/>
  <c r="JC4" i="2"/>
  <c r="JB4" i="2"/>
  <c r="IK9" i="2"/>
  <c r="IJ9" i="2"/>
  <c r="IH9" i="2"/>
  <c r="IG9" i="2"/>
  <c r="IF9" i="2"/>
  <c r="IK8" i="2"/>
  <c r="IJ8" i="2"/>
  <c r="IH8" i="2"/>
  <c r="IG8" i="2"/>
  <c r="IF8" i="2"/>
  <c r="IK6" i="2"/>
  <c r="IJ6" i="2"/>
  <c r="IH6" i="2"/>
  <c r="IG6" i="2"/>
  <c r="IF6" i="2"/>
  <c r="IK7" i="2"/>
  <c r="IJ7" i="2"/>
  <c r="IH7" i="2"/>
  <c r="IG7" i="2"/>
  <c r="IF7" i="2"/>
  <c r="IK5" i="2"/>
  <c r="IJ5" i="2"/>
  <c r="IH5" i="2"/>
  <c r="IG5" i="2"/>
  <c r="IF5" i="2"/>
  <c r="IK4" i="2"/>
  <c r="IJ4" i="2"/>
  <c r="IH4" i="2"/>
  <c r="IG4" i="2"/>
  <c r="IF4" i="2"/>
  <c r="HO9" i="2"/>
  <c r="HN9" i="2"/>
  <c r="HL9" i="2"/>
  <c r="HK9" i="2"/>
  <c r="HJ9" i="2"/>
  <c r="HO8" i="2"/>
  <c r="HN8" i="2"/>
  <c r="HL8" i="2"/>
  <c r="HK8" i="2"/>
  <c r="HJ8" i="2"/>
  <c r="HO6" i="2"/>
  <c r="HN6" i="2"/>
  <c r="HL6" i="2"/>
  <c r="HK6" i="2"/>
  <c r="HJ6" i="2"/>
  <c r="HO7" i="2"/>
  <c r="HN7" i="2"/>
  <c r="HL7" i="2"/>
  <c r="HK7" i="2"/>
  <c r="HJ7" i="2"/>
  <c r="HO5" i="2"/>
  <c r="HN5" i="2"/>
  <c r="HL5" i="2"/>
  <c r="HK5" i="2"/>
  <c r="HJ5" i="2"/>
  <c r="HO4" i="2"/>
  <c r="HN4" i="2"/>
  <c r="HL4" i="2"/>
  <c r="HK4" i="2"/>
  <c r="HJ4" i="2"/>
  <c r="GS9" i="2"/>
  <c r="GR9" i="2"/>
  <c r="GP9" i="2"/>
  <c r="GO9" i="2"/>
  <c r="GN9" i="2"/>
  <c r="GS8" i="2"/>
  <c r="GR8" i="2"/>
  <c r="GP8" i="2"/>
  <c r="GO8" i="2"/>
  <c r="GN8" i="2"/>
  <c r="GS6" i="2"/>
  <c r="GR6" i="2"/>
  <c r="GP6" i="2"/>
  <c r="GO6" i="2"/>
  <c r="GN6" i="2"/>
  <c r="GS7" i="2"/>
  <c r="GR7" i="2"/>
  <c r="GP7" i="2"/>
  <c r="GO7" i="2"/>
  <c r="GN7" i="2"/>
  <c r="GS5" i="2"/>
  <c r="GR5" i="2"/>
  <c r="GP5" i="2"/>
  <c r="GO5" i="2"/>
  <c r="GN5" i="2"/>
  <c r="GS4" i="2"/>
  <c r="GR4" i="2"/>
  <c r="GP4" i="2"/>
  <c r="GO4" i="2"/>
  <c r="GN4" i="2"/>
  <c r="FW9" i="2"/>
  <c r="FV9" i="2"/>
  <c r="FT9" i="2"/>
  <c r="FS9" i="2"/>
  <c r="FR9" i="2"/>
  <c r="FW8" i="2"/>
  <c r="FV8" i="2"/>
  <c r="FT8" i="2"/>
  <c r="FS8" i="2"/>
  <c r="FR8" i="2"/>
  <c r="FW6" i="2"/>
  <c r="FV6" i="2"/>
  <c r="FT6" i="2"/>
  <c r="FS6" i="2"/>
  <c r="FR6" i="2"/>
  <c r="FW7" i="2"/>
  <c r="FV7" i="2"/>
  <c r="FT7" i="2"/>
  <c r="FS7" i="2"/>
  <c r="FR7" i="2"/>
  <c r="FW5" i="2"/>
  <c r="FV5" i="2"/>
  <c r="FT5" i="2"/>
  <c r="FS5" i="2"/>
  <c r="FR5" i="2"/>
  <c r="FW4" i="2"/>
  <c r="FV4" i="2"/>
  <c r="FT4" i="2"/>
  <c r="FS4" i="2"/>
  <c r="FR4" i="2"/>
  <c r="FA9" i="2"/>
  <c r="EZ9" i="2"/>
  <c r="EX9" i="2"/>
  <c r="EW9" i="2"/>
  <c r="EV9" i="2"/>
  <c r="FA8" i="2"/>
  <c r="EZ8" i="2"/>
  <c r="EX8" i="2"/>
  <c r="EW8" i="2"/>
  <c r="EV8" i="2"/>
  <c r="FA6" i="2"/>
  <c r="EZ6" i="2"/>
  <c r="EX6" i="2"/>
  <c r="EW6" i="2"/>
  <c r="EV6" i="2"/>
  <c r="FA7" i="2"/>
  <c r="EZ7" i="2"/>
  <c r="EX7" i="2"/>
  <c r="EW7" i="2"/>
  <c r="EV7" i="2"/>
  <c r="FA5" i="2"/>
  <c r="EZ5" i="2"/>
  <c r="EX5" i="2"/>
  <c r="EW5" i="2"/>
  <c r="EV5" i="2"/>
  <c r="FA4" i="2"/>
  <c r="EZ4" i="2"/>
  <c r="EX4" i="2"/>
  <c r="EW4" i="2"/>
  <c r="EV4" i="2"/>
  <c r="EE9" i="2"/>
  <c r="ED9" i="2"/>
  <c r="EB9" i="2"/>
  <c r="EA9" i="2"/>
  <c r="DZ9" i="2"/>
  <c r="EE8" i="2"/>
  <c r="ED8" i="2"/>
  <c r="EB8" i="2"/>
  <c r="EA8" i="2"/>
  <c r="DZ8" i="2"/>
  <c r="EE6" i="2"/>
  <c r="ED6" i="2"/>
  <c r="EB6" i="2"/>
  <c r="EA6" i="2"/>
  <c r="DZ6" i="2"/>
  <c r="EE7" i="2"/>
  <c r="ED7" i="2"/>
  <c r="EB7" i="2"/>
  <c r="EA7" i="2"/>
  <c r="DZ7" i="2"/>
  <c r="EE5" i="2"/>
  <c r="ED5" i="2"/>
  <c r="EB5" i="2"/>
  <c r="EA5" i="2"/>
  <c r="DZ5" i="2"/>
  <c r="EE4" i="2"/>
  <c r="ED4" i="2"/>
  <c r="EB4" i="2"/>
  <c r="EA4" i="2"/>
  <c r="DZ4" i="2"/>
  <c r="DI9" i="2"/>
  <c r="DH9" i="2"/>
  <c r="DF9" i="2"/>
  <c r="DE9" i="2"/>
  <c r="DD9" i="2"/>
  <c r="DI8" i="2"/>
  <c r="DH8" i="2"/>
  <c r="DF8" i="2"/>
  <c r="DE8" i="2"/>
  <c r="DD8" i="2"/>
  <c r="DI6" i="2"/>
  <c r="DH6" i="2"/>
  <c r="DF6" i="2"/>
  <c r="DE6" i="2"/>
  <c r="DD6" i="2"/>
  <c r="DI7" i="2"/>
  <c r="DH7" i="2"/>
  <c r="DF7" i="2"/>
  <c r="DE7" i="2"/>
  <c r="DD7" i="2"/>
  <c r="DI5" i="2"/>
  <c r="DH5" i="2"/>
  <c r="DF5" i="2"/>
  <c r="DE5" i="2"/>
  <c r="DD5" i="2"/>
  <c r="DI4" i="2"/>
  <c r="DH4" i="2"/>
  <c r="DF4" i="2"/>
  <c r="DE4" i="2"/>
  <c r="DD4" i="2"/>
  <c r="CM9" i="2"/>
  <c r="CL9" i="2"/>
  <c r="CJ9" i="2"/>
  <c r="CI9" i="2"/>
  <c r="CH9" i="2"/>
  <c r="CM8" i="2"/>
  <c r="CL8" i="2"/>
  <c r="CJ8" i="2"/>
  <c r="CI8" i="2"/>
  <c r="CH8" i="2"/>
  <c r="CM6" i="2"/>
  <c r="CL6" i="2"/>
  <c r="CJ6" i="2"/>
  <c r="CI6" i="2"/>
  <c r="CH6" i="2"/>
  <c r="CM7" i="2"/>
  <c r="CL7" i="2"/>
  <c r="CJ7" i="2"/>
  <c r="CI7" i="2"/>
  <c r="CH7" i="2"/>
  <c r="CM5" i="2"/>
  <c r="CL5" i="2"/>
  <c r="CJ5" i="2"/>
  <c r="CI5" i="2"/>
  <c r="CH5" i="2"/>
  <c r="CM4" i="2"/>
  <c r="CL4" i="2"/>
  <c r="CJ4" i="2"/>
  <c r="CI4" i="2"/>
  <c r="CH4" i="2"/>
  <c r="KY12" i="4"/>
  <c r="KX12" i="4"/>
  <c r="KV12" i="4"/>
  <c r="KU12" i="4"/>
  <c r="KT12" i="4"/>
  <c r="KY11" i="4"/>
  <c r="KX11" i="4"/>
  <c r="KV11" i="4"/>
  <c r="KU11" i="4"/>
  <c r="KT11" i="4"/>
  <c r="KY10" i="4"/>
  <c r="KX10" i="4"/>
  <c r="KV10" i="4"/>
  <c r="KU10" i="4"/>
  <c r="KT10" i="4"/>
  <c r="KY9" i="4"/>
  <c r="KX9" i="4"/>
  <c r="KV9" i="4"/>
  <c r="KU9" i="4"/>
  <c r="KT9" i="4"/>
  <c r="KY7" i="4"/>
  <c r="KX7" i="4"/>
  <c r="KV7" i="4"/>
  <c r="KU7" i="4"/>
  <c r="KT7" i="4"/>
  <c r="KY5" i="4"/>
  <c r="KX5" i="4"/>
  <c r="KV5" i="4"/>
  <c r="KU5" i="4"/>
  <c r="KT5" i="4"/>
  <c r="KY4" i="4"/>
  <c r="KX4" i="4"/>
  <c r="KV4" i="4"/>
  <c r="KU4" i="4"/>
  <c r="KT4" i="4"/>
  <c r="KY6" i="4"/>
  <c r="KX6" i="4"/>
  <c r="KV6" i="4"/>
  <c r="KU6" i="4"/>
  <c r="KT6" i="4"/>
  <c r="KC12" i="4"/>
  <c r="KB12" i="4"/>
  <c r="JZ12" i="4"/>
  <c r="JY12" i="4"/>
  <c r="JX12" i="4"/>
  <c r="KC11" i="4"/>
  <c r="KB11" i="4"/>
  <c r="JZ11" i="4"/>
  <c r="JY11" i="4"/>
  <c r="JX11" i="4"/>
  <c r="KC10" i="4"/>
  <c r="KB10" i="4"/>
  <c r="JZ10" i="4"/>
  <c r="JY10" i="4"/>
  <c r="JX10" i="4"/>
  <c r="KC9" i="4"/>
  <c r="KB9" i="4"/>
  <c r="JZ9" i="4"/>
  <c r="JY9" i="4"/>
  <c r="JX9" i="4"/>
  <c r="KC7" i="4"/>
  <c r="KB7" i="4"/>
  <c r="JZ7" i="4"/>
  <c r="JY7" i="4"/>
  <c r="JX7" i="4"/>
  <c r="KC5" i="4"/>
  <c r="KB5" i="4"/>
  <c r="JZ5" i="4"/>
  <c r="JY5" i="4"/>
  <c r="JX5" i="4"/>
  <c r="KC4" i="4"/>
  <c r="KB4" i="4"/>
  <c r="JZ4" i="4"/>
  <c r="JY4" i="4"/>
  <c r="JX4" i="4"/>
  <c r="KC6" i="4"/>
  <c r="KB6" i="4"/>
  <c r="JZ6" i="4"/>
  <c r="JY6" i="4"/>
  <c r="JX6" i="4"/>
  <c r="JG12" i="4"/>
  <c r="JF12" i="4"/>
  <c r="JD12" i="4"/>
  <c r="JC12" i="4"/>
  <c r="JB12" i="4"/>
  <c r="JG11" i="4"/>
  <c r="JF11" i="4"/>
  <c r="JD11" i="4"/>
  <c r="JC11" i="4"/>
  <c r="JB11" i="4"/>
  <c r="JG10" i="4"/>
  <c r="JF10" i="4"/>
  <c r="JD10" i="4"/>
  <c r="JC10" i="4"/>
  <c r="JB10" i="4"/>
  <c r="JG9" i="4"/>
  <c r="JF9" i="4"/>
  <c r="JD9" i="4"/>
  <c r="JC9" i="4"/>
  <c r="JB9" i="4"/>
  <c r="JG7" i="4"/>
  <c r="JF7" i="4"/>
  <c r="JD7" i="4"/>
  <c r="JC7" i="4"/>
  <c r="JB7" i="4"/>
  <c r="JG5" i="4"/>
  <c r="JF5" i="4"/>
  <c r="JD5" i="4"/>
  <c r="JC5" i="4"/>
  <c r="JB5" i="4"/>
  <c r="JG4" i="4"/>
  <c r="JF4" i="4"/>
  <c r="JD4" i="4"/>
  <c r="JC4" i="4"/>
  <c r="JB4" i="4"/>
  <c r="JG6" i="4"/>
  <c r="JF6" i="4"/>
  <c r="JD6" i="4"/>
  <c r="JC6" i="4"/>
  <c r="JB6" i="4"/>
  <c r="IK12" i="4"/>
  <c r="IJ12" i="4"/>
  <c r="IH12" i="4"/>
  <c r="IG12" i="4"/>
  <c r="IF12" i="4"/>
  <c r="IK11" i="4"/>
  <c r="IJ11" i="4"/>
  <c r="IH11" i="4"/>
  <c r="IG11" i="4"/>
  <c r="IF11" i="4"/>
  <c r="IK10" i="4"/>
  <c r="IJ10" i="4"/>
  <c r="IH10" i="4"/>
  <c r="IG10" i="4"/>
  <c r="IF10" i="4"/>
  <c r="IK9" i="4"/>
  <c r="IJ9" i="4"/>
  <c r="IH9" i="4"/>
  <c r="IG9" i="4"/>
  <c r="IF9" i="4"/>
  <c r="IK7" i="4"/>
  <c r="IJ7" i="4"/>
  <c r="IH7" i="4"/>
  <c r="IG7" i="4"/>
  <c r="IF7" i="4"/>
  <c r="IK5" i="4"/>
  <c r="IJ5" i="4"/>
  <c r="IH5" i="4"/>
  <c r="IG5" i="4"/>
  <c r="IF5" i="4"/>
  <c r="IK4" i="4"/>
  <c r="IJ4" i="4"/>
  <c r="IH4" i="4"/>
  <c r="IG4" i="4"/>
  <c r="IF4" i="4"/>
  <c r="IK6" i="4"/>
  <c r="IJ6" i="4"/>
  <c r="IH6" i="4"/>
  <c r="IG6" i="4"/>
  <c r="IF6" i="4"/>
  <c r="HO12" i="4"/>
  <c r="HN12" i="4"/>
  <c r="HL12" i="4"/>
  <c r="HK12" i="4"/>
  <c r="HJ12" i="4"/>
  <c r="HO11" i="4"/>
  <c r="HN11" i="4"/>
  <c r="HL11" i="4"/>
  <c r="HK11" i="4"/>
  <c r="HJ11" i="4"/>
  <c r="HO10" i="4"/>
  <c r="HN10" i="4"/>
  <c r="HL10" i="4"/>
  <c r="HK10" i="4"/>
  <c r="HJ10" i="4"/>
  <c r="HO9" i="4"/>
  <c r="HN9" i="4"/>
  <c r="HL9" i="4"/>
  <c r="HK9" i="4"/>
  <c r="HJ9" i="4"/>
  <c r="HO7" i="4"/>
  <c r="HN7" i="4"/>
  <c r="HL7" i="4"/>
  <c r="HK7" i="4"/>
  <c r="HJ7" i="4"/>
  <c r="HO5" i="4"/>
  <c r="HN5" i="4"/>
  <c r="HL5" i="4"/>
  <c r="HK5" i="4"/>
  <c r="HJ5" i="4"/>
  <c r="HO4" i="4"/>
  <c r="HN4" i="4"/>
  <c r="HL4" i="4"/>
  <c r="HK4" i="4"/>
  <c r="HJ4" i="4"/>
  <c r="HO6" i="4"/>
  <c r="HN6" i="4"/>
  <c r="HL6" i="4"/>
  <c r="HK6" i="4"/>
  <c r="HJ6" i="4"/>
  <c r="GS12" i="4"/>
  <c r="GR12" i="4"/>
  <c r="GP12" i="4"/>
  <c r="GO12" i="4"/>
  <c r="GN12" i="4"/>
  <c r="GS11" i="4"/>
  <c r="GR11" i="4"/>
  <c r="GP11" i="4"/>
  <c r="GO11" i="4"/>
  <c r="GN11" i="4"/>
  <c r="GS10" i="4"/>
  <c r="GR10" i="4"/>
  <c r="GP10" i="4"/>
  <c r="GO10" i="4"/>
  <c r="GN10" i="4"/>
  <c r="GS9" i="4"/>
  <c r="GR9" i="4"/>
  <c r="GP9" i="4"/>
  <c r="GO9" i="4"/>
  <c r="GN9" i="4"/>
  <c r="GS7" i="4"/>
  <c r="GR7" i="4"/>
  <c r="GP7" i="4"/>
  <c r="GO7" i="4"/>
  <c r="GN7" i="4"/>
  <c r="GS5" i="4"/>
  <c r="GR5" i="4"/>
  <c r="GP5" i="4"/>
  <c r="GO5" i="4"/>
  <c r="GN5" i="4"/>
  <c r="GS4" i="4"/>
  <c r="GR4" i="4"/>
  <c r="GP4" i="4"/>
  <c r="GO4" i="4"/>
  <c r="GN4" i="4"/>
  <c r="GS6" i="4"/>
  <c r="GR6" i="4"/>
  <c r="GP6" i="4"/>
  <c r="GO6" i="4"/>
  <c r="GN6" i="4"/>
  <c r="FW12" i="4"/>
  <c r="FV12" i="4"/>
  <c r="FT12" i="4"/>
  <c r="FS12" i="4"/>
  <c r="FR12" i="4"/>
  <c r="FW11" i="4"/>
  <c r="FV11" i="4"/>
  <c r="FT11" i="4"/>
  <c r="FS11" i="4"/>
  <c r="FR11" i="4"/>
  <c r="FW10" i="4"/>
  <c r="FV10" i="4"/>
  <c r="FT10" i="4"/>
  <c r="FS10" i="4"/>
  <c r="FR10" i="4"/>
  <c r="FW9" i="4"/>
  <c r="FV9" i="4"/>
  <c r="FT9" i="4"/>
  <c r="FS9" i="4"/>
  <c r="FR9" i="4"/>
  <c r="FW7" i="4"/>
  <c r="FV7" i="4"/>
  <c r="FT7" i="4"/>
  <c r="FS7" i="4"/>
  <c r="FR7" i="4"/>
  <c r="FW5" i="4"/>
  <c r="FV5" i="4"/>
  <c r="FT5" i="4"/>
  <c r="FS5" i="4"/>
  <c r="FR5" i="4"/>
  <c r="FW4" i="4"/>
  <c r="FV4" i="4"/>
  <c r="FT4" i="4"/>
  <c r="FS4" i="4"/>
  <c r="FR4" i="4"/>
  <c r="FW6" i="4"/>
  <c r="FV6" i="4"/>
  <c r="FT6" i="4"/>
  <c r="FS6" i="4"/>
  <c r="FR6" i="4"/>
  <c r="FA12" i="4"/>
  <c r="EZ12" i="4"/>
  <c r="EX12" i="4"/>
  <c r="EW12" i="4"/>
  <c r="EV12" i="4"/>
  <c r="FA11" i="4"/>
  <c r="EZ11" i="4"/>
  <c r="EX11" i="4"/>
  <c r="EW11" i="4"/>
  <c r="EV11" i="4"/>
  <c r="FA10" i="4"/>
  <c r="EZ10" i="4"/>
  <c r="EX10" i="4"/>
  <c r="EW10" i="4"/>
  <c r="EV10" i="4"/>
  <c r="FA9" i="4"/>
  <c r="EZ9" i="4"/>
  <c r="EX9" i="4"/>
  <c r="EW9" i="4"/>
  <c r="EV9" i="4"/>
  <c r="FA7" i="4"/>
  <c r="EZ7" i="4"/>
  <c r="EX7" i="4"/>
  <c r="EW7" i="4"/>
  <c r="EV7" i="4"/>
  <c r="FA5" i="4"/>
  <c r="EZ5" i="4"/>
  <c r="EX5" i="4"/>
  <c r="EW5" i="4"/>
  <c r="EV5" i="4"/>
  <c r="FA4" i="4"/>
  <c r="EZ4" i="4"/>
  <c r="EX4" i="4"/>
  <c r="EW4" i="4"/>
  <c r="EV4" i="4"/>
  <c r="FA6" i="4"/>
  <c r="EZ6" i="4"/>
  <c r="EX6" i="4"/>
  <c r="EW6" i="4"/>
  <c r="EV6" i="4"/>
  <c r="EE12" i="4"/>
  <c r="ED12" i="4"/>
  <c r="EB12" i="4"/>
  <c r="EA12" i="4"/>
  <c r="DZ12" i="4"/>
  <c r="EE11" i="4"/>
  <c r="ED11" i="4"/>
  <c r="EB11" i="4"/>
  <c r="EA11" i="4"/>
  <c r="DZ11" i="4"/>
  <c r="EE10" i="4"/>
  <c r="ED10" i="4"/>
  <c r="EB10" i="4"/>
  <c r="EA10" i="4"/>
  <c r="DZ10" i="4"/>
  <c r="EE9" i="4"/>
  <c r="ED9" i="4"/>
  <c r="EB9" i="4"/>
  <c r="EA9" i="4"/>
  <c r="DZ9" i="4"/>
  <c r="EE7" i="4"/>
  <c r="ED7" i="4"/>
  <c r="EB7" i="4"/>
  <c r="EA7" i="4"/>
  <c r="DZ7" i="4"/>
  <c r="EE5" i="4"/>
  <c r="ED5" i="4"/>
  <c r="EB5" i="4"/>
  <c r="EA5" i="4"/>
  <c r="DZ5" i="4"/>
  <c r="EE4" i="4"/>
  <c r="ED4" i="4"/>
  <c r="EB4" i="4"/>
  <c r="EA4" i="4"/>
  <c r="DZ4" i="4"/>
  <c r="EE6" i="4"/>
  <c r="ED6" i="4"/>
  <c r="EB6" i="4"/>
  <c r="EA6" i="4"/>
  <c r="DZ6" i="4"/>
  <c r="DI12" i="4"/>
  <c r="DH12" i="4"/>
  <c r="DF12" i="4"/>
  <c r="DE12" i="4"/>
  <c r="DD12" i="4"/>
  <c r="DI11" i="4"/>
  <c r="DH11" i="4"/>
  <c r="DF11" i="4"/>
  <c r="DE11" i="4"/>
  <c r="DD11" i="4"/>
  <c r="DI10" i="4"/>
  <c r="DH10" i="4"/>
  <c r="DF10" i="4"/>
  <c r="DE10" i="4"/>
  <c r="DD10" i="4"/>
  <c r="DI9" i="4"/>
  <c r="DH9" i="4"/>
  <c r="DF9" i="4"/>
  <c r="DE9" i="4"/>
  <c r="DD9" i="4"/>
  <c r="DI7" i="4"/>
  <c r="DH7" i="4"/>
  <c r="DF7" i="4"/>
  <c r="DE7" i="4"/>
  <c r="DD7" i="4"/>
  <c r="DI5" i="4"/>
  <c r="DH5" i="4"/>
  <c r="DF5" i="4"/>
  <c r="DE5" i="4"/>
  <c r="DD5" i="4"/>
  <c r="DI4" i="4"/>
  <c r="DH4" i="4"/>
  <c r="DF4" i="4"/>
  <c r="DE4" i="4"/>
  <c r="DD4" i="4"/>
  <c r="DI6" i="4"/>
  <c r="DH6" i="4"/>
  <c r="DF6" i="4"/>
  <c r="DE6" i="4"/>
  <c r="DD6" i="4"/>
  <c r="CM12" i="4"/>
  <c r="CL12" i="4"/>
  <c r="CJ12" i="4"/>
  <c r="CI12" i="4"/>
  <c r="CH12" i="4"/>
  <c r="CM11" i="4"/>
  <c r="CL11" i="4"/>
  <c r="CJ11" i="4"/>
  <c r="CI11" i="4"/>
  <c r="CH11" i="4"/>
  <c r="CM10" i="4"/>
  <c r="CL10" i="4"/>
  <c r="CJ10" i="4"/>
  <c r="CI10" i="4"/>
  <c r="CH10" i="4"/>
  <c r="CM9" i="4"/>
  <c r="CL9" i="4"/>
  <c r="CJ9" i="4"/>
  <c r="CI9" i="4"/>
  <c r="CH9" i="4"/>
  <c r="CM7" i="4"/>
  <c r="CL7" i="4"/>
  <c r="CJ7" i="4"/>
  <c r="CI7" i="4"/>
  <c r="CH7" i="4"/>
  <c r="CM5" i="4"/>
  <c r="CL5" i="4"/>
  <c r="CJ5" i="4"/>
  <c r="CI5" i="4"/>
  <c r="CH5" i="4"/>
  <c r="CM4" i="4"/>
  <c r="CL4" i="4"/>
  <c r="CJ4" i="4"/>
  <c r="CI4" i="4"/>
  <c r="CH4" i="4"/>
  <c r="CM6" i="4"/>
  <c r="CL6" i="4"/>
  <c r="CJ6" i="4"/>
  <c r="CI6" i="4"/>
  <c r="CH6" i="4"/>
  <c r="J8" i="4" l="1"/>
  <c r="DU10" i="6"/>
  <c r="DU5" i="6"/>
  <c r="HV10" i="6"/>
  <c r="LB10" i="6"/>
  <c r="LB6" i="6"/>
  <c r="LB5" i="6"/>
  <c r="H8" i="4"/>
  <c r="I8" i="4" s="1"/>
  <c r="AQ8" i="4"/>
  <c r="MP12" i="4"/>
  <c r="MS12" i="4" s="1"/>
  <c r="L8" i="4"/>
  <c r="BQ8" i="4"/>
  <c r="N8" i="4"/>
  <c r="K8" i="4"/>
  <c r="EY7" i="2"/>
  <c r="FB7" i="2" s="1"/>
  <c r="JL5" i="12"/>
  <c r="LB5" i="12"/>
  <c r="IQ5" i="12"/>
  <c r="CE11" i="6"/>
  <c r="CE7" i="6"/>
  <c r="CZ11" i="6"/>
  <c r="CZ8" i="6"/>
  <c r="CZ7" i="6"/>
  <c r="EP11" i="6"/>
  <c r="FK11" i="6"/>
  <c r="FK8" i="6"/>
  <c r="GF12" i="6"/>
  <c r="GF11" i="6"/>
  <c r="GF8" i="6"/>
  <c r="HA11" i="6"/>
  <c r="HA8" i="6"/>
  <c r="HA7" i="6"/>
  <c r="HV11" i="6"/>
  <c r="LB11" i="6"/>
  <c r="CE8" i="6"/>
  <c r="KG5" i="12"/>
  <c r="CK9" i="2"/>
  <c r="CN9" i="2" s="1"/>
  <c r="JE6" i="4"/>
  <c r="JH6" i="4" s="1"/>
  <c r="EC7" i="2"/>
  <c r="EF7" i="2" s="1"/>
  <c r="IF5" i="8"/>
  <c r="CK12" i="4"/>
  <c r="CN12" i="4" s="1"/>
  <c r="KW7" i="4"/>
  <c r="KZ7" i="4" s="1"/>
  <c r="KW12" i="4"/>
  <c r="KZ12" i="4" s="1"/>
  <c r="CB6" i="8"/>
  <c r="KA10" i="4"/>
  <c r="KD10" i="4" s="1"/>
  <c r="FX5" i="8"/>
  <c r="HL5" i="8"/>
  <c r="EC4" i="4"/>
  <c r="EF4" i="4" s="1"/>
  <c r="EC9" i="4"/>
  <c r="EF9" i="4" s="1"/>
  <c r="FU5" i="2"/>
  <c r="FX5" i="2" s="1"/>
  <c r="GQ8" i="2"/>
  <c r="GT8" i="2" s="1"/>
  <c r="JE5" i="2"/>
  <c r="JH5" i="2" s="1"/>
  <c r="KA8" i="2"/>
  <c r="KD8" i="2" s="1"/>
  <c r="JT4" i="7"/>
  <c r="EJ6" i="8"/>
  <c r="CE4" i="12"/>
  <c r="DU5" i="12"/>
  <c r="FK4" i="12"/>
  <c r="CZ5" i="12"/>
  <c r="FK5" i="12"/>
  <c r="KG5" i="6"/>
  <c r="KG9" i="6"/>
  <c r="EP7" i="6"/>
  <c r="IQ7" i="6"/>
  <c r="JL11" i="6"/>
  <c r="CV5" i="8"/>
  <c r="IZ5" i="8"/>
  <c r="CB5" i="8"/>
  <c r="EJ4" i="7"/>
  <c r="CB5" i="7"/>
  <c r="FD5" i="7"/>
  <c r="CV4" i="7"/>
  <c r="FX4" i="7"/>
  <c r="CK7" i="2"/>
  <c r="CN7" i="2" s="1"/>
  <c r="GQ4" i="2"/>
  <c r="GT4" i="2" s="1"/>
  <c r="CK8" i="2"/>
  <c r="CN8" i="2" s="1"/>
  <c r="HM4" i="2"/>
  <c r="HP4" i="2" s="1"/>
  <c r="HM9" i="2"/>
  <c r="HP9" i="2" s="1"/>
  <c r="KW4" i="2"/>
  <c r="KZ4" i="2" s="1"/>
  <c r="EY4" i="2"/>
  <c r="FB4" i="2" s="1"/>
  <c r="EY9" i="2"/>
  <c r="FB9" i="2" s="1"/>
  <c r="HM7" i="2"/>
  <c r="HP7" i="2" s="1"/>
  <c r="II9" i="2"/>
  <c r="IL9" i="2" s="1"/>
  <c r="DG5" i="2"/>
  <c r="DJ5" i="2" s="1"/>
  <c r="GQ5" i="2"/>
  <c r="GT5" i="2" s="1"/>
  <c r="KA5" i="2"/>
  <c r="KD5" i="2" s="1"/>
  <c r="EC10" i="4"/>
  <c r="EF10" i="4" s="1"/>
  <c r="EY9" i="4"/>
  <c r="FB9" i="4" s="1"/>
  <c r="FU9" i="4"/>
  <c r="FX9" i="4" s="1"/>
  <c r="II9" i="4"/>
  <c r="IL9" i="4" s="1"/>
  <c r="JE4" i="4"/>
  <c r="JH4" i="4" s="1"/>
  <c r="CK5" i="4"/>
  <c r="CN5" i="4" s="1"/>
  <c r="CK11" i="4"/>
  <c r="CN11" i="4" s="1"/>
  <c r="FD6" i="8"/>
  <c r="DP4" i="8"/>
  <c r="JT4" i="8"/>
  <c r="FD5" i="8"/>
  <c r="HL6" i="8"/>
  <c r="GR4" i="8"/>
  <c r="EJ4" i="8"/>
  <c r="DP5" i="7"/>
  <c r="IF4" i="7"/>
  <c r="JT5" i="7"/>
  <c r="JE6" i="2"/>
  <c r="JH6" i="2" s="1"/>
  <c r="DG6" i="2"/>
  <c r="DJ6" i="2" s="1"/>
  <c r="EC8" i="2"/>
  <c r="EF8" i="2" s="1"/>
  <c r="II4" i="2"/>
  <c r="IL4" i="2" s="1"/>
  <c r="CK6" i="4"/>
  <c r="CN6" i="4" s="1"/>
  <c r="GQ6" i="4"/>
  <c r="GT6" i="4" s="1"/>
  <c r="DG12" i="4"/>
  <c r="DJ12" i="4" s="1"/>
  <c r="HM7" i="4"/>
  <c r="HP7" i="4" s="1"/>
  <c r="HM12" i="4"/>
  <c r="HP12" i="4" s="1"/>
  <c r="II6" i="4"/>
  <c r="IL6" i="4" s="1"/>
  <c r="II12" i="4"/>
  <c r="IL12" i="4" s="1"/>
  <c r="KA12" i="4"/>
  <c r="KD12" i="4" s="1"/>
  <c r="JE11" i="4"/>
  <c r="JH11" i="4" s="1"/>
  <c r="HM9" i="4"/>
  <c r="HP9" i="4" s="1"/>
  <c r="JE12" i="4"/>
  <c r="JH12" i="4" s="1"/>
  <c r="FU10" i="4"/>
  <c r="FX10" i="4" s="1"/>
  <c r="II7" i="4"/>
  <c r="IL7" i="4" s="1"/>
  <c r="JE10" i="4"/>
  <c r="JH10" i="4" s="1"/>
  <c r="KA9" i="4"/>
  <c r="KD9" i="4" s="1"/>
  <c r="CK4" i="2"/>
  <c r="CN4" i="2" s="1"/>
  <c r="CE4" i="6"/>
  <c r="IQ10" i="6"/>
  <c r="IQ6" i="6"/>
  <c r="JL6" i="6"/>
  <c r="CZ4" i="6"/>
  <c r="EP4" i="6"/>
  <c r="GF4" i="6"/>
  <c r="HV4" i="6"/>
  <c r="JL4" i="6"/>
  <c r="FK10" i="6"/>
  <c r="GF9" i="6"/>
  <c r="LB7" i="6"/>
  <c r="CE5" i="12"/>
  <c r="IQ4" i="12"/>
  <c r="KG4" i="12"/>
  <c r="JL4" i="12"/>
  <c r="HV4" i="12"/>
  <c r="GF4" i="12"/>
  <c r="CZ4" i="12"/>
  <c r="DU4" i="12"/>
  <c r="EP4" i="12"/>
  <c r="LB4" i="12"/>
  <c r="GF5" i="12"/>
  <c r="CE5" i="6"/>
  <c r="FK5" i="6"/>
  <c r="GF10" i="6"/>
  <c r="JL12" i="6"/>
  <c r="JL8" i="6"/>
  <c r="JL7" i="6"/>
  <c r="DU8" i="6"/>
  <c r="HV7" i="6"/>
  <c r="CZ10" i="6"/>
  <c r="GF5" i="6"/>
  <c r="HA9" i="6"/>
  <c r="KG11" i="6"/>
  <c r="KG8" i="6"/>
  <c r="KG7" i="6"/>
  <c r="IQ12" i="6"/>
  <c r="DU11" i="6"/>
  <c r="IQ5" i="6"/>
  <c r="JL9" i="6"/>
  <c r="JL10" i="6"/>
  <c r="DU12" i="6"/>
  <c r="HV8" i="6"/>
  <c r="IQ11" i="6"/>
  <c r="EP10" i="6"/>
  <c r="EP6" i="6"/>
  <c r="EP5" i="6"/>
  <c r="FK9" i="6"/>
  <c r="HA10" i="6"/>
  <c r="HA6" i="6"/>
  <c r="HA5" i="6"/>
  <c r="HV9" i="6"/>
  <c r="CZ12" i="6"/>
  <c r="CZ5" i="6"/>
  <c r="DU9" i="6"/>
  <c r="EP12" i="6"/>
  <c r="FK6" i="6"/>
  <c r="GF7" i="6"/>
  <c r="HV6" i="6"/>
  <c r="IQ8" i="6"/>
  <c r="JL5" i="6"/>
  <c r="LB12" i="6"/>
  <c r="CZ6" i="6"/>
  <c r="CE10" i="6"/>
  <c r="CE6" i="6"/>
  <c r="DU6" i="6"/>
  <c r="EP8" i="6"/>
  <c r="FK12" i="6"/>
  <c r="HA12" i="6"/>
  <c r="HV5" i="6"/>
  <c r="IQ9" i="6"/>
  <c r="KG10" i="6"/>
  <c r="KG6" i="6"/>
  <c r="LB8" i="6"/>
  <c r="DU4" i="6"/>
  <c r="HV12" i="6"/>
  <c r="FK4" i="6"/>
  <c r="HA4" i="6"/>
  <c r="IQ4" i="6"/>
  <c r="KG4" i="6"/>
  <c r="CE12" i="6"/>
  <c r="CZ9" i="6"/>
  <c r="EP9" i="6"/>
  <c r="FK7" i="6"/>
  <c r="GF6" i="6"/>
  <c r="KG12" i="6"/>
  <c r="LB9" i="6"/>
  <c r="DU7" i="6"/>
  <c r="HL4" i="8"/>
  <c r="IF6" i="8"/>
  <c r="DP5" i="8"/>
  <c r="GR5" i="8"/>
  <c r="JT5" i="8"/>
  <c r="CB4" i="8"/>
  <c r="CV6" i="8"/>
  <c r="FD4" i="8"/>
  <c r="FX6" i="8"/>
  <c r="IF4" i="8"/>
  <c r="IZ6" i="8"/>
  <c r="EJ5" i="8"/>
  <c r="CV4" i="8"/>
  <c r="DP6" i="8"/>
  <c r="FX4" i="8"/>
  <c r="GR6" i="8"/>
  <c r="IZ4" i="8"/>
  <c r="JT6" i="8"/>
  <c r="GR5" i="7"/>
  <c r="DP4" i="7"/>
  <c r="FD4" i="7"/>
  <c r="GR4" i="7"/>
  <c r="IF5" i="7"/>
  <c r="HL4" i="7"/>
  <c r="IZ4" i="7"/>
  <c r="CV5" i="7"/>
  <c r="EJ5" i="7"/>
  <c r="FX5" i="7"/>
  <c r="HL5" i="7"/>
  <c r="IZ5" i="7"/>
  <c r="FU4" i="2"/>
  <c r="FX4" i="2" s="1"/>
  <c r="FU9" i="2"/>
  <c r="FX9" i="2" s="1"/>
  <c r="KA7" i="2"/>
  <c r="KD7" i="2" s="1"/>
  <c r="DG9" i="2"/>
  <c r="DJ9" i="2" s="1"/>
  <c r="EC9" i="2"/>
  <c r="EF9" i="2" s="1"/>
  <c r="FU7" i="2"/>
  <c r="FX7" i="2" s="1"/>
  <c r="GQ7" i="2"/>
  <c r="GT7" i="2" s="1"/>
  <c r="II8" i="2"/>
  <c r="IL8" i="2" s="1"/>
  <c r="JE8" i="2"/>
  <c r="JH8" i="2" s="1"/>
  <c r="KW5" i="2"/>
  <c r="KZ5" i="2" s="1"/>
  <c r="DG7" i="2"/>
  <c r="DJ7" i="2" s="1"/>
  <c r="EY8" i="2"/>
  <c r="FB8" i="2" s="1"/>
  <c r="FU8" i="2"/>
  <c r="FX8" i="2" s="1"/>
  <c r="HM5" i="2"/>
  <c r="HP5" i="2" s="1"/>
  <c r="II5" i="2"/>
  <c r="IL5" i="2" s="1"/>
  <c r="EC6" i="2"/>
  <c r="EF6" i="2" s="1"/>
  <c r="JE9" i="2"/>
  <c r="JH9" i="2" s="1"/>
  <c r="KA4" i="2"/>
  <c r="KD4" i="2" s="1"/>
  <c r="KA9" i="2"/>
  <c r="KD9" i="2" s="1"/>
  <c r="HM6" i="2"/>
  <c r="HP6" i="2" s="1"/>
  <c r="HM8" i="2"/>
  <c r="HP8" i="2" s="1"/>
  <c r="KA6" i="2"/>
  <c r="KD6" i="2" s="1"/>
  <c r="KW6" i="2"/>
  <c r="KZ6" i="2" s="1"/>
  <c r="KW8" i="2"/>
  <c r="KZ8" i="2" s="1"/>
  <c r="CK5" i="2"/>
  <c r="CN5" i="2" s="1"/>
  <c r="CK6" i="2"/>
  <c r="CN6" i="2" s="1"/>
  <c r="DG8" i="2"/>
  <c r="DJ8" i="2" s="1"/>
  <c r="GQ9" i="2"/>
  <c r="GT9" i="2" s="1"/>
  <c r="II7" i="2"/>
  <c r="IL7" i="2" s="1"/>
  <c r="JE4" i="2"/>
  <c r="JH4" i="2" s="1"/>
  <c r="EC5" i="2"/>
  <c r="EF5" i="2" s="1"/>
  <c r="EY6" i="2"/>
  <c r="FB6" i="2" s="1"/>
  <c r="FU6" i="2"/>
  <c r="FX6" i="2" s="1"/>
  <c r="JE7" i="2"/>
  <c r="JH7" i="2" s="1"/>
  <c r="EY5" i="2"/>
  <c r="FB5" i="2" s="1"/>
  <c r="II6" i="2"/>
  <c r="IL6" i="2" s="1"/>
  <c r="DG4" i="2"/>
  <c r="DJ4" i="2" s="1"/>
  <c r="EC4" i="2"/>
  <c r="EF4" i="2" s="1"/>
  <c r="GQ6" i="2"/>
  <c r="GT6" i="2" s="1"/>
  <c r="KW7" i="2"/>
  <c r="KZ7" i="2" s="1"/>
  <c r="KW9" i="2"/>
  <c r="KZ9" i="2" s="1"/>
  <c r="EC11" i="4"/>
  <c r="EF11" i="4" s="1"/>
  <c r="EC7" i="4"/>
  <c r="EF7" i="4" s="1"/>
  <c r="EC12" i="4"/>
  <c r="EF12" i="4" s="1"/>
  <c r="KW5" i="4"/>
  <c r="KZ5" i="4" s="1"/>
  <c r="EY11" i="4"/>
  <c r="FB11" i="4" s="1"/>
  <c r="CK10" i="4"/>
  <c r="CN10" i="4" s="1"/>
  <c r="HM6" i="4"/>
  <c r="HP6" i="4" s="1"/>
  <c r="II4" i="4"/>
  <c r="IL4" i="4" s="1"/>
  <c r="DG7" i="4"/>
  <c r="DJ7" i="4" s="1"/>
  <c r="FU6" i="4"/>
  <c r="FX6" i="4" s="1"/>
  <c r="JE7" i="4"/>
  <c r="JH7" i="4" s="1"/>
  <c r="KW10" i="4"/>
  <c r="KZ10" i="4" s="1"/>
  <c r="CK9" i="4"/>
  <c r="CN9" i="4" s="1"/>
  <c r="DG10" i="4"/>
  <c r="DJ10" i="4" s="1"/>
  <c r="FU7" i="4"/>
  <c r="FX7" i="4" s="1"/>
  <c r="FU12" i="4"/>
  <c r="FX12" i="4" s="1"/>
  <c r="GQ9" i="4"/>
  <c r="GT9" i="4" s="1"/>
  <c r="HM10" i="4"/>
  <c r="HP10" i="4" s="1"/>
  <c r="II11" i="4"/>
  <c r="IL11" i="4" s="1"/>
  <c r="KA6" i="4"/>
  <c r="KD6" i="4" s="1"/>
  <c r="DG11" i="4"/>
  <c r="DJ11" i="4" s="1"/>
  <c r="EY4" i="4"/>
  <c r="FB4" i="4" s="1"/>
  <c r="FU5" i="4"/>
  <c r="FX5" i="4" s="1"/>
  <c r="GQ5" i="4"/>
  <c r="GT5" i="4" s="1"/>
  <c r="HM5" i="4"/>
  <c r="HP5" i="4" s="1"/>
  <c r="KW11" i="4"/>
  <c r="KZ11" i="4" s="1"/>
  <c r="KA5" i="4"/>
  <c r="KD5" i="4" s="1"/>
  <c r="CK7" i="4"/>
  <c r="CN7" i="4" s="1"/>
  <c r="FU11" i="4"/>
  <c r="FX11" i="4" s="1"/>
  <c r="GQ7" i="4"/>
  <c r="GT7" i="4" s="1"/>
  <c r="HM11" i="4"/>
  <c r="HP11" i="4" s="1"/>
  <c r="KA11" i="4"/>
  <c r="KD11" i="4" s="1"/>
  <c r="EY6" i="4"/>
  <c r="FB6" i="4" s="1"/>
  <c r="EY5" i="4"/>
  <c r="FB5" i="4" s="1"/>
  <c r="GQ11" i="4"/>
  <c r="GT11" i="4" s="1"/>
  <c r="II10" i="4"/>
  <c r="IL10" i="4" s="1"/>
  <c r="JE9" i="4"/>
  <c r="JH9" i="4" s="1"/>
  <c r="KA7" i="4"/>
  <c r="KD7" i="4" s="1"/>
  <c r="KW4" i="4"/>
  <c r="KZ4" i="4" s="1"/>
  <c r="CK4" i="4"/>
  <c r="CN4" i="4" s="1"/>
  <c r="DG9" i="4"/>
  <c r="DJ9" i="4" s="1"/>
  <c r="EC6" i="4"/>
  <c r="EF6" i="4" s="1"/>
  <c r="EC5" i="4"/>
  <c r="EF5" i="4" s="1"/>
  <c r="EY7" i="4"/>
  <c r="FB7" i="4" s="1"/>
  <c r="FU4" i="4"/>
  <c r="FX4" i="4" s="1"/>
  <c r="GQ4" i="4"/>
  <c r="GT4" i="4" s="1"/>
  <c r="GQ10" i="4"/>
  <c r="GT10" i="4" s="1"/>
  <c r="GQ12" i="4"/>
  <c r="GT12" i="4" s="1"/>
  <c r="HM4" i="4"/>
  <c r="HP4" i="4" s="1"/>
  <c r="JE5" i="4"/>
  <c r="JH5" i="4" s="1"/>
  <c r="KW9" i="4"/>
  <c r="KZ9" i="4" s="1"/>
  <c r="EY10" i="4"/>
  <c r="FB10" i="4" s="1"/>
  <c r="EY12" i="4"/>
  <c r="FB12" i="4" s="1"/>
  <c r="II5" i="4"/>
  <c r="IL5" i="4" s="1"/>
  <c r="KA4" i="4"/>
  <c r="KD4" i="4" s="1"/>
  <c r="KW6" i="4"/>
  <c r="KZ6" i="4" s="1"/>
  <c r="HV5" i="12"/>
  <c r="HA4" i="12"/>
  <c r="HA5" i="12"/>
  <c r="EP5" i="12"/>
  <c r="CB4" i="7"/>
  <c r="DG6" i="4"/>
  <c r="DJ6" i="4" s="1"/>
  <c r="DG5" i="4"/>
  <c r="DJ5" i="4" s="1"/>
  <c r="DG4" i="4"/>
  <c r="DJ4" i="4" s="1"/>
  <c r="AH5" i="8"/>
  <c r="AI5" i="8"/>
  <c r="AJ5" i="8"/>
  <c r="BC5" i="8"/>
  <c r="BD5" i="8"/>
  <c r="BE5" i="8"/>
  <c r="KK5" i="8"/>
  <c r="KL5" i="8"/>
  <c r="KM5" i="8"/>
  <c r="A8" i="4" l="1"/>
  <c r="BP8" i="4"/>
  <c r="O8" i="4"/>
  <c r="M8" i="4"/>
  <c r="BO8" i="4"/>
  <c r="KN5" i="8"/>
  <c r="BF5" i="8"/>
  <c r="L5" i="8"/>
  <c r="BH5" i="8" s="1"/>
  <c r="AK5" i="8"/>
  <c r="F5" i="8"/>
  <c r="J5" i="8"/>
  <c r="BG5" i="8" s="1"/>
  <c r="G5" i="8"/>
  <c r="H5" i="8"/>
  <c r="LC5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AH7" i="6"/>
  <c r="AI7" i="6"/>
  <c r="AJ7" i="6"/>
  <c r="AK7" i="6"/>
  <c r="BD7" i="6"/>
  <c r="BE7" i="6"/>
  <c r="BF7" i="6"/>
  <c r="BG7" i="6"/>
  <c r="LC12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R8" i="4" l="1"/>
  <c r="E8" i="4" s="1"/>
  <c r="BH7" i="6"/>
  <c r="J7" i="6" s="1"/>
  <c r="K7" i="6" s="1"/>
  <c r="M5" i="8"/>
  <c r="I5" i="8"/>
  <c r="N5" i="8"/>
  <c r="P5" i="8" s="1"/>
  <c r="K5" i="8"/>
  <c r="LT5" i="12"/>
  <c r="LW5" i="12"/>
  <c r="LV5" i="12"/>
  <c r="LU5" i="12"/>
  <c r="LV12" i="6"/>
  <c r="LT12" i="6"/>
  <c r="LW12" i="6"/>
  <c r="LU12" i="6"/>
  <c r="F7" i="6"/>
  <c r="H7" i="6"/>
  <c r="G7" i="6"/>
  <c r="S8" i="4" l="1"/>
  <c r="T8" i="4"/>
  <c r="LX5" i="12"/>
  <c r="L7" i="6"/>
  <c r="M7" i="6" s="1"/>
  <c r="E5" i="8"/>
  <c r="O5" i="8"/>
  <c r="LX12" i="6"/>
  <c r="I7" i="6"/>
  <c r="N7" i="6"/>
  <c r="O7" i="6" l="1"/>
  <c r="P7" i="6"/>
  <c r="E7" i="6"/>
  <c r="AK5" i="12" l="1"/>
  <c r="AJ5" i="12"/>
  <c r="AI5" i="12"/>
  <c r="AH5" i="12"/>
  <c r="AK4" i="12"/>
  <c r="AJ4" i="12"/>
  <c r="AI4" i="12"/>
  <c r="AH4" i="12"/>
  <c r="AK12" i="6"/>
  <c r="AJ12" i="6"/>
  <c r="AI12" i="6"/>
  <c r="AH12" i="6"/>
  <c r="AK9" i="6"/>
  <c r="AJ9" i="6"/>
  <c r="AI9" i="6"/>
  <c r="AH9" i="6"/>
  <c r="AK11" i="6"/>
  <c r="AJ11" i="6"/>
  <c r="AL11" i="6" s="1"/>
  <c r="AI11" i="6"/>
  <c r="AH11" i="6"/>
  <c r="AK6" i="6"/>
  <c r="AJ6" i="6"/>
  <c r="AI6" i="6"/>
  <c r="AH6" i="6"/>
  <c r="AK8" i="6"/>
  <c r="AJ8" i="6"/>
  <c r="AI8" i="6"/>
  <c r="AH8" i="6"/>
  <c r="AK10" i="6"/>
  <c r="AJ10" i="6"/>
  <c r="AI10" i="6"/>
  <c r="AH10" i="6"/>
  <c r="AK4" i="6"/>
  <c r="AJ4" i="6"/>
  <c r="AI4" i="6"/>
  <c r="AH4" i="6"/>
  <c r="AK5" i="6"/>
  <c r="AJ5" i="6"/>
  <c r="AI5" i="6"/>
  <c r="AH5" i="6"/>
  <c r="AJ4" i="8"/>
  <c r="AI4" i="8"/>
  <c r="AH4" i="8"/>
  <c r="AJ6" i="8"/>
  <c r="AI6" i="8"/>
  <c r="AH6" i="8"/>
  <c r="AJ5" i="7"/>
  <c r="AI5" i="7"/>
  <c r="AH5" i="7"/>
  <c r="AP9" i="2"/>
  <c r="AO9" i="2"/>
  <c r="AM9" i="2"/>
  <c r="AL9" i="2"/>
  <c r="AK9" i="2"/>
  <c r="AP8" i="2"/>
  <c r="AO8" i="2"/>
  <c r="AM8" i="2"/>
  <c r="AL8" i="2"/>
  <c r="AK8" i="2"/>
  <c r="AP6" i="2"/>
  <c r="AO6" i="2"/>
  <c r="AM6" i="2"/>
  <c r="AL6" i="2"/>
  <c r="AK6" i="2"/>
  <c r="AP4" i="2"/>
  <c r="AO4" i="2"/>
  <c r="AM4" i="2"/>
  <c r="AL4" i="2"/>
  <c r="AK4" i="2"/>
  <c r="AP5" i="2"/>
  <c r="AO5" i="2"/>
  <c r="AM5" i="2"/>
  <c r="AL5" i="2"/>
  <c r="AK5" i="2"/>
  <c r="AP7" i="2"/>
  <c r="AO7" i="2"/>
  <c r="AM7" i="2"/>
  <c r="AL7" i="2"/>
  <c r="AK7" i="2"/>
  <c r="AP9" i="4"/>
  <c r="AO9" i="4"/>
  <c r="AM9" i="4"/>
  <c r="AL9" i="4"/>
  <c r="AK9" i="4"/>
  <c r="AP11" i="4"/>
  <c r="AO11" i="4"/>
  <c r="AM11" i="4"/>
  <c r="AL11" i="4"/>
  <c r="AK11" i="4"/>
  <c r="AP5" i="4"/>
  <c r="AO5" i="4"/>
  <c r="AM5" i="4"/>
  <c r="AL5" i="4"/>
  <c r="AK5" i="4"/>
  <c r="AP12" i="4"/>
  <c r="AO12" i="4"/>
  <c r="AM12" i="4"/>
  <c r="AL12" i="4"/>
  <c r="AK12" i="4"/>
  <c r="AP10" i="4"/>
  <c r="AO10" i="4"/>
  <c r="AM10" i="4"/>
  <c r="AL10" i="4"/>
  <c r="AK10" i="4"/>
  <c r="AP4" i="4"/>
  <c r="AO4" i="4"/>
  <c r="AM4" i="4"/>
  <c r="AL4" i="4"/>
  <c r="AK4" i="4"/>
  <c r="AP7" i="4"/>
  <c r="AO7" i="4"/>
  <c r="AM7" i="4"/>
  <c r="AL7" i="4"/>
  <c r="AK7" i="4"/>
  <c r="AP6" i="4"/>
  <c r="AO6" i="4"/>
  <c r="AM6" i="4"/>
  <c r="AL6" i="4"/>
  <c r="AK6" i="4"/>
  <c r="AL12" i="6" l="1"/>
  <c r="AN5" i="2"/>
  <c r="AQ5" i="2" s="1"/>
  <c r="AN9" i="2"/>
  <c r="AQ9" i="2" s="1"/>
  <c r="AN12" i="4"/>
  <c r="AQ12" i="4" s="1"/>
  <c r="AL6" i="6"/>
  <c r="AL4" i="12"/>
  <c r="AK5" i="7"/>
  <c r="AN5" i="4"/>
  <c r="AQ5" i="4" s="1"/>
  <c r="AN9" i="4"/>
  <c r="AQ9" i="4" s="1"/>
  <c r="AL5" i="12"/>
  <c r="AL9" i="6"/>
  <c r="AL10" i="6"/>
  <c r="AL5" i="6"/>
  <c r="AL8" i="6"/>
  <c r="AL4" i="6"/>
  <c r="AK6" i="8"/>
  <c r="AK4" i="8"/>
  <c r="AN7" i="2"/>
  <c r="AQ7" i="2" s="1"/>
  <c r="AN4" i="2"/>
  <c r="AQ4" i="2" s="1"/>
  <c r="AN6" i="2"/>
  <c r="AQ6" i="2" s="1"/>
  <c r="AN8" i="2"/>
  <c r="AQ8" i="2" s="1"/>
  <c r="AN6" i="4"/>
  <c r="AQ6" i="4" s="1"/>
  <c r="AN11" i="4"/>
  <c r="AQ11" i="4" s="1"/>
  <c r="AN7" i="4"/>
  <c r="AQ7" i="4" s="1"/>
  <c r="AN10" i="4"/>
  <c r="AQ10" i="4" s="1"/>
  <c r="AN4" i="4"/>
  <c r="AQ4" i="4" s="1"/>
  <c r="LT9" i="2" l="1"/>
  <c r="LT8" i="2"/>
  <c r="LT6" i="2"/>
  <c r="LT4" i="2"/>
  <c r="LT5" i="2"/>
  <c r="LT7" i="2"/>
  <c r="BL9" i="2"/>
  <c r="BL8" i="2"/>
  <c r="BL6" i="2"/>
  <c r="BL4" i="2"/>
  <c r="BL5" i="2"/>
  <c r="BL7" i="2"/>
  <c r="LT9" i="4"/>
  <c r="LT11" i="4"/>
  <c r="LT5" i="4"/>
  <c r="LT12" i="4"/>
  <c r="LT10" i="4"/>
  <c r="LT4" i="4"/>
  <c r="LT7" i="4"/>
  <c r="LT6" i="4"/>
  <c r="BL9" i="4"/>
  <c r="BL11" i="4"/>
  <c r="BL5" i="4"/>
  <c r="BL12" i="4"/>
  <c r="BL10" i="4"/>
  <c r="BL4" i="4"/>
  <c r="BL7" i="4"/>
  <c r="BL6" i="4"/>
  <c r="BC4" i="8" l="1"/>
  <c r="BD4" i="8"/>
  <c r="BE4" i="8"/>
  <c r="KK4" i="8"/>
  <c r="KL4" i="8"/>
  <c r="KM4" i="8"/>
  <c r="BF4" i="8" l="1"/>
  <c r="KN4" i="8"/>
  <c r="L4" i="8"/>
  <c r="M4" i="8" s="1"/>
  <c r="G4" i="8"/>
  <c r="H4" i="8"/>
  <c r="F4" i="8"/>
  <c r="J4" i="8"/>
  <c r="BG4" i="8" s="1"/>
  <c r="BH4" i="8" l="1"/>
  <c r="I4" i="8"/>
  <c r="K4" i="8"/>
  <c r="N4" i="8" l="1"/>
  <c r="O4" i="8" l="1"/>
  <c r="P4" i="8"/>
  <c r="E4" i="8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W4" i="2"/>
  <c r="LW5" i="2"/>
  <c r="LW6" i="2"/>
  <c r="LW7" i="2"/>
  <c r="LW8" i="2"/>
  <c r="LW9" i="2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O5" i="7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O5" i="8"/>
  <c r="KO6" i="8"/>
  <c r="KO4" i="8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C5" i="6"/>
  <c r="LC6" i="6"/>
  <c r="LC7" i="6"/>
  <c r="LC8" i="6"/>
  <c r="LC9" i="6"/>
  <c r="LC10" i="6"/>
  <c r="LC11" i="6"/>
  <c r="LC4" i="6"/>
  <c r="LW4" i="4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W5" i="4"/>
  <c r="LX5" i="4"/>
  <c r="LY5" i="4"/>
  <c r="LZ5" i="4"/>
  <c r="MA5" i="4"/>
  <c r="MB5" i="4"/>
  <c r="MC5" i="4"/>
  <c r="MD5" i="4"/>
  <c r="ME5" i="4"/>
  <c r="MF5" i="4"/>
  <c r="MG5" i="4"/>
  <c r="MH5" i="4"/>
  <c r="MI5" i="4"/>
  <c r="MQ5" i="4" s="1"/>
  <c r="MJ5" i="4"/>
  <c r="MK5" i="4"/>
  <c r="LW6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W7" i="4"/>
  <c r="LX7" i="4"/>
  <c r="LY7" i="4"/>
  <c r="LZ7" i="4"/>
  <c r="MA7" i="4"/>
  <c r="MB7" i="4"/>
  <c r="MC7" i="4"/>
  <c r="MD7" i="4"/>
  <c r="ME7" i="4"/>
  <c r="MF7" i="4"/>
  <c r="MG7" i="4"/>
  <c r="MH7" i="4"/>
  <c r="MI7" i="4"/>
  <c r="MQ7" i="4" s="1"/>
  <c r="MJ7" i="4"/>
  <c r="MK7" i="4"/>
  <c r="LW8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V11" i="6" l="1"/>
  <c r="LU11" i="6"/>
  <c r="N4" i="12"/>
  <c r="O4" i="12" s="1"/>
  <c r="BD4" i="12"/>
  <c r="BE4" i="12"/>
  <c r="BF4" i="12"/>
  <c r="BG4" i="12"/>
  <c r="N5" i="12"/>
  <c r="O5" i="12" s="1"/>
  <c r="BD5" i="12"/>
  <c r="BE5" i="12"/>
  <c r="BF5" i="12"/>
  <c r="BG5" i="12"/>
  <c r="BH4" i="2"/>
  <c r="BI4" i="2"/>
  <c r="BJ4" i="2"/>
  <c r="BM4" i="2"/>
  <c r="LP4" i="2"/>
  <c r="LQ4" i="2"/>
  <c r="LR4" i="2"/>
  <c r="LU4" i="2"/>
  <c r="BH8" i="2"/>
  <c r="BI8" i="2"/>
  <c r="BJ8" i="2"/>
  <c r="BM8" i="2"/>
  <c r="LP8" i="2"/>
  <c r="LQ8" i="2"/>
  <c r="LR8" i="2"/>
  <c r="LU8" i="2"/>
  <c r="BH5" i="4"/>
  <c r="BI5" i="4"/>
  <c r="BJ5" i="4"/>
  <c r="BM5" i="4"/>
  <c r="LP5" i="4"/>
  <c r="LQ5" i="4"/>
  <c r="LR5" i="4"/>
  <c r="LU5" i="4"/>
  <c r="BH4" i="4"/>
  <c r="BI4" i="4"/>
  <c r="BJ4" i="4"/>
  <c r="BM4" i="4"/>
  <c r="LP4" i="4"/>
  <c r="LQ4" i="4"/>
  <c r="LR4" i="4"/>
  <c r="LU4" i="4"/>
  <c r="F8" i="2" l="1"/>
  <c r="G8" i="2"/>
  <c r="F4" i="2"/>
  <c r="G4" i="2"/>
  <c r="F4" i="4"/>
  <c r="G4" i="4"/>
  <c r="F5" i="4"/>
  <c r="G5" i="4"/>
  <c r="BH5" i="12"/>
  <c r="J5" i="12" s="1"/>
  <c r="L5" i="12" s="1"/>
  <c r="M5" i="12" s="1"/>
  <c r="BH4" i="12"/>
  <c r="J4" i="12" s="1"/>
  <c r="L4" i="12" s="1"/>
  <c r="M4" i="12" s="1"/>
  <c r="LS4" i="2"/>
  <c r="LV4" i="2" s="1"/>
  <c r="LS8" i="2"/>
  <c r="LV8" i="2" s="1"/>
  <c r="P4" i="12"/>
  <c r="P8" i="2"/>
  <c r="Q8" i="2" s="1"/>
  <c r="LS4" i="4"/>
  <c r="LV4" i="4" s="1"/>
  <c r="LS5" i="4"/>
  <c r="LV5" i="4" s="1"/>
  <c r="LT11" i="6"/>
  <c r="LW11" i="6"/>
  <c r="LX11" i="6" s="1"/>
  <c r="H4" i="12"/>
  <c r="LT4" i="12"/>
  <c r="F4" i="12"/>
  <c r="LU4" i="12"/>
  <c r="LW4" i="12"/>
  <c r="LV4" i="12"/>
  <c r="G4" i="12"/>
  <c r="H5" i="12"/>
  <c r="F5" i="12"/>
  <c r="P5" i="12"/>
  <c r="G5" i="12"/>
  <c r="BK8" i="2"/>
  <c r="BN8" i="2" s="1"/>
  <c r="BK4" i="2"/>
  <c r="BN4" i="2" s="1"/>
  <c r="P4" i="2"/>
  <c r="BR4" i="2" s="1"/>
  <c r="BK5" i="4"/>
  <c r="P5" i="4"/>
  <c r="BR5" i="4" s="1"/>
  <c r="P4" i="4"/>
  <c r="BR4" i="4" s="1"/>
  <c r="BK4" i="4"/>
  <c r="BN4" i="4" s="1"/>
  <c r="LT5" i="6"/>
  <c r="LT9" i="6"/>
  <c r="LH5" i="8"/>
  <c r="LF6" i="8"/>
  <c r="LF4" i="8"/>
  <c r="MM4" i="2"/>
  <c r="MM5" i="2"/>
  <c r="MM6" i="2"/>
  <c r="MM7" i="2"/>
  <c r="MM8" i="2"/>
  <c r="MM9" i="2"/>
  <c r="MM4" i="4"/>
  <c r="MM5" i="4"/>
  <c r="MM6" i="4"/>
  <c r="MR6" i="4"/>
  <c r="MM7" i="4"/>
  <c r="MM8" i="4"/>
  <c r="MM9" i="4"/>
  <c r="MM10" i="4"/>
  <c r="MM11" i="4"/>
  <c r="H8" i="2" l="1"/>
  <c r="I8" i="2" s="1"/>
  <c r="H4" i="2"/>
  <c r="H5" i="4"/>
  <c r="I5" i="4" s="1"/>
  <c r="H4" i="4"/>
  <c r="K5" i="12"/>
  <c r="E5" i="12" s="1"/>
  <c r="K4" i="12"/>
  <c r="E4" i="12" s="1"/>
  <c r="J8" i="2"/>
  <c r="L8" i="2" s="1"/>
  <c r="BR8" i="2"/>
  <c r="J5" i="4"/>
  <c r="BQ5" i="4" s="1"/>
  <c r="BN5" i="4"/>
  <c r="LX4" i="12"/>
  <c r="I5" i="12"/>
  <c r="I4" i="12"/>
  <c r="LH5" i="7"/>
  <c r="LF5" i="7"/>
  <c r="MN6" i="2"/>
  <c r="MO5" i="2"/>
  <c r="Q4" i="2"/>
  <c r="MN4" i="4"/>
  <c r="MR7" i="4"/>
  <c r="Q4" i="4"/>
  <c r="Q5" i="4"/>
  <c r="LU8" i="6"/>
  <c r="LU6" i="6"/>
  <c r="LV4" i="6"/>
  <c r="J4" i="2"/>
  <c r="L4" i="2" s="1"/>
  <c r="J4" i="4"/>
  <c r="L4" i="4" s="1"/>
  <c r="LV10" i="6"/>
  <c r="LT8" i="6"/>
  <c r="LT7" i="6"/>
  <c r="LU7" i="6"/>
  <c r="LW7" i="6"/>
  <c r="LV7" i="6"/>
  <c r="LW5" i="6"/>
  <c r="LW6" i="6"/>
  <c r="LW9" i="6"/>
  <c r="LU4" i="6"/>
  <c r="LV9" i="6"/>
  <c r="LT6" i="6"/>
  <c r="LW4" i="6"/>
  <c r="LW8" i="6"/>
  <c r="LT10" i="6"/>
  <c r="LV8" i="6"/>
  <c r="LV5" i="6"/>
  <c r="LU10" i="6"/>
  <c r="LW10" i="6"/>
  <c r="LH6" i="8"/>
  <c r="LG6" i="8"/>
  <c r="LG5" i="8"/>
  <c r="LI5" i="8" s="1"/>
  <c r="LG4" i="8"/>
  <c r="LH4" i="8"/>
  <c r="LF5" i="8"/>
  <c r="LG5" i="7"/>
  <c r="MN8" i="2"/>
  <c r="MO7" i="2"/>
  <c r="MR9" i="2"/>
  <c r="MN5" i="2"/>
  <c r="MN7" i="2"/>
  <c r="MR5" i="2"/>
  <c r="MO9" i="2"/>
  <c r="MN9" i="2"/>
  <c r="MR7" i="2"/>
  <c r="MR4" i="2"/>
  <c r="MR8" i="2"/>
  <c r="MR6" i="2"/>
  <c r="MO4" i="2"/>
  <c r="MO8" i="2"/>
  <c r="MO6" i="2"/>
  <c r="MN4" i="2"/>
  <c r="MN10" i="4"/>
  <c r="MR8" i="4"/>
  <c r="MR4" i="4"/>
  <c r="MR11" i="4"/>
  <c r="MR10" i="4"/>
  <c r="MO4" i="4"/>
  <c r="MO10" i="4"/>
  <c r="MO9" i="4"/>
  <c r="MO5" i="4"/>
  <c r="MR9" i="4"/>
  <c r="MN9" i="4"/>
  <c r="MR5" i="4"/>
  <c r="MN5" i="4"/>
  <c r="MO11" i="4"/>
  <c r="MN11" i="4"/>
  <c r="MO8" i="4"/>
  <c r="MN8" i="4"/>
  <c r="MN7" i="4"/>
  <c r="MO7" i="4"/>
  <c r="MO6" i="4"/>
  <c r="MN6" i="4"/>
  <c r="LV6" i="6"/>
  <c r="LU9" i="6"/>
  <c r="LU5" i="6"/>
  <c r="LT4" i="6"/>
  <c r="N4" i="2" l="1"/>
  <c r="N8" i="2"/>
  <c r="O8" i="2" s="1"/>
  <c r="MP7" i="2"/>
  <c r="MS7" i="2" s="1"/>
  <c r="K4" i="2"/>
  <c r="K8" i="2"/>
  <c r="BQ8" i="2"/>
  <c r="N5" i="4"/>
  <c r="BP5" i="4" s="1"/>
  <c r="L5" i="4"/>
  <c r="BO5" i="4" s="1"/>
  <c r="K5" i="4"/>
  <c r="BQ4" i="2"/>
  <c r="MP5" i="2"/>
  <c r="MS5" i="2" s="1"/>
  <c r="MP6" i="2"/>
  <c r="MS6" i="2" s="1"/>
  <c r="MP9" i="2"/>
  <c r="MS9" i="2" s="1"/>
  <c r="MP4" i="4"/>
  <c r="MS4" i="4" s="1"/>
  <c r="LI5" i="7"/>
  <c r="LX5" i="6"/>
  <c r="LX10" i="6"/>
  <c r="LX7" i="6"/>
  <c r="LI6" i="8"/>
  <c r="MP4" i="2"/>
  <c r="MS4" i="2" s="1"/>
  <c r="MP8" i="4"/>
  <c r="MS8" i="4" s="1"/>
  <c r="MP5" i="4"/>
  <c r="MS5" i="4" s="1"/>
  <c r="LX4" i="6"/>
  <c r="MP8" i="2"/>
  <c r="MS8" i="2" s="1"/>
  <c r="I4" i="2"/>
  <c r="BP4" i="2"/>
  <c r="M4" i="2"/>
  <c r="BO4" i="2"/>
  <c r="M8" i="2"/>
  <c r="BO8" i="2"/>
  <c r="MP10" i="4"/>
  <c r="MS10" i="4" s="1"/>
  <c r="MP11" i="4"/>
  <c r="MS11" i="4" s="1"/>
  <c r="BQ4" i="4"/>
  <c r="K4" i="4"/>
  <c r="M4" i="4" s="1"/>
  <c r="N4" i="4"/>
  <c r="I4" i="4"/>
  <c r="BO4" i="4"/>
  <c r="MP6" i="4"/>
  <c r="MS6" i="4" s="1"/>
  <c r="LX9" i="6"/>
  <c r="LX6" i="6"/>
  <c r="LX8" i="6"/>
  <c r="LI4" i="8"/>
  <c r="MP9" i="4"/>
  <c r="MS9" i="4" s="1"/>
  <c r="MP7" i="4"/>
  <c r="MS7" i="4" s="1"/>
  <c r="O4" i="2" l="1"/>
  <c r="O5" i="4"/>
  <c r="BP8" i="2"/>
  <c r="R8" i="2" s="1"/>
  <c r="E8" i="2" s="1"/>
  <c r="M5" i="4"/>
  <c r="O4" i="4"/>
  <c r="R4" i="2"/>
  <c r="R5" i="4"/>
  <c r="BP4" i="4"/>
  <c r="R4" i="4" s="1"/>
  <c r="E4" i="2" l="1"/>
  <c r="E4" i="4"/>
  <c r="S8" i="2"/>
  <c r="T8" i="2"/>
  <c r="T4" i="2"/>
  <c r="S4" i="2"/>
  <c r="T5" i="4"/>
  <c r="S5" i="4"/>
  <c r="E5" i="4"/>
  <c r="A5" i="4" s="1"/>
  <c r="T4" i="4"/>
  <c r="S4" i="4"/>
  <c r="KY4" i="6" l="1"/>
  <c r="KX4" i="6"/>
  <c r="BE11" i="6" l="1"/>
  <c r="BD11" i="6"/>
  <c r="BE10" i="6"/>
  <c r="BD10" i="6"/>
  <c r="BE6" i="6"/>
  <c r="BD6" i="6"/>
  <c r="BE12" i="6"/>
  <c r="BD12" i="6"/>
  <c r="BE9" i="6"/>
  <c r="BD9" i="6"/>
  <c r="BE8" i="6"/>
  <c r="BD8" i="6"/>
  <c r="BE4" i="6"/>
  <c r="BD4" i="6"/>
  <c r="BE5" i="6"/>
  <c r="BD5" i="6"/>
  <c r="KL6" i="8" l="1"/>
  <c r="BD6" i="8"/>
  <c r="KL4" i="7"/>
  <c r="KL5" i="7"/>
  <c r="BD5" i="7"/>
  <c r="BD4" i="7"/>
  <c r="H5" i="7" l="1"/>
  <c r="H6" i="8"/>
  <c r="A5" i="12" l="1"/>
  <c r="A4" i="12"/>
  <c r="BF4" i="6"/>
  <c r="BG4" i="6"/>
  <c r="BF5" i="6"/>
  <c r="BG5" i="6"/>
  <c r="BF9" i="6"/>
  <c r="BG9" i="6"/>
  <c r="BF6" i="6"/>
  <c r="BG6" i="6"/>
  <c r="BF12" i="6"/>
  <c r="BG12" i="6"/>
  <c r="BF8" i="6"/>
  <c r="BG8" i="6"/>
  <c r="BF10" i="6"/>
  <c r="BG10" i="6"/>
  <c r="BF11" i="6"/>
  <c r="BG11" i="6"/>
  <c r="LA4" i="6"/>
  <c r="KZ4" i="6"/>
  <c r="D33" i="11" l="1"/>
  <c r="D34" i="11"/>
  <c r="D35" i="11"/>
  <c r="C37" i="11"/>
  <c r="C32" i="11"/>
  <c r="D32" i="11"/>
  <c r="C33" i="11"/>
  <c r="C35" i="11"/>
  <c r="D36" i="11"/>
  <c r="D37" i="11"/>
  <c r="C34" i="11"/>
  <c r="C36" i="11"/>
  <c r="BH5" i="6"/>
  <c r="LB4" i="6"/>
  <c r="BH10" i="6"/>
  <c r="BH8" i="6"/>
  <c r="BH6" i="6"/>
  <c r="BH9" i="6"/>
  <c r="BH12" i="6"/>
  <c r="BH11" i="6"/>
  <c r="BH4" i="6"/>
  <c r="F11" i="6"/>
  <c r="F5" i="6"/>
  <c r="G10" i="6" l="1"/>
  <c r="G6" i="6"/>
  <c r="H4" i="6"/>
  <c r="F6" i="6"/>
  <c r="H6" i="6"/>
  <c r="H9" i="6"/>
  <c r="J11" i="6"/>
  <c r="K11" i="6" s="1"/>
  <c r="G4" i="6"/>
  <c r="H12" i="6"/>
  <c r="H11" i="6"/>
  <c r="A11" i="6" s="1"/>
  <c r="H8" i="6"/>
  <c r="F9" i="6"/>
  <c r="F4" i="6"/>
  <c r="J5" i="6"/>
  <c r="K5" i="6" s="1"/>
  <c r="F10" i="6"/>
  <c r="G12" i="6"/>
  <c r="G5" i="6"/>
  <c r="H10" i="6"/>
  <c r="F12" i="6"/>
  <c r="H5" i="6"/>
  <c r="G8" i="6"/>
  <c r="G9" i="6"/>
  <c r="G11" i="6"/>
  <c r="F8" i="6"/>
  <c r="J10" i="6"/>
  <c r="K10" i="6" s="1"/>
  <c r="J6" i="6"/>
  <c r="L6" i="6" s="1"/>
  <c r="M6" i="6" s="1"/>
  <c r="J4" i="6"/>
  <c r="K4" i="6" s="1"/>
  <c r="J8" i="6"/>
  <c r="J9" i="6"/>
  <c r="K9" i="6" s="1"/>
  <c r="J12" i="6"/>
  <c r="K12" i="6" s="1"/>
  <c r="L11" i="6" l="1"/>
  <c r="M11" i="6" s="1"/>
  <c r="A12" i="6"/>
  <c r="A9" i="6"/>
  <c r="L5" i="6"/>
  <c r="M5" i="6" s="1"/>
  <c r="L9" i="6"/>
  <c r="M9" i="6" s="1"/>
  <c r="L10" i="6"/>
  <c r="M10" i="6" s="1"/>
  <c r="L4" i="6"/>
  <c r="M4" i="6" s="1"/>
  <c r="K6" i="6"/>
  <c r="K8" i="6"/>
  <c r="L8" i="6"/>
  <c r="M8" i="6" s="1"/>
  <c r="L12" i="6"/>
  <c r="M12" i="6" s="1"/>
  <c r="LP7" i="2"/>
  <c r="LP5" i="2"/>
  <c r="LP6" i="2"/>
  <c r="LP9" i="2"/>
  <c r="BH7" i="2"/>
  <c r="BH5" i="2"/>
  <c r="BH6" i="2"/>
  <c r="BH9" i="2"/>
  <c r="LP6" i="4"/>
  <c r="LP10" i="4"/>
  <c r="LP12" i="4"/>
  <c r="LP11" i="4"/>
  <c r="LP7" i="4"/>
  <c r="LP9" i="4"/>
  <c r="BH6" i="4"/>
  <c r="BH10" i="4"/>
  <c r="BH12" i="4"/>
  <c r="BH11" i="4"/>
  <c r="BH7" i="4"/>
  <c r="BH9" i="4"/>
  <c r="F6" i="2" l="1"/>
  <c r="G6" i="2"/>
  <c r="F5" i="2"/>
  <c r="G5" i="2"/>
  <c r="G7" i="2"/>
  <c r="F7" i="2"/>
  <c r="F9" i="2"/>
  <c r="G9" i="2"/>
  <c r="G6" i="4"/>
  <c r="F6" i="4"/>
  <c r="F11" i="4"/>
  <c r="G11" i="4"/>
  <c r="G9" i="4"/>
  <c r="F9" i="4"/>
  <c r="F12" i="4"/>
  <c r="G12" i="4"/>
  <c r="F10" i="4"/>
  <c r="G10" i="4"/>
  <c r="G7" i="4"/>
  <c r="F7" i="4"/>
  <c r="BE6" i="8"/>
  <c r="BC6" i="8"/>
  <c r="BE5" i="7"/>
  <c r="BC5" i="7"/>
  <c r="BE4" i="7"/>
  <c r="BC4" i="7"/>
  <c r="BM9" i="2"/>
  <c r="BJ9" i="2"/>
  <c r="BI9" i="2"/>
  <c r="BM6" i="2"/>
  <c r="P6" i="2" s="1"/>
  <c r="BJ6" i="2"/>
  <c r="BI6" i="2"/>
  <c r="BM7" i="2"/>
  <c r="BJ7" i="2"/>
  <c r="BI7" i="2"/>
  <c r="BM5" i="2"/>
  <c r="BJ5" i="2"/>
  <c r="BI5" i="2"/>
  <c r="BM9" i="4"/>
  <c r="P9" i="4" s="1"/>
  <c r="BJ9" i="4"/>
  <c r="BI9" i="4"/>
  <c r="BM7" i="4"/>
  <c r="BJ7" i="4"/>
  <c r="BI7" i="4"/>
  <c r="BM12" i="4"/>
  <c r="BJ12" i="4"/>
  <c r="BI12" i="4"/>
  <c r="BM11" i="4"/>
  <c r="P11" i="4" s="1"/>
  <c r="BJ11" i="4"/>
  <c r="BI11" i="4"/>
  <c r="BM10" i="4"/>
  <c r="BJ10" i="4"/>
  <c r="BI10" i="4"/>
  <c r="BJ6" i="4"/>
  <c r="BI6" i="4"/>
  <c r="BM6" i="4"/>
  <c r="P6" i="4" s="1"/>
  <c r="P9" i="2" l="1"/>
  <c r="Q9" i="2" s="1"/>
  <c r="BK7" i="2"/>
  <c r="P10" i="4"/>
  <c r="Q10" i="4" s="1"/>
  <c r="P7" i="4"/>
  <c r="Q7" i="4" s="1"/>
  <c r="P7" i="2"/>
  <c r="Q7" i="2" s="1"/>
  <c r="BK11" i="4"/>
  <c r="BK9" i="2"/>
  <c r="P5" i="2"/>
  <c r="Q5" i="2" s="1"/>
  <c r="BK9" i="4"/>
  <c r="L5" i="7"/>
  <c r="M5" i="7" s="1"/>
  <c r="BF5" i="7"/>
  <c r="P12" i="4"/>
  <c r="Q12" i="4" s="1"/>
  <c r="BK6" i="4"/>
  <c r="J5" i="7"/>
  <c r="BG5" i="7" s="1"/>
  <c r="BK12" i="4"/>
  <c r="L6" i="8"/>
  <c r="M6" i="8" s="1"/>
  <c r="Q6" i="2"/>
  <c r="Q9" i="4"/>
  <c r="Q11" i="4"/>
  <c r="Q6" i="4"/>
  <c r="BF6" i="8"/>
  <c r="BF4" i="7"/>
  <c r="BK5" i="2"/>
  <c r="BK6" i="2"/>
  <c r="BK10" i="4"/>
  <c r="BK7" i="4"/>
  <c r="BN9" i="2" l="1"/>
  <c r="BN5" i="2"/>
  <c r="BN7" i="2"/>
  <c r="BN6" i="2"/>
  <c r="BN6" i="4"/>
  <c r="BN11" i="4"/>
  <c r="BN9" i="4"/>
  <c r="BN10" i="4"/>
  <c r="BN7" i="4"/>
  <c r="BN12" i="4"/>
  <c r="J7" i="2"/>
  <c r="K7" i="2" s="1"/>
  <c r="J9" i="2"/>
  <c r="K9" i="2" s="1"/>
  <c r="J11" i="4"/>
  <c r="N11" i="4" s="1"/>
  <c r="J9" i="4"/>
  <c r="L9" i="4" s="1"/>
  <c r="J6" i="4"/>
  <c r="K6" i="4" s="1"/>
  <c r="K5" i="7"/>
  <c r="BJ5" i="6"/>
  <c r="BJ4" i="6"/>
  <c r="BJ6" i="6"/>
  <c r="BJ8" i="6"/>
  <c r="BJ10" i="6"/>
  <c r="BJ12" i="6"/>
  <c r="BJ9" i="6"/>
  <c r="BJ11" i="6"/>
  <c r="J12" i="4"/>
  <c r="N12" i="4" s="1"/>
  <c r="J6" i="8"/>
  <c r="BG6" i="8" s="1"/>
  <c r="J5" i="2"/>
  <c r="J6" i="2"/>
  <c r="J7" i="4"/>
  <c r="J10" i="4"/>
  <c r="N7" i="2" l="1"/>
  <c r="O7" i="2" s="1"/>
  <c r="L7" i="2"/>
  <c r="M7" i="2" s="1"/>
  <c r="L9" i="2"/>
  <c r="M9" i="2" s="1"/>
  <c r="N9" i="2"/>
  <c r="O9" i="2" s="1"/>
  <c r="K11" i="4"/>
  <c r="O11" i="4" s="1"/>
  <c r="L11" i="4"/>
  <c r="K9" i="4"/>
  <c r="M9" i="4" s="1"/>
  <c r="N6" i="4"/>
  <c r="O6" i="4" s="1"/>
  <c r="N9" i="4"/>
  <c r="K12" i="4"/>
  <c r="O12" i="4" s="1"/>
  <c r="L6" i="4"/>
  <c r="M6" i="4" s="1"/>
  <c r="L12" i="4"/>
  <c r="K6" i="8"/>
  <c r="K6" i="2"/>
  <c r="L6" i="2"/>
  <c r="N6" i="2"/>
  <c r="L5" i="2"/>
  <c r="K5" i="2"/>
  <c r="N5" i="2"/>
  <c r="K7" i="4"/>
  <c r="L7" i="4"/>
  <c r="N7" i="4"/>
  <c r="L10" i="4"/>
  <c r="N10" i="4"/>
  <c r="K10" i="4"/>
  <c r="M12" i="4" l="1"/>
  <c r="M11" i="4"/>
  <c r="O9" i="4"/>
  <c r="O5" i="2"/>
  <c r="O6" i="2"/>
  <c r="M6" i="2"/>
  <c r="M5" i="2"/>
  <c r="M10" i="4"/>
  <c r="M7" i="4"/>
  <c r="O10" i="4"/>
  <c r="O7" i="4"/>
  <c r="I8" i="6" l="1"/>
  <c r="BI8" i="6" l="1"/>
  <c r="N8" i="6" l="1"/>
  <c r="P8" i="6" s="1"/>
  <c r="O8" i="6" l="1"/>
  <c r="E8" i="6"/>
  <c r="A8" i="6" s="1"/>
  <c r="LQ6" i="4"/>
  <c r="LR6" i="4"/>
  <c r="LU6" i="4"/>
  <c r="BO6" i="4" l="1"/>
  <c r="BR6" i="4"/>
  <c r="BP6" i="4"/>
  <c r="LS6" i="4"/>
  <c r="LV6" i="4" s="1"/>
  <c r="H6" i="4" l="1"/>
  <c r="I6" i="4" s="1"/>
  <c r="BQ6" i="4"/>
  <c r="R6" i="4" l="1"/>
  <c r="T6" i="4" s="1"/>
  <c r="KK4" i="7"/>
  <c r="KM4" i="7"/>
  <c r="S6" i="4" l="1"/>
  <c r="E6" i="4"/>
  <c r="KN4" i="7"/>
  <c r="KM5" i="7" l="1"/>
  <c r="KK5" i="7"/>
  <c r="KM6" i="8"/>
  <c r="KK6" i="8"/>
  <c r="G6" i="8" l="1"/>
  <c r="F5" i="7"/>
  <c r="G5" i="7"/>
  <c r="F6" i="8"/>
  <c r="BH6" i="8"/>
  <c r="BH5" i="7"/>
  <c r="KN5" i="7"/>
  <c r="KN6" i="8"/>
  <c r="LU7" i="4"/>
  <c r="LR7" i="4"/>
  <c r="LQ7" i="4"/>
  <c r="I6" i="8" l="1"/>
  <c r="I5" i="7"/>
  <c r="A5" i="7"/>
  <c r="N5" i="7"/>
  <c r="P5" i="7" s="1"/>
  <c r="BO7" i="4"/>
  <c r="BP7" i="4"/>
  <c r="BR7" i="4"/>
  <c r="I6" i="6"/>
  <c r="LS7" i="4"/>
  <c r="LV7" i="4" s="1"/>
  <c r="H7" i="4" l="1"/>
  <c r="A7" i="4" s="1"/>
  <c r="E5" i="7"/>
  <c r="O5" i="7"/>
  <c r="BI6" i="6"/>
  <c r="BQ7" i="4"/>
  <c r="I7" i="4" l="1"/>
  <c r="N6" i="6"/>
  <c r="P6" i="6" s="1"/>
  <c r="O6" i="6" l="1"/>
  <c r="N6" i="8"/>
  <c r="P6" i="8" s="1"/>
  <c r="R7" i="4"/>
  <c r="T7" i="4" s="1"/>
  <c r="E6" i="6"/>
  <c r="LQ11" i="4"/>
  <c r="LR11" i="4"/>
  <c r="LU11" i="4"/>
  <c r="LQ10" i="4"/>
  <c r="LR10" i="4"/>
  <c r="LU10" i="4"/>
  <c r="LQ12" i="4"/>
  <c r="LR12" i="4"/>
  <c r="LU12" i="4"/>
  <c r="LQ9" i="4"/>
  <c r="LR9" i="4"/>
  <c r="LU9" i="4"/>
  <c r="LQ5" i="2"/>
  <c r="LR5" i="2"/>
  <c r="LU5" i="2"/>
  <c r="LQ6" i="2"/>
  <c r="LR6" i="2"/>
  <c r="LU6" i="2"/>
  <c r="LQ9" i="2"/>
  <c r="LR9" i="2"/>
  <c r="LU9" i="2"/>
  <c r="LU7" i="2"/>
  <c r="LR7" i="2"/>
  <c r="LQ7" i="2"/>
  <c r="O6" i="8" l="1"/>
  <c r="BP9" i="4"/>
  <c r="BP12" i="4"/>
  <c r="BR10" i="4"/>
  <c r="BO10" i="4"/>
  <c r="BP6" i="2"/>
  <c r="BO5" i="2"/>
  <c r="BP7" i="2"/>
  <c r="BR9" i="2"/>
  <c r="BO9" i="2"/>
  <c r="BR5" i="2"/>
  <c r="BR6" i="2"/>
  <c r="BO6" i="2"/>
  <c r="BO7" i="2"/>
  <c r="BR7" i="2"/>
  <c r="BP9" i="2"/>
  <c r="BP5" i="2"/>
  <c r="BO11" i="4"/>
  <c r="BR9" i="4"/>
  <c r="BO9" i="4"/>
  <c r="BR12" i="4"/>
  <c r="BO12" i="4"/>
  <c r="BP10" i="4"/>
  <c r="BR11" i="4"/>
  <c r="BP11" i="4"/>
  <c r="S7" i="4"/>
  <c r="E7" i="4"/>
  <c r="E6" i="8"/>
  <c r="I9" i="6"/>
  <c r="LS12" i="4"/>
  <c r="LV12" i="4" s="1"/>
  <c r="LS5" i="2"/>
  <c r="LV5" i="2" s="1"/>
  <c r="I10" i="6"/>
  <c r="I12" i="6"/>
  <c r="I5" i="6"/>
  <c r="I11" i="6"/>
  <c r="I4" i="6"/>
  <c r="LS9" i="2"/>
  <c r="LV9" i="2" s="1"/>
  <c r="LS6" i="2"/>
  <c r="LV6" i="2" s="1"/>
  <c r="LS11" i="4"/>
  <c r="LV11" i="4" s="1"/>
  <c r="LS10" i="4"/>
  <c r="LV10" i="4" s="1"/>
  <c r="LS7" i="2"/>
  <c r="LV7" i="2" s="1"/>
  <c r="LS9" i="4"/>
  <c r="LV9" i="4" s="1"/>
  <c r="H7" i="2" l="1"/>
  <c r="H5" i="2"/>
  <c r="H6" i="2"/>
  <c r="I6" i="2" s="1"/>
  <c r="H9" i="2"/>
  <c r="I9" i="2" s="1"/>
  <c r="H12" i="4"/>
  <c r="H10" i="4"/>
  <c r="I10" i="4" s="1"/>
  <c r="H9" i="4"/>
  <c r="A9" i="4" s="1"/>
  <c r="H11" i="4"/>
  <c r="A11" i="4" s="1"/>
  <c r="BI9" i="6"/>
  <c r="BI10" i="6"/>
  <c r="BI12" i="6"/>
  <c r="BI11" i="6"/>
  <c r="BI5" i="6"/>
  <c r="BI4" i="6"/>
  <c r="BQ9" i="2"/>
  <c r="BQ7" i="2"/>
  <c r="BQ5" i="2"/>
  <c r="BQ6" i="2"/>
  <c r="BQ10" i="4"/>
  <c r="BQ11" i="4"/>
  <c r="BQ12" i="4"/>
  <c r="BQ9" i="4"/>
  <c r="I7" i="2" l="1"/>
  <c r="I5" i="2"/>
  <c r="A6" i="2"/>
  <c r="A9" i="2"/>
  <c r="I12" i="4"/>
  <c r="I11" i="4"/>
  <c r="I9" i="4"/>
  <c r="N5" i="6"/>
  <c r="P5" i="6" s="1"/>
  <c r="N12" i="6"/>
  <c r="P12" i="6" s="1"/>
  <c r="N4" i="6"/>
  <c r="P4" i="6" s="1"/>
  <c r="O4" i="6" l="1"/>
  <c r="O12" i="6"/>
  <c r="O5" i="6"/>
  <c r="R5" i="2"/>
  <c r="T5" i="2" s="1"/>
  <c r="R6" i="2"/>
  <c r="T6" i="2" s="1"/>
  <c r="E4" i="6"/>
  <c r="N10" i="6"/>
  <c r="P10" i="6" s="1"/>
  <c r="N11" i="6"/>
  <c r="P11" i="6" s="1"/>
  <c r="R10" i="4"/>
  <c r="T10" i="4" s="1"/>
  <c r="E5" i="6"/>
  <c r="N9" i="6"/>
  <c r="P9" i="6" s="1"/>
  <c r="E12" i="6"/>
  <c r="R9" i="4"/>
  <c r="T9" i="4" s="1"/>
  <c r="O11" i="6" l="1"/>
  <c r="O10" i="6"/>
  <c r="O9" i="6"/>
  <c r="E9" i="6"/>
  <c r="S6" i="2"/>
  <c r="E6" i="2"/>
  <c r="S5" i="2"/>
  <c r="E5" i="2"/>
  <c r="R9" i="2"/>
  <c r="T9" i="2" s="1"/>
  <c r="R7" i="2"/>
  <c r="T7" i="2" s="1"/>
  <c r="S10" i="4"/>
  <c r="E10" i="4"/>
  <c r="R11" i="4"/>
  <c r="T11" i="4" s="1"/>
  <c r="S9" i="4"/>
  <c r="E9" i="4"/>
  <c r="R12" i="4"/>
  <c r="T12" i="4" s="1"/>
  <c r="E11" i="6"/>
  <c r="E10" i="6"/>
  <c r="A6" i="6" s="1"/>
  <c r="A7" i="6" l="1"/>
  <c r="A4" i="6"/>
  <c r="A5" i="6"/>
  <c r="A10" i="6"/>
  <c r="S9" i="2"/>
  <c r="E9" i="2"/>
  <c r="S7" i="2"/>
  <c r="E7" i="2"/>
  <c r="S11" i="4"/>
  <c r="E11" i="4"/>
  <c r="S12" i="4"/>
  <c r="E12" i="4"/>
  <c r="A5" i="8"/>
  <c r="A4" i="8" l="1"/>
  <c r="A4" i="4"/>
  <c r="D30" i="11"/>
  <c r="C26" i="11"/>
  <c r="D28" i="11"/>
  <c r="C28" i="11"/>
  <c r="D29" i="11"/>
  <c r="C30" i="11"/>
  <c r="D27" i="11"/>
  <c r="C27" i="11"/>
  <c r="D31" i="11"/>
  <c r="D26" i="11"/>
  <c r="C31" i="11"/>
  <c r="C29" i="11"/>
  <c r="A8" i="2"/>
  <c r="A4" i="2"/>
  <c r="A7" i="2"/>
  <c r="A5" i="2"/>
  <c r="A10" i="4"/>
  <c r="A6" i="4"/>
  <c r="A12" i="4"/>
  <c r="A6" i="8"/>
  <c r="C25" i="11" l="1"/>
  <c r="D20" i="11"/>
  <c r="D21" i="11"/>
  <c r="D22" i="11"/>
  <c r="C20" i="11"/>
  <c r="C21" i="11"/>
  <c r="D24" i="11"/>
  <c r="C22" i="11"/>
  <c r="D25" i="11"/>
  <c r="C24" i="11"/>
  <c r="C23" i="11"/>
  <c r="D23" i="11"/>
  <c r="D13" i="11"/>
  <c r="C9" i="11"/>
  <c r="C11" i="11"/>
  <c r="C12" i="11"/>
  <c r="C13" i="11"/>
  <c r="C10" i="11"/>
  <c r="D10" i="11"/>
  <c r="D11" i="11"/>
  <c r="C8" i="11"/>
  <c r="D8" i="11"/>
  <c r="D12" i="11"/>
  <c r="D9" i="11"/>
  <c r="C6" i="11"/>
  <c r="D3" i="11"/>
  <c r="D4" i="11"/>
  <c r="D2" i="11"/>
  <c r="C3" i="11"/>
  <c r="C4" i="11"/>
  <c r="C2" i="11"/>
  <c r="C7" i="11"/>
  <c r="D5" i="11"/>
  <c r="D6" i="11"/>
  <c r="D7" i="11"/>
  <c r="C5" i="11"/>
  <c r="AJ4" i="7" l="1"/>
  <c r="L4" i="7" s="1"/>
  <c r="BH4" i="7" s="1"/>
  <c r="AH4" i="7"/>
  <c r="KO4" i="7"/>
  <c r="KP4" i="7"/>
  <c r="KW4" i="7"/>
  <c r="LD4" i="7"/>
  <c r="KV4" i="7"/>
  <c r="LC4" i="7"/>
  <c r="LB4" i="7"/>
  <c r="LA4" i="7"/>
  <c r="KZ4" i="7"/>
  <c r="KQ4" i="7"/>
  <c r="KU4" i="7"/>
  <c r="KT4" i="7"/>
  <c r="KS4" i="7"/>
  <c r="KR4" i="7"/>
  <c r="KY4" i="7"/>
  <c r="AI4" i="7"/>
  <c r="J4" i="7" s="1"/>
  <c r="BG4" i="7" s="1"/>
  <c r="KX4" i="7"/>
  <c r="LF4" i="7" l="1"/>
  <c r="F4" i="7"/>
  <c r="LH4" i="7"/>
  <c r="LG4" i="7"/>
  <c r="M4" i="7"/>
  <c r="K4" i="7"/>
  <c r="N4" i="7"/>
  <c r="P4" i="7" s="1"/>
  <c r="AK4" i="7"/>
  <c r="H4" i="7"/>
  <c r="G4" i="7"/>
  <c r="LI4" i="7" l="1"/>
  <c r="I4" i="7"/>
  <c r="E4" i="7"/>
  <c r="A4" i="7" s="1"/>
  <c r="C17" i="11" s="1"/>
  <c r="O4" i="7"/>
  <c r="D17" i="11" l="1"/>
  <c r="C18" i="11"/>
  <c r="C16" i="11"/>
  <c r="C19" i="11"/>
  <c r="D19" i="11"/>
  <c r="D15" i="11"/>
  <c r="C14" i="11"/>
  <c r="C15" i="11"/>
  <c r="D16" i="11"/>
  <c r="D18" i="11"/>
  <c r="D14" i="11"/>
</calcChain>
</file>

<file path=xl/sharedStrings.xml><?xml version="1.0" encoding="utf-8"?>
<sst xmlns="http://schemas.openxmlformats.org/spreadsheetml/2006/main" count="2548" uniqueCount="107">
  <si>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</si>
  <si>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</si>
  <si>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</si>
  <si>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</si>
  <si>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</si>
  <si>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</si>
  <si>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</si>
  <si>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</si>
  <si>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</si>
  <si>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</si>
  <si>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</si>
  <si>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</si>
  <si>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</si>
  <si>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</si>
  <si>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</si>
  <si>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</si>
  <si>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</si>
  <si>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</si>
  <si>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</si>
  <si>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</si>
  <si>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</si>
  <si>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</si>
  <si>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</si>
  <si>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</si>
  <si>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</si>
  <si>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</si>
  <si>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</si>
  <si>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</si>
  <si>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</si>
  <si>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</si>
  <si>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</si>
  <si>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</si>
  <si>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</si>
  <si>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</si>
  <si>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</si>
  <si>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</si>
  <si>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</si>
  <si>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</si>
  <si>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</si>
  <si>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</si>
  <si>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</si>
  <si>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</si>
  <si>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</si>
  <si>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</si>
  <si>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</si>
  <si>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</si>
  <si>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</si>
  <si>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</si>
  <si>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</si>
  <si>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</si>
  <si>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</si>
  <si>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</si>
  <si>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</si>
  <si>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</si>
  <si>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</si>
  <si>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</si>
  <si>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</si>
  <si>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</si>
  <si>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</si>
  <si>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</si>
  <si>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</si>
  <si>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</si>
  <si>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</si>
  <si>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</si>
  <si>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</si>
  <si>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</si>
  <si>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</si>
  <si>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</si>
  <si>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4 Pass DD</t>
  </si>
  <si>
    <t>DODD, Gavin</t>
  </si>
  <si>
    <t>CARLSON, Roman</t>
  </si>
  <si>
    <t>PEDERSEN, Mitchel</t>
  </si>
  <si>
    <t>ARRUDA, Erik</t>
  </si>
  <si>
    <t>BOUCHER, Alex</t>
  </si>
  <si>
    <t>BONHAM, Maja</t>
  </si>
  <si>
    <t>MAJOR, Lilyclaire</t>
  </si>
  <si>
    <t>HARRISON, Emily</t>
  </si>
  <si>
    <t>LUPISH, Kieran</t>
  </si>
  <si>
    <t>STANNARD, Adam</t>
  </si>
  <si>
    <t>ZUREK, Nolan</t>
  </si>
  <si>
    <t>UVAKOV, Chris</t>
  </si>
  <si>
    <t>P</t>
  </si>
  <si>
    <t>Potential Injury Score</t>
  </si>
  <si>
    <t>2019 Elite Canada</t>
  </si>
  <si>
    <t>LOVE, Ethan</t>
  </si>
  <si>
    <t>ROSS, Eliane</t>
  </si>
  <si>
    <t>NAGANO, Mariko</t>
  </si>
  <si>
    <t>PHANEUF, Zoe</t>
  </si>
  <si>
    <t>PILLINGER, Taylor</t>
  </si>
  <si>
    <t>Remove athlete:</t>
  </si>
  <si>
    <t>Finals DD</t>
  </si>
  <si>
    <t>2019 Scalabis Cup (July 6)</t>
  </si>
  <si>
    <t>2019 Nationals</t>
  </si>
  <si>
    <t>PERREAULT, Mathieu</t>
  </si>
  <si>
    <t>CLOUTIER, Étienne</t>
  </si>
  <si>
    <t>LEVASSEUR, Nathan</t>
  </si>
  <si>
    <t>BRIAND-BRIÈRE, Gabrielle</t>
  </si>
  <si>
    <t>DYKMAN, Matthew</t>
  </si>
  <si>
    <t>MB</t>
  </si>
  <si>
    <t>KLASSEN, Isaiah</t>
  </si>
  <si>
    <t>SPENCE, Abby</t>
  </si>
  <si>
    <t>Delete oldest international competitions</t>
  </si>
  <si>
    <t>2019 WAGC</t>
  </si>
  <si>
    <t>2019 WAGC (Dec 6)</t>
  </si>
  <si>
    <t>2019 WAGC (Dec 7)</t>
  </si>
  <si>
    <t>2019 WAGC (Dec 8)</t>
  </si>
  <si>
    <t>DON, 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</si>
</sst>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4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16" borderId="0" xfId="0" applyNumberFormat="1" applyFont="1" applyFill="1" applyProtection="1">
      <protection locked="0"/>
    </xf>
    <xf numFmtId="164" fontId="9" fillId="17" borderId="0" xfId="0" applyNumberFormat="1" applyFont="1" applyFill="1" applyProtection="1">
      <protection locked="0"/>
    </xf>
    <xf numFmtId="164" fontId="11" fillId="18" borderId="0" xfId="0" applyNumberFormat="1" applyFont="1" applyFill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9" borderId="0" xfId="0" applyFont="1" applyFill="1" applyAlignment="1"/>
    <xf numFmtId="0" fontId="2" fillId="20" borderId="0" xfId="0" applyFont="1" applyFill="1" applyAlignment="1"/>
    <xf numFmtId="164" fontId="21" fillId="19" borderId="0" xfId="0" applyNumberFormat="1" applyFont="1" applyFill="1" applyProtection="1">
      <protection locked="0"/>
    </xf>
    <xf numFmtId="164" fontId="2" fillId="20" borderId="0" xfId="0" applyNumberFormat="1" applyFont="1" applyFill="1" applyProtection="1">
      <protection locked="0"/>
    </xf>
    <xf numFmtId="164" fontId="2" fillId="22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164" fontId="21" fillId="19" borderId="0" xfId="0" applyNumberFormat="1" applyFont="1" applyFill="1" applyAlignment="1" applyProtection="1">
      <protection locked="0"/>
    </xf>
    <xf numFmtId="164" fontId="2" fillId="20" borderId="0" xfId="0" applyNumberFormat="1" applyFont="1" applyFill="1" applyAlignment="1" applyProtection="1">
      <protection locked="0"/>
    </xf>
    <xf numFmtId="164" fontId="21" fillId="21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8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39</v>
      </c>
      <c r="B1" t="s">
        <v>1</v>
      </c>
      <c r="C1" t="s">
        <v>41</v>
      </c>
      <c r="D1" t="s">
        <v>9</v>
      </c>
      <c r="E1" s="46"/>
      <c r="F1" s="46"/>
      <c r="J1" s="46"/>
      <c r="K1" s="46"/>
      <c r="L1" s="46"/>
    </row>
    <row r="2" spans="1:12" x14ac:dyDescent="0.2">
      <c r="A2" s="11" t="s">
        <v>40</v>
      </c>
      <c r="B2" s="11">
        <v>1</v>
      </c>
      <c r="C2" s="11" t="str">
        <f>IF(B2&gt;MAX('TRA-M'!A:A),"",INDEX('TRA-M'!B:B,MATCH(B2,'TRA-M'!A:A,0)))</f>
        <v>LOVE, Ethan</v>
      </c>
      <c r="D2" s="11" t="str">
        <f>IF(B2&gt;MAX('TRA-M'!A:A),"",INDEX('TRA-M'!I:I,MATCH(B2,'TRA-M'!A:A,0)))</f>
        <v>National Team</v>
      </c>
      <c r="E2" s="26"/>
      <c r="F2" s="26"/>
    </row>
    <row r="3" spans="1:12" x14ac:dyDescent="0.2">
      <c r="A3" s="11"/>
      <c r="B3" s="11">
        <v>2</v>
      </c>
      <c r="C3" s="11" t="str">
        <f>IF(B3&gt;MAX('TRA-M'!A:A),"",INDEX('TRA-M'!B:B,MATCH(B3,'TRA-M'!A:A,0)))</f>
        <v>DODD, Gavin</v>
      </c>
      <c r="D3" s="11" t="str">
        <f>IF(B3&gt;MAX('TRA-M'!A:A),"",INDEX('TRA-M'!I:I,MATCH(B3,'TRA-M'!A:A,0)))</f>
        <v>National Team</v>
      </c>
      <c r="E3" s="26"/>
      <c r="F3" s="26"/>
    </row>
    <row r="4" spans="1:12" hidden="1" x14ac:dyDescent="0.2">
      <c r="A4" s="11"/>
      <c r="B4" s="11">
        <v>3</v>
      </c>
      <c r="C4" s="11" t="str">
        <f>IF(B4&gt;MAX('TRA-M'!A:A),"",INDEX('TRA-M'!B:B,MATCH(B4,'TRA-M'!A:A,0)))</f>
        <v/>
      </c>
      <c r="D4" s="11" t="str">
        <f>IF(B4&gt;MAX('TRA-M'!A:A),"",INDEX('TRA-M'!I:I,MATCH(B4,'TRA-M'!A:A,0)))</f>
        <v/>
      </c>
      <c r="E4" s="26"/>
      <c r="F4" s="26"/>
    </row>
    <row r="5" spans="1:12" hidden="1" x14ac:dyDescent="0.2">
      <c r="A5" s="11"/>
      <c r="B5" s="11">
        <v>4</v>
      </c>
      <c r="C5" s="11" t="str">
        <f>IF(B5&gt;MAX('TRA-M'!A:A),"",INDEX('TRA-M'!B:B,MATCH(B5,'TRA-M'!A:A,0)))</f>
        <v/>
      </c>
      <c r="D5" s="11" t="str">
        <f>IF(B5&gt;MAX('TRA-M'!A:A),"",INDEX('TRA-M'!I:I,MATCH(B5,'TRA-M'!A:A,0)))</f>
        <v/>
      </c>
    </row>
    <row r="6" spans="1:12" hidden="1" x14ac:dyDescent="0.2">
      <c r="A6" s="11"/>
      <c r="B6" s="11">
        <v>5</v>
      </c>
      <c r="C6" s="11" t="str">
        <f>IF(B6&gt;MAX('TRA-M'!A:A),"",INDEX('TRA-M'!B:B,MATCH(B6,'TRA-M'!A:A,0)))</f>
        <v/>
      </c>
      <c r="D6" s="11" t="str">
        <f>IF(B6&gt;MAX('TRA-M'!A:A),"",INDEX('TRA-M'!I:I,MATCH(B6,'TRA-M'!A:A,0)))</f>
        <v/>
      </c>
    </row>
    <row r="7" spans="1:12" hidden="1" x14ac:dyDescent="0.2">
      <c r="A7" s="11"/>
      <c r="B7" s="11">
        <v>6</v>
      </c>
      <c r="C7" s="11" t="str">
        <f>IF(B7&gt;MAX('TRA-M'!A:A),"",INDEX('TRA-M'!B:B,MATCH(B7,'TRA-M'!A:A,0)))</f>
        <v/>
      </c>
      <c r="D7" s="11" t="str">
        <f>IF(B7&gt;MAX('TRA-M'!A:A),"",INDEX('TRA-M'!I:I,MATCH(B7,'TRA-M'!A:A,0)))</f>
        <v/>
      </c>
      <c r="G7" s="47"/>
    </row>
    <row r="8" spans="1:12" x14ac:dyDescent="0.2">
      <c r="A8" s="14" t="s">
        <v>43</v>
      </c>
      <c r="B8" s="14">
        <v>1</v>
      </c>
      <c r="C8" s="14" t="str">
        <f>IF(B2&gt;MAX('TRA-W'!A:A),"",INDEX('TRA-W'!B:B,MATCH(B2,'TRA-W'!A:A,0)))</f>
        <v>NAGANO, Mariko</v>
      </c>
      <c r="D8" s="14" t="str">
        <f>IF(B2&gt;MAX('TRA-W'!A:A),"",INDEX('TRA-W'!I:I,MATCH(B2,'TRA-W'!A:A,0)))</f>
        <v>National Team</v>
      </c>
    </row>
    <row r="9" spans="1:12" x14ac:dyDescent="0.2">
      <c r="A9" s="14"/>
      <c r="B9" s="14">
        <v>2</v>
      </c>
      <c r="C9" s="14" t="str">
        <f>IF(B3&gt;MAX('TRA-W'!A:A),"",INDEX('TRA-W'!B:B,MATCH(B3,'TRA-W'!A:A,0)))</f>
        <v>BONHAM, Maja</v>
      </c>
      <c r="D9" s="14" t="str">
        <f>IF(B3&gt;MAX('TRA-W'!A:A),"",INDEX('TRA-W'!I:I,MATCH(B3,'TRA-W'!A:A,0)))</f>
        <v>National Team</v>
      </c>
    </row>
    <row r="10" spans="1:12" x14ac:dyDescent="0.2">
      <c r="A10" s="14"/>
      <c r="B10" s="14">
        <v>3</v>
      </c>
      <c r="C10" s="14" t="str">
        <f>IF(B4&gt;MAX('TRA-W'!A:A),"",INDEX('TRA-W'!B:B,MATCH(B4,'TRA-W'!A:A,0)))</f>
        <v>BOUCHER, Alex</v>
      </c>
      <c r="D10" s="14" t="str">
        <f>IF(B4&gt;MAX('TRA-W'!A:A),"",INDEX('TRA-W'!I:I,MATCH(B4,'TRA-W'!A:A,0)))</f>
        <v>No DD</v>
      </c>
    </row>
    <row r="11" spans="1:12" x14ac:dyDescent="0.2">
      <c r="A11" s="14"/>
      <c r="B11" s="14">
        <v>4</v>
      </c>
      <c r="C11" s="14" t="str">
        <f>IF(B5&gt;MAX('TRA-W'!A:A),"",INDEX('TRA-W'!B:B,MATCH(B5,'TRA-W'!A:A,0)))</f>
        <v>ROSS, Eliane</v>
      </c>
      <c r="D11" s="14" t="str">
        <f>IF(B5&gt;MAX('TRA-W'!A:A),"",INDEX('TRA-W'!I:I,MATCH(B5,'TRA-W'!A:A,0)))</f>
        <v>No DD</v>
      </c>
    </row>
    <row r="12" spans="1:12" hidden="1" x14ac:dyDescent="0.2">
      <c r="A12" s="14"/>
      <c r="B12" s="14">
        <v>5</v>
      </c>
      <c r="C12" s="14" t="str">
        <f>IF(B6&gt;MAX('TRA-W'!A:A),"",INDEX('TRA-W'!B:B,MATCH(B6,'TRA-W'!A:A,0)))</f>
        <v/>
      </c>
      <c r="D12" s="14" t="str">
        <f>IF(B6&gt;MAX('TRA-W'!A:A),"",INDEX('TRA-W'!I:I,MATCH(B6,'TRA-W'!A:A,0)))</f>
        <v/>
      </c>
    </row>
    <row r="13" spans="1:12" hidden="1" x14ac:dyDescent="0.2">
      <c r="A13" s="14"/>
      <c r="B13" s="14">
        <v>6</v>
      </c>
      <c r="C13" s="14" t="str">
        <f>IF(B7&gt;MAX('TRA-W'!A:A),"",INDEX('TRA-W'!B:B,MATCH(B7,'TRA-W'!A:A,0)))</f>
        <v/>
      </c>
      <c r="D13" s="14" t="str">
        <f>IF(B7&gt;MAX('TRA-W'!A:A),"",INDEX('TRA-W'!I:I,MATCH(B7,'TRA-W'!A:A,0)))</f>
        <v/>
      </c>
    </row>
    <row r="14" spans="1:12" x14ac:dyDescent="0.2">
      <c r="A14" s="11" t="s">
        <v>44</v>
      </c>
      <c r="B14" s="11">
        <v>1</v>
      </c>
      <c r="C14" s="11" t="str">
        <f>IF(B2&gt;MAX('TUM-M'!A:A),"",INDEX('TUM-M'!B:B,MATCH(B2,'TUM-M'!A:A,0)))</f>
        <v>PEDERSEN, Mitchel</v>
      </c>
      <c r="D14" s="11" t="str">
        <f>IF(B2&gt;MAX('TUM-M'!A:A),"",INDEX('TUM-M'!I:I,MATCH(B2,'TUM-M'!A:A,0)))</f>
        <v>National Team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IF(B3&gt;MAX('TUM-M'!A:A),"",INDEX('TUM-M'!B:B,MATCH(B3,'TUM-M'!A:A,0)))</f>
        <v/>
      </c>
      <c r="D15" s="11" t="str">
        <f>IF(B3&gt;MAX('TUM-M'!A:A),"",INDEX('TUM-M'!I:I,MATCH(B3,'TUM-M'!A:A,0)))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IF(B4&gt;MAX('TUM-M'!A:A),"",INDEX('TUM-M'!B:B,MATCH(B4,'TUM-M'!A:A,0)))</f>
        <v/>
      </c>
      <c r="D16" s="11" t="str">
        <f>IF(B4&gt;MAX('TUM-M'!A:A),"",INDEX('TUM-M'!I:I,MATCH(B4,'TUM-M'!A:A,0)))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IF(B5&gt;MAX('TUM-M'!A:A),"",INDEX('TUM-M'!B:B,MATCH(B5,'TUM-M'!A:A,0)))</f>
        <v/>
      </c>
      <c r="D17" s="11" t="str">
        <f>IF(B5&gt;MAX('TUM-M'!A:A),"",INDEX('TUM-M'!I:I,MATCH(B5,'TUM-M'!A:A,0)))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IF(B6&gt;MAX('TUM-M'!A:A),"",INDEX('TUM-M'!B:B,MATCH(B6,'TUM-M'!A:A,0)))</f>
        <v/>
      </c>
      <c r="D18" s="11" t="str">
        <f>IF(B6&gt;MAX('TUM-M'!A:A),"",INDEX('TUM-M'!I:I,MATCH(B6,'TUM-M'!A:A,0)))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IF(B7&gt;MAX('TUM-M'!A:A),"",INDEX('TUM-M'!B:B,MATCH(B7,'TUM-M'!A:A,0)))</f>
        <v/>
      </c>
      <c r="D19" s="11" t="str">
        <f>IF(B7&gt;MAX('TUM-M'!A:A),"",INDEX('TUM-M'!I:I,MATCH(B7,'TUM-M'!A:A,0)))</f>
        <v/>
      </c>
    </row>
    <row r="20" spans="1:4" x14ac:dyDescent="0.2">
      <c r="A20" s="14" t="s">
        <v>45</v>
      </c>
      <c r="B20" s="14">
        <v>1</v>
      </c>
      <c r="C20" s="14" t="str">
        <f>IF(B2&gt;MAX('TUM-W'!A:A),"",INDEX('TUM-W'!B:B,MATCH(B2,'TUM-W'!A:A,0)))</f>
        <v>PILLINGER, Taylor</v>
      </c>
      <c r="D20" s="14" t="str">
        <f>IF(B2&gt;MAX('TUM-W'!A:A),"",INDEX('TUM-W'!I:I,MATCH(B2,'TUM-W'!A:A,0)))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IF(B3&gt;MAX('TUM-W'!A:A),"",INDEX('TUM-W'!B:B,MATCH(B3,'TUM-W'!A:A,0)))</f>
        <v>SPENCE, Abby</v>
      </c>
      <c r="D21" s="14" t="str">
        <f>IF(B3&gt;MAX('TUM-W'!A:A),"",INDEX('TUM-W'!I:I,MATCH(B3,'TUM-W'!A:A,0)))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IF(B4&gt;MAX('TUM-W'!A:A),"",INDEX('TUM-W'!B:B,MATCH(B4,'TUM-W'!A:A,0)))</f>
        <v>HARRISON, Emily</v>
      </c>
      <c r="D22" s="14" t="str">
        <f>IF(B4&gt;MAX('TUM-W'!A:A),"",INDEX('TUM-W'!I:I,MATCH(B4,'TUM-W'!A:A,0)))</f>
        <v>Excellence</v>
      </c>
    </row>
    <row r="23" spans="1:4" hidden="1" x14ac:dyDescent="0.2">
      <c r="A23" s="14"/>
      <c r="B23" s="14">
        <v>4</v>
      </c>
      <c r="C23" s="14" t="str">
        <f>IF(B5&gt;MAX('TUM-W'!A:A),"",INDEX('TUM-W'!B:B,MATCH(B5,'TUM-W'!A:A,0)))</f>
        <v/>
      </c>
      <c r="D23" s="14" t="str">
        <f>IF(B5&gt;MAX('TUM-W'!A:A),"",INDEX('TUM-W'!I:I,MATCH(B5,'TUM-W'!A:A,0)))</f>
        <v/>
      </c>
    </row>
    <row r="24" spans="1:4" hidden="1" x14ac:dyDescent="0.2">
      <c r="A24" s="14"/>
      <c r="B24" s="14">
        <v>5</v>
      </c>
      <c r="C24" s="14" t="str">
        <f>IF(B6&gt;MAX('TUM-W'!A:A),"",INDEX('TUM-W'!B:B,MATCH(B6,'TUM-W'!A:A,0)))</f>
        <v/>
      </c>
      <c r="D24" s="14" t="str">
        <f>IF(B6&gt;MAX('TUM-W'!A:A),"",INDEX('TUM-W'!I:I,MATCH(B6,'TUM-W'!A:A,0)))</f>
        <v/>
      </c>
    </row>
    <row r="25" spans="1:4" hidden="1" x14ac:dyDescent="0.2">
      <c r="A25" s="14"/>
      <c r="B25" s="14">
        <v>6</v>
      </c>
      <c r="C25" s="14" t="str">
        <f>IF(B7&gt;MAX('TUM-W'!A:A),"",INDEX('TUM-W'!B:B,MATCH(B7,'TUM-W'!A:A,0)))</f>
        <v/>
      </c>
      <c r="D25" s="14" t="str">
        <f>IF(B7&gt;MAX('TUM-W'!A:A),"",INDEX('TUM-W'!I:I,MATCH(B7,'TUM-W'!A:A,0)))</f>
        <v/>
      </c>
    </row>
    <row r="26" spans="1:4" x14ac:dyDescent="0.2">
      <c r="A26" s="11" t="s">
        <v>46</v>
      </c>
      <c r="B26" s="11">
        <v>1</v>
      </c>
      <c r="C26" s="11" t="str">
        <f>IF(B2&gt;MAX('DMT-M'!A:A),"",INDEX('DMT-M'!B:B,MATCH(B2,'DMT-M'!A:A,0)))</f>
        <v>LUPISH, Kieran</v>
      </c>
      <c r="D26" s="11" t="str">
        <f>IF(B2&gt;MAX('DMT-M'!A:A),"",INDEX('DMT-M'!I:I,MATCH(B2,'DMT-M'!A:A,0)))</f>
        <v>Excellence</v>
      </c>
    </row>
    <row r="27" spans="1:4" x14ac:dyDescent="0.2">
      <c r="A27" s="11"/>
      <c r="B27" s="11">
        <v>2</v>
      </c>
      <c r="C27" s="11" t="str">
        <f>IF(B3&gt;MAX('DMT-M'!A:A),"",INDEX('DMT-M'!B:B,MATCH(B3,'DMT-M'!A:A,0)))</f>
        <v>DODD, Gavin</v>
      </c>
      <c r="D27" s="11" t="str">
        <f>IF(B3&gt;MAX('DMT-M'!A:A),"",INDEX('DMT-M'!I:I,MATCH(B3,'DMT-M'!A:A,0)))</f>
        <v>Excellence</v>
      </c>
    </row>
    <row r="28" spans="1:4" x14ac:dyDescent="0.2">
      <c r="A28" s="11"/>
      <c r="B28" s="11">
        <v>3</v>
      </c>
      <c r="C28" s="11" t="str">
        <f>IF(B4&gt;MAX('DMT-M'!A:A),"",INDEX('DMT-M'!B:B,MATCH(B4,'DMT-M'!A:A,0)))</f>
        <v>ZUREK, Nolan</v>
      </c>
      <c r="D28" s="11" t="str">
        <f>IF(B4&gt;MAX('DMT-M'!A:A),"",INDEX('DMT-M'!I:I,MATCH(B4,'DMT-M'!A:A,0)))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IF(B5&gt;MAX('DMT-M'!A:A),"",INDEX('DMT-M'!B:B,MATCH(B5,'DMT-M'!A:A,0)))</f>
        <v>KLASSEN, Isaiah</v>
      </c>
      <c r="D29" s="11" t="str">
        <f>IF(B5&gt;MAX('DMT-M'!A:A),"",INDEX('DMT-M'!I:I,MATCH(B5,'DMT-M'!A:A,0)))</f>
        <v>No DD</v>
      </c>
    </row>
    <row r="30" spans="1:4" x14ac:dyDescent="0.2">
      <c r="A30" s="11"/>
      <c r="B30" s="11">
        <v>5</v>
      </c>
      <c r="C30" s="11" t="str">
        <f>IF(B6&gt;MAX('DMT-M'!A:A),"",INDEX('DMT-M'!B:B,MATCH(B6,'DMT-M'!A:A,0)))</f>
        <v>UVAKOV, Chris</v>
      </c>
      <c r="D30" s="11" t="str">
        <f>IF(B6&gt;MAX('DMT-M'!A:A),"",INDEX('DMT-M'!I:I,MATCH(B6,'DMT-M'!A:A,0)))</f>
        <v>No DD</v>
      </c>
    </row>
    <row r="31" spans="1:4" hidden="1" x14ac:dyDescent="0.2">
      <c r="A31" s="11"/>
      <c r="B31" s="11">
        <v>6</v>
      </c>
      <c r="C31" s="11" t="str">
        <f>IF(B7&gt;MAX('DMT-M'!A:A),"",INDEX('DMT-M'!B:B,MATCH(B7,'DMT-M'!A:A,0)))</f>
        <v/>
      </c>
      <c r="D31" s="11" t="str">
        <f>IF(B7&gt;MAX('DMT-M'!A:A),"",INDEX('DMT-M'!I:I,MATCH(B7,'DMT-M'!A:A,0)))</f>
        <v/>
      </c>
    </row>
    <row r="32" spans="1:4" x14ac:dyDescent="0.2">
      <c r="A32" s="14" t="s">
        <v>47</v>
      </c>
      <c r="B32" s="14">
        <v>1</v>
      </c>
      <c r="C32" s="14" t="str">
        <f>IF(B2&gt;MAX('DMT-W'!A:A),"",INDEX('DMT-W'!B:B,MATCH(B2,'DMT-W'!A:A,0)))</f>
        <v>PHANEUF, Zoe</v>
      </c>
      <c r="D32" s="14" t="str">
        <f>IF(B2&gt;MAX('DMT-W'!A:A),"",INDEX('DMT-W'!I:I,MATCH(B2,'DMT-W'!A:A,0)))</f>
        <v>National Team</v>
      </c>
    </row>
    <row r="33" spans="1:5" x14ac:dyDescent="0.2">
      <c r="A33" s="14"/>
      <c r="B33" s="14">
        <v>2</v>
      </c>
      <c r="C33" s="14" t="str">
        <f>IF(B3&gt;MAX('DMT-W'!A:A),"",INDEX('DMT-W'!B:B,MATCH(B3,'DMT-W'!A:A,0)))</f>
        <v>BOUCHER, Alex</v>
      </c>
      <c r="D33" s="14" t="str">
        <f>IF(B3&gt;MAX('DMT-W'!A:A),"",INDEX('DMT-W'!I:I,MATCH(B3,'DMT-W'!A:A,0)))</f>
        <v>National Team</v>
      </c>
    </row>
    <row r="34" spans="1:5" hidden="1" x14ac:dyDescent="0.2">
      <c r="A34" s="14"/>
      <c r="B34" s="14">
        <v>3</v>
      </c>
      <c r="C34" s="14" t="str">
        <f>IF(B4&gt;MAX('DMT-W'!A:A),"",INDEX('DMT-W'!B:B,MATCH(B4,'DMT-W'!A:A,0)))</f>
        <v/>
      </c>
      <c r="D34" s="14" t="str">
        <f>IF(B4&gt;MAX('DMT-W'!A:A),"",INDEX('DMT-W'!I:I,MATCH(B4,'DMT-W'!A:A,0)))</f>
        <v/>
      </c>
    </row>
    <row r="35" spans="1:5" hidden="1" x14ac:dyDescent="0.2">
      <c r="A35" s="14"/>
      <c r="B35" s="14">
        <v>4</v>
      </c>
      <c r="C35" s="14" t="str">
        <f>IF(B5&gt;MAX('DMT-W'!A:A),"",INDEX('DMT-W'!B:B,MATCH(B5,'DMT-W'!A:A,0)))</f>
        <v/>
      </c>
      <c r="D35" s="14" t="str">
        <f>IF(B5&gt;MAX('DMT-W'!A:A),"",INDEX('DMT-W'!I:I,MATCH(B5,'DMT-W'!A:A,0)))</f>
        <v/>
      </c>
    </row>
    <row r="36" spans="1:5" hidden="1" x14ac:dyDescent="0.2">
      <c r="A36" s="14"/>
      <c r="B36" s="14">
        <v>5</v>
      </c>
      <c r="C36" s="14" t="str">
        <f>IF(B6&gt;MAX('DMT-W'!A:A),"",INDEX('DMT-W'!B:B,MATCH(B6,'DMT-W'!A:A,0)))</f>
        <v/>
      </c>
      <c r="D36" s="14" t="str">
        <f>IF(B6&gt;MAX('DMT-W'!A:A),"",INDEX('DMT-W'!I:I,MATCH(B6,'DMT-W'!A:A,0)))</f>
        <v/>
      </c>
    </row>
    <row r="37" spans="1:5" hidden="1" x14ac:dyDescent="0.2">
      <c r="A37" s="14"/>
      <c r="B37" s="14">
        <v>6</v>
      </c>
      <c r="C37" s="14" t="str">
        <f>IF(B7&gt;MAX('DMT-W'!A:A),"",INDEX('DMT-W'!B:B,MATCH(B7,'DMT-W'!A:A,0)))</f>
        <v/>
      </c>
      <c r="D37" s="14" t="str">
        <f>IF(B7&gt;MAX('DMT-W'!A:A),"",INDEX('DMT-W'!I:I,MATCH(B7,'DMT-W'!A:A,0)))</f>
        <v/>
      </c>
    </row>
    <row r="39" spans="1:5" x14ac:dyDescent="0.2">
      <c r="B39" s="46" t="s">
        <v>38</v>
      </c>
    </row>
    <row r="40" spans="1:5" x14ac:dyDescent="0.2">
      <c r="B40" s="46" t="s">
        <v>36</v>
      </c>
    </row>
    <row r="41" spans="1:5" x14ac:dyDescent="0.2">
      <c r="B41" s="46" t="s">
        <v>37</v>
      </c>
    </row>
    <row r="42" spans="1:5" x14ac:dyDescent="0.2">
      <c r="B42" s="26" t="s">
        <v>57</v>
      </c>
      <c r="D42" s="46" t="s">
        <v>55</v>
      </c>
    </row>
    <row r="43" spans="1:5" x14ac:dyDescent="0.2">
      <c r="B43" s="26" t="s">
        <v>89</v>
      </c>
      <c r="D43" s="46" t="s">
        <v>55</v>
      </c>
      <c r="E43" t="s">
        <v>55</v>
      </c>
    </row>
    <row r="44" spans="1:5" x14ac:dyDescent="0.2">
      <c r="B44" s="46" t="s">
        <v>56</v>
      </c>
      <c r="D44" s="46"/>
    </row>
    <row r="45" spans="1:5" x14ac:dyDescent="0.2">
      <c r="B45" s="46" t="s">
        <v>101</v>
      </c>
      <c r="D45" s="46"/>
    </row>
    <row r="46" spans="1:5" x14ac:dyDescent="0.2">
      <c r="A46" t="s">
        <v>42</v>
      </c>
      <c r="B46" s="109">
        <v>43922</v>
      </c>
      <c r="C46" s="109"/>
    </row>
    <row r="47" spans="1:5" x14ac:dyDescent="0.2">
      <c r="B47" t="s">
        <v>102</v>
      </c>
    </row>
    <row r="49" spans="2:5" x14ac:dyDescent="0.2">
      <c r="B49" s="46"/>
      <c r="D49" s="107"/>
      <c r="E49" s="108"/>
    </row>
    <row r="50" spans="2:5" x14ac:dyDescent="0.2">
      <c r="B50" s="46"/>
    </row>
    <row r="51" spans="2:5" x14ac:dyDescent="0.2">
      <c r="B51" s="46"/>
    </row>
  </sheetData>
  <sheetProtection formatCells="0" formatColumns="0" formatRows="0"/>
  <mergeCells count="1">
    <mergeCell ref="B46:C46"/>
  </mergeCells>
  <conditionalFormatting sqref="D2:D37">
    <cfRule type="containsText" dxfId="157" priority="1" operator="containsText" text="No DD">
      <formula>NOT(ISERROR(SEARCH("No DD",D2)))</formula>
    </cfRule>
    <cfRule type="containsText" dxfId="156" priority="4" operator="containsText" text="Merit">
      <formula>NOT(ISERROR(SEARCH("Merit",D2)))</formula>
    </cfRule>
    <cfRule type="containsText" dxfId="155" priority="5" operator="containsText" text="Excellence">
      <formula>NOT(ISERROR(SEARCH("Excellence",D2)))</formula>
    </cfRule>
    <cfRule type="containsText" dxfId="154" priority="6" operator="containsText" text="Worlds Team">
      <formula>NOT(ISERROR(SEARCH("Worlds Team",D2)))</formula>
    </cfRule>
    <cfRule type="containsText" dxfId="15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" xr:uid="{D08F591B-E1ED-7A40-99FD-CEC4A428C792}">
      <formula1>"Select,TRA-M,TRA-W,TUM-M,TUM-W,DMT-M,DMT-W"</formula1>
    </dataValidation>
    <dataValidation type="list" allowBlank="1" showInputMessage="1" showErrorMessage="1" sqref="E43" xr:uid="{9EDE9D74-91F4-DA48-84F3-DA924839CF91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357" width="10.83203125" hidden="1" customWidth="1"/>
  </cols>
  <sheetData>
    <row r="1" spans="1:357" x14ac:dyDescent="0.2">
      <c r="A1" s="112" t="s">
        <v>1</v>
      </c>
      <c r="B1" s="112" t="s">
        <v>26</v>
      </c>
      <c r="C1" s="112" t="s">
        <v>0</v>
      </c>
      <c r="D1" s="112" t="s">
        <v>54</v>
      </c>
      <c r="E1" s="112" t="s">
        <v>2</v>
      </c>
      <c r="F1" s="113" t="s">
        <v>51</v>
      </c>
      <c r="G1" s="113" t="s">
        <v>50</v>
      </c>
      <c r="H1" s="112" t="s">
        <v>8</v>
      </c>
      <c r="I1" s="112" t="s">
        <v>9</v>
      </c>
      <c r="J1" s="114" t="s">
        <v>10</v>
      </c>
      <c r="K1" s="114" t="s">
        <v>33</v>
      </c>
      <c r="L1" s="114" t="s">
        <v>11</v>
      </c>
      <c r="M1" s="114" t="s">
        <v>33</v>
      </c>
      <c r="N1" s="114" t="s">
        <v>12</v>
      </c>
      <c r="O1" s="114" t="s">
        <v>33</v>
      </c>
      <c r="P1" s="114" t="s">
        <v>13</v>
      </c>
      <c r="Q1" s="114" t="s">
        <v>33</v>
      </c>
      <c r="R1" s="116" t="s">
        <v>14</v>
      </c>
      <c r="S1" s="114" t="s">
        <v>34</v>
      </c>
      <c r="T1" s="114" t="s">
        <v>33</v>
      </c>
      <c r="U1" s="115" t="s">
        <v>83</v>
      </c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7" t="s">
        <v>92</v>
      </c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8" t="s">
        <v>14</v>
      </c>
      <c r="BP1" s="118"/>
      <c r="BQ1" s="118"/>
      <c r="BR1" s="118"/>
      <c r="BS1" s="115" t="s">
        <v>91</v>
      </c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7" t="s">
        <v>104</v>
      </c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7"/>
      <c r="LB1" s="117"/>
      <c r="LC1" s="117"/>
      <c r="LD1" s="117"/>
      <c r="LE1" s="117"/>
      <c r="LF1" s="117"/>
      <c r="LG1" s="117"/>
      <c r="LH1" s="117"/>
      <c r="LI1" s="117"/>
      <c r="LJ1" s="117"/>
      <c r="LK1" s="117"/>
      <c r="LL1" s="117"/>
      <c r="LM1" s="117"/>
      <c r="LN1" s="117"/>
      <c r="LO1" s="117"/>
      <c r="LP1" s="117"/>
      <c r="LQ1" s="117"/>
      <c r="LR1" s="117"/>
      <c r="LS1" s="117"/>
      <c r="LT1" s="117"/>
      <c r="LU1" s="117"/>
      <c r="LV1" s="117"/>
      <c r="LW1" s="115" t="s">
        <v>82</v>
      </c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</row>
    <row r="2" spans="1:357" x14ac:dyDescent="0.2">
      <c r="A2" s="112"/>
      <c r="B2" s="112"/>
      <c r="C2" s="112"/>
      <c r="D2" s="112"/>
      <c r="E2" s="112"/>
      <c r="F2" s="113"/>
      <c r="G2" s="113"/>
      <c r="H2" s="112"/>
      <c r="I2" s="112"/>
      <c r="J2" s="114"/>
      <c r="K2" s="114"/>
      <c r="L2" s="114"/>
      <c r="M2" s="114"/>
      <c r="N2" s="114"/>
      <c r="O2" s="114"/>
      <c r="P2" s="114"/>
      <c r="Q2" s="114"/>
      <c r="R2" s="116"/>
      <c r="S2" s="114"/>
      <c r="T2" s="114"/>
      <c r="U2" s="110" t="s">
        <v>19</v>
      </c>
      <c r="V2" s="110"/>
      <c r="W2" s="110"/>
      <c r="X2" s="110"/>
      <c r="Y2" s="110"/>
      <c r="Z2" s="110" t="s">
        <v>20</v>
      </c>
      <c r="AA2" s="110"/>
      <c r="AB2" s="110"/>
      <c r="AC2" s="110"/>
      <c r="AD2" s="110"/>
      <c r="AE2" s="110" t="s">
        <v>23</v>
      </c>
      <c r="AF2" s="110"/>
      <c r="AG2" s="110"/>
      <c r="AH2" s="110"/>
      <c r="AI2" s="110"/>
      <c r="AJ2" s="71"/>
      <c r="AK2" s="34" t="s">
        <v>58</v>
      </c>
      <c r="AL2" s="10" t="s">
        <v>21</v>
      </c>
      <c r="AM2" s="10" t="s">
        <v>22</v>
      </c>
      <c r="AN2" s="10" t="s">
        <v>24</v>
      </c>
      <c r="AO2" s="10" t="s">
        <v>90</v>
      </c>
      <c r="AP2" s="10" t="s">
        <v>23</v>
      </c>
      <c r="AQ2" s="10" t="s">
        <v>18</v>
      </c>
      <c r="AR2" s="111" t="s">
        <v>19</v>
      </c>
      <c r="AS2" s="111"/>
      <c r="AT2" s="111"/>
      <c r="AU2" s="111"/>
      <c r="AV2" s="111"/>
      <c r="AW2" s="111" t="s">
        <v>20</v>
      </c>
      <c r="AX2" s="111"/>
      <c r="AY2" s="111"/>
      <c r="AZ2" s="111"/>
      <c r="BA2" s="111"/>
      <c r="BB2" s="111" t="s">
        <v>23</v>
      </c>
      <c r="BC2" s="111"/>
      <c r="BD2" s="111"/>
      <c r="BE2" s="111"/>
      <c r="BF2" s="111"/>
      <c r="BG2" s="70"/>
      <c r="BH2" s="35" t="s">
        <v>58</v>
      </c>
      <c r="BI2" s="13" t="s">
        <v>21</v>
      </c>
      <c r="BJ2" s="13" t="s">
        <v>22</v>
      </c>
      <c r="BK2" s="13" t="s">
        <v>24</v>
      </c>
      <c r="BL2" s="13" t="s">
        <v>90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0" t="s">
        <v>19</v>
      </c>
      <c r="BT2" s="110"/>
      <c r="BU2" s="110"/>
      <c r="BV2" s="110"/>
      <c r="BW2" s="110"/>
      <c r="BX2" s="110" t="s">
        <v>20</v>
      </c>
      <c r="BY2" s="110"/>
      <c r="BZ2" s="110"/>
      <c r="CA2" s="110"/>
      <c r="CB2" s="110"/>
      <c r="CC2" s="110" t="s">
        <v>23</v>
      </c>
      <c r="CD2" s="110"/>
      <c r="CE2" s="110"/>
      <c r="CF2" s="110"/>
      <c r="CG2" s="110"/>
      <c r="CH2" s="34" t="s">
        <v>58</v>
      </c>
      <c r="CI2" s="10" t="s">
        <v>21</v>
      </c>
      <c r="CJ2" s="10" t="s">
        <v>22</v>
      </c>
      <c r="CK2" s="10" t="s">
        <v>24</v>
      </c>
      <c r="CL2" s="10" t="s">
        <v>90</v>
      </c>
      <c r="CM2" s="10" t="s">
        <v>23</v>
      </c>
      <c r="CN2" s="10" t="s">
        <v>18</v>
      </c>
      <c r="CO2" s="111" t="s">
        <v>19</v>
      </c>
      <c r="CP2" s="111"/>
      <c r="CQ2" s="111"/>
      <c r="CR2" s="111"/>
      <c r="CS2" s="111"/>
      <c r="CT2" s="111" t="s">
        <v>20</v>
      </c>
      <c r="CU2" s="111"/>
      <c r="CV2" s="111"/>
      <c r="CW2" s="111"/>
      <c r="CX2" s="111"/>
      <c r="CY2" s="111" t="s">
        <v>23</v>
      </c>
      <c r="CZ2" s="111"/>
      <c r="DA2" s="111"/>
      <c r="DB2" s="111"/>
      <c r="DC2" s="111"/>
      <c r="DD2" s="35" t="s">
        <v>58</v>
      </c>
      <c r="DE2" s="13" t="s">
        <v>21</v>
      </c>
      <c r="DF2" s="13" t="s">
        <v>22</v>
      </c>
      <c r="DG2" s="13" t="s">
        <v>24</v>
      </c>
      <c r="DH2" s="13" t="s">
        <v>90</v>
      </c>
      <c r="DI2" s="13" t="s">
        <v>23</v>
      </c>
      <c r="DJ2" s="13" t="s">
        <v>18</v>
      </c>
      <c r="DK2" s="110" t="s">
        <v>19</v>
      </c>
      <c r="DL2" s="110"/>
      <c r="DM2" s="110"/>
      <c r="DN2" s="110"/>
      <c r="DO2" s="110"/>
      <c r="DP2" s="110" t="s">
        <v>20</v>
      </c>
      <c r="DQ2" s="110"/>
      <c r="DR2" s="110"/>
      <c r="DS2" s="110"/>
      <c r="DT2" s="110"/>
      <c r="DU2" s="110" t="s">
        <v>23</v>
      </c>
      <c r="DV2" s="110"/>
      <c r="DW2" s="110"/>
      <c r="DX2" s="110"/>
      <c r="DY2" s="110"/>
      <c r="DZ2" s="34" t="s">
        <v>58</v>
      </c>
      <c r="EA2" s="10" t="s">
        <v>21</v>
      </c>
      <c r="EB2" s="10" t="s">
        <v>22</v>
      </c>
      <c r="EC2" s="10" t="s">
        <v>24</v>
      </c>
      <c r="ED2" s="10" t="s">
        <v>90</v>
      </c>
      <c r="EE2" s="10" t="s">
        <v>23</v>
      </c>
      <c r="EF2" s="10" t="s">
        <v>18</v>
      </c>
      <c r="EG2" s="111" t="s">
        <v>19</v>
      </c>
      <c r="EH2" s="111"/>
      <c r="EI2" s="111"/>
      <c r="EJ2" s="111"/>
      <c r="EK2" s="111"/>
      <c r="EL2" s="111" t="s">
        <v>20</v>
      </c>
      <c r="EM2" s="111"/>
      <c r="EN2" s="111"/>
      <c r="EO2" s="111"/>
      <c r="EP2" s="111"/>
      <c r="EQ2" s="111" t="s">
        <v>23</v>
      </c>
      <c r="ER2" s="111"/>
      <c r="ES2" s="111"/>
      <c r="ET2" s="111"/>
      <c r="EU2" s="111"/>
      <c r="EV2" s="35" t="s">
        <v>58</v>
      </c>
      <c r="EW2" s="13" t="s">
        <v>21</v>
      </c>
      <c r="EX2" s="13" t="s">
        <v>22</v>
      </c>
      <c r="EY2" s="13" t="s">
        <v>24</v>
      </c>
      <c r="EZ2" s="13" t="s">
        <v>90</v>
      </c>
      <c r="FA2" s="13" t="s">
        <v>23</v>
      </c>
      <c r="FB2" s="13" t="s">
        <v>18</v>
      </c>
      <c r="FC2" s="110" t="s">
        <v>19</v>
      </c>
      <c r="FD2" s="110"/>
      <c r="FE2" s="110"/>
      <c r="FF2" s="110"/>
      <c r="FG2" s="110"/>
      <c r="FH2" s="110" t="s">
        <v>20</v>
      </c>
      <c r="FI2" s="110"/>
      <c r="FJ2" s="110"/>
      <c r="FK2" s="110"/>
      <c r="FL2" s="110"/>
      <c r="FM2" s="110" t="s">
        <v>23</v>
      </c>
      <c r="FN2" s="110"/>
      <c r="FO2" s="110"/>
      <c r="FP2" s="110"/>
      <c r="FQ2" s="110"/>
      <c r="FR2" s="34" t="s">
        <v>58</v>
      </c>
      <c r="FS2" s="10" t="s">
        <v>21</v>
      </c>
      <c r="FT2" s="10" t="s">
        <v>22</v>
      </c>
      <c r="FU2" s="10" t="s">
        <v>24</v>
      </c>
      <c r="FV2" s="10" t="s">
        <v>90</v>
      </c>
      <c r="FW2" s="10" t="s">
        <v>23</v>
      </c>
      <c r="FX2" s="10" t="s">
        <v>18</v>
      </c>
      <c r="FY2" s="111" t="s">
        <v>19</v>
      </c>
      <c r="FZ2" s="111"/>
      <c r="GA2" s="111"/>
      <c r="GB2" s="111"/>
      <c r="GC2" s="111"/>
      <c r="GD2" s="111" t="s">
        <v>20</v>
      </c>
      <c r="GE2" s="111"/>
      <c r="GF2" s="111"/>
      <c r="GG2" s="111"/>
      <c r="GH2" s="111"/>
      <c r="GI2" s="111" t="s">
        <v>23</v>
      </c>
      <c r="GJ2" s="111"/>
      <c r="GK2" s="111"/>
      <c r="GL2" s="111"/>
      <c r="GM2" s="111"/>
      <c r="GN2" s="35" t="s">
        <v>58</v>
      </c>
      <c r="GO2" s="13" t="s">
        <v>21</v>
      </c>
      <c r="GP2" s="13" t="s">
        <v>22</v>
      </c>
      <c r="GQ2" s="13" t="s">
        <v>24</v>
      </c>
      <c r="GR2" s="13" t="s">
        <v>90</v>
      </c>
      <c r="GS2" s="13" t="s">
        <v>23</v>
      </c>
      <c r="GT2" s="13" t="s">
        <v>18</v>
      </c>
      <c r="GU2" s="110" t="s">
        <v>19</v>
      </c>
      <c r="GV2" s="110"/>
      <c r="GW2" s="110"/>
      <c r="GX2" s="110"/>
      <c r="GY2" s="110"/>
      <c r="GZ2" s="110" t="s">
        <v>20</v>
      </c>
      <c r="HA2" s="110"/>
      <c r="HB2" s="110"/>
      <c r="HC2" s="110"/>
      <c r="HD2" s="110"/>
      <c r="HE2" s="110" t="s">
        <v>23</v>
      </c>
      <c r="HF2" s="110"/>
      <c r="HG2" s="110"/>
      <c r="HH2" s="110"/>
      <c r="HI2" s="110"/>
      <c r="HJ2" s="34" t="s">
        <v>58</v>
      </c>
      <c r="HK2" s="10" t="s">
        <v>21</v>
      </c>
      <c r="HL2" s="10" t="s">
        <v>22</v>
      </c>
      <c r="HM2" s="10" t="s">
        <v>24</v>
      </c>
      <c r="HN2" s="10" t="s">
        <v>90</v>
      </c>
      <c r="HO2" s="10" t="s">
        <v>23</v>
      </c>
      <c r="HP2" s="10" t="s">
        <v>18</v>
      </c>
      <c r="HQ2" s="111" t="s">
        <v>19</v>
      </c>
      <c r="HR2" s="111"/>
      <c r="HS2" s="111"/>
      <c r="HT2" s="111"/>
      <c r="HU2" s="111"/>
      <c r="HV2" s="111" t="s">
        <v>20</v>
      </c>
      <c r="HW2" s="111"/>
      <c r="HX2" s="111"/>
      <c r="HY2" s="111"/>
      <c r="HZ2" s="111"/>
      <c r="IA2" s="111" t="s">
        <v>23</v>
      </c>
      <c r="IB2" s="111"/>
      <c r="IC2" s="111"/>
      <c r="ID2" s="111"/>
      <c r="IE2" s="111"/>
      <c r="IF2" s="35" t="s">
        <v>58</v>
      </c>
      <c r="IG2" s="13" t="s">
        <v>21</v>
      </c>
      <c r="IH2" s="13" t="s">
        <v>22</v>
      </c>
      <c r="II2" s="13" t="s">
        <v>24</v>
      </c>
      <c r="IJ2" s="13" t="s">
        <v>90</v>
      </c>
      <c r="IK2" s="13" t="s">
        <v>23</v>
      </c>
      <c r="IL2" s="13" t="s">
        <v>18</v>
      </c>
      <c r="IM2" s="110" t="s">
        <v>19</v>
      </c>
      <c r="IN2" s="110"/>
      <c r="IO2" s="110"/>
      <c r="IP2" s="110"/>
      <c r="IQ2" s="110"/>
      <c r="IR2" s="110" t="s">
        <v>20</v>
      </c>
      <c r="IS2" s="110"/>
      <c r="IT2" s="110"/>
      <c r="IU2" s="110"/>
      <c r="IV2" s="110"/>
      <c r="IW2" s="110" t="s">
        <v>23</v>
      </c>
      <c r="IX2" s="110"/>
      <c r="IY2" s="110"/>
      <c r="IZ2" s="110"/>
      <c r="JA2" s="110"/>
      <c r="JB2" s="34" t="s">
        <v>58</v>
      </c>
      <c r="JC2" s="10" t="s">
        <v>21</v>
      </c>
      <c r="JD2" s="10" t="s">
        <v>22</v>
      </c>
      <c r="JE2" s="10" t="s">
        <v>24</v>
      </c>
      <c r="JF2" s="10" t="s">
        <v>90</v>
      </c>
      <c r="JG2" s="10" t="s">
        <v>23</v>
      </c>
      <c r="JH2" s="10" t="s">
        <v>18</v>
      </c>
      <c r="JI2" s="111" t="s">
        <v>19</v>
      </c>
      <c r="JJ2" s="111"/>
      <c r="JK2" s="111"/>
      <c r="JL2" s="111"/>
      <c r="JM2" s="111"/>
      <c r="JN2" s="111" t="s">
        <v>20</v>
      </c>
      <c r="JO2" s="111"/>
      <c r="JP2" s="111"/>
      <c r="JQ2" s="111"/>
      <c r="JR2" s="111"/>
      <c r="JS2" s="111" t="s">
        <v>23</v>
      </c>
      <c r="JT2" s="111"/>
      <c r="JU2" s="111"/>
      <c r="JV2" s="111"/>
      <c r="JW2" s="111"/>
      <c r="JX2" s="35" t="s">
        <v>58</v>
      </c>
      <c r="JY2" s="13" t="s">
        <v>21</v>
      </c>
      <c r="JZ2" s="13" t="s">
        <v>22</v>
      </c>
      <c r="KA2" s="13" t="s">
        <v>24</v>
      </c>
      <c r="KB2" s="13" t="s">
        <v>90</v>
      </c>
      <c r="KC2" s="13" t="s">
        <v>23</v>
      </c>
      <c r="KD2" s="13" t="s">
        <v>18</v>
      </c>
      <c r="KE2" s="110" t="s">
        <v>19</v>
      </c>
      <c r="KF2" s="110"/>
      <c r="KG2" s="110"/>
      <c r="KH2" s="110"/>
      <c r="KI2" s="110"/>
      <c r="KJ2" s="110" t="s">
        <v>20</v>
      </c>
      <c r="KK2" s="110"/>
      <c r="KL2" s="110"/>
      <c r="KM2" s="110"/>
      <c r="KN2" s="110"/>
      <c r="KO2" s="110" t="s">
        <v>23</v>
      </c>
      <c r="KP2" s="110"/>
      <c r="KQ2" s="110"/>
      <c r="KR2" s="110"/>
      <c r="KS2" s="110"/>
      <c r="KT2" s="34" t="s">
        <v>58</v>
      </c>
      <c r="KU2" s="10" t="s">
        <v>21</v>
      </c>
      <c r="KV2" s="10" t="s">
        <v>22</v>
      </c>
      <c r="KW2" s="10" t="s">
        <v>24</v>
      </c>
      <c r="KX2" s="10" t="s">
        <v>90</v>
      </c>
      <c r="KY2" s="10" t="s">
        <v>23</v>
      </c>
      <c r="KZ2" s="10" t="s">
        <v>18</v>
      </c>
      <c r="LA2" s="111" t="s">
        <v>19</v>
      </c>
      <c r="LB2" s="111"/>
      <c r="LC2" s="111"/>
      <c r="LD2" s="111"/>
      <c r="LE2" s="111"/>
      <c r="LF2" s="111" t="s">
        <v>20</v>
      </c>
      <c r="LG2" s="111"/>
      <c r="LH2" s="111"/>
      <c r="LI2" s="111"/>
      <c r="LJ2" s="111"/>
      <c r="LK2" s="111" t="s">
        <v>23</v>
      </c>
      <c r="LL2" s="111"/>
      <c r="LM2" s="111"/>
      <c r="LN2" s="111"/>
      <c r="LO2" s="111"/>
      <c r="LP2" s="35" t="s">
        <v>58</v>
      </c>
      <c r="LQ2" s="13" t="s">
        <v>21</v>
      </c>
      <c r="LR2" s="13" t="s">
        <v>22</v>
      </c>
      <c r="LS2" s="13" t="s">
        <v>24</v>
      </c>
      <c r="LT2" s="13" t="s">
        <v>90</v>
      </c>
      <c r="LU2" s="13" t="s">
        <v>23</v>
      </c>
      <c r="LV2" s="13" t="s">
        <v>18</v>
      </c>
      <c r="LW2" s="110" t="s">
        <v>19</v>
      </c>
      <c r="LX2" s="110"/>
      <c r="LY2" s="110"/>
      <c r="LZ2" s="110"/>
      <c r="MA2" s="110"/>
      <c r="MB2" s="110" t="s">
        <v>20</v>
      </c>
      <c r="MC2" s="110"/>
      <c r="MD2" s="110"/>
      <c r="ME2" s="110"/>
      <c r="MF2" s="110"/>
      <c r="MG2" s="110" t="s">
        <v>23</v>
      </c>
      <c r="MH2" s="110"/>
      <c r="MI2" s="110"/>
      <c r="MJ2" s="110"/>
      <c r="MK2" s="110"/>
      <c r="ML2" s="105"/>
      <c r="MM2" s="105" t="s">
        <v>58</v>
      </c>
      <c r="MN2" s="10" t="s">
        <v>21</v>
      </c>
      <c r="MO2" s="10" t="s">
        <v>22</v>
      </c>
      <c r="MP2" s="10" t="s">
        <v>24</v>
      </c>
      <c r="MQ2" s="10" t="s">
        <v>90</v>
      </c>
      <c r="MR2" s="10" t="s">
        <v>23</v>
      </c>
      <c r="MS2" s="10" t="s">
        <v>18</v>
      </c>
    </row>
    <row r="3" spans="1:357" x14ac:dyDescent="0.2">
      <c r="A3" s="112"/>
      <c r="B3" s="112"/>
      <c r="C3" s="112"/>
      <c r="D3" s="112"/>
      <c r="E3" s="112"/>
      <c r="F3" s="113"/>
      <c r="G3" s="113"/>
      <c r="H3" s="112"/>
      <c r="I3" s="112"/>
      <c r="J3" s="114"/>
      <c r="K3" s="114"/>
      <c r="L3" s="114"/>
      <c r="M3" s="114"/>
      <c r="N3" s="114"/>
      <c r="O3" s="114"/>
      <c r="P3" s="114"/>
      <c r="Q3" s="114"/>
      <c r="R3" s="116"/>
      <c r="S3" s="114"/>
      <c r="T3" s="114"/>
      <c r="U3" s="34" t="s">
        <v>15</v>
      </c>
      <c r="V3" s="34" t="s">
        <v>16</v>
      </c>
      <c r="W3" s="34" t="s">
        <v>7</v>
      </c>
      <c r="X3" s="34" t="s">
        <v>17</v>
      </c>
      <c r="Y3" s="43" t="s">
        <v>28</v>
      </c>
      <c r="Z3" s="34" t="s">
        <v>15</v>
      </c>
      <c r="AA3" s="34" t="s">
        <v>16</v>
      </c>
      <c r="AB3" s="34" t="s">
        <v>7</v>
      </c>
      <c r="AC3" s="34" t="s">
        <v>17</v>
      </c>
      <c r="AD3" s="43" t="s">
        <v>28</v>
      </c>
      <c r="AE3" s="34" t="s">
        <v>15</v>
      </c>
      <c r="AF3" s="34" t="s">
        <v>16</v>
      </c>
      <c r="AG3" s="34" t="s">
        <v>7</v>
      </c>
      <c r="AH3" s="34" t="s">
        <v>17</v>
      </c>
      <c r="AI3" s="43" t="s">
        <v>28</v>
      </c>
      <c r="AJ3" s="71" t="s">
        <v>52</v>
      </c>
      <c r="AK3" s="11"/>
      <c r="AL3" s="10"/>
      <c r="AM3" s="10"/>
      <c r="AN3" s="10"/>
      <c r="AO3" s="10"/>
      <c r="AP3" s="11"/>
      <c r="AQ3" s="11"/>
      <c r="AR3" s="35" t="s">
        <v>15</v>
      </c>
      <c r="AS3" s="35" t="s">
        <v>16</v>
      </c>
      <c r="AT3" s="35" t="s">
        <v>7</v>
      </c>
      <c r="AU3" s="35" t="s">
        <v>17</v>
      </c>
      <c r="AV3" s="44" t="s">
        <v>28</v>
      </c>
      <c r="AW3" s="35" t="s">
        <v>15</v>
      </c>
      <c r="AX3" s="35" t="s">
        <v>16</v>
      </c>
      <c r="AY3" s="35" t="s">
        <v>7</v>
      </c>
      <c r="AZ3" s="35" t="s">
        <v>17</v>
      </c>
      <c r="BA3" s="44" t="s">
        <v>28</v>
      </c>
      <c r="BB3" s="35" t="s">
        <v>15</v>
      </c>
      <c r="BC3" s="35" t="s">
        <v>16</v>
      </c>
      <c r="BD3" s="35" t="s">
        <v>7</v>
      </c>
      <c r="BE3" s="44" t="s">
        <v>17</v>
      </c>
      <c r="BF3" s="35" t="s">
        <v>28</v>
      </c>
      <c r="BG3" s="70" t="s">
        <v>52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34" t="s">
        <v>15</v>
      </c>
      <c r="BT3" s="34" t="s">
        <v>16</v>
      </c>
      <c r="BU3" s="34" t="s">
        <v>7</v>
      </c>
      <c r="BV3" s="34" t="s">
        <v>17</v>
      </c>
      <c r="BW3" s="43" t="s">
        <v>28</v>
      </c>
      <c r="BX3" s="34" t="s">
        <v>15</v>
      </c>
      <c r="BY3" s="34" t="s">
        <v>16</v>
      </c>
      <c r="BZ3" s="34" t="s">
        <v>7</v>
      </c>
      <c r="CA3" s="34" t="s">
        <v>17</v>
      </c>
      <c r="CB3" s="43" t="s">
        <v>28</v>
      </c>
      <c r="CC3" s="34" t="s">
        <v>15</v>
      </c>
      <c r="CD3" s="34" t="s">
        <v>16</v>
      </c>
      <c r="CE3" s="34" t="s">
        <v>7</v>
      </c>
      <c r="CF3" s="34" t="s">
        <v>17</v>
      </c>
      <c r="CG3" s="43" t="s">
        <v>28</v>
      </c>
      <c r="CH3" s="11"/>
      <c r="CI3" s="10"/>
      <c r="CJ3" s="10"/>
      <c r="CK3" s="10"/>
      <c r="CL3" s="10"/>
      <c r="CM3" s="11"/>
      <c r="CN3" s="11"/>
      <c r="CO3" s="35" t="s">
        <v>15</v>
      </c>
      <c r="CP3" s="35" t="s">
        <v>16</v>
      </c>
      <c r="CQ3" s="35" t="s">
        <v>7</v>
      </c>
      <c r="CR3" s="35" t="s">
        <v>17</v>
      </c>
      <c r="CS3" s="44" t="s">
        <v>28</v>
      </c>
      <c r="CT3" s="35" t="s">
        <v>15</v>
      </c>
      <c r="CU3" s="35" t="s">
        <v>16</v>
      </c>
      <c r="CV3" s="35" t="s">
        <v>7</v>
      </c>
      <c r="CW3" s="35" t="s">
        <v>17</v>
      </c>
      <c r="CX3" s="44" t="s">
        <v>28</v>
      </c>
      <c r="CY3" s="35" t="s">
        <v>15</v>
      </c>
      <c r="CZ3" s="35" t="s">
        <v>16</v>
      </c>
      <c r="DA3" s="35" t="s">
        <v>7</v>
      </c>
      <c r="DB3" s="35" t="s">
        <v>17</v>
      </c>
      <c r="DC3" s="45" t="s">
        <v>28</v>
      </c>
      <c r="DD3" s="14"/>
      <c r="DE3" s="13"/>
      <c r="DF3" s="13"/>
      <c r="DG3" s="13"/>
      <c r="DH3" s="13"/>
      <c r="DI3" s="14"/>
      <c r="DJ3" s="14"/>
      <c r="DK3" s="34" t="s">
        <v>15</v>
      </c>
      <c r="DL3" s="34" t="s">
        <v>16</v>
      </c>
      <c r="DM3" s="34" t="s">
        <v>7</v>
      </c>
      <c r="DN3" s="34" t="s">
        <v>17</v>
      </c>
      <c r="DO3" s="43" t="s">
        <v>28</v>
      </c>
      <c r="DP3" s="34" t="s">
        <v>15</v>
      </c>
      <c r="DQ3" s="34" t="s">
        <v>16</v>
      </c>
      <c r="DR3" s="34" t="s">
        <v>7</v>
      </c>
      <c r="DS3" s="34" t="s">
        <v>17</v>
      </c>
      <c r="DT3" s="43" t="s">
        <v>28</v>
      </c>
      <c r="DU3" s="34" t="s">
        <v>15</v>
      </c>
      <c r="DV3" s="34" t="s">
        <v>16</v>
      </c>
      <c r="DW3" s="34" t="s">
        <v>7</v>
      </c>
      <c r="DX3" s="34" t="s">
        <v>17</v>
      </c>
      <c r="DY3" s="43" t="s">
        <v>28</v>
      </c>
      <c r="DZ3" s="11"/>
      <c r="EA3" s="10"/>
      <c r="EB3" s="10"/>
      <c r="EC3" s="10"/>
      <c r="ED3" s="10"/>
      <c r="EE3" s="11"/>
      <c r="EF3" s="11"/>
      <c r="EG3" s="35" t="s">
        <v>15</v>
      </c>
      <c r="EH3" s="35" t="s">
        <v>16</v>
      </c>
      <c r="EI3" s="35" t="s">
        <v>7</v>
      </c>
      <c r="EJ3" s="35" t="s">
        <v>17</v>
      </c>
      <c r="EK3" s="44" t="s">
        <v>28</v>
      </c>
      <c r="EL3" s="35" t="s">
        <v>15</v>
      </c>
      <c r="EM3" s="35" t="s">
        <v>16</v>
      </c>
      <c r="EN3" s="35" t="s">
        <v>7</v>
      </c>
      <c r="EO3" s="35" t="s">
        <v>17</v>
      </c>
      <c r="EP3" s="44" t="s">
        <v>28</v>
      </c>
      <c r="EQ3" s="35" t="s">
        <v>15</v>
      </c>
      <c r="ER3" s="35" t="s">
        <v>16</v>
      </c>
      <c r="ES3" s="35" t="s">
        <v>7</v>
      </c>
      <c r="ET3" s="35" t="s">
        <v>17</v>
      </c>
      <c r="EU3" s="44" t="s">
        <v>28</v>
      </c>
      <c r="EV3" s="14"/>
      <c r="EW3" s="13"/>
      <c r="EX3" s="13"/>
      <c r="EY3" s="13"/>
      <c r="EZ3" s="13"/>
      <c r="FA3" s="14"/>
      <c r="FB3" s="14"/>
      <c r="FC3" s="34" t="s">
        <v>15</v>
      </c>
      <c r="FD3" s="34" t="s">
        <v>16</v>
      </c>
      <c r="FE3" s="34" t="s">
        <v>7</v>
      </c>
      <c r="FF3" s="34" t="s">
        <v>17</v>
      </c>
      <c r="FG3" s="43" t="s">
        <v>28</v>
      </c>
      <c r="FH3" s="34" t="s">
        <v>15</v>
      </c>
      <c r="FI3" s="34" t="s">
        <v>16</v>
      </c>
      <c r="FJ3" s="34" t="s">
        <v>7</v>
      </c>
      <c r="FK3" s="34" t="s">
        <v>17</v>
      </c>
      <c r="FL3" s="43" t="s">
        <v>28</v>
      </c>
      <c r="FM3" s="34" t="s">
        <v>15</v>
      </c>
      <c r="FN3" s="34" t="s">
        <v>16</v>
      </c>
      <c r="FO3" s="34" t="s">
        <v>7</v>
      </c>
      <c r="FP3" s="34" t="s">
        <v>17</v>
      </c>
      <c r="FQ3" s="43" t="s">
        <v>28</v>
      </c>
      <c r="FR3" s="11"/>
      <c r="FS3" s="10"/>
      <c r="FT3" s="10"/>
      <c r="FU3" s="10"/>
      <c r="FV3" s="10"/>
      <c r="FW3" s="11"/>
      <c r="FX3" s="11"/>
      <c r="FY3" s="35" t="s">
        <v>15</v>
      </c>
      <c r="FZ3" s="35" t="s">
        <v>16</v>
      </c>
      <c r="GA3" s="35" t="s">
        <v>7</v>
      </c>
      <c r="GB3" s="35" t="s">
        <v>17</v>
      </c>
      <c r="GC3" s="44" t="s">
        <v>28</v>
      </c>
      <c r="GD3" s="35" t="s">
        <v>15</v>
      </c>
      <c r="GE3" s="35" t="s">
        <v>16</v>
      </c>
      <c r="GF3" s="35" t="s">
        <v>7</v>
      </c>
      <c r="GG3" s="35" t="s">
        <v>17</v>
      </c>
      <c r="GH3" s="44" t="s">
        <v>28</v>
      </c>
      <c r="GI3" s="35" t="s">
        <v>15</v>
      </c>
      <c r="GJ3" s="35" t="s">
        <v>16</v>
      </c>
      <c r="GK3" s="35" t="s">
        <v>7</v>
      </c>
      <c r="GL3" s="35" t="s">
        <v>17</v>
      </c>
      <c r="GM3" s="44" t="s">
        <v>28</v>
      </c>
      <c r="GN3" s="14"/>
      <c r="GO3" s="13"/>
      <c r="GP3" s="13"/>
      <c r="GQ3" s="13"/>
      <c r="GR3" s="13"/>
      <c r="GS3" s="14"/>
      <c r="GT3" s="14"/>
      <c r="GU3" s="34" t="s">
        <v>15</v>
      </c>
      <c r="GV3" s="34" t="s">
        <v>16</v>
      </c>
      <c r="GW3" s="34" t="s">
        <v>7</v>
      </c>
      <c r="GX3" s="34" t="s">
        <v>17</v>
      </c>
      <c r="GY3" s="43" t="s">
        <v>28</v>
      </c>
      <c r="GZ3" s="34" t="s">
        <v>15</v>
      </c>
      <c r="HA3" s="34" t="s">
        <v>16</v>
      </c>
      <c r="HB3" s="34" t="s">
        <v>7</v>
      </c>
      <c r="HC3" s="34" t="s">
        <v>17</v>
      </c>
      <c r="HD3" s="43" t="s">
        <v>28</v>
      </c>
      <c r="HE3" s="34" t="s">
        <v>15</v>
      </c>
      <c r="HF3" s="34" t="s">
        <v>16</v>
      </c>
      <c r="HG3" s="34" t="s">
        <v>7</v>
      </c>
      <c r="HH3" s="34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35" t="s">
        <v>15</v>
      </c>
      <c r="HR3" s="35" t="s">
        <v>16</v>
      </c>
      <c r="HS3" s="35" t="s">
        <v>7</v>
      </c>
      <c r="HT3" s="35" t="s">
        <v>17</v>
      </c>
      <c r="HU3" s="44" t="s">
        <v>28</v>
      </c>
      <c r="HV3" s="35" t="s">
        <v>15</v>
      </c>
      <c r="HW3" s="35" t="s">
        <v>16</v>
      </c>
      <c r="HX3" s="35" t="s">
        <v>7</v>
      </c>
      <c r="HY3" s="35" t="s">
        <v>17</v>
      </c>
      <c r="HZ3" s="44" t="s">
        <v>28</v>
      </c>
      <c r="IA3" s="35" t="s">
        <v>15</v>
      </c>
      <c r="IB3" s="35" t="s">
        <v>16</v>
      </c>
      <c r="IC3" s="35" t="s">
        <v>7</v>
      </c>
      <c r="ID3" s="35" t="s">
        <v>17</v>
      </c>
      <c r="IE3" s="44" t="s">
        <v>28</v>
      </c>
      <c r="IF3" s="14"/>
      <c r="IG3" s="13"/>
      <c r="IH3" s="13"/>
      <c r="II3" s="13"/>
      <c r="IJ3" s="13"/>
      <c r="IK3" s="14"/>
      <c r="IL3" s="14"/>
      <c r="IM3" s="34" t="s">
        <v>15</v>
      </c>
      <c r="IN3" s="34" t="s">
        <v>16</v>
      </c>
      <c r="IO3" s="34" t="s">
        <v>7</v>
      </c>
      <c r="IP3" s="34" t="s">
        <v>17</v>
      </c>
      <c r="IQ3" s="43" t="s">
        <v>28</v>
      </c>
      <c r="IR3" s="34" t="s">
        <v>15</v>
      </c>
      <c r="IS3" s="34" t="s">
        <v>16</v>
      </c>
      <c r="IT3" s="34" t="s">
        <v>7</v>
      </c>
      <c r="IU3" s="34" t="s">
        <v>17</v>
      </c>
      <c r="IV3" s="43" t="s">
        <v>28</v>
      </c>
      <c r="IW3" s="34" t="s">
        <v>15</v>
      </c>
      <c r="IX3" s="34" t="s">
        <v>16</v>
      </c>
      <c r="IY3" s="34" t="s">
        <v>7</v>
      </c>
      <c r="IZ3" s="34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35" t="s">
        <v>15</v>
      </c>
      <c r="JJ3" s="35" t="s">
        <v>16</v>
      </c>
      <c r="JK3" s="35" t="s">
        <v>7</v>
      </c>
      <c r="JL3" s="35" t="s">
        <v>17</v>
      </c>
      <c r="JM3" s="44" t="s">
        <v>28</v>
      </c>
      <c r="JN3" s="35" t="s">
        <v>15</v>
      </c>
      <c r="JO3" s="35" t="s">
        <v>16</v>
      </c>
      <c r="JP3" s="35" t="s">
        <v>7</v>
      </c>
      <c r="JQ3" s="35" t="s">
        <v>17</v>
      </c>
      <c r="JR3" s="44" t="s">
        <v>28</v>
      </c>
      <c r="JS3" s="35" t="s">
        <v>15</v>
      </c>
      <c r="JT3" s="35" t="s">
        <v>16</v>
      </c>
      <c r="JU3" s="35" t="s">
        <v>7</v>
      </c>
      <c r="JV3" s="35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34" t="s">
        <v>15</v>
      </c>
      <c r="KF3" s="34" t="s">
        <v>16</v>
      </c>
      <c r="KG3" s="34" t="s">
        <v>7</v>
      </c>
      <c r="KH3" s="34" t="s">
        <v>17</v>
      </c>
      <c r="KI3" s="43" t="s">
        <v>28</v>
      </c>
      <c r="KJ3" s="34" t="s">
        <v>15</v>
      </c>
      <c r="KK3" s="34" t="s">
        <v>16</v>
      </c>
      <c r="KL3" s="34" t="s">
        <v>7</v>
      </c>
      <c r="KM3" s="34" t="s">
        <v>17</v>
      </c>
      <c r="KN3" s="43" t="s">
        <v>28</v>
      </c>
      <c r="KO3" s="34" t="s">
        <v>15</v>
      </c>
      <c r="KP3" s="34" t="s">
        <v>16</v>
      </c>
      <c r="KQ3" s="34" t="s">
        <v>7</v>
      </c>
      <c r="KR3" s="34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35" t="s">
        <v>15</v>
      </c>
      <c r="LB3" s="35" t="s">
        <v>16</v>
      </c>
      <c r="LC3" s="35" t="s">
        <v>7</v>
      </c>
      <c r="LD3" s="35" t="s">
        <v>17</v>
      </c>
      <c r="LE3" s="44" t="s">
        <v>28</v>
      </c>
      <c r="LF3" s="35" t="s">
        <v>15</v>
      </c>
      <c r="LG3" s="35" t="s">
        <v>16</v>
      </c>
      <c r="LH3" s="35" t="s">
        <v>7</v>
      </c>
      <c r="LI3" s="35" t="s">
        <v>17</v>
      </c>
      <c r="LJ3" s="44" t="s">
        <v>28</v>
      </c>
      <c r="LK3" s="35" t="s">
        <v>15</v>
      </c>
      <c r="LL3" s="35" t="s">
        <v>16</v>
      </c>
      <c r="LM3" s="35" t="s">
        <v>7</v>
      </c>
      <c r="LN3" s="35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52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7" t="s">
        <v>84</v>
      </c>
      <c r="C4" s="8" t="s">
        <v>3</v>
      </c>
      <c r="D4" s="27">
        <v>2003</v>
      </c>
      <c r="E4" s="16">
        <f>SUM(J4:R4)</f>
        <v>248.60000000000002</v>
      </c>
      <c r="F4" s="4" t="str">
        <f>IF(OR(AND($AK4&gt;=$AL$15,NOT($AK4=""),$AJ4=""),AND($BH4&gt;=$BI$15,NOT($BH4=""),$BG4=""),AND($CH4&gt;=$CI$15,NOT($CH4="")),AND($DD4&gt;=$DE$15,NOT($DD4="")),AND($DZ4&gt;=$EA$15,NOT($DZ4="")),AND($EV4&gt;=$EW$15,NOT($EV4="")),AND($FR4&gt;=$FS$15,NOT($FR4="")),AND($GN4&gt;=$GO$15,NOT($GN4="")),AND($HJ4&gt;=$HK$15,NOT($HJ4="")),AND($IF4&gt;=$IG$15,NOT($IF4="")),AND($JB4&gt;=$JC$15,NOT($JB4="")),AND($JX4&gt;=$JY$15,NOT($JX4="")),AND($KT4&gt;=$KU$15,NOT($KT4="")),AND($LP4&gt;=$LQ$15,NOT($LP4="")),AND($AO4&gt;=$AL$15,NOT($AO4=""),$AJ4=""),AND($BL4&gt;=$BI$15,NOT($BL4=""),$BG4=""),AND($CL4&gt;=$CI$15,NOT($CL4="")),AND($DH4&gt;=$DE$15,NOT($DH4="")),AND($ED4&gt;=$EA$15,NOT($ED4="")),AND($EZ4&gt;=$EW$15,NOT($EZ4="")),AND($FV4&gt;=$FS$15,NOT($FV4="")),AND($GR4&gt;=$GO$15,NOT($GR4="")),AND($HN4&gt;=$HK$15,NOT($HN4="")),AND($IJ4&gt;=$IG$15,NOT($IJ4="")),AND($JF4&gt;=$JC$15,NOT($JF4="")),AND($KB4&gt;=$JY$15,NOT($KB4="")),AND($KX4&gt;=$KU$15,NOT($KX4="")),AND($LT4&gt;=$LQ$15,NOT($LT4=""))),"P","")</f>
        <v>P</v>
      </c>
      <c r="G4" s="4" t="str">
        <f>IF(OR(AND($AK4&gt;=$AL$16,NOT($AK4=""),$AJ4=""),AND($BH4&gt;=$BI$16,NOT($BH4=""),$BG4=""),AND($CH4&gt;=$CI$16,NOT($CH4="")),AND($DD4&gt;=$DE$16,NOT($DD4="")),AND($DZ4&gt;=$EA$16,NOT($DZ4="")),AND($EV4&gt;=$EW$16,NOT($EV4="")),AND($FR4&gt;=$FS$16,NOT($FR4="")),AND($GN4&gt;=$GO$16,NOT($GN4="")),AND($HJ4&gt;=$HK$16,NOT($HJ4="")),AND($IF4&gt;=$IG$16,NOT($IF4="")),AND($JB4&gt;=$JC$16,NOT($JB4="")),AND($JX4&gt;=$JY$16,NOT($JX4="")),AND($KT4&gt;=$KU$16,NOT($KT4="")),AND($LP4&gt;=$LQ$16,NOT($LP4="")),AND($AO4&gt;=$AL$16,NOT($AO4=""),$AJ4=""),AND($BL4&gt;=$BI$16,NOT($BL4=""),$BG4=""),AND($CL4&gt;=$CI$16,NOT($CL4="")),AND($DH4&gt;=$DE$16,NOT($DH4="")),AND($ED4&gt;=$EA$16,NOT($ED4="")),AND($EZ4&gt;=$EW$16,NOT($EZ4="")),AND($FV4&gt;=$FS$16,NOT($FV4="")),AND($GR4&gt;=$GO$16,NOT($GR4="")),AND($HN4&gt;=$HK$16,NOT($HN4="")),AND($IJ4&gt;=$IG$16,NOT($IJ4="")),AND($JF4&gt;=$JC$16,NOT($JF4="")),AND($KB4&gt;=$JY$16,NOT($KB4="")),AND($KX4&gt;=$KU$16,NOT($KX4="")),AND($LT4&gt;=$LQ$16,NOT($LT4=""))),"P","")</f>
        <v>P</v>
      </c>
      <c r="H4" s="4" t="str">
        <f>IF(OR(AND($AN4&gt;=$AL$17,NOT($AN4=""),$AJ4=""),AND($BK4&gt;=$BI$17,NOT($BK4=""),$BG4=""),AND($CK4&gt;=$CI$17,NOT($CK4="")),AND($DG4&gt;=$DE$17,NOT($DG4="")),AND($EC4&gt;=$EA$17,NOT($EC4="")),AND($EY4&gt;=$EW$17,NOT($EY4="")),AND($FU4&gt;=$FS$17,NOT($FU4="")),AND($GQ4&gt;=$GO$17,NOT($GQ4="")),AND($HM4&gt;=$HK$17,NOT($HM4="")),AND($II4&gt;=$IG$17,NOT($II4="")),AND($JE4&gt;=$JC$17,NOT($JE4="")),AND($KA4&gt;=$JY$17,NOT($KA4="")),AND($KW4&gt;=$KU$17,NOT($KW4="")),AND($LS4&gt;=$LQ$17,NOT($LS4=""))),"P","")</f>
        <v>P</v>
      </c>
      <c r="I4" t="str">
        <f>IF(AND(H4="P",F4=""),"No DD",IF(AND(G4="P",OR(AND($AM4&gt;$AL$20,NOT($AM4=""),$AJ4=""),AND($AP4&gt;$AL$20,NOT($AP4=""),$AJ4=""),AND($BJ4&gt;$BI$20,NOT($BJ4=""),$BG4=""),AND($BM4&gt;$BI$20,NOT($BM4=""),$BG4=""),AND($CJ4&gt;$CI$20,NOT($CJ4="")),AND($CM4&gt;$CI$20,NOT($CM4="")),AND($DF4&gt;$DE$20,NOT($DF4="")),AND($DI4&gt;$DE$20,NOT($DI4="")),AND($EB4&gt;$EA$20,NOT($EB4="")),AND($EE4&gt;$EA$20,NOT($EE4="")),AND($EX4&gt;$EW$20,NOT($EX4="")),AND($FA4&gt;$EW$20,NOT($FA4="")),AND($FT4&gt;$FS$20,NOT($FT4="")),AND($FW4&gt;$FS$20,NOT($FW4="")),AND($GP4&gt;$GO$20,NOT($GP4="")),AND($GS4&gt;$GO$20,NOT($GS4="")),AND($HL4&gt;$HK$20,NOT($HL4="")),AND($HO4&gt;$HK$20,NOT($HO4="")),AND($IH4&gt;$IG$20,NOT($IH4="")),AND($IK4&gt;$IG$20,NOT($IK4="")),AND($JD4&gt;$JC$20,NOT($JD4="")),AND($JG4&gt;$JC$20,NOT($JG4="")),AND($JZ4&gt;$JY$20,NOT($JZ4="")),AND($KC4&gt;$JY$20,NOT($KC4="")),AND($KV4&gt;$KU$20,NOT($KV4="")),AND($KY4&gt;$KU$20,NOT($KY4="")),AND($LR4&gt;$LQ$20,NOT($LR4="")),AND($LU4&gt;$LQ$20,NOT($LU4="")))),"Merit",IF(AND(G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Excellence",IF(AND(G4="P",OR(AND($AN4&gt;$AL$18,NOT($AN4=""),$AJ4=""),AND($BK4&gt;$BI$18,NOT($BK4=""),$BG4=""),AND($CK4&gt;$CI$18,NOT($CK4="")),AND($DG4&gt;$DE$18,NOT($DG4="")),AND($EC4&gt;$EA$18,NOT($EC4="")),AND($EY4&gt;$EW$18,NOT($EY4="")),AND($FU4&gt;$FS$18,NOT($FU4="")),AND($GQ4&gt;$GO$18,NOT($GQ4="")),AND($HM4&gt;$HK$18,NOT($HM4="")),AND($II4&gt;$IG$18,NOT($II4="")),AND($JE4&gt;$JC$18,NOT($JE4="")),AND($KA4&gt;$JY$18,NOT($KA4="")),AND($KW4&gt;$KU$18,NOT($KW4="")),AND($LS4&gt;$LQ$18,NOT($LS4="")))),"Worlds Team",IF(AND(F4="P",OR(AND($AN4&gt;$AL$17,NOT($AN4=""),$AJ4=""),AND($BK4&gt;$BI$17,NOT($BK4=""),$BG4=""),AND($CK4&gt;$CI$17,NOT($CK4="")),AND($DG4&gt;$DE$17,NOT($DG4="")),AND($EC4&gt;$EA$17,NOT($EC4="")),AND($EY4&gt;$EW$17,NOT($EY4="")),AND($FU4&gt;$FS$17,NOT($FU4="")),AND($GQ4&gt;$GO$17,NOT($GQ4="")),AND($HM4&gt;$HK$17,NOT($HM4="")),AND($II4&gt;$IG$17,NOT($II4="")),AND($JE4&gt;$JC$17,NOT($JE4="")),AND($KA4&gt;$JY$17,NOT($KA4="")),AND($KW4&gt;$KU$17,NOT($KW4="")),AND($LS4&gt;$LQ$17,NOT($LS4="")))),"National Team","")))))</f>
        <v>National Team</v>
      </c>
      <c r="J4" s="15">
        <f>IF(MAX(AN4,BK4)&gt;0,MAX(AN4,BK4),"")</f>
        <v>98.37</v>
      </c>
      <c r="K4" s="15" t="str">
        <f>IF(J4="","",IF(J4=BK4,$AR$1,IF(J4=AN4,$U$1,"")))</f>
        <v>2019 Elite Canada</v>
      </c>
      <c r="L4" s="15">
        <f>IF($J4=$AN4,BI4,IF($J4=$BK4,AL4,MAX(AL4,BI4)))</f>
        <v>46.435000000000002</v>
      </c>
      <c r="M4" s="15" t="str">
        <f>IF(L4="","",IF(AND(L4=BI4,$K4&lt;&gt;$AR$1),$AR$1,IF(AND(L4=AL4,$K4&lt;&gt;$U$1),$U$1,"")))</f>
        <v>2019 Nationals</v>
      </c>
      <c r="N4" s="15">
        <f>IF($J4=$AN4,BJ4,IF($J4=$BK4,AM4,MAX(AM4,BJ4)))</f>
        <v>51.605000000000004</v>
      </c>
      <c r="O4" s="15" t="str">
        <f>IF(N4="","",IF(AND(N4=BJ4,$K4&lt;&gt;$AR$1),$AR$1,IF(AND(N4=AM4,$K4&lt;&gt;$U$1),$U$1,"")))</f>
        <v>2019 Nationals</v>
      </c>
      <c r="P4" s="15">
        <f>IF(MAX(AP4,BM4)&gt;0,MAX(AP4,BM4),"")</f>
        <v>51.505000000000003</v>
      </c>
      <c r="Q4" s="15" t="str">
        <f>IF(P4="","",IF(P4=BM4,$AR$1,IF(P4=AP4,$U$1,"")))</f>
        <v>2019 Elite Canada</v>
      </c>
      <c r="R4" s="15">
        <f>IF(MAX(BO4,BP4,BQ4,BR4)&gt;0,MAX(BO4,BP4,BQ4,BR4),"")</f>
        <v>0.68499999999998806</v>
      </c>
      <c r="S4" s="25" t="str">
        <f>IF(R4="","",IF(R4=BO4,"(Vol 1)",IF(R4=BP4,"(Vol 2)",IF(R4=BQ4,"(Prelim)",IF(R4=BR4,"(Final)")))))</f>
        <v>(Vol 2)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WAGC (Dec 7)</v>
      </c>
      <c r="U4" s="63">
        <v>17.100000000000001</v>
      </c>
      <c r="V4" s="63">
        <v>9.35</v>
      </c>
      <c r="W4" s="63">
        <v>3.9</v>
      </c>
      <c r="X4" s="63">
        <v>16.145</v>
      </c>
      <c r="Y4" s="63">
        <v>0</v>
      </c>
      <c r="Z4" s="63">
        <v>13.3</v>
      </c>
      <c r="AA4" s="63">
        <v>9.6</v>
      </c>
      <c r="AB4" s="63">
        <v>13.8</v>
      </c>
      <c r="AC4" s="63">
        <v>15.175000000000001</v>
      </c>
      <c r="AD4" s="63">
        <v>0</v>
      </c>
      <c r="AE4" s="63">
        <v>13.8</v>
      </c>
      <c r="AF4" s="63">
        <v>9</v>
      </c>
      <c r="AG4" s="63">
        <v>13.8</v>
      </c>
      <c r="AH4" s="63">
        <v>14.904999999999999</v>
      </c>
      <c r="AI4" s="63">
        <v>0</v>
      </c>
      <c r="AJ4" s="74"/>
      <c r="AK4" s="12">
        <f>IF(AB4&gt;0,AB4,"")</f>
        <v>13.8</v>
      </c>
      <c r="AL4" s="12">
        <f>IF(SUM(U4:X4)-Y4&gt;0,SUM(U4:X4)-Y4,"")</f>
        <v>46.495000000000005</v>
      </c>
      <c r="AM4" s="12">
        <f>IF(SUM(Z4:AC4)-AD4&gt;0,SUM(Z4:AC4)-AD4,"")</f>
        <v>51.875</v>
      </c>
      <c r="AN4" s="12">
        <f>IF(SUM(AL4:AM4)&gt;0,SUM(AL4:AM4),"")</f>
        <v>98.37</v>
      </c>
      <c r="AO4" s="12">
        <f>IF(AG4&gt;0,AG4,"")</f>
        <v>13.8</v>
      </c>
      <c r="AP4" s="12">
        <f>IF(SUM(AE4:AH4)-AI4&gt;0,SUM(AE4:AH4)-AI4,"")</f>
        <v>51.505000000000003</v>
      </c>
      <c r="AQ4" s="12">
        <f>IF(SUM(AN4,AP4)&gt;0,SUM(AN4,AP4),"")</f>
        <v>149.875</v>
      </c>
      <c r="AR4" s="69">
        <v>17.7</v>
      </c>
      <c r="AS4" s="69">
        <v>8.9</v>
      </c>
      <c r="AT4" s="69">
        <v>3.9</v>
      </c>
      <c r="AU4" s="69">
        <v>15.935</v>
      </c>
      <c r="AV4" s="69">
        <v>0</v>
      </c>
      <c r="AW4" s="69">
        <v>13.7</v>
      </c>
      <c r="AX4" s="69">
        <v>8.6999999999999993</v>
      </c>
      <c r="AY4" s="69">
        <v>13.8</v>
      </c>
      <c r="AZ4" s="69">
        <v>15.404999999999999</v>
      </c>
      <c r="BA4" s="69">
        <v>0</v>
      </c>
      <c r="BB4" s="69">
        <v>5.44</v>
      </c>
      <c r="BC4" s="69">
        <v>3.5</v>
      </c>
      <c r="BD4" s="69">
        <v>6.1</v>
      </c>
      <c r="BE4" s="69">
        <v>6.1749999999999998</v>
      </c>
      <c r="BF4" s="69">
        <v>0</v>
      </c>
      <c r="BG4" s="75"/>
      <c r="BH4" s="15">
        <f>IF(AY4&gt;0,AY4,"")</f>
        <v>13.8</v>
      </c>
      <c r="BI4" s="15">
        <f>IF(SUM(AR4:AU4)-AV4&gt;0,SUM(AR4:AU4)-AV4,"")</f>
        <v>46.435000000000002</v>
      </c>
      <c r="BJ4" s="15">
        <f>IF(SUM(AW4:AZ4)-BA4&gt;0,SUM(AW4:AZ4)-BA4,"")</f>
        <v>51.605000000000004</v>
      </c>
      <c r="BK4" s="15">
        <f>IF(SUM(BI4:BJ4)&gt;0,SUM(BI4:BJ4),"")</f>
        <v>98.04</v>
      </c>
      <c r="BL4" s="15">
        <f>IF(BD4&gt;0,BD4,"")</f>
        <v>6.1</v>
      </c>
      <c r="BM4" s="15">
        <f>IF(SUM(BB4:BE4)-BF4&gt;0,SUM(BB4:BE4)-BF4,"")</f>
        <v>21.215</v>
      </c>
      <c r="BN4" s="15">
        <f>IF(SUM(BK4,BM4)&gt;0,SUM(BK4,BM4),"")</f>
        <v>119.25500000000001</v>
      </c>
      <c r="BO4" s="24" t="str">
        <f>IF(MAX(CI4,DE4,EA4,EW4,FS4,GO4,HK4,IG4,JC4,JY4,KU4,LQ4)-IF(L4="",0,L4)&gt;0.001,MAX(CI4,DE4,EA4,EW4,FS4,GO4,HK4,IG4,JC4,JY4,KU4,LQ4)-IF(L4="",0,L4),"")</f>
        <v/>
      </c>
      <c r="BP4" s="24">
        <f>IF(MAX(CJ4,DF4,EB4,EX4,FT4,GP4,HL4,IH4,JD4,JZ4,KV4,LR4)-IF(N4="",0,N4)&gt;0.001,MAX(CJ4,DF4,EB4,EX4,FT4,GP4,HL4,IH4,JD4,JZ4,KV4,LR4)-IF(N4="",0,N4),"")</f>
        <v>0.68499999999998806</v>
      </c>
      <c r="BQ4" s="24" t="str">
        <f>IF(MAX(CK4,DG4,EC4,EY4,FU4,GQ4,HM4,II4,JE4,KA4,KW4,LS4)-IF(J4="",0,J4)&gt;0.001,MAX(CK4,DG4,EC4,EY4,FU4,GQ4,HM4,II4,JE4,KA4,KW4,LS4)-IF(J4="",0,J4),"")</f>
        <v/>
      </c>
      <c r="BR4" s="24" t="str">
        <f>IF(MAX(CM4,DI4,EE4,FA4,FW4,GS4,HO4,IK4,JG4,KC4,KY4,LU4)-IF(P4="",0,P4)&gt;0.001,MAX(CM4,DI4,EE4,FA4,FW4,GS4,HO4,IK4,JG4,KC4,KY4,LU4)-IF(P4="",0,P4),"")</f>
        <v/>
      </c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12" t="str">
        <f>IF(BZ4&gt;0,BZ4,"")</f>
        <v/>
      </c>
      <c r="CI4" s="12" t="str">
        <f>IF(SUM(BS4:BV4)-BW4&gt;0,SUM(BS4:BV4)-BW4,"")</f>
        <v/>
      </c>
      <c r="CJ4" s="12" t="str">
        <f>IF(SUM(BX4:CA4)-CB4&gt;0,SUM(BX4:CA4)-CB4,"")</f>
        <v/>
      </c>
      <c r="CK4" s="12" t="str">
        <f>IF(SUM(CI4:CJ4)&gt;0,SUM(CI4:CJ4),"")</f>
        <v/>
      </c>
      <c r="CL4" s="12" t="str">
        <f>IF(CE4&gt;0,CE4,"")</f>
        <v/>
      </c>
      <c r="CM4" s="12" t="str">
        <f>IF(SUM(CC4:CF4)-CG4&gt;0,SUM(CC4:CF4)-CG4,"")</f>
        <v/>
      </c>
      <c r="CN4" s="12" t="str">
        <f>IF(SUM(CK4,CM4)&gt;0,SUM(CK4,CM4),"")</f>
        <v/>
      </c>
      <c r="CO4" s="37">
        <v>16.100000000000001</v>
      </c>
      <c r="CP4" s="37">
        <v>9.5</v>
      </c>
      <c r="CQ4" s="37">
        <v>0</v>
      </c>
      <c r="CR4" s="37">
        <v>15.89</v>
      </c>
      <c r="CS4" s="37">
        <v>0</v>
      </c>
      <c r="CT4" s="37">
        <v>14.2</v>
      </c>
      <c r="CU4" s="37">
        <v>9.6</v>
      </c>
      <c r="CV4" s="37">
        <v>13.4</v>
      </c>
      <c r="CW4" s="37">
        <v>15.09</v>
      </c>
      <c r="CX4" s="37">
        <v>0</v>
      </c>
      <c r="CY4" s="37"/>
      <c r="CZ4" s="37"/>
      <c r="DA4" s="37"/>
      <c r="DB4" s="37"/>
      <c r="DC4" s="37"/>
      <c r="DD4" s="15">
        <f>IF(CV4&gt;0,CV4,"")</f>
        <v>13.4</v>
      </c>
      <c r="DE4" s="15">
        <f>IF(SUM(CO4:CR4)-CS4&gt;0,SUM(CO4:CR4)-CS4,"")</f>
        <v>41.49</v>
      </c>
      <c r="DF4" s="15">
        <f>IF(SUM(CT4:CW4)-CX4&gt;0,SUM(CT4:CW4)-CX4,"")</f>
        <v>52.289999999999992</v>
      </c>
      <c r="DG4" s="15">
        <f>IF(SUM(DE4:DF4)&gt;0,SUM(DE4:DF4),"")</f>
        <v>93.78</v>
      </c>
      <c r="DH4" s="15" t="str">
        <f>IF(DA4&gt;0,DA4,"")</f>
        <v/>
      </c>
      <c r="DI4" s="15" t="str">
        <f>IF(SUM(CY4:DB4)-DC4&gt;0,SUM(CY4:DB4)-DC4,"")</f>
        <v/>
      </c>
      <c r="DJ4" s="15">
        <f>IF(SUM(DG4,DI4)&gt;0,SUM(DG4,DI4),"")</f>
        <v>93.78</v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63">
        <f t="shared" ref="LW4:LW11" si="0">IF($BG4="P",AR4,(U4+AR4)/2)</f>
        <v>17.399999999999999</v>
      </c>
      <c r="LX4" s="63">
        <f t="shared" ref="LX4:LX11" si="1">IF($BG4="P",AS4,(V4+AS4)/2)</f>
        <v>9.125</v>
      </c>
      <c r="LY4" s="63">
        <f t="shared" ref="LY4:LY11" si="2">IF($BG4="P",AT4,(W4+AT4)/2)</f>
        <v>3.9</v>
      </c>
      <c r="LZ4" s="63">
        <f t="shared" ref="LZ4:LZ11" si="3">IF($BG4="P",AU4,(X4+AU4)/2)</f>
        <v>16.04</v>
      </c>
      <c r="MA4" s="63">
        <f t="shared" ref="MA4:MA11" si="4">IF($BG4="P",AV4,(Y4+AV4)/2)</f>
        <v>0</v>
      </c>
      <c r="MB4" s="63">
        <f t="shared" ref="MB4:MB11" si="5">IF($BG4="P",AW4,(Z4+AW4)/2)</f>
        <v>13.5</v>
      </c>
      <c r="MC4" s="63">
        <f t="shared" ref="MC4:MC11" si="6">IF($BG4="P",AX4,(AA4+AX4)/2)</f>
        <v>9.1499999999999986</v>
      </c>
      <c r="MD4" s="63">
        <f t="shared" ref="MD4:MD11" si="7">IF($BG4="P",AY4,(AB4+AY4)/2)</f>
        <v>13.8</v>
      </c>
      <c r="ME4" s="63">
        <f t="shared" ref="ME4:ME11" si="8">IF($BG4="P",AZ4,(AC4+AZ4)/2)</f>
        <v>15.29</v>
      </c>
      <c r="MF4" s="63">
        <f t="shared" ref="MF4:MF11" si="9">IF($BG4="P",BA4,(AD4+BA4)/2)</f>
        <v>0</v>
      </c>
      <c r="MG4" s="63">
        <f t="shared" ref="MG4:MG11" si="10">IF($BG4="P",BB4,(AE4+BB4)/2)</f>
        <v>9.620000000000001</v>
      </c>
      <c r="MH4" s="63">
        <f t="shared" ref="MH4:MH11" si="11">IF($BG4="P",BC4,(AF4+BC4)/2)</f>
        <v>6.25</v>
      </c>
      <c r="MI4" s="63">
        <f t="shared" ref="MI4:MI11" si="12">IF($BG4="P",BD4,(AG4+BD4)/2)</f>
        <v>9.9499999999999993</v>
      </c>
      <c r="MJ4" s="63">
        <f t="shared" ref="MJ4:MJ11" si="13">IF($BG4="P",BE4,(AH4+BE4)/2)</f>
        <v>10.54</v>
      </c>
      <c r="MK4" s="63">
        <f t="shared" ref="MK4:MK11" si="14">IF($BG4="P",BF4,(AI4+BF4)/2)</f>
        <v>0</v>
      </c>
      <c r="ML4" s="74" t="s">
        <v>81</v>
      </c>
      <c r="MM4" s="12">
        <f t="shared" ref="MM4:MM11" si="15">IF(MD4&gt;0,MD4,"")</f>
        <v>13.8</v>
      </c>
      <c r="MN4" s="12">
        <f t="shared" ref="MN4:MN11" si="16">IF(SUM(LW4:LZ4)-MA4&gt;0,SUM(LW4:LZ4)-MA4,"")</f>
        <v>46.464999999999996</v>
      </c>
      <c r="MO4" s="12">
        <f t="shared" ref="MO4:MO11" si="17">IF(SUM(MB4:ME4)-MF4&gt;0,SUM(MB4:ME4)-MF4,"")</f>
        <v>51.74</v>
      </c>
      <c r="MP4" s="12">
        <f t="shared" ref="MP4:MP11" si="18">IF(SUM(MN4:MO4)&gt;0,SUM(MN4:MO4),"")</f>
        <v>98.204999999999998</v>
      </c>
      <c r="MQ4" s="12">
        <f t="shared" ref="MQ4:MQ11" si="19">IF(MI4&gt;0,MI4,"")</f>
        <v>9.9499999999999993</v>
      </c>
      <c r="MR4" s="12">
        <f t="shared" ref="MR4:MR11" si="20">IF(SUM(MG4:MJ4)-MK4&gt;0,SUM(MG4:MJ4)-MK4,"")</f>
        <v>36.36</v>
      </c>
      <c r="MS4" s="12">
        <f t="shared" ref="MS4:MS11" si="21">IF(SUM(MP4,MR4)&gt;0,SUM(MP4,MR4),"")</f>
        <v>134.565</v>
      </c>
    </row>
    <row r="5" spans="1:357" x14ac:dyDescent="0.2">
      <c r="A5" s="6" t="str">
        <f>IF(AND(F5="P",H5="P"),SUMPRODUCT((F$4:F$13="P")*(H$4:H$13="P")*(E$4:E$13&gt;E5))+1,IF(H5="P",SUMPRODUCT((F$4:F$13="")*(H$4:H$13="P")*(E$4:E$13&gt;E5))+1+SUMPRODUCT((F$4:F$13="P")*(H$4:H$13="P")),""))</f>
        <v/>
      </c>
      <c r="B5" s="7" t="s">
        <v>77</v>
      </c>
      <c r="C5" s="8" t="s">
        <v>3</v>
      </c>
      <c r="D5" s="27">
        <v>2003</v>
      </c>
      <c r="E5" s="16">
        <f>SUM(J5:R5)</f>
        <v>245.44500000000005</v>
      </c>
      <c r="F5" s="4" t="str">
        <f>IF(OR(AND($AK5&gt;=$AL$15,NOT($AK5=""),$AJ5=""),AND($BH5&gt;=$BI$15,NOT($BH5=""),$BG5=""),AND($CH5&gt;=$CI$15,NOT($CH5="")),AND($DD5&gt;=$DE$15,NOT($DD5="")),AND($DZ5&gt;=$EA$15,NOT($DZ5="")),AND($EV5&gt;=$EW$15,NOT($EV5="")),AND($FR5&gt;=$FS$15,NOT($FR5="")),AND($GN5&gt;=$GO$15,NOT($GN5="")),AND($HJ5&gt;=$HK$15,NOT($HJ5="")),AND($IF5&gt;=$IG$15,NOT($IF5="")),AND($JB5&gt;=$JC$15,NOT($JB5="")),AND($JX5&gt;=$JY$15,NOT($JX5="")),AND($KT5&gt;=$KU$15,NOT($KT5="")),AND($LP5&gt;=$LQ$15,NOT($LP5="")),AND($AO5&gt;=$AL$15,NOT($AO5=""),$AJ5=""),AND($BL5&gt;=$BI$15,NOT($BL5=""),$BG5=""),AND($CL5&gt;=$CI$15,NOT($CL5="")),AND($DH5&gt;=$DE$15,NOT($DH5="")),AND($ED5&gt;=$EA$15,NOT($ED5="")),AND($EZ5&gt;=$EW$15,NOT($EZ5="")),AND($FV5&gt;=$FS$15,NOT($FV5="")),AND($GR5&gt;=$GO$15,NOT($GR5="")),AND($HN5&gt;=$HK$15,NOT($HN5="")),AND($IJ5&gt;=$IG$15,NOT($IJ5="")),AND($JF5&gt;=$JC$15,NOT($JF5="")),AND($KB5&gt;=$JY$15,NOT($KB5="")),AND($KX5&gt;=$KU$15,NOT($KX5="")),AND($LT5&gt;=$LQ$15,NOT($LT5=""))),"P","")</f>
        <v>P</v>
      </c>
      <c r="G5" s="4" t="str">
        <f>IF(OR(AND($AK5&gt;=$AL$16,NOT($AK5=""),$AJ5=""),AND($BH5&gt;=$BI$16,NOT($BH5=""),$BG5=""),AND($CH5&gt;=$CI$16,NOT($CH5="")),AND($DD5&gt;=$DE$16,NOT($DD5="")),AND($DZ5&gt;=$EA$16,NOT($DZ5="")),AND($EV5&gt;=$EW$16,NOT($EV5="")),AND($FR5&gt;=$FS$16,NOT($FR5="")),AND($GN5&gt;=$GO$16,NOT($GN5="")),AND($HJ5&gt;=$HK$16,NOT($HJ5="")),AND($IF5&gt;=$IG$16,NOT($IF5="")),AND($JB5&gt;=$JC$16,NOT($JB5="")),AND($JX5&gt;=$JY$16,NOT($JX5="")),AND($KT5&gt;=$KU$16,NOT($KT5="")),AND($LP5&gt;=$LQ$16,NOT($LP5="")),AND($AO5&gt;=$AL$16,NOT($AO5=""),$AJ5=""),AND($BL5&gt;=$BI$16,NOT($BL5=""),$BG5=""),AND($CL5&gt;=$CI$16,NOT($CL5="")),AND($DH5&gt;=$DE$16,NOT($DH5="")),AND($ED5&gt;=$EA$16,NOT($ED5="")),AND($EZ5&gt;=$EW$16,NOT($EZ5="")),AND($FV5&gt;=$FS$16,NOT($FV5="")),AND($GR5&gt;=$GO$16,NOT($GR5="")),AND($HN5&gt;=$HK$16,NOT($HN5="")),AND($IJ5&gt;=$IG$16,NOT($IJ5="")),AND($JF5&gt;=$JC$16,NOT($JF5="")),AND($KB5&gt;=$JY$16,NOT($KB5="")),AND($KX5&gt;=$KU$16,NOT($KX5="")),AND($LT5&gt;=$LQ$16,NOT($LT5=""))),"P","")</f>
        <v>P</v>
      </c>
      <c r="H5" s="4" t="str">
        <f>IF(OR(AND($AN5&gt;=$AL$17,NOT($AN5=""),$AJ5=""),AND($BK5&gt;=$BI$17,NOT($BK5=""),$BG5=""),AND($CK5&gt;=$CI$17,NOT($CK5="")),AND($DG5&gt;=$DE$17,NOT($DG5="")),AND($EC5&gt;=$EA$17,NOT($EC5="")),AND($EY5&gt;=$EW$17,NOT($EY5="")),AND($FU5&gt;=$FS$17,NOT($FU5="")),AND($GQ5&gt;=$GO$17,NOT($GQ5="")),AND($HM5&gt;=$HK$17,NOT($HM5="")),AND($II5&gt;=$IG$17,NOT($II5="")),AND($JE5&gt;=$JC$17,NOT($JE5="")),AND($KA5&gt;=$JY$17,NOT($KA5="")),AND($KW5&gt;=$KU$17,NOT($KW5="")),AND($LS5&gt;=$LQ$17,NOT($LS5=""))),"P","")</f>
        <v/>
      </c>
      <c r="I5" t="str">
        <f>IF(AND(H5="P",F5=""),"No DD",IF(AND(G5="P",OR(AND($AM5&gt;$AL$20,NOT($AM5=""),$AJ5=""),AND($AP5&gt;$AL$20,NOT($AP5=""),$AJ5=""),AND($BJ5&gt;$BI$20,NOT($BJ5=""),$BG5=""),AND($BM5&gt;$BI$20,NOT($BM5=""),$BG5=""),AND($CJ5&gt;$CI$20,NOT($CJ5="")),AND($CM5&gt;$CI$20,NOT($CM5="")),AND($DF5&gt;$DE$20,NOT($DF5="")),AND($DI5&gt;$DE$20,NOT($DI5="")),AND($EB5&gt;$EA$20,NOT($EB5="")),AND($EE5&gt;$EA$20,NOT($EE5="")),AND($EX5&gt;$EW$20,NOT($EX5="")),AND($FA5&gt;$EW$20,NOT($FA5="")),AND($FT5&gt;$FS$20,NOT($FT5="")),AND($FW5&gt;$FS$20,NOT($FW5="")),AND($GP5&gt;$GO$20,NOT($GP5="")),AND($GS5&gt;$GO$20,NOT($GS5="")),AND($HL5&gt;$HK$20,NOT($HL5="")),AND($HO5&gt;$HK$20,NOT($HO5="")),AND($IH5&gt;$IG$20,NOT($IH5="")),AND($IK5&gt;$IG$20,NOT($IK5="")),AND($JD5&gt;$JC$20,NOT($JD5="")),AND($JG5&gt;$JC$20,NOT($JG5="")),AND($JZ5&gt;$JY$20,NOT($JZ5="")),AND($KC5&gt;$JY$20,NOT($KC5="")),AND($KV5&gt;$KU$20,NOT($KV5="")),AND($KY5&gt;$KU$20,NOT($KY5="")),AND($LR5&gt;$LQ$20,NOT($LR5="")),AND($LU5&gt;$LQ$20,NOT($LU5="")))),"Merit",IF(AND(G5="P",OR(AND($AN5&gt;$AL$19,NOT($AN5=""),$AJ5=""),AND($BK5&gt;$BI$19,NOT($BK5=""),$BG5=""),AND($CK5&gt;$CI$19,NOT($CK5="")),AND($DG5&gt;$DE$19,NOT($DG5="")),AND($EC5&gt;$EA$19,NOT($EC5="")),AND($EY5&gt;$EW$19,NOT($EY5="")),AND($FU5&gt;$FS$19,NOT($FU5="")),AND($GQ5&gt;$GO$19,NOT($GQ5="")),AND($HM5&gt;$HK$19,NOT($HM5="")),AND($II5&gt;$IG$19,NOT($II5="")),AND($JE5&gt;$JC$19,NOT($JE5="")),AND($KA5&gt;$JY$19,NOT($KA5="")),AND($KW5&gt;$KU$19,NOT($KW5="")),AND($LS5&gt;$LQ$19,NOT($LS5="")))),"Excellence",IF(AND(G5="P",OR(AND($AN5&gt;$AL$18,NOT($AN5=""),$AJ5=""),AND($BK5&gt;$BI$18,NOT($BK5=""),$BG5=""),AND($CK5&gt;$CI$18,NOT($CK5="")),AND($DG5&gt;$DE$18,NOT($DG5="")),AND($EC5&gt;$EA$18,NOT($EC5="")),AND($EY5&gt;$EW$18,NOT($EY5="")),AND($FU5&gt;$FS$18,NOT($FU5="")),AND($GQ5&gt;$GO$18,NOT($GQ5="")),AND($HM5&gt;$HK$18,NOT($HM5="")),AND($II5&gt;$IG$18,NOT($II5="")),AND($JE5&gt;$JC$18,NOT($JE5="")),AND($KA5&gt;$JY$18,NOT($KA5="")),AND($KW5&gt;$KU$18,NOT($KW5="")),AND($LS5&gt;$LQ$18,NOT($LS5="")))),"Worlds Team",IF(AND(F5="P",OR(AND($AN5&gt;$AL$17,NOT($AN5=""),$AJ5=""),AND($BK5&gt;$BI$17,NOT($BK5=""),$BG5=""),AND($CK5&gt;$CI$17,NOT($CK5="")),AND($DG5&gt;$DE$17,NOT($DG5="")),AND($EC5&gt;$EA$17,NOT($EC5="")),AND($EY5&gt;$EW$17,NOT($EY5="")),AND($FU5&gt;$FS$17,NOT($FU5="")),AND($GQ5&gt;$GO$17,NOT($GQ5="")),AND($HM5&gt;$HK$17,NOT($HM5="")),AND($II5&gt;$IG$17,NOT($II5="")),AND($JE5&gt;$JC$17,NOT($JE5="")),AND($KA5&gt;$JY$17,NOT($KA5="")),AND($KW5&gt;$KU$17,NOT($KW5="")),AND($LS5&gt;$LQ$17,NOT($LS5="")))),"National Team","")))))</f>
        <v/>
      </c>
      <c r="J5" s="15">
        <f>IF(MAX(AN5,BK5)&gt;0,MAX(AN5,BK5),"")</f>
        <v>97.740000000000009</v>
      </c>
      <c r="K5" s="15" t="str">
        <f>IF(J5="","",IF(J5=BK5,$AR$1,IF(J5=AN5,$U$1,"")))</f>
        <v>2019 Nationals</v>
      </c>
      <c r="L5" s="15">
        <f>IF($J5=$AN5,BI5,IF($J5=$BK5,AL5,MAX(AL5,BI5)))</f>
        <v>44.4</v>
      </c>
      <c r="M5" s="15" t="str">
        <f>IF(L5="","",IF(AND(L5=BI5,$K5&lt;&gt;$AR$1),$AR$1,IF(AND(L5=AL5,$K5&lt;&gt;$U$1),$U$1,"")))</f>
        <v>2019 Elite Canada</v>
      </c>
      <c r="N5" s="15">
        <f>IF($J5=$AN5,BJ5,IF($J5=$BK5,AM5,MAX(AM5,BJ5)))</f>
        <v>45.569999999999993</v>
      </c>
      <c r="O5" s="15" t="str">
        <f>IF(N5="","",IF(AND(N5=BJ5,$K5&lt;&gt;$AR$1),$AR$1,IF(AND(N5=AM5,$K5&lt;&gt;$U$1),$U$1,"")))</f>
        <v>2019 Elite Canada</v>
      </c>
      <c r="P5" s="15">
        <f>IF(MAX(AP5,BM5)&gt;0,MAX(AP5,BM5),"")</f>
        <v>52.825000000000003</v>
      </c>
      <c r="Q5" s="15" t="str">
        <f>IF(P5="","",IF(P5=BM5,$AR$1,IF(P5=AP5,$U$1,"")))</f>
        <v>2019 Nationals</v>
      </c>
      <c r="R5" s="15">
        <f>IF(MAX(BO5,BP5,BQ5,BR5)&gt;0,MAX(BO5,BP5,BQ5,BR5),"")</f>
        <v>4.9100000000000108</v>
      </c>
      <c r="S5" s="25" t="str">
        <f>IF(R5="","",IF(R5=BO5,"(Vol 1)",IF(R5=BP5,"(Vol 2)",IF(R5=BQ5,"(Prelim)",IF(R5=BR5,"(Final)")))))</f>
        <v>(Vol 2)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WAGC (Dec 7)</v>
      </c>
      <c r="U5" s="63">
        <v>15.1</v>
      </c>
      <c r="V5" s="63">
        <v>9.1</v>
      </c>
      <c r="W5" s="63">
        <v>4.8</v>
      </c>
      <c r="X5" s="63">
        <v>15.4</v>
      </c>
      <c r="Y5" s="63">
        <v>0</v>
      </c>
      <c r="Z5" s="63">
        <v>9.6</v>
      </c>
      <c r="AA5" s="63">
        <v>8.6999999999999993</v>
      </c>
      <c r="AB5" s="63">
        <v>12.7</v>
      </c>
      <c r="AC5" s="63">
        <v>14.57</v>
      </c>
      <c r="AD5" s="63">
        <v>0</v>
      </c>
      <c r="AE5" s="63">
        <v>1.4</v>
      </c>
      <c r="AF5" s="63">
        <v>0.9</v>
      </c>
      <c r="AG5" s="63">
        <v>1.7</v>
      </c>
      <c r="AH5" s="63">
        <v>1.63</v>
      </c>
      <c r="AI5" s="63">
        <v>0</v>
      </c>
      <c r="AJ5" s="74"/>
      <c r="AK5" s="12">
        <f>IF(AB5&gt;0,AB5,"")</f>
        <v>12.7</v>
      </c>
      <c r="AL5" s="12">
        <f>IF(SUM(U5:X5)-Y5&gt;0,SUM(U5:X5)-Y5,"")</f>
        <v>44.4</v>
      </c>
      <c r="AM5" s="12">
        <f>IF(SUM(Z5:AC5)-AD5&gt;0,SUM(Z5:AC5)-AD5,"")</f>
        <v>45.569999999999993</v>
      </c>
      <c r="AN5" s="12">
        <f>IF(SUM(AL5:AM5)&gt;0,SUM(AL5:AM5),"")</f>
        <v>89.97</v>
      </c>
      <c r="AO5" s="12">
        <f>IF(AG5&gt;0,AG5,"")</f>
        <v>1.7</v>
      </c>
      <c r="AP5" s="12">
        <f>IF(SUM(AE5:AH5)-AI5&gt;0,SUM(AE5:AH5)-AI5,"")</f>
        <v>5.63</v>
      </c>
      <c r="AQ5" s="12">
        <f>IF(SUM(AN5,AP5)&gt;0,SUM(AN5,AP5),"")</f>
        <v>95.6</v>
      </c>
      <c r="AR5" s="69">
        <v>17.100000000000001</v>
      </c>
      <c r="AS5" s="69">
        <v>9.5</v>
      </c>
      <c r="AT5" s="69">
        <v>3.9</v>
      </c>
      <c r="AU5" s="69">
        <v>15.89</v>
      </c>
      <c r="AV5" s="69">
        <v>0</v>
      </c>
      <c r="AW5" s="69">
        <v>13.7</v>
      </c>
      <c r="AX5" s="69">
        <v>9.3000000000000007</v>
      </c>
      <c r="AY5" s="69">
        <v>13.5</v>
      </c>
      <c r="AZ5" s="69">
        <v>14.85</v>
      </c>
      <c r="BA5" s="69">
        <v>0</v>
      </c>
      <c r="BB5" s="69">
        <v>14.36</v>
      </c>
      <c r="BC5" s="69">
        <v>9.5</v>
      </c>
      <c r="BD5" s="69">
        <v>13.7</v>
      </c>
      <c r="BE5" s="69">
        <v>15.265000000000001</v>
      </c>
      <c r="BF5" s="69">
        <v>0</v>
      </c>
      <c r="BG5" s="75"/>
      <c r="BH5" s="15">
        <f>IF(AY5&gt;0,AY5,"")</f>
        <v>13.5</v>
      </c>
      <c r="BI5" s="15">
        <f>IF(SUM(AR5:AU5)-AV5&gt;0,SUM(AR5:AU5)-AV5,"")</f>
        <v>46.39</v>
      </c>
      <c r="BJ5" s="15">
        <f>IF(SUM(AW5:AZ5)-BA5&gt;0,SUM(AW5:AZ5)-BA5,"")</f>
        <v>51.35</v>
      </c>
      <c r="BK5" s="15">
        <f>IF(SUM(BI5:BJ5)&gt;0,SUM(BI5:BJ5),"")</f>
        <v>97.740000000000009</v>
      </c>
      <c r="BL5" s="15">
        <f>IF(BD5&gt;0,BD5,"")</f>
        <v>13.7</v>
      </c>
      <c r="BM5" s="15">
        <f>IF(SUM(BB5:BE5)-BF5&gt;0,SUM(BB5:BE5)-BF5,"")</f>
        <v>52.825000000000003</v>
      </c>
      <c r="BN5" s="15">
        <f>IF(SUM(BK5,BM5)&gt;0,SUM(BK5,BM5),"")</f>
        <v>150.565</v>
      </c>
      <c r="BO5" s="24" t="str">
        <f>IF(MAX(CI5,DE5,EA5,EW5,FS5,GO5,HK5,IG5,JC5,JY5,KU5,LQ5)-IF(L5="",0,L5)&gt;0.001,MAX(CI5,DE5,EA5,EW5,FS5,GO5,HK5,IG5,JC5,JY5,KU5,LQ5)-IF(L5="",0,L5),"")</f>
        <v/>
      </c>
      <c r="BP5" s="24">
        <f>IF(MAX(CJ5,DF5,EB5,EX5,FT5,GP5,HL5,IH5,JD5,JZ5,KV5,LR5)-IF(N5="",0,N5)&gt;0.001,MAX(CJ5,DF5,EB5,EX5,FT5,GP5,HL5,IH5,JD5,JZ5,KV5,LR5)-IF(N5="",0,N5),"")</f>
        <v>4.9100000000000108</v>
      </c>
      <c r="BQ5" s="24" t="str">
        <f>IF(MAX(CK5,DG5,EC5,EY5,FU5,GQ5,HM5,II5,JE5,KA5,KW5,LS5)-IF(J5="",0,J5)&gt;0.001,MAX(CK5,DG5,EC5,EY5,FU5,GQ5,HM5,II5,JE5,KA5,KW5,LS5)-IF(J5="",0,J5),"")</f>
        <v/>
      </c>
      <c r="BR5" s="24" t="str">
        <f>IF(MAX(CM5,DI5,EE5,FA5,FW5,GS5,HO5,IK5,JG5,KC5,KY5,LU5)-IF(P5="",0,P5)&gt;0.001,MAX(CM5,DI5,EE5,FA5,FW5,GS5,HO5,IK5,JG5,KC5,KY5,LU5)-IF(P5="",0,P5),"")</f>
        <v/>
      </c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37">
        <v>15.2</v>
      </c>
      <c r="CP5" s="37">
        <v>8.6999999999999993</v>
      </c>
      <c r="CQ5" s="37">
        <v>0</v>
      </c>
      <c r="CR5" s="37">
        <v>15.77</v>
      </c>
      <c r="CS5" s="37">
        <v>0</v>
      </c>
      <c r="CT5" s="37">
        <v>13.5</v>
      </c>
      <c r="CU5" s="37">
        <v>8.6999999999999993</v>
      </c>
      <c r="CV5" s="37">
        <v>13.5</v>
      </c>
      <c r="CW5" s="37">
        <v>14.78</v>
      </c>
      <c r="CX5" s="37">
        <v>0</v>
      </c>
      <c r="CY5" s="37"/>
      <c r="CZ5" s="37"/>
      <c r="DA5" s="37"/>
      <c r="DB5" s="37"/>
      <c r="DC5" s="37"/>
      <c r="DD5" s="15">
        <f>IF(CV5&gt;0,CV5,"")</f>
        <v>13.5</v>
      </c>
      <c r="DE5" s="15">
        <f>IF(SUM(CO5:CR5)-CS5&gt;0,SUM(CO5:CR5)-CS5,"")</f>
        <v>39.67</v>
      </c>
      <c r="DF5" s="15">
        <f>IF(SUM(CT5:CW5)-CX5&gt;0,SUM(CT5:CW5)-CX5,"")</f>
        <v>50.480000000000004</v>
      </c>
      <c r="DG5" s="15">
        <f>IF(SUM(DE5:DF5)&gt;0,SUM(DE5:DF5),"")</f>
        <v>90.15</v>
      </c>
      <c r="DH5" s="15" t="str">
        <f>IF(DA5&gt;0,DA5,"")</f>
        <v/>
      </c>
      <c r="DI5" s="15" t="str">
        <f>IF(SUM(CY5:DB5)-DC5&gt;0,SUM(CY5:DB5)-DC5,"")</f>
        <v/>
      </c>
      <c r="DJ5" s="15">
        <f>IF(SUM(DG5,DI5)&gt;0,SUM(DG5,DI5),"")</f>
        <v>90.15</v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63">
        <f t="shared" si="0"/>
        <v>16.100000000000001</v>
      </c>
      <c r="LX5" s="63">
        <f t="shared" si="1"/>
        <v>9.3000000000000007</v>
      </c>
      <c r="LY5" s="63">
        <f t="shared" si="2"/>
        <v>4.3499999999999996</v>
      </c>
      <c r="LZ5" s="63">
        <f t="shared" si="3"/>
        <v>15.645</v>
      </c>
      <c r="MA5" s="63">
        <f t="shared" si="4"/>
        <v>0</v>
      </c>
      <c r="MB5" s="63">
        <f t="shared" si="5"/>
        <v>11.649999999999999</v>
      </c>
      <c r="MC5" s="63">
        <f t="shared" si="6"/>
        <v>9</v>
      </c>
      <c r="MD5" s="63">
        <f t="shared" si="7"/>
        <v>13.1</v>
      </c>
      <c r="ME5" s="63">
        <f t="shared" si="8"/>
        <v>14.71</v>
      </c>
      <c r="MF5" s="63">
        <f t="shared" si="9"/>
        <v>0</v>
      </c>
      <c r="MG5" s="63">
        <f t="shared" si="10"/>
        <v>7.88</v>
      </c>
      <c r="MH5" s="63">
        <f t="shared" si="11"/>
        <v>5.2</v>
      </c>
      <c r="MI5" s="63">
        <f t="shared" si="12"/>
        <v>7.6999999999999993</v>
      </c>
      <c r="MJ5" s="63">
        <f t="shared" si="13"/>
        <v>8.4474999999999998</v>
      </c>
      <c r="MK5" s="63">
        <f t="shared" si="14"/>
        <v>0</v>
      </c>
      <c r="ML5" s="74" t="s">
        <v>81</v>
      </c>
      <c r="MM5" s="12">
        <f t="shared" si="15"/>
        <v>13.1</v>
      </c>
      <c r="MN5" s="12">
        <f t="shared" si="16"/>
        <v>45.394999999999996</v>
      </c>
      <c r="MO5" s="12">
        <f t="shared" si="17"/>
        <v>48.46</v>
      </c>
      <c r="MP5" s="12">
        <f t="shared" si="18"/>
        <v>93.85499999999999</v>
      </c>
      <c r="MQ5" s="12">
        <f t="shared" si="19"/>
        <v>7.6999999999999993</v>
      </c>
      <c r="MR5" s="12">
        <f t="shared" si="20"/>
        <v>29.227499999999999</v>
      </c>
      <c r="MS5" s="12">
        <f t="shared" si="21"/>
        <v>123.08249999999998</v>
      </c>
    </row>
    <row r="6" spans="1:357" x14ac:dyDescent="0.2">
      <c r="A6" s="6">
        <f>IF(AND(F6="P",H6="P"),SUMPRODUCT((F$4:F$13="P")*(H$4:H$13="P")*(E$4:E$13&gt;E6))+1,IF(H6="P",SUMPRODUCT((F$4:F$13="")*(H$4:H$13="P")*(E$4:E$13&gt;E6))+1+SUMPRODUCT((F$4:F$13="P")*(H$4:H$13="P")),""))</f>
        <v>2</v>
      </c>
      <c r="B6" s="7" t="s">
        <v>69</v>
      </c>
      <c r="C6" s="8" t="s">
        <v>5</v>
      </c>
      <c r="D6" s="8">
        <v>2003</v>
      </c>
      <c r="E6" s="16">
        <f>SUM(J6:R6)</f>
        <v>230.745</v>
      </c>
      <c r="F6" s="4" t="str">
        <f>IF(OR(AND($AK6&gt;=$AL$15,NOT($AK6=""),$AJ6=""),AND($BH6&gt;=$BI$15,NOT($BH6=""),$BG6=""),AND($CH6&gt;=$CI$15,NOT($CH6="")),AND($DD6&gt;=$DE$15,NOT($DD6="")),AND($DZ6&gt;=$EA$15,NOT($DZ6="")),AND($EV6&gt;=$EW$15,NOT($EV6="")),AND($FR6&gt;=$FS$15,NOT($FR6="")),AND($GN6&gt;=$GO$15,NOT($GN6="")),AND($HJ6&gt;=$HK$15,NOT($HJ6="")),AND($IF6&gt;=$IG$15,NOT($IF6="")),AND($JB6&gt;=$JC$15,NOT($JB6="")),AND($JX6&gt;=$JY$15,NOT($JX6="")),AND($KT6&gt;=$KU$15,NOT($KT6="")),AND($LP6&gt;=$LQ$15,NOT($LP6="")),AND($AO6&gt;=$AL$15,NOT($AO6=""),$AJ6=""),AND($BL6&gt;=$BI$15,NOT($BL6=""),$BG6=""),AND($CL6&gt;=$CI$15,NOT($CL6="")),AND($DH6&gt;=$DE$15,NOT($DH6="")),AND($ED6&gt;=$EA$15,NOT($ED6="")),AND($EZ6&gt;=$EW$15,NOT($EZ6="")),AND($FV6&gt;=$FS$15,NOT($FV6="")),AND($GR6&gt;=$GO$15,NOT($GR6="")),AND($HN6&gt;=$HK$15,NOT($HN6="")),AND($IJ6&gt;=$IG$15,NOT($IJ6="")),AND($JF6&gt;=$JC$15,NOT($JF6="")),AND($KB6&gt;=$JY$15,NOT($KB6="")),AND($KX6&gt;=$KU$15,NOT($KX6="")),AND($LT6&gt;=$LQ$15,NOT($LT6=""))),"P","")</f>
        <v>P</v>
      </c>
      <c r="G6" s="4" t="str">
        <f>IF(OR(AND($AK6&gt;=$AL$16,NOT($AK6=""),$AJ6=""),AND($BH6&gt;=$BI$16,NOT($BH6=""),$BG6=""),AND($CH6&gt;=$CI$16,NOT($CH6="")),AND($DD6&gt;=$DE$16,NOT($DD6="")),AND($DZ6&gt;=$EA$16,NOT($DZ6="")),AND($EV6&gt;=$EW$16,NOT($EV6="")),AND($FR6&gt;=$FS$16,NOT($FR6="")),AND($GN6&gt;=$GO$16,NOT($GN6="")),AND($HJ6&gt;=$HK$16,NOT($HJ6="")),AND($IF6&gt;=$IG$16,NOT($IF6="")),AND($JB6&gt;=$JC$16,NOT($JB6="")),AND($JX6&gt;=$JY$16,NOT($JX6="")),AND($KT6&gt;=$KU$16,NOT($KT6="")),AND($LP6&gt;=$LQ$16,NOT($LP6="")),AND($AO6&gt;=$AL$16,NOT($AO6=""),$AJ6=""),AND($BL6&gt;=$BI$16,NOT($BL6=""),$BG6=""),AND($CL6&gt;=$CI$16,NOT($CL6="")),AND($DH6&gt;=$DE$16,NOT($DH6="")),AND($ED6&gt;=$EA$16,NOT($ED6="")),AND($EZ6&gt;=$EW$16,NOT($EZ6="")),AND($FV6&gt;=$FS$16,NOT($FV6="")),AND($GR6&gt;=$GO$16,NOT($GR6="")),AND($HN6&gt;=$HK$16,NOT($HN6="")),AND($IJ6&gt;=$IG$16,NOT($IJ6="")),AND($JF6&gt;=$JC$16,NOT($JF6="")),AND($KB6&gt;=$JY$16,NOT($KB6="")),AND($KX6&gt;=$KU$16,NOT($KX6="")),AND($LT6&gt;=$LQ$16,NOT($LT6=""))),"P","")</f>
        <v>P</v>
      </c>
      <c r="H6" s="4" t="str">
        <f>IF(OR(AND($AN6&gt;=$AL$17,NOT($AN6=""),$AJ6=""),AND($BK6&gt;=$BI$17,NOT($BK6=""),$BG6=""),AND($CK6&gt;=$CI$17,NOT($CK6="")),AND($DG6&gt;=$DE$17,NOT($DG6="")),AND($EC6&gt;=$EA$17,NOT($EC6="")),AND($EY6&gt;=$EW$17,NOT($EY6="")),AND($FU6&gt;=$FS$17,NOT($FU6="")),AND($GQ6&gt;=$GO$17,NOT($GQ6="")),AND($HM6&gt;=$HK$17,NOT($HM6="")),AND($II6&gt;=$IG$17,NOT($II6="")),AND($JE6&gt;=$JC$17,NOT($JE6="")),AND($KA6&gt;=$JY$17,NOT($KA6="")),AND($KW6&gt;=$KU$17,NOT($KW6="")),AND($LS6&gt;=$LQ$17,NOT($LS6=""))),"P","")</f>
        <v>P</v>
      </c>
      <c r="I6" t="str">
        <f>IF(AND(H6="P",F6=""),"No DD",IF(AND(G6="P",OR(AND($AM6&gt;$AL$20,NOT($AM6=""),$AJ6=""),AND($AP6&gt;$AL$20,NOT($AP6=""),$AJ6=""),AND($BJ6&gt;$BI$20,NOT($BJ6=""),$BG6=""),AND($BM6&gt;$BI$20,NOT($BM6=""),$BG6=""),AND($CJ6&gt;$CI$20,NOT($CJ6="")),AND($CM6&gt;$CI$20,NOT($CM6="")),AND($DF6&gt;$DE$20,NOT($DF6="")),AND($DI6&gt;$DE$20,NOT($DI6="")),AND($EB6&gt;$EA$20,NOT($EB6="")),AND($EE6&gt;$EA$20,NOT($EE6="")),AND($EX6&gt;$EW$20,NOT($EX6="")),AND($FA6&gt;$EW$20,NOT($FA6="")),AND($FT6&gt;$FS$20,NOT($FT6="")),AND($FW6&gt;$FS$20,NOT($FW6="")),AND($GP6&gt;$GO$20,NOT($GP6="")),AND($GS6&gt;$GO$20,NOT($GS6="")),AND($HL6&gt;$HK$20,NOT($HL6="")),AND($HO6&gt;$HK$20,NOT($HO6="")),AND($IH6&gt;$IG$20,NOT($IH6="")),AND($IK6&gt;$IG$20,NOT($IK6="")),AND($JD6&gt;$JC$20,NOT($JD6="")),AND($JG6&gt;$JC$20,NOT($JG6="")),AND($JZ6&gt;$JY$20,NOT($JZ6="")),AND($KC6&gt;$JY$20,NOT($KC6="")),AND($KV6&gt;$KU$20,NOT($KV6="")),AND($KY6&gt;$KU$20,NOT($KY6="")),AND($LR6&gt;$LQ$20,NOT($LR6="")),AND($LU6&gt;$LQ$20,NOT($LU6="")))),"Merit",IF(AND(G6="P",OR(AND($AN6&gt;$AL$19,NOT($AN6=""),$AJ6=""),AND($BK6&gt;$BI$19,NOT($BK6=""),$BG6=""),AND($CK6&gt;$CI$19,NOT($CK6="")),AND($DG6&gt;$DE$19,NOT($DG6="")),AND($EC6&gt;$EA$19,NOT($EC6="")),AND($EY6&gt;$EW$19,NOT($EY6="")),AND($FU6&gt;$FS$19,NOT($FU6="")),AND($GQ6&gt;$GO$19,NOT($GQ6="")),AND($HM6&gt;$HK$19,NOT($HM6="")),AND($II6&gt;$IG$19,NOT($II6="")),AND($JE6&gt;$JC$19,NOT($JE6="")),AND($KA6&gt;$JY$19,NOT($KA6="")),AND($KW6&gt;$KU$19,NOT($KW6="")),AND($LS6&gt;$LQ$19,NOT($LS6="")))),"Excellence",IF(AND(G6="P",OR(AND($AN6&gt;$AL$18,NOT($AN6=""),$AJ6=""),AND($BK6&gt;$BI$18,NOT($BK6=""),$BG6=""),AND($CK6&gt;$CI$18,NOT($CK6="")),AND($DG6&gt;$DE$18,NOT($DG6="")),AND($EC6&gt;$EA$18,NOT($EC6="")),AND($EY6&gt;$EW$18,NOT($EY6="")),AND($FU6&gt;$FS$18,NOT($FU6="")),AND($GQ6&gt;$GO$18,NOT($GQ6="")),AND($HM6&gt;$HK$18,NOT($HM6="")),AND($II6&gt;$IG$18,NOT($II6="")),AND($JE6&gt;$JC$18,NOT($JE6="")),AND($KA6&gt;$JY$18,NOT($KA6="")),AND($KW6&gt;$KU$18,NOT($KW6="")),AND($LS6&gt;$LQ$18,NOT($LS6="")))),"Worlds Team",IF(AND(F6="P",OR(AND($AN6&gt;$AL$17,NOT($AN6=""),$AJ6=""),AND($BK6&gt;$BI$17,NOT($BK6=""),$BG6=""),AND($CK6&gt;$CI$17,NOT($CK6="")),AND($DG6&gt;$DE$17,NOT($DG6="")),AND($EC6&gt;$EA$17,NOT($EC6="")),AND($EY6&gt;$EW$17,NOT($EY6="")),AND($FU6&gt;$FS$17,NOT($FU6="")),AND($GQ6&gt;$GO$17,NOT($GQ6="")),AND($HM6&gt;$HK$17,NOT($HM6="")),AND($II6&gt;$IG$17,NOT($II6="")),AND($JE6&gt;$JC$17,NOT($JE6="")),AND($KA6&gt;$JY$17,NOT($KA6="")),AND($KW6&gt;$KU$17,NOT($KW6="")),AND($LS6&gt;$LQ$17,NOT($LS6="")))),"National Team","")))))</f>
        <v>National Team</v>
      </c>
      <c r="J6" s="15">
        <f>IF(MAX(AN6,BK6)&gt;0,MAX(AN6,BK6),"")</f>
        <v>99.2</v>
      </c>
      <c r="K6" s="15" t="str">
        <f>IF(J6="","",IF(J6=BK6,$AR$1,IF(J6=AN6,$U$1,"")))</f>
        <v>2019 Elite Canada</v>
      </c>
      <c r="L6" s="15">
        <f>IF($J6=$AN6,BI6,IF($J6=$BK6,AL6,MAX(AL6,BI6)))</f>
        <v>45.704999999999998</v>
      </c>
      <c r="M6" s="15" t="str">
        <f>IF(L6="","",IF(AND(L6=BI6,$K6&lt;&gt;$AR$1),$AR$1,IF(AND(L6=AL6,$K6&lt;&gt;$U$1),$U$1,"")))</f>
        <v>2019 Nationals</v>
      </c>
      <c r="N6" s="15">
        <f>IF($J6=$AN6,BJ6,IF($J6=$BK6,AM6,MAX(AM6,BJ6)))</f>
        <v>32.925000000000004</v>
      </c>
      <c r="O6" s="15" t="str">
        <f>IF(N6="","",IF(AND(N6=BJ6,$K6&lt;&gt;$AR$1),$AR$1,IF(AND(N6=AM6,$K6&lt;&gt;$U$1),$U$1,"")))</f>
        <v>2019 Nationals</v>
      </c>
      <c r="P6" s="15">
        <f>IF(MAX(AP6,BM6)&gt;0,MAX(AP6,BM6),"")</f>
        <v>52.915000000000006</v>
      </c>
      <c r="Q6" s="15" t="str">
        <f>IF(P6="","",IF(P6=BM6,$AR$1,IF(P6=AP6,$U$1,"")))</f>
        <v>2019 Elite Canada</v>
      </c>
      <c r="R6" s="15" t="str">
        <f>IF(MAX(BO6,BP6,BQ6,BR6)&gt;0,MAX(BO6,BP6,BQ6,BR6),"")</f>
        <v/>
      </c>
      <c r="S6" s="25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63">
        <v>16.600000000000001</v>
      </c>
      <c r="V6" s="63">
        <v>9.3000000000000007</v>
      </c>
      <c r="W6" s="63">
        <v>4.5999999999999996</v>
      </c>
      <c r="X6" s="63">
        <v>15.82</v>
      </c>
      <c r="Y6" s="63">
        <v>0</v>
      </c>
      <c r="Z6" s="63">
        <v>14</v>
      </c>
      <c r="AA6" s="63">
        <v>9.1999999999999993</v>
      </c>
      <c r="AB6" s="63">
        <v>14.3</v>
      </c>
      <c r="AC6" s="63">
        <v>15.38</v>
      </c>
      <c r="AD6" s="63">
        <v>0</v>
      </c>
      <c r="AE6" s="63">
        <v>15.1</v>
      </c>
      <c r="AF6" s="63">
        <v>9.1</v>
      </c>
      <c r="AG6" s="63">
        <v>13.5</v>
      </c>
      <c r="AH6" s="63">
        <v>15.215</v>
      </c>
      <c r="AI6" s="63">
        <v>0</v>
      </c>
      <c r="AJ6" s="74"/>
      <c r="AK6" s="12">
        <f>IF(AB6&gt;0,AB6,"")</f>
        <v>14.3</v>
      </c>
      <c r="AL6" s="12">
        <f>IF(SUM(U6:X6)-Y6&gt;0,SUM(U6:X6)-Y6,"")</f>
        <v>46.32</v>
      </c>
      <c r="AM6" s="12">
        <f>IF(SUM(Z6:AC6)-AD6&gt;0,SUM(Z6:AC6)-AD6,"")</f>
        <v>52.88</v>
      </c>
      <c r="AN6" s="12">
        <f>IF(SUM(AL6:AM6)&gt;0,SUM(AL6:AM6),"")</f>
        <v>99.2</v>
      </c>
      <c r="AO6" s="12">
        <f>IF(AG6&gt;0,AG6,"")</f>
        <v>13.5</v>
      </c>
      <c r="AP6" s="12">
        <f>IF(SUM(AE6:AH6)-AI6&gt;0,SUM(AE6:AH6)-AI6,"")</f>
        <v>52.915000000000006</v>
      </c>
      <c r="AQ6" s="12">
        <f>IF(SUM(AN6,AP6)&gt;0,SUM(AN6,AP6),"")</f>
        <v>152.11500000000001</v>
      </c>
      <c r="AR6" s="69">
        <v>16.2</v>
      </c>
      <c r="AS6" s="69">
        <v>8.8000000000000007</v>
      </c>
      <c r="AT6" s="69">
        <v>4.8</v>
      </c>
      <c r="AU6" s="69">
        <v>15.904999999999999</v>
      </c>
      <c r="AV6" s="69">
        <v>0</v>
      </c>
      <c r="AW6" s="69">
        <v>9.3000000000000007</v>
      </c>
      <c r="AX6" s="69">
        <v>5.5</v>
      </c>
      <c r="AY6" s="69">
        <v>8.9</v>
      </c>
      <c r="AZ6" s="69">
        <v>9.2249999999999996</v>
      </c>
      <c r="BA6" s="69">
        <v>0</v>
      </c>
      <c r="BB6" s="69"/>
      <c r="BC6" s="69"/>
      <c r="BD6" s="69"/>
      <c r="BE6" s="69"/>
      <c r="BF6" s="69"/>
      <c r="BG6" s="75"/>
      <c r="BH6" s="15">
        <f>IF(AY6&gt;0,AY6,"")</f>
        <v>8.9</v>
      </c>
      <c r="BI6" s="15">
        <f>IF(SUM(AR6:AU6)-AV6&gt;0,SUM(AR6:AU6)-AV6,"")</f>
        <v>45.704999999999998</v>
      </c>
      <c r="BJ6" s="15">
        <f>IF(SUM(AW6:AZ6)-BA6&gt;0,SUM(AW6:AZ6)-BA6,"")</f>
        <v>32.925000000000004</v>
      </c>
      <c r="BK6" s="15">
        <f>IF(SUM(BI6:BJ6)&gt;0,SUM(BI6:BJ6),"")</f>
        <v>78.63</v>
      </c>
      <c r="BL6" s="15" t="str">
        <f>IF(BD6&gt;0,BD6,"")</f>
        <v/>
      </c>
      <c r="BM6" s="15" t="str">
        <f>IF(SUM(BB6:BE6)-BF6&gt;0,SUM(BB6:BE6)-BF6,"")</f>
        <v/>
      </c>
      <c r="BN6" s="15">
        <f>IF(SUM(BK6,BM6)&gt;0,SUM(BK6,BM6),"")</f>
        <v>78.63</v>
      </c>
      <c r="BO6" s="24" t="str">
        <f>IF(MAX(CI6,DE6,EA6,EW6,FS6,GO6,HK6,IG6,JC6,JY6,KU6,LQ6)-IF(L6="",0,L6)&gt;0.001,MAX(CI6,DE6,EA6,EW6,FS6,GO6,HK6,IG6,JC6,JY6,KU6,LQ6)-IF(L6="",0,L6),"")</f>
        <v/>
      </c>
      <c r="BP6" s="24" t="str">
        <f>IF(MAX(CJ6,DF6,EB6,EX6,FT6,GP6,HL6,IH6,JD6,JZ6,KV6,LR6)-IF(N6="",0,N6)&gt;0.001,MAX(CJ6,DF6,EB6,EX6,FT6,GP6,HL6,IH6,JD6,JZ6,KV6,LR6)-IF(N6="",0,N6),"")</f>
        <v/>
      </c>
      <c r="BQ6" s="24" t="str">
        <f>IF(MAX(CK6,DG6,EC6,EY6,FU6,GQ6,HM6,II6,JE6,KA6,KW6,LS6)-IF(J6="",0,J6)&gt;0.001,MAX(CK6,DG6,EC6,EY6,FU6,GQ6,HM6,II6,JE6,KA6,KW6,LS6)-IF(J6="",0,J6),"")</f>
        <v/>
      </c>
      <c r="BR6" s="24" t="str">
        <f>IF(MAX(CM6,DI6,EE6,FA6,FW6,GS6,HO6,IK6,JG6,KC6,KY6,LU6)-IF(P6="",0,P6)&gt;0.001,MAX(CM6,DI6,EE6,FA6,FW6,GS6,HO6,IK6,JG6,KC6,KY6,LU6)-IF(P6="",0,P6),"")</f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37">
        <v>15.8</v>
      </c>
      <c r="CP6" s="37">
        <v>9</v>
      </c>
      <c r="CQ6" s="37">
        <v>0</v>
      </c>
      <c r="CR6" s="37">
        <v>15.685</v>
      </c>
      <c r="CS6" s="37">
        <v>0</v>
      </c>
      <c r="CT6" s="37">
        <v>3</v>
      </c>
      <c r="CU6" s="37">
        <v>1.7</v>
      </c>
      <c r="CV6" s="37">
        <v>3.1</v>
      </c>
      <c r="CW6" s="37">
        <v>3.14</v>
      </c>
      <c r="CX6" s="37">
        <v>0</v>
      </c>
      <c r="CY6" s="37"/>
      <c r="CZ6" s="37"/>
      <c r="DA6" s="37"/>
      <c r="DB6" s="37"/>
      <c r="DC6" s="37"/>
      <c r="DD6" s="15">
        <f>IF(CV6&gt;0,CV6,"")</f>
        <v>3.1</v>
      </c>
      <c r="DE6" s="15">
        <f>IF(SUM(CO6:CR6)-CS6&gt;0,SUM(CO6:CR6)-CS6,"")</f>
        <v>40.484999999999999</v>
      </c>
      <c r="DF6" s="15">
        <f>IF(SUM(CT6:CW6)-CX6&gt;0,SUM(CT6:CW6)-CX6,"")</f>
        <v>10.940000000000001</v>
      </c>
      <c r="DG6" s="15">
        <f>IF(SUM(DE6:DF6)&gt;0,SUM(DE6:DF6),"")</f>
        <v>51.424999999999997</v>
      </c>
      <c r="DH6" s="15" t="str">
        <f>IF(DA6&gt;0,DA6,"")</f>
        <v/>
      </c>
      <c r="DI6" s="15" t="str">
        <f>IF(SUM(CY6:DB6)-DC6&gt;0,SUM(CY6:DB6)-DC6,"")</f>
        <v/>
      </c>
      <c r="DJ6" s="15">
        <f>IF(SUM(DG6,DI6)&gt;0,SUM(DG6,DI6),"")</f>
        <v>51.424999999999997</v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63">
        <f t="shared" si="0"/>
        <v>16.399999999999999</v>
      </c>
      <c r="LX6" s="63">
        <f t="shared" si="1"/>
        <v>9.0500000000000007</v>
      </c>
      <c r="LY6" s="63">
        <f t="shared" si="2"/>
        <v>4.6999999999999993</v>
      </c>
      <c r="LZ6" s="63">
        <f t="shared" si="3"/>
        <v>15.862500000000001</v>
      </c>
      <c r="MA6" s="63">
        <f t="shared" si="4"/>
        <v>0</v>
      </c>
      <c r="MB6" s="63">
        <f t="shared" si="5"/>
        <v>11.65</v>
      </c>
      <c r="MC6" s="63">
        <f t="shared" si="6"/>
        <v>7.35</v>
      </c>
      <c r="MD6" s="63">
        <f t="shared" si="7"/>
        <v>11.600000000000001</v>
      </c>
      <c r="ME6" s="63">
        <f t="shared" si="8"/>
        <v>12.3025</v>
      </c>
      <c r="MF6" s="63">
        <f t="shared" si="9"/>
        <v>0</v>
      </c>
      <c r="MG6" s="63">
        <f t="shared" si="10"/>
        <v>7.55</v>
      </c>
      <c r="MH6" s="63">
        <f t="shared" si="11"/>
        <v>4.55</v>
      </c>
      <c r="MI6" s="63">
        <f t="shared" si="12"/>
        <v>6.75</v>
      </c>
      <c r="MJ6" s="63">
        <f t="shared" si="13"/>
        <v>7.6074999999999999</v>
      </c>
      <c r="MK6" s="63">
        <f t="shared" si="14"/>
        <v>0</v>
      </c>
      <c r="ML6" s="74" t="s">
        <v>81</v>
      </c>
      <c r="MM6" s="12">
        <f t="shared" si="15"/>
        <v>11.600000000000001</v>
      </c>
      <c r="MN6" s="12">
        <f t="shared" si="16"/>
        <v>46.012500000000003</v>
      </c>
      <c r="MO6" s="12">
        <f t="shared" si="17"/>
        <v>42.902500000000003</v>
      </c>
      <c r="MP6" s="12">
        <f t="shared" si="18"/>
        <v>88.915000000000006</v>
      </c>
      <c r="MQ6" s="12">
        <f t="shared" si="19"/>
        <v>6.75</v>
      </c>
      <c r="MR6" s="12">
        <f t="shared" si="20"/>
        <v>26.457500000000003</v>
      </c>
      <c r="MS6" s="12">
        <f t="shared" si="21"/>
        <v>115.3725</v>
      </c>
    </row>
    <row r="7" spans="1:357" x14ac:dyDescent="0.2">
      <c r="A7" s="6" t="str">
        <f>IF(AND(F7="P",H7="P"),SUMPRODUCT((F$4:F$13="P")*(H$4:H$13="P")*(E$4:E$13&gt;E7))+1,IF(H7="P",SUMPRODUCT((F$4:F$13="")*(H$4:H$13="P")*(E$4:E$13&gt;E7))+1+SUMPRODUCT((F$4:F$13="P")*(H$4:H$13="P")),""))</f>
        <v/>
      </c>
      <c r="B7" s="7" t="s">
        <v>72</v>
      </c>
      <c r="C7" s="8" t="s">
        <v>3</v>
      </c>
      <c r="D7" s="27">
        <v>2002</v>
      </c>
      <c r="E7" s="16">
        <f>SUM(J7:R7)</f>
        <v>207.69499999999999</v>
      </c>
      <c r="F7" s="4" t="str">
        <f>IF(OR(AND($AK7&gt;=$AL$15,NOT($AK7=""),$AJ7=""),AND($BH7&gt;=$BI$15,NOT($BH7=""),$BG7=""),AND($CH7&gt;=$CI$15,NOT($CH7="")),AND($DD7&gt;=$DE$15,NOT($DD7="")),AND($DZ7&gt;=$EA$15,NOT($DZ7="")),AND($EV7&gt;=$EW$15,NOT($EV7="")),AND($FR7&gt;=$FS$15,NOT($FR7="")),AND($GN7&gt;=$GO$15,NOT($GN7="")),AND($HJ7&gt;=$HK$15,NOT($HJ7="")),AND($IF7&gt;=$IG$15,NOT($IF7="")),AND($JB7&gt;=$JC$15,NOT($JB7="")),AND($JX7&gt;=$JY$15,NOT($JX7="")),AND($KT7&gt;=$KU$15,NOT($KT7="")),AND($LP7&gt;=$LQ$15,NOT($LP7="")),AND($AO7&gt;=$AL$15,NOT($AO7=""),$AJ7=""),AND($BL7&gt;=$BI$15,NOT($BL7=""),$BG7=""),AND($CL7&gt;=$CI$15,NOT($CL7="")),AND($DH7&gt;=$DE$15,NOT($DH7="")),AND($ED7&gt;=$EA$15,NOT($ED7="")),AND($EZ7&gt;=$EW$15,NOT($EZ7="")),AND($FV7&gt;=$FS$15,NOT($FV7="")),AND($GR7&gt;=$GO$15,NOT($GR7="")),AND($HN7&gt;=$HK$15,NOT($HN7="")),AND($IJ7&gt;=$IG$15,NOT($IJ7="")),AND($JF7&gt;=$JC$15,NOT($JF7="")),AND($KB7&gt;=$JY$15,NOT($KB7="")),AND($KX7&gt;=$KU$15,NOT($KX7="")),AND($LT7&gt;=$LQ$15,NOT($LT7=""))),"P","")</f>
        <v>P</v>
      </c>
      <c r="G7" s="4" t="str">
        <f>IF(OR(AND($AK7&gt;=$AL$16,NOT($AK7=""),$AJ7=""),AND($BH7&gt;=$BI$16,NOT($BH7=""),$BG7=""),AND($CH7&gt;=$CI$16,NOT($CH7="")),AND($DD7&gt;=$DE$16,NOT($DD7="")),AND($DZ7&gt;=$EA$16,NOT($DZ7="")),AND($EV7&gt;=$EW$16,NOT($EV7="")),AND($FR7&gt;=$FS$16,NOT($FR7="")),AND($GN7&gt;=$GO$16,NOT($GN7="")),AND($HJ7&gt;=$HK$16,NOT($HJ7="")),AND($IF7&gt;=$IG$16,NOT($IF7="")),AND($JB7&gt;=$JC$16,NOT($JB7="")),AND($JX7&gt;=$JY$16,NOT($JX7="")),AND($KT7&gt;=$KU$16,NOT($KT7="")),AND($LP7&gt;=$LQ$16,NOT($LP7="")),AND($AO7&gt;=$AL$16,NOT($AO7=""),$AJ7=""),AND($BL7&gt;=$BI$16,NOT($BL7=""),$BG7=""),AND($CL7&gt;=$CI$16,NOT($CL7="")),AND($DH7&gt;=$DE$16,NOT($DH7="")),AND($ED7&gt;=$EA$16,NOT($ED7="")),AND($EZ7&gt;=$EW$16,NOT($EZ7="")),AND($FV7&gt;=$FS$16,NOT($FV7="")),AND($GR7&gt;=$GO$16,NOT($GR7="")),AND($HN7&gt;=$HK$16,NOT($HN7="")),AND($IJ7&gt;=$IG$16,NOT($IJ7="")),AND($JF7&gt;=$JC$16,NOT($JF7="")),AND($KB7&gt;=$JY$16,NOT($KB7="")),AND($KX7&gt;=$KU$16,NOT($KX7="")),AND($LT7&gt;=$LQ$16,NOT($LT7=""))),"P","")</f>
        <v>P</v>
      </c>
      <c r="H7" s="4" t="str">
        <f>IF(OR(AND($AN7&gt;=$AL$17,NOT($AN7=""),$AJ7=""),AND($BK7&gt;=$BI$17,NOT($BK7=""),$BG7=""),AND($CK7&gt;=$CI$17,NOT($CK7="")),AND($DG7&gt;=$DE$17,NOT($DG7="")),AND($EC7&gt;=$EA$17,NOT($EC7="")),AND($EY7&gt;=$EW$17,NOT($EY7="")),AND($FU7&gt;=$FS$17,NOT($FU7="")),AND($GQ7&gt;=$GO$17,NOT($GQ7="")),AND($HM7&gt;=$HK$17,NOT($HM7="")),AND($II7&gt;=$IG$17,NOT($II7="")),AND($JE7&gt;=$JC$17,NOT($JE7="")),AND($KA7&gt;=$JY$17,NOT($KA7="")),AND($KW7&gt;=$KU$17,NOT($KW7="")),AND($LS7&gt;=$LQ$17,NOT($LS7=""))),"P","")</f>
        <v/>
      </c>
      <c r="I7" t="str">
        <f>IF(AND(H7="P",F7=""),"No DD",IF(AND(G7="P",OR(AND($AM7&gt;$AL$20,NOT($AM7=""),$AJ7=""),AND($AP7&gt;$AL$20,NOT($AP7=""),$AJ7=""),AND($BJ7&gt;$BI$20,NOT($BJ7=""),$BG7=""),AND($BM7&gt;$BI$20,NOT($BM7=""),$BG7=""),AND($CJ7&gt;$CI$20,NOT($CJ7="")),AND($CM7&gt;$CI$20,NOT($CM7="")),AND($DF7&gt;$DE$20,NOT($DF7="")),AND($DI7&gt;$DE$20,NOT($DI7="")),AND($EB7&gt;$EA$20,NOT($EB7="")),AND($EE7&gt;$EA$20,NOT($EE7="")),AND($EX7&gt;$EW$20,NOT($EX7="")),AND($FA7&gt;$EW$20,NOT($FA7="")),AND($FT7&gt;$FS$20,NOT($FT7="")),AND($FW7&gt;$FS$20,NOT($FW7="")),AND($GP7&gt;$GO$20,NOT($GP7="")),AND($GS7&gt;$GO$20,NOT($GS7="")),AND($HL7&gt;$HK$20,NOT($HL7="")),AND($HO7&gt;$HK$20,NOT($HO7="")),AND($IH7&gt;$IG$20,NOT($IH7="")),AND($IK7&gt;$IG$20,NOT($IK7="")),AND($JD7&gt;$JC$20,NOT($JD7="")),AND($JG7&gt;$JC$20,NOT($JG7="")),AND($JZ7&gt;$JY$20,NOT($JZ7="")),AND($KC7&gt;$JY$20,NOT($KC7="")),AND($KV7&gt;$KU$20,NOT($KV7="")),AND($KY7&gt;$KU$20,NOT($KY7="")),AND($LR7&gt;$LQ$20,NOT($LR7="")),AND($LU7&gt;$LQ$20,NOT($LU7="")))),"Merit",IF(AND(G7="P",OR(AND($AN7&gt;$AL$19,NOT($AN7=""),$AJ7=""),AND($BK7&gt;$BI$19,NOT($BK7=""),$BG7=""),AND($CK7&gt;$CI$19,NOT($CK7="")),AND($DG7&gt;$DE$19,NOT($DG7="")),AND($EC7&gt;$EA$19,NOT($EC7="")),AND($EY7&gt;$EW$19,NOT($EY7="")),AND($FU7&gt;$FS$19,NOT($FU7="")),AND($GQ7&gt;$GO$19,NOT($GQ7="")),AND($HM7&gt;$HK$19,NOT($HM7="")),AND($II7&gt;$IG$19,NOT($II7="")),AND($JE7&gt;$JC$19,NOT($JE7="")),AND($KA7&gt;$JY$19,NOT($KA7="")),AND($KW7&gt;$KU$19,NOT($KW7="")),AND($LS7&gt;$LQ$19,NOT($LS7="")))),"Excellence",IF(AND(G7="P",OR(AND($AN7&gt;$AL$18,NOT($AN7=""),$AJ7=""),AND($BK7&gt;$BI$18,NOT($BK7=""),$BG7=""),AND($CK7&gt;$CI$18,NOT($CK7="")),AND($DG7&gt;$DE$18,NOT($DG7="")),AND($EC7&gt;$EA$18,NOT($EC7="")),AND($EY7&gt;$EW$18,NOT($EY7="")),AND($FU7&gt;$FS$18,NOT($FU7="")),AND($GQ7&gt;$GO$18,NOT($GQ7="")),AND($HM7&gt;$HK$18,NOT($HM7="")),AND($II7&gt;$IG$18,NOT($II7="")),AND($JE7&gt;$JC$18,NOT($JE7="")),AND($KA7&gt;$JY$18,NOT($KA7="")),AND($KW7&gt;$KU$18,NOT($KW7="")),AND($LS7&gt;$LQ$18,NOT($LS7="")))),"Worlds Team",IF(AND(F7="P",OR(AND($AN7&gt;$AL$17,NOT($AN7=""),$AJ7=""),AND($BK7&gt;$BI$17,NOT($BK7=""),$BG7=""),AND($CK7&gt;$CI$17,NOT($CK7="")),AND($DG7&gt;$DE$17,NOT($DG7="")),AND($EC7&gt;$EA$17,NOT($EC7="")),AND($EY7&gt;$EW$17,NOT($EY7="")),AND($FU7&gt;$FS$17,NOT($FU7="")),AND($GQ7&gt;$GO$17,NOT($GQ7="")),AND($HM7&gt;$HK$17,NOT($HM7="")),AND($II7&gt;$IG$17,NOT($II7="")),AND($JE7&gt;$JC$17,NOT($JE7="")),AND($KA7&gt;$JY$17,NOT($KA7="")),AND($KW7&gt;$KU$17,NOT($KW7="")),AND($LS7&gt;$LQ$17,NOT($LS7="")))),"National Team","")))))</f>
        <v/>
      </c>
      <c r="J7" s="15">
        <f>IF(MAX(AN7,BK7)&gt;0,MAX(AN7,BK7),"")</f>
        <v>86.834999999999994</v>
      </c>
      <c r="K7" s="15" t="str">
        <f>IF(J7="","",IF(J7=BK7,$AR$1,IF(J7=AN7,$U$1,"")))</f>
        <v>2019 Elite Canada</v>
      </c>
      <c r="L7" s="15">
        <f>IF($J7=$AN7,BI7,IF($J7=$BK7,AL7,MAX(AL7,BI7)))</f>
        <v>47.56</v>
      </c>
      <c r="M7" s="15" t="str">
        <f>IF(L7="","",IF(AND(L7=BI7,$K7&lt;&gt;$AR$1),$AR$1,IF(AND(L7=AL7,$K7&lt;&gt;$U$1),$U$1,"")))</f>
        <v>2019 Nationals</v>
      </c>
      <c r="N7" s="15">
        <f>IF($J7=$AN7,BJ7,IF($J7=$BK7,AM7,MAX(AM7,BJ7)))</f>
        <v>25.395</v>
      </c>
      <c r="O7" s="15" t="str">
        <f>IF(N7="","",IF(AND(N7=BJ7,$K7&lt;&gt;$AR$1),$AR$1,IF(AND(N7=AM7,$K7&lt;&gt;$U$1),$U$1,"")))</f>
        <v>2019 Nationals</v>
      </c>
      <c r="P7" s="15">
        <f>IF(MAX(AP7,BM7)&gt;0,MAX(AP7,BM7),"")</f>
        <v>47.905000000000001</v>
      </c>
      <c r="Q7" s="15" t="str">
        <f>IF(P7="","",IF(P7=BM7,$AR$1,IF(P7=AP7,$U$1,"")))</f>
        <v>2019 Elite Canada</v>
      </c>
      <c r="R7" s="15" t="str">
        <f>IF(MAX(BO7,BP7,BQ7,BR7)&gt;0,MAX(BO7,BP7,BQ7,BR7),"")</f>
        <v/>
      </c>
      <c r="S7" s="25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63">
        <v>12.9</v>
      </c>
      <c r="V7" s="63">
        <v>7.3</v>
      </c>
      <c r="W7" s="63">
        <v>1.9</v>
      </c>
      <c r="X7" s="63">
        <v>13.37</v>
      </c>
      <c r="Y7" s="63">
        <v>0</v>
      </c>
      <c r="Z7" s="63">
        <v>13.1</v>
      </c>
      <c r="AA7" s="63">
        <v>8.9499999999999993</v>
      </c>
      <c r="AB7" s="63">
        <v>13.5</v>
      </c>
      <c r="AC7" s="63">
        <v>15.815</v>
      </c>
      <c r="AD7" s="63">
        <v>0</v>
      </c>
      <c r="AE7" s="63">
        <v>13.7</v>
      </c>
      <c r="AF7" s="63">
        <v>8.15</v>
      </c>
      <c r="AG7" s="63">
        <v>11.9</v>
      </c>
      <c r="AH7" s="63">
        <v>14.154999999999999</v>
      </c>
      <c r="AI7" s="63">
        <v>0</v>
      </c>
      <c r="AJ7" s="74"/>
      <c r="AK7" s="12">
        <f>IF(AB7&gt;0,AB7,"")</f>
        <v>13.5</v>
      </c>
      <c r="AL7" s="12">
        <f>IF(SUM(U7:X7)-Y7&gt;0,SUM(U7:X7)-Y7,"")</f>
        <v>35.47</v>
      </c>
      <c r="AM7" s="12">
        <f>IF(SUM(Z7:AC7)-AD7&gt;0,SUM(Z7:AC7)-AD7,"")</f>
        <v>51.364999999999995</v>
      </c>
      <c r="AN7" s="12">
        <f>IF(SUM(AL7:AM7)&gt;0,SUM(AL7:AM7),"")</f>
        <v>86.834999999999994</v>
      </c>
      <c r="AO7" s="12">
        <f>IF(AG7&gt;0,AG7,"")</f>
        <v>11.9</v>
      </c>
      <c r="AP7" s="12">
        <f>IF(SUM(AE7:AH7)-AI7&gt;0,SUM(AE7:AH7)-AI7,"")</f>
        <v>47.905000000000001</v>
      </c>
      <c r="AQ7" s="12">
        <f>IF(SUM(AN7,AP7)&gt;0,SUM(AN7,AP7),"")</f>
        <v>134.74</v>
      </c>
      <c r="AR7" s="69">
        <v>17.5</v>
      </c>
      <c r="AS7" s="69">
        <v>9.6</v>
      </c>
      <c r="AT7" s="69">
        <v>3.9</v>
      </c>
      <c r="AU7" s="69">
        <v>16.559999999999999</v>
      </c>
      <c r="AV7" s="69">
        <v>0</v>
      </c>
      <c r="AW7" s="69">
        <v>7.5</v>
      </c>
      <c r="AX7" s="69">
        <v>4.4000000000000004</v>
      </c>
      <c r="AY7" s="69">
        <v>6.4</v>
      </c>
      <c r="AZ7" s="69">
        <v>7.0949999999999998</v>
      </c>
      <c r="BA7" s="69">
        <v>0</v>
      </c>
      <c r="BB7" s="69"/>
      <c r="BC7" s="69"/>
      <c r="BD7" s="69"/>
      <c r="BE7" s="69"/>
      <c r="BF7" s="69"/>
      <c r="BG7" s="75"/>
      <c r="BH7" s="15">
        <f>IF(AY7&gt;0,AY7,"")</f>
        <v>6.4</v>
      </c>
      <c r="BI7" s="15">
        <f>IF(SUM(AR7:AU7)-AV7&gt;0,SUM(AR7:AU7)-AV7,"")</f>
        <v>47.56</v>
      </c>
      <c r="BJ7" s="15">
        <f>IF(SUM(AW7:AZ7)-BA7&gt;0,SUM(AW7:AZ7)-BA7,"")</f>
        <v>25.395</v>
      </c>
      <c r="BK7" s="15">
        <f>IF(SUM(BI7:BJ7)&gt;0,SUM(BI7:BJ7),"")</f>
        <v>72.954999999999998</v>
      </c>
      <c r="BL7" s="15" t="str">
        <f>IF(BD7&gt;0,BD7,"")</f>
        <v/>
      </c>
      <c r="BM7" s="15" t="str">
        <f>IF(SUM(BB7:BE7)-BF7&gt;0,SUM(BB7:BE7)-BF7,"")</f>
        <v/>
      </c>
      <c r="BN7" s="15">
        <f>IF(SUM(BK7,BM7)&gt;0,SUM(BK7,BM7),"")</f>
        <v>72.954999999999998</v>
      </c>
      <c r="BO7" s="24" t="str">
        <f>IF(MAX(CI7,DE7,EA7,EW7,FS7,GO7,HK7,IG7,JC7,JY7,KU7,LQ7)-IF(L7="",0,L7)&gt;0.001,MAX(CI7,DE7,EA7,EW7,FS7,GO7,HK7,IG7,JC7,JY7,KU7,LQ7)-IF(L7="",0,L7),"")</f>
        <v/>
      </c>
      <c r="BP7" s="24" t="str">
        <f>IF(MAX(CJ7,DF7,EB7,EX7,FT7,GP7,HL7,IH7,JD7,JZ7,KV7,LR7)-IF(N7="",0,N7)&gt;0.001,MAX(CJ7,DF7,EB7,EX7,FT7,GP7,HL7,IH7,JD7,JZ7,KV7,LR7)-IF(N7="",0,N7),"")</f>
        <v/>
      </c>
      <c r="BQ7" s="24" t="str">
        <f>IF(MAX(CK7,DG7,EC7,EY7,FU7,GQ7,HM7,II7,JE7,KA7,KW7,LS7)-IF(J7="",0,J7)&gt;0.001,MAX(CK7,DG7,EC7,EY7,FU7,GQ7,HM7,II7,JE7,KA7,KW7,LS7)-IF(J7="",0,J7),"")</f>
        <v/>
      </c>
      <c r="BR7" s="24" t="str">
        <f>IF(MAX(CM7,DI7,EE7,FA7,FW7,GS7,HO7,IK7,JG7,KC7,KY7,LU7)-IF(P7="",0,P7)&gt;0.001,MAX(CM7,DI7,EE7,FA7,FW7,GS7,HO7,IK7,JG7,KC7,KY7,LU7)-IF(P7="",0,P7),"")</f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63">
        <f t="shared" si="0"/>
        <v>15.2</v>
      </c>
      <c r="LX7" s="63">
        <f t="shared" si="1"/>
        <v>8.4499999999999993</v>
      </c>
      <c r="LY7" s="63">
        <f t="shared" si="2"/>
        <v>2.9</v>
      </c>
      <c r="LZ7" s="63">
        <f t="shared" si="3"/>
        <v>14.965</v>
      </c>
      <c r="MA7" s="63">
        <f t="shared" si="4"/>
        <v>0</v>
      </c>
      <c r="MB7" s="63">
        <f t="shared" si="5"/>
        <v>10.3</v>
      </c>
      <c r="MC7" s="63">
        <f t="shared" si="6"/>
        <v>6.6749999999999998</v>
      </c>
      <c r="MD7" s="63">
        <f t="shared" si="7"/>
        <v>9.9499999999999993</v>
      </c>
      <c r="ME7" s="63">
        <f t="shared" si="8"/>
        <v>11.455</v>
      </c>
      <c r="MF7" s="63">
        <f t="shared" si="9"/>
        <v>0</v>
      </c>
      <c r="MG7" s="63">
        <f t="shared" si="10"/>
        <v>6.85</v>
      </c>
      <c r="MH7" s="63">
        <f t="shared" si="11"/>
        <v>4.0750000000000002</v>
      </c>
      <c r="MI7" s="63">
        <f t="shared" si="12"/>
        <v>5.95</v>
      </c>
      <c r="MJ7" s="63">
        <f t="shared" si="13"/>
        <v>7.0774999999999997</v>
      </c>
      <c r="MK7" s="63">
        <f t="shared" si="14"/>
        <v>0</v>
      </c>
      <c r="ML7" s="74" t="s">
        <v>81</v>
      </c>
      <c r="MM7" s="12">
        <f t="shared" si="15"/>
        <v>9.9499999999999993</v>
      </c>
      <c r="MN7" s="12">
        <f t="shared" si="16"/>
        <v>41.515000000000001</v>
      </c>
      <c r="MO7" s="12">
        <f t="shared" si="17"/>
        <v>38.380000000000003</v>
      </c>
      <c r="MP7" s="12">
        <f t="shared" si="18"/>
        <v>79.89500000000001</v>
      </c>
      <c r="MQ7" s="12">
        <f t="shared" si="19"/>
        <v>5.95</v>
      </c>
      <c r="MR7" s="12">
        <f t="shared" si="20"/>
        <v>23.952500000000001</v>
      </c>
      <c r="MS7" s="12">
        <f t="shared" si="21"/>
        <v>103.84750000000001</v>
      </c>
    </row>
    <row r="8" spans="1:357" x14ac:dyDescent="0.2">
      <c r="A8" s="6" t="str">
        <f>IF(AND(F8="P",H8="P"),SUMPRODUCT((F$4:F$13="P")*(H$4:H$13="P")*(E$4:E$13&gt;E8))+1,IF(H8="P",SUMPRODUCT((F$4:F$13="")*(H$4:H$13="P")*(E$4:E$13&gt;E8))+1+SUMPRODUCT((F$4:F$13="P")*(H$4:H$13="P")),""))</f>
        <v/>
      </c>
      <c r="B8" s="7" t="s">
        <v>106</v>
      </c>
      <c r="C8" s="8" t="s">
        <v>3</v>
      </c>
      <c r="D8" s="6">
        <v>2002</v>
      </c>
      <c r="E8" s="16">
        <f>SUM(J8:R8)</f>
        <v>201.245</v>
      </c>
      <c r="F8" s="4" t="str">
        <f>IF(OR(AND($AK8&gt;=$AL$15,NOT($AK8=""),$AJ8=""),AND($BH8&gt;=$BI$15,NOT($BH8=""),$BG8=""),AND($CH8&gt;=$CI$15,NOT($CH8="")),AND($DD8&gt;=$DE$15,NOT($DD8="")),AND($DZ8&gt;=$EA$15,NOT($DZ8="")),AND($EV8&gt;=$EW$15,NOT($EV8="")),AND($FR8&gt;=$FS$15,NOT($FR8="")),AND($GN8&gt;=$GO$15,NOT($GN8="")),AND($HJ8&gt;=$HK$15,NOT($HJ8="")),AND($IF8&gt;=$IG$15,NOT($IF8="")),AND($JB8&gt;=$JC$15,NOT($JB8="")),AND($JX8&gt;=$JY$15,NOT($JX8="")),AND($KT8&gt;=$KU$15,NOT($KT8="")),AND($LP8&gt;=$LQ$15,NOT($LP8="")),AND($AO8&gt;=$AL$15,NOT($AO8=""),$AJ8=""),AND($BL8&gt;=$BI$15,NOT($BL8=""),$BG8=""),AND($CL8&gt;=$CI$15,NOT($CL8="")),AND($DH8&gt;=$DE$15,NOT($DH8="")),AND($ED8&gt;=$EA$15,NOT($ED8="")),AND($EZ8&gt;=$EW$15,NOT($EZ8="")),AND($FV8&gt;=$FS$15,NOT($FV8="")),AND($GR8&gt;=$GO$15,NOT($GR8="")),AND($HN8&gt;=$HK$15,NOT($HN8="")),AND($IJ8&gt;=$IG$15,NOT($IJ8="")),AND($JF8&gt;=$JC$15,NOT($JF8="")),AND($KB8&gt;=$JY$15,NOT($KB8="")),AND($KX8&gt;=$KU$15,NOT($KX8="")),AND($LT8&gt;=$LQ$15,NOT($LT8=""))),"P","")</f>
        <v>P</v>
      </c>
      <c r="G8" s="4" t="str">
        <f>IF(OR(AND($AK8&gt;=$AL$16,NOT($AK8=""),$AJ8=""),AND($BH8&gt;=$BI$16,NOT($BH8=""),$BG8=""),AND($CH8&gt;=$CI$16,NOT($CH8="")),AND($DD8&gt;=$DE$16,NOT($DD8="")),AND($DZ8&gt;=$EA$16,NOT($DZ8="")),AND($EV8&gt;=$EW$16,NOT($EV8="")),AND($FR8&gt;=$FS$16,NOT($FR8="")),AND($GN8&gt;=$GO$16,NOT($GN8="")),AND($HJ8&gt;=$HK$16,NOT($HJ8="")),AND($IF8&gt;=$IG$16,NOT($IF8="")),AND($JB8&gt;=$JC$16,NOT($JB8="")),AND($JX8&gt;=$JY$16,NOT($JX8="")),AND($KT8&gt;=$KU$16,NOT($KT8="")),AND($LP8&gt;=$LQ$16,NOT($LP8="")),AND($AO8&gt;=$AL$16,NOT($AO8=""),$AJ8=""),AND($BL8&gt;=$BI$16,NOT($BL8=""),$BG8=""),AND($CL8&gt;=$CI$16,NOT($CL8="")),AND($DH8&gt;=$DE$16,NOT($DH8="")),AND($ED8&gt;=$EA$16,NOT($ED8="")),AND($EZ8&gt;=$EW$16,NOT($EZ8="")),AND($FV8&gt;=$FS$16,NOT($FV8="")),AND($GR8&gt;=$GO$16,NOT($GR8="")),AND($HN8&gt;=$HK$16,NOT($HN8="")),AND($IJ8&gt;=$IG$16,NOT($IJ8="")),AND($JF8&gt;=$JC$16,NOT($JF8="")),AND($KB8&gt;=$JY$16,NOT($KB8="")),AND($KX8&gt;=$KU$16,NOT($KX8="")),AND($LT8&gt;=$LQ$16,NOT($LT8=""))),"P","")</f>
        <v>P</v>
      </c>
      <c r="H8" s="4" t="str">
        <f>IF(OR(AND($AN8&gt;=$AL$17,NOT($AN8=""),$AJ8=""),AND($BK8&gt;=$BI$17,NOT($BK8=""),$BG8=""),AND($CK8&gt;=$CI$17,NOT($CK8="")),AND($DG8&gt;=$DE$17,NOT($DG8="")),AND($EC8&gt;=$EA$17,NOT($EC8="")),AND($EY8&gt;=$EW$17,NOT($EY8="")),AND($FU8&gt;=$FS$17,NOT($FU8="")),AND($GQ8&gt;=$GO$17,NOT($GQ8="")),AND($HM8&gt;=$HK$17,NOT($HM8="")),AND($II8&gt;=$IG$17,NOT($II8="")),AND($JE8&gt;=$JC$17,NOT($JE8="")),AND($KA8&gt;=$JY$17,NOT($KA8="")),AND($KW8&gt;=$KU$17,NOT($KW8="")),AND($LS8&gt;=$LQ$17,NOT($LS8=""))),"P","")</f>
        <v/>
      </c>
      <c r="I8" t="str">
        <f>IF(AND(H8="P",F8=""),"No DD",IF(AND(G8="P",OR(AND($AM8&gt;$AL$20,NOT($AM8=""),$AJ8=""),AND($AP8&gt;$AL$20,NOT($AP8=""),$AJ8=""),AND($BJ8&gt;$BI$20,NOT($BJ8=""),$BG8=""),AND($BM8&gt;$BI$20,NOT($BM8=""),$BG8=""),AND($CJ8&gt;$CI$20,NOT($CJ8="")),AND($CM8&gt;$CI$20,NOT($CM8="")),AND($DF8&gt;$DE$20,NOT($DF8="")),AND($DI8&gt;$DE$20,NOT($DI8="")),AND($EB8&gt;$EA$20,NOT($EB8="")),AND($EE8&gt;$EA$20,NOT($EE8="")),AND($EX8&gt;$EW$20,NOT($EX8="")),AND($FA8&gt;$EW$20,NOT($FA8="")),AND($FT8&gt;$FS$20,NOT($FT8="")),AND($FW8&gt;$FS$20,NOT($FW8="")),AND($GP8&gt;$GO$20,NOT($GP8="")),AND($GS8&gt;$GO$20,NOT($GS8="")),AND($HL8&gt;$HK$20,NOT($HL8="")),AND($HO8&gt;$HK$20,NOT($HO8="")),AND($IH8&gt;$IG$20,NOT($IH8="")),AND($IK8&gt;$IG$20,NOT($IK8="")),AND($JD8&gt;$JC$20,NOT($JD8="")),AND($JG8&gt;$JC$20,NOT($JG8="")),AND($JZ8&gt;$JY$20,NOT($JZ8="")),AND($KC8&gt;$JY$20,NOT($KC8="")),AND($KV8&gt;$KU$20,NOT($KV8="")),AND($KY8&gt;$KU$20,NOT($KY8="")),AND($LR8&gt;$LQ$20,NOT($LR8="")),AND($LU8&gt;$LQ$20,NOT($LU8="")))),"Merit",IF(AND(G8="P",OR(AND($AN8&gt;$AL$19,NOT($AN8=""),$AJ8=""),AND($BK8&gt;$BI$19,NOT($BK8=""),$BG8=""),AND($CK8&gt;$CI$19,NOT($CK8="")),AND($DG8&gt;$DE$19,NOT($DG8="")),AND($EC8&gt;$EA$19,NOT($EC8="")),AND($EY8&gt;$EW$19,NOT($EY8="")),AND($FU8&gt;$FS$19,NOT($FU8="")),AND($GQ8&gt;$GO$19,NOT($GQ8="")),AND($HM8&gt;$HK$19,NOT($HM8="")),AND($II8&gt;$IG$19,NOT($II8="")),AND($JE8&gt;$JC$19,NOT($JE8="")),AND($KA8&gt;$JY$19,NOT($KA8="")),AND($KW8&gt;$KU$19,NOT($KW8="")),AND($LS8&gt;$LQ$19,NOT($LS8="")))),"Excellence",IF(AND(G8="P",OR(AND($AN8&gt;$AL$18,NOT($AN8=""),$AJ8=""),AND($BK8&gt;$BI$18,NOT($BK8=""),$BG8=""),AND($CK8&gt;$CI$18,NOT($CK8="")),AND($DG8&gt;$DE$18,NOT($DG8="")),AND($EC8&gt;$EA$18,NOT($EC8="")),AND($EY8&gt;$EW$18,NOT($EY8="")),AND($FU8&gt;$FS$18,NOT($FU8="")),AND($GQ8&gt;$GO$18,NOT($GQ8="")),AND($HM8&gt;$HK$18,NOT($HM8="")),AND($II8&gt;$IG$18,NOT($II8="")),AND($JE8&gt;$JC$18,NOT($JE8="")),AND($KA8&gt;$JY$18,NOT($KA8="")),AND($KW8&gt;$KU$18,NOT($KW8="")),AND($LS8&gt;$LQ$18,NOT($LS8="")))),"Worlds Team",IF(AND(F8="P",OR(AND($AN8&gt;$AL$17,NOT($AN8=""),$AJ8=""),AND($BK8&gt;$BI$17,NOT($BK8=""),$BG8=""),AND($CK8&gt;$CI$17,NOT($CK8="")),AND($DG8&gt;$DE$17,NOT($DG8="")),AND($EC8&gt;$EA$17,NOT($EC8="")),AND($EY8&gt;$EW$17,NOT($EY8="")),AND($FU8&gt;$FS$17,NOT($FU8="")),AND($GQ8&gt;$GO$17,NOT($GQ8="")),AND($HM8&gt;$HK$17,NOT($HM8="")),AND($II8&gt;$IG$17,NOT($II8="")),AND($JE8&gt;$JC$17,NOT($JE8="")),AND($KA8&gt;$JY$17,NOT($KA8="")),AND($KW8&gt;$KU$17,NOT($KW8="")),AND($LS8&gt;$LQ$17,NOT($LS8="")))),"National Team","")))))</f>
        <v/>
      </c>
      <c r="J8" s="15">
        <f>IF(MAX(AN8,BK8)&gt;0,MAX(AN8,BK8),"")</f>
        <v>97.495000000000005</v>
      </c>
      <c r="K8" s="15" t="str">
        <f>IF(J8="","",IF(J8=BK8,$AR$1,IF(J8=AN8,$U$1,"")))</f>
        <v>2019 Elite Canada</v>
      </c>
      <c r="L8" s="15">
        <f>IF($J8=$AN8,BI8,IF($J8=$BK8,AL8,MAX(AL8,BI8)))</f>
        <v>43.79</v>
      </c>
      <c r="M8" s="15" t="str">
        <f>IF(L8="","",IF(AND(L8=BI8,$K8&lt;&gt;$AR$1),$AR$1,IF(AND(L8=AL8,$K8&lt;&gt;$U$1),$U$1,"")))</f>
        <v>2019 Nationals</v>
      </c>
      <c r="N8" s="15">
        <f>IF($J8=$AN8,BJ8,IF($J8=$BK8,AM8,MAX(AM8,BJ8)))</f>
        <v>5.835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54.125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5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63">
        <v>16.100000000000001</v>
      </c>
      <c r="V8" s="63">
        <v>9.4</v>
      </c>
      <c r="W8" s="63">
        <v>2.1</v>
      </c>
      <c r="X8" s="63">
        <v>16.295000000000002</v>
      </c>
      <c r="Y8" s="63">
        <v>0</v>
      </c>
      <c r="Z8" s="63">
        <v>14.7</v>
      </c>
      <c r="AA8" s="63">
        <v>9.5</v>
      </c>
      <c r="AB8" s="63">
        <v>13.5</v>
      </c>
      <c r="AC8" s="63">
        <v>15.9</v>
      </c>
      <c r="AD8" s="63">
        <v>0</v>
      </c>
      <c r="AE8" s="63">
        <v>15.3</v>
      </c>
      <c r="AF8" s="63">
        <v>9.5</v>
      </c>
      <c r="AG8" s="63">
        <v>13.5</v>
      </c>
      <c r="AH8" s="63">
        <v>15.824999999999999</v>
      </c>
      <c r="AI8" s="63">
        <v>0</v>
      </c>
      <c r="AJ8" s="74"/>
      <c r="AK8" s="12">
        <f>IF(AB8&gt;0,AB8,"")</f>
        <v>13.5</v>
      </c>
      <c r="AL8" s="12">
        <f>IF(SUM(U8:X8)-Y8&gt;0,SUM(U8:X8)-Y8,"")</f>
        <v>43.895000000000003</v>
      </c>
      <c r="AM8" s="12">
        <f>IF(SUM(Z8:AC8)-AD8&gt;0,SUM(Z8:AC8)-AD8,"")</f>
        <v>53.6</v>
      </c>
      <c r="AN8" s="12">
        <f>IF(SUM(AL8:AM8)&gt;0,SUM(AL8:AM8),"")</f>
        <v>97.495000000000005</v>
      </c>
      <c r="AO8" s="12">
        <f>IF(AG8&gt;0,AG8,"")</f>
        <v>13.5</v>
      </c>
      <c r="AP8" s="12">
        <f>IF(SUM(AE8:AH8)-AI8&gt;0,SUM(AE8:AH8)-AI8,"")</f>
        <v>54.125</v>
      </c>
      <c r="AQ8" s="12">
        <f>IF(SUM(AN8,AP8)&gt;0,SUM(AN8,AP8),"")</f>
        <v>151.62</v>
      </c>
      <c r="AR8" s="69">
        <v>14.9</v>
      </c>
      <c r="AS8" s="69">
        <v>8.6999999999999993</v>
      </c>
      <c r="AT8" s="69">
        <v>3.9</v>
      </c>
      <c r="AU8" s="69">
        <v>16.29</v>
      </c>
      <c r="AV8" s="69">
        <v>0</v>
      </c>
      <c r="AW8" s="69">
        <v>1.5</v>
      </c>
      <c r="AX8" s="69">
        <v>0.9</v>
      </c>
      <c r="AY8" s="69">
        <v>1.7</v>
      </c>
      <c r="AZ8" s="69">
        <v>1.7350000000000001</v>
      </c>
      <c r="BA8" s="69">
        <v>0</v>
      </c>
      <c r="BB8" s="69"/>
      <c r="BC8" s="69"/>
      <c r="BD8" s="69"/>
      <c r="BE8" s="69"/>
      <c r="BF8" s="69"/>
      <c r="BG8" s="75"/>
      <c r="BH8" s="15">
        <f>IF(AY8&gt;0,AY8,"")</f>
        <v>1.7</v>
      </c>
      <c r="BI8" s="15">
        <f>IF(SUM(AR8:AU8)-AV8&gt;0,SUM(AR8:AU8)-AV8,"")</f>
        <v>43.79</v>
      </c>
      <c r="BJ8" s="15">
        <f>IF(SUM(AW8:AZ8)-BA8&gt;0,SUM(AW8:AZ8)-BA8,"")</f>
        <v>5.835</v>
      </c>
      <c r="BK8" s="15">
        <f>IF(SUM(BI8:BJ8)&gt;0,SUM(BI8:BJ8),"")</f>
        <v>49.625</v>
      </c>
      <c r="BL8" s="15" t="str">
        <f>IF(BD8&gt;0,BD8,"")</f>
        <v/>
      </c>
      <c r="BM8" s="15" t="str">
        <f>IF(SUM(BB8:BE8)-BF8&gt;0,SUM(BB8:BE8)-BF8,"")</f>
        <v/>
      </c>
      <c r="BN8" s="15">
        <f>IF(SUM(BK8,BM8)&gt;0,SUM(BK8,BM8),"")</f>
        <v>49.625</v>
      </c>
      <c r="BO8" s="24" t="str">
        <f>IF(MAX(CI8,DE8,EA8,EW8,FS8,GO8,HK8,IG8,JC8,JY8,KU8,LQ8)-IF(L8="",0,L8)&gt;0.001,MAX(CI8,DE8,EA8,EW8,FS8,GO8,HK8,IG8,JC8,JY8,KU8,LQ8)-IF(L8="",0,L8),"")</f>
        <v/>
      </c>
      <c r="BP8" s="24" t="str">
        <f>IF(MAX(CJ8,DF8,EB8,EX8,FT8,GP8,HL8,IH8,JD8,JZ8,KV8,LR8)-IF(N8="",0,N8)&gt;0.001,MAX(CJ8,DF8,EB8,EX8,FT8,GP8,HL8,IH8,JD8,JZ8,KV8,LR8)-IF(N8="",0,N8),"")</f>
        <v/>
      </c>
      <c r="BQ8" s="24" t="str">
        <f>IF(MAX(CK8,DG8,EC8,EY8,FU8,GQ8,HM8,II8,JE8,KA8,KW8,LS8)-IF(J8="",0,J8)&gt;0.001,MAX(CK8,DG8,EC8,EY8,FU8,GQ8,HM8,II8,JE8,KA8,KW8,LS8)-IF(J8="",0,J8),"")</f>
        <v/>
      </c>
      <c r="BR8" s="24" t="str">
        <f>IF(MAX(CM8,DI8,EE8,FA8,FW8,GS8,HO8,IK8,JG8,KC8,KY8,LU8)-IF(P8="",0,P8)&gt;0.001,MAX(CM8,DI8,EE8,FA8,FW8,GS8,HO8,IK8,JG8,KC8,KY8,LU8)-IF(P8="",0,P8),"")</f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63">
        <f t="shared" si="0"/>
        <v>15.5</v>
      </c>
      <c r="LX8" s="63">
        <f t="shared" si="1"/>
        <v>9.0500000000000007</v>
      </c>
      <c r="LY8" s="63">
        <f t="shared" si="2"/>
        <v>3</v>
      </c>
      <c r="LZ8" s="63">
        <f t="shared" si="3"/>
        <v>16.2925</v>
      </c>
      <c r="MA8" s="63">
        <f t="shared" si="4"/>
        <v>0</v>
      </c>
      <c r="MB8" s="63">
        <f t="shared" si="5"/>
        <v>8.1</v>
      </c>
      <c r="MC8" s="63">
        <f t="shared" si="6"/>
        <v>5.2</v>
      </c>
      <c r="MD8" s="63">
        <f t="shared" si="7"/>
        <v>7.6</v>
      </c>
      <c r="ME8" s="63">
        <f t="shared" si="8"/>
        <v>8.8175000000000008</v>
      </c>
      <c r="MF8" s="63">
        <f t="shared" si="9"/>
        <v>0</v>
      </c>
      <c r="MG8" s="63">
        <f t="shared" si="10"/>
        <v>7.65</v>
      </c>
      <c r="MH8" s="63">
        <f t="shared" si="11"/>
        <v>4.75</v>
      </c>
      <c r="MI8" s="63">
        <f t="shared" si="12"/>
        <v>6.75</v>
      </c>
      <c r="MJ8" s="63">
        <f t="shared" si="13"/>
        <v>7.9124999999999996</v>
      </c>
      <c r="MK8" s="63">
        <f t="shared" si="14"/>
        <v>0</v>
      </c>
      <c r="ML8" s="74" t="s">
        <v>81</v>
      </c>
      <c r="MM8" s="12">
        <f t="shared" si="15"/>
        <v>7.6</v>
      </c>
      <c r="MN8" s="12">
        <f t="shared" si="16"/>
        <v>43.842500000000001</v>
      </c>
      <c r="MO8" s="12">
        <f t="shared" si="17"/>
        <v>29.717500000000001</v>
      </c>
      <c r="MP8" s="12">
        <f t="shared" si="18"/>
        <v>73.56</v>
      </c>
      <c r="MQ8" s="12">
        <f t="shared" si="19"/>
        <v>6.75</v>
      </c>
      <c r="MR8" s="12">
        <f t="shared" si="20"/>
        <v>27.0625</v>
      </c>
      <c r="MS8" s="12">
        <f t="shared" si="21"/>
        <v>100.6225</v>
      </c>
    </row>
    <row r="9" spans="1:357" x14ac:dyDescent="0.2">
      <c r="A9" s="6" t="str">
        <f>IF(AND(F9="P",H9="P"),SUMPRODUCT((F$4:F$13="P")*(H$4:H$13="P")*(E$4:E$13&gt;E9))+1,IF(H9="P",SUMPRODUCT((F$4:F$13="")*(H$4:H$13="P")*(E$4:E$13&gt;E9))+1+SUMPRODUCT((F$4:F$13="P")*(H$4:H$13="P")),""))</f>
        <v/>
      </c>
      <c r="B9" s="7" t="s">
        <v>95</v>
      </c>
      <c r="C9" s="8" t="s">
        <v>6</v>
      </c>
      <c r="D9" s="27">
        <v>2004</v>
      </c>
      <c r="E9" s="16">
        <f>SUM(J9:R9)</f>
        <v>229.17</v>
      </c>
      <c r="F9" s="4" t="str">
        <f>IF(OR(AND($AK9&gt;=$AL$15,NOT($AK9=""),$AJ9=""),AND($BH9&gt;=$BI$15,NOT($BH9=""),$BG9=""),AND($CH9&gt;=$CI$15,NOT($CH9="")),AND($DD9&gt;=$DE$15,NOT($DD9="")),AND($DZ9&gt;=$EA$15,NOT($DZ9="")),AND($EV9&gt;=$EW$15,NOT($EV9="")),AND($FR9&gt;=$FS$15,NOT($FR9="")),AND($GN9&gt;=$GO$15,NOT($GN9="")),AND($HJ9&gt;=$HK$15,NOT($HJ9="")),AND($IF9&gt;=$IG$15,NOT($IF9="")),AND($JB9&gt;=$JC$15,NOT($JB9="")),AND($JX9&gt;=$JY$15,NOT($JX9="")),AND($KT9&gt;=$KU$15,NOT($KT9="")),AND($LP9&gt;=$LQ$15,NOT($LP9="")),AND($AO9&gt;=$AL$15,NOT($AO9=""),$AJ9=""),AND($BL9&gt;=$BI$15,NOT($BL9=""),$BG9=""),AND($CL9&gt;=$CI$15,NOT($CL9="")),AND($DH9&gt;=$DE$15,NOT($DH9="")),AND($ED9&gt;=$EA$15,NOT($ED9="")),AND($EZ9&gt;=$EW$15,NOT($EZ9="")),AND($FV9&gt;=$FS$15,NOT($FV9="")),AND($GR9&gt;=$GO$15,NOT($GR9="")),AND($HN9&gt;=$HK$15,NOT($HN9="")),AND($IJ9&gt;=$IG$15,NOT($IJ9="")),AND($JF9&gt;=$JC$15,NOT($JF9="")),AND($KB9&gt;=$JY$15,NOT($KB9="")),AND($KX9&gt;=$KU$15,NOT($KX9="")),AND($LT9&gt;=$LQ$15,NOT($LT9=""))),"P","")</f>
        <v/>
      </c>
      <c r="G9" s="4" t="str">
        <f>IF(OR(AND($AK9&gt;=$AL$16,NOT($AK9=""),$AJ9=""),AND($BH9&gt;=$BI$16,NOT($BH9=""),$BG9=""),AND($CH9&gt;=$CI$16,NOT($CH9="")),AND($DD9&gt;=$DE$16,NOT($DD9="")),AND($DZ9&gt;=$EA$16,NOT($DZ9="")),AND($EV9&gt;=$EW$16,NOT($EV9="")),AND($FR9&gt;=$FS$16,NOT($FR9="")),AND($GN9&gt;=$GO$16,NOT($GN9="")),AND($HJ9&gt;=$HK$16,NOT($HJ9="")),AND($IF9&gt;=$IG$16,NOT($IF9="")),AND($JB9&gt;=$JC$16,NOT($JB9="")),AND($JX9&gt;=$JY$16,NOT($JX9="")),AND($KT9&gt;=$KU$16,NOT($KT9="")),AND($LP9&gt;=$LQ$16,NOT($LP9="")),AND($AO9&gt;=$AL$16,NOT($AO9=""),$AJ9=""),AND($BL9&gt;=$BI$16,NOT($BL9=""),$BG9=""),AND($CL9&gt;=$CI$16,NOT($CL9="")),AND($DH9&gt;=$DE$16,NOT($DH9="")),AND($ED9&gt;=$EA$16,NOT($ED9="")),AND($EZ9&gt;=$EW$16,NOT($EZ9="")),AND($FV9&gt;=$FS$16,NOT($FV9="")),AND($GR9&gt;=$GO$16,NOT($GR9="")),AND($HN9&gt;=$HK$16,NOT($HN9="")),AND($IJ9&gt;=$IG$16,NOT($IJ9="")),AND($JF9&gt;=$JC$16,NOT($JF9="")),AND($KB9&gt;=$JY$16,NOT($KB9="")),AND($KX9&gt;=$KU$16,NOT($KX9="")),AND($LT9&gt;=$LQ$16,NOT($LT9=""))),"P","")</f>
        <v/>
      </c>
      <c r="H9" s="4" t="str">
        <f>IF(OR(AND($AN9&gt;=$AL$17,NOT($AN9=""),$AJ9=""),AND($BK9&gt;=$BI$17,NOT($BK9=""),$BG9=""),AND($CK9&gt;=$CI$17,NOT($CK9="")),AND($DG9&gt;=$DE$17,NOT($DG9="")),AND($EC9&gt;=$EA$17,NOT($EC9="")),AND($EY9&gt;=$EW$17,NOT($EY9="")),AND($FU9&gt;=$FS$17,NOT($FU9="")),AND($GQ9&gt;=$GO$17,NOT($GQ9="")),AND($HM9&gt;=$HK$17,NOT($HM9="")),AND($II9&gt;=$IG$17,NOT($II9="")),AND($JE9&gt;=$JC$17,NOT($JE9="")),AND($KA9&gt;=$JY$17,NOT($KA9="")),AND($KW9&gt;=$KU$17,NOT($KW9="")),AND($LS9&gt;=$LQ$17,NOT($LS9=""))),"P","")</f>
        <v/>
      </c>
      <c r="I9" t="str">
        <f>IF(AND(H9="P",F9=""),"No DD",IF(AND(G9="P",OR(AND($AM9&gt;$AL$20,NOT($AM9=""),$AJ9=""),AND($AP9&gt;$AL$20,NOT($AP9=""),$AJ9=""),AND($BJ9&gt;$BI$20,NOT($BJ9=""),$BG9=""),AND($BM9&gt;$BI$20,NOT($BM9=""),$BG9=""),AND($CJ9&gt;$CI$20,NOT($CJ9="")),AND($CM9&gt;$CI$20,NOT($CM9="")),AND($DF9&gt;$DE$20,NOT($DF9="")),AND($DI9&gt;$DE$20,NOT($DI9="")),AND($EB9&gt;$EA$20,NOT($EB9="")),AND($EE9&gt;$EA$20,NOT($EE9="")),AND($EX9&gt;$EW$20,NOT($EX9="")),AND($FA9&gt;$EW$20,NOT($FA9="")),AND($FT9&gt;$FS$20,NOT($FT9="")),AND($FW9&gt;$FS$20,NOT($FW9="")),AND($GP9&gt;$GO$20,NOT($GP9="")),AND($GS9&gt;$GO$20,NOT($GS9="")),AND($HL9&gt;$HK$20,NOT($HL9="")),AND($HO9&gt;$HK$20,NOT($HO9="")),AND($IH9&gt;$IG$20,NOT($IH9="")),AND($IK9&gt;$IG$20,NOT($IK9="")),AND($JD9&gt;$JC$20,NOT($JD9="")),AND($JG9&gt;$JC$20,NOT($JG9="")),AND($JZ9&gt;$JY$20,NOT($JZ9="")),AND($KC9&gt;$JY$20,NOT($KC9="")),AND($KV9&gt;$KU$20,NOT($KV9="")),AND($KY9&gt;$KU$20,NOT($KY9="")),AND($LR9&gt;$LQ$20,NOT($LR9="")),AND($LU9&gt;$LQ$20,NOT($LU9="")))),"Merit",IF(AND(G9="P",OR(AND($AN9&gt;$AL$19,NOT($AN9=""),$AJ9=""),AND($BK9&gt;$BI$19,NOT($BK9=""),$BG9=""),AND($CK9&gt;$CI$19,NOT($CK9="")),AND($DG9&gt;$DE$19,NOT($DG9="")),AND($EC9&gt;$EA$19,NOT($EC9="")),AND($EY9&gt;$EW$19,NOT($EY9="")),AND($FU9&gt;$FS$19,NOT($FU9="")),AND($GQ9&gt;$GO$19,NOT($GQ9="")),AND($HM9&gt;$HK$19,NOT($HM9="")),AND($II9&gt;$IG$19,NOT($II9="")),AND($JE9&gt;$JC$19,NOT($JE9="")),AND($KA9&gt;$JY$19,NOT($KA9="")),AND($KW9&gt;$KU$19,NOT($KW9="")),AND($LS9&gt;$LQ$19,NOT($LS9="")))),"Excellence",IF(AND(G9="P",OR(AND($AN9&gt;$AL$18,NOT($AN9=""),$AJ9=""),AND($BK9&gt;$BI$18,NOT($BK9=""),$BG9=""),AND($CK9&gt;$CI$18,NOT($CK9="")),AND($DG9&gt;$DE$18,NOT($DG9="")),AND($EC9&gt;$EA$18,NOT($EC9="")),AND($EY9&gt;$EW$18,NOT($EY9="")),AND($FU9&gt;$FS$18,NOT($FU9="")),AND($GQ9&gt;$GO$18,NOT($GQ9="")),AND($HM9&gt;$HK$18,NOT($HM9="")),AND($II9&gt;$IG$18,NOT($II9="")),AND($JE9&gt;$JC$18,NOT($JE9="")),AND($KA9&gt;$JY$18,NOT($KA9="")),AND($KW9&gt;$KU$18,NOT($KW9="")),AND($LS9&gt;$LQ$18,NOT($LS9="")))),"Worlds Team",IF(AND(F9="P",OR(AND($AN9&gt;$AL$17,NOT($AN9=""),$AJ9=""),AND($BK9&gt;$BI$17,NOT($BK9=""),$BG9=""),AND($CK9&gt;$CI$17,NOT($CK9="")),AND($DG9&gt;$DE$17,NOT($DG9="")),AND($EC9&gt;$EA$17,NOT($EC9="")),AND($EY9&gt;$EW$17,NOT($EY9="")),AND($FU9&gt;$FS$17,NOT($FU9="")),AND($GQ9&gt;$GO$17,NOT($GQ9="")),AND($HM9&gt;$HK$17,NOT($HM9="")),AND($II9&gt;$IG$17,NOT($II9="")),AND($JE9&gt;$JC$17,NOT($JE9="")),AND($KA9&gt;$JY$17,NOT($KA9="")),AND($KW9&gt;$KU$17,NOT($KW9="")),AND($LS9&gt;$LQ$17,NOT($LS9="")))),"National Team","")))))</f>
        <v/>
      </c>
      <c r="J9" s="15">
        <f>IF(MAX(AN9,BK9)&gt;0,MAX(AN9,BK9),"")</f>
        <v>94.03</v>
      </c>
      <c r="K9" s="15" t="str">
        <f>IF(J9="","",IF(J9=BK9,$AR$1,IF(J9=AN9,$U$1,"")))</f>
        <v>2019 Elite Canada</v>
      </c>
      <c r="L9" s="15">
        <f>IF($J9=$AN9,BI9,IF($J9=$BK9,AL9,MAX(AL9,BI9)))</f>
        <v>40.989999999999995</v>
      </c>
      <c r="M9" s="15" t="str">
        <f>IF(L9="","",IF(AND(L9=BI9,$K9&lt;&gt;$AR$1),$AR$1,IF(AND(L9=AL9,$K9&lt;&gt;$U$1),$U$1,"")))</f>
        <v>2019 Nationals</v>
      </c>
      <c r="N9" s="15">
        <f>IF($J9=$AN9,BJ9,IF($J9=$BK9,AM9,MAX(AM9,BJ9)))</f>
        <v>43.53</v>
      </c>
      <c r="O9" s="15" t="str">
        <f>IF(N9="","",IF(AND(N9=BJ9,$K9&lt;&gt;$AR$1),$AR$1,IF(AND(N9=AM9,$K9&lt;&gt;$U$1),$U$1,"")))</f>
        <v>2019 Nationals</v>
      </c>
      <c r="P9" s="15">
        <f>IF(MAX(AP9,BM9)&gt;0,MAX(AP9,BM9),"")</f>
        <v>50.620000000000005</v>
      </c>
      <c r="Q9" s="15" t="str">
        <f>IF(P9="","",IF(P9=BM9,$AR$1,IF(P9=AP9,$U$1,"")))</f>
        <v>2019 Elite Canada</v>
      </c>
      <c r="R9" s="15" t="str">
        <f>IF(MAX(BO9,BP9,BQ9,BR9)&gt;0,MAX(BO9,BP9,BQ9,BR9),"")</f>
        <v/>
      </c>
      <c r="S9" s="25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63">
        <v>17.100000000000001</v>
      </c>
      <c r="V9" s="63">
        <v>9.1</v>
      </c>
      <c r="W9" s="63">
        <v>2.2000000000000002</v>
      </c>
      <c r="X9" s="63">
        <v>15.06</v>
      </c>
      <c r="Y9" s="63">
        <v>0</v>
      </c>
      <c r="Z9" s="63">
        <v>15.7</v>
      </c>
      <c r="AA9" s="63">
        <v>9.25</v>
      </c>
      <c r="AB9" s="63">
        <v>11.2</v>
      </c>
      <c r="AC9" s="63">
        <v>14.42</v>
      </c>
      <c r="AD9" s="63">
        <v>0</v>
      </c>
      <c r="AE9" s="63">
        <v>15.9</v>
      </c>
      <c r="AF9" s="63">
        <v>8.5500000000000007</v>
      </c>
      <c r="AG9" s="63">
        <v>11.4</v>
      </c>
      <c r="AH9" s="63">
        <v>14.77</v>
      </c>
      <c r="AI9" s="63">
        <v>0</v>
      </c>
      <c r="AJ9" s="74"/>
      <c r="AK9" s="12">
        <f>IF(AB9&gt;0,AB9,"")</f>
        <v>11.2</v>
      </c>
      <c r="AL9" s="12">
        <f>IF(SUM(U9:X9)-Y9&gt;0,SUM(U9:X9)-Y9,"")</f>
        <v>43.46</v>
      </c>
      <c r="AM9" s="12">
        <f>IF(SUM(Z9:AC9)-AD9&gt;0,SUM(Z9:AC9)-AD9,"")</f>
        <v>50.57</v>
      </c>
      <c r="AN9" s="12">
        <f>IF(SUM(AL9:AM9)&gt;0,SUM(AL9:AM9),"")</f>
        <v>94.03</v>
      </c>
      <c r="AO9" s="12">
        <f>IF(AG9&gt;0,AG9,"")</f>
        <v>11.4</v>
      </c>
      <c r="AP9" s="12">
        <f>IF(SUM(AE9:AH9)-AI9&gt;0,SUM(AE9:AH9)-AI9,"")</f>
        <v>50.620000000000005</v>
      </c>
      <c r="AQ9" s="12">
        <f>IF(SUM(AN9,AP9)&gt;0,SUM(AN9,AP9),"")</f>
        <v>144.65</v>
      </c>
      <c r="AR9" s="69">
        <v>15.8</v>
      </c>
      <c r="AS9" s="69">
        <v>9.1</v>
      </c>
      <c r="AT9" s="69">
        <v>3.4</v>
      </c>
      <c r="AU9" s="69">
        <v>14.69</v>
      </c>
      <c r="AV9" s="69">
        <v>2</v>
      </c>
      <c r="AW9" s="69">
        <v>13.4</v>
      </c>
      <c r="AX9" s="69">
        <v>8.3000000000000007</v>
      </c>
      <c r="AY9" s="69">
        <v>9.3000000000000007</v>
      </c>
      <c r="AZ9" s="69">
        <v>12.53</v>
      </c>
      <c r="BA9" s="69">
        <v>0</v>
      </c>
      <c r="BB9" s="69">
        <v>1.44</v>
      </c>
      <c r="BC9" s="69">
        <v>1</v>
      </c>
      <c r="BD9" s="69">
        <v>1.5</v>
      </c>
      <c r="BE9" s="69">
        <v>1.52</v>
      </c>
      <c r="BF9" s="69">
        <v>0</v>
      </c>
      <c r="BG9" s="75"/>
      <c r="BH9" s="15">
        <f>IF(AY9&gt;0,AY9,"")</f>
        <v>9.3000000000000007</v>
      </c>
      <c r="BI9" s="15">
        <f>IF(SUM(AR9:AU9)-AV9&gt;0,SUM(AR9:AU9)-AV9,"")</f>
        <v>40.989999999999995</v>
      </c>
      <c r="BJ9" s="15">
        <f>IF(SUM(AW9:AZ9)-BA9&gt;0,SUM(AW9:AZ9)-BA9,"")</f>
        <v>43.53</v>
      </c>
      <c r="BK9" s="15">
        <f>IF(SUM(BI9:BJ9)&gt;0,SUM(BI9:BJ9),"")</f>
        <v>84.52</v>
      </c>
      <c r="BL9" s="15">
        <f>IF(BD9&gt;0,BD9,"")</f>
        <v>1.5</v>
      </c>
      <c r="BM9" s="15">
        <f>IF(SUM(BB9:BE9)-BF9&gt;0,SUM(BB9:BE9)-BF9,"")</f>
        <v>5.46</v>
      </c>
      <c r="BN9" s="15">
        <f>IF(SUM(BK9,BM9)&gt;0,SUM(BK9,BM9),"")</f>
        <v>89.97999999999999</v>
      </c>
      <c r="BO9" s="24" t="str">
        <f>IF(MAX(CI9,DE9,EA9,EW9,FS9,GO9,HK9,IG9,JC9,JY9,KU9,LQ9)-IF(L9="",0,L9)&gt;0.001,MAX(CI9,DE9,EA9,EW9,FS9,GO9,HK9,IG9,JC9,JY9,KU9,LQ9)-IF(L9="",0,L9),"")</f>
        <v/>
      </c>
      <c r="BP9" s="24" t="str">
        <f>IF(MAX(CJ9,DF9,EB9,EX9,FT9,GP9,HL9,IH9,JD9,JZ9,KV9,LR9)-IF(N9="",0,N9)&gt;0.001,MAX(CJ9,DF9,EB9,EX9,FT9,GP9,HL9,IH9,JD9,JZ9,KV9,LR9)-IF(N9="",0,N9),"")</f>
        <v/>
      </c>
      <c r="BQ9" s="24" t="str">
        <f>IF(MAX(CK9,DG9,EC9,EY9,FU9,GQ9,HM9,II9,JE9,KA9,KW9,LS9)-IF(J9="",0,J9)&gt;0.001,MAX(CK9,DG9,EC9,EY9,FU9,GQ9,HM9,II9,JE9,KA9,KW9,LS9)-IF(J9="",0,J9),"")</f>
        <v/>
      </c>
      <c r="BR9" s="24" t="str">
        <f>IF(MAX(CM9,DI9,EE9,FA9,FW9,GS9,HO9,IK9,JG9,KC9,KY9,LU9)-IF(P9="",0,P9)&gt;0.001,MAX(CM9,DI9,EE9,FA9,FW9,GS9,HO9,IK9,JG9,KC9,KY9,LU9)-IF(P9="",0,P9),"")</f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63">
        <f t="shared" si="0"/>
        <v>16.450000000000003</v>
      </c>
      <c r="LX9" s="63">
        <f t="shared" si="1"/>
        <v>9.1</v>
      </c>
      <c r="LY9" s="63">
        <f t="shared" si="2"/>
        <v>2.8</v>
      </c>
      <c r="LZ9" s="63">
        <f t="shared" si="3"/>
        <v>14.875</v>
      </c>
      <c r="MA9" s="63">
        <f t="shared" si="4"/>
        <v>1</v>
      </c>
      <c r="MB9" s="63">
        <f t="shared" si="5"/>
        <v>14.55</v>
      </c>
      <c r="MC9" s="63">
        <f t="shared" si="6"/>
        <v>8.7750000000000004</v>
      </c>
      <c r="MD9" s="63">
        <f t="shared" si="7"/>
        <v>10.25</v>
      </c>
      <c r="ME9" s="63">
        <f t="shared" si="8"/>
        <v>13.475</v>
      </c>
      <c r="MF9" s="63">
        <f t="shared" si="9"/>
        <v>0</v>
      </c>
      <c r="MG9" s="63">
        <f t="shared" si="10"/>
        <v>8.67</v>
      </c>
      <c r="MH9" s="63">
        <f t="shared" si="11"/>
        <v>4.7750000000000004</v>
      </c>
      <c r="MI9" s="63">
        <f t="shared" si="12"/>
        <v>6.45</v>
      </c>
      <c r="MJ9" s="63">
        <f t="shared" si="13"/>
        <v>8.1449999999999996</v>
      </c>
      <c r="MK9" s="63">
        <f t="shared" si="14"/>
        <v>0</v>
      </c>
      <c r="ML9" s="74" t="s">
        <v>81</v>
      </c>
      <c r="MM9" s="12">
        <f t="shared" si="15"/>
        <v>10.25</v>
      </c>
      <c r="MN9" s="12">
        <f t="shared" si="16"/>
        <v>42.225000000000009</v>
      </c>
      <c r="MO9" s="12">
        <f t="shared" si="17"/>
        <v>47.050000000000004</v>
      </c>
      <c r="MP9" s="12">
        <f t="shared" si="18"/>
        <v>89.275000000000006</v>
      </c>
      <c r="MQ9" s="12">
        <f t="shared" si="19"/>
        <v>6.45</v>
      </c>
      <c r="MR9" s="12">
        <f t="shared" si="20"/>
        <v>28.04</v>
      </c>
      <c r="MS9" s="12">
        <f t="shared" si="21"/>
        <v>117.315</v>
      </c>
    </row>
    <row r="10" spans="1:357" x14ac:dyDescent="0.2">
      <c r="A10" s="6" t="str">
        <f>IF(AND(F10="P",H10="P"),SUMPRODUCT((F$4:F$13="P")*(H$4:H$13="P")*(E$4:E$13&gt;E10))+1,IF(H10="P",SUMPRODUCT((F$4:F$13="")*(H$4:H$13="P")*(E$4:E$13&gt;E10))+1+SUMPRODUCT((F$4:F$13="P")*(H$4:H$13="P")),""))</f>
        <v/>
      </c>
      <c r="B10" s="7" t="s">
        <v>93</v>
      </c>
      <c r="C10" s="8" t="s">
        <v>6</v>
      </c>
      <c r="D10" s="6">
        <v>2003</v>
      </c>
      <c r="E10" s="16">
        <f>SUM(J10:R10)</f>
        <v>214.55500000000001</v>
      </c>
      <c r="F10" s="4" t="str">
        <f>IF(OR(AND($AK10&gt;=$AL$15,NOT($AK10=""),$AJ10=""),AND($BH10&gt;=$BI$15,NOT($BH10=""),$BG10=""),AND($CH10&gt;=$CI$15,NOT($CH10="")),AND($DD10&gt;=$DE$15,NOT($DD10="")),AND($DZ10&gt;=$EA$15,NOT($DZ10="")),AND($EV10&gt;=$EW$15,NOT($EV10="")),AND($FR10&gt;=$FS$15,NOT($FR10="")),AND($GN10&gt;=$GO$15,NOT($GN10="")),AND($HJ10&gt;=$HK$15,NOT($HJ10="")),AND($IF10&gt;=$IG$15,NOT($IF10="")),AND($JB10&gt;=$JC$15,NOT($JB10="")),AND($JX10&gt;=$JY$15,NOT($JX10="")),AND($KT10&gt;=$KU$15,NOT($KT10="")),AND($LP10&gt;=$LQ$15,NOT($LP10="")),AND($AO10&gt;=$AL$15,NOT($AO10=""),$AJ10=""),AND($BL10&gt;=$BI$15,NOT($BL10=""),$BG10=""),AND($CL10&gt;=$CI$15,NOT($CL10="")),AND($DH10&gt;=$DE$15,NOT($DH10="")),AND($ED10&gt;=$EA$15,NOT($ED10="")),AND($EZ10&gt;=$EW$15,NOT($EZ10="")),AND($FV10&gt;=$FS$15,NOT($FV10="")),AND($GR10&gt;=$GO$15,NOT($GR10="")),AND($HN10&gt;=$HK$15,NOT($HN10="")),AND($IJ10&gt;=$IG$15,NOT($IJ10="")),AND($JF10&gt;=$JC$15,NOT($JF10="")),AND($KB10&gt;=$JY$15,NOT($KB10="")),AND($KX10&gt;=$KU$15,NOT($KX10="")),AND($LT10&gt;=$LQ$15,NOT($LT10=""))),"P","")</f>
        <v/>
      </c>
      <c r="G10" s="4" t="str">
        <f>IF(OR(AND($AK10&gt;=$AL$16,NOT($AK10=""),$AJ10=""),AND($BH10&gt;=$BI$16,NOT($BH10=""),$BG10=""),AND($CH10&gt;=$CI$16,NOT($CH10="")),AND($DD10&gt;=$DE$16,NOT($DD10="")),AND($DZ10&gt;=$EA$16,NOT($DZ10="")),AND($EV10&gt;=$EW$16,NOT($EV10="")),AND($FR10&gt;=$FS$16,NOT($FR10="")),AND($GN10&gt;=$GO$16,NOT($GN10="")),AND($HJ10&gt;=$HK$16,NOT($HJ10="")),AND($IF10&gt;=$IG$16,NOT($IF10="")),AND($JB10&gt;=$JC$16,NOT($JB10="")),AND($JX10&gt;=$JY$16,NOT($JX10="")),AND($KT10&gt;=$KU$16,NOT($KT10="")),AND($LP10&gt;=$LQ$16,NOT($LP10="")),AND($AO10&gt;=$AL$16,NOT($AO10=""),$AJ10=""),AND($BL10&gt;=$BI$16,NOT($BL10=""),$BG10=""),AND($CL10&gt;=$CI$16,NOT($CL10="")),AND($DH10&gt;=$DE$16,NOT($DH10="")),AND($ED10&gt;=$EA$16,NOT($ED10="")),AND($EZ10&gt;=$EW$16,NOT($EZ10="")),AND($FV10&gt;=$FS$16,NOT($FV10="")),AND($GR10&gt;=$GO$16,NOT($GR10="")),AND($HN10&gt;=$HK$16,NOT($HN10="")),AND($IJ10&gt;=$IG$16,NOT($IJ10="")),AND($JF10&gt;=$JC$16,NOT($JF10="")),AND($KB10&gt;=$JY$16,NOT($KB10="")),AND($KX10&gt;=$KU$16,NOT($KX10="")),AND($LT10&gt;=$LQ$16,NOT($LT10=""))),"P","")</f>
        <v/>
      </c>
      <c r="H10" s="4" t="str">
        <f>IF(OR(AND($AN10&gt;=$AL$17,NOT($AN10=""),$AJ10=""),AND($BK10&gt;=$BI$17,NOT($BK10=""),$BG10=""),AND($CK10&gt;=$CI$17,NOT($CK10="")),AND($DG10&gt;=$DE$17,NOT($DG10="")),AND($EC10&gt;=$EA$17,NOT($EC10="")),AND($EY10&gt;=$EW$17,NOT($EY10="")),AND($FU10&gt;=$FS$17,NOT($FU10="")),AND($GQ10&gt;=$GO$17,NOT($GQ10="")),AND($HM10&gt;=$HK$17,NOT($HM10="")),AND($II10&gt;=$IG$17,NOT($II10="")),AND($JE10&gt;=$JC$17,NOT($JE10="")),AND($KA10&gt;=$JY$17,NOT($KA10="")),AND($KW10&gt;=$KU$17,NOT($KW10="")),AND($LS10&gt;=$LQ$17,NOT($LS10=""))),"P","")</f>
        <v/>
      </c>
      <c r="I10" t="str">
        <f>IF(AND(H10="P",F10=""),"No DD",IF(AND(G10="P",OR(AND($AM10&gt;$AL$20,NOT($AM10=""),$AJ10=""),AND($AP10&gt;$AL$20,NOT($AP10=""),$AJ10=""),AND($BJ10&gt;$BI$20,NOT($BJ10=""),$BG10=""),AND($BM10&gt;$BI$20,NOT($BM10=""),$BG10=""),AND($CJ10&gt;$CI$20,NOT($CJ10="")),AND($CM10&gt;$CI$20,NOT($CM10="")),AND($DF10&gt;$DE$20,NOT($DF10="")),AND($DI10&gt;$DE$20,NOT($DI10="")),AND($EB10&gt;$EA$20,NOT($EB10="")),AND($EE10&gt;$EA$20,NOT($EE10="")),AND($EX10&gt;$EW$20,NOT($EX10="")),AND($FA10&gt;$EW$20,NOT($FA10="")),AND($FT10&gt;$FS$20,NOT($FT10="")),AND($FW10&gt;$FS$20,NOT($FW10="")),AND($GP10&gt;$GO$20,NOT($GP10="")),AND($GS10&gt;$GO$20,NOT($GS10="")),AND($HL10&gt;$HK$20,NOT($HL10="")),AND($HO10&gt;$HK$20,NOT($HO10="")),AND($IH10&gt;$IG$20,NOT($IH10="")),AND($IK10&gt;$IG$20,NOT($IK10="")),AND($JD10&gt;$JC$20,NOT($JD10="")),AND($JG10&gt;$JC$20,NOT($JG10="")),AND($JZ10&gt;$JY$20,NOT($JZ10="")),AND($KC10&gt;$JY$20,NOT($KC10="")),AND($KV10&gt;$KU$20,NOT($KV10="")),AND($KY10&gt;$KU$20,NOT($KY10="")),AND($LR10&gt;$LQ$20,NOT($LR10="")),AND($LU10&gt;$LQ$20,NOT($LU10="")))),"Merit",IF(AND(G10="P",OR(AND($AN10&gt;$AL$19,NOT($AN10=""),$AJ10=""),AND($BK10&gt;$BI$19,NOT($BK10=""),$BG10=""),AND($CK10&gt;$CI$19,NOT($CK10="")),AND($DG10&gt;$DE$19,NOT($DG10="")),AND($EC10&gt;$EA$19,NOT($EC10="")),AND($EY10&gt;$EW$19,NOT($EY10="")),AND($FU10&gt;$FS$19,NOT($FU10="")),AND($GQ10&gt;$GO$19,NOT($GQ10="")),AND($HM10&gt;$HK$19,NOT($HM10="")),AND($II10&gt;$IG$19,NOT($II10="")),AND($JE10&gt;$JC$19,NOT($JE10="")),AND($KA10&gt;$JY$19,NOT($KA10="")),AND($KW10&gt;$KU$19,NOT($KW10="")),AND($LS10&gt;$LQ$19,NOT($LS10="")))),"Excellence",IF(AND(G10="P",OR(AND($AN10&gt;$AL$18,NOT($AN10=""),$AJ10=""),AND($BK10&gt;$BI$18,NOT($BK10=""),$BG10=""),AND($CK10&gt;$CI$18,NOT($CK10="")),AND($DG10&gt;$DE$18,NOT($DG10="")),AND($EC10&gt;$EA$18,NOT($EC10="")),AND($EY10&gt;$EW$18,NOT($EY10="")),AND($FU10&gt;$FS$18,NOT($FU10="")),AND($GQ10&gt;$GO$18,NOT($GQ10="")),AND($HM10&gt;$HK$18,NOT($HM10="")),AND($II10&gt;$IG$18,NOT($II10="")),AND($JE10&gt;$JC$18,NOT($JE10="")),AND($KA10&gt;$JY$18,NOT($KA10="")),AND($KW10&gt;$KU$18,NOT($KW10="")),AND($LS10&gt;$LQ$18,NOT($LS10="")))),"Worlds Team",IF(AND(F10="P",OR(AND($AN10&gt;$AL$17,NOT($AN10=""),$AJ10=""),AND($BK10&gt;$BI$17,NOT($BK10=""),$BG10=""),AND($CK10&gt;$CI$17,NOT($CK10="")),AND($DG10&gt;$DE$17,NOT($DG10="")),AND($EC10&gt;$EA$17,NOT($EC10="")),AND($EY10&gt;$EW$17,NOT($EY10="")),AND($FU10&gt;$FS$17,NOT($FU10="")),AND($GQ10&gt;$GO$17,NOT($GQ10="")),AND($HM10&gt;$HK$17,NOT($HM10="")),AND($II10&gt;$IG$17,NOT($II10="")),AND($JE10&gt;$JC$17,NOT($JE10="")),AND($KA10&gt;$JY$17,NOT($KA10="")),AND($KW10&gt;$KU$17,NOT($KW10="")),AND($LS10&gt;$LQ$17,NOT($LS10="")))),"National Team","")))))</f>
        <v/>
      </c>
      <c r="J10" s="15">
        <f>IF(MAX(AN10,BK10)&gt;0,MAX(AN10,BK10),"")</f>
        <v>96.77</v>
      </c>
      <c r="K10" s="15" t="str">
        <f>IF(J10="","",IF(J10=BK10,$AR$1,IF(J10=AN10,$U$1,"")))</f>
        <v>2019 Nationals</v>
      </c>
      <c r="L10" s="15">
        <f>IF($J10=$AN10,BI10,IF($J10=$BK10,AL10,MAX(AL10,BI10)))</f>
        <v>43.32</v>
      </c>
      <c r="M10" s="15" t="str">
        <f>IF(L10="","",IF(AND(L10=BI10,$K10&lt;&gt;$AR$1),$AR$1,IF(AND(L10=AL10,$K10&lt;&gt;$U$1),$U$1,"")))</f>
        <v>2019 Elite Canada</v>
      </c>
      <c r="N10" s="15">
        <f>IF($J10=$AN10,BJ10,IF($J10=$BK10,AM10,MAX(AM10,BJ10)))</f>
        <v>24.93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49.535000000000004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5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63">
        <v>16.600000000000001</v>
      </c>
      <c r="V10" s="63">
        <v>9.5</v>
      </c>
      <c r="W10" s="63">
        <v>2.2000000000000002</v>
      </c>
      <c r="X10" s="63">
        <v>15.02</v>
      </c>
      <c r="Y10" s="63">
        <v>0</v>
      </c>
      <c r="Z10" s="63">
        <v>7.2</v>
      </c>
      <c r="AA10" s="63">
        <v>4.25</v>
      </c>
      <c r="AB10" s="63">
        <v>6.3</v>
      </c>
      <c r="AC10" s="63">
        <v>7.18</v>
      </c>
      <c r="AD10" s="63">
        <v>0</v>
      </c>
      <c r="AE10" s="63">
        <v>15.6</v>
      </c>
      <c r="AF10" s="63">
        <v>8.65</v>
      </c>
      <c r="AG10" s="63">
        <v>10.4</v>
      </c>
      <c r="AH10" s="63">
        <v>14.365</v>
      </c>
      <c r="AI10" s="63">
        <v>0</v>
      </c>
      <c r="AJ10" s="74"/>
      <c r="AK10" s="12">
        <f>IF(AB10&gt;0,AB10,"")</f>
        <v>6.3</v>
      </c>
      <c r="AL10" s="12">
        <f>IF(SUM(U10:X10)-Y10&gt;0,SUM(U10:X10)-Y10,"")</f>
        <v>43.32</v>
      </c>
      <c r="AM10" s="12">
        <f>IF(SUM(Z10:AC10)-AD10&gt;0,SUM(Z10:AC10)-AD10,"")</f>
        <v>24.93</v>
      </c>
      <c r="AN10" s="12">
        <f>IF(SUM(AL10:AM10)&gt;0,SUM(AL10:AM10),"")</f>
        <v>68.25</v>
      </c>
      <c r="AO10" s="12">
        <f>IF(AG10&gt;0,AG10,"")</f>
        <v>10.4</v>
      </c>
      <c r="AP10" s="12">
        <f>IF(SUM(AE10:AH10)-AI10&gt;0,SUM(AE10:AH10)-AI10,"")</f>
        <v>49.015000000000001</v>
      </c>
      <c r="AQ10" s="12">
        <f>IF(SUM(AN10,AP10)&gt;0,SUM(AN10,AP10),"")</f>
        <v>117.265</v>
      </c>
      <c r="AR10" s="69">
        <v>17.5</v>
      </c>
      <c r="AS10" s="69">
        <v>9.6</v>
      </c>
      <c r="AT10" s="69">
        <v>3.4</v>
      </c>
      <c r="AU10" s="69">
        <v>15.46</v>
      </c>
      <c r="AV10" s="69">
        <v>0</v>
      </c>
      <c r="AW10" s="69">
        <v>15.7</v>
      </c>
      <c r="AX10" s="69">
        <v>9.4</v>
      </c>
      <c r="AY10" s="69">
        <v>11.2</v>
      </c>
      <c r="AZ10" s="69">
        <v>14.51</v>
      </c>
      <c r="BA10" s="69">
        <v>0</v>
      </c>
      <c r="BB10" s="69">
        <v>14.74</v>
      </c>
      <c r="BC10" s="69">
        <v>9.4</v>
      </c>
      <c r="BD10" s="69">
        <v>11.2</v>
      </c>
      <c r="BE10" s="69">
        <v>14.195</v>
      </c>
      <c r="BF10" s="69">
        <v>0</v>
      </c>
      <c r="BG10" s="75"/>
      <c r="BH10" s="15">
        <f>IF(AY10&gt;0,AY10,"")</f>
        <v>11.2</v>
      </c>
      <c r="BI10" s="15">
        <f>IF(SUM(AR10:AU10)-AV10&gt;0,SUM(AR10:AU10)-AV10,"")</f>
        <v>45.96</v>
      </c>
      <c r="BJ10" s="15">
        <f>IF(SUM(AW10:AZ10)-BA10&gt;0,SUM(AW10:AZ10)-BA10,"")</f>
        <v>50.809999999999995</v>
      </c>
      <c r="BK10" s="15">
        <f>IF(SUM(BI10:BJ10)&gt;0,SUM(BI10:BJ10),"")</f>
        <v>96.77</v>
      </c>
      <c r="BL10" s="15">
        <f>IF(BD10&gt;0,BD10,"")</f>
        <v>11.2</v>
      </c>
      <c r="BM10" s="15">
        <f>IF(SUM(BB10:BE10)-BF10&gt;0,SUM(BB10:BE10)-BF10,"")</f>
        <v>49.535000000000004</v>
      </c>
      <c r="BN10" s="15">
        <f>IF(SUM(BK10,BM10)&gt;0,SUM(BK10,BM10),"")</f>
        <v>146.30500000000001</v>
      </c>
      <c r="BO10" s="24" t="str">
        <f>IF(MAX(CI10,DE10,EA10,EW10,FS10,GO10,HK10,IG10,JC10,JY10,KU10,LQ10)-IF(L10="",0,L10)&gt;0.001,MAX(CI10,DE10,EA10,EW10,FS10,GO10,HK10,IG10,JC10,JY10,KU10,LQ10)-IF(L10="",0,L10),"")</f>
        <v/>
      </c>
      <c r="BP10" s="24" t="str">
        <f>IF(MAX(CJ10,DF10,EB10,EX10,FT10,GP10,HL10,IH10,JD10,JZ10,KV10,LR10)-IF(N10="",0,N10)&gt;0.001,MAX(CJ10,DF10,EB10,EX10,FT10,GP10,HL10,IH10,JD10,JZ10,KV10,LR10)-IF(N10="",0,N10),"")</f>
        <v/>
      </c>
      <c r="BQ10" s="24" t="str">
        <f>IF(MAX(CK10,DG10,EC10,EY10,FU10,GQ10,HM10,II10,JE10,KA10,KW10,LS10)-IF(J10="",0,J10)&gt;0.001,MAX(CK10,DG10,EC10,EY10,FU10,GQ10,HM10,II10,JE10,KA10,KW10,LS10)-IF(J10="",0,J10),"")</f>
        <v/>
      </c>
      <c r="BR10" s="24" t="str">
        <f>IF(MAX(CM10,DI10,EE10,FA10,FW10,GS10,HO10,IK10,JG10,KC10,KY10,LU10)-IF(P10="",0,P10)&gt;0.001,MAX(CM10,DI10,EE10,FA10,FW10,GS10,HO10,IK10,JG10,KC10,KY10,LU10)-IF(P10="",0,P10),"")</f>
        <v/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63">
        <f t="shared" si="0"/>
        <v>17.05</v>
      </c>
      <c r="LX10" s="63">
        <f t="shared" si="1"/>
        <v>9.5500000000000007</v>
      </c>
      <c r="LY10" s="63">
        <f t="shared" si="2"/>
        <v>2.8</v>
      </c>
      <c r="LZ10" s="63">
        <f t="shared" si="3"/>
        <v>15.24</v>
      </c>
      <c r="MA10" s="63">
        <f t="shared" si="4"/>
        <v>0</v>
      </c>
      <c r="MB10" s="63">
        <f t="shared" si="5"/>
        <v>11.45</v>
      </c>
      <c r="MC10" s="63">
        <f t="shared" si="6"/>
        <v>6.8250000000000002</v>
      </c>
      <c r="MD10" s="63">
        <f t="shared" si="7"/>
        <v>8.75</v>
      </c>
      <c r="ME10" s="63">
        <f t="shared" si="8"/>
        <v>10.844999999999999</v>
      </c>
      <c r="MF10" s="63">
        <f t="shared" si="9"/>
        <v>0</v>
      </c>
      <c r="MG10" s="63">
        <f t="shared" si="10"/>
        <v>15.17</v>
      </c>
      <c r="MH10" s="63">
        <f t="shared" si="11"/>
        <v>9.0250000000000004</v>
      </c>
      <c r="MI10" s="63">
        <f t="shared" si="12"/>
        <v>10.8</v>
      </c>
      <c r="MJ10" s="63">
        <f t="shared" si="13"/>
        <v>14.280000000000001</v>
      </c>
      <c r="MK10" s="63">
        <f t="shared" si="14"/>
        <v>0</v>
      </c>
      <c r="ML10" s="74" t="s">
        <v>81</v>
      </c>
      <c r="MM10" s="12">
        <f t="shared" si="15"/>
        <v>8.75</v>
      </c>
      <c r="MN10" s="12">
        <f t="shared" si="16"/>
        <v>44.64</v>
      </c>
      <c r="MO10" s="12">
        <f t="shared" si="17"/>
        <v>37.869999999999997</v>
      </c>
      <c r="MP10" s="12">
        <f t="shared" si="18"/>
        <v>82.509999999999991</v>
      </c>
      <c r="MQ10" s="12">
        <f t="shared" si="19"/>
        <v>10.8</v>
      </c>
      <c r="MR10" s="12">
        <f t="shared" si="20"/>
        <v>49.275000000000006</v>
      </c>
      <c r="MS10" s="12">
        <f t="shared" si="21"/>
        <v>131.785</v>
      </c>
    </row>
    <row r="11" spans="1:357" x14ac:dyDescent="0.2">
      <c r="A11" s="6" t="str">
        <f>IF(AND(F11="P",H11="P"),SUMPRODUCT((F$4:F$13="P")*(H$4:H$13="P")*(E$4:E$13&gt;E11))+1,IF(H11="P",SUMPRODUCT((F$4:F$13="")*(H$4:H$13="P")*(E$4:E$13&gt;E11))+1+SUMPRODUCT((F$4:F$13="P")*(H$4:H$13="P")),""))</f>
        <v/>
      </c>
      <c r="B11" s="9" t="s">
        <v>94</v>
      </c>
      <c r="C11" s="5" t="s">
        <v>6</v>
      </c>
      <c r="D11" s="8">
        <v>2005</v>
      </c>
      <c r="E11" s="16">
        <f>SUM(J11:R11)</f>
        <v>210.98</v>
      </c>
      <c r="F11" s="4" t="str">
        <f>IF(OR(AND($AK11&gt;=$AL$15,NOT($AK11=""),$AJ11=""),AND($BH11&gt;=$BI$15,NOT($BH11=""),$BG11=""),AND($CH11&gt;=$CI$15,NOT($CH11="")),AND($DD11&gt;=$DE$15,NOT($DD11="")),AND($DZ11&gt;=$EA$15,NOT($DZ11="")),AND($EV11&gt;=$EW$15,NOT($EV11="")),AND($FR11&gt;=$FS$15,NOT($FR11="")),AND($GN11&gt;=$GO$15,NOT($GN11="")),AND($HJ11&gt;=$HK$15,NOT($HJ11="")),AND($IF11&gt;=$IG$15,NOT($IF11="")),AND($JB11&gt;=$JC$15,NOT($JB11="")),AND($JX11&gt;=$JY$15,NOT($JX11="")),AND($KT11&gt;=$KU$15,NOT($KT11="")),AND($LP11&gt;=$LQ$15,NOT($LP11="")),AND($AO11&gt;=$AL$15,NOT($AO11=""),$AJ11=""),AND($BL11&gt;=$BI$15,NOT($BL11=""),$BG11=""),AND($CL11&gt;=$CI$15,NOT($CL11="")),AND($DH11&gt;=$DE$15,NOT($DH11="")),AND($ED11&gt;=$EA$15,NOT($ED11="")),AND($EZ11&gt;=$EW$15,NOT($EZ11="")),AND($FV11&gt;=$FS$15,NOT($FV11="")),AND($GR11&gt;=$GO$15,NOT($GR11="")),AND($HN11&gt;=$HK$15,NOT($HN11="")),AND($IJ11&gt;=$IG$15,NOT($IJ11="")),AND($JF11&gt;=$JC$15,NOT($JF11="")),AND($KB11&gt;=$JY$15,NOT($KB11="")),AND($KX11&gt;=$KU$15,NOT($KX11="")),AND($LT11&gt;=$LQ$15,NOT($LT11=""))),"P","")</f>
        <v/>
      </c>
      <c r="G11" s="4" t="str">
        <f>IF(OR(AND($AK11&gt;=$AL$16,NOT($AK11=""),$AJ11=""),AND($BH11&gt;=$BI$16,NOT($BH11=""),$BG11=""),AND($CH11&gt;=$CI$16,NOT($CH11="")),AND($DD11&gt;=$DE$16,NOT($DD11="")),AND($DZ11&gt;=$EA$16,NOT($DZ11="")),AND($EV11&gt;=$EW$16,NOT($EV11="")),AND($FR11&gt;=$FS$16,NOT($FR11="")),AND($GN11&gt;=$GO$16,NOT($GN11="")),AND($HJ11&gt;=$HK$16,NOT($HJ11="")),AND($IF11&gt;=$IG$16,NOT($IF11="")),AND($JB11&gt;=$JC$16,NOT($JB11="")),AND($JX11&gt;=$JY$16,NOT($JX11="")),AND($KT11&gt;=$KU$16,NOT($KT11="")),AND($LP11&gt;=$LQ$16,NOT($LP11="")),AND($AO11&gt;=$AL$16,NOT($AO11=""),$AJ11=""),AND($BL11&gt;=$BI$16,NOT($BL11=""),$BG11=""),AND($CL11&gt;=$CI$16,NOT($CL11="")),AND($DH11&gt;=$DE$16,NOT($DH11="")),AND($ED11&gt;=$EA$16,NOT($ED11="")),AND($EZ11&gt;=$EW$16,NOT($EZ11="")),AND($FV11&gt;=$FS$16,NOT($FV11="")),AND($GR11&gt;=$GO$16,NOT($GR11="")),AND($HN11&gt;=$HK$16,NOT($HN11="")),AND($IJ11&gt;=$IG$16,NOT($IJ11="")),AND($JF11&gt;=$JC$16,NOT($JF11="")),AND($KB11&gt;=$JY$16,NOT($KB11="")),AND($KX11&gt;=$KU$16,NOT($KX11="")),AND($LT11&gt;=$LQ$16,NOT($LT11=""))),"P","")</f>
        <v/>
      </c>
      <c r="H11" s="4" t="str">
        <f>IF(OR(AND($AN11&gt;=$AL$17,NOT($AN11=""),$AJ11=""),AND($BK11&gt;=$BI$17,NOT($BK11=""),$BG11=""),AND($CK11&gt;=$CI$17,NOT($CK11="")),AND($DG11&gt;=$DE$17,NOT($DG11="")),AND($EC11&gt;=$EA$17,NOT($EC11="")),AND($EY11&gt;=$EW$17,NOT($EY11="")),AND($FU11&gt;=$FS$17,NOT($FU11="")),AND($GQ11&gt;=$GO$17,NOT($GQ11="")),AND($HM11&gt;=$HK$17,NOT($HM11="")),AND($II11&gt;=$IG$17,NOT($II11="")),AND($JE11&gt;=$JC$17,NOT($JE11="")),AND($KA11&gt;=$JY$17,NOT($KA11="")),AND($KW11&gt;=$KU$17,NOT($KW11="")),AND($LS11&gt;=$LQ$17,NOT($LS11=""))),"P","")</f>
        <v/>
      </c>
      <c r="I11" t="str">
        <f>IF(AND(H11="P",F11=""),"No DD",IF(AND(G11="P",OR(AND($AM11&gt;$AL$20,NOT($AM11=""),$AJ11=""),AND($AP11&gt;$AL$20,NOT($AP11=""),$AJ11=""),AND($BJ11&gt;$BI$20,NOT($BJ11=""),$BG11=""),AND($BM11&gt;$BI$20,NOT($BM11=""),$BG11=""),AND($CJ11&gt;$CI$20,NOT($CJ11="")),AND($CM11&gt;$CI$20,NOT($CM11="")),AND($DF11&gt;$DE$20,NOT($DF11="")),AND($DI11&gt;$DE$20,NOT($DI11="")),AND($EB11&gt;$EA$20,NOT($EB11="")),AND($EE11&gt;$EA$20,NOT($EE11="")),AND($EX11&gt;$EW$20,NOT($EX11="")),AND($FA11&gt;$EW$20,NOT($FA11="")),AND($FT11&gt;$FS$20,NOT($FT11="")),AND($FW11&gt;$FS$20,NOT($FW11="")),AND($GP11&gt;$GO$20,NOT($GP11="")),AND($GS11&gt;$GO$20,NOT($GS11="")),AND($HL11&gt;$HK$20,NOT($HL11="")),AND($HO11&gt;$HK$20,NOT($HO11="")),AND($IH11&gt;$IG$20,NOT($IH11="")),AND($IK11&gt;$IG$20,NOT($IK11="")),AND($JD11&gt;$JC$20,NOT($JD11="")),AND($JG11&gt;$JC$20,NOT($JG11="")),AND($JZ11&gt;$JY$20,NOT($JZ11="")),AND($KC11&gt;$JY$20,NOT($KC11="")),AND($KV11&gt;$KU$20,NOT($KV11="")),AND($KY11&gt;$KU$20,NOT($KY11="")),AND($LR11&gt;$LQ$20,NOT($LR11="")),AND($LU11&gt;$LQ$20,NOT($LU11="")))),"Merit",IF(AND(G11="P",OR(AND($AN11&gt;$AL$19,NOT($AN11=""),$AJ11=""),AND($BK11&gt;$BI$19,NOT($BK11=""),$BG11=""),AND($CK11&gt;$CI$19,NOT($CK11="")),AND($DG11&gt;$DE$19,NOT($DG11="")),AND($EC11&gt;$EA$19,NOT($EC11="")),AND($EY11&gt;$EW$19,NOT($EY11="")),AND($FU11&gt;$FS$19,NOT($FU11="")),AND($GQ11&gt;$GO$19,NOT($GQ11="")),AND($HM11&gt;$HK$19,NOT($HM11="")),AND($II11&gt;$IG$19,NOT($II11="")),AND($JE11&gt;$JC$19,NOT($JE11="")),AND($KA11&gt;$JY$19,NOT($KA11="")),AND($KW11&gt;$KU$19,NOT($KW11="")),AND($LS11&gt;$LQ$19,NOT($LS11="")))),"Excellence",IF(AND(G11="P",OR(AND($AN11&gt;$AL$18,NOT($AN11=""),$AJ11=""),AND($BK11&gt;$BI$18,NOT($BK11=""),$BG11=""),AND($CK11&gt;$CI$18,NOT($CK11="")),AND($DG11&gt;$DE$18,NOT($DG11="")),AND($EC11&gt;$EA$18,NOT($EC11="")),AND($EY11&gt;$EW$18,NOT($EY11="")),AND($FU11&gt;$FS$18,NOT($FU11="")),AND($GQ11&gt;$GO$18,NOT($GQ11="")),AND($HM11&gt;$HK$18,NOT($HM11="")),AND($II11&gt;$IG$18,NOT($II11="")),AND($JE11&gt;$JC$18,NOT($JE11="")),AND($KA11&gt;$JY$18,NOT($KA11="")),AND($KW11&gt;$KU$18,NOT($KW11="")),AND($LS11&gt;$LQ$18,NOT($LS11="")))),"Worlds Team",IF(AND(F11="P",OR(AND($AN11&gt;$AL$17,NOT($AN11=""),$AJ11=""),AND($BK11&gt;$BI$17,NOT($BK11=""),$BG11=""),AND($CK11&gt;$CI$17,NOT($CK11="")),AND($DG11&gt;$DE$17,NOT($DG11="")),AND($EC11&gt;$EA$17,NOT($EC11="")),AND($EY11&gt;$EW$17,NOT($EY11="")),AND($FU11&gt;$FS$17,NOT($FU11="")),AND($GQ11&gt;$GO$17,NOT($GQ11="")),AND($HM11&gt;$HK$17,NOT($HM11="")),AND($II11&gt;$IG$17,NOT($II11="")),AND($JE11&gt;$JC$17,NOT($JE11="")),AND($KA11&gt;$JY$17,NOT($KA11="")),AND($KW11&gt;$KU$17,NOT($KW11="")),AND($LS11&gt;$LQ$17,NOT($LS11="")))),"National Team","")))))</f>
        <v/>
      </c>
      <c r="J11" s="15">
        <f>IF(MAX(AN11,BK11)&gt;0,MAX(AN11,BK11),"")</f>
        <v>93.344999999999999</v>
      </c>
      <c r="K11" s="15" t="str">
        <f>IF(J11="","",IF(J11=BK11,$AR$1,IF(J11=AN11,$U$1,"")))</f>
        <v>2019 Nationals</v>
      </c>
      <c r="L11" s="15">
        <f>IF($J11=$AN11,BI11,IF($J11=$BK11,AL11,MAX(AL11,BI11)))</f>
        <v>42.585000000000001</v>
      </c>
      <c r="M11" s="15" t="str">
        <f>IF(L11="","",IF(AND(L11=BI11,$K11&lt;&gt;$AR$1),$AR$1,IF(AND(L11=AL11,$K11&lt;&gt;$U$1),$U$1,"")))</f>
        <v>2019 Elite Canada</v>
      </c>
      <c r="N11" s="15">
        <f>IF($J11=$AN11,BJ11,IF($J11=$BK11,AM11,MAX(AM11,BJ11)))</f>
        <v>25.605</v>
      </c>
      <c r="O11" s="15" t="str">
        <f>IF(N11="","",IF(AND(N11=BJ11,$K11&lt;&gt;$AR$1),$AR$1,IF(AND(N11=AM11,$K11&lt;&gt;$U$1),$U$1,"")))</f>
        <v>2019 Elite Canada</v>
      </c>
      <c r="P11" s="15">
        <f>IF(MAX(AP11,BM11)&gt;0,MAX(AP11,BM11),"")</f>
        <v>49.445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5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63">
        <v>17</v>
      </c>
      <c r="V11" s="63">
        <v>8.8000000000000007</v>
      </c>
      <c r="W11" s="63">
        <v>2</v>
      </c>
      <c r="X11" s="63">
        <v>14.785</v>
      </c>
      <c r="Y11" s="63">
        <v>0</v>
      </c>
      <c r="Z11" s="63">
        <v>7.6</v>
      </c>
      <c r="AA11" s="63">
        <v>4.55</v>
      </c>
      <c r="AB11" s="63">
        <v>6.3</v>
      </c>
      <c r="AC11" s="63">
        <v>7.1550000000000002</v>
      </c>
      <c r="AD11" s="63">
        <v>0</v>
      </c>
      <c r="AE11" s="63">
        <v>15.1</v>
      </c>
      <c r="AF11" s="63">
        <v>9</v>
      </c>
      <c r="AG11" s="63">
        <v>11.1</v>
      </c>
      <c r="AH11" s="63">
        <v>14.244999999999999</v>
      </c>
      <c r="AI11" s="63">
        <v>0</v>
      </c>
      <c r="AJ11" s="74"/>
      <c r="AK11" s="12">
        <f>IF(AB11&gt;0,AB11,"")</f>
        <v>6.3</v>
      </c>
      <c r="AL11" s="12">
        <f>IF(SUM(U11:X11)-Y11&gt;0,SUM(U11:X11)-Y11,"")</f>
        <v>42.585000000000001</v>
      </c>
      <c r="AM11" s="12">
        <f>IF(SUM(Z11:AC11)-AD11&gt;0,SUM(Z11:AC11)-AD11,"")</f>
        <v>25.605</v>
      </c>
      <c r="AN11" s="12">
        <f>IF(SUM(AL11:AM11)&gt;0,SUM(AL11:AM11),"")</f>
        <v>68.19</v>
      </c>
      <c r="AO11" s="12">
        <f>IF(AG11&gt;0,AG11,"")</f>
        <v>11.1</v>
      </c>
      <c r="AP11" s="12">
        <f>IF(SUM(AE11:AH11)-AI11&gt;0,SUM(AE11:AH11)-AI11,"")</f>
        <v>49.445</v>
      </c>
      <c r="AQ11" s="12">
        <f>IF(SUM(AN11,AP11)&gt;0,SUM(AN11,AP11),"")</f>
        <v>117.63499999999999</v>
      </c>
      <c r="AR11" s="57">
        <v>17.600000000000001</v>
      </c>
      <c r="AS11" s="57">
        <v>9.3000000000000007</v>
      </c>
      <c r="AT11" s="57">
        <v>3.2</v>
      </c>
      <c r="AU11" s="57">
        <v>14.36</v>
      </c>
      <c r="AV11" s="57">
        <v>0</v>
      </c>
      <c r="AW11" s="57">
        <v>14.8</v>
      </c>
      <c r="AX11" s="57">
        <v>9.3000000000000007</v>
      </c>
      <c r="AY11" s="57">
        <v>11.2</v>
      </c>
      <c r="AZ11" s="57">
        <v>13.585000000000001</v>
      </c>
      <c r="BA11" s="57">
        <v>0</v>
      </c>
      <c r="BB11" s="57">
        <v>15.08</v>
      </c>
      <c r="BC11" s="57">
        <v>9.1</v>
      </c>
      <c r="BD11" s="57">
        <v>11.1</v>
      </c>
      <c r="BE11" s="57">
        <v>13.46</v>
      </c>
      <c r="BF11" s="57">
        <v>0.1</v>
      </c>
      <c r="BG11" s="75"/>
      <c r="BH11" s="15">
        <f>IF(AY11&gt;0,AY11,"")</f>
        <v>11.2</v>
      </c>
      <c r="BI11" s="15">
        <f>IF(SUM(AR11:AU11)-AV11&gt;0,SUM(AR11:AU11)-AV11,"")</f>
        <v>44.46</v>
      </c>
      <c r="BJ11" s="15">
        <f>IF(SUM(AW11:AZ11)-BA11&gt;0,SUM(AW11:AZ11)-BA11,"")</f>
        <v>48.884999999999998</v>
      </c>
      <c r="BK11" s="15">
        <f>IF(SUM(BI11:BJ11)&gt;0,SUM(BI11:BJ11),"")</f>
        <v>93.344999999999999</v>
      </c>
      <c r="BL11" s="15">
        <f>IF(BD11&gt;0,BD11,"")</f>
        <v>11.1</v>
      </c>
      <c r="BM11" s="15">
        <f>IF(SUM(BB11:BE11)-BF11&gt;0,SUM(BB11:BE11)-BF11,"")</f>
        <v>48.64</v>
      </c>
      <c r="BN11" s="15">
        <f>IF(SUM(BK11,BM11)&gt;0,SUM(BK11,BM11),"")</f>
        <v>141.98500000000001</v>
      </c>
      <c r="BO11" s="24" t="str">
        <f>IF(MAX(CI11,DE11,EA11,EW11,FS11,GO11,HK11,IG11,JC11,JY11,KU11,LQ11)-IF(L11="",0,L11)&gt;0.001,MAX(CI11,DE11,EA11,EW11,FS11,GO11,HK11,IG11,JC11,JY11,KU11,LQ11)-IF(L11="",0,L11),"")</f>
        <v/>
      </c>
      <c r="BP11" s="24" t="str">
        <f>IF(MAX(CJ11,DF11,EB11,EX11,FT11,GP11,HL11,IH11,JD11,JZ11,KV11,LR11)-IF(N11="",0,N11)&gt;0.001,MAX(CJ11,DF11,EB11,EX11,FT11,GP11,HL11,IH11,JD11,JZ11,KV11,LR11)-IF(N11="",0,N11),"")</f>
        <v/>
      </c>
      <c r="BQ11" s="24" t="str">
        <f>IF(MAX(CK11,DG11,EC11,EY11,FU11,GQ11,HM11,II11,JE11,KA11,KW11,LS11)-IF(J11="",0,J11)&gt;0.001,MAX(CK11,DG11,EC11,EY11,FU11,GQ11,HM11,II11,JE11,KA11,KW11,LS11)-IF(J11="",0,J11),"")</f>
        <v/>
      </c>
      <c r="BR11" s="24" t="str">
        <f>IF(MAX(CM11,DI11,EE11,FA11,FW11,GS11,HO11,IK11,JG11,KC11,KY11,LU11)-IF(P11="",0,P11)&gt;0.001,MAX(CM11,DI11,EE11,FA11,FW11,GS11,HO11,IK11,JG11,KC11,KY11,LU11)-IF(P11="",0,P11),"")</f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63">
        <f t="shared" si="0"/>
        <v>17.3</v>
      </c>
      <c r="LX11" s="63">
        <f t="shared" si="1"/>
        <v>9.0500000000000007</v>
      </c>
      <c r="LY11" s="63">
        <f t="shared" si="2"/>
        <v>2.6</v>
      </c>
      <c r="LZ11" s="63">
        <f t="shared" si="3"/>
        <v>14.5725</v>
      </c>
      <c r="MA11" s="63">
        <f t="shared" si="4"/>
        <v>0</v>
      </c>
      <c r="MB11" s="63">
        <f t="shared" si="5"/>
        <v>11.2</v>
      </c>
      <c r="MC11" s="63">
        <f t="shared" si="6"/>
        <v>6.9250000000000007</v>
      </c>
      <c r="MD11" s="63">
        <f t="shared" si="7"/>
        <v>8.75</v>
      </c>
      <c r="ME11" s="63">
        <f t="shared" si="8"/>
        <v>10.370000000000001</v>
      </c>
      <c r="MF11" s="63">
        <f t="shared" si="9"/>
        <v>0</v>
      </c>
      <c r="MG11" s="63">
        <f t="shared" si="10"/>
        <v>15.09</v>
      </c>
      <c r="MH11" s="63">
        <f t="shared" si="11"/>
        <v>9.0500000000000007</v>
      </c>
      <c r="MI11" s="63">
        <f t="shared" si="12"/>
        <v>11.1</v>
      </c>
      <c r="MJ11" s="63">
        <f t="shared" si="13"/>
        <v>13.852499999999999</v>
      </c>
      <c r="MK11" s="63">
        <f t="shared" si="14"/>
        <v>0.05</v>
      </c>
      <c r="ML11" s="74" t="s">
        <v>81</v>
      </c>
      <c r="MM11" s="12">
        <f t="shared" si="15"/>
        <v>8.75</v>
      </c>
      <c r="MN11" s="12">
        <f t="shared" si="16"/>
        <v>43.522500000000001</v>
      </c>
      <c r="MO11" s="12">
        <f t="shared" si="17"/>
        <v>37.245000000000005</v>
      </c>
      <c r="MP11" s="12">
        <f t="shared" si="18"/>
        <v>80.767500000000013</v>
      </c>
      <c r="MQ11" s="12">
        <f t="shared" si="19"/>
        <v>11.1</v>
      </c>
      <c r="MR11" s="12">
        <f t="shared" si="20"/>
        <v>49.042500000000004</v>
      </c>
      <c r="MS11" s="12">
        <f t="shared" si="21"/>
        <v>129.81</v>
      </c>
    </row>
    <row r="12" spans="1:357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7" t="s">
        <v>70</v>
      </c>
      <c r="C12" s="8" t="s">
        <v>4</v>
      </c>
      <c r="D12" s="6">
        <v>2002</v>
      </c>
      <c r="E12" s="16">
        <f>SUM(J12:R12)</f>
        <v>121.58</v>
      </c>
      <c r="F12" s="4" t="str">
        <f>IF(OR(AND($AK12&gt;=$AL$15,NOT($AK12=""),$AJ12=""),AND($BH12&gt;=$BI$15,NOT($BH12=""),$BG12=""),AND($CH12&gt;=$CI$15,NOT($CH12="")),AND($DD12&gt;=$DE$15,NOT($DD12="")),AND($DZ12&gt;=$EA$15,NOT($DZ12="")),AND($EV12&gt;=$EW$15,NOT($EV12="")),AND($FR12&gt;=$FS$15,NOT($FR12="")),AND($GN12&gt;=$GO$15,NOT($GN12="")),AND($HJ12&gt;=$HK$15,NOT($HJ12="")),AND($IF12&gt;=$IG$15,NOT($IF12="")),AND($JB12&gt;=$JC$15,NOT($JB12="")),AND($JX12&gt;=$JY$15,NOT($JX12="")),AND($KT12&gt;=$KU$15,NOT($KT12="")),AND($LP12&gt;=$LQ$15,NOT($LP12="")),AND($AO12&gt;=$AL$15,NOT($AO12=""),$AJ12=""),AND($BL12&gt;=$BI$15,NOT($BL12=""),$BG12=""),AND($CL12&gt;=$CI$15,NOT($CL12="")),AND($DH12&gt;=$DE$15,NOT($DH12="")),AND($ED12&gt;=$EA$15,NOT($ED12="")),AND($EZ12&gt;=$EW$15,NOT($EZ12="")),AND($FV12&gt;=$FS$15,NOT($FV12="")),AND($GR12&gt;=$GO$15,NOT($GR12="")),AND($HN12&gt;=$HK$15,NOT($HN12="")),AND($IJ12&gt;=$IG$15,NOT($IJ12="")),AND($JF12&gt;=$JC$15,NOT($JF12="")),AND($KB12&gt;=$JY$15,NOT($KB12="")),AND($KX12&gt;=$KU$15,NOT($KX12="")),AND($LT12&gt;=$LQ$15,NOT($LT12=""))),"P","")</f>
        <v/>
      </c>
      <c r="G12" s="4" t="str">
        <f>IF(OR(AND($AK12&gt;=$AL$16,NOT($AK12=""),$AJ12=""),AND($BH12&gt;=$BI$16,NOT($BH12=""),$BG12=""),AND($CH12&gt;=$CI$16,NOT($CH12="")),AND($DD12&gt;=$DE$16,NOT($DD12="")),AND($DZ12&gt;=$EA$16,NOT($DZ12="")),AND($EV12&gt;=$EW$16,NOT($EV12="")),AND($FR12&gt;=$FS$16,NOT($FR12="")),AND($GN12&gt;=$GO$16,NOT($GN12="")),AND($HJ12&gt;=$HK$16,NOT($HJ12="")),AND($IF12&gt;=$IG$16,NOT($IF12="")),AND($JB12&gt;=$JC$16,NOT($JB12="")),AND($JX12&gt;=$JY$16,NOT($JX12="")),AND($KT12&gt;=$KU$16,NOT($KT12="")),AND($LP12&gt;=$LQ$16,NOT($LP12="")),AND($AO12&gt;=$AL$16,NOT($AO12=""),$AJ12=""),AND($BL12&gt;=$BI$16,NOT($BL12=""),$BG12=""),AND($CL12&gt;=$CI$16,NOT($CL12="")),AND($DH12&gt;=$DE$16,NOT($DH12="")),AND($ED12&gt;=$EA$16,NOT($ED12="")),AND($EZ12&gt;=$EW$16,NOT($EZ12="")),AND($FV12&gt;=$FS$16,NOT($FV12="")),AND($GR12&gt;=$GO$16,NOT($GR12="")),AND($HN12&gt;=$HK$16,NOT($HN12="")),AND($IJ12&gt;=$IG$16,NOT($IJ12="")),AND($JF12&gt;=$JC$16,NOT($JF12="")),AND($KB12&gt;=$JY$16,NOT($KB12="")),AND($KX12&gt;=$KU$16,NOT($KX12="")),AND($LT12&gt;=$LQ$16,NOT($LT12=""))),"P","")</f>
        <v/>
      </c>
      <c r="H12" s="4" t="str">
        <f>IF(OR(AND($AN12&gt;=$AL$17,NOT($AN12=""),$AJ12=""),AND($BK12&gt;=$BI$17,NOT($BK12=""),$BG12=""),AND($CK12&gt;=$CI$17,NOT($CK12="")),AND($DG12&gt;=$DE$17,NOT($DG12="")),AND($EC12&gt;=$EA$17,NOT($EC12="")),AND($EY12&gt;=$EW$17,NOT($EY12="")),AND($FU12&gt;=$FS$17,NOT($FU12="")),AND($GQ12&gt;=$GO$17,NOT($GQ12="")),AND($HM12&gt;=$HK$17,NOT($HM12="")),AND($II12&gt;=$IG$17,NOT($II12="")),AND($JE12&gt;=$JC$17,NOT($JE12="")),AND($KA12&gt;=$JY$17,NOT($KA12="")),AND($KW12&gt;=$KU$17,NOT($KW12="")),AND($LS12&gt;=$LQ$17,NOT($LS12=""))),"P","")</f>
        <v/>
      </c>
      <c r="I12" t="str">
        <f>IF(AND(H12="P",F12=""),"No DD",IF(AND(G12="P",OR(AND($AM12&gt;$AL$20,NOT($AM12=""),$AJ12=""),AND($AP12&gt;$AL$20,NOT($AP12=""),$AJ12=""),AND($BJ12&gt;$BI$20,NOT($BJ12=""),$BG12=""),AND($BM12&gt;$BI$20,NOT($BM12=""),$BG12=""),AND($CJ12&gt;$CI$20,NOT($CJ12="")),AND($CM12&gt;$CI$20,NOT($CM12="")),AND($DF12&gt;$DE$20,NOT($DF12="")),AND($DI12&gt;$DE$20,NOT($DI12="")),AND($EB12&gt;$EA$20,NOT($EB12="")),AND($EE12&gt;$EA$20,NOT($EE12="")),AND($EX12&gt;$EW$20,NOT($EX12="")),AND($FA12&gt;$EW$20,NOT($FA12="")),AND($FT12&gt;$FS$20,NOT($FT12="")),AND($FW12&gt;$FS$20,NOT($FW12="")),AND($GP12&gt;$GO$20,NOT($GP12="")),AND($GS12&gt;$GO$20,NOT($GS12="")),AND($HL12&gt;$HK$20,NOT($HL12="")),AND($HO12&gt;$HK$20,NOT($HO12="")),AND($IH12&gt;$IG$20,NOT($IH12="")),AND($IK12&gt;$IG$20,NOT($IK12="")),AND($JD12&gt;$JC$20,NOT($JD12="")),AND($JG12&gt;$JC$20,NOT($JG12="")),AND($JZ12&gt;$JY$20,NOT($JZ12="")),AND($KC12&gt;$JY$20,NOT($KC12="")),AND($KV12&gt;$KU$20,NOT($KV12="")),AND($KY12&gt;$KU$20,NOT($KY12="")),AND($LR12&gt;$LQ$20,NOT($LR12="")),AND($LU12&gt;$LQ$20,NOT($LU12="")))),"Merit",IF(AND(G12="P",OR(AND($AN12&gt;$AL$19,NOT($AN12=""),$AJ12=""),AND($BK12&gt;$BI$19,NOT($BK12=""),$BG12=""),AND($CK12&gt;$CI$19,NOT($CK12="")),AND($DG12&gt;$DE$19,NOT($DG12="")),AND($EC12&gt;$EA$19,NOT($EC12="")),AND($EY12&gt;$EW$19,NOT($EY12="")),AND($FU12&gt;$FS$19,NOT($FU12="")),AND($GQ12&gt;$GO$19,NOT($GQ12="")),AND($HM12&gt;$HK$19,NOT($HM12="")),AND($II12&gt;$IG$19,NOT($II12="")),AND($JE12&gt;$JC$19,NOT($JE12="")),AND($KA12&gt;$JY$19,NOT($KA12="")),AND($KW12&gt;$KU$19,NOT($KW12="")),AND($LS12&gt;$LQ$19,NOT($LS12="")))),"Excellence",IF(AND(G12="P",OR(AND($AN12&gt;$AL$18,NOT($AN12=""),$AJ12=""),AND($BK12&gt;$BI$18,NOT($BK12=""),$BG12=""),AND($CK12&gt;$CI$18,NOT($CK12="")),AND($DG12&gt;$DE$18,NOT($DG12="")),AND($EC12&gt;$EA$18,NOT($EC12="")),AND($EY12&gt;$EW$18,NOT($EY12="")),AND($FU12&gt;$FS$18,NOT($FU12="")),AND($GQ12&gt;$GO$18,NOT($GQ12="")),AND($HM12&gt;$HK$18,NOT($HM12="")),AND($II12&gt;$IG$18,NOT($II12="")),AND($JE12&gt;$JC$18,NOT($JE12="")),AND($KA12&gt;$JY$18,NOT($KA12="")),AND($KW12&gt;$KU$18,NOT($KW12="")),AND($LS12&gt;$LQ$18,NOT($LS12="")))),"Worlds Team",IF(AND(F12="P",OR(AND($AN12&gt;$AL$17,NOT($AN12=""),$AJ12=""),AND($BK12&gt;$BI$17,NOT($BK12=""),$BG12=""),AND($CK12&gt;$CI$17,NOT($CK12="")),AND($DG12&gt;$DE$17,NOT($DG12="")),AND($EC12&gt;$EA$17,NOT($EC12="")),AND($EY12&gt;$EW$17,NOT($EY12="")),AND($FU12&gt;$FS$17,NOT($FU12="")),AND($GQ12&gt;$GO$17,NOT($GQ12="")),AND($HM12&gt;$HK$17,NOT($HM12="")),AND($II12&gt;$IG$17,NOT($II12="")),AND($JE12&gt;$JC$17,NOT($JE12="")),AND($KA12&gt;$JY$17,NOT($KA12="")),AND($KW12&gt;$KU$17,NOT($KW12="")),AND($LS12&gt;$LQ$17,NOT($LS12="")))),"National Team","")))))</f>
        <v/>
      </c>
      <c r="J12" s="15">
        <f>IF(MAX(AN12,BK12)&gt;0,MAX(AN12,BK12),"")</f>
        <v>62.965000000000003</v>
      </c>
      <c r="K12" s="15" t="str">
        <f>IF(J12="","",IF(J12=BK12,$AR$1,IF(J12=AN12,$U$1,"")))</f>
        <v>2019 Elite Canada</v>
      </c>
      <c r="L12" s="15">
        <f>IF($J12=$AN12,BI12,IF($J12=$BK12,AL12,MAX(AL12,BI12)))</f>
        <v>47.454999999999998</v>
      </c>
      <c r="M12" s="15" t="str">
        <f>IF(L12="","",IF(AND(L12=BI12,$K12&lt;&gt;$AR$1),$AR$1,IF(AND(L12=AL12,$K12&lt;&gt;$U$1),$U$1,"")))</f>
        <v>2019 Nationals</v>
      </c>
      <c r="N12" s="15">
        <f>IF($J12=$AN12,BJ12,IF($J12=$BK12,AM12,MAX(AM12,BJ12)))</f>
        <v>11.16</v>
      </c>
      <c r="O12" s="15" t="str">
        <f>IF(N12="","",IF(AND(N12=BJ12,$K12&lt;&gt;$AR$1),$AR$1,IF(AND(N12=AM12,$K12&lt;&gt;$U$1),$U$1,"")))</f>
        <v>2019 Nationals</v>
      </c>
      <c r="P12" s="15" t="str">
        <f>IF(MAX(AP12,BM12)&gt;0,MAX(AP12,BM12),"")</f>
        <v/>
      </c>
      <c r="Q12" s="15" t="str">
        <f>IF(P12="","",IF(P12=BM12,$AR$1,IF(P12=AP12,$U$1,"")))</f>
        <v/>
      </c>
      <c r="R12" s="15" t="str">
        <f>IF(MAX(BO12,BP12,BQ12,BR12)&gt;0,MAX(BO12,BP12,BQ12,BR12),"")</f>
        <v/>
      </c>
      <c r="S12" s="25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63">
        <v>17.100000000000001</v>
      </c>
      <c r="V12" s="63">
        <v>8.9499999999999993</v>
      </c>
      <c r="W12" s="63">
        <v>4</v>
      </c>
      <c r="X12" s="63">
        <v>16.274999999999999</v>
      </c>
      <c r="Y12" s="63">
        <v>0</v>
      </c>
      <c r="Z12" s="63">
        <v>4.5</v>
      </c>
      <c r="AA12" s="63">
        <v>2.5</v>
      </c>
      <c r="AB12" s="63">
        <v>4.5999999999999996</v>
      </c>
      <c r="AC12" s="63">
        <v>5.04</v>
      </c>
      <c r="AD12" s="63">
        <v>0</v>
      </c>
      <c r="AE12" s="63"/>
      <c r="AF12" s="63"/>
      <c r="AG12" s="63"/>
      <c r="AH12" s="63"/>
      <c r="AI12" s="63"/>
      <c r="AJ12" s="74"/>
      <c r="AK12" s="12">
        <f>IF(AB12&gt;0,AB12,"")</f>
        <v>4.5999999999999996</v>
      </c>
      <c r="AL12" s="12">
        <f>IF(SUM(U12:X12)-Y12&gt;0,SUM(U12:X12)-Y12,"")</f>
        <v>46.325000000000003</v>
      </c>
      <c r="AM12" s="12">
        <f>IF(SUM(Z12:AC12)-AD12&gt;0,SUM(Z12:AC12)-AD12,"")</f>
        <v>16.64</v>
      </c>
      <c r="AN12" s="12">
        <f>IF(SUM(AL12:AM12)&gt;0,SUM(AL12:AM12),"")</f>
        <v>62.965000000000003</v>
      </c>
      <c r="AO12" s="12" t="str">
        <f>IF(AG12&gt;0,AG12,"")</f>
        <v/>
      </c>
      <c r="AP12" s="12" t="str">
        <f>IF(SUM(AE12:AH12)-AI12&gt;0,SUM(AE12:AH12)-AI12,"")</f>
        <v/>
      </c>
      <c r="AQ12" s="12">
        <f>IF(SUM(AN12,AP12)&gt;0,SUM(AN12,AP12),"")</f>
        <v>62.965000000000003</v>
      </c>
      <c r="AR12" s="69">
        <v>17.8</v>
      </c>
      <c r="AS12" s="69">
        <v>9.5</v>
      </c>
      <c r="AT12" s="69">
        <v>4</v>
      </c>
      <c r="AU12" s="69">
        <v>16.155000000000001</v>
      </c>
      <c r="AV12" s="69">
        <v>0</v>
      </c>
      <c r="AW12" s="69">
        <v>3</v>
      </c>
      <c r="AX12" s="69">
        <v>1.7</v>
      </c>
      <c r="AY12" s="69">
        <v>3.1</v>
      </c>
      <c r="AZ12" s="69">
        <v>3.36</v>
      </c>
      <c r="BA12" s="69">
        <v>0</v>
      </c>
      <c r="BB12" s="69"/>
      <c r="BC12" s="69"/>
      <c r="BD12" s="69"/>
      <c r="BE12" s="69"/>
      <c r="BF12" s="69"/>
      <c r="BG12" s="75"/>
      <c r="BH12" s="15">
        <f>IF(AY12&gt;0,AY12,"")</f>
        <v>3.1</v>
      </c>
      <c r="BI12" s="15">
        <f>IF(SUM(AR12:AU12)-AV12&gt;0,SUM(AR12:AU12)-AV12,"")</f>
        <v>47.454999999999998</v>
      </c>
      <c r="BJ12" s="15">
        <f>IF(SUM(AW12:AZ12)-BA12&gt;0,SUM(AW12:AZ12)-BA12,"")</f>
        <v>11.16</v>
      </c>
      <c r="BK12" s="15">
        <f>IF(SUM(BI12:BJ12)&gt;0,SUM(BI12:BJ12),"")</f>
        <v>58.614999999999995</v>
      </c>
      <c r="BL12" s="15" t="str">
        <f>IF(BD12&gt;0,BD12,"")</f>
        <v/>
      </c>
      <c r="BM12" s="15" t="str">
        <f>IF(SUM(BB12:BE12)-BF12&gt;0,SUM(BB12:BE12)-BF12,"")</f>
        <v/>
      </c>
      <c r="BN12" s="15">
        <f>IF(SUM(BK12,BM12)&gt;0,SUM(BK12,BM12),"")</f>
        <v>58.614999999999995</v>
      </c>
      <c r="BO12" s="24" t="str">
        <f>IF(MAX(CI12,DE12,EA12,EW12,FS12,GO12,HK12,IG12,JC12,JY12,KU12,LQ12)-IF(L12="",0,L12)&gt;0.001,MAX(CI12,DE12,EA12,EW12,FS12,GO12,HK12,IG12,JC12,JY12,KU12,LQ12)-IF(L12="",0,L12),"")</f>
        <v/>
      </c>
      <c r="BP12" s="24" t="str">
        <f>IF(MAX(CJ12,DF12,EB12,EX12,FT12,GP12,HL12,IH12,JD12,JZ12,KV12,LR12)-IF(N12="",0,N12)&gt;0.001,MAX(CJ12,DF12,EB12,EX12,FT12,GP12,HL12,IH12,JD12,JZ12,KV12,LR12)-IF(N12="",0,N12),"")</f>
        <v/>
      </c>
      <c r="BQ12" s="24" t="str">
        <f>IF(MAX(CK12,DG12,EC12,EY12,FU12,GQ12,HM12,II12,JE12,KA12,KW12,LS12)-IF(J12="",0,J12)&gt;0.001,MAX(CK12,DG12,EC12,EY12,FU12,GQ12,HM12,II12,JE12,KA12,KW12,LS12)-IF(J12="",0,J12),"")</f>
        <v/>
      </c>
      <c r="BR12" s="24" t="str">
        <f>IF(MAX(CM12,DI12,EE12,FA12,FW12,GS12,HO12,IK12,JG12,KC12,KY12,LU12)-IF(P12="",0,P12)&gt;0.001,MAX(CM12,DI12,EE12,FA12,FW12,GS12,HO12,IK12,JG12,KC12,KY12,LU12)-IF(P12="",0,P12),"")</f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63">
        <f t="shared" ref="LW12" si="22">IF($BG12="P",AR12,(U12+AR12)/2)</f>
        <v>17.450000000000003</v>
      </c>
      <c r="LX12" s="63">
        <f t="shared" ref="LX12" si="23">IF($BG12="P",AS12,(V12+AS12)/2)</f>
        <v>9.2249999999999996</v>
      </c>
      <c r="LY12" s="63">
        <f t="shared" ref="LY12" si="24">IF($BG12="P",AT12,(W12+AT12)/2)</f>
        <v>4</v>
      </c>
      <c r="LZ12" s="63">
        <f t="shared" ref="LZ12" si="25">IF($BG12="P",AU12,(X12+AU12)/2)</f>
        <v>16.215</v>
      </c>
      <c r="MA12" s="63">
        <f t="shared" ref="MA12" si="26">IF($BG12="P",AV12,(Y12+AV12)/2)</f>
        <v>0</v>
      </c>
      <c r="MB12" s="63">
        <f t="shared" ref="MB12" si="27">IF($BG12="P",AW12,(Z12+AW12)/2)</f>
        <v>3.75</v>
      </c>
      <c r="MC12" s="63">
        <f t="shared" ref="MC12" si="28">IF($BG12="P",AX12,(AA12+AX12)/2)</f>
        <v>2.1</v>
      </c>
      <c r="MD12" s="63">
        <f t="shared" ref="MD12" si="29">IF($BG12="P",AY12,(AB12+AY12)/2)</f>
        <v>3.8499999999999996</v>
      </c>
      <c r="ME12" s="63">
        <f t="shared" ref="ME12" si="30">IF($BG12="P",AZ12,(AC12+AZ12)/2)</f>
        <v>4.2</v>
      </c>
      <c r="MF12" s="63">
        <f t="shared" ref="MF12" si="31">IF($BG12="P",BA12,(AD12+BA12)/2)</f>
        <v>0</v>
      </c>
      <c r="MG12" s="63">
        <f t="shared" ref="MG12" si="32">IF($BG12="P",BB12,(AE12+BB12)/2)</f>
        <v>0</v>
      </c>
      <c r="MH12" s="63">
        <f t="shared" ref="MH12" si="33">IF($BG12="P",BC12,(AF12+BC12)/2)</f>
        <v>0</v>
      </c>
      <c r="MI12" s="63">
        <f t="shared" ref="MI12" si="34">IF($BG12="P",BD12,(AG12+BD12)/2)</f>
        <v>0</v>
      </c>
      <c r="MJ12" s="63">
        <f t="shared" ref="MJ12" si="35">IF($BG12="P",BE12,(AH12+BE12)/2)</f>
        <v>0</v>
      </c>
      <c r="MK12" s="63">
        <f t="shared" ref="MK12" si="36">IF($BG12="P",BF12,(AI12+BF12)/2)</f>
        <v>0</v>
      </c>
      <c r="ML12" s="74" t="s">
        <v>81</v>
      </c>
      <c r="MM12" s="12">
        <f t="shared" ref="MM12" si="37">IF(MD12&gt;0,MD12,"")</f>
        <v>3.8499999999999996</v>
      </c>
      <c r="MN12" s="12">
        <f t="shared" ref="MN12" si="38">IF(SUM(LW12:LZ12)-MA12&gt;0,SUM(LW12:LZ12)-MA12,"")</f>
        <v>46.89</v>
      </c>
      <c r="MO12" s="12">
        <f t="shared" ref="MO12" si="39">IF(SUM(MB12:ME12)-MF12&gt;0,SUM(MB12:ME12)-MF12,"")</f>
        <v>13.899999999999999</v>
      </c>
      <c r="MP12" s="12">
        <f t="shared" ref="MP12" si="40">IF(SUM(MN12:MO12)&gt;0,SUM(MN12:MO12),"")</f>
        <v>60.79</v>
      </c>
      <c r="MQ12" s="12" t="str">
        <f t="shared" ref="MQ12" si="41">IF(MI12&gt;0,MI12,"")</f>
        <v/>
      </c>
      <c r="MR12" s="12" t="str">
        <f t="shared" ref="MR12" si="42">IF(SUM(MG12:MJ12)-MK12&gt;0,SUM(MG12:MJ12)-MK12,"")</f>
        <v/>
      </c>
      <c r="MS12" s="12">
        <f t="shared" ref="MS12" si="43">IF(SUM(MP12,MR12)&gt;0,SUM(MP12,MR12),"")</f>
        <v>60.79</v>
      </c>
    </row>
    <row r="13" spans="1:357" x14ac:dyDescent="0.2">
      <c r="B13" s="7"/>
      <c r="D13" s="1"/>
    </row>
    <row r="15" spans="1:357" x14ac:dyDescent="0.2">
      <c r="B15" s="64" t="s">
        <v>51</v>
      </c>
      <c r="C15" s="50"/>
      <c r="AL15" s="58">
        <v>13.5</v>
      </c>
      <c r="BH15" s="50"/>
      <c r="BI15" s="58">
        <v>13.5</v>
      </c>
      <c r="CH15" s="50"/>
      <c r="CI15" s="58">
        <v>13.5</v>
      </c>
      <c r="DD15" s="50"/>
      <c r="DE15" s="58">
        <v>13.5</v>
      </c>
      <c r="DZ15" s="50"/>
      <c r="EA15" s="58">
        <v>13.5</v>
      </c>
      <c r="EV15" s="50"/>
      <c r="EW15" s="58">
        <v>13.5</v>
      </c>
      <c r="FR15" s="50"/>
      <c r="FS15" s="58">
        <v>13.5</v>
      </c>
      <c r="GN15" s="50"/>
      <c r="GO15" s="58">
        <v>13.5</v>
      </c>
      <c r="HJ15" s="50"/>
      <c r="HK15" s="58">
        <v>13.5</v>
      </c>
      <c r="IF15" s="50"/>
      <c r="IG15" s="58">
        <v>13.5</v>
      </c>
      <c r="JB15" s="50"/>
      <c r="JC15" s="58">
        <v>13.5</v>
      </c>
      <c r="JX15" s="50"/>
      <c r="JY15" s="77">
        <v>13.5</v>
      </c>
      <c r="KT15" s="50"/>
      <c r="KU15" s="77">
        <v>13.5</v>
      </c>
      <c r="LP15" s="50"/>
      <c r="LQ15" s="77">
        <v>13.5</v>
      </c>
    </row>
    <row r="16" spans="1:357" x14ac:dyDescent="0.2">
      <c r="A16" s="50"/>
      <c r="B16" s="91" t="s">
        <v>67</v>
      </c>
      <c r="C16" s="50"/>
      <c r="AL16" s="93">
        <v>13.5</v>
      </c>
      <c r="AN16" s="48"/>
      <c r="AO16" s="48"/>
      <c r="AP16" s="48"/>
      <c r="BH16" s="50"/>
      <c r="BI16" s="93">
        <v>13.5</v>
      </c>
      <c r="BL16" s="48"/>
      <c r="CH16" s="50"/>
      <c r="CI16" s="93">
        <v>13.5</v>
      </c>
      <c r="CL16" s="48"/>
      <c r="DD16" s="50"/>
      <c r="DE16" s="93">
        <v>13.5</v>
      </c>
      <c r="DH16" s="48"/>
      <c r="DZ16" s="50"/>
      <c r="EA16" s="93">
        <v>13.5</v>
      </c>
      <c r="ED16" s="48"/>
      <c r="EV16" s="50"/>
      <c r="EW16" s="93">
        <v>13.5</v>
      </c>
      <c r="EZ16" s="48"/>
      <c r="FR16" s="50"/>
      <c r="FS16" s="93">
        <v>13.5</v>
      </c>
      <c r="FV16" s="48"/>
      <c r="GN16" s="50"/>
      <c r="GO16" s="93">
        <v>13.5</v>
      </c>
      <c r="GR16" s="48"/>
      <c r="HJ16" s="50"/>
      <c r="HK16" s="93">
        <v>13.5</v>
      </c>
      <c r="HN16" s="48"/>
      <c r="IF16" s="50"/>
      <c r="IG16" s="93">
        <v>13.5</v>
      </c>
      <c r="IJ16" s="48"/>
      <c r="JB16" s="50"/>
      <c r="JC16" s="93">
        <v>13.5</v>
      </c>
      <c r="JF16" s="48"/>
      <c r="JX16" s="50"/>
      <c r="JY16" s="94">
        <v>13.5</v>
      </c>
      <c r="KB16" s="48"/>
      <c r="KT16" s="50"/>
      <c r="KU16" s="94">
        <v>13.5</v>
      </c>
      <c r="KX16" s="48"/>
      <c r="LP16" s="50"/>
      <c r="LQ16" s="94">
        <v>13.5</v>
      </c>
      <c r="LT16" s="48"/>
    </row>
    <row r="17" spans="1:332" x14ac:dyDescent="0.2">
      <c r="A17" s="50"/>
      <c r="B17" s="65" t="s">
        <v>48</v>
      </c>
      <c r="C17" s="50"/>
      <c r="AL17" s="59">
        <v>98</v>
      </c>
      <c r="AN17" s="48"/>
      <c r="AO17" s="48"/>
      <c r="AP17" s="48"/>
      <c r="BH17" s="50"/>
      <c r="BI17" s="59">
        <v>98</v>
      </c>
      <c r="BL17" s="48"/>
      <c r="CH17" s="50"/>
      <c r="CI17" s="59">
        <v>98</v>
      </c>
      <c r="CL17" s="48"/>
      <c r="DD17" s="50"/>
      <c r="DE17" s="59">
        <v>98</v>
      </c>
      <c r="DH17" s="48"/>
      <c r="DZ17" s="50"/>
      <c r="EA17" s="59">
        <v>98</v>
      </c>
      <c r="ED17" s="48"/>
      <c r="EV17" s="50"/>
      <c r="EW17" s="59">
        <v>98</v>
      </c>
      <c r="EZ17" s="48"/>
      <c r="FR17" s="50"/>
      <c r="FS17" s="59">
        <v>98</v>
      </c>
      <c r="FV17" s="48"/>
      <c r="GN17" s="50"/>
      <c r="GO17" s="59">
        <v>98</v>
      </c>
      <c r="GR17" s="48"/>
      <c r="HJ17" s="50"/>
      <c r="HK17" s="59">
        <v>98</v>
      </c>
      <c r="HN17" s="48"/>
      <c r="IF17" s="50"/>
      <c r="IG17" s="59">
        <v>98</v>
      </c>
      <c r="IJ17" s="48"/>
      <c r="JB17" s="50"/>
      <c r="JC17" s="59">
        <v>98</v>
      </c>
      <c r="JF17" s="48"/>
      <c r="JX17" s="50"/>
      <c r="JY17" s="78">
        <v>98</v>
      </c>
      <c r="KB17" s="48"/>
      <c r="KT17" s="50"/>
      <c r="KU17" s="78">
        <v>98</v>
      </c>
      <c r="KX17" s="48"/>
      <c r="LP17" s="50"/>
      <c r="LQ17" s="78">
        <v>98</v>
      </c>
      <c r="LT17" s="48"/>
    </row>
    <row r="18" spans="1:332" hidden="1" x14ac:dyDescent="0.2">
      <c r="A18" s="50"/>
      <c r="B18" s="66" t="s">
        <v>49</v>
      </c>
      <c r="C18" s="50"/>
      <c r="AL18" s="60">
        <v>101.2</v>
      </c>
      <c r="AN18" s="48"/>
      <c r="AO18" s="48"/>
      <c r="AP18" s="48"/>
      <c r="BH18" s="50"/>
      <c r="BI18" s="60">
        <v>101.2</v>
      </c>
      <c r="BL18" s="48"/>
      <c r="CH18" s="50"/>
      <c r="CI18" s="60">
        <v>101.2</v>
      </c>
      <c r="CL18" s="48"/>
      <c r="DD18" s="50"/>
      <c r="DE18" s="60">
        <v>101.2</v>
      </c>
      <c r="DH18" s="48"/>
      <c r="DZ18" s="50"/>
      <c r="EA18" s="60">
        <v>101.2</v>
      </c>
      <c r="ED18" s="48"/>
      <c r="EV18" s="50"/>
      <c r="EW18" s="60">
        <v>101.2</v>
      </c>
      <c r="EZ18" s="48"/>
      <c r="FR18" s="50"/>
      <c r="FS18" s="60">
        <v>101.2</v>
      </c>
      <c r="FV18" s="48"/>
      <c r="GN18" s="50"/>
      <c r="GO18" s="60">
        <v>101.2</v>
      </c>
      <c r="GR18" s="48"/>
      <c r="HJ18" s="50"/>
      <c r="HK18" s="60">
        <v>101.2</v>
      </c>
      <c r="HN18" s="48"/>
      <c r="IF18" s="50"/>
      <c r="IG18" s="60">
        <v>101.2</v>
      </c>
      <c r="IJ18" s="48"/>
      <c r="JB18" s="50"/>
      <c r="JC18" s="60">
        <v>101.2</v>
      </c>
      <c r="JF18" s="48"/>
      <c r="JX18" s="50"/>
      <c r="JY18" s="60">
        <v>101.2</v>
      </c>
      <c r="KB18" s="48"/>
      <c r="KT18" s="50"/>
      <c r="KU18" s="60">
        <v>101.2</v>
      </c>
      <c r="KX18" s="48"/>
      <c r="LP18" s="50"/>
      <c r="LQ18" s="60">
        <v>101.2</v>
      </c>
      <c r="LT18" s="48"/>
    </row>
    <row r="19" spans="1:332" x14ac:dyDescent="0.2">
      <c r="A19" s="50"/>
      <c r="B19" s="67" t="s">
        <v>62</v>
      </c>
      <c r="C19" s="50"/>
      <c r="AL19" s="61">
        <v>101.2</v>
      </c>
      <c r="AN19" s="48"/>
      <c r="AO19" s="48"/>
      <c r="AP19" s="48"/>
      <c r="BH19" s="50"/>
      <c r="BI19" s="61">
        <v>101.2</v>
      </c>
      <c r="BL19" s="48"/>
      <c r="CH19" s="50"/>
      <c r="CI19" s="61">
        <v>101.2</v>
      </c>
      <c r="CL19" s="48"/>
      <c r="DD19" s="50"/>
      <c r="DE19" s="61">
        <v>101.2</v>
      </c>
      <c r="DH19" s="48"/>
      <c r="DZ19" s="50"/>
      <c r="EA19" s="61">
        <v>101.2</v>
      </c>
      <c r="ED19" s="48"/>
      <c r="EV19" s="50"/>
      <c r="EW19" s="61">
        <v>101.2</v>
      </c>
      <c r="EZ19" s="48"/>
      <c r="FR19" s="50"/>
      <c r="FS19" s="61">
        <v>101.2</v>
      </c>
      <c r="FV19" s="48"/>
      <c r="GN19" s="50"/>
      <c r="GO19" s="61">
        <v>101.2</v>
      </c>
      <c r="GR19" s="48"/>
      <c r="HJ19" s="50"/>
      <c r="HK19" s="61">
        <v>101.2</v>
      </c>
      <c r="HN19" s="48"/>
      <c r="IF19" s="50"/>
      <c r="IG19" s="61">
        <v>101.2</v>
      </c>
      <c r="IJ19" s="48"/>
      <c r="JB19" s="50"/>
      <c r="JC19" s="61">
        <v>101.2</v>
      </c>
      <c r="JF19" s="48"/>
      <c r="JX19" s="50"/>
      <c r="JY19" s="80">
        <v>101.2</v>
      </c>
      <c r="KB19" s="48"/>
      <c r="KT19" s="50"/>
      <c r="KU19" s="80">
        <v>101.2</v>
      </c>
      <c r="KX19" s="48"/>
      <c r="LP19" s="50"/>
      <c r="LQ19" s="80">
        <v>101.2</v>
      </c>
      <c r="LT19" s="48"/>
    </row>
    <row r="20" spans="1:332" x14ac:dyDescent="0.2">
      <c r="A20" s="50"/>
      <c r="B20" s="68" t="s">
        <v>35</v>
      </c>
      <c r="C20" s="50"/>
      <c r="AL20" s="62">
        <v>56.7</v>
      </c>
      <c r="AN20" s="48"/>
      <c r="AO20" s="48"/>
      <c r="AP20" s="48"/>
      <c r="BH20" s="50"/>
      <c r="BI20" s="62">
        <v>56.7</v>
      </c>
      <c r="BL20" s="48"/>
      <c r="CH20" s="50"/>
      <c r="CI20" s="62">
        <v>56.7</v>
      </c>
      <c r="CL20" s="48"/>
      <c r="DD20" s="50"/>
      <c r="DE20" s="62">
        <v>56.7</v>
      </c>
      <c r="DH20" s="48"/>
      <c r="DZ20" s="50"/>
      <c r="EA20" s="62">
        <v>56.7</v>
      </c>
      <c r="ED20" s="48"/>
      <c r="EV20" s="50"/>
      <c r="EW20" s="62">
        <v>56.7</v>
      </c>
      <c r="EZ20" s="48"/>
      <c r="FR20" s="50"/>
      <c r="FS20" s="62">
        <v>56.7</v>
      </c>
      <c r="FV20" s="48"/>
      <c r="GN20" s="50"/>
      <c r="GO20" s="62">
        <v>56.7</v>
      </c>
      <c r="GR20" s="48"/>
      <c r="HJ20" s="50"/>
      <c r="HK20" s="62">
        <v>56.7</v>
      </c>
      <c r="HN20" s="48"/>
      <c r="IF20" s="50"/>
      <c r="IG20" s="62">
        <v>56.7</v>
      </c>
      <c r="IJ20" s="48"/>
      <c r="JB20" s="50"/>
      <c r="JC20" s="62">
        <v>56.7</v>
      </c>
      <c r="JF20" s="48"/>
      <c r="JX20" s="50"/>
      <c r="JY20" s="81">
        <v>56.7</v>
      </c>
      <c r="KB20" s="48"/>
      <c r="KT20" s="50"/>
      <c r="KU20" s="81">
        <v>56.7</v>
      </c>
      <c r="KX20" s="48"/>
      <c r="LP20" s="50"/>
      <c r="LQ20" s="81">
        <v>56.7</v>
      </c>
      <c r="LT20" s="48"/>
    </row>
    <row r="21" spans="1:332" x14ac:dyDescent="0.2">
      <c r="B21" s="76" t="s">
        <v>53</v>
      </c>
      <c r="C21" s="3"/>
      <c r="AM21" s="48"/>
      <c r="AN21" s="48"/>
      <c r="AO21" s="48"/>
      <c r="AP21" s="48"/>
      <c r="BL21" s="48"/>
      <c r="CL21" s="48"/>
      <c r="DE21" s="48"/>
      <c r="DH21" s="48"/>
      <c r="ED21" s="48"/>
      <c r="EZ21" s="48"/>
      <c r="FV21" s="48"/>
      <c r="GR21" s="48"/>
      <c r="HN21" s="48"/>
      <c r="IJ21" s="48"/>
      <c r="JF21" s="48"/>
      <c r="KB21" s="48"/>
      <c r="KX21" s="48"/>
      <c r="LT21" s="48"/>
    </row>
    <row r="22" spans="1:332" x14ac:dyDescent="0.2">
      <c r="A22" s="50"/>
      <c r="B22" s="50"/>
      <c r="C22" s="49"/>
      <c r="AL22" s="48"/>
      <c r="AM22" s="48"/>
      <c r="AN22" s="48"/>
      <c r="AP22" s="48"/>
    </row>
    <row r="23" spans="1:332" ht="17" x14ac:dyDescent="0.2">
      <c r="A23" s="50"/>
      <c r="B23" s="50"/>
      <c r="C23" s="49"/>
      <c r="R23" s="19"/>
      <c r="S23" s="19"/>
      <c r="AL23" s="48"/>
      <c r="AM23" s="48"/>
      <c r="AN23" s="48"/>
      <c r="AP23" s="48"/>
    </row>
    <row r="24" spans="1:332" ht="17" x14ac:dyDescent="0.2">
      <c r="A24" s="50"/>
      <c r="B24" s="50"/>
      <c r="C24" s="49"/>
      <c r="R24" s="19"/>
      <c r="AL24" s="48"/>
      <c r="AM24" s="48"/>
      <c r="AN24" s="48"/>
      <c r="AP24" s="48"/>
    </row>
    <row r="25" spans="1:332" ht="17" x14ac:dyDescent="0.2">
      <c r="R25" s="19"/>
      <c r="S25" s="19"/>
      <c r="AL25" s="48"/>
      <c r="AM25" s="48"/>
      <c r="AN25" s="48"/>
      <c r="AP25" s="48"/>
    </row>
    <row r="26" spans="1:332" ht="17" x14ac:dyDescent="0.2">
      <c r="R26" s="19"/>
      <c r="S26" s="19"/>
      <c r="AL26" s="48"/>
      <c r="AM26" s="48"/>
      <c r="AN26" s="48"/>
      <c r="AP26" s="48"/>
    </row>
    <row r="27" spans="1:332" ht="17" x14ac:dyDescent="0.2">
      <c r="R27" s="19"/>
      <c r="S27" s="19"/>
      <c r="AL27" s="48"/>
      <c r="AM27" s="48"/>
      <c r="AN27" s="48"/>
      <c r="AP27" s="48"/>
    </row>
    <row r="28" spans="1:332" ht="17" x14ac:dyDescent="0.2">
      <c r="R28" s="19"/>
      <c r="S28" s="19"/>
      <c r="T28" s="19"/>
    </row>
    <row r="29" spans="1:332" ht="17" x14ac:dyDescent="0.2">
      <c r="R29" s="19"/>
      <c r="S29" s="19"/>
      <c r="T29" s="19"/>
    </row>
    <row r="30" spans="1:332" ht="17" x14ac:dyDescent="0.2">
      <c r="R30" s="19"/>
      <c r="S30" s="19"/>
      <c r="T30" s="19"/>
    </row>
    <row r="31" spans="1:332" ht="17" x14ac:dyDescent="0.2">
      <c r="R31" s="19"/>
      <c r="S31" s="19"/>
      <c r="T31" s="19"/>
    </row>
    <row r="32" spans="1:332" ht="17" x14ac:dyDescent="0.2">
      <c r="R32" s="19"/>
      <c r="S32" s="19"/>
      <c r="T32" s="19"/>
    </row>
    <row r="33" spans="18:20" ht="17" x14ac:dyDescent="0.2">
      <c r="R33" s="19"/>
      <c r="S33" s="19"/>
      <c r="T33" s="19"/>
    </row>
    <row r="34" spans="18:20" ht="17" x14ac:dyDescent="0.2">
      <c r="R34" s="19"/>
      <c r="S34" s="19"/>
      <c r="T34" s="19"/>
    </row>
    <row r="35" spans="18:20" ht="17" x14ac:dyDescent="0.2">
      <c r="R35" s="19"/>
      <c r="S35" s="19"/>
      <c r="T35" s="19"/>
    </row>
    <row r="36" spans="18:20" ht="17" x14ac:dyDescent="0.2">
      <c r="R36" s="19"/>
      <c r="S36" s="19"/>
      <c r="T36" s="19"/>
    </row>
    <row r="37" spans="18:20" ht="17" x14ac:dyDescent="0.2">
      <c r="R37" s="19"/>
      <c r="S37" s="19"/>
      <c r="T37" s="19"/>
    </row>
    <row r="38" spans="18:20" ht="17" x14ac:dyDescent="0.2">
      <c r="R38" s="19"/>
      <c r="S38" s="19"/>
      <c r="T38" s="19"/>
    </row>
    <row r="39" spans="18:20" ht="17" x14ac:dyDescent="0.2">
      <c r="R39" s="19"/>
      <c r="S39" s="19"/>
      <c r="T39" s="19"/>
    </row>
    <row r="40" spans="18:20" ht="17" x14ac:dyDescent="0.2">
      <c r="R40" s="19"/>
      <c r="S40" s="19"/>
      <c r="T40" s="19"/>
    </row>
    <row r="41" spans="18:20" ht="17" x14ac:dyDescent="0.2">
      <c r="R41" s="19"/>
      <c r="S41" s="19"/>
      <c r="T41" s="19"/>
    </row>
    <row r="42" spans="18:20" ht="17" x14ac:dyDescent="0.2">
      <c r="R42" s="19"/>
      <c r="S42" s="19"/>
      <c r="T42" s="19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2">
      <sortCondition descending="1" ref="F1:F13"/>
    </sortState>
  </autoFilter>
  <sortState xmlns:xlrd2="http://schemas.microsoft.com/office/spreadsheetml/2017/richdata2" ref="A1:O3">
    <sortCondition ref="A1"/>
  </sortState>
  <mergeCells count="81">
    <mergeCell ref="LW1:MS1"/>
    <mergeCell ref="LW2:MA2"/>
    <mergeCell ref="MB2:MF2"/>
    <mergeCell ref="MG2:MK2"/>
    <mergeCell ref="HQ1:IL1"/>
    <mergeCell ref="IM1:JH1"/>
    <mergeCell ref="KE2:KI2"/>
    <mergeCell ref="JS2:JW2"/>
    <mergeCell ref="LA1:LV1"/>
    <mergeCell ref="JI1:KD1"/>
    <mergeCell ref="KE1:KZ1"/>
    <mergeCell ref="LK2:LO2"/>
    <mergeCell ref="LF2:LJ2"/>
    <mergeCell ref="LA2:LE2"/>
    <mergeCell ref="KO2:KS2"/>
    <mergeCell ref="KJ2:KN2"/>
    <mergeCell ref="DK2:DO2"/>
    <mergeCell ref="DK1:EF1"/>
    <mergeCell ref="JN2:JR2"/>
    <mergeCell ref="JI2:JM2"/>
    <mergeCell ref="IW2:JA2"/>
    <mergeCell ref="IR2:IV2"/>
    <mergeCell ref="EG1:FB1"/>
    <mergeCell ref="IM2:IQ2"/>
    <mergeCell ref="IA2:IE2"/>
    <mergeCell ref="HV2:HZ2"/>
    <mergeCell ref="HQ2:HU2"/>
    <mergeCell ref="EQ2:EU2"/>
    <mergeCell ref="EL2:EP2"/>
    <mergeCell ref="EG2:EK2"/>
    <mergeCell ref="GU1:HP1"/>
    <mergeCell ref="HE2:HI2"/>
    <mergeCell ref="GZ2:HD2"/>
    <mergeCell ref="GU2:GY2"/>
    <mergeCell ref="FC1:FX1"/>
    <mergeCell ref="FY1:GT1"/>
    <mergeCell ref="GD2:GH2"/>
    <mergeCell ref="FY2:GC2"/>
    <mergeCell ref="FM2:FQ2"/>
    <mergeCell ref="FH2:FL2"/>
    <mergeCell ref="FC2:FG2"/>
    <mergeCell ref="GI2:GM2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DU2:DY2"/>
    <mergeCell ref="DP2:DT2"/>
    <mergeCell ref="CT2:CX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Q1"/>
    <mergeCell ref="Z2:AD2"/>
    <mergeCell ref="AE2:AI2"/>
    <mergeCell ref="P1:P3"/>
  </mergeCells>
  <conditionalFormatting sqref="A1:A1048576">
    <cfRule type="expression" dxfId="152" priority="276">
      <formula>AND(H1="P",F1="")</formula>
    </cfRule>
  </conditionalFormatting>
  <conditionalFormatting sqref="I1:I1048576">
    <cfRule type="containsText" dxfId="151" priority="17" operator="containsText" text="No DD">
      <formula>NOT(ISERROR(SEARCH("No DD",I1)))</formula>
    </cfRule>
    <cfRule type="containsText" dxfId="150" priority="277" operator="containsText" text="Merit">
      <formula>NOT(ISERROR(SEARCH("Merit",I1)))</formula>
    </cfRule>
    <cfRule type="containsText" dxfId="149" priority="278" operator="containsText" text="Excellence">
      <formula>NOT(ISERROR(SEARCH("Excellence",I1)))</formula>
    </cfRule>
    <cfRule type="containsText" dxfId="148" priority="279" operator="containsText" text="Worlds Team">
      <formula>NOT(ISERROR(SEARCH("Worlds Team",I1)))</formula>
    </cfRule>
    <cfRule type="containsText" dxfId="147" priority="827" operator="containsText" text="National Team">
      <formula>NOT(ISERROR(SEARCH("National Team",I1)))</formula>
    </cfRule>
  </conditionalFormatting>
  <conditionalFormatting sqref="U4:AQ12">
    <cfRule type="expression" dxfId="146" priority="39">
      <formula>IF($AJ4&lt;&gt;"",1,0)</formula>
    </cfRule>
  </conditionalFormatting>
  <conditionalFormatting sqref="AR4:BN12">
    <cfRule type="expression" dxfId="145" priority="38">
      <formula>IF($BG4&lt;&gt;"",1,0)</formula>
    </cfRule>
  </conditionalFormatting>
  <conditionalFormatting sqref="Q1:Q1048576 O1:O1048576 M1:M1048576 K1:K1048576">
    <cfRule type="expression" dxfId="144" priority="8402">
      <formula>IF(K1=$AR$1,1,0)</formula>
    </cfRule>
    <cfRule type="expression" dxfId="143" priority="8403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42" priority="25862" operator="between">
      <formula>CI$20</formula>
      <formula>1000</formula>
    </cfRule>
  </conditionalFormatting>
  <conditionalFormatting sqref="LU1:LU1048576 CM1:CM1048576 DI1:DI1048576 EE1:EE1048576 FW1:FW1048576 HO1:HO1048576 JG1:JG1048576 KY1:KY1048576 FA1:FA1048576 GS1:GS1048576 IK1:IK1048576 KC1:KC1048576">
    <cfRule type="cellIs" dxfId="141" priority="25898" operator="between">
      <formula>CI$20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40" priority="25934" operator="between">
      <formula>CI$19</formula>
      <formula>1000</formula>
    </cfRule>
    <cfRule type="cellIs" dxfId="139" priority="25935" operator="between">
      <formula>CI$18</formula>
      <formula>CI$19</formula>
    </cfRule>
    <cfRule type="cellIs" dxfId="138" priority="25936" operator="between">
      <formula>CI$17</formula>
      <formula>CI$18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37" priority="26042">
      <formula>IF(AND(CH1&gt;=CI$15,CH1&lt;CI$16),1,0)</formula>
    </cfRule>
    <cfRule type="expression" dxfId="136" priority="26043">
      <formula>IF(AND(CH1&gt;=CI$16,CH1&lt;100),1,0)</formula>
    </cfRule>
  </conditionalFormatting>
  <conditionalFormatting sqref="LT1:LT1048576 KX1:KX1048576 KB1:KB1048576 JF1:JF1048576 IJ1:IJ1048576 HN1:HN1048576 GR1:GR1048576 FV1:FV1048576 EZ1:EZ1048576 ED1:ED1048576 DH1:DH1048576 CL1:CL1048576">
    <cfRule type="expression" dxfId="135" priority="26156">
      <formula>IF(AND(CL1&gt;=CI$16,CL1&lt;100),1,0)</formula>
    </cfRule>
    <cfRule type="expression" dxfId="134" priority="26157">
      <formula>IF(AND(CL1&gt;=CI$15,CL1&lt;CI$16),1,0)</formula>
    </cfRule>
  </conditionalFormatting>
  <conditionalFormatting sqref="AK1:AK1048576 BH1:BH1048576">
    <cfRule type="expression" dxfId="133" priority="26630">
      <formula>IF(AND(AK1&gt;=AL$16,AK1&lt;100,AJ1=""),1,0)</formula>
    </cfRule>
    <cfRule type="expression" dxfId="132" priority="26631">
      <formula>IF(AND(AK1&gt;=AL$15,AK1&lt;AL$16,AJ1=""),1,0)</formula>
    </cfRule>
  </conditionalFormatting>
  <conditionalFormatting sqref="AN1:AN1048576 BK1:BK1048576">
    <cfRule type="expression" dxfId="131" priority="26638">
      <formula>IF(AND(AN1&gt;=AL$19,AN1&lt;1000,AJ1=""),1,0)</formula>
    </cfRule>
    <cfRule type="expression" dxfId="130" priority="26639">
      <formula>IF(AND(AN1&gt;=AL$18,AN1&lt;AL$19,AJ1=""),1,0)</formula>
    </cfRule>
    <cfRule type="expression" dxfId="129" priority="26640">
      <formula>IF(AND(AN1&gt;=AL$17,AN1&lt;AL$18,AJ1=""),1,0)</formula>
    </cfRule>
  </conditionalFormatting>
  <conditionalFormatting sqref="BJ1:BJ1048576 AM1:AM1048576">
    <cfRule type="expression" dxfId="128" priority="26650">
      <formula>IF(AND(AM1&gt;=AL$20,AM1&lt;1000,AJ1=""),1,0)</formula>
    </cfRule>
  </conditionalFormatting>
  <conditionalFormatting sqref="BM1:BM1048576 AP1:AP1048576">
    <cfRule type="expression" dxfId="127" priority="26654">
      <formula>IF(AND(AP1&gt;=AL$20,AP1&lt;1000,AJ1=""),1,0)</formula>
    </cfRule>
  </conditionalFormatting>
  <conditionalFormatting sqref="BL1:BL1048576 AO1:AO1048576">
    <cfRule type="expression" dxfId="126" priority="26680">
      <formula>IF(AND(AO1&gt;=AL$16,AO1&lt;100,AJ1=""),1,0)</formula>
    </cfRule>
    <cfRule type="expression" dxfId="125" priority="26681">
      <formula>IF(AND(AO1&gt;=AL$15,AO1&lt;AL$16,AJ1=""),1,0)</formula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357" width="10.83203125" hidden="1" customWidth="1"/>
  </cols>
  <sheetData>
    <row r="1" spans="1:357" x14ac:dyDescent="0.2">
      <c r="A1" s="112" t="s">
        <v>1</v>
      </c>
      <c r="B1" s="112" t="s">
        <v>26</v>
      </c>
      <c r="C1" s="112" t="s">
        <v>0</v>
      </c>
      <c r="D1" s="112" t="s">
        <v>54</v>
      </c>
      <c r="E1" s="112" t="s">
        <v>2</v>
      </c>
      <c r="F1" s="113" t="s">
        <v>51</v>
      </c>
      <c r="G1" s="113" t="s">
        <v>50</v>
      </c>
      <c r="H1" s="112" t="s">
        <v>8</v>
      </c>
      <c r="I1" s="112" t="s">
        <v>9</v>
      </c>
      <c r="J1" s="114" t="s">
        <v>10</v>
      </c>
      <c r="K1" s="114" t="s">
        <v>33</v>
      </c>
      <c r="L1" s="114" t="s">
        <v>11</v>
      </c>
      <c r="M1" s="114" t="s">
        <v>33</v>
      </c>
      <c r="N1" s="114" t="s">
        <v>12</v>
      </c>
      <c r="O1" s="114" t="s">
        <v>33</v>
      </c>
      <c r="P1" s="114" t="s">
        <v>13</v>
      </c>
      <c r="Q1" s="114" t="s">
        <v>33</v>
      </c>
      <c r="R1" s="116" t="s">
        <v>14</v>
      </c>
      <c r="S1" s="114" t="s">
        <v>34</v>
      </c>
      <c r="T1" s="114" t="s">
        <v>33</v>
      </c>
      <c r="U1" s="115" t="s">
        <v>83</v>
      </c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7" t="s">
        <v>92</v>
      </c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8" t="s">
        <v>14</v>
      </c>
      <c r="BP1" s="118"/>
      <c r="BQ1" s="118"/>
      <c r="BR1" s="118"/>
      <c r="BS1" s="115" t="s">
        <v>104</v>
      </c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7"/>
      <c r="LB1" s="117"/>
      <c r="LC1" s="117"/>
      <c r="LD1" s="117"/>
      <c r="LE1" s="117"/>
      <c r="LF1" s="117"/>
      <c r="LG1" s="117"/>
      <c r="LH1" s="117"/>
      <c r="LI1" s="117"/>
      <c r="LJ1" s="117"/>
      <c r="LK1" s="117"/>
      <c r="LL1" s="117"/>
      <c r="LM1" s="117"/>
      <c r="LN1" s="117"/>
      <c r="LO1" s="117"/>
      <c r="LP1" s="117"/>
      <c r="LQ1" s="117"/>
      <c r="LR1" s="117"/>
      <c r="LS1" s="117"/>
      <c r="LT1" s="117"/>
      <c r="LU1" s="117"/>
      <c r="LV1" s="117"/>
      <c r="LW1" s="115" t="s">
        <v>82</v>
      </c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</row>
    <row r="2" spans="1:357" x14ac:dyDescent="0.2">
      <c r="A2" s="112"/>
      <c r="B2" s="112"/>
      <c r="C2" s="112"/>
      <c r="D2" s="112"/>
      <c r="E2" s="112"/>
      <c r="F2" s="113"/>
      <c r="G2" s="113"/>
      <c r="H2" s="112"/>
      <c r="I2" s="112"/>
      <c r="J2" s="114"/>
      <c r="K2" s="114"/>
      <c r="L2" s="114"/>
      <c r="M2" s="114"/>
      <c r="N2" s="114"/>
      <c r="O2" s="114"/>
      <c r="P2" s="114"/>
      <c r="Q2" s="114"/>
      <c r="R2" s="116"/>
      <c r="S2" s="114"/>
      <c r="T2" s="114"/>
      <c r="U2" s="110" t="s">
        <v>19</v>
      </c>
      <c r="V2" s="110"/>
      <c r="W2" s="110"/>
      <c r="X2" s="110"/>
      <c r="Y2" s="110"/>
      <c r="Z2" s="110" t="s">
        <v>20</v>
      </c>
      <c r="AA2" s="110"/>
      <c r="AB2" s="110"/>
      <c r="AC2" s="110"/>
      <c r="AD2" s="110"/>
      <c r="AE2" s="110" t="s">
        <v>23</v>
      </c>
      <c r="AF2" s="110"/>
      <c r="AG2" s="110"/>
      <c r="AH2" s="110"/>
      <c r="AI2" s="110"/>
      <c r="AJ2" s="72"/>
      <c r="AK2" s="52" t="s">
        <v>58</v>
      </c>
      <c r="AL2" s="10" t="s">
        <v>21</v>
      </c>
      <c r="AM2" s="10" t="s">
        <v>22</v>
      </c>
      <c r="AN2" s="10" t="s">
        <v>24</v>
      </c>
      <c r="AO2" s="10" t="s">
        <v>90</v>
      </c>
      <c r="AP2" s="10" t="s">
        <v>23</v>
      </c>
      <c r="AQ2" s="10" t="s">
        <v>18</v>
      </c>
      <c r="AR2" s="111" t="s">
        <v>19</v>
      </c>
      <c r="AS2" s="111"/>
      <c r="AT2" s="111"/>
      <c r="AU2" s="111"/>
      <c r="AV2" s="111"/>
      <c r="AW2" s="111" t="s">
        <v>20</v>
      </c>
      <c r="AX2" s="111"/>
      <c r="AY2" s="111"/>
      <c r="AZ2" s="111"/>
      <c r="BA2" s="111"/>
      <c r="BB2" s="111" t="s">
        <v>23</v>
      </c>
      <c r="BC2" s="111"/>
      <c r="BD2" s="111"/>
      <c r="BE2" s="111"/>
      <c r="BF2" s="111"/>
      <c r="BG2" s="73"/>
      <c r="BH2" s="51" t="s">
        <v>58</v>
      </c>
      <c r="BI2" s="13" t="s">
        <v>21</v>
      </c>
      <c r="BJ2" s="13" t="s">
        <v>22</v>
      </c>
      <c r="BK2" s="13" t="s">
        <v>24</v>
      </c>
      <c r="BL2" s="13" t="s">
        <v>90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0" t="s">
        <v>19</v>
      </c>
      <c r="BT2" s="110"/>
      <c r="BU2" s="110"/>
      <c r="BV2" s="110"/>
      <c r="BW2" s="110"/>
      <c r="BX2" s="110" t="s">
        <v>20</v>
      </c>
      <c r="BY2" s="110"/>
      <c r="BZ2" s="110"/>
      <c r="CA2" s="110"/>
      <c r="CB2" s="110"/>
      <c r="CC2" s="110" t="s">
        <v>23</v>
      </c>
      <c r="CD2" s="110"/>
      <c r="CE2" s="110"/>
      <c r="CF2" s="110"/>
      <c r="CG2" s="110"/>
      <c r="CH2" s="52" t="s">
        <v>58</v>
      </c>
      <c r="CI2" s="10" t="s">
        <v>21</v>
      </c>
      <c r="CJ2" s="10" t="s">
        <v>22</v>
      </c>
      <c r="CK2" s="10" t="s">
        <v>24</v>
      </c>
      <c r="CL2" s="10" t="s">
        <v>90</v>
      </c>
      <c r="CM2" s="10" t="s">
        <v>23</v>
      </c>
      <c r="CN2" s="10" t="s">
        <v>18</v>
      </c>
      <c r="CO2" s="111" t="s">
        <v>19</v>
      </c>
      <c r="CP2" s="111"/>
      <c r="CQ2" s="111"/>
      <c r="CR2" s="111"/>
      <c r="CS2" s="111"/>
      <c r="CT2" s="111" t="s">
        <v>20</v>
      </c>
      <c r="CU2" s="111"/>
      <c r="CV2" s="111"/>
      <c r="CW2" s="111"/>
      <c r="CX2" s="111"/>
      <c r="CY2" s="111" t="s">
        <v>23</v>
      </c>
      <c r="CZ2" s="111"/>
      <c r="DA2" s="111"/>
      <c r="DB2" s="111"/>
      <c r="DC2" s="111"/>
      <c r="DD2" s="51" t="s">
        <v>58</v>
      </c>
      <c r="DE2" s="13" t="s">
        <v>21</v>
      </c>
      <c r="DF2" s="13" t="s">
        <v>22</v>
      </c>
      <c r="DG2" s="13" t="s">
        <v>24</v>
      </c>
      <c r="DH2" s="13" t="s">
        <v>90</v>
      </c>
      <c r="DI2" s="13" t="s">
        <v>23</v>
      </c>
      <c r="DJ2" s="13" t="s">
        <v>18</v>
      </c>
      <c r="DK2" s="110" t="s">
        <v>19</v>
      </c>
      <c r="DL2" s="110"/>
      <c r="DM2" s="110"/>
      <c r="DN2" s="110"/>
      <c r="DO2" s="110"/>
      <c r="DP2" s="110" t="s">
        <v>20</v>
      </c>
      <c r="DQ2" s="110"/>
      <c r="DR2" s="110"/>
      <c r="DS2" s="110"/>
      <c r="DT2" s="110"/>
      <c r="DU2" s="110" t="s">
        <v>23</v>
      </c>
      <c r="DV2" s="110"/>
      <c r="DW2" s="110"/>
      <c r="DX2" s="110"/>
      <c r="DY2" s="110"/>
      <c r="DZ2" s="52" t="s">
        <v>58</v>
      </c>
      <c r="EA2" s="10" t="s">
        <v>21</v>
      </c>
      <c r="EB2" s="10" t="s">
        <v>22</v>
      </c>
      <c r="EC2" s="10" t="s">
        <v>24</v>
      </c>
      <c r="ED2" s="10" t="s">
        <v>90</v>
      </c>
      <c r="EE2" s="10" t="s">
        <v>23</v>
      </c>
      <c r="EF2" s="10" t="s">
        <v>18</v>
      </c>
      <c r="EG2" s="111" t="s">
        <v>19</v>
      </c>
      <c r="EH2" s="111"/>
      <c r="EI2" s="111"/>
      <c r="EJ2" s="111"/>
      <c r="EK2" s="111"/>
      <c r="EL2" s="111" t="s">
        <v>20</v>
      </c>
      <c r="EM2" s="111"/>
      <c r="EN2" s="111"/>
      <c r="EO2" s="111"/>
      <c r="EP2" s="111"/>
      <c r="EQ2" s="111" t="s">
        <v>23</v>
      </c>
      <c r="ER2" s="111"/>
      <c r="ES2" s="111"/>
      <c r="ET2" s="111"/>
      <c r="EU2" s="111"/>
      <c r="EV2" s="51" t="s">
        <v>58</v>
      </c>
      <c r="EW2" s="13" t="s">
        <v>21</v>
      </c>
      <c r="EX2" s="13" t="s">
        <v>22</v>
      </c>
      <c r="EY2" s="13" t="s">
        <v>24</v>
      </c>
      <c r="EZ2" s="13" t="s">
        <v>90</v>
      </c>
      <c r="FA2" s="13" t="s">
        <v>23</v>
      </c>
      <c r="FB2" s="13" t="s">
        <v>18</v>
      </c>
      <c r="FC2" s="110" t="s">
        <v>19</v>
      </c>
      <c r="FD2" s="110"/>
      <c r="FE2" s="110"/>
      <c r="FF2" s="110"/>
      <c r="FG2" s="110"/>
      <c r="FH2" s="110" t="s">
        <v>20</v>
      </c>
      <c r="FI2" s="110"/>
      <c r="FJ2" s="110"/>
      <c r="FK2" s="110"/>
      <c r="FL2" s="110"/>
      <c r="FM2" s="110" t="s">
        <v>23</v>
      </c>
      <c r="FN2" s="110"/>
      <c r="FO2" s="110"/>
      <c r="FP2" s="110"/>
      <c r="FQ2" s="110"/>
      <c r="FR2" s="52" t="s">
        <v>58</v>
      </c>
      <c r="FS2" s="10" t="s">
        <v>21</v>
      </c>
      <c r="FT2" s="10" t="s">
        <v>22</v>
      </c>
      <c r="FU2" s="10" t="s">
        <v>24</v>
      </c>
      <c r="FV2" s="10" t="s">
        <v>90</v>
      </c>
      <c r="FW2" s="10" t="s">
        <v>23</v>
      </c>
      <c r="FX2" s="10" t="s">
        <v>18</v>
      </c>
      <c r="FY2" s="111" t="s">
        <v>19</v>
      </c>
      <c r="FZ2" s="111"/>
      <c r="GA2" s="111"/>
      <c r="GB2" s="111"/>
      <c r="GC2" s="111"/>
      <c r="GD2" s="111" t="s">
        <v>20</v>
      </c>
      <c r="GE2" s="111"/>
      <c r="GF2" s="111"/>
      <c r="GG2" s="111"/>
      <c r="GH2" s="111"/>
      <c r="GI2" s="111" t="s">
        <v>23</v>
      </c>
      <c r="GJ2" s="111"/>
      <c r="GK2" s="111"/>
      <c r="GL2" s="111"/>
      <c r="GM2" s="111"/>
      <c r="GN2" s="51" t="s">
        <v>58</v>
      </c>
      <c r="GO2" s="13" t="s">
        <v>21</v>
      </c>
      <c r="GP2" s="13" t="s">
        <v>22</v>
      </c>
      <c r="GQ2" s="13" t="s">
        <v>24</v>
      </c>
      <c r="GR2" s="13" t="s">
        <v>90</v>
      </c>
      <c r="GS2" s="13" t="s">
        <v>23</v>
      </c>
      <c r="GT2" s="13" t="s">
        <v>18</v>
      </c>
      <c r="GU2" s="110" t="s">
        <v>19</v>
      </c>
      <c r="GV2" s="110"/>
      <c r="GW2" s="110"/>
      <c r="GX2" s="110"/>
      <c r="GY2" s="110"/>
      <c r="GZ2" s="110" t="s">
        <v>20</v>
      </c>
      <c r="HA2" s="110"/>
      <c r="HB2" s="110"/>
      <c r="HC2" s="110"/>
      <c r="HD2" s="110"/>
      <c r="HE2" s="110" t="s">
        <v>23</v>
      </c>
      <c r="HF2" s="110"/>
      <c r="HG2" s="110"/>
      <c r="HH2" s="110"/>
      <c r="HI2" s="110"/>
      <c r="HJ2" s="21" t="s">
        <v>58</v>
      </c>
      <c r="HK2" s="10" t="s">
        <v>21</v>
      </c>
      <c r="HL2" s="10" t="s">
        <v>22</v>
      </c>
      <c r="HM2" s="10" t="s">
        <v>24</v>
      </c>
      <c r="HN2" s="10" t="s">
        <v>90</v>
      </c>
      <c r="HO2" s="10" t="s">
        <v>23</v>
      </c>
      <c r="HP2" s="10" t="s">
        <v>18</v>
      </c>
      <c r="HQ2" s="111" t="s">
        <v>19</v>
      </c>
      <c r="HR2" s="111"/>
      <c r="HS2" s="111"/>
      <c r="HT2" s="111"/>
      <c r="HU2" s="111"/>
      <c r="HV2" s="111" t="s">
        <v>20</v>
      </c>
      <c r="HW2" s="111"/>
      <c r="HX2" s="111"/>
      <c r="HY2" s="111"/>
      <c r="HZ2" s="111"/>
      <c r="IA2" s="111" t="s">
        <v>23</v>
      </c>
      <c r="IB2" s="111"/>
      <c r="IC2" s="111"/>
      <c r="ID2" s="111"/>
      <c r="IE2" s="111"/>
      <c r="IF2" s="51" t="s">
        <v>58</v>
      </c>
      <c r="IG2" s="13" t="s">
        <v>21</v>
      </c>
      <c r="IH2" s="13" t="s">
        <v>22</v>
      </c>
      <c r="II2" s="13" t="s">
        <v>24</v>
      </c>
      <c r="IJ2" s="13" t="s">
        <v>90</v>
      </c>
      <c r="IK2" s="13" t="s">
        <v>23</v>
      </c>
      <c r="IL2" s="13" t="s">
        <v>18</v>
      </c>
      <c r="IM2" s="110" t="s">
        <v>19</v>
      </c>
      <c r="IN2" s="110"/>
      <c r="IO2" s="110"/>
      <c r="IP2" s="110"/>
      <c r="IQ2" s="110"/>
      <c r="IR2" s="110" t="s">
        <v>20</v>
      </c>
      <c r="IS2" s="110"/>
      <c r="IT2" s="110"/>
      <c r="IU2" s="110"/>
      <c r="IV2" s="110"/>
      <c r="IW2" s="110" t="s">
        <v>23</v>
      </c>
      <c r="IX2" s="110"/>
      <c r="IY2" s="110"/>
      <c r="IZ2" s="110"/>
      <c r="JA2" s="110"/>
      <c r="JB2" s="21" t="s">
        <v>58</v>
      </c>
      <c r="JC2" s="10" t="s">
        <v>21</v>
      </c>
      <c r="JD2" s="10" t="s">
        <v>22</v>
      </c>
      <c r="JE2" s="10" t="s">
        <v>24</v>
      </c>
      <c r="JF2" s="10" t="s">
        <v>90</v>
      </c>
      <c r="JG2" s="10" t="s">
        <v>23</v>
      </c>
      <c r="JH2" s="10" t="s">
        <v>18</v>
      </c>
      <c r="JI2" s="111" t="s">
        <v>19</v>
      </c>
      <c r="JJ2" s="111"/>
      <c r="JK2" s="111"/>
      <c r="JL2" s="111"/>
      <c r="JM2" s="111"/>
      <c r="JN2" s="111" t="s">
        <v>20</v>
      </c>
      <c r="JO2" s="111"/>
      <c r="JP2" s="111"/>
      <c r="JQ2" s="111"/>
      <c r="JR2" s="111"/>
      <c r="JS2" s="111" t="s">
        <v>23</v>
      </c>
      <c r="JT2" s="111"/>
      <c r="JU2" s="111"/>
      <c r="JV2" s="111"/>
      <c r="JW2" s="111"/>
      <c r="JX2" s="20" t="s">
        <v>58</v>
      </c>
      <c r="JY2" s="13" t="s">
        <v>21</v>
      </c>
      <c r="JZ2" s="13" t="s">
        <v>22</v>
      </c>
      <c r="KA2" s="13" t="s">
        <v>24</v>
      </c>
      <c r="KB2" s="13" t="s">
        <v>90</v>
      </c>
      <c r="KC2" s="13" t="s">
        <v>23</v>
      </c>
      <c r="KD2" s="13" t="s">
        <v>18</v>
      </c>
      <c r="KE2" s="110" t="s">
        <v>19</v>
      </c>
      <c r="KF2" s="110"/>
      <c r="KG2" s="110"/>
      <c r="KH2" s="110"/>
      <c r="KI2" s="110"/>
      <c r="KJ2" s="110" t="s">
        <v>20</v>
      </c>
      <c r="KK2" s="110"/>
      <c r="KL2" s="110"/>
      <c r="KM2" s="110"/>
      <c r="KN2" s="110"/>
      <c r="KO2" s="110" t="s">
        <v>23</v>
      </c>
      <c r="KP2" s="110"/>
      <c r="KQ2" s="110"/>
      <c r="KR2" s="110"/>
      <c r="KS2" s="110"/>
      <c r="KT2" s="21" t="s">
        <v>58</v>
      </c>
      <c r="KU2" s="10" t="s">
        <v>21</v>
      </c>
      <c r="KV2" s="10" t="s">
        <v>22</v>
      </c>
      <c r="KW2" s="10" t="s">
        <v>24</v>
      </c>
      <c r="KX2" s="10" t="s">
        <v>90</v>
      </c>
      <c r="KY2" s="10" t="s">
        <v>23</v>
      </c>
      <c r="KZ2" s="10" t="s">
        <v>18</v>
      </c>
      <c r="LA2" s="111" t="s">
        <v>19</v>
      </c>
      <c r="LB2" s="111"/>
      <c r="LC2" s="111"/>
      <c r="LD2" s="111"/>
      <c r="LE2" s="111"/>
      <c r="LF2" s="111" t="s">
        <v>20</v>
      </c>
      <c r="LG2" s="111"/>
      <c r="LH2" s="111"/>
      <c r="LI2" s="111"/>
      <c r="LJ2" s="111"/>
      <c r="LK2" s="111" t="s">
        <v>23</v>
      </c>
      <c r="LL2" s="111"/>
      <c r="LM2" s="111"/>
      <c r="LN2" s="111"/>
      <c r="LO2" s="111"/>
      <c r="LP2" s="20" t="s">
        <v>58</v>
      </c>
      <c r="LQ2" s="13" t="s">
        <v>21</v>
      </c>
      <c r="LR2" s="13" t="s">
        <v>22</v>
      </c>
      <c r="LS2" s="13" t="s">
        <v>24</v>
      </c>
      <c r="LT2" s="13" t="s">
        <v>90</v>
      </c>
      <c r="LU2" s="13" t="s">
        <v>23</v>
      </c>
      <c r="LV2" s="13" t="s">
        <v>18</v>
      </c>
      <c r="LW2" s="110" t="s">
        <v>19</v>
      </c>
      <c r="LX2" s="110"/>
      <c r="LY2" s="110"/>
      <c r="LZ2" s="110"/>
      <c r="MA2" s="110"/>
      <c r="MB2" s="110" t="s">
        <v>20</v>
      </c>
      <c r="MC2" s="110"/>
      <c r="MD2" s="110"/>
      <c r="ME2" s="110"/>
      <c r="MF2" s="110"/>
      <c r="MG2" s="110" t="s">
        <v>23</v>
      </c>
      <c r="MH2" s="110"/>
      <c r="MI2" s="110"/>
      <c r="MJ2" s="110"/>
      <c r="MK2" s="110"/>
      <c r="ML2" s="105"/>
      <c r="MM2" s="105" t="s">
        <v>58</v>
      </c>
      <c r="MN2" s="10" t="s">
        <v>21</v>
      </c>
      <c r="MO2" s="10" t="s">
        <v>22</v>
      </c>
      <c r="MP2" s="10" t="s">
        <v>24</v>
      </c>
      <c r="MQ2" s="10" t="s">
        <v>90</v>
      </c>
      <c r="MR2" s="10" t="s">
        <v>23</v>
      </c>
      <c r="MS2" s="10" t="s">
        <v>18</v>
      </c>
    </row>
    <row r="3" spans="1:357" x14ac:dyDescent="0.2">
      <c r="A3" s="112"/>
      <c r="B3" s="112"/>
      <c r="C3" s="112"/>
      <c r="D3" s="112"/>
      <c r="E3" s="112"/>
      <c r="F3" s="113"/>
      <c r="G3" s="113"/>
      <c r="H3" s="112"/>
      <c r="I3" s="112"/>
      <c r="J3" s="114"/>
      <c r="K3" s="114"/>
      <c r="L3" s="114"/>
      <c r="M3" s="114"/>
      <c r="N3" s="114"/>
      <c r="O3" s="114"/>
      <c r="P3" s="114"/>
      <c r="Q3" s="114"/>
      <c r="R3" s="116"/>
      <c r="S3" s="114"/>
      <c r="T3" s="114"/>
      <c r="U3" s="52" t="s">
        <v>15</v>
      </c>
      <c r="V3" s="52" t="s">
        <v>16</v>
      </c>
      <c r="W3" s="52" t="s">
        <v>7</v>
      </c>
      <c r="X3" s="52" t="s">
        <v>17</v>
      </c>
      <c r="Y3" s="52" t="s">
        <v>28</v>
      </c>
      <c r="Z3" s="52" t="s">
        <v>15</v>
      </c>
      <c r="AA3" s="52" t="s">
        <v>16</v>
      </c>
      <c r="AB3" s="52" t="s">
        <v>7</v>
      </c>
      <c r="AC3" s="52" t="s">
        <v>17</v>
      </c>
      <c r="AD3" s="52" t="s">
        <v>28</v>
      </c>
      <c r="AE3" s="52" t="s">
        <v>15</v>
      </c>
      <c r="AF3" s="52" t="s">
        <v>16</v>
      </c>
      <c r="AG3" s="52" t="s">
        <v>7</v>
      </c>
      <c r="AH3" s="52" t="s">
        <v>17</v>
      </c>
      <c r="AI3" s="52" t="s">
        <v>28</v>
      </c>
      <c r="AJ3" s="72" t="s">
        <v>52</v>
      </c>
      <c r="AK3" s="11"/>
      <c r="AL3" s="10"/>
      <c r="AM3" s="10"/>
      <c r="AN3" s="10"/>
      <c r="AO3" s="10"/>
      <c r="AP3" s="11"/>
      <c r="AQ3" s="11"/>
      <c r="AR3" s="51" t="s">
        <v>15</v>
      </c>
      <c r="AS3" s="51" t="s">
        <v>16</v>
      </c>
      <c r="AT3" s="51" t="s">
        <v>7</v>
      </c>
      <c r="AU3" s="51" t="s">
        <v>17</v>
      </c>
      <c r="AV3" s="51" t="s">
        <v>28</v>
      </c>
      <c r="AW3" s="51" t="s">
        <v>15</v>
      </c>
      <c r="AX3" s="51" t="s">
        <v>16</v>
      </c>
      <c r="AY3" s="51" t="s">
        <v>7</v>
      </c>
      <c r="AZ3" s="51" t="s">
        <v>17</v>
      </c>
      <c r="BA3" s="51" t="s">
        <v>28</v>
      </c>
      <c r="BB3" s="51" t="s">
        <v>15</v>
      </c>
      <c r="BC3" s="51" t="s">
        <v>16</v>
      </c>
      <c r="BD3" s="51" t="s">
        <v>7</v>
      </c>
      <c r="BE3" s="51" t="s">
        <v>17</v>
      </c>
      <c r="BF3" s="51" t="s">
        <v>28</v>
      </c>
      <c r="BG3" s="73" t="s">
        <v>52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52" t="s">
        <v>15</v>
      </c>
      <c r="BT3" s="52" t="s">
        <v>16</v>
      </c>
      <c r="BU3" s="52" t="s">
        <v>7</v>
      </c>
      <c r="BV3" s="52" t="s">
        <v>17</v>
      </c>
      <c r="BW3" s="52" t="s">
        <v>28</v>
      </c>
      <c r="BX3" s="52" t="s">
        <v>15</v>
      </c>
      <c r="BY3" s="52" t="s">
        <v>16</v>
      </c>
      <c r="BZ3" s="52" t="s">
        <v>7</v>
      </c>
      <c r="CA3" s="52" t="s">
        <v>17</v>
      </c>
      <c r="CB3" s="52" t="s">
        <v>28</v>
      </c>
      <c r="CC3" s="52" t="s">
        <v>15</v>
      </c>
      <c r="CD3" s="52" t="s">
        <v>16</v>
      </c>
      <c r="CE3" s="52" t="s">
        <v>7</v>
      </c>
      <c r="CF3" s="52" t="s">
        <v>17</v>
      </c>
      <c r="CG3" s="52" t="s">
        <v>28</v>
      </c>
      <c r="CH3" s="11"/>
      <c r="CI3" s="10"/>
      <c r="CJ3" s="10"/>
      <c r="CK3" s="10"/>
      <c r="CL3" s="10"/>
      <c r="CM3" s="11"/>
      <c r="CN3" s="11"/>
      <c r="CO3" s="51" t="s">
        <v>15</v>
      </c>
      <c r="CP3" s="51" t="s">
        <v>16</v>
      </c>
      <c r="CQ3" s="51" t="s">
        <v>7</v>
      </c>
      <c r="CR3" s="51" t="s">
        <v>17</v>
      </c>
      <c r="CS3" s="51" t="s">
        <v>28</v>
      </c>
      <c r="CT3" s="51" t="s">
        <v>15</v>
      </c>
      <c r="CU3" s="51" t="s">
        <v>16</v>
      </c>
      <c r="CV3" s="51" t="s">
        <v>7</v>
      </c>
      <c r="CW3" s="51" t="s">
        <v>17</v>
      </c>
      <c r="CX3" s="51" t="s">
        <v>28</v>
      </c>
      <c r="CY3" s="51" t="s">
        <v>15</v>
      </c>
      <c r="CZ3" s="51" t="s">
        <v>16</v>
      </c>
      <c r="DA3" s="51" t="s">
        <v>7</v>
      </c>
      <c r="DB3" s="51" t="s">
        <v>17</v>
      </c>
      <c r="DC3" s="51" t="s">
        <v>28</v>
      </c>
      <c r="DD3" s="14"/>
      <c r="DE3" s="13"/>
      <c r="DF3" s="13"/>
      <c r="DG3" s="13"/>
      <c r="DH3" s="13"/>
      <c r="DI3" s="14"/>
      <c r="DJ3" s="14"/>
      <c r="DK3" s="52" t="s">
        <v>15</v>
      </c>
      <c r="DL3" s="52" t="s">
        <v>16</v>
      </c>
      <c r="DM3" s="52" t="s">
        <v>7</v>
      </c>
      <c r="DN3" s="52" t="s">
        <v>17</v>
      </c>
      <c r="DO3" s="52" t="s">
        <v>28</v>
      </c>
      <c r="DP3" s="52" t="s">
        <v>15</v>
      </c>
      <c r="DQ3" s="52" t="s">
        <v>16</v>
      </c>
      <c r="DR3" s="52" t="s">
        <v>7</v>
      </c>
      <c r="DS3" s="52" t="s">
        <v>17</v>
      </c>
      <c r="DT3" s="52" t="s">
        <v>28</v>
      </c>
      <c r="DU3" s="52" t="s">
        <v>15</v>
      </c>
      <c r="DV3" s="52" t="s">
        <v>16</v>
      </c>
      <c r="DW3" s="52" t="s">
        <v>7</v>
      </c>
      <c r="DX3" s="52" t="s">
        <v>17</v>
      </c>
      <c r="DY3" s="52" t="s">
        <v>28</v>
      </c>
      <c r="DZ3" s="11"/>
      <c r="EA3" s="10"/>
      <c r="EB3" s="10"/>
      <c r="EC3" s="10"/>
      <c r="ED3" s="10"/>
      <c r="EE3" s="11"/>
      <c r="EF3" s="11"/>
      <c r="EG3" s="51" t="s">
        <v>15</v>
      </c>
      <c r="EH3" s="51" t="s">
        <v>16</v>
      </c>
      <c r="EI3" s="51" t="s">
        <v>7</v>
      </c>
      <c r="EJ3" s="51" t="s">
        <v>17</v>
      </c>
      <c r="EK3" s="51" t="s">
        <v>28</v>
      </c>
      <c r="EL3" s="51" t="s">
        <v>15</v>
      </c>
      <c r="EM3" s="51" t="s">
        <v>16</v>
      </c>
      <c r="EN3" s="51" t="s">
        <v>7</v>
      </c>
      <c r="EO3" s="51" t="s">
        <v>17</v>
      </c>
      <c r="EP3" s="51" t="s">
        <v>28</v>
      </c>
      <c r="EQ3" s="51" t="s">
        <v>15</v>
      </c>
      <c r="ER3" s="51" t="s">
        <v>16</v>
      </c>
      <c r="ES3" s="51" t="s">
        <v>7</v>
      </c>
      <c r="ET3" s="51" t="s">
        <v>17</v>
      </c>
      <c r="EU3" s="51" t="s">
        <v>28</v>
      </c>
      <c r="EV3" s="14"/>
      <c r="EW3" s="13"/>
      <c r="EX3" s="13"/>
      <c r="EY3" s="13"/>
      <c r="EZ3" s="13"/>
      <c r="FA3" s="14"/>
      <c r="FB3" s="14"/>
      <c r="FC3" s="52" t="s">
        <v>15</v>
      </c>
      <c r="FD3" s="52" t="s">
        <v>16</v>
      </c>
      <c r="FE3" s="52" t="s">
        <v>7</v>
      </c>
      <c r="FF3" s="52" t="s">
        <v>17</v>
      </c>
      <c r="FG3" s="52" t="s">
        <v>28</v>
      </c>
      <c r="FH3" s="52" t="s">
        <v>15</v>
      </c>
      <c r="FI3" s="52" t="s">
        <v>16</v>
      </c>
      <c r="FJ3" s="52" t="s">
        <v>7</v>
      </c>
      <c r="FK3" s="52" t="s">
        <v>17</v>
      </c>
      <c r="FL3" s="52" t="s">
        <v>28</v>
      </c>
      <c r="FM3" s="52" t="s">
        <v>15</v>
      </c>
      <c r="FN3" s="52" t="s">
        <v>16</v>
      </c>
      <c r="FO3" s="52" t="s">
        <v>7</v>
      </c>
      <c r="FP3" s="52" t="s">
        <v>17</v>
      </c>
      <c r="FQ3" s="52" t="s">
        <v>28</v>
      </c>
      <c r="FR3" s="11"/>
      <c r="FS3" s="10"/>
      <c r="FT3" s="10"/>
      <c r="FU3" s="10"/>
      <c r="FV3" s="10"/>
      <c r="FW3" s="11"/>
      <c r="FX3" s="11"/>
      <c r="FY3" s="51" t="s">
        <v>15</v>
      </c>
      <c r="FZ3" s="51" t="s">
        <v>16</v>
      </c>
      <c r="GA3" s="51" t="s">
        <v>7</v>
      </c>
      <c r="GB3" s="51" t="s">
        <v>17</v>
      </c>
      <c r="GC3" s="51" t="s">
        <v>28</v>
      </c>
      <c r="GD3" s="51" t="s">
        <v>15</v>
      </c>
      <c r="GE3" s="51" t="s">
        <v>16</v>
      </c>
      <c r="GF3" s="51" t="s">
        <v>7</v>
      </c>
      <c r="GG3" s="51" t="s">
        <v>17</v>
      </c>
      <c r="GH3" s="51" t="s">
        <v>28</v>
      </c>
      <c r="GI3" s="51" t="s">
        <v>15</v>
      </c>
      <c r="GJ3" s="51" t="s">
        <v>16</v>
      </c>
      <c r="GK3" s="51" t="s">
        <v>7</v>
      </c>
      <c r="GL3" s="51" t="s">
        <v>17</v>
      </c>
      <c r="GM3" s="51" t="s">
        <v>28</v>
      </c>
      <c r="GN3" s="14"/>
      <c r="GO3" s="13"/>
      <c r="GP3" s="13"/>
      <c r="GQ3" s="13"/>
      <c r="GR3" s="13"/>
      <c r="GS3" s="14"/>
      <c r="GT3" s="14"/>
      <c r="GU3" s="29" t="s">
        <v>15</v>
      </c>
      <c r="GV3" s="29" t="s">
        <v>16</v>
      </c>
      <c r="GW3" s="29" t="s">
        <v>7</v>
      </c>
      <c r="GX3" s="29" t="s">
        <v>17</v>
      </c>
      <c r="GY3" s="43" t="s">
        <v>28</v>
      </c>
      <c r="GZ3" s="29" t="s">
        <v>15</v>
      </c>
      <c r="HA3" s="29" t="s">
        <v>16</v>
      </c>
      <c r="HB3" s="29" t="s">
        <v>7</v>
      </c>
      <c r="HC3" s="29" t="s">
        <v>17</v>
      </c>
      <c r="HD3" s="43" t="s">
        <v>28</v>
      </c>
      <c r="HE3" s="29" t="s">
        <v>15</v>
      </c>
      <c r="HF3" s="29" t="s">
        <v>16</v>
      </c>
      <c r="HG3" s="29" t="s">
        <v>7</v>
      </c>
      <c r="HH3" s="29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51" t="s">
        <v>15</v>
      </c>
      <c r="HR3" s="51" t="s">
        <v>16</v>
      </c>
      <c r="HS3" s="51" t="s">
        <v>7</v>
      </c>
      <c r="HT3" s="51" t="s">
        <v>17</v>
      </c>
      <c r="HU3" s="51" t="s">
        <v>28</v>
      </c>
      <c r="HV3" s="51" t="s">
        <v>15</v>
      </c>
      <c r="HW3" s="51" t="s">
        <v>16</v>
      </c>
      <c r="HX3" s="51" t="s">
        <v>7</v>
      </c>
      <c r="HY3" s="51" t="s">
        <v>17</v>
      </c>
      <c r="HZ3" s="51" t="s">
        <v>28</v>
      </c>
      <c r="IA3" s="51" t="s">
        <v>15</v>
      </c>
      <c r="IB3" s="51" t="s">
        <v>16</v>
      </c>
      <c r="IC3" s="51" t="s">
        <v>7</v>
      </c>
      <c r="ID3" s="51" t="s">
        <v>17</v>
      </c>
      <c r="IE3" s="51" t="s">
        <v>28</v>
      </c>
      <c r="IF3" s="14"/>
      <c r="IG3" s="13"/>
      <c r="IH3" s="13"/>
      <c r="II3" s="13"/>
      <c r="IJ3" s="13"/>
      <c r="IK3" s="14"/>
      <c r="IL3" s="14"/>
      <c r="IM3" s="29" t="s">
        <v>15</v>
      </c>
      <c r="IN3" s="29" t="s">
        <v>16</v>
      </c>
      <c r="IO3" s="29" t="s">
        <v>7</v>
      </c>
      <c r="IP3" s="29" t="s">
        <v>17</v>
      </c>
      <c r="IQ3" s="43" t="s">
        <v>28</v>
      </c>
      <c r="IR3" s="29" t="s">
        <v>15</v>
      </c>
      <c r="IS3" s="29" t="s">
        <v>16</v>
      </c>
      <c r="IT3" s="29" t="s">
        <v>7</v>
      </c>
      <c r="IU3" s="29" t="s">
        <v>17</v>
      </c>
      <c r="IV3" s="43" t="s">
        <v>28</v>
      </c>
      <c r="IW3" s="29" t="s">
        <v>15</v>
      </c>
      <c r="IX3" s="29" t="s">
        <v>16</v>
      </c>
      <c r="IY3" s="29" t="s">
        <v>7</v>
      </c>
      <c r="IZ3" s="29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28" t="s">
        <v>15</v>
      </c>
      <c r="JJ3" s="28" t="s">
        <v>16</v>
      </c>
      <c r="JK3" s="28" t="s">
        <v>7</v>
      </c>
      <c r="JL3" s="28" t="s">
        <v>17</v>
      </c>
      <c r="JM3" s="44" t="s">
        <v>28</v>
      </c>
      <c r="JN3" s="28" t="s">
        <v>15</v>
      </c>
      <c r="JO3" s="28" t="s">
        <v>16</v>
      </c>
      <c r="JP3" s="28" t="s">
        <v>7</v>
      </c>
      <c r="JQ3" s="28" t="s">
        <v>17</v>
      </c>
      <c r="JR3" s="44" t="s">
        <v>28</v>
      </c>
      <c r="JS3" s="28" t="s">
        <v>15</v>
      </c>
      <c r="JT3" s="28" t="s">
        <v>16</v>
      </c>
      <c r="JU3" s="28" t="s">
        <v>7</v>
      </c>
      <c r="JV3" s="28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29" t="s">
        <v>15</v>
      </c>
      <c r="KF3" s="29" t="s">
        <v>16</v>
      </c>
      <c r="KG3" s="29" t="s">
        <v>7</v>
      </c>
      <c r="KH3" s="29" t="s">
        <v>17</v>
      </c>
      <c r="KI3" s="43" t="s">
        <v>28</v>
      </c>
      <c r="KJ3" s="29" t="s">
        <v>15</v>
      </c>
      <c r="KK3" s="29" t="s">
        <v>16</v>
      </c>
      <c r="KL3" s="29" t="s">
        <v>7</v>
      </c>
      <c r="KM3" s="29" t="s">
        <v>17</v>
      </c>
      <c r="KN3" s="43" t="s">
        <v>28</v>
      </c>
      <c r="KO3" s="29" t="s">
        <v>15</v>
      </c>
      <c r="KP3" s="29" t="s">
        <v>16</v>
      </c>
      <c r="KQ3" s="29" t="s">
        <v>7</v>
      </c>
      <c r="KR3" s="29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28" t="s">
        <v>15</v>
      </c>
      <c r="LB3" s="28" t="s">
        <v>16</v>
      </c>
      <c r="LC3" s="28" t="s">
        <v>7</v>
      </c>
      <c r="LD3" s="28" t="s">
        <v>17</v>
      </c>
      <c r="LE3" s="44" t="s">
        <v>28</v>
      </c>
      <c r="LF3" s="44" t="s">
        <v>15</v>
      </c>
      <c r="LG3" s="28" t="s">
        <v>16</v>
      </c>
      <c r="LH3" s="28" t="s">
        <v>7</v>
      </c>
      <c r="LI3" s="28" t="s">
        <v>17</v>
      </c>
      <c r="LJ3" s="44" t="s">
        <v>28</v>
      </c>
      <c r="LK3" s="28" t="s">
        <v>15</v>
      </c>
      <c r="LL3" s="28" t="s">
        <v>16</v>
      </c>
      <c r="LM3" s="28" t="s">
        <v>7</v>
      </c>
      <c r="LN3" s="28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52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IF(AND(F4="P",H4="P"),SUMPRODUCT((F$4:F$10="P")*(H$4:H$10="P")*(E$4:E$10&gt;E4))+1,IF(H4="P",SUMPRODUCT((F$4:F$10="")*(H$4:H$10="P")*(E$4:E$10&gt;E4))+1+SUMPRODUCT((F$4:F$10="P")*(H$4:H$10="P")),""))</f>
        <v>1</v>
      </c>
      <c r="B4" s="9" t="s">
        <v>86</v>
      </c>
      <c r="C4" s="5" t="s">
        <v>3</v>
      </c>
      <c r="D4" s="27">
        <v>2002</v>
      </c>
      <c r="E4" s="16">
        <f>SUM(J4:R4)</f>
        <v>234.18499999999997</v>
      </c>
      <c r="F4" s="4" t="str">
        <f>IF(OR(AND($AK4&gt;=$AL$12,NOT($AK4=""),$AJ4=""),AND($BH4&gt;=$BI$12,NOT($BH4=""),$BG4=""),AND($CH4&gt;=$CI$12,NOT($CH4="")),AND($DD4&gt;=$DE$12,NOT($DD4="")),AND($DZ4&gt;=$EA$12,NOT($DZ4="")),AND($EV4&gt;=$EW$12,NOT($EV4="")),AND($FR4&gt;=$FS$12,NOT($FR4="")),AND($GN4&gt;=$GO$12,NOT($GN4="")),AND($HJ4&gt;=$HK$12,NOT($HJ4="")),AND($IF4&gt;=$IG$12,NOT($IF4="")),AND($JB4&gt;=$JC$12,NOT($JB4="")),AND($JX4&gt;=$JY$12,NOT($JX4="")),AND($KT4&gt;=$KU$12,NOT($KT4="")),AND($LP4&gt;=$LQ$12,NOT($LP4="")),AND($AO4&gt;=$AL$12,NOT($AO4=""),$AJ4=""),AND($BL4&gt;=$BI$12,NOT($BL4=""),$BG4=""),AND($CL4&gt;=$CI$12,NOT($CL4="")),AND($DH4&gt;=$DE$12,NOT($DH4="")),AND($ED4&gt;=$EA$12,NOT($ED4="")),AND($EZ4&gt;=$EW$12,NOT($EZ4="")),AND($FV4&gt;=$FS$12,NOT($FV4="")),AND($GR4&gt;=$GO$12,NOT($GR4="")),AND($HN4&gt;=$HK$12,NOT($HN4="")),AND($IJ4&gt;=$IG$12,NOT($IJ4="")),AND($JF4&gt;=$JC$12,NOT($JF4="")),AND($KB4&gt;=$JY$12,NOT($KB4="")),AND($KX4&gt;=$KU$12,NOT($KX4="")),AND($LT4&gt;=$LQ$12,NOT($LT4=""))),"P","")</f>
        <v>P</v>
      </c>
      <c r="G4" s="4" t="str">
        <f>IF(OR(AND($AK4&gt;=$AL$13,NOT($AK4=""),$AJ4=""),AND($BH4&gt;=$BI$13,NOT($BH4=""),$BG4=""),AND($CH4&gt;=$CI$13,NOT($CH4="")),AND($DD4&gt;=$DE$13,NOT($DD4="")),AND($DZ4&gt;=$EA$13,NOT($DZ4="")),AND($EV4&gt;=$EW$13,NOT($EV4="")),AND($FR4&gt;=$FS$13,NOT($FR4="")),AND($GN4&gt;=$GO$13,NOT($GN4="")),AND($HJ4&gt;=$HK$13,NOT($HJ4="")),AND($IF4&gt;=$IG$13,NOT($IF4="")),AND($JB4&gt;=$JC$13,NOT($JB4="")),AND($JX4&gt;=$JY$13,NOT($JX4="")),AND($KT4&gt;=$KU$13,NOT($KT4="")),AND($LP4&gt;=$LQ$13,NOT($LP4="")),AND($AO4&gt;=$AL$13,NOT($AO4=""),$AJ4=""),AND($BL4&gt;=$BI$13,NOT($BL4=""),$BG4=""),AND($CL4&gt;=$CI$13,NOT($CL4="")),AND($DH4&gt;=$DE$13,NOT($DH4="")),AND($ED4&gt;=$EA$13,NOT($ED4="")),AND($EZ4&gt;=$EW$13,NOT($EZ4="")),AND($FV4&gt;=$FS$13,NOT($FV4="")),AND($GR4&gt;=$GO$13,NOT($GR4="")),AND($HN4&gt;=$HK$13,NOT($HN4="")),AND($IJ4&gt;=$IG$13,NOT($IJ4="")),AND($JF4&gt;=$JC$13,NOT($JF4="")),AND($KB4&gt;=$JY$13,NOT($KB4="")),AND($KX4&gt;=$KU$13,NOT($KX4="")),AND($LT4&gt;=$LQ$13,NOT($LT4=""))),"P","")</f>
        <v>P</v>
      </c>
      <c r="H4" s="4" t="str">
        <f>IF(OR(AND($AN4&gt;=$AL$14,NOT($AN4=""),$AJ4=""),AND($BK4&gt;=$BI$14,NOT($BK4=""),$BG4=""),AND($CK4&gt;=$CI$14,NOT($CK4="")),AND($DG4&gt;=$DE$14,NOT($DG4="")),AND($EC4&gt;=$EA$14,NOT($EC4="")),AND($EY4&gt;=$EW$14,NOT($EY4="")),AND($FU4&gt;=$FS$14,NOT($FU4="")),AND($GQ4&gt;=$GO$14,NOT($GQ4="")),AND($HM4&gt;=$HK$14,NOT($HM4="")),AND($II4&gt;=$IG$14,NOT($II4="")),AND($JE4&gt;=$JC$14,NOT($JE4="")),AND($KA4&gt;=$JY$14,NOT($KA4="")),AND($KW4&gt;=$KU$14,NOT($KW4="")),AND($LS4&gt;=$LQ$14,NOT($LS4=""))),"P","")</f>
        <v>P</v>
      </c>
      <c r="I4" t="str">
        <f>IF(AND(H4="P",F4=""),"No DD",IF(AND(G4="P",OR(AND($AM4&gt;$AL$17,NOT($AM4=""),$AJ4=""),AND($AP4&gt;$AL$17,NOT($AP4=""),$AJ4=""),AND($BJ4&gt;$BI$17,NOT($BJ4=""),$BG4=""),AND($BM4&gt;$BI$17,NOT($BM4=""),$BG4=""),AND($CJ4&gt;$CI$17,NOT($CJ4="")),AND($CM4&gt;$CI$17,NOT($CM4="")),AND($DF4&gt;$DE$17,NOT($DF4="")),AND($DI4&gt;$DE$17,NOT($DI4="")),AND($EB4&gt;$EA$17,NOT($EB4="")),AND($EE4&gt;$EA$17,NOT($EE4="")),AND($EX4&gt;$EW$17,NOT($EX4="")),AND($FA4&gt;$EW$17,NOT($FA4="")),AND($FT4&gt;$FS$17,NOT($FT4="")),AND($FW4&gt;$FS$17,NOT($FW4="")),AND($GP4&gt;$GO$17,NOT($GP4="")),AND($GS4&gt;$GO$17,NOT($GS4="")),AND($HL4&gt;$HK$17,NOT($HL4="")),AND($HO4&gt;$HK$17,NOT($HO4="")),AND($IH4&gt;$IG$17,NOT($IH4="")),AND($IK4&gt;$IG$17,NOT($IK4="")),AND($JD4&gt;$JC$17,NOT($JD4="")),AND($JG4&gt;$JC$17,NOT($JG4="")),AND($JZ4&gt;$JY$17,NOT($JZ4="")),AND($KC4&gt;$JY$17,NOT($KC4="")),AND($KV4&gt;$KU$17,NOT($KV4="")),AND($KY4&gt;$KU$17,NOT($KY4="")),AND($LR4&gt;$LQ$17,NOT($LR4="")),AND($LU4&gt;$LQ$17,NOT($LU4="")))),"Merit",IF(AND(G4="P",OR(AND($AN4&gt;$AL$16,NOT($AN4=""),$AJ4=""),AND($BK4&gt;$BI$16,NOT($BK4=""),$BG4=""),AND($CK4&gt;$CI$16,NOT($CK4="")),AND($DG4&gt;$DE$16,NOT($DG4="")),AND($EC4&gt;$EA$16,NOT($EC4="")),AND($EY4&gt;$EW$16,NOT($EY4="")),AND($FU4&gt;$FS$16,NOT($FU4="")),AND($GQ4&gt;$GO$16,NOT($GQ4="")),AND($HM4&gt;$HK$16,NOT($HM4="")),AND($II4&gt;$IG$16,NOT($II4="")),AND($JE4&gt;$JC$16,NOT($JE4="")),AND($KA4&gt;$JY$16,NOT($KA4="")),AND($KW4&gt;$KU$16,NOT($KW4="")),AND($LS4&gt;$LQ$16,NOT($LS4="")))),"Excellence",IF(AND(G4="P",OR(AND($AN4&gt;$AL$15,NOT($AN4=""),$AJ4=""),AND($BK4&gt;$BI$15,NOT($BK4=""),$BG4=""),AND($CK4&gt;$CI$15,NOT($CK4="")),AND($DG4&gt;$DE$15,NOT($DG4="")),AND($EC4&gt;$EA$15,NOT($EC4="")),AND($EY4&gt;$EW$15,NOT($EY4="")),AND($FU4&gt;$FS$15,NOT($FU4="")),AND($GQ4&gt;$GO$15,NOT($GQ4="")),AND($HM4&gt;$HK$15,NOT($HM4="")),AND($II4&gt;$IG$15,NOT($II4="")),AND($JE4&gt;$JC$15,NOT($JE4="")),AND($KA4&gt;$JY$15,NOT($KA4="")),AND($KW4&gt;$KU$15,NOT($KW4="")),AND($LS4&gt;$LQ$15,NOT($LS4="")))),"Worlds Team",IF(AND(F4="P",OR(AND($AN4&gt;$AL$14,NOT($AN4=""),$AJ4=""),AND($BK4&gt;$BI$14,NOT($BK4=""),$BG4=""),AND($CK4&gt;$CI$14,NOT($CK4="")),AND($DG4&gt;$DE$14,NOT($DG4="")),AND($EC4&gt;$EA$14,NOT($EC4="")),AND($EY4&gt;$EW$14,NOT($EY4="")),AND($FU4&gt;$FS$14,NOT($FU4="")),AND($GQ4&gt;$GO$14,NOT($GQ4="")),AND($HM4&gt;$HK$14,NOT($HM4="")),AND($II4&gt;$IG$14,NOT($II4="")),AND($JE4&gt;$JC$14,NOT($JE4="")),AND($KA4&gt;$JY$14,NOT($KA4="")),AND($KW4&gt;$KU$14,NOT($KW4="")),AND($LS4&gt;$LQ$14,NOT($LS4="")))),"National Team","")))))</f>
        <v>National Team</v>
      </c>
      <c r="J4" s="15">
        <f>IF(MAX(AN4,BK4)&gt;0,MAX(AN4,BK4),"")</f>
        <v>93.284999999999997</v>
      </c>
      <c r="K4" s="15" t="str">
        <f>IF(J4="","",IF(J4=BK4,$AR$1,IF(J4=AN4,$U$1,"")))</f>
        <v>2019 Nationals</v>
      </c>
      <c r="L4" s="15">
        <f>IF($J4=$AN4,BI4,IF($J4=$BK4,AL4,MAX(AL4,BI4)))</f>
        <v>43.16</v>
      </c>
      <c r="M4" s="15" t="str">
        <f>IF(L4="","",IF(L4=BI4,$AR$1,IF(L4=AL4,$U$1,"")))</f>
        <v>2019 Elite Canada</v>
      </c>
      <c r="N4" s="15">
        <f>IF($J4=$AN4,BJ4,IF($J4=$BK4,AM4,MAX(AM4,BJ4)))</f>
        <v>49.209999999999994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48.53</v>
      </c>
      <c r="Q4" s="15" t="str">
        <f>IF(P4="","",IF(P4=BM4,$AR$1,IF(P4=AP4,$U$1,"")))</f>
        <v>2019 Nationals</v>
      </c>
      <c r="R4" s="15" t="str">
        <f>IF(MAX(BO4,BP4,BQ4,BR4)&gt;0,MAX(BO4,BP4,BQ4,BR4),"")</f>
        <v/>
      </c>
      <c r="S4" s="25" t="str">
        <f>IF(R4="","",IF(R4=BO4,"(Vol 1)",IF(R4=BP4,"(Vol 2)",IF(R4=BQ4,"(Prelim)",IF(R4=BR4,"(Final)")))))</f>
        <v/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36">
        <v>15</v>
      </c>
      <c r="V4" s="36">
        <v>8.75</v>
      </c>
      <c r="W4" s="36">
        <v>4.4000000000000004</v>
      </c>
      <c r="X4" s="36">
        <v>15.01</v>
      </c>
      <c r="Y4" s="36">
        <v>0</v>
      </c>
      <c r="Z4" s="36">
        <v>15.1</v>
      </c>
      <c r="AA4" s="36">
        <v>8.9499999999999993</v>
      </c>
      <c r="AB4" s="36">
        <v>10.5</v>
      </c>
      <c r="AC4" s="36">
        <v>14.66</v>
      </c>
      <c r="AD4" s="36">
        <v>0</v>
      </c>
      <c r="AE4" s="36">
        <v>14.7</v>
      </c>
      <c r="AF4" s="36">
        <v>8.6999999999999993</v>
      </c>
      <c r="AG4" s="36">
        <v>9.3000000000000007</v>
      </c>
      <c r="AH4" s="36">
        <v>14.64</v>
      </c>
      <c r="AI4" s="36">
        <v>0.2</v>
      </c>
      <c r="AJ4" s="74"/>
      <c r="AK4" s="12">
        <f>IF(AB4&gt;0,AB4,"")</f>
        <v>10.5</v>
      </c>
      <c r="AL4" s="12">
        <f>IF(SUM(U4:X4)-Y4&gt;0,SUM(U4:X4)-Y4,"")</f>
        <v>43.16</v>
      </c>
      <c r="AM4" s="12">
        <f>IF(SUM(Z4:AC4)-AD4&gt;0,SUM(Z4:AC4)-AD4,"")</f>
        <v>49.209999999999994</v>
      </c>
      <c r="AN4" s="12">
        <f>IF(SUM(AL4:AM4)&gt;0,SUM(AL4:AM4),"")</f>
        <v>92.36999999999999</v>
      </c>
      <c r="AO4" s="12">
        <f>IF(AG4&gt;0,AG4,"")</f>
        <v>9.3000000000000007</v>
      </c>
      <c r="AP4" s="12">
        <f>IF(SUM(AE4:AH4)-AI4&gt;0,SUM(AE4:AH4)-AI4,"")</f>
        <v>47.14</v>
      </c>
      <c r="AQ4" s="12">
        <f>IF(SUM(AN4,AP4)&gt;0,SUM(AN4,AP4),"")</f>
        <v>139.51</v>
      </c>
      <c r="AR4" s="69">
        <v>17.100000000000001</v>
      </c>
      <c r="AS4" s="69">
        <v>9.6</v>
      </c>
      <c r="AT4" s="69">
        <v>3.9</v>
      </c>
      <c r="AU4" s="69">
        <v>14.8</v>
      </c>
      <c r="AV4" s="69">
        <v>0</v>
      </c>
      <c r="AW4" s="69">
        <v>12.6</v>
      </c>
      <c r="AX4" s="69">
        <v>9.5</v>
      </c>
      <c r="AY4" s="69">
        <v>11.4</v>
      </c>
      <c r="AZ4" s="69">
        <v>14.385</v>
      </c>
      <c r="BA4" s="69">
        <v>0</v>
      </c>
      <c r="BB4" s="69">
        <v>14.9</v>
      </c>
      <c r="BC4" s="69">
        <v>9.1</v>
      </c>
      <c r="BD4" s="69">
        <v>10.5</v>
      </c>
      <c r="BE4" s="69">
        <v>14.03</v>
      </c>
      <c r="BF4" s="69">
        <v>0</v>
      </c>
      <c r="BG4" s="75"/>
      <c r="BH4" s="15">
        <f>IF(AY4&gt;0,AY4,"")</f>
        <v>11.4</v>
      </c>
      <c r="BI4" s="15">
        <f>IF(SUM(AR4:AU4)-AV4&gt;0,SUM(AR4:AU4)-AV4,"")</f>
        <v>45.400000000000006</v>
      </c>
      <c r="BJ4" s="15">
        <f>IF(SUM(AW4:AZ4)-BA4&gt;0,SUM(AW4:AZ4)-BA4,"")</f>
        <v>47.884999999999998</v>
      </c>
      <c r="BK4" s="15">
        <f>IF(SUM(BI4:BJ4)&gt;0,SUM(BI4:BJ4),"")</f>
        <v>93.284999999999997</v>
      </c>
      <c r="BL4" s="15">
        <f>IF(BD4&gt;0,BD4,"")</f>
        <v>10.5</v>
      </c>
      <c r="BM4" s="15">
        <f>IF(SUM(BB4:BE4)-BF4&gt;0,SUM(BB4:BE4)-BF4,"")</f>
        <v>48.53</v>
      </c>
      <c r="BN4" s="15">
        <f>IF(SUM(BK4,BM4)&gt;0,SUM(BK4,BM4),"")</f>
        <v>141.815</v>
      </c>
      <c r="BO4" s="24" t="str">
        <f>IF(MAX(CI4,DE4,EA4,EW4,FS4,GO4,HK4,IG4,JC4,JY4,KU4,LQ4)-IF(L4="",0,L4)&gt;0.001,MAX(CI4,DE4,EA4,EW4,FS4,GO4,HK4,IG4,JC4,JY4,KU4,LQ4)-IF(L4="",0,L4),"")</f>
        <v/>
      </c>
      <c r="BP4" s="24" t="str">
        <f>IF(MAX(CJ4,DF4,EB4,EX4,FT4,GP4,HL4,IH4,JD4,JZ4,KV4,LR4)-IF(N4="",0,N4)&gt;0.001,MAX(CJ4,DF4,EB4,EX4,FT4,GP4,HL4,IH4,JD4,JZ4,KV4,LR4)-IF(N4="",0,N4),"")</f>
        <v/>
      </c>
      <c r="BQ4" s="24" t="str">
        <f>IF(MAX(CK4,DG4,EC4,EY4,FU4,GQ4,HM4,II4,JE4,KA4,KW4,LS4)-IF(J4="",0,J4)&gt;0.001,MAX(CK4,DG4,EC4,EY4,FU4,GQ4,HM4,II4,JE4,KA4,KW4,LS4)-IF(J4="",0,J4),"")</f>
        <v/>
      </c>
      <c r="BR4" s="24" t="str">
        <f>IF(MAX(CM4,DI4,EE4,FA4,FW4,GS4,HO4,IK4,JG4,KC4,KY4,LU4)-IF(P4="",0,P4)&gt;0.001,MAX(CM4,DI4,EE4,FA4,FW4,GS4,HO4,IK4,JG4,KC4,KY4,LU4)-IF(P4="",0,P4),"")</f>
        <v/>
      </c>
      <c r="BS4" s="36">
        <v>13.7</v>
      </c>
      <c r="BT4" s="36">
        <v>9.3000000000000007</v>
      </c>
      <c r="BU4" s="36">
        <v>2.7</v>
      </c>
      <c r="BV4" s="36">
        <v>14.875</v>
      </c>
      <c r="BW4" s="36">
        <v>0</v>
      </c>
      <c r="BX4" s="36">
        <v>12.7</v>
      </c>
      <c r="BY4" s="36">
        <v>9.1</v>
      </c>
      <c r="BZ4" s="36">
        <v>10</v>
      </c>
      <c r="CA4" s="36">
        <v>13.88</v>
      </c>
      <c r="CB4" s="36">
        <v>0</v>
      </c>
      <c r="CC4" s="36"/>
      <c r="CD4" s="36"/>
      <c r="CE4" s="36"/>
      <c r="CF4" s="36"/>
      <c r="CG4" s="36"/>
      <c r="CH4" s="12">
        <f>IF(BZ4&gt;0,BZ4,"")</f>
        <v>10</v>
      </c>
      <c r="CI4" s="12">
        <f>IF(SUM(BS4:BV4)-BW4&gt;0,SUM(BS4:BV4)-BW4,"")</f>
        <v>40.575000000000003</v>
      </c>
      <c r="CJ4" s="12">
        <f>IF(SUM(BX4:CA4)-CB4&gt;0,SUM(BX4:CA4)-CB4,"")</f>
        <v>45.68</v>
      </c>
      <c r="CK4" s="12">
        <f>IF(SUM(CI4:CJ4)&gt;0,SUM(CI4:CJ4),"")</f>
        <v>86.254999999999995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86.254999999999995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63">
        <f t="shared" ref="LW4:LW9" si="0">IF($BG4="P",AR4,(U4+AR4)/2)</f>
        <v>16.05</v>
      </c>
      <c r="LX4" s="63">
        <f t="shared" ref="LX4:LX9" si="1">IF($BG4="P",AS4,(V4+AS4)/2)</f>
        <v>9.1750000000000007</v>
      </c>
      <c r="LY4" s="63">
        <f t="shared" ref="LY4:LY9" si="2">IF($BG4="P",AT4,(W4+AT4)/2)</f>
        <v>4.1500000000000004</v>
      </c>
      <c r="LZ4" s="63">
        <f t="shared" ref="LZ4:LZ9" si="3">IF($BG4="P",AU4,(X4+AU4)/2)</f>
        <v>14.905000000000001</v>
      </c>
      <c r="MA4" s="63">
        <f t="shared" ref="MA4:MA9" si="4">IF($BG4="P",AV4,(Y4+AV4)/2)</f>
        <v>0</v>
      </c>
      <c r="MB4" s="63">
        <f t="shared" ref="MB4:MB9" si="5">IF($BG4="P",AW4,(Z4+AW4)/2)</f>
        <v>13.85</v>
      </c>
      <c r="MC4" s="63">
        <f t="shared" ref="MC4:MC9" si="6">IF($BG4="P",AX4,(AA4+AX4)/2)</f>
        <v>9.2249999999999996</v>
      </c>
      <c r="MD4" s="63">
        <f t="shared" ref="MD4:MD9" si="7">IF($BG4="P",AY4,(AB4+AY4)/2)</f>
        <v>10.95</v>
      </c>
      <c r="ME4" s="63">
        <f t="shared" ref="ME4:ME9" si="8">IF($BG4="P",AZ4,(AC4+AZ4)/2)</f>
        <v>14.522500000000001</v>
      </c>
      <c r="MF4" s="63">
        <f t="shared" ref="MF4:MF9" si="9">IF($BG4="P",BA4,(AD4+BA4)/2)</f>
        <v>0</v>
      </c>
      <c r="MG4" s="63">
        <f t="shared" ref="MG4:MG9" si="10">IF($BG4="P",BB4,(AE4+BB4)/2)</f>
        <v>14.8</v>
      </c>
      <c r="MH4" s="63">
        <f t="shared" ref="MH4:MH9" si="11">IF($BG4="P",BC4,(AF4+BC4)/2)</f>
        <v>8.8999999999999986</v>
      </c>
      <c r="MI4" s="63">
        <f t="shared" ref="MI4:MI9" si="12">IF($BG4="P",BD4,(AG4+BD4)/2)</f>
        <v>9.9</v>
      </c>
      <c r="MJ4" s="63">
        <f t="shared" ref="MJ4:MJ9" si="13">IF($BG4="P",BE4,(AH4+BE4)/2)</f>
        <v>14.335000000000001</v>
      </c>
      <c r="MK4" s="63">
        <f t="shared" ref="MK4:MK9" si="14">IF($BG4="P",BF4,(AI4+BF4)/2)</f>
        <v>0.1</v>
      </c>
      <c r="ML4" s="74" t="s">
        <v>81</v>
      </c>
      <c r="MM4" s="12">
        <f t="shared" ref="MM4:MM9" si="15">IF(MD4&gt;0,MD4,"")</f>
        <v>10.95</v>
      </c>
      <c r="MN4" s="12">
        <f t="shared" ref="MN4:MN9" si="16">IF(SUM(LW4:LZ4)-MA4&gt;0,SUM(LW4:LZ4)-MA4,"")</f>
        <v>44.28</v>
      </c>
      <c r="MO4" s="12">
        <f t="shared" ref="MO4:MO9" si="17">IF(SUM(MB4:ME4)-MF4&gt;0,SUM(MB4:ME4)-MF4,"")</f>
        <v>48.547499999999999</v>
      </c>
      <c r="MP4" s="12">
        <f t="shared" ref="MP4:MP9" si="18">IF(SUM(MN4:MO4)&gt;0,SUM(MN4:MO4),"")</f>
        <v>92.827500000000001</v>
      </c>
      <c r="MQ4" s="12">
        <f t="shared" ref="MQ4:MQ9" si="19">IF(MI4&gt;0,MI4,"")</f>
        <v>9.9</v>
      </c>
      <c r="MR4" s="12">
        <f t="shared" ref="MR4:MR9" si="20">IF(SUM(MG4:MJ4)-MK4&gt;0,SUM(MG4:MJ4)-MK4,"")</f>
        <v>47.835000000000001</v>
      </c>
      <c r="MS4" s="12">
        <f t="shared" ref="MS4:MS9" si="21">IF(SUM(MP4,MR4)&gt;0,SUM(MP4,MR4),"")</f>
        <v>140.66249999999999</v>
      </c>
    </row>
    <row r="5" spans="1:357" x14ac:dyDescent="0.2">
      <c r="A5" s="6">
        <f>IF(AND(F5="P",H5="P"),SUMPRODUCT((F$4:F$10="P")*(H$4:H$10="P")*(E$4:E$10&gt;E5))+1,IF(H5="P",SUMPRODUCT((F$4:F$10="")*(H$4:H$10="P")*(E$4:E$10&gt;E5))+1+SUMPRODUCT((F$4:F$10="P")*(H$4:H$10="P")),""))</f>
        <v>2</v>
      </c>
      <c r="B5" s="9" t="s">
        <v>74</v>
      </c>
      <c r="C5" s="5" t="s">
        <v>5</v>
      </c>
      <c r="D5" s="27">
        <v>2002</v>
      </c>
      <c r="E5" s="16">
        <f>SUM(J5:R5)</f>
        <v>234.03</v>
      </c>
      <c r="F5" s="4" t="str">
        <f>IF(OR(AND($AK5&gt;=$AL$12,NOT($AK5=""),$AJ5=""),AND($BH5&gt;=$BI$12,NOT($BH5=""),$BG5=""),AND($CH5&gt;=$CI$12,NOT($CH5="")),AND($DD5&gt;=$DE$12,NOT($DD5="")),AND($DZ5&gt;=$EA$12,NOT($DZ5="")),AND($EV5&gt;=$EW$12,NOT($EV5="")),AND($FR5&gt;=$FS$12,NOT($FR5="")),AND($GN5&gt;=$GO$12,NOT($GN5="")),AND($HJ5&gt;=$HK$12,NOT($HJ5="")),AND($IF5&gt;=$IG$12,NOT($IF5="")),AND($JB5&gt;=$JC$12,NOT($JB5="")),AND($JX5&gt;=$JY$12,NOT($JX5="")),AND($KT5&gt;=$KU$12,NOT($KT5="")),AND($LP5&gt;=$LQ$12,NOT($LP5="")),AND($AO5&gt;=$AL$12,NOT($AO5=""),$AJ5=""),AND($BL5&gt;=$BI$12,NOT($BL5=""),$BG5=""),AND($CL5&gt;=$CI$12,NOT($CL5="")),AND($DH5&gt;=$DE$12,NOT($DH5="")),AND($ED5&gt;=$EA$12,NOT($ED5="")),AND($EZ5&gt;=$EW$12,NOT($EZ5="")),AND($FV5&gt;=$FS$12,NOT($FV5="")),AND($GR5&gt;=$GO$12,NOT($GR5="")),AND($HN5&gt;=$HK$12,NOT($HN5="")),AND($IJ5&gt;=$IG$12,NOT($IJ5="")),AND($JF5&gt;=$JC$12,NOT($JF5="")),AND($KB5&gt;=$JY$12,NOT($KB5="")),AND($KX5&gt;=$KU$12,NOT($KX5="")),AND($LT5&gt;=$LQ$12,NOT($LT5=""))),"P","")</f>
        <v>P</v>
      </c>
      <c r="G5" s="4" t="str">
        <f>IF(OR(AND($AK5&gt;=$AL$13,NOT($AK5=""),$AJ5=""),AND($BH5&gt;=$BI$13,NOT($BH5=""),$BG5=""),AND($CH5&gt;=$CI$13,NOT($CH5="")),AND($DD5&gt;=$DE$13,NOT($DD5="")),AND($DZ5&gt;=$EA$13,NOT($DZ5="")),AND($EV5&gt;=$EW$13,NOT($EV5="")),AND($FR5&gt;=$FS$13,NOT($FR5="")),AND($GN5&gt;=$GO$13,NOT($GN5="")),AND($HJ5&gt;=$HK$13,NOT($HJ5="")),AND($IF5&gt;=$IG$13,NOT($IF5="")),AND($JB5&gt;=$JC$13,NOT($JB5="")),AND($JX5&gt;=$JY$13,NOT($JX5="")),AND($KT5&gt;=$KU$13,NOT($KT5="")),AND($LP5&gt;=$LQ$13,NOT($LP5="")),AND($AO5&gt;=$AL$13,NOT($AO5=""),$AJ5=""),AND($BL5&gt;=$BI$13,NOT($BL5=""),$BG5=""),AND($CL5&gt;=$CI$13,NOT($CL5="")),AND($DH5&gt;=$DE$13,NOT($DH5="")),AND($ED5&gt;=$EA$13,NOT($ED5="")),AND($EZ5&gt;=$EW$13,NOT($EZ5="")),AND($FV5&gt;=$FS$13,NOT($FV5="")),AND($GR5&gt;=$GO$13,NOT($GR5="")),AND($HN5&gt;=$HK$13,NOT($HN5="")),AND($IJ5&gt;=$IG$13,NOT($IJ5="")),AND($JF5&gt;=$JC$13,NOT($JF5="")),AND($KB5&gt;=$JY$13,NOT($KB5="")),AND($KX5&gt;=$KU$13,NOT($KX5="")),AND($LT5&gt;=$LQ$13,NOT($LT5=""))),"P","")</f>
        <v>P</v>
      </c>
      <c r="H5" s="4" t="str">
        <f>IF(OR(AND($AN5&gt;=$AL$14,NOT($AN5=""),$AJ5=""),AND($BK5&gt;=$BI$14,NOT($BK5=""),$BG5=""),AND($CK5&gt;=$CI$14,NOT($CK5="")),AND($DG5&gt;=$DE$14,NOT($DG5="")),AND($EC5&gt;=$EA$14,NOT($EC5="")),AND($EY5&gt;=$EW$14,NOT($EY5="")),AND($FU5&gt;=$FS$14,NOT($FU5="")),AND($GQ5&gt;=$GO$14,NOT($GQ5="")),AND($HM5&gt;=$HK$14,NOT($HM5="")),AND($II5&gt;=$IG$14,NOT($II5="")),AND($JE5&gt;=$JC$14,NOT($JE5="")),AND($KA5&gt;=$JY$14,NOT($KA5="")),AND($KW5&gt;=$KU$14,NOT($KW5="")),AND($LS5&gt;=$LQ$14,NOT($LS5=""))),"P","")</f>
        <v>P</v>
      </c>
      <c r="I5" t="str">
        <f>IF(AND(H5="P",F5=""),"No DD",IF(AND(G5="P",OR(AND($AM5&gt;$AL$17,NOT($AM5=""),$AJ5=""),AND($AP5&gt;$AL$17,NOT($AP5=""),$AJ5=""),AND($BJ5&gt;$BI$17,NOT($BJ5=""),$BG5=""),AND($BM5&gt;$BI$17,NOT($BM5=""),$BG5=""),AND($CJ5&gt;$CI$17,NOT($CJ5="")),AND($CM5&gt;$CI$17,NOT($CM5="")),AND($DF5&gt;$DE$17,NOT($DF5="")),AND($DI5&gt;$DE$17,NOT($DI5="")),AND($EB5&gt;$EA$17,NOT($EB5="")),AND($EE5&gt;$EA$17,NOT($EE5="")),AND($EX5&gt;$EW$17,NOT($EX5="")),AND($FA5&gt;$EW$17,NOT($FA5="")),AND($FT5&gt;$FS$17,NOT($FT5="")),AND($FW5&gt;$FS$17,NOT($FW5="")),AND($GP5&gt;$GO$17,NOT($GP5="")),AND($GS5&gt;$GO$17,NOT($GS5="")),AND($HL5&gt;$HK$17,NOT($HL5="")),AND($HO5&gt;$HK$17,NOT($HO5="")),AND($IH5&gt;$IG$17,NOT($IH5="")),AND($IK5&gt;$IG$17,NOT($IK5="")),AND($JD5&gt;$JC$17,NOT($JD5="")),AND($JG5&gt;$JC$17,NOT($JG5="")),AND($JZ5&gt;$JY$17,NOT($JZ5="")),AND($KC5&gt;$JY$17,NOT($KC5="")),AND($KV5&gt;$KU$17,NOT($KV5="")),AND($KY5&gt;$KU$17,NOT($KY5="")),AND($LR5&gt;$LQ$17,NOT($LR5="")),AND($LU5&gt;$LQ$17,NOT($LU5="")))),"Merit",IF(AND(G5="P",OR(AND($AN5&gt;$AL$16,NOT($AN5=""),$AJ5=""),AND($BK5&gt;$BI$16,NOT($BK5=""),$BG5=""),AND($CK5&gt;$CI$16,NOT($CK5="")),AND($DG5&gt;$DE$16,NOT($DG5="")),AND($EC5&gt;$EA$16,NOT($EC5="")),AND($EY5&gt;$EW$16,NOT($EY5="")),AND($FU5&gt;$FS$16,NOT($FU5="")),AND($GQ5&gt;$GO$16,NOT($GQ5="")),AND($HM5&gt;$HK$16,NOT($HM5="")),AND($II5&gt;$IG$16,NOT($II5="")),AND($JE5&gt;$JC$16,NOT($JE5="")),AND($KA5&gt;$JY$16,NOT($KA5="")),AND($KW5&gt;$KU$16,NOT($KW5="")),AND($LS5&gt;$LQ$16,NOT($LS5="")))),"Excellence",IF(AND(G5="P",OR(AND($AN5&gt;$AL$15,NOT($AN5=""),$AJ5=""),AND($BK5&gt;$BI$15,NOT($BK5=""),$BG5=""),AND($CK5&gt;$CI$15,NOT($CK5="")),AND($DG5&gt;$DE$15,NOT($DG5="")),AND($EC5&gt;$EA$15,NOT($EC5="")),AND($EY5&gt;$EW$15,NOT($EY5="")),AND($FU5&gt;$FS$15,NOT($FU5="")),AND($GQ5&gt;$GO$15,NOT($GQ5="")),AND($HM5&gt;$HK$15,NOT($HM5="")),AND($II5&gt;$IG$15,NOT($II5="")),AND($JE5&gt;$JC$15,NOT($JE5="")),AND($KA5&gt;$JY$15,NOT($KA5="")),AND($KW5&gt;$KU$15,NOT($KW5="")),AND($LS5&gt;$LQ$15,NOT($LS5="")))),"Worlds Team",IF(AND(F5="P",OR(AND($AN5&gt;$AL$14,NOT($AN5=""),$AJ5=""),AND($BK5&gt;$BI$14,NOT($BK5=""),$BG5=""),AND($CK5&gt;$CI$14,NOT($CK5="")),AND($DG5&gt;$DE$14,NOT($DG5="")),AND($EC5&gt;$EA$14,NOT($EC5="")),AND($EY5&gt;$EW$14,NOT($EY5="")),AND($FU5&gt;$FS$14,NOT($FU5="")),AND($GQ5&gt;$GO$14,NOT($GQ5="")),AND($HM5&gt;$HK$14,NOT($HM5="")),AND($II5&gt;$IG$14,NOT($II5="")),AND($JE5&gt;$JC$14,NOT($JE5="")),AND($KA5&gt;$JY$14,NOT($KA5="")),AND($KW5&gt;$KU$14,NOT($KW5="")),AND($LS5&gt;$LQ$14,NOT($LS5="")))),"National Team","")))))</f>
        <v>National Team</v>
      </c>
      <c r="J5" s="15">
        <f>IF(MAX(AN5,BK5)&gt;0,MAX(AN5,BK5),"")</f>
        <v>94.444999999999993</v>
      </c>
      <c r="K5" s="15" t="str">
        <f>IF(J5="","",IF(J5=BK5,$AR$1,IF(J5=AN5,$U$1,"")))</f>
        <v>2019 Nationals</v>
      </c>
      <c r="L5" s="15">
        <f>IF($J5=$AN5,BI5,IF($J5=$BK5,AL5,MAX(AL5,BI5)))</f>
        <v>43.825000000000003</v>
      </c>
      <c r="M5" s="15" t="str">
        <f>IF(L5="","",IF(L5=BI5,$AR$1,IF(L5=AL5,$U$1,"")))</f>
        <v>2019 Elite Canada</v>
      </c>
      <c r="N5" s="15">
        <f>IF($J5=$AN5,BJ5,IF($J5=$BK5,AM5,MAX(AM5,BJ5)))</f>
        <v>49.980000000000004</v>
      </c>
      <c r="O5" s="15" t="str">
        <f>IF(N5="","",IF(AND(N5=BJ5,$K5&lt;&gt;$AR$1),$AR$1,IF(AND(N5=AM5,$K5&lt;&gt;$U$1),$U$1,"")))</f>
        <v>2019 Elite Canada</v>
      </c>
      <c r="P5" s="15">
        <f>IF(MAX(AP5,BM5)&gt;0,MAX(AP5,BM5),"")</f>
        <v>45.78</v>
      </c>
      <c r="Q5" s="15" t="str">
        <f>IF(P5="","",IF(P5=BM5,$AR$1,IF(P5=AP5,$U$1,"")))</f>
        <v>2019 Elite Canada</v>
      </c>
      <c r="R5" s="15" t="str">
        <f>IF(MAX(BO5,BP5,BQ5,BR5)&gt;0,MAX(BO5,BP5,BQ5,BR5),"")</f>
        <v/>
      </c>
      <c r="S5" s="25" t="str">
        <f>IF(R5="","",IF(R5=BO5,"(Vol 1)",IF(R5=BP5,"(Vol 2)",IF(R5=BQ5,"(Prelim)",IF(R5=BR5,"(Final)")))))</f>
        <v/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/>
      </c>
      <c r="U5" s="36">
        <v>16.399999999999999</v>
      </c>
      <c r="V5" s="36">
        <v>9.0500000000000007</v>
      </c>
      <c r="W5" s="36">
        <v>3.2</v>
      </c>
      <c r="X5" s="36">
        <v>15.175000000000001</v>
      </c>
      <c r="Y5" s="36">
        <v>0</v>
      </c>
      <c r="Z5" s="36">
        <v>14.7</v>
      </c>
      <c r="AA5" s="36">
        <v>9.1999999999999993</v>
      </c>
      <c r="AB5" s="36">
        <v>11.3</v>
      </c>
      <c r="AC5" s="36">
        <v>14.78</v>
      </c>
      <c r="AD5" s="36">
        <v>0</v>
      </c>
      <c r="AE5" s="36">
        <v>12.9</v>
      </c>
      <c r="AF5" s="36">
        <v>9.15</v>
      </c>
      <c r="AG5" s="36">
        <v>10.1</v>
      </c>
      <c r="AH5" s="36">
        <v>13.63</v>
      </c>
      <c r="AI5" s="36">
        <v>0</v>
      </c>
      <c r="AJ5" s="74"/>
      <c r="AK5" s="12">
        <f>IF(AB5&gt;0,AB5,"")</f>
        <v>11.3</v>
      </c>
      <c r="AL5" s="12">
        <f>IF(SUM(U5:X5)-Y5&gt;0,SUM(U5:X5)-Y5,"")</f>
        <v>43.825000000000003</v>
      </c>
      <c r="AM5" s="12">
        <f>IF(SUM(Z5:AC5)-AD5&gt;0,SUM(Z5:AC5)-AD5,"")</f>
        <v>49.980000000000004</v>
      </c>
      <c r="AN5" s="12">
        <f>IF(SUM(AL5:AM5)&gt;0,SUM(AL5:AM5),"")</f>
        <v>93.805000000000007</v>
      </c>
      <c r="AO5" s="12">
        <f>IF(AG5&gt;0,AG5,"")</f>
        <v>10.1</v>
      </c>
      <c r="AP5" s="12">
        <f>IF(SUM(AE5:AH5)-AI5&gt;0,SUM(AE5:AH5)-AI5,"")</f>
        <v>45.78</v>
      </c>
      <c r="AQ5" s="12">
        <f>IF(SUM(AN5,AP5)&gt;0,SUM(AN5,AP5),"")</f>
        <v>139.58500000000001</v>
      </c>
      <c r="AR5" s="69">
        <v>17.5</v>
      </c>
      <c r="AS5" s="69">
        <v>9.6999999999999993</v>
      </c>
      <c r="AT5" s="69">
        <v>3.2</v>
      </c>
      <c r="AU5" s="69">
        <v>14.965</v>
      </c>
      <c r="AV5" s="69">
        <v>0</v>
      </c>
      <c r="AW5" s="69">
        <v>14.5</v>
      </c>
      <c r="AX5" s="69">
        <v>9</v>
      </c>
      <c r="AY5" s="69">
        <v>11.3</v>
      </c>
      <c r="AZ5" s="69">
        <v>14.28</v>
      </c>
      <c r="BA5" s="69">
        <v>0</v>
      </c>
      <c r="BB5" s="69">
        <v>4.5599999999999996</v>
      </c>
      <c r="BC5" s="69">
        <v>2.7</v>
      </c>
      <c r="BD5" s="69">
        <v>3.5</v>
      </c>
      <c r="BE5" s="69">
        <v>4.53</v>
      </c>
      <c r="BF5" s="69">
        <v>0</v>
      </c>
      <c r="BG5" s="75"/>
      <c r="BH5" s="15">
        <f>IF(AY5&gt;0,AY5,"")</f>
        <v>11.3</v>
      </c>
      <c r="BI5" s="15">
        <f>IF(SUM(AR5:AU5)-AV5&gt;0,SUM(AR5:AU5)-AV5,"")</f>
        <v>45.364999999999995</v>
      </c>
      <c r="BJ5" s="15">
        <f>IF(SUM(AW5:AZ5)-BA5&gt;0,SUM(AW5:AZ5)-BA5,"")</f>
        <v>49.08</v>
      </c>
      <c r="BK5" s="15">
        <f>IF(SUM(BI5:BJ5)&gt;0,SUM(BI5:BJ5),"")</f>
        <v>94.444999999999993</v>
      </c>
      <c r="BL5" s="15">
        <f>IF(BD5&gt;0,BD5,"")</f>
        <v>3.5</v>
      </c>
      <c r="BM5" s="15">
        <f>IF(SUM(BB5:BE5)-BF5&gt;0,SUM(BB5:BE5)-BF5,"")</f>
        <v>15.29</v>
      </c>
      <c r="BN5" s="15">
        <f>IF(SUM(BK5,BM5)&gt;0,SUM(BK5,BM5),"")</f>
        <v>109.73499999999999</v>
      </c>
      <c r="BO5" s="24" t="str">
        <f>IF(MAX(CI5,DE5,EA5,EW5,FS5,GO5,HK5,IG5,JC5,JY5,KU5,LQ5)-IF(L5="",0,L5)&gt;0.001,MAX(CI5,DE5,EA5,EW5,FS5,GO5,HK5,IG5,JC5,JY5,KU5,LQ5)-IF(L5="",0,L5),"")</f>
        <v/>
      </c>
      <c r="BP5" s="24" t="str">
        <f>IF(MAX(CJ5,DF5,EB5,EX5,FT5,GP5,HL5,IH5,JD5,JZ5,KV5,LR5)-IF(N5="",0,N5)&gt;0.001,MAX(CJ5,DF5,EB5,EX5,FT5,GP5,HL5,IH5,JD5,JZ5,KV5,LR5)-IF(N5="",0,N5),"")</f>
        <v/>
      </c>
      <c r="BQ5" s="24" t="str">
        <f>IF(MAX(CK5,DG5,EC5,EY5,FU5,GQ5,HM5,II5,JE5,KA5,KW5,LS5)-IF(J5="",0,J5)&gt;0.001,MAX(CK5,DG5,EC5,EY5,FU5,GQ5,HM5,II5,JE5,KA5,KW5,LS5)-IF(J5="",0,J5),"")</f>
        <v/>
      </c>
      <c r="BR5" s="24" t="str">
        <f>IF(MAX(CM5,DI5,EE5,FA5,FW5,GS5,HO5,IK5,JG5,KC5,KY5,LU5)-IF(P5="",0,P5)&gt;0.001,MAX(CM5,DI5,EE5,FA5,FW5,GS5,HO5,IK5,JG5,KC5,KY5,LU5)-IF(P5="",0,P5),"")</f>
        <v/>
      </c>
      <c r="BS5" s="36">
        <v>15.7</v>
      </c>
      <c r="BT5" s="36">
        <v>9.3000000000000007</v>
      </c>
      <c r="BU5" s="36">
        <v>2</v>
      </c>
      <c r="BV5" s="36">
        <v>14.375</v>
      </c>
      <c r="BW5" s="36">
        <v>0</v>
      </c>
      <c r="BX5" s="36">
        <v>13.7</v>
      </c>
      <c r="BY5" s="36">
        <v>9.1999999999999993</v>
      </c>
      <c r="BZ5" s="36">
        <v>10.6</v>
      </c>
      <c r="CA5" s="36">
        <v>13.705</v>
      </c>
      <c r="CB5" s="36">
        <v>0</v>
      </c>
      <c r="CC5" s="36"/>
      <c r="CD5" s="36"/>
      <c r="CE5" s="36"/>
      <c r="CF5" s="36"/>
      <c r="CG5" s="36"/>
      <c r="CH5" s="12">
        <f>IF(BZ5&gt;0,BZ5,"")</f>
        <v>10.6</v>
      </c>
      <c r="CI5" s="12">
        <f>IF(SUM(BS5:BV5)-BW5&gt;0,SUM(BS5:BV5)-BW5,"")</f>
        <v>41.375</v>
      </c>
      <c r="CJ5" s="12">
        <f>IF(SUM(BX5:CA5)-CB5&gt;0,SUM(BX5:CA5)-CB5,"")</f>
        <v>47.204999999999998</v>
      </c>
      <c r="CK5" s="12">
        <f>IF(SUM(CI5:CJ5)&gt;0,SUM(CI5:CJ5),"")</f>
        <v>88.58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88.58</v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63">
        <f t="shared" si="0"/>
        <v>16.95</v>
      </c>
      <c r="LX5" s="63">
        <f t="shared" si="1"/>
        <v>9.375</v>
      </c>
      <c r="LY5" s="63">
        <f t="shared" si="2"/>
        <v>3.2</v>
      </c>
      <c r="LZ5" s="63">
        <f t="shared" si="3"/>
        <v>15.07</v>
      </c>
      <c r="MA5" s="63">
        <f t="shared" si="4"/>
        <v>0</v>
      </c>
      <c r="MB5" s="63">
        <f t="shared" si="5"/>
        <v>14.6</v>
      </c>
      <c r="MC5" s="63">
        <f t="shared" si="6"/>
        <v>9.1</v>
      </c>
      <c r="MD5" s="63">
        <f t="shared" si="7"/>
        <v>11.3</v>
      </c>
      <c r="ME5" s="63">
        <f t="shared" si="8"/>
        <v>14.53</v>
      </c>
      <c r="MF5" s="63">
        <f t="shared" si="9"/>
        <v>0</v>
      </c>
      <c r="MG5" s="63">
        <f t="shared" si="10"/>
        <v>8.73</v>
      </c>
      <c r="MH5" s="63">
        <f t="shared" si="11"/>
        <v>5.9250000000000007</v>
      </c>
      <c r="MI5" s="63">
        <f t="shared" si="12"/>
        <v>6.8</v>
      </c>
      <c r="MJ5" s="63">
        <f t="shared" si="13"/>
        <v>9.08</v>
      </c>
      <c r="MK5" s="63">
        <f t="shared" si="14"/>
        <v>0</v>
      </c>
      <c r="ML5" s="74" t="s">
        <v>81</v>
      </c>
      <c r="MM5" s="12">
        <f t="shared" si="15"/>
        <v>11.3</v>
      </c>
      <c r="MN5" s="12">
        <f t="shared" si="16"/>
        <v>44.594999999999999</v>
      </c>
      <c r="MO5" s="12">
        <f t="shared" si="17"/>
        <v>49.53</v>
      </c>
      <c r="MP5" s="12">
        <f t="shared" si="18"/>
        <v>94.125</v>
      </c>
      <c r="MQ5" s="12">
        <f t="shared" si="19"/>
        <v>6.8</v>
      </c>
      <c r="MR5" s="12">
        <f t="shared" si="20"/>
        <v>30.535000000000004</v>
      </c>
      <c r="MS5" s="12">
        <f t="shared" si="21"/>
        <v>124.66</v>
      </c>
    </row>
    <row r="6" spans="1:357" x14ac:dyDescent="0.2">
      <c r="A6" s="6" t="str">
        <f>IF(AND(F6="P",H6="P"),SUMPRODUCT((F$4:F$10="P")*(H$4:H$10="P")*(E$4:E$10&gt;E6))+1,IF(H6="P",SUMPRODUCT((F$4:F$10="")*(H$4:H$10="P")*(E$4:E$10&gt;E6))+1+SUMPRODUCT((F$4:F$10="P")*(H$4:H$10="P")),""))</f>
        <v/>
      </c>
      <c r="B6" s="9" t="s">
        <v>96</v>
      </c>
      <c r="C6" s="5" t="s">
        <v>6</v>
      </c>
      <c r="D6" s="27">
        <v>2003</v>
      </c>
      <c r="E6" s="16">
        <f>SUM(J6:R6)</f>
        <v>217.995</v>
      </c>
      <c r="F6" s="4" t="str">
        <f>IF(OR(AND($AK6&gt;=$AL$12,NOT($AK6=""),$AJ6=""),AND($BH6&gt;=$BI$12,NOT($BH6=""),$BG6=""),AND($CH6&gt;=$CI$12,NOT($CH6="")),AND($DD6&gt;=$DE$12,NOT($DD6="")),AND($DZ6&gt;=$EA$12,NOT($DZ6="")),AND($EV6&gt;=$EW$12,NOT($EV6="")),AND($FR6&gt;=$FS$12,NOT($FR6="")),AND($GN6&gt;=$GO$12,NOT($GN6="")),AND($HJ6&gt;=$HK$12,NOT($HJ6="")),AND($IF6&gt;=$IG$12,NOT($IF6="")),AND($JB6&gt;=$JC$12,NOT($JB6="")),AND($JX6&gt;=$JY$12,NOT($JX6="")),AND($KT6&gt;=$KU$12,NOT($KT6="")),AND($LP6&gt;=$LQ$12,NOT($LP6="")),AND($AO6&gt;=$AL$12,NOT($AO6=""),$AJ6=""),AND($BL6&gt;=$BI$12,NOT($BL6=""),$BG6=""),AND($CL6&gt;=$CI$12,NOT($CL6="")),AND($DH6&gt;=$DE$12,NOT($DH6="")),AND($ED6&gt;=$EA$12,NOT($ED6="")),AND($EZ6&gt;=$EW$12,NOT($EZ6="")),AND($FV6&gt;=$FS$12,NOT($FV6="")),AND($GR6&gt;=$GO$12,NOT($GR6="")),AND($HN6&gt;=$HK$12,NOT($HN6="")),AND($IJ6&gt;=$IG$12,NOT($IJ6="")),AND($JF6&gt;=$JC$12,NOT($JF6="")),AND($KB6&gt;=$JY$12,NOT($KB6="")),AND($KX6&gt;=$KU$12,NOT($KX6="")),AND($LT6&gt;=$LQ$12,NOT($LT6=""))),"P","")</f>
        <v/>
      </c>
      <c r="G6" s="4" t="str">
        <f>IF(OR(AND($AK6&gt;=$AL$13,NOT($AK6=""),$AJ6=""),AND($BH6&gt;=$BI$13,NOT($BH6=""),$BG6=""),AND($CH6&gt;=$CI$13,NOT($CH6="")),AND($DD6&gt;=$DE$13,NOT($DD6="")),AND($DZ6&gt;=$EA$13,NOT($DZ6="")),AND($EV6&gt;=$EW$13,NOT($EV6="")),AND($FR6&gt;=$FS$13,NOT($FR6="")),AND($GN6&gt;=$GO$13,NOT($GN6="")),AND($HJ6&gt;=$HK$13,NOT($HJ6="")),AND($IF6&gt;=$IG$13,NOT($IF6="")),AND($JB6&gt;=$JC$13,NOT($JB6="")),AND($JX6&gt;=$JY$13,NOT($JX6="")),AND($KT6&gt;=$KU$13,NOT($KT6="")),AND($LP6&gt;=$LQ$13,NOT($LP6="")),AND($AO6&gt;=$AL$13,NOT($AO6=""),$AJ6=""),AND($BL6&gt;=$BI$13,NOT($BL6=""),$BG6=""),AND($CL6&gt;=$CI$13,NOT($CL6="")),AND($DH6&gt;=$DE$13,NOT($DH6="")),AND($ED6&gt;=$EA$13,NOT($ED6="")),AND($EZ6&gt;=$EW$13,NOT($EZ6="")),AND($FV6&gt;=$FS$13,NOT($FV6="")),AND($GR6&gt;=$GO$13,NOT($GR6="")),AND($HN6&gt;=$HK$13,NOT($HN6="")),AND($IJ6&gt;=$IG$13,NOT($IJ6="")),AND($JF6&gt;=$JC$13,NOT($JF6="")),AND($KB6&gt;=$JY$13,NOT($KB6="")),AND($KX6&gt;=$KU$13,NOT($KX6="")),AND($LT6&gt;=$LQ$13,NOT($LT6=""))),"P","")</f>
        <v/>
      </c>
      <c r="H6" s="4" t="str">
        <f>IF(OR(AND($AN6&gt;=$AL$14,NOT($AN6=""),$AJ6=""),AND($BK6&gt;=$BI$14,NOT($BK6=""),$BG6=""),AND($CK6&gt;=$CI$14,NOT($CK6="")),AND($DG6&gt;=$DE$14,NOT($DG6="")),AND($EC6&gt;=$EA$14,NOT($EC6="")),AND($EY6&gt;=$EW$14,NOT($EY6="")),AND($FU6&gt;=$FS$14,NOT($FU6="")),AND($GQ6&gt;=$GO$14,NOT($GQ6="")),AND($HM6&gt;=$HK$14,NOT($HM6="")),AND($II6&gt;=$IG$14,NOT($II6="")),AND($JE6&gt;=$JC$14,NOT($JE6="")),AND($KA6&gt;=$JY$14,NOT($KA6="")),AND($KW6&gt;=$KU$14,NOT($KW6="")),AND($LS6&gt;=$LQ$14,NOT($LS6=""))),"P","")</f>
        <v/>
      </c>
      <c r="I6" t="str">
        <f>IF(AND(H6="P",F6=""),"No DD",IF(AND(G6="P",OR(AND($AM6&gt;$AL$17,NOT($AM6=""),$AJ6=""),AND($AP6&gt;$AL$17,NOT($AP6=""),$AJ6=""),AND($BJ6&gt;$BI$17,NOT($BJ6=""),$BG6=""),AND($BM6&gt;$BI$17,NOT($BM6=""),$BG6=""),AND($CJ6&gt;$CI$17,NOT($CJ6="")),AND($CM6&gt;$CI$17,NOT($CM6="")),AND($DF6&gt;$DE$17,NOT($DF6="")),AND($DI6&gt;$DE$17,NOT($DI6="")),AND($EB6&gt;$EA$17,NOT($EB6="")),AND($EE6&gt;$EA$17,NOT($EE6="")),AND($EX6&gt;$EW$17,NOT($EX6="")),AND($FA6&gt;$EW$17,NOT($FA6="")),AND($FT6&gt;$FS$17,NOT($FT6="")),AND($FW6&gt;$FS$17,NOT($FW6="")),AND($GP6&gt;$GO$17,NOT($GP6="")),AND($GS6&gt;$GO$17,NOT($GS6="")),AND($HL6&gt;$HK$17,NOT($HL6="")),AND($HO6&gt;$HK$17,NOT($HO6="")),AND($IH6&gt;$IG$17,NOT($IH6="")),AND($IK6&gt;$IG$17,NOT($IK6="")),AND($JD6&gt;$JC$17,NOT($JD6="")),AND($JG6&gt;$JC$17,NOT($JG6="")),AND($JZ6&gt;$JY$17,NOT($JZ6="")),AND($KC6&gt;$JY$17,NOT($KC6="")),AND($KV6&gt;$KU$17,NOT($KV6="")),AND($KY6&gt;$KU$17,NOT($KY6="")),AND($LR6&gt;$LQ$17,NOT($LR6="")),AND($LU6&gt;$LQ$17,NOT($LU6="")))),"Merit",IF(AND(G6="P",OR(AND($AN6&gt;$AL$16,NOT($AN6=""),$AJ6=""),AND($BK6&gt;$BI$16,NOT($BK6=""),$BG6=""),AND($CK6&gt;$CI$16,NOT($CK6="")),AND($DG6&gt;$DE$16,NOT($DG6="")),AND($EC6&gt;$EA$16,NOT($EC6="")),AND($EY6&gt;$EW$16,NOT($EY6="")),AND($FU6&gt;$FS$16,NOT($FU6="")),AND($GQ6&gt;$GO$16,NOT($GQ6="")),AND($HM6&gt;$HK$16,NOT($HM6="")),AND($II6&gt;$IG$16,NOT($II6="")),AND($JE6&gt;$JC$16,NOT($JE6="")),AND($KA6&gt;$JY$16,NOT($KA6="")),AND($KW6&gt;$KU$16,NOT($KW6="")),AND($LS6&gt;$LQ$16,NOT($LS6="")))),"Excellence",IF(AND(G6="P",OR(AND($AN6&gt;$AL$15,NOT($AN6=""),$AJ6=""),AND($BK6&gt;$BI$15,NOT($BK6=""),$BG6=""),AND($CK6&gt;$CI$15,NOT($CK6="")),AND($DG6&gt;$DE$15,NOT($DG6="")),AND($EC6&gt;$EA$15,NOT($EC6="")),AND($EY6&gt;$EW$15,NOT($EY6="")),AND($FU6&gt;$FS$15,NOT($FU6="")),AND($GQ6&gt;$GO$15,NOT($GQ6="")),AND($HM6&gt;$HK$15,NOT($HM6="")),AND($II6&gt;$IG$15,NOT($II6="")),AND($JE6&gt;$JC$15,NOT($JE6="")),AND($KA6&gt;$JY$15,NOT($KA6="")),AND($KW6&gt;$KU$15,NOT($KW6="")),AND($LS6&gt;$LQ$15,NOT($LS6="")))),"Worlds Team",IF(AND(F6="P",OR(AND($AN6&gt;$AL$14,NOT($AN6=""),$AJ6=""),AND($BK6&gt;$BI$14,NOT($BK6=""),$BG6=""),AND($CK6&gt;$CI$14,NOT($CK6="")),AND($DG6&gt;$DE$14,NOT($DG6="")),AND($EC6&gt;$EA$14,NOT($EC6="")),AND($EY6&gt;$EW$14,NOT($EY6="")),AND($FU6&gt;$FS$14,NOT($FU6="")),AND($GQ6&gt;$GO$14,NOT($GQ6="")),AND($HM6&gt;$HK$14,NOT($HM6="")),AND($II6&gt;$IG$14,NOT($II6="")),AND($JE6&gt;$JC$14,NOT($JE6="")),AND($KA6&gt;$JY$14,NOT($KA6="")),AND($KW6&gt;$KU$14,NOT($KW6="")),AND($LS6&gt;$LQ$14,NOT($LS6="")))),"National Team","")))))</f>
        <v/>
      </c>
      <c r="J6" s="15">
        <f>IF(MAX(AN6,BK6)&gt;0,MAX(AN6,BK6),"")</f>
        <v>90.204999999999998</v>
      </c>
      <c r="K6" s="15" t="str">
        <f>IF(J6="","",IF(J6=BK6,$AR$1,IF(J6=AN6,$U$1,"")))</f>
        <v>2019 Elite Canada</v>
      </c>
      <c r="L6" s="15">
        <f>IF($J6=$AN6,BI6,IF($J6=$BK6,AL6,MAX(AL6,BI6)))</f>
        <v>42.664999999999999</v>
      </c>
      <c r="M6" s="15" t="str">
        <f>IF(L6="","",IF(L6=BI6,$AR$1,IF(L6=AL6,$U$1,"")))</f>
        <v>2019 Nationals</v>
      </c>
      <c r="N6" s="15">
        <f>IF($J6=$AN6,BJ6,IF($J6=$BK6,AM6,MAX(AM6,BJ6)))</f>
        <v>37.375</v>
      </c>
      <c r="O6" s="15" t="str">
        <f>IF(N6="","",IF(AND(N6=BJ6,$K6&lt;&gt;$AR$1),$AR$1,IF(AND(N6=AM6,$K6&lt;&gt;$U$1),$U$1,"")))</f>
        <v>2019 Nationals</v>
      </c>
      <c r="P6" s="15">
        <f>IF(MAX(AP6,BM6)&gt;0,MAX(AP6,BM6),"")</f>
        <v>47.75</v>
      </c>
      <c r="Q6" s="15" t="str">
        <f>IF(P6="","",IF(P6=BM6,$AR$1,IF(P6=AP6,$U$1,"")))</f>
        <v>2019 Elite Canada</v>
      </c>
      <c r="R6" s="15" t="str">
        <f>IF(MAX(BO6,BP6,BQ6,BR6)&gt;0,MAX(BO6,BP6,BQ6,BR6),"")</f>
        <v/>
      </c>
      <c r="S6" s="25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63">
        <v>16.7</v>
      </c>
      <c r="V6" s="63">
        <v>9.1999999999999993</v>
      </c>
      <c r="W6" s="63">
        <v>2</v>
      </c>
      <c r="X6" s="63">
        <v>14.885</v>
      </c>
      <c r="Y6" s="63">
        <v>0</v>
      </c>
      <c r="Z6" s="63">
        <v>14</v>
      </c>
      <c r="AA6" s="63">
        <v>9.15</v>
      </c>
      <c r="AB6" s="63">
        <v>9.8000000000000007</v>
      </c>
      <c r="AC6" s="63">
        <v>14.47</v>
      </c>
      <c r="AD6" s="63">
        <v>0</v>
      </c>
      <c r="AE6" s="63">
        <v>14.6</v>
      </c>
      <c r="AF6" s="63">
        <v>9.1</v>
      </c>
      <c r="AG6" s="63">
        <v>9.8000000000000007</v>
      </c>
      <c r="AH6" s="63">
        <v>14.25</v>
      </c>
      <c r="AI6" s="63">
        <v>0</v>
      </c>
      <c r="AJ6" s="74"/>
      <c r="AK6" s="12">
        <f>IF(AB6&gt;0,AB6,"")</f>
        <v>9.8000000000000007</v>
      </c>
      <c r="AL6" s="12">
        <f>IF(SUM(U6:X6)-Y6&gt;0,SUM(U6:X6)-Y6,"")</f>
        <v>42.784999999999997</v>
      </c>
      <c r="AM6" s="12">
        <f>IF(SUM(Z6:AC6)-AD6&gt;0,SUM(Z6:AC6)-AD6,"")</f>
        <v>47.42</v>
      </c>
      <c r="AN6" s="12">
        <f>IF(SUM(AL6:AM6)&gt;0,SUM(AL6:AM6),"")</f>
        <v>90.204999999999998</v>
      </c>
      <c r="AO6" s="12">
        <f>IF(AG6&gt;0,AG6,"")</f>
        <v>9.8000000000000007</v>
      </c>
      <c r="AP6" s="12">
        <f>IF(SUM(AE6:AH6)-AI6&gt;0,SUM(AE6:AH6)-AI6,"")</f>
        <v>47.75</v>
      </c>
      <c r="AQ6" s="12">
        <f>IF(SUM(AN6,AP6)&gt;0,SUM(AN6,AP6),"")</f>
        <v>137.95499999999998</v>
      </c>
      <c r="AR6" s="69">
        <v>16.7</v>
      </c>
      <c r="AS6" s="69">
        <v>8.8000000000000007</v>
      </c>
      <c r="AT6" s="69">
        <v>2.2999999999999998</v>
      </c>
      <c r="AU6" s="69">
        <v>14.865</v>
      </c>
      <c r="AV6" s="69">
        <v>0</v>
      </c>
      <c r="AW6" s="69">
        <v>12</v>
      </c>
      <c r="AX6" s="69">
        <v>6.9</v>
      </c>
      <c r="AY6" s="69">
        <v>6.8</v>
      </c>
      <c r="AZ6" s="69">
        <v>11.675000000000001</v>
      </c>
      <c r="BA6" s="69">
        <v>0</v>
      </c>
      <c r="BB6" s="69">
        <v>15.5</v>
      </c>
      <c r="BC6" s="69">
        <v>9</v>
      </c>
      <c r="BD6" s="69">
        <v>8.6</v>
      </c>
      <c r="BE6" s="69">
        <v>15.015000000000001</v>
      </c>
      <c r="BF6" s="69">
        <v>0.9</v>
      </c>
      <c r="BG6" s="75"/>
      <c r="BH6" s="15">
        <f>IF(AY6&gt;0,AY6,"")</f>
        <v>6.8</v>
      </c>
      <c r="BI6" s="15">
        <f>IF(SUM(AR6:AU6)-AV6&gt;0,SUM(AR6:AU6)-AV6,"")</f>
        <v>42.664999999999999</v>
      </c>
      <c r="BJ6" s="15">
        <f>IF(SUM(AW6:AZ6)-BA6&gt;0,SUM(AW6:AZ6)-BA6,"")</f>
        <v>37.375</v>
      </c>
      <c r="BK6" s="15">
        <f>IF(SUM(BI6:BJ6)&gt;0,SUM(BI6:BJ6),"")</f>
        <v>80.039999999999992</v>
      </c>
      <c r="BL6" s="15">
        <f>IF(BD6&gt;0,BD6,"")</f>
        <v>8.6</v>
      </c>
      <c r="BM6" s="15">
        <f>IF(SUM(BB6:BE6)-BF6&gt;0,SUM(BB6:BE6)-BF6,"")</f>
        <v>47.215000000000003</v>
      </c>
      <c r="BN6" s="15">
        <f>IF(SUM(BK6,BM6)&gt;0,SUM(BK6,BM6),"")</f>
        <v>127.255</v>
      </c>
      <c r="BO6" s="24" t="str">
        <f>IF(MAX(CI6,DE6,EA6,EW6,FS6,GO6,HK6,IG6,JC6,JY6,KU6,LQ6)-IF(L6="",0,L6)&gt;0.001,MAX(CI6,DE6,EA6,EW6,FS6,GO6,HK6,IG6,JC6,JY6,KU6,LQ6)-IF(L6="",0,L6),"")</f>
        <v/>
      </c>
      <c r="BP6" s="24" t="str">
        <f>IF(MAX(CJ6,DF6,EB6,EX6,FT6,GP6,HL6,IH6,JD6,JZ6,KV6,LR6)-IF(N6="",0,N6)&gt;0.001,MAX(CJ6,DF6,EB6,EX6,FT6,GP6,HL6,IH6,JD6,JZ6,KV6,LR6)-IF(N6="",0,N6),"")</f>
        <v/>
      </c>
      <c r="BQ6" s="24" t="str">
        <f>IF(MAX(CK6,DG6,EC6,EY6,FU6,GQ6,HM6,II6,JE6,KA6,KW6,LS6)-IF(J6="",0,J6)&gt;0.001,MAX(CK6,DG6,EC6,EY6,FU6,GQ6,HM6,II6,JE6,KA6,KW6,LS6)-IF(J6="",0,J6),"")</f>
        <v/>
      </c>
      <c r="BR6" s="24" t="str">
        <f>IF(MAX(CM6,DI6,EE6,FA6,FW6,GS6,HO6,IK6,JG6,KC6,KY6,LU6)-IF(P6="",0,P6)&gt;0.001,MAX(CM6,DI6,EE6,FA6,FW6,GS6,HO6,IK6,JG6,KC6,KY6,LU6)-IF(P6="",0,P6),"")</f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63">
        <f t="shared" si="0"/>
        <v>16.7</v>
      </c>
      <c r="LX6" s="63">
        <f t="shared" si="1"/>
        <v>9</v>
      </c>
      <c r="LY6" s="63">
        <f t="shared" si="2"/>
        <v>2.15</v>
      </c>
      <c r="LZ6" s="63">
        <f t="shared" si="3"/>
        <v>14.875</v>
      </c>
      <c r="MA6" s="63">
        <f t="shared" si="4"/>
        <v>0</v>
      </c>
      <c r="MB6" s="63">
        <f t="shared" si="5"/>
        <v>13</v>
      </c>
      <c r="MC6" s="63">
        <f t="shared" si="6"/>
        <v>8.0250000000000004</v>
      </c>
      <c r="MD6" s="63">
        <f t="shared" si="7"/>
        <v>8.3000000000000007</v>
      </c>
      <c r="ME6" s="63">
        <f t="shared" si="8"/>
        <v>13.072500000000002</v>
      </c>
      <c r="MF6" s="63">
        <f t="shared" si="9"/>
        <v>0</v>
      </c>
      <c r="MG6" s="63">
        <f t="shared" si="10"/>
        <v>15.05</v>
      </c>
      <c r="MH6" s="63">
        <f t="shared" si="11"/>
        <v>9.0500000000000007</v>
      </c>
      <c r="MI6" s="63">
        <f t="shared" si="12"/>
        <v>9.1999999999999993</v>
      </c>
      <c r="MJ6" s="63">
        <f t="shared" si="13"/>
        <v>14.6325</v>
      </c>
      <c r="MK6" s="63">
        <f t="shared" si="14"/>
        <v>0.45</v>
      </c>
      <c r="ML6" s="74" t="s">
        <v>81</v>
      </c>
      <c r="MM6" s="12">
        <f t="shared" si="15"/>
        <v>8.3000000000000007</v>
      </c>
      <c r="MN6" s="12">
        <f t="shared" si="16"/>
        <v>42.724999999999994</v>
      </c>
      <c r="MO6" s="12">
        <f t="shared" si="17"/>
        <v>42.397500000000001</v>
      </c>
      <c r="MP6" s="12">
        <f t="shared" si="18"/>
        <v>85.122500000000002</v>
      </c>
      <c r="MQ6" s="12">
        <f t="shared" si="19"/>
        <v>9.1999999999999993</v>
      </c>
      <c r="MR6" s="12">
        <f t="shared" si="20"/>
        <v>47.482499999999995</v>
      </c>
      <c r="MS6" s="12">
        <f t="shared" si="21"/>
        <v>132.60499999999999</v>
      </c>
    </row>
    <row r="7" spans="1:357" x14ac:dyDescent="0.2">
      <c r="A7" s="6">
        <f>IF(AND(F7="P",H7="P"),SUMPRODUCT((F$4:F$10="P")*(H$4:H$10="P")*(E$4:E$10&gt;E7))+1,IF(H7="P",SUMPRODUCT((F$4:F$10="")*(H$4:H$10="P")*(E$4:E$10&gt;E7))+1+SUMPRODUCT((F$4:F$10="P")*(H$4:H$10="P")),""))</f>
        <v>3</v>
      </c>
      <c r="B7" s="9" t="s">
        <v>73</v>
      </c>
      <c r="C7" s="5" t="s">
        <v>4</v>
      </c>
      <c r="D7" s="27">
        <v>2002</v>
      </c>
      <c r="E7" s="16">
        <f>SUM(J7:R7)</f>
        <v>185.04999999999998</v>
      </c>
      <c r="F7" s="4" t="str">
        <f>IF(OR(AND($AK7&gt;=$AL$12,NOT($AK7=""),$AJ7=""),AND($BH7&gt;=$BI$12,NOT($BH7=""),$BG7=""),AND($CH7&gt;=$CI$12,NOT($CH7="")),AND($DD7&gt;=$DE$12,NOT($DD7="")),AND($DZ7&gt;=$EA$12,NOT($DZ7="")),AND($EV7&gt;=$EW$12,NOT($EV7="")),AND($FR7&gt;=$FS$12,NOT($FR7="")),AND($GN7&gt;=$GO$12,NOT($GN7="")),AND($HJ7&gt;=$HK$12,NOT($HJ7="")),AND($IF7&gt;=$IG$12,NOT($IF7="")),AND($JB7&gt;=$JC$12,NOT($JB7="")),AND($JX7&gt;=$JY$12,NOT($JX7="")),AND($KT7&gt;=$KU$12,NOT($KT7="")),AND($LP7&gt;=$LQ$12,NOT($LP7="")),AND($AO7&gt;=$AL$12,NOT($AO7=""),$AJ7=""),AND($BL7&gt;=$BI$12,NOT($BL7=""),$BG7=""),AND($CL7&gt;=$CI$12,NOT($CL7="")),AND($DH7&gt;=$DE$12,NOT($DH7="")),AND($ED7&gt;=$EA$12,NOT($ED7="")),AND($EZ7&gt;=$EW$12,NOT($EZ7="")),AND($FV7&gt;=$FS$12,NOT($FV7="")),AND($GR7&gt;=$GO$12,NOT($GR7="")),AND($HN7&gt;=$HK$12,NOT($HN7="")),AND($IJ7&gt;=$IG$12,NOT($IJ7="")),AND($JF7&gt;=$JC$12,NOT($JF7="")),AND($KB7&gt;=$JY$12,NOT($KB7="")),AND($KX7&gt;=$KU$12,NOT($KX7="")),AND($LT7&gt;=$LQ$12,NOT($LT7=""))),"P","")</f>
        <v/>
      </c>
      <c r="G7" s="4" t="str">
        <f>IF(OR(AND($AK7&gt;=$AL$13,NOT($AK7=""),$AJ7=""),AND($BH7&gt;=$BI$13,NOT($BH7=""),$BG7=""),AND($CH7&gt;=$CI$13,NOT($CH7="")),AND($DD7&gt;=$DE$13,NOT($DD7="")),AND($DZ7&gt;=$EA$13,NOT($DZ7="")),AND($EV7&gt;=$EW$13,NOT($EV7="")),AND($FR7&gt;=$FS$13,NOT($FR7="")),AND($GN7&gt;=$GO$13,NOT($GN7="")),AND($HJ7&gt;=$HK$13,NOT($HJ7="")),AND($IF7&gt;=$IG$13,NOT($IF7="")),AND($JB7&gt;=$JC$13,NOT($JB7="")),AND($JX7&gt;=$JY$13,NOT($JX7="")),AND($KT7&gt;=$KU$13,NOT($KT7="")),AND($LP7&gt;=$LQ$13,NOT($LP7="")),AND($AO7&gt;=$AL$13,NOT($AO7=""),$AJ7=""),AND($BL7&gt;=$BI$13,NOT($BL7=""),$BG7=""),AND($CL7&gt;=$CI$13,NOT($CL7="")),AND($DH7&gt;=$DE$13,NOT($DH7="")),AND($ED7&gt;=$EA$13,NOT($ED7="")),AND($EZ7&gt;=$EW$13,NOT($EZ7="")),AND($FV7&gt;=$FS$13,NOT($FV7="")),AND($GR7&gt;=$GO$13,NOT($GR7="")),AND($HN7&gt;=$HK$13,NOT($HN7="")),AND($IJ7&gt;=$IG$13,NOT($IJ7="")),AND($JF7&gt;=$JC$13,NOT($JF7="")),AND($KB7&gt;=$JY$13,NOT($KB7="")),AND($KX7&gt;=$KU$13,NOT($KX7="")),AND($LT7&gt;=$LQ$13,NOT($LT7=""))),"P","")</f>
        <v/>
      </c>
      <c r="H7" s="4" t="str">
        <f>IF(OR(AND($AN7&gt;=$AL$14,NOT($AN7=""),$AJ7=""),AND($BK7&gt;=$BI$14,NOT($BK7=""),$BG7=""),AND($CK7&gt;=$CI$14,NOT($CK7="")),AND($DG7&gt;=$DE$14,NOT($DG7="")),AND($EC7&gt;=$EA$14,NOT($EC7="")),AND($EY7&gt;=$EW$14,NOT($EY7="")),AND($FU7&gt;=$FS$14,NOT($FU7="")),AND($GQ7&gt;=$GO$14,NOT($GQ7="")),AND($HM7&gt;=$HK$14,NOT($HM7="")),AND($II7&gt;=$IG$14,NOT($II7="")),AND($JE7&gt;=$JC$14,NOT($JE7="")),AND($KA7&gt;=$JY$14,NOT($KA7="")),AND($KW7&gt;=$KU$14,NOT($KW7="")),AND($LS7&gt;=$LQ$14,NOT($LS7=""))),"P","")</f>
        <v>P</v>
      </c>
      <c r="I7" t="str">
        <f>IF(AND(H7="P",F7=""),"No DD",IF(AND(G7="P",OR(AND($AM7&gt;$AL$17,NOT($AM7=""),$AJ7=""),AND($AP7&gt;$AL$17,NOT($AP7=""),$AJ7=""),AND($BJ7&gt;$BI$17,NOT($BJ7=""),$BG7=""),AND($BM7&gt;$BI$17,NOT($BM7=""),$BG7=""),AND($CJ7&gt;$CI$17,NOT($CJ7="")),AND($CM7&gt;$CI$17,NOT($CM7="")),AND($DF7&gt;$DE$17,NOT($DF7="")),AND($DI7&gt;$DE$17,NOT($DI7="")),AND($EB7&gt;$EA$17,NOT($EB7="")),AND($EE7&gt;$EA$17,NOT($EE7="")),AND($EX7&gt;$EW$17,NOT($EX7="")),AND($FA7&gt;$EW$17,NOT($FA7="")),AND($FT7&gt;$FS$17,NOT($FT7="")),AND($FW7&gt;$FS$17,NOT($FW7="")),AND($GP7&gt;$GO$17,NOT($GP7="")),AND($GS7&gt;$GO$17,NOT($GS7="")),AND($HL7&gt;$HK$17,NOT($HL7="")),AND($HO7&gt;$HK$17,NOT($HO7="")),AND($IH7&gt;$IG$17,NOT($IH7="")),AND($IK7&gt;$IG$17,NOT($IK7="")),AND($JD7&gt;$JC$17,NOT($JD7="")),AND($JG7&gt;$JC$17,NOT($JG7="")),AND($JZ7&gt;$JY$17,NOT($JZ7="")),AND($KC7&gt;$JY$17,NOT($KC7="")),AND($KV7&gt;$KU$17,NOT($KV7="")),AND($KY7&gt;$KU$17,NOT($KY7="")),AND($LR7&gt;$LQ$17,NOT($LR7="")),AND($LU7&gt;$LQ$17,NOT($LU7="")))),"Merit",IF(AND(G7="P",OR(AND($AN7&gt;$AL$16,NOT($AN7=""),$AJ7=""),AND($BK7&gt;$BI$16,NOT($BK7=""),$BG7=""),AND($CK7&gt;$CI$16,NOT($CK7="")),AND($DG7&gt;$DE$16,NOT($DG7="")),AND($EC7&gt;$EA$16,NOT($EC7="")),AND($EY7&gt;$EW$16,NOT($EY7="")),AND($FU7&gt;$FS$16,NOT($FU7="")),AND($GQ7&gt;$GO$16,NOT($GQ7="")),AND($HM7&gt;$HK$16,NOT($HM7="")),AND($II7&gt;$IG$16,NOT($II7="")),AND($JE7&gt;$JC$16,NOT($JE7="")),AND($KA7&gt;$JY$16,NOT($KA7="")),AND($KW7&gt;$KU$16,NOT($KW7="")),AND($LS7&gt;$LQ$16,NOT($LS7="")))),"Excellence",IF(AND(G7="P",OR(AND($AN7&gt;$AL$15,NOT($AN7=""),$AJ7=""),AND($BK7&gt;$BI$15,NOT($BK7=""),$BG7=""),AND($CK7&gt;$CI$15,NOT($CK7="")),AND($DG7&gt;$DE$15,NOT($DG7="")),AND($EC7&gt;$EA$15,NOT($EC7="")),AND($EY7&gt;$EW$15,NOT($EY7="")),AND($FU7&gt;$FS$15,NOT($FU7="")),AND($GQ7&gt;$GO$15,NOT($GQ7="")),AND($HM7&gt;$HK$15,NOT($HM7="")),AND($II7&gt;$IG$15,NOT($II7="")),AND($JE7&gt;$JC$15,NOT($JE7="")),AND($KA7&gt;$JY$15,NOT($KA7="")),AND($KW7&gt;$KU$15,NOT($KW7="")),AND($LS7&gt;$LQ$15,NOT($LS7="")))),"Worlds Team",IF(AND(F7="P",OR(AND($AN7&gt;$AL$14,NOT($AN7=""),$AJ7=""),AND($BK7&gt;$BI$14,NOT($BK7=""),$BG7=""),AND($CK7&gt;$CI$14,NOT($CK7="")),AND($DG7&gt;$DE$14,NOT($DG7="")),AND($EC7&gt;$EA$14,NOT($EC7="")),AND($EY7&gt;$EW$14,NOT($EY7="")),AND($FU7&gt;$FS$14,NOT($FU7="")),AND($GQ7&gt;$GO$14,NOT($GQ7="")),AND($HM7&gt;$HK$14,NOT($HM7="")),AND($II7&gt;$IG$14,NOT($II7="")),AND($JE7&gt;$JC$14,NOT($JE7="")),AND($KA7&gt;$JY$14,NOT($KA7="")),AND($KW7&gt;$KU$14,NOT($KW7="")),AND($LS7&gt;$LQ$14,NOT($LS7="")))),"National Team","")))))</f>
        <v>No DD</v>
      </c>
      <c r="J7" s="15">
        <f>IF(MAX(AN7,BK7)&gt;0,MAX(AN7,BK7),"")</f>
        <v>93.6</v>
      </c>
      <c r="K7" s="15" t="str">
        <f>IF(J7="","",IF(J7=BK7,$AR$1,IF(J7=AN7,$U$1,"")))</f>
        <v>2019 Elite Canada</v>
      </c>
      <c r="L7" s="15">
        <f>IF($J7=$AN7,BI7,IF($J7=$BK7,AL7,MAX(AL7,BI7)))</f>
        <v>13.745000000000001</v>
      </c>
      <c r="M7" s="15" t="str">
        <f>IF(L7="","",IF(L7=BI7,$AR$1,IF(L7=AL7,$U$1,"")))</f>
        <v>2019 Nationals</v>
      </c>
      <c r="N7" s="15">
        <f>IF($J7=$AN7,BJ7,IF($J7=$BK7,AM7,MAX(AM7,BJ7)))</f>
        <v>28.734999999999999</v>
      </c>
      <c r="O7" s="15" t="str">
        <f>IF(N7="","",IF(AND(N7=BJ7,$K7&lt;&gt;$AR$1),$AR$1,IF(AND(N7=AM7,$K7&lt;&gt;$U$1),$U$1,"")))</f>
        <v>2019 Nationals</v>
      </c>
      <c r="P7" s="15">
        <f>IF(MAX(AP7,BM7)&gt;0,MAX(AP7,BM7),"")</f>
        <v>48.97</v>
      </c>
      <c r="Q7" s="15" t="str">
        <f>IF(P7="","",IF(P7=BM7,$AR$1,IF(P7=AP7,$U$1,"")))</f>
        <v>2019 Elite Canada</v>
      </c>
      <c r="R7" s="15" t="str">
        <f>IF(MAX(BO7,BP7,BQ7,BR7)&gt;0,MAX(BO7,BP7,BQ7,BR7),"")</f>
        <v/>
      </c>
      <c r="S7" s="25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36">
        <v>16</v>
      </c>
      <c r="V7" s="36">
        <v>9.6999999999999993</v>
      </c>
      <c r="W7" s="36">
        <v>3.7</v>
      </c>
      <c r="X7" s="36">
        <v>14.945</v>
      </c>
      <c r="Y7" s="36">
        <v>0</v>
      </c>
      <c r="Z7" s="36">
        <v>14.9</v>
      </c>
      <c r="AA7" s="36">
        <v>9.1999999999999993</v>
      </c>
      <c r="AB7" s="36">
        <v>11</v>
      </c>
      <c r="AC7" s="36">
        <v>14.154999999999999</v>
      </c>
      <c r="AD7" s="36">
        <v>0</v>
      </c>
      <c r="AE7" s="36">
        <v>15.7</v>
      </c>
      <c r="AF7" s="36">
        <v>9.3000000000000007</v>
      </c>
      <c r="AG7" s="36">
        <v>9.6</v>
      </c>
      <c r="AH7" s="36">
        <v>14.37</v>
      </c>
      <c r="AI7" s="36">
        <v>0</v>
      </c>
      <c r="AJ7" s="74"/>
      <c r="AK7" s="12">
        <f>IF(AB7&gt;0,AB7,"")</f>
        <v>11</v>
      </c>
      <c r="AL7" s="12">
        <f>IF(SUM(U7:X7)-Y7&gt;0,SUM(U7:X7)-Y7,"")</f>
        <v>44.344999999999999</v>
      </c>
      <c r="AM7" s="12">
        <f>IF(SUM(Z7:AC7)-AD7&gt;0,SUM(Z7:AC7)-AD7,"")</f>
        <v>49.255000000000003</v>
      </c>
      <c r="AN7" s="12">
        <f>IF(SUM(AL7:AM7)&gt;0,SUM(AL7:AM7),"")</f>
        <v>93.6</v>
      </c>
      <c r="AO7" s="12">
        <f>IF(AG7&gt;0,AG7,"")</f>
        <v>9.6</v>
      </c>
      <c r="AP7" s="12">
        <f>IF(SUM(AE7:AH7)-AI7&gt;0,SUM(AE7:AH7)-AI7,"")</f>
        <v>48.97</v>
      </c>
      <c r="AQ7" s="12">
        <f>IF(SUM(AN7,AP7)&gt;0,SUM(AN7,AP7),"")</f>
        <v>142.57</v>
      </c>
      <c r="AR7" s="69">
        <v>5.3</v>
      </c>
      <c r="AS7" s="69">
        <v>2.9</v>
      </c>
      <c r="AT7" s="69">
        <v>1.3</v>
      </c>
      <c r="AU7" s="69">
        <v>4.2450000000000001</v>
      </c>
      <c r="AV7" s="69">
        <v>0</v>
      </c>
      <c r="AW7" s="69">
        <v>9.1</v>
      </c>
      <c r="AX7" s="69">
        <v>5.4</v>
      </c>
      <c r="AY7" s="69">
        <v>5.4</v>
      </c>
      <c r="AZ7" s="69">
        <v>8.8350000000000009</v>
      </c>
      <c r="BA7" s="69">
        <v>0</v>
      </c>
      <c r="BB7" s="69"/>
      <c r="BC7" s="69"/>
      <c r="BD7" s="69"/>
      <c r="BE7" s="69"/>
      <c r="BF7" s="69"/>
      <c r="BG7" s="75"/>
      <c r="BH7" s="15">
        <f>IF(AY7&gt;0,AY7,"")</f>
        <v>5.4</v>
      </c>
      <c r="BI7" s="15">
        <f>IF(SUM(AR7:AU7)-AV7&gt;0,SUM(AR7:AU7)-AV7,"")</f>
        <v>13.745000000000001</v>
      </c>
      <c r="BJ7" s="15">
        <f>IF(SUM(AW7:AZ7)-BA7&gt;0,SUM(AW7:AZ7)-BA7,"")</f>
        <v>28.734999999999999</v>
      </c>
      <c r="BK7" s="15">
        <f>IF(SUM(BI7:BJ7)&gt;0,SUM(BI7:BJ7),"")</f>
        <v>42.480000000000004</v>
      </c>
      <c r="BL7" s="15" t="str">
        <f>IF(BD7&gt;0,BD7,"")</f>
        <v/>
      </c>
      <c r="BM7" s="15" t="str">
        <f>IF(SUM(BB7:BE7)-BF7&gt;0,SUM(BB7:BE7)-BF7,"")</f>
        <v/>
      </c>
      <c r="BN7" s="15">
        <f>IF(SUM(BK7,BM7)&gt;0,SUM(BK7,BM7),"")</f>
        <v>42.480000000000004</v>
      </c>
      <c r="BO7" s="24" t="str">
        <f>IF(MAX(CI7,DE7,EA7,EW7,FS7,GO7,HK7,IG7,JC7,JY7,KU7,LQ7)-IF(L7="",0,L7)&gt;0.001,MAX(CI7,DE7,EA7,EW7,FS7,GO7,HK7,IG7,JC7,JY7,KU7,LQ7)-IF(L7="",0,L7),"")</f>
        <v/>
      </c>
      <c r="BP7" s="24" t="str">
        <f>IF(MAX(CJ7,DF7,EB7,EX7,FT7,GP7,HL7,IH7,JD7,JZ7,KV7,LR7)-IF(N7="",0,N7)&gt;0.001,MAX(CJ7,DF7,EB7,EX7,FT7,GP7,HL7,IH7,JD7,JZ7,KV7,LR7)-IF(N7="",0,N7),"")</f>
        <v/>
      </c>
      <c r="BQ7" s="24" t="str">
        <f>IF(MAX(CK7,DG7,EC7,EY7,FU7,GQ7,HM7,II7,JE7,KA7,KW7,LS7)-IF(J7="",0,J7)&gt;0.001,MAX(CK7,DG7,EC7,EY7,FU7,GQ7,HM7,II7,JE7,KA7,KW7,LS7)-IF(J7="",0,J7),"")</f>
        <v/>
      </c>
      <c r="BR7" s="24" t="str">
        <f>IF(MAX(CM7,DI7,EE7,FA7,FW7,GS7,HO7,IK7,JG7,KC7,KY7,LU7)-IF(P7="",0,P7)&gt;0.001,MAX(CM7,DI7,EE7,FA7,FW7,GS7,HO7,IK7,JG7,KC7,KY7,LU7)-IF(P7="",0,P7),"")</f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63">
        <f t="shared" si="0"/>
        <v>10.65</v>
      </c>
      <c r="LX7" s="63">
        <f t="shared" si="1"/>
        <v>6.3</v>
      </c>
      <c r="LY7" s="63">
        <f t="shared" si="2"/>
        <v>2.5</v>
      </c>
      <c r="LZ7" s="63">
        <f t="shared" si="3"/>
        <v>9.5950000000000006</v>
      </c>
      <c r="MA7" s="63">
        <f t="shared" si="4"/>
        <v>0</v>
      </c>
      <c r="MB7" s="63">
        <f t="shared" si="5"/>
        <v>12</v>
      </c>
      <c r="MC7" s="63">
        <f t="shared" si="6"/>
        <v>7.3</v>
      </c>
      <c r="MD7" s="63">
        <f t="shared" si="7"/>
        <v>8.1999999999999993</v>
      </c>
      <c r="ME7" s="63">
        <f t="shared" si="8"/>
        <v>11.495000000000001</v>
      </c>
      <c r="MF7" s="63">
        <f t="shared" si="9"/>
        <v>0</v>
      </c>
      <c r="MG7" s="63">
        <f t="shared" si="10"/>
        <v>7.85</v>
      </c>
      <c r="MH7" s="63">
        <f t="shared" si="11"/>
        <v>4.6500000000000004</v>
      </c>
      <c r="MI7" s="63">
        <f t="shared" si="12"/>
        <v>4.8</v>
      </c>
      <c r="MJ7" s="63">
        <f t="shared" si="13"/>
        <v>7.1849999999999996</v>
      </c>
      <c r="MK7" s="63">
        <f t="shared" si="14"/>
        <v>0</v>
      </c>
      <c r="ML7" s="74" t="s">
        <v>81</v>
      </c>
      <c r="MM7" s="12">
        <f t="shared" si="15"/>
        <v>8.1999999999999993</v>
      </c>
      <c r="MN7" s="12">
        <f t="shared" si="16"/>
        <v>29.045000000000002</v>
      </c>
      <c r="MO7" s="12">
        <f t="shared" si="17"/>
        <v>38.995000000000005</v>
      </c>
      <c r="MP7" s="12">
        <f t="shared" si="18"/>
        <v>68.040000000000006</v>
      </c>
      <c r="MQ7" s="12">
        <f t="shared" si="19"/>
        <v>4.8</v>
      </c>
      <c r="MR7" s="12">
        <f t="shared" si="20"/>
        <v>24.484999999999999</v>
      </c>
      <c r="MS7" s="12">
        <f t="shared" si="21"/>
        <v>92.525000000000006</v>
      </c>
    </row>
    <row r="8" spans="1:357" x14ac:dyDescent="0.2">
      <c r="A8" s="6">
        <f>IF(AND(F8="P",H8="P"),SUMPRODUCT((F$4:F$10="P")*(H$4:H$10="P")*(E$4:E$10&gt;E8))+1,IF(H8="P",SUMPRODUCT((F$4:F$10="")*(H$4:H$10="P")*(E$4:E$10&gt;E8))+1+SUMPRODUCT((F$4:F$10="P")*(H$4:H$10="P")),""))</f>
        <v>4</v>
      </c>
      <c r="B8" s="9" t="s">
        <v>85</v>
      </c>
      <c r="C8" s="5" t="s">
        <v>6</v>
      </c>
      <c r="D8" s="27">
        <v>2002</v>
      </c>
      <c r="E8" s="16">
        <f>SUM(J8:R8)</f>
        <v>142.48500000000001</v>
      </c>
      <c r="F8" s="4" t="str">
        <f>IF(OR(AND($AK8&gt;=$AL$12,NOT($AK8=""),$AJ8=""),AND($BH8&gt;=$BI$12,NOT($BH8=""),$BG8=""),AND($CH8&gt;=$CI$12,NOT($CH8="")),AND($DD8&gt;=$DE$12,NOT($DD8="")),AND($DZ8&gt;=$EA$12,NOT($DZ8="")),AND($EV8&gt;=$EW$12,NOT($EV8="")),AND($FR8&gt;=$FS$12,NOT($FR8="")),AND($GN8&gt;=$GO$12,NOT($GN8="")),AND($HJ8&gt;=$HK$12,NOT($HJ8="")),AND($IF8&gt;=$IG$12,NOT($IF8="")),AND($JB8&gt;=$JC$12,NOT($JB8="")),AND($JX8&gt;=$JY$12,NOT($JX8="")),AND($KT8&gt;=$KU$12,NOT($KT8="")),AND($LP8&gt;=$LQ$12,NOT($LP8="")),AND($AO8&gt;=$AL$12,NOT($AO8=""),$AJ8=""),AND($BL8&gt;=$BI$12,NOT($BL8=""),$BG8=""),AND($CL8&gt;=$CI$12,NOT($CL8="")),AND($DH8&gt;=$DE$12,NOT($DH8="")),AND($ED8&gt;=$EA$12,NOT($ED8="")),AND($EZ8&gt;=$EW$12,NOT($EZ8="")),AND($FV8&gt;=$FS$12,NOT($FV8="")),AND($GR8&gt;=$GO$12,NOT($GR8="")),AND($HN8&gt;=$HK$12,NOT($HN8="")),AND($IJ8&gt;=$IG$12,NOT($IJ8="")),AND($JF8&gt;=$JC$12,NOT($JF8="")),AND($KB8&gt;=$JY$12,NOT($KB8="")),AND($KX8&gt;=$KU$12,NOT($KX8="")),AND($LT8&gt;=$LQ$12,NOT($LT8=""))),"P","")</f>
        <v/>
      </c>
      <c r="G8" s="4" t="str">
        <f>IF(OR(AND($AK8&gt;=$AL$13,NOT($AK8=""),$AJ8=""),AND($BH8&gt;=$BI$13,NOT($BH8=""),$BG8=""),AND($CH8&gt;=$CI$13,NOT($CH8="")),AND($DD8&gt;=$DE$13,NOT($DD8="")),AND($DZ8&gt;=$EA$13,NOT($DZ8="")),AND($EV8&gt;=$EW$13,NOT($EV8="")),AND($FR8&gt;=$FS$13,NOT($FR8="")),AND($GN8&gt;=$GO$13,NOT($GN8="")),AND($HJ8&gt;=$HK$13,NOT($HJ8="")),AND($IF8&gt;=$IG$13,NOT($IF8="")),AND($JB8&gt;=$JC$13,NOT($JB8="")),AND($JX8&gt;=$JY$13,NOT($JX8="")),AND($KT8&gt;=$KU$13,NOT($KT8="")),AND($LP8&gt;=$LQ$13,NOT($LP8="")),AND($AO8&gt;=$AL$13,NOT($AO8=""),$AJ8=""),AND($BL8&gt;=$BI$13,NOT($BL8=""),$BG8=""),AND($CL8&gt;=$CI$13,NOT($CL8="")),AND($DH8&gt;=$DE$13,NOT($DH8="")),AND($ED8&gt;=$EA$13,NOT($ED8="")),AND($EZ8&gt;=$EW$13,NOT($EZ8="")),AND($FV8&gt;=$FS$13,NOT($FV8="")),AND($GR8&gt;=$GO$13,NOT($GR8="")),AND($HN8&gt;=$HK$13,NOT($HN8="")),AND($IJ8&gt;=$IG$13,NOT($IJ8="")),AND($JF8&gt;=$JC$13,NOT($JF8="")),AND($KB8&gt;=$JY$13,NOT($KB8="")),AND($KX8&gt;=$KU$13,NOT($KX8="")),AND($LT8&gt;=$LQ$13,NOT($LT8=""))),"P","")</f>
        <v/>
      </c>
      <c r="H8" s="4" t="str">
        <f>IF(OR(AND($AN8&gt;=$AL$14,NOT($AN8=""),$AJ8=""),AND($BK8&gt;=$BI$14,NOT($BK8=""),$BG8=""),AND($CK8&gt;=$CI$14,NOT($CK8="")),AND($DG8&gt;=$DE$14,NOT($DG8="")),AND($EC8&gt;=$EA$14,NOT($EC8="")),AND($EY8&gt;=$EW$14,NOT($EY8="")),AND($FU8&gt;=$FS$14,NOT($FU8="")),AND($GQ8&gt;=$GO$14,NOT($GQ8="")),AND($HM8&gt;=$HK$14,NOT($HM8="")),AND($II8&gt;=$IG$14,NOT($II8="")),AND($JE8&gt;=$JC$14,NOT($JE8="")),AND($KA8&gt;=$JY$14,NOT($KA8="")),AND($KW8&gt;=$KU$14,NOT($KW8="")),AND($LS8&gt;=$LQ$14,NOT($LS8=""))),"P","")</f>
        <v>P</v>
      </c>
      <c r="I8" t="str">
        <f>IF(AND(H8="P",F8=""),"No DD",IF(AND(G8="P",OR(AND($AM8&gt;$AL$17,NOT($AM8=""),$AJ8=""),AND($AP8&gt;$AL$17,NOT($AP8=""),$AJ8=""),AND($BJ8&gt;$BI$17,NOT($BJ8=""),$BG8=""),AND($BM8&gt;$BI$17,NOT($BM8=""),$BG8=""),AND($CJ8&gt;$CI$17,NOT($CJ8="")),AND($CM8&gt;$CI$17,NOT($CM8="")),AND($DF8&gt;$DE$17,NOT($DF8="")),AND($DI8&gt;$DE$17,NOT($DI8="")),AND($EB8&gt;$EA$17,NOT($EB8="")),AND($EE8&gt;$EA$17,NOT($EE8="")),AND($EX8&gt;$EW$17,NOT($EX8="")),AND($FA8&gt;$EW$17,NOT($FA8="")),AND($FT8&gt;$FS$17,NOT($FT8="")),AND($FW8&gt;$FS$17,NOT($FW8="")),AND($GP8&gt;$GO$17,NOT($GP8="")),AND($GS8&gt;$GO$17,NOT($GS8="")),AND($HL8&gt;$HK$17,NOT($HL8="")),AND($HO8&gt;$HK$17,NOT($HO8="")),AND($IH8&gt;$IG$17,NOT($IH8="")),AND($IK8&gt;$IG$17,NOT($IK8="")),AND($JD8&gt;$JC$17,NOT($JD8="")),AND($JG8&gt;$JC$17,NOT($JG8="")),AND($JZ8&gt;$JY$17,NOT($JZ8="")),AND($KC8&gt;$JY$17,NOT($KC8="")),AND($KV8&gt;$KU$17,NOT($KV8="")),AND($KY8&gt;$KU$17,NOT($KY8="")),AND($LR8&gt;$LQ$17,NOT($LR8="")),AND($LU8&gt;$LQ$17,NOT($LU8="")))),"Merit",IF(AND(G8="P",OR(AND($AN8&gt;$AL$16,NOT($AN8=""),$AJ8=""),AND($BK8&gt;$BI$16,NOT($BK8=""),$BG8=""),AND($CK8&gt;$CI$16,NOT($CK8="")),AND($DG8&gt;$DE$16,NOT($DG8="")),AND($EC8&gt;$EA$16,NOT($EC8="")),AND($EY8&gt;$EW$16,NOT($EY8="")),AND($FU8&gt;$FS$16,NOT($FU8="")),AND($GQ8&gt;$GO$16,NOT($GQ8="")),AND($HM8&gt;$HK$16,NOT($HM8="")),AND($II8&gt;$IG$16,NOT($II8="")),AND($JE8&gt;$JC$16,NOT($JE8="")),AND($KA8&gt;$JY$16,NOT($KA8="")),AND($KW8&gt;$KU$16,NOT($KW8="")),AND($LS8&gt;$LQ$16,NOT($LS8="")))),"Excellence",IF(AND(G8="P",OR(AND($AN8&gt;$AL$15,NOT($AN8=""),$AJ8=""),AND($BK8&gt;$BI$15,NOT($BK8=""),$BG8=""),AND($CK8&gt;$CI$15,NOT($CK8="")),AND($DG8&gt;$DE$15,NOT($DG8="")),AND($EC8&gt;$EA$15,NOT($EC8="")),AND($EY8&gt;$EW$15,NOT($EY8="")),AND($FU8&gt;$FS$15,NOT($FU8="")),AND($GQ8&gt;$GO$15,NOT($GQ8="")),AND($HM8&gt;$HK$15,NOT($HM8="")),AND($II8&gt;$IG$15,NOT($II8="")),AND($JE8&gt;$JC$15,NOT($JE8="")),AND($KA8&gt;$JY$15,NOT($KA8="")),AND($KW8&gt;$KU$15,NOT($KW8="")),AND($LS8&gt;$LQ$15,NOT($LS8="")))),"Worlds Team",IF(AND(F8="P",OR(AND($AN8&gt;$AL$14,NOT($AN8=""),$AJ8=""),AND($BK8&gt;$BI$14,NOT($BK8=""),$BG8=""),AND($CK8&gt;$CI$14,NOT($CK8="")),AND($DG8&gt;$DE$14,NOT($DG8="")),AND($EC8&gt;$EA$14,NOT($EC8="")),AND($EY8&gt;$EW$14,NOT($EY8="")),AND($FU8&gt;$FS$14,NOT($FU8="")),AND($GQ8&gt;$GO$14,NOT($GQ8="")),AND($HM8&gt;$HK$14,NOT($HM8="")),AND($II8&gt;$IG$14,NOT($II8="")),AND($JE8&gt;$JC$14,NOT($JE8="")),AND($KA8&gt;$JY$14,NOT($KA8="")),AND($KW8&gt;$KU$14,NOT($KW8="")),AND($LS8&gt;$LQ$14,NOT($LS8="")))),"National Team","")))))</f>
        <v>No DD</v>
      </c>
      <c r="J8" s="15">
        <f>IF(MAX(AN8,BK8)&gt;0,MAX(AN8,BK8),"")</f>
        <v>93.365000000000009</v>
      </c>
      <c r="K8" s="15" t="str">
        <f>IF(J8="","",IF(J8=BK8,$AR$1,IF(J8=AN8,$U$1,"")))</f>
        <v>2019 Elite Canada</v>
      </c>
      <c r="L8" s="15" t="str">
        <f>IF($J8=$AN8,BI8,IF($J8=$BK8,AL8,MAX(AL8,BI8)))</f>
        <v/>
      </c>
      <c r="M8" s="15" t="str">
        <f>IF(L8="","",IF(L8=BI8,$AR$1,IF(L8=AL8,$U$1,"")))</f>
        <v/>
      </c>
      <c r="N8" s="15" t="str">
        <f>IF($J8=$AN8,BJ8,IF($J8=$BK8,AM8,MAX(AM8,BJ8)))</f>
        <v/>
      </c>
      <c r="O8" s="15" t="str">
        <f>IF(N8="","",IF(AND(N8=BJ8,$K8&lt;&gt;$AR$1),$AR$1,IF(AND(N8=AM8,$K8&lt;&gt;$U$1),$U$1,"")))</f>
        <v/>
      </c>
      <c r="P8" s="15">
        <f>IF(MAX(AP8,BM8)&gt;0,MAX(AP8,BM8),"")</f>
        <v>49.120000000000005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5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36">
        <v>17</v>
      </c>
      <c r="V8" s="36">
        <v>9.4499999999999993</v>
      </c>
      <c r="W8" s="36">
        <v>3.8</v>
      </c>
      <c r="X8" s="36">
        <v>14.29</v>
      </c>
      <c r="Y8" s="36">
        <v>0</v>
      </c>
      <c r="Z8" s="36">
        <v>15</v>
      </c>
      <c r="AA8" s="36">
        <v>9.35</v>
      </c>
      <c r="AB8" s="36">
        <v>10.5</v>
      </c>
      <c r="AC8" s="36">
        <v>13.975</v>
      </c>
      <c r="AD8" s="36">
        <v>0</v>
      </c>
      <c r="AE8" s="36">
        <v>15.4</v>
      </c>
      <c r="AF8" s="36">
        <v>9.3000000000000007</v>
      </c>
      <c r="AG8" s="36">
        <v>10.5</v>
      </c>
      <c r="AH8" s="36">
        <v>13.92</v>
      </c>
      <c r="AI8" s="36">
        <v>0</v>
      </c>
      <c r="AJ8" s="74"/>
      <c r="AK8" s="12">
        <f>IF(AB8&gt;0,AB8,"")</f>
        <v>10.5</v>
      </c>
      <c r="AL8" s="12">
        <f>IF(SUM(U8:X8)-Y8&gt;0,SUM(U8:X8)-Y8,"")</f>
        <v>44.54</v>
      </c>
      <c r="AM8" s="12">
        <f>IF(SUM(Z8:AC8)-AD8&gt;0,SUM(Z8:AC8)-AD8,"")</f>
        <v>48.825000000000003</v>
      </c>
      <c r="AN8" s="12">
        <f>IF(SUM(AL8:AM8)&gt;0,SUM(AL8:AM8),"")</f>
        <v>93.365000000000009</v>
      </c>
      <c r="AO8" s="12">
        <f>IF(AG8&gt;0,AG8,"")</f>
        <v>10.5</v>
      </c>
      <c r="AP8" s="12">
        <f>IF(SUM(AE8:AH8)-AI8&gt;0,SUM(AE8:AH8)-AI8,"")</f>
        <v>49.120000000000005</v>
      </c>
      <c r="AQ8" s="12">
        <f>IF(SUM(AN8,AP8)&gt;0,SUM(AN8,AP8),"")</f>
        <v>142.48500000000001</v>
      </c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75"/>
      <c r="BH8" s="15" t="str">
        <f>IF(AY8&gt;0,AY8,"")</f>
        <v/>
      </c>
      <c r="BI8" s="15" t="str">
        <f>IF(SUM(AR8:AU8)-AV8&gt;0,SUM(AR8:AU8)-AV8,"")</f>
        <v/>
      </c>
      <c r="BJ8" s="15" t="str">
        <f>IF(SUM(AW8:AZ8)-BA8&gt;0,SUM(AW8:AZ8)-BA8,"")</f>
        <v/>
      </c>
      <c r="BK8" s="15" t="str">
        <f>IF(SUM(BI8:BJ8)&gt;0,SUM(BI8:BJ8),"")</f>
        <v/>
      </c>
      <c r="BL8" s="15" t="str">
        <f>IF(BD8&gt;0,BD8,"")</f>
        <v/>
      </c>
      <c r="BM8" s="15" t="str">
        <f>IF(SUM(BB8:BE8)-BF8&gt;0,SUM(BB8:BE8)-BF8,"")</f>
        <v/>
      </c>
      <c r="BN8" s="15" t="str">
        <f>IF(SUM(BK8,BM8)&gt;0,SUM(BK8,BM8),"")</f>
        <v/>
      </c>
      <c r="BO8" s="24" t="str">
        <f>IF(MAX(CI8,DE8,EA8,EW8,FS8,GO8,HK8,IG8,JC8,JY8,KU8,LQ8)-IF(L8="",0,L8)&gt;0.001,MAX(CI8,DE8,EA8,EW8,FS8,GO8,HK8,IG8,JC8,JY8,KU8,LQ8)-IF(L8="",0,L8),"")</f>
        <v/>
      </c>
      <c r="BP8" s="24" t="str">
        <f>IF(MAX(CJ8,DF8,EB8,EX8,FT8,GP8,HL8,IH8,JD8,JZ8,KV8,LR8)-IF(N8="",0,N8)&gt;0.001,MAX(CJ8,DF8,EB8,EX8,FT8,GP8,HL8,IH8,JD8,JZ8,KV8,LR8)-IF(N8="",0,N8),"")</f>
        <v/>
      </c>
      <c r="BQ8" s="24" t="str">
        <f>IF(MAX(CK8,DG8,EC8,EY8,FU8,GQ8,HM8,II8,JE8,KA8,KW8,LS8)-IF(J8="",0,J8)&gt;0.001,MAX(CK8,DG8,EC8,EY8,FU8,GQ8,HM8,II8,JE8,KA8,KW8,LS8)-IF(J8="",0,J8),"")</f>
        <v/>
      </c>
      <c r="BR8" s="24" t="str">
        <f>IF(MAX(CM8,DI8,EE8,FA8,FW8,GS8,HO8,IK8,JG8,KC8,KY8,LU8)-IF(P8="",0,P8)&gt;0.001,MAX(CM8,DI8,EE8,FA8,FW8,GS8,HO8,IK8,JG8,KC8,KY8,LU8)-IF(P8="",0,P8),"")</f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63">
        <f t="shared" si="0"/>
        <v>8.5</v>
      </c>
      <c r="LX8" s="63">
        <f t="shared" si="1"/>
        <v>4.7249999999999996</v>
      </c>
      <c r="LY8" s="63">
        <f t="shared" si="2"/>
        <v>1.9</v>
      </c>
      <c r="LZ8" s="63">
        <f t="shared" si="3"/>
        <v>7.1449999999999996</v>
      </c>
      <c r="MA8" s="63">
        <f t="shared" si="4"/>
        <v>0</v>
      </c>
      <c r="MB8" s="63">
        <f t="shared" si="5"/>
        <v>7.5</v>
      </c>
      <c r="MC8" s="63">
        <f t="shared" si="6"/>
        <v>4.6749999999999998</v>
      </c>
      <c r="MD8" s="63">
        <f t="shared" si="7"/>
        <v>5.25</v>
      </c>
      <c r="ME8" s="63">
        <f t="shared" si="8"/>
        <v>6.9874999999999998</v>
      </c>
      <c r="MF8" s="63">
        <f t="shared" si="9"/>
        <v>0</v>
      </c>
      <c r="MG8" s="63">
        <f t="shared" si="10"/>
        <v>7.7</v>
      </c>
      <c r="MH8" s="63">
        <f t="shared" si="11"/>
        <v>4.6500000000000004</v>
      </c>
      <c r="MI8" s="63">
        <f t="shared" si="12"/>
        <v>5.25</v>
      </c>
      <c r="MJ8" s="63">
        <f t="shared" si="13"/>
        <v>6.96</v>
      </c>
      <c r="MK8" s="63">
        <f t="shared" si="14"/>
        <v>0</v>
      </c>
      <c r="ML8" s="74" t="s">
        <v>81</v>
      </c>
      <c r="MM8" s="12">
        <f t="shared" si="15"/>
        <v>5.25</v>
      </c>
      <c r="MN8" s="12">
        <f t="shared" si="16"/>
        <v>22.27</v>
      </c>
      <c r="MO8" s="12">
        <f t="shared" si="17"/>
        <v>24.412500000000001</v>
      </c>
      <c r="MP8" s="12">
        <f t="shared" si="18"/>
        <v>46.682500000000005</v>
      </c>
      <c r="MQ8" s="12">
        <f t="shared" si="19"/>
        <v>5.25</v>
      </c>
      <c r="MR8" s="12">
        <f t="shared" si="20"/>
        <v>24.560000000000002</v>
      </c>
      <c r="MS8" s="12">
        <f t="shared" si="21"/>
        <v>71.242500000000007</v>
      </c>
    </row>
    <row r="9" spans="1:357" x14ac:dyDescent="0.2">
      <c r="A9" s="6" t="str">
        <f>IF(AND(F9="P",H9="P"),SUMPRODUCT((F$4:F$10="P")*(H$4:H$10="P")*(E$4:E$10&gt;E9))+1,IF(H9="P",SUMPRODUCT((F$4:F$10="")*(H$4:H$10="P")*(E$4:E$10&gt;E9))+1+SUMPRODUCT((F$4:F$10="P")*(H$4:H$10="P")),""))</f>
        <v/>
      </c>
      <c r="B9" s="9" t="s">
        <v>75</v>
      </c>
      <c r="C9" s="5" t="s">
        <v>6</v>
      </c>
      <c r="D9" s="27">
        <v>2002</v>
      </c>
      <c r="E9" s="16">
        <f>SUM(J9:R9)</f>
        <v>135</v>
      </c>
      <c r="F9" s="4" t="str">
        <f>IF(OR(AND($AK9&gt;=$AL$12,NOT($AK9=""),$AJ9=""),AND($BH9&gt;=$BI$12,NOT($BH9=""),$BG9=""),AND($CH9&gt;=$CI$12,NOT($CH9="")),AND($DD9&gt;=$DE$12,NOT($DD9="")),AND($DZ9&gt;=$EA$12,NOT($DZ9="")),AND($EV9&gt;=$EW$12,NOT($EV9="")),AND($FR9&gt;=$FS$12,NOT($FR9="")),AND($GN9&gt;=$GO$12,NOT($GN9="")),AND($HJ9&gt;=$HK$12,NOT($HJ9="")),AND($IF9&gt;=$IG$12,NOT($IF9="")),AND($JB9&gt;=$JC$12,NOT($JB9="")),AND($JX9&gt;=$JY$12,NOT($JX9="")),AND($KT9&gt;=$KU$12,NOT($KT9="")),AND($LP9&gt;=$LQ$12,NOT($LP9="")),AND($AO9&gt;=$AL$12,NOT($AO9=""),$AJ9=""),AND($BL9&gt;=$BI$12,NOT($BL9=""),$BG9=""),AND($CL9&gt;=$CI$12,NOT($CL9="")),AND($DH9&gt;=$DE$12,NOT($DH9="")),AND($ED9&gt;=$EA$12,NOT($ED9="")),AND($EZ9&gt;=$EW$12,NOT($EZ9="")),AND($FV9&gt;=$FS$12,NOT($FV9="")),AND($GR9&gt;=$GO$12,NOT($GR9="")),AND($HN9&gt;=$HK$12,NOT($HN9="")),AND($IJ9&gt;=$IG$12,NOT($IJ9="")),AND($JF9&gt;=$JC$12,NOT($JF9="")),AND($KB9&gt;=$JY$12,NOT($KB9="")),AND($KX9&gt;=$KU$12,NOT($KX9="")),AND($LT9&gt;=$LQ$12,NOT($LT9=""))),"P","")</f>
        <v/>
      </c>
      <c r="G9" s="4" t="str">
        <f>IF(OR(AND($AK9&gt;=$AL$13,NOT($AK9=""),$AJ9=""),AND($BH9&gt;=$BI$13,NOT($BH9=""),$BG9=""),AND($CH9&gt;=$CI$13,NOT($CH9="")),AND($DD9&gt;=$DE$13,NOT($DD9="")),AND($DZ9&gt;=$EA$13,NOT($DZ9="")),AND($EV9&gt;=$EW$13,NOT($EV9="")),AND($FR9&gt;=$FS$13,NOT($FR9="")),AND($GN9&gt;=$GO$13,NOT($GN9="")),AND($HJ9&gt;=$HK$13,NOT($HJ9="")),AND($IF9&gt;=$IG$13,NOT($IF9="")),AND($JB9&gt;=$JC$13,NOT($JB9="")),AND($JX9&gt;=$JY$13,NOT($JX9="")),AND($KT9&gt;=$KU$13,NOT($KT9="")),AND($LP9&gt;=$LQ$13,NOT($LP9="")),AND($AO9&gt;=$AL$13,NOT($AO9=""),$AJ9=""),AND($BL9&gt;=$BI$13,NOT($BL9=""),$BG9=""),AND($CL9&gt;=$CI$13,NOT($CL9="")),AND($DH9&gt;=$DE$13,NOT($DH9="")),AND($ED9&gt;=$EA$13,NOT($ED9="")),AND($EZ9&gt;=$EW$13,NOT($EZ9="")),AND($FV9&gt;=$FS$13,NOT($FV9="")),AND($GR9&gt;=$GO$13,NOT($GR9="")),AND($HN9&gt;=$HK$13,NOT($HN9="")),AND($IJ9&gt;=$IG$13,NOT($IJ9="")),AND($JF9&gt;=$JC$13,NOT($JF9="")),AND($KB9&gt;=$JY$13,NOT($KB9="")),AND($KX9&gt;=$KU$13,NOT($KX9="")),AND($LT9&gt;=$LQ$13,NOT($LT9=""))),"P","")</f>
        <v/>
      </c>
      <c r="H9" s="4" t="str">
        <f>IF(OR(AND($AN9&gt;=$AL$14,NOT($AN9=""),$AJ9=""),AND($BK9&gt;=$BI$14,NOT($BK9=""),$BG9=""),AND($CK9&gt;=$CI$14,NOT($CK9="")),AND($DG9&gt;=$DE$14,NOT($DG9="")),AND($EC9&gt;=$EA$14,NOT($EC9="")),AND($EY9&gt;=$EW$14,NOT($EY9="")),AND($FU9&gt;=$FS$14,NOT($FU9="")),AND($GQ9&gt;=$GO$14,NOT($GQ9="")),AND($HM9&gt;=$HK$14,NOT($HM9="")),AND($II9&gt;=$IG$14,NOT($II9="")),AND($JE9&gt;=$JC$14,NOT($JE9="")),AND($KA9&gt;=$JY$14,NOT($KA9="")),AND($KW9&gt;=$KU$14,NOT($KW9="")),AND($LS9&gt;=$LQ$14,NOT($LS9=""))),"P","")</f>
        <v/>
      </c>
      <c r="I9" t="str">
        <f>IF(AND(H9="P",F9=""),"No DD",IF(AND(G9="P",OR(AND($AM9&gt;$AL$17,NOT($AM9=""),$AJ9=""),AND($AP9&gt;$AL$17,NOT($AP9=""),$AJ9=""),AND($BJ9&gt;$BI$17,NOT($BJ9=""),$BG9=""),AND($BM9&gt;$BI$17,NOT($BM9=""),$BG9=""),AND($CJ9&gt;$CI$17,NOT($CJ9="")),AND($CM9&gt;$CI$17,NOT($CM9="")),AND($DF9&gt;$DE$17,NOT($DF9="")),AND($DI9&gt;$DE$17,NOT($DI9="")),AND($EB9&gt;$EA$17,NOT($EB9="")),AND($EE9&gt;$EA$17,NOT($EE9="")),AND($EX9&gt;$EW$17,NOT($EX9="")),AND($FA9&gt;$EW$17,NOT($FA9="")),AND($FT9&gt;$FS$17,NOT($FT9="")),AND($FW9&gt;$FS$17,NOT($FW9="")),AND($GP9&gt;$GO$17,NOT($GP9="")),AND($GS9&gt;$GO$17,NOT($GS9="")),AND($HL9&gt;$HK$17,NOT($HL9="")),AND($HO9&gt;$HK$17,NOT($HO9="")),AND($IH9&gt;$IG$17,NOT($IH9="")),AND($IK9&gt;$IG$17,NOT($IK9="")),AND($JD9&gt;$JC$17,NOT($JD9="")),AND($JG9&gt;$JC$17,NOT($JG9="")),AND($JZ9&gt;$JY$17,NOT($JZ9="")),AND($KC9&gt;$JY$17,NOT($KC9="")),AND($KV9&gt;$KU$17,NOT($KV9="")),AND($KY9&gt;$KU$17,NOT($KY9="")),AND($LR9&gt;$LQ$17,NOT($LR9="")),AND($LU9&gt;$LQ$17,NOT($LU9="")))),"Merit",IF(AND(G9="P",OR(AND($AN9&gt;$AL$16,NOT($AN9=""),$AJ9=""),AND($BK9&gt;$BI$16,NOT($BK9=""),$BG9=""),AND($CK9&gt;$CI$16,NOT($CK9="")),AND($DG9&gt;$DE$16,NOT($DG9="")),AND($EC9&gt;$EA$16,NOT($EC9="")),AND($EY9&gt;$EW$16,NOT($EY9="")),AND($FU9&gt;$FS$16,NOT($FU9="")),AND($GQ9&gt;$GO$16,NOT($GQ9="")),AND($HM9&gt;$HK$16,NOT($HM9="")),AND($II9&gt;$IG$16,NOT($II9="")),AND($JE9&gt;$JC$16,NOT($JE9="")),AND($KA9&gt;$JY$16,NOT($KA9="")),AND($KW9&gt;$KU$16,NOT($KW9="")),AND($LS9&gt;$LQ$16,NOT($LS9="")))),"Excellence",IF(AND(G9="P",OR(AND($AN9&gt;$AL$15,NOT($AN9=""),$AJ9=""),AND($BK9&gt;$BI$15,NOT($BK9=""),$BG9=""),AND($CK9&gt;$CI$15,NOT($CK9="")),AND($DG9&gt;$DE$15,NOT($DG9="")),AND($EC9&gt;$EA$15,NOT($EC9="")),AND($EY9&gt;$EW$15,NOT($EY9="")),AND($FU9&gt;$FS$15,NOT($FU9="")),AND($GQ9&gt;$GO$15,NOT($GQ9="")),AND($HM9&gt;$HK$15,NOT($HM9="")),AND($II9&gt;$IG$15,NOT($II9="")),AND($JE9&gt;$JC$15,NOT($JE9="")),AND($KA9&gt;$JY$15,NOT($KA9="")),AND($KW9&gt;$KU$15,NOT($KW9="")),AND($LS9&gt;$LQ$15,NOT($LS9="")))),"Worlds Team",IF(AND(F9="P",OR(AND($AN9&gt;$AL$14,NOT($AN9=""),$AJ9=""),AND($BK9&gt;$BI$14,NOT($BK9=""),$BG9=""),AND($CK9&gt;$CI$14,NOT($CK9="")),AND($DG9&gt;$DE$14,NOT($DG9="")),AND($EC9&gt;$EA$14,NOT($EC9="")),AND($EY9&gt;$EW$14,NOT($EY9="")),AND($FU9&gt;$FS$14,NOT($FU9="")),AND($GQ9&gt;$GO$14,NOT($GQ9="")),AND($HM9&gt;$HK$14,NOT($HM9="")),AND($II9&gt;$IG$14,NOT($II9="")),AND($JE9&gt;$JC$14,NOT($JE9="")),AND($KA9&gt;$JY$14,NOT($KA9="")),AND($KW9&gt;$KU$14,NOT($KW9="")),AND($LS9&gt;$LQ$14,NOT($LS9="")))),"National Team","")))))</f>
        <v/>
      </c>
      <c r="J9" s="15">
        <f>IF(MAX(AN9,BK9)&gt;0,MAX(AN9,BK9),"")</f>
        <v>86.82</v>
      </c>
      <c r="K9" s="15" t="str">
        <f>IF(J9="","",IF(J9=BK9,$AR$1,IF(J9=AN9,$U$1,"")))</f>
        <v>2019 Nationals</v>
      </c>
      <c r="L9" s="15" t="str">
        <f>IF($J9=$AN9,BI9,IF($J9=$BK9,AL9,MAX(AL9,BI9)))</f>
        <v/>
      </c>
      <c r="M9" s="15" t="str">
        <f>IF(L9="","",IF(L9=BI9,$AR$1,IF(L9=AL9,$U$1,"")))</f>
        <v/>
      </c>
      <c r="N9" s="15" t="str">
        <f>IF($J9=$AN9,BJ9,IF($J9=$BK9,AM9,MAX(AM9,BJ9)))</f>
        <v/>
      </c>
      <c r="O9" s="15" t="str">
        <f>IF(N9="","",IF(AND(N9=BJ9,$K9&lt;&gt;$AR$1),$AR$1,IF(AND(N9=AM9,$K9&lt;&gt;$U$1),$U$1,"")))</f>
        <v/>
      </c>
      <c r="P9" s="15">
        <f>IF(MAX(AP9,BM9)&gt;0,MAX(AP9,BM9),"")</f>
        <v>48.18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5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74"/>
      <c r="AK9" s="12" t="str">
        <f>IF(AB9&gt;0,AB9,"")</f>
        <v/>
      </c>
      <c r="AL9" s="12" t="str">
        <f>IF(SUM(U9:X9)-Y9&gt;0,SUM(U9:X9)-Y9,"")</f>
        <v/>
      </c>
      <c r="AM9" s="12" t="str">
        <f>IF(SUM(Z9:AC9)-AD9&gt;0,SUM(Z9:AC9)-AD9,"")</f>
        <v/>
      </c>
      <c r="AN9" s="12" t="str">
        <f>IF(SUM(AL9:AM9)&gt;0,SUM(AL9:AM9),"")</f>
        <v/>
      </c>
      <c r="AO9" s="12" t="str">
        <f>IF(AG9&gt;0,AG9,"")</f>
        <v/>
      </c>
      <c r="AP9" s="12" t="str">
        <f>IF(SUM(AE9:AH9)-AI9&gt;0,SUM(AE9:AH9)-AI9,"")</f>
        <v/>
      </c>
      <c r="AQ9" s="12" t="str">
        <f>IF(SUM(AN9,AP9)&gt;0,SUM(AN9,AP9),"")</f>
        <v/>
      </c>
      <c r="AR9" s="69">
        <v>17.5</v>
      </c>
      <c r="AS9" s="69">
        <v>9.6</v>
      </c>
      <c r="AT9" s="69">
        <v>3.9</v>
      </c>
      <c r="AU9" s="69">
        <v>14.51</v>
      </c>
      <c r="AV9" s="69">
        <v>0</v>
      </c>
      <c r="AW9" s="69">
        <v>12.1</v>
      </c>
      <c r="AX9" s="69">
        <v>8.1999999999999993</v>
      </c>
      <c r="AY9" s="69">
        <v>9.1</v>
      </c>
      <c r="AZ9" s="69">
        <v>11.91</v>
      </c>
      <c r="BA9" s="69">
        <v>0</v>
      </c>
      <c r="BB9" s="69">
        <v>14.9</v>
      </c>
      <c r="BC9" s="69">
        <v>9.1999999999999993</v>
      </c>
      <c r="BD9" s="69">
        <v>10.5</v>
      </c>
      <c r="BE9" s="69">
        <v>13.58</v>
      </c>
      <c r="BF9" s="69">
        <v>0</v>
      </c>
      <c r="BG9" s="75"/>
      <c r="BH9" s="15">
        <f>IF(AY9&gt;0,AY9,"")</f>
        <v>9.1</v>
      </c>
      <c r="BI9" s="15">
        <f>IF(SUM(AR9:AU9)-AV9&gt;0,SUM(AR9:AU9)-AV9,"")</f>
        <v>45.51</v>
      </c>
      <c r="BJ9" s="15">
        <f>IF(SUM(AW9:AZ9)-BA9&gt;0,SUM(AW9:AZ9)-BA9,"")</f>
        <v>41.31</v>
      </c>
      <c r="BK9" s="15">
        <f>IF(SUM(BI9:BJ9)&gt;0,SUM(BI9:BJ9),"")</f>
        <v>86.82</v>
      </c>
      <c r="BL9" s="15">
        <f>IF(BD9&gt;0,BD9,"")</f>
        <v>10.5</v>
      </c>
      <c r="BM9" s="15">
        <f>IF(SUM(BB9:BE9)-BF9&gt;0,SUM(BB9:BE9)-BF9,"")</f>
        <v>48.18</v>
      </c>
      <c r="BN9" s="15">
        <f>IF(SUM(BK9,BM9)&gt;0,SUM(BK9,BM9),"")</f>
        <v>135</v>
      </c>
      <c r="BO9" s="24" t="str">
        <f>IF(MAX(CI9,DE9,EA9,EW9,FS9,GO9,HK9,IG9,JC9,JY9,KU9,LQ9)-IF(L9="",0,L9)&gt;0.001,MAX(CI9,DE9,EA9,EW9,FS9,GO9,HK9,IG9,JC9,JY9,KU9,LQ9)-IF(L9="",0,L9),"")</f>
        <v/>
      </c>
      <c r="BP9" s="24" t="str">
        <f>IF(MAX(CJ9,DF9,EB9,EX9,FT9,GP9,HL9,IH9,JD9,JZ9,KV9,LR9)-IF(N9="",0,N9)&gt;0.001,MAX(CJ9,DF9,EB9,EX9,FT9,GP9,HL9,IH9,JD9,JZ9,KV9,LR9)-IF(N9="",0,N9),"")</f>
        <v/>
      </c>
      <c r="BQ9" s="24" t="str">
        <f>IF(MAX(CK9,DG9,EC9,EY9,FU9,GQ9,HM9,II9,JE9,KA9,KW9,LS9)-IF(J9="",0,J9)&gt;0.001,MAX(CK9,DG9,EC9,EY9,FU9,GQ9,HM9,II9,JE9,KA9,KW9,LS9)-IF(J9="",0,J9),"")</f>
        <v/>
      </c>
      <c r="BR9" s="24" t="str">
        <f>IF(MAX(CM9,DI9,EE9,FA9,FW9,GS9,HO9,IK9,JG9,KC9,KY9,LU9)-IF(P9="",0,P9)&gt;0.001,MAX(CM9,DI9,EE9,FA9,FW9,GS9,HO9,IK9,JG9,KC9,KY9,LU9)-IF(P9="",0,P9),"")</f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63">
        <f t="shared" si="0"/>
        <v>8.75</v>
      </c>
      <c r="LX9" s="63">
        <f t="shared" si="1"/>
        <v>4.8</v>
      </c>
      <c r="LY9" s="63">
        <f t="shared" si="2"/>
        <v>1.95</v>
      </c>
      <c r="LZ9" s="63">
        <f t="shared" si="3"/>
        <v>7.2549999999999999</v>
      </c>
      <c r="MA9" s="63">
        <f t="shared" si="4"/>
        <v>0</v>
      </c>
      <c r="MB9" s="63">
        <f t="shared" si="5"/>
        <v>6.05</v>
      </c>
      <c r="MC9" s="63">
        <f t="shared" si="6"/>
        <v>4.0999999999999996</v>
      </c>
      <c r="MD9" s="63">
        <f t="shared" si="7"/>
        <v>4.55</v>
      </c>
      <c r="ME9" s="63">
        <f t="shared" si="8"/>
        <v>5.9550000000000001</v>
      </c>
      <c r="MF9" s="63">
        <f t="shared" si="9"/>
        <v>0</v>
      </c>
      <c r="MG9" s="63">
        <f t="shared" si="10"/>
        <v>7.45</v>
      </c>
      <c r="MH9" s="63">
        <f t="shared" si="11"/>
        <v>4.5999999999999996</v>
      </c>
      <c r="MI9" s="63">
        <f t="shared" si="12"/>
        <v>5.25</v>
      </c>
      <c r="MJ9" s="63">
        <f t="shared" si="13"/>
        <v>6.79</v>
      </c>
      <c r="MK9" s="63">
        <f t="shared" si="14"/>
        <v>0</v>
      </c>
      <c r="ML9" s="74" t="s">
        <v>81</v>
      </c>
      <c r="MM9" s="12">
        <f t="shared" si="15"/>
        <v>4.55</v>
      </c>
      <c r="MN9" s="12">
        <f t="shared" si="16"/>
        <v>22.754999999999999</v>
      </c>
      <c r="MO9" s="12">
        <f t="shared" si="17"/>
        <v>20.655000000000001</v>
      </c>
      <c r="MP9" s="12">
        <f t="shared" si="18"/>
        <v>43.41</v>
      </c>
      <c r="MQ9" s="12">
        <f t="shared" si="19"/>
        <v>5.25</v>
      </c>
      <c r="MR9" s="12">
        <f t="shared" si="20"/>
        <v>24.09</v>
      </c>
      <c r="MS9" s="12">
        <f t="shared" si="21"/>
        <v>67.5</v>
      </c>
    </row>
    <row r="12" spans="1:357" x14ac:dyDescent="0.2">
      <c r="B12" s="64" t="s">
        <v>51</v>
      </c>
      <c r="AK12" s="50"/>
      <c r="AL12" s="58">
        <v>11.2</v>
      </c>
      <c r="BH12" s="50"/>
      <c r="BI12" s="58">
        <v>11.2</v>
      </c>
      <c r="CH12" s="50"/>
      <c r="CI12" s="58">
        <v>11.2</v>
      </c>
      <c r="DD12" s="50"/>
      <c r="DE12" s="58">
        <v>11.2</v>
      </c>
      <c r="DZ12" s="50"/>
      <c r="EA12" s="58">
        <v>11.2</v>
      </c>
      <c r="EV12" s="50"/>
      <c r="EW12" s="58">
        <v>11.2</v>
      </c>
      <c r="FR12" s="50"/>
      <c r="FS12" s="58">
        <v>11.2</v>
      </c>
      <c r="GN12" s="50"/>
      <c r="GO12" s="58">
        <v>11.2</v>
      </c>
      <c r="HJ12" s="50"/>
      <c r="HK12" s="58">
        <v>11.2</v>
      </c>
      <c r="IF12" s="50"/>
      <c r="IG12" s="58">
        <v>11.2</v>
      </c>
      <c r="JB12" s="50"/>
      <c r="JC12" s="58">
        <v>11.2</v>
      </c>
      <c r="JX12" s="50"/>
      <c r="JY12" s="58">
        <v>11.2</v>
      </c>
      <c r="KT12" s="50"/>
      <c r="KU12" s="58">
        <v>11.2</v>
      </c>
      <c r="LP12" s="50"/>
      <c r="LQ12" s="58">
        <v>11.2</v>
      </c>
    </row>
    <row r="13" spans="1:357" x14ac:dyDescent="0.2">
      <c r="A13" s="50"/>
      <c r="B13" s="91" t="s">
        <v>67</v>
      </c>
      <c r="C13" s="49"/>
      <c r="AK13" s="50"/>
      <c r="AL13" s="93">
        <v>11.2</v>
      </c>
      <c r="BH13" s="50"/>
      <c r="BI13" s="93">
        <v>11.2</v>
      </c>
      <c r="CH13" s="50"/>
      <c r="CI13" s="93">
        <v>11.2</v>
      </c>
      <c r="DD13" s="50"/>
      <c r="DE13" s="93">
        <v>11.2</v>
      </c>
      <c r="DZ13" s="50"/>
      <c r="EA13" s="93">
        <v>11.2</v>
      </c>
      <c r="EV13" s="50"/>
      <c r="EW13" s="93">
        <v>11.2</v>
      </c>
      <c r="FR13" s="50"/>
      <c r="FS13" s="93">
        <v>11.2</v>
      </c>
      <c r="GN13" s="50"/>
      <c r="GO13" s="93">
        <v>11.2</v>
      </c>
      <c r="HJ13" s="50"/>
      <c r="HK13" s="93">
        <v>11.2</v>
      </c>
      <c r="IF13" s="50"/>
      <c r="IG13" s="93">
        <v>11.2</v>
      </c>
      <c r="JB13" s="50"/>
      <c r="JC13" s="93">
        <v>11.2</v>
      </c>
      <c r="JX13" s="50"/>
      <c r="JY13" s="93">
        <v>11.2</v>
      </c>
      <c r="KT13" s="50"/>
      <c r="KU13" s="93">
        <v>11.2</v>
      </c>
      <c r="LP13" s="50"/>
      <c r="LQ13" s="93">
        <v>11.2</v>
      </c>
    </row>
    <row r="14" spans="1:357" x14ac:dyDescent="0.2">
      <c r="A14" s="50"/>
      <c r="B14" s="65" t="s">
        <v>48</v>
      </c>
      <c r="C14" s="49"/>
      <c r="AK14" s="50"/>
      <c r="AL14" s="59">
        <v>92.2</v>
      </c>
      <c r="BH14" s="50"/>
      <c r="BI14" s="59">
        <v>92.2</v>
      </c>
      <c r="CH14" s="50"/>
      <c r="CI14" s="59">
        <v>92.2</v>
      </c>
      <c r="DD14" s="50"/>
      <c r="DE14" s="59">
        <v>92.2</v>
      </c>
      <c r="DZ14" s="50"/>
      <c r="EA14" s="59">
        <v>92.2</v>
      </c>
      <c r="EV14" s="50"/>
      <c r="EW14" s="59">
        <v>92.2</v>
      </c>
      <c r="FR14" s="50"/>
      <c r="FS14" s="59">
        <v>92.2</v>
      </c>
      <c r="GN14" s="50"/>
      <c r="GO14" s="59">
        <v>92.2</v>
      </c>
      <c r="HJ14" s="50"/>
      <c r="HK14" s="59">
        <v>92.2</v>
      </c>
      <c r="IF14" s="50"/>
      <c r="IG14" s="59">
        <v>92.2</v>
      </c>
      <c r="JB14" s="50"/>
      <c r="JC14" s="59">
        <v>92.2</v>
      </c>
      <c r="JX14" s="50"/>
      <c r="JY14" s="59">
        <v>92.2</v>
      </c>
      <c r="KT14" s="50"/>
      <c r="KU14" s="59">
        <v>92.2</v>
      </c>
      <c r="LP14" s="50"/>
      <c r="LQ14" s="59">
        <v>92.2</v>
      </c>
    </row>
    <row r="15" spans="1:357" hidden="1" x14ac:dyDescent="0.2">
      <c r="A15" s="50"/>
      <c r="B15" s="66" t="s">
        <v>49</v>
      </c>
      <c r="C15" s="49"/>
      <c r="AK15" s="50"/>
      <c r="AL15" s="60">
        <v>95.1</v>
      </c>
      <c r="BH15" s="50"/>
      <c r="BI15" s="60">
        <v>95.1</v>
      </c>
      <c r="CH15" s="50"/>
      <c r="CI15" s="60">
        <v>95.1</v>
      </c>
      <c r="DD15" s="50"/>
      <c r="DE15" s="60">
        <v>95.1</v>
      </c>
      <c r="DZ15" s="50"/>
      <c r="EA15" s="60">
        <v>95.1</v>
      </c>
      <c r="EV15" s="50"/>
      <c r="EW15" s="60">
        <v>95.1</v>
      </c>
      <c r="FR15" s="50"/>
      <c r="FS15" s="60">
        <v>95.1</v>
      </c>
      <c r="GN15" s="50"/>
      <c r="GO15" s="60">
        <v>95.1</v>
      </c>
      <c r="HJ15" s="50"/>
      <c r="HK15" s="60">
        <v>95.1</v>
      </c>
      <c r="IF15" s="50"/>
      <c r="IG15" s="60">
        <v>95.1</v>
      </c>
      <c r="JB15" s="50"/>
      <c r="JC15" s="60">
        <v>95.1</v>
      </c>
      <c r="JX15" s="50"/>
      <c r="JY15" s="60">
        <v>95.1</v>
      </c>
      <c r="KT15" s="50"/>
      <c r="KU15" s="60">
        <v>95.1</v>
      </c>
      <c r="LP15" s="50"/>
      <c r="LQ15" s="60">
        <v>95.1</v>
      </c>
    </row>
    <row r="16" spans="1:357" x14ac:dyDescent="0.2">
      <c r="A16" s="50"/>
      <c r="B16" s="67" t="s">
        <v>62</v>
      </c>
      <c r="C16" s="49"/>
      <c r="AK16" s="50"/>
      <c r="AL16" s="61">
        <v>95.1</v>
      </c>
      <c r="BH16" s="50"/>
      <c r="BI16" s="61">
        <v>95.1</v>
      </c>
      <c r="CH16" s="50"/>
      <c r="CI16" s="61">
        <v>95.1</v>
      </c>
      <c r="DD16" s="50"/>
      <c r="DE16" s="61">
        <v>95.1</v>
      </c>
      <c r="DZ16" s="50"/>
      <c r="EA16" s="61">
        <v>95.1</v>
      </c>
      <c r="EV16" s="50"/>
      <c r="EW16" s="61">
        <v>95.1</v>
      </c>
      <c r="FR16" s="50"/>
      <c r="FS16" s="61">
        <v>95.1</v>
      </c>
      <c r="GN16" s="50"/>
      <c r="GO16" s="61">
        <v>95.1</v>
      </c>
      <c r="HJ16" s="50"/>
      <c r="HK16" s="61">
        <v>95.1</v>
      </c>
      <c r="IF16" s="50"/>
      <c r="IG16" s="61">
        <v>95.1</v>
      </c>
      <c r="JB16" s="50"/>
      <c r="JC16" s="61">
        <v>95.1</v>
      </c>
      <c r="JX16" s="50"/>
      <c r="JY16" s="61">
        <v>95.1</v>
      </c>
      <c r="KT16" s="50"/>
      <c r="KU16" s="61">
        <v>95.1</v>
      </c>
      <c r="LP16" s="50"/>
      <c r="LQ16" s="61">
        <v>95.1</v>
      </c>
    </row>
    <row r="17" spans="1:329" x14ac:dyDescent="0.2">
      <c r="A17" s="50"/>
      <c r="B17" s="68" t="s">
        <v>35</v>
      </c>
      <c r="C17" s="49"/>
      <c r="L17" s="2"/>
      <c r="AK17" s="50"/>
      <c r="AL17" s="62">
        <v>51.8</v>
      </c>
      <c r="BH17" s="50"/>
      <c r="BI17" s="62">
        <v>51.8</v>
      </c>
      <c r="CH17" s="50"/>
      <c r="CI17" s="62">
        <v>51.8</v>
      </c>
      <c r="DD17" s="50"/>
      <c r="DE17" s="62">
        <v>51.8</v>
      </c>
      <c r="DZ17" s="50"/>
      <c r="EA17" s="62">
        <v>51.8</v>
      </c>
      <c r="EV17" s="50"/>
      <c r="EW17" s="62">
        <v>51.8</v>
      </c>
      <c r="FR17" s="50"/>
      <c r="FS17" s="62">
        <v>51.8</v>
      </c>
      <c r="GN17" s="50"/>
      <c r="GO17" s="62">
        <v>51.8</v>
      </c>
      <c r="HJ17" s="50"/>
      <c r="HK17" s="62">
        <v>51.8</v>
      </c>
      <c r="IF17" s="50"/>
      <c r="IG17" s="62">
        <v>51.8</v>
      </c>
      <c r="JB17" s="50"/>
      <c r="JC17" s="62">
        <v>51.8</v>
      </c>
      <c r="JX17" s="50"/>
      <c r="JY17" s="62">
        <v>51.8</v>
      </c>
      <c r="KT17" s="50"/>
      <c r="KU17" s="62">
        <v>51.8</v>
      </c>
      <c r="LP17" s="50"/>
      <c r="LQ17" s="62">
        <v>51.8</v>
      </c>
    </row>
    <row r="18" spans="1:329" x14ac:dyDescent="0.2">
      <c r="A18" s="7"/>
      <c r="B18" s="76" t="s">
        <v>53</v>
      </c>
      <c r="C18" s="49"/>
      <c r="AK18" s="48"/>
      <c r="CI18" s="48"/>
      <c r="DE18" s="48"/>
      <c r="GO18" s="48"/>
    </row>
    <row r="19" spans="1:329" x14ac:dyDescent="0.2">
      <c r="A19" s="50"/>
      <c r="B19" s="50"/>
      <c r="C19" s="49"/>
    </row>
    <row r="20" spans="1:329" x14ac:dyDescent="0.2">
      <c r="A20" s="50"/>
      <c r="B20" s="50"/>
      <c r="C20" s="49"/>
    </row>
    <row r="21" spans="1:329" x14ac:dyDescent="0.2">
      <c r="A21" s="50"/>
      <c r="B21" s="50"/>
      <c r="C21" s="49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9">
      <sortCondition descending="1" ref="F1:F10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HV2:HZ2"/>
    <mergeCell ref="IM2:IQ2"/>
    <mergeCell ref="HE2:HI2"/>
    <mergeCell ref="GZ2:HD2"/>
    <mergeCell ref="LW1:MS1"/>
    <mergeCell ref="LW2:MA2"/>
    <mergeCell ref="MB2:MF2"/>
    <mergeCell ref="MG2:MK2"/>
    <mergeCell ref="H1:H3"/>
    <mergeCell ref="LA1:LV1"/>
    <mergeCell ref="FC1:FX1"/>
    <mergeCell ref="FY1:GT1"/>
    <mergeCell ref="JI1:KD1"/>
    <mergeCell ref="GU1:HP1"/>
    <mergeCell ref="HQ1:IL1"/>
    <mergeCell ref="IM1:JH1"/>
    <mergeCell ref="KE1:KZ1"/>
    <mergeCell ref="IR2:IV2"/>
    <mergeCell ref="IW2:JA2"/>
    <mergeCell ref="JI2:JM2"/>
    <mergeCell ref="GI2:GM2"/>
    <mergeCell ref="GU2:GY2"/>
    <mergeCell ref="IA2:IE2"/>
    <mergeCell ref="HQ2:HU2"/>
    <mergeCell ref="BO1:BR1"/>
    <mergeCell ref="FY2:GC2"/>
    <mergeCell ref="EG2:EK2"/>
    <mergeCell ref="EL2:EP2"/>
    <mergeCell ref="CT2:CX2"/>
    <mergeCell ref="CY2:DC2"/>
    <mergeCell ref="DK2:DO2"/>
    <mergeCell ref="DP2:DT2"/>
    <mergeCell ref="FH2:FL2"/>
    <mergeCell ref="FM2:FQ2"/>
    <mergeCell ref="CO1:DJ1"/>
    <mergeCell ref="DK1:EF1"/>
    <mergeCell ref="AR2:AV2"/>
    <mergeCell ref="AW2:BA2"/>
    <mergeCell ref="BB2:BF2"/>
    <mergeCell ref="AR1:BN1"/>
    <mergeCell ref="A1:A3"/>
    <mergeCell ref="B1:B3"/>
    <mergeCell ref="C1:C3"/>
    <mergeCell ref="E1:E3"/>
    <mergeCell ref="G1:G3"/>
    <mergeCell ref="F1:F3"/>
    <mergeCell ref="D1:D3"/>
    <mergeCell ref="Q1:Q3"/>
    <mergeCell ref="CO2:CS2"/>
    <mergeCell ref="DU2:DY2"/>
    <mergeCell ref="BS2:BW2"/>
    <mergeCell ref="BX2:CB2"/>
    <mergeCell ref="CC2:CG2"/>
    <mergeCell ref="BS1:CN1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</mergeCells>
  <conditionalFormatting sqref="A1:A1048576">
    <cfRule type="expression" dxfId="124" priority="90">
      <formula>AND(H1="P",F1="")</formula>
    </cfRule>
  </conditionalFormatting>
  <conditionalFormatting sqref="U4:AQ9">
    <cfRule type="expression" dxfId="123" priority="23">
      <formula>IF($AJ4&lt;&gt;"",1,0)</formula>
    </cfRule>
  </conditionalFormatting>
  <conditionalFormatting sqref="AR4:BN9">
    <cfRule type="expression" dxfId="122" priority="20">
      <formula>IF($BG4&lt;&gt;"",1,0)</formula>
    </cfRule>
  </conditionalFormatting>
  <conditionalFormatting sqref="I1:I1048576">
    <cfRule type="containsText" dxfId="121" priority="7" operator="containsText" text="No DD">
      <formula>NOT(ISERROR(SEARCH("No DD",I1)))</formula>
    </cfRule>
    <cfRule type="containsText" dxfId="120" priority="15" operator="containsText" text="Merit">
      <formula>NOT(ISERROR(SEARCH("Merit",I1)))</formula>
    </cfRule>
    <cfRule type="containsText" dxfId="119" priority="16" operator="containsText" text="Excellence">
      <formula>NOT(ISERROR(SEARCH("Excellence",I1)))</formula>
    </cfRule>
    <cfRule type="containsText" dxfId="118" priority="17" operator="containsText" text="Worlds Team">
      <formula>NOT(ISERROR(SEARCH("Worlds Team",I1)))</formula>
    </cfRule>
    <cfRule type="containsText" dxfId="117" priority="18" operator="containsText" text="National Team">
      <formula>NOT(ISERROR(SEARCH("National Team",I1)))</formula>
    </cfRule>
  </conditionalFormatting>
  <conditionalFormatting sqref="K1:K1048576 M1:M1048576 O1:O1048576 Q1:Q1048576">
    <cfRule type="expression" dxfId="116" priority="382">
      <formula>IF(K1=$AR$1,1,0)</formula>
    </cfRule>
    <cfRule type="expression" dxfId="115" priority="384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14" priority="24226" operator="between">
      <formula>CI$17</formula>
      <formula>1000</formula>
    </cfRule>
  </conditionalFormatting>
  <conditionalFormatting sqref="DI1:DI1048576 CM1:CM1048576 EE1:EE1048576 FW1:FW1048576 HO1:HO1048576 JG1:JG1048576 KY1:KY1048576 LU1:LU1048576 KC1:KC1048576 IK1:IK1048576 GS1:GS1048576 FA1:FA1048576">
    <cfRule type="cellIs" dxfId="113" priority="24262" operator="between">
      <formula>CI$17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2" priority="24298" operator="between">
      <formula>CI$16</formula>
      <formula>1000</formula>
    </cfRule>
    <cfRule type="cellIs" dxfId="111" priority="24299" operator="between">
      <formula>CI$15</formula>
      <formula>CI$16</formula>
    </cfRule>
    <cfRule type="cellIs" dxfId="110" priority="24300" operator="between">
      <formula>CI$14</formula>
      <formula>CI$15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09" priority="24406" operator="between">
      <formula>CI$13</formula>
      <formula>1000</formula>
    </cfRule>
    <cfRule type="cellIs" dxfId="108" priority="24407" operator="between">
      <formula>CI$12</formula>
      <formula>CI$13</formula>
    </cfRule>
  </conditionalFormatting>
  <conditionalFormatting sqref="AN1:AN1048576 BK1:BK1048576">
    <cfRule type="expression" dxfId="107" priority="24478">
      <formula>IF(AND(AN1&gt;=AL$16,AN1&lt;1000,AJ1=""),1,0)</formula>
    </cfRule>
    <cfRule type="expression" dxfId="106" priority="24479">
      <formula>IF(AND(AN1&gt;=AL$15,AN1&lt;AL$16,AJ1=""),1,0)</formula>
    </cfRule>
    <cfRule type="expression" dxfId="105" priority="24480">
      <formula>IF(AND(AN1&gt;=AL$14,AN1&lt;AL$15,AJ1=""),1,0)</formula>
    </cfRule>
  </conditionalFormatting>
  <conditionalFormatting sqref="AM1:AM1048576 BJ1:BJ1048576">
    <cfRule type="expression" dxfId="104" priority="24496">
      <formula>IF(AND(AM1&gt;=AL$17,AM1&lt;1000,AJ1=""),1,0)</formula>
    </cfRule>
  </conditionalFormatting>
  <conditionalFormatting sqref="BM1:BM1048576 AP1:AP1048576">
    <cfRule type="expression" dxfId="103" priority="24502">
      <formula>IF(AND(AP1&gt;=AL$17,AP1&lt;1000,AJ1=""),1,0)</formula>
    </cfRule>
  </conditionalFormatting>
  <conditionalFormatting sqref="AK1:AK1048576 BH1:BH1048576">
    <cfRule type="expression" dxfId="102" priority="24508">
      <formula>IF(AND(AK1&gt;=AL$13,AK1&lt;100,AJ1=""),1,0)</formula>
    </cfRule>
    <cfRule type="expression" dxfId="101" priority="24509">
      <formula>IF(AND(AK1&gt;=AL$12,AK1&lt;AL$13,AJ1=""),1,0)</formula>
    </cfRule>
  </conditionalFormatting>
  <conditionalFormatting sqref="AO1:AO1048576 BL1:BL1048576">
    <cfRule type="expression" dxfId="100" priority="24520">
      <formula>IF(AND(AO1&gt;=AL$13,AO1&lt;100,AJ1=""),1,0)</formula>
    </cfRule>
    <cfRule type="expression" dxfId="99" priority="24521">
      <formula>IF(AND(AO1&gt;=AL$12,AO1&lt;AL$13,AJ1=""),1,0)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98" priority="24532">
      <formula>IF(AND(CL1&gt;=CI$13,CL1&lt;100),1,0)</formula>
    </cfRule>
    <cfRule type="expression" dxfId="97" priority="24533">
      <formula>IF(AND(CL1&gt;=CI$12,CL1&lt;CI$13),1,0)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321" width="10.83203125" hidden="1" customWidth="1"/>
  </cols>
  <sheetData>
    <row r="1" spans="1:321" ht="16" customHeight="1" x14ac:dyDescent="0.2">
      <c r="A1" s="112" t="s">
        <v>1</v>
      </c>
      <c r="B1" s="112" t="s">
        <v>26</v>
      </c>
      <c r="C1" s="112" t="s">
        <v>0</v>
      </c>
      <c r="D1" s="112" t="s">
        <v>54</v>
      </c>
      <c r="E1" s="112" t="s">
        <v>2</v>
      </c>
      <c r="F1" s="119" t="s">
        <v>60</v>
      </c>
      <c r="G1" s="119" t="s">
        <v>61</v>
      </c>
      <c r="H1" s="119" t="s">
        <v>8</v>
      </c>
      <c r="I1" s="112" t="s">
        <v>9</v>
      </c>
      <c r="J1" s="114" t="s">
        <v>10</v>
      </c>
      <c r="K1" s="114" t="s">
        <v>33</v>
      </c>
      <c r="L1" s="114" t="s">
        <v>13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83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7" t="s">
        <v>92</v>
      </c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8" t="s">
        <v>59</v>
      </c>
      <c r="BH1" s="118"/>
      <c r="BI1" s="115" t="s">
        <v>103</v>
      </c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  <c r="KO1" s="115" t="s">
        <v>82</v>
      </c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</row>
    <row r="2" spans="1:321" x14ac:dyDescent="0.2">
      <c r="A2" s="112"/>
      <c r="B2" s="112"/>
      <c r="C2" s="112"/>
      <c r="D2" s="112"/>
      <c r="E2" s="112"/>
      <c r="F2" s="119"/>
      <c r="G2" s="119"/>
      <c r="H2" s="119"/>
      <c r="I2" s="112"/>
      <c r="J2" s="114"/>
      <c r="K2" s="114"/>
      <c r="L2" s="114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1" t="s">
        <v>27</v>
      </c>
      <c r="AM2" s="111"/>
      <c r="AN2" s="111"/>
      <c r="AO2" s="111"/>
      <c r="AP2" s="111" t="s">
        <v>30</v>
      </c>
      <c r="AQ2" s="111"/>
      <c r="AR2" s="111"/>
      <c r="AS2" s="111"/>
      <c r="AT2" s="111" t="s">
        <v>31</v>
      </c>
      <c r="AU2" s="111"/>
      <c r="AV2" s="111"/>
      <c r="AW2" s="111"/>
      <c r="AX2" s="120" t="s">
        <v>32</v>
      </c>
      <c r="AY2" s="120"/>
      <c r="AZ2" s="120"/>
      <c r="BA2" s="120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0" t="s">
        <v>27</v>
      </c>
      <c r="BJ2" s="110"/>
      <c r="BK2" s="110"/>
      <c r="BL2" s="110"/>
      <c r="BM2" s="110" t="s">
        <v>30</v>
      </c>
      <c r="BN2" s="110"/>
      <c r="BO2" s="110"/>
      <c r="BP2" s="110"/>
      <c r="BQ2" s="110" t="s">
        <v>31</v>
      </c>
      <c r="BR2" s="110"/>
      <c r="BS2" s="110"/>
      <c r="BT2" s="110"/>
      <c r="BU2" s="122" t="s">
        <v>32</v>
      </c>
      <c r="BV2" s="122"/>
      <c r="BW2" s="122"/>
      <c r="BX2" s="122"/>
      <c r="BY2" s="52" t="s">
        <v>25</v>
      </c>
      <c r="BZ2" s="10" t="s">
        <v>24</v>
      </c>
      <c r="CA2" s="10" t="s">
        <v>23</v>
      </c>
      <c r="CB2" s="10" t="s">
        <v>18</v>
      </c>
      <c r="CC2" s="111" t="s">
        <v>27</v>
      </c>
      <c r="CD2" s="111"/>
      <c r="CE2" s="111"/>
      <c r="CF2" s="111"/>
      <c r="CG2" s="111" t="s">
        <v>30</v>
      </c>
      <c r="CH2" s="111"/>
      <c r="CI2" s="111"/>
      <c r="CJ2" s="111"/>
      <c r="CK2" s="111" t="s">
        <v>31</v>
      </c>
      <c r="CL2" s="111"/>
      <c r="CM2" s="111"/>
      <c r="CN2" s="111"/>
      <c r="CO2" s="120" t="s">
        <v>32</v>
      </c>
      <c r="CP2" s="120"/>
      <c r="CQ2" s="120"/>
      <c r="CR2" s="120"/>
      <c r="CS2" s="51" t="s">
        <v>25</v>
      </c>
      <c r="CT2" s="13" t="s">
        <v>24</v>
      </c>
      <c r="CU2" s="13" t="s">
        <v>23</v>
      </c>
      <c r="CV2" s="13" t="s">
        <v>18</v>
      </c>
      <c r="CW2" s="110" t="s">
        <v>27</v>
      </c>
      <c r="CX2" s="110"/>
      <c r="CY2" s="110"/>
      <c r="CZ2" s="110"/>
      <c r="DA2" s="110" t="s">
        <v>30</v>
      </c>
      <c r="DB2" s="110"/>
      <c r="DC2" s="110"/>
      <c r="DD2" s="110"/>
      <c r="DE2" s="110" t="s">
        <v>31</v>
      </c>
      <c r="DF2" s="110"/>
      <c r="DG2" s="110"/>
      <c r="DH2" s="110"/>
      <c r="DI2" s="122" t="s">
        <v>32</v>
      </c>
      <c r="DJ2" s="122"/>
      <c r="DK2" s="122"/>
      <c r="DL2" s="122"/>
      <c r="DM2" s="52" t="s">
        <v>25</v>
      </c>
      <c r="DN2" s="10" t="s">
        <v>24</v>
      </c>
      <c r="DO2" s="10" t="s">
        <v>23</v>
      </c>
      <c r="DP2" s="10" t="s">
        <v>18</v>
      </c>
      <c r="DQ2" s="111" t="s">
        <v>27</v>
      </c>
      <c r="DR2" s="111"/>
      <c r="DS2" s="111"/>
      <c r="DT2" s="111"/>
      <c r="DU2" s="111" t="s">
        <v>30</v>
      </c>
      <c r="DV2" s="111"/>
      <c r="DW2" s="111"/>
      <c r="DX2" s="111"/>
      <c r="DY2" s="111" t="s">
        <v>31</v>
      </c>
      <c r="DZ2" s="111"/>
      <c r="EA2" s="111"/>
      <c r="EB2" s="111"/>
      <c r="EC2" s="120" t="s">
        <v>32</v>
      </c>
      <c r="ED2" s="120"/>
      <c r="EE2" s="120"/>
      <c r="EF2" s="120"/>
      <c r="EG2" s="20" t="s">
        <v>25</v>
      </c>
      <c r="EH2" s="13" t="s">
        <v>24</v>
      </c>
      <c r="EI2" s="13" t="s">
        <v>23</v>
      </c>
      <c r="EJ2" s="13" t="s">
        <v>18</v>
      </c>
      <c r="EK2" s="110" t="s">
        <v>27</v>
      </c>
      <c r="EL2" s="110"/>
      <c r="EM2" s="110"/>
      <c r="EN2" s="110"/>
      <c r="EO2" s="110" t="s">
        <v>30</v>
      </c>
      <c r="EP2" s="110"/>
      <c r="EQ2" s="110"/>
      <c r="ER2" s="110"/>
      <c r="ES2" s="110" t="s">
        <v>31</v>
      </c>
      <c r="ET2" s="110"/>
      <c r="EU2" s="110"/>
      <c r="EV2" s="110"/>
      <c r="EW2" s="122" t="s">
        <v>32</v>
      </c>
      <c r="EX2" s="122"/>
      <c r="EY2" s="122"/>
      <c r="EZ2" s="122"/>
      <c r="FA2" s="21" t="s">
        <v>25</v>
      </c>
      <c r="FB2" s="10" t="s">
        <v>24</v>
      </c>
      <c r="FC2" s="10" t="s">
        <v>23</v>
      </c>
      <c r="FD2" s="10" t="s">
        <v>18</v>
      </c>
      <c r="FE2" s="111" t="s">
        <v>27</v>
      </c>
      <c r="FF2" s="111"/>
      <c r="FG2" s="111"/>
      <c r="FH2" s="111"/>
      <c r="FI2" s="111" t="s">
        <v>30</v>
      </c>
      <c r="FJ2" s="111"/>
      <c r="FK2" s="111"/>
      <c r="FL2" s="111"/>
      <c r="FM2" s="111" t="s">
        <v>31</v>
      </c>
      <c r="FN2" s="111"/>
      <c r="FO2" s="111"/>
      <c r="FP2" s="111"/>
      <c r="FQ2" s="120" t="s">
        <v>32</v>
      </c>
      <c r="FR2" s="120"/>
      <c r="FS2" s="120"/>
      <c r="FT2" s="120"/>
      <c r="FU2" s="20" t="s">
        <v>25</v>
      </c>
      <c r="FV2" s="13" t="s">
        <v>24</v>
      </c>
      <c r="FW2" s="13" t="s">
        <v>23</v>
      </c>
      <c r="FX2" s="13" t="s">
        <v>18</v>
      </c>
      <c r="FY2" s="110" t="s">
        <v>27</v>
      </c>
      <c r="FZ2" s="110"/>
      <c r="GA2" s="110"/>
      <c r="GB2" s="110"/>
      <c r="GC2" s="110" t="s">
        <v>30</v>
      </c>
      <c r="GD2" s="110"/>
      <c r="GE2" s="110"/>
      <c r="GF2" s="110"/>
      <c r="GG2" s="110" t="s">
        <v>31</v>
      </c>
      <c r="GH2" s="110"/>
      <c r="GI2" s="110"/>
      <c r="GJ2" s="110"/>
      <c r="GK2" s="122" t="s">
        <v>32</v>
      </c>
      <c r="GL2" s="122"/>
      <c r="GM2" s="122"/>
      <c r="GN2" s="122"/>
      <c r="GO2" s="21" t="s">
        <v>25</v>
      </c>
      <c r="GP2" s="10" t="s">
        <v>24</v>
      </c>
      <c r="GQ2" s="10" t="s">
        <v>23</v>
      </c>
      <c r="GR2" s="10" t="s">
        <v>18</v>
      </c>
      <c r="GS2" s="111" t="s">
        <v>27</v>
      </c>
      <c r="GT2" s="111"/>
      <c r="GU2" s="111"/>
      <c r="GV2" s="111"/>
      <c r="GW2" s="111" t="s">
        <v>30</v>
      </c>
      <c r="GX2" s="111"/>
      <c r="GY2" s="111"/>
      <c r="GZ2" s="111"/>
      <c r="HA2" s="111" t="s">
        <v>31</v>
      </c>
      <c r="HB2" s="111"/>
      <c r="HC2" s="111"/>
      <c r="HD2" s="111"/>
      <c r="HE2" s="120" t="s">
        <v>32</v>
      </c>
      <c r="HF2" s="120"/>
      <c r="HG2" s="120"/>
      <c r="HH2" s="120"/>
      <c r="HI2" s="20" t="s">
        <v>25</v>
      </c>
      <c r="HJ2" s="13" t="s">
        <v>24</v>
      </c>
      <c r="HK2" s="13" t="s">
        <v>23</v>
      </c>
      <c r="HL2" s="13" t="s">
        <v>18</v>
      </c>
      <c r="HM2" s="110" t="s">
        <v>27</v>
      </c>
      <c r="HN2" s="110"/>
      <c r="HO2" s="110"/>
      <c r="HP2" s="110"/>
      <c r="HQ2" s="110" t="s">
        <v>30</v>
      </c>
      <c r="HR2" s="110"/>
      <c r="HS2" s="110"/>
      <c r="HT2" s="110"/>
      <c r="HU2" s="110" t="s">
        <v>31</v>
      </c>
      <c r="HV2" s="110"/>
      <c r="HW2" s="110"/>
      <c r="HX2" s="110"/>
      <c r="HY2" s="122" t="s">
        <v>32</v>
      </c>
      <c r="HZ2" s="122"/>
      <c r="IA2" s="122"/>
      <c r="IB2" s="122"/>
      <c r="IC2" s="21" t="s">
        <v>25</v>
      </c>
      <c r="ID2" s="10" t="s">
        <v>24</v>
      </c>
      <c r="IE2" s="10" t="s">
        <v>23</v>
      </c>
      <c r="IF2" s="10" t="s">
        <v>18</v>
      </c>
      <c r="IG2" s="111" t="s">
        <v>27</v>
      </c>
      <c r="IH2" s="111"/>
      <c r="II2" s="111"/>
      <c r="IJ2" s="111"/>
      <c r="IK2" s="111" t="s">
        <v>30</v>
      </c>
      <c r="IL2" s="111"/>
      <c r="IM2" s="111"/>
      <c r="IN2" s="111"/>
      <c r="IO2" s="111" t="s">
        <v>31</v>
      </c>
      <c r="IP2" s="111"/>
      <c r="IQ2" s="111"/>
      <c r="IR2" s="111"/>
      <c r="IS2" s="120" t="s">
        <v>32</v>
      </c>
      <c r="IT2" s="120"/>
      <c r="IU2" s="120"/>
      <c r="IV2" s="120"/>
      <c r="IW2" s="20" t="s">
        <v>25</v>
      </c>
      <c r="IX2" s="13" t="s">
        <v>24</v>
      </c>
      <c r="IY2" s="13" t="s">
        <v>23</v>
      </c>
      <c r="IZ2" s="13" t="s">
        <v>18</v>
      </c>
      <c r="JA2" s="110" t="s">
        <v>27</v>
      </c>
      <c r="JB2" s="110"/>
      <c r="JC2" s="110"/>
      <c r="JD2" s="110"/>
      <c r="JE2" s="110" t="s">
        <v>30</v>
      </c>
      <c r="JF2" s="110"/>
      <c r="JG2" s="110"/>
      <c r="JH2" s="110"/>
      <c r="JI2" s="110" t="s">
        <v>31</v>
      </c>
      <c r="JJ2" s="110"/>
      <c r="JK2" s="110"/>
      <c r="JL2" s="110"/>
      <c r="JM2" s="122" t="s">
        <v>32</v>
      </c>
      <c r="JN2" s="122"/>
      <c r="JO2" s="122"/>
      <c r="JP2" s="122"/>
      <c r="JQ2" s="21" t="s">
        <v>25</v>
      </c>
      <c r="JR2" s="10" t="s">
        <v>24</v>
      </c>
      <c r="JS2" s="10" t="s">
        <v>23</v>
      </c>
      <c r="JT2" s="10" t="s">
        <v>18</v>
      </c>
      <c r="JU2" s="111" t="s">
        <v>27</v>
      </c>
      <c r="JV2" s="111"/>
      <c r="JW2" s="111"/>
      <c r="JX2" s="111"/>
      <c r="JY2" s="111" t="s">
        <v>30</v>
      </c>
      <c r="JZ2" s="111"/>
      <c r="KA2" s="111"/>
      <c r="KB2" s="111"/>
      <c r="KC2" s="111" t="s">
        <v>31</v>
      </c>
      <c r="KD2" s="111"/>
      <c r="KE2" s="111"/>
      <c r="KF2" s="111"/>
      <c r="KG2" s="120" t="s">
        <v>32</v>
      </c>
      <c r="KH2" s="120"/>
      <c r="KI2" s="120"/>
      <c r="KJ2" s="120"/>
      <c r="KK2" s="20" t="s">
        <v>25</v>
      </c>
      <c r="KL2" s="13" t="s">
        <v>24</v>
      </c>
      <c r="KM2" s="13" t="s">
        <v>23</v>
      </c>
      <c r="KN2" s="13" t="s">
        <v>18</v>
      </c>
      <c r="KO2" s="110" t="s">
        <v>27</v>
      </c>
      <c r="KP2" s="110"/>
      <c r="KQ2" s="110"/>
      <c r="KR2" s="110"/>
      <c r="KS2" s="110" t="s">
        <v>30</v>
      </c>
      <c r="KT2" s="110"/>
      <c r="KU2" s="110"/>
      <c r="KV2" s="110"/>
      <c r="KW2" s="110" t="s">
        <v>31</v>
      </c>
      <c r="KX2" s="110"/>
      <c r="KY2" s="110"/>
      <c r="KZ2" s="110"/>
      <c r="LA2" s="121" t="s">
        <v>32</v>
      </c>
      <c r="LB2" s="121"/>
      <c r="LC2" s="121"/>
      <c r="LD2" s="121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2"/>
      <c r="B3" s="112"/>
      <c r="C3" s="112"/>
      <c r="D3" s="112"/>
      <c r="E3" s="112"/>
      <c r="F3" s="119"/>
      <c r="G3" s="119"/>
      <c r="H3" s="119"/>
      <c r="I3" s="112"/>
      <c r="J3" s="114"/>
      <c r="K3" s="114"/>
      <c r="L3" s="114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52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52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52</v>
      </c>
      <c r="LF3" s="11"/>
      <c r="LG3" s="10"/>
      <c r="LH3" s="11"/>
      <c r="LI3" s="11"/>
    </row>
    <row r="4" spans="1:321" x14ac:dyDescent="0.2">
      <c r="A4" s="6">
        <f>IF(AND(F4="P",H4="P"),SUMPRODUCT((F$4:F$6="P")*(H$4:H$6="P")*(E$4:E$6&gt;E4))+1,IF(H4="P",SUMPRODUCT((F$4:F$6="")*(H$4:H$6="P")*(E$4:E$6&gt;E4))+1+SUMPRODUCT((F$4:F$6="P")*(H$4:H$6="P")),""))</f>
        <v>1</v>
      </c>
      <c r="B4" s="7" t="s">
        <v>71</v>
      </c>
      <c r="C4" s="8" t="s">
        <v>4</v>
      </c>
      <c r="D4" s="27">
        <v>2002</v>
      </c>
      <c r="E4" s="16">
        <f>SUM(J4:N4)</f>
        <v>126.5</v>
      </c>
      <c r="F4" s="4" t="str">
        <f>IF(OR(AND(AH4&gt;=AJ$8,AI4&gt;=AJ$10,AI4&lt;&gt;"",AG4=""),AND(BC4&gt;=BE$8,BD4&gt;=BE$10,BD4&lt;&gt;"",BB4=""),AND(BY4&gt;=CA$8,BZ4&gt;=CA$10,BZ4&lt;&gt;""),AND(CS4&gt;=CU$8,CT4&gt;=CU$10,CT4&lt;&gt;""),AND(DM4&gt;=DO$8,DN4&gt;=DO$10,DN4&lt;&gt;""),AND(EG4&gt;=EI$8,EH4&gt;=EI$10,EH4&lt;&gt;""),AND(FA4&gt;=FC$8,FB4&gt;=FC$10,FB4&lt;&gt;""),AND(FU4&gt;=FW$8,FV4&gt;=FW$10,FV4&lt;&gt;""),AND(GO4&gt;=GQ$8,GP4&gt;=GQ$10,GP4&lt;&gt;""),AND(HI4&gt;=HK$8,HJ4&gt;=HK$10,HJ4&lt;&gt;""),AND(IC4&gt;=IE$8,ID4&gt;=IE$10,ID4&lt;&gt;""),AND(IW4&gt;=IY$8,IX4&gt;=IY$10,IX4&lt;&gt;""),AND(JQ4&gt;=JS$8,JR4&gt;=JS$10,JR4&lt;&gt;""),AND(KK4&gt;=KM$8,KL4&gt;=KM$10,KL4&lt;&gt;"")),"P","")</f>
        <v>P</v>
      </c>
      <c r="G4" s="4" t="str">
        <f>IF(OR(AND(AH4&gt;=AJ$8,AI4&gt;=AJ$11,AI4&lt;&gt;"",AG4=""),AND(BC4&gt;=BE$8,BD4&gt;=BE$11,BD4&lt;&gt;"",BB4=""),AND(BY4&gt;=CA$8,BZ4&gt;=CA$11,BZ4&lt;&gt;""),AND(CS4&gt;=CU$8,CT4&gt;=CU$11,CT4&lt;&gt;""),AND(DM4&gt;=DO$8,DN4&gt;=DO$11,DN4&lt;&gt;""),AND(EG4&gt;=EI$8,EH4&gt;=EI$11,EH4&lt;&gt;""),AND(FA4&gt;=FC$8,FB4&gt;=FC$11,FB4&lt;&gt;""),AND(FU4&gt;=FW$8,FV4&gt;=FW$11,FV4&lt;&gt;""),AND(GO4&gt;=GQ$8,GP4&gt;=GQ$11,GP4&lt;&gt;""),AND(HI4&gt;=HK$8,HJ4&gt;=HK$11,HJ4&lt;&gt;""),AND(IC4&gt;=IE$8,ID4&gt;=IE$11,ID4&lt;&gt;""),AND(IW4&gt;=IY$8,IX4&gt;=IY$11,IX4&lt;&gt;""),AND(JQ4&gt;=JS$8,JR4&gt;=JS$11,JR4&lt;&gt;""),AND(KK4&gt;=KM$8,KL4&gt;=KM$11,KL4&lt;&gt;"")),"P","")</f>
        <v/>
      </c>
      <c r="H4" s="4" t="str">
        <f>IF(OR(AND(AI4&gt;=AJ$10,AI4&lt;&gt;"",AG4=""),AND(BD4&gt;=BE$10,BD4&lt;&gt;"",BB4=""),AND(BZ4&gt;=CA$10,BZ4&lt;&gt;""),AND(CT4&gt;=CU$10,CT4&lt;&gt;""),AND(DN4&gt;=DO$10,DN4&lt;&gt;""),AND(EH4&gt;=EI$10,EH4&lt;&gt;""),AND(FB4&gt;=FC$10,FB4&lt;&gt;""),AND(FV4&gt;=FW$10,FV4&lt;&gt;""),AND(GP4&gt;=GQ$10,GP4&lt;&gt;""),AND(HJ4&gt;=HK$10,HJ4&lt;&gt;""),AND(ID4&gt;=IE$10,ID4&lt;&gt;""),AND(IX4&gt;=IY$10,IX4&lt;&gt;""),AND(JR4&gt;=JS$10,JR4&lt;&gt;""),AND(KL4&gt;=KM$10,KL4&lt;&gt;"")),"P","")</f>
        <v>P</v>
      </c>
      <c r="I4" t="str">
        <f>IF(AND(H4="P",F4=""),"No DD",IF(OR(AND(AI4&gt;=AJ$13,AI4&lt;&gt;"",AH4&gt;=AJ$9,AH4&lt;&gt;"",AG4=""),AND(BD4&gt;=BE$13,BD4&lt;&gt;"",BC4&gt;=BE$9,BC4&lt;&gt;"",BB4=""),AND(BZ4&gt;=CA$13,BZ4&lt;&gt;"",BY4&gt;=CA$9,BY4&lt;&gt;""),AND(CT4&gt;=CU$13,CT4&lt;&gt;"",CS4&gt;=CU$9,CS4&lt;&gt;""),AND(DN4&gt;=DO$13,DN4&lt;&gt;"",DM4&gt;=DO$9,DM4&lt;&gt;""),AND(EH4&gt;=EI$13,EH4&lt;&gt;"",EG4&gt;=EI$9,EG4&lt;&gt;""),AND(FB4&gt;=FC$13,FB4&lt;&gt;"",FA4&gt;=FC$9,FA4&lt;&gt;""),AND(FV4&gt;=FW$13,FV4&lt;&gt;"",FU4&gt;=FW$9,FU4&lt;&gt;""),AND(GP4&gt;=GQ$13,GP4&lt;&gt;"",GO4&gt;=GQ$9,GO4&lt;&gt;""),AND(HJ4&gt;=HK$13,HJ4&lt;&gt;"",HI4&gt;=HK$9,HI4&lt;&gt;""),AND(ID4&gt;=IE$13,ID4&lt;&gt;"",IC4&gt;=IE$9,IC4&lt;&gt;""),AND(IX4&gt;=IY$13,IX4&lt;&gt;"",IW4&gt;=IY$9,IW4&lt;&gt;""),AND(JR4&gt;=JS$13,JR4&lt;&gt;"",JQ4&gt;=JS$9,JQ4&lt;&gt;""),AND(KL4&gt;=KM$13,KL4&lt;&gt;"",KK4&gt;=KM$9,KK4&lt;&gt;"")),"Merit",IF(OR(AND(AI4&gt;=AJ$12,AI4&lt;&gt;"",AH4&gt;=AJ$9,AH4&lt;&gt;"",AG4=""),AND(BD4&gt;=BE$12,BD4&lt;&gt;"",BC4&gt;=BE$9,BC4&lt;&gt;"",BB4=""),AND(BZ4&gt;=CA$12,BZ4&lt;&gt;"",BY4&gt;=CA$9,BY4&lt;&gt;""),AND(CT4&gt;=CU$12,CT4&lt;&gt;"",CS4&gt;=CU$9,CS4&lt;&gt;""),AND(DN4&gt;=DO$12,DN4&lt;&gt;"",DM4&gt;=DO$9,DM4&lt;&gt;""),AND(EH4&gt;=EI$12,EH4&lt;&gt;"",EG4&gt;=EI$9,EG4&lt;&gt;""),AND(FB4&gt;=FC$12,FB4&lt;&gt;"",FA4&gt;=FC$9,FA4&lt;&gt;""),AND(FV4&gt;=FW$12,FV4&lt;&gt;"",FU4&gt;=FW$9,FU4&lt;&gt;""),AND(GP4&gt;=GQ$12,GP4&lt;&gt;"",GO4&gt;=GQ$9,GO4&lt;&gt;""),AND(HJ4&gt;=HK$12,HJ4&lt;&gt;"",HI4&gt;=HK$9,HI4&lt;&gt;""),AND(ID4&gt;=IE$12,ID4&lt;&gt;"",IC4&gt;=IE$9,IC4&lt;&gt;""),AND(IX4&gt;=IY$12,IX4&lt;&gt;"",IW4&gt;=IY$9,IW4&lt;&gt;""),AND(JR4&gt;=JS$12,JR4&lt;&gt;"",JQ4&gt;=JS$9,JQ4&lt;&gt;""),AND(KL4&gt;=KM$12,KL4&lt;&gt;"",KK4&gt;=KM$9,KK4&lt;&gt;"")),"Excellence",IF(OR(AND(AI4&gt;=AJ$11,AI4&lt;&gt;"",AH4&gt;=AJ$8,AH4&lt;&gt;"",AG4=""),AND(BD4&gt;=BE$11,BD4&lt;&gt;"",BC4&gt;=BE$8,BC4&lt;&gt;"",BB4=""),AND(BZ4&gt;=CA$11,BZ4&lt;&gt;"",BY4&gt;=CA$8,BY4&lt;&gt;""),AND(CT4&gt;=CU$11,CT4&lt;&gt;"",CS4&gt;=CU$8,CS4&lt;&gt;""),AND(DN4&gt;=DO$11,DN4&lt;&gt;"",DM4&gt;=DO$8,DM4&lt;&gt;""),AND(EH4&gt;=EI$11,EH4&lt;&gt;"",EG4&gt;=EI$8,EG4&lt;&gt;""),AND(FB4&gt;=FC$11,FB4&lt;&gt;"",FA4&gt;=FC$8,FA4&lt;&gt;""),AND(FV4&gt;=FW$11,FV4&lt;&gt;"",FU4&gt;=FW$8,FU4&lt;&gt;""),AND(GP4&gt;=GQ$11,GP4&lt;&gt;"",GO4&gt;=GQ$8,GO4&lt;&gt;""),AND(HJ4&gt;=HK$11,HJ4&lt;&gt;"",HI4&gt;=HK$8,HI4&lt;&gt;""),AND(ID4&gt;=IE$11,ID4&lt;&gt;"",IC4&gt;=IE$8,IC4&lt;&gt;""),AND(IX4&gt;=IY$11,IX4&lt;&gt;"",IW4&gt;=IY$8,IW4&lt;&gt;""),AND(JR4&gt;=JS$11,JR4&lt;&gt;"",JQ4&gt;=JS$8,JQ4&lt;&gt;""),AND(KL4&gt;=KM$11,KL4&lt;&gt;"",KK4&gt;=KM$8,KK4&lt;&gt;"")),"Worlds Team",IF(OR(AND(AI4&gt;=AJ$10,AI4&lt;&gt;"",AH4&gt;=AJ$8,AH4&lt;&gt;"",AG4=""),AND(BD4&gt;=BE$10,BD4&lt;&gt;"",BC4&gt;=BE$8,BC4&lt;&gt;"",BB4=""),AND(BZ4&gt;=CA$10,BZ4&lt;&gt;"",BY4&gt;=CA$8,BY4&lt;&gt;""),AND(CT4&gt;=CU$10,CT4&lt;&gt;"",CS4&gt;=CU$8,CS4&lt;&gt;""),AND(DN4&gt;=DO$10,DN4&lt;&gt;"",DM4&gt;=DO$8,DM4&lt;&gt;""),AND(EH4&gt;=EI$10,EH4&lt;&gt;"",EG4&gt;=EI$8,EG4&lt;&gt;""),AND(FB4&gt;=FC$10,FB4&lt;&gt;"",FA4&gt;=FC$8,FA4&lt;&gt;""),AND(FV4&gt;=FW$10,FV4&lt;&gt;"",FU4&gt;=FW$8,FU4&lt;&gt;""),AND(GP4&gt;=GQ$10,GP4&lt;&gt;"",GO4&gt;=GQ$8,GO4&lt;&gt;""),AND(HJ4&gt;=HK$10,HJ4&lt;&gt;"",HI4&gt;=HK$8,HI4&lt;&gt;""),AND(ID4&gt;=IE$10,ID4&lt;&gt;"",IC4&gt;=IE$8,IC4&lt;&gt;""),AND(IX4&gt;=IY$10,IX4&lt;&gt;"",IW4&gt;=IY$8,IW4&lt;&gt;""),AND(JR4&gt;=JS$10,JR4&lt;&gt;"",JQ4&gt;=JS$8,JQ4&lt;&gt;""),AND(KL4&gt;=KM$10,KL4&lt;&gt;"",KK4&gt;=KM$8,KK4&lt;&gt;"")),"National Team","")))))</f>
        <v>National Team</v>
      </c>
      <c r="J4" s="15">
        <f>IF(MAX(AI4,BD4)&gt;0,MAX(AI4,BD4),"")</f>
        <v>63.199999999999996</v>
      </c>
      <c r="K4" s="15" t="str">
        <f>IF(J4="","",IF(J4=BD4,$AL$1,IF(J4=AI4,$Q$1,"")))</f>
        <v>2019 Nationals</v>
      </c>
      <c r="L4" s="15">
        <f>IF(MAX(AJ4,BE4)&gt;0,MAX(AJ4,BE4),"")</f>
        <v>63.300000000000004</v>
      </c>
      <c r="M4" s="15" t="str">
        <f>IF(L4="","",IF(L4=BE4,$AL$1,IF(L4=AJ4,$Q$1,"")))</f>
        <v>2019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2">
        <v>22.7</v>
      </c>
      <c r="R4" s="42">
        <v>4.8</v>
      </c>
      <c r="S4" s="42">
        <v>0</v>
      </c>
      <c r="T4" s="42">
        <v>0</v>
      </c>
      <c r="U4" s="42">
        <v>26</v>
      </c>
      <c r="V4" s="42">
        <v>4.7</v>
      </c>
      <c r="W4" s="42">
        <v>0</v>
      </c>
      <c r="X4" s="42">
        <v>0</v>
      </c>
      <c r="Y4" s="42">
        <v>25.1</v>
      </c>
      <c r="Z4" s="42">
        <v>5.7</v>
      </c>
      <c r="AA4" s="42">
        <v>0</v>
      </c>
      <c r="AB4" s="42">
        <v>0</v>
      </c>
      <c r="AC4" s="42">
        <v>26.3</v>
      </c>
      <c r="AD4" s="42">
        <v>4.7</v>
      </c>
      <c r="AE4" s="42">
        <v>0</v>
      </c>
      <c r="AF4" s="42">
        <v>0</v>
      </c>
      <c r="AG4" s="74"/>
      <c r="AH4" s="12">
        <f>IF(SUM(R4,V4)&gt;0,SUM(R4,V4),"")</f>
        <v>9.5</v>
      </c>
      <c r="AI4" s="12">
        <f>IF(SUM(Q4:R4,T4:V4,X4)-S4-W4&gt;0,SUM(Q4:R4,T4:V4,X4)-S4-W4,"")</f>
        <v>58.2</v>
      </c>
      <c r="AJ4" s="12">
        <f>IF(SUM(Y4:Z4,AB4:AD4,AF4)-SUM(AA4,AE4)&gt;0,SUM(Y4:Z4,AB4:AD4,AF4)-SUM(AA4,AE4),"")</f>
        <v>61.800000000000004</v>
      </c>
      <c r="AK4" s="12">
        <f>IF(SUM(AI4,AJ4)&gt;0,SUM(AI4,AJ4),"")</f>
        <v>120</v>
      </c>
      <c r="AL4" s="37">
        <v>25.8</v>
      </c>
      <c r="AM4" s="37">
        <v>5.5</v>
      </c>
      <c r="AN4" s="37">
        <v>0</v>
      </c>
      <c r="AO4" s="37">
        <v>0</v>
      </c>
      <c r="AP4" s="37">
        <v>25.5</v>
      </c>
      <c r="AQ4" s="37">
        <v>5.4</v>
      </c>
      <c r="AR4" s="37">
        <v>0</v>
      </c>
      <c r="AS4" s="37">
        <v>1</v>
      </c>
      <c r="AT4" s="37">
        <v>25.7</v>
      </c>
      <c r="AU4" s="37">
        <v>5.3</v>
      </c>
      <c r="AV4" s="37">
        <v>0.3</v>
      </c>
      <c r="AW4" s="37">
        <v>0</v>
      </c>
      <c r="AX4" s="37">
        <v>25.5</v>
      </c>
      <c r="AY4" s="37">
        <v>6.1</v>
      </c>
      <c r="AZ4" s="37">
        <v>0</v>
      </c>
      <c r="BA4" s="37">
        <v>1</v>
      </c>
      <c r="BB4" s="75"/>
      <c r="BC4" s="15">
        <f>IF(SUM(AM4,AQ4)&gt;0,SUM(AM4,AQ4),"")</f>
        <v>10.9</v>
      </c>
      <c r="BD4" s="15">
        <f>IF(SUM(AL4:AM4,AO4:AQ4,AS4)-AN4-AR4&gt;0,SUM(AL4:AM4,AO4:AQ4,AS4)-AN4-AR4,"")</f>
        <v>63.199999999999996</v>
      </c>
      <c r="BE4" s="15">
        <f>IF(SUM(AT4:AU4,AW4:AY4,BA4)-SUM(AV4,AZ4)&gt;0,SUM(AT4:AU4,AW4:AY4,BA4)-SUM(AV4,AZ4),"")</f>
        <v>63.300000000000004</v>
      </c>
      <c r="BF4" s="15">
        <f>IF(SUM(BD4,BE4)&gt;0,SUM(BD4,BE4),"")</f>
        <v>126.5</v>
      </c>
      <c r="BG4" s="24" t="str">
        <f>IF(MAX(BZ4,CT4,DN4,EH4,FB4,FV4,GP4,HJ4,ID4,IX4,JR4,KL4)-IF(J4="",0,J4)&gt;0.001,MAX(BZ4,CT4,DN4,EH4,FB4,FV4,GP4,HJ4,ID4,IX4,JR4,KL4)-IF(J4="",0,J4),"")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26.6</v>
      </c>
      <c r="BJ4" s="36">
        <v>5.8</v>
      </c>
      <c r="BK4" s="36">
        <v>0</v>
      </c>
      <c r="BL4" s="36">
        <v>0</v>
      </c>
      <c r="BM4" s="36">
        <v>24.6</v>
      </c>
      <c r="BN4" s="36">
        <v>5.4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11.2</v>
      </c>
      <c r="BZ4" s="12">
        <f>IF(SUM(BI4:BJ4,BL4:BN4,BP4)-BK4-BO4&gt;0,SUM(BI4:BJ4,BL4:BN4,BP4)-BK4-BO4,"")</f>
        <v>62.4</v>
      </c>
      <c r="CA4" s="12" t="str">
        <f>IF(SUM(BQ4:BR4,BT4:BV4,BX4)-SUM(BS4,BW4)&gt;0,SUM(BQ4:BR4,BT4:BV4,BX4)-SUM(BS4,BW4),"")</f>
        <v/>
      </c>
      <c r="CB4" s="12">
        <f>IF(SUM(BZ4,CA4)&gt;0,SUM(BZ4,CA4),"")</f>
        <v>62.4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 t="shared" ref="KO4:LD5" si="0">IF($BB4="P",AL4,(Q4+AL4)/2)</f>
        <v>24.25</v>
      </c>
      <c r="KP4" s="63">
        <f t="shared" si="0"/>
        <v>5.15</v>
      </c>
      <c r="KQ4" s="63">
        <f t="shared" si="0"/>
        <v>0</v>
      </c>
      <c r="KR4" s="63">
        <f t="shared" si="0"/>
        <v>0</v>
      </c>
      <c r="KS4" s="63">
        <f t="shared" si="0"/>
        <v>25.75</v>
      </c>
      <c r="KT4" s="63">
        <f t="shared" si="0"/>
        <v>5.0500000000000007</v>
      </c>
      <c r="KU4" s="63">
        <f t="shared" si="0"/>
        <v>0</v>
      </c>
      <c r="KV4" s="63">
        <f t="shared" si="0"/>
        <v>0.5</v>
      </c>
      <c r="KW4" s="63">
        <f t="shared" si="0"/>
        <v>25.4</v>
      </c>
      <c r="KX4" s="63">
        <f t="shared" si="0"/>
        <v>5.5</v>
      </c>
      <c r="KY4" s="63">
        <f t="shared" si="0"/>
        <v>0.15</v>
      </c>
      <c r="KZ4" s="63">
        <f t="shared" si="0"/>
        <v>0</v>
      </c>
      <c r="LA4" s="63">
        <f t="shared" si="0"/>
        <v>25.9</v>
      </c>
      <c r="LB4" s="63">
        <f t="shared" si="0"/>
        <v>5.4</v>
      </c>
      <c r="LC4" s="63">
        <f t="shared" si="0"/>
        <v>0</v>
      </c>
      <c r="LD4" s="63">
        <f t="shared" si="0"/>
        <v>0.5</v>
      </c>
      <c r="LE4" s="74" t="s">
        <v>81</v>
      </c>
      <c r="LF4" s="12">
        <f t="shared" ref="LF4:LF5" si="1">IF(SUM(KP4,KT4)&gt;0,SUM(KP4,KT4),"")</f>
        <v>10.200000000000001</v>
      </c>
      <c r="LG4" s="12">
        <f t="shared" ref="LG4:LG5" si="2">IF(SUM(KO4:KP4,KR4:KT4,KV4)-KQ4-KU4&gt;0,SUM(KO4:KP4,KR4:KT4,KV4)-KQ4-KU4,"")</f>
        <v>60.7</v>
      </c>
      <c r="LH4" s="12">
        <f t="shared" ref="LH4:LH5" si="3">IF(SUM(KW4:KX4,KZ4:LB4,LD4)-SUM(KY4,LC4)&gt;0,SUM(KW4:KX4,KZ4:LB4,LD4)-SUM(KY4,LC4),"")</f>
        <v>62.55</v>
      </c>
      <c r="LI4" s="12">
        <f t="shared" ref="LI4:LI5" si="4">IF(SUM(LG4,LH4)&gt;0,SUM(LG4,LH4),"")</f>
        <v>123.25</v>
      </c>
    </row>
    <row r="5" spans="1:321" x14ac:dyDescent="0.2">
      <c r="A5" s="6" t="str">
        <f>IF(AND(F5="P",H5="P"),SUMPRODUCT((F$4:F$6="P")*(H$4:H$6="P")*(E$4:E$6&gt;E5))+1,IF(H5="P",SUMPRODUCT((F$4:F$6="")*(H$4:H$6="P")*(E$4:E$6&gt;E5))+1+SUMPRODUCT((F$4:F$6="P")*(H$4:H$6="P")),""))</f>
        <v/>
      </c>
      <c r="B5" s="9" t="s">
        <v>78</v>
      </c>
      <c r="C5" s="5" t="s">
        <v>4</v>
      </c>
      <c r="D5" s="27">
        <v>2003</v>
      </c>
      <c r="E5" s="16">
        <f>SUM(J5:N5)</f>
        <v>53.199999999999996</v>
      </c>
      <c r="F5" s="4" t="str">
        <f>IF(OR(AND(AH5&gt;=AJ$8,AI5&gt;=AJ$10,AI5&lt;&gt;"",AG5=""),AND(BC5&gt;=BE$8,BD5&gt;=BE$10,BD5&lt;&gt;"",BB5=""),AND(BY5&gt;=CA$8,BZ5&gt;=CA$10,BZ5&lt;&gt;""),AND(CS5&gt;=CU$8,CT5&gt;=CU$10,CT5&lt;&gt;""),AND(DM5&gt;=DO$8,DN5&gt;=DO$10,DN5&lt;&gt;""),AND(EG5&gt;=EI$8,EH5&gt;=EI$10,EH5&lt;&gt;""),AND(FA5&gt;=FC$8,FB5&gt;=FC$10,FB5&lt;&gt;""),AND(FU5&gt;=FW$8,FV5&gt;=FW$10,FV5&lt;&gt;""),AND(GO5&gt;=GQ$8,GP5&gt;=GQ$10,GP5&lt;&gt;""),AND(HI5&gt;=HK$8,HJ5&gt;=HK$10,HJ5&lt;&gt;""),AND(IC5&gt;=IE$8,ID5&gt;=IE$10,ID5&lt;&gt;""),AND(IW5&gt;=IY$8,IX5&gt;=IY$10,IX5&lt;&gt;""),AND(JQ5&gt;=JS$8,JR5&gt;=JS$10,JR5&lt;&gt;""),AND(KK5&gt;=KM$8,KL5&gt;=KM$10,KL5&lt;&gt;"")),"P","")</f>
        <v/>
      </c>
      <c r="G5" s="4" t="str">
        <f>IF(OR(AND(AH5&gt;=AJ$8,AI5&gt;=AJ$11,AI5&lt;&gt;"",AG5=""),AND(BC5&gt;=BE$8,BD5&gt;=BE$11,BD5&lt;&gt;"",BB5=""),AND(BY5&gt;=CA$8,BZ5&gt;=CA$11,BZ5&lt;&gt;""),AND(CS5&gt;=CU$8,CT5&gt;=CU$11,CT5&lt;&gt;""),AND(DM5&gt;=DO$8,DN5&gt;=DO$11,DN5&lt;&gt;""),AND(EG5&gt;=EI$8,EH5&gt;=EI$11,EH5&lt;&gt;""),AND(FA5&gt;=FC$8,FB5&gt;=FC$11,FB5&lt;&gt;""),AND(FU5&gt;=FW$8,FV5&gt;=FW$11,FV5&lt;&gt;""),AND(GO5&gt;=GQ$8,GP5&gt;=GQ$11,GP5&lt;&gt;""),AND(HI5&gt;=HK$8,HJ5&gt;=HK$11,HJ5&lt;&gt;""),AND(IC5&gt;=IE$8,ID5&gt;=IE$11,ID5&lt;&gt;""),AND(IW5&gt;=IY$8,IX5&gt;=IY$11,IX5&lt;&gt;""),AND(JQ5&gt;=JS$8,JR5&gt;=JS$11,JR5&lt;&gt;""),AND(KK5&gt;=KM$8,KL5&gt;=KM$11,KL5&lt;&gt;"")),"P","")</f>
        <v/>
      </c>
      <c r="H5" s="4" t="str">
        <f>IF(OR(AND(AI5&gt;=AJ$10,AI5&lt;&gt;"",AG5=""),AND(BD5&gt;=BE$10,BD5&lt;&gt;"",BB5=""),AND(BZ5&gt;=CA$10,BZ5&lt;&gt;""),AND(CT5&gt;=CU$10,CT5&lt;&gt;""),AND(DN5&gt;=DO$10,DN5&lt;&gt;""),AND(EH5&gt;=EI$10,EH5&lt;&gt;""),AND(FB5&gt;=FC$10,FB5&lt;&gt;""),AND(FV5&gt;=FW$10,FV5&lt;&gt;""),AND(GP5&gt;=GQ$10,GP5&lt;&gt;""),AND(HJ5&gt;=HK$10,HJ5&lt;&gt;""),AND(ID5&gt;=IE$10,ID5&lt;&gt;""),AND(IX5&gt;=IY$10,IX5&lt;&gt;""),AND(JR5&gt;=JS$10,JR5&lt;&gt;""),AND(KL5&gt;=KM$10,KL5&lt;&gt;"")),"P","")</f>
        <v/>
      </c>
      <c r="I5" t="str">
        <f>IF(AND(H5="P",F5=""),"No DD",IF(OR(AND(AI5&gt;=AJ$13,AI5&lt;&gt;"",AH5&gt;=AJ$9,AH5&lt;&gt;"",AG5=""),AND(BD5&gt;=BE$13,BD5&lt;&gt;"",BC5&gt;=BE$9,BC5&lt;&gt;"",BB5=""),AND(BZ5&gt;=CA$13,BZ5&lt;&gt;"",BY5&gt;=CA$9,BY5&lt;&gt;""),AND(CT5&gt;=CU$13,CT5&lt;&gt;"",CS5&gt;=CU$9,CS5&lt;&gt;""),AND(DN5&gt;=DO$13,DN5&lt;&gt;"",DM5&gt;=DO$9,DM5&lt;&gt;""),AND(EH5&gt;=EI$13,EH5&lt;&gt;"",EG5&gt;=EI$9,EG5&lt;&gt;""),AND(FB5&gt;=FC$13,FB5&lt;&gt;"",FA5&gt;=FC$9,FA5&lt;&gt;""),AND(FV5&gt;=FW$13,FV5&lt;&gt;"",FU5&gt;=FW$9,FU5&lt;&gt;""),AND(GP5&gt;=GQ$13,GP5&lt;&gt;"",GO5&gt;=GQ$9,GO5&lt;&gt;""),AND(HJ5&gt;=HK$13,HJ5&lt;&gt;"",HI5&gt;=HK$9,HI5&lt;&gt;""),AND(ID5&gt;=IE$13,ID5&lt;&gt;"",IC5&gt;=IE$9,IC5&lt;&gt;""),AND(IX5&gt;=IY$13,IX5&lt;&gt;"",IW5&gt;=IY$9,IW5&lt;&gt;""),AND(JR5&gt;=JS$13,JR5&lt;&gt;"",JQ5&gt;=JS$9,JQ5&lt;&gt;""),AND(KL5&gt;=KM$13,KL5&lt;&gt;"",KK5&gt;=KM$9,KK5&lt;&gt;"")),"Merit",IF(OR(AND(AI5&gt;=AJ$12,AI5&lt;&gt;"",AH5&gt;=AJ$9,AH5&lt;&gt;"",AG5=""),AND(BD5&gt;=BE$12,BD5&lt;&gt;"",BC5&gt;=BE$9,BC5&lt;&gt;"",BB5=""),AND(BZ5&gt;=CA$12,BZ5&lt;&gt;"",BY5&gt;=CA$9,BY5&lt;&gt;""),AND(CT5&gt;=CU$12,CT5&lt;&gt;"",CS5&gt;=CU$9,CS5&lt;&gt;""),AND(DN5&gt;=DO$12,DN5&lt;&gt;"",DM5&gt;=DO$9,DM5&lt;&gt;""),AND(EH5&gt;=EI$12,EH5&lt;&gt;"",EG5&gt;=EI$9,EG5&lt;&gt;""),AND(FB5&gt;=FC$12,FB5&lt;&gt;"",FA5&gt;=FC$9,FA5&lt;&gt;""),AND(FV5&gt;=FW$12,FV5&lt;&gt;"",FU5&gt;=FW$9,FU5&lt;&gt;""),AND(GP5&gt;=GQ$12,GP5&lt;&gt;"",GO5&gt;=GQ$9,GO5&lt;&gt;""),AND(HJ5&gt;=HK$12,HJ5&lt;&gt;"",HI5&gt;=HK$9,HI5&lt;&gt;""),AND(ID5&gt;=IE$12,ID5&lt;&gt;"",IC5&gt;=IE$9,IC5&lt;&gt;""),AND(IX5&gt;=IY$12,IX5&lt;&gt;"",IW5&gt;=IY$9,IW5&lt;&gt;""),AND(JR5&gt;=JS$12,JR5&lt;&gt;"",JQ5&gt;=JS$9,JQ5&lt;&gt;""),AND(KL5&gt;=KM$12,KL5&lt;&gt;"",KK5&gt;=KM$9,KK5&lt;&gt;"")),"Excellence",IF(OR(AND(AI5&gt;=AJ$11,AI5&lt;&gt;"",AH5&gt;=AJ$8,AH5&lt;&gt;"",AG5=""),AND(BD5&gt;=BE$11,BD5&lt;&gt;"",BC5&gt;=BE$8,BC5&lt;&gt;"",BB5=""),AND(BZ5&gt;=CA$11,BZ5&lt;&gt;"",BY5&gt;=CA$8,BY5&lt;&gt;""),AND(CT5&gt;=CU$11,CT5&lt;&gt;"",CS5&gt;=CU$8,CS5&lt;&gt;""),AND(DN5&gt;=DO$11,DN5&lt;&gt;"",DM5&gt;=DO$8,DM5&lt;&gt;""),AND(EH5&gt;=EI$11,EH5&lt;&gt;"",EG5&gt;=EI$8,EG5&lt;&gt;""),AND(FB5&gt;=FC$11,FB5&lt;&gt;"",FA5&gt;=FC$8,FA5&lt;&gt;""),AND(FV5&gt;=FW$11,FV5&lt;&gt;"",FU5&gt;=FW$8,FU5&lt;&gt;""),AND(GP5&gt;=GQ$11,GP5&lt;&gt;"",GO5&gt;=GQ$8,GO5&lt;&gt;""),AND(HJ5&gt;=HK$11,HJ5&lt;&gt;"",HI5&gt;=HK$8,HI5&lt;&gt;""),AND(ID5&gt;=IE$11,ID5&lt;&gt;"",IC5&gt;=IE$8,IC5&lt;&gt;""),AND(IX5&gt;=IY$11,IX5&lt;&gt;"",IW5&gt;=IY$8,IW5&lt;&gt;""),AND(JR5&gt;=JS$11,JR5&lt;&gt;"",JQ5&gt;=JS$8,JQ5&lt;&gt;""),AND(KL5&gt;=KM$11,KL5&lt;&gt;"",KK5&gt;=KM$8,KK5&lt;&gt;"")),"Worlds Team",IF(OR(AND(AI5&gt;=AJ$10,AI5&lt;&gt;"",AH5&gt;=AJ$8,AH5&lt;&gt;"",AG5=""),AND(BD5&gt;=BE$10,BD5&lt;&gt;"",BC5&gt;=BE$8,BC5&lt;&gt;"",BB5=""),AND(BZ5&gt;=CA$10,BZ5&lt;&gt;"",BY5&gt;=CA$8,BY5&lt;&gt;""),AND(CT5&gt;=CU$10,CT5&lt;&gt;"",CS5&gt;=CU$8,CS5&lt;&gt;""),AND(DN5&gt;=DO$10,DN5&lt;&gt;"",DM5&gt;=DO$8,DM5&lt;&gt;""),AND(EH5&gt;=EI$10,EH5&lt;&gt;"",EG5&gt;=EI$8,EG5&lt;&gt;""),AND(FB5&gt;=FC$10,FB5&lt;&gt;"",FA5&gt;=FC$8,FA5&lt;&gt;""),AND(FV5&gt;=FW$10,FV5&lt;&gt;"",FU5&gt;=FW$8,FU5&lt;&gt;""),AND(GP5&gt;=GQ$10,GP5&lt;&gt;"",GO5&gt;=GQ$8,GO5&lt;&gt;""),AND(HJ5&gt;=HK$10,HJ5&lt;&gt;"",HI5&gt;=HK$8,HI5&lt;&gt;""),AND(ID5&gt;=IE$10,ID5&lt;&gt;"",IC5&gt;=IE$8,IC5&lt;&gt;""),AND(IX5&gt;=IY$10,IX5&lt;&gt;"",IW5&gt;=IY$8,IW5&lt;&gt;""),AND(JR5&gt;=JS$10,JR5&lt;&gt;"",JQ5&gt;=JS$8,JQ5&lt;&gt;""),AND(KL5&gt;=KM$10,KL5&lt;&gt;"",KK5&gt;=KM$8,KK5&lt;&gt;"")),"National Team","")))))</f>
        <v/>
      </c>
      <c r="J5" s="15">
        <f>IF(MAX(AI5,BD5)&gt;0,MAX(AI5,BD5),"")</f>
        <v>53.199999999999996</v>
      </c>
      <c r="K5" s="15" t="str">
        <f>IF(J5="","",IF(J5=BD5,$AL$1,IF(J5=AI5,$Q$1,"")))</f>
        <v>2019 Elite Canada</v>
      </c>
      <c r="L5" s="15" t="str">
        <f>IF(MAX(AJ5,BE5)&gt;0,MAX(AJ5,BE5),"")</f>
        <v/>
      </c>
      <c r="M5" s="15" t="str">
        <f>IF(L5="","",IF(L5=BE5,$AL$1,IF(L5=AJ5,$Q$1,"")))</f>
        <v/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63">
        <v>23.4</v>
      </c>
      <c r="R5" s="63">
        <v>5.0999999999999996</v>
      </c>
      <c r="S5" s="63">
        <v>0</v>
      </c>
      <c r="T5" s="63">
        <v>0</v>
      </c>
      <c r="U5" s="63">
        <v>23.4</v>
      </c>
      <c r="V5" s="63">
        <v>1.3</v>
      </c>
      <c r="W5" s="63">
        <v>0</v>
      </c>
      <c r="X5" s="63">
        <v>0</v>
      </c>
      <c r="Y5" s="63"/>
      <c r="Z5" s="63"/>
      <c r="AA5" s="63"/>
      <c r="AB5" s="63"/>
      <c r="AC5" s="63"/>
      <c r="AD5" s="63"/>
      <c r="AE5" s="63"/>
      <c r="AF5" s="63"/>
      <c r="AG5" s="74"/>
      <c r="AH5" s="12">
        <f>IF(SUM(R5,V5)&gt;0,SUM(R5,V5),"")</f>
        <v>6.3999999999999995</v>
      </c>
      <c r="AI5" s="12">
        <f>IF(SUM(Q5:R5,T5:V5,X5)-S5-W5&gt;0,SUM(Q5:R5,T5:V5,X5)-S5-W5,"")</f>
        <v>53.199999999999996</v>
      </c>
      <c r="AJ5" s="12" t="str">
        <f>IF(SUM(Y5:Z5,AB5:AD5,AF5)-SUM(AA5,AE5)&gt;0,SUM(Y5:Z5,AB5:AD5,AF5)-SUM(AA5,AE5),"")</f>
        <v/>
      </c>
      <c r="AK5" s="12">
        <f>IF(SUM(AI5,AJ5)&gt;0,SUM(AI5,AJ5),"")</f>
        <v>53.199999999999996</v>
      </c>
      <c r="AL5" s="37">
        <v>23.6</v>
      </c>
      <c r="AM5" s="37">
        <v>5.5</v>
      </c>
      <c r="AN5" s="37">
        <v>0</v>
      </c>
      <c r="AO5" s="37">
        <v>0</v>
      </c>
      <c r="AP5" s="37">
        <v>13.2</v>
      </c>
      <c r="AQ5" s="37">
        <v>0.5</v>
      </c>
      <c r="AR5" s="37">
        <v>0</v>
      </c>
      <c r="AS5" s="37">
        <v>0</v>
      </c>
      <c r="AT5" s="37"/>
      <c r="AU5" s="37"/>
      <c r="AV5" s="37"/>
      <c r="AW5" s="37"/>
      <c r="AX5" s="37"/>
      <c r="AY5" s="37"/>
      <c r="AZ5" s="37"/>
      <c r="BA5" s="37"/>
      <c r="BB5" s="75"/>
      <c r="BC5" s="15">
        <f>IF(SUM(AM5,AQ5)&gt;0,SUM(AM5,AQ5),"")</f>
        <v>6</v>
      </c>
      <c r="BD5" s="15">
        <f>IF(SUM(AL5:AM5,AO5:AQ5,AS5)-AN5-AR5&gt;0,SUM(AL5:AM5,AO5:AQ5,AS5)-AN5-AR5,"")</f>
        <v>42.8</v>
      </c>
      <c r="BE5" s="15" t="str">
        <f>IF(SUM(AT5:AU5,AW5:AY5,BA5)-SUM(AV5,AZ5)&gt;0,SUM(AT5:AU5,AW5:AY5,BA5)-SUM(AV5,AZ5),"")</f>
        <v/>
      </c>
      <c r="BF5" s="15">
        <f>IF(SUM(BD5,BE5)&gt;0,SUM(BD5,BE5),"")</f>
        <v>42.8</v>
      </c>
      <c r="BG5" s="24" t="str">
        <f>IF(MAX(BZ5,CT5,DN5,EH5,FB5,FV5,GP5,HJ5,ID5,IX5,JR5,KL5)-IF(J5="",0,J5)&gt;0.001,MAX(BZ5,CT5,DN5,EH5,FB5,FV5,GP5,HJ5,ID5,IX5,JR5,KL5)-IF(J5="",0,J5),"")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si="0"/>
        <v>23.5</v>
      </c>
      <c r="KP5" s="63">
        <f t="shared" si="0"/>
        <v>5.3</v>
      </c>
      <c r="KQ5" s="63">
        <f t="shared" si="0"/>
        <v>0</v>
      </c>
      <c r="KR5" s="63">
        <f t="shared" si="0"/>
        <v>0</v>
      </c>
      <c r="KS5" s="63">
        <f t="shared" si="0"/>
        <v>18.299999999999997</v>
      </c>
      <c r="KT5" s="63">
        <f t="shared" si="0"/>
        <v>0.9</v>
      </c>
      <c r="KU5" s="63">
        <f t="shared" si="0"/>
        <v>0</v>
      </c>
      <c r="KV5" s="63">
        <f t="shared" si="0"/>
        <v>0</v>
      </c>
      <c r="KW5" s="63">
        <f t="shared" si="0"/>
        <v>0</v>
      </c>
      <c r="KX5" s="63">
        <f t="shared" si="0"/>
        <v>0</v>
      </c>
      <c r="KY5" s="63">
        <f t="shared" si="0"/>
        <v>0</v>
      </c>
      <c r="KZ5" s="63">
        <f t="shared" si="0"/>
        <v>0</v>
      </c>
      <c r="LA5" s="63">
        <f t="shared" si="0"/>
        <v>0</v>
      </c>
      <c r="LB5" s="63">
        <f t="shared" si="0"/>
        <v>0</v>
      </c>
      <c r="LC5" s="63">
        <f t="shared" si="0"/>
        <v>0</v>
      </c>
      <c r="LD5" s="63">
        <f t="shared" si="0"/>
        <v>0</v>
      </c>
      <c r="LE5" s="74" t="s">
        <v>81</v>
      </c>
      <c r="LF5" s="12">
        <f t="shared" si="1"/>
        <v>6.2</v>
      </c>
      <c r="LG5" s="12">
        <f t="shared" si="2"/>
        <v>47.999999999999993</v>
      </c>
      <c r="LH5" s="12" t="str">
        <f t="shared" si="3"/>
        <v/>
      </c>
      <c r="LI5" s="12">
        <f t="shared" si="4"/>
        <v>47.999999999999993</v>
      </c>
    </row>
    <row r="6" spans="1:321" x14ac:dyDescent="0.2">
      <c r="D6" s="1"/>
    </row>
    <row r="8" spans="1:321" x14ac:dyDescent="0.2">
      <c r="B8" s="64" t="s">
        <v>51</v>
      </c>
      <c r="AH8" s="50"/>
      <c r="AJ8" s="58">
        <v>10.9</v>
      </c>
      <c r="BC8" s="50"/>
      <c r="BE8" s="58">
        <v>10.9</v>
      </c>
      <c r="BY8" s="50"/>
      <c r="CA8" s="58">
        <v>10.9</v>
      </c>
      <c r="CS8" s="50"/>
      <c r="CU8" s="58">
        <v>10.9</v>
      </c>
      <c r="DM8" s="50"/>
      <c r="DO8" s="58">
        <v>10.9</v>
      </c>
      <c r="EG8" s="50"/>
      <c r="EI8" s="58">
        <v>10.9</v>
      </c>
      <c r="FA8" s="50"/>
      <c r="FC8" s="58">
        <v>10.9</v>
      </c>
      <c r="FU8" s="50"/>
      <c r="FW8" s="77">
        <v>10.9</v>
      </c>
      <c r="GO8" s="50"/>
      <c r="GQ8" s="77">
        <v>10.9</v>
      </c>
      <c r="HI8" s="50"/>
      <c r="HK8" s="77">
        <v>10.9</v>
      </c>
      <c r="IC8" s="50"/>
      <c r="IE8" s="77">
        <v>10.9</v>
      </c>
      <c r="IW8" s="50"/>
      <c r="IY8" s="77">
        <v>10.9</v>
      </c>
      <c r="JQ8" s="50"/>
      <c r="JS8" s="77">
        <v>10.9</v>
      </c>
      <c r="KK8" s="50"/>
      <c r="KM8" s="77">
        <v>10.9</v>
      </c>
    </row>
    <row r="9" spans="1:321" x14ac:dyDescent="0.2">
      <c r="A9" s="50"/>
      <c r="B9" s="91" t="s">
        <v>67</v>
      </c>
      <c r="C9" s="49"/>
      <c r="AH9" s="50"/>
      <c r="AJ9" s="93">
        <v>10.9</v>
      </c>
      <c r="BC9" s="50"/>
      <c r="BE9" s="93">
        <v>10.9</v>
      </c>
      <c r="BY9" s="50"/>
      <c r="CA9" s="93">
        <v>10.9</v>
      </c>
      <c r="CS9" s="50"/>
      <c r="CU9" s="93">
        <v>10.9</v>
      </c>
      <c r="DM9" s="50"/>
      <c r="DO9" s="93">
        <v>10.9</v>
      </c>
      <c r="EG9" s="50"/>
      <c r="EI9" s="93">
        <v>10.9</v>
      </c>
      <c r="FA9" s="50"/>
      <c r="FC9" s="93">
        <v>10.9</v>
      </c>
      <c r="FU9" s="50"/>
      <c r="FW9" s="94">
        <v>10.9</v>
      </c>
      <c r="GO9" s="50"/>
      <c r="GQ9" s="94">
        <v>10.9</v>
      </c>
      <c r="HI9" s="50"/>
      <c r="HK9" s="94">
        <v>10.9</v>
      </c>
      <c r="IC9" s="50"/>
      <c r="IE9" s="94">
        <v>10.9</v>
      </c>
      <c r="IW9" s="50"/>
      <c r="IY9" s="94">
        <v>10.9</v>
      </c>
      <c r="JQ9" s="50"/>
      <c r="JS9" s="94">
        <v>10.9</v>
      </c>
      <c r="KK9" s="50"/>
      <c r="KM9" s="94">
        <v>10.9</v>
      </c>
    </row>
    <row r="10" spans="1:321" x14ac:dyDescent="0.2">
      <c r="A10" s="50"/>
      <c r="B10" s="65" t="s">
        <v>48</v>
      </c>
      <c r="C10" s="49"/>
      <c r="AH10" s="50"/>
      <c r="AJ10" s="59">
        <v>62.1</v>
      </c>
      <c r="BC10" s="50"/>
      <c r="BE10" s="59">
        <v>62.1</v>
      </c>
      <c r="BY10" s="50"/>
      <c r="CA10" s="59">
        <v>61.9</v>
      </c>
      <c r="CS10" s="50"/>
      <c r="CU10" s="59">
        <v>61.9</v>
      </c>
      <c r="DM10" s="50"/>
      <c r="DO10" s="59">
        <v>61.9</v>
      </c>
      <c r="EG10" s="50"/>
      <c r="EI10" s="59">
        <v>61.9</v>
      </c>
      <c r="FA10" s="50"/>
      <c r="FC10" s="59">
        <v>61.9</v>
      </c>
      <c r="FU10" s="50"/>
      <c r="FW10" s="78">
        <v>61.9</v>
      </c>
      <c r="GO10" s="50"/>
      <c r="GQ10" s="78">
        <v>61.9</v>
      </c>
      <c r="HI10" s="50"/>
      <c r="HK10" s="78">
        <v>61.9</v>
      </c>
      <c r="IC10" s="50"/>
      <c r="IE10" s="78">
        <v>61.9</v>
      </c>
      <c r="IW10" s="50"/>
      <c r="IY10" s="78">
        <v>61.9</v>
      </c>
      <c r="JQ10" s="50"/>
      <c r="JS10" s="78">
        <v>61.9</v>
      </c>
      <c r="KK10" s="50"/>
      <c r="KM10" s="78">
        <v>61.9</v>
      </c>
    </row>
    <row r="11" spans="1:321" hidden="1" x14ac:dyDescent="0.2">
      <c r="A11" s="50"/>
      <c r="B11" s="66" t="s">
        <v>49</v>
      </c>
      <c r="C11" s="49"/>
      <c r="AH11" s="50"/>
      <c r="AJ11" s="60">
        <v>1000</v>
      </c>
      <c r="BC11" s="50"/>
      <c r="BE11" s="60">
        <v>1000</v>
      </c>
      <c r="BY11" s="50"/>
      <c r="CA11" s="60">
        <v>1000</v>
      </c>
      <c r="CS11" s="50"/>
      <c r="CU11" s="60">
        <v>1000</v>
      </c>
      <c r="DM11" s="50"/>
      <c r="DO11" s="60">
        <v>1000</v>
      </c>
      <c r="EG11" s="50"/>
      <c r="EI11" s="60">
        <v>1000</v>
      </c>
      <c r="FA11" s="50"/>
      <c r="FC11" s="60">
        <v>1000</v>
      </c>
      <c r="FU11" s="50"/>
      <c r="FW11" s="60">
        <v>1000</v>
      </c>
      <c r="GO11" s="50"/>
      <c r="GQ11" s="60">
        <v>1000</v>
      </c>
      <c r="HI11" s="50"/>
      <c r="HK11" s="60">
        <v>1000</v>
      </c>
      <c r="IC11" s="50"/>
      <c r="IE11" s="60">
        <v>1000</v>
      </c>
      <c r="IW11" s="50"/>
      <c r="IY11" s="60">
        <v>1000</v>
      </c>
      <c r="JQ11" s="50"/>
      <c r="JS11" s="60">
        <v>1000</v>
      </c>
      <c r="KK11" s="50"/>
      <c r="KM11" s="60">
        <v>1000</v>
      </c>
    </row>
    <row r="12" spans="1:321" x14ac:dyDescent="0.2">
      <c r="A12" s="50"/>
      <c r="B12" s="67" t="s">
        <v>62</v>
      </c>
      <c r="C12" s="49"/>
      <c r="AH12" s="50"/>
      <c r="AJ12" s="61">
        <v>63.7</v>
      </c>
      <c r="BC12" s="50"/>
      <c r="BE12" s="61">
        <v>63.7</v>
      </c>
      <c r="BY12" s="50"/>
      <c r="CA12" s="61">
        <v>63.7</v>
      </c>
      <c r="CS12" s="50"/>
      <c r="CU12" s="61">
        <v>63.7</v>
      </c>
      <c r="DM12" s="50"/>
      <c r="DO12" s="61">
        <v>63.7</v>
      </c>
      <c r="EG12" s="50"/>
      <c r="EI12" s="61">
        <v>63.7</v>
      </c>
      <c r="FA12" s="50"/>
      <c r="FC12" s="61">
        <v>63.7</v>
      </c>
      <c r="FU12" s="50"/>
      <c r="FW12" s="80">
        <v>63.7</v>
      </c>
      <c r="GO12" s="50"/>
      <c r="GQ12" s="80">
        <v>63.7</v>
      </c>
      <c r="HI12" s="50"/>
      <c r="HK12" s="80">
        <v>63.7</v>
      </c>
      <c r="IC12" s="50"/>
      <c r="IE12" s="80">
        <v>63.7</v>
      </c>
      <c r="IW12" s="50"/>
      <c r="IY12" s="80">
        <v>63.7</v>
      </c>
      <c r="JQ12" s="50"/>
      <c r="JS12" s="80">
        <v>63.7</v>
      </c>
      <c r="KK12" s="50"/>
      <c r="KM12" s="80">
        <v>63.7</v>
      </c>
    </row>
    <row r="13" spans="1:321" hidden="1" x14ac:dyDescent="0.2">
      <c r="A13" s="50"/>
      <c r="B13" s="68" t="s">
        <v>35</v>
      </c>
      <c r="C13" s="49"/>
      <c r="AH13" s="50"/>
      <c r="AJ13" s="62">
        <v>1000</v>
      </c>
      <c r="BC13" s="50"/>
      <c r="BE13" s="62">
        <v>1000</v>
      </c>
      <c r="BY13" s="50"/>
      <c r="CA13" s="62">
        <v>1000</v>
      </c>
      <c r="CS13" s="50"/>
      <c r="CU13" s="62">
        <v>1000</v>
      </c>
      <c r="DM13" s="50"/>
      <c r="DO13" s="62">
        <v>1000</v>
      </c>
      <c r="EG13" s="50"/>
      <c r="EI13" s="62">
        <v>1000</v>
      </c>
      <c r="FA13" s="50"/>
      <c r="FC13" s="62">
        <v>1000</v>
      </c>
      <c r="FU13" s="50"/>
      <c r="FW13" s="81">
        <v>1000</v>
      </c>
      <c r="GO13" s="50"/>
      <c r="GQ13" s="81">
        <v>1000</v>
      </c>
      <c r="HI13" s="50"/>
      <c r="HK13" s="81">
        <v>1000</v>
      </c>
      <c r="IC13" s="50"/>
      <c r="IE13" s="81">
        <v>1000</v>
      </c>
      <c r="IW13" s="50"/>
      <c r="IY13" s="81">
        <v>1000</v>
      </c>
      <c r="JQ13" s="50"/>
      <c r="JS13" s="81">
        <v>1000</v>
      </c>
      <c r="KK13" s="50"/>
      <c r="KM13" s="81">
        <v>1000</v>
      </c>
    </row>
    <row r="14" spans="1:321" x14ac:dyDescent="0.2">
      <c r="B14" s="76" t="s">
        <v>53</v>
      </c>
      <c r="C14" s="3"/>
    </row>
    <row r="15" spans="1:321" x14ac:dyDescent="0.2">
      <c r="A15" s="50"/>
      <c r="B15" s="50"/>
      <c r="C15" s="49"/>
    </row>
    <row r="16" spans="1:321" ht="17" x14ac:dyDescent="0.2">
      <c r="A16" s="50"/>
      <c r="B16" s="50"/>
      <c r="C16" s="49"/>
      <c r="N16" s="19"/>
      <c r="O16" s="19"/>
      <c r="P16" s="19"/>
    </row>
    <row r="17" spans="1:16" ht="17" x14ac:dyDescent="0.2">
      <c r="A17" s="50"/>
      <c r="B17" s="50"/>
      <c r="C17" s="49"/>
      <c r="N17" s="19"/>
      <c r="O17" s="19"/>
      <c r="P17" s="19"/>
    </row>
    <row r="18" spans="1:16" ht="17" x14ac:dyDescent="0.2">
      <c r="N18" s="19"/>
      <c r="O18" s="19"/>
      <c r="P18" s="19"/>
    </row>
    <row r="19" spans="1:16" ht="17" x14ac:dyDescent="0.2"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5">
      <sortCondition descending="1" ref="F1:F6"/>
    </sortState>
  </autoFilter>
  <mergeCells count="92">
    <mergeCell ref="KO1:LI1"/>
    <mergeCell ref="KO2:KR2"/>
    <mergeCell ref="KS2:KV2"/>
    <mergeCell ref="KW2:KZ2"/>
    <mergeCell ref="LA2:LD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5">
    <cfRule type="expression" dxfId="90" priority="20">
      <formula>IF($AG4&lt;&gt;"",1,0)</formula>
    </cfRule>
  </conditionalFormatting>
  <conditionalFormatting sqref="AL4:BF5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18883" operator="between">
      <formula>CA$9</formula>
      <formula>100</formula>
    </cfRule>
    <cfRule type="cellIs" dxfId="85" priority="18884" operator="between">
      <formula>CA$8</formula>
      <formula>CA$9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18955" operator="between">
      <formula>CA$13</formula>
      <formula>1000</formula>
    </cfRule>
    <cfRule type="cellIs" dxfId="83" priority="18956" operator="between">
      <formula>CA$12</formula>
      <formula>CA$13</formula>
    </cfRule>
    <cfRule type="cellIs" dxfId="82" priority="18957" operator="between">
      <formula>CA$11</formula>
      <formula>CA$12</formula>
    </cfRule>
    <cfRule type="cellIs" dxfId="81" priority="18958" operator="between">
      <formula>CA$10</formula>
      <formula>CA$11</formula>
    </cfRule>
  </conditionalFormatting>
  <conditionalFormatting sqref="BC1:BC1048576 AH1:AH1048576">
    <cfRule type="expression" dxfId="80" priority="19099">
      <formula>IF(AND(AH1&gt;=AJ$9,AH1&lt;1000,AG1=""),1,0)</formula>
    </cfRule>
    <cfRule type="expression" dxfId="79" priority="19100">
      <formula>IF(AND(AH1&gt;=AJ$8,AH1&lt;AJ$9,AG1=""),1,0)</formula>
    </cfRule>
  </conditionalFormatting>
  <conditionalFormatting sqref="AI1:AI1048576 BD1:BD1048576">
    <cfRule type="expression" dxfId="78" priority="19111">
      <formula>IF(AND(AI1&gt;=AJ$13,AI1&lt;1000,AG1=""),1,0)</formula>
    </cfRule>
    <cfRule type="expression" dxfId="77" priority="19112">
      <formula>IF(AND(AI1&gt;=AJ$12,AI1&lt;AJ$13,AG1=""),1,0)</formula>
    </cfRule>
    <cfRule type="expression" dxfId="76" priority="19113">
      <formula>IF(AND(AI1&gt;=AJ$11,AI1&lt;AJ$12,AG1=""),1,0)</formula>
    </cfRule>
    <cfRule type="expression" dxfId="75" priority="19114">
      <formula>IF(AND(AI1&gt;=AJ$10,AI1&lt;AJ$11,AG1=""),1,0)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321" width="10.83203125" hidden="1" customWidth="1"/>
  </cols>
  <sheetData>
    <row r="1" spans="1:321" ht="16" customHeight="1" x14ac:dyDescent="0.2">
      <c r="A1" s="112" t="s">
        <v>1</v>
      </c>
      <c r="B1" s="112" t="s">
        <v>26</v>
      </c>
      <c r="C1" s="112" t="s">
        <v>0</v>
      </c>
      <c r="D1" s="112" t="s">
        <v>54</v>
      </c>
      <c r="E1" s="112" t="s">
        <v>2</v>
      </c>
      <c r="F1" s="119" t="s">
        <v>60</v>
      </c>
      <c r="G1" s="119" t="s">
        <v>61</v>
      </c>
      <c r="H1" s="119" t="s">
        <v>8</v>
      </c>
      <c r="I1" s="112" t="s">
        <v>9</v>
      </c>
      <c r="J1" s="114" t="s">
        <v>10</v>
      </c>
      <c r="K1" s="114" t="s">
        <v>33</v>
      </c>
      <c r="L1" s="114" t="s">
        <v>13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83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7" t="s">
        <v>92</v>
      </c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8" t="s">
        <v>59</v>
      </c>
      <c r="BH1" s="118"/>
      <c r="BI1" s="115" t="s">
        <v>103</v>
      </c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  <c r="KO1" s="115" t="s">
        <v>82</v>
      </c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</row>
    <row r="2" spans="1:321" x14ac:dyDescent="0.2">
      <c r="A2" s="112"/>
      <c r="B2" s="112"/>
      <c r="C2" s="112"/>
      <c r="D2" s="112"/>
      <c r="E2" s="112"/>
      <c r="F2" s="119"/>
      <c r="G2" s="119"/>
      <c r="H2" s="119"/>
      <c r="I2" s="112"/>
      <c r="J2" s="114"/>
      <c r="K2" s="114"/>
      <c r="L2" s="114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1" t="s">
        <v>27</v>
      </c>
      <c r="AM2" s="111"/>
      <c r="AN2" s="111"/>
      <c r="AO2" s="111"/>
      <c r="AP2" s="111" t="s">
        <v>30</v>
      </c>
      <c r="AQ2" s="111"/>
      <c r="AR2" s="111"/>
      <c r="AS2" s="111"/>
      <c r="AT2" s="111" t="s">
        <v>31</v>
      </c>
      <c r="AU2" s="111"/>
      <c r="AV2" s="111"/>
      <c r="AW2" s="111"/>
      <c r="AX2" s="120" t="s">
        <v>32</v>
      </c>
      <c r="AY2" s="120"/>
      <c r="AZ2" s="120"/>
      <c r="BA2" s="120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0" t="s">
        <v>27</v>
      </c>
      <c r="BJ2" s="110"/>
      <c r="BK2" s="110"/>
      <c r="BL2" s="110"/>
      <c r="BM2" s="110" t="s">
        <v>30</v>
      </c>
      <c r="BN2" s="110"/>
      <c r="BO2" s="110"/>
      <c r="BP2" s="110"/>
      <c r="BQ2" s="110" t="s">
        <v>31</v>
      </c>
      <c r="BR2" s="110"/>
      <c r="BS2" s="110"/>
      <c r="BT2" s="110"/>
      <c r="BU2" s="122" t="s">
        <v>32</v>
      </c>
      <c r="BV2" s="122"/>
      <c r="BW2" s="122"/>
      <c r="BX2" s="122"/>
      <c r="BY2" s="52" t="s">
        <v>25</v>
      </c>
      <c r="BZ2" s="10" t="s">
        <v>24</v>
      </c>
      <c r="CA2" s="10" t="s">
        <v>23</v>
      </c>
      <c r="CB2" s="10" t="s">
        <v>18</v>
      </c>
      <c r="CC2" s="111" t="s">
        <v>27</v>
      </c>
      <c r="CD2" s="111"/>
      <c r="CE2" s="111"/>
      <c r="CF2" s="111"/>
      <c r="CG2" s="111" t="s">
        <v>30</v>
      </c>
      <c r="CH2" s="111"/>
      <c r="CI2" s="111"/>
      <c r="CJ2" s="111"/>
      <c r="CK2" s="111" t="s">
        <v>31</v>
      </c>
      <c r="CL2" s="111"/>
      <c r="CM2" s="111"/>
      <c r="CN2" s="111"/>
      <c r="CO2" s="120" t="s">
        <v>32</v>
      </c>
      <c r="CP2" s="120"/>
      <c r="CQ2" s="120"/>
      <c r="CR2" s="120"/>
      <c r="CS2" s="51" t="s">
        <v>25</v>
      </c>
      <c r="CT2" s="13" t="s">
        <v>24</v>
      </c>
      <c r="CU2" s="13" t="s">
        <v>23</v>
      </c>
      <c r="CV2" s="13" t="s">
        <v>18</v>
      </c>
      <c r="CW2" s="110" t="s">
        <v>27</v>
      </c>
      <c r="CX2" s="110"/>
      <c r="CY2" s="110"/>
      <c r="CZ2" s="110"/>
      <c r="DA2" s="110" t="s">
        <v>30</v>
      </c>
      <c r="DB2" s="110"/>
      <c r="DC2" s="110"/>
      <c r="DD2" s="110"/>
      <c r="DE2" s="110" t="s">
        <v>31</v>
      </c>
      <c r="DF2" s="110"/>
      <c r="DG2" s="110"/>
      <c r="DH2" s="110"/>
      <c r="DI2" s="122" t="s">
        <v>32</v>
      </c>
      <c r="DJ2" s="122"/>
      <c r="DK2" s="122"/>
      <c r="DL2" s="122"/>
      <c r="DM2" s="52" t="s">
        <v>25</v>
      </c>
      <c r="DN2" s="10" t="s">
        <v>24</v>
      </c>
      <c r="DO2" s="10" t="s">
        <v>23</v>
      </c>
      <c r="DP2" s="10" t="s">
        <v>18</v>
      </c>
      <c r="DQ2" s="111" t="s">
        <v>27</v>
      </c>
      <c r="DR2" s="111"/>
      <c r="DS2" s="111"/>
      <c r="DT2" s="111"/>
      <c r="DU2" s="111" t="s">
        <v>30</v>
      </c>
      <c r="DV2" s="111"/>
      <c r="DW2" s="111"/>
      <c r="DX2" s="111"/>
      <c r="DY2" s="111" t="s">
        <v>31</v>
      </c>
      <c r="DZ2" s="111"/>
      <c r="EA2" s="111"/>
      <c r="EB2" s="111"/>
      <c r="EC2" s="120" t="s">
        <v>32</v>
      </c>
      <c r="ED2" s="120"/>
      <c r="EE2" s="120"/>
      <c r="EF2" s="120"/>
      <c r="EG2" s="20" t="s">
        <v>25</v>
      </c>
      <c r="EH2" s="13" t="s">
        <v>24</v>
      </c>
      <c r="EI2" s="13" t="s">
        <v>23</v>
      </c>
      <c r="EJ2" s="13" t="s">
        <v>18</v>
      </c>
      <c r="EK2" s="110" t="s">
        <v>27</v>
      </c>
      <c r="EL2" s="110"/>
      <c r="EM2" s="110"/>
      <c r="EN2" s="110"/>
      <c r="EO2" s="110" t="s">
        <v>30</v>
      </c>
      <c r="EP2" s="110"/>
      <c r="EQ2" s="110"/>
      <c r="ER2" s="110"/>
      <c r="ES2" s="110" t="s">
        <v>31</v>
      </c>
      <c r="ET2" s="110"/>
      <c r="EU2" s="110"/>
      <c r="EV2" s="110"/>
      <c r="EW2" s="122" t="s">
        <v>32</v>
      </c>
      <c r="EX2" s="122"/>
      <c r="EY2" s="122"/>
      <c r="EZ2" s="122"/>
      <c r="FA2" s="21" t="s">
        <v>25</v>
      </c>
      <c r="FB2" s="10" t="s">
        <v>24</v>
      </c>
      <c r="FC2" s="10" t="s">
        <v>23</v>
      </c>
      <c r="FD2" s="10" t="s">
        <v>18</v>
      </c>
      <c r="FE2" s="111" t="s">
        <v>27</v>
      </c>
      <c r="FF2" s="111"/>
      <c r="FG2" s="111"/>
      <c r="FH2" s="111"/>
      <c r="FI2" s="111" t="s">
        <v>30</v>
      </c>
      <c r="FJ2" s="111"/>
      <c r="FK2" s="111"/>
      <c r="FL2" s="111"/>
      <c r="FM2" s="111" t="s">
        <v>31</v>
      </c>
      <c r="FN2" s="111"/>
      <c r="FO2" s="111"/>
      <c r="FP2" s="111"/>
      <c r="FQ2" s="120" t="s">
        <v>32</v>
      </c>
      <c r="FR2" s="120"/>
      <c r="FS2" s="120"/>
      <c r="FT2" s="120"/>
      <c r="FU2" s="20" t="s">
        <v>25</v>
      </c>
      <c r="FV2" s="13" t="s">
        <v>24</v>
      </c>
      <c r="FW2" s="13" t="s">
        <v>23</v>
      </c>
      <c r="FX2" s="13" t="s">
        <v>18</v>
      </c>
      <c r="FY2" s="110" t="s">
        <v>27</v>
      </c>
      <c r="FZ2" s="110"/>
      <c r="GA2" s="110"/>
      <c r="GB2" s="110"/>
      <c r="GC2" s="110" t="s">
        <v>30</v>
      </c>
      <c r="GD2" s="110"/>
      <c r="GE2" s="110"/>
      <c r="GF2" s="110"/>
      <c r="GG2" s="110" t="s">
        <v>31</v>
      </c>
      <c r="GH2" s="110"/>
      <c r="GI2" s="110"/>
      <c r="GJ2" s="110"/>
      <c r="GK2" s="122" t="s">
        <v>32</v>
      </c>
      <c r="GL2" s="122"/>
      <c r="GM2" s="122"/>
      <c r="GN2" s="122"/>
      <c r="GO2" s="21" t="s">
        <v>25</v>
      </c>
      <c r="GP2" s="10" t="s">
        <v>24</v>
      </c>
      <c r="GQ2" s="10" t="s">
        <v>23</v>
      </c>
      <c r="GR2" s="10" t="s">
        <v>18</v>
      </c>
      <c r="GS2" s="111" t="s">
        <v>27</v>
      </c>
      <c r="GT2" s="111"/>
      <c r="GU2" s="111"/>
      <c r="GV2" s="111"/>
      <c r="GW2" s="111" t="s">
        <v>30</v>
      </c>
      <c r="GX2" s="111"/>
      <c r="GY2" s="111"/>
      <c r="GZ2" s="111"/>
      <c r="HA2" s="111" t="s">
        <v>31</v>
      </c>
      <c r="HB2" s="111"/>
      <c r="HC2" s="111"/>
      <c r="HD2" s="111"/>
      <c r="HE2" s="120" t="s">
        <v>32</v>
      </c>
      <c r="HF2" s="120"/>
      <c r="HG2" s="120"/>
      <c r="HH2" s="120"/>
      <c r="HI2" s="20" t="s">
        <v>25</v>
      </c>
      <c r="HJ2" s="13" t="s">
        <v>24</v>
      </c>
      <c r="HK2" s="13" t="s">
        <v>23</v>
      </c>
      <c r="HL2" s="13" t="s">
        <v>18</v>
      </c>
      <c r="HM2" s="110" t="s">
        <v>27</v>
      </c>
      <c r="HN2" s="110"/>
      <c r="HO2" s="110"/>
      <c r="HP2" s="110"/>
      <c r="HQ2" s="110" t="s">
        <v>30</v>
      </c>
      <c r="HR2" s="110"/>
      <c r="HS2" s="110"/>
      <c r="HT2" s="110"/>
      <c r="HU2" s="110" t="s">
        <v>31</v>
      </c>
      <c r="HV2" s="110"/>
      <c r="HW2" s="110"/>
      <c r="HX2" s="110"/>
      <c r="HY2" s="122" t="s">
        <v>32</v>
      </c>
      <c r="HZ2" s="122"/>
      <c r="IA2" s="122"/>
      <c r="IB2" s="122"/>
      <c r="IC2" s="21" t="s">
        <v>25</v>
      </c>
      <c r="ID2" s="10" t="s">
        <v>24</v>
      </c>
      <c r="IE2" s="10" t="s">
        <v>23</v>
      </c>
      <c r="IF2" s="10" t="s">
        <v>18</v>
      </c>
      <c r="IG2" s="111" t="s">
        <v>27</v>
      </c>
      <c r="IH2" s="111"/>
      <c r="II2" s="111"/>
      <c r="IJ2" s="111"/>
      <c r="IK2" s="111" t="s">
        <v>30</v>
      </c>
      <c r="IL2" s="111"/>
      <c r="IM2" s="111"/>
      <c r="IN2" s="111"/>
      <c r="IO2" s="111" t="s">
        <v>31</v>
      </c>
      <c r="IP2" s="111"/>
      <c r="IQ2" s="111"/>
      <c r="IR2" s="111"/>
      <c r="IS2" s="120" t="s">
        <v>32</v>
      </c>
      <c r="IT2" s="120"/>
      <c r="IU2" s="120"/>
      <c r="IV2" s="120"/>
      <c r="IW2" s="20" t="s">
        <v>25</v>
      </c>
      <c r="IX2" s="13" t="s">
        <v>24</v>
      </c>
      <c r="IY2" s="13" t="s">
        <v>23</v>
      </c>
      <c r="IZ2" s="13" t="s">
        <v>18</v>
      </c>
      <c r="JA2" s="110" t="s">
        <v>27</v>
      </c>
      <c r="JB2" s="110"/>
      <c r="JC2" s="110"/>
      <c r="JD2" s="110"/>
      <c r="JE2" s="110" t="s">
        <v>30</v>
      </c>
      <c r="JF2" s="110"/>
      <c r="JG2" s="110"/>
      <c r="JH2" s="110"/>
      <c r="JI2" s="110" t="s">
        <v>31</v>
      </c>
      <c r="JJ2" s="110"/>
      <c r="JK2" s="110"/>
      <c r="JL2" s="110"/>
      <c r="JM2" s="122" t="s">
        <v>32</v>
      </c>
      <c r="JN2" s="122"/>
      <c r="JO2" s="122"/>
      <c r="JP2" s="122"/>
      <c r="JQ2" s="21" t="s">
        <v>25</v>
      </c>
      <c r="JR2" s="10" t="s">
        <v>24</v>
      </c>
      <c r="JS2" s="10" t="s">
        <v>23</v>
      </c>
      <c r="JT2" s="10" t="s">
        <v>18</v>
      </c>
      <c r="JU2" s="111" t="s">
        <v>27</v>
      </c>
      <c r="JV2" s="111"/>
      <c r="JW2" s="111"/>
      <c r="JX2" s="111"/>
      <c r="JY2" s="111" t="s">
        <v>30</v>
      </c>
      <c r="JZ2" s="111"/>
      <c r="KA2" s="111"/>
      <c r="KB2" s="111"/>
      <c r="KC2" s="111" t="s">
        <v>31</v>
      </c>
      <c r="KD2" s="111"/>
      <c r="KE2" s="111"/>
      <c r="KF2" s="111"/>
      <c r="KG2" s="120" t="s">
        <v>32</v>
      </c>
      <c r="KH2" s="120"/>
      <c r="KI2" s="120"/>
      <c r="KJ2" s="120"/>
      <c r="KK2" s="20" t="s">
        <v>25</v>
      </c>
      <c r="KL2" s="13" t="s">
        <v>24</v>
      </c>
      <c r="KM2" s="13" t="s">
        <v>23</v>
      </c>
      <c r="KN2" s="13" t="s">
        <v>18</v>
      </c>
      <c r="KO2" s="110" t="s">
        <v>27</v>
      </c>
      <c r="KP2" s="110"/>
      <c r="KQ2" s="110"/>
      <c r="KR2" s="110"/>
      <c r="KS2" s="110" t="s">
        <v>30</v>
      </c>
      <c r="KT2" s="110"/>
      <c r="KU2" s="110"/>
      <c r="KV2" s="110"/>
      <c r="KW2" s="110" t="s">
        <v>31</v>
      </c>
      <c r="KX2" s="110"/>
      <c r="KY2" s="110"/>
      <c r="KZ2" s="110"/>
      <c r="LA2" s="121" t="s">
        <v>32</v>
      </c>
      <c r="LB2" s="121"/>
      <c r="LC2" s="121"/>
      <c r="LD2" s="121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2"/>
      <c r="B3" s="112"/>
      <c r="C3" s="112"/>
      <c r="D3" s="112"/>
      <c r="E3" s="112"/>
      <c r="F3" s="119"/>
      <c r="G3" s="119"/>
      <c r="H3" s="119"/>
      <c r="I3" s="112"/>
      <c r="J3" s="114"/>
      <c r="K3" s="114"/>
      <c r="L3" s="114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52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52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52</v>
      </c>
      <c r="LF3" s="11"/>
      <c r="LG3" s="10"/>
      <c r="LH3" s="11"/>
      <c r="LI3" s="11"/>
    </row>
    <row r="4" spans="1:321" x14ac:dyDescent="0.2">
      <c r="A4" s="6">
        <f>IF(AND(F4="P",H4="P"),SUMPRODUCT((F$4:F$7="P")*(H$4:H$7="P")*(E$4:E$7&gt;E4))+1,IF(H4="P",SUMPRODUCT((F$4:F$7="")*(H$4:H$7="P")*(E$4:E$7&gt;E4))+1+SUMPRODUCT((F$4:F$7="P")*(H$4:H$7="P")),""))</f>
        <v>1</v>
      </c>
      <c r="B4" s="9" t="s">
        <v>88</v>
      </c>
      <c r="C4" s="5" t="s">
        <v>3</v>
      </c>
      <c r="D4" s="27">
        <v>2003</v>
      </c>
      <c r="E4" s="16">
        <f>SUM(J4:N4)</f>
        <v>124.8</v>
      </c>
      <c r="F4" s="4" t="str">
        <f>IF(OR(AND(AH4&gt;=AJ$9,AI4&gt;=AJ$11,AI4&lt;&gt;"",AG4=""),AND(BC4&gt;=BE$9,BD4&gt;=BE$11,BD4&lt;&gt;"",BB4=""),AND(BY4&gt;=CA$9,BZ4&gt;=CA$11,BZ4&lt;&gt;""),AND(CS4&gt;=CU$9,CT4&gt;=CU$11,CT4&lt;&gt;""),AND(DM4&gt;=DO$9,DN4&gt;=DO$11,DN4&lt;&gt;""),AND(EG4&gt;=EI$9,EH4&gt;=EI$11,EH4&lt;&gt;""),AND(FA4&gt;=FC$9,FB4&gt;=FC$11,FB4&lt;&gt;""),AND(FU4&gt;=FW$9,FV4&gt;=FW$11,FV4&lt;&gt;""),AND(GO4&gt;=GQ$9,GP4&gt;=GQ$11,GP4&lt;&gt;""),AND(HI4&gt;=HK$9,HJ4&gt;=HK$11,HJ4&lt;&gt;""),AND(IC4&gt;=IE$9,ID4&gt;=IE$11,ID4&lt;&gt;""),AND(IW4&gt;=IY$9,IX4&gt;=IY$11,IX4&lt;&gt;""),AND(JQ4&gt;=JS$9,JR4&gt;=JS$11,JR4&lt;&gt;""),AND(KK4&gt;=KM$9,KL4&gt;=KM$11,KL4&lt;&gt;"")),"P","")</f>
        <v>P</v>
      </c>
      <c r="G4" s="4" t="str">
        <f>IF(OR(AND(AH4&gt;=AJ$9,AI4&gt;=AJ$12,AI4&lt;&gt;"",AG4=""),AND(BC4&gt;=BE$9,BD4&gt;=BE$12,BD4&lt;&gt;"",BB4=""),AND(BY4&gt;=CA$9,BZ4&gt;=CA$12,BZ4&lt;&gt;""),AND(CS4&gt;=CU$9,CT4&gt;=CU$12,CT4&lt;&gt;""),AND(DM4&gt;=DO$9,DN4&gt;=DO$12,DN4&lt;&gt;""),AND(EG4&gt;=EI$9,EH4&gt;=EI$12,EH4&lt;&gt;""),AND(FA4&gt;=FC$9,FB4&gt;=FC$12,FB4&lt;&gt;""),AND(FU4&gt;=FW$9,FV4&gt;=FW$12,FV4&lt;&gt;""),AND(GO4&gt;=GQ$9,GP4&gt;=GQ$12,GP4&lt;&gt;""),AND(HI4&gt;=HK$9,HJ4&gt;=HK$12,HJ4&lt;&gt;""),AND(IC4&gt;=IE$9,ID4&gt;=IE$12,ID4&lt;&gt;""),AND(IW4&gt;=IY$9,IX4&gt;=IY$12,IX4&lt;&gt;""),AND(JQ4&gt;=JS$9,JR4&gt;=JS$12,JR4&lt;&gt;""),AND(KK4&gt;=KM$9,KL4&gt;=KM$12,KL4&lt;&gt;"")),"P","")</f>
        <v/>
      </c>
      <c r="H4" s="4" t="str">
        <f>IF(OR(AND(AI4&gt;=AJ$11,AI4&lt;&gt;"",AG4=""),AND(BD4&gt;=BE$11,BD4&lt;&gt;"",BB4=""),AND(BZ4&gt;=CA$11,BZ4&lt;&gt;""),AND(CT4&gt;=CU$11,CT4&lt;&gt;""),AND(DN4&gt;=DO$11,DN4&lt;&gt;""),AND(EH4&gt;=EI$11,EH4&lt;&gt;""),AND(FB4&gt;=FC$11,FB4&lt;&gt;""),AND(FV4&gt;=FW$11,FV4&lt;&gt;""),AND(GP4&gt;=GQ$11,GP4&lt;&gt;""),AND(HJ4&gt;=HK$11,HJ4&lt;&gt;""),AND(ID4&gt;=IE$11,ID4&lt;&gt;""),AND(IX4&gt;=IY$11,IX4&lt;&gt;""),AND(JR4&gt;=JS$11,JR4&lt;&gt;""),AND(KL4&gt;=KM$11,KL4&lt;&gt;"")),"P","")</f>
        <v>P</v>
      </c>
      <c r="I4" t="str">
        <f>IF(AND(H4="P",F4=""),"No DD",IF(OR(AND(AI4&gt;=AJ$14,AI4&lt;&gt;"",AH4&gt;=AJ$10,AH4&lt;&gt;"",AG4=""),AND(BD4&gt;=BE$14,BD4&lt;&gt;"",BC4&gt;=BE$10,BC4&lt;&gt;"",BB4=""),AND(BZ4&gt;=CA$14,BZ4&lt;&gt;"",BY4&gt;=CA$10,BY4&lt;&gt;""),AND(CT4&gt;=CU$14,CT4&lt;&gt;"",CS4&gt;=CU$10,CS4&lt;&gt;""),AND(DN4&gt;=DO$14,DN4&lt;&gt;"",DM4&gt;=DO$10,DM4&lt;&gt;""),AND(EH4&gt;=EI$14,EH4&lt;&gt;"",EG4&gt;=EI$10,EG4&lt;&gt;""),AND(FB4&gt;=FC$14,FB4&lt;&gt;"",FA4&gt;=FC$10,FA4&lt;&gt;""),AND(FV4&gt;=FW$14,FV4&lt;&gt;"",FU4&gt;=FW$10,FU4&lt;&gt;""),AND(GP4&gt;=GQ$14,GP4&lt;&gt;"",GO4&gt;=GQ$10,GO4&lt;&gt;""),AND(HJ4&gt;=HK$14,HJ4&lt;&gt;"",HI4&gt;=HK$10,HI4&lt;&gt;""),AND(ID4&gt;=IE$14,ID4&lt;&gt;"",IC4&gt;=IE$10,IC4&lt;&gt;""),AND(IX4&gt;=IY$14,IX4&lt;&gt;"",IW4&gt;=IY$10,IW4&lt;&gt;""),AND(JR4&gt;=JS$14,JR4&lt;&gt;"",JQ4&gt;=JS$10,JQ4&lt;&gt;""),AND(KL4&gt;=KM$14,KL4&lt;&gt;"",KK4&gt;=KM$10,KK4&lt;&gt;"")),"Merit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Excellence",IF(OR(AND(AI4&gt;=AJ$12,AI4&lt;&gt;"",AH4&gt;=AJ$9,AH4&lt;&gt;"",AG4=""),AND(BD4&gt;=BE$12,BD4&lt;&gt;"",BC4&gt;=BE$9,BC4&lt;&gt;"",BB4=""),AND(BZ4&gt;=CA$12,BZ4&lt;&gt;"",BY4&gt;=CA$9,BY4&lt;&gt;""),AND(CT4&gt;=CU$12,CT4&lt;&gt;"",CS4&gt;=CU$9,CS4&lt;&gt;""),AND(DN4&gt;=DO$12,DN4&lt;&gt;"",DM4&gt;=DO$9,DM4&lt;&gt;""),AND(EH4&gt;=EI$12,EH4&lt;&gt;"",EG4&gt;=EI$9,EG4&lt;&gt;""),AND(FB4&gt;=FC$12,FB4&lt;&gt;"",FA4&gt;=FC$9,FA4&lt;&gt;""),AND(FV4&gt;=FW$12,FV4&lt;&gt;"",FU4&gt;=FW$9,FU4&lt;&gt;""),AND(GP4&gt;=GQ$12,GP4&lt;&gt;"",GO4&gt;=GQ$9,GO4&lt;&gt;""),AND(HJ4&gt;=HK$12,HJ4&lt;&gt;"",HI4&gt;=HK$9,HI4&lt;&gt;""),AND(ID4&gt;=IE$12,ID4&lt;&gt;"",IC4&gt;=IE$9,IC4&lt;&gt;""),AND(IX4&gt;=IY$12,IX4&lt;&gt;"",IW4&gt;=IY$9,IW4&lt;&gt;""),AND(JR4&gt;=JS$12,JR4&lt;&gt;"",JQ4&gt;=JS$9,JQ4&lt;&gt;""),AND(KL4&gt;=KM$12,KL4&lt;&gt;"",KK4&gt;=KM$9,KK4&lt;&gt;"")),"Worlds Team",IF(OR(AND(AI4&gt;=AJ$11,AI4&lt;&gt;"",AH4&gt;=AJ$9,AH4&lt;&gt;"",AG4=""),AND(BD4&gt;=BE$11,BD4&lt;&gt;"",BC4&gt;=BE$9,BC4&lt;&gt;"",BB4=""),AND(BZ4&gt;=CA$11,BZ4&lt;&gt;"",BY4&gt;=CA$9,BY4&lt;&gt;""),AND(CT4&gt;=CU$11,CT4&lt;&gt;"",CS4&gt;=CU$9,CS4&lt;&gt;""),AND(DN4&gt;=DO$11,DN4&lt;&gt;"",DM4&gt;=DO$9,DM4&lt;&gt;""),AND(EH4&gt;=EI$11,EH4&lt;&gt;"",EG4&gt;=EI$9,EG4&lt;&gt;""),AND(FB4&gt;=FC$11,FB4&lt;&gt;"",FA4&gt;=FC$9,FA4&lt;&gt;""),AND(FV4&gt;=FW$11,FV4&lt;&gt;"",FU4&gt;=FW$9,FU4&lt;&gt;""),AND(GP4&gt;=GQ$11,GP4&lt;&gt;"",GO4&gt;=GQ$9,GO4&lt;&gt;""),AND(HJ4&gt;=HK$11,HJ4&lt;&gt;"",HI4&gt;=HK$9,HI4&lt;&gt;""),AND(ID4&gt;=IE$11,ID4&lt;&gt;"",IC4&gt;=IE$9,IC4&lt;&gt;""),AND(IX4&gt;=IY$11,IX4&lt;&gt;"",IW4&gt;=IY$9,IW4&lt;&gt;""),AND(JR4&gt;=JS$11,JR4&lt;&gt;"",JQ4&gt;=JS$9,JQ4&lt;&gt;""),AND(KL4&gt;=KM$11,KL4&lt;&gt;"",KK4&gt;=KM$9,KK4&lt;&gt;"")),"National Team","")))))</f>
        <v>National Team</v>
      </c>
      <c r="J4" s="15">
        <f>IF(MAX(AI4,BD4)&gt;0,MAX(AI4,BD4),"")</f>
        <v>62.5</v>
      </c>
      <c r="K4" s="15" t="str">
        <f>IF(J4="","",IF(J4=BD4,$AL$1,IF(J4=AI4,$Q$1,"")))</f>
        <v>2019 Nationals</v>
      </c>
      <c r="L4" s="15">
        <f>IF(MAX(AJ4,BE4)&gt;0,MAX(AJ4,BE4),"")</f>
        <v>62.3</v>
      </c>
      <c r="M4" s="15" t="str">
        <f>IF(L4="","",IF(L4=BE4,$AL$1,IF(L4=AJ4,$Q$1,"")))</f>
        <v>2019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38">
        <v>25.1</v>
      </c>
      <c r="R4" s="38">
        <v>3.6</v>
      </c>
      <c r="S4" s="38">
        <v>0</v>
      </c>
      <c r="T4" s="38">
        <v>0</v>
      </c>
      <c r="U4" s="38">
        <v>24.8</v>
      </c>
      <c r="V4" s="38">
        <v>4.3</v>
      </c>
      <c r="W4" s="38">
        <v>0</v>
      </c>
      <c r="X4" s="38">
        <v>1</v>
      </c>
      <c r="Y4" s="38">
        <v>25.6</v>
      </c>
      <c r="Z4" s="38">
        <v>3.6</v>
      </c>
      <c r="AA4" s="38">
        <v>0.3</v>
      </c>
      <c r="AB4" s="38">
        <v>0</v>
      </c>
      <c r="AC4" s="38">
        <v>24.2</v>
      </c>
      <c r="AD4" s="38">
        <v>1.2</v>
      </c>
      <c r="AE4" s="38">
        <v>0</v>
      </c>
      <c r="AF4" s="38">
        <v>0</v>
      </c>
      <c r="AG4" s="74"/>
      <c r="AH4" s="12">
        <f>IF(SUM(R4,V4)&gt;0,SUM(R4,V4),"")</f>
        <v>7.9</v>
      </c>
      <c r="AI4" s="12">
        <f>IF(SUM(Q4:R4,T4:V4,X4)-S4-W4&gt;0,SUM(Q4:R4,T4:V4,X4)-S4-W4,"")</f>
        <v>58.8</v>
      </c>
      <c r="AJ4" s="12">
        <f>IF(SUM(Y4:Z4,AB4:AD4,AF4)-SUM(AA4,AE4)&gt;0,SUM(Y4:Z4,AB4:AD4,AF4)-SUM(AA4,AE4),"")</f>
        <v>54.300000000000011</v>
      </c>
      <c r="AK4" s="12">
        <f>IF(SUM(AI4,AJ4)&gt;0,SUM(AI4,AJ4),"")</f>
        <v>113.10000000000001</v>
      </c>
      <c r="AL4" s="37">
        <v>26.7</v>
      </c>
      <c r="AM4" s="37">
        <v>3.6</v>
      </c>
      <c r="AN4" s="37">
        <v>0</v>
      </c>
      <c r="AO4" s="37">
        <v>0</v>
      </c>
      <c r="AP4" s="37">
        <v>26.9</v>
      </c>
      <c r="AQ4" s="37">
        <v>4.3</v>
      </c>
      <c r="AR4" s="37">
        <v>0</v>
      </c>
      <c r="AS4" s="37">
        <v>1</v>
      </c>
      <c r="AT4" s="37">
        <v>27.2</v>
      </c>
      <c r="AU4" s="37">
        <v>3.6</v>
      </c>
      <c r="AV4" s="37">
        <v>0</v>
      </c>
      <c r="AW4" s="37">
        <v>0</v>
      </c>
      <c r="AX4" s="37">
        <v>26.2</v>
      </c>
      <c r="AY4" s="37">
        <v>4.3</v>
      </c>
      <c r="AZ4" s="37">
        <v>0</v>
      </c>
      <c r="BA4" s="37">
        <v>1</v>
      </c>
      <c r="BB4" s="75"/>
      <c r="BC4" s="15">
        <f>IF(SUM(AM4,AQ4)&gt;0,SUM(AM4,AQ4),"")</f>
        <v>7.9</v>
      </c>
      <c r="BD4" s="15">
        <f>IF(SUM(AL4:AM4,AO4:AQ4,AS4)-AN4-AR4&gt;0,SUM(AL4:AM4,AO4:AQ4,AS4)-AN4-AR4,"")</f>
        <v>62.5</v>
      </c>
      <c r="BE4" s="15">
        <f>IF(SUM(AT4:AU4,AW4:AY4,BA4)-SUM(AV4,AZ4)&gt;0,SUM(AT4:AU4,AW4:AY4,BA4)-SUM(AV4,AZ4),"")</f>
        <v>62.3</v>
      </c>
      <c r="BF4" s="15">
        <f>IF(SUM(BD4,BE4)&gt;0,SUM(BD4,BE4),"")</f>
        <v>124.8</v>
      </c>
      <c r="BG4" s="24" t="str">
        <f>IF(MAX(BZ4,CT4,DN4,EH4,FB4,FV4,GP4,HJ4,ID4,IX4,JR4,KL4)-IF(J4="",0,J4)&gt;0.001,MAX(BZ4,CT4,DN4,EH4,FB4,FV4,GP4,HJ4,ID4,IX4,JR4,KL4)-IF(J4="",0,J4),"")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27.7</v>
      </c>
      <c r="BJ4" s="36">
        <v>3.6</v>
      </c>
      <c r="BK4" s="36">
        <v>0</v>
      </c>
      <c r="BL4" s="36">
        <v>0</v>
      </c>
      <c r="BM4" s="36">
        <v>26.4</v>
      </c>
      <c r="BN4" s="36">
        <v>3.8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7.4</v>
      </c>
      <c r="BZ4" s="12">
        <f>IF(SUM(BI4:BJ4,BL4:BN4,BP4)-BK4-BO4&gt;0,SUM(BI4:BJ4,BL4:BN4,BP4)-BK4-BO4,"")</f>
        <v>61.5</v>
      </c>
      <c r="CA4" s="12" t="str">
        <f>IF(SUM(BQ4:BR4,BT4:BV4,BX4)-SUM(BS4,BW4)&gt;0,SUM(BQ4:BR4,BT4:BV4,BX4)-SUM(BS4,BW4),"")</f>
        <v/>
      </c>
      <c r="CB4" s="12">
        <f>IF(SUM(BZ4,CA4)&gt;0,SUM(BZ4,CA4),"")</f>
        <v>61.5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>IF($BB4="P",AL4,(Q4+AL4)/2)</f>
        <v>25.9</v>
      </c>
      <c r="KP4" s="63">
        <f t="shared" ref="KP4:LD6" si="0">IF($BB4="P",AM4,(R4+AM4)/2)</f>
        <v>3.6</v>
      </c>
      <c r="KQ4" s="63">
        <f t="shared" si="0"/>
        <v>0</v>
      </c>
      <c r="KR4" s="63">
        <f t="shared" si="0"/>
        <v>0</v>
      </c>
      <c r="KS4" s="63">
        <f t="shared" si="0"/>
        <v>25.85</v>
      </c>
      <c r="KT4" s="63">
        <f t="shared" si="0"/>
        <v>4.3</v>
      </c>
      <c r="KU4" s="63">
        <f t="shared" si="0"/>
        <v>0</v>
      </c>
      <c r="KV4" s="63">
        <f t="shared" si="0"/>
        <v>1</v>
      </c>
      <c r="KW4" s="63">
        <f t="shared" si="0"/>
        <v>26.4</v>
      </c>
      <c r="KX4" s="63">
        <f t="shared" si="0"/>
        <v>3.6</v>
      </c>
      <c r="KY4" s="63">
        <f t="shared" si="0"/>
        <v>0.15</v>
      </c>
      <c r="KZ4" s="63">
        <f t="shared" si="0"/>
        <v>0</v>
      </c>
      <c r="LA4" s="63">
        <f t="shared" si="0"/>
        <v>25.2</v>
      </c>
      <c r="LB4" s="63">
        <f t="shared" si="0"/>
        <v>2.75</v>
      </c>
      <c r="LC4" s="63">
        <f t="shared" si="0"/>
        <v>0</v>
      </c>
      <c r="LD4" s="63">
        <f t="shared" si="0"/>
        <v>0.5</v>
      </c>
      <c r="LE4" s="74" t="s">
        <v>81</v>
      </c>
      <c r="LF4" s="12">
        <f>IF(SUM(KP4,KT4)&gt;0,SUM(KP4,KT4),"")</f>
        <v>7.9</v>
      </c>
      <c r="LG4" s="12">
        <f t="shared" ref="LG4" si="1">IF(SUM(KO4:KP4,KR4:KT4,KV4)-KQ4-KU4&gt;0,SUM(KO4:KP4,KR4:KT4,KV4)-KQ4-KU4,"")</f>
        <v>60.65</v>
      </c>
      <c r="LH4" s="12">
        <f t="shared" ref="LH4" si="2">IF(SUM(KW4:KX4,KZ4:LB4,LD4)-SUM(KY4,LC4)&gt;0,SUM(KW4:KX4,KZ4:LB4,LD4)-SUM(KY4,LC4),"")</f>
        <v>58.300000000000004</v>
      </c>
      <c r="LI4" s="12">
        <f t="shared" ref="LI4" si="3">IF(SUM(LG4,LH4)&gt;0,SUM(LG4,LH4),"")</f>
        <v>118.95</v>
      </c>
    </row>
    <row r="5" spans="1:321" x14ac:dyDescent="0.2">
      <c r="A5" s="6">
        <f>IF(AND(F5="P",H5="P"),SUMPRODUCT((F$4:F$7="P")*(H$4:H$7="P")*(E$4:E$7&gt;E5))+1,IF(H5="P",SUMPRODUCT((F$4:F$7="")*(H$4:H$7="P")*(E$4:E$7&gt;E5))+1+SUMPRODUCT((F$4:F$7="P")*(H$4:H$7="P")),""))</f>
        <v>2</v>
      </c>
      <c r="B5" s="9" t="s">
        <v>100</v>
      </c>
      <c r="C5" s="5" t="s">
        <v>3</v>
      </c>
      <c r="D5" s="27">
        <v>2004</v>
      </c>
      <c r="E5" s="16">
        <f>SUM(J5:N5)</f>
        <v>123.79999999999998</v>
      </c>
      <c r="F5" s="4" t="str">
        <f>IF(OR(AND(AH5&gt;=AJ$9,AI5&gt;=AJ$11,AI5&lt;&gt;"",AG5=""),AND(BC5&gt;=BE$9,BD5&gt;=BE$11,BD5&lt;&gt;"",BB5=""),AND(BY5&gt;=CA$9,BZ5&gt;=CA$11,BZ5&lt;&gt;""),AND(CS5&gt;=CU$9,CT5&gt;=CU$11,CT5&lt;&gt;""),AND(DM5&gt;=DO$9,DN5&gt;=DO$11,DN5&lt;&gt;""),AND(EG5&gt;=EI$9,EH5&gt;=EI$11,EH5&lt;&gt;""),AND(FA5&gt;=FC$9,FB5&gt;=FC$11,FB5&lt;&gt;""),AND(FU5&gt;=FW$9,FV5&gt;=FW$11,FV5&lt;&gt;""),AND(GO5&gt;=GQ$9,GP5&gt;=GQ$11,GP5&lt;&gt;""),AND(HI5&gt;=HK$9,HJ5&gt;=HK$11,HJ5&lt;&gt;""),AND(IC5&gt;=IE$9,ID5&gt;=IE$11,ID5&lt;&gt;""),AND(IW5&gt;=IY$9,IX5&gt;=IY$11,IX5&lt;&gt;""),AND(JQ5&gt;=JS$9,JR5&gt;=JS$11,JR5&lt;&gt;""),AND(KK5&gt;=KM$9,KL5&gt;=KM$11,KL5&lt;&gt;"")),"P","")</f>
        <v>P</v>
      </c>
      <c r="G5" s="4" t="str">
        <f>IF(OR(AND(AH5&gt;=AJ$9,AI5&gt;=AJ$12,AI5&lt;&gt;"",AG5=""),AND(BC5&gt;=BE$9,BD5&gt;=BE$12,BD5&lt;&gt;"",BB5=""),AND(BY5&gt;=CA$9,BZ5&gt;=CA$12,BZ5&lt;&gt;""),AND(CS5&gt;=CU$9,CT5&gt;=CU$12,CT5&lt;&gt;""),AND(DM5&gt;=DO$9,DN5&gt;=DO$12,DN5&lt;&gt;""),AND(EG5&gt;=EI$9,EH5&gt;=EI$12,EH5&lt;&gt;""),AND(FA5&gt;=FC$9,FB5&gt;=FC$12,FB5&lt;&gt;""),AND(FU5&gt;=FW$9,FV5&gt;=FW$12,FV5&lt;&gt;""),AND(GO5&gt;=GQ$9,GP5&gt;=GQ$12,GP5&lt;&gt;""),AND(HI5&gt;=HK$9,HJ5&gt;=HK$12,HJ5&lt;&gt;""),AND(IC5&gt;=IE$9,ID5&gt;=IE$12,ID5&lt;&gt;""),AND(IW5&gt;=IY$9,IX5&gt;=IY$12,IX5&lt;&gt;""),AND(JQ5&gt;=JS$9,JR5&gt;=JS$12,JR5&lt;&gt;""),AND(KK5&gt;=KM$9,KL5&gt;=KM$12,KL5&lt;&gt;"")),"P","")</f>
        <v/>
      </c>
      <c r="H5" s="4" t="str">
        <f>IF(OR(AND(AI5&gt;=AJ$11,AI5&lt;&gt;"",AG5=""),AND(BD5&gt;=BE$11,BD5&lt;&gt;"",BB5=""),AND(BZ5&gt;=CA$11,BZ5&lt;&gt;""),AND(CT5&gt;=CU$11,CT5&lt;&gt;""),AND(DN5&gt;=DO$11,DN5&lt;&gt;""),AND(EH5&gt;=EI$11,EH5&lt;&gt;""),AND(FB5&gt;=FC$11,FB5&lt;&gt;""),AND(FV5&gt;=FW$11,FV5&lt;&gt;""),AND(GP5&gt;=GQ$11,GP5&lt;&gt;""),AND(HJ5&gt;=HK$11,HJ5&lt;&gt;""),AND(ID5&gt;=IE$11,ID5&lt;&gt;""),AND(IX5&gt;=IY$11,IX5&lt;&gt;""),AND(JR5&gt;=JS$11,JR5&lt;&gt;""),AND(KL5&gt;=KM$11,KL5&lt;&gt;"")),"P","")</f>
        <v>P</v>
      </c>
      <c r="I5" t="str">
        <f>IF(AND(H5="P",F5=""),"No DD",IF(OR(AND(AI5&gt;=AJ$14,AI5&lt;&gt;"",AH5&gt;=AJ$10,AH5&lt;&gt;"",AG5=""),AND(BD5&gt;=BE$14,BD5&lt;&gt;"",BC5&gt;=BE$10,BC5&lt;&gt;"",BB5=""),AND(BZ5&gt;=CA$14,BZ5&lt;&gt;"",BY5&gt;=CA$10,BY5&lt;&gt;""),AND(CT5&gt;=CU$14,CT5&lt;&gt;"",CS5&gt;=CU$10,CS5&lt;&gt;""),AND(DN5&gt;=DO$14,DN5&lt;&gt;"",DM5&gt;=DO$10,DM5&lt;&gt;""),AND(EH5&gt;=EI$14,EH5&lt;&gt;"",EG5&gt;=EI$10,EG5&lt;&gt;""),AND(FB5&gt;=FC$14,FB5&lt;&gt;"",FA5&gt;=FC$10,FA5&lt;&gt;""),AND(FV5&gt;=FW$14,FV5&lt;&gt;"",FU5&gt;=FW$10,FU5&lt;&gt;""),AND(GP5&gt;=GQ$14,GP5&lt;&gt;"",GO5&gt;=GQ$10,GO5&lt;&gt;""),AND(HJ5&gt;=HK$14,HJ5&lt;&gt;"",HI5&gt;=HK$10,HI5&lt;&gt;""),AND(ID5&gt;=IE$14,ID5&lt;&gt;"",IC5&gt;=IE$10,IC5&lt;&gt;""),AND(IX5&gt;=IY$14,IX5&lt;&gt;"",IW5&gt;=IY$10,IW5&lt;&gt;""),AND(JR5&gt;=JS$14,JR5&lt;&gt;"",JQ5&gt;=JS$10,JQ5&lt;&gt;""),AND(KL5&gt;=KM$14,KL5&lt;&gt;"",KK5&gt;=KM$10,KK5&lt;&gt;"")),"Merit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Excellence",IF(OR(AND(AI5&gt;=AJ$12,AI5&lt;&gt;"",AH5&gt;=AJ$9,AH5&lt;&gt;"",AG5=""),AND(BD5&gt;=BE$12,BD5&lt;&gt;"",BC5&gt;=BE$9,BC5&lt;&gt;"",BB5=""),AND(BZ5&gt;=CA$12,BZ5&lt;&gt;"",BY5&gt;=CA$9,BY5&lt;&gt;""),AND(CT5&gt;=CU$12,CT5&lt;&gt;"",CS5&gt;=CU$9,CS5&lt;&gt;""),AND(DN5&gt;=DO$12,DN5&lt;&gt;"",DM5&gt;=DO$9,DM5&lt;&gt;""),AND(EH5&gt;=EI$12,EH5&lt;&gt;"",EG5&gt;=EI$9,EG5&lt;&gt;""),AND(FB5&gt;=FC$12,FB5&lt;&gt;"",FA5&gt;=FC$9,FA5&lt;&gt;""),AND(FV5&gt;=FW$12,FV5&lt;&gt;"",FU5&gt;=FW$9,FU5&lt;&gt;""),AND(GP5&gt;=GQ$12,GP5&lt;&gt;"",GO5&gt;=GQ$9,GO5&lt;&gt;""),AND(HJ5&gt;=HK$12,HJ5&lt;&gt;"",HI5&gt;=HK$9,HI5&lt;&gt;""),AND(ID5&gt;=IE$12,ID5&lt;&gt;"",IC5&gt;=IE$9,IC5&lt;&gt;""),AND(IX5&gt;=IY$12,IX5&lt;&gt;"",IW5&gt;=IY$9,IW5&lt;&gt;""),AND(JR5&gt;=JS$12,JR5&lt;&gt;"",JQ5&gt;=JS$9,JQ5&lt;&gt;""),AND(KL5&gt;=KM$12,KL5&lt;&gt;"",KK5&gt;=KM$9,KK5&lt;&gt;"")),"Worlds Team",IF(OR(AND(AI5&gt;=AJ$11,AI5&lt;&gt;"",AH5&gt;=AJ$9,AH5&lt;&gt;"",AG5=""),AND(BD5&gt;=BE$11,BD5&lt;&gt;"",BC5&gt;=BE$9,BC5&lt;&gt;"",BB5=""),AND(BZ5&gt;=CA$11,BZ5&lt;&gt;"",BY5&gt;=CA$9,BY5&lt;&gt;""),AND(CT5&gt;=CU$11,CT5&lt;&gt;"",CS5&gt;=CU$9,CS5&lt;&gt;""),AND(DN5&gt;=DO$11,DN5&lt;&gt;"",DM5&gt;=DO$9,DM5&lt;&gt;""),AND(EH5&gt;=EI$11,EH5&lt;&gt;"",EG5&gt;=EI$9,EG5&lt;&gt;""),AND(FB5&gt;=FC$11,FB5&lt;&gt;"",FA5&gt;=FC$9,FA5&lt;&gt;""),AND(FV5&gt;=FW$11,FV5&lt;&gt;"",FU5&gt;=FW$9,FU5&lt;&gt;""),AND(GP5&gt;=GQ$11,GP5&lt;&gt;"",GO5&gt;=GQ$9,GO5&lt;&gt;""),AND(HJ5&gt;=HK$11,HJ5&lt;&gt;"",HI5&gt;=HK$9,HI5&lt;&gt;""),AND(ID5&gt;=IE$11,ID5&lt;&gt;"",IC5&gt;=IE$9,IC5&lt;&gt;""),AND(IX5&gt;=IY$11,IX5&lt;&gt;"",IW5&gt;=IY$9,IW5&lt;&gt;""),AND(JR5&gt;=JS$11,JR5&lt;&gt;"",JQ5&gt;=JS$9,JQ5&lt;&gt;""),AND(KL5&gt;=KM$11,KL5&lt;&gt;"",KK5&gt;=KM$9,KK5&lt;&gt;"")),"National Team","")))))</f>
        <v>National Team</v>
      </c>
      <c r="J5" s="15">
        <f>IF(MAX(AI5,BD5)&gt;0,MAX(AI5,BD5),"")</f>
        <v>62.199999999999996</v>
      </c>
      <c r="K5" s="15" t="str">
        <f>IF(J5="","",IF(J5=BD5,$AL$1,IF(J5=AI5,$Q$1,"")))</f>
        <v>2019 Nationals</v>
      </c>
      <c r="L5" s="15">
        <f>IF(MAX(AJ5,BE5)&gt;0,MAX(AJ5,BE5),"")</f>
        <v>61.599999999999994</v>
      </c>
      <c r="M5" s="15" t="str">
        <f>IF(L5="","",IF(L5=BE5,$AL$1,IF(L5=AJ5,$Q$1,"")))</f>
        <v>2019 Nationals</v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38">
        <v>26.7</v>
      </c>
      <c r="R5" s="38">
        <v>3.4</v>
      </c>
      <c r="S5" s="38">
        <v>0</v>
      </c>
      <c r="T5" s="38">
        <v>0</v>
      </c>
      <c r="U5" s="38">
        <v>25.5</v>
      </c>
      <c r="V5" s="38">
        <v>3.6</v>
      </c>
      <c r="W5" s="38">
        <v>0</v>
      </c>
      <c r="X5" s="38">
        <v>1</v>
      </c>
      <c r="Y5" s="38">
        <v>26.8</v>
      </c>
      <c r="Z5" s="38">
        <v>3.4</v>
      </c>
      <c r="AA5" s="38">
        <v>0</v>
      </c>
      <c r="AB5" s="38">
        <v>0</v>
      </c>
      <c r="AC5" s="38">
        <v>26.6</v>
      </c>
      <c r="AD5" s="38">
        <v>3.6</v>
      </c>
      <c r="AE5" s="38">
        <v>0</v>
      </c>
      <c r="AF5" s="38">
        <v>1</v>
      </c>
      <c r="AG5" s="74"/>
      <c r="AH5" s="12">
        <f>IF(SUM(R5,V5)&gt;0,SUM(R5,V5),"")</f>
        <v>7</v>
      </c>
      <c r="AI5" s="12">
        <f>IF(SUM(Q5:R5,T5:V5,X5)-S5-W5&gt;0,SUM(Q5:R5,T5:V5,X5)-S5-W5,"")</f>
        <v>60.199999999999996</v>
      </c>
      <c r="AJ5" s="12">
        <f>IF(SUM(Y5:Z5,AB5:AD5,AF5)-SUM(AA5,AE5)&gt;0,SUM(Y5:Z5,AB5:AD5,AF5)-SUM(AA5,AE5),"")</f>
        <v>61.4</v>
      </c>
      <c r="AK5" s="12">
        <f>IF(SUM(AI5,AJ5)&gt;0,SUM(AI5,AJ5),"")</f>
        <v>121.6</v>
      </c>
      <c r="AL5" s="37">
        <v>26.7</v>
      </c>
      <c r="AM5" s="37">
        <v>3.8</v>
      </c>
      <c r="AN5" s="37">
        <v>0</v>
      </c>
      <c r="AO5" s="37">
        <v>0</v>
      </c>
      <c r="AP5" s="37">
        <v>26.4</v>
      </c>
      <c r="AQ5" s="37">
        <v>4.3</v>
      </c>
      <c r="AR5" s="37">
        <v>0</v>
      </c>
      <c r="AS5" s="37">
        <v>1</v>
      </c>
      <c r="AT5" s="37">
        <v>27</v>
      </c>
      <c r="AU5" s="37">
        <v>3.6</v>
      </c>
      <c r="AV5" s="37">
        <v>0</v>
      </c>
      <c r="AW5" s="37">
        <v>0</v>
      </c>
      <c r="AX5" s="37">
        <v>25.7</v>
      </c>
      <c r="AY5" s="37">
        <v>4.3</v>
      </c>
      <c r="AZ5" s="37">
        <v>0</v>
      </c>
      <c r="BA5" s="37">
        <v>1</v>
      </c>
      <c r="BB5" s="75"/>
      <c r="BC5" s="15">
        <f>IF(SUM(AM5,AQ5)&gt;0,SUM(AM5,AQ5),"")</f>
        <v>8.1</v>
      </c>
      <c r="BD5" s="15">
        <f>IF(SUM(AL5:AM5,AO5:AQ5,AS5)-AN5-AR5&gt;0,SUM(AL5:AM5,AO5:AQ5,AS5)-AN5-AR5,"")</f>
        <v>62.199999999999996</v>
      </c>
      <c r="BE5" s="15">
        <f>IF(SUM(AT5:AU5,AW5:AY5,BA5)-SUM(AV5,AZ5)&gt;0,SUM(AT5:AU5,AW5:AY5,BA5)-SUM(AV5,AZ5),"")</f>
        <v>61.599999999999994</v>
      </c>
      <c r="BF5" s="15">
        <f>IF(SUM(BD5,BE5)&gt;0,SUM(BD5,BE5),"")</f>
        <v>123.79999999999998</v>
      </c>
      <c r="BG5" s="24" t="str">
        <f>IF(MAX(BZ5,CT5,DN5,EH5,FB5,FV5,GP5,HJ5,ID5,IX5,JR5,KL5)-IF(J5="",0,J5)&gt;0.001,MAX(BZ5,CT5,DN5,EH5,FB5,FV5,GP5,HJ5,ID5,IX5,JR5,KL5)-IF(J5="",0,J5),"")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ref="KO5:KO6" si="4">IF($BB5="P",AL5,(Q5+AL5)/2)</f>
        <v>26.7</v>
      </c>
      <c r="KP5" s="63">
        <f t="shared" si="0"/>
        <v>3.5999999999999996</v>
      </c>
      <c r="KQ5" s="63">
        <f t="shared" si="0"/>
        <v>0</v>
      </c>
      <c r="KR5" s="63">
        <f t="shared" si="0"/>
        <v>0</v>
      </c>
      <c r="KS5" s="63">
        <f t="shared" si="0"/>
        <v>25.95</v>
      </c>
      <c r="KT5" s="63">
        <f t="shared" si="0"/>
        <v>3.95</v>
      </c>
      <c r="KU5" s="63">
        <f t="shared" si="0"/>
        <v>0</v>
      </c>
      <c r="KV5" s="63">
        <f t="shared" si="0"/>
        <v>1</v>
      </c>
      <c r="KW5" s="63">
        <f t="shared" si="0"/>
        <v>26.9</v>
      </c>
      <c r="KX5" s="63">
        <f t="shared" si="0"/>
        <v>3.5</v>
      </c>
      <c r="KY5" s="63">
        <f t="shared" si="0"/>
        <v>0</v>
      </c>
      <c r="KZ5" s="63">
        <f t="shared" si="0"/>
        <v>0</v>
      </c>
      <c r="LA5" s="63">
        <f t="shared" si="0"/>
        <v>26.15</v>
      </c>
      <c r="LB5" s="63">
        <f t="shared" si="0"/>
        <v>3.95</v>
      </c>
      <c r="LC5" s="63">
        <f t="shared" si="0"/>
        <v>0</v>
      </c>
      <c r="LD5" s="63">
        <f t="shared" si="0"/>
        <v>1</v>
      </c>
      <c r="LE5" s="74" t="s">
        <v>81</v>
      </c>
      <c r="LF5" s="12">
        <f t="shared" ref="LF5:LF6" si="5">IF(SUM(KP5,KT5)&gt;0,SUM(KP5,KT5),"")</f>
        <v>7.55</v>
      </c>
      <c r="LG5" s="12">
        <f t="shared" ref="LG5:LG6" si="6">IF(SUM(KO5:KP5,KR5:KT5,KV5)-KQ5-KU5&gt;0,SUM(KO5:KP5,KR5:KT5,KV5)-KQ5-KU5,"")</f>
        <v>61.2</v>
      </c>
      <c r="LH5" s="12">
        <f t="shared" ref="LH5:LH6" si="7">IF(SUM(KW5:KX5,KZ5:LB5,LD5)-SUM(KY5,LC5)&gt;0,SUM(KW5:KX5,KZ5:LB5,LD5)-SUM(KY5,LC5),"")</f>
        <v>61.5</v>
      </c>
      <c r="LI5" s="12">
        <f t="shared" ref="LI5:LI6" si="8">IF(SUM(LG5,LH5)&gt;0,SUM(LG5,LH5),"")</f>
        <v>122.7</v>
      </c>
    </row>
    <row r="6" spans="1:321" x14ac:dyDescent="0.2">
      <c r="A6" s="6">
        <f>IF(AND(F6="P",H6="P"),SUMPRODUCT((F$4:F$7="P")*(H$4:H$7="P")*(E$4:E$7&gt;E6))+1,IF(H6="P",SUMPRODUCT((F$4:F$7="")*(H$4:H$7="P")*(E$4:E$7&gt;E6))+1+SUMPRODUCT((F$4:F$7="P")*(H$4:H$7="P")),""))</f>
        <v>3</v>
      </c>
      <c r="B6" s="7" t="s">
        <v>76</v>
      </c>
      <c r="C6" s="8" t="s">
        <v>3</v>
      </c>
      <c r="D6" s="27">
        <v>2003</v>
      </c>
      <c r="E6" s="16">
        <f>SUM(J6:N6)</f>
        <v>121.39999999999999</v>
      </c>
      <c r="F6" s="4" t="str">
        <f>IF(OR(AND(AH6&gt;=AJ$9,AI6&gt;=AJ$11,AI6&lt;&gt;"",AG6=""),AND(BC6&gt;=BE$9,BD6&gt;=BE$11,BD6&lt;&gt;"",BB6=""),AND(BY6&gt;=CA$9,BZ6&gt;=CA$11,BZ6&lt;&gt;""),AND(CS6&gt;=CU$9,CT6&gt;=CU$11,CT6&lt;&gt;""),AND(DM6&gt;=DO$9,DN6&gt;=DO$11,DN6&lt;&gt;""),AND(EG6&gt;=EI$9,EH6&gt;=EI$11,EH6&lt;&gt;""),AND(FA6&gt;=FC$9,FB6&gt;=FC$11,FB6&lt;&gt;""),AND(FU6&gt;=FW$9,FV6&gt;=FW$11,FV6&lt;&gt;""),AND(GO6&gt;=GQ$9,GP6&gt;=GQ$11,GP6&lt;&gt;""),AND(HI6&gt;=HK$9,HJ6&gt;=HK$11,HJ6&lt;&gt;""),AND(IC6&gt;=IE$9,ID6&gt;=IE$11,ID6&lt;&gt;""),AND(IW6&gt;=IY$9,IX6&gt;=IY$11,IX6&lt;&gt;""),AND(JQ6&gt;=JS$9,JR6&gt;=JS$11,JR6&lt;&gt;""),AND(KK6&gt;=KM$9,KL6&gt;=KM$11,KL6&lt;&gt;"")),"P","")</f>
        <v>P</v>
      </c>
      <c r="G6" s="4" t="str">
        <f>IF(OR(AND(AH6&gt;=AJ$9,AI6&gt;=AJ$12,AI6&lt;&gt;"",AG6=""),AND(BC6&gt;=BE$9,BD6&gt;=BE$12,BD6&lt;&gt;"",BB6=""),AND(BY6&gt;=CA$9,BZ6&gt;=CA$12,BZ6&lt;&gt;""),AND(CS6&gt;=CU$9,CT6&gt;=CU$12,CT6&lt;&gt;""),AND(DM6&gt;=DO$9,DN6&gt;=DO$12,DN6&lt;&gt;""),AND(EG6&gt;=EI$9,EH6&gt;=EI$12,EH6&lt;&gt;""),AND(FA6&gt;=FC$9,FB6&gt;=FC$12,FB6&lt;&gt;""),AND(FU6&gt;=FW$9,FV6&gt;=FW$12,FV6&lt;&gt;""),AND(GO6&gt;=GQ$9,GP6&gt;=GQ$12,GP6&lt;&gt;""),AND(HI6&gt;=HK$9,HJ6&gt;=HK$12,HJ6&lt;&gt;""),AND(IC6&gt;=IE$9,ID6&gt;=IE$12,ID6&lt;&gt;""),AND(IW6&gt;=IY$9,IX6&gt;=IY$12,IX6&lt;&gt;""),AND(JQ6&gt;=JS$9,JR6&gt;=JS$12,JR6&lt;&gt;""),AND(KK6&gt;=KM$9,KL6&gt;=KM$12,KL6&lt;&gt;"")),"P","")</f>
        <v/>
      </c>
      <c r="H6" s="4" t="str">
        <f>IF(OR(AND(AI6&gt;=AJ$11,AI6&lt;&gt;"",AG6=""),AND(BD6&gt;=BE$11,BD6&lt;&gt;"",BB6=""),AND(BZ6&gt;=CA$11,BZ6&lt;&gt;""),AND(CT6&gt;=CU$11,CT6&lt;&gt;""),AND(DN6&gt;=DO$11,DN6&lt;&gt;""),AND(EH6&gt;=EI$11,EH6&lt;&gt;""),AND(FB6&gt;=FC$11,FB6&lt;&gt;""),AND(FV6&gt;=FW$11,FV6&lt;&gt;""),AND(GP6&gt;=GQ$11,GP6&lt;&gt;""),AND(HJ6&gt;=HK$11,HJ6&lt;&gt;""),AND(ID6&gt;=IE$11,ID6&lt;&gt;""),AND(IX6&gt;=IY$11,IX6&lt;&gt;""),AND(JR6&gt;=JS$11,JR6&lt;&gt;""),AND(KL6&gt;=KM$11,KL6&lt;&gt;"")),"P","")</f>
        <v>P</v>
      </c>
      <c r="I6" t="str">
        <f>IF(AND(H6="P",F6=""),"No DD",IF(OR(AND(AI6&gt;=AJ$14,AI6&lt;&gt;"",AH6&gt;=AJ$10,AH6&lt;&gt;"",AG6=""),AND(BD6&gt;=BE$14,BD6&lt;&gt;"",BC6&gt;=BE$10,BC6&lt;&gt;"",BB6=""),AND(BZ6&gt;=CA$14,BZ6&lt;&gt;"",BY6&gt;=CA$10,BY6&lt;&gt;""),AND(CT6&gt;=CU$14,CT6&lt;&gt;"",CS6&gt;=CU$10,CS6&lt;&gt;""),AND(DN6&gt;=DO$14,DN6&lt;&gt;"",DM6&gt;=DO$10,DM6&lt;&gt;""),AND(EH6&gt;=EI$14,EH6&lt;&gt;"",EG6&gt;=EI$10,EG6&lt;&gt;""),AND(FB6&gt;=FC$14,FB6&lt;&gt;"",FA6&gt;=FC$10,FA6&lt;&gt;""),AND(FV6&gt;=FW$14,FV6&lt;&gt;"",FU6&gt;=FW$10,FU6&lt;&gt;""),AND(GP6&gt;=GQ$14,GP6&lt;&gt;"",GO6&gt;=GQ$10,GO6&lt;&gt;""),AND(HJ6&gt;=HK$14,HJ6&lt;&gt;"",HI6&gt;=HK$10,HI6&lt;&gt;""),AND(ID6&gt;=IE$14,ID6&lt;&gt;"",IC6&gt;=IE$10,IC6&lt;&gt;""),AND(IX6&gt;=IY$14,IX6&lt;&gt;"",IW6&gt;=IY$10,IW6&lt;&gt;""),AND(JR6&gt;=JS$14,JR6&lt;&gt;"",JQ6&gt;=JS$10,JQ6&lt;&gt;""),AND(KL6&gt;=KM$14,KL6&lt;&gt;"",KK6&gt;=KM$10,KK6&lt;&gt;"")),"Merit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Excellence",IF(OR(AND(AI6&gt;=AJ$12,AI6&lt;&gt;"",AH6&gt;=AJ$9,AH6&lt;&gt;"",AG6=""),AND(BD6&gt;=BE$12,BD6&lt;&gt;"",BC6&gt;=BE$9,BC6&lt;&gt;"",BB6=""),AND(BZ6&gt;=CA$12,BZ6&lt;&gt;"",BY6&gt;=CA$9,BY6&lt;&gt;""),AND(CT6&gt;=CU$12,CT6&lt;&gt;"",CS6&gt;=CU$9,CS6&lt;&gt;""),AND(DN6&gt;=DO$12,DN6&lt;&gt;"",DM6&gt;=DO$9,DM6&lt;&gt;""),AND(EH6&gt;=EI$12,EH6&lt;&gt;"",EG6&gt;=EI$9,EG6&lt;&gt;""),AND(FB6&gt;=FC$12,FB6&lt;&gt;"",FA6&gt;=FC$9,FA6&lt;&gt;""),AND(FV6&gt;=FW$12,FV6&lt;&gt;"",FU6&gt;=FW$9,FU6&lt;&gt;""),AND(GP6&gt;=GQ$12,GP6&lt;&gt;"",GO6&gt;=GQ$9,GO6&lt;&gt;""),AND(HJ6&gt;=HK$12,HJ6&lt;&gt;"",HI6&gt;=HK$9,HI6&lt;&gt;""),AND(ID6&gt;=IE$12,ID6&lt;&gt;"",IC6&gt;=IE$9,IC6&lt;&gt;""),AND(IX6&gt;=IY$12,IX6&lt;&gt;"",IW6&gt;=IY$9,IW6&lt;&gt;""),AND(JR6&gt;=JS$12,JR6&lt;&gt;"",JQ6&gt;=JS$9,JQ6&lt;&gt;""),AND(KL6&gt;=KM$12,KL6&lt;&gt;"",KK6&gt;=KM$9,KK6&lt;&gt;"")),"Worlds Team",IF(OR(AND(AI6&gt;=AJ$11,AI6&lt;&gt;"",AH6&gt;=AJ$9,AH6&lt;&gt;"",AG6=""),AND(BD6&gt;=BE$11,BD6&lt;&gt;"",BC6&gt;=BE$9,BC6&lt;&gt;"",BB6=""),AND(BZ6&gt;=CA$11,BZ6&lt;&gt;"",BY6&gt;=CA$9,BY6&lt;&gt;""),AND(CT6&gt;=CU$11,CT6&lt;&gt;"",CS6&gt;=CU$9,CS6&lt;&gt;""),AND(DN6&gt;=DO$11,DN6&lt;&gt;"",DM6&gt;=DO$9,DM6&lt;&gt;""),AND(EH6&gt;=EI$11,EH6&lt;&gt;"",EG6&gt;=EI$9,EG6&lt;&gt;""),AND(FB6&gt;=FC$11,FB6&lt;&gt;"",FA6&gt;=FC$9,FA6&lt;&gt;""),AND(FV6&gt;=FW$11,FV6&lt;&gt;"",FU6&gt;=FW$9,FU6&lt;&gt;""),AND(GP6&gt;=GQ$11,GP6&lt;&gt;"",GO6&gt;=GQ$9,GO6&lt;&gt;""),AND(HJ6&gt;=HK$11,HJ6&lt;&gt;"",HI6&gt;=HK$9,HI6&lt;&gt;""),AND(ID6&gt;=IE$11,ID6&lt;&gt;"",IC6&gt;=IE$9,IC6&lt;&gt;""),AND(IX6&gt;=IY$11,IX6&lt;&gt;"",IW6&gt;=IY$9,IW6&lt;&gt;""),AND(JR6&gt;=JS$11,JR6&lt;&gt;"",JQ6&gt;=JS$9,JQ6&lt;&gt;""),AND(KL6&gt;=KM$11,KL6&lt;&gt;"",KK6&gt;=KM$9,KK6&lt;&gt;"")),"National Team","")))))</f>
        <v>Excellence</v>
      </c>
      <c r="J6" s="15">
        <f>IF(MAX(AI6,BD6)&gt;0,MAX(AI6,BD6),"")</f>
        <v>63.599999999999994</v>
      </c>
      <c r="K6" s="15" t="str">
        <f>IF(J6="","",IF(J6=BD6,$AL$1,IF(J6=AI6,$Q$1,"")))</f>
        <v>2019 Nationals</v>
      </c>
      <c r="L6" s="15">
        <f>IF(MAX(AJ6,BE6)&gt;0,MAX(AJ6,BE6),"")</f>
        <v>57.8</v>
      </c>
      <c r="M6" s="15" t="str">
        <f>IF(L6="","",IF(L6=BE6,$AL$1,IF(L6=AJ6,$Q$1,"")))</f>
        <v>2019 Elite Canada</v>
      </c>
      <c r="N6" s="15" t="str">
        <f>IF(MAX(BG6:BH6)&gt;0,MAX(BG6:BH6),"")</f>
        <v/>
      </c>
      <c r="O6" s="25" t="str">
        <f>IF(N6="","",IF(N6=BG6,"(Prelim)",IF(N6=BH6,"(Final)")))</f>
        <v/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38">
        <v>26.5</v>
      </c>
      <c r="R6" s="38">
        <v>4.3</v>
      </c>
      <c r="S6" s="38">
        <v>0</v>
      </c>
      <c r="T6" s="38">
        <v>0</v>
      </c>
      <c r="U6" s="38">
        <v>25.8</v>
      </c>
      <c r="V6" s="38">
        <v>4.3</v>
      </c>
      <c r="W6" s="38">
        <v>0</v>
      </c>
      <c r="X6" s="38">
        <v>1</v>
      </c>
      <c r="Y6" s="38">
        <v>25.2</v>
      </c>
      <c r="Z6" s="38">
        <v>6.1</v>
      </c>
      <c r="AA6" s="38">
        <v>0</v>
      </c>
      <c r="AB6" s="38">
        <v>1</v>
      </c>
      <c r="AC6" s="38">
        <v>23.6</v>
      </c>
      <c r="AD6" s="38">
        <v>1.9</v>
      </c>
      <c r="AE6" s="38">
        <v>0</v>
      </c>
      <c r="AF6" s="38">
        <v>0</v>
      </c>
      <c r="AG6" s="74"/>
      <c r="AH6" s="12">
        <f>IF(SUM(R6,V6)&gt;0,SUM(R6,V6),"")</f>
        <v>8.6</v>
      </c>
      <c r="AI6" s="12">
        <f>IF(SUM(Q6:R6,T6:V6,X6)-S6-W6&gt;0,SUM(Q6:R6,T6:V6,X6)-S6-W6,"")</f>
        <v>61.9</v>
      </c>
      <c r="AJ6" s="12">
        <f>IF(SUM(Y6:Z6,AB6:AD6,AF6)-SUM(AA6,AE6)&gt;0,SUM(Y6:Z6,AB6:AD6,AF6)-SUM(AA6,AE6),"")</f>
        <v>57.8</v>
      </c>
      <c r="AK6" s="12">
        <f>IF(SUM(AI6,AJ6)&gt;0,SUM(AI6,AJ6),"")</f>
        <v>119.69999999999999</v>
      </c>
      <c r="AL6" s="37">
        <v>25</v>
      </c>
      <c r="AM6" s="37">
        <v>6.1</v>
      </c>
      <c r="AN6" s="37">
        <v>0</v>
      </c>
      <c r="AO6" s="37">
        <v>1</v>
      </c>
      <c r="AP6" s="37">
        <v>26.2</v>
      </c>
      <c r="AQ6" s="37">
        <v>4.3</v>
      </c>
      <c r="AR6" s="37">
        <v>0</v>
      </c>
      <c r="AS6" s="37">
        <v>1</v>
      </c>
      <c r="AT6" s="37">
        <v>23.3</v>
      </c>
      <c r="AU6" s="37">
        <v>2.9</v>
      </c>
      <c r="AV6" s="37">
        <v>0</v>
      </c>
      <c r="AW6" s="37">
        <v>0</v>
      </c>
      <c r="AX6" s="37"/>
      <c r="AY6" s="37"/>
      <c r="AZ6" s="37"/>
      <c r="BA6" s="37"/>
      <c r="BB6" s="75"/>
      <c r="BC6" s="15">
        <f>IF(SUM(AM6,AQ6)&gt;0,SUM(AM6,AQ6),"")</f>
        <v>10.399999999999999</v>
      </c>
      <c r="BD6" s="15">
        <f>IF(SUM(AL6:AM6,AO6:AQ6,AS6)-AN6-AR6&gt;0,SUM(AL6:AM6,AO6:AQ6,AS6)-AN6-AR6,"")</f>
        <v>63.599999999999994</v>
      </c>
      <c r="BE6" s="15">
        <f>IF(SUM(AT6:AU6,AW6:AY6,BA6)-SUM(AV6,AZ6)&gt;0,SUM(AT6:AU6,AW6:AY6,BA6)-SUM(AV6,AZ6),"")</f>
        <v>26.2</v>
      </c>
      <c r="BF6" s="15">
        <f>IF(SUM(BD6,BE6)&gt;0,SUM(BD6,BE6),"")</f>
        <v>89.8</v>
      </c>
      <c r="BG6" s="24" t="str">
        <f>IF(MAX(BZ6,CT6,DN6,EH6,FB6,FV6,GP6,HJ6,ID6,IX6,JR6,KL6)-IF(J6="",0,J6)&gt;0.001,MAX(BZ6,CT6,DN6,EH6,FB6,FV6,GP6,HJ6,ID6,IX6,JR6,KL6)-IF(J6="",0,J6),"")</f>
        <v/>
      </c>
      <c r="BH6" s="24" t="str">
        <f>IF(MAX(CA6,CU6,DO6,EI6,FC6,FW6,GQ6,HK6,IE6,IY6,JS6,KM6)-IF(L6="",0,L6)&gt;0.001,MAX(CA6,CU6,DO6,EI6,FC6,FW6,GQ6,HK6,IE6,IY6,JS6,KM6)-IF(L6="",0,L6),"")</f>
        <v/>
      </c>
      <c r="BI6" s="36">
        <v>25.4</v>
      </c>
      <c r="BJ6" s="36">
        <v>6.3</v>
      </c>
      <c r="BK6" s="36">
        <v>0</v>
      </c>
      <c r="BL6" s="36">
        <v>0</v>
      </c>
      <c r="BM6" s="36">
        <v>26.2</v>
      </c>
      <c r="BN6" s="36">
        <v>4.5</v>
      </c>
      <c r="BO6" s="36">
        <v>0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10.8</v>
      </c>
      <c r="BZ6" s="12">
        <f>IF(SUM(BI6:BJ6,BL6:BN6,BP6)-BK6-BO6&gt;0,SUM(BI6:BJ6,BL6:BN6,BP6)-BK6-BO6,"")</f>
        <v>62.4</v>
      </c>
      <c r="CA6" s="12" t="str">
        <f>IF(SUM(BQ6:BR6,BT6:BV6,BX6)-SUM(BS6,BW6)&gt;0,SUM(BQ6:BR6,BT6:BV6,BX6)-SUM(BS6,BW6),"")</f>
        <v/>
      </c>
      <c r="CB6" s="12">
        <f>IF(SUM(BZ6,CA6)&gt;0,SUM(BZ6,CA6),"")</f>
        <v>62.4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4"/>
        <v>25.75</v>
      </c>
      <c r="KP6" s="63">
        <f t="shared" si="0"/>
        <v>5.1999999999999993</v>
      </c>
      <c r="KQ6" s="63">
        <f t="shared" si="0"/>
        <v>0</v>
      </c>
      <c r="KR6" s="63">
        <f t="shared" si="0"/>
        <v>0.5</v>
      </c>
      <c r="KS6" s="63">
        <f t="shared" si="0"/>
        <v>26</v>
      </c>
      <c r="KT6" s="63">
        <f t="shared" si="0"/>
        <v>4.3</v>
      </c>
      <c r="KU6" s="63">
        <f t="shared" si="0"/>
        <v>0</v>
      </c>
      <c r="KV6" s="63">
        <f t="shared" si="0"/>
        <v>1</v>
      </c>
      <c r="KW6" s="63">
        <f t="shared" si="0"/>
        <v>24.25</v>
      </c>
      <c r="KX6" s="63">
        <f t="shared" si="0"/>
        <v>4.5</v>
      </c>
      <c r="KY6" s="63">
        <f t="shared" si="0"/>
        <v>0</v>
      </c>
      <c r="KZ6" s="63">
        <f t="shared" si="0"/>
        <v>0.5</v>
      </c>
      <c r="LA6" s="63">
        <f t="shared" si="0"/>
        <v>11.8</v>
      </c>
      <c r="LB6" s="63">
        <f t="shared" si="0"/>
        <v>0.95</v>
      </c>
      <c r="LC6" s="63">
        <f t="shared" si="0"/>
        <v>0</v>
      </c>
      <c r="LD6" s="63">
        <f t="shared" si="0"/>
        <v>0</v>
      </c>
      <c r="LE6" s="74" t="s">
        <v>81</v>
      </c>
      <c r="LF6" s="12">
        <f t="shared" si="5"/>
        <v>9.5</v>
      </c>
      <c r="LG6" s="12">
        <f t="shared" si="6"/>
        <v>62.75</v>
      </c>
      <c r="LH6" s="12">
        <f t="shared" si="7"/>
        <v>42</v>
      </c>
      <c r="LI6" s="12">
        <f t="shared" si="8"/>
        <v>104.75</v>
      </c>
    </row>
    <row r="7" spans="1:321" ht="17" x14ac:dyDescent="0.2">
      <c r="N7" s="19"/>
      <c r="O7" s="19"/>
      <c r="P7" s="1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</row>
    <row r="8" spans="1:321" ht="17" x14ac:dyDescent="0.2">
      <c r="N8" s="19"/>
      <c r="O8" s="19"/>
      <c r="P8" s="19"/>
    </row>
    <row r="9" spans="1:321" ht="17" x14ac:dyDescent="0.2">
      <c r="B9" s="64" t="s">
        <v>51</v>
      </c>
      <c r="N9" s="19"/>
      <c r="O9" s="19"/>
      <c r="P9" s="19"/>
      <c r="AH9" s="50"/>
      <c r="AJ9" s="58">
        <v>7.7</v>
      </c>
      <c r="BC9" s="50"/>
      <c r="BE9" s="58">
        <v>7.7</v>
      </c>
      <c r="BY9" s="50"/>
      <c r="CA9" s="58">
        <v>7.7</v>
      </c>
      <c r="CS9" s="50"/>
      <c r="CU9" s="77">
        <v>7.7</v>
      </c>
      <c r="DM9" s="50"/>
      <c r="DO9" s="77">
        <v>7.7</v>
      </c>
      <c r="EG9" s="50"/>
      <c r="EI9" s="77">
        <v>7.7</v>
      </c>
      <c r="FA9" s="50"/>
      <c r="FC9" s="77">
        <v>7.7</v>
      </c>
      <c r="FU9" s="50"/>
      <c r="FW9" s="77">
        <v>7.7</v>
      </c>
      <c r="GO9" s="50"/>
      <c r="GQ9" s="77">
        <v>7.7</v>
      </c>
      <c r="HI9" s="50"/>
      <c r="HK9" s="77">
        <v>7.7</v>
      </c>
      <c r="IC9" s="50"/>
      <c r="IE9" s="77">
        <v>7.7</v>
      </c>
      <c r="IW9" s="50"/>
      <c r="IY9" s="77">
        <v>7.7</v>
      </c>
      <c r="JQ9" s="50"/>
      <c r="JS9" s="77">
        <v>7.7</v>
      </c>
      <c r="KK9" s="50"/>
      <c r="KM9" s="77">
        <v>7.7</v>
      </c>
    </row>
    <row r="10" spans="1:321" ht="17" x14ac:dyDescent="0.2">
      <c r="A10" s="50"/>
      <c r="B10" s="91" t="s">
        <v>67</v>
      </c>
      <c r="C10" s="49"/>
      <c r="N10" s="19"/>
      <c r="O10" s="19"/>
      <c r="P10" s="19"/>
      <c r="AH10" s="50"/>
      <c r="AJ10" s="93">
        <v>10.5</v>
      </c>
      <c r="BC10" s="50"/>
      <c r="BE10" s="93">
        <v>10.5</v>
      </c>
      <c r="BY10" s="50"/>
      <c r="CA10" s="93">
        <v>9.1</v>
      </c>
      <c r="CS10" s="50"/>
      <c r="CU10" s="94">
        <v>9.1</v>
      </c>
      <c r="DM10" s="50"/>
      <c r="DO10" s="94">
        <v>9.1</v>
      </c>
      <c r="EG10" s="50"/>
      <c r="EI10" s="94">
        <v>9.1</v>
      </c>
      <c r="FA10" s="50"/>
      <c r="FC10" s="94">
        <v>9.1</v>
      </c>
      <c r="FU10" s="50"/>
      <c r="FW10" s="94">
        <v>9.1</v>
      </c>
      <c r="GO10" s="50"/>
      <c r="GQ10" s="94">
        <v>9.1</v>
      </c>
      <c r="HI10" s="50"/>
      <c r="HK10" s="94">
        <v>9.1</v>
      </c>
      <c r="IC10" s="50"/>
      <c r="IE10" s="94">
        <v>9.1</v>
      </c>
      <c r="IW10" s="50"/>
      <c r="IY10" s="94">
        <v>9.1</v>
      </c>
      <c r="JQ10" s="50"/>
      <c r="JS10" s="94">
        <v>9.1</v>
      </c>
      <c r="KK10" s="50"/>
      <c r="KM10" s="94">
        <v>9.1</v>
      </c>
    </row>
    <row r="11" spans="1:321" ht="17" x14ac:dyDescent="0.2">
      <c r="A11" s="50"/>
      <c r="B11" s="65" t="s">
        <v>48</v>
      </c>
      <c r="C11" s="49"/>
      <c r="N11" s="19"/>
      <c r="O11" s="19"/>
      <c r="P11" s="19"/>
      <c r="AH11" s="50"/>
      <c r="AJ11" s="59">
        <v>59.9</v>
      </c>
      <c r="BC11" s="50"/>
      <c r="BE11" s="59">
        <v>59.9</v>
      </c>
      <c r="BY11" s="50"/>
      <c r="CA11" s="59">
        <v>59.3</v>
      </c>
      <c r="CS11" s="50"/>
      <c r="CU11" s="78">
        <v>59.3</v>
      </c>
      <c r="DM11" s="50"/>
      <c r="DO11" s="78">
        <v>59.3</v>
      </c>
      <c r="EG11" s="50"/>
      <c r="EI11" s="78">
        <v>59.3</v>
      </c>
      <c r="FA11" s="50"/>
      <c r="FC11" s="78">
        <v>59.3</v>
      </c>
      <c r="FU11" s="50"/>
      <c r="FW11" s="78">
        <v>59.3</v>
      </c>
      <c r="GO11" s="50"/>
      <c r="GQ11" s="78">
        <v>59.3</v>
      </c>
      <c r="HI11" s="50"/>
      <c r="HK11" s="78">
        <v>59.3</v>
      </c>
      <c r="IC11" s="50"/>
      <c r="IE11" s="78">
        <v>59.3</v>
      </c>
      <c r="IW11" s="50"/>
      <c r="IY11" s="78">
        <v>59.3</v>
      </c>
      <c r="JQ11" s="50"/>
      <c r="JS11" s="78">
        <v>59.3</v>
      </c>
      <c r="KK11" s="50"/>
      <c r="KM11" s="78">
        <v>59.3</v>
      </c>
    </row>
    <row r="12" spans="1:321" ht="17" hidden="1" x14ac:dyDescent="0.2">
      <c r="A12" s="50"/>
      <c r="B12" s="66" t="s">
        <v>49</v>
      </c>
      <c r="C12" s="49"/>
      <c r="N12" s="19"/>
      <c r="O12" s="19"/>
      <c r="P12" s="19"/>
      <c r="AH12" s="50"/>
      <c r="AJ12" s="60">
        <v>1000</v>
      </c>
      <c r="BC12" s="50"/>
      <c r="BE12" s="60">
        <v>1000</v>
      </c>
      <c r="BY12" s="50"/>
      <c r="CA12" s="79">
        <v>1000</v>
      </c>
      <c r="CS12" s="50"/>
      <c r="CU12" s="79">
        <v>1000</v>
      </c>
      <c r="DM12" s="50"/>
      <c r="DO12" s="79">
        <v>1000</v>
      </c>
      <c r="EG12" s="50"/>
      <c r="EI12" s="79">
        <v>1000</v>
      </c>
      <c r="FA12" s="50"/>
      <c r="FC12" s="79">
        <v>1000</v>
      </c>
      <c r="FU12" s="50"/>
      <c r="FW12" s="79">
        <v>1000</v>
      </c>
      <c r="GO12" s="50"/>
      <c r="GQ12" s="79">
        <v>1000</v>
      </c>
      <c r="HI12" s="50"/>
      <c r="HK12" s="79">
        <v>1000</v>
      </c>
      <c r="IC12" s="50"/>
      <c r="IE12" s="79">
        <v>1000</v>
      </c>
      <c r="IW12" s="50"/>
      <c r="IY12" s="79">
        <v>1000</v>
      </c>
      <c r="JQ12" s="50"/>
      <c r="JS12" s="79">
        <v>1000</v>
      </c>
      <c r="KK12" s="50"/>
      <c r="KM12" s="79">
        <v>1000</v>
      </c>
    </row>
    <row r="13" spans="1:321" ht="17" x14ac:dyDescent="0.2">
      <c r="A13" s="50"/>
      <c r="B13" s="67" t="s">
        <v>62</v>
      </c>
      <c r="C13" s="49"/>
      <c r="N13" s="19"/>
      <c r="O13" s="19"/>
      <c r="P13" s="19"/>
      <c r="AH13" s="50"/>
      <c r="AJ13" s="61">
        <v>64</v>
      </c>
      <c r="BC13" s="50"/>
      <c r="BE13" s="61">
        <v>64</v>
      </c>
      <c r="BY13" s="50"/>
      <c r="CA13" s="61">
        <v>60</v>
      </c>
      <c r="CS13" s="50"/>
      <c r="CU13" s="80">
        <v>60</v>
      </c>
      <c r="DM13" s="50"/>
      <c r="DO13" s="80">
        <v>60</v>
      </c>
      <c r="EG13" s="50"/>
      <c r="EI13" s="80">
        <v>60</v>
      </c>
      <c r="FA13" s="50"/>
      <c r="FC13" s="80">
        <v>60</v>
      </c>
      <c r="FU13" s="50"/>
      <c r="FW13" s="80">
        <v>60</v>
      </c>
      <c r="GO13" s="50"/>
      <c r="GQ13" s="80">
        <v>60</v>
      </c>
      <c r="HI13" s="50"/>
      <c r="HK13" s="80">
        <v>60</v>
      </c>
      <c r="IC13" s="50"/>
      <c r="IE13" s="80">
        <v>60</v>
      </c>
      <c r="IW13" s="50"/>
      <c r="IY13" s="80">
        <v>60</v>
      </c>
      <c r="JQ13" s="50"/>
      <c r="JS13" s="80">
        <v>60</v>
      </c>
      <c r="KK13" s="50"/>
      <c r="KM13" s="80">
        <v>60</v>
      </c>
    </row>
    <row r="14" spans="1:321" ht="17" hidden="1" x14ac:dyDescent="0.2">
      <c r="A14" s="50"/>
      <c r="B14" s="68" t="s">
        <v>35</v>
      </c>
      <c r="C14" s="49"/>
      <c r="N14" s="19"/>
      <c r="O14" s="19"/>
      <c r="P14" s="19"/>
      <c r="AH14" s="50"/>
      <c r="AJ14" s="62">
        <v>1000</v>
      </c>
      <c r="BC14" s="50"/>
      <c r="BE14" s="62">
        <v>1000</v>
      </c>
      <c r="BY14" s="50"/>
      <c r="CA14" s="62">
        <v>1000</v>
      </c>
      <c r="CS14" s="50"/>
      <c r="CU14" s="81">
        <v>1000</v>
      </c>
      <c r="DM14" s="50"/>
      <c r="DO14" s="81">
        <v>1000</v>
      </c>
      <c r="EG14" s="50"/>
      <c r="EI14" s="81">
        <v>1000</v>
      </c>
      <c r="FA14" s="50"/>
      <c r="FC14" s="81">
        <v>1000</v>
      </c>
      <c r="FU14" s="50"/>
      <c r="FW14" s="81">
        <v>1000</v>
      </c>
      <c r="GO14" s="50"/>
      <c r="GQ14" s="81">
        <v>1000</v>
      </c>
      <c r="HI14" s="50"/>
      <c r="HK14" s="81">
        <v>1000</v>
      </c>
      <c r="IC14" s="50"/>
      <c r="IE14" s="81">
        <v>1000</v>
      </c>
      <c r="IW14" s="50"/>
      <c r="IY14" s="81">
        <v>1000</v>
      </c>
      <c r="JQ14" s="50"/>
      <c r="JS14" s="81">
        <v>1000</v>
      </c>
      <c r="KK14" s="50"/>
      <c r="KM14" s="81">
        <v>1000</v>
      </c>
    </row>
    <row r="15" spans="1:321" x14ac:dyDescent="0.2">
      <c r="B15" s="76" t="s">
        <v>53</v>
      </c>
      <c r="C15" s="3"/>
    </row>
    <row r="16" spans="1:321" x14ac:dyDescent="0.2">
      <c r="A16" s="50"/>
      <c r="B16" s="50"/>
      <c r="C16" s="49"/>
    </row>
    <row r="17" spans="1:3" x14ac:dyDescent="0.2">
      <c r="A17" s="50"/>
      <c r="B17" s="50"/>
      <c r="C17" s="49"/>
    </row>
    <row r="18" spans="1:3" x14ac:dyDescent="0.2">
      <c r="A18" s="50"/>
      <c r="B18" s="50"/>
      <c r="C18" s="49"/>
    </row>
    <row r="19" spans="1:3" x14ac:dyDescent="0.2">
      <c r="A19" s="7"/>
      <c r="B19" s="7"/>
      <c r="C19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6">
      <sortCondition descending="1" ref="F1:F7"/>
    </sortState>
  </autoFilter>
  <mergeCells count="92">
    <mergeCell ref="KO1:LI1"/>
    <mergeCell ref="KO2:KR2"/>
    <mergeCell ref="KS2:KV2"/>
    <mergeCell ref="KW2:KZ2"/>
    <mergeCell ref="LA2:LD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</mergeCells>
  <conditionalFormatting sqref="A1:A1048576">
    <cfRule type="expression" dxfId="74" priority="72">
      <formula>AND(H1="P",F1="")</formula>
    </cfRule>
  </conditionalFormatting>
  <conditionalFormatting sqref="Q4:AK6">
    <cfRule type="expression" dxfId="73" priority="31">
      <formula>IF($AG4&lt;&gt;"",1,0)</formula>
    </cfRule>
  </conditionalFormatting>
  <conditionalFormatting sqref="AL4:BF6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22356" operator="between">
      <formula>CA$10</formula>
      <formula>100</formula>
    </cfRule>
    <cfRule type="cellIs" dxfId="63" priority="22357" operator="between">
      <formula>CA$9</formula>
      <formula>CA$10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22428" operator="between">
      <formula>CA$14</formula>
      <formula>1000</formula>
    </cfRule>
    <cfRule type="cellIs" dxfId="61" priority="22429" operator="between">
      <formula>CA$13</formula>
      <formula>CA$14</formula>
    </cfRule>
    <cfRule type="cellIs" dxfId="60" priority="22430" operator="between">
      <formula>CA$12</formula>
      <formula>CA$13</formula>
    </cfRule>
    <cfRule type="cellIs" dxfId="59" priority="22431" operator="between">
      <formula>CA$11</formula>
      <formula>CA$12</formula>
    </cfRule>
  </conditionalFormatting>
  <conditionalFormatting sqref="AH1:AH1048576 BC1:BC1048576">
    <cfRule type="expression" dxfId="58" priority="22572">
      <formula>IF(AND(AH1&gt;=AJ$10,AH1&lt;1000,AG1=""),1,0)</formula>
    </cfRule>
    <cfRule type="expression" dxfId="57" priority="22573">
      <formula>IF(AND(AH1&gt;=AJ$9,AH1&lt;AJ$10,AG1=""),1,0)</formula>
    </cfRule>
  </conditionalFormatting>
  <conditionalFormatting sqref="BD1:BD1048576 AI1:AI1048576">
    <cfRule type="expression" dxfId="56" priority="22584">
      <formula>IF(AND(AI1&gt;=AJ$14,AI1&lt;1000,AG1=""),1,0)</formula>
    </cfRule>
    <cfRule type="expression" dxfId="55" priority="22585">
      <formula>IF(AND(AI1&gt;=AJ$13,AI1&lt;AJ$14,AG1=""),1,0)</formula>
    </cfRule>
    <cfRule type="expression" dxfId="54" priority="22586">
      <formula>IF(AND(AI1&gt;=AJ$12,AI1&lt;AJ$13,AG1=""),1,0)</formula>
    </cfRule>
    <cfRule type="expression" dxfId="53" priority="22587">
      <formula>IF(AND(AI1&gt;=AJ$11,AI1&lt;AJ$12,AG1=""),1,0)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336" width="10.83203125" hidden="1" customWidth="1"/>
  </cols>
  <sheetData>
    <row r="1" spans="1:336" ht="16" customHeight="1" x14ac:dyDescent="0.2">
      <c r="A1" s="112" t="s">
        <v>1</v>
      </c>
      <c r="B1" s="112" t="s">
        <v>26</v>
      </c>
      <c r="C1" s="112" t="s">
        <v>0</v>
      </c>
      <c r="D1" s="112" t="s">
        <v>54</v>
      </c>
      <c r="E1" s="112" t="s">
        <v>2</v>
      </c>
      <c r="F1" s="119" t="s">
        <v>60</v>
      </c>
      <c r="G1" s="119" t="s">
        <v>61</v>
      </c>
      <c r="H1" s="119" t="s">
        <v>8</v>
      </c>
      <c r="I1" s="112" t="s">
        <v>9</v>
      </c>
      <c r="J1" s="126" t="s">
        <v>64</v>
      </c>
      <c r="K1" s="114" t="s">
        <v>33</v>
      </c>
      <c r="L1" s="126" t="s">
        <v>63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83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7" t="s">
        <v>92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 t="s">
        <v>59</v>
      </c>
      <c r="BJ1" s="118"/>
      <c r="BK1" s="124" t="s">
        <v>105</v>
      </c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4"/>
      <c r="HX1" s="124"/>
      <c r="HY1" s="124"/>
      <c r="HZ1" s="124"/>
      <c r="IA1" s="124"/>
      <c r="IB1" s="124"/>
      <c r="IC1" s="124"/>
      <c r="ID1" s="124"/>
      <c r="IE1" s="124"/>
      <c r="IF1" s="124"/>
      <c r="IG1" s="124"/>
      <c r="IH1" s="124"/>
      <c r="II1" s="124"/>
      <c r="IJ1" s="124"/>
      <c r="IK1" s="124"/>
      <c r="IL1" s="124"/>
      <c r="IM1" s="124"/>
      <c r="IN1" s="124"/>
      <c r="IO1" s="124"/>
      <c r="IP1" s="124"/>
      <c r="IQ1" s="124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15" t="s">
        <v>82</v>
      </c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</row>
    <row r="2" spans="1:336" x14ac:dyDescent="0.2">
      <c r="A2" s="112"/>
      <c r="B2" s="112"/>
      <c r="C2" s="112"/>
      <c r="D2" s="112"/>
      <c r="E2" s="112"/>
      <c r="F2" s="119"/>
      <c r="G2" s="119"/>
      <c r="H2" s="119"/>
      <c r="I2" s="112"/>
      <c r="J2" s="126"/>
      <c r="K2" s="114"/>
      <c r="L2" s="126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86" t="s">
        <v>25</v>
      </c>
      <c r="AI2" s="52" t="s">
        <v>68</v>
      </c>
      <c r="AJ2" s="10" t="s">
        <v>24</v>
      </c>
      <c r="AK2" s="10" t="s">
        <v>23</v>
      </c>
      <c r="AL2" s="10" t="s">
        <v>18</v>
      </c>
      <c r="AM2" s="111" t="s">
        <v>27</v>
      </c>
      <c r="AN2" s="111"/>
      <c r="AO2" s="111"/>
      <c r="AP2" s="111"/>
      <c r="AQ2" s="111" t="s">
        <v>30</v>
      </c>
      <c r="AR2" s="111"/>
      <c r="AS2" s="111"/>
      <c r="AT2" s="111"/>
      <c r="AU2" s="111" t="s">
        <v>31</v>
      </c>
      <c r="AV2" s="111"/>
      <c r="AW2" s="111"/>
      <c r="AX2" s="111"/>
      <c r="AY2" s="123" t="s">
        <v>32</v>
      </c>
      <c r="AZ2" s="123"/>
      <c r="BA2" s="123"/>
      <c r="BB2" s="123"/>
      <c r="BC2" s="73"/>
      <c r="BD2" s="87" t="s">
        <v>25</v>
      </c>
      <c r="BE2" s="87" t="s">
        <v>68</v>
      </c>
      <c r="BF2" s="13" t="s">
        <v>24</v>
      </c>
      <c r="BG2" s="13" t="s">
        <v>23</v>
      </c>
      <c r="BH2" s="13" t="s">
        <v>18</v>
      </c>
      <c r="BI2" s="22" t="s">
        <v>66</v>
      </c>
      <c r="BJ2" s="22" t="s">
        <v>65</v>
      </c>
      <c r="BK2" s="110" t="s">
        <v>27</v>
      </c>
      <c r="BL2" s="110"/>
      <c r="BM2" s="110"/>
      <c r="BN2" s="110"/>
      <c r="BO2" s="110" t="s">
        <v>30</v>
      </c>
      <c r="BP2" s="110"/>
      <c r="BQ2" s="110"/>
      <c r="BR2" s="110"/>
      <c r="BS2" s="110" t="s">
        <v>31</v>
      </c>
      <c r="BT2" s="110"/>
      <c r="BU2" s="110"/>
      <c r="BV2" s="110"/>
      <c r="BW2" s="121" t="s">
        <v>32</v>
      </c>
      <c r="BX2" s="121"/>
      <c r="BY2" s="121"/>
      <c r="BZ2" s="121"/>
      <c r="CA2" s="86" t="s">
        <v>25</v>
      </c>
      <c r="CB2" s="86" t="s">
        <v>68</v>
      </c>
      <c r="CC2" s="10" t="s">
        <v>24</v>
      </c>
      <c r="CD2" s="10" t="s">
        <v>23</v>
      </c>
      <c r="CE2" s="10" t="s">
        <v>18</v>
      </c>
      <c r="CF2" s="123" t="s">
        <v>27</v>
      </c>
      <c r="CG2" s="123"/>
      <c r="CH2" s="123"/>
      <c r="CI2" s="123"/>
      <c r="CJ2" s="123" t="s">
        <v>30</v>
      </c>
      <c r="CK2" s="123"/>
      <c r="CL2" s="123"/>
      <c r="CM2" s="123"/>
      <c r="CN2" s="123" t="s">
        <v>31</v>
      </c>
      <c r="CO2" s="123"/>
      <c r="CP2" s="123"/>
      <c r="CQ2" s="123"/>
      <c r="CR2" s="123" t="s">
        <v>32</v>
      </c>
      <c r="CS2" s="123"/>
      <c r="CT2" s="123"/>
      <c r="CU2" s="123"/>
      <c r="CV2" s="87" t="s">
        <v>25</v>
      </c>
      <c r="CW2" s="87" t="s">
        <v>68</v>
      </c>
      <c r="CX2" s="17" t="s">
        <v>24</v>
      </c>
      <c r="CY2" s="17" t="s">
        <v>23</v>
      </c>
      <c r="CZ2" s="17" t="s">
        <v>18</v>
      </c>
      <c r="DA2" s="121" t="s">
        <v>27</v>
      </c>
      <c r="DB2" s="121"/>
      <c r="DC2" s="121"/>
      <c r="DD2" s="121"/>
      <c r="DE2" s="121" t="s">
        <v>30</v>
      </c>
      <c r="DF2" s="121"/>
      <c r="DG2" s="121"/>
      <c r="DH2" s="121"/>
      <c r="DI2" s="121" t="s">
        <v>31</v>
      </c>
      <c r="DJ2" s="121"/>
      <c r="DK2" s="121"/>
      <c r="DL2" s="121"/>
      <c r="DM2" s="121" t="s">
        <v>32</v>
      </c>
      <c r="DN2" s="121"/>
      <c r="DO2" s="121"/>
      <c r="DP2" s="121"/>
      <c r="DQ2" s="86" t="s">
        <v>25</v>
      </c>
      <c r="DR2" s="86" t="s">
        <v>68</v>
      </c>
      <c r="DS2" s="18" t="s">
        <v>24</v>
      </c>
      <c r="DT2" s="18" t="s">
        <v>23</v>
      </c>
      <c r="DU2" s="18" t="s">
        <v>18</v>
      </c>
      <c r="DV2" s="123" t="s">
        <v>27</v>
      </c>
      <c r="DW2" s="123"/>
      <c r="DX2" s="123"/>
      <c r="DY2" s="123"/>
      <c r="DZ2" s="123" t="s">
        <v>30</v>
      </c>
      <c r="EA2" s="123"/>
      <c r="EB2" s="123"/>
      <c r="EC2" s="123"/>
      <c r="ED2" s="123" t="s">
        <v>31</v>
      </c>
      <c r="EE2" s="123"/>
      <c r="EF2" s="123"/>
      <c r="EG2" s="123"/>
      <c r="EH2" s="123" t="s">
        <v>32</v>
      </c>
      <c r="EI2" s="123"/>
      <c r="EJ2" s="123"/>
      <c r="EK2" s="123"/>
      <c r="EL2" s="87" t="s">
        <v>25</v>
      </c>
      <c r="EM2" s="87" t="s">
        <v>68</v>
      </c>
      <c r="EN2" s="17" t="s">
        <v>24</v>
      </c>
      <c r="EO2" s="17" t="s">
        <v>23</v>
      </c>
      <c r="EP2" s="17" t="s">
        <v>18</v>
      </c>
      <c r="EQ2" s="121" t="s">
        <v>27</v>
      </c>
      <c r="ER2" s="121"/>
      <c r="ES2" s="121"/>
      <c r="ET2" s="121"/>
      <c r="EU2" s="121" t="s">
        <v>30</v>
      </c>
      <c r="EV2" s="121"/>
      <c r="EW2" s="121"/>
      <c r="EX2" s="121"/>
      <c r="EY2" s="121" t="s">
        <v>31</v>
      </c>
      <c r="EZ2" s="121"/>
      <c r="FA2" s="121"/>
      <c r="FB2" s="121"/>
      <c r="FC2" s="121" t="s">
        <v>32</v>
      </c>
      <c r="FD2" s="121"/>
      <c r="FE2" s="121"/>
      <c r="FF2" s="121"/>
      <c r="FG2" s="86" t="s">
        <v>25</v>
      </c>
      <c r="FH2" s="86" t="s">
        <v>68</v>
      </c>
      <c r="FI2" s="18" t="s">
        <v>24</v>
      </c>
      <c r="FJ2" s="18" t="s">
        <v>23</v>
      </c>
      <c r="FK2" s="18" t="s">
        <v>18</v>
      </c>
      <c r="FL2" s="123" t="s">
        <v>27</v>
      </c>
      <c r="FM2" s="123"/>
      <c r="FN2" s="123"/>
      <c r="FO2" s="123"/>
      <c r="FP2" s="123" t="s">
        <v>30</v>
      </c>
      <c r="FQ2" s="123"/>
      <c r="FR2" s="123"/>
      <c r="FS2" s="123"/>
      <c r="FT2" s="123" t="s">
        <v>31</v>
      </c>
      <c r="FU2" s="123"/>
      <c r="FV2" s="123"/>
      <c r="FW2" s="123"/>
      <c r="FX2" s="123" t="s">
        <v>32</v>
      </c>
      <c r="FY2" s="123"/>
      <c r="FZ2" s="123"/>
      <c r="GA2" s="123"/>
      <c r="GB2" s="88" t="s">
        <v>25</v>
      </c>
      <c r="GC2" s="88" t="s">
        <v>68</v>
      </c>
      <c r="GD2" s="17" t="s">
        <v>24</v>
      </c>
      <c r="GE2" s="17" t="s">
        <v>23</v>
      </c>
      <c r="GF2" s="17" t="s">
        <v>18</v>
      </c>
      <c r="GG2" s="121" t="s">
        <v>27</v>
      </c>
      <c r="GH2" s="121"/>
      <c r="GI2" s="121"/>
      <c r="GJ2" s="121"/>
      <c r="GK2" s="121" t="s">
        <v>30</v>
      </c>
      <c r="GL2" s="121"/>
      <c r="GM2" s="121"/>
      <c r="GN2" s="121"/>
      <c r="GO2" s="121" t="s">
        <v>31</v>
      </c>
      <c r="GP2" s="121"/>
      <c r="GQ2" s="121"/>
      <c r="GR2" s="121"/>
      <c r="GS2" s="121" t="s">
        <v>32</v>
      </c>
      <c r="GT2" s="121"/>
      <c r="GU2" s="121"/>
      <c r="GV2" s="121"/>
      <c r="GW2" s="89" t="s">
        <v>25</v>
      </c>
      <c r="GX2" s="89" t="s">
        <v>68</v>
      </c>
      <c r="GY2" s="18" t="s">
        <v>24</v>
      </c>
      <c r="GZ2" s="18" t="s">
        <v>23</v>
      </c>
      <c r="HA2" s="18" t="s">
        <v>18</v>
      </c>
      <c r="HB2" s="123" t="s">
        <v>27</v>
      </c>
      <c r="HC2" s="123"/>
      <c r="HD2" s="123"/>
      <c r="HE2" s="123"/>
      <c r="HF2" s="123" t="s">
        <v>30</v>
      </c>
      <c r="HG2" s="123"/>
      <c r="HH2" s="123"/>
      <c r="HI2" s="123"/>
      <c r="HJ2" s="123" t="s">
        <v>31</v>
      </c>
      <c r="HK2" s="123"/>
      <c r="HL2" s="123"/>
      <c r="HM2" s="123"/>
      <c r="HN2" s="123" t="s">
        <v>32</v>
      </c>
      <c r="HO2" s="123"/>
      <c r="HP2" s="123"/>
      <c r="HQ2" s="123"/>
      <c r="HR2" s="88" t="s">
        <v>25</v>
      </c>
      <c r="HS2" s="88" t="s">
        <v>68</v>
      </c>
      <c r="HT2" s="17" t="s">
        <v>24</v>
      </c>
      <c r="HU2" s="17" t="s">
        <v>23</v>
      </c>
      <c r="HV2" s="17" t="s">
        <v>18</v>
      </c>
      <c r="HW2" s="121" t="s">
        <v>27</v>
      </c>
      <c r="HX2" s="121"/>
      <c r="HY2" s="121"/>
      <c r="HZ2" s="121"/>
      <c r="IA2" s="121" t="s">
        <v>30</v>
      </c>
      <c r="IB2" s="121"/>
      <c r="IC2" s="121"/>
      <c r="ID2" s="121"/>
      <c r="IE2" s="121" t="s">
        <v>31</v>
      </c>
      <c r="IF2" s="121"/>
      <c r="IG2" s="121"/>
      <c r="IH2" s="121"/>
      <c r="II2" s="121" t="s">
        <v>32</v>
      </c>
      <c r="IJ2" s="121"/>
      <c r="IK2" s="121"/>
      <c r="IL2" s="121"/>
      <c r="IM2" s="89" t="s">
        <v>25</v>
      </c>
      <c r="IN2" s="89" t="s">
        <v>68</v>
      </c>
      <c r="IO2" s="18" t="s">
        <v>24</v>
      </c>
      <c r="IP2" s="18" t="s">
        <v>23</v>
      </c>
      <c r="IQ2" s="18" t="s">
        <v>18</v>
      </c>
      <c r="IR2" s="123" t="s">
        <v>27</v>
      </c>
      <c r="IS2" s="123"/>
      <c r="IT2" s="123"/>
      <c r="IU2" s="123"/>
      <c r="IV2" s="123" t="s">
        <v>30</v>
      </c>
      <c r="IW2" s="123"/>
      <c r="IX2" s="123"/>
      <c r="IY2" s="123"/>
      <c r="IZ2" s="123" t="s">
        <v>31</v>
      </c>
      <c r="JA2" s="123"/>
      <c r="JB2" s="123"/>
      <c r="JC2" s="123"/>
      <c r="JD2" s="123" t="s">
        <v>32</v>
      </c>
      <c r="JE2" s="123"/>
      <c r="JF2" s="123"/>
      <c r="JG2" s="123"/>
      <c r="JH2" s="88" t="s">
        <v>25</v>
      </c>
      <c r="JI2" s="88" t="s">
        <v>68</v>
      </c>
      <c r="JJ2" s="17" t="s">
        <v>24</v>
      </c>
      <c r="JK2" s="17" t="s">
        <v>23</v>
      </c>
      <c r="JL2" s="17" t="s">
        <v>18</v>
      </c>
      <c r="JM2" s="121" t="s">
        <v>27</v>
      </c>
      <c r="JN2" s="121"/>
      <c r="JO2" s="121"/>
      <c r="JP2" s="121"/>
      <c r="JQ2" s="121" t="s">
        <v>30</v>
      </c>
      <c r="JR2" s="121"/>
      <c r="JS2" s="121"/>
      <c r="JT2" s="121"/>
      <c r="JU2" s="121" t="s">
        <v>31</v>
      </c>
      <c r="JV2" s="121"/>
      <c r="JW2" s="121"/>
      <c r="JX2" s="121"/>
      <c r="JY2" s="121" t="s">
        <v>32</v>
      </c>
      <c r="JZ2" s="121"/>
      <c r="KA2" s="121"/>
      <c r="KB2" s="121"/>
      <c r="KC2" s="89" t="s">
        <v>25</v>
      </c>
      <c r="KD2" s="89" t="s">
        <v>68</v>
      </c>
      <c r="KE2" s="18" t="s">
        <v>24</v>
      </c>
      <c r="KF2" s="18" t="s">
        <v>23</v>
      </c>
      <c r="KG2" s="18" t="s">
        <v>18</v>
      </c>
      <c r="KH2" s="123" t="s">
        <v>27</v>
      </c>
      <c r="KI2" s="123"/>
      <c r="KJ2" s="123"/>
      <c r="KK2" s="123"/>
      <c r="KL2" s="123" t="s">
        <v>30</v>
      </c>
      <c r="KM2" s="123"/>
      <c r="KN2" s="123"/>
      <c r="KO2" s="123"/>
      <c r="KP2" s="123" t="s">
        <v>31</v>
      </c>
      <c r="KQ2" s="123"/>
      <c r="KR2" s="123"/>
      <c r="KS2" s="123"/>
      <c r="KT2" s="123" t="s">
        <v>32</v>
      </c>
      <c r="KU2" s="123"/>
      <c r="KV2" s="123"/>
      <c r="KW2" s="123"/>
      <c r="KX2" s="88" t="s">
        <v>25</v>
      </c>
      <c r="KY2" s="88" t="s">
        <v>68</v>
      </c>
      <c r="KZ2" s="17" t="s">
        <v>24</v>
      </c>
      <c r="LA2" s="17" t="s">
        <v>23</v>
      </c>
      <c r="LB2" s="17" t="s">
        <v>18</v>
      </c>
      <c r="LC2" s="110" t="s">
        <v>27</v>
      </c>
      <c r="LD2" s="110"/>
      <c r="LE2" s="110"/>
      <c r="LF2" s="110"/>
      <c r="LG2" s="110" t="s">
        <v>30</v>
      </c>
      <c r="LH2" s="110"/>
      <c r="LI2" s="110"/>
      <c r="LJ2" s="110"/>
      <c r="LK2" s="110" t="s">
        <v>31</v>
      </c>
      <c r="LL2" s="110"/>
      <c r="LM2" s="110"/>
      <c r="LN2" s="110"/>
      <c r="LO2" s="121" t="s">
        <v>32</v>
      </c>
      <c r="LP2" s="121"/>
      <c r="LQ2" s="121"/>
      <c r="LR2" s="121"/>
      <c r="LS2" s="105"/>
      <c r="LT2" s="105" t="s">
        <v>25</v>
      </c>
      <c r="LU2" s="105" t="s">
        <v>68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2"/>
      <c r="B3" s="112"/>
      <c r="C3" s="112"/>
      <c r="D3" s="112"/>
      <c r="E3" s="112"/>
      <c r="F3" s="119"/>
      <c r="G3" s="119"/>
      <c r="H3" s="119"/>
      <c r="I3" s="112"/>
      <c r="J3" s="126"/>
      <c r="K3" s="114"/>
      <c r="L3" s="126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52</v>
      </c>
      <c r="AH3" s="11"/>
      <c r="AI3" s="11"/>
      <c r="AJ3" s="10"/>
      <c r="AK3" s="11"/>
      <c r="AL3" s="11"/>
      <c r="AM3" s="51" t="s">
        <v>15</v>
      </c>
      <c r="AN3" s="51" t="s">
        <v>7</v>
      </c>
      <c r="AO3" s="51" t="s">
        <v>28</v>
      </c>
      <c r="AP3" s="51" t="s">
        <v>29</v>
      </c>
      <c r="AQ3" s="51" t="s">
        <v>15</v>
      </c>
      <c r="AR3" s="51" t="s">
        <v>7</v>
      </c>
      <c r="AS3" s="51" t="s">
        <v>28</v>
      </c>
      <c r="AT3" s="51" t="s">
        <v>29</v>
      </c>
      <c r="AU3" s="51" t="s">
        <v>15</v>
      </c>
      <c r="AV3" s="51" t="s">
        <v>7</v>
      </c>
      <c r="AW3" s="51" t="s">
        <v>28</v>
      </c>
      <c r="AX3" s="51" t="s">
        <v>29</v>
      </c>
      <c r="AY3" s="56" t="s">
        <v>15</v>
      </c>
      <c r="AZ3" s="56" t="s">
        <v>7</v>
      </c>
      <c r="BA3" s="56" t="s">
        <v>28</v>
      </c>
      <c r="BB3" s="56" t="s">
        <v>29</v>
      </c>
      <c r="BC3" s="73" t="s">
        <v>52</v>
      </c>
      <c r="BD3" s="14"/>
      <c r="BE3" s="14"/>
      <c r="BF3" s="13"/>
      <c r="BG3" s="14"/>
      <c r="BH3" s="14"/>
      <c r="BI3" s="23"/>
      <c r="BJ3" s="23"/>
      <c r="BK3" s="52" t="s">
        <v>15</v>
      </c>
      <c r="BL3" s="52" t="s">
        <v>7</v>
      </c>
      <c r="BM3" s="52" t="s">
        <v>28</v>
      </c>
      <c r="BN3" s="52" t="s">
        <v>29</v>
      </c>
      <c r="BO3" s="52" t="s">
        <v>15</v>
      </c>
      <c r="BP3" s="52" t="s">
        <v>7</v>
      </c>
      <c r="BQ3" s="52" t="s">
        <v>28</v>
      </c>
      <c r="BR3" s="52" t="s">
        <v>29</v>
      </c>
      <c r="BS3" s="52" t="s">
        <v>15</v>
      </c>
      <c r="BT3" s="52" t="s">
        <v>7</v>
      </c>
      <c r="BU3" s="52" t="s">
        <v>28</v>
      </c>
      <c r="BV3" s="52" t="s">
        <v>29</v>
      </c>
      <c r="BW3" s="55" t="s">
        <v>15</v>
      </c>
      <c r="BX3" s="55" t="s">
        <v>7</v>
      </c>
      <c r="BY3" s="55" t="s">
        <v>28</v>
      </c>
      <c r="BZ3" s="55" t="s">
        <v>29</v>
      </c>
      <c r="CA3" s="11"/>
      <c r="CB3" s="11"/>
      <c r="CC3" s="10"/>
      <c r="CD3" s="11"/>
      <c r="CE3" s="11"/>
      <c r="CF3" s="56" t="s">
        <v>15</v>
      </c>
      <c r="CG3" s="56" t="s">
        <v>7</v>
      </c>
      <c r="CH3" s="56" t="s">
        <v>28</v>
      </c>
      <c r="CI3" s="56" t="s">
        <v>29</v>
      </c>
      <c r="CJ3" s="56" t="s">
        <v>15</v>
      </c>
      <c r="CK3" s="56" t="s">
        <v>7</v>
      </c>
      <c r="CL3" s="56" t="s">
        <v>28</v>
      </c>
      <c r="CM3" s="56" t="s">
        <v>29</v>
      </c>
      <c r="CN3" s="56" t="s">
        <v>15</v>
      </c>
      <c r="CO3" s="56" t="s">
        <v>7</v>
      </c>
      <c r="CP3" s="56" t="s">
        <v>28</v>
      </c>
      <c r="CQ3" s="56" t="s">
        <v>29</v>
      </c>
      <c r="CR3" s="56" t="s">
        <v>15</v>
      </c>
      <c r="CS3" s="56" t="s">
        <v>7</v>
      </c>
      <c r="CT3" s="56" t="s">
        <v>28</v>
      </c>
      <c r="CU3" s="56" t="s">
        <v>29</v>
      </c>
      <c r="CV3" s="14"/>
      <c r="CW3" s="14"/>
      <c r="CX3" s="17"/>
      <c r="CY3" s="17"/>
      <c r="CZ3" s="17"/>
      <c r="DA3" s="55" t="s">
        <v>15</v>
      </c>
      <c r="DB3" s="55" t="s">
        <v>7</v>
      </c>
      <c r="DC3" s="55" t="s">
        <v>28</v>
      </c>
      <c r="DD3" s="55" t="s">
        <v>29</v>
      </c>
      <c r="DE3" s="55" t="s">
        <v>15</v>
      </c>
      <c r="DF3" s="55" t="s">
        <v>7</v>
      </c>
      <c r="DG3" s="55" t="s">
        <v>28</v>
      </c>
      <c r="DH3" s="55" t="s">
        <v>29</v>
      </c>
      <c r="DI3" s="55" t="s">
        <v>15</v>
      </c>
      <c r="DJ3" s="55" t="s">
        <v>7</v>
      </c>
      <c r="DK3" s="55" t="s">
        <v>28</v>
      </c>
      <c r="DL3" s="55" t="s">
        <v>29</v>
      </c>
      <c r="DM3" s="55" t="s">
        <v>15</v>
      </c>
      <c r="DN3" s="55" t="s">
        <v>7</v>
      </c>
      <c r="DO3" s="55" t="s">
        <v>28</v>
      </c>
      <c r="DP3" s="55" t="s">
        <v>29</v>
      </c>
      <c r="DQ3" s="11"/>
      <c r="DR3" s="11"/>
      <c r="DS3" s="18"/>
      <c r="DT3" s="18"/>
      <c r="DU3" s="18"/>
      <c r="DV3" s="56" t="s">
        <v>15</v>
      </c>
      <c r="DW3" s="56" t="s">
        <v>7</v>
      </c>
      <c r="DX3" s="56" t="s">
        <v>28</v>
      </c>
      <c r="DY3" s="56" t="s">
        <v>29</v>
      </c>
      <c r="DZ3" s="56" t="s">
        <v>15</v>
      </c>
      <c r="EA3" s="56" t="s">
        <v>7</v>
      </c>
      <c r="EB3" s="56" t="s">
        <v>28</v>
      </c>
      <c r="EC3" s="56" t="s">
        <v>29</v>
      </c>
      <c r="ED3" s="56" t="s">
        <v>15</v>
      </c>
      <c r="EE3" s="56" t="s">
        <v>7</v>
      </c>
      <c r="EF3" s="56" t="s">
        <v>28</v>
      </c>
      <c r="EG3" s="56" t="s">
        <v>29</v>
      </c>
      <c r="EH3" s="56" t="s">
        <v>15</v>
      </c>
      <c r="EI3" s="56" t="s">
        <v>7</v>
      </c>
      <c r="EJ3" s="56" t="s">
        <v>28</v>
      </c>
      <c r="EK3" s="56" t="s">
        <v>29</v>
      </c>
      <c r="EL3" s="14"/>
      <c r="EM3" s="14"/>
      <c r="EN3" s="17"/>
      <c r="EO3" s="17"/>
      <c r="EP3" s="17"/>
      <c r="EQ3" s="33" t="s">
        <v>15</v>
      </c>
      <c r="ER3" s="33" t="s">
        <v>7</v>
      </c>
      <c r="ES3" s="33" t="s">
        <v>28</v>
      </c>
      <c r="ET3" s="33" t="s">
        <v>29</v>
      </c>
      <c r="EU3" s="33" t="s">
        <v>15</v>
      </c>
      <c r="EV3" s="33" t="s">
        <v>7</v>
      </c>
      <c r="EW3" s="33" t="s">
        <v>28</v>
      </c>
      <c r="EX3" s="33" t="s">
        <v>29</v>
      </c>
      <c r="EY3" s="33" t="s">
        <v>15</v>
      </c>
      <c r="EZ3" s="33" t="s">
        <v>7</v>
      </c>
      <c r="FA3" s="33" t="s">
        <v>28</v>
      </c>
      <c r="FB3" s="33" t="s">
        <v>29</v>
      </c>
      <c r="FC3" s="33" t="s">
        <v>15</v>
      </c>
      <c r="FD3" s="33" t="s">
        <v>7</v>
      </c>
      <c r="FE3" s="33" t="s">
        <v>28</v>
      </c>
      <c r="FF3" s="33" t="s">
        <v>29</v>
      </c>
      <c r="FG3" s="11"/>
      <c r="FH3" s="11"/>
      <c r="FI3" s="18"/>
      <c r="FJ3" s="18"/>
      <c r="FK3" s="18"/>
      <c r="FL3" s="32" t="s">
        <v>15</v>
      </c>
      <c r="FM3" s="32" t="s">
        <v>7</v>
      </c>
      <c r="FN3" s="32" t="s">
        <v>28</v>
      </c>
      <c r="FO3" s="32" t="s">
        <v>29</v>
      </c>
      <c r="FP3" s="32" t="s">
        <v>15</v>
      </c>
      <c r="FQ3" s="32" t="s">
        <v>7</v>
      </c>
      <c r="FR3" s="32" t="s">
        <v>28</v>
      </c>
      <c r="FS3" s="32" t="s">
        <v>29</v>
      </c>
      <c r="FT3" s="32" t="s">
        <v>15</v>
      </c>
      <c r="FU3" s="32" t="s">
        <v>7</v>
      </c>
      <c r="FV3" s="32" t="s">
        <v>28</v>
      </c>
      <c r="FW3" s="32" t="s">
        <v>29</v>
      </c>
      <c r="FX3" s="32" t="s">
        <v>15</v>
      </c>
      <c r="FY3" s="32" t="s">
        <v>7</v>
      </c>
      <c r="FZ3" s="32" t="s">
        <v>28</v>
      </c>
      <c r="GA3" s="32" t="s">
        <v>29</v>
      </c>
      <c r="GB3" s="14"/>
      <c r="GC3" s="14"/>
      <c r="GD3" s="17"/>
      <c r="GE3" s="17"/>
      <c r="GF3" s="17"/>
      <c r="GG3" s="33" t="s">
        <v>15</v>
      </c>
      <c r="GH3" s="33" t="s">
        <v>7</v>
      </c>
      <c r="GI3" s="33" t="s">
        <v>28</v>
      </c>
      <c r="GJ3" s="33" t="s">
        <v>29</v>
      </c>
      <c r="GK3" s="33" t="s">
        <v>15</v>
      </c>
      <c r="GL3" s="33" t="s">
        <v>7</v>
      </c>
      <c r="GM3" s="33" t="s">
        <v>28</v>
      </c>
      <c r="GN3" s="33" t="s">
        <v>29</v>
      </c>
      <c r="GO3" s="33" t="s">
        <v>15</v>
      </c>
      <c r="GP3" s="33" t="s">
        <v>7</v>
      </c>
      <c r="GQ3" s="33" t="s">
        <v>28</v>
      </c>
      <c r="GR3" s="33" t="s">
        <v>29</v>
      </c>
      <c r="GS3" s="33" t="s">
        <v>15</v>
      </c>
      <c r="GT3" s="33" t="s">
        <v>7</v>
      </c>
      <c r="GU3" s="33" t="s">
        <v>28</v>
      </c>
      <c r="GV3" s="33" t="s">
        <v>29</v>
      </c>
      <c r="GW3" s="11"/>
      <c r="GX3" s="11"/>
      <c r="GY3" s="18"/>
      <c r="GZ3" s="18"/>
      <c r="HA3" s="18"/>
      <c r="HB3" s="32" t="s">
        <v>15</v>
      </c>
      <c r="HC3" s="32" t="s">
        <v>7</v>
      </c>
      <c r="HD3" s="32" t="s">
        <v>28</v>
      </c>
      <c r="HE3" s="32" t="s">
        <v>29</v>
      </c>
      <c r="HF3" s="32" t="s">
        <v>15</v>
      </c>
      <c r="HG3" s="32" t="s">
        <v>7</v>
      </c>
      <c r="HH3" s="32" t="s">
        <v>28</v>
      </c>
      <c r="HI3" s="32" t="s">
        <v>29</v>
      </c>
      <c r="HJ3" s="32" t="s">
        <v>15</v>
      </c>
      <c r="HK3" s="32" t="s">
        <v>7</v>
      </c>
      <c r="HL3" s="32" t="s">
        <v>28</v>
      </c>
      <c r="HM3" s="32" t="s">
        <v>29</v>
      </c>
      <c r="HN3" s="32" t="s">
        <v>15</v>
      </c>
      <c r="HO3" s="32" t="s">
        <v>7</v>
      </c>
      <c r="HP3" s="32" t="s">
        <v>28</v>
      </c>
      <c r="HQ3" s="32" t="s">
        <v>29</v>
      </c>
      <c r="HR3" s="14"/>
      <c r="HS3" s="14"/>
      <c r="HT3" s="17"/>
      <c r="HU3" s="17"/>
      <c r="HV3" s="17"/>
      <c r="HW3" s="33" t="s">
        <v>15</v>
      </c>
      <c r="HX3" s="33" t="s">
        <v>7</v>
      </c>
      <c r="HY3" s="33" t="s">
        <v>28</v>
      </c>
      <c r="HZ3" s="33" t="s">
        <v>29</v>
      </c>
      <c r="IA3" s="33" t="s">
        <v>15</v>
      </c>
      <c r="IB3" s="33" t="s">
        <v>7</v>
      </c>
      <c r="IC3" s="33" t="s">
        <v>28</v>
      </c>
      <c r="ID3" s="33" t="s">
        <v>29</v>
      </c>
      <c r="IE3" s="33" t="s">
        <v>15</v>
      </c>
      <c r="IF3" s="33" t="s">
        <v>7</v>
      </c>
      <c r="IG3" s="33" t="s">
        <v>28</v>
      </c>
      <c r="IH3" s="33" t="s">
        <v>29</v>
      </c>
      <c r="II3" s="33" t="s">
        <v>15</v>
      </c>
      <c r="IJ3" s="33" t="s">
        <v>7</v>
      </c>
      <c r="IK3" s="33" t="s">
        <v>28</v>
      </c>
      <c r="IL3" s="33" t="s">
        <v>29</v>
      </c>
      <c r="IM3" s="11"/>
      <c r="IN3" s="11"/>
      <c r="IO3" s="18"/>
      <c r="IP3" s="18"/>
      <c r="IQ3" s="18"/>
      <c r="IR3" s="32" t="s">
        <v>15</v>
      </c>
      <c r="IS3" s="32" t="s">
        <v>7</v>
      </c>
      <c r="IT3" s="32" t="s">
        <v>28</v>
      </c>
      <c r="IU3" s="32" t="s">
        <v>29</v>
      </c>
      <c r="IV3" s="32" t="s">
        <v>15</v>
      </c>
      <c r="IW3" s="32" t="s">
        <v>7</v>
      </c>
      <c r="IX3" s="32" t="s">
        <v>28</v>
      </c>
      <c r="IY3" s="32" t="s">
        <v>29</v>
      </c>
      <c r="IZ3" s="32" t="s">
        <v>15</v>
      </c>
      <c r="JA3" s="32" t="s">
        <v>7</v>
      </c>
      <c r="JB3" s="32" t="s">
        <v>28</v>
      </c>
      <c r="JC3" s="32" t="s">
        <v>29</v>
      </c>
      <c r="JD3" s="32" t="s">
        <v>15</v>
      </c>
      <c r="JE3" s="32" t="s">
        <v>7</v>
      </c>
      <c r="JF3" s="32" t="s">
        <v>28</v>
      </c>
      <c r="JG3" s="32" t="s">
        <v>29</v>
      </c>
      <c r="JH3" s="14"/>
      <c r="JI3" s="14"/>
      <c r="JJ3" s="17"/>
      <c r="JK3" s="17"/>
      <c r="JL3" s="17"/>
      <c r="JM3" s="33" t="s">
        <v>15</v>
      </c>
      <c r="JN3" s="33" t="s">
        <v>7</v>
      </c>
      <c r="JO3" s="33" t="s">
        <v>28</v>
      </c>
      <c r="JP3" s="33" t="s">
        <v>29</v>
      </c>
      <c r="JQ3" s="33" t="s">
        <v>15</v>
      </c>
      <c r="JR3" s="33" t="s">
        <v>7</v>
      </c>
      <c r="JS3" s="33" t="s">
        <v>28</v>
      </c>
      <c r="JT3" s="33" t="s">
        <v>29</v>
      </c>
      <c r="JU3" s="33" t="s">
        <v>15</v>
      </c>
      <c r="JV3" s="33" t="s">
        <v>7</v>
      </c>
      <c r="JW3" s="33" t="s">
        <v>28</v>
      </c>
      <c r="JX3" s="33" t="s">
        <v>29</v>
      </c>
      <c r="JY3" s="33" t="s">
        <v>15</v>
      </c>
      <c r="JZ3" s="33" t="s">
        <v>7</v>
      </c>
      <c r="KA3" s="33" t="s">
        <v>28</v>
      </c>
      <c r="KB3" s="33" t="s">
        <v>29</v>
      </c>
      <c r="KC3" s="11"/>
      <c r="KD3" s="11"/>
      <c r="KE3" s="18"/>
      <c r="KF3" s="18"/>
      <c r="KG3" s="18"/>
      <c r="KH3" s="32" t="s">
        <v>15</v>
      </c>
      <c r="KI3" s="32" t="s">
        <v>7</v>
      </c>
      <c r="KJ3" s="32" t="s">
        <v>28</v>
      </c>
      <c r="KK3" s="32" t="s">
        <v>29</v>
      </c>
      <c r="KL3" s="32" t="s">
        <v>15</v>
      </c>
      <c r="KM3" s="32" t="s">
        <v>7</v>
      </c>
      <c r="KN3" s="32" t="s">
        <v>28</v>
      </c>
      <c r="KO3" s="32" t="s">
        <v>29</v>
      </c>
      <c r="KP3" s="32" t="s">
        <v>15</v>
      </c>
      <c r="KQ3" s="32" t="s">
        <v>7</v>
      </c>
      <c r="KR3" s="32" t="s">
        <v>28</v>
      </c>
      <c r="KS3" s="32" t="s">
        <v>29</v>
      </c>
      <c r="KT3" s="32" t="s">
        <v>15</v>
      </c>
      <c r="KU3" s="32" t="s">
        <v>7</v>
      </c>
      <c r="KV3" s="32" t="s">
        <v>28</v>
      </c>
      <c r="KW3" s="32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52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9" t="s">
        <v>77</v>
      </c>
      <c r="C4" s="5" t="s">
        <v>3</v>
      </c>
      <c r="D4" s="6">
        <v>2003</v>
      </c>
      <c r="E4" s="16">
        <f>SUM(J4:N4)</f>
        <v>215</v>
      </c>
      <c r="F4" s="4" t="str">
        <f>IF(OR(AND(AH4&gt;=AK$15,AJ4&gt;=AK$18,AJ4&lt;&gt;"",AG4=""),AND(BD4&gt;=BG$15,BF4&gt;=BG$18,BF4&lt;&gt;"",BC4=""),AND(CA4&gt;=CD$15,CC4&gt;=CD$18,CC4&lt;&gt;""),AND(CV4&gt;=CY$15,CX4&gt;=CY$18,CX4&lt;&gt;""),AND(DQ4&gt;=DT$15,DS4&gt;=DT$18,DS4&lt;&gt;""),AND(EL4&gt;=EO$15,EN4&gt;=EO$18,EN4&lt;&gt;""),AND(FG4&gt;=FJ$15,FI4&gt;=FJ$18,FI4&lt;&gt;""),AND(GB4&gt;=GE$15,GD4&gt;=GE$18,GD4&lt;&gt;""),AND(GW4&gt;=GZ$15,GY4&gt;=GZ$18,GY4&lt;&gt;""),AND(HR4&gt;=HU$15,HT4&gt;=HU$18,HT4&lt;&gt;""),AND(IM4&gt;=IP$15,IO4&gt;=IP$18,IO4&lt;&gt;""),AND(JH4&gt;=JK$15,JJ4&gt;=JK$18,JJ4&lt;&gt;""),AND(KC4&gt;=KF$15,KE4&gt;=KF$18,KE4&lt;&gt;""),AND(KX4&gt;=LA$15,KZ4&gt;=LA$18,KZ4&lt;&gt;"")),"P","")</f>
        <v>P</v>
      </c>
      <c r="G4" s="4" t="str">
        <f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/>
      </c>
      <c r="H4" s="4" t="str">
        <f>IF(OR(AND(AJ4&gt;=AK$18,AJ4&lt;&gt;"",AG4=""),AND(BF4&gt;=BG$18,BF4&lt;&gt;"",BC4=""),AND(CC4&gt;=CD$18,CC4&lt;&gt;""),AND(CX4&gt;=CY$18,CX4&lt;&gt;""),AND(DS4&gt;=DT$18,DS4&lt;&gt;""),AND(EN4&gt;=EO$18,EN4&lt;&gt;""),AND(FI4&gt;=FJ$18,FI4&lt;&gt;""),AND(GD4&gt;=GE$18,GD4&lt;&gt;""),AND(GY4&gt;=GZ$18,GY4&lt;&gt;""),AND(HT4&gt;=HU$18,HT4&lt;&gt;""),AND(IO4&gt;=IP$18,IO4&lt;&gt;""),AND(JJ4&gt;=JK$18,JJ4&lt;&gt;""),AND(KE4&gt;=KF$18,KE4&lt;&gt;""),AND(KZ4&gt;=LA$18,KZ4&lt;&gt;"")),"P","")</f>
        <v>P</v>
      </c>
      <c r="I4" t="str">
        <f>IF(AND(H4="P",F4=""),"No DD",IF(OR(AND(AI4&gt;=AK$17,AI4&lt;&gt;"",AL4&gt;=AK$21,AL4&lt;&gt;"",AG4=""),AND(BE4&gt;=BG$17,BE4&lt;&gt;"",BH4&gt;=BG$21,BH4&lt;&gt;"",BC4=""),AND(CB4&gt;=CD$17,CB4&lt;&gt;"",CE4&gt;=CD$21,CE4&lt;&gt;""),AND(CW4&gt;=CY$17,CW4&lt;&gt;"",CZ4&gt;=CY$21,CZ4&lt;&gt;""),AND(DR4&gt;=DT$17,DR4&lt;&gt;"",DU4&gt;=DT$21,DU4&lt;&gt;""),AND(EM4&gt;=EO$17,EM4&lt;&gt;"",EP4&gt;=EO$21,EP4&lt;&gt;""),AND(FH4&gt;=FJ$17,FH4&lt;&gt;"",FK4&gt;=FJ$21,FK4&lt;&gt;""),AND(GC4&gt;=GE$17,GC4&lt;&gt;"",GF4&gt;=GE$21,GF4&lt;&gt;""),AND(GX4&gt;=GZ$17,GX4&lt;&gt;"",HA4&gt;=GZ$21,HA4&lt;&gt;""),AND(HS4&gt;=HU$17,HS4&lt;&gt;"",HV4&gt;=HU$21,HV4&lt;&gt;""),AND(IN4&gt;=IP$17,IN4&lt;&gt;"",IQ4&gt;=IP$21,IQ4&lt;&gt;""),AND(JI4&gt;=JK$17,JI4&lt;&gt;"",JL4&gt;=JK$21,JL4&lt;&gt;""),AND(KD4&gt;=KF$17,KD4&lt;&gt;"",KG4&gt;=KF$21,KG4&lt;&gt;""),AND(KY4&gt;=LA$17,KY4&lt;&gt;"",LB4&gt;=LA$21,LB4&lt;&gt;"")),"Merit",IF(OR(AND(AI4&gt;=AK$17,AI4&lt;&gt;"",AL4&gt;=AK$20,AL4&lt;&gt;"",AG4=""),AND(BE4&gt;=BG$17,BE4&lt;&gt;"",BH4&gt;=BG$20,BH4&lt;&gt;"",BC4=""),AND(CB4&gt;=CD$17,CB4&lt;&gt;"",CE4&gt;=CD$20,CE4&lt;&gt;""),AND(CW4&gt;=CY$17,CW4&lt;&gt;"",CZ4&gt;=CY$20,CZ4&lt;&gt;""),AND(DR4&gt;=DT$17,DR4&lt;&gt;"",DU4&gt;=DT$20,DU4&lt;&gt;""),AND(EM4&gt;=EO$17,EM4&lt;&gt;"",EP4&gt;=EO$20,EP4&lt;&gt;""),AND(FH4&gt;=FJ$17,FH4&lt;&gt;"",FK4&gt;=FJ$20,FK4&lt;&gt;""),AND(GC4&gt;=GE$17,GC4&lt;&gt;"",GF4&gt;=GE$20,GF4&lt;&gt;""),AND(GX4&gt;=GZ$17,GX4&lt;&gt;"",HA4&gt;=GZ$20,HA4&lt;&gt;""),AND(HS4&gt;=HU$17,HS4&lt;&gt;"",HV4&gt;=HU$20,HV4&lt;&gt;""),AND(IN4&gt;=IP$17,IN4&lt;&gt;"",IQ4&gt;=IP$20,IQ4&lt;&gt;""),AND(JI4&gt;=JK$17,JI4&lt;&gt;"",JL4&gt;=JK$20,JL4&lt;&gt;""),AND(KD4&gt;=KF$17,KD4&lt;&gt;"",KG4&gt;=KF$20,KG4&lt;&gt;""),AND(KY4&gt;=LA$17,KY4&lt;&gt;"",LB4&gt;=LA$20,LB4&lt;&gt;"")),"Excellence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Worlds Team",IF(OR(AND(AH4&gt;=AK$15,AH4&lt;&gt;"",AJ4&gt;=AK$18,AJ4&lt;&gt;"",AG4=""),AND(BD4&gt;=BG$15,BD4&lt;&gt;"",BF4&gt;=BG$18,BF4&lt;&gt;"",BC4=""),AND(CA4&gt;=CD$15,CA4&lt;&gt;"",CC4&gt;=CD$18,CC4&lt;&gt;""),AND(CV4&gt;=CY$15,CV4&lt;&gt;"",CX4&gt;=CY$18,CX4&lt;&gt;""),AND(DQ4&gt;=DT$15,DQ4&lt;&gt;"",DS4&gt;=DT$18,DS4&lt;&gt;""),AND(EL4&gt;=EO$15,EL4&lt;&gt;"",EN4&gt;=EO$18,EN4&lt;&gt;""),AND(FG4&gt;=FJ$15,FG4&lt;&gt;"",FI4&gt;=FJ$18,FI4&lt;&gt;""),AND(GB4&gt;=GE$15,GB4&lt;&gt;"",GD4&gt;=GE$18,GD4&lt;&gt;""),AND(GW4&gt;=GZ$15,GW4&lt;&gt;"",GY4&gt;=GZ$18,GY4&lt;&gt;""),AND(HR4&gt;=HU$15,HR4&lt;&gt;"",HT4&gt;=HU$18,HT4&lt;&gt;""),AND(IM4&gt;=IP$15,IM4&lt;&gt;"",IO4&gt;=IP$18,IO4&lt;&gt;""),AND(JH4&gt;=JK$15,JH4&lt;&gt;"",JJ4&gt;=JK$18,JJ4&lt;&gt;""),AND(KC4&gt;=KF$15,KC4&lt;&gt;"",KE4&gt;=KF$18,KE4&lt;&gt;""),AND(KX4&gt;=LA$15,KX4&lt;&gt;"",KZ4&gt;=LA$18,KZ4&lt;&gt;"")),"National Team","")))))</f>
        <v>Excellence</v>
      </c>
      <c r="J4" s="15">
        <f>IF(MAX(AL4,BH4)&gt;0,MAX(AL4,BH4),"")</f>
        <v>140.19999999999999</v>
      </c>
      <c r="K4" s="15" t="str">
        <f>IF(J4="","",IF(J4=BH4,$AM$1,IF(J4=AL4,$Q$1,"")))</f>
        <v>2019 Elite Canada</v>
      </c>
      <c r="L4" s="15">
        <f>IF(J4=AL4,IF(MAX(BF4,BG4)&gt;0,MAX(BF4,BG4),""),IF(J4=BH4,IF(MAX(AJ4,AK4)&gt;0,MAX(AJ4,AK4),""),MAX(AJ4,AK4,BF4,BG4)))</f>
        <v>72</v>
      </c>
      <c r="M4" s="15" t="str">
        <f>IF(L4="","",IF(AND(J4&lt;&gt;BH4,OR(L4=BG4,L4=BF4)),$AM$1,IF(OR(L4=AK4,L4=AJ4),$Q$1,"")))</f>
        <v>2019 Nationals</v>
      </c>
      <c r="N4" s="15">
        <f>IF(MAX(BI4:BJ4)&gt;0,MAX(BI4:BJ4),"")</f>
        <v>2.8000000000000114</v>
      </c>
      <c r="O4" s="25" t="str">
        <f>IF(N4="","",IF(N4=BI4,"(4 Pass)",IF(N4=BJ4,"(2 Pass)")))</f>
        <v>(4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2019 WAGC (Dec 8)</v>
      </c>
      <c r="Q4" s="63">
        <v>28.5</v>
      </c>
      <c r="R4" s="63">
        <v>7.2</v>
      </c>
      <c r="S4" s="63">
        <v>0</v>
      </c>
      <c r="T4" s="63">
        <v>0</v>
      </c>
      <c r="U4" s="63">
        <v>28.4</v>
      </c>
      <c r="V4" s="63">
        <v>7.2</v>
      </c>
      <c r="W4" s="63">
        <v>0</v>
      </c>
      <c r="X4" s="63">
        <v>0</v>
      </c>
      <c r="Y4" s="63">
        <v>27.2</v>
      </c>
      <c r="Z4" s="63">
        <v>7.6</v>
      </c>
      <c r="AA4" s="63">
        <v>0</v>
      </c>
      <c r="AB4" s="63">
        <v>0</v>
      </c>
      <c r="AC4" s="63">
        <v>27.4</v>
      </c>
      <c r="AD4" s="63">
        <v>7.6</v>
      </c>
      <c r="AE4" s="63">
        <v>0.9</v>
      </c>
      <c r="AF4" s="63">
        <v>0</v>
      </c>
      <c r="AG4" s="74"/>
      <c r="AH4" s="12">
        <f>IF(SUM(R4,V4)&gt;0,SUM(R4,V4),"")</f>
        <v>14.4</v>
      </c>
      <c r="AI4" s="12">
        <f>IF(SUM(R4,V4,Z4,AD4)&gt;0,SUM(R4,V4,Z4,AD4),"")</f>
        <v>29.6</v>
      </c>
      <c r="AJ4" s="12">
        <f>IF(SUM(Q4:R4,T4:V4,X4)-SUM(S4,W4)&gt;0,SUM(Q4:R4,T4:V4,X4)-SUM(S4,W4),"")</f>
        <v>71.3</v>
      </c>
      <c r="AK4" s="12">
        <f>IF(SUM(Y4:Z4,AB4:AD4,AF4)-SUM(AA4,AE4)&gt;0,SUM(Y4:Z4,AB4:AD4,AF4)-SUM(AA4,AE4),"")</f>
        <v>68.899999999999991</v>
      </c>
      <c r="AL4" s="12">
        <f>IF(SUM(AJ4,AK4)&gt;0,SUM(AJ4,AK4),"")</f>
        <v>140.19999999999999</v>
      </c>
      <c r="AM4" s="37">
        <v>25.2</v>
      </c>
      <c r="AN4" s="37">
        <v>8.4</v>
      </c>
      <c r="AO4" s="37">
        <v>1.2</v>
      </c>
      <c r="AP4" s="37">
        <v>0</v>
      </c>
      <c r="AQ4" s="37">
        <v>27.8</v>
      </c>
      <c r="AR4" s="37">
        <v>7.3</v>
      </c>
      <c r="AS4" s="37">
        <v>0.9</v>
      </c>
      <c r="AT4" s="37">
        <v>0</v>
      </c>
      <c r="AU4" s="37">
        <v>28.6</v>
      </c>
      <c r="AV4" s="37">
        <v>7.6</v>
      </c>
      <c r="AW4" s="37">
        <v>0.9</v>
      </c>
      <c r="AX4" s="37">
        <v>0</v>
      </c>
      <c r="AY4" s="37">
        <v>28.7</v>
      </c>
      <c r="AZ4" s="37">
        <v>8</v>
      </c>
      <c r="BA4" s="37">
        <v>0</v>
      </c>
      <c r="BB4" s="37">
        <v>0</v>
      </c>
      <c r="BC4" s="75"/>
      <c r="BD4" s="15">
        <f>IF(SUM(AN4,AR4)&gt;0,SUM(AN4,AR4),"")</f>
        <v>15.7</v>
      </c>
      <c r="BE4" s="15">
        <f>IF(SUM(AN4,AR4,AV4,AZ4)&gt;0,SUM(AN4,AR4,AV4,AZ4),"")</f>
        <v>31.299999999999997</v>
      </c>
      <c r="BF4" s="15">
        <f>IF(SUM(AM4:AN4,AP4:AR4,AT4)-SUM(AO4,AS4)&gt;0,SUM(AM4:AN4,AP4:AR4,AT4)-SUM(AO4,AS4),"")</f>
        <v>66.600000000000009</v>
      </c>
      <c r="BG4" s="15">
        <f>IF(SUM(AU4:AV4,AX4:AZ4,BB4)-SUM(AW4,BA4)&gt;0,SUM(AU4:AV4,AX4:AZ4,BB4)-SUM(AW4,BA4),"")</f>
        <v>72</v>
      </c>
      <c r="BH4" s="15">
        <f>IF(SUM(BF4,BG4)&gt;0,SUM(BF4,BG4),"")</f>
        <v>138.60000000000002</v>
      </c>
      <c r="BI4" s="24">
        <f>IF(MAX(CE4,CZ4,DU4,EP4,FK4,GF4,HA4,HV4,IQ4,JL4,KG4,LB4)-IF(J4="",0,J4)&gt;0.001,MAX(CE4,CZ4,DU4,EP4,FK4,GF4,HA4,HV4,IQ4,JL4,KG4,LB4)-IF(J4="",0,J4),"")</f>
        <v>2.8000000000000114</v>
      </c>
      <c r="BJ4" s="24">
        <f>IF(MAX(CC4,CD4,CX4,CY4,DS4,DT4,EN4,EO4,FI4,FJ4,GD4,GE4,GY4,GZ4,HT4,HU4,IO4,IP4,JJ4,JK4,KE4,KF4,KZ4,LA4)-IF(L4="",0,L4)&gt;0.001,MAX(CC4,CD4,CX4,CY4,DS4,DT4,EN4,EO4,FI4,FJ4,GD4,GE4,GY4,GZ4,HT4,HU4,IO4,IP4,JJ4,JK4,KE4,KF4,KZ4,LA4)-IF(L4="",0,L4),"")</f>
        <v>9.9999999999994316E-2</v>
      </c>
      <c r="BK4" s="41">
        <v>27.8</v>
      </c>
      <c r="BL4" s="41">
        <v>6.4</v>
      </c>
      <c r="BM4" s="41">
        <v>0.3</v>
      </c>
      <c r="BN4" s="41">
        <v>0</v>
      </c>
      <c r="BO4" s="41">
        <v>28.6</v>
      </c>
      <c r="BP4" s="41">
        <v>8.4</v>
      </c>
      <c r="BQ4" s="41">
        <v>0</v>
      </c>
      <c r="BR4" s="41">
        <v>0</v>
      </c>
      <c r="BS4" s="41">
        <v>27.8</v>
      </c>
      <c r="BT4" s="41">
        <v>8.1999999999999993</v>
      </c>
      <c r="BU4" s="41">
        <v>0</v>
      </c>
      <c r="BV4" s="41">
        <v>0</v>
      </c>
      <c r="BW4" s="41">
        <v>28</v>
      </c>
      <c r="BX4" s="41">
        <v>8.1</v>
      </c>
      <c r="BY4" s="41">
        <v>0</v>
      </c>
      <c r="BZ4" s="41">
        <v>0</v>
      </c>
      <c r="CA4" s="12">
        <f>IF(SUM(BL4,BP4)&gt;0,SUM(BL4,BP4),"")</f>
        <v>14.8</v>
      </c>
      <c r="CB4" s="12">
        <f>IF(SUM(BL4,BP4,BT4,BX4)&gt;0,SUM(BL4,BP4,BT4,BX4),"")</f>
        <v>31.1</v>
      </c>
      <c r="CC4" s="12">
        <f>IF(SUM(BK4:BL4,BN4:BP4,BR4)-SUM(BM4,BQ4)&gt;0,SUM(BK4:BL4,BN4:BP4,BR4)-SUM(BM4,BQ4),"")</f>
        <v>70.900000000000006</v>
      </c>
      <c r="CD4" s="12">
        <f>IF(SUM(BS4:BT4,BV4:BX4,BZ4)-SUM(BU4,BY4)&gt;0,SUM(BS4:BT4,BV4:BX4,BZ4)-SUM(BU4,BY4),"")</f>
        <v>72.099999999999994</v>
      </c>
      <c r="CE4" s="12">
        <f>IF(SUM(CC4,CD4)&gt;0,SUM(CC4,CD4),"")</f>
        <v>143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>IF($BC4="P",AM4,(Q4+AM4)/2)</f>
        <v>26.85</v>
      </c>
      <c r="LD4" s="63">
        <f t="shared" ref="LD4:LR11" si="0">IF($BC4="P",AN4,(R4+AN4)/2)</f>
        <v>7.8000000000000007</v>
      </c>
      <c r="LE4" s="63">
        <f t="shared" si="0"/>
        <v>0.6</v>
      </c>
      <c r="LF4" s="63">
        <f t="shared" si="0"/>
        <v>0</v>
      </c>
      <c r="LG4" s="63">
        <f t="shared" si="0"/>
        <v>28.1</v>
      </c>
      <c r="LH4" s="63">
        <f t="shared" si="0"/>
        <v>7.25</v>
      </c>
      <c r="LI4" s="63">
        <f t="shared" si="0"/>
        <v>0.45</v>
      </c>
      <c r="LJ4" s="63">
        <f t="shared" si="0"/>
        <v>0</v>
      </c>
      <c r="LK4" s="63">
        <f t="shared" si="0"/>
        <v>27.9</v>
      </c>
      <c r="LL4" s="63">
        <f t="shared" si="0"/>
        <v>7.6</v>
      </c>
      <c r="LM4" s="63">
        <f t="shared" si="0"/>
        <v>0.45</v>
      </c>
      <c r="LN4" s="63">
        <f t="shared" si="0"/>
        <v>0</v>
      </c>
      <c r="LO4" s="63">
        <f t="shared" si="0"/>
        <v>28.049999999999997</v>
      </c>
      <c r="LP4" s="63">
        <f t="shared" si="0"/>
        <v>7.8</v>
      </c>
      <c r="LQ4" s="63">
        <f t="shared" si="0"/>
        <v>0.45</v>
      </c>
      <c r="LR4" s="63">
        <f t="shared" si="0"/>
        <v>0</v>
      </c>
      <c r="LS4" s="74" t="s">
        <v>81</v>
      </c>
      <c r="LT4" s="12">
        <f t="shared" ref="LT4" si="1">IF(SUM(LD4,LH4)&gt;0,SUM(LD4,LH4),"")</f>
        <v>15.05</v>
      </c>
      <c r="LU4" s="12">
        <f t="shared" ref="LU4" si="2">IF(SUM(LD4,LH4,LL4,LP4)&gt;0,SUM(LD4,LH4,LL4,LP4),"")</f>
        <v>30.45</v>
      </c>
      <c r="LV4" s="12">
        <f t="shared" ref="LV4" si="3">IF(SUM(LC4:LD4,LF4:LH4,LJ4)-SUM(LE4,LI4)&gt;0,SUM(LC4:LD4,LF4:LH4,LJ4)-SUM(LE4,LI4),"")</f>
        <v>68.95</v>
      </c>
      <c r="LW4" s="12">
        <f t="shared" ref="LW4" si="4">IF(SUM(LK4:LL4,LN4:LP4,LR4)-SUM(LM4,LQ4)&gt;0,SUM(LK4:LL4,LN4:LP4,LR4)-SUM(LM4,LQ4),"")</f>
        <v>70.449999999999989</v>
      </c>
      <c r="LX4" s="12">
        <f t="shared" ref="LX4" si="5">IF(SUM(LV4,LW4)&gt;0,SUM(LV4,LW4),"")</f>
        <v>139.39999999999998</v>
      </c>
    </row>
    <row r="5" spans="1:336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69</v>
      </c>
      <c r="C5" s="5" t="s">
        <v>5</v>
      </c>
      <c r="D5" s="6">
        <v>2003</v>
      </c>
      <c r="E5" s="16">
        <f>SUM(J5:N5)</f>
        <v>209.6</v>
      </c>
      <c r="F5" s="4" t="str">
        <f>IF(OR(AND(AH5&gt;=AK$15,AJ5&gt;=AK$18,AJ5&lt;&gt;"",AG5=""),AND(BD5&gt;=BG$15,BF5&gt;=BG$18,BF5&lt;&gt;"",BC5=""),AND(CA5&gt;=CD$15,CC5&gt;=CD$18,CC5&lt;&gt;""),AND(CV5&gt;=CY$15,CX5&gt;=CY$18,CX5&lt;&gt;""),AND(DQ5&gt;=DT$15,DS5&gt;=DT$18,DS5&lt;&gt;""),AND(EL5&gt;=EO$15,EN5&gt;=EO$18,EN5&lt;&gt;""),AND(FG5&gt;=FJ$15,FI5&gt;=FJ$18,FI5&lt;&gt;""),AND(GB5&gt;=GE$15,GD5&gt;=GE$18,GD5&lt;&gt;""),AND(GW5&gt;=GZ$15,GY5&gt;=GZ$18,GY5&lt;&gt;""),AND(HR5&gt;=HU$15,HT5&gt;=HU$18,HT5&lt;&gt;""),AND(IM5&gt;=IP$15,IO5&gt;=IP$18,IO5&lt;&gt;""),AND(JH5&gt;=JK$15,JJ5&gt;=JK$18,JJ5&lt;&gt;""),AND(KC5&gt;=KF$15,KE5&gt;=KF$18,KE5&lt;&gt;""),AND(KX5&gt;=LA$15,KZ5&gt;=LA$18,KZ5&lt;&gt;"")),"P","")</f>
        <v>P</v>
      </c>
      <c r="G5" s="4" t="str">
        <f>IF(OR(AND(AH5&gt;=AK$16,AJ5&gt;=AK$19,AJ5&lt;&gt;"",AG5=""),AND(BD5&gt;=BG$16,BF5&gt;=BG$19,BF5&lt;&gt;"",BC5=""),AND(CA5&gt;=CD$16,CC5&gt;=CD$19,CC5&lt;&gt;""),AND(CV5&gt;=CY$16,CX5&gt;=CY$19,CX5&lt;&gt;""),AND(DQ5&gt;=DT$16,DS5&gt;=DT$19,DS5&lt;&gt;""),AND(EL5&gt;=EO$16,EN5&gt;=EO$19,EN5&lt;&gt;""),AND(FG5&gt;=FJ$16,FI5&gt;=FJ$19,FI5&lt;&gt;""),AND(GB5&gt;=GE$16,GD5&gt;=GE$19,GD5&lt;&gt;""),AND(GW5&gt;=GZ$16,GY5&gt;=GZ$19,GY5&lt;&gt;""),AND(HR5&gt;=HU$16,HT5&gt;=HU$19,HT5&lt;&gt;""),AND(IM5&gt;=IP$16,IO5&gt;=IP$19,IO5&lt;&gt;""),AND(JH5&gt;=JK$16,JJ5&gt;=JK$19,JJ5&lt;&gt;""),AND(KC5&gt;=KF$16,KE5&gt;=KF$19,KE5&lt;&gt;""),AND(KX5&gt;=LA$16,KZ5&gt;=LA$19,KZ5&lt;&gt;"")),"P","")</f>
        <v/>
      </c>
      <c r="H5" s="4" t="str">
        <f>IF(OR(AND(AJ5&gt;=AK$18,AJ5&lt;&gt;"",AG5=""),AND(BF5&gt;=BG$18,BF5&lt;&gt;"",BC5=""),AND(CC5&gt;=CD$18,CC5&lt;&gt;""),AND(CX5&gt;=CY$18,CX5&lt;&gt;""),AND(DS5&gt;=DT$18,DS5&lt;&gt;""),AND(EN5&gt;=EO$18,EN5&lt;&gt;""),AND(FI5&gt;=FJ$18,FI5&lt;&gt;""),AND(GD5&gt;=GE$18,GD5&lt;&gt;""),AND(GY5&gt;=GZ$18,GY5&lt;&gt;""),AND(HT5&gt;=HU$18,HT5&lt;&gt;""),AND(IO5&gt;=IP$18,IO5&lt;&gt;""),AND(JJ5&gt;=JK$18,JJ5&lt;&gt;""),AND(KE5&gt;=KF$18,KE5&lt;&gt;""),AND(KZ5&gt;=LA$18,KZ5&lt;&gt;"")),"P","")</f>
        <v>P</v>
      </c>
      <c r="I5" t="str">
        <f>IF(AND(H5="P",F5=""),"No DD",IF(OR(AND(AI5&gt;=AK$17,AI5&lt;&gt;"",AL5&gt;=AK$21,AL5&lt;&gt;"",AG5=""),AND(BE5&gt;=BG$17,BE5&lt;&gt;"",BH5&gt;=BG$21,BH5&lt;&gt;"",BC5=""),AND(CB5&gt;=CD$17,CB5&lt;&gt;"",CE5&gt;=CD$21,CE5&lt;&gt;""),AND(CW5&gt;=CY$17,CW5&lt;&gt;"",CZ5&gt;=CY$21,CZ5&lt;&gt;""),AND(DR5&gt;=DT$17,DR5&lt;&gt;"",DU5&gt;=DT$21,DU5&lt;&gt;""),AND(EM5&gt;=EO$17,EM5&lt;&gt;"",EP5&gt;=EO$21,EP5&lt;&gt;""),AND(FH5&gt;=FJ$17,FH5&lt;&gt;"",FK5&gt;=FJ$21,FK5&lt;&gt;""),AND(GC5&gt;=GE$17,GC5&lt;&gt;"",GF5&gt;=GE$21,GF5&lt;&gt;""),AND(GX5&gt;=GZ$17,GX5&lt;&gt;"",HA5&gt;=GZ$21,HA5&lt;&gt;""),AND(HS5&gt;=HU$17,HS5&lt;&gt;"",HV5&gt;=HU$21,HV5&lt;&gt;""),AND(IN5&gt;=IP$17,IN5&lt;&gt;"",IQ5&gt;=IP$21,IQ5&lt;&gt;""),AND(JI5&gt;=JK$17,JI5&lt;&gt;"",JL5&gt;=JK$21,JL5&lt;&gt;""),AND(KD5&gt;=KF$17,KD5&lt;&gt;"",KG5&gt;=KF$21,KG5&lt;&gt;""),AND(KY5&gt;=LA$17,KY5&lt;&gt;"",LB5&gt;=LA$21,LB5&lt;&gt;"")),"Merit",IF(OR(AND(AI5&gt;=AK$17,AI5&lt;&gt;"",AL5&gt;=AK$20,AL5&lt;&gt;"",AG5=""),AND(BE5&gt;=BG$17,BE5&lt;&gt;"",BH5&gt;=BG$20,BH5&lt;&gt;"",BC5=""),AND(CB5&gt;=CD$17,CB5&lt;&gt;"",CE5&gt;=CD$20,CE5&lt;&gt;""),AND(CW5&gt;=CY$17,CW5&lt;&gt;"",CZ5&gt;=CY$20,CZ5&lt;&gt;""),AND(DR5&gt;=DT$17,DR5&lt;&gt;"",DU5&gt;=DT$20,DU5&lt;&gt;""),AND(EM5&gt;=EO$17,EM5&lt;&gt;"",EP5&gt;=EO$20,EP5&lt;&gt;""),AND(FH5&gt;=FJ$17,FH5&lt;&gt;"",FK5&gt;=FJ$20,FK5&lt;&gt;""),AND(GC5&gt;=GE$17,GC5&lt;&gt;"",GF5&gt;=GE$20,GF5&lt;&gt;""),AND(GX5&gt;=GZ$17,GX5&lt;&gt;"",HA5&gt;=GZ$20,HA5&lt;&gt;""),AND(HS5&gt;=HU$17,HS5&lt;&gt;"",HV5&gt;=HU$20,HV5&lt;&gt;""),AND(IN5&gt;=IP$17,IN5&lt;&gt;"",IQ5&gt;=IP$20,IQ5&lt;&gt;""),AND(JI5&gt;=JK$17,JI5&lt;&gt;"",JL5&gt;=JK$20,JL5&lt;&gt;""),AND(KD5&gt;=KF$17,KD5&lt;&gt;"",KG5&gt;=KF$20,KG5&lt;&gt;""),AND(KY5&gt;=LA$17,KY5&lt;&gt;"",LB5&gt;=LA$20,LB5&lt;&gt;"")),"Excellence",IF(OR(AND(AH5&gt;=AK$16,AH5&lt;&gt;"",AJ5&gt;=AK$19,AJ5&lt;&gt;"",AG5=""),AND(BD5&gt;=BG$16,BD5&lt;&gt;"",BF5&gt;=BG$19,BF5&lt;&gt;"",BC5=""),AND(CA5&gt;=CD$16,CA5&lt;&gt;"",CC5&gt;=CD$19,CC5&lt;&gt;""),AND(CV5&gt;=CY$16,CV5&lt;&gt;"",CX5&gt;=CY$19,CX5&lt;&gt;""),AND(DQ5&gt;=DT$16,DQ5&lt;&gt;"",DS5&gt;=DT$19,DS5&lt;&gt;""),AND(EL5&gt;=EO$16,EL5&lt;&gt;"",EN5&gt;=EO$19,EN5&lt;&gt;""),AND(FG5&gt;=FJ$16,FG5&lt;&gt;"",FI5&gt;=FJ$19,FI5&lt;&gt;""),AND(GB5&gt;=GE$16,GB5&lt;&gt;"",GD5&gt;=GE$19,GD5&lt;&gt;""),AND(GW5&gt;=GZ$16,GW5&lt;&gt;"",GY5&gt;=GZ$19,GY5&lt;&gt;""),AND(HR5&gt;=HU$16,HR5&lt;&gt;"",HT5&gt;=HU$19,HT5&lt;&gt;""),AND(IM5&gt;=IP$16,IM5&lt;&gt;"",IO5&gt;=IP$19,IO5&lt;&gt;""),AND(JH5&gt;=JK$16,JH5&lt;&gt;"",JJ5&gt;=JK$19,JJ5&lt;&gt;""),AND(KC5&gt;=KF$16,KC5&lt;&gt;"",KE5&gt;=KF$19,KE5&lt;&gt;""),AND(KX5&gt;=LA$16,KX5&lt;&gt;"",KZ5&gt;=LA$19,KZ5&lt;&gt;"")),"Worlds Team",IF(OR(AND(AH5&gt;=AK$15,AH5&lt;&gt;"",AJ5&gt;=AK$18,AJ5&lt;&gt;"",AG5=""),AND(BD5&gt;=BG$15,BD5&lt;&gt;"",BF5&gt;=BG$18,BF5&lt;&gt;"",BC5=""),AND(CA5&gt;=CD$15,CA5&lt;&gt;"",CC5&gt;=CD$18,CC5&lt;&gt;""),AND(CV5&gt;=CY$15,CV5&lt;&gt;"",CX5&gt;=CY$18,CX5&lt;&gt;""),AND(DQ5&gt;=DT$15,DQ5&lt;&gt;"",DS5&gt;=DT$18,DS5&lt;&gt;""),AND(EL5&gt;=EO$15,EL5&lt;&gt;"",EN5&gt;=EO$18,EN5&lt;&gt;""),AND(FG5&gt;=FJ$15,FG5&lt;&gt;"",FI5&gt;=FJ$18,FI5&lt;&gt;""),AND(GB5&gt;=GE$15,GB5&lt;&gt;"",GD5&gt;=GE$18,GD5&lt;&gt;""),AND(GW5&gt;=GZ$15,GW5&lt;&gt;"",GY5&gt;=GZ$18,GY5&lt;&gt;""),AND(HR5&gt;=HU$15,HR5&lt;&gt;"",HT5&gt;=HU$18,HT5&lt;&gt;""),AND(IM5&gt;=IP$15,IM5&lt;&gt;"",IO5&gt;=IP$18,IO5&lt;&gt;""),AND(JH5&gt;=JK$15,JH5&lt;&gt;"",JJ5&gt;=JK$18,JJ5&lt;&gt;""),AND(KC5&gt;=KF$15,KC5&lt;&gt;"",KE5&gt;=KF$18,KE5&lt;&gt;""),AND(KX5&gt;=LA$15,KX5&lt;&gt;"",KZ5&gt;=LA$18,KZ5&lt;&gt;"")),"National Team","")))))</f>
        <v>Excellence</v>
      </c>
      <c r="J5" s="15">
        <f>IF(MAX(AL5,BH5)&gt;0,MAX(AL5,BH5),"")</f>
        <v>140.5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69.099999999999994</v>
      </c>
      <c r="M5" s="15" t="str">
        <f>IF(L5="","",IF(AND(J5&lt;&gt;BH5,OR(L5=BG5,L5=BF5)),$AM$1,IF(OR(L5=AK5,L5=AJ5),$Q$1,"")))</f>
        <v>2019 Nationals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28.3</v>
      </c>
      <c r="R5" s="63">
        <v>7.6</v>
      </c>
      <c r="S5" s="63">
        <v>0</v>
      </c>
      <c r="T5" s="63">
        <v>0</v>
      </c>
      <c r="U5" s="63">
        <v>28</v>
      </c>
      <c r="V5" s="63">
        <v>7.2</v>
      </c>
      <c r="W5" s="63">
        <v>0</v>
      </c>
      <c r="X5" s="63">
        <v>0</v>
      </c>
      <c r="Y5" s="63">
        <v>27.1</v>
      </c>
      <c r="Z5" s="63">
        <v>7.6</v>
      </c>
      <c r="AA5" s="63">
        <v>0.3</v>
      </c>
      <c r="AB5" s="63">
        <v>0</v>
      </c>
      <c r="AC5" s="63">
        <v>28.2</v>
      </c>
      <c r="AD5" s="63">
        <v>6.8</v>
      </c>
      <c r="AE5" s="63">
        <v>0</v>
      </c>
      <c r="AF5" s="63">
        <v>0</v>
      </c>
      <c r="AG5" s="74"/>
      <c r="AH5" s="12">
        <f>IF(SUM(R5,V5)&gt;0,SUM(R5,V5),"")</f>
        <v>14.8</v>
      </c>
      <c r="AI5" s="12">
        <f>IF(SUM(R5,V5,Z5,AD5)&gt;0,SUM(R5,V5,Z5,AD5),"")</f>
        <v>29.2</v>
      </c>
      <c r="AJ5" s="12">
        <f>IF(SUM(Q5:R5,T5:V5,X5)-SUM(S5,W5)&gt;0,SUM(Q5:R5,T5:V5,X5)-SUM(S5,W5),"")</f>
        <v>71.099999999999994</v>
      </c>
      <c r="AK5" s="12">
        <f>IF(SUM(Y5:Z5,AB5:AD5,AF5)-SUM(AA5,AE5)&gt;0,SUM(Y5:Z5,AB5:AD5,AF5)-SUM(AA5,AE5),"")</f>
        <v>69.400000000000006</v>
      </c>
      <c r="AL5" s="12">
        <f>IF(SUM(AJ5,AK5)&gt;0,SUM(AJ5,AK5),"")</f>
        <v>140.5</v>
      </c>
      <c r="AM5" s="37">
        <v>27.6</v>
      </c>
      <c r="AN5" s="37">
        <v>7.2</v>
      </c>
      <c r="AO5" s="37">
        <v>0.9</v>
      </c>
      <c r="AP5" s="37">
        <v>0</v>
      </c>
      <c r="AQ5" s="37">
        <v>28</v>
      </c>
      <c r="AR5" s="37">
        <v>7.2</v>
      </c>
      <c r="AS5" s="37">
        <v>0</v>
      </c>
      <c r="AT5" s="37">
        <v>0</v>
      </c>
      <c r="AU5" s="37">
        <v>27.9</v>
      </c>
      <c r="AV5" s="37">
        <v>7.6</v>
      </c>
      <c r="AW5" s="37">
        <v>0.9</v>
      </c>
      <c r="AX5" s="37">
        <v>0</v>
      </c>
      <c r="AY5" s="37">
        <v>27.6</v>
      </c>
      <c r="AZ5" s="37">
        <v>7.6</v>
      </c>
      <c r="BA5" s="37">
        <v>0.9</v>
      </c>
      <c r="BB5" s="37">
        <v>0</v>
      </c>
      <c r="BC5" s="75"/>
      <c r="BD5" s="15">
        <f>IF(SUM(AN5,AR5)&gt;0,SUM(AN5,AR5),"")</f>
        <v>14.4</v>
      </c>
      <c r="BE5" s="15">
        <f>IF(SUM(AN5,AR5,AV5,AZ5)&gt;0,SUM(AN5,AR5,AV5,AZ5),"")</f>
        <v>29.6</v>
      </c>
      <c r="BF5" s="15">
        <f>IF(SUM(AM5:AN5,AP5:AR5,AT5)-SUM(AO5,AS5)&gt;0,SUM(AM5:AN5,AP5:AR5,AT5)-SUM(AO5,AS5),"")</f>
        <v>69.099999999999994</v>
      </c>
      <c r="BG5" s="15">
        <f>IF(SUM(AU5:AV5,AX5:AZ5,BB5)-SUM(AW5,BA5)&gt;0,SUM(AU5:AV5,AX5:AZ5,BB5)-SUM(AW5,BA5),"")</f>
        <v>68.900000000000006</v>
      </c>
      <c r="BH5" s="15">
        <f>IF(SUM(BF5,BG5)&gt;0,SUM(BF5,BG5),"")</f>
        <v>138</v>
      </c>
      <c r="BI5" s="24" t="str">
        <f>IF(MAX(CE5,CZ5,DU5,EP5,FK5,GF5,HA5,HV5,IQ5,JL5,KG5,LB5)-IF(J5="",0,J5)&gt;0.001,MAX(CE5,CZ5,DU5,EP5,FK5,GF5,HA5,HV5,IQ5,JL5,KG5,LB5)-IF(J5="",0,J5),"")</f>
        <v/>
      </c>
      <c r="BJ5" s="24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1">
        <v>28.1</v>
      </c>
      <c r="BL5" s="41">
        <v>7</v>
      </c>
      <c r="BM5" s="41">
        <v>0</v>
      </c>
      <c r="BN5" s="41">
        <v>0</v>
      </c>
      <c r="BO5" s="41">
        <v>27.4</v>
      </c>
      <c r="BP5" s="41">
        <v>7.2</v>
      </c>
      <c r="BQ5" s="41">
        <v>0.9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>IF(SUM(BL5,BP5)&gt;0,SUM(BL5,BP5),"")</f>
        <v>14.2</v>
      </c>
      <c r="CB5" s="12">
        <f>IF(SUM(BL5,BP5,BT5,BX5)&gt;0,SUM(BL5,BP5,BT5,BX5),"")</f>
        <v>14.2</v>
      </c>
      <c r="CC5" s="12">
        <f>IF(SUM(BK5:BL5,BN5:BP5,BR5)-SUM(BM5,BQ5)&gt;0,SUM(BK5:BL5,BN5:BP5,BR5)-SUM(BM5,BQ5),"")</f>
        <v>68.8</v>
      </c>
      <c r="CD5" s="12" t="str">
        <f>IF(SUM(BS5:BT5,BV5:BX5,BZ5)-SUM(BU5,BY5)&gt;0,SUM(BS5:BT5,BV5:BX5,BZ5)-SUM(BU5,BY5),"")</f>
        <v/>
      </c>
      <c r="CE5" s="12">
        <f>IF(SUM(CC5,CD5)&gt;0,SUM(CC5,CD5),"")</f>
        <v>68.8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:LC11" si="6">IF($BC5="P",AM5,(Q5+AM5)/2)</f>
        <v>27.950000000000003</v>
      </c>
      <c r="LD5" s="63">
        <f t="shared" si="0"/>
        <v>7.4</v>
      </c>
      <c r="LE5" s="63">
        <f t="shared" si="0"/>
        <v>0.45</v>
      </c>
      <c r="LF5" s="63">
        <f t="shared" si="0"/>
        <v>0</v>
      </c>
      <c r="LG5" s="63">
        <f t="shared" si="0"/>
        <v>28</v>
      </c>
      <c r="LH5" s="63">
        <f t="shared" si="0"/>
        <v>7.2</v>
      </c>
      <c r="LI5" s="63">
        <f t="shared" si="0"/>
        <v>0</v>
      </c>
      <c r="LJ5" s="63">
        <f t="shared" si="0"/>
        <v>0</v>
      </c>
      <c r="LK5" s="63">
        <f t="shared" si="0"/>
        <v>27.5</v>
      </c>
      <c r="LL5" s="63">
        <f t="shared" si="0"/>
        <v>7.6</v>
      </c>
      <c r="LM5" s="63">
        <f t="shared" si="0"/>
        <v>0.6</v>
      </c>
      <c r="LN5" s="63">
        <f t="shared" si="0"/>
        <v>0</v>
      </c>
      <c r="LO5" s="63">
        <f t="shared" si="0"/>
        <v>27.9</v>
      </c>
      <c r="LP5" s="63">
        <f t="shared" si="0"/>
        <v>7.1999999999999993</v>
      </c>
      <c r="LQ5" s="63">
        <f t="shared" si="0"/>
        <v>0.45</v>
      </c>
      <c r="LR5" s="63">
        <f t="shared" si="0"/>
        <v>0</v>
      </c>
      <c r="LS5" s="74" t="s">
        <v>81</v>
      </c>
      <c r="LT5" s="12">
        <f t="shared" ref="LT5:LT10" si="7">IF(SUM(LD5,LH5)&gt;0,SUM(LD5,LH5),"")</f>
        <v>14.600000000000001</v>
      </c>
      <c r="LU5" s="12">
        <f t="shared" ref="LU5:LU10" si="8">IF(SUM(LD5,LH5,LL5,LP5)&gt;0,SUM(LD5,LH5,LL5,LP5),"")</f>
        <v>29.400000000000002</v>
      </c>
      <c r="LV5" s="12">
        <f t="shared" ref="LV5:LV10" si="9">IF(SUM(LC5:LD5,LF5:LH5,LJ5)-SUM(LE5,LI5)&gt;0,SUM(LC5:LD5,LF5:LH5,LJ5)-SUM(LE5,LI5),"")</f>
        <v>70.099999999999994</v>
      </c>
      <c r="LW5" s="12">
        <f t="shared" ref="LW5:LW10" si="10">IF(SUM(LK5:LL5,LN5:LP5,LR5)-SUM(LM5,LQ5)&gt;0,SUM(LK5:LL5,LN5:LP5,LR5)-SUM(LM5,LQ5),"")</f>
        <v>69.150000000000006</v>
      </c>
      <c r="LX5" s="12">
        <f t="shared" ref="LX5:LX10" si="11">IF(SUM(LV5,LW5)&gt;0,SUM(LV5,LW5),"")</f>
        <v>139.25</v>
      </c>
    </row>
    <row r="6" spans="1:336" x14ac:dyDescent="0.2">
      <c r="A6" s="6">
        <f>IF(AND(F6="P",H6="P"),SUMPRODUCT((F$4:F$13="P")*(H$4:H$13="P")*(E$4:E$13&gt;E6))+1,IF(H6="P",SUMPRODUCT((F$4:F$13="")*(H$4:H$13="P")*(E$4:E$13&gt;E6))+1+SUMPRODUCT((F$4:F$13="P")*(H$4:H$13="P")),""))</f>
        <v>3</v>
      </c>
      <c r="B6" s="9" t="s">
        <v>79</v>
      </c>
      <c r="C6" s="5" t="s">
        <v>4</v>
      </c>
      <c r="D6" s="6">
        <v>2003</v>
      </c>
      <c r="E6" s="16">
        <f>SUM(J6:N6)</f>
        <v>204.1</v>
      </c>
      <c r="F6" s="4" t="str">
        <f>IF(OR(AND(AH6&gt;=AK$15,AJ6&gt;=AK$18,AJ6&lt;&gt;"",AG6=""),AND(BD6&gt;=BG$15,BF6&gt;=BG$18,BF6&lt;&gt;"",BC6=""),AND(CA6&gt;=CD$15,CC6&gt;=CD$18,CC6&lt;&gt;""),AND(CV6&gt;=CY$15,CX6&gt;=CY$18,CX6&lt;&gt;""),AND(DQ6&gt;=DT$15,DS6&gt;=DT$18,DS6&lt;&gt;""),AND(EL6&gt;=EO$15,EN6&gt;=EO$18,EN6&lt;&gt;""),AND(FG6&gt;=FJ$15,FI6&gt;=FJ$18,FI6&lt;&gt;""),AND(GB6&gt;=GE$15,GD6&gt;=GE$18,GD6&lt;&gt;""),AND(GW6&gt;=GZ$15,GY6&gt;=GZ$18,GY6&lt;&gt;""),AND(HR6&gt;=HU$15,HT6&gt;=HU$18,HT6&lt;&gt;""),AND(IM6&gt;=IP$15,IO6&gt;=IP$18,IO6&lt;&gt;""),AND(JH6&gt;=JK$15,JJ6&gt;=JK$18,JJ6&lt;&gt;""),AND(KC6&gt;=KF$15,KE6&gt;=KF$18,KE6&lt;&gt;""),AND(KX6&gt;=LA$15,KZ6&gt;=LA$18,KZ6&lt;&gt;"")),"P","")</f>
        <v>P</v>
      </c>
      <c r="G6" s="4" t="str">
        <f>IF(OR(AND(AH6&gt;=AK$16,AJ6&gt;=AK$19,AJ6&lt;&gt;"",AG6=""),AND(BD6&gt;=BG$16,BF6&gt;=BG$19,BF6&lt;&gt;"",BC6=""),AND(CA6&gt;=CD$16,CC6&gt;=CD$19,CC6&lt;&gt;""),AND(CV6&gt;=CY$16,CX6&gt;=CY$19,CX6&lt;&gt;""),AND(DQ6&gt;=DT$16,DS6&gt;=DT$19,DS6&lt;&gt;""),AND(EL6&gt;=EO$16,EN6&gt;=EO$19,EN6&lt;&gt;""),AND(FG6&gt;=FJ$16,FI6&gt;=FJ$19,FI6&lt;&gt;""),AND(GB6&gt;=GE$16,GD6&gt;=GE$19,GD6&lt;&gt;""),AND(GW6&gt;=GZ$16,GY6&gt;=GZ$19,GY6&lt;&gt;""),AND(HR6&gt;=HU$16,HT6&gt;=HU$19,HT6&lt;&gt;""),AND(IM6&gt;=IP$16,IO6&gt;=IP$19,IO6&lt;&gt;""),AND(JH6&gt;=JK$16,JJ6&gt;=JK$19,JJ6&lt;&gt;""),AND(KC6&gt;=KF$16,KE6&gt;=KF$19,KE6&lt;&gt;""),AND(KX6&gt;=LA$16,KZ6&gt;=LA$19,KZ6&lt;&gt;"")),"P","")</f>
        <v/>
      </c>
      <c r="H6" s="4" t="str">
        <f>IF(OR(AND(AJ6&gt;=AK$18,AJ6&lt;&gt;"",AG6=""),AND(BF6&gt;=BG$18,BF6&lt;&gt;"",BC6=""),AND(CC6&gt;=CD$18,CC6&lt;&gt;""),AND(CX6&gt;=CY$18,CX6&lt;&gt;""),AND(DS6&gt;=DT$18,DS6&lt;&gt;""),AND(EN6&gt;=EO$18,EN6&lt;&gt;""),AND(FI6&gt;=FJ$18,FI6&lt;&gt;""),AND(GD6&gt;=GE$18,GD6&lt;&gt;""),AND(GY6&gt;=GZ$18,GY6&lt;&gt;""),AND(HT6&gt;=HU$18,HT6&lt;&gt;""),AND(IO6&gt;=IP$18,IO6&lt;&gt;""),AND(JJ6&gt;=JK$18,JJ6&lt;&gt;""),AND(KE6&gt;=KF$18,KE6&lt;&gt;""),AND(KZ6&gt;=LA$18,KZ6&lt;&gt;"")),"P","")</f>
        <v>P</v>
      </c>
      <c r="I6" t="str">
        <f>IF(AND(H6="P",F6=""),"No DD",IF(OR(AND(AI6&gt;=AK$17,AI6&lt;&gt;"",AL6&gt;=AK$21,AL6&lt;&gt;"",AG6=""),AND(BE6&gt;=BG$17,BE6&lt;&gt;"",BH6&gt;=BG$21,BH6&lt;&gt;"",BC6=""),AND(CB6&gt;=CD$17,CB6&lt;&gt;"",CE6&gt;=CD$21,CE6&lt;&gt;""),AND(CW6&gt;=CY$17,CW6&lt;&gt;"",CZ6&gt;=CY$21,CZ6&lt;&gt;""),AND(DR6&gt;=DT$17,DR6&lt;&gt;"",DU6&gt;=DT$21,DU6&lt;&gt;""),AND(EM6&gt;=EO$17,EM6&lt;&gt;"",EP6&gt;=EO$21,EP6&lt;&gt;""),AND(FH6&gt;=FJ$17,FH6&lt;&gt;"",FK6&gt;=FJ$21,FK6&lt;&gt;""),AND(GC6&gt;=GE$17,GC6&lt;&gt;"",GF6&gt;=GE$21,GF6&lt;&gt;""),AND(GX6&gt;=GZ$17,GX6&lt;&gt;"",HA6&gt;=GZ$21,HA6&lt;&gt;""),AND(HS6&gt;=HU$17,HS6&lt;&gt;"",HV6&gt;=HU$21,HV6&lt;&gt;""),AND(IN6&gt;=IP$17,IN6&lt;&gt;"",IQ6&gt;=IP$21,IQ6&lt;&gt;""),AND(JI6&gt;=JK$17,JI6&lt;&gt;"",JL6&gt;=JK$21,JL6&lt;&gt;""),AND(KD6&gt;=KF$17,KD6&lt;&gt;"",KG6&gt;=KF$21,KG6&lt;&gt;""),AND(KY6&gt;=LA$17,KY6&lt;&gt;"",LB6&gt;=LA$21,LB6&lt;&gt;"")),"Merit",IF(OR(AND(AI6&gt;=AK$17,AI6&lt;&gt;"",AL6&gt;=AK$20,AL6&lt;&gt;"",AG6=""),AND(BE6&gt;=BG$17,BE6&lt;&gt;"",BH6&gt;=BG$20,BH6&lt;&gt;"",BC6=""),AND(CB6&gt;=CD$17,CB6&lt;&gt;"",CE6&gt;=CD$20,CE6&lt;&gt;""),AND(CW6&gt;=CY$17,CW6&lt;&gt;"",CZ6&gt;=CY$20,CZ6&lt;&gt;""),AND(DR6&gt;=DT$17,DR6&lt;&gt;"",DU6&gt;=DT$20,DU6&lt;&gt;""),AND(EM6&gt;=EO$17,EM6&lt;&gt;"",EP6&gt;=EO$20,EP6&lt;&gt;""),AND(FH6&gt;=FJ$17,FH6&lt;&gt;"",FK6&gt;=FJ$20,FK6&lt;&gt;""),AND(GC6&gt;=GE$17,GC6&lt;&gt;"",GF6&gt;=GE$20,GF6&lt;&gt;""),AND(GX6&gt;=GZ$17,GX6&lt;&gt;"",HA6&gt;=GZ$20,HA6&lt;&gt;""),AND(HS6&gt;=HU$17,HS6&lt;&gt;"",HV6&gt;=HU$20,HV6&lt;&gt;""),AND(IN6&gt;=IP$17,IN6&lt;&gt;"",IQ6&gt;=IP$20,IQ6&lt;&gt;""),AND(JI6&gt;=JK$17,JI6&lt;&gt;"",JL6&gt;=JK$20,JL6&lt;&gt;""),AND(KD6&gt;=KF$17,KD6&lt;&gt;"",KG6&gt;=KF$20,KG6&lt;&gt;""),AND(KY6&gt;=LA$17,KY6&lt;&gt;"",LB6&gt;=LA$20,LB6&lt;&gt;"")),"Excellence",IF(OR(AND(AH6&gt;=AK$16,AH6&lt;&gt;"",AJ6&gt;=AK$19,AJ6&lt;&gt;"",AG6=""),AND(BD6&gt;=BG$16,BD6&lt;&gt;"",BF6&gt;=BG$19,BF6&lt;&gt;"",BC6=""),AND(CA6&gt;=CD$16,CA6&lt;&gt;"",CC6&gt;=CD$19,CC6&lt;&gt;""),AND(CV6&gt;=CY$16,CV6&lt;&gt;"",CX6&gt;=CY$19,CX6&lt;&gt;""),AND(DQ6&gt;=DT$16,DQ6&lt;&gt;"",DS6&gt;=DT$19,DS6&lt;&gt;""),AND(EL6&gt;=EO$16,EL6&lt;&gt;"",EN6&gt;=EO$19,EN6&lt;&gt;""),AND(FG6&gt;=FJ$16,FG6&lt;&gt;"",FI6&gt;=FJ$19,FI6&lt;&gt;""),AND(GB6&gt;=GE$16,GB6&lt;&gt;"",GD6&gt;=GE$19,GD6&lt;&gt;""),AND(GW6&gt;=GZ$16,GW6&lt;&gt;"",GY6&gt;=GZ$19,GY6&lt;&gt;""),AND(HR6&gt;=HU$16,HR6&lt;&gt;"",HT6&gt;=HU$19,HT6&lt;&gt;""),AND(IM6&gt;=IP$16,IM6&lt;&gt;"",IO6&gt;=IP$19,IO6&lt;&gt;""),AND(JH6&gt;=JK$16,JH6&lt;&gt;"",JJ6&gt;=JK$19,JJ6&lt;&gt;""),AND(KC6&gt;=KF$16,KC6&lt;&gt;"",KE6&gt;=KF$19,KE6&lt;&gt;""),AND(KX6&gt;=LA$16,KX6&lt;&gt;"",KZ6&gt;=LA$19,KZ6&lt;&gt;"")),"Worlds Team",IF(OR(AND(AH6&gt;=AK$15,AH6&lt;&gt;"",AJ6&gt;=AK$18,AJ6&lt;&gt;"",AG6=""),AND(BD6&gt;=BG$15,BD6&lt;&gt;"",BF6&gt;=BG$18,BF6&lt;&gt;"",BC6=""),AND(CA6&gt;=CD$15,CA6&lt;&gt;"",CC6&gt;=CD$18,CC6&lt;&gt;""),AND(CV6&gt;=CY$15,CV6&lt;&gt;"",CX6&gt;=CY$18,CX6&lt;&gt;""),AND(DQ6&gt;=DT$15,DQ6&lt;&gt;"",DS6&gt;=DT$18,DS6&lt;&gt;""),AND(EL6&gt;=EO$15,EL6&lt;&gt;"",EN6&gt;=EO$18,EN6&lt;&gt;""),AND(FG6&gt;=FJ$15,FG6&lt;&gt;"",FI6&gt;=FJ$18,FI6&lt;&gt;""),AND(GB6&gt;=GE$15,GB6&lt;&gt;"",GD6&gt;=GE$18,GD6&lt;&gt;""),AND(GW6&gt;=GZ$15,GW6&lt;&gt;"",GY6&gt;=GZ$18,GY6&lt;&gt;""),AND(HR6&gt;=HU$15,HR6&lt;&gt;"",HT6&gt;=HU$18,HT6&lt;&gt;""),AND(IM6&gt;=IP$15,IM6&lt;&gt;"",IO6&gt;=IP$18,IO6&lt;&gt;""),AND(JH6&gt;=JK$15,JH6&lt;&gt;"",JJ6&gt;=JK$18,JJ6&lt;&gt;""),AND(KC6&gt;=KF$15,KC6&lt;&gt;"",KE6&gt;=KF$18,KE6&lt;&gt;""),AND(KX6&gt;=LA$15,KX6&lt;&gt;"",KZ6&gt;=LA$18,KZ6&lt;&gt;"")),"National Team","")))))</f>
        <v>National Team</v>
      </c>
      <c r="J6" s="15">
        <f>IF(MAX(AL6,BH6)&gt;0,MAX(AL6,BH6),"")</f>
        <v>135.9</v>
      </c>
      <c r="K6" s="15" t="str">
        <f>IF(J6="","",IF(J6=BH6,$AM$1,IF(J6=AL6,$Q$1,"")))</f>
        <v>2019 Nationals</v>
      </c>
      <c r="L6" s="15">
        <f>IF(J6=AL6,IF(MAX(BF6,BG6)&gt;0,MAX(BF6,BG6),""),IF(J6=BH6,IF(MAX(AJ6,AK6)&gt;0,MAX(AJ6,AK6),""),MAX(AJ6,AK6,BF6,BG6)))</f>
        <v>66.099999999999994</v>
      </c>
      <c r="M6" s="15" t="str">
        <f>IF(L6="","",IF(AND(J6&lt;&gt;BH6,OR(L6=BG6,L6=BF6)),$AM$1,IF(OR(L6=AK6,L6=AJ6),$Q$1,"")))</f>
        <v>2019 Elite Canada</v>
      </c>
      <c r="N6" s="15">
        <f>IF(MAX(BI6:BJ6)&gt;0,MAX(BI6:BJ6),"")</f>
        <v>2.0999999999999943</v>
      </c>
      <c r="O6" s="25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2019 WAGC (Dec 8)</v>
      </c>
      <c r="Q6" s="63">
        <v>27.6</v>
      </c>
      <c r="R6" s="63">
        <v>6.4</v>
      </c>
      <c r="S6" s="63">
        <v>1.2</v>
      </c>
      <c r="T6" s="63">
        <v>0</v>
      </c>
      <c r="U6" s="63">
        <v>27.7</v>
      </c>
      <c r="V6" s="63">
        <v>6.8</v>
      </c>
      <c r="W6" s="63">
        <v>1.2</v>
      </c>
      <c r="X6" s="63">
        <v>0</v>
      </c>
      <c r="Y6" s="63">
        <v>27.4</v>
      </c>
      <c r="Z6" s="63">
        <v>6</v>
      </c>
      <c r="AA6" s="63">
        <v>1.2</v>
      </c>
      <c r="AB6" s="63">
        <v>0</v>
      </c>
      <c r="AC6" s="63">
        <v>27.3</v>
      </c>
      <c r="AD6" s="63">
        <v>6.8</v>
      </c>
      <c r="AE6" s="63">
        <v>0.9</v>
      </c>
      <c r="AF6" s="63">
        <v>0</v>
      </c>
      <c r="AG6" s="74"/>
      <c r="AH6" s="12">
        <f>IF(SUM(R6,V6)&gt;0,SUM(R6,V6),"")</f>
        <v>13.2</v>
      </c>
      <c r="AI6" s="12">
        <f>IF(SUM(R6,V6,Z6,AD6)&gt;0,SUM(R6,V6,Z6,AD6),"")</f>
        <v>26</v>
      </c>
      <c r="AJ6" s="12">
        <f>IF(SUM(Q6:R6,T6:V6,X6)-SUM(S6,W6)&gt;0,SUM(Q6:R6,T6:V6,X6)-SUM(S6,W6),"")</f>
        <v>66.099999999999994</v>
      </c>
      <c r="AK6" s="12">
        <f>IF(SUM(Y6:Z6,AB6:AD6,AF6)-SUM(AA6,AE6)&gt;0,SUM(Y6:Z6,AB6:AD6,AF6)-SUM(AA6,AE6),"")</f>
        <v>65.400000000000006</v>
      </c>
      <c r="AL6" s="12">
        <f>IF(SUM(AJ6,AK6)&gt;0,SUM(AJ6,AK6),"")</f>
        <v>131.5</v>
      </c>
      <c r="AM6" s="37">
        <v>28.1</v>
      </c>
      <c r="AN6" s="37">
        <v>6.4</v>
      </c>
      <c r="AO6" s="37">
        <v>0</v>
      </c>
      <c r="AP6" s="37">
        <v>0</v>
      </c>
      <c r="AQ6" s="37">
        <v>27.9</v>
      </c>
      <c r="AR6" s="37">
        <v>6.8</v>
      </c>
      <c r="AS6" s="37">
        <v>0</v>
      </c>
      <c r="AT6" s="37">
        <v>0</v>
      </c>
      <c r="AU6" s="37">
        <v>27.8</v>
      </c>
      <c r="AV6" s="37">
        <v>6.8</v>
      </c>
      <c r="AW6" s="37">
        <v>0.9</v>
      </c>
      <c r="AX6" s="37">
        <v>0</v>
      </c>
      <c r="AY6" s="37">
        <v>27.9</v>
      </c>
      <c r="AZ6" s="37">
        <v>6</v>
      </c>
      <c r="BA6" s="37">
        <v>0.9</v>
      </c>
      <c r="BB6" s="37">
        <v>0</v>
      </c>
      <c r="BC6" s="75"/>
      <c r="BD6" s="15">
        <f>IF(SUM(AN6,AR6)&gt;0,SUM(AN6,AR6),"")</f>
        <v>13.2</v>
      </c>
      <c r="BE6" s="15">
        <f>IF(SUM(AN6,AR6,AV6,AZ6)&gt;0,SUM(AN6,AR6,AV6,AZ6),"")</f>
        <v>26</v>
      </c>
      <c r="BF6" s="15">
        <f>IF(SUM(AM6:AN6,AP6:AR6,AT6)-SUM(AO6,AS6)&gt;0,SUM(AM6:AN6,AP6:AR6,AT6)-SUM(AO6,AS6),"")</f>
        <v>69.2</v>
      </c>
      <c r="BG6" s="15">
        <f>IF(SUM(AU6:AV6,AX6:AZ6,BB6)-SUM(AW6,BA6)&gt;0,SUM(AU6:AV6,AX6:AZ6,BB6)-SUM(AW6,BA6),"")</f>
        <v>66.7</v>
      </c>
      <c r="BH6" s="15">
        <f>IF(SUM(BF6,BG6)&gt;0,SUM(BF6,BG6),"")</f>
        <v>135.9</v>
      </c>
      <c r="BI6" s="24" t="str">
        <f>IF(MAX(CE6,CZ6,DU6,EP6,FK6,GF6,HA6,HV6,IQ6,JL6,KG6,LB6)-IF(J6="",0,J6)&gt;0.001,MAX(CE6,CZ6,DU6,EP6,FK6,GF6,HA6,HV6,IQ6,JL6,KG6,LB6)-IF(J6="",0,J6),"")</f>
        <v/>
      </c>
      <c r="BJ6" s="24">
        <f>IF(MAX(CC6,CD6,CX6,CY6,DS6,DT6,EN6,EO6,FI6,FJ6,GD6,GE6,GY6,GZ6,HT6,HU6,IO6,IP6,JJ6,JK6,KE6,KF6,KZ6,LA6)-IF(L6="",0,L6)&gt;0.001,MAX(CC6,CD6,CX6,CY6,DS6,DT6,EN6,EO6,FI6,FJ6,GD6,GE6,GY6,GZ6,HT6,HU6,IO6,IP6,JJ6,JK6,KE6,KF6,KZ6,LA6)-IF(L6="",0,L6),"")</f>
        <v>2.0999999999999943</v>
      </c>
      <c r="BK6" s="41">
        <v>26.8</v>
      </c>
      <c r="BL6" s="41">
        <v>7.2</v>
      </c>
      <c r="BM6" s="41">
        <v>0.9</v>
      </c>
      <c r="BN6" s="41">
        <v>0</v>
      </c>
      <c r="BO6" s="41">
        <v>27.9</v>
      </c>
      <c r="BP6" s="41">
        <v>7.2</v>
      </c>
      <c r="BQ6" s="41">
        <v>0</v>
      </c>
      <c r="BR6" s="41">
        <v>0</v>
      </c>
      <c r="BS6" s="41"/>
      <c r="BT6" s="41"/>
      <c r="BU6" s="41"/>
      <c r="BV6" s="41"/>
      <c r="BW6" s="41"/>
      <c r="BX6" s="41"/>
      <c r="BY6" s="41"/>
      <c r="BZ6" s="41"/>
      <c r="CA6" s="12">
        <f>IF(SUM(BL6,BP6)&gt;0,SUM(BL6,BP6),"")</f>
        <v>14.4</v>
      </c>
      <c r="CB6" s="12">
        <f>IF(SUM(BL6,BP6,BT6,BX6)&gt;0,SUM(BL6,BP6,BT6,BX6),"")</f>
        <v>14.4</v>
      </c>
      <c r="CC6" s="12">
        <f>IF(SUM(BK6:BL6,BN6:BP6,BR6)-SUM(BM6,BQ6)&gt;0,SUM(BK6:BL6,BN6:BP6,BR6)-SUM(BM6,BQ6),"")</f>
        <v>68.199999999999989</v>
      </c>
      <c r="CD6" s="12" t="str">
        <f>IF(SUM(BS6:BT6,BV6:BX6,BZ6)-SUM(BU6,BY6)&gt;0,SUM(BS6:BT6,BV6:BX6,BZ6)-SUM(BU6,BY6),"")</f>
        <v/>
      </c>
      <c r="CE6" s="12">
        <f>IF(SUM(CC6,CD6)&gt;0,SUM(CC6,CD6),"")</f>
        <v>68.199999999999989</v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>IF(SUM(CG6,CK6)&gt;0,SUM(CG6,CK6),"")</f>
        <v/>
      </c>
      <c r="CW6" s="15" t="str">
        <f>IF(SUM(CG6,CK6,CO6,CS6)&gt;0,SUM(CG6,CK6,CO6,CS6),"")</f>
        <v/>
      </c>
      <c r="CX6" s="15" t="str">
        <f>IF(SUM(CF6:CG6,CI6:CK6,CM6)-SUM(CH6,CL6)&gt;0,SUM(CF6:CG6,CI6:CK6,CM6)-SUM(CH6,CL6),"")</f>
        <v/>
      </c>
      <c r="CY6" s="15" t="str">
        <f>IF(SUM(CN6:CO6,CQ6:CS6,CU6)-SUM(CP6,CT6)&gt;0,SUM(CN6:CO6,CQ6:CS6,CU6)-SUM(CP6,CT6),"")</f>
        <v/>
      </c>
      <c r="CZ6" s="15" t="str">
        <f>IF(SUM(CX6,CY6)&gt;0,SUM(CX6,CY6),"")</f>
        <v/>
      </c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63">
        <f t="shared" si="6"/>
        <v>27.85</v>
      </c>
      <c r="LD6" s="63">
        <f t="shared" si="0"/>
        <v>6.4</v>
      </c>
      <c r="LE6" s="63">
        <f t="shared" si="0"/>
        <v>0.6</v>
      </c>
      <c r="LF6" s="63">
        <f t="shared" si="0"/>
        <v>0</v>
      </c>
      <c r="LG6" s="63">
        <f t="shared" si="0"/>
        <v>27.799999999999997</v>
      </c>
      <c r="LH6" s="63">
        <f t="shared" si="0"/>
        <v>6.8</v>
      </c>
      <c r="LI6" s="63">
        <f t="shared" si="0"/>
        <v>0.6</v>
      </c>
      <c r="LJ6" s="63">
        <f t="shared" si="0"/>
        <v>0</v>
      </c>
      <c r="LK6" s="63">
        <f t="shared" si="0"/>
        <v>27.6</v>
      </c>
      <c r="LL6" s="63">
        <f t="shared" si="0"/>
        <v>6.4</v>
      </c>
      <c r="LM6" s="63">
        <f t="shared" si="0"/>
        <v>1.05</v>
      </c>
      <c r="LN6" s="63">
        <f t="shared" si="0"/>
        <v>0</v>
      </c>
      <c r="LO6" s="63">
        <f t="shared" si="0"/>
        <v>27.6</v>
      </c>
      <c r="LP6" s="63">
        <f t="shared" si="0"/>
        <v>6.4</v>
      </c>
      <c r="LQ6" s="63">
        <f t="shared" si="0"/>
        <v>0.9</v>
      </c>
      <c r="LR6" s="63">
        <f t="shared" si="0"/>
        <v>0</v>
      </c>
      <c r="LS6" s="74" t="s">
        <v>81</v>
      </c>
      <c r="LT6" s="12">
        <f t="shared" si="7"/>
        <v>13.2</v>
      </c>
      <c r="LU6" s="12">
        <f t="shared" si="8"/>
        <v>26</v>
      </c>
      <c r="LV6" s="12">
        <f t="shared" si="9"/>
        <v>67.649999999999991</v>
      </c>
      <c r="LW6" s="12">
        <f t="shared" si="10"/>
        <v>66.05</v>
      </c>
      <c r="LX6" s="12">
        <f t="shared" si="11"/>
        <v>133.69999999999999</v>
      </c>
    </row>
    <row r="7" spans="1:336" x14ac:dyDescent="0.2">
      <c r="A7" s="6">
        <f>IF(AND(F7="P",H7="P"),SUMPRODUCT((F$4:F$13="P")*(H$4:H$13="P")*(E$4:E$13&gt;E7))+1,IF(H7="P",SUMPRODUCT((F$4:F$13="")*(H$4:H$13="P")*(E$4:E$13&gt;E7))+1+SUMPRODUCT((F$4:F$13="P")*(H$4:H$13="P")),""))</f>
        <v>4</v>
      </c>
      <c r="B7" s="9" t="s">
        <v>99</v>
      </c>
      <c r="C7" s="5" t="s">
        <v>98</v>
      </c>
      <c r="D7" s="6">
        <v>2002</v>
      </c>
      <c r="E7" s="16">
        <f>SUM(J7:N7)</f>
        <v>206</v>
      </c>
      <c r="F7" s="4" t="str">
        <f>IF(OR(AND(AH7&gt;=AK$15,AJ7&gt;=AK$18,AJ7&lt;&gt;"",AG7=""),AND(BD7&gt;=BG$15,BF7&gt;=BG$18,BF7&lt;&gt;"",BC7=""),AND(CA7&gt;=CD$15,CC7&gt;=CD$18,CC7&lt;&gt;""),AND(CV7&gt;=CY$15,CX7&gt;=CY$18,CX7&lt;&gt;""),AND(DQ7&gt;=DT$15,DS7&gt;=DT$18,DS7&lt;&gt;""),AND(EL7&gt;=EO$15,EN7&gt;=EO$18,EN7&lt;&gt;""),AND(FG7&gt;=FJ$15,FI7&gt;=FJ$18,FI7&lt;&gt;""),AND(GB7&gt;=GE$15,GD7&gt;=GE$18,GD7&lt;&gt;""),AND(GW7&gt;=GZ$15,GY7&gt;=GZ$18,GY7&lt;&gt;""),AND(HR7&gt;=HU$15,HT7&gt;=HU$18,HT7&lt;&gt;""),AND(IM7&gt;=IP$15,IO7&gt;=IP$18,IO7&lt;&gt;""),AND(JH7&gt;=JK$15,JJ7&gt;=JK$18,JJ7&lt;&gt;""),AND(KC7&gt;=KF$15,KE7&gt;=KF$18,KE7&lt;&gt;""),AND(KX7&gt;=LA$15,KZ7&gt;=LA$18,KZ7&lt;&gt;"")),"P","")</f>
        <v/>
      </c>
      <c r="G7" s="4" t="str">
        <f>IF(OR(AND(AH7&gt;=AK$16,AJ7&gt;=AK$19,AJ7&lt;&gt;"",AG7=""),AND(BD7&gt;=BG$16,BF7&gt;=BG$19,BF7&lt;&gt;"",BC7=""),AND(CA7&gt;=CD$16,CC7&gt;=CD$19,CC7&lt;&gt;""),AND(CV7&gt;=CY$16,CX7&gt;=CY$19,CX7&lt;&gt;""),AND(DQ7&gt;=DT$16,DS7&gt;=DT$19,DS7&lt;&gt;""),AND(EL7&gt;=EO$16,EN7&gt;=EO$19,EN7&lt;&gt;""),AND(FG7&gt;=FJ$16,FI7&gt;=FJ$19,FI7&lt;&gt;""),AND(GB7&gt;=GE$16,GD7&gt;=GE$19,GD7&lt;&gt;""),AND(GW7&gt;=GZ$16,GY7&gt;=GZ$19,GY7&lt;&gt;""),AND(HR7&gt;=HU$16,HT7&gt;=HU$19,HT7&lt;&gt;""),AND(IM7&gt;=IP$16,IO7&gt;=IP$19,IO7&lt;&gt;""),AND(JH7&gt;=JK$16,JJ7&gt;=JK$19,JJ7&lt;&gt;""),AND(KC7&gt;=KF$16,KE7&gt;=KF$19,KE7&lt;&gt;""),AND(KX7&gt;=LA$16,KZ7&gt;=LA$19,KZ7&lt;&gt;"")),"P","")</f>
        <v/>
      </c>
      <c r="H7" s="4" t="str">
        <f>IF(OR(AND(AJ7&gt;=AK$18,AJ7&lt;&gt;"",AG7=""),AND(BF7&gt;=BG$18,BF7&lt;&gt;"",BC7=""),AND(CC7&gt;=CD$18,CC7&lt;&gt;""),AND(CX7&gt;=CY$18,CX7&lt;&gt;""),AND(DS7&gt;=DT$18,DS7&lt;&gt;""),AND(EN7&gt;=EO$18,EN7&lt;&gt;""),AND(FI7&gt;=FJ$18,FI7&lt;&gt;""),AND(GD7&gt;=GE$18,GD7&lt;&gt;""),AND(GY7&gt;=GZ$18,GY7&lt;&gt;""),AND(HT7&gt;=HU$18,HT7&lt;&gt;""),AND(IO7&gt;=IP$18,IO7&lt;&gt;""),AND(JJ7&gt;=JK$18,JJ7&lt;&gt;""),AND(KE7&gt;=KF$18,KE7&lt;&gt;""),AND(KZ7&gt;=LA$18,KZ7&lt;&gt;"")),"P","")</f>
        <v>P</v>
      </c>
      <c r="I7" t="str">
        <f>IF(AND(H7="P",F7=""),"No DD",IF(OR(AND(AI7&gt;=AK$17,AI7&lt;&gt;"",AL7&gt;=AK$21,AL7&lt;&gt;"",AG7=""),AND(BE7&gt;=BG$17,BE7&lt;&gt;"",BH7&gt;=BG$21,BH7&lt;&gt;"",BC7=""),AND(CB7&gt;=CD$17,CB7&lt;&gt;"",CE7&gt;=CD$21,CE7&lt;&gt;""),AND(CW7&gt;=CY$17,CW7&lt;&gt;"",CZ7&gt;=CY$21,CZ7&lt;&gt;""),AND(DR7&gt;=DT$17,DR7&lt;&gt;"",DU7&gt;=DT$21,DU7&lt;&gt;""),AND(EM7&gt;=EO$17,EM7&lt;&gt;"",EP7&gt;=EO$21,EP7&lt;&gt;""),AND(FH7&gt;=FJ$17,FH7&lt;&gt;"",FK7&gt;=FJ$21,FK7&lt;&gt;""),AND(GC7&gt;=GE$17,GC7&lt;&gt;"",GF7&gt;=GE$21,GF7&lt;&gt;""),AND(GX7&gt;=GZ$17,GX7&lt;&gt;"",HA7&gt;=GZ$21,HA7&lt;&gt;""),AND(HS7&gt;=HU$17,HS7&lt;&gt;"",HV7&gt;=HU$21,HV7&lt;&gt;""),AND(IN7&gt;=IP$17,IN7&lt;&gt;"",IQ7&gt;=IP$21,IQ7&lt;&gt;""),AND(JI7&gt;=JK$17,JI7&lt;&gt;"",JL7&gt;=JK$21,JL7&lt;&gt;""),AND(KD7&gt;=KF$17,KD7&lt;&gt;"",KG7&gt;=KF$21,KG7&lt;&gt;""),AND(KY7&gt;=LA$17,KY7&lt;&gt;"",LB7&gt;=LA$21,LB7&lt;&gt;"")),"Merit",IF(OR(AND(AI7&gt;=AK$17,AI7&lt;&gt;"",AL7&gt;=AK$20,AL7&lt;&gt;"",AG7=""),AND(BE7&gt;=BG$17,BE7&lt;&gt;"",BH7&gt;=BG$20,BH7&lt;&gt;"",BC7=""),AND(CB7&gt;=CD$17,CB7&lt;&gt;"",CE7&gt;=CD$20,CE7&lt;&gt;""),AND(CW7&gt;=CY$17,CW7&lt;&gt;"",CZ7&gt;=CY$20,CZ7&lt;&gt;""),AND(DR7&gt;=DT$17,DR7&lt;&gt;"",DU7&gt;=DT$20,DU7&lt;&gt;""),AND(EM7&gt;=EO$17,EM7&lt;&gt;"",EP7&gt;=EO$20,EP7&lt;&gt;""),AND(FH7&gt;=FJ$17,FH7&lt;&gt;"",FK7&gt;=FJ$20,FK7&lt;&gt;""),AND(GC7&gt;=GE$17,GC7&lt;&gt;"",GF7&gt;=GE$20,GF7&lt;&gt;""),AND(GX7&gt;=GZ$17,GX7&lt;&gt;"",HA7&gt;=GZ$20,HA7&lt;&gt;""),AND(HS7&gt;=HU$17,HS7&lt;&gt;"",HV7&gt;=HU$20,HV7&lt;&gt;""),AND(IN7&gt;=IP$17,IN7&lt;&gt;"",IQ7&gt;=IP$20,IQ7&lt;&gt;""),AND(JI7&gt;=JK$17,JI7&lt;&gt;"",JL7&gt;=JK$20,JL7&lt;&gt;""),AND(KD7&gt;=KF$17,KD7&lt;&gt;"",KG7&gt;=KF$20,KG7&lt;&gt;""),AND(KY7&gt;=LA$17,KY7&lt;&gt;"",LB7&gt;=LA$20,LB7&lt;&gt;"")),"Excellence",IF(OR(AND(AH7&gt;=AK$16,AH7&lt;&gt;"",AJ7&gt;=AK$19,AJ7&lt;&gt;"",AG7=""),AND(BD7&gt;=BG$16,BD7&lt;&gt;"",BF7&gt;=BG$19,BF7&lt;&gt;"",BC7=""),AND(CA7&gt;=CD$16,CA7&lt;&gt;"",CC7&gt;=CD$19,CC7&lt;&gt;""),AND(CV7&gt;=CY$16,CV7&lt;&gt;"",CX7&gt;=CY$19,CX7&lt;&gt;""),AND(DQ7&gt;=DT$16,DQ7&lt;&gt;"",DS7&gt;=DT$19,DS7&lt;&gt;""),AND(EL7&gt;=EO$16,EL7&lt;&gt;"",EN7&gt;=EO$19,EN7&lt;&gt;""),AND(FG7&gt;=FJ$16,FG7&lt;&gt;"",FI7&gt;=FJ$19,FI7&lt;&gt;""),AND(GB7&gt;=GE$16,GB7&lt;&gt;"",GD7&gt;=GE$19,GD7&lt;&gt;""),AND(GW7&gt;=GZ$16,GW7&lt;&gt;"",GY7&gt;=GZ$19,GY7&lt;&gt;""),AND(HR7&gt;=HU$16,HR7&lt;&gt;"",HT7&gt;=HU$19,HT7&lt;&gt;""),AND(IM7&gt;=IP$16,IM7&lt;&gt;"",IO7&gt;=IP$19,IO7&lt;&gt;""),AND(JH7&gt;=JK$16,JH7&lt;&gt;"",JJ7&gt;=JK$19,JJ7&lt;&gt;""),AND(KC7&gt;=KF$16,KC7&lt;&gt;"",KE7&gt;=KF$19,KE7&lt;&gt;""),AND(KX7&gt;=LA$16,KX7&lt;&gt;"",KZ7&gt;=LA$19,KZ7&lt;&gt;"")),"Worlds Team",IF(OR(AND(AH7&gt;=AK$15,AH7&lt;&gt;"",AJ7&gt;=AK$18,AJ7&lt;&gt;"",AG7=""),AND(BD7&gt;=BG$15,BD7&lt;&gt;"",BF7&gt;=BG$18,BF7&lt;&gt;"",BC7=""),AND(CA7&gt;=CD$15,CA7&lt;&gt;"",CC7&gt;=CD$18,CC7&lt;&gt;""),AND(CV7&gt;=CY$15,CV7&lt;&gt;"",CX7&gt;=CY$18,CX7&lt;&gt;""),AND(DQ7&gt;=DT$15,DQ7&lt;&gt;"",DS7&gt;=DT$18,DS7&lt;&gt;""),AND(EL7&gt;=EO$15,EL7&lt;&gt;"",EN7&gt;=EO$18,EN7&lt;&gt;""),AND(FG7&gt;=FJ$15,FG7&lt;&gt;"",FI7&gt;=FJ$18,FI7&lt;&gt;""),AND(GB7&gt;=GE$15,GB7&lt;&gt;"",GD7&gt;=GE$18,GD7&lt;&gt;""),AND(GW7&gt;=GZ$15,GW7&lt;&gt;"",GY7&gt;=GZ$18,GY7&lt;&gt;""),AND(HR7&gt;=HU$15,HR7&lt;&gt;"",HT7&gt;=HU$18,HT7&lt;&gt;""),AND(IM7&gt;=IP$15,IM7&lt;&gt;"",IO7&gt;=IP$18,IO7&lt;&gt;""),AND(JH7&gt;=JK$15,JH7&lt;&gt;"",JJ7&gt;=JK$18,JJ7&lt;&gt;""),AND(KC7&gt;=KF$15,KC7&lt;&gt;"",KE7&gt;=KF$18,KE7&lt;&gt;""),AND(KX7&gt;=LA$15,KX7&lt;&gt;"",KZ7&gt;=LA$18,KZ7&lt;&gt;"")),"National Team","")))))</f>
        <v>No DD</v>
      </c>
      <c r="J7" s="15">
        <f>IF(MAX(AL7,BH7)&gt;0,MAX(AL7,BH7),"")</f>
        <v>137.1</v>
      </c>
      <c r="K7" s="15" t="str">
        <f>IF(J7="","",IF(J7=BH7,$AM$1,IF(J7=AL7,$Q$1,"")))</f>
        <v>2019 Nationals</v>
      </c>
      <c r="L7" s="15">
        <f>IF(J7=AL7,IF(MAX(BF7,BG7)&gt;0,MAX(BF7,BG7),""),IF(J7=BH7,IF(MAX(AJ7,AK7)&gt;0,MAX(AJ7,AK7),""),MAX(AJ7,AK7,BF7,BG7)))</f>
        <v>68.900000000000006</v>
      </c>
      <c r="M7" s="15" t="str">
        <f>IF(L7="","",IF(AND(J7&lt;&gt;BH7,OR(L7=BG7,L7=BF7)),$AM$1,IF(OR(L7=AK7,L7=AJ7),$Q$1,"")))</f>
        <v>2019 Elite Canada</v>
      </c>
      <c r="N7" s="15" t="str">
        <f>IF(MAX(BI7:BJ7)&gt;0,MAX(BI7:BJ7),"")</f>
        <v/>
      </c>
      <c r="O7" s="25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63">
        <v>27.8</v>
      </c>
      <c r="R7" s="63">
        <v>6.4</v>
      </c>
      <c r="S7" s="63">
        <v>0.3</v>
      </c>
      <c r="T7" s="63">
        <v>0</v>
      </c>
      <c r="U7" s="63">
        <v>28.6</v>
      </c>
      <c r="V7" s="63">
        <v>6.4</v>
      </c>
      <c r="W7" s="63">
        <v>0</v>
      </c>
      <c r="X7" s="63">
        <v>0</v>
      </c>
      <c r="Y7" s="63">
        <v>28.3</v>
      </c>
      <c r="Z7" s="63">
        <v>5.6</v>
      </c>
      <c r="AA7" s="63">
        <v>0.9</v>
      </c>
      <c r="AB7" s="63">
        <v>0</v>
      </c>
      <c r="AC7" s="63">
        <v>28</v>
      </c>
      <c r="AD7" s="63">
        <v>5.6</v>
      </c>
      <c r="AE7" s="63">
        <v>0</v>
      </c>
      <c r="AF7" s="63">
        <v>0</v>
      </c>
      <c r="AG7" s="74"/>
      <c r="AH7" s="12">
        <f>IF(SUM(R7,V7)&gt;0,SUM(R7,V7),"")</f>
        <v>12.8</v>
      </c>
      <c r="AI7" s="12">
        <f>IF(SUM(R7,V7,Z7,AD7)&gt;0,SUM(R7,V7,Z7,AD7),"")</f>
        <v>24</v>
      </c>
      <c r="AJ7" s="12">
        <f>IF(SUM(Q7:R7,T7:V7,X7)-SUM(S7,W7)&gt;0,SUM(Q7:R7,T7:V7,X7)-SUM(S7,W7),"")</f>
        <v>68.900000000000006</v>
      </c>
      <c r="AK7" s="12">
        <f>IF(SUM(Y7:Z7,AB7:AD7,AF7)-SUM(AA7,AE7)&gt;0,SUM(Y7:Z7,AB7:AD7,AF7)-SUM(AA7,AE7),"")</f>
        <v>66.599999999999994</v>
      </c>
      <c r="AL7" s="12"/>
      <c r="AM7" s="37">
        <v>27.9</v>
      </c>
      <c r="AN7" s="37">
        <v>6.4</v>
      </c>
      <c r="AO7" s="37">
        <v>0.3</v>
      </c>
      <c r="AP7" s="37">
        <v>0</v>
      </c>
      <c r="AQ7" s="37">
        <v>28.5</v>
      </c>
      <c r="AR7" s="37">
        <v>7.2</v>
      </c>
      <c r="AS7" s="37">
        <v>0</v>
      </c>
      <c r="AT7" s="37">
        <v>0</v>
      </c>
      <c r="AU7" s="37">
        <v>27.9</v>
      </c>
      <c r="AV7" s="37">
        <v>6</v>
      </c>
      <c r="AW7" s="37">
        <v>0</v>
      </c>
      <c r="AX7" s="37">
        <v>0</v>
      </c>
      <c r="AY7" s="37">
        <v>28.4</v>
      </c>
      <c r="AZ7" s="37">
        <v>6</v>
      </c>
      <c r="BA7" s="37">
        <v>0.9</v>
      </c>
      <c r="BB7" s="37">
        <v>0</v>
      </c>
      <c r="BC7" s="75"/>
      <c r="BD7" s="15">
        <f>IF(SUM(AN7,AR7)&gt;0,SUM(AN7,AR7),"")</f>
        <v>13.600000000000001</v>
      </c>
      <c r="BE7" s="15">
        <f>IF(SUM(AN7,AR7,AV7,AZ7)&gt;0,SUM(AN7,AR7,AV7,AZ7),"")</f>
        <v>25.6</v>
      </c>
      <c r="BF7" s="15">
        <f>IF(SUM(AM7:AN7,AP7:AR7,AT7)-SUM(AO7,AS7)&gt;0,SUM(AM7:AN7,AP7:AR7,AT7)-SUM(AO7,AS7),"")</f>
        <v>69.7</v>
      </c>
      <c r="BG7" s="15">
        <f>IF(SUM(AU7:AV7,AX7:AZ7,BB7)-SUM(AW7,BA7)&gt;0,SUM(AU7:AV7,AX7:AZ7,BB7)-SUM(AW7,BA7),"")</f>
        <v>67.399999999999991</v>
      </c>
      <c r="BH7" s="15">
        <f>IF(SUM(BF7,BG7)&gt;0,SUM(BF7,BG7),"")</f>
        <v>137.1</v>
      </c>
      <c r="BI7" s="24"/>
      <c r="BJ7" s="24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12" t="str">
        <f>IF(SUM(BL7,BP7)&gt;0,SUM(BL7,BP7),"")</f>
        <v/>
      </c>
      <c r="CB7" s="12" t="str">
        <f>IF(SUM(BL7,BP7,BT7,BX7)&gt;0,SUM(BL7,BP7,BT7,BX7),"")</f>
        <v/>
      </c>
      <c r="CC7" s="12" t="str">
        <f>IF(SUM(BK7:BL7,BN7:BP7,BR7)-SUM(BM7,BQ7)&gt;0,SUM(BK7:BL7,BN7:BP7,BR7)-SUM(BM7,BQ7),"")</f>
        <v/>
      </c>
      <c r="CD7" s="12" t="str">
        <f>IF(SUM(BS7:BT7,BV7:BX7,BZ7)-SUM(BU7,BY7)&gt;0,SUM(BS7:BT7,BV7:BX7,BZ7)-SUM(BU7,BY7),"")</f>
        <v/>
      </c>
      <c r="CE7" s="12" t="str">
        <f>IF(SUM(CC7,CD7)&gt;0,SUM(CC7,CD7),"")</f>
        <v/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>IF(SUM(CG7,CK7)&gt;0,SUM(CG7,CK7),"")</f>
        <v/>
      </c>
      <c r="CW7" s="15" t="str">
        <f>IF(SUM(CG7,CK7,CO7,CS7)&gt;0,SUM(CG7,CK7,CO7,CS7),"")</f>
        <v/>
      </c>
      <c r="CX7" s="15" t="str">
        <f>IF(SUM(CF7:CG7,CI7:CK7,CM7)-SUM(CH7,CL7)&gt;0,SUM(CF7:CG7,CI7:CK7,CM7)-SUM(CH7,CL7),"")</f>
        <v/>
      </c>
      <c r="CY7" s="15" t="str">
        <f>IF(SUM(CN7:CO7,CQ7:CS7,CU7)-SUM(CP7,CT7)&gt;0,SUM(CN7:CO7,CQ7:CS7,CU7)-SUM(CP7,CT7),"")</f>
        <v/>
      </c>
      <c r="CZ7" s="15" t="str">
        <f>IF(SUM(CX7,CY7)&gt;0,SUM(CX7,CY7),"")</f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>IF(SUM(DB7,DF7)&gt;0,SUM(DB7,DF7),"")</f>
        <v/>
      </c>
      <c r="DR7" s="12" t="str">
        <f>IF(SUM(DB7,DF7,DJ7,DN7)&gt;0,SUM(DB7,DF7,DJ7,DN7),"")</f>
        <v/>
      </c>
      <c r="DS7" s="12" t="str">
        <f>IF(SUM(DA7:DB7,DD7:DF7,DH7)-SUM(DC7,DG7)&gt;0,SUM(DA7:DB7,DD7:DF7,DH7)-SUM(DC7,DG7),"")</f>
        <v/>
      </c>
      <c r="DT7" s="12" t="str">
        <f>IF(SUM(DI7:DJ7,DL7:DN7,DP7)-SUM(DK7,DO7)&gt;0,SUM(DI7:DJ7,DL7:DN7,DP7)-SUM(DK7,DO7),"")</f>
        <v/>
      </c>
      <c r="DU7" s="12" t="str">
        <f>IF(SUM(DS7,DT7)&gt;0,SUM(DS7,DT7),"")</f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63">
        <f t="shared" si="6"/>
        <v>27.85</v>
      </c>
      <c r="LD7" s="63">
        <f t="shared" si="0"/>
        <v>6.4</v>
      </c>
      <c r="LE7" s="63">
        <f t="shared" si="0"/>
        <v>0.3</v>
      </c>
      <c r="LF7" s="63">
        <f t="shared" si="0"/>
        <v>0</v>
      </c>
      <c r="LG7" s="63">
        <f t="shared" si="0"/>
        <v>28.55</v>
      </c>
      <c r="LH7" s="63">
        <f t="shared" si="0"/>
        <v>6.8000000000000007</v>
      </c>
      <c r="LI7" s="63">
        <f t="shared" si="0"/>
        <v>0</v>
      </c>
      <c r="LJ7" s="63">
        <f t="shared" si="0"/>
        <v>0</v>
      </c>
      <c r="LK7" s="63">
        <f t="shared" si="0"/>
        <v>28.1</v>
      </c>
      <c r="LL7" s="63">
        <f t="shared" si="0"/>
        <v>5.8</v>
      </c>
      <c r="LM7" s="63">
        <f t="shared" si="0"/>
        <v>0.45</v>
      </c>
      <c r="LN7" s="63">
        <f t="shared" si="0"/>
        <v>0</v>
      </c>
      <c r="LO7" s="63">
        <f t="shared" si="0"/>
        <v>28.2</v>
      </c>
      <c r="LP7" s="63">
        <f t="shared" si="0"/>
        <v>5.8</v>
      </c>
      <c r="LQ7" s="63">
        <f t="shared" si="0"/>
        <v>0.45</v>
      </c>
      <c r="LR7" s="63">
        <f t="shared" si="0"/>
        <v>0</v>
      </c>
      <c r="LS7" s="74" t="s">
        <v>81</v>
      </c>
      <c r="LT7" s="12">
        <f t="shared" si="7"/>
        <v>13.200000000000001</v>
      </c>
      <c r="LU7" s="12">
        <f t="shared" si="8"/>
        <v>24.8</v>
      </c>
      <c r="LV7" s="12">
        <f t="shared" si="9"/>
        <v>69.3</v>
      </c>
      <c r="LW7" s="12">
        <f t="shared" si="10"/>
        <v>66.999999999999986</v>
      </c>
      <c r="LX7" s="12">
        <f t="shared" si="11"/>
        <v>136.29999999999998</v>
      </c>
    </row>
    <row r="8" spans="1:336" x14ac:dyDescent="0.2">
      <c r="A8" s="6" t="str">
        <f>IF(AND(F8="P",H8="P"),SUMPRODUCT((F$4:F$13="P")*(H$4:H$13="P")*(E$4:E$13&gt;E8))+1,IF(H8="P",SUMPRODUCT((F$4:F$13="")*(H$4:H$13="P")*(E$4:E$13&gt;E8))+1+SUMPRODUCT((F$4:F$13="P")*(H$4:H$13="P")),""))</f>
        <v/>
      </c>
      <c r="B8" s="9" t="s">
        <v>78</v>
      </c>
      <c r="C8" s="5" t="s">
        <v>4</v>
      </c>
      <c r="D8" s="6">
        <v>2003</v>
      </c>
      <c r="E8" s="16">
        <f>SUM(J8:N8)</f>
        <v>194.70000000000002</v>
      </c>
      <c r="F8" s="4" t="str">
        <f>IF(OR(AND(AH8&gt;=AK$15,AJ8&gt;=AK$18,AJ8&lt;&gt;"",AG8=""),AND(BD8&gt;=BG$15,BF8&gt;=BG$18,BF8&lt;&gt;"",BC8=""),AND(CA8&gt;=CD$15,CC8&gt;=CD$18,CC8&lt;&gt;""),AND(CV8&gt;=CY$15,CX8&gt;=CY$18,CX8&lt;&gt;""),AND(DQ8&gt;=DT$15,DS8&gt;=DT$18,DS8&lt;&gt;""),AND(EL8&gt;=EO$15,EN8&gt;=EO$18,EN8&lt;&gt;""),AND(FG8&gt;=FJ$15,FI8&gt;=FJ$18,FI8&lt;&gt;""),AND(GB8&gt;=GE$15,GD8&gt;=GE$18,GD8&lt;&gt;""),AND(GW8&gt;=GZ$15,GY8&gt;=GZ$18,GY8&lt;&gt;""),AND(HR8&gt;=HU$15,HT8&gt;=HU$18,HT8&lt;&gt;""),AND(IM8&gt;=IP$15,IO8&gt;=IP$18,IO8&lt;&gt;""),AND(JH8&gt;=JK$15,JJ8&gt;=JK$18,JJ8&lt;&gt;""),AND(KC8&gt;=KF$15,KE8&gt;=KF$18,KE8&lt;&gt;""),AND(KX8&gt;=LA$15,KZ8&gt;=LA$18,KZ8&lt;&gt;"")),"P","")</f>
        <v/>
      </c>
      <c r="G8" s="4" t="str">
        <f>IF(OR(AND(AH8&gt;=AK$16,AJ8&gt;=AK$19,AJ8&lt;&gt;"",AG8=""),AND(BD8&gt;=BG$16,BF8&gt;=BG$19,BF8&lt;&gt;"",BC8=""),AND(CA8&gt;=CD$16,CC8&gt;=CD$19,CC8&lt;&gt;""),AND(CV8&gt;=CY$16,CX8&gt;=CY$19,CX8&lt;&gt;""),AND(DQ8&gt;=DT$16,DS8&gt;=DT$19,DS8&lt;&gt;""),AND(EL8&gt;=EO$16,EN8&gt;=EO$19,EN8&lt;&gt;""),AND(FG8&gt;=FJ$16,FI8&gt;=FJ$19,FI8&lt;&gt;""),AND(GB8&gt;=GE$16,GD8&gt;=GE$19,GD8&lt;&gt;""),AND(GW8&gt;=GZ$16,GY8&gt;=GZ$19,GY8&lt;&gt;""),AND(HR8&gt;=HU$16,HT8&gt;=HU$19,HT8&lt;&gt;""),AND(IM8&gt;=IP$16,IO8&gt;=IP$19,IO8&lt;&gt;""),AND(JH8&gt;=JK$16,JJ8&gt;=JK$19,JJ8&lt;&gt;""),AND(KC8&gt;=KF$16,KE8&gt;=KF$19,KE8&lt;&gt;""),AND(KX8&gt;=LA$16,KZ8&gt;=LA$19,KZ8&lt;&gt;"")),"P","")</f>
        <v/>
      </c>
      <c r="H8" s="4" t="str">
        <f>IF(OR(AND(AJ8&gt;=AK$18,AJ8&lt;&gt;"",AG8=""),AND(BF8&gt;=BG$18,BF8&lt;&gt;"",BC8=""),AND(CC8&gt;=CD$18,CC8&lt;&gt;""),AND(CX8&gt;=CY$18,CX8&lt;&gt;""),AND(DS8&gt;=DT$18,DS8&lt;&gt;""),AND(EN8&gt;=EO$18,EN8&lt;&gt;""),AND(FI8&gt;=FJ$18,FI8&lt;&gt;""),AND(GD8&gt;=GE$18,GD8&lt;&gt;""),AND(GY8&gt;=GZ$18,GY8&lt;&gt;""),AND(HT8&gt;=HU$18,HT8&lt;&gt;""),AND(IO8&gt;=IP$18,IO8&lt;&gt;""),AND(JJ8&gt;=JK$18,JJ8&lt;&gt;""),AND(KE8&gt;=KF$18,KE8&lt;&gt;""),AND(KZ8&gt;=LA$18,KZ8&lt;&gt;"")),"P","")</f>
        <v/>
      </c>
      <c r="I8" t="str">
        <f>IF(AND(H8="P",F8=""),"No DD",IF(OR(AND(AI8&gt;=AK$17,AI8&lt;&gt;"",AL8&gt;=AK$21,AL8&lt;&gt;"",AG8=""),AND(BE8&gt;=BG$17,BE8&lt;&gt;"",BH8&gt;=BG$21,BH8&lt;&gt;"",BC8=""),AND(CB8&gt;=CD$17,CB8&lt;&gt;"",CE8&gt;=CD$21,CE8&lt;&gt;""),AND(CW8&gt;=CY$17,CW8&lt;&gt;"",CZ8&gt;=CY$21,CZ8&lt;&gt;""),AND(DR8&gt;=DT$17,DR8&lt;&gt;"",DU8&gt;=DT$21,DU8&lt;&gt;""),AND(EM8&gt;=EO$17,EM8&lt;&gt;"",EP8&gt;=EO$21,EP8&lt;&gt;""),AND(FH8&gt;=FJ$17,FH8&lt;&gt;"",FK8&gt;=FJ$21,FK8&lt;&gt;""),AND(GC8&gt;=GE$17,GC8&lt;&gt;"",GF8&gt;=GE$21,GF8&lt;&gt;""),AND(GX8&gt;=GZ$17,GX8&lt;&gt;"",HA8&gt;=GZ$21,HA8&lt;&gt;""),AND(HS8&gt;=HU$17,HS8&lt;&gt;"",HV8&gt;=HU$21,HV8&lt;&gt;""),AND(IN8&gt;=IP$17,IN8&lt;&gt;"",IQ8&gt;=IP$21,IQ8&lt;&gt;""),AND(JI8&gt;=JK$17,JI8&lt;&gt;"",JL8&gt;=JK$21,JL8&lt;&gt;""),AND(KD8&gt;=KF$17,KD8&lt;&gt;"",KG8&gt;=KF$21,KG8&lt;&gt;""),AND(KY8&gt;=LA$17,KY8&lt;&gt;"",LB8&gt;=LA$21,LB8&lt;&gt;"")),"Merit",IF(OR(AND(AI8&gt;=AK$17,AI8&lt;&gt;"",AL8&gt;=AK$20,AL8&lt;&gt;"",AG8=""),AND(BE8&gt;=BG$17,BE8&lt;&gt;"",BH8&gt;=BG$20,BH8&lt;&gt;"",BC8=""),AND(CB8&gt;=CD$17,CB8&lt;&gt;"",CE8&gt;=CD$20,CE8&lt;&gt;""),AND(CW8&gt;=CY$17,CW8&lt;&gt;"",CZ8&gt;=CY$20,CZ8&lt;&gt;""),AND(DR8&gt;=DT$17,DR8&lt;&gt;"",DU8&gt;=DT$20,DU8&lt;&gt;""),AND(EM8&gt;=EO$17,EM8&lt;&gt;"",EP8&gt;=EO$20,EP8&lt;&gt;""),AND(FH8&gt;=FJ$17,FH8&lt;&gt;"",FK8&gt;=FJ$20,FK8&lt;&gt;""),AND(GC8&gt;=GE$17,GC8&lt;&gt;"",GF8&gt;=GE$20,GF8&lt;&gt;""),AND(GX8&gt;=GZ$17,GX8&lt;&gt;"",HA8&gt;=GZ$20,HA8&lt;&gt;""),AND(HS8&gt;=HU$17,HS8&lt;&gt;"",HV8&gt;=HU$20,HV8&lt;&gt;""),AND(IN8&gt;=IP$17,IN8&lt;&gt;"",IQ8&gt;=IP$20,IQ8&lt;&gt;""),AND(JI8&gt;=JK$17,JI8&lt;&gt;"",JL8&gt;=JK$20,JL8&lt;&gt;""),AND(KD8&gt;=KF$17,KD8&lt;&gt;"",KG8&gt;=KF$20,KG8&lt;&gt;""),AND(KY8&gt;=LA$17,KY8&lt;&gt;"",LB8&gt;=LA$20,LB8&lt;&gt;"")),"Excellence",IF(OR(AND(AH8&gt;=AK$16,AH8&lt;&gt;"",AJ8&gt;=AK$19,AJ8&lt;&gt;"",AG8=""),AND(BD8&gt;=BG$16,BD8&lt;&gt;"",BF8&gt;=BG$19,BF8&lt;&gt;"",BC8=""),AND(CA8&gt;=CD$16,CA8&lt;&gt;"",CC8&gt;=CD$19,CC8&lt;&gt;""),AND(CV8&gt;=CY$16,CV8&lt;&gt;"",CX8&gt;=CY$19,CX8&lt;&gt;""),AND(DQ8&gt;=DT$16,DQ8&lt;&gt;"",DS8&gt;=DT$19,DS8&lt;&gt;""),AND(EL8&gt;=EO$16,EL8&lt;&gt;"",EN8&gt;=EO$19,EN8&lt;&gt;""),AND(FG8&gt;=FJ$16,FG8&lt;&gt;"",FI8&gt;=FJ$19,FI8&lt;&gt;""),AND(GB8&gt;=GE$16,GB8&lt;&gt;"",GD8&gt;=GE$19,GD8&lt;&gt;""),AND(GW8&gt;=GZ$16,GW8&lt;&gt;"",GY8&gt;=GZ$19,GY8&lt;&gt;""),AND(HR8&gt;=HU$16,HR8&lt;&gt;"",HT8&gt;=HU$19,HT8&lt;&gt;""),AND(IM8&gt;=IP$16,IM8&lt;&gt;"",IO8&gt;=IP$19,IO8&lt;&gt;""),AND(JH8&gt;=JK$16,JH8&lt;&gt;"",JJ8&gt;=JK$19,JJ8&lt;&gt;""),AND(KC8&gt;=KF$16,KC8&lt;&gt;"",KE8&gt;=KF$19,KE8&lt;&gt;""),AND(KX8&gt;=LA$16,KX8&lt;&gt;"",KZ8&gt;=LA$19,KZ8&lt;&gt;"")),"Worlds Team",IF(OR(AND(AH8&gt;=AK$15,AH8&lt;&gt;"",AJ8&gt;=AK$18,AJ8&lt;&gt;"",AG8=""),AND(BD8&gt;=BG$15,BD8&lt;&gt;"",BF8&gt;=BG$18,BF8&lt;&gt;"",BC8=""),AND(CA8&gt;=CD$15,CA8&lt;&gt;"",CC8&gt;=CD$18,CC8&lt;&gt;""),AND(CV8&gt;=CY$15,CV8&lt;&gt;"",CX8&gt;=CY$18,CX8&lt;&gt;""),AND(DQ8&gt;=DT$15,DQ8&lt;&gt;"",DS8&gt;=DT$18,DS8&lt;&gt;""),AND(EL8&gt;=EO$15,EL8&lt;&gt;"",EN8&gt;=EO$18,EN8&lt;&gt;""),AND(FG8&gt;=FJ$15,FG8&lt;&gt;"",FI8&gt;=FJ$18,FI8&lt;&gt;""),AND(GB8&gt;=GE$15,GB8&lt;&gt;"",GD8&gt;=GE$18,GD8&lt;&gt;""),AND(GW8&gt;=GZ$15,GW8&lt;&gt;"",GY8&gt;=GZ$18,GY8&lt;&gt;""),AND(HR8&gt;=HU$15,HR8&lt;&gt;"",HT8&gt;=HU$18,HT8&lt;&gt;""),AND(IM8&gt;=IP$15,IM8&lt;&gt;"",IO8&gt;=IP$18,IO8&lt;&gt;""),AND(JH8&gt;=JK$15,JH8&lt;&gt;"",JJ8&gt;=JK$18,JJ8&lt;&gt;""),AND(KC8&gt;=KF$15,KC8&lt;&gt;"",KE8&gt;=KF$18,KE8&lt;&gt;""),AND(KX8&gt;=LA$15,KX8&lt;&gt;"",KZ8&gt;=LA$18,KZ8&lt;&gt;"")),"National Team","")))))</f>
        <v/>
      </c>
      <c r="J8" s="15">
        <f>IF(MAX(AL8,BH8)&gt;0,MAX(AL8,BH8),"")</f>
        <v>127.30000000000001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67.400000000000006</v>
      </c>
      <c r="M8" s="15" t="str">
        <f>IF(L8="","",IF(AND(J8&lt;&gt;BH8,OR(L8=BG8,L8=BF8)),$AM$1,IF(OR(L8=AK8,L8=AJ8),$Q$1,"")))</f>
        <v>2019 Nationals</v>
      </c>
      <c r="N8" s="15" t="str">
        <f>IF(MAX(BI8:BJ8)&gt;0,MAX(BI8:BJ8),"")</f>
        <v/>
      </c>
      <c r="O8" s="25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63">
        <v>27.4</v>
      </c>
      <c r="R8" s="63">
        <v>2.9</v>
      </c>
      <c r="S8" s="63">
        <v>2.6</v>
      </c>
      <c r="T8" s="63">
        <v>0</v>
      </c>
      <c r="U8" s="63">
        <v>27.8</v>
      </c>
      <c r="V8" s="63">
        <v>5.2</v>
      </c>
      <c r="W8" s="63">
        <v>0</v>
      </c>
      <c r="X8" s="63">
        <v>0</v>
      </c>
      <c r="Y8" s="63">
        <v>27.2</v>
      </c>
      <c r="Z8" s="63">
        <v>6.8</v>
      </c>
      <c r="AA8" s="63">
        <v>1.5</v>
      </c>
      <c r="AB8" s="63">
        <v>0</v>
      </c>
      <c r="AC8" s="63">
        <v>27.7</v>
      </c>
      <c r="AD8" s="63">
        <v>6.4</v>
      </c>
      <c r="AE8" s="63">
        <v>0</v>
      </c>
      <c r="AF8" s="63">
        <v>0</v>
      </c>
      <c r="AG8" s="74"/>
      <c r="AH8" s="12">
        <f>IF(SUM(R8,V8)&gt;0,SUM(R8,V8),"")</f>
        <v>8.1</v>
      </c>
      <c r="AI8" s="12">
        <f>IF(SUM(R8,V8,Z8,AD8)&gt;0,SUM(R8,V8,Z8,AD8),"")</f>
        <v>21.299999999999997</v>
      </c>
      <c r="AJ8" s="12">
        <f>IF(SUM(Q8:R8,T8:V8,X8)-SUM(S8,W8)&gt;0,SUM(Q8:R8,T8:V8,X8)-SUM(S8,W8),"")</f>
        <v>60.699999999999996</v>
      </c>
      <c r="AK8" s="12">
        <f>IF(SUM(Y8:Z8,AB8:AD8,AF8)-SUM(AA8,AE8)&gt;0,SUM(Y8:Z8,AB8:AD8,AF8)-SUM(AA8,AE8),"")</f>
        <v>66.600000000000009</v>
      </c>
      <c r="AL8" s="12">
        <f>IF(SUM(AJ8,AK8)&gt;0,SUM(AJ8,AK8),"")</f>
        <v>127.30000000000001</v>
      </c>
      <c r="AM8" s="37">
        <v>28.6</v>
      </c>
      <c r="AN8" s="37">
        <v>6.8</v>
      </c>
      <c r="AO8" s="37">
        <v>0.9</v>
      </c>
      <c r="AP8" s="37">
        <v>0</v>
      </c>
      <c r="AQ8" s="37">
        <v>27.4</v>
      </c>
      <c r="AR8" s="37">
        <v>6.4</v>
      </c>
      <c r="AS8" s="37">
        <v>0.9</v>
      </c>
      <c r="AT8" s="37">
        <v>0</v>
      </c>
      <c r="AU8" s="37"/>
      <c r="AV8" s="37"/>
      <c r="AW8" s="37"/>
      <c r="AX8" s="37"/>
      <c r="AY8" s="37"/>
      <c r="AZ8" s="37"/>
      <c r="BA8" s="37"/>
      <c r="BB8" s="37"/>
      <c r="BC8" s="75"/>
      <c r="BD8" s="15">
        <f>IF(SUM(AN8,AR8)&gt;0,SUM(AN8,AR8),"")</f>
        <v>13.2</v>
      </c>
      <c r="BE8" s="15">
        <f>IF(SUM(AN8,AR8,AV8,AZ8)&gt;0,SUM(AN8,AR8,AV8,AZ8),"")</f>
        <v>13.2</v>
      </c>
      <c r="BF8" s="15">
        <f>IF(SUM(AM8:AN8,AP8:AR8,AT8)-SUM(AO8,AS8)&gt;0,SUM(AM8:AN8,AP8:AR8,AT8)-SUM(AO8,AS8),"")</f>
        <v>67.400000000000006</v>
      </c>
      <c r="BG8" s="15" t="str">
        <f>IF(SUM(AU8:AV8,AX8:AZ8,BB8)-SUM(AW8,BA8)&gt;0,SUM(AU8:AV8,AX8:AZ8,BB8)-SUM(AW8,BA8),"")</f>
        <v/>
      </c>
      <c r="BH8" s="15">
        <f>IF(SUM(BF8,BG8)&gt;0,SUM(BF8,BG8),"")</f>
        <v>67.400000000000006</v>
      </c>
      <c r="BI8" s="24" t="str">
        <f>IF(MAX(CE8,CZ8,DU8,EP8,FK8,GF8,HA8,HV8,IQ8,JL8,KG8,LB8)-IF(J8="",0,J8)&gt;0.001,MAX(CE8,CZ8,DU8,EP8,FK8,GF8,HA8,HV8,IQ8,JL8,KG8,LB8)-IF(J8="",0,J8),"")</f>
        <v/>
      </c>
      <c r="BJ8" s="24" t="str">
        <f>IF(MAX(CC8,CD8,CX8,CY8,DS8,DT8,EN8,EO8,FI8,FJ8,GD8,GE8,GY8,GZ8,HT8,HU8,IO8,IP8,JJ8,JK8,KE8,KF8,KZ8,LA8)-IF(L8="",0,L8)&gt;0.001,MAX(CC8,CD8,CX8,CY8,DS8,DT8,EN8,EO8,FI8,FJ8,GD8,GE8,GY8,GZ8,HT8,HU8,IO8,IP8,JJ8,JK8,KE8,KF8,KZ8,LA8)-IF(L8="",0,L8),"")</f>
        <v/>
      </c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 t="str">
        <f>IF(SUM(DW8,EA8)&gt;0,SUM(DW8,EA8),"")</f>
        <v/>
      </c>
      <c r="EM8" s="15" t="str">
        <f>IF(SUM(DW8,EA8,EE8,EI8)&gt;0,SUM(DW8,EA8,EE8,EI8),"")</f>
        <v/>
      </c>
      <c r="EN8" s="15" t="str">
        <f>IF(SUM(DV8:DW8,DY8:EA8,EC8)-SUM(DX8,EB8)&gt;0,SUM(DV8:DW8,DY8:EA8,EC8)-SUM(DX8,EB8),"")</f>
        <v/>
      </c>
      <c r="EO8" s="15" t="str">
        <f>IF(SUM(ED8:EE8,EG8:EI8,EK8)-SUM(EF8,EJ8)&gt;0,SUM(ED8:EE8,EG8:EI8,EK8)-SUM(EF8,EJ8),"")</f>
        <v/>
      </c>
      <c r="EP8" s="15" t="str">
        <f>IF(SUM(EN8,EO8)&gt;0,SUM(EN8,EO8),"")</f>
        <v/>
      </c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63">
        <f t="shared" si="6"/>
        <v>28</v>
      </c>
      <c r="LD8" s="63">
        <f t="shared" si="0"/>
        <v>4.8499999999999996</v>
      </c>
      <c r="LE8" s="63">
        <f t="shared" si="0"/>
        <v>1.75</v>
      </c>
      <c r="LF8" s="63">
        <f t="shared" si="0"/>
        <v>0</v>
      </c>
      <c r="LG8" s="63">
        <f t="shared" si="0"/>
        <v>27.6</v>
      </c>
      <c r="LH8" s="63">
        <f t="shared" si="0"/>
        <v>5.8000000000000007</v>
      </c>
      <c r="LI8" s="63">
        <f t="shared" si="0"/>
        <v>0.45</v>
      </c>
      <c r="LJ8" s="63">
        <f t="shared" si="0"/>
        <v>0</v>
      </c>
      <c r="LK8" s="63">
        <f t="shared" si="0"/>
        <v>13.6</v>
      </c>
      <c r="LL8" s="63">
        <f t="shared" si="0"/>
        <v>3.4</v>
      </c>
      <c r="LM8" s="63">
        <f t="shared" si="0"/>
        <v>0.75</v>
      </c>
      <c r="LN8" s="63">
        <f t="shared" si="0"/>
        <v>0</v>
      </c>
      <c r="LO8" s="63">
        <f t="shared" si="0"/>
        <v>13.85</v>
      </c>
      <c r="LP8" s="63">
        <f t="shared" si="0"/>
        <v>3.2</v>
      </c>
      <c r="LQ8" s="63">
        <f t="shared" si="0"/>
        <v>0</v>
      </c>
      <c r="LR8" s="63">
        <f t="shared" si="0"/>
        <v>0</v>
      </c>
      <c r="LS8" s="74" t="s">
        <v>81</v>
      </c>
      <c r="LT8" s="12">
        <f t="shared" si="7"/>
        <v>10.65</v>
      </c>
      <c r="LU8" s="12">
        <f t="shared" si="8"/>
        <v>17.25</v>
      </c>
      <c r="LV8" s="12">
        <f t="shared" si="9"/>
        <v>64.05</v>
      </c>
      <c r="LW8" s="12">
        <f t="shared" si="10"/>
        <v>33.300000000000004</v>
      </c>
      <c r="LX8" s="12">
        <f t="shared" si="11"/>
        <v>97.35</v>
      </c>
    </row>
    <row r="9" spans="1:336" x14ac:dyDescent="0.2">
      <c r="A9" s="6" t="str">
        <f>IF(AND(F9="P",H9="P"),SUMPRODUCT((F$4:F$13="P")*(H$4:H$13="P")*(E$4:E$13&gt;E9))+1,IF(H9="P",SUMPRODUCT((F$4:F$13="")*(H$4:H$13="P")*(E$4:E$13&gt;E9))+1+SUMPRODUCT((F$4:F$13="P")*(H$4:H$13="P")),""))</f>
        <v/>
      </c>
      <c r="B9" s="9" t="s">
        <v>70</v>
      </c>
      <c r="C9" s="5" t="s">
        <v>4</v>
      </c>
      <c r="D9" s="6">
        <v>2002</v>
      </c>
      <c r="E9" s="16">
        <f>SUM(J9:N9)</f>
        <v>155.70000000000002</v>
      </c>
      <c r="F9" s="4" t="str">
        <f>IF(OR(AND(AH9&gt;=AK$15,AJ9&gt;=AK$18,AJ9&lt;&gt;"",AG9=""),AND(BD9&gt;=BG$15,BF9&gt;=BG$18,BF9&lt;&gt;"",BC9=""),AND(CA9&gt;=CD$15,CC9&gt;=CD$18,CC9&lt;&gt;""),AND(CV9&gt;=CY$15,CX9&gt;=CY$18,CX9&lt;&gt;""),AND(DQ9&gt;=DT$15,DS9&gt;=DT$18,DS9&lt;&gt;""),AND(EL9&gt;=EO$15,EN9&gt;=EO$18,EN9&lt;&gt;""),AND(FG9&gt;=FJ$15,FI9&gt;=FJ$18,FI9&lt;&gt;""),AND(GB9&gt;=GE$15,GD9&gt;=GE$18,GD9&lt;&gt;""),AND(GW9&gt;=GZ$15,GY9&gt;=GZ$18,GY9&lt;&gt;""),AND(HR9&gt;=HU$15,HT9&gt;=HU$18,HT9&lt;&gt;""),AND(IM9&gt;=IP$15,IO9&gt;=IP$18,IO9&lt;&gt;""),AND(JH9&gt;=JK$15,JJ9&gt;=JK$18,JJ9&lt;&gt;""),AND(KC9&gt;=KF$15,KE9&gt;=KF$18,KE9&lt;&gt;""),AND(KX9&gt;=LA$15,KZ9&gt;=LA$18,KZ9&lt;&gt;"")),"P","")</f>
        <v/>
      </c>
      <c r="G9" s="4" t="str">
        <f>IF(OR(AND(AH9&gt;=AK$16,AJ9&gt;=AK$19,AJ9&lt;&gt;"",AG9=""),AND(BD9&gt;=BG$16,BF9&gt;=BG$19,BF9&lt;&gt;"",BC9=""),AND(CA9&gt;=CD$16,CC9&gt;=CD$19,CC9&lt;&gt;""),AND(CV9&gt;=CY$16,CX9&gt;=CY$19,CX9&lt;&gt;""),AND(DQ9&gt;=DT$16,DS9&gt;=DT$19,DS9&lt;&gt;""),AND(EL9&gt;=EO$16,EN9&gt;=EO$19,EN9&lt;&gt;""),AND(FG9&gt;=FJ$16,FI9&gt;=FJ$19,FI9&lt;&gt;""),AND(GB9&gt;=GE$16,GD9&gt;=GE$19,GD9&lt;&gt;""),AND(GW9&gt;=GZ$16,GY9&gt;=GZ$19,GY9&lt;&gt;""),AND(HR9&gt;=HU$16,HT9&gt;=HU$19,HT9&lt;&gt;""),AND(IM9&gt;=IP$16,IO9&gt;=IP$19,IO9&lt;&gt;""),AND(JH9&gt;=JK$16,JJ9&gt;=JK$19,JJ9&lt;&gt;""),AND(KC9&gt;=KF$16,KE9&gt;=KF$19,KE9&lt;&gt;""),AND(KX9&gt;=LA$16,KZ9&gt;=LA$19,KZ9&lt;&gt;"")),"P","")</f>
        <v/>
      </c>
      <c r="H9" s="4" t="str">
        <f>IF(OR(AND(AJ9&gt;=AK$18,AJ9&lt;&gt;"",AG9=""),AND(BF9&gt;=BG$18,BF9&lt;&gt;"",BC9=""),AND(CC9&gt;=CD$18,CC9&lt;&gt;""),AND(CX9&gt;=CY$18,CX9&lt;&gt;""),AND(DS9&gt;=DT$18,DS9&lt;&gt;""),AND(EN9&gt;=EO$18,EN9&lt;&gt;""),AND(FI9&gt;=FJ$18,FI9&lt;&gt;""),AND(GD9&gt;=GE$18,GD9&lt;&gt;""),AND(GY9&gt;=GZ$18,GY9&lt;&gt;""),AND(HT9&gt;=HU$18,HT9&lt;&gt;""),AND(IO9&gt;=IP$18,IO9&lt;&gt;""),AND(JJ9&gt;=JK$18,JJ9&lt;&gt;""),AND(KE9&gt;=KF$18,KE9&lt;&gt;""),AND(KZ9&gt;=LA$18,KZ9&lt;&gt;"")),"P","")</f>
        <v/>
      </c>
      <c r="I9" t="str">
        <f>IF(AND(H9="P",F9=""),"No DD",IF(OR(AND(AI9&gt;=AK$17,AI9&lt;&gt;"",AL9&gt;=AK$21,AL9&lt;&gt;"",AG9=""),AND(BE9&gt;=BG$17,BE9&lt;&gt;"",BH9&gt;=BG$21,BH9&lt;&gt;"",BC9=""),AND(CB9&gt;=CD$17,CB9&lt;&gt;"",CE9&gt;=CD$21,CE9&lt;&gt;""),AND(CW9&gt;=CY$17,CW9&lt;&gt;"",CZ9&gt;=CY$21,CZ9&lt;&gt;""),AND(DR9&gt;=DT$17,DR9&lt;&gt;"",DU9&gt;=DT$21,DU9&lt;&gt;""),AND(EM9&gt;=EO$17,EM9&lt;&gt;"",EP9&gt;=EO$21,EP9&lt;&gt;""),AND(FH9&gt;=FJ$17,FH9&lt;&gt;"",FK9&gt;=FJ$21,FK9&lt;&gt;""),AND(GC9&gt;=GE$17,GC9&lt;&gt;"",GF9&gt;=GE$21,GF9&lt;&gt;""),AND(GX9&gt;=GZ$17,GX9&lt;&gt;"",HA9&gt;=GZ$21,HA9&lt;&gt;""),AND(HS9&gt;=HU$17,HS9&lt;&gt;"",HV9&gt;=HU$21,HV9&lt;&gt;""),AND(IN9&gt;=IP$17,IN9&lt;&gt;"",IQ9&gt;=IP$21,IQ9&lt;&gt;""),AND(JI9&gt;=JK$17,JI9&lt;&gt;"",JL9&gt;=JK$21,JL9&lt;&gt;""),AND(KD9&gt;=KF$17,KD9&lt;&gt;"",KG9&gt;=KF$21,KG9&lt;&gt;""),AND(KY9&gt;=LA$17,KY9&lt;&gt;"",LB9&gt;=LA$21,LB9&lt;&gt;"")),"Merit",IF(OR(AND(AI9&gt;=AK$17,AI9&lt;&gt;"",AL9&gt;=AK$20,AL9&lt;&gt;"",AG9=""),AND(BE9&gt;=BG$17,BE9&lt;&gt;"",BH9&gt;=BG$20,BH9&lt;&gt;"",BC9=""),AND(CB9&gt;=CD$17,CB9&lt;&gt;"",CE9&gt;=CD$20,CE9&lt;&gt;""),AND(CW9&gt;=CY$17,CW9&lt;&gt;"",CZ9&gt;=CY$20,CZ9&lt;&gt;""),AND(DR9&gt;=DT$17,DR9&lt;&gt;"",DU9&gt;=DT$20,DU9&lt;&gt;""),AND(EM9&gt;=EO$17,EM9&lt;&gt;"",EP9&gt;=EO$20,EP9&lt;&gt;""),AND(FH9&gt;=FJ$17,FH9&lt;&gt;"",FK9&gt;=FJ$20,FK9&lt;&gt;""),AND(GC9&gt;=GE$17,GC9&lt;&gt;"",GF9&gt;=GE$20,GF9&lt;&gt;""),AND(GX9&gt;=GZ$17,GX9&lt;&gt;"",HA9&gt;=GZ$20,HA9&lt;&gt;""),AND(HS9&gt;=HU$17,HS9&lt;&gt;"",HV9&gt;=HU$20,HV9&lt;&gt;""),AND(IN9&gt;=IP$17,IN9&lt;&gt;"",IQ9&gt;=IP$20,IQ9&lt;&gt;""),AND(JI9&gt;=JK$17,JI9&lt;&gt;"",JL9&gt;=JK$20,JL9&lt;&gt;""),AND(KD9&gt;=KF$17,KD9&lt;&gt;"",KG9&gt;=KF$20,KG9&lt;&gt;""),AND(KY9&gt;=LA$17,KY9&lt;&gt;"",LB9&gt;=LA$20,LB9&lt;&gt;"")),"Excellence",IF(OR(AND(AH9&gt;=AK$16,AH9&lt;&gt;"",AJ9&gt;=AK$19,AJ9&lt;&gt;"",AG9=""),AND(BD9&gt;=BG$16,BD9&lt;&gt;"",BF9&gt;=BG$19,BF9&lt;&gt;"",BC9=""),AND(CA9&gt;=CD$16,CA9&lt;&gt;"",CC9&gt;=CD$19,CC9&lt;&gt;""),AND(CV9&gt;=CY$16,CV9&lt;&gt;"",CX9&gt;=CY$19,CX9&lt;&gt;""),AND(DQ9&gt;=DT$16,DQ9&lt;&gt;"",DS9&gt;=DT$19,DS9&lt;&gt;""),AND(EL9&gt;=EO$16,EL9&lt;&gt;"",EN9&gt;=EO$19,EN9&lt;&gt;""),AND(FG9&gt;=FJ$16,FG9&lt;&gt;"",FI9&gt;=FJ$19,FI9&lt;&gt;""),AND(GB9&gt;=GE$16,GB9&lt;&gt;"",GD9&gt;=GE$19,GD9&lt;&gt;""),AND(GW9&gt;=GZ$16,GW9&lt;&gt;"",GY9&gt;=GZ$19,GY9&lt;&gt;""),AND(HR9&gt;=HU$16,HR9&lt;&gt;"",HT9&gt;=HU$19,HT9&lt;&gt;""),AND(IM9&gt;=IP$16,IM9&lt;&gt;"",IO9&gt;=IP$19,IO9&lt;&gt;""),AND(JH9&gt;=JK$16,JH9&lt;&gt;"",JJ9&gt;=JK$19,JJ9&lt;&gt;""),AND(KC9&gt;=KF$16,KC9&lt;&gt;"",KE9&gt;=KF$19,KE9&lt;&gt;""),AND(KX9&gt;=LA$16,KX9&lt;&gt;"",KZ9&gt;=LA$19,KZ9&lt;&gt;"")),"Worlds Team",IF(OR(AND(AH9&gt;=AK$15,AH9&lt;&gt;"",AJ9&gt;=AK$18,AJ9&lt;&gt;"",AG9=""),AND(BD9&gt;=BG$15,BD9&lt;&gt;"",BF9&gt;=BG$18,BF9&lt;&gt;"",BC9=""),AND(CA9&gt;=CD$15,CA9&lt;&gt;"",CC9&gt;=CD$18,CC9&lt;&gt;""),AND(CV9&gt;=CY$15,CV9&lt;&gt;"",CX9&gt;=CY$18,CX9&lt;&gt;""),AND(DQ9&gt;=DT$15,DQ9&lt;&gt;"",DS9&gt;=DT$18,DS9&lt;&gt;""),AND(EL9&gt;=EO$15,EL9&lt;&gt;"",EN9&gt;=EO$18,EN9&lt;&gt;""),AND(FG9&gt;=FJ$15,FG9&lt;&gt;"",FI9&gt;=FJ$18,FI9&lt;&gt;""),AND(GB9&gt;=GE$15,GB9&lt;&gt;"",GD9&gt;=GE$18,GD9&lt;&gt;""),AND(GW9&gt;=GZ$15,GW9&lt;&gt;"",GY9&gt;=GZ$18,GY9&lt;&gt;""),AND(HR9&gt;=HU$15,HR9&lt;&gt;"",HT9&gt;=HU$18,HT9&lt;&gt;""),AND(IM9&gt;=IP$15,IM9&lt;&gt;"",IO9&gt;=IP$18,IO9&lt;&gt;""),AND(JH9&gt;=JK$15,JH9&lt;&gt;"",JJ9&gt;=JK$18,JJ9&lt;&gt;""),AND(KC9&gt;=KF$15,KC9&lt;&gt;"",KE9&gt;=KF$18,KE9&lt;&gt;""),AND(KX9&gt;=LA$15,KX9&lt;&gt;"",KZ9&gt;=LA$18,KZ9&lt;&gt;"")),"National Team","")))))</f>
        <v/>
      </c>
      <c r="J9" s="15">
        <f>IF(MAX(AL9,BH9)&gt;0,MAX(AL9,BH9),"")</f>
        <v>132.60000000000002</v>
      </c>
      <c r="K9" s="15" t="str">
        <f>IF(J9="","",IF(J9=BH9,$AM$1,IF(J9=AL9,$Q$1,"")))</f>
        <v>2019 Elite Canada</v>
      </c>
      <c r="L9" s="15">
        <f>IF(J9=AL9,IF(MAX(BF9,BG9)&gt;0,MAX(BF9,BG9),""),IF(J9=BH9,IF(MAX(AJ9,AK9)&gt;0,MAX(AJ9,AK9),""),MAX(AJ9,AK9,BF9,BG9)))</f>
        <v>23.099999999999998</v>
      </c>
      <c r="M9" s="15" t="str">
        <f>IF(L9="","",IF(AND(J9&lt;&gt;BH9,OR(L9=BG9,L9=BF9)),$AM$1,IF(OR(L9=AK9,L9=AJ9),$Q$1,"")))</f>
        <v>2019 Nationals</v>
      </c>
      <c r="N9" s="15" t="str">
        <f>IF(MAX(BI9:BJ9)&gt;0,MAX(BI9:BJ9),"")</f>
        <v/>
      </c>
      <c r="O9" s="25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63">
        <v>28.8</v>
      </c>
      <c r="R9" s="63">
        <v>6</v>
      </c>
      <c r="S9" s="63">
        <v>0</v>
      </c>
      <c r="T9" s="63">
        <v>0</v>
      </c>
      <c r="U9" s="63">
        <v>25</v>
      </c>
      <c r="V9" s="63">
        <v>6.4</v>
      </c>
      <c r="W9" s="63">
        <v>1.5</v>
      </c>
      <c r="X9" s="63">
        <v>0</v>
      </c>
      <c r="Y9" s="63">
        <v>28.5</v>
      </c>
      <c r="Z9" s="63">
        <v>5.2</v>
      </c>
      <c r="AA9" s="63">
        <v>0</v>
      </c>
      <c r="AB9" s="63">
        <v>0</v>
      </c>
      <c r="AC9" s="63">
        <v>29</v>
      </c>
      <c r="AD9" s="63">
        <v>5.2</v>
      </c>
      <c r="AE9" s="63">
        <v>0</v>
      </c>
      <c r="AF9" s="63">
        <v>0</v>
      </c>
      <c r="AG9" s="74"/>
      <c r="AH9" s="12">
        <f>IF(SUM(R9,V9)&gt;0,SUM(R9,V9),"")</f>
        <v>12.4</v>
      </c>
      <c r="AI9" s="12">
        <f>IF(SUM(R9,V9,Z9,AD9)&gt;0,SUM(R9,V9,Z9,AD9),"")</f>
        <v>22.8</v>
      </c>
      <c r="AJ9" s="12">
        <f>IF(SUM(Q9:R9,T9:V9,X9)-SUM(S9,W9)&gt;0,SUM(Q9:R9,T9:V9,X9)-SUM(S9,W9),"")</f>
        <v>64.7</v>
      </c>
      <c r="AK9" s="12">
        <f>IF(SUM(Y9:Z9,AB9:AD9,AF9)-SUM(AA9,AE9)&gt;0,SUM(Y9:Z9,AB9:AD9,AF9)-SUM(AA9,AE9),"")</f>
        <v>67.900000000000006</v>
      </c>
      <c r="AL9" s="12">
        <f>IF(SUM(AJ9,AK9)&gt;0,SUM(AJ9,AK9),"")</f>
        <v>132.60000000000002</v>
      </c>
      <c r="AM9" s="37">
        <v>0</v>
      </c>
      <c r="AN9" s="37">
        <v>0</v>
      </c>
      <c r="AO9" s="37">
        <v>0</v>
      </c>
      <c r="AP9" s="37">
        <v>0</v>
      </c>
      <c r="AQ9" s="37">
        <v>19.899999999999999</v>
      </c>
      <c r="AR9" s="37">
        <v>3.2</v>
      </c>
      <c r="AS9" s="37">
        <v>0</v>
      </c>
      <c r="AT9" s="37">
        <v>0</v>
      </c>
      <c r="AU9" s="37"/>
      <c r="AV9" s="37"/>
      <c r="AW9" s="37"/>
      <c r="AX9" s="37"/>
      <c r="AY9" s="37"/>
      <c r="AZ9" s="37"/>
      <c r="BA9" s="37"/>
      <c r="BB9" s="37"/>
      <c r="BC9" s="75"/>
      <c r="BD9" s="15">
        <f>IF(SUM(AN9,AR9)&gt;0,SUM(AN9,AR9),"")</f>
        <v>3.2</v>
      </c>
      <c r="BE9" s="15">
        <f>IF(SUM(AN9,AR9,AV9,AZ9)&gt;0,SUM(AN9,AR9,AV9,AZ9),"")</f>
        <v>3.2</v>
      </c>
      <c r="BF9" s="15">
        <f>IF(SUM(AM9:AN9,AP9:AR9,AT9)-SUM(AO9,AS9)&gt;0,SUM(AM9:AN9,AP9:AR9,AT9)-SUM(AO9,AS9),"")</f>
        <v>23.099999999999998</v>
      </c>
      <c r="BG9" s="15" t="str">
        <f>IF(SUM(AU9:AV9,AX9:AZ9,BB9)-SUM(AW9,BA9)&gt;0,SUM(AU9:AV9,AX9:AZ9,BB9)-SUM(AW9,BA9),"")</f>
        <v/>
      </c>
      <c r="BH9" s="15">
        <f>IF(SUM(BF9,BG9)&gt;0,SUM(BF9,BG9),"")</f>
        <v>23.099999999999998</v>
      </c>
      <c r="BI9" s="24" t="str">
        <f>IF(MAX(CE9,CZ9,DU9,EP9,FK9,GF9,HA9,HV9,IQ9,JL9,KG9,LB9)-IF(J9="",0,J9)&gt;0.001,MAX(CE9,CZ9,DU9,EP9,FK9,GF9,HA9,HV9,IQ9,JL9,KG9,LB9)-IF(J9="",0,J9),"")</f>
        <v/>
      </c>
      <c r="BJ9" s="24" t="str">
        <f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63">
        <f t="shared" si="6"/>
        <v>14.4</v>
      </c>
      <c r="LD9" s="63">
        <f t="shared" si="0"/>
        <v>3</v>
      </c>
      <c r="LE9" s="63">
        <f t="shared" si="0"/>
        <v>0</v>
      </c>
      <c r="LF9" s="63">
        <f t="shared" si="0"/>
        <v>0</v>
      </c>
      <c r="LG9" s="63">
        <f t="shared" si="0"/>
        <v>22.45</v>
      </c>
      <c r="LH9" s="63">
        <f t="shared" si="0"/>
        <v>4.8000000000000007</v>
      </c>
      <c r="LI9" s="63">
        <f t="shared" si="0"/>
        <v>0.75</v>
      </c>
      <c r="LJ9" s="63">
        <f t="shared" si="0"/>
        <v>0</v>
      </c>
      <c r="LK9" s="63">
        <f t="shared" si="0"/>
        <v>14.25</v>
      </c>
      <c r="LL9" s="63">
        <f t="shared" si="0"/>
        <v>2.6</v>
      </c>
      <c r="LM9" s="63">
        <f t="shared" si="0"/>
        <v>0</v>
      </c>
      <c r="LN9" s="63">
        <f t="shared" si="0"/>
        <v>0</v>
      </c>
      <c r="LO9" s="63">
        <f t="shared" si="0"/>
        <v>14.5</v>
      </c>
      <c r="LP9" s="63">
        <f t="shared" si="0"/>
        <v>2.6</v>
      </c>
      <c r="LQ9" s="63">
        <f t="shared" si="0"/>
        <v>0</v>
      </c>
      <c r="LR9" s="63">
        <f t="shared" si="0"/>
        <v>0</v>
      </c>
      <c r="LS9" s="74" t="s">
        <v>81</v>
      </c>
      <c r="LT9" s="12">
        <f t="shared" si="7"/>
        <v>7.8000000000000007</v>
      </c>
      <c r="LU9" s="12">
        <f t="shared" si="8"/>
        <v>13</v>
      </c>
      <c r="LV9" s="12">
        <f t="shared" si="9"/>
        <v>43.899999999999991</v>
      </c>
      <c r="LW9" s="12">
        <f t="shared" si="10"/>
        <v>33.950000000000003</v>
      </c>
      <c r="LX9" s="12">
        <f t="shared" si="11"/>
        <v>77.849999999999994</v>
      </c>
    </row>
    <row r="10" spans="1:336" x14ac:dyDescent="0.2">
      <c r="A10" s="6">
        <f>IF(AND(F10="P",H10="P"),SUMPRODUCT((F$4:F$13="P")*(H$4:H$13="P")*(E$4:E$13&gt;E10))+1,IF(H10="P",SUMPRODUCT((F$4:F$13="")*(H$4:H$13="P")*(E$4:E$13&gt;E10))+1+SUMPRODUCT((F$4:F$13="P")*(H$4:H$13="P")),""))</f>
        <v>5</v>
      </c>
      <c r="B10" s="9" t="s">
        <v>80</v>
      </c>
      <c r="C10" s="5" t="s">
        <v>3</v>
      </c>
      <c r="D10" s="6">
        <v>2004</v>
      </c>
      <c r="E10" s="16">
        <f>SUM(J10:N10)</f>
        <v>153.70000000000002</v>
      </c>
      <c r="F10" s="4" t="str">
        <f>IF(OR(AND(AH10&gt;=AK$15,AJ10&gt;=AK$18,AJ10&lt;&gt;"",AG10=""),AND(BD10&gt;=BG$15,BF10&gt;=BG$18,BF10&lt;&gt;"",BC10=""),AND(CA10&gt;=CD$15,CC10&gt;=CD$18,CC10&lt;&gt;""),AND(CV10&gt;=CY$15,CX10&gt;=CY$18,CX10&lt;&gt;""),AND(DQ10&gt;=DT$15,DS10&gt;=DT$18,DS10&lt;&gt;""),AND(EL10&gt;=EO$15,EN10&gt;=EO$18,EN10&lt;&gt;""),AND(FG10&gt;=FJ$15,FI10&gt;=FJ$18,FI10&lt;&gt;""),AND(GB10&gt;=GE$15,GD10&gt;=GE$18,GD10&lt;&gt;""),AND(GW10&gt;=GZ$15,GY10&gt;=GZ$18,GY10&lt;&gt;""),AND(HR10&gt;=HU$15,HT10&gt;=HU$18,HT10&lt;&gt;""),AND(IM10&gt;=IP$15,IO10&gt;=IP$18,IO10&lt;&gt;""),AND(JH10&gt;=JK$15,JJ10&gt;=JK$18,JJ10&lt;&gt;""),AND(KC10&gt;=KF$15,KE10&gt;=KF$18,KE10&lt;&gt;""),AND(KX10&gt;=LA$15,KZ10&gt;=LA$18,KZ10&lt;&gt;"")),"P","")</f>
        <v/>
      </c>
      <c r="G10" s="4" t="str">
        <f>IF(OR(AND(AH10&gt;=AK$16,AJ10&gt;=AK$19,AJ10&lt;&gt;"",AG10=""),AND(BD10&gt;=BG$16,BF10&gt;=BG$19,BF10&lt;&gt;"",BC10=""),AND(CA10&gt;=CD$16,CC10&gt;=CD$19,CC10&lt;&gt;""),AND(CV10&gt;=CY$16,CX10&gt;=CY$19,CX10&lt;&gt;""),AND(DQ10&gt;=DT$16,DS10&gt;=DT$19,DS10&lt;&gt;""),AND(EL10&gt;=EO$16,EN10&gt;=EO$19,EN10&lt;&gt;""),AND(FG10&gt;=FJ$16,FI10&gt;=FJ$19,FI10&lt;&gt;""),AND(GB10&gt;=GE$16,GD10&gt;=GE$19,GD10&lt;&gt;""),AND(GW10&gt;=GZ$16,GY10&gt;=GZ$19,GY10&lt;&gt;""),AND(HR10&gt;=HU$16,HT10&gt;=HU$19,HT10&lt;&gt;""),AND(IM10&gt;=IP$16,IO10&gt;=IP$19,IO10&lt;&gt;""),AND(JH10&gt;=JK$16,JJ10&gt;=JK$19,JJ10&lt;&gt;""),AND(KC10&gt;=KF$16,KE10&gt;=KF$19,KE10&lt;&gt;""),AND(KX10&gt;=LA$16,KZ10&gt;=LA$19,KZ10&lt;&gt;"")),"P","")</f>
        <v/>
      </c>
      <c r="H10" s="4" t="str">
        <f>IF(OR(AND(AJ10&gt;=AK$18,AJ10&lt;&gt;"",AG10=""),AND(BF10&gt;=BG$18,BF10&lt;&gt;"",BC10=""),AND(CC10&gt;=CD$18,CC10&lt;&gt;""),AND(CX10&gt;=CY$18,CX10&lt;&gt;""),AND(DS10&gt;=DT$18,DS10&lt;&gt;""),AND(EN10&gt;=EO$18,EN10&lt;&gt;""),AND(FI10&gt;=FJ$18,FI10&lt;&gt;""),AND(GD10&gt;=GE$18,GD10&lt;&gt;""),AND(GY10&gt;=GZ$18,GY10&lt;&gt;""),AND(HT10&gt;=HU$18,HT10&lt;&gt;""),AND(IO10&gt;=IP$18,IO10&lt;&gt;""),AND(JJ10&gt;=JK$18,JJ10&lt;&gt;""),AND(KE10&gt;=KF$18,KE10&lt;&gt;""),AND(KZ10&gt;=LA$18,KZ10&lt;&gt;"")),"P","")</f>
        <v>P</v>
      </c>
      <c r="I10" t="str">
        <f>IF(AND(H10="P",F10=""),"No DD",IF(OR(AND(AI10&gt;=AK$17,AI10&lt;&gt;"",AL10&gt;=AK$21,AL10&lt;&gt;"",AG10=""),AND(BE10&gt;=BG$17,BE10&lt;&gt;"",BH10&gt;=BG$21,BH10&lt;&gt;"",BC10=""),AND(CB10&gt;=CD$17,CB10&lt;&gt;"",CE10&gt;=CD$21,CE10&lt;&gt;""),AND(CW10&gt;=CY$17,CW10&lt;&gt;"",CZ10&gt;=CY$21,CZ10&lt;&gt;""),AND(DR10&gt;=DT$17,DR10&lt;&gt;"",DU10&gt;=DT$21,DU10&lt;&gt;""),AND(EM10&gt;=EO$17,EM10&lt;&gt;"",EP10&gt;=EO$21,EP10&lt;&gt;""),AND(FH10&gt;=FJ$17,FH10&lt;&gt;"",FK10&gt;=FJ$21,FK10&lt;&gt;""),AND(GC10&gt;=GE$17,GC10&lt;&gt;"",GF10&gt;=GE$21,GF10&lt;&gt;""),AND(GX10&gt;=GZ$17,GX10&lt;&gt;"",HA10&gt;=GZ$21,HA10&lt;&gt;""),AND(HS10&gt;=HU$17,HS10&lt;&gt;"",HV10&gt;=HU$21,HV10&lt;&gt;""),AND(IN10&gt;=IP$17,IN10&lt;&gt;"",IQ10&gt;=IP$21,IQ10&lt;&gt;""),AND(JI10&gt;=JK$17,JI10&lt;&gt;"",JL10&gt;=JK$21,JL10&lt;&gt;""),AND(KD10&gt;=KF$17,KD10&lt;&gt;"",KG10&gt;=KF$21,KG10&lt;&gt;""),AND(KY10&gt;=LA$17,KY10&lt;&gt;"",LB10&gt;=LA$21,LB10&lt;&gt;"")),"Merit",IF(OR(AND(AI10&gt;=AK$17,AI10&lt;&gt;"",AL10&gt;=AK$20,AL10&lt;&gt;"",AG10=""),AND(BE10&gt;=BG$17,BE10&lt;&gt;"",BH10&gt;=BG$20,BH10&lt;&gt;"",BC10=""),AND(CB10&gt;=CD$17,CB10&lt;&gt;"",CE10&gt;=CD$20,CE10&lt;&gt;""),AND(CW10&gt;=CY$17,CW10&lt;&gt;"",CZ10&gt;=CY$20,CZ10&lt;&gt;""),AND(DR10&gt;=DT$17,DR10&lt;&gt;"",DU10&gt;=DT$20,DU10&lt;&gt;""),AND(EM10&gt;=EO$17,EM10&lt;&gt;"",EP10&gt;=EO$20,EP10&lt;&gt;""),AND(FH10&gt;=FJ$17,FH10&lt;&gt;"",FK10&gt;=FJ$20,FK10&lt;&gt;""),AND(GC10&gt;=GE$17,GC10&lt;&gt;"",GF10&gt;=GE$20,GF10&lt;&gt;""),AND(GX10&gt;=GZ$17,GX10&lt;&gt;"",HA10&gt;=GZ$20,HA10&lt;&gt;""),AND(HS10&gt;=HU$17,HS10&lt;&gt;"",HV10&gt;=HU$20,HV10&lt;&gt;""),AND(IN10&gt;=IP$17,IN10&lt;&gt;"",IQ10&gt;=IP$20,IQ10&lt;&gt;""),AND(JI10&gt;=JK$17,JI10&lt;&gt;"",JL10&gt;=JK$20,JL10&lt;&gt;""),AND(KD10&gt;=KF$17,KD10&lt;&gt;"",KG10&gt;=KF$20,KG10&lt;&gt;""),AND(KY10&gt;=LA$17,KY10&lt;&gt;"",LB10&gt;=LA$20,LB10&lt;&gt;"")),"Excellence",IF(OR(AND(AH10&gt;=AK$16,AH10&lt;&gt;"",AJ10&gt;=AK$19,AJ10&lt;&gt;"",AG10=""),AND(BD10&gt;=BG$16,BD10&lt;&gt;"",BF10&gt;=BG$19,BF10&lt;&gt;"",BC10=""),AND(CA10&gt;=CD$16,CA10&lt;&gt;"",CC10&gt;=CD$19,CC10&lt;&gt;""),AND(CV10&gt;=CY$16,CV10&lt;&gt;"",CX10&gt;=CY$19,CX10&lt;&gt;""),AND(DQ10&gt;=DT$16,DQ10&lt;&gt;"",DS10&gt;=DT$19,DS10&lt;&gt;""),AND(EL10&gt;=EO$16,EL10&lt;&gt;"",EN10&gt;=EO$19,EN10&lt;&gt;""),AND(FG10&gt;=FJ$16,FG10&lt;&gt;"",FI10&gt;=FJ$19,FI10&lt;&gt;""),AND(GB10&gt;=GE$16,GB10&lt;&gt;"",GD10&gt;=GE$19,GD10&lt;&gt;""),AND(GW10&gt;=GZ$16,GW10&lt;&gt;"",GY10&gt;=GZ$19,GY10&lt;&gt;""),AND(HR10&gt;=HU$16,HR10&lt;&gt;"",HT10&gt;=HU$19,HT10&lt;&gt;""),AND(IM10&gt;=IP$16,IM10&lt;&gt;"",IO10&gt;=IP$19,IO10&lt;&gt;""),AND(JH10&gt;=JK$16,JH10&lt;&gt;"",JJ10&gt;=JK$19,JJ10&lt;&gt;""),AND(KC10&gt;=KF$16,KC10&lt;&gt;"",KE10&gt;=KF$19,KE10&lt;&gt;""),AND(KX10&gt;=LA$16,KX10&lt;&gt;"",KZ10&gt;=LA$19,KZ10&lt;&gt;"")),"Worlds Team",IF(OR(AND(AH10&gt;=AK$15,AH10&lt;&gt;"",AJ10&gt;=AK$18,AJ10&lt;&gt;"",AG10=""),AND(BD10&gt;=BG$15,BD10&lt;&gt;"",BF10&gt;=BG$18,BF10&lt;&gt;"",BC10=""),AND(CA10&gt;=CD$15,CA10&lt;&gt;"",CC10&gt;=CD$18,CC10&lt;&gt;""),AND(CV10&gt;=CY$15,CV10&lt;&gt;"",CX10&gt;=CY$18,CX10&lt;&gt;""),AND(DQ10&gt;=DT$15,DQ10&lt;&gt;"",DS10&gt;=DT$18,DS10&lt;&gt;""),AND(EL10&gt;=EO$15,EL10&lt;&gt;"",EN10&gt;=EO$18,EN10&lt;&gt;""),AND(FG10&gt;=FJ$15,FG10&lt;&gt;"",FI10&gt;=FJ$18,FI10&lt;&gt;""),AND(GB10&gt;=GE$15,GB10&lt;&gt;"",GD10&gt;=GE$18,GD10&lt;&gt;""),AND(GW10&gt;=GZ$15,GW10&lt;&gt;"",GY10&gt;=GZ$18,GY10&lt;&gt;""),AND(HR10&gt;=HU$15,HR10&lt;&gt;"",HT10&gt;=HU$18,HT10&lt;&gt;""),AND(IM10&gt;=IP$15,IM10&lt;&gt;"",IO10&gt;=IP$18,IO10&lt;&gt;""),AND(JH10&gt;=JK$15,JH10&lt;&gt;"",JJ10&gt;=JK$18,JJ10&lt;&gt;""),AND(KC10&gt;=KF$15,KC10&lt;&gt;"",KE10&gt;=KF$18,KE10&lt;&gt;""),AND(KX10&gt;=LA$15,KX10&lt;&gt;"",KZ10&gt;=LA$18,KZ10&lt;&gt;"")),"National Team","")))))</f>
        <v>No DD</v>
      </c>
      <c r="J10" s="15">
        <f>IF(MAX(AL10,BH10)&gt;0,MAX(AL10,BH10),"")</f>
        <v>125.20000000000002</v>
      </c>
      <c r="K10" s="15" t="str">
        <f>IF(J10="","",IF(J10=BH10,$AM$1,IF(J10=AL10,$Q$1,"")))</f>
        <v>2019 Elite Canada</v>
      </c>
      <c r="L10" s="15">
        <f>IF(J10=AL10,IF(MAX(BF10,BG10)&gt;0,MAX(BF10,BG10),""),IF(J10=BH10,IF(MAX(AJ10,AK10)&gt;0,MAX(AJ10,AK10),""),MAX(AJ10,AK10,BF10,BG10)))</f>
        <v>28.5</v>
      </c>
      <c r="M10" s="15" t="str">
        <f>IF(L10="","",IF(AND(J10&lt;&gt;BH10,OR(L10=BG10,L10=BF10)),$AM$1,IF(OR(L10=AK10,L10=AJ10),$Q$1,"")))</f>
        <v>2019 Nationals</v>
      </c>
      <c r="N10" s="15" t="str">
        <f>IF(MAX(BI10:BJ10)&gt;0,MAX(BI10:BJ10),"")</f>
        <v/>
      </c>
      <c r="O10" s="25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63">
        <v>27.8</v>
      </c>
      <c r="R10" s="63">
        <v>6.8</v>
      </c>
      <c r="S10" s="63">
        <v>0</v>
      </c>
      <c r="T10" s="63">
        <v>0</v>
      </c>
      <c r="U10" s="63">
        <v>27.9</v>
      </c>
      <c r="V10" s="63">
        <v>6.4</v>
      </c>
      <c r="W10" s="63">
        <v>0</v>
      </c>
      <c r="X10" s="63">
        <v>0</v>
      </c>
      <c r="Y10" s="63">
        <v>22.7</v>
      </c>
      <c r="Z10" s="63">
        <v>3.2</v>
      </c>
      <c r="AA10" s="63">
        <v>0.3</v>
      </c>
      <c r="AB10" s="63">
        <v>0</v>
      </c>
      <c r="AC10" s="63">
        <v>26.6</v>
      </c>
      <c r="AD10" s="63">
        <v>5.6</v>
      </c>
      <c r="AE10" s="63">
        <v>1.5</v>
      </c>
      <c r="AF10" s="63">
        <v>0</v>
      </c>
      <c r="AG10" s="74"/>
      <c r="AH10" s="12">
        <f>IF(SUM(R10,V10)&gt;0,SUM(R10,V10),"")</f>
        <v>13.2</v>
      </c>
      <c r="AI10" s="12">
        <f>IF(SUM(R10,V10,Z10,AD10)&gt;0,SUM(R10,V10,Z10,AD10),"")</f>
        <v>22</v>
      </c>
      <c r="AJ10" s="12">
        <f>IF(SUM(Q10:R10,T10:V10,X10)-SUM(S10,W10)&gt;0,SUM(Q10:R10,T10:V10,X10)-SUM(S10,W10),"")</f>
        <v>68.900000000000006</v>
      </c>
      <c r="AK10" s="12">
        <f>IF(SUM(Y10:Z10,AB10:AD10,AF10)-SUM(AA10,AE10)&gt;0,SUM(Y10:Z10,AB10:AD10,AF10)-SUM(AA10,AE10),"")</f>
        <v>56.300000000000004</v>
      </c>
      <c r="AL10" s="12">
        <f>IF(SUM(AJ10,AK10)&gt;0,SUM(AJ10,AK10),"")</f>
        <v>125.20000000000002</v>
      </c>
      <c r="AM10" s="37">
        <v>0</v>
      </c>
      <c r="AN10" s="37">
        <v>0</v>
      </c>
      <c r="AO10" s="37">
        <v>0</v>
      </c>
      <c r="AP10" s="37">
        <v>0</v>
      </c>
      <c r="AQ10" s="37">
        <v>20.100000000000001</v>
      </c>
      <c r="AR10" s="37">
        <v>8.4</v>
      </c>
      <c r="AS10" s="37">
        <v>0</v>
      </c>
      <c r="AT10" s="37">
        <v>0</v>
      </c>
      <c r="AU10" s="37"/>
      <c r="AV10" s="37"/>
      <c r="AW10" s="37"/>
      <c r="AX10" s="37"/>
      <c r="AY10" s="37"/>
      <c r="AZ10" s="37"/>
      <c r="BA10" s="37"/>
      <c r="BB10" s="37"/>
      <c r="BC10" s="75"/>
      <c r="BD10" s="15">
        <f>IF(SUM(AN10,AR10)&gt;0,SUM(AN10,AR10),"")</f>
        <v>8.4</v>
      </c>
      <c r="BE10" s="15">
        <f>IF(SUM(AN10,AR10,AV10,AZ10)&gt;0,SUM(AN10,AR10,AV10,AZ10),"")</f>
        <v>8.4</v>
      </c>
      <c r="BF10" s="15">
        <f>IF(SUM(AM10:AN10,AP10:AR10,AT10)-SUM(AO10,AS10)&gt;0,SUM(AM10:AN10,AP10:AR10,AT10)-SUM(AO10,AS10),"")</f>
        <v>28.5</v>
      </c>
      <c r="BG10" s="15" t="str">
        <f>IF(SUM(AU10:AV10,AX10:AZ10,BB10)-SUM(AW10,BA10)&gt;0,SUM(AU10:AV10,AX10:AZ10,BB10)-SUM(AW10,BA10),"")</f>
        <v/>
      </c>
      <c r="BH10" s="15">
        <f>IF(SUM(BF10,BG10)&gt;0,SUM(BF10,BG10),"")</f>
        <v>28.5</v>
      </c>
      <c r="BI10" s="24" t="str">
        <f>IF(MAX(CE10,CZ10,DU10,EP10,FK10,GF10,HA10,HV10,IQ10,JL10,KG10,LB10)-IF(J10="",0,J10)&gt;0.001,MAX(CE10,CZ10,DU10,EP10,FK10,GF10,HA10,HV10,IQ10,JL10,KG10,LB10)-IF(J10="",0,J10),"")</f>
        <v/>
      </c>
      <c r="BJ10" s="24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63">
        <f t="shared" si="6"/>
        <v>13.9</v>
      </c>
      <c r="LD10" s="63">
        <f t="shared" si="0"/>
        <v>3.4</v>
      </c>
      <c r="LE10" s="63">
        <f t="shared" si="0"/>
        <v>0</v>
      </c>
      <c r="LF10" s="63">
        <f t="shared" si="0"/>
        <v>0</v>
      </c>
      <c r="LG10" s="63">
        <f t="shared" si="0"/>
        <v>24</v>
      </c>
      <c r="LH10" s="63">
        <f t="shared" si="0"/>
        <v>7.4</v>
      </c>
      <c r="LI10" s="63">
        <f t="shared" si="0"/>
        <v>0</v>
      </c>
      <c r="LJ10" s="63">
        <f t="shared" si="0"/>
        <v>0</v>
      </c>
      <c r="LK10" s="63">
        <f t="shared" si="0"/>
        <v>11.35</v>
      </c>
      <c r="LL10" s="63">
        <f t="shared" si="0"/>
        <v>1.6</v>
      </c>
      <c r="LM10" s="63">
        <f t="shared" si="0"/>
        <v>0.15</v>
      </c>
      <c r="LN10" s="63">
        <f t="shared" si="0"/>
        <v>0</v>
      </c>
      <c r="LO10" s="63">
        <f t="shared" si="0"/>
        <v>13.3</v>
      </c>
      <c r="LP10" s="63">
        <f t="shared" si="0"/>
        <v>2.8</v>
      </c>
      <c r="LQ10" s="63">
        <f t="shared" si="0"/>
        <v>0.75</v>
      </c>
      <c r="LR10" s="63">
        <f t="shared" si="0"/>
        <v>0</v>
      </c>
      <c r="LS10" s="74" t="s">
        <v>81</v>
      </c>
      <c r="LT10" s="12">
        <f t="shared" si="7"/>
        <v>10.8</v>
      </c>
      <c r="LU10" s="12">
        <f t="shared" si="8"/>
        <v>15.2</v>
      </c>
      <c r="LV10" s="12">
        <f t="shared" si="9"/>
        <v>48.699999999999996</v>
      </c>
      <c r="LW10" s="12">
        <f t="shared" si="10"/>
        <v>28.150000000000002</v>
      </c>
      <c r="LX10" s="12">
        <f t="shared" si="11"/>
        <v>76.849999999999994</v>
      </c>
    </row>
    <row r="11" spans="1:336" x14ac:dyDescent="0.2">
      <c r="A11" s="6" t="str">
        <f>IF(AND(F11="P",H11="P"),SUMPRODUCT((F$4:F$13="P")*(H$4:H$13="P")*(E$4:E$13&gt;E11))+1,IF(H11="P",SUMPRODUCT((F$4:F$13="")*(H$4:H$13="P")*(E$4:E$13&gt;E11))+1+SUMPRODUCT((F$4:F$13="P")*(H$4:H$13="P")),""))</f>
        <v/>
      </c>
      <c r="B11" s="9" t="s">
        <v>71</v>
      </c>
      <c r="C11" s="5" t="s">
        <v>4</v>
      </c>
      <c r="D11" s="6">
        <v>2002</v>
      </c>
      <c r="E11" s="16">
        <f>SUM(J11:N11)</f>
        <v>147.20000000000002</v>
      </c>
      <c r="F11" s="4" t="str">
        <f>IF(OR(AND(AH11&gt;=AK$15,AJ11&gt;=AK$18,AJ11&lt;&gt;"",AG11=""),AND(BD11&gt;=BG$15,BF11&gt;=BG$18,BF11&lt;&gt;"",BC11=""),AND(CA11&gt;=CD$15,CC11&gt;=CD$18,CC11&lt;&gt;""),AND(CV11&gt;=CY$15,CX11&gt;=CY$18,CX11&lt;&gt;""),AND(DQ11&gt;=DT$15,DS11&gt;=DT$18,DS11&lt;&gt;""),AND(EL11&gt;=EO$15,EN11&gt;=EO$18,EN11&lt;&gt;""),AND(FG11&gt;=FJ$15,FI11&gt;=FJ$18,FI11&lt;&gt;""),AND(GB11&gt;=GE$15,GD11&gt;=GE$18,GD11&lt;&gt;""),AND(GW11&gt;=GZ$15,GY11&gt;=GZ$18,GY11&lt;&gt;""),AND(HR11&gt;=HU$15,HT11&gt;=HU$18,HT11&lt;&gt;""),AND(IM11&gt;=IP$15,IO11&gt;=IP$18,IO11&lt;&gt;""),AND(JH11&gt;=JK$15,JJ11&gt;=JK$18,JJ11&lt;&gt;""),AND(KC11&gt;=KF$15,KE11&gt;=KF$18,KE11&lt;&gt;""),AND(KX11&gt;=LA$15,KZ11&gt;=LA$18,KZ11&lt;&gt;"")),"P","")</f>
        <v/>
      </c>
      <c r="G11" s="4" t="str">
        <f>IF(OR(AND(AH11&gt;=AK$16,AJ11&gt;=AK$19,AJ11&lt;&gt;"",AG11=""),AND(BD11&gt;=BG$16,BF11&gt;=BG$19,BF11&lt;&gt;"",BC11=""),AND(CA11&gt;=CD$16,CC11&gt;=CD$19,CC11&lt;&gt;""),AND(CV11&gt;=CY$16,CX11&gt;=CY$19,CX11&lt;&gt;""),AND(DQ11&gt;=DT$16,DS11&gt;=DT$19,DS11&lt;&gt;""),AND(EL11&gt;=EO$16,EN11&gt;=EO$19,EN11&lt;&gt;""),AND(FG11&gt;=FJ$16,FI11&gt;=FJ$19,FI11&lt;&gt;""),AND(GB11&gt;=GE$16,GD11&gt;=GE$19,GD11&lt;&gt;""),AND(GW11&gt;=GZ$16,GY11&gt;=GZ$19,GY11&lt;&gt;""),AND(HR11&gt;=HU$16,HT11&gt;=HU$19,HT11&lt;&gt;""),AND(IM11&gt;=IP$16,IO11&gt;=IP$19,IO11&lt;&gt;""),AND(JH11&gt;=JK$16,JJ11&gt;=JK$19,JJ11&lt;&gt;""),AND(KC11&gt;=KF$16,KE11&gt;=KF$19,KE11&lt;&gt;""),AND(KX11&gt;=LA$16,KZ11&gt;=LA$19,KZ11&lt;&gt;"")),"P","")</f>
        <v/>
      </c>
      <c r="H11" s="4" t="str">
        <f>IF(OR(AND(AJ11&gt;=AK$18,AJ11&lt;&gt;"",AG11=""),AND(BF11&gt;=BG$18,BF11&lt;&gt;"",BC11=""),AND(CC11&gt;=CD$18,CC11&lt;&gt;""),AND(CX11&gt;=CY$18,CX11&lt;&gt;""),AND(DS11&gt;=DT$18,DS11&lt;&gt;""),AND(EN11&gt;=EO$18,EN11&lt;&gt;""),AND(FI11&gt;=FJ$18,FI11&lt;&gt;""),AND(GD11&gt;=GE$18,GD11&lt;&gt;""),AND(GY11&gt;=GZ$18,GY11&lt;&gt;""),AND(HT11&gt;=HU$18,HT11&lt;&gt;""),AND(IO11&gt;=IP$18,IO11&lt;&gt;""),AND(JJ11&gt;=JK$18,JJ11&lt;&gt;""),AND(KE11&gt;=KF$18,KE11&lt;&gt;""),AND(KZ11&gt;=LA$18,KZ11&lt;&gt;"")),"P","")</f>
        <v/>
      </c>
      <c r="I11" t="str">
        <f>IF(AND(H11="P",F11=""),"No DD",IF(OR(AND(AI11&gt;=AK$17,AI11&lt;&gt;"",AL11&gt;=AK$21,AL11&lt;&gt;"",AG11=""),AND(BE11&gt;=BG$17,BE11&lt;&gt;"",BH11&gt;=BG$21,BH11&lt;&gt;"",BC11=""),AND(CB11&gt;=CD$17,CB11&lt;&gt;"",CE11&gt;=CD$21,CE11&lt;&gt;""),AND(CW11&gt;=CY$17,CW11&lt;&gt;"",CZ11&gt;=CY$21,CZ11&lt;&gt;""),AND(DR11&gt;=DT$17,DR11&lt;&gt;"",DU11&gt;=DT$21,DU11&lt;&gt;""),AND(EM11&gt;=EO$17,EM11&lt;&gt;"",EP11&gt;=EO$21,EP11&lt;&gt;""),AND(FH11&gt;=FJ$17,FH11&lt;&gt;"",FK11&gt;=FJ$21,FK11&lt;&gt;""),AND(GC11&gt;=GE$17,GC11&lt;&gt;"",GF11&gt;=GE$21,GF11&lt;&gt;""),AND(GX11&gt;=GZ$17,GX11&lt;&gt;"",HA11&gt;=GZ$21,HA11&lt;&gt;""),AND(HS11&gt;=HU$17,HS11&lt;&gt;"",HV11&gt;=HU$21,HV11&lt;&gt;""),AND(IN11&gt;=IP$17,IN11&lt;&gt;"",IQ11&gt;=IP$21,IQ11&lt;&gt;""),AND(JI11&gt;=JK$17,JI11&lt;&gt;"",JL11&gt;=JK$21,JL11&lt;&gt;""),AND(KD11&gt;=KF$17,KD11&lt;&gt;"",KG11&gt;=KF$21,KG11&lt;&gt;""),AND(KY11&gt;=LA$17,KY11&lt;&gt;"",LB11&gt;=LA$21,LB11&lt;&gt;"")),"Merit",IF(OR(AND(AI11&gt;=AK$17,AI11&lt;&gt;"",AL11&gt;=AK$20,AL11&lt;&gt;"",AG11=""),AND(BE11&gt;=BG$17,BE11&lt;&gt;"",BH11&gt;=BG$20,BH11&lt;&gt;"",BC11=""),AND(CB11&gt;=CD$17,CB11&lt;&gt;"",CE11&gt;=CD$20,CE11&lt;&gt;""),AND(CW11&gt;=CY$17,CW11&lt;&gt;"",CZ11&gt;=CY$20,CZ11&lt;&gt;""),AND(DR11&gt;=DT$17,DR11&lt;&gt;"",DU11&gt;=DT$20,DU11&lt;&gt;""),AND(EM11&gt;=EO$17,EM11&lt;&gt;"",EP11&gt;=EO$20,EP11&lt;&gt;""),AND(FH11&gt;=FJ$17,FH11&lt;&gt;"",FK11&gt;=FJ$20,FK11&lt;&gt;""),AND(GC11&gt;=GE$17,GC11&lt;&gt;"",GF11&gt;=GE$20,GF11&lt;&gt;""),AND(GX11&gt;=GZ$17,GX11&lt;&gt;"",HA11&gt;=GZ$20,HA11&lt;&gt;""),AND(HS11&gt;=HU$17,HS11&lt;&gt;"",HV11&gt;=HU$20,HV11&lt;&gt;""),AND(IN11&gt;=IP$17,IN11&lt;&gt;"",IQ11&gt;=IP$20,IQ11&lt;&gt;""),AND(JI11&gt;=JK$17,JI11&lt;&gt;"",JL11&gt;=JK$20,JL11&lt;&gt;""),AND(KD11&gt;=KF$17,KD11&lt;&gt;"",KG11&gt;=KF$20,KG11&lt;&gt;""),AND(KY11&gt;=LA$17,KY11&lt;&gt;"",LB11&gt;=LA$20,LB11&lt;&gt;"")),"Excellence",IF(OR(AND(AH11&gt;=AK$16,AH11&lt;&gt;"",AJ11&gt;=AK$19,AJ11&lt;&gt;"",AG11=""),AND(BD11&gt;=BG$16,BD11&lt;&gt;"",BF11&gt;=BG$19,BF11&lt;&gt;"",BC11=""),AND(CA11&gt;=CD$16,CA11&lt;&gt;"",CC11&gt;=CD$19,CC11&lt;&gt;""),AND(CV11&gt;=CY$16,CV11&lt;&gt;"",CX11&gt;=CY$19,CX11&lt;&gt;""),AND(DQ11&gt;=DT$16,DQ11&lt;&gt;"",DS11&gt;=DT$19,DS11&lt;&gt;""),AND(EL11&gt;=EO$16,EL11&lt;&gt;"",EN11&gt;=EO$19,EN11&lt;&gt;""),AND(FG11&gt;=FJ$16,FG11&lt;&gt;"",FI11&gt;=FJ$19,FI11&lt;&gt;""),AND(GB11&gt;=GE$16,GB11&lt;&gt;"",GD11&gt;=GE$19,GD11&lt;&gt;""),AND(GW11&gt;=GZ$16,GW11&lt;&gt;"",GY11&gt;=GZ$19,GY11&lt;&gt;""),AND(HR11&gt;=HU$16,HR11&lt;&gt;"",HT11&gt;=HU$19,HT11&lt;&gt;""),AND(IM11&gt;=IP$16,IM11&lt;&gt;"",IO11&gt;=IP$19,IO11&lt;&gt;""),AND(JH11&gt;=JK$16,JH11&lt;&gt;"",JJ11&gt;=JK$19,JJ11&lt;&gt;""),AND(KC11&gt;=KF$16,KC11&lt;&gt;"",KE11&gt;=KF$19,KE11&lt;&gt;""),AND(KX11&gt;=LA$16,KX11&lt;&gt;"",KZ11&gt;=LA$19,KZ11&lt;&gt;"")),"Worlds Team",IF(OR(AND(AH11&gt;=AK$15,AH11&lt;&gt;"",AJ11&gt;=AK$18,AJ11&lt;&gt;"",AG11=""),AND(BD11&gt;=BG$15,BD11&lt;&gt;"",BF11&gt;=BG$18,BF11&lt;&gt;"",BC11=""),AND(CA11&gt;=CD$15,CA11&lt;&gt;"",CC11&gt;=CD$18,CC11&lt;&gt;""),AND(CV11&gt;=CY$15,CV11&lt;&gt;"",CX11&gt;=CY$18,CX11&lt;&gt;""),AND(DQ11&gt;=DT$15,DQ11&lt;&gt;"",DS11&gt;=DT$18,DS11&lt;&gt;""),AND(EL11&gt;=EO$15,EL11&lt;&gt;"",EN11&gt;=EO$18,EN11&lt;&gt;""),AND(FG11&gt;=FJ$15,FG11&lt;&gt;"",FI11&gt;=FJ$18,FI11&lt;&gt;""),AND(GB11&gt;=GE$15,GB11&lt;&gt;"",GD11&gt;=GE$18,GD11&lt;&gt;""),AND(GW11&gt;=GZ$15,GW11&lt;&gt;"",GY11&gt;=GZ$18,GY11&lt;&gt;""),AND(HR11&gt;=HU$15,HR11&lt;&gt;"",HT11&gt;=HU$18,HT11&lt;&gt;""),AND(IM11&gt;=IP$15,IM11&lt;&gt;"",IO11&gt;=IP$18,IO11&lt;&gt;""),AND(JH11&gt;=JK$15,JH11&lt;&gt;"",JJ11&gt;=JK$18,JJ11&lt;&gt;""),AND(KC11&gt;=KF$15,KC11&lt;&gt;"",KE11&gt;=KF$18,KE11&lt;&gt;""),AND(KX11&gt;=LA$15,KX11&lt;&gt;"",KZ11&gt;=LA$18,KZ11&lt;&gt;"")),"National Team","")))))</f>
        <v/>
      </c>
      <c r="J11" s="15">
        <f>IF(MAX(AL11,BH11)&gt;0,MAX(AL11,BH11),"")</f>
        <v>114.20000000000002</v>
      </c>
      <c r="K11" s="15" t="str">
        <f>IF(J11="","",IF(J11=BH11,$AM$1,IF(J11=AL11,$Q$1,"")))</f>
        <v>2019 Nationals</v>
      </c>
      <c r="L11" s="15">
        <f>IF(J11=AL11,IF(MAX(BF11,BG11)&gt;0,MAX(BF11,BG11),""),IF(J11=BH11,IF(MAX(AJ11,AK11)&gt;0,MAX(AJ11,AK11),""),MAX(AJ11,AK11,BF11,BG11)))</f>
        <v>33</v>
      </c>
      <c r="M11" s="15" t="str">
        <f>IF(L11="","",IF(AND(J11&lt;&gt;BH11,OR(L11=BG11,L11=BF11)),$AM$1,IF(OR(L11=AK11,L11=AJ11),$Q$1,"")))</f>
        <v>2019 Elite Canada</v>
      </c>
      <c r="N11" s="15" t="str">
        <f>IF(MAX(BI11:BJ11)&gt;0,MAX(BI11:BJ11),"")</f>
        <v/>
      </c>
      <c r="O11" s="25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63">
        <v>0</v>
      </c>
      <c r="R11" s="63">
        <v>0</v>
      </c>
      <c r="S11" s="63">
        <v>0</v>
      </c>
      <c r="T11" s="63">
        <v>0</v>
      </c>
      <c r="U11" s="63">
        <v>27.7</v>
      </c>
      <c r="V11" s="63">
        <v>6.8</v>
      </c>
      <c r="W11" s="63">
        <v>1.5</v>
      </c>
      <c r="X11" s="63">
        <v>0</v>
      </c>
      <c r="Y11" s="63"/>
      <c r="Z11" s="63"/>
      <c r="AA11" s="63"/>
      <c r="AB11" s="63"/>
      <c r="AC11" s="63"/>
      <c r="AD11" s="63"/>
      <c r="AE11" s="63"/>
      <c r="AF11" s="63"/>
      <c r="AG11" s="74"/>
      <c r="AH11" s="12">
        <f>IF(SUM(R11,V11)&gt;0,SUM(R11,V11),"")</f>
        <v>6.8</v>
      </c>
      <c r="AI11" s="12">
        <f>IF(SUM(R11,V11,Z11,AD11)&gt;0,SUM(R11,V11,Z11,AD11),"")</f>
        <v>6.8</v>
      </c>
      <c r="AJ11" s="12">
        <f>IF(SUM(Q11:R11,T11:V11,X11)-SUM(S11,W11)&gt;0,SUM(Q11:R11,T11:V11,X11)-SUM(S11,W11),"")</f>
        <v>33</v>
      </c>
      <c r="AK11" s="12" t="str">
        <f>IF(SUM(Y11:Z11,AB11:AD11,AF11)-SUM(AA11,AE11)&gt;0,SUM(Y11:Z11,AB11:AD11,AF11)-SUM(AA11,AE11),"")</f>
        <v/>
      </c>
      <c r="AL11" s="12">
        <f>IF(SUM(AJ11,AK11)&gt;0,SUM(AJ11,AK11),"")</f>
        <v>33</v>
      </c>
      <c r="AM11" s="37">
        <v>27.4</v>
      </c>
      <c r="AN11" s="37">
        <v>7.2</v>
      </c>
      <c r="AO11" s="37">
        <v>0.3</v>
      </c>
      <c r="AP11" s="37">
        <v>0</v>
      </c>
      <c r="AQ11" s="37">
        <v>19.8</v>
      </c>
      <c r="AR11" s="37">
        <v>3.2</v>
      </c>
      <c r="AS11" s="37">
        <v>0.9</v>
      </c>
      <c r="AT11" s="37">
        <v>0</v>
      </c>
      <c r="AU11" s="37">
        <v>27.9</v>
      </c>
      <c r="AV11" s="37">
        <v>7.6</v>
      </c>
      <c r="AW11" s="37">
        <v>0.3</v>
      </c>
      <c r="AX11" s="37">
        <v>0</v>
      </c>
      <c r="AY11" s="37">
        <v>20.2</v>
      </c>
      <c r="AZ11" s="37">
        <v>2.4</v>
      </c>
      <c r="BA11" s="37">
        <v>0</v>
      </c>
      <c r="BB11" s="37">
        <v>0</v>
      </c>
      <c r="BC11" s="75"/>
      <c r="BD11" s="15">
        <f>IF(SUM(AN11,AR11)&gt;0,SUM(AN11,AR11),"")</f>
        <v>10.4</v>
      </c>
      <c r="BE11" s="15">
        <f>IF(SUM(AN11,AR11,AV11,AZ11)&gt;0,SUM(AN11,AR11,AV11,AZ11),"")</f>
        <v>20.399999999999999</v>
      </c>
      <c r="BF11" s="15">
        <f>IF(SUM(AM11:AN11,AP11:AR11,AT11)-SUM(AO11,AS11)&gt;0,SUM(AM11:AN11,AP11:AR11,AT11)-SUM(AO11,AS11),"")</f>
        <v>56.400000000000006</v>
      </c>
      <c r="BG11" s="15">
        <f>IF(SUM(AU11:AV11,AX11:AZ11,BB11)-SUM(AW11,BA11)&gt;0,SUM(AU11:AV11,AX11:AZ11,BB11)-SUM(AW11,BA11),"")</f>
        <v>57.800000000000004</v>
      </c>
      <c r="BH11" s="15">
        <f>IF(SUM(BF11,BG11)&gt;0,SUM(BF11,BG11),"")</f>
        <v>114.20000000000002</v>
      </c>
      <c r="BI11" s="24" t="str">
        <f>IF(MAX(CE11,CZ11,DU11,EP11,FK11,GF11,HA11,HV11,IQ11,JL11,KG11,LB11)-IF(J11="",0,J11)&gt;0.001,MAX(CE11,CZ11,DU11,EP11,FK11,GF11,HA11,HV11,IQ11,JL11,KG11,LB11)-IF(J11="",0,J11),"")</f>
        <v/>
      </c>
      <c r="BJ11" s="24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63">
        <f t="shared" si="6"/>
        <v>13.7</v>
      </c>
      <c r="LD11" s="63">
        <f t="shared" si="0"/>
        <v>3.6</v>
      </c>
      <c r="LE11" s="63">
        <f t="shared" si="0"/>
        <v>0.15</v>
      </c>
      <c r="LF11" s="63">
        <f t="shared" si="0"/>
        <v>0</v>
      </c>
      <c r="LG11" s="63">
        <f t="shared" si="0"/>
        <v>23.75</v>
      </c>
      <c r="LH11" s="63">
        <f t="shared" si="0"/>
        <v>5</v>
      </c>
      <c r="LI11" s="63">
        <f t="shared" si="0"/>
        <v>1.2</v>
      </c>
      <c r="LJ11" s="63">
        <f t="shared" si="0"/>
        <v>0</v>
      </c>
      <c r="LK11" s="63">
        <f t="shared" si="0"/>
        <v>13.95</v>
      </c>
      <c r="LL11" s="63">
        <f t="shared" si="0"/>
        <v>3.8</v>
      </c>
      <c r="LM11" s="63">
        <f t="shared" si="0"/>
        <v>0.15</v>
      </c>
      <c r="LN11" s="63">
        <f t="shared" si="0"/>
        <v>0</v>
      </c>
      <c r="LO11" s="63">
        <f t="shared" si="0"/>
        <v>10.1</v>
      </c>
      <c r="LP11" s="63">
        <f t="shared" si="0"/>
        <v>1.2</v>
      </c>
      <c r="LQ11" s="63">
        <f t="shared" si="0"/>
        <v>0</v>
      </c>
      <c r="LR11" s="63">
        <f t="shared" si="0"/>
        <v>0</v>
      </c>
      <c r="LS11" s="74" t="s">
        <v>81</v>
      </c>
      <c r="LT11" s="12">
        <f t="shared" ref="LT11" si="12">IF(SUM(LD11,LH11)&gt;0,SUM(LD11,LH11),"")</f>
        <v>8.6</v>
      </c>
      <c r="LU11" s="12">
        <f t="shared" ref="LU11" si="13">IF(SUM(LD11,LH11,LL11,LP11)&gt;0,SUM(LD11,LH11,LL11,LP11),"")</f>
        <v>13.599999999999998</v>
      </c>
      <c r="LV11" s="12">
        <f t="shared" ref="LV11" si="14">IF(SUM(LC11:LD11,LF11:LH11,LJ11)-SUM(LE11,LI11)&gt;0,SUM(LC11:LD11,LF11:LH11,LJ11)-SUM(LE11,LI11),"")</f>
        <v>44.699999999999996</v>
      </c>
      <c r="LW11" s="12">
        <f t="shared" ref="LW11" si="15">IF(SUM(LK11:LL11,LN11:LP11,LR11)-SUM(LM11,LQ11)&gt;0,SUM(LK11:LL11,LN11:LP11,LR11)-SUM(LM11,LQ11),"")</f>
        <v>28.900000000000002</v>
      </c>
      <c r="LX11" s="12">
        <f t="shared" ref="LX11" si="16">IF(SUM(LV11,LW11)&gt;0,SUM(LV11,LW11),"")</f>
        <v>73.599999999999994</v>
      </c>
    </row>
    <row r="12" spans="1:336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97</v>
      </c>
      <c r="C12" s="5" t="s">
        <v>5</v>
      </c>
      <c r="D12" s="6">
        <v>2003</v>
      </c>
      <c r="E12" s="16">
        <f>SUM(J12:N12)</f>
        <v>98.7</v>
      </c>
      <c r="F12" s="4" t="str">
        <f>IF(OR(AND(AH12&gt;=AK$15,AJ12&gt;=AK$18,AJ12&lt;&gt;"",AG12=""),AND(BD12&gt;=BG$15,BF12&gt;=BG$18,BF12&lt;&gt;"",BC12=""),AND(CA12&gt;=CD$15,CC12&gt;=CD$18,CC12&lt;&gt;""),AND(CV12&gt;=CY$15,CX12&gt;=CY$18,CX12&lt;&gt;""),AND(DQ12&gt;=DT$15,DS12&gt;=DT$18,DS12&lt;&gt;""),AND(EL12&gt;=EO$15,EN12&gt;=EO$18,EN12&lt;&gt;""),AND(FG12&gt;=FJ$15,FI12&gt;=FJ$18,FI12&lt;&gt;""),AND(GB12&gt;=GE$15,GD12&gt;=GE$18,GD12&lt;&gt;""),AND(GW12&gt;=GZ$15,GY12&gt;=GZ$18,GY12&lt;&gt;""),AND(HR12&gt;=HU$15,HT12&gt;=HU$18,HT12&lt;&gt;""),AND(IM12&gt;=IP$15,IO12&gt;=IP$18,IO12&lt;&gt;""),AND(JH12&gt;=JK$15,JJ12&gt;=JK$18,JJ12&lt;&gt;""),AND(KC12&gt;=KF$15,KE12&gt;=KF$18,KE12&lt;&gt;""),AND(KX12&gt;=LA$15,KZ12&gt;=LA$18,KZ12&lt;&gt;"")),"P","")</f>
        <v/>
      </c>
      <c r="G12" s="4" t="str">
        <f>IF(OR(AND(AH12&gt;=AK$16,AJ12&gt;=AK$19,AJ12&lt;&gt;"",AG12=""),AND(BD12&gt;=BG$16,BF12&gt;=BG$19,BF12&lt;&gt;"",BC12=""),AND(CA12&gt;=CD$16,CC12&gt;=CD$19,CC12&lt;&gt;""),AND(CV12&gt;=CY$16,CX12&gt;=CY$19,CX12&lt;&gt;""),AND(DQ12&gt;=DT$16,DS12&gt;=DT$19,DS12&lt;&gt;""),AND(EL12&gt;=EO$16,EN12&gt;=EO$19,EN12&lt;&gt;""),AND(FG12&gt;=FJ$16,FI12&gt;=FJ$19,FI12&lt;&gt;""),AND(GB12&gt;=GE$16,GD12&gt;=GE$19,GD12&lt;&gt;""),AND(GW12&gt;=GZ$16,GY12&gt;=GZ$19,GY12&lt;&gt;""),AND(HR12&gt;=HU$16,HT12&gt;=HU$19,HT12&lt;&gt;""),AND(IM12&gt;=IP$16,IO12&gt;=IP$19,IO12&lt;&gt;""),AND(JH12&gt;=JK$16,JJ12&gt;=JK$19,JJ12&lt;&gt;""),AND(KC12&gt;=KF$16,KE12&gt;=KF$19,KE12&lt;&gt;""),AND(KX12&gt;=LA$16,KZ12&gt;=LA$19,KZ12&lt;&gt;"")),"P","")</f>
        <v/>
      </c>
      <c r="H12" s="4" t="str">
        <f>IF(OR(AND(AJ12&gt;=AK$18,AJ12&lt;&gt;"",AG12=""),AND(BF12&gt;=BG$18,BF12&lt;&gt;"",BC12=""),AND(CC12&gt;=CD$18,CC12&lt;&gt;""),AND(CX12&gt;=CY$18,CX12&lt;&gt;""),AND(DS12&gt;=DT$18,DS12&lt;&gt;""),AND(EN12&gt;=EO$18,EN12&lt;&gt;""),AND(FI12&gt;=FJ$18,FI12&lt;&gt;""),AND(GD12&gt;=GE$18,GD12&lt;&gt;""),AND(GY12&gt;=GZ$18,GY12&lt;&gt;""),AND(HT12&gt;=HU$18,HT12&lt;&gt;""),AND(IO12&gt;=IP$18,IO12&lt;&gt;""),AND(JJ12&gt;=JK$18,JJ12&lt;&gt;""),AND(KE12&gt;=KF$18,KE12&lt;&gt;""),AND(KZ12&gt;=LA$18,KZ12&lt;&gt;"")),"P","")</f>
        <v/>
      </c>
      <c r="I12" t="str">
        <f>IF(AND(H12="P",F12=""),"No DD",IF(OR(AND(AI12&gt;=AK$17,AI12&lt;&gt;"",AL12&gt;=AK$21,AL12&lt;&gt;"",AG12=""),AND(BE12&gt;=BG$17,BE12&lt;&gt;"",BH12&gt;=BG$21,BH12&lt;&gt;"",BC12=""),AND(CB12&gt;=CD$17,CB12&lt;&gt;"",CE12&gt;=CD$21,CE12&lt;&gt;""),AND(CW12&gt;=CY$17,CW12&lt;&gt;"",CZ12&gt;=CY$21,CZ12&lt;&gt;""),AND(DR12&gt;=DT$17,DR12&lt;&gt;"",DU12&gt;=DT$21,DU12&lt;&gt;""),AND(EM12&gt;=EO$17,EM12&lt;&gt;"",EP12&gt;=EO$21,EP12&lt;&gt;""),AND(FH12&gt;=FJ$17,FH12&lt;&gt;"",FK12&gt;=FJ$21,FK12&lt;&gt;""),AND(GC12&gt;=GE$17,GC12&lt;&gt;"",GF12&gt;=GE$21,GF12&lt;&gt;""),AND(GX12&gt;=GZ$17,GX12&lt;&gt;"",HA12&gt;=GZ$21,HA12&lt;&gt;""),AND(HS12&gt;=HU$17,HS12&lt;&gt;"",HV12&gt;=HU$21,HV12&lt;&gt;""),AND(IN12&gt;=IP$17,IN12&lt;&gt;"",IQ12&gt;=IP$21,IQ12&lt;&gt;""),AND(JI12&gt;=JK$17,JI12&lt;&gt;"",JL12&gt;=JK$21,JL12&lt;&gt;""),AND(KD12&gt;=KF$17,KD12&lt;&gt;"",KG12&gt;=KF$21,KG12&lt;&gt;""),AND(KY12&gt;=LA$17,KY12&lt;&gt;"",LB12&gt;=LA$21,LB12&lt;&gt;"")),"Merit",IF(OR(AND(AI12&gt;=AK$17,AI12&lt;&gt;"",AL12&gt;=AK$20,AL12&lt;&gt;"",AG12=""),AND(BE12&gt;=BG$17,BE12&lt;&gt;"",BH12&gt;=BG$20,BH12&lt;&gt;"",BC12=""),AND(CB12&gt;=CD$17,CB12&lt;&gt;"",CE12&gt;=CD$20,CE12&lt;&gt;""),AND(CW12&gt;=CY$17,CW12&lt;&gt;"",CZ12&gt;=CY$20,CZ12&lt;&gt;""),AND(DR12&gt;=DT$17,DR12&lt;&gt;"",DU12&gt;=DT$20,DU12&lt;&gt;""),AND(EM12&gt;=EO$17,EM12&lt;&gt;"",EP12&gt;=EO$20,EP12&lt;&gt;""),AND(FH12&gt;=FJ$17,FH12&lt;&gt;"",FK12&gt;=FJ$20,FK12&lt;&gt;""),AND(GC12&gt;=GE$17,GC12&lt;&gt;"",GF12&gt;=GE$20,GF12&lt;&gt;""),AND(GX12&gt;=GZ$17,GX12&lt;&gt;"",HA12&gt;=GZ$20,HA12&lt;&gt;""),AND(HS12&gt;=HU$17,HS12&lt;&gt;"",HV12&gt;=HU$20,HV12&lt;&gt;""),AND(IN12&gt;=IP$17,IN12&lt;&gt;"",IQ12&gt;=IP$20,IQ12&lt;&gt;""),AND(JI12&gt;=JK$17,JI12&lt;&gt;"",JL12&gt;=JK$20,JL12&lt;&gt;""),AND(KD12&gt;=KF$17,KD12&lt;&gt;"",KG12&gt;=KF$20,KG12&lt;&gt;""),AND(KY12&gt;=LA$17,KY12&lt;&gt;"",LB12&gt;=LA$20,LB12&lt;&gt;"")),"Excellence",IF(OR(AND(AH12&gt;=AK$16,AH12&lt;&gt;"",AJ12&gt;=AK$19,AJ12&lt;&gt;"",AG12=""),AND(BD12&gt;=BG$16,BD12&lt;&gt;"",BF12&gt;=BG$19,BF12&lt;&gt;"",BC12=""),AND(CA12&gt;=CD$16,CA12&lt;&gt;"",CC12&gt;=CD$19,CC12&lt;&gt;""),AND(CV12&gt;=CY$16,CV12&lt;&gt;"",CX12&gt;=CY$19,CX12&lt;&gt;""),AND(DQ12&gt;=DT$16,DQ12&lt;&gt;"",DS12&gt;=DT$19,DS12&lt;&gt;""),AND(EL12&gt;=EO$16,EL12&lt;&gt;"",EN12&gt;=EO$19,EN12&lt;&gt;""),AND(FG12&gt;=FJ$16,FG12&lt;&gt;"",FI12&gt;=FJ$19,FI12&lt;&gt;""),AND(GB12&gt;=GE$16,GB12&lt;&gt;"",GD12&gt;=GE$19,GD12&lt;&gt;""),AND(GW12&gt;=GZ$16,GW12&lt;&gt;"",GY12&gt;=GZ$19,GY12&lt;&gt;""),AND(HR12&gt;=HU$16,HR12&lt;&gt;"",HT12&gt;=HU$19,HT12&lt;&gt;""),AND(IM12&gt;=IP$16,IM12&lt;&gt;"",IO12&gt;=IP$19,IO12&lt;&gt;""),AND(JH12&gt;=JK$16,JH12&lt;&gt;"",JJ12&gt;=JK$19,JJ12&lt;&gt;""),AND(KC12&gt;=KF$16,KC12&lt;&gt;"",KE12&gt;=KF$19,KE12&lt;&gt;""),AND(KX12&gt;=LA$16,KX12&lt;&gt;"",KZ12&gt;=LA$19,KZ12&lt;&gt;"")),"Worlds Team",IF(OR(AND(AH12&gt;=AK$15,AH12&lt;&gt;"",AJ12&gt;=AK$18,AJ12&lt;&gt;"",AG12=""),AND(BD12&gt;=BG$15,BD12&lt;&gt;"",BF12&gt;=BG$18,BF12&lt;&gt;"",BC12=""),AND(CA12&gt;=CD$15,CA12&lt;&gt;"",CC12&gt;=CD$18,CC12&lt;&gt;""),AND(CV12&gt;=CY$15,CV12&lt;&gt;"",CX12&gt;=CY$18,CX12&lt;&gt;""),AND(DQ12&gt;=DT$15,DQ12&lt;&gt;"",DS12&gt;=DT$18,DS12&lt;&gt;""),AND(EL12&gt;=EO$15,EL12&lt;&gt;"",EN12&gt;=EO$18,EN12&lt;&gt;""),AND(FG12&gt;=FJ$15,FG12&lt;&gt;"",FI12&gt;=FJ$18,FI12&lt;&gt;""),AND(GB12&gt;=GE$15,GB12&lt;&gt;"",GD12&gt;=GE$18,GD12&lt;&gt;""),AND(GW12&gt;=GZ$15,GW12&lt;&gt;"",GY12&gt;=GZ$18,GY12&lt;&gt;""),AND(HR12&gt;=HU$15,HR12&lt;&gt;"",HT12&gt;=HU$18,HT12&lt;&gt;""),AND(IM12&gt;=IP$15,IM12&lt;&gt;"",IO12&gt;=IP$18,IO12&lt;&gt;""),AND(JH12&gt;=JK$15,JH12&lt;&gt;"",JJ12&gt;=JK$18,JJ12&lt;&gt;""),AND(KC12&gt;=KF$15,KC12&lt;&gt;"",KE12&gt;=KF$18,KE12&lt;&gt;""),AND(KX12&gt;=LA$15,KX12&lt;&gt;"",KZ12&gt;=LA$18,KZ12&lt;&gt;"")),"National Team","")))))</f>
        <v/>
      </c>
      <c r="J12" s="15">
        <f>IF(MAX(AL12,BH12)&gt;0,MAX(AL12,BH12),"")</f>
        <v>98.7</v>
      </c>
      <c r="K12" s="15" t="str">
        <f>IF(J12="","",IF(J12=BH12,$AM$1,IF(J12=AL12,$Q$1,"")))</f>
        <v>2019 Nationals</v>
      </c>
      <c r="L12" s="15" t="str">
        <f>IF(J12=AL12,IF(MAX(BF12,BG12)&gt;0,MAX(BF12,BG12),""),IF(J12=BH12,IF(MAX(AJ12,AK12)&gt;0,MAX(AJ12,AK12),""),MAX(AJ12,AK12,BF12,BG12)))</f>
        <v/>
      </c>
      <c r="M12" s="15" t="str">
        <f>IF(L12="","",IF(AND(J12&lt;&gt;BH12,OR(L12=BG12,L12=BF12)),$AM$1,IF(OR(L12=AK12,L12=AJ12),$Q$1,"")))</f>
        <v/>
      </c>
      <c r="N12" s="15" t="str">
        <f>IF(MAX(BI12:BJ12)&gt;0,MAX(BI12:BJ12),"")</f>
        <v/>
      </c>
      <c r="O12" s="25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74"/>
      <c r="AH12" s="12" t="str">
        <f>IF(SUM(R12,V12)&gt;0,SUM(R12,V12),"")</f>
        <v/>
      </c>
      <c r="AI12" s="12" t="str">
        <f>IF(SUM(R12,V12,Z12,AD12)&gt;0,SUM(R12,V12,Z12,AD12),"")</f>
        <v/>
      </c>
      <c r="AJ12" s="12" t="str">
        <f>IF(SUM(Q12:R12,T12:V12,X12)-SUM(S12,W12)&gt;0,SUM(Q12:R12,T12:V12,X12)-SUM(S12,W12),"")</f>
        <v/>
      </c>
      <c r="AK12" s="12" t="str">
        <f>IF(SUM(Y12:Z12,AB12:AD12,AF12)-SUM(AA12,AE12)&gt;0,SUM(Y12:Z12,AB12:AD12,AF12)-SUM(AA12,AE12),"")</f>
        <v/>
      </c>
      <c r="AL12" s="12" t="str">
        <f>IF(SUM(AJ12,AK12)&gt;0,SUM(AJ12,AK12),"")</f>
        <v/>
      </c>
      <c r="AM12" s="37">
        <v>28</v>
      </c>
      <c r="AN12" s="37">
        <v>6.4</v>
      </c>
      <c r="AO12" s="37">
        <v>0</v>
      </c>
      <c r="AP12" s="37">
        <v>0</v>
      </c>
      <c r="AQ12" s="37">
        <v>27.2</v>
      </c>
      <c r="AR12" s="37">
        <v>6</v>
      </c>
      <c r="AS12" s="37">
        <v>0.3</v>
      </c>
      <c r="AT12" s="37">
        <v>0</v>
      </c>
      <c r="AU12" s="37">
        <v>0</v>
      </c>
      <c r="AV12" s="37">
        <v>0</v>
      </c>
      <c r="AW12" s="37">
        <v>0</v>
      </c>
      <c r="AX12" s="37">
        <v>0</v>
      </c>
      <c r="AY12" s="37">
        <v>24.8</v>
      </c>
      <c r="AZ12" s="37">
        <v>6.9</v>
      </c>
      <c r="BA12" s="37">
        <v>0.3</v>
      </c>
      <c r="BB12" s="37">
        <v>0</v>
      </c>
      <c r="BC12" s="75"/>
      <c r="BD12" s="15">
        <f>IF(SUM(AN12,AR12)&gt;0,SUM(AN12,AR12),"")</f>
        <v>12.4</v>
      </c>
      <c r="BE12" s="15">
        <f>IF(SUM(AN12,AR12,AV12,AZ12)&gt;0,SUM(AN12,AR12,AV12,AZ12),"")</f>
        <v>19.3</v>
      </c>
      <c r="BF12" s="15">
        <f>IF(SUM(AM12:AN12,AP12:AR12,AT12)-SUM(AO12,AS12)&gt;0,SUM(AM12:AN12,AP12:AR12,AT12)-SUM(AO12,AS12),"")</f>
        <v>67.3</v>
      </c>
      <c r="BG12" s="15">
        <f>IF(SUM(AU12:AV12,AX12:AZ12,BB12)-SUM(AW12,BA12)&gt;0,SUM(AU12:AV12,AX12:AZ12,BB12)-SUM(AW12,BA12),"")</f>
        <v>31.400000000000002</v>
      </c>
      <c r="BH12" s="15">
        <f>IF(SUM(BF12,BG12)&gt;0,SUM(BF12,BG12),"")</f>
        <v>98.7</v>
      </c>
      <c r="BI12" s="24" t="str">
        <f>IF(MAX(CE12,CZ12,DU12,EP12,FK12,GF12,HA12,HV12,IQ12,JL12,KG12,LB12)-IF(J12="",0,J12)&gt;0.001,MAX(CE12,CZ12,DU12,EP12,FK12,GF12,HA12,HV12,IQ12,JL12,KG12,LB12)-IF(J12="",0,J12),"")</f>
        <v/>
      </c>
      <c r="BJ12" s="24" t="str">
        <f>IF(MAX(CC12,CD12,CX12,CY12,DS12,DT12,EN12,EO12,FI12,FJ12,GD12,GE12,GY12,GZ12,HT12,HU12,IO12,IP12,JJ12,JK12,KE12,KF12,KZ12,LA12)-IF(L12="",0,L12)&gt;0.001,MAX(CC12,CD12,CX12,CY12,DS12,DT12,EN12,EO12,FI12,FJ12,GD12,GE12,GY12,GZ12,HT12,HU12,IO12,IP12,JJ12,JK12,KE12,KF12,KZ12,LA12)-IF(L12="",0,L12),"")</f>
        <v/>
      </c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12" t="str">
        <f>IF(SUM(BL12,BP12)&gt;0,SUM(BL12,BP12),"")</f>
        <v/>
      </c>
      <c r="CB12" s="12" t="str">
        <f>IF(SUM(BL12,BP12,BT12,BX12)&gt;0,SUM(BL12,BP12,BT12,BX12),"")</f>
        <v/>
      </c>
      <c r="CC12" s="12" t="str">
        <f>IF(SUM(BK12:BL12,BN12:BP12,BR12)-SUM(BM12,BQ12)&gt;0,SUM(BK12:BL12,BN12:BP12,BR12)-SUM(BM12,BQ12),"")</f>
        <v/>
      </c>
      <c r="CD12" s="12" t="str">
        <f>IF(SUM(BS12:BT12,BV12:BX12,BZ12)-SUM(BU12,BY12)&gt;0,SUM(BS12:BT12,BV12:BX12,BZ12)-SUM(BU12,BY12),"")</f>
        <v/>
      </c>
      <c r="CE12" s="12" t="str">
        <f>IF(SUM(CC12,CD12)&gt;0,SUM(CC12,CD12),"")</f>
        <v/>
      </c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15" t="str">
        <f>IF(SUM(CG12,CK12)&gt;0,SUM(CG12,CK12),"")</f>
        <v/>
      </c>
      <c r="CW12" s="15" t="str">
        <f>IF(SUM(CG12,CK12,CO12,CS12)&gt;0,SUM(CG12,CK12,CO12,CS12),"")</f>
        <v/>
      </c>
      <c r="CX12" s="15" t="str">
        <f>IF(SUM(CF12:CG12,CI12:CK12,CM12)-SUM(CH12,CL12)&gt;0,SUM(CF12:CG12,CI12:CK12,CM12)-SUM(CH12,CL12),"")</f>
        <v/>
      </c>
      <c r="CY12" s="15" t="str">
        <f>IF(SUM(CN12:CO12,CQ12:CS12,CU12)-SUM(CP12,CT12)&gt;0,SUM(CN12:CO12,CQ12:CS12,CU12)-SUM(CP12,CT12),"")</f>
        <v/>
      </c>
      <c r="CZ12" s="15" t="str">
        <f>IF(SUM(CX12,CY12)&gt;0,SUM(CX12,CY12),"")</f>
        <v/>
      </c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12" t="str">
        <f>IF(SUM(DB12,DF12)&gt;0,SUM(DB12,DF12),"")</f>
        <v/>
      </c>
      <c r="DR12" s="12" t="str">
        <f>IF(SUM(DB12,DF12,DJ12,DN12)&gt;0,SUM(DB12,DF12,DJ12,DN12),"")</f>
        <v/>
      </c>
      <c r="DS12" s="12" t="str">
        <f>IF(SUM(DA12:DB12,DD12:DF12,DH12)-SUM(DC12,DG12)&gt;0,SUM(DA12:DB12,DD12:DF12,DH12)-SUM(DC12,DG12),"")</f>
        <v/>
      </c>
      <c r="DT12" s="12" t="str">
        <f>IF(SUM(DI12:DJ12,DL12:DN12,DP12)-SUM(DK12,DO12)&gt;0,SUM(DI12:DJ12,DL12:DN12,DP12)-SUM(DK12,DO12),"")</f>
        <v/>
      </c>
      <c r="DU12" s="12" t="str">
        <f>IF(SUM(DS12,DT12)&gt;0,SUM(DS12,DT12),"")</f>
        <v/>
      </c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15" t="str">
        <f>IF(SUM(DW12,EA12)&gt;0,SUM(DW12,EA12),"")</f>
        <v/>
      </c>
      <c r="EM12" s="15" t="str">
        <f>IF(SUM(DW12,EA12,EE12,EI12)&gt;0,SUM(DW12,EA12,EE12,EI12),"")</f>
        <v/>
      </c>
      <c r="EN12" s="15" t="str">
        <f>IF(SUM(DV12:DW12,DY12:EA12,EC12)-SUM(DX12,EB12)&gt;0,SUM(DV12:DW12,DY12:EA12,EC12)-SUM(DX12,EB12),"")</f>
        <v/>
      </c>
      <c r="EO12" s="15" t="str">
        <f>IF(SUM(ED12:EE12,EG12:EI12,EK12)-SUM(EF12,EJ12)&gt;0,SUM(ED12:EE12,EG12:EI12,EK12)-SUM(EF12,EJ12),"")</f>
        <v/>
      </c>
      <c r="EP12" s="15" t="str">
        <f>IF(SUM(EN12,EO12)&gt;0,SUM(EN12,EO12),"")</f>
        <v/>
      </c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12" t="str">
        <f>IF(SUM(ER12,EV12)&gt;0,SUM(ER12,EV12),"")</f>
        <v/>
      </c>
      <c r="FH12" s="12" t="str">
        <f>IF(SUM(ER12,EV12,EZ12,FD12)&gt;0,SUM(ER12,EV12,EZ12,FD12),"")</f>
        <v/>
      </c>
      <c r="FI12" s="12" t="str">
        <f>IF(SUM(EQ12:ER12,ET12:EV12,EX12)-SUM(ES12,EW12)&gt;0,SUM(EQ12:ER12,ET12:EV12,EX12)-SUM(ES12,EW12),"")</f>
        <v/>
      </c>
      <c r="FJ12" s="12" t="str">
        <f>IF(SUM(EY12:EZ12,FB12:FD12,FF12)-SUM(FA12,FE12)&gt;0,SUM(EY12:EZ12,FB12:FD12,FF12)-SUM(FA12,FE12),"")</f>
        <v/>
      </c>
      <c r="FK12" s="12" t="str">
        <f>IF(SUM(FI12,FJ12)&gt;0,SUM(FI12,FJ12),"")</f>
        <v/>
      </c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15" t="str">
        <f>IF(SUM(FM12,FQ12)&gt;0,SUM(FM12,FQ12),"")</f>
        <v/>
      </c>
      <c r="GC12" s="15" t="str">
        <f>IF(SUM(FM12,FQ12,FU12,FY12)&gt;0,SUM(FM12,FQ12,FU12,FY12),"")</f>
        <v/>
      </c>
      <c r="GD12" s="15" t="str">
        <f>IF(SUM(FL12:FM12,FO12:FQ12,FS12)-SUM(FN12,FR12)&gt;0,SUM(FL12:FM12,FO12:FQ12,FS12)-SUM(FN12,FR12),"")</f>
        <v/>
      </c>
      <c r="GE12" s="15" t="str">
        <f>IF(SUM(FT12:FU12,FW12:FY12,GA12)-SUM(FV12,FZ12)&gt;0,SUM(FT12:FU12,FW12:FY12,GA12)-SUM(FV12,FZ12),"")</f>
        <v/>
      </c>
      <c r="GF12" s="15" t="str">
        <f>IF(SUM(GD12,GE12)&gt;0,SUM(GD12,GE12),"")</f>
        <v/>
      </c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12" t="str">
        <f>IF(SUM(GH12,GL12)&gt;0,SUM(GH12,GL12),"")</f>
        <v/>
      </c>
      <c r="GX12" s="12" t="str">
        <f>IF(SUM(GH12,GL12,GP12,GT12)&gt;0,SUM(GH12,GL12,GP12,GT12),"")</f>
        <v/>
      </c>
      <c r="GY12" s="12" t="str">
        <f>IF(SUM(GG12:GH12,GJ12:GL12,GN12)-SUM(GI12,GM12)&gt;0,SUM(GG12:GH12,GJ12:GL12,GN12)-SUM(GI12,GM12),"")</f>
        <v/>
      </c>
      <c r="GZ12" s="12" t="str">
        <f>IF(SUM(GO12:GP12,GR12:GT12,GV12)-SUM(GQ12,GU12)&gt;0,SUM(GO12:GP12,GR12:GT12,GV12)-SUM(GQ12,GU12),"")</f>
        <v/>
      </c>
      <c r="HA12" s="12" t="str">
        <f>IF(SUM(GY12,GZ12)&gt;0,SUM(GY12,GZ12),"")</f>
        <v/>
      </c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63">
        <f t="shared" ref="LC12" si="17">IF($BC12="P",AM12,(Q12+AM12)/2)</f>
        <v>14</v>
      </c>
      <c r="LD12" s="63">
        <f t="shared" ref="LD12" si="18">IF($BC12="P",AN12,(R12+AN12)/2)</f>
        <v>3.2</v>
      </c>
      <c r="LE12" s="63">
        <f t="shared" ref="LE12" si="19">IF($BC12="P",AO12,(S12+AO12)/2)</f>
        <v>0</v>
      </c>
      <c r="LF12" s="63">
        <f t="shared" ref="LF12" si="20">IF($BC12="P",AP12,(T12+AP12)/2)</f>
        <v>0</v>
      </c>
      <c r="LG12" s="63">
        <f t="shared" ref="LG12" si="21">IF($BC12="P",AQ12,(U12+AQ12)/2)</f>
        <v>13.6</v>
      </c>
      <c r="LH12" s="63">
        <f t="shared" ref="LH12" si="22">IF($BC12="P",AR12,(V12+AR12)/2)</f>
        <v>3</v>
      </c>
      <c r="LI12" s="63">
        <f t="shared" ref="LI12" si="23">IF($BC12="P",AS12,(W12+AS12)/2)</f>
        <v>0.15</v>
      </c>
      <c r="LJ12" s="63">
        <f t="shared" ref="LJ12" si="24">IF($BC12="P",AT12,(X12+AT12)/2)</f>
        <v>0</v>
      </c>
      <c r="LK12" s="63">
        <f t="shared" ref="LK12" si="25">IF($BC12="P",AU12,(Y12+AU12)/2)</f>
        <v>0</v>
      </c>
      <c r="LL12" s="63">
        <f t="shared" ref="LL12" si="26">IF($BC12="P",AV12,(Z12+AV12)/2)</f>
        <v>0</v>
      </c>
      <c r="LM12" s="63">
        <f t="shared" ref="LM12" si="27">IF($BC12="P",AW12,(AA12+AW12)/2)</f>
        <v>0</v>
      </c>
      <c r="LN12" s="63">
        <f t="shared" ref="LN12" si="28">IF($BC12="P",AX12,(AB12+AX12)/2)</f>
        <v>0</v>
      </c>
      <c r="LO12" s="63">
        <f t="shared" ref="LO12" si="29">IF($BC12="P",AY12,(AC12+AY12)/2)</f>
        <v>12.4</v>
      </c>
      <c r="LP12" s="63">
        <f t="shared" ref="LP12" si="30">IF($BC12="P",AZ12,(AD12+AZ12)/2)</f>
        <v>3.45</v>
      </c>
      <c r="LQ12" s="63">
        <f t="shared" ref="LQ12" si="31">IF($BC12="P",BA12,(AE12+BA12)/2)</f>
        <v>0.15</v>
      </c>
      <c r="LR12" s="63">
        <f t="shared" ref="LR12" si="32">IF($BC12="P",BB12,(AF12+BB12)/2)</f>
        <v>0</v>
      </c>
      <c r="LS12" s="74" t="s">
        <v>81</v>
      </c>
      <c r="LT12" s="12">
        <f t="shared" ref="LT12" si="33">IF(SUM(LD12,LH12)&gt;0,SUM(LD12,LH12),"")</f>
        <v>6.2</v>
      </c>
      <c r="LU12" s="12">
        <f t="shared" ref="LU12" si="34">IF(SUM(LD12,LH12,LL12,LP12)&gt;0,SUM(LD12,LH12,LL12,LP12),"")</f>
        <v>9.65</v>
      </c>
      <c r="LV12" s="12">
        <f t="shared" ref="LV12" si="35">IF(SUM(LC12:LD12,LF12:LH12,LJ12)-SUM(LE12,LI12)&gt;0,SUM(LC12:LD12,LF12:LH12,LJ12)-SUM(LE12,LI12),"")</f>
        <v>33.65</v>
      </c>
      <c r="LW12" s="12">
        <f t="shared" ref="LW12" si="36">IF(SUM(LK12:LL12,LN12:LP12,LR12)-SUM(LM12,LQ12)&gt;0,SUM(LK12:LL12,LN12:LP12,LR12)-SUM(LM12,LQ12),"")</f>
        <v>15.700000000000001</v>
      </c>
      <c r="LX12" s="12">
        <f t="shared" ref="LX12" si="37">IF(SUM(LV12,LW12)&gt;0,SUM(LV12,LW12),"")</f>
        <v>49.35</v>
      </c>
    </row>
    <row r="15" spans="1:336" x14ac:dyDescent="0.2">
      <c r="B15" s="64" t="s">
        <v>51</v>
      </c>
      <c r="AH15" s="50"/>
      <c r="AI15" s="50"/>
      <c r="AK15" s="58">
        <v>14</v>
      </c>
      <c r="BD15" s="50"/>
      <c r="BE15" s="50"/>
      <c r="BG15" s="58">
        <v>14</v>
      </c>
      <c r="CA15" s="50"/>
      <c r="CB15" s="50"/>
      <c r="CD15" s="58">
        <v>14</v>
      </c>
      <c r="CV15" s="50"/>
      <c r="CW15" s="50"/>
      <c r="CY15" s="58">
        <v>14</v>
      </c>
      <c r="DQ15" s="50"/>
      <c r="DR15" s="50"/>
      <c r="DT15" s="58">
        <v>14</v>
      </c>
      <c r="EL15" s="50"/>
      <c r="EM15" s="50"/>
      <c r="EO15" s="77">
        <v>14</v>
      </c>
      <c r="FG15" s="50"/>
      <c r="FH15" s="50"/>
      <c r="FJ15" s="77">
        <v>14</v>
      </c>
      <c r="GB15" s="50"/>
      <c r="GC15" s="50"/>
      <c r="GE15" s="77">
        <v>14</v>
      </c>
      <c r="GW15" s="50"/>
      <c r="GX15" s="50"/>
      <c r="GZ15" s="77">
        <v>14</v>
      </c>
      <c r="HR15" s="50"/>
      <c r="HS15" s="50"/>
      <c r="HU15" s="77">
        <v>14</v>
      </c>
      <c r="IM15" s="50"/>
      <c r="IN15" s="50"/>
      <c r="IP15" s="77">
        <v>14</v>
      </c>
      <c r="JH15" s="50"/>
      <c r="JI15" s="50"/>
      <c r="JK15" s="77">
        <v>14</v>
      </c>
      <c r="KC15" s="50"/>
      <c r="KD15" s="50"/>
      <c r="KF15" s="77">
        <v>14</v>
      </c>
      <c r="KX15" s="50"/>
      <c r="KY15" s="50"/>
      <c r="LA15" s="77">
        <v>14</v>
      </c>
    </row>
    <row r="16" spans="1:336" hidden="1" x14ac:dyDescent="0.2">
      <c r="B16" s="90" t="s">
        <v>50</v>
      </c>
      <c r="AH16" s="50"/>
      <c r="AI16" s="50"/>
      <c r="AK16" s="102">
        <v>30</v>
      </c>
      <c r="BD16" s="50"/>
      <c r="BE16" s="50"/>
      <c r="BG16" s="104">
        <v>30</v>
      </c>
      <c r="CA16" s="50"/>
      <c r="CB16" s="50"/>
      <c r="CD16" s="104">
        <v>26.8</v>
      </c>
      <c r="CV16" s="50"/>
      <c r="CW16" s="50"/>
      <c r="CY16" s="104">
        <v>1000</v>
      </c>
      <c r="DQ16" s="50"/>
      <c r="DR16" s="50"/>
      <c r="DT16" s="104">
        <v>1000</v>
      </c>
      <c r="EL16" s="50"/>
      <c r="EM16" s="50"/>
      <c r="EO16" s="104">
        <v>1000</v>
      </c>
      <c r="FG16" s="50"/>
      <c r="FH16" s="50"/>
      <c r="FJ16" s="104">
        <v>1000</v>
      </c>
      <c r="GB16" s="50"/>
      <c r="GC16" s="50"/>
      <c r="GE16" s="104">
        <v>1000</v>
      </c>
      <c r="GW16" s="50"/>
      <c r="GX16" s="50"/>
      <c r="GZ16" s="104">
        <v>1000</v>
      </c>
      <c r="HR16" s="50"/>
      <c r="HS16" s="50"/>
      <c r="HU16" s="104">
        <v>1000</v>
      </c>
      <c r="IM16" s="50"/>
      <c r="IN16" s="50"/>
      <c r="IP16" s="104">
        <v>1000</v>
      </c>
      <c r="JH16" s="50"/>
      <c r="JI16" s="50"/>
      <c r="JK16" s="104">
        <v>1000</v>
      </c>
      <c r="KC16" s="50"/>
      <c r="KD16" s="50"/>
      <c r="KF16" s="104">
        <v>1000</v>
      </c>
      <c r="KX16" s="50"/>
      <c r="KY16" s="50"/>
      <c r="LA16" s="104">
        <v>1000</v>
      </c>
    </row>
    <row r="17" spans="1:313" x14ac:dyDescent="0.2">
      <c r="A17" s="50"/>
      <c r="B17" s="91" t="s">
        <v>67</v>
      </c>
      <c r="C17" s="49"/>
      <c r="AH17" s="50"/>
      <c r="AI17" s="50"/>
      <c r="AK17" s="103">
        <v>26.8</v>
      </c>
      <c r="BD17" s="50"/>
      <c r="BE17" s="50"/>
      <c r="BG17" s="94">
        <v>26.8</v>
      </c>
      <c r="CA17" s="50"/>
      <c r="CB17" s="50"/>
      <c r="CD17" s="94">
        <v>26.8</v>
      </c>
      <c r="CV17" s="50"/>
      <c r="CW17" s="50"/>
      <c r="CY17" s="94">
        <v>26.8</v>
      </c>
      <c r="DQ17" s="50"/>
      <c r="DR17" s="50"/>
      <c r="DT17" s="94">
        <v>26.8</v>
      </c>
      <c r="EL17" s="50"/>
      <c r="EM17" s="50"/>
      <c r="EO17" s="94">
        <v>26.8</v>
      </c>
      <c r="FG17" s="50"/>
      <c r="FH17" s="50"/>
      <c r="FJ17" s="94">
        <v>26.8</v>
      </c>
      <c r="GB17" s="50"/>
      <c r="GC17" s="50"/>
      <c r="GE17" s="94">
        <v>26.8</v>
      </c>
      <c r="GW17" s="50"/>
      <c r="GX17" s="50"/>
      <c r="GZ17" s="94">
        <v>26.8</v>
      </c>
      <c r="HR17" s="50"/>
      <c r="HS17" s="50"/>
      <c r="HU17" s="94">
        <v>26.8</v>
      </c>
      <c r="IM17" s="50"/>
      <c r="IN17" s="50"/>
      <c r="IP17" s="94">
        <v>26.8</v>
      </c>
      <c r="JH17" s="50"/>
      <c r="JI17" s="50"/>
      <c r="JK17" s="94">
        <v>26.8</v>
      </c>
      <c r="KC17" s="50"/>
      <c r="KD17" s="50"/>
      <c r="KF17" s="94">
        <v>26.8</v>
      </c>
      <c r="KX17" s="50"/>
      <c r="KY17" s="50"/>
      <c r="LA17" s="94">
        <v>26.8</v>
      </c>
    </row>
    <row r="18" spans="1:313" x14ac:dyDescent="0.2">
      <c r="A18" s="50"/>
      <c r="B18" s="65" t="s">
        <v>48</v>
      </c>
      <c r="C18" s="49"/>
      <c r="AH18" s="50"/>
      <c r="AI18" s="50"/>
      <c r="AK18" s="59">
        <v>68</v>
      </c>
      <c r="BD18" s="50"/>
      <c r="BE18" s="50"/>
      <c r="BG18" s="59">
        <v>68</v>
      </c>
      <c r="CA18" s="50"/>
      <c r="CB18" s="50"/>
      <c r="CD18" s="59">
        <v>68</v>
      </c>
      <c r="CV18" s="50"/>
      <c r="CW18" s="50"/>
      <c r="CY18" s="59">
        <v>68</v>
      </c>
      <c r="DQ18" s="50"/>
      <c r="DR18" s="50"/>
      <c r="DT18" s="59">
        <v>68</v>
      </c>
      <c r="EL18" s="50"/>
      <c r="EM18" s="50"/>
      <c r="EO18" s="78">
        <v>68</v>
      </c>
      <c r="FG18" s="50"/>
      <c r="FH18" s="50"/>
      <c r="FJ18" s="78">
        <v>68</v>
      </c>
      <c r="GB18" s="50"/>
      <c r="GC18" s="50"/>
      <c r="GE18" s="78">
        <v>68</v>
      </c>
      <c r="GW18" s="50"/>
      <c r="GX18" s="50"/>
      <c r="GZ18" s="78">
        <v>68</v>
      </c>
      <c r="HR18" s="50"/>
      <c r="HS18" s="50"/>
      <c r="HU18" s="78">
        <v>68</v>
      </c>
      <c r="IM18" s="50"/>
      <c r="IN18" s="50"/>
      <c r="IP18" s="78">
        <v>68</v>
      </c>
      <c r="JH18" s="50"/>
      <c r="JI18" s="50"/>
      <c r="JK18" s="78">
        <v>68</v>
      </c>
      <c r="KC18" s="50"/>
      <c r="KD18" s="50"/>
      <c r="KF18" s="78">
        <v>68</v>
      </c>
      <c r="KX18" s="50"/>
      <c r="KY18" s="50"/>
      <c r="LA18" s="78">
        <v>68</v>
      </c>
    </row>
    <row r="19" spans="1:313" hidden="1" x14ac:dyDescent="0.2">
      <c r="A19" s="50"/>
      <c r="B19" s="66" t="s">
        <v>49</v>
      </c>
      <c r="C19" s="49"/>
      <c r="AH19" s="50"/>
      <c r="AI19" s="50"/>
      <c r="AK19" s="60">
        <v>141</v>
      </c>
      <c r="BD19" s="50"/>
      <c r="BE19" s="50"/>
      <c r="BG19" s="60">
        <v>141</v>
      </c>
      <c r="CA19" s="50"/>
      <c r="CB19" s="50"/>
      <c r="CD19" s="60">
        <v>135</v>
      </c>
      <c r="CV19" s="50"/>
      <c r="CW19" s="50"/>
      <c r="CY19" s="60">
        <v>135</v>
      </c>
      <c r="DQ19" s="50"/>
      <c r="DR19" s="50"/>
      <c r="DT19" s="60">
        <v>135</v>
      </c>
      <c r="EL19" s="50"/>
      <c r="EM19" s="50"/>
      <c r="EO19" s="79">
        <v>135</v>
      </c>
      <c r="FG19" s="50"/>
      <c r="FH19" s="50"/>
      <c r="FJ19" s="79">
        <v>135</v>
      </c>
      <c r="GB19" s="50"/>
      <c r="GC19" s="50"/>
      <c r="GE19" s="79">
        <v>135</v>
      </c>
      <c r="GW19" s="50"/>
      <c r="GX19" s="50"/>
      <c r="GZ19" s="79">
        <v>135</v>
      </c>
      <c r="HR19" s="50"/>
      <c r="HS19" s="50"/>
      <c r="HU19" s="79">
        <v>135</v>
      </c>
      <c r="IM19" s="50"/>
      <c r="IN19" s="50"/>
      <c r="IP19" s="79">
        <v>135</v>
      </c>
      <c r="JH19" s="50"/>
      <c r="JI19" s="50"/>
      <c r="JK19" s="79">
        <v>135</v>
      </c>
      <c r="KC19" s="50"/>
      <c r="KD19" s="50"/>
      <c r="KF19" s="79">
        <v>135</v>
      </c>
      <c r="KX19" s="50"/>
      <c r="KY19" s="50"/>
      <c r="LA19" s="79">
        <v>135</v>
      </c>
    </row>
    <row r="20" spans="1:313" x14ac:dyDescent="0.2">
      <c r="A20" s="50"/>
      <c r="B20" s="67" t="s">
        <v>62</v>
      </c>
      <c r="C20" s="49"/>
      <c r="AH20" s="50"/>
      <c r="AI20" s="50"/>
      <c r="AK20" s="61">
        <v>135</v>
      </c>
      <c r="BD20" s="50"/>
      <c r="BE20" s="50"/>
      <c r="BG20" s="61">
        <v>135</v>
      </c>
      <c r="CA20" s="50"/>
      <c r="CB20" s="50"/>
      <c r="CD20" s="61">
        <v>135</v>
      </c>
      <c r="CV20" s="50"/>
      <c r="CW20" s="50"/>
      <c r="CY20" s="61">
        <v>135</v>
      </c>
      <c r="DQ20" s="50"/>
      <c r="DR20" s="50"/>
      <c r="DT20" s="61">
        <v>135</v>
      </c>
      <c r="EL20" s="50"/>
      <c r="EM20" s="50"/>
      <c r="EO20" s="80">
        <v>135</v>
      </c>
      <c r="FG20" s="50"/>
      <c r="FH20" s="50"/>
      <c r="FJ20" s="80">
        <v>135</v>
      </c>
      <c r="GB20" s="50"/>
      <c r="GC20" s="50"/>
      <c r="GE20" s="80">
        <v>135</v>
      </c>
      <c r="GW20" s="50"/>
      <c r="GX20" s="50"/>
      <c r="GZ20" s="80">
        <v>135</v>
      </c>
      <c r="HR20" s="50"/>
      <c r="HS20" s="50"/>
      <c r="HU20" s="80">
        <v>135</v>
      </c>
      <c r="IM20" s="50"/>
      <c r="IN20" s="50"/>
      <c r="IP20" s="80">
        <v>135</v>
      </c>
      <c r="JH20" s="50"/>
      <c r="JI20" s="50"/>
      <c r="JK20" s="80">
        <v>135</v>
      </c>
      <c r="KC20" s="50"/>
      <c r="KD20" s="50"/>
      <c r="KF20" s="80">
        <v>135</v>
      </c>
      <c r="KX20" s="50"/>
      <c r="KY20" s="50"/>
      <c r="LA20" s="80">
        <v>135</v>
      </c>
    </row>
    <row r="21" spans="1:313" hidden="1" x14ac:dyDescent="0.2">
      <c r="A21" s="50"/>
      <c r="B21" s="68" t="s">
        <v>35</v>
      </c>
      <c r="C21" s="49"/>
      <c r="AH21" s="50"/>
      <c r="AI21" s="50"/>
      <c r="AK21" s="62">
        <v>1000</v>
      </c>
      <c r="BD21" s="50"/>
      <c r="BE21" s="50"/>
      <c r="BG21" s="62">
        <v>1000</v>
      </c>
      <c r="CA21" s="50"/>
      <c r="CB21" s="50"/>
      <c r="CD21" s="62">
        <v>1000</v>
      </c>
      <c r="CV21" s="50"/>
      <c r="CW21" s="50"/>
      <c r="CY21" s="62">
        <v>1000</v>
      </c>
      <c r="DQ21" s="50"/>
      <c r="DR21" s="50"/>
      <c r="DT21" s="62">
        <v>1000</v>
      </c>
      <c r="EL21" s="50"/>
      <c r="EM21" s="50"/>
      <c r="EO21" s="81">
        <v>1000</v>
      </c>
      <c r="FG21" s="50"/>
      <c r="FH21" s="50"/>
      <c r="FJ21" s="81">
        <v>1000</v>
      </c>
      <c r="GB21" s="50"/>
      <c r="GC21" s="50"/>
      <c r="GE21" s="81">
        <v>1000</v>
      </c>
      <c r="GW21" s="50"/>
      <c r="GX21" s="50"/>
      <c r="GZ21" s="81">
        <v>1000</v>
      </c>
      <c r="HR21" s="50"/>
      <c r="HS21" s="50"/>
      <c r="HU21" s="81">
        <v>1000</v>
      </c>
      <c r="IM21" s="50"/>
      <c r="IN21" s="50"/>
      <c r="IP21" s="81">
        <v>1000</v>
      </c>
      <c r="JH21" s="50"/>
      <c r="JI21" s="50"/>
      <c r="JK21" s="81">
        <v>1000</v>
      </c>
      <c r="KC21" s="50"/>
      <c r="KD21" s="50"/>
      <c r="KF21" s="81">
        <v>1000</v>
      </c>
      <c r="KX21" s="50"/>
      <c r="KY21" s="50"/>
      <c r="LA21" s="81">
        <v>1000</v>
      </c>
    </row>
    <row r="22" spans="1:313" x14ac:dyDescent="0.2">
      <c r="B22" s="76" t="s">
        <v>53</v>
      </c>
      <c r="C22" s="3"/>
      <c r="CC22" s="7"/>
      <c r="JJ22" s="7"/>
    </row>
    <row r="23" spans="1:313" x14ac:dyDescent="0.2">
      <c r="A23" s="50"/>
      <c r="B23" s="50"/>
      <c r="C23" s="49"/>
    </row>
    <row r="24" spans="1:313" x14ac:dyDescent="0.2">
      <c r="A24" s="50"/>
      <c r="B24" s="50"/>
      <c r="C24" s="49"/>
    </row>
    <row r="25" spans="1:313" x14ac:dyDescent="0.2">
      <c r="A25" s="50"/>
      <c r="B25" s="50"/>
      <c r="C25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2">
      <sortCondition descending="1" ref="F1:F13"/>
    </sortState>
  </autoFilter>
  <mergeCells count="92">
    <mergeCell ref="LC1:LX1"/>
    <mergeCell ref="LC2:LF2"/>
    <mergeCell ref="LG2:LJ2"/>
    <mergeCell ref="LK2:LN2"/>
    <mergeCell ref="LO2:LR2"/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</mergeCells>
  <conditionalFormatting sqref="A1:A1048576">
    <cfRule type="expression" dxfId="52" priority="189">
      <formula>AND(H1="P",F1="")</formula>
    </cfRule>
  </conditionalFormatting>
  <conditionalFormatting sqref="I13:I1048576">
    <cfRule type="containsText" dxfId="51" priority="190" operator="containsText" text="Merit">
      <formula>NOT(ISERROR(SEARCH("Merit",I13)))</formula>
    </cfRule>
    <cfRule type="containsText" dxfId="50" priority="191" operator="containsText" text="Excellence">
      <formula>NOT(ISERROR(SEARCH("Excellence",I13)))</formula>
    </cfRule>
    <cfRule type="containsText" dxfId="49" priority="192" operator="containsText" text="Worlds Team">
      <formula>NOT(ISERROR(SEARCH("Worlds Team",I13)))</formula>
    </cfRule>
    <cfRule type="containsText" dxfId="48" priority="821" operator="containsText" text="National Team">
      <formula>NOT(ISERROR(SEARCH("National Team",I13)))</formula>
    </cfRule>
  </conditionalFormatting>
  <conditionalFormatting sqref="K1:K1048576 M1:M1048576">
    <cfRule type="expression" dxfId="47" priority="8865">
      <formula>IF(K1=$AM$1,1,0)</formula>
    </cfRule>
    <cfRule type="expression" dxfId="46" priority="8866">
      <formula>IF(K1=$Q$1,1,0)</formula>
    </cfRule>
  </conditionalFormatting>
  <conditionalFormatting sqref="AM4:BH12">
    <cfRule type="expression" dxfId="45" priority="8867">
      <formula>IF($BC4&lt;&gt;"",1,0)</formula>
    </cfRule>
  </conditionalFormatting>
  <conditionalFormatting sqref="Q4:AL12">
    <cfRule type="expression" dxfId="44" priority="122">
      <formula>IF($AG4&lt;&gt;"",1,0)</formula>
    </cfRule>
  </conditionalFormatting>
  <conditionalFormatting sqref="I1:I1048576">
    <cfRule type="containsText" dxfId="43" priority="11" operator="containsText" text="No DD">
      <formula>NOT(ISERROR(SEARCH("No DD",I1)))</formula>
    </cfRule>
    <cfRule type="containsText" dxfId="42" priority="12" operator="containsText" text="Merit">
      <formula>NOT(ISERROR(SEARCH("Merit",I1)))</formula>
    </cfRule>
    <cfRule type="containsText" dxfId="41" priority="13" operator="containsText" text="Excellence">
      <formula>NOT(ISERROR(SEARCH("Excellence",I1)))</formula>
    </cfRule>
    <cfRule type="containsText" dxfId="40" priority="14" operator="containsText" text="Worlds Team">
      <formula>NOT(ISERROR(SEARCH("Worlds Team",I1)))</formula>
    </cfRule>
    <cfRule type="containsText" dxfId="39" priority="15" operator="containsText" text="National Team">
      <formula>NOT(ISERROR(SEARCH("National Team",I1)))</formula>
    </cfRule>
  </conditionalFormatting>
  <conditionalFormatting sqref="CC1:CC1048576 CX1:CX1048576 DS1:DS1048576 EN1:EN1048576 FI1:FI1048576 GD1:GD1048576 GY1:GY1048576 HT1:HT1048576 IO1:IO1048576 JJ1:JJ1048576 KE1:KE1048576 KZ1:KZ1048576">
    <cfRule type="expression" dxfId="38" priority="24568">
      <formula>IF(AND(CC1&gt;=CD$19,CC1&lt;CD$20),1,0)</formula>
    </cfRule>
    <cfRule type="expression" dxfId="37" priority="24569">
      <formula>IF(AND(CC1&gt;=CD$18,CC1&lt;CD$19),1,0)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36" priority="24640">
      <formula>IF(AND(CE1&gt;=CD$21,CE1&lt;1000),1,0)</formula>
    </cfRule>
    <cfRule type="expression" dxfId="35" priority="24641">
      <formula>IF(AND(CE1&gt;=CD$20,CE1&lt;CD$21),1,0)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4" priority="24712">
      <formula>IF(AND(CA1&gt;=CD$16,CA1&lt;1000),1,0)</formula>
    </cfRule>
    <cfRule type="expression" dxfId="33" priority="24713">
      <formula>IF(AND(CA1&gt;=CD$15,CA1&lt;CD$16),1,0)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32" priority="24778">
      <formula>IF(AND(CB1&gt;=CD$17,CB1&lt;1000),1,0)</formula>
    </cfRule>
  </conditionalFormatting>
  <conditionalFormatting sqref="AH1:AH1048576 BD1:BD1048576">
    <cfRule type="expression" dxfId="31" priority="24814">
      <formula>IF(AND(AH1&gt;=AK$16,AH1&lt;1000,AG1=""),1,0)</formula>
    </cfRule>
    <cfRule type="expression" dxfId="30" priority="24815">
      <formula>IF(AND(AH1&gt;=AK$15,AH1&lt;AK$16,AG1=""),1,0)</formula>
    </cfRule>
  </conditionalFormatting>
  <conditionalFormatting sqref="BF1:BF1048576 AJ1:AJ1048576">
    <cfRule type="expression" dxfId="29" priority="24826">
      <formula>IF(AND(AJ1&gt;=AK$19,AJ1&lt;AK$20,AG1=""),1,0)</formula>
    </cfRule>
    <cfRule type="expression" dxfId="28" priority="24827">
      <formula>IF(AND(AJ1&gt;=AK$18,AJ1&lt;AK$19,AG1=""),1,0)</formula>
    </cfRule>
  </conditionalFormatting>
  <conditionalFormatting sqref="BH1:BH1048576 AL1:AL1048576">
    <cfRule type="expression" dxfId="27" priority="24838">
      <formula>IF(AND(AL1&gt;=AK$21,AL1&lt;1000,AG1=""),1,0)</formula>
    </cfRule>
    <cfRule type="expression" dxfId="26" priority="24839">
      <formula>IF(AND(AL1&gt;=AK$20,AL1&lt;AK$21,AG1=""),1,0)</formula>
    </cfRule>
  </conditionalFormatting>
  <conditionalFormatting sqref="AI1:AI1048576 BE1:BE1048576">
    <cfRule type="expression" dxfId="25" priority="24850">
      <formula>IF(AND(AI1&gt;=AK$17,AI1&lt;1000,AG1=""),1,0)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336" width="10.83203125" hidden="1" customWidth="1"/>
  </cols>
  <sheetData>
    <row r="1" spans="1:336" ht="16" customHeight="1" x14ac:dyDescent="0.2">
      <c r="A1" s="112" t="s">
        <v>1</v>
      </c>
      <c r="B1" s="112" t="s">
        <v>26</v>
      </c>
      <c r="C1" s="112" t="s">
        <v>0</v>
      </c>
      <c r="D1" s="112" t="s">
        <v>54</v>
      </c>
      <c r="E1" s="112" t="s">
        <v>2</v>
      </c>
      <c r="F1" s="119" t="s">
        <v>60</v>
      </c>
      <c r="G1" s="119" t="s">
        <v>61</v>
      </c>
      <c r="H1" s="119" t="s">
        <v>8</v>
      </c>
      <c r="I1" s="112" t="s">
        <v>9</v>
      </c>
      <c r="J1" s="126" t="s">
        <v>64</v>
      </c>
      <c r="K1" s="114" t="s">
        <v>33</v>
      </c>
      <c r="L1" s="126" t="s">
        <v>63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83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7" t="s">
        <v>92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 t="s">
        <v>59</v>
      </c>
      <c r="BJ1" s="118"/>
      <c r="BK1" s="124" t="s">
        <v>105</v>
      </c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4"/>
      <c r="HX1" s="124"/>
      <c r="HY1" s="124"/>
      <c r="HZ1" s="124"/>
      <c r="IA1" s="124"/>
      <c r="IB1" s="124"/>
      <c r="IC1" s="124"/>
      <c r="ID1" s="124"/>
      <c r="IE1" s="124"/>
      <c r="IF1" s="124"/>
      <c r="IG1" s="124"/>
      <c r="IH1" s="124"/>
      <c r="II1" s="124"/>
      <c r="IJ1" s="124"/>
      <c r="IK1" s="124"/>
      <c r="IL1" s="124"/>
      <c r="IM1" s="124"/>
      <c r="IN1" s="124"/>
      <c r="IO1" s="124"/>
      <c r="IP1" s="124"/>
      <c r="IQ1" s="124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15" t="s">
        <v>82</v>
      </c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</row>
    <row r="2" spans="1:336" x14ac:dyDescent="0.2">
      <c r="A2" s="112"/>
      <c r="B2" s="112"/>
      <c r="C2" s="112"/>
      <c r="D2" s="112"/>
      <c r="E2" s="112"/>
      <c r="F2" s="119"/>
      <c r="G2" s="119"/>
      <c r="H2" s="119"/>
      <c r="I2" s="112"/>
      <c r="J2" s="126"/>
      <c r="K2" s="114"/>
      <c r="L2" s="126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83"/>
      <c r="AH2" s="86" t="s">
        <v>25</v>
      </c>
      <c r="AI2" s="86" t="s">
        <v>68</v>
      </c>
      <c r="AJ2" s="10" t="s">
        <v>24</v>
      </c>
      <c r="AK2" s="10" t="s">
        <v>23</v>
      </c>
      <c r="AL2" s="10" t="s">
        <v>18</v>
      </c>
      <c r="AM2" s="111" t="s">
        <v>27</v>
      </c>
      <c r="AN2" s="111"/>
      <c r="AO2" s="111"/>
      <c r="AP2" s="111"/>
      <c r="AQ2" s="111" t="s">
        <v>30</v>
      </c>
      <c r="AR2" s="111"/>
      <c r="AS2" s="111"/>
      <c r="AT2" s="111"/>
      <c r="AU2" s="111" t="s">
        <v>31</v>
      </c>
      <c r="AV2" s="111"/>
      <c r="AW2" s="111"/>
      <c r="AX2" s="111"/>
      <c r="AY2" s="123" t="s">
        <v>32</v>
      </c>
      <c r="AZ2" s="123"/>
      <c r="BA2" s="123"/>
      <c r="BB2" s="123"/>
      <c r="BC2" s="82"/>
      <c r="BD2" s="87" t="s">
        <v>25</v>
      </c>
      <c r="BE2" s="87" t="s">
        <v>68</v>
      </c>
      <c r="BF2" s="13" t="s">
        <v>24</v>
      </c>
      <c r="BG2" s="13" t="s">
        <v>23</v>
      </c>
      <c r="BH2" s="13" t="s">
        <v>18</v>
      </c>
      <c r="BI2" s="22" t="s">
        <v>66</v>
      </c>
      <c r="BJ2" s="22" t="s">
        <v>65</v>
      </c>
      <c r="BK2" s="110" t="s">
        <v>27</v>
      </c>
      <c r="BL2" s="110"/>
      <c r="BM2" s="110"/>
      <c r="BN2" s="110"/>
      <c r="BO2" s="110" t="s">
        <v>30</v>
      </c>
      <c r="BP2" s="110"/>
      <c r="BQ2" s="110"/>
      <c r="BR2" s="110"/>
      <c r="BS2" s="110" t="s">
        <v>31</v>
      </c>
      <c r="BT2" s="110"/>
      <c r="BU2" s="110"/>
      <c r="BV2" s="110"/>
      <c r="BW2" s="121" t="s">
        <v>32</v>
      </c>
      <c r="BX2" s="121"/>
      <c r="BY2" s="121"/>
      <c r="BZ2" s="121"/>
      <c r="CA2" s="86" t="s">
        <v>25</v>
      </c>
      <c r="CB2" s="86" t="s">
        <v>68</v>
      </c>
      <c r="CC2" s="10" t="s">
        <v>24</v>
      </c>
      <c r="CD2" s="10" t="s">
        <v>23</v>
      </c>
      <c r="CE2" s="10" t="s">
        <v>18</v>
      </c>
      <c r="CF2" s="123" t="s">
        <v>27</v>
      </c>
      <c r="CG2" s="123"/>
      <c r="CH2" s="123"/>
      <c r="CI2" s="123"/>
      <c r="CJ2" s="123" t="s">
        <v>30</v>
      </c>
      <c r="CK2" s="123"/>
      <c r="CL2" s="123"/>
      <c r="CM2" s="123"/>
      <c r="CN2" s="123" t="s">
        <v>31</v>
      </c>
      <c r="CO2" s="123"/>
      <c r="CP2" s="123"/>
      <c r="CQ2" s="123"/>
      <c r="CR2" s="123" t="s">
        <v>32</v>
      </c>
      <c r="CS2" s="123"/>
      <c r="CT2" s="123"/>
      <c r="CU2" s="123"/>
      <c r="CV2" s="87" t="s">
        <v>25</v>
      </c>
      <c r="CW2" s="87" t="s">
        <v>68</v>
      </c>
      <c r="CX2" s="17" t="s">
        <v>24</v>
      </c>
      <c r="CY2" s="17" t="s">
        <v>23</v>
      </c>
      <c r="CZ2" s="17" t="s">
        <v>18</v>
      </c>
      <c r="DA2" s="121" t="s">
        <v>27</v>
      </c>
      <c r="DB2" s="121"/>
      <c r="DC2" s="121"/>
      <c r="DD2" s="121"/>
      <c r="DE2" s="121" t="s">
        <v>30</v>
      </c>
      <c r="DF2" s="121"/>
      <c r="DG2" s="121"/>
      <c r="DH2" s="121"/>
      <c r="DI2" s="121" t="s">
        <v>31</v>
      </c>
      <c r="DJ2" s="121"/>
      <c r="DK2" s="121"/>
      <c r="DL2" s="121"/>
      <c r="DM2" s="121" t="s">
        <v>32</v>
      </c>
      <c r="DN2" s="121"/>
      <c r="DO2" s="121"/>
      <c r="DP2" s="121"/>
      <c r="DQ2" s="86" t="s">
        <v>25</v>
      </c>
      <c r="DR2" s="86" t="s">
        <v>68</v>
      </c>
      <c r="DS2" s="18" t="s">
        <v>24</v>
      </c>
      <c r="DT2" s="18" t="s">
        <v>23</v>
      </c>
      <c r="DU2" s="18" t="s">
        <v>18</v>
      </c>
      <c r="DV2" s="123" t="s">
        <v>27</v>
      </c>
      <c r="DW2" s="123"/>
      <c r="DX2" s="123"/>
      <c r="DY2" s="123"/>
      <c r="DZ2" s="123" t="s">
        <v>30</v>
      </c>
      <c r="EA2" s="123"/>
      <c r="EB2" s="123"/>
      <c r="EC2" s="123"/>
      <c r="ED2" s="123" t="s">
        <v>31</v>
      </c>
      <c r="EE2" s="123"/>
      <c r="EF2" s="123"/>
      <c r="EG2" s="123"/>
      <c r="EH2" s="123" t="s">
        <v>32</v>
      </c>
      <c r="EI2" s="123"/>
      <c r="EJ2" s="123"/>
      <c r="EK2" s="123"/>
      <c r="EL2" s="87" t="s">
        <v>25</v>
      </c>
      <c r="EM2" s="87" t="s">
        <v>68</v>
      </c>
      <c r="EN2" s="17" t="s">
        <v>24</v>
      </c>
      <c r="EO2" s="17" t="s">
        <v>23</v>
      </c>
      <c r="EP2" s="17" t="s">
        <v>18</v>
      </c>
      <c r="EQ2" s="121" t="s">
        <v>27</v>
      </c>
      <c r="ER2" s="121"/>
      <c r="ES2" s="121"/>
      <c r="ET2" s="121"/>
      <c r="EU2" s="121" t="s">
        <v>30</v>
      </c>
      <c r="EV2" s="121"/>
      <c r="EW2" s="121"/>
      <c r="EX2" s="121"/>
      <c r="EY2" s="121" t="s">
        <v>31</v>
      </c>
      <c r="EZ2" s="121"/>
      <c r="FA2" s="121"/>
      <c r="FB2" s="121"/>
      <c r="FC2" s="121" t="s">
        <v>32</v>
      </c>
      <c r="FD2" s="121"/>
      <c r="FE2" s="121"/>
      <c r="FF2" s="121"/>
      <c r="FG2" s="86" t="s">
        <v>25</v>
      </c>
      <c r="FH2" s="86" t="s">
        <v>68</v>
      </c>
      <c r="FI2" s="18" t="s">
        <v>24</v>
      </c>
      <c r="FJ2" s="18" t="s">
        <v>23</v>
      </c>
      <c r="FK2" s="18" t="s">
        <v>18</v>
      </c>
      <c r="FL2" s="123" t="s">
        <v>27</v>
      </c>
      <c r="FM2" s="123"/>
      <c r="FN2" s="123"/>
      <c r="FO2" s="123"/>
      <c r="FP2" s="123" t="s">
        <v>30</v>
      </c>
      <c r="FQ2" s="123"/>
      <c r="FR2" s="123"/>
      <c r="FS2" s="123"/>
      <c r="FT2" s="123" t="s">
        <v>31</v>
      </c>
      <c r="FU2" s="123"/>
      <c r="FV2" s="123"/>
      <c r="FW2" s="123"/>
      <c r="FX2" s="123" t="s">
        <v>32</v>
      </c>
      <c r="FY2" s="123"/>
      <c r="FZ2" s="123"/>
      <c r="GA2" s="123"/>
      <c r="GB2" s="87" t="s">
        <v>25</v>
      </c>
      <c r="GC2" s="87" t="s">
        <v>68</v>
      </c>
      <c r="GD2" s="17" t="s">
        <v>24</v>
      </c>
      <c r="GE2" s="17" t="s">
        <v>23</v>
      </c>
      <c r="GF2" s="17" t="s">
        <v>18</v>
      </c>
      <c r="GG2" s="121" t="s">
        <v>27</v>
      </c>
      <c r="GH2" s="121"/>
      <c r="GI2" s="121"/>
      <c r="GJ2" s="121"/>
      <c r="GK2" s="121" t="s">
        <v>30</v>
      </c>
      <c r="GL2" s="121"/>
      <c r="GM2" s="121"/>
      <c r="GN2" s="121"/>
      <c r="GO2" s="121" t="s">
        <v>31</v>
      </c>
      <c r="GP2" s="121"/>
      <c r="GQ2" s="121"/>
      <c r="GR2" s="121"/>
      <c r="GS2" s="121" t="s">
        <v>32</v>
      </c>
      <c r="GT2" s="121"/>
      <c r="GU2" s="121"/>
      <c r="GV2" s="121"/>
      <c r="GW2" s="86" t="s">
        <v>25</v>
      </c>
      <c r="GX2" s="86" t="s">
        <v>68</v>
      </c>
      <c r="GY2" s="18" t="s">
        <v>24</v>
      </c>
      <c r="GZ2" s="18" t="s">
        <v>23</v>
      </c>
      <c r="HA2" s="18" t="s">
        <v>18</v>
      </c>
      <c r="HB2" s="123" t="s">
        <v>27</v>
      </c>
      <c r="HC2" s="123"/>
      <c r="HD2" s="123"/>
      <c r="HE2" s="123"/>
      <c r="HF2" s="123" t="s">
        <v>30</v>
      </c>
      <c r="HG2" s="123"/>
      <c r="HH2" s="123"/>
      <c r="HI2" s="123"/>
      <c r="HJ2" s="123" t="s">
        <v>31</v>
      </c>
      <c r="HK2" s="123"/>
      <c r="HL2" s="123"/>
      <c r="HM2" s="123"/>
      <c r="HN2" s="123" t="s">
        <v>32</v>
      </c>
      <c r="HO2" s="123"/>
      <c r="HP2" s="123"/>
      <c r="HQ2" s="123"/>
      <c r="HR2" s="87" t="s">
        <v>25</v>
      </c>
      <c r="HS2" s="87" t="s">
        <v>68</v>
      </c>
      <c r="HT2" s="17" t="s">
        <v>24</v>
      </c>
      <c r="HU2" s="17" t="s">
        <v>23</v>
      </c>
      <c r="HV2" s="17" t="s">
        <v>18</v>
      </c>
      <c r="HW2" s="121" t="s">
        <v>27</v>
      </c>
      <c r="HX2" s="121"/>
      <c r="HY2" s="121"/>
      <c r="HZ2" s="121"/>
      <c r="IA2" s="121" t="s">
        <v>30</v>
      </c>
      <c r="IB2" s="121"/>
      <c r="IC2" s="121"/>
      <c r="ID2" s="121"/>
      <c r="IE2" s="121" t="s">
        <v>31</v>
      </c>
      <c r="IF2" s="121"/>
      <c r="IG2" s="121"/>
      <c r="IH2" s="121"/>
      <c r="II2" s="121" t="s">
        <v>32</v>
      </c>
      <c r="IJ2" s="121"/>
      <c r="IK2" s="121"/>
      <c r="IL2" s="121"/>
      <c r="IM2" s="86" t="s">
        <v>25</v>
      </c>
      <c r="IN2" s="86" t="s">
        <v>68</v>
      </c>
      <c r="IO2" s="18" t="s">
        <v>24</v>
      </c>
      <c r="IP2" s="18" t="s">
        <v>23</v>
      </c>
      <c r="IQ2" s="18" t="s">
        <v>18</v>
      </c>
      <c r="IR2" s="123" t="s">
        <v>27</v>
      </c>
      <c r="IS2" s="123"/>
      <c r="IT2" s="123"/>
      <c r="IU2" s="123"/>
      <c r="IV2" s="123" t="s">
        <v>30</v>
      </c>
      <c r="IW2" s="123"/>
      <c r="IX2" s="123"/>
      <c r="IY2" s="123"/>
      <c r="IZ2" s="123" t="s">
        <v>31</v>
      </c>
      <c r="JA2" s="123"/>
      <c r="JB2" s="123"/>
      <c r="JC2" s="123"/>
      <c r="JD2" s="123" t="s">
        <v>32</v>
      </c>
      <c r="JE2" s="123"/>
      <c r="JF2" s="123"/>
      <c r="JG2" s="123"/>
      <c r="JH2" s="87" t="s">
        <v>25</v>
      </c>
      <c r="JI2" s="87" t="s">
        <v>68</v>
      </c>
      <c r="JJ2" s="17" t="s">
        <v>24</v>
      </c>
      <c r="JK2" s="17" t="s">
        <v>23</v>
      </c>
      <c r="JL2" s="17" t="s">
        <v>18</v>
      </c>
      <c r="JM2" s="121" t="s">
        <v>27</v>
      </c>
      <c r="JN2" s="121"/>
      <c r="JO2" s="121"/>
      <c r="JP2" s="121"/>
      <c r="JQ2" s="121" t="s">
        <v>30</v>
      </c>
      <c r="JR2" s="121"/>
      <c r="JS2" s="121"/>
      <c r="JT2" s="121"/>
      <c r="JU2" s="121" t="s">
        <v>31</v>
      </c>
      <c r="JV2" s="121"/>
      <c r="JW2" s="121"/>
      <c r="JX2" s="121"/>
      <c r="JY2" s="121" t="s">
        <v>32</v>
      </c>
      <c r="JZ2" s="121"/>
      <c r="KA2" s="121"/>
      <c r="KB2" s="121"/>
      <c r="KC2" s="86" t="s">
        <v>25</v>
      </c>
      <c r="KD2" s="86" t="s">
        <v>68</v>
      </c>
      <c r="KE2" s="18" t="s">
        <v>24</v>
      </c>
      <c r="KF2" s="18" t="s">
        <v>23</v>
      </c>
      <c r="KG2" s="18" t="s">
        <v>18</v>
      </c>
      <c r="KH2" s="123" t="s">
        <v>27</v>
      </c>
      <c r="KI2" s="123"/>
      <c r="KJ2" s="123"/>
      <c r="KK2" s="123"/>
      <c r="KL2" s="123" t="s">
        <v>30</v>
      </c>
      <c r="KM2" s="123"/>
      <c r="KN2" s="123"/>
      <c r="KO2" s="123"/>
      <c r="KP2" s="123" t="s">
        <v>31</v>
      </c>
      <c r="KQ2" s="123"/>
      <c r="KR2" s="123"/>
      <c r="KS2" s="123"/>
      <c r="KT2" s="123" t="s">
        <v>32</v>
      </c>
      <c r="KU2" s="123"/>
      <c r="KV2" s="123"/>
      <c r="KW2" s="123"/>
      <c r="KX2" s="87" t="s">
        <v>25</v>
      </c>
      <c r="KY2" s="87" t="s">
        <v>68</v>
      </c>
      <c r="KZ2" s="17" t="s">
        <v>24</v>
      </c>
      <c r="LA2" s="17" t="s">
        <v>23</v>
      </c>
      <c r="LB2" s="17" t="s">
        <v>18</v>
      </c>
      <c r="LC2" s="110" t="s">
        <v>27</v>
      </c>
      <c r="LD2" s="110"/>
      <c r="LE2" s="110"/>
      <c r="LF2" s="110"/>
      <c r="LG2" s="110" t="s">
        <v>30</v>
      </c>
      <c r="LH2" s="110"/>
      <c r="LI2" s="110"/>
      <c r="LJ2" s="110"/>
      <c r="LK2" s="110" t="s">
        <v>31</v>
      </c>
      <c r="LL2" s="110"/>
      <c r="LM2" s="110"/>
      <c r="LN2" s="110"/>
      <c r="LO2" s="121" t="s">
        <v>32</v>
      </c>
      <c r="LP2" s="121"/>
      <c r="LQ2" s="121"/>
      <c r="LR2" s="121"/>
      <c r="LS2" s="105"/>
      <c r="LT2" s="105" t="s">
        <v>25</v>
      </c>
      <c r="LU2" s="105" t="s">
        <v>68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2"/>
      <c r="B3" s="112"/>
      <c r="C3" s="112"/>
      <c r="D3" s="112"/>
      <c r="E3" s="112"/>
      <c r="F3" s="119"/>
      <c r="G3" s="119"/>
      <c r="H3" s="119"/>
      <c r="I3" s="112"/>
      <c r="J3" s="126"/>
      <c r="K3" s="114"/>
      <c r="L3" s="126"/>
      <c r="M3" s="114"/>
      <c r="N3" s="116"/>
      <c r="O3" s="114"/>
      <c r="P3" s="114"/>
      <c r="Q3" s="83" t="s">
        <v>15</v>
      </c>
      <c r="R3" s="83" t="s">
        <v>7</v>
      </c>
      <c r="S3" s="83" t="s">
        <v>28</v>
      </c>
      <c r="T3" s="83" t="s">
        <v>29</v>
      </c>
      <c r="U3" s="83" t="s">
        <v>15</v>
      </c>
      <c r="V3" s="83" t="s">
        <v>7</v>
      </c>
      <c r="W3" s="83" t="s">
        <v>28</v>
      </c>
      <c r="X3" s="83" t="s">
        <v>29</v>
      </c>
      <c r="Y3" s="83" t="s">
        <v>15</v>
      </c>
      <c r="Z3" s="83" t="s">
        <v>7</v>
      </c>
      <c r="AA3" s="83" t="s">
        <v>28</v>
      </c>
      <c r="AB3" s="83" t="s">
        <v>29</v>
      </c>
      <c r="AC3" s="84" t="s">
        <v>15</v>
      </c>
      <c r="AD3" s="84" t="s">
        <v>7</v>
      </c>
      <c r="AE3" s="84" t="s">
        <v>28</v>
      </c>
      <c r="AF3" s="84" t="s">
        <v>29</v>
      </c>
      <c r="AG3" s="83" t="s">
        <v>52</v>
      </c>
      <c r="AH3" s="11"/>
      <c r="AI3" s="11"/>
      <c r="AJ3" s="10"/>
      <c r="AK3" s="11"/>
      <c r="AL3" s="11"/>
      <c r="AM3" s="82" t="s">
        <v>15</v>
      </c>
      <c r="AN3" s="82" t="s">
        <v>7</v>
      </c>
      <c r="AO3" s="82" t="s">
        <v>28</v>
      </c>
      <c r="AP3" s="82" t="s">
        <v>29</v>
      </c>
      <c r="AQ3" s="82" t="s">
        <v>15</v>
      </c>
      <c r="AR3" s="82" t="s">
        <v>7</v>
      </c>
      <c r="AS3" s="82" t="s">
        <v>28</v>
      </c>
      <c r="AT3" s="82" t="s">
        <v>29</v>
      </c>
      <c r="AU3" s="82" t="s">
        <v>15</v>
      </c>
      <c r="AV3" s="82" t="s">
        <v>7</v>
      </c>
      <c r="AW3" s="82" t="s">
        <v>28</v>
      </c>
      <c r="AX3" s="82" t="s">
        <v>29</v>
      </c>
      <c r="AY3" s="85" t="s">
        <v>15</v>
      </c>
      <c r="AZ3" s="85" t="s">
        <v>7</v>
      </c>
      <c r="BA3" s="85" t="s">
        <v>28</v>
      </c>
      <c r="BB3" s="85" t="s">
        <v>29</v>
      </c>
      <c r="BC3" s="82" t="s">
        <v>52</v>
      </c>
      <c r="BD3" s="14"/>
      <c r="BE3" s="14"/>
      <c r="BF3" s="13"/>
      <c r="BG3" s="14"/>
      <c r="BH3" s="14"/>
      <c r="BI3" s="23"/>
      <c r="BJ3" s="23"/>
      <c r="BK3" s="83" t="s">
        <v>15</v>
      </c>
      <c r="BL3" s="83" t="s">
        <v>7</v>
      </c>
      <c r="BM3" s="83" t="s">
        <v>28</v>
      </c>
      <c r="BN3" s="83" t="s">
        <v>29</v>
      </c>
      <c r="BO3" s="83" t="s">
        <v>15</v>
      </c>
      <c r="BP3" s="83" t="s">
        <v>7</v>
      </c>
      <c r="BQ3" s="83" t="s">
        <v>28</v>
      </c>
      <c r="BR3" s="83" t="s">
        <v>29</v>
      </c>
      <c r="BS3" s="83" t="s">
        <v>15</v>
      </c>
      <c r="BT3" s="83" t="s">
        <v>7</v>
      </c>
      <c r="BU3" s="83" t="s">
        <v>28</v>
      </c>
      <c r="BV3" s="83" t="s">
        <v>29</v>
      </c>
      <c r="BW3" s="84" t="s">
        <v>15</v>
      </c>
      <c r="BX3" s="84" t="s">
        <v>7</v>
      </c>
      <c r="BY3" s="84" t="s">
        <v>28</v>
      </c>
      <c r="BZ3" s="84" t="s">
        <v>29</v>
      </c>
      <c r="CA3" s="11"/>
      <c r="CB3" s="11"/>
      <c r="CC3" s="10"/>
      <c r="CD3" s="11"/>
      <c r="CE3" s="11"/>
      <c r="CF3" s="85" t="s">
        <v>15</v>
      </c>
      <c r="CG3" s="85" t="s">
        <v>7</v>
      </c>
      <c r="CH3" s="85" t="s">
        <v>28</v>
      </c>
      <c r="CI3" s="85" t="s">
        <v>29</v>
      </c>
      <c r="CJ3" s="85" t="s">
        <v>15</v>
      </c>
      <c r="CK3" s="85" t="s">
        <v>7</v>
      </c>
      <c r="CL3" s="85" t="s">
        <v>28</v>
      </c>
      <c r="CM3" s="85" t="s">
        <v>29</v>
      </c>
      <c r="CN3" s="85" t="s">
        <v>15</v>
      </c>
      <c r="CO3" s="85" t="s">
        <v>7</v>
      </c>
      <c r="CP3" s="85" t="s">
        <v>28</v>
      </c>
      <c r="CQ3" s="85" t="s">
        <v>29</v>
      </c>
      <c r="CR3" s="85" t="s">
        <v>15</v>
      </c>
      <c r="CS3" s="85" t="s">
        <v>7</v>
      </c>
      <c r="CT3" s="85" t="s">
        <v>28</v>
      </c>
      <c r="CU3" s="85" t="s">
        <v>29</v>
      </c>
      <c r="CV3" s="14"/>
      <c r="CW3" s="14"/>
      <c r="CX3" s="17"/>
      <c r="CY3" s="17"/>
      <c r="CZ3" s="17"/>
      <c r="DA3" s="84" t="s">
        <v>15</v>
      </c>
      <c r="DB3" s="84" t="s">
        <v>7</v>
      </c>
      <c r="DC3" s="84" t="s">
        <v>28</v>
      </c>
      <c r="DD3" s="84" t="s">
        <v>29</v>
      </c>
      <c r="DE3" s="84" t="s">
        <v>15</v>
      </c>
      <c r="DF3" s="84" t="s">
        <v>7</v>
      </c>
      <c r="DG3" s="84" t="s">
        <v>28</v>
      </c>
      <c r="DH3" s="84" t="s">
        <v>29</v>
      </c>
      <c r="DI3" s="84" t="s">
        <v>15</v>
      </c>
      <c r="DJ3" s="84" t="s">
        <v>7</v>
      </c>
      <c r="DK3" s="84" t="s">
        <v>28</v>
      </c>
      <c r="DL3" s="84" t="s">
        <v>29</v>
      </c>
      <c r="DM3" s="84" t="s">
        <v>15</v>
      </c>
      <c r="DN3" s="84" t="s">
        <v>7</v>
      </c>
      <c r="DO3" s="84" t="s">
        <v>28</v>
      </c>
      <c r="DP3" s="84" t="s">
        <v>29</v>
      </c>
      <c r="DQ3" s="11"/>
      <c r="DR3" s="11"/>
      <c r="DS3" s="18"/>
      <c r="DT3" s="18"/>
      <c r="DU3" s="18"/>
      <c r="DV3" s="85" t="s">
        <v>15</v>
      </c>
      <c r="DW3" s="85" t="s">
        <v>7</v>
      </c>
      <c r="DX3" s="85" t="s">
        <v>28</v>
      </c>
      <c r="DY3" s="85" t="s">
        <v>29</v>
      </c>
      <c r="DZ3" s="85" t="s">
        <v>15</v>
      </c>
      <c r="EA3" s="85" t="s">
        <v>7</v>
      </c>
      <c r="EB3" s="85" t="s">
        <v>28</v>
      </c>
      <c r="EC3" s="85" t="s">
        <v>29</v>
      </c>
      <c r="ED3" s="85" t="s">
        <v>15</v>
      </c>
      <c r="EE3" s="85" t="s">
        <v>7</v>
      </c>
      <c r="EF3" s="85" t="s">
        <v>28</v>
      </c>
      <c r="EG3" s="85" t="s">
        <v>29</v>
      </c>
      <c r="EH3" s="85" t="s">
        <v>15</v>
      </c>
      <c r="EI3" s="85" t="s">
        <v>7</v>
      </c>
      <c r="EJ3" s="85" t="s">
        <v>28</v>
      </c>
      <c r="EK3" s="85" t="s">
        <v>29</v>
      </c>
      <c r="EL3" s="14"/>
      <c r="EM3" s="14"/>
      <c r="EN3" s="17"/>
      <c r="EO3" s="17"/>
      <c r="EP3" s="17"/>
      <c r="EQ3" s="84" t="s">
        <v>15</v>
      </c>
      <c r="ER3" s="84" t="s">
        <v>7</v>
      </c>
      <c r="ES3" s="84" t="s">
        <v>28</v>
      </c>
      <c r="ET3" s="84" t="s">
        <v>29</v>
      </c>
      <c r="EU3" s="84" t="s">
        <v>15</v>
      </c>
      <c r="EV3" s="84" t="s">
        <v>7</v>
      </c>
      <c r="EW3" s="84" t="s">
        <v>28</v>
      </c>
      <c r="EX3" s="84" t="s">
        <v>29</v>
      </c>
      <c r="EY3" s="84" t="s">
        <v>15</v>
      </c>
      <c r="EZ3" s="84" t="s">
        <v>7</v>
      </c>
      <c r="FA3" s="84" t="s">
        <v>28</v>
      </c>
      <c r="FB3" s="84" t="s">
        <v>29</v>
      </c>
      <c r="FC3" s="84" t="s">
        <v>15</v>
      </c>
      <c r="FD3" s="84" t="s">
        <v>7</v>
      </c>
      <c r="FE3" s="84" t="s">
        <v>28</v>
      </c>
      <c r="FF3" s="84" t="s">
        <v>29</v>
      </c>
      <c r="FG3" s="11"/>
      <c r="FH3" s="11"/>
      <c r="FI3" s="18"/>
      <c r="FJ3" s="18"/>
      <c r="FK3" s="18"/>
      <c r="FL3" s="85" t="s">
        <v>15</v>
      </c>
      <c r="FM3" s="85" t="s">
        <v>7</v>
      </c>
      <c r="FN3" s="85" t="s">
        <v>28</v>
      </c>
      <c r="FO3" s="85" t="s">
        <v>29</v>
      </c>
      <c r="FP3" s="85" t="s">
        <v>15</v>
      </c>
      <c r="FQ3" s="85" t="s">
        <v>7</v>
      </c>
      <c r="FR3" s="85" t="s">
        <v>28</v>
      </c>
      <c r="FS3" s="85" t="s">
        <v>29</v>
      </c>
      <c r="FT3" s="85" t="s">
        <v>15</v>
      </c>
      <c r="FU3" s="85" t="s">
        <v>7</v>
      </c>
      <c r="FV3" s="85" t="s">
        <v>28</v>
      </c>
      <c r="FW3" s="85" t="s">
        <v>29</v>
      </c>
      <c r="FX3" s="85" t="s">
        <v>15</v>
      </c>
      <c r="FY3" s="85" t="s">
        <v>7</v>
      </c>
      <c r="FZ3" s="85" t="s">
        <v>28</v>
      </c>
      <c r="GA3" s="85" t="s">
        <v>29</v>
      </c>
      <c r="GB3" s="14"/>
      <c r="GC3" s="14"/>
      <c r="GD3" s="17"/>
      <c r="GE3" s="17"/>
      <c r="GF3" s="17"/>
      <c r="GG3" s="84" t="s">
        <v>15</v>
      </c>
      <c r="GH3" s="84" t="s">
        <v>7</v>
      </c>
      <c r="GI3" s="84" t="s">
        <v>28</v>
      </c>
      <c r="GJ3" s="84" t="s">
        <v>29</v>
      </c>
      <c r="GK3" s="84" t="s">
        <v>15</v>
      </c>
      <c r="GL3" s="84" t="s">
        <v>7</v>
      </c>
      <c r="GM3" s="84" t="s">
        <v>28</v>
      </c>
      <c r="GN3" s="84" t="s">
        <v>29</v>
      </c>
      <c r="GO3" s="84" t="s">
        <v>15</v>
      </c>
      <c r="GP3" s="84" t="s">
        <v>7</v>
      </c>
      <c r="GQ3" s="84" t="s">
        <v>28</v>
      </c>
      <c r="GR3" s="84" t="s">
        <v>29</v>
      </c>
      <c r="GS3" s="84" t="s">
        <v>15</v>
      </c>
      <c r="GT3" s="84" t="s">
        <v>7</v>
      </c>
      <c r="GU3" s="84" t="s">
        <v>28</v>
      </c>
      <c r="GV3" s="84" t="s">
        <v>29</v>
      </c>
      <c r="GW3" s="11"/>
      <c r="GX3" s="11"/>
      <c r="GY3" s="18"/>
      <c r="GZ3" s="18"/>
      <c r="HA3" s="18"/>
      <c r="HB3" s="85" t="s">
        <v>15</v>
      </c>
      <c r="HC3" s="85" t="s">
        <v>7</v>
      </c>
      <c r="HD3" s="85" t="s">
        <v>28</v>
      </c>
      <c r="HE3" s="85" t="s">
        <v>29</v>
      </c>
      <c r="HF3" s="85" t="s">
        <v>15</v>
      </c>
      <c r="HG3" s="85" t="s">
        <v>7</v>
      </c>
      <c r="HH3" s="85" t="s">
        <v>28</v>
      </c>
      <c r="HI3" s="85" t="s">
        <v>29</v>
      </c>
      <c r="HJ3" s="85" t="s">
        <v>15</v>
      </c>
      <c r="HK3" s="85" t="s">
        <v>7</v>
      </c>
      <c r="HL3" s="85" t="s">
        <v>28</v>
      </c>
      <c r="HM3" s="85" t="s">
        <v>29</v>
      </c>
      <c r="HN3" s="85" t="s">
        <v>15</v>
      </c>
      <c r="HO3" s="85" t="s">
        <v>7</v>
      </c>
      <c r="HP3" s="85" t="s">
        <v>28</v>
      </c>
      <c r="HQ3" s="85" t="s">
        <v>29</v>
      </c>
      <c r="HR3" s="14"/>
      <c r="HS3" s="14"/>
      <c r="HT3" s="17"/>
      <c r="HU3" s="17"/>
      <c r="HV3" s="17"/>
      <c r="HW3" s="84" t="s">
        <v>15</v>
      </c>
      <c r="HX3" s="84" t="s">
        <v>7</v>
      </c>
      <c r="HY3" s="84" t="s">
        <v>28</v>
      </c>
      <c r="HZ3" s="84" t="s">
        <v>29</v>
      </c>
      <c r="IA3" s="84" t="s">
        <v>15</v>
      </c>
      <c r="IB3" s="84" t="s">
        <v>7</v>
      </c>
      <c r="IC3" s="84" t="s">
        <v>28</v>
      </c>
      <c r="ID3" s="84" t="s">
        <v>29</v>
      </c>
      <c r="IE3" s="84" t="s">
        <v>15</v>
      </c>
      <c r="IF3" s="84" t="s">
        <v>7</v>
      </c>
      <c r="IG3" s="84" t="s">
        <v>28</v>
      </c>
      <c r="IH3" s="84" t="s">
        <v>29</v>
      </c>
      <c r="II3" s="84" t="s">
        <v>15</v>
      </c>
      <c r="IJ3" s="84" t="s">
        <v>7</v>
      </c>
      <c r="IK3" s="84" t="s">
        <v>28</v>
      </c>
      <c r="IL3" s="84" t="s">
        <v>29</v>
      </c>
      <c r="IM3" s="11"/>
      <c r="IN3" s="11"/>
      <c r="IO3" s="18"/>
      <c r="IP3" s="18"/>
      <c r="IQ3" s="18"/>
      <c r="IR3" s="85" t="s">
        <v>15</v>
      </c>
      <c r="IS3" s="85" t="s">
        <v>7</v>
      </c>
      <c r="IT3" s="85" t="s">
        <v>28</v>
      </c>
      <c r="IU3" s="85" t="s">
        <v>29</v>
      </c>
      <c r="IV3" s="85" t="s">
        <v>15</v>
      </c>
      <c r="IW3" s="85" t="s">
        <v>7</v>
      </c>
      <c r="IX3" s="85" t="s">
        <v>28</v>
      </c>
      <c r="IY3" s="85" t="s">
        <v>29</v>
      </c>
      <c r="IZ3" s="85" t="s">
        <v>15</v>
      </c>
      <c r="JA3" s="85" t="s">
        <v>7</v>
      </c>
      <c r="JB3" s="85" t="s">
        <v>28</v>
      </c>
      <c r="JC3" s="85" t="s">
        <v>29</v>
      </c>
      <c r="JD3" s="85" t="s">
        <v>15</v>
      </c>
      <c r="JE3" s="85" t="s">
        <v>7</v>
      </c>
      <c r="JF3" s="85" t="s">
        <v>28</v>
      </c>
      <c r="JG3" s="85" t="s">
        <v>29</v>
      </c>
      <c r="JH3" s="14"/>
      <c r="JI3" s="14"/>
      <c r="JJ3" s="17"/>
      <c r="JK3" s="17"/>
      <c r="JL3" s="17"/>
      <c r="JM3" s="84" t="s">
        <v>15</v>
      </c>
      <c r="JN3" s="84" t="s">
        <v>7</v>
      </c>
      <c r="JO3" s="84" t="s">
        <v>28</v>
      </c>
      <c r="JP3" s="84" t="s">
        <v>29</v>
      </c>
      <c r="JQ3" s="84" t="s">
        <v>15</v>
      </c>
      <c r="JR3" s="84" t="s">
        <v>7</v>
      </c>
      <c r="JS3" s="84" t="s">
        <v>28</v>
      </c>
      <c r="JT3" s="84" t="s">
        <v>29</v>
      </c>
      <c r="JU3" s="84" t="s">
        <v>15</v>
      </c>
      <c r="JV3" s="84" t="s">
        <v>7</v>
      </c>
      <c r="JW3" s="84" t="s">
        <v>28</v>
      </c>
      <c r="JX3" s="84" t="s">
        <v>29</v>
      </c>
      <c r="JY3" s="84" t="s">
        <v>15</v>
      </c>
      <c r="JZ3" s="84" t="s">
        <v>7</v>
      </c>
      <c r="KA3" s="84" t="s">
        <v>28</v>
      </c>
      <c r="KB3" s="84" t="s">
        <v>29</v>
      </c>
      <c r="KC3" s="11"/>
      <c r="KD3" s="11"/>
      <c r="KE3" s="18"/>
      <c r="KF3" s="18"/>
      <c r="KG3" s="18"/>
      <c r="KH3" s="85" t="s">
        <v>15</v>
      </c>
      <c r="KI3" s="85" t="s">
        <v>7</v>
      </c>
      <c r="KJ3" s="85" t="s">
        <v>28</v>
      </c>
      <c r="KK3" s="85" t="s">
        <v>29</v>
      </c>
      <c r="KL3" s="85" t="s">
        <v>15</v>
      </c>
      <c r="KM3" s="85" t="s">
        <v>7</v>
      </c>
      <c r="KN3" s="85" t="s">
        <v>28</v>
      </c>
      <c r="KO3" s="85" t="s">
        <v>29</v>
      </c>
      <c r="KP3" s="85" t="s">
        <v>15</v>
      </c>
      <c r="KQ3" s="85" t="s">
        <v>7</v>
      </c>
      <c r="KR3" s="85" t="s">
        <v>28</v>
      </c>
      <c r="KS3" s="85" t="s">
        <v>29</v>
      </c>
      <c r="KT3" s="85" t="s">
        <v>15</v>
      </c>
      <c r="KU3" s="85" t="s">
        <v>7</v>
      </c>
      <c r="KV3" s="85" t="s">
        <v>28</v>
      </c>
      <c r="KW3" s="85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52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IF(AND(F4="P",H4="P"),SUMPRODUCT((F$4:F$6="P")*(H$4:H$6="P")*(E$4:E$6&gt;E4))+1,IF(H4="P",SUMPRODUCT((F$4:F$6="")*(H$4:H$6="P")*(E$4:E$6&gt;E4))+1+SUMPRODUCT((F$4:F$6="P")*(H$4:H$6="P")),""))</f>
        <v>1</v>
      </c>
      <c r="B4" s="9" t="s">
        <v>87</v>
      </c>
      <c r="C4" s="5" t="s">
        <v>4</v>
      </c>
      <c r="D4" s="6">
        <v>2003</v>
      </c>
      <c r="E4" s="16">
        <f>SUM(J4:N4)</f>
        <v>186.29999999999998</v>
      </c>
      <c r="F4" s="4" t="str">
        <f>IF(OR(AND(AH4&gt;=AK$8,AJ4&gt;=AK$11,AJ4&lt;&gt;"",AG4=""),AND(BD4&gt;=BG$8,BF4&gt;=BG$11,BF4&lt;&gt;"",BC4=""),AND(CA4&gt;=CD$8,CC4&gt;=CD$11,CC4&lt;&gt;""),AND(CV4&gt;=CY$8,CX4&gt;=CY$11,CX4&lt;&gt;""),AND(DQ4&gt;=DT$8,DS4&gt;=DT$11,DS4&lt;&gt;""),AND(EL4&gt;=EO$8,EN4&gt;=EO$11,EN4&lt;&gt;""),AND(FG4&gt;=FJ$8,FI4&gt;=FJ$11,FI4&lt;&gt;""),AND(GB4&gt;=GE$8,GD4&gt;=GE$11,GD4&lt;&gt;""),AND(GW4&gt;=GZ$8,GY4&gt;=GZ$11,GY4&lt;&gt;""),AND(HR4&gt;=HU$8,HT4&gt;=HU$11,HT4&lt;&gt;""),AND(IM4&gt;=IP$8,IO4&gt;=IP$11,IO4&lt;&gt;""),AND(JH4&gt;=JK$8,JJ4&gt;=JK$11,JJ4&lt;&gt;""),AND(KC4&gt;=KF$8,KE4&gt;=KF$11,KE4&lt;&gt;""),AND(KX4&gt;=LA$8,KZ4&gt;=LA$11,KZ4&lt;&gt;"")),"P","")</f>
        <v>P</v>
      </c>
      <c r="G4" s="4" t="str">
        <f>IF(OR(AND(AH4&gt;=AK$9,AJ4&gt;=AK$12,AJ4&lt;&gt;"",AG4=""),AND(BD4&gt;=BG$9,BF4&gt;=BG$12,BF4&lt;&gt;"",BC4=""),AND(CA4&gt;=CD$9,CC4&gt;=CD$12,CC4&lt;&gt;""),AND(CV4&gt;=CY$9,CX4&gt;=CY$12,CX4&lt;&gt;""),AND(DQ4&gt;=DT$9,DS4&gt;=DT$12,DS4&lt;&gt;""),AND(EL4&gt;=EO$9,EN4&gt;=EO$12,EN4&lt;&gt;""),AND(FG4&gt;=FJ$9,FI4&gt;=FJ$12,FI4&lt;&gt;""),AND(GB4&gt;=GE$9,GD4&gt;=GE$12,GD4&lt;&gt;""),AND(GW4&gt;=GZ$9,GY4&gt;=GZ$12,GY4&lt;&gt;""),AND(HR4&gt;=HU$9,HT4&gt;=HU$12,HT4&lt;&gt;""),AND(IM4&gt;=IP$9,IO4&gt;=IP$12,IO4&lt;&gt;""),AND(JH4&gt;=JK$9,JJ4&gt;=JK$12,JJ4&lt;&gt;""),AND(KC4&gt;=KF$9,KE4&gt;=KF$12,KE4&lt;&gt;""),AND(KX4&gt;=LA$9,KZ4&gt;=LA$12,KZ4&lt;&gt;"")),"P","")</f>
        <v/>
      </c>
      <c r="H4" s="4" t="str">
        <f>IF(OR(AND(AJ4&gt;=AK$11,AJ4&lt;&gt;"",AG4=""),AND(BF4&gt;=BG$11,BF4&lt;&gt;"",BC4=""),AND(CC4&gt;=CD$11,CC4&lt;&gt;""),AND(CX4&gt;=CY$11,CX4&lt;&gt;""),AND(DS4&gt;=DT$11,DS4&lt;&gt;""),AND(EN4&gt;=EO$11,EN4&lt;&gt;""),AND(FI4&gt;=FJ$11,FI4&lt;&gt;""),AND(GD4&gt;=GE$11,GD4&lt;&gt;""),AND(GY4&gt;=GZ$11,GY4&lt;&gt;""),AND(HT4&gt;=HU$11,HT4&lt;&gt;""),AND(IO4&gt;=IP$11,IO4&lt;&gt;""),AND(JJ4&gt;=JK$11,JJ4&lt;&gt;""),AND(KE4&gt;=KF$11,KE4&lt;&gt;""),AND(KZ4&gt;=LA$11,KZ4&lt;&gt;"")),"P","")</f>
        <v>P</v>
      </c>
      <c r="I4" t="str">
        <f>IF(AND(H4="P",F4=""),"No DD",IF(OR(AND(AI4&gt;=AK$10,AI4&lt;&gt;"",AL4&gt;=AK$14,AL4&lt;&gt;"",AG4=""),AND(BE4&gt;=BG$10,BE4&lt;&gt;"",BH4&gt;=BG$14,BH4&lt;&gt;"",BC4=""),AND(CB4&gt;=CD$10,CB4&lt;&gt;"",CE4&gt;=CD$14,CE4&lt;&gt;""),AND(CW4&gt;=CY$10,CW4&lt;&gt;"",CZ4&gt;=CY$14,CZ4&lt;&gt;""),AND(DR4&gt;=DT$10,DR4&lt;&gt;"",DU4&gt;=DT$14,DU4&lt;&gt;""),AND(EM4&gt;=EO$10,EM4&lt;&gt;"",EP4&gt;=EO$14,EP4&lt;&gt;""),AND(FH4&gt;=FJ$10,FH4&lt;&gt;"",FK4&gt;=FJ$14,FK4&lt;&gt;""),AND(GC4&gt;=GE$10,GC4&lt;&gt;"",GF4&gt;=GE$14,GF4&lt;&gt;""),AND(GX4&gt;=GZ$10,GX4&lt;&gt;"",HA4&gt;=GZ$14,HA4&lt;&gt;""),AND(HS4&gt;=HU$10,HS4&lt;&gt;"",HV4&gt;=HU$14,HV4&lt;&gt;""),AND(IN4&gt;=IP$10,IN4&lt;&gt;"",IQ4&gt;=IP$14,IQ4&lt;&gt;""),AND(JI4&gt;=JK$10,JI4&lt;&gt;"",JL4&gt;=JK$14,JL4&lt;&gt;""),AND(KD4&gt;=KF$10,KD4&lt;&gt;"",KG4&gt;=KF$14,KG4&lt;&gt;""),AND(KY4&gt;=LA$10,KY4&lt;&gt;"",LB4&gt;=LA$14,LB4&lt;&gt;"")),"Merit",IF(OR(AND(AI4&gt;=AK$10,AI4&lt;&gt;"",AL4&gt;=AK$13,AL4&lt;&gt;"",AG4=""),AND(BE4&gt;=BG$10,BE4&lt;&gt;"",BH4&gt;=BG$13,BH4&lt;&gt;"",BC4=""),AND(CB4&gt;=CD$10,CB4&lt;&gt;"",CE4&gt;=CD$13,CE4&lt;&gt;""),AND(CW4&gt;=CY$10,CW4&lt;&gt;"",CZ4&gt;=CY$13,CZ4&lt;&gt;""),AND(DR4&gt;=DT$10,DR4&lt;&gt;"",DU4&gt;=DT$13,DU4&lt;&gt;""),AND(EM4&gt;=EO$10,EM4&lt;&gt;"",EP4&gt;=EO$13,EP4&lt;&gt;""),AND(FH4&gt;=FJ$10,FH4&lt;&gt;"",FK4&gt;=FJ$13,FK4&lt;&gt;""),AND(GC4&gt;=GE$10,GC4&lt;&gt;"",GF4&gt;=GE$13,GF4&lt;&gt;""),AND(GX4&gt;=GZ$10,GX4&lt;&gt;"",HA4&gt;=GZ$13,HA4&lt;&gt;""),AND(HS4&gt;=HU$10,HS4&lt;&gt;"",HV4&gt;=HU$13,HV4&lt;&gt;""),AND(IN4&gt;=IP$10,IN4&lt;&gt;"",IQ4&gt;=IP$13,IQ4&lt;&gt;""),AND(JI4&gt;=JK$10,JI4&lt;&gt;"",JL4&gt;=JK$13,JL4&lt;&gt;""),AND(KD4&gt;=KF$10,KD4&lt;&gt;"",KG4&gt;=KF$13,KG4&lt;&gt;""),AND(KY4&gt;=LA$10,KY4&lt;&gt;"",LB4&gt;=LA$13,LB4&lt;&gt;"")),"Excellence",IF(OR(AND(AH4&gt;=AK$9,AH4&lt;&gt;"",AJ4&gt;=AK$12,AJ4&lt;&gt;"",AG4=""),AND(BD4&gt;=BG$9,BD4&lt;&gt;"",BF4&gt;=BG$12,BF4&lt;&gt;"",BC4=""),AND(CA4&gt;=CD$9,CA4&lt;&gt;"",CC4&gt;=CD$12,CC4&lt;&gt;""),AND(CV4&gt;=CY$9,CV4&lt;&gt;"",CX4&gt;=CY$12,CX4&lt;&gt;""),AND(DQ4&gt;=DT$9,DQ4&lt;&gt;"",DS4&gt;=DT$12,DS4&lt;&gt;""),AND(EL4&gt;=EO$9,EL4&lt;&gt;"",EN4&gt;=EO$12,EN4&lt;&gt;""),AND(FG4&gt;=FJ$9,FG4&lt;&gt;"",FI4&gt;=FJ$12,FI4&lt;&gt;""),AND(GB4&gt;=GE$9,GB4&lt;&gt;"",GD4&gt;=GE$12,GD4&lt;&gt;""),AND(GW4&gt;=GZ$9,GW4&lt;&gt;"",GY4&gt;=GZ$12,GY4&lt;&gt;""),AND(HR4&gt;=HU$9,HR4&lt;&gt;"",HT4&gt;=HU$12,HT4&lt;&gt;""),AND(IM4&gt;=IP$9,IM4&lt;&gt;"",IO4&gt;=IP$12,IO4&lt;&gt;""),AND(JH4&gt;=JK$9,JH4&lt;&gt;"",JJ4&gt;=JK$12,JJ4&lt;&gt;""),AND(KC4&gt;=KF$9,KC4&lt;&gt;"",KE4&gt;=KF$12,KE4&lt;&gt;""),AND(KX4&gt;=LA$9,KX4&lt;&gt;"",KZ4&gt;=LA$12,KZ4&lt;&gt;"")),"Worlds Team",IF(OR(AND(AH4&gt;=AK$8,AH4&lt;&gt;"",AJ4&gt;=AK$11,AJ4&lt;&gt;"",AG4=""),AND(BD4&gt;=BG$8,BD4&lt;&gt;"",BF4&gt;=BG$11,BF4&lt;&gt;"",BC4=""),AND(CA4&gt;=CD$8,CA4&lt;&gt;"",CC4&gt;=CD$11,CC4&lt;&gt;""),AND(CV4&gt;=CY$8,CV4&lt;&gt;"",CX4&gt;=CY$11,CX4&lt;&gt;""),AND(DQ4&gt;=DT$8,DQ4&lt;&gt;"",DS4&gt;=DT$11,DS4&lt;&gt;""),AND(EL4&gt;=EO$8,EL4&lt;&gt;"",EN4&gt;=EO$11,EN4&lt;&gt;""),AND(FG4&gt;=FJ$8,FG4&lt;&gt;"",FI4&gt;=FJ$11,FI4&lt;&gt;""),AND(GB4&gt;=GE$8,GB4&lt;&gt;"",GD4&gt;=GE$11,GD4&lt;&gt;""),AND(GW4&gt;=GZ$8,GW4&lt;&gt;"",GY4&gt;=GZ$11,GY4&lt;&gt;""),AND(HR4&gt;=HU$8,HR4&lt;&gt;"",HT4&gt;=HU$11,HT4&lt;&gt;""),AND(IM4&gt;=IP$8,IM4&lt;&gt;"",IO4&gt;=IP$11,IO4&lt;&gt;""),AND(JH4&gt;=JK$8,JH4&lt;&gt;"",JJ4&gt;=JK$11,JJ4&lt;&gt;""),AND(KC4&gt;=KF$8,KC4&lt;&gt;"",KE4&gt;=KF$11,KE4&lt;&gt;""),AND(KX4&gt;=LA$8,KX4&lt;&gt;"",KZ4&gt;=LA$11,KZ4&lt;&gt;"")),"National Team","")))))</f>
        <v>National Team</v>
      </c>
      <c r="J4" s="15">
        <f>IF(MAX(AL4,BH4)&gt;0,MAX(AL4,BH4),"")</f>
        <v>120.69999999999999</v>
      </c>
      <c r="K4" s="15" t="str">
        <f>IF(J4="","",IF(J4=BH4,$AM$1,IF(J4=AL4,$Q$1,"")))</f>
        <v>2019 Nationals</v>
      </c>
      <c r="L4" s="15">
        <f>IF(J4=AL4,IF(MAX(BF4,BG4)&gt;0,MAX(BF4,BG4),""),IF(J4=BH4,IF(MAX(AJ4,AK4)&gt;0,MAX(AJ4,AK4),""),MAX(AJ4,AK4,BF4,BG4)))</f>
        <v>65.599999999999994</v>
      </c>
      <c r="M4" s="15" t="str">
        <f>IF(L4="","",IF(AND(J4&lt;&gt;BH4,OR(L4=BG4,L4=BF4)),$AM$1,IF(OR(L4=AK4,L4=AJ4),$Q$1,"")))</f>
        <v>2019 Elite Canada</v>
      </c>
      <c r="N4" s="15" t="str">
        <f>IF(MAX(BI4:BJ4)&gt;0,MAX(BI4:BJ4),"")</f>
        <v/>
      </c>
      <c r="O4" s="25" t="str">
        <f>IF(N4="","",IF(N4=BI4,"(4 Pass)",IF(N4=BJ4,"(2 Pass)")))</f>
        <v/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27.7</v>
      </c>
      <c r="R4" s="63">
        <v>6</v>
      </c>
      <c r="S4" s="63">
        <v>0.9</v>
      </c>
      <c r="T4" s="63">
        <v>0</v>
      </c>
      <c r="U4" s="63">
        <v>28</v>
      </c>
      <c r="V4" s="63">
        <v>4.8</v>
      </c>
      <c r="W4" s="63">
        <v>0</v>
      </c>
      <c r="X4" s="63">
        <v>0</v>
      </c>
      <c r="Y4" s="63">
        <v>24.7</v>
      </c>
      <c r="Z4" s="63">
        <v>3</v>
      </c>
      <c r="AA4" s="63">
        <v>1.9</v>
      </c>
      <c r="AB4" s="63">
        <v>0</v>
      </c>
      <c r="AC4" s="63">
        <v>26.9</v>
      </c>
      <c r="AD4" s="63">
        <v>2.8</v>
      </c>
      <c r="AE4" s="63">
        <v>2.1</v>
      </c>
      <c r="AF4" s="63">
        <v>0</v>
      </c>
      <c r="AG4" s="74"/>
      <c r="AH4" s="12">
        <f>IF(SUM(R4,V4)&gt;0,SUM(R4,V4),"")</f>
        <v>10.8</v>
      </c>
      <c r="AI4" s="12">
        <f>IF(SUM(R4,V4,Z4,AD4)&gt;0,SUM(R4,V4,Z4,AD4),"")</f>
        <v>16.600000000000001</v>
      </c>
      <c r="AJ4" s="12">
        <f>IF(SUM(Q4:R4,T4:V4,X4)-SUM(S4,W4)&gt;0,SUM(Q4:R4,T4:V4,X4)-SUM(S4,W4),"")</f>
        <v>65.599999999999994</v>
      </c>
      <c r="AK4" s="12">
        <f>IF(SUM(Y4:Z4,AB4:AD4,AF4)-SUM(AA4,AE4)&gt;0,SUM(Y4:Z4,AB4:AD4,AF4)-SUM(AA4,AE4),"")</f>
        <v>53.399999999999991</v>
      </c>
      <c r="AL4" s="12">
        <f>IF(SUM(AJ4,AK4)&gt;0,SUM(AJ4,AK4),"")</f>
        <v>118.99999999999999</v>
      </c>
      <c r="AM4" s="37">
        <v>19.8</v>
      </c>
      <c r="AN4" s="37">
        <v>2.4</v>
      </c>
      <c r="AO4" s="37">
        <v>0</v>
      </c>
      <c r="AP4" s="37">
        <v>0</v>
      </c>
      <c r="AQ4" s="37">
        <v>27.9</v>
      </c>
      <c r="AR4" s="37">
        <v>5.6</v>
      </c>
      <c r="AS4" s="37">
        <v>0</v>
      </c>
      <c r="AT4" s="37">
        <v>0</v>
      </c>
      <c r="AU4" s="37">
        <v>27.6</v>
      </c>
      <c r="AV4" s="37">
        <v>5.6</v>
      </c>
      <c r="AW4" s="37">
        <v>0.9</v>
      </c>
      <c r="AX4" s="37">
        <v>0</v>
      </c>
      <c r="AY4" s="37">
        <v>27.9</v>
      </c>
      <c r="AZ4" s="37">
        <v>4.8</v>
      </c>
      <c r="BA4" s="37">
        <v>0</v>
      </c>
      <c r="BB4" s="37">
        <v>0</v>
      </c>
      <c r="BC4" s="75"/>
      <c r="BD4" s="15">
        <f>IF(SUM(AN4,AR4)&gt;0,SUM(AN4,AR4),"")</f>
        <v>8</v>
      </c>
      <c r="BE4" s="15">
        <f>IF(SUM(AN4,AR4,AV4,AZ4)&gt;0,SUM(AN4,AR4,AV4,AZ4),"")</f>
        <v>18.399999999999999</v>
      </c>
      <c r="BF4" s="15">
        <f>IF(SUM(AM4:AN4,AP4:AR4,AT4)-SUM(AO4,AS4)&gt;0,SUM(AM4:AN4,AP4:AR4,AT4)-SUM(AO4,AS4),"")</f>
        <v>55.699999999999996</v>
      </c>
      <c r="BG4" s="15">
        <f>IF(SUM(AU4:AV4,AX4:AZ4,BB4)-SUM(AW4,BA4)&gt;0,SUM(AU4:AV4,AX4:AZ4,BB4)-SUM(AW4,BA4),"")</f>
        <v>65</v>
      </c>
      <c r="BH4" s="15">
        <f>IF(SUM(BF4,BG4)&gt;0,SUM(BF4,BG4),"")</f>
        <v>120.69999999999999</v>
      </c>
      <c r="BI4" s="24"/>
      <c r="BJ4" s="24"/>
      <c r="BK4" s="41">
        <v>24.9</v>
      </c>
      <c r="BL4" s="41">
        <v>6.4</v>
      </c>
      <c r="BM4" s="41">
        <v>0</v>
      </c>
      <c r="BN4" s="41">
        <v>0</v>
      </c>
      <c r="BO4" s="41">
        <v>27.3</v>
      </c>
      <c r="BP4" s="41">
        <v>6.8</v>
      </c>
      <c r="BQ4" s="41">
        <v>0</v>
      </c>
      <c r="BR4" s="41">
        <v>0</v>
      </c>
      <c r="BS4" s="41">
        <v>26.7</v>
      </c>
      <c r="BT4" s="41">
        <v>5.2</v>
      </c>
      <c r="BU4" s="41">
        <v>0.9</v>
      </c>
      <c r="BV4" s="41">
        <v>0</v>
      </c>
      <c r="BW4" s="41">
        <v>26.1</v>
      </c>
      <c r="BX4" s="41">
        <v>5.2</v>
      </c>
      <c r="BY4" s="41">
        <v>1.2</v>
      </c>
      <c r="BZ4" s="41">
        <v>0</v>
      </c>
      <c r="CA4" s="12">
        <f>IF(SUM(BL4,BP4)&gt;0,SUM(BL4,BP4),"")</f>
        <v>13.2</v>
      </c>
      <c r="CB4" s="12">
        <f>IF(SUM(BL4,BP4,BT4,BX4)&gt;0,SUM(BL4,BP4,BT4,BX4),"")</f>
        <v>23.599999999999998</v>
      </c>
      <c r="CC4" s="12">
        <f>IF(SUM(BK4:BL4,BN4:BP4,BR4)-SUM(BM4,BQ4)&gt;0,SUM(BK4:BL4,BN4:BP4,BR4)-SUM(BM4,BQ4),"")</f>
        <v>65.399999999999991</v>
      </c>
      <c r="CD4" s="12">
        <f>IF(SUM(BS4:BT4,BV4:BX4,BZ4)-SUM(BU4,BY4)&gt;0,SUM(BS4:BT4,BV4:BX4,BZ4)-SUM(BU4,BY4),"")</f>
        <v>61.1</v>
      </c>
      <c r="CE4" s="12">
        <f>IF(SUM(CC4,CD4)&gt;0,SUM(CC4,CD4),"")</f>
        <v>126.5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 t="shared" ref="LC4" si="0">IF($BC4="P",AM4,(Q4+AM4)/2)</f>
        <v>23.75</v>
      </c>
      <c r="LD4" s="63">
        <f t="shared" ref="LD4:LR4" si="1">IF($BC4="P",AN4,(R4+AN4)/2)</f>
        <v>4.2</v>
      </c>
      <c r="LE4" s="63">
        <f t="shared" si="1"/>
        <v>0.45</v>
      </c>
      <c r="LF4" s="63">
        <f t="shared" si="1"/>
        <v>0</v>
      </c>
      <c r="LG4" s="63">
        <f t="shared" si="1"/>
        <v>27.95</v>
      </c>
      <c r="LH4" s="63">
        <f t="shared" si="1"/>
        <v>5.1999999999999993</v>
      </c>
      <c r="LI4" s="63">
        <f t="shared" si="1"/>
        <v>0</v>
      </c>
      <c r="LJ4" s="63">
        <f t="shared" si="1"/>
        <v>0</v>
      </c>
      <c r="LK4" s="63">
        <f t="shared" si="1"/>
        <v>26.15</v>
      </c>
      <c r="LL4" s="63">
        <f t="shared" si="1"/>
        <v>4.3</v>
      </c>
      <c r="LM4" s="63">
        <f t="shared" si="1"/>
        <v>1.4</v>
      </c>
      <c r="LN4" s="63">
        <f t="shared" si="1"/>
        <v>0</v>
      </c>
      <c r="LO4" s="63">
        <f t="shared" si="1"/>
        <v>27.4</v>
      </c>
      <c r="LP4" s="63">
        <f t="shared" si="1"/>
        <v>3.8</v>
      </c>
      <c r="LQ4" s="63">
        <f t="shared" si="1"/>
        <v>1.05</v>
      </c>
      <c r="LR4" s="63">
        <f t="shared" si="1"/>
        <v>0</v>
      </c>
      <c r="LS4" s="74" t="s">
        <v>81</v>
      </c>
      <c r="LT4" s="12">
        <f t="shared" ref="LT4" si="2">IF(SUM(LD4,LH4)&gt;0,SUM(LD4,LH4),"")</f>
        <v>9.3999999999999986</v>
      </c>
      <c r="LU4" s="12">
        <f t="shared" ref="LU4" si="3">IF(SUM(LD4,LH4,LL4,LP4)&gt;0,SUM(LD4,LH4,LL4,LP4),"")</f>
        <v>17.5</v>
      </c>
      <c r="LV4" s="12">
        <f t="shared" ref="LV4" si="4">IF(SUM(LC4:LD4,LF4:LH4,LJ4)-SUM(LE4,LI4)&gt;0,SUM(LC4:LD4,LF4:LH4,LJ4)-SUM(LE4,LI4),"")</f>
        <v>60.649999999999991</v>
      </c>
      <c r="LW4" s="12">
        <f t="shared" ref="LW4" si="5">IF(SUM(LK4:LL4,LN4:LP4,LR4)-SUM(LM4,LQ4)&gt;0,SUM(LK4:LL4,LN4:LP4,LR4)-SUM(LM4,LQ4),"")</f>
        <v>59.199999999999989</v>
      </c>
      <c r="LX4" s="12">
        <f t="shared" ref="LX4" si="6">IF(SUM(LV4,LW4)&gt;0,SUM(LV4,LW4),"")</f>
        <v>119.84999999999998</v>
      </c>
    </row>
    <row r="5" spans="1:336" x14ac:dyDescent="0.2">
      <c r="A5" s="6">
        <f>IF(AND(F5="P",H5="P"),SUMPRODUCT((F$4:F$6="P")*(H$4:H$6="P")*(E$4:E$6&gt;E5))+1,IF(H5="P",SUMPRODUCT((F$4:F$6="")*(H$4:H$6="P")*(E$4:E$6&gt;E5))+1+SUMPRODUCT((F$4:F$6="P")*(H$4:H$6="P")),""))</f>
        <v>2</v>
      </c>
      <c r="B5" s="9" t="s">
        <v>73</v>
      </c>
      <c r="C5" s="5" t="s">
        <v>4</v>
      </c>
      <c r="D5" s="6">
        <v>2002</v>
      </c>
      <c r="E5" s="16">
        <f>SUM(J5:N5)</f>
        <v>173.5</v>
      </c>
      <c r="F5" s="4" t="str">
        <f>IF(OR(AND(AH5&gt;=AK$8,AJ5&gt;=AK$11,AJ5&lt;&gt;"",AG5=""),AND(BD5&gt;=BG$8,BF5&gt;=BG$11,BF5&lt;&gt;"",BC5=""),AND(CA5&gt;=CD$8,CC5&gt;=CD$11,CC5&lt;&gt;""),AND(CV5&gt;=CY$8,CX5&gt;=CY$11,CX5&lt;&gt;""),AND(DQ5&gt;=DT$8,DS5&gt;=DT$11,DS5&lt;&gt;""),AND(EL5&gt;=EO$8,EN5&gt;=EO$11,EN5&lt;&gt;""),AND(FG5&gt;=FJ$8,FI5&gt;=FJ$11,FI5&lt;&gt;""),AND(GB5&gt;=GE$8,GD5&gt;=GE$11,GD5&lt;&gt;""),AND(GW5&gt;=GZ$8,GY5&gt;=GZ$11,GY5&lt;&gt;""),AND(HR5&gt;=HU$8,HT5&gt;=HU$11,HT5&lt;&gt;""),AND(IM5&gt;=IP$8,IO5&gt;=IP$11,IO5&lt;&gt;""),AND(JH5&gt;=JK$8,JJ5&gt;=JK$11,JJ5&lt;&gt;""),AND(KC5&gt;=KF$8,KE5&gt;=KF$11,KE5&lt;&gt;""),AND(KX5&gt;=LA$8,KZ5&gt;=LA$11,KZ5&lt;&gt;"")),"P","")</f>
        <v>P</v>
      </c>
      <c r="G5" s="4" t="str">
        <f>IF(OR(AND(AH5&gt;=AK$9,AJ5&gt;=AK$12,AJ5&lt;&gt;"",AG5=""),AND(BD5&gt;=BG$9,BF5&gt;=BG$12,BF5&lt;&gt;"",BC5=""),AND(CA5&gt;=CD$9,CC5&gt;=CD$12,CC5&lt;&gt;""),AND(CV5&gt;=CY$9,CX5&gt;=CY$12,CX5&lt;&gt;""),AND(DQ5&gt;=DT$9,DS5&gt;=DT$12,DS5&lt;&gt;""),AND(EL5&gt;=EO$9,EN5&gt;=EO$12,EN5&lt;&gt;""),AND(FG5&gt;=FJ$9,FI5&gt;=FJ$12,FI5&lt;&gt;""),AND(GB5&gt;=GE$9,GD5&gt;=GE$12,GD5&lt;&gt;""),AND(GW5&gt;=GZ$9,GY5&gt;=GZ$12,GY5&lt;&gt;""),AND(HR5&gt;=HU$9,HT5&gt;=HU$12,HT5&lt;&gt;""),AND(IM5&gt;=IP$9,IO5&gt;=IP$12,IO5&lt;&gt;""),AND(JH5&gt;=JK$9,JJ5&gt;=JK$12,JJ5&lt;&gt;""),AND(KC5&gt;=KF$9,KE5&gt;=KF$12,KE5&lt;&gt;""),AND(KX5&gt;=LA$9,KZ5&gt;=LA$12,KZ5&lt;&gt;"")),"P","")</f>
        <v/>
      </c>
      <c r="H5" s="4" t="str">
        <f>IF(OR(AND(AJ5&gt;=AK$11,AJ5&lt;&gt;"",AG5=""),AND(BF5&gt;=BG$11,BF5&lt;&gt;"",BC5=""),AND(CC5&gt;=CD$11,CC5&lt;&gt;""),AND(CX5&gt;=CY$11,CX5&lt;&gt;""),AND(DS5&gt;=DT$11,DS5&lt;&gt;""),AND(EN5&gt;=EO$11,EN5&lt;&gt;""),AND(FI5&gt;=FJ$11,FI5&lt;&gt;""),AND(GD5&gt;=GE$11,GD5&lt;&gt;""),AND(GY5&gt;=GZ$11,GY5&lt;&gt;""),AND(HT5&gt;=HU$11,HT5&lt;&gt;""),AND(IO5&gt;=IP$11,IO5&lt;&gt;""),AND(JJ5&gt;=JK$11,JJ5&lt;&gt;""),AND(KE5&gt;=KF$11,KE5&lt;&gt;""),AND(KZ5&gt;=LA$11,KZ5&lt;&gt;"")),"P","")</f>
        <v>P</v>
      </c>
      <c r="I5" t="str">
        <f>IF(AND(H5="P",F5=""),"No DD",IF(OR(AND(AI5&gt;=AK$10,AI5&lt;&gt;"",AL5&gt;=AK$14,AL5&lt;&gt;"",AG5=""),AND(BE5&gt;=BG$10,BE5&lt;&gt;"",BH5&gt;=BG$14,BH5&lt;&gt;"",BC5=""),AND(CB5&gt;=CD$10,CB5&lt;&gt;"",CE5&gt;=CD$14,CE5&lt;&gt;""),AND(CW5&gt;=CY$10,CW5&lt;&gt;"",CZ5&gt;=CY$14,CZ5&lt;&gt;""),AND(DR5&gt;=DT$10,DR5&lt;&gt;"",DU5&gt;=DT$14,DU5&lt;&gt;""),AND(EM5&gt;=EO$10,EM5&lt;&gt;"",EP5&gt;=EO$14,EP5&lt;&gt;""),AND(FH5&gt;=FJ$10,FH5&lt;&gt;"",FK5&gt;=FJ$14,FK5&lt;&gt;""),AND(GC5&gt;=GE$10,GC5&lt;&gt;"",GF5&gt;=GE$14,GF5&lt;&gt;""),AND(GX5&gt;=GZ$10,GX5&lt;&gt;"",HA5&gt;=GZ$14,HA5&lt;&gt;""),AND(HS5&gt;=HU$10,HS5&lt;&gt;"",HV5&gt;=HU$14,HV5&lt;&gt;""),AND(IN5&gt;=IP$10,IN5&lt;&gt;"",IQ5&gt;=IP$14,IQ5&lt;&gt;""),AND(JI5&gt;=JK$10,JI5&lt;&gt;"",JL5&gt;=JK$14,JL5&lt;&gt;""),AND(KD5&gt;=KF$10,KD5&lt;&gt;"",KG5&gt;=KF$14,KG5&lt;&gt;""),AND(KY5&gt;=LA$10,KY5&lt;&gt;"",LB5&gt;=LA$14,LB5&lt;&gt;"")),"Merit",IF(OR(AND(AI5&gt;=AK$10,AI5&lt;&gt;"",AL5&gt;=AK$13,AL5&lt;&gt;"",AG5=""),AND(BE5&gt;=BG$10,BE5&lt;&gt;"",BH5&gt;=BG$13,BH5&lt;&gt;"",BC5=""),AND(CB5&gt;=CD$10,CB5&lt;&gt;"",CE5&gt;=CD$13,CE5&lt;&gt;""),AND(CW5&gt;=CY$10,CW5&lt;&gt;"",CZ5&gt;=CY$13,CZ5&lt;&gt;""),AND(DR5&gt;=DT$10,DR5&lt;&gt;"",DU5&gt;=DT$13,DU5&lt;&gt;""),AND(EM5&gt;=EO$10,EM5&lt;&gt;"",EP5&gt;=EO$13,EP5&lt;&gt;""),AND(FH5&gt;=FJ$10,FH5&lt;&gt;"",FK5&gt;=FJ$13,FK5&lt;&gt;""),AND(GC5&gt;=GE$10,GC5&lt;&gt;"",GF5&gt;=GE$13,GF5&lt;&gt;""),AND(GX5&gt;=GZ$10,GX5&lt;&gt;"",HA5&gt;=GZ$13,HA5&lt;&gt;""),AND(HS5&gt;=HU$10,HS5&lt;&gt;"",HV5&gt;=HU$13,HV5&lt;&gt;""),AND(IN5&gt;=IP$10,IN5&lt;&gt;"",IQ5&gt;=IP$13,IQ5&lt;&gt;""),AND(JI5&gt;=JK$10,JI5&lt;&gt;"",JL5&gt;=JK$13,JL5&lt;&gt;""),AND(KD5&gt;=KF$10,KD5&lt;&gt;"",KG5&gt;=KF$13,KG5&lt;&gt;""),AND(KY5&gt;=LA$10,KY5&lt;&gt;"",LB5&gt;=LA$13,LB5&lt;&gt;"")),"Excellence",IF(OR(AND(AH5&gt;=AK$9,AH5&lt;&gt;"",AJ5&gt;=AK$12,AJ5&lt;&gt;"",AG5=""),AND(BD5&gt;=BG$9,BD5&lt;&gt;"",BF5&gt;=BG$12,BF5&lt;&gt;"",BC5=""),AND(CA5&gt;=CD$9,CA5&lt;&gt;"",CC5&gt;=CD$12,CC5&lt;&gt;""),AND(CV5&gt;=CY$9,CV5&lt;&gt;"",CX5&gt;=CY$12,CX5&lt;&gt;""),AND(DQ5&gt;=DT$9,DQ5&lt;&gt;"",DS5&gt;=DT$12,DS5&lt;&gt;""),AND(EL5&gt;=EO$9,EL5&lt;&gt;"",EN5&gt;=EO$12,EN5&lt;&gt;""),AND(FG5&gt;=FJ$9,FG5&lt;&gt;"",FI5&gt;=FJ$12,FI5&lt;&gt;""),AND(GB5&gt;=GE$9,GB5&lt;&gt;"",GD5&gt;=GE$12,GD5&lt;&gt;""),AND(GW5&gt;=GZ$9,GW5&lt;&gt;"",GY5&gt;=GZ$12,GY5&lt;&gt;""),AND(HR5&gt;=HU$9,HR5&lt;&gt;"",HT5&gt;=HU$12,HT5&lt;&gt;""),AND(IM5&gt;=IP$9,IM5&lt;&gt;"",IO5&gt;=IP$12,IO5&lt;&gt;""),AND(JH5&gt;=JK$9,JH5&lt;&gt;"",JJ5&gt;=JK$12,JJ5&lt;&gt;""),AND(KC5&gt;=KF$9,KC5&lt;&gt;"",KE5&gt;=KF$12,KE5&lt;&gt;""),AND(KX5&gt;=LA$9,KX5&lt;&gt;"",KZ5&gt;=LA$12,KZ5&lt;&gt;"")),"Worlds Team",IF(OR(AND(AH5&gt;=AK$8,AH5&lt;&gt;"",AJ5&gt;=AK$11,AJ5&lt;&gt;"",AG5=""),AND(BD5&gt;=BG$8,BD5&lt;&gt;"",BF5&gt;=BG$11,BF5&lt;&gt;"",BC5=""),AND(CA5&gt;=CD$8,CA5&lt;&gt;"",CC5&gt;=CD$11,CC5&lt;&gt;""),AND(CV5&gt;=CY$8,CV5&lt;&gt;"",CX5&gt;=CY$11,CX5&lt;&gt;""),AND(DQ5&gt;=DT$8,DQ5&lt;&gt;"",DS5&gt;=DT$11,DS5&lt;&gt;""),AND(EL5&gt;=EO$8,EL5&lt;&gt;"",EN5&gt;=EO$11,EN5&lt;&gt;""),AND(FG5&gt;=FJ$8,FG5&lt;&gt;"",FI5&gt;=FJ$11,FI5&lt;&gt;""),AND(GB5&gt;=GE$8,GB5&lt;&gt;"",GD5&gt;=GE$11,GD5&lt;&gt;""),AND(GW5&gt;=GZ$8,GW5&lt;&gt;"",GY5&gt;=GZ$11,GY5&lt;&gt;""),AND(HR5&gt;=HU$8,HR5&lt;&gt;"",HT5&gt;=HU$11,HT5&lt;&gt;""),AND(IM5&gt;=IP$8,IM5&lt;&gt;"",IO5&gt;=IP$11,IO5&lt;&gt;""),AND(JH5&gt;=JK$8,JH5&lt;&gt;"",JJ5&gt;=JK$11,JJ5&lt;&gt;""),AND(KC5&gt;=KF$8,KC5&lt;&gt;"",KE5&gt;=KF$11,KE5&lt;&gt;""),AND(KX5&gt;=LA$8,KX5&lt;&gt;"",KZ5&gt;=LA$11,KZ5&lt;&gt;"")),"National Team","")))))</f>
        <v>National Team</v>
      </c>
      <c r="J5" s="15">
        <f>IF(MAX(AL5,BH5)&gt;0,MAX(AL5,BH5),"")</f>
        <v>120.1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53.4</v>
      </c>
      <c r="M5" s="15" t="str">
        <f>IF(L5="","",IF(AND(J5&lt;&gt;BH5,OR(L5=BG5,L5=BF5)),$AM$1,IF(OR(L5=AK5,L5=AJ5),$Q$1,"")))</f>
        <v>2019 Nationals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28.5</v>
      </c>
      <c r="R5" s="63">
        <v>5.2</v>
      </c>
      <c r="S5" s="63">
        <v>0.9</v>
      </c>
      <c r="T5" s="63">
        <v>0</v>
      </c>
      <c r="U5" s="63">
        <v>28.6</v>
      </c>
      <c r="V5" s="63">
        <v>5.6</v>
      </c>
      <c r="W5" s="63">
        <v>0</v>
      </c>
      <c r="X5" s="63">
        <v>0</v>
      </c>
      <c r="Y5" s="63">
        <v>20.2</v>
      </c>
      <c r="Z5" s="63">
        <v>2.8</v>
      </c>
      <c r="AA5" s="63">
        <v>0</v>
      </c>
      <c r="AB5" s="63">
        <v>0</v>
      </c>
      <c r="AC5" s="63">
        <v>28.2</v>
      </c>
      <c r="AD5" s="63">
        <v>3.4</v>
      </c>
      <c r="AE5" s="63">
        <v>1.5</v>
      </c>
      <c r="AF5" s="63">
        <v>0</v>
      </c>
      <c r="AG5" s="74"/>
      <c r="AH5" s="12">
        <f>IF(SUM(R5,V5)&gt;0,SUM(R5,V5),"")</f>
        <v>10.8</v>
      </c>
      <c r="AI5" s="12">
        <f>IF(SUM(R5,V5,Z5,AD5)&gt;0,SUM(R5,V5,Z5,AD5),"")</f>
        <v>17</v>
      </c>
      <c r="AJ5" s="12">
        <f>IF(SUM(Q5:R5,T5:V5,X5)-SUM(S5,W5)&gt;0,SUM(Q5:R5,T5:V5,X5)-SUM(S5,W5),"")</f>
        <v>67</v>
      </c>
      <c r="AK5" s="12">
        <f>IF(SUM(Y5:Z5,AB5:AD5,AF5)-SUM(AA5,AE5)&gt;0,SUM(Y5:Z5,AB5:AD5,AF5)-SUM(AA5,AE5),"")</f>
        <v>53.1</v>
      </c>
      <c r="AL5" s="12">
        <f>IF(SUM(AJ5,AK5)&gt;0,SUM(AJ5,AK5),"")</f>
        <v>120.1</v>
      </c>
      <c r="AM5" s="37">
        <v>28.5</v>
      </c>
      <c r="AN5" s="37">
        <v>3</v>
      </c>
      <c r="AO5" s="37">
        <v>1</v>
      </c>
      <c r="AP5" s="37">
        <v>0</v>
      </c>
      <c r="AQ5" s="37">
        <v>20.100000000000001</v>
      </c>
      <c r="AR5" s="37">
        <v>2.8</v>
      </c>
      <c r="AS5" s="37">
        <v>0</v>
      </c>
      <c r="AT5" s="37">
        <v>0</v>
      </c>
      <c r="AU5" s="37"/>
      <c r="AV5" s="37"/>
      <c r="AW5" s="37"/>
      <c r="AX5" s="37"/>
      <c r="AY5" s="37"/>
      <c r="AZ5" s="37"/>
      <c r="BA5" s="37"/>
      <c r="BB5" s="37"/>
      <c r="BC5" s="75"/>
      <c r="BD5" s="15">
        <f>IF(SUM(AN5,AR5)&gt;0,SUM(AN5,AR5),"")</f>
        <v>5.8</v>
      </c>
      <c r="BE5" s="15">
        <f>IF(SUM(AN5,AR5,AV5,AZ5)&gt;0,SUM(AN5,AR5,AV5,AZ5),"")</f>
        <v>5.8</v>
      </c>
      <c r="BF5" s="15">
        <f>IF(SUM(AM5:AN5,AP5:AR5,AT5)-SUM(AO5,AS5)&gt;0,SUM(AM5:AN5,AP5:AR5,AT5)-SUM(AO5,AS5),"")</f>
        <v>53.4</v>
      </c>
      <c r="BG5" s="15" t="str">
        <f>IF(SUM(AU5:AV5,AX5:AZ5,BB5)-SUM(AW5,BA5)&gt;0,SUM(AU5:AV5,AX5:AZ5,BB5)-SUM(AW5,BA5),"")</f>
        <v/>
      </c>
      <c r="BH5" s="15">
        <f>IF(SUM(BF5,BG5)&gt;0,SUM(BF5,BG5),"")</f>
        <v>53.4</v>
      </c>
      <c r="BI5" s="24"/>
      <c r="BJ5" s="24"/>
      <c r="BK5" s="41">
        <v>27.7</v>
      </c>
      <c r="BL5" s="41">
        <v>5.2</v>
      </c>
      <c r="BM5" s="41">
        <v>0</v>
      </c>
      <c r="BN5" s="41">
        <v>0</v>
      </c>
      <c r="BO5" s="41">
        <v>19.8</v>
      </c>
      <c r="BP5" s="41">
        <v>2.4</v>
      </c>
      <c r="BQ5" s="41">
        <v>0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>IF(SUM(BL5,BP5)&gt;0,SUM(BL5,BP5),"")</f>
        <v>7.6</v>
      </c>
      <c r="CB5" s="12">
        <f>IF(SUM(BL5,BP5,BT5,BX5)&gt;0,SUM(BL5,BP5,BT5,BX5),"")</f>
        <v>7.6</v>
      </c>
      <c r="CC5" s="12">
        <f>IF(SUM(BK5:BL5,BN5:BP5,BR5)-SUM(BM5,BQ5)&gt;0,SUM(BK5:BL5,BN5:BP5,BR5)-SUM(BM5,BQ5),"")</f>
        <v>55.1</v>
      </c>
      <c r="CD5" s="12" t="str">
        <f>IF(SUM(BS5:BT5,BV5:BX5,BZ5)-SUM(BU5,BY5)&gt;0,SUM(BS5:BT5,BV5:BX5,BZ5)-SUM(BU5,BY5),"")</f>
        <v/>
      </c>
      <c r="CE5" s="12">
        <f>IF(SUM(CC5,CD5)&gt;0,SUM(CC5,CD5),"")</f>
        <v>55.1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" si="7">IF($BC5="P",AM5,(Q5+AM5)/2)</f>
        <v>28.5</v>
      </c>
      <c r="LD5" s="63">
        <f t="shared" ref="LD5" si="8">IF($BC5="P",AN5,(R5+AN5)/2)</f>
        <v>4.0999999999999996</v>
      </c>
      <c r="LE5" s="63">
        <f t="shared" ref="LE5" si="9">IF($BC5="P",AO5,(S5+AO5)/2)</f>
        <v>0.95</v>
      </c>
      <c r="LF5" s="63">
        <f t="shared" ref="LF5" si="10">IF($BC5="P",AP5,(T5+AP5)/2)</f>
        <v>0</v>
      </c>
      <c r="LG5" s="63">
        <f t="shared" ref="LG5" si="11">IF($BC5="P",AQ5,(U5+AQ5)/2)</f>
        <v>24.35</v>
      </c>
      <c r="LH5" s="63">
        <f t="shared" ref="LH5" si="12">IF($BC5="P",AR5,(V5+AR5)/2)</f>
        <v>4.1999999999999993</v>
      </c>
      <c r="LI5" s="63">
        <f t="shared" ref="LI5" si="13">IF($BC5="P",AS5,(W5+AS5)/2)</f>
        <v>0</v>
      </c>
      <c r="LJ5" s="63">
        <f t="shared" ref="LJ5" si="14">IF($BC5="P",AT5,(X5+AT5)/2)</f>
        <v>0</v>
      </c>
      <c r="LK5" s="63">
        <f t="shared" ref="LK5" si="15">IF($BC5="P",AU5,(Y5+AU5)/2)</f>
        <v>10.1</v>
      </c>
      <c r="LL5" s="63">
        <f t="shared" ref="LL5" si="16">IF($BC5="P",AV5,(Z5+AV5)/2)</f>
        <v>1.4</v>
      </c>
      <c r="LM5" s="63">
        <f t="shared" ref="LM5" si="17">IF($BC5="P",AW5,(AA5+AW5)/2)</f>
        <v>0</v>
      </c>
      <c r="LN5" s="63">
        <f t="shared" ref="LN5" si="18">IF($BC5="P",AX5,(AB5+AX5)/2)</f>
        <v>0</v>
      </c>
      <c r="LO5" s="63">
        <f t="shared" ref="LO5" si="19">IF($BC5="P",AY5,(AC5+AY5)/2)</f>
        <v>14.1</v>
      </c>
      <c r="LP5" s="63">
        <f t="shared" ref="LP5" si="20">IF($BC5="P",AZ5,(AD5+AZ5)/2)</f>
        <v>1.7</v>
      </c>
      <c r="LQ5" s="63">
        <f t="shared" ref="LQ5" si="21">IF($BC5="P",BA5,(AE5+BA5)/2)</f>
        <v>0.75</v>
      </c>
      <c r="LR5" s="63">
        <f t="shared" ref="LR5" si="22">IF($BC5="P",BB5,(AF5+BB5)/2)</f>
        <v>0</v>
      </c>
      <c r="LS5" s="74" t="s">
        <v>81</v>
      </c>
      <c r="LT5" s="12">
        <f t="shared" ref="LT5" si="23">IF(SUM(LD5,LH5)&gt;0,SUM(LD5,LH5),"")</f>
        <v>8.2999999999999989</v>
      </c>
      <c r="LU5" s="12">
        <f t="shared" ref="LU5" si="24">IF(SUM(LD5,LH5,LL5,LP5)&gt;0,SUM(LD5,LH5,LL5,LP5),"")</f>
        <v>11.399999999999999</v>
      </c>
      <c r="LV5" s="12">
        <f t="shared" ref="LV5" si="25">IF(SUM(LC5:LD5,LF5:LH5,LJ5)-SUM(LE5,LI5)&gt;0,SUM(LC5:LD5,LF5:LH5,LJ5)-SUM(LE5,LI5),"")</f>
        <v>60.2</v>
      </c>
      <c r="LW5" s="12">
        <f t="shared" ref="LW5" si="26">IF(SUM(LK5:LL5,LN5:LP5,LR5)-SUM(LM5,LQ5)&gt;0,SUM(LK5:LL5,LN5:LP5,LR5)-SUM(LM5,LQ5),"")</f>
        <v>26.55</v>
      </c>
      <c r="LX5" s="12">
        <f t="shared" ref="LX5" si="27">IF(SUM(LV5,LW5)&gt;0,SUM(LV5,LW5),"")</f>
        <v>86.75</v>
      </c>
    </row>
    <row r="6" spans="1:336" s="47" customFormat="1" x14ac:dyDescent="0.2">
      <c r="A6" s="8"/>
      <c r="B6" s="9"/>
      <c r="C6" s="5"/>
      <c r="D6" s="8"/>
      <c r="E6" s="95"/>
      <c r="F6" s="96"/>
      <c r="G6" s="96"/>
      <c r="H6" s="96"/>
      <c r="J6" s="48"/>
      <c r="K6" s="48"/>
      <c r="L6" s="48"/>
      <c r="M6" s="48"/>
      <c r="N6" s="48"/>
      <c r="O6" s="97"/>
      <c r="P6" s="4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9"/>
      <c r="AH6" s="48"/>
      <c r="AI6" s="48"/>
      <c r="AJ6" s="48"/>
      <c r="AK6" s="48"/>
      <c r="AL6" s="48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99"/>
      <c r="BD6" s="48"/>
      <c r="BE6" s="48"/>
      <c r="BF6" s="48"/>
      <c r="BG6" s="48"/>
      <c r="BH6" s="48"/>
      <c r="BI6" s="48"/>
      <c r="BJ6" s="48"/>
      <c r="BK6" s="101"/>
      <c r="BL6" s="101"/>
      <c r="BM6" s="101"/>
      <c r="BN6" s="101"/>
      <c r="BO6" s="101"/>
      <c r="BP6" s="101"/>
      <c r="BQ6" s="101"/>
      <c r="BR6" s="101"/>
      <c r="BS6" s="101"/>
      <c r="BT6" s="101"/>
      <c r="BU6" s="101"/>
      <c r="BV6" s="101"/>
      <c r="BW6" s="101"/>
      <c r="BX6" s="101"/>
      <c r="BY6" s="101"/>
      <c r="BZ6" s="101"/>
      <c r="CA6" s="48"/>
      <c r="CB6" s="48"/>
      <c r="CC6" s="48"/>
      <c r="CD6" s="48"/>
      <c r="CE6" s="48"/>
      <c r="CF6" s="101"/>
      <c r="CG6" s="101"/>
      <c r="CH6" s="101"/>
      <c r="CI6" s="101"/>
      <c r="CJ6" s="101"/>
      <c r="CK6" s="101"/>
      <c r="CL6" s="101"/>
      <c r="CM6" s="101"/>
      <c r="CN6" s="101"/>
      <c r="CO6" s="101"/>
      <c r="CP6" s="101"/>
      <c r="CQ6" s="101"/>
      <c r="CR6" s="101"/>
      <c r="CS6" s="101"/>
      <c r="CT6" s="101"/>
      <c r="CU6" s="101"/>
      <c r="CV6" s="48"/>
      <c r="CW6" s="48"/>
      <c r="CX6" s="48"/>
      <c r="CY6" s="48"/>
      <c r="CZ6" s="48"/>
      <c r="DA6" s="101"/>
      <c r="DB6" s="101"/>
      <c r="DC6" s="101"/>
      <c r="DD6" s="101"/>
      <c r="DE6" s="101"/>
      <c r="DF6" s="101"/>
      <c r="DG6" s="101"/>
      <c r="DH6" s="101"/>
      <c r="DI6" s="101"/>
      <c r="DJ6" s="101"/>
      <c r="DK6" s="101"/>
      <c r="DL6" s="101"/>
      <c r="DM6" s="101"/>
      <c r="DN6" s="101"/>
      <c r="DO6" s="101"/>
      <c r="DP6" s="101"/>
      <c r="DQ6" s="48"/>
      <c r="DR6" s="48"/>
      <c r="DS6" s="48"/>
      <c r="DT6" s="48"/>
      <c r="DU6" s="48"/>
      <c r="DV6" s="101"/>
      <c r="DW6" s="101"/>
      <c r="DX6" s="101"/>
      <c r="DY6" s="101"/>
      <c r="DZ6" s="101"/>
      <c r="EA6" s="101"/>
      <c r="EB6" s="101"/>
      <c r="EC6" s="101"/>
      <c r="ED6" s="101"/>
      <c r="EE6" s="101"/>
      <c r="EF6" s="101"/>
      <c r="EG6" s="101"/>
      <c r="EH6" s="101"/>
      <c r="EI6" s="101"/>
      <c r="EJ6" s="101"/>
      <c r="EK6" s="101"/>
      <c r="EL6" s="48"/>
      <c r="EM6" s="48"/>
      <c r="EN6" s="48"/>
      <c r="EO6" s="48"/>
      <c r="EP6" s="48"/>
      <c r="EQ6" s="101"/>
      <c r="ER6" s="101"/>
      <c r="ES6" s="101"/>
      <c r="ET6" s="101"/>
      <c r="EU6" s="101"/>
      <c r="EV6" s="101"/>
      <c r="EW6" s="101"/>
      <c r="EX6" s="101"/>
      <c r="EY6" s="101"/>
      <c r="EZ6" s="101"/>
      <c r="FA6" s="101"/>
      <c r="FB6" s="101"/>
      <c r="FC6" s="101"/>
      <c r="FD6" s="101"/>
      <c r="FE6" s="101"/>
      <c r="FF6" s="101"/>
      <c r="FG6" s="48"/>
      <c r="FH6" s="48"/>
      <c r="FI6" s="48"/>
      <c r="FJ6" s="48"/>
      <c r="FK6" s="48"/>
      <c r="FL6" s="101"/>
      <c r="FM6" s="101"/>
      <c r="FN6" s="101"/>
      <c r="FO6" s="101"/>
      <c r="FP6" s="101"/>
      <c r="FQ6" s="101"/>
      <c r="FR6" s="101"/>
      <c r="FS6" s="101"/>
      <c r="FT6" s="101"/>
      <c r="FU6" s="101"/>
      <c r="FV6" s="101"/>
      <c r="FW6" s="101"/>
      <c r="FX6" s="101"/>
      <c r="FY6" s="101"/>
      <c r="FZ6" s="101"/>
      <c r="GA6" s="101"/>
      <c r="GB6" s="48"/>
      <c r="GC6" s="48"/>
      <c r="GD6" s="48"/>
      <c r="GE6" s="48"/>
      <c r="GF6" s="48"/>
      <c r="GG6" s="101"/>
      <c r="GH6" s="101"/>
      <c r="GI6" s="101"/>
      <c r="GJ6" s="101"/>
      <c r="GK6" s="101"/>
      <c r="GL6" s="101"/>
      <c r="GM6" s="101"/>
      <c r="GN6" s="101"/>
      <c r="GO6" s="101"/>
      <c r="GP6" s="101"/>
      <c r="GQ6" s="101"/>
      <c r="GR6" s="101"/>
      <c r="GS6" s="101"/>
      <c r="GT6" s="101"/>
      <c r="GU6" s="101"/>
      <c r="GV6" s="101"/>
      <c r="GW6" s="48"/>
      <c r="GX6" s="48"/>
      <c r="GY6" s="48"/>
      <c r="GZ6" s="48"/>
      <c r="HA6" s="48"/>
      <c r="HB6" s="101"/>
      <c r="HC6" s="101"/>
      <c r="HD6" s="101"/>
      <c r="HE6" s="101"/>
      <c r="HF6" s="101"/>
      <c r="HG6" s="101"/>
      <c r="HH6" s="101"/>
      <c r="HI6" s="101"/>
      <c r="HJ6" s="101"/>
      <c r="HK6" s="101"/>
      <c r="HL6" s="101"/>
      <c r="HM6" s="101"/>
      <c r="HN6" s="101"/>
      <c r="HO6" s="101"/>
      <c r="HP6" s="101"/>
      <c r="HQ6" s="101"/>
      <c r="HR6" s="48"/>
      <c r="HS6" s="48"/>
      <c r="HT6" s="48"/>
      <c r="HU6" s="48"/>
      <c r="HV6" s="48"/>
      <c r="HW6" s="101"/>
      <c r="HX6" s="101"/>
      <c r="HY6" s="101"/>
      <c r="HZ6" s="101"/>
      <c r="IA6" s="101"/>
      <c r="IB6" s="101"/>
      <c r="IC6" s="101"/>
      <c r="ID6" s="101"/>
      <c r="IE6" s="101"/>
      <c r="IF6" s="101"/>
      <c r="IG6" s="101"/>
      <c r="IH6" s="101"/>
      <c r="II6" s="101"/>
      <c r="IJ6" s="101"/>
      <c r="IK6" s="101"/>
      <c r="IL6" s="101"/>
      <c r="IM6" s="48"/>
      <c r="IN6" s="48"/>
      <c r="IO6" s="48"/>
      <c r="IP6" s="48"/>
      <c r="IQ6" s="48"/>
      <c r="IR6" s="101"/>
      <c r="IS6" s="101"/>
      <c r="IT6" s="101"/>
      <c r="IU6" s="101"/>
      <c r="IV6" s="101"/>
      <c r="IW6" s="101"/>
      <c r="IX6" s="101"/>
      <c r="IY6" s="101"/>
      <c r="IZ6" s="101"/>
      <c r="JA6" s="101"/>
      <c r="JB6" s="101"/>
      <c r="JC6" s="101"/>
      <c r="JD6" s="101"/>
      <c r="JE6" s="101"/>
      <c r="JF6" s="101"/>
      <c r="JG6" s="101"/>
      <c r="JH6" s="48"/>
      <c r="JI6" s="48"/>
      <c r="JJ6" s="48"/>
      <c r="JK6" s="48"/>
      <c r="JL6" s="48"/>
      <c r="JM6" s="101"/>
      <c r="JN6" s="101"/>
      <c r="JO6" s="101"/>
      <c r="JP6" s="101"/>
      <c r="JQ6" s="101"/>
      <c r="JR6" s="101"/>
      <c r="JS6" s="101"/>
      <c r="JT6" s="101"/>
      <c r="JU6" s="101"/>
      <c r="JV6" s="101"/>
      <c r="JW6" s="101"/>
      <c r="JX6" s="101"/>
      <c r="JY6" s="101"/>
      <c r="JZ6" s="101"/>
      <c r="KA6" s="101"/>
      <c r="KB6" s="101"/>
      <c r="KC6" s="48"/>
      <c r="KD6" s="48"/>
      <c r="KE6" s="48"/>
      <c r="KF6" s="48"/>
      <c r="KG6" s="48"/>
      <c r="KH6" s="101"/>
      <c r="KI6" s="101"/>
      <c r="KJ6" s="101"/>
      <c r="KK6" s="101"/>
      <c r="KL6" s="101"/>
      <c r="KM6" s="101"/>
      <c r="KN6" s="101"/>
      <c r="KO6" s="101"/>
      <c r="KP6" s="101"/>
      <c r="KQ6" s="101"/>
      <c r="KR6" s="101"/>
      <c r="KS6" s="101"/>
      <c r="KT6" s="101"/>
      <c r="KU6" s="101"/>
      <c r="KV6" s="101"/>
      <c r="KW6" s="101"/>
      <c r="KX6" s="48"/>
      <c r="KY6" s="48"/>
      <c r="KZ6" s="48"/>
      <c r="LA6" s="48"/>
      <c r="LB6" s="48"/>
    </row>
    <row r="7" spans="1:336" x14ac:dyDescent="0.2">
      <c r="AH7" s="48"/>
      <c r="AI7" s="48"/>
      <c r="BD7" s="48"/>
      <c r="BE7" s="48"/>
      <c r="CA7" s="48"/>
      <c r="CB7" s="48"/>
      <c r="CV7" s="48"/>
      <c r="CW7" s="48"/>
      <c r="DQ7" s="48"/>
      <c r="DR7" s="48"/>
      <c r="EL7" s="48"/>
      <c r="EM7" s="48"/>
      <c r="FG7" s="48"/>
      <c r="FH7" s="48"/>
      <c r="GB7" s="48"/>
      <c r="GC7" s="48"/>
      <c r="GW7" s="48"/>
      <c r="GX7" s="48"/>
      <c r="HR7" s="48"/>
      <c r="HS7" s="48"/>
      <c r="IM7" s="48"/>
      <c r="IN7" s="48"/>
      <c r="JH7" s="48"/>
      <c r="JI7" s="48"/>
      <c r="KC7" s="48"/>
      <c r="KD7" s="48"/>
      <c r="KX7" s="48"/>
      <c r="KY7" s="48"/>
    </row>
    <row r="8" spans="1:336" x14ac:dyDescent="0.2">
      <c r="B8" s="64" t="s">
        <v>51</v>
      </c>
      <c r="AH8" s="48"/>
      <c r="AI8" s="48"/>
      <c r="AK8" s="58">
        <v>10.4</v>
      </c>
      <c r="BD8" s="48"/>
      <c r="BE8" s="48"/>
      <c r="BG8" s="58">
        <v>10.4</v>
      </c>
      <c r="CA8" s="48"/>
      <c r="CB8" s="48"/>
      <c r="CD8" s="58">
        <v>10.4</v>
      </c>
      <c r="CV8" s="48"/>
      <c r="CW8" s="48"/>
      <c r="CY8" s="58">
        <v>10.4</v>
      </c>
      <c r="DQ8" s="48"/>
      <c r="DR8" s="48"/>
      <c r="DT8" s="58">
        <v>10.4</v>
      </c>
      <c r="EL8" s="48"/>
      <c r="EM8" s="48"/>
      <c r="EO8" s="58">
        <v>10.4</v>
      </c>
      <c r="FG8" s="48"/>
      <c r="FH8" s="48"/>
      <c r="FJ8" s="58">
        <v>10.4</v>
      </c>
      <c r="GB8" s="48"/>
      <c r="GC8" s="48"/>
      <c r="GE8" s="58">
        <v>10.4</v>
      </c>
      <c r="GW8" s="48"/>
      <c r="GX8" s="48"/>
      <c r="GZ8" s="58">
        <v>10.4</v>
      </c>
      <c r="HR8" s="48"/>
      <c r="HS8" s="48"/>
      <c r="HU8" s="58">
        <v>10.4</v>
      </c>
      <c r="IM8" s="48"/>
      <c r="IN8" s="48"/>
      <c r="IP8" s="58">
        <v>10.4</v>
      </c>
      <c r="JH8" s="48"/>
      <c r="JI8" s="48"/>
      <c r="JK8" s="58">
        <v>10.4</v>
      </c>
      <c r="KC8" s="48"/>
      <c r="KD8" s="48"/>
      <c r="KF8" s="58">
        <v>10.4</v>
      </c>
      <c r="KX8" s="48"/>
      <c r="KY8" s="48"/>
      <c r="LA8" s="58">
        <v>10.4</v>
      </c>
    </row>
    <row r="9" spans="1:336" hidden="1" x14ac:dyDescent="0.2">
      <c r="B9" s="90" t="s">
        <v>50</v>
      </c>
      <c r="AH9" s="48"/>
      <c r="AI9" s="48"/>
      <c r="AK9" s="92">
        <v>22</v>
      </c>
      <c r="BD9" s="48"/>
      <c r="BE9" s="48"/>
      <c r="BG9" s="92">
        <v>22</v>
      </c>
      <c r="CA9" s="48"/>
      <c r="CB9" s="48"/>
      <c r="CD9" s="92">
        <v>19.600000000000001</v>
      </c>
      <c r="CV9" s="48"/>
      <c r="CW9" s="48"/>
      <c r="CY9" s="92">
        <v>19.600000000000001</v>
      </c>
      <c r="DQ9" s="48"/>
      <c r="DR9" s="48"/>
      <c r="DT9" s="92">
        <v>19.600000000000001</v>
      </c>
      <c r="EL9" s="48"/>
      <c r="EM9" s="48"/>
      <c r="EO9" s="92">
        <v>19.600000000000001</v>
      </c>
      <c r="FG9" s="48"/>
      <c r="FH9" s="48"/>
      <c r="FJ9" s="92">
        <v>19.600000000000001</v>
      </c>
      <c r="GB9" s="48"/>
      <c r="GC9" s="48"/>
      <c r="GE9" s="92">
        <v>19.600000000000001</v>
      </c>
      <c r="GW9" s="48"/>
      <c r="GX9" s="48"/>
      <c r="GZ9" s="92">
        <v>19.600000000000001</v>
      </c>
      <c r="HR9" s="48"/>
      <c r="HS9" s="48"/>
      <c r="HU9" s="92">
        <v>19.600000000000001</v>
      </c>
      <c r="IM9" s="48"/>
      <c r="IN9" s="48"/>
      <c r="IP9" s="92">
        <v>19.600000000000001</v>
      </c>
      <c r="JH9" s="48"/>
      <c r="JI9" s="48"/>
      <c r="JK9" s="92">
        <v>19.600000000000001</v>
      </c>
      <c r="KC9" s="48"/>
      <c r="KD9" s="48"/>
      <c r="KF9" s="92">
        <v>19.600000000000001</v>
      </c>
      <c r="KX9" s="48"/>
      <c r="KY9" s="48"/>
      <c r="LA9" s="92">
        <v>19.600000000000001</v>
      </c>
    </row>
    <row r="10" spans="1:336" x14ac:dyDescent="0.2">
      <c r="A10" s="50"/>
      <c r="B10" s="91" t="s">
        <v>67</v>
      </c>
      <c r="C10" s="49"/>
      <c r="AK10" s="93">
        <v>19.600000000000001</v>
      </c>
      <c r="BG10" s="93">
        <v>19.600000000000001</v>
      </c>
      <c r="CD10" s="93">
        <v>19.600000000000001</v>
      </c>
      <c r="CY10" s="93">
        <v>19.600000000000001</v>
      </c>
      <c r="DT10" s="93">
        <v>19.600000000000001</v>
      </c>
      <c r="EO10" s="93">
        <v>19.600000000000001</v>
      </c>
      <c r="FJ10" s="93">
        <v>19.600000000000001</v>
      </c>
      <c r="GE10" s="93">
        <v>19.600000000000001</v>
      </c>
      <c r="GZ10" s="93">
        <v>19.600000000000001</v>
      </c>
      <c r="HU10" s="93">
        <v>19.600000000000001</v>
      </c>
      <c r="IP10" s="93">
        <v>19.600000000000001</v>
      </c>
      <c r="JK10" s="93">
        <v>19.600000000000001</v>
      </c>
      <c r="KF10" s="93">
        <v>19.600000000000001</v>
      </c>
      <c r="LA10" s="93">
        <v>19.600000000000001</v>
      </c>
    </row>
    <row r="11" spans="1:336" x14ac:dyDescent="0.2">
      <c r="A11" s="50"/>
      <c r="B11" s="65" t="s">
        <v>48</v>
      </c>
      <c r="C11" s="49"/>
      <c r="AK11" s="59">
        <v>65</v>
      </c>
      <c r="BG11" s="59">
        <v>65</v>
      </c>
      <c r="CD11" s="59">
        <v>65</v>
      </c>
      <c r="CY11" s="59">
        <v>65</v>
      </c>
      <c r="DT11" s="59">
        <v>65</v>
      </c>
      <c r="EO11" s="59">
        <v>65</v>
      </c>
      <c r="FJ11" s="59">
        <v>65</v>
      </c>
      <c r="GE11" s="59">
        <v>65</v>
      </c>
      <c r="GZ11" s="59">
        <v>65</v>
      </c>
      <c r="HU11" s="59">
        <v>65</v>
      </c>
      <c r="IP11" s="59">
        <v>65</v>
      </c>
      <c r="JK11" s="59">
        <v>65</v>
      </c>
      <c r="KF11" s="59">
        <v>65</v>
      </c>
      <c r="LA11" s="59">
        <v>65</v>
      </c>
    </row>
    <row r="12" spans="1:336" hidden="1" x14ac:dyDescent="0.2">
      <c r="A12" s="50"/>
      <c r="B12" s="66" t="s">
        <v>49</v>
      </c>
      <c r="C12" s="49"/>
      <c r="AH12" s="50"/>
      <c r="AI12" s="50"/>
      <c r="AK12" s="60">
        <v>132</v>
      </c>
      <c r="BD12" s="50"/>
      <c r="BE12" s="50"/>
      <c r="BG12" s="60">
        <v>132</v>
      </c>
      <c r="CA12" s="50"/>
      <c r="CB12" s="50"/>
      <c r="CD12" s="60">
        <v>130</v>
      </c>
      <c r="CV12" s="50"/>
      <c r="CW12" s="50"/>
      <c r="CY12" s="60">
        <v>130</v>
      </c>
      <c r="DQ12" s="50"/>
      <c r="DR12" s="50"/>
      <c r="DT12" s="60">
        <v>130</v>
      </c>
      <c r="EL12" s="50"/>
      <c r="EM12" s="50"/>
      <c r="EO12" s="60">
        <v>130</v>
      </c>
      <c r="FG12" s="50"/>
      <c r="FH12" s="50"/>
      <c r="FJ12" s="60">
        <v>130</v>
      </c>
      <c r="GB12" s="50"/>
      <c r="GC12" s="50"/>
      <c r="GE12" s="60">
        <v>130</v>
      </c>
      <c r="GW12" s="50"/>
      <c r="GX12" s="50"/>
      <c r="GZ12" s="60">
        <v>130</v>
      </c>
      <c r="HR12" s="50"/>
      <c r="HS12" s="50"/>
      <c r="HU12" s="60">
        <v>130</v>
      </c>
      <c r="IM12" s="50"/>
      <c r="IN12" s="50"/>
      <c r="IP12" s="60">
        <v>130</v>
      </c>
      <c r="JH12" s="50"/>
      <c r="JI12" s="50"/>
      <c r="JK12" s="60">
        <v>130</v>
      </c>
      <c r="KC12" s="50"/>
      <c r="KD12" s="50"/>
      <c r="KF12" s="60">
        <v>130</v>
      </c>
      <c r="KX12" s="50"/>
      <c r="KY12" s="50"/>
      <c r="LA12" s="60">
        <v>130</v>
      </c>
    </row>
    <row r="13" spans="1:336" x14ac:dyDescent="0.2">
      <c r="A13" s="50"/>
      <c r="B13" s="67" t="s">
        <v>62</v>
      </c>
      <c r="C13" s="49"/>
      <c r="AH13" s="50"/>
      <c r="AI13" s="50"/>
      <c r="AK13" s="61">
        <v>130</v>
      </c>
      <c r="BD13" s="50"/>
      <c r="BE13" s="50"/>
      <c r="BG13" s="61">
        <v>130</v>
      </c>
      <c r="CA13" s="50"/>
      <c r="CB13" s="50"/>
      <c r="CD13" s="61">
        <v>130</v>
      </c>
      <c r="CV13" s="50"/>
      <c r="CW13" s="50"/>
      <c r="CY13" s="61">
        <v>130</v>
      </c>
      <c r="DQ13" s="50"/>
      <c r="DR13" s="50"/>
      <c r="DT13" s="61">
        <v>130</v>
      </c>
      <c r="EL13" s="50"/>
      <c r="EM13" s="50"/>
      <c r="EO13" s="61">
        <v>130</v>
      </c>
      <c r="FG13" s="50"/>
      <c r="FH13" s="50"/>
      <c r="FJ13" s="61">
        <v>130</v>
      </c>
      <c r="GB13" s="50"/>
      <c r="GC13" s="50"/>
      <c r="GE13" s="61">
        <v>130</v>
      </c>
      <c r="GW13" s="50"/>
      <c r="GX13" s="50"/>
      <c r="GZ13" s="61">
        <v>130</v>
      </c>
      <c r="HR13" s="50"/>
      <c r="HS13" s="50"/>
      <c r="HU13" s="61">
        <v>130</v>
      </c>
      <c r="IM13" s="50"/>
      <c r="IN13" s="50"/>
      <c r="IP13" s="61">
        <v>130</v>
      </c>
      <c r="JH13" s="50"/>
      <c r="JI13" s="50"/>
      <c r="JK13" s="61">
        <v>130</v>
      </c>
      <c r="KC13" s="50"/>
      <c r="KD13" s="50"/>
      <c r="KF13" s="61">
        <v>130</v>
      </c>
      <c r="KX13" s="50"/>
      <c r="KY13" s="50"/>
      <c r="LA13" s="61">
        <v>130</v>
      </c>
    </row>
    <row r="14" spans="1:336" hidden="1" x14ac:dyDescent="0.2">
      <c r="A14" s="50"/>
      <c r="B14" s="68" t="s">
        <v>35</v>
      </c>
      <c r="C14" s="49"/>
      <c r="AH14" s="50"/>
      <c r="AI14" s="50"/>
      <c r="AK14" s="62">
        <v>1000</v>
      </c>
      <c r="BD14" s="50"/>
      <c r="BE14" s="50"/>
      <c r="BG14" s="62">
        <v>1000</v>
      </c>
      <c r="CA14" s="50"/>
      <c r="CB14" s="50"/>
      <c r="CD14" s="62">
        <v>1000</v>
      </c>
      <c r="CV14" s="50"/>
      <c r="CW14" s="50"/>
      <c r="CY14" s="62">
        <v>1000</v>
      </c>
      <c r="DQ14" s="50"/>
      <c r="DR14" s="50"/>
      <c r="DT14" s="62">
        <v>1000</v>
      </c>
      <c r="EL14" s="50"/>
      <c r="EM14" s="50"/>
      <c r="EO14" s="62">
        <v>1000</v>
      </c>
      <c r="FG14" s="50"/>
      <c r="FH14" s="50"/>
      <c r="FJ14" s="62">
        <v>1000</v>
      </c>
      <c r="GB14" s="50"/>
      <c r="GC14" s="50"/>
      <c r="GE14" s="62">
        <v>1000</v>
      </c>
      <c r="GW14" s="50"/>
      <c r="GX14" s="50"/>
      <c r="GZ14" s="62">
        <v>1000</v>
      </c>
      <c r="HR14" s="50"/>
      <c r="HS14" s="50"/>
      <c r="HU14" s="62">
        <v>1000</v>
      </c>
      <c r="IM14" s="50"/>
      <c r="IN14" s="50"/>
      <c r="IP14" s="62">
        <v>1000</v>
      </c>
      <c r="JH14" s="50"/>
      <c r="JI14" s="50"/>
      <c r="JK14" s="62">
        <v>1000</v>
      </c>
      <c r="KC14" s="50"/>
      <c r="KD14" s="50"/>
      <c r="KF14" s="62">
        <v>1000</v>
      </c>
      <c r="KX14" s="50"/>
      <c r="KY14" s="50"/>
      <c r="LA14" s="62">
        <v>1000</v>
      </c>
    </row>
    <row r="15" spans="1:336" x14ac:dyDescent="0.2">
      <c r="B15" s="76" t="s">
        <v>53</v>
      </c>
      <c r="C15" s="3"/>
      <c r="AH15" s="50"/>
      <c r="AI15" s="50"/>
      <c r="BD15" s="50"/>
      <c r="BE15" s="50"/>
      <c r="CA15" s="50"/>
      <c r="CB15" s="50"/>
      <c r="CC15" s="7"/>
      <c r="CV15" s="50"/>
      <c r="CW15" s="50"/>
      <c r="DQ15" s="50"/>
      <c r="DR15" s="50"/>
      <c r="EL15" s="50"/>
      <c r="EM15" s="50"/>
      <c r="FG15" s="50"/>
      <c r="FH15" s="50"/>
      <c r="GB15" s="50"/>
      <c r="GC15" s="50"/>
      <c r="GW15" s="50"/>
      <c r="GX15" s="50"/>
      <c r="HR15" s="50"/>
      <c r="HS15" s="50"/>
      <c r="IM15" s="50"/>
      <c r="IN15" s="50"/>
      <c r="JH15" s="50"/>
      <c r="JI15" s="50"/>
      <c r="JJ15" s="7"/>
      <c r="KC15" s="50"/>
      <c r="KD15" s="50"/>
      <c r="KX15" s="50"/>
      <c r="KY15" s="50"/>
    </row>
    <row r="16" spans="1:336" x14ac:dyDescent="0.2">
      <c r="A16" s="50"/>
      <c r="B16" s="50"/>
      <c r="C16" s="49"/>
      <c r="AH16" s="50"/>
      <c r="AI16" s="50"/>
      <c r="BD16" s="50"/>
      <c r="BE16" s="50"/>
      <c r="CA16" s="50"/>
      <c r="CB16" s="50"/>
      <c r="CV16" s="50"/>
      <c r="CW16" s="50"/>
      <c r="DQ16" s="50"/>
      <c r="DR16" s="50"/>
      <c r="EL16" s="50"/>
      <c r="EM16" s="50"/>
      <c r="FG16" s="50"/>
      <c r="FH16" s="50"/>
      <c r="GB16" s="50"/>
      <c r="GC16" s="50"/>
      <c r="GW16" s="50"/>
      <c r="GX16" s="50"/>
      <c r="HR16" s="50"/>
      <c r="HS16" s="50"/>
      <c r="IM16" s="50"/>
      <c r="IN16" s="50"/>
      <c r="JH16" s="50"/>
      <c r="JI16" s="50"/>
      <c r="KC16" s="50"/>
      <c r="KD16" s="50"/>
      <c r="KX16" s="50"/>
      <c r="KY16" s="50"/>
    </row>
    <row r="17" spans="1:311" x14ac:dyDescent="0.2">
      <c r="A17" s="50"/>
      <c r="B17" s="50"/>
      <c r="C17" s="49"/>
      <c r="AH17" s="50"/>
      <c r="AI17" s="50"/>
      <c r="BD17" s="50"/>
      <c r="BE17" s="50"/>
      <c r="CA17" s="50"/>
      <c r="CB17" s="50"/>
      <c r="CV17" s="50"/>
      <c r="CW17" s="50"/>
      <c r="DQ17" s="50"/>
      <c r="DR17" s="50"/>
      <c r="EL17" s="50"/>
      <c r="EM17" s="50"/>
      <c r="FG17" s="50"/>
      <c r="FH17" s="50"/>
      <c r="GB17" s="50"/>
      <c r="GC17" s="50"/>
      <c r="GW17" s="50"/>
      <c r="GX17" s="50"/>
      <c r="HR17" s="50"/>
      <c r="HS17" s="50"/>
      <c r="IM17" s="50"/>
      <c r="IN17" s="50"/>
      <c r="JH17" s="50"/>
      <c r="JI17" s="50"/>
      <c r="KC17" s="50"/>
      <c r="KD17" s="50"/>
      <c r="KX17" s="50"/>
      <c r="KY17" s="50"/>
    </row>
    <row r="18" spans="1:311" x14ac:dyDescent="0.2">
      <c r="A18" s="50"/>
      <c r="B18" s="50"/>
      <c r="C18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5">
      <sortCondition descending="1" ref="F1:F6"/>
    </sortState>
  </autoFilter>
  <mergeCells count="92">
    <mergeCell ref="LC1:LX1"/>
    <mergeCell ref="LC2:LF2"/>
    <mergeCell ref="LG2:LJ2"/>
    <mergeCell ref="LK2:LN2"/>
    <mergeCell ref="LO2:LR2"/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</mergeCells>
  <conditionalFormatting sqref="A1:A1048576">
    <cfRule type="expression" dxfId="24" priority="57">
      <formula>AND(H1="P",F1="")</formula>
    </cfRule>
  </conditionalFormatting>
  <conditionalFormatting sqref="I6:I1048576">
    <cfRule type="containsText" dxfId="23" priority="55" operator="containsText" text="No DD">
      <formula>NOT(ISERROR(SEARCH("No DD",I6)))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6">
    <cfRule type="expression" dxfId="20" priority="78">
      <formula>IF($BC4&lt;&gt;"",1,0)</formula>
    </cfRule>
  </conditionalFormatting>
  <conditionalFormatting sqref="Q4:AL6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CC1:CC1048576 CX1:CX1048576 DS1:DS1048576 EN1:EN1048576 FI1:FI1048576 GD1:GD1048576 GY1:GY1048576 HT1:HT1048576 IO1:IO1048576 JJ1:JJ1048576 KE1:KE1048576 KZ1:KZ1048576">
    <cfRule type="expression" dxfId="13" priority="26716">
      <formula>IF(AND(CC1&gt;=CD$12,CC1&lt;CD$13),1,0)</formula>
    </cfRule>
    <cfRule type="expression" dxfId="12" priority="26717">
      <formula>IF(AND(CC1&gt;=CD$11,CC1&lt;CD$12),1,0)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26788">
      <formula>IF(AND(CE1&gt;=CD$14,CE1&lt;1000),1,0)</formula>
    </cfRule>
    <cfRule type="expression" dxfId="10" priority="26789">
      <formula>IF(AND(CE1&gt;=CD$13,CE1&lt;CD$14),1,0)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26860">
      <formula>IF(AND(CB1&gt;=CD$10,CB1&lt;1000),1,0)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26896">
      <formula>IF(AND(CA1&gt;=CD$9,CA1&lt;1000),1,0)</formula>
    </cfRule>
    <cfRule type="expression" dxfId="7" priority="26897">
      <formula>IF(AND(CA1&gt;=CD$8,CA1&lt;CD$9),1,0)</formula>
    </cfRule>
  </conditionalFormatting>
  <conditionalFormatting sqref="AH1:AH1048576 BD1:BD1048576">
    <cfRule type="expression" dxfId="6" priority="26968">
      <formula>IF(AND(AH1&gt;=AK$9,AH1&lt;1000,AG1=""),1,0)</formula>
    </cfRule>
    <cfRule type="expression" dxfId="5" priority="26969">
      <formula>IF(AND(AH1&gt;=AK$8,AH1&lt;AK$9,AG1=""),1,0)</formula>
    </cfRule>
  </conditionalFormatting>
  <conditionalFormatting sqref="BF1:BF1048576 AJ1:AJ1048576">
    <cfRule type="expression" dxfId="4" priority="26980">
      <formula>IF(AND(AJ1&gt;=AK$12,AJ1&lt;AK$13,AG1=""),1,0)</formula>
    </cfRule>
    <cfRule type="expression" dxfId="3" priority="26981">
      <formula>IF(AND(AJ1&gt;=AK$11,AJ1&lt;AK$12,AG1=""),1,0)</formula>
    </cfRule>
  </conditionalFormatting>
  <conditionalFormatting sqref="BH1:BH1048576 AL1:AL1048576">
    <cfRule type="expression" dxfId="2" priority="26992">
      <formula>IF(AND(AL1&gt;=AK$14,AL1&lt;1000,AG1=""),1,0)</formula>
    </cfRule>
    <cfRule type="expression" dxfId="1" priority="26993">
      <formula>IF(AND(AL1&gt;=AK$13,AL1&lt;AK$14,AG1=""),1,0)</formula>
    </cfRule>
  </conditionalFormatting>
  <conditionalFormatting sqref="AI1:AI1048576 BE1:BE1048576">
    <cfRule type="expression" dxfId="0" priority="27004">
      <formula>IF(AND(AI1&gt;=AK$10,AI1&lt;1000,AG1=""),1,0)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2019-08-12T14:18:14Z</cp:lastPrinted>
  <dcterms:created xsi:type="dcterms:W3CDTF">2017-07-14T23:42:10Z</dcterms:created>
  <dcterms:modified xsi:type="dcterms:W3CDTF">2020-07-23T18:12:27Z</dcterms:modified>
</cp:coreProperties>
</file>